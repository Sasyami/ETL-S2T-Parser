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xl/tables/table9.xml" ContentType="application/vnd.openxmlformats-officedocument.spreadsheetml.table+xml"/>
  <Override PartName="/xl/tables/table5.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7.xml" ContentType="application/vnd.openxmlformats-officedocument.spreadsheetml.table+xml"/>
  <Override PartName="/xl/drawings/drawing3.xml" ContentType="application/vnd.openxmlformats-officedocument.drawing+xml"/>
  <Override PartName="/xl/sharedStrings.xml" ContentType="application/vnd.openxmlformats-officedocument.spreadsheetml.sharedStrings+xml"/>
  <Override PartName="/xl/tables/table6.xml" ContentType="application/vnd.openxmlformats-officedocument.spreadsheetml.table+xml"/>
  <Override PartName="/xl/drawings/drawing4.xml" ContentType="application/vnd.openxmlformats-officedocument.drawing+xml"/>
  <Override PartName="/xl/externalLinks/externalLink2.xml" ContentType="application/vnd.openxmlformats-officedocument.spreadsheetml.externalLink+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5.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xl/externalLinks/externalLink1.xml" ContentType="application/vnd.openxmlformats-officedocument.spreadsheetml.externalLink+xml"/>
  <Override PartName="/xl/worksheets/sheet6.xml" ContentType="application/vnd.openxmlformats-officedocument.spreadsheetml.worksheet+xml"/>
  <Override PartName="/xl/drawings/drawing7.xml" ContentType="application/vnd.openxmlformats-officedocument.drawing+xml"/>
  <Override PartName="/xl/tables/table3.xml" ContentType="application/vnd.openxmlformats-officedocument.spreadsheetml.table+xml"/>
  <Override PartName="/xl/tables/table8.xml" ContentType="application/vnd.openxmlformats-officedocument.spreadsheetml.table+xml"/>
  <Override PartName="/xl/drawings/drawing8.xml" ContentType="application/vnd.openxmlformats-officedocument.drawing+xml"/>
  <Override PartName="/xl/worksheets/sheet9.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drawings/drawing9.xml" ContentType="application/vnd.openxmlformats-officedocument.drawing+xml"/>
  <Override PartName="/xl/tables/table4.xml" ContentType="application/vnd.openxmlformats-officedocument.spreadsheetml.table+xml"/>
  <Override PartName="/xl/worksheets/sheet8.xml" ContentType="application/vnd.openxmlformats-officedocument.spreadsheetml.worksheet+xml"/>
  <Override PartName="/xl/worksheets/sheet1.xml" ContentType="application/vnd.openxmlformats-officedocument.spreadsheetml.worksheet+xml"/>
  <Override PartName="/xl/drawings/drawing6.xml" ContentType="application/vnd.openxmlformats-officedocument.drawing+xml"/>
  <Override PartName="/xl/theme/theme1.xml" ContentType="application/vnd.openxmlformats-officedocument.theme+xml"/>
  <Override PartName="/xl/tables/table1.xml" ContentType="application/vnd.openxmlformats-officedocument.spreadsheetml.table+xml"/>
  <Override PartName="/xl/workbook.xml" ContentType="application/vnd.openxmlformats-officedocument.spreadsheetml.sheet.main+xml"/>
</Types>
</file>

<file path=_rels/.rels><?xml version="1.0" encoding="UTF-8" standalone="yes"?><Relationships xmlns="http://schemas.openxmlformats.org/package/2006/relationships"><Relationship  Id="rId4" Type="http://schemas.openxmlformats.org/officeDocument/2006/relationships/officeDocument" Target="xl/workbook.xml"/><Relationship  Id="rId3" Type="http://schemas.openxmlformats.org/officeDocument/2006/relationships/custom-properties" Target="docProps/custom.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Список изменений" sheetId="1" state="visible" r:id="rId4"/>
    <sheet name="S2T" sheetId="2" state="visible" r:id="rId5"/>
    <sheet name="Source columns" sheetId="3" state="visible" r:id="rId6"/>
    <sheet name="Target tables" sheetId="4" state="visible" r:id="rId7"/>
    <sheet name="Target columns" sheetId="5" state="visible" r:id="rId8"/>
    <sheet name="PXF-&gt;A" sheetId="6" state="visible" r:id="rId9"/>
    <sheet name="А-слой-&gt;В-слой" sheetId="7" state="visible" r:id="rId10"/>
    <sheet name="Additional objects" sheetId="8" state="visible" r:id="rId11"/>
    <sheet name="Глоссарий" sheetId="9" state="hidden" r:id="rId12"/>
  </sheets>
  <externalReferences>
    <externalReference r:id="rId1"/>
    <externalReference r:id="rId2"/>
  </externalReferences>
  <definedNames>
    <definedName name="_xlnm._FilterDatabase" localSheetId="1" hidden="1">S2T!$A$2:$V$455</definedName>
    <definedName name="_xlnm._FilterDatabase" localSheetId="2" hidden="1">'Source columns'!$A$2:$H$234</definedName>
    <definedName name="anchor_tgt_columns_def" localSheetId="2">'Source columns'!#REF!</definedName>
    <definedName name="anchor_tgt_columns_fk" localSheetId="2">'Source columns'!$H$1</definedName>
    <definedName name="anchor_tgt_columns_note" localSheetId="2">'Source columns'!$I$1</definedName>
    <definedName name="anchor_tgt_columns_null" localSheetId="2">'Source columns'!$E$1</definedName>
    <definedName name="anchor_tgt_columns_pk" localSheetId="2">'Source columns'!$G$1</definedName>
    <definedName name="anchor_tgt_columns_po" localSheetId="2">'Source columns'!$F$1</definedName>
    <definedName name="anchor_tgt_columns_type" localSheetId="2">'Source columns'!$D$1</definedName>
    <definedName name="lst_tgt_columns" localSheetId="2">'Source columns'!$A:$I</definedName>
    <definedName name="_xlnm._FilterDatabase" localSheetId="3" hidden="1">'Target tables'!$A$2:$E$2</definedName>
    <definedName name="anchor_tgt_tables_ntab" localSheetId="3">'Target tables'!$E$1</definedName>
    <definedName name="anchor_tgt_tables_sa" localSheetId="3">'Target tables'!$D$1</definedName>
    <definedName name="lst_tgt_tables" localSheetId="3">'Target tables'!$A:$E</definedName>
    <definedName name="_xlnm._FilterDatabase" localSheetId="4" hidden="1">'Target columns'!$A$2:$J$249</definedName>
    <definedName name="anchor_tgt_columns_def" localSheetId="4">'Target columns'!$I$1</definedName>
    <definedName name="anchor_tgt_columns_fk" localSheetId="4">'Target columns'!$H$1</definedName>
    <definedName name="anchor_tgt_columns_note" localSheetId="4">'Target columns'!$J$1</definedName>
    <definedName name="anchor_tgt_columns_null" localSheetId="4">'Target columns'!$E$1</definedName>
    <definedName name="anchor_tgt_columns_pk" localSheetId="4">'Target columns'!$G$1</definedName>
    <definedName name="anchor_tgt_columns_po" localSheetId="4">'Target columns'!$F$1</definedName>
    <definedName name="anchor_tgt_columns_type" localSheetId="4">'Target columns'!$D$1</definedName>
    <definedName name="lst_tgt_columns" localSheetId="4">'Target columns'!$A:$J</definedName>
    <definedName name="anchor_src_columns_note" localSheetId="7">#REF!</definedName>
    <definedName name="anchor_src_columns_null" localSheetId="7">#REF!</definedName>
    <definedName name="anchor_src_columns_pk" localSheetId="7">#REF!</definedName>
    <definedName name="anchor_src_columns_type" localSheetId="7">#REF!</definedName>
    <definedName name="anchor_tgt_columns_def" localSheetId="7">#REF!</definedName>
    <definedName name="anchor_tgt_columns_fk" localSheetId="7">#REF!</definedName>
    <definedName name="anchor_tgt_columns_note" localSheetId="7">#REF!</definedName>
    <definedName name="anchor_tgt_columns_null" localSheetId="7">#REF!</definedName>
    <definedName name="anchor_tgt_columns_pk" localSheetId="7">#REF!</definedName>
    <definedName name="anchor_tgt_columns_po" localSheetId="7">#REF!</definedName>
    <definedName name="anchor_tgt_columns_type" localSheetId="7">#REF!</definedName>
    <definedName name="anchor_tgt_tables_ntab" localSheetId="7">#REF!</definedName>
    <definedName name="anchor_tgt_tables_sa" localSheetId="7">#REF!</definedName>
    <definedName name="lst_src_columns" localSheetId="7">#REF!</definedName>
    <definedName name="lst_tgt_columns" localSheetId="7">#REF!</definedName>
    <definedName name="lst_tgt_tables" localSheetId="7">#REF!</definedName>
    <definedName name="anchor_src_columns_note">#REF!</definedName>
    <definedName name="anchor_src_columns_null">#REF!</definedName>
    <definedName name="anchor_src_columns_pk">#REF!</definedName>
    <definedName name="anchor_src_columns_type">#REF!</definedName>
    <definedName name="anchor_tgt_columns_def">#REF!</definedName>
    <definedName name="anchor_tgt_columns_fk">#REF!</definedName>
    <definedName name="anchor_tgt_columns_note">#REF!</definedName>
    <definedName name="anchor_tgt_columns_null">#REF!</definedName>
    <definedName name="anchor_tgt_columns_pk">#REF!</definedName>
    <definedName name="anchor_tgt_columns_po">#REF!</definedName>
    <definedName name="anchor_tgt_columns_type">#REF!</definedName>
    <definedName name="anchor_tgt_tables_ntab">#REF!</definedName>
    <definedName name="anchor_tgt_tables_sa">#REF!</definedName>
    <definedName name="d">'[1]Target columns'!$D$1</definedName>
    <definedName name="first_value">Глоссарий!$I$1:$I$3</definedName>
    <definedName name="lst_src_columns">#REF!</definedName>
    <definedName name="lst_tgt_columns">#REF!</definedName>
    <definedName name="lst_tgt_tables">#REF!</definedName>
    <definedName name="sff">'[1]Target columns'!$H$1</definedName>
    <definedName name="_xlnm._FilterDatabase" localSheetId="1" hidden="1">S2T!$A$2:$V$455</definedName>
  </definedNames>
  <calcPr/>
</workbook>
</file>

<file path=xl/sharedStrings.xml><?xml version="1.0" encoding="utf-8"?>
<sst xmlns="http://schemas.openxmlformats.org/spreadsheetml/2006/main" count="143" uniqueCount="143">
  <si>
    <t>Версия</t>
  </si>
  <si>
    <t>Дата</t>
  </si>
  <si>
    <t xml:space="preserve">Измененный объект</t>
  </si>
  <si>
    <t>Изменение</t>
  </si>
  <si>
    <t>Автор</t>
  </si>
  <si>
    <t>Комментарий</t>
  </si>
  <si>
    <t xml:space="preserve">Первая версия</t>
  </si>
  <si>
    <t xml:space="preserve">Мартиросян Т. Г.</t>
  </si>
  <si>
    <t xml:space="preserve">№ ПП</t>
  </si>
  <si>
    <t xml:space="preserve">Предметная область</t>
  </si>
  <si>
    <t xml:space="preserve">Описание целевой таблицы</t>
  </si>
  <si>
    <t>Таблица-приемник</t>
  </si>
  <si>
    <t xml:space="preserve">Тип данных поля приемника</t>
  </si>
  <si>
    <t xml:space="preserve">Первичный ключ?</t>
  </si>
  <si>
    <t xml:space="preserve">Внешний ключ?</t>
  </si>
  <si>
    <t>NULL?</t>
  </si>
  <si>
    <t xml:space="preserve">Описание поля приемника</t>
  </si>
  <si>
    <t xml:space="preserve">Поле приемника</t>
  </si>
  <si>
    <t>Таблица-источник</t>
  </si>
  <si>
    <t xml:space="preserve">Тип данных поля источника</t>
  </si>
  <si>
    <t xml:space="preserve">Описание поля источника</t>
  </si>
  <si>
    <t xml:space="preserve">Поле источника</t>
  </si>
  <si>
    <t xml:space="preserve">Трансформация поля источника</t>
  </si>
  <si>
    <t xml:space="preserve">Трансформации табличного уровня (SQL, пояснения)</t>
  </si>
  <si>
    <t xml:space="preserve">Название N-таблицы</t>
  </si>
  <si>
    <t xml:space="preserve">Роль в истории</t>
  </si>
  <si>
    <t>СОД</t>
  </si>
  <si>
    <t xml:space="preserve">Кто менял</t>
  </si>
  <si>
    <t>Комментарии</t>
  </si>
  <si>
    <t>t_pymnt_doc</t>
  </si>
  <si>
    <t>pymnt_doc_id</t>
  </si>
  <si>
    <t>b3143140010001_docdata</t>
  </si>
  <si>
    <t>ObjectID_uid</t>
  </si>
  <si>
    <t xml:space="preserve">select objectid,  --очистить поле от мусора
substr(objectid,position(':' in objectid)+1 + case position('eks' in objectid) 
             when 0 then 0 else 3 end, 
    case when position('|' in objectid) = 0 then length(objectid) else position('|' in objectid)-(position(':' in objectid)+1 + case position('eks' in objectid) 
             when 0 then 0 else 3 end) end ) 
from s_grnplm_as_t_didsd_314_db_stg.a_314001_docdata_snp_ext </t>
  </si>
  <si>
    <t xml:space="preserve">select * from docdata where ccdoctypecode is not null</t>
  </si>
  <si>
    <t>-</t>
  </si>
  <si>
    <t>Снимок-снимок</t>
  </si>
  <si>
    <t>host_pymnt_doc_id</t>
  </si>
  <si>
    <t>ObjectID</t>
  </si>
  <si>
    <t xml:space="preserve">cast(ObjectID as text)</t>
  </si>
  <si>
    <t>pymnt_doc_dt</t>
  </si>
  <si>
    <t>ccreceiptdate</t>
  </si>
  <si>
    <t>host_external_doc_id</t>
  </si>
  <si>
    <t>text</t>
  </si>
  <si>
    <t>ccexternalid</t>
  </si>
  <si>
    <t>bus_srv_id</t>
  </si>
  <si>
    <t>uuid</t>
  </si>
  <si>
    <t>cctransactionid_uid</t>
  </si>
  <si>
    <t>src_system_type_id</t>
  </si>
  <si>
    <t>ccdoctypecode_uid</t>
  </si>
  <si>
    <t>t_src_system_type</t>
  </si>
  <si>
    <t xml:space="preserve">select * from (
select 
ccdoctypecode_uid
ccdoctypecode
,row number () over (partition by ccdoctypecode_uid order by workflow_run_id desc) as rn
from b3143140010001_docdata b
where ccdoctypecode is not null
) as t
where rn = 1</t>
  </si>
  <si>
    <t>src_system_type_cd</t>
  </si>
  <si>
    <t>ccdoctypecode</t>
  </si>
  <si>
    <t xml:space="preserve">Проверка соответствия типов S2T</t>
  </si>
  <si>
    <t>Seek</t>
  </si>
  <si>
    <t xml:space="preserve">Название таблицы STAGE</t>
  </si>
  <si>
    <t xml:space="preserve">Название поля</t>
  </si>
  <si>
    <t xml:space="preserve">Тип поля</t>
  </si>
  <si>
    <t xml:space="preserve">Первичный ключ</t>
  </si>
  <si>
    <t xml:space="preserve">Описание поля</t>
  </si>
  <si>
    <t xml:space="preserve">Описание таблицы</t>
  </si>
  <si>
    <t>Результат</t>
  </si>
  <si>
    <t>Yes</t>
  </si>
  <si>
    <t xml:space="preserve">NOT NULL</t>
  </si>
  <si>
    <t xml:space="preserve">Прикладной ID объекта</t>
  </si>
  <si>
    <t>Регистры</t>
  </si>
  <si>
    <t>No</t>
  </si>
  <si>
    <t>NULL</t>
  </si>
  <si>
    <t>cctransactionid</t>
  </si>
  <si>
    <t xml:space="preserve">ID транзакции (учетное событие в АЕ)</t>
  </si>
  <si>
    <t xml:space="preserve">Уникальный идентификатор документа PPRB</t>
  </si>
  <si>
    <t xml:space="preserve">Вид Учетного документа АЕ</t>
  </si>
  <si>
    <t>date</t>
  </si>
  <si>
    <t xml:space="preserve">Дата проводки</t>
  </si>
  <si>
    <t xml:space="preserve">Table Name</t>
  </si>
  <si>
    <t xml:space="preserve">Table Entity Definition</t>
  </si>
  <si>
    <t xml:space="preserve">Table Entity Note</t>
  </si>
  <si>
    <t xml:space="preserve">Table Is In Subject Area Name</t>
  </si>
  <si>
    <t xml:space="preserve">Суффикс N-таблицы</t>
  </si>
  <si>
    <t xml:space="preserve">Учетный документ</t>
  </si>
  <si>
    <t>pymnt_doc</t>
  </si>
  <si>
    <t xml:space="preserve">Справочник систем, которые являются источником  данных</t>
  </si>
  <si>
    <t>src_system_type</t>
  </si>
  <si>
    <t xml:space="preserve">Column Table Name</t>
  </si>
  <si>
    <t>ColumnName</t>
  </si>
  <si>
    <t xml:space="preserve">Column Datatype</t>
  </si>
  <si>
    <t xml:space="preserve">Column Null Option</t>
  </si>
  <si>
    <t xml:space="preserve">Column Physical Only</t>
  </si>
  <si>
    <t xml:space="preserve">Column Is PK</t>
  </si>
  <si>
    <t xml:space="preserve">Column Is FK</t>
  </si>
  <si>
    <t xml:space="preserve">Column Attribute Definition</t>
  </si>
  <si>
    <t xml:space="preserve">Column Attribute Note</t>
  </si>
  <si>
    <t>UUID</t>
  </si>
  <si>
    <t/>
  </si>
  <si>
    <t xml:space="preserve">Уникальный идентификатор учетного документа</t>
  </si>
  <si>
    <t>TEXT</t>
  </si>
  <si>
    <t xml:space="preserve">Уникальный идентификатор учетного документа в системе-источнике</t>
  </si>
  <si>
    <t>DATE</t>
  </si>
  <si>
    <t xml:space="preserve">Дата документа</t>
  </si>
  <si>
    <t xml:space="preserve">Идентификатор документа, присвоенный АС-источником</t>
  </si>
  <si>
    <t xml:space="preserve">Уникальный идентфиикатор бизнес-сервиса</t>
  </si>
  <si>
    <t xml:space="preserve">Идентификатор внешней системы</t>
  </si>
  <si>
    <t xml:space="preserve">идентификатор внешней системы</t>
  </si>
  <si>
    <t xml:space="preserve">код внешней системы</t>
  </si>
  <si>
    <r>
      <t xml:space="preserve">Название материализованной A-таблицы 
</t>
    </r>
    <r>
      <rPr>
        <b/>
        <sz val="10"/>
        <color rgb="FF7030A0"/>
        <rFont val="Calibri"/>
        <scheme val="minor"/>
      </rPr>
      <t xml:space="preserve"> кластер «ПРОМ SDP sklsdppprb»</t>
    </r>
  </si>
  <si>
    <t xml:space="preserve">Название внешней A-таблицы</t>
  </si>
  <si>
    <t xml:space="preserve">Название таблицы реплики</t>
  </si>
  <si>
    <t>a_314001_docdata</t>
  </si>
  <si>
    <t>a_314001_docdata_diff_ext</t>
  </si>
  <si>
    <t>platform_stmnt_delta.ru_sbrf_pprb_stmnt_dataspace_jpa_docdata_delta</t>
  </si>
  <si>
    <t>a_314001_docdata_snp_ext</t>
  </si>
  <si>
    <t>platform_stmnt.ru_sbrf_pprb_stmnt_dataspace_jpa_docdata</t>
  </si>
  <si>
    <t xml:space="preserve">Название объектов STAGE</t>
  </si>
  <si>
    <t>А-слой</t>
  </si>
  <si>
    <t>В-слой</t>
  </si>
  <si>
    <t xml:space="preserve">При изменении S таблицы не удаляйте ее, БЕЗ сохранения бэкапа</t>
  </si>
  <si>
    <t xml:space="preserve">Название объекта</t>
  </si>
  <si>
    <t xml:space="preserve">Тип объекта</t>
  </si>
  <si>
    <t>SQL</t>
  </si>
  <si>
    <t xml:space="preserve">Словесное описание</t>
  </si>
  <si>
    <t xml:space="preserve">Дата </t>
  </si>
  <si>
    <t>Буль</t>
  </si>
  <si>
    <t xml:space="preserve">Valid from workaround</t>
  </si>
  <si>
    <t xml:space="preserve">First value</t>
  </si>
  <si>
    <t xml:space="preserve">Тип S2T</t>
  </si>
  <si>
    <t>Блок-снимок</t>
  </si>
  <si>
    <t>Ключ</t>
  </si>
  <si>
    <t>Да</t>
  </si>
  <si>
    <t xml:space="preserve">D first</t>
  </si>
  <si>
    <t>DWH</t>
  </si>
  <si>
    <t>Блок-история</t>
  </si>
  <si>
    <t>Начало</t>
  </si>
  <si>
    <t>Нет</t>
  </si>
  <si>
    <t xml:space="preserve">D last</t>
  </si>
  <si>
    <t>n</t>
  </si>
  <si>
    <t>MART</t>
  </si>
  <si>
    <t>Конец</t>
  </si>
  <si>
    <t>off</t>
  </si>
  <si>
    <t>Снимок-история</t>
  </si>
  <si>
    <t>История-история</t>
  </si>
  <si>
    <t xml:space="preserve">Бизнес начало</t>
  </si>
  <si>
    <t xml:space="preserve">Бизнес конец</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</si>
</sst>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5">
    <numFmt numFmtId="160" formatCode="#,##0_);[Red]\(#,##0\)"/>
    <numFmt numFmtId="161" formatCode="_-* #,##0\ _р_._-;\-* #,##0\ _р_._-;_-* &quot;-&quot;\ _р_._-;_-@_-"/>
    <numFmt numFmtId="162" formatCode="_-* #,##0.00\ _р_._-;\-* #,##0.00\ _р_._-;_-* &quot;-&quot;??\ _р_._-;_-@_-"/>
    <numFmt numFmtId="163" formatCode="_-* #,##0.00_р_._-;\-* #,##0.00_р_._-;_-* &quot;-&quot;??_р_._-;_-@_-"/>
    <numFmt numFmtId="164" formatCode="dd/mm/yy;@"/>
  </numFmts>
  <fonts count="65">
    <font>
      <sz val="11.000000"/>
      <color theme="1"/>
      <name val="Calibri"/>
      <scheme val="minor"/>
    </font>
    <font>
      <sz val="10.000000"/>
      <name val="Helv"/>
    </font>
    <font>
      <sz val="10.000000"/>
      <name val="Arial"/>
    </font>
    <font>
      <sz val="11.000000"/>
      <name val="Calibri"/>
    </font>
    <font>
      <sz val="11.000000"/>
      <color theme="0"/>
      <name val="Calibri"/>
      <scheme val="minor"/>
    </font>
    <font>
      <sz val="10.000000"/>
      <color indexed="65"/>
      <name val="Arial"/>
    </font>
    <font>
      <sz val="11.000000"/>
      <color indexed="65"/>
      <name val="Calibri"/>
    </font>
    <font>
      <sz val="11.000000"/>
      <color rgb="FF9C0006"/>
      <name val="Calibri"/>
      <scheme val="minor"/>
    </font>
    <font>
      <sz val="10.000000"/>
      <color indexed="20"/>
      <name val="Arial"/>
    </font>
    <font>
      <b/>
      <sz val="11.000000"/>
      <color rgb="FFFA7D00"/>
      <name val="Calibri"/>
      <scheme val="minor"/>
    </font>
    <font>
      <b/>
      <sz val="10.000000"/>
      <color indexed="52"/>
      <name val="Arial"/>
    </font>
    <font>
      <b/>
      <sz val="11.000000"/>
      <color theme="0"/>
      <name val="Calibri"/>
      <scheme val="minor"/>
    </font>
    <font>
      <b/>
      <sz val="10.000000"/>
      <color indexed="65"/>
      <name val="Arial"/>
    </font>
    <font>
      <i/>
      <sz val="11.000000"/>
      <color rgb="FF7F7F7F"/>
      <name val="Calibri"/>
      <scheme val="minor"/>
    </font>
    <font>
      <i/>
      <sz val="10.000000"/>
      <color indexed="23"/>
      <name val="Arial"/>
    </font>
    <font>
      <sz val="11.000000"/>
      <color rgb="FF006100"/>
      <name val="Calibri"/>
      <scheme val="minor"/>
    </font>
    <font>
      <sz val="10.000000"/>
      <color indexed="17"/>
      <name val="Arial"/>
    </font>
    <font>
      <b/>
      <sz val="15.000000"/>
      <color theme="3"/>
      <name val="Calibri"/>
      <scheme val="minor"/>
    </font>
    <font>
      <b/>
      <sz val="15.000000"/>
      <color indexed="56"/>
      <name val="Arial"/>
    </font>
    <font>
      <b/>
      <sz val="13.000000"/>
      <color theme="3"/>
      <name val="Calibri"/>
      <scheme val="minor"/>
    </font>
    <font>
      <b/>
      <sz val="13.000000"/>
      <color indexed="56"/>
      <name val="Arial"/>
    </font>
    <font>
      <b/>
      <sz val="11.000000"/>
      <color theme="3"/>
      <name val="Calibri"/>
      <scheme val="minor"/>
    </font>
    <font>
      <b/>
      <sz val="11.000000"/>
      <color indexed="56"/>
      <name val="Arial"/>
    </font>
    <font>
      <sz val="10.000000"/>
      <name val="Arial Cyr"/>
    </font>
    <font>
      <sz val="11.000000"/>
      <color rgb="FF3F3F76"/>
      <name val="Calibri"/>
      <scheme val="minor"/>
    </font>
    <font>
      <sz val="10.000000"/>
      <color indexed="62"/>
      <name val="Arial"/>
    </font>
    <font>
      <sz val="11.000000"/>
      <color rgb="FFFA7D00"/>
      <name val="Calibri"/>
      <scheme val="minor"/>
    </font>
    <font>
      <sz val="10.000000"/>
      <color indexed="52"/>
      <name val="Arial"/>
    </font>
    <font>
      <sz val="11.000000"/>
      <color rgb="FF9C6500"/>
      <name val="Calibri"/>
      <scheme val="minor"/>
    </font>
    <font>
      <sz val="10.000000"/>
      <color indexed="60"/>
      <name val="Arial"/>
    </font>
    <font>
      <b/>
      <sz val="11.000000"/>
      <color rgb="FF3F3F3F"/>
      <name val="Calibri"/>
      <scheme val="minor"/>
    </font>
    <font>
      <b/>
      <sz val="10.000000"/>
      <color indexed="63"/>
      <name val="Arial"/>
    </font>
    <font>
      <sz val="8.000000"/>
      <name val="Arial"/>
    </font>
    <font>
      <b/>
      <sz val="18.000000"/>
      <color theme="3"/>
      <name val="Calibri Light"/>
      <scheme val="major"/>
    </font>
    <font>
      <b/>
      <sz val="18.000000"/>
      <color indexed="56"/>
      <name val="Cambria"/>
    </font>
    <font>
      <b/>
      <sz val="11.000000"/>
      <color theme="1"/>
      <name val="Calibri"/>
      <scheme val="minor"/>
    </font>
    <font>
      <b/>
      <sz val="10.000000"/>
      <name val="Arial"/>
    </font>
    <font>
      <sz val="11.000000"/>
      <color indexed="2"/>
      <name val="Calibri"/>
      <scheme val="minor"/>
    </font>
    <font>
      <sz val="10.000000"/>
      <color indexed="2"/>
      <name val="Arial"/>
    </font>
    <font>
      <sz val="11.000000"/>
      <color indexed="62"/>
      <name val="Calibri"/>
    </font>
    <font>
      <b/>
      <sz val="11.000000"/>
      <color indexed="63"/>
      <name val="Calibri"/>
    </font>
    <font>
      <b/>
      <sz val="11.000000"/>
      <color indexed="52"/>
      <name val="Calibri"/>
    </font>
    <font>
      <u/>
      <sz val="8.800000"/>
      <color indexed="4"/>
      <name val="Calibri"/>
    </font>
    <font>
      <b/>
      <sz val="15.000000"/>
      <color indexed="56"/>
      <name val="Calibri"/>
    </font>
    <font>
      <b/>
      <sz val="13.000000"/>
      <color indexed="56"/>
      <name val="Calibri"/>
    </font>
    <font>
      <b/>
      <sz val="11.000000"/>
      <color indexed="56"/>
      <name val="Calibri"/>
    </font>
    <font>
      <b/>
      <sz val="11.000000"/>
      <name val="Calibri"/>
    </font>
    <font>
      <b/>
      <sz val="11.000000"/>
      <color indexed="65"/>
      <name val="Calibri"/>
    </font>
    <font>
      <sz val="11.000000"/>
      <color indexed="60"/>
      <name val="Calibri"/>
    </font>
    <font>
      <sz val="11.000000"/>
      <name val="Calibri"/>
      <scheme val="minor"/>
    </font>
    <font>
      <sz val="10.000000"/>
      <name val="Times New Roman"/>
    </font>
    <font>
      <sz val="11.000000"/>
      <color indexed="20"/>
      <name val="Calibri"/>
    </font>
    <font>
      <i/>
      <sz val="11.000000"/>
      <color indexed="23"/>
      <name val="Calibri"/>
    </font>
    <font>
      <sz val="11.000000"/>
      <color indexed="52"/>
      <name val="Calibri"/>
    </font>
    <font>
      <sz val="11.000000"/>
      <color indexed="2"/>
      <name val="Calibri"/>
    </font>
    <font>
      <sz val="11.000000"/>
      <color indexed="17"/>
      <name val="Calibri"/>
    </font>
    <font>
      <sz val="9.000000"/>
      <name val="Calibri"/>
      <scheme val="minor"/>
    </font>
    <font>
      <sz val="9.000000"/>
      <color rgb="FFC00000"/>
      <name val="Calibri"/>
      <scheme val="minor"/>
    </font>
    <font>
      <sz val="10.000000"/>
      <name val="Calibri"/>
      <scheme val="minor"/>
    </font>
    <font>
      <b/>
      <sz val="10.000000"/>
      <name val="Calibri"/>
      <scheme val="minor"/>
    </font>
    <font>
      <sz val="10.000000"/>
      <color theme="1"/>
      <name val="Calibri"/>
      <scheme val="minor"/>
    </font>
    <font>
      <strike/>
      <sz val="10.000000"/>
      <name val="Calibri"/>
      <scheme val="minor"/>
    </font>
    <font>
      <b/>
      <sz val="10.000000"/>
      <color theme="1"/>
      <name val="Calibri"/>
      <scheme val="minor"/>
    </font>
    <font>
      <sz val="10.000000"/>
      <name val="Calibri"/>
    </font>
    <font>
      <sz val="8.000000"/>
      <name val="Calibri"/>
      <scheme val="minor"/>
    </font>
  </fonts>
  <fills count="60">
    <fill>
      <patternFill patternType="none"/>
    </fill>
    <fill>
      <patternFill patternType="gray125"/>
    </fill>
    <fill>
      <patternFill patternType="solid">
        <fgColor theme="4" tint="0.79998168889431442"/>
        <bgColor indexed="65"/>
      </patternFill>
    </fill>
    <fill>
      <patternFill patternType="solid">
        <fgColor indexed="31"/>
        <bgColor indexed="31"/>
      </patternFill>
    </fill>
    <fill>
      <patternFill patternType="solid">
        <fgColor theme="5" tint="0.79998168889431442"/>
        <bgColor indexed="65"/>
      </patternFill>
    </fill>
    <fill>
      <patternFill patternType="solid">
        <fgColor indexed="45"/>
        <bgColor indexed="45"/>
      </patternFill>
    </fill>
    <fill>
      <patternFill patternType="solid">
        <fgColor theme="6" tint="0.79998168889431442"/>
        <bgColor indexed="65"/>
      </patternFill>
    </fill>
    <fill>
      <patternFill patternType="solid">
        <fgColor indexed="42"/>
        <bgColor indexed="42"/>
      </patternFill>
    </fill>
    <fill>
      <patternFill patternType="solid">
        <fgColor theme="7" tint="0.79998168889431442"/>
        <bgColor indexed="65"/>
      </patternFill>
    </fill>
    <fill>
      <patternFill patternType="solid">
        <fgColor indexed="46"/>
        <bgColor indexed="46"/>
      </patternFill>
    </fill>
    <fill>
      <patternFill patternType="solid">
        <fgColor theme="8" tint="0.79998168889431442"/>
        <bgColor indexed="65"/>
      </patternFill>
    </fill>
    <fill>
      <patternFill patternType="solid">
        <fgColor indexed="27"/>
        <bgColor indexed="27"/>
      </patternFill>
    </fill>
    <fill>
      <patternFill patternType="solid">
        <fgColor theme="9" tint="0.79998168889431442"/>
        <bgColor indexed="65"/>
      </patternFill>
    </fill>
    <fill>
      <patternFill patternType="solid">
        <fgColor indexed="47"/>
        <bgColor indexed="47"/>
      </patternFill>
    </fill>
    <fill>
      <patternFill patternType="solid">
        <fgColor theme="4" tint="0.59999389629810485"/>
        <bgColor indexed="65"/>
      </patternFill>
    </fill>
    <fill>
      <patternFill patternType="solid">
        <fgColor indexed="44"/>
        <bgColor indexed="44"/>
      </patternFill>
    </fill>
    <fill>
      <patternFill patternType="solid">
        <fgColor theme="5" tint="0.59999389629810485"/>
        <bgColor indexed="65"/>
      </patternFill>
    </fill>
    <fill>
      <patternFill patternType="solid">
        <fgColor indexed="29"/>
        <bgColor indexed="29"/>
      </patternFill>
    </fill>
    <fill>
      <patternFill patternType="solid">
        <fgColor theme="6" tint="0.59999389629810485"/>
        <bgColor indexed="65"/>
      </patternFill>
    </fill>
    <fill>
      <patternFill patternType="solid">
        <fgColor indexed="3"/>
        <bgColor indexed="3"/>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indexed="51"/>
        <bgColor indexed="51"/>
      </patternFill>
    </fill>
    <fill>
      <patternFill patternType="solid">
        <fgColor theme="4" tint="0.39997558519241921"/>
        <bgColor indexed="65"/>
      </patternFill>
    </fill>
    <fill>
      <patternFill patternType="solid">
        <fgColor indexed="30"/>
        <bgColor indexed="30"/>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indexed="20"/>
        <bgColor indexed="20"/>
      </patternFill>
    </fill>
    <fill>
      <patternFill patternType="solid">
        <fgColor theme="8" tint="0.39997558519241921"/>
        <bgColor indexed="65"/>
      </patternFill>
    </fill>
    <fill>
      <patternFill patternType="solid">
        <fgColor indexed="49"/>
        <bgColor indexed="49"/>
      </patternFill>
    </fill>
    <fill>
      <patternFill patternType="solid">
        <fgColor theme="9" tint="0.39997558519241921"/>
        <bgColor indexed="65"/>
      </patternFill>
    </fill>
    <fill>
      <patternFill patternType="solid">
        <fgColor indexed="52"/>
        <bgColor indexed="52"/>
      </patternFill>
    </fill>
    <fill>
      <patternFill patternType="solid">
        <fgColor theme="4"/>
        <bgColor theme="4"/>
      </patternFill>
    </fill>
    <fill>
      <patternFill patternType="solid">
        <fgColor indexed="62"/>
        <bgColor indexed="62"/>
      </patternFill>
    </fill>
    <fill>
      <patternFill patternType="solid">
        <fgColor theme="5"/>
        <bgColor theme="5"/>
      </patternFill>
    </fill>
    <fill>
      <patternFill patternType="solid">
        <fgColor indexed="2"/>
        <bgColor indexed="2"/>
      </patternFill>
    </fill>
    <fill>
      <patternFill patternType="solid">
        <fgColor theme="6"/>
        <bgColor theme="6"/>
      </patternFill>
    </fill>
    <fill>
      <patternFill patternType="solid">
        <fgColor indexed="57"/>
        <bgColor indexed="57"/>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indexed="53"/>
        <bgColor indexed="53"/>
      </patternFill>
    </fill>
    <fill>
      <patternFill patternType="solid">
        <fgColor rgb="FFFFC7CE"/>
        <bgColor rgb="FFFFC7CE"/>
      </patternFill>
    </fill>
    <fill>
      <patternFill patternType="solid">
        <fgColor rgb="FFF2F2F2"/>
        <bgColor rgb="FFF2F2F2"/>
      </patternFill>
    </fill>
    <fill>
      <patternFill patternType="solid">
        <fgColor indexed="22"/>
        <bgColor indexed="22"/>
      </patternFill>
    </fill>
    <fill>
      <patternFill patternType="solid">
        <fgColor rgb="FFA5A5A5"/>
        <bgColor rgb="FFA5A5A5"/>
      </patternFill>
    </fill>
    <fill>
      <patternFill patternType="solid">
        <fgColor indexed="55"/>
        <bgColor indexed="55"/>
      </patternFill>
    </fill>
    <fill>
      <patternFill patternType="solid">
        <fgColor rgb="FFC6EFCE"/>
        <bgColor rgb="FFC6EFCE"/>
      </patternFill>
    </fill>
    <fill>
      <patternFill patternType="solid">
        <fgColor rgb="FFFFEB9C"/>
        <bgColor rgb="FFFFEB9C"/>
      </patternFill>
    </fill>
    <fill>
      <patternFill patternType="solid">
        <fgColor indexed="43"/>
        <bgColor indexed="43"/>
      </patternFill>
    </fill>
    <fill>
      <patternFill patternType="solid">
        <fgColor indexed="26"/>
        <bgColor indexed="26"/>
      </patternFill>
    </fill>
    <fill>
      <patternFill patternType="solid">
        <fgColor theme="0" tint="-0.14999847407452621"/>
        <bgColor theme="0" tint="-0.14999847407452621"/>
      </patternFill>
    </fill>
    <fill>
      <patternFill patternType="solid">
        <fgColor theme="7" tint="0.59999389629810485"/>
        <bgColor theme="7" tint="0.59999389629810485"/>
      </patternFill>
    </fill>
    <fill>
      <patternFill patternType="solid">
        <fgColor theme="9" tint="0.59999389629810485"/>
        <bgColor theme="9" tint="0.59999389629810485"/>
      </patternFill>
    </fill>
    <fill>
      <patternFill patternType="solid">
        <fgColor theme="8" tint="0.39997558519241921"/>
        <bgColor theme="8" tint="0.39997558519241921"/>
      </patternFill>
    </fill>
    <fill>
      <patternFill patternType="solid">
        <fgColor indexed="5"/>
        <bgColor indexed="5"/>
      </patternFill>
    </fill>
    <fill>
      <patternFill patternType="solid">
        <fgColor rgb="FF92D050"/>
        <bgColor rgb="FF92D050"/>
      </patternFill>
    </fill>
    <fill>
      <patternFill patternType="solid">
        <fgColor theme="1"/>
        <bgColor theme="1"/>
      </patternFill>
    </fill>
  </fills>
  <borders count="44">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thin">
        <color indexed="23"/>
      </left>
      <right style="thin">
        <color indexed="23"/>
      </right>
      <top style="thin">
        <color indexed="23"/>
      </top>
      <bottom style="thin">
        <color indexed="23"/>
      </bottom>
      <diagonal style="none"/>
    </border>
    <border>
      <left style="double">
        <color rgb="FF3F3F3F"/>
      </left>
      <right style="double">
        <color rgb="FF3F3F3F"/>
      </right>
      <top style="double">
        <color rgb="FF3F3F3F"/>
      </top>
      <bottom style="double">
        <color rgb="FF3F3F3F"/>
      </bottom>
      <diagonal style="none"/>
    </border>
    <border>
      <left style="double">
        <color indexed="63"/>
      </left>
      <right style="double">
        <color indexed="63"/>
      </right>
      <top style="double">
        <color indexed="63"/>
      </top>
      <bottom style="double">
        <color indexed="63"/>
      </bottom>
      <diagonal style="none"/>
    </border>
    <border>
      <left style="none"/>
      <right style="none"/>
      <top style="none"/>
      <bottom style="thick">
        <color theme="4"/>
      </bottom>
      <diagonal style="none"/>
    </border>
    <border>
      <left style="none"/>
      <right style="none"/>
      <top style="none"/>
      <bottom style="thick">
        <color indexed="62"/>
      </bottom>
      <diagonal style="none"/>
    </border>
    <border>
      <left style="none"/>
      <right style="none"/>
      <top style="none"/>
      <bottom style="thick">
        <color theme="4" tint="0.499984740745262"/>
      </bottom>
      <diagonal style="none"/>
    </border>
    <border>
      <left style="none"/>
      <right style="none"/>
      <top style="none"/>
      <bottom style="thick">
        <color indexed="22"/>
      </bottom>
      <diagonal style="none"/>
    </border>
    <border>
      <left style="none"/>
      <right style="none"/>
      <top style="none"/>
      <bottom style="medium">
        <color theme="4" tint="0.39997558519241921"/>
      </bottom>
      <diagonal style="none"/>
    </border>
    <border>
      <left style="none"/>
      <right style="none"/>
      <top style="none"/>
      <bottom style="medium">
        <color indexed="30"/>
      </bottom>
      <diagonal style="none"/>
    </border>
    <border>
      <left style="none"/>
      <right style="none"/>
      <top style="none"/>
      <bottom style="double">
        <color rgb="FFFF8001"/>
      </bottom>
      <diagonal style="none"/>
    </border>
    <border>
      <left style="none"/>
      <right style="none"/>
      <top style="none"/>
      <bottom style="double">
        <color indexed="52"/>
      </bottom>
      <diagonal style="none"/>
    </border>
    <border>
      <left style="thin">
        <color indexed="22"/>
      </left>
      <right style="thin">
        <color indexed="22"/>
      </right>
      <top style="thin">
        <color indexed="22"/>
      </top>
      <bottom style="thin">
        <color indexed="22"/>
      </bottom>
      <diagonal style="none"/>
    </border>
    <border>
      <left style="thin">
        <color rgb="FF3F3F3F"/>
      </left>
      <right style="thin">
        <color rgb="FF3F3F3F"/>
      </right>
      <top style="thin">
        <color rgb="FF3F3F3F"/>
      </top>
      <bottom style="thin">
        <color rgb="FF3F3F3F"/>
      </bottom>
      <diagonal style="none"/>
    </border>
    <border>
      <left style="thin">
        <color indexed="63"/>
      </left>
      <right style="thin">
        <color indexed="63"/>
      </right>
      <top style="thin">
        <color indexed="63"/>
      </top>
      <bottom style="thin">
        <color indexed="63"/>
      </bottom>
      <diagonal style="none"/>
    </border>
    <border>
      <left style="none"/>
      <right style="none"/>
      <top style="thin">
        <color theme="4"/>
      </top>
      <bottom style="double">
        <color theme="4"/>
      </bottom>
      <diagonal style="none"/>
    </border>
    <border>
      <left style="none"/>
      <right style="none"/>
      <top style="thin">
        <color indexed="62"/>
      </top>
      <bottom style="double">
        <color indexed="62"/>
      </bottom>
      <diagonal style="none"/>
    </border>
    <border>
      <left style="thin">
        <color rgb="FFB2B2B2"/>
      </left>
      <right style="thin">
        <color rgb="FFB2B2B2"/>
      </right>
      <top style="thin">
        <color rgb="FFB2B2B2"/>
      </top>
      <bottom style="thin">
        <color rgb="FFB2B2B2"/>
      </bottom>
      <diagonal style="none"/>
    </border>
    <border>
      <left style="thin">
        <color auto="1"/>
      </left>
      <right style="thin">
        <color auto="1"/>
      </right>
      <top style="thin">
        <color auto="1"/>
      </top>
      <bottom style="thin">
        <color auto="1"/>
      </bottom>
      <diagonal style="none"/>
    </border>
    <border>
      <left style="thin">
        <color auto="1"/>
      </left>
      <right style="none"/>
      <top style="medium">
        <color auto="1"/>
      </top>
      <bottom style="none"/>
      <diagonal style="none"/>
    </border>
    <border>
      <left style="medium">
        <color auto="1"/>
      </left>
      <right style="none"/>
      <top style="medium">
        <color auto="1"/>
      </top>
      <bottom style="none"/>
      <diagonal style="none"/>
    </border>
    <border>
      <left style="none"/>
      <right style="none"/>
      <top style="thin">
        <color theme="7"/>
      </top>
      <bottom style="none"/>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medium">
        <color auto="1"/>
      </bottom>
      <diagonal style="none"/>
    </border>
    <border>
      <left style="none"/>
      <right style="none"/>
      <top style="medium">
        <color auto="1"/>
      </top>
      <bottom style="none"/>
      <diagonal style="none"/>
    </border>
    <border>
      <left style="thin">
        <color auto="1"/>
      </left>
      <right style="thin">
        <color auto="1"/>
      </right>
      <top style="thick">
        <color auto="1"/>
      </top>
      <bottom style="thin">
        <color auto="1"/>
      </bottom>
      <diagonal style="none"/>
    </border>
    <border>
      <left style="thin">
        <color auto="1"/>
      </left>
      <right style="thin">
        <color auto="1"/>
      </right>
      <top style="thick">
        <color auto="1"/>
      </top>
      <bottom style="none"/>
      <diagonal style="none"/>
    </border>
    <border>
      <left style="none"/>
      <right style="none"/>
      <top style="thick">
        <color auto="1"/>
      </top>
      <bottom style="none"/>
      <diagonal style="none"/>
    </border>
    <border>
      <left style="thin">
        <color auto="1"/>
      </left>
      <right style="thin">
        <color auto="1"/>
      </right>
      <top style="medium">
        <color auto="1"/>
      </top>
      <bottom style="none"/>
      <diagonal style="none"/>
    </border>
    <border>
      <left style="thin">
        <color auto="1"/>
      </left>
      <right style="thin">
        <color auto="1"/>
      </right>
      <top style="medium">
        <color auto="1"/>
      </top>
      <bottom style="thin">
        <color auto="1"/>
      </bottom>
      <diagonal style="none"/>
    </border>
    <border>
      <left style="thin">
        <color auto="1"/>
      </left>
      <right style="thin">
        <color auto="1"/>
      </right>
      <top style="none"/>
      <bottom style="thin">
        <color auto="1"/>
      </bottom>
      <diagonal style="none"/>
    </border>
    <border>
      <left style="none"/>
      <right style="none"/>
      <top style="thin">
        <color theme="7"/>
      </top>
      <bottom style="thin">
        <color auto="1"/>
      </bottom>
      <diagonal style="none"/>
    </border>
    <border>
      <left style="thin">
        <color auto="1"/>
      </left>
      <right style="thin">
        <color auto="1"/>
      </right>
      <top style="thin">
        <color auto="1"/>
      </top>
      <bottom style="medium">
        <color auto="1"/>
      </bottom>
      <diagonal style="none"/>
    </border>
    <border>
      <left style="none"/>
      <right style="none"/>
      <top style="none"/>
      <bottom style="medium">
        <color auto="1"/>
      </bottom>
      <diagonal style="none"/>
    </border>
    <border>
      <left style="medium">
        <color auto="1"/>
      </left>
      <right style="thin">
        <color auto="1"/>
      </right>
      <top style="thin">
        <color auto="1"/>
      </top>
      <bottom style="medium">
        <color auto="1"/>
      </bottom>
      <diagonal style="none"/>
    </border>
    <border>
      <left style="none"/>
      <right style="none"/>
      <top style="thin">
        <color theme="7"/>
      </top>
      <bottom style="medium">
        <color auto="1"/>
      </bottom>
      <diagonal style="none"/>
    </border>
    <border>
      <left style="none"/>
      <right style="thin">
        <color auto="1"/>
      </right>
      <top style="thin">
        <color auto="1"/>
      </top>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theme="1"/>
      </left>
      <right style="thin">
        <color theme="1"/>
      </right>
      <top style="medium">
        <color theme="1"/>
      </top>
      <bottom style="medium">
        <color theme="1"/>
      </bottom>
      <diagonal style="none"/>
    </border>
    <border>
      <left style="thin">
        <color theme="1"/>
      </left>
      <right style="thin">
        <color theme="1"/>
      </right>
      <top style="thin">
        <color theme="1"/>
      </top>
      <bottom style="thin">
        <color theme="1"/>
      </bottom>
      <diagonal style="none"/>
    </border>
  </borders>
  <cellStyleXfs count="59808">
    <xf fontId="0" fillId="0" borderId="0" numFmtId="0" applyNumberFormat="1" applyFont="1" applyFill="1" applyBorder="1"/>
    <xf fontId="1" fillId="0" borderId="0" numFmtId="0" applyNumberFormat="1" applyFont="1" applyFill="1" applyBorder="1"/>
    <xf fontId="1" fillId="0" borderId="0" numFmtId="0" applyNumberFormat="1" applyFont="1" applyFill="1" applyBorder="1"/>
    <xf fontId="1" fillId="0" borderId="0" numFmtId="0" applyNumberFormat="1" applyFont="1" applyFill="1" applyBorder="1"/>
    <xf fontId="2" fillId="0" borderId="0" numFmtId="0" applyNumberFormat="1" applyFont="1" applyFill="1" applyBorder="1"/>
    <xf fontId="1"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1" fillId="0" borderId="0" numFmtId="0" applyNumberFormat="1" applyFont="1" applyFill="1" applyBorder="1"/>
    <xf fontId="0" fillId="2" borderId="0" numFmtId="0" applyNumberFormat="0" applyFont="1" applyFill="1" applyBorder="0" applyProtection="0"/>
    <xf fontId="2" fillId="3" borderId="0" numFmtId="0" applyNumberFormat="0" applyFont="1" applyFill="1" applyBorder="0" applyProtection="0"/>
    <xf fontId="2" fillId="3" borderId="0" numFmtId="0" applyNumberFormat="0" applyFont="1" applyFill="1" applyBorder="0" applyProtection="0"/>
    <xf fontId="0" fillId="4" borderId="0" numFmtId="0" applyNumberFormat="0" applyFont="1" applyFill="1" applyBorder="0" applyProtection="0"/>
    <xf fontId="2" fillId="5" borderId="0" numFmtId="0" applyNumberFormat="0" applyFont="1" applyFill="1" applyBorder="0" applyProtection="0"/>
    <xf fontId="2" fillId="5" borderId="0" numFmtId="0" applyNumberFormat="0" applyFont="1" applyFill="1" applyBorder="0" applyProtection="0"/>
    <xf fontId="0" fillId="6" borderId="0" numFmtId="0" applyNumberFormat="0" applyFont="1" applyFill="1" applyBorder="0" applyProtection="0"/>
    <xf fontId="2" fillId="7" borderId="0" numFmtId="0" applyNumberFormat="0" applyFont="1" applyFill="1" applyBorder="0" applyProtection="0"/>
    <xf fontId="2" fillId="7" borderId="0" numFmtId="0" applyNumberFormat="0" applyFont="1" applyFill="1" applyBorder="0" applyProtection="0"/>
    <xf fontId="0" fillId="8" borderId="0" numFmtId="0" applyNumberFormat="0" applyFont="1" applyFill="1" applyBorder="0" applyProtection="0"/>
    <xf fontId="2" fillId="9" borderId="0" numFmtId="0" applyNumberFormat="0" applyFont="1" applyFill="1" applyBorder="0" applyProtection="0"/>
    <xf fontId="2" fillId="9" borderId="0" numFmtId="0" applyNumberFormat="0" applyFont="1" applyFill="1" applyBorder="0" applyProtection="0"/>
    <xf fontId="0" fillId="10" borderId="0" numFmtId="0" applyNumberFormat="0" applyFont="1" applyFill="1" applyBorder="0" applyProtection="0"/>
    <xf fontId="2" fillId="11" borderId="0" numFmtId="0" applyNumberFormat="0" applyFont="1" applyFill="1" applyBorder="0" applyProtection="0"/>
    <xf fontId="2" fillId="11" borderId="0" numFmtId="0" applyNumberFormat="0" applyFont="1" applyFill="1" applyBorder="0" applyProtection="0"/>
    <xf fontId="0" fillId="12" borderId="0" numFmtId="0" applyNumberFormat="0" applyFont="1" applyFill="1" applyBorder="0" applyProtection="0"/>
    <xf fontId="2" fillId="13" borderId="0" numFmtId="0" applyNumberFormat="0" applyFont="1" applyFill="1" applyBorder="0" applyProtection="0"/>
    <xf fontId="2" fillId="13" borderId="0" numFmtId="0" applyNumberFormat="0" applyFont="1" applyFill="1" applyBorder="0" applyProtection="0"/>
    <xf fontId="3" fillId="3" borderId="0" numFmtId="0" applyNumberFormat="0" applyFont="1" applyFill="1" applyBorder="0" applyProtection="0"/>
    <xf fontId="0" fillId="2" borderId="0" numFmtId="0" applyNumberFormat="0" applyFont="1" applyFill="1" applyBorder="0" applyProtection="0"/>
    <xf fontId="3" fillId="3" borderId="0" numFmtId="0" applyNumberFormat="0" applyFont="1" applyFill="1" applyBorder="0" applyProtection="0"/>
    <xf fontId="3" fillId="5" borderId="0" numFmtId="0" applyNumberFormat="0" applyFont="1" applyFill="1" applyBorder="0" applyProtection="0"/>
    <xf fontId="0" fillId="4" borderId="0" numFmtId="0" applyNumberFormat="0" applyFont="1" applyFill="1" applyBorder="0" applyProtection="0"/>
    <xf fontId="3" fillId="5" borderId="0" numFmtId="0" applyNumberFormat="0" applyFont="1" applyFill="1" applyBorder="0" applyProtection="0"/>
    <xf fontId="3" fillId="7" borderId="0" numFmtId="0" applyNumberFormat="0" applyFont="1" applyFill="1" applyBorder="0" applyProtection="0"/>
    <xf fontId="0" fillId="6" borderId="0" numFmtId="0" applyNumberFormat="0" applyFont="1" applyFill="1" applyBorder="0" applyProtection="0"/>
    <xf fontId="3" fillId="7" borderId="0" numFmtId="0" applyNumberFormat="0" applyFont="1" applyFill="1" applyBorder="0" applyProtection="0"/>
    <xf fontId="3" fillId="9" borderId="0" numFmtId="0" applyNumberFormat="0" applyFont="1" applyFill="1" applyBorder="0" applyProtection="0"/>
    <xf fontId="0" fillId="8" borderId="0" numFmtId="0" applyNumberFormat="0" applyFont="1" applyFill="1" applyBorder="0" applyProtection="0"/>
    <xf fontId="3" fillId="9" borderId="0" numFmtId="0" applyNumberFormat="0" applyFont="1" applyFill="1" applyBorder="0" applyProtection="0"/>
    <xf fontId="3" fillId="11" borderId="0" numFmtId="0" applyNumberFormat="0" applyFont="1" applyFill="1" applyBorder="0" applyProtection="0"/>
    <xf fontId="0" fillId="10" borderId="0" numFmtId="0" applyNumberFormat="0" applyFont="1" applyFill="1" applyBorder="0" applyProtection="0"/>
    <xf fontId="3" fillId="11" borderId="0" numFmtId="0" applyNumberFormat="0" applyFont="1" applyFill="1" applyBorder="0" applyProtection="0"/>
    <xf fontId="3" fillId="13" borderId="0" numFmtId="0" applyNumberFormat="0" applyFont="1" applyFill="1" applyBorder="0" applyProtection="0"/>
    <xf fontId="0" fillId="12" borderId="0" numFmtId="0" applyNumberFormat="0" applyFont="1" applyFill="1" applyBorder="0" applyProtection="0"/>
    <xf fontId="3" fillId="13" borderId="0" numFmtId="0" applyNumberFormat="0" applyFont="1" applyFill="1" applyBorder="0" applyProtection="0"/>
    <xf fontId="0" fillId="14" borderId="0" numFmtId="0" applyNumberFormat="0" applyFont="1" applyFill="1" applyBorder="0" applyProtection="0"/>
    <xf fontId="2" fillId="15" borderId="0" numFmtId="0" applyNumberFormat="0" applyFont="1" applyFill="1" applyBorder="0" applyProtection="0"/>
    <xf fontId="2" fillId="15" borderId="0" numFmtId="0" applyNumberFormat="0" applyFont="1" applyFill="1" applyBorder="0" applyProtection="0"/>
    <xf fontId="0" fillId="16" borderId="0" numFmtId="0" applyNumberFormat="0" applyFont="1" applyFill="1" applyBorder="0" applyProtection="0"/>
    <xf fontId="2" fillId="17" borderId="0" numFmtId="0" applyNumberFormat="0" applyFont="1" applyFill="1" applyBorder="0" applyProtection="0"/>
    <xf fontId="2" fillId="17" borderId="0" numFmtId="0" applyNumberFormat="0" applyFont="1" applyFill="1" applyBorder="0" applyProtection="0"/>
    <xf fontId="0" fillId="18" borderId="0" numFmtId="0" applyNumberFormat="0" applyFont="1" applyFill="1" applyBorder="0" applyProtection="0"/>
    <xf fontId="2" fillId="19" borderId="0" numFmtId="0" applyNumberFormat="0" applyFont="1" applyFill="1" applyBorder="0" applyProtection="0"/>
    <xf fontId="2" fillId="19" borderId="0" numFmtId="0" applyNumberFormat="0" applyFont="1" applyFill="1" applyBorder="0" applyProtection="0"/>
    <xf fontId="0" fillId="20" borderId="0" numFmtId="0" applyNumberFormat="0" applyFont="1" applyFill="1" applyBorder="0" applyProtection="0"/>
    <xf fontId="2" fillId="9" borderId="0" numFmtId="0" applyNumberFormat="0" applyFont="1" applyFill="1" applyBorder="0" applyProtection="0"/>
    <xf fontId="2" fillId="9" borderId="0" numFmtId="0" applyNumberFormat="0" applyFont="1" applyFill="1" applyBorder="0" applyProtection="0"/>
    <xf fontId="0" fillId="21" borderId="0" numFmtId="0" applyNumberFormat="0" applyFont="1" applyFill="1" applyBorder="0" applyProtection="0"/>
    <xf fontId="2" fillId="15" borderId="0" numFmtId="0" applyNumberFormat="0" applyFont="1" applyFill="1" applyBorder="0" applyProtection="0"/>
    <xf fontId="2" fillId="15" borderId="0" numFmtId="0" applyNumberFormat="0" applyFont="1" applyFill="1" applyBorder="0" applyProtection="0"/>
    <xf fontId="0" fillId="22" borderId="0" numFmtId="0" applyNumberFormat="0" applyFont="1" applyFill="1" applyBorder="0" applyProtection="0"/>
    <xf fontId="2" fillId="23" borderId="0" numFmtId="0" applyNumberFormat="0" applyFont="1" applyFill="1" applyBorder="0" applyProtection="0"/>
    <xf fontId="2" fillId="23" borderId="0" numFmtId="0" applyNumberFormat="0" applyFont="1" applyFill="1" applyBorder="0" applyProtection="0"/>
    <xf fontId="3" fillId="15" borderId="0" numFmtId="0" applyNumberFormat="0" applyFont="1" applyFill="1" applyBorder="0" applyProtection="0"/>
    <xf fontId="0" fillId="14" borderId="0" numFmtId="0" applyNumberFormat="0" applyFont="1" applyFill="1" applyBorder="0" applyProtection="0"/>
    <xf fontId="3" fillId="15" borderId="0" numFmtId="0" applyNumberFormat="0" applyFont="1" applyFill="1" applyBorder="0" applyProtection="0"/>
    <xf fontId="3" fillId="17" borderId="0" numFmtId="0" applyNumberFormat="0" applyFont="1" applyFill="1" applyBorder="0" applyProtection="0"/>
    <xf fontId="0" fillId="16" borderId="0" numFmtId="0" applyNumberFormat="0" applyFont="1" applyFill="1" applyBorder="0" applyProtection="0"/>
    <xf fontId="3" fillId="17" borderId="0" numFmtId="0" applyNumberFormat="0" applyFont="1" applyFill="1" applyBorder="0" applyProtection="0"/>
    <xf fontId="3" fillId="19" borderId="0" numFmtId="0" applyNumberFormat="0" applyFont="1" applyFill="1" applyBorder="0" applyProtection="0"/>
    <xf fontId="0" fillId="18" borderId="0" numFmtId="0" applyNumberFormat="0" applyFont="1" applyFill="1" applyBorder="0" applyProtection="0"/>
    <xf fontId="3" fillId="19" borderId="0" numFmtId="0" applyNumberFormat="0" applyFont="1" applyFill="1" applyBorder="0" applyProtection="0"/>
    <xf fontId="3" fillId="9" borderId="0" numFmtId="0" applyNumberFormat="0" applyFont="1" applyFill="1" applyBorder="0" applyProtection="0"/>
    <xf fontId="0" fillId="20" borderId="0" numFmtId="0" applyNumberFormat="0" applyFont="1" applyFill="1" applyBorder="0" applyProtection="0"/>
    <xf fontId="3" fillId="9" borderId="0" numFmtId="0" applyNumberFormat="0" applyFont="1" applyFill="1" applyBorder="0" applyProtection="0"/>
    <xf fontId="3" fillId="15" borderId="0" numFmtId="0" applyNumberFormat="0" applyFont="1" applyFill="1" applyBorder="0" applyProtection="0"/>
    <xf fontId="0" fillId="21" borderId="0" numFmtId="0" applyNumberFormat="0" applyFont="1" applyFill="1" applyBorder="0" applyProtection="0"/>
    <xf fontId="3" fillId="15" borderId="0" numFmtId="0" applyNumberFormat="0" applyFont="1" applyFill="1" applyBorder="0" applyProtection="0"/>
    <xf fontId="3" fillId="23" borderId="0" numFmtId="0" applyNumberFormat="0" applyFont="1" applyFill="1" applyBorder="0" applyProtection="0"/>
    <xf fontId="0" fillId="22" borderId="0" numFmtId="0" applyNumberFormat="0" applyFont="1" applyFill="1" applyBorder="0" applyProtection="0"/>
    <xf fontId="3" fillId="23" borderId="0" numFmtId="0" applyNumberFormat="0" applyFont="1" applyFill="1" applyBorder="0" applyProtection="0"/>
    <xf fontId="4" fillId="24" borderId="0" numFmtId="0" applyNumberFormat="0" applyFont="1" applyFill="1" applyBorder="0" applyProtection="0"/>
    <xf fontId="5" fillId="25" borderId="0" numFmtId="0" applyNumberFormat="0" applyFont="1" applyFill="1" applyBorder="0" applyProtection="0"/>
    <xf fontId="5" fillId="25" borderId="0" numFmtId="0" applyNumberFormat="0" applyFont="1" applyFill="1" applyBorder="0" applyProtection="0"/>
    <xf fontId="4" fillId="26" borderId="0" numFmtId="0" applyNumberFormat="0" applyFont="1" applyFill="1" applyBorder="0" applyProtection="0"/>
    <xf fontId="5" fillId="17" borderId="0" numFmtId="0" applyNumberFormat="0" applyFont="1" applyFill="1" applyBorder="0" applyProtection="0"/>
    <xf fontId="5" fillId="17" borderId="0" numFmtId="0" applyNumberFormat="0" applyFont="1" applyFill="1" applyBorder="0" applyProtection="0"/>
    <xf fontId="4" fillId="27" borderId="0" numFmtId="0" applyNumberFormat="0" applyFont="1" applyFill="1" applyBorder="0" applyProtection="0"/>
    <xf fontId="5" fillId="19" borderId="0" numFmtId="0" applyNumberFormat="0" applyFont="1" applyFill="1" applyBorder="0" applyProtection="0"/>
    <xf fontId="5" fillId="19" borderId="0" numFmtId="0" applyNumberFormat="0" applyFont="1" applyFill="1" applyBorder="0" applyProtection="0"/>
    <xf fontId="4" fillId="28" borderId="0" numFmtId="0" applyNumberFormat="0" applyFont="1" applyFill="1" applyBorder="0" applyProtection="0"/>
    <xf fontId="5" fillId="29" borderId="0" numFmtId="0" applyNumberFormat="0" applyFont="1" applyFill="1" applyBorder="0" applyProtection="0"/>
    <xf fontId="5" fillId="29" borderId="0" numFmtId="0" applyNumberFormat="0" applyFont="1" applyFill="1" applyBorder="0" applyProtection="0"/>
    <xf fontId="4" fillId="30" borderId="0" numFmtId="0" applyNumberFormat="0" applyFont="1" applyFill="1" applyBorder="0" applyProtection="0"/>
    <xf fontId="5" fillId="31" borderId="0" numFmtId="0" applyNumberFormat="0" applyFont="1" applyFill="1" applyBorder="0" applyProtection="0"/>
    <xf fontId="5" fillId="31" borderId="0" numFmtId="0" applyNumberFormat="0" applyFont="1" applyFill="1" applyBorder="0" applyProtection="0"/>
    <xf fontId="4" fillId="32" borderId="0" numFmtId="0" applyNumberFormat="0" applyFont="1" applyFill="1" applyBorder="0" applyProtection="0"/>
    <xf fontId="5" fillId="33" borderId="0" numFmtId="0" applyNumberFormat="0" applyFont="1" applyFill="1" applyBorder="0" applyProtection="0"/>
    <xf fontId="5" fillId="33" borderId="0" numFmtId="0" applyNumberFormat="0" applyFont="1" applyFill="1" applyBorder="0" applyProtection="0"/>
    <xf fontId="6" fillId="25" borderId="0" numFmtId="0" applyNumberFormat="0" applyFont="1" applyFill="1" applyBorder="0" applyProtection="0"/>
    <xf fontId="6" fillId="25" borderId="0" numFmtId="0" applyNumberFormat="0" applyFont="1" applyFill="1" applyBorder="0" applyProtection="0"/>
    <xf fontId="6" fillId="17" borderId="0" numFmtId="0" applyNumberFormat="0" applyFont="1" applyFill="1" applyBorder="0" applyProtection="0"/>
    <xf fontId="6" fillId="17" borderId="0" numFmtId="0" applyNumberFormat="0" applyFont="1" applyFill="1" applyBorder="0" applyProtection="0"/>
    <xf fontId="6" fillId="19" borderId="0" numFmtId="0" applyNumberFormat="0" applyFont="1" applyFill="1" applyBorder="0" applyProtection="0"/>
    <xf fontId="6" fillId="19" borderId="0" numFmtId="0" applyNumberFormat="0" applyFont="1" applyFill="1" applyBorder="0" applyProtection="0"/>
    <xf fontId="6" fillId="29" borderId="0" numFmtId="0" applyNumberFormat="0" applyFont="1" applyFill="1" applyBorder="0" applyProtection="0"/>
    <xf fontId="6" fillId="29" borderId="0" numFmtId="0" applyNumberFormat="0" applyFont="1" applyFill="1" applyBorder="0" applyProtection="0"/>
    <xf fontId="6" fillId="31" borderId="0" numFmtId="0" applyNumberFormat="0" applyFont="1" applyFill="1" applyBorder="0" applyProtection="0"/>
    <xf fontId="6" fillId="31" borderId="0" numFmtId="0" applyNumberFormat="0" applyFont="1" applyFill="1" applyBorder="0" applyProtection="0"/>
    <xf fontId="6" fillId="33" borderId="0" numFmtId="0" applyNumberFormat="0" applyFont="1" applyFill="1" applyBorder="0" applyProtection="0"/>
    <xf fontId="6" fillId="33" borderId="0" numFmtId="0" applyNumberFormat="0" applyFont="1" applyFill="1" applyBorder="0" applyProtection="0"/>
    <xf fontId="4" fillId="34" borderId="0" numFmtId="0" applyNumberFormat="0" applyFont="1" applyFill="1" applyBorder="0" applyProtection="0"/>
    <xf fontId="5" fillId="35" borderId="0" numFmtId="0" applyNumberFormat="0" applyFont="1" applyFill="1" applyBorder="0" applyProtection="0"/>
    <xf fontId="5" fillId="35" borderId="0" numFmtId="0" applyNumberFormat="0" applyFont="1" applyFill="1" applyBorder="0" applyProtection="0"/>
    <xf fontId="4" fillId="36" borderId="0" numFmtId="0" applyNumberFormat="0" applyFont="1" applyFill="1" applyBorder="0" applyProtection="0"/>
    <xf fontId="5" fillId="37" borderId="0" numFmtId="0" applyNumberFormat="0" applyFont="1" applyFill="1" applyBorder="0" applyProtection="0"/>
    <xf fontId="5" fillId="37" borderId="0" numFmtId="0" applyNumberFormat="0" applyFont="1" applyFill="1" applyBorder="0" applyProtection="0"/>
    <xf fontId="4" fillId="38" borderId="0" numFmtId="0" applyNumberFormat="0" applyFont="1" applyFill="1" applyBorder="0" applyProtection="0"/>
    <xf fontId="5" fillId="39" borderId="0" numFmtId="0" applyNumberFormat="0" applyFont="1" applyFill="1" applyBorder="0" applyProtection="0"/>
    <xf fontId="5" fillId="39" borderId="0" numFmtId="0" applyNumberFormat="0" applyFont="1" applyFill="1" applyBorder="0" applyProtection="0"/>
    <xf fontId="4" fillId="40" borderId="0" numFmtId="0" applyNumberFormat="0" applyFont="1" applyFill="1" applyBorder="0" applyProtection="0"/>
    <xf fontId="5" fillId="29" borderId="0" numFmtId="0" applyNumberFormat="0" applyFont="1" applyFill="1" applyBorder="0" applyProtection="0"/>
    <xf fontId="5" fillId="29" borderId="0" numFmtId="0" applyNumberFormat="0" applyFont="1" applyFill="1" applyBorder="0" applyProtection="0"/>
    <xf fontId="4" fillId="41" borderId="0" numFmtId="0" applyNumberFormat="0" applyFont="1" applyFill="1" applyBorder="0" applyProtection="0"/>
    <xf fontId="5" fillId="31" borderId="0" numFmtId="0" applyNumberFormat="0" applyFont="1" applyFill="1" applyBorder="0" applyProtection="0"/>
    <xf fontId="5" fillId="31" borderId="0" numFmtId="0" applyNumberFormat="0" applyFont="1" applyFill="1" applyBorder="0" applyProtection="0"/>
    <xf fontId="4" fillId="42" borderId="0" numFmtId="0" applyNumberFormat="0" applyFont="1" applyFill="1" applyBorder="0" applyProtection="0"/>
    <xf fontId="5" fillId="43" borderId="0" numFmtId="0" applyNumberFormat="0" applyFont="1" applyFill="1" applyBorder="0" applyProtection="0"/>
    <xf fontId="5" fillId="43" borderId="0" numFmtId="0" applyNumberFormat="0" applyFont="1" applyFill="1" applyBorder="0" applyProtection="0"/>
    <xf fontId="7" fillId="44" borderId="0" numFmtId="0" applyNumberFormat="0" applyFont="1" applyFill="1" applyBorder="0" applyProtection="0"/>
    <xf fontId="8" fillId="5" borderId="0" numFmtId="0" applyNumberFormat="0" applyFont="1" applyFill="1" applyBorder="0" applyProtection="0"/>
    <xf fontId="8" fillId="5" borderId="0" numFmtId="0" applyNumberFormat="0" applyFont="1" applyFill="1" applyBorder="0" applyProtection="0"/>
    <xf fontId="9" fillId="45" borderId="1" numFmtId="0" applyNumberFormat="0" applyFont="1" applyFill="1" applyBorder="1" applyProtection="0"/>
    <xf fontId="10" fillId="46" borderId="2" numFmtId="0" applyNumberFormat="0" applyFont="1" applyFill="1" applyBorder="1" applyProtection="0"/>
    <xf fontId="10" fillId="46" borderId="2" numFmtId="0" applyNumberFormat="0" applyFont="1" applyFill="1" applyBorder="1" applyProtection="0"/>
    <xf fontId="11" fillId="47" borderId="3" numFmtId="0" applyNumberFormat="0" applyFont="1" applyFill="1" applyBorder="1" applyProtection="0"/>
    <xf fontId="12" fillId="48" borderId="4" numFmtId="0" applyNumberFormat="0" applyFont="1" applyFill="1" applyBorder="1" applyProtection="0"/>
    <xf fontId="12" fillId="48" borderId="4" numFmtId="0" applyNumberFormat="0" applyFont="1" applyFill="1" applyBorder="1" applyProtection="0"/>
    <xf fontId="13" fillId="0" borderId="0" numFmtId="0" applyNumberFormat="0" applyFont="1" applyFill="0" applyBorder="0" applyProtection="0"/>
    <xf fontId="14" fillId="0" borderId="0" numFmtId="0" applyNumberFormat="0" applyFont="1" applyFill="0" applyBorder="0" applyProtection="0"/>
    <xf fontId="14" fillId="0" borderId="0" numFmtId="0" applyNumberFormat="0" applyFont="1" applyFill="0" applyBorder="0" applyProtection="0"/>
    <xf fontId="15" fillId="49" borderId="0" numFmtId="0" applyNumberFormat="0" applyFont="1" applyFill="1" applyBorder="0" applyProtection="0"/>
    <xf fontId="16" fillId="7" borderId="0" numFmtId="0" applyNumberFormat="0" applyFont="1" applyFill="1" applyBorder="0" applyProtection="0"/>
    <xf fontId="16" fillId="7" borderId="0" numFmtId="0" applyNumberFormat="0" applyFont="1" applyFill="1" applyBorder="0" applyProtection="0"/>
    <xf fontId="17" fillId="0" borderId="5" numFmtId="0" applyNumberFormat="0" applyFont="1" applyFill="0" applyBorder="1" applyProtection="0"/>
    <xf fontId="18" fillId="0" borderId="6" numFmtId="0" applyNumberFormat="0" applyFont="1" applyFill="0" applyBorder="1" applyProtection="0"/>
    <xf fontId="18" fillId="0" borderId="6" numFmtId="0" applyNumberFormat="0" applyFont="1" applyFill="0" applyBorder="1" applyProtection="0"/>
    <xf fontId="19" fillId="0" borderId="7" numFmtId="0" applyNumberFormat="0" applyFont="1" applyFill="0" applyBorder="1" applyProtection="0"/>
    <xf fontId="20" fillId="0" borderId="8" numFmtId="0" applyNumberFormat="0" applyFont="1" applyFill="0" applyBorder="1" applyProtection="0"/>
    <xf fontId="20" fillId="0" borderId="8" numFmtId="0" applyNumberFormat="0" applyFont="1" applyFill="0" applyBorder="1" applyProtection="0"/>
    <xf fontId="21" fillId="0" borderId="9" numFmtId="0" applyNumberFormat="0" applyFont="1" applyFill="0" applyBorder="1" applyProtection="0"/>
    <xf fontId="22" fillId="0" borderId="10" numFmtId="0" applyNumberFormat="0" applyFont="1" applyFill="0" applyBorder="1" applyProtection="0"/>
    <xf fontId="22" fillId="0" borderId="10" numFmtId="0" applyNumberFormat="0" applyFont="1" applyFill="0" applyBorder="1" applyProtection="0"/>
    <xf fontId="21" fillId="0" borderId="0" numFmtId="0" applyNumberFormat="0" applyFont="1" applyFill="0" applyBorder="0" applyProtection="0"/>
    <xf fontId="22" fillId="0" borderId="0" numFmtId="0" applyNumberFormat="0" applyFont="1" applyFill="0" applyBorder="0" applyProtection="0"/>
    <xf fontId="22" fillId="0" borderId="0" numFmtId="0" applyNumberFormat="0" applyFont="1" applyFill="0" applyBorder="0" applyProtection="0"/>
    <xf fontId="23" fillId="0" borderId="0" numFmtId="0" applyNumberFormat="1" applyFont="1" applyFill="1" applyBorder="1"/>
    <xf fontId="24" fillId="13" borderId="1" numFmtId="0" applyNumberFormat="0" applyFont="1" applyFill="1" applyBorder="1" applyProtection="0"/>
    <xf fontId="25" fillId="13" borderId="2" numFmtId="0" applyNumberFormat="0" applyFont="1" applyFill="1" applyBorder="1" applyProtection="0"/>
    <xf fontId="25" fillId="13" borderId="2" numFmtId="0" applyNumberFormat="0" applyFont="1" applyFill="1" applyBorder="1" applyProtection="0"/>
    <xf fontId="26" fillId="0" borderId="11" numFmtId="0" applyNumberFormat="0" applyFont="1" applyFill="0" applyBorder="1" applyProtection="0"/>
    <xf fontId="27" fillId="0" borderId="12" numFmtId="0" applyNumberFormat="0" applyFont="1" applyFill="0" applyBorder="1" applyProtection="0"/>
    <xf fontId="27" fillId="0" borderId="12" numFmtId="0" applyNumberFormat="0" applyFont="1" applyFill="0" applyBorder="1" applyProtection="0"/>
    <xf fontId="23" fillId="7" borderId="0" numFmtId="160" applyNumberFormat="1" applyFont="1" applyFill="0" applyBorder="1" applyProtection="0"/>
    <xf fontId="23" fillId="7" borderId="0" numFmtId="38" applyNumberFormat="1" applyFont="1" applyFill="0" applyBorder="1" applyProtection="0"/>
    <xf fontId="28" fillId="50" borderId="0" numFmtId="0" applyNumberFormat="0" applyFont="1" applyFill="1" applyBorder="0" applyProtection="0"/>
    <xf fontId="29" fillId="51" borderId="0" numFmtId="0" applyNumberFormat="0" applyFont="1" applyFill="1" applyBorder="0" applyProtection="0"/>
    <xf fontId="29" fillId="51" borderId="0" numFmtId="0" applyNumberFormat="0" applyFont="1" applyFill="1" applyBorder="0" applyProtection="0"/>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52" borderId="13" numFmtId="0" applyNumberFormat="0" applyFont="0" applyFill="1" applyBorder="1" applyProtection="0"/>
    <xf fontId="2" fillId="52" borderId="13" numFmtId="0" applyNumberFormat="0" applyFont="0" applyFill="1" applyBorder="1" applyProtection="0"/>
    <xf fontId="2" fillId="52" borderId="13" numFmtId="0" applyNumberFormat="0" applyFont="0" applyFill="1" applyBorder="1" applyProtection="0"/>
    <xf fontId="30" fillId="45" borderId="14" numFmtId="0" applyNumberFormat="0" applyFont="1" applyFill="1" applyBorder="1" applyProtection="0"/>
    <xf fontId="31" fillId="46" borderId="15" numFmtId="0" applyNumberFormat="0" applyFont="1" applyFill="1" applyBorder="1" applyProtection="0"/>
    <xf fontId="31" fillId="46" borderId="15" numFmtId="0" applyNumberFormat="0" applyFont="1" applyFill="1" applyBorder="1" applyProtection="0"/>
    <xf fontId="32" fillId="7" borderId="0" numFmtId="0" applyNumberFormat="1" applyFont="1" applyFill="1" applyBorder="1">
      <alignment horizontal="center" vertical="center"/>
    </xf>
    <xf fontId="32" fillId="52" borderId="0" numFmtId="0" applyNumberFormat="1" applyFont="1" applyFill="1" applyBorder="1">
      <alignment horizontal="center" vertical="center"/>
    </xf>
    <xf fontId="32" fillId="0" borderId="0" numFmtId="0" applyNumberFormat="1" applyFont="1" applyFill="1" applyBorder="1">
      <alignment horizontal="center" vertical="center"/>
    </xf>
    <xf fontId="32" fillId="0" borderId="0" numFmtId="0" applyNumberFormat="1" applyFont="1" applyFill="1" applyBorder="1">
      <alignment horizontal="left" vertical="center"/>
    </xf>
    <xf fontId="32" fillId="0" borderId="0" numFmtId="0" applyNumberFormat="1" applyFont="1" applyFill="1" applyBorder="1">
      <alignment horizontal="right" vertical="center"/>
    </xf>
    <xf fontId="32" fillId="0" borderId="0" numFmtId="0" applyNumberFormat="1" applyFont="1" applyFill="1" applyBorder="1">
      <alignment horizontal="right" vertical="center"/>
    </xf>
    <xf fontId="33" fillId="0" borderId="0" numFmtId="0" applyNumberFormat="0" applyFont="1" applyFill="0" applyBorder="0" applyProtection="0"/>
    <xf fontId="34" fillId="0" borderId="0" numFmtId="0" applyNumberFormat="0" applyFont="1" applyFill="0" applyBorder="0" applyProtection="0"/>
    <xf fontId="34" fillId="0" borderId="0" numFmtId="0" applyNumberFormat="0" applyFont="1" applyFill="0" applyBorder="0" applyProtection="0"/>
    <xf fontId="35" fillId="0" borderId="16" numFmtId="0" applyNumberFormat="0" applyFont="1" applyFill="0" applyBorder="1" applyProtection="0"/>
    <xf fontId="36" fillId="0" borderId="17" numFmtId="0" applyNumberFormat="0" applyFont="1" applyFill="0" applyBorder="1" applyProtection="0"/>
    <xf fontId="36" fillId="0" borderId="17" numFmtId="0" applyNumberFormat="0" applyFont="1" applyFill="0" applyBorder="1" applyProtection="0"/>
    <xf fontId="37" fillId="0" borderId="0" numFmtId="0" applyNumberFormat="0" applyFont="1" applyFill="0" applyBorder="0" applyProtection="0"/>
    <xf fontId="38" fillId="0" borderId="0" numFmtId="0" applyNumberFormat="0" applyFont="1" applyFill="0" applyBorder="0" applyProtection="0"/>
    <xf fontId="38" fillId="0" borderId="0" numFmtId="0" applyNumberFormat="0" applyFont="1" applyFill="0" applyBorder="0" applyProtection="0"/>
    <xf fontId="6" fillId="35" borderId="0" numFmtId="0" applyNumberFormat="0" applyFont="1" applyFill="1" applyBorder="0" applyProtection="0"/>
    <xf fontId="6" fillId="35" borderId="0" numFmtId="0" applyNumberFormat="0" applyFont="1" applyFill="1" applyBorder="0" applyProtection="0"/>
    <xf fontId="6" fillId="37" borderId="0" numFmtId="0" applyNumberFormat="0" applyFont="1" applyFill="1" applyBorder="0" applyProtection="0"/>
    <xf fontId="6" fillId="37" borderId="0" numFmtId="0" applyNumberFormat="0" applyFont="1" applyFill="1" applyBorder="0" applyProtection="0"/>
    <xf fontId="6" fillId="39" borderId="0" numFmtId="0" applyNumberFormat="0" applyFont="1" applyFill="1" applyBorder="0" applyProtection="0"/>
    <xf fontId="6" fillId="39" borderId="0" numFmtId="0" applyNumberFormat="0" applyFont="1" applyFill="1" applyBorder="0" applyProtection="0"/>
    <xf fontId="6" fillId="29" borderId="0" numFmtId="0" applyNumberFormat="0" applyFont="1" applyFill="1" applyBorder="0" applyProtection="0"/>
    <xf fontId="6" fillId="29" borderId="0" numFmtId="0" applyNumberFormat="0" applyFont="1" applyFill="1" applyBorder="0" applyProtection="0"/>
    <xf fontId="6" fillId="31" borderId="0" numFmtId="0" applyNumberFormat="0" applyFont="1" applyFill="1" applyBorder="0" applyProtection="0"/>
    <xf fontId="6" fillId="31" borderId="0" numFmtId="0" applyNumberFormat="0" applyFont="1" applyFill="1" applyBorder="0" applyProtection="0"/>
    <xf fontId="6" fillId="43" borderId="0" numFmtId="0" applyNumberFormat="0" applyFont="1" applyFill="1" applyBorder="0" applyProtection="0"/>
    <xf fontId="6" fillId="43" borderId="0" numFmtId="0" applyNumberFormat="0" applyFont="1" applyFill="1" applyBorder="0" applyProtection="0"/>
    <xf fontId="39" fillId="13" borderId="2" numFmtId="0" applyNumberFormat="0" applyFont="1" applyFill="1" applyBorder="1" applyProtection="0"/>
    <xf fontId="39" fillId="13" borderId="2" numFmtId="0" applyNumberFormat="0" applyFont="1" applyFill="1" applyBorder="1" applyProtection="0"/>
    <xf fontId="40" fillId="46" borderId="15" numFmtId="0" applyNumberFormat="0" applyFont="1" applyFill="1" applyBorder="1" applyProtection="0"/>
    <xf fontId="40" fillId="46" borderId="15" numFmtId="0" applyNumberFormat="0" applyFont="1" applyFill="1" applyBorder="1" applyProtection="0"/>
    <xf fontId="41" fillId="46" borderId="2" numFmtId="0" applyNumberFormat="0" applyFont="1" applyFill="1" applyBorder="1" applyProtection="0"/>
    <xf fontId="41" fillId="46" borderId="2" numFmtId="0" applyNumberFormat="0" applyFont="1" applyFill="1" applyBorder="1" applyProtection="0"/>
    <xf fontId="42" fillId="0" borderId="0" numFmtId="0" applyNumberFormat="0" applyFont="1" applyFill="0" applyBorder="0" applyProtection="0"/>
    <xf fontId="42" fillId="0" borderId="0" numFmtId="0" applyNumberFormat="0" applyFont="1" applyFill="0" applyBorder="0" applyProtection="0"/>
    <xf fontId="42" fillId="0" borderId="0" numFmtId="0" applyNumberFormat="0" applyFont="1" applyFill="0" applyBorder="0" applyProtection="0">
      <alignment vertical="top"/>
      <protection locked="0"/>
    </xf>
    <xf fontId="23" fillId="0" borderId="0" numFmtId="0" applyNumberFormat="1" applyFont="1" applyFill="1" applyBorder="1"/>
    <xf fontId="43" fillId="0" borderId="6" numFmtId="0" applyNumberFormat="0" applyFont="1" applyFill="0" applyBorder="1" applyProtection="0"/>
    <xf fontId="43" fillId="0" borderId="6" numFmtId="0" applyNumberFormat="0" applyFont="1" applyFill="0" applyBorder="1" applyProtection="0"/>
    <xf fontId="44" fillId="0" borderId="8" numFmtId="0" applyNumberFormat="0" applyFont="1" applyFill="0" applyBorder="1" applyProtection="0"/>
    <xf fontId="44" fillId="0" borderId="8" numFmtId="0" applyNumberFormat="0" applyFont="1" applyFill="0" applyBorder="1" applyProtection="0"/>
    <xf fontId="45" fillId="0" borderId="10" numFmtId="0" applyNumberFormat="0" applyFont="1" applyFill="0" applyBorder="1" applyProtection="0"/>
    <xf fontId="45" fillId="0" borderId="10" numFmtId="0" applyNumberFormat="0" applyFont="1" applyFill="0" applyBorder="1" applyProtection="0"/>
    <xf fontId="45" fillId="0" borderId="0" numFmtId="0" applyNumberFormat="0" applyFont="1" applyFill="0" applyBorder="0" applyProtection="0"/>
    <xf fontId="45" fillId="0" borderId="0" numFmtId="0" applyNumberFormat="0" applyFont="1" applyFill="0" applyBorder="0" applyProtection="0"/>
    <xf fontId="46" fillId="0" borderId="17" numFmtId="0" applyNumberFormat="0" applyFont="1" applyFill="0" applyBorder="1" applyProtection="0"/>
    <xf fontId="46" fillId="0" borderId="17" numFmtId="0" applyNumberFormat="0" applyFont="1" applyFill="0" applyBorder="1" applyProtection="0"/>
    <xf fontId="47" fillId="48" borderId="4" numFmtId="0" applyNumberFormat="0" applyFont="1" applyFill="1" applyBorder="1" applyProtection="0"/>
    <xf fontId="47" fillId="48" borderId="4" numFmtId="0" applyNumberFormat="0" applyFont="1" applyFill="1" applyBorder="1" applyProtection="0"/>
    <xf fontId="34" fillId="0" borderId="0" numFmtId="0" applyNumberFormat="0" applyFont="1" applyFill="0" applyBorder="0" applyProtection="0"/>
    <xf fontId="34" fillId="0" borderId="0" numFmtId="0" applyNumberFormat="0" applyFont="1" applyFill="0" applyBorder="0" applyProtection="0"/>
    <xf fontId="48" fillId="51" borderId="0" numFmtId="0" applyNumberFormat="0" applyFont="1" applyFill="1" applyBorder="0" applyProtection="0"/>
    <xf fontId="48" fillId="51" borderId="0" numFmtId="0" applyNumberFormat="0" applyFont="1" applyFill="1" applyBorder="0" applyProtection="0"/>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2" fillId="0" borderId="0" numFmtId="0" applyNumberFormat="1" applyFont="1" applyFill="1" applyBorder="1"/>
    <xf fontId="49" fillId="0" borderId="0" numFmtId="0" applyNumberFormat="1" applyFont="1" applyFill="1" applyBorder="1"/>
    <xf fontId="3" fillId="0" borderId="0" numFmtId="0" applyNumberFormat="1" applyFont="1" applyFill="1" applyBorder="1"/>
    <xf fontId="2"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3" fillId="0" borderId="0" numFmtId="0" applyNumberFormat="1" applyFont="1" applyFill="1" applyBorder="1"/>
    <xf fontId="3" fillId="0" borderId="0" numFmtId="0" applyNumberFormat="1" applyFont="1" applyFill="1" applyBorder="1"/>
    <xf fontId="2" fillId="0" borderId="0" numFmtId="0" applyNumberFormat="1" applyFont="1" applyFill="1" applyBorder="1"/>
    <xf fontId="3" fillId="0" borderId="0" numFmtId="0" applyNumberFormat="1" applyFont="1" applyFill="1" applyBorder="1"/>
    <xf fontId="3" fillId="0" borderId="0" numFmtId="0" applyNumberFormat="1" applyFont="1" applyFill="1" applyBorder="1"/>
    <xf fontId="0" fillId="0" borderId="0" numFmtId="0" applyNumberFormat="1" applyFont="1" applyFill="1" applyBorder="1"/>
    <xf fontId="3" fillId="0" borderId="0" numFmtId="0" applyNumberFormat="1" applyFont="1" applyFill="1" applyBorder="1"/>
    <xf fontId="3" fillId="0" borderId="0" numFmtId="0" applyNumberFormat="1" applyFont="1" applyFill="1" applyBorder="1"/>
    <xf fontId="3"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50" fillId="0" borderId="0" numFmtId="0" applyNumberFormat="1" applyFont="1" applyFill="1" applyBorder="1"/>
    <xf fontId="3" fillId="0" borderId="0" numFmtId="0" applyNumberFormat="1" applyFont="1" applyFill="1" applyBorder="1"/>
    <xf fontId="3" fillId="0" borderId="0" numFmtId="0" applyNumberFormat="1" applyFont="1" applyFill="1" applyBorder="1"/>
    <xf fontId="50" fillId="0" borderId="0" numFmtId="0" applyNumberFormat="1" applyFont="1" applyFill="1" applyBorder="1"/>
    <xf fontId="3"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2"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3"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0" fillId="0" borderId="0" numFmtId="0" applyNumberFormat="1" applyFont="1" applyFill="1" applyBorder="1"/>
    <xf fontId="51" fillId="5" borderId="0" numFmtId="0" applyNumberFormat="0" applyFont="1" applyFill="1" applyBorder="0" applyProtection="0"/>
    <xf fontId="51" fillId="5" borderId="0" numFmtId="0" applyNumberFormat="0" applyFont="1" applyFill="1" applyBorder="0" applyProtection="0"/>
    <xf fontId="52" fillId="0" borderId="0" numFmtId="0" applyNumberFormat="0" applyFont="1" applyFill="0" applyBorder="0" applyProtection="0"/>
    <xf fontId="52" fillId="0" borderId="0" numFmtId="0" applyNumberFormat="0" applyFont="1" applyFill="0" applyBorder="0" applyProtection="0"/>
    <xf fontId="2" fillId="52" borderId="13" numFmtId="0" applyNumberFormat="0" applyFont="0" applyFill="1" applyBorder="1" applyProtection="0"/>
    <xf fontId="0" fillId="52" borderId="18" numFmtId="0" applyNumberFormat="0" applyFont="0" applyFill="1" applyBorder="1" applyProtection="0"/>
    <xf fontId="0" fillId="52" borderId="18" numFmtId="0" applyNumberFormat="0" applyFont="0" applyFill="1" applyBorder="1" applyProtection="0"/>
    <xf fontId="2" fillId="52" borderId="13" numFmtId="0" applyNumberFormat="0" applyFont="0" applyFill="1" applyBorder="1" applyProtection="0"/>
    <xf fontId="23" fillId="0" borderId="0" numFmtId="9" applyNumberFormat="1" applyFont="0" applyFill="0" applyBorder="0" applyProtection="0"/>
    <xf fontId="53" fillId="0" borderId="12" numFmtId="0" applyNumberFormat="0" applyFont="1" applyFill="0" applyBorder="1" applyProtection="0"/>
    <xf fontId="53" fillId="0" borderId="12" numFmtId="0" applyNumberFormat="0" applyFont="1" applyFill="0" applyBorder="1" applyProtection="0"/>
    <xf fontId="1" fillId="0" borderId="0" numFmtId="0" applyNumberFormat="1" applyFont="1" applyFill="1" applyBorder="1"/>
    <xf fontId="54" fillId="0" borderId="0" numFmtId="0" applyNumberFormat="0" applyFont="1" applyFill="0" applyBorder="0" applyProtection="0"/>
    <xf fontId="54" fillId="0" borderId="0" numFmtId="0" applyNumberFormat="0" applyFont="1" applyFill="0" applyBorder="0" applyProtection="0"/>
    <xf fontId="23" fillId="0" borderId="0" numFmtId="161" applyNumberFormat="1" applyFont="0" applyFill="0" applyBorder="0" applyProtection="0"/>
    <xf fontId="23" fillId="0" borderId="0" numFmtId="162" applyNumberFormat="1" applyFont="0" applyFill="0" applyBorder="0" applyProtection="0"/>
    <xf fontId="23" fillId="0" borderId="0" numFmtId="163" applyNumberFormat="1" applyFont="0" applyFill="0" applyBorder="0" applyProtection="0"/>
    <xf fontId="2" fillId="0" borderId="0" numFmtId="163" applyNumberFormat="1" applyFont="0" applyFill="0" applyBorder="0" applyProtection="0"/>
    <xf fontId="55" fillId="7" borderId="0" numFmtId="0" applyNumberFormat="0" applyFont="1" applyFill="1" applyBorder="0" applyProtection="0"/>
    <xf fontId="55" fillId="7" borderId="0" numFmtId="0" applyNumberFormat="0" applyFont="1" applyFill="1" applyBorder="0" applyProtection="0"/>
  </cellStyleXfs>
  <cellXfs count="163">
    <xf fontId="0" fillId="0" borderId="0" numFmtId="0" xfId="0"/>
    <xf fontId="49" fillId="0" borderId="0" numFmtId="0" xfId="0" applyFont="1"/>
    <xf fontId="36" fillId="53" borderId="19" numFmtId="0" xfId="0" applyFont="1" applyFill="1" applyBorder="1" applyAlignment="1">
      <alignment vertical="top" wrapText="1"/>
    </xf>
    <xf fontId="56" fillId="0" borderId="0" numFmtId="0" xfId="0" applyFont="1"/>
    <xf fontId="56" fillId="0" borderId="19" numFmtId="0" xfId="0" applyFont="1" applyBorder="1" applyAlignment="1">
      <alignment horizontal="left" vertical="top" wrapText="1"/>
    </xf>
    <xf fontId="56" fillId="0" borderId="19" numFmtId="14" xfId="0" applyNumberFormat="1" applyFont="1" applyBorder="1" applyAlignment="1">
      <alignment horizontal="left" vertical="top" wrapText="1"/>
    </xf>
    <xf fontId="57" fillId="0" borderId="0" numFmtId="0" xfId="0" applyFont="1"/>
    <xf fontId="57" fillId="0" borderId="19" numFmtId="0" xfId="0" applyFont="1" applyBorder="1" applyAlignment="1">
      <alignment horizontal="left" vertical="top" wrapText="1"/>
    </xf>
    <xf fontId="57" fillId="0" borderId="19" numFmtId="14" xfId="0" applyNumberFormat="1" applyFont="1" applyBorder="1" applyAlignment="1">
      <alignment horizontal="left" vertical="top" wrapText="1"/>
    </xf>
    <xf fontId="57" fillId="0" borderId="19" numFmtId="0" xfId="0" applyFont="1" applyBorder="1"/>
    <xf fontId="58" fillId="0" borderId="0" numFmtId="0" xfId="260" applyFont="1" applyAlignment="1">
      <alignment horizontal="left" vertical="top"/>
    </xf>
    <xf fontId="58" fillId="0" borderId="0" numFmtId="0" xfId="260" applyFont="1" applyAlignment="1">
      <alignment horizontal="center" vertical="top"/>
    </xf>
    <xf fontId="58" fillId="0" borderId="0" numFmtId="0" xfId="260" applyFont="1" applyAlignment="1">
      <alignment vertical="top"/>
    </xf>
    <xf fontId="58" fillId="0" borderId="0" numFmtId="0" xfId="260" applyFont="1" applyAlignment="1">
      <alignment horizontal="left" vertical="top" wrapText="1"/>
    </xf>
    <xf fontId="58" fillId="0" borderId="0" numFmtId="164" xfId="260" applyNumberFormat="1" applyFont="1" applyAlignment="1">
      <alignment horizontal="center" vertical="center"/>
    </xf>
    <xf fontId="59" fillId="0" borderId="0" numFmtId="0" xfId="260" applyFont="1" applyAlignment="1">
      <alignment horizontal="center" vertical="center"/>
    </xf>
    <xf fontId="59" fillId="23" borderId="20" numFmtId="0" xfId="260" applyFont="1" applyFill="1" applyBorder="1" applyAlignment="1">
      <alignment horizontal="center" vertical="center" wrapText="1"/>
    </xf>
    <xf fontId="59" fillId="23" borderId="20" numFmtId="0" xfId="260" applyFont="1" applyFill="1" applyBorder="1" applyAlignment="1">
      <alignment horizontal="center" vertical="center"/>
    </xf>
    <xf fontId="59" fillId="23" borderId="20" numFmtId="0" xfId="260" applyFont="1" applyFill="1" applyBorder="1" applyAlignment="1">
      <alignment vertical="top"/>
    </xf>
    <xf fontId="59" fillId="23" borderId="20" numFmtId="0" xfId="259" applyFont="1" applyFill="1" applyBorder="1" applyAlignment="1">
      <alignment horizontal="center" vertical="center" wrapText="1"/>
    </xf>
    <xf fontId="59" fillId="54" borderId="20" numFmtId="0" xfId="260" applyFont="1" applyFill="1" applyBorder="1" applyAlignment="1">
      <alignment horizontal="center" vertical="center" wrapText="1"/>
    </xf>
    <xf fontId="59" fillId="41" borderId="20" numFmtId="0" xfId="260" applyFont="1" applyFill="1" applyBorder="1" applyAlignment="1">
      <alignment horizontal="center" vertical="center" wrapText="1"/>
    </xf>
    <xf fontId="59" fillId="55" borderId="20" numFmtId="0" xfId="260" applyFont="1" applyFill="1" applyBorder="1" applyAlignment="1">
      <alignment horizontal="center" vertical="center" wrapText="1"/>
    </xf>
    <xf fontId="59" fillId="56" borderId="20" numFmtId="0" xfId="260" applyFont="1" applyFill="1" applyBorder="1" applyAlignment="1">
      <alignment horizontal="center" vertical="center" wrapText="1"/>
    </xf>
    <xf fontId="59" fillId="56" borderId="20" numFmtId="164" xfId="260" applyNumberFormat="1" applyFont="1" applyFill="1" applyBorder="1" applyAlignment="1">
      <alignment horizontal="center" vertical="center" wrapText="1"/>
    </xf>
    <xf fontId="58" fillId="0" borderId="21" numFmtId="0" xfId="260" applyFont="1" applyBorder="1" applyAlignment="1">
      <alignment horizontal="center" vertical="top"/>
    </xf>
    <xf fontId="58" fillId="0" borderId="19" numFmtId="0" xfId="260" applyFont="1" applyBorder="1" applyAlignment="1">
      <alignment horizontal="left" vertical="top"/>
    </xf>
    <xf fontId="58" fillId="0" borderId="19" numFmtId="0" xfId="0" applyFont="1" applyBorder="1" applyAlignment="1">
      <alignment horizontal="left" vertical="top" wrapText="1"/>
    </xf>
    <xf fontId="58" fillId="57" borderId="19" numFmtId="0" xfId="260" applyFont="1" applyFill="1" applyBorder="1" applyAlignment="1">
      <alignment horizontal="left" vertical="top"/>
    </xf>
    <xf fontId="58" fillId="0" borderId="22" numFmtId="0" xfId="0" applyFont="1" applyBorder="1" applyAlignment="1">
      <alignment horizontal="left" vertical="top" wrapText="1"/>
    </xf>
    <xf fontId="58" fillId="0" borderId="19" numFmtId="0" xfId="260" applyFont="1" applyBorder="1" applyAlignment="1">
      <alignment horizontal="left" vertical="top" wrapText="1"/>
    </xf>
    <xf fontId="58" fillId="0" borderId="23" numFmtId="0" xfId="260" applyFont="1" applyBorder="1" applyAlignment="1">
      <alignment horizontal="left" vertical="top" wrapText="1"/>
    </xf>
    <xf fontId="58" fillId="0" borderId="23" numFmtId="0" xfId="260" applyFont="1" applyBorder="1" applyAlignment="1">
      <alignment horizontal="center" vertical="center" wrapText="1"/>
    </xf>
    <xf fontId="58" fillId="0" borderId="19" numFmtId="164" xfId="260" applyNumberFormat="1" applyFont="1" applyBorder="1" applyAlignment="1">
      <alignment horizontal="left" vertical="top"/>
    </xf>
    <xf fontId="58" fillId="0" borderId="19" numFmtId="0" xfId="260" applyFont="1" applyBorder="1" applyAlignment="1">
      <alignment horizontal="center" vertical="top"/>
    </xf>
    <xf fontId="58" fillId="57" borderId="0" numFmtId="0" xfId="260" applyFont="1" applyFill="1" applyAlignment="1">
      <alignment horizontal="left" vertical="top"/>
    </xf>
    <xf fontId="0" fillId="0" borderId="24" numFmtId="0" xfId="0" applyBorder="1" applyAlignment="1">
      <alignment horizontal="left" vertical="top"/>
    </xf>
    <xf fontId="58" fillId="0" borderId="24" numFmtId="0" xfId="260" applyFont="1" applyBorder="1" applyAlignment="1">
      <alignment horizontal="center" vertical="center" wrapText="1"/>
    </xf>
    <xf fontId="58" fillId="0" borderId="22" numFmtId="0" xfId="0" applyFont="1" applyBorder="1" applyAlignment="1">
      <alignment horizontal="left" vertical="top"/>
    </xf>
    <xf fontId="60" fillId="0" borderId="19" numFmtId="0" xfId="0" applyFont="1" applyBorder="1"/>
    <xf fontId="58" fillId="0" borderId="23" numFmtId="0" xfId="260" applyFont="1" applyBorder="1" applyAlignment="1">
      <alignment horizontal="center" vertical="top"/>
    </xf>
    <xf fontId="58" fillId="0" borderId="23" numFmtId="0" xfId="260" applyFont="1" applyBorder="1" applyAlignment="1">
      <alignment horizontal="left" vertical="top"/>
    </xf>
    <xf fontId="58" fillId="0" borderId="23" numFmtId="0" xfId="0" applyFont="1" applyBorder="1" applyAlignment="1">
      <alignment horizontal="left" vertical="top" wrapText="1"/>
    </xf>
    <xf fontId="58" fillId="57" borderId="23" numFmtId="0" xfId="260" applyFont="1" applyFill="1" applyBorder="1" applyAlignment="1">
      <alignment horizontal="left" vertical="top"/>
    </xf>
    <xf fontId="0" fillId="0" borderId="25" numFmtId="0" xfId="0" applyBorder="1" applyAlignment="1">
      <alignment horizontal="left" vertical="top"/>
    </xf>
    <xf fontId="58" fillId="0" borderId="23" numFmtId="164" xfId="260" applyNumberFormat="1" applyFont="1" applyBorder="1" applyAlignment="1">
      <alignment horizontal="left" vertical="top"/>
    </xf>
    <xf fontId="58" fillId="0" borderId="26" numFmtId="0" xfId="260" applyFont="1" applyBorder="1" applyAlignment="1">
      <alignment horizontal="left" vertical="top"/>
    </xf>
    <xf fontId="58" fillId="0" borderId="27" numFmtId="0" xfId="260" applyFont="1" applyBorder="1" applyAlignment="1">
      <alignment horizontal="center" vertical="top"/>
    </xf>
    <xf fontId="58" fillId="0" borderId="27" numFmtId="0" xfId="260" applyFont="1" applyBorder="1" applyAlignment="1">
      <alignment horizontal="left" vertical="top"/>
    </xf>
    <xf fontId="58" fillId="0" borderId="27" numFmtId="0" xfId="0" applyFont="1" applyBorder="1" applyAlignment="1">
      <alignment horizontal="left" vertical="top" wrapText="1"/>
    </xf>
    <xf fontId="58" fillId="57" borderId="28" numFmtId="0" xfId="260" applyFont="1" applyFill="1" applyBorder="1" applyAlignment="1">
      <alignment horizontal="left" vertical="top"/>
    </xf>
    <xf fontId="58" fillId="0" borderId="28" numFmtId="0" xfId="260" applyFont="1" applyBorder="1" applyAlignment="1">
      <alignment horizontal="left" vertical="top"/>
    </xf>
    <xf fontId="58" fillId="0" borderId="29" numFmtId="0" xfId="0" applyFont="1" applyBorder="1" applyAlignment="1">
      <alignment horizontal="left" vertical="top"/>
    </xf>
    <xf fontId="58" fillId="0" borderId="30" numFmtId="0" xfId="260" applyFont="1" applyBorder="1" applyAlignment="1">
      <alignment horizontal="left" vertical="top" wrapText="1"/>
    </xf>
    <xf fontId="58" fillId="0" borderId="31" numFmtId="0" xfId="260" applyFont="1" applyBorder="1" applyAlignment="1">
      <alignment horizontal="left" vertical="top"/>
    </xf>
    <xf fontId="58" fillId="0" borderId="30" numFmtId="0" xfId="260" applyFont="1" applyBorder="1" applyAlignment="1">
      <alignment horizontal="center" vertical="center" wrapText="1"/>
    </xf>
    <xf fontId="58" fillId="0" borderId="32" numFmtId="0" xfId="0" applyFont="1" applyBorder="1" applyAlignment="1">
      <alignment horizontal="left" vertical="top" wrapText="1"/>
    </xf>
    <xf fontId="58" fillId="0" borderId="33" numFmtId="0" xfId="0" applyFont="1" applyBorder="1" applyAlignment="1">
      <alignment horizontal="left" vertical="top"/>
    </xf>
    <xf fontId="58" fillId="0" borderId="24" numFmtId="0" xfId="260" applyFont="1" applyBorder="1" applyAlignment="1">
      <alignment horizontal="left" vertical="top" wrapText="1"/>
    </xf>
    <xf fontId="58" fillId="0" borderId="34" numFmtId="0" xfId="260" applyFont="1" applyBorder="1" applyAlignment="1">
      <alignment horizontal="left" vertical="top"/>
    </xf>
    <xf fontId="58" fillId="0" borderId="35" numFmtId="0" xfId="260" applyFont="1" applyBorder="1" applyAlignment="1">
      <alignment horizontal="left" vertical="top"/>
    </xf>
    <xf fontId="58" fillId="0" borderId="36" numFmtId="0" xfId="260" applyFont="1" applyBorder="1" applyAlignment="1">
      <alignment horizontal="center" vertical="top"/>
    </xf>
    <xf fontId="58" fillId="0" borderId="25" numFmtId="0" xfId="0" applyFont="1" applyBorder="1" applyAlignment="1">
      <alignment horizontal="left" vertical="top" wrapText="1"/>
    </xf>
    <xf fontId="58" fillId="57" borderId="34" numFmtId="0" xfId="260" applyFont="1" applyFill="1" applyBorder="1" applyAlignment="1">
      <alignment horizontal="left" vertical="top"/>
    </xf>
    <xf fontId="58" fillId="0" borderId="34" numFmtId="0" xfId="0" applyFont="1" applyBorder="1" applyAlignment="1">
      <alignment horizontal="left" vertical="top" wrapText="1"/>
    </xf>
    <xf fontId="58" fillId="0" borderId="37" numFmtId="0" xfId="0" applyFont="1" applyBorder="1" applyAlignment="1">
      <alignment horizontal="left" vertical="top"/>
    </xf>
    <xf fontId="58" fillId="0" borderId="25" numFmtId="0" xfId="260" applyFont="1" applyBorder="1" applyAlignment="1">
      <alignment horizontal="left" vertical="top" wrapText="1"/>
    </xf>
    <xf fontId="58" fillId="0" borderId="25" numFmtId="0" xfId="260" applyFont="1" applyBorder="1" applyAlignment="1">
      <alignment horizontal="center" vertical="center" wrapText="1"/>
    </xf>
    <xf fontId="58" fillId="0" borderId="34" numFmtId="164" xfId="260" applyNumberFormat="1" applyFont="1" applyBorder="1" applyAlignment="1">
      <alignment horizontal="left" vertical="top"/>
    </xf>
    <xf fontId="58" fillId="0" borderId="32" numFmtId="0" xfId="260" applyFont="1" applyBorder="1" applyAlignment="1">
      <alignment horizontal="center" vertical="top"/>
    </xf>
    <xf fontId="58" fillId="0" borderId="32" numFmtId="0" xfId="260" applyFont="1" applyBorder="1" applyAlignment="1">
      <alignment horizontal="left" vertical="top"/>
    </xf>
    <xf fontId="58" fillId="57" borderId="32" numFmtId="0" xfId="260" applyFont="1" applyFill="1" applyBorder="1" applyAlignment="1">
      <alignment horizontal="left" vertical="top"/>
    </xf>
    <xf fontId="0" fillId="0" borderId="24" numFmtId="0" xfId="0" applyBorder="1" applyAlignment="1">
      <alignment horizontal="left" vertical="top" wrapText="1"/>
    </xf>
    <xf fontId="58" fillId="0" borderId="34" numFmtId="0" xfId="260" applyFont="1" applyBorder="1" applyAlignment="1">
      <alignment horizontal="center" vertical="top"/>
    </xf>
    <xf fontId="58" fillId="0" borderId="34" numFmtId="0" xfId="260" applyFont="1" applyBorder="1" applyAlignment="1">
      <alignment horizontal="left" vertical="top" wrapText="1"/>
    </xf>
    <xf fontId="0" fillId="0" borderId="25" numFmtId="0" xfId="0" applyBorder="1" applyAlignment="1">
      <alignment horizontal="left" vertical="top" wrapText="1"/>
    </xf>
    <xf fontId="58" fillId="0" borderId="37" numFmtId="0" xfId="0" applyFont="1" applyBorder="1" applyAlignment="1">
      <alignment horizontal="left" vertical="top" wrapText="1"/>
    </xf>
    <xf fontId="58" fillId="0" borderId="25" numFmtId="0" xfId="260" applyFont="1" applyBorder="1" applyAlignment="1">
      <alignment horizontal="left" vertical="top"/>
    </xf>
    <xf fontId="60" fillId="0" borderId="32" numFmtId="0" xfId="0" applyFont="1" applyBorder="1"/>
    <xf fontId="58" fillId="0" borderId="30" numFmtId="0" xfId="260" applyFont="1" applyBorder="1" applyAlignment="1">
      <alignment horizontal="left" vertical="top"/>
    </xf>
    <xf fontId="58" fillId="0" borderId="32" numFmtId="164" xfId="260" applyNumberFormat="1" applyFont="1" applyBorder="1" applyAlignment="1">
      <alignment horizontal="left" vertical="top"/>
    </xf>
    <xf fontId="58" fillId="0" borderId="24" numFmtId="0" xfId="260" applyFont="1" applyBorder="1" applyAlignment="1">
      <alignment horizontal="left" vertical="top"/>
    </xf>
    <xf fontId="60" fillId="0" borderId="34" numFmtId="0" xfId="0" applyFont="1" applyBorder="1"/>
    <xf fontId="0" fillId="0" borderId="24" numFmtId="0" xfId="0" applyBorder="1" applyAlignment="1">
      <alignment horizontal="center" vertical="center" wrapText="1"/>
    </xf>
    <xf fontId="58" fillId="0" borderId="25" numFmtId="0" xfId="260" applyFont="1" applyBorder="1" applyAlignment="1">
      <alignment horizontal="center" vertical="top"/>
    </xf>
    <xf fontId="58" fillId="57" borderId="25" numFmtId="0" xfId="260" applyFont="1" applyFill="1" applyBorder="1" applyAlignment="1">
      <alignment horizontal="left" vertical="top"/>
    </xf>
    <xf fontId="0" fillId="0" borderId="25" numFmtId="0" xfId="0" applyBorder="1" applyAlignment="1">
      <alignment horizontal="center" vertical="center" wrapText="1"/>
    </xf>
    <xf fontId="58" fillId="0" borderId="25" numFmtId="0" xfId="260" applyFont="1" applyBorder="1" applyAlignment="1" quotePrefix="1">
      <alignment horizontal="left" vertical="top"/>
    </xf>
    <xf fontId="58" fillId="0" borderId="25" numFmtId="164" xfId="260" applyNumberFormat="1" applyFont="1" applyBorder="1" applyAlignment="1">
      <alignment horizontal="left" vertical="top"/>
    </xf>
    <xf fontId="0" fillId="0" borderId="32" numFmtId="0" xfId="0" applyBorder="1" applyAlignment="1">
      <alignment horizontal="left" vertical="top" wrapText="1"/>
    </xf>
    <xf fontId="0" fillId="0" borderId="32" numFmtId="0" xfId="0" applyBorder="1" applyAlignment="1">
      <alignment horizontal="left" vertical="top"/>
    </xf>
    <xf fontId="58" fillId="0" borderId="19" numFmtId="0" xfId="260" applyFont="1" applyBorder="1" applyAlignment="1" quotePrefix="1">
      <alignment horizontal="left" vertical="top"/>
    </xf>
    <xf fontId="58" fillId="0" borderId="19" numFmtId="0" xfId="0" applyFont="1" applyBorder="1" applyAlignment="1">
      <alignment horizontal="left" vertical="top"/>
    </xf>
    <xf fontId="3" fillId="0" borderId="19" numFmtId="0" xfId="11585" applyFont="1" applyBorder="1" applyAlignment="1" quotePrefix="1">
      <alignment horizontal="left" vertical="top"/>
    </xf>
    <xf fontId="58" fillId="0" borderId="38" numFmtId="0" xfId="260" applyFont="1" applyBorder="1" applyAlignment="1">
      <alignment horizontal="left" vertical="top"/>
    </xf>
    <xf fontId="49" fillId="0" borderId="19" numFmtId="0" xfId="0" applyFont="1" applyBorder="1" applyAlignment="1">
      <alignment horizontal="left" vertical="top"/>
    </xf>
    <xf fontId="3" fillId="0" borderId="19" numFmtId="0" xfId="0" applyFont="1" applyBorder="1" applyAlignment="1" quotePrefix="1">
      <alignment horizontal="left" vertical="top"/>
    </xf>
    <xf fontId="58" fillId="0" borderId="0" numFmtId="0" xfId="14677" applyFont="1"/>
    <xf fontId="58" fillId="0" borderId="0" numFmtId="0" xfId="14677" applyFont="1" applyAlignment="1">
      <alignment horizontal="left" vertical="top" wrapText="1"/>
    </xf>
    <xf fontId="58" fillId="58" borderId="0" numFmtId="0" xfId="14677" applyFont="1" applyFill="1" applyAlignment="1">
      <alignment horizontal="center" vertical="center"/>
    </xf>
    <xf fontId="59" fillId="53" borderId="39" numFmtId="0" xfId="14677" applyFont="1" applyFill="1" applyBorder="1" applyAlignment="1">
      <alignment horizontal="center" vertical="center" wrapText="1"/>
    </xf>
    <xf fontId="59" fillId="53" borderId="40" numFmtId="0" xfId="14677" applyFont="1" applyFill="1" applyBorder="1" applyAlignment="1">
      <alignment horizontal="center" vertical="center" wrapText="1"/>
    </xf>
    <xf fontId="59" fillId="53" borderId="41" numFmtId="0" xfId="14677" applyFont="1" applyFill="1" applyBorder="1" applyAlignment="1">
      <alignment horizontal="center" vertical="center" wrapText="1"/>
    </xf>
    <xf fontId="58" fillId="0" borderId="0" numFmtId="0" xfId="14677" applyFont="1" applyAlignment="1">
      <alignment horizontal="center" vertical="center" wrapText="1"/>
    </xf>
    <xf fontId="59" fillId="53" borderId="24" numFmtId="0" xfId="14677" applyFont="1" applyFill="1" applyBorder="1" applyAlignment="1">
      <alignment horizontal="center" vertical="center" wrapText="1"/>
    </xf>
    <xf fontId="59" fillId="53" borderId="23" numFmtId="0" xfId="14677" applyFont="1" applyFill="1" applyBorder="1" applyAlignment="1">
      <alignment horizontal="center" vertical="center" wrapText="1"/>
    </xf>
    <xf fontId="58" fillId="0" borderId="0" numFmtId="0" xfId="14680" applyFont="1"/>
    <xf fontId="58" fillId="0" borderId="0" numFmtId="0" xfId="0" applyFont="1" applyAlignment="1">
      <alignment horizontal="left" vertical="top"/>
    </xf>
    <xf fontId="0" fillId="0" borderId="0" numFmtId="0" xfId="0" applyAlignment="1">
      <alignment horizontal="left" vertical="top"/>
    </xf>
    <xf fontId="58" fillId="0" borderId="19" numFmtId="0" xfId="14677" applyFont="1" applyBorder="1" applyAlignment="1">
      <alignment horizontal="left" vertical="top"/>
    </xf>
    <xf fontId="58" fillId="57" borderId="0" numFmtId="0" xfId="0" applyFont="1" applyFill="1" applyAlignment="1">
      <alignment horizontal="left" vertical="top"/>
    </xf>
    <xf fontId="61" fillId="57" borderId="0" numFmtId="0" xfId="0" applyFont="1" applyFill="1" applyAlignment="1">
      <alignment horizontal="left" vertical="top"/>
    </xf>
    <xf fontId="58" fillId="0" borderId="0" numFmtId="0" xfId="0" applyFont="1" applyAlignment="1">
      <alignment horizontal="left" vertical="top" wrapText="1"/>
    </xf>
    <xf fontId="2" fillId="0" borderId="0" numFmtId="0" xfId="14677" applyFont="1"/>
    <xf fontId="2" fillId="58" borderId="0" numFmtId="0" xfId="14677" applyFont="1" applyFill="1" applyAlignment="1">
      <alignment horizontal="center" vertical="center"/>
    </xf>
    <xf fontId="59" fillId="53" borderId="32" numFmtId="0" xfId="14677" applyFont="1" applyFill="1" applyBorder="1" applyAlignment="1">
      <alignment horizontal="center" vertical="center" wrapText="1"/>
    </xf>
    <xf fontId="49" fillId="0" borderId="0" numFmtId="0" xfId="0" applyFont="1" applyAlignment="1">
      <alignment horizontal="left" vertical="top"/>
    </xf>
    <xf fontId="2" fillId="0" borderId="0" numFmtId="0" xfId="14677" applyFont="1" applyAlignment="1">
      <alignment horizontal="left" vertical="top"/>
    </xf>
    <xf fontId="0" fillId="0" borderId="19" numFmtId="0" xfId="0" applyBorder="1"/>
    <xf fontId="58" fillId="0" borderId="29" numFmtId="0" xfId="0" applyFont="1" applyBorder="1" applyAlignment="1">
      <alignment horizontal="left" vertical="top" wrapText="1"/>
    </xf>
    <xf fontId="58" fillId="0" borderId="29" numFmtId="0" xfId="14680" applyFont="1" applyBorder="1" applyAlignment="1">
      <alignment horizontal="left" vertical="top" wrapText="1"/>
    </xf>
    <xf fontId="58" fillId="0" borderId="0" numFmtId="0" xfId="14680" applyFont="1" applyAlignment="1">
      <alignment horizontal="left" vertical="top" wrapText="1"/>
    </xf>
    <xf fontId="58" fillId="0" borderId="35" numFmtId="0" xfId="14677" applyFont="1" applyBorder="1"/>
    <xf fontId="58" fillId="0" borderId="35" numFmtId="0" xfId="0" applyFont="1" applyBorder="1" applyAlignment="1">
      <alignment horizontal="left" vertical="top" wrapText="1"/>
    </xf>
    <xf fontId="58" fillId="0" borderId="35" numFmtId="0" xfId="0" applyFont="1" applyBorder="1" applyAlignment="1">
      <alignment horizontal="left" vertical="top"/>
    </xf>
    <xf fontId="58" fillId="0" borderId="35" numFmtId="0" xfId="14680" applyFont="1" applyBorder="1"/>
    <xf fontId="58" fillId="0" borderId="19" numFmtId="0" xfId="13188" applyFont="1" applyBorder="1" applyAlignment="1">
      <alignment horizontal="left" vertical="top" wrapText="1"/>
    </xf>
    <xf fontId="58" fillId="0" borderId="0" numFmtId="0" xfId="13188" applyFont="1" applyAlignment="1">
      <alignment horizontal="left" vertical="top" wrapText="1"/>
    </xf>
    <xf fontId="62" fillId="0" borderId="19" numFmtId="0" xfId="0" applyFont="1" applyBorder="1" applyAlignment="1">
      <alignment horizontal="center" vertical="top" wrapText="1"/>
    </xf>
    <xf fontId="62" fillId="0" borderId="19" numFmtId="0" xfId="0" applyFont="1" applyBorder="1" applyAlignment="1">
      <alignment horizontal="center" vertical="top"/>
    </xf>
    <xf fontId="62" fillId="0" borderId="19" numFmtId="0" xfId="0" applyFont="1" applyBorder="1" applyAlignment="1">
      <alignment horizontal="center"/>
    </xf>
    <xf fontId="60" fillId="0" borderId="0" numFmtId="0" xfId="0" applyFont="1"/>
    <xf fontId="60" fillId="0" borderId="19" numFmtId="0" xfId="0" applyFont="1" applyBorder="1" applyAlignment="1">
      <alignment horizontal="left" vertical="center"/>
    </xf>
    <xf fontId="60" fillId="0" borderId="19" numFmtId="0" xfId="0" applyFont="1" applyBorder="1" applyAlignment="1">
      <alignment horizontal="left" vertical="top"/>
    </xf>
    <xf fontId="63" fillId="0" borderId="19" numFmtId="0" xfId="0" applyFont="1" applyBorder="1" applyAlignment="1">
      <alignment vertical="center" wrapText="1"/>
    </xf>
    <xf fontId="60" fillId="0" borderId="19" numFmtId="0" xfId="0" applyFont="1" applyBorder="1" applyAlignment="1">
      <alignment horizontal="center" vertical="center"/>
    </xf>
    <xf fontId="59" fillId="53" borderId="19" numFmtId="0" xfId="14677" applyFont="1" applyFill="1" applyBorder="1" applyAlignment="1">
      <alignment horizontal="center" vertical="center" wrapText="1"/>
    </xf>
    <xf fontId="59" fillId="53" borderId="19" numFmtId="0" xfId="14677" applyFont="1" applyFill="1" applyBorder="1" applyAlignment="1">
      <alignment horizontal="left" vertical="top" wrapText="1"/>
    </xf>
    <xf fontId="35" fillId="53" borderId="19" numFmtId="0" xfId="0" applyFont="1" applyFill="1" applyBorder="1"/>
    <xf fontId="60" fillId="57" borderId="19" numFmtId="0" xfId="0" applyFont="1" applyFill="1" applyBorder="1" applyAlignment="1">
      <alignment horizontal="left" vertical="top"/>
    </xf>
    <xf fontId="58" fillId="0" borderId="0" numFmtId="0" xfId="0" applyFont="1" applyProtection="1">
      <protection locked="0"/>
    </xf>
    <xf fontId="58" fillId="0" borderId="0" numFmtId="0" xfId="0" applyFont="1" applyAlignment="1" applyProtection="1">
      <alignment wrapText="1"/>
      <protection locked="0"/>
    </xf>
    <xf fontId="58" fillId="0" borderId="0" numFmtId="0" xfId="0" applyFont="1" applyAlignment="1" applyProtection="1">
      <alignment vertical="center"/>
      <protection locked="0"/>
    </xf>
    <xf fontId="58" fillId="56" borderId="19" numFmtId="0" xfId="0" applyFont="1" applyFill="1" applyBorder="1" applyAlignment="1" applyProtection="1">
      <alignment horizontal="center" vertical="center"/>
      <protection locked="0"/>
    </xf>
    <xf fontId="58" fillId="56" borderId="19" numFmtId="0" xfId="0" applyFont="1" applyFill="1" applyBorder="1" applyAlignment="1" applyProtection="1">
      <alignment horizontal="center" vertical="center" wrapText="1"/>
      <protection locked="0"/>
    </xf>
    <xf fontId="58" fillId="56" borderId="24" numFmtId="0" xfId="0" applyFont="1" applyFill="1" applyBorder="1" applyAlignment="1" applyProtection="1">
      <alignment horizontal="center" vertical="center" wrapText="1"/>
      <protection locked="0"/>
    </xf>
    <xf fontId="58" fillId="56" borderId="24" numFmtId="0" xfId="0" applyFont="1" applyFill="1" applyBorder="1" applyAlignment="1" applyProtection="1">
      <alignment horizontal="center" vertical="center"/>
      <protection locked="0"/>
    </xf>
    <xf fontId="64" fillId="0" borderId="19" numFmtId="0" xfId="0" applyFont="1" applyBorder="1" applyAlignment="1" applyProtection="1">
      <alignment wrapText="1"/>
      <protection locked="0"/>
    </xf>
    <xf fontId="58" fillId="0" borderId="19" numFmtId="0" xfId="0" applyFont="1" applyBorder="1" applyProtection="1">
      <protection locked="0"/>
    </xf>
    <xf fontId="64" fillId="0" borderId="23" numFmtId="0" xfId="0" applyFont="1" applyBorder="1" applyAlignment="1" applyProtection="1">
      <alignment wrapText="1"/>
      <protection locked="0"/>
    </xf>
    <xf fontId="64" fillId="0" borderId="23" numFmtId="0" xfId="0" applyFont="1" applyBorder="1" applyAlignment="1" applyProtection="1">
      <alignment horizontal="left" vertical="top" wrapText="1"/>
      <protection locked="0"/>
    </xf>
    <xf fontId="58" fillId="0" borderId="19" numFmtId="14" xfId="0" applyNumberFormat="1" applyFont="1" applyBorder="1" applyProtection="1">
      <protection locked="0"/>
    </xf>
    <xf fontId="64" fillId="0" borderId="19" numFmtId="0" xfId="0" applyFont="1" applyBorder="1" applyAlignment="1" applyProtection="1">
      <alignment horizontal="left" vertical="top" wrapText="1"/>
      <protection locked="0"/>
    </xf>
    <xf fontId="64" fillId="0" borderId="23" numFmtId="0" xfId="0" applyFont="1" applyBorder="1" applyAlignment="1" applyProtection="1" quotePrefix="1">
      <alignment horizontal="left" vertical="top" wrapText="1"/>
      <protection locked="0"/>
    </xf>
    <xf fontId="64" fillId="0" borderId="19" numFmtId="0" xfId="0" applyFont="1" applyBorder="1" applyAlignment="1" applyProtection="1">
      <alignment vertical="top" wrapText="1"/>
      <protection locked="0"/>
    </xf>
    <xf fontId="64" fillId="0" borderId="23" numFmtId="0" xfId="0" applyFont="1" applyBorder="1" applyAlignment="1" applyProtection="1" quotePrefix="1">
      <alignment wrapText="1"/>
      <protection locked="0"/>
    </xf>
    <xf fontId="64" fillId="0" borderId="23" numFmtId="0" xfId="0" applyFont="1" applyBorder="1" applyAlignment="1" applyProtection="1">
      <alignment vertical="top" wrapText="1"/>
      <protection locked="0"/>
    </xf>
    <xf fontId="58" fillId="0" borderId="23" numFmtId="14" xfId="0" applyNumberFormat="1" applyFont="1" applyBorder="1" applyProtection="1">
      <protection locked="0"/>
    </xf>
    <xf fontId="58" fillId="0" borderId="23" numFmtId="0" xfId="0" applyFont="1" applyBorder="1" applyProtection="1">
      <protection locked="0"/>
    </xf>
    <xf fontId="64" fillId="0" borderId="23" numFmtId="0" xfId="0" applyFont="1" applyBorder="1" applyAlignment="1" applyProtection="1" quotePrefix="1">
      <alignment vertical="top" wrapText="1"/>
      <protection locked="0"/>
    </xf>
    <xf fontId="11" fillId="59" borderId="42" numFmtId="0" xfId="0" applyFont="1" applyFill="1" applyBorder="1"/>
    <xf fontId="0" fillId="53" borderId="43" numFmtId="0" xfId="0" applyFill="1" applyBorder="1" applyAlignment="1">
      <alignment horizontal="left"/>
    </xf>
    <xf fontId="0" fillId="0" borderId="43" numFmtId="0" xfId="0" applyBorder="1"/>
  </cellXfs>
  <cellStyles count="59808">
    <cellStyle name="_12-8" xfId="1"/>
    <cellStyle name="_344_4_26" xfId="2"/>
    <cellStyle name="_344_4_37" xfId="3"/>
    <cellStyle name="_344_4_38" xfId="4"/>
    <cellStyle name="_Раздел 12" xfId="5"/>
    <cellStyle name="_Таблица для УРФ" xfId="6"/>
    <cellStyle name="_Таблица для УРФ_fMSFO" xfId="7"/>
    <cellStyle name="_Таблица для УРФ_form_07-5043" xfId="8"/>
    <cellStyle name="_Таблица для УРФ_tab3" xfId="9"/>
    <cellStyle name="_Таблица для УРФ_tab4" xfId="10"/>
    <cellStyle name="_Таблица для УРФ_tab5" xfId="11"/>
    <cellStyle name="_Таблица для УРФ_tab6" xfId="12"/>
    <cellStyle name="_Таблица для УРФ_tab7" xfId="13"/>
    <cellStyle name="_Таблица для УРФ_Книга2" xfId="14"/>
    <cellStyle name="_Таблица для УРФ_отчет по труду" xfId="15"/>
    <cellStyle name="_Таблица для УРФ_Страхование 11 6" xfId="16"/>
    <cellStyle name="_Таблица для УРФ_Форма 7.43 (март 2009)" xfId="17"/>
    <cellStyle name="_ф.7.79" xfId="18"/>
    <cellStyle name="_ф.7.79_fMSFO" xfId="19"/>
    <cellStyle name="_ф.7.79_form_07-5043" xfId="20"/>
    <cellStyle name="_ф.7.79_tab3" xfId="21"/>
    <cellStyle name="_ф.7.79_tab4" xfId="22"/>
    <cellStyle name="_ф.7.79_tab5" xfId="23"/>
    <cellStyle name="_ф.7.79_tab6" xfId="24"/>
    <cellStyle name="_ф.7.79_tab7" xfId="25"/>
    <cellStyle name="_ф.7.79_Книга2" xfId="26"/>
    <cellStyle name="_ф.7.79_отчет по труду" xfId="27"/>
    <cellStyle name="_ф.7.79_Страхование 11 6" xfId="28"/>
    <cellStyle name="_ф.7.79_Форма 7 30 (3)" xfId="29"/>
    <cellStyle name="_ф.7.79_Форма 7.43 (март 2009)" xfId="30"/>
    <cellStyle name="_ф.7.797.807.817.82" xfId="31"/>
    <cellStyle name="_ф.7.797.807.817.82_fMSFO" xfId="32"/>
    <cellStyle name="_ф.7.797.807.817.82_form_07-5043" xfId="33"/>
    <cellStyle name="_ф.7.797.807.817.82_tab3" xfId="34"/>
    <cellStyle name="_ф.7.797.807.817.82_tab4" xfId="35"/>
    <cellStyle name="_ф.7.797.807.817.82_tab5" xfId="36"/>
    <cellStyle name="_ф.7.797.807.817.82_tab6" xfId="37"/>
    <cellStyle name="_ф.7.797.807.817.82_tab7" xfId="38"/>
    <cellStyle name="_ф.7.797.807.817.82_Книга2" xfId="39"/>
    <cellStyle name="_ф.7.797.807.817.82_отчет по труду" xfId="40"/>
    <cellStyle name="_ф.7.797.807.817.82_Страхование 11 6" xfId="41"/>
    <cellStyle name="_ф.7.797.807.817.82_Форма 7 30 (3)" xfId="42"/>
    <cellStyle name="_ф.7.797.807.817.82_Форма 7.43 (март 2009)" xfId="43"/>
    <cellStyle name="_Формы для 7 стандарта 9" xfId="44"/>
    <cellStyle name="_Формы для 7 стандарта 9_344_4_34" xfId="45"/>
    <cellStyle name="_Формы для 7 стандарта 9_344_4_36" xfId="46"/>
    <cellStyle name="_Формы для 7 стандарта 9_fMSFO" xfId="47"/>
    <cellStyle name="_Формы для 7 стандарта 9_form_07-5043" xfId="48"/>
    <cellStyle name="_Формы для 7 стандарта 9_tab3" xfId="49"/>
    <cellStyle name="_Формы для 7 стандарта 9_tab4" xfId="50"/>
    <cellStyle name="_Формы для 7 стандарта 9_tab5" xfId="51"/>
    <cellStyle name="_Формы для 7 стандарта 9_tab6" xfId="52"/>
    <cellStyle name="_Формы для 7 стандарта 9_tab7" xfId="53"/>
    <cellStyle name="_Формы для 7 стандарта 9_Книга2" xfId="54"/>
    <cellStyle name="_Формы для 7 стандарта 9_Макеты формы на 2009" xfId="55"/>
    <cellStyle name="_Формы для 7 стандарта 9_Макеты формы на 2010 печать А3" xfId="56"/>
    <cellStyle name="_Формы для 7 стандарта 9_отчет по труду" xfId="57"/>
    <cellStyle name="_Шаблон 01.07.08" xfId="58"/>
    <cellStyle name="_Шаблон01-12-07" xfId="59"/>
    <cellStyle name="20% - Accent1" xfId="60"/>
    <cellStyle name="20% - Accent1 2" xfId="61"/>
    <cellStyle name="20% - Accent1 3" xfId="62"/>
    <cellStyle name="20% - Accent2" xfId="63"/>
    <cellStyle name="20% - Accent2 2" xfId="64"/>
    <cellStyle name="20% - Accent2 3" xfId="65"/>
    <cellStyle name="20% - Accent3" xfId="66"/>
    <cellStyle name="20% - Accent3 2" xfId="67"/>
    <cellStyle name="20% - Accent3 3" xfId="68"/>
    <cellStyle name="20% - Accent4" xfId="69"/>
    <cellStyle name="20% - Accent4 2" xfId="70"/>
    <cellStyle name="20% - Accent4 3" xfId="71"/>
    <cellStyle name="20% - Accent5" xfId="72"/>
    <cellStyle name="20% - Accent5 2" xfId="73"/>
    <cellStyle name="20% - Accent5 3" xfId="74"/>
    <cellStyle name="20% - Accent6" xfId="75"/>
    <cellStyle name="20% - Accent6 2" xfId="76"/>
    <cellStyle name="20% - Accent6 3" xfId="77"/>
    <cellStyle name="20% - Акцент1 2" xfId="78"/>
    <cellStyle name="20% - Акцент1 2 2" xfId="79"/>
    <cellStyle name="20% - Акцент1 3" xfId="80"/>
    <cellStyle name="20% - Акцент2 2" xfId="81"/>
    <cellStyle name="20% - Акцент2 2 2" xfId="82"/>
    <cellStyle name="20% - Акцент2 3" xfId="83"/>
    <cellStyle name="20% - Акцент3 2" xfId="84"/>
    <cellStyle name="20% - Акцент3 2 2" xfId="85"/>
    <cellStyle name="20% - Акцент3 3" xfId="86"/>
    <cellStyle name="20% - Акцент4 2" xfId="87"/>
    <cellStyle name="20% - Акцент4 2 2" xfId="88"/>
    <cellStyle name="20% - Акцент4 3" xfId="89"/>
    <cellStyle name="20% - Акцент5 2" xfId="90"/>
    <cellStyle name="20% - Акцент5 2 2" xfId="91"/>
    <cellStyle name="20% - Акцент5 3" xfId="92"/>
    <cellStyle name="20% - Акцент6 2" xfId="93"/>
    <cellStyle name="20% - Акцент6 2 2" xfId="94"/>
    <cellStyle name="20% - Акцент6 3" xfId="95"/>
    <cellStyle name="40% - Accent1" xfId="96"/>
    <cellStyle name="40% - Accent1 2" xfId="97"/>
    <cellStyle name="40% - Accent1 3" xfId="98"/>
    <cellStyle name="40% - Accent2" xfId="99"/>
    <cellStyle name="40% - Accent2 2" xfId="100"/>
    <cellStyle name="40% - Accent2 3" xfId="101"/>
    <cellStyle name="40% - Accent3" xfId="102"/>
    <cellStyle name="40% - Accent3 2" xfId="103"/>
    <cellStyle name="40% - Accent3 3" xfId="104"/>
    <cellStyle name="40% - Accent4" xfId="105"/>
    <cellStyle name="40% - Accent4 2" xfId="106"/>
    <cellStyle name="40% - Accent4 3" xfId="107"/>
    <cellStyle name="40% - Accent5" xfId="108"/>
    <cellStyle name="40% - Accent5 2" xfId="109"/>
    <cellStyle name="40% - Accent5 3" xfId="110"/>
    <cellStyle name="40% - Accent6" xfId="111"/>
    <cellStyle name="40% - Accent6 2" xfId="112"/>
    <cellStyle name="40% - Accent6 3" xfId="113"/>
    <cellStyle name="40% - Акцент1 2" xfId="114"/>
    <cellStyle name="40% - Акцент1 2 2" xfId="115"/>
    <cellStyle name="40% - Акцент1 3" xfId="116"/>
    <cellStyle name="40% - Акцент2 2" xfId="117"/>
    <cellStyle name="40% - Акцент2 2 2" xfId="118"/>
    <cellStyle name="40% - Акцент2 3" xfId="119"/>
    <cellStyle name="40% - Акцент3 2" xfId="120"/>
    <cellStyle name="40% - Акцент3 2 2" xfId="121"/>
    <cellStyle name="40% - Акцент3 3" xfId="122"/>
    <cellStyle name="40% - Акцент4 2" xfId="123"/>
    <cellStyle name="40% - Акцент4 2 2" xfId="124"/>
    <cellStyle name="40% - Акцент4 3" xfId="125"/>
    <cellStyle name="40% - Акцент5 2" xfId="126"/>
    <cellStyle name="40% - Акцент5 2 2" xfId="127"/>
    <cellStyle name="40% - Акцент5 3" xfId="128"/>
    <cellStyle name="40% - Акцент6 2" xfId="129"/>
    <cellStyle name="40% - Акцент6 2 2" xfId="130"/>
    <cellStyle name="40% - Акцент6 3" xfId="131"/>
    <cellStyle name="60% - Accent1" xfId="132"/>
    <cellStyle name="60% - Accent1 2" xfId="133"/>
    <cellStyle name="60% - Accent1 3" xfId="134"/>
    <cellStyle name="60% - Accent2" xfId="135"/>
    <cellStyle name="60% - Accent2 2" xfId="136"/>
    <cellStyle name="60% - Accent2 3" xfId="137"/>
    <cellStyle name="60% - Accent3" xfId="138"/>
    <cellStyle name="60% - Accent3 2" xfId="139"/>
    <cellStyle name="60% - Accent3 3" xfId="140"/>
    <cellStyle name="60% - Accent4" xfId="141"/>
    <cellStyle name="60% - Accent4 2" xfId="142"/>
    <cellStyle name="60% - Accent4 3" xfId="143"/>
    <cellStyle name="60% - Accent5" xfId="144"/>
    <cellStyle name="60% - Accent5 2" xfId="145"/>
    <cellStyle name="60% - Accent5 3" xfId="146"/>
    <cellStyle name="60% - Accent6" xfId="147"/>
    <cellStyle name="60% - Accent6 2" xfId="148"/>
    <cellStyle name="60% - Accent6 3" xfId="149"/>
    <cellStyle name="60% - Акцент1 2" xfId="150"/>
    <cellStyle name="60% - Акцент1 3" xfId="151"/>
    <cellStyle name="60% - Акцент2 2" xfId="152"/>
    <cellStyle name="60% - Акцент2 3" xfId="153"/>
    <cellStyle name="60% - Акцент3 2" xfId="154"/>
    <cellStyle name="60% - Акцент3 3" xfId="155"/>
    <cellStyle name="60% - Акцент4 2" xfId="156"/>
    <cellStyle name="60% - Акцент4 3" xfId="157"/>
    <cellStyle name="60% - Акцент5 2" xfId="158"/>
    <cellStyle name="60% - Акцент5 3" xfId="159"/>
    <cellStyle name="60% - Акцент6 2" xfId="160"/>
    <cellStyle name="60% - Акцент6 3" xfId="161"/>
    <cellStyle name="Accent1" xfId="162"/>
    <cellStyle name="Accent1 2" xfId="163"/>
    <cellStyle name="Accent1 3" xfId="164"/>
    <cellStyle name="Accent2" xfId="165"/>
    <cellStyle name="Accent2 2" xfId="166"/>
    <cellStyle name="Accent2 3" xfId="167"/>
    <cellStyle name="Accent3" xfId="168"/>
    <cellStyle name="Accent3 2" xfId="169"/>
    <cellStyle name="Accent3 3" xfId="170"/>
    <cellStyle name="Accent4" xfId="171"/>
    <cellStyle name="Accent4 2" xfId="172"/>
    <cellStyle name="Accent4 3" xfId="173"/>
    <cellStyle name="Accent5" xfId="174"/>
    <cellStyle name="Accent5 2" xfId="175"/>
    <cellStyle name="Accent5 3" xfId="176"/>
    <cellStyle name="Accent6" xfId="177"/>
    <cellStyle name="Accent6 2" xfId="178"/>
    <cellStyle name="Accent6 3" xfId="179"/>
    <cellStyle name="Bad" xfId="180"/>
    <cellStyle name="Bad 2" xfId="181"/>
    <cellStyle name="Bad 3" xfId="182"/>
    <cellStyle name="Calculation" xfId="183"/>
    <cellStyle name="Calculation 2" xfId="184"/>
    <cellStyle name="Calculation 3" xfId="185"/>
    <cellStyle name="Check Cell" xfId="186"/>
    <cellStyle name="Check Cell 2" xfId="187"/>
    <cellStyle name="Check Cell 3" xfId="188"/>
    <cellStyle name="Explanatory Text" xfId="189"/>
    <cellStyle name="Explanatory Text 2" xfId="190"/>
    <cellStyle name="Explanatory Text 3" xfId="191"/>
    <cellStyle name="Good" xfId="192"/>
    <cellStyle name="Good 2" xfId="193"/>
    <cellStyle name="Good 3" xfId="194"/>
    <cellStyle name="Heading 1" xfId="195"/>
    <cellStyle name="Heading 1 2" xfId="196"/>
    <cellStyle name="Heading 1 3" xfId="197"/>
    <cellStyle name="Heading 2" xfId="198"/>
    <cellStyle name="Heading 2 2" xfId="199"/>
    <cellStyle name="Heading 2 3" xfId="200"/>
    <cellStyle name="Heading 3" xfId="201"/>
    <cellStyle name="Heading 3 2" xfId="202"/>
    <cellStyle name="Heading 3 3" xfId="203"/>
    <cellStyle name="Heading 4" xfId="204"/>
    <cellStyle name="Heading 4 2" xfId="205"/>
    <cellStyle name="Heading 4 3" xfId="206"/>
    <cellStyle name="Iau?iue_Aretniil odd. (doa.)" xfId="207"/>
    <cellStyle name="Input" xfId="208"/>
    <cellStyle name="Input 2" xfId="209"/>
    <cellStyle name="Input 3" xfId="210"/>
    <cellStyle name="Linked Cell" xfId="211"/>
    <cellStyle name="Linked Cell 2" xfId="212"/>
    <cellStyle name="Linked Cell 3" xfId="213"/>
    <cellStyle name="Money" xfId="214"/>
    <cellStyle name="Money 2" xfId="215"/>
    <cellStyle name="Neutral" xfId="216"/>
    <cellStyle name="Neutral 2" xfId="217"/>
    <cellStyle name="Neutral 3" xfId="218"/>
    <cellStyle name="Normal 2" xfId="219"/>
    <cellStyle name="Normal 2 2" xfId="220"/>
    <cellStyle name="Normal 3" xfId="221"/>
    <cellStyle name="Normal 3 2" xfId="222"/>
    <cellStyle name="Normal 3 2 2" xfId="223"/>
    <cellStyle name="Normal 3 2 2 2" xfId="224"/>
    <cellStyle name="Normal 3 2 2 3" xfId="225"/>
    <cellStyle name="Normal 3 2 2 4" xfId="226"/>
    <cellStyle name="Normal 3 2 3" xfId="227"/>
    <cellStyle name="Normal 3 2 3 2" xfId="228"/>
    <cellStyle name="Normal 3 2 3 3" xfId="229"/>
    <cellStyle name="Normal 3 2 4" xfId="230"/>
    <cellStyle name="Normal 3 2 4 2" xfId="231"/>
    <cellStyle name="Normal 3 2 4 3" xfId="232"/>
    <cellStyle name="Normal 3 2 5" xfId="233"/>
    <cellStyle name="Normal 3 2 6" xfId="234"/>
    <cellStyle name="Normal 3 2 7" xfId="235"/>
    <cellStyle name="Normal 3 3" xfId="236"/>
    <cellStyle name="Normal 3 3 2" xfId="237"/>
    <cellStyle name="Normal 3 3 3" xfId="238"/>
    <cellStyle name="Normal 3 3 4" xfId="239"/>
    <cellStyle name="Normal 3 4" xfId="240"/>
    <cellStyle name="Normal 3 4 2" xfId="241"/>
    <cellStyle name="Normal 3 4 3" xfId="242"/>
    <cellStyle name="Normal 3 5" xfId="243"/>
    <cellStyle name="Normal 3 5 2" xfId="244"/>
    <cellStyle name="Normal 3 5 3" xfId="245"/>
    <cellStyle name="Normal 3 6" xfId="246"/>
    <cellStyle name="Normal 3 7" xfId="247"/>
    <cellStyle name="Normal 3 8" xfId="248"/>
    <cellStyle name="Normal 4" xfId="249"/>
    <cellStyle name="Normal 4 2" xfId="250"/>
    <cellStyle name="Normal 4 3" xfId="251"/>
    <cellStyle name="Normal 5" xfId="252"/>
    <cellStyle name="Normal 6" xfId="253"/>
    <cellStyle name="Normal 6 2" xfId="254"/>
    <cellStyle name="Normal 6 3" xfId="255"/>
    <cellStyle name="Normal 7" xfId="256"/>
    <cellStyle name="Normal 8" xfId="257"/>
    <cellStyle name="Normal 9" xfId="258"/>
    <cellStyle name="Normal_DW_Pilot_STM_Agreement_Party_and_Product_00.02.00" xfId="259"/>
    <cellStyle name="Normal_DW_Pilot_STM_ss185206_00.00.00" xfId="260"/>
    <cellStyle name="Note" xfId="261"/>
    <cellStyle name="Note 2" xfId="262"/>
    <cellStyle name="Note 3" xfId="263"/>
    <cellStyle name="Output" xfId="264"/>
    <cellStyle name="Output 2" xfId="265"/>
    <cellStyle name="Output 3" xfId="266"/>
    <cellStyle name="S1" xfId="267"/>
    <cellStyle name="S2" xfId="268"/>
    <cellStyle name="S3" xfId="269"/>
    <cellStyle name="S4" xfId="270"/>
    <cellStyle name="S5" xfId="271"/>
    <cellStyle name="S6" xfId="272"/>
    <cellStyle name="Title" xfId="273"/>
    <cellStyle name="Title 2" xfId="274"/>
    <cellStyle name="Title 3" xfId="275"/>
    <cellStyle name="Total" xfId="276"/>
    <cellStyle name="Total 2" xfId="277"/>
    <cellStyle name="Total 3" xfId="278"/>
    <cellStyle name="Warning Text" xfId="279"/>
    <cellStyle name="Warning Text 2" xfId="280"/>
    <cellStyle name="Warning Text 3" xfId="281"/>
    <cellStyle name="Акцент1 2" xfId="282"/>
    <cellStyle name="Акцент1 3" xfId="283"/>
    <cellStyle name="Акцент2 2" xfId="284"/>
    <cellStyle name="Акцент2 3" xfId="285"/>
    <cellStyle name="Акцент3 2" xfId="286"/>
    <cellStyle name="Акцент3 3" xfId="287"/>
    <cellStyle name="Акцент4 2" xfId="288"/>
    <cellStyle name="Акцент4 3" xfId="289"/>
    <cellStyle name="Акцент5 2" xfId="290"/>
    <cellStyle name="Акцент5 3" xfId="291"/>
    <cellStyle name="Акцент6 2" xfId="292"/>
    <cellStyle name="Акцент6 3" xfId="293"/>
    <cellStyle name="Ввод  2" xfId="294"/>
    <cellStyle name="Ввод  3" xfId="295"/>
    <cellStyle name="Вывод 2" xfId="296"/>
    <cellStyle name="Вывод 3" xfId="297"/>
    <cellStyle name="Вычисление 2" xfId="298"/>
    <cellStyle name="Вычисление 3" xfId="299"/>
    <cellStyle name="Гиперссылка 2" xfId="300"/>
    <cellStyle name="Гиперссылка 2 2" xfId="301"/>
    <cellStyle name="Гиперссылка 3" xfId="302"/>
    <cellStyle name="Ђ_x0005_" xfId="303"/>
    <cellStyle name="Заголовок 1 2" xfId="304"/>
    <cellStyle name="Заголовок 1 3" xfId="305"/>
    <cellStyle name="Заголовок 2 2" xfId="306"/>
    <cellStyle name="Заголовок 2 3" xfId="307"/>
    <cellStyle name="Заголовок 3 2" xfId="308"/>
    <cellStyle name="Заголовок 3 3" xfId="309"/>
    <cellStyle name="Заголовок 4 2" xfId="310"/>
    <cellStyle name="Заголовок 4 3" xfId="311"/>
    <cellStyle name="Итог 2" xfId="312"/>
    <cellStyle name="Итог 3" xfId="313"/>
    <cellStyle name="Контрольная ячейка 2" xfId="314"/>
    <cellStyle name="Контрольная ячейка 3" xfId="315"/>
    <cellStyle name="Название 2" xfId="316"/>
    <cellStyle name="Название 3" xfId="317"/>
    <cellStyle name="Нейтральный 2" xfId="318"/>
    <cellStyle name="Нейтральный 3" xfId="319"/>
    <cellStyle name="Обычный" xfId="0" builtinId="0"/>
    <cellStyle name="Обычный 10" xfId="320"/>
    <cellStyle name="Обычный 10 10" xfId="321"/>
    <cellStyle name="Обычный 10 10 10" xfId="322"/>
    <cellStyle name="Обычный 10 10 2" xfId="323"/>
    <cellStyle name="Обычный 10 10 2 2" xfId="324"/>
    <cellStyle name="Обычный 10 10 2 2 2" xfId="325"/>
    <cellStyle name="Обычный 10 10 2 2 2 2" xfId="326"/>
    <cellStyle name="Обычный 10 10 2 2 2 2 2" xfId="327"/>
    <cellStyle name="Обычный 10 10 2 2 2 2 2 2" xfId="328"/>
    <cellStyle name="Обычный 10 10 2 2 2 2 2 3" xfId="329"/>
    <cellStyle name="Обычный 10 10 2 2 2 2 3" xfId="330"/>
    <cellStyle name="Обычный 10 10 2 2 2 2 3 2" xfId="331"/>
    <cellStyle name="Обычный 10 10 2 2 2 2 3 3" xfId="332"/>
    <cellStyle name="Обычный 10 10 2 2 2 2 4" xfId="333"/>
    <cellStyle name="Обычный 10 10 2 2 2 2 4 2" xfId="334"/>
    <cellStyle name="Обычный 10 10 2 2 2 2 5" xfId="335"/>
    <cellStyle name="Обычный 10 10 2 2 2 2 6" xfId="336"/>
    <cellStyle name="Обычный 10 10 2 2 2 3" xfId="337"/>
    <cellStyle name="Обычный 10 10 2 2 2 3 2" xfId="338"/>
    <cellStyle name="Обычный 10 10 2 2 2 3 3" xfId="339"/>
    <cellStyle name="Обычный 10 10 2 2 2 4" xfId="340"/>
    <cellStyle name="Обычный 10 10 2 2 2 4 2" xfId="341"/>
    <cellStyle name="Обычный 10 10 2 2 2 4 3" xfId="342"/>
    <cellStyle name="Обычный 10 10 2 2 2 5" xfId="343"/>
    <cellStyle name="Обычный 10 10 2 2 2 5 2" xfId="344"/>
    <cellStyle name="Обычный 10 10 2 2 2 6" xfId="345"/>
    <cellStyle name="Обычный 10 10 2 2 2 7" xfId="346"/>
    <cellStyle name="Обычный 10 10 2 2 3" xfId="347"/>
    <cellStyle name="Обычный 10 10 2 2 3 2" xfId="348"/>
    <cellStyle name="Обычный 10 10 2 2 3 2 2" xfId="349"/>
    <cellStyle name="Обычный 10 10 2 2 3 2 3" xfId="350"/>
    <cellStyle name="Обычный 10 10 2 2 3 3" xfId="351"/>
    <cellStyle name="Обычный 10 10 2 2 3 3 2" xfId="352"/>
    <cellStyle name="Обычный 10 10 2 2 3 3 3" xfId="353"/>
    <cellStyle name="Обычный 10 10 2 2 3 4" xfId="354"/>
    <cellStyle name="Обычный 10 10 2 2 3 4 2" xfId="355"/>
    <cellStyle name="Обычный 10 10 2 2 3 5" xfId="356"/>
    <cellStyle name="Обычный 10 10 2 2 3 6" xfId="357"/>
    <cellStyle name="Обычный 10 10 2 2 4" xfId="358"/>
    <cellStyle name="Обычный 10 10 2 2 4 2" xfId="359"/>
    <cellStyle name="Обычный 10 10 2 2 4 3" xfId="360"/>
    <cellStyle name="Обычный 10 10 2 2 5" xfId="361"/>
    <cellStyle name="Обычный 10 10 2 2 5 2" xfId="362"/>
    <cellStyle name="Обычный 10 10 2 2 5 3" xfId="363"/>
    <cellStyle name="Обычный 10 10 2 2 6" xfId="364"/>
    <cellStyle name="Обычный 10 10 2 2 6 2" xfId="365"/>
    <cellStyle name="Обычный 10 10 2 2 7" xfId="366"/>
    <cellStyle name="Обычный 10 10 2 2 8" xfId="367"/>
    <cellStyle name="Обычный 10 10 2 3" xfId="368"/>
    <cellStyle name="Обычный 10 10 2 3 2" xfId="369"/>
    <cellStyle name="Обычный 10 10 2 3 2 2" xfId="370"/>
    <cellStyle name="Обычный 10 10 2 3 2 2 2" xfId="371"/>
    <cellStyle name="Обычный 10 10 2 3 2 2 3" xfId="372"/>
    <cellStyle name="Обычный 10 10 2 3 2 3" xfId="373"/>
    <cellStyle name="Обычный 10 10 2 3 2 3 2" xfId="374"/>
    <cellStyle name="Обычный 10 10 2 3 2 3 3" xfId="375"/>
    <cellStyle name="Обычный 10 10 2 3 2 4" xfId="376"/>
    <cellStyle name="Обычный 10 10 2 3 2 4 2" xfId="377"/>
    <cellStyle name="Обычный 10 10 2 3 2 5" xfId="378"/>
    <cellStyle name="Обычный 10 10 2 3 2 6" xfId="379"/>
    <cellStyle name="Обычный 10 10 2 3 3" xfId="380"/>
    <cellStyle name="Обычный 10 10 2 3 3 2" xfId="381"/>
    <cellStyle name="Обычный 10 10 2 3 3 3" xfId="382"/>
    <cellStyle name="Обычный 10 10 2 3 4" xfId="383"/>
    <cellStyle name="Обычный 10 10 2 3 4 2" xfId="384"/>
    <cellStyle name="Обычный 10 10 2 3 4 3" xfId="385"/>
    <cellStyle name="Обычный 10 10 2 3 5" xfId="386"/>
    <cellStyle name="Обычный 10 10 2 3 5 2" xfId="387"/>
    <cellStyle name="Обычный 10 10 2 3 6" xfId="388"/>
    <cellStyle name="Обычный 10 10 2 3 7" xfId="389"/>
    <cellStyle name="Обычный 10 10 2 4" xfId="390"/>
    <cellStyle name="Обычный 10 10 2 4 2" xfId="391"/>
    <cellStyle name="Обычный 10 10 2 4 2 2" xfId="392"/>
    <cellStyle name="Обычный 10 10 2 4 2 3" xfId="393"/>
    <cellStyle name="Обычный 10 10 2 4 3" xfId="394"/>
    <cellStyle name="Обычный 10 10 2 4 3 2" xfId="395"/>
    <cellStyle name="Обычный 10 10 2 4 3 3" xfId="396"/>
    <cellStyle name="Обычный 10 10 2 4 4" xfId="397"/>
    <cellStyle name="Обычный 10 10 2 4 4 2" xfId="398"/>
    <cellStyle name="Обычный 10 10 2 4 5" xfId="399"/>
    <cellStyle name="Обычный 10 10 2 4 6" xfId="400"/>
    <cellStyle name="Обычный 10 10 2 5" xfId="401"/>
    <cellStyle name="Обычный 10 10 2 5 2" xfId="402"/>
    <cellStyle name="Обычный 10 10 2 5 3" xfId="403"/>
    <cellStyle name="Обычный 10 10 2 6" xfId="404"/>
    <cellStyle name="Обычный 10 10 2 6 2" xfId="405"/>
    <cellStyle name="Обычный 10 10 2 6 3" xfId="406"/>
    <cellStyle name="Обычный 10 10 2 7" xfId="407"/>
    <cellStyle name="Обычный 10 10 2 7 2" xfId="408"/>
    <cellStyle name="Обычный 10 10 2 8" xfId="409"/>
    <cellStyle name="Обычный 10 10 2 9" xfId="410"/>
    <cellStyle name="Обычный 10 10 3" xfId="411"/>
    <cellStyle name="Обычный 10 10 3 2" xfId="412"/>
    <cellStyle name="Обычный 10 10 3 2 2" xfId="413"/>
    <cellStyle name="Обычный 10 10 3 2 2 2" xfId="414"/>
    <cellStyle name="Обычный 10 10 3 2 2 2 2" xfId="415"/>
    <cellStyle name="Обычный 10 10 3 2 2 2 3" xfId="416"/>
    <cellStyle name="Обычный 10 10 3 2 2 3" xfId="417"/>
    <cellStyle name="Обычный 10 10 3 2 2 3 2" xfId="418"/>
    <cellStyle name="Обычный 10 10 3 2 2 3 3" xfId="419"/>
    <cellStyle name="Обычный 10 10 3 2 2 4" xfId="420"/>
    <cellStyle name="Обычный 10 10 3 2 2 4 2" xfId="421"/>
    <cellStyle name="Обычный 10 10 3 2 2 5" xfId="422"/>
    <cellStyle name="Обычный 10 10 3 2 2 6" xfId="423"/>
    <cellStyle name="Обычный 10 10 3 2 3" xfId="424"/>
    <cellStyle name="Обычный 10 10 3 2 3 2" xfId="425"/>
    <cellStyle name="Обычный 10 10 3 2 3 3" xfId="426"/>
    <cellStyle name="Обычный 10 10 3 2 4" xfId="427"/>
    <cellStyle name="Обычный 10 10 3 2 4 2" xfId="428"/>
    <cellStyle name="Обычный 10 10 3 2 4 3" xfId="429"/>
    <cellStyle name="Обычный 10 10 3 2 5" xfId="430"/>
    <cellStyle name="Обычный 10 10 3 2 5 2" xfId="431"/>
    <cellStyle name="Обычный 10 10 3 2 6" xfId="432"/>
    <cellStyle name="Обычный 10 10 3 2 7" xfId="433"/>
    <cellStyle name="Обычный 10 10 3 3" xfId="434"/>
    <cellStyle name="Обычный 10 10 3 3 2" xfId="435"/>
    <cellStyle name="Обычный 10 10 3 3 2 2" xfId="436"/>
    <cellStyle name="Обычный 10 10 3 3 2 3" xfId="437"/>
    <cellStyle name="Обычный 10 10 3 3 3" xfId="438"/>
    <cellStyle name="Обычный 10 10 3 3 3 2" xfId="439"/>
    <cellStyle name="Обычный 10 10 3 3 3 3" xfId="440"/>
    <cellStyle name="Обычный 10 10 3 3 4" xfId="441"/>
    <cellStyle name="Обычный 10 10 3 3 4 2" xfId="442"/>
    <cellStyle name="Обычный 10 10 3 3 5" xfId="443"/>
    <cellStyle name="Обычный 10 10 3 3 6" xfId="444"/>
    <cellStyle name="Обычный 10 10 3 4" xfId="445"/>
    <cellStyle name="Обычный 10 10 3 4 2" xfId="446"/>
    <cellStyle name="Обычный 10 10 3 4 3" xfId="447"/>
    <cellStyle name="Обычный 10 10 3 5" xfId="448"/>
    <cellStyle name="Обычный 10 10 3 5 2" xfId="449"/>
    <cellStyle name="Обычный 10 10 3 5 3" xfId="450"/>
    <cellStyle name="Обычный 10 10 3 6" xfId="451"/>
    <cellStyle name="Обычный 10 10 3 6 2" xfId="452"/>
    <cellStyle name="Обычный 10 10 3 7" xfId="453"/>
    <cellStyle name="Обычный 10 10 3 8" xfId="454"/>
    <cellStyle name="Обычный 10 10 4" xfId="455"/>
    <cellStyle name="Обычный 10 10 4 2" xfId="456"/>
    <cellStyle name="Обычный 10 10 4 2 2" xfId="457"/>
    <cellStyle name="Обычный 10 10 4 2 2 2" xfId="458"/>
    <cellStyle name="Обычный 10 10 4 2 2 3" xfId="459"/>
    <cellStyle name="Обычный 10 10 4 2 3" xfId="460"/>
    <cellStyle name="Обычный 10 10 4 2 3 2" xfId="461"/>
    <cellStyle name="Обычный 10 10 4 2 3 3" xfId="462"/>
    <cellStyle name="Обычный 10 10 4 2 4" xfId="463"/>
    <cellStyle name="Обычный 10 10 4 2 4 2" xfId="464"/>
    <cellStyle name="Обычный 10 10 4 2 5" xfId="465"/>
    <cellStyle name="Обычный 10 10 4 2 6" xfId="466"/>
    <cellStyle name="Обычный 10 10 4 3" xfId="467"/>
    <cellStyle name="Обычный 10 10 4 3 2" xfId="468"/>
    <cellStyle name="Обычный 10 10 4 3 3" xfId="469"/>
    <cellStyle name="Обычный 10 10 4 4" xfId="470"/>
    <cellStyle name="Обычный 10 10 4 4 2" xfId="471"/>
    <cellStyle name="Обычный 10 10 4 4 3" xfId="472"/>
    <cellStyle name="Обычный 10 10 4 5" xfId="473"/>
    <cellStyle name="Обычный 10 10 4 5 2" xfId="474"/>
    <cellStyle name="Обычный 10 10 4 6" xfId="475"/>
    <cellStyle name="Обычный 10 10 4 7" xfId="476"/>
    <cellStyle name="Обычный 10 10 5" xfId="477"/>
    <cellStyle name="Обычный 10 10 5 2" xfId="478"/>
    <cellStyle name="Обычный 10 10 5 2 2" xfId="479"/>
    <cellStyle name="Обычный 10 10 5 2 3" xfId="480"/>
    <cellStyle name="Обычный 10 10 5 3" xfId="481"/>
    <cellStyle name="Обычный 10 10 5 3 2" xfId="482"/>
    <cellStyle name="Обычный 10 10 5 3 3" xfId="483"/>
    <cellStyle name="Обычный 10 10 5 4" xfId="484"/>
    <cellStyle name="Обычный 10 10 5 4 2" xfId="485"/>
    <cellStyle name="Обычный 10 10 5 5" xfId="486"/>
    <cellStyle name="Обычный 10 10 5 6" xfId="487"/>
    <cellStyle name="Обычный 10 10 6" xfId="488"/>
    <cellStyle name="Обычный 10 10 6 2" xfId="489"/>
    <cellStyle name="Обычный 10 10 6 3" xfId="490"/>
    <cellStyle name="Обычный 10 10 7" xfId="491"/>
    <cellStyle name="Обычный 10 10 7 2" xfId="492"/>
    <cellStyle name="Обычный 10 10 7 3" xfId="493"/>
    <cellStyle name="Обычный 10 10 8" xfId="494"/>
    <cellStyle name="Обычный 10 10 8 2" xfId="495"/>
    <cellStyle name="Обычный 10 10 9" xfId="496"/>
    <cellStyle name="Обычный 10 11" xfId="497"/>
    <cellStyle name="Обычный 10 11 10" xfId="498"/>
    <cellStyle name="Обычный 10 11 2" xfId="499"/>
    <cellStyle name="Обычный 10 11 2 2" xfId="500"/>
    <cellStyle name="Обычный 10 11 2 2 2" xfId="501"/>
    <cellStyle name="Обычный 10 11 2 2 2 2" xfId="502"/>
    <cellStyle name="Обычный 10 11 2 2 2 2 2" xfId="503"/>
    <cellStyle name="Обычный 10 11 2 2 2 2 2 2" xfId="504"/>
    <cellStyle name="Обычный 10 11 2 2 2 2 2 3" xfId="505"/>
    <cellStyle name="Обычный 10 11 2 2 2 2 3" xfId="506"/>
    <cellStyle name="Обычный 10 11 2 2 2 2 3 2" xfId="507"/>
    <cellStyle name="Обычный 10 11 2 2 2 2 3 3" xfId="508"/>
    <cellStyle name="Обычный 10 11 2 2 2 2 4" xfId="509"/>
    <cellStyle name="Обычный 10 11 2 2 2 2 4 2" xfId="510"/>
    <cellStyle name="Обычный 10 11 2 2 2 2 5" xfId="511"/>
    <cellStyle name="Обычный 10 11 2 2 2 2 6" xfId="512"/>
    <cellStyle name="Обычный 10 11 2 2 2 3" xfId="513"/>
    <cellStyle name="Обычный 10 11 2 2 2 3 2" xfId="514"/>
    <cellStyle name="Обычный 10 11 2 2 2 3 3" xfId="515"/>
    <cellStyle name="Обычный 10 11 2 2 2 4" xfId="516"/>
    <cellStyle name="Обычный 10 11 2 2 2 4 2" xfId="517"/>
    <cellStyle name="Обычный 10 11 2 2 2 4 3" xfId="518"/>
    <cellStyle name="Обычный 10 11 2 2 2 5" xfId="519"/>
    <cellStyle name="Обычный 10 11 2 2 2 5 2" xfId="520"/>
    <cellStyle name="Обычный 10 11 2 2 2 6" xfId="521"/>
    <cellStyle name="Обычный 10 11 2 2 2 7" xfId="522"/>
    <cellStyle name="Обычный 10 11 2 2 3" xfId="523"/>
    <cellStyle name="Обычный 10 11 2 2 3 2" xfId="524"/>
    <cellStyle name="Обычный 10 11 2 2 3 2 2" xfId="525"/>
    <cellStyle name="Обычный 10 11 2 2 3 2 3" xfId="526"/>
    <cellStyle name="Обычный 10 11 2 2 3 3" xfId="527"/>
    <cellStyle name="Обычный 10 11 2 2 3 3 2" xfId="528"/>
    <cellStyle name="Обычный 10 11 2 2 3 3 3" xfId="529"/>
    <cellStyle name="Обычный 10 11 2 2 3 4" xfId="530"/>
    <cellStyle name="Обычный 10 11 2 2 3 4 2" xfId="531"/>
    <cellStyle name="Обычный 10 11 2 2 3 5" xfId="532"/>
    <cellStyle name="Обычный 10 11 2 2 3 6" xfId="533"/>
    <cellStyle name="Обычный 10 11 2 2 4" xfId="534"/>
    <cellStyle name="Обычный 10 11 2 2 4 2" xfId="535"/>
    <cellStyle name="Обычный 10 11 2 2 4 3" xfId="536"/>
    <cellStyle name="Обычный 10 11 2 2 5" xfId="537"/>
    <cellStyle name="Обычный 10 11 2 2 5 2" xfId="538"/>
    <cellStyle name="Обычный 10 11 2 2 5 3" xfId="539"/>
    <cellStyle name="Обычный 10 11 2 2 6" xfId="540"/>
    <cellStyle name="Обычный 10 11 2 2 6 2" xfId="541"/>
    <cellStyle name="Обычный 10 11 2 2 7" xfId="542"/>
    <cellStyle name="Обычный 10 11 2 2 8" xfId="543"/>
    <cellStyle name="Обычный 10 11 2 3" xfId="544"/>
    <cellStyle name="Обычный 10 11 2 3 2" xfId="545"/>
    <cellStyle name="Обычный 10 11 2 3 2 2" xfId="546"/>
    <cellStyle name="Обычный 10 11 2 3 2 2 2" xfId="547"/>
    <cellStyle name="Обычный 10 11 2 3 2 2 3" xfId="548"/>
    <cellStyle name="Обычный 10 11 2 3 2 3" xfId="549"/>
    <cellStyle name="Обычный 10 11 2 3 2 3 2" xfId="550"/>
    <cellStyle name="Обычный 10 11 2 3 2 3 3" xfId="551"/>
    <cellStyle name="Обычный 10 11 2 3 2 4" xfId="552"/>
    <cellStyle name="Обычный 10 11 2 3 2 4 2" xfId="553"/>
    <cellStyle name="Обычный 10 11 2 3 2 5" xfId="554"/>
    <cellStyle name="Обычный 10 11 2 3 2 6" xfId="555"/>
    <cellStyle name="Обычный 10 11 2 3 3" xfId="556"/>
    <cellStyle name="Обычный 10 11 2 3 3 2" xfId="557"/>
    <cellStyle name="Обычный 10 11 2 3 3 3" xfId="558"/>
    <cellStyle name="Обычный 10 11 2 3 4" xfId="559"/>
    <cellStyle name="Обычный 10 11 2 3 4 2" xfId="560"/>
    <cellStyle name="Обычный 10 11 2 3 4 3" xfId="561"/>
    <cellStyle name="Обычный 10 11 2 3 5" xfId="562"/>
    <cellStyle name="Обычный 10 11 2 3 5 2" xfId="563"/>
    <cellStyle name="Обычный 10 11 2 3 6" xfId="564"/>
    <cellStyle name="Обычный 10 11 2 3 7" xfId="565"/>
    <cellStyle name="Обычный 10 11 2 4" xfId="566"/>
    <cellStyle name="Обычный 10 11 2 4 2" xfId="567"/>
    <cellStyle name="Обычный 10 11 2 4 2 2" xfId="568"/>
    <cellStyle name="Обычный 10 11 2 4 2 3" xfId="569"/>
    <cellStyle name="Обычный 10 11 2 4 3" xfId="570"/>
    <cellStyle name="Обычный 10 11 2 4 3 2" xfId="571"/>
    <cellStyle name="Обычный 10 11 2 4 3 3" xfId="572"/>
    <cellStyle name="Обычный 10 11 2 4 4" xfId="573"/>
    <cellStyle name="Обычный 10 11 2 4 4 2" xfId="574"/>
    <cellStyle name="Обычный 10 11 2 4 5" xfId="575"/>
    <cellStyle name="Обычный 10 11 2 4 6" xfId="576"/>
    <cellStyle name="Обычный 10 11 2 5" xfId="577"/>
    <cellStyle name="Обычный 10 11 2 5 2" xfId="578"/>
    <cellStyle name="Обычный 10 11 2 5 3" xfId="579"/>
    <cellStyle name="Обычный 10 11 2 6" xfId="580"/>
    <cellStyle name="Обычный 10 11 2 6 2" xfId="581"/>
    <cellStyle name="Обычный 10 11 2 6 3" xfId="582"/>
    <cellStyle name="Обычный 10 11 2 7" xfId="583"/>
    <cellStyle name="Обычный 10 11 2 7 2" xfId="584"/>
    <cellStyle name="Обычный 10 11 2 8" xfId="585"/>
    <cellStyle name="Обычный 10 11 2 9" xfId="586"/>
    <cellStyle name="Обычный 10 11 3" xfId="587"/>
    <cellStyle name="Обычный 10 11 3 2" xfId="588"/>
    <cellStyle name="Обычный 10 11 3 2 2" xfId="589"/>
    <cellStyle name="Обычный 10 11 3 2 2 2" xfId="590"/>
    <cellStyle name="Обычный 10 11 3 2 2 2 2" xfId="591"/>
    <cellStyle name="Обычный 10 11 3 2 2 2 3" xfId="592"/>
    <cellStyle name="Обычный 10 11 3 2 2 3" xfId="593"/>
    <cellStyle name="Обычный 10 11 3 2 2 3 2" xfId="594"/>
    <cellStyle name="Обычный 10 11 3 2 2 3 3" xfId="595"/>
    <cellStyle name="Обычный 10 11 3 2 2 4" xfId="596"/>
    <cellStyle name="Обычный 10 11 3 2 2 4 2" xfId="597"/>
    <cellStyle name="Обычный 10 11 3 2 2 5" xfId="598"/>
    <cellStyle name="Обычный 10 11 3 2 2 6" xfId="599"/>
    <cellStyle name="Обычный 10 11 3 2 3" xfId="600"/>
    <cellStyle name="Обычный 10 11 3 2 3 2" xfId="601"/>
    <cellStyle name="Обычный 10 11 3 2 3 3" xfId="602"/>
    <cellStyle name="Обычный 10 11 3 2 4" xfId="603"/>
    <cellStyle name="Обычный 10 11 3 2 4 2" xfId="604"/>
    <cellStyle name="Обычный 10 11 3 2 4 3" xfId="605"/>
    <cellStyle name="Обычный 10 11 3 2 5" xfId="606"/>
    <cellStyle name="Обычный 10 11 3 2 5 2" xfId="607"/>
    <cellStyle name="Обычный 10 11 3 2 6" xfId="608"/>
    <cellStyle name="Обычный 10 11 3 2 7" xfId="609"/>
    <cellStyle name="Обычный 10 11 3 3" xfId="610"/>
    <cellStyle name="Обычный 10 11 3 3 2" xfId="611"/>
    <cellStyle name="Обычный 10 11 3 3 2 2" xfId="612"/>
    <cellStyle name="Обычный 10 11 3 3 2 3" xfId="613"/>
    <cellStyle name="Обычный 10 11 3 3 3" xfId="614"/>
    <cellStyle name="Обычный 10 11 3 3 3 2" xfId="615"/>
    <cellStyle name="Обычный 10 11 3 3 3 3" xfId="616"/>
    <cellStyle name="Обычный 10 11 3 3 4" xfId="617"/>
    <cellStyle name="Обычный 10 11 3 3 4 2" xfId="618"/>
    <cellStyle name="Обычный 10 11 3 3 5" xfId="619"/>
    <cellStyle name="Обычный 10 11 3 3 6" xfId="620"/>
    <cellStyle name="Обычный 10 11 3 4" xfId="621"/>
    <cellStyle name="Обычный 10 11 3 4 2" xfId="622"/>
    <cellStyle name="Обычный 10 11 3 4 3" xfId="623"/>
    <cellStyle name="Обычный 10 11 3 5" xfId="624"/>
    <cellStyle name="Обычный 10 11 3 5 2" xfId="625"/>
    <cellStyle name="Обычный 10 11 3 5 3" xfId="626"/>
    <cellStyle name="Обычный 10 11 3 6" xfId="627"/>
    <cellStyle name="Обычный 10 11 3 6 2" xfId="628"/>
    <cellStyle name="Обычный 10 11 3 7" xfId="629"/>
    <cellStyle name="Обычный 10 11 3 8" xfId="630"/>
    <cellStyle name="Обычный 10 11 4" xfId="631"/>
    <cellStyle name="Обычный 10 11 4 2" xfId="632"/>
    <cellStyle name="Обычный 10 11 4 2 2" xfId="633"/>
    <cellStyle name="Обычный 10 11 4 2 2 2" xfId="634"/>
    <cellStyle name="Обычный 10 11 4 2 2 3" xfId="635"/>
    <cellStyle name="Обычный 10 11 4 2 3" xfId="636"/>
    <cellStyle name="Обычный 10 11 4 2 3 2" xfId="637"/>
    <cellStyle name="Обычный 10 11 4 2 3 3" xfId="638"/>
    <cellStyle name="Обычный 10 11 4 2 4" xfId="639"/>
    <cellStyle name="Обычный 10 11 4 2 4 2" xfId="640"/>
    <cellStyle name="Обычный 10 11 4 2 5" xfId="641"/>
    <cellStyle name="Обычный 10 11 4 2 6" xfId="642"/>
    <cellStyle name="Обычный 10 11 4 3" xfId="643"/>
    <cellStyle name="Обычный 10 11 4 3 2" xfId="644"/>
    <cellStyle name="Обычный 10 11 4 3 3" xfId="645"/>
    <cellStyle name="Обычный 10 11 4 4" xfId="646"/>
    <cellStyle name="Обычный 10 11 4 4 2" xfId="647"/>
    <cellStyle name="Обычный 10 11 4 4 3" xfId="648"/>
    <cellStyle name="Обычный 10 11 4 5" xfId="649"/>
    <cellStyle name="Обычный 10 11 4 5 2" xfId="650"/>
    <cellStyle name="Обычный 10 11 4 6" xfId="651"/>
    <cellStyle name="Обычный 10 11 4 7" xfId="652"/>
    <cellStyle name="Обычный 10 11 5" xfId="653"/>
    <cellStyle name="Обычный 10 11 5 2" xfId="654"/>
    <cellStyle name="Обычный 10 11 5 2 2" xfId="655"/>
    <cellStyle name="Обычный 10 11 5 2 3" xfId="656"/>
    <cellStyle name="Обычный 10 11 5 3" xfId="657"/>
    <cellStyle name="Обычный 10 11 5 3 2" xfId="658"/>
    <cellStyle name="Обычный 10 11 5 3 3" xfId="659"/>
    <cellStyle name="Обычный 10 11 5 4" xfId="660"/>
    <cellStyle name="Обычный 10 11 5 4 2" xfId="661"/>
    <cellStyle name="Обычный 10 11 5 5" xfId="662"/>
    <cellStyle name="Обычный 10 11 5 6" xfId="663"/>
    <cellStyle name="Обычный 10 11 6" xfId="664"/>
    <cellStyle name="Обычный 10 11 6 2" xfId="665"/>
    <cellStyle name="Обычный 10 11 6 3" xfId="666"/>
    <cellStyle name="Обычный 10 11 7" xfId="667"/>
    <cellStyle name="Обычный 10 11 7 2" xfId="668"/>
    <cellStyle name="Обычный 10 11 7 3" xfId="669"/>
    <cellStyle name="Обычный 10 11 8" xfId="670"/>
    <cellStyle name="Обычный 10 11 8 2" xfId="671"/>
    <cellStyle name="Обычный 10 11 9" xfId="672"/>
    <cellStyle name="Обычный 10 12" xfId="673"/>
    <cellStyle name="Обычный 10 12 10" xfId="674"/>
    <cellStyle name="Обычный 10 12 2" xfId="675"/>
    <cellStyle name="Обычный 10 12 2 2" xfId="676"/>
    <cellStyle name="Обычный 10 12 2 2 2" xfId="677"/>
    <cellStyle name="Обычный 10 12 2 2 2 2" xfId="678"/>
    <cellStyle name="Обычный 10 12 2 2 2 2 2" xfId="679"/>
    <cellStyle name="Обычный 10 12 2 2 2 2 2 2" xfId="680"/>
    <cellStyle name="Обычный 10 12 2 2 2 2 2 3" xfId="681"/>
    <cellStyle name="Обычный 10 12 2 2 2 2 3" xfId="682"/>
    <cellStyle name="Обычный 10 12 2 2 2 2 3 2" xfId="683"/>
    <cellStyle name="Обычный 10 12 2 2 2 2 3 3" xfId="684"/>
    <cellStyle name="Обычный 10 12 2 2 2 2 4" xfId="685"/>
    <cellStyle name="Обычный 10 12 2 2 2 2 4 2" xfId="686"/>
    <cellStyle name="Обычный 10 12 2 2 2 2 5" xfId="687"/>
    <cellStyle name="Обычный 10 12 2 2 2 2 6" xfId="688"/>
    <cellStyle name="Обычный 10 12 2 2 2 3" xfId="689"/>
    <cellStyle name="Обычный 10 12 2 2 2 3 2" xfId="690"/>
    <cellStyle name="Обычный 10 12 2 2 2 3 3" xfId="691"/>
    <cellStyle name="Обычный 10 12 2 2 2 4" xfId="692"/>
    <cellStyle name="Обычный 10 12 2 2 2 4 2" xfId="693"/>
    <cellStyle name="Обычный 10 12 2 2 2 4 3" xfId="694"/>
    <cellStyle name="Обычный 10 12 2 2 2 5" xfId="695"/>
    <cellStyle name="Обычный 10 12 2 2 2 5 2" xfId="696"/>
    <cellStyle name="Обычный 10 12 2 2 2 6" xfId="697"/>
    <cellStyle name="Обычный 10 12 2 2 2 7" xfId="698"/>
    <cellStyle name="Обычный 10 12 2 2 3" xfId="699"/>
    <cellStyle name="Обычный 10 12 2 2 3 2" xfId="700"/>
    <cellStyle name="Обычный 10 12 2 2 3 2 2" xfId="701"/>
    <cellStyle name="Обычный 10 12 2 2 3 2 3" xfId="702"/>
    <cellStyle name="Обычный 10 12 2 2 3 3" xfId="703"/>
    <cellStyle name="Обычный 10 12 2 2 3 3 2" xfId="704"/>
    <cellStyle name="Обычный 10 12 2 2 3 3 3" xfId="705"/>
    <cellStyle name="Обычный 10 12 2 2 3 4" xfId="706"/>
    <cellStyle name="Обычный 10 12 2 2 3 4 2" xfId="707"/>
    <cellStyle name="Обычный 10 12 2 2 3 5" xfId="708"/>
    <cellStyle name="Обычный 10 12 2 2 3 6" xfId="709"/>
    <cellStyle name="Обычный 10 12 2 2 4" xfId="710"/>
    <cellStyle name="Обычный 10 12 2 2 4 2" xfId="711"/>
    <cellStyle name="Обычный 10 12 2 2 4 3" xfId="712"/>
    <cellStyle name="Обычный 10 12 2 2 5" xfId="713"/>
    <cellStyle name="Обычный 10 12 2 2 5 2" xfId="714"/>
    <cellStyle name="Обычный 10 12 2 2 5 3" xfId="715"/>
    <cellStyle name="Обычный 10 12 2 2 6" xfId="716"/>
    <cellStyle name="Обычный 10 12 2 2 6 2" xfId="717"/>
    <cellStyle name="Обычный 10 12 2 2 7" xfId="718"/>
    <cellStyle name="Обычный 10 12 2 2 8" xfId="719"/>
    <cellStyle name="Обычный 10 12 2 3" xfId="720"/>
    <cellStyle name="Обычный 10 12 2 3 2" xfId="721"/>
    <cellStyle name="Обычный 10 12 2 3 2 2" xfId="722"/>
    <cellStyle name="Обычный 10 12 2 3 2 2 2" xfId="723"/>
    <cellStyle name="Обычный 10 12 2 3 2 2 3" xfId="724"/>
    <cellStyle name="Обычный 10 12 2 3 2 3" xfId="725"/>
    <cellStyle name="Обычный 10 12 2 3 2 3 2" xfId="726"/>
    <cellStyle name="Обычный 10 12 2 3 2 3 3" xfId="727"/>
    <cellStyle name="Обычный 10 12 2 3 2 4" xfId="728"/>
    <cellStyle name="Обычный 10 12 2 3 2 4 2" xfId="729"/>
    <cellStyle name="Обычный 10 12 2 3 2 5" xfId="730"/>
    <cellStyle name="Обычный 10 12 2 3 2 6" xfId="731"/>
    <cellStyle name="Обычный 10 12 2 3 3" xfId="732"/>
    <cellStyle name="Обычный 10 12 2 3 3 2" xfId="733"/>
    <cellStyle name="Обычный 10 12 2 3 3 3" xfId="734"/>
    <cellStyle name="Обычный 10 12 2 3 4" xfId="735"/>
    <cellStyle name="Обычный 10 12 2 3 4 2" xfId="736"/>
    <cellStyle name="Обычный 10 12 2 3 4 3" xfId="737"/>
    <cellStyle name="Обычный 10 12 2 3 5" xfId="738"/>
    <cellStyle name="Обычный 10 12 2 3 5 2" xfId="739"/>
    <cellStyle name="Обычный 10 12 2 3 6" xfId="740"/>
    <cellStyle name="Обычный 10 12 2 3 7" xfId="741"/>
    <cellStyle name="Обычный 10 12 2 4" xfId="742"/>
    <cellStyle name="Обычный 10 12 2 4 2" xfId="743"/>
    <cellStyle name="Обычный 10 12 2 4 2 2" xfId="744"/>
    <cellStyle name="Обычный 10 12 2 4 2 3" xfId="745"/>
    <cellStyle name="Обычный 10 12 2 4 3" xfId="746"/>
    <cellStyle name="Обычный 10 12 2 4 3 2" xfId="747"/>
    <cellStyle name="Обычный 10 12 2 4 3 3" xfId="748"/>
    <cellStyle name="Обычный 10 12 2 4 4" xfId="749"/>
    <cellStyle name="Обычный 10 12 2 4 4 2" xfId="750"/>
    <cellStyle name="Обычный 10 12 2 4 5" xfId="751"/>
    <cellStyle name="Обычный 10 12 2 4 6" xfId="752"/>
    <cellStyle name="Обычный 10 12 2 5" xfId="753"/>
    <cellStyle name="Обычный 10 12 2 5 2" xfId="754"/>
    <cellStyle name="Обычный 10 12 2 5 3" xfId="755"/>
    <cellStyle name="Обычный 10 12 2 6" xfId="756"/>
    <cellStyle name="Обычный 10 12 2 6 2" xfId="757"/>
    <cellStyle name="Обычный 10 12 2 6 3" xfId="758"/>
    <cellStyle name="Обычный 10 12 2 7" xfId="759"/>
    <cellStyle name="Обычный 10 12 2 7 2" xfId="760"/>
    <cellStyle name="Обычный 10 12 2 8" xfId="761"/>
    <cellStyle name="Обычный 10 12 2 9" xfId="762"/>
    <cellStyle name="Обычный 10 12 3" xfId="763"/>
    <cellStyle name="Обычный 10 12 3 2" xfId="764"/>
    <cellStyle name="Обычный 10 12 3 2 2" xfId="765"/>
    <cellStyle name="Обычный 10 12 3 2 2 2" xfId="766"/>
    <cellStyle name="Обычный 10 12 3 2 2 2 2" xfId="767"/>
    <cellStyle name="Обычный 10 12 3 2 2 2 3" xfId="768"/>
    <cellStyle name="Обычный 10 12 3 2 2 3" xfId="769"/>
    <cellStyle name="Обычный 10 12 3 2 2 3 2" xfId="770"/>
    <cellStyle name="Обычный 10 12 3 2 2 3 3" xfId="771"/>
    <cellStyle name="Обычный 10 12 3 2 2 4" xfId="772"/>
    <cellStyle name="Обычный 10 12 3 2 2 4 2" xfId="773"/>
    <cellStyle name="Обычный 10 12 3 2 2 5" xfId="774"/>
    <cellStyle name="Обычный 10 12 3 2 2 6" xfId="775"/>
    <cellStyle name="Обычный 10 12 3 2 3" xfId="776"/>
    <cellStyle name="Обычный 10 12 3 2 3 2" xfId="777"/>
    <cellStyle name="Обычный 10 12 3 2 3 3" xfId="778"/>
    <cellStyle name="Обычный 10 12 3 2 4" xfId="779"/>
    <cellStyle name="Обычный 10 12 3 2 4 2" xfId="780"/>
    <cellStyle name="Обычный 10 12 3 2 4 3" xfId="781"/>
    <cellStyle name="Обычный 10 12 3 2 5" xfId="782"/>
    <cellStyle name="Обычный 10 12 3 2 5 2" xfId="783"/>
    <cellStyle name="Обычный 10 12 3 2 6" xfId="784"/>
    <cellStyle name="Обычный 10 12 3 2 7" xfId="785"/>
    <cellStyle name="Обычный 10 12 3 3" xfId="786"/>
    <cellStyle name="Обычный 10 12 3 3 2" xfId="787"/>
    <cellStyle name="Обычный 10 12 3 3 2 2" xfId="788"/>
    <cellStyle name="Обычный 10 12 3 3 2 3" xfId="789"/>
    <cellStyle name="Обычный 10 12 3 3 3" xfId="790"/>
    <cellStyle name="Обычный 10 12 3 3 3 2" xfId="791"/>
    <cellStyle name="Обычный 10 12 3 3 3 3" xfId="792"/>
    <cellStyle name="Обычный 10 12 3 3 4" xfId="793"/>
    <cellStyle name="Обычный 10 12 3 3 4 2" xfId="794"/>
    <cellStyle name="Обычный 10 12 3 3 5" xfId="795"/>
    <cellStyle name="Обычный 10 12 3 3 6" xfId="796"/>
    <cellStyle name="Обычный 10 12 3 4" xfId="797"/>
    <cellStyle name="Обычный 10 12 3 4 2" xfId="798"/>
    <cellStyle name="Обычный 10 12 3 4 3" xfId="799"/>
    <cellStyle name="Обычный 10 12 3 5" xfId="800"/>
    <cellStyle name="Обычный 10 12 3 5 2" xfId="801"/>
    <cellStyle name="Обычный 10 12 3 5 3" xfId="802"/>
    <cellStyle name="Обычный 10 12 3 6" xfId="803"/>
    <cellStyle name="Обычный 10 12 3 6 2" xfId="804"/>
    <cellStyle name="Обычный 10 12 3 7" xfId="805"/>
    <cellStyle name="Обычный 10 12 3 8" xfId="806"/>
    <cellStyle name="Обычный 10 12 4" xfId="807"/>
    <cellStyle name="Обычный 10 12 4 2" xfId="808"/>
    <cellStyle name="Обычный 10 12 4 2 2" xfId="809"/>
    <cellStyle name="Обычный 10 12 4 2 2 2" xfId="810"/>
    <cellStyle name="Обычный 10 12 4 2 2 3" xfId="811"/>
    <cellStyle name="Обычный 10 12 4 2 3" xfId="812"/>
    <cellStyle name="Обычный 10 12 4 2 3 2" xfId="813"/>
    <cellStyle name="Обычный 10 12 4 2 3 3" xfId="814"/>
    <cellStyle name="Обычный 10 12 4 2 4" xfId="815"/>
    <cellStyle name="Обычный 10 12 4 2 4 2" xfId="816"/>
    <cellStyle name="Обычный 10 12 4 2 5" xfId="817"/>
    <cellStyle name="Обычный 10 12 4 2 6" xfId="818"/>
    <cellStyle name="Обычный 10 12 4 3" xfId="819"/>
    <cellStyle name="Обычный 10 12 4 3 2" xfId="820"/>
    <cellStyle name="Обычный 10 12 4 3 3" xfId="821"/>
    <cellStyle name="Обычный 10 12 4 4" xfId="822"/>
    <cellStyle name="Обычный 10 12 4 4 2" xfId="823"/>
    <cellStyle name="Обычный 10 12 4 4 3" xfId="824"/>
    <cellStyle name="Обычный 10 12 4 5" xfId="825"/>
    <cellStyle name="Обычный 10 12 4 5 2" xfId="826"/>
    <cellStyle name="Обычный 10 12 4 6" xfId="827"/>
    <cellStyle name="Обычный 10 12 4 7" xfId="828"/>
    <cellStyle name="Обычный 10 12 5" xfId="829"/>
    <cellStyle name="Обычный 10 12 5 2" xfId="830"/>
    <cellStyle name="Обычный 10 12 5 2 2" xfId="831"/>
    <cellStyle name="Обычный 10 12 5 2 3" xfId="832"/>
    <cellStyle name="Обычный 10 12 5 3" xfId="833"/>
    <cellStyle name="Обычный 10 12 5 3 2" xfId="834"/>
    <cellStyle name="Обычный 10 12 5 3 3" xfId="835"/>
    <cellStyle name="Обычный 10 12 5 4" xfId="836"/>
    <cellStyle name="Обычный 10 12 5 4 2" xfId="837"/>
    <cellStyle name="Обычный 10 12 5 5" xfId="838"/>
    <cellStyle name="Обычный 10 12 5 6" xfId="839"/>
    <cellStyle name="Обычный 10 12 6" xfId="840"/>
    <cellStyle name="Обычный 10 12 6 2" xfId="841"/>
    <cellStyle name="Обычный 10 12 6 3" xfId="842"/>
    <cellStyle name="Обычный 10 12 7" xfId="843"/>
    <cellStyle name="Обычный 10 12 7 2" xfId="844"/>
    <cellStyle name="Обычный 10 12 7 3" xfId="845"/>
    <cellStyle name="Обычный 10 12 8" xfId="846"/>
    <cellStyle name="Обычный 10 12 8 2" xfId="847"/>
    <cellStyle name="Обычный 10 12 9" xfId="848"/>
    <cellStyle name="Обычный 10 13" xfId="849"/>
    <cellStyle name="Обычный 10 13 2" xfId="850"/>
    <cellStyle name="Обычный 10 13 2 2" xfId="851"/>
    <cellStyle name="Обычный 10 13 2 2 2" xfId="852"/>
    <cellStyle name="Обычный 10 13 2 2 2 2" xfId="853"/>
    <cellStyle name="Обычный 10 13 2 2 2 2 2" xfId="854"/>
    <cellStyle name="Обычный 10 13 2 2 2 2 3" xfId="855"/>
    <cellStyle name="Обычный 10 13 2 2 2 3" xfId="856"/>
    <cellStyle name="Обычный 10 13 2 2 2 3 2" xfId="857"/>
    <cellStyle name="Обычный 10 13 2 2 2 3 3" xfId="858"/>
    <cellStyle name="Обычный 10 13 2 2 2 4" xfId="859"/>
    <cellStyle name="Обычный 10 13 2 2 2 4 2" xfId="860"/>
    <cellStyle name="Обычный 10 13 2 2 2 5" xfId="861"/>
    <cellStyle name="Обычный 10 13 2 2 2 6" xfId="862"/>
    <cellStyle name="Обычный 10 13 2 2 3" xfId="863"/>
    <cellStyle name="Обычный 10 13 2 2 3 2" xfId="864"/>
    <cellStyle name="Обычный 10 13 2 2 3 3" xfId="865"/>
    <cellStyle name="Обычный 10 13 2 2 4" xfId="866"/>
    <cellStyle name="Обычный 10 13 2 2 4 2" xfId="867"/>
    <cellStyle name="Обычный 10 13 2 2 4 3" xfId="868"/>
    <cellStyle name="Обычный 10 13 2 2 5" xfId="869"/>
    <cellStyle name="Обычный 10 13 2 2 5 2" xfId="870"/>
    <cellStyle name="Обычный 10 13 2 2 6" xfId="871"/>
    <cellStyle name="Обычный 10 13 2 2 7" xfId="872"/>
    <cellStyle name="Обычный 10 13 2 3" xfId="873"/>
    <cellStyle name="Обычный 10 13 2 3 2" xfId="874"/>
    <cellStyle name="Обычный 10 13 2 3 2 2" xfId="875"/>
    <cellStyle name="Обычный 10 13 2 3 2 3" xfId="876"/>
    <cellStyle name="Обычный 10 13 2 3 3" xfId="877"/>
    <cellStyle name="Обычный 10 13 2 3 3 2" xfId="878"/>
    <cellStyle name="Обычный 10 13 2 3 3 3" xfId="879"/>
    <cellStyle name="Обычный 10 13 2 3 4" xfId="880"/>
    <cellStyle name="Обычный 10 13 2 3 4 2" xfId="881"/>
    <cellStyle name="Обычный 10 13 2 3 5" xfId="882"/>
    <cellStyle name="Обычный 10 13 2 3 6" xfId="883"/>
    <cellStyle name="Обычный 10 13 2 4" xfId="884"/>
    <cellStyle name="Обычный 10 13 2 4 2" xfId="885"/>
    <cellStyle name="Обычный 10 13 2 4 3" xfId="886"/>
    <cellStyle name="Обычный 10 13 2 5" xfId="887"/>
    <cellStyle name="Обычный 10 13 2 5 2" xfId="888"/>
    <cellStyle name="Обычный 10 13 2 5 3" xfId="889"/>
    <cellStyle name="Обычный 10 13 2 6" xfId="890"/>
    <cellStyle name="Обычный 10 13 2 6 2" xfId="891"/>
    <cellStyle name="Обычный 10 13 2 7" xfId="892"/>
    <cellStyle name="Обычный 10 13 2 8" xfId="893"/>
    <cellStyle name="Обычный 10 13 3" xfId="894"/>
    <cellStyle name="Обычный 10 13 3 2" xfId="895"/>
    <cellStyle name="Обычный 10 13 3 2 2" xfId="896"/>
    <cellStyle name="Обычный 10 13 3 2 2 2" xfId="897"/>
    <cellStyle name="Обычный 10 13 3 2 2 3" xfId="898"/>
    <cellStyle name="Обычный 10 13 3 2 3" xfId="899"/>
    <cellStyle name="Обычный 10 13 3 2 3 2" xfId="900"/>
    <cellStyle name="Обычный 10 13 3 2 3 3" xfId="901"/>
    <cellStyle name="Обычный 10 13 3 2 4" xfId="902"/>
    <cellStyle name="Обычный 10 13 3 2 4 2" xfId="903"/>
    <cellStyle name="Обычный 10 13 3 2 5" xfId="904"/>
    <cellStyle name="Обычный 10 13 3 2 6" xfId="905"/>
    <cellStyle name="Обычный 10 13 3 3" xfId="906"/>
    <cellStyle name="Обычный 10 13 3 3 2" xfId="907"/>
    <cellStyle name="Обычный 10 13 3 3 3" xfId="908"/>
    <cellStyle name="Обычный 10 13 3 4" xfId="909"/>
    <cellStyle name="Обычный 10 13 3 4 2" xfId="910"/>
    <cellStyle name="Обычный 10 13 3 4 3" xfId="911"/>
    <cellStyle name="Обычный 10 13 3 5" xfId="912"/>
    <cellStyle name="Обычный 10 13 3 5 2" xfId="913"/>
    <cellStyle name="Обычный 10 13 3 6" xfId="914"/>
    <cellStyle name="Обычный 10 13 3 7" xfId="915"/>
    <cellStyle name="Обычный 10 13 4" xfId="916"/>
    <cellStyle name="Обычный 10 13 4 2" xfId="917"/>
    <cellStyle name="Обычный 10 13 4 2 2" xfId="918"/>
    <cellStyle name="Обычный 10 13 4 2 3" xfId="919"/>
    <cellStyle name="Обычный 10 13 4 3" xfId="920"/>
    <cellStyle name="Обычный 10 13 4 3 2" xfId="921"/>
    <cellStyle name="Обычный 10 13 4 3 3" xfId="922"/>
    <cellStyle name="Обычный 10 13 4 4" xfId="923"/>
    <cellStyle name="Обычный 10 13 4 4 2" xfId="924"/>
    <cellStyle name="Обычный 10 13 4 5" xfId="925"/>
    <cellStyle name="Обычный 10 13 4 6" xfId="926"/>
    <cellStyle name="Обычный 10 13 5" xfId="927"/>
    <cellStyle name="Обычный 10 13 5 2" xfId="928"/>
    <cellStyle name="Обычный 10 13 5 3" xfId="929"/>
    <cellStyle name="Обычный 10 13 6" xfId="930"/>
    <cellStyle name="Обычный 10 13 6 2" xfId="931"/>
    <cellStyle name="Обычный 10 13 6 3" xfId="932"/>
    <cellStyle name="Обычный 10 13 7" xfId="933"/>
    <cellStyle name="Обычный 10 13 7 2" xfId="934"/>
    <cellStyle name="Обычный 10 13 8" xfId="935"/>
    <cellStyle name="Обычный 10 13 9" xfId="936"/>
    <cellStyle name="Обычный 10 14" xfId="937"/>
    <cellStyle name="Обычный 10 14 2" xfId="938"/>
    <cellStyle name="Обычный 10 14 2 2" xfId="939"/>
    <cellStyle name="Обычный 10 14 2 2 2" xfId="940"/>
    <cellStyle name="Обычный 10 14 2 2 2 2" xfId="941"/>
    <cellStyle name="Обычный 10 14 2 2 2 3" xfId="942"/>
    <cellStyle name="Обычный 10 14 2 2 3" xfId="943"/>
    <cellStyle name="Обычный 10 14 2 2 3 2" xfId="944"/>
    <cellStyle name="Обычный 10 14 2 2 3 3" xfId="945"/>
    <cellStyle name="Обычный 10 14 2 2 4" xfId="946"/>
    <cellStyle name="Обычный 10 14 2 2 4 2" xfId="947"/>
    <cellStyle name="Обычный 10 14 2 2 5" xfId="948"/>
    <cellStyle name="Обычный 10 14 2 2 6" xfId="949"/>
    <cellStyle name="Обычный 10 14 2 3" xfId="950"/>
    <cellStyle name="Обычный 10 14 2 3 3" xfId="951"/>
    <cellStyle name="Обычный 10 14 2 4" xfId="952"/>
    <cellStyle name="Обычный 10 14 2 4 2" xfId="953"/>
    <cellStyle name="Обычный 10 14 2 4 3" xfId="954"/>
    <cellStyle name="Обычный 10 14 2 5" xfId="955"/>
    <cellStyle name="Обычный 10 14 2 5 2" xfId="956"/>
    <cellStyle name="Обычный 10 14 2 6" xfId="957"/>
    <cellStyle name="Обычный 10 14 2 7" xfId="958"/>
    <cellStyle name="Обычный 10 14 3" xfId="959"/>
    <cellStyle name="Обычный 10 14 3 2" xfId="960"/>
    <cellStyle name="Обычный 10 14 3 2 2" xfId="961"/>
    <cellStyle name="Обычный 10 14 3 2 3" xfId="962"/>
    <cellStyle name="Обычный 10 14 3 3" xfId="963"/>
    <cellStyle name="Обычный 10 14 3 3 2" xfId="964"/>
    <cellStyle name="Обычный 10 14 3 3 3" xfId="965"/>
    <cellStyle name="Обычный 10 14 3 4" xfId="966"/>
    <cellStyle name="Обычный 10 14 3 4 2" xfId="967"/>
    <cellStyle name="Обычный 10 14 3 5" xfId="968"/>
    <cellStyle name="Обычный 10 14 3 6" xfId="969"/>
    <cellStyle name="Обычный 10 14 4" xfId="970"/>
    <cellStyle name="Обычный 10 14 4 2" xfId="971"/>
    <cellStyle name="Обычный 10 14 4 3" xfId="972"/>
    <cellStyle name="Обычный 10 14 5" xfId="973"/>
    <cellStyle name="Обычный 10 14 5 2" xfId="974"/>
    <cellStyle name="Обычный 10 14 5 3" xfId="975"/>
    <cellStyle name="Обычный 10 14 6" xfId="976"/>
    <cellStyle name="Обычный 10 14 6 2" xfId="977"/>
    <cellStyle name="Обычный 10 14 7" xfId="978"/>
    <cellStyle name="Обычный 10 14 8" xfId="979"/>
    <cellStyle name="Обычный 10 15" xfId="980"/>
    <cellStyle name="Обычный 10 15 2" xfId="981"/>
    <cellStyle name="Обычный 10 15 2 2" xfId="982"/>
    <cellStyle name="Обычный 10 15 2 2 2" xfId="983"/>
    <cellStyle name="Обычный 10 15 2 2 3" xfId="984"/>
    <cellStyle name="Обычный 10 15 2 3" xfId="985"/>
    <cellStyle name="Обычный 10 15 2 3 2" xfId="986"/>
    <cellStyle name="Обычный 10 15 2 3 3" xfId="987"/>
    <cellStyle name="Обычный 10 15 2 4" xfId="988"/>
    <cellStyle name="Обычный 10 15 2 4 2" xfId="989"/>
    <cellStyle name="Обычный 10 15 2 5" xfId="990"/>
    <cellStyle name="Обычный 10 15 2 6" xfId="991"/>
    <cellStyle name="Обычный 10 15 3" xfId="992"/>
    <cellStyle name="Обычный 10 15 3 2" xfId="993"/>
    <cellStyle name="Обычный 10 15 3 3" xfId="994"/>
    <cellStyle name="Обычный 10 15 4" xfId="995"/>
    <cellStyle name="Обычный 10 15 4 2" xfId="996"/>
    <cellStyle name="Обычный 10 15 4 3" xfId="997"/>
    <cellStyle name="Обычный 10 15 5" xfId="998"/>
    <cellStyle name="Обычный 10 15 5 2" xfId="999"/>
    <cellStyle name="Обычный 10 15 6" xfId="1000"/>
    <cellStyle name="Обычный 10 15 7" xfId="1001"/>
    <cellStyle name="Обычный 10 16" xfId="1002"/>
    <cellStyle name="Обычный 10 16 2" xfId="1003"/>
    <cellStyle name="Обычный 10 16 2 2" xfId="1004"/>
    <cellStyle name="Обычный 10 16 2 3" xfId="1005"/>
    <cellStyle name="Обычный 10 16 3" xfId="1006"/>
    <cellStyle name="Обычный 10 16 3 2" xfId="1007"/>
    <cellStyle name="Обычный 10 16 3 3" xfId="1008"/>
    <cellStyle name="Обычный 10 16 4" xfId="1009"/>
    <cellStyle name="Обычный 10 16 4 2" xfId="1010"/>
    <cellStyle name="Обычный 10 16 5" xfId="1011"/>
    <cellStyle name="Обычный 10 16 6" xfId="1012"/>
    <cellStyle name="Обычный 10 17" xfId="1013"/>
    <cellStyle name="Обычный 10 17 2" xfId="1014"/>
    <cellStyle name="Обычный 10 17 3" xfId="1015"/>
    <cellStyle name="Обычный 10 18" xfId="1016"/>
    <cellStyle name="Обычный 10 18 2" xfId="1017"/>
    <cellStyle name="Обычный 10 18 3" xfId="1018"/>
    <cellStyle name="Обычный 10 19" xfId="1019"/>
    <cellStyle name="Обычный 10 19 2" xfId="1020"/>
    <cellStyle name="Обычный 10 2" xfId="1021"/>
    <cellStyle name="Обычный 10 2 10" xfId="1022"/>
    <cellStyle name="Обычный 10 2 10 2" xfId="1023"/>
    <cellStyle name="Обычный 10 2 10 3" xfId="1024"/>
    <cellStyle name="Обычный 10 2 11" xfId="1025"/>
    <cellStyle name="Обычный 10 2 11 2" xfId="1026"/>
    <cellStyle name="Обычный 10 2 11 3" xfId="1027"/>
    <cellStyle name="Обычный 10 2 12" xfId="1028"/>
    <cellStyle name="Обычный 10 2 12 2" xfId="1029"/>
    <cellStyle name="Обычный 10 2 13" xfId="1030"/>
    <cellStyle name="Обычный 10 2 14" xfId="1031"/>
    <cellStyle name="Обычный 10 2 2" xfId="1032"/>
    <cellStyle name="Обычный 10 2 2 10" xfId="1033"/>
    <cellStyle name="Обычный 10 2 2 10 2" xfId="1034"/>
    <cellStyle name="Обычный 10 2 2 10 3" xfId="1035"/>
    <cellStyle name="Обычный 10 2 2 11" xfId="1036"/>
    <cellStyle name="Обычный 10 2 2 11 2" xfId="1037"/>
    <cellStyle name="Обычный 10 2 2 12" xfId="1038"/>
    <cellStyle name="Обычный 10 2 2 13" xfId="1039"/>
    <cellStyle name="Обычный 10 2 2 2" xfId="1040"/>
    <cellStyle name="Обычный 10 2 2 2 10" xfId="1041"/>
    <cellStyle name="Обычный 10 2 2 2 2" xfId="1042"/>
    <cellStyle name="Обычный 10 2 2 2 2 2" xfId="1043"/>
    <cellStyle name="Обычный 10 2 2 2 2 2 2" xfId="1044"/>
    <cellStyle name="Обычный 10 2 2 2 2 2 2 2" xfId="1045"/>
    <cellStyle name="Обычный 10 2 2 2 2 2 2 2 2" xfId="1046"/>
    <cellStyle name="Обычный 10 2 2 2 2 2 2 2 2 2" xfId="1047"/>
    <cellStyle name="Обычный 10 2 2 2 2 2 2 2 2 3" xfId="1048"/>
    <cellStyle name="Обычный 10 2 2 2 2 2 2 2 3" xfId="1049"/>
    <cellStyle name="Обычный 10 2 2 2 2 2 2 2 3 2" xfId="1050"/>
    <cellStyle name="Обычный 10 2 2 2 2 2 2 2 3 3" xfId="1051"/>
    <cellStyle name="Обычный 10 2 2 2 2 2 2 2 4" xfId="1052"/>
    <cellStyle name="Обычный 10 2 2 2 2 2 2 2 4 2" xfId="1053"/>
    <cellStyle name="Обычный 10 2 2 2 2 2 2 2 5" xfId="1054"/>
    <cellStyle name="Обычный 10 2 2 2 2 2 2 2 6" xfId="1055"/>
    <cellStyle name="Обычный 10 2 2 2 2 2 2 3" xfId="1056"/>
    <cellStyle name="Обычный 10 2 2 2 2 2 2 3 2" xfId="1057"/>
    <cellStyle name="Обычный 10 2 2 2 2 2 2 3 3" xfId="1058"/>
    <cellStyle name="Обычный 10 2 2 2 2 2 2 4" xfId="1059"/>
    <cellStyle name="Обычный 10 2 2 2 2 2 2 4 2" xfId="1060"/>
    <cellStyle name="Обычный 10 2 2 2 2 2 2 4 3" xfId="1061"/>
    <cellStyle name="Обычный 10 2 2 2 2 2 2 5" xfId="1062"/>
    <cellStyle name="Обычный 10 2 2 2 2 2 2 5 2" xfId="1063"/>
    <cellStyle name="Обычный 10 2 2 2 2 2 2 6" xfId="1064"/>
    <cellStyle name="Обычный 10 2 2 2 2 2 2 7" xfId="1065"/>
    <cellStyle name="Обычный 10 2 2 2 2 2 3" xfId="1066"/>
    <cellStyle name="Обычный 10 2 2 2 2 2 3 2" xfId="1067"/>
    <cellStyle name="Обычный 10 2 2 2 2 2 3 2 2" xfId="1068"/>
    <cellStyle name="Обычный 10 2 2 2 2 2 3 2 3" xfId="1069"/>
    <cellStyle name="Обычный 10 2 2 2 2 2 3 3" xfId="1070"/>
    <cellStyle name="Обычный 10 2 2 2 2 2 3 3 2" xfId="1071"/>
    <cellStyle name="Обычный 10 2 2 2 2 2 3 3 3" xfId="1072"/>
    <cellStyle name="Обычный 10 2 2 2 2 2 3 4" xfId="1073"/>
    <cellStyle name="Обычный 10 2 2 2 2 2 3 4 2" xfId="1074"/>
    <cellStyle name="Обычный 10 2 2 2 2 2 3 5" xfId="1075"/>
    <cellStyle name="Обычный 10 2 2 2 2 2 3 6" xfId="1076"/>
    <cellStyle name="Обычный 10 2 2 2 2 2 4" xfId="1077"/>
    <cellStyle name="Обычный 10 2 2 2 2 2 4 2" xfId="1078"/>
    <cellStyle name="Обычный 10 2 2 2 2 2 4 3" xfId="1079"/>
    <cellStyle name="Обычный 10 2 2 2 2 2 5" xfId="1080"/>
    <cellStyle name="Обычный 10 2 2 2 2 2 5 2" xfId="1081"/>
    <cellStyle name="Обычный 10 2 2 2 2 2 5 3" xfId="1082"/>
    <cellStyle name="Обычный 10 2 2 2 2 2 6" xfId="1083"/>
    <cellStyle name="Обычный 10 2 2 2 2 2 6 2" xfId="1084"/>
    <cellStyle name="Обычный 10 2 2 2 2 2 7" xfId="1085"/>
    <cellStyle name="Обычный 10 2 2 2 2 2 8" xfId="1086"/>
    <cellStyle name="Обычный 10 2 2 2 2 3" xfId="1087"/>
    <cellStyle name="Обычный 10 2 2 2 2 3 2" xfId="1088"/>
    <cellStyle name="Обычный 10 2 2 2 2 3 2 2" xfId="1089"/>
    <cellStyle name="Обычный 10 2 2 2 2 3 2 2 2" xfId="1090"/>
    <cellStyle name="Обычный 10 2 2 2 2 3 2 2 3" xfId="1091"/>
    <cellStyle name="Обычный 10 2 2 2 2 3 2 3" xfId="1092"/>
    <cellStyle name="Обычный 10 2 2 2 2 3 2 3 2" xfId="1093"/>
    <cellStyle name="Обычный 10 2 2 2 2 3 2 3 3" xfId="1094"/>
    <cellStyle name="Обычный 10 2 2 2 2 3 2 4" xfId="1095"/>
    <cellStyle name="Обычный 10 2 2 2 2 3 2 4 2" xfId="1096"/>
    <cellStyle name="Обычный 10 2 2 2 2 3 2 5" xfId="1097"/>
    <cellStyle name="Обычный 10 2 2 2 2 3 2 6" xfId="1098"/>
    <cellStyle name="Обычный 10 2 2 2 2 3 3" xfId="1099"/>
    <cellStyle name="Обычный 10 2 2 2 2 3 3 2" xfId="1100"/>
    <cellStyle name="Обычный 10 2 2 2 2 3 3 3" xfId="1101"/>
    <cellStyle name="Обычный 10 2 2 2 2 3 4" xfId="1102"/>
    <cellStyle name="Обычный 10 2 2 2 2 3 4 2" xfId="1103"/>
    <cellStyle name="Обычный 10 2 2 2 2 3 4 3" xfId="1104"/>
    <cellStyle name="Обычный 10 2 2 2 2 3 5" xfId="1105"/>
    <cellStyle name="Обычный 10 2 2 2 2 3 5 2" xfId="1106"/>
    <cellStyle name="Обычный 10 2 2 2 2 3 6" xfId="1107"/>
    <cellStyle name="Обычный 10 2 2 2 2 3 7" xfId="1108"/>
    <cellStyle name="Обычный 10 2 2 2 2 4" xfId="1109"/>
    <cellStyle name="Обычный 10 2 2 2 2 4 2" xfId="1110"/>
    <cellStyle name="Обычный 10 2 2 2 2 4 2 2" xfId="1111"/>
    <cellStyle name="Обычный 10 2 2 2 2 4 2 3" xfId="1112"/>
    <cellStyle name="Обычный 10 2 2 2 2 4 3" xfId="1113"/>
    <cellStyle name="Обычный 10 2 2 2 2 4 3 2" xfId="1114"/>
    <cellStyle name="Обычный 10 2 2 2 2 4 3 3" xfId="1115"/>
    <cellStyle name="Обычный 10 2 2 2 2 4 4" xfId="1116"/>
    <cellStyle name="Обычный 10 2 2 2 2 4 4 2" xfId="1117"/>
    <cellStyle name="Обычный 10 2 2 2 2 4 5" xfId="1118"/>
    <cellStyle name="Обычный 10 2 2 2 2 4 6" xfId="1119"/>
    <cellStyle name="Обычный 10 2 2 2 2 5" xfId="1120"/>
    <cellStyle name="Обычный 10 2 2 2 2 5 2" xfId="1121"/>
    <cellStyle name="Обычный 10 2 2 2 2 5 3" xfId="1122"/>
    <cellStyle name="Обычный 10 2 2 2 2 6" xfId="1123"/>
    <cellStyle name="Обычный 10 2 2 2 2 6 2" xfId="1124"/>
    <cellStyle name="Обычный 10 2 2 2 2 6 3" xfId="1125"/>
    <cellStyle name="Обычный 10 2 2 2 2 7" xfId="1126"/>
    <cellStyle name="Обычный 10 2 2 2 2 7 2" xfId="1127"/>
    <cellStyle name="Обычный 10 2 2 2 2 8" xfId="1128"/>
    <cellStyle name="Обычный 10 2 2 2 2 9" xfId="1129"/>
    <cellStyle name="Обычный 10 2 2 2 3" xfId="1130"/>
    <cellStyle name="Обычный 10 2 2 2 3 2" xfId="1131"/>
    <cellStyle name="Обычный 10 2 2 2 3 2 2" xfId="1132"/>
    <cellStyle name="Обычный 10 2 2 2 3 2 2 2" xfId="1133"/>
    <cellStyle name="Обычный 10 2 2 2 3 2 2 2 2" xfId="1134"/>
    <cellStyle name="Обычный 10 2 2 2 3 2 2 2 3" xfId="1135"/>
    <cellStyle name="Обычный 10 2 2 2 3 2 2 3" xfId="1136"/>
    <cellStyle name="Обычный 10 2 2 2 3 2 2 3 2" xfId="1137"/>
    <cellStyle name="Обычный 10 2 2 2 3 2 2 3 3" xfId="1138"/>
    <cellStyle name="Обычный 10 2 2 2 3 2 2 4" xfId="1139"/>
    <cellStyle name="Обычный 10 2 2 2 3 2 2 4 2" xfId="1140"/>
    <cellStyle name="Обычный 10 2 2 2 3 2 2 5" xfId="1141"/>
    <cellStyle name="Обычный 10 2 2 2 3 2 2 6" xfId="1142"/>
    <cellStyle name="Обычный 10 2 2 2 3 2 3" xfId="1143"/>
    <cellStyle name="Обычный 10 2 2 2 3 2 3 2" xfId="1144"/>
    <cellStyle name="Обычный 10 2 2 2 3 2 3 3" xfId="1145"/>
    <cellStyle name="Обычный 10 2 2 2 3 2 4" xfId="1146"/>
    <cellStyle name="Обычный 10 2 2 2 3 2 4 2" xfId="1147"/>
    <cellStyle name="Обычный 10 2 2 2 3 2 4 3" xfId="1148"/>
    <cellStyle name="Обычный 10 2 2 2 3 2 5" xfId="1149"/>
    <cellStyle name="Обычный 10 2 2 2 3 2 5 2" xfId="1150"/>
    <cellStyle name="Обычный 10 2 2 2 3 2 6" xfId="1151"/>
    <cellStyle name="Обычный 10 2 2 2 3 2 7" xfId="1152"/>
    <cellStyle name="Обычный 10 2 2 2 3 3" xfId="1153"/>
    <cellStyle name="Обычный 10 2 2 2 3 3 2" xfId="1154"/>
    <cellStyle name="Обычный 10 2 2 2 3 3 2 2" xfId="1155"/>
    <cellStyle name="Обычный 10 2 2 2 3 3 2 3" xfId="1156"/>
    <cellStyle name="Обычный 10 2 2 2 3 3 3" xfId="1157"/>
    <cellStyle name="Обычный 10 2 2 2 3 3 3 2" xfId="1158"/>
    <cellStyle name="Обычный 10 2 2 2 3 3 3 3" xfId="1159"/>
    <cellStyle name="Обычный 10 2 2 2 3 3 4" xfId="1160"/>
    <cellStyle name="Обычный 10 2 2 2 3 3 4 2" xfId="1161"/>
    <cellStyle name="Обычный 10 2 2 2 3 3 5" xfId="1162"/>
    <cellStyle name="Обычный 10 2 2 2 3 3 6" xfId="1163"/>
    <cellStyle name="Обычный 10 2 2 2 3 4" xfId="1164"/>
    <cellStyle name="Обычный 10 2 2 2 3 4 2" xfId="1165"/>
    <cellStyle name="Обычный 10 2 2 2 3 4 3" xfId="1166"/>
    <cellStyle name="Обычный 10 2 2 2 3 5" xfId="1167"/>
    <cellStyle name="Обычный 10 2 2 2 3 5 2" xfId="1168"/>
    <cellStyle name="Обычный 10 2 2 2 3 5 3" xfId="1169"/>
    <cellStyle name="Обычный 10 2 2 2 3 6" xfId="1170"/>
    <cellStyle name="Обычный 10 2 2 2 3 6 2" xfId="1171"/>
    <cellStyle name="Обычный 10 2 2 2 3 7" xfId="1172"/>
    <cellStyle name="Обычный 10 2 2 2 3 8" xfId="1173"/>
    <cellStyle name="Обычный 10 2 2 2 4" xfId="1174"/>
    <cellStyle name="Обычный 10 2 2 2 4 2" xfId="1175"/>
    <cellStyle name="Обычный 10 2 2 2 4 2 2" xfId="1176"/>
    <cellStyle name="Обычный 10 2 2 2 4 2 2 2" xfId="1177"/>
    <cellStyle name="Обычный 10 2 2 2 4 2 2 3" xfId="1178"/>
    <cellStyle name="Обычный 10 2 2 2 4 2 3" xfId="1179"/>
    <cellStyle name="Обычный 10 2 2 2 4 2 3 2" xfId="1180"/>
    <cellStyle name="Обычный 10 2 2 2 4 2 3 3" xfId="1181"/>
    <cellStyle name="Обычный 10 2 2 2 4 2 4" xfId="1182"/>
    <cellStyle name="Обычный 10 2 2 2 4 2 4 2" xfId="1183"/>
    <cellStyle name="Обычный 10 2 2 2 4 2 5" xfId="1184"/>
    <cellStyle name="Обычный 10 2 2 2 4 2 6" xfId="1185"/>
    <cellStyle name="Обычный 10 2 2 2 4 3" xfId="1186"/>
    <cellStyle name="Обычный 10 2 2 2 4 3 2" xfId="1187"/>
    <cellStyle name="Обычный 10 2 2 2 4 3 3" xfId="1188"/>
    <cellStyle name="Обычный 10 2 2 2 4 4" xfId="1189"/>
    <cellStyle name="Обычный 10 2 2 2 4 4 2" xfId="1190"/>
    <cellStyle name="Обычный 10 2 2 2 4 4 3" xfId="1191"/>
    <cellStyle name="Обычный 10 2 2 2 4 5" xfId="1192"/>
    <cellStyle name="Обычный 10 2 2 2 4 5 2" xfId="1193"/>
    <cellStyle name="Обычный 10 2 2 2 4 6" xfId="1194"/>
    <cellStyle name="Обычный 10 2 2 2 4 7" xfId="1195"/>
    <cellStyle name="Обычный 10 2 2 2 5" xfId="1196"/>
    <cellStyle name="Обычный 10 2 2 2 5 2" xfId="1197"/>
    <cellStyle name="Обычный 10 2 2 2 5 2 2" xfId="1198"/>
    <cellStyle name="Обычный 10 2 2 2 5 2 3" xfId="1199"/>
    <cellStyle name="Обычный 10 2 2 2 5 3" xfId="1200"/>
    <cellStyle name="Обычный 10 2 2 2 5 3 2" xfId="1201"/>
    <cellStyle name="Обычный 10 2 2 2 5 3 3" xfId="1202"/>
    <cellStyle name="Обычный 10 2 2 2 5 4" xfId="1203"/>
    <cellStyle name="Обычный 10 2 2 2 5 4 2" xfId="1204"/>
    <cellStyle name="Обычный 10 2 2 2 5 5" xfId="1205"/>
    <cellStyle name="Обычный 10 2 2 2 5 6" xfId="1206"/>
    <cellStyle name="Обычный 10 2 2 2 6" xfId="1207"/>
    <cellStyle name="Обычный 10 2 2 2 6 2" xfId="1208"/>
    <cellStyle name="Обычный 10 2 2 2 6 3" xfId="1209"/>
    <cellStyle name="Обычный 10 2 2 2 7" xfId="1210"/>
    <cellStyle name="Обычный 10 2 2 2 7 2" xfId="1211"/>
    <cellStyle name="Обычный 10 2 2 2 7 3" xfId="1212"/>
    <cellStyle name="Обычный 10 2 2 2 8" xfId="1213"/>
    <cellStyle name="Обычный 10 2 2 2 8 2" xfId="1214"/>
    <cellStyle name="Обычный 10 2 2 2 9" xfId="1215"/>
    <cellStyle name="Обычный 10 2 2 3" xfId="1216"/>
    <cellStyle name="Обычный 10 2 2 3 10" xfId="1217"/>
    <cellStyle name="Обычный 10 2 2 3 2" xfId="1218"/>
    <cellStyle name="Обычный 10 2 2 3 2 2" xfId="1219"/>
    <cellStyle name="Обычный 10 2 2 3 2 2 2" xfId="1220"/>
    <cellStyle name="Обычный 10 2 2 3 2 2 2 2" xfId="1221"/>
    <cellStyle name="Обычный 10 2 2 3 2 2 2 2 2" xfId="1222"/>
    <cellStyle name="Обычный 10 2 2 3 2 2 2 2 2 2" xfId="1223"/>
    <cellStyle name="Обычный 10 2 2 3 2 2 2 2 2 3" xfId="1224"/>
    <cellStyle name="Обычный 10 2 2 3 2 2 2 2 3" xfId="1225"/>
    <cellStyle name="Обычный 10 2 2 3 2 2 2 2 3 2" xfId="1226"/>
    <cellStyle name="Обычный 10 2 2 3 2 2 2 2 3 3" xfId="1227"/>
    <cellStyle name="Обычный 10 2 2 3 2 2 2 2 4" xfId="1228"/>
    <cellStyle name="Обычный 10 2 2 3 2 2 2 2 4 2" xfId="1229"/>
    <cellStyle name="Обычный 10 2 2 3 2 2 2 2 5" xfId="1230"/>
    <cellStyle name="Обычный 10 2 2 3 2 2 2 2 6" xfId="1231"/>
    <cellStyle name="Обычный 10 2 2 3 2 2 2 3" xfId="1232"/>
    <cellStyle name="Обычный 10 2 2 3 2 2 2 3 2" xfId="1233"/>
    <cellStyle name="Обычный 10 2 2 3 2 2 2 3 3" xfId="1234"/>
    <cellStyle name="Обычный 10 2 2 3 2 2 2 4" xfId="1235"/>
    <cellStyle name="Обычный 10 2 2 3 2 2 2 4 2" xfId="1236"/>
    <cellStyle name="Обычный 10 2 2 3 2 2 2 4 3" xfId="1237"/>
    <cellStyle name="Обычный 10 2 2 3 2 2 2 5" xfId="1238"/>
    <cellStyle name="Обычный 10 2 2 3 2 2 2 5 2" xfId="1239"/>
    <cellStyle name="Обычный 10 2 2 3 2 2 2 6" xfId="1240"/>
    <cellStyle name="Обычный 10 2 2 3 2 2 2 7" xfId="1241"/>
    <cellStyle name="Обычный 10 2 2 3 2 2 3" xfId="1242"/>
    <cellStyle name="Обычный 10 2 2 3 2 2 3 2" xfId="1243"/>
    <cellStyle name="Обычный 10 2 2 3 2 2 3 2 2" xfId="1244"/>
    <cellStyle name="Обычный 10 2 2 3 2 2 3 2 3" xfId="1245"/>
    <cellStyle name="Обычный 10 2 2 3 2 2 3 3" xfId="1246"/>
    <cellStyle name="Обычный 10 2 2 3 2 2 3 3 2" xfId="1247"/>
    <cellStyle name="Обычный 10 2 2 3 2 2 3 3 3" xfId="1248"/>
    <cellStyle name="Обычный 10 2 2 3 2 2 3 4" xfId="1249"/>
    <cellStyle name="Обычный 10 2 2 3 2 2 3 4 2" xfId="1250"/>
    <cellStyle name="Обычный 10 2 2 3 2 2 3 5" xfId="1251"/>
    <cellStyle name="Обычный 10 2 2 3 2 2 3 6" xfId="1252"/>
    <cellStyle name="Обычный 10 2 2 3 2 2 4" xfId="1253"/>
    <cellStyle name="Обычный 10 2 2 3 2 2 4 2" xfId="1254"/>
    <cellStyle name="Обычный 10 2 2 3 2 2 4 3" xfId="1255"/>
    <cellStyle name="Обычный 10 2 2 3 2 2 5" xfId="1256"/>
    <cellStyle name="Обычный 10 2 2 3 2 2 5 2" xfId="1257"/>
    <cellStyle name="Обычный 10 2 2 3 2 2 5 3" xfId="1258"/>
    <cellStyle name="Обычный 10 2 2 3 2 2 6" xfId="1259"/>
    <cellStyle name="Обычный 10 2 2 3 2 2 6 2" xfId="1260"/>
    <cellStyle name="Обычный 10 2 2 3 2 2 7" xfId="1261"/>
    <cellStyle name="Обычный 10 2 2 3 2 2 8" xfId="1262"/>
    <cellStyle name="Обычный 10 2 2 3 2 3" xfId="1263"/>
    <cellStyle name="Обычный 10 2 2 3 2 3 2" xfId="1264"/>
    <cellStyle name="Обычный 10 2 2 3 2 3 2 2" xfId="1265"/>
    <cellStyle name="Обычный 10 2 2 3 2 3 2 2 2" xfId="1266"/>
    <cellStyle name="Обычный 10 2 2 3 2 3 2 2 3" xfId="1267"/>
    <cellStyle name="Обычный 10 2 2 3 2 3 2 3" xfId="1268"/>
    <cellStyle name="Обычный 10 2 2 3 2 3 2 3 2" xfId="1269"/>
    <cellStyle name="Обычный 10 2 2 3 2 3 2 3 3" xfId="1270"/>
    <cellStyle name="Обычный 10 2 2 3 2 3 2 4" xfId="1271"/>
    <cellStyle name="Обычный 10 2 2 3 2 3 2 4 2" xfId="1272"/>
    <cellStyle name="Обычный 10 2 2 3 2 3 2 5" xfId="1273"/>
    <cellStyle name="Обычный 10 2 2 3 2 3 2 6" xfId="1274"/>
    <cellStyle name="Обычный 10 2 2 3 2 3 3" xfId="1275"/>
    <cellStyle name="Обычный 10 2 2 3 2 3 3 2" xfId="1276"/>
    <cellStyle name="Обычный 10 2 2 3 2 3 3 3" xfId="1277"/>
    <cellStyle name="Обычный 10 2 2 3 2 3 4" xfId="1278"/>
    <cellStyle name="Обычный 10 2 2 3 2 3 4 2" xfId="1279"/>
    <cellStyle name="Обычный 10 2 2 3 2 3 4 3" xfId="1280"/>
    <cellStyle name="Обычный 10 2 2 3 2 3 5" xfId="1281"/>
    <cellStyle name="Обычный 10 2 2 3 2 3 5 2" xfId="1282"/>
    <cellStyle name="Обычный 10 2 2 3 2 3 6" xfId="1283"/>
    <cellStyle name="Обычный 10 2 2 3 2 3 7" xfId="1284"/>
    <cellStyle name="Обычный 10 2 2 3 2 4" xfId="1285"/>
    <cellStyle name="Обычный 10 2 2 3 2 4 2" xfId="1286"/>
    <cellStyle name="Обычный 10 2 2 3 2 4 2 2" xfId="1287"/>
    <cellStyle name="Обычный 10 2 2 3 2 4 2 3" xfId="1288"/>
    <cellStyle name="Обычный 10 2 2 3 2 4 3" xfId="1289"/>
    <cellStyle name="Обычный 10 2 2 3 2 4 3 2" xfId="1290"/>
    <cellStyle name="Обычный 10 2 2 3 2 4 3 3" xfId="1291"/>
    <cellStyle name="Обычный 10 2 2 3 2 4 4" xfId="1292"/>
    <cellStyle name="Обычный 10 2 2 3 2 4 4 2" xfId="1293"/>
    <cellStyle name="Обычный 10 2 2 3 2 4 5" xfId="1294"/>
    <cellStyle name="Обычный 10 2 2 3 2 4 6" xfId="1295"/>
    <cellStyle name="Обычный 10 2 2 3 2 5" xfId="1296"/>
    <cellStyle name="Обычный 10 2 2 3 2 5 2" xfId="1297"/>
    <cellStyle name="Обычный 10 2 2 3 2 5 3" xfId="1298"/>
    <cellStyle name="Обычный 10 2 2 3 2 6" xfId="1299"/>
    <cellStyle name="Обычный 10 2 2 3 2 6 2" xfId="1300"/>
    <cellStyle name="Обычный 10 2 2 3 2 6 3" xfId="1301"/>
    <cellStyle name="Обычный 10 2 2 3 2 7" xfId="1302"/>
    <cellStyle name="Обычный 10 2 2 3 2 7 2" xfId="1303"/>
    <cellStyle name="Обычный 10 2 2 3 2 8" xfId="1304"/>
    <cellStyle name="Обычный 10 2 2 3 2 9" xfId="1305"/>
    <cellStyle name="Обычный 10 2 2 3 3" xfId="1306"/>
    <cellStyle name="Обычный 10 2 2 3 3 2" xfId="1307"/>
    <cellStyle name="Обычный 10 2 2 3 3 2 2" xfId="1308"/>
    <cellStyle name="Обычный 10 2 2 3 3 2 2 2" xfId="1309"/>
    <cellStyle name="Обычный 10 2 2 3 3 2 2 2 2" xfId="1310"/>
    <cellStyle name="Обычный 10 2 2 3 3 2 2 2 3" xfId="1311"/>
    <cellStyle name="Обычный 10 2 2 3 3 2 2 3" xfId="1312"/>
    <cellStyle name="Обычный 10 2 2 3 3 2 2 3 2" xfId="1313"/>
    <cellStyle name="Обычный 10 2 2 3 3 2 2 3 3" xfId="1314"/>
    <cellStyle name="Обычный 10 2 2 3 3 2 2 4" xfId="1315"/>
    <cellStyle name="Обычный 10 2 2 3 3 2 2 4 2" xfId="1316"/>
    <cellStyle name="Обычный 10 2 2 3 3 2 2 5" xfId="1317"/>
    <cellStyle name="Обычный 10 2 2 3 3 2 2 6" xfId="1318"/>
    <cellStyle name="Обычный 10 2 2 3 3 2 3" xfId="1319"/>
    <cellStyle name="Обычный 10 2 2 3 3 2 3 2" xfId="1320"/>
    <cellStyle name="Обычный 10 2 2 3 3 2 3 3" xfId="1321"/>
    <cellStyle name="Обычный 10 2 2 3 3 2 4" xfId="1322"/>
    <cellStyle name="Обычный 10 2 2 3 3 2 4 2" xfId="1323"/>
    <cellStyle name="Обычный 10 2 2 3 3 2 4 3" xfId="1324"/>
    <cellStyle name="Обычный 10 2 2 3 3 2 5" xfId="1325"/>
    <cellStyle name="Обычный 10 2 2 3 3 2 5 2" xfId="1326"/>
    <cellStyle name="Обычный 10 2 2 3 3 2 6" xfId="1327"/>
    <cellStyle name="Обычный 10 2 2 3 3 2 7" xfId="1328"/>
    <cellStyle name="Обычный 10 2 2 3 3 3" xfId="1329"/>
    <cellStyle name="Обычный 10 2 2 3 3 3 2" xfId="1330"/>
    <cellStyle name="Обычный 10 2 2 3 3 3 2 2" xfId="1331"/>
    <cellStyle name="Обычный 10 2 2 3 3 3 2 3" xfId="1332"/>
    <cellStyle name="Обычный 10 2 2 3 3 3 3" xfId="1333"/>
    <cellStyle name="Обычный 10 2 2 3 3 3 3 2" xfId="1334"/>
    <cellStyle name="Обычный 10 2 2 3 3 3 3 3" xfId="1335"/>
    <cellStyle name="Обычный 10 2 2 3 3 3 4" xfId="1336"/>
    <cellStyle name="Обычный 10 2 2 3 3 3 4 2" xfId="1337"/>
    <cellStyle name="Обычный 10 2 2 3 3 3 5" xfId="1338"/>
    <cellStyle name="Обычный 10 2 2 3 3 3 6" xfId="1339"/>
    <cellStyle name="Обычный 10 2 2 3 3 4" xfId="1340"/>
    <cellStyle name="Обычный 10 2 2 3 3 4 2" xfId="1341"/>
    <cellStyle name="Обычный 10 2 2 3 3 4 3" xfId="1342"/>
    <cellStyle name="Обычный 10 2 2 3 3 5" xfId="1343"/>
    <cellStyle name="Обычный 10 2 2 3 3 5 2" xfId="1344"/>
    <cellStyle name="Обычный 10 2 2 3 3 5 3" xfId="1345"/>
    <cellStyle name="Обычный 10 2 2 3 3 6" xfId="1346"/>
    <cellStyle name="Обычный 10 2 2 3 3 6 2" xfId="1347"/>
    <cellStyle name="Обычный 10 2 2 3 3 7" xfId="1348"/>
    <cellStyle name="Обычный 10 2 2 3 3 8" xfId="1349"/>
    <cellStyle name="Обычный 10 2 2 3 4" xfId="1350"/>
    <cellStyle name="Обычный 10 2 2 3 4 2" xfId="1351"/>
    <cellStyle name="Обычный 10 2 2 3 4 2 2" xfId="1352"/>
    <cellStyle name="Обычный 10 2 2 3 4 2 2 2" xfId="1353"/>
    <cellStyle name="Обычный 10 2 2 3 4 2 2 3" xfId="1354"/>
    <cellStyle name="Обычный 10 2 2 3 4 2 3" xfId="1355"/>
    <cellStyle name="Обычный 10 2 2 3 4 2 3 2" xfId="1356"/>
    <cellStyle name="Обычный 10 2 2 3 4 2 3 3" xfId="1357"/>
    <cellStyle name="Обычный 10 2 2 3 4 2 4" xfId="1358"/>
    <cellStyle name="Обычный 10 2 2 3 4 2 4 2" xfId="1359"/>
    <cellStyle name="Обычный 10 2 2 3 4 2 5" xfId="1360"/>
    <cellStyle name="Обычный 10 2 2 3 4 2 6" xfId="1361"/>
    <cellStyle name="Обычный 10 2 2 3 4 3" xfId="1362"/>
    <cellStyle name="Обычный 10 2 2 3 4 3 2" xfId="1363"/>
    <cellStyle name="Обычный 10 2 2 3 4 3 3" xfId="1364"/>
    <cellStyle name="Обычный 10 2 2 3 4 4" xfId="1365"/>
    <cellStyle name="Обычный 10 2 2 3 4 4 2" xfId="1366"/>
    <cellStyle name="Обычный 10 2 2 3 4 4 3" xfId="1367"/>
    <cellStyle name="Обычный 10 2 2 3 4 5" xfId="1368"/>
    <cellStyle name="Обычный 10 2 2 3 4 5 2" xfId="1369"/>
    <cellStyle name="Обычный 10 2 2 3 4 6" xfId="1370"/>
    <cellStyle name="Обычный 10 2 2 3 4 7" xfId="1371"/>
    <cellStyle name="Обычный 10 2 2 3 5" xfId="1372"/>
    <cellStyle name="Обычный 10 2 2 3 5 2" xfId="1373"/>
    <cellStyle name="Обычный 10 2 2 3 5 2 2" xfId="1374"/>
    <cellStyle name="Обычный 10 2 2 3 5 2 3" xfId="1375"/>
    <cellStyle name="Обычный 10 2 2 3 5 3" xfId="1376"/>
    <cellStyle name="Обычный 10 2 2 3 5 3 2" xfId="1377"/>
    <cellStyle name="Обычный 10 2 2 3 5 3 3" xfId="1378"/>
    <cellStyle name="Обычный 10 2 2 3 5 4" xfId="1379"/>
    <cellStyle name="Обычный 10 2 2 3 5 4 2" xfId="1380"/>
    <cellStyle name="Обычный 10 2 2 3 5 5" xfId="1381"/>
    <cellStyle name="Обычный 10 2 2 3 5 6" xfId="1382"/>
    <cellStyle name="Обычный 10 2 2 3 6" xfId="1383"/>
    <cellStyle name="Обычный 10 2 2 3 6 2" xfId="1384"/>
    <cellStyle name="Обычный 10 2 2 3 6 3" xfId="1385"/>
    <cellStyle name="Обычный 10 2 2 3 7" xfId="1386"/>
    <cellStyle name="Обычный 10 2 2 3 7 2" xfId="1387"/>
    <cellStyle name="Обычный 10 2 2 3 7 3" xfId="1388"/>
    <cellStyle name="Обычный 10 2 2 3 8" xfId="1389"/>
    <cellStyle name="Обычный 10 2 2 3 8 2" xfId="1390"/>
    <cellStyle name="Обычный 10 2 2 3 9" xfId="1391"/>
    <cellStyle name="Обычный 10 2 2 4" xfId="1392"/>
    <cellStyle name="Обычный 10 2 2 4 10" xfId="1393"/>
    <cellStyle name="Обычный 10 2 2 4 2" xfId="1394"/>
    <cellStyle name="Обычный 10 2 2 4 2 2" xfId="1395"/>
    <cellStyle name="Обычный 10 2 2 4 2 2 2" xfId="1396"/>
    <cellStyle name="Обычный 10 2 2 4 2 2 2 2" xfId="1397"/>
    <cellStyle name="Обычный 10 2 2 4 2 2 2 2 2" xfId="1398"/>
    <cellStyle name="Обычный 10 2 2 4 2 2 2 2 2 2" xfId="1399"/>
    <cellStyle name="Обычный 10 2 2 4 2 2 2 2 2 3" xfId="1400"/>
    <cellStyle name="Обычный 10 2 2 4 2 2 2 2 3" xfId="1401"/>
    <cellStyle name="Обычный 10 2 2 4 2 2 2 2 3 2" xfId="1402"/>
    <cellStyle name="Обычный 10 2 2 4 2 2 2 2 3 3" xfId="1403"/>
    <cellStyle name="Обычный 10 2 2 4 2 2 2 2 4" xfId="1404"/>
    <cellStyle name="Обычный 10 2 2 4 2 2 2 2 4 2" xfId="1405"/>
    <cellStyle name="Обычный 10 2 2 4 2 2 2 2 5" xfId="1406"/>
    <cellStyle name="Обычный 10 2 2 4 2 2 2 2 6" xfId="1407"/>
    <cellStyle name="Обычный 10 2 2 4 2 2 2 3" xfId="1408"/>
    <cellStyle name="Обычный 10 2 2 4 2 2 2 3 2" xfId="1409"/>
    <cellStyle name="Обычный 10 2 2 4 2 2 2 3 3" xfId="1410"/>
    <cellStyle name="Обычный 10 2 2 4 2 2 2 4" xfId="1411"/>
    <cellStyle name="Обычный 10 2 2 4 2 2 2 4 2" xfId="1412"/>
    <cellStyle name="Обычный 10 2 2 4 2 2 2 4 3" xfId="1413"/>
    <cellStyle name="Обычный 10 2 2 4 2 2 2 5" xfId="1414"/>
    <cellStyle name="Обычный 10 2 2 4 2 2 2 5 2" xfId="1415"/>
    <cellStyle name="Обычный 10 2 2 4 2 2 2 6" xfId="1416"/>
    <cellStyle name="Обычный 10 2 2 4 2 2 2 7" xfId="1417"/>
    <cellStyle name="Обычный 10 2 2 4 2 2 3" xfId="1418"/>
    <cellStyle name="Обычный 10 2 2 4 2 2 3 2" xfId="1419"/>
    <cellStyle name="Обычный 10 2 2 4 2 2 3 2 2" xfId="1420"/>
    <cellStyle name="Обычный 10 2 2 4 2 2 3 2 3" xfId="1421"/>
    <cellStyle name="Обычный 10 2 2 4 2 2 3 3" xfId="1422"/>
    <cellStyle name="Обычный 10 2 2 4 2 2 3 3 2" xfId="1423"/>
    <cellStyle name="Обычный 10 2 2 4 2 2 3 3 3" xfId="1424"/>
    <cellStyle name="Обычный 10 2 2 4 2 2 3 4" xfId="1425"/>
    <cellStyle name="Обычный 10 2 2 4 2 2 3 4 2" xfId="1426"/>
    <cellStyle name="Обычный 10 2 2 4 2 2 3 5" xfId="1427"/>
    <cellStyle name="Обычный 10 2 2 4 2 2 3 6" xfId="1428"/>
    <cellStyle name="Обычный 10 2 2 4 2 2 4" xfId="1429"/>
    <cellStyle name="Обычный 10 2 2 4 2 2 4 2" xfId="1430"/>
    <cellStyle name="Обычный 10 2 2 4 2 2 4 3" xfId="1431"/>
    <cellStyle name="Обычный 10 2 2 4 2 2 5" xfId="1432"/>
    <cellStyle name="Обычный 10 2 2 4 2 2 5 2" xfId="1433"/>
    <cellStyle name="Обычный 10 2 2 4 2 2 5 3" xfId="1434"/>
    <cellStyle name="Обычный 10 2 2 4 2 2 6" xfId="1435"/>
    <cellStyle name="Обычный 10 2 2 4 2 2 6 2" xfId="1436"/>
    <cellStyle name="Обычный 10 2 2 4 2 2 7" xfId="1437"/>
    <cellStyle name="Обычный 10 2 2 4 2 2 8" xfId="1438"/>
    <cellStyle name="Обычный 10 2 2 4 2 3" xfId="1439"/>
    <cellStyle name="Обычный 10 2 2 4 2 3 2" xfId="1440"/>
    <cellStyle name="Обычный 10 2 2 4 2 3 2 2" xfId="1441"/>
    <cellStyle name="Обычный 10 2 2 4 2 3 2 2 2" xfId="1442"/>
    <cellStyle name="Обычный 10 2 2 4 2 3 2 2 3" xfId="1443"/>
    <cellStyle name="Обычный 10 2 2 4 2 3 2 3" xfId="1444"/>
    <cellStyle name="Обычный 10 2 2 4 2 3 2 3 2" xfId="1445"/>
    <cellStyle name="Обычный 10 2 2 4 2 3 2 3 3" xfId="1446"/>
    <cellStyle name="Обычный 10 2 2 4 2 3 2 4" xfId="1447"/>
    <cellStyle name="Обычный 10 2 2 4 2 3 2 4 2" xfId="1448"/>
    <cellStyle name="Обычный 10 2 2 4 2 3 2 5" xfId="1449"/>
    <cellStyle name="Обычный 10 2 2 4 2 3 2 6" xfId="1450"/>
    <cellStyle name="Обычный 10 2 2 4 2 3 3" xfId="1451"/>
    <cellStyle name="Обычный 10 2 2 4 2 3 3 2" xfId="1452"/>
    <cellStyle name="Обычный 10 2 2 4 2 3 3 3" xfId="1453"/>
    <cellStyle name="Обычный 10 2 2 4 2 3 4" xfId="1454"/>
    <cellStyle name="Обычный 10 2 2 4 2 3 4 2" xfId="1455"/>
    <cellStyle name="Обычный 10 2 2 4 2 3 4 3" xfId="1456"/>
    <cellStyle name="Обычный 10 2 2 4 2 3 5" xfId="1457"/>
    <cellStyle name="Обычный 10 2 2 4 2 3 5 2" xfId="1458"/>
    <cellStyle name="Обычный 10 2 2 4 2 3 6" xfId="1459"/>
    <cellStyle name="Обычный 10 2 2 4 2 3 7" xfId="1460"/>
    <cellStyle name="Обычный 10 2 2 4 2 4" xfId="1461"/>
    <cellStyle name="Обычный 10 2 2 4 2 4 2" xfId="1462"/>
    <cellStyle name="Обычный 10 2 2 4 2 4 2 2" xfId="1463"/>
    <cellStyle name="Обычный 10 2 2 4 2 4 2 3" xfId="1464"/>
    <cellStyle name="Обычный 10 2 2 4 2 4 3" xfId="1465"/>
    <cellStyle name="Обычный 10 2 2 4 2 4 3 2" xfId="1466"/>
    <cellStyle name="Обычный 10 2 2 4 2 4 3 3" xfId="1467"/>
    <cellStyle name="Обычный 10 2 2 4 2 4 4" xfId="1468"/>
    <cellStyle name="Обычный 10 2 2 4 2 4 4 2" xfId="1469"/>
    <cellStyle name="Обычный 10 2 2 4 2 4 5" xfId="1470"/>
    <cellStyle name="Обычный 10 2 2 4 2 4 6" xfId="1471"/>
    <cellStyle name="Обычный 10 2 2 4 2 5" xfId="1472"/>
    <cellStyle name="Обычный 10 2 2 4 2 5 2" xfId="1473"/>
    <cellStyle name="Обычный 10 2 2 4 2 5 3" xfId="1474"/>
    <cellStyle name="Обычный 10 2 2 4 2 6" xfId="1475"/>
    <cellStyle name="Обычный 10 2 2 4 2 6 2" xfId="1476"/>
    <cellStyle name="Обычный 10 2 2 4 2 6 3" xfId="1477"/>
    <cellStyle name="Обычный 10 2 2 4 2 7" xfId="1478"/>
    <cellStyle name="Обычный 10 2 2 4 2 7 2" xfId="1479"/>
    <cellStyle name="Обычный 10 2 2 4 2 8" xfId="1480"/>
    <cellStyle name="Обычный 10 2 2 4 2 9" xfId="1481"/>
    <cellStyle name="Обычный 10 2 2 4 3" xfId="1482"/>
    <cellStyle name="Обычный 10 2 2 4 3 2" xfId="1483"/>
    <cellStyle name="Обычный 10 2 2 4 3 2 2" xfId="1484"/>
    <cellStyle name="Обычный 10 2 2 4 3 2 2 2" xfId="1485"/>
    <cellStyle name="Обычный 10 2 2 4 3 2 2 2 2" xfId="1486"/>
    <cellStyle name="Обычный 10 2 2 4 3 2 2 2 3" xfId="1487"/>
    <cellStyle name="Обычный 10 2 2 4 3 2 2 3" xfId="1488"/>
    <cellStyle name="Обычный 10 2 2 4 3 2 2 3 2" xfId="1489"/>
    <cellStyle name="Обычный 10 2 2 4 3 2 2 3 3" xfId="1490"/>
    <cellStyle name="Обычный 10 2 2 4 3 2 2 4" xfId="1491"/>
    <cellStyle name="Обычный 10 2 2 4 3 2 2 4 2" xfId="1492"/>
    <cellStyle name="Обычный 10 2 2 4 3 2 2 5" xfId="1493"/>
    <cellStyle name="Обычный 10 2 2 4 3 2 2 6" xfId="1494"/>
    <cellStyle name="Обычный 10 2 2 4 3 2 3" xfId="1495"/>
    <cellStyle name="Обычный 10 2 2 4 3 2 3 2" xfId="1496"/>
    <cellStyle name="Обычный 10 2 2 4 3 2 3 3" xfId="1497"/>
    <cellStyle name="Обычный 10 2 2 4 3 2 4" xfId="1498"/>
    <cellStyle name="Обычный 10 2 2 4 3 2 4 2" xfId="1499"/>
    <cellStyle name="Обычный 10 2 2 4 3 2 4 3" xfId="1500"/>
    <cellStyle name="Обычный 10 2 2 4 3 2 5" xfId="1501"/>
    <cellStyle name="Обычный 10 2 2 4 3 2 5 2" xfId="1502"/>
    <cellStyle name="Обычный 10 2 2 4 3 2 6" xfId="1503"/>
    <cellStyle name="Обычный 10 2 2 4 3 2 7" xfId="1504"/>
    <cellStyle name="Обычный 10 2 2 4 3 3" xfId="1505"/>
    <cellStyle name="Обычный 10 2 2 4 3 3 2" xfId="1506"/>
    <cellStyle name="Обычный 10 2 2 4 3 3 2 2" xfId="1507"/>
    <cellStyle name="Обычный 10 2 2 4 3 3 2 3" xfId="1508"/>
    <cellStyle name="Обычный 10 2 2 4 3 3 3" xfId="1509"/>
    <cellStyle name="Обычный 10 2 2 4 3 3 3 2" xfId="1510"/>
    <cellStyle name="Обычный 10 2 2 4 3 3 3 3" xfId="1511"/>
    <cellStyle name="Обычный 10 2 2 4 3 3 4" xfId="1512"/>
    <cellStyle name="Обычный 10 2 2 4 3 3 4 2" xfId="1513"/>
    <cellStyle name="Обычный 10 2 2 4 3 3 5" xfId="1514"/>
    <cellStyle name="Обычный 10 2 2 4 3 3 6" xfId="1515"/>
    <cellStyle name="Обычный 10 2 2 4 3 4" xfId="1516"/>
    <cellStyle name="Обычный 10 2 2 4 3 4 2" xfId="1517"/>
    <cellStyle name="Обычный 10 2 2 4 3 4 3" xfId="1518"/>
    <cellStyle name="Обычный 10 2 2 4 3 5" xfId="1519"/>
    <cellStyle name="Обычный 10 2 2 4 3 5 2" xfId="1520"/>
    <cellStyle name="Обычный 10 2 2 4 3 5 3" xfId="1521"/>
    <cellStyle name="Обычный 10 2 2 4 3 6" xfId="1522"/>
    <cellStyle name="Обычный 10 2 2 4 3 6 2" xfId="1523"/>
    <cellStyle name="Обычный 10 2 2 4 3 7" xfId="1524"/>
    <cellStyle name="Обычный 10 2 2 4 3 8" xfId="1525"/>
    <cellStyle name="Обычный 10 2 2 4 4" xfId="1526"/>
    <cellStyle name="Обычный 10 2 2 4 4 2" xfId="1527"/>
    <cellStyle name="Обычный 10 2 2 4 4 2 2" xfId="1528"/>
    <cellStyle name="Обычный 10 2 2 4 4 2 2 2" xfId="1529"/>
    <cellStyle name="Обычный 10 2 2 4 4 2 2 3" xfId="1530"/>
    <cellStyle name="Обычный 10 2 2 4 4 2 3" xfId="1531"/>
    <cellStyle name="Обычный 10 2 2 4 4 2 3 2" xfId="1532"/>
    <cellStyle name="Обычный 10 2 2 4 4 2 3 3" xfId="1533"/>
    <cellStyle name="Обычный 10 2 2 4 4 2 4" xfId="1534"/>
    <cellStyle name="Обычный 10 2 2 4 4 2 4 2" xfId="1535"/>
    <cellStyle name="Обычный 10 2 2 4 4 2 5" xfId="1536"/>
    <cellStyle name="Обычный 10 2 2 4 4 2 6" xfId="1537"/>
    <cellStyle name="Обычный 10 2 2 4 4 3" xfId="1538"/>
    <cellStyle name="Обычный 10 2 2 4 4 3 2" xfId="1539"/>
    <cellStyle name="Обычный 10 2 2 4 4 3 3" xfId="1540"/>
    <cellStyle name="Обычный 10 2 2 4 4 4" xfId="1541"/>
    <cellStyle name="Обычный 10 2 2 4 4 4 2" xfId="1542"/>
    <cellStyle name="Обычный 10 2 2 4 4 4 3" xfId="1543"/>
    <cellStyle name="Обычный 10 2 2 4 4 5" xfId="1544"/>
    <cellStyle name="Обычный 10 2 2 4 4 5 2" xfId="1545"/>
    <cellStyle name="Обычный 10 2 2 4 4 6" xfId="1546"/>
    <cellStyle name="Обычный 10 2 2 4 4 7" xfId="1547"/>
    <cellStyle name="Обычный 10 2 2 4 5" xfId="1548"/>
    <cellStyle name="Обычный 10 2 2 4 5 2" xfId="1549"/>
    <cellStyle name="Обычный 10 2 2 4 5 2 2" xfId="1550"/>
    <cellStyle name="Обычный 10 2 2 4 5 2 3" xfId="1551"/>
    <cellStyle name="Обычный 10 2 2 4 5 3" xfId="1552"/>
    <cellStyle name="Обычный 10 2 2 4 5 3 2" xfId="1553"/>
    <cellStyle name="Обычный 10 2 2 4 5 3 3" xfId="1554"/>
    <cellStyle name="Обычный 10 2 2 4 5 4" xfId="1555"/>
    <cellStyle name="Обычный 10 2 2 4 5 4 2" xfId="1556"/>
    <cellStyle name="Обычный 10 2 2 4 5 5" xfId="1557"/>
    <cellStyle name="Обычный 10 2 2 4 5 6" xfId="1558"/>
    <cellStyle name="Обычный 10 2 2 4 6" xfId="1559"/>
    <cellStyle name="Обычный 10 2 2 4 6 2" xfId="1560"/>
    <cellStyle name="Обычный 10 2 2 4 6 3" xfId="1561"/>
    <cellStyle name="Обычный 10 2 2 4 7" xfId="1562"/>
    <cellStyle name="Обычный 10 2 2 4 7 2" xfId="1563"/>
    <cellStyle name="Обычный 10 2 2 4 7 3" xfId="1564"/>
    <cellStyle name="Обычный 10 2 2 4 8" xfId="1565"/>
    <cellStyle name="Обычный 10 2 2 4 8 2" xfId="1566"/>
    <cellStyle name="Обычный 10 2 2 4 9" xfId="1567"/>
    <cellStyle name="Обычный 10 2 2 5" xfId="1568"/>
    <cellStyle name="Обычный 10 2 2 5 2" xfId="1569"/>
    <cellStyle name="Обычный 10 2 2 5 2 2" xfId="1570"/>
    <cellStyle name="Обычный 10 2 2 5 2 2 2" xfId="1571"/>
    <cellStyle name="Обычный 10 2 2 5 2 2 2 2" xfId="1572"/>
    <cellStyle name="Обычный 10 2 2 5 2 2 2 2 2" xfId="1573"/>
    <cellStyle name="Обычный 10 2 2 5 2 2 2 2 3" xfId="1574"/>
    <cellStyle name="Обычный 10 2 2 5 2 2 2 3" xfId="1575"/>
    <cellStyle name="Обычный 10 2 2 5 2 2 2 3 2" xfId="1576"/>
    <cellStyle name="Обычный 10 2 2 5 2 2 2 3 3" xfId="1577"/>
    <cellStyle name="Обычный 10 2 2 5 2 2 2 4" xfId="1578"/>
    <cellStyle name="Обычный 10 2 2 5 2 2 2 4 2" xfId="1579"/>
    <cellStyle name="Обычный 10 2 2 5 2 2 2 5" xfId="1580"/>
    <cellStyle name="Обычный 10 2 2 5 2 2 2 6" xfId="1581"/>
    <cellStyle name="Обычный 10 2 2 5 2 2 3" xfId="1582"/>
    <cellStyle name="Обычный 10 2 2 5 2 2 3 2" xfId="1583"/>
    <cellStyle name="Обычный 10 2 2 5 2 2 3 3" xfId="1584"/>
    <cellStyle name="Обычный 10 2 2 5 2 2 4" xfId="1585"/>
    <cellStyle name="Обычный 10 2 2 5 2 2 4 2" xfId="1586"/>
    <cellStyle name="Обычный 10 2 2 5 2 2 4 3" xfId="1587"/>
    <cellStyle name="Обычный 10 2 2 5 2 2 5" xfId="1588"/>
    <cellStyle name="Обычный 10 2 2 5 2 2 5 2" xfId="1589"/>
    <cellStyle name="Обычный 10 2 2 5 2 2 6" xfId="1590"/>
    <cellStyle name="Обычный 10 2 2 5 2 2 7" xfId="1591"/>
    <cellStyle name="Обычный 10 2 2 5 2 3" xfId="1592"/>
    <cellStyle name="Обычный 10 2 2 5 2 3 2" xfId="1593"/>
    <cellStyle name="Обычный 10 2 2 5 2 3 2 2" xfId="1594"/>
    <cellStyle name="Обычный 10 2 2 5 2 3 2 3" xfId="1595"/>
    <cellStyle name="Обычный 10 2 2 5 2 3 3" xfId="1596"/>
    <cellStyle name="Обычный 10 2 2 5 2 3 3 2" xfId="1597"/>
    <cellStyle name="Обычный 10 2 2 5 2 3 3 3" xfId="1598"/>
    <cellStyle name="Обычный 10 2 2 5 2 3 4" xfId="1599"/>
    <cellStyle name="Обычный 10 2 2 5 2 3 4 2" xfId="1600"/>
    <cellStyle name="Обычный 10 2 2 5 2 3 5" xfId="1601"/>
    <cellStyle name="Обычный 10 2 2 5 2 3 6" xfId="1602"/>
    <cellStyle name="Обычный 10 2 2 5 2 4" xfId="1603"/>
    <cellStyle name="Обычный 10 2 2 5 2 4 2" xfId="1604"/>
    <cellStyle name="Обычный 10 2 2 5 2 4 3" xfId="1605"/>
    <cellStyle name="Обычный 10 2 2 5 2 5" xfId="1606"/>
    <cellStyle name="Обычный 10 2 2 5 2 5 2" xfId="1607"/>
    <cellStyle name="Обычный 10 2 2 5 2 5 3" xfId="1608"/>
    <cellStyle name="Обычный 10 2 2 5 2 6" xfId="1609"/>
    <cellStyle name="Обычный 10 2 2 5 2 6 2" xfId="1610"/>
    <cellStyle name="Обычный 10 2 2 5 2 7" xfId="1611"/>
    <cellStyle name="Обычный 10 2 2 5 2 8" xfId="1612"/>
    <cellStyle name="Обычный 10 2 2 5 3" xfId="1613"/>
    <cellStyle name="Обычный 10 2 2 5 3 2" xfId="1614"/>
    <cellStyle name="Обычный 10 2 2 5 3 2 2" xfId="1615"/>
    <cellStyle name="Обычный 10 2 2 5 3 2 2 2" xfId="1616"/>
    <cellStyle name="Обычный 10 2 2 5 3 2 2 3" xfId="1617"/>
    <cellStyle name="Обычный 10 2 2 5 3 2 3" xfId="1618"/>
    <cellStyle name="Обычный 10 2 2 5 3 2 3 2" xfId="1619"/>
    <cellStyle name="Обычный 10 2 2 5 3 2 3 3" xfId="1620"/>
    <cellStyle name="Обычный 10 2 2 5 3 2 4" xfId="1621"/>
    <cellStyle name="Обычный 10 2 2 5 3 2 4 2" xfId="1622"/>
    <cellStyle name="Обычный 10 2 2 5 3 2 5" xfId="1623"/>
    <cellStyle name="Обычный 10 2 2 5 3 2 6" xfId="1624"/>
    <cellStyle name="Обычный 10 2 2 5 3 3" xfId="1625"/>
    <cellStyle name="Обычный 10 2 2 5 3 3 2" xfId="1626"/>
    <cellStyle name="Обычный 10 2 2 5 3 3 3" xfId="1627"/>
    <cellStyle name="Обычный 10 2 2 5 3 4" xfId="1628"/>
    <cellStyle name="Обычный 10 2 2 5 3 4 2" xfId="1629"/>
    <cellStyle name="Обычный 10 2 2 5 3 4 3" xfId="1630"/>
    <cellStyle name="Обычный 10 2 2 5 3 5" xfId="1631"/>
    <cellStyle name="Обычный 10 2 2 5 3 5 2" xfId="1632"/>
    <cellStyle name="Обычный 10 2 2 5 3 6" xfId="1633"/>
    <cellStyle name="Обычный 10 2 2 5 3 7" xfId="1634"/>
    <cellStyle name="Обычный 10 2 2 5 4" xfId="1635"/>
    <cellStyle name="Обычный 10 2 2 5 4 2" xfId="1636"/>
    <cellStyle name="Обычный 10 2 2 5 4 2 2" xfId="1637"/>
    <cellStyle name="Обычный 10 2 2 5 4 2 3" xfId="1638"/>
    <cellStyle name="Обычный 10 2 2 5 4 3" xfId="1639"/>
    <cellStyle name="Обычный 10 2 2 5 4 3 2" xfId="1640"/>
    <cellStyle name="Обычный 10 2 2 5 4 3 3" xfId="1641"/>
    <cellStyle name="Обычный 10 2 2 5 4 4" xfId="1642"/>
    <cellStyle name="Обычный 10 2 2 5 4 4 2" xfId="1643"/>
    <cellStyle name="Обычный 10 2 2 5 4 5" xfId="1644"/>
    <cellStyle name="Обычный 10 2 2 5 4 6" xfId="1645"/>
    <cellStyle name="Обычный 10 2 2 5 5" xfId="1646"/>
    <cellStyle name="Обычный 10 2 2 5 5 2" xfId="1647"/>
    <cellStyle name="Обычный 10 2 2 5 5 3" xfId="1648"/>
    <cellStyle name="Обычный 10 2 2 5 6" xfId="1649"/>
    <cellStyle name="Обычный 10 2 2 5 6 2" xfId="1650"/>
    <cellStyle name="Обычный 10 2 2 5 6 3" xfId="1651"/>
    <cellStyle name="Обычный 10 2 2 5 7" xfId="1652"/>
    <cellStyle name="Обычный 10 2 2 5 7 2" xfId="1653"/>
    <cellStyle name="Обычный 10 2 2 5 8" xfId="1654"/>
    <cellStyle name="Обычный 10 2 2 5 9" xfId="1655"/>
    <cellStyle name="Обычный 10 2 2 6" xfId="1656"/>
    <cellStyle name="Обычный 10 2 2 6 2" xfId="1657"/>
    <cellStyle name="Обычный 10 2 2 6 2 2" xfId="1658"/>
    <cellStyle name="Обычный 10 2 2 6 2 2 2" xfId="1659"/>
    <cellStyle name="Обычный 10 2 2 6 2 2 2 2" xfId="1660"/>
    <cellStyle name="Обычный 10 2 2 6 2 2 2 3" xfId="1661"/>
    <cellStyle name="Обычный 10 2 2 6 2 2 3" xfId="1662"/>
    <cellStyle name="Обычный 10 2 2 6 2 2 3 2" xfId="1663"/>
    <cellStyle name="Обычный 10 2 2 6 2 2 3 3" xfId="1664"/>
    <cellStyle name="Обычный 10 2 2 6 2 2 4" xfId="1665"/>
    <cellStyle name="Обычный 10 2 2 6 2 2 4 2" xfId="1666"/>
    <cellStyle name="Обычный 10 2 2 6 2 2 5" xfId="1667"/>
    <cellStyle name="Обычный 10 2 2 6 2 2 6" xfId="1668"/>
    <cellStyle name="Обычный 10 2 2 6 2 3" xfId="1669"/>
    <cellStyle name="Обычный 10 2 2 6 2 3 2" xfId="1670"/>
    <cellStyle name="Обычный 10 2 2 6 2 3 3" xfId="1671"/>
    <cellStyle name="Обычный 10 2 2 6 2 4" xfId="1672"/>
    <cellStyle name="Обычный 10 2 2 6 2 4 2" xfId="1673"/>
    <cellStyle name="Обычный 10 2 2 6 2 4 3" xfId="1674"/>
    <cellStyle name="Обычный 10 2 2 6 2 5" xfId="1675"/>
    <cellStyle name="Обычный 10 2 2 6 2 5 2" xfId="1676"/>
    <cellStyle name="Обычный 10 2 2 6 2 6" xfId="1677"/>
    <cellStyle name="Обычный 10 2 2 6 2 7" xfId="1678"/>
    <cellStyle name="Обычный 10 2 2 6 3" xfId="1679"/>
    <cellStyle name="Обычный 10 2 2 6 3 2" xfId="1680"/>
    <cellStyle name="Обычный 10 2 2 6 3 2 2" xfId="1681"/>
    <cellStyle name="Обычный 10 2 2 6 3 2 3" xfId="1682"/>
    <cellStyle name="Обычный 10 2 2 6 3 3" xfId="1683"/>
    <cellStyle name="Обычный 10 2 2 6 3 3 2" xfId="1684"/>
    <cellStyle name="Обычный 10 2 2 6 3 3 3" xfId="1685"/>
    <cellStyle name="Обычный 10 2 2 6 3 4" xfId="1686"/>
    <cellStyle name="Обычный 10 2 2 6 3 4 2" xfId="1687"/>
    <cellStyle name="Обычный 10 2 2 6 3 5" xfId="1688"/>
    <cellStyle name="Обычный 10 2 2 6 3 6" xfId="1689"/>
    <cellStyle name="Обычный 10 2 2 6 4" xfId="1690"/>
    <cellStyle name="Обычный 10 2 2 6 4 2" xfId="1691"/>
    <cellStyle name="Обычный 10 2 2 6 4 3" xfId="1692"/>
    <cellStyle name="Обычный 10 2 2 6 5" xfId="1693"/>
    <cellStyle name="Обычный 10 2 2 6 5 2" xfId="1694"/>
    <cellStyle name="Обычный 10 2 2 6 5 3" xfId="1695"/>
    <cellStyle name="Обычный 10 2 2 6 6" xfId="1696"/>
    <cellStyle name="Обычный 10 2 2 6 6 2" xfId="1697"/>
    <cellStyle name="Обычный 10 2 2 6 7" xfId="1698"/>
    <cellStyle name="Обычный 10 2 2 6 8" xfId="1699"/>
    <cellStyle name="Обычный 10 2 2 7" xfId="1700"/>
    <cellStyle name="Обычный 10 2 2 7 2" xfId="1701"/>
    <cellStyle name="Обычный 10 2 2 7 2 2" xfId="1702"/>
    <cellStyle name="Обычный 10 2 2 7 2 2 2" xfId="1703"/>
    <cellStyle name="Обычный 10 2 2 7 2 2 3" xfId="1704"/>
    <cellStyle name="Обычный 10 2 2 7 2 3" xfId="1705"/>
    <cellStyle name="Обычный 10 2 2 7 2 3 2" xfId="1706"/>
    <cellStyle name="Обычный 10 2 2 7 2 3 3" xfId="1707"/>
    <cellStyle name="Обычный 10 2 2 7 2 4" xfId="1708"/>
    <cellStyle name="Обычный 10 2 2 7 2 4 2" xfId="1709"/>
    <cellStyle name="Обычный 10 2 2 7 2 5" xfId="1710"/>
    <cellStyle name="Обычный 10 2 2 7 2 6" xfId="1711"/>
    <cellStyle name="Обычный 10 2 2 7 3" xfId="1712"/>
    <cellStyle name="Обычный 10 2 2 7 3 2" xfId="1713"/>
    <cellStyle name="Обычный 10 2 2 7 3 3" xfId="1714"/>
    <cellStyle name="Обычный 10 2 2 7 4" xfId="1715"/>
    <cellStyle name="Обычный 10 2 2 7 4 2" xfId="1716"/>
    <cellStyle name="Обычный 10 2 2 7 4 3" xfId="1717"/>
    <cellStyle name="Обычный 10 2 2 7 5" xfId="1718"/>
    <cellStyle name="Обычный 10 2 2 7 5 2" xfId="1719"/>
    <cellStyle name="Обычный 10 2 2 7 6" xfId="1720"/>
    <cellStyle name="Обычный 10 2 2 7 7" xfId="1721"/>
    <cellStyle name="Обычный 10 2 2 8" xfId="1722"/>
    <cellStyle name="Обычный 10 2 2 8 2" xfId="1723"/>
    <cellStyle name="Обычный 10 2 2 8 2 2" xfId="1724"/>
    <cellStyle name="Обычный 10 2 2 8 2 3" xfId="1725"/>
    <cellStyle name="Обычный 10 2 2 8 3" xfId="1726"/>
    <cellStyle name="Обычный 10 2 2 8 3 2" xfId="1727"/>
    <cellStyle name="Обычный 10 2 2 8 3 3" xfId="1728"/>
    <cellStyle name="Обычный 10 2 2 8 4" xfId="1729"/>
    <cellStyle name="Обычный 10 2 2 8 4 2" xfId="1730"/>
    <cellStyle name="Обычный 10 2 2 8 5" xfId="1731"/>
    <cellStyle name="Обычный 10 2 2 8 6" xfId="1732"/>
    <cellStyle name="Обычный 10 2 2 9" xfId="1733"/>
    <cellStyle name="Обычный 10 2 2 9 2" xfId="1734"/>
    <cellStyle name="Обычный 10 2 2 9 3" xfId="1735"/>
    <cellStyle name="Обычный 10 2 3" xfId="1736"/>
    <cellStyle name="Обычный 10 2 3 10" xfId="1737"/>
    <cellStyle name="Обычный 10 2 3 2" xfId="1738"/>
    <cellStyle name="Обычный 10 2 3 2 2" xfId="1739"/>
    <cellStyle name="Обычный 10 2 3 2 2 2" xfId="1740"/>
    <cellStyle name="Обычный 10 2 3 2 2 2 2" xfId="1741"/>
    <cellStyle name="Обычный 10 2 3 2 2 2 2 2" xfId="1742"/>
    <cellStyle name="Обычный 10 2 3 2 2 2 2 2 2" xfId="1743"/>
    <cellStyle name="Обычный 10 2 3 2 2 2 2 2 3" xfId="1744"/>
    <cellStyle name="Обычный 10 2 3 2 2 2 2 3" xfId="1745"/>
    <cellStyle name="Обычный 10 2 3 2 2 2 2 3 2" xfId="1746"/>
    <cellStyle name="Обычный 10 2 3 2 2 2 2 3 3" xfId="1747"/>
    <cellStyle name="Обычный 10 2 3 2 2 2 2 4" xfId="1748"/>
    <cellStyle name="Обычный 10 2 3 2 2 2 2 4 2" xfId="1749"/>
    <cellStyle name="Обычный 10 2 3 2 2 2 2 5" xfId="1750"/>
    <cellStyle name="Обычный 10 2 3 2 2 2 2 6" xfId="1751"/>
    <cellStyle name="Обычный 10 2 3 2 2 2 3" xfId="1752"/>
    <cellStyle name="Обычный 10 2 3 2 2 2 3 2" xfId="1753"/>
    <cellStyle name="Обычный 10 2 3 2 2 2 3 3" xfId="1754"/>
    <cellStyle name="Обычный 10 2 3 2 2 2 4" xfId="1755"/>
    <cellStyle name="Обычный 10 2 3 2 2 2 4 2" xfId="1756"/>
    <cellStyle name="Обычный 10 2 3 2 2 2 4 3" xfId="1757"/>
    <cellStyle name="Обычный 10 2 3 2 2 2 5" xfId="1758"/>
    <cellStyle name="Обычный 10 2 3 2 2 2 5 2" xfId="1759"/>
    <cellStyle name="Обычный 10 2 3 2 2 2 6" xfId="1760"/>
    <cellStyle name="Обычный 10 2 3 2 2 2 7" xfId="1761"/>
    <cellStyle name="Обычный 10 2 3 2 2 3" xfId="1762"/>
    <cellStyle name="Обычный 10 2 3 2 2 3 2" xfId="1763"/>
    <cellStyle name="Обычный 10 2 3 2 2 3 2 2" xfId="1764"/>
    <cellStyle name="Обычный 10 2 3 2 2 3 2 3" xfId="1765"/>
    <cellStyle name="Обычный 10 2 3 2 2 3 3" xfId="1766"/>
    <cellStyle name="Обычный 10 2 3 2 2 3 3 2" xfId="1767"/>
    <cellStyle name="Обычный 10 2 3 2 2 3 3 3" xfId="1768"/>
    <cellStyle name="Обычный 10 2 3 2 2 3 4" xfId="1769"/>
    <cellStyle name="Обычный 10 2 3 2 2 3 4 2" xfId="1770"/>
    <cellStyle name="Обычный 10 2 3 2 2 3 5" xfId="1771"/>
    <cellStyle name="Обычный 10 2 3 2 2 3 6" xfId="1772"/>
    <cellStyle name="Обычный 10 2 3 2 2 4" xfId="1773"/>
    <cellStyle name="Обычный 10 2 3 2 2 4 2" xfId="1774"/>
    <cellStyle name="Обычный 10 2 3 2 2 4 3" xfId="1775"/>
    <cellStyle name="Обычный 10 2 3 2 2 5" xfId="1776"/>
    <cellStyle name="Обычный 10 2 3 2 2 5 2" xfId="1777"/>
    <cellStyle name="Обычный 10 2 3 2 2 5 3" xfId="1778"/>
    <cellStyle name="Обычный 10 2 3 2 2 6" xfId="1779"/>
    <cellStyle name="Обычный 10 2 3 2 2 6 2" xfId="1780"/>
    <cellStyle name="Обычный 10 2 3 2 2 7" xfId="1781"/>
    <cellStyle name="Обычный 10 2 3 2 2 8" xfId="1782"/>
    <cellStyle name="Обычный 10 2 3 2 3" xfId="1783"/>
    <cellStyle name="Обычный 10 2 3 2 3 2" xfId="1784"/>
    <cellStyle name="Обычный 10 2 3 2 3 2 2" xfId="1785"/>
    <cellStyle name="Обычный 10 2 3 2 3 2 2 2" xfId="1786"/>
    <cellStyle name="Обычный 10 2 3 2 3 2 2 3" xfId="1787"/>
    <cellStyle name="Обычный 10 2 3 2 3 2 3" xfId="1788"/>
    <cellStyle name="Обычный 10 2 3 2 3 2 3 2" xfId="1789"/>
    <cellStyle name="Обычный 10 2 3 2 3 2 3 3" xfId="1790"/>
    <cellStyle name="Обычный 10 2 3 2 3 2 4" xfId="1791"/>
    <cellStyle name="Обычный 10 2 3 2 3 2 4 2" xfId="1792"/>
    <cellStyle name="Обычный 10 2 3 2 3 2 5" xfId="1793"/>
    <cellStyle name="Обычный 10 2 3 2 3 2 6" xfId="1794"/>
    <cellStyle name="Обычный 10 2 3 2 3 3" xfId="1795"/>
    <cellStyle name="Обычный 10 2 3 2 3 3 2" xfId="1796"/>
    <cellStyle name="Обычный 10 2 3 2 3 3 3" xfId="1797"/>
    <cellStyle name="Обычный 10 2 3 2 3 4" xfId="1798"/>
    <cellStyle name="Обычный 10 2 3 2 3 4 2" xfId="1799"/>
    <cellStyle name="Обычный 10 2 3 2 3 4 3" xfId="1800"/>
    <cellStyle name="Обычный 10 2 3 2 3 5" xfId="1801"/>
    <cellStyle name="Обычный 10 2 3 2 3 5 2" xfId="1802"/>
    <cellStyle name="Обычный 10 2 3 2 3 6" xfId="1803"/>
    <cellStyle name="Обычный 10 2 3 2 3 7" xfId="1804"/>
    <cellStyle name="Обычный 10 2 3 2 4" xfId="1805"/>
    <cellStyle name="Обычный 10 2 3 2 4 2" xfId="1806"/>
    <cellStyle name="Обычный 10 2 3 2 4 2 2" xfId="1807"/>
    <cellStyle name="Обычный 10 2 3 2 4 2 3" xfId="1808"/>
    <cellStyle name="Обычный 10 2 3 2 4 3" xfId="1809"/>
    <cellStyle name="Обычный 10 2 3 2 4 3 2" xfId="1810"/>
    <cellStyle name="Обычный 10 2 3 2 4 3 3" xfId="1811"/>
    <cellStyle name="Обычный 10 2 3 2 4 4" xfId="1812"/>
    <cellStyle name="Обычный 10 2 3 2 4 4 2" xfId="1813"/>
    <cellStyle name="Обычный 10 2 3 2 4 5" xfId="1814"/>
    <cellStyle name="Обычный 10 2 3 2 4 6" xfId="1815"/>
    <cellStyle name="Обычный 10 2 3 2 5" xfId="1816"/>
    <cellStyle name="Обычный 10 2 3 2 5 2" xfId="1817"/>
    <cellStyle name="Обычный 10 2 3 2 5 3" xfId="1818"/>
    <cellStyle name="Обычный 10 2 3 2 6" xfId="1819"/>
    <cellStyle name="Обычный 10 2 3 2 6 2" xfId="1820"/>
    <cellStyle name="Обычный 10 2 3 2 6 3" xfId="1821"/>
    <cellStyle name="Обычный 10 2 3 2 7" xfId="1822"/>
    <cellStyle name="Обычный 10 2 3 2 7 2" xfId="1823"/>
    <cellStyle name="Обычный 10 2 3 2 8" xfId="1824"/>
    <cellStyle name="Обычный 10 2 3 2 9" xfId="1825"/>
    <cellStyle name="Обычный 10 2 3 3" xfId="1826"/>
    <cellStyle name="Обычный 10 2 3 3 2" xfId="1827"/>
    <cellStyle name="Обычный 10 2 3 3 2 2" xfId="1828"/>
    <cellStyle name="Обычный 10 2 3 3 2 2 2" xfId="1829"/>
    <cellStyle name="Обычный 10 2 3 3 2 2 2 2" xfId="1830"/>
    <cellStyle name="Обычный 10 2 3 3 2 2 2 3" xfId="1831"/>
    <cellStyle name="Обычный 10 2 3 3 2 2 3" xfId="1832"/>
    <cellStyle name="Обычный 10 2 3 3 2 2 3 2" xfId="1833"/>
    <cellStyle name="Обычный 10 2 3 3 2 2 3 3" xfId="1834"/>
    <cellStyle name="Обычный 10 2 3 3 2 2 4" xfId="1835"/>
    <cellStyle name="Обычный 10 2 3 3 2 2 4 2" xfId="1836"/>
    <cellStyle name="Обычный 10 2 3 3 2 2 5" xfId="1837"/>
    <cellStyle name="Обычный 10 2 3 3 2 2 6" xfId="1838"/>
    <cellStyle name="Обычный 10 2 3 3 2 3" xfId="1839"/>
    <cellStyle name="Обычный 10 2 3 3 2 3 2" xfId="1840"/>
    <cellStyle name="Обычный 10 2 3 3 2 3 3" xfId="1841"/>
    <cellStyle name="Обычный 10 2 3 3 2 4" xfId="1842"/>
    <cellStyle name="Обычный 10 2 3 3 2 4 2" xfId="1843"/>
    <cellStyle name="Обычный 10 2 3 3 2 4 3" xfId="1844"/>
    <cellStyle name="Обычный 10 2 3 3 2 5" xfId="1845"/>
    <cellStyle name="Обычный 10 2 3 3 2 5 2" xfId="1846"/>
    <cellStyle name="Обычный 10 2 3 3 2 6" xfId="1847"/>
    <cellStyle name="Обычный 10 2 3 3 2 7" xfId="1848"/>
    <cellStyle name="Обычный 10 2 3 3 3" xfId="1849"/>
    <cellStyle name="Обычный 10 2 3 3 3 2" xfId="1850"/>
    <cellStyle name="Обычный 10 2 3 3 3 2 2" xfId="1851"/>
    <cellStyle name="Обычный 10 2 3 3 3 2 3" xfId="1852"/>
    <cellStyle name="Обычный 10 2 3 3 3 3" xfId="1853"/>
    <cellStyle name="Обычный 10 2 3 3 3 3 2" xfId="1854"/>
    <cellStyle name="Обычный 10 2 3 3 3 3 3" xfId="1855"/>
    <cellStyle name="Обычный 10 2 3 3 3 4" xfId="1856"/>
    <cellStyle name="Обычный 10 2 3 3 3 4 2" xfId="1857"/>
    <cellStyle name="Обычный 10 2 3 3 3 5" xfId="1858"/>
    <cellStyle name="Обычный 10 2 3 3 3 6" xfId="1859"/>
    <cellStyle name="Обычный 10 2 3 3 4" xfId="1860"/>
    <cellStyle name="Обычный 10 2 3 3 4 2" xfId="1861"/>
    <cellStyle name="Обычный 10 2 3 3 4 3" xfId="1862"/>
    <cellStyle name="Обычный 10 2 3 3 5" xfId="1863"/>
    <cellStyle name="Обычный 10 2 3 3 5 2" xfId="1864"/>
    <cellStyle name="Обычный 10 2 3 3 5 3" xfId="1865"/>
    <cellStyle name="Обычный 10 2 3 3 6" xfId="1866"/>
    <cellStyle name="Обычный 10 2 3 3 6 2" xfId="1867"/>
    <cellStyle name="Обычный 10 2 3 3 7" xfId="1868"/>
    <cellStyle name="Обычный 10 2 3 3 8" xfId="1869"/>
    <cellStyle name="Обычный 10 2 3 4" xfId="1870"/>
    <cellStyle name="Обычный 10 2 3 4 2" xfId="1871"/>
    <cellStyle name="Обычный 10 2 3 4 2 2" xfId="1872"/>
    <cellStyle name="Обычный 10 2 3 4 2 2 2" xfId="1873"/>
    <cellStyle name="Обычный 10 2 3 4 2 2 3" xfId="1874"/>
    <cellStyle name="Обычный 10 2 3 4 2 3" xfId="1875"/>
    <cellStyle name="Обычный 10 2 3 4 2 3 2" xfId="1876"/>
    <cellStyle name="Обычный 10 2 3 4 2 3 3" xfId="1877"/>
    <cellStyle name="Обычный 10 2 3 4 2 4" xfId="1878"/>
    <cellStyle name="Обычный 10 2 3 4 2 4 2" xfId="1879"/>
    <cellStyle name="Обычный 10 2 3 4 2 5" xfId="1880"/>
    <cellStyle name="Обычный 10 2 3 4 2 6" xfId="1881"/>
    <cellStyle name="Обычный 10 2 3 4 3" xfId="1882"/>
    <cellStyle name="Обычный 10 2 3 4 3 2" xfId="1883"/>
    <cellStyle name="Обычный 10 2 3 4 3 3" xfId="1884"/>
    <cellStyle name="Обычный 10 2 3 4 4" xfId="1885"/>
    <cellStyle name="Обычный 10 2 3 4 4 2" xfId="1886"/>
    <cellStyle name="Обычный 10 2 3 4 4 3" xfId="1887"/>
    <cellStyle name="Обычный 10 2 3 4 5" xfId="1888"/>
    <cellStyle name="Обычный 10 2 3 4 5 2" xfId="1889"/>
    <cellStyle name="Обычный 10 2 3 4 6" xfId="1890"/>
    <cellStyle name="Обычный 10 2 3 4 7" xfId="1891"/>
    <cellStyle name="Обычный 10 2 3 5" xfId="1892"/>
    <cellStyle name="Обычный 10 2 3 5 2" xfId="1893"/>
    <cellStyle name="Обычный 10 2 3 5 2 2" xfId="1894"/>
    <cellStyle name="Обычный 10 2 3 5 2 3" xfId="1895"/>
    <cellStyle name="Обычный 10 2 3 5 3" xfId="1896"/>
    <cellStyle name="Обычный 10 2 3 5 3 2" xfId="1897"/>
    <cellStyle name="Обычный 10 2 3 5 3 3" xfId="1898"/>
    <cellStyle name="Обычный 10 2 3 5 4" xfId="1899"/>
    <cellStyle name="Обычный 10 2 3 5 4 2" xfId="1900"/>
    <cellStyle name="Обычный 10 2 3 5 5" xfId="1901"/>
    <cellStyle name="Обычный 10 2 3 5 6" xfId="1902"/>
    <cellStyle name="Обычный 10 2 3 6" xfId="1903"/>
    <cellStyle name="Обычный 10 2 3 6 2" xfId="1904"/>
    <cellStyle name="Обычный 10 2 3 6 3" xfId="1905"/>
    <cellStyle name="Обычный 10 2 3 7" xfId="1906"/>
    <cellStyle name="Обычный 10 2 3 7 2" xfId="1907"/>
    <cellStyle name="Обычный 10 2 3 7 3" xfId="1908"/>
    <cellStyle name="Обычный 10 2 3 8" xfId="1909"/>
    <cellStyle name="Обычный 10 2 3 8 2" xfId="1910"/>
    <cellStyle name="Обычный 10 2 3 9" xfId="1911"/>
    <cellStyle name="Обычный 10 2 4" xfId="1912"/>
    <cellStyle name="Обычный 10 2 4 10" xfId="1913"/>
    <cellStyle name="Обычный 10 2 4 2" xfId="1914"/>
    <cellStyle name="Обычный 10 2 4 2 2" xfId="1915"/>
    <cellStyle name="Обычный 10 2 4 2 2 2" xfId="1916"/>
    <cellStyle name="Обычный 10 2 4 2 2 2 2" xfId="1917"/>
    <cellStyle name="Обычный 10 2 4 2 2 2 2 2" xfId="1918"/>
    <cellStyle name="Обычный 10 2 4 2 2 2 2 2 2" xfId="1919"/>
    <cellStyle name="Обычный 10 2 4 2 2 2 2 2 3" xfId="1920"/>
    <cellStyle name="Обычный 10 2 4 2 2 2 2 3" xfId="1921"/>
    <cellStyle name="Обычный 10 2 4 2 2 2 2 3 2" xfId="1922"/>
    <cellStyle name="Обычный 10 2 4 2 2 2 2 3 3" xfId="1923"/>
    <cellStyle name="Обычный 10 2 4 2 2 2 2 4" xfId="1924"/>
    <cellStyle name="Обычный 10 2 4 2 2 2 2 4 2" xfId="1925"/>
    <cellStyle name="Обычный 10 2 4 2 2 2 2 5" xfId="1926"/>
    <cellStyle name="Обычный 10 2 4 2 2 2 2 6" xfId="1927"/>
    <cellStyle name="Обычный 10 2 4 2 2 2 3" xfId="1928"/>
    <cellStyle name="Обычный 10 2 4 2 2 2 3 2" xfId="1929"/>
    <cellStyle name="Обычный 10 2 4 2 2 2 3 3" xfId="1930"/>
    <cellStyle name="Обычный 10 2 4 2 2 2 4" xfId="1931"/>
    <cellStyle name="Обычный 10 2 4 2 2 2 4 2" xfId="1932"/>
    <cellStyle name="Обычный 10 2 4 2 2 2 4 3" xfId="1933"/>
    <cellStyle name="Обычный 10 2 4 2 2 2 5" xfId="1934"/>
    <cellStyle name="Обычный 10 2 4 2 2 2 5 2" xfId="1935"/>
    <cellStyle name="Обычный 10 2 4 2 2 2 6" xfId="1936"/>
    <cellStyle name="Обычный 10 2 4 2 2 2 7" xfId="1937"/>
    <cellStyle name="Обычный 10 2 4 2 2 3" xfId="1938"/>
    <cellStyle name="Обычный 10 2 4 2 2 3 2" xfId="1939"/>
    <cellStyle name="Обычный 10 2 4 2 2 3 2 2" xfId="1940"/>
    <cellStyle name="Обычный 10 2 4 2 2 3 2 3" xfId="1941"/>
    <cellStyle name="Обычный 10 2 4 2 2 3 3" xfId="1942"/>
    <cellStyle name="Обычный 10 2 4 2 2 3 3 2" xfId="1943"/>
    <cellStyle name="Обычный 10 2 4 2 2 3 3 3" xfId="1944"/>
    <cellStyle name="Обычный 10 2 4 2 2 3 4" xfId="1945"/>
    <cellStyle name="Обычный 10 2 4 2 2 3 4 2" xfId="1946"/>
    <cellStyle name="Обычный 10 2 4 2 2 3 5" xfId="1947"/>
    <cellStyle name="Обычный 10 2 4 2 2 3 6" xfId="1948"/>
    <cellStyle name="Обычный 10 2 4 2 2 4" xfId="1949"/>
    <cellStyle name="Обычный 10 2 4 2 2 4 2" xfId="1950"/>
    <cellStyle name="Обычный 10 2 4 2 2 4 3" xfId="1951"/>
    <cellStyle name="Обычный 10 2 4 2 2 5" xfId="1952"/>
    <cellStyle name="Обычный 10 2 4 2 2 5 2" xfId="1953"/>
    <cellStyle name="Обычный 10 2 4 2 2 5 3" xfId="1954"/>
    <cellStyle name="Обычный 10 2 4 2 2 6" xfId="1955"/>
    <cellStyle name="Обычный 10 2 4 2 2 6 2" xfId="1956"/>
    <cellStyle name="Обычный 10 2 4 2 2 7" xfId="1957"/>
    <cellStyle name="Обычный 10 2 4 2 2 8" xfId="1958"/>
    <cellStyle name="Обычный 10 2 4 2 3" xfId="1959"/>
    <cellStyle name="Обычный 10 2 4 2 3 2" xfId="1960"/>
    <cellStyle name="Обычный 10 2 4 2 3 2 2" xfId="1961"/>
    <cellStyle name="Обычный 10 2 4 2 3 2 2 2" xfId="1962"/>
    <cellStyle name="Обычный 10 2 4 2 3 2 2 3" xfId="1963"/>
    <cellStyle name="Обычный 10 2 4 2 3 2 3" xfId="1964"/>
    <cellStyle name="Обычный 10 2 4 2 3 2 3 2" xfId="1965"/>
    <cellStyle name="Обычный 10 2 4 2 3 2 3 3" xfId="1966"/>
    <cellStyle name="Обычный 10 2 4 2 3 2 4" xfId="1967"/>
    <cellStyle name="Обычный 10 2 4 2 3 2 4 2" xfId="1968"/>
    <cellStyle name="Обычный 10 2 4 2 3 2 5" xfId="1969"/>
    <cellStyle name="Обычный 10 2 4 2 3 2 6" xfId="1970"/>
    <cellStyle name="Обычный 10 2 4 2 3 3" xfId="1971"/>
    <cellStyle name="Обычный 10 2 4 2 3 3 2" xfId="1972"/>
    <cellStyle name="Обычный 10 2 4 2 3 3 3" xfId="1973"/>
    <cellStyle name="Обычный 10 2 4 2 3 4" xfId="1974"/>
    <cellStyle name="Обычный 10 2 4 2 3 4 2" xfId="1975"/>
    <cellStyle name="Обычный 10 2 4 2 3 4 3" xfId="1976"/>
    <cellStyle name="Обычный 10 2 4 2 3 5" xfId="1977"/>
    <cellStyle name="Обычный 10 2 4 2 3 5 2" xfId="1978"/>
    <cellStyle name="Обычный 10 2 4 2 3 6" xfId="1979"/>
    <cellStyle name="Обычный 10 2 4 2 3 7" xfId="1980"/>
    <cellStyle name="Обычный 10 2 4 2 4" xfId="1981"/>
    <cellStyle name="Обычный 10 2 4 2 4 2" xfId="1982"/>
    <cellStyle name="Обычный 10 2 4 2 4 2 2" xfId="1983"/>
    <cellStyle name="Обычный 10 2 4 2 4 2 3" xfId="1984"/>
    <cellStyle name="Обычный 10 2 4 2 4 3" xfId="1985"/>
    <cellStyle name="Обычный 10 2 4 2 4 3 2" xfId="1986"/>
    <cellStyle name="Обычный 10 2 4 2 4 3 3" xfId="1987"/>
    <cellStyle name="Обычный 10 2 4 2 4 4" xfId="1988"/>
    <cellStyle name="Обычный 10 2 4 2 4 4 2" xfId="1989"/>
    <cellStyle name="Обычный 10 2 4 2 4 5" xfId="1990"/>
    <cellStyle name="Обычный 10 2 4 2 4 6" xfId="1991"/>
    <cellStyle name="Обычный 10 2 4 2 5" xfId="1992"/>
    <cellStyle name="Обычный 10 2 4 2 5 2" xfId="1993"/>
    <cellStyle name="Обычный 10 2 4 2 5 3" xfId="1994"/>
    <cellStyle name="Обычный 10 2 4 2 6" xfId="1995"/>
    <cellStyle name="Обычный 10 2 4 2 6 2" xfId="1996"/>
    <cellStyle name="Обычный 10 2 4 2 6 3" xfId="1997"/>
    <cellStyle name="Обычный 10 2 4 2 7" xfId="1998"/>
    <cellStyle name="Обычный 10 2 4 2 7 2" xfId="1999"/>
    <cellStyle name="Обычный 10 2 4 2 8" xfId="2000"/>
    <cellStyle name="Обычный 10 2 4 2 9" xfId="2001"/>
    <cellStyle name="Обычный 10 2 4 3" xfId="2002"/>
    <cellStyle name="Обычный 10 2 4 3 2" xfId="2003"/>
    <cellStyle name="Обычный 10 2 4 3 2 2" xfId="2004"/>
    <cellStyle name="Обычный 10 2 4 3 2 2 2" xfId="2005"/>
    <cellStyle name="Обычный 10 2 4 3 2 2 2 2" xfId="2006"/>
    <cellStyle name="Обычный 10 2 4 3 2 2 2 3" xfId="2007"/>
    <cellStyle name="Обычный 10 2 4 3 2 2 3" xfId="2008"/>
    <cellStyle name="Обычный 10 2 4 3 2 2 3 2" xfId="2009"/>
    <cellStyle name="Обычный 10 2 4 3 2 2 3 3" xfId="2010"/>
    <cellStyle name="Обычный 10 2 4 3 2 2 4" xfId="2011"/>
    <cellStyle name="Обычный 10 2 4 3 2 2 4 2" xfId="2012"/>
    <cellStyle name="Обычный 10 2 4 3 2 2 5" xfId="2013"/>
    <cellStyle name="Обычный 10 2 4 3 2 2 6" xfId="2014"/>
    <cellStyle name="Обычный 10 2 4 3 2 3" xfId="2015"/>
    <cellStyle name="Обычный 10 2 4 3 2 3 2" xfId="2016"/>
    <cellStyle name="Обычный 10 2 4 3 2 3 3" xfId="2017"/>
    <cellStyle name="Обычный 10 2 4 3 2 4" xfId="2018"/>
    <cellStyle name="Обычный 10 2 4 3 2 4 2" xfId="2019"/>
    <cellStyle name="Обычный 10 2 4 3 2 4 3" xfId="2020"/>
    <cellStyle name="Обычный 10 2 4 3 2 5" xfId="2021"/>
    <cellStyle name="Обычный 10 2 4 3 2 5 2" xfId="2022"/>
    <cellStyle name="Обычный 10 2 4 3 2 6" xfId="2023"/>
    <cellStyle name="Обычный 10 2 4 3 2 7" xfId="2024"/>
    <cellStyle name="Обычный 10 2 4 3 3" xfId="2025"/>
    <cellStyle name="Обычный 10 2 4 3 3 2" xfId="2026"/>
    <cellStyle name="Обычный 10 2 4 3 3 2 2" xfId="2027"/>
    <cellStyle name="Обычный 10 2 4 3 3 2 3" xfId="2028"/>
    <cellStyle name="Обычный 10 2 4 3 3 3" xfId="2029"/>
    <cellStyle name="Обычный 10 2 4 3 3 3 2" xfId="2030"/>
    <cellStyle name="Обычный 10 2 4 3 3 3 3" xfId="2031"/>
    <cellStyle name="Обычный 10 2 4 3 3 4" xfId="2032"/>
    <cellStyle name="Обычный 10 2 4 3 3 4 2" xfId="2033"/>
    <cellStyle name="Обычный 10 2 4 3 3 5" xfId="2034"/>
    <cellStyle name="Обычный 10 2 4 3 3 6" xfId="2035"/>
    <cellStyle name="Обычный 10 2 4 3 4" xfId="2036"/>
    <cellStyle name="Обычный 10 2 4 3 4 2" xfId="2037"/>
    <cellStyle name="Обычный 10 2 4 3 4 3" xfId="2038"/>
    <cellStyle name="Обычный 10 2 4 3 5" xfId="2039"/>
    <cellStyle name="Обычный 10 2 4 3 5 2" xfId="2040"/>
    <cellStyle name="Обычный 10 2 4 3 5 3" xfId="2041"/>
    <cellStyle name="Обычный 10 2 4 3 6" xfId="2042"/>
    <cellStyle name="Обычный 10 2 4 3 6 2" xfId="2043"/>
    <cellStyle name="Обычный 10 2 4 3 7" xfId="2044"/>
    <cellStyle name="Обычный 10 2 4 3 8" xfId="2045"/>
    <cellStyle name="Обычный 10 2 4 4" xfId="2046"/>
    <cellStyle name="Обычный 10 2 4 4 2" xfId="2047"/>
    <cellStyle name="Обычный 10 2 4 4 2 2" xfId="2048"/>
    <cellStyle name="Обычный 10 2 4 4 2 2 2" xfId="2049"/>
    <cellStyle name="Обычный 10 2 4 4 2 2 3" xfId="2050"/>
    <cellStyle name="Обычный 10 2 4 4 2 3" xfId="2051"/>
    <cellStyle name="Обычный 10 2 4 4 2 3 2" xfId="2052"/>
    <cellStyle name="Обычный 10 2 4 4 2 3 3" xfId="2053"/>
    <cellStyle name="Обычный 10 2 4 4 2 4" xfId="2054"/>
    <cellStyle name="Обычный 10 2 4 4 2 4 2" xfId="2055"/>
    <cellStyle name="Обычный 10 2 4 4 2 5" xfId="2056"/>
    <cellStyle name="Обычный 10 2 4 4 2 6" xfId="2057"/>
    <cellStyle name="Обычный 10 2 4 4 3" xfId="2058"/>
    <cellStyle name="Обычный 10 2 4 4 3 2" xfId="2059"/>
    <cellStyle name="Обычный 10 2 4 4 3 3" xfId="2060"/>
    <cellStyle name="Обычный 10 2 4 4 4" xfId="2061"/>
    <cellStyle name="Обычный 10 2 4 4 4 2" xfId="2062"/>
    <cellStyle name="Обычный 10 2 4 4 4 3" xfId="2063"/>
    <cellStyle name="Обычный 10 2 4 4 5" xfId="2064"/>
    <cellStyle name="Обычный 10 2 4 4 5 2" xfId="2065"/>
    <cellStyle name="Обычный 10 2 4 4 6" xfId="2066"/>
    <cellStyle name="Обычный 10 2 4 4 7" xfId="2067"/>
    <cellStyle name="Обычный 10 2 4 5" xfId="2068"/>
    <cellStyle name="Обычный 10 2 4 5 2" xfId="2069"/>
    <cellStyle name="Обычный 10 2 4 5 2 2" xfId="2070"/>
    <cellStyle name="Обычный 10 2 4 5 2 3" xfId="2071"/>
    <cellStyle name="Обычный 10 2 4 5 3" xfId="2072"/>
    <cellStyle name="Обычный 10 2 4 5 3 2" xfId="2073"/>
    <cellStyle name="Обычный 10 2 4 5 3 3" xfId="2074"/>
    <cellStyle name="Обычный 10 2 4 5 4" xfId="2075"/>
    <cellStyle name="Обычный 10 2 4 5 4 2" xfId="2076"/>
    <cellStyle name="Обычный 10 2 4 5 5" xfId="2077"/>
    <cellStyle name="Обычный 10 2 4 5 6" xfId="2078"/>
    <cellStyle name="Обычный 10 2 4 6" xfId="2079"/>
    <cellStyle name="Обычный 10 2 4 6 2" xfId="2080"/>
    <cellStyle name="Обычный 10 2 4 6 3" xfId="2081"/>
    <cellStyle name="Обычный 10 2 4 7" xfId="2082"/>
    <cellStyle name="Обычный 10 2 4 7 2" xfId="2083"/>
    <cellStyle name="Обычный 10 2 4 7 3" xfId="2084"/>
    <cellStyle name="Обычный 10 2 4 8" xfId="2085"/>
    <cellStyle name="Обычный 10 2 4 8 2" xfId="2086"/>
    <cellStyle name="Обычный 10 2 4 9" xfId="2087"/>
    <cellStyle name="Обычный 10 2 5" xfId="2088"/>
    <cellStyle name="Обычный 10 2 5 10" xfId="2089"/>
    <cellStyle name="Обычный 10 2 5 2" xfId="2090"/>
    <cellStyle name="Обычный 10 2 5 2 2" xfId="2091"/>
    <cellStyle name="Обычный 10 2 5 2 2 2" xfId="2092"/>
    <cellStyle name="Обычный 10 2 5 2 2 2 2" xfId="2093"/>
    <cellStyle name="Обычный 10 2 5 2 2 2 2 2" xfId="2094"/>
    <cellStyle name="Обычный 10 2 5 2 2 2 2 2 2" xfId="2095"/>
    <cellStyle name="Обычный 10 2 5 2 2 2 2 2 3" xfId="2096"/>
    <cellStyle name="Обычный 10 2 5 2 2 2 2 3" xfId="2097"/>
    <cellStyle name="Обычный 10 2 5 2 2 2 2 3 2" xfId="2098"/>
    <cellStyle name="Обычный 10 2 5 2 2 2 2 3 3" xfId="2099"/>
    <cellStyle name="Обычный 10 2 5 2 2 2 2 4" xfId="2100"/>
    <cellStyle name="Обычный 10 2 5 2 2 2 2 4 2" xfId="2101"/>
    <cellStyle name="Обычный 10 2 5 2 2 2 2 5" xfId="2102"/>
    <cellStyle name="Обычный 10 2 5 2 2 2 2 6" xfId="2103"/>
    <cellStyle name="Обычный 10 2 5 2 2 2 3" xfId="2104"/>
    <cellStyle name="Обычный 10 2 5 2 2 2 3 2" xfId="2105"/>
    <cellStyle name="Обычный 10 2 5 2 2 2 3 3" xfId="2106"/>
    <cellStyle name="Обычный 10 2 5 2 2 2 4" xfId="2107"/>
    <cellStyle name="Обычный 10 2 5 2 2 2 4 2" xfId="2108"/>
    <cellStyle name="Обычный 10 2 5 2 2 2 4 3" xfId="2109"/>
    <cellStyle name="Обычный 10 2 5 2 2 2 5" xfId="2110"/>
    <cellStyle name="Обычный 10 2 5 2 2 2 5 2" xfId="2111"/>
    <cellStyle name="Обычный 10 2 5 2 2 2 6" xfId="2112"/>
    <cellStyle name="Обычный 10 2 5 2 2 2 7" xfId="2113"/>
    <cellStyle name="Обычный 10 2 5 2 2 3" xfId="2114"/>
    <cellStyle name="Обычный 10 2 5 2 2 3 2" xfId="2115"/>
    <cellStyle name="Обычный 10 2 5 2 2 3 2 2" xfId="2116"/>
    <cellStyle name="Обычный 10 2 5 2 2 3 2 3" xfId="2117"/>
    <cellStyle name="Обычный 10 2 5 2 2 3 3" xfId="2118"/>
    <cellStyle name="Обычный 10 2 5 2 2 3 3 2" xfId="2119"/>
    <cellStyle name="Обычный 10 2 5 2 2 3 3 3" xfId="2120"/>
    <cellStyle name="Обычный 10 2 5 2 2 3 4" xfId="2121"/>
    <cellStyle name="Обычный 10 2 5 2 2 3 4 2" xfId="2122"/>
    <cellStyle name="Обычный 10 2 5 2 2 3 5" xfId="2123"/>
    <cellStyle name="Обычный 10 2 5 2 2 3 6" xfId="2124"/>
    <cellStyle name="Обычный 10 2 5 2 2 4" xfId="2125"/>
    <cellStyle name="Обычный 10 2 5 2 2 4 2" xfId="2126"/>
    <cellStyle name="Обычный 10 2 5 2 2 4 3" xfId="2127"/>
    <cellStyle name="Обычный 10 2 5 2 2 5" xfId="2128"/>
    <cellStyle name="Обычный 10 2 5 2 2 5 2" xfId="2129"/>
    <cellStyle name="Обычный 10 2 5 2 2 5 3" xfId="2130"/>
    <cellStyle name="Обычный 10 2 5 2 2 6" xfId="2131"/>
    <cellStyle name="Обычный 10 2 5 2 2 6 2" xfId="2132"/>
    <cellStyle name="Обычный 10 2 5 2 2 7" xfId="2133"/>
    <cellStyle name="Обычный 10 2 5 2 2 8" xfId="2134"/>
    <cellStyle name="Обычный 10 2 5 2 3" xfId="2135"/>
    <cellStyle name="Обычный 10 2 5 2 3 2" xfId="2136"/>
    <cellStyle name="Обычный 10 2 5 2 3 2 2" xfId="2137"/>
    <cellStyle name="Обычный 10 2 5 2 3 2 2 2" xfId="2138"/>
    <cellStyle name="Обычный 10 2 5 2 3 2 2 3" xfId="2139"/>
    <cellStyle name="Обычный 10 2 5 2 3 2 3" xfId="2140"/>
    <cellStyle name="Обычный 10 2 5 2 3 2 3 2" xfId="2141"/>
    <cellStyle name="Обычный 10 2 5 2 3 2 3 3" xfId="2142"/>
    <cellStyle name="Обычный 10 2 5 2 3 2 4" xfId="2143"/>
    <cellStyle name="Обычный 10 2 5 2 3 2 4 2" xfId="2144"/>
    <cellStyle name="Обычный 10 2 5 2 3 2 5" xfId="2145"/>
    <cellStyle name="Обычный 10 2 5 2 3 2 6" xfId="2146"/>
    <cellStyle name="Обычный 10 2 5 2 3 3" xfId="2147"/>
    <cellStyle name="Обычный 10 2 5 2 3 3 2" xfId="2148"/>
    <cellStyle name="Обычный 10 2 5 2 3 3 3" xfId="2149"/>
    <cellStyle name="Обычный 10 2 5 2 3 4" xfId="2150"/>
    <cellStyle name="Обычный 10 2 5 2 3 4 2" xfId="2151"/>
    <cellStyle name="Обычный 10 2 5 2 3 4 3" xfId="2152"/>
    <cellStyle name="Обычный 10 2 5 2 3 5" xfId="2153"/>
    <cellStyle name="Обычный 10 2 5 2 3 5 2" xfId="2154"/>
    <cellStyle name="Обычный 10 2 5 2 3 6" xfId="2155"/>
    <cellStyle name="Обычный 10 2 5 2 3 7" xfId="2156"/>
    <cellStyle name="Обычный 10 2 5 2 4" xfId="2157"/>
    <cellStyle name="Обычный 10 2 5 2 4 2" xfId="2158"/>
    <cellStyle name="Обычный 10 2 5 2 4 2 2" xfId="2159"/>
    <cellStyle name="Обычный 10 2 5 2 4 2 3" xfId="2160"/>
    <cellStyle name="Обычный 10 2 5 2 4 3" xfId="2161"/>
    <cellStyle name="Обычный 10 2 5 2 4 3 2" xfId="2162"/>
    <cellStyle name="Обычный 10 2 5 2 4 3 3" xfId="2163"/>
    <cellStyle name="Обычный 10 2 5 2 4 4" xfId="2164"/>
    <cellStyle name="Обычный 10 2 5 2 4 4 2" xfId="2165"/>
    <cellStyle name="Обычный 10 2 5 2 4 5" xfId="2166"/>
    <cellStyle name="Обычный 10 2 5 2 4 6" xfId="2167"/>
    <cellStyle name="Обычный 10 2 5 2 5" xfId="2168"/>
    <cellStyle name="Обычный 10 2 5 2 5 2" xfId="2169"/>
    <cellStyle name="Обычный 10 2 5 2 5 3" xfId="2170"/>
    <cellStyle name="Обычный 10 2 5 2 6" xfId="2171"/>
    <cellStyle name="Обычный 10 2 5 2 6 2" xfId="2172"/>
    <cellStyle name="Обычный 10 2 5 2 6 3" xfId="2173"/>
    <cellStyle name="Обычный 10 2 5 2 7" xfId="2174"/>
    <cellStyle name="Обычный 10 2 5 2 7 2" xfId="2175"/>
    <cellStyle name="Обычный 10 2 5 2 8" xfId="2176"/>
    <cellStyle name="Обычный 10 2 5 2 9" xfId="2177"/>
    <cellStyle name="Обычный 10 2 5 3" xfId="2178"/>
    <cellStyle name="Обычный 10 2 5 3 2" xfId="2179"/>
    <cellStyle name="Обычный 10 2 5 3 2 2" xfId="2180"/>
    <cellStyle name="Обычный 10 2 5 3 2 2 2" xfId="2181"/>
    <cellStyle name="Обычный 10 2 5 3 2 2 2 2" xfId="2182"/>
    <cellStyle name="Обычный 10 2 5 3 2 2 2 3" xfId="2183"/>
    <cellStyle name="Обычный 10 2 5 3 2 2 3" xfId="2184"/>
    <cellStyle name="Обычный 10 2 5 3 2 2 3 2" xfId="2185"/>
    <cellStyle name="Обычный 10 2 5 3 2 2 3 3" xfId="2186"/>
    <cellStyle name="Обычный 10 2 5 3 2 2 4" xfId="2187"/>
    <cellStyle name="Обычный 10 2 5 3 2 2 4 2" xfId="2188"/>
    <cellStyle name="Обычный 10 2 5 3 2 2 5" xfId="2189"/>
    <cellStyle name="Обычный 10 2 5 3 2 2 6" xfId="2190"/>
    <cellStyle name="Обычный 10 2 5 3 2 3" xfId="2191"/>
    <cellStyle name="Обычный 10 2 5 3 2 3 2" xfId="2192"/>
    <cellStyle name="Обычный 10 2 5 3 2 3 3" xfId="2193"/>
    <cellStyle name="Обычный 10 2 5 3 2 4" xfId="2194"/>
    <cellStyle name="Обычный 10 2 5 3 2 4 2" xfId="2195"/>
    <cellStyle name="Обычный 10 2 5 3 2 4 3" xfId="2196"/>
    <cellStyle name="Обычный 10 2 5 3 2 5" xfId="2197"/>
    <cellStyle name="Обычный 10 2 5 3 2 5 2" xfId="2198"/>
    <cellStyle name="Обычный 10 2 5 3 2 6" xfId="2199"/>
    <cellStyle name="Обычный 10 2 5 3 2 7" xfId="2200"/>
    <cellStyle name="Обычный 10 2 5 3 3" xfId="2201"/>
    <cellStyle name="Обычный 10 2 5 3 3 2" xfId="2202"/>
    <cellStyle name="Обычный 10 2 5 3 3 2 2" xfId="2203"/>
    <cellStyle name="Обычный 10 2 5 3 3 2 3" xfId="2204"/>
    <cellStyle name="Обычный 10 2 5 3 3 3" xfId="2205"/>
    <cellStyle name="Обычный 10 2 5 3 3 3 2" xfId="2206"/>
    <cellStyle name="Обычный 10 2 5 3 3 3 3" xfId="2207"/>
    <cellStyle name="Обычный 10 2 5 3 3 4" xfId="2208"/>
    <cellStyle name="Обычный 10 2 5 3 3 4 2" xfId="2209"/>
    <cellStyle name="Обычный 10 2 5 3 3 5" xfId="2210"/>
    <cellStyle name="Обычный 10 2 5 3 3 6" xfId="2211"/>
    <cellStyle name="Обычный 10 2 5 3 4" xfId="2212"/>
    <cellStyle name="Обычный 10 2 5 3 4 2" xfId="2213"/>
    <cellStyle name="Обычный 10 2 5 3 4 3" xfId="2214"/>
    <cellStyle name="Обычный 10 2 5 3 5" xfId="2215"/>
    <cellStyle name="Обычный 10 2 5 3 5 2" xfId="2216"/>
    <cellStyle name="Обычный 10 2 5 3 5 3" xfId="2217"/>
    <cellStyle name="Обычный 10 2 5 3 6" xfId="2218"/>
    <cellStyle name="Обычный 10 2 5 3 6 2" xfId="2219"/>
    <cellStyle name="Обычный 10 2 5 3 7" xfId="2220"/>
    <cellStyle name="Обычный 10 2 5 3 8" xfId="2221"/>
    <cellStyle name="Обычный 10 2 5 4" xfId="2222"/>
    <cellStyle name="Обычный 10 2 5 4 2" xfId="2223"/>
    <cellStyle name="Обычный 10 2 5 4 2 2" xfId="2224"/>
    <cellStyle name="Обычный 10 2 5 4 2 2 2" xfId="2225"/>
    <cellStyle name="Обычный 10 2 5 4 2 2 3" xfId="2226"/>
    <cellStyle name="Обычный 10 2 5 4 2 3" xfId="2227"/>
    <cellStyle name="Обычный 10 2 5 4 2 3 2" xfId="2228"/>
    <cellStyle name="Обычный 10 2 5 4 2 3 3" xfId="2229"/>
    <cellStyle name="Обычный 10 2 5 4 2 4" xfId="2230"/>
    <cellStyle name="Обычный 10 2 5 4 2 4 2" xfId="2231"/>
    <cellStyle name="Обычный 10 2 5 4 2 5" xfId="2232"/>
    <cellStyle name="Обычный 10 2 5 4 2 6" xfId="2233"/>
    <cellStyle name="Обычный 10 2 5 4 3" xfId="2234"/>
    <cellStyle name="Обычный 10 2 5 4 3 2" xfId="2235"/>
    <cellStyle name="Обычный 10 2 5 4 3 3" xfId="2236"/>
    <cellStyle name="Обычный 10 2 5 4 4" xfId="2237"/>
    <cellStyle name="Обычный 10 2 5 4 4 2" xfId="2238"/>
    <cellStyle name="Обычный 10 2 5 4 4 3" xfId="2239"/>
    <cellStyle name="Обычный 10 2 5 4 5" xfId="2240"/>
    <cellStyle name="Обычный 10 2 5 4 5 2" xfId="2241"/>
    <cellStyle name="Обычный 10 2 5 4 6" xfId="2242"/>
    <cellStyle name="Обычный 10 2 5 4 7" xfId="2243"/>
    <cellStyle name="Обычный 10 2 5 5" xfId="2244"/>
    <cellStyle name="Обычный 10 2 5 5 2" xfId="2245"/>
    <cellStyle name="Обычный 10 2 5 5 2 2" xfId="2246"/>
    <cellStyle name="Обычный 10 2 5 5 2 3" xfId="2247"/>
    <cellStyle name="Обычный 10 2 5 5 3" xfId="2248"/>
    <cellStyle name="Обычный 10 2 5 5 3 2" xfId="2249"/>
    <cellStyle name="Обычный 10 2 5 5 3 3" xfId="2250"/>
    <cellStyle name="Обычный 10 2 5 5 4" xfId="2251"/>
    <cellStyle name="Обычный 10 2 5 5 4 2" xfId="2252"/>
    <cellStyle name="Обычный 10 2 5 5 5" xfId="2253"/>
    <cellStyle name="Обычный 10 2 5 5 6" xfId="2254"/>
    <cellStyle name="Обычный 10 2 5 6" xfId="2255"/>
    <cellStyle name="Обычный 10 2 5 6 2" xfId="2256"/>
    <cellStyle name="Обычный 10 2 5 6 3" xfId="2257"/>
    <cellStyle name="Обычный 10 2 5 7" xfId="2258"/>
    <cellStyle name="Обычный 10 2 5 7 2" xfId="2259"/>
    <cellStyle name="Обычный 10 2 5 7 3" xfId="2260"/>
    <cellStyle name="Обычный 10 2 5 8" xfId="2261"/>
    <cellStyle name="Обычный 10 2 5 8 2" xfId="2262"/>
    <cellStyle name="Обычный 10 2 5 9" xfId="2263"/>
    <cellStyle name="Обычный 10 2 6" xfId="2264"/>
    <cellStyle name="Обычный 10 2 6 2" xfId="2265"/>
    <cellStyle name="Обычный 10 2 6 2 2" xfId="2266"/>
    <cellStyle name="Обычный 10 2 6 2 2 2" xfId="2267"/>
    <cellStyle name="Обычный 10 2 6 2 2 2 2" xfId="2268"/>
    <cellStyle name="Обычный 10 2 6 2 2 2 2 2" xfId="2269"/>
    <cellStyle name="Обычный 10 2 6 2 2 2 2 3" xfId="2270"/>
    <cellStyle name="Обычный 10 2 6 2 2 2 3" xfId="2271"/>
    <cellStyle name="Обычный 10 2 6 2 2 2 3 2" xfId="2272"/>
    <cellStyle name="Обычный 10 2 6 2 2 2 3 3" xfId="2273"/>
    <cellStyle name="Обычный 10 2 6 2 2 2 4" xfId="2274"/>
    <cellStyle name="Обычный 10 2 6 2 2 2 4 2" xfId="2275"/>
    <cellStyle name="Обычный 10 2 6 2 2 2 5" xfId="2276"/>
    <cellStyle name="Обычный 10 2 6 2 2 2 6" xfId="2277"/>
    <cellStyle name="Обычный 10 2 6 2 2 3" xfId="2278"/>
    <cellStyle name="Обычный 10 2 6 2 2 3 2" xfId="2279"/>
    <cellStyle name="Обычный 10 2 6 2 2 3 3" xfId="2280"/>
    <cellStyle name="Обычный 10 2 6 2 2 4" xfId="2281"/>
    <cellStyle name="Обычный 10 2 6 2 2 4 2" xfId="2282"/>
    <cellStyle name="Обычный 10 2 6 2 2 4 3" xfId="2283"/>
    <cellStyle name="Обычный 10 2 6 2 2 5" xfId="2284"/>
    <cellStyle name="Обычный 10 2 6 2 2 5 2" xfId="2285"/>
    <cellStyle name="Обычный 10 2 6 2 2 6" xfId="2286"/>
    <cellStyle name="Обычный 10 2 6 2 2 7" xfId="2287"/>
    <cellStyle name="Обычный 10 2 6 2 3" xfId="2288"/>
    <cellStyle name="Обычный 10 2 6 2 3 2" xfId="2289"/>
    <cellStyle name="Обычный 10 2 6 2 3 2 2" xfId="2290"/>
    <cellStyle name="Обычный 10 2 6 2 3 2 3" xfId="2291"/>
    <cellStyle name="Обычный 10 2 6 2 3 3" xfId="2292"/>
    <cellStyle name="Обычный 10 2 6 2 3 3 2" xfId="2293"/>
    <cellStyle name="Обычный 10 2 6 2 3 3 3" xfId="2294"/>
    <cellStyle name="Обычный 10 2 6 2 3 4" xfId="2295"/>
    <cellStyle name="Обычный 10 2 6 2 3 4 2" xfId="2296"/>
    <cellStyle name="Обычный 10 2 6 2 3 5" xfId="2297"/>
    <cellStyle name="Обычный 10 2 6 2 3 6" xfId="2298"/>
    <cellStyle name="Обычный 10 2 6 2 4" xfId="2299"/>
    <cellStyle name="Обычный 10 2 6 2 4 2" xfId="2300"/>
    <cellStyle name="Обычный 10 2 6 2 4 3" xfId="2301"/>
    <cellStyle name="Обычный 10 2 6 2 5" xfId="2302"/>
    <cellStyle name="Обычный 10 2 6 2 5 2" xfId="2303"/>
    <cellStyle name="Обычный 10 2 6 2 5 3" xfId="2304"/>
    <cellStyle name="Обычный 10 2 6 2 6" xfId="2305"/>
    <cellStyle name="Обычный 10 2 6 2 6 2" xfId="2306"/>
    <cellStyle name="Обычный 10 2 6 2 7" xfId="2307"/>
    <cellStyle name="Обычный 10 2 6 2 8" xfId="2308"/>
    <cellStyle name="Обычный 10 2 6 3" xfId="2309"/>
    <cellStyle name="Обычный 10 2 6 3 2" xfId="2310"/>
    <cellStyle name="Обычный 10 2 6 3 2 2" xfId="2311"/>
    <cellStyle name="Обычный 10 2 6 3 2 2 2" xfId="2312"/>
    <cellStyle name="Обычный 10 2 6 3 2 2 3" xfId="2313"/>
    <cellStyle name="Обычный 10 2 6 3 2 3" xfId="2314"/>
    <cellStyle name="Обычный 10 2 6 3 2 3 2" xfId="2315"/>
    <cellStyle name="Обычный 10 2 6 3 2 3 3" xfId="2316"/>
    <cellStyle name="Обычный 10 2 6 3 2 4" xfId="2317"/>
    <cellStyle name="Обычный 10 2 6 3 2 4 2" xfId="2318"/>
    <cellStyle name="Обычный 10 2 6 3 2 5" xfId="2319"/>
    <cellStyle name="Обычный 10 2 6 3 2 6" xfId="2320"/>
    <cellStyle name="Обычный 10 2 6 3 3" xfId="2321"/>
    <cellStyle name="Обычный 10 2 6 3 3 2" xfId="2322"/>
    <cellStyle name="Обычный 10 2 6 3 3 3" xfId="2323"/>
    <cellStyle name="Обычный 10 2 6 3 4" xfId="2324"/>
    <cellStyle name="Обычный 10 2 6 3 4 2" xfId="2325"/>
    <cellStyle name="Обычный 10 2 6 3 4 3" xfId="2326"/>
    <cellStyle name="Обычный 10 2 6 3 5" xfId="2327"/>
    <cellStyle name="Обычный 10 2 6 3 5 2" xfId="2328"/>
    <cellStyle name="Обычный 10 2 6 3 6" xfId="2329"/>
    <cellStyle name="Обычный 10 2 6 3 7" xfId="2330"/>
    <cellStyle name="Обычный 10 2 6 4" xfId="2331"/>
    <cellStyle name="Обычный 10 2 6 4 2" xfId="2332"/>
    <cellStyle name="Обычный 10 2 6 4 2 2" xfId="2333"/>
    <cellStyle name="Обычный 10 2 6 4 2 3" xfId="2334"/>
    <cellStyle name="Обычный 10 2 6 4 3" xfId="2335"/>
    <cellStyle name="Обычный 10 2 6 4 3 2" xfId="2336"/>
    <cellStyle name="Обычный 10 2 6 4 3 3" xfId="2337"/>
    <cellStyle name="Обычный 10 2 6 4 4" xfId="2338"/>
    <cellStyle name="Обычный 10 2 6 4 4 2" xfId="2339"/>
    <cellStyle name="Обычный 10 2 6 4 5" xfId="2340"/>
    <cellStyle name="Обычный 10 2 6 4 6" xfId="2341"/>
    <cellStyle name="Обычный 10 2 6 5" xfId="2342"/>
    <cellStyle name="Обычный 10 2 6 5 2" xfId="2343"/>
    <cellStyle name="Обычный 10 2 6 5 3" xfId="2344"/>
    <cellStyle name="Обычный 10 2 6 6" xfId="2345"/>
    <cellStyle name="Обычный 10 2 6 6 2" xfId="2346"/>
    <cellStyle name="Обычный 10 2 6 6 3" xfId="2347"/>
    <cellStyle name="Обычный 10 2 6 7" xfId="2348"/>
    <cellStyle name="Обычный 10 2 6 7 2" xfId="2349"/>
    <cellStyle name="Обычный 10 2 6 8" xfId="2350"/>
    <cellStyle name="Обычный 10 2 6 9" xfId="2351"/>
    <cellStyle name="Обычный 10 2 7" xfId="2352"/>
    <cellStyle name="Обычный 10 2 7 2" xfId="2353"/>
    <cellStyle name="Обычный 10 2 7 2 2" xfId="2354"/>
    <cellStyle name="Обычный 10 2 7 2 2 2" xfId="2355"/>
    <cellStyle name="Обычный 10 2 7 2 2 2 2" xfId="2356"/>
    <cellStyle name="Обычный 10 2 7 2 2 2 3" xfId="2357"/>
    <cellStyle name="Обычный 10 2 7 2 2 3" xfId="2358"/>
    <cellStyle name="Обычный 10 2 7 2 2 3 2" xfId="2359"/>
    <cellStyle name="Обычный 10 2 7 2 2 3 3" xfId="2360"/>
    <cellStyle name="Обычный 10 2 7 2 2 4" xfId="2361"/>
    <cellStyle name="Обычный 10 2 7 2 2 4 2" xfId="2362"/>
    <cellStyle name="Обычный 10 2 7 2 2 5" xfId="2363"/>
    <cellStyle name="Обычный 10 2 7 2 2 6" xfId="2364"/>
    <cellStyle name="Обычный 10 2 7 2 3" xfId="2365"/>
    <cellStyle name="Обычный 10 2 7 2 3 2" xfId="2366"/>
    <cellStyle name="Обычный 10 2 7 2 3 3" xfId="2367"/>
    <cellStyle name="Обычный 10 2 7 2 4" xfId="2368"/>
    <cellStyle name="Обычный 10 2 7 2 4 2" xfId="2369"/>
    <cellStyle name="Обычный 10 2 7 2 4 3" xfId="2370"/>
    <cellStyle name="Обычный 10 2 7 2 5" xfId="2371"/>
    <cellStyle name="Обычный 10 2 7 2 5 2" xfId="2372"/>
    <cellStyle name="Обычный 10 2 7 2 6" xfId="2373"/>
    <cellStyle name="Обычный 10 2 7 2 7" xfId="2374"/>
    <cellStyle name="Обычный 10 2 7 3" xfId="2375"/>
    <cellStyle name="Обычный 10 2 7 3 2" xfId="2376"/>
    <cellStyle name="Обычный 10 2 7 3 2 2" xfId="2377"/>
    <cellStyle name="Обычный 10 2 7 3 2 3" xfId="2378"/>
    <cellStyle name="Обычный 10 2 7 3 3" xfId="2379"/>
    <cellStyle name="Обычный 10 2 7 3 3 2" xfId="2380"/>
    <cellStyle name="Обычный 10 2 7 3 3 3" xfId="2381"/>
    <cellStyle name="Обычный 10 2 7 3 4" xfId="2382"/>
    <cellStyle name="Обычный 10 2 7 3 4 2" xfId="2383"/>
    <cellStyle name="Обычный 10 2 7 3 5" xfId="2384"/>
    <cellStyle name="Обычный 10 2 7 3 6" xfId="2385"/>
    <cellStyle name="Обычный 10 2 7 4" xfId="2386"/>
    <cellStyle name="Обычный 10 2 7 4 2" xfId="2387"/>
    <cellStyle name="Обычный 10 2 7 4 3" xfId="2388"/>
    <cellStyle name="Обычный 10 2 7 5" xfId="2389"/>
    <cellStyle name="Обычный 10 2 7 5 2" xfId="2390"/>
    <cellStyle name="Обычный 10 2 7 5 3" xfId="2391"/>
    <cellStyle name="Обычный 10 2 7 6" xfId="2392"/>
    <cellStyle name="Обычный 10 2 7 6 2" xfId="2393"/>
    <cellStyle name="Обычный 10 2 7 7" xfId="2394"/>
    <cellStyle name="Обычный 10 2 7 8" xfId="2395"/>
    <cellStyle name="Обычный 10 2 8" xfId="2396"/>
    <cellStyle name="Обычный 10 2 8 2" xfId="2397"/>
    <cellStyle name="Обычный 10 2 8 2 2" xfId="2398"/>
    <cellStyle name="Обычный 10 2 8 2 2 2" xfId="2399"/>
    <cellStyle name="Обычный 10 2 8 2 2 3" xfId="2400"/>
    <cellStyle name="Обычный 10 2 8 2 3" xfId="2401"/>
    <cellStyle name="Обычный 10 2 8 2 3 2" xfId="2402"/>
    <cellStyle name="Обычный 10 2 8 2 3 3" xfId="2403"/>
    <cellStyle name="Обычный 10 2 8 2 4" xfId="2404"/>
    <cellStyle name="Обычный 10 2 8 2 4 2" xfId="2405"/>
    <cellStyle name="Обычный 10 2 8 2 5" xfId="2406"/>
    <cellStyle name="Обычный 10 2 8 2 6" xfId="2407"/>
    <cellStyle name="Обычный 10 2 8 3" xfId="2408"/>
    <cellStyle name="Обычный 10 2 8 3 2" xfId="2409"/>
    <cellStyle name="Обычный 10 2 8 3 3" xfId="2410"/>
    <cellStyle name="Обычный 10 2 8 4" xfId="2411"/>
    <cellStyle name="Обычный 10 2 8 4 2" xfId="2412"/>
    <cellStyle name="Обычный 10 2 8 4 3" xfId="2413"/>
    <cellStyle name="Обычный 10 2 8 5" xfId="2414"/>
    <cellStyle name="Обычный 10 2 8 5 2" xfId="2415"/>
    <cellStyle name="Обычный 10 2 8 6" xfId="2416"/>
    <cellStyle name="Обычный 10 2 8 7" xfId="2417"/>
    <cellStyle name="Обычный 10 2 9" xfId="2418"/>
    <cellStyle name="Обычный 10 2 9 2" xfId="2419"/>
    <cellStyle name="Обычный 10 2 9 2 2" xfId="2420"/>
    <cellStyle name="Обычный 10 2 9 2 3" xfId="2421"/>
    <cellStyle name="Обычный 10 2 9 3" xfId="2422"/>
    <cellStyle name="Обычный 10 2 9 3 2" xfId="2423"/>
    <cellStyle name="Обычный 10 2 9 3 3" xfId="2424"/>
    <cellStyle name="Обычный 10 2 9 4" xfId="2425"/>
    <cellStyle name="Обычный 10 2 9 4 2" xfId="2426"/>
    <cellStyle name="Обычный 10 2 9 5" xfId="2427"/>
    <cellStyle name="Обычный 10 2 9 6" xfId="2428"/>
    <cellStyle name="Обычный 10 20" xfId="2429"/>
    <cellStyle name="Обычный 10 21" xfId="2430"/>
    <cellStyle name="Обычный 10 3" xfId="2431"/>
    <cellStyle name="Обычный 10 3 10" xfId="2432"/>
    <cellStyle name="Обычный 10 3 10 2" xfId="2433"/>
    <cellStyle name="Обычный 10 3 10 3" xfId="2434"/>
    <cellStyle name="Обычный 10 3 11" xfId="2435"/>
    <cellStyle name="Обычный 10 3 11 2" xfId="2436"/>
    <cellStyle name="Обычный 10 3 11 3" xfId="2437"/>
    <cellStyle name="Обычный 10 3 12" xfId="2438"/>
    <cellStyle name="Обычный 10 3 12 2" xfId="2439"/>
    <cellStyle name="Обычный 10 3 13" xfId="2440"/>
    <cellStyle name="Обычный 10 3 14" xfId="2441"/>
    <cellStyle name="Обычный 10 3 2" xfId="2442"/>
    <cellStyle name="Обычный 10 3 2 10" xfId="2443"/>
    <cellStyle name="Обычный 10 3 2 10 2" xfId="2444"/>
    <cellStyle name="Обычный 10 3 2 10 3" xfId="2445"/>
    <cellStyle name="Обычный 10 3 2 11" xfId="2446"/>
    <cellStyle name="Обычный 10 3 2 11 2" xfId="2447"/>
    <cellStyle name="Обычный 10 3 2 12" xfId="2448"/>
    <cellStyle name="Обычный 10 3 2 13" xfId="2449"/>
    <cellStyle name="Обычный 10 3 2 2" xfId="2450"/>
    <cellStyle name="Обычный 10 3 2 2 10" xfId="2451"/>
    <cellStyle name="Обычный 10 3 2 2 2" xfId="2452"/>
    <cellStyle name="Обычный 10 3 2 2 2 2" xfId="2453"/>
    <cellStyle name="Обычный 10 3 2 2 2 2 2" xfId="2454"/>
    <cellStyle name="Обычный 10 3 2 2 2 2 2 2" xfId="2455"/>
    <cellStyle name="Обычный 10 3 2 2 2 2 2 2 2" xfId="2456"/>
    <cellStyle name="Обычный 10 3 2 2 2 2 2 2 2 2" xfId="2457"/>
    <cellStyle name="Обычный 10 3 2 2 2 2 2 2 2 3" xfId="2458"/>
    <cellStyle name="Обычный 10 3 2 2 2 2 2 2 3" xfId="2459"/>
    <cellStyle name="Обычный 10 3 2 2 2 2 2 2 3 2" xfId="2460"/>
    <cellStyle name="Обычный 10 3 2 2 2 2 2 2 3 3" xfId="2461"/>
    <cellStyle name="Обычный 10 3 2 2 2 2 2 2 4" xfId="2462"/>
    <cellStyle name="Обычный 10 3 2 2 2 2 2 2 4 2" xfId="2463"/>
    <cellStyle name="Обычный 10 3 2 2 2 2 2 2 5" xfId="2464"/>
    <cellStyle name="Обычный 10 3 2 2 2 2 2 2 6" xfId="2465"/>
    <cellStyle name="Обычный 10 3 2 2 2 2 2 3" xfId="2466"/>
    <cellStyle name="Обычный 10 3 2 2 2 2 2 3 2" xfId="2467"/>
    <cellStyle name="Обычный 10 3 2 2 2 2 2 3 3" xfId="2468"/>
    <cellStyle name="Обычный 10 3 2 2 2 2 2 4" xfId="2469"/>
    <cellStyle name="Обычный 10 3 2 2 2 2 2 4 2" xfId="2470"/>
    <cellStyle name="Обычный 10 3 2 2 2 2 2 4 3" xfId="2471"/>
    <cellStyle name="Обычный 10 3 2 2 2 2 2 5" xfId="2472"/>
    <cellStyle name="Обычный 10 3 2 2 2 2 2 5 2" xfId="2473"/>
    <cellStyle name="Обычный 10 3 2 2 2 2 2 6" xfId="2474"/>
    <cellStyle name="Обычный 10 3 2 2 2 2 2 7" xfId="2475"/>
    <cellStyle name="Обычный 10 3 2 2 2 2 3" xfId="2476"/>
    <cellStyle name="Обычный 10 3 2 2 2 2 3 2" xfId="2477"/>
    <cellStyle name="Обычный 10 3 2 2 2 2 3 2 2" xfId="2478"/>
    <cellStyle name="Обычный 10 3 2 2 2 2 3 2 3" xfId="2479"/>
    <cellStyle name="Обычный 10 3 2 2 2 2 3 3" xfId="2480"/>
    <cellStyle name="Обычный 10 3 2 2 2 2 3 3 2" xfId="2481"/>
    <cellStyle name="Обычный 10 3 2 2 2 2 3 3 3" xfId="2482"/>
    <cellStyle name="Обычный 10 3 2 2 2 2 3 4" xfId="2483"/>
    <cellStyle name="Обычный 10 3 2 2 2 2 3 4 2" xfId="2484"/>
    <cellStyle name="Обычный 10 3 2 2 2 2 3 5" xfId="2485"/>
    <cellStyle name="Обычный 10 3 2 2 2 2 3 6" xfId="2486"/>
    <cellStyle name="Обычный 10 3 2 2 2 2 4" xfId="2487"/>
    <cellStyle name="Обычный 10 3 2 2 2 2 4 2" xfId="2488"/>
    <cellStyle name="Обычный 10 3 2 2 2 2 4 3" xfId="2489"/>
    <cellStyle name="Обычный 10 3 2 2 2 2 5" xfId="2490"/>
    <cellStyle name="Обычный 10 3 2 2 2 2 5 2" xfId="2491"/>
    <cellStyle name="Обычный 10 3 2 2 2 2 5 3" xfId="2492"/>
    <cellStyle name="Обычный 10 3 2 2 2 2 6" xfId="2493"/>
    <cellStyle name="Обычный 10 3 2 2 2 2 6 2" xfId="2494"/>
    <cellStyle name="Обычный 10 3 2 2 2 2 7" xfId="2495"/>
    <cellStyle name="Обычный 10 3 2 2 2 2 8" xfId="2496"/>
    <cellStyle name="Обычный 10 3 2 2 2 3" xfId="2497"/>
    <cellStyle name="Обычный 10 3 2 2 2 3 2" xfId="2498"/>
    <cellStyle name="Обычный 10 3 2 2 2 3 2 2" xfId="2499"/>
    <cellStyle name="Обычный 10 3 2 2 2 3 2 2 2" xfId="2500"/>
    <cellStyle name="Обычный 10 3 2 2 2 3 2 2 3" xfId="2501"/>
    <cellStyle name="Обычный 10 3 2 2 2 3 2 3" xfId="2502"/>
    <cellStyle name="Обычный 10 3 2 2 2 3 2 3 2" xfId="2503"/>
    <cellStyle name="Обычный 10 3 2 2 2 3 2 3 3" xfId="2504"/>
    <cellStyle name="Обычный 10 3 2 2 2 3 2 4" xfId="2505"/>
    <cellStyle name="Обычный 10 3 2 2 2 3 2 4 2" xfId="2506"/>
    <cellStyle name="Обычный 10 3 2 2 2 3 2 5" xfId="2507"/>
    <cellStyle name="Обычный 10 3 2 2 2 3 2 6" xfId="2508"/>
    <cellStyle name="Обычный 10 3 2 2 2 3 3" xfId="2509"/>
    <cellStyle name="Обычный 10 3 2 2 2 3 3 2" xfId="2510"/>
    <cellStyle name="Обычный 10 3 2 2 2 3 3 3" xfId="2511"/>
    <cellStyle name="Обычный 10 3 2 2 2 3 4" xfId="2512"/>
    <cellStyle name="Обычный 10 3 2 2 2 3 4 2" xfId="2513"/>
    <cellStyle name="Обычный 10 3 2 2 2 3 4 3" xfId="2514"/>
    <cellStyle name="Обычный 10 3 2 2 2 3 5" xfId="2515"/>
    <cellStyle name="Обычный 10 3 2 2 2 3 5 2" xfId="2516"/>
    <cellStyle name="Обычный 10 3 2 2 2 3 6" xfId="2517"/>
    <cellStyle name="Обычный 10 3 2 2 2 3 7" xfId="2518"/>
    <cellStyle name="Обычный 10 3 2 2 2 4" xfId="2519"/>
    <cellStyle name="Обычный 10 3 2 2 2 4 2" xfId="2520"/>
    <cellStyle name="Обычный 10 3 2 2 2 4 2 2" xfId="2521"/>
    <cellStyle name="Обычный 10 3 2 2 2 4 2 3" xfId="2522"/>
    <cellStyle name="Обычный 10 3 2 2 2 4 3" xfId="2523"/>
    <cellStyle name="Обычный 10 3 2 2 2 4 3 2" xfId="2524"/>
    <cellStyle name="Обычный 10 3 2 2 2 4 3 3" xfId="2525"/>
    <cellStyle name="Обычный 10 3 2 2 2 4 4" xfId="2526"/>
    <cellStyle name="Обычный 10 3 2 2 2 4 4 2" xfId="2527"/>
    <cellStyle name="Обычный 10 3 2 2 2 4 5" xfId="2528"/>
    <cellStyle name="Обычный 10 3 2 2 2 4 6" xfId="2529"/>
    <cellStyle name="Обычный 10 3 2 2 2 5" xfId="2530"/>
    <cellStyle name="Обычный 10 3 2 2 2 5 2" xfId="2531"/>
    <cellStyle name="Обычный 10 3 2 2 2 5 3" xfId="2532"/>
    <cellStyle name="Обычный 10 3 2 2 2 6" xfId="2533"/>
    <cellStyle name="Обычный 10 3 2 2 2 6 2" xfId="2534"/>
    <cellStyle name="Обычный 10 3 2 2 2 6 3" xfId="2535"/>
    <cellStyle name="Обычный 10 3 2 2 2 7" xfId="2536"/>
    <cellStyle name="Обычный 10 3 2 2 2 7 2" xfId="2537"/>
    <cellStyle name="Обычный 10 3 2 2 2 8" xfId="2538"/>
    <cellStyle name="Обычный 10 3 2 2 2 9" xfId="2539"/>
    <cellStyle name="Обычный 10 3 2 2 3" xfId="2540"/>
    <cellStyle name="Обычный 10 3 2 2 3 2" xfId="2541"/>
    <cellStyle name="Обычный 10 3 2 2 3 2 2" xfId="2542"/>
    <cellStyle name="Обычный 10 3 2 2 3 2 2 2" xfId="2543"/>
    <cellStyle name="Обычный 10 3 2 2 3 2 2 2 2" xfId="2544"/>
    <cellStyle name="Обычный 10 3 2 2 3 2 2 2 3" xfId="2545"/>
    <cellStyle name="Обычный 10 3 2 2 3 2 2 3" xfId="2546"/>
    <cellStyle name="Обычный 10 3 2 2 3 2 2 3 2" xfId="2547"/>
    <cellStyle name="Обычный 10 3 2 2 3 2 2 3 3" xfId="2548"/>
    <cellStyle name="Обычный 10 3 2 2 3 2 2 4" xfId="2549"/>
    <cellStyle name="Обычный 10 3 2 2 3 2 2 4 2" xfId="2550"/>
    <cellStyle name="Обычный 10 3 2 2 3 2 2 5" xfId="2551"/>
    <cellStyle name="Обычный 10 3 2 2 3 2 2 6" xfId="2552"/>
    <cellStyle name="Обычный 10 3 2 2 3 2 3" xfId="2553"/>
    <cellStyle name="Обычный 10 3 2 2 3 2 3 2" xfId="2554"/>
    <cellStyle name="Обычный 10 3 2 2 3 2 3 3" xfId="2555"/>
    <cellStyle name="Обычный 10 3 2 2 3 2 4" xfId="2556"/>
    <cellStyle name="Обычный 10 3 2 2 3 2 4 2" xfId="2557"/>
    <cellStyle name="Обычный 10 3 2 2 3 2 4 3" xfId="2558"/>
    <cellStyle name="Обычный 10 3 2 2 3 2 5" xfId="2559"/>
    <cellStyle name="Обычный 10 3 2 2 3 2 5 2" xfId="2560"/>
    <cellStyle name="Обычный 10 3 2 2 3 2 6" xfId="2561"/>
    <cellStyle name="Обычный 10 3 2 2 3 2 7" xfId="2562"/>
    <cellStyle name="Обычный 10 3 2 2 3 3" xfId="2563"/>
    <cellStyle name="Обычный 10 3 2 2 3 3 2" xfId="2564"/>
    <cellStyle name="Обычный 10 3 2 2 3 3 2 2" xfId="2565"/>
    <cellStyle name="Обычный 10 3 2 2 3 3 2 3" xfId="2566"/>
    <cellStyle name="Обычный 10 3 2 2 3 3 3" xfId="2567"/>
    <cellStyle name="Обычный 10 3 2 2 3 3 3 2" xfId="2568"/>
    <cellStyle name="Обычный 10 3 2 2 3 3 3 3" xfId="2569"/>
    <cellStyle name="Обычный 10 3 2 2 3 3 4" xfId="2570"/>
    <cellStyle name="Обычный 10 3 2 2 3 3 4 2" xfId="2571"/>
    <cellStyle name="Обычный 10 3 2 2 3 3 5" xfId="2572"/>
    <cellStyle name="Обычный 10 3 2 2 3 3 6" xfId="2573"/>
    <cellStyle name="Обычный 10 3 2 2 3 4" xfId="2574"/>
    <cellStyle name="Обычный 10 3 2 2 3 4 2" xfId="2575"/>
    <cellStyle name="Обычный 10 3 2 2 3 4 3" xfId="2576"/>
    <cellStyle name="Обычный 10 3 2 2 3 5" xfId="2577"/>
    <cellStyle name="Обычный 10 3 2 2 3 5 2" xfId="2578"/>
    <cellStyle name="Обычный 10 3 2 2 3 5 3" xfId="2579"/>
    <cellStyle name="Обычный 10 3 2 2 3 6" xfId="2580"/>
    <cellStyle name="Обычный 10 3 2 2 3 6 2" xfId="2581"/>
    <cellStyle name="Обычный 10 3 2 2 3 7" xfId="2582"/>
    <cellStyle name="Обычный 10 3 2 2 3 8" xfId="2583"/>
    <cellStyle name="Обычный 10 3 2 2 4" xfId="2584"/>
    <cellStyle name="Обычный 10 3 2 2 4 2" xfId="2585"/>
    <cellStyle name="Обычный 10 3 2 2 4 2 2" xfId="2586"/>
    <cellStyle name="Обычный 10 3 2 2 4 2 2 2" xfId="2587"/>
    <cellStyle name="Обычный 10 3 2 2 4 2 2 3" xfId="2588"/>
    <cellStyle name="Обычный 10 3 2 2 4 2 3" xfId="2589"/>
    <cellStyle name="Обычный 10 3 2 2 4 2 3 2" xfId="2590"/>
    <cellStyle name="Обычный 10 3 2 2 4 2 3 3" xfId="2591"/>
    <cellStyle name="Обычный 10 3 2 2 4 2 4" xfId="2592"/>
    <cellStyle name="Обычный 10 3 2 2 4 2 4 2" xfId="2593"/>
    <cellStyle name="Обычный 10 3 2 2 4 2 5" xfId="2594"/>
    <cellStyle name="Обычный 10 3 2 2 4 2 6" xfId="2595"/>
    <cellStyle name="Обычный 10 3 2 2 4 3" xfId="2596"/>
    <cellStyle name="Обычный 10 3 2 2 4 3 2" xfId="2597"/>
    <cellStyle name="Обычный 10 3 2 2 4 3 3" xfId="2598"/>
    <cellStyle name="Обычный 10 3 2 2 4 4" xfId="2599"/>
    <cellStyle name="Обычный 10 3 2 2 4 4 2" xfId="2600"/>
    <cellStyle name="Обычный 10 3 2 2 4 4 3" xfId="2601"/>
    <cellStyle name="Обычный 10 3 2 2 4 5" xfId="2602"/>
    <cellStyle name="Обычный 10 3 2 2 4 5 2" xfId="2603"/>
    <cellStyle name="Обычный 10 3 2 2 4 6" xfId="2604"/>
    <cellStyle name="Обычный 10 3 2 2 4 7" xfId="2605"/>
    <cellStyle name="Обычный 10 3 2 2 5" xfId="2606"/>
    <cellStyle name="Обычный 10 3 2 2 5 2" xfId="2607"/>
    <cellStyle name="Обычный 10 3 2 2 5 2 2" xfId="2608"/>
    <cellStyle name="Обычный 10 3 2 2 5 2 3" xfId="2609"/>
    <cellStyle name="Обычный 10 3 2 2 5 3" xfId="2610"/>
    <cellStyle name="Обычный 10 3 2 2 5 3 2" xfId="2611"/>
    <cellStyle name="Обычный 10 3 2 2 5 3 3" xfId="2612"/>
    <cellStyle name="Обычный 10 3 2 2 5 4" xfId="2613"/>
    <cellStyle name="Обычный 10 3 2 2 5 4 2" xfId="2614"/>
    <cellStyle name="Обычный 10 3 2 2 5 5" xfId="2615"/>
    <cellStyle name="Обычный 10 3 2 2 5 6" xfId="2616"/>
    <cellStyle name="Обычный 10 3 2 2 6" xfId="2617"/>
    <cellStyle name="Обычный 10 3 2 2 6 2" xfId="2618"/>
    <cellStyle name="Обычный 10 3 2 2 6 3" xfId="2619"/>
    <cellStyle name="Обычный 10 3 2 2 7" xfId="2620"/>
    <cellStyle name="Обычный 10 3 2 2 7 2" xfId="2621"/>
    <cellStyle name="Обычный 10 3 2 2 7 3" xfId="2622"/>
    <cellStyle name="Обычный 10 3 2 2 8" xfId="2623"/>
    <cellStyle name="Обычный 10 3 2 2 8 2" xfId="2624"/>
    <cellStyle name="Обычный 10 3 2 2 9" xfId="2625"/>
    <cellStyle name="Обычный 10 3 2 3" xfId="2626"/>
    <cellStyle name="Обычный 10 3 2 3 10" xfId="2627"/>
    <cellStyle name="Обычный 10 3 2 3 2" xfId="2628"/>
    <cellStyle name="Обычный 10 3 2 3 2 2" xfId="2629"/>
    <cellStyle name="Обычный 10 3 2 3 2 2 2" xfId="2630"/>
    <cellStyle name="Обычный 10 3 2 3 2 2 2 2" xfId="2631"/>
    <cellStyle name="Обычный 10 3 2 3 2 2 2 2 2" xfId="2632"/>
    <cellStyle name="Обычный 10 3 2 3 2 2 2 2 2 2" xfId="2633"/>
    <cellStyle name="Обычный 10 3 2 3 2 2 2 2 2 3" xfId="2634"/>
    <cellStyle name="Обычный 10 3 2 3 2 2 2 2 3" xfId="2635"/>
    <cellStyle name="Обычный 10 3 2 3 2 2 2 2 3 2" xfId="2636"/>
    <cellStyle name="Обычный 10 3 2 3 2 2 2 2 3 3" xfId="2637"/>
    <cellStyle name="Обычный 10 3 2 3 2 2 2 2 4" xfId="2638"/>
    <cellStyle name="Обычный 10 3 2 3 2 2 2 2 4 2" xfId="2639"/>
    <cellStyle name="Обычный 10 3 2 3 2 2 2 2 5" xfId="2640"/>
    <cellStyle name="Обычный 10 3 2 3 2 2 2 2 6" xfId="2641"/>
    <cellStyle name="Обычный 10 3 2 3 2 2 2 3" xfId="2642"/>
    <cellStyle name="Обычный 10 3 2 3 2 2 2 3 2" xfId="2643"/>
    <cellStyle name="Обычный 10 3 2 3 2 2 2 3 3" xfId="2644"/>
    <cellStyle name="Обычный 10 3 2 3 2 2 2 4" xfId="2645"/>
    <cellStyle name="Обычный 10 3 2 3 2 2 2 4 2" xfId="2646"/>
    <cellStyle name="Обычный 10 3 2 3 2 2 2 4 3" xfId="2647"/>
    <cellStyle name="Обычный 10 3 2 3 2 2 2 5" xfId="2648"/>
    <cellStyle name="Обычный 10 3 2 3 2 2 2 5 2" xfId="2649"/>
    <cellStyle name="Обычный 10 3 2 3 2 2 2 6" xfId="2650"/>
    <cellStyle name="Обычный 10 3 2 3 2 2 2 7" xfId="2651"/>
    <cellStyle name="Обычный 10 3 2 3 2 2 3" xfId="2652"/>
    <cellStyle name="Обычный 10 3 2 3 2 2 3 2" xfId="2653"/>
    <cellStyle name="Обычный 10 3 2 3 2 2 3 2 2" xfId="2654"/>
    <cellStyle name="Обычный 10 3 2 3 2 2 3 2 3" xfId="2655"/>
    <cellStyle name="Обычный 10 3 2 3 2 2 3 3" xfId="2656"/>
    <cellStyle name="Обычный 10 3 2 3 2 2 3 3 2" xfId="2657"/>
    <cellStyle name="Обычный 10 3 2 3 2 2 3 3 3" xfId="2658"/>
    <cellStyle name="Обычный 10 3 2 3 2 2 3 4" xfId="2659"/>
    <cellStyle name="Обычный 10 3 2 3 2 2 3 4 2" xfId="2660"/>
    <cellStyle name="Обычный 10 3 2 3 2 2 3 5" xfId="2661"/>
    <cellStyle name="Обычный 10 3 2 3 2 2 3 6" xfId="2662"/>
    <cellStyle name="Обычный 10 3 2 3 2 2 4" xfId="2663"/>
    <cellStyle name="Обычный 10 3 2 3 2 2 4 2" xfId="2664"/>
    <cellStyle name="Обычный 10 3 2 3 2 2 4 3" xfId="2665"/>
    <cellStyle name="Обычный 10 3 2 3 2 2 5" xfId="2666"/>
    <cellStyle name="Обычный 10 3 2 3 2 2 5 2" xfId="2667"/>
    <cellStyle name="Обычный 10 3 2 3 2 2 5 3" xfId="2668"/>
    <cellStyle name="Обычный 10 3 2 3 2 2 6" xfId="2669"/>
    <cellStyle name="Обычный 10 3 2 3 2 2 6 2" xfId="2670"/>
    <cellStyle name="Обычный 10 3 2 3 2 2 7" xfId="2671"/>
    <cellStyle name="Обычный 10 3 2 3 2 2 8" xfId="2672"/>
    <cellStyle name="Обычный 10 3 2 3 2 3" xfId="2673"/>
    <cellStyle name="Обычный 10 3 2 3 2 3 2" xfId="2674"/>
    <cellStyle name="Обычный 10 3 2 3 2 3 2 2" xfId="2675"/>
    <cellStyle name="Обычный 10 3 2 3 2 3 2 2 2" xfId="2676"/>
    <cellStyle name="Обычный 10 3 2 3 2 3 2 2 3" xfId="2677"/>
    <cellStyle name="Обычный 10 3 2 3 2 3 2 3" xfId="2678"/>
    <cellStyle name="Обычный 10 3 2 3 2 3 2 3 2" xfId="2679"/>
    <cellStyle name="Обычный 10 3 2 3 2 3 2 3 3" xfId="2680"/>
    <cellStyle name="Обычный 10 3 2 3 2 3 2 4" xfId="2681"/>
    <cellStyle name="Обычный 10 3 2 3 2 3 2 4 2" xfId="2682"/>
    <cellStyle name="Обычный 10 3 2 3 2 3 2 5" xfId="2683"/>
    <cellStyle name="Обычный 10 3 2 3 2 3 2 6" xfId="2684"/>
    <cellStyle name="Обычный 10 3 2 3 2 3 3" xfId="2685"/>
    <cellStyle name="Обычный 10 3 2 3 2 3 3 2" xfId="2686"/>
    <cellStyle name="Обычный 10 3 2 3 2 3 3 3" xfId="2687"/>
    <cellStyle name="Обычный 10 3 2 3 2 3 4" xfId="2688"/>
    <cellStyle name="Обычный 10 3 2 3 2 3 4 2" xfId="2689"/>
    <cellStyle name="Обычный 10 3 2 3 2 3 4 3" xfId="2690"/>
    <cellStyle name="Обычный 10 3 2 3 2 3 5" xfId="2691"/>
    <cellStyle name="Обычный 10 3 2 3 2 3 5 2" xfId="2692"/>
    <cellStyle name="Обычный 10 3 2 3 2 3 6" xfId="2693"/>
    <cellStyle name="Обычный 10 3 2 3 2 3 7" xfId="2694"/>
    <cellStyle name="Обычный 10 3 2 3 2 4" xfId="2695"/>
    <cellStyle name="Обычный 10 3 2 3 2 4 2" xfId="2696"/>
    <cellStyle name="Обычный 10 3 2 3 2 4 2 2" xfId="2697"/>
    <cellStyle name="Обычный 10 3 2 3 2 4 2 3" xfId="2698"/>
    <cellStyle name="Обычный 10 3 2 3 2 4 3" xfId="2699"/>
    <cellStyle name="Обычный 10 3 2 3 2 4 3 2" xfId="2700"/>
    <cellStyle name="Обычный 10 3 2 3 2 4 3 3" xfId="2701"/>
    <cellStyle name="Обычный 10 3 2 3 2 4 4" xfId="2702"/>
    <cellStyle name="Обычный 10 3 2 3 2 4 4 2" xfId="2703"/>
    <cellStyle name="Обычный 10 3 2 3 2 4 5" xfId="2704"/>
    <cellStyle name="Обычный 10 3 2 3 2 4 6" xfId="2705"/>
    <cellStyle name="Обычный 10 3 2 3 2 5" xfId="2706"/>
    <cellStyle name="Обычный 10 3 2 3 2 5 2" xfId="2707"/>
    <cellStyle name="Обычный 10 3 2 3 2 5 3" xfId="2708"/>
    <cellStyle name="Обычный 10 3 2 3 2 6" xfId="2709"/>
    <cellStyle name="Обычный 10 3 2 3 2 6 2" xfId="2710"/>
    <cellStyle name="Обычный 10 3 2 3 2 6 3" xfId="2711"/>
    <cellStyle name="Обычный 10 3 2 3 2 7" xfId="2712"/>
    <cellStyle name="Обычный 10 3 2 3 2 7 2" xfId="2713"/>
    <cellStyle name="Обычный 10 3 2 3 2 8" xfId="2714"/>
    <cellStyle name="Обычный 10 3 2 3 2 9" xfId="2715"/>
    <cellStyle name="Обычный 10 3 2 3 3" xfId="2716"/>
    <cellStyle name="Обычный 10 3 2 3 3 2" xfId="2717"/>
    <cellStyle name="Обычный 10 3 2 3 3 2 2" xfId="2718"/>
    <cellStyle name="Обычный 10 3 2 3 3 2 2 2" xfId="2719"/>
    <cellStyle name="Обычный 10 3 2 3 3 2 2 2 2" xfId="2720"/>
    <cellStyle name="Обычный 10 3 2 3 3 2 2 2 3" xfId="2721"/>
    <cellStyle name="Обычный 10 3 2 3 3 2 2 3" xfId="2722"/>
    <cellStyle name="Обычный 10 3 2 3 3 2 2 3 2" xfId="2723"/>
    <cellStyle name="Обычный 10 3 2 3 3 2 2 3 3" xfId="2724"/>
    <cellStyle name="Обычный 10 3 2 3 3 2 2 4" xfId="2725"/>
    <cellStyle name="Обычный 10 3 2 3 3 2 2 4 2" xfId="2726"/>
    <cellStyle name="Обычный 10 3 2 3 3 2 2 5" xfId="2727"/>
    <cellStyle name="Обычный 10 3 2 3 3 2 2 6" xfId="2728"/>
    <cellStyle name="Обычный 10 3 2 3 3 2 3" xfId="2729"/>
    <cellStyle name="Обычный 10 3 2 3 3 2 3 2" xfId="2730"/>
    <cellStyle name="Обычный 10 3 2 3 3 2 3 3" xfId="2731"/>
    <cellStyle name="Обычный 10 3 2 3 3 2 4" xfId="2732"/>
    <cellStyle name="Обычный 10 3 2 3 3 2 4 2" xfId="2733"/>
    <cellStyle name="Обычный 10 3 2 3 3 2 4 3" xfId="2734"/>
    <cellStyle name="Обычный 10 3 2 3 3 2 5" xfId="2735"/>
    <cellStyle name="Обычный 10 3 2 3 3 2 5 2" xfId="2736"/>
    <cellStyle name="Обычный 10 3 2 3 3 2 6" xfId="2737"/>
    <cellStyle name="Обычный 10 3 2 3 3 2 7" xfId="2738"/>
    <cellStyle name="Обычный 10 3 2 3 3 3" xfId="2739"/>
    <cellStyle name="Обычный 10 3 2 3 3 3 2" xfId="2740"/>
    <cellStyle name="Обычный 10 3 2 3 3 3 2 2" xfId="2741"/>
    <cellStyle name="Обычный 10 3 2 3 3 3 2 3" xfId="2742"/>
    <cellStyle name="Обычный 10 3 2 3 3 3 3" xfId="2743"/>
    <cellStyle name="Обычный 10 3 2 3 3 3 3 2" xfId="2744"/>
    <cellStyle name="Обычный 10 3 2 3 3 3 3 3" xfId="2745"/>
    <cellStyle name="Обычный 10 3 2 3 3 3 4" xfId="2746"/>
    <cellStyle name="Обычный 10 3 2 3 3 3 4 2" xfId="2747"/>
    <cellStyle name="Обычный 10 3 2 3 3 3 5" xfId="2748"/>
    <cellStyle name="Обычный 10 3 2 3 3 3 6" xfId="2749"/>
    <cellStyle name="Обычный 10 3 2 3 3 4" xfId="2750"/>
    <cellStyle name="Обычный 10 3 2 3 3 4 2" xfId="2751"/>
    <cellStyle name="Обычный 10 3 2 3 3 4 3" xfId="2752"/>
    <cellStyle name="Обычный 10 3 2 3 3 5" xfId="2753"/>
    <cellStyle name="Обычный 10 3 2 3 3 5 2" xfId="2754"/>
    <cellStyle name="Обычный 10 3 2 3 3 5 3" xfId="2755"/>
    <cellStyle name="Обычный 10 3 2 3 3 6" xfId="2756"/>
    <cellStyle name="Обычный 10 3 2 3 3 6 2" xfId="2757"/>
    <cellStyle name="Обычный 10 3 2 3 3 7" xfId="2758"/>
    <cellStyle name="Обычный 10 3 2 3 3 8" xfId="2759"/>
    <cellStyle name="Обычный 10 3 2 3 4" xfId="2760"/>
    <cellStyle name="Обычный 10 3 2 3 4 2" xfId="2761"/>
    <cellStyle name="Обычный 10 3 2 3 4 2 2" xfId="2762"/>
    <cellStyle name="Обычный 10 3 2 3 4 2 2 2" xfId="2763"/>
    <cellStyle name="Обычный 10 3 2 3 4 2 2 3" xfId="2764"/>
    <cellStyle name="Обычный 10 3 2 3 4 2 3" xfId="2765"/>
    <cellStyle name="Обычный 10 3 2 3 4 2 3 2" xfId="2766"/>
    <cellStyle name="Обычный 10 3 2 3 4 2 3 3" xfId="2767"/>
    <cellStyle name="Обычный 10 3 2 3 4 2 4" xfId="2768"/>
    <cellStyle name="Обычный 10 3 2 3 4 2 4 2" xfId="2769"/>
    <cellStyle name="Обычный 10 3 2 3 4 2 5" xfId="2770"/>
    <cellStyle name="Обычный 10 3 2 3 4 2 6" xfId="2771"/>
    <cellStyle name="Обычный 10 3 2 3 4 3" xfId="2772"/>
    <cellStyle name="Обычный 10 3 2 3 4 3 2" xfId="2773"/>
    <cellStyle name="Обычный 10 3 2 3 4 3 3" xfId="2774"/>
    <cellStyle name="Обычный 10 3 2 3 4 4" xfId="2775"/>
    <cellStyle name="Обычный 10 3 2 3 4 4 2" xfId="2776"/>
    <cellStyle name="Обычный 10 3 2 3 4 4 3" xfId="2777"/>
    <cellStyle name="Обычный 10 3 2 3 4 5" xfId="2778"/>
    <cellStyle name="Обычный 10 3 2 3 4 5 2" xfId="2779"/>
    <cellStyle name="Обычный 10 3 2 3 4 6" xfId="2780"/>
    <cellStyle name="Обычный 10 3 2 3 4 7" xfId="2781"/>
    <cellStyle name="Обычный 10 3 2 3 5" xfId="2782"/>
    <cellStyle name="Обычный 10 3 2 3 5 2" xfId="2783"/>
    <cellStyle name="Обычный 10 3 2 3 5 2 2" xfId="2784"/>
    <cellStyle name="Обычный 10 3 2 3 5 2 3" xfId="2785"/>
    <cellStyle name="Обычный 10 3 2 3 5 3" xfId="2786"/>
    <cellStyle name="Обычный 10 3 2 3 5 3 2" xfId="2787"/>
    <cellStyle name="Обычный 10 3 2 3 5 3 3" xfId="2788"/>
    <cellStyle name="Обычный 10 3 2 3 5 4" xfId="2789"/>
    <cellStyle name="Обычный 10 3 2 3 5 4 2" xfId="2790"/>
    <cellStyle name="Обычный 10 3 2 3 5 5" xfId="2791"/>
    <cellStyle name="Обычный 10 3 2 3 5 6" xfId="2792"/>
    <cellStyle name="Обычный 10 3 2 3 6" xfId="2793"/>
    <cellStyle name="Обычный 10 3 2 3 6 2" xfId="2794"/>
    <cellStyle name="Обычный 10 3 2 3 6 3" xfId="2795"/>
    <cellStyle name="Обычный 10 3 2 3 7" xfId="2796"/>
    <cellStyle name="Обычный 10 3 2 3 7 2" xfId="2797"/>
    <cellStyle name="Обычный 10 3 2 3 7 3" xfId="2798"/>
    <cellStyle name="Обычный 10 3 2 3 8" xfId="2799"/>
    <cellStyle name="Обычный 10 3 2 3 8 2" xfId="2800"/>
    <cellStyle name="Обычный 10 3 2 3 9" xfId="2801"/>
    <cellStyle name="Обычный 10 3 2 4" xfId="2802"/>
    <cellStyle name="Обычный 10 3 2 4 10" xfId="2803"/>
    <cellStyle name="Обычный 10 3 2 4 2" xfId="2804"/>
    <cellStyle name="Обычный 10 3 2 4 2 2" xfId="2805"/>
    <cellStyle name="Обычный 10 3 2 4 2 2 2" xfId="2806"/>
    <cellStyle name="Обычный 10 3 2 4 2 2 2 2" xfId="2807"/>
    <cellStyle name="Обычный 10 3 2 4 2 2 2 2 2" xfId="2808"/>
    <cellStyle name="Обычный 10 3 2 4 2 2 2 2 2 2" xfId="2809"/>
    <cellStyle name="Обычный 10 3 2 4 2 2 2 2 2 3" xfId="2810"/>
    <cellStyle name="Обычный 10 3 2 4 2 2 2 2 3" xfId="2811"/>
    <cellStyle name="Обычный 10 3 2 4 2 2 2 2 3 2" xfId="2812"/>
    <cellStyle name="Обычный 10 3 2 4 2 2 2 2 3 3" xfId="2813"/>
    <cellStyle name="Обычный 10 3 2 4 2 2 2 2 4" xfId="2814"/>
    <cellStyle name="Обычный 10 3 2 4 2 2 2 2 4 2" xfId="2815"/>
    <cellStyle name="Обычный 10 3 2 4 2 2 2 2 5" xfId="2816"/>
    <cellStyle name="Обычный 10 3 2 4 2 2 2 2 6" xfId="2817"/>
    <cellStyle name="Обычный 10 3 2 4 2 2 2 3" xfId="2818"/>
    <cellStyle name="Обычный 10 3 2 4 2 2 2 3 2" xfId="2819"/>
    <cellStyle name="Обычный 10 3 2 4 2 2 2 3 3" xfId="2820"/>
    <cellStyle name="Обычный 10 3 2 4 2 2 2 4" xfId="2821"/>
    <cellStyle name="Обычный 10 3 2 4 2 2 2 4 2" xfId="2822"/>
    <cellStyle name="Обычный 10 3 2 4 2 2 2 4 3" xfId="2823"/>
    <cellStyle name="Обычный 10 3 2 4 2 2 2 5" xfId="2824"/>
    <cellStyle name="Обычный 10 3 2 4 2 2 2 5 2" xfId="2825"/>
    <cellStyle name="Обычный 10 3 2 4 2 2 2 6" xfId="2826"/>
    <cellStyle name="Обычный 10 3 2 4 2 2 2 7" xfId="2827"/>
    <cellStyle name="Обычный 10 3 2 4 2 2 3" xfId="2828"/>
    <cellStyle name="Обычный 10 3 2 4 2 2 3 2" xfId="2829"/>
    <cellStyle name="Обычный 10 3 2 4 2 2 3 2 2" xfId="2830"/>
    <cellStyle name="Обычный 10 3 2 4 2 2 3 2 3" xfId="2831"/>
    <cellStyle name="Обычный 10 3 2 4 2 2 3 3" xfId="2832"/>
    <cellStyle name="Обычный 10 3 2 4 2 2 3 3 2" xfId="2833"/>
    <cellStyle name="Обычный 10 3 2 4 2 2 3 3 3" xfId="2834"/>
    <cellStyle name="Обычный 10 3 2 4 2 2 3 4" xfId="2835"/>
    <cellStyle name="Обычный 10 3 2 4 2 2 3 4 2" xfId="2836"/>
    <cellStyle name="Обычный 10 3 2 4 2 2 3 5" xfId="2837"/>
    <cellStyle name="Обычный 10 3 2 4 2 2 3 6" xfId="2838"/>
    <cellStyle name="Обычный 10 3 2 4 2 2 4" xfId="2839"/>
    <cellStyle name="Обычный 10 3 2 4 2 2 4 2" xfId="2840"/>
    <cellStyle name="Обычный 10 3 2 4 2 2 4 3" xfId="2841"/>
    <cellStyle name="Обычный 10 3 2 4 2 2 5" xfId="2842"/>
    <cellStyle name="Обычный 10 3 2 4 2 2 5 2" xfId="2843"/>
    <cellStyle name="Обычный 10 3 2 4 2 2 5 3" xfId="2844"/>
    <cellStyle name="Обычный 10 3 2 4 2 2 6" xfId="2845"/>
    <cellStyle name="Обычный 10 3 2 4 2 2 6 2" xfId="2846"/>
    <cellStyle name="Обычный 10 3 2 4 2 2 7" xfId="2847"/>
    <cellStyle name="Обычный 10 3 2 4 2 2 8" xfId="2848"/>
    <cellStyle name="Обычный 10 3 2 4 2 3" xfId="2849"/>
    <cellStyle name="Обычный 10 3 2 4 2 3 2" xfId="2850"/>
    <cellStyle name="Обычный 10 3 2 4 2 3 2 2" xfId="2851"/>
    <cellStyle name="Обычный 10 3 2 4 2 3 2 2 2" xfId="2852"/>
    <cellStyle name="Обычный 10 3 2 4 2 3 2 2 3" xfId="2853"/>
    <cellStyle name="Обычный 10 3 2 4 2 3 2 3" xfId="2854"/>
    <cellStyle name="Обычный 10 3 2 4 2 3 2 3 2" xfId="2855"/>
    <cellStyle name="Обычный 10 3 2 4 2 3 2 3 3" xfId="2856"/>
    <cellStyle name="Обычный 10 3 2 4 2 3 2 4" xfId="2857"/>
    <cellStyle name="Обычный 10 3 2 4 2 3 2 4 2" xfId="2858"/>
    <cellStyle name="Обычный 10 3 2 4 2 3 2 5" xfId="2859"/>
    <cellStyle name="Обычный 10 3 2 4 2 3 2 6" xfId="2860"/>
    <cellStyle name="Обычный 10 3 2 4 2 3 3" xfId="2861"/>
    <cellStyle name="Обычный 10 3 2 4 2 3 3 2" xfId="2862"/>
    <cellStyle name="Обычный 10 3 2 4 2 3 3 3" xfId="2863"/>
    <cellStyle name="Обычный 10 3 2 4 2 3 4" xfId="2864"/>
    <cellStyle name="Обычный 10 3 2 4 2 3 4 2" xfId="2865"/>
    <cellStyle name="Обычный 10 3 2 4 2 3 4 3" xfId="2866"/>
    <cellStyle name="Обычный 10 3 2 4 2 3 5" xfId="2867"/>
    <cellStyle name="Обычный 10 3 2 4 2 3 5 2" xfId="2868"/>
    <cellStyle name="Обычный 10 3 2 4 2 3 6" xfId="2869"/>
    <cellStyle name="Обычный 10 3 2 4 2 3 7" xfId="2870"/>
    <cellStyle name="Обычный 10 3 2 4 2 4" xfId="2871"/>
    <cellStyle name="Обычный 10 3 2 4 2 4 2" xfId="2872"/>
    <cellStyle name="Обычный 10 3 2 4 2 4 2 2" xfId="2873"/>
    <cellStyle name="Обычный 10 3 2 4 2 4 2 3" xfId="2874"/>
    <cellStyle name="Обычный 10 3 2 4 2 4 3" xfId="2875"/>
    <cellStyle name="Обычный 10 3 2 4 2 4 3 2" xfId="2876"/>
    <cellStyle name="Обычный 10 3 2 4 2 4 3 3" xfId="2877"/>
    <cellStyle name="Обычный 10 3 2 4 2 4 4" xfId="2878"/>
    <cellStyle name="Обычный 10 3 2 4 2 4 4 2" xfId="2879"/>
    <cellStyle name="Обычный 10 3 2 4 2 4 5" xfId="2880"/>
    <cellStyle name="Обычный 10 3 2 4 2 4 6" xfId="2881"/>
    <cellStyle name="Обычный 10 3 2 4 2 5" xfId="2882"/>
    <cellStyle name="Обычный 10 3 2 4 2 5 2" xfId="2883"/>
    <cellStyle name="Обычный 10 3 2 4 2 5 3" xfId="2884"/>
    <cellStyle name="Обычный 10 3 2 4 2 6" xfId="2885"/>
    <cellStyle name="Обычный 10 3 2 4 2 6 2" xfId="2886"/>
    <cellStyle name="Обычный 10 3 2 4 2 6 3" xfId="2887"/>
    <cellStyle name="Обычный 10 3 2 4 2 7" xfId="2888"/>
    <cellStyle name="Обычный 10 3 2 4 2 7 2" xfId="2889"/>
    <cellStyle name="Обычный 10 3 2 4 2 8" xfId="2890"/>
    <cellStyle name="Обычный 10 3 2 4 2 9" xfId="2891"/>
    <cellStyle name="Обычный 10 3 2 4 3" xfId="2892"/>
    <cellStyle name="Обычный 10 3 2 4 3 2" xfId="2893"/>
    <cellStyle name="Обычный 10 3 2 4 3 2 2" xfId="2894"/>
    <cellStyle name="Обычный 10 3 2 4 3 2 2 2" xfId="2895"/>
    <cellStyle name="Обычный 10 3 2 4 3 2 2 2 2" xfId="2896"/>
    <cellStyle name="Обычный 10 3 2 4 3 2 2 2 3" xfId="2897"/>
    <cellStyle name="Обычный 10 3 2 4 3 2 2 3" xfId="2898"/>
    <cellStyle name="Обычный 10 3 2 4 3 2 2 3 2" xfId="2899"/>
    <cellStyle name="Обычный 10 3 2 4 3 2 2 3 3" xfId="2900"/>
    <cellStyle name="Обычный 10 3 2 4 3 2 2 4" xfId="2901"/>
    <cellStyle name="Обычный 10 3 2 4 3 2 2 4 2" xfId="2902"/>
    <cellStyle name="Обычный 10 3 2 4 3 2 2 5" xfId="2903"/>
    <cellStyle name="Обычный 10 3 2 4 3 2 2 6" xfId="2904"/>
    <cellStyle name="Обычный 10 3 2 4 3 2 3" xfId="2905"/>
    <cellStyle name="Обычный 10 3 2 4 3 2 3 2" xfId="2906"/>
    <cellStyle name="Обычный 10 3 2 4 3 2 3 3" xfId="2907"/>
    <cellStyle name="Обычный 10 3 2 4 3 2 4" xfId="2908"/>
    <cellStyle name="Обычный 10 3 2 4 3 2 4 2" xfId="2909"/>
    <cellStyle name="Обычный 10 3 2 4 3 2 4 3" xfId="2910"/>
    <cellStyle name="Обычный 10 3 2 4 3 2 5" xfId="2911"/>
    <cellStyle name="Обычный 10 3 2 4 3 2 5 2" xfId="2912"/>
    <cellStyle name="Обычный 10 3 2 4 3 2 6" xfId="2913"/>
    <cellStyle name="Обычный 10 3 2 4 3 2 7" xfId="2914"/>
    <cellStyle name="Обычный 10 3 2 4 3 3" xfId="2915"/>
    <cellStyle name="Обычный 10 3 2 4 3 3 2" xfId="2916"/>
    <cellStyle name="Обычный 10 3 2 4 3 3 2 2" xfId="2917"/>
    <cellStyle name="Обычный 10 3 2 4 3 3 2 3" xfId="2918"/>
    <cellStyle name="Обычный 10 3 2 4 3 3 3" xfId="2919"/>
    <cellStyle name="Обычный 10 3 2 4 3 3 3 2" xfId="2920"/>
    <cellStyle name="Обычный 10 3 2 4 3 3 3 3" xfId="2921"/>
    <cellStyle name="Обычный 10 3 2 4 3 3 4" xfId="2922"/>
    <cellStyle name="Обычный 10 3 2 4 3 3 4 2" xfId="2923"/>
    <cellStyle name="Обычный 10 3 2 4 3 3 5" xfId="2924"/>
    <cellStyle name="Обычный 10 3 2 4 3 3 6" xfId="2925"/>
    <cellStyle name="Обычный 10 3 2 4 3 4" xfId="2926"/>
    <cellStyle name="Обычный 10 3 2 4 3 4 2" xfId="2927"/>
    <cellStyle name="Обычный 10 3 2 4 3 4 3" xfId="2928"/>
    <cellStyle name="Обычный 10 3 2 4 3 5" xfId="2929"/>
    <cellStyle name="Обычный 10 3 2 4 3 5 2" xfId="2930"/>
    <cellStyle name="Обычный 10 3 2 4 3 5 3" xfId="2931"/>
    <cellStyle name="Обычный 10 3 2 4 3 6" xfId="2932"/>
    <cellStyle name="Обычный 10 3 2 4 3 6 2" xfId="2933"/>
    <cellStyle name="Обычный 10 3 2 4 3 7" xfId="2934"/>
    <cellStyle name="Обычный 10 3 2 4 3 8" xfId="2935"/>
    <cellStyle name="Обычный 10 3 2 4 4" xfId="2936"/>
    <cellStyle name="Обычный 10 3 2 4 4 2" xfId="2937"/>
    <cellStyle name="Обычный 10 3 2 4 4 2 2" xfId="2938"/>
    <cellStyle name="Обычный 10 3 2 4 4 2 2 2" xfId="2939"/>
    <cellStyle name="Обычный 10 3 2 4 4 2 2 3" xfId="2940"/>
    <cellStyle name="Обычный 10 3 2 4 4 2 3" xfId="2941"/>
    <cellStyle name="Обычный 10 3 2 4 4 2 3 2" xfId="2942"/>
    <cellStyle name="Обычный 10 3 2 4 4 2 3 3" xfId="2943"/>
    <cellStyle name="Обычный 10 3 2 4 4 2 4" xfId="2944"/>
    <cellStyle name="Обычный 10 3 2 4 4 2 4 2" xfId="2945"/>
    <cellStyle name="Обычный 10 3 2 4 4 2 5" xfId="2946"/>
    <cellStyle name="Обычный 10 3 2 4 4 2 6" xfId="2947"/>
    <cellStyle name="Обычный 10 3 2 4 4 3" xfId="2948"/>
    <cellStyle name="Обычный 10 3 2 4 4 3 2" xfId="2949"/>
    <cellStyle name="Обычный 10 3 2 4 4 3 3" xfId="2950"/>
    <cellStyle name="Обычный 10 3 2 4 4 4" xfId="2951"/>
    <cellStyle name="Обычный 10 3 2 4 4 4 2" xfId="2952"/>
    <cellStyle name="Обычный 10 3 2 4 4 4 3" xfId="2953"/>
    <cellStyle name="Обычный 10 3 2 4 4 5" xfId="2954"/>
    <cellStyle name="Обычный 10 3 2 4 4 5 2" xfId="2955"/>
    <cellStyle name="Обычный 10 3 2 4 4 6" xfId="2956"/>
    <cellStyle name="Обычный 10 3 2 4 4 7" xfId="2957"/>
    <cellStyle name="Обычный 10 3 2 4 5" xfId="2958"/>
    <cellStyle name="Обычный 10 3 2 4 5 2" xfId="2959"/>
    <cellStyle name="Обычный 10 3 2 4 5 2 2" xfId="2960"/>
    <cellStyle name="Обычный 10 3 2 4 5 2 3" xfId="2961"/>
    <cellStyle name="Обычный 10 3 2 4 5 3" xfId="2962"/>
    <cellStyle name="Обычный 10 3 2 4 5 3 2" xfId="2963"/>
    <cellStyle name="Обычный 10 3 2 4 5 3 3" xfId="2964"/>
    <cellStyle name="Обычный 10 3 2 4 5 4" xfId="2965"/>
    <cellStyle name="Обычный 10 3 2 4 5 4 2" xfId="2966"/>
    <cellStyle name="Обычный 10 3 2 4 5 5" xfId="2967"/>
    <cellStyle name="Обычный 10 3 2 4 5 6" xfId="2968"/>
    <cellStyle name="Обычный 10 3 2 4 6" xfId="2969"/>
    <cellStyle name="Обычный 10 3 2 4 6 2" xfId="2970"/>
    <cellStyle name="Обычный 10 3 2 4 6 3" xfId="2971"/>
    <cellStyle name="Обычный 10 3 2 4 7" xfId="2972"/>
    <cellStyle name="Обычный 10 3 2 4 7 2" xfId="2973"/>
    <cellStyle name="Обычный 10 3 2 4 7 3" xfId="2974"/>
    <cellStyle name="Обычный 10 3 2 4 8" xfId="2975"/>
    <cellStyle name="Обычный 10 3 2 4 8 2" xfId="2976"/>
    <cellStyle name="Обычный 10 3 2 4 9" xfId="2977"/>
    <cellStyle name="Обычный 10 3 2 5" xfId="2978"/>
    <cellStyle name="Обычный 10 3 2 5 2" xfId="2979"/>
    <cellStyle name="Обычный 10 3 2 5 2 2" xfId="2980"/>
    <cellStyle name="Обычный 10 3 2 5 2 2 2" xfId="2981"/>
    <cellStyle name="Обычный 10 3 2 5 2 2 2 2" xfId="2982"/>
    <cellStyle name="Обычный 10 3 2 5 2 2 2 2 2" xfId="2983"/>
    <cellStyle name="Обычный 10 3 2 5 2 2 2 2 3" xfId="2984"/>
    <cellStyle name="Обычный 10 3 2 5 2 2 2 3" xfId="2985"/>
    <cellStyle name="Обычный 10 3 2 5 2 2 2 3 2" xfId="2986"/>
    <cellStyle name="Обычный 10 3 2 5 2 2 2 3 3" xfId="2987"/>
    <cellStyle name="Обычный 10 3 2 5 2 2 2 4" xfId="2988"/>
    <cellStyle name="Обычный 10 3 2 5 2 2 2 4 2" xfId="2989"/>
    <cellStyle name="Обычный 10 3 2 5 2 2 2 5" xfId="2990"/>
    <cellStyle name="Обычный 10 3 2 5 2 2 2 6" xfId="2991"/>
    <cellStyle name="Обычный 10 3 2 5 2 2 3" xfId="2992"/>
    <cellStyle name="Обычный 10 3 2 5 2 2 3 2" xfId="2993"/>
    <cellStyle name="Обычный 10 3 2 5 2 2 3 3" xfId="2994"/>
    <cellStyle name="Обычный 10 3 2 5 2 2 4" xfId="2995"/>
    <cellStyle name="Обычный 10 3 2 5 2 2 4 2" xfId="2996"/>
    <cellStyle name="Обычный 10 3 2 5 2 2 4 3" xfId="2997"/>
    <cellStyle name="Обычный 10 3 2 5 2 2 5" xfId="2998"/>
    <cellStyle name="Обычный 10 3 2 5 2 2 5 2" xfId="2999"/>
    <cellStyle name="Обычный 10 3 2 5 2 2 6" xfId="3000"/>
    <cellStyle name="Обычный 10 3 2 5 2 2 7" xfId="3001"/>
    <cellStyle name="Обычный 10 3 2 5 2 3" xfId="3002"/>
    <cellStyle name="Обычный 10 3 2 5 2 3 2" xfId="3003"/>
    <cellStyle name="Обычный 10 3 2 5 2 3 2 2" xfId="3004"/>
    <cellStyle name="Обычный 10 3 2 5 2 3 2 3" xfId="3005"/>
    <cellStyle name="Обычный 10 3 2 5 2 3 3" xfId="3006"/>
    <cellStyle name="Обычный 10 3 2 5 2 3 3 2" xfId="3007"/>
    <cellStyle name="Обычный 10 3 2 5 2 3 3 3" xfId="3008"/>
    <cellStyle name="Обычный 10 3 2 5 2 3 4" xfId="3009"/>
    <cellStyle name="Обычный 10 3 2 5 2 3 4 2" xfId="3010"/>
    <cellStyle name="Обычный 10 3 2 5 2 3 5" xfId="3011"/>
    <cellStyle name="Обычный 10 3 2 5 2 3 6" xfId="3012"/>
    <cellStyle name="Обычный 10 3 2 5 2 4" xfId="3013"/>
    <cellStyle name="Обычный 10 3 2 5 2 4 2" xfId="3014"/>
    <cellStyle name="Обычный 10 3 2 5 2 4 3" xfId="3015"/>
    <cellStyle name="Обычный 10 3 2 5 2 5" xfId="3016"/>
    <cellStyle name="Обычный 10 3 2 5 2 5 2" xfId="3017"/>
    <cellStyle name="Обычный 10 3 2 5 2 5 3" xfId="3018"/>
    <cellStyle name="Обычный 10 3 2 5 2 6" xfId="3019"/>
    <cellStyle name="Обычный 10 3 2 5 2 6 2" xfId="3020"/>
    <cellStyle name="Обычный 10 3 2 5 2 7" xfId="3021"/>
    <cellStyle name="Обычный 10 3 2 5 2 8" xfId="3022"/>
    <cellStyle name="Обычный 10 3 2 5 3" xfId="3023"/>
    <cellStyle name="Обычный 10 3 2 5 3 2" xfId="3024"/>
    <cellStyle name="Обычный 10 3 2 5 3 2 2" xfId="3025"/>
    <cellStyle name="Обычный 10 3 2 5 3 2 2 2" xfId="3026"/>
    <cellStyle name="Обычный 10 3 2 5 3 2 2 3" xfId="3027"/>
    <cellStyle name="Обычный 10 3 2 5 3 2 3" xfId="3028"/>
    <cellStyle name="Обычный 10 3 2 5 3 2 3 2" xfId="3029"/>
    <cellStyle name="Обычный 10 3 2 5 3 2 3 3" xfId="3030"/>
    <cellStyle name="Обычный 10 3 2 5 3 2 4" xfId="3031"/>
    <cellStyle name="Обычный 10 3 2 5 3 2 4 2" xfId="3032"/>
    <cellStyle name="Обычный 10 3 2 5 3 2 5" xfId="3033"/>
    <cellStyle name="Обычный 10 3 2 5 3 2 6" xfId="3034"/>
    <cellStyle name="Обычный 10 3 2 5 3 3" xfId="3035"/>
    <cellStyle name="Обычный 10 3 2 5 3 3 2" xfId="3036"/>
    <cellStyle name="Обычный 10 3 2 5 3 3 3" xfId="3037"/>
    <cellStyle name="Обычный 10 3 2 5 3 4" xfId="3038"/>
    <cellStyle name="Обычный 10 3 2 5 3 4 2" xfId="3039"/>
    <cellStyle name="Обычный 10 3 2 5 3 4 3" xfId="3040"/>
    <cellStyle name="Обычный 10 3 2 5 3 5" xfId="3041"/>
    <cellStyle name="Обычный 10 3 2 5 3 5 2" xfId="3042"/>
    <cellStyle name="Обычный 10 3 2 5 3 6" xfId="3043"/>
    <cellStyle name="Обычный 10 3 2 5 3 7" xfId="3044"/>
    <cellStyle name="Обычный 10 3 2 5 4" xfId="3045"/>
    <cellStyle name="Обычный 10 3 2 5 4 2" xfId="3046"/>
    <cellStyle name="Обычный 10 3 2 5 4 2 2" xfId="3047"/>
    <cellStyle name="Обычный 10 3 2 5 4 2 3" xfId="3048"/>
    <cellStyle name="Обычный 10 3 2 5 4 3" xfId="3049"/>
    <cellStyle name="Обычный 10 3 2 5 4 3 2" xfId="3050"/>
    <cellStyle name="Обычный 10 3 2 5 4 3 3" xfId="3051"/>
    <cellStyle name="Обычный 10 3 2 5 4 4" xfId="3052"/>
    <cellStyle name="Обычный 10 3 2 5 4 4 2" xfId="3053"/>
    <cellStyle name="Обычный 10 3 2 5 4 5" xfId="3054"/>
    <cellStyle name="Обычный 10 3 2 5 4 6" xfId="3055"/>
    <cellStyle name="Обычный 10 3 2 5 5" xfId="3056"/>
    <cellStyle name="Обычный 10 3 2 5 5 2" xfId="3057"/>
    <cellStyle name="Обычный 10 3 2 5 5 3" xfId="3058"/>
    <cellStyle name="Обычный 10 3 2 5 6" xfId="3059"/>
    <cellStyle name="Обычный 10 3 2 5 6 2" xfId="3060"/>
    <cellStyle name="Обычный 10 3 2 5 6 3" xfId="3061"/>
    <cellStyle name="Обычный 10 3 2 5 7" xfId="3062"/>
    <cellStyle name="Обычный 10 3 2 5 7 2" xfId="3063"/>
    <cellStyle name="Обычный 10 3 2 5 8" xfId="3064"/>
    <cellStyle name="Обычный 10 3 2 5 9" xfId="3065"/>
    <cellStyle name="Обычный 10 3 2 6" xfId="3066"/>
    <cellStyle name="Обычный 10 3 2 6 2" xfId="3067"/>
    <cellStyle name="Обычный 10 3 2 6 2 2" xfId="3068"/>
    <cellStyle name="Обычный 10 3 2 6 2 2 2" xfId="3069"/>
    <cellStyle name="Обычный 10 3 2 6 2 2 2 2" xfId="3070"/>
    <cellStyle name="Обычный 10 3 2 6 2 2 2 3" xfId="3071"/>
    <cellStyle name="Обычный 10 3 2 6 2 2 3" xfId="3072"/>
    <cellStyle name="Обычный 10 3 2 6 2 2 3 2" xfId="3073"/>
    <cellStyle name="Обычный 10 3 2 6 2 2 3 3" xfId="3074"/>
    <cellStyle name="Обычный 10 3 2 6 2 2 4" xfId="3075"/>
    <cellStyle name="Обычный 10 3 2 6 2 2 4 2" xfId="3076"/>
    <cellStyle name="Обычный 10 3 2 6 2 2 5" xfId="3077"/>
    <cellStyle name="Обычный 10 3 2 6 2 2 6" xfId="3078"/>
    <cellStyle name="Обычный 10 3 2 6 2 3" xfId="3079"/>
    <cellStyle name="Обычный 10 3 2 6 2 3 2" xfId="3080"/>
    <cellStyle name="Обычный 10 3 2 6 2 3 3" xfId="3081"/>
    <cellStyle name="Обычный 10 3 2 6 2 4" xfId="3082"/>
    <cellStyle name="Обычный 10 3 2 6 2 4 2" xfId="3083"/>
    <cellStyle name="Обычный 10 3 2 6 2 4 3" xfId="3084"/>
    <cellStyle name="Обычный 10 3 2 6 2 5" xfId="3085"/>
    <cellStyle name="Обычный 10 3 2 6 2 5 2" xfId="3086"/>
    <cellStyle name="Обычный 10 3 2 6 2 6" xfId="3087"/>
    <cellStyle name="Обычный 10 3 2 6 2 7" xfId="3088"/>
    <cellStyle name="Обычный 10 3 2 6 3" xfId="3089"/>
    <cellStyle name="Обычный 10 3 2 6 3 2" xfId="3090"/>
    <cellStyle name="Обычный 10 3 2 6 3 2 2" xfId="3091"/>
    <cellStyle name="Обычный 10 3 2 6 3 2 3" xfId="3092"/>
    <cellStyle name="Обычный 10 3 2 6 3 3" xfId="3093"/>
    <cellStyle name="Обычный 10 3 2 6 3 3 2" xfId="3094"/>
    <cellStyle name="Обычный 10 3 2 6 3 3 3" xfId="3095"/>
    <cellStyle name="Обычный 10 3 2 6 3 4" xfId="3096"/>
    <cellStyle name="Обычный 10 3 2 6 3 4 2" xfId="3097"/>
    <cellStyle name="Обычный 10 3 2 6 3 5" xfId="3098"/>
    <cellStyle name="Обычный 10 3 2 6 3 6" xfId="3099"/>
    <cellStyle name="Обычный 10 3 2 6 4" xfId="3100"/>
    <cellStyle name="Обычный 10 3 2 6 4 2" xfId="3101"/>
    <cellStyle name="Обычный 10 3 2 6 4 3" xfId="3102"/>
    <cellStyle name="Обычный 10 3 2 6 5" xfId="3103"/>
    <cellStyle name="Обычный 10 3 2 6 5 2" xfId="3104"/>
    <cellStyle name="Обычный 10 3 2 6 5 3" xfId="3105"/>
    <cellStyle name="Обычный 10 3 2 6 6" xfId="3106"/>
    <cellStyle name="Обычный 10 3 2 6 6 2" xfId="3107"/>
    <cellStyle name="Обычный 10 3 2 6 7" xfId="3108"/>
    <cellStyle name="Обычный 10 3 2 6 8" xfId="3109"/>
    <cellStyle name="Обычный 10 3 2 7" xfId="3110"/>
    <cellStyle name="Обычный 10 3 2 7 2" xfId="3111"/>
    <cellStyle name="Обычный 10 3 2 7 2 2" xfId="3112"/>
    <cellStyle name="Обычный 10 3 2 7 2 2 2" xfId="3113"/>
    <cellStyle name="Обычный 10 3 2 7 2 2 3" xfId="3114"/>
    <cellStyle name="Обычный 10 3 2 7 2 3" xfId="3115"/>
    <cellStyle name="Обычный 10 3 2 7 2 3 2" xfId="3116"/>
    <cellStyle name="Обычный 10 3 2 7 2 3 3" xfId="3117"/>
    <cellStyle name="Обычный 10 3 2 7 2 4" xfId="3118"/>
    <cellStyle name="Обычный 10 3 2 7 2 4 2" xfId="3119"/>
    <cellStyle name="Обычный 10 3 2 7 2 5" xfId="3120"/>
    <cellStyle name="Обычный 10 3 2 7 2 6" xfId="3121"/>
    <cellStyle name="Обычный 10 3 2 7 3" xfId="3122"/>
    <cellStyle name="Обычный 10 3 2 7 3 2" xfId="3123"/>
    <cellStyle name="Обычный 10 3 2 7 3 3" xfId="3124"/>
    <cellStyle name="Обычный 10 3 2 7 4" xfId="3125"/>
    <cellStyle name="Обычный 10 3 2 7 4 2" xfId="3126"/>
    <cellStyle name="Обычный 10 3 2 7 4 3" xfId="3127"/>
    <cellStyle name="Обычный 10 3 2 7 5" xfId="3128"/>
    <cellStyle name="Обычный 10 3 2 7 5 2" xfId="3129"/>
    <cellStyle name="Обычный 10 3 2 7 6" xfId="3130"/>
    <cellStyle name="Обычный 10 3 2 7 7" xfId="3131"/>
    <cellStyle name="Обычный 10 3 2 8" xfId="3132"/>
    <cellStyle name="Обычный 10 3 2 8 2" xfId="3133"/>
    <cellStyle name="Обычный 10 3 2 8 2 2" xfId="3134"/>
    <cellStyle name="Обычный 10 3 2 8 2 3" xfId="3135"/>
    <cellStyle name="Обычный 10 3 2 8 3" xfId="3136"/>
    <cellStyle name="Обычный 10 3 2 8 3 2" xfId="3137"/>
    <cellStyle name="Обычный 10 3 2 8 3 3" xfId="3138"/>
    <cellStyle name="Обычный 10 3 2 8 4" xfId="3139"/>
    <cellStyle name="Обычный 10 3 2 8 4 2" xfId="3140"/>
    <cellStyle name="Обычный 10 3 2 8 5" xfId="3141"/>
    <cellStyle name="Обычный 10 3 2 8 6" xfId="3142"/>
    <cellStyle name="Обычный 10 3 2 9" xfId="3143"/>
    <cellStyle name="Обычный 10 3 2 9 2" xfId="3144"/>
    <cellStyle name="Обычный 10 3 2 9 3" xfId="3145"/>
    <cellStyle name="Обычный 10 3 3" xfId="3146"/>
    <cellStyle name="Обычный 10 3 3 10" xfId="3147"/>
    <cellStyle name="Обычный 10 3 3 2" xfId="3148"/>
    <cellStyle name="Обычный 10 3 3 2 2" xfId="3149"/>
    <cellStyle name="Обычный 10 3 3 2 2 2" xfId="3150"/>
    <cellStyle name="Обычный 10 3 3 2 2 2 2" xfId="3151"/>
    <cellStyle name="Обычный 10 3 3 2 2 2 2 2" xfId="3152"/>
    <cellStyle name="Обычный 10 3 3 2 2 2 2 2 2" xfId="3153"/>
    <cellStyle name="Обычный 10 3 3 2 2 2 2 2 3" xfId="3154"/>
    <cellStyle name="Обычный 10 3 3 2 2 2 2 3" xfId="3155"/>
    <cellStyle name="Обычный 10 3 3 2 2 2 2 3 2" xfId="3156"/>
    <cellStyle name="Обычный 10 3 3 2 2 2 2 3 3" xfId="3157"/>
    <cellStyle name="Обычный 10 3 3 2 2 2 2 4" xfId="3158"/>
    <cellStyle name="Обычный 10 3 3 2 2 2 2 4 2" xfId="3159"/>
    <cellStyle name="Обычный 10 3 3 2 2 2 2 5" xfId="3160"/>
    <cellStyle name="Обычный 10 3 3 2 2 2 2 6" xfId="3161"/>
    <cellStyle name="Обычный 10 3 3 2 2 2 3" xfId="3162"/>
    <cellStyle name="Обычный 10 3 3 2 2 2 3 2" xfId="3163"/>
    <cellStyle name="Обычный 10 3 3 2 2 2 3 3" xfId="3164"/>
    <cellStyle name="Обычный 10 3 3 2 2 2 4" xfId="3165"/>
    <cellStyle name="Обычный 10 3 3 2 2 2 4 2" xfId="3166"/>
    <cellStyle name="Обычный 10 3 3 2 2 2 4 3" xfId="3167"/>
    <cellStyle name="Обычный 10 3 3 2 2 2 5" xfId="3168"/>
    <cellStyle name="Обычный 10 3 3 2 2 2 5 2" xfId="3169"/>
    <cellStyle name="Обычный 10 3 3 2 2 2 6" xfId="3170"/>
    <cellStyle name="Обычный 10 3 3 2 2 2 7" xfId="3171"/>
    <cellStyle name="Обычный 10 3 3 2 2 3" xfId="3172"/>
    <cellStyle name="Обычный 10 3 3 2 2 3 2" xfId="3173"/>
    <cellStyle name="Обычный 10 3 3 2 2 3 2 2" xfId="3174"/>
    <cellStyle name="Обычный 10 3 3 2 2 3 2 3" xfId="3175"/>
    <cellStyle name="Обычный 10 3 3 2 2 3 3" xfId="3176"/>
    <cellStyle name="Обычный 10 3 3 2 2 3 3 2" xfId="3177"/>
    <cellStyle name="Обычный 10 3 3 2 2 3 3 3" xfId="3178"/>
    <cellStyle name="Обычный 10 3 3 2 2 3 4" xfId="3179"/>
    <cellStyle name="Обычный 10 3 3 2 2 3 4 2" xfId="3180"/>
    <cellStyle name="Обычный 10 3 3 2 2 3 5" xfId="3181"/>
    <cellStyle name="Обычный 10 3 3 2 2 3 6" xfId="3182"/>
    <cellStyle name="Обычный 10 3 3 2 2 4" xfId="3183"/>
    <cellStyle name="Обычный 10 3 3 2 2 4 2" xfId="3184"/>
    <cellStyle name="Обычный 10 3 3 2 2 4 3" xfId="3185"/>
    <cellStyle name="Обычный 10 3 3 2 2 5" xfId="3186"/>
    <cellStyle name="Обычный 10 3 3 2 2 5 2" xfId="3187"/>
    <cellStyle name="Обычный 10 3 3 2 2 5 3" xfId="3188"/>
    <cellStyle name="Обычный 10 3 3 2 2 6" xfId="3189"/>
    <cellStyle name="Обычный 10 3 3 2 2 6 2" xfId="3190"/>
    <cellStyle name="Обычный 10 3 3 2 2 7" xfId="3191"/>
    <cellStyle name="Обычный 10 3 3 2 2 8" xfId="3192"/>
    <cellStyle name="Обычный 10 3 3 2 3" xfId="3193"/>
    <cellStyle name="Обычный 10 3 3 2 3 2" xfId="3194"/>
    <cellStyle name="Обычный 10 3 3 2 3 2 2" xfId="3195"/>
    <cellStyle name="Обычный 10 3 3 2 3 2 2 2" xfId="3196"/>
    <cellStyle name="Обычный 10 3 3 2 3 2 2 3" xfId="3197"/>
    <cellStyle name="Обычный 10 3 3 2 3 2 3" xfId="3198"/>
    <cellStyle name="Обычный 10 3 3 2 3 2 3 2" xfId="3199"/>
    <cellStyle name="Обычный 10 3 3 2 3 2 3 3" xfId="3200"/>
    <cellStyle name="Обычный 10 3 3 2 3 2 4" xfId="3201"/>
    <cellStyle name="Обычный 10 3 3 2 3 2 4 2" xfId="3202"/>
    <cellStyle name="Обычный 10 3 3 2 3 2 5" xfId="3203"/>
    <cellStyle name="Обычный 10 3 3 2 3 2 6" xfId="3204"/>
    <cellStyle name="Обычный 10 3 3 2 3 3" xfId="3205"/>
    <cellStyle name="Обычный 10 3 3 2 3 3 2" xfId="3206"/>
    <cellStyle name="Обычный 10 3 3 2 3 3 3" xfId="3207"/>
    <cellStyle name="Обычный 10 3 3 2 3 4" xfId="3208"/>
    <cellStyle name="Обычный 10 3 3 2 3 4 2" xfId="3209"/>
    <cellStyle name="Обычный 10 3 3 2 3 4 3" xfId="3210"/>
    <cellStyle name="Обычный 10 3 3 2 3 5" xfId="3211"/>
    <cellStyle name="Обычный 10 3 3 2 3 5 2" xfId="3212"/>
    <cellStyle name="Обычный 10 3 3 2 3 6" xfId="3213"/>
    <cellStyle name="Обычный 10 3 3 2 3 7" xfId="3214"/>
    <cellStyle name="Обычный 10 3 3 2 4" xfId="3215"/>
    <cellStyle name="Обычный 10 3 3 2 4 2" xfId="3216"/>
    <cellStyle name="Обычный 10 3 3 2 4 2 2" xfId="3217"/>
    <cellStyle name="Обычный 10 3 3 2 4 2 3" xfId="3218"/>
    <cellStyle name="Обычный 10 3 3 2 4 3" xfId="3219"/>
    <cellStyle name="Обычный 10 3 3 2 4 3 2" xfId="3220"/>
    <cellStyle name="Обычный 10 3 3 2 4 3 3" xfId="3221"/>
    <cellStyle name="Обычный 10 3 3 2 4 4" xfId="3222"/>
    <cellStyle name="Обычный 10 3 3 2 4 4 2" xfId="3223"/>
    <cellStyle name="Обычный 10 3 3 2 4 5" xfId="3224"/>
    <cellStyle name="Обычный 10 3 3 2 4 6" xfId="3225"/>
    <cellStyle name="Обычный 10 3 3 2 5" xfId="3226"/>
    <cellStyle name="Обычный 10 3 3 2 5 2" xfId="3227"/>
    <cellStyle name="Обычный 10 3 3 2 5 3" xfId="3228"/>
    <cellStyle name="Обычный 10 3 3 2 6" xfId="3229"/>
    <cellStyle name="Обычный 10 3 3 2 6 2" xfId="3230"/>
    <cellStyle name="Обычный 10 3 3 2 6 3" xfId="3231"/>
    <cellStyle name="Обычный 10 3 3 2 7" xfId="3232"/>
    <cellStyle name="Обычный 10 3 3 2 7 2" xfId="3233"/>
    <cellStyle name="Обычный 10 3 3 2 8" xfId="3234"/>
    <cellStyle name="Обычный 10 3 3 2 9" xfId="3235"/>
    <cellStyle name="Обычный 10 3 3 3" xfId="3236"/>
    <cellStyle name="Обычный 10 3 3 3 2" xfId="3237"/>
    <cellStyle name="Обычный 10 3 3 3 2 2" xfId="3238"/>
    <cellStyle name="Обычный 10 3 3 3 2 2 2" xfId="3239"/>
    <cellStyle name="Обычный 10 3 3 3 2 2 2 2" xfId="3240"/>
    <cellStyle name="Обычный 10 3 3 3 2 2 2 3" xfId="3241"/>
    <cellStyle name="Обычный 10 3 3 3 2 2 3" xfId="3242"/>
    <cellStyle name="Обычный 10 3 3 3 2 2 3 2" xfId="3243"/>
    <cellStyle name="Обычный 10 3 3 3 2 2 3 3" xfId="3244"/>
    <cellStyle name="Обычный 10 3 3 3 2 2 4" xfId="3245"/>
    <cellStyle name="Обычный 10 3 3 3 2 2 4 2" xfId="3246"/>
    <cellStyle name="Обычный 10 3 3 3 2 2 5" xfId="3247"/>
    <cellStyle name="Обычный 10 3 3 3 2 2 6" xfId="3248"/>
    <cellStyle name="Обычный 10 3 3 3 2 3" xfId="3249"/>
    <cellStyle name="Обычный 10 3 3 3 2 3 2" xfId="3250"/>
    <cellStyle name="Обычный 10 3 3 3 2 3 3" xfId="3251"/>
    <cellStyle name="Обычный 10 3 3 3 2 4" xfId="3252"/>
    <cellStyle name="Обычный 10 3 3 3 2 4 2" xfId="3253"/>
    <cellStyle name="Обычный 10 3 3 3 2 4 3" xfId="3254"/>
    <cellStyle name="Обычный 10 3 3 3 2 5" xfId="3255"/>
    <cellStyle name="Обычный 10 3 3 3 2 5 2" xfId="3256"/>
    <cellStyle name="Обычный 10 3 3 3 2 6" xfId="3257"/>
    <cellStyle name="Обычный 10 3 3 3 2 7" xfId="3258"/>
    <cellStyle name="Обычный 10 3 3 3 3" xfId="3259"/>
    <cellStyle name="Обычный 10 3 3 3 3 2" xfId="3260"/>
    <cellStyle name="Обычный 10 3 3 3 3 2 2" xfId="3261"/>
    <cellStyle name="Обычный 10 3 3 3 3 2 3" xfId="3262"/>
    <cellStyle name="Обычный 10 3 3 3 3 3" xfId="3263"/>
    <cellStyle name="Обычный 10 3 3 3 3 3 2" xfId="3264"/>
    <cellStyle name="Обычный 10 3 3 3 3 3 3" xfId="3265"/>
    <cellStyle name="Обычный 10 3 3 3 3 4" xfId="3266"/>
    <cellStyle name="Обычный 10 3 3 3 3 4 2" xfId="3267"/>
    <cellStyle name="Обычный 10 3 3 3 3 5" xfId="3268"/>
    <cellStyle name="Обычный 10 3 3 3 3 6" xfId="3269"/>
    <cellStyle name="Обычный 10 3 3 3 4" xfId="3270"/>
    <cellStyle name="Обычный 10 3 3 3 4 2" xfId="3271"/>
    <cellStyle name="Обычный 10 3 3 3 4 3" xfId="3272"/>
    <cellStyle name="Обычный 10 3 3 3 5" xfId="3273"/>
    <cellStyle name="Обычный 10 3 3 3 5 2" xfId="3274"/>
    <cellStyle name="Обычный 10 3 3 3 5 3" xfId="3275"/>
    <cellStyle name="Обычный 10 3 3 3 6" xfId="3276"/>
    <cellStyle name="Обычный 10 3 3 3 6 2" xfId="3277"/>
    <cellStyle name="Обычный 10 3 3 3 7" xfId="3278"/>
    <cellStyle name="Обычный 10 3 3 3 8" xfId="3279"/>
    <cellStyle name="Обычный 10 3 3 4" xfId="3280"/>
    <cellStyle name="Обычный 10 3 3 4 2" xfId="3281"/>
    <cellStyle name="Обычный 10 3 3 4 2 2" xfId="3282"/>
    <cellStyle name="Обычный 10 3 3 4 2 2 2" xfId="3283"/>
    <cellStyle name="Обычный 10 3 3 4 2 2 3" xfId="3284"/>
    <cellStyle name="Обычный 10 3 3 4 2 3" xfId="3285"/>
    <cellStyle name="Обычный 10 3 3 4 2 3 2" xfId="3286"/>
    <cellStyle name="Обычный 10 3 3 4 2 3 3" xfId="3287"/>
    <cellStyle name="Обычный 10 3 3 4 2 4" xfId="3288"/>
    <cellStyle name="Обычный 10 3 3 4 2 4 2" xfId="3289"/>
    <cellStyle name="Обычный 10 3 3 4 2 5" xfId="3290"/>
    <cellStyle name="Обычный 10 3 3 4 2 6" xfId="3291"/>
    <cellStyle name="Обычный 10 3 3 4 3" xfId="3292"/>
    <cellStyle name="Обычный 10 3 3 4 3 2" xfId="3293"/>
    <cellStyle name="Обычный 10 3 3 4 3 3" xfId="3294"/>
    <cellStyle name="Обычный 10 3 3 4 4" xfId="3295"/>
    <cellStyle name="Обычный 10 3 3 4 4 2" xfId="3296"/>
    <cellStyle name="Обычный 10 3 3 4 4 3" xfId="3297"/>
    <cellStyle name="Обычный 10 3 3 4 5" xfId="3298"/>
    <cellStyle name="Обычный 10 3 3 4 5 2" xfId="3299"/>
    <cellStyle name="Обычный 10 3 3 4 6" xfId="3300"/>
    <cellStyle name="Обычный 10 3 3 4 7" xfId="3301"/>
    <cellStyle name="Обычный 10 3 3 5" xfId="3302"/>
    <cellStyle name="Обычный 10 3 3 5 2" xfId="3303"/>
    <cellStyle name="Обычный 10 3 3 5 2 2" xfId="3304"/>
    <cellStyle name="Обычный 10 3 3 5 2 3" xfId="3305"/>
    <cellStyle name="Обычный 10 3 3 5 3" xfId="3306"/>
    <cellStyle name="Обычный 10 3 3 5 3 2" xfId="3307"/>
    <cellStyle name="Обычный 10 3 3 5 3 3" xfId="3308"/>
    <cellStyle name="Обычный 10 3 3 5 4" xfId="3309"/>
    <cellStyle name="Обычный 10 3 3 5 4 2" xfId="3310"/>
    <cellStyle name="Обычный 10 3 3 5 5" xfId="3311"/>
    <cellStyle name="Обычный 10 3 3 5 6" xfId="3312"/>
    <cellStyle name="Обычный 10 3 3 6" xfId="3313"/>
    <cellStyle name="Обычный 10 3 3 6 2" xfId="3314"/>
    <cellStyle name="Обычный 10 3 3 6 3" xfId="3315"/>
    <cellStyle name="Обычный 10 3 3 7" xfId="3316"/>
    <cellStyle name="Обычный 10 3 3 7 2" xfId="3317"/>
    <cellStyle name="Обычный 10 3 3 7 3" xfId="3318"/>
    <cellStyle name="Обычный 10 3 3 8" xfId="3319"/>
    <cellStyle name="Обычный 10 3 3 8 2" xfId="3320"/>
    <cellStyle name="Обычный 10 3 3 9" xfId="3321"/>
    <cellStyle name="Обычный 10 3 4" xfId="3322"/>
    <cellStyle name="Обычный 10 3 4 10" xfId="3323"/>
    <cellStyle name="Обычный 10 3 4 2" xfId="3324"/>
    <cellStyle name="Обычный 10 3 4 2 2" xfId="3325"/>
    <cellStyle name="Обычный 10 3 4 2 2 2" xfId="3326"/>
    <cellStyle name="Обычный 10 3 4 2 2 2 2" xfId="3327"/>
    <cellStyle name="Обычный 10 3 4 2 2 2 2 2" xfId="3328"/>
    <cellStyle name="Обычный 10 3 4 2 2 2 2 2 2" xfId="3329"/>
    <cellStyle name="Обычный 10 3 4 2 2 2 2 2 3" xfId="3330"/>
    <cellStyle name="Обычный 10 3 4 2 2 2 2 3" xfId="3331"/>
    <cellStyle name="Обычный 10 3 4 2 2 2 2 3 2" xfId="3332"/>
    <cellStyle name="Обычный 10 3 4 2 2 2 2 3 3" xfId="3333"/>
    <cellStyle name="Обычный 10 3 4 2 2 2 2 4" xfId="3334"/>
    <cellStyle name="Обычный 10 3 4 2 2 2 2 4 2" xfId="3335"/>
    <cellStyle name="Обычный 10 3 4 2 2 2 2 5" xfId="3336"/>
    <cellStyle name="Обычный 10 3 4 2 2 2 2 6" xfId="3337"/>
    <cellStyle name="Обычный 10 3 4 2 2 2 3" xfId="3338"/>
    <cellStyle name="Обычный 10 3 4 2 2 2 3 2" xfId="3339"/>
    <cellStyle name="Обычный 10 3 4 2 2 2 3 3" xfId="3340"/>
    <cellStyle name="Обычный 10 3 4 2 2 2 4" xfId="3341"/>
    <cellStyle name="Обычный 10 3 4 2 2 2 4 2" xfId="3342"/>
    <cellStyle name="Обычный 10 3 4 2 2 2 4 3" xfId="3343"/>
    <cellStyle name="Обычный 10 3 4 2 2 2 5" xfId="3344"/>
    <cellStyle name="Обычный 10 3 4 2 2 2 5 2" xfId="3345"/>
    <cellStyle name="Обычный 10 3 4 2 2 2 6" xfId="3346"/>
    <cellStyle name="Обычный 10 3 4 2 2 2 7" xfId="3347"/>
    <cellStyle name="Обычный 10 3 4 2 2 3" xfId="3348"/>
    <cellStyle name="Обычный 10 3 4 2 2 3 2" xfId="3349"/>
    <cellStyle name="Обычный 10 3 4 2 2 3 2 2" xfId="3350"/>
    <cellStyle name="Обычный 10 3 4 2 2 3 2 3" xfId="3351"/>
    <cellStyle name="Обычный 10 3 4 2 2 3 3" xfId="3352"/>
    <cellStyle name="Обычный 10 3 4 2 2 3 3 2" xfId="3353"/>
    <cellStyle name="Обычный 10 3 4 2 2 3 3 3" xfId="3354"/>
    <cellStyle name="Обычный 10 3 4 2 2 3 4" xfId="3355"/>
    <cellStyle name="Обычный 10 3 4 2 2 3 4 2" xfId="3356"/>
    <cellStyle name="Обычный 10 3 4 2 2 3 5" xfId="3357"/>
    <cellStyle name="Обычный 10 3 4 2 2 3 6" xfId="3358"/>
    <cellStyle name="Обычный 10 3 4 2 2 4" xfId="3359"/>
    <cellStyle name="Обычный 10 3 4 2 2 4 2" xfId="3360"/>
    <cellStyle name="Обычный 10 3 4 2 2 4 3" xfId="3361"/>
    <cellStyle name="Обычный 10 3 4 2 2 5" xfId="3362"/>
    <cellStyle name="Обычный 10 3 4 2 2 5 2" xfId="3363"/>
    <cellStyle name="Обычный 10 3 4 2 2 5 3" xfId="3364"/>
    <cellStyle name="Обычный 10 3 4 2 2 6" xfId="3365"/>
    <cellStyle name="Обычный 10 3 4 2 2 6 2" xfId="3366"/>
    <cellStyle name="Обычный 10 3 4 2 2 7" xfId="3367"/>
    <cellStyle name="Обычный 10 3 4 2 2 8" xfId="3368"/>
    <cellStyle name="Обычный 10 3 4 2 3" xfId="3369"/>
    <cellStyle name="Обычный 10 3 4 2 3 2" xfId="3370"/>
    <cellStyle name="Обычный 10 3 4 2 3 2 2" xfId="3371"/>
    <cellStyle name="Обычный 10 3 4 2 3 2 2 2" xfId="3372"/>
    <cellStyle name="Обычный 10 3 4 2 3 2 2 3" xfId="3373"/>
    <cellStyle name="Обычный 10 3 4 2 3 2 3" xfId="3374"/>
    <cellStyle name="Обычный 10 3 4 2 3 2 3 2" xfId="3375"/>
    <cellStyle name="Обычный 10 3 4 2 3 2 3 3" xfId="3376"/>
    <cellStyle name="Обычный 10 3 4 2 3 2 4" xfId="3377"/>
    <cellStyle name="Обычный 10 3 4 2 3 2 4 2" xfId="3378"/>
    <cellStyle name="Обычный 10 3 4 2 3 2 5" xfId="3379"/>
    <cellStyle name="Обычный 10 3 4 2 3 2 6" xfId="3380"/>
    <cellStyle name="Обычный 10 3 4 2 3 3" xfId="3381"/>
    <cellStyle name="Обычный 10 3 4 2 3 3 2" xfId="3382"/>
    <cellStyle name="Обычный 10 3 4 2 3 3 3" xfId="3383"/>
    <cellStyle name="Обычный 10 3 4 2 3 4" xfId="3384"/>
    <cellStyle name="Обычный 10 3 4 2 3 4 2" xfId="3385"/>
    <cellStyle name="Обычный 10 3 4 2 3 4 3" xfId="3386"/>
    <cellStyle name="Обычный 10 3 4 2 3 5" xfId="3387"/>
    <cellStyle name="Обычный 10 3 4 2 3 5 2" xfId="3388"/>
    <cellStyle name="Обычный 10 3 4 2 3 6" xfId="3389"/>
    <cellStyle name="Обычный 10 3 4 2 3 7" xfId="3390"/>
    <cellStyle name="Обычный 10 3 4 2 4" xfId="3391"/>
    <cellStyle name="Обычный 10 3 4 2 4 2" xfId="3392"/>
    <cellStyle name="Обычный 10 3 4 2 4 2 2" xfId="3393"/>
    <cellStyle name="Обычный 10 3 4 2 4 2 3" xfId="3394"/>
    <cellStyle name="Обычный 10 3 4 2 4 3" xfId="3395"/>
    <cellStyle name="Обычный 10 3 4 2 4 3 2" xfId="3396"/>
    <cellStyle name="Обычный 10 3 4 2 4 3 3" xfId="3397"/>
    <cellStyle name="Обычный 10 3 4 2 4 4" xfId="3398"/>
    <cellStyle name="Обычный 10 3 4 2 4 4 2" xfId="3399"/>
    <cellStyle name="Обычный 10 3 4 2 4 5" xfId="3400"/>
    <cellStyle name="Обычный 10 3 4 2 4 6" xfId="3401"/>
    <cellStyle name="Обычный 10 3 4 2 5" xfId="3402"/>
    <cellStyle name="Обычный 10 3 4 2 5 2" xfId="3403"/>
    <cellStyle name="Обычный 10 3 4 2 5 3" xfId="3404"/>
    <cellStyle name="Обычный 10 3 4 2 6" xfId="3405"/>
    <cellStyle name="Обычный 10 3 4 2 6 2" xfId="3406"/>
    <cellStyle name="Обычный 10 3 4 2 6 3" xfId="3407"/>
    <cellStyle name="Обычный 10 3 4 2 7" xfId="3408"/>
    <cellStyle name="Обычный 10 3 4 2 7 2" xfId="3409"/>
    <cellStyle name="Обычный 10 3 4 2 8" xfId="3410"/>
    <cellStyle name="Обычный 10 3 4 2 9" xfId="3411"/>
    <cellStyle name="Обычный 10 3 4 3" xfId="3412"/>
    <cellStyle name="Обычный 10 3 4 3 2" xfId="3413"/>
    <cellStyle name="Обычный 10 3 4 3 2 2" xfId="3414"/>
    <cellStyle name="Обычный 10 3 4 3 2 2 2" xfId="3415"/>
    <cellStyle name="Обычный 10 3 4 3 2 2 2 2" xfId="3416"/>
    <cellStyle name="Обычный 10 3 4 3 2 2 2 3" xfId="3417"/>
    <cellStyle name="Обычный 10 3 4 3 2 2 3" xfId="3418"/>
    <cellStyle name="Обычный 10 3 4 3 2 2 3 2" xfId="3419"/>
    <cellStyle name="Обычный 10 3 4 3 2 2 3 3" xfId="3420"/>
    <cellStyle name="Обычный 10 3 4 3 2 2 4" xfId="3421"/>
    <cellStyle name="Обычный 10 3 4 3 2 2 4 2" xfId="3422"/>
    <cellStyle name="Обычный 10 3 4 3 2 2 5" xfId="3423"/>
    <cellStyle name="Обычный 10 3 4 3 2 2 6" xfId="3424"/>
    <cellStyle name="Обычный 10 3 4 3 2 3" xfId="3425"/>
    <cellStyle name="Обычный 10 3 4 3 2 3 2" xfId="3426"/>
    <cellStyle name="Обычный 10 3 4 3 2 3 3" xfId="3427"/>
    <cellStyle name="Обычный 10 3 4 3 2 4" xfId="3428"/>
    <cellStyle name="Обычный 10 3 4 3 2 4 2" xfId="3429"/>
    <cellStyle name="Обычный 10 3 4 3 2 4 3" xfId="3430"/>
    <cellStyle name="Обычный 10 3 4 3 2 5" xfId="3431"/>
    <cellStyle name="Обычный 10 3 4 3 2 5 2" xfId="3432"/>
    <cellStyle name="Обычный 10 3 4 3 2 6" xfId="3433"/>
    <cellStyle name="Обычный 10 3 4 3 2 7" xfId="3434"/>
    <cellStyle name="Обычный 10 3 4 3 3" xfId="3435"/>
    <cellStyle name="Обычный 10 3 4 3 3 2" xfId="3436"/>
    <cellStyle name="Обычный 10 3 4 3 3 2 2" xfId="3437"/>
    <cellStyle name="Обычный 10 3 4 3 3 2 3" xfId="3438"/>
    <cellStyle name="Обычный 10 3 4 3 3 3" xfId="3439"/>
    <cellStyle name="Обычный 10 3 4 3 3 3 2" xfId="3440"/>
    <cellStyle name="Обычный 10 3 4 3 3 3 3" xfId="3441"/>
    <cellStyle name="Обычный 10 3 4 3 3 4" xfId="3442"/>
    <cellStyle name="Обычный 10 3 4 3 3 4 2" xfId="3443"/>
    <cellStyle name="Обычный 10 3 4 3 3 5" xfId="3444"/>
    <cellStyle name="Обычный 10 3 4 3 3 6" xfId="3445"/>
    <cellStyle name="Обычный 10 3 4 3 4" xfId="3446"/>
    <cellStyle name="Обычный 10 3 4 3 4 2" xfId="3447"/>
    <cellStyle name="Обычный 10 3 4 3 4 3" xfId="3448"/>
    <cellStyle name="Обычный 10 3 4 3 5" xfId="3449"/>
    <cellStyle name="Обычный 10 3 4 3 5 2" xfId="3450"/>
    <cellStyle name="Обычный 10 3 4 3 5 3" xfId="3451"/>
    <cellStyle name="Обычный 10 3 4 3 6" xfId="3452"/>
    <cellStyle name="Обычный 10 3 4 3 6 2" xfId="3453"/>
    <cellStyle name="Обычный 10 3 4 3 7" xfId="3454"/>
    <cellStyle name="Обычный 10 3 4 3 8" xfId="3455"/>
    <cellStyle name="Обычный 10 3 4 4" xfId="3456"/>
    <cellStyle name="Обычный 10 3 4 4 2" xfId="3457"/>
    <cellStyle name="Обычный 10 3 4 4 2 2" xfId="3458"/>
    <cellStyle name="Обычный 10 3 4 4 2 2 2" xfId="3459"/>
    <cellStyle name="Обычный 10 3 4 4 2 2 3" xfId="3460"/>
    <cellStyle name="Обычный 10 3 4 4 2 3" xfId="3461"/>
    <cellStyle name="Обычный 10 3 4 4 2 3 2" xfId="3462"/>
    <cellStyle name="Обычный 10 3 4 4 2 3 3" xfId="3463"/>
    <cellStyle name="Обычный 10 3 4 4 2 4" xfId="3464"/>
    <cellStyle name="Обычный 10 3 4 4 2 4 2" xfId="3465"/>
    <cellStyle name="Обычный 10 3 4 4 2 5" xfId="3466"/>
    <cellStyle name="Обычный 10 3 4 4 2 6" xfId="3467"/>
    <cellStyle name="Обычный 10 3 4 4 3" xfId="3468"/>
    <cellStyle name="Обычный 10 3 4 4 3 2" xfId="3469"/>
    <cellStyle name="Обычный 10 3 4 4 3 3" xfId="3470"/>
    <cellStyle name="Обычный 10 3 4 4 4" xfId="3471"/>
    <cellStyle name="Обычный 10 3 4 4 4 2" xfId="3472"/>
    <cellStyle name="Обычный 10 3 4 4 4 3" xfId="3473"/>
    <cellStyle name="Обычный 10 3 4 4 5" xfId="3474"/>
    <cellStyle name="Обычный 10 3 4 4 5 2" xfId="3475"/>
    <cellStyle name="Обычный 10 3 4 4 6" xfId="3476"/>
    <cellStyle name="Обычный 10 3 4 4 7" xfId="3477"/>
    <cellStyle name="Обычный 10 3 4 5" xfId="3478"/>
    <cellStyle name="Обычный 10 3 4 5 2" xfId="3479"/>
    <cellStyle name="Обычный 10 3 4 5 2 2" xfId="3480"/>
    <cellStyle name="Обычный 10 3 4 5 2 3" xfId="3481"/>
    <cellStyle name="Обычный 10 3 4 5 3" xfId="3482"/>
    <cellStyle name="Обычный 10 3 4 5 3 2" xfId="3483"/>
    <cellStyle name="Обычный 10 3 4 5 3 3" xfId="3484"/>
    <cellStyle name="Обычный 10 3 4 5 4" xfId="3485"/>
    <cellStyle name="Обычный 10 3 4 5 4 2" xfId="3486"/>
    <cellStyle name="Обычный 10 3 4 5 5" xfId="3487"/>
    <cellStyle name="Обычный 10 3 4 5 6" xfId="3488"/>
    <cellStyle name="Обычный 10 3 4 6" xfId="3489"/>
    <cellStyle name="Обычный 10 3 4 6 2" xfId="3490"/>
    <cellStyle name="Обычный 10 3 4 6 3" xfId="3491"/>
    <cellStyle name="Обычный 10 3 4 7" xfId="3492"/>
    <cellStyle name="Обычный 10 3 4 7 2" xfId="3493"/>
    <cellStyle name="Обычный 10 3 4 7 3" xfId="3494"/>
    <cellStyle name="Обычный 10 3 4 8" xfId="3495"/>
    <cellStyle name="Обычный 10 3 4 8 2" xfId="3496"/>
    <cellStyle name="Обычный 10 3 4 9" xfId="3497"/>
    <cellStyle name="Обычный 10 3 5" xfId="3498"/>
    <cellStyle name="Обычный 10 3 5 10" xfId="3499"/>
    <cellStyle name="Обычный 10 3 5 2" xfId="3500"/>
    <cellStyle name="Обычный 10 3 5 2 2" xfId="3501"/>
    <cellStyle name="Обычный 10 3 5 2 2 2" xfId="3502"/>
    <cellStyle name="Обычный 10 3 5 2 2 2 2" xfId="3503"/>
    <cellStyle name="Обычный 10 3 5 2 2 2 2 2" xfId="3504"/>
    <cellStyle name="Обычный 10 3 5 2 2 2 2 2 2" xfId="3505"/>
    <cellStyle name="Обычный 10 3 5 2 2 2 2 2 3" xfId="3506"/>
    <cellStyle name="Обычный 10 3 5 2 2 2 2 3" xfId="3507"/>
    <cellStyle name="Обычный 10 3 5 2 2 2 2 3 2" xfId="3508"/>
    <cellStyle name="Обычный 10 3 5 2 2 2 2 3 3" xfId="3509"/>
    <cellStyle name="Обычный 10 3 5 2 2 2 2 4" xfId="3510"/>
    <cellStyle name="Обычный 10 3 5 2 2 2 2 4 2" xfId="3511"/>
    <cellStyle name="Обычный 10 3 5 2 2 2 2 5" xfId="3512"/>
    <cellStyle name="Обычный 10 3 5 2 2 2 2 6" xfId="3513"/>
    <cellStyle name="Обычный 10 3 5 2 2 2 3" xfId="3514"/>
    <cellStyle name="Обычный 10 3 5 2 2 2 3 2" xfId="3515"/>
    <cellStyle name="Обычный 10 3 5 2 2 2 3 3" xfId="3516"/>
    <cellStyle name="Обычный 10 3 5 2 2 2 4" xfId="3517"/>
    <cellStyle name="Обычный 10 3 5 2 2 2 4 2" xfId="3518"/>
    <cellStyle name="Обычный 10 3 5 2 2 2 4 3" xfId="3519"/>
    <cellStyle name="Обычный 10 3 5 2 2 2 5" xfId="3520"/>
    <cellStyle name="Обычный 10 3 5 2 2 2 5 2" xfId="3521"/>
    <cellStyle name="Обычный 10 3 5 2 2 2 6" xfId="3522"/>
    <cellStyle name="Обычный 10 3 5 2 2 2 7" xfId="3523"/>
    <cellStyle name="Обычный 10 3 5 2 2 3" xfId="3524"/>
    <cellStyle name="Обычный 10 3 5 2 2 3 2" xfId="3525"/>
    <cellStyle name="Обычный 10 3 5 2 2 3 2 2" xfId="3526"/>
    <cellStyle name="Обычный 10 3 5 2 2 3 2 3" xfId="3527"/>
    <cellStyle name="Обычный 10 3 5 2 2 3 3" xfId="3528"/>
    <cellStyle name="Обычный 10 3 5 2 2 3 3 2" xfId="3529"/>
    <cellStyle name="Обычный 10 3 5 2 2 3 3 3" xfId="3530"/>
    <cellStyle name="Обычный 10 3 5 2 2 3 4" xfId="3531"/>
    <cellStyle name="Обычный 10 3 5 2 2 3 4 2" xfId="3532"/>
    <cellStyle name="Обычный 10 3 5 2 2 3 5" xfId="3533"/>
    <cellStyle name="Обычный 10 3 5 2 2 3 6" xfId="3534"/>
    <cellStyle name="Обычный 10 3 5 2 2 4" xfId="3535"/>
    <cellStyle name="Обычный 10 3 5 2 2 4 2" xfId="3536"/>
    <cellStyle name="Обычный 10 3 5 2 2 4 3" xfId="3537"/>
    <cellStyle name="Обычный 10 3 5 2 2 5" xfId="3538"/>
    <cellStyle name="Обычный 10 3 5 2 2 5 2" xfId="3539"/>
    <cellStyle name="Обычный 10 3 5 2 2 5 3" xfId="3540"/>
    <cellStyle name="Обычный 10 3 5 2 2 6" xfId="3541"/>
    <cellStyle name="Обычный 10 3 5 2 2 6 2" xfId="3542"/>
    <cellStyle name="Обычный 10 3 5 2 2 7" xfId="3543"/>
    <cellStyle name="Обычный 10 3 5 2 2 8" xfId="3544"/>
    <cellStyle name="Обычный 10 3 5 2 3" xfId="3545"/>
    <cellStyle name="Обычный 10 3 5 2 3 2" xfId="3546"/>
    <cellStyle name="Обычный 10 3 5 2 3 2 2" xfId="3547"/>
    <cellStyle name="Обычный 10 3 5 2 3 2 2 2" xfId="3548"/>
    <cellStyle name="Обычный 10 3 5 2 3 2 2 3" xfId="3549"/>
    <cellStyle name="Обычный 10 3 5 2 3 2 3" xfId="3550"/>
    <cellStyle name="Обычный 10 3 5 2 3 2 3 2" xfId="3551"/>
    <cellStyle name="Обычный 10 3 5 2 3 2 3 3" xfId="3552"/>
    <cellStyle name="Обычный 10 3 5 2 3 2 4" xfId="3553"/>
    <cellStyle name="Обычный 10 3 5 2 3 2 4 2" xfId="3554"/>
    <cellStyle name="Обычный 10 3 5 2 3 2 5" xfId="3555"/>
    <cellStyle name="Обычный 10 3 5 2 3 2 6" xfId="3556"/>
    <cellStyle name="Обычный 10 3 5 2 3 3" xfId="3557"/>
    <cellStyle name="Обычный 10 3 5 2 3 3 2" xfId="3558"/>
    <cellStyle name="Обычный 10 3 5 2 3 3 3" xfId="3559"/>
    <cellStyle name="Обычный 10 3 5 2 3 4" xfId="3560"/>
    <cellStyle name="Обычный 10 3 5 2 3 4 2" xfId="3561"/>
    <cellStyle name="Обычный 10 3 5 2 3 4 3" xfId="3562"/>
    <cellStyle name="Обычный 10 3 5 2 3 5" xfId="3563"/>
    <cellStyle name="Обычный 10 3 5 2 3 5 2" xfId="3564"/>
    <cellStyle name="Обычный 10 3 5 2 3 6" xfId="3565"/>
    <cellStyle name="Обычный 10 3 5 2 3 7" xfId="3566"/>
    <cellStyle name="Обычный 10 3 5 2 4" xfId="3567"/>
    <cellStyle name="Обычный 10 3 5 2 4 2" xfId="3568"/>
    <cellStyle name="Обычный 10 3 5 2 4 2 2" xfId="3569"/>
    <cellStyle name="Обычный 10 3 5 2 4 2 3" xfId="3570"/>
    <cellStyle name="Обычный 10 3 5 2 4 3" xfId="3571"/>
    <cellStyle name="Обычный 10 3 5 2 4 3 2" xfId="3572"/>
    <cellStyle name="Обычный 10 3 5 2 4 3 3" xfId="3573"/>
    <cellStyle name="Обычный 10 3 5 2 4 4" xfId="3574"/>
    <cellStyle name="Обычный 10 3 5 2 4 4 2" xfId="3575"/>
    <cellStyle name="Обычный 10 3 5 2 4 5" xfId="3576"/>
    <cellStyle name="Обычный 10 3 5 2 4 6" xfId="3577"/>
    <cellStyle name="Обычный 10 3 5 2 5" xfId="3578"/>
    <cellStyle name="Обычный 10 3 5 2 5 2" xfId="3579"/>
    <cellStyle name="Обычный 10 3 5 2 5 3" xfId="3580"/>
    <cellStyle name="Обычный 10 3 5 2 6" xfId="3581"/>
    <cellStyle name="Обычный 10 3 5 2 6 2" xfId="3582"/>
    <cellStyle name="Обычный 10 3 5 2 6 3" xfId="3583"/>
    <cellStyle name="Обычный 10 3 5 2 7" xfId="3584"/>
    <cellStyle name="Обычный 10 3 5 2 7 2" xfId="3585"/>
    <cellStyle name="Обычный 10 3 5 2 8" xfId="3586"/>
    <cellStyle name="Обычный 10 3 5 2 9" xfId="3587"/>
    <cellStyle name="Обычный 10 3 5 3" xfId="3588"/>
    <cellStyle name="Обычный 10 3 5 3 2" xfId="3589"/>
    <cellStyle name="Обычный 10 3 5 3 2 2" xfId="3590"/>
    <cellStyle name="Обычный 10 3 5 3 2 2 2" xfId="3591"/>
    <cellStyle name="Обычный 10 3 5 3 2 2 2 2" xfId="3592"/>
    <cellStyle name="Обычный 10 3 5 3 2 2 2 3" xfId="3593"/>
    <cellStyle name="Обычный 10 3 5 3 2 2 3" xfId="3594"/>
    <cellStyle name="Обычный 10 3 5 3 2 2 3 2" xfId="3595"/>
    <cellStyle name="Обычный 10 3 5 3 2 2 3 3" xfId="3596"/>
    <cellStyle name="Обычный 10 3 5 3 2 2 4" xfId="3597"/>
    <cellStyle name="Обычный 10 3 5 3 2 2 4 2" xfId="3598"/>
    <cellStyle name="Обычный 10 3 5 3 2 2 5" xfId="3599"/>
    <cellStyle name="Обычный 10 3 5 3 2 2 6" xfId="3600"/>
    <cellStyle name="Обычный 10 3 5 3 2 3" xfId="3601"/>
    <cellStyle name="Обычный 10 3 5 3 2 3 2" xfId="3602"/>
    <cellStyle name="Обычный 10 3 5 3 2 3 3" xfId="3603"/>
    <cellStyle name="Обычный 10 3 5 3 2 4" xfId="3604"/>
    <cellStyle name="Обычный 10 3 5 3 2 4 2" xfId="3605"/>
    <cellStyle name="Обычный 10 3 5 3 2 4 3" xfId="3606"/>
    <cellStyle name="Обычный 10 3 5 3 2 5" xfId="3607"/>
    <cellStyle name="Обычный 10 3 5 3 2 5 2" xfId="3608"/>
    <cellStyle name="Обычный 10 3 5 3 2 6" xfId="3609"/>
    <cellStyle name="Обычный 10 3 5 3 2 7" xfId="3610"/>
    <cellStyle name="Обычный 10 3 5 3 3" xfId="3611"/>
    <cellStyle name="Обычный 10 3 5 3 3 2" xfId="3612"/>
    <cellStyle name="Обычный 10 3 5 3 3 2 2" xfId="3613"/>
    <cellStyle name="Обычный 10 3 5 3 3 2 3" xfId="3614"/>
    <cellStyle name="Обычный 10 3 5 3 3 3" xfId="3615"/>
    <cellStyle name="Обычный 10 3 5 3 3 3 2" xfId="3616"/>
    <cellStyle name="Обычный 10 3 5 3 3 3 3" xfId="3617"/>
    <cellStyle name="Обычный 10 3 5 3 3 4" xfId="3618"/>
    <cellStyle name="Обычный 10 3 5 3 3 4 2" xfId="3619"/>
    <cellStyle name="Обычный 10 3 5 3 3 5" xfId="3620"/>
    <cellStyle name="Обычный 10 3 5 3 3 6" xfId="3621"/>
    <cellStyle name="Обычный 10 3 5 3 4" xfId="3622"/>
    <cellStyle name="Обычный 10 3 5 3 4 2" xfId="3623"/>
    <cellStyle name="Обычный 10 3 5 3 4 3" xfId="3624"/>
    <cellStyle name="Обычный 10 3 5 3 5" xfId="3625"/>
    <cellStyle name="Обычный 10 3 5 3 5 2" xfId="3626"/>
    <cellStyle name="Обычный 10 3 5 3 5 3" xfId="3627"/>
    <cellStyle name="Обычный 10 3 5 3 6" xfId="3628"/>
    <cellStyle name="Обычный 10 3 5 3 6 2" xfId="3629"/>
    <cellStyle name="Обычный 10 3 5 3 7" xfId="3630"/>
    <cellStyle name="Обычный 10 3 5 3 8" xfId="3631"/>
    <cellStyle name="Обычный 10 3 5 4" xfId="3632"/>
    <cellStyle name="Обычный 10 3 5 4 2" xfId="3633"/>
    <cellStyle name="Обычный 10 3 5 4 2 2" xfId="3634"/>
    <cellStyle name="Обычный 10 3 5 4 2 2 2" xfId="3635"/>
    <cellStyle name="Обычный 10 3 5 4 2 2 3" xfId="3636"/>
    <cellStyle name="Обычный 10 3 5 4 2 3" xfId="3637"/>
    <cellStyle name="Обычный 10 3 5 4 2 3 2" xfId="3638"/>
    <cellStyle name="Обычный 10 3 5 4 2 3 3" xfId="3639"/>
    <cellStyle name="Обычный 10 3 5 4 2 4" xfId="3640"/>
    <cellStyle name="Обычный 10 3 5 4 2 4 2" xfId="3641"/>
    <cellStyle name="Обычный 10 3 5 4 2 5" xfId="3642"/>
    <cellStyle name="Обычный 10 3 5 4 2 6" xfId="3643"/>
    <cellStyle name="Обычный 10 3 5 4 3" xfId="3644"/>
    <cellStyle name="Обычный 10 3 5 4 3 2" xfId="3645"/>
    <cellStyle name="Обычный 10 3 5 4 3 3" xfId="3646"/>
    <cellStyle name="Обычный 10 3 5 4 4" xfId="3647"/>
    <cellStyle name="Обычный 10 3 5 4 4 2" xfId="3648"/>
    <cellStyle name="Обычный 10 3 5 4 4 3" xfId="3649"/>
    <cellStyle name="Обычный 10 3 5 4 5" xfId="3650"/>
    <cellStyle name="Обычный 10 3 5 4 5 2" xfId="3651"/>
    <cellStyle name="Обычный 10 3 5 4 6" xfId="3652"/>
    <cellStyle name="Обычный 10 3 5 4 7" xfId="3653"/>
    <cellStyle name="Обычный 10 3 5 5" xfId="3654"/>
    <cellStyle name="Обычный 10 3 5 5 2" xfId="3655"/>
    <cellStyle name="Обычный 10 3 5 5 2 2" xfId="3656"/>
    <cellStyle name="Обычный 10 3 5 5 2 3" xfId="3657"/>
    <cellStyle name="Обычный 10 3 5 5 3" xfId="3658"/>
    <cellStyle name="Обычный 10 3 5 5 3 2" xfId="3659"/>
    <cellStyle name="Обычный 10 3 5 5 3 3" xfId="3660"/>
    <cellStyle name="Обычный 10 3 5 5 4" xfId="3661"/>
    <cellStyle name="Обычный 10 3 5 5 4 2" xfId="3662"/>
    <cellStyle name="Обычный 10 3 5 5 5" xfId="3663"/>
    <cellStyle name="Обычный 10 3 5 5 6" xfId="3664"/>
    <cellStyle name="Обычный 10 3 5 6" xfId="3665"/>
    <cellStyle name="Обычный 10 3 5 6 2" xfId="3666"/>
    <cellStyle name="Обычный 10 3 5 6 3" xfId="3667"/>
    <cellStyle name="Обычный 10 3 5 7" xfId="3668"/>
    <cellStyle name="Обычный 10 3 5 7 2" xfId="3669"/>
    <cellStyle name="Обычный 10 3 5 7 3" xfId="3670"/>
    <cellStyle name="Обычный 10 3 5 8" xfId="3671"/>
    <cellStyle name="Обычный 10 3 5 8 2" xfId="3672"/>
    <cellStyle name="Обычный 10 3 5 9" xfId="3673"/>
    <cellStyle name="Обычный 10 3 6" xfId="3674"/>
    <cellStyle name="Обычный 10 3 6 2" xfId="3675"/>
    <cellStyle name="Обычный 10 3 6 2 2" xfId="3676"/>
    <cellStyle name="Обычный 10 3 6 2 2 2" xfId="3677"/>
    <cellStyle name="Обычный 10 3 6 2 2 2 2" xfId="3678"/>
    <cellStyle name="Обычный 10 3 6 2 2 2 2 2" xfId="3679"/>
    <cellStyle name="Обычный 10 3 6 2 2 2 2 3" xfId="3680"/>
    <cellStyle name="Обычный 10 3 6 2 2 2 3" xfId="3681"/>
    <cellStyle name="Обычный 10 3 6 2 2 2 3 2" xfId="3682"/>
    <cellStyle name="Обычный 10 3 6 2 2 2 3 3" xfId="3683"/>
    <cellStyle name="Обычный 10 3 6 2 2 2 4" xfId="3684"/>
    <cellStyle name="Обычный 10 3 6 2 2 2 4 2" xfId="3685"/>
    <cellStyle name="Обычный 10 3 6 2 2 2 5" xfId="3686"/>
    <cellStyle name="Обычный 10 3 6 2 2 2 6" xfId="3687"/>
    <cellStyle name="Обычный 10 3 6 2 2 3" xfId="3688"/>
    <cellStyle name="Обычный 10 3 6 2 2 3 2" xfId="3689"/>
    <cellStyle name="Обычный 10 3 6 2 2 3 3" xfId="3690"/>
    <cellStyle name="Обычный 10 3 6 2 2 4" xfId="3691"/>
    <cellStyle name="Обычный 10 3 6 2 2 4 2" xfId="3692"/>
    <cellStyle name="Обычный 10 3 6 2 2 4 3" xfId="3693"/>
    <cellStyle name="Обычный 10 3 6 2 2 5" xfId="3694"/>
    <cellStyle name="Обычный 10 3 6 2 2 5 2" xfId="3695"/>
    <cellStyle name="Обычный 10 3 6 2 2 6" xfId="3696"/>
    <cellStyle name="Обычный 10 3 6 2 2 7" xfId="3697"/>
    <cellStyle name="Обычный 10 3 6 2 3" xfId="3698"/>
    <cellStyle name="Обычный 10 3 6 2 3 2" xfId="3699"/>
    <cellStyle name="Обычный 10 3 6 2 3 2 2" xfId="3700"/>
    <cellStyle name="Обычный 10 3 6 2 3 2 3" xfId="3701"/>
    <cellStyle name="Обычный 10 3 6 2 3 3" xfId="3702"/>
    <cellStyle name="Обычный 10 3 6 2 3 3 2" xfId="3703"/>
    <cellStyle name="Обычный 10 3 6 2 3 3 3" xfId="3704"/>
    <cellStyle name="Обычный 10 3 6 2 3 4" xfId="3705"/>
    <cellStyle name="Обычный 10 3 6 2 3 4 2" xfId="3706"/>
    <cellStyle name="Обычный 10 3 6 2 3 5" xfId="3707"/>
    <cellStyle name="Обычный 10 3 6 2 3 6" xfId="3708"/>
    <cellStyle name="Обычный 10 3 6 2 4" xfId="3709"/>
    <cellStyle name="Обычный 10 3 6 2 4 2" xfId="3710"/>
    <cellStyle name="Обычный 10 3 6 2 4 3" xfId="3711"/>
    <cellStyle name="Обычный 10 3 6 2 5" xfId="3712"/>
    <cellStyle name="Обычный 10 3 6 2 5 2" xfId="3713"/>
    <cellStyle name="Обычный 10 3 6 2 5 3" xfId="3714"/>
    <cellStyle name="Обычный 10 3 6 2 6" xfId="3715"/>
    <cellStyle name="Обычный 10 3 6 2 6 2" xfId="3716"/>
    <cellStyle name="Обычный 10 3 6 2 7" xfId="3717"/>
    <cellStyle name="Обычный 10 3 6 2 8" xfId="3718"/>
    <cellStyle name="Обычный 10 3 6 3" xfId="3719"/>
    <cellStyle name="Обычный 10 3 6 3 2" xfId="3720"/>
    <cellStyle name="Обычный 10 3 6 3 2 2" xfId="3721"/>
    <cellStyle name="Обычный 10 3 6 3 2 2 2" xfId="3722"/>
    <cellStyle name="Обычный 10 3 6 3 2 2 3" xfId="3723"/>
    <cellStyle name="Обычный 10 3 6 3 2 3" xfId="3724"/>
    <cellStyle name="Обычный 10 3 6 3 2 3 2" xfId="3725"/>
    <cellStyle name="Обычный 10 3 6 3 2 3 3" xfId="3726"/>
    <cellStyle name="Обычный 10 3 6 3 2 4" xfId="3727"/>
    <cellStyle name="Обычный 10 3 6 3 2 4 2" xfId="3728"/>
    <cellStyle name="Обычный 10 3 6 3 2 5" xfId="3729"/>
    <cellStyle name="Обычный 10 3 6 3 2 6" xfId="3730"/>
    <cellStyle name="Обычный 10 3 6 3 3" xfId="3731"/>
    <cellStyle name="Обычный 10 3 6 3 3 2" xfId="3732"/>
    <cellStyle name="Обычный 10 3 6 3 3 3" xfId="3733"/>
    <cellStyle name="Обычный 10 3 6 3 4" xfId="3734"/>
    <cellStyle name="Обычный 10 3 6 3 4 2" xfId="3735"/>
    <cellStyle name="Обычный 10 3 6 3 4 3" xfId="3736"/>
    <cellStyle name="Обычный 10 3 6 3 5" xfId="3737"/>
    <cellStyle name="Обычный 10 3 6 3 5 2" xfId="3738"/>
    <cellStyle name="Обычный 10 3 6 3 6" xfId="3739"/>
    <cellStyle name="Обычный 10 3 6 3 7" xfId="3740"/>
    <cellStyle name="Обычный 10 3 6 4" xfId="3741"/>
    <cellStyle name="Обычный 10 3 6 4 2" xfId="3742"/>
    <cellStyle name="Обычный 10 3 6 4 2 2" xfId="3743"/>
    <cellStyle name="Обычный 10 3 6 4 2 3" xfId="3744"/>
    <cellStyle name="Обычный 10 3 6 4 3" xfId="3745"/>
    <cellStyle name="Обычный 10 3 6 4 3 2" xfId="3746"/>
    <cellStyle name="Обычный 10 3 6 4 3 3" xfId="3747"/>
    <cellStyle name="Обычный 10 3 6 4 4" xfId="3748"/>
    <cellStyle name="Обычный 10 3 6 4 4 2" xfId="3749"/>
    <cellStyle name="Обычный 10 3 6 4 5" xfId="3750"/>
    <cellStyle name="Обычный 10 3 6 4 6" xfId="3751"/>
    <cellStyle name="Обычный 10 3 6 5" xfId="3752"/>
    <cellStyle name="Обычный 10 3 6 5 2" xfId="3753"/>
    <cellStyle name="Обычный 10 3 6 5 3" xfId="3754"/>
    <cellStyle name="Обычный 10 3 6 6" xfId="3755"/>
    <cellStyle name="Обычный 10 3 6 6 2" xfId="3756"/>
    <cellStyle name="Обычный 10 3 6 6 3" xfId="3757"/>
    <cellStyle name="Обычный 10 3 6 7" xfId="3758"/>
    <cellStyle name="Обычный 10 3 6 7 2" xfId="3759"/>
    <cellStyle name="Обычный 10 3 6 8" xfId="3760"/>
    <cellStyle name="Обычный 10 3 6 9" xfId="3761"/>
    <cellStyle name="Обычный 10 3 7" xfId="3762"/>
    <cellStyle name="Обычный 10 3 7 2" xfId="3763"/>
    <cellStyle name="Обычный 10 3 7 2 2" xfId="3764"/>
    <cellStyle name="Обычный 10 3 7 2 2 2" xfId="3765"/>
    <cellStyle name="Обычный 10 3 7 2 2 2 2" xfId="3766"/>
    <cellStyle name="Обычный 10 3 7 2 2 2 3" xfId="3767"/>
    <cellStyle name="Обычный 10 3 7 2 2 3" xfId="3768"/>
    <cellStyle name="Обычный 10 3 7 2 2 3 2" xfId="3769"/>
    <cellStyle name="Обычный 10 3 7 2 2 3 3" xfId="3770"/>
    <cellStyle name="Обычный 10 3 7 2 2 4" xfId="3771"/>
    <cellStyle name="Обычный 10 3 7 2 2 4 2" xfId="3772"/>
    <cellStyle name="Обычный 10 3 7 2 2 5" xfId="3773"/>
    <cellStyle name="Обычный 10 3 7 2 2 6" xfId="3774"/>
    <cellStyle name="Обычный 10 3 7 2 3" xfId="3775"/>
    <cellStyle name="Обычный 10 3 7 2 3 2" xfId="3776"/>
    <cellStyle name="Обычный 10 3 7 2 3 3" xfId="3777"/>
    <cellStyle name="Обычный 10 3 7 2 4" xfId="3778"/>
    <cellStyle name="Обычный 10 3 7 2 4 2" xfId="3779"/>
    <cellStyle name="Обычный 10 3 7 2 4 3" xfId="3780"/>
    <cellStyle name="Обычный 10 3 7 2 5" xfId="3781"/>
    <cellStyle name="Обычный 10 3 7 2 5 2" xfId="3782"/>
    <cellStyle name="Обычный 10 3 7 2 6" xfId="3783"/>
    <cellStyle name="Обычный 10 3 7 2 7" xfId="3784"/>
    <cellStyle name="Обычный 10 3 7 3" xfId="3785"/>
    <cellStyle name="Обычный 10 3 7 3 2" xfId="3786"/>
    <cellStyle name="Обычный 10 3 7 3 2 2" xfId="3787"/>
    <cellStyle name="Обычный 10 3 7 3 2 3" xfId="3788"/>
    <cellStyle name="Обычный 10 3 7 3 3" xfId="3789"/>
    <cellStyle name="Обычный 10 3 7 3 3 2" xfId="3790"/>
    <cellStyle name="Обычный 10 3 7 3 3 3" xfId="3791"/>
    <cellStyle name="Обычный 10 3 7 3 4" xfId="3792"/>
    <cellStyle name="Обычный 10 3 7 3 4 2" xfId="3793"/>
    <cellStyle name="Обычный 10 3 7 3 5" xfId="3794"/>
    <cellStyle name="Обычный 10 3 7 3 6" xfId="3795"/>
    <cellStyle name="Обычный 10 3 7 4" xfId="3796"/>
    <cellStyle name="Обычный 10 3 7 4 2" xfId="3797"/>
    <cellStyle name="Обычный 10 3 7 4 3" xfId="3798"/>
    <cellStyle name="Обычный 10 3 7 5" xfId="3799"/>
    <cellStyle name="Обычный 10 3 7 5 2" xfId="3800"/>
    <cellStyle name="Обычный 10 3 7 5 3" xfId="3801"/>
    <cellStyle name="Обычный 10 3 7 6" xfId="3802"/>
    <cellStyle name="Обычный 10 3 7 6 2" xfId="3803"/>
    <cellStyle name="Обычный 10 3 7 7" xfId="3804"/>
    <cellStyle name="Обычный 10 3 7 8" xfId="3805"/>
    <cellStyle name="Обычный 10 3 8" xfId="3806"/>
    <cellStyle name="Обычный 10 3 8 2" xfId="3807"/>
    <cellStyle name="Обычный 10 3 8 2 2" xfId="3808"/>
    <cellStyle name="Обычный 10 3 8 2 2 2" xfId="3809"/>
    <cellStyle name="Обычный 10 3 8 2 2 3" xfId="3810"/>
    <cellStyle name="Обычный 10 3 8 2 3" xfId="3811"/>
    <cellStyle name="Обычный 10 3 8 2 3 2" xfId="3812"/>
    <cellStyle name="Обычный 10 3 8 2 3 3" xfId="3813"/>
    <cellStyle name="Обычный 10 3 8 2 4" xfId="3814"/>
    <cellStyle name="Обычный 10 3 8 2 4 2" xfId="3815"/>
    <cellStyle name="Обычный 10 3 8 2 5" xfId="3816"/>
    <cellStyle name="Обычный 10 3 8 2 6" xfId="3817"/>
    <cellStyle name="Обычный 10 3 8 3" xfId="3818"/>
    <cellStyle name="Обычный 10 3 8 3 2" xfId="3819"/>
    <cellStyle name="Обычный 10 3 8 3 3" xfId="3820"/>
    <cellStyle name="Обычный 10 3 8 4" xfId="3821"/>
    <cellStyle name="Обычный 10 3 8 4 2" xfId="3822"/>
    <cellStyle name="Обычный 10 3 8 4 3" xfId="3823"/>
    <cellStyle name="Обычный 10 3 8 5" xfId="3824"/>
    <cellStyle name="Обычный 10 3 8 5 2" xfId="3825"/>
    <cellStyle name="Обычный 10 3 8 6" xfId="3826"/>
    <cellStyle name="Обычный 10 3 8 7" xfId="3827"/>
    <cellStyle name="Обычный 10 3 9" xfId="3828"/>
    <cellStyle name="Обычный 10 3 9 2" xfId="3829"/>
    <cellStyle name="Обычный 10 3 9 2 2" xfId="3830"/>
    <cellStyle name="Обычный 10 3 9 2 3" xfId="3831"/>
    <cellStyle name="Обычный 10 3 9 3" xfId="3832"/>
    <cellStyle name="Обычный 10 3 9 3 2" xfId="3833"/>
    <cellStyle name="Обычный 10 3 9 3 3" xfId="3834"/>
    <cellStyle name="Обычный 10 3 9 4" xfId="3835"/>
    <cellStyle name="Обычный 10 3 9 4 2" xfId="3836"/>
    <cellStyle name="Обычный 10 3 9 5" xfId="3837"/>
    <cellStyle name="Обычный 10 3 9 6" xfId="3838"/>
    <cellStyle name="Обычный 10 4" xfId="3839"/>
    <cellStyle name="Обычный 10 4 10" xfId="3840"/>
    <cellStyle name="Обычный 10 4 10 2" xfId="3841"/>
    <cellStyle name="Обычный 10 4 10 3" xfId="3842"/>
    <cellStyle name="Обычный 10 4 11" xfId="3843"/>
    <cellStyle name="Обычный 10 4 11 2" xfId="3844"/>
    <cellStyle name="Обычный 10 4 11 3" xfId="3845"/>
    <cellStyle name="Обычный 10 4 12" xfId="3846"/>
    <cellStyle name="Обычный 10 4 12 2" xfId="3847"/>
    <cellStyle name="Обычный 10 4 13" xfId="3848"/>
    <cellStyle name="Обычный 10 4 14" xfId="3849"/>
    <cellStyle name="Обычный 10 4 2" xfId="3850"/>
    <cellStyle name="Обычный 10 4 2 10" xfId="3851"/>
    <cellStyle name="Обычный 10 4 2 10 2" xfId="3852"/>
    <cellStyle name="Обычный 10 4 2 10 3" xfId="3853"/>
    <cellStyle name="Обычный 10 4 2 11" xfId="3854"/>
    <cellStyle name="Обычный 10 4 2 11 2" xfId="3855"/>
    <cellStyle name="Обычный 10 4 2 12" xfId="3856"/>
    <cellStyle name="Обычный 10 4 2 13" xfId="3857"/>
    <cellStyle name="Обычный 10 4 2 2" xfId="3858"/>
    <cellStyle name="Обычный 10 4 2 2 10" xfId="3859"/>
    <cellStyle name="Обычный 10 4 2 2 2" xfId="3860"/>
    <cellStyle name="Обычный 10 4 2 2 2 2" xfId="3861"/>
    <cellStyle name="Обычный 10 4 2 2 2 2 2" xfId="3862"/>
    <cellStyle name="Обычный 10 4 2 2 2 2 2 2" xfId="3863"/>
    <cellStyle name="Обычный 10 4 2 2 2 2 2 2 2" xfId="3864"/>
    <cellStyle name="Обычный 10 4 2 2 2 2 2 2 2 2" xfId="3865"/>
    <cellStyle name="Обычный 10 4 2 2 2 2 2 2 2 3" xfId="3866"/>
    <cellStyle name="Обычный 10 4 2 2 2 2 2 2 3" xfId="3867"/>
    <cellStyle name="Обычный 10 4 2 2 2 2 2 2 3 2" xfId="3868"/>
    <cellStyle name="Обычный 10 4 2 2 2 2 2 2 3 3" xfId="3869"/>
    <cellStyle name="Обычный 10 4 2 2 2 2 2 2 4" xfId="3870"/>
    <cellStyle name="Обычный 10 4 2 2 2 2 2 2 4 2" xfId="3871"/>
    <cellStyle name="Обычный 10 4 2 2 2 2 2 2 5" xfId="3872"/>
    <cellStyle name="Обычный 10 4 2 2 2 2 2 2 6" xfId="3873"/>
    <cellStyle name="Обычный 10 4 2 2 2 2 2 3" xfId="3874"/>
    <cellStyle name="Обычный 10 4 2 2 2 2 2 3 2" xfId="3875"/>
    <cellStyle name="Обычный 10 4 2 2 2 2 2 3 3" xfId="3876"/>
    <cellStyle name="Обычный 10 4 2 2 2 2 2 4" xfId="3877"/>
    <cellStyle name="Обычный 10 4 2 2 2 2 2 4 2" xfId="3878"/>
    <cellStyle name="Обычный 10 4 2 2 2 2 2 4 3" xfId="3879"/>
    <cellStyle name="Обычный 10 4 2 2 2 2 2 5" xfId="3880"/>
    <cellStyle name="Обычный 10 4 2 2 2 2 2 5 2" xfId="3881"/>
    <cellStyle name="Обычный 10 4 2 2 2 2 2 6" xfId="3882"/>
    <cellStyle name="Обычный 10 4 2 2 2 2 2 7" xfId="3883"/>
    <cellStyle name="Обычный 10 4 2 2 2 2 3" xfId="3884"/>
    <cellStyle name="Обычный 10 4 2 2 2 2 3 2" xfId="3885"/>
    <cellStyle name="Обычный 10 4 2 2 2 2 3 2 2" xfId="3886"/>
    <cellStyle name="Обычный 10 4 2 2 2 2 3 2 3" xfId="3887"/>
    <cellStyle name="Обычный 10 4 2 2 2 2 3 3" xfId="3888"/>
    <cellStyle name="Обычный 10 4 2 2 2 2 3 3 2" xfId="3889"/>
    <cellStyle name="Обычный 10 4 2 2 2 2 3 3 3" xfId="3890"/>
    <cellStyle name="Обычный 10 4 2 2 2 2 3 4" xfId="3891"/>
    <cellStyle name="Обычный 10 4 2 2 2 2 3 4 2" xfId="3892"/>
    <cellStyle name="Обычный 10 4 2 2 2 2 3 5" xfId="3893"/>
    <cellStyle name="Обычный 10 4 2 2 2 2 3 6" xfId="3894"/>
    <cellStyle name="Обычный 10 4 2 2 2 2 4" xfId="3895"/>
    <cellStyle name="Обычный 10 4 2 2 2 2 4 2" xfId="3896"/>
    <cellStyle name="Обычный 10 4 2 2 2 2 4 3" xfId="3897"/>
    <cellStyle name="Обычный 10 4 2 2 2 2 5" xfId="3898"/>
    <cellStyle name="Обычный 10 4 2 2 2 2 5 2" xfId="3899"/>
    <cellStyle name="Обычный 10 4 2 2 2 2 5 3" xfId="3900"/>
    <cellStyle name="Обычный 10 4 2 2 2 2 6" xfId="3901"/>
    <cellStyle name="Обычный 10 4 2 2 2 2 6 2" xfId="3902"/>
    <cellStyle name="Обычный 10 4 2 2 2 2 7" xfId="3903"/>
    <cellStyle name="Обычный 10 4 2 2 2 2 8" xfId="3904"/>
    <cellStyle name="Обычный 10 4 2 2 2 3" xfId="3905"/>
    <cellStyle name="Обычный 10 4 2 2 2 3 2" xfId="3906"/>
    <cellStyle name="Обычный 10 4 2 2 2 3 2 2" xfId="3907"/>
    <cellStyle name="Обычный 10 4 2 2 2 3 2 2 2" xfId="3908"/>
    <cellStyle name="Обычный 10 4 2 2 2 3 2 2 3" xfId="3909"/>
    <cellStyle name="Обычный 10 4 2 2 2 3 2 3" xfId="3910"/>
    <cellStyle name="Обычный 10 4 2 2 2 3 2 3 2" xfId="3911"/>
    <cellStyle name="Обычный 10 4 2 2 2 3 2 3 3" xfId="3912"/>
    <cellStyle name="Обычный 10 4 2 2 2 3 2 4" xfId="3913"/>
    <cellStyle name="Обычный 10 4 2 2 2 3 2 4 2" xfId="3914"/>
    <cellStyle name="Обычный 10 4 2 2 2 3 2 5" xfId="3915"/>
    <cellStyle name="Обычный 10 4 2 2 2 3 2 6" xfId="3916"/>
    <cellStyle name="Обычный 10 4 2 2 2 3 3" xfId="3917"/>
    <cellStyle name="Обычный 10 4 2 2 2 3 3 2" xfId="3918"/>
    <cellStyle name="Обычный 10 4 2 2 2 3 3 3" xfId="3919"/>
    <cellStyle name="Обычный 10 4 2 2 2 3 4" xfId="3920"/>
    <cellStyle name="Обычный 10 4 2 2 2 3 4 2" xfId="3921"/>
    <cellStyle name="Обычный 10 4 2 2 2 3 4 3" xfId="3922"/>
    <cellStyle name="Обычный 10 4 2 2 2 3 5" xfId="3923"/>
    <cellStyle name="Обычный 10 4 2 2 2 3 5 2" xfId="3924"/>
    <cellStyle name="Обычный 10 4 2 2 2 3 6" xfId="3925"/>
    <cellStyle name="Обычный 10 4 2 2 2 3 7" xfId="3926"/>
    <cellStyle name="Обычный 10 4 2 2 2 4" xfId="3927"/>
    <cellStyle name="Обычный 10 4 2 2 2 4 2" xfId="3928"/>
    <cellStyle name="Обычный 10 4 2 2 2 4 2 2" xfId="3929"/>
    <cellStyle name="Обычный 10 4 2 2 2 4 2 3" xfId="3930"/>
    <cellStyle name="Обычный 10 4 2 2 2 4 3" xfId="3931"/>
    <cellStyle name="Обычный 10 4 2 2 2 4 3 2" xfId="3932"/>
    <cellStyle name="Обычный 10 4 2 2 2 4 3 3" xfId="3933"/>
    <cellStyle name="Обычный 10 4 2 2 2 4 4" xfId="3934"/>
    <cellStyle name="Обычный 10 4 2 2 2 4 4 2" xfId="3935"/>
    <cellStyle name="Обычный 10 4 2 2 2 4 5" xfId="3936"/>
    <cellStyle name="Обычный 10 4 2 2 2 4 6" xfId="3937"/>
    <cellStyle name="Обычный 10 4 2 2 2 5" xfId="3938"/>
    <cellStyle name="Обычный 10 4 2 2 2 5 2" xfId="3939"/>
    <cellStyle name="Обычный 10 4 2 2 2 5 3" xfId="3940"/>
    <cellStyle name="Обычный 10 4 2 2 2 6" xfId="3941"/>
    <cellStyle name="Обычный 10 4 2 2 2 6 2" xfId="3942"/>
    <cellStyle name="Обычный 10 4 2 2 2 6 3" xfId="3943"/>
    <cellStyle name="Обычный 10 4 2 2 2 7" xfId="3944"/>
    <cellStyle name="Обычный 10 4 2 2 2 7 2" xfId="3945"/>
    <cellStyle name="Обычный 10 4 2 2 2 8" xfId="3946"/>
    <cellStyle name="Обычный 10 4 2 2 2 9" xfId="3947"/>
    <cellStyle name="Обычный 10 4 2 2 3" xfId="3948"/>
    <cellStyle name="Обычный 10 4 2 2 3 2" xfId="3949"/>
    <cellStyle name="Обычный 10 4 2 2 3 2 2" xfId="3950"/>
    <cellStyle name="Обычный 10 4 2 2 3 2 2 2" xfId="3951"/>
    <cellStyle name="Обычный 10 4 2 2 3 2 2 2 2" xfId="3952"/>
    <cellStyle name="Обычный 10 4 2 2 3 2 2 2 3" xfId="3953"/>
    <cellStyle name="Обычный 10 4 2 2 3 2 2 3" xfId="3954"/>
    <cellStyle name="Обычный 10 4 2 2 3 2 2 3 2" xfId="3955"/>
    <cellStyle name="Обычный 10 4 2 2 3 2 2 3 3" xfId="3956"/>
    <cellStyle name="Обычный 10 4 2 2 3 2 2 4" xfId="3957"/>
    <cellStyle name="Обычный 10 4 2 2 3 2 2 4 2" xfId="3958"/>
    <cellStyle name="Обычный 10 4 2 2 3 2 2 5" xfId="3959"/>
    <cellStyle name="Обычный 10 4 2 2 3 2 2 6" xfId="3960"/>
    <cellStyle name="Обычный 10 4 2 2 3 2 3" xfId="3961"/>
    <cellStyle name="Обычный 10 4 2 2 3 2 3 2" xfId="3962"/>
    <cellStyle name="Обычный 10 4 2 2 3 2 3 3" xfId="3963"/>
    <cellStyle name="Обычный 10 4 2 2 3 2 4" xfId="3964"/>
    <cellStyle name="Обычный 10 4 2 2 3 2 4 2" xfId="3965"/>
    <cellStyle name="Обычный 10 4 2 2 3 2 4 3" xfId="3966"/>
    <cellStyle name="Обычный 10 4 2 2 3 2 5" xfId="3967"/>
    <cellStyle name="Обычный 10 4 2 2 3 2 5 2" xfId="3968"/>
    <cellStyle name="Обычный 10 4 2 2 3 2 6" xfId="3969"/>
    <cellStyle name="Обычный 10 4 2 2 3 2 7" xfId="3970"/>
    <cellStyle name="Обычный 10 4 2 2 3 3" xfId="3971"/>
    <cellStyle name="Обычный 10 4 2 2 3 3 2" xfId="3972"/>
    <cellStyle name="Обычный 10 4 2 2 3 3 2 2" xfId="3973"/>
    <cellStyle name="Обычный 10 4 2 2 3 3 2 3" xfId="3974"/>
    <cellStyle name="Обычный 10 4 2 2 3 3 3" xfId="3975"/>
    <cellStyle name="Обычный 10 4 2 2 3 3 3 2" xfId="3976"/>
    <cellStyle name="Обычный 10 4 2 2 3 3 3 3" xfId="3977"/>
    <cellStyle name="Обычный 10 4 2 2 3 3 4" xfId="3978"/>
    <cellStyle name="Обычный 10 4 2 2 3 3 4 2" xfId="3979"/>
    <cellStyle name="Обычный 10 4 2 2 3 3 5" xfId="3980"/>
    <cellStyle name="Обычный 10 4 2 2 3 3 6" xfId="3981"/>
    <cellStyle name="Обычный 10 4 2 2 3 4" xfId="3982"/>
    <cellStyle name="Обычный 10 4 2 2 3 4 2" xfId="3983"/>
    <cellStyle name="Обычный 10 4 2 2 3 4 3" xfId="3984"/>
    <cellStyle name="Обычный 10 4 2 2 3 5" xfId="3985"/>
    <cellStyle name="Обычный 10 4 2 2 3 5 2" xfId="3986"/>
    <cellStyle name="Обычный 10 4 2 2 3 5 3" xfId="3987"/>
    <cellStyle name="Обычный 10 4 2 2 3 6" xfId="3988"/>
    <cellStyle name="Обычный 10 4 2 2 3 6 2" xfId="3989"/>
    <cellStyle name="Обычный 10 4 2 2 3 7" xfId="3990"/>
    <cellStyle name="Обычный 10 4 2 2 3 8" xfId="3991"/>
    <cellStyle name="Обычный 10 4 2 2 4" xfId="3992"/>
    <cellStyle name="Обычный 10 4 2 2 4 2" xfId="3993"/>
    <cellStyle name="Обычный 10 4 2 2 4 2 2" xfId="3994"/>
    <cellStyle name="Обычный 10 4 2 2 4 2 2 2" xfId="3995"/>
    <cellStyle name="Обычный 10 4 2 2 4 2 2 3" xfId="3996"/>
    <cellStyle name="Обычный 10 4 2 2 4 2 3" xfId="3997"/>
    <cellStyle name="Обычный 10 4 2 2 4 2 3 2" xfId="3998"/>
    <cellStyle name="Обычный 10 4 2 2 4 2 3 3" xfId="3999"/>
    <cellStyle name="Обычный 10 4 2 2 4 2 4" xfId="4000"/>
    <cellStyle name="Обычный 10 4 2 2 4 2 4 2" xfId="4001"/>
    <cellStyle name="Обычный 10 4 2 2 4 2 5" xfId="4002"/>
    <cellStyle name="Обычный 10 4 2 2 4 2 6" xfId="4003"/>
    <cellStyle name="Обычный 10 4 2 2 4 3" xfId="4004"/>
    <cellStyle name="Обычный 10 4 2 2 4 3 2" xfId="4005"/>
    <cellStyle name="Обычный 10 4 2 2 4 3 3" xfId="4006"/>
    <cellStyle name="Обычный 10 4 2 2 4 4" xfId="4007"/>
    <cellStyle name="Обычный 10 4 2 2 4 4 2" xfId="4008"/>
    <cellStyle name="Обычный 10 4 2 2 4 4 3" xfId="4009"/>
    <cellStyle name="Обычный 10 4 2 2 4 5" xfId="4010"/>
    <cellStyle name="Обычный 10 4 2 2 4 5 2" xfId="4011"/>
    <cellStyle name="Обычный 10 4 2 2 4 6" xfId="4012"/>
    <cellStyle name="Обычный 10 4 2 2 4 7" xfId="4013"/>
    <cellStyle name="Обычный 10 4 2 2 5" xfId="4014"/>
    <cellStyle name="Обычный 10 4 2 2 5 2" xfId="4015"/>
    <cellStyle name="Обычный 10 4 2 2 5 2 2" xfId="4016"/>
    <cellStyle name="Обычный 10 4 2 2 5 2 3" xfId="4017"/>
    <cellStyle name="Обычный 10 4 2 2 5 3" xfId="4018"/>
    <cellStyle name="Обычный 10 4 2 2 5 3 2" xfId="4019"/>
    <cellStyle name="Обычный 10 4 2 2 5 3 3" xfId="4020"/>
    <cellStyle name="Обычный 10 4 2 2 5 4" xfId="4021"/>
    <cellStyle name="Обычный 10 4 2 2 5 4 2" xfId="4022"/>
    <cellStyle name="Обычный 10 4 2 2 5 5" xfId="4023"/>
    <cellStyle name="Обычный 10 4 2 2 5 6" xfId="4024"/>
    <cellStyle name="Обычный 10 4 2 2 6" xfId="4025"/>
    <cellStyle name="Обычный 10 4 2 2 6 2" xfId="4026"/>
    <cellStyle name="Обычный 10 4 2 2 6 3" xfId="4027"/>
    <cellStyle name="Обычный 10 4 2 2 7" xfId="4028"/>
    <cellStyle name="Обычный 10 4 2 2 7 2" xfId="4029"/>
    <cellStyle name="Обычный 10 4 2 2 7 3" xfId="4030"/>
    <cellStyle name="Обычный 10 4 2 2 8" xfId="4031"/>
    <cellStyle name="Обычный 10 4 2 2 8 2" xfId="4032"/>
    <cellStyle name="Обычный 10 4 2 2 9" xfId="4033"/>
    <cellStyle name="Обычный 10 4 2 3" xfId="4034"/>
    <cellStyle name="Обычный 10 4 2 3 10" xfId="4035"/>
    <cellStyle name="Обычный 10 4 2 3 2" xfId="4036"/>
    <cellStyle name="Обычный 10 4 2 3 2 2" xfId="4037"/>
    <cellStyle name="Обычный 10 4 2 3 2 2 2" xfId="4038"/>
    <cellStyle name="Обычный 10 4 2 3 2 2 2 2" xfId="4039"/>
    <cellStyle name="Обычный 10 4 2 3 2 2 2 2 2" xfId="4040"/>
    <cellStyle name="Обычный 10 4 2 3 2 2 2 2 2 2" xfId="4041"/>
    <cellStyle name="Обычный 10 4 2 3 2 2 2 2 2 3" xfId="4042"/>
    <cellStyle name="Обычный 10 4 2 3 2 2 2 2 3" xfId="4043"/>
    <cellStyle name="Обычный 10 4 2 3 2 2 2 2 3 2" xfId="4044"/>
    <cellStyle name="Обычный 10 4 2 3 2 2 2 2 3 3" xfId="4045"/>
    <cellStyle name="Обычный 10 4 2 3 2 2 2 2 4" xfId="4046"/>
    <cellStyle name="Обычный 10 4 2 3 2 2 2 2 4 2" xfId="4047"/>
    <cellStyle name="Обычный 10 4 2 3 2 2 2 2 5" xfId="4048"/>
    <cellStyle name="Обычный 10 4 2 3 2 2 2 2 6" xfId="4049"/>
    <cellStyle name="Обычный 10 4 2 3 2 2 2 3" xfId="4050"/>
    <cellStyle name="Обычный 10 4 2 3 2 2 2 3 2" xfId="4051"/>
    <cellStyle name="Обычный 10 4 2 3 2 2 2 3 3" xfId="4052"/>
    <cellStyle name="Обычный 10 4 2 3 2 2 2 4" xfId="4053"/>
    <cellStyle name="Обычный 10 4 2 3 2 2 2 4 2" xfId="4054"/>
    <cellStyle name="Обычный 10 4 2 3 2 2 2 4 3" xfId="4055"/>
    <cellStyle name="Обычный 10 4 2 3 2 2 2 5" xfId="4056"/>
    <cellStyle name="Обычный 10 4 2 3 2 2 2 5 2" xfId="4057"/>
    <cellStyle name="Обычный 10 4 2 3 2 2 2 6" xfId="4058"/>
    <cellStyle name="Обычный 10 4 2 3 2 2 2 7" xfId="4059"/>
    <cellStyle name="Обычный 10 4 2 3 2 2 3" xfId="4060"/>
    <cellStyle name="Обычный 10 4 2 3 2 2 3 2" xfId="4061"/>
    <cellStyle name="Обычный 10 4 2 3 2 2 3 2 2" xfId="4062"/>
    <cellStyle name="Обычный 10 4 2 3 2 2 3 2 3" xfId="4063"/>
    <cellStyle name="Обычный 10 4 2 3 2 2 3 3" xfId="4064"/>
    <cellStyle name="Обычный 10 4 2 3 2 2 3 3 2" xfId="4065"/>
    <cellStyle name="Обычный 10 4 2 3 2 2 3 3 3" xfId="4066"/>
    <cellStyle name="Обычный 10 4 2 3 2 2 3 4" xfId="4067"/>
    <cellStyle name="Обычный 10 4 2 3 2 2 3 4 2" xfId="4068"/>
    <cellStyle name="Обычный 10 4 2 3 2 2 3 5" xfId="4069"/>
    <cellStyle name="Обычный 10 4 2 3 2 2 3 6" xfId="4070"/>
    <cellStyle name="Обычный 10 4 2 3 2 2 4" xfId="4071"/>
    <cellStyle name="Обычный 10 4 2 3 2 2 4 2" xfId="4072"/>
    <cellStyle name="Обычный 10 4 2 3 2 2 4 3" xfId="4073"/>
    <cellStyle name="Обычный 10 4 2 3 2 2 5" xfId="4074"/>
    <cellStyle name="Обычный 10 4 2 3 2 2 5 2" xfId="4075"/>
    <cellStyle name="Обычный 10 4 2 3 2 2 5 3" xfId="4076"/>
    <cellStyle name="Обычный 10 4 2 3 2 2 6" xfId="4077"/>
    <cellStyle name="Обычный 10 4 2 3 2 2 6 2" xfId="4078"/>
    <cellStyle name="Обычный 10 4 2 3 2 2 7" xfId="4079"/>
    <cellStyle name="Обычный 10 4 2 3 2 2 8" xfId="4080"/>
    <cellStyle name="Обычный 10 4 2 3 2 3" xfId="4081"/>
    <cellStyle name="Обычный 10 4 2 3 2 3 2" xfId="4082"/>
    <cellStyle name="Обычный 10 4 2 3 2 3 2 2" xfId="4083"/>
    <cellStyle name="Обычный 10 4 2 3 2 3 2 2 2" xfId="4084"/>
    <cellStyle name="Обычный 10 4 2 3 2 3 2 2 3" xfId="4085"/>
    <cellStyle name="Обычный 10 4 2 3 2 3 2 3" xfId="4086"/>
    <cellStyle name="Обычный 10 4 2 3 2 3 2 3 2" xfId="4087"/>
    <cellStyle name="Обычный 10 4 2 3 2 3 2 3 3" xfId="4088"/>
    <cellStyle name="Обычный 10 4 2 3 2 3 2 4" xfId="4089"/>
    <cellStyle name="Обычный 10 4 2 3 2 3 2 4 2" xfId="4090"/>
    <cellStyle name="Обычный 10 4 2 3 2 3 2 5" xfId="4091"/>
    <cellStyle name="Обычный 10 4 2 3 2 3 2 6" xfId="4092"/>
    <cellStyle name="Обычный 10 4 2 3 2 3 3" xfId="4093"/>
    <cellStyle name="Обычный 10 4 2 3 2 3 3 2" xfId="4094"/>
    <cellStyle name="Обычный 10 4 2 3 2 3 3 3" xfId="4095"/>
    <cellStyle name="Обычный 10 4 2 3 2 3 4" xfId="4096"/>
    <cellStyle name="Обычный 10 4 2 3 2 3 4 2" xfId="4097"/>
    <cellStyle name="Обычный 10 4 2 3 2 3 4 3" xfId="4098"/>
    <cellStyle name="Обычный 10 4 2 3 2 3 5" xfId="4099"/>
    <cellStyle name="Обычный 10 4 2 3 2 3 5 2" xfId="4100"/>
    <cellStyle name="Обычный 10 4 2 3 2 3 6" xfId="4101"/>
    <cellStyle name="Обычный 10 4 2 3 2 3 7" xfId="4102"/>
    <cellStyle name="Обычный 10 4 2 3 2 4" xfId="4103"/>
    <cellStyle name="Обычный 10 4 2 3 2 4 2" xfId="4104"/>
    <cellStyle name="Обычный 10 4 2 3 2 4 2 2" xfId="4105"/>
    <cellStyle name="Обычный 10 4 2 3 2 4 2 3" xfId="4106"/>
    <cellStyle name="Обычный 10 4 2 3 2 4 3" xfId="4107"/>
    <cellStyle name="Обычный 10 4 2 3 2 4 3 2" xfId="4108"/>
    <cellStyle name="Обычный 10 4 2 3 2 4 3 3" xfId="4109"/>
    <cellStyle name="Обычный 10 4 2 3 2 4 4" xfId="4110"/>
    <cellStyle name="Обычный 10 4 2 3 2 4 4 2" xfId="4111"/>
    <cellStyle name="Обычный 10 4 2 3 2 4 5" xfId="4112"/>
    <cellStyle name="Обычный 10 4 2 3 2 4 6" xfId="4113"/>
    <cellStyle name="Обычный 10 4 2 3 2 5" xfId="4114"/>
    <cellStyle name="Обычный 10 4 2 3 2 5 2" xfId="4115"/>
    <cellStyle name="Обычный 10 4 2 3 2 5 3" xfId="4116"/>
    <cellStyle name="Обычный 10 4 2 3 2 6" xfId="4117"/>
    <cellStyle name="Обычный 10 4 2 3 2 6 2" xfId="4118"/>
    <cellStyle name="Обычный 10 4 2 3 2 6 3" xfId="4119"/>
    <cellStyle name="Обычный 10 4 2 3 2 7" xfId="4120"/>
    <cellStyle name="Обычный 10 4 2 3 2 7 2" xfId="4121"/>
    <cellStyle name="Обычный 10 4 2 3 2 8" xfId="4122"/>
    <cellStyle name="Обычный 10 4 2 3 2 9" xfId="4123"/>
    <cellStyle name="Обычный 10 4 2 3 3" xfId="4124"/>
    <cellStyle name="Обычный 10 4 2 3 3 2" xfId="4125"/>
    <cellStyle name="Обычный 10 4 2 3 3 2 2" xfId="4126"/>
    <cellStyle name="Обычный 10 4 2 3 3 2 2 2" xfId="4127"/>
    <cellStyle name="Обычный 10 4 2 3 3 2 2 2 2" xfId="4128"/>
    <cellStyle name="Обычный 10 4 2 3 3 2 2 2 3" xfId="4129"/>
    <cellStyle name="Обычный 10 4 2 3 3 2 2 3" xfId="4130"/>
    <cellStyle name="Обычный 10 4 2 3 3 2 2 3 2" xfId="4131"/>
    <cellStyle name="Обычный 10 4 2 3 3 2 2 3 3" xfId="4132"/>
    <cellStyle name="Обычный 10 4 2 3 3 2 2 4" xfId="4133"/>
    <cellStyle name="Обычный 10 4 2 3 3 2 2 4 2" xfId="4134"/>
    <cellStyle name="Обычный 10 4 2 3 3 2 2 5" xfId="4135"/>
    <cellStyle name="Обычный 10 4 2 3 3 2 2 6" xfId="4136"/>
    <cellStyle name="Обычный 10 4 2 3 3 2 3" xfId="4137"/>
    <cellStyle name="Обычный 10 4 2 3 3 2 3 2" xfId="4138"/>
    <cellStyle name="Обычный 10 4 2 3 3 2 3 3" xfId="4139"/>
    <cellStyle name="Обычный 10 4 2 3 3 2 4" xfId="4140"/>
    <cellStyle name="Обычный 10 4 2 3 3 2 4 2" xfId="4141"/>
    <cellStyle name="Обычный 10 4 2 3 3 2 4 3" xfId="4142"/>
    <cellStyle name="Обычный 10 4 2 3 3 2 5" xfId="4143"/>
    <cellStyle name="Обычный 10 4 2 3 3 2 5 2" xfId="4144"/>
    <cellStyle name="Обычный 10 4 2 3 3 2 6" xfId="4145"/>
    <cellStyle name="Обычный 10 4 2 3 3 2 7" xfId="4146"/>
    <cellStyle name="Обычный 10 4 2 3 3 3" xfId="4147"/>
    <cellStyle name="Обычный 10 4 2 3 3 3 2" xfId="4148"/>
    <cellStyle name="Обычный 10 4 2 3 3 3 2 2" xfId="4149"/>
    <cellStyle name="Обычный 10 4 2 3 3 3 2 3" xfId="4150"/>
    <cellStyle name="Обычный 10 4 2 3 3 3 3" xfId="4151"/>
    <cellStyle name="Обычный 10 4 2 3 3 3 3 2" xfId="4152"/>
    <cellStyle name="Обычный 10 4 2 3 3 3 3 3" xfId="4153"/>
    <cellStyle name="Обычный 10 4 2 3 3 3 4" xfId="4154"/>
    <cellStyle name="Обычный 10 4 2 3 3 3 4 2" xfId="4155"/>
    <cellStyle name="Обычный 10 4 2 3 3 3 5" xfId="4156"/>
    <cellStyle name="Обычный 10 4 2 3 3 3 6" xfId="4157"/>
    <cellStyle name="Обычный 10 4 2 3 3 4" xfId="4158"/>
    <cellStyle name="Обычный 10 4 2 3 3 4 2" xfId="4159"/>
    <cellStyle name="Обычный 10 4 2 3 3 4 3" xfId="4160"/>
    <cellStyle name="Обычный 10 4 2 3 3 5" xfId="4161"/>
    <cellStyle name="Обычный 10 4 2 3 3 5 2" xfId="4162"/>
    <cellStyle name="Обычный 10 4 2 3 3 5 3" xfId="4163"/>
    <cellStyle name="Обычный 10 4 2 3 3 6" xfId="4164"/>
    <cellStyle name="Обычный 10 4 2 3 3 6 2" xfId="4165"/>
    <cellStyle name="Обычный 10 4 2 3 3 7" xfId="4166"/>
    <cellStyle name="Обычный 10 4 2 3 3 8" xfId="4167"/>
    <cellStyle name="Обычный 10 4 2 3 4" xfId="4168"/>
    <cellStyle name="Обычный 10 4 2 3 4 2" xfId="4169"/>
    <cellStyle name="Обычный 10 4 2 3 4 2 2" xfId="4170"/>
    <cellStyle name="Обычный 10 4 2 3 4 2 2 2" xfId="4171"/>
    <cellStyle name="Обычный 10 4 2 3 4 2 2 3" xfId="4172"/>
    <cellStyle name="Обычный 10 4 2 3 4 2 3" xfId="4173"/>
    <cellStyle name="Обычный 10 4 2 3 4 2 3 2" xfId="4174"/>
    <cellStyle name="Обычный 10 4 2 3 4 2 3 3" xfId="4175"/>
    <cellStyle name="Обычный 10 4 2 3 4 2 4" xfId="4176"/>
    <cellStyle name="Обычный 10 4 2 3 4 2 4 2" xfId="4177"/>
    <cellStyle name="Обычный 10 4 2 3 4 2 5" xfId="4178"/>
    <cellStyle name="Обычный 10 4 2 3 4 2 6" xfId="4179"/>
    <cellStyle name="Обычный 10 4 2 3 4 3" xfId="4180"/>
    <cellStyle name="Обычный 10 4 2 3 4 3 2" xfId="4181"/>
    <cellStyle name="Обычный 10 4 2 3 4 3 3" xfId="4182"/>
    <cellStyle name="Обычный 10 4 2 3 4 4" xfId="4183"/>
    <cellStyle name="Обычный 10 4 2 3 4 4 2" xfId="4184"/>
    <cellStyle name="Обычный 10 4 2 3 4 4 3" xfId="4185"/>
    <cellStyle name="Обычный 10 4 2 3 4 5" xfId="4186"/>
    <cellStyle name="Обычный 10 4 2 3 4 5 2" xfId="4187"/>
    <cellStyle name="Обычный 10 4 2 3 4 6" xfId="4188"/>
    <cellStyle name="Обычный 10 4 2 3 4 7" xfId="4189"/>
    <cellStyle name="Обычный 10 4 2 3 5" xfId="4190"/>
    <cellStyle name="Обычный 10 4 2 3 5 2" xfId="4191"/>
    <cellStyle name="Обычный 10 4 2 3 5 2 2" xfId="4192"/>
    <cellStyle name="Обычный 10 4 2 3 5 2 3" xfId="4193"/>
    <cellStyle name="Обычный 10 4 2 3 5 3" xfId="4194"/>
    <cellStyle name="Обычный 10 4 2 3 5 3 2" xfId="4195"/>
    <cellStyle name="Обычный 10 4 2 3 5 3 3" xfId="4196"/>
    <cellStyle name="Обычный 10 4 2 3 5 4" xfId="4197"/>
    <cellStyle name="Обычный 10 4 2 3 5 4 2" xfId="4198"/>
    <cellStyle name="Обычный 10 4 2 3 5 5" xfId="4199"/>
    <cellStyle name="Обычный 10 4 2 3 5 6" xfId="4200"/>
    <cellStyle name="Обычный 10 4 2 3 6" xfId="4201"/>
    <cellStyle name="Обычный 10 4 2 3 6 2" xfId="4202"/>
    <cellStyle name="Обычный 10 4 2 3 6 3" xfId="4203"/>
    <cellStyle name="Обычный 10 4 2 3 7" xfId="4204"/>
    <cellStyle name="Обычный 10 4 2 3 7 2" xfId="4205"/>
    <cellStyle name="Обычный 10 4 2 3 7 3" xfId="4206"/>
    <cellStyle name="Обычный 10 4 2 3 8" xfId="4207"/>
    <cellStyle name="Обычный 10 4 2 3 8 2" xfId="4208"/>
    <cellStyle name="Обычный 10 4 2 3 9" xfId="4209"/>
    <cellStyle name="Обычный 10 4 2 4" xfId="4210"/>
    <cellStyle name="Обычный 10 4 2 4 10" xfId="4211"/>
    <cellStyle name="Обычный 10 4 2 4 2" xfId="4212"/>
    <cellStyle name="Обычный 10 4 2 4 2 2" xfId="4213"/>
    <cellStyle name="Обычный 10 4 2 4 2 2 2" xfId="4214"/>
    <cellStyle name="Обычный 10 4 2 4 2 2 2 2" xfId="4215"/>
    <cellStyle name="Обычный 10 4 2 4 2 2 2 2 2" xfId="4216"/>
    <cellStyle name="Обычный 10 4 2 4 2 2 2 2 2 2" xfId="4217"/>
    <cellStyle name="Обычный 10 4 2 4 2 2 2 2 2 3" xfId="4218"/>
    <cellStyle name="Обычный 10 4 2 4 2 2 2 2 3" xfId="4219"/>
    <cellStyle name="Обычный 10 4 2 4 2 2 2 2 3 2" xfId="4220"/>
    <cellStyle name="Обычный 10 4 2 4 2 2 2 2 3 3" xfId="4221"/>
    <cellStyle name="Обычный 10 4 2 4 2 2 2 2 4" xfId="4222"/>
    <cellStyle name="Обычный 10 4 2 4 2 2 2 2 4 2" xfId="4223"/>
    <cellStyle name="Обычный 10 4 2 4 2 2 2 2 5" xfId="4224"/>
    <cellStyle name="Обычный 10 4 2 4 2 2 2 2 6" xfId="4225"/>
    <cellStyle name="Обычный 10 4 2 4 2 2 2 3" xfId="4226"/>
    <cellStyle name="Обычный 10 4 2 4 2 2 2 3 2" xfId="4227"/>
    <cellStyle name="Обычный 10 4 2 4 2 2 2 3 3" xfId="4228"/>
    <cellStyle name="Обычный 10 4 2 4 2 2 2 4" xfId="4229"/>
    <cellStyle name="Обычный 10 4 2 4 2 2 2 4 2" xfId="4230"/>
    <cellStyle name="Обычный 10 4 2 4 2 2 2 4 3" xfId="4231"/>
    <cellStyle name="Обычный 10 4 2 4 2 2 2 5" xfId="4232"/>
    <cellStyle name="Обычный 10 4 2 4 2 2 2 5 2" xfId="4233"/>
    <cellStyle name="Обычный 10 4 2 4 2 2 2 6" xfId="4234"/>
    <cellStyle name="Обычный 10 4 2 4 2 2 2 7" xfId="4235"/>
    <cellStyle name="Обычный 10 4 2 4 2 2 3" xfId="4236"/>
    <cellStyle name="Обычный 10 4 2 4 2 2 3 2" xfId="4237"/>
    <cellStyle name="Обычный 10 4 2 4 2 2 3 2 2" xfId="4238"/>
    <cellStyle name="Обычный 10 4 2 4 2 2 3 2 3" xfId="4239"/>
    <cellStyle name="Обычный 10 4 2 4 2 2 3 3" xfId="4240"/>
    <cellStyle name="Обычный 10 4 2 4 2 2 3 3 2" xfId="4241"/>
    <cellStyle name="Обычный 10 4 2 4 2 2 3 3 3" xfId="4242"/>
    <cellStyle name="Обычный 10 4 2 4 2 2 3 4" xfId="4243"/>
    <cellStyle name="Обычный 10 4 2 4 2 2 3 4 2" xfId="4244"/>
    <cellStyle name="Обычный 10 4 2 4 2 2 3 5" xfId="4245"/>
    <cellStyle name="Обычный 10 4 2 4 2 2 3 6" xfId="4246"/>
    <cellStyle name="Обычный 10 4 2 4 2 2 4" xfId="4247"/>
    <cellStyle name="Обычный 10 4 2 4 2 2 4 2" xfId="4248"/>
    <cellStyle name="Обычный 10 4 2 4 2 2 4 3" xfId="4249"/>
    <cellStyle name="Обычный 10 4 2 4 2 2 5" xfId="4250"/>
    <cellStyle name="Обычный 10 4 2 4 2 2 5 2" xfId="4251"/>
    <cellStyle name="Обычный 10 4 2 4 2 2 5 3" xfId="4252"/>
    <cellStyle name="Обычный 10 4 2 4 2 2 6" xfId="4253"/>
    <cellStyle name="Обычный 10 4 2 4 2 2 6 2" xfId="4254"/>
    <cellStyle name="Обычный 10 4 2 4 2 2 7" xfId="4255"/>
    <cellStyle name="Обычный 10 4 2 4 2 2 8" xfId="4256"/>
    <cellStyle name="Обычный 10 4 2 4 2 3" xfId="4257"/>
    <cellStyle name="Обычный 10 4 2 4 2 3 2" xfId="4258"/>
    <cellStyle name="Обычный 10 4 2 4 2 3 2 2" xfId="4259"/>
    <cellStyle name="Обычный 10 4 2 4 2 3 2 2 2" xfId="4260"/>
    <cellStyle name="Обычный 10 4 2 4 2 3 2 2 3" xfId="4261"/>
    <cellStyle name="Обычный 10 4 2 4 2 3 2 3" xfId="4262"/>
    <cellStyle name="Обычный 10 4 2 4 2 3 2 3 2" xfId="4263"/>
    <cellStyle name="Обычный 10 4 2 4 2 3 2 3 3" xfId="4264"/>
    <cellStyle name="Обычный 10 4 2 4 2 3 2 4" xfId="4265"/>
    <cellStyle name="Обычный 10 4 2 4 2 3 2 4 2" xfId="4266"/>
    <cellStyle name="Обычный 10 4 2 4 2 3 2 5" xfId="4267"/>
    <cellStyle name="Обычный 10 4 2 4 2 3 2 6" xfId="4268"/>
    <cellStyle name="Обычный 10 4 2 4 2 3 3" xfId="4269"/>
    <cellStyle name="Обычный 10 4 2 4 2 3 3 2" xfId="4270"/>
    <cellStyle name="Обычный 10 4 2 4 2 3 3 3" xfId="4271"/>
    <cellStyle name="Обычный 10 4 2 4 2 3 4" xfId="4272"/>
    <cellStyle name="Обычный 10 4 2 4 2 3 4 2" xfId="4273"/>
    <cellStyle name="Обычный 10 4 2 4 2 3 4 3" xfId="4274"/>
    <cellStyle name="Обычный 10 4 2 4 2 3 5" xfId="4275"/>
    <cellStyle name="Обычный 10 4 2 4 2 3 5 2" xfId="4276"/>
    <cellStyle name="Обычный 10 4 2 4 2 3 6" xfId="4277"/>
    <cellStyle name="Обычный 10 4 2 4 2 3 7" xfId="4278"/>
    <cellStyle name="Обычный 10 4 2 4 2 4" xfId="4279"/>
    <cellStyle name="Обычный 10 4 2 4 2 4 2" xfId="4280"/>
    <cellStyle name="Обычный 10 4 2 4 2 4 2 2" xfId="4281"/>
    <cellStyle name="Обычный 10 4 2 4 2 4 2 3" xfId="4282"/>
    <cellStyle name="Обычный 10 4 2 4 2 4 3" xfId="4283"/>
    <cellStyle name="Обычный 10 4 2 4 2 4 3 2" xfId="4284"/>
    <cellStyle name="Обычный 10 4 2 4 2 4 3 3" xfId="4285"/>
    <cellStyle name="Обычный 10 4 2 4 2 4 4" xfId="4286"/>
    <cellStyle name="Обычный 10 4 2 4 2 4 4 2" xfId="4287"/>
    <cellStyle name="Обычный 10 4 2 4 2 4 5" xfId="4288"/>
    <cellStyle name="Обычный 10 4 2 4 2 4 6" xfId="4289"/>
    <cellStyle name="Обычный 10 4 2 4 2 5" xfId="4290"/>
    <cellStyle name="Обычный 10 4 2 4 2 5 2" xfId="4291"/>
    <cellStyle name="Обычный 10 4 2 4 2 5 3" xfId="4292"/>
    <cellStyle name="Обычный 10 4 2 4 2 6" xfId="4293"/>
    <cellStyle name="Обычный 10 4 2 4 2 6 2" xfId="4294"/>
    <cellStyle name="Обычный 10 4 2 4 2 6 3" xfId="4295"/>
    <cellStyle name="Обычный 10 4 2 4 2 7" xfId="4296"/>
    <cellStyle name="Обычный 10 4 2 4 2 7 2" xfId="4297"/>
    <cellStyle name="Обычный 10 4 2 4 2 8" xfId="4298"/>
    <cellStyle name="Обычный 10 4 2 4 2 9" xfId="4299"/>
    <cellStyle name="Обычный 10 4 2 4 3" xfId="4300"/>
    <cellStyle name="Обычный 10 4 2 4 3 2" xfId="4301"/>
    <cellStyle name="Обычный 10 4 2 4 3 2 2" xfId="4302"/>
    <cellStyle name="Обычный 10 4 2 4 3 2 2 2" xfId="4303"/>
    <cellStyle name="Обычный 10 4 2 4 3 2 2 2 2" xfId="4304"/>
    <cellStyle name="Обычный 10 4 2 4 3 2 2 2 3" xfId="4305"/>
    <cellStyle name="Обычный 10 4 2 4 3 2 2 3" xfId="4306"/>
    <cellStyle name="Обычный 10 4 2 4 3 2 2 3 2" xfId="4307"/>
    <cellStyle name="Обычный 10 4 2 4 3 2 2 3 3" xfId="4308"/>
    <cellStyle name="Обычный 10 4 2 4 3 2 2 4" xfId="4309"/>
    <cellStyle name="Обычный 10 4 2 4 3 2 2 4 2" xfId="4310"/>
    <cellStyle name="Обычный 10 4 2 4 3 2 2 5" xfId="4311"/>
    <cellStyle name="Обычный 10 4 2 4 3 2 2 6" xfId="4312"/>
    <cellStyle name="Обычный 10 4 2 4 3 2 3" xfId="4313"/>
    <cellStyle name="Обычный 10 4 2 4 3 2 3 2" xfId="4314"/>
    <cellStyle name="Обычный 10 4 2 4 3 2 3 3" xfId="4315"/>
    <cellStyle name="Обычный 10 4 2 4 3 2 4" xfId="4316"/>
    <cellStyle name="Обычный 10 4 2 4 3 2 4 2" xfId="4317"/>
    <cellStyle name="Обычный 10 4 2 4 3 2 4 3" xfId="4318"/>
    <cellStyle name="Обычный 10 4 2 4 3 2 5" xfId="4319"/>
    <cellStyle name="Обычный 10 4 2 4 3 2 5 2" xfId="4320"/>
    <cellStyle name="Обычный 10 4 2 4 3 2 6" xfId="4321"/>
    <cellStyle name="Обычный 10 4 2 4 3 2 7" xfId="4322"/>
    <cellStyle name="Обычный 10 4 2 4 3 3" xfId="4323"/>
    <cellStyle name="Обычный 10 4 2 4 3 3 2" xfId="4324"/>
    <cellStyle name="Обычный 10 4 2 4 3 3 2 2" xfId="4325"/>
    <cellStyle name="Обычный 10 4 2 4 3 3 2 3" xfId="4326"/>
    <cellStyle name="Обычный 10 4 2 4 3 3 3" xfId="4327"/>
    <cellStyle name="Обычный 10 4 2 4 3 3 3 2" xfId="4328"/>
    <cellStyle name="Обычный 10 4 2 4 3 3 3 3" xfId="4329"/>
    <cellStyle name="Обычный 10 4 2 4 3 3 4" xfId="4330"/>
    <cellStyle name="Обычный 10 4 2 4 3 3 4 2" xfId="4331"/>
    <cellStyle name="Обычный 10 4 2 4 3 3 5" xfId="4332"/>
    <cellStyle name="Обычный 10 4 2 4 3 3 6" xfId="4333"/>
    <cellStyle name="Обычный 10 4 2 4 3 4" xfId="4334"/>
    <cellStyle name="Обычный 10 4 2 4 3 4 2" xfId="4335"/>
    <cellStyle name="Обычный 10 4 2 4 3 4 3" xfId="4336"/>
    <cellStyle name="Обычный 10 4 2 4 3 5" xfId="4337"/>
    <cellStyle name="Обычный 10 4 2 4 3 5 2" xfId="4338"/>
    <cellStyle name="Обычный 10 4 2 4 3 5 3" xfId="4339"/>
    <cellStyle name="Обычный 10 4 2 4 3 6" xfId="4340"/>
    <cellStyle name="Обычный 10 4 2 4 3 6 2" xfId="4341"/>
    <cellStyle name="Обычный 10 4 2 4 3 7" xfId="4342"/>
    <cellStyle name="Обычный 10 4 2 4 3 8" xfId="4343"/>
    <cellStyle name="Обычный 10 4 2 4 4" xfId="4344"/>
    <cellStyle name="Обычный 10 4 2 4 4 2" xfId="4345"/>
    <cellStyle name="Обычный 10 4 2 4 4 2 2" xfId="4346"/>
    <cellStyle name="Обычный 10 4 2 4 4 2 2 2" xfId="4347"/>
    <cellStyle name="Обычный 10 4 2 4 4 2 2 3" xfId="4348"/>
    <cellStyle name="Обычный 10 4 2 4 4 2 3" xfId="4349"/>
    <cellStyle name="Обычный 10 4 2 4 4 2 3 2" xfId="4350"/>
    <cellStyle name="Обычный 10 4 2 4 4 2 3 3" xfId="4351"/>
    <cellStyle name="Обычный 10 4 2 4 4 2 4" xfId="4352"/>
    <cellStyle name="Обычный 10 4 2 4 4 2 4 2" xfId="4353"/>
    <cellStyle name="Обычный 10 4 2 4 4 2 5" xfId="4354"/>
    <cellStyle name="Обычный 10 4 2 4 4 2 6" xfId="4355"/>
    <cellStyle name="Обычный 10 4 2 4 4 3" xfId="4356"/>
    <cellStyle name="Обычный 10 4 2 4 4 3 2" xfId="4357"/>
    <cellStyle name="Обычный 10 4 2 4 4 3 3" xfId="4358"/>
    <cellStyle name="Обычный 10 4 2 4 4 4" xfId="4359"/>
    <cellStyle name="Обычный 10 4 2 4 4 4 2" xfId="4360"/>
    <cellStyle name="Обычный 10 4 2 4 4 4 3" xfId="4361"/>
    <cellStyle name="Обычный 10 4 2 4 4 5" xfId="4362"/>
    <cellStyle name="Обычный 10 4 2 4 4 5 2" xfId="4363"/>
    <cellStyle name="Обычный 10 4 2 4 4 6" xfId="4364"/>
    <cellStyle name="Обычный 10 4 2 4 4 7" xfId="4365"/>
    <cellStyle name="Обычный 10 4 2 4 5" xfId="4366"/>
    <cellStyle name="Обычный 10 4 2 4 5 2" xfId="4367"/>
    <cellStyle name="Обычный 10 4 2 4 5 2 2" xfId="4368"/>
    <cellStyle name="Обычный 10 4 2 4 5 2 3" xfId="4369"/>
    <cellStyle name="Обычный 10 4 2 4 5 3" xfId="4370"/>
    <cellStyle name="Обычный 10 4 2 4 5 3 2" xfId="4371"/>
    <cellStyle name="Обычный 10 4 2 4 5 3 3" xfId="4372"/>
    <cellStyle name="Обычный 10 4 2 4 5 4" xfId="4373"/>
    <cellStyle name="Обычный 10 4 2 4 5 4 2" xfId="4374"/>
    <cellStyle name="Обычный 10 4 2 4 5 5" xfId="4375"/>
    <cellStyle name="Обычный 10 4 2 4 5 6" xfId="4376"/>
    <cellStyle name="Обычный 10 4 2 4 6" xfId="4377"/>
    <cellStyle name="Обычный 10 4 2 4 6 2" xfId="4378"/>
    <cellStyle name="Обычный 10 4 2 4 6 3" xfId="4379"/>
    <cellStyle name="Обычный 10 4 2 4 7" xfId="4380"/>
    <cellStyle name="Обычный 10 4 2 4 7 2" xfId="4381"/>
    <cellStyle name="Обычный 10 4 2 4 7 3" xfId="4382"/>
    <cellStyle name="Обычный 10 4 2 4 8" xfId="4383"/>
    <cellStyle name="Обычный 10 4 2 4 8 2" xfId="4384"/>
    <cellStyle name="Обычный 10 4 2 4 9" xfId="4385"/>
    <cellStyle name="Обычный 10 4 2 5" xfId="4386"/>
    <cellStyle name="Обычный 10 4 2 5 2" xfId="4387"/>
    <cellStyle name="Обычный 10 4 2 5 2 2" xfId="4388"/>
    <cellStyle name="Обычный 10 4 2 5 2 2 2" xfId="4389"/>
    <cellStyle name="Обычный 10 4 2 5 2 2 2 2" xfId="4390"/>
    <cellStyle name="Обычный 10 4 2 5 2 2 2 2 2" xfId="4391"/>
    <cellStyle name="Обычный 10 4 2 5 2 2 2 2 3" xfId="4392"/>
    <cellStyle name="Обычный 10 4 2 5 2 2 2 3" xfId="4393"/>
    <cellStyle name="Обычный 10 4 2 5 2 2 2 3 2" xfId="4394"/>
    <cellStyle name="Обычный 10 4 2 5 2 2 2 3 3" xfId="4395"/>
    <cellStyle name="Обычный 10 4 2 5 2 2 2 4" xfId="4396"/>
    <cellStyle name="Обычный 10 4 2 5 2 2 2 4 2" xfId="4397"/>
    <cellStyle name="Обычный 10 4 2 5 2 2 2 5" xfId="4398"/>
    <cellStyle name="Обычный 10 4 2 5 2 2 2 6" xfId="4399"/>
    <cellStyle name="Обычный 10 4 2 5 2 2 3" xfId="4400"/>
    <cellStyle name="Обычный 10 4 2 5 2 2 3 2" xfId="4401"/>
    <cellStyle name="Обычный 10 4 2 5 2 2 3 3" xfId="4402"/>
    <cellStyle name="Обычный 10 4 2 5 2 2 4" xfId="4403"/>
    <cellStyle name="Обычный 10 4 2 5 2 2 4 2" xfId="4404"/>
    <cellStyle name="Обычный 10 4 2 5 2 2 4 3" xfId="4405"/>
    <cellStyle name="Обычный 10 4 2 5 2 2 5" xfId="4406"/>
    <cellStyle name="Обычный 10 4 2 5 2 2 5 2" xfId="4407"/>
    <cellStyle name="Обычный 10 4 2 5 2 2 6" xfId="4408"/>
    <cellStyle name="Обычный 10 4 2 5 2 2 7" xfId="4409"/>
    <cellStyle name="Обычный 10 4 2 5 2 3" xfId="4410"/>
    <cellStyle name="Обычный 10 4 2 5 2 3 2" xfId="4411"/>
    <cellStyle name="Обычный 10 4 2 5 2 3 2 2" xfId="4412"/>
    <cellStyle name="Обычный 10 4 2 5 2 3 2 3" xfId="4413"/>
    <cellStyle name="Обычный 10 4 2 5 2 3 3" xfId="4414"/>
    <cellStyle name="Обычный 10 4 2 5 2 3 3 2" xfId="4415"/>
    <cellStyle name="Обычный 10 4 2 5 2 3 3 3" xfId="4416"/>
    <cellStyle name="Обычный 10 4 2 5 2 3 4" xfId="4417"/>
    <cellStyle name="Обычный 10 4 2 5 2 3 4 2" xfId="4418"/>
    <cellStyle name="Обычный 10 4 2 5 2 3 5" xfId="4419"/>
    <cellStyle name="Обычный 10 4 2 5 2 3 6" xfId="4420"/>
    <cellStyle name="Обычный 10 4 2 5 2 4" xfId="4421"/>
    <cellStyle name="Обычный 10 4 2 5 2 4 2" xfId="4422"/>
    <cellStyle name="Обычный 10 4 2 5 2 4 3" xfId="4423"/>
    <cellStyle name="Обычный 10 4 2 5 2 5" xfId="4424"/>
    <cellStyle name="Обычный 10 4 2 5 2 5 2" xfId="4425"/>
    <cellStyle name="Обычный 10 4 2 5 2 5 3" xfId="4426"/>
    <cellStyle name="Обычный 10 4 2 5 2 6" xfId="4427"/>
    <cellStyle name="Обычный 10 4 2 5 2 6 2" xfId="4428"/>
    <cellStyle name="Обычный 10 4 2 5 2 7" xfId="4429"/>
    <cellStyle name="Обычный 10 4 2 5 2 8" xfId="4430"/>
    <cellStyle name="Обычный 10 4 2 5 3" xfId="4431"/>
    <cellStyle name="Обычный 10 4 2 5 3 2" xfId="4432"/>
    <cellStyle name="Обычный 10 4 2 5 3 2 2" xfId="4433"/>
    <cellStyle name="Обычный 10 4 2 5 3 2 2 2" xfId="4434"/>
    <cellStyle name="Обычный 10 4 2 5 3 2 2 3" xfId="4435"/>
    <cellStyle name="Обычный 10 4 2 5 3 2 3" xfId="4436"/>
    <cellStyle name="Обычный 10 4 2 5 3 2 3 2" xfId="4437"/>
    <cellStyle name="Обычный 10 4 2 5 3 2 3 3" xfId="4438"/>
    <cellStyle name="Обычный 10 4 2 5 3 2 4" xfId="4439"/>
    <cellStyle name="Обычный 10 4 2 5 3 2 4 2" xfId="4440"/>
    <cellStyle name="Обычный 10 4 2 5 3 2 5" xfId="4441"/>
    <cellStyle name="Обычный 10 4 2 5 3 2 6" xfId="4442"/>
    <cellStyle name="Обычный 10 4 2 5 3 3" xfId="4443"/>
    <cellStyle name="Обычный 10 4 2 5 3 3 2" xfId="4444"/>
    <cellStyle name="Обычный 10 4 2 5 3 3 3" xfId="4445"/>
    <cellStyle name="Обычный 10 4 2 5 3 4" xfId="4446"/>
    <cellStyle name="Обычный 10 4 2 5 3 4 2" xfId="4447"/>
    <cellStyle name="Обычный 10 4 2 5 3 4 3" xfId="4448"/>
    <cellStyle name="Обычный 10 4 2 5 3 5" xfId="4449"/>
    <cellStyle name="Обычный 10 4 2 5 3 5 2" xfId="4450"/>
    <cellStyle name="Обычный 10 4 2 5 3 6" xfId="4451"/>
    <cellStyle name="Обычный 10 4 2 5 3 7" xfId="4452"/>
    <cellStyle name="Обычный 10 4 2 5 4" xfId="4453"/>
    <cellStyle name="Обычный 10 4 2 5 4 2" xfId="4454"/>
    <cellStyle name="Обычный 10 4 2 5 4 2 2" xfId="4455"/>
    <cellStyle name="Обычный 10 4 2 5 4 2 3" xfId="4456"/>
    <cellStyle name="Обычный 10 4 2 5 4 3" xfId="4457"/>
    <cellStyle name="Обычный 10 4 2 5 4 3 2" xfId="4458"/>
    <cellStyle name="Обычный 10 4 2 5 4 3 3" xfId="4459"/>
    <cellStyle name="Обычный 10 4 2 5 4 4" xfId="4460"/>
    <cellStyle name="Обычный 10 4 2 5 4 4 2" xfId="4461"/>
    <cellStyle name="Обычный 10 4 2 5 4 5" xfId="4462"/>
    <cellStyle name="Обычный 10 4 2 5 4 6" xfId="4463"/>
    <cellStyle name="Обычный 10 4 2 5 5" xfId="4464"/>
    <cellStyle name="Обычный 10 4 2 5 5 2" xfId="4465"/>
    <cellStyle name="Обычный 10 4 2 5 5 3" xfId="4466"/>
    <cellStyle name="Обычный 10 4 2 5 6" xfId="4467"/>
    <cellStyle name="Обычный 10 4 2 5 6 2" xfId="4468"/>
    <cellStyle name="Обычный 10 4 2 5 6 3" xfId="4469"/>
    <cellStyle name="Обычный 10 4 2 5 7" xfId="4470"/>
    <cellStyle name="Обычный 10 4 2 5 7 2" xfId="4471"/>
    <cellStyle name="Обычный 10 4 2 5 8" xfId="4472"/>
    <cellStyle name="Обычный 10 4 2 5 9" xfId="4473"/>
    <cellStyle name="Обычный 10 4 2 6" xfId="4474"/>
    <cellStyle name="Обычный 10 4 2 6 2" xfId="4475"/>
    <cellStyle name="Обычный 10 4 2 6 2 2" xfId="4476"/>
    <cellStyle name="Обычный 10 4 2 6 2 2 2" xfId="4477"/>
    <cellStyle name="Обычный 10 4 2 6 2 2 2 2" xfId="4478"/>
    <cellStyle name="Обычный 10 4 2 6 2 2 2 3" xfId="4479"/>
    <cellStyle name="Обычный 10 4 2 6 2 2 3" xfId="4480"/>
    <cellStyle name="Обычный 10 4 2 6 2 2 3 2" xfId="4481"/>
    <cellStyle name="Обычный 10 4 2 6 2 2 3 3" xfId="4482"/>
    <cellStyle name="Обычный 10 4 2 6 2 2 4" xfId="4483"/>
    <cellStyle name="Обычный 10 4 2 6 2 2 4 2" xfId="4484"/>
    <cellStyle name="Обычный 10 4 2 6 2 2 5" xfId="4485"/>
    <cellStyle name="Обычный 10 4 2 6 2 2 6" xfId="4486"/>
    <cellStyle name="Обычный 10 4 2 6 2 3" xfId="4487"/>
    <cellStyle name="Обычный 10 4 2 6 2 3 2" xfId="4488"/>
    <cellStyle name="Обычный 10 4 2 6 2 3 3" xfId="4489"/>
    <cellStyle name="Обычный 10 4 2 6 2 4" xfId="4490"/>
    <cellStyle name="Обычный 10 4 2 6 2 4 2" xfId="4491"/>
    <cellStyle name="Обычный 10 4 2 6 2 4 3" xfId="4492"/>
    <cellStyle name="Обычный 10 4 2 6 2 5" xfId="4493"/>
    <cellStyle name="Обычный 10 4 2 6 2 5 2" xfId="4494"/>
    <cellStyle name="Обычный 10 4 2 6 2 6" xfId="4495"/>
    <cellStyle name="Обычный 10 4 2 6 2 7" xfId="4496"/>
    <cellStyle name="Обычный 10 4 2 6 3" xfId="4497"/>
    <cellStyle name="Обычный 10 4 2 6 3 2" xfId="4498"/>
    <cellStyle name="Обычный 10 4 2 6 3 2 2" xfId="4499"/>
    <cellStyle name="Обычный 10 4 2 6 3 2 3" xfId="4500"/>
    <cellStyle name="Обычный 10 4 2 6 3 3" xfId="4501"/>
    <cellStyle name="Обычный 10 4 2 6 3 3 2" xfId="4502"/>
    <cellStyle name="Обычный 10 4 2 6 3 3 3" xfId="4503"/>
    <cellStyle name="Обычный 10 4 2 6 3 4" xfId="4504"/>
    <cellStyle name="Обычный 10 4 2 6 3 4 2" xfId="4505"/>
    <cellStyle name="Обычный 10 4 2 6 3 5" xfId="4506"/>
    <cellStyle name="Обычный 10 4 2 6 3 6" xfId="4507"/>
    <cellStyle name="Обычный 10 4 2 6 4" xfId="4508"/>
    <cellStyle name="Обычный 10 4 2 6 4 2" xfId="4509"/>
    <cellStyle name="Обычный 10 4 2 6 4 3" xfId="4510"/>
    <cellStyle name="Обычный 10 4 2 6 5" xfId="4511"/>
    <cellStyle name="Обычный 10 4 2 6 5 2" xfId="4512"/>
    <cellStyle name="Обычный 10 4 2 6 5 3" xfId="4513"/>
    <cellStyle name="Обычный 10 4 2 6 6" xfId="4514"/>
    <cellStyle name="Обычный 10 4 2 6 6 2" xfId="4515"/>
    <cellStyle name="Обычный 10 4 2 6 7" xfId="4516"/>
    <cellStyle name="Обычный 10 4 2 6 8" xfId="4517"/>
    <cellStyle name="Обычный 10 4 2 7" xfId="4518"/>
    <cellStyle name="Обычный 10 4 2 7 2" xfId="4519"/>
    <cellStyle name="Обычный 10 4 2 7 2 2" xfId="4520"/>
    <cellStyle name="Обычный 10 4 2 7 2 2 2" xfId="4521"/>
    <cellStyle name="Обычный 10 4 2 7 2 2 3" xfId="4522"/>
    <cellStyle name="Обычный 10 4 2 7 2 3" xfId="4523"/>
    <cellStyle name="Обычный 10 4 2 7 2 3 2" xfId="4524"/>
    <cellStyle name="Обычный 10 4 2 7 2 3 3" xfId="4525"/>
    <cellStyle name="Обычный 10 4 2 7 2 4" xfId="4526"/>
    <cellStyle name="Обычный 10 4 2 7 2 4 2" xfId="4527"/>
    <cellStyle name="Обычный 10 4 2 7 2 5" xfId="4528"/>
    <cellStyle name="Обычный 10 4 2 7 2 6" xfId="4529"/>
    <cellStyle name="Обычный 10 4 2 7 3" xfId="4530"/>
    <cellStyle name="Обычный 10 4 2 7 3 2" xfId="4531"/>
    <cellStyle name="Обычный 10 4 2 7 3 3" xfId="4532"/>
    <cellStyle name="Обычный 10 4 2 7 4" xfId="4533"/>
    <cellStyle name="Обычный 10 4 2 7 4 2" xfId="4534"/>
    <cellStyle name="Обычный 10 4 2 7 4 3" xfId="4535"/>
    <cellStyle name="Обычный 10 4 2 7 5" xfId="4536"/>
    <cellStyle name="Обычный 10 4 2 7 5 2" xfId="4537"/>
    <cellStyle name="Обычный 10 4 2 7 6" xfId="4538"/>
    <cellStyle name="Обычный 10 4 2 7 7" xfId="4539"/>
    <cellStyle name="Обычный 10 4 2 8" xfId="4540"/>
    <cellStyle name="Обычный 10 4 2 8 2" xfId="4541"/>
    <cellStyle name="Обычный 10 4 2 8 2 2" xfId="4542"/>
    <cellStyle name="Обычный 10 4 2 8 2 3" xfId="4543"/>
    <cellStyle name="Обычный 10 4 2 8 3" xfId="4544"/>
    <cellStyle name="Обычный 10 4 2 8 3 2" xfId="4545"/>
    <cellStyle name="Обычный 10 4 2 8 3 3" xfId="4546"/>
    <cellStyle name="Обычный 10 4 2 8 4" xfId="4547"/>
    <cellStyle name="Обычный 10 4 2 8 4 2" xfId="4548"/>
    <cellStyle name="Обычный 10 4 2 8 5" xfId="4549"/>
    <cellStyle name="Обычный 10 4 2 8 6" xfId="4550"/>
    <cellStyle name="Обычный 10 4 2 9" xfId="4551"/>
    <cellStyle name="Обычный 10 4 2 9 2" xfId="4552"/>
    <cellStyle name="Обычный 10 4 2 9 3" xfId="4553"/>
    <cellStyle name="Обычный 10 4 3" xfId="4554"/>
    <cellStyle name="Обычный 10 4 3 10" xfId="4555"/>
    <cellStyle name="Обычный 10 4 3 2" xfId="4556"/>
    <cellStyle name="Обычный 10 4 3 2 2" xfId="4557"/>
    <cellStyle name="Обычный 10 4 3 2 2 2" xfId="4558"/>
    <cellStyle name="Обычный 10 4 3 2 2 2 2" xfId="4559"/>
    <cellStyle name="Обычный 10 4 3 2 2 2 2 2" xfId="4560"/>
    <cellStyle name="Обычный 10 4 3 2 2 2 2 2 2" xfId="4561"/>
    <cellStyle name="Обычный 10 4 3 2 2 2 2 2 3" xfId="4562"/>
    <cellStyle name="Обычный 10 4 3 2 2 2 2 3" xfId="4563"/>
    <cellStyle name="Обычный 10 4 3 2 2 2 2 3 2" xfId="4564"/>
    <cellStyle name="Обычный 10 4 3 2 2 2 2 3 3" xfId="4565"/>
    <cellStyle name="Обычный 10 4 3 2 2 2 2 4" xfId="4566"/>
    <cellStyle name="Обычный 10 4 3 2 2 2 2 4 2" xfId="4567"/>
    <cellStyle name="Обычный 10 4 3 2 2 2 2 5" xfId="4568"/>
    <cellStyle name="Обычный 10 4 3 2 2 2 2 6" xfId="4569"/>
    <cellStyle name="Обычный 10 4 3 2 2 2 3" xfId="4570"/>
    <cellStyle name="Обычный 10 4 3 2 2 2 3 2" xfId="4571"/>
    <cellStyle name="Обычный 10 4 3 2 2 2 3 3" xfId="4572"/>
    <cellStyle name="Обычный 10 4 3 2 2 2 4" xfId="4573"/>
    <cellStyle name="Обычный 10 4 3 2 2 2 4 2" xfId="4574"/>
    <cellStyle name="Обычный 10 4 3 2 2 2 4 3" xfId="4575"/>
    <cellStyle name="Обычный 10 4 3 2 2 2 5" xfId="4576"/>
    <cellStyle name="Обычный 10 4 3 2 2 2 5 2" xfId="4577"/>
    <cellStyle name="Обычный 10 4 3 2 2 2 6" xfId="4578"/>
    <cellStyle name="Обычный 10 4 3 2 2 2 7" xfId="4579"/>
    <cellStyle name="Обычный 10 4 3 2 2 3" xfId="4580"/>
    <cellStyle name="Обычный 10 4 3 2 2 3 2" xfId="4581"/>
    <cellStyle name="Обычный 10 4 3 2 2 3 2 2" xfId="4582"/>
    <cellStyle name="Обычный 10 4 3 2 2 3 2 3" xfId="4583"/>
    <cellStyle name="Обычный 10 4 3 2 2 3 3" xfId="4584"/>
    <cellStyle name="Обычный 10 4 3 2 2 3 3 2" xfId="4585"/>
    <cellStyle name="Обычный 10 4 3 2 2 3 3 3" xfId="4586"/>
    <cellStyle name="Обычный 10 4 3 2 2 3 4" xfId="4587"/>
    <cellStyle name="Обычный 10 4 3 2 2 3 4 2" xfId="4588"/>
    <cellStyle name="Обычный 10 4 3 2 2 3 5" xfId="4589"/>
    <cellStyle name="Обычный 10 4 3 2 2 3 6" xfId="4590"/>
    <cellStyle name="Обычный 10 4 3 2 2 4" xfId="4591"/>
    <cellStyle name="Обычный 10 4 3 2 2 4 2" xfId="4592"/>
    <cellStyle name="Обычный 10 4 3 2 2 4 3" xfId="4593"/>
    <cellStyle name="Обычный 10 4 3 2 2 5" xfId="4594"/>
    <cellStyle name="Обычный 10 4 3 2 2 5 2" xfId="4595"/>
    <cellStyle name="Обычный 10 4 3 2 2 5 3" xfId="4596"/>
    <cellStyle name="Обычный 10 4 3 2 2 6" xfId="4597"/>
    <cellStyle name="Обычный 10 4 3 2 2 6 2" xfId="4598"/>
    <cellStyle name="Обычный 10 4 3 2 2 7" xfId="4599"/>
    <cellStyle name="Обычный 10 4 3 2 2 8" xfId="4600"/>
    <cellStyle name="Обычный 10 4 3 2 3" xfId="4601"/>
    <cellStyle name="Обычный 10 4 3 2 3 2" xfId="4602"/>
    <cellStyle name="Обычный 10 4 3 2 3 2 2" xfId="4603"/>
    <cellStyle name="Обычный 10 4 3 2 3 2 2 2" xfId="4604"/>
    <cellStyle name="Обычный 10 4 3 2 3 2 2 3" xfId="4605"/>
    <cellStyle name="Обычный 10 4 3 2 3 2 3" xfId="4606"/>
    <cellStyle name="Обычный 10 4 3 2 3 2 3 2" xfId="4607"/>
    <cellStyle name="Обычный 10 4 3 2 3 2 3 3" xfId="4608"/>
    <cellStyle name="Обычный 10 4 3 2 3 2 4" xfId="4609"/>
    <cellStyle name="Обычный 10 4 3 2 3 2 4 2" xfId="4610"/>
    <cellStyle name="Обычный 10 4 3 2 3 2 5" xfId="4611"/>
    <cellStyle name="Обычный 10 4 3 2 3 2 6" xfId="4612"/>
    <cellStyle name="Обычный 10 4 3 2 3 3" xfId="4613"/>
    <cellStyle name="Обычный 10 4 3 2 3 3 2" xfId="4614"/>
    <cellStyle name="Обычный 10 4 3 2 3 3 3" xfId="4615"/>
    <cellStyle name="Обычный 10 4 3 2 3 4" xfId="4616"/>
    <cellStyle name="Обычный 10 4 3 2 3 4 2" xfId="4617"/>
    <cellStyle name="Обычный 10 4 3 2 3 4 3" xfId="4618"/>
    <cellStyle name="Обычный 10 4 3 2 3 5" xfId="4619"/>
    <cellStyle name="Обычный 10 4 3 2 3 5 2" xfId="4620"/>
    <cellStyle name="Обычный 10 4 3 2 3 6" xfId="4621"/>
    <cellStyle name="Обычный 10 4 3 2 3 7" xfId="4622"/>
    <cellStyle name="Обычный 10 4 3 2 4" xfId="4623"/>
    <cellStyle name="Обычный 10 4 3 2 4 2" xfId="4624"/>
    <cellStyle name="Обычный 10 4 3 2 4 2 2" xfId="4625"/>
    <cellStyle name="Обычный 10 4 3 2 4 2 3" xfId="4626"/>
    <cellStyle name="Обычный 10 4 3 2 4 3" xfId="4627"/>
    <cellStyle name="Обычный 10 4 3 2 4 3 2" xfId="4628"/>
    <cellStyle name="Обычный 10 4 3 2 4 3 3" xfId="4629"/>
    <cellStyle name="Обычный 10 4 3 2 4 4" xfId="4630"/>
    <cellStyle name="Обычный 10 4 3 2 4 4 2" xfId="4631"/>
    <cellStyle name="Обычный 10 4 3 2 4 5" xfId="4632"/>
    <cellStyle name="Обычный 10 4 3 2 4 6" xfId="4633"/>
    <cellStyle name="Обычный 10 4 3 2 5" xfId="4634"/>
    <cellStyle name="Обычный 10 4 3 2 5 2" xfId="4635"/>
    <cellStyle name="Обычный 10 4 3 2 5 3" xfId="4636"/>
    <cellStyle name="Обычный 10 4 3 2 6" xfId="4637"/>
    <cellStyle name="Обычный 10 4 3 2 6 2" xfId="4638"/>
    <cellStyle name="Обычный 10 4 3 2 6 3" xfId="4639"/>
    <cellStyle name="Обычный 10 4 3 2 7" xfId="4640"/>
    <cellStyle name="Обычный 10 4 3 2 7 2" xfId="4641"/>
    <cellStyle name="Обычный 10 4 3 2 8" xfId="4642"/>
    <cellStyle name="Обычный 10 4 3 2 9" xfId="4643"/>
    <cellStyle name="Обычный 10 4 3 3" xfId="4644"/>
    <cellStyle name="Обычный 10 4 3 3 2" xfId="4645"/>
    <cellStyle name="Обычный 10 4 3 3 2 2" xfId="4646"/>
    <cellStyle name="Обычный 10 4 3 3 2 2 2" xfId="4647"/>
    <cellStyle name="Обычный 10 4 3 3 2 2 2 2" xfId="4648"/>
    <cellStyle name="Обычный 10 4 3 3 2 2 2 3" xfId="4649"/>
    <cellStyle name="Обычный 10 4 3 3 2 2 3" xfId="4650"/>
    <cellStyle name="Обычный 10 4 3 3 2 2 3 2" xfId="4651"/>
    <cellStyle name="Обычный 10 4 3 3 2 2 3 3" xfId="4652"/>
    <cellStyle name="Обычный 10 4 3 3 2 2 4" xfId="4653"/>
    <cellStyle name="Обычный 10 4 3 3 2 2 4 2" xfId="4654"/>
    <cellStyle name="Обычный 10 4 3 3 2 2 5" xfId="4655"/>
    <cellStyle name="Обычный 10 4 3 3 2 2 6" xfId="4656"/>
    <cellStyle name="Обычный 10 4 3 3 2 3" xfId="4657"/>
    <cellStyle name="Обычный 10 4 3 3 2 3 2" xfId="4658"/>
    <cellStyle name="Обычный 10 4 3 3 2 3 3" xfId="4659"/>
    <cellStyle name="Обычный 10 4 3 3 2 4" xfId="4660"/>
    <cellStyle name="Обычный 10 4 3 3 2 4 2" xfId="4661"/>
    <cellStyle name="Обычный 10 4 3 3 2 4 3" xfId="4662"/>
    <cellStyle name="Обычный 10 4 3 3 2 5" xfId="4663"/>
    <cellStyle name="Обычный 10 4 3 3 2 5 2" xfId="4664"/>
    <cellStyle name="Обычный 10 4 3 3 2 6" xfId="4665"/>
    <cellStyle name="Обычный 10 4 3 3 2 7" xfId="4666"/>
    <cellStyle name="Обычный 10 4 3 3 3" xfId="4667"/>
    <cellStyle name="Обычный 10 4 3 3 3 2" xfId="4668"/>
    <cellStyle name="Обычный 10 4 3 3 3 2 2" xfId="4669"/>
    <cellStyle name="Обычный 10 4 3 3 3 2 3" xfId="4670"/>
    <cellStyle name="Обычный 10 4 3 3 3 3" xfId="4671"/>
    <cellStyle name="Обычный 10 4 3 3 3 3 2" xfId="4672"/>
    <cellStyle name="Обычный 10 4 3 3 3 3 3" xfId="4673"/>
    <cellStyle name="Обычный 10 4 3 3 3 4" xfId="4674"/>
    <cellStyle name="Обычный 10 4 3 3 3 4 2" xfId="4675"/>
    <cellStyle name="Обычный 10 4 3 3 3 5" xfId="4676"/>
    <cellStyle name="Обычный 10 4 3 3 3 6" xfId="4677"/>
    <cellStyle name="Обычный 10 4 3 3 4" xfId="4678"/>
    <cellStyle name="Обычный 10 4 3 3 4 2" xfId="4679"/>
    <cellStyle name="Обычный 10 4 3 3 4 3" xfId="4680"/>
    <cellStyle name="Обычный 10 4 3 3 5" xfId="4681"/>
    <cellStyle name="Обычный 10 4 3 3 5 2" xfId="4682"/>
    <cellStyle name="Обычный 10 4 3 3 5 3" xfId="4683"/>
    <cellStyle name="Обычный 10 4 3 3 6" xfId="4684"/>
    <cellStyle name="Обычный 10 4 3 3 6 2" xfId="4685"/>
    <cellStyle name="Обычный 10 4 3 3 7" xfId="4686"/>
    <cellStyle name="Обычный 10 4 3 3 8" xfId="4687"/>
    <cellStyle name="Обычный 10 4 3 4" xfId="4688"/>
    <cellStyle name="Обычный 10 4 3 4 2" xfId="4689"/>
    <cellStyle name="Обычный 10 4 3 4 2 2" xfId="4690"/>
    <cellStyle name="Обычный 10 4 3 4 2 2 2" xfId="4691"/>
    <cellStyle name="Обычный 10 4 3 4 2 2 3" xfId="4692"/>
    <cellStyle name="Обычный 10 4 3 4 2 3" xfId="4693"/>
    <cellStyle name="Обычный 10 4 3 4 2 3 2" xfId="4694"/>
    <cellStyle name="Обычный 10 4 3 4 2 3 3" xfId="4695"/>
    <cellStyle name="Обычный 10 4 3 4 2 4" xfId="4696"/>
    <cellStyle name="Обычный 10 4 3 4 2 4 2" xfId="4697"/>
    <cellStyle name="Обычный 10 4 3 4 2 5" xfId="4698"/>
    <cellStyle name="Обычный 10 4 3 4 2 6" xfId="4699"/>
    <cellStyle name="Обычный 10 4 3 4 3" xfId="4700"/>
    <cellStyle name="Обычный 10 4 3 4 3 2" xfId="4701"/>
    <cellStyle name="Обычный 10 4 3 4 3 3" xfId="4702"/>
    <cellStyle name="Обычный 10 4 3 4 4" xfId="4703"/>
    <cellStyle name="Обычный 10 4 3 4 4 2" xfId="4704"/>
    <cellStyle name="Обычный 10 4 3 4 4 3" xfId="4705"/>
    <cellStyle name="Обычный 10 4 3 4 5" xfId="4706"/>
    <cellStyle name="Обычный 10 4 3 4 5 2" xfId="4707"/>
    <cellStyle name="Обычный 10 4 3 4 6" xfId="4708"/>
    <cellStyle name="Обычный 10 4 3 4 7" xfId="4709"/>
    <cellStyle name="Обычный 10 4 3 5" xfId="4710"/>
    <cellStyle name="Обычный 10 4 3 5 2" xfId="4711"/>
    <cellStyle name="Обычный 10 4 3 5 2 2" xfId="4712"/>
    <cellStyle name="Обычный 10 4 3 5 2 3" xfId="4713"/>
    <cellStyle name="Обычный 10 4 3 5 3" xfId="4714"/>
    <cellStyle name="Обычный 10 4 3 5 3 2" xfId="4715"/>
    <cellStyle name="Обычный 10 4 3 5 3 3" xfId="4716"/>
    <cellStyle name="Обычный 10 4 3 5 4" xfId="4717"/>
    <cellStyle name="Обычный 10 4 3 5 4 2" xfId="4718"/>
    <cellStyle name="Обычный 10 4 3 5 5" xfId="4719"/>
    <cellStyle name="Обычный 10 4 3 5 6" xfId="4720"/>
    <cellStyle name="Обычный 10 4 3 6" xfId="4721"/>
    <cellStyle name="Обычный 10 4 3 6 2" xfId="4722"/>
    <cellStyle name="Обычный 10 4 3 6 3" xfId="4723"/>
    <cellStyle name="Обычный 10 4 3 7" xfId="4724"/>
    <cellStyle name="Обычный 10 4 3 7 2" xfId="4725"/>
    <cellStyle name="Обычный 10 4 3 7 3" xfId="4726"/>
    <cellStyle name="Обычный 10 4 3 8" xfId="4727"/>
    <cellStyle name="Обычный 10 4 3 8 2" xfId="4728"/>
    <cellStyle name="Обычный 10 4 3 9" xfId="4729"/>
    <cellStyle name="Обычный 10 4 4" xfId="4730"/>
    <cellStyle name="Обычный 10 4 4 10" xfId="4731"/>
    <cellStyle name="Обычный 10 4 4 2" xfId="4732"/>
    <cellStyle name="Обычный 10 4 4 2 2" xfId="4733"/>
    <cellStyle name="Обычный 10 4 4 2 2 2" xfId="4734"/>
    <cellStyle name="Обычный 10 4 4 2 2 2 2" xfId="4735"/>
    <cellStyle name="Обычный 10 4 4 2 2 2 2 2" xfId="4736"/>
    <cellStyle name="Обычный 10 4 4 2 2 2 2 2 2" xfId="4737"/>
    <cellStyle name="Обычный 10 4 4 2 2 2 2 2 3" xfId="4738"/>
    <cellStyle name="Обычный 10 4 4 2 2 2 2 3" xfId="4739"/>
    <cellStyle name="Обычный 10 4 4 2 2 2 2 3 2" xfId="4740"/>
    <cellStyle name="Обычный 10 4 4 2 2 2 2 3 3" xfId="4741"/>
    <cellStyle name="Обычный 10 4 4 2 2 2 2 4" xfId="4742"/>
    <cellStyle name="Обычный 10 4 4 2 2 2 2 4 2" xfId="4743"/>
    <cellStyle name="Обычный 10 4 4 2 2 2 2 5" xfId="4744"/>
    <cellStyle name="Обычный 10 4 4 2 2 2 2 6" xfId="4745"/>
    <cellStyle name="Обычный 10 4 4 2 2 2 3" xfId="4746"/>
    <cellStyle name="Обычный 10 4 4 2 2 2 3 2" xfId="4747"/>
    <cellStyle name="Обычный 10 4 4 2 2 2 3 3" xfId="4748"/>
    <cellStyle name="Обычный 10 4 4 2 2 2 4" xfId="4749"/>
    <cellStyle name="Обычный 10 4 4 2 2 2 4 2" xfId="4750"/>
    <cellStyle name="Обычный 10 4 4 2 2 2 4 3" xfId="4751"/>
    <cellStyle name="Обычный 10 4 4 2 2 2 5" xfId="4752"/>
    <cellStyle name="Обычный 10 4 4 2 2 2 5 2" xfId="4753"/>
    <cellStyle name="Обычный 10 4 4 2 2 2 6" xfId="4754"/>
    <cellStyle name="Обычный 10 4 4 2 2 2 7" xfId="4755"/>
    <cellStyle name="Обычный 10 4 4 2 2 3" xfId="4756"/>
    <cellStyle name="Обычный 10 4 4 2 2 3 2" xfId="4757"/>
    <cellStyle name="Обычный 10 4 4 2 2 3 2 2" xfId="4758"/>
    <cellStyle name="Обычный 10 4 4 2 2 3 2 3" xfId="4759"/>
    <cellStyle name="Обычный 10 4 4 2 2 3 3" xfId="4760"/>
    <cellStyle name="Обычный 10 4 4 2 2 3 3 2" xfId="4761"/>
    <cellStyle name="Обычный 10 4 4 2 2 3 3 3" xfId="4762"/>
    <cellStyle name="Обычный 10 4 4 2 2 3 4" xfId="4763"/>
    <cellStyle name="Обычный 10 4 4 2 2 3 4 2" xfId="4764"/>
    <cellStyle name="Обычный 10 4 4 2 2 3 5" xfId="4765"/>
    <cellStyle name="Обычный 10 4 4 2 2 3 6" xfId="4766"/>
    <cellStyle name="Обычный 10 4 4 2 2 4" xfId="4767"/>
    <cellStyle name="Обычный 10 4 4 2 2 4 2" xfId="4768"/>
    <cellStyle name="Обычный 10 4 4 2 2 4 3" xfId="4769"/>
    <cellStyle name="Обычный 10 4 4 2 2 5" xfId="4770"/>
    <cellStyle name="Обычный 10 4 4 2 2 5 2" xfId="4771"/>
    <cellStyle name="Обычный 10 4 4 2 2 5 3" xfId="4772"/>
    <cellStyle name="Обычный 10 4 4 2 2 6" xfId="4773"/>
    <cellStyle name="Обычный 10 4 4 2 2 6 2" xfId="4774"/>
    <cellStyle name="Обычный 10 4 4 2 2 7" xfId="4775"/>
    <cellStyle name="Обычный 10 4 4 2 2 8" xfId="4776"/>
    <cellStyle name="Обычный 10 4 4 2 3" xfId="4777"/>
    <cellStyle name="Обычный 10 4 4 2 3 2" xfId="4778"/>
    <cellStyle name="Обычный 10 4 4 2 3 2 2" xfId="4779"/>
    <cellStyle name="Обычный 10 4 4 2 3 2 2 2" xfId="4780"/>
    <cellStyle name="Обычный 10 4 4 2 3 2 2 3" xfId="4781"/>
    <cellStyle name="Обычный 10 4 4 2 3 2 3" xfId="4782"/>
    <cellStyle name="Обычный 10 4 4 2 3 2 3 2" xfId="4783"/>
    <cellStyle name="Обычный 10 4 4 2 3 2 3 3" xfId="4784"/>
    <cellStyle name="Обычный 10 4 4 2 3 2 4" xfId="4785"/>
    <cellStyle name="Обычный 10 4 4 2 3 2 4 2" xfId="4786"/>
    <cellStyle name="Обычный 10 4 4 2 3 2 5" xfId="4787"/>
    <cellStyle name="Обычный 10 4 4 2 3 2 6" xfId="4788"/>
    <cellStyle name="Обычный 10 4 4 2 3 3" xfId="4789"/>
    <cellStyle name="Обычный 10 4 4 2 3 3 2" xfId="4790"/>
    <cellStyle name="Обычный 10 4 4 2 3 3 3" xfId="4791"/>
    <cellStyle name="Обычный 10 4 4 2 3 4" xfId="4792"/>
    <cellStyle name="Обычный 10 4 4 2 3 4 2" xfId="4793"/>
    <cellStyle name="Обычный 10 4 4 2 3 4 3" xfId="4794"/>
    <cellStyle name="Обычный 10 4 4 2 3 5" xfId="4795"/>
    <cellStyle name="Обычный 10 4 4 2 3 5 2" xfId="4796"/>
    <cellStyle name="Обычный 10 4 4 2 3 6" xfId="4797"/>
    <cellStyle name="Обычный 10 4 4 2 3 7" xfId="4798"/>
    <cellStyle name="Обычный 10 4 4 2 4" xfId="4799"/>
    <cellStyle name="Обычный 10 4 4 2 4 2" xfId="4800"/>
    <cellStyle name="Обычный 10 4 4 2 4 2 2" xfId="4801"/>
    <cellStyle name="Обычный 10 4 4 2 4 2 3" xfId="4802"/>
    <cellStyle name="Обычный 10 4 4 2 4 3" xfId="4803"/>
    <cellStyle name="Обычный 10 4 4 2 4 3 2" xfId="4804"/>
    <cellStyle name="Обычный 10 4 4 2 4 3 3" xfId="4805"/>
    <cellStyle name="Обычный 10 4 4 2 4 4" xfId="4806"/>
    <cellStyle name="Обычный 10 4 4 2 4 4 2" xfId="4807"/>
    <cellStyle name="Обычный 10 4 4 2 4 5" xfId="4808"/>
    <cellStyle name="Обычный 10 4 4 2 4 6" xfId="4809"/>
    <cellStyle name="Обычный 10 4 4 2 5" xfId="4810"/>
    <cellStyle name="Обычный 10 4 4 2 5 2" xfId="4811"/>
    <cellStyle name="Обычный 10 4 4 2 5 3" xfId="4812"/>
    <cellStyle name="Обычный 10 4 4 2 6" xfId="4813"/>
    <cellStyle name="Обычный 10 4 4 2 6 2" xfId="4814"/>
    <cellStyle name="Обычный 10 4 4 2 6 3" xfId="4815"/>
    <cellStyle name="Обычный 10 4 4 2 7" xfId="4816"/>
    <cellStyle name="Обычный 10 4 4 2 7 2" xfId="4817"/>
    <cellStyle name="Обычный 10 4 4 2 8" xfId="4818"/>
    <cellStyle name="Обычный 10 4 4 2 9" xfId="4819"/>
    <cellStyle name="Обычный 10 4 4 3" xfId="4820"/>
    <cellStyle name="Обычный 10 4 4 3 2" xfId="4821"/>
    <cellStyle name="Обычный 10 4 4 3 2 2" xfId="4822"/>
    <cellStyle name="Обычный 10 4 4 3 2 2 2" xfId="4823"/>
    <cellStyle name="Обычный 10 4 4 3 2 2 2 2" xfId="4824"/>
    <cellStyle name="Обычный 10 4 4 3 2 2 2 3" xfId="4825"/>
    <cellStyle name="Обычный 10 4 4 3 2 2 3" xfId="4826"/>
    <cellStyle name="Обычный 10 4 4 3 2 2 3 2" xfId="4827"/>
    <cellStyle name="Обычный 10 4 4 3 2 2 3 3" xfId="4828"/>
    <cellStyle name="Обычный 10 4 4 3 2 2 4" xfId="4829"/>
    <cellStyle name="Обычный 10 4 4 3 2 2 4 2" xfId="4830"/>
    <cellStyle name="Обычный 10 4 4 3 2 2 5" xfId="4831"/>
    <cellStyle name="Обычный 10 4 4 3 2 2 6" xfId="4832"/>
    <cellStyle name="Обычный 10 4 4 3 2 3" xfId="4833"/>
    <cellStyle name="Обычный 10 4 4 3 2 3 2" xfId="4834"/>
    <cellStyle name="Обычный 10 4 4 3 2 3 3" xfId="4835"/>
    <cellStyle name="Обычный 10 4 4 3 2 4" xfId="4836"/>
    <cellStyle name="Обычный 10 4 4 3 2 4 2" xfId="4837"/>
    <cellStyle name="Обычный 10 4 4 3 2 4 3" xfId="4838"/>
    <cellStyle name="Обычный 10 4 4 3 2 5" xfId="4839"/>
    <cellStyle name="Обычный 10 4 4 3 2 5 2" xfId="4840"/>
    <cellStyle name="Обычный 10 4 4 3 2 6" xfId="4841"/>
    <cellStyle name="Обычный 10 4 4 3 2 7" xfId="4842"/>
    <cellStyle name="Обычный 10 4 4 3 3" xfId="4843"/>
    <cellStyle name="Обычный 10 4 4 3 3 2" xfId="4844"/>
    <cellStyle name="Обычный 10 4 4 3 3 2 2" xfId="4845"/>
    <cellStyle name="Обычный 10 4 4 3 3 2 3" xfId="4846"/>
    <cellStyle name="Обычный 10 4 4 3 3 3" xfId="4847"/>
    <cellStyle name="Обычный 10 4 4 3 3 3 2" xfId="4848"/>
    <cellStyle name="Обычный 10 4 4 3 3 3 3" xfId="4849"/>
    <cellStyle name="Обычный 10 4 4 3 3 4" xfId="4850"/>
    <cellStyle name="Обычный 10 4 4 3 3 4 2" xfId="4851"/>
    <cellStyle name="Обычный 10 4 4 3 3 5" xfId="4852"/>
    <cellStyle name="Обычный 10 4 4 3 3 6" xfId="4853"/>
    <cellStyle name="Обычный 10 4 4 3 4" xfId="4854"/>
    <cellStyle name="Обычный 10 4 4 3 4 2" xfId="4855"/>
    <cellStyle name="Обычный 10 4 4 3 4 3" xfId="4856"/>
    <cellStyle name="Обычный 10 4 4 3 5" xfId="4857"/>
    <cellStyle name="Обычный 10 4 4 3 5 2" xfId="4858"/>
    <cellStyle name="Обычный 10 4 4 3 5 3" xfId="4859"/>
    <cellStyle name="Обычный 10 4 4 3 6" xfId="4860"/>
    <cellStyle name="Обычный 10 4 4 3 6 2" xfId="4861"/>
    <cellStyle name="Обычный 10 4 4 3 7" xfId="4862"/>
    <cellStyle name="Обычный 10 4 4 3 8" xfId="4863"/>
    <cellStyle name="Обычный 10 4 4 4" xfId="4864"/>
    <cellStyle name="Обычный 10 4 4 4 2" xfId="4865"/>
    <cellStyle name="Обычный 10 4 4 4 2 2" xfId="4866"/>
    <cellStyle name="Обычный 10 4 4 4 2 2 2" xfId="4867"/>
    <cellStyle name="Обычный 10 4 4 4 2 2 3" xfId="4868"/>
    <cellStyle name="Обычный 10 4 4 4 2 3" xfId="4869"/>
    <cellStyle name="Обычный 10 4 4 4 2 3 2" xfId="4870"/>
    <cellStyle name="Обычный 10 4 4 4 2 3 3" xfId="4871"/>
    <cellStyle name="Обычный 10 4 4 4 2 4" xfId="4872"/>
    <cellStyle name="Обычный 10 4 4 4 2 4 2" xfId="4873"/>
    <cellStyle name="Обычный 10 4 4 4 2 5" xfId="4874"/>
    <cellStyle name="Обычный 10 4 4 4 2 6" xfId="4875"/>
    <cellStyle name="Обычный 10 4 4 4 3" xfId="4876"/>
    <cellStyle name="Обычный 10 4 4 4 3 2" xfId="4877"/>
    <cellStyle name="Обычный 10 4 4 4 3 3" xfId="4878"/>
    <cellStyle name="Обычный 10 4 4 4 4" xfId="4879"/>
    <cellStyle name="Обычный 10 4 4 4 4 2" xfId="4880"/>
    <cellStyle name="Обычный 10 4 4 4 4 3" xfId="4881"/>
    <cellStyle name="Обычный 10 4 4 4 5" xfId="4882"/>
    <cellStyle name="Обычный 10 4 4 4 5 2" xfId="4883"/>
    <cellStyle name="Обычный 10 4 4 4 6" xfId="4884"/>
    <cellStyle name="Обычный 10 4 4 4 7" xfId="4885"/>
    <cellStyle name="Обычный 10 4 4 5" xfId="4886"/>
    <cellStyle name="Обычный 10 4 4 5 2" xfId="4887"/>
    <cellStyle name="Обычный 10 4 4 5 2 2" xfId="4888"/>
    <cellStyle name="Обычный 10 4 4 5 2 3" xfId="4889"/>
    <cellStyle name="Обычный 10 4 4 5 3" xfId="4890"/>
    <cellStyle name="Обычный 10 4 4 5 3 2" xfId="4891"/>
    <cellStyle name="Обычный 10 4 4 5 3 3" xfId="4892"/>
    <cellStyle name="Обычный 10 4 4 5 4" xfId="4893"/>
    <cellStyle name="Обычный 10 4 4 5 4 2" xfId="4894"/>
    <cellStyle name="Обычный 10 4 4 5 5" xfId="4895"/>
    <cellStyle name="Обычный 10 4 4 5 6" xfId="4896"/>
    <cellStyle name="Обычный 10 4 4 6" xfId="4897"/>
    <cellStyle name="Обычный 10 4 4 6 2" xfId="4898"/>
    <cellStyle name="Обычный 10 4 4 6 3" xfId="4899"/>
    <cellStyle name="Обычный 10 4 4 7" xfId="4900"/>
    <cellStyle name="Обычный 10 4 4 7 2" xfId="4901"/>
    <cellStyle name="Обычный 10 4 4 7 3" xfId="4902"/>
    <cellStyle name="Обычный 10 4 4 8" xfId="4903"/>
    <cellStyle name="Обычный 10 4 4 8 2" xfId="4904"/>
    <cellStyle name="Обычный 10 4 4 9" xfId="4905"/>
    <cellStyle name="Обычный 10 4 5" xfId="4906"/>
    <cellStyle name="Обычный 10 4 5 10" xfId="4907"/>
    <cellStyle name="Обычный 10 4 5 2" xfId="4908"/>
    <cellStyle name="Обычный 10 4 5 2 2" xfId="4909"/>
    <cellStyle name="Обычный 10 4 5 2 2 2" xfId="4910"/>
    <cellStyle name="Обычный 10 4 5 2 2 2 2" xfId="4911"/>
    <cellStyle name="Обычный 10 4 5 2 2 2 2 2" xfId="4912"/>
    <cellStyle name="Обычный 10 4 5 2 2 2 2 2 2" xfId="4913"/>
    <cellStyle name="Обычный 10 4 5 2 2 2 2 2 3" xfId="4914"/>
    <cellStyle name="Обычный 10 4 5 2 2 2 2 3" xfId="4915"/>
    <cellStyle name="Обычный 10 4 5 2 2 2 2 3 2" xfId="4916"/>
    <cellStyle name="Обычный 10 4 5 2 2 2 2 3 3" xfId="4917"/>
    <cellStyle name="Обычный 10 4 5 2 2 2 2 4" xfId="4918"/>
    <cellStyle name="Обычный 10 4 5 2 2 2 2 4 2" xfId="4919"/>
    <cellStyle name="Обычный 10 4 5 2 2 2 2 5" xfId="4920"/>
    <cellStyle name="Обычный 10 4 5 2 2 2 2 6" xfId="4921"/>
    <cellStyle name="Обычный 10 4 5 2 2 2 3" xfId="4922"/>
    <cellStyle name="Обычный 10 4 5 2 2 2 3 2" xfId="4923"/>
    <cellStyle name="Обычный 10 4 5 2 2 2 3 3" xfId="4924"/>
    <cellStyle name="Обычный 10 4 5 2 2 2 4" xfId="4925"/>
    <cellStyle name="Обычный 10 4 5 2 2 2 4 2" xfId="4926"/>
    <cellStyle name="Обычный 10 4 5 2 2 2 4 3" xfId="4927"/>
    <cellStyle name="Обычный 10 4 5 2 2 2 5" xfId="4928"/>
    <cellStyle name="Обычный 10 4 5 2 2 2 5 2" xfId="4929"/>
    <cellStyle name="Обычный 10 4 5 2 2 2 6" xfId="4930"/>
    <cellStyle name="Обычный 10 4 5 2 2 2 7" xfId="4931"/>
    <cellStyle name="Обычный 10 4 5 2 2 3" xfId="4932"/>
    <cellStyle name="Обычный 10 4 5 2 2 3 2" xfId="4933"/>
    <cellStyle name="Обычный 10 4 5 2 2 3 2 2" xfId="4934"/>
    <cellStyle name="Обычный 10 4 5 2 2 3 2 3" xfId="4935"/>
    <cellStyle name="Обычный 10 4 5 2 2 3 3" xfId="4936"/>
    <cellStyle name="Обычный 10 4 5 2 2 3 3 2" xfId="4937"/>
    <cellStyle name="Обычный 10 4 5 2 2 3 3 3" xfId="4938"/>
    <cellStyle name="Обычный 10 4 5 2 2 3 4" xfId="4939"/>
    <cellStyle name="Обычный 10 4 5 2 2 3 4 2" xfId="4940"/>
    <cellStyle name="Обычный 10 4 5 2 2 3 5" xfId="4941"/>
    <cellStyle name="Обычный 10 4 5 2 2 3 6" xfId="4942"/>
    <cellStyle name="Обычный 10 4 5 2 2 4" xfId="4943"/>
    <cellStyle name="Обычный 10 4 5 2 2 4 2" xfId="4944"/>
    <cellStyle name="Обычный 10 4 5 2 2 4 3" xfId="4945"/>
    <cellStyle name="Обычный 10 4 5 2 2 5" xfId="4946"/>
    <cellStyle name="Обычный 10 4 5 2 2 5 2" xfId="4947"/>
    <cellStyle name="Обычный 10 4 5 2 2 5 3" xfId="4948"/>
    <cellStyle name="Обычный 10 4 5 2 2 6" xfId="4949"/>
    <cellStyle name="Обычный 10 4 5 2 2 6 2" xfId="4950"/>
    <cellStyle name="Обычный 10 4 5 2 2 7" xfId="4951"/>
    <cellStyle name="Обычный 10 4 5 2 2 8" xfId="4952"/>
    <cellStyle name="Обычный 10 4 5 2 3" xfId="4953"/>
    <cellStyle name="Обычный 10 4 5 2 3 2" xfId="4954"/>
    <cellStyle name="Обычный 10 4 5 2 3 2 2" xfId="4955"/>
    <cellStyle name="Обычный 10 4 5 2 3 2 2 2" xfId="4956"/>
    <cellStyle name="Обычный 10 4 5 2 3 2 2 3" xfId="4957"/>
    <cellStyle name="Обычный 10 4 5 2 3 2 3" xfId="4958"/>
    <cellStyle name="Обычный 10 4 5 2 3 2 3 2" xfId="4959"/>
    <cellStyle name="Обычный 10 4 5 2 3 2 3 3" xfId="4960"/>
    <cellStyle name="Обычный 10 4 5 2 3 2 4" xfId="4961"/>
    <cellStyle name="Обычный 10 4 5 2 3 2 4 2" xfId="4962"/>
    <cellStyle name="Обычный 10 4 5 2 3 2 5" xfId="4963"/>
    <cellStyle name="Обычный 10 4 5 2 3 2 6" xfId="4964"/>
    <cellStyle name="Обычный 10 4 5 2 3 3" xfId="4965"/>
    <cellStyle name="Обычный 10 4 5 2 3 3 2" xfId="4966"/>
    <cellStyle name="Обычный 10 4 5 2 3 3 3" xfId="4967"/>
    <cellStyle name="Обычный 10 4 5 2 3 4" xfId="4968"/>
    <cellStyle name="Обычный 10 4 5 2 3 4 2" xfId="4969"/>
    <cellStyle name="Обычный 10 4 5 2 3 4 3" xfId="4970"/>
    <cellStyle name="Обычный 10 4 5 2 3 5" xfId="4971"/>
    <cellStyle name="Обычный 10 4 5 2 3 5 2" xfId="4972"/>
    <cellStyle name="Обычный 10 4 5 2 3 6" xfId="4973"/>
    <cellStyle name="Обычный 10 4 5 2 3 7" xfId="4974"/>
    <cellStyle name="Обычный 10 4 5 2 4" xfId="4975"/>
    <cellStyle name="Обычный 10 4 5 2 4 2" xfId="4976"/>
    <cellStyle name="Обычный 10 4 5 2 4 2 2" xfId="4977"/>
    <cellStyle name="Обычный 10 4 5 2 4 2 3" xfId="4978"/>
    <cellStyle name="Обычный 10 4 5 2 4 3" xfId="4979"/>
    <cellStyle name="Обычный 10 4 5 2 4 3 2" xfId="4980"/>
    <cellStyle name="Обычный 10 4 5 2 4 3 3" xfId="4981"/>
    <cellStyle name="Обычный 10 4 5 2 4 4" xfId="4982"/>
    <cellStyle name="Обычный 10 4 5 2 4 4 2" xfId="4983"/>
    <cellStyle name="Обычный 10 4 5 2 4 5" xfId="4984"/>
    <cellStyle name="Обычный 10 4 5 2 4 6" xfId="4985"/>
    <cellStyle name="Обычный 10 4 5 2 5" xfId="4986"/>
    <cellStyle name="Обычный 10 4 5 2 5 2" xfId="4987"/>
    <cellStyle name="Обычный 10 4 5 2 5 3" xfId="4988"/>
    <cellStyle name="Обычный 10 4 5 2 6" xfId="4989"/>
    <cellStyle name="Обычный 10 4 5 2 6 2" xfId="4990"/>
    <cellStyle name="Обычный 10 4 5 2 6 3" xfId="4991"/>
    <cellStyle name="Обычный 10 4 5 2 7" xfId="4992"/>
    <cellStyle name="Обычный 10 4 5 2 7 2" xfId="4993"/>
    <cellStyle name="Обычный 10 4 5 2 8" xfId="4994"/>
    <cellStyle name="Обычный 10 4 5 2 9" xfId="4995"/>
    <cellStyle name="Обычный 10 4 5 3" xfId="4996"/>
    <cellStyle name="Обычный 10 4 5 3 2" xfId="4997"/>
    <cellStyle name="Обычный 10 4 5 3 2 2" xfId="4998"/>
    <cellStyle name="Обычный 10 4 5 3 2 2 2" xfId="4999"/>
    <cellStyle name="Обычный 10 4 5 3 2 2 2 2" xfId="5000"/>
    <cellStyle name="Обычный 10 4 5 3 2 2 2 3" xfId="5001"/>
    <cellStyle name="Обычный 10 4 5 3 2 2 3" xfId="5002"/>
    <cellStyle name="Обычный 10 4 5 3 2 2 3 2" xfId="5003"/>
    <cellStyle name="Обычный 10 4 5 3 2 2 3 3" xfId="5004"/>
    <cellStyle name="Обычный 10 4 5 3 2 2 4" xfId="5005"/>
    <cellStyle name="Обычный 10 4 5 3 2 2 4 2" xfId="5006"/>
    <cellStyle name="Обычный 10 4 5 3 2 2 5" xfId="5007"/>
    <cellStyle name="Обычный 10 4 5 3 2 2 6" xfId="5008"/>
    <cellStyle name="Обычный 10 4 5 3 2 3" xfId="5009"/>
    <cellStyle name="Обычный 10 4 5 3 2 3 2" xfId="5010"/>
    <cellStyle name="Обычный 10 4 5 3 2 3 3" xfId="5011"/>
    <cellStyle name="Обычный 10 4 5 3 2 4" xfId="5012"/>
    <cellStyle name="Обычный 10 4 5 3 2 4 2" xfId="5013"/>
    <cellStyle name="Обычный 10 4 5 3 2 4 3" xfId="5014"/>
    <cellStyle name="Обычный 10 4 5 3 2 5" xfId="5015"/>
    <cellStyle name="Обычный 10 4 5 3 2 5 2" xfId="5016"/>
    <cellStyle name="Обычный 10 4 5 3 2 6" xfId="5017"/>
    <cellStyle name="Обычный 10 4 5 3 2 7" xfId="5018"/>
    <cellStyle name="Обычный 10 4 5 3 3" xfId="5019"/>
    <cellStyle name="Обычный 10 4 5 3 3 2" xfId="5020"/>
    <cellStyle name="Обычный 10 4 5 3 3 2 2" xfId="5021"/>
    <cellStyle name="Обычный 10 4 5 3 3 2 3" xfId="5022"/>
    <cellStyle name="Обычный 10 4 5 3 3 3" xfId="5023"/>
    <cellStyle name="Обычный 10 4 5 3 3 3 2" xfId="5024"/>
    <cellStyle name="Обычный 10 4 5 3 3 3 3" xfId="5025"/>
    <cellStyle name="Обычный 10 4 5 3 3 4" xfId="5026"/>
    <cellStyle name="Обычный 10 4 5 3 3 4 2" xfId="5027"/>
    <cellStyle name="Обычный 10 4 5 3 3 5" xfId="5028"/>
    <cellStyle name="Обычный 10 4 5 3 3 6" xfId="5029"/>
    <cellStyle name="Обычный 10 4 5 3 4" xfId="5030"/>
    <cellStyle name="Обычный 10 4 5 3 4 2" xfId="5031"/>
    <cellStyle name="Обычный 10 4 5 3 4 3" xfId="5032"/>
    <cellStyle name="Обычный 10 4 5 3 5" xfId="5033"/>
    <cellStyle name="Обычный 10 4 5 3 5 2" xfId="5034"/>
    <cellStyle name="Обычный 10 4 5 3 5 3" xfId="5035"/>
    <cellStyle name="Обычный 10 4 5 3 6" xfId="5036"/>
    <cellStyle name="Обычный 10 4 5 3 6 2" xfId="5037"/>
    <cellStyle name="Обычный 10 4 5 3 7" xfId="5038"/>
    <cellStyle name="Обычный 10 4 5 3 8" xfId="5039"/>
    <cellStyle name="Обычный 10 4 5 4" xfId="5040"/>
    <cellStyle name="Обычный 10 4 5 4 2" xfId="5041"/>
    <cellStyle name="Обычный 10 4 5 4 2 2" xfId="5042"/>
    <cellStyle name="Обычный 10 4 5 4 2 2 2" xfId="5043"/>
    <cellStyle name="Обычный 10 4 5 4 2 2 3" xfId="5044"/>
    <cellStyle name="Обычный 10 4 5 4 2 3" xfId="5045"/>
    <cellStyle name="Обычный 10 4 5 4 2 3 2" xfId="5046"/>
    <cellStyle name="Обычный 10 4 5 4 2 3 3" xfId="5047"/>
    <cellStyle name="Обычный 10 4 5 4 2 4" xfId="5048"/>
    <cellStyle name="Обычный 10 4 5 4 2 4 2" xfId="5049"/>
    <cellStyle name="Обычный 10 4 5 4 2 5" xfId="5050"/>
    <cellStyle name="Обычный 10 4 5 4 2 6" xfId="5051"/>
    <cellStyle name="Обычный 10 4 5 4 3" xfId="5052"/>
    <cellStyle name="Обычный 10 4 5 4 3 2" xfId="5053"/>
    <cellStyle name="Обычный 10 4 5 4 3 3" xfId="5054"/>
    <cellStyle name="Обычный 10 4 5 4 4" xfId="5055"/>
    <cellStyle name="Обычный 10 4 5 4 4 2" xfId="5056"/>
    <cellStyle name="Обычный 10 4 5 4 4 3" xfId="5057"/>
    <cellStyle name="Обычный 10 4 5 4 5" xfId="5058"/>
    <cellStyle name="Обычный 10 4 5 4 5 2" xfId="5059"/>
    <cellStyle name="Обычный 10 4 5 4 6" xfId="5060"/>
    <cellStyle name="Обычный 10 4 5 4 7" xfId="5061"/>
    <cellStyle name="Обычный 10 4 5 5" xfId="5062"/>
    <cellStyle name="Обычный 10 4 5 5 2" xfId="5063"/>
    <cellStyle name="Обычный 10 4 5 5 2 2" xfId="5064"/>
    <cellStyle name="Обычный 10 4 5 5 2 3" xfId="5065"/>
    <cellStyle name="Обычный 10 4 5 5 3" xfId="5066"/>
    <cellStyle name="Обычный 10 4 5 5 3 2" xfId="5067"/>
    <cellStyle name="Обычный 10 4 5 5 3 3" xfId="5068"/>
    <cellStyle name="Обычный 10 4 5 5 4" xfId="5069"/>
    <cellStyle name="Обычный 10 4 5 5 4 2" xfId="5070"/>
    <cellStyle name="Обычный 10 4 5 5 5" xfId="5071"/>
    <cellStyle name="Обычный 10 4 5 5 6" xfId="5072"/>
    <cellStyle name="Обычный 10 4 5 6" xfId="5073"/>
    <cellStyle name="Обычный 10 4 5 6 2" xfId="5074"/>
    <cellStyle name="Обычный 10 4 5 6 3" xfId="5075"/>
    <cellStyle name="Обычный 10 4 5 7" xfId="5076"/>
    <cellStyle name="Обычный 10 4 5 7 2" xfId="5077"/>
    <cellStyle name="Обычный 10 4 5 7 3" xfId="5078"/>
    <cellStyle name="Обычный 10 4 5 8" xfId="5079"/>
    <cellStyle name="Обычный 10 4 5 8 2" xfId="5080"/>
    <cellStyle name="Обычный 10 4 5 9" xfId="5081"/>
    <cellStyle name="Обычный 10 4 6" xfId="5082"/>
    <cellStyle name="Обычный 10 4 6 2" xfId="5083"/>
    <cellStyle name="Обычный 10 4 6 2 2" xfId="5084"/>
    <cellStyle name="Обычный 10 4 6 2 2 2" xfId="5085"/>
    <cellStyle name="Обычный 10 4 6 2 2 2 2" xfId="5086"/>
    <cellStyle name="Обычный 10 4 6 2 2 2 2 2" xfId="5087"/>
    <cellStyle name="Обычный 10 4 6 2 2 2 2 3" xfId="5088"/>
    <cellStyle name="Обычный 10 4 6 2 2 2 3" xfId="5089"/>
    <cellStyle name="Обычный 10 4 6 2 2 2 3 2" xfId="5090"/>
    <cellStyle name="Обычный 10 4 6 2 2 2 3 3" xfId="5091"/>
    <cellStyle name="Обычный 10 4 6 2 2 2 4" xfId="5092"/>
    <cellStyle name="Обычный 10 4 6 2 2 2 4 2" xfId="5093"/>
    <cellStyle name="Обычный 10 4 6 2 2 2 5" xfId="5094"/>
    <cellStyle name="Обычный 10 4 6 2 2 2 6" xfId="5095"/>
    <cellStyle name="Обычный 10 4 6 2 2 3" xfId="5096"/>
    <cellStyle name="Обычный 10 4 6 2 2 3 2" xfId="5097"/>
    <cellStyle name="Обычный 10 4 6 2 2 3 3" xfId="5098"/>
    <cellStyle name="Обычный 10 4 6 2 2 4" xfId="5099"/>
    <cellStyle name="Обычный 10 4 6 2 2 4 2" xfId="5100"/>
    <cellStyle name="Обычный 10 4 6 2 2 4 3" xfId="5101"/>
    <cellStyle name="Обычный 10 4 6 2 2 5" xfId="5102"/>
    <cellStyle name="Обычный 10 4 6 2 2 5 2" xfId="5103"/>
    <cellStyle name="Обычный 10 4 6 2 2 6" xfId="5104"/>
    <cellStyle name="Обычный 10 4 6 2 2 7" xfId="5105"/>
    <cellStyle name="Обычный 10 4 6 2 3" xfId="5106"/>
    <cellStyle name="Обычный 10 4 6 2 3 2" xfId="5107"/>
    <cellStyle name="Обычный 10 4 6 2 3 2 2" xfId="5108"/>
    <cellStyle name="Обычный 10 4 6 2 3 2 3" xfId="5109"/>
    <cellStyle name="Обычный 10 4 6 2 3 3" xfId="5110"/>
    <cellStyle name="Обычный 10 4 6 2 3 3 2" xfId="5111"/>
    <cellStyle name="Обычный 10 4 6 2 3 3 3" xfId="5112"/>
    <cellStyle name="Обычный 10 4 6 2 3 4" xfId="5113"/>
    <cellStyle name="Обычный 10 4 6 2 3 4 2" xfId="5114"/>
    <cellStyle name="Обычный 10 4 6 2 3 5" xfId="5115"/>
    <cellStyle name="Обычный 10 4 6 2 3 6" xfId="5116"/>
    <cellStyle name="Обычный 10 4 6 2 4" xfId="5117"/>
    <cellStyle name="Обычный 10 4 6 2 4 2" xfId="5118"/>
    <cellStyle name="Обычный 10 4 6 2 4 3" xfId="5119"/>
    <cellStyle name="Обычный 10 4 6 2 5" xfId="5120"/>
    <cellStyle name="Обычный 10 4 6 2 5 2" xfId="5121"/>
    <cellStyle name="Обычный 10 4 6 2 5 3" xfId="5122"/>
    <cellStyle name="Обычный 10 4 6 2 6" xfId="5123"/>
    <cellStyle name="Обычный 10 4 6 2 6 2" xfId="5124"/>
    <cellStyle name="Обычный 10 4 6 2 7" xfId="5125"/>
    <cellStyle name="Обычный 10 4 6 2 8" xfId="5126"/>
    <cellStyle name="Обычный 10 4 6 3" xfId="5127"/>
    <cellStyle name="Обычный 10 4 6 3 2" xfId="5128"/>
    <cellStyle name="Обычный 10 4 6 3 2 2" xfId="5129"/>
    <cellStyle name="Обычный 10 4 6 3 2 2 2" xfId="5130"/>
    <cellStyle name="Обычный 10 4 6 3 2 2 3" xfId="5131"/>
    <cellStyle name="Обычный 10 4 6 3 2 3" xfId="5132"/>
    <cellStyle name="Обычный 10 4 6 3 2 3 2" xfId="5133"/>
    <cellStyle name="Обычный 10 4 6 3 2 3 3" xfId="5134"/>
    <cellStyle name="Обычный 10 4 6 3 2 4" xfId="5135"/>
    <cellStyle name="Обычный 10 4 6 3 2 4 2" xfId="5136"/>
    <cellStyle name="Обычный 10 4 6 3 2 5" xfId="5137"/>
    <cellStyle name="Обычный 10 4 6 3 2 6" xfId="5138"/>
    <cellStyle name="Обычный 10 4 6 3 3" xfId="5139"/>
    <cellStyle name="Обычный 10 4 6 3 3 2" xfId="5140"/>
    <cellStyle name="Обычный 10 4 6 3 3 3" xfId="5141"/>
    <cellStyle name="Обычный 10 4 6 3 4" xfId="5142"/>
    <cellStyle name="Обычный 10 4 6 3 4 2" xfId="5143"/>
    <cellStyle name="Обычный 10 4 6 3 4 3" xfId="5144"/>
    <cellStyle name="Обычный 10 4 6 3 5" xfId="5145"/>
    <cellStyle name="Обычный 10 4 6 3 5 2" xfId="5146"/>
    <cellStyle name="Обычный 10 4 6 3 6" xfId="5147"/>
    <cellStyle name="Обычный 10 4 6 3 7" xfId="5148"/>
    <cellStyle name="Обычный 10 4 6 4" xfId="5149"/>
    <cellStyle name="Обычный 10 4 6 4 2" xfId="5150"/>
    <cellStyle name="Обычный 10 4 6 4 2 2" xfId="5151"/>
    <cellStyle name="Обычный 10 4 6 4 2 3" xfId="5152"/>
    <cellStyle name="Обычный 10 4 6 4 3" xfId="5153"/>
    <cellStyle name="Обычный 10 4 6 4 3 2" xfId="5154"/>
    <cellStyle name="Обычный 10 4 6 4 3 3" xfId="5155"/>
    <cellStyle name="Обычный 10 4 6 4 4" xfId="5156"/>
    <cellStyle name="Обычный 10 4 6 4 4 2" xfId="5157"/>
    <cellStyle name="Обычный 10 4 6 4 5" xfId="5158"/>
    <cellStyle name="Обычный 10 4 6 4 6" xfId="5159"/>
    <cellStyle name="Обычный 10 4 6 5" xfId="5160"/>
    <cellStyle name="Обычный 10 4 6 5 2" xfId="5161"/>
    <cellStyle name="Обычный 10 4 6 5 3" xfId="5162"/>
    <cellStyle name="Обычный 10 4 6 6" xfId="5163"/>
    <cellStyle name="Обычный 10 4 6 6 2" xfId="5164"/>
    <cellStyle name="Обычный 10 4 6 6 3" xfId="5165"/>
    <cellStyle name="Обычный 10 4 6 7" xfId="5166"/>
    <cellStyle name="Обычный 10 4 6 7 2" xfId="5167"/>
    <cellStyle name="Обычный 10 4 6 8" xfId="5168"/>
    <cellStyle name="Обычный 10 4 6 9" xfId="5169"/>
    <cellStyle name="Обычный 10 4 7" xfId="5170"/>
    <cellStyle name="Обычный 10 4 7 2" xfId="5171"/>
    <cellStyle name="Обычный 10 4 7 2 2" xfId="5172"/>
    <cellStyle name="Обычный 10 4 7 2 2 2" xfId="5173"/>
    <cellStyle name="Обычный 10 4 7 2 2 2 2" xfId="5174"/>
    <cellStyle name="Обычный 10 4 7 2 2 2 3" xfId="5175"/>
    <cellStyle name="Обычный 10 4 7 2 2 3" xfId="5176"/>
    <cellStyle name="Обычный 10 4 7 2 2 3 2" xfId="5177"/>
    <cellStyle name="Обычный 10 4 7 2 2 3 3" xfId="5178"/>
    <cellStyle name="Обычный 10 4 7 2 2 4" xfId="5179"/>
    <cellStyle name="Обычный 10 4 7 2 2 4 2" xfId="5180"/>
    <cellStyle name="Обычный 10 4 7 2 2 5" xfId="5181"/>
    <cellStyle name="Обычный 10 4 7 2 2 6" xfId="5182"/>
    <cellStyle name="Обычный 10 4 7 2 3" xfId="5183"/>
    <cellStyle name="Обычный 10 4 7 2 3 2" xfId="5184"/>
    <cellStyle name="Обычный 10 4 7 2 3 3" xfId="5185"/>
    <cellStyle name="Обычный 10 4 7 2 4" xfId="5186"/>
    <cellStyle name="Обычный 10 4 7 2 4 2" xfId="5187"/>
    <cellStyle name="Обычный 10 4 7 2 4 3" xfId="5188"/>
    <cellStyle name="Обычный 10 4 7 2 5" xfId="5189"/>
    <cellStyle name="Обычный 10 4 7 2 5 2" xfId="5190"/>
    <cellStyle name="Обычный 10 4 7 2 6" xfId="5191"/>
    <cellStyle name="Обычный 10 4 7 2 7" xfId="5192"/>
    <cellStyle name="Обычный 10 4 7 3" xfId="5193"/>
    <cellStyle name="Обычный 10 4 7 3 2" xfId="5194"/>
    <cellStyle name="Обычный 10 4 7 3 2 2" xfId="5195"/>
    <cellStyle name="Обычный 10 4 7 3 2 3" xfId="5196"/>
    <cellStyle name="Обычный 10 4 7 3 3" xfId="5197"/>
    <cellStyle name="Обычный 10 4 7 3 3 2" xfId="5198"/>
    <cellStyle name="Обычный 10 4 7 3 3 3" xfId="5199"/>
    <cellStyle name="Обычный 10 4 7 3 4" xfId="5200"/>
    <cellStyle name="Обычный 10 4 7 3 4 2" xfId="5201"/>
    <cellStyle name="Обычный 10 4 7 3 5" xfId="5202"/>
    <cellStyle name="Обычный 10 4 7 3 6" xfId="5203"/>
    <cellStyle name="Обычный 10 4 7 4" xfId="5204"/>
    <cellStyle name="Обычный 10 4 7 4 2" xfId="5205"/>
    <cellStyle name="Обычный 10 4 7 4 3" xfId="5206"/>
    <cellStyle name="Обычный 10 4 7 5" xfId="5207"/>
    <cellStyle name="Обычный 10 4 7 5 2" xfId="5208"/>
    <cellStyle name="Обычный 10 4 7 5 3" xfId="5209"/>
    <cellStyle name="Обычный 10 4 7 6" xfId="5210"/>
    <cellStyle name="Обычный 10 4 7 6 2" xfId="5211"/>
    <cellStyle name="Обычный 10 4 7 7" xfId="5212"/>
    <cellStyle name="Обычный 10 4 7 8" xfId="5213"/>
    <cellStyle name="Обычный 10 4 8" xfId="5214"/>
    <cellStyle name="Обычный 10 4 8 2" xfId="5215"/>
    <cellStyle name="Обычный 10 4 8 2 2" xfId="5216"/>
    <cellStyle name="Обычный 10 4 8 2 2 2" xfId="5217"/>
    <cellStyle name="Обычный 10 4 8 2 2 3" xfId="5218"/>
    <cellStyle name="Обычный 10 4 8 2 3" xfId="5219"/>
    <cellStyle name="Обычный 10 4 8 2 3 2" xfId="5220"/>
    <cellStyle name="Обычный 10 4 8 2 3 3" xfId="5221"/>
    <cellStyle name="Обычный 10 4 8 2 4" xfId="5222"/>
    <cellStyle name="Обычный 10 4 8 2 4 2" xfId="5223"/>
    <cellStyle name="Обычный 10 4 8 2 5" xfId="5224"/>
    <cellStyle name="Обычный 10 4 8 2 6" xfId="5225"/>
    <cellStyle name="Обычный 10 4 8 3" xfId="5226"/>
    <cellStyle name="Обычный 10 4 8 3 2" xfId="5227"/>
    <cellStyle name="Обычный 10 4 8 3 3" xfId="5228"/>
    <cellStyle name="Обычный 10 4 8 4" xfId="5229"/>
    <cellStyle name="Обычный 10 4 8 4 2" xfId="5230"/>
    <cellStyle name="Обычный 10 4 8 4 3" xfId="5231"/>
    <cellStyle name="Обычный 10 4 8 5" xfId="5232"/>
    <cellStyle name="Обычный 10 4 8 5 2" xfId="5233"/>
    <cellStyle name="Обычный 10 4 8 6" xfId="5234"/>
    <cellStyle name="Обычный 10 4 8 7" xfId="5235"/>
    <cellStyle name="Обычный 10 4 9" xfId="5236"/>
    <cellStyle name="Обычный 10 4 9 2" xfId="5237"/>
    <cellStyle name="Обычный 10 4 9 2 2" xfId="5238"/>
    <cellStyle name="Обычный 10 4 9 2 3" xfId="5239"/>
    <cellStyle name="Обычный 10 4 9 3" xfId="5240"/>
    <cellStyle name="Обычный 10 4 9 3 2" xfId="5241"/>
    <cellStyle name="Обычный 10 4 9 3 3" xfId="5242"/>
    <cellStyle name="Обычный 10 4 9 4" xfId="5243"/>
    <cellStyle name="Обычный 10 4 9 4 2" xfId="5244"/>
    <cellStyle name="Обычный 10 4 9 5" xfId="5245"/>
    <cellStyle name="Обычный 10 4 9 6" xfId="5246"/>
    <cellStyle name="Обычный 10 5" xfId="5247"/>
    <cellStyle name="Обычный 10 5 10" xfId="5248"/>
    <cellStyle name="Обычный 10 5 10 2" xfId="5249"/>
    <cellStyle name="Обычный 10 5 10 3" xfId="5250"/>
    <cellStyle name="Обычный 10 5 11" xfId="5251"/>
    <cellStyle name="Обычный 10 5 11 2" xfId="5252"/>
    <cellStyle name="Обычный 10 5 11 3" xfId="5253"/>
    <cellStyle name="Обычный 10 5 12" xfId="5254"/>
    <cellStyle name="Обычный 10 5 12 2" xfId="5255"/>
    <cellStyle name="Обычный 10 5 13" xfId="5256"/>
    <cellStyle name="Обычный 10 5 14" xfId="5257"/>
    <cellStyle name="Обычный 10 5 2" xfId="5258"/>
    <cellStyle name="Обычный 10 5 2 10" xfId="5259"/>
    <cellStyle name="Обычный 10 5 2 10 2" xfId="5260"/>
    <cellStyle name="Обычный 10 5 2 10 3" xfId="5261"/>
    <cellStyle name="Обычный 10 5 2 11" xfId="5262"/>
    <cellStyle name="Обычный 10 5 2 11 2" xfId="5263"/>
    <cellStyle name="Обычный 10 5 2 12" xfId="5264"/>
    <cellStyle name="Обычный 10 5 2 13" xfId="5265"/>
    <cellStyle name="Обычный 10 5 2 2" xfId="5266"/>
    <cellStyle name="Обычный 10 5 2 2 10" xfId="5267"/>
    <cellStyle name="Обычный 10 5 2 2 2" xfId="5268"/>
    <cellStyle name="Обычный 10 5 2 2 2 2" xfId="5269"/>
    <cellStyle name="Обычный 10 5 2 2 2 2 2" xfId="5270"/>
    <cellStyle name="Обычный 10 5 2 2 2 2 2 2" xfId="5271"/>
    <cellStyle name="Обычный 10 5 2 2 2 2 2 2 2" xfId="5272"/>
    <cellStyle name="Обычный 10 5 2 2 2 2 2 2 2 2" xfId="5273"/>
    <cellStyle name="Обычный 10 5 2 2 2 2 2 2 2 3" xfId="5274"/>
    <cellStyle name="Обычный 10 5 2 2 2 2 2 2 3" xfId="5275"/>
    <cellStyle name="Обычный 10 5 2 2 2 2 2 2 3 2" xfId="5276"/>
    <cellStyle name="Обычный 10 5 2 2 2 2 2 2 3 3" xfId="5277"/>
    <cellStyle name="Обычный 10 5 2 2 2 2 2 2 4" xfId="5278"/>
    <cellStyle name="Обычный 10 5 2 2 2 2 2 2 4 2" xfId="5279"/>
    <cellStyle name="Обычный 10 5 2 2 2 2 2 2 5" xfId="5280"/>
    <cellStyle name="Обычный 10 5 2 2 2 2 2 2 6" xfId="5281"/>
    <cellStyle name="Обычный 10 5 2 2 2 2 2 3" xfId="5282"/>
    <cellStyle name="Обычный 10 5 2 2 2 2 2 3 2" xfId="5283"/>
    <cellStyle name="Обычный 10 5 2 2 2 2 2 3 3" xfId="5284"/>
    <cellStyle name="Обычный 10 5 2 2 2 2 2 4" xfId="5285"/>
    <cellStyle name="Обычный 10 5 2 2 2 2 2 4 2" xfId="5286"/>
    <cellStyle name="Обычный 10 5 2 2 2 2 2 4 3" xfId="5287"/>
    <cellStyle name="Обычный 10 5 2 2 2 2 2 5" xfId="5288"/>
    <cellStyle name="Обычный 10 5 2 2 2 2 2 5 2" xfId="5289"/>
    <cellStyle name="Обычный 10 5 2 2 2 2 2 6" xfId="5290"/>
    <cellStyle name="Обычный 10 5 2 2 2 2 2 7" xfId="5291"/>
    <cellStyle name="Обычный 10 5 2 2 2 2 3" xfId="5292"/>
    <cellStyle name="Обычный 10 5 2 2 2 2 3 2" xfId="5293"/>
    <cellStyle name="Обычный 10 5 2 2 2 2 3 2 2" xfId="5294"/>
    <cellStyle name="Обычный 10 5 2 2 2 2 3 2 3" xfId="5295"/>
    <cellStyle name="Обычный 10 5 2 2 2 2 3 3" xfId="5296"/>
    <cellStyle name="Обычный 10 5 2 2 2 2 3 3 2" xfId="5297"/>
    <cellStyle name="Обычный 10 5 2 2 2 2 3 3 3" xfId="5298"/>
    <cellStyle name="Обычный 10 5 2 2 2 2 3 4" xfId="5299"/>
    <cellStyle name="Обычный 10 5 2 2 2 2 3 4 2" xfId="5300"/>
    <cellStyle name="Обычный 10 5 2 2 2 2 3 5" xfId="5301"/>
    <cellStyle name="Обычный 10 5 2 2 2 2 3 6" xfId="5302"/>
    <cellStyle name="Обычный 10 5 2 2 2 2 4" xfId="5303"/>
    <cellStyle name="Обычный 10 5 2 2 2 2 4 2" xfId="5304"/>
    <cellStyle name="Обычный 10 5 2 2 2 2 4 3" xfId="5305"/>
    <cellStyle name="Обычный 10 5 2 2 2 2 5" xfId="5306"/>
    <cellStyle name="Обычный 10 5 2 2 2 2 5 2" xfId="5307"/>
    <cellStyle name="Обычный 10 5 2 2 2 2 5 3" xfId="5308"/>
    <cellStyle name="Обычный 10 5 2 2 2 2 6" xfId="5309"/>
    <cellStyle name="Обычный 10 5 2 2 2 2 6 2" xfId="5310"/>
    <cellStyle name="Обычный 10 5 2 2 2 2 7" xfId="5311"/>
    <cellStyle name="Обычный 10 5 2 2 2 2 8" xfId="5312"/>
    <cellStyle name="Обычный 10 5 2 2 2 3" xfId="5313"/>
    <cellStyle name="Обычный 10 5 2 2 2 3 2" xfId="5314"/>
    <cellStyle name="Обычный 10 5 2 2 2 3 2 2" xfId="5315"/>
    <cellStyle name="Обычный 10 5 2 2 2 3 2 2 2" xfId="5316"/>
    <cellStyle name="Обычный 10 5 2 2 2 3 2 2 3" xfId="5317"/>
    <cellStyle name="Обычный 10 5 2 2 2 3 2 3" xfId="5318"/>
    <cellStyle name="Обычный 10 5 2 2 2 3 2 3 2" xfId="5319"/>
    <cellStyle name="Обычный 10 5 2 2 2 3 2 3 3" xfId="5320"/>
    <cellStyle name="Обычный 10 5 2 2 2 3 2 4" xfId="5321"/>
    <cellStyle name="Обычный 10 5 2 2 2 3 2 4 2" xfId="5322"/>
    <cellStyle name="Обычный 10 5 2 2 2 3 2 5" xfId="5323"/>
    <cellStyle name="Обычный 10 5 2 2 2 3 2 6" xfId="5324"/>
    <cellStyle name="Обычный 10 5 2 2 2 3 3" xfId="5325"/>
    <cellStyle name="Обычный 10 5 2 2 2 3 3 2" xfId="5326"/>
    <cellStyle name="Обычный 10 5 2 2 2 3 3 3" xfId="5327"/>
    <cellStyle name="Обычный 10 5 2 2 2 3 4" xfId="5328"/>
    <cellStyle name="Обычный 10 5 2 2 2 3 4 2" xfId="5329"/>
    <cellStyle name="Обычный 10 5 2 2 2 3 4 3" xfId="5330"/>
    <cellStyle name="Обычный 10 5 2 2 2 3 5" xfId="5331"/>
    <cellStyle name="Обычный 10 5 2 2 2 3 5 2" xfId="5332"/>
    <cellStyle name="Обычный 10 5 2 2 2 3 6" xfId="5333"/>
    <cellStyle name="Обычный 10 5 2 2 2 3 7" xfId="5334"/>
    <cellStyle name="Обычный 10 5 2 2 2 4" xfId="5335"/>
    <cellStyle name="Обычный 10 5 2 2 2 4 2" xfId="5336"/>
    <cellStyle name="Обычный 10 5 2 2 2 4 2 2" xfId="5337"/>
    <cellStyle name="Обычный 10 5 2 2 2 4 2 3" xfId="5338"/>
    <cellStyle name="Обычный 10 5 2 2 2 4 3" xfId="5339"/>
    <cellStyle name="Обычный 10 5 2 2 2 4 3 2" xfId="5340"/>
    <cellStyle name="Обычный 10 5 2 2 2 4 3 3" xfId="5341"/>
    <cellStyle name="Обычный 10 5 2 2 2 4 4" xfId="5342"/>
    <cellStyle name="Обычный 10 5 2 2 2 4 4 2" xfId="5343"/>
    <cellStyle name="Обычный 10 5 2 2 2 4 5" xfId="5344"/>
    <cellStyle name="Обычный 10 5 2 2 2 4 6" xfId="5345"/>
    <cellStyle name="Обычный 10 5 2 2 2 5" xfId="5346"/>
    <cellStyle name="Обычный 10 5 2 2 2 5 2" xfId="5347"/>
    <cellStyle name="Обычный 10 5 2 2 2 5 3" xfId="5348"/>
    <cellStyle name="Обычный 10 5 2 2 2 6" xfId="5349"/>
    <cellStyle name="Обычный 10 5 2 2 2 6 2" xfId="5350"/>
    <cellStyle name="Обычный 10 5 2 2 2 6 3" xfId="5351"/>
    <cellStyle name="Обычный 10 5 2 2 2 7" xfId="5352"/>
    <cellStyle name="Обычный 10 5 2 2 2 7 2" xfId="5353"/>
    <cellStyle name="Обычный 10 5 2 2 2 8" xfId="5354"/>
    <cellStyle name="Обычный 10 5 2 2 2 9" xfId="5355"/>
    <cellStyle name="Обычный 10 5 2 2 3" xfId="5356"/>
    <cellStyle name="Обычный 10 5 2 2 3 2" xfId="5357"/>
    <cellStyle name="Обычный 10 5 2 2 3 2 2" xfId="5358"/>
    <cellStyle name="Обычный 10 5 2 2 3 2 2 2" xfId="5359"/>
    <cellStyle name="Обычный 10 5 2 2 3 2 2 2 2" xfId="5360"/>
    <cellStyle name="Обычный 10 5 2 2 3 2 2 2 3" xfId="5361"/>
    <cellStyle name="Обычный 10 5 2 2 3 2 2 3" xfId="5362"/>
    <cellStyle name="Обычный 10 5 2 2 3 2 2 3 2" xfId="5363"/>
    <cellStyle name="Обычный 10 5 2 2 3 2 2 3 3" xfId="5364"/>
    <cellStyle name="Обычный 10 5 2 2 3 2 2 4" xfId="5365"/>
    <cellStyle name="Обычный 10 5 2 2 3 2 2 4 2" xfId="5366"/>
    <cellStyle name="Обычный 10 5 2 2 3 2 2 5" xfId="5367"/>
    <cellStyle name="Обычный 10 5 2 2 3 2 2 6" xfId="5368"/>
    <cellStyle name="Обычный 10 5 2 2 3 2 3" xfId="5369"/>
    <cellStyle name="Обычный 10 5 2 2 3 2 3 2" xfId="5370"/>
    <cellStyle name="Обычный 10 5 2 2 3 2 3 3" xfId="5371"/>
    <cellStyle name="Обычный 10 5 2 2 3 2 4" xfId="5372"/>
    <cellStyle name="Обычный 10 5 2 2 3 2 4 2" xfId="5373"/>
    <cellStyle name="Обычный 10 5 2 2 3 2 4 3" xfId="5374"/>
    <cellStyle name="Обычный 10 5 2 2 3 2 5" xfId="5375"/>
    <cellStyle name="Обычный 10 5 2 2 3 2 5 2" xfId="5376"/>
    <cellStyle name="Обычный 10 5 2 2 3 2 6" xfId="5377"/>
    <cellStyle name="Обычный 10 5 2 2 3 2 7" xfId="5378"/>
    <cellStyle name="Обычный 10 5 2 2 3 3" xfId="5379"/>
    <cellStyle name="Обычный 10 5 2 2 3 3 2" xfId="5380"/>
    <cellStyle name="Обычный 10 5 2 2 3 3 2 2" xfId="5381"/>
    <cellStyle name="Обычный 10 5 2 2 3 3 2 3" xfId="5382"/>
    <cellStyle name="Обычный 10 5 2 2 3 3 3" xfId="5383"/>
    <cellStyle name="Обычный 10 5 2 2 3 3 3 2" xfId="5384"/>
    <cellStyle name="Обычный 10 5 2 2 3 3 3 3" xfId="5385"/>
    <cellStyle name="Обычный 10 5 2 2 3 3 4" xfId="5386"/>
    <cellStyle name="Обычный 10 5 2 2 3 3 4 2" xfId="5387"/>
    <cellStyle name="Обычный 10 5 2 2 3 3 5" xfId="5388"/>
    <cellStyle name="Обычный 10 5 2 2 3 3 6" xfId="5389"/>
    <cellStyle name="Обычный 10 5 2 2 3 4" xfId="5390"/>
    <cellStyle name="Обычный 10 5 2 2 3 4 2" xfId="5391"/>
    <cellStyle name="Обычный 10 5 2 2 3 4 3" xfId="5392"/>
    <cellStyle name="Обычный 10 5 2 2 3 5" xfId="5393"/>
    <cellStyle name="Обычный 10 5 2 2 3 5 2" xfId="5394"/>
    <cellStyle name="Обычный 10 5 2 2 3 5 3" xfId="5395"/>
    <cellStyle name="Обычный 10 5 2 2 3 6" xfId="5396"/>
    <cellStyle name="Обычный 10 5 2 2 3 6 2" xfId="5397"/>
    <cellStyle name="Обычный 10 5 2 2 3 7" xfId="5398"/>
    <cellStyle name="Обычный 10 5 2 2 3 8" xfId="5399"/>
    <cellStyle name="Обычный 10 5 2 2 4" xfId="5400"/>
    <cellStyle name="Обычный 10 5 2 2 4 2" xfId="5401"/>
    <cellStyle name="Обычный 10 5 2 2 4 2 2" xfId="5402"/>
    <cellStyle name="Обычный 10 5 2 2 4 2 2 2" xfId="5403"/>
    <cellStyle name="Обычный 10 5 2 2 4 2 2 3" xfId="5404"/>
    <cellStyle name="Обычный 10 5 2 2 4 2 3" xfId="5405"/>
    <cellStyle name="Обычный 10 5 2 2 4 2 3 2" xfId="5406"/>
    <cellStyle name="Обычный 10 5 2 2 4 2 3 3" xfId="5407"/>
    <cellStyle name="Обычный 10 5 2 2 4 2 4" xfId="5408"/>
    <cellStyle name="Обычный 10 5 2 2 4 2 4 2" xfId="5409"/>
    <cellStyle name="Обычный 10 5 2 2 4 2 5" xfId="5410"/>
    <cellStyle name="Обычный 10 5 2 2 4 2 6" xfId="5411"/>
    <cellStyle name="Обычный 10 5 2 2 4 3" xfId="5412"/>
    <cellStyle name="Обычный 10 5 2 2 4 3 2" xfId="5413"/>
    <cellStyle name="Обычный 10 5 2 2 4 3 3" xfId="5414"/>
    <cellStyle name="Обычный 10 5 2 2 4 4" xfId="5415"/>
    <cellStyle name="Обычный 10 5 2 2 4 4 2" xfId="5416"/>
    <cellStyle name="Обычный 10 5 2 2 4 4 3" xfId="5417"/>
    <cellStyle name="Обычный 10 5 2 2 4 5" xfId="5418"/>
    <cellStyle name="Обычный 10 5 2 2 4 5 2" xfId="5419"/>
    <cellStyle name="Обычный 10 5 2 2 4 6" xfId="5420"/>
    <cellStyle name="Обычный 10 5 2 2 4 7" xfId="5421"/>
    <cellStyle name="Обычный 10 5 2 2 5" xfId="5422"/>
    <cellStyle name="Обычный 10 5 2 2 5 2" xfId="5423"/>
    <cellStyle name="Обычный 10 5 2 2 5 2 2" xfId="5424"/>
    <cellStyle name="Обычный 10 5 2 2 5 2 3" xfId="5425"/>
    <cellStyle name="Обычный 10 5 2 2 5 3" xfId="5426"/>
    <cellStyle name="Обычный 10 5 2 2 5 3 2" xfId="5427"/>
    <cellStyle name="Обычный 10 5 2 2 5 3 3" xfId="5428"/>
    <cellStyle name="Обычный 10 5 2 2 5 4" xfId="5429"/>
    <cellStyle name="Обычный 10 5 2 2 5 4 2" xfId="5430"/>
    <cellStyle name="Обычный 10 5 2 2 5 5" xfId="5431"/>
    <cellStyle name="Обычный 10 5 2 2 5 6" xfId="5432"/>
    <cellStyle name="Обычный 10 5 2 2 6" xfId="5433"/>
    <cellStyle name="Обычный 10 5 2 2 6 2" xfId="5434"/>
    <cellStyle name="Обычный 10 5 2 2 6 3" xfId="5435"/>
    <cellStyle name="Обычный 10 5 2 2 7" xfId="5436"/>
    <cellStyle name="Обычный 10 5 2 2 7 2" xfId="5437"/>
    <cellStyle name="Обычный 10 5 2 2 7 3" xfId="5438"/>
    <cellStyle name="Обычный 10 5 2 2 8" xfId="5439"/>
    <cellStyle name="Обычный 10 5 2 2 8 2" xfId="5440"/>
    <cellStyle name="Обычный 10 5 2 2 9" xfId="5441"/>
    <cellStyle name="Обычный 10 5 2 3" xfId="5442"/>
    <cellStyle name="Обычный 10 5 2 3 10" xfId="5443"/>
    <cellStyle name="Обычный 10 5 2 3 2" xfId="5444"/>
    <cellStyle name="Обычный 10 5 2 3 2 2" xfId="5445"/>
    <cellStyle name="Обычный 10 5 2 3 2 2 2" xfId="5446"/>
    <cellStyle name="Обычный 10 5 2 3 2 2 2 2" xfId="5447"/>
    <cellStyle name="Обычный 10 5 2 3 2 2 2 2 2" xfId="5448"/>
    <cellStyle name="Обычный 10 5 2 3 2 2 2 2 2 2" xfId="5449"/>
    <cellStyle name="Обычный 10 5 2 3 2 2 2 2 2 3" xfId="5450"/>
    <cellStyle name="Обычный 10 5 2 3 2 2 2 2 3" xfId="5451"/>
    <cellStyle name="Обычный 10 5 2 3 2 2 2 2 3 2" xfId="5452"/>
    <cellStyle name="Обычный 10 5 2 3 2 2 2 2 3 3" xfId="5453"/>
    <cellStyle name="Обычный 10 5 2 3 2 2 2 2 4" xfId="5454"/>
    <cellStyle name="Обычный 10 5 2 3 2 2 2 2 4 2" xfId="5455"/>
    <cellStyle name="Обычный 10 5 2 3 2 2 2 2 5" xfId="5456"/>
    <cellStyle name="Обычный 10 5 2 3 2 2 2 2 6" xfId="5457"/>
    <cellStyle name="Обычный 10 5 2 3 2 2 2 3" xfId="5458"/>
    <cellStyle name="Обычный 10 5 2 3 2 2 2 3 2" xfId="5459"/>
    <cellStyle name="Обычный 10 5 2 3 2 2 2 3 3" xfId="5460"/>
    <cellStyle name="Обычный 10 5 2 3 2 2 2 4" xfId="5461"/>
    <cellStyle name="Обычный 10 5 2 3 2 2 2 4 2" xfId="5462"/>
    <cellStyle name="Обычный 10 5 2 3 2 2 2 4 3" xfId="5463"/>
    <cellStyle name="Обычный 10 5 2 3 2 2 2 5" xfId="5464"/>
    <cellStyle name="Обычный 10 5 2 3 2 2 2 5 2" xfId="5465"/>
    <cellStyle name="Обычный 10 5 2 3 2 2 2 6" xfId="5466"/>
    <cellStyle name="Обычный 10 5 2 3 2 2 2 7" xfId="5467"/>
    <cellStyle name="Обычный 10 5 2 3 2 2 3" xfId="5468"/>
    <cellStyle name="Обычный 10 5 2 3 2 2 3 2" xfId="5469"/>
    <cellStyle name="Обычный 10 5 2 3 2 2 3 2 2" xfId="5470"/>
    <cellStyle name="Обычный 10 5 2 3 2 2 3 2 3" xfId="5471"/>
    <cellStyle name="Обычный 10 5 2 3 2 2 3 3" xfId="5472"/>
    <cellStyle name="Обычный 10 5 2 3 2 2 3 3 2" xfId="5473"/>
    <cellStyle name="Обычный 10 5 2 3 2 2 3 3 3" xfId="5474"/>
    <cellStyle name="Обычный 10 5 2 3 2 2 3 4" xfId="5475"/>
    <cellStyle name="Обычный 10 5 2 3 2 2 3 4 2" xfId="5476"/>
    <cellStyle name="Обычный 10 5 2 3 2 2 3 5" xfId="5477"/>
    <cellStyle name="Обычный 10 5 2 3 2 2 3 6" xfId="5478"/>
    <cellStyle name="Обычный 10 5 2 3 2 2 4" xfId="5479"/>
    <cellStyle name="Обычный 10 5 2 3 2 2 4 2" xfId="5480"/>
    <cellStyle name="Обычный 10 5 2 3 2 2 4 3" xfId="5481"/>
    <cellStyle name="Обычный 10 5 2 3 2 2 5" xfId="5482"/>
    <cellStyle name="Обычный 10 5 2 3 2 2 5 2" xfId="5483"/>
    <cellStyle name="Обычный 10 5 2 3 2 2 5 3" xfId="5484"/>
    <cellStyle name="Обычный 10 5 2 3 2 2 6" xfId="5485"/>
    <cellStyle name="Обычный 10 5 2 3 2 2 6 2" xfId="5486"/>
    <cellStyle name="Обычный 10 5 2 3 2 2 7" xfId="5487"/>
    <cellStyle name="Обычный 10 5 2 3 2 2 8" xfId="5488"/>
    <cellStyle name="Обычный 10 5 2 3 2 3" xfId="5489"/>
    <cellStyle name="Обычный 10 5 2 3 2 3 2" xfId="5490"/>
    <cellStyle name="Обычный 10 5 2 3 2 3 2 2" xfId="5491"/>
    <cellStyle name="Обычный 10 5 2 3 2 3 2 2 2" xfId="5492"/>
    <cellStyle name="Обычный 10 5 2 3 2 3 2 2 3" xfId="5493"/>
    <cellStyle name="Обычный 10 5 2 3 2 3 2 3" xfId="5494"/>
    <cellStyle name="Обычный 10 5 2 3 2 3 2 3 2" xfId="5495"/>
    <cellStyle name="Обычный 10 5 2 3 2 3 2 3 3" xfId="5496"/>
    <cellStyle name="Обычный 10 5 2 3 2 3 2 4" xfId="5497"/>
    <cellStyle name="Обычный 10 5 2 3 2 3 2 4 2" xfId="5498"/>
    <cellStyle name="Обычный 10 5 2 3 2 3 2 5" xfId="5499"/>
    <cellStyle name="Обычный 10 5 2 3 2 3 2 6" xfId="5500"/>
    <cellStyle name="Обычный 10 5 2 3 2 3 3" xfId="5501"/>
    <cellStyle name="Обычный 10 5 2 3 2 3 3 2" xfId="5502"/>
    <cellStyle name="Обычный 10 5 2 3 2 3 3 3" xfId="5503"/>
    <cellStyle name="Обычный 10 5 2 3 2 3 4" xfId="5504"/>
    <cellStyle name="Обычный 10 5 2 3 2 3 4 2" xfId="5505"/>
    <cellStyle name="Обычный 10 5 2 3 2 3 4 3" xfId="5506"/>
    <cellStyle name="Обычный 10 5 2 3 2 3 5" xfId="5507"/>
    <cellStyle name="Обычный 10 5 2 3 2 3 5 2" xfId="5508"/>
    <cellStyle name="Обычный 10 5 2 3 2 3 6" xfId="5509"/>
    <cellStyle name="Обычный 10 5 2 3 2 3 7" xfId="5510"/>
    <cellStyle name="Обычный 10 5 2 3 2 4" xfId="5511"/>
    <cellStyle name="Обычный 10 5 2 3 2 4 2" xfId="5512"/>
    <cellStyle name="Обычный 10 5 2 3 2 4 2 2" xfId="5513"/>
    <cellStyle name="Обычный 10 5 2 3 2 4 2 3" xfId="5514"/>
    <cellStyle name="Обычный 10 5 2 3 2 4 3" xfId="5515"/>
    <cellStyle name="Обычный 10 5 2 3 2 4 3 2" xfId="5516"/>
    <cellStyle name="Обычный 10 5 2 3 2 4 3 3" xfId="5517"/>
    <cellStyle name="Обычный 10 5 2 3 2 4 4" xfId="5518"/>
    <cellStyle name="Обычный 10 5 2 3 2 4 4 2" xfId="5519"/>
    <cellStyle name="Обычный 10 5 2 3 2 4 5" xfId="5520"/>
    <cellStyle name="Обычный 10 5 2 3 2 4 6" xfId="5521"/>
    <cellStyle name="Обычный 10 5 2 3 2 5" xfId="5522"/>
    <cellStyle name="Обычный 10 5 2 3 2 5 2" xfId="5523"/>
    <cellStyle name="Обычный 10 5 2 3 2 5 3" xfId="5524"/>
    <cellStyle name="Обычный 10 5 2 3 2 6" xfId="5525"/>
    <cellStyle name="Обычный 10 5 2 3 2 6 2" xfId="5526"/>
    <cellStyle name="Обычный 10 5 2 3 2 6 3" xfId="5527"/>
    <cellStyle name="Обычный 10 5 2 3 2 7" xfId="5528"/>
    <cellStyle name="Обычный 10 5 2 3 2 7 2" xfId="5529"/>
    <cellStyle name="Обычный 10 5 2 3 2 8" xfId="5530"/>
    <cellStyle name="Обычный 10 5 2 3 2 9" xfId="5531"/>
    <cellStyle name="Обычный 10 5 2 3 3" xfId="5532"/>
    <cellStyle name="Обычный 10 5 2 3 3 2" xfId="5533"/>
    <cellStyle name="Обычный 10 5 2 3 3 2 2" xfId="5534"/>
    <cellStyle name="Обычный 10 5 2 3 3 2 2 2" xfId="5535"/>
    <cellStyle name="Обычный 10 5 2 3 3 2 2 2 2" xfId="5536"/>
    <cellStyle name="Обычный 10 5 2 3 3 2 2 2 3" xfId="5537"/>
    <cellStyle name="Обычный 10 5 2 3 3 2 2 3" xfId="5538"/>
    <cellStyle name="Обычный 10 5 2 3 3 2 2 3 2" xfId="5539"/>
    <cellStyle name="Обычный 10 5 2 3 3 2 2 3 3" xfId="5540"/>
    <cellStyle name="Обычный 10 5 2 3 3 2 2 4" xfId="5541"/>
    <cellStyle name="Обычный 10 5 2 3 3 2 2 4 2" xfId="5542"/>
    <cellStyle name="Обычный 10 5 2 3 3 2 2 5" xfId="5543"/>
    <cellStyle name="Обычный 10 5 2 3 3 2 2 6" xfId="5544"/>
    <cellStyle name="Обычный 10 5 2 3 3 2 3" xfId="5545"/>
    <cellStyle name="Обычный 10 5 2 3 3 2 3 2" xfId="5546"/>
    <cellStyle name="Обычный 10 5 2 3 3 2 3 3" xfId="5547"/>
    <cellStyle name="Обычный 10 5 2 3 3 2 4" xfId="5548"/>
    <cellStyle name="Обычный 10 5 2 3 3 2 4 2" xfId="5549"/>
    <cellStyle name="Обычный 10 5 2 3 3 2 4 3" xfId="5550"/>
    <cellStyle name="Обычный 10 5 2 3 3 2 5" xfId="5551"/>
    <cellStyle name="Обычный 10 5 2 3 3 2 5 2" xfId="5552"/>
    <cellStyle name="Обычный 10 5 2 3 3 2 6" xfId="5553"/>
    <cellStyle name="Обычный 10 5 2 3 3 2 7" xfId="5554"/>
    <cellStyle name="Обычный 10 5 2 3 3 3" xfId="5555"/>
    <cellStyle name="Обычный 10 5 2 3 3 3 2" xfId="5556"/>
    <cellStyle name="Обычный 10 5 2 3 3 3 2 2" xfId="5557"/>
    <cellStyle name="Обычный 10 5 2 3 3 3 2 3" xfId="5558"/>
    <cellStyle name="Обычный 10 5 2 3 3 3 3" xfId="5559"/>
    <cellStyle name="Обычный 10 5 2 3 3 3 3 2" xfId="5560"/>
    <cellStyle name="Обычный 10 5 2 3 3 3 3 3" xfId="5561"/>
    <cellStyle name="Обычный 10 5 2 3 3 3 4" xfId="5562"/>
    <cellStyle name="Обычный 10 5 2 3 3 3 4 2" xfId="5563"/>
    <cellStyle name="Обычный 10 5 2 3 3 3 5" xfId="5564"/>
    <cellStyle name="Обычный 10 5 2 3 3 3 6" xfId="5565"/>
    <cellStyle name="Обычный 10 5 2 3 3 4" xfId="5566"/>
    <cellStyle name="Обычный 10 5 2 3 3 4 2" xfId="5567"/>
    <cellStyle name="Обычный 10 5 2 3 3 4 3" xfId="5568"/>
    <cellStyle name="Обычный 10 5 2 3 3 5" xfId="5569"/>
    <cellStyle name="Обычный 10 5 2 3 3 5 2" xfId="5570"/>
    <cellStyle name="Обычный 10 5 2 3 3 5 3" xfId="5571"/>
    <cellStyle name="Обычный 10 5 2 3 3 6" xfId="5572"/>
    <cellStyle name="Обычный 10 5 2 3 3 6 2" xfId="5573"/>
    <cellStyle name="Обычный 10 5 2 3 3 7" xfId="5574"/>
    <cellStyle name="Обычный 10 5 2 3 3 8" xfId="5575"/>
    <cellStyle name="Обычный 10 5 2 3 4" xfId="5576"/>
    <cellStyle name="Обычный 10 5 2 3 4 2" xfId="5577"/>
    <cellStyle name="Обычный 10 5 2 3 4 2 2" xfId="5578"/>
    <cellStyle name="Обычный 10 5 2 3 4 2 2 2" xfId="5579"/>
    <cellStyle name="Обычный 10 5 2 3 4 2 2 3" xfId="5580"/>
    <cellStyle name="Обычный 10 5 2 3 4 2 3" xfId="5581"/>
    <cellStyle name="Обычный 10 5 2 3 4 2 3 2" xfId="5582"/>
    <cellStyle name="Обычный 10 5 2 3 4 2 3 3" xfId="5583"/>
    <cellStyle name="Обычный 10 5 2 3 4 2 4" xfId="5584"/>
    <cellStyle name="Обычный 10 5 2 3 4 2 4 2" xfId="5585"/>
    <cellStyle name="Обычный 10 5 2 3 4 2 5" xfId="5586"/>
    <cellStyle name="Обычный 10 5 2 3 4 2 6" xfId="5587"/>
    <cellStyle name="Обычный 10 5 2 3 4 3" xfId="5588"/>
    <cellStyle name="Обычный 10 5 2 3 4 3 2" xfId="5589"/>
    <cellStyle name="Обычный 10 5 2 3 4 3 3" xfId="5590"/>
    <cellStyle name="Обычный 10 5 2 3 4 4" xfId="5591"/>
    <cellStyle name="Обычный 10 5 2 3 4 4 2" xfId="5592"/>
    <cellStyle name="Обычный 10 5 2 3 4 4 3" xfId="5593"/>
    <cellStyle name="Обычный 10 5 2 3 4 5" xfId="5594"/>
    <cellStyle name="Обычный 10 5 2 3 4 5 2" xfId="5595"/>
    <cellStyle name="Обычный 10 5 2 3 4 6" xfId="5596"/>
    <cellStyle name="Обычный 10 5 2 3 4 7" xfId="5597"/>
    <cellStyle name="Обычный 10 5 2 3 5" xfId="5598"/>
    <cellStyle name="Обычный 10 5 2 3 5 2" xfId="5599"/>
    <cellStyle name="Обычный 10 5 2 3 5 2 2" xfId="5600"/>
    <cellStyle name="Обычный 10 5 2 3 5 2 3" xfId="5601"/>
    <cellStyle name="Обычный 10 5 2 3 5 3" xfId="5602"/>
    <cellStyle name="Обычный 10 5 2 3 5 3 2" xfId="5603"/>
    <cellStyle name="Обычный 10 5 2 3 5 3 3" xfId="5604"/>
    <cellStyle name="Обычный 10 5 2 3 5 4" xfId="5605"/>
    <cellStyle name="Обычный 10 5 2 3 5 4 2" xfId="5606"/>
    <cellStyle name="Обычный 10 5 2 3 5 5" xfId="5607"/>
    <cellStyle name="Обычный 10 5 2 3 5 6" xfId="5608"/>
    <cellStyle name="Обычный 10 5 2 3 6" xfId="5609"/>
    <cellStyle name="Обычный 10 5 2 3 6 2" xfId="5610"/>
    <cellStyle name="Обычный 10 5 2 3 6 3" xfId="5611"/>
    <cellStyle name="Обычный 10 5 2 3 7" xfId="5612"/>
    <cellStyle name="Обычный 10 5 2 3 7 2" xfId="5613"/>
    <cellStyle name="Обычный 10 5 2 3 7 3" xfId="5614"/>
    <cellStyle name="Обычный 10 5 2 3 8" xfId="5615"/>
    <cellStyle name="Обычный 10 5 2 3 8 2" xfId="5616"/>
    <cellStyle name="Обычный 10 5 2 3 9" xfId="5617"/>
    <cellStyle name="Обычный 10 5 2 4" xfId="5618"/>
    <cellStyle name="Обычный 10 5 2 4 10" xfId="5619"/>
    <cellStyle name="Обычный 10 5 2 4 2" xfId="5620"/>
    <cellStyle name="Обычный 10 5 2 4 2 2" xfId="5621"/>
    <cellStyle name="Обычный 10 5 2 4 2 2 2" xfId="5622"/>
    <cellStyle name="Обычный 10 5 2 4 2 2 2 2" xfId="5623"/>
    <cellStyle name="Обычный 10 5 2 4 2 2 2 2 2" xfId="5624"/>
    <cellStyle name="Обычный 10 5 2 4 2 2 2 2 2 2" xfId="5625"/>
    <cellStyle name="Обычный 10 5 2 4 2 2 2 2 2 3" xfId="5626"/>
    <cellStyle name="Обычный 10 5 2 4 2 2 2 2 3" xfId="5627"/>
    <cellStyle name="Обычный 10 5 2 4 2 2 2 2 3 2" xfId="5628"/>
    <cellStyle name="Обычный 10 5 2 4 2 2 2 2 3 3" xfId="5629"/>
    <cellStyle name="Обычный 10 5 2 4 2 2 2 2 4" xfId="5630"/>
    <cellStyle name="Обычный 10 5 2 4 2 2 2 2 4 2" xfId="5631"/>
    <cellStyle name="Обычный 10 5 2 4 2 2 2 2 5" xfId="5632"/>
    <cellStyle name="Обычный 10 5 2 4 2 2 2 2 6" xfId="5633"/>
    <cellStyle name="Обычный 10 5 2 4 2 2 2 3" xfId="5634"/>
    <cellStyle name="Обычный 10 5 2 4 2 2 2 3 2" xfId="5635"/>
    <cellStyle name="Обычный 10 5 2 4 2 2 2 3 3" xfId="5636"/>
    <cellStyle name="Обычный 10 5 2 4 2 2 2 4" xfId="5637"/>
    <cellStyle name="Обычный 10 5 2 4 2 2 2 4 2" xfId="5638"/>
    <cellStyle name="Обычный 10 5 2 4 2 2 2 4 3" xfId="5639"/>
    <cellStyle name="Обычный 10 5 2 4 2 2 2 5" xfId="5640"/>
    <cellStyle name="Обычный 10 5 2 4 2 2 2 5 2" xfId="5641"/>
    <cellStyle name="Обычный 10 5 2 4 2 2 2 6" xfId="5642"/>
    <cellStyle name="Обычный 10 5 2 4 2 2 2 7" xfId="5643"/>
    <cellStyle name="Обычный 10 5 2 4 2 2 3" xfId="5644"/>
    <cellStyle name="Обычный 10 5 2 4 2 2 3 2" xfId="5645"/>
    <cellStyle name="Обычный 10 5 2 4 2 2 3 2 2" xfId="5646"/>
    <cellStyle name="Обычный 10 5 2 4 2 2 3 2 3" xfId="5647"/>
    <cellStyle name="Обычный 10 5 2 4 2 2 3 3" xfId="5648"/>
    <cellStyle name="Обычный 10 5 2 4 2 2 3 3 2" xfId="5649"/>
    <cellStyle name="Обычный 10 5 2 4 2 2 3 3 3" xfId="5650"/>
    <cellStyle name="Обычный 10 5 2 4 2 2 3 4" xfId="5651"/>
    <cellStyle name="Обычный 10 5 2 4 2 2 3 4 2" xfId="5652"/>
    <cellStyle name="Обычный 10 5 2 4 2 2 3 5" xfId="5653"/>
    <cellStyle name="Обычный 10 5 2 4 2 2 3 6" xfId="5654"/>
    <cellStyle name="Обычный 10 5 2 4 2 2 4" xfId="5655"/>
    <cellStyle name="Обычный 10 5 2 4 2 2 4 2" xfId="5656"/>
    <cellStyle name="Обычный 10 5 2 4 2 2 4 3" xfId="5657"/>
    <cellStyle name="Обычный 10 5 2 4 2 2 5" xfId="5658"/>
    <cellStyle name="Обычный 10 5 2 4 2 2 5 2" xfId="5659"/>
    <cellStyle name="Обычный 10 5 2 4 2 2 5 3" xfId="5660"/>
    <cellStyle name="Обычный 10 5 2 4 2 2 6" xfId="5661"/>
    <cellStyle name="Обычный 10 5 2 4 2 2 6 2" xfId="5662"/>
    <cellStyle name="Обычный 10 5 2 4 2 2 7" xfId="5663"/>
    <cellStyle name="Обычный 10 5 2 4 2 2 8" xfId="5664"/>
    <cellStyle name="Обычный 10 5 2 4 2 3" xfId="5665"/>
    <cellStyle name="Обычный 10 5 2 4 2 3 2" xfId="5666"/>
    <cellStyle name="Обычный 10 5 2 4 2 3 2 2" xfId="5667"/>
    <cellStyle name="Обычный 10 5 2 4 2 3 2 2 2" xfId="5668"/>
    <cellStyle name="Обычный 10 5 2 4 2 3 2 2 3" xfId="5669"/>
    <cellStyle name="Обычный 10 5 2 4 2 3 2 3" xfId="5670"/>
    <cellStyle name="Обычный 10 5 2 4 2 3 2 3 2" xfId="5671"/>
    <cellStyle name="Обычный 10 5 2 4 2 3 2 3 3" xfId="5672"/>
    <cellStyle name="Обычный 10 5 2 4 2 3 2 4" xfId="5673"/>
    <cellStyle name="Обычный 10 5 2 4 2 3 2 4 2" xfId="5674"/>
    <cellStyle name="Обычный 10 5 2 4 2 3 2 5" xfId="5675"/>
    <cellStyle name="Обычный 10 5 2 4 2 3 2 6" xfId="5676"/>
    <cellStyle name="Обычный 10 5 2 4 2 3 3" xfId="5677"/>
    <cellStyle name="Обычный 10 5 2 4 2 3 3 2" xfId="5678"/>
    <cellStyle name="Обычный 10 5 2 4 2 3 3 3" xfId="5679"/>
    <cellStyle name="Обычный 10 5 2 4 2 3 4" xfId="5680"/>
    <cellStyle name="Обычный 10 5 2 4 2 3 4 2" xfId="5681"/>
    <cellStyle name="Обычный 10 5 2 4 2 3 4 3" xfId="5682"/>
    <cellStyle name="Обычный 10 5 2 4 2 3 5" xfId="5683"/>
    <cellStyle name="Обычный 10 5 2 4 2 3 5 2" xfId="5684"/>
    <cellStyle name="Обычный 10 5 2 4 2 3 6" xfId="5685"/>
    <cellStyle name="Обычный 10 5 2 4 2 3 7" xfId="5686"/>
    <cellStyle name="Обычный 10 5 2 4 2 4" xfId="5687"/>
    <cellStyle name="Обычный 10 5 2 4 2 4 2" xfId="5688"/>
    <cellStyle name="Обычный 10 5 2 4 2 4 2 2" xfId="5689"/>
    <cellStyle name="Обычный 10 5 2 4 2 4 2 3" xfId="5690"/>
    <cellStyle name="Обычный 10 5 2 4 2 4 3" xfId="5691"/>
    <cellStyle name="Обычный 10 5 2 4 2 4 3 2" xfId="5692"/>
    <cellStyle name="Обычный 10 5 2 4 2 4 3 3" xfId="5693"/>
    <cellStyle name="Обычный 10 5 2 4 2 4 4" xfId="5694"/>
    <cellStyle name="Обычный 10 5 2 4 2 4 4 2" xfId="5695"/>
    <cellStyle name="Обычный 10 5 2 4 2 4 5" xfId="5696"/>
    <cellStyle name="Обычный 10 5 2 4 2 4 6" xfId="5697"/>
    <cellStyle name="Обычный 10 5 2 4 2 5" xfId="5698"/>
    <cellStyle name="Обычный 10 5 2 4 2 5 2" xfId="5699"/>
    <cellStyle name="Обычный 10 5 2 4 2 5 3" xfId="5700"/>
    <cellStyle name="Обычный 10 5 2 4 2 6" xfId="5701"/>
    <cellStyle name="Обычный 10 5 2 4 2 6 2" xfId="5702"/>
    <cellStyle name="Обычный 10 5 2 4 2 6 3" xfId="5703"/>
    <cellStyle name="Обычный 10 5 2 4 2 7" xfId="5704"/>
    <cellStyle name="Обычный 10 5 2 4 2 7 2" xfId="5705"/>
    <cellStyle name="Обычный 10 5 2 4 2 8" xfId="5706"/>
    <cellStyle name="Обычный 10 5 2 4 2 9" xfId="5707"/>
    <cellStyle name="Обычный 10 5 2 4 3" xfId="5708"/>
    <cellStyle name="Обычный 10 5 2 4 3 2" xfId="5709"/>
    <cellStyle name="Обычный 10 5 2 4 3 2 2" xfId="5710"/>
    <cellStyle name="Обычный 10 5 2 4 3 2 2 2" xfId="5711"/>
    <cellStyle name="Обычный 10 5 2 4 3 2 2 2 2" xfId="5712"/>
    <cellStyle name="Обычный 10 5 2 4 3 2 2 2 3" xfId="5713"/>
    <cellStyle name="Обычный 10 5 2 4 3 2 2 3" xfId="5714"/>
    <cellStyle name="Обычный 10 5 2 4 3 2 2 3 2" xfId="5715"/>
    <cellStyle name="Обычный 10 5 2 4 3 2 2 3 3" xfId="5716"/>
    <cellStyle name="Обычный 10 5 2 4 3 2 2 4" xfId="5717"/>
    <cellStyle name="Обычный 10 5 2 4 3 2 2 4 2" xfId="5718"/>
    <cellStyle name="Обычный 10 5 2 4 3 2 2 5" xfId="5719"/>
    <cellStyle name="Обычный 10 5 2 4 3 2 2 6" xfId="5720"/>
    <cellStyle name="Обычный 10 5 2 4 3 2 3" xfId="5721"/>
    <cellStyle name="Обычный 10 5 2 4 3 2 3 2" xfId="5722"/>
    <cellStyle name="Обычный 10 5 2 4 3 2 3 3" xfId="5723"/>
    <cellStyle name="Обычный 10 5 2 4 3 2 4" xfId="5724"/>
    <cellStyle name="Обычный 10 5 2 4 3 2 4 2" xfId="5725"/>
    <cellStyle name="Обычный 10 5 2 4 3 2 4 3" xfId="5726"/>
    <cellStyle name="Обычный 10 5 2 4 3 2 5" xfId="5727"/>
    <cellStyle name="Обычный 10 5 2 4 3 2 5 2" xfId="5728"/>
    <cellStyle name="Обычный 10 5 2 4 3 2 6" xfId="5729"/>
    <cellStyle name="Обычный 10 5 2 4 3 2 7" xfId="5730"/>
    <cellStyle name="Обычный 10 5 2 4 3 3" xfId="5731"/>
    <cellStyle name="Обычный 10 5 2 4 3 3 2" xfId="5732"/>
    <cellStyle name="Обычный 10 5 2 4 3 3 2 2" xfId="5733"/>
    <cellStyle name="Обычный 10 5 2 4 3 3 2 3" xfId="5734"/>
    <cellStyle name="Обычный 10 5 2 4 3 3 3" xfId="5735"/>
    <cellStyle name="Обычный 10 5 2 4 3 3 3 2" xfId="5736"/>
    <cellStyle name="Обычный 10 5 2 4 3 3 3 3" xfId="5737"/>
    <cellStyle name="Обычный 10 5 2 4 3 3 4" xfId="5738"/>
    <cellStyle name="Обычный 10 5 2 4 3 3 4 2" xfId="5739"/>
    <cellStyle name="Обычный 10 5 2 4 3 3 5" xfId="5740"/>
    <cellStyle name="Обычный 10 5 2 4 3 3 6" xfId="5741"/>
    <cellStyle name="Обычный 10 5 2 4 3 4" xfId="5742"/>
    <cellStyle name="Обычный 10 5 2 4 3 4 2" xfId="5743"/>
    <cellStyle name="Обычный 10 5 2 4 3 4 3" xfId="5744"/>
    <cellStyle name="Обычный 10 5 2 4 3 5" xfId="5745"/>
    <cellStyle name="Обычный 10 5 2 4 3 5 2" xfId="5746"/>
    <cellStyle name="Обычный 10 5 2 4 3 5 3" xfId="5747"/>
    <cellStyle name="Обычный 10 5 2 4 3 6" xfId="5748"/>
    <cellStyle name="Обычный 10 5 2 4 3 6 2" xfId="5749"/>
    <cellStyle name="Обычный 10 5 2 4 3 7" xfId="5750"/>
    <cellStyle name="Обычный 10 5 2 4 3 8" xfId="5751"/>
    <cellStyle name="Обычный 10 5 2 4 4" xfId="5752"/>
    <cellStyle name="Обычный 10 5 2 4 4 2" xfId="5753"/>
    <cellStyle name="Обычный 10 5 2 4 4 2 2" xfId="5754"/>
    <cellStyle name="Обычный 10 5 2 4 4 2 2 2" xfId="5755"/>
    <cellStyle name="Обычный 10 5 2 4 4 2 2 3" xfId="5756"/>
    <cellStyle name="Обычный 10 5 2 4 4 2 3" xfId="5757"/>
    <cellStyle name="Обычный 10 5 2 4 4 2 3 2" xfId="5758"/>
    <cellStyle name="Обычный 10 5 2 4 4 2 3 3" xfId="5759"/>
    <cellStyle name="Обычный 10 5 2 4 4 2 4" xfId="5760"/>
    <cellStyle name="Обычный 10 5 2 4 4 2 4 2" xfId="5761"/>
    <cellStyle name="Обычный 10 5 2 4 4 2 5" xfId="5762"/>
    <cellStyle name="Обычный 10 5 2 4 4 2 6" xfId="5763"/>
    <cellStyle name="Обычный 10 5 2 4 4 3" xfId="5764"/>
    <cellStyle name="Обычный 10 5 2 4 4 3 2" xfId="5765"/>
    <cellStyle name="Обычный 10 5 2 4 4 3 3" xfId="5766"/>
    <cellStyle name="Обычный 10 5 2 4 4 4" xfId="5767"/>
    <cellStyle name="Обычный 10 5 2 4 4 4 2" xfId="5768"/>
    <cellStyle name="Обычный 10 5 2 4 4 4 3" xfId="5769"/>
    <cellStyle name="Обычный 10 5 2 4 4 5" xfId="5770"/>
    <cellStyle name="Обычный 10 5 2 4 4 5 2" xfId="5771"/>
    <cellStyle name="Обычный 10 5 2 4 4 6" xfId="5772"/>
    <cellStyle name="Обычный 10 5 2 4 4 7" xfId="5773"/>
    <cellStyle name="Обычный 10 5 2 4 5" xfId="5774"/>
    <cellStyle name="Обычный 10 5 2 4 5 2" xfId="5775"/>
    <cellStyle name="Обычный 10 5 2 4 5 2 2" xfId="5776"/>
    <cellStyle name="Обычный 10 5 2 4 5 2 3" xfId="5777"/>
    <cellStyle name="Обычный 10 5 2 4 5 3" xfId="5778"/>
    <cellStyle name="Обычный 10 5 2 4 5 3 2" xfId="5779"/>
    <cellStyle name="Обычный 10 5 2 4 5 3 3" xfId="5780"/>
    <cellStyle name="Обычный 10 5 2 4 5 4" xfId="5781"/>
    <cellStyle name="Обычный 10 5 2 4 5 4 2" xfId="5782"/>
    <cellStyle name="Обычный 10 5 2 4 5 5" xfId="5783"/>
    <cellStyle name="Обычный 10 5 2 4 5 6" xfId="5784"/>
    <cellStyle name="Обычный 10 5 2 4 6" xfId="5785"/>
    <cellStyle name="Обычный 10 5 2 4 6 2" xfId="5786"/>
    <cellStyle name="Обычный 10 5 2 4 6 3" xfId="5787"/>
    <cellStyle name="Обычный 10 5 2 4 7" xfId="5788"/>
    <cellStyle name="Обычный 10 5 2 4 7 2" xfId="5789"/>
    <cellStyle name="Обычный 10 5 2 4 7 3" xfId="5790"/>
    <cellStyle name="Обычный 10 5 2 4 8" xfId="5791"/>
    <cellStyle name="Обычный 10 5 2 4 8 2" xfId="5792"/>
    <cellStyle name="Обычный 10 5 2 4 9" xfId="5793"/>
    <cellStyle name="Обычный 10 5 2 5" xfId="5794"/>
    <cellStyle name="Обычный 10 5 2 5 2" xfId="5795"/>
    <cellStyle name="Обычный 10 5 2 5 2 2" xfId="5796"/>
    <cellStyle name="Обычный 10 5 2 5 2 2 2" xfId="5797"/>
    <cellStyle name="Обычный 10 5 2 5 2 2 2 2" xfId="5798"/>
    <cellStyle name="Обычный 10 5 2 5 2 2 2 2 2" xfId="5799"/>
    <cellStyle name="Обычный 10 5 2 5 2 2 2 2 3" xfId="5800"/>
    <cellStyle name="Обычный 10 5 2 5 2 2 2 3" xfId="5801"/>
    <cellStyle name="Обычный 10 5 2 5 2 2 2 3 2" xfId="5802"/>
    <cellStyle name="Обычный 10 5 2 5 2 2 2 3 3" xfId="5803"/>
    <cellStyle name="Обычный 10 5 2 5 2 2 2 4" xfId="5804"/>
    <cellStyle name="Обычный 10 5 2 5 2 2 2 4 2" xfId="5805"/>
    <cellStyle name="Обычный 10 5 2 5 2 2 2 5" xfId="5806"/>
    <cellStyle name="Обычный 10 5 2 5 2 2 2 6" xfId="5807"/>
    <cellStyle name="Обычный 10 5 2 5 2 2 3" xfId="5808"/>
    <cellStyle name="Обычный 10 5 2 5 2 2 3 2" xfId="5809"/>
    <cellStyle name="Обычный 10 5 2 5 2 2 3 3" xfId="5810"/>
    <cellStyle name="Обычный 10 5 2 5 2 2 4" xfId="5811"/>
    <cellStyle name="Обычный 10 5 2 5 2 2 4 2" xfId="5812"/>
    <cellStyle name="Обычный 10 5 2 5 2 2 4 3" xfId="5813"/>
    <cellStyle name="Обычный 10 5 2 5 2 2 5" xfId="5814"/>
    <cellStyle name="Обычный 10 5 2 5 2 2 5 2" xfId="5815"/>
    <cellStyle name="Обычный 10 5 2 5 2 2 6" xfId="5816"/>
    <cellStyle name="Обычный 10 5 2 5 2 2 7" xfId="5817"/>
    <cellStyle name="Обычный 10 5 2 5 2 3" xfId="5818"/>
    <cellStyle name="Обычный 10 5 2 5 2 3 2" xfId="5819"/>
    <cellStyle name="Обычный 10 5 2 5 2 3 2 2" xfId="5820"/>
    <cellStyle name="Обычный 10 5 2 5 2 3 2 3" xfId="5821"/>
    <cellStyle name="Обычный 10 5 2 5 2 3 3" xfId="5822"/>
    <cellStyle name="Обычный 10 5 2 5 2 3 3 2" xfId="5823"/>
    <cellStyle name="Обычный 10 5 2 5 2 3 3 3" xfId="5824"/>
    <cellStyle name="Обычный 10 5 2 5 2 3 4" xfId="5825"/>
    <cellStyle name="Обычный 10 5 2 5 2 3 4 2" xfId="5826"/>
    <cellStyle name="Обычный 10 5 2 5 2 3 5" xfId="5827"/>
    <cellStyle name="Обычный 10 5 2 5 2 3 6" xfId="5828"/>
    <cellStyle name="Обычный 10 5 2 5 2 4" xfId="5829"/>
    <cellStyle name="Обычный 10 5 2 5 2 4 2" xfId="5830"/>
    <cellStyle name="Обычный 10 5 2 5 2 4 3" xfId="5831"/>
    <cellStyle name="Обычный 10 5 2 5 2 5" xfId="5832"/>
    <cellStyle name="Обычный 10 5 2 5 2 5 2" xfId="5833"/>
    <cellStyle name="Обычный 10 5 2 5 2 5 3" xfId="5834"/>
    <cellStyle name="Обычный 10 5 2 5 2 6" xfId="5835"/>
    <cellStyle name="Обычный 10 5 2 5 2 6 2" xfId="5836"/>
    <cellStyle name="Обычный 10 5 2 5 2 7" xfId="5837"/>
    <cellStyle name="Обычный 10 5 2 5 2 8" xfId="5838"/>
    <cellStyle name="Обычный 10 5 2 5 3" xfId="5839"/>
    <cellStyle name="Обычный 10 5 2 5 3 2" xfId="5840"/>
    <cellStyle name="Обычный 10 5 2 5 3 2 2" xfId="5841"/>
    <cellStyle name="Обычный 10 5 2 5 3 2 2 2" xfId="5842"/>
    <cellStyle name="Обычный 10 5 2 5 3 2 2 3" xfId="5843"/>
    <cellStyle name="Обычный 10 5 2 5 3 2 3" xfId="5844"/>
    <cellStyle name="Обычный 10 5 2 5 3 2 3 2" xfId="5845"/>
    <cellStyle name="Обычный 10 5 2 5 3 2 3 3" xfId="5846"/>
    <cellStyle name="Обычный 10 5 2 5 3 2 4" xfId="5847"/>
    <cellStyle name="Обычный 10 5 2 5 3 2 4 2" xfId="5848"/>
    <cellStyle name="Обычный 10 5 2 5 3 2 5" xfId="5849"/>
    <cellStyle name="Обычный 10 5 2 5 3 2 6" xfId="5850"/>
    <cellStyle name="Обычный 10 5 2 5 3 3" xfId="5851"/>
    <cellStyle name="Обычный 10 5 2 5 3 3 2" xfId="5852"/>
    <cellStyle name="Обычный 10 5 2 5 3 3 3" xfId="5853"/>
    <cellStyle name="Обычный 10 5 2 5 3 4" xfId="5854"/>
    <cellStyle name="Обычный 10 5 2 5 3 4 2" xfId="5855"/>
    <cellStyle name="Обычный 10 5 2 5 3 4 3" xfId="5856"/>
    <cellStyle name="Обычный 10 5 2 5 3 5" xfId="5857"/>
    <cellStyle name="Обычный 10 5 2 5 3 5 2" xfId="5858"/>
    <cellStyle name="Обычный 10 5 2 5 3 6" xfId="5859"/>
    <cellStyle name="Обычный 10 5 2 5 3 7" xfId="5860"/>
    <cellStyle name="Обычный 10 5 2 5 4" xfId="5861"/>
    <cellStyle name="Обычный 10 5 2 5 4 2" xfId="5862"/>
    <cellStyle name="Обычный 10 5 2 5 4 2 2" xfId="5863"/>
    <cellStyle name="Обычный 10 5 2 5 4 2 3" xfId="5864"/>
    <cellStyle name="Обычный 10 5 2 5 4 3" xfId="5865"/>
    <cellStyle name="Обычный 10 5 2 5 4 3 2" xfId="5866"/>
    <cellStyle name="Обычный 10 5 2 5 4 3 3" xfId="5867"/>
    <cellStyle name="Обычный 10 5 2 5 4 4" xfId="5868"/>
    <cellStyle name="Обычный 10 5 2 5 4 4 2" xfId="5869"/>
    <cellStyle name="Обычный 10 5 2 5 4 5" xfId="5870"/>
    <cellStyle name="Обычный 10 5 2 5 4 6" xfId="5871"/>
    <cellStyle name="Обычный 10 5 2 5 5" xfId="5872"/>
    <cellStyle name="Обычный 10 5 2 5 5 2" xfId="5873"/>
    <cellStyle name="Обычный 10 5 2 5 5 3" xfId="5874"/>
    <cellStyle name="Обычный 10 5 2 5 6" xfId="5875"/>
    <cellStyle name="Обычный 10 5 2 5 6 2" xfId="5876"/>
    <cellStyle name="Обычный 10 5 2 5 6 3" xfId="5877"/>
    <cellStyle name="Обычный 10 5 2 5 7" xfId="5878"/>
    <cellStyle name="Обычный 10 5 2 5 7 2" xfId="5879"/>
    <cellStyle name="Обычный 10 5 2 5 8" xfId="5880"/>
    <cellStyle name="Обычный 10 5 2 5 9" xfId="5881"/>
    <cellStyle name="Обычный 10 5 2 6" xfId="5882"/>
    <cellStyle name="Обычный 10 5 2 6 2" xfId="5883"/>
    <cellStyle name="Обычный 10 5 2 6 2 2" xfId="5884"/>
    <cellStyle name="Обычный 10 5 2 6 2 2 2" xfId="5885"/>
    <cellStyle name="Обычный 10 5 2 6 2 2 2 2" xfId="5886"/>
    <cellStyle name="Обычный 10 5 2 6 2 2 2 3" xfId="5887"/>
    <cellStyle name="Обычный 10 5 2 6 2 2 3" xfId="5888"/>
    <cellStyle name="Обычный 10 5 2 6 2 2 3 2" xfId="5889"/>
    <cellStyle name="Обычный 10 5 2 6 2 2 3 3" xfId="5890"/>
    <cellStyle name="Обычный 10 5 2 6 2 2 4" xfId="5891"/>
    <cellStyle name="Обычный 10 5 2 6 2 2 4 2" xfId="5892"/>
    <cellStyle name="Обычный 10 5 2 6 2 2 5" xfId="5893"/>
    <cellStyle name="Обычный 10 5 2 6 2 2 6" xfId="5894"/>
    <cellStyle name="Обычный 10 5 2 6 2 3" xfId="5895"/>
    <cellStyle name="Обычный 10 5 2 6 2 3 2" xfId="5896"/>
    <cellStyle name="Обычный 10 5 2 6 2 3 3" xfId="5897"/>
    <cellStyle name="Обычный 10 5 2 6 2 4" xfId="5898"/>
    <cellStyle name="Обычный 10 5 2 6 2 4 2" xfId="5899"/>
    <cellStyle name="Обычный 10 5 2 6 2 4 3" xfId="5900"/>
    <cellStyle name="Обычный 10 5 2 6 2 5" xfId="5901"/>
    <cellStyle name="Обычный 10 5 2 6 2 5 2" xfId="5902"/>
    <cellStyle name="Обычный 10 5 2 6 2 6" xfId="5903"/>
    <cellStyle name="Обычный 10 5 2 6 2 7" xfId="5904"/>
    <cellStyle name="Обычный 10 5 2 6 3" xfId="5905"/>
    <cellStyle name="Обычный 10 5 2 6 3 2" xfId="5906"/>
    <cellStyle name="Обычный 10 5 2 6 3 2 2" xfId="5907"/>
    <cellStyle name="Обычный 10 5 2 6 3 2 3" xfId="5908"/>
    <cellStyle name="Обычный 10 5 2 6 3 3" xfId="5909"/>
    <cellStyle name="Обычный 10 5 2 6 3 3 2" xfId="5910"/>
    <cellStyle name="Обычный 10 5 2 6 3 3 3" xfId="5911"/>
    <cellStyle name="Обычный 10 5 2 6 3 4" xfId="5912"/>
    <cellStyle name="Обычный 10 5 2 6 3 4 2" xfId="5913"/>
    <cellStyle name="Обычный 10 5 2 6 3 5" xfId="5914"/>
    <cellStyle name="Обычный 10 5 2 6 3 6" xfId="5915"/>
    <cellStyle name="Обычный 10 5 2 6 4" xfId="5916"/>
    <cellStyle name="Обычный 10 5 2 6 4 2" xfId="5917"/>
    <cellStyle name="Обычный 10 5 2 6 4 3" xfId="5918"/>
    <cellStyle name="Обычный 10 5 2 6 5" xfId="5919"/>
    <cellStyle name="Обычный 10 5 2 6 5 2" xfId="5920"/>
    <cellStyle name="Обычный 10 5 2 6 5 3" xfId="5921"/>
    <cellStyle name="Обычный 10 5 2 6 6" xfId="5922"/>
    <cellStyle name="Обычный 10 5 2 6 6 2" xfId="5923"/>
    <cellStyle name="Обычный 10 5 2 6 7" xfId="5924"/>
    <cellStyle name="Обычный 10 5 2 6 8" xfId="5925"/>
    <cellStyle name="Обычный 10 5 2 7" xfId="5926"/>
    <cellStyle name="Обычный 10 5 2 7 2" xfId="5927"/>
    <cellStyle name="Обычный 10 5 2 7 2 2" xfId="5928"/>
    <cellStyle name="Обычный 10 5 2 7 2 2 2" xfId="5929"/>
    <cellStyle name="Обычный 10 5 2 7 2 2 3" xfId="5930"/>
    <cellStyle name="Обычный 10 5 2 7 2 3" xfId="5931"/>
    <cellStyle name="Обычный 10 5 2 7 2 3 2" xfId="5932"/>
    <cellStyle name="Обычный 10 5 2 7 2 3 3" xfId="5933"/>
    <cellStyle name="Обычный 10 5 2 7 2 4" xfId="5934"/>
    <cellStyle name="Обычный 10 5 2 7 2 4 2" xfId="5935"/>
    <cellStyle name="Обычный 10 5 2 7 2 5" xfId="5936"/>
    <cellStyle name="Обычный 10 5 2 7 2 6" xfId="5937"/>
    <cellStyle name="Обычный 10 5 2 7 3" xfId="5938"/>
    <cellStyle name="Обычный 10 5 2 7 3 2" xfId="5939"/>
    <cellStyle name="Обычный 10 5 2 7 3 3" xfId="5940"/>
    <cellStyle name="Обычный 10 5 2 7 4" xfId="5941"/>
    <cellStyle name="Обычный 10 5 2 7 4 2" xfId="5942"/>
    <cellStyle name="Обычный 10 5 2 7 4 3" xfId="5943"/>
    <cellStyle name="Обычный 10 5 2 7 5" xfId="5944"/>
    <cellStyle name="Обычный 10 5 2 7 5 2" xfId="5945"/>
    <cellStyle name="Обычный 10 5 2 7 6" xfId="5946"/>
    <cellStyle name="Обычный 10 5 2 7 7" xfId="5947"/>
    <cellStyle name="Обычный 10 5 2 8" xfId="5948"/>
    <cellStyle name="Обычный 10 5 2 8 2" xfId="5949"/>
    <cellStyle name="Обычный 10 5 2 8 2 2" xfId="5950"/>
    <cellStyle name="Обычный 10 5 2 8 2 3" xfId="5951"/>
    <cellStyle name="Обычный 10 5 2 8 3" xfId="5952"/>
    <cellStyle name="Обычный 10 5 2 8 3 2" xfId="5953"/>
    <cellStyle name="Обычный 10 5 2 8 3 3" xfId="5954"/>
    <cellStyle name="Обычный 10 5 2 8 4" xfId="5955"/>
    <cellStyle name="Обычный 10 5 2 8 4 2" xfId="5956"/>
    <cellStyle name="Обычный 10 5 2 8 5" xfId="5957"/>
    <cellStyle name="Обычный 10 5 2 8 6" xfId="5958"/>
    <cellStyle name="Обычный 10 5 2 9" xfId="5959"/>
    <cellStyle name="Обычный 10 5 2 9 2" xfId="5960"/>
    <cellStyle name="Обычный 10 5 2 9 3" xfId="5961"/>
    <cellStyle name="Обычный 10 5 3" xfId="5962"/>
    <cellStyle name="Обычный 10 5 3 10" xfId="5963"/>
    <cellStyle name="Обычный 10 5 3 2" xfId="5964"/>
    <cellStyle name="Обычный 10 5 3 2 2" xfId="5965"/>
    <cellStyle name="Обычный 10 5 3 2 2 2" xfId="5966"/>
    <cellStyle name="Обычный 10 5 3 2 2 2 2" xfId="5967"/>
    <cellStyle name="Обычный 10 5 3 2 2 2 2 2" xfId="5968"/>
    <cellStyle name="Обычный 10 5 3 2 2 2 2 2 2" xfId="5969"/>
    <cellStyle name="Обычный 10 5 3 2 2 2 2 2 3" xfId="5970"/>
    <cellStyle name="Обычный 10 5 3 2 2 2 2 3" xfId="5971"/>
    <cellStyle name="Обычный 10 5 3 2 2 2 2 3 2" xfId="5972"/>
    <cellStyle name="Обычный 10 5 3 2 2 2 2 3 3" xfId="5973"/>
    <cellStyle name="Обычный 10 5 3 2 2 2 2 4" xfId="5974"/>
    <cellStyle name="Обычный 10 5 3 2 2 2 2 4 2" xfId="5975"/>
    <cellStyle name="Обычный 10 5 3 2 2 2 2 5" xfId="5976"/>
    <cellStyle name="Обычный 10 5 3 2 2 2 2 6" xfId="5977"/>
    <cellStyle name="Обычный 10 5 3 2 2 2 3" xfId="5978"/>
    <cellStyle name="Обычный 10 5 3 2 2 2 3 2" xfId="5979"/>
    <cellStyle name="Обычный 10 5 3 2 2 2 3 3" xfId="5980"/>
    <cellStyle name="Обычный 10 5 3 2 2 2 4" xfId="5981"/>
    <cellStyle name="Обычный 10 5 3 2 2 2 4 2" xfId="5982"/>
    <cellStyle name="Обычный 10 5 3 2 2 2 4 3" xfId="5983"/>
    <cellStyle name="Обычный 10 5 3 2 2 2 5" xfId="5984"/>
    <cellStyle name="Обычный 10 5 3 2 2 2 5 2" xfId="5985"/>
    <cellStyle name="Обычный 10 5 3 2 2 2 6" xfId="5986"/>
    <cellStyle name="Обычный 10 5 3 2 2 2 7" xfId="5987"/>
    <cellStyle name="Обычный 10 5 3 2 2 3" xfId="5988"/>
    <cellStyle name="Обычный 10 5 3 2 2 3 2" xfId="5989"/>
    <cellStyle name="Обычный 10 5 3 2 2 3 2 2" xfId="5990"/>
    <cellStyle name="Обычный 10 5 3 2 2 3 2 3" xfId="5991"/>
    <cellStyle name="Обычный 10 5 3 2 2 3 3" xfId="5992"/>
    <cellStyle name="Обычный 10 5 3 2 2 3 3 2" xfId="5993"/>
    <cellStyle name="Обычный 10 5 3 2 2 3 3 3" xfId="5994"/>
    <cellStyle name="Обычный 10 5 3 2 2 3 4" xfId="5995"/>
    <cellStyle name="Обычный 10 5 3 2 2 3 4 2" xfId="5996"/>
    <cellStyle name="Обычный 10 5 3 2 2 3 5" xfId="5997"/>
    <cellStyle name="Обычный 10 5 3 2 2 3 6" xfId="5998"/>
    <cellStyle name="Обычный 10 5 3 2 2 4" xfId="5999"/>
    <cellStyle name="Обычный 10 5 3 2 2 4 2" xfId="6000"/>
    <cellStyle name="Обычный 10 5 3 2 2 4 3" xfId="6001"/>
    <cellStyle name="Обычный 10 5 3 2 2 5" xfId="6002"/>
    <cellStyle name="Обычный 10 5 3 2 2 5 2" xfId="6003"/>
    <cellStyle name="Обычный 10 5 3 2 2 5 3" xfId="6004"/>
    <cellStyle name="Обычный 10 5 3 2 2 6" xfId="6005"/>
    <cellStyle name="Обычный 10 5 3 2 2 6 2" xfId="6006"/>
    <cellStyle name="Обычный 10 5 3 2 2 7" xfId="6007"/>
    <cellStyle name="Обычный 10 5 3 2 2 8" xfId="6008"/>
    <cellStyle name="Обычный 10 5 3 2 3" xfId="6009"/>
    <cellStyle name="Обычный 10 5 3 2 3 2" xfId="6010"/>
    <cellStyle name="Обычный 10 5 3 2 3 2 2" xfId="6011"/>
    <cellStyle name="Обычный 10 5 3 2 3 2 2 2" xfId="6012"/>
    <cellStyle name="Обычный 10 5 3 2 3 2 2 3" xfId="6013"/>
    <cellStyle name="Обычный 10 5 3 2 3 2 3" xfId="6014"/>
    <cellStyle name="Обычный 10 5 3 2 3 2 3 2" xfId="6015"/>
    <cellStyle name="Обычный 10 5 3 2 3 2 3 3" xfId="6016"/>
    <cellStyle name="Обычный 10 5 3 2 3 2 4" xfId="6017"/>
    <cellStyle name="Обычный 10 5 3 2 3 2 4 2" xfId="6018"/>
    <cellStyle name="Обычный 10 5 3 2 3 2 5" xfId="6019"/>
    <cellStyle name="Обычный 10 5 3 2 3 2 6" xfId="6020"/>
    <cellStyle name="Обычный 10 5 3 2 3 3" xfId="6021"/>
    <cellStyle name="Обычный 10 5 3 2 3 3 2" xfId="6022"/>
    <cellStyle name="Обычный 10 5 3 2 3 3 3" xfId="6023"/>
    <cellStyle name="Обычный 10 5 3 2 3 4" xfId="6024"/>
    <cellStyle name="Обычный 10 5 3 2 3 4 2" xfId="6025"/>
    <cellStyle name="Обычный 10 5 3 2 3 4 3" xfId="6026"/>
    <cellStyle name="Обычный 10 5 3 2 3 5" xfId="6027"/>
    <cellStyle name="Обычный 10 5 3 2 3 5 2" xfId="6028"/>
    <cellStyle name="Обычный 10 5 3 2 3 6" xfId="6029"/>
    <cellStyle name="Обычный 10 5 3 2 3 7" xfId="6030"/>
    <cellStyle name="Обычный 10 5 3 2 4" xfId="6031"/>
    <cellStyle name="Обычный 10 5 3 2 4 2" xfId="6032"/>
    <cellStyle name="Обычный 10 5 3 2 4 2 2" xfId="6033"/>
    <cellStyle name="Обычный 10 5 3 2 4 2 3" xfId="6034"/>
    <cellStyle name="Обычный 10 5 3 2 4 3" xfId="6035"/>
    <cellStyle name="Обычный 10 5 3 2 4 3 2" xfId="6036"/>
    <cellStyle name="Обычный 10 5 3 2 4 3 3" xfId="6037"/>
    <cellStyle name="Обычный 10 5 3 2 4 4" xfId="6038"/>
    <cellStyle name="Обычный 10 5 3 2 4 4 2" xfId="6039"/>
    <cellStyle name="Обычный 10 5 3 2 4 5" xfId="6040"/>
    <cellStyle name="Обычный 10 5 3 2 4 6" xfId="6041"/>
    <cellStyle name="Обычный 10 5 3 2 5" xfId="6042"/>
    <cellStyle name="Обычный 10 5 3 2 5 2" xfId="6043"/>
    <cellStyle name="Обычный 10 5 3 2 5 3" xfId="6044"/>
    <cellStyle name="Обычный 10 5 3 2 6" xfId="6045"/>
    <cellStyle name="Обычный 10 5 3 2 6 2" xfId="6046"/>
    <cellStyle name="Обычный 10 5 3 2 6 3" xfId="6047"/>
    <cellStyle name="Обычный 10 5 3 2 7" xfId="6048"/>
    <cellStyle name="Обычный 10 5 3 2 7 2" xfId="6049"/>
    <cellStyle name="Обычный 10 5 3 2 8" xfId="6050"/>
    <cellStyle name="Обычный 10 5 3 2 9" xfId="6051"/>
    <cellStyle name="Обычный 10 5 3 3" xfId="6052"/>
    <cellStyle name="Обычный 10 5 3 3 2" xfId="6053"/>
    <cellStyle name="Обычный 10 5 3 3 2 2" xfId="6054"/>
    <cellStyle name="Обычный 10 5 3 3 2 2 2" xfId="6055"/>
    <cellStyle name="Обычный 10 5 3 3 2 2 2 2" xfId="6056"/>
    <cellStyle name="Обычный 10 5 3 3 2 2 2 3" xfId="6057"/>
    <cellStyle name="Обычный 10 5 3 3 2 2 3" xfId="6058"/>
    <cellStyle name="Обычный 10 5 3 3 2 2 3 2" xfId="6059"/>
    <cellStyle name="Обычный 10 5 3 3 2 2 3 3" xfId="6060"/>
    <cellStyle name="Обычный 10 5 3 3 2 2 4" xfId="6061"/>
    <cellStyle name="Обычный 10 5 3 3 2 2 4 2" xfId="6062"/>
    <cellStyle name="Обычный 10 5 3 3 2 2 5" xfId="6063"/>
    <cellStyle name="Обычный 10 5 3 3 2 2 6" xfId="6064"/>
    <cellStyle name="Обычный 10 5 3 3 2 3" xfId="6065"/>
    <cellStyle name="Обычный 10 5 3 3 2 3 2" xfId="6066"/>
    <cellStyle name="Обычный 10 5 3 3 2 3 3" xfId="6067"/>
    <cellStyle name="Обычный 10 5 3 3 2 4" xfId="6068"/>
    <cellStyle name="Обычный 10 5 3 3 2 4 2" xfId="6069"/>
    <cellStyle name="Обычный 10 5 3 3 2 4 3" xfId="6070"/>
    <cellStyle name="Обычный 10 5 3 3 2 5" xfId="6071"/>
    <cellStyle name="Обычный 10 5 3 3 2 5 2" xfId="6072"/>
    <cellStyle name="Обычный 10 5 3 3 2 6" xfId="6073"/>
    <cellStyle name="Обычный 10 5 3 3 2 7" xfId="6074"/>
    <cellStyle name="Обычный 10 5 3 3 3" xfId="6075"/>
    <cellStyle name="Обычный 10 5 3 3 3 2" xfId="6076"/>
    <cellStyle name="Обычный 10 5 3 3 3 2 2" xfId="6077"/>
    <cellStyle name="Обычный 10 5 3 3 3 2 3" xfId="6078"/>
    <cellStyle name="Обычный 10 5 3 3 3 3" xfId="6079"/>
    <cellStyle name="Обычный 10 5 3 3 3 3 2" xfId="6080"/>
    <cellStyle name="Обычный 10 5 3 3 3 3 3" xfId="6081"/>
    <cellStyle name="Обычный 10 5 3 3 3 4" xfId="6082"/>
    <cellStyle name="Обычный 10 5 3 3 3 4 2" xfId="6083"/>
    <cellStyle name="Обычный 10 5 3 3 3 5" xfId="6084"/>
    <cellStyle name="Обычный 10 5 3 3 3 6" xfId="6085"/>
    <cellStyle name="Обычный 10 5 3 3 4" xfId="6086"/>
    <cellStyle name="Обычный 10 5 3 3 4 2" xfId="6087"/>
    <cellStyle name="Обычный 10 5 3 3 4 3" xfId="6088"/>
    <cellStyle name="Обычный 10 5 3 3 5" xfId="6089"/>
    <cellStyle name="Обычный 10 5 3 3 5 2" xfId="6090"/>
    <cellStyle name="Обычный 10 5 3 3 5 3" xfId="6091"/>
    <cellStyle name="Обычный 10 5 3 3 6" xfId="6092"/>
    <cellStyle name="Обычный 10 5 3 3 6 2" xfId="6093"/>
    <cellStyle name="Обычный 10 5 3 3 7" xfId="6094"/>
    <cellStyle name="Обычный 10 5 3 3 8" xfId="6095"/>
    <cellStyle name="Обычный 10 5 3 4" xfId="6096"/>
    <cellStyle name="Обычный 10 5 3 4 2" xfId="6097"/>
    <cellStyle name="Обычный 10 5 3 4 2 2" xfId="6098"/>
    <cellStyle name="Обычный 10 5 3 4 2 2 2" xfId="6099"/>
    <cellStyle name="Обычный 10 5 3 4 2 2 3" xfId="6100"/>
    <cellStyle name="Обычный 10 5 3 4 2 3" xfId="6101"/>
    <cellStyle name="Обычный 10 5 3 4 2 3 2" xfId="6102"/>
    <cellStyle name="Обычный 10 5 3 4 2 3 3" xfId="6103"/>
    <cellStyle name="Обычный 10 5 3 4 2 4" xfId="6104"/>
    <cellStyle name="Обычный 10 5 3 4 2 4 2" xfId="6105"/>
    <cellStyle name="Обычный 10 5 3 4 2 5" xfId="6106"/>
    <cellStyle name="Обычный 10 5 3 4 2 6" xfId="6107"/>
    <cellStyle name="Обычный 10 5 3 4 3" xfId="6108"/>
    <cellStyle name="Обычный 10 5 3 4 3 2" xfId="6109"/>
    <cellStyle name="Обычный 10 5 3 4 3 3" xfId="6110"/>
    <cellStyle name="Обычный 10 5 3 4 4" xfId="6111"/>
    <cellStyle name="Обычный 10 5 3 4 4 2" xfId="6112"/>
    <cellStyle name="Обычный 10 5 3 4 4 3" xfId="6113"/>
    <cellStyle name="Обычный 10 5 3 4 5" xfId="6114"/>
    <cellStyle name="Обычный 10 5 3 4 5 2" xfId="6115"/>
    <cellStyle name="Обычный 10 5 3 4 6" xfId="6116"/>
    <cellStyle name="Обычный 10 5 3 4 7" xfId="6117"/>
    <cellStyle name="Обычный 10 5 3 5" xfId="6118"/>
    <cellStyle name="Обычный 10 5 3 5 2" xfId="6119"/>
    <cellStyle name="Обычный 10 5 3 5 2 2" xfId="6120"/>
    <cellStyle name="Обычный 10 5 3 5 2 3" xfId="6121"/>
    <cellStyle name="Обычный 10 5 3 5 3" xfId="6122"/>
    <cellStyle name="Обычный 10 5 3 5 3 2" xfId="6123"/>
    <cellStyle name="Обычный 10 5 3 5 3 3" xfId="6124"/>
    <cellStyle name="Обычный 10 5 3 5 4" xfId="6125"/>
    <cellStyle name="Обычный 10 5 3 5 4 2" xfId="6126"/>
    <cellStyle name="Обычный 10 5 3 5 5" xfId="6127"/>
    <cellStyle name="Обычный 10 5 3 5 6" xfId="6128"/>
    <cellStyle name="Обычный 10 5 3 6" xfId="6129"/>
    <cellStyle name="Обычный 10 5 3 6 2" xfId="6130"/>
    <cellStyle name="Обычный 10 5 3 6 3" xfId="6131"/>
    <cellStyle name="Обычный 10 5 3 7" xfId="6132"/>
    <cellStyle name="Обычный 10 5 3 7 2" xfId="6133"/>
    <cellStyle name="Обычный 10 5 3 7 3" xfId="6134"/>
    <cellStyle name="Обычный 10 5 3 8" xfId="6135"/>
    <cellStyle name="Обычный 10 5 3 8 2" xfId="6136"/>
    <cellStyle name="Обычный 10 5 3 9" xfId="6137"/>
    <cellStyle name="Обычный 10 5 4" xfId="6138"/>
    <cellStyle name="Обычный 10 5 4 10" xfId="6139"/>
    <cellStyle name="Обычный 10 5 4 2" xfId="6140"/>
    <cellStyle name="Обычный 10 5 4 2 2" xfId="6141"/>
    <cellStyle name="Обычный 10 5 4 2 2 2" xfId="6142"/>
    <cellStyle name="Обычный 10 5 4 2 2 2 2" xfId="6143"/>
    <cellStyle name="Обычный 10 5 4 2 2 2 2 2" xfId="6144"/>
    <cellStyle name="Обычный 10 5 4 2 2 2 2 2 2" xfId="6145"/>
    <cellStyle name="Обычный 10 5 4 2 2 2 2 2 3" xfId="6146"/>
    <cellStyle name="Обычный 10 5 4 2 2 2 2 3" xfId="6147"/>
    <cellStyle name="Обычный 10 5 4 2 2 2 2 3 2" xfId="6148"/>
    <cellStyle name="Обычный 10 5 4 2 2 2 2 3 3" xfId="6149"/>
    <cellStyle name="Обычный 10 5 4 2 2 2 2 4" xfId="6150"/>
    <cellStyle name="Обычный 10 5 4 2 2 2 2 4 2" xfId="6151"/>
    <cellStyle name="Обычный 10 5 4 2 2 2 2 5" xfId="6152"/>
    <cellStyle name="Обычный 10 5 4 2 2 2 2 6" xfId="6153"/>
    <cellStyle name="Обычный 10 5 4 2 2 2 3" xfId="6154"/>
    <cellStyle name="Обычный 10 5 4 2 2 2 3 2" xfId="6155"/>
    <cellStyle name="Обычный 10 5 4 2 2 2 3 3" xfId="6156"/>
    <cellStyle name="Обычный 10 5 4 2 2 2 4" xfId="6157"/>
    <cellStyle name="Обычный 10 5 4 2 2 2 4 2" xfId="6158"/>
    <cellStyle name="Обычный 10 5 4 2 2 2 4 3" xfId="6159"/>
    <cellStyle name="Обычный 10 5 4 2 2 2 5" xfId="6160"/>
    <cellStyle name="Обычный 10 5 4 2 2 2 5 2" xfId="6161"/>
    <cellStyle name="Обычный 10 5 4 2 2 2 6" xfId="6162"/>
    <cellStyle name="Обычный 10 5 4 2 2 2 7" xfId="6163"/>
    <cellStyle name="Обычный 10 5 4 2 2 3" xfId="6164"/>
    <cellStyle name="Обычный 10 5 4 2 2 3 2" xfId="6165"/>
    <cellStyle name="Обычный 10 5 4 2 2 3 2 2" xfId="6166"/>
    <cellStyle name="Обычный 10 5 4 2 2 3 2 3" xfId="6167"/>
    <cellStyle name="Обычный 10 5 4 2 2 3 3" xfId="6168"/>
    <cellStyle name="Обычный 10 5 4 2 2 3 3 2" xfId="6169"/>
    <cellStyle name="Обычный 10 5 4 2 2 3 3 3" xfId="6170"/>
    <cellStyle name="Обычный 10 5 4 2 2 3 4" xfId="6171"/>
    <cellStyle name="Обычный 10 5 4 2 2 3 4 2" xfId="6172"/>
    <cellStyle name="Обычный 10 5 4 2 2 3 5" xfId="6173"/>
    <cellStyle name="Обычный 10 5 4 2 2 3 6" xfId="6174"/>
    <cellStyle name="Обычный 10 5 4 2 2 4" xfId="6175"/>
    <cellStyle name="Обычный 10 5 4 2 2 4 2" xfId="6176"/>
    <cellStyle name="Обычный 10 5 4 2 2 4 3" xfId="6177"/>
    <cellStyle name="Обычный 10 5 4 2 2 5" xfId="6178"/>
    <cellStyle name="Обычный 10 5 4 2 2 5 2" xfId="6179"/>
    <cellStyle name="Обычный 10 5 4 2 2 5 3" xfId="6180"/>
    <cellStyle name="Обычный 10 5 4 2 2 6" xfId="6181"/>
    <cellStyle name="Обычный 10 5 4 2 2 6 2" xfId="6182"/>
    <cellStyle name="Обычный 10 5 4 2 2 7" xfId="6183"/>
    <cellStyle name="Обычный 10 5 4 2 2 8" xfId="6184"/>
    <cellStyle name="Обычный 10 5 4 2 3" xfId="6185"/>
    <cellStyle name="Обычный 10 5 4 2 3 2" xfId="6186"/>
    <cellStyle name="Обычный 10 5 4 2 3 2 2" xfId="6187"/>
    <cellStyle name="Обычный 10 5 4 2 3 2 2 2" xfId="6188"/>
    <cellStyle name="Обычный 10 5 4 2 3 2 2 3" xfId="6189"/>
    <cellStyle name="Обычный 10 5 4 2 3 2 3" xfId="6190"/>
    <cellStyle name="Обычный 10 5 4 2 3 2 3 2" xfId="6191"/>
    <cellStyle name="Обычный 10 5 4 2 3 2 3 3" xfId="6192"/>
    <cellStyle name="Обычный 10 5 4 2 3 2 4" xfId="6193"/>
    <cellStyle name="Обычный 10 5 4 2 3 2 4 2" xfId="6194"/>
    <cellStyle name="Обычный 10 5 4 2 3 2 5" xfId="6195"/>
    <cellStyle name="Обычный 10 5 4 2 3 2 6" xfId="6196"/>
    <cellStyle name="Обычный 10 5 4 2 3 3" xfId="6197"/>
    <cellStyle name="Обычный 10 5 4 2 3 3 2" xfId="6198"/>
    <cellStyle name="Обычный 10 5 4 2 3 3 3" xfId="6199"/>
    <cellStyle name="Обычный 10 5 4 2 3 4" xfId="6200"/>
    <cellStyle name="Обычный 10 5 4 2 3 4 2" xfId="6201"/>
    <cellStyle name="Обычный 10 5 4 2 3 4 3" xfId="6202"/>
    <cellStyle name="Обычный 10 5 4 2 3 5" xfId="6203"/>
    <cellStyle name="Обычный 10 5 4 2 3 5 2" xfId="6204"/>
    <cellStyle name="Обычный 10 5 4 2 3 6" xfId="6205"/>
    <cellStyle name="Обычный 10 5 4 2 3 7" xfId="6206"/>
    <cellStyle name="Обычный 10 5 4 2 4" xfId="6207"/>
    <cellStyle name="Обычный 10 5 4 2 4 2" xfId="6208"/>
    <cellStyle name="Обычный 10 5 4 2 4 2 2" xfId="6209"/>
    <cellStyle name="Обычный 10 5 4 2 4 2 3" xfId="6210"/>
    <cellStyle name="Обычный 10 5 4 2 4 3" xfId="6211"/>
    <cellStyle name="Обычный 10 5 4 2 4 3 2" xfId="6212"/>
    <cellStyle name="Обычный 10 5 4 2 4 3 3" xfId="6213"/>
    <cellStyle name="Обычный 10 5 4 2 4 4" xfId="6214"/>
    <cellStyle name="Обычный 10 5 4 2 4 4 2" xfId="6215"/>
    <cellStyle name="Обычный 10 5 4 2 4 5" xfId="6216"/>
    <cellStyle name="Обычный 10 5 4 2 4 6" xfId="6217"/>
    <cellStyle name="Обычный 10 5 4 2 5" xfId="6218"/>
    <cellStyle name="Обычный 10 5 4 2 5 2" xfId="6219"/>
    <cellStyle name="Обычный 10 5 4 2 5 3" xfId="6220"/>
    <cellStyle name="Обычный 10 5 4 2 6" xfId="6221"/>
    <cellStyle name="Обычный 10 5 4 2 6 2" xfId="6222"/>
    <cellStyle name="Обычный 10 5 4 2 6 3" xfId="6223"/>
    <cellStyle name="Обычный 10 5 4 2 7" xfId="6224"/>
    <cellStyle name="Обычный 10 5 4 2 7 2" xfId="6225"/>
    <cellStyle name="Обычный 10 5 4 2 8" xfId="6226"/>
    <cellStyle name="Обычный 10 5 4 2 9" xfId="6227"/>
    <cellStyle name="Обычный 10 5 4 3" xfId="6228"/>
    <cellStyle name="Обычный 10 5 4 3 2" xfId="6229"/>
    <cellStyle name="Обычный 10 5 4 3 2 2" xfId="6230"/>
    <cellStyle name="Обычный 10 5 4 3 2 2 2" xfId="6231"/>
    <cellStyle name="Обычный 10 5 4 3 2 2 2 2" xfId="6232"/>
    <cellStyle name="Обычный 10 5 4 3 2 2 2 3" xfId="6233"/>
    <cellStyle name="Обычный 10 5 4 3 2 2 3" xfId="6234"/>
    <cellStyle name="Обычный 10 5 4 3 2 2 3 2" xfId="6235"/>
    <cellStyle name="Обычный 10 5 4 3 2 2 3 3" xfId="6236"/>
    <cellStyle name="Обычный 10 5 4 3 2 2 4" xfId="6237"/>
    <cellStyle name="Обычный 10 5 4 3 2 2 4 2" xfId="6238"/>
    <cellStyle name="Обычный 10 5 4 3 2 2 5" xfId="6239"/>
    <cellStyle name="Обычный 10 5 4 3 2 2 6" xfId="6240"/>
    <cellStyle name="Обычный 10 5 4 3 2 3" xfId="6241"/>
    <cellStyle name="Обычный 10 5 4 3 2 3 2" xfId="6242"/>
    <cellStyle name="Обычный 10 5 4 3 2 3 3" xfId="6243"/>
    <cellStyle name="Обычный 10 5 4 3 2 4" xfId="6244"/>
    <cellStyle name="Обычный 10 5 4 3 2 4 2" xfId="6245"/>
    <cellStyle name="Обычный 10 5 4 3 2 4 3" xfId="6246"/>
    <cellStyle name="Обычный 10 5 4 3 2 5" xfId="6247"/>
    <cellStyle name="Обычный 10 5 4 3 2 5 2" xfId="6248"/>
    <cellStyle name="Обычный 10 5 4 3 2 6" xfId="6249"/>
    <cellStyle name="Обычный 10 5 4 3 2 7" xfId="6250"/>
    <cellStyle name="Обычный 10 5 4 3 3" xfId="6251"/>
    <cellStyle name="Обычный 10 5 4 3 3 2" xfId="6252"/>
    <cellStyle name="Обычный 10 5 4 3 3 2 2" xfId="6253"/>
    <cellStyle name="Обычный 10 5 4 3 3 2 3" xfId="6254"/>
    <cellStyle name="Обычный 10 5 4 3 3 3" xfId="6255"/>
    <cellStyle name="Обычный 10 5 4 3 3 3 2" xfId="6256"/>
    <cellStyle name="Обычный 10 5 4 3 3 3 3" xfId="6257"/>
    <cellStyle name="Обычный 10 5 4 3 3 4" xfId="6258"/>
    <cellStyle name="Обычный 10 5 4 3 3 4 2" xfId="6259"/>
    <cellStyle name="Обычный 10 5 4 3 3 5" xfId="6260"/>
    <cellStyle name="Обычный 10 5 4 3 3 6" xfId="6261"/>
    <cellStyle name="Обычный 10 5 4 3 4" xfId="6262"/>
    <cellStyle name="Обычный 10 5 4 3 4 2" xfId="6263"/>
    <cellStyle name="Обычный 10 5 4 3 4 3" xfId="6264"/>
    <cellStyle name="Обычный 10 5 4 3 5" xfId="6265"/>
    <cellStyle name="Обычный 10 5 4 3 5 2" xfId="6266"/>
    <cellStyle name="Обычный 10 5 4 3 5 3" xfId="6267"/>
    <cellStyle name="Обычный 10 5 4 3 6" xfId="6268"/>
    <cellStyle name="Обычный 10 5 4 3 6 2" xfId="6269"/>
    <cellStyle name="Обычный 10 5 4 3 7" xfId="6270"/>
    <cellStyle name="Обычный 10 5 4 3 8" xfId="6271"/>
    <cellStyle name="Обычный 10 5 4 4" xfId="6272"/>
    <cellStyle name="Обычный 10 5 4 4 2" xfId="6273"/>
    <cellStyle name="Обычный 10 5 4 4 2 2" xfId="6274"/>
    <cellStyle name="Обычный 10 5 4 4 2 2 2" xfId="6275"/>
    <cellStyle name="Обычный 10 5 4 4 2 2 3" xfId="6276"/>
    <cellStyle name="Обычный 10 5 4 4 2 3" xfId="6277"/>
    <cellStyle name="Обычный 10 5 4 4 2 3 2" xfId="6278"/>
    <cellStyle name="Обычный 10 5 4 4 2 3 3" xfId="6279"/>
    <cellStyle name="Обычный 10 5 4 4 2 4" xfId="6280"/>
    <cellStyle name="Обычный 10 5 4 4 2 4 2" xfId="6281"/>
    <cellStyle name="Обычный 10 5 4 4 2 5" xfId="6282"/>
    <cellStyle name="Обычный 10 5 4 4 2 6" xfId="6283"/>
    <cellStyle name="Обычный 10 5 4 4 3" xfId="6284"/>
    <cellStyle name="Обычный 10 5 4 4 3 2" xfId="6285"/>
    <cellStyle name="Обычный 10 5 4 4 3 3" xfId="6286"/>
    <cellStyle name="Обычный 10 5 4 4 4" xfId="6287"/>
    <cellStyle name="Обычный 10 5 4 4 4 2" xfId="6288"/>
    <cellStyle name="Обычный 10 5 4 4 4 3" xfId="6289"/>
    <cellStyle name="Обычный 10 5 4 4 5" xfId="6290"/>
    <cellStyle name="Обычный 10 5 4 4 5 2" xfId="6291"/>
    <cellStyle name="Обычный 10 5 4 4 6" xfId="6292"/>
    <cellStyle name="Обычный 10 5 4 4 7" xfId="6293"/>
    <cellStyle name="Обычный 10 5 4 5" xfId="6294"/>
    <cellStyle name="Обычный 10 5 4 5 2" xfId="6295"/>
    <cellStyle name="Обычный 10 5 4 5 2 2" xfId="6296"/>
    <cellStyle name="Обычный 10 5 4 5 2 3" xfId="6297"/>
    <cellStyle name="Обычный 10 5 4 5 3" xfId="6298"/>
    <cellStyle name="Обычный 10 5 4 5 3 2" xfId="6299"/>
    <cellStyle name="Обычный 10 5 4 5 3 3" xfId="6300"/>
    <cellStyle name="Обычный 10 5 4 5 4" xfId="6301"/>
    <cellStyle name="Обычный 10 5 4 5 4 2" xfId="6302"/>
    <cellStyle name="Обычный 10 5 4 5 5" xfId="6303"/>
    <cellStyle name="Обычный 10 5 4 5 6" xfId="6304"/>
    <cellStyle name="Обычный 10 5 4 6" xfId="6305"/>
    <cellStyle name="Обычный 10 5 4 6 2" xfId="6306"/>
    <cellStyle name="Обычный 10 5 4 6 3" xfId="6307"/>
    <cellStyle name="Обычный 10 5 4 7" xfId="6308"/>
    <cellStyle name="Обычный 10 5 4 7 2" xfId="6309"/>
    <cellStyle name="Обычный 10 5 4 7 3" xfId="6310"/>
    <cellStyle name="Обычный 10 5 4 8" xfId="6311"/>
    <cellStyle name="Обычный 10 5 4 8 2" xfId="6312"/>
    <cellStyle name="Обычный 10 5 4 9" xfId="6313"/>
    <cellStyle name="Обычный 10 5 5" xfId="6314"/>
    <cellStyle name="Обычный 10 5 5 10" xfId="6315"/>
    <cellStyle name="Обычный 10 5 5 2" xfId="6316"/>
    <cellStyle name="Обычный 10 5 5 2 2" xfId="6317"/>
    <cellStyle name="Обычный 10 5 5 2 2 2" xfId="6318"/>
    <cellStyle name="Обычный 10 5 5 2 2 2 2" xfId="6319"/>
    <cellStyle name="Обычный 10 5 5 2 2 2 2 2" xfId="6320"/>
    <cellStyle name="Обычный 10 5 5 2 2 2 2 2 2" xfId="6321"/>
    <cellStyle name="Обычный 10 5 5 2 2 2 2 2 3" xfId="6322"/>
    <cellStyle name="Обычный 10 5 5 2 2 2 2 3" xfId="6323"/>
    <cellStyle name="Обычный 10 5 5 2 2 2 2 3 2" xfId="6324"/>
    <cellStyle name="Обычный 10 5 5 2 2 2 2 3 3" xfId="6325"/>
    <cellStyle name="Обычный 10 5 5 2 2 2 2 4" xfId="6326"/>
    <cellStyle name="Обычный 10 5 5 2 2 2 2 4 2" xfId="6327"/>
    <cellStyle name="Обычный 10 5 5 2 2 2 2 5" xfId="6328"/>
    <cellStyle name="Обычный 10 5 5 2 2 2 2 6" xfId="6329"/>
    <cellStyle name="Обычный 10 5 5 2 2 2 3" xfId="6330"/>
    <cellStyle name="Обычный 10 5 5 2 2 2 3 2" xfId="6331"/>
    <cellStyle name="Обычный 10 5 5 2 2 2 3 3" xfId="6332"/>
    <cellStyle name="Обычный 10 5 5 2 2 2 4" xfId="6333"/>
    <cellStyle name="Обычный 10 5 5 2 2 2 4 2" xfId="6334"/>
    <cellStyle name="Обычный 10 5 5 2 2 2 4 3" xfId="6335"/>
    <cellStyle name="Обычный 10 5 5 2 2 2 5" xfId="6336"/>
    <cellStyle name="Обычный 10 5 5 2 2 2 5 2" xfId="6337"/>
    <cellStyle name="Обычный 10 5 5 2 2 2 6" xfId="6338"/>
    <cellStyle name="Обычный 10 5 5 2 2 2 7" xfId="6339"/>
    <cellStyle name="Обычный 10 5 5 2 2 3" xfId="6340"/>
    <cellStyle name="Обычный 10 5 5 2 2 3 2" xfId="6341"/>
    <cellStyle name="Обычный 10 5 5 2 2 3 2 2" xfId="6342"/>
    <cellStyle name="Обычный 10 5 5 2 2 3 2 3" xfId="6343"/>
    <cellStyle name="Обычный 10 5 5 2 2 3 3" xfId="6344"/>
    <cellStyle name="Обычный 10 5 5 2 2 3 3 2" xfId="6345"/>
    <cellStyle name="Обычный 10 5 5 2 2 3 3 3" xfId="6346"/>
    <cellStyle name="Обычный 10 5 5 2 2 3 4" xfId="6347"/>
    <cellStyle name="Обычный 10 5 5 2 2 3 4 2" xfId="6348"/>
    <cellStyle name="Обычный 10 5 5 2 2 3 5" xfId="6349"/>
    <cellStyle name="Обычный 10 5 5 2 2 3 6" xfId="6350"/>
    <cellStyle name="Обычный 10 5 5 2 2 4" xfId="6351"/>
    <cellStyle name="Обычный 10 5 5 2 2 4 2" xfId="6352"/>
    <cellStyle name="Обычный 10 5 5 2 2 4 3" xfId="6353"/>
    <cellStyle name="Обычный 10 5 5 2 2 5" xfId="6354"/>
    <cellStyle name="Обычный 10 5 5 2 2 5 2" xfId="6355"/>
    <cellStyle name="Обычный 10 5 5 2 2 5 3" xfId="6356"/>
    <cellStyle name="Обычный 10 5 5 2 2 6" xfId="6357"/>
    <cellStyle name="Обычный 10 5 5 2 2 6 2" xfId="6358"/>
    <cellStyle name="Обычный 10 5 5 2 2 7" xfId="6359"/>
    <cellStyle name="Обычный 10 5 5 2 2 8" xfId="6360"/>
    <cellStyle name="Обычный 10 5 5 2 3" xfId="6361"/>
    <cellStyle name="Обычный 10 5 5 2 3 2" xfId="6362"/>
    <cellStyle name="Обычный 10 5 5 2 3 2 2" xfId="6363"/>
    <cellStyle name="Обычный 10 5 5 2 3 2 2 2" xfId="6364"/>
    <cellStyle name="Обычный 10 5 5 2 3 2 2 3" xfId="6365"/>
    <cellStyle name="Обычный 10 5 5 2 3 2 3" xfId="6366"/>
    <cellStyle name="Обычный 10 5 5 2 3 2 3 2" xfId="6367"/>
    <cellStyle name="Обычный 10 5 5 2 3 2 3 3" xfId="6368"/>
    <cellStyle name="Обычный 10 5 5 2 3 2 4" xfId="6369"/>
    <cellStyle name="Обычный 10 5 5 2 3 2 4 2" xfId="6370"/>
    <cellStyle name="Обычный 10 5 5 2 3 2 5" xfId="6371"/>
    <cellStyle name="Обычный 10 5 5 2 3 2 6" xfId="6372"/>
    <cellStyle name="Обычный 10 5 5 2 3 3" xfId="6373"/>
    <cellStyle name="Обычный 10 5 5 2 3 3 2" xfId="6374"/>
    <cellStyle name="Обычный 10 5 5 2 3 3 3" xfId="6375"/>
    <cellStyle name="Обычный 10 5 5 2 3 4" xfId="6376"/>
    <cellStyle name="Обычный 10 5 5 2 3 4 2" xfId="6377"/>
    <cellStyle name="Обычный 10 5 5 2 3 4 3" xfId="6378"/>
    <cellStyle name="Обычный 10 5 5 2 3 5" xfId="6379"/>
    <cellStyle name="Обычный 10 5 5 2 3 5 2" xfId="6380"/>
    <cellStyle name="Обычный 10 5 5 2 3 6" xfId="6381"/>
    <cellStyle name="Обычный 10 5 5 2 3 7" xfId="6382"/>
    <cellStyle name="Обычный 10 5 5 2 4" xfId="6383"/>
    <cellStyle name="Обычный 10 5 5 2 4 2" xfId="6384"/>
    <cellStyle name="Обычный 10 5 5 2 4 2 2" xfId="6385"/>
    <cellStyle name="Обычный 10 5 5 2 4 2 3" xfId="6386"/>
    <cellStyle name="Обычный 10 5 5 2 4 3" xfId="6387"/>
    <cellStyle name="Обычный 10 5 5 2 4 3 2" xfId="6388"/>
    <cellStyle name="Обычный 10 5 5 2 4 3 3" xfId="6389"/>
    <cellStyle name="Обычный 10 5 5 2 4 4" xfId="6390"/>
    <cellStyle name="Обычный 10 5 5 2 4 4 2" xfId="6391"/>
    <cellStyle name="Обычный 10 5 5 2 4 5" xfId="6392"/>
    <cellStyle name="Обычный 10 5 5 2 4 6" xfId="6393"/>
    <cellStyle name="Обычный 10 5 5 2 5" xfId="6394"/>
    <cellStyle name="Обычный 10 5 5 2 5 2" xfId="6395"/>
    <cellStyle name="Обычный 10 5 5 2 5 3" xfId="6396"/>
    <cellStyle name="Обычный 10 5 5 2 6" xfId="6397"/>
    <cellStyle name="Обычный 10 5 5 2 6 2" xfId="6398"/>
    <cellStyle name="Обычный 10 5 5 2 6 3" xfId="6399"/>
    <cellStyle name="Обычный 10 5 5 2 7" xfId="6400"/>
    <cellStyle name="Обычный 10 5 5 2 7 2" xfId="6401"/>
    <cellStyle name="Обычный 10 5 5 2 8" xfId="6402"/>
    <cellStyle name="Обычный 10 5 5 2 9" xfId="6403"/>
    <cellStyle name="Обычный 10 5 5 3" xfId="6404"/>
    <cellStyle name="Обычный 10 5 5 3 2" xfId="6405"/>
    <cellStyle name="Обычный 10 5 5 3 2 2" xfId="6406"/>
    <cellStyle name="Обычный 10 5 5 3 2 2 2" xfId="6407"/>
    <cellStyle name="Обычный 10 5 5 3 2 2 2 2" xfId="6408"/>
    <cellStyle name="Обычный 10 5 5 3 2 2 2 3" xfId="6409"/>
    <cellStyle name="Обычный 10 5 5 3 2 2 3" xfId="6410"/>
    <cellStyle name="Обычный 10 5 5 3 2 2 3 2" xfId="6411"/>
    <cellStyle name="Обычный 10 5 5 3 2 2 3 3" xfId="6412"/>
    <cellStyle name="Обычный 10 5 5 3 2 2 4" xfId="6413"/>
    <cellStyle name="Обычный 10 5 5 3 2 2 4 2" xfId="6414"/>
    <cellStyle name="Обычный 10 5 5 3 2 2 5" xfId="6415"/>
    <cellStyle name="Обычный 10 5 5 3 2 2 6" xfId="6416"/>
    <cellStyle name="Обычный 10 5 5 3 2 3" xfId="6417"/>
    <cellStyle name="Обычный 10 5 5 3 2 3 2" xfId="6418"/>
    <cellStyle name="Обычный 10 5 5 3 2 3 3" xfId="6419"/>
    <cellStyle name="Обычный 10 5 5 3 2 4" xfId="6420"/>
    <cellStyle name="Обычный 10 5 5 3 2 4 2" xfId="6421"/>
    <cellStyle name="Обычный 10 5 5 3 2 4 3" xfId="6422"/>
    <cellStyle name="Обычный 10 5 5 3 2 5" xfId="6423"/>
    <cellStyle name="Обычный 10 5 5 3 2 5 2" xfId="6424"/>
    <cellStyle name="Обычный 10 5 5 3 2 6" xfId="6425"/>
    <cellStyle name="Обычный 10 5 5 3 2 7" xfId="6426"/>
    <cellStyle name="Обычный 10 5 5 3 3" xfId="6427"/>
    <cellStyle name="Обычный 10 5 5 3 3 2" xfId="6428"/>
    <cellStyle name="Обычный 10 5 5 3 3 2 2" xfId="6429"/>
    <cellStyle name="Обычный 10 5 5 3 3 2 3" xfId="6430"/>
    <cellStyle name="Обычный 10 5 5 3 3 3" xfId="6431"/>
    <cellStyle name="Обычный 10 5 5 3 3 3 2" xfId="6432"/>
    <cellStyle name="Обычный 10 5 5 3 3 3 3" xfId="6433"/>
    <cellStyle name="Обычный 10 5 5 3 3 4" xfId="6434"/>
    <cellStyle name="Обычный 10 5 5 3 3 4 2" xfId="6435"/>
    <cellStyle name="Обычный 10 5 5 3 3 5" xfId="6436"/>
    <cellStyle name="Обычный 10 5 5 3 3 6" xfId="6437"/>
    <cellStyle name="Обычный 10 5 5 3 4" xfId="6438"/>
    <cellStyle name="Обычный 10 5 5 3 4 2" xfId="6439"/>
    <cellStyle name="Обычный 10 5 5 3 4 3" xfId="6440"/>
    <cellStyle name="Обычный 10 5 5 3 5" xfId="6441"/>
    <cellStyle name="Обычный 10 5 5 3 5 2" xfId="6442"/>
    <cellStyle name="Обычный 10 5 5 3 5 3" xfId="6443"/>
    <cellStyle name="Обычный 10 5 5 3 6" xfId="6444"/>
    <cellStyle name="Обычный 10 5 5 3 6 2" xfId="6445"/>
    <cellStyle name="Обычный 10 5 5 3 7" xfId="6446"/>
    <cellStyle name="Обычный 10 5 5 3 8" xfId="6447"/>
    <cellStyle name="Обычный 10 5 5 4" xfId="6448"/>
    <cellStyle name="Обычный 10 5 5 4 2" xfId="6449"/>
    <cellStyle name="Обычный 10 5 5 4 2 2" xfId="6450"/>
    <cellStyle name="Обычный 10 5 5 4 2 2 2" xfId="6451"/>
    <cellStyle name="Обычный 10 5 5 4 2 2 3" xfId="6452"/>
    <cellStyle name="Обычный 10 5 5 4 2 3" xfId="6453"/>
    <cellStyle name="Обычный 10 5 5 4 2 3 2" xfId="6454"/>
    <cellStyle name="Обычный 10 5 5 4 2 3 3" xfId="6455"/>
    <cellStyle name="Обычный 10 5 5 4 2 4" xfId="6456"/>
    <cellStyle name="Обычный 10 5 5 4 2 4 2" xfId="6457"/>
    <cellStyle name="Обычный 10 5 5 4 2 5" xfId="6458"/>
    <cellStyle name="Обычный 10 5 5 4 2 6" xfId="6459"/>
    <cellStyle name="Обычный 10 5 5 4 3" xfId="6460"/>
    <cellStyle name="Обычный 10 5 5 4 3 2" xfId="6461"/>
    <cellStyle name="Обычный 10 5 5 4 3 3" xfId="6462"/>
    <cellStyle name="Обычный 10 5 5 4 4" xfId="6463"/>
    <cellStyle name="Обычный 10 5 5 4 4 2" xfId="6464"/>
    <cellStyle name="Обычный 10 5 5 4 4 3" xfId="6465"/>
    <cellStyle name="Обычный 10 5 5 4 5" xfId="6466"/>
    <cellStyle name="Обычный 10 5 5 4 5 2" xfId="6467"/>
    <cellStyle name="Обычный 10 5 5 4 6" xfId="6468"/>
    <cellStyle name="Обычный 10 5 5 4 7" xfId="6469"/>
    <cellStyle name="Обычный 10 5 5 5" xfId="6470"/>
    <cellStyle name="Обычный 10 5 5 5 2" xfId="6471"/>
    <cellStyle name="Обычный 10 5 5 5 2 2" xfId="6472"/>
    <cellStyle name="Обычный 10 5 5 5 2 3" xfId="6473"/>
    <cellStyle name="Обычный 10 5 5 5 3" xfId="6474"/>
    <cellStyle name="Обычный 10 5 5 5 3 2" xfId="6475"/>
    <cellStyle name="Обычный 10 5 5 5 3 3" xfId="6476"/>
    <cellStyle name="Обычный 10 5 5 5 4" xfId="6477"/>
    <cellStyle name="Обычный 10 5 5 5 4 2" xfId="6478"/>
    <cellStyle name="Обычный 10 5 5 5 5" xfId="6479"/>
    <cellStyle name="Обычный 10 5 5 5 6" xfId="6480"/>
    <cellStyle name="Обычный 10 5 5 6" xfId="6481"/>
    <cellStyle name="Обычный 10 5 5 6 2" xfId="6482"/>
    <cellStyle name="Обычный 10 5 5 6 3" xfId="6483"/>
    <cellStyle name="Обычный 10 5 5 7" xfId="6484"/>
    <cellStyle name="Обычный 10 5 5 7 2" xfId="6485"/>
    <cellStyle name="Обычный 10 5 5 7 3" xfId="6486"/>
    <cellStyle name="Обычный 10 5 5 8" xfId="6487"/>
    <cellStyle name="Обычный 10 5 5 8 2" xfId="6488"/>
    <cellStyle name="Обычный 10 5 5 9" xfId="6489"/>
    <cellStyle name="Обычный 10 5 6" xfId="6490"/>
    <cellStyle name="Обычный 10 5 6 2" xfId="6491"/>
    <cellStyle name="Обычный 10 5 6 2 2" xfId="6492"/>
    <cellStyle name="Обычный 10 5 6 2 2 2" xfId="6493"/>
    <cellStyle name="Обычный 10 5 6 2 2 2 2" xfId="6494"/>
    <cellStyle name="Обычный 10 5 6 2 2 2 2 2" xfId="6495"/>
    <cellStyle name="Обычный 10 5 6 2 2 2 2 3" xfId="6496"/>
    <cellStyle name="Обычный 10 5 6 2 2 2 3" xfId="6497"/>
    <cellStyle name="Обычный 10 5 6 2 2 2 3 2" xfId="6498"/>
    <cellStyle name="Обычный 10 5 6 2 2 2 3 3" xfId="6499"/>
    <cellStyle name="Обычный 10 5 6 2 2 2 4" xfId="6500"/>
    <cellStyle name="Обычный 10 5 6 2 2 2 4 2" xfId="6501"/>
    <cellStyle name="Обычный 10 5 6 2 2 2 5" xfId="6502"/>
    <cellStyle name="Обычный 10 5 6 2 2 2 6" xfId="6503"/>
    <cellStyle name="Обычный 10 5 6 2 2 3" xfId="6504"/>
    <cellStyle name="Обычный 10 5 6 2 2 3 2" xfId="6505"/>
    <cellStyle name="Обычный 10 5 6 2 2 3 3" xfId="6506"/>
    <cellStyle name="Обычный 10 5 6 2 2 4" xfId="6507"/>
    <cellStyle name="Обычный 10 5 6 2 2 4 2" xfId="6508"/>
    <cellStyle name="Обычный 10 5 6 2 2 4 3" xfId="6509"/>
    <cellStyle name="Обычный 10 5 6 2 2 5" xfId="6510"/>
    <cellStyle name="Обычный 10 5 6 2 2 5 2" xfId="6511"/>
    <cellStyle name="Обычный 10 5 6 2 2 6" xfId="6512"/>
    <cellStyle name="Обычный 10 5 6 2 2 7" xfId="6513"/>
    <cellStyle name="Обычный 10 5 6 2 3" xfId="6514"/>
    <cellStyle name="Обычный 10 5 6 2 3 2" xfId="6515"/>
    <cellStyle name="Обычный 10 5 6 2 3 2 2" xfId="6516"/>
    <cellStyle name="Обычный 10 5 6 2 3 2 3" xfId="6517"/>
    <cellStyle name="Обычный 10 5 6 2 3 3" xfId="6518"/>
    <cellStyle name="Обычный 10 5 6 2 3 3 2" xfId="6519"/>
    <cellStyle name="Обычный 10 5 6 2 3 3 3" xfId="6520"/>
    <cellStyle name="Обычный 10 5 6 2 3 4" xfId="6521"/>
    <cellStyle name="Обычный 10 5 6 2 3 4 2" xfId="6522"/>
    <cellStyle name="Обычный 10 5 6 2 3 5" xfId="6523"/>
    <cellStyle name="Обычный 10 5 6 2 3 6" xfId="6524"/>
    <cellStyle name="Обычный 10 5 6 2 4" xfId="6525"/>
    <cellStyle name="Обычный 10 5 6 2 4 2" xfId="6526"/>
    <cellStyle name="Обычный 10 5 6 2 4 3" xfId="6527"/>
    <cellStyle name="Обычный 10 5 6 2 5" xfId="6528"/>
    <cellStyle name="Обычный 10 5 6 2 5 2" xfId="6529"/>
    <cellStyle name="Обычный 10 5 6 2 5 3" xfId="6530"/>
    <cellStyle name="Обычный 10 5 6 2 6" xfId="6531"/>
    <cellStyle name="Обычный 10 5 6 2 6 2" xfId="6532"/>
    <cellStyle name="Обычный 10 5 6 2 7" xfId="6533"/>
    <cellStyle name="Обычный 10 5 6 2 8" xfId="6534"/>
    <cellStyle name="Обычный 10 5 6 3" xfId="6535"/>
    <cellStyle name="Обычный 10 5 6 3 2" xfId="6536"/>
    <cellStyle name="Обычный 10 5 6 3 2 2" xfId="6537"/>
    <cellStyle name="Обычный 10 5 6 3 2 2 2" xfId="6538"/>
    <cellStyle name="Обычный 10 5 6 3 2 2 3" xfId="6539"/>
    <cellStyle name="Обычный 10 5 6 3 2 3" xfId="6540"/>
    <cellStyle name="Обычный 10 5 6 3 2 3 2" xfId="6541"/>
    <cellStyle name="Обычный 10 5 6 3 2 3 3" xfId="6542"/>
    <cellStyle name="Обычный 10 5 6 3 2 4" xfId="6543"/>
    <cellStyle name="Обычный 10 5 6 3 2 4 2" xfId="6544"/>
    <cellStyle name="Обычный 10 5 6 3 2 5" xfId="6545"/>
    <cellStyle name="Обычный 10 5 6 3 2 6" xfId="6546"/>
    <cellStyle name="Обычный 10 5 6 3 3" xfId="6547"/>
    <cellStyle name="Обычный 10 5 6 3 3 2" xfId="6548"/>
    <cellStyle name="Обычный 10 5 6 3 3 3" xfId="6549"/>
    <cellStyle name="Обычный 10 5 6 3 4" xfId="6550"/>
    <cellStyle name="Обычный 10 5 6 3 4 2" xfId="6551"/>
    <cellStyle name="Обычный 10 5 6 3 4 3" xfId="6552"/>
    <cellStyle name="Обычный 10 5 6 3 5" xfId="6553"/>
    <cellStyle name="Обычный 10 5 6 3 5 2" xfId="6554"/>
    <cellStyle name="Обычный 10 5 6 3 6" xfId="6555"/>
    <cellStyle name="Обычный 10 5 6 3 7" xfId="6556"/>
    <cellStyle name="Обычный 10 5 6 4" xfId="6557"/>
    <cellStyle name="Обычный 10 5 6 4 2" xfId="6558"/>
    <cellStyle name="Обычный 10 5 6 4 2 2" xfId="6559"/>
    <cellStyle name="Обычный 10 5 6 4 2 3" xfId="6560"/>
    <cellStyle name="Обычный 10 5 6 4 3" xfId="6561"/>
    <cellStyle name="Обычный 10 5 6 4 3 2" xfId="6562"/>
    <cellStyle name="Обычный 10 5 6 4 3 3" xfId="6563"/>
    <cellStyle name="Обычный 10 5 6 4 4" xfId="6564"/>
    <cellStyle name="Обычный 10 5 6 4 4 2" xfId="6565"/>
    <cellStyle name="Обычный 10 5 6 4 5" xfId="6566"/>
    <cellStyle name="Обычный 10 5 6 4 6" xfId="6567"/>
    <cellStyle name="Обычный 10 5 6 5" xfId="6568"/>
    <cellStyle name="Обычный 10 5 6 5 2" xfId="6569"/>
    <cellStyle name="Обычный 10 5 6 5 3" xfId="6570"/>
    <cellStyle name="Обычный 10 5 6 6" xfId="6571"/>
    <cellStyle name="Обычный 10 5 6 6 2" xfId="6572"/>
    <cellStyle name="Обычный 10 5 6 6 3" xfId="6573"/>
    <cellStyle name="Обычный 10 5 6 7" xfId="6574"/>
    <cellStyle name="Обычный 10 5 6 7 2" xfId="6575"/>
    <cellStyle name="Обычный 10 5 6 8" xfId="6576"/>
    <cellStyle name="Обычный 10 5 6 9" xfId="6577"/>
    <cellStyle name="Обычный 10 5 7" xfId="6578"/>
    <cellStyle name="Обычный 10 5 7 2" xfId="6579"/>
    <cellStyle name="Обычный 10 5 7 2 2" xfId="6580"/>
    <cellStyle name="Обычный 10 5 7 2 2 2" xfId="6581"/>
    <cellStyle name="Обычный 10 5 7 2 2 2 2" xfId="6582"/>
    <cellStyle name="Обычный 10 5 7 2 2 2 3" xfId="6583"/>
    <cellStyle name="Обычный 10 5 7 2 2 3" xfId="6584"/>
    <cellStyle name="Обычный 10 5 7 2 2 3 2" xfId="6585"/>
    <cellStyle name="Обычный 10 5 7 2 2 3 3" xfId="6586"/>
    <cellStyle name="Обычный 10 5 7 2 2 4" xfId="6587"/>
    <cellStyle name="Обычный 10 5 7 2 2 4 2" xfId="6588"/>
    <cellStyle name="Обычный 10 5 7 2 2 5" xfId="6589"/>
    <cellStyle name="Обычный 10 5 7 2 2 6" xfId="6590"/>
    <cellStyle name="Обычный 10 5 7 2 3" xfId="6591"/>
    <cellStyle name="Обычный 10 5 7 2 3 2" xfId="6592"/>
    <cellStyle name="Обычный 10 5 7 2 3 3" xfId="6593"/>
    <cellStyle name="Обычный 10 5 7 2 4" xfId="6594"/>
    <cellStyle name="Обычный 10 5 7 2 4 2" xfId="6595"/>
    <cellStyle name="Обычный 10 5 7 2 4 3" xfId="6596"/>
    <cellStyle name="Обычный 10 5 7 2 5" xfId="6597"/>
    <cellStyle name="Обычный 10 5 7 2 5 2" xfId="6598"/>
    <cellStyle name="Обычный 10 5 7 2 6" xfId="6599"/>
    <cellStyle name="Обычный 10 5 7 2 7" xfId="6600"/>
    <cellStyle name="Обычный 10 5 7 3" xfId="6601"/>
    <cellStyle name="Обычный 10 5 7 3 2" xfId="6602"/>
    <cellStyle name="Обычный 10 5 7 3 2 2" xfId="6603"/>
    <cellStyle name="Обычный 10 5 7 3 2 3" xfId="6604"/>
    <cellStyle name="Обычный 10 5 7 3 3" xfId="6605"/>
    <cellStyle name="Обычный 10 5 7 3 3 2" xfId="6606"/>
    <cellStyle name="Обычный 10 5 7 3 3 3" xfId="6607"/>
    <cellStyle name="Обычный 10 5 7 3 4" xfId="6608"/>
    <cellStyle name="Обычный 10 5 7 3 4 2" xfId="6609"/>
    <cellStyle name="Обычный 10 5 7 3 5" xfId="6610"/>
    <cellStyle name="Обычный 10 5 7 3 6" xfId="6611"/>
    <cellStyle name="Обычный 10 5 7 4" xfId="6612"/>
    <cellStyle name="Обычный 10 5 7 4 2" xfId="6613"/>
    <cellStyle name="Обычный 10 5 7 4 3" xfId="6614"/>
    <cellStyle name="Обычный 10 5 7 5" xfId="6615"/>
    <cellStyle name="Обычный 10 5 7 5 2" xfId="6616"/>
    <cellStyle name="Обычный 10 5 7 5 3" xfId="6617"/>
    <cellStyle name="Обычный 10 5 7 6" xfId="6618"/>
    <cellStyle name="Обычный 10 5 7 6 2" xfId="6619"/>
    <cellStyle name="Обычный 10 5 7 7" xfId="6620"/>
    <cellStyle name="Обычный 10 5 7 8" xfId="6621"/>
    <cellStyle name="Обычный 10 5 8" xfId="6622"/>
    <cellStyle name="Обычный 10 5 8 2" xfId="6623"/>
    <cellStyle name="Обычный 10 5 8 2 2" xfId="6624"/>
    <cellStyle name="Обычный 10 5 8 2 2 2" xfId="6625"/>
    <cellStyle name="Обычный 10 5 8 2 2 3" xfId="6626"/>
    <cellStyle name="Обычный 10 5 8 2 3" xfId="6627"/>
    <cellStyle name="Обычный 10 5 8 2 3 2" xfId="6628"/>
    <cellStyle name="Обычный 10 5 8 2 3 3" xfId="6629"/>
    <cellStyle name="Обычный 10 5 8 2 4" xfId="6630"/>
    <cellStyle name="Обычный 10 5 8 2 4 2" xfId="6631"/>
    <cellStyle name="Обычный 10 5 8 2 5" xfId="6632"/>
    <cellStyle name="Обычный 10 5 8 2 6" xfId="6633"/>
    <cellStyle name="Обычный 10 5 8 3" xfId="6634"/>
    <cellStyle name="Обычный 10 5 8 3 2" xfId="6635"/>
    <cellStyle name="Обычный 10 5 8 3 3" xfId="6636"/>
    <cellStyle name="Обычный 10 5 8 4" xfId="6637"/>
    <cellStyle name="Обычный 10 5 8 4 2" xfId="6638"/>
    <cellStyle name="Обычный 10 5 8 4 3" xfId="6639"/>
    <cellStyle name="Обычный 10 5 8 5" xfId="6640"/>
    <cellStyle name="Обычный 10 5 8 5 2" xfId="6641"/>
    <cellStyle name="Обычный 10 5 8 6" xfId="6642"/>
    <cellStyle name="Обычный 10 5 8 7" xfId="6643"/>
    <cellStyle name="Обычный 10 5 9" xfId="6644"/>
    <cellStyle name="Обычный 10 5 9 2" xfId="6645"/>
    <cellStyle name="Обычный 10 5 9 2 2" xfId="6646"/>
    <cellStyle name="Обычный 10 5 9 2 3" xfId="6647"/>
    <cellStyle name="Обычный 10 5 9 3" xfId="6648"/>
    <cellStyle name="Обычный 10 5 9 3 2" xfId="6649"/>
    <cellStyle name="Обычный 10 5 9 3 3" xfId="6650"/>
    <cellStyle name="Обычный 10 5 9 4" xfId="6651"/>
    <cellStyle name="Обычный 10 5 9 4 2" xfId="6652"/>
    <cellStyle name="Обычный 10 5 9 5" xfId="6653"/>
    <cellStyle name="Обычный 10 5 9 6" xfId="6654"/>
    <cellStyle name="Обычный 10 6" xfId="6655"/>
    <cellStyle name="Обычный 10 6 10" xfId="6656"/>
    <cellStyle name="Обычный 10 6 10 2" xfId="6657"/>
    <cellStyle name="Обычный 10 6 10 3" xfId="6658"/>
    <cellStyle name="Обычный 10 6 11" xfId="6659"/>
    <cellStyle name="Обычный 10 6 11 2" xfId="6660"/>
    <cellStyle name="Обычный 10 6 11 3" xfId="6661"/>
    <cellStyle name="Обычный 10 6 12" xfId="6662"/>
    <cellStyle name="Обычный 10 6 12 2" xfId="6663"/>
    <cellStyle name="Обычный 10 6 13" xfId="6664"/>
    <cellStyle name="Обычный 10 6 14" xfId="6665"/>
    <cellStyle name="Обычный 10 6 2" xfId="6666"/>
    <cellStyle name="Обычный 10 6 2 10" xfId="6667"/>
    <cellStyle name="Обычный 10 6 2 10 2" xfId="6668"/>
    <cellStyle name="Обычный 10 6 2 10 3" xfId="6669"/>
    <cellStyle name="Обычный 10 6 2 11" xfId="6670"/>
    <cellStyle name="Обычный 10 6 2 11 2" xfId="6671"/>
    <cellStyle name="Обычный 10 6 2 12" xfId="6672"/>
    <cellStyle name="Обычный 10 6 2 13" xfId="6673"/>
    <cellStyle name="Обычный 10 6 2 2" xfId="6674"/>
    <cellStyle name="Обычный 10 6 2 2 10" xfId="6675"/>
    <cellStyle name="Обычный 10 6 2 2 2" xfId="6676"/>
    <cellStyle name="Обычный 10 6 2 2 2 2" xfId="6677"/>
    <cellStyle name="Обычный 10 6 2 2 2 2 2" xfId="6678"/>
    <cellStyle name="Обычный 10 6 2 2 2 2 2 2" xfId="6679"/>
    <cellStyle name="Обычный 10 6 2 2 2 2 2 2 2" xfId="6680"/>
    <cellStyle name="Обычный 10 6 2 2 2 2 2 2 2 2" xfId="6681"/>
    <cellStyle name="Обычный 10 6 2 2 2 2 2 2 2 3" xfId="6682"/>
    <cellStyle name="Обычный 10 6 2 2 2 2 2 2 3" xfId="6683"/>
    <cellStyle name="Обычный 10 6 2 2 2 2 2 2 3 2" xfId="6684"/>
    <cellStyle name="Обычный 10 6 2 2 2 2 2 2 3 3" xfId="6685"/>
    <cellStyle name="Обычный 10 6 2 2 2 2 2 2 4" xfId="6686"/>
    <cellStyle name="Обычный 10 6 2 2 2 2 2 2 4 2" xfId="6687"/>
    <cellStyle name="Обычный 10 6 2 2 2 2 2 2 5" xfId="6688"/>
    <cellStyle name="Обычный 10 6 2 2 2 2 2 2 6" xfId="6689"/>
    <cellStyle name="Обычный 10 6 2 2 2 2 2 3" xfId="6690"/>
    <cellStyle name="Обычный 10 6 2 2 2 2 2 3 2" xfId="6691"/>
    <cellStyle name="Обычный 10 6 2 2 2 2 2 3 3" xfId="6692"/>
    <cellStyle name="Обычный 10 6 2 2 2 2 2 4" xfId="6693"/>
    <cellStyle name="Обычный 10 6 2 2 2 2 2 4 2" xfId="6694"/>
    <cellStyle name="Обычный 10 6 2 2 2 2 2 4 3" xfId="6695"/>
    <cellStyle name="Обычный 10 6 2 2 2 2 2 5" xfId="6696"/>
    <cellStyle name="Обычный 10 6 2 2 2 2 2 5 2" xfId="6697"/>
    <cellStyle name="Обычный 10 6 2 2 2 2 2 6" xfId="6698"/>
    <cellStyle name="Обычный 10 6 2 2 2 2 2 7" xfId="6699"/>
    <cellStyle name="Обычный 10 6 2 2 2 2 3" xfId="6700"/>
    <cellStyle name="Обычный 10 6 2 2 2 2 3 2" xfId="6701"/>
    <cellStyle name="Обычный 10 6 2 2 2 2 3 2 2" xfId="6702"/>
    <cellStyle name="Обычный 10 6 2 2 2 2 3 2 3" xfId="6703"/>
    <cellStyle name="Обычный 10 6 2 2 2 2 3 3" xfId="6704"/>
    <cellStyle name="Обычный 10 6 2 2 2 2 3 3 2" xfId="6705"/>
    <cellStyle name="Обычный 10 6 2 2 2 2 3 3 3" xfId="6706"/>
    <cellStyle name="Обычный 10 6 2 2 2 2 3 4" xfId="6707"/>
    <cellStyle name="Обычный 10 6 2 2 2 2 3 4 2" xfId="6708"/>
    <cellStyle name="Обычный 10 6 2 2 2 2 3 5" xfId="6709"/>
    <cellStyle name="Обычный 10 6 2 2 2 2 3 6" xfId="6710"/>
    <cellStyle name="Обычный 10 6 2 2 2 2 4" xfId="6711"/>
    <cellStyle name="Обычный 10 6 2 2 2 2 4 2" xfId="6712"/>
    <cellStyle name="Обычный 10 6 2 2 2 2 4 3" xfId="6713"/>
    <cellStyle name="Обычный 10 6 2 2 2 2 5" xfId="6714"/>
    <cellStyle name="Обычный 10 6 2 2 2 2 5 2" xfId="6715"/>
    <cellStyle name="Обычный 10 6 2 2 2 2 5 3" xfId="6716"/>
    <cellStyle name="Обычный 10 6 2 2 2 2 6" xfId="6717"/>
    <cellStyle name="Обычный 10 6 2 2 2 2 6 2" xfId="6718"/>
    <cellStyle name="Обычный 10 6 2 2 2 2 7" xfId="6719"/>
    <cellStyle name="Обычный 10 6 2 2 2 2 8" xfId="6720"/>
    <cellStyle name="Обычный 10 6 2 2 2 3" xfId="6721"/>
    <cellStyle name="Обычный 10 6 2 2 2 3 2" xfId="6722"/>
    <cellStyle name="Обычный 10 6 2 2 2 3 2 2" xfId="6723"/>
    <cellStyle name="Обычный 10 6 2 2 2 3 2 2 2" xfId="6724"/>
    <cellStyle name="Обычный 10 6 2 2 2 3 2 2 3" xfId="6725"/>
    <cellStyle name="Обычный 10 6 2 2 2 3 2 3" xfId="6726"/>
    <cellStyle name="Обычный 10 6 2 2 2 3 2 3 2" xfId="6727"/>
    <cellStyle name="Обычный 10 6 2 2 2 3 2 3 3" xfId="6728"/>
    <cellStyle name="Обычный 10 6 2 2 2 3 2 4" xfId="6729"/>
    <cellStyle name="Обычный 10 6 2 2 2 3 2 4 2" xfId="6730"/>
    <cellStyle name="Обычный 10 6 2 2 2 3 2 5" xfId="6731"/>
    <cellStyle name="Обычный 10 6 2 2 2 3 2 6" xfId="6732"/>
    <cellStyle name="Обычный 10 6 2 2 2 3 3" xfId="6733"/>
    <cellStyle name="Обычный 10 6 2 2 2 3 3 2" xfId="6734"/>
    <cellStyle name="Обычный 10 6 2 2 2 3 3 3" xfId="6735"/>
    <cellStyle name="Обычный 10 6 2 2 2 3 4" xfId="6736"/>
    <cellStyle name="Обычный 10 6 2 2 2 3 4 2" xfId="6737"/>
    <cellStyle name="Обычный 10 6 2 2 2 3 4 3" xfId="6738"/>
    <cellStyle name="Обычный 10 6 2 2 2 3 5" xfId="6739"/>
    <cellStyle name="Обычный 10 6 2 2 2 3 5 2" xfId="6740"/>
    <cellStyle name="Обычный 10 6 2 2 2 3 6" xfId="6741"/>
    <cellStyle name="Обычный 10 6 2 2 2 3 7" xfId="6742"/>
    <cellStyle name="Обычный 10 6 2 2 2 4" xfId="6743"/>
    <cellStyle name="Обычный 10 6 2 2 2 4 2" xfId="6744"/>
    <cellStyle name="Обычный 10 6 2 2 2 4 2 2" xfId="6745"/>
    <cellStyle name="Обычный 10 6 2 2 2 4 2 3" xfId="6746"/>
    <cellStyle name="Обычный 10 6 2 2 2 4 3" xfId="6747"/>
    <cellStyle name="Обычный 10 6 2 2 2 4 3 2" xfId="6748"/>
    <cellStyle name="Обычный 10 6 2 2 2 4 3 3" xfId="6749"/>
    <cellStyle name="Обычный 10 6 2 2 2 4 4" xfId="6750"/>
    <cellStyle name="Обычный 10 6 2 2 2 4 4 2" xfId="6751"/>
    <cellStyle name="Обычный 10 6 2 2 2 4 5" xfId="6752"/>
    <cellStyle name="Обычный 10 6 2 2 2 4 6" xfId="6753"/>
    <cellStyle name="Обычный 10 6 2 2 2 5" xfId="6754"/>
    <cellStyle name="Обычный 10 6 2 2 2 5 2" xfId="6755"/>
    <cellStyle name="Обычный 10 6 2 2 2 5 3" xfId="6756"/>
    <cellStyle name="Обычный 10 6 2 2 2 6" xfId="6757"/>
    <cellStyle name="Обычный 10 6 2 2 2 6 2" xfId="6758"/>
    <cellStyle name="Обычный 10 6 2 2 2 6 3" xfId="6759"/>
    <cellStyle name="Обычный 10 6 2 2 2 7" xfId="6760"/>
    <cellStyle name="Обычный 10 6 2 2 2 7 2" xfId="6761"/>
    <cellStyle name="Обычный 10 6 2 2 2 8" xfId="6762"/>
    <cellStyle name="Обычный 10 6 2 2 2 9" xfId="6763"/>
    <cellStyle name="Обычный 10 6 2 2 3" xfId="6764"/>
    <cellStyle name="Обычный 10 6 2 2 3 2" xfId="6765"/>
    <cellStyle name="Обычный 10 6 2 2 3 2 2" xfId="6766"/>
    <cellStyle name="Обычный 10 6 2 2 3 2 2 2" xfId="6767"/>
    <cellStyle name="Обычный 10 6 2 2 3 2 2 2 2" xfId="6768"/>
    <cellStyle name="Обычный 10 6 2 2 3 2 2 2 3" xfId="6769"/>
    <cellStyle name="Обычный 10 6 2 2 3 2 2 3" xfId="6770"/>
    <cellStyle name="Обычный 10 6 2 2 3 2 2 3 2" xfId="6771"/>
    <cellStyle name="Обычный 10 6 2 2 3 2 2 3 3" xfId="6772"/>
    <cellStyle name="Обычный 10 6 2 2 3 2 2 4" xfId="6773"/>
    <cellStyle name="Обычный 10 6 2 2 3 2 2 4 2" xfId="6774"/>
    <cellStyle name="Обычный 10 6 2 2 3 2 2 5" xfId="6775"/>
    <cellStyle name="Обычный 10 6 2 2 3 2 2 6" xfId="6776"/>
    <cellStyle name="Обычный 10 6 2 2 3 2 3" xfId="6777"/>
    <cellStyle name="Обычный 10 6 2 2 3 2 3 2" xfId="6778"/>
    <cellStyle name="Обычный 10 6 2 2 3 2 3 3" xfId="6779"/>
    <cellStyle name="Обычный 10 6 2 2 3 2 4" xfId="6780"/>
    <cellStyle name="Обычный 10 6 2 2 3 2 4 2" xfId="6781"/>
    <cellStyle name="Обычный 10 6 2 2 3 2 4 3" xfId="6782"/>
    <cellStyle name="Обычный 10 6 2 2 3 2 5" xfId="6783"/>
    <cellStyle name="Обычный 10 6 2 2 3 2 5 2" xfId="6784"/>
    <cellStyle name="Обычный 10 6 2 2 3 2 6" xfId="6785"/>
    <cellStyle name="Обычный 10 6 2 2 3 2 7" xfId="6786"/>
    <cellStyle name="Обычный 10 6 2 2 3 3" xfId="6787"/>
    <cellStyle name="Обычный 10 6 2 2 3 3 2" xfId="6788"/>
    <cellStyle name="Обычный 10 6 2 2 3 3 2 2" xfId="6789"/>
    <cellStyle name="Обычный 10 6 2 2 3 3 2 3" xfId="6790"/>
    <cellStyle name="Обычный 10 6 2 2 3 3 3" xfId="6791"/>
    <cellStyle name="Обычный 10 6 2 2 3 3 3 2" xfId="6792"/>
    <cellStyle name="Обычный 10 6 2 2 3 3 3 3" xfId="6793"/>
    <cellStyle name="Обычный 10 6 2 2 3 3 4" xfId="6794"/>
    <cellStyle name="Обычный 10 6 2 2 3 3 4 2" xfId="6795"/>
    <cellStyle name="Обычный 10 6 2 2 3 3 5" xfId="6796"/>
    <cellStyle name="Обычный 10 6 2 2 3 3 6" xfId="6797"/>
    <cellStyle name="Обычный 10 6 2 2 3 4" xfId="6798"/>
    <cellStyle name="Обычный 10 6 2 2 3 4 2" xfId="6799"/>
    <cellStyle name="Обычный 10 6 2 2 3 4 3" xfId="6800"/>
    <cellStyle name="Обычный 10 6 2 2 3 5" xfId="6801"/>
    <cellStyle name="Обычный 10 6 2 2 3 5 2" xfId="6802"/>
    <cellStyle name="Обычный 10 6 2 2 3 5 3" xfId="6803"/>
    <cellStyle name="Обычный 10 6 2 2 3 6" xfId="6804"/>
    <cellStyle name="Обычный 10 6 2 2 3 6 2" xfId="6805"/>
    <cellStyle name="Обычный 10 6 2 2 3 7" xfId="6806"/>
    <cellStyle name="Обычный 10 6 2 2 3 8" xfId="6807"/>
    <cellStyle name="Обычный 10 6 2 2 4" xfId="6808"/>
    <cellStyle name="Обычный 10 6 2 2 4 2" xfId="6809"/>
    <cellStyle name="Обычный 10 6 2 2 4 2 2" xfId="6810"/>
    <cellStyle name="Обычный 10 6 2 2 4 2 2 2" xfId="6811"/>
    <cellStyle name="Обычный 10 6 2 2 4 2 2 3" xfId="6812"/>
    <cellStyle name="Обычный 10 6 2 2 4 2 3" xfId="6813"/>
    <cellStyle name="Обычный 10 6 2 2 4 2 3 2" xfId="6814"/>
    <cellStyle name="Обычный 10 6 2 2 4 2 3 3" xfId="6815"/>
    <cellStyle name="Обычный 10 6 2 2 4 2 4" xfId="6816"/>
    <cellStyle name="Обычный 10 6 2 2 4 2 4 2" xfId="6817"/>
    <cellStyle name="Обычный 10 6 2 2 4 2 5" xfId="6818"/>
    <cellStyle name="Обычный 10 6 2 2 4 2 6" xfId="6819"/>
    <cellStyle name="Обычный 10 6 2 2 4 3" xfId="6820"/>
    <cellStyle name="Обычный 10 6 2 2 4 3 2" xfId="6821"/>
    <cellStyle name="Обычный 10 6 2 2 4 3 3" xfId="6822"/>
    <cellStyle name="Обычный 10 6 2 2 4 4" xfId="6823"/>
    <cellStyle name="Обычный 10 6 2 2 4 4 2" xfId="6824"/>
    <cellStyle name="Обычный 10 6 2 2 4 4 3" xfId="6825"/>
    <cellStyle name="Обычный 10 6 2 2 4 5" xfId="6826"/>
    <cellStyle name="Обычный 10 6 2 2 4 5 2" xfId="6827"/>
    <cellStyle name="Обычный 10 6 2 2 4 6" xfId="6828"/>
    <cellStyle name="Обычный 10 6 2 2 4 7" xfId="6829"/>
    <cellStyle name="Обычный 10 6 2 2 5" xfId="6830"/>
    <cellStyle name="Обычный 10 6 2 2 5 2" xfId="6831"/>
    <cellStyle name="Обычный 10 6 2 2 5 2 2" xfId="6832"/>
    <cellStyle name="Обычный 10 6 2 2 5 2 3" xfId="6833"/>
    <cellStyle name="Обычный 10 6 2 2 5 3" xfId="6834"/>
    <cellStyle name="Обычный 10 6 2 2 5 3 2" xfId="6835"/>
    <cellStyle name="Обычный 10 6 2 2 5 3 3" xfId="6836"/>
    <cellStyle name="Обычный 10 6 2 2 5 4" xfId="6837"/>
    <cellStyle name="Обычный 10 6 2 2 5 4 2" xfId="6838"/>
    <cellStyle name="Обычный 10 6 2 2 5 5" xfId="6839"/>
    <cellStyle name="Обычный 10 6 2 2 5 6" xfId="6840"/>
    <cellStyle name="Обычный 10 6 2 2 6" xfId="6841"/>
    <cellStyle name="Обычный 10 6 2 2 6 2" xfId="6842"/>
    <cellStyle name="Обычный 10 6 2 2 6 3" xfId="6843"/>
    <cellStyle name="Обычный 10 6 2 2 7" xfId="6844"/>
    <cellStyle name="Обычный 10 6 2 2 7 2" xfId="6845"/>
    <cellStyle name="Обычный 10 6 2 2 7 3" xfId="6846"/>
    <cellStyle name="Обычный 10 6 2 2 8" xfId="6847"/>
    <cellStyle name="Обычный 10 6 2 2 8 2" xfId="6848"/>
    <cellStyle name="Обычный 10 6 2 2 9" xfId="6849"/>
    <cellStyle name="Обычный 10 6 2 3" xfId="6850"/>
    <cellStyle name="Обычный 10 6 2 3 10" xfId="6851"/>
    <cellStyle name="Обычный 10 6 2 3 2" xfId="6852"/>
    <cellStyle name="Обычный 10 6 2 3 2 2" xfId="6853"/>
    <cellStyle name="Обычный 10 6 2 3 2 2 2" xfId="6854"/>
    <cellStyle name="Обычный 10 6 2 3 2 2 2 2" xfId="6855"/>
    <cellStyle name="Обычный 10 6 2 3 2 2 2 2 2" xfId="6856"/>
    <cellStyle name="Обычный 10 6 2 3 2 2 2 2 2 2" xfId="6857"/>
    <cellStyle name="Обычный 10 6 2 3 2 2 2 2 2 3" xfId="6858"/>
    <cellStyle name="Обычный 10 6 2 3 2 2 2 2 3" xfId="6859"/>
    <cellStyle name="Обычный 10 6 2 3 2 2 2 2 3 2" xfId="6860"/>
    <cellStyle name="Обычный 10 6 2 3 2 2 2 2 3 3" xfId="6861"/>
    <cellStyle name="Обычный 10 6 2 3 2 2 2 2 4" xfId="6862"/>
    <cellStyle name="Обычный 10 6 2 3 2 2 2 2 4 2" xfId="6863"/>
    <cellStyle name="Обычный 10 6 2 3 2 2 2 2 5" xfId="6864"/>
    <cellStyle name="Обычный 10 6 2 3 2 2 2 2 6" xfId="6865"/>
    <cellStyle name="Обычный 10 6 2 3 2 2 2 3" xfId="6866"/>
    <cellStyle name="Обычный 10 6 2 3 2 2 2 3 2" xfId="6867"/>
    <cellStyle name="Обычный 10 6 2 3 2 2 2 3 3" xfId="6868"/>
    <cellStyle name="Обычный 10 6 2 3 2 2 2 4" xfId="6869"/>
    <cellStyle name="Обычный 10 6 2 3 2 2 2 4 2" xfId="6870"/>
    <cellStyle name="Обычный 10 6 2 3 2 2 2 4 3" xfId="6871"/>
    <cellStyle name="Обычный 10 6 2 3 2 2 2 5" xfId="6872"/>
    <cellStyle name="Обычный 10 6 2 3 2 2 2 5 2" xfId="6873"/>
    <cellStyle name="Обычный 10 6 2 3 2 2 2 6" xfId="6874"/>
    <cellStyle name="Обычный 10 6 2 3 2 2 2 7" xfId="6875"/>
    <cellStyle name="Обычный 10 6 2 3 2 2 3" xfId="6876"/>
    <cellStyle name="Обычный 10 6 2 3 2 2 3 2" xfId="6877"/>
    <cellStyle name="Обычный 10 6 2 3 2 2 3 2 2" xfId="6878"/>
    <cellStyle name="Обычный 10 6 2 3 2 2 3 2 3" xfId="6879"/>
    <cellStyle name="Обычный 10 6 2 3 2 2 3 3" xfId="6880"/>
    <cellStyle name="Обычный 10 6 2 3 2 2 3 3 2" xfId="6881"/>
    <cellStyle name="Обычный 10 6 2 3 2 2 3 3 3" xfId="6882"/>
    <cellStyle name="Обычный 10 6 2 3 2 2 3 4" xfId="6883"/>
    <cellStyle name="Обычный 10 6 2 3 2 2 3 4 2" xfId="6884"/>
    <cellStyle name="Обычный 10 6 2 3 2 2 3 5" xfId="6885"/>
    <cellStyle name="Обычный 10 6 2 3 2 2 3 6" xfId="6886"/>
    <cellStyle name="Обычный 10 6 2 3 2 2 4" xfId="6887"/>
    <cellStyle name="Обычный 10 6 2 3 2 2 4 2" xfId="6888"/>
    <cellStyle name="Обычный 10 6 2 3 2 2 4 3" xfId="6889"/>
    <cellStyle name="Обычный 10 6 2 3 2 2 5" xfId="6890"/>
    <cellStyle name="Обычный 10 6 2 3 2 2 5 2" xfId="6891"/>
    <cellStyle name="Обычный 10 6 2 3 2 2 5 3" xfId="6892"/>
    <cellStyle name="Обычный 10 6 2 3 2 2 6" xfId="6893"/>
    <cellStyle name="Обычный 10 6 2 3 2 2 6 2" xfId="6894"/>
    <cellStyle name="Обычный 10 6 2 3 2 2 7" xfId="6895"/>
    <cellStyle name="Обычный 10 6 2 3 2 2 8" xfId="6896"/>
    <cellStyle name="Обычный 10 6 2 3 2 3" xfId="6897"/>
    <cellStyle name="Обычный 10 6 2 3 2 3 2" xfId="6898"/>
    <cellStyle name="Обычный 10 6 2 3 2 3 2 2" xfId="6899"/>
    <cellStyle name="Обычный 10 6 2 3 2 3 2 2 2" xfId="6900"/>
    <cellStyle name="Обычный 10 6 2 3 2 3 2 2 3" xfId="6901"/>
    <cellStyle name="Обычный 10 6 2 3 2 3 2 3" xfId="6902"/>
    <cellStyle name="Обычный 10 6 2 3 2 3 2 3 2" xfId="6903"/>
    <cellStyle name="Обычный 10 6 2 3 2 3 2 3 3" xfId="6904"/>
    <cellStyle name="Обычный 10 6 2 3 2 3 2 4" xfId="6905"/>
    <cellStyle name="Обычный 10 6 2 3 2 3 2 4 2" xfId="6906"/>
    <cellStyle name="Обычный 10 6 2 3 2 3 2 5" xfId="6907"/>
    <cellStyle name="Обычный 10 6 2 3 2 3 2 6" xfId="6908"/>
    <cellStyle name="Обычный 10 6 2 3 2 3 3" xfId="6909"/>
    <cellStyle name="Обычный 10 6 2 3 2 3 3 2" xfId="6910"/>
    <cellStyle name="Обычный 10 6 2 3 2 3 3 3" xfId="6911"/>
    <cellStyle name="Обычный 10 6 2 3 2 3 4" xfId="6912"/>
    <cellStyle name="Обычный 10 6 2 3 2 3 4 2" xfId="6913"/>
    <cellStyle name="Обычный 10 6 2 3 2 3 4 3" xfId="6914"/>
    <cellStyle name="Обычный 10 6 2 3 2 3 5" xfId="6915"/>
    <cellStyle name="Обычный 10 6 2 3 2 3 5 2" xfId="6916"/>
    <cellStyle name="Обычный 10 6 2 3 2 3 6" xfId="6917"/>
    <cellStyle name="Обычный 10 6 2 3 2 3 7" xfId="6918"/>
    <cellStyle name="Обычный 10 6 2 3 2 4" xfId="6919"/>
    <cellStyle name="Обычный 10 6 2 3 2 4 2" xfId="6920"/>
    <cellStyle name="Обычный 10 6 2 3 2 4 2 2" xfId="6921"/>
    <cellStyle name="Обычный 10 6 2 3 2 4 2 3" xfId="6922"/>
    <cellStyle name="Обычный 10 6 2 3 2 4 3" xfId="6923"/>
    <cellStyle name="Обычный 10 6 2 3 2 4 3 2" xfId="6924"/>
    <cellStyle name="Обычный 10 6 2 3 2 4 3 3" xfId="6925"/>
    <cellStyle name="Обычный 10 6 2 3 2 4 4" xfId="6926"/>
    <cellStyle name="Обычный 10 6 2 3 2 4 4 2" xfId="6927"/>
    <cellStyle name="Обычный 10 6 2 3 2 4 5" xfId="6928"/>
    <cellStyle name="Обычный 10 6 2 3 2 4 6" xfId="6929"/>
    <cellStyle name="Обычный 10 6 2 3 2 5" xfId="6930"/>
    <cellStyle name="Обычный 10 6 2 3 2 5 2" xfId="6931"/>
    <cellStyle name="Обычный 10 6 2 3 2 5 3" xfId="6932"/>
    <cellStyle name="Обычный 10 6 2 3 2 6" xfId="6933"/>
    <cellStyle name="Обычный 10 6 2 3 2 6 2" xfId="6934"/>
    <cellStyle name="Обычный 10 6 2 3 2 6 3" xfId="6935"/>
    <cellStyle name="Обычный 10 6 2 3 2 7" xfId="6936"/>
    <cellStyle name="Обычный 10 6 2 3 2 7 2" xfId="6937"/>
    <cellStyle name="Обычный 10 6 2 3 2 8" xfId="6938"/>
    <cellStyle name="Обычный 10 6 2 3 2 9" xfId="6939"/>
    <cellStyle name="Обычный 10 6 2 3 3" xfId="6940"/>
    <cellStyle name="Обычный 10 6 2 3 3 2" xfId="6941"/>
    <cellStyle name="Обычный 10 6 2 3 3 2 2" xfId="6942"/>
    <cellStyle name="Обычный 10 6 2 3 3 2 2 2" xfId="6943"/>
    <cellStyle name="Обычный 10 6 2 3 3 2 2 2 2" xfId="6944"/>
    <cellStyle name="Обычный 10 6 2 3 3 2 2 2 3" xfId="6945"/>
    <cellStyle name="Обычный 10 6 2 3 3 2 2 3" xfId="6946"/>
    <cellStyle name="Обычный 10 6 2 3 3 2 2 3 2" xfId="6947"/>
    <cellStyle name="Обычный 10 6 2 3 3 2 2 3 3" xfId="6948"/>
    <cellStyle name="Обычный 10 6 2 3 3 2 2 4" xfId="6949"/>
    <cellStyle name="Обычный 10 6 2 3 3 2 2 4 2" xfId="6950"/>
    <cellStyle name="Обычный 10 6 2 3 3 2 2 5" xfId="6951"/>
    <cellStyle name="Обычный 10 6 2 3 3 2 2 6" xfId="6952"/>
    <cellStyle name="Обычный 10 6 2 3 3 2 3" xfId="6953"/>
    <cellStyle name="Обычный 10 6 2 3 3 2 3 2" xfId="6954"/>
    <cellStyle name="Обычный 10 6 2 3 3 2 3 3" xfId="6955"/>
    <cellStyle name="Обычный 10 6 2 3 3 2 4" xfId="6956"/>
    <cellStyle name="Обычный 10 6 2 3 3 2 4 2" xfId="6957"/>
    <cellStyle name="Обычный 10 6 2 3 3 2 4 3" xfId="6958"/>
    <cellStyle name="Обычный 10 6 2 3 3 2 5" xfId="6959"/>
    <cellStyle name="Обычный 10 6 2 3 3 2 5 2" xfId="6960"/>
    <cellStyle name="Обычный 10 6 2 3 3 2 6" xfId="6961"/>
    <cellStyle name="Обычный 10 6 2 3 3 2 7" xfId="6962"/>
    <cellStyle name="Обычный 10 6 2 3 3 3" xfId="6963"/>
    <cellStyle name="Обычный 10 6 2 3 3 3 2" xfId="6964"/>
    <cellStyle name="Обычный 10 6 2 3 3 3 2 2" xfId="6965"/>
    <cellStyle name="Обычный 10 6 2 3 3 3 2 3" xfId="6966"/>
    <cellStyle name="Обычный 10 6 2 3 3 3 3" xfId="6967"/>
    <cellStyle name="Обычный 10 6 2 3 3 3 3 2" xfId="6968"/>
    <cellStyle name="Обычный 10 6 2 3 3 3 3 3" xfId="6969"/>
    <cellStyle name="Обычный 10 6 2 3 3 3 4" xfId="6970"/>
    <cellStyle name="Обычный 10 6 2 3 3 3 4 2" xfId="6971"/>
    <cellStyle name="Обычный 10 6 2 3 3 3 5" xfId="6972"/>
    <cellStyle name="Обычный 10 6 2 3 3 3 6" xfId="6973"/>
    <cellStyle name="Обычный 10 6 2 3 3 4" xfId="6974"/>
    <cellStyle name="Обычный 10 6 2 3 3 4 2" xfId="6975"/>
    <cellStyle name="Обычный 10 6 2 3 3 4 3" xfId="6976"/>
    <cellStyle name="Обычный 10 6 2 3 3 5" xfId="6977"/>
    <cellStyle name="Обычный 10 6 2 3 3 5 2" xfId="6978"/>
    <cellStyle name="Обычный 10 6 2 3 3 5 3" xfId="6979"/>
    <cellStyle name="Обычный 10 6 2 3 3 6" xfId="6980"/>
    <cellStyle name="Обычный 10 6 2 3 3 6 2" xfId="6981"/>
    <cellStyle name="Обычный 10 6 2 3 3 7" xfId="6982"/>
    <cellStyle name="Обычный 10 6 2 3 3 8" xfId="6983"/>
    <cellStyle name="Обычный 10 6 2 3 4" xfId="6984"/>
    <cellStyle name="Обычный 10 6 2 3 4 2" xfId="6985"/>
    <cellStyle name="Обычный 10 6 2 3 4 2 2" xfId="6986"/>
    <cellStyle name="Обычный 10 6 2 3 4 2 2 2" xfId="6987"/>
    <cellStyle name="Обычный 10 6 2 3 4 2 2 3" xfId="6988"/>
    <cellStyle name="Обычный 10 6 2 3 4 2 3" xfId="6989"/>
    <cellStyle name="Обычный 10 6 2 3 4 2 3 2" xfId="6990"/>
    <cellStyle name="Обычный 10 6 2 3 4 2 3 3" xfId="6991"/>
    <cellStyle name="Обычный 10 6 2 3 4 2 4" xfId="6992"/>
    <cellStyle name="Обычный 10 6 2 3 4 2 4 2" xfId="6993"/>
    <cellStyle name="Обычный 10 6 2 3 4 2 5" xfId="6994"/>
    <cellStyle name="Обычный 10 6 2 3 4 2 6" xfId="6995"/>
    <cellStyle name="Обычный 10 6 2 3 4 3" xfId="6996"/>
    <cellStyle name="Обычный 10 6 2 3 4 3 2" xfId="6997"/>
    <cellStyle name="Обычный 10 6 2 3 4 3 3" xfId="6998"/>
    <cellStyle name="Обычный 10 6 2 3 4 4" xfId="6999"/>
    <cellStyle name="Обычный 10 6 2 3 4 4 2" xfId="7000"/>
    <cellStyle name="Обычный 10 6 2 3 4 4 3" xfId="7001"/>
    <cellStyle name="Обычный 10 6 2 3 4 5" xfId="7002"/>
    <cellStyle name="Обычный 10 6 2 3 4 5 2" xfId="7003"/>
    <cellStyle name="Обычный 10 6 2 3 4 6" xfId="7004"/>
    <cellStyle name="Обычный 10 6 2 3 4 7" xfId="7005"/>
    <cellStyle name="Обычный 10 6 2 3 5" xfId="7006"/>
    <cellStyle name="Обычный 10 6 2 3 5 2" xfId="7007"/>
    <cellStyle name="Обычный 10 6 2 3 5 2 2" xfId="7008"/>
    <cellStyle name="Обычный 10 6 2 3 5 2 3" xfId="7009"/>
    <cellStyle name="Обычный 10 6 2 3 5 3" xfId="7010"/>
    <cellStyle name="Обычный 10 6 2 3 5 3 2" xfId="7011"/>
    <cellStyle name="Обычный 10 6 2 3 5 3 3" xfId="7012"/>
    <cellStyle name="Обычный 10 6 2 3 5 4" xfId="7013"/>
    <cellStyle name="Обычный 10 6 2 3 5 4 2" xfId="7014"/>
    <cellStyle name="Обычный 10 6 2 3 5 5" xfId="7015"/>
    <cellStyle name="Обычный 10 6 2 3 5 6" xfId="7016"/>
    <cellStyle name="Обычный 10 6 2 3 6" xfId="7017"/>
    <cellStyle name="Обычный 10 6 2 3 6 2" xfId="7018"/>
    <cellStyle name="Обычный 10 6 2 3 6 3" xfId="7019"/>
    <cellStyle name="Обычный 10 6 2 3 7" xfId="7020"/>
    <cellStyle name="Обычный 10 6 2 3 7 2" xfId="7021"/>
    <cellStyle name="Обычный 10 6 2 3 7 3" xfId="7022"/>
    <cellStyle name="Обычный 10 6 2 3 8" xfId="7023"/>
    <cellStyle name="Обычный 10 6 2 3 8 2" xfId="7024"/>
    <cellStyle name="Обычный 10 6 2 3 9" xfId="7025"/>
    <cellStyle name="Обычный 10 6 2 4" xfId="7026"/>
    <cellStyle name="Обычный 10 6 2 4 10" xfId="7027"/>
    <cellStyle name="Обычный 10 6 2 4 2" xfId="7028"/>
    <cellStyle name="Обычный 10 6 2 4 2 2" xfId="7029"/>
    <cellStyle name="Обычный 10 6 2 4 2 2 2" xfId="7030"/>
    <cellStyle name="Обычный 10 6 2 4 2 2 2 2" xfId="7031"/>
    <cellStyle name="Обычный 10 6 2 4 2 2 2 2 2" xfId="7032"/>
    <cellStyle name="Обычный 10 6 2 4 2 2 2 2 2 2" xfId="7033"/>
    <cellStyle name="Обычный 10 6 2 4 2 2 2 2 2 3" xfId="7034"/>
    <cellStyle name="Обычный 10 6 2 4 2 2 2 2 3" xfId="7035"/>
    <cellStyle name="Обычный 10 6 2 4 2 2 2 2 3 2" xfId="7036"/>
    <cellStyle name="Обычный 10 6 2 4 2 2 2 2 3 3" xfId="7037"/>
    <cellStyle name="Обычный 10 6 2 4 2 2 2 2 4" xfId="7038"/>
    <cellStyle name="Обычный 10 6 2 4 2 2 2 2 4 2" xfId="7039"/>
    <cellStyle name="Обычный 10 6 2 4 2 2 2 2 5" xfId="7040"/>
    <cellStyle name="Обычный 10 6 2 4 2 2 2 2 6" xfId="7041"/>
    <cellStyle name="Обычный 10 6 2 4 2 2 2 3" xfId="7042"/>
    <cellStyle name="Обычный 10 6 2 4 2 2 2 3 2" xfId="7043"/>
    <cellStyle name="Обычный 10 6 2 4 2 2 2 3 3" xfId="7044"/>
    <cellStyle name="Обычный 10 6 2 4 2 2 2 4" xfId="7045"/>
    <cellStyle name="Обычный 10 6 2 4 2 2 2 4 2" xfId="7046"/>
    <cellStyle name="Обычный 10 6 2 4 2 2 2 4 3" xfId="7047"/>
    <cellStyle name="Обычный 10 6 2 4 2 2 2 5" xfId="7048"/>
    <cellStyle name="Обычный 10 6 2 4 2 2 2 5 2" xfId="7049"/>
    <cellStyle name="Обычный 10 6 2 4 2 2 2 6" xfId="7050"/>
    <cellStyle name="Обычный 10 6 2 4 2 2 2 7" xfId="7051"/>
    <cellStyle name="Обычный 10 6 2 4 2 2 3" xfId="7052"/>
    <cellStyle name="Обычный 10 6 2 4 2 2 3 2" xfId="7053"/>
    <cellStyle name="Обычный 10 6 2 4 2 2 3 2 2" xfId="7054"/>
    <cellStyle name="Обычный 10 6 2 4 2 2 3 2 3" xfId="7055"/>
    <cellStyle name="Обычный 10 6 2 4 2 2 3 3" xfId="7056"/>
    <cellStyle name="Обычный 10 6 2 4 2 2 3 3 2" xfId="7057"/>
    <cellStyle name="Обычный 10 6 2 4 2 2 3 3 3" xfId="7058"/>
    <cellStyle name="Обычный 10 6 2 4 2 2 3 4" xfId="7059"/>
    <cellStyle name="Обычный 10 6 2 4 2 2 3 4 2" xfId="7060"/>
    <cellStyle name="Обычный 10 6 2 4 2 2 3 5" xfId="7061"/>
    <cellStyle name="Обычный 10 6 2 4 2 2 3 6" xfId="7062"/>
    <cellStyle name="Обычный 10 6 2 4 2 2 4" xfId="7063"/>
    <cellStyle name="Обычный 10 6 2 4 2 2 4 2" xfId="7064"/>
    <cellStyle name="Обычный 10 6 2 4 2 2 4 3" xfId="7065"/>
    <cellStyle name="Обычный 10 6 2 4 2 2 5" xfId="7066"/>
    <cellStyle name="Обычный 10 6 2 4 2 2 5 2" xfId="7067"/>
    <cellStyle name="Обычный 10 6 2 4 2 2 5 3" xfId="7068"/>
    <cellStyle name="Обычный 10 6 2 4 2 2 6" xfId="7069"/>
    <cellStyle name="Обычный 10 6 2 4 2 2 6 2" xfId="7070"/>
    <cellStyle name="Обычный 10 6 2 4 2 2 7" xfId="7071"/>
    <cellStyle name="Обычный 10 6 2 4 2 2 8" xfId="7072"/>
    <cellStyle name="Обычный 10 6 2 4 2 3" xfId="7073"/>
    <cellStyle name="Обычный 10 6 2 4 2 3 2" xfId="7074"/>
    <cellStyle name="Обычный 10 6 2 4 2 3 2 2" xfId="7075"/>
    <cellStyle name="Обычный 10 6 2 4 2 3 2 2 2" xfId="7076"/>
    <cellStyle name="Обычный 10 6 2 4 2 3 2 2 3" xfId="7077"/>
    <cellStyle name="Обычный 10 6 2 4 2 3 2 3" xfId="7078"/>
    <cellStyle name="Обычный 10 6 2 4 2 3 2 3 2" xfId="7079"/>
    <cellStyle name="Обычный 10 6 2 4 2 3 2 3 3" xfId="7080"/>
    <cellStyle name="Обычный 10 6 2 4 2 3 2 4" xfId="7081"/>
    <cellStyle name="Обычный 10 6 2 4 2 3 2 4 2" xfId="7082"/>
    <cellStyle name="Обычный 10 6 2 4 2 3 2 5" xfId="7083"/>
    <cellStyle name="Обычный 10 6 2 4 2 3 2 6" xfId="7084"/>
    <cellStyle name="Обычный 10 6 2 4 2 3 3" xfId="7085"/>
    <cellStyle name="Обычный 10 6 2 4 2 3 3 2" xfId="7086"/>
    <cellStyle name="Обычный 10 6 2 4 2 3 3 3" xfId="7087"/>
    <cellStyle name="Обычный 10 6 2 4 2 3 4" xfId="7088"/>
    <cellStyle name="Обычный 10 6 2 4 2 3 4 2" xfId="7089"/>
    <cellStyle name="Обычный 10 6 2 4 2 3 4 3" xfId="7090"/>
    <cellStyle name="Обычный 10 6 2 4 2 3 5" xfId="7091"/>
    <cellStyle name="Обычный 10 6 2 4 2 3 5 2" xfId="7092"/>
    <cellStyle name="Обычный 10 6 2 4 2 3 6" xfId="7093"/>
    <cellStyle name="Обычный 10 6 2 4 2 3 7" xfId="7094"/>
    <cellStyle name="Обычный 10 6 2 4 2 4" xfId="7095"/>
    <cellStyle name="Обычный 10 6 2 4 2 4 2" xfId="7096"/>
    <cellStyle name="Обычный 10 6 2 4 2 4 2 2" xfId="7097"/>
    <cellStyle name="Обычный 10 6 2 4 2 4 2 3" xfId="7098"/>
    <cellStyle name="Обычный 10 6 2 4 2 4 3" xfId="7099"/>
    <cellStyle name="Обычный 10 6 2 4 2 4 3 2" xfId="7100"/>
    <cellStyle name="Обычный 10 6 2 4 2 4 3 3" xfId="7101"/>
    <cellStyle name="Обычный 10 6 2 4 2 4 4" xfId="7102"/>
    <cellStyle name="Обычный 10 6 2 4 2 4 4 2" xfId="7103"/>
    <cellStyle name="Обычный 10 6 2 4 2 4 5" xfId="7104"/>
    <cellStyle name="Обычный 10 6 2 4 2 4 6" xfId="7105"/>
    <cellStyle name="Обычный 10 6 2 4 2 5" xfId="7106"/>
    <cellStyle name="Обычный 10 6 2 4 2 5 2" xfId="7107"/>
    <cellStyle name="Обычный 10 6 2 4 2 5 3" xfId="7108"/>
    <cellStyle name="Обычный 10 6 2 4 2 6" xfId="7109"/>
    <cellStyle name="Обычный 10 6 2 4 2 6 2" xfId="7110"/>
    <cellStyle name="Обычный 10 6 2 4 2 6 3" xfId="7111"/>
    <cellStyle name="Обычный 10 6 2 4 2 7" xfId="7112"/>
    <cellStyle name="Обычный 10 6 2 4 2 7 2" xfId="7113"/>
    <cellStyle name="Обычный 10 6 2 4 2 8" xfId="7114"/>
    <cellStyle name="Обычный 10 6 2 4 2 9" xfId="7115"/>
    <cellStyle name="Обычный 10 6 2 4 3" xfId="7116"/>
    <cellStyle name="Обычный 10 6 2 4 3 2" xfId="7117"/>
    <cellStyle name="Обычный 10 6 2 4 3 2 2" xfId="7118"/>
    <cellStyle name="Обычный 10 6 2 4 3 2 2 2" xfId="7119"/>
    <cellStyle name="Обычный 10 6 2 4 3 2 2 2 2" xfId="7120"/>
    <cellStyle name="Обычный 10 6 2 4 3 2 2 2 3" xfId="7121"/>
    <cellStyle name="Обычный 10 6 2 4 3 2 2 3" xfId="7122"/>
    <cellStyle name="Обычный 10 6 2 4 3 2 2 3 2" xfId="7123"/>
    <cellStyle name="Обычный 10 6 2 4 3 2 2 3 3" xfId="7124"/>
    <cellStyle name="Обычный 10 6 2 4 3 2 2 4" xfId="7125"/>
    <cellStyle name="Обычный 10 6 2 4 3 2 2 4 2" xfId="7126"/>
    <cellStyle name="Обычный 10 6 2 4 3 2 2 5" xfId="7127"/>
    <cellStyle name="Обычный 10 6 2 4 3 2 2 6" xfId="7128"/>
    <cellStyle name="Обычный 10 6 2 4 3 2 3" xfId="7129"/>
    <cellStyle name="Обычный 10 6 2 4 3 2 3 2" xfId="7130"/>
    <cellStyle name="Обычный 10 6 2 4 3 2 3 3" xfId="7131"/>
    <cellStyle name="Обычный 10 6 2 4 3 2 4" xfId="7132"/>
    <cellStyle name="Обычный 10 6 2 4 3 2 4 2" xfId="7133"/>
    <cellStyle name="Обычный 10 6 2 4 3 2 4 3" xfId="7134"/>
    <cellStyle name="Обычный 10 6 2 4 3 2 5" xfId="7135"/>
    <cellStyle name="Обычный 10 6 2 4 3 2 5 2" xfId="7136"/>
    <cellStyle name="Обычный 10 6 2 4 3 2 6" xfId="7137"/>
    <cellStyle name="Обычный 10 6 2 4 3 2 7" xfId="7138"/>
    <cellStyle name="Обычный 10 6 2 4 3 3" xfId="7139"/>
    <cellStyle name="Обычный 10 6 2 4 3 3 2" xfId="7140"/>
    <cellStyle name="Обычный 10 6 2 4 3 3 2 2" xfId="7141"/>
    <cellStyle name="Обычный 10 6 2 4 3 3 2 3" xfId="7142"/>
    <cellStyle name="Обычный 10 6 2 4 3 3 3" xfId="7143"/>
    <cellStyle name="Обычный 10 6 2 4 3 3 3 2" xfId="7144"/>
    <cellStyle name="Обычный 10 6 2 4 3 3 3 3" xfId="7145"/>
    <cellStyle name="Обычный 10 6 2 4 3 3 4" xfId="7146"/>
    <cellStyle name="Обычный 10 6 2 4 3 3 4 2" xfId="7147"/>
    <cellStyle name="Обычный 10 6 2 4 3 3 5" xfId="7148"/>
    <cellStyle name="Обычный 10 6 2 4 3 3 6" xfId="7149"/>
    <cellStyle name="Обычный 10 6 2 4 3 4" xfId="7150"/>
    <cellStyle name="Обычный 10 6 2 4 3 4 2" xfId="7151"/>
    <cellStyle name="Обычный 10 6 2 4 3 4 3" xfId="7152"/>
    <cellStyle name="Обычный 10 6 2 4 3 5" xfId="7153"/>
    <cellStyle name="Обычный 10 6 2 4 3 5 2" xfId="7154"/>
    <cellStyle name="Обычный 10 6 2 4 3 5 3" xfId="7155"/>
    <cellStyle name="Обычный 10 6 2 4 3 6" xfId="7156"/>
    <cellStyle name="Обычный 10 6 2 4 3 6 2" xfId="7157"/>
    <cellStyle name="Обычный 10 6 2 4 3 7" xfId="7158"/>
    <cellStyle name="Обычный 10 6 2 4 3 8" xfId="7159"/>
    <cellStyle name="Обычный 10 6 2 4 4" xfId="7160"/>
    <cellStyle name="Обычный 10 6 2 4 4 2" xfId="7161"/>
    <cellStyle name="Обычный 10 6 2 4 4 2 2" xfId="7162"/>
    <cellStyle name="Обычный 10 6 2 4 4 2 2 2" xfId="7163"/>
    <cellStyle name="Обычный 10 6 2 4 4 2 2 3" xfId="7164"/>
    <cellStyle name="Обычный 10 6 2 4 4 2 3" xfId="7165"/>
    <cellStyle name="Обычный 10 6 2 4 4 2 3 2" xfId="7166"/>
    <cellStyle name="Обычный 10 6 2 4 4 2 3 3" xfId="7167"/>
    <cellStyle name="Обычный 10 6 2 4 4 2 4" xfId="7168"/>
    <cellStyle name="Обычный 10 6 2 4 4 2 4 2" xfId="7169"/>
    <cellStyle name="Обычный 10 6 2 4 4 2 5" xfId="7170"/>
    <cellStyle name="Обычный 10 6 2 4 4 2 6" xfId="7171"/>
    <cellStyle name="Обычный 10 6 2 4 4 3" xfId="7172"/>
    <cellStyle name="Обычный 10 6 2 4 4 3 2" xfId="7173"/>
    <cellStyle name="Обычный 10 6 2 4 4 3 3" xfId="7174"/>
    <cellStyle name="Обычный 10 6 2 4 4 4" xfId="7175"/>
    <cellStyle name="Обычный 10 6 2 4 4 4 2" xfId="7176"/>
    <cellStyle name="Обычный 10 6 2 4 4 4 3" xfId="7177"/>
    <cellStyle name="Обычный 10 6 2 4 4 5" xfId="7178"/>
    <cellStyle name="Обычный 10 6 2 4 4 5 2" xfId="7179"/>
    <cellStyle name="Обычный 10 6 2 4 4 6" xfId="7180"/>
    <cellStyle name="Обычный 10 6 2 4 4 7" xfId="7181"/>
    <cellStyle name="Обычный 10 6 2 4 5" xfId="7182"/>
    <cellStyle name="Обычный 10 6 2 4 5 2" xfId="7183"/>
    <cellStyle name="Обычный 10 6 2 4 5 2 2" xfId="7184"/>
    <cellStyle name="Обычный 10 6 2 4 5 2 3" xfId="7185"/>
    <cellStyle name="Обычный 10 6 2 4 5 3" xfId="7186"/>
    <cellStyle name="Обычный 10 6 2 4 5 3 2" xfId="7187"/>
    <cellStyle name="Обычный 10 6 2 4 5 3 3" xfId="7188"/>
    <cellStyle name="Обычный 10 6 2 4 5 4" xfId="7189"/>
    <cellStyle name="Обычный 10 6 2 4 5 4 2" xfId="7190"/>
    <cellStyle name="Обычный 10 6 2 4 5 5" xfId="7191"/>
    <cellStyle name="Обычный 10 6 2 4 5 6" xfId="7192"/>
    <cellStyle name="Обычный 10 6 2 4 6" xfId="7193"/>
    <cellStyle name="Обычный 10 6 2 4 6 2" xfId="7194"/>
    <cellStyle name="Обычный 10 6 2 4 6 3" xfId="7195"/>
    <cellStyle name="Обычный 10 6 2 4 7" xfId="7196"/>
    <cellStyle name="Обычный 10 6 2 4 7 2" xfId="7197"/>
    <cellStyle name="Обычный 10 6 2 4 7 3" xfId="7198"/>
    <cellStyle name="Обычный 10 6 2 4 8" xfId="7199"/>
    <cellStyle name="Обычный 10 6 2 4 8 2" xfId="7200"/>
    <cellStyle name="Обычный 10 6 2 4 9" xfId="7201"/>
    <cellStyle name="Обычный 10 6 2 5" xfId="7202"/>
    <cellStyle name="Обычный 10 6 2 5 2" xfId="7203"/>
    <cellStyle name="Обычный 10 6 2 5 2 2" xfId="7204"/>
    <cellStyle name="Обычный 10 6 2 5 2 2 2" xfId="7205"/>
    <cellStyle name="Обычный 10 6 2 5 2 2 2 2" xfId="7206"/>
    <cellStyle name="Обычный 10 6 2 5 2 2 2 2 2" xfId="7207"/>
    <cellStyle name="Обычный 10 6 2 5 2 2 2 2 3" xfId="7208"/>
    <cellStyle name="Обычный 10 6 2 5 2 2 2 3" xfId="7209"/>
    <cellStyle name="Обычный 10 6 2 5 2 2 2 3 2" xfId="7210"/>
    <cellStyle name="Обычный 10 6 2 5 2 2 2 3 3" xfId="7211"/>
    <cellStyle name="Обычный 10 6 2 5 2 2 2 4" xfId="7212"/>
    <cellStyle name="Обычный 10 6 2 5 2 2 2 4 2" xfId="7213"/>
    <cellStyle name="Обычный 10 6 2 5 2 2 2 5" xfId="7214"/>
    <cellStyle name="Обычный 10 6 2 5 2 2 2 6" xfId="7215"/>
    <cellStyle name="Обычный 10 6 2 5 2 2 3" xfId="7216"/>
    <cellStyle name="Обычный 10 6 2 5 2 2 3 2" xfId="7217"/>
    <cellStyle name="Обычный 10 6 2 5 2 2 3 3" xfId="7218"/>
    <cellStyle name="Обычный 10 6 2 5 2 2 4" xfId="7219"/>
    <cellStyle name="Обычный 10 6 2 5 2 2 4 2" xfId="7220"/>
    <cellStyle name="Обычный 10 6 2 5 2 2 4 3" xfId="7221"/>
    <cellStyle name="Обычный 10 6 2 5 2 2 5" xfId="7222"/>
    <cellStyle name="Обычный 10 6 2 5 2 2 5 2" xfId="7223"/>
    <cellStyle name="Обычный 10 6 2 5 2 2 6" xfId="7224"/>
    <cellStyle name="Обычный 10 6 2 5 2 2 7" xfId="7225"/>
    <cellStyle name="Обычный 10 6 2 5 2 3" xfId="7226"/>
    <cellStyle name="Обычный 10 6 2 5 2 3 2" xfId="7227"/>
    <cellStyle name="Обычный 10 6 2 5 2 3 2 2" xfId="7228"/>
    <cellStyle name="Обычный 10 6 2 5 2 3 2 3" xfId="7229"/>
    <cellStyle name="Обычный 10 6 2 5 2 3 3" xfId="7230"/>
    <cellStyle name="Обычный 10 6 2 5 2 3 3 2" xfId="7231"/>
    <cellStyle name="Обычный 10 6 2 5 2 3 3 3" xfId="7232"/>
    <cellStyle name="Обычный 10 6 2 5 2 3 4" xfId="7233"/>
    <cellStyle name="Обычный 10 6 2 5 2 3 4 2" xfId="7234"/>
    <cellStyle name="Обычный 10 6 2 5 2 3 5" xfId="7235"/>
    <cellStyle name="Обычный 10 6 2 5 2 3 6" xfId="7236"/>
    <cellStyle name="Обычный 10 6 2 5 2 4" xfId="7237"/>
    <cellStyle name="Обычный 10 6 2 5 2 4 2" xfId="7238"/>
    <cellStyle name="Обычный 10 6 2 5 2 4 3" xfId="7239"/>
    <cellStyle name="Обычный 10 6 2 5 2 5" xfId="7240"/>
    <cellStyle name="Обычный 10 6 2 5 2 5 2" xfId="7241"/>
    <cellStyle name="Обычный 10 6 2 5 2 5 3" xfId="7242"/>
    <cellStyle name="Обычный 10 6 2 5 2 6" xfId="7243"/>
    <cellStyle name="Обычный 10 6 2 5 2 6 2" xfId="7244"/>
    <cellStyle name="Обычный 10 6 2 5 2 7" xfId="7245"/>
    <cellStyle name="Обычный 10 6 2 5 2 8" xfId="7246"/>
    <cellStyle name="Обычный 10 6 2 5 3" xfId="7247"/>
    <cellStyle name="Обычный 10 6 2 5 3 2" xfId="7248"/>
    <cellStyle name="Обычный 10 6 2 5 3 2 2" xfId="7249"/>
    <cellStyle name="Обычный 10 6 2 5 3 2 2 2" xfId="7250"/>
    <cellStyle name="Обычный 10 6 2 5 3 2 2 3" xfId="7251"/>
    <cellStyle name="Обычный 10 6 2 5 3 2 3" xfId="7252"/>
    <cellStyle name="Обычный 10 6 2 5 3 2 3 2" xfId="7253"/>
    <cellStyle name="Обычный 10 6 2 5 3 2 3 3" xfId="7254"/>
    <cellStyle name="Обычный 10 6 2 5 3 2 4" xfId="7255"/>
    <cellStyle name="Обычный 10 6 2 5 3 2 4 2" xfId="7256"/>
    <cellStyle name="Обычный 10 6 2 5 3 2 5" xfId="7257"/>
    <cellStyle name="Обычный 10 6 2 5 3 2 6" xfId="7258"/>
    <cellStyle name="Обычный 10 6 2 5 3 3" xfId="7259"/>
    <cellStyle name="Обычный 10 6 2 5 3 3 2" xfId="7260"/>
    <cellStyle name="Обычный 10 6 2 5 3 3 3" xfId="7261"/>
    <cellStyle name="Обычный 10 6 2 5 3 4" xfId="7262"/>
    <cellStyle name="Обычный 10 6 2 5 3 4 2" xfId="7263"/>
    <cellStyle name="Обычный 10 6 2 5 3 4 3" xfId="7264"/>
    <cellStyle name="Обычный 10 6 2 5 3 5" xfId="7265"/>
    <cellStyle name="Обычный 10 6 2 5 3 5 2" xfId="7266"/>
    <cellStyle name="Обычный 10 6 2 5 3 6" xfId="7267"/>
    <cellStyle name="Обычный 10 6 2 5 3 7" xfId="7268"/>
    <cellStyle name="Обычный 10 6 2 5 4" xfId="7269"/>
    <cellStyle name="Обычный 10 6 2 5 4 2" xfId="7270"/>
    <cellStyle name="Обычный 10 6 2 5 4 2 2" xfId="7271"/>
    <cellStyle name="Обычный 10 6 2 5 4 2 3" xfId="7272"/>
    <cellStyle name="Обычный 10 6 2 5 4 3" xfId="7273"/>
    <cellStyle name="Обычный 10 6 2 5 4 3 2" xfId="7274"/>
    <cellStyle name="Обычный 10 6 2 5 4 3 3" xfId="7275"/>
    <cellStyle name="Обычный 10 6 2 5 4 4" xfId="7276"/>
    <cellStyle name="Обычный 10 6 2 5 4 4 2" xfId="7277"/>
    <cellStyle name="Обычный 10 6 2 5 4 5" xfId="7278"/>
    <cellStyle name="Обычный 10 6 2 5 4 6" xfId="7279"/>
    <cellStyle name="Обычный 10 6 2 5 5" xfId="7280"/>
    <cellStyle name="Обычный 10 6 2 5 5 2" xfId="7281"/>
    <cellStyle name="Обычный 10 6 2 5 5 3" xfId="7282"/>
    <cellStyle name="Обычный 10 6 2 5 6" xfId="7283"/>
    <cellStyle name="Обычный 10 6 2 5 6 2" xfId="7284"/>
    <cellStyle name="Обычный 10 6 2 5 6 3" xfId="7285"/>
    <cellStyle name="Обычный 10 6 2 5 7" xfId="7286"/>
    <cellStyle name="Обычный 10 6 2 5 7 2" xfId="7287"/>
    <cellStyle name="Обычный 10 6 2 5 8" xfId="7288"/>
    <cellStyle name="Обычный 10 6 2 5 9" xfId="7289"/>
    <cellStyle name="Обычный 10 6 2 6" xfId="7290"/>
    <cellStyle name="Обычный 10 6 2 6 2" xfId="7291"/>
    <cellStyle name="Обычный 10 6 2 6 2 2" xfId="7292"/>
    <cellStyle name="Обычный 10 6 2 6 2 2 2" xfId="7293"/>
    <cellStyle name="Обычный 10 6 2 6 2 2 2 2" xfId="7294"/>
    <cellStyle name="Обычный 10 6 2 6 2 2 2 3" xfId="7295"/>
    <cellStyle name="Обычный 10 6 2 6 2 2 3" xfId="7296"/>
    <cellStyle name="Обычный 10 6 2 6 2 2 3 2" xfId="7297"/>
    <cellStyle name="Обычный 10 6 2 6 2 2 3 3" xfId="7298"/>
    <cellStyle name="Обычный 10 6 2 6 2 2 4" xfId="7299"/>
    <cellStyle name="Обычный 10 6 2 6 2 2 4 2" xfId="7300"/>
    <cellStyle name="Обычный 10 6 2 6 2 2 5" xfId="7301"/>
    <cellStyle name="Обычный 10 6 2 6 2 2 6" xfId="7302"/>
    <cellStyle name="Обычный 10 6 2 6 2 3" xfId="7303"/>
    <cellStyle name="Обычный 10 6 2 6 2 3 2" xfId="7304"/>
    <cellStyle name="Обычный 10 6 2 6 2 3 3" xfId="7305"/>
    <cellStyle name="Обычный 10 6 2 6 2 4" xfId="7306"/>
    <cellStyle name="Обычный 10 6 2 6 2 4 2" xfId="7307"/>
    <cellStyle name="Обычный 10 6 2 6 2 4 3" xfId="7308"/>
    <cellStyle name="Обычный 10 6 2 6 2 5" xfId="7309"/>
    <cellStyle name="Обычный 10 6 2 6 2 5 2" xfId="7310"/>
    <cellStyle name="Обычный 10 6 2 6 2 6" xfId="7311"/>
    <cellStyle name="Обычный 10 6 2 6 2 7" xfId="7312"/>
    <cellStyle name="Обычный 10 6 2 6 3" xfId="7313"/>
    <cellStyle name="Обычный 10 6 2 6 3 2" xfId="7314"/>
    <cellStyle name="Обычный 10 6 2 6 3 2 2" xfId="7315"/>
    <cellStyle name="Обычный 10 6 2 6 3 2 3" xfId="7316"/>
    <cellStyle name="Обычный 10 6 2 6 3 3" xfId="7317"/>
    <cellStyle name="Обычный 10 6 2 6 3 3 2" xfId="7318"/>
    <cellStyle name="Обычный 10 6 2 6 3 3 3" xfId="7319"/>
    <cellStyle name="Обычный 10 6 2 6 3 4" xfId="7320"/>
    <cellStyle name="Обычный 10 6 2 6 3 4 2" xfId="7321"/>
    <cellStyle name="Обычный 10 6 2 6 3 5" xfId="7322"/>
    <cellStyle name="Обычный 10 6 2 6 3 6" xfId="7323"/>
    <cellStyle name="Обычный 10 6 2 6 4" xfId="7324"/>
    <cellStyle name="Обычный 10 6 2 6 4 2" xfId="7325"/>
    <cellStyle name="Обычный 10 6 2 6 4 3" xfId="7326"/>
    <cellStyle name="Обычный 10 6 2 6 5" xfId="7327"/>
    <cellStyle name="Обычный 10 6 2 6 5 2" xfId="7328"/>
    <cellStyle name="Обычный 10 6 2 6 5 3" xfId="7329"/>
    <cellStyle name="Обычный 10 6 2 6 6" xfId="7330"/>
    <cellStyle name="Обычный 10 6 2 6 6 2" xfId="7331"/>
    <cellStyle name="Обычный 10 6 2 6 7" xfId="7332"/>
    <cellStyle name="Обычный 10 6 2 6 8" xfId="7333"/>
    <cellStyle name="Обычный 10 6 2 7" xfId="7334"/>
    <cellStyle name="Обычный 10 6 2 7 2" xfId="7335"/>
    <cellStyle name="Обычный 10 6 2 7 2 2" xfId="7336"/>
    <cellStyle name="Обычный 10 6 2 7 2 2 2" xfId="7337"/>
    <cellStyle name="Обычный 10 6 2 7 2 2 3" xfId="7338"/>
    <cellStyle name="Обычный 10 6 2 7 2 3" xfId="7339"/>
    <cellStyle name="Обычный 10 6 2 7 2 3 2" xfId="7340"/>
    <cellStyle name="Обычный 10 6 2 7 2 3 3" xfId="7341"/>
    <cellStyle name="Обычный 10 6 2 7 2 4" xfId="7342"/>
    <cellStyle name="Обычный 10 6 2 7 2 4 2" xfId="7343"/>
    <cellStyle name="Обычный 10 6 2 7 2 5" xfId="7344"/>
    <cellStyle name="Обычный 10 6 2 7 2 6" xfId="7345"/>
    <cellStyle name="Обычный 10 6 2 7 3" xfId="7346"/>
    <cellStyle name="Обычный 10 6 2 7 3 2" xfId="7347"/>
    <cellStyle name="Обычный 10 6 2 7 3 3" xfId="7348"/>
    <cellStyle name="Обычный 10 6 2 7 4" xfId="7349"/>
    <cellStyle name="Обычный 10 6 2 7 4 2" xfId="7350"/>
    <cellStyle name="Обычный 10 6 2 7 4 3" xfId="7351"/>
    <cellStyle name="Обычный 10 6 2 7 5" xfId="7352"/>
    <cellStyle name="Обычный 10 6 2 7 5 2" xfId="7353"/>
    <cellStyle name="Обычный 10 6 2 7 6" xfId="7354"/>
    <cellStyle name="Обычный 10 6 2 7 7" xfId="7355"/>
    <cellStyle name="Обычный 10 6 2 8" xfId="7356"/>
    <cellStyle name="Обычный 10 6 2 8 2" xfId="7357"/>
    <cellStyle name="Обычный 10 6 2 8 2 2" xfId="7358"/>
    <cellStyle name="Обычный 10 6 2 8 2 3" xfId="7359"/>
    <cellStyle name="Обычный 10 6 2 8 3" xfId="7360"/>
    <cellStyle name="Обычный 10 6 2 8 3 2" xfId="7361"/>
    <cellStyle name="Обычный 10 6 2 8 3 3" xfId="7362"/>
    <cellStyle name="Обычный 10 6 2 8 4" xfId="7363"/>
    <cellStyle name="Обычный 10 6 2 8 4 2" xfId="7364"/>
    <cellStyle name="Обычный 10 6 2 8 5" xfId="7365"/>
    <cellStyle name="Обычный 10 6 2 8 6" xfId="7366"/>
    <cellStyle name="Обычный 10 6 2 9" xfId="7367"/>
    <cellStyle name="Обычный 10 6 2 9 2" xfId="7368"/>
    <cellStyle name="Обычный 10 6 2 9 3" xfId="7369"/>
    <cellStyle name="Обычный 10 6 3" xfId="7370"/>
    <cellStyle name="Обычный 10 6 3 10" xfId="7371"/>
    <cellStyle name="Обычный 10 6 3 2" xfId="7372"/>
    <cellStyle name="Обычный 10 6 3 2 2" xfId="7373"/>
    <cellStyle name="Обычный 10 6 3 2 2 2" xfId="7374"/>
    <cellStyle name="Обычный 10 6 3 2 2 2 2" xfId="7375"/>
    <cellStyle name="Обычный 10 6 3 2 2 2 2 2" xfId="7376"/>
    <cellStyle name="Обычный 10 6 3 2 2 2 2 2 2" xfId="7377"/>
    <cellStyle name="Обычный 10 6 3 2 2 2 2 2 3" xfId="7378"/>
    <cellStyle name="Обычный 10 6 3 2 2 2 2 3" xfId="7379"/>
    <cellStyle name="Обычный 10 6 3 2 2 2 2 3 2" xfId="7380"/>
    <cellStyle name="Обычный 10 6 3 2 2 2 2 3 3" xfId="7381"/>
    <cellStyle name="Обычный 10 6 3 2 2 2 2 4" xfId="7382"/>
    <cellStyle name="Обычный 10 6 3 2 2 2 2 4 2" xfId="7383"/>
    <cellStyle name="Обычный 10 6 3 2 2 2 2 5" xfId="7384"/>
    <cellStyle name="Обычный 10 6 3 2 2 2 2 6" xfId="7385"/>
    <cellStyle name="Обычный 10 6 3 2 2 2 3" xfId="7386"/>
    <cellStyle name="Обычный 10 6 3 2 2 2 3 2" xfId="7387"/>
    <cellStyle name="Обычный 10 6 3 2 2 2 3 3" xfId="7388"/>
    <cellStyle name="Обычный 10 6 3 2 2 2 4" xfId="7389"/>
    <cellStyle name="Обычный 10 6 3 2 2 2 4 2" xfId="7390"/>
    <cellStyle name="Обычный 10 6 3 2 2 2 4 3" xfId="7391"/>
    <cellStyle name="Обычный 10 6 3 2 2 2 5" xfId="7392"/>
    <cellStyle name="Обычный 10 6 3 2 2 2 5 2" xfId="7393"/>
    <cellStyle name="Обычный 10 6 3 2 2 2 6" xfId="7394"/>
    <cellStyle name="Обычный 10 6 3 2 2 2 7" xfId="7395"/>
    <cellStyle name="Обычный 10 6 3 2 2 3" xfId="7396"/>
    <cellStyle name="Обычный 10 6 3 2 2 3 2" xfId="7397"/>
    <cellStyle name="Обычный 10 6 3 2 2 3 2 2" xfId="7398"/>
    <cellStyle name="Обычный 10 6 3 2 2 3 2 3" xfId="7399"/>
    <cellStyle name="Обычный 10 6 3 2 2 3 3" xfId="7400"/>
    <cellStyle name="Обычный 10 6 3 2 2 3 3 2" xfId="7401"/>
    <cellStyle name="Обычный 10 6 3 2 2 3 3 3" xfId="7402"/>
    <cellStyle name="Обычный 10 6 3 2 2 3 4" xfId="7403"/>
    <cellStyle name="Обычный 10 6 3 2 2 3 4 2" xfId="7404"/>
    <cellStyle name="Обычный 10 6 3 2 2 3 5" xfId="7405"/>
    <cellStyle name="Обычный 10 6 3 2 2 3 6" xfId="7406"/>
    <cellStyle name="Обычный 10 6 3 2 2 4" xfId="7407"/>
    <cellStyle name="Обычный 10 6 3 2 2 4 2" xfId="7408"/>
    <cellStyle name="Обычный 10 6 3 2 2 4 3" xfId="7409"/>
    <cellStyle name="Обычный 10 6 3 2 2 5" xfId="7410"/>
    <cellStyle name="Обычный 10 6 3 2 2 5 2" xfId="7411"/>
    <cellStyle name="Обычный 10 6 3 2 2 5 3" xfId="7412"/>
    <cellStyle name="Обычный 10 6 3 2 2 6" xfId="7413"/>
    <cellStyle name="Обычный 10 6 3 2 2 6 2" xfId="7414"/>
    <cellStyle name="Обычный 10 6 3 2 2 7" xfId="7415"/>
    <cellStyle name="Обычный 10 6 3 2 2 8" xfId="7416"/>
    <cellStyle name="Обычный 10 6 3 2 3" xfId="7417"/>
    <cellStyle name="Обычный 10 6 3 2 3 2" xfId="7418"/>
    <cellStyle name="Обычный 10 6 3 2 3 2 2" xfId="7419"/>
    <cellStyle name="Обычный 10 6 3 2 3 2 2 2" xfId="7420"/>
    <cellStyle name="Обычный 10 6 3 2 3 2 2 3" xfId="7421"/>
    <cellStyle name="Обычный 10 6 3 2 3 2 3" xfId="7422"/>
    <cellStyle name="Обычный 10 6 3 2 3 2 3 2" xfId="7423"/>
    <cellStyle name="Обычный 10 6 3 2 3 2 3 3" xfId="7424"/>
    <cellStyle name="Обычный 10 6 3 2 3 2 4" xfId="7425"/>
    <cellStyle name="Обычный 10 6 3 2 3 2 4 2" xfId="7426"/>
    <cellStyle name="Обычный 10 6 3 2 3 2 5" xfId="7427"/>
    <cellStyle name="Обычный 10 6 3 2 3 2 6" xfId="7428"/>
    <cellStyle name="Обычный 10 6 3 2 3 3" xfId="7429"/>
    <cellStyle name="Обычный 10 6 3 2 3 3 2" xfId="7430"/>
    <cellStyle name="Обычный 10 6 3 2 3 3 3" xfId="7431"/>
    <cellStyle name="Обычный 10 6 3 2 3 4" xfId="7432"/>
    <cellStyle name="Обычный 10 6 3 2 3 4 2" xfId="7433"/>
    <cellStyle name="Обычный 10 6 3 2 3 4 3" xfId="7434"/>
    <cellStyle name="Обычный 10 6 3 2 3 5" xfId="7435"/>
    <cellStyle name="Обычный 10 6 3 2 3 5 2" xfId="7436"/>
    <cellStyle name="Обычный 10 6 3 2 3 6" xfId="7437"/>
    <cellStyle name="Обычный 10 6 3 2 3 7" xfId="7438"/>
    <cellStyle name="Обычный 10 6 3 2 4" xfId="7439"/>
    <cellStyle name="Обычный 10 6 3 2 4 2" xfId="7440"/>
    <cellStyle name="Обычный 10 6 3 2 4 2 2" xfId="7441"/>
    <cellStyle name="Обычный 10 6 3 2 4 2 3" xfId="7442"/>
    <cellStyle name="Обычный 10 6 3 2 4 3" xfId="7443"/>
    <cellStyle name="Обычный 10 6 3 2 4 3 2" xfId="7444"/>
    <cellStyle name="Обычный 10 6 3 2 4 3 3" xfId="7445"/>
    <cellStyle name="Обычный 10 6 3 2 4 4" xfId="7446"/>
    <cellStyle name="Обычный 10 6 3 2 4 4 2" xfId="7447"/>
    <cellStyle name="Обычный 10 6 3 2 4 5" xfId="7448"/>
    <cellStyle name="Обычный 10 6 3 2 4 6" xfId="7449"/>
    <cellStyle name="Обычный 10 6 3 2 5" xfId="7450"/>
    <cellStyle name="Обычный 10 6 3 2 5 2" xfId="7451"/>
    <cellStyle name="Обычный 10 6 3 2 5 3" xfId="7452"/>
    <cellStyle name="Обычный 10 6 3 2 6" xfId="7453"/>
    <cellStyle name="Обычный 10 6 3 2 6 2" xfId="7454"/>
    <cellStyle name="Обычный 10 6 3 2 6 3" xfId="7455"/>
    <cellStyle name="Обычный 10 6 3 2 7" xfId="7456"/>
    <cellStyle name="Обычный 10 6 3 2 7 2" xfId="7457"/>
    <cellStyle name="Обычный 10 6 3 2 8" xfId="7458"/>
    <cellStyle name="Обычный 10 6 3 2 9" xfId="7459"/>
    <cellStyle name="Обычный 10 6 3 3" xfId="7460"/>
    <cellStyle name="Обычный 10 6 3 3 2" xfId="7461"/>
    <cellStyle name="Обычный 10 6 3 3 2 2" xfId="7462"/>
    <cellStyle name="Обычный 10 6 3 3 2 2 2" xfId="7463"/>
    <cellStyle name="Обычный 10 6 3 3 2 2 2 2" xfId="7464"/>
    <cellStyle name="Обычный 10 6 3 3 2 2 2 3" xfId="7465"/>
    <cellStyle name="Обычный 10 6 3 3 2 2 3" xfId="7466"/>
    <cellStyle name="Обычный 10 6 3 3 2 2 3 2" xfId="7467"/>
    <cellStyle name="Обычный 10 6 3 3 2 2 3 3" xfId="7468"/>
    <cellStyle name="Обычный 10 6 3 3 2 2 4" xfId="7469"/>
    <cellStyle name="Обычный 10 6 3 3 2 2 4 2" xfId="7470"/>
    <cellStyle name="Обычный 10 6 3 3 2 2 5" xfId="7471"/>
    <cellStyle name="Обычный 10 6 3 3 2 2 6" xfId="7472"/>
    <cellStyle name="Обычный 10 6 3 3 2 3" xfId="7473"/>
    <cellStyle name="Обычный 10 6 3 3 2 3 2" xfId="7474"/>
    <cellStyle name="Обычный 10 6 3 3 2 3 3" xfId="7475"/>
    <cellStyle name="Обычный 10 6 3 3 2 4" xfId="7476"/>
    <cellStyle name="Обычный 10 6 3 3 2 4 2" xfId="7477"/>
    <cellStyle name="Обычный 10 6 3 3 2 4 3" xfId="7478"/>
    <cellStyle name="Обычный 10 6 3 3 2 5" xfId="7479"/>
    <cellStyle name="Обычный 10 6 3 3 2 5 2" xfId="7480"/>
    <cellStyle name="Обычный 10 6 3 3 2 6" xfId="7481"/>
    <cellStyle name="Обычный 10 6 3 3 2 7" xfId="7482"/>
    <cellStyle name="Обычный 10 6 3 3 3" xfId="7483"/>
    <cellStyle name="Обычный 10 6 3 3 3 2" xfId="7484"/>
    <cellStyle name="Обычный 10 6 3 3 3 2 2" xfId="7485"/>
    <cellStyle name="Обычный 10 6 3 3 3 2 3" xfId="7486"/>
    <cellStyle name="Обычный 10 6 3 3 3 3" xfId="7487"/>
    <cellStyle name="Обычный 10 6 3 3 3 3 2" xfId="7488"/>
    <cellStyle name="Обычный 10 6 3 3 3 3 3" xfId="7489"/>
    <cellStyle name="Обычный 10 6 3 3 3 4" xfId="7490"/>
    <cellStyle name="Обычный 10 6 3 3 3 4 2" xfId="7491"/>
    <cellStyle name="Обычный 10 6 3 3 3 5" xfId="7492"/>
    <cellStyle name="Обычный 10 6 3 3 3 6" xfId="7493"/>
    <cellStyle name="Обычный 10 6 3 3 4" xfId="7494"/>
    <cellStyle name="Обычный 10 6 3 3 4 2" xfId="7495"/>
    <cellStyle name="Обычный 10 6 3 3 4 3" xfId="7496"/>
    <cellStyle name="Обычный 10 6 3 3 5" xfId="7497"/>
    <cellStyle name="Обычный 10 6 3 3 5 2" xfId="7498"/>
    <cellStyle name="Обычный 10 6 3 3 5 3" xfId="7499"/>
    <cellStyle name="Обычный 10 6 3 3 6" xfId="7500"/>
    <cellStyle name="Обычный 10 6 3 3 6 2" xfId="7501"/>
    <cellStyle name="Обычный 10 6 3 3 7" xfId="7502"/>
    <cellStyle name="Обычный 10 6 3 3 8" xfId="7503"/>
    <cellStyle name="Обычный 10 6 3 4" xfId="7504"/>
    <cellStyle name="Обычный 10 6 3 4 2" xfId="7505"/>
    <cellStyle name="Обычный 10 6 3 4 2 2" xfId="7506"/>
    <cellStyle name="Обычный 10 6 3 4 2 2 2" xfId="7507"/>
    <cellStyle name="Обычный 10 6 3 4 2 2 3" xfId="7508"/>
    <cellStyle name="Обычный 10 6 3 4 2 3" xfId="7509"/>
    <cellStyle name="Обычный 10 6 3 4 2 3 2" xfId="7510"/>
    <cellStyle name="Обычный 10 6 3 4 2 3 3" xfId="7511"/>
    <cellStyle name="Обычный 10 6 3 4 2 4" xfId="7512"/>
    <cellStyle name="Обычный 10 6 3 4 2 4 2" xfId="7513"/>
    <cellStyle name="Обычный 10 6 3 4 2 5" xfId="7514"/>
    <cellStyle name="Обычный 10 6 3 4 2 6" xfId="7515"/>
    <cellStyle name="Обычный 10 6 3 4 3" xfId="7516"/>
    <cellStyle name="Обычный 10 6 3 4 3 2" xfId="7517"/>
    <cellStyle name="Обычный 10 6 3 4 3 3" xfId="7518"/>
    <cellStyle name="Обычный 10 6 3 4 4" xfId="7519"/>
    <cellStyle name="Обычный 10 6 3 4 4 2" xfId="7520"/>
    <cellStyle name="Обычный 10 6 3 4 4 3" xfId="7521"/>
    <cellStyle name="Обычный 10 6 3 4 5" xfId="7522"/>
    <cellStyle name="Обычный 10 6 3 4 5 2" xfId="7523"/>
    <cellStyle name="Обычный 10 6 3 4 6" xfId="7524"/>
    <cellStyle name="Обычный 10 6 3 4 7" xfId="7525"/>
    <cellStyle name="Обычный 10 6 3 5" xfId="7526"/>
    <cellStyle name="Обычный 10 6 3 5 2" xfId="7527"/>
    <cellStyle name="Обычный 10 6 3 5 2 2" xfId="7528"/>
    <cellStyle name="Обычный 10 6 3 5 2 3" xfId="7529"/>
    <cellStyle name="Обычный 10 6 3 5 3" xfId="7530"/>
    <cellStyle name="Обычный 10 6 3 5 3 2" xfId="7531"/>
    <cellStyle name="Обычный 10 6 3 5 3 3" xfId="7532"/>
    <cellStyle name="Обычный 10 6 3 5 4" xfId="7533"/>
    <cellStyle name="Обычный 10 6 3 5 4 2" xfId="7534"/>
    <cellStyle name="Обычный 10 6 3 5 5" xfId="7535"/>
    <cellStyle name="Обычный 10 6 3 5 6" xfId="7536"/>
    <cellStyle name="Обычный 10 6 3 6" xfId="7537"/>
    <cellStyle name="Обычный 10 6 3 6 2" xfId="7538"/>
    <cellStyle name="Обычный 10 6 3 6 3" xfId="7539"/>
    <cellStyle name="Обычный 10 6 3 7" xfId="7540"/>
    <cellStyle name="Обычный 10 6 3 7 2" xfId="7541"/>
    <cellStyle name="Обычный 10 6 3 7 3" xfId="7542"/>
    <cellStyle name="Обычный 10 6 3 8" xfId="7543"/>
    <cellStyle name="Обычный 10 6 3 8 2" xfId="7544"/>
    <cellStyle name="Обычный 10 6 3 9" xfId="7545"/>
    <cellStyle name="Обычный 10 6 4" xfId="7546"/>
    <cellStyle name="Обычный 10 6 4 10" xfId="7547"/>
    <cellStyle name="Обычный 10 6 4 2" xfId="7548"/>
    <cellStyle name="Обычный 10 6 4 2 2" xfId="7549"/>
    <cellStyle name="Обычный 10 6 4 2 2 2" xfId="7550"/>
    <cellStyle name="Обычный 10 6 4 2 2 2 2" xfId="7551"/>
    <cellStyle name="Обычный 10 6 4 2 2 2 2 2" xfId="7552"/>
    <cellStyle name="Обычный 10 6 4 2 2 2 2 2 2" xfId="7553"/>
    <cellStyle name="Обычный 10 6 4 2 2 2 2 2 3" xfId="7554"/>
    <cellStyle name="Обычный 10 6 4 2 2 2 2 3" xfId="7555"/>
    <cellStyle name="Обычный 10 6 4 2 2 2 2 3 2" xfId="7556"/>
    <cellStyle name="Обычный 10 6 4 2 2 2 2 3 3" xfId="7557"/>
    <cellStyle name="Обычный 10 6 4 2 2 2 2 4" xfId="7558"/>
    <cellStyle name="Обычный 10 6 4 2 2 2 2 4 2" xfId="7559"/>
    <cellStyle name="Обычный 10 6 4 2 2 2 2 5" xfId="7560"/>
    <cellStyle name="Обычный 10 6 4 2 2 2 2 6" xfId="7561"/>
    <cellStyle name="Обычный 10 6 4 2 2 2 3" xfId="7562"/>
    <cellStyle name="Обычный 10 6 4 2 2 2 3 2" xfId="7563"/>
    <cellStyle name="Обычный 10 6 4 2 2 2 3 3" xfId="7564"/>
    <cellStyle name="Обычный 10 6 4 2 2 2 4" xfId="7565"/>
    <cellStyle name="Обычный 10 6 4 2 2 2 4 2" xfId="7566"/>
    <cellStyle name="Обычный 10 6 4 2 2 2 4 3" xfId="7567"/>
    <cellStyle name="Обычный 10 6 4 2 2 2 5" xfId="7568"/>
    <cellStyle name="Обычный 10 6 4 2 2 2 5 2" xfId="7569"/>
    <cellStyle name="Обычный 10 6 4 2 2 2 6" xfId="7570"/>
    <cellStyle name="Обычный 10 6 4 2 2 2 7" xfId="7571"/>
    <cellStyle name="Обычный 10 6 4 2 2 3" xfId="7572"/>
    <cellStyle name="Обычный 10 6 4 2 2 3 2" xfId="7573"/>
    <cellStyle name="Обычный 10 6 4 2 2 3 2 2" xfId="7574"/>
    <cellStyle name="Обычный 10 6 4 2 2 3 2 3" xfId="7575"/>
    <cellStyle name="Обычный 10 6 4 2 2 3 3" xfId="7576"/>
    <cellStyle name="Обычный 10 6 4 2 2 3 3 2" xfId="7577"/>
    <cellStyle name="Обычный 10 6 4 2 2 3 3 3" xfId="7578"/>
    <cellStyle name="Обычный 10 6 4 2 2 3 4" xfId="7579"/>
    <cellStyle name="Обычный 10 6 4 2 2 3 4 2" xfId="7580"/>
    <cellStyle name="Обычный 10 6 4 2 2 3 5" xfId="7581"/>
    <cellStyle name="Обычный 10 6 4 2 2 3 6" xfId="7582"/>
    <cellStyle name="Обычный 10 6 4 2 2 4" xfId="7583"/>
    <cellStyle name="Обычный 10 6 4 2 2 4 2" xfId="7584"/>
    <cellStyle name="Обычный 10 6 4 2 2 4 3" xfId="7585"/>
    <cellStyle name="Обычный 10 6 4 2 2 5" xfId="7586"/>
    <cellStyle name="Обычный 10 6 4 2 2 5 2" xfId="7587"/>
    <cellStyle name="Обычный 10 6 4 2 2 5 3" xfId="7588"/>
    <cellStyle name="Обычный 10 6 4 2 2 6" xfId="7589"/>
    <cellStyle name="Обычный 10 6 4 2 2 6 2" xfId="7590"/>
    <cellStyle name="Обычный 10 6 4 2 2 7" xfId="7591"/>
    <cellStyle name="Обычный 10 6 4 2 2 8" xfId="7592"/>
    <cellStyle name="Обычный 10 6 4 2 3" xfId="7593"/>
    <cellStyle name="Обычный 10 6 4 2 3 2" xfId="7594"/>
    <cellStyle name="Обычный 10 6 4 2 3 2 2" xfId="7595"/>
    <cellStyle name="Обычный 10 6 4 2 3 2 2 2" xfId="7596"/>
    <cellStyle name="Обычный 10 6 4 2 3 2 2 3" xfId="7597"/>
    <cellStyle name="Обычный 10 6 4 2 3 2 3" xfId="7598"/>
    <cellStyle name="Обычный 10 6 4 2 3 2 3 2" xfId="7599"/>
    <cellStyle name="Обычный 10 6 4 2 3 2 3 3" xfId="7600"/>
    <cellStyle name="Обычный 10 6 4 2 3 2 4" xfId="7601"/>
    <cellStyle name="Обычный 10 6 4 2 3 2 4 2" xfId="7602"/>
    <cellStyle name="Обычный 10 6 4 2 3 2 5" xfId="7603"/>
    <cellStyle name="Обычный 10 6 4 2 3 2 6" xfId="7604"/>
    <cellStyle name="Обычный 10 6 4 2 3 3" xfId="7605"/>
    <cellStyle name="Обычный 10 6 4 2 3 3 2" xfId="7606"/>
    <cellStyle name="Обычный 10 6 4 2 3 3 3" xfId="7607"/>
    <cellStyle name="Обычный 10 6 4 2 3 4" xfId="7608"/>
    <cellStyle name="Обычный 10 6 4 2 3 4 2" xfId="7609"/>
    <cellStyle name="Обычный 10 6 4 2 3 4 3" xfId="7610"/>
    <cellStyle name="Обычный 10 6 4 2 3 5" xfId="7611"/>
    <cellStyle name="Обычный 10 6 4 2 3 5 2" xfId="7612"/>
    <cellStyle name="Обычный 10 6 4 2 3 6" xfId="7613"/>
    <cellStyle name="Обычный 10 6 4 2 3 7" xfId="7614"/>
    <cellStyle name="Обычный 10 6 4 2 4" xfId="7615"/>
    <cellStyle name="Обычный 10 6 4 2 4 2" xfId="7616"/>
    <cellStyle name="Обычный 10 6 4 2 4 2 2" xfId="7617"/>
    <cellStyle name="Обычный 10 6 4 2 4 2 3" xfId="7618"/>
    <cellStyle name="Обычный 10 6 4 2 4 3" xfId="7619"/>
    <cellStyle name="Обычный 10 6 4 2 4 3 2" xfId="7620"/>
    <cellStyle name="Обычный 10 6 4 2 4 3 3" xfId="7621"/>
    <cellStyle name="Обычный 10 6 4 2 4 4" xfId="7622"/>
    <cellStyle name="Обычный 10 6 4 2 4 4 2" xfId="7623"/>
    <cellStyle name="Обычный 10 6 4 2 4 5" xfId="7624"/>
    <cellStyle name="Обычный 10 6 4 2 4 6" xfId="7625"/>
    <cellStyle name="Обычный 10 6 4 2 5" xfId="7626"/>
    <cellStyle name="Обычный 10 6 4 2 5 2" xfId="7627"/>
    <cellStyle name="Обычный 10 6 4 2 5 3" xfId="7628"/>
    <cellStyle name="Обычный 10 6 4 2 6" xfId="7629"/>
    <cellStyle name="Обычный 10 6 4 2 6 2" xfId="7630"/>
    <cellStyle name="Обычный 10 6 4 2 6 3" xfId="7631"/>
    <cellStyle name="Обычный 10 6 4 2 7" xfId="7632"/>
    <cellStyle name="Обычный 10 6 4 2 7 2" xfId="7633"/>
    <cellStyle name="Обычный 10 6 4 2 8" xfId="7634"/>
    <cellStyle name="Обычный 10 6 4 2 9" xfId="7635"/>
    <cellStyle name="Обычный 10 6 4 3" xfId="7636"/>
    <cellStyle name="Обычный 10 6 4 3 2" xfId="7637"/>
    <cellStyle name="Обычный 10 6 4 3 2 2" xfId="7638"/>
    <cellStyle name="Обычный 10 6 4 3 2 2 2" xfId="7639"/>
    <cellStyle name="Обычный 10 6 4 3 2 2 2 2" xfId="7640"/>
    <cellStyle name="Обычный 10 6 4 3 2 2 2 3" xfId="7641"/>
    <cellStyle name="Обычный 10 6 4 3 2 2 3" xfId="7642"/>
    <cellStyle name="Обычный 10 6 4 3 2 2 3 2" xfId="7643"/>
    <cellStyle name="Обычный 10 6 4 3 2 2 3 3" xfId="7644"/>
    <cellStyle name="Обычный 10 6 4 3 2 2 4" xfId="7645"/>
    <cellStyle name="Обычный 10 6 4 3 2 2 4 2" xfId="7646"/>
    <cellStyle name="Обычный 10 6 4 3 2 2 5" xfId="7647"/>
    <cellStyle name="Обычный 10 6 4 3 2 2 6" xfId="7648"/>
    <cellStyle name="Обычный 10 6 4 3 2 3" xfId="7649"/>
    <cellStyle name="Обычный 10 6 4 3 2 3 2" xfId="7650"/>
    <cellStyle name="Обычный 10 6 4 3 2 3 3" xfId="7651"/>
    <cellStyle name="Обычный 10 6 4 3 2 4" xfId="7652"/>
    <cellStyle name="Обычный 10 6 4 3 2 4 2" xfId="7653"/>
    <cellStyle name="Обычный 10 6 4 3 2 4 3" xfId="7654"/>
    <cellStyle name="Обычный 10 6 4 3 2 5" xfId="7655"/>
    <cellStyle name="Обычный 10 6 4 3 2 5 2" xfId="7656"/>
    <cellStyle name="Обычный 10 6 4 3 2 6" xfId="7657"/>
    <cellStyle name="Обычный 10 6 4 3 2 7" xfId="7658"/>
    <cellStyle name="Обычный 10 6 4 3 3" xfId="7659"/>
    <cellStyle name="Обычный 10 6 4 3 3 2" xfId="7660"/>
    <cellStyle name="Обычный 10 6 4 3 3 2 2" xfId="7661"/>
    <cellStyle name="Обычный 10 6 4 3 3 2 3" xfId="7662"/>
    <cellStyle name="Обычный 10 6 4 3 3 3" xfId="7663"/>
    <cellStyle name="Обычный 10 6 4 3 3 3 2" xfId="7664"/>
    <cellStyle name="Обычный 10 6 4 3 3 3 3" xfId="7665"/>
    <cellStyle name="Обычный 10 6 4 3 3 4" xfId="7666"/>
    <cellStyle name="Обычный 10 6 4 3 3 4 2" xfId="7667"/>
    <cellStyle name="Обычный 10 6 4 3 3 5" xfId="7668"/>
    <cellStyle name="Обычный 10 6 4 3 3 6" xfId="7669"/>
    <cellStyle name="Обычный 10 6 4 3 4" xfId="7670"/>
    <cellStyle name="Обычный 10 6 4 3 4 2" xfId="7671"/>
    <cellStyle name="Обычный 10 6 4 3 4 3" xfId="7672"/>
    <cellStyle name="Обычный 10 6 4 3 5" xfId="7673"/>
    <cellStyle name="Обычный 10 6 4 3 5 2" xfId="7674"/>
    <cellStyle name="Обычный 10 6 4 3 5 3" xfId="7675"/>
    <cellStyle name="Обычный 10 6 4 3 6" xfId="7676"/>
    <cellStyle name="Обычный 10 6 4 3 6 2" xfId="7677"/>
    <cellStyle name="Обычный 10 6 4 3 7" xfId="7678"/>
    <cellStyle name="Обычный 10 6 4 3 8" xfId="7679"/>
    <cellStyle name="Обычный 10 6 4 4" xfId="7680"/>
    <cellStyle name="Обычный 10 6 4 4 2" xfId="7681"/>
    <cellStyle name="Обычный 10 6 4 4 2 2" xfId="7682"/>
    <cellStyle name="Обычный 10 6 4 4 2 2 2" xfId="7683"/>
    <cellStyle name="Обычный 10 6 4 4 2 2 3" xfId="7684"/>
    <cellStyle name="Обычный 10 6 4 4 2 3" xfId="7685"/>
    <cellStyle name="Обычный 10 6 4 4 2 3 2" xfId="7686"/>
    <cellStyle name="Обычный 10 6 4 4 2 3 3" xfId="7687"/>
    <cellStyle name="Обычный 10 6 4 4 2 4" xfId="7688"/>
    <cellStyle name="Обычный 10 6 4 4 2 4 2" xfId="7689"/>
    <cellStyle name="Обычный 10 6 4 4 2 5" xfId="7690"/>
    <cellStyle name="Обычный 10 6 4 4 2 6" xfId="7691"/>
    <cellStyle name="Обычный 10 6 4 4 3" xfId="7692"/>
    <cellStyle name="Обычный 10 6 4 4 3 2" xfId="7693"/>
    <cellStyle name="Обычный 10 6 4 4 3 3" xfId="7694"/>
    <cellStyle name="Обычный 10 6 4 4 4" xfId="7695"/>
    <cellStyle name="Обычный 10 6 4 4 4 2" xfId="7696"/>
    <cellStyle name="Обычный 10 6 4 4 4 3" xfId="7697"/>
    <cellStyle name="Обычный 10 6 4 4 5" xfId="7698"/>
    <cellStyle name="Обычный 10 6 4 4 5 2" xfId="7699"/>
    <cellStyle name="Обычный 10 6 4 4 6" xfId="7700"/>
    <cellStyle name="Обычный 10 6 4 4 7" xfId="7701"/>
    <cellStyle name="Обычный 10 6 4 5" xfId="7702"/>
    <cellStyle name="Обычный 10 6 4 5 2" xfId="7703"/>
    <cellStyle name="Обычный 10 6 4 5 2 2" xfId="7704"/>
    <cellStyle name="Обычный 10 6 4 5 2 3" xfId="7705"/>
    <cellStyle name="Обычный 10 6 4 5 3" xfId="7706"/>
    <cellStyle name="Обычный 10 6 4 5 3 2" xfId="7707"/>
    <cellStyle name="Обычный 10 6 4 5 3 3" xfId="7708"/>
    <cellStyle name="Обычный 10 6 4 5 4" xfId="7709"/>
    <cellStyle name="Обычный 10 6 4 5 4 2" xfId="7710"/>
    <cellStyle name="Обычный 10 6 4 5 5" xfId="7711"/>
    <cellStyle name="Обычный 10 6 4 5 6" xfId="7712"/>
    <cellStyle name="Обычный 10 6 4 6" xfId="7713"/>
    <cellStyle name="Обычный 10 6 4 6 2" xfId="7714"/>
    <cellStyle name="Обычный 10 6 4 6 3" xfId="7715"/>
    <cellStyle name="Обычный 10 6 4 7" xfId="7716"/>
    <cellStyle name="Обычный 10 6 4 7 2" xfId="7717"/>
    <cellStyle name="Обычный 10 6 4 7 3" xfId="7718"/>
    <cellStyle name="Обычный 10 6 4 8" xfId="7719"/>
    <cellStyle name="Обычный 10 6 4 8 2" xfId="7720"/>
    <cellStyle name="Обычный 10 6 4 9" xfId="7721"/>
    <cellStyle name="Обычный 10 6 5" xfId="7722"/>
    <cellStyle name="Обычный 10 6 5 10" xfId="7723"/>
    <cellStyle name="Обычный 10 6 5 2" xfId="7724"/>
    <cellStyle name="Обычный 10 6 5 2 2" xfId="7725"/>
    <cellStyle name="Обычный 10 6 5 2 2 2" xfId="7726"/>
    <cellStyle name="Обычный 10 6 5 2 2 2 2" xfId="7727"/>
    <cellStyle name="Обычный 10 6 5 2 2 2 2 2" xfId="7728"/>
    <cellStyle name="Обычный 10 6 5 2 2 2 2 2 2" xfId="7729"/>
    <cellStyle name="Обычный 10 6 5 2 2 2 2 2 3" xfId="7730"/>
    <cellStyle name="Обычный 10 6 5 2 2 2 2 3" xfId="7731"/>
    <cellStyle name="Обычный 10 6 5 2 2 2 2 3 2" xfId="7732"/>
    <cellStyle name="Обычный 10 6 5 2 2 2 2 3 3" xfId="7733"/>
    <cellStyle name="Обычный 10 6 5 2 2 2 2 4" xfId="7734"/>
    <cellStyle name="Обычный 10 6 5 2 2 2 2 4 2" xfId="7735"/>
    <cellStyle name="Обычный 10 6 5 2 2 2 2 5" xfId="7736"/>
    <cellStyle name="Обычный 10 6 5 2 2 2 2 6" xfId="7737"/>
    <cellStyle name="Обычный 10 6 5 2 2 2 3" xfId="7738"/>
    <cellStyle name="Обычный 10 6 5 2 2 2 3 2" xfId="7739"/>
    <cellStyle name="Обычный 10 6 5 2 2 2 3 3" xfId="7740"/>
    <cellStyle name="Обычный 10 6 5 2 2 2 4" xfId="7741"/>
    <cellStyle name="Обычный 10 6 5 2 2 2 4 2" xfId="7742"/>
    <cellStyle name="Обычный 10 6 5 2 2 2 4 3" xfId="7743"/>
    <cellStyle name="Обычный 10 6 5 2 2 2 5" xfId="7744"/>
    <cellStyle name="Обычный 10 6 5 2 2 2 5 2" xfId="7745"/>
    <cellStyle name="Обычный 10 6 5 2 2 2 6" xfId="7746"/>
    <cellStyle name="Обычный 10 6 5 2 2 2 7" xfId="7747"/>
    <cellStyle name="Обычный 10 6 5 2 2 3" xfId="7748"/>
    <cellStyle name="Обычный 10 6 5 2 2 3 2" xfId="7749"/>
    <cellStyle name="Обычный 10 6 5 2 2 3 2 2" xfId="7750"/>
    <cellStyle name="Обычный 10 6 5 2 2 3 2 3" xfId="7751"/>
    <cellStyle name="Обычный 10 6 5 2 2 3 3" xfId="7752"/>
    <cellStyle name="Обычный 10 6 5 2 2 3 3 2" xfId="7753"/>
    <cellStyle name="Обычный 10 6 5 2 2 3 3 3" xfId="7754"/>
    <cellStyle name="Обычный 10 6 5 2 2 3 4" xfId="7755"/>
    <cellStyle name="Обычный 10 6 5 2 2 3 4 2" xfId="7756"/>
    <cellStyle name="Обычный 10 6 5 2 2 3 5" xfId="7757"/>
    <cellStyle name="Обычный 10 6 5 2 2 3 6" xfId="7758"/>
    <cellStyle name="Обычный 10 6 5 2 2 4" xfId="7759"/>
    <cellStyle name="Обычный 10 6 5 2 2 4 2" xfId="7760"/>
    <cellStyle name="Обычный 10 6 5 2 2 4 3" xfId="7761"/>
    <cellStyle name="Обычный 10 6 5 2 2 5" xfId="7762"/>
    <cellStyle name="Обычный 10 6 5 2 2 5 2" xfId="7763"/>
    <cellStyle name="Обычный 10 6 5 2 2 5 3" xfId="7764"/>
    <cellStyle name="Обычный 10 6 5 2 2 6" xfId="7765"/>
    <cellStyle name="Обычный 10 6 5 2 2 6 2" xfId="7766"/>
    <cellStyle name="Обычный 10 6 5 2 2 7" xfId="7767"/>
    <cellStyle name="Обычный 10 6 5 2 2 8" xfId="7768"/>
    <cellStyle name="Обычный 10 6 5 2 3" xfId="7769"/>
    <cellStyle name="Обычный 10 6 5 2 3 2" xfId="7770"/>
    <cellStyle name="Обычный 10 6 5 2 3 2 2" xfId="7771"/>
    <cellStyle name="Обычный 10 6 5 2 3 2 2 2" xfId="7772"/>
    <cellStyle name="Обычный 10 6 5 2 3 2 2 3" xfId="7773"/>
    <cellStyle name="Обычный 10 6 5 2 3 2 3" xfId="7774"/>
    <cellStyle name="Обычный 10 6 5 2 3 2 3 2" xfId="7775"/>
    <cellStyle name="Обычный 10 6 5 2 3 2 3 3" xfId="7776"/>
    <cellStyle name="Обычный 10 6 5 2 3 2 4" xfId="7777"/>
    <cellStyle name="Обычный 10 6 5 2 3 2 4 2" xfId="7778"/>
    <cellStyle name="Обычный 10 6 5 2 3 2 5" xfId="7779"/>
    <cellStyle name="Обычный 10 6 5 2 3 2 6" xfId="7780"/>
    <cellStyle name="Обычный 10 6 5 2 3 3" xfId="7781"/>
    <cellStyle name="Обычный 10 6 5 2 3 3 2" xfId="7782"/>
    <cellStyle name="Обычный 10 6 5 2 3 3 3" xfId="7783"/>
    <cellStyle name="Обычный 10 6 5 2 3 4" xfId="7784"/>
    <cellStyle name="Обычный 10 6 5 2 3 4 2" xfId="7785"/>
    <cellStyle name="Обычный 10 6 5 2 3 4 3" xfId="7786"/>
    <cellStyle name="Обычный 10 6 5 2 3 5" xfId="7787"/>
    <cellStyle name="Обычный 10 6 5 2 3 5 2" xfId="7788"/>
    <cellStyle name="Обычный 10 6 5 2 3 6" xfId="7789"/>
    <cellStyle name="Обычный 10 6 5 2 3 7" xfId="7790"/>
    <cellStyle name="Обычный 10 6 5 2 4" xfId="7791"/>
    <cellStyle name="Обычный 10 6 5 2 4 2" xfId="7792"/>
    <cellStyle name="Обычный 10 6 5 2 4 2 2" xfId="7793"/>
    <cellStyle name="Обычный 10 6 5 2 4 2 3" xfId="7794"/>
    <cellStyle name="Обычный 10 6 5 2 4 3" xfId="7795"/>
    <cellStyle name="Обычный 10 6 5 2 4 3 2" xfId="7796"/>
    <cellStyle name="Обычный 10 6 5 2 4 3 3" xfId="7797"/>
    <cellStyle name="Обычный 10 6 5 2 4 4" xfId="7798"/>
    <cellStyle name="Обычный 10 6 5 2 4 4 2" xfId="7799"/>
    <cellStyle name="Обычный 10 6 5 2 4 5" xfId="7800"/>
    <cellStyle name="Обычный 10 6 5 2 4 6" xfId="7801"/>
    <cellStyle name="Обычный 10 6 5 2 5" xfId="7802"/>
    <cellStyle name="Обычный 10 6 5 2 5 2" xfId="7803"/>
    <cellStyle name="Обычный 10 6 5 2 5 3" xfId="7804"/>
    <cellStyle name="Обычный 10 6 5 2 6" xfId="7805"/>
    <cellStyle name="Обычный 10 6 5 2 6 2" xfId="7806"/>
    <cellStyle name="Обычный 10 6 5 2 6 3" xfId="7807"/>
    <cellStyle name="Обычный 10 6 5 2 7" xfId="7808"/>
    <cellStyle name="Обычный 10 6 5 2 7 2" xfId="7809"/>
    <cellStyle name="Обычный 10 6 5 2 8" xfId="7810"/>
    <cellStyle name="Обычный 10 6 5 2 9" xfId="7811"/>
    <cellStyle name="Обычный 10 6 5 3" xfId="7812"/>
    <cellStyle name="Обычный 10 6 5 3 2" xfId="7813"/>
    <cellStyle name="Обычный 10 6 5 3 2 2" xfId="7814"/>
    <cellStyle name="Обычный 10 6 5 3 2 2 2" xfId="7815"/>
    <cellStyle name="Обычный 10 6 5 3 2 2 2 2" xfId="7816"/>
    <cellStyle name="Обычный 10 6 5 3 2 2 2 3" xfId="7817"/>
    <cellStyle name="Обычный 10 6 5 3 2 2 3" xfId="7818"/>
    <cellStyle name="Обычный 10 6 5 3 2 2 3 2" xfId="7819"/>
    <cellStyle name="Обычный 10 6 5 3 2 2 3 3" xfId="7820"/>
    <cellStyle name="Обычный 10 6 5 3 2 2 4" xfId="7821"/>
    <cellStyle name="Обычный 10 6 5 3 2 2 4 2" xfId="7822"/>
    <cellStyle name="Обычный 10 6 5 3 2 2 5" xfId="7823"/>
    <cellStyle name="Обычный 10 6 5 3 2 2 6" xfId="7824"/>
    <cellStyle name="Обычный 10 6 5 3 2 3" xfId="7825"/>
    <cellStyle name="Обычный 10 6 5 3 2 3 2" xfId="7826"/>
    <cellStyle name="Обычный 10 6 5 3 2 3 3" xfId="7827"/>
    <cellStyle name="Обычный 10 6 5 3 2 4" xfId="7828"/>
    <cellStyle name="Обычный 10 6 5 3 2 4 2" xfId="7829"/>
    <cellStyle name="Обычный 10 6 5 3 2 4 3" xfId="7830"/>
    <cellStyle name="Обычный 10 6 5 3 2 5" xfId="7831"/>
    <cellStyle name="Обычный 10 6 5 3 2 5 2" xfId="7832"/>
    <cellStyle name="Обычный 10 6 5 3 2 6" xfId="7833"/>
    <cellStyle name="Обычный 10 6 5 3 2 7" xfId="7834"/>
    <cellStyle name="Обычный 10 6 5 3 3" xfId="7835"/>
    <cellStyle name="Обычный 10 6 5 3 3 2" xfId="7836"/>
    <cellStyle name="Обычный 10 6 5 3 3 2 2" xfId="7837"/>
    <cellStyle name="Обычный 10 6 5 3 3 2 3" xfId="7838"/>
    <cellStyle name="Обычный 10 6 5 3 3 3" xfId="7839"/>
    <cellStyle name="Обычный 10 6 5 3 3 3 2" xfId="7840"/>
    <cellStyle name="Обычный 10 6 5 3 3 3 3" xfId="7841"/>
    <cellStyle name="Обычный 10 6 5 3 3 4" xfId="7842"/>
    <cellStyle name="Обычный 10 6 5 3 3 4 2" xfId="7843"/>
    <cellStyle name="Обычный 10 6 5 3 3 5" xfId="7844"/>
    <cellStyle name="Обычный 10 6 5 3 3 6" xfId="7845"/>
    <cellStyle name="Обычный 10 6 5 3 4" xfId="7846"/>
    <cellStyle name="Обычный 10 6 5 3 4 2" xfId="7847"/>
    <cellStyle name="Обычный 10 6 5 3 4 3" xfId="7848"/>
    <cellStyle name="Обычный 10 6 5 3 5" xfId="7849"/>
    <cellStyle name="Обычный 10 6 5 3 5 2" xfId="7850"/>
    <cellStyle name="Обычный 10 6 5 3 5 3" xfId="7851"/>
    <cellStyle name="Обычный 10 6 5 3 6" xfId="7852"/>
    <cellStyle name="Обычный 10 6 5 3 6 2" xfId="7853"/>
    <cellStyle name="Обычный 10 6 5 3 7" xfId="7854"/>
    <cellStyle name="Обычный 10 6 5 3 8" xfId="7855"/>
    <cellStyle name="Обычный 10 6 5 4" xfId="7856"/>
    <cellStyle name="Обычный 10 6 5 4 2" xfId="7857"/>
    <cellStyle name="Обычный 10 6 5 4 2 2" xfId="7858"/>
    <cellStyle name="Обычный 10 6 5 4 2 2 2" xfId="7859"/>
    <cellStyle name="Обычный 10 6 5 4 2 2 3" xfId="7860"/>
    <cellStyle name="Обычный 10 6 5 4 2 3" xfId="7861"/>
    <cellStyle name="Обычный 10 6 5 4 2 3 2" xfId="7862"/>
    <cellStyle name="Обычный 10 6 5 4 2 3 3" xfId="7863"/>
    <cellStyle name="Обычный 10 6 5 4 2 4" xfId="7864"/>
    <cellStyle name="Обычный 10 6 5 4 2 4 2" xfId="7865"/>
    <cellStyle name="Обычный 10 6 5 4 2 5" xfId="7866"/>
    <cellStyle name="Обычный 10 6 5 4 2 6" xfId="7867"/>
    <cellStyle name="Обычный 10 6 5 4 3" xfId="7868"/>
    <cellStyle name="Обычный 10 6 5 4 3 2" xfId="7869"/>
    <cellStyle name="Обычный 10 6 5 4 3 3" xfId="7870"/>
    <cellStyle name="Обычный 10 6 5 4 4" xfId="7871"/>
    <cellStyle name="Обычный 10 6 5 4 4 2" xfId="7872"/>
    <cellStyle name="Обычный 10 6 5 4 4 3" xfId="7873"/>
    <cellStyle name="Обычный 10 6 5 4 5" xfId="7874"/>
    <cellStyle name="Обычный 10 6 5 4 5 2" xfId="7875"/>
    <cellStyle name="Обычный 10 6 5 4 6" xfId="7876"/>
    <cellStyle name="Обычный 10 6 5 4 7" xfId="7877"/>
    <cellStyle name="Обычный 10 6 5 5" xfId="7878"/>
    <cellStyle name="Обычный 10 6 5 5 2" xfId="7879"/>
    <cellStyle name="Обычный 10 6 5 5 2 2" xfId="7880"/>
    <cellStyle name="Обычный 10 6 5 5 2 3" xfId="7881"/>
    <cellStyle name="Обычный 10 6 5 5 3" xfId="7882"/>
    <cellStyle name="Обычный 10 6 5 5 3 2" xfId="7883"/>
    <cellStyle name="Обычный 10 6 5 5 3 3" xfId="7884"/>
    <cellStyle name="Обычный 10 6 5 5 4" xfId="7885"/>
    <cellStyle name="Обычный 10 6 5 5 4 2" xfId="7886"/>
    <cellStyle name="Обычный 10 6 5 5 5" xfId="7887"/>
    <cellStyle name="Обычный 10 6 5 5 6" xfId="7888"/>
    <cellStyle name="Обычный 10 6 5 6" xfId="7889"/>
    <cellStyle name="Обычный 10 6 5 6 2" xfId="7890"/>
    <cellStyle name="Обычный 10 6 5 6 3" xfId="7891"/>
    <cellStyle name="Обычный 10 6 5 7" xfId="7892"/>
    <cellStyle name="Обычный 10 6 5 7 2" xfId="7893"/>
    <cellStyle name="Обычный 10 6 5 7 3" xfId="7894"/>
    <cellStyle name="Обычный 10 6 5 8" xfId="7895"/>
    <cellStyle name="Обычный 10 6 5 8 2" xfId="7896"/>
    <cellStyle name="Обычный 10 6 5 9" xfId="7897"/>
    <cellStyle name="Обычный 10 6 6" xfId="7898"/>
    <cellStyle name="Обычный 10 6 6 2" xfId="7899"/>
    <cellStyle name="Обычный 10 6 6 2 2" xfId="7900"/>
    <cellStyle name="Обычный 10 6 6 2 2 2" xfId="7901"/>
    <cellStyle name="Обычный 10 6 6 2 2 2 2" xfId="7902"/>
    <cellStyle name="Обычный 10 6 6 2 2 2 2 2" xfId="7903"/>
    <cellStyle name="Обычный 10 6 6 2 2 2 2 3" xfId="7904"/>
    <cellStyle name="Обычный 10 6 6 2 2 2 3" xfId="7905"/>
    <cellStyle name="Обычный 10 6 6 2 2 2 3 2" xfId="7906"/>
    <cellStyle name="Обычный 10 6 6 2 2 2 3 3" xfId="7907"/>
    <cellStyle name="Обычный 10 6 6 2 2 2 4" xfId="7908"/>
    <cellStyle name="Обычный 10 6 6 2 2 2 4 2" xfId="7909"/>
    <cellStyle name="Обычный 10 6 6 2 2 2 5" xfId="7910"/>
    <cellStyle name="Обычный 10 6 6 2 2 2 6" xfId="7911"/>
    <cellStyle name="Обычный 10 6 6 2 2 3" xfId="7912"/>
    <cellStyle name="Обычный 10 6 6 2 2 3 2" xfId="7913"/>
    <cellStyle name="Обычный 10 6 6 2 2 3 3" xfId="7914"/>
    <cellStyle name="Обычный 10 6 6 2 2 4" xfId="7915"/>
    <cellStyle name="Обычный 10 6 6 2 2 4 2" xfId="7916"/>
    <cellStyle name="Обычный 10 6 6 2 2 4 3" xfId="7917"/>
    <cellStyle name="Обычный 10 6 6 2 2 5" xfId="7918"/>
    <cellStyle name="Обычный 10 6 6 2 2 5 2" xfId="7919"/>
    <cellStyle name="Обычный 10 6 6 2 2 6" xfId="7920"/>
    <cellStyle name="Обычный 10 6 6 2 2 7" xfId="7921"/>
    <cellStyle name="Обычный 10 6 6 2 3" xfId="7922"/>
    <cellStyle name="Обычный 10 6 6 2 3 2" xfId="7923"/>
    <cellStyle name="Обычный 10 6 6 2 3 2 2" xfId="7924"/>
    <cellStyle name="Обычный 10 6 6 2 3 2 3" xfId="7925"/>
    <cellStyle name="Обычный 10 6 6 2 3 3" xfId="7926"/>
    <cellStyle name="Обычный 10 6 6 2 3 3 2" xfId="7927"/>
    <cellStyle name="Обычный 10 6 6 2 3 3 3" xfId="7928"/>
    <cellStyle name="Обычный 10 6 6 2 3 4" xfId="7929"/>
    <cellStyle name="Обычный 10 6 6 2 3 4 2" xfId="7930"/>
    <cellStyle name="Обычный 10 6 6 2 3 5" xfId="7931"/>
    <cellStyle name="Обычный 10 6 6 2 3 6" xfId="7932"/>
    <cellStyle name="Обычный 10 6 6 2 4" xfId="7933"/>
    <cellStyle name="Обычный 10 6 6 2 4 2" xfId="7934"/>
    <cellStyle name="Обычный 10 6 6 2 4 3" xfId="7935"/>
    <cellStyle name="Обычный 10 6 6 2 5" xfId="7936"/>
    <cellStyle name="Обычный 10 6 6 2 5 2" xfId="7937"/>
    <cellStyle name="Обычный 10 6 6 2 5 3" xfId="7938"/>
    <cellStyle name="Обычный 10 6 6 2 6" xfId="7939"/>
    <cellStyle name="Обычный 10 6 6 2 6 2" xfId="7940"/>
    <cellStyle name="Обычный 10 6 6 2 7" xfId="7941"/>
    <cellStyle name="Обычный 10 6 6 2 8" xfId="7942"/>
    <cellStyle name="Обычный 10 6 6 3" xfId="7943"/>
    <cellStyle name="Обычный 10 6 6 3 2" xfId="7944"/>
    <cellStyle name="Обычный 10 6 6 3 2 2" xfId="7945"/>
    <cellStyle name="Обычный 10 6 6 3 2 2 2" xfId="7946"/>
    <cellStyle name="Обычный 10 6 6 3 2 2 3" xfId="7947"/>
    <cellStyle name="Обычный 10 6 6 3 2 3" xfId="7948"/>
    <cellStyle name="Обычный 10 6 6 3 2 3 2" xfId="7949"/>
    <cellStyle name="Обычный 10 6 6 3 2 3 3" xfId="7950"/>
    <cellStyle name="Обычный 10 6 6 3 2 4" xfId="7951"/>
    <cellStyle name="Обычный 10 6 6 3 2 4 2" xfId="7952"/>
    <cellStyle name="Обычный 10 6 6 3 2 5" xfId="7953"/>
    <cellStyle name="Обычный 10 6 6 3 2 6" xfId="7954"/>
    <cellStyle name="Обычный 10 6 6 3 3" xfId="7955"/>
    <cellStyle name="Обычный 10 6 6 3 3 2" xfId="7956"/>
    <cellStyle name="Обычный 10 6 6 3 3 3" xfId="7957"/>
    <cellStyle name="Обычный 10 6 6 3 4" xfId="7958"/>
    <cellStyle name="Обычный 10 6 6 3 4 2" xfId="7959"/>
    <cellStyle name="Обычный 10 6 6 3 4 3" xfId="7960"/>
    <cellStyle name="Обычный 10 6 6 3 5" xfId="7961"/>
    <cellStyle name="Обычный 10 6 6 3 5 2" xfId="7962"/>
    <cellStyle name="Обычный 10 6 6 3 6" xfId="7963"/>
    <cellStyle name="Обычный 10 6 6 3 7" xfId="7964"/>
    <cellStyle name="Обычный 10 6 6 4" xfId="7965"/>
    <cellStyle name="Обычный 10 6 6 4 2" xfId="7966"/>
    <cellStyle name="Обычный 10 6 6 4 2 2" xfId="7967"/>
    <cellStyle name="Обычный 10 6 6 4 2 3" xfId="7968"/>
    <cellStyle name="Обычный 10 6 6 4 3" xfId="7969"/>
    <cellStyle name="Обычный 10 6 6 4 3 2" xfId="7970"/>
    <cellStyle name="Обычный 10 6 6 4 3 3" xfId="7971"/>
    <cellStyle name="Обычный 10 6 6 4 4" xfId="7972"/>
    <cellStyle name="Обычный 10 6 6 4 4 2" xfId="7973"/>
    <cellStyle name="Обычный 10 6 6 4 5" xfId="7974"/>
    <cellStyle name="Обычный 10 6 6 4 6" xfId="7975"/>
    <cellStyle name="Обычный 10 6 6 5" xfId="7976"/>
    <cellStyle name="Обычный 10 6 6 5 2" xfId="7977"/>
    <cellStyle name="Обычный 10 6 6 5 3" xfId="7978"/>
    <cellStyle name="Обычный 10 6 6 6" xfId="7979"/>
    <cellStyle name="Обычный 10 6 6 6 2" xfId="7980"/>
    <cellStyle name="Обычный 10 6 6 6 3" xfId="7981"/>
    <cellStyle name="Обычный 10 6 6 7" xfId="7982"/>
    <cellStyle name="Обычный 10 6 6 7 2" xfId="7983"/>
    <cellStyle name="Обычный 10 6 6 8" xfId="7984"/>
    <cellStyle name="Обычный 10 6 6 9" xfId="7985"/>
    <cellStyle name="Обычный 10 6 7" xfId="7986"/>
    <cellStyle name="Обычный 10 6 7 2" xfId="7987"/>
    <cellStyle name="Обычный 10 6 7 2 2" xfId="7988"/>
    <cellStyle name="Обычный 10 6 7 2 2 2" xfId="7989"/>
    <cellStyle name="Обычный 10 6 7 2 2 2 2" xfId="7990"/>
    <cellStyle name="Обычный 10 6 7 2 2 2 3" xfId="7991"/>
    <cellStyle name="Обычный 10 6 7 2 2 3" xfId="7992"/>
    <cellStyle name="Обычный 10 6 7 2 2 3 2" xfId="7993"/>
    <cellStyle name="Обычный 10 6 7 2 2 3 3" xfId="7994"/>
    <cellStyle name="Обычный 10 6 7 2 2 4" xfId="7995"/>
    <cellStyle name="Обычный 10 6 7 2 2 4 2" xfId="7996"/>
    <cellStyle name="Обычный 10 6 7 2 2 5" xfId="7997"/>
    <cellStyle name="Обычный 10 6 7 2 2 6" xfId="7998"/>
    <cellStyle name="Обычный 10 6 7 2 3" xfId="7999"/>
    <cellStyle name="Обычный 10 6 7 2 3 2" xfId="8000"/>
    <cellStyle name="Обычный 10 6 7 2 3 3" xfId="8001"/>
    <cellStyle name="Обычный 10 6 7 2 4" xfId="8002"/>
    <cellStyle name="Обычный 10 6 7 2 4 2" xfId="8003"/>
    <cellStyle name="Обычный 10 6 7 2 4 3" xfId="8004"/>
    <cellStyle name="Обычный 10 6 7 2 5" xfId="8005"/>
    <cellStyle name="Обычный 10 6 7 2 5 2" xfId="8006"/>
    <cellStyle name="Обычный 10 6 7 2 6" xfId="8007"/>
    <cellStyle name="Обычный 10 6 7 2 7" xfId="8008"/>
    <cellStyle name="Обычный 10 6 7 3" xfId="8009"/>
    <cellStyle name="Обычный 10 6 7 3 2" xfId="8010"/>
    <cellStyle name="Обычный 10 6 7 3 2 2" xfId="8011"/>
    <cellStyle name="Обычный 10 6 7 3 2 3" xfId="8012"/>
    <cellStyle name="Обычный 10 6 7 3 3" xfId="8013"/>
    <cellStyle name="Обычный 10 6 7 3 3 2" xfId="8014"/>
    <cellStyle name="Обычный 10 6 7 3 3 3" xfId="8015"/>
    <cellStyle name="Обычный 10 6 7 3 4" xfId="8016"/>
    <cellStyle name="Обычный 10 6 7 3 4 2" xfId="8017"/>
    <cellStyle name="Обычный 10 6 7 3 5" xfId="8018"/>
    <cellStyle name="Обычный 10 6 7 3 6" xfId="8019"/>
    <cellStyle name="Обычный 10 6 7 4" xfId="8020"/>
    <cellStyle name="Обычный 10 6 7 4 2" xfId="8021"/>
    <cellStyle name="Обычный 10 6 7 4 3" xfId="8022"/>
    <cellStyle name="Обычный 10 6 7 5" xfId="8023"/>
    <cellStyle name="Обычный 10 6 7 5 2" xfId="8024"/>
    <cellStyle name="Обычный 10 6 7 5 3" xfId="8025"/>
    <cellStyle name="Обычный 10 6 7 6" xfId="8026"/>
    <cellStyle name="Обычный 10 6 7 6 2" xfId="8027"/>
    <cellStyle name="Обычный 10 6 7 7" xfId="8028"/>
    <cellStyle name="Обычный 10 6 7 8" xfId="8029"/>
    <cellStyle name="Обычный 10 6 8" xfId="8030"/>
    <cellStyle name="Обычный 10 6 8 2" xfId="8031"/>
    <cellStyle name="Обычный 10 6 8 2 2" xfId="8032"/>
    <cellStyle name="Обычный 10 6 8 2 2 2" xfId="8033"/>
    <cellStyle name="Обычный 10 6 8 2 2 3" xfId="8034"/>
    <cellStyle name="Обычный 10 6 8 2 3" xfId="8035"/>
    <cellStyle name="Обычный 10 6 8 2 3 2" xfId="8036"/>
    <cellStyle name="Обычный 10 6 8 2 3 3" xfId="8037"/>
    <cellStyle name="Обычный 10 6 8 2 4" xfId="8038"/>
    <cellStyle name="Обычный 10 6 8 2 4 2" xfId="8039"/>
    <cellStyle name="Обычный 10 6 8 2 5" xfId="8040"/>
    <cellStyle name="Обычный 10 6 8 2 6" xfId="8041"/>
    <cellStyle name="Обычный 10 6 8 3" xfId="8042"/>
    <cellStyle name="Обычный 10 6 8 3 2" xfId="8043"/>
    <cellStyle name="Обычный 10 6 8 3 3" xfId="8044"/>
    <cellStyle name="Обычный 10 6 8 4" xfId="8045"/>
    <cellStyle name="Обычный 10 6 8 4 2" xfId="8046"/>
    <cellStyle name="Обычный 10 6 8 4 3" xfId="8047"/>
    <cellStyle name="Обычный 10 6 8 5" xfId="8048"/>
    <cellStyle name="Обычный 10 6 8 5 2" xfId="8049"/>
    <cellStyle name="Обычный 10 6 8 6" xfId="8050"/>
    <cellStyle name="Обычный 10 6 8 7" xfId="8051"/>
    <cellStyle name="Обычный 10 6 9" xfId="8052"/>
    <cellStyle name="Обычный 10 6 9 2" xfId="8053"/>
    <cellStyle name="Обычный 10 6 9 2 2" xfId="8054"/>
    <cellStyle name="Обычный 10 6 9 2 3" xfId="8055"/>
    <cellStyle name="Обычный 10 6 9 3" xfId="8056"/>
    <cellStyle name="Обычный 10 6 9 3 2" xfId="8057"/>
    <cellStyle name="Обычный 10 6 9 3 3" xfId="8058"/>
    <cellStyle name="Обычный 10 6 9 4" xfId="8059"/>
    <cellStyle name="Обычный 10 6 9 4 2" xfId="8060"/>
    <cellStyle name="Обычный 10 6 9 5" xfId="8061"/>
    <cellStyle name="Обычный 10 6 9 6" xfId="8062"/>
    <cellStyle name="Обычный 10 7" xfId="8063"/>
    <cellStyle name="Обычный 10 7 10" xfId="8064"/>
    <cellStyle name="Обычный 10 7 10 2" xfId="8065"/>
    <cellStyle name="Обычный 10 7 10 3" xfId="8066"/>
    <cellStyle name="Обычный 10 7 11" xfId="8067"/>
    <cellStyle name="Обычный 10 7 11 2" xfId="8068"/>
    <cellStyle name="Обычный 10 7 11 3" xfId="8069"/>
    <cellStyle name="Обычный 10 7 12" xfId="8070"/>
    <cellStyle name="Обычный 10 7 12 2" xfId="8071"/>
    <cellStyle name="Обычный 10 7 13" xfId="8072"/>
    <cellStyle name="Обычный 10 7 14" xfId="8073"/>
    <cellStyle name="Обычный 10 7 2" xfId="8074"/>
    <cellStyle name="Обычный 10 7 2 10" xfId="8075"/>
    <cellStyle name="Обычный 10 7 2 10 2" xfId="8076"/>
    <cellStyle name="Обычный 10 7 2 10 3" xfId="8077"/>
    <cellStyle name="Обычный 10 7 2 11" xfId="8078"/>
    <cellStyle name="Обычный 10 7 2 11 2" xfId="8079"/>
    <cellStyle name="Обычный 10 7 2 12" xfId="8080"/>
    <cellStyle name="Обычный 10 7 2 13" xfId="8081"/>
    <cellStyle name="Обычный 10 7 2 2" xfId="8082"/>
    <cellStyle name="Обычный 10 7 2 2 10" xfId="8083"/>
    <cellStyle name="Обычный 10 7 2 2 2" xfId="8084"/>
    <cellStyle name="Обычный 10 7 2 2 2 2" xfId="8085"/>
    <cellStyle name="Обычный 10 7 2 2 2 2 2" xfId="8086"/>
    <cellStyle name="Обычный 10 7 2 2 2 2 2 2" xfId="8087"/>
    <cellStyle name="Обычный 10 7 2 2 2 2 2 2 2" xfId="8088"/>
    <cellStyle name="Обычный 10 7 2 2 2 2 2 2 2 2" xfId="8089"/>
    <cellStyle name="Обычный 10 7 2 2 2 2 2 2 2 3" xfId="8090"/>
    <cellStyle name="Обычный 10 7 2 2 2 2 2 2 3" xfId="8091"/>
    <cellStyle name="Обычный 10 7 2 2 2 2 2 2 3 2" xfId="8092"/>
    <cellStyle name="Обычный 10 7 2 2 2 2 2 2 3 3" xfId="8093"/>
    <cellStyle name="Обычный 10 7 2 2 2 2 2 2 4" xfId="8094"/>
    <cellStyle name="Обычный 10 7 2 2 2 2 2 2 4 2" xfId="8095"/>
    <cellStyle name="Обычный 10 7 2 2 2 2 2 2 5" xfId="8096"/>
    <cellStyle name="Обычный 10 7 2 2 2 2 2 2 6" xfId="8097"/>
    <cellStyle name="Обычный 10 7 2 2 2 2 2 3" xfId="8098"/>
    <cellStyle name="Обычный 10 7 2 2 2 2 2 3 2" xfId="8099"/>
    <cellStyle name="Обычный 10 7 2 2 2 2 2 3 3" xfId="8100"/>
    <cellStyle name="Обычный 10 7 2 2 2 2 2 4" xfId="8101"/>
    <cellStyle name="Обычный 10 7 2 2 2 2 2 4 2" xfId="8102"/>
    <cellStyle name="Обычный 10 7 2 2 2 2 2 4 3" xfId="8103"/>
    <cellStyle name="Обычный 10 7 2 2 2 2 2 5" xfId="8104"/>
    <cellStyle name="Обычный 10 7 2 2 2 2 2 5 2" xfId="8105"/>
    <cellStyle name="Обычный 10 7 2 2 2 2 2 6" xfId="8106"/>
    <cellStyle name="Обычный 10 7 2 2 2 2 2 7" xfId="8107"/>
    <cellStyle name="Обычный 10 7 2 2 2 2 3" xfId="8108"/>
    <cellStyle name="Обычный 10 7 2 2 2 2 3 2" xfId="8109"/>
    <cellStyle name="Обычный 10 7 2 2 2 2 3 2 2" xfId="8110"/>
    <cellStyle name="Обычный 10 7 2 2 2 2 3 2 3" xfId="8111"/>
    <cellStyle name="Обычный 10 7 2 2 2 2 3 3" xfId="8112"/>
    <cellStyle name="Обычный 10 7 2 2 2 2 3 3 2" xfId="8113"/>
    <cellStyle name="Обычный 10 7 2 2 2 2 3 3 3" xfId="8114"/>
    <cellStyle name="Обычный 10 7 2 2 2 2 3 4" xfId="8115"/>
    <cellStyle name="Обычный 10 7 2 2 2 2 3 4 2" xfId="8116"/>
    <cellStyle name="Обычный 10 7 2 2 2 2 3 5" xfId="8117"/>
    <cellStyle name="Обычный 10 7 2 2 2 2 3 6" xfId="8118"/>
    <cellStyle name="Обычный 10 7 2 2 2 2 4" xfId="8119"/>
    <cellStyle name="Обычный 10 7 2 2 2 2 4 2" xfId="8120"/>
    <cellStyle name="Обычный 10 7 2 2 2 2 4 3" xfId="8121"/>
    <cellStyle name="Обычный 10 7 2 2 2 2 5" xfId="8122"/>
    <cellStyle name="Обычный 10 7 2 2 2 2 5 2" xfId="8123"/>
    <cellStyle name="Обычный 10 7 2 2 2 2 5 3" xfId="8124"/>
    <cellStyle name="Обычный 10 7 2 2 2 2 6" xfId="8125"/>
    <cellStyle name="Обычный 10 7 2 2 2 2 6 2" xfId="8126"/>
    <cellStyle name="Обычный 10 7 2 2 2 2 7" xfId="8127"/>
    <cellStyle name="Обычный 10 7 2 2 2 2 8" xfId="8128"/>
    <cellStyle name="Обычный 10 7 2 2 2 3" xfId="8129"/>
    <cellStyle name="Обычный 10 7 2 2 2 3 2" xfId="8130"/>
    <cellStyle name="Обычный 10 7 2 2 2 3 2 2" xfId="8131"/>
    <cellStyle name="Обычный 10 7 2 2 2 3 2 2 2" xfId="8132"/>
    <cellStyle name="Обычный 10 7 2 2 2 3 2 2 3" xfId="8133"/>
    <cellStyle name="Обычный 10 7 2 2 2 3 2 3" xfId="8134"/>
    <cellStyle name="Обычный 10 7 2 2 2 3 2 3 2" xfId="8135"/>
    <cellStyle name="Обычный 10 7 2 2 2 3 2 3 3" xfId="8136"/>
    <cellStyle name="Обычный 10 7 2 2 2 3 2 4" xfId="8137"/>
    <cellStyle name="Обычный 10 7 2 2 2 3 2 4 2" xfId="8138"/>
    <cellStyle name="Обычный 10 7 2 2 2 3 2 5" xfId="8139"/>
    <cellStyle name="Обычный 10 7 2 2 2 3 2 6" xfId="8140"/>
    <cellStyle name="Обычный 10 7 2 2 2 3 3" xfId="8141"/>
    <cellStyle name="Обычный 10 7 2 2 2 3 3 2" xfId="8142"/>
    <cellStyle name="Обычный 10 7 2 2 2 3 3 3" xfId="8143"/>
    <cellStyle name="Обычный 10 7 2 2 2 3 4" xfId="8144"/>
    <cellStyle name="Обычный 10 7 2 2 2 3 4 2" xfId="8145"/>
    <cellStyle name="Обычный 10 7 2 2 2 3 4 3" xfId="8146"/>
    <cellStyle name="Обычный 10 7 2 2 2 3 5" xfId="8147"/>
    <cellStyle name="Обычный 10 7 2 2 2 3 5 2" xfId="8148"/>
    <cellStyle name="Обычный 10 7 2 2 2 3 6" xfId="8149"/>
    <cellStyle name="Обычный 10 7 2 2 2 3 7" xfId="8150"/>
    <cellStyle name="Обычный 10 7 2 2 2 4" xfId="8151"/>
    <cellStyle name="Обычный 10 7 2 2 2 4 2" xfId="8152"/>
    <cellStyle name="Обычный 10 7 2 2 2 4 2 2" xfId="8153"/>
    <cellStyle name="Обычный 10 7 2 2 2 4 2 3" xfId="8154"/>
    <cellStyle name="Обычный 10 7 2 2 2 4 3" xfId="8155"/>
    <cellStyle name="Обычный 10 7 2 2 2 4 3 2" xfId="8156"/>
    <cellStyle name="Обычный 10 7 2 2 2 4 3 3" xfId="8157"/>
    <cellStyle name="Обычный 10 7 2 2 2 4 4" xfId="8158"/>
    <cellStyle name="Обычный 10 7 2 2 2 4 4 2" xfId="8159"/>
    <cellStyle name="Обычный 10 7 2 2 2 4 5" xfId="8160"/>
    <cellStyle name="Обычный 10 7 2 2 2 4 6" xfId="8161"/>
    <cellStyle name="Обычный 10 7 2 2 2 5" xfId="8162"/>
    <cellStyle name="Обычный 10 7 2 2 2 5 2" xfId="8163"/>
    <cellStyle name="Обычный 10 7 2 2 2 5 3" xfId="8164"/>
    <cellStyle name="Обычный 10 7 2 2 2 6" xfId="8165"/>
    <cellStyle name="Обычный 10 7 2 2 2 6 2" xfId="8166"/>
    <cellStyle name="Обычный 10 7 2 2 2 6 3" xfId="8167"/>
    <cellStyle name="Обычный 10 7 2 2 2 7" xfId="8168"/>
    <cellStyle name="Обычный 10 7 2 2 2 7 2" xfId="8169"/>
    <cellStyle name="Обычный 10 7 2 2 2 8" xfId="8170"/>
    <cellStyle name="Обычный 10 7 2 2 2 9" xfId="8171"/>
    <cellStyle name="Обычный 10 7 2 2 3" xfId="8172"/>
    <cellStyle name="Обычный 10 7 2 2 3 2" xfId="8173"/>
    <cellStyle name="Обычный 10 7 2 2 3 2 2" xfId="8174"/>
    <cellStyle name="Обычный 10 7 2 2 3 2 2 2" xfId="8175"/>
    <cellStyle name="Обычный 10 7 2 2 3 2 2 2 2" xfId="8176"/>
    <cellStyle name="Обычный 10 7 2 2 3 2 2 2 3" xfId="8177"/>
    <cellStyle name="Обычный 10 7 2 2 3 2 2 3" xfId="8178"/>
    <cellStyle name="Обычный 10 7 2 2 3 2 2 3 2" xfId="8179"/>
    <cellStyle name="Обычный 10 7 2 2 3 2 2 3 3" xfId="8180"/>
    <cellStyle name="Обычный 10 7 2 2 3 2 2 4" xfId="8181"/>
    <cellStyle name="Обычный 10 7 2 2 3 2 2 4 2" xfId="8182"/>
    <cellStyle name="Обычный 10 7 2 2 3 2 2 5" xfId="8183"/>
    <cellStyle name="Обычный 10 7 2 2 3 2 2 6" xfId="8184"/>
    <cellStyle name="Обычный 10 7 2 2 3 2 3" xfId="8185"/>
    <cellStyle name="Обычный 10 7 2 2 3 2 3 2" xfId="8186"/>
    <cellStyle name="Обычный 10 7 2 2 3 2 3 3" xfId="8187"/>
    <cellStyle name="Обычный 10 7 2 2 3 2 4" xfId="8188"/>
    <cellStyle name="Обычный 10 7 2 2 3 2 4 2" xfId="8189"/>
    <cellStyle name="Обычный 10 7 2 2 3 2 4 3" xfId="8190"/>
    <cellStyle name="Обычный 10 7 2 2 3 2 5" xfId="8191"/>
    <cellStyle name="Обычный 10 7 2 2 3 2 5 2" xfId="8192"/>
    <cellStyle name="Обычный 10 7 2 2 3 2 6" xfId="8193"/>
    <cellStyle name="Обычный 10 7 2 2 3 2 7" xfId="8194"/>
    <cellStyle name="Обычный 10 7 2 2 3 3" xfId="8195"/>
    <cellStyle name="Обычный 10 7 2 2 3 3 2" xfId="8196"/>
    <cellStyle name="Обычный 10 7 2 2 3 3 2 2" xfId="8197"/>
    <cellStyle name="Обычный 10 7 2 2 3 3 2 3" xfId="8198"/>
    <cellStyle name="Обычный 10 7 2 2 3 3 3" xfId="8199"/>
    <cellStyle name="Обычный 10 7 2 2 3 3 3 2" xfId="8200"/>
    <cellStyle name="Обычный 10 7 2 2 3 3 3 3" xfId="8201"/>
    <cellStyle name="Обычный 10 7 2 2 3 3 4" xfId="8202"/>
    <cellStyle name="Обычный 10 7 2 2 3 3 4 2" xfId="8203"/>
    <cellStyle name="Обычный 10 7 2 2 3 3 5" xfId="8204"/>
    <cellStyle name="Обычный 10 7 2 2 3 3 6" xfId="8205"/>
    <cellStyle name="Обычный 10 7 2 2 3 4" xfId="8206"/>
    <cellStyle name="Обычный 10 7 2 2 3 4 2" xfId="8207"/>
    <cellStyle name="Обычный 10 7 2 2 3 4 3" xfId="8208"/>
    <cellStyle name="Обычный 10 7 2 2 3 5" xfId="8209"/>
    <cellStyle name="Обычный 10 7 2 2 3 5 2" xfId="8210"/>
    <cellStyle name="Обычный 10 7 2 2 3 5 3" xfId="8211"/>
    <cellStyle name="Обычный 10 7 2 2 3 6" xfId="8212"/>
    <cellStyle name="Обычный 10 7 2 2 3 6 2" xfId="8213"/>
    <cellStyle name="Обычный 10 7 2 2 3 7" xfId="8214"/>
    <cellStyle name="Обычный 10 7 2 2 3 8" xfId="8215"/>
    <cellStyle name="Обычный 10 7 2 2 4" xfId="8216"/>
    <cellStyle name="Обычный 10 7 2 2 4 2" xfId="8217"/>
    <cellStyle name="Обычный 10 7 2 2 4 2 2" xfId="8218"/>
    <cellStyle name="Обычный 10 7 2 2 4 2 2 2" xfId="8219"/>
    <cellStyle name="Обычный 10 7 2 2 4 2 2 3" xfId="8220"/>
    <cellStyle name="Обычный 10 7 2 2 4 2 3" xfId="8221"/>
    <cellStyle name="Обычный 10 7 2 2 4 2 3 2" xfId="8222"/>
    <cellStyle name="Обычный 10 7 2 2 4 2 3 3" xfId="8223"/>
    <cellStyle name="Обычный 10 7 2 2 4 2 4" xfId="8224"/>
    <cellStyle name="Обычный 10 7 2 2 4 2 4 2" xfId="8225"/>
    <cellStyle name="Обычный 10 7 2 2 4 2 5" xfId="8226"/>
    <cellStyle name="Обычный 10 7 2 2 4 2 6" xfId="8227"/>
    <cellStyle name="Обычный 10 7 2 2 4 3" xfId="8228"/>
    <cellStyle name="Обычный 10 7 2 2 4 3 2" xfId="8229"/>
    <cellStyle name="Обычный 10 7 2 2 4 3 3" xfId="8230"/>
    <cellStyle name="Обычный 10 7 2 2 4 4" xfId="8231"/>
    <cellStyle name="Обычный 10 7 2 2 4 4 2" xfId="8232"/>
    <cellStyle name="Обычный 10 7 2 2 4 4 3" xfId="8233"/>
    <cellStyle name="Обычный 10 7 2 2 4 5" xfId="8234"/>
    <cellStyle name="Обычный 10 7 2 2 4 5 2" xfId="8235"/>
    <cellStyle name="Обычный 10 7 2 2 4 6" xfId="8236"/>
    <cellStyle name="Обычный 10 7 2 2 4 7" xfId="8237"/>
    <cellStyle name="Обычный 10 7 2 2 5" xfId="8238"/>
    <cellStyle name="Обычный 10 7 2 2 5 2" xfId="8239"/>
    <cellStyle name="Обычный 10 7 2 2 5 2 2" xfId="8240"/>
    <cellStyle name="Обычный 10 7 2 2 5 2 3" xfId="8241"/>
    <cellStyle name="Обычный 10 7 2 2 5 3" xfId="8242"/>
    <cellStyle name="Обычный 10 7 2 2 5 3 2" xfId="8243"/>
    <cellStyle name="Обычный 10 7 2 2 5 3 3" xfId="8244"/>
    <cellStyle name="Обычный 10 7 2 2 5 4" xfId="8245"/>
    <cellStyle name="Обычный 10 7 2 2 5 4 2" xfId="8246"/>
    <cellStyle name="Обычный 10 7 2 2 5 5" xfId="8247"/>
    <cellStyle name="Обычный 10 7 2 2 5 6" xfId="8248"/>
    <cellStyle name="Обычный 10 7 2 2 6" xfId="8249"/>
    <cellStyle name="Обычный 10 7 2 2 6 2" xfId="8250"/>
    <cellStyle name="Обычный 10 7 2 2 6 3" xfId="8251"/>
    <cellStyle name="Обычный 10 7 2 2 7" xfId="8252"/>
    <cellStyle name="Обычный 10 7 2 2 7 2" xfId="8253"/>
    <cellStyle name="Обычный 10 7 2 2 7 3" xfId="8254"/>
    <cellStyle name="Обычный 10 7 2 2 8" xfId="8255"/>
    <cellStyle name="Обычный 10 7 2 2 8 2" xfId="8256"/>
    <cellStyle name="Обычный 10 7 2 2 9" xfId="8257"/>
    <cellStyle name="Обычный 10 7 2 3" xfId="8258"/>
    <cellStyle name="Обычный 10 7 2 3 10" xfId="8259"/>
    <cellStyle name="Обычный 10 7 2 3 2" xfId="8260"/>
    <cellStyle name="Обычный 10 7 2 3 2 2" xfId="8261"/>
    <cellStyle name="Обычный 10 7 2 3 2 2 2" xfId="8262"/>
    <cellStyle name="Обычный 10 7 2 3 2 2 2 2" xfId="8263"/>
    <cellStyle name="Обычный 10 7 2 3 2 2 2 2 2" xfId="8264"/>
    <cellStyle name="Обычный 10 7 2 3 2 2 2 2 2 2" xfId="8265"/>
    <cellStyle name="Обычный 10 7 2 3 2 2 2 2 2 3" xfId="8266"/>
    <cellStyle name="Обычный 10 7 2 3 2 2 2 2 3" xfId="8267"/>
    <cellStyle name="Обычный 10 7 2 3 2 2 2 2 3 2" xfId="8268"/>
    <cellStyle name="Обычный 10 7 2 3 2 2 2 2 3 3" xfId="8269"/>
    <cellStyle name="Обычный 10 7 2 3 2 2 2 2 4" xfId="8270"/>
    <cellStyle name="Обычный 10 7 2 3 2 2 2 2 4 2" xfId="8271"/>
    <cellStyle name="Обычный 10 7 2 3 2 2 2 2 5" xfId="8272"/>
    <cellStyle name="Обычный 10 7 2 3 2 2 2 2 6" xfId="8273"/>
    <cellStyle name="Обычный 10 7 2 3 2 2 2 3" xfId="8274"/>
    <cellStyle name="Обычный 10 7 2 3 2 2 2 3 2" xfId="8275"/>
    <cellStyle name="Обычный 10 7 2 3 2 2 2 3 3" xfId="8276"/>
    <cellStyle name="Обычный 10 7 2 3 2 2 2 4" xfId="8277"/>
    <cellStyle name="Обычный 10 7 2 3 2 2 2 4 2" xfId="8278"/>
    <cellStyle name="Обычный 10 7 2 3 2 2 2 4 3" xfId="8279"/>
    <cellStyle name="Обычный 10 7 2 3 2 2 2 5" xfId="8280"/>
    <cellStyle name="Обычный 10 7 2 3 2 2 2 5 2" xfId="8281"/>
    <cellStyle name="Обычный 10 7 2 3 2 2 2 6" xfId="8282"/>
    <cellStyle name="Обычный 10 7 2 3 2 2 2 7" xfId="8283"/>
    <cellStyle name="Обычный 10 7 2 3 2 2 3" xfId="8284"/>
    <cellStyle name="Обычный 10 7 2 3 2 2 3 2" xfId="8285"/>
    <cellStyle name="Обычный 10 7 2 3 2 2 3 2 2" xfId="8286"/>
    <cellStyle name="Обычный 10 7 2 3 2 2 3 2 3" xfId="8287"/>
    <cellStyle name="Обычный 10 7 2 3 2 2 3 3" xfId="8288"/>
    <cellStyle name="Обычный 10 7 2 3 2 2 3 3 2" xfId="8289"/>
    <cellStyle name="Обычный 10 7 2 3 2 2 3 3 3" xfId="8290"/>
    <cellStyle name="Обычный 10 7 2 3 2 2 3 4" xfId="8291"/>
    <cellStyle name="Обычный 10 7 2 3 2 2 3 4 2" xfId="8292"/>
    <cellStyle name="Обычный 10 7 2 3 2 2 3 5" xfId="8293"/>
    <cellStyle name="Обычный 10 7 2 3 2 2 3 6" xfId="8294"/>
    <cellStyle name="Обычный 10 7 2 3 2 2 4" xfId="8295"/>
    <cellStyle name="Обычный 10 7 2 3 2 2 4 2" xfId="8296"/>
    <cellStyle name="Обычный 10 7 2 3 2 2 4 3" xfId="8297"/>
    <cellStyle name="Обычный 10 7 2 3 2 2 5" xfId="8298"/>
    <cellStyle name="Обычный 10 7 2 3 2 2 5 2" xfId="8299"/>
    <cellStyle name="Обычный 10 7 2 3 2 2 5 3" xfId="8300"/>
    <cellStyle name="Обычный 10 7 2 3 2 2 6" xfId="8301"/>
    <cellStyle name="Обычный 10 7 2 3 2 2 6 2" xfId="8302"/>
    <cellStyle name="Обычный 10 7 2 3 2 2 7" xfId="8303"/>
    <cellStyle name="Обычный 10 7 2 3 2 2 8" xfId="8304"/>
    <cellStyle name="Обычный 10 7 2 3 2 3" xfId="8305"/>
    <cellStyle name="Обычный 10 7 2 3 2 3 2" xfId="8306"/>
    <cellStyle name="Обычный 10 7 2 3 2 3 2 2" xfId="8307"/>
    <cellStyle name="Обычный 10 7 2 3 2 3 2 2 2" xfId="8308"/>
    <cellStyle name="Обычный 10 7 2 3 2 3 2 2 3" xfId="8309"/>
    <cellStyle name="Обычный 10 7 2 3 2 3 2 3" xfId="8310"/>
    <cellStyle name="Обычный 10 7 2 3 2 3 2 3 2" xfId="8311"/>
    <cellStyle name="Обычный 10 7 2 3 2 3 2 3 3" xfId="8312"/>
    <cellStyle name="Обычный 10 7 2 3 2 3 2 4" xfId="8313"/>
    <cellStyle name="Обычный 10 7 2 3 2 3 2 4 2" xfId="8314"/>
    <cellStyle name="Обычный 10 7 2 3 2 3 2 5" xfId="8315"/>
    <cellStyle name="Обычный 10 7 2 3 2 3 2 6" xfId="8316"/>
    <cellStyle name="Обычный 10 7 2 3 2 3 3" xfId="8317"/>
    <cellStyle name="Обычный 10 7 2 3 2 3 3 2" xfId="8318"/>
    <cellStyle name="Обычный 10 7 2 3 2 3 3 3" xfId="8319"/>
    <cellStyle name="Обычный 10 7 2 3 2 3 4" xfId="8320"/>
    <cellStyle name="Обычный 10 7 2 3 2 3 4 2" xfId="8321"/>
    <cellStyle name="Обычный 10 7 2 3 2 3 4 3" xfId="8322"/>
    <cellStyle name="Обычный 10 7 2 3 2 3 5" xfId="8323"/>
    <cellStyle name="Обычный 10 7 2 3 2 3 5 2" xfId="8324"/>
    <cellStyle name="Обычный 10 7 2 3 2 3 6" xfId="8325"/>
    <cellStyle name="Обычный 10 7 2 3 2 3 7" xfId="8326"/>
    <cellStyle name="Обычный 10 7 2 3 2 4" xfId="8327"/>
    <cellStyle name="Обычный 10 7 2 3 2 4 2" xfId="8328"/>
    <cellStyle name="Обычный 10 7 2 3 2 4 2 2" xfId="8329"/>
    <cellStyle name="Обычный 10 7 2 3 2 4 2 3" xfId="8330"/>
    <cellStyle name="Обычный 10 7 2 3 2 4 3" xfId="8331"/>
    <cellStyle name="Обычный 10 7 2 3 2 4 3 2" xfId="8332"/>
    <cellStyle name="Обычный 10 7 2 3 2 4 3 3" xfId="8333"/>
    <cellStyle name="Обычный 10 7 2 3 2 4 4" xfId="8334"/>
    <cellStyle name="Обычный 10 7 2 3 2 4 4 2" xfId="8335"/>
    <cellStyle name="Обычный 10 7 2 3 2 4 5" xfId="8336"/>
    <cellStyle name="Обычный 10 7 2 3 2 4 6" xfId="8337"/>
    <cellStyle name="Обычный 10 7 2 3 2 5" xfId="8338"/>
    <cellStyle name="Обычный 10 7 2 3 2 5 2" xfId="8339"/>
    <cellStyle name="Обычный 10 7 2 3 2 5 3" xfId="8340"/>
    <cellStyle name="Обычный 10 7 2 3 2 6" xfId="8341"/>
    <cellStyle name="Обычный 10 7 2 3 2 6 2" xfId="8342"/>
    <cellStyle name="Обычный 10 7 2 3 2 6 3" xfId="8343"/>
    <cellStyle name="Обычный 10 7 2 3 2 7" xfId="8344"/>
    <cellStyle name="Обычный 10 7 2 3 2 7 2" xfId="8345"/>
    <cellStyle name="Обычный 10 7 2 3 2 8" xfId="8346"/>
    <cellStyle name="Обычный 10 7 2 3 2 9" xfId="8347"/>
    <cellStyle name="Обычный 10 7 2 3 3" xfId="8348"/>
    <cellStyle name="Обычный 10 7 2 3 3 2" xfId="8349"/>
    <cellStyle name="Обычный 10 7 2 3 3 2 2" xfId="8350"/>
    <cellStyle name="Обычный 10 7 2 3 3 2 2 2" xfId="8351"/>
    <cellStyle name="Обычный 10 7 2 3 3 2 2 2 2" xfId="8352"/>
    <cellStyle name="Обычный 10 7 2 3 3 2 2 2 3" xfId="8353"/>
    <cellStyle name="Обычный 10 7 2 3 3 2 2 3" xfId="8354"/>
    <cellStyle name="Обычный 10 7 2 3 3 2 2 3 2" xfId="8355"/>
    <cellStyle name="Обычный 10 7 2 3 3 2 2 3 3" xfId="8356"/>
    <cellStyle name="Обычный 10 7 2 3 3 2 2 4" xfId="8357"/>
    <cellStyle name="Обычный 10 7 2 3 3 2 2 4 2" xfId="8358"/>
    <cellStyle name="Обычный 10 7 2 3 3 2 2 5" xfId="8359"/>
    <cellStyle name="Обычный 10 7 2 3 3 2 2 6" xfId="8360"/>
    <cellStyle name="Обычный 10 7 2 3 3 2 3" xfId="8361"/>
    <cellStyle name="Обычный 10 7 2 3 3 2 3 2" xfId="8362"/>
    <cellStyle name="Обычный 10 7 2 3 3 2 3 3" xfId="8363"/>
    <cellStyle name="Обычный 10 7 2 3 3 2 4" xfId="8364"/>
    <cellStyle name="Обычный 10 7 2 3 3 2 4 2" xfId="8365"/>
    <cellStyle name="Обычный 10 7 2 3 3 2 4 3" xfId="8366"/>
    <cellStyle name="Обычный 10 7 2 3 3 2 5" xfId="8367"/>
    <cellStyle name="Обычный 10 7 2 3 3 2 5 2" xfId="8368"/>
    <cellStyle name="Обычный 10 7 2 3 3 2 6" xfId="8369"/>
    <cellStyle name="Обычный 10 7 2 3 3 2 7" xfId="8370"/>
    <cellStyle name="Обычный 10 7 2 3 3 3" xfId="8371"/>
    <cellStyle name="Обычный 10 7 2 3 3 3 2" xfId="8372"/>
    <cellStyle name="Обычный 10 7 2 3 3 3 2 2" xfId="8373"/>
    <cellStyle name="Обычный 10 7 2 3 3 3 2 3" xfId="8374"/>
    <cellStyle name="Обычный 10 7 2 3 3 3 3" xfId="8375"/>
    <cellStyle name="Обычный 10 7 2 3 3 3 3 2" xfId="8376"/>
    <cellStyle name="Обычный 10 7 2 3 3 3 3 3" xfId="8377"/>
    <cellStyle name="Обычный 10 7 2 3 3 3 4" xfId="8378"/>
    <cellStyle name="Обычный 10 7 2 3 3 3 4 2" xfId="8379"/>
    <cellStyle name="Обычный 10 7 2 3 3 3 5" xfId="8380"/>
    <cellStyle name="Обычный 10 7 2 3 3 3 6" xfId="8381"/>
    <cellStyle name="Обычный 10 7 2 3 3 4" xfId="8382"/>
    <cellStyle name="Обычный 10 7 2 3 3 4 2" xfId="8383"/>
    <cellStyle name="Обычный 10 7 2 3 3 4 3" xfId="8384"/>
    <cellStyle name="Обычный 10 7 2 3 3 5" xfId="8385"/>
    <cellStyle name="Обычный 10 7 2 3 3 5 2" xfId="8386"/>
    <cellStyle name="Обычный 10 7 2 3 3 5 3" xfId="8387"/>
    <cellStyle name="Обычный 10 7 2 3 3 6" xfId="8388"/>
    <cellStyle name="Обычный 10 7 2 3 3 6 2" xfId="8389"/>
    <cellStyle name="Обычный 10 7 2 3 3 7" xfId="8390"/>
    <cellStyle name="Обычный 10 7 2 3 3 8" xfId="8391"/>
    <cellStyle name="Обычный 10 7 2 3 4" xfId="8392"/>
    <cellStyle name="Обычный 10 7 2 3 4 2" xfId="8393"/>
    <cellStyle name="Обычный 10 7 2 3 4 2 2" xfId="8394"/>
    <cellStyle name="Обычный 10 7 2 3 4 2 2 2" xfId="8395"/>
    <cellStyle name="Обычный 10 7 2 3 4 2 2 3" xfId="8396"/>
    <cellStyle name="Обычный 10 7 2 3 4 2 3" xfId="8397"/>
    <cellStyle name="Обычный 10 7 2 3 4 2 3 2" xfId="8398"/>
    <cellStyle name="Обычный 10 7 2 3 4 2 3 3" xfId="8399"/>
    <cellStyle name="Обычный 10 7 2 3 4 2 4" xfId="8400"/>
    <cellStyle name="Обычный 10 7 2 3 4 2 4 2" xfId="8401"/>
    <cellStyle name="Обычный 10 7 2 3 4 2 5" xfId="8402"/>
    <cellStyle name="Обычный 10 7 2 3 4 2 6" xfId="8403"/>
    <cellStyle name="Обычный 10 7 2 3 4 3" xfId="8404"/>
    <cellStyle name="Обычный 10 7 2 3 4 3 2" xfId="8405"/>
    <cellStyle name="Обычный 10 7 2 3 4 3 3" xfId="8406"/>
    <cellStyle name="Обычный 10 7 2 3 4 4" xfId="8407"/>
    <cellStyle name="Обычный 10 7 2 3 4 4 2" xfId="8408"/>
    <cellStyle name="Обычный 10 7 2 3 4 4 3" xfId="8409"/>
    <cellStyle name="Обычный 10 7 2 3 4 5" xfId="8410"/>
    <cellStyle name="Обычный 10 7 2 3 4 5 2" xfId="8411"/>
    <cellStyle name="Обычный 10 7 2 3 4 6" xfId="8412"/>
    <cellStyle name="Обычный 10 7 2 3 4 7" xfId="8413"/>
    <cellStyle name="Обычный 10 7 2 3 5" xfId="8414"/>
    <cellStyle name="Обычный 10 7 2 3 5 2" xfId="8415"/>
    <cellStyle name="Обычный 10 7 2 3 5 2 2" xfId="8416"/>
    <cellStyle name="Обычный 10 7 2 3 5 2 3" xfId="8417"/>
    <cellStyle name="Обычный 10 7 2 3 5 3" xfId="8418"/>
    <cellStyle name="Обычный 10 7 2 3 5 3 2" xfId="8419"/>
    <cellStyle name="Обычный 10 7 2 3 5 3 3" xfId="8420"/>
    <cellStyle name="Обычный 10 7 2 3 5 4" xfId="8421"/>
    <cellStyle name="Обычный 10 7 2 3 5 4 2" xfId="8422"/>
    <cellStyle name="Обычный 10 7 2 3 5 5" xfId="8423"/>
    <cellStyle name="Обычный 10 7 2 3 5 6" xfId="8424"/>
    <cellStyle name="Обычный 10 7 2 3 6" xfId="8425"/>
    <cellStyle name="Обычный 10 7 2 3 6 2" xfId="8426"/>
    <cellStyle name="Обычный 10 7 2 3 6 3" xfId="8427"/>
    <cellStyle name="Обычный 10 7 2 3 7" xfId="8428"/>
    <cellStyle name="Обычный 10 7 2 3 7 2" xfId="8429"/>
    <cellStyle name="Обычный 10 7 2 3 7 3" xfId="8430"/>
    <cellStyle name="Обычный 10 7 2 3 8" xfId="8431"/>
    <cellStyle name="Обычный 10 7 2 3 8 2" xfId="8432"/>
    <cellStyle name="Обычный 10 7 2 3 9" xfId="8433"/>
    <cellStyle name="Обычный 10 7 2 4" xfId="8434"/>
    <cellStyle name="Обычный 10 7 2 4 10" xfId="8435"/>
    <cellStyle name="Обычный 10 7 2 4 2" xfId="8436"/>
    <cellStyle name="Обычный 10 7 2 4 2 2" xfId="8437"/>
    <cellStyle name="Обычный 10 7 2 4 2 2 2" xfId="8438"/>
    <cellStyle name="Обычный 10 7 2 4 2 2 2 2" xfId="8439"/>
    <cellStyle name="Обычный 10 7 2 4 2 2 2 2 2" xfId="8440"/>
    <cellStyle name="Обычный 10 7 2 4 2 2 2 2 2 2" xfId="8441"/>
    <cellStyle name="Обычный 10 7 2 4 2 2 2 2 2 3" xfId="8442"/>
    <cellStyle name="Обычный 10 7 2 4 2 2 2 2 3" xfId="8443"/>
    <cellStyle name="Обычный 10 7 2 4 2 2 2 2 3 2" xfId="8444"/>
    <cellStyle name="Обычный 10 7 2 4 2 2 2 2 3 3" xfId="8445"/>
    <cellStyle name="Обычный 10 7 2 4 2 2 2 2 4" xfId="8446"/>
    <cellStyle name="Обычный 10 7 2 4 2 2 2 2 4 2" xfId="8447"/>
    <cellStyle name="Обычный 10 7 2 4 2 2 2 2 5" xfId="8448"/>
    <cellStyle name="Обычный 10 7 2 4 2 2 2 2 6" xfId="8449"/>
    <cellStyle name="Обычный 10 7 2 4 2 2 2 3" xfId="8450"/>
    <cellStyle name="Обычный 10 7 2 4 2 2 2 3 2" xfId="8451"/>
    <cellStyle name="Обычный 10 7 2 4 2 2 2 3 3" xfId="8452"/>
    <cellStyle name="Обычный 10 7 2 4 2 2 2 4" xfId="8453"/>
    <cellStyle name="Обычный 10 7 2 4 2 2 2 4 2" xfId="8454"/>
    <cellStyle name="Обычный 10 7 2 4 2 2 2 4 3" xfId="8455"/>
    <cellStyle name="Обычный 10 7 2 4 2 2 2 5" xfId="8456"/>
    <cellStyle name="Обычный 10 7 2 4 2 2 2 5 2" xfId="8457"/>
    <cellStyle name="Обычный 10 7 2 4 2 2 2 6" xfId="8458"/>
    <cellStyle name="Обычный 10 7 2 4 2 2 2 7" xfId="8459"/>
    <cellStyle name="Обычный 10 7 2 4 2 2 3" xfId="8460"/>
    <cellStyle name="Обычный 10 7 2 4 2 2 3 2" xfId="8461"/>
    <cellStyle name="Обычный 10 7 2 4 2 2 3 2 2" xfId="8462"/>
    <cellStyle name="Обычный 10 7 2 4 2 2 3 2 3" xfId="8463"/>
    <cellStyle name="Обычный 10 7 2 4 2 2 3 3" xfId="8464"/>
    <cellStyle name="Обычный 10 7 2 4 2 2 3 3 2" xfId="8465"/>
    <cellStyle name="Обычный 10 7 2 4 2 2 3 3 3" xfId="8466"/>
    <cellStyle name="Обычный 10 7 2 4 2 2 3 4" xfId="8467"/>
    <cellStyle name="Обычный 10 7 2 4 2 2 3 4 2" xfId="8468"/>
    <cellStyle name="Обычный 10 7 2 4 2 2 3 5" xfId="8469"/>
    <cellStyle name="Обычный 10 7 2 4 2 2 3 6" xfId="8470"/>
    <cellStyle name="Обычный 10 7 2 4 2 2 4" xfId="8471"/>
    <cellStyle name="Обычный 10 7 2 4 2 2 4 2" xfId="8472"/>
    <cellStyle name="Обычный 10 7 2 4 2 2 4 3" xfId="8473"/>
    <cellStyle name="Обычный 10 7 2 4 2 2 5" xfId="8474"/>
    <cellStyle name="Обычный 10 7 2 4 2 2 5 2" xfId="8475"/>
    <cellStyle name="Обычный 10 7 2 4 2 2 5 3" xfId="8476"/>
    <cellStyle name="Обычный 10 7 2 4 2 2 6" xfId="8477"/>
    <cellStyle name="Обычный 10 7 2 4 2 2 6 2" xfId="8478"/>
    <cellStyle name="Обычный 10 7 2 4 2 2 7" xfId="8479"/>
    <cellStyle name="Обычный 10 7 2 4 2 2 8" xfId="8480"/>
    <cellStyle name="Обычный 10 7 2 4 2 3" xfId="8481"/>
    <cellStyle name="Обычный 10 7 2 4 2 3 2" xfId="8482"/>
    <cellStyle name="Обычный 10 7 2 4 2 3 2 2" xfId="8483"/>
    <cellStyle name="Обычный 10 7 2 4 2 3 2 2 2" xfId="8484"/>
    <cellStyle name="Обычный 10 7 2 4 2 3 2 2 3" xfId="8485"/>
    <cellStyle name="Обычный 10 7 2 4 2 3 2 3" xfId="8486"/>
    <cellStyle name="Обычный 10 7 2 4 2 3 2 3 2" xfId="8487"/>
    <cellStyle name="Обычный 10 7 2 4 2 3 2 3 3" xfId="8488"/>
    <cellStyle name="Обычный 10 7 2 4 2 3 2 4" xfId="8489"/>
    <cellStyle name="Обычный 10 7 2 4 2 3 2 4 2" xfId="8490"/>
    <cellStyle name="Обычный 10 7 2 4 2 3 2 5" xfId="8491"/>
    <cellStyle name="Обычный 10 7 2 4 2 3 2 6" xfId="8492"/>
    <cellStyle name="Обычный 10 7 2 4 2 3 3" xfId="8493"/>
    <cellStyle name="Обычный 10 7 2 4 2 3 3 2" xfId="8494"/>
    <cellStyle name="Обычный 10 7 2 4 2 3 3 3" xfId="8495"/>
    <cellStyle name="Обычный 10 7 2 4 2 3 4" xfId="8496"/>
    <cellStyle name="Обычный 10 7 2 4 2 3 4 2" xfId="8497"/>
    <cellStyle name="Обычный 10 7 2 4 2 3 4 3" xfId="8498"/>
    <cellStyle name="Обычный 10 7 2 4 2 3 5" xfId="8499"/>
    <cellStyle name="Обычный 10 7 2 4 2 3 5 2" xfId="8500"/>
    <cellStyle name="Обычный 10 7 2 4 2 3 6" xfId="8501"/>
    <cellStyle name="Обычный 10 7 2 4 2 3 7" xfId="8502"/>
    <cellStyle name="Обычный 10 7 2 4 2 4" xfId="8503"/>
    <cellStyle name="Обычный 10 7 2 4 2 4 2" xfId="8504"/>
    <cellStyle name="Обычный 10 7 2 4 2 4 2 2" xfId="8505"/>
    <cellStyle name="Обычный 10 7 2 4 2 4 2 3" xfId="8506"/>
    <cellStyle name="Обычный 10 7 2 4 2 4 3" xfId="8507"/>
    <cellStyle name="Обычный 10 7 2 4 2 4 3 2" xfId="8508"/>
    <cellStyle name="Обычный 10 7 2 4 2 4 3 3" xfId="8509"/>
    <cellStyle name="Обычный 10 7 2 4 2 4 4" xfId="8510"/>
    <cellStyle name="Обычный 10 7 2 4 2 4 4 2" xfId="8511"/>
    <cellStyle name="Обычный 10 7 2 4 2 4 5" xfId="8512"/>
    <cellStyle name="Обычный 10 7 2 4 2 4 6" xfId="8513"/>
    <cellStyle name="Обычный 10 7 2 4 2 5" xfId="8514"/>
    <cellStyle name="Обычный 10 7 2 4 2 5 2" xfId="8515"/>
    <cellStyle name="Обычный 10 7 2 4 2 5 3" xfId="8516"/>
    <cellStyle name="Обычный 10 7 2 4 2 6" xfId="8517"/>
    <cellStyle name="Обычный 10 7 2 4 2 6 2" xfId="8518"/>
    <cellStyle name="Обычный 10 7 2 4 2 6 3" xfId="8519"/>
    <cellStyle name="Обычный 10 7 2 4 2 7" xfId="8520"/>
    <cellStyle name="Обычный 10 7 2 4 2 7 2" xfId="8521"/>
    <cellStyle name="Обычный 10 7 2 4 2 8" xfId="8522"/>
    <cellStyle name="Обычный 10 7 2 4 2 9" xfId="8523"/>
    <cellStyle name="Обычный 10 7 2 4 3" xfId="8524"/>
    <cellStyle name="Обычный 10 7 2 4 3 2" xfId="8525"/>
    <cellStyle name="Обычный 10 7 2 4 3 2 2" xfId="8526"/>
    <cellStyle name="Обычный 10 7 2 4 3 2 2 2" xfId="8527"/>
    <cellStyle name="Обычный 10 7 2 4 3 2 2 2 2" xfId="8528"/>
    <cellStyle name="Обычный 10 7 2 4 3 2 2 2 3" xfId="8529"/>
    <cellStyle name="Обычный 10 7 2 4 3 2 2 3" xfId="8530"/>
    <cellStyle name="Обычный 10 7 2 4 3 2 2 3 2" xfId="8531"/>
    <cellStyle name="Обычный 10 7 2 4 3 2 2 3 3" xfId="8532"/>
    <cellStyle name="Обычный 10 7 2 4 3 2 2 4" xfId="8533"/>
    <cellStyle name="Обычный 10 7 2 4 3 2 2 4 2" xfId="8534"/>
    <cellStyle name="Обычный 10 7 2 4 3 2 2 5" xfId="8535"/>
    <cellStyle name="Обычный 10 7 2 4 3 2 2 6" xfId="8536"/>
    <cellStyle name="Обычный 10 7 2 4 3 2 3" xfId="8537"/>
    <cellStyle name="Обычный 10 7 2 4 3 2 3 2" xfId="8538"/>
    <cellStyle name="Обычный 10 7 2 4 3 2 3 3" xfId="8539"/>
    <cellStyle name="Обычный 10 7 2 4 3 2 4" xfId="8540"/>
    <cellStyle name="Обычный 10 7 2 4 3 2 4 2" xfId="8541"/>
    <cellStyle name="Обычный 10 7 2 4 3 2 4 3" xfId="8542"/>
    <cellStyle name="Обычный 10 7 2 4 3 2 5" xfId="8543"/>
    <cellStyle name="Обычный 10 7 2 4 3 2 5 2" xfId="8544"/>
    <cellStyle name="Обычный 10 7 2 4 3 2 6" xfId="8545"/>
    <cellStyle name="Обычный 10 7 2 4 3 2 7" xfId="8546"/>
    <cellStyle name="Обычный 10 7 2 4 3 3" xfId="8547"/>
    <cellStyle name="Обычный 10 7 2 4 3 3 2" xfId="8548"/>
    <cellStyle name="Обычный 10 7 2 4 3 3 2 2" xfId="8549"/>
    <cellStyle name="Обычный 10 7 2 4 3 3 2 3" xfId="8550"/>
    <cellStyle name="Обычный 10 7 2 4 3 3 3" xfId="8551"/>
    <cellStyle name="Обычный 10 7 2 4 3 3 3 2" xfId="8552"/>
    <cellStyle name="Обычный 10 7 2 4 3 3 3 3" xfId="8553"/>
    <cellStyle name="Обычный 10 7 2 4 3 3 4" xfId="8554"/>
    <cellStyle name="Обычный 10 7 2 4 3 3 4 2" xfId="8555"/>
    <cellStyle name="Обычный 10 7 2 4 3 3 5" xfId="8556"/>
    <cellStyle name="Обычный 10 7 2 4 3 3 6" xfId="8557"/>
    <cellStyle name="Обычный 10 7 2 4 3 4" xfId="8558"/>
    <cellStyle name="Обычный 10 7 2 4 3 4 2" xfId="8559"/>
    <cellStyle name="Обычный 10 7 2 4 3 4 3" xfId="8560"/>
    <cellStyle name="Обычный 10 7 2 4 3 5" xfId="8561"/>
    <cellStyle name="Обычный 10 7 2 4 3 5 2" xfId="8562"/>
    <cellStyle name="Обычный 10 7 2 4 3 5 3" xfId="8563"/>
    <cellStyle name="Обычный 10 7 2 4 3 6" xfId="8564"/>
    <cellStyle name="Обычный 10 7 2 4 3 6 2" xfId="8565"/>
    <cellStyle name="Обычный 10 7 2 4 3 7" xfId="8566"/>
    <cellStyle name="Обычный 10 7 2 4 3 8" xfId="8567"/>
    <cellStyle name="Обычный 10 7 2 4 4" xfId="8568"/>
    <cellStyle name="Обычный 10 7 2 4 4 2" xfId="8569"/>
    <cellStyle name="Обычный 10 7 2 4 4 2 2" xfId="8570"/>
    <cellStyle name="Обычный 10 7 2 4 4 2 2 2" xfId="8571"/>
    <cellStyle name="Обычный 10 7 2 4 4 2 2 3" xfId="8572"/>
    <cellStyle name="Обычный 10 7 2 4 4 2 3" xfId="8573"/>
    <cellStyle name="Обычный 10 7 2 4 4 2 3 2" xfId="8574"/>
    <cellStyle name="Обычный 10 7 2 4 4 2 3 3" xfId="8575"/>
    <cellStyle name="Обычный 10 7 2 4 4 2 4" xfId="8576"/>
    <cellStyle name="Обычный 10 7 2 4 4 2 4 2" xfId="8577"/>
    <cellStyle name="Обычный 10 7 2 4 4 2 5" xfId="8578"/>
    <cellStyle name="Обычный 10 7 2 4 4 2 6" xfId="8579"/>
    <cellStyle name="Обычный 10 7 2 4 4 3" xfId="8580"/>
    <cellStyle name="Обычный 10 7 2 4 4 3 2" xfId="8581"/>
    <cellStyle name="Обычный 10 7 2 4 4 3 3" xfId="8582"/>
    <cellStyle name="Обычный 10 7 2 4 4 4" xfId="8583"/>
    <cellStyle name="Обычный 10 7 2 4 4 4 2" xfId="8584"/>
    <cellStyle name="Обычный 10 7 2 4 4 4 3" xfId="8585"/>
    <cellStyle name="Обычный 10 7 2 4 4 5" xfId="8586"/>
    <cellStyle name="Обычный 10 7 2 4 4 5 2" xfId="8587"/>
    <cellStyle name="Обычный 10 7 2 4 4 6" xfId="8588"/>
    <cellStyle name="Обычный 10 7 2 4 4 7" xfId="8589"/>
    <cellStyle name="Обычный 10 7 2 4 5" xfId="8590"/>
    <cellStyle name="Обычный 10 7 2 4 5 2" xfId="8591"/>
    <cellStyle name="Обычный 10 7 2 4 5 2 2" xfId="8592"/>
    <cellStyle name="Обычный 10 7 2 4 5 2 3" xfId="8593"/>
    <cellStyle name="Обычный 10 7 2 4 5 3" xfId="8594"/>
    <cellStyle name="Обычный 10 7 2 4 5 3 2" xfId="8595"/>
    <cellStyle name="Обычный 10 7 2 4 5 3 3" xfId="8596"/>
    <cellStyle name="Обычный 10 7 2 4 5 4" xfId="8597"/>
    <cellStyle name="Обычный 10 7 2 4 5 4 2" xfId="8598"/>
    <cellStyle name="Обычный 10 7 2 4 5 5" xfId="8599"/>
    <cellStyle name="Обычный 10 7 2 4 5 6" xfId="8600"/>
    <cellStyle name="Обычный 10 7 2 4 6" xfId="8601"/>
    <cellStyle name="Обычный 10 7 2 4 6 2" xfId="8602"/>
    <cellStyle name="Обычный 10 7 2 4 6 3" xfId="8603"/>
    <cellStyle name="Обычный 10 7 2 4 7" xfId="8604"/>
    <cellStyle name="Обычный 10 7 2 4 7 2" xfId="8605"/>
    <cellStyle name="Обычный 10 7 2 4 7 3" xfId="8606"/>
    <cellStyle name="Обычный 10 7 2 4 8" xfId="8607"/>
    <cellStyle name="Обычный 10 7 2 4 8 2" xfId="8608"/>
    <cellStyle name="Обычный 10 7 2 4 9" xfId="8609"/>
    <cellStyle name="Обычный 10 7 2 5" xfId="8610"/>
    <cellStyle name="Обычный 10 7 2 5 2" xfId="8611"/>
    <cellStyle name="Обычный 10 7 2 5 2 2" xfId="8612"/>
    <cellStyle name="Обычный 10 7 2 5 2 2 2" xfId="8613"/>
    <cellStyle name="Обычный 10 7 2 5 2 2 2 2" xfId="8614"/>
    <cellStyle name="Обычный 10 7 2 5 2 2 2 2 2" xfId="8615"/>
    <cellStyle name="Обычный 10 7 2 5 2 2 2 2 3" xfId="8616"/>
    <cellStyle name="Обычный 10 7 2 5 2 2 2 3" xfId="8617"/>
    <cellStyle name="Обычный 10 7 2 5 2 2 2 3 2" xfId="8618"/>
    <cellStyle name="Обычный 10 7 2 5 2 2 2 3 3" xfId="8619"/>
    <cellStyle name="Обычный 10 7 2 5 2 2 2 4" xfId="8620"/>
    <cellStyle name="Обычный 10 7 2 5 2 2 2 4 2" xfId="8621"/>
    <cellStyle name="Обычный 10 7 2 5 2 2 2 5" xfId="8622"/>
    <cellStyle name="Обычный 10 7 2 5 2 2 2 6" xfId="8623"/>
    <cellStyle name="Обычный 10 7 2 5 2 2 3" xfId="8624"/>
    <cellStyle name="Обычный 10 7 2 5 2 2 3 2" xfId="8625"/>
    <cellStyle name="Обычный 10 7 2 5 2 2 3 3" xfId="8626"/>
    <cellStyle name="Обычный 10 7 2 5 2 2 4" xfId="8627"/>
    <cellStyle name="Обычный 10 7 2 5 2 2 4 2" xfId="8628"/>
    <cellStyle name="Обычный 10 7 2 5 2 2 4 3" xfId="8629"/>
    <cellStyle name="Обычный 10 7 2 5 2 2 5" xfId="8630"/>
    <cellStyle name="Обычный 10 7 2 5 2 2 5 2" xfId="8631"/>
    <cellStyle name="Обычный 10 7 2 5 2 2 6" xfId="8632"/>
    <cellStyle name="Обычный 10 7 2 5 2 2 7" xfId="8633"/>
    <cellStyle name="Обычный 10 7 2 5 2 3" xfId="8634"/>
    <cellStyle name="Обычный 10 7 2 5 2 3 2" xfId="8635"/>
    <cellStyle name="Обычный 10 7 2 5 2 3 2 2" xfId="8636"/>
    <cellStyle name="Обычный 10 7 2 5 2 3 2 3" xfId="8637"/>
    <cellStyle name="Обычный 10 7 2 5 2 3 3" xfId="8638"/>
    <cellStyle name="Обычный 10 7 2 5 2 3 3 2" xfId="8639"/>
    <cellStyle name="Обычный 10 7 2 5 2 3 3 3" xfId="8640"/>
    <cellStyle name="Обычный 10 7 2 5 2 3 4" xfId="8641"/>
    <cellStyle name="Обычный 10 7 2 5 2 3 4 2" xfId="8642"/>
    <cellStyle name="Обычный 10 7 2 5 2 3 5" xfId="8643"/>
    <cellStyle name="Обычный 10 7 2 5 2 3 6" xfId="8644"/>
    <cellStyle name="Обычный 10 7 2 5 2 4" xfId="8645"/>
    <cellStyle name="Обычный 10 7 2 5 2 4 2" xfId="8646"/>
    <cellStyle name="Обычный 10 7 2 5 2 4 3" xfId="8647"/>
    <cellStyle name="Обычный 10 7 2 5 2 5" xfId="8648"/>
    <cellStyle name="Обычный 10 7 2 5 2 5 2" xfId="8649"/>
    <cellStyle name="Обычный 10 7 2 5 2 5 3" xfId="8650"/>
    <cellStyle name="Обычный 10 7 2 5 2 6" xfId="8651"/>
    <cellStyle name="Обычный 10 7 2 5 2 6 2" xfId="8652"/>
    <cellStyle name="Обычный 10 7 2 5 2 7" xfId="8653"/>
    <cellStyle name="Обычный 10 7 2 5 2 8" xfId="8654"/>
    <cellStyle name="Обычный 10 7 2 5 3" xfId="8655"/>
    <cellStyle name="Обычный 10 7 2 5 3 2" xfId="8656"/>
    <cellStyle name="Обычный 10 7 2 5 3 2 2" xfId="8657"/>
    <cellStyle name="Обычный 10 7 2 5 3 2 2 2" xfId="8658"/>
    <cellStyle name="Обычный 10 7 2 5 3 2 2 3" xfId="8659"/>
    <cellStyle name="Обычный 10 7 2 5 3 2 3" xfId="8660"/>
    <cellStyle name="Обычный 10 7 2 5 3 2 3 2" xfId="8661"/>
    <cellStyle name="Обычный 10 7 2 5 3 2 3 3" xfId="8662"/>
    <cellStyle name="Обычный 10 7 2 5 3 2 4" xfId="8663"/>
    <cellStyle name="Обычный 10 7 2 5 3 2 4 2" xfId="8664"/>
    <cellStyle name="Обычный 10 7 2 5 3 2 5" xfId="8665"/>
    <cellStyle name="Обычный 10 7 2 5 3 2 6" xfId="8666"/>
    <cellStyle name="Обычный 10 7 2 5 3 3" xfId="8667"/>
    <cellStyle name="Обычный 10 7 2 5 3 3 2" xfId="8668"/>
    <cellStyle name="Обычный 10 7 2 5 3 3 3" xfId="8669"/>
    <cellStyle name="Обычный 10 7 2 5 3 4" xfId="8670"/>
    <cellStyle name="Обычный 10 7 2 5 3 4 2" xfId="8671"/>
    <cellStyle name="Обычный 10 7 2 5 3 4 3" xfId="8672"/>
    <cellStyle name="Обычный 10 7 2 5 3 5" xfId="8673"/>
    <cellStyle name="Обычный 10 7 2 5 3 5 2" xfId="8674"/>
    <cellStyle name="Обычный 10 7 2 5 3 6" xfId="8675"/>
    <cellStyle name="Обычный 10 7 2 5 3 7" xfId="8676"/>
    <cellStyle name="Обычный 10 7 2 5 4" xfId="8677"/>
    <cellStyle name="Обычный 10 7 2 5 4 2" xfId="8678"/>
    <cellStyle name="Обычный 10 7 2 5 4 2 2" xfId="8679"/>
    <cellStyle name="Обычный 10 7 2 5 4 2 3" xfId="8680"/>
    <cellStyle name="Обычный 10 7 2 5 4 3" xfId="8681"/>
    <cellStyle name="Обычный 10 7 2 5 4 3 2" xfId="8682"/>
    <cellStyle name="Обычный 10 7 2 5 4 3 3" xfId="8683"/>
    <cellStyle name="Обычный 10 7 2 5 4 4" xfId="8684"/>
    <cellStyle name="Обычный 10 7 2 5 4 4 2" xfId="8685"/>
    <cellStyle name="Обычный 10 7 2 5 4 5" xfId="8686"/>
    <cellStyle name="Обычный 10 7 2 5 4 6" xfId="8687"/>
    <cellStyle name="Обычный 10 7 2 5 5" xfId="8688"/>
    <cellStyle name="Обычный 10 7 2 5 5 2" xfId="8689"/>
    <cellStyle name="Обычный 10 7 2 5 5 3" xfId="8690"/>
    <cellStyle name="Обычный 10 7 2 5 6" xfId="8691"/>
    <cellStyle name="Обычный 10 7 2 5 6 2" xfId="8692"/>
    <cellStyle name="Обычный 10 7 2 5 6 3" xfId="8693"/>
    <cellStyle name="Обычный 10 7 2 5 7" xfId="8694"/>
    <cellStyle name="Обычный 10 7 2 5 7 2" xfId="8695"/>
    <cellStyle name="Обычный 10 7 2 5 8" xfId="8696"/>
    <cellStyle name="Обычный 10 7 2 5 9" xfId="8697"/>
    <cellStyle name="Обычный 10 7 2 6" xfId="8698"/>
    <cellStyle name="Обычный 10 7 2 6 2" xfId="8699"/>
    <cellStyle name="Обычный 10 7 2 6 2 2" xfId="8700"/>
    <cellStyle name="Обычный 10 7 2 6 2 2 2" xfId="8701"/>
    <cellStyle name="Обычный 10 7 2 6 2 2 2 2" xfId="8702"/>
    <cellStyle name="Обычный 10 7 2 6 2 2 2 3" xfId="8703"/>
    <cellStyle name="Обычный 10 7 2 6 2 2 3" xfId="8704"/>
    <cellStyle name="Обычный 10 7 2 6 2 2 3 2" xfId="8705"/>
    <cellStyle name="Обычный 10 7 2 6 2 2 3 3" xfId="8706"/>
    <cellStyle name="Обычный 10 7 2 6 2 2 4" xfId="8707"/>
    <cellStyle name="Обычный 10 7 2 6 2 2 4 2" xfId="8708"/>
    <cellStyle name="Обычный 10 7 2 6 2 2 5" xfId="8709"/>
    <cellStyle name="Обычный 10 7 2 6 2 2 6" xfId="8710"/>
    <cellStyle name="Обычный 10 7 2 6 2 3" xfId="8711"/>
    <cellStyle name="Обычный 10 7 2 6 2 3 2" xfId="8712"/>
    <cellStyle name="Обычный 10 7 2 6 2 3 3" xfId="8713"/>
    <cellStyle name="Обычный 10 7 2 6 2 4" xfId="8714"/>
    <cellStyle name="Обычный 10 7 2 6 2 4 2" xfId="8715"/>
    <cellStyle name="Обычный 10 7 2 6 2 4 3" xfId="8716"/>
    <cellStyle name="Обычный 10 7 2 6 2 5" xfId="8717"/>
    <cellStyle name="Обычный 10 7 2 6 2 5 2" xfId="8718"/>
    <cellStyle name="Обычный 10 7 2 6 2 6" xfId="8719"/>
    <cellStyle name="Обычный 10 7 2 6 2 7" xfId="8720"/>
    <cellStyle name="Обычный 10 7 2 6 3" xfId="8721"/>
    <cellStyle name="Обычный 10 7 2 6 3 2" xfId="8722"/>
    <cellStyle name="Обычный 10 7 2 6 3 2 2" xfId="8723"/>
    <cellStyle name="Обычный 10 7 2 6 3 2 3" xfId="8724"/>
    <cellStyle name="Обычный 10 7 2 6 3 3" xfId="8725"/>
    <cellStyle name="Обычный 10 7 2 6 3 3 2" xfId="8726"/>
    <cellStyle name="Обычный 10 7 2 6 3 3 3" xfId="8727"/>
    <cellStyle name="Обычный 10 7 2 6 3 4" xfId="8728"/>
    <cellStyle name="Обычный 10 7 2 6 3 4 2" xfId="8729"/>
    <cellStyle name="Обычный 10 7 2 6 3 5" xfId="8730"/>
    <cellStyle name="Обычный 10 7 2 6 3 6" xfId="8731"/>
    <cellStyle name="Обычный 10 7 2 6 4" xfId="8732"/>
    <cellStyle name="Обычный 10 7 2 6 4 2" xfId="8733"/>
    <cellStyle name="Обычный 10 7 2 6 4 3" xfId="8734"/>
    <cellStyle name="Обычный 10 7 2 6 5" xfId="8735"/>
    <cellStyle name="Обычный 10 7 2 6 5 2" xfId="8736"/>
    <cellStyle name="Обычный 10 7 2 6 5 3" xfId="8737"/>
    <cellStyle name="Обычный 10 7 2 6 6" xfId="8738"/>
    <cellStyle name="Обычный 10 7 2 6 6 2" xfId="8739"/>
    <cellStyle name="Обычный 10 7 2 6 7" xfId="8740"/>
    <cellStyle name="Обычный 10 7 2 6 8" xfId="8741"/>
    <cellStyle name="Обычный 10 7 2 7" xfId="8742"/>
    <cellStyle name="Обычный 10 7 2 7 2" xfId="8743"/>
    <cellStyle name="Обычный 10 7 2 7 2 2" xfId="8744"/>
    <cellStyle name="Обычный 10 7 2 7 2 2 2" xfId="8745"/>
    <cellStyle name="Обычный 10 7 2 7 2 2 3" xfId="8746"/>
    <cellStyle name="Обычный 10 7 2 7 2 3" xfId="8747"/>
    <cellStyle name="Обычный 10 7 2 7 2 3 2" xfId="8748"/>
    <cellStyle name="Обычный 10 7 2 7 2 3 3" xfId="8749"/>
    <cellStyle name="Обычный 10 7 2 7 2 4" xfId="8750"/>
    <cellStyle name="Обычный 10 7 2 7 2 4 2" xfId="8751"/>
    <cellStyle name="Обычный 10 7 2 7 2 5" xfId="8752"/>
    <cellStyle name="Обычный 10 7 2 7 2 6" xfId="8753"/>
    <cellStyle name="Обычный 10 7 2 7 3" xfId="8754"/>
    <cellStyle name="Обычный 10 7 2 7 3 2" xfId="8755"/>
    <cellStyle name="Обычный 10 7 2 7 3 3" xfId="8756"/>
    <cellStyle name="Обычный 10 7 2 7 4" xfId="8757"/>
    <cellStyle name="Обычный 10 7 2 7 4 2" xfId="8758"/>
    <cellStyle name="Обычный 10 7 2 7 4 3" xfId="8759"/>
    <cellStyle name="Обычный 10 7 2 7 5" xfId="8760"/>
    <cellStyle name="Обычный 10 7 2 7 5 2" xfId="8761"/>
    <cellStyle name="Обычный 10 7 2 7 6" xfId="8762"/>
    <cellStyle name="Обычный 10 7 2 7 7" xfId="8763"/>
    <cellStyle name="Обычный 10 7 2 8" xfId="8764"/>
    <cellStyle name="Обычный 10 7 2 8 2" xfId="8765"/>
    <cellStyle name="Обычный 10 7 2 8 2 2" xfId="8766"/>
    <cellStyle name="Обычный 10 7 2 8 2 3" xfId="8767"/>
    <cellStyle name="Обычный 10 7 2 8 3" xfId="8768"/>
    <cellStyle name="Обычный 10 7 2 8 3 2" xfId="8769"/>
    <cellStyle name="Обычный 10 7 2 8 3 3" xfId="8770"/>
    <cellStyle name="Обычный 10 7 2 8 4" xfId="8771"/>
    <cellStyle name="Обычный 10 7 2 8 4 2" xfId="8772"/>
    <cellStyle name="Обычный 10 7 2 8 5" xfId="8773"/>
    <cellStyle name="Обычный 10 7 2 8 6" xfId="8774"/>
    <cellStyle name="Обычный 10 7 2 9" xfId="8775"/>
    <cellStyle name="Обычный 10 7 2 9 2" xfId="8776"/>
    <cellStyle name="Обычный 10 7 2 9 3" xfId="8777"/>
    <cellStyle name="Обычный 10 7 3" xfId="8778"/>
    <cellStyle name="Обычный 10 7 3 10" xfId="8779"/>
    <cellStyle name="Обычный 10 7 3 2" xfId="8780"/>
    <cellStyle name="Обычный 10 7 3 2 2" xfId="8781"/>
    <cellStyle name="Обычный 10 7 3 2 2 2" xfId="8782"/>
    <cellStyle name="Обычный 10 7 3 2 2 2 2" xfId="8783"/>
    <cellStyle name="Обычный 10 7 3 2 2 2 2 2" xfId="8784"/>
    <cellStyle name="Обычный 10 7 3 2 2 2 2 2 2" xfId="8785"/>
    <cellStyle name="Обычный 10 7 3 2 2 2 2 2 3" xfId="8786"/>
    <cellStyle name="Обычный 10 7 3 2 2 2 2 3" xfId="8787"/>
    <cellStyle name="Обычный 10 7 3 2 2 2 2 3 2" xfId="8788"/>
    <cellStyle name="Обычный 10 7 3 2 2 2 2 3 3" xfId="8789"/>
    <cellStyle name="Обычный 10 7 3 2 2 2 2 4" xfId="8790"/>
    <cellStyle name="Обычный 10 7 3 2 2 2 2 4 2" xfId="8791"/>
    <cellStyle name="Обычный 10 7 3 2 2 2 2 5" xfId="8792"/>
    <cellStyle name="Обычный 10 7 3 2 2 2 2 6" xfId="8793"/>
    <cellStyle name="Обычный 10 7 3 2 2 2 3" xfId="8794"/>
    <cellStyle name="Обычный 10 7 3 2 2 2 3 2" xfId="8795"/>
    <cellStyle name="Обычный 10 7 3 2 2 2 3 3" xfId="8796"/>
    <cellStyle name="Обычный 10 7 3 2 2 2 4" xfId="8797"/>
    <cellStyle name="Обычный 10 7 3 2 2 2 4 2" xfId="8798"/>
    <cellStyle name="Обычный 10 7 3 2 2 2 4 3" xfId="8799"/>
    <cellStyle name="Обычный 10 7 3 2 2 2 5" xfId="8800"/>
    <cellStyle name="Обычный 10 7 3 2 2 2 5 2" xfId="8801"/>
    <cellStyle name="Обычный 10 7 3 2 2 2 6" xfId="8802"/>
    <cellStyle name="Обычный 10 7 3 2 2 2 7" xfId="8803"/>
    <cellStyle name="Обычный 10 7 3 2 2 3" xfId="8804"/>
    <cellStyle name="Обычный 10 7 3 2 2 3 2" xfId="8805"/>
    <cellStyle name="Обычный 10 7 3 2 2 3 2 2" xfId="8806"/>
    <cellStyle name="Обычный 10 7 3 2 2 3 2 3" xfId="8807"/>
    <cellStyle name="Обычный 10 7 3 2 2 3 3" xfId="8808"/>
    <cellStyle name="Обычный 10 7 3 2 2 3 3 2" xfId="8809"/>
    <cellStyle name="Обычный 10 7 3 2 2 3 3 3" xfId="8810"/>
    <cellStyle name="Обычный 10 7 3 2 2 3 4" xfId="8811"/>
    <cellStyle name="Обычный 10 7 3 2 2 3 4 2" xfId="8812"/>
    <cellStyle name="Обычный 10 7 3 2 2 3 5" xfId="8813"/>
    <cellStyle name="Обычный 10 7 3 2 2 3 6" xfId="8814"/>
    <cellStyle name="Обычный 10 7 3 2 2 4" xfId="8815"/>
    <cellStyle name="Обычный 10 7 3 2 2 4 2" xfId="8816"/>
    <cellStyle name="Обычный 10 7 3 2 2 4 3" xfId="8817"/>
    <cellStyle name="Обычный 10 7 3 2 2 5" xfId="8818"/>
    <cellStyle name="Обычный 10 7 3 2 2 5 2" xfId="8819"/>
    <cellStyle name="Обычный 10 7 3 2 2 5 3" xfId="8820"/>
    <cellStyle name="Обычный 10 7 3 2 2 6" xfId="8821"/>
    <cellStyle name="Обычный 10 7 3 2 2 6 2" xfId="8822"/>
    <cellStyle name="Обычный 10 7 3 2 2 7" xfId="8823"/>
    <cellStyle name="Обычный 10 7 3 2 2 8" xfId="8824"/>
    <cellStyle name="Обычный 10 7 3 2 3" xfId="8825"/>
    <cellStyle name="Обычный 10 7 3 2 3 2" xfId="8826"/>
    <cellStyle name="Обычный 10 7 3 2 3 2 2" xfId="8827"/>
    <cellStyle name="Обычный 10 7 3 2 3 2 2 2" xfId="8828"/>
    <cellStyle name="Обычный 10 7 3 2 3 2 2 3" xfId="8829"/>
    <cellStyle name="Обычный 10 7 3 2 3 2 3" xfId="8830"/>
    <cellStyle name="Обычный 10 7 3 2 3 2 3 2" xfId="8831"/>
    <cellStyle name="Обычный 10 7 3 2 3 2 3 3" xfId="8832"/>
    <cellStyle name="Обычный 10 7 3 2 3 2 4" xfId="8833"/>
    <cellStyle name="Обычный 10 7 3 2 3 2 4 2" xfId="8834"/>
    <cellStyle name="Обычный 10 7 3 2 3 2 5" xfId="8835"/>
    <cellStyle name="Обычный 10 7 3 2 3 2 6" xfId="8836"/>
    <cellStyle name="Обычный 10 7 3 2 3 3" xfId="8837"/>
    <cellStyle name="Обычный 10 7 3 2 3 3 2" xfId="8838"/>
    <cellStyle name="Обычный 10 7 3 2 3 3 3" xfId="8839"/>
    <cellStyle name="Обычный 10 7 3 2 3 4" xfId="8840"/>
    <cellStyle name="Обычный 10 7 3 2 3 4 2" xfId="8841"/>
    <cellStyle name="Обычный 10 7 3 2 3 4 3" xfId="8842"/>
    <cellStyle name="Обычный 10 7 3 2 3 5" xfId="8843"/>
    <cellStyle name="Обычный 10 7 3 2 3 5 2" xfId="8844"/>
    <cellStyle name="Обычный 10 7 3 2 3 6" xfId="8845"/>
    <cellStyle name="Обычный 10 7 3 2 3 7" xfId="8846"/>
    <cellStyle name="Обычный 10 7 3 2 4" xfId="8847"/>
    <cellStyle name="Обычный 10 7 3 2 4 2" xfId="8848"/>
    <cellStyle name="Обычный 10 7 3 2 4 2 2" xfId="8849"/>
    <cellStyle name="Обычный 10 7 3 2 4 2 3" xfId="8850"/>
    <cellStyle name="Обычный 10 7 3 2 4 3" xfId="8851"/>
    <cellStyle name="Обычный 10 7 3 2 4 3 2" xfId="8852"/>
    <cellStyle name="Обычный 10 7 3 2 4 3 3" xfId="8853"/>
    <cellStyle name="Обычный 10 7 3 2 4 4" xfId="8854"/>
    <cellStyle name="Обычный 10 7 3 2 4 4 2" xfId="8855"/>
    <cellStyle name="Обычный 10 7 3 2 4 5" xfId="8856"/>
    <cellStyle name="Обычный 10 7 3 2 4 6" xfId="8857"/>
    <cellStyle name="Обычный 10 7 3 2 5" xfId="8858"/>
    <cellStyle name="Обычный 10 7 3 2 5 2" xfId="8859"/>
    <cellStyle name="Обычный 10 7 3 2 5 3" xfId="8860"/>
    <cellStyle name="Обычный 10 7 3 2 6" xfId="8861"/>
    <cellStyle name="Обычный 10 7 3 2 6 2" xfId="8862"/>
    <cellStyle name="Обычный 10 7 3 2 6 3" xfId="8863"/>
    <cellStyle name="Обычный 10 7 3 2 7" xfId="8864"/>
    <cellStyle name="Обычный 10 7 3 2 7 2" xfId="8865"/>
    <cellStyle name="Обычный 10 7 3 2 8" xfId="8866"/>
    <cellStyle name="Обычный 10 7 3 2 9" xfId="8867"/>
    <cellStyle name="Обычный 10 7 3 3" xfId="8868"/>
    <cellStyle name="Обычный 10 7 3 3 2" xfId="8869"/>
    <cellStyle name="Обычный 10 7 3 3 2 2" xfId="8870"/>
    <cellStyle name="Обычный 10 7 3 3 2 2 2" xfId="8871"/>
    <cellStyle name="Обычный 10 7 3 3 2 2 2 2" xfId="8872"/>
    <cellStyle name="Обычный 10 7 3 3 2 2 2 3" xfId="8873"/>
    <cellStyle name="Обычный 10 7 3 3 2 2 3" xfId="8874"/>
    <cellStyle name="Обычный 10 7 3 3 2 2 3 2" xfId="8875"/>
    <cellStyle name="Обычный 10 7 3 3 2 2 3 3" xfId="8876"/>
    <cellStyle name="Обычный 10 7 3 3 2 2 4" xfId="8877"/>
    <cellStyle name="Обычный 10 7 3 3 2 2 4 2" xfId="8878"/>
    <cellStyle name="Обычный 10 7 3 3 2 2 5" xfId="8879"/>
    <cellStyle name="Обычный 10 7 3 3 2 2 6" xfId="8880"/>
    <cellStyle name="Обычный 10 7 3 3 2 3" xfId="8881"/>
    <cellStyle name="Обычный 10 7 3 3 2 3 2" xfId="8882"/>
    <cellStyle name="Обычный 10 7 3 3 2 3 3" xfId="8883"/>
    <cellStyle name="Обычный 10 7 3 3 2 4" xfId="8884"/>
    <cellStyle name="Обычный 10 7 3 3 2 4 2" xfId="8885"/>
    <cellStyle name="Обычный 10 7 3 3 2 4 3" xfId="8886"/>
    <cellStyle name="Обычный 10 7 3 3 2 5" xfId="8887"/>
    <cellStyle name="Обычный 10 7 3 3 2 5 2" xfId="8888"/>
    <cellStyle name="Обычный 10 7 3 3 2 6" xfId="8889"/>
    <cellStyle name="Обычный 10 7 3 3 2 7" xfId="8890"/>
    <cellStyle name="Обычный 10 7 3 3 3" xfId="8891"/>
    <cellStyle name="Обычный 10 7 3 3 3 2" xfId="8892"/>
    <cellStyle name="Обычный 10 7 3 3 3 2 2" xfId="8893"/>
    <cellStyle name="Обычный 10 7 3 3 3 2 3" xfId="8894"/>
    <cellStyle name="Обычный 10 7 3 3 3 3" xfId="8895"/>
    <cellStyle name="Обычный 10 7 3 3 3 3 2" xfId="8896"/>
    <cellStyle name="Обычный 10 7 3 3 3 3 3" xfId="8897"/>
    <cellStyle name="Обычный 10 7 3 3 3 4" xfId="8898"/>
    <cellStyle name="Обычный 10 7 3 3 3 4 2" xfId="8899"/>
    <cellStyle name="Обычный 10 7 3 3 3 5" xfId="8900"/>
    <cellStyle name="Обычный 10 7 3 3 3 6" xfId="8901"/>
    <cellStyle name="Обычный 10 7 3 3 4" xfId="8902"/>
    <cellStyle name="Обычный 10 7 3 3 4 2" xfId="8903"/>
    <cellStyle name="Обычный 10 7 3 3 4 3" xfId="8904"/>
    <cellStyle name="Обычный 10 7 3 3 5" xfId="8905"/>
    <cellStyle name="Обычный 10 7 3 3 5 2" xfId="8906"/>
    <cellStyle name="Обычный 10 7 3 3 5 3" xfId="8907"/>
    <cellStyle name="Обычный 10 7 3 3 6" xfId="8908"/>
    <cellStyle name="Обычный 10 7 3 3 6 2" xfId="8909"/>
    <cellStyle name="Обычный 10 7 3 3 7" xfId="8910"/>
    <cellStyle name="Обычный 10 7 3 3 8" xfId="8911"/>
    <cellStyle name="Обычный 10 7 3 4" xfId="8912"/>
    <cellStyle name="Обычный 10 7 3 4 2" xfId="8913"/>
    <cellStyle name="Обычный 10 7 3 4 2 2" xfId="8914"/>
    <cellStyle name="Обычный 10 7 3 4 2 2 2" xfId="8915"/>
    <cellStyle name="Обычный 10 7 3 4 2 2 3" xfId="8916"/>
    <cellStyle name="Обычный 10 7 3 4 2 3" xfId="8917"/>
    <cellStyle name="Обычный 10 7 3 4 2 3 2" xfId="8918"/>
    <cellStyle name="Обычный 10 7 3 4 2 3 3" xfId="8919"/>
    <cellStyle name="Обычный 10 7 3 4 2 4" xfId="8920"/>
    <cellStyle name="Обычный 10 7 3 4 2 4 2" xfId="8921"/>
    <cellStyle name="Обычный 10 7 3 4 2 5" xfId="8922"/>
    <cellStyle name="Обычный 10 7 3 4 2 6" xfId="8923"/>
    <cellStyle name="Обычный 10 7 3 4 3" xfId="8924"/>
    <cellStyle name="Обычный 10 7 3 4 3 2" xfId="8925"/>
    <cellStyle name="Обычный 10 7 3 4 3 3" xfId="8926"/>
    <cellStyle name="Обычный 10 7 3 4 4" xfId="8927"/>
    <cellStyle name="Обычный 10 7 3 4 4 2" xfId="8928"/>
    <cellStyle name="Обычный 10 7 3 4 4 3" xfId="8929"/>
    <cellStyle name="Обычный 10 7 3 4 5" xfId="8930"/>
    <cellStyle name="Обычный 10 7 3 4 5 2" xfId="8931"/>
    <cellStyle name="Обычный 10 7 3 4 6" xfId="8932"/>
    <cellStyle name="Обычный 10 7 3 4 7" xfId="8933"/>
    <cellStyle name="Обычный 10 7 3 5" xfId="8934"/>
    <cellStyle name="Обычный 10 7 3 5 2" xfId="8935"/>
    <cellStyle name="Обычный 10 7 3 5 2 2" xfId="8936"/>
    <cellStyle name="Обычный 10 7 3 5 2 3" xfId="8937"/>
    <cellStyle name="Обычный 10 7 3 5 3" xfId="8938"/>
    <cellStyle name="Обычный 10 7 3 5 3 2" xfId="8939"/>
    <cellStyle name="Обычный 10 7 3 5 3 3" xfId="8940"/>
    <cellStyle name="Обычный 10 7 3 5 4" xfId="8941"/>
    <cellStyle name="Обычный 10 7 3 5 4 2" xfId="8942"/>
    <cellStyle name="Обычный 10 7 3 5 5" xfId="8943"/>
    <cellStyle name="Обычный 10 7 3 5 6" xfId="8944"/>
    <cellStyle name="Обычный 10 7 3 6" xfId="8945"/>
    <cellStyle name="Обычный 10 7 3 6 2" xfId="8946"/>
    <cellStyle name="Обычный 10 7 3 6 3" xfId="8947"/>
    <cellStyle name="Обычный 10 7 3 7" xfId="8948"/>
    <cellStyle name="Обычный 10 7 3 7 2" xfId="8949"/>
    <cellStyle name="Обычный 10 7 3 7 3" xfId="8950"/>
    <cellStyle name="Обычный 10 7 3 8" xfId="8951"/>
    <cellStyle name="Обычный 10 7 3 8 2" xfId="8952"/>
    <cellStyle name="Обычный 10 7 3 9" xfId="8953"/>
    <cellStyle name="Обычный 10 7 4" xfId="8954"/>
    <cellStyle name="Обычный 10 7 4 10" xfId="8955"/>
    <cellStyle name="Обычный 10 7 4 2" xfId="8956"/>
    <cellStyle name="Обычный 10 7 4 2 2" xfId="8957"/>
    <cellStyle name="Обычный 10 7 4 2 2 2" xfId="8958"/>
    <cellStyle name="Обычный 10 7 4 2 2 2 2" xfId="8959"/>
    <cellStyle name="Обычный 10 7 4 2 2 2 2 2" xfId="8960"/>
    <cellStyle name="Обычный 10 7 4 2 2 2 2 2 2" xfId="8961"/>
    <cellStyle name="Обычный 10 7 4 2 2 2 2 2 3" xfId="8962"/>
    <cellStyle name="Обычный 10 7 4 2 2 2 2 3" xfId="8963"/>
    <cellStyle name="Обычный 10 7 4 2 2 2 2 3 2" xfId="8964"/>
    <cellStyle name="Обычный 10 7 4 2 2 2 2 3 3" xfId="8965"/>
    <cellStyle name="Обычный 10 7 4 2 2 2 2 4" xfId="8966"/>
    <cellStyle name="Обычный 10 7 4 2 2 2 2 4 2" xfId="8967"/>
    <cellStyle name="Обычный 10 7 4 2 2 2 2 5" xfId="8968"/>
    <cellStyle name="Обычный 10 7 4 2 2 2 2 6" xfId="8969"/>
    <cellStyle name="Обычный 10 7 4 2 2 2 3" xfId="8970"/>
    <cellStyle name="Обычный 10 7 4 2 2 2 3 2" xfId="8971"/>
    <cellStyle name="Обычный 10 7 4 2 2 2 3 3" xfId="8972"/>
    <cellStyle name="Обычный 10 7 4 2 2 2 4" xfId="8973"/>
    <cellStyle name="Обычный 10 7 4 2 2 2 4 2" xfId="8974"/>
    <cellStyle name="Обычный 10 7 4 2 2 2 4 3" xfId="8975"/>
    <cellStyle name="Обычный 10 7 4 2 2 2 5" xfId="8976"/>
    <cellStyle name="Обычный 10 7 4 2 2 2 5 2" xfId="8977"/>
    <cellStyle name="Обычный 10 7 4 2 2 2 6" xfId="8978"/>
    <cellStyle name="Обычный 10 7 4 2 2 2 7" xfId="8979"/>
    <cellStyle name="Обычный 10 7 4 2 2 3" xfId="8980"/>
    <cellStyle name="Обычный 10 7 4 2 2 3 2" xfId="8981"/>
    <cellStyle name="Обычный 10 7 4 2 2 3 2 2" xfId="8982"/>
    <cellStyle name="Обычный 10 7 4 2 2 3 2 3" xfId="8983"/>
    <cellStyle name="Обычный 10 7 4 2 2 3 3" xfId="8984"/>
    <cellStyle name="Обычный 10 7 4 2 2 3 3 2" xfId="8985"/>
    <cellStyle name="Обычный 10 7 4 2 2 3 3 3" xfId="8986"/>
    <cellStyle name="Обычный 10 7 4 2 2 3 4" xfId="8987"/>
    <cellStyle name="Обычный 10 7 4 2 2 3 4 2" xfId="8988"/>
    <cellStyle name="Обычный 10 7 4 2 2 3 5" xfId="8989"/>
    <cellStyle name="Обычный 10 7 4 2 2 3 6" xfId="8990"/>
    <cellStyle name="Обычный 10 7 4 2 2 4" xfId="8991"/>
    <cellStyle name="Обычный 10 7 4 2 2 4 2" xfId="8992"/>
    <cellStyle name="Обычный 10 7 4 2 2 4 3" xfId="8993"/>
    <cellStyle name="Обычный 10 7 4 2 2 5" xfId="8994"/>
    <cellStyle name="Обычный 10 7 4 2 2 5 2" xfId="8995"/>
    <cellStyle name="Обычный 10 7 4 2 2 5 3" xfId="8996"/>
    <cellStyle name="Обычный 10 7 4 2 2 6" xfId="8997"/>
    <cellStyle name="Обычный 10 7 4 2 2 6 2" xfId="8998"/>
    <cellStyle name="Обычный 10 7 4 2 2 7" xfId="8999"/>
    <cellStyle name="Обычный 10 7 4 2 2 8" xfId="9000"/>
    <cellStyle name="Обычный 10 7 4 2 3" xfId="9001"/>
    <cellStyle name="Обычный 10 7 4 2 3 2" xfId="9002"/>
    <cellStyle name="Обычный 10 7 4 2 3 2 2" xfId="9003"/>
    <cellStyle name="Обычный 10 7 4 2 3 2 2 2" xfId="9004"/>
    <cellStyle name="Обычный 10 7 4 2 3 2 2 3" xfId="9005"/>
    <cellStyle name="Обычный 10 7 4 2 3 2 3" xfId="9006"/>
    <cellStyle name="Обычный 10 7 4 2 3 2 3 2" xfId="9007"/>
    <cellStyle name="Обычный 10 7 4 2 3 2 3 3" xfId="9008"/>
    <cellStyle name="Обычный 10 7 4 2 3 2 4" xfId="9009"/>
    <cellStyle name="Обычный 10 7 4 2 3 2 4 2" xfId="9010"/>
    <cellStyle name="Обычный 10 7 4 2 3 2 5" xfId="9011"/>
    <cellStyle name="Обычный 10 7 4 2 3 2 6" xfId="9012"/>
    <cellStyle name="Обычный 10 7 4 2 3 3" xfId="9013"/>
    <cellStyle name="Обычный 10 7 4 2 3 3 2" xfId="9014"/>
    <cellStyle name="Обычный 10 7 4 2 3 3 3" xfId="9015"/>
    <cellStyle name="Обычный 10 7 4 2 3 4" xfId="9016"/>
    <cellStyle name="Обычный 10 7 4 2 3 4 2" xfId="9017"/>
    <cellStyle name="Обычный 10 7 4 2 3 4 3" xfId="9018"/>
    <cellStyle name="Обычный 10 7 4 2 3 5" xfId="9019"/>
    <cellStyle name="Обычный 10 7 4 2 3 5 2" xfId="9020"/>
    <cellStyle name="Обычный 10 7 4 2 3 6" xfId="9021"/>
    <cellStyle name="Обычный 10 7 4 2 3 7" xfId="9022"/>
    <cellStyle name="Обычный 10 7 4 2 4" xfId="9023"/>
    <cellStyle name="Обычный 10 7 4 2 4 2" xfId="9024"/>
    <cellStyle name="Обычный 10 7 4 2 4 2 2" xfId="9025"/>
    <cellStyle name="Обычный 10 7 4 2 4 2 3" xfId="9026"/>
    <cellStyle name="Обычный 10 7 4 2 4 3" xfId="9027"/>
    <cellStyle name="Обычный 10 7 4 2 4 3 2" xfId="9028"/>
    <cellStyle name="Обычный 10 7 4 2 4 3 3" xfId="9029"/>
    <cellStyle name="Обычный 10 7 4 2 4 4" xfId="9030"/>
    <cellStyle name="Обычный 10 7 4 2 4 4 2" xfId="9031"/>
    <cellStyle name="Обычный 10 7 4 2 4 5" xfId="9032"/>
    <cellStyle name="Обычный 10 7 4 2 4 6" xfId="9033"/>
    <cellStyle name="Обычный 10 7 4 2 5" xfId="9034"/>
    <cellStyle name="Обычный 10 7 4 2 5 2" xfId="9035"/>
    <cellStyle name="Обычный 10 7 4 2 5 3" xfId="9036"/>
    <cellStyle name="Обычный 10 7 4 2 6" xfId="9037"/>
    <cellStyle name="Обычный 10 7 4 2 6 2" xfId="9038"/>
    <cellStyle name="Обычный 10 7 4 2 6 3" xfId="9039"/>
    <cellStyle name="Обычный 10 7 4 2 7" xfId="9040"/>
    <cellStyle name="Обычный 10 7 4 2 7 2" xfId="9041"/>
    <cellStyle name="Обычный 10 7 4 2 8" xfId="9042"/>
    <cellStyle name="Обычный 10 7 4 2 9" xfId="9043"/>
    <cellStyle name="Обычный 10 7 4 3" xfId="9044"/>
    <cellStyle name="Обычный 10 7 4 3 2" xfId="9045"/>
    <cellStyle name="Обычный 10 7 4 3 2 2" xfId="9046"/>
    <cellStyle name="Обычный 10 7 4 3 2 2 2" xfId="9047"/>
    <cellStyle name="Обычный 10 7 4 3 2 2 2 2" xfId="9048"/>
    <cellStyle name="Обычный 10 7 4 3 2 2 2 3" xfId="9049"/>
    <cellStyle name="Обычный 10 7 4 3 2 2 3" xfId="9050"/>
    <cellStyle name="Обычный 10 7 4 3 2 2 3 2" xfId="9051"/>
    <cellStyle name="Обычный 10 7 4 3 2 2 3 3" xfId="9052"/>
    <cellStyle name="Обычный 10 7 4 3 2 2 4" xfId="9053"/>
    <cellStyle name="Обычный 10 7 4 3 2 2 4 2" xfId="9054"/>
    <cellStyle name="Обычный 10 7 4 3 2 2 5" xfId="9055"/>
    <cellStyle name="Обычный 10 7 4 3 2 2 6" xfId="9056"/>
    <cellStyle name="Обычный 10 7 4 3 2 3" xfId="9057"/>
    <cellStyle name="Обычный 10 7 4 3 2 3 2" xfId="9058"/>
    <cellStyle name="Обычный 10 7 4 3 2 3 3" xfId="9059"/>
    <cellStyle name="Обычный 10 7 4 3 2 4" xfId="9060"/>
    <cellStyle name="Обычный 10 7 4 3 2 4 2" xfId="9061"/>
    <cellStyle name="Обычный 10 7 4 3 2 4 3" xfId="9062"/>
    <cellStyle name="Обычный 10 7 4 3 2 5" xfId="9063"/>
    <cellStyle name="Обычный 10 7 4 3 2 5 2" xfId="9064"/>
    <cellStyle name="Обычный 10 7 4 3 2 6" xfId="9065"/>
    <cellStyle name="Обычный 10 7 4 3 2 7" xfId="9066"/>
    <cellStyle name="Обычный 10 7 4 3 3" xfId="9067"/>
    <cellStyle name="Обычный 10 7 4 3 3 2" xfId="9068"/>
    <cellStyle name="Обычный 10 7 4 3 3 2 2" xfId="9069"/>
    <cellStyle name="Обычный 10 7 4 3 3 2 3" xfId="9070"/>
    <cellStyle name="Обычный 10 7 4 3 3 3" xfId="9071"/>
    <cellStyle name="Обычный 10 7 4 3 3 3 2" xfId="9072"/>
    <cellStyle name="Обычный 10 7 4 3 3 3 3" xfId="9073"/>
    <cellStyle name="Обычный 10 7 4 3 3 4" xfId="9074"/>
    <cellStyle name="Обычный 10 7 4 3 3 4 2" xfId="9075"/>
    <cellStyle name="Обычный 10 7 4 3 3 5" xfId="9076"/>
    <cellStyle name="Обычный 10 7 4 3 3 6" xfId="9077"/>
    <cellStyle name="Обычный 10 7 4 3 4" xfId="9078"/>
    <cellStyle name="Обычный 10 7 4 3 4 2" xfId="9079"/>
    <cellStyle name="Обычный 10 7 4 3 4 3" xfId="9080"/>
    <cellStyle name="Обычный 10 7 4 3 5" xfId="9081"/>
    <cellStyle name="Обычный 10 7 4 3 5 2" xfId="9082"/>
    <cellStyle name="Обычный 10 7 4 3 5 3" xfId="9083"/>
    <cellStyle name="Обычный 10 7 4 3 6" xfId="9084"/>
    <cellStyle name="Обычный 10 7 4 3 6 2" xfId="9085"/>
    <cellStyle name="Обычный 10 7 4 3 7" xfId="9086"/>
    <cellStyle name="Обычный 10 7 4 3 8" xfId="9087"/>
    <cellStyle name="Обычный 10 7 4 4" xfId="9088"/>
    <cellStyle name="Обычный 10 7 4 4 2" xfId="9089"/>
    <cellStyle name="Обычный 10 7 4 4 2 2" xfId="9090"/>
    <cellStyle name="Обычный 10 7 4 4 2 2 2" xfId="9091"/>
    <cellStyle name="Обычный 10 7 4 4 2 2 3" xfId="9092"/>
    <cellStyle name="Обычный 10 7 4 4 2 3" xfId="9093"/>
    <cellStyle name="Обычный 10 7 4 4 2 3 2" xfId="9094"/>
    <cellStyle name="Обычный 10 7 4 4 2 3 3" xfId="9095"/>
    <cellStyle name="Обычный 10 7 4 4 2 4" xfId="9096"/>
    <cellStyle name="Обычный 10 7 4 4 2 4 2" xfId="9097"/>
    <cellStyle name="Обычный 10 7 4 4 2 5" xfId="9098"/>
    <cellStyle name="Обычный 10 7 4 4 2 6" xfId="9099"/>
    <cellStyle name="Обычный 10 7 4 4 3" xfId="9100"/>
    <cellStyle name="Обычный 10 7 4 4 3 2" xfId="9101"/>
    <cellStyle name="Обычный 10 7 4 4 3 3" xfId="9102"/>
    <cellStyle name="Обычный 10 7 4 4 4" xfId="9103"/>
    <cellStyle name="Обычный 10 7 4 4 4 2" xfId="9104"/>
    <cellStyle name="Обычный 10 7 4 4 4 3" xfId="9105"/>
    <cellStyle name="Обычный 10 7 4 4 5" xfId="9106"/>
    <cellStyle name="Обычный 10 7 4 4 5 2" xfId="9107"/>
    <cellStyle name="Обычный 10 7 4 4 6" xfId="9108"/>
    <cellStyle name="Обычный 10 7 4 4 7" xfId="9109"/>
    <cellStyle name="Обычный 10 7 4 5" xfId="9110"/>
    <cellStyle name="Обычный 10 7 4 5 2" xfId="9111"/>
    <cellStyle name="Обычный 10 7 4 5 2 2" xfId="9112"/>
    <cellStyle name="Обычный 10 7 4 5 2 3" xfId="9113"/>
    <cellStyle name="Обычный 10 7 4 5 3" xfId="9114"/>
    <cellStyle name="Обычный 10 7 4 5 3 2" xfId="9115"/>
    <cellStyle name="Обычный 10 7 4 5 3 3" xfId="9116"/>
    <cellStyle name="Обычный 10 7 4 5 4" xfId="9117"/>
    <cellStyle name="Обычный 10 7 4 5 4 2" xfId="9118"/>
    <cellStyle name="Обычный 10 7 4 5 5" xfId="9119"/>
    <cellStyle name="Обычный 10 7 4 5 6" xfId="9120"/>
    <cellStyle name="Обычный 10 7 4 6" xfId="9121"/>
    <cellStyle name="Обычный 10 7 4 6 2" xfId="9122"/>
    <cellStyle name="Обычный 10 7 4 6 3" xfId="9123"/>
    <cellStyle name="Обычный 10 7 4 7" xfId="9124"/>
    <cellStyle name="Обычный 10 7 4 7 2" xfId="9125"/>
    <cellStyle name="Обычный 10 7 4 7 3" xfId="9126"/>
    <cellStyle name="Обычный 10 7 4 8" xfId="9127"/>
    <cellStyle name="Обычный 10 7 4 8 2" xfId="9128"/>
    <cellStyle name="Обычный 10 7 4 9" xfId="9129"/>
    <cellStyle name="Обычный 10 7 5" xfId="9130"/>
    <cellStyle name="Обычный 10 7 5 10" xfId="9131"/>
    <cellStyle name="Обычный 10 7 5 2" xfId="9132"/>
    <cellStyle name="Обычный 10 7 5 2 2" xfId="9133"/>
    <cellStyle name="Обычный 10 7 5 2 2 2" xfId="9134"/>
    <cellStyle name="Обычный 10 7 5 2 2 2 2" xfId="9135"/>
    <cellStyle name="Обычный 10 7 5 2 2 2 2 2" xfId="9136"/>
    <cellStyle name="Обычный 10 7 5 2 2 2 2 2 2" xfId="9137"/>
    <cellStyle name="Обычный 10 7 5 2 2 2 2 2 3" xfId="9138"/>
    <cellStyle name="Обычный 10 7 5 2 2 2 2 3" xfId="9139"/>
    <cellStyle name="Обычный 10 7 5 2 2 2 2 3 2" xfId="9140"/>
    <cellStyle name="Обычный 10 7 5 2 2 2 2 3 3" xfId="9141"/>
    <cellStyle name="Обычный 10 7 5 2 2 2 2 4" xfId="9142"/>
    <cellStyle name="Обычный 10 7 5 2 2 2 2 4 2" xfId="9143"/>
    <cellStyle name="Обычный 10 7 5 2 2 2 2 5" xfId="9144"/>
    <cellStyle name="Обычный 10 7 5 2 2 2 2 6" xfId="9145"/>
    <cellStyle name="Обычный 10 7 5 2 2 2 3" xfId="9146"/>
    <cellStyle name="Обычный 10 7 5 2 2 2 3 2" xfId="9147"/>
    <cellStyle name="Обычный 10 7 5 2 2 2 3 3" xfId="9148"/>
    <cellStyle name="Обычный 10 7 5 2 2 2 4" xfId="9149"/>
    <cellStyle name="Обычный 10 7 5 2 2 2 4 2" xfId="9150"/>
    <cellStyle name="Обычный 10 7 5 2 2 2 4 3" xfId="9151"/>
    <cellStyle name="Обычный 10 7 5 2 2 2 5" xfId="9152"/>
    <cellStyle name="Обычный 10 7 5 2 2 2 5 2" xfId="9153"/>
    <cellStyle name="Обычный 10 7 5 2 2 2 6" xfId="9154"/>
    <cellStyle name="Обычный 10 7 5 2 2 2 7" xfId="9155"/>
    <cellStyle name="Обычный 10 7 5 2 2 3" xfId="9156"/>
    <cellStyle name="Обычный 10 7 5 2 2 3 2" xfId="9157"/>
    <cellStyle name="Обычный 10 7 5 2 2 3 2 2" xfId="9158"/>
    <cellStyle name="Обычный 10 7 5 2 2 3 2 3" xfId="9159"/>
    <cellStyle name="Обычный 10 7 5 2 2 3 3" xfId="9160"/>
    <cellStyle name="Обычный 10 7 5 2 2 3 3 2" xfId="9161"/>
    <cellStyle name="Обычный 10 7 5 2 2 3 3 3" xfId="9162"/>
    <cellStyle name="Обычный 10 7 5 2 2 3 4" xfId="9163"/>
    <cellStyle name="Обычный 10 7 5 2 2 3 4 2" xfId="9164"/>
    <cellStyle name="Обычный 10 7 5 2 2 3 5" xfId="9165"/>
    <cellStyle name="Обычный 10 7 5 2 2 3 6" xfId="9166"/>
    <cellStyle name="Обычный 10 7 5 2 2 4" xfId="9167"/>
    <cellStyle name="Обычный 10 7 5 2 2 4 2" xfId="9168"/>
    <cellStyle name="Обычный 10 7 5 2 2 4 3" xfId="9169"/>
    <cellStyle name="Обычный 10 7 5 2 2 5" xfId="9170"/>
    <cellStyle name="Обычный 10 7 5 2 2 5 2" xfId="9171"/>
    <cellStyle name="Обычный 10 7 5 2 2 5 3" xfId="9172"/>
    <cellStyle name="Обычный 10 7 5 2 2 6" xfId="9173"/>
    <cellStyle name="Обычный 10 7 5 2 2 6 2" xfId="9174"/>
    <cellStyle name="Обычный 10 7 5 2 2 7" xfId="9175"/>
    <cellStyle name="Обычный 10 7 5 2 2 8" xfId="9176"/>
    <cellStyle name="Обычный 10 7 5 2 3" xfId="9177"/>
    <cellStyle name="Обычный 10 7 5 2 3 2" xfId="9178"/>
    <cellStyle name="Обычный 10 7 5 2 3 2 2" xfId="9179"/>
    <cellStyle name="Обычный 10 7 5 2 3 2 2 2" xfId="9180"/>
    <cellStyle name="Обычный 10 7 5 2 3 2 2 3" xfId="9181"/>
    <cellStyle name="Обычный 10 7 5 2 3 2 3" xfId="9182"/>
    <cellStyle name="Обычный 10 7 5 2 3 2 3 2" xfId="9183"/>
    <cellStyle name="Обычный 10 7 5 2 3 2 3 3" xfId="9184"/>
    <cellStyle name="Обычный 10 7 5 2 3 2 4" xfId="9185"/>
    <cellStyle name="Обычный 10 7 5 2 3 2 4 2" xfId="9186"/>
    <cellStyle name="Обычный 10 7 5 2 3 2 5" xfId="9187"/>
    <cellStyle name="Обычный 10 7 5 2 3 2 6" xfId="9188"/>
    <cellStyle name="Обычный 10 7 5 2 3 3" xfId="9189"/>
    <cellStyle name="Обычный 10 7 5 2 3 3 2" xfId="9190"/>
    <cellStyle name="Обычный 10 7 5 2 3 3 3" xfId="9191"/>
    <cellStyle name="Обычный 10 7 5 2 3 4" xfId="9192"/>
    <cellStyle name="Обычный 10 7 5 2 3 4 2" xfId="9193"/>
    <cellStyle name="Обычный 10 7 5 2 3 4 3" xfId="9194"/>
    <cellStyle name="Обычный 10 7 5 2 3 5" xfId="9195"/>
    <cellStyle name="Обычный 10 7 5 2 3 5 2" xfId="9196"/>
    <cellStyle name="Обычный 10 7 5 2 3 6" xfId="9197"/>
    <cellStyle name="Обычный 10 7 5 2 3 7" xfId="9198"/>
    <cellStyle name="Обычный 10 7 5 2 4" xfId="9199"/>
    <cellStyle name="Обычный 10 7 5 2 4 2" xfId="9200"/>
    <cellStyle name="Обычный 10 7 5 2 4 2 2" xfId="9201"/>
    <cellStyle name="Обычный 10 7 5 2 4 2 3" xfId="9202"/>
    <cellStyle name="Обычный 10 7 5 2 4 3" xfId="9203"/>
    <cellStyle name="Обычный 10 7 5 2 4 3 2" xfId="9204"/>
    <cellStyle name="Обычный 10 7 5 2 4 3 3" xfId="9205"/>
    <cellStyle name="Обычный 10 7 5 2 4 4" xfId="9206"/>
    <cellStyle name="Обычный 10 7 5 2 4 4 2" xfId="9207"/>
    <cellStyle name="Обычный 10 7 5 2 4 5" xfId="9208"/>
    <cellStyle name="Обычный 10 7 5 2 4 6" xfId="9209"/>
    <cellStyle name="Обычный 10 7 5 2 5" xfId="9210"/>
    <cellStyle name="Обычный 10 7 5 2 5 2" xfId="9211"/>
    <cellStyle name="Обычный 10 7 5 2 5 3" xfId="9212"/>
    <cellStyle name="Обычный 10 7 5 2 6" xfId="9213"/>
    <cellStyle name="Обычный 10 7 5 2 6 2" xfId="9214"/>
    <cellStyle name="Обычный 10 7 5 2 6 3" xfId="9215"/>
    <cellStyle name="Обычный 10 7 5 2 7" xfId="9216"/>
    <cellStyle name="Обычный 10 7 5 2 7 2" xfId="9217"/>
    <cellStyle name="Обычный 10 7 5 2 8" xfId="9218"/>
    <cellStyle name="Обычный 10 7 5 2 9" xfId="9219"/>
    <cellStyle name="Обычный 10 7 5 3" xfId="9220"/>
    <cellStyle name="Обычный 10 7 5 3 2" xfId="9221"/>
    <cellStyle name="Обычный 10 7 5 3 2 2" xfId="9222"/>
    <cellStyle name="Обычный 10 7 5 3 2 2 2" xfId="9223"/>
    <cellStyle name="Обычный 10 7 5 3 2 2 2 2" xfId="9224"/>
    <cellStyle name="Обычный 10 7 5 3 2 2 2 3" xfId="9225"/>
    <cellStyle name="Обычный 10 7 5 3 2 2 3" xfId="9226"/>
    <cellStyle name="Обычный 10 7 5 3 2 2 3 2" xfId="9227"/>
    <cellStyle name="Обычный 10 7 5 3 2 2 3 3" xfId="9228"/>
    <cellStyle name="Обычный 10 7 5 3 2 2 4" xfId="9229"/>
    <cellStyle name="Обычный 10 7 5 3 2 2 4 2" xfId="9230"/>
    <cellStyle name="Обычный 10 7 5 3 2 2 5" xfId="9231"/>
    <cellStyle name="Обычный 10 7 5 3 2 2 6" xfId="9232"/>
    <cellStyle name="Обычный 10 7 5 3 2 3" xfId="9233"/>
    <cellStyle name="Обычный 10 7 5 3 2 3 2" xfId="9234"/>
    <cellStyle name="Обычный 10 7 5 3 2 3 3" xfId="9235"/>
    <cellStyle name="Обычный 10 7 5 3 2 4" xfId="9236"/>
    <cellStyle name="Обычный 10 7 5 3 2 4 2" xfId="9237"/>
    <cellStyle name="Обычный 10 7 5 3 2 4 3" xfId="9238"/>
    <cellStyle name="Обычный 10 7 5 3 2 5" xfId="9239"/>
    <cellStyle name="Обычный 10 7 5 3 2 5 2" xfId="9240"/>
    <cellStyle name="Обычный 10 7 5 3 2 6" xfId="9241"/>
    <cellStyle name="Обычный 10 7 5 3 2 7" xfId="9242"/>
    <cellStyle name="Обычный 10 7 5 3 3" xfId="9243"/>
    <cellStyle name="Обычный 10 7 5 3 3 2" xfId="9244"/>
    <cellStyle name="Обычный 10 7 5 3 3 2 2" xfId="9245"/>
    <cellStyle name="Обычный 10 7 5 3 3 2 3" xfId="9246"/>
    <cellStyle name="Обычный 10 7 5 3 3 3" xfId="9247"/>
    <cellStyle name="Обычный 10 7 5 3 3 3 2" xfId="9248"/>
    <cellStyle name="Обычный 10 7 5 3 3 3 3" xfId="9249"/>
    <cellStyle name="Обычный 10 7 5 3 3 4" xfId="9250"/>
    <cellStyle name="Обычный 10 7 5 3 3 4 2" xfId="9251"/>
    <cellStyle name="Обычный 10 7 5 3 3 5" xfId="9252"/>
    <cellStyle name="Обычный 10 7 5 3 3 6" xfId="9253"/>
    <cellStyle name="Обычный 10 7 5 3 4" xfId="9254"/>
    <cellStyle name="Обычный 10 7 5 3 4 2" xfId="9255"/>
    <cellStyle name="Обычный 10 7 5 3 4 3" xfId="9256"/>
    <cellStyle name="Обычный 10 7 5 3 5" xfId="9257"/>
    <cellStyle name="Обычный 10 7 5 3 5 2" xfId="9258"/>
    <cellStyle name="Обычный 10 7 5 3 5 3" xfId="9259"/>
    <cellStyle name="Обычный 10 7 5 3 6" xfId="9260"/>
    <cellStyle name="Обычный 10 7 5 3 6 2" xfId="9261"/>
    <cellStyle name="Обычный 10 7 5 3 7" xfId="9262"/>
    <cellStyle name="Обычный 10 7 5 3 8" xfId="9263"/>
    <cellStyle name="Обычный 10 7 5 4" xfId="9264"/>
    <cellStyle name="Обычный 10 7 5 4 2" xfId="9265"/>
    <cellStyle name="Обычный 10 7 5 4 2 2" xfId="9266"/>
    <cellStyle name="Обычный 10 7 5 4 2 2 2" xfId="9267"/>
    <cellStyle name="Обычный 10 7 5 4 2 2 3" xfId="9268"/>
    <cellStyle name="Обычный 10 7 5 4 2 3" xfId="9269"/>
    <cellStyle name="Обычный 10 7 5 4 2 3 2" xfId="9270"/>
    <cellStyle name="Обычный 10 7 5 4 2 3 3" xfId="9271"/>
    <cellStyle name="Обычный 10 7 5 4 2 4" xfId="9272"/>
    <cellStyle name="Обычный 10 7 5 4 2 4 2" xfId="9273"/>
    <cellStyle name="Обычный 10 7 5 4 2 5" xfId="9274"/>
    <cellStyle name="Обычный 10 7 5 4 2 6" xfId="9275"/>
    <cellStyle name="Обычный 10 7 5 4 3" xfId="9276"/>
    <cellStyle name="Обычный 10 7 5 4 3 2" xfId="9277"/>
    <cellStyle name="Обычный 10 7 5 4 3 3" xfId="9278"/>
    <cellStyle name="Обычный 10 7 5 4 4" xfId="9279"/>
    <cellStyle name="Обычный 10 7 5 4 4 2" xfId="9280"/>
    <cellStyle name="Обычный 10 7 5 4 4 3" xfId="9281"/>
    <cellStyle name="Обычный 10 7 5 4 5" xfId="9282"/>
    <cellStyle name="Обычный 10 7 5 4 5 2" xfId="9283"/>
    <cellStyle name="Обычный 10 7 5 4 6" xfId="9284"/>
    <cellStyle name="Обычный 10 7 5 4 7" xfId="9285"/>
    <cellStyle name="Обычный 10 7 5 5" xfId="9286"/>
    <cellStyle name="Обычный 10 7 5 5 2" xfId="9287"/>
    <cellStyle name="Обычный 10 7 5 5 2 2" xfId="9288"/>
    <cellStyle name="Обычный 10 7 5 5 2 3" xfId="9289"/>
    <cellStyle name="Обычный 10 7 5 5 3" xfId="9290"/>
    <cellStyle name="Обычный 10 7 5 5 3 2" xfId="9291"/>
    <cellStyle name="Обычный 10 7 5 5 3 3" xfId="9292"/>
    <cellStyle name="Обычный 10 7 5 5 4" xfId="9293"/>
    <cellStyle name="Обычный 10 7 5 5 4 2" xfId="9294"/>
    <cellStyle name="Обычный 10 7 5 5 5" xfId="9295"/>
    <cellStyle name="Обычный 10 7 5 5 6" xfId="9296"/>
    <cellStyle name="Обычный 10 7 5 6" xfId="9297"/>
    <cellStyle name="Обычный 10 7 5 6 2" xfId="9298"/>
    <cellStyle name="Обычный 10 7 5 6 3" xfId="9299"/>
    <cellStyle name="Обычный 10 7 5 7" xfId="9300"/>
    <cellStyle name="Обычный 10 7 5 7 2" xfId="9301"/>
    <cellStyle name="Обычный 10 7 5 7 3" xfId="9302"/>
    <cellStyle name="Обычный 10 7 5 8" xfId="9303"/>
    <cellStyle name="Обычный 10 7 5 8 2" xfId="9304"/>
    <cellStyle name="Обычный 10 7 5 9" xfId="9305"/>
    <cellStyle name="Обычный 10 7 6" xfId="9306"/>
    <cellStyle name="Обычный 10 7 6 2" xfId="9307"/>
    <cellStyle name="Обычный 10 7 6 2 2" xfId="9308"/>
    <cellStyle name="Обычный 10 7 6 2 2 2" xfId="9309"/>
    <cellStyle name="Обычный 10 7 6 2 2 2 2" xfId="9310"/>
    <cellStyle name="Обычный 10 7 6 2 2 2 2 2" xfId="9311"/>
    <cellStyle name="Обычный 10 7 6 2 2 2 2 3" xfId="9312"/>
    <cellStyle name="Обычный 10 7 6 2 2 2 3" xfId="9313"/>
    <cellStyle name="Обычный 10 7 6 2 2 2 3 2" xfId="9314"/>
    <cellStyle name="Обычный 10 7 6 2 2 2 3 3" xfId="9315"/>
    <cellStyle name="Обычный 10 7 6 2 2 2 4" xfId="9316"/>
    <cellStyle name="Обычный 10 7 6 2 2 2 4 2" xfId="9317"/>
    <cellStyle name="Обычный 10 7 6 2 2 2 5" xfId="9318"/>
    <cellStyle name="Обычный 10 7 6 2 2 2 6" xfId="9319"/>
    <cellStyle name="Обычный 10 7 6 2 2 3" xfId="9320"/>
    <cellStyle name="Обычный 10 7 6 2 2 3 2" xfId="9321"/>
    <cellStyle name="Обычный 10 7 6 2 2 3 3" xfId="9322"/>
    <cellStyle name="Обычный 10 7 6 2 2 4" xfId="9323"/>
    <cellStyle name="Обычный 10 7 6 2 2 4 2" xfId="9324"/>
    <cellStyle name="Обычный 10 7 6 2 2 4 3" xfId="9325"/>
    <cellStyle name="Обычный 10 7 6 2 2 5" xfId="9326"/>
    <cellStyle name="Обычный 10 7 6 2 2 5 2" xfId="9327"/>
    <cellStyle name="Обычный 10 7 6 2 2 6" xfId="9328"/>
    <cellStyle name="Обычный 10 7 6 2 2 7" xfId="9329"/>
    <cellStyle name="Обычный 10 7 6 2 3" xfId="9330"/>
    <cellStyle name="Обычный 10 7 6 2 3 2" xfId="9331"/>
    <cellStyle name="Обычный 10 7 6 2 3 2 2" xfId="9332"/>
    <cellStyle name="Обычный 10 7 6 2 3 2 3" xfId="9333"/>
    <cellStyle name="Обычный 10 7 6 2 3 3" xfId="9334"/>
    <cellStyle name="Обычный 10 7 6 2 3 3 2" xfId="9335"/>
    <cellStyle name="Обычный 10 7 6 2 3 3 3" xfId="9336"/>
    <cellStyle name="Обычный 10 7 6 2 3 4" xfId="9337"/>
    <cellStyle name="Обычный 10 7 6 2 3 4 2" xfId="9338"/>
    <cellStyle name="Обычный 10 7 6 2 3 5" xfId="9339"/>
    <cellStyle name="Обычный 10 7 6 2 3 6" xfId="9340"/>
    <cellStyle name="Обычный 10 7 6 2 4" xfId="9341"/>
    <cellStyle name="Обычный 10 7 6 2 4 2" xfId="9342"/>
    <cellStyle name="Обычный 10 7 6 2 4 3" xfId="9343"/>
    <cellStyle name="Обычный 10 7 6 2 5" xfId="9344"/>
    <cellStyle name="Обычный 10 7 6 2 5 2" xfId="9345"/>
    <cellStyle name="Обычный 10 7 6 2 5 3" xfId="9346"/>
    <cellStyle name="Обычный 10 7 6 2 6" xfId="9347"/>
    <cellStyle name="Обычный 10 7 6 2 6 2" xfId="9348"/>
    <cellStyle name="Обычный 10 7 6 2 7" xfId="9349"/>
    <cellStyle name="Обычный 10 7 6 2 8" xfId="9350"/>
    <cellStyle name="Обычный 10 7 6 3" xfId="9351"/>
    <cellStyle name="Обычный 10 7 6 3 2" xfId="9352"/>
    <cellStyle name="Обычный 10 7 6 3 2 2" xfId="9353"/>
    <cellStyle name="Обычный 10 7 6 3 2 2 2" xfId="9354"/>
    <cellStyle name="Обычный 10 7 6 3 2 2 3" xfId="9355"/>
    <cellStyle name="Обычный 10 7 6 3 2 3" xfId="9356"/>
    <cellStyle name="Обычный 10 7 6 3 2 3 2" xfId="9357"/>
    <cellStyle name="Обычный 10 7 6 3 2 3 3" xfId="9358"/>
    <cellStyle name="Обычный 10 7 6 3 2 4" xfId="9359"/>
    <cellStyle name="Обычный 10 7 6 3 2 4 2" xfId="9360"/>
    <cellStyle name="Обычный 10 7 6 3 2 5" xfId="9361"/>
    <cellStyle name="Обычный 10 7 6 3 2 6" xfId="9362"/>
    <cellStyle name="Обычный 10 7 6 3 3" xfId="9363"/>
    <cellStyle name="Обычный 10 7 6 3 3 2" xfId="9364"/>
    <cellStyle name="Обычный 10 7 6 3 3 3" xfId="9365"/>
    <cellStyle name="Обычный 10 7 6 3 4" xfId="9366"/>
    <cellStyle name="Обычный 10 7 6 3 4 2" xfId="9367"/>
    <cellStyle name="Обычный 10 7 6 3 4 3" xfId="9368"/>
    <cellStyle name="Обычный 10 7 6 3 5" xfId="9369"/>
    <cellStyle name="Обычный 10 7 6 3 5 2" xfId="9370"/>
    <cellStyle name="Обычный 10 7 6 3 6" xfId="9371"/>
    <cellStyle name="Обычный 10 7 6 3 7" xfId="9372"/>
    <cellStyle name="Обычный 10 7 6 4" xfId="9373"/>
    <cellStyle name="Обычный 10 7 6 4 2" xfId="9374"/>
    <cellStyle name="Обычный 10 7 6 4 2 2" xfId="9375"/>
    <cellStyle name="Обычный 10 7 6 4 2 3" xfId="9376"/>
    <cellStyle name="Обычный 10 7 6 4 3" xfId="9377"/>
    <cellStyle name="Обычный 10 7 6 4 3 2" xfId="9378"/>
    <cellStyle name="Обычный 10 7 6 4 3 3" xfId="9379"/>
    <cellStyle name="Обычный 10 7 6 4 4" xfId="9380"/>
    <cellStyle name="Обычный 10 7 6 4 4 2" xfId="9381"/>
    <cellStyle name="Обычный 10 7 6 4 5" xfId="9382"/>
    <cellStyle name="Обычный 10 7 6 4 6" xfId="9383"/>
    <cellStyle name="Обычный 10 7 6 5" xfId="9384"/>
    <cellStyle name="Обычный 10 7 6 5 2" xfId="9385"/>
    <cellStyle name="Обычный 10 7 6 5 3" xfId="9386"/>
    <cellStyle name="Обычный 10 7 6 6" xfId="9387"/>
    <cellStyle name="Обычный 10 7 6 6 2" xfId="9388"/>
    <cellStyle name="Обычный 10 7 6 6 3" xfId="9389"/>
    <cellStyle name="Обычный 10 7 6 7" xfId="9390"/>
    <cellStyle name="Обычный 10 7 6 7 2" xfId="9391"/>
    <cellStyle name="Обычный 10 7 6 8" xfId="9392"/>
    <cellStyle name="Обычный 10 7 6 9" xfId="9393"/>
    <cellStyle name="Обычный 10 7 7" xfId="9394"/>
    <cellStyle name="Обычный 10 7 7 2" xfId="9395"/>
    <cellStyle name="Обычный 10 7 7 2 2" xfId="9396"/>
    <cellStyle name="Обычный 10 7 7 2 2 2" xfId="9397"/>
    <cellStyle name="Обычный 10 7 7 2 2 2 2" xfId="9398"/>
    <cellStyle name="Обычный 10 7 7 2 2 2 3" xfId="9399"/>
    <cellStyle name="Обычный 10 7 7 2 2 3" xfId="9400"/>
    <cellStyle name="Обычный 10 7 7 2 2 3 2" xfId="9401"/>
    <cellStyle name="Обычный 10 7 7 2 2 3 3" xfId="9402"/>
    <cellStyle name="Обычный 10 7 7 2 2 4" xfId="9403"/>
    <cellStyle name="Обычный 10 7 7 2 2 4 2" xfId="9404"/>
    <cellStyle name="Обычный 10 7 7 2 2 5" xfId="9405"/>
    <cellStyle name="Обычный 10 7 7 2 2 6" xfId="9406"/>
    <cellStyle name="Обычный 10 7 7 2 3" xfId="9407"/>
    <cellStyle name="Обычный 10 7 7 2 3 2" xfId="9408"/>
    <cellStyle name="Обычный 10 7 7 2 3 3" xfId="9409"/>
    <cellStyle name="Обычный 10 7 7 2 4" xfId="9410"/>
    <cellStyle name="Обычный 10 7 7 2 4 2" xfId="9411"/>
    <cellStyle name="Обычный 10 7 7 2 4 3" xfId="9412"/>
    <cellStyle name="Обычный 10 7 7 2 5" xfId="9413"/>
    <cellStyle name="Обычный 10 7 7 2 5 2" xfId="9414"/>
    <cellStyle name="Обычный 10 7 7 2 6" xfId="9415"/>
    <cellStyle name="Обычный 10 7 7 2 7" xfId="9416"/>
    <cellStyle name="Обычный 10 7 7 3" xfId="9417"/>
    <cellStyle name="Обычный 10 7 7 3 2" xfId="9418"/>
    <cellStyle name="Обычный 10 7 7 3 2 2" xfId="9419"/>
    <cellStyle name="Обычный 10 7 7 3 2 3" xfId="9420"/>
    <cellStyle name="Обычный 10 7 7 3 3" xfId="9421"/>
    <cellStyle name="Обычный 10 7 7 3 3 2" xfId="9422"/>
    <cellStyle name="Обычный 10 7 7 3 3 3" xfId="9423"/>
    <cellStyle name="Обычный 10 7 7 3 4" xfId="9424"/>
    <cellStyle name="Обычный 10 7 7 3 4 2" xfId="9425"/>
    <cellStyle name="Обычный 10 7 7 3 5" xfId="9426"/>
    <cellStyle name="Обычный 10 7 7 3 6" xfId="9427"/>
    <cellStyle name="Обычный 10 7 7 4" xfId="9428"/>
    <cellStyle name="Обычный 10 7 7 4 2" xfId="9429"/>
    <cellStyle name="Обычный 10 7 7 4 3" xfId="9430"/>
    <cellStyle name="Обычный 10 7 7 5" xfId="9431"/>
    <cellStyle name="Обычный 10 7 7 5 2" xfId="9432"/>
    <cellStyle name="Обычный 10 7 7 5 3" xfId="9433"/>
    <cellStyle name="Обычный 10 7 7 6" xfId="9434"/>
    <cellStyle name="Обычный 10 7 7 6 2" xfId="9435"/>
    <cellStyle name="Обычный 10 7 7 7" xfId="9436"/>
    <cellStyle name="Обычный 10 7 7 8" xfId="9437"/>
    <cellStyle name="Обычный 10 7 8" xfId="9438"/>
    <cellStyle name="Обычный 10 7 8 2" xfId="9439"/>
    <cellStyle name="Обычный 10 7 8 2 2" xfId="9440"/>
    <cellStyle name="Обычный 10 7 8 2 2 2" xfId="9441"/>
    <cellStyle name="Обычный 10 7 8 2 2 3" xfId="9442"/>
    <cellStyle name="Обычный 10 7 8 2 3" xfId="9443"/>
    <cellStyle name="Обычный 10 7 8 2 3 2" xfId="9444"/>
    <cellStyle name="Обычный 10 7 8 2 3 3" xfId="9445"/>
    <cellStyle name="Обычный 10 7 8 2 4" xfId="9446"/>
    <cellStyle name="Обычный 10 7 8 2 4 2" xfId="9447"/>
    <cellStyle name="Обычный 10 7 8 2 5" xfId="9448"/>
    <cellStyle name="Обычный 10 7 8 2 6" xfId="9449"/>
    <cellStyle name="Обычный 10 7 8 3" xfId="9450"/>
    <cellStyle name="Обычный 10 7 8 3 2" xfId="9451"/>
    <cellStyle name="Обычный 10 7 8 3 3" xfId="9452"/>
    <cellStyle name="Обычный 10 7 8 4" xfId="9453"/>
    <cellStyle name="Обычный 10 7 8 4 2" xfId="9454"/>
    <cellStyle name="Обычный 10 7 8 4 3" xfId="9455"/>
    <cellStyle name="Обычный 10 7 8 5" xfId="9456"/>
    <cellStyle name="Обычный 10 7 8 5 2" xfId="9457"/>
    <cellStyle name="Обычный 10 7 8 6" xfId="9458"/>
    <cellStyle name="Обычный 10 7 8 7" xfId="9459"/>
    <cellStyle name="Обычный 10 7 9" xfId="9460"/>
    <cellStyle name="Обычный 10 7 9 2" xfId="9461"/>
    <cellStyle name="Обычный 10 7 9 2 2" xfId="9462"/>
    <cellStyle name="Обычный 10 7 9 2 3" xfId="9463"/>
    <cellStyle name="Обычный 10 7 9 3" xfId="9464"/>
    <cellStyle name="Обычный 10 7 9 3 2" xfId="9465"/>
    <cellStyle name="Обычный 10 7 9 3 3" xfId="9466"/>
    <cellStyle name="Обычный 10 7 9 4" xfId="9467"/>
    <cellStyle name="Обычный 10 7 9 4 2" xfId="9468"/>
    <cellStyle name="Обычный 10 7 9 5" xfId="9469"/>
    <cellStyle name="Обычный 10 7 9 6" xfId="9470"/>
    <cellStyle name="Обычный 10 8" xfId="9471"/>
    <cellStyle name="Обычный 10 8 10" xfId="9472"/>
    <cellStyle name="Обычный 10 8 10 2" xfId="9473"/>
    <cellStyle name="Обычный 10 8 10 3" xfId="9474"/>
    <cellStyle name="Обычный 10 8 11" xfId="9475"/>
    <cellStyle name="Обычный 10 8 11 2" xfId="9476"/>
    <cellStyle name="Обычный 10 8 11 3" xfId="9477"/>
    <cellStyle name="Обычный 10 8 12" xfId="9478"/>
    <cellStyle name="Обычный 10 8 12 2" xfId="9479"/>
    <cellStyle name="Обычный 10 8 13" xfId="9480"/>
    <cellStyle name="Обычный 10 8 14" xfId="9481"/>
    <cellStyle name="Обычный 10 8 2" xfId="9482"/>
    <cellStyle name="Обычный 10 8 2 10" xfId="9483"/>
    <cellStyle name="Обычный 10 8 2 10 2" xfId="9484"/>
    <cellStyle name="Обычный 10 8 2 10 3" xfId="9485"/>
    <cellStyle name="Обычный 10 8 2 11" xfId="9486"/>
    <cellStyle name="Обычный 10 8 2 11 2" xfId="9487"/>
    <cellStyle name="Обычный 10 8 2 12" xfId="9488"/>
    <cellStyle name="Обычный 10 8 2 13" xfId="9489"/>
    <cellStyle name="Обычный 10 8 2 2" xfId="9490"/>
    <cellStyle name="Обычный 10 8 2 2 10" xfId="9491"/>
    <cellStyle name="Обычный 10 8 2 2 2" xfId="9492"/>
    <cellStyle name="Обычный 10 8 2 2 2 2" xfId="9493"/>
    <cellStyle name="Обычный 10 8 2 2 2 2 2" xfId="9494"/>
    <cellStyle name="Обычный 10 8 2 2 2 2 2 2" xfId="9495"/>
    <cellStyle name="Обычный 10 8 2 2 2 2 2 2 2" xfId="9496"/>
    <cellStyle name="Обычный 10 8 2 2 2 2 2 2 2 2" xfId="9497"/>
    <cellStyle name="Обычный 10 8 2 2 2 2 2 2 2 3" xfId="9498"/>
    <cellStyle name="Обычный 10 8 2 2 2 2 2 2 3" xfId="9499"/>
    <cellStyle name="Обычный 10 8 2 2 2 2 2 2 3 2" xfId="9500"/>
    <cellStyle name="Обычный 10 8 2 2 2 2 2 2 3 3" xfId="9501"/>
    <cellStyle name="Обычный 10 8 2 2 2 2 2 2 4" xfId="9502"/>
    <cellStyle name="Обычный 10 8 2 2 2 2 2 2 4 2" xfId="9503"/>
    <cellStyle name="Обычный 10 8 2 2 2 2 2 2 5" xfId="9504"/>
    <cellStyle name="Обычный 10 8 2 2 2 2 2 2 6" xfId="9505"/>
    <cellStyle name="Обычный 10 8 2 2 2 2 2 3" xfId="9506"/>
    <cellStyle name="Обычный 10 8 2 2 2 2 2 3 2" xfId="9507"/>
    <cellStyle name="Обычный 10 8 2 2 2 2 2 3 3" xfId="9508"/>
    <cellStyle name="Обычный 10 8 2 2 2 2 2 4" xfId="9509"/>
    <cellStyle name="Обычный 10 8 2 2 2 2 2 4 2" xfId="9510"/>
    <cellStyle name="Обычный 10 8 2 2 2 2 2 4 3" xfId="9511"/>
    <cellStyle name="Обычный 10 8 2 2 2 2 2 5" xfId="9512"/>
    <cellStyle name="Обычный 10 8 2 2 2 2 2 5 2" xfId="9513"/>
    <cellStyle name="Обычный 10 8 2 2 2 2 2 6" xfId="9514"/>
    <cellStyle name="Обычный 10 8 2 2 2 2 2 7" xfId="9515"/>
    <cellStyle name="Обычный 10 8 2 2 2 2 3" xfId="9516"/>
    <cellStyle name="Обычный 10 8 2 2 2 2 3 2" xfId="9517"/>
    <cellStyle name="Обычный 10 8 2 2 2 2 3 2 2" xfId="9518"/>
    <cellStyle name="Обычный 10 8 2 2 2 2 3 2 3" xfId="9519"/>
    <cellStyle name="Обычный 10 8 2 2 2 2 3 3" xfId="9520"/>
    <cellStyle name="Обычный 10 8 2 2 2 2 3 3 2" xfId="9521"/>
    <cellStyle name="Обычный 10 8 2 2 2 2 3 3 3" xfId="9522"/>
    <cellStyle name="Обычный 10 8 2 2 2 2 3 4" xfId="9523"/>
    <cellStyle name="Обычный 10 8 2 2 2 2 3 4 2" xfId="9524"/>
    <cellStyle name="Обычный 10 8 2 2 2 2 3 5" xfId="9525"/>
    <cellStyle name="Обычный 10 8 2 2 2 2 3 6" xfId="9526"/>
    <cellStyle name="Обычный 10 8 2 2 2 2 4" xfId="9527"/>
    <cellStyle name="Обычный 10 8 2 2 2 2 4 2" xfId="9528"/>
    <cellStyle name="Обычный 10 8 2 2 2 2 4 3" xfId="9529"/>
    <cellStyle name="Обычный 10 8 2 2 2 2 5" xfId="9530"/>
    <cellStyle name="Обычный 10 8 2 2 2 2 5 2" xfId="9531"/>
    <cellStyle name="Обычный 10 8 2 2 2 2 5 3" xfId="9532"/>
    <cellStyle name="Обычный 10 8 2 2 2 2 6" xfId="9533"/>
    <cellStyle name="Обычный 10 8 2 2 2 2 6 2" xfId="9534"/>
    <cellStyle name="Обычный 10 8 2 2 2 2 7" xfId="9535"/>
    <cellStyle name="Обычный 10 8 2 2 2 2 8" xfId="9536"/>
    <cellStyle name="Обычный 10 8 2 2 2 3" xfId="9537"/>
    <cellStyle name="Обычный 10 8 2 2 2 3 2" xfId="9538"/>
    <cellStyle name="Обычный 10 8 2 2 2 3 2 2" xfId="9539"/>
    <cellStyle name="Обычный 10 8 2 2 2 3 2 2 2" xfId="9540"/>
    <cellStyle name="Обычный 10 8 2 2 2 3 2 2 3" xfId="9541"/>
    <cellStyle name="Обычный 10 8 2 2 2 3 2 3" xfId="9542"/>
    <cellStyle name="Обычный 10 8 2 2 2 3 2 3 2" xfId="9543"/>
    <cellStyle name="Обычный 10 8 2 2 2 3 2 3 3" xfId="9544"/>
    <cellStyle name="Обычный 10 8 2 2 2 3 2 4" xfId="9545"/>
    <cellStyle name="Обычный 10 8 2 2 2 3 2 4 2" xfId="9546"/>
    <cellStyle name="Обычный 10 8 2 2 2 3 2 5" xfId="9547"/>
    <cellStyle name="Обычный 10 8 2 2 2 3 2 6" xfId="9548"/>
    <cellStyle name="Обычный 10 8 2 2 2 3 3" xfId="9549"/>
    <cellStyle name="Обычный 10 8 2 2 2 3 3 2" xfId="9550"/>
    <cellStyle name="Обычный 10 8 2 2 2 3 3 3" xfId="9551"/>
    <cellStyle name="Обычный 10 8 2 2 2 3 4" xfId="9552"/>
    <cellStyle name="Обычный 10 8 2 2 2 3 4 2" xfId="9553"/>
    <cellStyle name="Обычный 10 8 2 2 2 3 4 3" xfId="9554"/>
    <cellStyle name="Обычный 10 8 2 2 2 3 5" xfId="9555"/>
    <cellStyle name="Обычный 10 8 2 2 2 3 5 2" xfId="9556"/>
    <cellStyle name="Обычный 10 8 2 2 2 3 6" xfId="9557"/>
    <cellStyle name="Обычный 10 8 2 2 2 3 7" xfId="9558"/>
    <cellStyle name="Обычный 10 8 2 2 2 4" xfId="9559"/>
    <cellStyle name="Обычный 10 8 2 2 2 4 2" xfId="9560"/>
    <cellStyle name="Обычный 10 8 2 2 2 4 2 2" xfId="9561"/>
    <cellStyle name="Обычный 10 8 2 2 2 4 2 3" xfId="9562"/>
    <cellStyle name="Обычный 10 8 2 2 2 4 3" xfId="9563"/>
    <cellStyle name="Обычный 10 8 2 2 2 4 3 2" xfId="9564"/>
    <cellStyle name="Обычный 10 8 2 2 2 4 3 3" xfId="9565"/>
    <cellStyle name="Обычный 10 8 2 2 2 4 4" xfId="9566"/>
    <cellStyle name="Обычный 10 8 2 2 2 4 4 2" xfId="9567"/>
    <cellStyle name="Обычный 10 8 2 2 2 4 5" xfId="9568"/>
    <cellStyle name="Обычный 10 8 2 2 2 4 6" xfId="9569"/>
    <cellStyle name="Обычный 10 8 2 2 2 5" xfId="9570"/>
    <cellStyle name="Обычный 10 8 2 2 2 5 2" xfId="9571"/>
    <cellStyle name="Обычный 10 8 2 2 2 5 3" xfId="9572"/>
    <cellStyle name="Обычный 10 8 2 2 2 6" xfId="9573"/>
    <cellStyle name="Обычный 10 8 2 2 2 6 2" xfId="9574"/>
    <cellStyle name="Обычный 10 8 2 2 2 6 3" xfId="9575"/>
    <cellStyle name="Обычный 10 8 2 2 2 7" xfId="9576"/>
    <cellStyle name="Обычный 10 8 2 2 2 7 2" xfId="9577"/>
    <cellStyle name="Обычный 10 8 2 2 2 8" xfId="9578"/>
    <cellStyle name="Обычный 10 8 2 2 2 9" xfId="9579"/>
    <cellStyle name="Обычный 10 8 2 2 3" xfId="9580"/>
    <cellStyle name="Обычный 10 8 2 2 3 2" xfId="9581"/>
    <cellStyle name="Обычный 10 8 2 2 3 2 2" xfId="9582"/>
    <cellStyle name="Обычный 10 8 2 2 3 2 2 2" xfId="9583"/>
    <cellStyle name="Обычный 10 8 2 2 3 2 2 2 2" xfId="9584"/>
    <cellStyle name="Обычный 10 8 2 2 3 2 2 2 3" xfId="9585"/>
    <cellStyle name="Обычный 10 8 2 2 3 2 2 3" xfId="9586"/>
    <cellStyle name="Обычный 10 8 2 2 3 2 2 3 2" xfId="9587"/>
    <cellStyle name="Обычный 10 8 2 2 3 2 2 3 3" xfId="9588"/>
    <cellStyle name="Обычный 10 8 2 2 3 2 2 4" xfId="9589"/>
    <cellStyle name="Обычный 10 8 2 2 3 2 2 4 2" xfId="9590"/>
    <cellStyle name="Обычный 10 8 2 2 3 2 2 5" xfId="9591"/>
    <cellStyle name="Обычный 10 8 2 2 3 2 2 6" xfId="9592"/>
    <cellStyle name="Обычный 10 8 2 2 3 2 3" xfId="9593"/>
    <cellStyle name="Обычный 10 8 2 2 3 2 3 2" xfId="9594"/>
    <cellStyle name="Обычный 10 8 2 2 3 2 3 3" xfId="9595"/>
    <cellStyle name="Обычный 10 8 2 2 3 2 4" xfId="9596"/>
    <cellStyle name="Обычный 10 8 2 2 3 2 4 2" xfId="9597"/>
    <cellStyle name="Обычный 10 8 2 2 3 2 4 3" xfId="9598"/>
    <cellStyle name="Обычный 10 8 2 2 3 2 5" xfId="9599"/>
    <cellStyle name="Обычный 10 8 2 2 3 2 5 2" xfId="9600"/>
    <cellStyle name="Обычный 10 8 2 2 3 2 6" xfId="9601"/>
    <cellStyle name="Обычный 10 8 2 2 3 2 7" xfId="9602"/>
    <cellStyle name="Обычный 10 8 2 2 3 3" xfId="9603"/>
    <cellStyle name="Обычный 10 8 2 2 3 3 2" xfId="9604"/>
    <cellStyle name="Обычный 10 8 2 2 3 3 2 2" xfId="9605"/>
    <cellStyle name="Обычный 10 8 2 2 3 3 2 3" xfId="9606"/>
    <cellStyle name="Обычный 10 8 2 2 3 3 3" xfId="9607"/>
    <cellStyle name="Обычный 10 8 2 2 3 3 3 2" xfId="9608"/>
    <cellStyle name="Обычный 10 8 2 2 3 3 3 3" xfId="9609"/>
    <cellStyle name="Обычный 10 8 2 2 3 3 4" xfId="9610"/>
    <cellStyle name="Обычный 10 8 2 2 3 3 4 2" xfId="9611"/>
    <cellStyle name="Обычный 10 8 2 2 3 3 5" xfId="9612"/>
    <cellStyle name="Обычный 10 8 2 2 3 3 6" xfId="9613"/>
    <cellStyle name="Обычный 10 8 2 2 3 4" xfId="9614"/>
    <cellStyle name="Обычный 10 8 2 2 3 4 2" xfId="9615"/>
    <cellStyle name="Обычный 10 8 2 2 3 4 3" xfId="9616"/>
    <cellStyle name="Обычный 10 8 2 2 3 5" xfId="9617"/>
    <cellStyle name="Обычный 10 8 2 2 3 5 2" xfId="9618"/>
    <cellStyle name="Обычный 10 8 2 2 3 5 3" xfId="9619"/>
    <cellStyle name="Обычный 10 8 2 2 3 6" xfId="9620"/>
    <cellStyle name="Обычный 10 8 2 2 3 6 2" xfId="9621"/>
    <cellStyle name="Обычный 10 8 2 2 3 7" xfId="9622"/>
    <cellStyle name="Обычный 10 8 2 2 3 8" xfId="9623"/>
    <cellStyle name="Обычный 10 8 2 2 4" xfId="9624"/>
    <cellStyle name="Обычный 10 8 2 2 4 2" xfId="9625"/>
    <cellStyle name="Обычный 10 8 2 2 4 2 2" xfId="9626"/>
    <cellStyle name="Обычный 10 8 2 2 4 2 2 2" xfId="9627"/>
    <cellStyle name="Обычный 10 8 2 2 4 2 2 3" xfId="9628"/>
    <cellStyle name="Обычный 10 8 2 2 4 2 3" xfId="9629"/>
    <cellStyle name="Обычный 10 8 2 2 4 2 3 2" xfId="9630"/>
    <cellStyle name="Обычный 10 8 2 2 4 2 3 3" xfId="9631"/>
    <cellStyle name="Обычный 10 8 2 2 4 2 4" xfId="9632"/>
    <cellStyle name="Обычный 10 8 2 2 4 2 4 2" xfId="9633"/>
    <cellStyle name="Обычный 10 8 2 2 4 2 5" xfId="9634"/>
    <cellStyle name="Обычный 10 8 2 2 4 2 6" xfId="9635"/>
    <cellStyle name="Обычный 10 8 2 2 4 3" xfId="9636"/>
    <cellStyle name="Обычный 10 8 2 2 4 3 2" xfId="9637"/>
    <cellStyle name="Обычный 10 8 2 2 4 3 3" xfId="9638"/>
    <cellStyle name="Обычный 10 8 2 2 4 4" xfId="9639"/>
    <cellStyle name="Обычный 10 8 2 2 4 4 2" xfId="9640"/>
    <cellStyle name="Обычный 10 8 2 2 4 4 3" xfId="9641"/>
    <cellStyle name="Обычный 10 8 2 2 4 5" xfId="9642"/>
    <cellStyle name="Обычный 10 8 2 2 4 5 2" xfId="9643"/>
    <cellStyle name="Обычный 10 8 2 2 4 6" xfId="9644"/>
    <cellStyle name="Обычный 10 8 2 2 4 7" xfId="9645"/>
    <cellStyle name="Обычный 10 8 2 2 5" xfId="9646"/>
    <cellStyle name="Обычный 10 8 2 2 5 2" xfId="9647"/>
    <cellStyle name="Обычный 10 8 2 2 5 2 2" xfId="9648"/>
    <cellStyle name="Обычный 10 8 2 2 5 2 3" xfId="9649"/>
    <cellStyle name="Обычный 10 8 2 2 5 3" xfId="9650"/>
    <cellStyle name="Обычный 10 8 2 2 5 3 2" xfId="9651"/>
    <cellStyle name="Обычный 10 8 2 2 5 3 3" xfId="9652"/>
    <cellStyle name="Обычный 10 8 2 2 5 4" xfId="9653"/>
    <cellStyle name="Обычный 10 8 2 2 5 4 2" xfId="9654"/>
    <cellStyle name="Обычный 10 8 2 2 5 5" xfId="9655"/>
    <cellStyle name="Обычный 10 8 2 2 5 6" xfId="9656"/>
    <cellStyle name="Обычный 10 8 2 2 6" xfId="9657"/>
    <cellStyle name="Обычный 10 8 2 2 6 2" xfId="9658"/>
    <cellStyle name="Обычный 10 8 2 2 6 3" xfId="9659"/>
    <cellStyle name="Обычный 10 8 2 2 7" xfId="9660"/>
    <cellStyle name="Обычный 10 8 2 2 7 2" xfId="9661"/>
    <cellStyle name="Обычный 10 8 2 2 7 3" xfId="9662"/>
    <cellStyle name="Обычный 10 8 2 2 8" xfId="9663"/>
    <cellStyle name="Обычный 10 8 2 2 8 2" xfId="9664"/>
    <cellStyle name="Обычный 10 8 2 2 9" xfId="9665"/>
    <cellStyle name="Обычный 10 8 2 3" xfId="9666"/>
    <cellStyle name="Обычный 10 8 2 3 10" xfId="9667"/>
    <cellStyle name="Обычный 10 8 2 3 2" xfId="9668"/>
    <cellStyle name="Обычный 10 8 2 3 2 2" xfId="9669"/>
    <cellStyle name="Обычный 10 8 2 3 2 2 2" xfId="9670"/>
    <cellStyle name="Обычный 10 8 2 3 2 2 2 2" xfId="9671"/>
    <cellStyle name="Обычный 10 8 2 3 2 2 2 2 2" xfId="9672"/>
    <cellStyle name="Обычный 10 8 2 3 2 2 2 2 2 2" xfId="9673"/>
    <cellStyle name="Обычный 10 8 2 3 2 2 2 2 2 3" xfId="9674"/>
    <cellStyle name="Обычный 10 8 2 3 2 2 2 2 3" xfId="9675"/>
    <cellStyle name="Обычный 10 8 2 3 2 2 2 2 3 2" xfId="9676"/>
    <cellStyle name="Обычный 10 8 2 3 2 2 2 2 3 3" xfId="9677"/>
    <cellStyle name="Обычный 10 8 2 3 2 2 2 2 4" xfId="9678"/>
    <cellStyle name="Обычный 10 8 2 3 2 2 2 2 4 2" xfId="9679"/>
    <cellStyle name="Обычный 10 8 2 3 2 2 2 2 5" xfId="9680"/>
    <cellStyle name="Обычный 10 8 2 3 2 2 2 2 6" xfId="9681"/>
    <cellStyle name="Обычный 10 8 2 3 2 2 2 3" xfId="9682"/>
    <cellStyle name="Обычный 10 8 2 3 2 2 2 3 2" xfId="9683"/>
    <cellStyle name="Обычный 10 8 2 3 2 2 2 3 3" xfId="9684"/>
    <cellStyle name="Обычный 10 8 2 3 2 2 2 4" xfId="9685"/>
    <cellStyle name="Обычный 10 8 2 3 2 2 2 4 2" xfId="9686"/>
    <cellStyle name="Обычный 10 8 2 3 2 2 2 4 3" xfId="9687"/>
    <cellStyle name="Обычный 10 8 2 3 2 2 2 5" xfId="9688"/>
    <cellStyle name="Обычный 10 8 2 3 2 2 2 5 2" xfId="9689"/>
    <cellStyle name="Обычный 10 8 2 3 2 2 2 6" xfId="9690"/>
    <cellStyle name="Обычный 10 8 2 3 2 2 2 7" xfId="9691"/>
    <cellStyle name="Обычный 10 8 2 3 2 2 3" xfId="9692"/>
    <cellStyle name="Обычный 10 8 2 3 2 2 3 2" xfId="9693"/>
    <cellStyle name="Обычный 10 8 2 3 2 2 3 2 2" xfId="9694"/>
    <cellStyle name="Обычный 10 8 2 3 2 2 3 2 3" xfId="9695"/>
    <cellStyle name="Обычный 10 8 2 3 2 2 3 3" xfId="9696"/>
    <cellStyle name="Обычный 10 8 2 3 2 2 3 3 2" xfId="9697"/>
    <cellStyle name="Обычный 10 8 2 3 2 2 3 3 3" xfId="9698"/>
    <cellStyle name="Обычный 10 8 2 3 2 2 3 4" xfId="9699"/>
    <cellStyle name="Обычный 10 8 2 3 2 2 3 4 2" xfId="9700"/>
    <cellStyle name="Обычный 10 8 2 3 2 2 3 5" xfId="9701"/>
    <cellStyle name="Обычный 10 8 2 3 2 2 3 6" xfId="9702"/>
    <cellStyle name="Обычный 10 8 2 3 2 2 4" xfId="9703"/>
    <cellStyle name="Обычный 10 8 2 3 2 2 4 2" xfId="9704"/>
    <cellStyle name="Обычный 10 8 2 3 2 2 4 3" xfId="9705"/>
    <cellStyle name="Обычный 10 8 2 3 2 2 5" xfId="9706"/>
    <cellStyle name="Обычный 10 8 2 3 2 2 5 2" xfId="9707"/>
    <cellStyle name="Обычный 10 8 2 3 2 2 5 3" xfId="9708"/>
    <cellStyle name="Обычный 10 8 2 3 2 2 6" xfId="9709"/>
    <cellStyle name="Обычный 10 8 2 3 2 2 6 2" xfId="9710"/>
    <cellStyle name="Обычный 10 8 2 3 2 2 7" xfId="9711"/>
    <cellStyle name="Обычный 10 8 2 3 2 2 8" xfId="9712"/>
    <cellStyle name="Обычный 10 8 2 3 2 3" xfId="9713"/>
    <cellStyle name="Обычный 10 8 2 3 2 3 2" xfId="9714"/>
    <cellStyle name="Обычный 10 8 2 3 2 3 2 2" xfId="9715"/>
    <cellStyle name="Обычный 10 8 2 3 2 3 2 2 2" xfId="9716"/>
    <cellStyle name="Обычный 10 8 2 3 2 3 2 2 3" xfId="9717"/>
    <cellStyle name="Обычный 10 8 2 3 2 3 2 3" xfId="9718"/>
    <cellStyle name="Обычный 10 8 2 3 2 3 2 3 2" xfId="9719"/>
    <cellStyle name="Обычный 10 8 2 3 2 3 2 3 3" xfId="9720"/>
    <cellStyle name="Обычный 10 8 2 3 2 3 2 4" xfId="9721"/>
    <cellStyle name="Обычный 10 8 2 3 2 3 2 4 2" xfId="9722"/>
    <cellStyle name="Обычный 10 8 2 3 2 3 2 5" xfId="9723"/>
    <cellStyle name="Обычный 10 8 2 3 2 3 2 6" xfId="9724"/>
    <cellStyle name="Обычный 10 8 2 3 2 3 3" xfId="9725"/>
    <cellStyle name="Обычный 10 8 2 3 2 3 3 2" xfId="9726"/>
    <cellStyle name="Обычный 10 8 2 3 2 3 3 3" xfId="9727"/>
    <cellStyle name="Обычный 10 8 2 3 2 3 4" xfId="9728"/>
    <cellStyle name="Обычный 10 8 2 3 2 3 4 2" xfId="9729"/>
    <cellStyle name="Обычный 10 8 2 3 2 3 4 3" xfId="9730"/>
    <cellStyle name="Обычный 10 8 2 3 2 3 5" xfId="9731"/>
    <cellStyle name="Обычный 10 8 2 3 2 3 5 2" xfId="9732"/>
    <cellStyle name="Обычный 10 8 2 3 2 3 6" xfId="9733"/>
    <cellStyle name="Обычный 10 8 2 3 2 3 7" xfId="9734"/>
    <cellStyle name="Обычный 10 8 2 3 2 4" xfId="9735"/>
    <cellStyle name="Обычный 10 8 2 3 2 4 2" xfId="9736"/>
    <cellStyle name="Обычный 10 8 2 3 2 4 2 2" xfId="9737"/>
    <cellStyle name="Обычный 10 8 2 3 2 4 2 3" xfId="9738"/>
    <cellStyle name="Обычный 10 8 2 3 2 4 3" xfId="9739"/>
    <cellStyle name="Обычный 10 8 2 3 2 4 3 2" xfId="9740"/>
    <cellStyle name="Обычный 10 8 2 3 2 4 3 3" xfId="9741"/>
    <cellStyle name="Обычный 10 8 2 3 2 4 4" xfId="9742"/>
    <cellStyle name="Обычный 10 8 2 3 2 4 4 2" xfId="9743"/>
    <cellStyle name="Обычный 10 8 2 3 2 4 5" xfId="9744"/>
    <cellStyle name="Обычный 10 8 2 3 2 4 6" xfId="9745"/>
    <cellStyle name="Обычный 10 8 2 3 2 5" xfId="9746"/>
    <cellStyle name="Обычный 10 8 2 3 2 5 2" xfId="9747"/>
    <cellStyle name="Обычный 10 8 2 3 2 5 3" xfId="9748"/>
    <cellStyle name="Обычный 10 8 2 3 2 6" xfId="9749"/>
    <cellStyle name="Обычный 10 8 2 3 2 6 2" xfId="9750"/>
    <cellStyle name="Обычный 10 8 2 3 2 6 3" xfId="9751"/>
    <cellStyle name="Обычный 10 8 2 3 2 7" xfId="9752"/>
    <cellStyle name="Обычный 10 8 2 3 2 7 2" xfId="9753"/>
    <cellStyle name="Обычный 10 8 2 3 2 8" xfId="9754"/>
    <cellStyle name="Обычный 10 8 2 3 2 9" xfId="9755"/>
    <cellStyle name="Обычный 10 8 2 3 3" xfId="9756"/>
    <cellStyle name="Обычный 10 8 2 3 3 2" xfId="9757"/>
    <cellStyle name="Обычный 10 8 2 3 3 2 2" xfId="9758"/>
    <cellStyle name="Обычный 10 8 2 3 3 2 2 2" xfId="9759"/>
    <cellStyle name="Обычный 10 8 2 3 3 2 2 2 2" xfId="9760"/>
    <cellStyle name="Обычный 10 8 2 3 3 2 2 2 3" xfId="9761"/>
    <cellStyle name="Обычный 10 8 2 3 3 2 2 3" xfId="9762"/>
    <cellStyle name="Обычный 10 8 2 3 3 2 2 3 2" xfId="9763"/>
    <cellStyle name="Обычный 10 8 2 3 3 2 2 3 3" xfId="9764"/>
    <cellStyle name="Обычный 10 8 2 3 3 2 2 4" xfId="9765"/>
    <cellStyle name="Обычный 10 8 2 3 3 2 2 4 2" xfId="9766"/>
    <cellStyle name="Обычный 10 8 2 3 3 2 2 5" xfId="9767"/>
    <cellStyle name="Обычный 10 8 2 3 3 2 2 6" xfId="9768"/>
    <cellStyle name="Обычный 10 8 2 3 3 2 3" xfId="9769"/>
    <cellStyle name="Обычный 10 8 2 3 3 2 3 2" xfId="9770"/>
    <cellStyle name="Обычный 10 8 2 3 3 2 3 3" xfId="9771"/>
    <cellStyle name="Обычный 10 8 2 3 3 2 4" xfId="9772"/>
    <cellStyle name="Обычный 10 8 2 3 3 2 4 2" xfId="9773"/>
    <cellStyle name="Обычный 10 8 2 3 3 2 4 3" xfId="9774"/>
    <cellStyle name="Обычный 10 8 2 3 3 2 5" xfId="9775"/>
    <cellStyle name="Обычный 10 8 2 3 3 2 5 2" xfId="9776"/>
    <cellStyle name="Обычный 10 8 2 3 3 2 6" xfId="9777"/>
    <cellStyle name="Обычный 10 8 2 3 3 2 7" xfId="9778"/>
    <cellStyle name="Обычный 10 8 2 3 3 3" xfId="9779"/>
    <cellStyle name="Обычный 10 8 2 3 3 3 2" xfId="9780"/>
    <cellStyle name="Обычный 10 8 2 3 3 3 2 2" xfId="9781"/>
    <cellStyle name="Обычный 10 8 2 3 3 3 2 3" xfId="9782"/>
    <cellStyle name="Обычный 10 8 2 3 3 3 3" xfId="9783"/>
    <cellStyle name="Обычный 10 8 2 3 3 3 3 2" xfId="9784"/>
    <cellStyle name="Обычный 10 8 2 3 3 3 3 3" xfId="9785"/>
    <cellStyle name="Обычный 10 8 2 3 3 3 4" xfId="9786"/>
    <cellStyle name="Обычный 10 8 2 3 3 3 4 2" xfId="9787"/>
    <cellStyle name="Обычный 10 8 2 3 3 3 5" xfId="9788"/>
    <cellStyle name="Обычный 10 8 2 3 3 3 6" xfId="9789"/>
    <cellStyle name="Обычный 10 8 2 3 3 4" xfId="9790"/>
    <cellStyle name="Обычный 10 8 2 3 3 4 2" xfId="9791"/>
    <cellStyle name="Обычный 10 8 2 3 3 4 3" xfId="9792"/>
    <cellStyle name="Обычный 10 8 2 3 3 5" xfId="9793"/>
    <cellStyle name="Обычный 10 8 2 3 3 5 2" xfId="9794"/>
    <cellStyle name="Обычный 10 8 2 3 3 5 3" xfId="9795"/>
    <cellStyle name="Обычный 10 8 2 3 3 6" xfId="9796"/>
    <cellStyle name="Обычный 10 8 2 3 3 6 2" xfId="9797"/>
    <cellStyle name="Обычный 10 8 2 3 3 7" xfId="9798"/>
    <cellStyle name="Обычный 10 8 2 3 3 8" xfId="9799"/>
    <cellStyle name="Обычный 10 8 2 3 4" xfId="9800"/>
    <cellStyle name="Обычный 10 8 2 3 4 2" xfId="9801"/>
    <cellStyle name="Обычный 10 8 2 3 4 2 2" xfId="9802"/>
    <cellStyle name="Обычный 10 8 2 3 4 2 2 2" xfId="9803"/>
    <cellStyle name="Обычный 10 8 2 3 4 2 2 3" xfId="9804"/>
    <cellStyle name="Обычный 10 8 2 3 4 2 3" xfId="9805"/>
    <cellStyle name="Обычный 10 8 2 3 4 2 3 2" xfId="9806"/>
    <cellStyle name="Обычный 10 8 2 3 4 2 3 3" xfId="9807"/>
    <cellStyle name="Обычный 10 8 2 3 4 2 4" xfId="9808"/>
    <cellStyle name="Обычный 10 8 2 3 4 2 4 2" xfId="9809"/>
    <cellStyle name="Обычный 10 8 2 3 4 2 5" xfId="9810"/>
    <cellStyle name="Обычный 10 8 2 3 4 2 6" xfId="9811"/>
    <cellStyle name="Обычный 10 8 2 3 4 3" xfId="9812"/>
    <cellStyle name="Обычный 10 8 2 3 4 3 2" xfId="9813"/>
    <cellStyle name="Обычный 10 8 2 3 4 3 3" xfId="9814"/>
    <cellStyle name="Обычный 10 8 2 3 4 4" xfId="9815"/>
    <cellStyle name="Обычный 10 8 2 3 4 4 2" xfId="9816"/>
    <cellStyle name="Обычный 10 8 2 3 4 4 3" xfId="9817"/>
    <cellStyle name="Обычный 10 8 2 3 4 5" xfId="9818"/>
    <cellStyle name="Обычный 10 8 2 3 4 5 2" xfId="9819"/>
    <cellStyle name="Обычный 10 8 2 3 4 6" xfId="9820"/>
    <cellStyle name="Обычный 10 8 2 3 4 7" xfId="9821"/>
    <cellStyle name="Обычный 10 8 2 3 5" xfId="9822"/>
    <cellStyle name="Обычный 10 8 2 3 5 2" xfId="9823"/>
    <cellStyle name="Обычный 10 8 2 3 5 2 2" xfId="9824"/>
    <cellStyle name="Обычный 10 8 2 3 5 2 3" xfId="9825"/>
    <cellStyle name="Обычный 10 8 2 3 5 3" xfId="9826"/>
    <cellStyle name="Обычный 10 8 2 3 5 3 2" xfId="9827"/>
    <cellStyle name="Обычный 10 8 2 3 5 3 3" xfId="9828"/>
    <cellStyle name="Обычный 10 8 2 3 5 4" xfId="9829"/>
    <cellStyle name="Обычный 10 8 2 3 5 4 2" xfId="9830"/>
    <cellStyle name="Обычный 10 8 2 3 5 5" xfId="9831"/>
    <cellStyle name="Обычный 10 8 2 3 5 6" xfId="9832"/>
    <cellStyle name="Обычный 10 8 2 3 6" xfId="9833"/>
    <cellStyle name="Обычный 10 8 2 3 6 2" xfId="9834"/>
    <cellStyle name="Обычный 10 8 2 3 6 3" xfId="9835"/>
    <cellStyle name="Обычный 10 8 2 3 7" xfId="9836"/>
    <cellStyle name="Обычный 10 8 2 3 7 2" xfId="9837"/>
    <cellStyle name="Обычный 10 8 2 3 7 3" xfId="9838"/>
    <cellStyle name="Обычный 10 8 2 3 8" xfId="9839"/>
    <cellStyle name="Обычный 10 8 2 3 8 2" xfId="9840"/>
    <cellStyle name="Обычный 10 8 2 3 9" xfId="9841"/>
    <cellStyle name="Обычный 10 8 2 4" xfId="9842"/>
    <cellStyle name="Обычный 10 8 2 4 10" xfId="9843"/>
    <cellStyle name="Обычный 10 8 2 4 2" xfId="9844"/>
    <cellStyle name="Обычный 10 8 2 4 2 2" xfId="9845"/>
    <cellStyle name="Обычный 10 8 2 4 2 2 2" xfId="9846"/>
    <cellStyle name="Обычный 10 8 2 4 2 2 2 2" xfId="9847"/>
    <cellStyle name="Обычный 10 8 2 4 2 2 2 2 2" xfId="9848"/>
    <cellStyle name="Обычный 10 8 2 4 2 2 2 2 2 2" xfId="9849"/>
    <cellStyle name="Обычный 10 8 2 4 2 2 2 2 2 3" xfId="9850"/>
    <cellStyle name="Обычный 10 8 2 4 2 2 2 2 3" xfId="9851"/>
    <cellStyle name="Обычный 10 8 2 4 2 2 2 2 3 2" xfId="9852"/>
    <cellStyle name="Обычный 10 8 2 4 2 2 2 2 3 3" xfId="9853"/>
    <cellStyle name="Обычный 10 8 2 4 2 2 2 2 4" xfId="9854"/>
    <cellStyle name="Обычный 10 8 2 4 2 2 2 2 4 2" xfId="9855"/>
    <cellStyle name="Обычный 10 8 2 4 2 2 2 2 5" xfId="9856"/>
    <cellStyle name="Обычный 10 8 2 4 2 2 2 2 6" xfId="9857"/>
    <cellStyle name="Обычный 10 8 2 4 2 2 2 3" xfId="9858"/>
    <cellStyle name="Обычный 10 8 2 4 2 2 2 3 2" xfId="9859"/>
    <cellStyle name="Обычный 10 8 2 4 2 2 2 3 3" xfId="9860"/>
    <cellStyle name="Обычный 10 8 2 4 2 2 2 4" xfId="9861"/>
    <cellStyle name="Обычный 10 8 2 4 2 2 2 4 2" xfId="9862"/>
    <cellStyle name="Обычный 10 8 2 4 2 2 2 4 3" xfId="9863"/>
    <cellStyle name="Обычный 10 8 2 4 2 2 2 5" xfId="9864"/>
    <cellStyle name="Обычный 10 8 2 4 2 2 2 5 2" xfId="9865"/>
    <cellStyle name="Обычный 10 8 2 4 2 2 2 6" xfId="9866"/>
    <cellStyle name="Обычный 10 8 2 4 2 2 2 7" xfId="9867"/>
    <cellStyle name="Обычный 10 8 2 4 2 2 3" xfId="9868"/>
    <cellStyle name="Обычный 10 8 2 4 2 2 3 2" xfId="9869"/>
    <cellStyle name="Обычный 10 8 2 4 2 2 3 2 2" xfId="9870"/>
    <cellStyle name="Обычный 10 8 2 4 2 2 3 2 3" xfId="9871"/>
    <cellStyle name="Обычный 10 8 2 4 2 2 3 3" xfId="9872"/>
    <cellStyle name="Обычный 10 8 2 4 2 2 3 3 2" xfId="9873"/>
    <cellStyle name="Обычный 10 8 2 4 2 2 3 3 3" xfId="9874"/>
    <cellStyle name="Обычный 10 8 2 4 2 2 3 4" xfId="9875"/>
    <cellStyle name="Обычный 10 8 2 4 2 2 3 4 2" xfId="9876"/>
    <cellStyle name="Обычный 10 8 2 4 2 2 3 5" xfId="9877"/>
    <cellStyle name="Обычный 10 8 2 4 2 2 3 6" xfId="9878"/>
    <cellStyle name="Обычный 10 8 2 4 2 2 4" xfId="9879"/>
    <cellStyle name="Обычный 10 8 2 4 2 2 4 2" xfId="9880"/>
    <cellStyle name="Обычный 10 8 2 4 2 2 4 3" xfId="9881"/>
    <cellStyle name="Обычный 10 8 2 4 2 2 5" xfId="9882"/>
    <cellStyle name="Обычный 10 8 2 4 2 2 5 2" xfId="9883"/>
    <cellStyle name="Обычный 10 8 2 4 2 2 5 3" xfId="9884"/>
    <cellStyle name="Обычный 10 8 2 4 2 2 6" xfId="9885"/>
    <cellStyle name="Обычный 10 8 2 4 2 2 6 2" xfId="9886"/>
    <cellStyle name="Обычный 10 8 2 4 2 2 7" xfId="9887"/>
    <cellStyle name="Обычный 10 8 2 4 2 2 8" xfId="9888"/>
    <cellStyle name="Обычный 10 8 2 4 2 3" xfId="9889"/>
    <cellStyle name="Обычный 10 8 2 4 2 3 2" xfId="9890"/>
    <cellStyle name="Обычный 10 8 2 4 2 3 2 2" xfId="9891"/>
    <cellStyle name="Обычный 10 8 2 4 2 3 2 2 2" xfId="9892"/>
    <cellStyle name="Обычный 10 8 2 4 2 3 2 2 3" xfId="9893"/>
    <cellStyle name="Обычный 10 8 2 4 2 3 2 3" xfId="9894"/>
    <cellStyle name="Обычный 10 8 2 4 2 3 2 3 2" xfId="9895"/>
    <cellStyle name="Обычный 10 8 2 4 2 3 2 3 3" xfId="9896"/>
    <cellStyle name="Обычный 10 8 2 4 2 3 2 4" xfId="9897"/>
    <cellStyle name="Обычный 10 8 2 4 2 3 2 4 2" xfId="9898"/>
    <cellStyle name="Обычный 10 8 2 4 2 3 2 5" xfId="9899"/>
    <cellStyle name="Обычный 10 8 2 4 2 3 2 6" xfId="9900"/>
    <cellStyle name="Обычный 10 8 2 4 2 3 3" xfId="9901"/>
    <cellStyle name="Обычный 10 8 2 4 2 3 3 2" xfId="9902"/>
    <cellStyle name="Обычный 10 8 2 4 2 3 3 3" xfId="9903"/>
    <cellStyle name="Обычный 10 8 2 4 2 3 4" xfId="9904"/>
    <cellStyle name="Обычный 10 8 2 4 2 3 4 2" xfId="9905"/>
    <cellStyle name="Обычный 10 8 2 4 2 3 4 3" xfId="9906"/>
    <cellStyle name="Обычный 10 8 2 4 2 3 5" xfId="9907"/>
    <cellStyle name="Обычный 10 8 2 4 2 3 5 2" xfId="9908"/>
    <cellStyle name="Обычный 10 8 2 4 2 3 6" xfId="9909"/>
    <cellStyle name="Обычный 10 8 2 4 2 3 7" xfId="9910"/>
    <cellStyle name="Обычный 10 8 2 4 2 4" xfId="9911"/>
    <cellStyle name="Обычный 10 8 2 4 2 4 2" xfId="9912"/>
    <cellStyle name="Обычный 10 8 2 4 2 4 2 2" xfId="9913"/>
    <cellStyle name="Обычный 10 8 2 4 2 4 2 3" xfId="9914"/>
    <cellStyle name="Обычный 10 8 2 4 2 4 3" xfId="9915"/>
    <cellStyle name="Обычный 10 8 2 4 2 4 3 2" xfId="9916"/>
    <cellStyle name="Обычный 10 8 2 4 2 4 3 3" xfId="9917"/>
    <cellStyle name="Обычный 10 8 2 4 2 4 4" xfId="9918"/>
    <cellStyle name="Обычный 10 8 2 4 2 4 4 2" xfId="9919"/>
    <cellStyle name="Обычный 10 8 2 4 2 4 5" xfId="9920"/>
    <cellStyle name="Обычный 10 8 2 4 2 4 6" xfId="9921"/>
    <cellStyle name="Обычный 10 8 2 4 2 5" xfId="9922"/>
    <cellStyle name="Обычный 10 8 2 4 2 5 2" xfId="9923"/>
    <cellStyle name="Обычный 10 8 2 4 2 5 3" xfId="9924"/>
    <cellStyle name="Обычный 10 8 2 4 2 6" xfId="9925"/>
    <cellStyle name="Обычный 10 8 2 4 2 6 2" xfId="9926"/>
    <cellStyle name="Обычный 10 8 2 4 2 6 3" xfId="9927"/>
    <cellStyle name="Обычный 10 8 2 4 2 7" xfId="9928"/>
    <cellStyle name="Обычный 10 8 2 4 2 7 2" xfId="9929"/>
    <cellStyle name="Обычный 10 8 2 4 2 8" xfId="9930"/>
    <cellStyle name="Обычный 10 8 2 4 2 9" xfId="9931"/>
    <cellStyle name="Обычный 10 8 2 4 3" xfId="9932"/>
    <cellStyle name="Обычный 10 8 2 4 3 2" xfId="9933"/>
    <cellStyle name="Обычный 10 8 2 4 3 2 2" xfId="9934"/>
    <cellStyle name="Обычный 10 8 2 4 3 2 2 2" xfId="9935"/>
    <cellStyle name="Обычный 10 8 2 4 3 2 2 2 2" xfId="9936"/>
    <cellStyle name="Обычный 10 8 2 4 3 2 2 2 3" xfId="9937"/>
    <cellStyle name="Обычный 10 8 2 4 3 2 2 3" xfId="9938"/>
    <cellStyle name="Обычный 10 8 2 4 3 2 2 3 2" xfId="9939"/>
    <cellStyle name="Обычный 10 8 2 4 3 2 2 3 3" xfId="9940"/>
    <cellStyle name="Обычный 10 8 2 4 3 2 2 4" xfId="9941"/>
    <cellStyle name="Обычный 10 8 2 4 3 2 2 4 2" xfId="9942"/>
    <cellStyle name="Обычный 10 8 2 4 3 2 2 5" xfId="9943"/>
    <cellStyle name="Обычный 10 8 2 4 3 2 2 6" xfId="9944"/>
    <cellStyle name="Обычный 10 8 2 4 3 2 3" xfId="9945"/>
    <cellStyle name="Обычный 10 8 2 4 3 2 3 2" xfId="9946"/>
    <cellStyle name="Обычный 10 8 2 4 3 2 3 3" xfId="9947"/>
    <cellStyle name="Обычный 10 8 2 4 3 2 4" xfId="9948"/>
    <cellStyle name="Обычный 10 8 2 4 3 2 4 2" xfId="9949"/>
    <cellStyle name="Обычный 10 8 2 4 3 2 4 3" xfId="9950"/>
    <cellStyle name="Обычный 10 8 2 4 3 2 5" xfId="9951"/>
    <cellStyle name="Обычный 10 8 2 4 3 2 5 2" xfId="9952"/>
    <cellStyle name="Обычный 10 8 2 4 3 2 6" xfId="9953"/>
    <cellStyle name="Обычный 10 8 2 4 3 2 7" xfId="9954"/>
    <cellStyle name="Обычный 10 8 2 4 3 3" xfId="9955"/>
    <cellStyle name="Обычный 10 8 2 4 3 3 2" xfId="9956"/>
    <cellStyle name="Обычный 10 8 2 4 3 3 2 2" xfId="9957"/>
    <cellStyle name="Обычный 10 8 2 4 3 3 2 3" xfId="9958"/>
    <cellStyle name="Обычный 10 8 2 4 3 3 3" xfId="9959"/>
    <cellStyle name="Обычный 10 8 2 4 3 3 3 2" xfId="9960"/>
    <cellStyle name="Обычный 10 8 2 4 3 3 3 3" xfId="9961"/>
    <cellStyle name="Обычный 10 8 2 4 3 3 4" xfId="9962"/>
    <cellStyle name="Обычный 10 8 2 4 3 3 4 2" xfId="9963"/>
    <cellStyle name="Обычный 10 8 2 4 3 3 5" xfId="9964"/>
    <cellStyle name="Обычный 10 8 2 4 3 3 6" xfId="9965"/>
    <cellStyle name="Обычный 10 8 2 4 3 4" xfId="9966"/>
    <cellStyle name="Обычный 10 8 2 4 3 4 2" xfId="9967"/>
    <cellStyle name="Обычный 10 8 2 4 3 4 3" xfId="9968"/>
    <cellStyle name="Обычный 10 8 2 4 3 5" xfId="9969"/>
    <cellStyle name="Обычный 10 8 2 4 3 5 2" xfId="9970"/>
    <cellStyle name="Обычный 10 8 2 4 3 5 3" xfId="9971"/>
    <cellStyle name="Обычный 10 8 2 4 3 6" xfId="9972"/>
    <cellStyle name="Обычный 10 8 2 4 3 6 2" xfId="9973"/>
    <cellStyle name="Обычный 10 8 2 4 3 7" xfId="9974"/>
    <cellStyle name="Обычный 10 8 2 4 3 8" xfId="9975"/>
    <cellStyle name="Обычный 10 8 2 4 4" xfId="9976"/>
    <cellStyle name="Обычный 10 8 2 4 4 2" xfId="9977"/>
    <cellStyle name="Обычный 10 8 2 4 4 2 2" xfId="9978"/>
    <cellStyle name="Обычный 10 8 2 4 4 2 2 2" xfId="9979"/>
    <cellStyle name="Обычный 10 8 2 4 4 2 2 3" xfId="9980"/>
    <cellStyle name="Обычный 10 8 2 4 4 2 3" xfId="9981"/>
    <cellStyle name="Обычный 10 8 2 4 4 2 3 2" xfId="9982"/>
    <cellStyle name="Обычный 10 8 2 4 4 2 3 3" xfId="9983"/>
    <cellStyle name="Обычный 10 8 2 4 4 2 4" xfId="9984"/>
    <cellStyle name="Обычный 10 8 2 4 4 2 4 2" xfId="9985"/>
    <cellStyle name="Обычный 10 8 2 4 4 2 5" xfId="9986"/>
    <cellStyle name="Обычный 10 8 2 4 4 2 6" xfId="9987"/>
    <cellStyle name="Обычный 10 8 2 4 4 3" xfId="9988"/>
    <cellStyle name="Обычный 10 8 2 4 4 3 2" xfId="9989"/>
    <cellStyle name="Обычный 10 8 2 4 4 3 3" xfId="9990"/>
    <cellStyle name="Обычный 10 8 2 4 4 4" xfId="9991"/>
    <cellStyle name="Обычный 10 8 2 4 4 4 2" xfId="9992"/>
    <cellStyle name="Обычный 10 8 2 4 4 4 3" xfId="9993"/>
    <cellStyle name="Обычный 10 8 2 4 4 5" xfId="9994"/>
    <cellStyle name="Обычный 10 8 2 4 4 5 2" xfId="9995"/>
    <cellStyle name="Обычный 10 8 2 4 4 6" xfId="9996"/>
    <cellStyle name="Обычный 10 8 2 4 4 7" xfId="9997"/>
    <cellStyle name="Обычный 10 8 2 4 5" xfId="9998"/>
    <cellStyle name="Обычный 10 8 2 4 5 2" xfId="9999"/>
    <cellStyle name="Обычный 10 8 2 4 5 2 2" xfId="10000"/>
    <cellStyle name="Обычный 10 8 2 4 5 2 3" xfId="10001"/>
    <cellStyle name="Обычный 10 8 2 4 5 3" xfId="10002"/>
    <cellStyle name="Обычный 10 8 2 4 5 3 2" xfId="10003"/>
    <cellStyle name="Обычный 10 8 2 4 5 3 3" xfId="10004"/>
    <cellStyle name="Обычный 10 8 2 4 5 4" xfId="10005"/>
    <cellStyle name="Обычный 10 8 2 4 5 4 2" xfId="10006"/>
    <cellStyle name="Обычный 10 8 2 4 5 5" xfId="10007"/>
    <cellStyle name="Обычный 10 8 2 4 5 6" xfId="10008"/>
    <cellStyle name="Обычный 10 8 2 4 6" xfId="10009"/>
    <cellStyle name="Обычный 10 8 2 4 6 2" xfId="10010"/>
    <cellStyle name="Обычный 10 8 2 4 6 3" xfId="10011"/>
    <cellStyle name="Обычный 10 8 2 4 7" xfId="10012"/>
    <cellStyle name="Обычный 10 8 2 4 7 2" xfId="10013"/>
    <cellStyle name="Обычный 10 8 2 4 7 3" xfId="10014"/>
    <cellStyle name="Обычный 10 8 2 4 8" xfId="10015"/>
    <cellStyle name="Обычный 10 8 2 4 8 2" xfId="10016"/>
    <cellStyle name="Обычный 10 8 2 4 9" xfId="10017"/>
    <cellStyle name="Обычный 10 8 2 5" xfId="10018"/>
    <cellStyle name="Обычный 10 8 2 5 2" xfId="10019"/>
    <cellStyle name="Обычный 10 8 2 5 2 2" xfId="10020"/>
    <cellStyle name="Обычный 10 8 2 5 2 2 2" xfId="10021"/>
    <cellStyle name="Обычный 10 8 2 5 2 2 2 2" xfId="10022"/>
    <cellStyle name="Обычный 10 8 2 5 2 2 2 2 2" xfId="10023"/>
    <cellStyle name="Обычный 10 8 2 5 2 2 2 2 3" xfId="10024"/>
    <cellStyle name="Обычный 10 8 2 5 2 2 2 3" xfId="10025"/>
    <cellStyle name="Обычный 10 8 2 5 2 2 2 3 2" xfId="10026"/>
    <cellStyle name="Обычный 10 8 2 5 2 2 2 3 3" xfId="10027"/>
    <cellStyle name="Обычный 10 8 2 5 2 2 2 4" xfId="10028"/>
    <cellStyle name="Обычный 10 8 2 5 2 2 2 4 2" xfId="10029"/>
    <cellStyle name="Обычный 10 8 2 5 2 2 2 5" xfId="10030"/>
    <cellStyle name="Обычный 10 8 2 5 2 2 2 6" xfId="10031"/>
    <cellStyle name="Обычный 10 8 2 5 2 2 3" xfId="10032"/>
    <cellStyle name="Обычный 10 8 2 5 2 2 3 2" xfId="10033"/>
    <cellStyle name="Обычный 10 8 2 5 2 2 3 3" xfId="10034"/>
    <cellStyle name="Обычный 10 8 2 5 2 2 4" xfId="10035"/>
    <cellStyle name="Обычный 10 8 2 5 2 2 4 2" xfId="10036"/>
    <cellStyle name="Обычный 10 8 2 5 2 2 4 3" xfId="10037"/>
    <cellStyle name="Обычный 10 8 2 5 2 2 5" xfId="10038"/>
    <cellStyle name="Обычный 10 8 2 5 2 2 5 2" xfId="10039"/>
    <cellStyle name="Обычный 10 8 2 5 2 2 6" xfId="10040"/>
    <cellStyle name="Обычный 10 8 2 5 2 2 7" xfId="10041"/>
    <cellStyle name="Обычный 10 8 2 5 2 3" xfId="10042"/>
    <cellStyle name="Обычный 10 8 2 5 2 3 2" xfId="10043"/>
    <cellStyle name="Обычный 10 8 2 5 2 3 2 2" xfId="10044"/>
    <cellStyle name="Обычный 10 8 2 5 2 3 2 3" xfId="10045"/>
    <cellStyle name="Обычный 10 8 2 5 2 3 3" xfId="10046"/>
    <cellStyle name="Обычный 10 8 2 5 2 3 3 2" xfId="10047"/>
    <cellStyle name="Обычный 10 8 2 5 2 3 3 3" xfId="10048"/>
    <cellStyle name="Обычный 10 8 2 5 2 3 4" xfId="10049"/>
    <cellStyle name="Обычный 10 8 2 5 2 3 4 2" xfId="10050"/>
    <cellStyle name="Обычный 10 8 2 5 2 3 5" xfId="10051"/>
    <cellStyle name="Обычный 10 8 2 5 2 3 6" xfId="10052"/>
    <cellStyle name="Обычный 10 8 2 5 2 4" xfId="10053"/>
    <cellStyle name="Обычный 10 8 2 5 2 4 2" xfId="10054"/>
    <cellStyle name="Обычный 10 8 2 5 2 4 3" xfId="10055"/>
    <cellStyle name="Обычный 10 8 2 5 2 5" xfId="10056"/>
    <cellStyle name="Обычный 10 8 2 5 2 5 2" xfId="10057"/>
    <cellStyle name="Обычный 10 8 2 5 2 5 3" xfId="10058"/>
    <cellStyle name="Обычный 10 8 2 5 2 6" xfId="10059"/>
    <cellStyle name="Обычный 10 8 2 5 2 6 2" xfId="10060"/>
    <cellStyle name="Обычный 10 8 2 5 2 7" xfId="10061"/>
    <cellStyle name="Обычный 10 8 2 5 2 8" xfId="10062"/>
    <cellStyle name="Обычный 10 8 2 5 3" xfId="10063"/>
    <cellStyle name="Обычный 10 8 2 5 3 2" xfId="10064"/>
    <cellStyle name="Обычный 10 8 2 5 3 2 2" xfId="10065"/>
    <cellStyle name="Обычный 10 8 2 5 3 2 2 2" xfId="10066"/>
    <cellStyle name="Обычный 10 8 2 5 3 2 2 3" xfId="10067"/>
    <cellStyle name="Обычный 10 8 2 5 3 2 3" xfId="10068"/>
    <cellStyle name="Обычный 10 8 2 5 3 2 3 2" xfId="10069"/>
    <cellStyle name="Обычный 10 8 2 5 3 2 3 3" xfId="10070"/>
    <cellStyle name="Обычный 10 8 2 5 3 2 4" xfId="10071"/>
    <cellStyle name="Обычный 10 8 2 5 3 2 4 2" xfId="10072"/>
    <cellStyle name="Обычный 10 8 2 5 3 2 5" xfId="10073"/>
    <cellStyle name="Обычный 10 8 2 5 3 2 6" xfId="10074"/>
    <cellStyle name="Обычный 10 8 2 5 3 3" xfId="10075"/>
    <cellStyle name="Обычный 10 8 2 5 3 3 2" xfId="10076"/>
    <cellStyle name="Обычный 10 8 2 5 3 3 3" xfId="10077"/>
    <cellStyle name="Обычный 10 8 2 5 3 4" xfId="10078"/>
    <cellStyle name="Обычный 10 8 2 5 3 4 2" xfId="10079"/>
    <cellStyle name="Обычный 10 8 2 5 3 4 3" xfId="10080"/>
    <cellStyle name="Обычный 10 8 2 5 3 5" xfId="10081"/>
    <cellStyle name="Обычный 10 8 2 5 3 5 2" xfId="10082"/>
    <cellStyle name="Обычный 10 8 2 5 3 6" xfId="10083"/>
    <cellStyle name="Обычный 10 8 2 5 3 7" xfId="10084"/>
    <cellStyle name="Обычный 10 8 2 5 4" xfId="10085"/>
    <cellStyle name="Обычный 10 8 2 5 4 2" xfId="10086"/>
    <cellStyle name="Обычный 10 8 2 5 4 2 2" xfId="10087"/>
    <cellStyle name="Обычный 10 8 2 5 4 2 3" xfId="10088"/>
    <cellStyle name="Обычный 10 8 2 5 4 3" xfId="10089"/>
    <cellStyle name="Обычный 10 8 2 5 4 3 2" xfId="10090"/>
    <cellStyle name="Обычный 10 8 2 5 4 3 3" xfId="10091"/>
    <cellStyle name="Обычный 10 8 2 5 4 4" xfId="10092"/>
    <cellStyle name="Обычный 10 8 2 5 4 4 2" xfId="10093"/>
    <cellStyle name="Обычный 10 8 2 5 4 5" xfId="10094"/>
    <cellStyle name="Обычный 10 8 2 5 4 6" xfId="10095"/>
    <cellStyle name="Обычный 10 8 2 5 5" xfId="10096"/>
    <cellStyle name="Обычный 10 8 2 5 5 2" xfId="10097"/>
    <cellStyle name="Обычный 10 8 2 5 5 3" xfId="10098"/>
    <cellStyle name="Обычный 10 8 2 5 6" xfId="10099"/>
    <cellStyle name="Обычный 10 8 2 5 6 2" xfId="10100"/>
    <cellStyle name="Обычный 10 8 2 5 6 3" xfId="10101"/>
    <cellStyle name="Обычный 10 8 2 5 7" xfId="10102"/>
    <cellStyle name="Обычный 10 8 2 5 7 2" xfId="10103"/>
    <cellStyle name="Обычный 10 8 2 5 8" xfId="10104"/>
    <cellStyle name="Обычный 10 8 2 5 9" xfId="10105"/>
    <cellStyle name="Обычный 10 8 2 6" xfId="10106"/>
    <cellStyle name="Обычный 10 8 2 6 2" xfId="10107"/>
    <cellStyle name="Обычный 10 8 2 6 2 2" xfId="10108"/>
    <cellStyle name="Обычный 10 8 2 6 2 2 2" xfId="10109"/>
    <cellStyle name="Обычный 10 8 2 6 2 2 2 2" xfId="10110"/>
    <cellStyle name="Обычный 10 8 2 6 2 2 2 3" xfId="10111"/>
    <cellStyle name="Обычный 10 8 2 6 2 2 3" xfId="10112"/>
    <cellStyle name="Обычный 10 8 2 6 2 2 3 2" xfId="10113"/>
    <cellStyle name="Обычный 10 8 2 6 2 2 3 3" xfId="10114"/>
    <cellStyle name="Обычный 10 8 2 6 2 2 4" xfId="10115"/>
    <cellStyle name="Обычный 10 8 2 6 2 2 4 2" xfId="10116"/>
    <cellStyle name="Обычный 10 8 2 6 2 2 5" xfId="10117"/>
    <cellStyle name="Обычный 10 8 2 6 2 2 6" xfId="10118"/>
    <cellStyle name="Обычный 10 8 2 6 2 3" xfId="10119"/>
    <cellStyle name="Обычный 10 8 2 6 2 3 2" xfId="10120"/>
    <cellStyle name="Обычный 10 8 2 6 2 3 3" xfId="10121"/>
    <cellStyle name="Обычный 10 8 2 6 2 4" xfId="10122"/>
    <cellStyle name="Обычный 10 8 2 6 2 4 2" xfId="10123"/>
    <cellStyle name="Обычный 10 8 2 6 2 4 3" xfId="10124"/>
    <cellStyle name="Обычный 10 8 2 6 2 5" xfId="10125"/>
    <cellStyle name="Обычный 10 8 2 6 2 5 2" xfId="10126"/>
    <cellStyle name="Обычный 10 8 2 6 2 6" xfId="10127"/>
    <cellStyle name="Обычный 10 8 2 6 2 7" xfId="10128"/>
    <cellStyle name="Обычный 10 8 2 6 3" xfId="10129"/>
    <cellStyle name="Обычный 10 8 2 6 3 2" xfId="10130"/>
    <cellStyle name="Обычный 10 8 2 6 3 2 2" xfId="10131"/>
    <cellStyle name="Обычный 10 8 2 6 3 2 3" xfId="10132"/>
    <cellStyle name="Обычный 10 8 2 6 3 3" xfId="10133"/>
    <cellStyle name="Обычный 10 8 2 6 3 3 2" xfId="10134"/>
    <cellStyle name="Обычный 10 8 2 6 3 3 3" xfId="10135"/>
    <cellStyle name="Обычный 10 8 2 6 3 4" xfId="10136"/>
    <cellStyle name="Обычный 10 8 2 6 3 4 2" xfId="10137"/>
    <cellStyle name="Обычный 10 8 2 6 3 5" xfId="10138"/>
    <cellStyle name="Обычный 10 8 2 6 3 6" xfId="10139"/>
    <cellStyle name="Обычный 10 8 2 6 4" xfId="10140"/>
    <cellStyle name="Обычный 10 8 2 6 4 2" xfId="10141"/>
    <cellStyle name="Обычный 10 8 2 6 4 3" xfId="10142"/>
    <cellStyle name="Обычный 10 8 2 6 5" xfId="10143"/>
    <cellStyle name="Обычный 10 8 2 6 5 2" xfId="10144"/>
    <cellStyle name="Обычный 10 8 2 6 5 3" xfId="10145"/>
    <cellStyle name="Обычный 10 8 2 6 6" xfId="10146"/>
    <cellStyle name="Обычный 10 8 2 6 6 2" xfId="10147"/>
    <cellStyle name="Обычный 10 8 2 6 7" xfId="10148"/>
    <cellStyle name="Обычный 10 8 2 6 8" xfId="10149"/>
    <cellStyle name="Обычный 10 8 2 7" xfId="10150"/>
    <cellStyle name="Обычный 10 8 2 7 2" xfId="10151"/>
    <cellStyle name="Обычный 10 8 2 7 2 2" xfId="10152"/>
    <cellStyle name="Обычный 10 8 2 7 2 2 2" xfId="10153"/>
    <cellStyle name="Обычный 10 8 2 7 2 2 3" xfId="10154"/>
    <cellStyle name="Обычный 10 8 2 7 2 3" xfId="10155"/>
    <cellStyle name="Обычный 10 8 2 7 2 3 2" xfId="10156"/>
    <cellStyle name="Обычный 10 8 2 7 2 3 3" xfId="10157"/>
    <cellStyle name="Обычный 10 8 2 7 2 4" xfId="10158"/>
    <cellStyle name="Обычный 10 8 2 7 2 4 2" xfId="10159"/>
    <cellStyle name="Обычный 10 8 2 7 2 5" xfId="10160"/>
    <cellStyle name="Обычный 10 8 2 7 2 6" xfId="10161"/>
    <cellStyle name="Обычный 10 8 2 7 3" xfId="10162"/>
    <cellStyle name="Обычный 10 8 2 7 3 2" xfId="10163"/>
    <cellStyle name="Обычный 10 8 2 7 3 3" xfId="10164"/>
    <cellStyle name="Обычный 10 8 2 7 4" xfId="10165"/>
    <cellStyle name="Обычный 10 8 2 7 4 2" xfId="10166"/>
    <cellStyle name="Обычный 10 8 2 7 4 3" xfId="10167"/>
    <cellStyle name="Обычный 10 8 2 7 5" xfId="10168"/>
    <cellStyle name="Обычный 10 8 2 7 5 2" xfId="10169"/>
    <cellStyle name="Обычный 10 8 2 7 6" xfId="10170"/>
    <cellStyle name="Обычный 10 8 2 7 7" xfId="10171"/>
    <cellStyle name="Обычный 10 8 2 8" xfId="10172"/>
    <cellStyle name="Обычный 10 8 2 8 2" xfId="10173"/>
    <cellStyle name="Обычный 10 8 2 8 2 2" xfId="10174"/>
    <cellStyle name="Обычный 10 8 2 8 2 3" xfId="10175"/>
    <cellStyle name="Обычный 10 8 2 8 3" xfId="10176"/>
    <cellStyle name="Обычный 10 8 2 8 3 2" xfId="10177"/>
    <cellStyle name="Обычный 10 8 2 8 3 3" xfId="10178"/>
    <cellStyle name="Обычный 10 8 2 8 4" xfId="10179"/>
    <cellStyle name="Обычный 10 8 2 8 4 2" xfId="10180"/>
    <cellStyle name="Обычный 10 8 2 8 5" xfId="10181"/>
    <cellStyle name="Обычный 10 8 2 8 6" xfId="10182"/>
    <cellStyle name="Обычный 10 8 2 9" xfId="10183"/>
    <cellStyle name="Обычный 10 8 2 9 2" xfId="10184"/>
    <cellStyle name="Обычный 10 8 2 9 3" xfId="10185"/>
    <cellStyle name="Обычный 10 8 3" xfId="10186"/>
    <cellStyle name="Обычный 10 8 3 10" xfId="10187"/>
    <cellStyle name="Обычный 10 8 3 2" xfId="10188"/>
    <cellStyle name="Обычный 10 8 3 2 2" xfId="10189"/>
    <cellStyle name="Обычный 10 8 3 2 2 2" xfId="10190"/>
    <cellStyle name="Обычный 10 8 3 2 2 2 2" xfId="10191"/>
    <cellStyle name="Обычный 10 8 3 2 2 2 2 2" xfId="10192"/>
    <cellStyle name="Обычный 10 8 3 2 2 2 2 2 2" xfId="10193"/>
    <cellStyle name="Обычный 10 8 3 2 2 2 2 2 3" xfId="10194"/>
    <cellStyle name="Обычный 10 8 3 2 2 2 2 3" xfId="10195"/>
    <cellStyle name="Обычный 10 8 3 2 2 2 2 3 2" xfId="10196"/>
    <cellStyle name="Обычный 10 8 3 2 2 2 2 3 3" xfId="10197"/>
    <cellStyle name="Обычный 10 8 3 2 2 2 2 4" xfId="10198"/>
    <cellStyle name="Обычный 10 8 3 2 2 2 2 4 2" xfId="10199"/>
    <cellStyle name="Обычный 10 8 3 2 2 2 2 5" xfId="10200"/>
    <cellStyle name="Обычный 10 8 3 2 2 2 2 6" xfId="10201"/>
    <cellStyle name="Обычный 10 8 3 2 2 2 3" xfId="10202"/>
    <cellStyle name="Обычный 10 8 3 2 2 2 3 2" xfId="10203"/>
    <cellStyle name="Обычный 10 8 3 2 2 2 3 3" xfId="10204"/>
    <cellStyle name="Обычный 10 8 3 2 2 2 4" xfId="10205"/>
    <cellStyle name="Обычный 10 8 3 2 2 2 4 2" xfId="10206"/>
    <cellStyle name="Обычный 10 8 3 2 2 2 4 3" xfId="10207"/>
    <cellStyle name="Обычный 10 8 3 2 2 2 5" xfId="10208"/>
    <cellStyle name="Обычный 10 8 3 2 2 2 5 2" xfId="10209"/>
    <cellStyle name="Обычный 10 8 3 2 2 2 6" xfId="10210"/>
    <cellStyle name="Обычный 10 8 3 2 2 2 7" xfId="10211"/>
    <cellStyle name="Обычный 10 8 3 2 2 3" xfId="10212"/>
    <cellStyle name="Обычный 10 8 3 2 2 3 2" xfId="10213"/>
    <cellStyle name="Обычный 10 8 3 2 2 3 2 2" xfId="10214"/>
    <cellStyle name="Обычный 10 8 3 2 2 3 2 3" xfId="10215"/>
    <cellStyle name="Обычный 10 8 3 2 2 3 3" xfId="10216"/>
    <cellStyle name="Обычный 10 8 3 2 2 3 3 2" xfId="10217"/>
    <cellStyle name="Обычный 10 8 3 2 2 3 3 3" xfId="10218"/>
    <cellStyle name="Обычный 10 8 3 2 2 3 4" xfId="10219"/>
    <cellStyle name="Обычный 10 8 3 2 2 3 4 2" xfId="10220"/>
    <cellStyle name="Обычный 10 8 3 2 2 3 5" xfId="10221"/>
    <cellStyle name="Обычный 10 8 3 2 2 3 6" xfId="10222"/>
    <cellStyle name="Обычный 10 8 3 2 2 4" xfId="10223"/>
    <cellStyle name="Обычный 10 8 3 2 2 4 2" xfId="10224"/>
    <cellStyle name="Обычный 10 8 3 2 2 4 3" xfId="10225"/>
    <cellStyle name="Обычный 10 8 3 2 2 5" xfId="10226"/>
    <cellStyle name="Обычный 10 8 3 2 2 5 2" xfId="10227"/>
    <cellStyle name="Обычный 10 8 3 2 2 5 3" xfId="10228"/>
    <cellStyle name="Обычный 10 8 3 2 2 6" xfId="10229"/>
    <cellStyle name="Обычный 10 8 3 2 2 6 2" xfId="10230"/>
    <cellStyle name="Обычный 10 8 3 2 2 7" xfId="10231"/>
    <cellStyle name="Обычный 10 8 3 2 2 8" xfId="10232"/>
    <cellStyle name="Обычный 10 8 3 2 3" xfId="10233"/>
    <cellStyle name="Обычный 10 8 3 2 3 2" xfId="10234"/>
    <cellStyle name="Обычный 10 8 3 2 3 2 2" xfId="10235"/>
    <cellStyle name="Обычный 10 8 3 2 3 2 2 2" xfId="10236"/>
    <cellStyle name="Обычный 10 8 3 2 3 2 2 3" xfId="10237"/>
    <cellStyle name="Обычный 10 8 3 2 3 2 3" xfId="10238"/>
    <cellStyle name="Обычный 10 8 3 2 3 2 3 2" xfId="10239"/>
    <cellStyle name="Обычный 10 8 3 2 3 2 3 3" xfId="10240"/>
    <cellStyle name="Обычный 10 8 3 2 3 2 4" xfId="10241"/>
    <cellStyle name="Обычный 10 8 3 2 3 2 4 2" xfId="10242"/>
    <cellStyle name="Обычный 10 8 3 2 3 2 5" xfId="10243"/>
    <cellStyle name="Обычный 10 8 3 2 3 2 6" xfId="10244"/>
    <cellStyle name="Обычный 10 8 3 2 3 3" xfId="10245"/>
    <cellStyle name="Обычный 10 8 3 2 3 3 2" xfId="10246"/>
    <cellStyle name="Обычный 10 8 3 2 3 3 3" xfId="10247"/>
    <cellStyle name="Обычный 10 8 3 2 3 4" xfId="10248"/>
    <cellStyle name="Обычный 10 8 3 2 3 4 2" xfId="10249"/>
    <cellStyle name="Обычный 10 8 3 2 3 4 3" xfId="10250"/>
    <cellStyle name="Обычный 10 8 3 2 3 5" xfId="10251"/>
    <cellStyle name="Обычный 10 8 3 2 3 5 2" xfId="10252"/>
    <cellStyle name="Обычный 10 8 3 2 3 6" xfId="10253"/>
    <cellStyle name="Обычный 10 8 3 2 3 7" xfId="10254"/>
    <cellStyle name="Обычный 10 8 3 2 4" xfId="10255"/>
    <cellStyle name="Обычный 10 8 3 2 4 2" xfId="10256"/>
    <cellStyle name="Обычный 10 8 3 2 4 2 2" xfId="10257"/>
    <cellStyle name="Обычный 10 8 3 2 4 2 3" xfId="10258"/>
    <cellStyle name="Обычный 10 8 3 2 4 3" xfId="10259"/>
    <cellStyle name="Обычный 10 8 3 2 4 3 2" xfId="10260"/>
    <cellStyle name="Обычный 10 8 3 2 4 3 3" xfId="10261"/>
    <cellStyle name="Обычный 10 8 3 2 4 4" xfId="10262"/>
    <cellStyle name="Обычный 10 8 3 2 4 4 2" xfId="10263"/>
    <cellStyle name="Обычный 10 8 3 2 4 5" xfId="10264"/>
    <cellStyle name="Обычный 10 8 3 2 4 6" xfId="10265"/>
    <cellStyle name="Обычный 10 8 3 2 5" xfId="10266"/>
    <cellStyle name="Обычный 10 8 3 2 5 2" xfId="10267"/>
    <cellStyle name="Обычный 10 8 3 2 5 3" xfId="10268"/>
    <cellStyle name="Обычный 10 8 3 2 6" xfId="10269"/>
    <cellStyle name="Обычный 10 8 3 2 6 2" xfId="10270"/>
    <cellStyle name="Обычный 10 8 3 2 6 3" xfId="10271"/>
    <cellStyle name="Обычный 10 8 3 2 7" xfId="10272"/>
    <cellStyle name="Обычный 10 8 3 2 7 2" xfId="10273"/>
    <cellStyle name="Обычный 10 8 3 2 8" xfId="10274"/>
    <cellStyle name="Обычный 10 8 3 2 9" xfId="10275"/>
    <cellStyle name="Обычный 10 8 3 3" xfId="10276"/>
    <cellStyle name="Обычный 10 8 3 3 2" xfId="10277"/>
    <cellStyle name="Обычный 10 8 3 3 2 2" xfId="10278"/>
    <cellStyle name="Обычный 10 8 3 3 2 2 2" xfId="10279"/>
    <cellStyle name="Обычный 10 8 3 3 2 2 2 2" xfId="10280"/>
    <cellStyle name="Обычный 10 8 3 3 2 2 2 3" xfId="10281"/>
    <cellStyle name="Обычный 10 8 3 3 2 2 3" xfId="10282"/>
    <cellStyle name="Обычный 10 8 3 3 2 2 3 2" xfId="10283"/>
    <cellStyle name="Обычный 10 8 3 3 2 2 3 3" xfId="10284"/>
    <cellStyle name="Обычный 10 8 3 3 2 2 4" xfId="10285"/>
    <cellStyle name="Обычный 10 8 3 3 2 2 4 2" xfId="10286"/>
    <cellStyle name="Обычный 10 8 3 3 2 2 5" xfId="10287"/>
    <cellStyle name="Обычный 10 8 3 3 2 2 6" xfId="10288"/>
    <cellStyle name="Обычный 10 8 3 3 2 3" xfId="10289"/>
    <cellStyle name="Обычный 10 8 3 3 2 3 2" xfId="10290"/>
    <cellStyle name="Обычный 10 8 3 3 2 3 3" xfId="10291"/>
    <cellStyle name="Обычный 10 8 3 3 2 4" xfId="10292"/>
    <cellStyle name="Обычный 10 8 3 3 2 4 2" xfId="10293"/>
    <cellStyle name="Обычный 10 8 3 3 2 4 3" xfId="10294"/>
    <cellStyle name="Обычный 10 8 3 3 2 5" xfId="10295"/>
    <cellStyle name="Обычный 10 8 3 3 2 5 2" xfId="10296"/>
    <cellStyle name="Обычный 10 8 3 3 2 6" xfId="10297"/>
    <cellStyle name="Обычный 10 8 3 3 2 7" xfId="10298"/>
    <cellStyle name="Обычный 10 8 3 3 3" xfId="10299"/>
    <cellStyle name="Обычный 10 8 3 3 3 2" xfId="10300"/>
    <cellStyle name="Обычный 10 8 3 3 3 2 2" xfId="10301"/>
    <cellStyle name="Обычный 10 8 3 3 3 2 3" xfId="10302"/>
    <cellStyle name="Обычный 10 8 3 3 3 3" xfId="10303"/>
    <cellStyle name="Обычный 10 8 3 3 3 3 2" xfId="10304"/>
    <cellStyle name="Обычный 10 8 3 3 3 3 3" xfId="10305"/>
    <cellStyle name="Обычный 10 8 3 3 3 4" xfId="10306"/>
    <cellStyle name="Обычный 10 8 3 3 3 4 2" xfId="10307"/>
    <cellStyle name="Обычный 10 8 3 3 3 5" xfId="10308"/>
    <cellStyle name="Обычный 10 8 3 3 3 6" xfId="10309"/>
    <cellStyle name="Обычный 10 8 3 3 4" xfId="10310"/>
    <cellStyle name="Обычный 10 8 3 3 4 2" xfId="10311"/>
    <cellStyle name="Обычный 10 8 3 3 4 3" xfId="10312"/>
    <cellStyle name="Обычный 10 8 3 3 5" xfId="10313"/>
    <cellStyle name="Обычный 10 8 3 3 5 2" xfId="10314"/>
    <cellStyle name="Обычный 10 8 3 3 5 3" xfId="10315"/>
    <cellStyle name="Обычный 10 8 3 3 6" xfId="10316"/>
    <cellStyle name="Обычный 10 8 3 3 6 2" xfId="10317"/>
    <cellStyle name="Обычный 10 8 3 3 7" xfId="10318"/>
    <cellStyle name="Обычный 10 8 3 3 8" xfId="10319"/>
    <cellStyle name="Обычный 10 8 3 4" xfId="10320"/>
    <cellStyle name="Обычный 10 8 3 4 2" xfId="10321"/>
    <cellStyle name="Обычный 10 8 3 4 2 2" xfId="10322"/>
    <cellStyle name="Обычный 10 8 3 4 2 2 2" xfId="10323"/>
    <cellStyle name="Обычный 10 8 3 4 2 2 3" xfId="10324"/>
    <cellStyle name="Обычный 10 8 3 4 2 3" xfId="10325"/>
    <cellStyle name="Обычный 10 8 3 4 2 3 2" xfId="10326"/>
    <cellStyle name="Обычный 10 8 3 4 2 3 3" xfId="10327"/>
    <cellStyle name="Обычный 10 8 3 4 2 4" xfId="10328"/>
    <cellStyle name="Обычный 10 8 3 4 2 4 2" xfId="10329"/>
    <cellStyle name="Обычный 10 8 3 4 2 5" xfId="10330"/>
    <cellStyle name="Обычный 10 8 3 4 2 6" xfId="10331"/>
    <cellStyle name="Обычный 10 8 3 4 3" xfId="10332"/>
    <cellStyle name="Обычный 10 8 3 4 3 2" xfId="10333"/>
    <cellStyle name="Обычный 10 8 3 4 3 3" xfId="10334"/>
    <cellStyle name="Обычный 10 8 3 4 4" xfId="10335"/>
    <cellStyle name="Обычный 10 8 3 4 4 2" xfId="10336"/>
    <cellStyle name="Обычный 10 8 3 4 4 3" xfId="10337"/>
    <cellStyle name="Обычный 10 8 3 4 5" xfId="10338"/>
    <cellStyle name="Обычный 10 8 3 4 5 2" xfId="10339"/>
    <cellStyle name="Обычный 10 8 3 4 6" xfId="10340"/>
    <cellStyle name="Обычный 10 8 3 4 7" xfId="10341"/>
    <cellStyle name="Обычный 10 8 3 5" xfId="10342"/>
    <cellStyle name="Обычный 10 8 3 5 2" xfId="10343"/>
    <cellStyle name="Обычный 10 8 3 5 2 2" xfId="10344"/>
    <cellStyle name="Обычный 10 8 3 5 2 3" xfId="10345"/>
    <cellStyle name="Обычный 10 8 3 5 3" xfId="10346"/>
    <cellStyle name="Обычный 10 8 3 5 3 2" xfId="10347"/>
    <cellStyle name="Обычный 10 8 3 5 3 3" xfId="10348"/>
    <cellStyle name="Обычный 10 8 3 5 4" xfId="10349"/>
    <cellStyle name="Обычный 10 8 3 5 4 2" xfId="10350"/>
    <cellStyle name="Обычный 10 8 3 5 5" xfId="10351"/>
    <cellStyle name="Обычный 10 8 3 5 6" xfId="10352"/>
    <cellStyle name="Обычный 10 8 3 6" xfId="10353"/>
    <cellStyle name="Обычный 10 8 3 6 2" xfId="10354"/>
    <cellStyle name="Обычный 10 8 3 6 3" xfId="10355"/>
    <cellStyle name="Обычный 10 8 3 7" xfId="10356"/>
    <cellStyle name="Обычный 10 8 3 7 2" xfId="10357"/>
    <cellStyle name="Обычный 10 8 3 7 3" xfId="10358"/>
    <cellStyle name="Обычный 10 8 3 8" xfId="10359"/>
    <cellStyle name="Обычный 10 8 3 8 2" xfId="10360"/>
    <cellStyle name="Обычный 10 8 3 9" xfId="10361"/>
    <cellStyle name="Обычный 10 8 4" xfId="10362"/>
    <cellStyle name="Обычный 10 8 4 10" xfId="10363"/>
    <cellStyle name="Обычный 10 8 4 2" xfId="10364"/>
    <cellStyle name="Обычный 10 8 4 2 2" xfId="10365"/>
    <cellStyle name="Обычный 10 8 4 2 2 2" xfId="10366"/>
    <cellStyle name="Обычный 10 8 4 2 2 2 2" xfId="10367"/>
    <cellStyle name="Обычный 10 8 4 2 2 2 2 2" xfId="10368"/>
    <cellStyle name="Обычный 10 8 4 2 2 2 2 2 2" xfId="10369"/>
    <cellStyle name="Обычный 10 8 4 2 2 2 2 2 3" xfId="10370"/>
    <cellStyle name="Обычный 10 8 4 2 2 2 2 3" xfId="10371"/>
    <cellStyle name="Обычный 10 8 4 2 2 2 2 3 2" xfId="10372"/>
    <cellStyle name="Обычный 10 8 4 2 2 2 2 3 3" xfId="10373"/>
    <cellStyle name="Обычный 10 8 4 2 2 2 2 4" xfId="10374"/>
    <cellStyle name="Обычный 10 8 4 2 2 2 2 4 2" xfId="10375"/>
    <cellStyle name="Обычный 10 8 4 2 2 2 2 5" xfId="10376"/>
    <cellStyle name="Обычный 10 8 4 2 2 2 2 6" xfId="10377"/>
    <cellStyle name="Обычный 10 8 4 2 2 2 3" xfId="10378"/>
    <cellStyle name="Обычный 10 8 4 2 2 2 3 2" xfId="10379"/>
    <cellStyle name="Обычный 10 8 4 2 2 2 3 3" xfId="10380"/>
    <cellStyle name="Обычный 10 8 4 2 2 2 4" xfId="10381"/>
    <cellStyle name="Обычный 10 8 4 2 2 2 4 2" xfId="10382"/>
    <cellStyle name="Обычный 10 8 4 2 2 2 4 3" xfId="10383"/>
    <cellStyle name="Обычный 10 8 4 2 2 2 5" xfId="10384"/>
    <cellStyle name="Обычный 10 8 4 2 2 2 5 2" xfId="10385"/>
    <cellStyle name="Обычный 10 8 4 2 2 2 6" xfId="10386"/>
    <cellStyle name="Обычный 10 8 4 2 2 2 7" xfId="10387"/>
    <cellStyle name="Обычный 10 8 4 2 2 3" xfId="10388"/>
    <cellStyle name="Обычный 10 8 4 2 2 3 2" xfId="10389"/>
    <cellStyle name="Обычный 10 8 4 2 2 3 2 2" xfId="10390"/>
    <cellStyle name="Обычный 10 8 4 2 2 3 2 3" xfId="10391"/>
    <cellStyle name="Обычный 10 8 4 2 2 3 3" xfId="10392"/>
    <cellStyle name="Обычный 10 8 4 2 2 3 3 2" xfId="10393"/>
    <cellStyle name="Обычный 10 8 4 2 2 3 3 3" xfId="10394"/>
    <cellStyle name="Обычный 10 8 4 2 2 3 4" xfId="10395"/>
    <cellStyle name="Обычный 10 8 4 2 2 3 4 2" xfId="10396"/>
    <cellStyle name="Обычный 10 8 4 2 2 3 5" xfId="10397"/>
    <cellStyle name="Обычный 10 8 4 2 2 3 6" xfId="10398"/>
    <cellStyle name="Обычный 10 8 4 2 2 4" xfId="10399"/>
    <cellStyle name="Обычный 10 8 4 2 2 4 2" xfId="10400"/>
    <cellStyle name="Обычный 10 8 4 2 2 4 3" xfId="10401"/>
    <cellStyle name="Обычный 10 8 4 2 2 5" xfId="10402"/>
    <cellStyle name="Обычный 10 8 4 2 2 5 2" xfId="10403"/>
    <cellStyle name="Обычный 10 8 4 2 2 5 3" xfId="10404"/>
    <cellStyle name="Обычный 10 8 4 2 2 6" xfId="10405"/>
    <cellStyle name="Обычный 10 8 4 2 2 6 2" xfId="10406"/>
    <cellStyle name="Обычный 10 8 4 2 2 7" xfId="10407"/>
    <cellStyle name="Обычный 10 8 4 2 2 8" xfId="10408"/>
    <cellStyle name="Обычный 10 8 4 2 3" xfId="10409"/>
    <cellStyle name="Обычный 10 8 4 2 3 2" xfId="10410"/>
    <cellStyle name="Обычный 10 8 4 2 3 2 2" xfId="10411"/>
    <cellStyle name="Обычный 10 8 4 2 3 2 2 2" xfId="10412"/>
    <cellStyle name="Обычный 10 8 4 2 3 2 2 3" xfId="10413"/>
    <cellStyle name="Обычный 10 8 4 2 3 2 3" xfId="10414"/>
    <cellStyle name="Обычный 10 8 4 2 3 2 3 2" xfId="10415"/>
    <cellStyle name="Обычный 10 8 4 2 3 2 3 3" xfId="10416"/>
    <cellStyle name="Обычный 10 8 4 2 3 2 4" xfId="10417"/>
    <cellStyle name="Обычный 10 8 4 2 3 2 4 2" xfId="10418"/>
    <cellStyle name="Обычный 10 8 4 2 3 2 5" xfId="10419"/>
    <cellStyle name="Обычный 10 8 4 2 3 2 6" xfId="10420"/>
    <cellStyle name="Обычный 10 8 4 2 3 3" xfId="10421"/>
    <cellStyle name="Обычный 10 8 4 2 3 3 2" xfId="10422"/>
    <cellStyle name="Обычный 10 8 4 2 3 3 3" xfId="10423"/>
    <cellStyle name="Обычный 10 8 4 2 3 4" xfId="10424"/>
    <cellStyle name="Обычный 10 8 4 2 3 4 2" xfId="10425"/>
    <cellStyle name="Обычный 10 8 4 2 3 4 3" xfId="10426"/>
    <cellStyle name="Обычный 10 8 4 2 3 5" xfId="10427"/>
    <cellStyle name="Обычный 10 8 4 2 3 5 2" xfId="10428"/>
    <cellStyle name="Обычный 10 8 4 2 3 6" xfId="10429"/>
    <cellStyle name="Обычный 10 8 4 2 3 7" xfId="10430"/>
    <cellStyle name="Обычный 10 8 4 2 4" xfId="10431"/>
    <cellStyle name="Обычный 10 8 4 2 4 2" xfId="10432"/>
    <cellStyle name="Обычный 10 8 4 2 4 2 2" xfId="10433"/>
    <cellStyle name="Обычный 10 8 4 2 4 2 3" xfId="10434"/>
    <cellStyle name="Обычный 10 8 4 2 4 3" xfId="10435"/>
    <cellStyle name="Обычный 10 8 4 2 4 3 2" xfId="10436"/>
    <cellStyle name="Обычный 10 8 4 2 4 3 3" xfId="10437"/>
    <cellStyle name="Обычный 10 8 4 2 4 4" xfId="10438"/>
    <cellStyle name="Обычный 10 8 4 2 4 4 2" xfId="10439"/>
    <cellStyle name="Обычный 10 8 4 2 4 5" xfId="10440"/>
    <cellStyle name="Обычный 10 8 4 2 4 6" xfId="10441"/>
    <cellStyle name="Обычный 10 8 4 2 5" xfId="10442"/>
    <cellStyle name="Обычный 10 8 4 2 5 2" xfId="10443"/>
    <cellStyle name="Обычный 10 8 4 2 5 3" xfId="10444"/>
    <cellStyle name="Обычный 10 8 4 2 6" xfId="10445"/>
    <cellStyle name="Обычный 10 8 4 2 6 2" xfId="10446"/>
    <cellStyle name="Обычный 10 8 4 2 6 3" xfId="10447"/>
    <cellStyle name="Обычный 10 8 4 2 7" xfId="10448"/>
    <cellStyle name="Обычный 10 8 4 2 7 2" xfId="10449"/>
    <cellStyle name="Обычный 10 8 4 2 8" xfId="10450"/>
    <cellStyle name="Обычный 10 8 4 2 9" xfId="10451"/>
    <cellStyle name="Обычный 10 8 4 3" xfId="10452"/>
    <cellStyle name="Обычный 10 8 4 3 2" xfId="10453"/>
    <cellStyle name="Обычный 10 8 4 3 2 2" xfId="10454"/>
    <cellStyle name="Обычный 10 8 4 3 2 2 2" xfId="10455"/>
    <cellStyle name="Обычный 10 8 4 3 2 2 2 2" xfId="10456"/>
    <cellStyle name="Обычный 10 8 4 3 2 2 2 3" xfId="10457"/>
    <cellStyle name="Обычный 10 8 4 3 2 2 3" xfId="10458"/>
    <cellStyle name="Обычный 10 8 4 3 2 2 3 2" xfId="10459"/>
    <cellStyle name="Обычный 10 8 4 3 2 2 3 3" xfId="10460"/>
    <cellStyle name="Обычный 10 8 4 3 2 2 4" xfId="10461"/>
    <cellStyle name="Обычный 10 8 4 3 2 2 4 2" xfId="10462"/>
    <cellStyle name="Обычный 10 8 4 3 2 2 5" xfId="10463"/>
    <cellStyle name="Обычный 10 8 4 3 2 2 6" xfId="10464"/>
    <cellStyle name="Обычный 10 8 4 3 2 3" xfId="10465"/>
    <cellStyle name="Обычный 10 8 4 3 2 3 2" xfId="10466"/>
    <cellStyle name="Обычный 10 8 4 3 2 3 3" xfId="10467"/>
    <cellStyle name="Обычный 10 8 4 3 2 4" xfId="10468"/>
    <cellStyle name="Обычный 10 8 4 3 2 4 2" xfId="10469"/>
    <cellStyle name="Обычный 10 8 4 3 2 4 3" xfId="10470"/>
    <cellStyle name="Обычный 10 8 4 3 2 5" xfId="10471"/>
    <cellStyle name="Обычный 10 8 4 3 2 5 2" xfId="10472"/>
    <cellStyle name="Обычный 10 8 4 3 2 6" xfId="10473"/>
    <cellStyle name="Обычный 10 8 4 3 2 7" xfId="10474"/>
    <cellStyle name="Обычный 10 8 4 3 3" xfId="10475"/>
    <cellStyle name="Обычный 10 8 4 3 3 2" xfId="10476"/>
    <cellStyle name="Обычный 10 8 4 3 3 2 2" xfId="10477"/>
    <cellStyle name="Обычный 10 8 4 3 3 2 3" xfId="10478"/>
    <cellStyle name="Обычный 10 8 4 3 3 3" xfId="10479"/>
    <cellStyle name="Обычный 10 8 4 3 3 3 2" xfId="10480"/>
    <cellStyle name="Обычный 10 8 4 3 3 3 3" xfId="10481"/>
    <cellStyle name="Обычный 10 8 4 3 3 4" xfId="10482"/>
    <cellStyle name="Обычный 10 8 4 3 3 4 2" xfId="10483"/>
    <cellStyle name="Обычный 10 8 4 3 3 5" xfId="10484"/>
    <cellStyle name="Обычный 10 8 4 3 3 6" xfId="10485"/>
    <cellStyle name="Обычный 10 8 4 3 4" xfId="10486"/>
    <cellStyle name="Обычный 10 8 4 3 4 2" xfId="10487"/>
    <cellStyle name="Обычный 10 8 4 3 4 3" xfId="10488"/>
    <cellStyle name="Обычный 10 8 4 3 5" xfId="10489"/>
    <cellStyle name="Обычный 10 8 4 3 5 2" xfId="10490"/>
    <cellStyle name="Обычный 10 8 4 3 5 3" xfId="10491"/>
    <cellStyle name="Обычный 10 8 4 3 6" xfId="10492"/>
    <cellStyle name="Обычный 10 8 4 3 6 2" xfId="10493"/>
    <cellStyle name="Обычный 10 8 4 3 7" xfId="10494"/>
    <cellStyle name="Обычный 10 8 4 3 8" xfId="10495"/>
    <cellStyle name="Обычный 10 8 4 4" xfId="10496"/>
    <cellStyle name="Обычный 10 8 4 4 2" xfId="10497"/>
    <cellStyle name="Обычный 10 8 4 4 2 2" xfId="10498"/>
    <cellStyle name="Обычный 10 8 4 4 2 2 2" xfId="10499"/>
    <cellStyle name="Обычный 10 8 4 4 2 2 3" xfId="10500"/>
    <cellStyle name="Обычный 10 8 4 4 2 3" xfId="10501"/>
    <cellStyle name="Обычный 10 8 4 4 2 3 2" xfId="10502"/>
    <cellStyle name="Обычный 10 8 4 4 2 3 3" xfId="10503"/>
    <cellStyle name="Обычный 10 8 4 4 2 4" xfId="10504"/>
    <cellStyle name="Обычный 10 8 4 4 2 4 2" xfId="10505"/>
    <cellStyle name="Обычный 10 8 4 4 2 5" xfId="10506"/>
    <cellStyle name="Обычный 10 8 4 4 2 6" xfId="10507"/>
    <cellStyle name="Обычный 10 8 4 4 3" xfId="10508"/>
    <cellStyle name="Обычный 10 8 4 4 3 2" xfId="10509"/>
    <cellStyle name="Обычный 10 8 4 4 3 3" xfId="10510"/>
    <cellStyle name="Обычный 10 8 4 4 4" xfId="10511"/>
    <cellStyle name="Обычный 10 8 4 4 4 2" xfId="10512"/>
    <cellStyle name="Обычный 10 8 4 4 4 3" xfId="10513"/>
    <cellStyle name="Обычный 10 8 4 4 5" xfId="10514"/>
    <cellStyle name="Обычный 10 8 4 4 5 2" xfId="10515"/>
    <cellStyle name="Обычный 10 8 4 4 6" xfId="10516"/>
    <cellStyle name="Обычный 10 8 4 4 7" xfId="10517"/>
    <cellStyle name="Обычный 10 8 4 5" xfId="10518"/>
    <cellStyle name="Обычный 10 8 4 5 2" xfId="10519"/>
    <cellStyle name="Обычный 10 8 4 5 2 2" xfId="10520"/>
    <cellStyle name="Обычный 10 8 4 5 2 3" xfId="10521"/>
    <cellStyle name="Обычный 10 8 4 5 3" xfId="10522"/>
    <cellStyle name="Обычный 10 8 4 5 3 2" xfId="10523"/>
    <cellStyle name="Обычный 10 8 4 5 3 3" xfId="10524"/>
    <cellStyle name="Обычный 10 8 4 5 4" xfId="10525"/>
    <cellStyle name="Обычный 10 8 4 5 4 2" xfId="10526"/>
    <cellStyle name="Обычный 10 8 4 5 5" xfId="10527"/>
    <cellStyle name="Обычный 10 8 4 5 6" xfId="10528"/>
    <cellStyle name="Обычный 10 8 4 6" xfId="10529"/>
    <cellStyle name="Обычный 10 8 4 6 2" xfId="10530"/>
    <cellStyle name="Обычный 10 8 4 6 3" xfId="10531"/>
    <cellStyle name="Обычный 10 8 4 7" xfId="10532"/>
    <cellStyle name="Обычный 10 8 4 7 2" xfId="10533"/>
    <cellStyle name="Обычный 10 8 4 7 3" xfId="10534"/>
    <cellStyle name="Обычный 10 8 4 8" xfId="10535"/>
    <cellStyle name="Обычный 10 8 4 8 2" xfId="10536"/>
    <cellStyle name="Обычный 10 8 4 9" xfId="10537"/>
    <cellStyle name="Обычный 10 8 5" xfId="10538"/>
    <cellStyle name="Обычный 10 8 5 10" xfId="10539"/>
    <cellStyle name="Обычный 10 8 5 2" xfId="10540"/>
    <cellStyle name="Обычный 10 8 5 2 2" xfId="10541"/>
    <cellStyle name="Обычный 10 8 5 2 2 2" xfId="10542"/>
    <cellStyle name="Обычный 10 8 5 2 2 2 2" xfId="10543"/>
    <cellStyle name="Обычный 10 8 5 2 2 2 2 2" xfId="10544"/>
    <cellStyle name="Обычный 10 8 5 2 2 2 2 2 2" xfId="10545"/>
    <cellStyle name="Обычный 10 8 5 2 2 2 2 2 3" xfId="10546"/>
    <cellStyle name="Обычный 10 8 5 2 2 2 2 3" xfId="10547"/>
    <cellStyle name="Обычный 10 8 5 2 2 2 2 3 2" xfId="10548"/>
    <cellStyle name="Обычный 10 8 5 2 2 2 2 3 3" xfId="10549"/>
    <cellStyle name="Обычный 10 8 5 2 2 2 2 4" xfId="10550"/>
    <cellStyle name="Обычный 10 8 5 2 2 2 2 4 2" xfId="10551"/>
    <cellStyle name="Обычный 10 8 5 2 2 2 2 5" xfId="10552"/>
    <cellStyle name="Обычный 10 8 5 2 2 2 2 6" xfId="10553"/>
    <cellStyle name="Обычный 10 8 5 2 2 2 3" xfId="10554"/>
    <cellStyle name="Обычный 10 8 5 2 2 2 3 2" xfId="10555"/>
    <cellStyle name="Обычный 10 8 5 2 2 2 3 3" xfId="10556"/>
    <cellStyle name="Обычный 10 8 5 2 2 2 4" xfId="10557"/>
    <cellStyle name="Обычный 10 8 5 2 2 2 4 2" xfId="10558"/>
    <cellStyle name="Обычный 10 8 5 2 2 2 4 3" xfId="10559"/>
    <cellStyle name="Обычный 10 8 5 2 2 2 5" xfId="10560"/>
    <cellStyle name="Обычный 10 8 5 2 2 2 5 2" xfId="10561"/>
    <cellStyle name="Обычный 10 8 5 2 2 2 6" xfId="10562"/>
    <cellStyle name="Обычный 10 8 5 2 2 2 7" xfId="10563"/>
    <cellStyle name="Обычный 10 8 5 2 2 3" xfId="10564"/>
    <cellStyle name="Обычный 10 8 5 2 2 3 2" xfId="10565"/>
    <cellStyle name="Обычный 10 8 5 2 2 3 2 2" xfId="10566"/>
    <cellStyle name="Обычный 10 8 5 2 2 3 2 3" xfId="10567"/>
    <cellStyle name="Обычный 10 8 5 2 2 3 3" xfId="10568"/>
    <cellStyle name="Обычный 10 8 5 2 2 3 3 2" xfId="10569"/>
    <cellStyle name="Обычный 10 8 5 2 2 3 3 3" xfId="10570"/>
    <cellStyle name="Обычный 10 8 5 2 2 3 4" xfId="10571"/>
    <cellStyle name="Обычный 10 8 5 2 2 3 4 2" xfId="10572"/>
    <cellStyle name="Обычный 10 8 5 2 2 3 5" xfId="10573"/>
    <cellStyle name="Обычный 10 8 5 2 2 3 6" xfId="10574"/>
    <cellStyle name="Обычный 10 8 5 2 2 4" xfId="10575"/>
    <cellStyle name="Обычный 10 8 5 2 2 4 2" xfId="10576"/>
    <cellStyle name="Обычный 10 8 5 2 2 4 3" xfId="10577"/>
    <cellStyle name="Обычный 10 8 5 2 2 5" xfId="10578"/>
    <cellStyle name="Обычный 10 8 5 2 2 5 2" xfId="10579"/>
    <cellStyle name="Обычный 10 8 5 2 2 5 3" xfId="10580"/>
    <cellStyle name="Обычный 10 8 5 2 2 6" xfId="10581"/>
    <cellStyle name="Обычный 10 8 5 2 2 6 2" xfId="10582"/>
    <cellStyle name="Обычный 10 8 5 2 2 7" xfId="10583"/>
    <cellStyle name="Обычный 10 8 5 2 2 8" xfId="10584"/>
    <cellStyle name="Обычный 10 8 5 2 3" xfId="10585"/>
    <cellStyle name="Обычный 10 8 5 2 3 2" xfId="10586"/>
    <cellStyle name="Обычный 10 8 5 2 3 2 2" xfId="10587"/>
    <cellStyle name="Обычный 10 8 5 2 3 2 2 2" xfId="10588"/>
    <cellStyle name="Обычный 10 8 5 2 3 2 2 3" xfId="10589"/>
    <cellStyle name="Обычный 10 8 5 2 3 2 3" xfId="10590"/>
    <cellStyle name="Обычный 10 8 5 2 3 2 3 2" xfId="10591"/>
    <cellStyle name="Обычный 10 8 5 2 3 2 3 3" xfId="10592"/>
    <cellStyle name="Обычный 10 8 5 2 3 2 4" xfId="10593"/>
    <cellStyle name="Обычный 10 8 5 2 3 2 4 2" xfId="10594"/>
    <cellStyle name="Обычный 10 8 5 2 3 2 5" xfId="10595"/>
    <cellStyle name="Обычный 10 8 5 2 3 2 6" xfId="10596"/>
    <cellStyle name="Обычный 10 8 5 2 3 3" xfId="10597"/>
    <cellStyle name="Обычный 10 8 5 2 3 3 2" xfId="10598"/>
    <cellStyle name="Обычный 10 8 5 2 3 3 3" xfId="10599"/>
    <cellStyle name="Обычный 10 8 5 2 3 4" xfId="10600"/>
    <cellStyle name="Обычный 10 8 5 2 3 4 2" xfId="10601"/>
    <cellStyle name="Обычный 10 8 5 2 3 4 3" xfId="10602"/>
    <cellStyle name="Обычный 10 8 5 2 3 5" xfId="10603"/>
    <cellStyle name="Обычный 10 8 5 2 3 5 2" xfId="10604"/>
    <cellStyle name="Обычный 10 8 5 2 3 6" xfId="10605"/>
    <cellStyle name="Обычный 10 8 5 2 3 7" xfId="10606"/>
    <cellStyle name="Обычный 10 8 5 2 4" xfId="10607"/>
    <cellStyle name="Обычный 10 8 5 2 4 2" xfId="10608"/>
    <cellStyle name="Обычный 10 8 5 2 4 2 2" xfId="10609"/>
    <cellStyle name="Обычный 10 8 5 2 4 2 3" xfId="10610"/>
    <cellStyle name="Обычный 10 8 5 2 4 3" xfId="10611"/>
    <cellStyle name="Обычный 10 8 5 2 4 3 2" xfId="10612"/>
    <cellStyle name="Обычный 10 8 5 2 4 3 3" xfId="10613"/>
    <cellStyle name="Обычный 10 8 5 2 4 4" xfId="10614"/>
    <cellStyle name="Обычный 10 8 5 2 4 4 2" xfId="10615"/>
    <cellStyle name="Обычный 10 8 5 2 4 5" xfId="10616"/>
    <cellStyle name="Обычный 10 8 5 2 4 6" xfId="10617"/>
    <cellStyle name="Обычный 10 8 5 2 5" xfId="10618"/>
    <cellStyle name="Обычный 10 8 5 2 5 2" xfId="10619"/>
    <cellStyle name="Обычный 10 8 5 2 5 3" xfId="10620"/>
    <cellStyle name="Обычный 10 8 5 2 6" xfId="10621"/>
    <cellStyle name="Обычный 10 8 5 2 6 2" xfId="10622"/>
    <cellStyle name="Обычный 10 8 5 2 6 3" xfId="10623"/>
    <cellStyle name="Обычный 10 8 5 2 7" xfId="10624"/>
    <cellStyle name="Обычный 10 8 5 2 7 2" xfId="10625"/>
    <cellStyle name="Обычный 10 8 5 2 8" xfId="10626"/>
    <cellStyle name="Обычный 10 8 5 2 9" xfId="10627"/>
    <cellStyle name="Обычный 10 8 5 3" xfId="10628"/>
    <cellStyle name="Обычный 10 8 5 3 2" xfId="10629"/>
    <cellStyle name="Обычный 10 8 5 3 2 2" xfId="10630"/>
    <cellStyle name="Обычный 10 8 5 3 2 2 2" xfId="10631"/>
    <cellStyle name="Обычный 10 8 5 3 2 2 2 2" xfId="10632"/>
    <cellStyle name="Обычный 10 8 5 3 2 2 2 3" xfId="10633"/>
    <cellStyle name="Обычный 10 8 5 3 2 2 3" xfId="10634"/>
    <cellStyle name="Обычный 10 8 5 3 2 2 3 2" xfId="10635"/>
    <cellStyle name="Обычный 10 8 5 3 2 2 3 3" xfId="10636"/>
    <cellStyle name="Обычный 10 8 5 3 2 2 4" xfId="10637"/>
    <cellStyle name="Обычный 10 8 5 3 2 2 4 2" xfId="10638"/>
    <cellStyle name="Обычный 10 8 5 3 2 2 5" xfId="10639"/>
    <cellStyle name="Обычный 10 8 5 3 2 2 6" xfId="10640"/>
    <cellStyle name="Обычный 10 8 5 3 2 3" xfId="10641"/>
    <cellStyle name="Обычный 10 8 5 3 2 3 2" xfId="10642"/>
    <cellStyle name="Обычный 10 8 5 3 2 3 3" xfId="10643"/>
    <cellStyle name="Обычный 10 8 5 3 2 4" xfId="10644"/>
    <cellStyle name="Обычный 10 8 5 3 2 4 2" xfId="10645"/>
    <cellStyle name="Обычный 10 8 5 3 2 4 3" xfId="10646"/>
    <cellStyle name="Обычный 10 8 5 3 2 5" xfId="10647"/>
    <cellStyle name="Обычный 10 8 5 3 2 5 2" xfId="10648"/>
    <cellStyle name="Обычный 10 8 5 3 2 6" xfId="10649"/>
    <cellStyle name="Обычный 10 8 5 3 2 7" xfId="10650"/>
    <cellStyle name="Обычный 10 8 5 3 3" xfId="10651"/>
    <cellStyle name="Обычный 10 8 5 3 3 2" xfId="10652"/>
    <cellStyle name="Обычный 10 8 5 3 3 2 2" xfId="10653"/>
    <cellStyle name="Обычный 10 8 5 3 3 2 3" xfId="10654"/>
    <cellStyle name="Обычный 10 8 5 3 3 3" xfId="10655"/>
    <cellStyle name="Обычный 10 8 5 3 3 3 2" xfId="10656"/>
    <cellStyle name="Обычный 10 8 5 3 3 3 3" xfId="10657"/>
    <cellStyle name="Обычный 10 8 5 3 3 4" xfId="10658"/>
    <cellStyle name="Обычный 10 8 5 3 3 4 2" xfId="10659"/>
    <cellStyle name="Обычный 10 8 5 3 3 5" xfId="10660"/>
    <cellStyle name="Обычный 10 8 5 3 3 6" xfId="10661"/>
    <cellStyle name="Обычный 10 8 5 3 4" xfId="10662"/>
    <cellStyle name="Обычный 10 8 5 3 4 2" xfId="10663"/>
    <cellStyle name="Обычный 10 8 5 3 4 3" xfId="10664"/>
    <cellStyle name="Обычный 10 8 5 3 5" xfId="10665"/>
    <cellStyle name="Обычный 10 8 5 3 5 2" xfId="10666"/>
    <cellStyle name="Обычный 10 8 5 3 5 3" xfId="10667"/>
    <cellStyle name="Обычный 10 8 5 3 6" xfId="10668"/>
    <cellStyle name="Обычный 10 8 5 3 6 2" xfId="10669"/>
    <cellStyle name="Обычный 10 8 5 3 7" xfId="10670"/>
    <cellStyle name="Обычный 10 8 5 3 8" xfId="10671"/>
    <cellStyle name="Обычный 10 8 5 4" xfId="10672"/>
    <cellStyle name="Обычный 10 8 5 4 2" xfId="10673"/>
    <cellStyle name="Обычный 10 8 5 4 2 2" xfId="10674"/>
    <cellStyle name="Обычный 10 8 5 4 2 2 2" xfId="10675"/>
    <cellStyle name="Обычный 10 8 5 4 2 2 3" xfId="10676"/>
    <cellStyle name="Обычный 10 8 5 4 2 3" xfId="10677"/>
    <cellStyle name="Обычный 10 8 5 4 2 3 2" xfId="10678"/>
    <cellStyle name="Обычный 10 8 5 4 2 3 3" xfId="10679"/>
    <cellStyle name="Обычный 10 8 5 4 2 4" xfId="10680"/>
    <cellStyle name="Обычный 10 8 5 4 2 4 2" xfId="10681"/>
    <cellStyle name="Обычный 10 8 5 4 2 5" xfId="10682"/>
    <cellStyle name="Обычный 10 8 5 4 2 6" xfId="10683"/>
    <cellStyle name="Обычный 10 8 5 4 3" xfId="10684"/>
    <cellStyle name="Обычный 10 8 5 4 3 2" xfId="10685"/>
    <cellStyle name="Обычный 10 8 5 4 3 3" xfId="10686"/>
    <cellStyle name="Обычный 10 8 5 4 4" xfId="10687"/>
    <cellStyle name="Обычный 10 8 5 4 4 2" xfId="10688"/>
    <cellStyle name="Обычный 10 8 5 4 4 3" xfId="10689"/>
    <cellStyle name="Обычный 10 8 5 4 5" xfId="10690"/>
    <cellStyle name="Обычный 10 8 5 4 5 2" xfId="10691"/>
    <cellStyle name="Обычный 10 8 5 4 6" xfId="10692"/>
    <cellStyle name="Обычный 10 8 5 4 7" xfId="10693"/>
    <cellStyle name="Обычный 10 8 5 5" xfId="10694"/>
    <cellStyle name="Обычный 10 8 5 5 2" xfId="10695"/>
    <cellStyle name="Обычный 10 8 5 5 2 2" xfId="10696"/>
    <cellStyle name="Обычный 10 8 5 5 2 3" xfId="10697"/>
    <cellStyle name="Обычный 10 8 5 5 3" xfId="10698"/>
    <cellStyle name="Обычный 10 8 5 5 3 2" xfId="10699"/>
    <cellStyle name="Обычный 10 8 5 5 3 3" xfId="10700"/>
    <cellStyle name="Обычный 10 8 5 5 4" xfId="10701"/>
    <cellStyle name="Обычный 10 8 5 5 4 2" xfId="10702"/>
    <cellStyle name="Обычный 10 8 5 5 5" xfId="10703"/>
    <cellStyle name="Обычный 10 8 5 5 6" xfId="10704"/>
    <cellStyle name="Обычный 10 8 5 6" xfId="10705"/>
    <cellStyle name="Обычный 10 8 5 6 2" xfId="10706"/>
    <cellStyle name="Обычный 10 8 5 6 3" xfId="10707"/>
    <cellStyle name="Обычный 10 8 5 7" xfId="10708"/>
    <cellStyle name="Обычный 10 8 5 7 2" xfId="10709"/>
    <cellStyle name="Обычный 10 8 5 7 3" xfId="10710"/>
    <cellStyle name="Обычный 10 8 5 8" xfId="10711"/>
    <cellStyle name="Обычный 10 8 5 8 2" xfId="10712"/>
    <cellStyle name="Обычный 10 8 5 9" xfId="10713"/>
    <cellStyle name="Обычный 10 8 6" xfId="10714"/>
    <cellStyle name="Обычный 10 8 6 2" xfId="10715"/>
    <cellStyle name="Обычный 10 8 6 2 2" xfId="10716"/>
    <cellStyle name="Обычный 10 8 6 2 2 2" xfId="10717"/>
    <cellStyle name="Обычный 10 8 6 2 2 2 2" xfId="10718"/>
    <cellStyle name="Обычный 10 8 6 2 2 2 2 2" xfId="10719"/>
    <cellStyle name="Обычный 10 8 6 2 2 2 2 3" xfId="10720"/>
    <cellStyle name="Обычный 10 8 6 2 2 2 3" xfId="10721"/>
    <cellStyle name="Обычный 10 8 6 2 2 2 3 2" xfId="10722"/>
    <cellStyle name="Обычный 10 8 6 2 2 2 3 3" xfId="10723"/>
    <cellStyle name="Обычный 10 8 6 2 2 2 4" xfId="10724"/>
    <cellStyle name="Обычный 10 8 6 2 2 2 4 2" xfId="10725"/>
    <cellStyle name="Обычный 10 8 6 2 2 2 5" xfId="10726"/>
    <cellStyle name="Обычный 10 8 6 2 2 2 6" xfId="10727"/>
    <cellStyle name="Обычный 10 8 6 2 2 3" xfId="10728"/>
    <cellStyle name="Обычный 10 8 6 2 2 3 2" xfId="10729"/>
    <cellStyle name="Обычный 10 8 6 2 2 3 3" xfId="10730"/>
    <cellStyle name="Обычный 10 8 6 2 2 4" xfId="10731"/>
    <cellStyle name="Обычный 10 8 6 2 2 4 2" xfId="10732"/>
    <cellStyle name="Обычный 10 8 6 2 2 4 3" xfId="10733"/>
    <cellStyle name="Обычный 10 8 6 2 2 5" xfId="10734"/>
    <cellStyle name="Обычный 10 8 6 2 2 5 2" xfId="10735"/>
    <cellStyle name="Обычный 10 8 6 2 2 6" xfId="10736"/>
    <cellStyle name="Обычный 10 8 6 2 2 7" xfId="10737"/>
    <cellStyle name="Обычный 10 8 6 2 3" xfId="10738"/>
    <cellStyle name="Обычный 10 8 6 2 3 2" xfId="10739"/>
    <cellStyle name="Обычный 10 8 6 2 3 2 2" xfId="10740"/>
    <cellStyle name="Обычный 10 8 6 2 3 2 3" xfId="10741"/>
    <cellStyle name="Обычный 10 8 6 2 3 3" xfId="10742"/>
    <cellStyle name="Обычный 10 8 6 2 3 3 2" xfId="10743"/>
    <cellStyle name="Обычный 10 8 6 2 3 3 3" xfId="10744"/>
    <cellStyle name="Обычный 10 8 6 2 3 4" xfId="10745"/>
    <cellStyle name="Обычный 10 8 6 2 3 4 2" xfId="10746"/>
    <cellStyle name="Обычный 10 8 6 2 3 5" xfId="10747"/>
    <cellStyle name="Обычный 10 8 6 2 3 6" xfId="10748"/>
    <cellStyle name="Обычный 10 8 6 2 4" xfId="10749"/>
    <cellStyle name="Обычный 10 8 6 2 4 2" xfId="10750"/>
    <cellStyle name="Обычный 10 8 6 2 4 3" xfId="10751"/>
    <cellStyle name="Обычный 10 8 6 2 5" xfId="10752"/>
    <cellStyle name="Обычный 10 8 6 2 5 2" xfId="10753"/>
    <cellStyle name="Обычный 10 8 6 2 5 3" xfId="10754"/>
    <cellStyle name="Обычный 10 8 6 2 6" xfId="10755"/>
    <cellStyle name="Обычный 10 8 6 2 6 2" xfId="10756"/>
    <cellStyle name="Обычный 10 8 6 2 7" xfId="10757"/>
    <cellStyle name="Обычный 10 8 6 2 8" xfId="10758"/>
    <cellStyle name="Обычный 10 8 6 3" xfId="10759"/>
    <cellStyle name="Обычный 10 8 6 3 2" xfId="10760"/>
    <cellStyle name="Обычный 10 8 6 3 2 2" xfId="10761"/>
    <cellStyle name="Обычный 10 8 6 3 2 2 2" xfId="10762"/>
    <cellStyle name="Обычный 10 8 6 3 2 2 3" xfId="10763"/>
    <cellStyle name="Обычный 10 8 6 3 2 3" xfId="10764"/>
    <cellStyle name="Обычный 10 8 6 3 2 3 2" xfId="10765"/>
    <cellStyle name="Обычный 10 8 6 3 2 3 3" xfId="10766"/>
    <cellStyle name="Обычный 10 8 6 3 2 4" xfId="10767"/>
    <cellStyle name="Обычный 10 8 6 3 2 4 2" xfId="10768"/>
    <cellStyle name="Обычный 10 8 6 3 2 5" xfId="10769"/>
    <cellStyle name="Обычный 10 8 6 3 2 6" xfId="10770"/>
    <cellStyle name="Обычный 10 8 6 3 3" xfId="10771"/>
    <cellStyle name="Обычный 10 8 6 3 3 2" xfId="10772"/>
    <cellStyle name="Обычный 10 8 6 3 3 3" xfId="10773"/>
    <cellStyle name="Обычный 10 8 6 3 4" xfId="10774"/>
    <cellStyle name="Обычный 10 8 6 3 4 2" xfId="10775"/>
    <cellStyle name="Обычный 10 8 6 3 4 3" xfId="10776"/>
    <cellStyle name="Обычный 10 8 6 3 5" xfId="10777"/>
    <cellStyle name="Обычный 10 8 6 3 5 2" xfId="10778"/>
    <cellStyle name="Обычный 10 8 6 3 6" xfId="10779"/>
    <cellStyle name="Обычный 10 8 6 3 7" xfId="10780"/>
    <cellStyle name="Обычный 10 8 6 4" xfId="10781"/>
    <cellStyle name="Обычный 10 8 6 4 2" xfId="10782"/>
    <cellStyle name="Обычный 10 8 6 4 2 2" xfId="10783"/>
    <cellStyle name="Обычный 10 8 6 4 2 3" xfId="10784"/>
    <cellStyle name="Обычный 10 8 6 4 3" xfId="10785"/>
    <cellStyle name="Обычный 10 8 6 4 3 2" xfId="10786"/>
    <cellStyle name="Обычный 10 8 6 4 3 3" xfId="10787"/>
    <cellStyle name="Обычный 10 8 6 4 4" xfId="10788"/>
    <cellStyle name="Обычный 10 8 6 4 4 2" xfId="10789"/>
    <cellStyle name="Обычный 10 8 6 4 5" xfId="10790"/>
    <cellStyle name="Обычный 10 8 6 4 6" xfId="10791"/>
    <cellStyle name="Обычный 10 8 6 5" xfId="10792"/>
    <cellStyle name="Обычный 10 8 6 5 2" xfId="10793"/>
    <cellStyle name="Обычный 10 8 6 5 3" xfId="10794"/>
    <cellStyle name="Обычный 10 8 6 6" xfId="10795"/>
    <cellStyle name="Обычный 10 8 6 6 2" xfId="10796"/>
    <cellStyle name="Обычный 10 8 6 6 3" xfId="10797"/>
    <cellStyle name="Обычный 10 8 6 7" xfId="10798"/>
    <cellStyle name="Обычный 10 8 6 7 2" xfId="10799"/>
    <cellStyle name="Обычный 10 8 6 8" xfId="10800"/>
    <cellStyle name="Обычный 10 8 6 9" xfId="10801"/>
    <cellStyle name="Обычный 10 8 7" xfId="10802"/>
    <cellStyle name="Обычный 10 8 7 2" xfId="10803"/>
    <cellStyle name="Обычный 10 8 7 2 2" xfId="10804"/>
    <cellStyle name="Обычный 10 8 7 2 2 2" xfId="10805"/>
    <cellStyle name="Обычный 10 8 7 2 2 2 2" xfId="10806"/>
    <cellStyle name="Обычный 10 8 7 2 2 2 3" xfId="10807"/>
    <cellStyle name="Обычный 10 8 7 2 2 3" xfId="10808"/>
    <cellStyle name="Обычный 10 8 7 2 2 3 2" xfId="10809"/>
    <cellStyle name="Обычный 10 8 7 2 2 3 3" xfId="10810"/>
    <cellStyle name="Обычный 10 8 7 2 2 4" xfId="10811"/>
    <cellStyle name="Обычный 10 8 7 2 2 4 2" xfId="10812"/>
    <cellStyle name="Обычный 10 8 7 2 2 5" xfId="10813"/>
    <cellStyle name="Обычный 10 8 7 2 2 6" xfId="10814"/>
    <cellStyle name="Обычный 10 8 7 2 3" xfId="10815"/>
    <cellStyle name="Обычный 10 8 7 2 3 2" xfId="10816"/>
    <cellStyle name="Обычный 10 8 7 2 3 3" xfId="10817"/>
    <cellStyle name="Обычный 10 8 7 2 4" xfId="10818"/>
    <cellStyle name="Обычный 10 8 7 2 4 2" xfId="10819"/>
    <cellStyle name="Обычный 10 8 7 2 4 3" xfId="10820"/>
    <cellStyle name="Обычный 10 8 7 2 5" xfId="10821"/>
    <cellStyle name="Обычный 10 8 7 2 5 2" xfId="10822"/>
    <cellStyle name="Обычный 10 8 7 2 6" xfId="10823"/>
    <cellStyle name="Обычный 10 8 7 2 7" xfId="10824"/>
    <cellStyle name="Обычный 10 8 7 3" xfId="10825"/>
    <cellStyle name="Обычный 10 8 7 3 2" xfId="10826"/>
    <cellStyle name="Обычный 10 8 7 3 2 2" xfId="10827"/>
    <cellStyle name="Обычный 10 8 7 3 2 3" xfId="10828"/>
    <cellStyle name="Обычный 10 8 7 3 3" xfId="10829"/>
    <cellStyle name="Обычный 10 8 7 3 3 2" xfId="10830"/>
    <cellStyle name="Обычный 10 8 7 3 3 3" xfId="10831"/>
    <cellStyle name="Обычный 10 8 7 3 4" xfId="10832"/>
    <cellStyle name="Обычный 10 8 7 3 4 2" xfId="10833"/>
    <cellStyle name="Обычный 10 8 7 3 5" xfId="10834"/>
    <cellStyle name="Обычный 10 8 7 3 6" xfId="10835"/>
    <cellStyle name="Обычный 10 8 7 4" xfId="10836"/>
    <cellStyle name="Обычный 10 8 7 4 2" xfId="10837"/>
    <cellStyle name="Обычный 10 8 7 4 3" xfId="10838"/>
    <cellStyle name="Обычный 10 8 7 5" xfId="10839"/>
    <cellStyle name="Обычный 10 8 7 5 2" xfId="10840"/>
    <cellStyle name="Обычный 10 8 7 5 3" xfId="10841"/>
    <cellStyle name="Обычный 10 8 7 6" xfId="10842"/>
    <cellStyle name="Обычный 10 8 7 6 2" xfId="10843"/>
    <cellStyle name="Обычный 10 8 7 7" xfId="10844"/>
    <cellStyle name="Обычный 10 8 7 8" xfId="10845"/>
    <cellStyle name="Обычный 10 8 8" xfId="10846"/>
    <cellStyle name="Обычный 10 8 8 2" xfId="10847"/>
    <cellStyle name="Обычный 10 8 8 2 2" xfId="10848"/>
    <cellStyle name="Обычный 10 8 8 2 2 2" xfId="10849"/>
    <cellStyle name="Обычный 10 8 8 2 2 3" xfId="10850"/>
    <cellStyle name="Обычный 10 8 8 2 3" xfId="10851"/>
    <cellStyle name="Обычный 10 8 8 2 3 2" xfId="10852"/>
    <cellStyle name="Обычный 10 8 8 2 3 3" xfId="10853"/>
    <cellStyle name="Обычный 10 8 8 2 4" xfId="10854"/>
    <cellStyle name="Обычный 10 8 8 2 4 2" xfId="10855"/>
    <cellStyle name="Обычный 10 8 8 2 5" xfId="10856"/>
    <cellStyle name="Обычный 10 8 8 2 6" xfId="10857"/>
    <cellStyle name="Обычный 10 8 8 3" xfId="10858"/>
    <cellStyle name="Обычный 10 8 8 3 2" xfId="10859"/>
    <cellStyle name="Обычный 10 8 8 3 3" xfId="10860"/>
    <cellStyle name="Обычный 10 8 8 4" xfId="10861"/>
    <cellStyle name="Обычный 10 8 8 4 2" xfId="10862"/>
    <cellStyle name="Обычный 10 8 8 4 3" xfId="10863"/>
    <cellStyle name="Обычный 10 8 8 5" xfId="10864"/>
    <cellStyle name="Обычный 10 8 8 5 2" xfId="10865"/>
    <cellStyle name="Обычный 10 8 8 6" xfId="10866"/>
    <cellStyle name="Обычный 10 8 8 7" xfId="10867"/>
    <cellStyle name="Обычный 10 8 9" xfId="10868"/>
    <cellStyle name="Обычный 10 8 9 2" xfId="10869"/>
    <cellStyle name="Обычный 10 8 9 2 2" xfId="10870"/>
    <cellStyle name="Обычный 10 8 9 2 3" xfId="10871"/>
    <cellStyle name="Обычный 10 8 9 3" xfId="10872"/>
    <cellStyle name="Обычный 10 8 9 3 2" xfId="10873"/>
    <cellStyle name="Обычный 10 8 9 3 3" xfId="10874"/>
    <cellStyle name="Обычный 10 8 9 4" xfId="10875"/>
    <cellStyle name="Обычный 10 8 9 4 2" xfId="10876"/>
    <cellStyle name="Обычный 10 8 9 5" xfId="10877"/>
    <cellStyle name="Обычный 10 8 9 6" xfId="10878"/>
    <cellStyle name="Обычный 10 9" xfId="10879"/>
    <cellStyle name="Обычный 10 9 10" xfId="10880"/>
    <cellStyle name="Обычный 10 9 10 2" xfId="10881"/>
    <cellStyle name="Обычный 10 9 10 3" xfId="10882"/>
    <cellStyle name="Обычный 10 9 11" xfId="10883"/>
    <cellStyle name="Обычный 10 9 11 2" xfId="10884"/>
    <cellStyle name="Обычный 10 9 12" xfId="10885"/>
    <cellStyle name="Обычный 10 9 13" xfId="10886"/>
    <cellStyle name="Обычный 10 9 2" xfId="10887"/>
    <cellStyle name="Обычный 10 9 2 10" xfId="10888"/>
    <cellStyle name="Обычный 10 9 2 2" xfId="10889"/>
    <cellStyle name="Обычный 10 9 2 2 2" xfId="10890"/>
    <cellStyle name="Обычный 10 9 2 2 2 2" xfId="10891"/>
    <cellStyle name="Обычный 10 9 2 2 2 2 2" xfId="10892"/>
    <cellStyle name="Обычный 10 9 2 2 2 2 2 2" xfId="10893"/>
    <cellStyle name="Обычный 10 9 2 2 2 2 2 2 2" xfId="10894"/>
    <cellStyle name="Обычный 10 9 2 2 2 2 2 2 3" xfId="10895"/>
    <cellStyle name="Обычный 10 9 2 2 2 2 2 3" xfId="10896"/>
    <cellStyle name="Обычный 10 9 2 2 2 2 2 3 2" xfId="10897"/>
    <cellStyle name="Обычный 10 9 2 2 2 2 2 3 3" xfId="10898"/>
    <cellStyle name="Обычный 10 9 2 2 2 2 2 4" xfId="10899"/>
    <cellStyle name="Обычный 10 9 2 2 2 2 2 4 2" xfId="10900"/>
    <cellStyle name="Обычный 10 9 2 2 2 2 2 5" xfId="10901"/>
    <cellStyle name="Обычный 10 9 2 2 2 2 2 6" xfId="10902"/>
    <cellStyle name="Обычный 10 9 2 2 2 2 3" xfId="10903"/>
    <cellStyle name="Обычный 10 9 2 2 2 2 3 2" xfId="10904"/>
    <cellStyle name="Обычный 10 9 2 2 2 2 3 3" xfId="10905"/>
    <cellStyle name="Обычный 10 9 2 2 2 2 4" xfId="10906"/>
    <cellStyle name="Обычный 10 9 2 2 2 2 4 2" xfId="10907"/>
    <cellStyle name="Обычный 10 9 2 2 2 2 4 3" xfId="10908"/>
    <cellStyle name="Обычный 10 9 2 2 2 2 5" xfId="10909"/>
    <cellStyle name="Обычный 10 9 2 2 2 2 5 2" xfId="10910"/>
    <cellStyle name="Обычный 10 9 2 2 2 2 6" xfId="10911"/>
    <cellStyle name="Обычный 10 9 2 2 2 2 7" xfId="10912"/>
    <cellStyle name="Обычный 10 9 2 2 2 3" xfId="10913"/>
    <cellStyle name="Обычный 10 9 2 2 2 3 2" xfId="10914"/>
    <cellStyle name="Обычный 10 9 2 2 2 3 2 2" xfId="10915"/>
    <cellStyle name="Обычный 10 9 2 2 2 3 2 3" xfId="10916"/>
    <cellStyle name="Обычный 10 9 2 2 2 3 3" xfId="10917"/>
    <cellStyle name="Обычный 10 9 2 2 2 3 3 2" xfId="10918"/>
    <cellStyle name="Обычный 10 9 2 2 2 3 3 3" xfId="10919"/>
    <cellStyle name="Обычный 10 9 2 2 2 3 4" xfId="10920"/>
    <cellStyle name="Обычный 10 9 2 2 2 3 4 2" xfId="10921"/>
    <cellStyle name="Обычный 10 9 2 2 2 3 5" xfId="10922"/>
    <cellStyle name="Обычный 10 9 2 2 2 3 6" xfId="10923"/>
    <cellStyle name="Обычный 10 9 2 2 2 4" xfId="10924"/>
    <cellStyle name="Обычный 10 9 2 2 2 4 2" xfId="10925"/>
    <cellStyle name="Обычный 10 9 2 2 2 4 3" xfId="10926"/>
    <cellStyle name="Обычный 10 9 2 2 2 5" xfId="10927"/>
    <cellStyle name="Обычный 10 9 2 2 2 5 2" xfId="10928"/>
    <cellStyle name="Обычный 10 9 2 2 2 5 3" xfId="10929"/>
    <cellStyle name="Обычный 10 9 2 2 2 6" xfId="10930"/>
    <cellStyle name="Обычный 10 9 2 2 2 6 2" xfId="10931"/>
    <cellStyle name="Обычный 10 9 2 2 2 7" xfId="10932"/>
    <cellStyle name="Обычный 10 9 2 2 2 8" xfId="10933"/>
    <cellStyle name="Обычный 10 9 2 2 3" xfId="10934"/>
    <cellStyle name="Обычный 10 9 2 2 3 2" xfId="10935"/>
    <cellStyle name="Обычный 10 9 2 2 3 2 2" xfId="10936"/>
    <cellStyle name="Обычный 10 9 2 2 3 2 2 2" xfId="10937"/>
    <cellStyle name="Обычный 10 9 2 2 3 2 2 3" xfId="10938"/>
    <cellStyle name="Обычный 10 9 2 2 3 2 3" xfId="10939"/>
    <cellStyle name="Обычный 10 9 2 2 3 2 3 2" xfId="10940"/>
    <cellStyle name="Обычный 10 9 2 2 3 2 3 3" xfId="10941"/>
    <cellStyle name="Обычный 10 9 2 2 3 2 4" xfId="10942"/>
    <cellStyle name="Обычный 10 9 2 2 3 2 4 2" xfId="10943"/>
    <cellStyle name="Обычный 10 9 2 2 3 2 5" xfId="10944"/>
    <cellStyle name="Обычный 10 9 2 2 3 2 6" xfId="10945"/>
    <cellStyle name="Обычный 10 9 2 2 3 3" xfId="10946"/>
    <cellStyle name="Обычный 10 9 2 2 3 3 2" xfId="10947"/>
    <cellStyle name="Обычный 10 9 2 2 3 3 3" xfId="10948"/>
    <cellStyle name="Обычный 10 9 2 2 3 4" xfId="10949"/>
    <cellStyle name="Обычный 10 9 2 2 3 4 2" xfId="10950"/>
    <cellStyle name="Обычный 10 9 2 2 3 4 3" xfId="10951"/>
    <cellStyle name="Обычный 10 9 2 2 3 5" xfId="10952"/>
    <cellStyle name="Обычный 10 9 2 2 3 5 2" xfId="10953"/>
    <cellStyle name="Обычный 10 9 2 2 3 6" xfId="10954"/>
    <cellStyle name="Обычный 10 9 2 2 3 7" xfId="10955"/>
    <cellStyle name="Обычный 10 9 2 2 4" xfId="10956"/>
    <cellStyle name="Обычный 10 9 2 2 4 2" xfId="10957"/>
    <cellStyle name="Обычный 10 9 2 2 4 2 2" xfId="10958"/>
    <cellStyle name="Обычный 10 9 2 2 4 2 3" xfId="10959"/>
    <cellStyle name="Обычный 10 9 2 2 4 3" xfId="10960"/>
    <cellStyle name="Обычный 10 9 2 2 4 3 2" xfId="10961"/>
    <cellStyle name="Обычный 10 9 2 2 4 3 3" xfId="10962"/>
    <cellStyle name="Обычный 10 9 2 2 4 4" xfId="10963"/>
    <cellStyle name="Обычный 10 9 2 2 4 4 2" xfId="10964"/>
    <cellStyle name="Обычный 10 9 2 2 4 5" xfId="10965"/>
    <cellStyle name="Обычный 10 9 2 2 4 6" xfId="10966"/>
    <cellStyle name="Обычный 10 9 2 2 5" xfId="10967"/>
    <cellStyle name="Обычный 10 9 2 2 5 2" xfId="10968"/>
    <cellStyle name="Обычный 10 9 2 2 5 3" xfId="10969"/>
    <cellStyle name="Обычный 10 9 2 2 6" xfId="10970"/>
    <cellStyle name="Обычный 10 9 2 2 6 2" xfId="10971"/>
    <cellStyle name="Обычный 10 9 2 2 6 3" xfId="10972"/>
    <cellStyle name="Обычный 10 9 2 2 7" xfId="10973"/>
    <cellStyle name="Обычный 10 9 2 2 7 2" xfId="10974"/>
    <cellStyle name="Обычный 10 9 2 2 8" xfId="10975"/>
    <cellStyle name="Обычный 10 9 2 2 9" xfId="10976"/>
    <cellStyle name="Обычный 10 9 2 3" xfId="10977"/>
    <cellStyle name="Обычный 10 9 2 3 2" xfId="10978"/>
    <cellStyle name="Обычный 10 9 2 3 2 2" xfId="10979"/>
    <cellStyle name="Обычный 10 9 2 3 2 2 2" xfId="10980"/>
    <cellStyle name="Обычный 10 9 2 3 2 2 2 2" xfId="10981"/>
    <cellStyle name="Обычный 10 9 2 3 2 2 2 3" xfId="10982"/>
    <cellStyle name="Обычный 10 9 2 3 2 2 3" xfId="10983"/>
    <cellStyle name="Обычный 10 9 2 3 2 2 3 2" xfId="10984"/>
    <cellStyle name="Обычный 10 9 2 3 2 2 3 3" xfId="10985"/>
    <cellStyle name="Обычный 10 9 2 3 2 2 4" xfId="10986"/>
    <cellStyle name="Обычный 10 9 2 3 2 2 4 2" xfId="10987"/>
    <cellStyle name="Обычный 10 9 2 3 2 2 5" xfId="10988"/>
    <cellStyle name="Обычный 10 9 2 3 2 2 6" xfId="10989"/>
    <cellStyle name="Обычный 10 9 2 3 2 3" xfId="10990"/>
    <cellStyle name="Обычный 10 9 2 3 2 3 2" xfId="10991"/>
    <cellStyle name="Обычный 10 9 2 3 2 3 3" xfId="10992"/>
    <cellStyle name="Обычный 10 9 2 3 2 4" xfId="10993"/>
    <cellStyle name="Обычный 10 9 2 3 2 4 2" xfId="10994"/>
    <cellStyle name="Обычный 10 9 2 3 2 4 3" xfId="10995"/>
    <cellStyle name="Обычный 10 9 2 3 2 5" xfId="10996"/>
    <cellStyle name="Обычный 10 9 2 3 2 5 2" xfId="10997"/>
    <cellStyle name="Обычный 10 9 2 3 2 6" xfId="10998"/>
    <cellStyle name="Обычный 10 9 2 3 2 7" xfId="10999"/>
    <cellStyle name="Обычный 10 9 2 3 3" xfId="11000"/>
    <cellStyle name="Обычный 10 9 2 3 3 2" xfId="11001"/>
    <cellStyle name="Обычный 10 9 2 3 3 2 2" xfId="11002"/>
    <cellStyle name="Обычный 10 9 2 3 3 2 3" xfId="11003"/>
    <cellStyle name="Обычный 10 9 2 3 3 3" xfId="11004"/>
    <cellStyle name="Обычный 10 9 2 3 3 3 2" xfId="11005"/>
    <cellStyle name="Обычный 10 9 2 3 3 3 3" xfId="11006"/>
    <cellStyle name="Обычный 10 9 2 3 3 4" xfId="11007"/>
    <cellStyle name="Обычный 10 9 2 3 3 4 2" xfId="11008"/>
    <cellStyle name="Обычный 10 9 2 3 3 5" xfId="11009"/>
    <cellStyle name="Обычный 10 9 2 3 3 6" xfId="11010"/>
    <cellStyle name="Обычный 10 9 2 3 4" xfId="11011"/>
    <cellStyle name="Обычный 10 9 2 3 4 2" xfId="11012"/>
    <cellStyle name="Обычный 10 9 2 3 4 3" xfId="11013"/>
    <cellStyle name="Обычный 10 9 2 3 5" xfId="11014"/>
    <cellStyle name="Обычный 10 9 2 3 5 2" xfId="11015"/>
    <cellStyle name="Обычный 10 9 2 3 5 3" xfId="11016"/>
    <cellStyle name="Обычный 10 9 2 3 6" xfId="11017"/>
    <cellStyle name="Обычный 10 9 2 3 6 2" xfId="11018"/>
    <cellStyle name="Обычный 10 9 2 3 7" xfId="11019"/>
    <cellStyle name="Обычный 10 9 2 3 8" xfId="11020"/>
    <cellStyle name="Обычный 10 9 2 4" xfId="11021"/>
    <cellStyle name="Обычный 10 9 2 4 2" xfId="11022"/>
    <cellStyle name="Обычный 10 9 2 4 2 2" xfId="11023"/>
    <cellStyle name="Обычный 10 9 2 4 2 2 2" xfId="11024"/>
    <cellStyle name="Обычный 10 9 2 4 2 2 3" xfId="11025"/>
    <cellStyle name="Обычный 10 9 2 4 2 3" xfId="11026"/>
    <cellStyle name="Обычный 10 9 2 4 2 3 2" xfId="11027"/>
    <cellStyle name="Обычный 10 9 2 4 2 3 3" xfId="11028"/>
    <cellStyle name="Обычный 10 9 2 4 2 4" xfId="11029"/>
    <cellStyle name="Обычный 10 9 2 4 2 4 2" xfId="11030"/>
    <cellStyle name="Обычный 10 9 2 4 2 5" xfId="11031"/>
    <cellStyle name="Обычный 10 9 2 4 2 6" xfId="11032"/>
    <cellStyle name="Обычный 10 9 2 4 3" xfId="11033"/>
    <cellStyle name="Обычный 10 9 2 4 3 2" xfId="11034"/>
    <cellStyle name="Обычный 10 9 2 4 3 3" xfId="11035"/>
    <cellStyle name="Обычный 10 9 2 4 4" xfId="11036"/>
    <cellStyle name="Обычный 10 9 2 4 4 2" xfId="11037"/>
    <cellStyle name="Обычный 10 9 2 4 4 3" xfId="11038"/>
    <cellStyle name="Обычный 10 9 2 4 5" xfId="11039"/>
    <cellStyle name="Обычный 10 9 2 4 5 2" xfId="11040"/>
    <cellStyle name="Обычный 10 9 2 4 6" xfId="11041"/>
    <cellStyle name="Обычный 10 9 2 4 7" xfId="11042"/>
    <cellStyle name="Обычный 10 9 2 5" xfId="11043"/>
    <cellStyle name="Обычный 10 9 2 5 2" xfId="11044"/>
    <cellStyle name="Обычный 10 9 2 5 2 2" xfId="11045"/>
    <cellStyle name="Обычный 10 9 2 5 2 3" xfId="11046"/>
    <cellStyle name="Обычный 10 9 2 5 3" xfId="11047"/>
    <cellStyle name="Обычный 10 9 2 5 3 2" xfId="11048"/>
    <cellStyle name="Обычный 10 9 2 5 3 3" xfId="11049"/>
    <cellStyle name="Обычный 10 9 2 5 4" xfId="11050"/>
    <cellStyle name="Обычный 10 9 2 5 4 2" xfId="11051"/>
    <cellStyle name="Обычный 10 9 2 5 5" xfId="11052"/>
    <cellStyle name="Обычный 10 9 2 5 6" xfId="11053"/>
    <cellStyle name="Обычный 10 9 2 6" xfId="11054"/>
    <cellStyle name="Обычный 10 9 2 6 2" xfId="11055"/>
    <cellStyle name="Обычный 10 9 2 6 3" xfId="11056"/>
    <cellStyle name="Обычный 10 9 2 7" xfId="11057"/>
    <cellStyle name="Обычный 10 9 2 7 2" xfId="11058"/>
    <cellStyle name="Обычный 10 9 2 7 3" xfId="11059"/>
    <cellStyle name="Обычный 10 9 2 8" xfId="11060"/>
    <cellStyle name="Обычный 10 9 2 8 2" xfId="11061"/>
    <cellStyle name="Обычный 10 9 2 9" xfId="11062"/>
    <cellStyle name="Обычный 10 9 3" xfId="11063"/>
    <cellStyle name="Обычный 10 9 3 10" xfId="11064"/>
    <cellStyle name="Обычный 10 9 3 2" xfId="11065"/>
    <cellStyle name="Обычный 10 9 3 2 2" xfId="11066"/>
    <cellStyle name="Обычный 10 9 3 2 2 2" xfId="11067"/>
    <cellStyle name="Обычный 10 9 3 2 2 2 2" xfId="11068"/>
    <cellStyle name="Обычный 10 9 3 2 2 2 2 2" xfId="11069"/>
    <cellStyle name="Обычный 10 9 3 2 2 2 2 2 2" xfId="11070"/>
    <cellStyle name="Обычный 10 9 3 2 2 2 2 2 3" xfId="11071"/>
    <cellStyle name="Обычный 10 9 3 2 2 2 2 3" xfId="11072"/>
    <cellStyle name="Обычный 10 9 3 2 2 2 2 3 2" xfId="11073"/>
    <cellStyle name="Обычный 10 9 3 2 2 2 2 3 3" xfId="11074"/>
    <cellStyle name="Обычный 10 9 3 2 2 2 2 4" xfId="11075"/>
    <cellStyle name="Обычный 10 9 3 2 2 2 2 4 2" xfId="11076"/>
    <cellStyle name="Обычный 10 9 3 2 2 2 2 5" xfId="11077"/>
    <cellStyle name="Обычный 10 9 3 2 2 2 2 6" xfId="11078"/>
    <cellStyle name="Обычный 10 9 3 2 2 2 3" xfId="11079"/>
    <cellStyle name="Обычный 10 9 3 2 2 2 3 2" xfId="11080"/>
    <cellStyle name="Обычный 10 9 3 2 2 2 3 3" xfId="11081"/>
    <cellStyle name="Обычный 10 9 3 2 2 2 4" xfId="11082"/>
    <cellStyle name="Обычный 10 9 3 2 2 2 4 2" xfId="11083"/>
    <cellStyle name="Обычный 10 9 3 2 2 2 4 3" xfId="11084"/>
    <cellStyle name="Обычный 10 9 3 2 2 2 5" xfId="11085"/>
    <cellStyle name="Обычный 10 9 3 2 2 2 5 2" xfId="11086"/>
    <cellStyle name="Обычный 10 9 3 2 2 2 6" xfId="11087"/>
    <cellStyle name="Обычный 10 9 3 2 2 2 7" xfId="11088"/>
    <cellStyle name="Обычный 10 9 3 2 2 3" xfId="11089"/>
    <cellStyle name="Обычный 10 9 3 2 2 3 2" xfId="11090"/>
    <cellStyle name="Обычный 10 9 3 2 2 3 2 2" xfId="11091"/>
    <cellStyle name="Обычный 10 9 3 2 2 3 2 3" xfId="11092"/>
    <cellStyle name="Обычный 10 9 3 2 2 3 3" xfId="11093"/>
    <cellStyle name="Обычный 10 9 3 2 2 3 3 2" xfId="11094"/>
    <cellStyle name="Обычный 10 9 3 2 2 3 3 3" xfId="11095"/>
    <cellStyle name="Обычный 10 9 3 2 2 3 4" xfId="11096"/>
    <cellStyle name="Обычный 10 9 3 2 2 3 4 2" xfId="11097"/>
    <cellStyle name="Обычный 10 9 3 2 2 3 5" xfId="11098"/>
    <cellStyle name="Обычный 10 9 3 2 2 3 6" xfId="11099"/>
    <cellStyle name="Обычный 10 9 3 2 2 4" xfId="11100"/>
    <cellStyle name="Обычный 10 9 3 2 2 4 2" xfId="11101"/>
    <cellStyle name="Обычный 10 9 3 2 2 4 3" xfId="11102"/>
    <cellStyle name="Обычный 10 9 3 2 2 5" xfId="11103"/>
    <cellStyle name="Обычный 10 9 3 2 2 5 2" xfId="11104"/>
    <cellStyle name="Обычный 10 9 3 2 2 5 3" xfId="11105"/>
    <cellStyle name="Обычный 10 9 3 2 2 6" xfId="11106"/>
    <cellStyle name="Обычный 10 9 3 2 2 6 2" xfId="11107"/>
    <cellStyle name="Обычный 10 9 3 2 2 7" xfId="11108"/>
    <cellStyle name="Обычный 10 9 3 2 2 8" xfId="11109"/>
    <cellStyle name="Обычный 10 9 3 2 3" xfId="11110"/>
    <cellStyle name="Обычный 10 9 3 2 3 2" xfId="11111"/>
    <cellStyle name="Обычный 10 9 3 2 3 2 2" xfId="11112"/>
    <cellStyle name="Обычный 10 9 3 2 3 2 2 2" xfId="11113"/>
    <cellStyle name="Обычный 10 9 3 2 3 2 2 3" xfId="11114"/>
    <cellStyle name="Обычный 10 9 3 2 3 2 3" xfId="11115"/>
    <cellStyle name="Обычный 10 9 3 2 3 2 3 2" xfId="11116"/>
    <cellStyle name="Обычный 10 9 3 2 3 2 3 3" xfId="11117"/>
    <cellStyle name="Обычный 10 9 3 2 3 2 4" xfId="11118"/>
    <cellStyle name="Обычный 10 9 3 2 3 2 4 2" xfId="11119"/>
    <cellStyle name="Обычный 10 9 3 2 3 2 5" xfId="11120"/>
    <cellStyle name="Обычный 10 9 3 2 3 2 6" xfId="11121"/>
    <cellStyle name="Обычный 10 9 3 2 3 3" xfId="11122"/>
    <cellStyle name="Обычный 10 9 3 2 3 3 2" xfId="11123"/>
    <cellStyle name="Обычный 10 9 3 2 3 3 3" xfId="11124"/>
    <cellStyle name="Обычный 10 9 3 2 3 4" xfId="11125"/>
    <cellStyle name="Обычный 10 9 3 2 3 4 2" xfId="11126"/>
    <cellStyle name="Обычный 10 9 3 2 3 4 3" xfId="11127"/>
    <cellStyle name="Обычный 10 9 3 2 3 5" xfId="11128"/>
    <cellStyle name="Обычный 10 9 3 2 3 5 2" xfId="11129"/>
    <cellStyle name="Обычный 10 9 3 2 3 6" xfId="11130"/>
    <cellStyle name="Обычный 10 9 3 2 3 7" xfId="11131"/>
    <cellStyle name="Обычный 10 9 3 2 4" xfId="11132"/>
    <cellStyle name="Обычный 10 9 3 2 4 2" xfId="11133"/>
    <cellStyle name="Обычный 10 9 3 2 4 2 2" xfId="11134"/>
    <cellStyle name="Обычный 10 9 3 2 4 2 3" xfId="11135"/>
    <cellStyle name="Обычный 10 9 3 2 4 3" xfId="11136"/>
    <cellStyle name="Обычный 10 9 3 2 4 3 2" xfId="11137"/>
    <cellStyle name="Обычный 10 9 3 2 4 3 3" xfId="11138"/>
    <cellStyle name="Обычный 10 9 3 2 4 4" xfId="11139"/>
    <cellStyle name="Обычный 10 9 3 2 4 4 2" xfId="11140"/>
    <cellStyle name="Обычный 10 9 3 2 4 5" xfId="11141"/>
    <cellStyle name="Обычный 10 9 3 2 4 6" xfId="11142"/>
    <cellStyle name="Обычный 10 9 3 2 5" xfId="11143"/>
    <cellStyle name="Обычный 10 9 3 2 5 2" xfId="11144"/>
    <cellStyle name="Обычный 10 9 3 2 5 3" xfId="11145"/>
    <cellStyle name="Обычный 10 9 3 2 6" xfId="11146"/>
    <cellStyle name="Обычный 10 9 3 2 6 2" xfId="11147"/>
    <cellStyle name="Обычный 10 9 3 2 6 3" xfId="11148"/>
    <cellStyle name="Обычный 10 9 3 2 7" xfId="11149"/>
    <cellStyle name="Обычный 10 9 3 2 7 2" xfId="11150"/>
    <cellStyle name="Обычный 10 9 3 2 8" xfId="11151"/>
    <cellStyle name="Обычный 10 9 3 2 9" xfId="11152"/>
    <cellStyle name="Обычный 10 9 3 3" xfId="11153"/>
    <cellStyle name="Обычный 10 9 3 3 2" xfId="11154"/>
    <cellStyle name="Обычный 10 9 3 3 2 2" xfId="11155"/>
    <cellStyle name="Обычный 10 9 3 3 2 2 2" xfId="11156"/>
    <cellStyle name="Обычный 10 9 3 3 2 2 2 2" xfId="11157"/>
    <cellStyle name="Обычный 10 9 3 3 2 2 2 3" xfId="11158"/>
    <cellStyle name="Обычный 10 9 3 3 2 2 3" xfId="11159"/>
    <cellStyle name="Обычный 10 9 3 3 2 2 3 2" xfId="11160"/>
    <cellStyle name="Обычный 10 9 3 3 2 2 3 3" xfId="11161"/>
    <cellStyle name="Обычный 10 9 3 3 2 2 4" xfId="11162"/>
    <cellStyle name="Обычный 10 9 3 3 2 2 4 2" xfId="11163"/>
    <cellStyle name="Обычный 10 9 3 3 2 2 5" xfId="11164"/>
    <cellStyle name="Обычный 10 9 3 3 2 2 6" xfId="11165"/>
    <cellStyle name="Обычный 10 9 3 3 2 3" xfId="11166"/>
    <cellStyle name="Обычный 10 9 3 3 2 3 2" xfId="11167"/>
    <cellStyle name="Обычный 10 9 3 3 2 3 3" xfId="11168"/>
    <cellStyle name="Обычный 10 9 3 3 2 4" xfId="11169"/>
    <cellStyle name="Обычный 10 9 3 3 2 4 2" xfId="11170"/>
    <cellStyle name="Обычный 10 9 3 3 2 4 3" xfId="11171"/>
    <cellStyle name="Обычный 10 9 3 3 2 5" xfId="11172"/>
    <cellStyle name="Обычный 10 9 3 3 2 5 2" xfId="11173"/>
    <cellStyle name="Обычный 10 9 3 3 2 6" xfId="11174"/>
    <cellStyle name="Обычный 10 9 3 3 2 7" xfId="11175"/>
    <cellStyle name="Обычный 10 9 3 3 3" xfId="11176"/>
    <cellStyle name="Обычный 10 9 3 3 3 2" xfId="11177"/>
    <cellStyle name="Обычный 10 9 3 3 3 2 2" xfId="11178"/>
    <cellStyle name="Обычный 10 9 3 3 3 2 3" xfId="11179"/>
    <cellStyle name="Обычный 10 9 3 3 3 3" xfId="11180"/>
    <cellStyle name="Обычный 10 9 3 3 3 3 2" xfId="11181"/>
    <cellStyle name="Обычный 10 9 3 3 3 3 3" xfId="11182"/>
    <cellStyle name="Обычный 10 9 3 3 3 4" xfId="11183"/>
    <cellStyle name="Обычный 10 9 3 3 3 4 2" xfId="11184"/>
    <cellStyle name="Обычный 10 9 3 3 3 5" xfId="11185"/>
    <cellStyle name="Обычный 10 9 3 3 3 6" xfId="11186"/>
    <cellStyle name="Обычный 10 9 3 3 4" xfId="11187"/>
    <cellStyle name="Обычный 10 9 3 3 4 2" xfId="11188"/>
    <cellStyle name="Обычный 10 9 3 3 4 3" xfId="11189"/>
    <cellStyle name="Обычный 10 9 3 3 5" xfId="11190"/>
    <cellStyle name="Обычный 10 9 3 3 5 2" xfId="11191"/>
    <cellStyle name="Обычный 10 9 3 3 5 3" xfId="11192"/>
    <cellStyle name="Обычный 10 9 3 3 6" xfId="11193"/>
    <cellStyle name="Обычный 10 9 3 3 6 2" xfId="11194"/>
    <cellStyle name="Обычный 10 9 3 3 7" xfId="11195"/>
    <cellStyle name="Обычный 10 9 3 3 8" xfId="11196"/>
    <cellStyle name="Обычный 10 9 3 4" xfId="11197"/>
    <cellStyle name="Обычный 10 9 3 4 2" xfId="11198"/>
    <cellStyle name="Обычный 10 9 3 4 2 2" xfId="11199"/>
    <cellStyle name="Обычный 10 9 3 4 2 2 2" xfId="11200"/>
    <cellStyle name="Обычный 10 9 3 4 2 2 3" xfId="11201"/>
    <cellStyle name="Обычный 10 9 3 4 2 3" xfId="11202"/>
    <cellStyle name="Обычный 10 9 3 4 2 3 2" xfId="11203"/>
    <cellStyle name="Обычный 10 9 3 4 2 3 3" xfId="11204"/>
    <cellStyle name="Обычный 10 9 3 4 2 4" xfId="11205"/>
    <cellStyle name="Обычный 10 9 3 4 2 4 2" xfId="11206"/>
    <cellStyle name="Обычный 10 9 3 4 2 5" xfId="11207"/>
    <cellStyle name="Обычный 10 9 3 4 2 6" xfId="11208"/>
    <cellStyle name="Обычный 10 9 3 4 3" xfId="11209"/>
    <cellStyle name="Обычный 10 9 3 4 3 2" xfId="11210"/>
    <cellStyle name="Обычный 10 9 3 4 3 3" xfId="11211"/>
    <cellStyle name="Обычный 10 9 3 4 4" xfId="11212"/>
    <cellStyle name="Обычный 10 9 3 4 4 2" xfId="11213"/>
    <cellStyle name="Обычный 10 9 3 4 4 3" xfId="11214"/>
    <cellStyle name="Обычный 10 9 3 4 5" xfId="11215"/>
    <cellStyle name="Обычный 10 9 3 4 5 2" xfId="11216"/>
    <cellStyle name="Обычный 10 9 3 4 6" xfId="11217"/>
    <cellStyle name="Обычный 10 9 3 4 7" xfId="11218"/>
    <cellStyle name="Обычный 10 9 3 5" xfId="11219"/>
    <cellStyle name="Обычный 10 9 3 5 2" xfId="11220"/>
    <cellStyle name="Обычный 10 9 3 5 2 2" xfId="11221"/>
    <cellStyle name="Обычный 10 9 3 5 2 3" xfId="11222"/>
    <cellStyle name="Обычный 10 9 3 5 3" xfId="11223"/>
    <cellStyle name="Обычный 10 9 3 5 3 2" xfId="11224"/>
    <cellStyle name="Обычный 10 9 3 5 3 3" xfId="11225"/>
    <cellStyle name="Обычный 10 9 3 5 4" xfId="11226"/>
    <cellStyle name="Обычный 10 9 3 5 4 2" xfId="11227"/>
    <cellStyle name="Обычный 10 9 3 5 5" xfId="11228"/>
    <cellStyle name="Обычный 10 9 3 5 6" xfId="11229"/>
    <cellStyle name="Обычный 10 9 3 6" xfId="11230"/>
    <cellStyle name="Обычный 10 9 3 6 2" xfId="11231"/>
    <cellStyle name="Обычный 10 9 3 6 3" xfId="11232"/>
    <cellStyle name="Обычный 10 9 3 7" xfId="11233"/>
    <cellStyle name="Обычный 10 9 3 7 2" xfId="11234"/>
    <cellStyle name="Обычный 10 9 3 7 3" xfId="11235"/>
    <cellStyle name="Обычный 10 9 3 8" xfId="11236"/>
    <cellStyle name="Обычный 10 9 3 8 2" xfId="11237"/>
    <cellStyle name="Обычный 10 9 3 9" xfId="11238"/>
    <cellStyle name="Обычный 10 9 4" xfId="11239"/>
    <cellStyle name="Обычный 10 9 4 10" xfId="11240"/>
    <cellStyle name="Обычный 10 9 4 2" xfId="11241"/>
    <cellStyle name="Обычный 10 9 4 2 2" xfId="11242"/>
    <cellStyle name="Обычный 10 9 4 2 2 2" xfId="11243"/>
    <cellStyle name="Обычный 10 9 4 2 2 2 2" xfId="11244"/>
    <cellStyle name="Обычный 10 9 4 2 2 2 2 2" xfId="11245"/>
    <cellStyle name="Обычный 10 9 4 2 2 2 2 2 2" xfId="11246"/>
    <cellStyle name="Обычный 10 9 4 2 2 2 2 2 3" xfId="11247"/>
    <cellStyle name="Обычный 10 9 4 2 2 2 2 3" xfId="11248"/>
    <cellStyle name="Обычный 10 9 4 2 2 2 2 3 2" xfId="11249"/>
    <cellStyle name="Обычный 10 9 4 2 2 2 2 3 3" xfId="11250"/>
    <cellStyle name="Обычный 10 9 4 2 2 2 2 4" xfId="11251"/>
    <cellStyle name="Обычный 10 9 4 2 2 2 2 4 2" xfId="11252"/>
    <cellStyle name="Обычный 10 9 4 2 2 2 2 5" xfId="11253"/>
    <cellStyle name="Обычный 10 9 4 2 2 2 2 6" xfId="11254"/>
    <cellStyle name="Обычный 10 9 4 2 2 2 3" xfId="11255"/>
    <cellStyle name="Обычный 10 9 4 2 2 2 3 2" xfId="11256"/>
    <cellStyle name="Обычный 10 9 4 2 2 2 3 3" xfId="11257"/>
    <cellStyle name="Обычный 10 9 4 2 2 2 4" xfId="11258"/>
    <cellStyle name="Обычный 10 9 4 2 2 2 4 2" xfId="11259"/>
    <cellStyle name="Обычный 10 9 4 2 2 2 4 3" xfId="11260"/>
    <cellStyle name="Обычный 10 9 4 2 2 2 5" xfId="11261"/>
    <cellStyle name="Обычный 10 9 4 2 2 2 5 2" xfId="11262"/>
    <cellStyle name="Обычный 10 9 4 2 2 2 6" xfId="11263"/>
    <cellStyle name="Обычный 10 9 4 2 2 2 7" xfId="11264"/>
    <cellStyle name="Обычный 10 9 4 2 2 3" xfId="11265"/>
    <cellStyle name="Обычный 10 9 4 2 2 3 2" xfId="11266"/>
    <cellStyle name="Обычный 10 9 4 2 2 3 2 2" xfId="11267"/>
    <cellStyle name="Обычный 10 9 4 2 2 3 2 3" xfId="11268"/>
    <cellStyle name="Обычный 10 9 4 2 2 3 3" xfId="11269"/>
    <cellStyle name="Обычный 10 9 4 2 2 3 3 2" xfId="11270"/>
    <cellStyle name="Обычный 10 9 4 2 2 3 3 3" xfId="11271"/>
    <cellStyle name="Обычный 10 9 4 2 2 3 4" xfId="11272"/>
    <cellStyle name="Обычный 10 9 4 2 2 3 4 2" xfId="11273"/>
    <cellStyle name="Обычный 10 9 4 2 2 3 5" xfId="11274"/>
    <cellStyle name="Обычный 10 9 4 2 2 3 6" xfId="11275"/>
    <cellStyle name="Обычный 10 9 4 2 2 4" xfId="11276"/>
    <cellStyle name="Обычный 10 9 4 2 2 4 2" xfId="11277"/>
    <cellStyle name="Обычный 10 9 4 2 2 4 3" xfId="11278"/>
    <cellStyle name="Обычный 10 9 4 2 2 5" xfId="11279"/>
    <cellStyle name="Обычный 10 9 4 2 2 5 2" xfId="11280"/>
    <cellStyle name="Обычный 10 9 4 2 2 5 3" xfId="11281"/>
    <cellStyle name="Обычный 10 9 4 2 2 6" xfId="11282"/>
    <cellStyle name="Обычный 10 9 4 2 2 6 2" xfId="11283"/>
    <cellStyle name="Обычный 10 9 4 2 2 7" xfId="11284"/>
    <cellStyle name="Обычный 10 9 4 2 2 8" xfId="11285"/>
    <cellStyle name="Обычный 10 9 4 2 3" xfId="11286"/>
    <cellStyle name="Обычный 10 9 4 2 3 2" xfId="11287"/>
    <cellStyle name="Обычный 10 9 4 2 3 2 2" xfId="11288"/>
    <cellStyle name="Обычный 10 9 4 2 3 2 2 2" xfId="11289"/>
    <cellStyle name="Обычный 10 9 4 2 3 2 2 3" xfId="11290"/>
    <cellStyle name="Обычный 10 9 4 2 3 2 3" xfId="11291"/>
    <cellStyle name="Обычный 10 9 4 2 3 2 3 2" xfId="11292"/>
    <cellStyle name="Обычный 10 9 4 2 3 2 3 3" xfId="11293"/>
    <cellStyle name="Обычный 10 9 4 2 3 2 4" xfId="11294"/>
    <cellStyle name="Обычный 10 9 4 2 3 2 4 2" xfId="11295"/>
    <cellStyle name="Обычный 10 9 4 2 3 2 5" xfId="11296"/>
    <cellStyle name="Обычный 10 9 4 2 3 2 6" xfId="11297"/>
    <cellStyle name="Обычный 10 9 4 2 3 3" xfId="11298"/>
    <cellStyle name="Обычный 10 9 4 2 3 3 2" xfId="11299"/>
    <cellStyle name="Обычный 10 9 4 2 3 3 3" xfId="11300"/>
    <cellStyle name="Обычный 10 9 4 2 3 4" xfId="11301"/>
    <cellStyle name="Обычный 10 9 4 2 3 4 2" xfId="11302"/>
    <cellStyle name="Обычный 10 9 4 2 3 4 3" xfId="11303"/>
    <cellStyle name="Обычный 10 9 4 2 3 5" xfId="11304"/>
    <cellStyle name="Обычный 10 9 4 2 3 5 2" xfId="11305"/>
    <cellStyle name="Обычный 10 9 4 2 3 6" xfId="11306"/>
    <cellStyle name="Обычный 10 9 4 2 3 7" xfId="11307"/>
    <cellStyle name="Обычный 10 9 4 2 4" xfId="11308"/>
    <cellStyle name="Обычный 10 9 4 2 4 2" xfId="11309"/>
    <cellStyle name="Обычный 10 9 4 2 4 2 2" xfId="11310"/>
    <cellStyle name="Обычный 10 9 4 2 4 2 3" xfId="11311"/>
    <cellStyle name="Обычный 10 9 4 2 4 3" xfId="11312"/>
    <cellStyle name="Обычный 10 9 4 2 4 3 2" xfId="11313"/>
    <cellStyle name="Обычный 10 9 4 2 4 3 3" xfId="11314"/>
    <cellStyle name="Обычный 10 9 4 2 4 4" xfId="11315"/>
    <cellStyle name="Обычный 10 9 4 2 4 4 2" xfId="11316"/>
    <cellStyle name="Обычный 10 9 4 2 4 5" xfId="11317"/>
    <cellStyle name="Обычный 10 9 4 2 4 6" xfId="11318"/>
    <cellStyle name="Обычный 10 9 4 2 5" xfId="11319"/>
    <cellStyle name="Обычный 10 9 4 2 5 2" xfId="11320"/>
    <cellStyle name="Обычный 10 9 4 2 5 3" xfId="11321"/>
    <cellStyle name="Обычный 10 9 4 2 6" xfId="11322"/>
    <cellStyle name="Обычный 10 9 4 2 6 2" xfId="11323"/>
    <cellStyle name="Обычный 10 9 4 2 6 3" xfId="11324"/>
    <cellStyle name="Обычный 10 9 4 2 7" xfId="11325"/>
    <cellStyle name="Обычный 10 9 4 2 7 2" xfId="11326"/>
    <cellStyle name="Обычный 10 9 4 2 8" xfId="11327"/>
    <cellStyle name="Обычный 10 9 4 2 9" xfId="11328"/>
    <cellStyle name="Обычный 10 9 4 3" xfId="11329"/>
    <cellStyle name="Обычный 10 9 4 3 2" xfId="11330"/>
    <cellStyle name="Обычный 10 9 4 3 2 2" xfId="11331"/>
    <cellStyle name="Обычный 10 9 4 3 2 2 2" xfId="11332"/>
    <cellStyle name="Обычный 10 9 4 3 2 2 2 2" xfId="11333"/>
    <cellStyle name="Обычный 10 9 4 3 2 2 2 3" xfId="11334"/>
    <cellStyle name="Обычный 10 9 4 3 2 2 3" xfId="11335"/>
    <cellStyle name="Обычный 10 9 4 3 2 2 3 2" xfId="11336"/>
    <cellStyle name="Обычный 10 9 4 3 2 2 3 3" xfId="11337"/>
    <cellStyle name="Обычный 10 9 4 3 2 2 4" xfId="11338"/>
    <cellStyle name="Обычный 10 9 4 3 2 2 4 2" xfId="11339"/>
    <cellStyle name="Обычный 10 9 4 3 2 2 5" xfId="11340"/>
    <cellStyle name="Обычный 10 9 4 3 2 2 6" xfId="11341"/>
    <cellStyle name="Обычный 10 9 4 3 2 3" xfId="11342"/>
    <cellStyle name="Обычный 10 9 4 3 2 3 2" xfId="11343"/>
    <cellStyle name="Обычный 10 9 4 3 2 3 3" xfId="11344"/>
    <cellStyle name="Обычный 10 9 4 3 2 4" xfId="11345"/>
    <cellStyle name="Обычный 10 9 4 3 2 4 2" xfId="11346"/>
    <cellStyle name="Обычный 10 9 4 3 2 4 3" xfId="11347"/>
    <cellStyle name="Обычный 10 9 4 3 2 5" xfId="11348"/>
    <cellStyle name="Обычный 10 9 4 3 2 5 2" xfId="11349"/>
    <cellStyle name="Обычный 10 9 4 3 2 6" xfId="11350"/>
    <cellStyle name="Обычный 10 9 4 3 2 7" xfId="11351"/>
    <cellStyle name="Обычный 10 9 4 3 3" xfId="11352"/>
    <cellStyle name="Обычный 10 9 4 3 3 2" xfId="11353"/>
    <cellStyle name="Обычный 10 9 4 3 3 2 2" xfId="11354"/>
    <cellStyle name="Обычный 10 9 4 3 3 2 3" xfId="11355"/>
    <cellStyle name="Обычный 10 9 4 3 3 3" xfId="11356"/>
    <cellStyle name="Обычный 10 9 4 3 3 3 2" xfId="11357"/>
    <cellStyle name="Обычный 10 9 4 3 3 3 3" xfId="11358"/>
    <cellStyle name="Обычный 10 9 4 3 3 4" xfId="11359"/>
    <cellStyle name="Обычный 10 9 4 3 3 4 2" xfId="11360"/>
    <cellStyle name="Обычный 10 9 4 3 3 5" xfId="11361"/>
    <cellStyle name="Обычный 10 9 4 3 3 6" xfId="11362"/>
    <cellStyle name="Обычный 10 9 4 3 4" xfId="11363"/>
    <cellStyle name="Обычный 10 9 4 3 4 2" xfId="11364"/>
    <cellStyle name="Обычный 10 9 4 3 4 3" xfId="11365"/>
    <cellStyle name="Обычный 10 9 4 3 5" xfId="11366"/>
    <cellStyle name="Обычный 10 9 4 3 5 2" xfId="11367"/>
    <cellStyle name="Обычный 10 9 4 3 5 3" xfId="11368"/>
    <cellStyle name="Обычный 10 9 4 3 6" xfId="11369"/>
    <cellStyle name="Обычный 10 9 4 3 6 2" xfId="11370"/>
    <cellStyle name="Обычный 10 9 4 3 7" xfId="11371"/>
    <cellStyle name="Обычный 10 9 4 3 8" xfId="11372"/>
    <cellStyle name="Обычный 10 9 4 4" xfId="11373"/>
    <cellStyle name="Обычный 10 9 4 4 2" xfId="11374"/>
    <cellStyle name="Обычный 10 9 4 4 2 2" xfId="11375"/>
    <cellStyle name="Обычный 10 9 4 4 2 2 2" xfId="11376"/>
    <cellStyle name="Обычный 10 9 4 4 2 2 3" xfId="11377"/>
    <cellStyle name="Обычный 10 9 4 4 2 3" xfId="11378"/>
    <cellStyle name="Обычный 10 9 4 4 2 3 2" xfId="11379"/>
    <cellStyle name="Обычный 10 9 4 4 2 3 3" xfId="11380"/>
    <cellStyle name="Обычный 10 9 4 4 2 4" xfId="11381"/>
    <cellStyle name="Обычный 10 9 4 4 2 4 2" xfId="11382"/>
    <cellStyle name="Обычный 10 9 4 4 2 5" xfId="11383"/>
    <cellStyle name="Обычный 10 9 4 4 2 6" xfId="11384"/>
    <cellStyle name="Обычный 10 9 4 4 3" xfId="11385"/>
    <cellStyle name="Обычный 10 9 4 4 3 2" xfId="11386"/>
    <cellStyle name="Обычный 10 9 4 4 3 3" xfId="11387"/>
    <cellStyle name="Обычный 10 9 4 4 4" xfId="11388"/>
    <cellStyle name="Обычный 10 9 4 4 4 2" xfId="11389"/>
    <cellStyle name="Обычный 10 9 4 4 4 3" xfId="11390"/>
    <cellStyle name="Обычный 10 9 4 4 5" xfId="11391"/>
    <cellStyle name="Обычный 10 9 4 4 5 2" xfId="11392"/>
    <cellStyle name="Обычный 10 9 4 4 6" xfId="11393"/>
    <cellStyle name="Обычный 10 9 4 4 7" xfId="11394"/>
    <cellStyle name="Обычный 10 9 4 5" xfId="11395"/>
    <cellStyle name="Обычный 10 9 4 5 2" xfId="11396"/>
    <cellStyle name="Обычный 10 9 4 5 2 2" xfId="11397"/>
    <cellStyle name="Обычный 10 9 4 5 2 3" xfId="11398"/>
    <cellStyle name="Обычный 10 9 4 5 3" xfId="11399"/>
    <cellStyle name="Обычный 10 9 4 5 3 2" xfId="11400"/>
    <cellStyle name="Обычный 10 9 4 5 3 3" xfId="11401"/>
    <cellStyle name="Обычный 10 9 4 5 4" xfId="11402"/>
    <cellStyle name="Обычный 10 9 4 5 4 2" xfId="11403"/>
    <cellStyle name="Обычный 10 9 4 5 5" xfId="11404"/>
    <cellStyle name="Обычный 10 9 4 5 6" xfId="11405"/>
    <cellStyle name="Обычный 10 9 4 6" xfId="11406"/>
    <cellStyle name="Обычный 10 9 4 6 2" xfId="11407"/>
    <cellStyle name="Обычный 10 9 4 6 3" xfId="11408"/>
    <cellStyle name="Обычный 10 9 4 7" xfId="11409"/>
    <cellStyle name="Обычный 10 9 4 7 2" xfId="11410"/>
    <cellStyle name="Обычный 10 9 4 7 3" xfId="11411"/>
    <cellStyle name="Обычный 10 9 4 8" xfId="11412"/>
    <cellStyle name="Обычный 10 9 4 8 2" xfId="11413"/>
    <cellStyle name="Обычный 10 9 4 9" xfId="11414"/>
    <cellStyle name="Обычный 10 9 5" xfId="11415"/>
    <cellStyle name="Обычный 10 9 5 2" xfId="11416"/>
    <cellStyle name="Обычный 10 9 5 2 2" xfId="11417"/>
    <cellStyle name="Обычный 10 9 5 2 2 2" xfId="11418"/>
    <cellStyle name="Обычный 10 9 5 2 2 2 2" xfId="11419"/>
    <cellStyle name="Обычный 10 9 5 2 2 2 2 2" xfId="11420"/>
    <cellStyle name="Обычный 10 9 5 2 2 2 2 3" xfId="11421"/>
    <cellStyle name="Обычный 10 9 5 2 2 2 3" xfId="11422"/>
    <cellStyle name="Обычный 10 9 5 2 2 2 3 2" xfId="11423"/>
    <cellStyle name="Обычный 10 9 5 2 2 2 3 3" xfId="11424"/>
    <cellStyle name="Обычный 10 9 5 2 2 2 4" xfId="11425"/>
    <cellStyle name="Обычный 10 9 5 2 2 2 4 2" xfId="11426"/>
    <cellStyle name="Обычный 10 9 5 2 2 2 5" xfId="11427"/>
    <cellStyle name="Обычный 10 9 5 2 2 2 6" xfId="11428"/>
    <cellStyle name="Обычный 10 9 5 2 2 3" xfId="11429"/>
    <cellStyle name="Обычный 10 9 5 2 2 3 2" xfId="11430"/>
    <cellStyle name="Обычный 10 9 5 2 2 3 3" xfId="11431"/>
    <cellStyle name="Обычный 10 9 5 2 2 4" xfId="11432"/>
    <cellStyle name="Обычный 10 9 5 2 2 4 2" xfId="11433"/>
    <cellStyle name="Обычный 10 9 5 2 2 4 3" xfId="11434"/>
    <cellStyle name="Обычный 10 9 5 2 2 5" xfId="11435"/>
    <cellStyle name="Обычный 10 9 5 2 2 5 2" xfId="11436"/>
    <cellStyle name="Обычный 10 9 5 2 2 6" xfId="11437"/>
    <cellStyle name="Обычный 10 9 5 2 2 7" xfId="11438"/>
    <cellStyle name="Обычный 10 9 5 2 3" xfId="11439"/>
    <cellStyle name="Обычный 10 9 5 2 3 2" xfId="11440"/>
    <cellStyle name="Обычный 10 9 5 2 3 2 2" xfId="11441"/>
    <cellStyle name="Обычный 10 9 5 2 3 2 3" xfId="11442"/>
    <cellStyle name="Обычный 10 9 5 2 3 3" xfId="11443"/>
    <cellStyle name="Обычный 10 9 5 2 3 3 2" xfId="11444"/>
    <cellStyle name="Обычный 10 9 5 2 3 3 3" xfId="11445"/>
    <cellStyle name="Обычный 10 9 5 2 3 4" xfId="11446"/>
    <cellStyle name="Обычный 10 9 5 2 3 4 2" xfId="11447"/>
    <cellStyle name="Обычный 10 9 5 2 3 5" xfId="11448"/>
    <cellStyle name="Обычный 10 9 5 2 3 6" xfId="11449"/>
    <cellStyle name="Обычный 10 9 5 2 4" xfId="11450"/>
    <cellStyle name="Обычный 10 9 5 2 4 2" xfId="11451"/>
    <cellStyle name="Обычный 10 9 5 2 4 3" xfId="11452"/>
    <cellStyle name="Обычный 10 9 5 2 5" xfId="11453"/>
    <cellStyle name="Обычный 10 9 5 2 5 2" xfId="11454"/>
    <cellStyle name="Обычный 10 9 5 2 5 3" xfId="11455"/>
    <cellStyle name="Обычный 10 9 5 2 6" xfId="11456"/>
    <cellStyle name="Обычный 10 9 5 2 6 2" xfId="11457"/>
    <cellStyle name="Обычный 10 9 5 2 7" xfId="11458"/>
    <cellStyle name="Обычный 10 9 5 2 8" xfId="11459"/>
    <cellStyle name="Обычный 10 9 5 3" xfId="11460"/>
    <cellStyle name="Обычный 10 9 5 3 2" xfId="11461"/>
    <cellStyle name="Обычный 10 9 5 3 2 2" xfId="11462"/>
    <cellStyle name="Обычный 10 9 5 3 2 2 2" xfId="11463"/>
    <cellStyle name="Обычный 10 9 5 3 2 2 3" xfId="11464"/>
    <cellStyle name="Обычный 10 9 5 3 2 3" xfId="11465"/>
    <cellStyle name="Обычный 10 9 5 3 2 3 2" xfId="11466"/>
    <cellStyle name="Обычный 10 9 5 3 2 3 3" xfId="11467"/>
    <cellStyle name="Обычный 10 9 5 3 2 4" xfId="11468"/>
    <cellStyle name="Обычный 10 9 5 3 2 4 2" xfId="11469"/>
    <cellStyle name="Обычный 10 9 5 3 2 5" xfId="11470"/>
    <cellStyle name="Обычный 10 9 5 3 2 6" xfId="11471"/>
    <cellStyle name="Обычный 10 9 5 3 3" xfId="11472"/>
    <cellStyle name="Обычный 10 9 5 3 3 2" xfId="11473"/>
    <cellStyle name="Обычный 10 9 5 3 3 3" xfId="11474"/>
    <cellStyle name="Обычный 10 9 5 3 4" xfId="11475"/>
    <cellStyle name="Обычный 10 9 5 3 4 2" xfId="11476"/>
    <cellStyle name="Обычный 10 9 5 3 4 3" xfId="11477"/>
    <cellStyle name="Обычный 10 9 5 3 5" xfId="11478"/>
    <cellStyle name="Обычный 10 9 5 3 5 2" xfId="11479"/>
    <cellStyle name="Обычный 10 9 5 3 6" xfId="11480"/>
    <cellStyle name="Обычный 10 9 5 3 7" xfId="11481"/>
    <cellStyle name="Обычный 10 9 5 4" xfId="11482"/>
    <cellStyle name="Обычный 10 9 5 4 2" xfId="11483"/>
    <cellStyle name="Обычный 10 9 5 4 2 2" xfId="11484"/>
    <cellStyle name="Обычный 10 9 5 4 2 3" xfId="11485"/>
    <cellStyle name="Обычный 10 9 5 4 3" xfId="11486"/>
    <cellStyle name="Обычный 10 9 5 4 3 2" xfId="11487"/>
    <cellStyle name="Обычный 10 9 5 4 3 3" xfId="11488"/>
    <cellStyle name="Обычный 10 9 5 4 4" xfId="11489"/>
    <cellStyle name="Обычный 10 9 5 4 4 2" xfId="11490"/>
    <cellStyle name="Обычный 10 9 5 4 5" xfId="11491"/>
    <cellStyle name="Обычный 10 9 5 4 6" xfId="11492"/>
    <cellStyle name="Обычный 10 9 5 5" xfId="11493"/>
    <cellStyle name="Обычный 10 9 5 5 2" xfId="11494"/>
    <cellStyle name="Обычный 10 9 5 5 3" xfId="11495"/>
    <cellStyle name="Обычный 10 9 5 6" xfId="11496"/>
    <cellStyle name="Обычный 10 9 5 6 2" xfId="11497"/>
    <cellStyle name="Обычный 10 9 5 6 3" xfId="11498"/>
    <cellStyle name="Обычный 10 9 5 7" xfId="11499"/>
    <cellStyle name="Обычный 10 9 5 7 2" xfId="11500"/>
    <cellStyle name="Обычный 10 9 5 8" xfId="11501"/>
    <cellStyle name="Обычный 10 9 5 9" xfId="11502"/>
    <cellStyle name="Обычный 10 9 6" xfId="11503"/>
    <cellStyle name="Обычный 10 9 6 2" xfId="11504"/>
    <cellStyle name="Обычный 10 9 6 2 2" xfId="11505"/>
    <cellStyle name="Обычный 10 9 6 2 2 2" xfId="11506"/>
    <cellStyle name="Обычный 10 9 6 2 2 2 2" xfId="11507"/>
    <cellStyle name="Обычный 10 9 6 2 2 2 3" xfId="11508"/>
    <cellStyle name="Обычный 10 9 6 2 2 3" xfId="11509"/>
    <cellStyle name="Обычный 10 9 6 2 2 3 2" xfId="11510"/>
    <cellStyle name="Обычный 10 9 6 2 2 3 3" xfId="11511"/>
    <cellStyle name="Обычный 10 9 6 2 2 4" xfId="11512"/>
    <cellStyle name="Обычный 10 9 6 2 2 4 2" xfId="11513"/>
    <cellStyle name="Обычный 10 9 6 2 2 5" xfId="11514"/>
    <cellStyle name="Обычный 10 9 6 2 2 6" xfId="11515"/>
    <cellStyle name="Обычный 10 9 6 2 3" xfId="11516"/>
    <cellStyle name="Обычный 10 9 6 2 3 2" xfId="11517"/>
    <cellStyle name="Обычный 10 9 6 2 3 3" xfId="11518"/>
    <cellStyle name="Обычный 10 9 6 2 4" xfId="11519"/>
    <cellStyle name="Обычный 10 9 6 2 4 2" xfId="11520"/>
    <cellStyle name="Обычный 10 9 6 2 4 3" xfId="11521"/>
    <cellStyle name="Обычный 10 9 6 2 5" xfId="11522"/>
    <cellStyle name="Обычный 10 9 6 2 5 2" xfId="11523"/>
    <cellStyle name="Обычный 10 9 6 2 6" xfId="11524"/>
    <cellStyle name="Обычный 10 9 6 2 7" xfId="11525"/>
    <cellStyle name="Обычный 10 9 6 3" xfId="11526"/>
    <cellStyle name="Обычный 10 9 6 3 2" xfId="11527"/>
    <cellStyle name="Обычный 10 9 6 3 2 2" xfId="11528"/>
    <cellStyle name="Обычный 10 9 6 3 2 3" xfId="11529"/>
    <cellStyle name="Обычный 10 9 6 3 3" xfId="11530"/>
    <cellStyle name="Обычный 10 9 6 3 3 2" xfId="11531"/>
    <cellStyle name="Обычный 10 9 6 3 3 3" xfId="11532"/>
    <cellStyle name="Обычный 10 9 6 3 4" xfId="11533"/>
    <cellStyle name="Обычный 10 9 6 3 4 2" xfId="11534"/>
    <cellStyle name="Обычный 10 9 6 3 5" xfId="11535"/>
    <cellStyle name="Обычный 10 9 6 3 6" xfId="11536"/>
    <cellStyle name="Обычный 10 9 6 4" xfId="11537"/>
    <cellStyle name="Обычный 10 9 6 4 2" xfId="11538"/>
    <cellStyle name="Обычный 10 9 6 4 3" xfId="11539"/>
    <cellStyle name="Обычный 10 9 6 5" xfId="11540"/>
    <cellStyle name="Обычный 10 9 6 5 2" xfId="11541"/>
    <cellStyle name="Обычный 10 9 6 5 3" xfId="11542"/>
    <cellStyle name="Обычный 10 9 6 6" xfId="11543"/>
    <cellStyle name="Обычный 10 9 6 6 2" xfId="11544"/>
    <cellStyle name="Обычный 10 9 6 7" xfId="11545"/>
    <cellStyle name="Обычный 10 9 6 8" xfId="11546"/>
    <cellStyle name="Обычный 10 9 7" xfId="11547"/>
    <cellStyle name="Обычный 10 9 7 2" xfId="11548"/>
    <cellStyle name="Обычный 10 9 7 2 2" xfId="11549"/>
    <cellStyle name="Обычный 10 9 7 2 2 2" xfId="11550"/>
    <cellStyle name="Обычный 10 9 7 2 2 3" xfId="11551"/>
    <cellStyle name="Обычный 10 9 7 2 3" xfId="11552"/>
    <cellStyle name="Обычный 10 9 7 2 3 2" xfId="11553"/>
    <cellStyle name="Обычный 10 9 7 2 3 3" xfId="11554"/>
    <cellStyle name="Обычный 10 9 7 2 4" xfId="11555"/>
    <cellStyle name="Обычный 10 9 7 2 4 2" xfId="11556"/>
    <cellStyle name="Обычный 10 9 7 2 5" xfId="11557"/>
    <cellStyle name="Обычный 10 9 7 2 6" xfId="11558"/>
    <cellStyle name="Обычный 10 9 7 3" xfId="11559"/>
    <cellStyle name="Обычный 10 9 7 3 2" xfId="11560"/>
    <cellStyle name="Обычный 10 9 7 3 3" xfId="11561"/>
    <cellStyle name="Обычный 10 9 7 4" xfId="11562"/>
    <cellStyle name="Обычный 10 9 7 4 2" xfId="11563"/>
    <cellStyle name="Обычный 10 9 7 4 3" xfId="11564"/>
    <cellStyle name="Обычный 10 9 7 5" xfId="11565"/>
    <cellStyle name="Обычный 10 9 7 5 2" xfId="11566"/>
    <cellStyle name="Обычный 10 9 7 6" xfId="11567"/>
    <cellStyle name="Обычный 10 9 7 7" xfId="11568"/>
    <cellStyle name="Обычный 10 9 8" xfId="11569"/>
    <cellStyle name="Обычный 10 9 8 2" xfId="11570"/>
    <cellStyle name="Обычный 10 9 8 2 2" xfId="11571"/>
    <cellStyle name="Обычный 10 9 8 2 3" xfId="11572"/>
    <cellStyle name="Обычный 10 9 8 3" xfId="11573"/>
    <cellStyle name="Обычный 10 9 8 3 2" xfId="11574"/>
    <cellStyle name="Обычный 10 9 8 3 3" xfId="11575"/>
    <cellStyle name="Обычный 10 9 8 4" xfId="11576"/>
    <cellStyle name="Обычный 10 9 8 4 2" xfId="11577"/>
    <cellStyle name="Обычный 10 9 8 5" xfId="11578"/>
    <cellStyle name="Обычный 10 9 8 6" xfId="11579"/>
    <cellStyle name="Обычный 10 9 9" xfId="11580"/>
    <cellStyle name="Обычный 10 9 9 2" xfId="11581"/>
    <cellStyle name="Обычный 10 9 9 3" xfId="11582"/>
    <cellStyle name="Обычный 11" xfId="11583"/>
    <cellStyle name="Обычный 11 2" xfId="11584"/>
    <cellStyle name="Обычный 12" xfId="11585"/>
    <cellStyle name="Обычный 12 10" xfId="11586"/>
    <cellStyle name="Обычный 12 10 2" xfId="11587"/>
    <cellStyle name="Обычный 12 10 3" xfId="11588"/>
    <cellStyle name="Обычный 12 11" xfId="11589"/>
    <cellStyle name="Обычный 12 11 2" xfId="11590"/>
    <cellStyle name="Обычный 12 12" xfId="11591"/>
    <cellStyle name="Обычный 12 13" xfId="11592"/>
    <cellStyle name="Обычный 12 2" xfId="11593"/>
    <cellStyle name="Обычный 12 2 10" xfId="11594"/>
    <cellStyle name="Обычный 12 2 2" xfId="11595"/>
    <cellStyle name="Обычный 12 2 2 2" xfId="11596"/>
    <cellStyle name="Обычный 12 2 2 2 2" xfId="11597"/>
    <cellStyle name="Обычный 12 2 2 2 2 2" xfId="11598"/>
    <cellStyle name="Обычный 12 2 2 2 2 2 2" xfId="11599"/>
    <cellStyle name="Обычный 12 2 2 2 2 2 2 2" xfId="11600"/>
    <cellStyle name="Обычный 12 2 2 2 2 2 2 3" xfId="11601"/>
    <cellStyle name="Обычный 12 2 2 2 2 2 3" xfId="11602"/>
    <cellStyle name="Обычный 12 2 2 2 2 2 3 2" xfId="11603"/>
    <cellStyle name="Обычный 12 2 2 2 2 2 3 3" xfId="11604"/>
    <cellStyle name="Обычный 12 2 2 2 2 2 4" xfId="11605"/>
    <cellStyle name="Обычный 12 2 2 2 2 2 4 2" xfId="11606"/>
    <cellStyle name="Обычный 12 2 2 2 2 2 5" xfId="11607"/>
    <cellStyle name="Обычный 12 2 2 2 2 2 6" xfId="11608"/>
    <cellStyle name="Обычный 12 2 2 2 2 3" xfId="11609"/>
    <cellStyle name="Обычный 12 2 2 2 2 3 2" xfId="11610"/>
    <cellStyle name="Обычный 12 2 2 2 2 3 3" xfId="11611"/>
    <cellStyle name="Обычный 12 2 2 2 2 4" xfId="11612"/>
    <cellStyle name="Обычный 12 2 2 2 2 4 2" xfId="11613"/>
    <cellStyle name="Обычный 12 2 2 2 2 4 3" xfId="11614"/>
    <cellStyle name="Обычный 12 2 2 2 2 5" xfId="11615"/>
    <cellStyle name="Обычный 12 2 2 2 2 5 2" xfId="11616"/>
    <cellStyle name="Обычный 12 2 2 2 2 6" xfId="11617"/>
    <cellStyle name="Обычный 12 2 2 2 2 7" xfId="11618"/>
    <cellStyle name="Обычный 12 2 2 2 3" xfId="11619"/>
    <cellStyle name="Обычный 12 2 2 2 3 2" xfId="11620"/>
    <cellStyle name="Обычный 12 2 2 2 3 2 2" xfId="11621"/>
    <cellStyle name="Обычный 12 2 2 2 3 2 3" xfId="11622"/>
    <cellStyle name="Обычный 12 2 2 2 3 3" xfId="11623"/>
    <cellStyle name="Обычный 12 2 2 2 3 3 2" xfId="11624"/>
    <cellStyle name="Обычный 12 2 2 2 3 3 3" xfId="11625"/>
    <cellStyle name="Обычный 12 2 2 2 3 4" xfId="11626"/>
    <cellStyle name="Обычный 12 2 2 2 3 4 2" xfId="11627"/>
    <cellStyle name="Обычный 12 2 2 2 3 5" xfId="11628"/>
    <cellStyle name="Обычный 12 2 2 2 3 6" xfId="11629"/>
    <cellStyle name="Обычный 12 2 2 2 4" xfId="11630"/>
    <cellStyle name="Обычный 12 2 2 2 4 2" xfId="11631"/>
    <cellStyle name="Обычный 12 2 2 2 4 3" xfId="11632"/>
    <cellStyle name="Обычный 12 2 2 2 5" xfId="11633"/>
    <cellStyle name="Обычный 12 2 2 2 5 2" xfId="11634"/>
    <cellStyle name="Обычный 12 2 2 2 5 3" xfId="11635"/>
    <cellStyle name="Обычный 12 2 2 2 6" xfId="11636"/>
    <cellStyle name="Обычный 12 2 2 2 6 2" xfId="11637"/>
    <cellStyle name="Обычный 12 2 2 2 7" xfId="11638"/>
    <cellStyle name="Обычный 12 2 2 2 8" xfId="11639"/>
    <cellStyle name="Обычный 12 2 2 3" xfId="11640"/>
    <cellStyle name="Обычный 12 2 2 3 2" xfId="11641"/>
    <cellStyle name="Обычный 12 2 2 3 2 2" xfId="11642"/>
    <cellStyle name="Обычный 12 2 2 3 2 2 2" xfId="11643"/>
    <cellStyle name="Обычный 12 2 2 3 2 2 3" xfId="11644"/>
    <cellStyle name="Обычный 12 2 2 3 2 3" xfId="11645"/>
    <cellStyle name="Обычный 12 2 2 3 2 3 2" xfId="11646"/>
    <cellStyle name="Обычный 12 2 2 3 2 3 3" xfId="11647"/>
    <cellStyle name="Обычный 12 2 2 3 2 4" xfId="11648"/>
    <cellStyle name="Обычный 12 2 2 3 2 4 2" xfId="11649"/>
    <cellStyle name="Обычный 12 2 2 3 2 5" xfId="11650"/>
    <cellStyle name="Обычный 12 2 2 3 2 6" xfId="11651"/>
    <cellStyle name="Обычный 12 2 2 3 3" xfId="11652"/>
    <cellStyle name="Обычный 12 2 2 3 3 2" xfId="11653"/>
    <cellStyle name="Обычный 12 2 2 3 3 3" xfId="11654"/>
    <cellStyle name="Обычный 12 2 2 3 4" xfId="11655"/>
    <cellStyle name="Обычный 12 2 2 3 4 2" xfId="11656"/>
    <cellStyle name="Обычный 12 2 2 3 4 3" xfId="11657"/>
    <cellStyle name="Обычный 12 2 2 3 5" xfId="11658"/>
    <cellStyle name="Обычный 12 2 2 3 5 2" xfId="11659"/>
    <cellStyle name="Обычный 12 2 2 3 6" xfId="11660"/>
    <cellStyle name="Обычный 12 2 2 3 7" xfId="11661"/>
    <cellStyle name="Обычный 12 2 2 4" xfId="11662"/>
    <cellStyle name="Обычный 12 2 2 4 2" xfId="11663"/>
    <cellStyle name="Обычный 12 2 2 4 2 2" xfId="11664"/>
    <cellStyle name="Обычный 12 2 2 4 2 3" xfId="11665"/>
    <cellStyle name="Обычный 12 2 2 4 3" xfId="11666"/>
    <cellStyle name="Обычный 12 2 2 4 3 2" xfId="11667"/>
    <cellStyle name="Обычный 12 2 2 4 3 3" xfId="11668"/>
    <cellStyle name="Обычный 12 2 2 4 4" xfId="11669"/>
    <cellStyle name="Обычный 12 2 2 4 4 2" xfId="11670"/>
    <cellStyle name="Обычный 12 2 2 4 5" xfId="11671"/>
    <cellStyle name="Обычный 12 2 2 4 6" xfId="11672"/>
    <cellStyle name="Обычный 12 2 2 5" xfId="11673"/>
    <cellStyle name="Обычный 12 2 2 5 2" xfId="11674"/>
    <cellStyle name="Обычный 12 2 2 5 3" xfId="11675"/>
    <cellStyle name="Обычный 12 2 2 6" xfId="11676"/>
    <cellStyle name="Обычный 12 2 2 6 2" xfId="11677"/>
    <cellStyle name="Обычный 12 2 2 6 3" xfId="11678"/>
    <cellStyle name="Обычный 12 2 2 7" xfId="11679"/>
    <cellStyle name="Обычный 12 2 2 7 2" xfId="11680"/>
    <cellStyle name="Обычный 12 2 2 8" xfId="11681"/>
    <cellStyle name="Обычный 12 2 2 9" xfId="11682"/>
    <cellStyle name="Обычный 12 2 3" xfId="11683"/>
    <cellStyle name="Обычный 12 2 3 2" xfId="11684"/>
    <cellStyle name="Обычный 12 2 3 2 2" xfId="11685"/>
    <cellStyle name="Обычный 12 2 3 2 2 2" xfId="11686"/>
    <cellStyle name="Обычный 12 2 3 2 2 2 2" xfId="11687"/>
    <cellStyle name="Обычный 12 2 3 2 2 2 3" xfId="11688"/>
    <cellStyle name="Обычный 12 2 3 2 2 3" xfId="11689"/>
    <cellStyle name="Обычный 12 2 3 2 2 3 2" xfId="11690"/>
    <cellStyle name="Обычный 12 2 3 2 2 3 3" xfId="11691"/>
    <cellStyle name="Обычный 12 2 3 2 2 4" xfId="11692"/>
    <cellStyle name="Обычный 12 2 3 2 2 4 2" xfId="11693"/>
    <cellStyle name="Обычный 12 2 3 2 2 5" xfId="11694"/>
    <cellStyle name="Обычный 12 2 3 2 2 6" xfId="11695"/>
    <cellStyle name="Обычный 12 2 3 2 3" xfId="11696"/>
    <cellStyle name="Обычный 12 2 3 2 3 2" xfId="11697"/>
    <cellStyle name="Обычный 12 2 3 2 3 3" xfId="11698"/>
    <cellStyle name="Обычный 12 2 3 2 4" xfId="11699"/>
    <cellStyle name="Обычный 12 2 3 2 4 2" xfId="11700"/>
    <cellStyle name="Обычный 12 2 3 2 4 3" xfId="11701"/>
    <cellStyle name="Обычный 12 2 3 2 5" xfId="11702"/>
    <cellStyle name="Обычный 12 2 3 2 5 2" xfId="11703"/>
    <cellStyle name="Обычный 12 2 3 2 6" xfId="11704"/>
    <cellStyle name="Обычный 12 2 3 2 7" xfId="11705"/>
    <cellStyle name="Обычный 12 2 3 3" xfId="11706"/>
    <cellStyle name="Обычный 12 2 3 3 2" xfId="11707"/>
    <cellStyle name="Обычный 12 2 3 3 2 2" xfId="11708"/>
    <cellStyle name="Обычный 12 2 3 3 2 3" xfId="11709"/>
    <cellStyle name="Обычный 12 2 3 3 3" xfId="11710"/>
    <cellStyle name="Обычный 12 2 3 3 3 2" xfId="11711"/>
    <cellStyle name="Обычный 12 2 3 3 3 3" xfId="11712"/>
    <cellStyle name="Обычный 12 2 3 3 4" xfId="11713"/>
    <cellStyle name="Обычный 12 2 3 3 4 2" xfId="11714"/>
    <cellStyle name="Обычный 12 2 3 3 5" xfId="11715"/>
    <cellStyle name="Обычный 12 2 3 3 6" xfId="11716"/>
    <cellStyle name="Обычный 12 2 3 4" xfId="11717"/>
    <cellStyle name="Обычный 12 2 3 4 2" xfId="11718"/>
    <cellStyle name="Обычный 12 2 3 4 3" xfId="11719"/>
    <cellStyle name="Обычный 12 2 3 5" xfId="11720"/>
    <cellStyle name="Обычный 12 2 3 5 2" xfId="11721"/>
    <cellStyle name="Обычный 12 2 3 5 3" xfId="11722"/>
    <cellStyle name="Обычный 12 2 3 6" xfId="11723"/>
    <cellStyle name="Обычный 12 2 3 6 2" xfId="11724"/>
    <cellStyle name="Обычный 12 2 3 7" xfId="11725"/>
    <cellStyle name="Обычный 12 2 3 8" xfId="11726"/>
    <cellStyle name="Обычный 12 2 4" xfId="11727"/>
    <cellStyle name="Обычный 12 2 4 2" xfId="11728"/>
    <cellStyle name="Обычный 12 2 4 2 2" xfId="11729"/>
    <cellStyle name="Обычный 12 2 4 2 2 2" xfId="11730"/>
    <cellStyle name="Обычный 12 2 4 2 2 3" xfId="11731"/>
    <cellStyle name="Обычный 12 2 4 2 3" xfId="11732"/>
    <cellStyle name="Обычный 12 2 4 2 3 2" xfId="11733"/>
    <cellStyle name="Обычный 12 2 4 2 3 3" xfId="11734"/>
    <cellStyle name="Обычный 12 2 4 2 4" xfId="11735"/>
    <cellStyle name="Обычный 12 2 4 2 4 2" xfId="11736"/>
    <cellStyle name="Обычный 12 2 4 2 5" xfId="11737"/>
    <cellStyle name="Обычный 12 2 4 2 6" xfId="11738"/>
    <cellStyle name="Обычный 12 2 4 3" xfId="11739"/>
    <cellStyle name="Обычный 12 2 4 3 2" xfId="11740"/>
    <cellStyle name="Обычный 12 2 4 3 3" xfId="11741"/>
    <cellStyle name="Обычный 12 2 4 4" xfId="11742"/>
    <cellStyle name="Обычный 12 2 4 4 2" xfId="11743"/>
    <cellStyle name="Обычный 12 2 4 4 3" xfId="11744"/>
    <cellStyle name="Обычный 12 2 4 5" xfId="11745"/>
    <cellStyle name="Обычный 12 2 4 5 2" xfId="11746"/>
    <cellStyle name="Обычный 12 2 4 6" xfId="11747"/>
    <cellStyle name="Обычный 12 2 4 7" xfId="11748"/>
    <cellStyle name="Обычный 12 2 5" xfId="11749"/>
    <cellStyle name="Обычный 12 2 5 2" xfId="11750"/>
    <cellStyle name="Обычный 12 2 5 2 2" xfId="11751"/>
    <cellStyle name="Обычный 12 2 5 2 3" xfId="11752"/>
    <cellStyle name="Обычный 12 2 5 3" xfId="11753"/>
    <cellStyle name="Обычный 12 2 5 3 2" xfId="11754"/>
    <cellStyle name="Обычный 12 2 5 3 3" xfId="11755"/>
    <cellStyle name="Обычный 12 2 5 4" xfId="11756"/>
    <cellStyle name="Обычный 12 2 5 4 2" xfId="11757"/>
    <cellStyle name="Обычный 12 2 5 5" xfId="11758"/>
    <cellStyle name="Обычный 12 2 5 6" xfId="11759"/>
    <cellStyle name="Обычный 12 2 6" xfId="11760"/>
    <cellStyle name="Обычный 12 2 6 2" xfId="11761"/>
    <cellStyle name="Обычный 12 2 6 3" xfId="11762"/>
    <cellStyle name="Обычный 12 2 7" xfId="11763"/>
    <cellStyle name="Обычный 12 2 7 2" xfId="11764"/>
    <cellStyle name="Обычный 12 2 7 3" xfId="11765"/>
    <cellStyle name="Обычный 12 2 8" xfId="11766"/>
    <cellStyle name="Обычный 12 2 8 2" xfId="11767"/>
    <cellStyle name="Обычный 12 2 9" xfId="11768"/>
    <cellStyle name="Обычный 12 3" xfId="11769"/>
    <cellStyle name="Обычный 12 3 10" xfId="11770"/>
    <cellStyle name="Обычный 12 3 2" xfId="11771"/>
    <cellStyle name="Обычный 12 3 2 2" xfId="11772"/>
    <cellStyle name="Обычный 12 3 2 2 2" xfId="11773"/>
    <cellStyle name="Обычный 12 3 2 2 2 2" xfId="11774"/>
    <cellStyle name="Обычный 12 3 2 2 2 2 2" xfId="11775"/>
    <cellStyle name="Обычный 12 3 2 2 2 2 2 2" xfId="11776"/>
    <cellStyle name="Обычный 12 3 2 2 2 2 2 3" xfId="11777"/>
    <cellStyle name="Обычный 12 3 2 2 2 2 3" xfId="11778"/>
    <cellStyle name="Обычный 12 3 2 2 2 2 3 2" xfId="11779"/>
    <cellStyle name="Обычный 12 3 2 2 2 2 3 3" xfId="11780"/>
    <cellStyle name="Обычный 12 3 2 2 2 2 4" xfId="11781"/>
    <cellStyle name="Обычный 12 3 2 2 2 2 4 2" xfId="11782"/>
    <cellStyle name="Обычный 12 3 2 2 2 2 5" xfId="11783"/>
    <cellStyle name="Обычный 12 3 2 2 2 2 6" xfId="11784"/>
    <cellStyle name="Обычный 12 3 2 2 2 3" xfId="11785"/>
    <cellStyle name="Обычный 12 3 2 2 2 3 2" xfId="11786"/>
    <cellStyle name="Обычный 12 3 2 2 2 3 3" xfId="11787"/>
    <cellStyle name="Обычный 12 3 2 2 2 4" xfId="11788"/>
    <cellStyle name="Обычный 12 3 2 2 2 4 2" xfId="11789"/>
    <cellStyle name="Обычный 12 3 2 2 2 4 3" xfId="11790"/>
    <cellStyle name="Обычный 12 3 2 2 2 5" xfId="11791"/>
    <cellStyle name="Обычный 12 3 2 2 2 5 2" xfId="11792"/>
    <cellStyle name="Обычный 12 3 2 2 2 6" xfId="11793"/>
    <cellStyle name="Обычный 12 3 2 2 2 7" xfId="11794"/>
    <cellStyle name="Обычный 12 3 2 2 3" xfId="11795"/>
    <cellStyle name="Обычный 12 3 2 2 3 2" xfId="11796"/>
    <cellStyle name="Обычный 12 3 2 2 3 2 2" xfId="11797"/>
    <cellStyle name="Обычный 12 3 2 2 3 2 3" xfId="11798"/>
    <cellStyle name="Обычный 12 3 2 2 3 3" xfId="11799"/>
    <cellStyle name="Обычный 12 3 2 2 3 3 2" xfId="11800"/>
    <cellStyle name="Обычный 12 3 2 2 3 3 3" xfId="11801"/>
    <cellStyle name="Обычный 12 3 2 2 3 4" xfId="11802"/>
    <cellStyle name="Обычный 12 3 2 2 3 4 2" xfId="11803"/>
    <cellStyle name="Обычный 12 3 2 2 3 5" xfId="11804"/>
    <cellStyle name="Обычный 12 3 2 2 3 6" xfId="11805"/>
    <cellStyle name="Обычный 12 3 2 2 4" xfId="11806"/>
    <cellStyle name="Обычный 12 3 2 2 4 2" xfId="11807"/>
    <cellStyle name="Обычный 12 3 2 2 4 3" xfId="11808"/>
    <cellStyle name="Обычный 12 3 2 2 5" xfId="11809"/>
    <cellStyle name="Обычный 12 3 2 2 5 2" xfId="11810"/>
    <cellStyle name="Обычный 12 3 2 2 5 3" xfId="11811"/>
    <cellStyle name="Обычный 12 3 2 2 6" xfId="11812"/>
    <cellStyle name="Обычный 12 3 2 2 6 2" xfId="11813"/>
    <cellStyle name="Обычный 12 3 2 2 7" xfId="11814"/>
    <cellStyle name="Обычный 12 3 2 2 8" xfId="11815"/>
    <cellStyle name="Обычный 12 3 2 3" xfId="11816"/>
    <cellStyle name="Обычный 12 3 2 3 2" xfId="11817"/>
    <cellStyle name="Обычный 12 3 2 3 2 2" xfId="11818"/>
    <cellStyle name="Обычный 12 3 2 3 2 2 2" xfId="11819"/>
    <cellStyle name="Обычный 12 3 2 3 2 2 3" xfId="11820"/>
    <cellStyle name="Обычный 12 3 2 3 2 3" xfId="11821"/>
    <cellStyle name="Обычный 12 3 2 3 2 3 2" xfId="11822"/>
    <cellStyle name="Обычный 12 3 2 3 2 3 3" xfId="11823"/>
    <cellStyle name="Обычный 12 3 2 3 2 4" xfId="11824"/>
    <cellStyle name="Обычный 12 3 2 3 2 4 2" xfId="11825"/>
    <cellStyle name="Обычный 12 3 2 3 2 5" xfId="11826"/>
    <cellStyle name="Обычный 12 3 2 3 2 6" xfId="11827"/>
    <cellStyle name="Обычный 12 3 2 3 3" xfId="11828"/>
    <cellStyle name="Обычный 12 3 2 3 3 2" xfId="11829"/>
    <cellStyle name="Обычный 12 3 2 3 3 3" xfId="11830"/>
    <cellStyle name="Обычный 12 3 2 3 4" xfId="11831"/>
    <cellStyle name="Обычный 12 3 2 3 4 2" xfId="11832"/>
    <cellStyle name="Обычный 12 3 2 3 4 3" xfId="11833"/>
    <cellStyle name="Обычный 12 3 2 3 5" xfId="11834"/>
    <cellStyle name="Обычный 12 3 2 3 5 2" xfId="11835"/>
    <cellStyle name="Обычный 12 3 2 3 6" xfId="11836"/>
    <cellStyle name="Обычный 12 3 2 3 7" xfId="11837"/>
    <cellStyle name="Обычный 12 3 2 4" xfId="11838"/>
    <cellStyle name="Обычный 12 3 2 4 2" xfId="11839"/>
    <cellStyle name="Обычный 12 3 2 4 2 2" xfId="11840"/>
    <cellStyle name="Обычный 12 3 2 4 2 3" xfId="11841"/>
    <cellStyle name="Обычный 12 3 2 4 3" xfId="11842"/>
    <cellStyle name="Обычный 12 3 2 4 3 2" xfId="11843"/>
    <cellStyle name="Обычный 12 3 2 4 3 3" xfId="11844"/>
    <cellStyle name="Обычный 12 3 2 4 4" xfId="11845"/>
    <cellStyle name="Обычный 12 3 2 4 4 2" xfId="11846"/>
    <cellStyle name="Обычный 12 3 2 4 5" xfId="11847"/>
    <cellStyle name="Обычный 12 3 2 4 6" xfId="11848"/>
    <cellStyle name="Обычный 12 3 2 5" xfId="11849"/>
    <cellStyle name="Обычный 12 3 2 5 2" xfId="11850"/>
    <cellStyle name="Обычный 12 3 2 5 3" xfId="11851"/>
    <cellStyle name="Обычный 12 3 2 6" xfId="11852"/>
    <cellStyle name="Обычный 12 3 2 6 2" xfId="11853"/>
    <cellStyle name="Обычный 12 3 2 6 3" xfId="11854"/>
    <cellStyle name="Обычный 12 3 2 7" xfId="11855"/>
    <cellStyle name="Обычный 12 3 2 7 2" xfId="11856"/>
    <cellStyle name="Обычный 12 3 2 8" xfId="11857"/>
    <cellStyle name="Обычный 12 3 2 9" xfId="11858"/>
    <cellStyle name="Обычный 12 3 3" xfId="11859"/>
    <cellStyle name="Обычный 12 3 3 2" xfId="11860"/>
    <cellStyle name="Обычный 12 3 3 2 2" xfId="11861"/>
    <cellStyle name="Обычный 12 3 3 2 2 2" xfId="11862"/>
    <cellStyle name="Обычный 12 3 3 2 2 2 2" xfId="11863"/>
    <cellStyle name="Обычный 12 3 3 2 2 2 3" xfId="11864"/>
    <cellStyle name="Обычный 12 3 3 2 2 3" xfId="11865"/>
    <cellStyle name="Обычный 12 3 3 2 2 3 2" xfId="11866"/>
    <cellStyle name="Обычный 12 3 3 2 2 3 3" xfId="11867"/>
    <cellStyle name="Обычный 12 3 3 2 2 4" xfId="11868"/>
    <cellStyle name="Обычный 12 3 3 2 2 4 2" xfId="11869"/>
    <cellStyle name="Обычный 12 3 3 2 2 5" xfId="11870"/>
    <cellStyle name="Обычный 12 3 3 2 2 6" xfId="11871"/>
    <cellStyle name="Обычный 12 3 3 2 3" xfId="11872"/>
    <cellStyle name="Обычный 12 3 3 2 3 2" xfId="11873"/>
    <cellStyle name="Обычный 12 3 3 2 3 3" xfId="11874"/>
    <cellStyle name="Обычный 12 3 3 2 4" xfId="11875"/>
    <cellStyle name="Обычный 12 3 3 2 4 2" xfId="11876"/>
    <cellStyle name="Обычный 12 3 3 2 4 3" xfId="11877"/>
    <cellStyle name="Обычный 12 3 3 2 5" xfId="11878"/>
    <cellStyle name="Обычный 12 3 3 2 5 2" xfId="11879"/>
    <cellStyle name="Обычный 12 3 3 2 6" xfId="11880"/>
    <cellStyle name="Обычный 12 3 3 2 7" xfId="11881"/>
    <cellStyle name="Обычный 12 3 3 3" xfId="11882"/>
    <cellStyle name="Обычный 12 3 3 3 2" xfId="11883"/>
    <cellStyle name="Обычный 12 3 3 3 2 2" xfId="11884"/>
    <cellStyle name="Обычный 12 3 3 3 2 3" xfId="11885"/>
    <cellStyle name="Обычный 12 3 3 3 3" xfId="11886"/>
    <cellStyle name="Обычный 12 3 3 3 3 2" xfId="11887"/>
    <cellStyle name="Обычный 12 3 3 3 3 3" xfId="11888"/>
    <cellStyle name="Обычный 12 3 3 3 4" xfId="11889"/>
    <cellStyle name="Обычный 12 3 3 3 4 2" xfId="11890"/>
    <cellStyle name="Обычный 12 3 3 3 5" xfId="11891"/>
    <cellStyle name="Обычный 12 3 3 3 6" xfId="11892"/>
    <cellStyle name="Обычный 12 3 3 4" xfId="11893"/>
    <cellStyle name="Обычный 12 3 3 4 2" xfId="11894"/>
    <cellStyle name="Обычный 12 3 3 4 3" xfId="11895"/>
    <cellStyle name="Обычный 12 3 3 5" xfId="11896"/>
    <cellStyle name="Обычный 12 3 3 5 2" xfId="11897"/>
    <cellStyle name="Обычный 12 3 3 5 3" xfId="11898"/>
    <cellStyle name="Обычный 12 3 3 6" xfId="11899"/>
    <cellStyle name="Обычный 12 3 3 6 2" xfId="11900"/>
    <cellStyle name="Обычный 12 3 3 7" xfId="11901"/>
    <cellStyle name="Обычный 12 3 3 8" xfId="11902"/>
    <cellStyle name="Обычный 12 3 4" xfId="11903"/>
    <cellStyle name="Обычный 12 3 4 2" xfId="11904"/>
    <cellStyle name="Обычный 12 3 4 2 2" xfId="11905"/>
    <cellStyle name="Обычный 12 3 4 2 2 2" xfId="11906"/>
    <cellStyle name="Обычный 12 3 4 2 2 3" xfId="11907"/>
    <cellStyle name="Обычный 12 3 4 2 3" xfId="11908"/>
    <cellStyle name="Обычный 12 3 4 2 3 2" xfId="11909"/>
    <cellStyle name="Обычный 12 3 4 2 3 3" xfId="11910"/>
    <cellStyle name="Обычный 12 3 4 2 4" xfId="11911"/>
    <cellStyle name="Обычный 12 3 4 2 4 2" xfId="11912"/>
    <cellStyle name="Обычный 12 3 4 2 5" xfId="11913"/>
    <cellStyle name="Обычный 12 3 4 2 6" xfId="11914"/>
    <cellStyle name="Обычный 12 3 4 3" xfId="11915"/>
    <cellStyle name="Обычный 12 3 4 3 2" xfId="11916"/>
    <cellStyle name="Обычный 12 3 4 3 3" xfId="11917"/>
    <cellStyle name="Обычный 12 3 4 4" xfId="11918"/>
    <cellStyle name="Обычный 12 3 4 4 2" xfId="11919"/>
    <cellStyle name="Обычный 12 3 4 4 3" xfId="11920"/>
    <cellStyle name="Обычный 12 3 4 5" xfId="11921"/>
    <cellStyle name="Обычный 12 3 4 5 2" xfId="11922"/>
    <cellStyle name="Обычный 12 3 4 6" xfId="11923"/>
    <cellStyle name="Обычный 12 3 4 7" xfId="11924"/>
    <cellStyle name="Обычный 12 3 5" xfId="11925"/>
    <cellStyle name="Обычный 12 3 5 2" xfId="11926"/>
    <cellStyle name="Обычный 12 3 5 2 2" xfId="11927"/>
    <cellStyle name="Обычный 12 3 5 2 3" xfId="11928"/>
    <cellStyle name="Обычный 12 3 5 3" xfId="11929"/>
    <cellStyle name="Обычный 12 3 5 3 2" xfId="11930"/>
    <cellStyle name="Обычный 12 3 5 3 3" xfId="11931"/>
    <cellStyle name="Обычный 12 3 5 4" xfId="11932"/>
    <cellStyle name="Обычный 12 3 5 4 2" xfId="11933"/>
    <cellStyle name="Обычный 12 3 5 5" xfId="11934"/>
    <cellStyle name="Обычный 12 3 5 6" xfId="11935"/>
    <cellStyle name="Обычный 12 3 6" xfId="11936"/>
    <cellStyle name="Обычный 12 3 6 2" xfId="11937"/>
    <cellStyle name="Обычный 12 3 6 3" xfId="11938"/>
    <cellStyle name="Обычный 12 3 7" xfId="11939"/>
    <cellStyle name="Обычный 12 3 7 2" xfId="11940"/>
    <cellStyle name="Обычный 12 3 7 3" xfId="11941"/>
    <cellStyle name="Обычный 12 3 8" xfId="11942"/>
    <cellStyle name="Обычный 12 3 8 2" xfId="11943"/>
    <cellStyle name="Обычный 12 3 9" xfId="11944"/>
    <cellStyle name="Обычный 12 4" xfId="11945"/>
    <cellStyle name="Обычный 12 4 10" xfId="11946"/>
    <cellStyle name="Обычный 12 4 2" xfId="11947"/>
    <cellStyle name="Обычный 12 4 2 2" xfId="11948"/>
    <cellStyle name="Обычный 12 4 2 2 2" xfId="11949"/>
    <cellStyle name="Обычный 12 4 2 2 2 2" xfId="11950"/>
    <cellStyle name="Обычный 12 4 2 2 2 2 2" xfId="11951"/>
    <cellStyle name="Обычный 12 4 2 2 2 2 2 2" xfId="11952"/>
    <cellStyle name="Обычный 12 4 2 2 2 2 2 3" xfId="11953"/>
    <cellStyle name="Обычный 12 4 2 2 2 2 3" xfId="11954"/>
    <cellStyle name="Обычный 12 4 2 2 2 2 3 2" xfId="11955"/>
    <cellStyle name="Обычный 12 4 2 2 2 2 3 3" xfId="11956"/>
    <cellStyle name="Обычный 12 4 2 2 2 2 4" xfId="11957"/>
    <cellStyle name="Обычный 12 4 2 2 2 2 4 2" xfId="11958"/>
    <cellStyle name="Обычный 12 4 2 2 2 2 5" xfId="11959"/>
    <cellStyle name="Обычный 12 4 2 2 2 2 6" xfId="11960"/>
    <cellStyle name="Обычный 12 4 2 2 2 3" xfId="11961"/>
    <cellStyle name="Обычный 12 4 2 2 2 3 2" xfId="11962"/>
    <cellStyle name="Обычный 12 4 2 2 2 3 3" xfId="11963"/>
    <cellStyle name="Обычный 12 4 2 2 2 4" xfId="11964"/>
    <cellStyle name="Обычный 12 4 2 2 2 4 2" xfId="11965"/>
    <cellStyle name="Обычный 12 4 2 2 2 4 3" xfId="11966"/>
    <cellStyle name="Обычный 12 4 2 2 2 5" xfId="11967"/>
    <cellStyle name="Обычный 12 4 2 2 2 5 2" xfId="11968"/>
    <cellStyle name="Обычный 12 4 2 2 2 6" xfId="11969"/>
    <cellStyle name="Обычный 12 4 2 2 2 7" xfId="11970"/>
    <cellStyle name="Обычный 12 4 2 2 3" xfId="11971"/>
    <cellStyle name="Обычный 12 4 2 2 3 2" xfId="11972"/>
    <cellStyle name="Обычный 12 4 2 2 3 2 2" xfId="11973"/>
    <cellStyle name="Обычный 12 4 2 2 3 2 3" xfId="11974"/>
    <cellStyle name="Обычный 12 4 2 2 3 3" xfId="11975"/>
    <cellStyle name="Обычный 12 4 2 2 3 3 2" xfId="11976"/>
    <cellStyle name="Обычный 12 4 2 2 3 3 3" xfId="11977"/>
    <cellStyle name="Обычный 12 4 2 2 3 4" xfId="11978"/>
    <cellStyle name="Обычный 12 4 2 2 3 4 2" xfId="11979"/>
    <cellStyle name="Обычный 12 4 2 2 3 5" xfId="11980"/>
    <cellStyle name="Обычный 12 4 2 2 3 6" xfId="11981"/>
    <cellStyle name="Обычный 12 4 2 2 4" xfId="11982"/>
    <cellStyle name="Обычный 12 4 2 2 4 2" xfId="11983"/>
    <cellStyle name="Обычный 12 4 2 2 4 3" xfId="11984"/>
    <cellStyle name="Обычный 12 4 2 2 5" xfId="11985"/>
    <cellStyle name="Обычный 12 4 2 2 5 2" xfId="11986"/>
    <cellStyle name="Обычный 12 4 2 2 5 3" xfId="11987"/>
    <cellStyle name="Обычный 12 4 2 2 6" xfId="11988"/>
    <cellStyle name="Обычный 12 4 2 2 6 2" xfId="11989"/>
    <cellStyle name="Обычный 12 4 2 2 7" xfId="11990"/>
    <cellStyle name="Обычный 12 4 2 2 8" xfId="11991"/>
    <cellStyle name="Обычный 12 4 2 3" xfId="11992"/>
    <cellStyle name="Обычный 12 4 2 3 2" xfId="11993"/>
    <cellStyle name="Обычный 12 4 2 3 2 2" xfId="11994"/>
    <cellStyle name="Обычный 12 4 2 3 2 2 2" xfId="11995"/>
    <cellStyle name="Обычный 12 4 2 3 2 2 3" xfId="11996"/>
    <cellStyle name="Обычный 12 4 2 3 2 3" xfId="11997"/>
    <cellStyle name="Обычный 12 4 2 3 2 3 2" xfId="11998"/>
    <cellStyle name="Обычный 12 4 2 3 2 3 3" xfId="11999"/>
    <cellStyle name="Обычный 12 4 2 3 2 4" xfId="12000"/>
    <cellStyle name="Обычный 12 4 2 3 2 4 2" xfId="12001"/>
    <cellStyle name="Обычный 12 4 2 3 2 5" xfId="12002"/>
    <cellStyle name="Обычный 12 4 2 3 2 6" xfId="12003"/>
    <cellStyle name="Обычный 12 4 2 3 3" xfId="12004"/>
    <cellStyle name="Обычный 12 4 2 3 3 2" xfId="12005"/>
    <cellStyle name="Обычный 12 4 2 3 3 3" xfId="12006"/>
    <cellStyle name="Обычный 12 4 2 3 4" xfId="12007"/>
    <cellStyle name="Обычный 12 4 2 3 4 2" xfId="12008"/>
    <cellStyle name="Обычный 12 4 2 3 4 3" xfId="12009"/>
    <cellStyle name="Обычный 12 4 2 3 5" xfId="12010"/>
    <cellStyle name="Обычный 12 4 2 3 5 2" xfId="12011"/>
    <cellStyle name="Обычный 12 4 2 3 6" xfId="12012"/>
    <cellStyle name="Обычный 12 4 2 3 7" xfId="12013"/>
    <cellStyle name="Обычный 12 4 2 4" xfId="12014"/>
    <cellStyle name="Обычный 12 4 2 4 2" xfId="12015"/>
    <cellStyle name="Обычный 12 4 2 4 2 2" xfId="12016"/>
    <cellStyle name="Обычный 12 4 2 4 2 3" xfId="12017"/>
    <cellStyle name="Обычный 12 4 2 4 3" xfId="12018"/>
    <cellStyle name="Обычный 12 4 2 4 3 2" xfId="12019"/>
    <cellStyle name="Обычный 12 4 2 4 3 3" xfId="12020"/>
    <cellStyle name="Обычный 12 4 2 4 4" xfId="12021"/>
    <cellStyle name="Обычный 12 4 2 4 4 2" xfId="12022"/>
    <cellStyle name="Обычный 12 4 2 4 5" xfId="12023"/>
    <cellStyle name="Обычный 12 4 2 4 6" xfId="12024"/>
    <cellStyle name="Обычный 12 4 2 5" xfId="12025"/>
    <cellStyle name="Обычный 12 4 2 5 2" xfId="12026"/>
    <cellStyle name="Обычный 12 4 2 5 3" xfId="12027"/>
    <cellStyle name="Обычный 12 4 2 6" xfId="12028"/>
    <cellStyle name="Обычный 12 4 2 6 2" xfId="12029"/>
    <cellStyle name="Обычный 12 4 2 6 3" xfId="12030"/>
    <cellStyle name="Обычный 12 4 2 7" xfId="12031"/>
    <cellStyle name="Обычный 12 4 2 7 2" xfId="12032"/>
    <cellStyle name="Обычный 12 4 2 8" xfId="12033"/>
    <cellStyle name="Обычный 12 4 2 9" xfId="12034"/>
    <cellStyle name="Обычный 12 4 3" xfId="12035"/>
    <cellStyle name="Обычный 12 4 3 2" xfId="12036"/>
    <cellStyle name="Обычный 12 4 3 2 2" xfId="12037"/>
    <cellStyle name="Обычный 12 4 3 2 2 2" xfId="12038"/>
    <cellStyle name="Обычный 12 4 3 2 2 2 2" xfId="12039"/>
    <cellStyle name="Обычный 12 4 3 2 2 2 3" xfId="12040"/>
    <cellStyle name="Обычный 12 4 3 2 2 3" xfId="12041"/>
    <cellStyle name="Обычный 12 4 3 2 2 3 2" xfId="12042"/>
    <cellStyle name="Обычный 12 4 3 2 2 3 3" xfId="12043"/>
    <cellStyle name="Обычный 12 4 3 2 2 4" xfId="12044"/>
    <cellStyle name="Обычный 12 4 3 2 2 4 2" xfId="12045"/>
    <cellStyle name="Обычный 12 4 3 2 2 5" xfId="12046"/>
    <cellStyle name="Обычный 12 4 3 2 2 6" xfId="12047"/>
    <cellStyle name="Обычный 12 4 3 2 3" xfId="12048"/>
    <cellStyle name="Обычный 12 4 3 2 3 2" xfId="12049"/>
    <cellStyle name="Обычный 12 4 3 2 3 3" xfId="12050"/>
    <cellStyle name="Обычный 12 4 3 2 4" xfId="12051"/>
    <cellStyle name="Обычный 12 4 3 2 4 2" xfId="12052"/>
    <cellStyle name="Обычный 12 4 3 2 4 3" xfId="12053"/>
    <cellStyle name="Обычный 12 4 3 2 5" xfId="12054"/>
    <cellStyle name="Обычный 12 4 3 2 5 2" xfId="12055"/>
    <cellStyle name="Обычный 12 4 3 2 6" xfId="12056"/>
    <cellStyle name="Обычный 12 4 3 2 7" xfId="12057"/>
    <cellStyle name="Обычный 12 4 3 3" xfId="12058"/>
    <cellStyle name="Обычный 12 4 3 3 2" xfId="12059"/>
    <cellStyle name="Обычный 12 4 3 3 2 2" xfId="12060"/>
    <cellStyle name="Обычный 12 4 3 3 2 3" xfId="12061"/>
    <cellStyle name="Обычный 12 4 3 3 3" xfId="12062"/>
    <cellStyle name="Обычный 12 4 3 3 3 2" xfId="12063"/>
    <cellStyle name="Обычный 12 4 3 3 3 3" xfId="12064"/>
    <cellStyle name="Обычный 12 4 3 3 4" xfId="12065"/>
    <cellStyle name="Обычный 12 4 3 3 4 2" xfId="12066"/>
    <cellStyle name="Обычный 12 4 3 3 5" xfId="12067"/>
    <cellStyle name="Обычный 12 4 3 3 6" xfId="12068"/>
    <cellStyle name="Обычный 12 4 3 4" xfId="12069"/>
    <cellStyle name="Обычный 12 4 3 4 2" xfId="12070"/>
    <cellStyle name="Обычный 12 4 3 4 3" xfId="12071"/>
    <cellStyle name="Обычный 12 4 3 5" xfId="12072"/>
    <cellStyle name="Обычный 12 4 3 5 2" xfId="12073"/>
    <cellStyle name="Обычный 12 4 3 5 3" xfId="12074"/>
    <cellStyle name="Обычный 12 4 3 6" xfId="12075"/>
    <cellStyle name="Обычный 12 4 3 6 2" xfId="12076"/>
    <cellStyle name="Обычный 12 4 3 7" xfId="12077"/>
    <cellStyle name="Обычный 12 4 3 8" xfId="12078"/>
    <cellStyle name="Обычный 12 4 4" xfId="12079"/>
    <cellStyle name="Обычный 12 4 4 2" xfId="12080"/>
    <cellStyle name="Обычный 12 4 4 2 2" xfId="12081"/>
    <cellStyle name="Обычный 12 4 4 2 2 2" xfId="12082"/>
    <cellStyle name="Обычный 12 4 4 2 2 3" xfId="12083"/>
    <cellStyle name="Обычный 12 4 4 2 3" xfId="12084"/>
    <cellStyle name="Обычный 12 4 4 2 3 2" xfId="12085"/>
    <cellStyle name="Обычный 12 4 4 2 3 3" xfId="12086"/>
    <cellStyle name="Обычный 12 4 4 2 4" xfId="12087"/>
    <cellStyle name="Обычный 12 4 4 2 4 2" xfId="12088"/>
    <cellStyle name="Обычный 12 4 4 2 5" xfId="12089"/>
    <cellStyle name="Обычный 12 4 4 2 6" xfId="12090"/>
    <cellStyle name="Обычный 12 4 4 3" xfId="12091"/>
    <cellStyle name="Обычный 12 4 4 3 2" xfId="12092"/>
    <cellStyle name="Обычный 12 4 4 3 3" xfId="12093"/>
    <cellStyle name="Обычный 12 4 4 4" xfId="12094"/>
    <cellStyle name="Обычный 12 4 4 4 2" xfId="12095"/>
    <cellStyle name="Обычный 12 4 4 4 3" xfId="12096"/>
    <cellStyle name="Обычный 12 4 4 5" xfId="12097"/>
    <cellStyle name="Обычный 12 4 4 5 2" xfId="12098"/>
    <cellStyle name="Обычный 12 4 4 6" xfId="12099"/>
    <cellStyle name="Обычный 12 4 4 7" xfId="12100"/>
    <cellStyle name="Обычный 12 4 5" xfId="12101"/>
    <cellStyle name="Обычный 12 4 5 2" xfId="12102"/>
    <cellStyle name="Обычный 12 4 5 2 2" xfId="12103"/>
    <cellStyle name="Обычный 12 4 5 2 3" xfId="12104"/>
    <cellStyle name="Обычный 12 4 5 3" xfId="12105"/>
    <cellStyle name="Обычный 12 4 5 3 2" xfId="12106"/>
    <cellStyle name="Обычный 12 4 5 3 3" xfId="12107"/>
    <cellStyle name="Обычный 12 4 5 4" xfId="12108"/>
    <cellStyle name="Обычный 12 4 5 4 2" xfId="12109"/>
    <cellStyle name="Обычный 12 4 5 5" xfId="12110"/>
    <cellStyle name="Обычный 12 4 5 6" xfId="12111"/>
    <cellStyle name="Обычный 12 4 6" xfId="12112"/>
    <cellStyle name="Обычный 12 4 6 2" xfId="12113"/>
    <cellStyle name="Обычный 12 4 6 3" xfId="12114"/>
    <cellStyle name="Обычный 12 4 7" xfId="12115"/>
    <cellStyle name="Обычный 12 4 7 2" xfId="12116"/>
    <cellStyle name="Обычный 12 4 7 3" xfId="12117"/>
    <cellStyle name="Обычный 12 4 8" xfId="12118"/>
    <cellStyle name="Обычный 12 4 8 2" xfId="12119"/>
    <cellStyle name="Обычный 12 4 9" xfId="12120"/>
    <cellStyle name="Обычный 12 5" xfId="12121"/>
    <cellStyle name="Обычный 12 5 2" xfId="12122"/>
    <cellStyle name="Обычный 12 5 2 2" xfId="12123"/>
    <cellStyle name="Обычный 12 5 2 2 2" xfId="12124"/>
    <cellStyle name="Обычный 12 5 2 2 2 2" xfId="12125"/>
    <cellStyle name="Обычный 12 5 2 2 2 2 2" xfId="12126"/>
    <cellStyle name="Обычный 12 5 2 2 2 2 3" xfId="12127"/>
    <cellStyle name="Обычный 12 5 2 2 2 3" xfId="12128"/>
    <cellStyle name="Обычный 12 5 2 2 2 3 2" xfId="12129"/>
    <cellStyle name="Обычный 12 5 2 2 2 3 3" xfId="12130"/>
    <cellStyle name="Обычный 12 5 2 2 2 4" xfId="12131"/>
    <cellStyle name="Обычный 12 5 2 2 2 4 2" xfId="12132"/>
    <cellStyle name="Обычный 12 5 2 2 2 5" xfId="12133"/>
    <cellStyle name="Обычный 12 5 2 2 2 6" xfId="12134"/>
    <cellStyle name="Обычный 12 5 2 2 3" xfId="12135"/>
    <cellStyle name="Обычный 12 5 2 2 3 2" xfId="12136"/>
    <cellStyle name="Обычный 12 5 2 2 3 3" xfId="12137"/>
    <cellStyle name="Обычный 12 5 2 2 4" xfId="12138"/>
    <cellStyle name="Обычный 12 5 2 2 4 2" xfId="12139"/>
    <cellStyle name="Обычный 12 5 2 2 4 3" xfId="12140"/>
    <cellStyle name="Обычный 12 5 2 2 5" xfId="12141"/>
    <cellStyle name="Обычный 12 5 2 2 5 2" xfId="12142"/>
    <cellStyle name="Обычный 12 5 2 2 6" xfId="12143"/>
    <cellStyle name="Обычный 12 5 2 2 7" xfId="12144"/>
    <cellStyle name="Обычный 12 5 2 3" xfId="12145"/>
    <cellStyle name="Обычный 12 5 2 3 2" xfId="12146"/>
    <cellStyle name="Обычный 12 5 2 3 2 2" xfId="12147"/>
    <cellStyle name="Обычный 12 5 2 3 2 3" xfId="12148"/>
    <cellStyle name="Обычный 12 5 2 3 3" xfId="12149"/>
    <cellStyle name="Обычный 12 5 2 3 3 2" xfId="12150"/>
    <cellStyle name="Обычный 12 5 2 3 3 3" xfId="12151"/>
    <cellStyle name="Обычный 12 5 2 3 4" xfId="12152"/>
    <cellStyle name="Обычный 12 5 2 3 4 2" xfId="12153"/>
    <cellStyle name="Обычный 12 5 2 3 5" xfId="12154"/>
    <cellStyle name="Обычный 12 5 2 3 6" xfId="12155"/>
    <cellStyle name="Обычный 12 5 2 4" xfId="12156"/>
    <cellStyle name="Обычный 12 5 2 4 2" xfId="12157"/>
    <cellStyle name="Обычный 12 5 2 4 3" xfId="12158"/>
    <cellStyle name="Обычный 12 5 2 5" xfId="12159"/>
    <cellStyle name="Обычный 12 5 2 5 2" xfId="12160"/>
    <cellStyle name="Обычный 12 5 2 5 3" xfId="12161"/>
    <cellStyle name="Обычный 12 5 2 6" xfId="12162"/>
    <cellStyle name="Обычный 12 5 2 6 2" xfId="12163"/>
    <cellStyle name="Обычный 12 5 2 7" xfId="12164"/>
    <cellStyle name="Обычный 12 5 2 8" xfId="12165"/>
    <cellStyle name="Обычный 12 5 3" xfId="12166"/>
    <cellStyle name="Обычный 12 5 3 2" xfId="12167"/>
    <cellStyle name="Обычный 12 5 3 2 2" xfId="12168"/>
    <cellStyle name="Обычный 12 5 3 2 2 2" xfId="12169"/>
    <cellStyle name="Обычный 12 5 3 2 2 3" xfId="12170"/>
    <cellStyle name="Обычный 12 5 3 2 3" xfId="12171"/>
    <cellStyle name="Обычный 12 5 3 2 3 2" xfId="12172"/>
    <cellStyle name="Обычный 12 5 3 2 3 3" xfId="12173"/>
    <cellStyle name="Обычный 12 5 3 2 4" xfId="12174"/>
    <cellStyle name="Обычный 12 5 3 2 4 2" xfId="12175"/>
    <cellStyle name="Обычный 12 5 3 2 5" xfId="12176"/>
    <cellStyle name="Обычный 12 5 3 2 6" xfId="12177"/>
    <cellStyle name="Обычный 12 5 3 3" xfId="12178"/>
    <cellStyle name="Обычный 12 5 3 3 2" xfId="12179"/>
    <cellStyle name="Обычный 12 5 3 3 3" xfId="12180"/>
    <cellStyle name="Обычный 12 5 3 4" xfId="12181"/>
    <cellStyle name="Обычный 12 5 3 4 2" xfId="12182"/>
    <cellStyle name="Обычный 12 5 3 4 3" xfId="12183"/>
    <cellStyle name="Обычный 12 5 3 5" xfId="12184"/>
    <cellStyle name="Обычный 12 5 3 5 2" xfId="12185"/>
    <cellStyle name="Обычный 12 5 3 6" xfId="12186"/>
    <cellStyle name="Обычный 12 5 3 7" xfId="12187"/>
    <cellStyle name="Обычный 12 5 4" xfId="12188"/>
    <cellStyle name="Обычный 12 5 4 2" xfId="12189"/>
    <cellStyle name="Обычный 12 5 4 2 2" xfId="12190"/>
    <cellStyle name="Обычный 12 5 4 2 3" xfId="12191"/>
    <cellStyle name="Обычный 12 5 4 3" xfId="12192"/>
    <cellStyle name="Обычный 12 5 4 3 2" xfId="12193"/>
    <cellStyle name="Обычный 12 5 4 3 3" xfId="12194"/>
    <cellStyle name="Обычный 12 5 4 4" xfId="12195"/>
    <cellStyle name="Обычный 12 5 4 4 2" xfId="12196"/>
    <cellStyle name="Обычный 12 5 4 5" xfId="12197"/>
    <cellStyle name="Обычный 12 5 4 6" xfId="12198"/>
    <cellStyle name="Обычный 12 5 5" xfId="12199"/>
    <cellStyle name="Обычный 12 5 5 2" xfId="12200"/>
    <cellStyle name="Обычный 12 5 5 3" xfId="12201"/>
    <cellStyle name="Обычный 12 5 6" xfId="12202"/>
    <cellStyle name="Обычный 12 5 6 2" xfId="12203"/>
    <cellStyle name="Обычный 12 5 6 3" xfId="12204"/>
    <cellStyle name="Обычный 12 5 7" xfId="12205"/>
    <cellStyle name="Обычный 12 5 7 2" xfId="12206"/>
    <cellStyle name="Обычный 12 5 8" xfId="12207"/>
    <cellStyle name="Обычный 12 5 9" xfId="12208"/>
    <cellStyle name="Обычный 12 6" xfId="12209"/>
    <cellStyle name="Обычный 12 6 2" xfId="12210"/>
    <cellStyle name="Обычный 12 6 2 2" xfId="12211"/>
    <cellStyle name="Обычный 12 6 2 2 2" xfId="12212"/>
    <cellStyle name="Обычный 12 6 2 2 2 2" xfId="12213"/>
    <cellStyle name="Обычный 12 6 2 2 2 3" xfId="12214"/>
    <cellStyle name="Обычный 12 6 2 2 3" xfId="12215"/>
    <cellStyle name="Обычный 12 6 2 2 3 2" xfId="12216"/>
    <cellStyle name="Обычный 12 6 2 2 3 3" xfId="12217"/>
    <cellStyle name="Обычный 12 6 2 2 4" xfId="12218"/>
    <cellStyle name="Обычный 12 6 2 2 4 2" xfId="12219"/>
    <cellStyle name="Обычный 12 6 2 2 5" xfId="12220"/>
    <cellStyle name="Обычный 12 6 2 2 6" xfId="12221"/>
    <cellStyle name="Обычный 12 6 2 3" xfId="12222"/>
    <cellStyle name="Обычный 12 6 2 3 2" xfId="12223"/>
    <cellStyle name="Обычный 12 6 2 3 3" xfId="12224"/>
    <cellStyle name="Обычный 12 6 2 4" xfId="12225"/>
    <cellStyle name="Обычный 12 6 2 4 2" xfId="12226"/>
    <cellStyle name="Обычный 12 6 2 4 3" xfId="12227"/>
    <cellStyle name="Обычный 12 6 2 5" xfId="12228"/>
    <cellStyle name="Обычный 12 6 2 5 2" xfId="12229"/>
    <cellStyle name="Обычный 12 6 2 6" xfId="12230"/>
    <cellStyle name="Обычный 12 6 2 7" xfId="12231"/>
    <cellStyle name="Обычный 12 6 3" xfId="12232"/>
    <cellStyle name="Обычный 12 6 3 2" xfId="12233"/>
    <cellStyle name="Обычный 12 6 3 2 2" xfId="12234"/>
    <cellStyle name="Обычный 12 6 3 2 3" xfId="12235"/>
    <cellStyle name="Обычный 12 6 3 3" xfId="12236"/>
    <cellStyle name="Обычный 12 6 3 3 2" xfId="12237"/>
    <cellStyle name="Обычный 12 6 3 3 3" xfId="12238"/>
    <cellStyle name="Обычный 12 6 3 4" xfId="12239"/>
    <cellStyle name="Обычный 12 6 3 4 2" xfId="12240"/>
    <cellStyle name="Обычный 12 6 3 5" xfId="12241"/>
    <cellStyle name="Обычный 12 6 3 6" xfId="12242"/>
    <cellStyle name="Обычный 12 6 4" xfId="12243"/>
    <cellStyle name="Обычный 12 6 4 2" xfId="12244"/>
    <cellStyle name="Обычный 12 6 4 3" xfId="12245"/>
    <cellStyle name="Обычный 12 6 5" xfId="12246"/>
    <cellStyle name="Обычный 12 6 5 2" xfId="12247"/>
    <cellStyle name="Обычный 12 6 5 3" xfId="12248"/>
    <cellStyle name="Обычный 12 6 6" xfId="12249"/>
    <cellStyle name="Обычный 12 6 6 2" xfId="12250"/>
    <cellStyle name="Обычный 12 6 7" xfId="12251"/>
    <cellStyle name="Обычный 12 6 8" xfId="12252"/>
    <cellStyle name="Обычный 12 7" xfId="12253"/>
    <cellStyle name="Обычный 12 7 2" xfId="12254"/>
    <cellStyle name="Обычный 12 7 2 2" xfId="12255"/>
    <cellStyle name="Обычный 12 7 2 2 2" xfId="12256"/>
    <cellStyle name="Обычный 12 7 2 2 3" xfId="12257"/>
    <cellStyle name="Обычный 12 7 2 3" xfId="12258"/>
    <cellStyle name="Обычный 12 7 2 3 2" xfId="12259"/>
    <cellStyle name="Обычный 12 7 2 3 3" xfId="12260"/>
    <cellStyle name="Обычный 12 7 2 4" xfId="12261"/>
    <cellStyle name="Обычный 12 7 2 4 2" xfId="12262"/>
    <cellStyle name="Обычный 12 7 2 5" xfId="12263"/>
    <cellStyle name="Обычный 12 7 2 6" xfId="12264"/>
    <cellStyle name="Обычный 12 7 3" xfId="12265"/>
    <cellStyle name="Обычный 12 7 3 2" xfId="12266"/>
    <cellStyle name="Обычный 12 7 3 3" xfId="12267"/>
    <cellStyle name="Обычный 12 7 4" xfId="12268"/>
    <cellStyle name="Обычный 12 7 4 2" xfId="12269"/>
    <cellStyle name="Обычный 12 7 4 3" xfId="12270"/>
    <cellStyle name="Обычный 12 7 5" xfId="12271"/>
    <cellStyle name="Обычный 12 7 5 2" xfId="12272"/>
    <cellStyle name="Обычный 12 7 6" xfId="12273"/>
    <cellStyle name="Обычный 12 7 7" xfId="12274"/>
    <cellStyle name="Обычный 12 8" xfId="12275"/>
    <cellStyle name="Обычный 12 8 2" xfId="12276"/>
    <cellStyle name="Обычный 12 8 2 2" xfId="12277"/>
    <cellStyle name="Обычный 12 8 2 3" xfId="12278"/>
    <cellStyle name="Обычный 12 8 3" xfId="12279"/>
    <cellStyle name="Обычный 12 8 3 2" xfId="12280"/>
    <cellStyle name="Обычный 12 8 3 3" xfId="12281"/>
    <cellStyle name="Обычный 12 8 4" xfId="12282"/>
    <cellStyle name="Обычный 12 8 4 2" xfId="12283"/>
    <cellStyle name="Обычный 12 8 5" xfId="12284"/>
    <cellStyle name="Обычный 12 8 6" xfId="12285"/>
    <cellStyle name="Обычный 12 9" xfId="12286"/>
    <cellStyle name="Обычный 12 9 2" xfId="12287"/>
    <cellStyle name="Обычный 12 9 3" xfId="12288"/>
    <cellStyle name="Обычный 13" xfId="12289"/>
    <cellStyle name="Обычный 13 10" xfId="12290"/>
    <cellStyle name="Обычный 13 10 2" xfId="12291"/>
    <cellStyle name="Обычный 13 10 3" xfId="12292"/>
    <cellStyle name="Обычный 13 11" xfId="12293"/>
    <cellStyle name="Обычный 13 11 2" xfId="12294"/>
    <cellStyle name="Обычный 13 12" xfId="12295"/>
    <cellStyle name="Обычный 13 13" xfId="12296"/>
    <cellStyle name="Обычный 13 2" xfId="12297"/>
    <cellStyle name="Обычный 13 2 10" xfId="12298"/>
    <cellStyle name="Обычный 13 2 2" xfId="12299"/>
    <cellStyle name="Обычный 13 2 2 2" xfId="12300"/>
    <cellStyle name="Обычный 13 2 2 2 2" xfId="12301"/>
    <cellStyle name="Обычный 13 2 2 2 2 2" xfId="12302"/>
    <cellStyle name="Обычный 13 2 2 2 2 2 2" xfId="12303"/>
    <cellStyle name="Обычный 13 2 2 2 2 2 2 2" xfId="12304"/>
    <cellStyle name="Обычный 13 2 2 2 2 2 2 3" xfId="12305"/>
    <cellStyle name="Обычный 13 2 2 2 2 2 3" xfId="12306"/>
    <cellStyle name="Обычный 13 2 2 2 2 2 3 2" xfId="12307"/>
    <cellStyle name="Обычный 13 2 2 2 2 2 3 3" xfId="12308"/>
    <cellStyle name="Обычный 13 2 2 2 2 2 4" xfId="12309"/>
    <cellStyle name="Обычный 13 2 2 2 2 2 4 2" xfId="12310"/>
    <cellStyle name="Обычный 13 2 2 2 2 2 5" xfId="12311"/>
    <cellStyle name="Обычный 13 2 2 2 2 2 6" xfId="12312"/>
    <cellStyle name="Обычный 13 2 2 2 2 3" xfId="12313"/>
    <cellStyle name="Обычный 13 2 2 2 2 3 2" xfId="12314"/>
    <cellStyle name="Обычный 13 2 2 2 2 3 3" xfId="12315"/>
    <cellStyle name="Обычный 13 2 2 2 2 4" xfId="12316"/>
    <cellStyle name="Обычный 13 2 2 2 2 4 2" xfId="12317"/>
    <cellStyle name="Обычный 13 2 2 2 2 4 3" xfId="12318"/>
    <cellStyle name="Обычный 13 2 2 2 2 5" xfId="12319"/>
    <cellStyle name="Обычный 13 2 2 2 2 5 2" xfId="12320"/>
    <cellStyle name="Обычный 13 2 2 2 2 6" xfId="12321"/>
    <cellStyle name="Обычный 13 2 2 2 2 7" xfId="12322"/>
    <cellStyle name="Обычный 13 2 2 2 3" xfId="12323"/>
    <cellStyle name="Обычный 13 2 2 2 3 2" xfId="12324"/>
    <cellStyle name="Обычный 13 2 2 2 3 2 2" xfId="12325"/>
    <cellStyle name="Обычный 13 2 2 2 3 2 3" xfId="12326"/>
    <cellStyle name="Обычный 13 2 2 2 3 3" xfId="12327"/>
    <cellStyle name="Обычный 13 2 2 2 3 3 2" xfId="12328"/>
    <cellStyle name="Обычный 13 2 2 2 3 3 3" xfId="12329"/>
    <cellStyle name="Обычный 13 2 2 2 3 4" xfId="12330"/>
    <cellStyle name="Обычный 13 2 2 2 3 4 2" xfId="12331"/>
    <cellStyle name="Обычный 13 2 2 2 3 5" xfId="12332"/>
    <cellStyle name="Обычный 13 2 2 2 3 6" xfId="12333"/>
    <cellStyle name="Обычный 13 2 2 2 4" xfId="12334"/>
    <cellStyle name="Обычный 13 2 2 2 4 2" xfId="12335"/>
    <cellStyle name="Обычный 13 2 2 2 4 3" xfId="12336"/>
    <cellStyle name="Обычный 13 2 2 2 5" xfId="12337"/>
    <cellStyle name="Обычный 13 2 2 2 5 2" xfId="12338"/>
    <cellStyle name="Обычный 13 2 2 2 5 3" xfId="12339"/>
    <cellStyle name="Обычный 13 2 2 2 6" xfId="12340"/>
    <cellStyle name="Обычный 13 2 2 2 6 2" xfId="12341"/>
    <cellStyle name="Обычный 13 2 2 2 7" xfId="12342"/>
    <cellStyle name="Обычный 13 2 2 2 8" xfId="12343"/>
    <cellStyle name="Обычный 13 2 2 3" xfId="12344"/>
    <cellStyle name="Обычный 13 2 2 3 2" xfId="12345"/>
    <cellStyle name="Обычный 13 2 2 3 2 2" xfId="12346"/>
    <cellStyle name="Обычный 13 2 2 3 2 2 2" xfId="12347"/>
    <cellStyle name="Обычный 13 2 2 3 2 2 3" xfId="12348"/>
    <cellStyle name="Обычный 13 2 2 3 2 3" xfId="12349"/>
    <cellStyle name="Обычный 13 2 2 3 2 3 2" xfId="12350"/>
    <cellStyle name="Обычный 13 2 2 3 2 3 3" xfId="12351"/>
    <cellStyle name="Обычный 13 2 2 3 2 4" xfId="12352"/>
    <cellStyle name="Обычный 13 2 2 3 2 4 2" xfId="12353"/>
    <cellStyle name="Обычный 13 2 2 3 2 5" xfId="12354"/>
    <cellStyle name="Обычный 13 2 2 3 2 6" xfId="12355"/>
    <cellStyle name="Обычный 13 2 2 3 3" xfId="12356"/>
    <cellStyle name="Обычный 13 2 2 3 3 2" xfId="12357"/>
    <cellStyle name="Обычный 13 2 2 3 3 3" xfId="12358"/>
    <cellStyle name="Обычный 13 2 2 3 4" xfId="12359"/>
    <cellStyle name="Обычный 13 2 2 3 4 2" xfId="12360"/>
    <cellStyle name="Обычный 13 2 2 3 4 3" xfId="12361"/>
    <cellStyle name="Обычный 13 2 2 3 5" xfId="12362"/>
    <cellStyle name="Обычный 13 2 2 3 5 2" xfId="12363"/>
    <cellStyle name="Обычный 13 2 2 3 6" xfId="12364"/>
    <cellStyle name="Обычный 13 2 2 3 7" xfId="12365"/>
    <cellStyle name="Обычный 13 2 2 4" xfId="12366"/>
    <cellStyle name="Обычный 13 2 2 4 2" xfId="12367"/>
    <cellStyle name="Обычный 13 2 2 4 2 2" xfId="12368"/>
    <cellStyle name="Обычный 13 2 2 4 2 3" xfId="12369"/>
    <cellStyle name="Обычный 13 2 2 4 3" xfId="12370"/>
    <cellStyle name="Обычный 13 2 2 4 3 2" xfId="12371"/>
    <cellStyle name="Обычный 13 2 2 4 3 3" xfId="12372"/>
    <cellStyle name="Обычный 13 2 2 4 4" xfId="12373"/>
    <cellStyle name="Обычный 13 2 2 4 4 2" xfId="12374"/>
    <cellStyle name="Обычный 13 2 2 4 5" xfId="12375"/>
    <cellStyle name="Обычный 13 2 2 4 6" xfId="12376"/>
    <cellStyle name="Обычный 13 2 2 5" xfId="12377"/>
    <cellStyle name="Обычный 13 2 2 5 2" xfId="12378"/>
    <cellStyle name="Обычный 13 2 2 5 3" xfId="12379"/>
    <cellStyle name="Обычный 13 2 2 6" xfId="12380"/>
    <cellStyle name="Обычный 13 2 2 6 2" xfId="12381"/>
    <cellStyle name="Обычный 13 2 2 6 3" xfId="12382"/>
    <cellStyle name="Обычный 13 2 2 7" xfId="12383"/>
    <cellStyle name="Обычный 13 2 2 7 2" xfId="12384"/>
    <cellStyle name="Обычный 13 2 2 8" xfId="12385"/>
    <cellStyle name="Обычный 13 2 2 9" xfId="12386"/>
    <cellStyle name="Обычный 13 2 3" xfId="12387"/>
    <cellStyle name="Обычный 13 2 3 2" xfId="12388"/>
    <cellStyle name="Обычный 13 2 3 2 2" xfId="12389"/>
    <cellStyle name="Обычный 13 2 3 2 2 2" xfId="12390"/>
    <cellStyle name="Обычный 13 2 3 2 2 2 2" xfId="12391"/>
    <cellStyle name="Обычный 13 2 3 2 2 2 3" xfId="12392"/>
    <cellStyle name="Обычный 13 2 3 2 2 3" xfId="12393"/>
    <cellStyle name="Обычный 13 2 3 2 2 3 2" xfId="12394"/>
    <cellStyle name="Обычный 13 2 3 2 2 3 3" xfId="12395"/>
    <cellStyle name="Обычный 13 2 3 2 2 4" xfId="12396"/>
    <cellStyle name="Обычный 13 2 3 2 2 4 2" xfId="12397"/>
    <cellStyle name="Обычный 13 2 3 2 2 5" xfId="12398"/>
    <cellStyle name="Обычный 13 2 3 2 2 6" xfId="12399"/>
    <cellStyle name="Обычный 13 2 3 2 3" xfId="12400"/>
    <cellStyle name="Обычный 13 2 3 2 3 2" xfId="12401"/>
    <cellStyle name="Обычный 13 2 3 2 3 3" xfId="12402"/>
    <cellStyle name="Обычный 13 2 3 2 4" xfId="12403"/>
    <cellStyle name="Обычный 13 2 3 2 4 2" xfId="12404"/>
    <cellStyle name="Обычный 13 2 3 2 4 3" xfId="12405"/>
    <cellStyle name="Обычный 13 2 3 2 5" xfId="12406"/>
    <cellStyle name="Обычный 13 2 3 2 5 2" xfId="12407"/>
    <cellStyle name="Обычный 13 2 3 2 6" xfId="12408"/>
    <cellStyle name="Обычный 13 2 3 2 7" xfId="12409"/>
    <cellStyle name="Обычный 13 2 3 3" xfId="12410"/>
    <cellStyle name="Обычный 13 2 3 3 2" xfId="12411"/>
    <cellStyle name="Обычный 13 2 3 3 2 2" xfId="12412"/>
    <cellStyle name="Обычный 13 2 3 3 2 3" xfId="12413"/>
    <cellStyle name="Обычный 13 2 3 3 3" xfId="12414"/>
    <cellStyle name="Обычный 13 2 3 3 3 2" xfId="12415"/>
    <cellStyle name="Обычный 13 2 3 3 3 3" xfId="12416"/>
    <cellStyle name="Обычный 13 2 3 3 4" xfId="12417"/>
    <cellStyle name="Обычный 13 2 3 3 4 2" xfId="12418"/>
    <cellStyle name="Обычный 13 2 3 3 5" xfId="12419"/>
    <cellStyle name="Обычный 13 2 3 3 6" xfId="12420"/>
    <cellStyle name="Обычный 13 2 3 4" xfId="12421"/>
    <cellStyle name="Обычный 13 2 3 4 2" xfId="12422"/>
    <cellStyle name="Обычный 13 2 3 4 3" xfId="12423"/>
    <cellStyle name="Обычный 13 2 3 5" xfId="12424"/>
    <cellStyle name="Обычный 13 2 3 5 2" xfId="12425"/>
    <cellStyle name="Обычный 13 2 3 5 3" xfId="12426"/>
    <cellStyle name="Обычный 13 2 3 6" xfId="12427"/>
    <cellStyle name="Обычный 13 2 3 6 2" xfId="12428"/>
    <cellStyle name="Обычный 13 2 3 7" xfId="12429"/>
    <cellStyle name="Обычный 13 2 3 8" xfId="12430"/>
    <cellStyle name="Обычный 13 2 4" xfId="12431"/>
    <cellStyle name="Обычный 13 2 4 2" xfId="12432"/>
    <cellStyle name="Обычный 13 2 4 2 2" xfId="12433"/>
    <cellStyle name="Обычный 13 2 4 2 2 2" xfId="12434"/>
    <cellStyle name="Обычный 13 2 4 2 2 3" xfId="12435"/>
    <cellStyle name="Обычный 13 2 4 2 3" xfId="12436"/>
    <cellStyle name="Обычный 13 2 4 2 3 2" xfId="12437"/>
    <cellStyle name="Обычный 13 2 4 2 3 3" xfId="12438"/>
    <cellStyle name="Обычный 13 2 4 2 4" xfId="12439"/>
    <cellStyle name="Обычный 13 2 4 2 4 2" xfId="12440"/>
    <cellStyle name="Обычный 13 2 4 2 5" xfId="12441"/>
    <cellStyle name="Обычный 13 2 4 2 6" xfId="12442"/>
    <cellStyle name="Обычный 13 2 4 3" xfId="12443"/>
    <cellStyle name="Обычный 13 2 4 3 2" xfId="12444"/>
    <cellStyle name="Обычный 13 2 4 3 3" xfId="12445"/>
    <cellStyle name="Обычный 13 2 4 4" xfId="12446"/>
    <cellStyle name="Обычный 13 2 4 4 2" xfId="12447"/>
    <cellStyle name="Обычный 13 2 4 4 3" xfId="12448"/>
    <cellStyle name="Обычный 13 2 4 5" xfId="12449"/>
    <cellStyle name="Обычный 13 2 4 5 2" xfId="12450"/>
    <cellStyle name="Обычный 13 2 4 6" xfId="12451"/>
    <cellStyle name="Обычный 13 2 4 7" xfId="12452"/>
    <cellStyle name="Обычный 13 2 5" xfId="12453"/>
    <cellStyle name="Обычный 13 2 5 2" xfId="12454"/>
    <cellStyle name="Обычный 13 2 5 2 2" xfId="12455"/>
    <cellStyle name="Обычный 13 2 5 2 3" xfId="12456"/>
    <cellStyle name="Обычный 13 2 5 3" xfId="12457"/>
    <cellStyle name="Обычный 13 2 5 3 2" xfId="12458"/>
    <cellStyle name="Обычный 13 2 5 3 3" xfId="12459"/>
    <cellStyle name="Обычный 13 2 5 4" xfId="12460"/>
    <cellStyle name="Обычный 13 2 5 4 2" xfId="12461"/>
    <cellStyle name="Обычный 13 2 5 5" xfId="12462"/>
    <cellStyle name="Обычный 13 2 5 6" xfId="12463"/>
    <cellStyle name="Обычный 13 2 6" xfId="12464"/>
    <cellStyle name="Обычный 13 2 6 2" xfId="12465"/>
    <cellStyle name="Обычный 13 2 6 3" xfId="12466"/>
    <cellStyle name="Обычный 13 2 7" xfId="12467"/>
    <cellStyle name="Обычный 13 2 7 2" xfId="12468"/>
    <cellStyle name="Обычный 13 2 7 3" xfId="12469"/>
    <cellStyle name="Обычный 13 2 8" xfId="12470"/>
    <cellStyle name="Обычный 13 2 8 2" xfId="12471"/>
    <cellStyle name="Обычный 13 2 9" xfId="12472"/>
    <cellStyle name="Обычный 13 3" xfId="12473"/>
    <cellStyle name="Обычный 13 3 10" xfId="12474"/>
    <cellStyle name="Обычный 13 3 2" xfId="12475"/>
    <cellStyle name="Обычный 13 3 2 2" xfId="12476"/>
    <cellStyle name="Обычный 13 3 2 2 2" xfId="12477"/>
    <cellStyle name="Обычный 13 3 2 2 2 2" xfId="12478"/>
    <cellStyle name="Обычный 13 3 2 2 2 2 2" xfId="12479"/>
    <cellStyle name="Обычный 13 3 2 2 2 2 2 2" xfId="12480"/>
    <cellStyle name="Обычный 13 3 2 2 2 2 2 3" xfId="12481"/>
    <cellStyle name="Обычный 13 3 2 2 2 2 3" xfId="12482"/>
    <cellStyle name="Обычный 13 3 2 2 2 2 3 2" xfId="12483"/>
    <cellStyle name="Обычный 13 3 2 2 2 2 3 3" xfId="12484"/>
    <cellStyle name="Обычный 13 3 2 2 2 2 4" xfId="12485"/>
    <cellStyle name="Обычный 13 3 2 2 2 2 4 2" xfId="12486"/>
    <cellStyle name="Обычный 13 3 2 2 2 2 5" xfId="12487"/>
    <cellStyle name="Обычный 13 3 2 2 2 2 6" xfId="12488"/>
    <cellStyle name="Обычный 13 3 2 2 2 3" xfId="12489"/>
    <cellStyle name="Обычный 13 3 2 2 2 3 2" xfId="12490"/>
    <cellStyle name="Обычный 13 3 2 2 2 3 3" xfId="12491"/>
    <cellStyle name="Обычный 13 3 2 2 2 4" xfId="12492"/>
    <cellStyle name="Обычный 13 3 2 2 2 4 2" xfId="12493"/>
    <cellStyle name="Обычный 13 3 2 2 2 4 3" xfId="12494"/>
    <cellStyle name="Обычный 13 3 2 2 2 5" xfId="12495"/>
    <cellStyle name="Обычный 13 3 2 2 2 5 2" xfId="12496"/>
    <cellStyle name="Обычный 13 3 2 2 2 6" xfId="12497"/>
    <cellStyle name="Обычный 13 3 2 2 2 7" xfId="12498"/>
    <cellStyle name="Обычный 13 3 2 2 3" xfId="12499"/>
    <cellStyle name="Обычный 13 3 2 2 3 2" xfId="12500"/>
    <cellStyle name="Обычный 13 3 2 2 3 2 2" xfId="12501"/>
    <cellStyle name="Обычный 13 3 2 2 3 2 3" xfId="12502"/>
    <cellStyle name="Обычный 13 3 2 2 3 3" xfId="12503"/>
    <cellStyle name="Обычный 13 3 2 2 3 3 2" xfId="12504"/>
    <cellStyle name="Обычный 13 3 2 2 3 3 3" xfId="12505"/>
    <cellStyle name="Обычный 13 3 2 2 3 4" xfId="12506"/>
    <cellStyle name="Обычный 13 3 2 2 3 4 2" xfId="12507"/>
    <cellStyle name="Обычный 13 3 2 2 3 5" xfId="12508"/>
    <cellStyle name="Обычный 13 3 2 2 3 6" xfId="12509"/>
    <cellStyle name="Обычный 13 3 2 2 4" xfId="12510"/>
    <cellStyle name="Обычный 13 3 2 2 4 2" xfId="12511"/>
    <cellStyle name="Обычный 13 3 2 2 4 3" xfId="12512"/>
    <cellStyle name="Обычный 13 3 2 2 5" xfId="12513"/>
    <cellStyle name="Обычный 13 3 2 2 5 2" xfId="12514"/>
    <cellStyle name="Обычный 13 3 2 2 5 3" xfId="12515"/>
    <cellStyle name="Обычный 13 3 2 2 6" xfId="12516"/>
    <cellStyle name="Обычный 13 3 2 2 6 2" xfId="12517"/>
    <cellStyle name="Обычный 13 3 2 2 7" xfId="12518"/>
    <cellStyle name="Обычный 13 3 2 2 8" xfId="12519"/>
    <cellStyle name="Обычный 13 3 2 3" xfId="12520"/>
    <cellStyle name="Обычный 13 3 2 3 2" xfId="12521"/>
    <cellStyle name="Обычный 13 3 2 3 2 2" xfId="12522"/>
    <cellStyle name="Обычный 13 3 2 3 2 2 2" xfId="12523"/>
    <cellStyle name="Обычный 13 3 2 3 2 2 3" xfId="12524"/>
    <cellStyle name="Обычный 13 3 2 3 2 3" xfId="12525"/>
    <cellStyle name="Обычный 13 3 2 3 2 3 2" xfId="12526"/>
    <cellStyle name="Обычный 13 3 2 3 2 3 3" xfId="12527"/>
    <cellStyle name="Обычный 13 3 2 3 2 4" xfId="12528"/>
    <cellStyle name="Обычный 13 3 2 3 2 4 2" xfId="12529"/>
    <cellStyle name="Обычный 13 3 2 3 2 5" xfId="12530"/>
    <cellStyle name="Обычный 13 3 2 3 2 6" xfId="12531"/>
    <cellStyle name="Обычный 13 3 2 3 3" xfId="12532"/>
    <cellStyle name="Обычный 13 3 2 3 3 2" xfId="12533"/>
    <cellStyle name="Обычный 13 3 2 3 3 3" xfId="12534"/>
    <cellStyle name="Обычный 13 3 2 3 4" xfId="12535"/>
    <cellStyle name="Обычный 13 3 2 3 4 2" xfId="12536"/>
    <cellStyle name="Обычный 13 3 2 3 4 3" xfId="12537"/>
    <cellStyle name="Обычный 13 3 2 3 5" xfId="12538"/>
    <cellStyle name="Обычный 13 3 2 3 5 2" xfId="12539"/>
    <cellStyle name="Обычный 13 3 2 3 6" xfId="12540"/>
    <cellStyle name="Обычный 13 3 2 3 7" xfId="12541"/>
    <cellStyle name="Обычный 13 3 2 4" xfId="12542"/>
    <cellStyle name="Обычный 13 3 2 4 2" xfId="12543"/>
    <cellStyle name="Обычный 13 3 2 4 2 2" xfId="12544"/>
    <cellStyle name="Обычный 13 3 2 4 2 3" xfId="12545"/>
    <cellStyle name="Обычный 13 3 2 4 3" xfId="12546"/>
    <cellStyle name="Обычный 13 3 2 4 3 2" xfId="12547"/>
    <cellStyle name="Обычный 13 3 2 4 3 3" xfId="12548"/>
    <cellStyle name="Обычный 13 3 2 4 4" xfId="12549"/>
    <cellStyle name="Обычный 13 3 2 4 4 2" xfId="12550"/>
    <cellStyle name="Обычный 13 3 2 4 5" xfId="12551"/>
    <cellStyle name="Обычный 13 3 2 4 6" xfId="12552"/>
    <cellStyle name="Обычный 13 3 2 5" xfId="12553"/>
    <cellStyle name="Обычный 13 3 2 5 2" xfId="12554"/>
    <cellStyle name="Обычный 13 3 2 5 3" xfId="12555"/>
    <cellStyle name="Обычный 13 3 2 6" xfId="12556"/>
    <cellStyle name="Обычный 13 3 2 6 2" xfId="12557"/>
    <cellStyle name="Обычный 13 3 2 6 3" xfId="12558"/>
    <cellStyle name="Обычный 13 3 2 7" xfId="12559"/>
    <cellStyle name="Обычный 13 3 2 7 2" xfId="12560"/>
    <cellStyle name="Обычный 13 3 2 8" xfId="12561"/>
    <cellStyle name="Обычный 13 3 2 9" xfId="12562"/>
    <cellStyle name="Обычный 13 3 3" xfId="12563"/>
    <cellStyle name="Обычный 13 3 3 2" xfId="12564"/>
    <cellStyle name="Обычный 13 3 3 2 2" xfId="12565"/>
    <cellStyle name="Обычный 13 3 3 2 2 2" xfId="12566"/>
    <cellStyle name="Обычный 13 3 3 2 2 2 2" xfId="12567"/>
    <cellStyle name="Обычный 13 3 3 2 2 2 3" xfId="12568"/>
    <cellStyle name="Обычный 13 3 3 2 2 3" xfId="12569"/>
    <cellStyle name="Обычный 13 3 3 2 2 3 2" xfId="12570"/>
    <cellStyle name="Обычный 13 3 3 2 2 3 3" xfId="12571"/>
    <cellStyle name="Обычный 13 3 3 2 2 4" xfId="12572"/>
    <cellStyle name="Обычный 13 3 3 2 2 4 2" xfId="12573"/>
    <cellStyle name="Обычный 13 3 3 2 2 5" xfId="12574"/>
    <cellStyle name="Обычный 13 3 3 2 2 6" xfId="12575"/>
    <cellStyle name="Обычный 13 3 3 2 3" xfId="12576"/>
    <cellStyle name="Обычный 13 3 3 2 3 2" xfId="12577"/>
    <cellStyle name="Обычный 13 3 3 2 3 3" xfId="12578"/>
    <cellStyle name="Обычный 13 3 3 2 4" xfId="12579"/>
    <cellStyle name="Обычный 13 3 3 2 4 2" xfId="12580"/>
    <cellStyle name="Обычный 13 3 3 2 4 3" xfId="12581"/>
    <cellStyle name="Обычный 13 3 3 2 5" xfId="12582"/>
    <cellStyle name="Обычный 13 3 3 2 5 2" xfId="12583"/>
    <cellStyle name="Обычный 13 3 3 2 6" xfId="12584"/>
    <cellStyle name="Обычный 13 3 3 2 7" xfId="12585"/>
    <cellStyle name="Обычный 13 3 3 3" xfId="12586"/>
    <cellStyle name="Обычный 13 3 3 3 2" xfId="12587"/>
    <cellStyle name="Обычный 13 3 3 3 2 2" xfId="12588"/>
    <cellStyle name="Обычный 13 3 3 3 2 3" xfId="12589"/>
    <cellStyle name="Обычный 13 3 3 3 3" xfId="12590"/>
    <cellStyle name="Обычный 13 3 3 3 3 2" xfId="12591"/>
    <cellStyle name="Обычный 13 3 3 3 3 3" xfId="12592"/>
    <cellStyle name="Обычный 13 3 3 3 4" xfId="12593"/>
    <cellStyle name="Обычный 13 3 3 3 4 2" xfId="12594"/>
    <cellStyle name="Обычный 13 3 3 3 5" xfId="12595"/>
    <cellStyle name="Обычный 13 3 3 3 6" xfId="12596"/>
    <cellStyle name="Обычный 13 3 3 4" xfId="12597"/>
    <cellStyle name="Обычный 13 3 3 4 2" xfId="12598"/>
    <cellStyle name="Обычный 13 3 3 4 3" xfId="12599"/>
    <cellStyle name="Обычный 13 3 3 5" xfId="12600"/>
    <cellStyle name="Обычный 13 3 3 5 2" xfId="12601"/>
    <cellStyle name="Обычный 13 3 3 5 3" xfId="12602"/>
    <cellStyle name="Обычный 13 3 3 6" xfId="12603"/>
    <cellStyle name="Обычный 13 3 3 6 2" xfId="12604"/>
    <cellStyle name="Обычный 13 3 3 7" xfId="12605"/>
    <cellStyle name="Обычный 13 3 3 8" xfId="12606"/>
    <cellStyle name="Обычный 13 3 4" xfId="12607"/>
    <cellStyle name="Обычный 13 3 4 2" xfId="12608"/>
    <cellStyle name="Обычный 13 3 4 2 2" xfId="12609"/>
    <cellStyle name="Обычный 13 3 4 2 2 2" xfId="12610"/>
    <cellStyle name="Обычный 13 3 4 2 2 3" xfId="12611"/>
    <cellStyle name="Обычный 13 3 4 2 3" xfId="12612"/>
    <cellStyle name="Обычный 13 3 4 2 3 2" xfId="12613"/>
    <cellStyle name="Обычный 13 3 4 2 3 3" xfId="12614"/>
    <cellStyle name="Обычный 13 3 4 2 4" xfId="12615"/>
    <cellStyle name="Обычный 13 3 4 2 4 2" xfId="12616"/>
    <cellStyle name="Обычный 13 3 4 2 5" xfId="12617"/>
    <cellStyle name="Обычный 13 3 4 2 6" xfId="12618"/>
    <cellStyle name="Обычный 13 3 4 3" xfId="12619"/>
    <cellStyle name="Обычный 13 3 4 3 2" xfId="12620"/>
    <cellStyle name="Обычный 13 3 4 3 3" xfId="12621"/>
    <cellStyle name="Обычный 13 3 4 4" xfId="12622"/>
    <cellStyle name="Обычный 13 3 4 4 2" xfId="12623"/>
    <cellStyle name="Обычный 13 3 4 4 3" xfId="12624"/>
    <cellStyle name="Обычный 13 3 4 5" xfId="12625"/>
    <cellStyle name="Обычный 13 3 4 5 2" xfId="12626"/>
    <cellStyle name="Обычный 13 3 4 6" xfId="12627"/>
    <cellStyle name="Обычный 13 3 4 7" xfId="12628"/>
    <cellStyle name="Обычный 13 3 5" xfId="12629"/>
    <cellStyle name="Обычный 13 3 5 2" xfId="12630"/>
    <cellStyle name="Обычный 13 3 5 2 2" xfId="12631"/>
    <cellStyle name="Обычный 13 3 5 2 3" xfId="12632"/>
    <cellStyle name="Обычный 13 3 5 3" xfId="12633"/>
    <cellStyle name="Обычный 13 3 5 3 2" xfId="12634"/>
    <cellStyle name="Обычный 13 3 5 3 3" xfId="12635"/>
    <cellStyle name="Обычный 13 3 5 4" xfId="12636"/>
    <cellStyle name="Обычный 13 3 5 4 2" xfId="12637"/>
    <cellStyle name="Обычный 13 3 5 5" xfId="12638"/>
    <cellStyle name="Обычный 13 3 5 6" xfId="12639"/>
    <cellStyle name="Обычный 13 3 6" xfId="12640"/>
    <cellStyle name="Обычный 13 3 6 2" xfId="12641"/>
    <cellStyle name="Обычный 13 3 6 3" xfId="12642"/>
    <cellStyle name="Обычный 13 3 7" xfId="12643"/>
    <cellStyle name="Обычный 13 3 7 2" xfId="12644"/>
    <cellStyle name="Обычный 13 3 7 3" xfId="12645"/>
    <cellStyle name="Обычный 13 3 8" xfId="12646"/>
    <cellStyle name="Обычный 13 3 8 2" xfId="12647"/>
    <cellStyle name="Обычный 13 3 9" xfId="12648"/>
    <cellStyle name="Обычный 13 4" xfId="12649"/>
    <cellStyle name="Обычный 13 4 10" xfId="12650"/>
    <cellStyle name="Обычный 13 4 2" xfId="12651"/>
    <cellStyle name="Обычный 13 4 2 2" xfId="12652"/>
    <cellStyle name="Обычный 13 4 2 2 2" xfId="12653"/>
    <cellStyle name="Обычный 13 4 2 2 2 2" xfId="12654"/>
    <cellStyle name="Обычный 13 4 2 2 2 2 2" xfId="12655"/>
    <cellStyle name="Обычный 13 4 2 2 2 2 2 2" xfId="12656"/>
    <cellStyle name="Обычный 13 4 2 2 2 2 2 3" xfId="12657"/>
    <cellStyle name="Обычный 13 4 2 2 2 2 3" xfId="12658"/>
    <cellStyle name="Обычный 13 4 2 2 2 2 3 2" xfId="12659"/>
    <cellStyle name="Обычный 13 4 2 2 2 2 3 3" xfId="12660"/>
    <cellStyle name="Обычный 13 4 2 2 2 2 4" xfId="12661"/>
    <cellStyle name="Обычный 13 4 2 2 2 2 4 2" xfId="12662"/>
    <cellStyle name="Обычный 13 4 2 2 2 2 5" xfId="12663"/>
    <cellStyle name="Обычный 13 4 2 2 2 2 6" xfId="12664"/>
    <cellStyle name="Обычный 13 4 2 2 2 3" xfId="12665"/>
    <cellStyle name="Обычный 13 4 2 2 2 3 2" xfId="12666"/>
    <cellStyle name="Обычный 13 4 2 2 2 3 3" xfId="12667"/>
    <cellStyle name="Обычный 13 4 2 2 2 4" xfId="12668"/>
    <cellStyle name="Обычный 13 4 2 2 2 4 2" xfId="12669"/>
    <cellStyle name="Обычный 13 4 2 2 2 4 3" xfId="12670"/>
    <cellStyle name="Обычный 13 4 2 2 2 5" xfId="12671"/>
    <cellStyle name="Обычный 13 4 2 2 2 5 2" xfId="12672"/>
    <cellStyle name="Обычный 13 4 2 2 2 6" xfId="12673"/>
    <cellStyle name="Обычный 13 4 2 2 2 7" xfId="12674"/>
    <cellStyle name="Обычный 13 4 2 2 3" xfId="12675"/>
    <cellStyle name="Обычный 13 4 2 2 3 2" xfId="12676"/>
    <cellStyle name="Обычный 13 4 2 2 3 2 2" xfId="12677"/>
    <cellStyle name="Обычный 13 4 2 2 3 2 3" xfId="12678"/>
    <cellStyle name="Обычный 13 4 2 2 3 3" xfId="12679"/>
    <cellStyle name="Обычный 13 4 2 2 3 3 2" xfId="12680"/>
    <cellStyle name="Обычный 13 4 2 2 3 3 3" xfId="12681"/>
    <cellStyle name="Обычный 13 4 2 2 3 4" xfId="12682"/>
    <cellStyle name="Обычный 13 4 2 2 3 4 2" xfId="12683"/>
    <cellStyle name="Обычный 13 4 2 2 3 5" xfId="12684"/>
    <cellStyle name="Обычный 13 4 2 2 3 6" xfId="12685"/>
    <cellStyle name="Обычный 13 4 2 2 4" xfId="12686"/>
    <cellStyle name="Обычный 13 4 2 2 4 2" xfId="12687"/>
    <cellStyle name="Обычный 13 4 2 2 4 3" xfId="12688"/>
    <cellStyle name="Обычный 13 4 2 2 5" xfId="12689"/>
    <cellStyle name="Обычный 13 4 2 2 5 2" xfId="12690"/>
    <cellStyle name="Обычный 13 4 2 2 5 3" xfId="12691"/>
    <cellStyle name="Обычный 13 4 2 2 6" xfId="12692"/>
    <cellStyle name="Обычный 13 4 2 2 6 2" xfId="12693"/>
    <cellStyle name="Обычный 13 4 2 2 7" xfId="12694"/>
    <cellStyle name="Обычный 13 4 2 2 8" xfId="12695"/>
    <cellStyle name="Обычный 13 4 2 3" xfId="12696"/>
    <cellStyle name="Обычный 13 4 2 3 2" xfId="12697"/>
    <cellStyle name="Обычный 13 4 2 3 2 2" xfId="12698"/>
    <cellStyle name="Обычный 13 4 2 3 2 2 2" xfId="12699"/>
    <cellStyle name="Обычный 13 4 2 3 2 2 3" xfId="12700"/>
    <cellStyle name="Обычный 13 4 2 3 2 3" xfId="12701"/>
    <cellStyle name="Обычный 13 4 2 3 2 3 2" xfId="12702"/>
    <cellStyle name="Обычный 13 4 2 3 2 3 3" xfId="12703"/>
    <cellStyle name="Обычный 13 4 2 3 2 4" xfId="12704"/>
    <cellStyle name="Обычный 13 4 2 3 2 4 2" xfId="12705"/>
    <cellStyle name="Обычный 13 4 2 3 2 5" xfId="12706"/>
    <cellStyle name="Обычный 13 4 2 3 2 6" xfId="12707"/>
    <cellStyle name="Обычный 13 4 2 3 3" xfId="12708"/>
    <cellStyle name="Обычный 13 4 2 3 3 2" xfId="12709"/>
    <cellStyle name="Обычный 13 4 2 3 3 3" xfId="12710"/>
    <cellStyle name="Обычный 13 4 2 3 4" xfId="12711"/>
    <cellStyle name="Обычный 13 4 2 3 4 2" xfId="12712"/>
    <cellStyle name="Обычный 13 4 2 3 4 3" xfId="12713"/>
    <cellStyle name="Обычный 13 4 2 3 5" xfId="12714"/>
    <cellStyle name="Обычный 13 4 2 3 5 2" xfId="12715"/>
    <cellStyle name="Обычный 13 4 2 3 6" xfId="12716"/>
    <cellStyle name="Обычный 13 4 2 3 7" xfId="12717"/>
    <cellStyle name="Обычный 13 4 2 4" xfId="12718"/>
    <cellStyle name="Обычный 13 4 2 4 2" xfId="12719"/>
    <cellStyle name="Обычный 13 4 2 4 2 2" xfId="12720"/>
    <cellStyle name="Обычный 13 4 2 4 2 3" xfId="12721"/>
    <cellStyle name="Обычный 13 4 2 4 3" xfId="12722"/>
    <cellStyle name="Обычный 13 4 2 4 3 2" xfId="12723"/>
    <cellStyle name="Обычный 13 4 2 4 3 3" xfId="12724"/>
    <cellStyle name="Обычный 13 4 2 4 4" xfId="12725"/>
    <cellStyle name="Обычный 13 4 2 4 4 2" xfId="12726"/>
    <cellStyle name="Обычный 13 4 2 4 5" xfId="12727"/>
    <cellStyle name="Обычный 13 4 2 4 6" xfId="12728"/>
    <cellStyle name="Обычный 13 4 2 5" xfId="12729"/>
    <cellStyle name="Обычный 13 4 2 5 2" xfId="12730"/>
    <cellStyle name="Обычный 13 4 2 5 3" xfId="12731"/>
    <cellStyle name="Обычный 13 4 2 6" xfId="12732"/>
    <cellStyle name="Обычный 13 4 2 6 2" xfId="12733"/>
    <cellStyle name="Обычный 13 4 2 6 3" xfId="12734"/>
    <cellStyle name="Обычный 13 4 2 7" xfId="12735"/>
    <cellStyle name="Обычный 13 4 2 7 2" xfId="12736"/>
    <cellStyle name="Обычный 13 4 2 8" xfId="12737"/>
    <cellStyle name="Обычный 13 4 2 9" xfId="12738"/>
    <cellStyle name="Обычный 13 4 3" xfId="12739"/>
    <cellStyle name="Обычный 13 4 3 2" xfId="12740"/>
    <cellStyle name="Обычный 13 4 3 2 2" xfId="12741"/>
    <cellStyle name="Обычный 13 4 3 2 2 2" xfId="12742"/>
    <cellStyle name="Обычный 13 4 3 2 2 2 2" xfId="12743"/>
    <cellStyle name="Обычный 13 4 3 2 2 2 3" xfId="12744"/>
    <cellStyle name="Обычный 13 4 3 2 2 3" xfId="12745"/>
    <cellStyle name="Обычный 13 4 3 2 2 3 2" xfId="12746"/>
    <cellStyle name="Обычный 13 4 3 2 2 3 3" xfId="12747"/>
    <cellStyle name="Обычный 13 4 3 2 2 4" xfId="12748"/>
    <cellStyle name="Обычный 13 4 3 2 2 4 2" xfId="12749"/>
    <cellStyle name="Обычный 13 4 3 2 2 5" xfId="12750"/>
    <cellStyle name="Обычный 13 4 3 2 2 6" xfId="12751"/>
    <cellStyle name="Обычный 13 4 3 2 3" xfId="12752"/>
    <cellStyle name="Обычный 13 4 3 2 3 2" xfId="12753"/>
    <cellStyle name="Обычный 13 4 3 2 3 3" xfId="12754"/>
    <cellStyle name="Обычный 13 4 3 2 4" xfId="12755"/>
    <cellStyle name="Обычный 13 4 3 2 4 2" xfId="12756"/>
    <cellStyle name="Обычный 13 4 3 2 4 3" xfId="12757"/>
    <cellStyle name="Обычный 13 4 3 2 5" xfId="12758"/>
    <cellStyle name="Обычный 13 4 3 2 5 2" xfId="12759"/>
    <cellStyle name="Обычный 13 4 3 2 6" xfId="12760"/>
    <cellStyle name="Обычный 13 4 3 2 7" xfId="12761"/>
    <cellStyle name="Обычный 13 4 3 3" xfId="12762"/>
    <cellStyle name="Обычный 13 4 3 3 2" xfId="12763"/>
    <cellStyle name="Обычный 13 4 3 3 2 2" xfId="12764"/>
    <cellStyle name="Обычный 13 4 3 3 2 3" xfId="12765"/>
    <cellStyle name="Обычный 13 4 3 3 3" xfId="12766"/>
    <cellStyle name="Обычный 13 4 3 3 3 2" xfId="12767"/>
    <cellStyle name="Обычный 13 4 3 3 3 3" xfId="12768"/>
    <cellStyle name="Обычный 13 4 3 3 4" xfId="12769"/>
    <cellStyle name="Обычный 13 4 3 3 4 2" xfId="12770"/>
    <cellStyle name="Обычный 13 4 3 3 5" xfId="12771"/>
    <cellStyle name="Обычный 13 4 3 3 6" xfId="12772"/>
    <cellStyle name="Обычный 13 4 3 4" xfId="12773"/>
    <cellStyle name="Обычный 13 4 3 4 2" xfId="12774"/>
    <cellStyle name="Обычный 13 4 3 4 3" xfId="12775"/>
    <cellStyle name="Обычный 13 4 3 5" xfId="12776"/>
    <cellStyle name="Обычный 13 4 3 5 2" xfId="12777"/>
    <cellStyle name="Обычный 13 4 3 5 3" xfId="12778"/>
    <cellStyle name="Обычный 13 4 3 6" xfId="12779"/>
    <cellStyle name="Обычный 13 4 3 6 2" xfId="12780"/>
    <cellStyle name="Обычный 13 4 3 7" xfId="12781"/>
    <cellStyle name="Обычный 13 4 3 8" xfId="12782"/>
    <cellStyle name="Обычный 13 4 4" xfId="12783"/>
    <cellStyle name="Обычный 13 4 4 2" xfId="12784"/>
    <cellStyle name="Обычный 13 4 4 2 2" xfId="12785"/>
    <cellStyle name="Обычный 13 4 4 2 2 2" xfId="12786"/>
    <cellStyle name="Обычный 13 4 4 2 2 3" xfId="12787"/>
    <cellStyle name="Обычный 13 4 4 2 3" xfId="12788"/>
    <cellStyle name="Обычный 13 4 4 2 3 2" xfId="12789"/>
    <cellStyle name="Обычный 13 4 4 2 3 3" xfId="12790"/>
    <cellStyle name="Обычный 13 4 4 2 4" xfId="12791"/>
    <cellStyle name="Обычный 13 4 4 2 4 2" xfId="12792"/>
    <cellStyle name="Обычный 13 4 4 2 5" xfId="12793"/>
    <cellStyle name="Обычный 13 4 4 2 6" xfId="12794"/>
    <cellStyle name="Обычный 13 4 4 3" xfId="12795"/>
    <cellStyle name="Обычный 13 4 4 3 2" xfId="12796"/>
    <cellStyle name="Обычный 13 4 4 3 3" xfId="12797"/>
    <cellStyle name="Обычный 13 4 4 4" xfId="12798"/>
    <cellStyle name="Обычный 13 4 4 4 2" xfId="12799"/>
    <cellStyle name="Обычный 13 4 4 4 3" xfId="12800"/>
    <cellStyle name="Обычный 13 4 4 5" xfId="12801"/>
    <cellStyle name="Обычный 13 4 4 5 2" xfId="12802"/>
    <cellStyle name="Обычный 13 4 4 6" xfId="12803"/>
    <cellStyle name="Обычный 13 4 4 7" xfId="12804"/>
    <cellStyle name="Обычный 13 4 5" xfId="12805"/>
    <cellStyle name="Обычный 13 4 5 2" xfId="12806"/>
    <cellStyle name="Обычный 13 4 5 2 2" xfId="12807"/>
    <cellStyle name="Обычный 13 4 5 2 3" xfId="12808"/>
    <cellStyle name="Обычный 13 4 5 3" xfId="12809"/>
    <cellStyle name="Обычный 13 4 5 3 2" xfId="12810"/>
    <cellStyle name="Обычный 13 4 5 3 3" xfId="12811"/>
    <cellStyle name="Обычный 13 4 5 4" xfId="12812"/>
    <cellStyle name="Обычный 13 4 5 4 2" xfId="12813"/>
    <cellStyle name="Обычный 13 4 5 5" xfId="12814"/>
    <cellStyle name="Обычный 13 4 5 6" xfId="12815"/>
    <cellStyle name="Обычный 13 4 6" xfId="12816"/>
    <cellStyle name="Обычный 13 4 6 2" xfId="12817"/>
    <cellStyle name="Обычный 13 4 6 3" xfId="12818"/>
    <cellStyle name="Обычный 13 4 7" xfId="12819"/>
    <cellStyle name="Обычный 13 4 7 2" xfId="12820"/>
    <cellStyle name="Обычный 13 4 7 3" xfId="12821"/>
    <cellStyle name="Обычный 13 4 8" xfId="12822"/>
    <cellStyle name="Обычный 13 4 8 2" xfId="12823"/>
    <cellStyle name="Обычный 13 4 9" xfId="12824"/>
    <cellStyle name="Обычный 13 5" xfId="12825"/>
    <cellStyle name="Обычный 13 5 2" xfId="12826"/>
    <cellStyle name="Обычный 13 5 2 2" xfId="12827"/>
    <cellStyle name="Обычный 13 5 2 2 2" xfId="12828"/>
    <cellStyle name="Обычный 13 5 2 2 2 2" xfId="12829"/>
    <cellStyle name="Обычный 13 5 2 2 2 2 2" xfId="12830"/>
    <cellStyle name="Обычный 13 5 2 2 2 2 3" xfId="12831"/>
    <cellStyle name="Обычный 13 5 2 2 2 3" xfId="12832"/>
    <cellStyle name="Обычный 13 5 2 2 2 3 2" xfId="12833"/>
    <cellStyle name="Обычный 13 5 2 2 2 3 3" xfId="12834"/>
    <cellStyle name="Обычный 13 5 2 2 2 4" xfId="12835"/>
    <cellStyle name="Обычный 13 5 2 2 2 4 2" xfId="12836"/>
    <cellStyle name="Обычный 13 5 2 2 2 5" xfId="12837"/>
    <cellStyle name="Обычный 13 5 2 2 2 6" xfId="12838"/>
    <cellStyle name="Обычный 13 5 2 2 3" xfId="12839"/>
    <cellStyle name="Обычный 13 5 2 2 3 2" xfId="12840"/>
    <cellStyle name="Обычный 13 5 2 2 3 3" xfId="12841"/>
    <cellStyle name="Обычный 13 5 2 2 4" xfId="12842"/>
    <cellStyle name="Обычный 13 5 2 2 4 2" xfId="12843"/>
    <cellStyle name="Обычный 13 5 2 2 4 3" xfId="12844"/>
    <cellStyle name="Обычный 13 5 2 2 5" xfId="12845"/>
    <cellStyle name="Обычный 13 5 2 2 5 2" xfId="12846"/>
    <cellStyle name="Обычный 13 5 2 2 6" xfId="12847"/>
    <cellStyle name="Обычный 13 5 2 2 7" xfId="12848"/>
    <cellStyle name="Обычный 13 5 2 3" xfId="12849"/>
    <cellStyle name="Обычный 13 5 2 3 2" xfId="12850"/>
    <cellStyle name="Обычный 13 5 2 3 2 2" xfId="12851"/>
    <cellStyle name="Обычный 13 5 2 3 2 3" xfId="12852"/>
    <cellStyle name="Обычный 13 5 2 3 3" xfId="12853"/>
    <cellStyle name="Обычный 13 5 2 3 3 2" xfId="12854"/>
    <cellStyle name="Обычный 13 5 2 3 3 3" xfId="12855"/>
    <cellStyle name="Обычный 13 5 2 3 4" xfId="12856"/>
    <cellStyle name="Обычный 13 5 2 3 4 2" xfId="12857"/>
    <cellStyle name="Обычный 13 5 2 3 5" xfId="12858"/>
    <cellStyle name="Обычный 13 5 2 3 6" xfId="12859"/>
    <cellStyle name="Обычный 13 5 2 4" xfId="12860"/>
    <cellStyle name="Обычный 13 5 2 4 2" xfId="12861"/>
    <cellStyle name="Обычный 13 5 2 4 3" xfId="12862"/>
    <cellStyle name="Обычный 13 5 2 5" xfId="12863"/>
    <cellStyle name="Обычный 13 5 2 5 2" xfId="12864"/>
    <cellStyle name="Обычный 13 5 2 5 3" xfId="12865"/>
    <cellStyle name="Обычный 13 5 2 6" xfId="12866"/>
    <cellStyle name="Обычный 13 5 2 6 2" xfId="12867"/>
    <cellStyle name="Обычный 13 5 2 7" xfId="12868"/>
    <cellStyle name="Обычный 13 5 2 8" xfId="12869"/>
    <cellStyle name="Обычный 13 5 3" xfId="12870"/>
    <cellStyle name="Обычный 13 5 3 2" xfId="12871"/>
    <cellStyle name="Обычный 13 5 3 2 2" xfId="12872"/>
    <cellStyle name="Обычный 13 5 3 2 2 2" xfId="12873"/>
    <cellStyle name="Обычный 13 5 3 2 2 3" xfId="12874"/>
    <cellStyle name="Обычный 13 5 3 2 3" xfId="12875"/>
    <cellStyle name="Обычный 13 5 3 2 3 2" xfId="12876"/>
    <cellStyle name="Обычный 13 5 3 2 3 3" xfId="12877"/>
    <cellStyle name="Обычный 13 5 3 2 4" xfId="12878"/>
    <cellStyle name="Обычный 13 5 3 2 4 2" xfId="12879"/>
    <cellStyle name="Обычный 13 5 3 2 5" xfId="12880"/>
    <cellStyle name="Обычный 13 5 3 2 6" xfId="12881"/>
    <cellStyle name="Обычный 13 5 3 3" xfId="12882"/>
    <cellStyle name="Обычный 13 5 3 3 2" xfId="12883"/>
    <cellStyle name="Обычный 13 5 3 3 3" xfId="12884"/>
    <cellStyle name="Обычный 13 5 3 4" xfId="12885"/>
    <cellStyle name="Обычный 13 5 3 4 2" xfId="12886"/>
    <cellStyle name="Обычный 13 5 3 4 3" xfId="12887"/>
    <cellStyle name="Обычный 13 5 3 5" xfId="12888"/>
    <cellStyle name="Обычный 13 5 3 5 2" xfId="12889"/>
    <cellStyle name="Обычный 13 5 3 6" xfId="12890"/>
    <cellStyle name="Обычный 13 5 3 7" xfId="12891"/>
    <cellStyle name="Обычный 13 5 4" xfId="12892"/>
    <cellStyle name="Обычный 13 5 4 2" xfId="12893"/>
    <cellStyle name="Обычный 13 5 4 2 2" xfId="12894"/>
    <cellStyle name="Обычный 13 5 4 2 3" xfId="12895"/>
    <cellStyle name="Обычный 13 5 4 3" xfId="12896"/>
    <cellStyle name="Обычный 13 5 4 3 2" xfId="12897"/>
    <cellStyle name="Обычный 13 5 4 3 3" xfId="12898"/>
    <cellStyle name="Обычный 13 5 4 4" xfId="12899"/>
    <cellStyle name="Обычный 13 5 4 4 2" xfId="12900"/>
    <cellStyle name="Обычный 13 5 4 5" xfId="12901"/>
    <cellStyle name="Обычный 13 5 4 6" xfId="12902"/>
    <cellStyle name="Обычный 13 5 5" xfId="12903"/>
    <cellStyle name="Обычный 13 5 5 2" xfId="12904"/>
    <cellStyle name="Обычный 13 5 5 3" xfId="12905"/>
    <cellStyle name="Обычный 13 5 6" xfId="12906"/>
    <cellStyle name="Обычный 13 5 6 2" xfId="12907"/>
    <cellStyle name="Обычный 13 5 6 3" xfId="12908"/>
    <cellStyle name="Обычный 13 5 7" xfId="12909"/>
    <cellStyle name="Обычный 13 5 7 2" xfId="12910"/>
    <cellStyle name="Обычный 13 5 8" xfId="12911"/>
    <cellStyle name="Обычный 13 5 9" xfId="12912"/>
    <cellStyle name="Обычный 13 6" xfId="12913"/>
    <cellStyle name="Обычный 13 6 2" xfId="12914"/>
    <cellStyle name="Обычный 13 6 2 2" xfId="12915"/>
    <cellStyle name="Обычный 13 6 2 2 2" xfId="12916"/>
    <cellStyle name="Обычный 13 6 2 2 2 2" xfId="12917"/>
    <cellStyle name="Обычный 13 6 2 2 2 3" xfId="12918"/>
    <cellStyle name="Обычный 13 6 2 2 3" xfId="12919"/>
    <cellStyle name="Обычный 13 6 2 2 3 2" xfId="12920"/>
    <cellStyle name="Обычный 13 6 2 2 3 3" xfId="12921"/>
    <cellStyle name="Обычный 13 6 2 2 4" xfId="12922"/>
    <cellStyle name="Обычный 13 6 2 2 4 2" xfId="12923"/>
    <cellStyle name="Обычный 13 6 2 2 5" xfId="12924"/>
    <cellStyle name="Обычный 13 6 2 2 6" xfId="12925"/>
    <cellStyle name="Обычный 13 6 2 3" xfId="12926"/>
    <cellStyle name="Обычный 13 6 2 3 2" xfId="12927"/>
    <cellStyle name="Обычный 13 6 2 3 3" xfId="12928"/>
    <cellStyle name="Обычный 13 6 2 4" xfId="12929"/>
    <cellStyle name="Обычный 13 6 2 4 2" xfId="12930"/>
    <cellStyle name="Обычный 13 6 2 4 3" xfId="12931"/>
    <cellStyle name="Обычный 13 6 2 5" xfId="12932"/>
    <cellStyle name="Обычный 13 6 2 5 2" xfId="12933"/>
    <cellStyle name="Обычный 13 6 2 6" xfId="12934"/>
    <cellStyle name="Обычный 13 6 2 7" xfId="12935"/>
    <cellStyle name="Обычный 13 6 3" xfId="12936"/>
    <cellStyle name="Обычный 13 6 3 2" xfId="12937"/>
    <cellStyle name="Обычный 13 6 3 2 2" xfId="12938"/>
    <cellStyle name="Обычный 13 6 3 2 3" xfId="12939"/>
    <cellStyle name="Обычный 13 6 3 3" xfId="12940"/>
    <cellStyle name="Обычный 13 6 3 3 2" xfId="12941"/>
    <cellStyle name="Обычный 13 6 3 3 3" xfId="12942"/>
    <cellStyle name="Обычный 13 6 3 4" xfId="12943"/>
    <cellStyle name="Обычный 13 6 3 4 2" xfId="12944"/>
    <cellStyle name="Обычный 13 6 3 5" xfId="12945"/>
    <cellStyle name="Обычный 13 6 3 6" xfId="12946"/>
    <cellStyle name="Обычный 13 6 4" xfId="12947"/>
    <cellStyle name="Обычный 13 6 4 2" xfId="12948"/>
    <cellStyle name="Обычный 13 6 4 3" xfId="12949"/>
    <cellStyle name="Обычный 13 6 5" xfId="12950"/>
    <cellStyle name="Обычный 13 6 5 2" xfId="12951"/>
    <cellStyle name="Обычный 13 6 5 3" xfId="12952"/>
    <cellStyle name="Обычный 13 6 6" xfId="12953"/>
    <cellStyle name="Обычный 13 6 6 2" xfId="12954"/>
    <cellStyle name="Обычный 13 6 7" xfId="12955"/>
    <cellStyle name="Обычный 13 6 8" xfId="12956"/>
    <cellStyle name="Обычный 13 7" xfId="12957"/>
    <cellStyle name="Обычный 13 7 2" xfId="12958"/>
    <cellStyle name="Обычный 13 7 2 2" xfId="12959"/>
    <cellStyle name="Обычный 13 7 2 2 2" xfId="12960"/>
    <cellStyle name="Обычный 13 7 2 2 3" xfId="12961"/>
    <cellStyle name="Обычный 13 7 2 3" xfId="12962"/>
    <cellStyle name="Обычный 13 7 2 3 2" xfId="12963"/>
    <cellStyle name="Обычный 13 7 2 3 3" xfId="12964"/>
    <cellStyle name="Обычный 13 7 2 4" xfId="12965"/>
    <cellStyle name="Обычный 13 7 2 4 2" xfId="12966"/>
    <cellStyle name="Обычный 13 7 2 5" xfId="12967"/>
    <cellStyle name="Обычный 13 7 2 6" xfId="12968"/>
    <cellStyle name="Обычный 13 7 3" xfId="12969"/>
    <cellStyle name="Обычный 13 7 3 2" xfId="12970"/>
    <cellStyle name="Обычный 13 7 3 3" xfId="12971"/>
    <cellStyle name="Обычный 13 7 4" xfId="12972"/>
    <cellStyle name="Обычный 13 7 4 2" xfId="12973"/>
    <cellStyle name="Обычный 13 7 4 3" xfId="12974"/>
    <cellStyle name="Обычный 13 7 5" xfId="12975"/>
    <cellStyle name="Обычный 13 7 5 2" xfId="12976"/>
    <cellStyle name="Обычный 13 7 6" xfId="12977"/>
    <cellStyle name="Обычный 13 7 7" xfId="12978"/>
    <cellStyle name="Обычный 13 8" xfId="12979"/>
    <cellStyle name="Обычный 13 8 2" xfId="12980"/>
    <cellStyle name="Обычный 13 8 2 2" xfId="12981"/>
    <cellStyle name="Обычный 13 8 2 3" xfId="12982"/>
    <cellStyle name="Обычный 13 8 3" xfId="12983"/>
    <cellStyle name="Обычный 13 8 3 2" xfId="12984"/>
    <cellStyle name="Обычный 13 8 3 3" xfId="12985"/>
    <cellStyle name="Обычный 13 8 4" xfId="12986"/>
    <cellStyle name="Обычный 13 8 4 2" xfId="12987"/>
    <cellStyle name="Обычный 13 8 5" xfId="12988"/>
    <cellStyle name="Обычный 13 8 6" xfId="12989"/>
    <cellStyle name="Обычный 13 9" xfId="12990"/>
    <cellStyle name="Обычный 13 9 2" xfId="12991"/>
    <cellStyle name="Обычный 13 9 3" xfId="12992"/>
    <cellStyle name="Обычный 14" xfId="12993"/>
    <cellStyle name="Обычный 14 2" xfId="12994"/>
    <cellStyle name="Обычный 14 2 7 2" xfId="12995"/>
    <cellStyle name="Обычный 14 3" xfId="12996"/>
    <cellStyle name="Обычный 14 4" xfId="12997"/>
    <cellStyle name="Обычный 15" xfId="12998"/>
    <cellStyle name="Обычный 15 10" xfId="12999"/>
    <cellStyle name="Обычный 15 11" xfId="13000"/>
    <cellStyle name="Обычный 15 2" xfId="13001"/>
    <cellStyle name="Обычный 15 2 2" xfId="13002"/>
    <cellStyle name="Обычный 15 2 2 2" xfId="13003"/>
    <cellStyle name="Обычный 15 2 2 2 2" xfId="13004"/>
    <cellStyle name="Обычный 15 2 2 2 2 2" xfId="13005"/>
    <cellStyle name="Обычный 15 2 2 2 2 2 2" xfId="13006"/>
    <cellStyle name="Обычный 15 2 2 2 2 2 3" xfId="13007"/>
    <cellStyle name="Обычный 15 2 2 2 2 3" xfId="13008"/>
    <cellStyle name="Обычный 15 2 2 2 2 3 2" xfId="13009"/>
    <cellStyle name="Обычный 15 2 2 2 2 3 3" xfId="13010"/>
    <cellStyle name="Обычный 15 2 2 2 2 4" xfId="13011"/>
    <cellStyle name="Обычный 15 2 2 2 2 4 2" xfId="13012"/>
    <cellStyle name="Обычный 15 2 2 2 2 5" xfId="13013"/>
    <cellStyle name="Обычный 15 2 2 2 2 6" xfId="13014"/>
    <cellStyle name="Обычный 15 2 2 2 3" xfId="13015"/>
    <cellStyle name="Обычный 15 2 2 2 3 2" xfId="13016"/>
    <cellStyle name="Обычный 15 2 2 2 3 3" xfId="13017"/>
    <cellStyle name="Обычный 15 2 2 2 4" xfId="13018"/>
    <cellStyle name="Обычный 15 2 2 2 4 2" xfId="13019"/>
    <cellStyle name="Обычный 15 2 2 2 4 3" xfId="13020"/>
    <cellStyle name="Обычный 15 2 2 2 5" xfId="13021"/>
    <cellStyle name="Обычный 15 2 2 2 5 2" xfId="13022"/>
    <cellStyle name="Обычный 15 2 2 2 6" xfId="13023"/>
    <cellStyle name="Обычный 15 2 2 2 7" xfId="13024"/>
    <cellStyle name="Обычный 15 2 2 3" xfId="13025"/>
    <cellStyle name="Обычный 15 2 2 3 2" xfId="13026"/>
    <cellStyle name="Обычный 15 2 2 3 2 2" xfId="13027"/>
    <cellStyle name="Обычный 15 2 2 3 2 3" xfId="13028"/>
    <cellStyle name="Обычный 15 2 2 3 3" xfId="13029"/>
    <cellStyle name="Обычный 15 2 2 3 3 2" xfId="13030"/>
    <cellStyle name="Обычный 15 2 2 3 3 3" xfId="13031"/>
    <cellStyle name="Обычный 15 2 2 3 4" xfId="13032"/>
    <cellStyle name="Обычный 15 2 2 3 4 2" xfId="13033"/>
    <cellStyle name="Обычный 15 2 2 3 5" xfId="13034"/>
    <cellStyle name="Обычный 15 2 2 3 6" xfId="13035"/>
    <cellStyle name="Обычный 15 2 2 4" xfId="13036"/>
    <cellStyle name="Обычный 15 2 2 4 2" xfId="13037"/>
    <cellStyle name="Обычный 15 2 2 4 3" xfId="13038"/>
    <cellStyle name="Обычный 15 2 2 5" xfId="13039"/>
    <cellStyle name="Обычный 15 2 2 5 2" xfId="13040"/>
    <cellStyle name="Обычный 15 2 2 5 3" xfId="13041"/>
    <cellStyle name="Обычный 15 2 2 6" xfId="13042"/>
    <cellStyle name="Обычный 15 2 2 6 2" xfId="13043"/>
    <cellStyle name="Обычный 15 2 2 7" xfId="13044"/>
    <cellStyle name="Обычный 15 2 2 8" xfId="13045"/>
    <cellStyle name="Обычный 15 2 3" xfId="13046"/>
    <cellStyle name="Обычный 15 2 3 2" xfId="13047"/>
    <cellStyle name="Обычный 15 2 3 2 2" xfId="13048"/>
    <cellStyle name="Обычный 15 2 3 2 2 2" xfId="13049"/>
    <cellStyle name="Обычный 15 2 3 2 2 3" xfId="13050"/>
    <cellStyle name="Обычный 15 2 3 2 3" xfId="13051"/>
    <cellStyle name="Обычный 15 2 3 2 3 2" xfId="13052"/>
    <cellStyle name="Обычный 15 2 3 2 3 3" xfId="13053"/>
    <cellStyle name="Обычный 15 2 3 2 4" xfId="13054"/>
    <cellStyle name="Обычный 15 2 3 2 4 2" xfId="13055"/>
    <cellStyle name="Обычный 15 2 3 2 5" xfId="13056"/>
    <cellStyle name="Обычный 15 2 3 2 6" xfId="13057"/>
    <cellStyle name="Обычный 15 2 3 3" xfId="13058"/>
    <cellStyle name="Обычный 15 2 3 3 2" xfId="13059"/>
    <cellStyle name="Обычный 15 2 3 3 3" xfId="13060"/>
    <cellStyle name="Обычный 15 2 3 4" xfId="13061"/>
    <cellStyle name="Обычный 15 2 3 4 2" xfId="13062"/>
    <cellStyle name="Обычный 15 2 3 4 3" xfId="13063"/>
    <cellStyle name="Обычный 15 2 3 5" xfId="13064"/>
    <cellStyle name="Обычный 15 2 3 5 2" xfId="13065"/>
    <cellStyle name="Обычный 15 2 3 6" xfId="13066"/>
    <cellStyle name="Обычный 15 2 3 7" xfId="13067"/>
    <cellStyle name="Обычный 15 2 4" xfId="13068"/>
    <cellStyle name="Обычный 15 2 4 2" xfId="13069"/>
    <cellStyle name="Обычный 15 2 4 2 2" xfId="13070"/>
    <cellStyle name="Обычный 15 2 4 2 3" xfId="13071"/>
    <cellStyle name="Обычный 15 2 4 3" xfId="13072"/>
    <cellStyle name="Обычный 15 2 4 3 2" xfId="13073"/>
    <cellStyle name="Обычный 15 2 4 3 3" xfId="13074"/>
    <cellStyle name="Обычный 15 2 4 4" xfId="13075"/>
    <cellStyle name="Обычный 15 2 4 4 2" xfId="13076"/>
    <cellStyle name="Обычный 15 2 4 5" xfId="13077"/>
    <cellStyle name="Обычный 15 2 4 6" xfId="13078"/>
    <cellStyle name="Обычный 15 2 5" xfId="13079"/>
    <cellStyle name="Обычный 15 2 5 2" xfId="13080"/>
    <cellStyle name="Обычный 15 2 5 3" xfId="13081"/>
    <cellStyle name="Обычный 15 2 6" xfId="13082"/>
    <cellStyle name="Обычный 15 2 6 2" xfId="13083"/>
    <cellStyle name="Обычный 15 2 6 3" xfId="13084"/>
    <cellStyle name="Обычный 15 2 7" xfId="13085"/>
    <cellStyle name="Обычный 15 2 7 2" xfId="13086"/>
    <cellStyle name="Обычный 15 2 8" xfId="13087"/>
    <cellStyle name="Обычный 15 2 9" xfId="13088"/>
    <cellStyle name="Обычный 15 3" xfId="13089"/>
    <cellStyle name="Обычный 15 3 2" xfId="13090"/>
    <cellStyle name="Обычный 15 3 2 2" xfId="13091"/>
    <cellStyle name="Обычный 15 3 2 2 2" xfId="13092"/>
    <cellStyle name="Обычный 15 3 2 2 2 2" xfId="13093"/>
    <cellStyle name="Обычный 15 3 2 2 2 3" xfId="13094"/>
    <cellStyle name="Обычный 15 3 2 2 3" xfId="13095"/>
    <cellStyle name="Обычный 15 3 2 2 3 2" xfId="13096"/>
    <cellStyle name="Обычный 15 3 2 2 3 3" xfId="13097"/>
    <cellStyle name="Обычный 15 3 2 2 4" xfId="13098"/>
    <cellStyle name="Обычный 15 3 2 2 4 2" xfId="13099"/>
    <cellStyle name="Обычный 15 3 2 2 5" xfId="13100"/>
    <cellStyle name="Обычный 15 3 2 2 6" xfId="13101"/>
    <cellStyle name="Обычный 15 3 2 3" xfId="13102"/>
    <cellStyle name="Обычный 15 3 2 3 2" xfId="13103"/>
    <cellStyle name="Обычный 15 3 2 3 3" xfId="13104"/>
    <cellStyle name="Обычный 15 3 2 4" xfId="13105"/>
    <cellStyle name="Обычный 15 3 2 4 2" xfId="13106"/>
    <cellStyle name="Обычный 15 3 2 4 3" xfId="13107"/>
    <cellStyle name="Обычный 15 3 2 5" xfId="13108"/>
    <cellStyle name="Обычный 15 3 2 5 2" xfId="13109"/>
    <cellStyle name="Обычный 15 3 2 6" xfId="13110"/>
    <cellStyle name="Обычный 15 3 2 7" xfId="13111"/>
    <cellStyle name="Обычный 15 3 3" xfId="13112"/>
    <cellStyle name="Обычный 15 3 3 2" xfId="13113"/>
    <cellStyle name="Обычный 15 3 3 2 2" xfId="13114"/>
    <cellStyle name="Обычный 15 3 3 2 3" xfId="13115"/>
    <cellStyle name="Обычный 15 3 3 3" xfId="13116"/>
    <cellStyle name="Обычный 15 3 3 3 2" xfId="13117"/>
    <cellStyle name="Обычный 15 3 3 3 3" xfId="13118"/>
    <cellStyle name="Обычный 15 3 3 4" xfId="13119"/>
    <cellStyle name="Обычный 15 3 3 4 2" xfId="13120"/>
    <cellStyle name="Обычный 15 3 3 5" xfId="13121"/>
    <cellStyle name="Обычный 15 3 3 6" xfId="13122"/>
    <cellStyle name="Обычный 15 3 4" xfId="13123"/>
    <cellStyle name="Обычный 15 3 4 2" xfId="13124"/>
    <cellStyle name="Обычный 15 3 4 3" xfId="13125"/>
    <cellStyle name="Обычный 15 3 5" xfId="13126"/>
    <cellStyle name="Обычный 15 3 5 2" xfId="13127"/>
    <cellStyle name="Обычный 15 3 5 3" xfId="13128"/>
    <cellStyle name="Обычный 15 3 6" xfId="13129"/>
    <cellStyle name="Обычный 15 3 6 2" xfId="13130"/>
    <cellStyle name="Обычный 15 3 7" xfId="13131"/>
    <cellStyle name="Обычный 15 3 8" xfId="13132"/>
    <cellStyle name="Обычный 15 4" xfId="13133"/>
    <cellStyle name="Обычный 15 4 2" xfId="13134"/>
    <cellStyle name="Обычный 15 4 2 2" xfId="13135"/>
    <cellStyle name="Обычный 15 4 2 2 2" xfId="13136"/>
    <cellStyle name="Обычный 15 4 2 2 3" xfId="13137"/>
    <cellStyle name="Обычный 15 4 2 3" xfId="13138"/>
    <cellStyle name="Обычный 15 4 2 3 2" xfId="13139"/>
    <cellStyle name="Обычный 15 4 2 3 3" xfId="13140"/>
    <cellStyle name="Обычный 15 4 2 4" xfId="13141"/>
    <cellStyle name="Обычный 15 4 2 4 2" xfId="13142"/>
    <cellStyle name="Обычный 15 4 2 5" xfId="13143"/>
    <cellStyle name="Обычный 15 4 2 6" xfId="13144"/>
    <cellStyle name="Обычный 15 4 3" xfId="13145"/>
    <cellStyle name="Обычный 15 4 3 2" xfId="13146"/>
    <cellStyle name="Обычный 15 4 3 3" xfId="13147"/>
    <cellStyle name="Обычный 15 4 4" xfId="13148"/>
    <cellStyle name="Обычный 15 4 4 2" xfId="13149"/>
    <cellStyle name="Обычный 15 4 4 3" xfId="13150"/>
    <cellStyle name="Обычный 15 4 5" xfId="13151"/>
    <cellStyle name="Обычный 15 4 5 2" xfId="13152"/>
    <cellStyle name="Обычный 15 4 6" xfId="13153"/>
    <cellStyle name="Обычный 15 4 7" xfId="13154"/>
    <cellStyle name="Обычный 15 5" xfId="13155"/>
    <cellStyle name="Обычный 15 5 2" xfId="13156"/>
    <cellStyle name="Обычный 15 5 2 2" xfId="13157"/>
    <cellStyle name="Обычный 15 5 2 3" xfId="13158"/>
    <cellStyle name="Обычный 15 5 3" xfId="13159"/>
    <cellStyle name="Обычный 15 5 3 2" xfId="13160"/>
    <cellStyle name="Обычный 15 5 3 3" xfId="13161"/>
    <cellStyle name="Обычный 15 5 4" xfId="13162"/>
    <cellStyle name="Обычный 15 5 4 2" xfId="13163"/>
    <cellStyle name="Обычный 15 5 5" xfId="13164"/>
    <cellStyle name="Обычный 15 5 6" xfId="13165"/>
    <cellStyle name="Обычный 15 6" xfId="13166"/>
    <cellStyle name="Обычный 15 6 2" xfId="13167"/>
    <cellStyle name="Обычный 15 6 3" xfId="13168"/>
    <cellStyle name="Обычный 15 7" xfId="13169"/>
    <cellStyle name="Обычный 15 7 2" xfId="13170"/>
    <cellStyle name="Обычный 15 7 3" xfId="13171"/>
    <cellStyle name="Обычный 15 8" xfId="13172"/>
    <cellStyle name="Обычный 15 8 2" xfId="13173"/>
    <cellStyle name="Обычный 15 9" xfId="13174"/>
    <cellStyle name="Обычный 16" xfId="13175"/>
    <cellStyle name="Обычный 16 2" xfId="13176"/>
    <cellStyle name="Обычный 17" xfId="13177"/>
    <cellStyle name="Обычный 17 10" xfId="13178"/>
    <cellStyle name="Обычный 17 10 2" xfId="13179"/>
    <cellStyle name="Обычный 17 10 3" xfId="13180"/>
    <cellStyle name="Обычный 17 11" xfId="13181"/>
    <cellStyle name="Обычный 17 11 2" xfId="13182"/>
    <cellStyle name="Обычный 17 11 3" xfId="13183"/>
    <cellStyle name="Обычный 17 12" xfId="13184"/>
    <cellStyle name="Обычный 17 12 2" xfId="13185"/>
    <cellStyle name="Обычный 17 13" xfId="13186"/>
    <cellStyle name="Обычный 17 14" xfId="13187"/>
    <cellStyle name="Обычный 17 15" xfId="13188"/>
    <cellStyle name="Обычный 17 2" xfId="13189"/>
    <cellStyle name="Обычный 17 2 10" xfId="13190"/>
    <cellStyle name="Обычный 17 2 10 2" xfId="13191"/>
    <cellStyle name="Обычный 17 2 10 3" xfId="13192"/>
    <cellStyle name="Обычный 17 2 11" xfId="13193"/>
    <cellStyle name="Обычный 17 2 11 2" xfId="13194"/>
    <cellStyle name="Обычный 17 2 12" xfId="13195"/>
    <cellStyle name="Обычный 17 2 13" xfId="13196"/>
    <cellStyle name="Обычный 17 2 2" xfId="13197"/>
    <cellStyle name="Обычный 17 2 2 10" xfId="13198"/>
    <cellStyle name="Обычный 17 2 2 2" xfId="13199"/>
    <cellStyle name="Обычный 17 2 2 2 2" xfId="13200"/>
    <cellStyle name="Обычный 17 2 2 2 2 2" xfId="13201"/>
    <cellStyle name="Обычный 17 2 2 2 2 2 2" xfId="13202"/>
    <cellStyle name="Обычный 17 2 2 2 2 2 2 2" xfId="13203"/>
    <cellStyle name="Обычный 17 2 2 2 2 2 2 2 2" xfId="13204"/>
    <cellStyle name="Обычный 17 2 2 2 2 2 2 2 3" xfId="13205"/>
    <cellStyle name="Обычный 17 2 2 2 2 2 2 3" xfId="13206"/>
    <cellStyle name="Обычный 17 2 2 2 2 2 2 3 2" xfId="13207"/>
    <cellStyle name="Обычный 17 2 2 2 2 2 2 3 3" xfId="13208"/>
    <cellStyle name="Обычный 17 2 2 2 2 2 2 4" xfId="13209"/>
    <cellStyle name="Обычный 17 2 2 2 2 2 2 4 2" xfId="13210"/>
    <cellStyle name="Обычный 17 2 2 2 2 2 2 5" xfId="13211"/>
    <cellStyle name="Обычный 17 2 2 2 2 2 2 6" xfId="13212"/>
    <cellStyle name="Обычный 17 2 2 2 2 2 3" xfId="13213"/>
    <cellStyle name="Обычный 17 2 2 2 2 2 3 2" xfId="13214"/>
    <cellStyle name="Обычный 17 2 2 2 2 2 3 3" xfId="13215"/>
    <cellStyle name="Обычный 17 2 2 2 2 2 4" xfId="13216"/>
    <cellStyle name="Обычный 17 2 2 2 2 2 4 2" xfId="13217"/>
    <cellStyle name="Обычный 17 2 2 2 2 2 4 3" xfId="13218"/>
    <cellStyle name="Обычный 17 2 2 2 2 2 5" xfId="13219"/>
    <cellStyle name="Обычный 17 2 2 2 2 2 5 2" xfId="13220"/>
    <cellStyle name="Обычный 17 2 2 2 2 2 6" xfId="13221"/>
    <cellStyle name="Обычный 17 2 2 2 2 2 7" xfId="13222"/>
    <cellStyle name="Обычный 17 2 2 2 2 3" xfId="13223"/>
    <cellStyle name="Обычный 17 2 2 2 2 3 2" xfId="13224"/>
    <cellStyle name="Обычный 17 2 2 2 2 3 2 2" xfId="13225"/>
    <cellStyle name="Обычный 17 2 2 2 2 3 2 3" xfId="13226"/>
    <cellStyle name="Обычный 17 2 2 2 2 3 3" xfId="13227"/>
    <cellStyle name="Обычный 17 2 2 2 2 3 3 2" xfId="13228"/>
    <cellStyle name="Обычный 17 2 2 2 2 3 3 3" xfId="13229"/>
    <cellStyle name="Обычный 17 2 2 2 2 3 4" xfId="13230"/>
    <cellStyle name="Обычный 17 2 2 2 2 3 4 2" xfId="13231"/>
    <cellStyle name="Обычный 17 2 2 2 2 3 5" xfId="13232"/>
    <cellStyle name="Обычный 17 2 2 2 2 3 6" xfId="13233"/>
    <cellStyle name="Обычный 17 2 2 2 2 4" xfId="13234"/>
    <cellStyle name="Обычный 17 2 2 2 2 4 2" xfId="13235"/>
    <cellStyle name="Обычный 17 2 2 2 2 4 3" xfId="13236"/>
    <cellStyle name="Обычный 17 2 2 2 2 5" xfId="13237"/>
    <cellStyle name="Обычный 17 2 2 2 2 5 2" xfId="13238"/>
    <cellStyle name="Обычный 17 2 2 2 2 5 3" xfId="13239"/>
    <cellStyle name="Обычный 17 2 2 2 2 6" xfId="13240"/>
    <cellStyle name="Обычный 17 2 2 2 2 6 2" xfId="13241"/>
    <cellStyle name="Обычный 17 2 2 2 2 7" xfId="13242"/>
    <cellStyle name="Обычный 17 2 2 2 2 8" xfId="13243"/>
    <cellStyle name="Обычный 17 2 2 2 3" xfId="13244"/>
    <cellStyle name="Обычный 17 2 2 2 3 2" xfId="13245"/>
    <cellStyle name="Обычный 17 2 2 2 3 2 2" xfId="13246"/>
    <cellStyle name="Обычный 17 2 2 2 3 2 2 2" xfId="13247"/>
    <cellStyle name="Обычный 17 2 2 2 3 2 2 3" xfId="13248"/>
    <cellStyle name="Обычный 17 2 2 2 3 2 3" xfId="13249"/>
    <cellStyle name="Обычный 17 2 2 2 3 2 3 2" xfId="13250"/>
    <cellStyle name="Обычный 17 2 2 2 3 2 3 3" xfId="13251"/>
    <cellStyle name="Обычный 17 2 2 2 3 2 4" xfId="13252"/>
    <cellStyle name="Обычный 17 2 2 2 3 2 4 2" xfId="13253"/>
    <cellStyle name="Обычный 17 2 2 2 3 2 5" xfId="13254"/>
    <cellStyle name="Обычный 17 2 2 2 3 2 6" xfId="13255"/>
    <cellStyle name="Обычный 17 2 2 2 3 3" xfId="13256"/>
    <cellStyle name="Обычный 17 2 2 2 3 3 2" xfId="13257"/>
    <cellStyle name="Обычный 17 2 2 2 3 3 3" xfId="13258"/>
    <cellStyle name="Обычный 17 2 2 2 3 4" xfId="13259"/>
    <cellStyle name="Обычный 17 2 2 2 3 4 2" xfId="13260"/>
    <cellStyle name="Обычный 17 2 2 2 3 4 3" xfId="13261"/>
    <cellStyle name="Обычный 17 2 2 2 3 5" xfId="13262"/>
    <cellStyle name="Обычный 17 2 2 2 3 5 2" xfId="13263"/>
    <cellStyle name="Обычный 17 2 2 2 3 6" xfId="13264"/>
    <cellStyle name="Обычный 17 2 2 2 3 7" xfId="13265"/>
    <cellStyle name="Обычный 17 2 2 2 4" xfId="13266"/>
    <cellStyle name="Обычный 17 2 2 2 4 2" xfId="13267"/>
    <cellStyle name="Обычный 17 2 2 2 4 2 2" xfId="13268"/>
    <cellStyle name="Обычный 17 2 2 2 4 2 3" xfId="13269"/>
    <cellStyle name="Обычный 17 2 2 2 4 3" xfId="13270"/>
    <cellStyle name="Обычный 17 2 2 2 4 3 2" xfId="13271"/>
    <cellStyle name="Обычный 17 2 2 2 4 3 3" xfId="13272"/>
    <cellStyle name="Обычный 17 2 2 2 4 4" xfId="13273"/>
    <cellStyle name="Обычный 17 2 2 2 4 4 2" xfId="13274"/>
    <cellStyle name="Обычный 17 2 2 2 4 5" xfId="13275"/>
    <cellStyle name="Обычный 17 2 2 2 4 6" xfId="13276"/>
    <cellStyle name="Обычный 17 2 2 2 5" xfId="13277"/>
    <cellStyle name="Обычный 17 2 2 2 5 2" xfId="13278"/>
    <cellStyle name="Обычный 17 2 2 2 5 3" xfId="13279"/>
    <cellStyle name="Обычный 17 2 2 2 6" xfId="13280"/>
    <cellStyle name="Обычный 17 2 2 2 6 2" xfId="13281"/>
    <cellStyle name="Обычный 17 2 2 2 6 3" xfId="13282"/>
    <cellStyle name="Обычный 17 2 2 2 7" xfId="13283"/>
    <cellStyle name="Обычный 17 2 2 2 7 2" xfId="13284"/>
    <cellStyle name="Обычный 17 2 2 2 8" xfId="13285"/>
    <cellStyle name="Обычный 17 2 2 2 9" xfId="13286"/>
    <cellStyle name="Обычный 17 2 2 3" xfId="13287"/>
    <cellStyle name="Обычный 17 2 2 3 2" xfId="13288"/>
    <cellStyle name="Обычный 17 2 2 3 2 2" xfId="13289"/>
    <cellStyle name="Обычный 17 2 2 3 2 2 2" xfId="13290"/>
    <cellStyle name="Обычный 17 2 2 3 2 2 2 2" xfId="13291"/>
    <cellStyle name="Обычный 17 2 2 3 2 2 2 3" xfId="13292"/>
    <cellStyle name="Обычный 17 2 2 3 2 2 3" xfId="13293"/>
    <cellStyle name="Обычный 17 2 2 3 2 2 3 2" xfId="13294"/>
    <cellStyle name="Обычный 17 2 2 3 2 2 3 3" xfId="13295"/>
    <cellStyle name="Обычный 17 2 2 3 2 2 4" xfId="13296"/>
    <cellStyle name="Обычный 17 2 2 3 2 2 4 2" xfId="13297"/>
    <cellStyle name="Обычный 17 2 2 3 2 2 5" xfId="13298"/>
    <cellStyle name="Обычный 17 2 2 3 2 2 6" xfId="13299"/>
    <cellStyle name="Обычный 17 2 2 3 2 3" xfId="13300"/>
    <cellStyle name="Обычный 17 2 2 3 2 3 2" xfId="13301"/>
    <cellStyle name="Обычный 17 2 2 3 2 3 3" xfId="13302"/>
    <cellStyle name="Обычный 17 2 2 3 2 4" xfId="13303"/>
    <cellStyle name="Обычный 17 2 2 3 2 4 2" xfId="13304"/>
    <cellStyle name="Обычный 17 2 2 3 2 4 3" xfId="13305"/>
    <cellStyle name="Обычный 17 2 2 3 2 5" xfId="13306"/>
    <cellStyle name="Обычный 17 2 2 3 2 5 2" xfId="13307"/>
    <cellStyle name="Обычный 17 2 2 3 2 6" xfId="13308"/>
    <cellStyle name="Обычный 17 2 2 3 2 7" xfId="13309"/>
    <cellStyle name="Обычный 17 2 2 3 3" xfId="13310"/>
    <cellStyle name="Обычный 17 2 2 3 3 2" xfId="13311"/>
    <cellStyle name="Обычный 17 2 2 3 3 2 2" xfId="13312"/>
    <cellStyle name="Обычный 17 2 2 3 3 2 3" xfId="13313"/>
    <cellStyle name="Обычный 17 2 2 3 3 3" xfId="13314"/>
    <cellStyle name="Обычный 17 2 2 3 3 3 2" xfId="13315"/>
    <cellStyle name="Обычный 17 2 2 3 3 3 3" xfId="13316"/>
    <cellStyle name="Обычный 17 2 2 3 3 4" xfId="13317"/>
    <cellStyle name="Обычный 17 2 2 3 3 4 2" xfId="13318"/>
    <cellStyle name="Обычный 17 2 2 3 3 5" xfId="13319"/>
    <cellStyle name="Обычный 17 2 2 3 3 6" xfId="13320"/>
    <cellStyle name="Обычный 17 2 2 3 4" xfId="13321"/>
    <cellStyle name="Обычный 17 2 2 3 4 2" xfId="13322"/>
    <cellStyle name="Обычный 17 2 2 3 4 3" xfId="13323"/>
    <cellStyle name="Обычный 17 2 2 3 5" xfId="13324"/>
    <cellStyle name="Обычный 17 2 2 3 5 2" xfId="13325"/>
    <cellStyle name="Обычный 17 2 2 3 5 3" xfId="13326"/>
    <cellStyle name="Обычный 17 2 2 3 6" xfId="13327"/>
    <cellStyle name="Обычный 17 2 2 3 6 2" xfId="13328"/>
    <cellStyle name="Обычный 17 2 2 3 7" xfId="13329"/>
    <cellStyle name="Обычный 17 2 2 3 8" xfId="13330"/>
    <cellStyle name="Обычный 17 2 2 4" xfId="13331"/>
    <cellStyle name="Обычный 17 2 2 4 2" xfId="13332"/>
    <cellStyle name="Обычный 17 2 2 4 2 2" xfId="13333"/>
    <cellStyle name="Обычный 17 2 2 4 2 2 2" xfId="13334"/>
    <cellStyle name="Обычный 17 2 2 4 2 2 3" xfId="13335"/>
    <cellStyle name="Обычный 17 2 2 4 2 3" xfId="13336"/>
    <cellStyle name="Обычный 17 2 2 4 2 3 2" xfId="13337"/>
    <cellStyle name="Обычный 17 2 2 4 2 3 3" xfId="13338"/>
    <cellStyle name="Обычный 17 2 2 4 2 4" xfId="13339"/>
    <cellStyle name="Обычный 17 2 2 4 2 4 2" xfId="13340"/>
    <cellStyle name="Обычный 17 2 2 4 2 5" xfId="13341"/>
    <cellStyle name="Обычный 17 2 2 4 2 6" xfId="13342"/>
    <cellStyle name="Обычный 17 2 2 4 3" xfId="13343"/>
    <cellStyle name="Обычный 17 2 2 4 3 2" xfId="13344"/>
    <cellStyle name="Обычный 17 2 2 4 3 3" xfId="13345"/>
    <cellStyle name="Обычный 17 2 2 4 4" xfId="13346"/>
    <cellStyle name="Обычный 17 2 2 4 4 2" xfId="13347"/>
    <cellStyle name="Обычный 17 2 2 4 4 3" xfId="13348"/>
    <cellStyle name="Обычный 17 2 2 4 5" xfId="13349"/>
    <cellStyle name="Обычный 17 2 2 4 5 2" xfId="13350"/>
    <cellStyle name="Обычный 17 2 2 4 6" xfId="13351"/>
    <cellStyle name="Обычный 17 2 2 4 7" xfId="13352"/>
    <cellStyle name="Обычный 17 2 2 5" xfId="13353"/>
    <cellStyle name="Обычный 17 2 2 5 2" xfId="13354"/>
    <cellStyle name="Обычный 17 2 2 5 2 2" xfId="13355"/>
    <cellStyle name="Обычный 17 2 2 5 2 3" xfId="13356"/>
    <cellStyle name="Обычный 17 2 2 5 3" xfId="13357"/>
    <cellStyle name="Обычный 17 2 2 5 3 2" xfId="13358"/>
    <cellStyle name="Обычный 17 2 2 5 3 3" xfId="13359"/>
    <cellStyle name="Обычный 17 2 2 5 4" xfId="13360"/>
    <cellStyle name="Обычный 17 2 2 5 4 2" xfId="13361"/>
    <cellStyle name="Обычный 17 2 2 5 5" xfId="13362"/>
    <cellStyle name="Обычный 17 2 2 5 6" xfId="13363"/>
    <cellStyle name="Обычный 17 2 2 6" xfId="13364"/>
    <cellStyle name="Обычный 17 2 2 6 2" xfId="13365"/>
    <cellStyle name="Обычный 17 2 2 6 3" xfId="13366"/>
    <cellStyle name="Обычный 17 2 2 7" xfId="13367"/>
    <cellStyle name="Обычный 17 2 2 7 2" xfId="13368"/>
    <cellStyle name="Обычный 17 2 2 7 3" xfId="13369"/>
    <cellStyle name="Обычный 17 2 2 8" xfId="13370"/>
    <cellStyle name="Обычный 17 2 2 8 2" xfId="13371"/>
    <cellStyle name="Обычный 17 2 2 9" xfId="13372"/>
    <cellStyle name="Обычный 17 2 3" xfId="13373"/>
    <cellStyle name="Обычный 17 2 3 10" xfId="13374"/>
    <cellStyle name="Обычный 17 2 3 2" xfId="13375"/>
    <cellStyle name="Обычный 17 2 3 2 2" xfId="13376"/>
    <cellStyle name="Обычный 17 2 3 2 2 2" xfId="13377"/>
    <cellStyle name="Обычный 17 2 3 2 2 2 2" xfId="13378"/>
    <cellStyle name="Обычный 17 2 3 2 2 2 2 2" xfId="13379"/>
    <cellStyle name="Обычный 17 2 3 2 2 2 2 2 2" xfId="13380"/>
    <cellStyle name="Обычный 17 2 3 2 2 2 2 2 3" xfId="13381"/>
    <cellStyle name="Обычный 17 2 3 2 2 2 2 3" xfId="13382"/>
    <cellStyle name="Обычный 17 2 3 2 2 2 2 3 2" xfId="13383"/>
    <cellStyle name="Обычный 17 2 3 2 2 2 2 3 3" xfId="13384"/>
    <cellStyle name="Обычный 17 2 3 2 2 2 2 4" xfId="13385"/>
    <cellStyle name="Обычный 17 2 3 2 2 2 2 4 2" xfId="13386"/>
    <cellStyle name="Обычный 17 2 3 2 2 2 2 5" xfId="13387"/>
    <cellStyle name="Обычный 17 2 3 2 2 2 2 6" xfId="13388"/>
    <cellStyle name="Обычный 17 2 3 2 2 2 3" xfId="13389"/>
    <cellStyle name="Обычный 17 2 3 2 2 2 3 2" xfId="13390"/>
    <cellStyle name="Обычный 17 2 3 2 2 2 3 3" xfId="13391"/>
    <cellStyle name="Обычный 17 2 3 2 2 2 4" xfId="13392"/>
    <cellStyle name="Обычный 17 2 3 2 2 2 4 2" xfId="13393"/>
    <cellStyle name="Обычный 17 2 3 2 2 2 4 3" xfId="13394"/>
    <cellStyle name="Обычный 17 2 3 2 2 2 5" xfId="13395"/>
    <cellStyle name="Обычный 17 2 3 2 2 2 5 2" xfId="13396"/>
    <cellStyle name="Обычный 17 2 3 2 2 2 6" xfId="13397"/>
    <cellStyle name="Обычный 17 2 3 2 2 2 7" xfId="13398"/>
    <cellStyle name="Обычный 17 2 3 2 2 3" xfId="13399"/>
    <cellStyle name="Обычный 17 2 3 2 2 3 2" xfId="13400"/>
    <cellStyle name="Обычный 17 2 3 2 2 3 2 2" xfId="13401"/>
    <cellStyle name="Обычный 17 2 3 2 2 3 2 3" xfId="13402"/>
    <cellStyle name="Обычный 17 2 3 2 2 3 3" xfId="13403"/>
    <cellStyle name="Обычный 17 2 3 2 2 3 3 2" xfId="13404"/>
    <cellStyle name="Обычный 17 2 3 2 2 3 3 3" xfId="13405"/>
    <cellStyle name="Обычный 17 2 3 2 2 3 4" xfId="13406"/>
    <cellStyle name="Обычный 17 2 3 2 2 3 4 2" xfId="13407"/>
    <cellStyle name="Обычный 17 2 3 2 2 3 5" xfId="13408"/>
    <cellStyle name="Обычный 17 2 3 2 2 3 6" xfId="13409"/>
    <cellStyle name="Обычный 17 2 3 2 2 4" xfId="13410"/>
    <cellStyle name="Обычный 17 2 3 2 2 4 2" xfId="13411"/>
    <cellStyle name="Обычный 17 2 3 2 2 4 3" xfId="13412"/>
    <cellStyle name="Обычный 17 2 3 2 2 5" xfId="13413"/>
    <cellStyle name="Обычный 17 2 3 2 2 5 2" xfId="13414"/>
    <cellStyle name="Обычный 17 2 3 2 2 5 3" xfId="13415"/>
    <cellStyle name="Обычный 17 2 3 2 2 6" xfId="13416"/>
    <cellStyle name="Обычный 17 2 3 2 2 6 2" xfId="13417"/>
    <cellStyle name="Обычный 17 2 3 2 2 7" xfId="13418"/>
    <cellStyle name="Обычный 17 2 3 2 2 8" xfId="13419"/>
    <cellStyle name="Обычный 17 2 3 2 3" xfId="13420"/>
    <cellStyle name="Обычный 17 2 3 2 3 2" xfId="13421"/>
    <cellStyle name="Обычный 17 2 3 2 3 2 2" xfId="13422"/>
    <cellStyle name="Обычный 17 2 3 2 3 2 2 2" xfId="13423"/>
    <cellStyle name="Обычный 17 2 3 2 3 2 2 3" xfId="13424"/>
    <cellStyle name="Обычный 17 2 3 2 3 2 3" xfId="13425"/>
    <cellStyle name="Обычный 17 2 3 2 3 2 3 2" xfId="13426"/>
    <cellStyle name="Обычный 17 2 3 2 3 2 3 3" xfId="13427"/>
    <cellStyle name="Обычный 17 2 3 2 3 2 4" xfId="13428"/>
    <cellStyle name="Обычный 17 2 3 2 3 2 4 2" xfId="13429"/>
    <cellStyle name="Обычный 17 2 3 2 3 2 5" xfId="13430"/>
    <cellStyle name="Обычный 17 2 3 2 3 2 6" xfId="13431"/>
    <cellStyle name="Обычный 17 2 3 2 3 3" xfId="13432"/>
    <cellStyle name="Обычный 17 2 3 2 3 3 2" xfId="13433"/>
    <cellStyle name="Обычный 17 2 3 2 3 3 3" xfId="13434"/>
    <cellStyle name="Обычный 17 2 3 2 3 4" xfId="13435"/>
    <cellStyle name="Обычный 17 2 3 2 3 4 2" xfId="13436"/>
    <cellStyle name="Обычный 17 2 3 2 3 4 3" xfId="13437"/>
    <cellStyle name="Обычный 17 2 3 2 3 5" xfId="13438"/>
    <cellStyle name="Обычный 17 2 3 2 3 5 2" xfId="13439"/>
    <cellStyle name="Обычный 17 2 3 2 3 6" xfId="13440"/>
    <cellStyle name="Обычный 17 2 3 2 3 7" xfId="13441"/>
    <cellStyle name="Обычный 17 2 3 2 4" xfId="13442"/>
    <cellStyle name="Обычный 17 2 3 2 4 2" xfId="13443"/>
    <cellStyle name="Обычный 17 2 3 2 4 2 2" xfId="13444"/>
    <cellStyle name="Обычный 17 2 3 2 4 2 3" xfId="13445"/>
    <cellStyle name="Обычный 17 2 3 2 4 3" xfId="13446"/>
    <cellStyle name="Обычный 17 2 3 2 4 3 2" xfId="13447"/>
    <cellStyle name="Обычный 17 2 3 2 4 3 3" xfId="13448"/>
    <cellStyle name="Обычный 17 2 3 2 4 4" xfId="13449"/>
    <cellStyle name="Обычный 17 2 3 2 4 4 2" xfId="13450"/>
    <cellStyle name="Обычный 17 2 3 2 4 5" xfId="13451"/>
    <cellStyle name="Обычный 17 2 3 2 4 6" xfId="13452"/>
    <cellStyle name="Обычный 17 2 3 2 5" xfId="13453"/>
    <cellStyle name="Обычный 17 2 3 2 5 2" xfId="13454"/>
    <cellStyle name="Обычный 17 2 3 2 5 3" xfId="13455"/>
    <cellStyle name="Обычный 17 2 3 2 6" xfId="13456"/>
    <cellStyle name="Обычный 17 2 3 2 6 2" xfId="13457"/>
    <cellStyle name="Обычный 17 2 3 2 6 3" xfId="13458"/>
    <cellStyle name="Обычный 17 2 3 2 7" xfId="13459"/>
    <cellStyle name="Обычный 17 2 3 2 7 2" xfId="13460"/>
    <cellStyle name="Обычный 17 2 3 2 8" xfId="13461"/>
    <cellStyle name="Обычный 17 2 3 2 9" xfId="13462"/>
    <cellStyle name="Обычный 17 2 3 3" xfId="13463"/>
    <cellStyle name="Обычный 17 2 3 3 2" xfId="13464"/>
    <cellStyle name="Обычный 17 2 3 3 2 2" xfId="13465"/>
    <cellStyle name="Обычный 17 2 3 3 2 2 2" xfId="13466"/>
    <cellStyle name="Обычный 17 2 3 3 2 2 2 2" xfId="13467"/>
    <cellStyle name="Обычный 17 2 3 3 2 2 2 3" xfId="13468"/>
    <cellStyle name="Обычный 17 2 3 3 2 2 3" xfId="13469"/>
    <cellStyle name="Обычный 17 2 3 3 2 2 3 2" xfId="13470"/>
    <cellStyle name="Обычный 17 2 3 3 2 2 3 3" xfId="13471"/>
    <cellStyle name="Обычный 17 2 3 3 2 2 4" xfId="13472"/>
    <cellStyle name="Обычный 17 2 3 3 2 2 4 2" xfId="13473"/>
    <cellStyle name="Обычный 17 2 3 3 2 2 5" xfId="13474"/>
    <cellStyle name="Обычный 17 2 3 3 2 2 6" xfId="13475"/>
    <cellStyle name="Обычный 17 2 3 3 2 3" xfId="13476"/>
    <cellStyle name="Обычный 17 2 3 3 2 3 2" xfId="13477"/>
    <cellStyle name="Обычный 17 2 3 3 2 3 3" xfId="13478"/>
    <cellStyle name="Обычный 17 2 3 3 2 4" xfId="13479"/>
    <cellStyle name="Обычный 17 2 3 3 2 4 2" xfId="13480"/>
    <cellStyle name="Обычный 17 2 3 3 2 4 3" xfId="13481"/>
    <cellStyle name="Обычный 17 2 3 3 2 5" xfId="13482"/>
    <cellStyle name="Обычный 17 2 3 3 2 5 2" xfId="13483"/>
    <cellStyle name="Обычный 17 2 3 3 2 6" xfId="13484"/>
    <cellStyle name="Обычный 17 2 3 3 2 7" xfId="13485"/>
    <cellStyle name="Обычный 17 2 3 3 3" xfId="13486"/>
    <cellStyle name="Обычный 17 2 3 3 3 2" xfId="13487"/>
    <cellStyle name="Обычный 17 2 3 3 3 2 2" xfId="13488"/>
    <cellStyle name="Обычный 17 2 3 3 3 2 3" xfId="13489"/>
    <cellStyle name="Обычный 17 2 3 3 3 3" xfId="13490"/>
    <cellStyle name="Обычный 17 2 3 3 3 3 2" xfId="13491"/>
    <cellStyle name="Обычный 17 2 3 3 3 3 3" xfId="13492"/>
    <cellStyle name="Обычный 17 2 3 3 3 4" xfId="13493"/>
    <cellStyle name="Обычный 17 2 3 3 3 4 2" xfId="13494"/>
    <cellStyle name="Обычный 17 2 3 3 3 5" xfId="13495"/>
    <cellStyle name="Обычный 17 2 3 3 3 6" xfId="13496"/>
    <cellStyle name="Обычный 17 2 3 3 4" xfId="13497"/>
    <cellStyle name="Обычный 17 2 3 3 4 2" xfId="13498"/>
    <cellStyle name="Обычный 17 2 3 3 4 3" xfId="13499"/>
    <cellStyle name="Обычный 17 2 3 3 5" xfId="13500"/>
    <cellStyle name="Обычный 17 2 3 3 5 2" xfId="13501"/>
    <cellStyle name="Обычный 17 2 3 3 5 3" xfId="13502"/>
    <cellStyle name="Обычный 17 2 3 3 6" xfId="13503"/>
    <cellStyle name="Обычный 17 2 3 3 6 2" xfId="13504"/>
    <cellStyle name="Обычный 17 2 3 3 7" xfId="13505"/>
    <cellStyle name="Обычный 17 2 3 3 8" xfId="13506"/>
    <cellStyle name="Обычный 17 2 3 4" xfId="13507"/>
    <cellStyle name="Обычный 17 2 3 4 2" xfId="13508"/>
    <cellStyle name="Обычный 17 2 3 4 2 2" xfId="13509"/>
    <cellStyle name="Обычный 17 2 3 4 2 2 2" xfId="13510"/>
    <cellStyle name="Обычный 17 2 3 4 2 2 3" xfId="13511"/>
    <cellStyle name="Обычный 17 2 3 4 2 3" xfId="13512"/>
    <cellStyle name="Обычный 17 2 3 4 2 3 2" xfId="13513"/>
    <cellStyle name="Обычный 17 2 3 4 2 3 3" xfId="13514"/>
    <cellStyle name="Обычный 17 2 3 4 2 4" xfId="13515"/>
    <cellStyle name="Обычный 17 2 3 4 2 4 2" xfId="13516"/>
    <cellStyle name="Обычный 17 2 3 4 2 5" xfId="13517"/>
    <cellStyle name="Обычный 17 2 3 4 2 6" xfId="13518"/>
    <cellStyle name="Обычный 17 2 3 4 3" xfId="13519"/>
    <cellStyle name="Обычный 17 2 3 4 3 2" xfId="13520"/>
    <cellStyle name="Обычный 17 2 3 4 3 3" xfId="13521"/>
    <cellStyle name="Обычный 17 2 3 4 4" xfId="13522"/>
    <cellStyle name="Обычный 17 2 3 4 4 2" xfId="13523"/>
    <cellStyle name="Обычный 17 2 3 4 4 3" xfId="13524"/>
    <cellStyle name="Обычный 17 2 3 4 5" xfId="13525"/>
    <cellStyle name="Обычный 17 2 3 4 5 2" xfId="13526"/>
    <cellStyle name="Обычный 17 2 3 4 6" xfId="13527"/>
    <cellStyle name="Обычный 17 2 3 4 7" xfId="13528"/>
    <cellStyle name="Обычный 17 2 3 5" xfId="13529"/>
    <cellStyle name="Обычный 17 2 3 5 2" xfId="13530"/>
    <cellStyle name="Обычный 17 2 3 5 2 2" xfId="13531"/>
    <cellStyle name="Обычный 17 2 3 5 2 3" xfId="13532"/>
    <cellStyle name="Обычный 17 2 3 5 3" xfId="13533"/>
    <cellStyle name="Обычный 17 2 3 5 3 2" xfId="13534"/>
    <cellStyle name="Обычный 17 2 3 5 3 3" xfId="13535"/>
    <cellStyle name="Обычный 17 2 3 5 4" xfId="13536"/>
    <cellStyle name="Обычный 17 2 3 5 4 2" xfId="13537"/>
    <cellStyle name="Обычный 17 2 3 5 5" xfId="13538"/>
    <cellStyle name="Обычный 17 2 3 5 6" xfId="13539"/>
    <cellStyle name="Обычный 17 2 3 6" xfId="13540"/>
    <cellStyle name="Обычный 17 2 3 6 2" xfId="13541"/>
    <cellStyle name="Обычный 17 2 3 6 3" xfId="13542"/>
    <cellStyle name="Обычный 17 2 3 7" xfId="13543"/>
    <cellStyle name="Обычный 17 2 3 7 2" xfId="13544"/>
    <cellStyle name="Обычный 17 2 3 7 3" xfId="13545"/>
    <cellStyle name="Обычный 17 2 3 8" xfId="13546"/>
    <cellStyle name="Обычный 17 2 3 8 2" xfId="13547"/>
    <cellStyle name="Обычный 17 2 3 9" xfId="13548"/>
    <cellStyle name="Обычный 17 2 4" xfId="13549"/>
    <cellStyle name="Обычный 17 2 4 10" xfId="13550"/>
    <cellStyle name="Обычный 17 2 4 2" xfId="13551"/>
    <cellStyle name="Обычный 17 2 4 2 2" xfId="13552"/>
    <cellStyle name="Обычный 17 2 4 2 2 2" xfId="13553"/>
    <cellStyle name="Обычный 17 2 4 2 2 2 2" xfId="13554"/>
    <cellStyle name="Обычный 17 2 4 2 2 2 2 2" xfId="13555"/>
    <cellStyle name="Обычный 17 2 4 2 2 2 2 2 2" xfId="13556"/>
    <cellStyle name="Обычный 17 2 4 2 2 2 2 2 3" xfId="13557"/>
    <cellStyle name="Обычный 17 2 4 2 2 2 2 3" xfId="13558"/>
    <cellStyle name="Обычный 17 2 4 2 2 2 2 3 2" xfId="13559"/>
    <cellStyle name="Обычный 17 2 4 2 2 2 2 3 3" xfId="13560"/>
    <cellStyle name="Обычный 17 2 4 2 2 2 2 4" xfId="13561"/>
    <cellStyle name="Обычный 17 2 4 2 2 2 2 4 2" xfId="13562"/>
    <cellStyle name="Обычный 17 2 4 2 2 2 2 5" xfId="13563"/>
    <cellStyle name="Обычный 17 2 4 2 2 2 2 6" xfId="13564"/>
    <cellStyle name="Обычный 17 2 4 2 2 2 3" xfId="13565"/>
    <cellStyle name="Обычный 17 2 4 2 2 2 3 2" xfId="13566"/>
    <cellStyle name="Обычный 17 2 4 2 2 2 3 3" xfId="13567"/>
    <cellStyle name="Обычный 17 2 4 2 2 2 4" xfId="13568"/>
    <cellStyle name="Обычный 17 2 4 2 2 2 4 2" xfId="13569"/>
    <cellStyle name="Обычный 17 2 4 2 2 2 4 3" xfId="13570"/>
    <cellStyle name="Обычный 17 2 4 2 2 2 5" xfId="13571"/>
    <cellStyle name="Обычный 17 2 4 2 2 2 5 2" xfId="13572"/>
    <cellStyle name="Обычный 17 2 4 2 2 2 6" xfId="13573"/>
    <cellStyle name="Обычный 17 2 4 2 2 2 7" xfId="13574"/>
    <cellStyle name="Обычный 17 2 4 2 2 3" xfId="13575"/>
    <cellStyle name="Обычный 17 2 4 2 2 3 2" xfId="13576"/>
    <cellStyle name="Обычный 17 2 4 2 2 3 2 2" xfId="13577"/>
    <cellStyle name="Обычный 17 2 4 2 2 3 2 3" xfId="13578"/>
    <cellStyle name="Обычный 17 2 4 2 2 3 3" xfId="13579"/>
    <cellStyle name="Обычный 17 2 4 2 2 3 3 2" xfId="13580"/>
    <cellStyle name="Обычный 17 2 4 2 2 3 3 3" xfId="13581"/>
    <cellStyle name="Обычный 17 2 4 2 2 3 4" xfId="13582"/>
    <cellStyle name="Обычный 17 2 4 2 2 3 4 2" xfId="13583"/>
    <cellStyle name="Обычный 17 2 4 2 2 3 5" xfId="13584"/>
    <cellStyle name="Обычный 17 2 4 2 2 3 6" xfId="13585"/>
    <cellStyle name="Обычный 17 2 4 2 2 4" xfId="13586"/>
    <cellStyle name="Обычный 17 2 4 2 2 4 2" xfId="13587"/>
    <cellStyle name="Обычный 17 2 4 2 2 4 3" xfId="13588"/>
    <cellStyle name="Обычный 17 2 4 2 2 5" xfId="13589"/>
    <cellStyle name="Обычный 17 2 4 2 2 5 2" xfId="13590"/>
    <cellStyle name="Обычный 17 2 4 2 2 5 3" xfId="13591"/>
    <cellStyle name="Обычный 17 2 4 2 2 6" xfId="13592"/>
    <cellStyle name="Обычный 17 2 4 2 2 6 2" xfId="13593"/>
    <cellStyle name="Обычный 17 2 4 2 2 7" xfId="13594"/>
    <cellStyle name="Обычный 17 2 4 2 2 8" xfId="13595"/>
    <cellStyle name="Обычный 17 2 4 2 3" xfId="13596"/>
    <cellStyle name="Обычный 17 2 4 2 3 2" xfId="13597"/>
    <cellStyle name="Обычный 17 2 4 2 3 2 2" xfId="13598"/>
    <cellStyle name="Обычный 17 2 4 2 3 2 2 2" xfId="13599"/>
    <cellStyle name="Обычный 17 2 4 2 3 2 2 3" xfId="13600"/>
    <cellStyle name="Обычный 17 2 4 2 3 2 3" xfId="13601"/>
    <cellStyle name="Обычный 17 2 4 2 3 2 3 2" xfId="13602"/>
    <cellStyle name="Обычный 17 2 4 2 3 2 3 3" xfId="13603"/>
    <cellStyle name="Обычный 17 2 4 2 3 2 4" xfId="13604"/>
    <cellStyle name="Обычный 17 2 4 2 3 2 4 2" xfId="13605"/>
    <cellStyle name="Обычный 17 2 4 2 3 2 5" xfId="13606"/>
    <cellStyle name="Обычный 17 2 4 2 3 2 6" xfId="13607"/>
    <cellStyle name="Обычный 17 2 4 2 3 3" xfId="13608"/>
    <cellStyle name="Обычный 17 2 4 2 3 3 2" xfId="13609"/>
    <cellStyle name="Обычный 17 2 4 2 3 3 3" xfId="13610"/>
    <cellStyle name="Обычный 17 2 4 2 3 4" xfId="13611"/>
    <cellStyle name="Обычный 17 2 4 2 3 4 2" xfId="13612"/>
    <cellStyle name="Обычный 17 2 4 2 3 4 3" xfId="13613"/>
    <cellStyle name="Обычный 17 2 4 2 3 5" xfId="13614"/>
    <cellStyle name="Обычный 17 2 4 2 3 5 2" xfId="13615"/>
    <cellStyle name="Обычный 17 2 4 2 3 6" xfId="13616"/>
    <cellStyle name="Обычный 17 2 4 2 3 7" xfId="13617"/>
    <cellStyle name="Обычный 17 2 4 2 4" xfId="13618"/>
    <cellStyle name="Обычный 17 2 4 2 4 2" xfId="13619"/>
    <cellStyle name="Обычный 17 2 4 2 4 2 2" xfId="13620"/>
    <cellStyle name="Обычный 17 2 4 2 4 2 3" xfId="13621"/>
    <cellStyle name="Обычный 17 2 4 2 4 3" xfId="13622"/>
    <cellStyle name="Обычный 17 2 4 2 4 3 2" xfId="13623"/>
    <cellStyle name="Обычный 17 2 4 2 4 3 3" xfId="13624"/>
    <cellStyle name="Обычный 17 2 4 2 4 4" xfId="13625"/>
    <cellStyle name="Обычный 17 2 4 2 4 4 2" xfId="13626"/>
    <cellStyle name="Обычный 17 2 4 2 4 5" xfId="13627"/>
    <cellStyle name="Обычный 17 2 4 2 4 6" xfId="13628"/>
    <cellStyle name="Обычный 17 2 4 2 5" xfId="13629"/>
    <cellStyle name="Обычный 17 2 4 2 5 2" xfId="13630"/>
    <cellStyle name="Обычный 17 2 4 2 5 3" xfId="13631"/>
    <cellStyle name="Обычный 17 2 4 2 6" xfId="13632"/>
    <cellStyle name="Обычный 17 2 4 2 6 2" xfId="13633"/>
    <cellStyle name="Обычный 17 2 4 2 6 3" xfId="13634"/>
    <cellStyle name="Обычный 17 2 4 2 7" xfId="13635"/>
    <cellStyle name="Обычный 17 2 4 2 7 2" xfId="13636"/>
    <cellStyle name="Обычный 17 2 4 2 8" xfId="13637"/>
    <cellStyle name="Обычный 17 2 4 2 9" xfId="13638"/>
    <cellStyle name="Обычный 17 2 4 3" xfId="13639"/>
    <cellStyle name="Обычный 17 2 4 3 2" xfId="13640"/>
    <cellStyle name="Обычный 17 2 4 3 2 2" xfId="13641"/>
    <cellStyle name="Обычный 17 2 4 3 2 2 2" xfId="13642"/>
    <cellStyle name="Обычный 17 2 4 3 2 2 2 2" xfId="13643"/>
    <cellStyle name="Обычный 17 2 4 3 2 2 2 3" xfId="13644"/>
    <cellStyle name="Обычный 17 2 4 3 2 2 3" xfId="13645"/>
    <cellStyle name="Обычный 17 2 4 3 2 2 3 2" xfId="13646"/>
    <cellStyle name="Обычный 17 2 4 3 2 2 3 3" xfId="13647"/>
    <cellStyle name="Обычный 17 2 4 3 2 2 4" xfId="13648"/>
    <cellStyle name="Обычный 17 2 4 3 2 2 4 2" xfId="13649"/>
    <cellStyle name="Обычный 17 2 4 3 2 2 5" xfId="13650"/>
    <cellStyle name="Обычный 17 2 4 3 2 2 6" xfId="13651"/>
    <cellStyle name="Обычный 17 2 4 3 2 3" xfId="13652"/>
    <cellStyle name="Обычный 17 2 4 3 2 3 2" xfId="13653"/>
    <cellStyle name="Обычный 17 2 4 3 2 3 3" xfId="13654"/>
    <cellStyle name="Обычный 17 2 4 3 2 4" xfId="13655"/>
    <cellStyle name="Обычный 17 2 4 3 2 4 2" xfId="13656"/>
    <cellStyle name="Обычный 17 2 4 3 2 4 3" xfId="13657"/>
    <cellStyle name="Обычный 17 2 4 3 2 5" xfId="13658"/>
    <cellStyle name="Обычный 17 2 4 3 2 5 2" xfId="13659"/>
    <cellStyle name="Обычный 17 2 4 3 2 6" xfId="13660"/>
    <cellStyle name="Обычный 17 2 4 3 2 7" xfId="13661"/>
    <cellStyle name="Обычный 17 2 4 3 3" xfId="13662"/>
    <cellStyle name="Обычный 17 2 4 3 3 2" xfId="13663"/>
    <cellStyle name="Обычный 17 2 4 3 3 2 2" xfId="13664"/>
    <cellStyle name="Обычный 17 2 4 3 3 2 3" xfId="13665"/>
    <cellStyle name="Обычный 17 2 4 3 3 3" xfId="13666"/>
    <cellStyle name="Обычный 17 2 4 3 3 3 2" xfId="13667"/>
    <cellStyle name="Обычный 17 2 4 3 3 3 3" xfId="13668"/>
    <cellStyle name="Обычный 17 2 4 3 3 4" xfId="13669"/>
    <cellStyle name="Обычный 17 2 4 3 3 4 2" xfId="13670"/>
    <cellStyle name="Обычный 17 2 4 3 3 5" xfId="13671"/>
    <cellStyle name="Обычный 17 2 4 3 3 6" xfId="13672"/>
    <cellStyle name="Обычный 17 2 4 3 4" xfId="13673"/>
    <cellStyle name="Обычный 17 2 4 3 4 2" xfId="13674"/>
    <cellStyle name="Обычный 17 2 4 3 4 3" xfId="13675"/>
    <cellStyle name="Обычный 17 2 4 3 5" xfId="13676"/>
    <cellStyle name="Обычный 17 2 4 3 5 2" xfId="13677"/>
    <cellStyle name="Обычный 17 2 4 3 5 3" xfId="13678"/>
    <cellStyle name="Обычный 17 2 4 3 6" xfId="13679"/>
    <cellStyle name="Обычный 17 2 4 3 6 2" xfId="13680"/>
    <cellStyle name="Обычный 17 2 4 3 7" xfId="13681"/>
    <cellStyle name="Обычный 17 2 4 3 8" xfId="13682"/>
    <cellStyle name="Обычный 17 2 4 4" xfId="13683"/>
    <cellStyle name="Обычный 17 2 4 4 2" xfId="13684"/>
    <cellStyle name="Обычный 17 2 4 4 2 2" xfId="13685"/>
    <cellStyle name="Обычный 17 2 4 4 2 2 2" xfId="13686"/>
    <cellStyle name="Обычный 17 2 4 4 2 2 3" xfId="13687"/>
    <cellStyle name="Обычный 17 2 4 4 2 3" xfId="13688"/>
    <cellStyle name="Обычный 17 2 4 4 2 3 2" xfId="13689"/>
    <cellStyle name="Обычный 17 2 4 4 2 3 3" xfId="13690"/>
    <cellStyle name="Обычный 17 2 4 4 2 4" xfId="13691"/>
    <cellStyle name="Обычный 17 2 4 4 2 4 2" xfId="13692"/>
    <cellStyle name="Обычный 17 2 4 4 2 5" xfId="13693"/>
    <cellStyle name="Обычный 17 2 4 4 2 6" xfId="13694"/>
    <cellStyle name="Обычный 17 2 4 4 3" xfId="13695"/>
    <cellStyle name="Обычный 17 2 4 4 3 2" xfId="13696"/>
    <cellStyle name="Обычный 17 2 4 4 3 3" xfId="13697"/>
    <cellStyle name="Обычный 17 2 4 4 4" xfId="13698"/>
    <cellStyle name="Обычный 17 2 4 4 4 2" xfId="13699"/>
    <cellStyle name="Обычный 17 2 4 4 4 3" xfId="13700"/>
    <cellStyle name="Обычный 17 2 4 4 5" xfId="13701"/>
    <cellStyle name="Обычный 17 2 4 4 5 2" xfId="13702"/>
    <cellStyle name="Обычный 17 2 4 4 6" xfId="13703"/>
    <cellStyle name="Обычный 17 2 4 4 7" xfId="13704"/>
    <cellStyle name="Обычный 17 2 4 5" xfId="13705"/>
    <cellStyle name="Обычный 17 2 4 5 2" xfId="13706"/>
    <cellStyle name="Обычный 17 2 4 5 2 2" xfId="13707"/>
    <cellStyle name="Обычный 17 2 4 5 2 3" xfId="13708"/>
    <cellStyle name="Обычный 17 2 4 5 3" xfId="13709"/>
    <cellStyle name="Обычный 17 2 4 5 3 2" xfId="13710"/>
    <cellStyle name="Обычный 17 2 4 5 3 3" xfId="13711"/>
    <cellStyle name="Обычный 17 2 4 5 4" xfId="13712"/>
    <cellStyle name="Обычный 17 2 4 5 4 2" xfId="13713"/>
    <cellStyle name="Обычный 17 2 4 5 5" xfId="13714"/>
    <cellStyle name="Обычный 17 2 4 5 6" xfId="13715"/>
    <cellStyle name="Обычный 17 2 4 6" xfId="13716"/>
    <cellStyle name="Обычный 17 2 4 6 2" xfId="13717"/>
    <cellStyle name="Обычный 17 2 4 6 3" xfId="13718"/>
    <cellStyle name="Обычный 17 2 4 7" xfId="13719"/>
    <cellStyle name="Обычный 17 2 4 7 2" xfId="13720"/>
    <cellStyle name="Обычный 17 2 4 7 3" xfId="13721"/>
    <cellStyle name="Обычный 17 2 4 8" xfId="13722"/>
    <cellStyle name="Обычный 17 2 4 8 2" xfId="13723"/>
    <cellStyle name="Обычный 17 2 4 9" xfId="13724"/>
    <cellStyle name="Обычный 17 2 5" xfId="13725"/>
    <cellStyle name="Обычный 17 2 5 2" xfId="13726"/>
    <cellStyle name="Обычный 17 2 5 2 2" xfId="13727"/>
    <cellStyle name="Обычный 17 2 5 2 2 2" xfId="13728"/>
    <cellStyle name="Обычный 17 2 5 2 2 2 2" xfId="13729"/>
    <cellStyle name="Обычный 17 2 5 2 2 2 2 2" xfId="13730"/>
    <cellStyle name="Обычный 17 2 5 2 2 2 2 3" xfId="13731"/>
    <cellStyle name="Обычный 17 2 5 2 2 2 3" xfId="13732"/>
    <cellStyle name="Обычный 17 2 5 2 2 2 3 2" xfId="13733"/>
    <cellStyle name="Обычный 17 2 5 2 2 2 3 3" xfId="13734"/>
    <cellStyle name="Обычный 17 2 5 2 2 2 4" xfId="13735"/>
    <cellStyle name="Обычный 17 2 5 2 2 2 4 2" xfId="13736"/>
    <cellStyle name="Обычный 17 2 5 2 2 2 5" xfId="13737"/>
    <cellStyle name="Обычный 17 2 5 2 2 2 6" xfId="13738"/>
    <cellStyle name="Обычный 17 2 5 2 2 3" xfId="13739"/>
    <cellStyle name="Обычный 17 2 5 2 2 3 2" xfId="13740"/>
    <cellStyle name="Обычный 17 2 5 2 2 3 3" xfId="13741"/>
    <cellStyle name="Обычный 17 2 5 2 2 4" xfId="13742"/>
    <cellStyle name="Обычный 17 2 5 2 2 4 2" xfId="13743"/>
    <cellStyle name="Обычный 17 2 5 2 2 4 3" xfId="13744"/>
    <cellStyle name="Обычный 17 2 5 2 2 5" xfId="13745"/>
    <cellStyle name="Обычный 17 2 5 2 2 5 2" xfId="13746"/>
    <cellStyle name="Обычный 17 2 5 2 2 6" xfId="13747"/>
    <cellStyle name="Обычный 17 2 5 2 2 7" xfId="13748"/>
    <cellStyle name="Обычный 17 2 5 2 3" xfId="13749"/>
    <cellStyle name="Обычный 17 2 5 2 3 2" xfId="13750"/>
    <cellStyle name="Обычный 17 2 5 2 3 2 2" xfId="13751"/>
    <cellStyle name="Обычный 17 2 5 2 3 2 3" xfId="13752"/>
    <cellStyle name="Обычный 17 2 5 2 3 3" xfId="13753"/>
    <cellStyle name="Обычный 17 2 5 2 3 3 2" xfId="13754"/>
    <cellStyle name="Обычный 17 2 5 2 3 3 3" xfId="13755"/>
    <cellStyle name="Обычный 17 2 5 2 3 4" xfId="13756"/>
    <cellStyle name="Обычный 17 2 5 2 3 4 2" xfId="13757"/>
    <cellStyle name="Обычный 17 2 5 2 3 5" xfId="13758"/>
    <cellStyle name="Обычный 17 2 5 2 3 6" xfId="13759"/>
    <cellStyle name="Обычный 17 2 5 2 4" xfId="13760"/>
    <cellStyle name="Обычный 17 2 5 2 4 2" xfId="13761"/>
    <cellStyle name="Обычный 17 2 5 2 4 3" xfId="13762"/>
    <cellStyle name="Обычный 17 2 5 2 5" xfId="13763"/>
    <cellStyle name="Обычный 17 2 5 2 5 2" xfId="13764"/>
    <cellStyle name="Обычный 17 2 5 2 5 3" xfId="13765"/>
    <cellStyle name="Обычный 17 2 5 2 6" xfId="13766"/>
    <cellStyle name="Обычный 17 2 5 2 6 2" xfId="13767"/>
    <cellStyle name="Обычный 17 2 5 2 7" xfId="13768"/>
    <cellStyle name="Обычный 17 2 5 2 8" xfId="13769"/>
    <cellStyle name="Обычный 17 2 5 3" xfId="13770"/>
    <cellStyle name="Обычный 17 2 5 3 2" xfId="13771"/>
    <cellStyle name="Обычный 17 2 5 3 2 2" xfId="13772"/>
    <cellStyle name="Обычный 17 2 5 3 2 2 2" xfId="13773"/>
    <cellStyle name="Обычный 17 2 5 3 2 2 3" xfId="13774"/>
    <cellStyle name="Обычный 17 2 5 3 2 3" xfId="13775"/>
    <cellStyle name="Обычный 17 2 5 3 2 3 2" xfId="13776"/>
    <cellStyle name="Обычный 17 2 5 3 2 3 3" xfId="13777"/>
    <cellStyle name="Обычный 17 2 5 3 2 4" xfId="13778"/>
    <cellStyle name="Обычный 17 2 5 3 2 4 2" xfId="13779"/>
    <cellStyle name="Обычный 17 2 5 3 2 5" xfId="13780"/>
    <cellStyle name="Обычный 17 2 5 3 2 6" xfId="13781"/>
    <cellStyle name="Обычный 17 2 5 3 3" xfId="13782"/>
    <cellStyle name="Обычный 17 2 5 3 3 2" xfId="13783"/>
    <cellStyle name="Обычный 17 2 5 3 3 3" xfId="13784"/>
    <cellStyle name="Обычный 17 2 5 3 4" xfId="13785"/>
    <cellStyle name="Обычный 17 2 5 3 4 2" xfId="13786"/>
    <cellStyle name="Обычный 17 2 5 3 4 3" xfId="13787"/>
    <cellStyle name="Обычный 17 2 5 3 5" xfId="13788"/>
    <cellStyle name="Обычный 17 2 5 3 5 2" xfId="13789"/>
    <cellStyle name="Обычный 17 2 5 3 6" xfId="13790"/>
    <cellStyle name="Обычный 17 2 5 3 7" xfId="13791"/>
    <cellStyle name="Обычный 17 2 5 4" xfId="13792"/>
    <cellStyle name="Обычный 17 2 5 4 2" xfId="13793"/>
    <cellStyle name="Обычный 17 2 5 4 2 2" xfId="13794"/>
    <cellStyle name="Обычный 17 2 5 4 2 3" xfId="13795"/>
    <cellStyle name="Обычный 17 2 5 4 3" xfId="13796"/>
    <cellStyle name="Обычный 17 2 5 4 3 2" xfId="13797"/>
    <cellStyle name="Обычный 17 2 5 4 3 3" xfId="13798"/>
    <cellStyle name="Обычный 17 2 5 4 4" xfId="13799"/>
    <cellStyle name="Обычный 17 2 5 4 4 2" xfId="13800"/>
    <cellStyle name="Обычный 17 2 5 4 5" xfId="13801"/>
    <cellStyle name="Обычный 17 2 5 4 6" xfId="13802"/>
    <cellStyle name="Обычный 17 2 5 5" xfId="13803"/>
    <cellStyle name="Обычный 17 2 5 5 2" xfId="13804"/>
    <cellStyle name="Обычный 17 2 5 5 3" xfId="13805"/>
    <cellStyle name="Обычный 17 2 5 6" xfId="13806"/>
    <cellStyle name="Обычный 17 2 5 6 2" xfId="13807"/>
    <cellStyle name="Обычный 17 2 5 6 3" xfId="13808"/>
    <cellStyle name="Обычный 17 2 5 7" xfId="13809"/>
    <cellStyle name="Обычный 17 2 5 7 2" xfId="13810"/>
    <cellStyle name="Обычный 17 2 5 8" xfId="13811"/>
    <cellStyle name="Обычный 17 2 5 9" xfId="13812"/>
    <cellStyle name="Обычный 17 2 6" xfId="13813"/>
    <cellStyle name="Обычный 17 2 6 2" xfId="13814"/>
    <cellStyle name="Обычный 17 2 6 2 2" xfId="13815"/>
    <cellStyle name="Обычный 17 2 6 2 2 2" xfId="13816"/>
    <cellStyle name="Обычный 17 2 6 2 2 2 2" xfId="13817"/>
    <cellStyle name="Обычный 17 2 6 2 2 2 3" xfId="13818"/>
    <cellStyle name="Обычный 17 2 6 2 2 3" xfId="13819"/>
    <cellStyle name="Обычный 17 2 6 2 2 3 2" xfId="13820"/>
    <cellStyle name="Обычный 17 2 6 2 2 3 3" xfId="13821"/>
    <cellStyle name="Обычный 17 2 6 2 2 4" xfId="13822"/>
    <cellStyle name="Обычный 17 2 6 2 2 4 2" xfId="13823"/>
    <cellStyle name="Обычный 17 2 6 2 2 5" xfId="13824"/>
    <cellStyle name="Обычный 17 2 6 2 2 6" xfId="13825"/>
    <cellStyle name="Обычный 17 2 6 2 3" xfId="13826"/>
    <cellStyle name="Обычный 17 2 6 2 3 2" xfId="13827"/>
    <cellStyle name="Обычный 17 2 6 2 3 3" xfId="13828"/>
    <cellStyle name="Обычный 17 2 6 2 4" xfId="13829"/>
    <cellStyle name="Обычный 17 2 6 2 4 2" xfId="13830"/>
    <cellStyle name="Обычный 17 2 6 2 4 3" xfId="13831"/>
    <cellStyle name="Обычный 17 2 6 2 5" xfId="13832"/>
    <cellStyle name="Обычный 17 2 6 2 5 2" xfId="13833"/>
    <cellStyle name="Обычный 17 2 6 2 6" xfId="13834"/>
    <cellStyle name="Обычный 17 2 6 2 7" xfId="13835"/>
    <cellStyle name="Обычный 17 2 6 3" xfId="13836"/>
    <cellStyle name="Обычный 17 2 6 3 2" xfId="13837"/>
    <cellStyle name="Обычный 17 2 6 3 2 2" xfId="13838"/>
    <cellStyle name="Обычный 17 2 6 3 2 3" xfId="13839"/>
    <cellStyle name="Обычный 17 2 6 3 3" xfId="13840"/>
    <cellStyle name="Обычный 17 2 6 3 3 2" xfId="13841"/>
    <cellStyle name="Обычный 17 2 6 3 3 3" xfId="13842"/>
    <cellStyle name="Обычный 17 2 6 3 4" xfId="13843"/>
    <cellStyle name="Обычный 17 2 6 3 4 2" xfId="13844"/>
    <cellStyle name="Обычный 17 2 6 3 5" xfId="13845"/>
    <cellStyle name="Обычный 17 2 6 3 6" xfId="13846"/>
    <cellStyle name="Обычный 17 2 6 4" xfId="13847"/>
    <cellStyle name="Обычный 17 2 6 4 2" xfId="13848"/>
    <cellStyle name="Обычный 17 2 6 4 3" xfId="13849"/>
    <cellStyle name="Обычный 17 2 6 5" xfId="13850"/>
    <cellStyle name="Обычный 17 2 6 5 2" xfId="13851"/>
    <cellStyle name="Обычный 17 2 6 5 3" xfId="13852"/>
    <cellStyle name="Обычный 17 2 6 6" xfId="13853"/>
    <cellStyle name="Обычный 17 2 6 6 2" xfId="13854"/>
    <cellStyle name="Обычный 17 2 6 7" xfId="13855"/>
    <cellStyle name="Обычный 17 2 6 8" xfId="13856"/>
    <cellStyle name="Обычный 17 2 7" xfId="13857"/>
    <cellStyle name="Обычный 17 2 7 2" xfId="13858"/>
    <cellStyle name="Обычный 17 2 7 2 2" xfId="13859"/>
    <cellStyle name="Обычный 17 2 7 2 2 2" xfId="13860"/>
    <cellStyle name="Обычный 17 2 7 2 2 3" xfId="13861"/>
    <cellStyle name="Обычный 17 2 7 2 3" xfId="13862"/>
    <cellStyle name="Обычный 17 2 7 2 3 2" xfId="13863"/>
    <cellStyle name="Обычный 17 2 7 2 3 3" xfId="13864"/>
    <cellStyle name="Обычный 17 2 7 2 4" xfId="13865"/>
    <cellStyle name="Обычный 17 2 7 2 4 2" xfId="13866"/>
    <cellStyle name="Обычный 17 2 7 2 5" xfId="13867"/>
    <cellStyle name="Обычный 17 2 7 2 6" xfId="13868"/>
    <cellStyle name="Обычный 17 2 7 3" xfId="13869"/>
    <cellStyle name="Обычный 17 2 7 3 2" xfId="13870"/>
    <cellStyle name="Обычный 17 2 7 3 3" xfId="13871"/>
    <cellStyle name="Обычный 17 2 7 4" xfId="13872"/>
    <cellStyle name="Обычный 17 2 7 4 2" xfId="13873"/>
    <cellStyle name="Обычный 17 2 7 4 3" xfId="13874"/>
    <cellStyle name="Обычный 17 2 7 5" xfId="13875"/>
    <cellStyle name="Обычный 17 2 7 5 2" xfId="13876"/>
    <cellStyle name="Обычный 17 2 7 6" xfId="13877"/>
    <cellStyle name="Обычный 17 2 7 7" xfId="13878"/>
    <cellStyle name="Обычный 17 2 8" xfId="13879"/>
    <cellStyle name="Обычный 17 2 8 2" xfId="13880"/>
    <cellStyle name="Обычный 17 2 8 2 2" xfId="13881"/>
    <cellStyle name="Обычный 17 2 8 2 3" xfId="13882"/>
    <cellStyle name="Обычный 17 2 8 3" xfId="13883"/>
    <cellStyle name="Обычный 17 2 8 3 2" xfId="13884"/>
    <cellStyle name="Обычный 17 2 8 3 3" xfId="13885"/>
    <cellStyle name="Обычный 17 2 8 4" xfId="13886"/>
    <cellStyle name="Обычный 17 2 8 4 2" xfId="13887"/>
    <cellStyle name="Обычный 17 2 8 5" xfId="13888"/>
    <cellStyle name="Обычный 17 2 8 6" xfId="13889"/>
    <cellStyle name="Обычный 17 2 9" xfId="13890"/>
    <cellStyle name="Обычный 17 2 9 2" xfId="13891"/>
    <cellStyle name="Обычный 17 2 9 3" xfId="13892"/>
    <cellStyle name="Обычный 17 3" xfId="13893"/>
    <cellStyle name="Обычный 17 3 10" xfId="13894"/>
    <cellStyle name="Обычный 17 3 2" xfId="13895"/>
    <cellStyle name="Обычный 17 3 2 2" xfId="13896"/>
    <cellStyle name="Обычный 17 3 2 2 2" xfId="13897"/>
    <cellStyle name="Обычный 17 3 2 2 2 2" xfId="13898"/>
    <cellStyle name="Обычный 17 3 2 2 2 2 2" xfId="13899"/>
    <cellStyle name="Обычный 17 3 2 2 2 2 2 2" xfId="13900"/>
    <cellStyle name="Обычный 17 3 2 2 2 2 2 3" xfId="13901"/>
    <cellStyle name="Обычный 17 3 2 2 2 2 3" xfId="13902"/>
    <cellStyle name="Обычный 17 3 2 2 2 2 3 2" xfId="13903"/>
    <cellStyle name="Обычный 17 3 2 2 2 2 3 3" xfId="13904"/>
    <cellStyle name="Обычный 17 3 2 2 2 2 4" xfId="13905"/>
    <cellStyle name="Обычный 17 3 2 2 2 2 4 2" xfId="13906"/>
    <cellStyle name="Обычный 17 3 2 2 2 2 5" xfId="13907"/>
    <cellStyle name="Обычный 17 3 2 2 2 2 6" xfId="13908"/>
    <cellStyle name="Обычный 17 3 2 2 2 3" xfId="13909"/>
    <cellStyle name="Обычный 17 3 2 2 2 3 2" xfId="13910"/>
    <cellStyle name="Обычный 17 3 2 2 2 3 3" xfId="13911"/>
    <cellStyle name="Обычный 17 3 2 2 2 4" xfId="13912"/>
    <cellStyle name="Обычный 17 3 2 2 2 4 2" xfId="13913"/>
    <cellStyle name="Обычный 17 3 2 2 2 4 3" xfId="13914"/>
    <cellStyle name="Обычный 17 3 2 2 2 5" xfId="13915"/>
    <cellStyle name="Обычный 17 3 2 2 2 5 2" xfId="13916"/>
    <cellStyle name="Обычный 17 3 2 2 2 6" xfId="13917"/>
    <cellStyle name="Обычный 17 3 2 2 2 7" xfId="13918"/>
    <cellStyle name="Обычный 17 3 2 2 3" xfId="13919"/>
    <cellStyle name="Обычный 17 3 2 2 3 2" xfId="13920"/>
    <cellStyle name="Обычный 17 3 2 2 3 2 2" xfId="13921"/>
    <cellStyle name="Обычный 17 3 2 2 3 2 3" xfId="13922"/>
    <cellStyle name="Обычный 17 3 2 2 3 3" xfId="13923"/>
    <cellStyle name="Обычный 17 3 2 2 3 3 2" xfId="13924"/>
    <cellStyle name="Обычный 17 3 2 2 3 3 3" xfId="13925"/>
    <cellStyle name="Обычный 17 3 2 2 3 4" xfId="13926"/>
    <cellStyle name="Обычный 17 3 2 2 3 4 2" xfId="13927"/>
    <cellStyle name="Обычный 17 3 2 2 3 5" xfId="13928"/>
    <cellStyle name="Обычный 17 3 2 2 3 6" xfId="13929"/>
    <cellStyle name="Обычный 17 3 2 2 4" xfId="13930"/>
    <cellStyle name="Обычный 17 3 2 2 4 2" xfId="13931"/>
    <cellStyle name="Обычный 17 3 2 2 4 3" xfId="13932"/>
    <cellStyle name="Обычный 17 3 2 2 5" xfId="13933"/>
    <cellStyle name="Обычный 17 3 2 2 5 2" xfId="13934"/>
    <cellStyle name="Обычный 17 3 2 2 5 3" xfId="13935"/>
    <cellStyle name="Обычный 17 3 2 2 6" xfId="13936"/>
    <cellStyle name="Обычный 17 3 2 2 6 2" xfId="13937"/>
    <cellStyle name="Обычный 17 3 2 2 7" xfId="13938"/>
    <cellStyle name="Обычный 17 3 2 2 8" xfId="13939"/>
    <cellStyle name="Обычный 17 3 2 3" xfId="13940"/>
    <cellStyle name="Обычный 17 3 2 3 2" xfId="13941"/>
    <cellStyle name="Обычный 17 3 2 3 2 2" xfId="13942"/>
    <cellStyle name="Обычный 17 3 2 3 2 2 2" xfId="13943"/>
    <cellStyle name="Обычный 17 3 2 3 2 2 3" xfId="13944"/>
    <cellStyle name="Обычный 17 3 2 3 2 3" xfId="13945"/>
    <cellStyle name="Обычный 17 3 2 3 2 3 2" xfId="13946"/>
    <cellStyle name="Обычный 17 3 2 3 2 3 3" xfId="13947"/>
    <cellStyle name="Обычный 17 3 2 3 2 4" xfId="13948"/>
    <cellStyle name="Обычный 17 3 2 3 2 4 2" xfId="13949"/>
    <cellStyle name="Обычный 17 3 2 3 2 5" xfId="13950"/>
    <cellStyle name="Обычный 17 3 2 3 2 6" xfId="13951"/>
    <cellStyle name="Обычный 17 3 2 3 3" xfId="13952"/>
    <cellStyle name="Обычный 17 3 2 3 3 2" xfId="13953"/>
    <cellStyle name="Обычный 17 3 2 3 3 3" xfId="13954"/>
    <cellStyle name="Обычный 17 3 2 3 4" xfId="13955"/>
    <cellStyle name="Обычный 17 3 2 3 4 2" xfId="13956"/>
    <cellStyle name="Обычный 17 3 2 3 4 3" xfId="13957"/>
    <cellStyle name="Обычный 17 3 2 3 5" xfId="13958"/>
    <cellStyle name="Обычный 17 3 2 3 5 2" xfId="13959"/>
    <cellStyle name="Обычный 17 3 2 3 6" xfId="13960"/>
    <cellStyle name="Обычный 17 3 2 3 7" xfId="13961"/>
    <cellStyle name="Обычный 17 3 2 4" xfId="13962"/>
    <cellStyle name="Обычный 17 3 2 4 2" xfId="13963"/>
    <cellStyle name="Обычный 17 3 2 4 2 2" xfId="13964"/>
    <cellStyle name="Обычный 17 3 2 4 2 3" xfId="13965"/>
    <cellStyle name="Обычный 17 3 2 4 3" xfId="13966"/>
    <cellStyle name="Обычный 17 3 2 4 3 2" xfId="13967"/>
    <cellStyle name="Обычный 17 3 2 4 3 3" xfId="13968"/>
    <cellStyle name="Обычный 17 3 2 4 4" xfId="13969"/>
    <cellStyle name="Обычный 17 3 2 4 4 2" xfId="13970"/>
    <cellStyle name="Обычный 17 3 2 4 5" xfId="13971"/>
    <cellStyle name="Обычный 17 3 2 4 6" xfId="13972"/>
    <cellStyle name="Обычный 17 3 2 5" xfId="13973"/>
    <cellStyle name="Обычный 17 3 2 5 2" xfId="13974"/>
    <cellStyle name="Обычный 17 3 2 5 3" xfId="13975"/>
    <cellStyle name="Обычный 17 3 2 6" xfId="13976"/>
    <cellStyle name="Обычный 17 3 2 6 2" xfId="13977"/>
    <cellStyle name="Обычный 17 3 2 6 3" xfId="13978"/>
    <cellStyle name="Обычный 17 3 2 7" xfId="13979"/>
    <cellStyle name="Обычный 17 3 2 7 2" xfId="13980"/>
    <cellStyle name="Обычный 17 3 2 8" xfId="13981"/>
    <cellStyle name="Обычный 17 3 2 9" xfId="13982"/>
    <cellStyle name="Обычный 17 3 3" xfId="13983"/>
    <cellStyle name="Обычный 17 3 3 2" xfId="13984"/>
    <cellStyle name="Обычный 17 3 3 2 2" xfId="13985"/>
    <cellStyle name="Обычный 17 3 3 2 2 2" xfId="13986"/>
    <cellStyle name="Обычный 17 3 3 2 2 2 2" xfId="13987"/>
    <cellStyle name="Обычный 17 3 3 2 2 2 3" xfId="13988"/>
    <cellStyle name="Обычный 17 3 3 2 2 3" xfId="13989"/>
    <cellStyle name="Обычный 17 3 3 2 2 3 2" xfId="13990"/>
    <cellStyle name="Обычный 17 3 3 2 2 3 3" xfId="13991"/>
    <cellStyle name="Обычный 17 3 3 2 2 4" xfId="13992"/>
    <cellStyle name="Обычный 17 3 3 2 2 4 2" xfId="13993"/>
    <cellStyle name="Обычный 17 3 3 2 2 5" xfId="13994"/>
    <cellStyle name="Обычный 17 3 3 2 2 6" xfId="13995"/>
    <cellStyle name="Обычный 17 3 3 2 3" xfId="13996"/>
    <cellStyle name="Обычный 17 3 3 2 3 2" xfId="13997"/>
    <cellStyle name="Обычный 17 3 3 2 3 3" xfId="13998"/>
    <cellStyle name="Обычный 17 3 3 2 4" xfId="13999"/>
    <cellStyle name="Обычный 17 3 3 2 4 2" xfId="14000"/>
    <cellStyle name="Обычный 17 3 3 2 4 3" xfId="14001"/>
    <cellStyle name="Обычный 17 3 3 2 5" xfId="14002"/>
    <cellStyle name="Обычный 17 3 3 2 5 2" xfId="14003"/>
    <cellStyle name="Обычный 17 3 3 2 6" xfId="14004"/>
    <cellStyle name="Обычный 17 3 3 2 7" xfId="14005"/>
    <cellStyle name="Обычный 17 3 3 3" xfId="14006"/>
    <cellStyle name="Обычный 17 3 3 3 2" xfId="14007"/>
    <cellStyle name="Обычный 17 3 3 3 2 2" xfId="14008"/>
    <cellStyle name="Обычный 17 3 3 3 2 3" xfId="14009"/>
    <cellStyle name="Обычный 17 3 3 3 3" xfId="14010"/>
    <cellStyle name="Обычный 17 3 3 3 3 2" xfId="14011"/>
    <cellStyle name="Обычный 17 3 3 3 3 3" xfId="14012"/>
    <cellStyle name="Обычный 17 3 3 3 4" xfId="14013"/>
    <cellStyle name="Обычный 17 3 3 3 4 2" xfId="14014"/>
    <cellStyle name="Обычный 17 3 3 3 5" xfId="14015"/>
    <cellStyle name="Обычный 17 3 3 3 6" xfId="14016"/>
    <cellStyle name="Обычный 17 3 3 4" xfId="14017"/>
    <cellStyle name="Обычный 17 3 3 4 2" xfId="14018"/>
    <cellStyle name="Обычный 17 3 3 4 3" xfId="14019"/>
    <cellStyle name="Обычный 17 3 3 5" xfId="14020"/>
    <cellStyle name="Обычный 17 3 3 5 2" xfId="14021"/>
    <cellStyle name="Обычный 17 3 3 5 3" xfId="14022"/>
    <cellStyle name="Обычный 17 3 3 6" xfId="14023"/>
    <cellStyle name="Обычный 17 3 3 6 2" xfId="14024"/>
    <cellStyle name="Обычный 17 3 3 7" xfId="14025"/>
    <cellStyle name="Обычный 17 3 3 8" xfId="14026"/>
    <cellStyle name="Обычный 17 3 4" xfId="14027"/>
    <cellStyle name="Обычный 17 3 4 2" xfId="14028"/>
    <cellStyle name="Обычный 17 3 4 2 2" xfId="14029"/>
    <cellStyle name="Обычный 17 3 4 2 2 2" xfId="14030"/>
    <cellStyle name="Обычный 17 3 4 2 2 3" xfId="14031"/>
    <cellStyle name="Обычный 17 3 4 2 3" xfId="14032"/>
    <cellStyle name="Обычный 17 3 4 2 3 2" xfId="14033"/>
    <cellStyle name="Обычный 17 3 4 2 3 3" xfId="14034"/>
    <cellStyle name="Обычный 17 3 4 2 4" xfId="14035"/>
    <cellStyle name="Обычный 17 3 4 2 4 2" xfId="14036"/>
    <cellStyle name="Обычный 17 3 4 2 5" xfId="14037"/>
    <cellStyle name="Обычный 17 3 4 2 6" xfId="14038"/>
    <cellStyle name="Обычный 17 3 4 3" xfId="14039"/>
    <cellStyle name="Обычный 17 3 4 3 2" xfId="14040"/>
    <cellStyle name="Обычный 17 3 4 3 3" xfId="14041"/>
    <cellStyle name="Обычный 17 3 4 4" xfId="14042"/>
    <cellStyle name="Обычный 17 3 4 4 2" xfId="14043"/>
    <cellStyle name="Обычный 17 3 4 4 3" xfId="14044"/>
    <cellStyle name="Обычный 17 3 4 5" xfId="14045"/>
    <cellStyle name="Обычный 17 3 4 5 2" xfId="14046"/>
    <cellStyle name="Обычный 17 3 4 6" xfId="14047"/>
    <cellStyle name="Обычный 17 3 4 7" xfId="14048"/>
    <cellStyle name="Обычный 17 3 5" xfId="14049"/>
    <cellStyle name="Обычный 17 3 5 2" xfId="14050"/>
    <cellStyle name="Обычный 17 3 5 2 2" xfId="14051"/>
    <cellStyle name="Обычный 17 3 5 2 3" xfId="14052"/>
    <cellStyle name="Обычный 17 3 5 3" xfId="14053"/>
    <cellStyle name="Обычный 17 3 5 3 2" xfId="14054"/>
    <cellStyle name="Обычный 17 3 5 3 3" xfId="14055"/>
    <cellStyle name="Обычный 17 3 5 4" xfId="14056"/>
    <cellStyle name="Обычный 17 3 5 4 2" xfId="14057"/>
    <cellStyle name="Обычный 17 3 5 5" xfId="14058"/>
    <cellStyle name="Обычный 17 3 5 6" xfId="14059"/>
    <cellStyle name="Обычный 17 3 6" xfId="14060"/>
    <cellStyle name="Обычный 17 3 6 2" xfId="14061"/>
    <cellStyle name="Обычный 17 3 6 3" xfId="14062"/>
    <cellStyle name="Обычный 17 3 7" xfId="14063"/>
    <cellStyle name="Обычный 17 3 7 2" xfId="14064"/>
    <cellStyle name="Обычный 17 3 7 3" xfId="14065"/>
    <cellStyle name="Обычный 17 3 8" xfId="14066"/>
    <cellStyle name="Обычный 17 3 8 2" xfId="14067"/>
    <cellStyle name="Обычный 17 3 9" xfId="14068"/>
    <cellStyle name="Обычный 17 4" xfId="14069"/>
    <cellStyle name="Обычный 17 4 10" xfId="14070"/>
    <cellStyle name="Обычный 17 4 2" xfId="14071"/>
    <cellStyle name="Обычный 17 4 2 2" xfId="14072"/>
    <cellStyle name="Обычный 17 4 2 2 2" xfId="14073"/>
    <cellStyle name="Обычный 17 4 2 2 2 2" xfId="14074"/>
    <cellStyle name="Обычный 17 4 2 2 2 2 2" xfId="14075"/>
    <cellStyle name="Обычный 17 4 2 2 2 2 2 2" xfId="14076"/>
    <cellStyle name="Обычный 17 4 2 2 2 2 2 3" xfId="14077"/>
    <cellStyle name="Обычный 17 4 2 2 2 2 3" xfId="14078"/>
    <cellStyle name="Обычный 17 4 2 2 2 2 3 2" xfId="14079"/>
    <cellStyle name="Обычный 17 4 2 2 2 2 3 3" xfId="14080"/>
    <cellStyle name="Обычный 17 4 2 2 2 2 4" xfId="14081"/>
    <cellStyle name="Обычный 17 4 2 2 2 2 4 2" xfId="14082"/>
    <cellStyle name="Обычный 17 4 2 2 2 2 5" xfId="14083"/>
    <cellStyle name="Обычный 17 4 2 2 2 2 6" xfId="14084"/>
    <cellStyle name="Обычный 17 4 2 2 2 3" xfId="14085"/>
    <cellStyle name="Обычный 17 4 2 2 2 3 2" xfId="14086"/>
    <cellStyle name="Обычный 17 4 2 2 2 3 3" xfId="14087"/>
    <cellStyle name="Обычный 17 4 2 2 2 4" xfId="14088"/>
    <cellStyle name="Обычный 17 4 2 2 2 4 2" xfId="14089"/>
    <cellStyle name="Обычный 17 4 2 2 2 4 3" xfId="14090"/>
    <cellStyle name="Обычный 17 4 2 2 2 5" xfId="14091"/>
    <cellStyle name="Обычный 17 4 2 2 2 5 2" xfId="14092"/>
    <cellStyle name="Обычный 17 4 2 2 2 6" xfId="14093"/>
    <cellStyle name="Обычный 17 4 2 2 2 7" xfId="14094"/>
    <cellStyle name="Обычный 17 4 2 2 3" xfId="14095"/>
    <cellStyle name="Обычный 17 4 2 2 3 2" xfId="14096"/>
    <cellStyle name="Обычный 17 4 2 2 3 2 2" xfId="14097"/>
    <cellStyle name="Обычный 17 4 2 2 3 2 3" xfId="14098"/>
    <cellStyle name="Обычный 17 4 2 2 3 3" xfId="14099"/>
    <cellStyle name="Обычный 17 4 2 2 3 3 2" xfId="14100"/>
    <cellStyle name="Обычный 17 4 2 2 3 3 3" xfId="14101"/>
    <cellStyle name="Обычный 17 4 2 2 3 4" xfId="14102"/>
    <cellStyle name="Обычный 17 4 2 2 3 4 2" xfId="14103"/>
    <cellStyle name="Обычный 17 4 2 2 3 5" xfId="14104"/>
    <cellStyle name="Обычный 17 4 2 2 3 6" xfId="14105"/>
    <cellStyle name="Обычный 17 4 2 2 4" xfId="14106"/>
    <cellStyle name="Обычный 17 4 2 2 4 2" xfId="14107"/>
    <cellStyle name="Обычный 17 4 2 2 4 3" xfId="14108"/>
    <cellStyle name="Обычный 17 4 2 2 5" xfId="14109"/>
    <cellStyle name="Обычный 17 4 2 2 5 2" xfId="14110"/>
    <cellStyle name="Обычный 17 4 2 2 5 3" xfId="14111"/>
    <cellStyle name="Обычный 17 4 2 2 6" xfId="14112"/>
    <cellStyle name="Обычный 17 4 2 2 6 2" xfId="14113"/>
    <cellStyle name="Обычный 17 4 2 2 7" xfId="14114"/>
    <cellStyle name="Обычный 17 4 2 2 8" xfId="14115"/>
    <cellStyle name="Обычный 17 4 2 3" xfId="14116"/>
    <cellStyle name="Обычный 17 4 2 3 2" xfId="14117"/>
    <cellStyle name="Обычный 17 4 2 3 2 2" xfId="14118"/>
    <cellStyle name="Обычный 17 4 2 3 2 2 2" xfId="14119"/>
    <cellStyle name="Обычный 17 4 2 3 2 2 3" xfId="14120"/>
    <cellStyle name="Обычный 17 4 2 3 2 3" xfId="14121"/>
    <cellStyle name="Обычный 17 4 2 3 2 3 2" xfId="14122"/>
    <cellStyle name="Обычный 17 4 2 3 2 3 3" xfId="14123"/>
    <cellStyle name="Обычный 17 4 2 3 2 4" xfId="14124"/>
    <cellStyle name="Обычный 17 4 2 3 2 4 2" xfId="14125"/>
    <cellStyle name="Обычный 17 4 2 3 2 5" xfId="14126"/>
    <cellStyle name="Обычный 17 4 2 3 2 6" xfId="14127"/>
    <cellStyle name="Обычный 17 4 2 3 3" xfId="14128"/>
    <cellStyle name="Обычный 17 4 2 3 3 2" xfId="14129"/>
    <cellStyle name="Обычный 17 4 2 3 3 3" xfId="14130"/>
    <cellStyle name="Обычный 17 4 2 3 4" xfId="14131"/>
    <cellStyle name="Обычный 17 4 2 3 4 2" xfId="14132"/>
    <cellStyle name="Обычный 17 4 2 3 4 3" xfId="14133"/>
    <cellStyle name="Обычный 17 4 2 3 5" xfId="14134"/>
    <cellStyle name="Обычный 17 4 2 3 5 2" xfId="14135"/>
    <cellStyle name="Обычный 17 4 2 3 6" xfId="14136"/>
    <cellStyle name="Обычный 17 4 2 3 7" xfId="14137"/>
    <cellStyle name="Обычный 17 4 2 4" xfId="14138"/>
    <cellStyle name="Обычный 17 4 2 4 2" xfId="14139"/>
    <cellStyle name="Обычный 17 4 2 4 2 2" xfId="14140"/>
    <cellStyle name="Обычный 17 4 2 4 2 3" xfId="14141"/>
    <cellStyle name="Обычный 17 4 2 4 3" xfId="14142"/>
    <cellStyle name="Обычный 17 4 2 4 3 2" xfId="14143"/>
    <cellStyle name="Обычный 17 4 2 4 3 3" xfId="14144"/>
    <cellStyle name="Обычный 17 4 2 4 4" xfId="14145"/>
    <cellStyle name="Обычный 17 4 2 4 4 2" xfId="14146"/>
    <cellStyle name="Обычный 17 4 2 4 5" xfId="14147"/>
    <cellStyle name="Обычный 17 4 2 4 6" xfId="14148"/>
    <cellStyle name="Обычный 17 4 2 5" xfId="14149"/>
    <cellStyle name="Обычный 17 4 2 5 2" xfId="14150"/>
    <cellStyle name="Обычный 17 4 2 5 3" xfId="14151"/>
    <cellStyle name="Обычный 17 4 2 6" xfId="14152"/>
    <cellStyle name="Обычный 17 4 2 6 2" xfId="14153"/>
    <cellStyle name="Обычный 17 4 2 6 3" xfId="14154"/>
    <cellStyle name="Обычный 17 4 2 7" xfId="14155"/>
    <cellStyle name="Обычный 17 4 2 7 2" xfId="14156"/>
    <cellStyle name="Обычный 17 4 2 8" xfId="14157"/>
    <cellStyle name="Обычный 17 4 2 9" xfId="14158"/>
    <cellStyle name="Обычный 17 4 3" xfId="14159"/>
    <cellStyle name="Обычный 17 4 3 2" xfId="14160"/>
    <cellStyle name="Обычный 17 4 3 2 2" xfId="14161"/>
    <cellStyle name="Обычный 17 4 3 2 2 2" xfId="14162"/>
    <cellStyle name="Обычный 17 4 3 2 2 2 2" xfId="14163"/>
    <cellStyle name="Обычный 17 4 3 2 2 2 3" xfId="14164"/>
    <cellStyle name="Обычный 17 4 3 2 2 3" xfId="14165"/>
    <cellStyle name="Обычный 17 4 3 2 2 3 2" xfId="14166"/>
    <cellStyle name="Обычный 17 4 3 2 2 3 3" xfId="14167"/>
    <cellStyle name="Обычный 17 4 3 2 2 4" xfId="14168"/>
    <cellStyle name="Обычный 17 4 3 2 2 4 2" xfId="14169"/>
    <cellStyle name="Обычный 17 4 3 2 2 5" xfId="14170"/>
    <cellStyle name="Обычный 17 4 3 2 2 6" xfId="14171"/>
    <cellStyle name="Обычный 17 4 3 2 3" xfId="14172"/>
    <cellStyle name="Обычный 17 4 3 2 3 2" xfId="14173"/>
    <cellStyle name="Обычный 17 4 3 2 3 3" xfId="14174"/>
    <cellStyle name="Обычный 17 4 3 2 4" xfId="14175"/>
    <cellStyle name="Обычный 17 4 3 2 4 2" xfId="14176"/>
    <cellStyle name="Обычный 17 4 3 2 4 3" xfId="14177"/>
    <cellStyle name="Обычный 17 4 3 2 5" xfId="14178"/>
    <cellStyle name="Обычный 17 4 3 2 5 2" xfId="14179"/>
    <cellStyle name="Обычный 17 4 3 2 6" xfId="14180"/>
    <cellStyle name="Обычный 17 4 3 2 7" xfId="14181"/>
    <cellStyle name="Обычный 17 4 3 3" xfId="14182"/>
    <cellStyle name="Обычный 17 4 3 3 2" xfId="14183"/>
    <cellStyle name="Обычный 17 4 3 3 2 2" xfId="14184"/>
    <cellStyle name="Обычный 17 4 3 3 2 3" xfId="14185"/>
    <cellStyle name="Обычный 17 4 3 3 3" xfId="14186"/>
    <cellStyle name="Обычный 17 4 3 3 3 2" xfId="14187"/>
    <cellStyle name="Обычный 17 4 3 3 3 3" xfId="14188"/>
    <cellStyle name="Обычный 17 4 3 3 4" xfId="14189"/>
    <cellStyle name="Обычный 17 4 3 3 4 2" xfId="14190"/>
    <cellStyle name="Обычный 17 4 3 3 5" xfId="14191"/>
    <cellStyle name="Обычный 17 4 3 3 6" xfId="14192"/>
    <cellStyle name="Обычный 17 4 3 4" xfId="14193"/>
    <cellStyle name="Обычный 17 4 3 4 2" xfId="14194"/>
    <cellStyle name="Обычный 17 4 3 4 3" xfId="14195"/>
    <cellStyle name="Обычный 17 4 3 5" xfId="14196"/>
    <cellStyle name="Обычный 17 4 3 5 2" xfId="14197"/>
    <cellStyle name="Обычный 17 4 3 5 3" xfId="14198"/>
    <cellStyle name="Обычный 17 4 3 6" xfId="14199"/>
    <cellStyle name="Обычный 17 4 3 6 2" xfId="14200"/>
    <cellStyle name="Обычный 17 4 3 7" xfId="14201"/>
    <cellStyle name="Обычный 17 4 3 8" xfId="14202"/>
    <cellStyle name="Обычный 17 4 4" xfId="14203"/>
    <cellStyle name="Обычный 17 4 4 2" xfId="14204"/>
    <cellStyle name="Обычный 17 4 4 2 2" xfId="14205"/>
    <cellStyle name="Обычный 17 4 4 2 2 2" xfId="14206"/>
    <cellStyle name="Обычный 17 4 4 2 2 3" xfId="14207"/>
    <cellStyle name="Обычный 17 4 4 2 3" xfId="14208"/>
    <cellStyle name="Обычный 17 4 4 2 3 2" xfId="14209"/>
    <cellStyle name="Обычный 17 4 4 2 3 3" xfId="14210"/>
    <cellStyle name="Обычный 17 4 4 2 4" xfId="14211"/>
    <cellStyle name="Обычный 17 4 4 2 4 2" xfId="14212"/>
    <cellStyle name="Обычный 17 4 4 2 5" xfId="14213"/>
    <cellStyle name="Обычный 17 4 4 2 6" xfId="14214"/>
    <cellStyle name="Обычный 17 4 4 3" xfId="14215"/>
    <cellStyle name="Обычный 17 4 4 3 2" xfId="14216"/>
    <cellStyle name="Обычный 17 4 4 3 3" xfId="14217"/>
    <cellStyle name="Обычный 17 4 4 4" xfId="14218"/>
    <cellStyle name="Обычный 17 4 4 4 2" xfId="14219"/>
    <cellStyle name="Обычный 17 4 4 4 3" xfId="14220"/>
    <cellStyle name="Обычный 17 4 4 5" xfId="14221"/>
    <cellStyle name="Обычный 17 4 4 5 2" xfId="14222"/>
    <cellStyle name="Обычный 17 4 4 6" xfId="14223"/>
    <cellStyle name="Обычный 17 4 4 7" xfId="14224"/>
    <cellStyle name="Обычный 17 4 5" xfId="14225"/>
    <cellStyle name="Обычный 17 4 5 2" xfId="14226"/>
    <cellStyle name="Обычный 17 4 5 2 2" xfId="14227"/>
    <cellStyle name="Обычный 17 4 5 2 3" xfId="14228"/>
    <cellStyle name="Обычный 17 4 5 3" xfId="14229"/>
    <cellStyle name="Обычный 17 4 5 3 2" xfId="14230"/>
    <cellStyle name="Обычный 17 4 5 3 3" xfId="14231"/>
    <cellStyle name="Обычный 17 4 5 4" xfId="14232"/>
    <cellStyle name="Обычный 17 4 5 4 2" xfId="14233"/>
    <cellStyle name="Обычный 17 4 5 5" xfId="14234"/>
    <cellStyle name="Обычный 17 4 5 6" xfId="14235"/>
    <cellStyle name="Обычный 17 4 6" xfId="14236"/>
    <cellStyle name="Обычный 17 4 6 2" xfId="14237"/>
    <cellStyle name="Обычный 17 4 6 3" xfId="14238"/>
    <cellStyle name="Обычный 17 4 7" xfId="14239"/>
    <cellStyle name="Обычный 17 4 7 2" xfId="14240"/>
    <cellStyle name="Обычный 17 4 7 3" xfId="14241"/>
    <cellStyle name="Обычный 17 4 8" xfId="14242"/>
    <cellStyle name="Обычный 17 4 8 2" xfId="14243"/>
    <cellStyle name="Обычный 17 4 9" xfId="14244"/>
    <cellStyle name="Обычный 17 5" xfId="14245"/>
    <cellStyle name="Обычный 17 5 10" xfId="14246"/>
    <cellStyle name="Обычный 17 5 2" xfId="14247"/>
    <cellStyle name="Обычный 17 5 2 2" xfId="14248"/>
    <cellStyle name="Обычный 17 5 2 2 2" xfId="14249"/>
    <cellStyle name="Обычный 17 5 2 2 2 2" xfId="14250"/>
    <cellStyle name="Обычный 17 5 2 2 2 2 2" xfId="14251"/>
    <cellStyle name="Обычный 17 5 2 2 2 2 2 2" xfId="14252"/>
    <cellStyle name="Обычный 17 5 2 2 2 2 2 3" xfId="14253"/>
    <cellStyle name="Обычный 17 5 2 2 2 2 3" xfId="14254"/>
    <cellStyle name="Обычный 17 5 2 2 2 2 3 2" xfId="14255"/>
    <cellStyle name="Обычный 17 5 2 2 2 2 3 3" xfId="14256"/>
    <cellStyle name="Обычный 17 5 2 2 2 2 4" xfId="14257"/>
    <cellStyle name="Обычный 17 5 2 2 2 2 4 2" xfId="14258"/>
    <cellStyle name="Обычный 17 5 2 2 2 2 5" xfId="14259"/>
    <cellStyle name="Обычный 17 5 2 2 2 2 6" xfId="14260"/>
    <cellStyle name="Обычный 17 5 2 2 2 3" xfId="14261"/>
    <cellStyle name="Обычный 17 5 2 2 2 3 2" xfId="14262"/>
    <cellStyle name="Обычный 17 5 2 2 2 3 3" xfId="14263"/>
    <cellStyle name="Обычный 17 5 2 2 2 4" xfId="14264"/>
    <cellStyle name="Обычный 17 5 2 2 2 4 2" xfId="14265"/>
    <cellStyle name="Обычный 17 5 2 2 2 4 3" xfId="14266"/>
    <cellStyle name="Обычный 17 5 2 2 2 5" xfId="14267"/>
    <cellStyle name="Обычный 17 5 2 2 2 5 2" xfId="14268"/>
    <cellStyle name="Обычный 17 5 2 2 2 6" xfId="14269"/>
    <cellStyle name="Обычный 17 5 2 2 2 7" xfId="14270"/>
    <cellStyle name="Обычный 17 5 2 2 3" xfId="14271"/>
    <cellStyle name="Обычный 17 5 2 2 3 2" xfId="14272"/>
    <cellStyle name="Обычный 17 5 2 2 3 2 2" xfId="14273"/>
    <cellStyle name="Обычный 17 5 2 2 3 2 3" xfId="14274"/>
    <cellStyle name="Обычный 17 5 2 2 3 3" xfId="14275"/>
    <cellStyle name="Обычный 17 5 2 2 3 3 2" xfId="14276"/>
    <cellStyle name="Обычный 17 5 2 2 3 3 3" xfId="14277"/>
    <cellStyle name="Обычный 17 5 2 2 3 4" xfId="14278"/>
    <cellStyle name="Обычный 17 5 2 2 3 4 2" xfId="14279"/>
    <cellStyle name="Обычный 17 5 2 2 3 5" xfId="14280"/>
    <cellStyle name="Обычный 17 5 2 2 3 6" xfId="14281"/>
    <cellStyle name="Обычный 17 5 2 2 4" xfId="14282"/>
    <cellStyle name="Обычный 17 5 2 2 4 2" xfId="14283"/>
    <cellStyle name="Обычный 17 5 2 2 4 3" xfId="14284"/>
    <cellStyle name="Обычный 17 5 2 2 5" xfId="14285"/>
    <cellStyle name="Обычный 17 5 2 2 5 2" xfId="14286"/>
    <cellStyle name="Обычный 17 5 2 2 5 3" xfId="14287"/>
    <cellStyle name="Обычный 17 5 2 2 6" xfId="14288"/>
    <cellStyle name="Обычный 17 5 2 2 6 2" xfId="14289"/>
    <cellStyle name="Обычный 17 5 2 2 7" xfId="14290"/>
    <cellStyle name="Обычный 17 5 2 2 8" xfId="14291"/>
    <cellStyle name="Обычный 17 5 2 3" xfId="14292"/>
    <cellStyle name="Обычный 17 5 2 3 2" xfId="14293"/>
    <cellStyle name="Обычный 17 5 2 3 2 2" xfId="14294"/>
    <cellStyle name="Обычный 17 5 2 3 2 2 2" xfId="14295"/>
    <cellStyle name="Обычный 17 5 2 3 2 2 3" xfId="14296"/>
    <cellStyle name="Обычный 17 5 2 3 2 3" xfId="14297"/>
    <cellStyle name="Обычный 17 5 2 3 2 3 2" xfId="14298"/>
    <cellStyle name="Обычный 17 5 2 3 2 3 3" xfId="14299"/>
    <cellStyle name="Обычный 17 5 2 3 2 4" xfId="14300"/>
    <cellStyle name="Обычный 17 5 2 3 2 4 2" xfId="14301"/>
    <cellStyle name="Обычный 17 5 2 3 2 5" xfId="14302"/>
    <cellStyle name="Обычный 17 5 2 3 2 6" xfId="14303"/>
    <cellStyle name="Обычный 17 5 2 3 3" xfId="14304"/>
    <cellStyle name="Обычный 17 5 2 3 3 2" xfId="14305"/>
    <cellStyle name="Обычный 17 5 2 3 3 3" xfId="14306"/>
    <cellStyle name="Обычный 17 5 2 3 4" xfId="14307"/>
    <cellStyle name="Обычный 17 5 2 3 4 2" xfId="14308"/>
    <cellStyle name="Обычный 17 5 2 3 4 3" xfId="14309"/>
    <cellStyle name="Обычный 17 5 2 3 5" xfId="14310"/>
    <cellStyle name="Обычный 17 5 2 3 5 2" xfId="14311"/>
    <cellStyle name="Обычный 17 5 2 3 6" xfId="14312"/>
    <cellStyle name="Обычный 17 5 2 3 7" xfId="14313"/>
    <cellStyle name="Обычный 17 5 2 4" xfId="14314"/>
    <cellStyle name="Обычный 17 5 2 4 2" xfId="14315"/>
    <cellStyle name="Обычный 17 5 2 4 2 2" xfId="14316"/>
    <cellStyle name="Обычный 17 5 2 4 2 3" xfId="14317"/>
    <cellStyle name="Обычный 17 5 2 4 3" xfId="14318"/>
    <cellStyle name="Обычный 17 5 2 4 3 2" xfId="14319"/>
    <cellStyle name="Обычный 17 5 2 4 3 3" xfId="14320"/>
    <cellStyle name="Обычный 17 5 2 4 4" xfId="14321"/>
    <cellStyle name="Обычный 17 5 2 4 4 2" xfId="14322"/>
    <cellStyle name="Обычный 17 5 2 4 5" xfId="14323"/>
    <cellStyle name="Обычный 17 5 2 4 6" xfId="14324"/>
    <cellStyle name="Обычный 17 5 2 5" xfId="14325"/>
    <cellStyle name="Обычный 17 5 2 5 2" xfId="14326"/>
    <cellStyle name="Обычный 17 5 2 5 3" xfId="14327"/>
    <cellStyle name="Обычный 17 5 2 6" xfId="14328"/>
    <cellStyle name="Обычный 17 5 2 6 2" xfId="14329"/>
    <cellStyle name="Обычный 17 5 2 6 3" xfId="14330"/>
    <cellStyle name="Обычный 17 5 2 7" xfId="14331"/>
    <cellStyle name="Обычный 17 5 2 7 2" xfId="14332"/>
    <cellStyle name="Обычный 17 5 2 8" xfId="14333"/>
    <cellStyle name="Обычный 17 5 2 9" xfId="14334"/>
    <cellStyle name="Обычный 17 5 3" xfId="14335"/>
    <cellStyle name="Обычный 17 5 3 2" xfId="14336"/>
    <cellStyle name="Обычный 17 5 3 2 2" xfId="14337"/>
    <cellStyle name="Обычный 17 5 3 2 2 2" xfId="14338"/>
    <cellStyle name="Обычный 17 5 3 2 2 2 2" xfId="14339"/>
    <cellStyle name="Обычный 17 5 3 2 2 2 3" xfId="14340"/>
    <cellStyle name="Обычный 17 5 3 2 2 3" xfId="14341"/>
    <cellStyle name="Обычный 17 5 3 2 2 3 2" xfId="14342"/>
    <cellStyle name="Обычный 17 5 3 2 2 3 3" xfId="14343"/>
    <cellStyle name="Обычный 17 5 3 2 2 4" xfId="14344"/>
    <cellStyle name="Обычный 17 5 3 2 2 4 2" xfId="14345"/>
    <cellStyle name="Обычный 17 5 3 2 2 5" xfId="14346"/>
    <cellStyle name="Обычный 17 5 3 2 2 6" xfId="14347"/>
    <cellStyle name="Обычный 17 5 3 2 3" xfId="14348"/>
    <cellStyle name="Обычный 17 5 3 2 3 2" xfId="14349"/>
    <cellStyle name="Обычный 17 5 3 2 3 3" xfId="14350"/>
    <cellStyle name="Обычный 17 5 3 2 4" xfId="14351"/>
    <cellStyle name="Обычный 17 5 3 2 4 2" xfId="14352"/>
    <cellStyle name="Обычный 17 5 3 2 4 3" xfId="14353"/>
    <cellStyle name="Обычный 17 5 3 2 5" xfId="14354"/>
    <cellStyle name="Обычный 17 5 3 2 5 2" xfId="14355"/>
    <cellStyle name="Обычный 17 5 3 2 6" xfId="14356"/>
    <cellStyle name="Обычный 17 5 3 2 7" xfId="14357"/>
    <cellStyle name="Обычный 17 5 3 3" xfId="14358"/>
    <cellStyle name="Обычный 17 5 3 3 2" xfId="14359"/>
    <cellStyle name="Обычный 17 5 3 3 2 2" xfId="14360"/>
    <cellStyle name="Обычный 17 5 3 3 2 3" xfId="14361"/>
    <cellStyle name="Обычный 17 5 3 3 3" xfId="14362"/>
    <cellStyle name="Обычный 17 5 3 3 3 2" xfId="14363"/>
    <cellStyle name="Обычный 17 5 3 3 3 3" xfId="14364"/>
    <cellStyle name="Обычный 17 5 3 3 4" xfId="14365"/>
    <cellStyle name="Обычный 17 5 3 3 4 2" xfId="14366"/>
    <cellStyle name="Обычный 17 5 3 3 5" xfId="14367"/>
    <cellStyle name="Обычный 17 5 3 3 6" xfId="14368"/>
    <cellStyle name="Обычный 17 5 3 4" xfId="14369"/>
    <cellStyle name="Обычный 17 5 3 4 2" xfId="14370"/>
    <cellStyle name="Обычный 17 5 3 4 3" xfId="14371"/>
    <cellStyle name="Обычный 17 5 3 5" xfId="14372"/>
    <cellStyle name="Обычный 17 5 3 5 2" xfId="14373"/>
    <cellStyle name="Обычный 17 5 3 5 3" xfId="14374"/>
    <cellStyle name="Обычный 17 5 3 6" xfId="14375"/>
    <cellStyle name="Обычный 17 5 3 6 2" xfId="14376"/>
    <cellStyle name="Обычный 17 5 3 7" xfId="14377"/>
    <cellStyle name="Обычный 17 5 3 8" xfId="14378"/>
    <cellStyle name="Обычный 17 5 4" xfId="14379"/>
    <cellStyle name="Обычный 17 5 4 2" xfId="14380"/>
    <cellStyle name="Обычный 17 5 4 2 2" xfId="14381"/>
    <cellStyle name="Обычный 17 5 4 2 2 2" xfId="14382"/>
    <cellStyle name="Обычный 17 5 4 2 2 3" xfId="14383"/>
    <cellStyle name="Обычный 17 5 4 2 3" xfId="14384"/>
    <cellStyle name="Обычный 17 5 4 2 3 2" xfId="14385"/>
    <cellStyle name="Обычный 17 5 4 2 3 3" xfId="14386"/>
    <cellStyle name="Обычный 17 5 4 2 4" xfId="14387"/>
    <cellStyle name="Обычный 17 5 4 2 4 2" xfId="14388"/>
    <cellStyle name="Обычный 17 5 4 2 5" xfId="14389"/>
    <cellStyle name="Обычный 17 5 4 2 6" xfId="14390"/>
    <cellStyle name="Обычный 17 5 4 3" xfId="14391"/>
    <cellStyle name="Обычный 17 5 4 3 2" xfId="14392"/>
    <cellStyle name="Обычный 17 5 4 3 3" xfId="14393"/>
    <cellStyle name="Обычный 17 5 4 4" xfId="14394"/>
    <cellStyle name="Обычный 17 5 4 4 2" xfId="14395"/>
    <cellStyle name="Обычный 17 5 4 4 3" xfId="14396"/>
    <cellStyle name="Обычный 17 5 4 5" xfId="14397"/>
    <cellStyle name="Обычный 17 5 4 5 2" xfId="14398"/>
    <cellStyle name="Обычный 17 5 4 6" xfId="14399"/>
    <cellStyle name="Обычный 17 5 4 7" xfId="14400"/>
    <cellStyle name="Обычный 17 5 5" xfId="14401"/>
    <cellStyle name="Обычный 17 5 5 2" xfId="14402"/>
    <cellStyle name="Обычный 17 5 5 2 2" xfId="14403"/>
    <cellStyle name="Обычный 17 5 5 2 3" xfId="14404"/>
    <cellStyle name="Обычный 17 5 5 3" xfId="14405"/>
    <cellStyle name="Обычный 17 5 5 3 2" xfId="14406"/>
    <cellStyle name="Обычный 17 5 5 3 3" xfId="14407"/>
    <cellStyle name="Обычный 17 5 5 4" xfId="14408"/>
    <cellStyle name="Обычный 17 5 5 4 2" xfId="14409"/>
    <cellStyle name="Обычный 17 5 5 5" xfId="14410"/>
    <cellStyle name="Обычный 17 5 5 6" xfId="14411"/>
    <cellStyle name="Обычный 17 5 6" xfId="14412"/>
    <cellStyle name="Обычный 17 5 6 2" xfId="14413"/>
    <cellStyle name="Обычный 17 5 6 3" xfId="14414"/>
    <cellStyle name="Обычный 17 5 7" xfId="14415"/>
    <cellStyle name="Обычный 17 5 7 2" xfId="14416"/>
    <cellStyle name="Обычный 17 5 7 3" xfId="14417"/>
    <cellStyle name="Обычный 17 5 8" xfId="14418"/>
    <cellStyle name="Обычный 17 5 8 2" xfId="14419"/>
    <cellStyle name="Обычный 17 5 9" xfId="14420"/>
    <cellStyle name="Обычный 17 6" xfId="14421"/>
    <cellStyle name="Обычный 17 6 2" xfId="14422"/>
    <cellStyle name="Обычный 17 6 2 2" xfId="14423"/>
    <cellStyle name="Обычный 17 6 2 2 2" xfId="14424"/>
    <cellStyle name="Обычный 17 6 2 2 2 2" xfId="14425"/>
    <cellStyle name="Обычный 17 6 2 2 2 2 2" xfId="14426"/>
    <cellStyle name="Обычный 17 6 2 2 2 2 3" xfId="14427"/>
    <cellStyle name="Обычный 17 6 2 2 2 3" xfId="14428"/>
    <cellStyle name="Обычный 17 6 2 2 2 3 2" xfId="14429"/>
    <cellStyle name="Обычный 17 6 2 2 2 3 3" xfId="14430"/>
    <cellStyle name="Обычный 17 6 2 2 2 4" xfId="14431"/>
    <cellStyle name="Обычный 17 6 2 2 2 4 2" xfId="14432"/>
    <cellStyle name="Обычный 17 6 2 2 2 5" xfId="14433"/>
    <cellStyle name="Обычный 17 6 2 2 2 6" xfId="14434"/>
    <cellStyle name="Обычный 17 6 2 2 3" xfId="14435"/>
    <cellStyle name="Обычный 17 6 2 2 3 2" xfId="14436"/>
    <cellStyle name="Обычный 17 6 2 2 3 3" xfId="14437"/>
    <cellStyle name="Обычный 17 6 2 2 4" xfId="14438"/>
    <cellStyle name="Обычный 17 6 2 2 4 2" xfId="14439"/>
    <cellStyle name="Обычный 17 6 2 2 4 3" xfId="14440"/>
    <cellStyle name="Обычный 17 6 2 2 5" xfId="14441"/>
    <cellStyle name="Обычный 17 6 2 2 5 2" xfId="14442"/>
    <cellStyle name="Обычный 17 6 2 2 6" xfId="14443"/>
    <cellStyle name="Обычный 17 6 2 2 7" xfId="14444"/>
    <cellStyle name="Обычный 17 6 2 3" xfId="14445"/>
    <cellStyle name="Обычный 17 6 2 3 2" xfId="14446"/>
    <cellStyle name="Обычный 17 6 2 3 2 2" xfId="14447"/>
    <cellStyle name="Обычный 17 6 2 3 2 3" xfId="14448"/>
    <cellStyle name="Обычный 17 6 2 3 3" xfId="14449"/>
    <cellStyle name="Обычный 17 6 2 3 3 2" xfId="14450"/>
    <cellStyle name="Обычный 17 6 2 3 3 3" xfId="14451"/>
    <cellStyle name="Обычный 17 6 2 3 4" xfId="14452"/>
    <cellStyle name="Обычный 17 6 2 3 4 2" xfId="14453"/>
    <cellStyle name="Обычный 17 6 2 3 5" xfId="14454"/>
    <cellStyle name="Обычный 17 6 2 3 6" xfId="14455"/>
    <cellStyle name="Обычный 17 6 2 4" xfId="14456"/>
    <cellStyle name="Обычный 17 6 2 4 2" xfId="14457"/>
    <cellStyle name="Обычный 17 6 2 4 3" xfId="14458"/>
    <cellStyle name="Обычный 17 6 2 5" xfId="14459"/>
    <cellStyle name="Обычный 17 6 2 5 2" xfId="14460"/>
    <cellStyle name="Обычный 17 6 2 5 3" xfId="14461"/>
    <cellStyle name="Обычный 17 6 2 6" xfId="14462"/>
    <cellStyle name="Обычный 17 6 2 6 2" xfId="14463"/>
    <cellStyle name="Обычный 17 6 2 7" xfId="14464"/>
    <cellStyle name="Обычный 17 6 2 8" xfId="14465"/>
    <cellStyle name="Обычный 17 6 3" xfId="14466"/>
    <cellStyle name="Обычный 17 6 3 2" xfId="14467"/>
    <cellStyle name="Обычный 17 6 3 2 2" xfId="14468"/>
    <cellStyle name="Обычный 17 6 3 2 2 2" xfId="14469"/>
    <cellStyle name="Обычный 17 6 3 2 2 3" xfId="14470"/>
    <cellStyle name="Обычный 17 6 3 2 3" xfId="14471"/>
    <cellStyle name="Обычный 17 6 3 2 3 2" xfId="14472"/>
    <cellStyle name="Обычный 17 6 3 2 3 3" xfId="14473"/>
    <cellStyle name="Обычный 17 6 3 2 4" xfId="14474"/>
    <cellStyle name="Обычный 17 6 3 2 4 2" xfId="14475"/>
    <cellStyle name="Обычный 17 6 3 2 5" xfId="14476"/>
    <cellStyle name="Обычный 17 6 3 2 6" xfId="14477"/>
    <cellStyle name="Обычный 17 6 3 3" xfId="14478"/>
    <cellStyle name="Обычный 17 6 3 3 2" xfId="14479"/>
    <cellStyle name="Обычный 17 6 3 3 3" xfId="14480"/>
    <cellStyle name="Обычный 17 6 3 4" xfId="14481"/>
    <cellStyle name="Обычный 17 6 3 4 2" xfId="14482"/>
    <cellStyle name="Обычный 17 6 3 4 3" xfId="14483"/>
    <cellStyle name="Обычный 17 6 3 5" xfId="14484"/>
    <cellStyle name="Обычный 17 6 3 5 2" xfId="14485"/>
    <cellStyle name="Обычный 17 6 3 6" xfId="14486"/>
    <cellStyle name="Обычный 17 6 3 7" xfId="14487"/>
    <cellStyle name="Обычный 17 6 4" xfId="14488"/>
    <cellStyle name="Обычный 17 6 4 2" xfId="14489"/>
    <cellStyle name="Обычный 17 6 4 2 2" xfId="14490"/>
    <cellStyle name="Обычный 17 6 4 2 3" xfId="14491"/>
    <cellStyle name="Обычный 17 6 4 3" xfId="14492"/>
    <cellStyle name="Обычный 17 6 4 3 2" xfId="14493"/>
    <cellStyle name="Обычный 17 6 4 3 3" xfId="14494"/>
    <cellStyle name="Обычный 17 6 4 4" xfId="14495"/>
    <cellStyle name="Обычный 17 6 4 4 2" xfId="14496"/>
    <cellStyle name="Обычный 17 6 4 5" xfId="14497"/>
    <cellStyle name="Обычный 17 6 4 6" xfId="14498"/>
    <cellStyle name="Обычный 17 6 5" xfId="14499"/>
    <cellStyle name="Обычный 17 6 5 2" xfId="14500"/>
    <cellStyle name="Обычный 17 6 5 3" xfId="14501"/>
    <cellStyle name="Обычный 17 6 6" xfId="14502"/>
    <cellStyle name="Обычный 17 6 6 2" xfId="14503"/>
    <cellStyle name="Обычный 17 6 6 3" xfId="14504"/>
    <cellStyle name="Обычный 17 6 7" xfId="14505"/>
    <cellStyle name="Обычный 17 6 7 2" xfId="14506"/>
    <cellStyle name="Обычный 17 6 8" xfId="14507"/>
    <cellStyle name="Обычный 17 6 9" xfId="14508"/>
    <cellStyle name="Обычный 17 7" xfId="14509"/>
    <cellStyle name="Обычный 17 7 2" xfId="14510"/>
    <cellStyle name="Обычный 17 7 2 2" xfId="14511"/>
    <cellStyle name="Обычный 17 7 2 2 2" xfId="14512"/>
    <cellStyle name="Обычный 17 7 2 2 2 2" xfId="14513"/>
    <cellStyle name="Обычный 17 7 2 2 2 3" xfId="14514"/>
    <cellStyle name="Обычный 17 7 2 2 3" xfId="14515"/>
    <cellStyle name="Обычный 17 7 2 2 3 2" xfId="14516"/>
    <cellStyle name="Обычный 17 7 2 2 3 3" xfId="14517"/>
    <cellStyle name="Обычный 17 7 2 2 4" xfId="14518"/>
    <cellStyle name="Обычный 17 7 2 2 4 2" xfId="14519"/>
    <cellStyle name="Обычный 17 7 2 2 5" xfId="14520"/>
    <cellStyle name="Обычный 17 7 2 2 6" xfId="14521"/>
    <cellStyle name="Обычный 17 7 2 3" xfId="14522"/>
    <cellStyle name="Обычный 17 7 2 3 2" xfId="14523"/>
    <cellStyle name="Обычный 17 7 2 3 3" xfId="14524"/>
    <cellStyle name="Обычный 17 7 2 4" xfId="14525"/>
    <cellStyle name="Обычный 17 7 2 4 2" xfId="14526"/>
    <cellStyle name="Обычный 17 7 2 4 3" xfId="14527"/>
    <cellStyle name="Обычный 17 7 2 5" xfId="14528"/>
    <cellStyle name="Обычный 17 7 2 5 2" xfId="14529"/>
    <cellStyle name="Обычный 17 7 2 6" xfId="14530"/>
    <cellStyle name="Обычный 17 7 2 7" xfId="14531"/>
    <cellStyle name="Обычный 17 7 3" xfId="14532"/>
    <cellStyle name="Обычный 17 7 3 2" xfId="14533"/>
    <cellStyle name="Обычный 17 7 3 2 2" xfId="14534"/>
    <cellStyle name="Обычный 17 7 3 2 3" xfId="14535"/>
    <cellStyle name="Обычный 17 7 3 3" xfId="14536"/>
    <cellStyle name="Обычный 17 7 3 3 2" xfId="14537"/>
    <cellStyle name="Обычный 17 7 3 3 3" xfId="14538"/>
    <cellStyle name="Обычный 17 7 3 4" xfId="14539"/>
    <cellStyle name="Обычный 17 7 3 4 2" xfId="14540"/>
    <cellStyle name="Обычный 17 7 3 5" xfId="14541"/>
    <cellStyle name="Обычный 17 7 3 6" xfId="14542"/>
    <cellStyle name="Обычный 17 7 4" xfId="14543"/>
    <cellStyle name="Обычный 17 7 4 2" xfId="14544"/>
    <cellStyle name="Обычный 17 7 4 3" xfId="14545"/>
    <cellStyle name="Обычный 17 7 5" xfId="14546"/>
    <cellStyle name="Обычный 17 7 5 2" xfId="14547"/>
    <cellStyle name="Обычный 17 7 5 3" xfId="14548"/>
    <cellStyle name="Обычный 17 7 6" xfId="14549"/>
    <cellStyle name="Обычный 17 7 6 2" xfId="14550"/>
    <cellStyle name="Обычный 17 7 7" xfId="14551"/>
    <cellStyle name="Обычный 17 7 8" xfId="14552"/>
    <cellStyle name="Обычный 17 8" xfId="14553"/>
    <cellStyle name="Обычный 17 8 2" xfId="14554"/>
    <cellStyle name="Обычный 17 8 2 2" xfId="14555"/>
    <cellStyle name="Обычный 17 8 2 2 2" xfId="14556"/>
    <cellStyle name="Обычный 17 8 2 2 3" xfId="14557"/>
    <cellStyle name="Обычный 17 8 2 3" xfId="14558"/>
    <cellStyle name="Обычный 17 8 2 3 2" xfId="14559"/>
    <cellStyle name="Обычный 17 8 2 3 3" xfId="14560"/>
    <cellStyle name="Обычный 17 8 2 4" xfId="14561"/>
    <cellStyle name="Обычный 17 8 2 4 2" xfId="14562"/>
    <cellStyle name="Обычный 17 8 2 5" xfId="14563"/>
    <cellStyle name="Обычный 17 8 2 6" xfId="14564"/>
    <cellStyle name="Обычный 17 8 3" xfId="14565"/>
    <cellStyle name="Обычный 17 8 3 2" xfId="14566"/>
    <cellStyle name="Обычный 17 8 3 3" xfId="14567"/>
    <cellStyle name="Обычный 17 8 4" xfId="14568"/>
    <cellStyle name="Обычный 17 8 4 2" xfId="14569"/>
    <cellStyle name="Обычный 17 8 4 3" xfId="14570"/>
    <cellStyle name="Обычный 17 8 5" xfId="14571"/>
    <cellStyle name="Обычный 17 8 5 2" xfId="14572"/>
    <cellStyle name="Обычный 17 8 6" xfId="14573"/>
    <cellStyle name="Обычный 17 8 7" xfId="14574"/>
    <cellStyle name="Обычный 17 9" xfId="14575"/>
    <cellStyle name="Обычный 17 9 2" xfId="14576"/>
    <cellStyle name="Обычный 17 9 2 2" xfId="14577"/>
    <cellStyle name="Обычный 17 9 2 3" xfId="14578"/>
    <cellStyle name="Обычный 17 9 3" xfId="14579"/>
    <cellStyle name="Обычный 17 9 3 2" xfId="14580"/>
    <cellStyle name="Обычный 17 9 3 3" xfId="14581"/>
    <cellStyle name="Обычный 17 9 4" xfId="14582"/>
    <cellStyle name="Обычный 17 9 4 2" xfId="14583"/>
    <cellStyle name="Обычный 17 9 5" xfId="14584"/>
    <cellStyle name="Обычный 17 9 6" xfId="14585"/>
    <cellStyle name="Обычный 18" xfId="14586"/>
    <cellStyle name="Обычный 18 10" xfId="14587"/>
    <cellStyle name="Обычный 18 2" xfId="14588"/>
    <cellStyle name="Обычный 18 2 2" xfId="14589"/>
    <cellStyle name="Обычный 18 2 2 2" xfId="14590"/>
    <cellStyle name="Обычный 18 2 2 2 2" xfId="14591"/>
    <cellStyle name="Обычный 18 2 2 2 2 2" xfId="14592"/>
    <cellStyle name="Обычный 18 2 2 2 2 3" xfId="14593"/>
    <cellStyle name="Обычный 18 2 2 2 3" xfId="14594"/>
    <cellStyle name="Обычный 18 2 2 2 3 2" xfId="14595"/>
    <cellStyle name="Обычный 18 2 2 2 3 3" xfId="14596"/>
    <cellStyle name="Обычный 18 2 2 2 4" xfId="14597"/>
    <cellStyle name="Обычный 18 2 2 2 4 2" xfId="14598"/>
    <cellStyle name="Обычный 18 2 2 2 5" xfId="14599"/>
    <cellStyle name="Обычный 18 2 2 2 6" xfId="14600"/>
    <cellStyle name="Обычный 18 2 2 3" xfId="14601"/>
    <cellStyle name="Обычный 18 2 2 3 2" xfId="14602"/>
    <cellStyle name="Обычный 18 2 2 3 3" xfId="14603"/>
    <cellStyle name="Обычный 18 2 2 4" xfId="14604"/>
    <cellStyle name="Обычный 18 2 2 4 2" xfId="14605"/>
    <cellStyle name="Обычный 18 2 2 4 3" xfId="14606"/>
    <cellStyle name="Обычный 18 2 2 5" xfId="14607"/>
    <cellStyle name="Обычный 18 2 2 5 2" xfId="14608"/>
    <cellStyle name="Обычный 18 2 2 6" xfId="14609"/>
    <cellStyle name="Обычный 18 2 2 7" xfId="14610"/>
    <cellStyle name="Обычный 18 2 3" xfId="14611"/>
    <cellStyle name="Обычный 18 2 3 2" xfId="14612"/>
    <cellStyle name="Обычный 18 2 3 2 2" xfId="14613"/>
    <cellStyle name="Обычный 18 2 3 2 3" xfId="14614"/>
    <cellStyle name="Обычный 18 2 3 3" xfId="14615"/>
    <cellStyle name="Обычный 18 2 3 3 2" xfId="14616"/>
    <cellStyle name="Обычный 18 2 3 3 3" xfId="14617"/>
    <cellStyle name="Обычный 18 2 3 4" xfId="14618"/>
    <cellStyle name="Обычный 18 2 3 4 2" xfId="14619"/>
    <cellStyle name="Обычный 18 2 3 5" xfId="14620"/>
    <cellStyle name="Обычный 18 2 3 6" xfId="14621"/>
    <cellStyle name="Обычный 18 2 4" xfId="14622"/>
    <cellStyle name="Обычный 18 2 4 2" xfId="14623"/>
    <cellStyle name="Обычный 18 2 4 3" xfId="14624"/>
    <cellStyle name="Обычный 18 2 5" xfId="14625"/>
    <cellStyle name="Обычный 18 2 5 2" xfId="14626"/>
    <cellStyle name="Обычный 18 2 5 3" xfId="14627"/>
    <cellStyle name="Обычный 18 2 6" xfId="14628"/>
    <cellStyle name="Обычный 18 2 6 2" xfId="14629"/>
    <cellStyle name="Обычный 18 2 7" xfId="14630"/>
    <cellStyle name="Обычный 18 2 8" xfId="14631"/>
    <cellStyle name="Обычный 18 3" xfId="14632"/>
    <cellStyle name="Обычный 18 3 2" xfId="14633"/>
    <cellStyle name="Обычный 18 3 2 2" xfId="14634"/>
    <cellStyle name="Обычный 18 3 2 2 2" xfId="14635"/>
    <cellStyle name="Обычный 18 3 2 2 3" xfId="14636"/>
    <cellStyle name="Обычный 18 3 2 3" xfId="14637"/>
    <cellStyle name="Обычный 18 3 2 3 2" xfId="14638"/>
    <cellStyle name="Обычный 18 3 2 3 3" xfId="14639"/>
    <cellStyle name="Обычный 18 3 2 4" xfId="14640"/>
    <cellStyle name="Обычный 18 3 2 4 2" xfId="14641"/>
    <cellStyle name="Обычный 18 3 2 5" xfId="14642"/>
    <cellStyle name="Обычный 18 3 2 6" xfId="14643"/>
    <cellStyle name="Обычный 18 3 3" xfId="14644"/>
    <cellStyle name="Обычный 18 3 3 2" xfId="14645"/>
    <cellStyle name="Обычный 18 3 3 3" xfId="14646"/>
    <cellStyle name="Обычный 18 3 4" xfId="14647"/>
    <cellStyle name="Обычный 18 3 4 2" xfId="14648"/>
    <cellStyle name="Обычный 18 3 4 3" xfId="14649"/>
    <cellStyle name="Обычный 18 3 5" xfId="14650"/>
    <cellStyle name="Обычный 18 3 5 2" xfId="14651"/>
    <cellStyle name="Обычный 18 3 6" xfId="14652"/>
    <cellStyle name="Обычный 18 3 7" xfId="14653"/>
    <cellStyle name="Обычный 18 4" xfId="14654"/>
    <cellStyle name="Обычный 18 4 2" xfId="14655"/>
    <cellStyle name="Обычный 18 4 2 2" xfId="14656"/>
    <cellStyle name="Обычный 18 4 2 3" xfId="14657"/>
    <cellStyle name="Обычный 18 4 3" xfId="14658"/>
    <cellStyle name="Обычный 18 4 3 2" xfId="14659"/>
    <cellStyle name="Обычный 18 4 3 3" xfId="14660"/>
    <cellStyle name="Обычный 18 4 4" xfId="14661"/>
    <cellStyle name="Обычный 18 4 4 2" xfId="14662"/>
    <cellStyle name="Обычный 18 4 5" xfId="14663"/>
    <cellStyle name="Обычный 18 4 6" xfId="14664"/>
    <cellStyle name="Обычный 18 5" xfId="14665"/>
    <cellStyle name="Обычный 18 5 2" xfId="14666"/>
    <cellStyle name="Обычный 18 5 3" xfId="14667"/>
    <cellStyle name="Обычный 18 6" xfId="14668"/>
    <cellStyle name="Обычный 18 6 2" xfId="14669"/>
    <cellStyle name="Обычный 18 6 3" xfId="14670"/>
    <cellStyle name="Обычный 18 7" xfId="14671"/>
    <cellStyle name="Обычный 18 7 2" xfId="14672"/>
    <cellStyle name="Обычный 18 8" xfId="14673"/>
    <cellStyle name="Обычный 18 9" xfId="14674"/>
    <cellStyle name="Обычный 19" xfId="14675"/>
    <cellStyle name="Обычный 19 2" xfId="14676"/>
    <cellStyle name="Обычный 2" xfId="14677"/>
    <cellStyle name="Обычный 2 10" xfId="14678"/>
    <cellStyle name="Обычный 2 10 2" xfId="14679"/>
    <cellStyle name="Обычный 2 2" xfId="14680"/>
    <cellStyle name="Обычный 2 2 2" xfId="14681"/>
    <cellStyle name="Обычный 2 3" xfId="14682"/>
    <cellStyle name="Обычный 2 4" xfId="14683"/>
    <cellStyle name="Обычный 2 5" xfId="14684"/>
    <cellStyle name="Обычный 2 6" xfId="14685"/>
    <cellStyle name="Обычный 2 7" xfId="14686"/>
    <cellStyle name="Обычный 2 8" xfId="14687"/>
    <cellStyle name="Обычный 2 9" xfId="14688"/>
    <cellStyle name="Обычный 2_94 УБ" xfId="14689"/>
    <cellStyle name="Обычный 20" xfId="14690"/>
    <cellStyle name="Обычный 20 2" xfId="14691"/>
    <cellStyle name="Обычный 20 3" xfId="14692"/>
    <cellStyle name="Обычный 21" xfId="14693"/>
    <cellStyle name="Обычный 21 2" xfId="14694"/>
    <cellStyle name="Обычный 21 3" xfId="14695"/>
    <cellStyle name="Обычный 22" xfId="14696"/>
    <cellStyle name="Обычный 23" xfId="14697"/>
    <cellStyle name="Обычный 24" xfId="14698"/>
    <cellStyle name="Обычный 25" xfId="14699"/>
    <cellStyle name="Обычный 26" xfId="14700"/>
    <cellStyle name="Обычный 26 2" xfId="14701"/>
    <cellStyle name="Обычный 27" xfId="14702"/>
    <cellStyle name="Обычный 27 2" xfId="14703"/>
    <cellStyle name="Обычный 27 3" xfId="14704"/>
    <cellStyle name="Обычный 28" xfId="14705"/>
    <cellStyle name="Обычный 28 2" xfId="14706"/>
    <cellStyle name="Обычный 3" xfId="14707"/>
    <cellStyle name="Обычный 3 2" xfId="14708"/>
    <cellStyle name="Обычный 3 2 2" xfId="14709"/>
    <cellStyle name="Обычный 3 2 3" xfId="14710"/>
    <cellStyle name="Обычный 3 2 4" xfId="14711"/>
    <cellStyle name="Обычный 3 2 5" xfId="14712"/>
    <cellStyle name="Обычный 3 3" xfId="14713"/>
    <cellStyle name="Обычный 3 3 2" xfId="14714"/>
    <cellStyle name="Обычный 3 4" xfId="14715"/>
    <cellStyle name="Обычный 3 5" xfId="14716"/>
    <cellStyle name="Обычный 3 6" xfId="14717"/>
    <cellStyle name="Обычный 4" xfId="14718"/>
    <cellStyle name="Обычный 4 2" xfId="14719"/>
    <cellStyle name="Обычный 4 2 2" xfId="14720"/>
    <cellStyle name="Обычный 5" xfId="14721"/>
    <cellStyle name="Обычный 5 2" xfId="14722"/>
    <cellStyle name="Обычный 5 2 2" xfId="14723"/>
    <cellStyle name="Обычный 5 2 3" xfId="14724"/>
    <cellStyle name="Обычный 5 3" xfId="14725"/>
    <cellStyle name="Обычный 5 3 2" xfId="14726"/>
    <cellStyle name="Обычный 5 4" xfId="14727"/>
    <cellStyle name="Обычный 6" xfId="14728"/>
    <cellStyle name="Обычный 6 10" xfId="14729"/>
    <cellStyle name="Обычный 6 10 10" xfId="14730"/>
    <cellStyle name="Обычный 6 10 2" xfId="14731"/>
    <cellStyle name="Обычный 6 10 2 2" xfId="14732"/>
    <cellStyle name="Обычный 6 10 2 2 2" xfId="14733"/>
    <cellStyle name="Обычный 6 10 2 2 2 2" xfId="14734"/>
    <cellStyle name="Обычный 6 10 2 2 2 2 2" xfId="14735"/>
    <cellStyle name="Обычный 6 10 2 2 2 2 2 2" xfId="14736"/>
    <cellStyle name="Обычный 6 10 2 2 2 2 2 3" xfId="14737"/>
    <cellStyle name="Обычный 6 10 2 2 2 2 3" xfId="14738"/>
    <cellStyle name="Обычный 6 10 2 2 2 2 3 2" xfId="14739"/>
    <cellStyle name="Обычный 6 10 2 2 2 2 3 3" xfId="14740"/>
    <cellStyle name="Обычный 6 10 2 2 2 2 4" xfId="14741"/>
    <cellStyle name="Обычный 6 10 2 2 2 2 4 2" xfId="14742"/>
    <cellStyle name="Обычный 6 10 2 2 2 2 5" xfId="14743"/>
    <cellStyle name="Обычный 6 10 2 2 2 2 6" xfId="14744"/>
    <cellStyle name="Обычный 6 10 2 2 2 3" xfId="14745"/>
    <cellStyle name="Обычный 6 10 2 2 2 3 2" xfId="14746"/>
    <cellStyle name="Обычный 6 10 2 2 2 3 3" xfId="14747"/>
    <cellStyle name="Обычный 6 10 2 2 2 4" xfId="14748"/>
    <cellStyle name="Обычный 6 10 2 2 2 4 2" xfId="14749"/>
    <cellStyle name="Обычный 6 10 2 2 2 4 3" xfId="14750"/>
    <cellStyle name="Обычный 6 10 2 2 2 5" xfId="14751"/>
    <cellStyle name="Обычный 6 10 2 2 2 5 2" xfId="14752"/>
    <cellStyle name="Обычный 6 10 2 2 2 6" xfId="14753"/>
    <cellStyle name="Обычный 6 10 2 2 2 7" xfId="14754"/>
    <cellStyle name="Обычный 6 10 2 2 3" xfId="14755"/>
    <cellStyle name="Обычный 6 10 2 2 3 2" xfId="14756"/>
    <cellStyle name="Обычный 6 10 2 2 3 2 2" xfId="14757"/>
    <cellStyle name="Обычный 6 10 2 2 3 2 3" xfId="14758"/>
    <cellStyle name="Обычный 6 10 2 2 3 3" xfId="14759"/>
    <cellStyle name="Обычный 6 10 2 2 3 3 2" xfId="14760"/>
    <cellStyle name="Обычный 6 10 2 2 3 3 3" xfId="14761"/>
    <cellStyle name="Обычный 6 10 2 2 3 4" xfId="14762"/>
    <cellStyle name="Обычный 6 10 2 2 3 4 2" xfId="14763"/>
    <cellStyle name="Обычный 6 10 2 2 3 5" xfId="14764"/>
    <cellStyle name="Обычный 6 10 2 2 3 6" xfId="14765"/>
    <cellStyle name="Обычный 6 10 2 2 4" xfId="14766"/>
    <cellStyle name="Обычный 6 10 2 2 4 2" xfId="14767"/>
    <cellStyle name="Обычный 6 10 2 2 4 3" xfId="14768"/>
    <cellStyle name="Обычный 6 10 2 2 5" xfId="14769"/>
    <cellStyle name="Обычный 6 10 2 2 5 2" xfId="14770"/>
    <cellStyle name="Обычный 6 10 2 2 5 3" xfId="14771"/>
    <cellStyle name="Обычный 6 10 2 2 6" xfId="14772"/>
    <cellStyle name="Обычный 6 10 2 2 6 2" xfId="14773"/>
    <cellStyle name="Обычный 6 10 2 2 7" xfId="14774"/>
    <cellStyle name="Обычный 6 10 2 2 8" xfId="14775"/>
    <cellStyle name="Обычный 6 10 2 3" xfId="14776"/>
    <cellStyle name="Обычный 6 10 2 3 2" xfId="14777"/>
    <cellStyle name="Обычный 6 10 2 3 2 2" xfId="14778"/>
    <cellStyle name="Обычный 6 10 2 3 2 2 2" xfId="14779"/>
    <cellStyle name="Обычный 6 10 2 3 2 2 3" xfId="14780"/>
    <cellStyle name="Обычный 6 10 2 3 2 3" xfId="14781"/>
    <cellStyle name="Обычный 6 10 2 3 2 3 2" xfId="14782"/>
    <cellStyle name="Обычный 6 10 2 3 2 3 3" xfId="14783"/>
    <cellStyle name="Обычный 6 10 2 3 2 4" xfId="14784"/>
    <cellStyle name="Обычный 6 10 2 3 2 4 2" xfId="14785"/>
    <cellStyle name="Обычный 6 10 2 3 2 5" xfId="14786"/>
    <cellStyle name="Обычный 6 10 2 3 2 6" xfId="14787"/>
    <cellStyle name="Обычный 6 10 2 3 3" xfId="14788"/>
    <cellStyle name="Обычный 6 10 2 3 3 2" xfId="14789"/>
    <cellStyle name="Обычный 6 10 2 3 3 3" xfId="14790"/>
    <cellStyle name="Обычный 6 10 2 3 4" xfId="14791"/>
    <cellStyle name="Обычный 6 10 2 3 4 2" xfId="14792"/>
    <cellStyle name="Обычный 6 10 2 3 4 3" xfId="14793"/>
    <cellStyle name="Обычный 6 10 2 3 5" xfId="14794"/>
    <cellStyle name="Обычный 6 10 2 3 5 2" xfId="14795"/>
    <cellStyle name="Обычный 6 10 2 3 6" xfId="14796"/>
    <cellStyle name="Обычный 6 10 2 3 7" xfId="14797"/>
    <cellStyle name="Обычный 6 10 2 4" xfId="14798"/>
    <cellStyle name="Обычный 6 10 2 4 2" xfId="14799"/>
    <cellStyle name="Обычный 6 10 2 4 2 2" xfId="14800"/>
    <cellStyle name="Обычный 6 10 2 4 2 3" xfId="14801"/>
    <cellStyle name="Обычный 6 10 2 4 3" xfId="14802"/>
    <cellStyle name="Обычный 6 10 2 4 3 2" xfId="14803"/>
    <cellStyle name="Обычный 6 10 2 4 3 3" xfId="14804"/>
    <cellStyle name="Обычный 6 10 2 4 4" xfId="14805"/>
    <cellStyle name="Обычный 6 10 2 4 4 2" xfId="14806"/>
    <cellStyle name="Обычный 6 10 2 4 5" xfId="14807"/>
    <cellStyle name="Обычный 6 10 2 4 6" xfId="14808"/>
    <cellStyle name="Обычный 6 10 2 5" xfId="14809"/>
    <cellStyle name="Обычный 6 10 2 5 2" xfId="14810"/>
    <cellStyle name="Обычный 6 10 2 5 3" xfId="14811"/>
    <cellStyle name="Обычный 6 10 2 6" xfId="14812"/>
    <cellStyle name="Обычный 6 10 2 6 2" xfId="14813"/>
    <cellStyle name="Обычный 6 10 2 6 3" xfId="14814"/>
    <cellStyle name="Обычный 6 10 2 7" xfId="14815"/>
    <cellStyle name="Обычный 6 10 2 7 2" xfId="14816"/>
    <cellStyle name="Обычный 6 10 2 8" xfId="14817"/>
    <cellStyle name="Обычный 6 10 2 9" xfId="14818"/>
    <cellStyle name="Обычный 6 10 3" xfId="14819"/>
    <cellStyle name="Обычный 6 10 3 2" xfId="14820"/>
    <cellStyle name="Обычный 6 10 3 2 2" xfId="14821"/>
    <cellStyle name="Обычный 6 10 3 2 2 2" xfId="14822"/>
    <cellStyle name="Обычный 6 10 3 2 2 2 2" xfId="14823"/>
    <cellStyle name="Обычный 6 10 3 2 2 2 3" xfId="14824"/>
    <cellStyle name="Обычный 6 10 3 2 2 3" xfId="14825"/>
    <cellStyle name="Обычный 6 10 3 2 2 3 2" xfId="14826"/>
    <cellStyle name="Обычный 6 10 3 2 2 3 3" xfId="14827"/>
    <cellStyle name="Обычный 6 10 3 2 2 4" xfId="14828"/>
    <cellStyle name="Обычный 6 10 3 2 2 4 2" xfId="14829"/>
    <cellStyle name="Обычный 6 10 3 2 2 5" xfId="14830"/>
    <cellStyle name="Обычный 6 10 3 2 2 6" xfId="14831"/>
    <cellStyle name="Обычный 6 10 3 2 3" xfId="14832"/>
    <cellStyle name="Обычный 6 10 3 2 3 2" xfId="14833"/>
    <cellStyle name="Обычный 6 10 3 2 3 3" xfId="14834"/>
    <cellStyle name="Обычный 6 10 3 2 4" xfId="14835"/>
    <cellStyle name="Обычный 6 10 3 2 4 2" xfId="14836"/>
    <cellStyle name="Обычный 6 10 3 2 4 3" xfId="14837"/>
    <cellStyle name="Обычный 6 10 3 2 5" xfId="14838"/>
    <cellStyle name="Обычный 6 10 3 2 5 2" xfId="14839"/>
    <cellStyle name="Обычный 6 10 3 2 6" xfId="14840"/>
    <cellStyle name="Обычный 6 10 3 2 7" xfId="14841"/>
    <cellStyle name="Обычный 6 10 3 3" xfId="14842"/>
    <cellStyle name="Обычный 6 10 3 3 2" xfId="14843"/>
    <cellStyle name="Обычный 6 10 3 3 2 2" xfId="14844"/>
    <cellStyle name="Обычный 6 10 3 3 2 3" xfId="14845"/>
    <cellStyle name="Обычный 6 10 3 3 3" xfId="14846"/>
    <cellStyle name="Обычный 6 10 3 3 3 2" xfId="14847"/>
    <cellStyle name="Обычный 6 10 3 3 3 3" xfId="14848"/>
    <cellStyle name="Обычный 6 10 3 3 4" xfId="14849"/>
    <cellStyle name="Обычный 6 10 3 3 4 2" xfId="14850"/>
    <cellStyle name="Обычный 6 10 3 3 5" xfId="14851"/>
    <cellStyle name="Обычный 6 10 3 3 6" xfId="14852"/>
    <cellStyle name="Обычный 6 10 3 4" xfId="14853"/>
    <cellStyle name="Обычный 6 10 3 4 2" xfId="14854"/>
    <cellStyle name="Обычный 6 10 3 4 3" xfId="14855"/>
    <cellStyle name="Обычный 6 10 3 5" xfId="14856"/>
    <cellStyle name="Обычный 6 10 3 5 2" xfId="14857"/>
    <cellStyle name="Обычный 6 10 3 5 3" xfId="14858"/>
    <cellStyle name="Обычный 6 10 3 6" xfId="14859"/>
    <cellStyle name="Обычный 6 10 3 6 2" xfId="14860"/>
    <cellStyle name="Обычный 6 10 3 7" xfId="14861"/>
    <cellStyle name="Обычный 6 10 3 8" xfId="14862"/>
    <cellStyle name="Обычный 6 10 4" xfId="14863"/>
    <cellStyle name="Обычный 6 10 4 2" xfId="14864"/>
    <cellStyle name="Обычный 6 10 4 2 2" xfId="14865"/>
    <cellStyle name="Обычный 6 10 4 2 2 2" xfId="14866"/>
    <cellStyle name="Обычный 6 10 4 2 2 3" xfId="14867"/>
    <cellStyle name="Обычный 6 10 4 2 3" xfId="14868"/>
    <cellStyle name="Обычный 6 10 4 2 3 2" xfId="14869"/>
    <cellStyle name="Обычный 6 10 4 2 3 3" xfId="14870"/>
    <cellStyle name="Обычный 6 10 4 2 4" xfId="14871"/>
    <cellStyle name="Обычный 6 10 4 2 4 2" xfId="14872"/>
    <cellStyle name="Обычный 6 10 4 2 5" xfId="14873"/>
    <cellStyle name="Обычный 6 10 4 2 6" xfId="14874"/>
    <cellStyle name="Обычный 6 10 4 3" xfId="14875"/>
    <cellStyle name="Обычный 6 10 4 3 2" xfId="14876"/>
    <cellStyle name="Обычный 6 10 4 3 3" xfId="14877"/>
    <cellStyle name="Обычный 6 10 4 4" xfId="14878"/>
    <cellStyle name="Обычный 6 10 4 4 2" xfId="14879"/>
    <cellStyle name="Обычный 6 10 4 4 3" xfId="14880"/>
    <cellStyle name="Обычный 6 10 4 5" xfId="14881"/>
    <cellStyle name="Обычный 6 10 4 5 2" xfId="14882"/>
    <cellStyle name="Обычный 6 10 4 6" xfId="14883"/>
    <cellStyle name="Обычный 6 10 4 7" xfId="14884"/>
    <cellStyle name="Обычный 6 10 5" xfId="14885"/>
    <cellStyle name="Обычный 6 10 5 2" xfId="14886"/>
    <cellStyle name="Обычный 6 10 5 2 2" xfId="14887"/>
    <cellStyle name="Обычный 6 10 5 2 3" xfId="14888"/>
    <cellStyle name="Обычный 6 10 5 3" xfId="14889"/>
    <cellStyle name="Обычный 6 10 5 3 2" xfId="14890"/>
    <cellStyle name="Обычный 6 10 5 3 3" xfId="14891"/>
    <cellStyle name="Обычный 6 10 5 4" xfId="14892"/>
    <cellStyle name="Обычный 6 10 5 4 2" xfId="14893"/>
    <cellStyle name="Обычный 6 10 5 5" xfId="14894"/>
    <cellStyle name="Обычный 6 10 5 6" xfId="14895"/>
    <cellStyle name="Обычный 6 10 6" xfId="14896"/>
    <cellStyle name="Обычный 6 10 6 2" xfId="14897"/>
    <cellStyle name="Обычный 6 10 6 3" xfId="14898"/>
    <cellStyle name="Обычный 6 10 7" xfId="14899"/>
    <cellStyle name="Обычный 6 10 7 2" xfId="14900"/>
    <cellStyle name="Обычный 6 10 7 3" xfId="14901"/>
    <cellStyle name="Обычный 6 10 8" xfId="14902"/>
    <cellStyle name="Обычный 6 10 8 2" xfId="14903"/>
    <cellStyle name="Обычный 6 10 9" xfId="14904"/>
    <cellStyle name="Обычный 6 11" xfId="14905"/>
    <cellStyle name="Обычный 6 11 10" xfId="14906"/>
    <cellStyle name="Обычный 6 11 2" xfId="14907"/>
    <cellStyle name="Обычный 6 11 2 2" xfId="14908"/>
    <cellStyle name="Обычный 6 11 2 2 2" xfId="14909"/>
    <cellStyle name="Обычный 6 11 2 2 2 2" xfId="14910"/>
    <cellStyle name="Обычный 6 11 2 2 2 2 2" xfId="14911"/>
    <cellStyle name="Обычный 6 11 2 2 2 2 2 2" xfId="14912"/>
    <cellStyle name="Обычный 6 11 2 2 2 2 2 3" xfId="14913"/>
    <cellStyle name="Обычный 6 11 2 2 2 2 3" xfId="14914"/>
    <cellStyle name="Обычный 6 11 2 2 2 2 3 2" xfId="14915"/>
    <cellStyle name="Обычный 6 11 2 2 2 2 3 3" xfId="14916"/>
    <cellStyle name="Обычный 6 11 2 2 2 2 4" xfId="14917"/>
    <cellStyle name="Обычный 6 11 2 2 2 2 4 2" xfId="14918"/>
    <cellStyle name="Обычный 6 11 2 2 2 2 5" xfId="14919"/>
    <cellStyle name="Обычный 6 11 2 2 2 2 6" xfId="14920"/>
    <cellStyle name="Обычный 6 11 2 2 2 3" xfId="14921"/>
    <cellStyle name="Обычный 6 11 2 2 2 3 2" xfId="14922"/>
    <cellStyle name="Обычный 6 11 2 2 2 3 3" xfId="14923"/>
    <cellStyle name="Обычный 6 11 2 2 2 4" xfId="14924"/>
    <cellStyle name="Обычный 6 11 2 2 2 4 2" xfId="14925"/>
    <cellStyle name="Обычный 6 11 2 2 2 4 3" xfId="14926"/>
    <cellStyle name="Обычный 6 11 2 2 2 5" xfId="14927"/>
    <cellStyle name="Обычный 6 11 2 2 2 5 2" xfId="14928"/>
    <cellStyle name="Обычный 6 11 2 2 2 6" xfId="14929"/>
    <cellStyle name="Обычный 6 11 2 2 2 7" xfId="14930"/>
    <cellStyle name="Обычный 6 11 2 2 3" xfId="14931"/>
    <cellStyle name="Обычный 6 11 2 2 3 2" xfId="14932"/>
    <cellStyle name="Обычный 6 11 2 2 3 2 2" xfId="14933"/>
    <cellStyle name="Обычный 6 11 2 2 3 2 3" xfId="14934"/>
    <cellStyle name="Обычный 6 11 2 2 3 3" xfId="14935"/>
    <cellStyle name="Обычный 6 11 2 2 3 3 2" xfId="14936"/>
    <cellStyle name="Обычный 6 11 2 2 3 3 3" xfId="14937"/>
    <cellStyle name="Обычный 6 11 2 2 3 4" xfId="14938"/>
    <cellStyle name="Обычный 6 11 2 2 3 4 2" xfId="14939"/>
    <cellStyle name="Обычный 6 11 2 2 3 5" xfId="14940"/>
    <cellStyle name="Обычный 6 11 2 2 3 6" xfId="14941"/>
    <cellStyle name="Обычный 6 11 2 2 4" xfId="14942"/>
    <cellStyle name="Обычный 6 11 2 2 4 2" xfId="14943"/>
    <cellStyle name="Обычный 6 11 2 2 4 3" xfId="14944"/>
    <cellStyle name="Обычный 6 11 2 2 5" xfId="14945"/>
    <cellStyle name="Обычный 6 11 2 2 5 2" xfId="14946"/>
    <cellStyle name="Обычный 6 11 2 2 5 3" xfId="14947"/>
    <cellStyle name="Обычный 6 11 2 2 6" xfId="14948"/>
    <cellStyle name="Обычный 6 11 2 2 6 2" xfId="14949"/>
    <cellStyle name="Обычный 6 11 2 2 7" xfId="14950"/>
    <cellStyle name="Обычный 6 11 2 2 8" xfId="14951"/>
    <cellStyle name="Обычный 6 11 2 3" xfId="14952"/>
    <cellStyle name="Обычный 6 11 2 3 2" xfId="14953"/>
    <cellStyle name="Обычный 6 11 2 3 2 2" xfId="14954"/>
    <cellStyle name="Обычный 6 11 2 3 2 2 2" xfId="14955"/>
    <cellStyle name="Обычный 6 11 2 3 2 2 3" xfId="14956"/>
    <cellStyle name="Обычный 6 11 2 3 2 3" xfId="14957"/>
    <cellStyle name="Обычный 6 11 2 3 2 3 2" xfId="14958"/>
    <cellStyle name="Обычный 6 11 2 3 2 3 3" xfId="14959"/>
    <cellStyle name="Обычный 6 11 2 3 2 4" xfId="14960"/>
    <cellStyle name="Обычный 6 11 2 3 2 4 2" xfId="14961"/>
    <cellStyle name="Обычный 6 11 2 3 2 5" xfId="14962"/>
    <cellStyle name="Обычный 6 11 2 3 2 6" xfId="14963"/>
    <cellStyle name="Обычный 6 11 2 3 3" xfId="14964"/>
    <cellStyle name="Обычный 6 11 2 3 3 2" xfId="14965"/>
    <cellStyle name="Обычный 6 11 2 3 3 3" xfId="14966"/>
    <cellStyle name="Обычный 6 11 2 3 4" xfId="14967"/>
    <cellStyle name="Обычный 6 11 2 3 4 2" xfId="14968"/>
    <cellStyle name="Обычный 6 11 2 3 4 3" xfId="14969"/>
    <cellStyle name="Обычный 6 11 2 3 5" xfId="14970"/>
    <cellStyle name="Обычный 6 11 2 3 5 2" xfId="14971"/>
    <cellStyle name="Обычный 6 11 2 3 6" xfId="14972"/>
    <cellStyle name="Обычный 6 11 2 3 7" xfId="14973"/>
    <cellStyle name="Обычный 6 11 2 4" xfId="14974"/>
    <cellStyle name="Обычный 6 11 2 4 2" xfId="14975"/>
    <cellStyle name="Обычный 6 11 2 4 2 2" xfId="14976"/>
    <cellStyle name="Обычный 6 11 2 4 2 3" xfId="14977"/>
    <cellStyle name="Обычный 6 11 2 4 3" xfId="14978"/>
    <cellStyle name="Обычный 6 11 2 4 3 2" xfId="14979"/>
    <cellStyle name="Обычный 6 11 2 4 3 3" xfId="14980"/>
    <cellStyle name="Обычный 6 11 2 4 4" xfId="14981"/>
    <cellStyle name="Обычный 6 11 2 4 4 2" xfId="14982"/>
    <cellStyle name="Обычный 6 11 2 4 5" xfId="14983"/>
    <cellStyle name="Обычный 6 11 2 4 6" xfId="14984"/>
    <cellStyle name="Обычный 6 11 2 5" xfId="14985"/>
    <cellStyle name="Обычный 6 11 2 5 2" xfId="14986"/>
    <cellStyle name="Обычный 6 11 2 5 3" xfId="14987"/>
    <cellStyle name="Обычный 6 11 2 6" xfId="14988"/>
    <cellStyle name="Обычный 6 11 2 6 2" xfId="14989"/>
    <cellStyle name="Обычный 6 11 2 6 3" xfId="14990"/>
    <cellStyle name="Обычный 6 11 2 7" xfId="14991"/>
    <cellStyle name="Обычный 6 11 2 7 2" xfId="14992"/>
    <cellStyle name="Обычный 6 11 2 8" xfId="14993"/>
    <cellStyle name="Обычный 6 11 2 9" xfId="14994"/>
    <cellStyle name="Обычный 6 11 3" xfId="14995"/>
    <cellStyle name="Обычный 6 11 3 2" xfId="14996"/>
    <cellStyle name="Обычный 6 11 3 2 2" xfId="14997"/>
    <cellStyle name="Обычный 6 11 3 2 2 2" xfId="14998"/>
    <cellStyle name="Обычный 6 11 3 2 2 2 2" xfId="14999"/>
    <cellStyle name="Обычный 6 11 3 2 2 2 3" xfId="15000"/>
    <cellStyle name="Обычный 6 11 3 2 2 3" xfId="15001"/>
    <cellStyle name="Обычный 6 11 3 2 2 3 2" xfId="15002"/>
    <cellStyle name="Обычный 6 11 3 2 2 3 3" xfId="15003"/>
    <cellStyle name="Обычный 6 11 3 2 2 4" xfId="15004"/>
    <cellStyle name="Обычный 6 11 3 2 2 4 2" xfId="15005"/>
    <cellStyle name="Обычный 6 11 3 2 2 5" xfId="15006"/>
    <cellStyle name="Обычный 6 11 3 2 2 6" xfId="15007"/>
    <cellStyle name="Обычный 6 11 3 2 3" xfId="15008"/>
    <cellStyle name="Обычный 6 11 3 2 3 2" xfId="15009"/>
    <cellStyle name="Обычный 6 11 3 2 3 3" xfId="15010"/>
    <cellStyle name="Обычный 6 11 3 2 4" xfId="15011"/>
    <cellStyle name="Обычный 6 11 3 2 4 2" xfId="15012"/>
    <cellStyle name="Обычный 6 11 3 2 4 3" xfId="15013"/>
    <cellStyle name="Обычный 6 11 3 2 5" xfId="15014"/>
    <cellStyle name="Обычный 6 11 3 2 5 2" xfId="15015"/>
    <cellStyle name="Обычный 6 11 3 2 6" xfId="15016"/>
    <cellStyle name="Обычный 6 11 3 2 7" xfId="15017"/>
    <cellStyle name="Обычный 6 11 3 3" xfId="15018"/>
    <cellStyle name="Обычный 6 11 3 3 2" xfId="15019"/>
    <cellStyle name="Обычный 6 11 3 3 2 2" xfId="15020"/>
    <cellStyle name="Обычный 6 11 3 3 2 3" xfId="15021"/>
    <cellStyle name="Обычный 6 11 3 3 3" xfId="15022"/>
    <cellStyle name="Обычный 6 11 3 3 3 2" xfId="15023"/>
    <cellStyle name="Обычный 6 11 3 3 3 3" xfId="15024"/>
    <cellStyle name="Обычный 6 11 3 3 4" xfId="15025"/>
    <cellStyle name="Обычный 6 11 3 3 4 2" xfId="15026"/>
    <cellStyle name="Обычный 6 11 3 3 5" xfId="15027"/>
    <cellStyle name="Обычный 6 11 3 3 6" xfId="15028"/>
    <cellStyle name="Обычный 6 11 3 4" xfId="15029"/>
    <cellStyle name="Обычный 6 11 3 4 2" xfId="15030"/>
    <cellStyle name="Обычный 6 11 3 4 3" xfId="15031"/>
    <cellStyle name="Обычный 6 11 3 5" xfId="15032"/>
    <cellStyle name="Обычный 6 11 3 5 2" xfId="15033"/>
    <cellStyle name="Обычный 6 11 3 5 3" xfId="15034"/>
    <cellStyle name="Обычный 6 11 3 6" xfId="15035"/>
    <cellStyle name="Обычный 6 11 3 6 2" xfId="15036"/>
    <cellStyle name="Обычный 6 11 3 7" xfId="15037"/>
    <cellStyle name="Обычный 6 11 3 8" xfId="15038"/>
    <cellStyle name="Обычный 6 11 4" xfId="15039"/>
    <cellStyle name="Обычный 6 11 4 2" xfId="15040"/>
    <cellStyle name="Обычный 6 11 4 2 2" xfId="15041"/>
    <cellStyle name="Обычный 6 11 4 2 2 2" xfId="15042"/>
    <cellStyle name="Обычный 6 11 4 2 2 3" xfId="15043"/>
    <cellStyle name="Обычный 6 11 4 2 3" xfId="15044"/>
    <cellStyle name="Обычный 6 11 4 2 3 2" xfId="15045"/>
    <cellStyle name="Обычный 6 11 4 2 3 3" xfId="15046"/>
    <cellStyle name="Обычный 6 11 4 2 4" xfId="15047"/>
    <cellStyle name="Обычный 6 11 4 2 4 2" xfId="15048"/>
    <cellStyle name="Обычный 6 11 4 2 5" xfId="15049"/>
    <cellStyle name="Обычный 6 11 4 2 6" xfId="15050"/>
    <cellStyle name="Обычный 6 11 4 3" xfId="15051"/>
    <cellStyle name="Обычный 6 11 4 3 2" xfId="15052"/>
    <cellStyle name="Обычный 6 11 4 3 3" xfId="15053"/>
    <cellStyle name="Обычный 6 11 4 4" xfId="15054"/>
    <cellStyle name="Обычный 6 11 4 4 2" xfId="15055"/>
    <cellStyle name="Обычный 6 11 4 4 3" xfId="15056"/>
    <cellStyle name="Обычный 6 11 4 5" xfId="15057"/>
    <cellStyle name="Обычный 6 11 4 5 2" xfId="15058"/>
    <cellStyle name="Обычный 6 11 4 6" xfId="15059"/>
    <cellStyle name="Обычный 6 11 4 7" xfId="15060"/>
    <cellStyle name="Обычный 6 11 5" xfId="15061"/>
    <cellStyle name="Обычный 6 11 5 2" xfId="15062"/>
    <cellStyle name="Обычный 6 11 5 2 2" xfId="15063"/>
    <cellStyle name="Обычный 6 11 5 2 3" xfId="15064"/>
    <cellStyle name="Обычный 6 11 5 3" xfId="15065"/>
    <cellStyle name="Обычный 6 11 5 3 2" xfId="15066"/>
    <cellStyle name="Обычный 6 11 5 3 3" xfId="15067"/>
    <cellStyle name="Обычный 6 11 5 4" xfId="15068"/>
    <cellStyle name="Обычный 6 11 5 4 2" xfId="15069"/>
    <cellStyle name="Обычный 6 11 5 5" xfId="15070"/>
    <cellStyle name="Обычный 6 11 5 6" xfId="15071"/>
    <cellStyle name="Обычный 6 11 6" xfId="15072"/>
    <cellStyle name="Обычный 6 11 6 2" xfId="15073"/>
    <cellStyle name="Обычный 6 11 6 3" xfId="15074"/>
    <cellStyle name="Обычный 6 11 7" xfId="15075"/>
    <cellStyle name="Обычный 6 11 7 2" xfId="15076"/>
    <cellStyle name="Обычный 6 11 7 3" xfId="15077"/>
    <cellStyle name="Обычный 6 11 8" xfId="15078"/>
    <cellStyle name="Обычный 6 11 8 2" xfId="15079"/>
    <cellStyle name="Обычный 6 11 9" xfId="15080"/>
    <cellStyle name="Обычный 6 12" xfId="15081"/>
    <cellStyle name="Обычный 6 12 10" xfId="15082"/>
    <cellStyle name="Обычный 6 12 2" xfId="15083"/>
    <cellStyle name="Обычный 6 12 2 2" xfId="15084"/>
    <cellStyle name="Обычный 6 12 2 2 2" xfId="15085"/>
    <cellStyle name="Обычный 6 12 2 2 2 2" xfId="15086"/>
    <cellStyle name="Обычный 6 12 2 2 2 2 2" xfId="15087"/>
    <cellStyle name="Обычный 6 12 2 2 2 2 2 2" xfId="15088"/>
    <cellStyle name="Обычный 6 12 2 2 2 2 2 3" xfId="15089"/>
    <cellStyle name="Обычный 6 12 2 2 2 2 3" xfId="15090"/>
    <cellStyle name="Обычный 6 12 2 2 2 2 3 2" xfId="15091"/>
    <cellStyle name="Обычный 6 12 2 2 2 2 3 3" xfId="15092"/>
    <cellStyle name="Обычный 6 12 2 2 2 2 4" xfId="15093"/>
    <cellStyle name="Обычный 6 12 2 2 2 2 4 2" xfId="15094"/>
    <cellStyle name="Обычный 6 12 2 2 2 2 5" xfId="15095"/>
    <cellStyle name="Обычный 6 12 2 2 2 2 6" xfId="15096"/>
    <cellStyle name="Обычный 6 12 2 2 2 3" xfId="15097"/>
    <cellStyle name="Обычный 6 12 2 2 2 3 2" xfId="15098"/>
    <cellStyle name="Обычный 6 12 2 2 2 3 3" xfId="15099"/>
    <cellStyle name="Обычный 6 12 2 2 2 4" xfId="15100"/>
    <cellStyle name="Обычный 6 12 2 2 2 4 2" xfId="15101"/>
    <cellStyle name="Обычный 6 12 2 2 2 4 3" xfId="15102"/>
    <cellStyle name="Обычный 6 12 2 2 2 5" xfId="15103"/>
    <cellStyle name="Обычный 6 12 2 2 2 5 2" xfId="15104"/>
    <cellStyle name="Обычный 6 12 2 2 2 6" xfId="15105"/>
    <cellStyle name="Обычный 6 12 2 2 2 7" xfId="15106"/>
    <cellStyle name="Обычный 6 12 2 2 3" xfId="15107"/>
    <cellStyle name="Обычный 6 12 2 2 3 2" xfId="15108"/>
    <cellStyle name="Обычный 6 12 2 2 3 2 2" xfId="15109"/>
    <cellStyle name="Обычный 6 12 2 2 3 2 3" xfId="15110"/>
    <cellStyle name="Обычный 6 12 2 2 3 3" xfId="15111"/>
    <cellStyle name="Обычный 6 12 2 2 3 3 2" xfId="15112"/>
    <cellStyle name="Обычный 6 12 2 2 3 3 3" xfId="15113"/>
    <cellStyle name="Обычный 6 12 2 2 3 4" xfId="15114"/>
    <cellStyle name="Обычный 6 12 2 2 3 4 2" xfId="15115"/>
    <cellStyle name="Обычный 6 12 2 2 3 5" xfId="15116"/>
    <cellStyle name="Обычный 6 12 2 2 3 6" xfId="15117"/>
    <cellStyle name="Обычный 6 12 2 2 4" xfId="15118"/>
    <cellStyle name="Обычный 6 12 2 2 4 2" xfId="15119"/>
    <cellStyle name="Обычный 6 12 2 2 4 3" xfId="15120"/>
    <cellStyle name="Обычный 6 12 2 2 5" xfId="15121"/>
    <cellStyle name="Обычный 6 12 2 2 5 2" xfId="15122"/>
    <cellStyle name="Обычный 6 12 2 2 5 3" xfId="15123"/>
    <cellStyle name="Обычный 6 12 2 2 6" xfId="15124"/>
    <cellStyle name="Обычный 6 12 2 2 6 2" xfId="15125"/>
    <cellStyle name="Обычный 6 12 2 2 7" xfId="15126"/>
    <cellStyle name="Обычный 6 12 2 2 8" xfId="15127"/>
    <cellStyle name="Обычный 6 12 2 3" xfId="15128"/>
    <cellStyle name="Обычный 6 12 2 3 2" xfId="15129"/>
    <cellStyle name="Обычный 6 12 2 3 2 2" xfId="15130"/>
    <cellStyle name="Обычный 6 12 2 3 2 2 2" xfId="15131"/>
    <cellStyle name="Обычный 6 12 2 3 2 2 3" xfId="15132"/>
    <cellStyle name="Обычный 6 12 2 3 2 3" xfId="15133"/>
    <cellStyle name="Обычный 6 12 2 3 2 3 2" xfId="15134"/>
    <cellStyle name="Обычный 6 12 2 3 2 3 3" xfId="15135"/>
    <cellStyle name="Обычный 6 12 2 3 2 4" xfId="15136"/>
    <cellStyle name="Обычный 6 12 2 3 2 4 2" xfId="15137"/>
    <cellStyle name="Обычный 6 12 2 3 2 5" xfId="15138"/>
    <cellStyle name="Обычный 6 12 2 3 2 6" xfId="15139"/>
    <cellStyle name="Обычный 6 12 2 3 3" xfId="15140"/>
    <cellStyle name="Обычный 6 12 2 3 3 2" xfId="15141"/>
    <cellStyle name="Обычный 6 12 2 3 3 3" xfId="15142"/>
    <cellStyle name="Обычный 6 12 2 3 4" xfId="15143"/>
    <cellStyle name="Обычный 6 12 2 3 4 2" xfId="15144"/>
    <cellStyle name="Обычный 6 12 2 3 4 3" xfId="15145"/>
    <cellStyle name="Обычный 6 12 2 3 5" xfId="15146"/>
    <cellStyle name="Обычный 6 12 2 3 5 2" xfId="15147"/>
    <cellStyle name="Обычный 6 12 2 3 6" xfId="15148"/>
    <cellStyle name="Обычный 6 12 2 3 7" xfId="15149"/>
    <cellStyle name="Обычный 6 12 2 4" xfId="15150"/>
    <cellStyle name="Обычный 6 12 2 4 2" xfId="15151"/>
    <cellStyle name="Обычный 6 12 2 4 2 2" xfId="15152"/>
    <cellStyle name="Обычный 6 12 2 4 2 3" xfId="15153"/>
    <cellStyle name="Обычный 6 12 2 4 3" xfId="15154"/>
    <cellStyle name="Обычный 6 12 2 4 3 2" xfId="15155"/>
    <cellStyle name="Обычный 6 12 2 4 3 3" xfId="15156"/>
    <cellStyle name="Обычный 6 12 2 4 4" xfId="15157"/>
    <cellStyle name="Обычный 6 12 2 4 4 2" xfId="15158"/>
    <cellStyle name="Обычный 6 12 2 4 5" xfId="15159"/>
    <cellStyle name="Обычный 6 12 2 4 6" xfId="15160"/>
    <cellStyle name="Обычный 6 12 2 5" xfId="15161"/>
    <cellStyle name="Обычный 6 12 2 5 2" xfId="15162"/>
    <cellStyle name="Обычный 6 12 2 5 3" xfId="15163"/>
    <cellStyle name="Обычный 6 12 2 6" xfId="15164"/>
    <cellStyle name="Обычный 6 12 2 6 2" xfId="15165"/>
    <cellStyle name="Обычный 6 12 2 6 3" xfId="15166"/>
    <cellStyle name="Обычный 6 12 2 7" xfId="15167"/>
    <cellStyle name="Обычный 6 12 2 7 2" xfId="15168"/>
    <cellStyle name="Обычный 6 12 2 8" xfId="15169"/>
    <cellStyle name="Обычный 6 12 2 9" xfId="15170"/>
    <cellStyle name="Обычный 6 12 3" xfId="15171"/>
    <cellStyle name="Обычный 6 12 3 2" xfId="15172"/>
    <cellStyle name="Обычный 6 12 3 2 2" xfId="15173"/>
    <cellStyle name="Обычный 6 12 3 2 2 2" xfId="15174"/>
    <cellStyle name="Обычный 6 12 3 2 2 2 2" xfId="15175"/>
    <cellStyle name="Обычный 6 12 3 2 2 2 3" xfId="15176"/>
    <cellStyle name="Обычный 6 12 3 2 2 3" xfId="15177"/>
    <cellStyle name="Обычный 6 12 3 2 2 3 2" xfId="15178"/>
    <cellStyle name="Обычный 6 12 3 2 2 3 3" xfId="15179"/>
    <cellStyle name="Обычный 6 12 3 2 2 4" xfId="15180"/>
    <cellStyle name="Обычный 6 12 3 2 2 4 2" xfId="15181"/>
    <cellStyle name="Обычный 6 12 3 2 2 5" xfId="15182"/>
    <cellStyle name="Обычный 6 12 3 2 2 6" xfId="15183"/>
    <cellStyle name="Обычный 6 12 3 2 3" xfId="15184"/>
    <cellStyle name="Обычный 6 12 3 2 3 2" xfId="15185"/>
    <cellStyle name="Обычный 6 12 3 2 3 3" xfId="15186"/>
    <cellStyle name="Обычный 6 12 3 2 4" xfId="15187"/>
    <cellStyle name="Обычный 6 12 3 2 4 2" xfId="15188"/>
    <cellStyle name="Обычный 6 12 3 2 4 3" xfId="15189"/>
    <cellStyle name="Обычный 6 12 3 2 5" xfId="15190"/>
    <cellStyle name="Обычный 6 12 3 2 5 2" xfId="15191"/>
    <cellStyle name="Обычный 6 12 3 2 6" xfId="15192"/>
    <cellStyle name="Обычный 6 12 3 2 7" xfId="15193"/>
    <cellStyle name="Обычный 6 12 3 3" xfId="15194"/>
    <cellStyle name="Обычный 6 12 3 3 2" xfId="15195"/>
    <cellStyle name="Обычный 6 12 3 3 2 2" xfId="15196"/>
    <cellStyle name="Обычный 6 12 3 3 2 3" xfId="15197"/>
    <cellStyle name="Обычный 6 12 3 3 3" xfId="15198"/>
    <cellStyle name="Обычный 6 12 3 3 3 2" xfId="15199"/>
    <cellStyle name="Обычный 6 12 3 3 3 3" xfId="15200"/>
    <cellStyle name="Обычный 6 12 3 3 4" xfId="15201"/>
    <cellStyle name="Обычный 6 12 3 3 4 2" xfId="15202"/>
    <cellStyle name="Обычный 6 12 3 3 5" xfId="15203"/>
    <cellStyle name="Обычный 6 12 3 3 6" xfId="15204"/>
    <cellStyle name="Обычный 6 12 3 4" xfId="15205"/>
    <cellStyle name="Обычный 6 12 3 4 2" xfId="15206"/>
    <cellStyle name="Обычный 6 12 3 4 3" xfId="15207"/>
    <cellStyle name="Обычный 6 12 3 5" xfId="15208"/>
    <cellStyle name="Обычный 6 12 3 5 2" xfId="15209"/>
    <cellStyle name="Обычный 6 12 3 5 3" xfId="15210"/>
    <cellStyle name="Обычный 6 12 3 6" xfId="15211"/>
    <cellStyle name="Обычный 6 12 3 6 2" xfId="15212"/>
    <cellStyle name="Обычный 6 12 3 7" xfId="15213"/>
    <cellStyle name="Обычный 6 12 3 8" xfId="15214"/>
    <cellStyle name="Обычный 6 12 4" xfId="15215"/>
    <cellStyle name="Обычный 6 12 4 2" xfId="15216"/>
    <cellStyle name="Обычный 6 12 4 2 2" xfId="15217"/>
    <cellStyle name="Обычный 6 12 4 2 2 2" xfId="15218"/>
    <cellStyle name="Обычный 6 12 4 2 2 3" xfId="15219"/>
    <cellStyle name="Обычный 6 12 4 2 3" xfId="15220"/>
    <cellStyle name="Обычный 6 12 4 2 3 2" xfId="15221"/>
    <cellStyle name="Обычный 6 12 4 2 3 3" xfId="15222"/>
    <cellStyle name="Обычный 6 12 4 2 4" xfId="15223"/>
    <cellStyle name="Обычный 6 12 4 2 4 2" xfId="15224"/>
    <cellStyle name="Обычный 6 12 4 2 5" xfId="15225"/>
    <cellStyle name="Обычный 6 12 4 2 6" xfId="15226"/>
    <cellStyle name="Обычный 6 12 4 3" xfId="15227"/>
    <cellStyle name="Обычный 6 12 4 3 2" xfId="15228"/>
    <cellStyle name="Обычный 6 12 4 3 3" xfId="15229"/>
    <cellStyle name="Обычный 6 12 4 4" xfId="15230"/>
    <cellStyle name="Обычный 6 12 4 4 2" xfId="15231"/>
    <cellStyle name="Обычный 6 12 4 4 3" xfId="15232"/>
    <cellStyle name="Обычный 6 12 4 5" xfId="15233"/>
    <cellStyle name="Обычный 6 12 4 5 2" xfId="15234"/>
    <cellStyle name="Обычный 6 12 4 6" xfId="15235"/>
    <cellStyle name="Обычный 6 12 4 7" xfId="15236"/>
    <cellStyle name="Обычный 6 12 5" xfId="15237"/>
    <cellStyle name="Обычный 6 12 5 2" xfId="15238"/>
    <cellStyle name="Обычный 6 12 5 2 2" xfId="15239"/>
    <cellStyle name="Обычный 6 12 5 2 3" xfId="15240"/>
    <cellStyle name="Обычный 6 12 5 3" xfId="15241"/>
    <cellStyle name="Обычный 6 12 5 3 2" xfId="15242"/>
    <cellStyle name="Обычный 6 12 5 3 3" xfId="15243"/>
    <cellStyle name="Обычный 6 12 5 4" xfId="15244"/>
    <cellStyle name="Обычный 6 12 5 4 2" xfId="15245"/>
    <cellStyle name="Обычный 6 12 5 5" xfId="15246"/>
    <cellStyle name="Обычный 6 12 5 6" xfId="15247"/>
    <cellStyle name="Обычный 6 12 6" xfId="15248"/>
    <cellStyle name="Обычный 6 12 6 2" xfId="15249"/>
    <cellStyle name="Обычный 6 12 6 3" xfId="15250"/>
    <cellStyle name="Обычный 6 12 7" xfId="15251"/>
    <cellStyle name="Обычный 6 12 7 2" xfId="15252"/>
    <cellStyle name="Обычный 6 12 7 3" xfId="15253"/>
    <cellStyle name="Обычный 6 12 8" xfId="15254"/>
    <cellStyle name="Обычный 6 12 8 2" xfId="15255"/>
    <cellStyle name="Обычный 6 12 9" xfId="15256"/>
    <cellStyle name="Обычный 6 13" xfId="15257"/>
    <cellStyle name="Обычный 6 13 2" xfId="15258"/>
    <cellStyle name="Обычный 6 13 2 2" xfId="15259"/>
    <cellStyle name="Обычный 6 13 2 2 2" xfId="15260"/>
    <cellStyle name="Обычный 6 13 2 2 2 2" xfId="15261"/>
    <cellStyle name="Обычный 6 13 2 2 2 2 2" xfId="15262"/>
    <cellStyle name="Обычный 6 13 2 2 2 2 3" xfId="15263"/>
    <cellStyle name="Обычный 6 13 2 2 2 3" xfId="15264"/>
    <cellStyle name="Обычный 6 13 2 2 2 3 2" xfId="15265"/>
    <cellStyle name="Обычный 6 13 2 2 2 3 3" xfId="15266"/>
    <cellStyle name="Обычный 6 13 2 2 2 4" xfId="15267"/>
    <cellStyle name="Обычный 6 13 2 2 2 4 2" xfId="15268"/>
    <cellStyle name="Обычный 6 13 2 2 2 5" xfId="15269"/>
    <cellStyle name="Обычный 6 13 2 2 2 6" xfId="15270"/>
    <cellStyle name="Обычный 6 13 2 2 3" xfId="15271"/>
    <cellStyle name="Обычный 6 13 2 2 3 2" xfId="15272"/>
    <cellStyle name="Обычный 6 13 2 2 3 3" xfId="15273"/>
    <cellStyle name="Обычный 6 13 2 2 4" xfId="15274"/>
    <cellStyle name="Обычный 6 13 2 2 4 2" xfId="15275"/>
    <cellStyle name="Обычный 6 13 2 2 4 3" xfId="15276"/>
    <cellStyle name="Обычный 6 13 2 2 5" xfId="15277"/>
    <cellStyle name="Обычный 6 13 2 2 5 2" xfId="15278"/>
    <cellStyle name="Обычный 6 13 2 2 6" xfId="15279"/>
    <cellStyle name="Обычный 6 13 2 2 7" xfId="15280"/>
    <cellStyle name="Обычный 6 13 2 3" xfId="15281"/>
    <cellStyle name="Обычный 6 13 2 3 2" xfId="15282"/>
    <cellStyle name="Обычный 6 13 2 3 2 2" xfId="15283"/>
    <cellStyle name="Обычный 6 13 2 3 2 3" xfId="15284"/>
    <cellStyle name="Обычный 6 13 2 3 3" xfId="15285"/>
    <cellStyle name="Обычный 6 13 2 3 3 2" xfId="15286"/>
    <cellStyle name="Обычный 6 13 2 3 3 3" xfId="15287"/>
    <cellStyle name="Обычный 6 13 2 3 4" xfId="15288"/>
    <cellStyle name="Обычный 6 13 2 3 4 2" xfId="15289"/>
    <cellStyle name="Обычный 6 13 2 3 5" xfId="15290"/>
    <cellStyle name="Обычный 6 13 2 3 6" xfId="15291"/>
    <cellStyle name="Обычный 6 13 2 4" xfId="15292"/>
    <cellStyle name="Обычный 6 13 2 4 2" xfId="15293"/>
    <cellStyle name="Обычный 6 13 2 4 3" xfId="15294"/>
    <cellStyle name="Обычный 6 13 2 5" xfId="15295"/>
    <cellStyle name="Обычный 6 13 2 5 2" xfId="15296"/>
    <cellStyle name="Обычный 6 13 2 5 3" xfId="15297"/>
    <cellStyle name="Обычный 6 13 2 6" xfId="15298"/>
    <cellStyle name="Обычный 6 13 2 6 2" xfId="15299"/>
    <cellStyle name="Обычный 6 13 2 7" xfId="15300"/>
    <cellStyle name="Обычный 6 13 2 8" xfId="15301"/>
    <cellStyle name="Обычный 6 13 3" xfId="15302"/>
    <cellStyle name="Обычный 6 13 3 2" xfId="15303"/>
    <cellStyle name="Обычный 6 13 3 2 2" xfId="15304"/>
    <cellStyle name="Обычный 6 13 3 2 2 2" xfId="15305"/>
    <cellStyle name="Обычный 6 13 3 2 2 3" xfId="15306"/>
    <cellStyle name="Обычный 6 13 3 2 3" xfId="15307"/>
    <cellStyle name="Обычный 6 13 3 2 3 2" xfId="15308"/>
    <cellStyle name="Обычный 6 13 3 2 3 3" xfId="15309"/>
    <cellStyle name="Обычный 6 13 3 2 4" xfId="15310"/>
    <cellStyle name="Обычный 6 13 3 2 4 2" xfId="15311"/>
    <cellStyle name="Обычный 6 13 3 2 5" xfId="15312"/>
    <cellStyle name="Обычный 6 13 3 2 6" xfId="15313"/>
    <cellStyle name="Обычный 6 13 3 3" xfId="15314"/>
    <cellStyle name="Обычный 6 13 3 3 2" xfId="15315"/>
    <cellStyle name="Обычный 6 13 3 3 3" xfId="15316"/>
    <cellStyle name="Обычный 6 13 3 4" xfId="15317"/>
    <cellStyle name="Обычный 6 13 3 4 2" xfId="15318"/>
    <cellStyle name="Обычный 6 13 3 4 3" xfId="15319"/>
    <cellStyle name="Обычный 6 13 3 5" xfId="15320"/>
    <cellStyle name="Обычный 6 13 3 5 2" xfId="15321"/>
    <cellStyle name="Обычный 6 13 3 6" xfId="15322"/>
    <cellStyle name="Обычный 6 13 3 7" xfId="15323"/>
    <cellStyle name="Обычный 6 13 4" xfId="15324"/>
    <cellStyle name="Обычный 6 13 4 2" xfId="15325"/>
    <cellStyle name="Обычный 6 13 4 2 2" xfId="15326"/>
    <cellStyle name="Обычный 6 13 4 2 3" xfId="15327"/>
    <cellStyle name="Обычный 6 13 4 3" xfId="15328"/>
    <cellStyle name="Обычный 6 13 4 3 2" xfId="15329"/>
    <cellStyle name="Обычный 6 13 4 3 3" xfId="15330"/>
    <cellStyle name="Обычный 6 13 4 4" xfId="15331"/>
    <cellStyle name="Обычный 6 13 4 4 2" xfId="15332"/>
    <cellStyle name="Обычный 6 13 4 5" xfId="15333"/>
    <cellStyle name="Обычный 6 13 4 6" xfId="15334"/>
    <cellStyle name="Обычный 6 13 5" xfId="15335"/>
    <cellStyle name="Обычный 6 13 5 2" xfId="15336"/>
    <cellStyle name="Обычный 6 13 5 3" xfId="15337"/>
    <cellStyle name="Обычный 6 13 6" xfId="15338"/>
    <cellStyle name="Обычный 6 13 6 2" xfId="15339"/>
    <cellStyle name="Обычный 6 13 6 3" xfId="15340"/>
    <cellStyle name="Обычный 6 13 7" xfId="15341"/>
    <cellStyle name="Обычный 6 13 7 2" xfId="15342"/>
    <cellStyle name="Обычный 6 13 8" xfId="15343"/>
    <cellStyle name="Обычный 6 13 9" xfId="15344"/>
    <cellStyle name="Обычный 6 14" xfId="15345"/>
    <cellStyle name="Обычный 6 14 2" xfId="15346"/>
    <cellStyle name="Обычный 6 14 2 2" xfId="15347"/>
    <cellStyle name="Обычный 6 14 2 2 2" xfId="15348"/>
    <cellStyle name="Обычный 6 14 2 2 2 2" xfId="15349"/>
    <cellStyle name="Обычный 6 14 2 2 2 3" xfId="15350"/>
    <cellStyle name="Обычный 6 14 2 2 3" xfId="15351"/>
    <cellStyle name="Обычный 6 14 2 2 3 2" xfId="15352"/>
    <cellStyle name="Обычный 6 14 2 2 3 3" xfId="15353"/>
    <cellStyle name="Обычный 6 14 2 2 4" xfId="15354"/>
    <cellStyle name="Обычный 6 14 2 2 4 2" xfId="15355"/>
    <cellStyle name="Обычный 6 14 2 2 5" xfId="15356"/>
    <cellStyle name="Обычный 6 14 2 2 6" xfId="15357"/>
    <cellStyle name="Обычный 6 14 2 3" xfId="15358"/>
    <cellStyle name="Обычный 6 14 2 3 2" xfId="15359"/>
    <cellStyle name="Обычный 6 14 2 3 3" xfId="15360"/>
    <cellStyle name="Обычный 6 14 2 4" xfId="15361"/>
    <cellStyle name="Обычный 6 14 2 4 2" xfId="15362"/>
    <cellStyle name="Обычный 6 14 2 4 3" xfId="15363"/>
    <cellStyle name="Обычный 6 14 2 5" xfId="15364"/>
    <cellStyle name="Обычный 6 14 2 5 2" xfId="15365"/>
    <cellStyle name="Обычный 6 14 2 6" xfId="15366"/>
    <cellStyle name="Обычный 6 14 2 7" xfId="15367"/>
    <cellStyle name="Обычный 6 14 3" xfId="15368"/>
    <cellStyle name="Обычный 6 14 3 2" xfId="15369"/>
    <cellStyle name="Обычный 6 14 3 2 2" xfId="15370"/>
    <cellStyle name="Обычный 6 14 3 2 3" xfId="15371"/>
    <cellStyle name="Обычный 6 14 3 3" xfId="15372"/>
    <cellStyle name="Обычный 6 14 3 3 2" xfId="15373"/>
    <cellStyle name="Обычный 6 14 3 3 3" xfId="15374"/>
    <cellStyle name="Обычный 6 14 3 4" xfId="15375"/>
    <cellStyle name="Обычный 6 14 3 4 2" xfId="15376"/>
    <cellStyle name="Обычный 6 14 3 5" xfId="15377"/>
    <cellStyle name="Обычный 6 14 3 6" xfId="15378"/>
    <cellStyle name="Обычный 6 14 4" xfId="15379"/>
    <cellStyle name="Обычный 6 14 4 2" xfId="15380"/>
    <cellStyle name="Обычный 6 14 4 3" xfId="15381"/>
    <cellStyle name="Обычный 6 14 5" xfId="15382"/>
    <cellStyle name="Обычный 6 14 5 2" xfId="15383"/>
    <cellStyle name="Обычный 6 14 5 3" xfId="15384"/>
    <cellStyle name="Обычный 6 14 6" xfId="15385"/>
    <cellStyle name="Обычный 6 14 6 2" xfId="15386"/>
    <cellStyle name="Обычный 6 14 7" xfId="15387"/>
    <cellStyle name="Обычный 6 14 8" xfId="15388"/>
    <cellStyle name="Обычный 6 15" xfId="15389"/>
    <cellStyle name="Обычный 6 15 2" xfId="15390"/>
    <cellStyle name="Обычный 6 15 2 2" xfId="15391"/>
    <cellStyle name="Обычный 6 15 2 2 2" xfId="15392"/>
    <cellStyle name="Обычный 6 15 2 2 3" xfId="15393"/>
    <cellStyle name="Обычный 6 15 2 3" xfId="15394"/>
    <cellStyle name="Обычный 6 15 2 3 2" xfId="15395"/>
    <cellStyle name="Обычный 6 15 2 3 3" xfId="15396"/>
    <cellStyle name="Обычный 6 15 2 4" xfId="15397"/>
    <cellStyle name="Обычный 6 15 2 4 2" xfId="15398"/>
    <cellStyle name="Обычный 6 15 2 5" xfId="15399"/>
    <cellStyle name="Обычный 6 15 2 6" xfId="15400"/>
    <cellStyle name="Обычный 6 15 3" xfId="15401"/>
    <cellStyle name="Обычный 6 15 3 2" xfId="15402"/>
    <cellStyle name="Обычный 6 15 3 3" xfId="15403"/>
    <cellStyle name="Обычный 6 15 4" xfId="15404"/>
    <cellStyle name="Обычный 6 15 4 2" xfId="15405"/>
    <cellStyle name="Обычный 6 15 4 3" xfId="15406"/>
    <cellStyle name="Обычный 6 15 5" xfId="15407"/>
    <cellStyle name="Обычный 6 15 5 2" xfId="15408"/>
    <cellStyle name="Обычный 6 15 6" xfId="15409"/>
    <cellStyle name="Обычный 6 15 7" xfId="15410"/>
    <cellStyle name="Обычный 6 16" xfId="15411"/>
    <cellStyle name="Обычный 6 16 2" xfId="15412"/>
    <cellStyle name="Обычный 6 16 2 2" xfId="15413"/>
    <cellStyle name="Обычный 6 16 2 3" xfId="15414"/>
    <cellStyle name="Обычный 6 16 3" xfId="15415"/>
    <cellStyle name="Обычный 6 16 3 2" xfId="15416"/>
    <cellStyle name="Обычный 6 16 3 3" xfId="15417"/>
    <cellStyle name="Обычный 6 16 4" xfId="15418"/>
    <cellStyle name="Обычный 6 16 4 2" xfId="15419"/>
    <cellStyle name="Обычный 6 16 5" xfId="15420"/>
    <cellStyle name="Обычный 6 16 6" xfId="15421"/>
    <cellStyle name="Обычный 6 17" xfId="15422"/>
    <cellStyle name="Обычный 6 17 2" xfId="15423"/>
    <cellStyle name="Обычный 6 17 3" xfId="15424"/>
    <cellStyle name="Обычный 6 18" xfId="15425"/>
    <cellStyle name="Обычный 6 18 2" xfId="15426"/>
    <cellStyle name="Обычный 6 18 3" xfId="15427"/>
    <cellStyle name="Обычный 6 19" xfId="15428"/>
    <cellStyle name="Обычный 6 19 2" xfId="15429"/>
    <cellStyle name="Обычный 6 2" xfId="15430"/>
    <cellStyle name="Обычный 6 2 10" xfId="15431"/>
    <cellStyle name="Обычный 6 2 10 2" xfId="15432"/>
    <cellStyle name="Обычный 6 2 10 3" xfId="15433"/>
    <cellStyle name="Обычный 6 2 11" xfId="15434"/>
    <cellStyle name="Обычный 6 2 11 2" xfId="15435"/>
    <cellStyle name="Обычный 6 2 11 3" xfId="15436"/>
    <cellStyle name="Обычный 6 2 12" xfId="15437"/>
    <cellStyle name="Обычный 6 2 12 2" xfId="15438"/>
    <cellStyle name="Обычный 6 2 13" xfId="15439"/>
    <cellStyle name="Обычный 6 2 14" xfId="15440"/>
    <cellStyle name="Обычный 6 2 15" xfId="15441"/>
    <cellStyle name="Обычный 6 2 2" xfId="15442"/>
    <cellStyle name="Обычный 6 2 2 10" xfId="15443"/>
    <cellStyle name="Обычный 6 2 2 10 2" xfId="15444"/>
    <cellStyle name="Обычный 6 2 2 10 3" xfId="15445"/>
    <cellStyle name="Обычный 6 2 2 11" xfId="15446"/>
    <cellStyle name="Обычный 6 2 2 11 2" xfId="15447"/>
    <cellStyle name="Обычный 6 2 2 12" xfId="15448"/>
    <cellStyle name="Обычный 6 2 2 13" xfId="15449"/>
    <cellStyle name="Обычный 6 2 2 2" xfId="15450"/>
    <cellStyle name="Обычный 6 2 2 2 10" xfId="15451"/>
    <cellStyle name="Обычный 6 2 2 2 2" xfId="15452"/>
    <cellStyle name="Обычный 6 2 2 2 2 2" xfId="15453"/>
    <cellStyle name="Обычный 6 2 2 2 2 2 2" xfId="15454"/>
    <cellStyle name="Обычный 6 2 2 2 2 2 2 2" xfId="15455"/>
    <cellStyle name="Обычный 6 2 2 2 2 2 2 2 2" xfId="15456"/>
    <cellStyle name="Обычный 6 2 2 2 2 2 2 2 2 2" xfId="15457"/>
    <cellStyle name="Обычный 6 2 2 2 2 2 2 2 2 3" xfId="15458"/>
    <cellStyle name="Обычный 6 2 2 2 2 2 2 2 3" xfId="15459"/>
    <cellStyle name="Обычный 6 2 2 2 2 2 2 2 3 2" xfId="15460"/>
    <cellStyle name="Обычный 6 2 2 2 2 2 2 2 3 3" xfId="15461"/>
    <cellStyle name="Обычный 6 2 2 2 2 2 2 2 4" xfId="15462"/>
    <cellStyle name="Обычный 6 2 2 2 2 2 2 2 4 2" xfId="15463"/>
    <cellStyle name="Обычный 6 2 2 2 2 2 2 2 5" xfId="15464"/>
    <cellStyle name="Обычный 6 2 2 2 2 2 2 2 6" xfId="15465"/>
    <cellStyle name="Обычный 6 2 2 2 2 2 2 3" xfId="15466"/>
    <cellStyle name="Обычный 6 2 2 2 2 2 2 3 2" xfId="15467"/>
    <cellStyle name="Обычный 6 2 2 2 2 2 2 3 3" xfId="15468"/>
    <cellStyle name="Обычный 6 2 2 2 2 2 2 4" xfId="15469"/>
    <cellStyle name="Обычный 6 2 2 2 2 2 2 4 2" xfId="15470"/>
    <cellStyle name="Обычный 6 2 2 2 2 2 2 4 3" xfId="15471"/>
    <cellStyle name="Обычный 6 2 2 2 2 2 2 5" xfId="15472"/>
    <cellStyle name="Обычный 6 2 2 2 2 2 2 5 2" xfId="15473"/>
    <cellStyle name="Обычный 6 2 2 2 2 2 2 6" xfId="15474"/>
    <cellStyle name="Обычный 6 2 2 2 2 2 2 7" xfId="15475"/>
    <cellStyle name="Обычный 6 2 2 2 2 2 3" xfId="15476"/>
    <cellStyle name="Обычный 6 2 2 2 2 2 3 2" xfId="15477"/>
    <cellStyle name="Обычный 6 2 2 2 2 2 3 2 2" xfId="15478"/>
    <cellStyle name="Обычный 6 2 2 2 2 2 3 2 3" xfId="15479"/>
    <cellStyle name="Обычный 6 2 2 2 2 2 3 3" xfId="15480"/>
    <cellStyle name="Обычный 6 2 2 2 2 2 3 3 2" xfId="15481"/>
    <cellStyle name="Обычный 6 2 2 2 2 2 3 3 3" xfId="15482"/>
    <cellStyle name="Обычный 6 2 2 2 2 2 3 4" xfId="15483"/>
    <cellStyle name="Обычный 6 2 2 2 2 2 3 4 2" xfId="15484"/>
    <cellStyle name="Обычный 6 2 2 2 2 2 3 5" xfId="15485"/>
    <cellStyle name="Обычный 6 2 2 2 2 2 3 6" xfId="15486"/>
    <cellStyle name="Обычный 6 2 2 2 2 2 4" xfId="15487"/>
    <cellStyle name="Обычный 6 2 2 2 2 2 4 2" xfId="15488"/>
    <cellStyle name="Обычный 6 2 2 2 2 2 4 3" xfId="15489"/>
    <cellStyle name="Обычный 6 2 2 2 2 2 5" xfId="15490"/>
    <cellStyle name="Обычный 6 2 2 2 2 2 5 2" xfId="15491"/>
    <cellStyle name="Обычный 6 2 2 2 2 2 5 3" xfId="15492"/>
    <cellStyle name="Обычный 6 2 2 2 2 2 6" xfId="15493"/>
    <cellStyle name="Обычный 6 2 2 2 2 2 6 2" xfId="15494"/>
    <cellStyle name="Обычный 6 2 2 2 2 2 7" xfId="15495"/>
    <cellStyle name="Обычный 6 2 2 2 2 2 8" xfId="15496"/>
    <cellStyle name="Обычный 6 2 2 2 2 3" xfId="15497"/>
    <cellStyle name="Обычный 6 2 2 2 2 3 2" xfId="15498"/>
    <cellStyle name="Обычный 6 2 2 2 2 3 2 2" xfId="15499"/>
    <cellStyle name="Обычный 6 2 2 2 2 3 2 2 2" xfId="15500"/>
    <cellStyle name="Обычный 6 2 2 2 2 3 2 2 3" xfId="15501"/>
    <cellStyle name="Обычный 6 2 2 2 2 3 2 3" xfId="15502"/>
    <cellStyle name="Обычный 6 2 2 2 2 3 2 3 2" xfId="15503"/>
    <cellStyle name="Обычный 6 2 2 2 2 3 2 3 3" xfId="15504"/>
    <cellStyle name="Обычный 6 2 2 2 2 3 2 4" xfId="15505"/>
    <cellStyle name="Обычный 6 2 2 2 2 3 2 4 2" xfId="15506"/>
    <cellStyle name="Обычный 6 2 2 2 2 3 2 5" xfId="15507"/>
    <cellStyle name="Обычный 6 2 2 2 2 3 2 6" xfId="15508"/>
    <cellStyle name="Обычный 6 2 2 2 2 3 3" xfId="15509"/>
    <cellStyle name="Обычный 6 2 2 2 2 3 3 2" xfId="15510"/>
    <cellStyle name="Обычный 6 2 2 2 2 3 3 3" xfId="15511"/>
    <cellStyle name="Обычный 6 2 2 2 2 3 4" xfId="15512"/>
    <cellStyle name="Обычный 6 2 2 2 2 3 4 2" xfId="15513"/>
    <cellStyle name="Обычный 6 2 2 2 2 3 4 3" xfId="15514"/>
    <cellStyle name="Обычный 6 2 2 2 2 3 5" xfId="15515"/>
    <cellStyle name="Обычный 6 2 2 2 2 3 5 2" xfId="15516"/>
    <cellStyle name="Обычный 6 2 2 2 2 3 6" xfId="15517"/>
    <cellStyle name="Обычный 6 2 2 2 2 3 7" xfId="15518"/>
    <cellStyle name="Обычный 6 2 2 2 2 4" xfId="15519"/>
    <cellStyle name="Обычный 6 2 2 2 2 4 2" xfId="15520"/>
    <cellStyle name="Обычный 6 2 2 2 2 4 2 2" xfId="15521"/>
    <cellStyle name="Обычный 6 2 2 2 2 4 2 3" xfId="15522"/>
    <cellStyle name="Обычный 6 2 2 2 2 4 3" xfId="15523"/>
    <cellStyle name="Обычный 6 2 2 2 2 4 3 2" xfId="15524"/>
    <cellStyle name="Обычный 6 2 2 2 2 4 3 3" xfId="15525"/>
    <cellStyle name="Обычный 6 2 2 2 2 4 4" xfId="15526"/>
    <cellStyle name="Обычный 6 2 2 2 2 4 4 2" xfId="15527"/>
    <cellStyle name="Обычный 6 2 2 2 2 4 5" xfId="15528"/>
    <cellStyle name="Обычный 6 2 2 2 2 4 6" xfId="15529"/>
    <cellStyle name="Обычный 6 2 2 2 2 5" xfId="15530"/>
    <cellStyle name="Обычный 6 2 2 2 2 5 2" xfId="15531"/>
    <cellStyle name="Обычный 6 2 2 2 2 5 3" xfId="15532"/>
    <cellStyle name="Обычный 6 2 2 2 2 6" xfId="15533"/>
    <cellStyle name="Обычный 6 2 2 2 2 6 2" xfId="15534"/>
    <cellStyle name="Обычный 6 2 2 2 2 6 3" xfId="15535"/>
    <cellStyle name="Обычный 6 2 2 2 2 7" xfId="15536"/>
    <cellStyle name="Обычный 6 2 2 2 2 7 2" xfId="15537"/>
    <cellStyle name="Обычный 6 2 2 2 2 8" xfId="15538"/>
    <cellStyle name="Обычный 6 2 2 2 2 9" xfId="15539"/>
    <cellStyle name="Обычный 6 2 2 2 3" xfId="15540"/>
    <cellStyle name="Обычный 6 2 2 2 3 2" xfId="15541"/>
    <cellStyle name="Обычный 6 2 2 2 3 2 2" xfId="15542"/>
    <cellStyle name="Обычный 6 2 2 2 3 2 2 2" xfId="15543"/>
    <cellStyle name="Обычный 6 2 2 2 3 2 2 2 2" xfId="15544"/>
    <cellStyle name="Обычный 6 2 2 2 3 2 2 2 3" xfId="15545"/>
    <cellStyle name="Обычный 6 2 2 2 3 2 2 3" xfId="15546"/>
    <cellStyle name="Обычный 6 2 2 2 3 2 2 3 2" xfId="15547"/>
    <cellStyle name="Обычный 6 2 2 2 3 2 2 3 3" xfId="15548"/>
    <cellStyle name="Обычный 6 2 2 2 3 2 2 4" xfId="15549"/>
    <cellStyle name="Обычный 6 2 2 2 3 2 2 4 2" xfId="15550"/>
    <cellStyle name="Обычный 6 2 2 2 3 2 2 5" xfId="15551"/>
    <cellStyle name="Обычный 6 2 2 2 3 2 2 6" xfId="15552"/>
    <cellStyle name="Обычный 6 2 2 2 3 2 3" xfId="15553"/>
    <cellStyle name="Обычный 6 2 2 2 3 2 3 2" xfId="15554"/>
    <cellStyle name="Обычный 6 2 2 2 3 2 3 3" xfId="15555"/>
    <cellStyle name="Обычный 6 2 2 2 3 2 4" xfId="15556"/>
    <cellStyle name="Обычный 6 2 2 2 3 2 4 2" xfId="15557"/>
    <cellStyle name="Обычный 6 2 2 2 3 2 4 3" xfId="15558"/>
    <cellStyle name="Обычный 6 2 2 2 3 2 5" xfId="15559"/>
    <cellStyle name="Обычный 6 2 2 2 3 2 5 2" xfId="15560"/>
    <cellStyle name="Обычный 6 2 2 2 3 2 6" xfId="15561"/>
    <cellStyle name="Обычный 6 2 2 2 3 2 7" xfId="15562"/>
    <cellStyle name="Обычный 6 2 2 2 3 3" xfId="15563"/>
    <cellStyle name="Обычный 6 2 2 2 3 3 2" xfId="15564"/>
    <cellStyle name="Обычный 6 2 2 2 3 3 2 2" xfId="15565"/>
    <cellStyle name="Обычный 6 2 2 2 3 3 2 3" xfId="15566"/>
    <cellStyle name="Обычный 6 2 2 2 3 3 3" xfId="15567"/>
    <cellStyle name="Обычный 6 2 2 2 3 3 3 2" xfId="15568"/>
    <cellStyle name="Обычный 6 2 2 2 3 3 3 3" xfId="15569"/>
    <cellStyle name="Обычный 6 2 2 2 3 3 4" xfId="15570"/>
    <cellStyle name="Обычный 6 2 2 2 3 3 4 2" xfId="15571"/>
    <cellStyle name="Обычный 6 2 2 2 3 3 5" xfId="15572"/>
    <cellStyle name="Обычный 6 2 2 2 3 3 6" xfId="15573"/>
    <cellStyle name="Обычный 6 2 2 2 3 4" xfId="15574"/>
    <cellStyle name="Обычный 6 2 2 2 3 4 2" xfId="15575"/>
    <cellStyle name="Обычный 6 2 2 2 3 4 3" xfId="15576"/>
    <cellStyle name="Обычный 6 2 2 2 3 5" xfId="15577"/>
    <cellStyle name="Обычный 6 2 2 2 3 5 2" xfId="15578"/>
    <cellStyle name="Обычный 6 2 2 2 3 5 3" xfId="15579"/>
    <cellStyle name="Обычный 6 2 2 2 3 6" xfId="15580"/>
    <cellStyle name="Обычный 6 2 2 2 3 6 2" xfId="15581"/>
    <cellStyle name="Обычный 6 2 2 2 3 7" xfId="15582"/>
    <cellStyle name="Обычный 6 2 2 2 3 8" xfId="15583"/>
    <cellStyle name="Обычный 6 2 2 2 4" xfId="15584"/>
    <cellStyle name="Обычный 6 2 2 2 4 2" xfId="15585"/>
    <cellStyle name="Обычный 6 2 2 2 4 2 2" xfId="15586"/>
    <cellStyle name="Обычный 6 2 2 2 4 2 2 2" xfId="15587"/>
    <cellStyle name="Обычный 6 2 2 2 4 2 2 3" xfId="15588"/>
    <cellStyle name="Обычный 6 2 2 2 4 2 3" xfId="15589"/>
    <cellStyle name="Обычный 6 2 2 2 4 2 3 2" xfId="15590"/>
    <cellStyle name="Обычный 6 2 2 2 4 2 3 3" xfId="15591"/>
    <cellStyle name="Обычный 6 2 2 2 4 2 4" xfId="15592"/>
    <cellStyle name="Обычный 6 2 2 2 4 2 4 2" xfId="15593"/>
    <cellStyle name="Обычный 6 2 2 2 4 2 5" xfId="15594"/>
    <cellStyle name="Обычный 6 2 2 2 4 2 6" xfId="15595"/>
    <cellStyle name="Обычный 6 2 2 2 4 3" xfId="15596"/>
    <cellStyle name="Обычный 6 2 2 2 4 3 2" xfId="15597"/>
    <cellStyle name="Обычный 6 2 2 2 4 3 3" xfId="15598"/>
    <cellStyle name="Обычный 6 2 2 2 4 4" xfId="15599"/>
    <cellStyle name="Обычный 6 2 2 2 4 4 2" xfId="15600"/>
    <cellStyle name="Обычный 6 2 2 2 4 4 3" xfId="15601"/>
    <cellStyle name="Обычный 6 2 2 2 4 5" xfId="15602"/>
    <cellStyle name="Обычный 6 2 2 2 4 5 2" xfId="15603"/>
    <cellStyle name="Обычный 6 2 2 2 4 6" xfId="15604"/>
    <cellStyle name="Обычный 6 2 2 2 4 7" xfId="15605"/>
    <cellStyle name="Обычный 6 2 2 2 5" xfId="15606"/>
    <cellStyle name="Обычный 6 2 2 2 5 2" xfId="15607"/>
    <cellStyle name="Обычный 6 2 2 2 5 2 2" xfId="15608"/>
    <cellStyle name="Обычный 6 2 2 2 5 2 3" xfId="15609"/>
    <cellStyle name="Обычный 6 2 2 2 5 3" xfId="15610"/>
    <cellStyle name="Обычный 6 2 2 2 5 3 2" xfId="15611"/>
    <cellStyle name="Обычный 6 2 2 2 5 3 3" xfId="15612"/>
    <cellStyle name="Обычный 6 2 2 2 5 4" xfId="15613"/>
    <cellStyle name="Обычный 6 2 2 2 5 4 2" xfId="15614"/>
    <cellStyle name="Обычный 6 2 2 2 5 5" xfId="15615"/>
    <cellStyle name="Обычный 6 2 2 2 5 6" xfId="15616"/>
    <cellStyle name="Обычный 6 2 2 2 6" xfId="15617"/>
    <cellStyle name="Обычный 6 2 2 2 6 2" xfId="15618"/>
    <cellStyle name="Обычный 6 2 2 2 6 3" xfId="15619"/>
    <cellStyle name="Обычный 6 2 2 2 7" xfId="15620"/>
    <cellStyle name="Обычный 6 2 2 2 7 2" xfId="15621"/>
    <cellStyle name="Обычный 6 2 2 2 7 3" xfId="15622"/>
    <cellStyle name="Обычный 6 2 2 2 8" xfId="15623"/>
    <cellStyle name="Обычный 6 2 2 2 8 2" xfId="15624"/>
    <cellStyle name="Обычный 6 2 2 2 9" xfId="15625"/>
    <cellStyle name="Обычный 6 2 2 3" xfId="15626"/>
    <cellStyle name="Обычный 6 2 2 3 10" xfId="15627"/>
    <cellStyle name="Обычный 6 2 2 3 2" xfId="15628"/>
    <cellStyle name="Обычный 6 2 2 3 2 2" xfId="15629"/>
    <cellStyle name="Обычный 6 2 2 3 2 2 2" xfId="15630"/>
    <cellStyle name="Обычный 6 2 2 3 2 2 2 2" xfId="15631"/>
    <cellStyle name="Обычный 6 2 2 3 2 2 2 2 2" xfId="15632"/>
    <cellStyle name="Обычный 6 2 2 3 2 2 2 2 2 2" xfId="15633"/>
    <cellStyle name="Обычный 6 2 2 3 2 2 2 2 2 3" xfId="15634"/>
    <cellStyle name="Обычный 6 2 2 3 2 2 2 2 3" xfId="15635"/>
    <cellStyle name="Обычный 6 2 2 3 2 2 2 2 3 2" xfId="15636"/>
    <cellStyle name="Обычный 6 2 2 3 2 2 2 2 3 3" xfId="15637"/>
    <cellStyle name="Обычный 6 2 2 3 2 2 2 2 4" xfId="15638"/>
    <cellStyle name="Обычный 6 2 2 3 2 2 2 2 4 2" xfId="15639"/>
    <cellStyle name="Обычный 6 2 2 3 2 2 2 2 5" xfId="15640"/>
    <cellStyle name="Обычный 6 2 2 3 2 2 2 2 6" xfId="15641"/>
    <cellStyle name="Обычный 6 2 2 3 2 2 2 3" xfId="15642"/>
    <cellStyle name="Обычный 6 2 2 3 2 2 2 3 2" xfId="15643"/>
    <cellStyle name="Обычный 6 2 2 3 2 2 2 3 3" xfId="15644"/>
    <cellStyle name="Обычный 6 2 2 3 2 2 2 4" xfId="15645"/>
    <cellStyle name="Обычный 6 2 2 3 2 2 2 4 2" xfId="15646"/>
    <cellStyle name="Обычный 6 2 2 3 2 2 2 4 3" xfId="15647"/>
    <cellStyle name="Обычный 6 2 2 3 2 2 2 5" xfId="15648"/>
    <cellStyle name="Обычный 6 2 2 3 2 2 2 5 2" xfId="15649"/>
    <cellStyle name="Обычный 6 2 2 3 2 2 2 6" xfId="15650"/>
    <cellStyle name="Обычный 6 2 2 3 2 2 2 7" xfId="15651"/>
    <cellStyle name="Обычный 6 2 2 3 2 2 3" xfId="15652"/>
    <cellStyle name="Обычный 6 2 2 3 2 2 3 2" xfId="15653"/>
    <cellStyle name="Обычный 6 2 2 3 2 2 3 2 2" xfId="15654"/>
    <cellStyle name="Обычный 6 2 2 3 2 2 3 2 3" xfId="15655"/>
    <cellStyle name="Обычный 6 2 2 3 2 2 3 3" xfId="15656"/>
    <cellStyle name="Обычный 6 2 2 3 2 2 3 3 2" xfId="15657"/>
    <cellStyle name="Обычный 6 2 2 3 2 2 3 3 3" xfId="15658"/>
    <cellStyle name="Обычный 6 2 2 3 2 2 3 4" xfId="15659"/>
    <cellStyle name="Обычный 6 2 2 3 2 2 3 4 2" xfId="15660"/>
    <cellStyle name="Обычный 6 2 2 3 2 2 3 5" xfId="15661"/>
    <cellStyle name="Обычный 6 2 2 3 2 2 3 6" xfId="15662"/>
    <cellStyle name="Обычный 6 2 2 3 2 2 4" xfId="15663"/>
    <cellStyle name="Обычный 6 2 2 3 2 2 4 2" xfId="15664"/>
    <cellStyle name="Обычный 6 2 2 3 2 2 4 3" xfId="15665"/>
    <cellStyle name="Обычный 6 2 2 3 2 2 5" xfId="15666"/>
    <cellStyle name="Обычный 6 2 2 3 2 2 5 2" xfId="15667"/>
    <cellStyle name="Обычный 6 2 2 3 2 2 5 3" xfId="15668"/>
    <cellStyle name="Обычный 6 2 2 3 2 2 6" xfId="15669"/>
    <cellStyle name="Обычный 6 2 2 3 2 2 6 2" xfId="15670"/>
    <cellStyle name="Обычный 6 2 2 3 2 2 7" xfId="15671"/>
    <cellStyle name="Обычный 6 2 2 3 2 2 8" xfId="15672"/>
    <cellStyle name="Обычный 6 2 2 3 2 3" xfId="15673"/>
    <cellStyle name="Обычный 6 2 2 3 2 3 2" xfId="15674"/>
    <cellStyle name="Обычный 6 2 2 3 2 3 2 2" xfId="15675"/>
    <cellStyle name="Обычный 6 2 2 3 2 3 2 2 2" xfId="15676"/>
    <cellStyle name="Обычный 6 2 2 3 2 3 2 2 3" xfId="15677"/>
    <cellStyle name="Обычный 6 2 2 3 2 3 2 3" xfId="15678"/>
    <cellStyle name="Обычный 6 2 2 3 2 3 2 3 2" xfId="15679"/>
    <cellStyle name="Обычный 6 2 2 3 2 3 2 3 3" xfId="15680"/>
    <cellStyle name="Обычный 6 2 2 3 2 3 2 4" xfId="15681"/>
    <cellStyle name="Обычный 6 2 2 3 2 3 2 4 2" xfId="15682"/>
    <cellStyle name="Обычный 6 2 2 3 2 3 2 5" xfId="15683"/>
    <cellStyle name="Обычный 6 2 2 3 2 3 2 6" xfId="15684"/>
    <cellStyle name="Обычный 6 2 2 3 2 3 3" xfId="15685"/>
    <cellStyle name="Обычный 6 2 2 3 2 3 3 2" xfId="15686"/>
    <cellStyle name="Обычный 6 2 2 3 2 3 3 3" xfId="15687"/>
    <cellStyle name="Обычный 6 2 2 3 2 3 4" xfId="15688"/>
    <cellStyle name="Обычный 6 2 2 3 2 3 4 2" xfId="15689"/>
    <cellStyle name="Обычный 6 2 2 3 2 3 4 3" xfId="15690"/>
    <cellStyle name="Обычный 6 2 2 3 2 3 5" xfId="15691"/>
    <cellStyle name="Обычный 6 2 2 3 2 3 5 2" xfId="15692"/>
    <cellStyle name="Обычный 6 2 2 3 2 3 6" xfId="15693"/>
    <cellStyle name="Обычный 6 2 2 3 2 3 7" xfId="15694"/>
    <cellStyle name="Обычный 6 2 2 3 2 4" xfId="15695"/>
    <cellStyle name="Обычный 6 2 2 3 2 4 2" xfId="15696"/>
    <cellStyle name="Обычный 6 2 2 3 2 4 2 2" xfId="15697"/>
    <cellStyle name="Обычный 6 2 2 3 2 4 2 3" xfId="15698"/>
    <cellStyle name="Обычный 6 2 2 3 2 4 3" xfId="15699"/>
    <cellStyle name="Обычный 6 2 2 3 2 4 3 2" xfId="15700"/>
    <cellStyle name="Обычный 6 2 2 3 2 4 3 3" xfId="15701"/>
    <cellStyle name="Обычный 6 2 2 3 2 4 4" xfId="15702"/>
    <cellStyle name="Обычный 6 2 2 3 2 4 4 2" xfId="15703"/>
    <cellStyle name="Обычный 6 2 2 3 2 4 5" xfId="15704"/>
    <cellStyle name="Обычный 6 2 2 3 2 4 6" xfId="15705"/>
    <cellStyle name="Обычный 6 2 2 3 2 5" xfId="15706"/>
    <cellStyle name="Обычный 6 2 2 3 2 5 2" xfId="15707"/>
    <cellStyle name="Обычный 6 2 2 3 2 5 3" xfId="15708"/>
    <cellStyle name="Обычный 6 2 2 3 2 6" xfId="15709"/>
    <cellStyle name="Обычный 6 2 2 3 2 6 2" xfId="15710"/>
    <cellStyle name="Обычный 6 2 2 3 2 6 3" xfId="15711"/>
    <cellStyle name="Обычный 6 2 2 3 2 7" xfId="15712"/>
    <cellStyle name="Обычный 6 2 2 3 2 7 2" xfId="15713"/>
    <cellStyle name="Обычный 6 2 2 3 2 8" xfId="15714"/>
    <cellStyle name="Обычный 6 2 2 3 2 9" xfId="15715"/>
    <cellStyle name="Обычный 6 2 2 3 3" xfId="15716"/>
    <cellStyle name="Обычный 6 2 2 3 3 2" xfId="15717"/>
    <cellStyle name="Обычный 6 2 2 3 3 2 2" xfId="15718"/>
    <cellStyle name="Обычный 6 2 2 3 3 2 2 2" xfId="15719"/>
    <cellStyle name="Обычный 6 2 2 3 3 2 2 2 2" xfId="15720"/>
    <cellStyle name="Обычный 6 2 2 3 3 2 2 2 3" xfId="15721"/>
    <cellStyle name="Обычный 6 2 2 3 3 2 2 3" xfId="15722"/>
    <cellStyle name="Обычный 6 2 2 3 3 2 2 3 2" xfId="15723"/>
    <cellStyle name="Обычный 6 2 2 3 3 2 2 3 3" xfId="15724"/>
    <cellStyle name="Обычный 6 2 2 3 3 2 2 4" xfId="15725"/>
    <cellStyle name="Обычный 6 2 2 3 3 2 2 4 2" xfId="15726"/>
    <cellStyle name="Обычный 6 2 2 3 3 2 2 5" xfId="15727"/>
    <cellStyle name="Обычный 6 2 2 3 3 2 2 6" xfId="15728"/>
    <cellStyle name="Обычный 6 2 2 3 3 2 3" xfId="15729"/>
    <cellStyle name="Обычный 6 2 2 3 3 2 3 2" xfId="15730"/>
    <cellStyle name="Обычный 6 2 2 3 3 2 3 3" xfId="15731"/>
    <cellStyle name="Обычный 6 2 2 3 3 2 4" xfId="15732"/>
    <cellStyle name="Обычный 6 2 2 3 3 2 4 2" xfId="15733"/>
    <cellStyle name="Обычный 6 2 2 3 3 2 4 3" xfId="15734"/>
    <cellStyle name="Обычный 6 2 2 3 3 2 5" xfId="15735"/>
    <cellStyle name="Обычный 6 2 2 3 3 2 5 2" xfId="15736"/>
    <cellStyle name="Обычный 6 2 2 3 3 2 6" xfId="15737"/>
    <cellStyle name="Обычный 6 2 2 3 3 2 7" xfId="15738"/>
    <cellStyle name="Обычный 6 2 2 3 3 3" xfId="15739"/>
    <cellStyle name="Обычный 6 2 2 3 3 3 2" xfId="15740"/>
    <cellStyle name="Обычный 6 2 2 3 3 3 2 2" xfId="15741"/>
    <cellStyle name="Обычный 6 2 2 3 3 3 2 3" xfId="15742"/>
    <cellStyle name="Обычный 6 2 2 3 3 3 3" xfId="15743"/>
    <cellStyle name="Обычный 6 2 2 3 3 3 3 2" xfId="15744"/>
    <cellStyle name="Обычный 6 2 2 3 3 3 3 3" xfId="15745"/>
    <cellStyle name="Обычный 6 2 2 3 3 3 4" xfId="15746"/>
    <cellStyle name="Обычный 6 2 2 3 3 3 4 2" xfId="15747"/>
    <cellStyle name="Обычный 6 2 2 3 3 3 5" xfId="15748"/>
    <cellStyle name="Обычный 6 2 2 3 3 3 6" xfId="15749"/>
    <cellStyle name="Обычный 6 2 2 3 3 4" xfId="15750"/>
    <cellStyle name="Обычный 6 2 2 3 3 4 2" xfId="15751"/>
    <cellStyle name="Обычный 6 2 2 3 3 4 3" xfId="15752"/>
    <cellStyle name="Обычный 6 2 2 3 3 5" xfId="15753"/>
    <cellStyle name="Обычный 6 2 2 3 3 5 2" xfId="15754"/>
    <cellStyle name="Обычный 6 2 2 3 3 5 3" xfId="15755"/>
    <cellStyle name="Обычный 6 2 2 3 3 6" xfId="15756"/>
    <cellStyle name="Обычный 6 2 2 3 3 6 2" xfId="15757"/>
    <cellStyle name="Обычный 6 2 2 3 3 7" xfId="15758"/>
    <cellStyle name="Обычный 6 2 2 3 3 8" xfId="15759"/>
    <cellStyle name="Обычный 6 2 2 3 4" xfId="15760"/>
    <cellStyle name="Обычный 6 2 2 3 4 2" xfId="15761"/>
    <cellStyle name="Обычный 6 2 2 3 4 2 2" xfId="15762"/>
    <cellStyle name="Обычный 6 2 2 3 4 2 2 2" xfId="15763"/>
    <cellStyle name="Обычный 6 2 2 3 4 2 2 3" xfId="15764"/>
    <cellStyle name="Обычный 6 2 2 3 4 2 3" xfId="15765"/>
    <cellStyle name="Обычный 6 2 2 3 4 2 3 2" xfId="15766"/>
    <cellStyle name="Обычный 6 2 2 3 4 2 3 3" xfId="15767"/>
    <cellStyle name="Обычный 6 2 2 3 4 2 4" xfId="15768"/>
    <cellStyle name="Обычный 6 2 2 3 4 2 4 2" xfId="15769"/>
    <cellStyle name="Обычный 6 2 2 3 4 2 5" xfId="15770"/>
    <cellStyle name="Обычный 6 2 2 3 4 2 6" xfId="15771"/>
    <cellStyle name="Обычный 6 2 2 3 4 3" xfId="15772"/>
    <cellStyle name="Обычный 6 2 2 3 4 3 2" xfId="15773"/>
    <cellStyle name="Обычный 6 2 2 3 4 3 3" xfId="15774"/>
    <cellStyle name="Обычный 6 2 2 3 4 4" xfId="15775"/>
    <cellStyle name="Обычный 6 2 2 3 4 4 2" xfId="15776"/>
    <cellStyle name="Обычный 6 2 2 3 4 4 3" xfId="15777"/>
    <cellStyle name="Обычный 6 2 2 3 4 5" xfId="15778"/>
    <cellStyle name="Обычный 6 2 2 3 4 5 2" xfId="15779"/>
    <cellStyle name="Обычный 6 2 2 3 4 6" xfId="15780"/>
    <cellStyle name="Обычный 6 2 2 3 4 7" xfId="15781"/>
    <cellStyle name="Обычный 6 2 2 3 5" xfId="15782"/>
    <cellStyle name="Обычный 6 2 2 3 5 2" xfId="15783"/>
    <cellStyle name="Обычный 6 2 2 3 5 2 2" xfId="15784"/>
    <cellStyle name="Обычный 6 2 2 3 5 2 3" xfId="15785"/>
    <cellStyle name="Обычный 6 2 2 3 5 3" xfId="15786"/>
    <cellStyle name="Обычный 6 2 2 3 5 3 2" xfId="15787"/>
    <cellStyle name="Обычный 6 2 2 3 5 3 3" xfId="15788"/>
    <cellStyle name="Обычный 6 2 2 3 5 4" xfId="15789"/>
    <cellStyle name="Обычный 6 2 2 3 5 4 2" xfId="15790"/>
    <cellStyle name="Обычный 6 2 2 3 5 5" xfId="15791"/>
    <cellStyle name="Обычный 6 2 2 3 5 6" xfId="15792"/>
    <cellStyle name="Обычный 6 2 2 3 6" xfId="15793"/>
    <cellStyle name="Обычный 6 2 2 3 6 2" xfId="15794"/>
    <cellStyle name="Обычный 6 2 2 3 6 3" xfId="15795"/>
    <cellStyle name="Обычный 6 2 2 3 7" xfId="15796"/>
    <cellStyle name="Обычный 6 2 2 3 7 2" xfId="15797"/>
    <cellStyle name="Обычный 6 2 2 3 7 3" xfId="15798"/>
    <cellStyle name="Обычный 6 2 2 3 8" xfId="15799"/>
    <cellStyle name="Обычный 6 2 2 3 8 2" xfId="15800"/>
    <cellStyle name="Обычный 6 2 2 3 9" xfId="15801"/>
    <cellStyle name="Обычный 6 2 2 4" xfId="15802"/>
    <cellStyle name="Обычный 6 2 2 4 10" xfId="15803"/>
    <cellStyle name="Обычный 6 2 2 4 2" xfId="15804"/>
    <cellStyle name="Обычный 6 2 2 4 2 2" xfId="15805"/>
    <cellStyle name="Обычный 6 2 2 4 2 2 2" xfId="15806"/>
    <cellStyle name="Обычный 6 2 2 4 2 2 2 2" xfId="15807"/>
    <cellStyle name="Обычный 6 2 2 4 2 2 2 2 2" xfId="15808"/>
    <cellStyle name="Обычный 6 2 2 4 2 2 2 2 2 2" xfId="15809"/>
    <cellStyle name="Обычный 6 2 2 4 2 2 2 2 2 3" xfId="15810"/>
    <cellStyle name="Обычный 6 2 2 4 2 2 2 2 3" xfId="15811"/>
    <cellStyle name="Обычный 6 2 2 4 2 2 2 2 3 2" xfId="15812"/>
    <cellStyle name="Обычный 6 2 2 4 2 2 2 2 3 3" xfId="15813"/>
    <cellStyle name="Обычный 6 2 2 4 2 2 2 2 4" xfId="15814"/>
    <cellStyle name="Обычный 6 2 2 4 2 2 2 2 4 2" xfId="15815"/>
    <cellStyle name="Обычный 6 2 2 4 2 2 2 2 5" xfId="15816"/>
    <cellStyle name="Обычный 6 2 2 4 2 2 2 2 6" xfId="15817"/>
    <cellStyle name="Обычный 6 2 2 4 2 2 2 3" xfId="15818"/>
    <cellStyle name="Обычный 6 2 2 4 2 2 2 3 2" xfId="15819"/>
    <cellStyle name="Обычный 6 2 2 4 2 2 2 3 3" xfId="15820"/>
    <cellStyle name="Обычный 6 2 2 4 2 2 2 4" xfId="15821"/>
    <cellStyle name="Обычный 6 2 2 4 2 2 2 4 2" xfId="15822"/>
    <cellStyle name="Обычный 6 2 2 4 2 2 2 4 3" xfId="15823"/>
    <cellStyle name="Обычный 6 2 2 4 2 2 2 5" xfId="15824"/>
    <cellStyle name="Обычный 6 2 2 4 2 2 2 5 2" xfId="15825"/>
    <cellStyle name="Обычный 6 2 2 4 2 2 2 6" xfId="15826"/>
    <cellStyle name="Обычный 6 2 2 4 2 2 2 7" xfId="15827"/>
    <cellStyle name="Обычный 6 2 2 4 2 2 3" xfId="15828"/>
    <cellStyle name="Обычный 6 2 2 4 2 2 3 2" xfId="15829"/>
    <cellStyle name="Обычный 6 2 2 4 2 2 3 2 2" xfId="15830"/>
    <cellStyle name="Обычный 6 2 2 4 2 2 3 2 3" xfId="15831"/>
    <cellStyle name="Обычный 6 2 2 4 2 2 3 3" xfId="15832"/>
    <cellStyle name="Обычный 6 2 2 4 2 2 3 3 2" xfId="15833"/>
    <cellStyle name="Обычный 6 2 2 4 2 2 3 3 3" xfId="15834"/>
    <cellStyle name="Обычный 6 2 2 4 2 2 3 4" xfId="15835"/>
    <cellStyle name="Обычный 6 2 2 4 2 2 3 4 2" xfId="15836"/>
    <cellStyle name="Обычный 6 2 2 4 2 2 3 5" xfId="15837"/>
    <cellStyle name="Обычный 6 2 2 4 2 2 3 6" xfId="15838"/>
    <cellStyle name="Обычный 6 2 2 4 2 2 4" xfId="15839"/>
    <cellStyle name="Обычный 6 2 2 4 2 2 4 2" xfId="15840"/>
    <cellStyle name="Обычный 6 2 2 4 2 2 4 3" xfId="15841"/>
    <cellStyle name="Обычный 6 2 2 4 2 2 5" xfId="15842"/>
    <cellStyle name="Обычный 6 2 2 4 2 2 5 2" xfId="15843"/>
    <cellStyle name="Обычный 6 2 2 4 2 2 5 3" xfId="15844"/>
    <cellStyle name="Обычный 6 2 2 4 2 2 6" xfId="15845"/>
    <cellStyle name="Обычный 6 2 2 4 2 2 6 2" xfId="15846"/>
    <cellStyle name="Обычный 6 2 2 4 2 2 7" xfId="15847"/>
    <cellStyle name="Обычный 6 2 2 4 2 2 8" xfId="15848"/>
    <cellStyle name="Обычный 6 2 2 4 2 3" xfId="15849"/>
    <cellStyle name="Обычный 6 2 2 4 2 3 2" xfId="15850"/>
    <cellStyle name="Обычный 6 2 2 4 2 3 2 2" xfId="15851"/>
    <cellStyle name="Обычный 6 2 2 4 2 3 2 2 2" xfId="15852"/>
    <cellStyle name="Обычный 6 2 2 4 2 3 2 2 3" xfId="15853"/>
    <cellStyle name="Обычный 6 2 2 4 2 3 2 3" xfId="15854"/>
    <cellStyle name="Обычный 6 2 2 4 2 3 2 3 2" xfId="15855"/>
    <cellStyle name="Обычный 6 2 2 4 2 3 2 3 3" xfId="15856"/>
    <cellStyle name="Обычный 6 2 2 4 2 3 2 4" xfId="15857"/>
    <cellStyle name="Обычный 6 2 2 4 2 3 2 4 2" xfId="15858"/>
    <cellStyle name="Обычный 6 2 2 4 2 3 2 5" xfId="15859"/>
    <cellStyle name="Обычный 6 2 2 4 2 3 2 6" xfId="15860"/>
    <cellStyle name="Обычный 6 2 2 4 2 3 3" xfId="15861"/>
    <cellStyle name="Обычный 6 2 2 4 2 3 3 2" xfId="15862"/>
    <cellStyle name="Обычный 6 2 2 4 2 3 3 3" xfId="15863"/>
    <cellStyle name="Обычный 6 2 2 4 2 3 4" xfId="15864"/>
    <cellStyle name="Обычный 6 2 2 4 2 3 4 2" xfId="15865"/>
    <cellStyle name="Обычный 6 2 2 4 2 3 4 3" xfId="15866"/>
    <cellStyle name="Обычный 6 2 2 4 2 3 5" xfId="15867"/>
    <cellStyle name="Обычный 6 2 2 4 2 3 5 2" xfId="15868"/>
    <cellStyle name="Обычный 6 2 2 4 2 3 6" xfId="15869"/>
    <cellStyle name="Обычный 6 2 2 4 2 3 7" xfId="15870"/>
    <cellStyle name="Обычный 6 2 2 4 2 4" xfId="15871"/>
    <cellStyle name="Обычный 6 2 2 4 2 4 2" xfId="15872"/>
    <cellStyle name="Обычный 6 2 2 4 2 4 2 2" xfId="15873"/>
    <cellStyle name="Обычный 6 2 2 4 2 4 2 3" xfId="15874"/>
    <cellStyle name="Обычный 6 2 2 4 2 4 3" xfId="15875"/>
    <cellStyle name="Обычный 6 2 2 4 2 4 3 2" xfId="15876"/>
    <cellStyle name="Обычный 6 2 2 4 2 4 3 3" xfId="15877"/>
    <cellStyle name="Обычный 6 2 2 4 2 4 4" xfId="15878"/>
    <cellStyle name="Обычный 6 2 2 4 2 4 4 2" xfId="15879"/>
    <cellStyle name="Обычный 6 2 2 4 2 4 5" xfId="15880"/>
    <cellStyle name="Обычный 6 2 2 4 2 4 6" xfId="15881"/>
    <cellStyle name="Обычный 6 2 2 4 2 5" xfId="15882"/>
    <cellStyle name="Обычный 6 2 2 4 2 5 2" xfId="15883"/>
    <cellStyle name="Обычный 6 2 2 4 2 5 3" xfId="15884"/>
    <cellStyle name="Обычный 6 2 2 4 2 6" xfId="15885"/>
    <cellStyle name="Обычный 6 2 2 4 2 6 2" xfId="15886"/>
    <cellStyle name="Обычный 6 2 2 4 2 6 3" xfId="15887"/>
    <cellStyle name="Обычный 6 2 2 4 2 7" xfId="15888"/>
    <cellStyle name="Обычный 6 2 2 4 2 7 2" xfId="15889"/>
    <cellStyle name="Обычный 6 2 2 4 2 8" xfId="15890"/>
    <cellStyle name="Обычный 6 2 2 4 2 9" xfId="15891"/>
    <cellStyle name="Обычный 6 2 2 4 3" xfId="15892"/>
    <cellStyle name="Обычный 6 2 2 4 3 2" xfId="15893"/>
    <cellStyle name="Обычный 6 2 2 4 3 2 2" xfId="15894"/>
    <cellStyle name="Обычный 6 2 2 4 3 2 2 2" xfId="15895"/>
    <cellStyle name="Обычный 6 2 2 4 3 2 2 2 2" xfId="15896"/>
    <cellStyle name="Обычный 6 2 2 4 3 2 2 2 3" xfId="15897"/>
    <cellStyle name="Обычный 6 2 2 4 3 2 2 3" xfId="15898"/>
    <cellStyle name="Обычный 6 2 2 4 3 2 2 3 2" xfId="15899"/>
    <cellStyle name="Обычный 6 2 2 4 3 2 2 3 3" xfId="15900"/>
    <cellStyle name="Обычный 6 2 2 4 3 2 2 4" xfId="15901"/>
    <cellStyle name="Обычный 6 2 2 4 3 2 2 4 2" xfId="15902"/>
    <cellStyle name="Обычный 6 2 2 4 3 2 2 5" xfId="15903"/>
    <cellStyle name="Обычный 6 2 2 4 3 2 2 6" xfId="15904"/>
    <cellStyle name="Обычный 6 2 2 4 3 2 3" xfId="15905"/>
    <cellStyle name="Обычный 6 2 2 4 3 2 3 2" xfId="15906"/>
    <cellStyle name="Обычный 6 2 2 4 3 2 3 3" xfId="15907"/>
    <cellStyle name="Обычный 6 2 2 4 3 2 4" xfId="15908"/>
    <cellStyle name="Обычный 6 2 2 4 3 2 4 2" xfId="15909"/>
    <cellStyle name="Обычный 6 2 2 4 3 2 4 3" xfId="15910"/>
    <cellStyle name="Обычный 6 2 2 4 3 2 5" xfId="15911"/>
    <cellStyle name="Обычный 6 2 2 4 3 2 5 2" xfId="15912"/>
    <cellStyle name="Обычный 6 2 2 4 3 2 6" xfId="15913"/>
    <cellStyle name="Обычный 6 2 2 4 3 2 7" xfId="15914"/>
    <cellStyle name="Обычный 6 2 2 4 3 3" xfId="15915"/>
    <cellStyle name="Обычный 6 2 2 4 3 3 2" xfId="15916"/>
    <cellStyle name="Обычный 6 2 2 4 3 3 2 2" xfId="15917"/>
    <cellStyle name="Обычный 6 2 2 4 3 3 2 3" xfId="15918"/>
    <cellStyle name="Обычный 6 2 2 4 3 3 3" xfId="15919"/>
    <cellStyle name="Обычный 6 2 2 4 3 3 3 2" xfId="15920"/>
    <cellStyle name="Обычный 6 2 2 4 3 3 3 3" xfId="15921"/>
    <cellStyle name="Обычный 6 2 2 4 3 3 4" xfId="15922"/>
    <cellStyle name="Обычный 6 2 2 4 3 3 4 2" xfId="15923"/>
    <cellStyle name="Обычный 6 2 2 4 3 3 5" xfId="15924"/>
    <cellStyle name="Обычный 6 2 2 4 3 3 6" xfId="15925"/>
    <cellStyle name="Обычный 6 2 2 4 3 4" xfId="15926"/>
    <cellStyle name="Обычный 6 2 2 4 3 4 2" xfId="15927"/>
    <cellStyle name="Обычный 6 2 2 4 3 4 3" xfId="15928"/>
    <cellStyle name="Обычный 6 2 2 4 3 5" xfId="15929"/>
    <cellStyle name="Обычный 6 2 2 4 3 5 2" xfId="15930"/>
    <cellStyle name="Обычный 6 2 2 4 3 5 3" xfId="15931"/>
    <cellStyle name="Обычный 6 2 2 4 3 6" xfId="15932"/>
    <cellStyle name="Обычный 6 2 2 4 3 6 2" xfId="15933"/>
    <cellStyle name="Обычный 6 2 2 4 3 7" xfId="15934"/>
    <cellStyle name="Обычный 6 2 2 4 3 8" xfId="15935"/>
    <cellStyle name="Обычный 6 2 2 4 4" xfId="15936"/>
    <cellStyle name="Обычный 6 2 2 4 4 2" xfId="15937"/>
    <cellStyle name="Обычный 6 2 2 4 4 2 2" xfId="15938"/>
    <cellStyle name="Обычный 6 2 2 4 4 2 2 2" xfId="15939"/>
    <cellStyle name="Обычный 6 2 2 4 4 2 2 3" xfId="15940"/>
    <cellStyle name="Обычный 6 2 2 4 4 2 3" xfId="15941"/>
    <cellStyle name="Обычный 6 2 2 4 4 2 3 2" xfId="15942"/>
    <cellStyle name="Обычный 6 2 2 4 4 2 3 3" xfId="15943"/>
    <cellStyle name="Обычный 6 2 2 4 4 2 4" xfId="15944"/>
    <cellStyle name="Обычный 6 2 2 4 4 2 4 2" xfId="15945"/>
    <cellStyle name="Обычный 6 2 2 4 4 2 5" xfId="15946"/>
    <cellStyle name="Обычный 6 2 2 4 4 2 6" xfId="15947"/>
    <cellStyle name="Обычный 6 2 2 4 4 3" xfId="15948"/>
    <cellStyle name="Обычный 6 2 2 4 4 3 2" xfId="15949"/>
    <cellStyle name="Обычный 6 2 2 4 4 3 3" xfId="15950"/>
    <cellStyle name="Обычный 6 2 2 4 4 4" xfId="15951"/>
    <cellStyle name="Обычный 6 2 2 4 4 4 2" xfId="15952"/>
    <cellStyle name="Обычный 6 2 2 4 4 4 3" xfId="15953"/>
    <cellStyle name="Обычный 6 2 2 4 4 5" xfId="15954"/>
    <cellStyle name="Обычный 6 2 2 4 4 5 2" xfId="15955"/>
    <cellStyle name="Обычный 6 2 2 4 4 6" xfId="15956"/>
    <cellStyle name="Обычный 6 2 2 4 4 7" xfId="15957"/>
    <cellStyle name="Обычный 6 2 2 4 5" xfId="15958"/>
    <cellStyle name="Обычный 6 2 2 4 5 2" xfId="15959"/>
    <cellStyle name="Обычный 6 2 2 4 5 2 2" xfId="15960"/>
    <cellStyle name="Обычный 6 2 2 4 5 2 3" xfId="15961"/>
    <cellStyle name="Обычный 6 2 2 4 5 3" xfId="15962"/>
    <cellStyle name="Обычный 6 2 2 4 5 3 2" xfId="15963"/>
    <cellStyle name="Обычный 6 2 2 4 5 3 3" xfId="15964"/>
    <cellStyle name="Обычный 6 2 2 4 5 4" xfId="15965"/>
    <cellStyle name="Обычный 6 2 2 4 5 4 2" xfId="15966"/>
    <cellStyle name="Обычный 6 2 2 4 5 5" xfId="15967"/>
    <cellStyle name="Обычный 6 2 2 4 5 6" xfId="15968"/>
    <cellStyle name="Обычный 6 2 2 4 6" xfId="15969"/>
    <cellStyle name="Обычный 6 2 2 4 6 2" xfId="15970"/>
    <cellStyle name="Обычный 6 2 2 4 6 3" xfId="15971"/>
    <cellStyle name="Обычный 6 2 2 4 7" xfId="15972"/>
    <cellStyle name="Обычный 6 2 2 4 7 2" xfId="15973"/>
    <cellStyle name="Обычный 6 2 2 4 7 3" xfId="15974"/>
    <cellStyle name="Обычный 6 2 2 4 8" xfId="15975"/>
    <cellStyle name="Обычный 6 2 2 4 8 2" xfId="15976"/>
    <cellStyle name="Обычный 6 2 2 4 9" xfId="15977"/>
    <cellStyle name="Обычный 6 2 2 5" xfId="15978"/>
    <cellStyle name="Обычный 6 2 2 5 2" xfId="15979"/>
    <cellStyle name="Обычный 6 2 2 5 2 2" xfId="15980"/>
    <cellStyle name="Обычный 6 2 2 5 2 2 2" xfId="15981"/>
    <cellStyle name="Обычный 6 2 2 5 2 2 2 2" xfId="15982"/>
    <cellStyle name="Обычный 6 2 2 5 2 2 2 2 2" xfId="15983"/>
    <cellStyle name="Обычный 6 2 2 5 2 2 2 2 3" xfId="15984"/>
    <cellStyle name="Обычный 6 2 2 5 2 2 2 3" xfId="15985"/>
    <cellStyle name="Обычный 6 2 2 5 2 2 2 3 2" xfId="15986"/>
    <cellStyle name="Обычный 6 2 2 5 2 2 2 3 3" xfId="15987"/>
    <cellStyle name="Обычный 6 2 2 5 2 2 2 4" xfId="15988"/>
    <cellStyle name="Обычный 6 2 2 5 2 2 2 4 2" xfId="15989"/>
    <cellStyle name="Обычный 6 2 2 5 2 2 2 5" xfId="15990"/>
    <cellStyle name="Обычный 6 2 2 5 2 2 2 6" xfId="15991"/>
    <cellStyle name="Обычный 6 2 2 5 2 2 3" xfId="15992"/>
    <cellStyle name="Обычный 6 2 2 5 2 2 3 2" xfId="15993"/>
    <cellStyle name="Обычный 6 2 2 5 2 2 3 3" xfId="15994"/>
    <cellStyle name="Обычный 6 2 2 5 2 2 4" xfId="15995"/>
    <cellStyle name="Обычный 6 2 2 5 2 2 4 2" xfId="15996"/>
    <cellStyle name="Обычный 6 2 2 5 2 2 4 3" xfId="15997"/>
    <cellStyle name="Обычный 6 2 2 5 2 2 5" xfId="15998"/>
    <cellStyle name="Обычный 6 2 2 5 2 2 5 2" xfId="15999"/>
    <cellStyle name="Обычный 6 2 2 5 2 2 6" xfId="16000"/>
    <cellStyle name="Обычный 6 2 2 5 2 2 7" xfId="16001"/>
    <cellStyle name="Обычный 6 2 2 5 2 3" xfId="16002"/>
    <cellStyle name="Обычный 6 2 2 5 2 3 2" xfId="16003"/>
    <cellStyle name="Обычный 6 2 2 5 2 3 2 2" xfId="16004"/>
    <cellStyle name="Обычный 6 2 2 5 2 3 2 3" xfId="16005"/>
    <cellStyle name="Обычный 6 2 2 5 2 3 3" xfId="16006"/>
    <cellStyle name="Обычный 6 2 2 5 2 3 3 2" xfId="16007"/>
    <cellStyle name="Обычный 6 2 2 5 2 3 3 3" xfId="16008"/>
    <cellStyle name="Обычный 6 2 2 5 2 3 4" xfId="16009"/>
    <cellStyle name="Обычный 6 2 2 5 2 3 4 2" xfId="16010"/>
    <cellStyle name="Обычный 6 2 2 5 2 3 5" xfId="16011"/>
    <cellStyle name="Обычный 6 2 2 5 2 3 6" xfId="16012"/>
    <cellStyle name="Обычный 6 2 2 5 2 4" xfId="16013"/>
    <cellStyle name="Обычный 6 2 2 5 2 4 2" xfId="16014"/>
    <cellStyle name="Обычный 6 2 2 5 2 4 3" xfId="16015"/>
    <cellStyle name="Обычный 6 2 2 5 2 5" xfId="16016"/>
    <cellStyle name="Обычный 6 2 2 5 2 5 2" xfId="16017"/>
    <cellStyle name="Обычный 6 2 2 5 2 5 3" xfId="16018"/>
    <cellStyle name="Обычный 6 2 2 5 2 6" xfId="16019"/>
    <cellStyle name="Обычный 6 2 2 5 2 6 2" xfId="16020"/>
    <cellStyle name="Обычный 6 2 2 5 2 7" xfId="16021"/>
    <cellStyle name="Обычный 6 2 2 5 2 8" xfId="16022"/>
    <cellStyle name="Обычный 6 2 2 5 3" xfId="16023"/>
    <cellStyle name="Обычный 6 2 2 5 3 2" xfId="16024"/>
    <cellStyle name="Обычный 6 2 2 5 3 2 2" xfId="16025"/>
    <cellStyle name="Обычный 6 2 2 5 3 2 2 2" xfId="16026"/>
    <cellStyle name="Обычный 6 2 2 5 3 2 2 3" xfId="16027"/>
    <cellStyle name="Обычный 6 2 2 5 3 2 3" xfId="16028"/>
    <cellStyle name="Обычный 6 2 2 5 3 2 3 2" xfId="16029"/>
    <cellStyle name="Обычный 6 2 2 5 3 2 3 3" xfId="16030"/>
    <cellStyle name="Обычный 6 2 2 5 3 2 4" xfId="16031"/>
    <cellStyle name="Обычный 6 2 2 5 3 2 4 2" xfId="16032"/>
    <cellStyle name="Обычный 6 2 2 5 3 2 5" xfId="16033"/>
    <cellStyle name="Обычный 6 2 2 5 3 2 6" xfId="16034"/>
    <cellStyle name="Обычный 6 2 2 5 3 3" xfId="16035"/>
    <cellStyle name="Обычный 6 2 2 5 3 3 2" xfId="16036"/>
    <cellStyle name="Обычный 6 2 2 5 3 3 3" xfId="16037"/>
    <cellStyle name="Обычный 6 2 2 5 3 4" xfId="16038"/>
    <cellStyle name="Обычный 6 2 2 5 3 4 2" xfId="16039"/>
    <cellStyle name="Обычный 6 2 2 5 3 4 3" xfId="16040"/>
    <cellStyle name="Обычный 6 2 2 5 3 5" xfId="16041"/>
    <cellStyle name="Обычный 6 2 2 5 3 5 2" xfId="16042"/>
    <cellStyle name="Обычный 6 2 2 5 3 6" xfId="16043"/>
    <cellStyle name="Обычный 6 2 2 5 3 7" xfId="16044"/>
    <cellStyle name="Обычный 6 2 2 5 4" xfId="16045"/>
    <cellStyle name="Обычный 6 2 2 5 4 2" xfId="16046"/>
    <cellStyle name="Обычный 6 2 2 5 4 2 2" xfId="16047"/>
    <cellStyle name="Обычный 6 2 2 5 4 2 3" xfId="16048"/>
    <cellStyle name="Обычный 6 2 2 5 4 3" xfId="16049"/>
    <cellStyle name="Обычный 6 2 2 5 4 3 2" xfId="16050"/>
    <cellStyle name="Обычный 6 2 2 5 4 3 3" xfId="16051"/>
    <cellStyle name="Обычный 6 2 2 5 4 4" xfId="16052"/>
    <cellStyle name="Обычный 6 2 2 5 4 4 2" xfId="16053"/>
    <cellStyle name="Обычный 6 2 2 5 4 5" xfId="16054"/>
    <cellStyle name="Обычный 6 2 2 5 4 6" xfId="16055"/>
    <cellStyle name="Обычный 6 2 2 5 5" xfId="16056"/>
    <cellStyle name="Обычный 6 2 2 5 5 2" xfId="16057"/>
    <cellStyle name="Обычный 6 2 2 5 5 3" xfId="16058"/>
    <cellStyle name="Обычный 6 2 2 5 6" xfId="16059"/>
    <cellStyle name="Обычный 6 2 2 5 6 2" xfId="16060"/>
    <cellStyle name="Обычный 6 2 2 5 6 3" xfId="16061"/>
    <cellStyle name="Обычный 6 2 2 5 7" xfId="16062"/>
    <cellStyle name="Обычный 6 2 2 5 7 2" xfId="16063"/>
    <cellStyle name="Обычный 6 2 2 5 8" xfId="16064"/>
    <cellStyle name="Обычный 6 2 2 5 9" xfId="16065"/>
    <cellStyle name="Обычный 6 2 2 6" xfId="16066"/>
    <cellStyle name="Обычный 6 2 2 6 2" xfId="16067"/>
    <cellStyle name="Обычный 6 2 2 6 2 2" xfId="16068"/>
    <cellStyle name="Обычный 6 2 2 6 2 2 2" xfId="16069"/>
    <cellStyle name="Обычный 6 2 2 6 2 2 2 2" xfId="16070"/>
    <cellStyle name="Обычный 6 2 2 6 2 2 2 3" xfId="16071"/>
    <cellStyle name="Обычный 6 2 2 6 2 2 3" xfId="16072"/>
    <cellStyle name="Обычный 6 2 2 6 2 2 3 2" xfId="16073"/>
    <cellStyle name="Обычный 6 2 2 6 2 2 3 3" xfId="16074"/>
    <cellStyle name="Обычный 6 2 2 6 2 2 4" xfId="16075"/>
    <cellStyle name="Обычный 6 2 2 6 2 2 4 2" xfId="16076"/>
    <cellStyle name="Обычный 6 2 2 6 2 2 5" xfId="16077"/>
    <cellStyle name="Обычный 6 2 2 6 2 2 6" xfId="16078"/>
    <cellStyle name="Обычный 6 2 2 6 2 3" xfId="16079"/>
    <cellStyle name="Обычный 6 2 2 6 2 3 2" xfId="16080"/>
    <cellStyle name="Обычный 6 2 2 6 2 3 3" xfId="16081"/>
    <cellStyle name="Обычный 6 2 2 6 2 4" xfId="16082"/>
    <cellStyle name="Обычный 6 2 2 6 2 4 2" xfId="16083"/>
    <cellStyle name="Обычный 6 2 2 6 2 4 3" xfId="16084"/>
    <cellStyle name="Обычный 6 2 2 6 2 5" xfId="16085"/>
    <cellStyle name="Обычный 6 2 2 6 2 5 2" xfId="16086"/>
    <cellStyle name="Обычный 6 2 2 6 2 6" xfId="16087"/>
    <cellStyle name="Обычный 6 2 2 6 2 7" xfId="16088"/>
    <cellStyle name="Обычный 6 2 2 6 3" xfId="16089"/>
    <cellStyle name="Обычный 6 2 2 6 3 2" xfId="16090"/>
    <cellStyle name="Обычный 6 2 2 6 3 2 2" xfId="16091"/>
    <cellStyle name="Обычный 6 2 2 6 3 2 3" xfId="16092"/>
    <cellStyle name="Обычный 6 2 2 6 3 3" xfId="16093"/>
    <cellStyle name="Обычный 6 2 2 6 3 3 2" xfId="16094"/>
    <cellStyle name="Обычный 6 2 2 6 3 3 3" xfId="16095"/>
    <cellStyle name="Обычный 6 2 2 6 3 4" xfId="16096"/>
    <cellStyle name="Обычный 6 2 2 6 3 4 2" xfId="16097"/>
    <cellStyle name="Обычный 6 2 2 6 3 5" xfId="16098"/>
    <cellStyle name="Обычный 6 2 2 6 3 6" xfId="16099"/>
    <cellStyle name="Обычный 6 2 2 6 4" xfId="16100"/>
    <cellStyle name="Обычный 6 2 2 6 4 2" xfId="16101"/>
    <cellStyle name="Обычный 6 2 2 6 4 3" xfId="16102"/>
    <cellStyle name="Обычный 6 2 2 6 5" xfId="16103"/>
    <cellStyle name="Обычный 6 2 2 6 5 2" xfId="16104"/>
    <cellStyle name="Обычный 6 2 2 6 5 3" xfId="16105"/>
    <cellStyle name="Обычный 6 2 2 6 6" xfId="16106"/>
    <cellStyle name="Обычный 6 2 2 6 6 2" xfId="16107"/>
    <cellStyle name="Обычный 6 2 2 6 7" xfId="16108"/>
    <cellStyle name="Обычный 6 2 2 6 8" xfId="16109"/>
    <cellStyle name="Обычный 6 2 2 7" xfId="16110"/>
    <cellStyle name="Обычный 6 2 2 7 2" xfId="16111"/>
    <cellStyle name="Обычный 6 2 2 7 2 2" xfId="16112"/>
    <cellStyle name="Обычный 6 2 2 7 2 2 2" xfId="16113"/>
    <cellStyle name="Обычный 6 2 2 7 2 2 3" xfId="16114"/>
    <cellStyle name="Обычный 6 2 2 7 2 3" xfId="16115"/>
    <cellStyle name="Обычный 6 2 2 7 2 3 2" xfId="16116"/>
    <cellStyle name="Обычный 6 2 2 7 2 3 3" xfId="16117"/>
    <cellStyle name="Обычный 6 2 2 7 2 4" xfId="16118"/>
    <cellStyle name="Обычный 6 2 2 7 2 4 2" xfId="16119"/>
    <cellStyle name="Обычный 6 2 2 7 2 5" xfId="16120"/>
    <cellStyle name="Обычный 6 2 2 7 2 6" xfId="16121"/>
    <cellStyle name="Обычный 6 2 2 7 3" xfId="16122"/>
    <cellStyle name="Обычный 6 2 2 7 3 2" xfId="16123"/>
    <cellStyle name="Обычный 6 2 2 7 3 3" xfId="16124"/>
    <cellStyle name="Обычный 6 2 2 7 4" xfId="16125"/>
    <cellStyle name="Обычный 6 2 2 7 4 2" xfId="16126"/>
    <cellStyle name="Обычный 6 2 2 7 4 3" xfId="16127"/>
    <cellStyle name="Обычный 6 2 2 7 5" xfId="16128"/>
    <cellStyle name="Обычный 6 2 2 7 5 2" xfId="16129"/>
    <cellStyle name="Обычный 6 2 2 7 6" xfId="16130"/>
    <cellStyle name="Обычный 6 2 2 7 7" xfId="16131"/>
    <cellStyle name="Обычный 6 2 2 8" xfId="16132"/>
    <cellStyle name="Обычный 6 2 2 8 2" xfId="16133"/>
    <cellStyle name="Обычный 6 2 2 8 2 2" xfId="16134"/>
    <cellStyle name="Обычный 6 2 2 8 2 3" xfId="16135"/>
    <cellStyle name="Обычный 6 2 2 8 3" xfId="16136"/>
    <cellStyle name="Обычный 6 2 2 8 3 2" xfId="16137"/>
    <cellStyle name="Обычный 6 2 2 8 3 3" xfId="16138"/>
    <cellStyle name="Обычный 6 2 2 8 4" xfId="16139"/>
    <cellStyle name="Обычный 6 2 2 8 4 2" xfId="16140"/>
    <cellStyle name="Обычный 6 2 2 8 5" xfId="16141"/>
    <cellStyle name="Обычный 6 2 2 8 6" xfId="16142"/>
    <cellStyle name="Обычный 6 2 2 9" xfId="16143"/>
    <cellStyle name="Обычный 6 2 2 9 2" xfId="16144"/>
    <cellStyle name="Обычный 6 2 2 9 3" xfId="16145"/>
    <cellStyle name="Обычный 6 2 3" xfId="16146"/>
    <cellStyle name="Обычный 6 2 3 10" xfId="16147"/>
    <cellStyle name="Обычный 6 2 3 2" xfId="16148"/>
    <cellStyle name="Обычный 6 2 3 2 2" xfId="16149"/>
    <cellStyle name="Обычный 6 2 3 2 2 2" xfId="16150"/>
    <cellStyle name="Обычный 6 2 3 2 2 2 2" xfId="16151"/>
    <cellStyle name="Обычный 6 2 3 2 2 2 2 2" xfId="16152"/>
    <cellStyle name="Обычный 6 2 3 2 2 2 2 2 2" xfId="16153"/>
    <cellStyle name="Обычный 6 2 3 2 2 2 2 2 3" xfId="16154"/>
    <cellStyle name="Обычный 6 2 3 2 2 2 2 3" xfId="16155"/>
    <cellStyle name="Обычный 6 2 3 2 2 2 2 3 2" xfId="16156"/>
    <cellStyle name="Обычный 6 2 3 2 2 2 2 3 3" xfId="16157"/>
    <cellStyle name="Обычный 6 2 3 2 2 2 2 4" xfId="16158"/>
    <cellStyle name="Обычный 6 2 3 2 2 2 2 4 2" xfId="16159"/>
    <cellStyle name="Обычный 6 2 3 2 2 2 2 5" xfId="16160"/>
    <cellStyle name="Обычный 6 2 3 2 2 2 2 6" xfId="16161"/>
    <cellStyle name="Обычный 6 2 3 2 2 2 3" xfId="16162"/>
    <cellStyle name="Обычный 6 2 3 2 2 2 3 2" xfId="16163"/>
    <cellStyle name="Обычный 6 2 3 2 2 2 3 3" xfId="16164"/>
    <cellStyle name="Обычный 6 2 3 2 2 2 4" xfId="16165"/>
    <cellStyle name="Обычный 6 2 3 2 2 2 4 2" xfId="16166"/>
    <cellStyle name="Обычный 6 2 3 2 2 2 4 3" xfId="16167"/>
    <cellStyle name="Обычный 6 2 3 2 2 2 5" xfId="16168"/>
    <cellStyle name="Обычный 6 2 3 2 2 2 5 2" xfId="16169"/>
    <cellStyle name="Обычный 6 2 3 2 2 2 6" xfId="16170"/>
    <cellStyle name="Обычный 6 2 3 2 2 2 7" xfId="16171"/>
    <cellStyle name="Обычный 6 2 3 2 2 3" xfId="16172"/>
    <cellStyle name="Обычный 6 2 3 2 2 3 2" xfId="16173"/>
    <cellStyle name="Обычный 6 2 3 2 2 3 2 2" xfId="16174"/>
    <cellStyle name="Обычный 6 2 3 2 2 3 2 3" xfId="16175"/>
    <cellStyle name="Обычный 6 2 3 2 2 3 3" xfId="16176"/>
    <cellStyle name="Обычный 6 2 3 2 2 3 3 2" xfId="16177"/>
    <cellStyle name="Обычный 6 2 3 2 2 3 3 3" xfId="16178"/>
    <cellStyle name="Обычный 6 2 3 2 2 3 4" xfId="16179"/>
    <cellStyle name="Обычный 6 2 3 2 2 3 4 2" xfId="16180"/>
    <cellStyle name="Обычный 6 2 3 2 2 3 5" xfId="16181"/>
    <cellStyle name="Обычный 6 2 3 2 2 3 6" xfId="16182"/>
    <cellStyle name="Обычный 6 2 3 2 2 4" xfId="16183"/>
    <cellStyle name="Обычный 6 2 3 2 2 4 2" xfId="16184"/>
    <cellStyle name="Обычный 6 2 3 2 2 4 3" xfId="16185"/>
    <cellStyle name="Обычный 6 2 3 2 2 5" xfId="16186"/>
    <cellStyle name="Обычный 6 2 3 2 2 5 2" xfId="16187"/>
    <cellStyle name="Обычный 6 2 3 2 2 5 3" xfId="16188"/>
    <cellStyle name="Обычный 6 2 3 2 2 6" xfId="16189"/>
    <cellStyle name="Обычный 6 2 3 2 2 6 2" xfId="16190"/>
    <cellStyle name="Обычный 6 2 3 2 2 7" xfId="16191"/>
    <cellStyle name="Обычный 6 2 3 2 2 8" xfId="16192"/>
    <cellStyle name="Обычный 6 2 3 2 3" xfId="16193"/>
    <cellStyle name="Обычный 6 2 3 2 3 2" xfId="16194"/>
    <cellStyle name="Обычный 6 2 3 2 3 2 2" xfId="16195"/>
    <cellStyle name="Обычный 6 2 3 2 3 2 2 2" xfId="16196"/>
    <cellStyle name="Обычный 6 2 3 2 3 2 2 3" xfId="16197"/>
    <cellStyle name="Обычный 6 2 3 2 3 2 3" xfId="16198"/>
    <cellStyle name="Обычный 6 2 3 2 3 2 3 2" xfId="16199"/>
    <cellStyle name="Обычный 6 2 3 2 3 2 3 3" xfId="16200"/>
    <cellStyle name="Обычный 6 2 3 2 3 2 4" xfId="16201"/>
    <cellStyle name="Обычный 6 2 3 2 3 2 4 2" xfId="16202"/>
    <cellStyle name="Обычный 6 2 3 2 3 2 5" xfId="16203"/>
    <cellStyle name="Обычный 6 2 3 2 3 2 6" xfId="16204"/>
    <cellStyle name="Обычный 6 2 3 2 3 3" xfId="16205"/>
    <cellStyle name="Обычный 6 2 3 2 3 3 2" xfId="16206"/>
    <cellStyle name="Обычный 6 2 3 2 3 3 3" xfId="16207"/>
    <cellStyle name="Обычный 6 2 3 2 3 4" xfId="16208"/>
    <cellStyle name="Обычный 6 2 3 2 3 4 2" xfId="16209"/>
    <cellStyle name="Обычный 6 2 3 2 3 4 3" xfId="16210"/>
    <cellStyle name="Обычный 6 2 3 2 3 5" xfId="16211"/>
    <cellStyle name="Обычный 6 2 3 2 3 5 2" xfId="16212"/>
    <cellStyle name="Обычный 6 2 3 2 3 6" xfId="16213"/>
    <cellStyle name="Обычный 6 2 3 2 3 7" xfId="16214"/>
    <cellStyle name="Обычный 6 2 3 2 4" xfId="16215"/>
    <cellStyle name="Обычный 6 2 3 2 4 2" xfId="16216"/>
    <cellStyle name="Обычный 6 2 3 2 4 2 2" xfId="16217"/>
    <cellStyle name="Обычный 6 2 3 2 4 2 3" xfId="16218"/>
    <cellStyle name="Обычный 6 2 3 2 4 3" xfId="16219"/>
    <cellStyle name="Обычный 6 2 3 2 4 3 2" xfId="16220"/>
    <cellStyle name="Обычный 6 2 3 2 4 3 3" xfId="16221"/>
    <cellStyle name="Обычный 6 2 3 2 4 4" xfId="16222"/>
    <cellStyle name="Обычный 6 2 3 2 4 4 2" xfId="16223"/>
    <cellStyle name="Обычный 6 2 3 2 4 5" xfId="16224"/>
    <cellStyle name="Обычный 6 2 3 2 4 6" xfId="16225"/>
    <cellStyle name="Обычный 6 2 3 2 5" xfId="16226"/>
    <cellStyle name="Обычный 6 2 3 2 5 2" xfId="16227"/>
    <cellStyle name="Обычный 6 2 3 2 5 3" xfId="16228"/>
    <cellStyle name="Обычный 6 2 3 2 6" xfId="16229"/>
    <cellStyle name="Обычный 6 2 3 2 6 2" xfId="16230"/>
    <cellStyle name="Обычный 6 2 3 2 6 3" xfId="16231"/>
    <cellStyle name="Обычный 6 2 3 2 7" xfId="16232"/>
    <cellStyle name="Обычный 6 2 3 2 7 2" xfId="16233"/>
    <cellStyle name="Обычный 6 2 3 2 8" xfId="16234"/>
    <cellStyle name="Обычный 6 2 3 2 9" xfId="16235"/>
    <cellStyle name="Обычный 6 2 3 3" xfId="16236"/>
    <cellStyle name="Обычный 6 2 3 3 2" xfId="16237"/>
    <cellStyle name="Обычный 6 2 3 3 2 2" xfId="16238"/>
    <cellStyle name="Обычный 6 2 3 3 2 2 2" xfId="16239"/>
    <cellStyle name="Обычный 6 2 3 3 2 2 2 2" xfId="16240"/>
    <cellStyle name="Обычный 6 2 3 3 2 2 2 3" xfId="16241"/>
    <cellStyle name="Обычный 6 2 3 3 2 2 3" xfId="16242"/>
    <cellStyle name="Обычный 6 2 3 3 2 2 3 2" xfId="16243"/>
    <cellStyle name="Обычный 6 2 3 3 2 2 3 3" xfId="16244"/>
    <cellStyle name="Обычный 6 2 3 3 2 2 4" xfId="16245"/>
    <cellStyle name="Обычный 6 2 3 3 2 2 4 2" xfId="16246"/>
    <cellStyle name="Обычный 6 2 3 3 2 2 5" xfId="16247"/>
    <cellStyle name="Обычный 6 2 3 3 2 2 6" xfId="16248"/>
    <cellStyle name="Обычный 6 2 3 3 2 3" xfId="16249"/>
    <cellStyle name="Обычный 6 2 3 3 2 3 2" xfId="16250"/>
    <cellStyle name="Обычный 6 2 3 3 2 3 3" xfId="16251"/>
    <cellStyle name="Обычный 6 2 3 3 2 4" xfId="16252"/>
    <cellStyle name="Обычный 6 2 3 3 2 4 2" xfId="16253"/>
    <cellStyle name="Обычный 6 2 3 3 2 4 3" xfId="16254"/>
    <cellStyle name="Обычный 6 2 3 3 2 5" xfId="16255"/>
    <cellStyle name="Обычный 6 2 3 3 2 5 2" xfId="16256"/>
    <cellStyle name="Обычный 6 2 3 3 2 6" xfId="16257"/>
    <cellStyle name="Обычный 6 2 3 3 2 7" xfId="16258"/>
    <cellStyle name="Обычный 6 2 3 3 3" xfId="16259"/>
    <cellStyle name="Обычный 6 2 3 3 3 2" xfId="16260"/>
    <cellStyle name="Обычный 6 2 3 3 3 2 2" xfId="16261"/>
    <cellStyle name="Обычный 6 2 3 3 3 2 3" xfId="16262"/>
    <cellStyle name="Обычный 6 2 3 3 3 3" xfId="16263"/>
    <cellStyle name="Обычный 6 2 3 3 3 3 2" xfId="16264"/>
    <cellStyle name="Обычный 6 2 3 3 3 3 3" xfId="16265"/>
    <cellStyle name="Обычный 6 2 3 3 3 4" xfId="16266"/>
    <cellStyle name="Обычный 6 2 3 3 3 4 2" xfId="16267"/>
    <cellStyle name="Обычный 6 2 3 3 3 5" xfId="16268"/>
    <cellStyle name="Обычный 6 2 3 3 3 6" xfId="16269"/>
    <cellStyle name="Обычный 6 2 3 3 4" xfId="16270"/>
    <cellStyle name="Обычный 6 2 3 3 4 2" xfId="16271"/>
    <cellStyle name="Обычный 6 2 3 3 4 3" xfId="16272"/>
    <cellStyle name="Обычный 6 2 3 3 5" xfId="16273"/>
    <cellStyle name="Обычный 6 2 3 3 5 2" xfId="16274"/>
    <cellStyle name="Обычный 6 2 3 3 5 3" xfId="16275"/>
    <cellStyle name="Обычный 6 2 3 3 6" xfId="16276"/>
    <cellStyle name="Обычный 6 2 3 3 6 2" xfId="16277"/>
    <cellStyle name="Обычный 6 2 3 3 7" xfId="16278"/>
    <cellStyle name="Обычный 6 2 3 3 8" xfId="16279"/>
    <cellStyle name="Обычный 6 2 3 4" xfId="16280"/>
    <cellStyle name="Обычный 6 2 3 4 2" xfId="16281"/>
    <cellStyle name="Обычный 6 2 3 4 2 2" xfId="16282"/>
    <cellStyle name="Обычный 6 2 3 4 2 2 2" xfId="16283"/>
    <cellStyle name="Обычный 6 2 3 4 2 2 3" xfId="16284"/>
    <cellStyle name="Обычный 6 2 3 4 2 3" xfId="16285"/>
    <cellStyle name="Обычный 6 2 3 4 2 3 2" xfId="16286"/>
    <cellStyle name="Обычный 6 2 3 4 2 3 3" xfId="16287"/>
    <cellStyle name="Обычный 6 2 3 4 2 4" xfId="16288"/>
    <cellStyle name="Обычный 6 2 3 4 2 4 2" xfId="16289"/>
    <cellStyle name="Обычный 6 2 3 4 2 5" xfId="16290"/>
    <cellStyle name="Обычный 6 2 3 4 2 6" xfId="16291"/>
    <cellStyle name="Обычный 6 2 3 4 3" xfId="16292"/>
    <cellStyle name="Обычный 6 2 3 4 3 2" xfId="16293"/>
    <cellStyle name="Обычный 6 2 3 4 3 3" xfId="16294"/>
    <cellStyle name="Обычный 6 2 3 4 4" xfId="16295"/>
    <cellStyle name="Обычный 6 2 3 4 4 2" xfId="16296"/>
    <cellStyle name="Обычный 6 2 3 4 4 3" xfId="16297"/>
    <cellStyle name="Обычный 6 2 3 4 5" xfId="16298"/>
    <cellStyle name="Обычный 6 2 3 4 5 2" xfId="16299"/>
    <cellStyle name="Обычный 6 2 3 4 6" xfId="16300"/>
    <cellStyle name="Обычный 6 2 3 4 7" xfId="16301"/>
    <cellStyle name="Обычный 6 2 3 5" xfId="16302"/>
    <cellStyle name="Обычный 6 2 3 5 2" xfId="16303"/>
    <cellStyle name="Обычный 6 2 3 5 2 2" xfId="16304"/>
    <cellStyle name="Обычный 6 2 3 5 2 3" xfId="16305"/>
    <cellStyle name="Обычный 6 2 3 5 3" xfId="16306"/>
    <cellStyle name="Обычный 6 2 3 5 3 2" xfId="16307"/>
    <cellStyle name="Обычный 6 2 3 5 3 3" xfId="16308"/>
    <cellStyle name="Обычный 6 2 3 5 4" xfId="16309"/>
    <cellStyle name="Обычный 6 2 3 5 4 2" xfId="16310"/>
    <cellStyle name="Обычный 6 2 3 5 5" xfId="16311"/>
    <cellStyle name="Обычный 6 2 3 5 6" xfId="16312"/>
    <cellStyle name="Обычный 6 2 3 6" xfId="16313"/>
    <cellStyle name="Обычный 6 2 3 6 2" xfId="16314"/>
    <cellStyle name="Обычный 6 2 3 6 3" xfId="16315"/>
    <cellStyle name="Обычный 6 2 3 7" xfId="16316"/>
    <cellStyle name="Обычный 6 2 3 7 2" xfId="16317"/>
    <cellStyle name="Обычный 6 2 3 7 3" xfId="16318"/>
    <cellStyle name="Обычный 6 2 3 8" xfId="16319"/>
    <cellStyle name="Обычный 6 2 3 8 2" xfId="16320"/>
    <cellStyle name="Обычный 6 2 3 9" xfId="16321"/>
    <cellStyle name="Обычный 6 2 4" xfId="16322"/>
    <cellStyle name="Обычный 6 2 4 10" xfId="16323"/>
    <cellStyle name="Обычный 6 2 4 2" xfId="16324"/>
    <cellStyle name="Обычный 6 2 4 2 2" xfId="16325"/>
    <cellStyle name="Обычный 6 2 4 2 2 2" xfId="16326"/>
    <cellStyle name="Обычный 6 2 4 2 2 2 2" xfId="16327"/>
    <cellStyle name="Обычный 6 2 4 2 2 2 2 2" xfId="16328"/>
    <cellStyle name="Обычный 6 2 4 2 2 2 2 2 2" xfId="16329"/>
    <cellStyle name="Обычный 6 2 4 2 2 2 2 2 3" xfId="16330"/>
    <cellStyle name="Обычный 6 2 4 2 2 2 2 3" xfId="16331"/>
    <cellStyle name="Обычный 6 2 4 2 2 2 2 3 2" xfId="16332"/>
    <cellStyle name="Обычный 6 2 4 2 2 2 2 3 3" xfId="16333"/>
    <cellStyle name="Обычный 6 2 4 2 2 2 2 4" xfId="16334"/>
    <cellStyle name="Обычный 6 2 4 2 2 2 2 4 2" xfId="16335"/>
    <cellStyle name="Обычный 6 2 4 2 2 2 2 5" xfId="16336"/>
    <cellStyle name="Обычный 6 2 4 2 2 2 2 6" xfId="16337"/>
    <cellStyle name="Обычный 6 2 4 2 2 2 3" xfId="16338"/>
    <cellStyle name="Обычный 6 2 4 2 2 2 3 2" xfId="16339"/>
    <cellStyle name="Обычный 6 2 4 2 2 2 3 3" xfId="16340"/>
    <cellStyle name="Обычный 6 2 4 2 2 2 4" xfId="16341"/>
    <cellStyle name="Обычный 6 2 4 2 2 2 4 2" xfId="16342"/>
    <cellStyle name="Обычный 6 2 4 2 2 2 4 3" xfId="16343"/>
    <cellStyle name="Обычный 6 2 4 2 2 2 5" xfId="16344"/>
    <cellStyle name="Обычный 6 2 4 2 2 2 5 2" xfId="16345"/>
    <cellStyle name="Обычный 6 2 4 2 2 2 6" xfId="16346"/>
    <cellStyle name="Обычный 6 2 4 2 2 2 7" xfId="16347"/>
    <cellStyle name="Обычный 6 2 4 2 2 3" xfId="16348"/>
    <cellStyle name="Обычный 6 2 4 2 2 3 2" xfId="16349"/>
    <cellStyle name="Обычный 6 2 4 2 2 3 2 2" xfId="16350"/>
    <cellStyle name="Обычный 6 2 4 2 2 3 2 3" xfId="16351"/>
    <cellStyle name="Обычный 6 2 4 2 2 3 3" xfId="16352"/>
    <cellStyle name="Обычный 6 2 4 2 2 3 3 2" xfId="16353"/>
    <cellStyle name="Обычный 6 2 4 2 2 3 3 3" xfId="16354"/>
    <cellStyle name="Обычный 6 2 4 2 2 3 4" xfId="16355"/>
    <cellStyle name="Обычный 6 2 4 2 2 3 4 2" xfId="16356"/>
    <cellStyle name="Обычный 6 2 4 2 2 3 5" xfId="16357"/>
    <cellStyle name="Обычный 6 2 4 2 2 3 6" xfId="16358"/>
    <cellStyle name="Обычный 6 2 4 2 2 4" xfId="16359"/>
    <cellStyle name="Обычный 6 2 4 2 2 4 2" xfId="16360"/>
    <cellStyle name="Обычный 6 2 4 2 2 4 3" xfId="16361"/>
    <cellStyle name="Обычный 6 2 4 2 2 5" xfId="16362"/>
    <cellStyle name="Обычный 6 2 4 2 2 5 2" xfId="16363"/>
    <cellStyle name="Обычный 6 2 4 2 2 5 3" xfId="16364"/>
    <cellStyle name="Обычный 6 2 4 2 2 6" xfId="16365"/>
    <cellStyle name="Обычный 6 2 4 2 2 6 2" xfId="16366"/>
    <cellStyle name="Обычный 6 2 4 2 2 7" xfId="16367"/>
    <cellStyle name="Обычный 6 2 4 2 2 8" xfId="16368"/>
    <cellStyle name="Обычный 6 2 4 2 3" xfId="16369"/>
    <cellStyle name="Обычный 6 2 4 2 3 2" xfId="16370"/>
    <cellStyle name="Обычный 6 2 4 2 3 2 2" xfId="16371"/>
    <cellStyle name="Обычный 6 2 4 2 3 2 2 2" xfId="16372"/>
    <cellStyle name="Обычный 6 2 4 2 3 2 2 3" xfId="16373"/>
    <cellStyle name="Обычный 6 2 4 2 3 2 3" xfId="16374"/>
    <cellStyle name="Обычный 6 2 4 2 3 2 3 2" xfId="16375"/>
    <cellStyle name="Обычный 6 2 4 2 3 2 3 3" xfId="16376"/>
    <cellStyle name="Обычный 6 2 4 2 3 2 4" xfId="16377"/>
    <cellStyle name="Обычный 6 2 4 2 3 2 4 2" xfId="16378"/>
    <cellStyle name="Обычный 6 2 4 2 3 2 5" xfId="16379"/>
    <cellStyle name="Обычный 6 2 4 2 3 2 6" xfId="16380"/>
    <cellStyle name="Обычный 6 2 4 2 3 3" xfId="16381"/>
    <cellStyle name="Обычный 6 2 4 2 3 3 2" xfId="16382"/>
    <cellStyle name="Обычный 6 2 4 2 3 3 3" xfId="16383"/>
    <cellStyle name="Обычный 6 2 4 2 3 4" xfId="16384"/>
    <cellStyle name="Обычный 6 2 4 2 3 4 2" xfId="16385"/>
    <cellStyle name="Обычный 6 2 4 2 3 4 3" xfId="16386"/>
    <cellStyle name="Обычный 6 2 4 2 3 5" xfId="16387"/>
    <cellStyle name="Обычный 6 2 4 2 3 5 2" xfId="16388"/>
    <cellStyle name="Обычный 6 2 4 2 3 6" xfId="16389"/>
    <cellStyle name="Обычный 6 2 4 2 3 7" xfId="16390"/>
    <cellStyle name="Обычный 6 2 4 2 4" xfId="16391"/>
    <cellStyle name="Обычный 6 2 4 2 4 2" xfId="16392"/>
    <cellStyle name="Обычный 6 2 4 2 4 2 2" xfId="16393"/>
    <cellStyle name="Обычный 6 2 4 2 4 2 3" xfId="16394"/>
    <cellStyle name="Обычный 6 2 4 2 4 3" xfId="16395"/>
    <cellStyle name="Обычный 6 2 4 2 4 3 2" xfId="16396"/>
    <cellStyle name="Обычный 6 2 4 2 4 3 3" xfId="16397"/>
    <cellStyle name="Обычный 6 2 4 2 4 4" xfId="16398"/>
    <cellStyle name="Обычный 6 2 4 2 4 4 2" xfId="16399"/>
    <cellStyle name="Обычный 6 2 4 2 4 5" xfId="16400"/>
    <cellStyle name="Обычный 6 2 4 2 4 6" xfId="16401"/>
    <cellStyle name="Обычный 6 2 4 2 5" xfId="16402"/>
    <cellStyle name="Обычный 6 2 4 2 5 2" xfId="16403"/>
    <cellStyle name="Обычный 6 2 4 2 5 3" xfId="16404"/>
    <cellStyle name="Обычный 6 2 4 2 6" xfId="16405"/>
    <cellStyle name="Обычный 6 2 4 2 6 2" xfId="16406"/>
    <cellStyle name="Обычный 6 2 4 2 6 3" xfId="16407"/>
    <cellStyle name="Обычный 6 2 4 2 7" xfId="16408"/>
    <cellStyle name="Обычный 6 2 4 2 7 2" xfId="16409"/>
    <cellStyle name="Обычный 6 2 4 2 8" xfId="16410"/>
    <cellStyle name="Обычный 6 2 4 2 9" xfId="16411"/>
    <cellStyle name="Обычный 6 2 4 3" xfId="16412"/>
    <cellStyle name="Обычный 6 2 4 3 2" xfId="16413"/>
    <cellStyle name="Обычный 6 2 4 3 2 2" xfId="16414"/>
    <cellStyle name="Обычный 6 2 4 3 2 2 2" xfId="16415"/>
    <cellStyle name="Обычный 6 2 4 3 2 2 2 2" xfId="16416"/>
    <cellStyle name="Обычный 6 2 4 3 2 2 2 3" xfId="16417"/>
    <cellStyle name="Обычный 6 2 4 3 2 2 3" xfId="16418"/>
    <cellStyle name="Обычный 6 2 4 3 2 2 3 2" xfId="16419"/>
    <cellStyle name="Обычный 6 2 4 3 2 2 3 3" xfId="16420"/>
    <cellStyle name="Обычный 6 2 4 3 2 2 4" xfId="16421"/>
    <cellStyle name="Обычный 6 2 4 3 2 2 4 2" xfId="16422"/>
    <cellStyle name="Обычный 6 2 4 3 2 2 5" xfId="16423"/>
    <cellStyle name="Обычный 6 2 4 3 2 2 6" xfId="16424"/>
    <cellStyle name="Обычный 6 2 4 3 2 3" xfId="16425"/>
    <cellStyle name="Обычный 6 2 4 3 2 3 2" xfId="16426"/>
    <cellStyle name="Обычный 6 2 4 3 2 3 3" xfId="16427"/>
    <cellStyle name="Обычный 6 2 4 3 2 4" xfId="16428"/>
    <cellStyle name="Обычный 6 2 4 3 2 4 2" xfId="16429"/>
    <cellStyle name="Обычный 6 2 4 3 2 4 3" xfId="16430"/>
    <cellStyle name="Обычный 6 2 4 3 2 5" xfId="16431"/>
    <cellStyle name="Обычный 6 2 4 3 2 5 2" xfId="16432"/>
    <cellStyle name="Обычный 6 2 4 3 2 6" xfId="16433"/>
    <cellStyle name="Обычный 6 2 4 3 2 7" xfId="16434"/>
    <cellStyle name="Обычный 6 2 4 3 3" xfId="16435"/>
    <cellStyle name="Обычный 6 2 4 3 3 2" xfId="16436"/>
    <cellStyle name="Обычный 6 2 4 3 3 2 2" xfId="16437"/>
    <cellStyle name="Обычный 6 2 4 3 3 2 3" xfId="16438"/>
    <cellStyle name="Обычный 6 2 4 3 3 3" xfId="16439"/>
    <cellStyle name="Обычный 6 2 4 3 3 3 2" xfId="16440"/>
    <cellStyle name="Обычный 6 2 4 3 3 3 3" xfId="16441"/>
    <cellStyle name="Обычный 6 2 4 3 3 4" xfId="16442"/>
    <cellStyle name="Обычный 6 2 4 3 3 4 2" xfId="16443"/>
    <cellStyle name="Обычный 6 2 4 3 3 5" xfId="16444"/>
    <cellStyle name="Обычный 6 2 4 3 3 6" xfId="16445"/>
    <cellStyle name="Обычный 6 2 4 3 4" xfId="16446"/>
    <cellStyle name="Обычный 6 2 4 3 4 2" xfId="16447"/>
    <cellStyle name="Обычный 6 2 4 3 4 3" xfId="16448"/>
    <cellStyle name="Обычный 6 2 4 3 5" xfId="16449"/>
    <cellStyle name="Обычный 6 2 4 3 5 2" xfId="16450"/>
    <cellStyle name="Обычный 6 2 4 3 5 3" xfId="16451"/>
    <cellStyle name="Обычный 6 2 4 3 6" xfId="16452"/>
    <cellStyle name="Обычный 6 2 4 3 6 2" xfId="16453"/>
    <cellStyle name="Обычный 6 2 4 3 7" xfId="16454"/>
    <cellStyle name="Обычный 6 2 4 3 8" xfId="16455"/>
    <cellStyle name="Обычный 6 2 4 4" xfId="16456"/>
    <cellStyle name="Обычный 6 2 4 4 2" xfId="16457"/>
    <cellStyle name="Обычный 6 2 4 4 2 2" xfId="16458"/>
    <cellStyle name="Обычный 6 2 4 4 2 2 2" xfId="16459"/>
    <cellStyle name="Обычный 6 2 4 4 2 2 3" xfId="16460"/>
    <cellStyle name="Обычный 6 2 4 4 2 3" xfId="16461"/>
    <cellStyle name="Обычный 6 2 4 4 2 3 2" xfId="16462"/>
    <cellStyle name="Обычный 6 2 4 4 2 3 3" xfId="16463"/>
    <cellStyle name="Обычный 6 2 4 4 2 4" xfId="16464"/>
    <cellStyle name="Обычный 6 2 4 4 2 4 2" xfId="16465"/>
    <cellStyle name="Обычный 6 2 4 4 2 5" xfId="16466"/>
    <cellStyle name="Обычный 6 2 4 4 2 6" xfId="16467"/>
    <cellStyle name="Обычный 6 2 4 4 3" xfId="16468"/>
    <cellStyle name="Обычный 6 2 4 4 3 2" xfId="16469"/>
    <cellStyle name="Обычный 6 2 4 4 3 3" xfId="16470"/>
    <cellStyle name="Обычный 6 2 4 4 4" xfId="16471"/>
    <cellStyle name="Обычный 6 2 4 4 4 2" xfId="16472"/>
    <cellStyle name="Обычный 6 2 4 4 4 3" xfId="16473"/>
    <cellStyle name="Обычный 6 2 4 4 5" xfId="16474"/>
    <cellStyle name="Обычный 6 2 4 4 5 2" xfId="16475"/>
    <cellStyle name="Обычный 6 2 4 4 6" xfId="16476"/>
    <cellStyle name="Обычный 6 2 4 4 7" xfId="16477"/>
    <cellStyle name="Обычный 6 2 4 5" xfId="16478"/>
    <cellStyle name="Обычный 6 2 4 5 2" xfId="16479"/>
    <cellStyle name="Обычный 6 2 4 5 2 2" xfId="16480"/>
    <cellStyle name="Обычный 6 2 4 5 2 3" xfId="16481"/>
    <cellStyle name="Обычный 6 2 4 5 3" xfId="16482"/>
    <cellStyle name="Обычный 6 2 4 5 3 2" xfId="16483"/>
    <cellStyle name="Обычный 6 2 4 5 3 3" xfId="16484"/>
    <cellStyle name="Обычный 6 2 4 5 4" xfId="16485"/>
    <cellStyle name="Обычный 6 2 4 5 4 2" xfId="16486"/>
    <cellStyle name="Обычный 6 2 4 5 5" xfId="16487"/>
    <cellStyle name="Обычный 6 2 4 5 6" xfId="16488"/>
    <cellStyle name="Обычный 6 2 4 6" xfId="16489"/>
    <cellStyle name="Обычный 6 2 4 6 2" xfId="16490"/>
    <cellStyle name="Обычный 6 2 4 6 3" xfId="16491"/>
    <cellStyle name="Обычный 6 2 4 7" xfId="16492"/>
    <cellStyle name="Обычный 6 2 4 7 2" xfId="16493"/>
    <cellStyle name="Обычный 6 2 4 7 3" xfId="16494"/>
    <cellStyle name="Обычный 6 2 4 8" xfId="16495"/>
    <cellStyle name="Обычный 6 2 4 8 2" xfId="16496"/>
    <cellStyle name="Обычный 6 2 4 9" xfId="16497"/>
    <cellStyle name="Обычный 6 2 5" xfId="16498"/>
    <cellStyle name="Обычный 6 2 5 10" xfId="16499"/>
    <cellStyle name="Обычный 6 2 5 2" xfId="16500"/>
    <cellStyle name="Обычный 6 2 5 2 2" xfId="16501"/>
    <cellStyle name="Обычный 6 2 5 2 2 2" xfId="16502"/>
    <cellStyle name="Обычный 6 2 5 2 2 2 2" xfId="16503"/>
    <cellStyle name="Обычный 6 2 5 2 2 2 2 2" xfId="16504"/>
    <cellStyle name="Обычный 6 2 5 2 2 2 2 2 2" xfId="16505"/>
    <cellStyle name="Обычный 6 2 5 2 2 2 2 2 3" xfId="16506"/>
    <cellStyle name="Обычный 6 2 5 2 2 2 2 3" xfId="16507"/>
    <cellStyle name="Обычный 6 2 5 2 2 2 2 3 2" xfId="16508"/>
    <cellStyle name="Обычный 6 2 5 2 2 2 2 3 3" xfId="16509"/>
    <cellStyle name="Обычный 6 2 5 2 2 2 2 4" xfId="16510"/>
    <cellStyle name="Обычный 6 2 5 2 2 2 2 4 2" xfId="16511"/>
    <cellStyle name="Обычный 6 2 5 2 2 2 2 5" xfId="16512"/>
    <cellStyle name="Обычный 6 2 5 2 2 2 2 6" xfId="16513"/>
    <cellStyle name="Обычный 6 2 5 2 2 2 3" xfId="16514"/>
    <cellStyle name="Обычный 6 2 5 2 2 2 3 2" xfId="16515"/>
    <cellStyle name="Обычный 6 2 5 2 2 2 3 3" xfId="16516"/>
    <cellStyle name="Обычный 6 2 5 2 2 2 4" xfId="16517"/>
    <cellStyle name="Обычный 6 2 5 2 2 2 4 2" xfId="16518"/>
    <cellStyle name="Обычный 6 2 5 2 2 2 4 3" xfId="16519"/>
    <cellStyle name="Обычный 6 2 5 2 2 2 5" xfId="16520"/>
    <cellStyle name="Обычный 6 2 5 2 2 2 5 2" xfId="16521"/>
    <cellStyle name="Обычный 6 2 5 2 2 2 6" xfId="16522"/>
    <cellStyle name="Обычный 6 2 5 2 2 2 7" xfId="16523"/>
    <cellStyle name="Обычный 6 2 5 2 2 3" xfId="16524"/>
    <cellStyle name="Обычный 6 2 5 2 2 3 2" xfId="16525"/>
    <cellStyle name="Обычный 6 2 5 2 2 3 2 2" xfId="16526"/>
    <cellStyle name="Обычный 6 2 5 2 2 3 2 3" xfId="16527"/>
    <cellStyle name="Обычный 6 2 5 2 2 3 3" xfId="16528"/>
    <cellStyle name="Обычный 6 2 5 2 2 3 3 2" xfId="16529"/>
    <cellStyle name="Обычный 6 2 5 2 2 3 3 3" xfId="16530"/>
    <cellStyle name="Обычный 6 2 5 2 2 3 4" xfId="16531"/>
    <cellStyle name="Обычный 6 2 5 2 2 3 4 2" xfId="16532"/>
    <cellStyle name="Обычный 6 2 5 2 2 3 5" xfId="16533"/>
    <cellStyle name="Обычный 6 2 5 2 2 3 6" xfId="16534"/>
    <cellStyle name="Обычный 6 2 5 2 2 4" xfId="16535"/>
    <cellStyle name="Обычный 6 2 5 2 2 4 2" xfId="16536"/>
    <cellStyle name="Обычный 6 2 5 2 2 4 3" xfId="16537"/>
    <cellStyle name="Обычный 6 2 5 2 2 5" xfId="16538"/>
    <cellStyle name="Обычный 6 2 5 2 2 5 2" xfId="16539"/>
    <cellStyle name="Обычный 6 2 5 2 2 5 3" xfId="16540"/>
    <cellStyle name="Обычный 6 2 5 2 2 6" xfId="16541"/>
    <cellStyle name="Обычный 6 2 5 2 2 6 2" xfId="16542"/>
    <cellStyle name="Обычный 6 2 5 2 2 7" xfId="16543"/>
    <cellStyle name="Обычный 6 2 5 2 2 8" xfId="16544"/>
    <cellStyle name="Обычный 6 2 5 2 3" xfId="16545"/>
    <cellStyle name="Обычный 6 2 5 2 3 2" xfId="16546"/>
    <cellStyle name="Обычный 6 2 5 2 3 2 2" xfId="16547"/>
    <cellStyle name="Обычный 6 2 5 2 3 2 2 2" xfId="16548"/>
    <cellStyle name="Обычный 6 2 5 2 3 2 2 3" xfId="16549"/>
    <cellStyle name="Обычный 6 2 5 2 3 2 3" xfId="16550"/>
    <cellStyle name="Обычный 6 2 5 2 3 2 3 2" xfId="16551"/>
    <cellStyle name="Обычный 6 2 5 2 3 2 3 3" xfId="16552"/>
    <cellStyle name="Обычный 6 2 5 2 3 2 4" xfId="16553"/>
    <cellStyle name="Обычный 6 2 5 2 3 2 4 2" xfId="16554"/>
    <cellStyle name="Обычный 6 2 5 2 3 2 5" xfId="16555"/>
    <cellStyle name="Обычный 6 2 5 2 3 2 6" xfId="16556"/>
    <cellStyle name="Обычный 6 2 5 2 3 3" xfId="16557"/>
    <cellStyle name="Обычный 6 2 5 2 3 3 2" xfId="16558"/>
    <cellStyle name="Обычный 6 2 5 2 3 3 3" xfId="16559"/>
    <cellStyle name="Обычный 6 2 5 2 3 4" xfId="16560"/>
    <cellStyle name="Обычный 6 2 5 2 3 4 2" xfId="16561"/>
    <cellStyle name="Обычный 6 2 5 2 3 4 3" xfId="16562"/>
    <cellStyle name="Обычный 6 2 5 2 3 5" xfId="16563"/>
    <cellStyle name="Обычный 6 2 5 2 3 5 2" xfId="16564"/>
    <cellStyle name="Обычный 6 2 5 2 3 6" xfId="16565"/>
    <cellStyle name="Обычный 6 2 5 2 3 7" xfId="16566"/>
    <cellStyle name="Обычный 6 2 5 2 4" xfId="16567"/>
    <cellStyle name="Обычный 6 2 5 2 4 2" xfId="16568"/>
    <cellStyle name="Обычный 6 2 5 2 4 2 2" xfId="16569"/>
    <cellStyle name="Обычный 6 2 5 2 4 2 3" xfId="16570"/>
    <cellStyle name="Обычный 6 2 5 2 4 3" xfId="16571"/>
    <cellStyle name="Обычный 6 2 5 2 4 3 2" xfId="16572"/>
    <cellStyle name="Обычный 6 2 5 2 4 3 3" xfId="16573"/>
    <cellStyle name="Обычный 6 2 5 2 4 4" xfId="16574"/>
    <cellStyle name="Обычный 6 2 5 2 4 4 2" xfId="16575"/>
    <cellStyle name="Обычный 6 2 5 2 4 5" xfId="16576"/>
    <cellStyle name="Обычный 6 2 5 2 4 6" xfId="16577"/>
    <cellStyle name="Обычный 6 2 5 2 5" xfId="16578"/>
    <cellStyle name="Обычный 6 2 5 2 5 2" xfId="16579"/>
    <cellStyle name="Обычный 6 2 5 2 5 3" xfId="16580"/>
    <cellStyle name="Обычный 6 2 5 2 6" xfId="16581"/>
    <cellStyle name="Обычный 6 2 5 2 6 2" xfId="16582"/>
    <cellStyle name="Обычный 6 2 5 2 6 3" xfId="16583"/>
    <cellStyle name="Обычный 6 2 5 2 7" xfId="16584"/>
    <cellStyle name="Обычный 6 2 5 2 7 2" xfId="16585"/>
    <cellStyle name="Обычный 6 2 5 2 8" xfId="16586"/>
    <cellStyle name="Обычный 6 2 5 2 9" xfId="16587"/>
    <cellStyle name="Обычный 6 2 5 3" xfId="16588"/>
    <cellStyle name="Обычный 6 2 5 3 2" xfId="16589"/>
    <cellStyle name="Обычный 6 2 5 3 2 2" xfId="16590"/>
    <cellStyle name="Обычный 6 2 5 3 2 2 2" xfId="16591"/>
    <cellStyle name="Обычный 6 2 5 3 2 2 2 2" xfId="16592"/>
    <cellStyle name="Обычный 6 2 5 3 2 2 2 3" xfId="16593"/>
    <cellStyle name="Обычный 6 2 5 3 2 2 3" xfId="16594"/>
    <cellStyle name="Обычный 6 2 5 3 2 2 3 2" xfId="16595"/>
    <cellStyle name="Обычный 6 2 5 3 2 2 3 3" xfId="16596"/>
    <cellStyle name="Обычный 6 2 5 3 2 2 4" xfId="16597"/>
    <cellStyle name="Обычный 6 2 5 3 2 2 4 2" xfId="16598"/>
    <cellStyle name="Обычный 6 2 5 3 2 2 5" xfId="16599"/>
    <cellStyle name="Обычный 6 2 5 3 2 2 6" xfId="16600"/>
    <cellStyle name="Обычный 6 2 5 3 2 3" xfId="16601"/>
    <cellStyle name="Обычный 6 2 5 3 2 3 2" xfId="16602"/>
    <cellStyle name="Обычный 6 2 5 3 2 3 3" xfId="16603"/>
    <cellStyle name="Обычный 6 2 5 3 2 4" xfId="16604"/>
    <cellStyle name="Обычный 6 2 5 3 2 4 2" xfId="16605"/>
    <cellStyle name="Обычный 6 2 5 3 2 4 3" xfId="16606"/>
    <cellStyle name="Обычный 6 2 5 3 2 5" xfId="16607"/>
    <cellStyle name="Обычный 6 2 5 3 2 5 2" xfId="16608"/>
    <cellStyle name="Обычный 6 2 5 3 2 6" xfId="16609"/>
    <cellStyle name="Обычный 6 2 5 3 2 7" xfId="16610"/>
    <cellStyle name="Обычный 6 2 5 3 3" xfId="16611"/>
    <cellStyle name="Обычный 6 2 5 3 3 2" xfId="16612"/>
    <cellStyle name="Обычный 6 2 5 3 3 2 2" xfId="16613"/>
    <cellStyle name="Обычный 6 2 5 3 3 2 3" xfId="16614"/>
    <cellStyle name="Обычный 6 2 5 3 3 3" xfId="16615"/>
    <cellStyle name="Обычный 6 2 5 3 3 3 2" xfId="16616"/>
    <cellStyle name="Обычный 6 2 5 3 3 3 3" xfId="16617"/>
    <cellStyle name="Обычный 6 2 5 3 3 4" xfId="16618"/>
    <cellStyle name="Обычный 6 2 5 3 3 4 2" xfId="16619"/>
    <cellStyle name="Обычный 6 2 5 3 3 5" xfId="16620"/>
    <cellStyle name="Обычный 6 2 5 3 3 6" xfId="16621"/>
    <cellStyle name="Обычный 6 2 5 3 4" xfId="16622"/>
    <cellStyle name="Обычный 6 2 5 3 4 2" xfId="16623"/>
    <cellStyle name="Обычный 6 2 5 3 4 3" xfId="16624"/>
    <cellStyle name="Обычный 6 2 5 3 5" xfId="16625"/>
    <cellStyle name="Обычный 6 2 5 3 5 2" xfId="16626"/>
    <cellStyle name="Обычный 6 2 5 3 5 3" xfId="16627"/>
    <cellStyle name="Обычный 6 2 5 3 6" xfId="16628"/>
    <cellStyle name="Обычный 6 2 5 3 6 2" xfId="16629"/>
    <cellStyle name="Обычный 6 2 5 3 7" xfId="16630"/>
    <cellStyle name="Обычный 6 2 5 3 8" xfId="16631"/>
    <cellStyle name="Обычный 6 2 5 4" xfId="16632"/>
    <cellStyle name="Обычный 6 2 5 4 2" xfId="16633"/>
    <cellStyle name="Обычный 6 2 5 4 2 2" xfId="16634"/>
    <cellStyle name="Обычный 6 2 5 4 2 2 2" xfId="16635"/>
    <cellStyle name="Обычный 6 2 5 4 2 2 3" xfId="16636"/>
    <cellStyle name="Обычный 6 2 5 4 2 3" xfId="16637"/>
    <cellStyle name="Обычный 6 2 5 4 2 3 2" xfId="16638"/>
    <cellStyle name="Обычный 6 2 5 4 2 3 3" xfId="16639"/>
    <cellStyle name="Обычный 6 2 5 4 2 4" xfId="16640"/>
    <cellStyle name="Обычный 6 2 5 4 2 4 2" xfId="16641"/>
    <cellStyle name="Обычный 6 2 5 4 2 5" xfId="16642"/>
    <cellStyle name="Обычный 6 2 5 4 2 6" xfId="16643"/>
    <cellStyle name="Обычный 6 2 5 4 3" xfId="16644"/>
    <cellStyle name="Обычный 6 2 5 4 3 2" xfId="16645"/>
    <cellStyle name="Обычный 6 2 5 4 3 3" xfId="16646"/>
    <cellStyle name="Обычный 6 2 5 4 4" xfId="16647"/>
    <cellStyle name="Обычный 6 2 5 4 4 2" xfId="16648"/>
    <cellStyle name="Обычный 6 2 5 4 4 3" xfId="16649"/>
    <cellStyle name="Обычный 6 2 5 4 5" xfId="16650"/>
    <cellStyle name="Обычный 6 2 5 4 5 2" xfId="16651"/>
    <cellStyle name="Обычный 6 2 5 4 6" xfId="16652"/>
    <cellStyle name="Обычный 6 2 5 4 7" xfId="16653"/>
    <cellStyle name="Обычный 6 2 5 5" xfId="16654"/>
    <cellStyle name="Обычный 6 2 5 5 2" xfId="16655"/>
    <cellStyle name="Обычный 6 2 5 5 2 2" xfId="16656"/>
    <cellStyle name="Обычный 6 2 5 5 2 3" xfId="16657"/>
    <cellStyle name="Обычный 6 2 5 5 3" xfId="16658"/>
    <cellStyle name="Обычный 6 2 5 5 3 2" xfId="16659"/>
    <cellStyle name="Обычный 6 2 5 5 3 3" xfId="16660"/>
    <cellStyle name="Обычный 6 2 5 5 4" xfId="16661"/>
    <cellStyle name="Обычный 6 2 5 5 4 2" xfId="16662"/>
    <cellStyle name="Обычный 6 2 5 5 5" xfId="16663"/>
    <cellStyle name="Обычный 6 2 5 5 6" xfId="16664"/>
    <cellStyle name="Обычный 6 2 5 6" xfId="16665"/>
    <cellStyle name="Обычный 6 2 5 6 2" xfId="16666"/>
    <cellStyle name="Обычный 6 2 5 6 3" xfId="16667"/>
    <cellStyle name="Обычный 6 2 5 7" xfId="16668"/>
    <cellStyle name="Обычный 6 2 5 7 2" xfId="16669"/>
    <cellStyle name="Обычный 6 2 5 7 3" xfId="16670"/>
    <cellStyle name="Обычный 6 2 5 8" xfId="16671"/>
    <cellStyle name="Обычный 6 2 5 8 2" xfId="16672"/>
    <cellStyle name="Обычный 6 2 5 9" xfId="16673"/>
    <cellStyle name="Обычный 6 2 6" xfId="16674"/>
    <cellStyle name="Обычный 6 2 6 2" xfId="16675"/>
    <cellStyle name="Обычный 6 2 6 2 2" xfId="16676"/>
    <cellStyle name="Обычный 6 2 6 2 2 2" xfId="16677"/>
    <cellStyle name="Обычный 6 2 6 2 2 2 2" xfId="16678"/>
    <cellStyle name="Обычный 6 2 6 2 2 2 2 2" xfId="16679"/>
    <cellStyle name="Обычный 6 2 6 2 2 2 2 3" xfId="16680"/>
    <cellStyle name="Обычный 6 2 6 2 2 2 3" xfId="16681"/>
    <cellStyle name="Обычный 6 2 6 2 2 2 3 2" xfId="16682"/>
    <cellStyle name="Обычный 6 2 6 2 2 2 3 3" xfId="16683"/>
    <cellStyle name="Обычный 6 2 6 2 2 2 4" xfId="16684"/>
    <cellStyle name="Обычный 6 2 6 2 2 2 4 2" xfId="16685"/>
    <cellStyle name="Обычный 6 2 6 2 2 2 5" xfId="16686"/>
    <cellStyle name="Обычный 6 2 6 2 2 2 6" xfId="16687"/>
    <cellStyle name="Обычный 6 2 6 2 2 3" xfId="16688"/>
    <cellStyle name="Обычный 6 2 6 2 2 3 2" xfId="16689"/>
    <cellStyle name="Обычный 6 2 6 2 2 3 3" xfId="16690"/>
    <cellStyle name="Обычный 6 2 6 2 2 4" xfId="16691"/>
    <cellStyle name="Обычный 6 2 6 2 2 4 2" xfId="16692"/>
    <cellStyle name="Обычный 6 2 6 2 2 4 3" xfId="16693"/>
    <cellStyle name="Обычный 6 2 6 2 2 5" xfId="16694"/>
    <cellStyle name="Обычный 6 2 6 2 2 5 2" xfId="16695"/>
    <cellStyle name="Обычный 6 2 6 2 2 6" xfId="16696"/>
    <cellStyle name="Обычный 6 2 6 2 2 7" xfId="16697"/>
    <cellStyle name="Обычный 6 2 6 2 3" xfId="16698"/>
    <cellStyle name="Обычный 6 2 6 2 3 2" xfId="16699"/>
    <cellStyle name="Обычный 6 2 6 2 3 2 2" xfId="16700"/>
    <cellStyle name="Обычный 6 2 6 2 3 2 3" xfId="16701"/>
    <cellStyle name="Обычный 6 2 6 2 3 3" xfId="16702"/>
    <cellStyle name="Обычный 6 2 6 2 3 3 2" xfId="16703"/>
    <cellStyle name="Обычный 6 2 6 2 3 3 3" xfId="16704"/>
    <cellStyle name="Обычный 6 2 6 2 3 4" xfId="16705"/>
    <cellStyle name="Обычный 6 2 6 2 3 4 2" xfId="16706"/>
    <cellStyle name="Обычный 6 2 6 2 3 5" xfId="16707"/>
    <cellStyle name="Обычный 6 2 6 2 3 6" xfId="16708"/>
    <cellStyle name="Обычный 6 2 6 2 4" xfId="16709"/>
    <cellStyle name="Обычный 6 2 6 2 4 2" xfId="16710"/>
    <cellStyle name="Обычный 6 2 6 2 4 3" xfId="16711"/>
    <cellStyle name="Обычный 6 2 6 2 5" xfId="16712"/>
    <cellStyle name="Обычный 6 2 6 2 5 2" xfId="16713"/>
    <cellStyle name="Обычный 6 2 6 2 5 3" xfId="16714"/>
    <cellStyle name="Обычный 6 2 6 2 6" xfId="16715"/>
    <cellStyle name="Обычный 6 2 6 2 6 2" xfId="16716"/>
    <cellStyle name="Обычный 6 2 6 2 7" xfId="16717"/>
    <cellStyle name="Обычный 6 2 6 2 8" xfId="16718"/>
    <cellStyle name="Обычный 6 2 6 3" xfId="16719"/>
    <cellStyle name="Обычный 6 2 6 3 2" xfId="16720"/>
    <cellStyle name="Обычный 6 2 6 3 2 2" xfId="16721"/>
    <cellStyle name="Обычный 6 2 6 3 2 2 2" xfId="16722"/>
    <cellStyle name="Обычный 6 2 6 3 2 2 3" xfId="16723"/>
    <cellStyle name="Обычный 6 2 6 3 2 3" xfId="16724"/>
    <cellStyle name="Обычный 6 2 6 3 2 3 2" xfId="16725"/>
    <cellStyle name="Обычный 6 2 6 3 2 3 3" xfId="16726"/>
    <cellStyle name="Обычный 6 2 6 3 2 4" xfId="16727"/>
    <cellStyle name="Обычный 6 2 6 3 2 4 2" xfId="16728"/>
    <cellStyle name="Обычный 6 2 6 3 2 5" xfId="16729"/>
    <cellStyle name="Обычный 6 2 6 3 2 6" xfId="16730"/>
    <cellStyle name="Обычный 6 2 6 3 3" xfId="16731"/>
    <cellStyle name="Обычный 6 2 6 3 3 2" xfId="16732"/>
    <cellStyle name="Обычный 6 2 6 3 3 3" xfId="16733"/>
    <cellStyle name="Обычный 6 2 6 3 4" xfId="16734"/>
    <cellStyle name="Обычный 6 2 6 3 4 2" xfId="16735"/>
    <cellStyle name="Обычный 6 2 6 3 4 3" xfId="16736"/>
    <cellStyle name="Обычный 6 2 6 3 5" xfId="16737"/>
    <cellStyle name="Обычный 6 2 6 3 5 2" xfId="16738"/>
    <cellStyle name="Обычный 6 2 6 3 6" xfId="16739"/>
    <cellStyle name="Обычный 6 2 6 3 7" xfId="16740"/>
    <cellStyle name="Обычный 6 2 6 4" xfId="16741"/>
    <cellStyle name="Обычный 6 2 6 4 2" xfId="16742"/>
    <cellStyle name="Обычный 6 2 6 4 2 2" xfId="16743"/>
    <cellStyle name="Обычный 6 2 6 4 2 3" xfId="16744"/>
    <cellStyle name="Обычный 6 2 6 4 3" xfId="16745"/>
    <cellStyle name="Обычный 6 2 6 4 3 2" xfId="16746"/>
    <cellStyle name="Обычный 6 2 6 4 3 3" xfId="16747"/>
    <cellStyle name="Обычный 6 2 6 4 4" xfId="16748"/>
    <cellStyle name="Обычный 6 2 6 4 4 2" xfId="16749"/>
    <cellStyle name="Обычный 6 2 6 4 5" xfId="16750"/>
    <cellStyle name="Обычный 6 2 6 4 6" xfId="16751"/>
    <cellStyle name="Обычный 6 2 6 5" xfId="16752"/>
    <cellStyle name="Обычный 6 2 6 5 2" xfId="16753"/>
    <cellStyle name="Обычный 6 2 6 5 3" xfId="16754"/>
    <cellStyle name="Обычный 6 2 6 6" xfId="16755"/>
    <cellStyle name="Обычный 6 2 6 6 2" xfId="16756"/>
    <cellStyle name="Обычный 6 2 6 6 3" xfId="16757"/>
    <cellStyle name="Обычный 6 2 6 7" xfId="16758"/>
    <cellStyle name="Обычный 6 2 6 7 2" xfId="16759"/>
    <cellStyle name="Обычный 6 2 6 8" xfId="16760"/>
    <cellStyle name="Обычный 6 2 6 9" xfId="16761"/>
    <cellStyle name="Обычный 6 2 7" xfId="16762"/>
    <cellStyle name="Обычный 6 2 7 2" xfId="16763"/>
    <cellStyle name="Обычный 6 2 7 2 2" xfId="16764"/>
    <cellStyle name="Обычный 6 2 7 2 2 2" xfId="16765"/>
    <cellStyle name="Обычный 6 2 7 2 2 2 2" xfId="16766"/>
    <cellStyle name="Обычный 6 2 7 2 2 2 3" xfId="16767"/>
    <cellStyle name="Обычный 6 2 7 2 2 3" xfId="16768"/>
    <cellStyle name="Обычный 6 2 7 2 2 3 2" xfId="16769"/>
    <cellStyle name="Обычный 6 2 7 2 2 3 3" xfId="16770"/>
    <cellStyle name="Обычный 6 2 7 2 2 4" xfId="16771"/>
    <cellStyle name="Обычный 6 2 7 2 2 4 2" xfId="16772"/>
    <cellStyle name="Обычный 6 2 7 2 2 5" xfId="16773"/>
    <cellStyle name="Обычный 6 2 7 2 2 6" xfId="16774"/>
    <cellStyle name="Обычный 6 2 7 2 3" xfId="16775"/>
    <cellStyle name="Обычный 6 2 7 2 3 2" xfId="16776"/>
    <cellStyle name="Обычный 6 2 7 2 3 3" xfId="16777"/>
    <cellStyle name="Обычный 6 2 7 2 4" xfId="16778"/>
    <cellStyle name="Обычный 6 2 7 2 4 2" xfId="16779"/>
    <cellStyle name="Обычный 6 2 7 2 4 3" xfId="16780"/>
    <cellStyle name="Обычный 6 2 7 2 5" xfId="16781"/>
    <cellStyle name="Обычный 6 2 7 2 5 2" xfId="16782"/>
    <cellStyle name="Обычный 6 2 7 2 6" xfId="16783"/>
    <cellStyle name="Обычный 6 2 7 2 7" xfId="16784"/>
    <cellStyle name="Обычный 6 2 7 3" xfId="16785"/>
    <cellStyle name="Обычный 6 2 7 3 2" xfId="16786"/>
    <cellStyle name="Обычный 6 2 7 3 2 2" xfId="16787"/>
    <cellStyle name="Обычный 6 2 7 3 2 3" xfId="16788"/>
    <cellStyle name="Обычный 6 2 7 3 3" xfId="16789"/>
    <cellStyle name="Обычный 6 2 7 3 3 2" xfId="16790"/>
    <cellStyle name="Обычный 6 2 7 3 3 3" xfId="16791"/>
    <cellStyle name="Обычный 6 2 7 3 4" xfId="16792"/>
    <cellStyle name="Обычный 6 2 7 3 4 2" xfId="16793"/>
    <cellStyle name="Обычный 6 2 7 3 5" xfId="16794"/>
    <cellStyle name="Обычный 6 2 7 3 6" xfId="16795"/>
    <cellStyle name="Обычный 6 2 7 4" xfId="16796"/>
    <cellStyle name="Обычный 6 2 7 4 2" xfId="16797"/>
    <cellStyle name="Обычный 6 2 7 4 3" xfId="16798"/>
    <cellStyle name="Обычный 6 2 7 5" xfId="16799"/>
    <cellStyle name="Обычный 6 2 7 5 2" xfId="16800"/>
    <cellStyle name="Обычный 6 2 7 5 3" xfId="16801"/>
    <cellStyle name="Обычный 6 2 7 6" xfId="16802"/>
    <cellStyle name="Обычный 6 2 7 6 2" xfId="16803"/>
    <cellStyle name="Обычный 6 2 7 7" xfId="16804"/>
    <cellStyle name="Обычный 6 2 7 8" xfId="16805"/>
    <cellStyle name="Обычный 6 2 8" xfId="16806"/>
    <cellStyle name="Обычный 6 2 8 2" xfId="16807"/>
    <cellStyle name="Обычный 6 2 8 2 2" xfId="16808"/>
    <cellStyle name="Обычный 6 2 8 2 2 2" xfId="16809"/>
    <cellStyle name="Обычный 6 2 8 2 2 3" xfId="16810"/>
    <cellStyle name="Обычный 6 2 8 2 3" xfId="16811"/>
    <cellStyle name="Обычный 6 2 8 2 3 2" xfId="16812"/>
    <cellStyle name="Обычный 6 2 8 2 3 3" xfId="16813"/>
    <cellStyle name="Обычный 6 2 8 2 4" xfId="16814"/>
    <cellStyle name="Обычный 6 2 8 2 4 2" xfId="16815"/>
    <cellStyle name="Обычный 6 2 8 2 5" xfId="16816"/>
    <cellStyle name="Обычный 6 2 8 2 6" xfId="16817"/>
    <cellStyle name="Обычный 6 2 8 3" xfId="16818"/>
    <cellStyle name="Обычный 6 2 8 3 2" xfId="16819"/>
    <cellStyle name="Обычный 6 2 8 3 3" xfId="16820"/>
    <cellStyle name="Обычный 6 2 8 4" xfId="16821"/>
    <cellStyle name="Обычный 6 2 8 4 2" xfId="16822"/>
    <cellStyle name="Обычный 6 2 8 4 3" xfId="16823"/>
    <cellStyle name="Обычный 6 2 8 5" xfId="16824"/>
    <cellStyle name="Обычный 6 2 8 5 2" xfId="16825"/>
    <cellStyle name="Обычный 6 2 8 6" xfId="16826"/>
    <cellStyle name="Обычный 6 2 8 7" xfId="16827"/>
    <cellStyle name="Обычный 6 2 9" xfId="16828"/>
    <cellStyle name="Обычный 6 2 9 2" xfId="16829"/>
    <cellStyle name="Обычный 6 2 9 2 2" xfId="16830"/>
    <cellStyle name="Обычный 6 2 9 2 3" xfId="16831"/>
    <cellStyle name="Обычный 6 2 9 3" xfId="16832"/>
    <cellStyle name="Обычный 6 2 9 3 2" xfId="16833"/>
    <cellStyle name="Обычный 6 2 9 3 3" xfId="16834"/>
    <cellStyle name="Обычный 6 2 9 4" xfId="16835"/>
    <cellStyle name="Обычный 6 2 9 4 2" xfId="16836"/>
    <cellStyle name="Обычный 6 2 9 5" xfId="16837"/>
    <cellStyle name="Обычный 6 2 9 6" xfId="16838"/>
    <cellStyle name="Обычный 6 20" xfId="16839"/>
    <cellStyle name="Обычный 6 21" xfId="16840"/>
    <cellStyle name="Обычный 6 22" xfId="16841"/>
    <cellStyle name="Обычный 6 3" xfId="16842"/>
    <cellStyle name="Обычный 6 3 10" xfId="16843"/>
    <cellStyle name="Обычный 6 3 10 2" xfId="16844"/>
    <cellStyle name="Обычный 6 3 10 3" xfId="16845"/>
    <cellStyle name="Обычный 6 3 11" xfId="16846"/>
    <cellStyle name="Обычный 6 3 11 2" xfId="16847"/>
    <cellStyle name="Обычный 6 3 11 3" xfId="16848"/>
    <cellStyle name="Обычный 6 3 12" xfId="16849"/>
    <cellStyle name="Обычный 6 3 12 2" xfId="16850"/>
    <cellStyle name="Обычный 6 3 13" xfId="16851"/>
    <cellStyle name="Обычный 6 3 14" xfId="16852"/>
    <cellStyle name="Обычный 6 3 2" xfId="16853"/>
    <cellStyle name="Обычный 6 3 2 10" xfId="16854"/>
    <cellStyle name="Обычный 6 3 2 10 2" xfId="16855"/>
    <cellStyle name="Обычный 6 3 2 10 3" xfId="16856"/>
    <cellStyle name="Обычный 6 3 2 11" xfId="16857"/>
    <cellStyle name="Обычный 6 3 2 11 2" xfId="16858"/>
    <cellStyle name="Обычный 6 3 2 12" xfId="16859"/>
    <cellStyle name="Обычный 6 3 2 13" xfId="16860"/>
    <cellStyle name="Обычный 6 3 2 2" xfId="16861"/>
    <cellStyle name="Обычный 6 3 2 2 10" xfId="16862"/>
    <cellStyle name="Обычный 6 3 2 2 2" xfId="16863"/>
    <cellStyle name="Обычный 6 3 2 2 2 2" xfId="16864"/>
    <cellStyle name="Обычный 6 3 2 2 2 2 2" xfId="16865"/>
    <cellStyle name="Обычный 6 3 2 2 2 2 2 2" xfId="16866"/>
    <cellStyle name="Обычный 6 3 2 2 2 2 2 2 2" xfId="16867"/>
    <cellStyle name="Обычный 6 3 2 2 2 2 2 2 2 2" xfId="16868"/>
    <cellStyle name="Обычный 6 3 2 2 2 2 2 2 2 3" xfId="16869"/>
    <cellStyle name="Обычный 6 3 2 2 2 2 2 2 3" xfId="16870"/>
    <cellStyle name="Обычный 6 3 2 2 2 2 2 2 3 2" xfId="16871"/>
    <cellStyle name="Обычный 6 3 2 2 2 2 2 2 3 3" xfId="16872"/>
    <cellStyle name="Обычный 6 3 2 2 2 2 2 2 4" xfId="16873"/>
    <cellStyle name="Обычный 6 3 2 2 2 2 2 2 4 2" xfId="16874"/>
    <cellStyle name="Обычный 6 3 2 2 2 2 2 2 5" xfId="16875"/>
    <cellStyle name="Обычный 6 3 2 2 2 2 2 2 6" xfId="16876"/>
    <cellStyle name="Обычный 6 3 2 2 2 2 2 3" xfId="16877"/>
    <cellStyle name="Обычный 6 3 2 2 2 2 2 3 2" xfId="16878"/>
    <cellStyle name="Обычный 6 3 2 2 2 2 2 3 3" xfId="16879"/>
    <cellStyle name="Обычный 6 3 2 2 2 2 2 4" xfId="16880"/>
    <cellStyle name="Обычный 6 3 2 2 2 2 2 4 2" xfId="16881"/>
    <cellStyle name="Обычный 6 3 2 2 2 2 2 4 3" xfId="16882"/>
    <cellStyle name="Обычный 6 3 2 2 2 2 2 5" xfId="16883"/>
    <cellStyle name="Обычный 6 3 2 2 2 2 2 5 2" xfId="16884"/>
    <cellStyle name="Обычный 6 3 2 2 2 2 2 6" xfId="16885"/>
    <cellStyle name="Обычный 6 3 2 2 2 2 2 7" xfId="16886"/>
    <cellStyle name="Обычный 6 3 2 2 2 2 3" xfId="16887"/>
    <cellStyle name="Обычный 6 3 2 2 2 2 3 2" xfId="16888"/>
    <cellStyle name="Обычный 6 3 2 2 2 2 3 2 2" xfId="16889"/>
    <cellStyle name="Обычный 6 3 2 2 2 2 3 2 3" xfId="16890"/>
    <cellStyle name="Обычный 6 3 2 2 2 2 3 3" xfId="16891"/>
    <cellStyle name="Обычный 6 3 2 2 2 2 3 3 2" xfId="16892"/>
    <cellStyle name="Обычный 6 3 2 2 2 2 3 3 3" xfId="16893"/>
    <cellStyle name="Обычный 6 3 2 2 2 2 3 4" xfId="16894"/>
    <cellStyle name="Обычный 6 3 2 2 2 2 3 4 2" xfId="16895"/>
    <cellStyle name="Обычный 6 3 2 2 2 2 3 5" xfId="16896"/>
    <cellStyle name="Обычный 6 3 2 2 2 2 3 6" xfId="16897"/>
    <cellStyle name="Обычный 6 3 2 2 2 2 4" xfId="16898"/>
    <cellStyle name="Обычный 6 3 2 2 2 2 4 2" xfId="16899"/>
    <cellStyle name="Обычный 6 3 2 2 2 2 4 3" xfId="16900"/>
    <cellStyle name="Обычный 6 3 2 2 2 2 5" xfId="16901"/>
    <cellStyle name="Обычный 6 3 2 2 2 2 5 2" xfId="16902"/>
    <cellStyle name="Обычный 6 3 2 2 2 2 5 3" xfId="16903"/>
    <cellStyle name="Обычный 6 3 2 2 2 2 6" xfId="16904"/>
    <cellStyle name="Обычный 6 3 2 2 2 2 6 2" xfId="16905"/>
    <cellStyle name="Обычный 6 3 2 2 2 2 7" xfId="16906"/>
    <cellStyle name="Обычный 6 3 2 2 2 2 8" xfId="16907"/>
    <cellStyle name="Обычный 6 3 2 2 2 3" xfId="16908"/>
    <cellStyle name="Обычный 6 3 2 2 2 3 2" xfId="16909"/>
    <cellStyle name="Обычный 6 3 2 2 2 3 2 2" xfId="16910"/>
    <cellStyle name="Обычный 6 3 2 2 2 3 2 2 2" xfId="16911"/>
    <cellStyle name="Обычный 6 3 2 2 2 3 2 2 3" xfId="16912"/>
    <cellStyle name="Обычный 6 3 2 2 2 3 2 3" xfId="16913"/>
    <cellStyle name="Обычный 6 3 2 2 2 3 2 3 2" xfId="16914"/>
    <cellStyle name="Обычный 6 3 2 2 2 3 2 3 3" xfId="16915"/>
    <cellStyle name="Обычный 6 3 2 2 2 3 2 4" xfId="16916"/>
    <cellStyle name="Обычный 6 3 2 2 2 3 2 4 2" xfId="16917"/>
    <cellStyle name="Обычный 6 3 2 2 2 3 2 5" xfId="16918"/>
    <cellStyle name="Обычный 6 3 2 2 2 3 2 6" xfId="16919"/>
    <cellStyle name="Обычный 6 3 2 2 2 3 3" xfId="16920"/>
    <cellStyle name="Обычный 6 3 2 2 2 3 3 2" xfId="16921"/>
    <cellStyle name="Обычный 6 3 2 2 2 3 3 3" xfId="16922"/>
    <cellStyle name="Обычный 6 3 2 2 2 3 4" xfId="16923"/>
    <cellStyle name="Обычный 6 3 2 2 2 3 4 2" xfId="16924"/>
    <cellStyle name="Обычный 6 3 2 2 2 3 4 3" xfId="16925"/>
    <cellStyle name="Обычный 6 3 2 2 2 3 5" xfId="16926"/>
    <cellStyle name="Обычный 6 3 2 2 2 3 5 2" xfId="16927"/>
    <cellStyle name="Обычный 6 3 2 2 2 3 6" xfId="16928"/>
    <cellStyle name="Обычный 6 3 2 2 2 3 7" xfId="16929"/>
    <cellStyle name="Обычный 6 3 2 2 2 4" xfId="16930"/>
    <cellStyle name="Обычный 6 3 2 2 2 4 2" xfId="16931"/>
    <cellStyle name="Обычный 6 3 2 2 2 4 2 2" xfId="16932"/>
    <cellStyle name="Обычный 6 3 2 2 2 4 2 3" xfId="16933"/>
    <cellStyle name="Обычный 6 3 2 2 2 4 3" xfId="16934"/>
    <cellStyle name="Обычный 6 3 2 2 2 4 3 2" xfId="16935"/>
    <cellStyle name="Обычный 6 3 2 2 2 4 3 3" xfId="16936"/>
    <cellStyle name="Обычный 6 3 2 2 2 4 4" xfId="16937"/>
    <cellStyle name="Обычный 6 3 2 2 2 4 4 2" xfId="16938"/>
    <cellStyle name="Обычный 6 3 2 2 2 4 5" xfId="16939"/>
    <cellStyle name="Обычный 6 3 2 2 2 4 6" xfId="16940"/>
    <cellStyle name="Обычный 6 3 2 2 2 5" xfId="16941"/>
    <cellStyle name="Обычный 6 3 2 2 2 5 2" xfId="16942"/>
    <cellStyle name="Обычный 6 3 2 2 2 5 3" xfId="16943"/>
    <cellStyle name="Обычный 6 3 2 2 2 6" xfId="16944"/>
    <cellStyle name="Обычный 6 3 2 2 2 6 2" xfId="16945"/>
    <cellStyle name="Обычный 6 3 2 2 2 6 3" xfId="16946"/>
    <cellStyle name="Обычный 6 3 2 2 2 7" xfId="16947"/>
    <cellStyle name="Обычный 6 3 2 2 2 7 2" xfId="16948"/>
    <cellStyle name="Обычный 6 3 2 2 2 8" xfId="16949"/>
    <cellStyle name="Обычный 6 3 2 2 2 9" xfId="16950"/>
    <cellStyle name="Обычный 6 3 2 2 3" xfId="16951"/>
    <cellStyle name="Обычный 6 3 2 2 3 2" xfId="16952"/>
    <cellStyle name="Обычный 6 3 2 2 3 2 2" xfId="16953"/>
    <cellStyle name="Обычный 6 3 2 2 3 2 2 2" xfId="16954"/>
    <cellStyle name="Обычный 6 3 2 2 3 2 2 2 2" xfId="16955"/>
    <cellStyle name="Обычный 6 3 2 2 3 2 2 2 3" xfId="16956"/>
    <cellStyle name="Обычный 6 3 2 2 3 2 2 3" xfId="16957"/>
    <cellStyle name="Обычный 6 3 2 2 3 2 2 3 2" xfId="16958"/>
    <cellStyle name="Обычный 6 3 2 2 3 2 2 3 3" xfId="16959"/>
    <cellStyle name="Обычный 6 3 2 2 3 2 2 4" xfId="16960"/>
    <cellStyle name="Обычный 6 3 2 2 3 2 2 4 2" xfId="16961"/>
    <cellStyle name="Обычный 6 3 2 2 3 2 2 5" xfId="16962"/>
    <cellStyle name="Обычный 6 3 2 2 3 2 2 6" xfId="16963"/>
    <cellStyle name="Обычный 6 3 2 2 3 2 3" xfId="16964"/>
    <cellStyle name="Обычный 6 3 2 2 3 2 3 2" xfId="16965"/>
    <cellStyle name="Обычный 6 3 2 2 3 2 3 3" xfId="16966"/>
    <cellStyle name="Обычный 6 3 2 2 3 2 4" xfId="16967"/>
    <cellStyle name="Обычный 6 3 2 2 3 2 4 2" xfId="16968"/>
    <cellStyle name="Обычный 6 3 2 2 3 2 4 3" xfId="16969"/>
    <cellStyle name="Обычный 6 3 2 2 3 2 5" xfId="16970"/>
    <cellStyle name="Обычный 6 3 2 2 3 2 5 2" xfId="16971"/>
    <cellStyle name="Обычный 6 3 2 2 3 2 6" xfId="16972"/>
    <cellStyle name="Обычный 6 3 2 2 3 2 7" xfId="16973"/>
    <cellStyle name="Обычный 6 3 2 2 3 3" xfId="16974"/>
    <cellStyle name="Обычный 6 3 2 2 3 3 2" xfId="16975"/>
    <cellStyle name="Обычный 6 3 2 2 3 3 2 2" xfId="16976"/>
    <cellStyle name="Обычный 6 3 2 2 3 3 2 3" xfId="16977"/>
    <cellStyle name="Обычный 6 3 2 2 3 3 3" xfId="16978"/>
    <cellStyle name="Обычный 6 3 2 2 3 3 3 2" xfId="16979"/>
    <cellStyle name="Обычный 6 3 2 2 3 3 3 3" xfId="16980"/>
    <cellStyle name="Обычный 6 3 2 2 3 3 4" xfId="16981"/>
    <cellStyle name="Обычный 6 3 2 2 3 3 4 2" xfId="16982"/>
    <cellStyle name="Обычный 6 3 2 2 3 3 5" xfId="16983"/>
    <cellStyle name="Обычный 6 3 2 2 3 3 6" xfId="16984"/>
    <cellStyle name="Обычный 6 3 2 2 3 4" xfId="16985"/>
    <cellStyle name="Обычный 6 3 2 2 3 4 2" xfId="16986"/>
    <cellStyle name="Обычный 6 3 2 2 3 4 3" xfId="16987"/>
    <cellStyle name="Обычный 6 3 2 2 3 5" xfId="16988"/>
    <cellStyle name="Обычный 6 3 2 2 3 5 2" xfId="16989"/>
    <cellStyle name="Обычный 6 3 2 2 3 5 3" xfId="16990"/>
    <cellStyle name="Обычный 6 3 2 2 3 6" xfId="16991"/>
    <cellStyle name="Обычный 6 3 2 2 3 6 2" xfId="16992"/>
    <cellStyle name="Обычный 6 3 2 2 3 7" xfId="16993"/>
    <cellStyle name="Обычный 6 3 2 2 3 8" xfId="16994"/>
    <cellStyle name="Обычный 6 3 2 2 4" xfId="16995"/>
    <cellStyle name="Обычный 6 3 2 2 4 2" xfId="16996"/>
    <cellStyle name="Обычный 6 3 2 2 4 2 2" xfId="16997"/>
    <cellStyle name="Обычный 6 3 2 2 4 2 2 2" xfId="16998"/>
    <cellStyle name="Обычный 6 3 2 2 4 2 2 3" xfId="16999"/>
    <cellStyle name="Обычный 6 3 2 2 4 2 3" xfId="17000"/>
    <cellStyle name="Обычный 6 3 2 2 4 2 3 2" xfId="17001"/>
    <cellStyle name="Обычный 6 3 2 2 4 2 3 3" xfId="17002"/>
    <cellStyle name="Обычный 6 3 2 2 4 2 4" xfId="17003"/>
    <cellStyle name="Обычный 6 3 2 2 4 2 4 2" xfId="17004"/>
    <cellStyle name="Обычный 6 3 2 2 4 2 5" xfId="17005"/>
    <cellStyle name="Обычный 6 3 2 2 4 2 6" xfId="17006"/>
    <cellStyle name="Обычный 6 3 2 2 4 3" xfId="17007"/>
    <cellStyle name="Обычный 6 3 2 2 4 3 2" xfId="17008"/>
    <cellStyle name="Обычный 6 3 2 2 4 3 3" xfId="17009"/>
    <cellStyle name="Обычный 6 3 2 2 4 4" xfId="17010"/>
    <cellStyle name="Обычный 6 3 2 2 4 4 2" xfId="17011"/>
    <cellStyle name="Обычный 6 3 2 2 4 4 3" xfId="17012"/>
    <cellStyle name="Обычный 6 3 2 2 4 5" xfId="17013"/>
    <cellStyle name="Обычный 6 3 2 2 4 5 2" xfId="17014"/>
    <cellStyle name="Обычный 6 3 2 2 4 6" xfId="17015"/>
    <cellStyle name="Обычный 6 3 2 2 4 7" xfId="17016"/>
    <cellStyle name="Обычный 6 3 2 2 5" xfId="17017"/>
    <cellStyle name="Обычный 6 3 2 2 5 2" xfId="17018"/>
    <cellStyle name="Обычный 6 3 2 2 5 2 2" xfId="17019"/>
    <cellStyle name="Обычный 6 3 2 2 5 2 3" xfId="17020"/>
    <cellStyle name="Обычный 6 3 2 2 5 3" xfId="17021"/>
    <cellStyle name="Обычный 6 3 2 2 5 3 2" xfId="17022"/>
    <cellStyle name="Обычный 6 3 2 2 5 3 3" xfId="17023"/>
    <cellStyle name="Обычный 6 3 2 2 5 4" xfId="17024"/>
    <cellStyle name="Обычный 6 3 2 2 5 4 2" xfId="17025"/>
    <cellStyle name="Обычный 6 3 2 2 5 5" xfId="17026"/>
    <cellStyle name="Обычный 6 3 2 2 5 6" xfId="17027"/>
    <cellStyle name="Обычный 6 3 2 2 6" xfId="17028"/>
    <cellStyle name="Обычный 6 3 2 2 6 2" xfId="17029"/>
    <cellStyle name="Обычный 6 3 2 2 6 3" xfId="17030"/>
    <cellStyle name="Обычный 6 3 2 2 7" xfId="17031"/>
    <cellStyle name="Обычный 6 3 2 2 7 2" xfId="17032"/>
    <cellStyle name="Обычный 6 3 2 2 7 3" xfId="17033"/>
    <cellStyle name="Обычный 6 3 2 2 8" xfId="17034"/>
    <cellStyle name="Обычный 6 3 2 2 8 2" xfId="17035"/>
    <cellStyle name="Обычный 6 3 2 2 9" xfId="17036"/>
    <cellStyle name="Обычный 6 3 2 3" xfId="17037"/>
    <cellStyle name="Обычный 6 3 2 3 10" xfId="17038"/>
    <cellStyle name="Обычный 6 3 2 3 2" xfId="17039"/>
    <cellStyle name="Обычный 6 3 2 3 2 2" xfId="17040"/>
    <cellStyle name="Обычный 6 3 2 3 2 2 2" xfId="17041"/>
    <cellStyle name="Обычный 6 3 2 3 2 2 2 2" xfId="17042"/>
    <cellStyle name="Обычный 6 3 2 3 2 2 2 2 2" xfId="17043"/>
    <cellStyle name="Обычный 6 3 2 3 2 2 2 2 2 2" xfId="17044"/>
    <cellStyle name="Обычный 6 3 2 3 2 2 2 2 2 3" xfId="17045"/>
    <cellStyle name="Обычный 6 3 2 3 2 2 2 2 3" xfId="17046"/>
    <cellStyle name="Обычный 6 3 2 3 2 2 2 2 3 2" xfId="17047"/>
    <cellStyle name="Обычный 6 3 2 3 2 2 2 2 3 3" xfId="17048"/>
    <cellStyle name="Обычный 6 3 2 3 2 2 2 2 4" xfId="17049"/>
    <cellStyle name="Обычный 6 3 2 3 2 2 2 2 4 2" xfId="17050"/>
    <cellStyle name="Обычный 6 3 2 3 2 2 2 2 5" xfId="17051"/>
    <cellStyle name="Обычный 6 3 2 3 2 2 2 2 6" xfId="17052"/>
    <cellStyle name="Обычный 6 3 2 3 2 2 2 3" xfId="17053"/>
    <cellStyle name="Обычный 6 3 2 3 2 2 2 3 2" xfId="17054"/>
    <cellStyle name="Обычный 6 3 2 3 2 2 2 3 3" xfId="17055"/>
    <cellStyle name="Обычный 6 3 2 3 2 2 2 4" xfId="17056"/>
    <cellStyle name="Обычный 6 3 2 3 2 2 2 4 2" xfId="17057"/>
    <cellStyle name="Обычный 6 3 2 3 2 2 2 4 3" xfId="17058"/>
    <cellStyle name="Обычный 6 3 2 3 2 2 2 5" xfId="17059"/>
    <cellStyle name="Обычный 6 3 2 3 2 2 2 5 2" xfId="17060"/>
    <cellStyle name="Обычный 6 3 2 3 2 2 2 6" xfId="17061"/>
    <cellStyle name="Обычный 6 3 2 3 2 2 2 7" xfId="17062"/>
    <cellStyle name="Обычный 6 3 2 3 2 2 3" xfId="17063"/>
    <cellStyle name="Обычный 6 3 2 3 2 2 3 2" xfId="17064"/>
    <cellStyle name="Обычный 6 3 2 3 2 2 3 2 2" xfId="17065"/>
    <cellStyle name="Обычный 6 3 2 3 2 2 3 2 3" xfId="17066"/>
    <cellStyle name="Обычный 6 3 2 3 2 2 3 3" xfId="17067"/>
    <cellStyle name="Обычный 6 3 2 3 2 2 3 3 2" xfId="17068"/>
    <cellStyle name="Обычный 6 3 2 3 2 2 3 3 3" xfId="17069"/>
    <cellStyle name="Обычный 6 3 2 3 2 2 3 4" xfId="17070"/>
    <cellStyle name="Обычный 6 3 2 3 2 2 3 4 2" xfId="17071"/>
    <cellStyle name="Обычный 6 3 2 3 2 2 3 5" xfId="17072"/>
    <cellStyle name="Обычный 6 3 2 3 2 2 3 6" xfId="17073"/>
    <cellStyle name="Обычный 6 3 2 3 2 2 4" xfId="17074"/>
    <cellStyle name="Обычный 6 3 2 3 2 2 4 2" xfId="17075"/>
    <cellStyle name="Обычный 6 3 2 3 2 2 4 3" xfId="17076"/>
    <cellStyle name="Обычный 6 3 2 3 2 2 5" xfId="17077"/>
    <cellStyle name="Обычный 6 3 2 3 2 2 5 2" xfId="17078"/>
    <cellStyle name="Обычный 6 3 2 3 2 2 5 3" xfId="17079"/>
    <cellStyle name="Обычный 6 3 2 3 2 2 6" xfId="17080"/>
    <cellStyle name="Обычный 6 3 2 3 2 2 6 2" xfId="17081"/>
    <cellStyle name="Обычный 6 3 2 3 2 2 7" xfId="17082"/>
    <cellStyle name="Обычный 6 3 2 3 2 2 8" xfId="17083"/>
    <cellStyle name="Обычный 6 3 2 3 2 3" xfId="17084"/>
    <cellStyle name="Обычный 6 3 2 3 2 3 2" xfId="17085"/>
    <cellStyle name="Обычный 6 3 2 3 2 3 2 2" xfId="17086"/>
    <cellStyle name="Обычный 6 3 2 3 2 3 2 2 2" xfId="17087"/>
    <cellStyle name="Обычный 6 3 2 3 2 3 2 2 3" xfId="17088"/>
    <cellStyle name="Обычный 6 3 2 3 2 3 2 3" xfId="17089"/>
    <cellStyle name="Обычный 6 3 2 3 2 3 2 3 2" xfId="17090"/>
    <cellStyle name="Обычный 6 3 2 3 2 3 2 3 3" xfId="17091"/>
    <cellStyle name="Обычный 6 3 2 3 2 3 2 4" xfId="17092"/>
    <cellStyle name="Обычный 6 3 2 3 2 3 2 4 2" xfId="17093"/>
    <cellStyle name="Обычный 6 3 2 3 2 3 2 5" xfId="17094"/>
    <cellStyle name="Обычный 6 3 2 3 2 3 2 6" xfId="17095"/>
    <cellStyle name="Обычный 6 3 2 3 2 3 3" xfId="17096"/>
    <cellStyle name="Обычный 6 3 2 3 2 3 3 2" xfId="17097"/>
    <cellStyle name="Обычный 6 3 2 3 2 3 3 3" xfId="17098"/>
    <cellStyle name="Обычный 6 3 2 3 2 3 4" xfId="17099"/>
    <cellStyle name="Обычный 6 3 2 3 2 3 4 2" xfId="17100"/>
    <cellStyle name="Обычный 6 3 2 3 2 3 4 3" xfId="17101"/>
    <cellStyle name="Обычный 6 3 2 3 2 3 5" xfId="17102"/>
    <cellStyle name="Обычный 6 3 2 3 2 3 5 2" xfId="17103"/>
    <cellStyle name="Обычный 6 3 2 3 2 3 6" xfId="17104"/>
    <cellStyle name="Обычный 6 3 2 3 2 3 7" xfId="17105"/>
    <cellStyle name="Обычный 6 3 2 3 2 4" xfId="17106"/>
    <cellStyle name="Обычный 6 3 2 3 2 4 2" xfId="17107"/>
    <cellStyle name="Обычный 6 3 2 3 2 4 2 2" xfId="17108"/>
    <cellStyle name="Обычный 6 3 2 3 2 4 2 3" xfId="17109"/>
    <cellStyle name="Обычный 6 3 2 3 2 4 3" xfId="17110"/>
    <cellStyle name="Обычный 6 3 2 3 2 4 3 2" xfId="17111"/>
    <cellStyle name="Обычный 6 3 2 3 2 4 3 3" xfId="17112"/>
    <cellStyle name="Обычный 6 3 2 3 2 4 4" xfId="17113"/>
    <cellStyle name="Обычный 6 3 2 3 2 4 4 2" xfId="17114"/>
    <cellStyle name="Обычный 6 3 2 3 2 4 5" xfId="17115"/>
    <cellStyle name="Обычный 6 3 2 3 2 4 6" xfId="17116"/>
    <cellStyle name="Обычный 6 3 2 3 2 5" xfId="17117"/>
    <cellStyle name="Обычный 6 3 2 3 2 5 2" xfId="17118"/>
    <cellStyle name="Обычный 6 3 2 3 2 5 3" xfId="17119"/>
    <cellStyle name="Обычный 6 3 2 3 2 6" xfId="17120"/>
    <cellStyle name="Обычный 6 3 2 3 2 6 2" xfId="17121"/>
    <cellStyle name="Обычный 6 3 2 3 2 6 3" xfId="17122"/>
    <cellStyle name="Обычный 6 3 2 3 2 7" xfId="17123"/>
    <cellStyle name="Обычный 6 3 2 3 2 7 2" xfId="17124"/>
    <cellStyle name="Обычный 6 3 2 3 2 8" xfId="17125"/>
    <cellStyle name="Обычный 6 3 2 3 2 9" xfId="17126"/>
    <cellStyle name="Обычный 6 3 2 3 3" xfId="17127"/>
    <cellStyle name="Обычный 6 3 2 3 3 2" xfId="17128"/>
    <cellStyle name="Обычный 6 3 2 3 3 2 2" xfId="17129"/>
    <cellStyle name="Обычный 6 3 2 3 3 2 2 2" xfId="17130"/>
    <cellStyle name="Обычный 6 3 2 3 3 2 2 2 2" xfId="17131"/>
    <cellStyle name="Обычный 6 3 2 3 3 2 2 2 3" xfId="17132"/>
    <cellStyle name="Обычный 6 3 2 3 3 2 2 3" xfId="17133"/>
    <cellStyle name="Обычный 6 3 2 3 3 2 2 3 2" xfId="17134"/>
    <cellStyle name="Обычный 6 3 2 3 3 2 2 3 3" xfId="17135"/>
    <cellStyle name="Обычный 6 3 2 3 3 2 2 4" xfId="17136"/>
    <cellStyle name="Обычный 6 3 2 3 3 2 2 4 2" xfId="17137"/>
    <cellStyle name="Обычный 6 3 2 3 3 2 2 5" xfId="17138"/>
    <cellStyle name="Обычный 6 3 2 3 3 2 2 6" xfId="17139"/>
    <cellStyle name="Обычный 6 3 2 3 3 2 3" xfId="17140"/>
    <cellStyle name="Обычный 6 3 2 3 3 2 3 2" xfId="17141"/>
    <cellStyle name="Обычный 6 3 2 3 3 2 3 3" xfId="17142"/>
    <cellStyle name="Обычный 6 3 2 3 3 2 4" xfId="17143"/>
    <cellStyle name="Обычный 6 3 2 3 3 2 4 2" xfId="17144"/>
    <cellStyle name="Обычный 6 3 2 3 3 2 4 3" xfId="17145"/>
    <cellStyle name="Обычный 6 3 2 3 3 2 5" xfId="17146"/>
    <cellStyle name="Обычный 6 3 2 3 3 2 5 2" xfId="17147"/>
    <cellStyle name="Обычный 6 3 2 3 3 2 6" xfId="17148"/>
    <cellStyle name="Обычный 6 3 2 3 3 2 7" xfId="17149"/>
    <cellStyle name="Обычный 6 3 2 3 3 3" xfId="17150"/>
    <cellStyle name="Обычный 6 3 2 3 3 3 2" xfId="17151"/>
    <cellStyle name="Обычный 6 3 2 3 3 3 2 2" xfId="17152"/>
    <cellStyle name="Обычный 6 3 2 3 3 3 2 3" xfId="17153"/>
    <cellStyle name="Обычный 6 3 2 3 3 3 3" xfId="17154"/>
    <cellStyle name="Обычный 6 3 2 3 3 3 3 2" xfId="17155"/>
    <cellStyle name="Обычный 6 3 2 3 3 3 3 3" xfId="17156"/>
    <cellStyle name="Обычный 6 3 2 3 3 3 4" xfId="17157"/>
    <cellStyle name="Обычный 6 3 2 3 3 3 4 2" xfId="17158"/>
    <cellStyle name="Обычный 6 3 2 3 3 3 5" xfId="17159"/>
    <cellStyle name="Обычный 6 3 2 3 3 3 6" xfId="17160"/>
    <cellStyle name="Обычный 6 3 2 3 3 4" xfId="17161"/>
    <cellStyle name="Обычный 6 3 2 3 3 4 2" xfId="17162"/>
    <cellStyle name="Обычный 6 3 2 3 3 4 3" xfId="17163"/>
    <cellStyle name="Обычный 6 3 2 3 3 5" xfId="17164"/>
    <cellStyle name="Обычный 6 3 2 3 3 5 2" xfId="17165"/>
    <cellStyle name="Обычный 6 3 2 3 3 5 3" xfId="17166"/>
    <cellStyle name="Обычный 6 3 2 3 3 6" xfId="17167"/>
    <cellStyle name="Обычный 6 3 2 3 3 6 2" xfId="17168"/>
    <cellStyle name="Обычный 6 3 2 3 3 7" xfId="17169"/>
    <cellStyle name="Обычный 6 3 2 3 3 8" xfId="17170"/>
    <cellStyle name="Обычный 6 3 2 3 4" xfId="17171"/>
    <cellStyle name="Обычный 6 3 2 3 4 2" xfId="17172"/>
    <cellStyle name="Обычный 6 3 2 3 4 2 2" xfId="17173"/>
    <cellStyle name="Обычный 6 3 2 3 4 2 2 2" xfId="17174"/>
    <cellStyle name="Обычный 6 3 2 3 4 2 2 3" xfId="17175"/>
    <cellStyle name="Обычный 6 3 2 3 4 2 3" xfId="17176"/>
    <cellStyle name="Обычный 6 3 2 3 4 2 3 2" xfId="17177"/>
    <cellStyle name="Обычный 6 3 2 3 4 2 3 3" xfId="17178"/>
    <cellStyle name="Обычный 6 3 2 3 4 2 4" xfId="17179"/>
    <cellStyle name="Обычный 6 3 2 3 4 2 4 2" xfId="17180"/>
    <cellStyle name="Обычный 6 3 2 3 4 2 5" xfId="17181"/>
    <cellStyle name="Обычный 6 3 2 3 4 2 6" xfId="17182"/>
    <cellStyle name="Обычный 6 3 2 3 4 3" xfId="17183"/>
    <cellStyle name="Обычный 6 3 2 3 4 3 2" xfId="17184"/>
    <cellStyle name="Обычный 6 3 2 3 4 3 3" xfId="17185"/>
    <cellStyle name="Обычный 6 3 2 3 4 4" xfId="17186"/>
    <cellStyle name="Обычный 6 3 2 3 4 4 2" xfId="17187"/>
    <cellStyle name="Обычный 6 3 2 3 4 4 3" xfId="17188"/>
    <cellStyle name="Обычный 6 3 2 3 4 5" xfId="17189"/>
    <cellStyle name="Обычный 6 3 2 3 4 5 2" xfId="17190"/>
    <cellStyle name="Обычный 6 3 2 3 4 6" xfId="17191"/>
    <cellStyle name="Обычный 6 3 2 3 4 7" xfId="17192"/>
    <cellStyle name="Обычный 6 3 2 3 5" xfId="17193"/>
    <cellStyle name="Обычный 6 3 2 3 5 2" xfId="17194"/>
    <cellStyle name="Обычный 6 3 2 3 5 2 2" xfId="17195"/>
    <cellStyle name="Обычный 6 3 2 3 5 2 3" xfId="17196"/>
    <cellStyle name="Обычный 6 3 2 3 5 3" xfId="17197"/>
    <cellStyle name="Обычный 6 3 2 3 5 3 2" xfId="17198"/>
    <cellStyle name="Обычный 6 3 2 3 5 3 3" xfId="17199"/>
    <cellStyle name="Обычный 6 3 2 3 5 4" xfId="17200"/>
    <cellStyle name="Обычный 6 3 2 3 5 4 2" xfId="17201"/>
    <cellStyle name="Обычный 6 3 2 3 5 5" xfId="17202"/>
    <cellStyle name="Обычный 6 3 2 3 5 6" xfId="17203"/>
    <cellStyle name="Обычный 6 3 2 3 6" xfId="17204"/>
    <cellStyle name="Обычный 6 3 2 3 6 2" xfId="17205"/>
    <cellStyle name="Обычный 6 3 2 3 6 3" xfId="17206"/>
    <cellStyle name="Обычный 6 3 2 3 7" xfId="17207"/>
    <cellStyle name="Обычный 6 3 2 3 7 2" xfId="17208"/>
    <cellStyle name="Обычный 6 3 2 3 7 3" xfId="17209"/>
    <cellStyle name="Обычный 6 3 2 3 8" xfId="17210"/>
    <cellStyle name="Обычный 6 3 2 3 8 2" xfId="17211"/>
    <cellStyle name="Обычный 6 3 2 3 9" xfId="17212"/>
    <cellStyle name="Обычный 6 3 2 4" xfId="17213"/>
    <cellStyle name="Обычный 6 3 2 4 10" xfId="17214"/>
    <cellStyle name="Обычный 6 3 2 4 2" xfId="17215"/>
    <cellStyle name="Обычный 6 3 2 4 2 2" xfId="17216"/>
    <cellStyle name="Обычный 6 3 2 4 2 2 2" xfId="17217"/>
    <cellStyle name="Обычный 6 3 2 4 2 2 2 2" xfId="17218"/>
    <cellStyle name="Обычный 6 3 2 4 2 2 2 2 2" xfId="17219"/>
    <cellStyle name="Обычный 6 3 2 4 2 2 2 2 2 2" xfId="17220"/>
    <cellStyle name="Обычный 6 3 2 4 2 2 2 2 2 3" xfId="17221"/>
    <cellStyle name="Обычный 6 3 2 4 2 2 2 2 3" xfId="17222"/>
    <cellStyle name="Обычный 6 3 2 4 2 2 2 2 3 2" xfId="17223"/>
    <cellStyle name="Обычный 6 3 2 4 2 2 2 2 3 3" xfId="17224"/>
    <cellStyle name="Обычный 6 3 2 4 2 2 2 2 4" xfId="17225"/>
    <cellStyle name="Обычный 6 3 2 4 2 2 2 2 4 2" xfId="17226"/>
    <cellStyle name="Обычный 6 3 2 4 2 2 2 2 5" xfId="17227"/>
    <cellStyle name="Обычный 6 3 2 4 2 2 2 2 6" xfId="17228"/>
    <cellStyle name="Обычный 6 3 2 4 2 2 2 3" xfId="17229"/>
    <cellStyle name="Обычный 6 3 2 4 2 2 2 3 2" xfId="17230"/>
    <cellStyle name="Обычный 6 3 2 4 2 2 2 3 3" xfId="17231"/>
    <cellStyle name="Обычный 6 3 2 4 2 2 2 4" xfId="17232"/>
    <cellStyle name="Обычный 6 3 2 4 2 2 2 4 2" xfId="17233"/>
    <cellStyle name="Обычный 6 3 2 4 2 2 2 4 3" xfId="17234"/>
    <cellStyle name="Обычный 6 3 2 4 2 2 2 5" xfId="17235"/>
    <cellStyle name="Обычный 6 3 2 4 2 2 2 5 2" xfId="17236"/>
    <cellStyle name="Обычный 6 3 2 4 2 2 2 6" xfId="17237"/>
    <cellStyle name="Обычный 6 3 2 4 2 2 2 7" xfId="17238"/>
    <cellStyle name="Обычный 6 3 2 4 2 2 3" xfId="17239"/>
    <cellStyle name="Обычный 6 3 2 4 2 2 3 2" xfId="17240"/>
    <cellStyle name="Обычный 6 3 2 4 2 2 3 2 2" xfId="17241"/>
    <cellStyle name="Обычный 6 3 2 4 2 2 3 2 3" xfId="17242"/>
    <cellStyle name="Обычный 6 3 2 4 2 2 3 3" xfId="17243"/>
    <cellStyle name="Обычный 6 3 2 4 2 2 3 3 2" xfId="17244"/>
    <cellStyle name="Обычный 6 3 2 4 2 2 3 3 3" xfId="17245"/>
    <cellStyle name="Обычный 6 3 2 4 2 2 3 4" xfId="17246"/>
    <cellStyle name="Обычный 6 3 2 4 2 2 3 4 2" xfId="17247"/>
    <cellStyle name="Обычный 6 3 2 4 2 2 3 5" xfId="17248"/>
    <cellStyle name="Обычный 6 3 2 4 2 2 3 6" xfId="17249"/>
    <cellStyle name="Обычный 6 3 2 4 2 2 4" xfId="17250"/>
    <cellStyle name="Обычный 6 3 2 4 2 2 4 2" xfId="17251"/>
    <cellStyle name="Обычный 6 3 2 4 2 2 4 3" xfId="17252"/>
    <cellStyle name="Обычный 6 3 2 4 2 2 5" xfId="17253"/>
    <cellStyle name="Обычный 6 3 2 4 2 2 5 2" xfId="17254"/>
    <cellStyle name="Обычный 6 3 2 4 2 2 5 3" xfId="17255"/>
    <cellStyle name="Обычный 6 3 2 4 2 2 6" xfId="17256"/>
    <cellStyle name="Обычный 6 3 2 4 2 2 6 2" xfId="17257"/>
    <cellStyle name="Обычный 6 3 2 4 2 2 7" xfId="17258"/>
    <cellStyle name="Обычный 6 3 2 4 2 2 8" xfId="17259"/>
    <cellStyle name="Обычный 6 3 2 4 2 3" xfId="17260"/>
    <cellStyle name="Обычный 6 3 2 4 2 3 2" xfId="17261"/>
    <cellStyle name="Обычный 6 3 2 4 2 3 2 2" xfId="17262"/>
    <cellStyle name="Обычный 6 3 2 4 2 3 2 2 2" xfId="17263"/>
    <cellStyle name="Обычный 6 3 2 4 2 3 2 2 3" xfId="17264"/>
    <cellStyle name="Обычный 6 3 2 4 2 3 2 3" xfId="17265"/>
    <cellStyle name="Обычный 6 3 2 4 2 3 2 3 2" xfId="17266"/>
    <cellStyle name="Обычный 6 3 2 4 2 3 2 3 3" xfId="17267"/>
    <cellStyle name="Обычный 6 3 2 4 2 3 2 4" xfId="17268"/>
    <cellStyle name="Обычный 6 3 2 4 2 3 2 4 2" xfId="17269"/>
    <cellStyle name="Обычный 6 3 2 4 2 3 2 5" xfId="17270"/>
    <cellStyle name="Обычный 6 3 2 4 2 3 2 6" xfId="17271"/>
    <cellStyle name="Обычный 6 3 2 4 2 3 3" xfId="17272"/>
    <cellStyle name="Обычный 6 3 2 4 2 3 3 2" xfId="17273"/>
    <cellStyle name="Обычный 6 3 2 4 2 3 3 3" xfId="17274"/>
    <cellStyle name="Обычный 6 3 2 4 2 3 4" xfId="17275"/>
    <cellStyle name="Обычный 6 3 2 4 2 3 4 2" xfId="17276"/>
    <cellStyle name="Обычный 6 3 2 4 2 3 4 3" xfId="17277"/>
    <cellStyle name="Обычный 6 3 2 4 2 3 5" xfId="17278"/>
    <cellStyle name="Обычный 6 3 2 4 2 3 5 2" xfId="17279"/>
    <cellStyle name="Обычный 6 3 2 4 2 3 6" xfId="17280"/>
    <cellStyle name="Обычный 6 3 2 4 2 3 7" xfId="17281"/>
    <cellStyle name="Обычный 6 3 2 4 2 4" xfId="17282"/>
    <cellStyle name="Обычный 6 3 2 4 2 4 2" xfId="17283"/>
    <cellStyle name="Обычный 6 3 2 4 2 4 2 2" xfId="17284"/>
    <cellStyle name="Обычный 6 3 2 4 2 4 2 3" xfId="17285"/>
    <cellStyle name="Обычный 6 3 2 4 2 4 3" xfId="17286"/>
    <cellStyle name="Обычный 6 3 2 4 2 4 3 2" xfId="17287"/>
    <cellStyle name="Обычный 6 3 2 4 2 4 3 3" xfId="17288"/>
    <cellStyle name="Обычный 6 3 2 4 2 4 4" xfId="17289"/>
    <cellStyle name="Обычный 6 3 2 4 2 4 4 2" xfId="17290"/>
    <cellStyle name="Обычный 6 3 2 4 2 4 5" xfId="17291"/>
    <cellStyle name="Обычный 6 3 2 4 2 4 6" xfId="17292"/>
    <cellStyle name="Обычный 6 3 2 4 2 5" xfId="17293"/>
    <cellStyle name="Обычный 6 3 2 4 2 5 2" xfId="17294"/>
    <cellStyle name="Обычный 6 3 2 4 2 5 3" xfId="17295"/>
    <cellStyle name="Обычный 6 3 2 4 2 6" xfId="17296"/>
    <cellStyle name="Обычный 6 3 2 4 2 6 2" xfId="17297"/>
    <cellStyle name="Обычный 6 3 2 4 2 6 3" xfId="17298"/>
    <cellStyle name="Обычный 6 3 2 4 2 7" xfId="17299"/>
    <cellStyle name="Обычный 6 3 2 4 2 7 2" xfId="17300"/>
    <cellStyle name="Обычный 6 3 2 4 2 8" xfId="17301"/>
    <cellStyle name="Обычный 6 3 2 4 2 9" xfId="17302"/>
    <cellStyle name="Обычный 6 3 2 4 3" xfId="17303"/>
    <cellStyle name="Обычный 6 3 2 4 3 2" xfId="17304"/>
    <cellStyle name="Обычный 6 3 2 4 3 2 2" xfId="17305"/>
    <cellStyle name="Обычный 6 3 2 4 3 2 2 2" xfId="17306"/>
    <cellStyle name="Обычный 6 3 2 4 3 2 2 2 2" xfId="17307"/>
    <cellStyle name="Обычный 6 3 2 4 3 2 2 2 3" xfId="17308"/>
    <cellStyle name="Обычный 6 3 2 4 3 2 2 3" xfId="17309"/>
    <cellStyle name="Обычный 6 3 2 4 3 2 2 3 2" xfId="17310"/>
    <cellStyle name="Обычный 6 3 2 4 3 2 2 3 3" xfId="17311"/>
    <cellStyle name="Обычный 6 3 2 4 3 2 2 4" xfId="17312"/>
    <cellStyle name="Обычный 6 3 2 4 3 2 2 4 2" xfId="17313"/>
    <cellStyle name="Обычный 6 3 2 4 3 2 2 5" xfId="17314"/>
    <cellStyle name="Обычный 6 3 2 4 3 2 2 6" xfId="17315"/>
    <cellStyle name="Обычный 6 3 2 4 3 2 3" xfId="17316"/>
    <cellStyle name="Обычный 6 3 2 4 3 2 3 2" xfId="17317"/>
    <cellStyle name="Обычный 6 3 2 4 3 2 3 3" xfId="17318"/>
    <cellStyle name="Обычный 6 3 2 4 3 2 4" xfId="17319"/>
    <cellStyle name="Обычный 6 3 2 4 3 2 4 2" xfId="17320"/>
    <cellStyle name="Обычный 6 3 2 4 3 2 4 3" xfId="17321"/>
    <cellStyle name="Обычный 6 3 2 4 3 2 5" xfId="17322"/>
    <cellStyle name="Обычный 6 3 2 4 3 2 5 2" xfId="17323"/>
    <cellStyle name="Обычный 6 3 2 4 3 2 6" xfId="17324"/>
    <cellStyle name="Обычный 6 3 2 4 3 2 7" xfId="17325"/>
    <cellStyle name="Обычный 6 3 2 4 3 3" xfId="17326"/>
    <cellStyle name="Обычный 6 3 2 4 3 3 2" xfId="17327"/>
    <cellStyle name="Обычный 6 3 2 4 3 3 2 2" xfId="17328"/>
    <cellStyle name="Обычный 6 3 2 4 3 3 2 3" xfId="17329"/>
    <cellStyle name="Обычный 6 3 2 4 3 3 3" xfId="17330"/>
    <cellStyle name="Обычный 6 3 2 4 3 3 3 2" xfId="17331"/>
    <cellStyle name="Обычный 6 3 2 4 3 3 3 3" xfId="17332"/>
    <cellStyle name="Обычный 6 3 2 4 3 3 4" xfId="17333"/>
    <cellStyle name="Обычный 6 3 2 4 3 3 4 2" xfId="17334"/>
    <cellStyle name="Обычный 6 3 2 4 3 3 5" xfId="17335"/>
    <cellStyle name="Обычный 6 3 2 4 3 3 6" xfId="17336"/>
    <cellStyle name="Обычный 6 3 2 4 3 4" xfId="17337"/>
    <cellStyle name="Обычный 6 3 2 4 3 4 2" xfId="17338"/>
    <cellStyle name="Обычный 6 3 2 4 3 4 3" xfId="17339"/>
    <cellStyle name="Обычный 6 3 2 4 3 5" xfId="17340"/>
    <cellStyle name="Обычный 6 3 2 4 3 5 2" xfId="17341"/>
    <cellStyle name="Обычный 6 3 2 4 3 5 3" xfId="17342"/>
    <cellStyle name="Обычный 6 3 2 4 3 6" xfId="17343"/>
    <cellStyle name="Обычный 6 3 2 4 3 6 2" xfId="17344"/>
    <cellStyle name="Обычный 6 3 2 4 3 7" xfId="17345"/>
    <cellStyle name="Обычный 6 3 2 4 3 8" xfId="17346"/>
    <cellStyle name="Обычный 6 3 2 4 4" xfId="17347"/>
    <cellStyle name="Обычный 6 3 2 4 4 2" xfId="17348"/>
    <cellStyle name="Обычный 6 3 2 4 4 2 2" xfId="17349"/>
    <cellStyle name="Обычный 6 3 2 4 4 2 2 2" xfId="17350"/>
    <cellStyle name="Обычный 6 3 2 4 4 2 2 3" xfId="17351"/>
    <cellStyle name="Обычный 6 3 2 4 4 2 3" xfId="17352"/>
    <cellStyle name="Обычный 6 3 2 4 4 2 3 2" xfId="17353"/>
    <cellStyle name="Обычный 6 3 2 4 4 2 3 3" xfId="17354"/>
    <cellStyle name="Обычный 6 3 2 4 4 2 4" xfId="17355"/>
    <cellStyle name="Обычный 6 3 2 4 4 2 4 2" xfId="17356"/>
    <cellStyle name="Обычный 6 3 2 4 4 2 5" xfId="17357"/>
    <cellStyle name="Обычный 6 3 2 4 4 2 6" xfId="17358"/>
    <cellStyle name="Обычный 6 3 2 4 4 3" xfId="17359"/>
    <cellStyle name="Обычный 6 3 2 4 4 3 2" xfId="17360"/>
    <cellStyle name="Обычный 6 3 2 4 4 3 3" xfId="17361"/>
    <cellStyle name="Обычный 6 3 2 4 4 4" xfId="17362"/>
    <cellStyle name="Обычный 6 3 2 4 4 4 2" xfId="17363"/>
    <cellStyle name="Обычный 6 3 2 4 4 4 3" xfId="17364"/>
    <cellStyle name="Обычный 6 3 2 4 4 5" xfId="17365"/>
    <cellStyle name="Обычный 6 3 2 4 4 5 2" xfId="17366"/>
    <cellStyle name="Обычный 6 3 2 4 4 6" xfId="17367"/>
    <cellStyle name="Обычный 6 3 2 4 4 7" xfId="17368"/>
    <cellStyle name="Обычный 6 3 2 4 5" xfId="17369"/>
    <cellStyle name="Обычный 6 3 2 4 5 2" xfId="17370"/>
    <cellStyle name="Обычный 6 3 2 4 5 2 2" xfId="17371"/>
    <cellStyle name="Обычный 6 3 2 4 5 2 3" xfId="17372"/>
    <cellStyle name="Обычный 6 3 2 4 5 3" xfId="17373"/>
    <cellStyle name="Обычный 6 3 2 4 5 3 2" xfId="17374"/>
    <cellStyle name="Обычный 6 3 2 4 5 3 3" xfId="17375"/>
    <cellStyle name="Обычный 6 3 2 4 5 4" xfId="17376"/>
    <cellStyle name="Обычный 6 3 2 4 5 4 2" xfId="17377"/>
    <cellStyle name="Обычный 6 3 2 4 5 5" xfId="17378"/>
    <cellStyle name="Обычный 6 3 2 4 5 6" xfId="17379"/>
    <cellStyle name="Обычный 6 3 2 4 6" xfId="17380"/>
    <cellStyle name="Обычный 6 3 2 4 6 2" xfId="17381"/>
    <cellStyle name="Обычный 6 3 2 4 6 3" xfId="17382"/>
    <cellStyle name="Обычный 6 3 2 4 7" xfId="17383"/>
    <cellStyle name="Обычный 6 3 2 4 7 2" xfId="17384"/>
    <cellStyle name="Обычный 6 3 2 4 7 3" xfId="17385"/>
    <cellStyle name="Обычный 6 3 2 4 8" xfId="17386"/>
    <cellStyle name="Обычный 6 3 2 4 8 2" xfId="17387"/>
    <cellStyle name="Обычный 6 3 2 4 9" xfId="17388"/>
    <cellStyle name="Обычный 6 3 2 5" xfId="17389"/>
    <cellStyle name="Обычный 6 3 2 5 2" xfId="17390"/>
    <cellStyle name="Обычный 6 3 2 5 2 2" xfId="17391"/>
    <cellStyle name="Обычный 6 3 2 5 2 2 2" xfId="17392"/>
    <cellStyle name="Обычный 6 3 2 5 2 2 2 2" xfId="17393"/>
    <cellStyle name="Обычный 6 3 2 5 2 2 2 2 2" xfId="17394"/>
    <cellStyle name="Обычный 6 3 2 5 2 2 2 2 3" xfId="17395"/>
    <cellStyle name="Обычный 6 3 2 5 2 2 2 3" xfId="17396"/>
    <cellStyle name="Обычный 6 3 2 5 2 2 2 3 2" xfId="17397"/>
    <cellStyle name="Обычный 6 3 2 5 2 2 2 3 3" xfId="17398"/>
    <cellStyle name="Обычный 6 3 2 5 2 2 2 4" xfId="17399"/>
    <cellStyle name="Обычный 6 3 2 5 2 2 2 4 2" xfId="17400"/>
    <cellStyle name="Обычный 6 3 2 5 2 2 2 5" xfId="17401"/>
    <cellStyle name="Обычный 6 3 2 5 2 2 2 6" xfId="17402"/>
    <cellStyle name="Обычный 6 3 2 5 2 2 3" xfId="17403"/>
    <cellStyle name="Обычный 6 3 2 5 2 2 3 2" xfId="17404"/>
    <cellStyle name="Обычный 6 3 2 5 2 2 3 3" xfId="17405"/>
    <cellStyle name="Обычный 6 3 2 5 2 2 4" xfId="17406"/>
    <cellStyle name="Обычный 6 3 2 5 2 2 4 2" xfId="17407"/>
    <cellStyle name="Обычный 6 3 2 5 2 2 4 3" xfId="17408"/>
    <cellStyle name="Обычный 6 3 2 5 2 2 5" xfId="17409"/>
    <cellStyle name="Обычный 6 3 2 5 2 2 5 2" xfId="17410"/>
    <cellStyle name="Обычный 6 3 2 5 2 2 6" xfId="17411"/>
    <cellStyle name="Обычный 6 3 2 5 2 2 7" xfId="17412"/>
    <cellStyle name="Обычный 6 3 2 5 2 3" xfId="17413"/>
    <cellStyle name="Обычный 6 3 2 5 2 3 2" xfId="17414"/>
    <cellStyle name="Обычный 6 3 2 5 2 3 2 2" xfId="17415"/>
    <cellStyle name="Обычный 6 3 2 5 2 3 2 3" xfId="17416"/>
    <cellStyle name="Обычный 6 3 2 5 2 3 3" xfId="17417"/>
    <cellStyle name="Обычный 6 3 2 5 2 3 3 2" xfId="17418"/>
    <cellStyle name="Обычный 6 3 2 5 2 3 3 3" xfId="17419"/>
    <cellStyle name="Обычный 6 3 2 5 2 3 4" xfId="17420"/>
    <cellStyle name="Обычный 6 3 2 5 2 3 4 2" xfId="17421"/>
    <cellStyle name="Обычный 6 3 2 5 2 3 5" xfId="17422"/>
    <cellStyle name="Обычный 6 3 2 5 2 3 6" xfId="17423"/>
    <cellStyle name="Обычный 6 3 2 5 2 4" xfId="17424"/>
    <cellStyle name="Обычный 6 3 2 5 2 4 2" xfId="17425"/>
    <cellStyle name="Обычный 6 3 2 5 2 4 3" xfId="17426"/>
    <cellStyle name="Обычный 6 3 2 5 2 5" xfId="17427"/>
    <cellStyle name="Обычный 6 3 2 5 2 5 2" xfId="17428"/>
    <cellStyle name="Обычный 6 3 2 5 2 5 3" xfId="17429"/>
    <cellStyle name="Обычный 6 3 2 5 2 6" xfId="17430"/>
    <cellStyle name="Обычный 6 3 2 5 2 6 2" xfId="17431"/>
    <cellStyle name="Обычный 6 3 2 5 2 7" xfId="17432"/>
    <cellStyle name="Обычный 6 3 2 5 2 8" xfId="17433"/>
    <cellStyle name="Обычный 6 3 2 5 3" xfId="17434"/>
    <cellStyle name="Обычный 6 3 2 5 3 2" xfId="17435"/>
    <cellStyle name="Обычный 6 3 2 5 3 2 2" xfId="17436"/>
    <cellStyle name="Обычный 6 3 2 5 3 2 2 2" xfId="17437"/>
    <cellStyle name="Обычный 6 3 2 5 3 2 2 3" xfId="17438"/>
    <cellStyle name="Обычный 6 3 2 5 3 2 3" xfId="17439"/>
    <cellStyle name="Обычный 6 3 2 5 3 2 3 2" xfId="17440"/>
    <cellStyle name="Обычный 6 3 2 5 3 2 3 3" xfId="17441"/>
    <cellStyle name="Обычный 6 3 2 5 3 2 4" xfId="17442"/>
    <cellStyle name="Обычный 6 3 2 5 3 2 4 2" xfId="17443"/>
    <cellStyle name="Обычный 6 3 2 5 3 2 5" xfId="17444"/>
    <cellStyle name="Обычный 6 3 2 5 3 2 6" xfId="17445"/>
    <cellStyle name="Обычный 6 3 2 5 3 3" xfId="17446"/>
    <cellStyle name="Обычный 6 3 2 5 3 3 2" xfId="17447"/>
    <cellStyle name="Обычный 6 3 2 5 3 3 3" xfId="17448"/>
    <cellStyle name="Обычный 6 3 2 5 3 4" xfId="17449"/>
    <cellStyle name="Обычный 6 3 2 5 3 4 2" xfId="17450"/>
    <cellStyle name="Обычный 6 3 2 5 3 4 3" xfId="17451"/>
    <cellStyle name="Обычный 6 3 2 5 3 5" xfId="17452"/>
    <cellStyle name="Обычный 6 3 2 5 3 5 2" xfId="17453"/>
    <cellStyle name="Обычный 6 3 2 5 3 6" xfId="17454"/>
    <cellStyle name="Обычный 6 3 2 5 3 7" xfId="17455"/>
    <cellStyle name="Обычный 6 3 2 5 4" xfId="17456"/>
    <cellStyle name="Обычный 6 3 2 5 4 2" xfId="17457"/>
    <cellStyle name="Обычный 6 3 2 5 4 2 2" xfId="17458"/>
    <cellStyle name="Обычный 6 3 2 5 4 2 3" xfId="17459"/>
    <cellStyle name="Обычный 6 3 2 5 4 3" xfId="17460"/>
    <cellStyle name="Обычный 6 3 2 5 4 3 2" xfId="17461"/>
    <cellStyle name="Обычный 6 3 2 5 4 3 3" xfId="17462"/>
    <cellStyle name="Обычный 6 3 2 5 4 4" xfId="17463"/>
    <cellStyle name="Обычный 6 3 2 5 4 4 2" xfId="17464"/>
    <cellStyle name="Обычный 6 3 2 5 4 5" xfId="17465"/>
    <cellStyle name="Обычный 6 3 2 5 4 6" xfId="17466"/>
    <cellStyle name="Обычный 6 3 2 5 5" xfId="17467"/>
    <cellStyle name="Обычный 6 3 2 5 5 2" xfId="17468"/>
    <cellStyle name="Обычный 6 3 2 5 5 3" xfId="17469"/>
    <cellStyle name="Обычный 6 3 2 5 6" xfId="17470"/>
    <cellStyle name="Обычный 6 3 2 5 6 2" xfId="17471"/>
    <cellStyle name="Обычный 6 3 2 5 6 3" xfId="17472"/>
    <cellStyle name="Обычный 6 3 2 5 7" xfId="17473"/>
    <cellStyle name="Обычный 6 3 2 5 7 2" xfId="17474"/>
    <cellStyle name="Обычный 6 3 2 5 8" xfId="17475"/>
    <cellStyle name="Обычный 6 3 2 5 9" xfId="17476"/>
    <cellStyle name="Обычный 6 3 2 6" xfId="17477"/>
    <cellStyle name="Обычный 6 3 2 6 2" xfId="17478"/>
    <cellStyle name="Обычный 6 3 2 6 2 2" xfId="17479"/>
    <cellStyle name="Обычный 6 3 2 6 2 2 2" xfId="17480"/>
    <cellStyle name="Обычный 6 3 2 6 2 2 2 2" xfId="17481"/>
    <cellStyle name="Обычный 6 3 2 6 2 2 2 3" xfId="17482"/>
    <cellStyle name="Обычный 6 3 2 6 2 2 3" xfId="17483"/>
    <cellStyle name="Обычный 6 3 2 6 2 2 3 2" xfId="17484"/>
    <cellStyle name="Обычный 6 3 2 6 2 2 3 3" xfId="17485"/>
    <cellStyle name="Обычный 6 3 2 6 2 2 4" xfId="17486"/>
    <cellStyle name="Обычный 6 3 2 6 2 2 4 2" xfId="17487"/>
    <cellStyle name="Обычный 6 3 2 6 2 2 5" xfId="17488"/>
    <cellStyle name="Обычный 6 3 2 6 2 2 6" xfId="17489"/>
    <cellStyle name="Обычный 6 3 2 6 2 3" xfId="17490"/>
    <cellStyle name="Обычный 6 3 2 6 2 3 2" xfId="17491"/>
    <cellStyle name="Обычный 6 3 2 6 2 3 3" xfId="17492"/>
    <cellStyle name="Обычный 6 3 2 6 2 4" xfId="17493"/>
    <cellStyle name="Обычный 6 3 2 6 2 4 2" xfId="17494"/>
    <cellStyle name="Обычный 6 3 2 6 2 4 3" xfId="17495"/>
    <cellStyle name="Обычный 6 3 2 6 2 5" xfId="17496"/>
    <cellStyle name="Обычный 6 3 2 6 2 5 2" xfId="17497"/>
    <cellStyle name="Обычный 6 3 2 6 2 6" xfId="17498"/>
    <cellStyle name="Обычный 6 3 2 6 2 7" xfId="17499"/>
    <cellStyle name="Обычный 6 3 2 6 3" xfId="17500"/>
    <cellStyle name="Обычный 6 3 2 6 3 2" xfId="17501"/>
    <cellStyle name="Обычный 6 3 2 6 3 2 2" xfId="17502"/>
    <cellStyle name="Обычный 6 3 2 6 3 2 3" xfId="17503"/>
    <cellStyle name="Обычный 6 3 2 6 3 3" xfId="17504"/>
    <cellStyle name="Обычный 6 3 2 6 3 3 2" xfId="17505"/>
    <cellStyle name="Обычный 6 3 2 6 3 3 3" xfId="17506"/>
    <cellStyle name="Обычный 6 3 2 6 3 4" xfId="17507"/>
    <cellStyle name="Обычный 6 3 2 6 3 4 2" xfId="17508"/>
    <cellStyle name="Обычный 6 3 2 6 3 5" xfId="17509"/>
    <cellStyle name="Обычный 6 3 2 6 3 6" xfId="17510"/>
    <cellStyle name="Обычный 6 3 2 6 4" xfId="17511"/>
    <cellStyle name="Обычный 6 3 2 6 4 2" xfId="17512"/>
    <cellStyle name="Обычный 6 3 2 6 4 3" xfId="17513"/>
    <cellStyle name="Обычный 6 3 2 6 5" xfId="17514"/>
    <cellStyle name="Обычный 6 3 2 6 5 2" xfId="17515"/>
    <cellStyle name="Обычный 6 3 2 6 5 3" xfId="17516"/>
    <cellStyle name="Обычный 6 3 2 6 6" xfId="17517"/>
    <cellStyle name="Обычный 6 3 2 6 6 2" xfId="17518"/>
    <cellStyle name="Обычный 6 3 2 6 7" xfId="17519"/>
    <cellStyle name="Обычный 6 3 2 6 8" xfId="17520"/>
    <cellStyle name="Обычный 6 3 2 7" xfId="17521"/>
    <cellStyle name="Обычный 6 3 2 7 2" xfId="17522"/>
    <cellStyle name="Обычный 6 3 2 7 2 2" xfId="17523"/>
    <cellStyle name="Обычный 6 3 2 7 2 2 2" xfId="17524"/>
    <cellStyle name="Обычный 6 3 2 7 2 2 3" xfId="17525"/>
    <cellStyle name="Обычный 6 3 2 7 2 3" xfId="17526"/>
    <cellStyle name="Обычный 6 3 2 7 2 3 2" xfId="17527"/>
    <cellStyle name="Обычный 6 3 2 7 2 3 3" xfId="17528"/>
    <cellStyle name="Обычный 6 3 2 7 2 4" xfId="17529"/>
    <cellStyle name="Обычный 6 3 2 7 2 4 2" xfId="17530"/>
    <cellStyle name="Обычный 6 3 2 7 2 5" xfId="17531"/>
    <cellStyle name="Обычный 6 3 2 7 2 6" xfId="17532"/>
    <cellStyle name="Обычный 6 3 2 7 3" xfId="17533"/>
    <cellStyle name="Обычный 6 3 2 7 3 2" xfId="17534"/>
    <cellStyle name="Обычный 6 3 2 7 3 3" xfId="17535"/>
    <cellStyle name="Обычный 6 3 2 7 4" xfId="17536"/>
    <cellStyle name="Обычный 6 3 2 7 4 2" xfId="17537"/>
    <cellStyle name="Обычный 6 3 2 7 4 3" xfId="17538"/>
    <cellStyle name="Обычный 6 3 2 7 5" xfId="17539"/>
    <cellStyle name="Обычный 6 3 2 7 5 2" xfId="17540"/>
    <cellStyle name="Обычный 6 3 2 7 6" xfId="17541"/>
    <cellStyle name="Обычный 6 3 2 7 7" xfId="17542"/>
    <cellStyle name="Обычный 6 3 2 8" xfId="17543"/>
    <cellStyle name="Обычный 6 3 2 8 2" xfId="17544"/>
    <cellStyle name="Обычный 6 3 2 8 2 2" xfId="17545"/>
    <cellStyle name="Обычный 6 3 2 8 2 3" xfId="17546"/>
    <cellStyle name="Обычный 6 3 2 8 3" xfId="17547"/>
    <cellStyle name="Обычный 6 3 2 8 3 2" xfId="17548"/>
    <cellStyle name="Обычный 6 3 2 8 3 3" xfId="17549"/>
    <cellStyle name="Обычный 6 3 2 8 4" xfId="17550"/>
    <cellStyle name="Обычный 6 3 2 8 4 2" xfId="17551"/>
    <cellStyle name="Обычный 6 3 2 8 5" xfId="17552"/>
    <cellStyle name="Обычный 6 3 2 8 6" xfId="17553"/>
    <cellStyle name="Обычный 6 3 2 9" xfId="17554"/>
    <cellStyle name="Обычный 6 3 2 9 2" xfId="17555"/>
    <cellStyle name="Обычный 6 3 2 9 3" xfId="17556"/>
    <cellStyle name="Обычный 6 3 3" xfId="17557"/>
    <cellStyle name="Обычный 6 3 3 10" xfId="17558"/>
    <cellStyle name="Обычный 6 3 3 2" xfId="17559"/>
    <cellStyle name="Обычный 6 3 3 2 2" xfId="17560"/>
    <cellStyle name="Обычный 6 3 3 2 2 2" xfId="17561"/>
    <cellStyle name="Обычный 6 3 3 2 2 2 2" xfId="17562"/>
    <cellStyle name="Обычный 6 3 3 2 2 2 2 2" xfId="17563"/>
    <cellStyle name="Обычный 6 3 3 2 2 2 2 2 2" xfId="17564"/>
    <cellStyle name="Обычный 6 3 3 2 2 2 2 2 3" xfId="17565"/>
    <cellStyle name="Обычный 6 3 3 2 2 2 2 3" xfId="17566"/>
    <cellStyle name="Обычный 6 3 3 2 2 2 2 3 2" xfId="17567"/>
    <cellStyle name="Обычный 6 3 3 2 2 2 2 3 3" xfId="17568"/>
    <cellStyle name="Обычный 6 3 3 2 2 2 2 4" xfId="17569"/>
    <cellStyle name="Обычный 6 3 3 2 2 2 2 4 2" xfId="17570"/>
    <cellStyle name="Обычный 6 3 3 2 2 2 2 5" xfId="17571"/>
    <cellStyle name="Обычный 6 3 3 2 2 2 2 6" xfId="17572"/>
    <cellStyle name="Обычный 6 3 3 2 2 2 3" xfId="17573"/>
    <cellStyle name="Обычный 6 3 3 2 2 2 3 2" xfId="17574"/>
    <cellStyle name="Обычный 6 3 3 2 2 2 3 3" xfId="17575"/>
    <cellStyle name="Обычный 6 3 3 2 2 2 4" xfId="17576"/>
    <cellStyle name="Обычный 6 3 3 2 2 2 4 2" xfId="17577"/>
    <cellStyle name="Обычный 6 3 3 2 2 2 4 3" xfId="17578"/>
    <cellStyle name="Обычный 6 3 3 2 2 2 5" xfId="17579"/>
    <cellStyle name="Обычный 6 3 3 2 2 2 5 2" xfId="17580"/>
    <cellStyle name="Обычный 6 3 3 2 2 2 6" xfId="17581"/>
    <cellStyle name="Обычный 6 3 3 2 2 2 7" xfId="17582"/>
    <cellStyle name="Обычный 6 3 3 2 2 3" xfId="17583"/>
    <cellStyle name="Обычный 6 3 3 2 2 3 2" xfId="17584"/>
    <cellStyle name="Обычный 6 3 3 2 2 3 2 2" xfId="17585"/>
    <cellStyle name="Обычный 6 3 3 2 2 3 2 3" xfId="17586"/>
    <cellStyle name="Обычный 6 3 3 2 2 3 3" xfId="17587"/>
    <cellStyle name="Обычный 6 3 3 2 2 3 3 2" xfId="17588"/>
    <cellStyle name="Обычный 6 3 3 2 2 3 3 3" xfId="17589"/>
    <cellStyle name="Обычный 6 3 3 2 2 3 4" xfId="17590"/>
    <cellStyle name="Обычный 6 3 3 2 2 3 4 2" xfId="17591"/>
    <cellStyle name="Обычный 6 3 3 2 2 3 5" xfId="17592"/>
    <cellStyle name="Обычный 6 3 3 2 2 3 6" xfId="17593"/>
    <cellStyle name="Обычный 6 3 3 2 2 4" xfId="17594"/>
    <cellStyle name="Обычный 6 3 3 2 2 4 2" xfId="17595"/>
    <cellStyle name="Обычный 6 3 3 2 2 4 3" xfId="17596"/>
    <cellStyle name="Обычный 6 3 3 2 2 5" xfId="17597"/>
    <cellStyle name="Обычный 6 3 3 2 2 5 2" xfId="17598"/>
    <cellStyle name="Обычный 6 3 3 2 2 5 3" xfId="17599"/>
    <cellStyle name="Обычный 6 3 3 2 2 6" xfId="17600"/>
    <cellStyle name="Обычный 6 3 3 2 2 6 2" xfId="17601"/>
    <cellStyle name="Обычный 6 3 3 2 2 7" xfId="17602"/>
    <cellStyle name="Обычный 6 3 3 2 2 8" xfId="17603"/>
    <cellStyle name="Обычный 6 3 3 2 3" xfId="17604"/>
    <cellStyle name="Обычный 6 3 3 2 3 2" xfId="17605"/>
    <cellStyle name="Обычный 6 3 3 2 3 2 2" xfId="17606"/>
    <cellStyle name="Обычный 6 3 3 2 3 2 2 2" xfId="17607"/>
    <cellStyle name="Обычный 6 3 3 2 3 2 2 3" xfId="17608"/>
    <cellStyle name="Обычный 6 3 3 2 3 2 3" xfId="17609"/>
    <cellStyle name="Обычный 6 3 3 2 3 2 3 2" xfId="17610"/>
    <cellStyle name="Обычный 6 3 3 2 3 2 3 3" xfId="17611"/>
    <cellStyle name="Обычный 6 3 3 2 3 2 4" xfId="17612"/>
    <cellStyle name="Обычный 6 3 3 2 3 2 4 2" xfId="17613"/>
    <cellStyle name="Обычный 6 3 3 2 3 2 5" xfId="17614"/>
    <cellStyle name="Обычный 6 3 3 2 3 2 6" xfId="17615"/>
    <cellStyle name="Обычный 6 3 3 2 3 3" xfId="17616"/>
    <cellStyle name="Обычный 6 3 3 2 3 3 2" xfId="17617"/>
    <cellStyle name="Обычный 6 3 3 2 3 3 3" xfId="17618"/>
    <cellStyle name="Обычный 6 3 3 2 3 4" xfId="17619"/>
    <cellStyle name="Обычный 6 3 3 2 3 4 2" xfId="17620"/>
    <cellStyle name="Обычный 6 3 3 2 3 4 3" xfId="17621"/>
    <cellStyle name="Обычный 6 3 3 2 3 5" xfId="17622"/>
    <cellStyle name="Обычный 6 3 3 2 3 5 2" xfId="17623"/>
    <cellStyle name="Обычный 6 3 3 2 3 6" xfId="17624"/>
    <cellStyle name="Обычный 6 3 3 2 3 7" xfId="17625"/>
    <cellStyle name="Обычный 6 3 3 2 4" xfId="17626"/>
    <cellStyle name="Обычный 6 3 3 2 4 2" xfId="17627"/>
    <cellStyle name="Обычный 6 3 3 2 4 2 2" xfId="17628"/>
    <cellStyle name="Обычный 6 3 3 2 4 2 3" xfId="17629"/>
    <cellStyle name="Обычный 6 3 3 2 4 3" xfId="17630"/>
    <cellStyle name="Обычный 6 3 3 2 4 3 2" xfId="17631"/>
    <cellStyle name="Обычный 6 3 3 2 4 3 3" xfId="17632"/>
    <cellStyle name="Обычный 6 3 3 2 4 4" xfId="17633"/>
    <cellStyle name="Обычный 6 3 3 2 4 4 2" xfId="17634"/>
    <cellStyle name="Обычный 6 3 3 2 4 5" xfId="17635"/>
    <cellStyle name="Обычный 6 3 3 2 4 6" xfId="17636"/>
    <cellStyle name="Обычный 6 3 3 2 5" xfId="17637"/>
    <cellStyle name="Обычный 6 3 3 2 5 2" xfId="17638"/>
    <cellStyle name="Обычный 6 3 3 2 5 3" xfId="17639"/>
    <cellStyle name="Обычный 6 3 3 2 6" xfId="17640"/>
    <cellStyle name="Обычный 6 3 3 2 6 2" xfId="17641"/>
    <cellStyle name="Обычный 6 3 3 2 6 3" xfId="17642"/>
    <cellStyle name="Обычный 6 3 3 2 7" xfId="17643"/>
    <cellStyle name="Обычный 6 3 3 2 7 2" xfId="17644"/>
    <cellStyle name="Обычный 6 3 3 2 8" xfId="17645"/>
    <cellStyle name="Обычный 6 3 3 2 9" xfId="17646"/>
    <cellStyle name="Обычный 6 3 3 3" xfId="17647"/>
    <cellStyle name="Обычный 6 3 3 3 2" xfId="17648"/>
    <cellStyle name="Обычный 6 3 3 3 2 2" xfId="17649"/>
    <cellStyle name="Обычный 6 3 3 3 2 2 2" xfId="17650"/>
    <cellStyle name="Обычный 6 3 3 3 2 2 2 2" xfId="17651"/>
    <cellStyle name="Обычный 6 3 3 3 2 2 2 3" xfId="17652"/>
    <cellStyle name="Обычный 6 3 3 3 2 2 3" xfId="17653"/>
    <cellStyle name="Обычный 6 3 3 3 2 2 3 2" xfId="17654"/>
    <cellStyle name="Обычный 6 3 3 3 2 2 3 3" xfId="17655"/>
    <cellStyle name="Обычный 6 3 3 3 2 2 4" xfId="17656"/>
    <cellStyle name="Обычный 6 3 3 3 2 2 4 2" xfId="17657"/>
    <cellStyle name="Обычный 6 3 3 3 2 2 5" xfId="17658"/>
    <cellStyle name="Обычный 6 3 3 3 2 2 6" xfId="17659"/>
    <cellStyle name="Обычный 6 3 3 3 2 3" xfId="17660"/>
    <cellStyle name="Обычный 6 3 3 3 2 3 2" xfId="17661"/>
    <cellStyle name="Обычный 6 3 3 3 2 3 3" xfId="17662"/>
    <cellStyle name="Обычный 6 3 3 3 2 4" xfId="17663"/>
    <cellStyle name="Обычный 6 3 3 3 2 4 2" xfId="17664"/>
    <cellStyle name="Обычный 6 3 3 3 2 4 3" xfId="17665"/>
    <cellStyle name="Обычный 6 3 3 3 2 5" xfId="17666"/>
    <cellStyle name="Обычный 6 3 3 3 2 5 2" xfId="17667"/>
    <cellStyle name="Обычный 6 3 3 3 2 6" xfId="17668"/>
    <cellStyle name="Обычный 6 3 3 3 2 7" xfId="17669"/>
    <cellStyle name="Обычный 6 3 3 3 3" xfId="17670"/>
    <cellStyle name="Обычный 6 3 3 3 3 2" xfId="17671"/>
    <cellStyle name="Обычный 6 3 3 3 3 2 2" xfId="17672"/>
    <cellStyle name="Обычный 6 3 3 3 3 2 3" xfId="17673"/>
    <cellStyle name="Обычный 6 3 3 3 3 3" xfId="17674"/>
    <cellStyle name="Обычный 6 3 3 3 3 3 2" xfId="17675"/>
    <cellStyle name="Обычный 6 3 3 3 3 3 3" xfId="17676"/>
    <cellStyle name="Обычный 6 3 3 3 3 4" xfId="17677"/>
    <cellStyle name="Обычный 6 3 3 3 3 4 2" xfId="17678"/>
    <cellStyle name="Обычный 6 3 3 3 3 5" xfId="17679"/>
    <cellStyle name="Обычный 6 3 3 3 3 6" xfId="17680"/>
    <cellStyle name="Обычный 6 3 3 3 4" xfId="17681"/>
    <cellStyle name="Обычный 6 3 3 3 4 2" xfId="17682"/>
    <cellStyle name="Обычный 6 3 3 3 4 3" xfId="17683"/>
    <cellStyle name="Обычный 6 3 3 3 5" xfId="17684"/>
    <cellStyle name="Обычный 6 3 3 3 5 2" xfId="17685"/>
    <cellStyle name="Обычный 6 3 3 3 5 3" xfId="17686"/>
    <cellStyle name="Обычный 6 3 3 3 6" xfId="17687"/>
    <cellStyle name="Обычный 6 3 3 3 6 2" xfId="17688"/>
    <cellStyle name="Обычный 6 3 3 3 7" xfId="17689"/>
    <cellStyle name="Обычный 6 3 3 3 8" xfId="17690"/>
    <cellStyle name="Обычный 6 3 3 4" xfId="17691"/>
    <cellStyle name="Обычный 6 3 3 4 2" xfId="17692"/>
    <cellStyle name="Обычный 6 3 3 4 2 2" xfId="17693"/>
    <cellStyle name="Обычный 6 3 3 4 2 2 2" xfId="17694"/>
    <cellStyle name="Обычный 6 3 3 4 2 2 3" xfId="17695"/>
    <cellStyle name="Обычный 6 3 3 4 2 3" xfId="17696"/>
    <cellStyle name="Обычный 6 3 3 4 2 3 2" xfId="17697"/>
    <cellStyle name="Обычный 6 3 3 4 2 3 3" xfId="17698"/>
    <cellStyle name="Обычный 6 3 3 4 2 4" xfId="17699"/>
    <cellStyle name="Обычный 6 3 3 4 2 4 2" xfId="17700"/>
    <cellStyle name="Обычный 6 3 3 4 2 5" xfId="17701"/>
    <cellStyle name="Обычный 6 3 3 4 2 6" xfId="17702"/>
    <cellStyle name="Обычный 6 3 3 4 3" xfId="17703"/>
    <cellStyle name="Обычный 6 3 3 4 3 2" xfId="17704"/>
    <cellStyle name="Обычный 6 3 3 4 3 3" xfId="17705"/>
    <cellStyle name="Обычный 6 3 3 4 4" xfId="17706"/>
    <cellStyle name="Обычный 6 3 3 4 4 2" xfId="17707"/>
    <cellStyle name="Обычный 6 3 3 4 4 3" xfId="17708"/>
    <cellStyle name="Обычный 6 3 3 4 5" xfId="17709"/>
    <cellStyle name="Обычный 6 3 3 4 5 2" xfId="17710"/>
    <cellStyle name="Обычный 6 3 3 4 6" xfId="17711"/>
    <cellStyle name="Обычный 6 3 3 4 7" xfId="17712"/>
    <cellStyle name="Обычный 6 3 3 5" xfId="17713"/>
    <cellStyle name="Обычный 6 3 3 5 2" xfId="17714"/>
    <cellStyle name="Обычный 6 3 3 5 2 2" xfId="17715"/>
    <cellStyle name="Обычный 6 3 3 5 2 3" xfId="17716"/>
    <cellStyle name="Обычный 6 3 3 5 3" xfId="17717"/>
    <cellStyle name="Обычный 6 3 3 5 3 2" xfId="17718"/>
    <cellStyle name="Обычный 6 3 3 5 3 3" xfId="17719"/>
    <cellStyle name="Обычный 6 3 3 5 4" xfId="17720"/>
    <cellStyle name="Обычный 6 3 3 5 4 2" xfId="17721"/>
    <cellStyle name="Обычный 6 3 3 5 5" xfId="17722"/>
    <cellStyle name="Обычный 6 3 3 5 6" xfId="17723"/>
    <cellStyle name="Обычный 6 3 3 6" xfId="17724"/>
    <cellStyle name="Обычный 6 3 3 6 2" xfId="17725"/>
    <cellStyle name="Обычный 6 3 3 6 3" xfId="17726"/>
    <cellStyle name="Обычный 6 3 3 7" xfId="17727"/>
    <cellStyle name="Обычный 6 3 3 7 2" xfId="17728"/>
    <cellStyle name="Обычный 6 3 3 7 3" xfId="17729"/>
    <cellStyle name="Обычный 6 3 3 8" xfId="17730"/>
    <cellStyle name="Обычный 6 3 3 8 2" xfId="17731"/>
    <cellStyle name="Обычный 6 3 3 9" xfId="17732"/>
    <cellStyle name="Обычный 6 3 4" xfId="17733"/>
    <cellStyle name="Обычный 6 3 4 10" xfId="17734"/>
    <cellStyle name="Обычный 6 3 4 2" xfId="17735"/>
    <cellStyle name="Обычный 6 3 4 2 2" xfId="17736"/>
    <cellStyle name="Обычный 6 3 4 2 2 2" xfId="17737"/>
    <cellStyle name="Обычный 6 3 4 2 2 2 2" xfId="17738"/>
    <cellStyle name="Обычный 6 3 4 2 2 2 2 2" xfId="17739"/>
    <cellStyle name="Обычный 6 3 4 2 2 2 2 2 2" xfId="17740"/>
    <cellStyle name="Обычный 6 3 4 2 2 2 2 2 3" xfId="17741"/>
    <cellStyle name="Обычный 6 3 4 2 2 2 2 3" xfId="17742"/>
    <cellStyle name="Обычный 6 3 4 2 2 2 2 3 2" xfId="17743"/>
    <cellStyle name="Обычный 6 3 4 2 2 2 2 3 3" xfId="17744"/>
    <cellStyle name="Обычный 6 3 4 2 2 2 2 4" xfId="17745"/>
    <cellStyle name="Обычный 6 3 4 2 2 2 2 4 2" xfId="17746"/>
    <cellStyle name="Обычный 6 3 4 2 2 2 2 5" xfId="17747"/>
    <cellStyle name="Обычный 6 3 4 2 2 2 2 6" xfId="17748"/>
    <cellStyle name="Обычный 6 3 4 2 2 2 3" xfId="17749"/>
    <cellStyle name="Обычный 6 3 4 2 2 2 3 2" xfId="17750"/>
    <cellStyle name="Обычный 6 3 4 2 2 2 3 3" xfId="17751"/>
    <cellStyle name="Обычный 6 3 4 2 2 2 4" xfId="17752"/>
    <cellStyle name="Обычный 6 3 4 2 2 2 4 2" xfId="17753"/>
    <cellStyle name="Обычный 6 3 4 2 2 2 4 3" xfId="17754"/>
    <cellStyle name="Обычный 6 3 4 2 2 2 5" xfId="17755"/>
    <cellStyle name="Обычный 6 3 4 2 2 2 5 2" xfId="17756"/>
    <cellStyle name="Обычный 6 3 4 2 2 2 6" xfId="17757"/>
    <cellStyle name="Обычный 6 3 4 2 2 2 7" xfId="17758"/>
    <cellStyle name="Обычный 6 3 4 2 2 3" xfId="17759"/>
    <cellStyle name="Обычный 6 3 4 2 2 3 2" xfId="17760"/>
    <cellStyle name="Обычный 6 3 4 2 2 3 2 2" xfId="17761"/>
    <cellStyle name="Обычный 6 3 4 2 2 3 2 3" xfId="17762"/>
    <cellStyle name="Обычный 6 3 4 2 2 3 3" xfId="17763"/>
    <cellStyle name="Обычный 6 3 4 2 2 3 3 2" xfId="17764"/>
    <cellStyle name="Обычный 6 3 4 2 2 3 3 3" xfId="17765"/>
    <cellStyle name="Обычный 6 3 4 2 2 3 4" xfId="17766"/>
    <cellStyle name="Обычный 6 3 4 2 2 3 4 2" xfId="17767"/>
    <cellStyle name="Обычный 6 3 4 2 2 3 5" xfId="17768"/>
    <cellStyle name="Обычный 6 3 4 2 2 3 6" xfId="17769"/>
    <cellStyle name="Обычный 6 3 4 2 2 4" xfId="17770"/>
    <cellStyle name="Обычный 6 3 4 2 2 4 2" xfId="17771"/>
    <cellStyle name="Обычный 6 3 4 2 2 4 3" xfId="17772"/>
    <cellStyle name="Обычный 6 3 4 2 2 5" xfId="17773"/>
    <cellStyle name="Обычный 6 3 4 2 2 5 2" xfId="17774"/>
    <cellStyle name="Обычный 6 3 4 2 2 5 3" xfId="17775"/>
    <cellStyle name="Обычный 6 3 4 2 2 6" xfId="17776"/>
    <cellStyle name="Обычный 6 3 4 2 2 6 2" xfId="17777"/>
    <cellStyle name="Обычный 6 3 4 2 2 7" xfId="17778"/>
    <cellStyle name="Обычный 6 3 4 2 2 8" xfId="17779"/>
    <cellStyle name="Обычный 6 3 4 2 3" xfId="17780"/>
    <cellStyle name="Обычный 6 3 4 2 3 2" xfId="17781"/>
    <cellStyle name="Обычный 6 3 4 2 3 2 2" xfId="17782"/>
    <cellStyle name="Обычный 6 3 4 2 3 2 2 2" xfId="17783"/>
    <cellStyle name="Обычный 6 3 4 2 3 2 2 3" xfId="17784"/>
    <cellStyle name="Обычный 6 3 4 2 3 2 3" xfId="17785"/>
    <cellStyle name="Обычный 6 3 4 2 3 2 3 2" xfId="17786"/>
    <cellStyle name="Обычный 6 3 4 2 3 2 3 3" xfId="17787"/>
    <cellStyle name="Обычный 6 3 4 2 3 2 4" xfId="17788"/>
    <cellStyle name="Обычный 6 3 4 2 3 2 4 2" xfId="17789"/>
    <cellStyle name="Обычный 6 3 4 2 3 2 5" xfId="17790"/>
    <cellStyle name="Обычный 6 3 4 2 3 2 6" xfId="17791"/>
    <cellStyle name="Обычный 6 3 4 2 3 3" xfId="17792"/>
    <cellStyle name="Обычный 6 3 4 2 3 3 2" xfId="17793"/>
    <cellStyle name="Обычный 6 3 4 2 3 3 3" xfId="17794"/>
    <cellStyle name="Обычный 6 3 4 2 3 4" xfId="17795"/>
    <cellStyle name="Обычный 6 3 4 2 3 4 2" xfId="17796"/>
    <cellStyle name="Обычный 6 3 4 2 3 4 3" xfId="17797"/>
    <cellStyle name="Обычный 6 3 4 2 3 5" xfId="17798"/>
    <cellStyle name="Обычный 6 3 4 2 3 5 2" xfId="17799"/>
    <cellStyle name="Обычный 6 3 4 2 3 6" xfId="17800"/>
    <cellStyle name="Обычный 6 3 4 2 3 7" xfId="17801"/>
    <cellStyle name="Обычный 6 3 4 2 4" xfId="17802"/>
    <cellStyle name="Обычный 6 3 4 2 4 2" xfId="17803"/>
    <cellStyle name="Обычный 6 3 4 2 4 2 2" xfId="17804"/>
    <cellStyle name="Обычный 6 3 4 2 4 2 3" xfId="17805"/>
    <cellStyle name="Обычный 6 3 4 2 4 3" xfId="17806"/>
    <cellStyle name="Обычный 6 3 4 2 4 3 2" xfId="17807"/>
    <cellStyle name="Обычный 6 3 4 2 4 3 3" xfId="17808"/>
    <cellStyle name="Обычный 6 3 4 2 4 4" xfId="17809"/>
    <cellStyle name="Обычный 6 3 4 2 4 4 2" xfId="17810"/>
    <cellStyle name="Обычный 6 3 4 2 4 5" xfId="17811"/>
    <cellStyle name="Обычный 6 3 4 2 4 6" xfId="17812"/>
    <cellStyle name="Обычный 6 3 4 2 5" xfId="17813"/>
    <cellStyle name="Обычный 6 3 4 2 5 2" xfId="17814"/>
    <cellStyle name="Обычный 6 3 4 2 5 3" xfId="17815"/>
    <cellStyle name="Обычный 6 3 4 2 6" xfId="17816"/>
    <cellStyle name="Обычный 6 3 4 2 6 2" xfId="17817"/>
    <cellStyle name="Обычный 6 3 4 2 6 3" xfId="17818"/>
    <cellStyle name="Обычный 6 3 4 2 7" xfId="17819"/>
    <cellStyle name="Обычный 6 3 4 2 7 2" xfId="17820"/>
    <cellStyle name="Обычный 6 3 4 2 8" xfId="17821"/>
    <cellStyle name="Обычный 6 3 4 2 9" xfId="17822"/>
    <cellStyle name="Обычный 6 3 4 3" xfId="17823"/>
    <cellStyle name="Обычный 6 3 4 3 2" xfId="17824"/>
    <cellStyle name="Обычный 6 3 4 3 2 2" xfId="17825"/>
    <cellStyle name="Обычный 6 3 4 3 2 2 2" xfId="17826"/>
    <cellStyle name="Обычный 6 3 4 3 2 2 2 2" xfId="17827"/>
    <cellStyle name="Обычный 6 3 4 3 2 2 2 3" xfId="17828"/>
    <cellStyle name="Обычный 6 3 4 3 2 2 3" xfId="17829"/>
    <cellStyle name="Обычный 6 3 4 3 2 2 3 2" xfId="17830"/>
    <cellStyle name="Обычный 6 3 4 3 2 2 3 3" xfId="17831"/>
    <cellStyle name="Обычный 6 3 4 3 2 2 4" xfId="17832"/>
    <cellStyle name="Обычный 6 3 4 3 2 2 4 2" xfId="17833"/>
    <cellStyle name="Обычный 6 3 4 3 2 2 5" xfId="17834"/>
    <cellStyle name="Обычный 6 3 4 3 2 2 6" xfId="17835"/>
    <cellStyle name="Обычный 6 3 4 3 2 3" xfId="17836"/>
    <cellStyle name="Обычный 6 3 4 3 2 3 2" xfId="17837"/>
    <cellStyle name="Обычный 6 3 4 3 2 3 3" xfId="17838"/>
    <cellStyle name="Обычный 6 3 4 3 2 4" xfId="17839"/>
    <cellStyle name="Обычный 6 3 4 3 2 4 2" xfId="17840"/>
    <cellStyle name="Обычный 6 3 4 3 2 4 3" xfId="17841"/>
    <cellStyle name="Обычный 6 3 4 3 2 5" xfId="17842"/>
    <cellStyle name="Обычный 6 3 4 3 2 5 2" xfId="17843"/>
    <cellStyle name="Обычный 6 3 4 3 2 6" xfId="17844"/>
    <cellStyle name="Обычный 6 3 4 3 2 7" xfId="17845"/>
    <cellStyle name="Обычный 6 3 4 3 3" xfId="17846"/>
    <cellStyle name="Обычный 6 3 4 3 3 2" xfId="17847"/>
    <cellStyle name="Обычный 6 3 4 3 3 2 2" xfId="17848"/>
    <cellStyle name="Обычный 6 3 4 3 3 2 3" xfId="17849"/>
    <cellStyle name="Обычный 6 3 4 3 3 3" xfId="17850"/>
    <cellStyle name="Обычный 6 3 4 3 3 3 2" xfId="17851"/>
    <cellStyle name="Обычный 6 3 4 3 3 3 3" xfId="17852"/>
    <cellStyle name="Обычный 6 3 4 3 3 4" xfId="17853"/>
    <cellStyle name="Обычный 6 3 4 3 3 4 2" xfId="17854"/>
    <cellStyle name="Обычный 6 3 4 3 3 5" xfId="17855"/>
    <cellStyle name="Обычный 6 3 4 3 3 6" xfId="17856"/>
    <cellStyle name="Обычный 6 3 4 3 4" xfId="17857"/>
    <cellStyle name="Обычный 6 3 4 3 4 2" xfId="17858"/>
    <cellStyle name="Обычный 6 3 4 3 4 3" xfId="17859"/>
    <cellStyle name="Обычный 6 3 4 3 5" xfId="17860"/>
    <cellStyle name="Обычный 6 3 4 3 5 2" xfId="17861"/>
    <cellStyle name="Обычный 6 3 4 3 5 3" xfId="17862"/>
    <cellStyle name="Обычный 6 3 4 3 6" xfId="17863"/>
    <cellStyle name="Обычный 6 3 4 3 6 2" xfId="17864"/>
    <cellStyle name="Обычный 6 3 4 3 7" xfId="17865"/>
    <cellStyle name="Обычный 6 3 4 3 8" xfId="17866"/>
    <cellStyle name="Обычный 6 3 4 4" xfId="17867"/>
    <cellStyle name="Обычный 6 3 4 4 2" xfId="17868"/>
    <cellStyle name="Обычный 6 3 4 4 2 2" xfId="17869"/>
    <cellStyle name="Обычный 6 3 4 4 2 2 2" xfId="17870"/>
    <cellStyle name="Обычный 6 3 4 4 2 2 3" xfId="17871"/>
    <cellStyle name="Обычный 6 3 4 4 2 3" xfId="17872"/>
    <cellStyle name="Обычный 6 3 4 4 2 3 2" xfId="17873"/>
    <cellStyle name="Обычный 6 3 4 4 2 3 3" xfId="17874"/>
    <cellStyle name="Обычный 6 3 4 4 2 4" xfId="17875"/>
    <cellStyle name="Обычный 6 3 4 4 2 4 2" xfId="17876"/>
    <cellStyle name="Обычный 6 3 4 4 2 5" xfId="17877"/>
    <cellStyle name="Обычный 6 3 4 4 2 6" xfId="17878"/>
    <cellStyle name="Обычный 6 3 4 4 3" xfId="17879"/>
    <cellStyle name="Обычный 6 3 4 4 3 2" xfId="17880"/>
    <cellStyle name="Обычный 6 3 4 4 3 3" xfId="17881"/>
    <cellStyle name="Обычный 6 3 4 4 4" xfId="17882"/>
    <cellStyle name="Обычный 6 3 4 4 4 2" xfId="17883"/>
    <cellStyle name="Обычный 6 3 4 4 4 3" xfId="17884"/>
    <cellStyle name="Обычный 6 3 4 4 5" xfId="17885"/>
    <cellStyle name="Обычный 6 3 4 4 5 2" xfId="17886"/>
    <cellStyle name="Обычный 6 3 4 4 6" xfId="17887"/>
    <cellStyle name="Обычный 6 3 4 4 7" xfId="17888"/>
    <cellStyle name="Обычный 6 3 4 5" xfId="17889"/>
    <cellStyle name="Обычный 6 3 4 5 2" xfId="17890"/>
    <cellStyle name="Обычный 6 3 4 5 2 2" xfId="17891"/>
    <cellStyle name="Обычный 6 3 4 5 2 3" xfId="17892"/>
    <cellStyle name="Обычный 6 3 4 5 3" xfId="17893"/>
    <cellStyle name="Обычный 6 3 4 5 3 2" xfId="17894"/>
    <cellStyle name="Обычный 6 3 4 5 3 3" xfId="17895"/>
    <cellStyle name="Обычный 6 3 4 5 4" xfId="17896"/>
    <cellStyle name="Обычный 6 3 4 5 4 2" xfId="17897"/>
    <cellStyle name="Обычный 6 3 4 5 5" xfId="17898"/>
    <cellStyle name="Обычный 6 3 4 5 6" xfId="17899"/>
    <cellStyle name="Обычный 6 3 4 6" xfId="17900"/>
    <cellStyle name="Обычный 6 3 4 6 2" xfId="17901"/>
    <cellStyle name="Обычный 6 3 4 6 3" xfId="17902"/>
    <cellStyle name="Обычный 6 3 4 7" xfId="17903"/>
    <cellStyle name="Обычный 6 3 4 7 2" xfId="17904"/>
    <cellStyle name="Обычный 6 3 4 7 3" xfId="17905"/>
    <cellStyle name="Обычный 6 3 4 8" xfId="17906"/>
    <cellStyle name="Обычный 6 3 4 8 2" xfId="17907"/>
    <cellStyle name="Обычный 6 3 4 9" xfId="17908"/>
    <cellStyle name="Обычный 6 3 5" xfId="17909"/>
    <cellStyle name="Обычный 6 3 5 10" xfId="17910"/>
    <cellStyle name="Обычный 6 3 5 2" xfId="17911"/>
    <cellStyle name="Обычный 6 3 5 2 2" xfId="17912"/>
    <cellStyle name="Обычный 6 3 5 2 2 2" xfId="17913"/>
    <cellStyle name="Обычный 6 3 5 2 2 2 2" xfId="17914"/>
    <cellStyle name="Обычный 6 3 5 2 2 2 2 2" xfId="17915"/>
    <cellStyle name="Обычный 6 3 5 2 2 2 2 2 2" xfId="17916"/>
    <cellStyle name="Обычный 6 3 5 2 2 2 2 2 3" xfId="17917"/>
    <cellStyle name="Обычный 6 3 5 2 2 2 2 3" xfId="17918"/>
    <cellStyle name="Обычный 6 3 5 2 2 2 2 3 2" xfId="17919"/>
    <cellStyle name="Обычный 6 3 5 2 2 2 2 3 3" xfId="17920"/>
    <cellStyle name="Обычный 6 3 5 2 2 2 2 4" xfId="17921"/>
    <cellStyle name="Обычный 6 3 5 2 2 2 2 4 2" xfId="17922"/>
    <cellStyle name="Обычный 6 3 5 2 2 2 2 5" xfId="17923"/>
    <cellStyle name="Обычный 6 3 5 2 2 2 2 6" xfId="17924"/>
    <cellStyle name="Обычный 6 3 5 2 2 2 3" xfId="17925"/>
    <cellStyle name="Обычный 6 3 5 2 2 2 3 2" xfId="17926"/>
    <cellStyle name="Обычный 6 3 5 2 2 2 3 3" xfId="17927"/>
    <cellStyle name="Обычный 6 3 5 2 2 2 4" xfId="17928"/>
    <cellStyle name="Обычный 6 3 5 2 2 2 4 2" xfId="17929"/>
    <cellStyle name="Обычный 6 3 5 2 2 2 4 3" xfId="17930"/>
    <cellStyle name="Обычный 6 3 5 2 2 2 5" xfId="17931"/>
    <cellStyle name="Обычный 6 3 5 2 2 2 5 2" xfId="17932"/>
    <cellStyle name="Обычный 6 3 5 2 2 2 6" xfId="17933"/>
    <cellStyle name="Обычный 6 3 5 2 2 2 7" xfId="17934"/>
    <cellStyle name="Обычный 6 3 5 2 2 3" xfId="17935"/>
    <cellStyle name="Обычный 6 3 5 2 2 3 2" xfId="17936"/>
    <cellStyle name="Обычный 6 3 5 2 2 3 2 2" xfId="17937"/>
    <cellStyle name="Обычный 6 3 5 2 2 3 2 3" xfId="17938"/>
    <cellStyle name="Обычный 6 3 5 2 2 3 3" xfId="17939"/>
    <cellStyle name="Обычный 6 3 5 2 2 3 3 2" xfId="17940"/>
    <cellStyle name="Обычный 6 3 5 2 2 3 3 3" xfId="17941"/>
    <cellStyle name="Обычный 6 3 5 2 2 3 4" xfId="17942"/>
    <cellStyle name="Обычный 6 3 5 2 2 3 4 2" xfId="17943"/>
    <cellStyle name="Обычный 6 3 5 2 2 3 5" xfId="17944"/>
    <cellStyle name="Обычный 6 3 5 2 2 3 6" xfId="17945"/>
    <cellStyle name="Обычный 6 3 5 2 2 4" xfId="17946"/>
    <cellStyle name="Обычный 6 3 5 2 2 4 2" xfId="17947"/>
    <cellStyle name="Обычный 6 3 5 2 2 4 3" xfId="17948"/>
    <cellStyle name="Обычный 6 3 5 2 2 5" xfId="17949"/>
    <cellStyle name="Обычный 6 3 5 2 2 5 2" xfId="17950"/>
    <cellStyle name="Обычный 6 3 5 2 2 5 3" xfId="17951"/>
    <cellStyle name="Обычный 6 3 5 2 2 6" xfId="17952"/>
    <cellStyle name="Обычный 6 3 5 2 2 6 2" xfId="17953"/>
    <cellStyle name="Обычный 6 3 5 2 2 7" xfId="17954"/>
    <cellStyle name="Обычный 6 3 5 2 2 8" xfId="17955"/>
    <cellStyle name="Обычный 6 3 5 2 3" xfId="17956"/>
    <cellStyle name="Обычный 6 3 5 2 3 2" xfId="17957"/>
    <cellStyle name="Обычный 6 3 5 2 3 2 2" xfId="17958"/>
    <cellStyle name="Обычный 6 3 5 2 3 2 2 2" xfId="17959"/>
    <cellStyle name="Обычный 6 3 5 2 3 2 2 3" xfId="17960"/>
    <cellStyle name="Обычный 6 3 5 2 3 2 3" xfId="17961"/>
    <cellStyle name="Обычный 6 3 5 2 3 2 3 2" xfId="17962"/>
    <cellStyle name="Обычный 6 3 5 2 3 2 3 3" xfId="17963"/>
    <cellStyle name="Обычный 6 3 5 2 3 2 4" xfId="17964"/>
    <cellStyle name="Обычный 6 3 5 2 3 2 4 2" xfId="17965"/>
    <cellStyle name="Обычный 6 3 5 2 3 2 5" xfId="17966"/>
    <cellStyle name="Обычный 6 3 5 2 3 2 6" xfId="17967"/>
    <cellStyle name="Обычный 6 3 5 2 3 3" xfId="17968"/>
    <cellStyle name="Обычный 6 3 5 2 3 3 2" xfId="17969"/>
    <cellStyle name="Обычный 6 3 5 2 3 3 3" xfId="17970"/>
    <cellStyle name="Обычный 6 3 5 2 3 4" xfId="17971"/>
    <cellStyle name="Обычный 6 3 5 2 3 4 2" xfId="17972"/>
    <cellStyle name="Обычный 6 3 5 2 3 4 3" xfId="17973"/>
    <cellStyle name="Обычный 6 3 5 2 3 5" xfId="17974"/>
    <cellStyle name="Обычный 6 3 5 2 3 5 2" xfId="17975"/>
    <cellStyle name="Обычный 6 3 5 2 3 6" xfId="17976"/>
    <cellStyle name="Обычный 6 3 5 2 3 7" xfId="17977"/>
    <cellStyle name="Обычный 6 3 5 2 4" xfId="17978"/>
    <cellStyle name="Обычный 6 3 5 2 4 2" xfId="17979"/>
    <cellStyle name="Обычный 6 3 5 2 4 2 2" xfId="17980"/>
    <cellStyle name="Обычный 6 3 5 2 4 2 3" xfId="17981"/>
    <cellStyle name="Обычный 6 3 5 2 4 3" xfId="17982"/>
    <cellStyle name="Обычный 6 3 5 2 4 3 2" xfId="17983"/>
    <cellStyle name="Обычный 6 3 5 2 4 3 3" xfId="17984"/>
    <cellStyle name="Обычный 6 3 5 2 4 4" xfId="17985"/>
    <cellStyle name="Обычный 6 3 5 2 4 4 2" xfId="17986"/>
    <cellStyle name="Обычный 6 3 5 2 4 5" xfId="17987"/>
    <cellStyle name="Обычный 6 3 5 2 4 6" xfId="17988"/>
    <cellStyle name="Обычный 6 3 5 2 5" xfId="17989"/>
    <cellStyle name="Обычный 6 3 5 2 5 2" xfId="17990"/>
    <cellStyle name="Обычный 6 3 5 2 5 3" xfId="17991"/>
    <cellStyle name="Обычный 6 3 5 2 6" xfId="17992"/>
    <cellStyle name="Обычный 6 3 5 2 6 2" xfId="17993"/>
    <cellStyle name="Обычный 6 3 5 2 6 3" xfId="17994"/>
    <cellStyle name="Обычный 6 3 5 2 7" xfId="17995"/>
    <cellStyle name="Обычный 6 3 5 2 7 2" xfId="17996"/>
    <cellStyle name="Обычный 6 3 5 2 8" xfId="17997"/>
    <cellStyle name="Обычный 6 3 5 2 9" xfId="17998"/>
    <cellStyle name="Обычный 6 3 5 3" xfId="17999"/>
    <cellStyle name="Обычный 6 3 5 3 2" xfId="18000"/>
    <cellStyle name="Обычный 6 3 5 3 2 2" xfId="18001"/>
    <cellStyle name="Обычный 6 3 5 3 2 2 2" xfId="18002"/>
    <cellStyle name="Обычный 6 3 5 3 2 2 2 2" xfId="18003"/>
    <cellStyle name="Обычный 6 3 5 3 2 2 2 3" xfId="18004"/>
    <cellStyle name="Обычный 6 3 5 3 2 2 3" xfId="18005"/>
    <cellStyle name="Обычный 6 3 5 3 2 2 3 2" xfId="18006"/>
    <cellStyle name="Обычный 6 3 5 3 2 2 3 3" xfId="18007"/>
    <cellStyle name="Обычный 6 3 5 3 2 2 4" xfId="18008"/>
    <cellStyle name="Обычный 6 3 5 3 2 2 4 2" xfId="18009"/>
    <cellStyle name="Обычный 6 3 5 3 2 2 5" xfId="18010"/>
    <cellStyle name="Обычный 6 3 5 3 2 2 6" xfId="18011"/>
    <cellStyle name="Обычный 6 3 5 3 2 3" xfId="18012"/>
    <cellStyle name="Обычный 6 3 5 3 2 3 2" xfId="18013"/>
    <cellStyle name="Обычный 6 3 5 3 2 3 3" xfId="18014"/>
    <cellStyle name="Обычный 6 3 5 3 2 4" xfId="18015"/>
    <cellStyle name="Обычный 6 3 5 3 2 4 2" xfId="18016"/>
    <cellStyle name="Обычный 6 3 5 3 2 4 3" xfId="18017"/>
    <cellStyle name="Обычный 6 3 5 3 2 5" xfId="18018"/>
    <cellStyle name="Обычный 6 3 5 3 2 5 2" xfId="18019"/>
    <cellStyle name="Обычный 6 3 5 3 2 6" xfId="18020"/>
    <cellStyle name="Обычный 6 3 5 3 2 7" xfId="18021"/>
    <cellStyle name="Обычный 6 3 5 3 3" xfId="18022"/>
    <cellStyle name="Обычный 6 3 5 3 3 2" xfId="18023"/>
    <cellStyle name="Обычный 6 3 5 3 3 2 2" xfId="18024"/>
    <cellStyle name="Обычный 6 3 5 3 3 2 3" xfId="18025"/>
    <cellStyle name="Обычный 6 3 5 3 3 3" xfId="18026"/>
    <cellStyle name="Обычный 6 3 5 3 3 3 2" xfId="18027"/>
    <cellStyle name="Обычный 6 3 5 3 3 3 3" xfId="18028"/>
    <cellStyle name="Обычный 6 3 5 3 3 4" xfId="18029"/>
    <cellStyle name="Обычный 6 3 5 3 3 4 2" xfId="18030"/>
    <cellStyle name="Обычный 6 3 5 3 3 5" xfId="18031"/>
    <cellStyle name="Обычный 6 3 5 3 3 6" xfId="18032"/>
    <cellStyle name="Обычный 6 3 5 3 4" xfId="18033"/>
    <cellStyle name="Обычный 6 3 5 3 4 2" xfId="18034"/>
    <cellStyle name="Обычный 6 3 5 3 4 3" xfId="18035"/>
    <cellStyle name="Обычный 6 3 5 3 5" xfId="18036"/>
    <cellStyle name="Обычный 6 3 5 3 5 2" xfId="18037"/>
    <cellStyle name="Обычный 6 3 5 3 5 3" xfId="18038"/>
    <cellStyle name="Обычный 6 3 5 3 6" xfId="18039"/>
    <cellStyle name="Обычный 6 3 5 3 6 2" xfId="18040"/>
    <cellStyle name="Обычный 6 3 5 3 7" xfId="18041"/>
    <cellStyle name="Обычный 6 3 5 3 8" xfId="18042"/>
    <cellStyle name="Обычный 6 3 5 4" xfId="18043"/>
    <cellStyle name="Обычный 6 3 5 4 2" xfId="18044"/>
    <cellStyle name="Обычный 6 3 5 4 2 2" xfId="18045"/>
    <cellStyle name="Обычный 6 3 5 4 2 2 2" xfId="18046"/>
    <cellStyle name="Обычный 6 3 5 4 2 2 3" xfId="18047"/>
    <cellStyle name="Обычный 6 3 5 4 2 3" xfId="18048"/>
    <cellStyle name="Обычный 6 3 5 4 2 3 2" xfId="18049"/>
    <cellStyle name="Обычный 6 3 5 4 2 3 3" xfId="18050"/>
    <cellStyle name="Обычный 6 3 5 4 2 4" xfId="18051"/>
    <cellStyle name="Обычный 6 3 5 4 2 4 2" xfId="18052"/>
    <cellStyle name="Обычный 6 3 5 4 2 5" xfId="18053"/>
    <cellStyle name="Обычный 6 3 5 4 2 6" xfId="18054"/>
    <cellStyle name="Обычный 6 3 5 4 3" xfId="18055"/>
    <cellStyle name="Обычный 6 3 5 4 3 2" xfId="18056"/>
    <cellStyle name="Обычный 6 3 5 4 3 3" xfId="18057"/>
    <cellStyle name="Обычный 6 3 5 4 4" xfId="18058"/>
    <cellStyle name="Обычный 6 3 5 4 4 2" xfId="18059"/>
    <cellStyle name="Обычный 6 3 5 4 4 3" xfId="18060"/>
    <cellStyle name="Обычный 6 3 5 4 5" xfId="18061"/>
    <cellStyle name="Обычный 6 3 5 4 5 2" xfId="18062"/>
    <cellStyle name="Обычный 6 3 5 4 6" xfId="18063"/>
    <cellStyle name="Обычный 6 3 5 4 7" xfId="18064"/>
    <cellStyle name="Обычный 6 3 5 5" xfId="18065"/>
    <cellStyle name="Обычный 6 3 5 5 2" xfId="18066"/>
    <cellStyle name="Обычный 6 3 5 5 2 2" xfId="18067"/>
    <cellStyle name="Обычный 6 3 5 5 2 3" xfId="18068"/>
    <cellStyle name="Обычный 6 3 5 5 3" xfId="18069"/>
    <cellStyle name="Обычный 6 3 5 5 3 2" xfId="18070"/>
    <cellStyle name="Обычный 6 3 5 5 3 3" xfId="18071"/>
    <cellStyle name="Обычный 6 3 5 5 4" xfId="18072"/>
    <cellStyle name="Обычный 6 3 5 5 4 2" xfId="18073"/>
    <cellStyle name="Обычный 6 3 5 5 5" xfId="18074"/>
    <cellStyle name="Обычный 6 3 5 5 6" xfId="18075"/>
    <cellStyle name="Обычный 6 3 5 6" xfId="18076"/>
    <cellStyle name="Обычный 6 3 5 6 2" xfId="18077"/>
    <cellStyle name="Обычный 6 3 5 6 3" xfId="18078"/>
    <cellStyle name="Обычный 6 3 5 7" xfId="18079"/>
    <cellStyle name="Обычный 6 3 5 7 2" xfId="18080"/>
    <cellStyle name="Обычный 6 3 5 7 3" xfId="18081"/>
    <cellStyle name="Обычный 6 3 5 8" xfId="18082"/>
    <cellStyle name="Обычный 6 3 5 8 2" xfId="18083"/>
    <cellStyle name="Обычный 6 3 5 9" xfId="18084"/>
    <cellStyle name="Обычный 6 3 6" xfId="18085"/>
    <cellStyle name="Обычный 6 3 6 2" xfId="18086"/>
    <cellStyle name="Обычный 6 3 6 2 2" xfId="18087"/>
    <cellStyle name="Обычный 6 3 6 2 2 2" xfId="18088"/>
    <cellStyle name="Обычный 6 3 6 2 2 2 2" xfId="18089"/>
    <cellStyle name="Обычный 6 3 6 2 2 2 2 2" xfId="18090"/>
    <cellStyle name="Обычный 6 3 6 2 2 2 2 3" xfId="18091"/>
    <cellStyle name="Обычный 6 3 6 2 2 2 3" xfId="18092"/>
    <cellStyle name="Обычный 6 3 6 2 2 2 3 2" xfId="18093"/>
    <cellStyle name="Обычный 6 3 6 2 2 2 3 3" xfId="18094"/>
    <cellStyle name="Обычный 6 3 6 2 2 2 4" xfId="18095"/>
    <cellStyle name="Обычный 6 3 6 2 2 2 4 2" xfId="18096"/>
    <cellStyle name="Обычный 6 3 6 2 2 2 5" xfId="18097"/>
    <cellStyle name="Обычный 6 3 6 2 2 2 6" xfId="18098"/>
    <cellStyle name="Обычный 6 3 6 2 2 3" xfId="18099"/>
    <cellStyle name="Обычный 6 3 6 2 2 3 2" xfId="18100"/>
    <cellStyle name="Обычный 6 3 6 2 2 3 3" xfId="18101"/>
    <cellStyle name="Обычный 6 3 6 2 2 4" xfId="18102"/>
    <cellStyle name="Обычный 6 3 6 2 2 4 2" xfId="18103"/>
    <cellStyle name="Обычный 6 3 6 2 2 4 3" xfId="18104"/>
    <cellStyle name="Обычный 6 3 6 2 2 5" xfId="18105"/>
    <cellStyle name="Обычный 6 3 6 2 2 5 2" xfId="18106"/>
    <cellStyle name="Обычный 6 3 6 2 2 6" xfId="18107"/>
    <cellStyle name="Обычный 6 3 6 2 2 7" xfId="18108"/>
    <cellStyle name="Обычный 6 3 6 2 3" xfId="18109"/>
    <cellStyle name="Обычный 6 3 6 2 3 2" xfId="18110"/>
    <cellStyle name="Обычный 6 3 6 2 3 2 2" xfId="18111"/>
    <cellStyle name="Обычный 6 3 6 2 3 2 3" xfId="18112"/>
    <cellStyle name="Обычный 6 3 6 2 3 3" xfId="18113"/>
    <cellStyle name="Обычный 6 3 6 2 3 3 2" xfId="18114"/>
    <cellStyle name="Обычный 6 3 6 2 3 3 3" xfId="18115"/>
    <cellStyle name="Обычный 6 3 6 2 3 4" xfId="18116"/>
    <cellStyle name="Обычный 6 3 6 2 3 4 2" xfId="18117"/>
    <cellStyle name="Обычный 6 3 6 2 3 5" xfId="18118"/>
    <cellStyle name="Обычный 6 3 6 2 3 6" xfId="18119"/>
    <cellStyle name="Обычный 6 3 6 2 4" xfId="18120"/>
    <cellStyle name="Обычный 6 3 6 2 4 2" xfId="18121"/>
    <cellStyle name="Обычный 6 3 6 2 4 3" xfId="18122"/>
    <cellStyle name="Обычный 6 3 6 2 5" xfId="18123"/>
    <cellStyle name="Обычный 6 3 6 2 5 2" xfId="18124"/>
    <cellStyle name="Обычный 6 3 6 2 5 3" xfId="18125"/>
    <cellStyle name="Обычный 6 3 6 2 6" xfId="18126"/>
    <cellStyle name="Обычный 6 3 6 2 6 2" xfId="18127"/>
    <cellStyle name="Обычный 6 3 6 2 7" xfId="18128"/>
    <cellStyle name="Обычный 6 3 6 2 8" xfId="18129"/>
    <cellStyle name="Обычный 6 3 6 3" xfId="18130"/>
    <cellStyle name="Обычный 6 3 6 3 2" xfId="18131"/>
    <cellStyle name="Обычный 6 3 6 3 2 2" xfId="18132"/>
    <cellStyle name="Обычный 6 3 6 3 2 2 2" xfId="18133"/>
    <cellStyle name="Обычный 6 3 6 3 2 2 3" xfId="18134"/>
    <cellStyle name="Обычный 6 3 6 3 2 3" xfId="18135"/>
    <cellStyle name="Обычный 6 3 6 3 2 3 2" xfId="18136"/>
    <cellStyle name="Обычный 6 3 6 3 2 3 3" xfId="18137"/>
    <cellStyle name="Обычный 6 3 6 3 2 4" xfId="18138"/>
    <cellStyle name="Обычный 6 3 6 3 2 4 2" xfId="18139"/>
    <cellStyle name="Обычный 6 3 6 3 2 5" xfId="18140"/>
    <cellStyle name="Обычный 6 3 6 3 2 6" xfId="18141"/>
    <cellStyle name="Обычный 6 3 6 3 3" xfId="18142"/>
    <cellStyle name="Обычный 6 3 6 3 3 2" xfId="18143"/>
    <cellStyle name="Обычный 6 3 6 3 3 3" xfId="18144"/>
    <cellStyle name="Обычный 6 3 6 3 4" xfId="18145"/>
    <cellStyle name="Обычный 6 3 6 3 4 2" xfId="18146"/>
    <cellStyle name="Обычный 6 3 6 3 4 3" xfId="18147"/>
    <cellStyle name="Обычный 6 3 6 3 5" xfId="18148"/>
    <cellStyle name="Обычный 6 3 6 3 5 2" xfId="18149"/>
    <cellStyle name="Обычный 6 3 6 3 6" xfId="18150"/>
    <cellStyle name="Обычный 6 3 6 3 7" xfId="18151"/>
    <cellStyle name="Обычный 6 3 6 4" xfId="18152"/>
    <cellStyle name="Обычный 6 3 6 4 2" xfId="18153"/>
    <cellStyle name="Обычный 6 3 6 4 2 2" xfId="18154"/>
    <cellStyle name="Обычный 6 3 6 4 2 3" xfId="18155"/>
    <cellStyle name="Обычный 6 3 6 4 3" xfId="18156"/>
    <cellStyle name="Обычный 6 3 6 4 3 2" xfId="18157"/>
    <cellStyle name="Обычный 6 3 6 4 3 3" xfId="18158"/>
    <cellStyle name="Обычный 6 3 6 4 4" xfId="18159"/>
    <cellStyle name="Обычный 6 3 6 4 4 2" xfId="18160"/>
    <cellStyle name="Обычный 6 3 6 4 5" xfId="18161"/>
    <cellStyle name="Обычный 6 3 6 4 6" xfId="18162"/>
    <cellStyle name="Обычный 6 3 6 5" xfId="18163"/>
    <cellStyle name="Обычный 6 3 6 5 2" xfId="18164"/>
    <cellStyle name="Обычный 6 3 6 5 3" xfId="18165"/>
    <cellStyle name="Обычный 6 3 6 6" xfId="18166"/>
    <cellStyle name="Обычный 6 3 6 6 2" xfId="18167"/>
    <cellStyle name="Обычный 6 3 6 6 3" xfId="18168"/>
    <cellStyle name="Обычный 6 3 6 7" xfId="18169"/>
    <cellStyle name="Обычный 6 3 6 7 2" xfId="18170"/>
    <cellStyle name="Обычный 6 3 6 8" xfId="18171"/>
    <cellStyle name="Обычный 6 3 6 9" xfId="18172"/>
    <cellStyle name="Обычный 6 3 7" xfId="18173"/>
    <cellStyle name="Обычный 6 3 7 2" xfId="18174"/>
    <cellStyle name="Обычный 6 3 7 2 2" xfId="18175"/>
    <cellStyle name="Обычный 6 3 7 2 2 2" xfId="18176"/>
    <cellStyle name="Обычный 6 3 7 2 2 2 2" xfId="18177"/>
    <cellStyle name="Обычный 6 3 7 2 2 2 3" xfId="18178"/>
    <cellStyle name="Обычный 6 3 7 2 2 3" xfId="18179"/>
    <cellStyle name="Обычный 6 3 7 2 2 3 2" xfId="18180"/>
    <cellStyle name="Обычный 6 3 7 2 2 3 3" xfId="18181"/>
    <cellStyle name="Обычный 6 3 7 2 2 4" xfId="18182"/>
    <cellStyle name="Обычный 6 3 7 2 2 4 2" xfId="18183"/>
    <cellStyle name="Обычный 6 3 7 2 2 5" xfId="18184"/>
    <cellStyle name="Обычный 6 3 7 2 2 6" xfId="18185"/>
    <cellStyle name="Обычный 6 3 7 2 3" xfId="18186"/>
    <cellStyle name="Обычный 6 3 7 2 3 2" xfId="18187"/>
    <cellStyle name="Обычный 6 3 7 2 3 3" xfId="18188"/>
    <cellStyle name="Обычный 6 3 7 2 4" xfId="18189"/>
    <cellStyle name="Обычный 6 3 7 2 4 2" xfId="18190"/>
    <cellStyle name="Обычный 6 3 7 2 4 3" xfId="18191"/>
    <cellStyle name="Обычный 6 3 7 2 5" xfId="18192"/>
    <cellStyle name="Обычный 6 3 7 2 5 2" xfId="18193"/>
    <cellStyle name="Обычный 6 3 7 2 6" xfId="18194"/>
    <cellStyle name="Обычный 6 3 7 2 7" xfId="18195"/>
    <cellStyle name="Обычный 6 3 7 3" xfId="18196"/>
    <cellStyle name="Обычный 6 3 7 3 2" xfId="18197"/>
    <cellStyle name="Обычный 6 3 7 3 2 2" xfId="18198"/>
    <cellStyle name="Обычный 6 3 7 3 2 3" xfId="18199"/>
    <cellStyle name="Обычный 6 3 7 3 3" xfId="18200"/>
    <cellStyle name="Обычный 6 3 7 3 3 2" xfId="18201"/>
    <cellStyle name="Обычный 6 3 7 3 3 3" xfId="18202"/>
    <cellStyle name="Обычный 6 3 7 3 4" xfId="18203"/>
    <cellStyle name="Обычный 6 3 7 3 4 2" xfId="18204"/>
    <cellStyle name="Обычный 6 3 7 3 5" xfId="18205"/>
    <cellStyle name="Обычный 6 3 7 3 6" xfId="18206"/>
    <cellStyle name="Обычный 6 3 7 4" xfId="18207"/>
    <cellStyle name="Обычный 6 3 7 4 2" xfId="18208"/>
    <cellStyle name="Обычный 6 3 7 4 3" xfId="18209"/>
    <cellStyle name="Обычный 6 3 7 5" xfId="18210"/>
    <cellStyle name="Обычный 6 3 7 5 2" xfId="18211"/>
    <cellStyle name="Обычный 6 3 7 5 3" xfId="18212"/>
    <cellStyle name="Обычный 6 3 7 6" xfId="18213"/>
    <cellStyle name="Обычный 6 3 7 6 2" xfId="18214"/>
    <cellStyle name="Обычный 6 3 7 7" xfId="18215"/>
    <cellStyle name="Обычный 6 3 7 8" xfId="18216"/>
    <cellStyle name="Обычный 6 3 8" xfId="18217"/>
    <cellStyle name="Обычный 6 3 8 2" xfId="18218"/>
    <cellStyle name="Обычный 6 3 8 2 2" xfId="18219"/>
    <cellStyle name="Обычный 6 3 8 2 2 2" xfId="18220"/>
    <cellStyle name="Обычный 6 3 8 2 2 3" xfId="18221"/>
    <cellStyle name="Обычный 6 3 8 2 3" xfId="18222"/>
    <cellStyle name="Обычный 6 3 8 2 3 2" xfId="18223"/>
    <cellStyle name="Обычный 6 3 8 2 3 3" xfId="18224"/>
    <cellStyle name="Обычный 6 3 8 2 4" xfId="18225"/>
    <cellStyle name="Обычный 6 3 8 2 4 2" xfId="18226"/>
    <cellStyle name="Обычный 6 3 8 2 5" xfId="18227"/>
    <cellStyle name="Обычный 6 3 8 2 6" xfId="18228"/>
    <cellStyle name="Обычный 6 3 8 3" xfId="18229"/>
    <cellStyle name="Обычный 6 3 8 3 2" xfId="18230"/>
    <cellStyle name="Обычный 6 3 8 3 3" xfId="18231"/>
    <cellStyle name="Обычный 6 3 8 4" xfId="18232"/>
    <cellStyle name="Обычный 6 3 8 4 2" xfId="18233"/>
    <cellStyle name="Обычный 6 3 8 4 3" xfId="18234"/>
    <cellStyle name="Обычный 6 3 8 5" xfId="18235"/>
    <cellStyle name="Обычный 6 3 8 5 2" xfId="18236"/>
    <cellStyle name="Обычный 6 3 8 6" xfId="18237"/>
    <cellStyle name="Обычный 6 3 8 7" xfId="18238"/>
    <cellStyle name="Обычный 6 3 9" xfId="18239"/>
    <cellStyle name="Обычный 6 3 9 2" xfId="18240"/>
    <cellStyle name="Обычный 6 3 9 2 2" xfId="18241"/>
    <cellStyle name="Обычный 6 3 9 2 3" xfId="18242"/>
    <cellStyle name="Обычный 6 3 9 3" xfId="18243"/>
    <cellStyle name="Обычный 6 3 9 3 2" xfId="18244"/>
    <cellStyle name="Обычный 6 3 9 3 3" xfId="18245"/>
    <cellStyle name="Обычный 6 3 9 4" xfId="18246"/>
    <cellStyle name="Обычный 6 3 9 4 2" xfId="18247"/>
    <cellStyle name="Обычный 6 3 9 5" xfId="18248"/>
    <cellStyle name="Обычный 6 3 9 6" xfId="18249"/>
    <cellStyle name="Обычный 6 4" xfId="18250"/>
    <cellStyle name="Обычный 6 4 10" xfId="18251"/>
    <cellStyle name="Обычный 6 4 10 2" xfId="18252"/>
    <cellStyle name="Обычный 6 4 10 3" xfId="18253"/>
    <cellStyle name="Обычный 6 4 11" xfId="18254"/>
    <cellStyle name="Обычный 6 4 11 2" xfId="18255"/>
    <cellStyle name="Обычный 6 4 11 3" xfId="18256"/>
    <cellStyle name="Обычный 6 4 12" xfId="18257"/>
    <cellStyle name="Обычный 6 4 12 2" xfId="18258"/>
    <cellStyle name="Обычный 6 4 13" xfId="18259"/>
    <cellStyle name="Обычный 6 4 14" xfId="18260"/>
    <cellStyle name="Обычный 6 4 2" xfId="18261"/>
    <cellStyle name="Обычный 6 4 2 10" xfId="18262"/>
    <cellStyle name="Обычный 6 4 2 10 2" xfId="18263"/>
    <cellStyle name="Обычный 6 4 2 10 3" xfId="18264"/>
    <cellStyle name="Обычный 6 4 2 11" xfId="18265"/>
    <cellStyle name="Обычный 6 4 2 11 2" xfId="18266"/>
    <cellStyle name="Обычный 6 4 2 12" xfId="18267"/>
    <cellStyle name="Обычный 6 4 2 13" xfId="18268"/>
    <cellStyle name="Обычный 6 4 2 2" xfId="18269"/>
    <cellStyle name="Обычный 6 4 2 2 10" xfId="18270"/>
    <cellStyle name="Обычный 6 4 2 2 2" xfId="18271"/>
    <cellStyle name="Обычный 6 4 2 2 2 2" xfId="18272"/>
    <cellStyle name="Обычный 6 4 2 2 2 2 2" xfId="18273"/>
    <cellStyle name="Обычный 6 4 2 2 2 2 2 2" xfId="18274"/>
    <cellStyle name="Обычный 6 4 2 2 2 2 2 2 2" xfId="18275"/>
    <cellStyle name="Обычный 6 4 2 2 2 2 2 2 2 2" xfId="18276"/>
    <cellStyle name="Обычный 6 4 2 2 2 2 2 2 2 3" xfId="18277"/>
    <cellStyle name="Обычный 6 4 2 2 2 2 2 2 3" xfId="18278"/>
    <cellStyle name="Обычный 6 4 2 2 2 2 2 2 3 2" xfId="18279"/>
    <cellStyle name="Обычный 6 4 2 2 2 2 2 2 3 3" xfId="18280"/>
    <cellStyle name="Обычный 6 4 2 2 2 2 2 2 4" xfId="18281"/>
    <cellStyle name="Обычный 6 4 2 2 2 2 2 2 4 2" xfId="18282"/>
    <cellStyle name="Обычный 6 4 2 2 2 2 2 2 5" xfId="18283"/>
    <cellStyle name="Обычный 6 4 2 2 2 2 2 2 6" xfId="18284"/>
    <cellStyle name="Обычный 6 4 2 2 2 2 2 3" xfId="18285"/>
    <cellStyle name="Обычный 6 4 2 2 2 2 2 3 2" xfId="18286"/>
    <cellStyle name="Обычный 6 4 2 2 2 2 2 3 3" xfId="18287"/>
    <cellStyle name="Обычный 6 4 2 2 2 2 2 4" xfId="18288"/>
    <cellStyle name="Обычный 6 4 2 2 2 2 2 4 2" xfId="18289"/>
    <cellStyle name="Обычный 6 4 2 2 2 2 2 4 3" xfId="18290"/>
    <cellStyle name="Обычный 6 4 2 2 2 2 2 5" xfId="18291"/>
    <cellStyle name="Обычный 6 4 2 2 2 2 2 5 2" xfId="18292"/>
    <cellStyle name="Обычный 6 4 2 2 2 2 2 6" xfId="18293"/>
    <cellStyle name="Обычный 6 4 2 2 2 2 2 7" xfId="18294"/>
    <cellStyle name="Обычный 6 4 2 2 2 2 3" xfId="18295"/>
    <cellStyle name="Обычный 6 4 2 2 2 2 3 2" xfId="18296"/>
    <cellStyle name="Обычный 6 4 2 2 2 2 3 2 2" xfId="18297"/>
    <cellStyle name="Обычный 6 4 2 2 2 2 3 2 3" xfId="18298"/>
    <cellStyle name="Обычный 6 4 2 2 2 2 3 3" xfId="18299"/>
    <cellStyle name="Обычный 6 4 2 2 2 2 3 3 2" xfId="18300"/>
    <cellStyle name="Обычный 6 4 2 2 2 2 3 3 3" xfId="18301"/>
    <cellStyle name="Обычный 6 4 2 2 2 2 3 4" xfId="18302"/>
    <cellStyle name="Обычный 6 4 2 2 2 2 3 4 2" xfId="18303"/>
    <cellStyle name="Обычный 6 4 2 2 2 2 3 5" xfId="18304"/>
    <cellStyle name="Обычный 6 4 2 2 2 2 3 6" xfId="18305"/>
    <cellStyle name="Обычный 6 4 2 2 2 2 4" xfId="18306"/>
    <cellStyle name="Обычный 6 4 2 2 2 2 4 2" xfId="18307"/>
    <cellStyle name="Обычный 6 4 2 2 2 2 4 3" xfId="18308"/>
    <cellStyle name="Обычный 6 4 2 2 2 2 5" xfId="18309"/>
    <cellStyle name="Обычный 6 4 2 2 2 2 5 2" xfId="18310"/>
    <cellStyle name="Обычный 6 4 2 2 2 2 5 3" xfId="18311"/>
    <cellStyle name="Обычный 6 4 2 2 2 2 6" xfId="18312"/>
    <cellStyle name="Обычный 6 4 2 2 2 2 6 2" xfId="18313"/>
    <cellStyle name="Обычный 6 4 2 2 2 2 7" xfId="18314"/>
    <cellStyle name="Обычный 6 4 2 2 2 2 8" xfId="18315"/>
    <cellStyle name="Обычный 6 4 2 2 2 3" xfId="18316"/>
    <cellStyle name="Обычный 6 4 2 2 2 3 2" xfId="18317"/>
    <cellStyle name="Обычный 6 4 2 2 2 3 2 2" xfId="18318"/>
    <cellStyle name="Обычный 6 4 2 2 2 3 2 2 2" xfId="18319"/>
    <cellStyle name="Обычный 6 4 2 2 2 3 2 2 3" xfId="18320"/>
    <cellStyle name="Обычный 6 4 2 2 2 3 2 3" xfId="18321"/>
    <cellStyle name="Обычный 6 4 2 2 2 3 2 3 2" xfId="18322"/>
    <cellStyle name="Обычный 6 4 2 2 2 3 2 3 3" xfId="18323"/>
    <cellStyle name="Обычный 6 4 2 2 2 3 2 4" xfId="18324"/>
    <cellStyle name="Обычный 6 4 2 2 2 3 2 4 2" xfId="18325"/>
    <cellStyle name="Обычный 6 4 2 2 2 3 2 5" xfId="18326"/>
    <cellStyle name="Обычный 6 4 2 2 2 3 2 6" xfId="18327"/>
    <cellStyle name="Обычный 6 4 2 2 2 3 3" xfId="18328"/>
    <cellStyle name="Обычный 6 4 2 2 2 3 3 2" xfId="18329"/>
    <cellStyle name="Обычный 6 4 2 2 2 3 3 3" xfId="18330"/>
    <cellStyle name="Обычный 6 4 2 2 2 3 4" xfId="18331"/>
    <cellStyle name="Обычный 6 4 2 2 2 3 4 2" xfId="18332"/>
    <cellStyle name="Обычный 6 4 2 2 2 3 4 3" xfId="18333"/>
    <cellStyle name="Обычный 6 4 2 2 2 3 5" xfId="18334"/>
    <cellStyle name="Обычный 6 4 2 2 2 3 5 2" xfId="18335"/>
    <cellStyle name="Обычный 6 4 2 2 2 3 6" xfId="18336"/>
    <cellStyle name="Обычный 6 4 2 2 2 3 7" xfId="18337"/>
    <cellStyle name="Обычный 6 4 2 2 2 4" xfId="18338"/>
    <cellStyle name="Обычный 6 4 2 2 2 4 2" xfId="18339"/>
    <cellStyle name="Обычный 6 4 2 2 2 4 2 2" xfId="18340"/>
    <cellStyle name="Обычный 6 4 2 2 2 4 2 3" xfId="18341"/>
    <cellStyle name="Обычный 6 4 2 2 2 4 3" xfId="18342"/>
    <cellStyle name="Обычный 6 4 2 2 2 4 3 2" xfId="18343"/>
    <cellStyle name="Обычный 6 4 2 2 2 4 3 3" xfId="18344"/>
    <cellStyle name="Обычный 6 4 2 2 2 4 4" xfId="18345"/>
    <cellStyle name="Обычный 6 4 2 2 2 4 4 2" xfId="18346"/>
    <cellStyle name="Обычный 6 4 2 2 2 4 5" xfId="18347"/>
    <cellStyle name="Обычный 6 4 2 2 2 4 6" xfId="18348"/>
    <cellStyle name="Обычный 6 4 2 2 2 5" xfId="18349"/>
    <cellStyle name="Обычный 6 4 2 2 2 5 2" xfId="18350"/>
    <cellStyle name="Обычный 6 4 2 2 2 5 3" xfId="18351"/>
    <cellStyle name="Обычный 6 4 2 2 2 6" xfId="18352"/>
    <cellStyle name="Обычный 6 4 2 2 2 6 2" xfId="18353"/>
    <cellStyle name="Обычный 6 4 2 2 2 6 3" xfId="18354"/>
    <cellStyle name="Обычный 6 4 2 2 2 7" xfId="18355"/>
    <cellStyle name="Обычный 6 4 2 2 2 7 2" xfId="18356"/>
    <cellStyle name="Обычный 6 4 2 2 2 8" xfId="18357"/>
    <cellStyle name="Обычный 6 4 2 2 2 9" xfId="18358"/>
    <cellStyle name="Обычный 6 4 2 2 3" xfId="18359"/>
    <cellStyle name="Обычный 6 4 2 2 3 2" xfId="18360"/>
    <cellStyle name="Обычный 6 4 2 2 3 2 2" xfId="18361"/>
    <cellStyle name="Обычный 6 4 2 2 3 2 2 2" xfId="18362"/>
    <cellStyle name="Обычный 6 4 2 2 3 2 2 2 2" xfId="18363"/>
    <cellStyle name="Обычный 6 4 2 2 3 2 2 2 3" xfId="18364"/>
    <cellStyle name="Обычный 6 4 2 2 3 2 2 3" xfId="18365"/>
    <cellStyle name="Обычный 6 4 2 2 3 2 2 3 2" xfId="18366"/>
    <cellStyle name="Обычный 6 4 2 2 3 2 2 3 3" xfId="18367"/>
    <cellStyle name="Обычный 6 4 2 2 3 2 2 4" xfId="18368"/>
    <cellStyle name="Обычный 6 4 2 2 3 2 2 4 2" xfId="18369"/>
    <cellStyle name="Обычный 6 4 2 2 3 2 2 5" xfId="18370"/>
    <cellStyle name="Обычный 6 4 2 2 3 2 2 6" xfId="18371"/>
    <cellStyle name="Обычный 6 4 2 2 3 2 3" xfId="18372"/>
    <cellStyle name="Обычный 6 4 2 2 3 2 3 2" xfId="18373"/>
    <cellStyle name="Обычный 6 4 2 2 3 2 3 3" xfId="18374"/>
    <cellStyle name="Обычный 6 4 2 2 3 2 4" xfId="18375"/>
    <cellStyle name="Обычный 6 4 2 2 3 2 4 2" xfId="18376"/>
    <cellStyle name="Обычный 6 4 2 2 3 2 4 3" xfId="18377"/>
    <cellStyle name="Обычный 6 4 2 2 3 2 5" xfId="18378"/>
    <cellStyle name="Обычный 6 4 2 2 3 2 5 2" xfId="18379"/>
    <cellStyle name="Обычный 6 4 2 2 3 2 6" xfId="18380"/>
    <cellStyle name="Обычный 6 4 2 2 3 2 7" xfId="18381"/>
    <cellStyle name="Обычный 6 4 2 2 3 3" xfId="18382"/>
    <cellStyle name="Обычный 6 4 2 2 3 3 2" xfId="18383"/>
    <cellStyle name="Обычный 6 4 2 2 3 3 2 2" xfId="18384"/>
    <cellStyle name="Обычный 6 4 2 2 3 3 2 3" xfId="18385"/>
    <cellStyle name="Обычный 6 4 2 2 3 3 3" xfId="18386"/>
    <cellStyle name="Обычный 6 4 2 2 3 3 3 2" xfId="18387"/>
    <cellStyle name="Обычный 6 4 2 2 3 3 3 3" xfId="18388"/>
    <cellStyle name="Обычный 6 4 2 2 3 3 4" xfId="18389"/>
    <cellStyle name="Обычный 6 4 2 2 3 3 4 2" xfId="18390"/>
    <cellStyle name="Обычный 6 4 2 2 3 3 5" xfId="18391"/>
    <cellStyle name="Обычный 6 4 2 2 3 3 6" xfId="18392"/>
    <cellStyle name="Обычный 6 4 2 2 3 4" xfId="18393"/>
    <cellStyle name="Обычный 6 4 2 2 3 4 2" xfId="18394"/>
    <cellStyle name="Обычный 6 4 2 2 3 4 3" xfId="18395"/>
    <cellStyle name="Обычный 6 4 2 2 3 5" xfId="18396"/>
    <cellStyle name="Обычный 6 4 2 2 3 5 2" xfId="18397"/>
    <cellStyle name="Обычный 6 4 2 2 3 5 3" xfId="18398"/>
    <cellStyle name="Обычный 6 4 2 2 3 6" xfId="18399"/>
    <cellStyle name="Обычный 6 4 2 2 3 6 2" xfId="18400"/>
    <cellStyle name="Обычный 6 4 2 2 3 7" xfId="18401"/>
    <cellStyle name="Обычный 6 4 2 2 3 8" xfId="18402"/>
    <cellStyle name="Обычный 6 4 2 2 4" xfId="18403"/>
    <cellStyle name="Обычный 6 4 2 2 4 2" xfId="18404"/>
    <cellStyle name="Обычный 6 4 2 2 4 2 2" xfId="18405"/>
    <cellStyle name="Обычный 6 4 2 2 4 2 2 2" xfId="18406"/>
    <cellStyle name="Обычный 6 4 2 2 4 2 2 3" xfId="18407"/>
    <cellStyle name="Обычный 6 4 2 2 4 2 3" xfId="18408"/>
    <cellStyle name="Обычный 6 4 2 2 4 2 3 2" xfId="18409"/>
    <cellStyle name="Обычный 6 4 2 2 4 2 3 3" xfId="18410"/>
    <cellStyle name="Обычный 6 4 2 2 4 2 4" xfId="18411"/>
    <cellStyle name="Обычный 6 4 2 2 4 2 4 2" xfId="18412"/>
    <cellStyle name="Обычный 6 4 2 2 4 2 5" xfId="18413"/>
    <cellStyle name="Обычный 6 4 2 2 4 2 6" xfId="18414"/>
    <cellStyle name="Обычный 6 4 2 2 4 3" xfId="18415"/>
    <cellStyle name="Обычный 6 4 2 2 4 3 2" xfId="18416"/>
    <cellStyle name="Обычный 6 4 2 2 4 3 3" xfId="18417"/>
    <cellStyle name="Обычный 6 4 2 2 4 4" xfId="18418"/>
    <cellStyle name="Обычный 6 4 2 2 4 4 2" xfId="18419"/>
    <cellStyle name="Обычный 6 4 2 2 4 4 3" xfId="18420"/>
    <cellStyle name="Обычный 6 4 2 2 4 5" xfId="18421"/>
    <cellStyle name="Обычный 6 4 2 2 4 5 2" xfId="18422"/>
    <cellStyle name="Обычный 6 4 2 2 4 6" xfId="18423"/>
    <cellStyle name="Обычный 6 4 2 2 4 7" xfId="18424"/>
    <cellStyle name="Обычный 6 4 2 2 5" xfId="18425"/>
    <cellStyle name="Обычный 6 4 2 2 5 2" xfId="18426"/>
    <cellStyle name="Обычный 6 4 2 2 5 2 2" xfId="18427"/>
    <cellStyle name="Обычный 6 4 2 2 5 2 3" xfId="18428"/>
    <cellStyle name="Обычный 6 4 2 2 5 3" xfId="18429"/>
    <cellStyle name="Обычный 6 4 2 2 5 3 2" xfId="18430"/>
    <cellStyle name="Обычный 6 4 2 2 5 3 3" xfId="18431"/>
    <cellStyle name="Обычный 6 4 2 2 5 4" xfId="18432"/>
    <cellStyle name="Обычный 6 4 2 2 5 4 2" xfId="18433"/>
    <cellStyle name="Обычный 6 4 2 2 5 5" xfId="18434"/>
    <cellStyle name="Обычный 6 4 2 2 5 6" xfId="18435"/>
    <cellStyle name="Обычный 6 4 2 2 6" xfId="18436"/>
    <cellStyle name="Обычный 6 4 2 2 6 2" xfId="18437"/>
    <cellStyle name="Обычный 6 4 2 2 6 3" xfId="18438"/>
    <cellStyle name="Обычный 6 4 2 2 7" xfId="18439"/>
    <cellStyle name="Обычный 6 4 2 2 7 2" xfId="18440"/>
    <cellStyle name="Обычный 6 4 2 2 7 3" xfId="18441"/>
    <cellStyle name="Обычный 6 4 2 2 8" xfId="18442"/>
    <cellStyle name="Обычный 6 4 2 2 8 2" xfId="18443"/>
    <cellStyle name="Обычный 6 4 2 2 9" xfId="18444"/>
    <cellStyle name="Обычный 6 4 2 3" xfId="18445"/>
    <cellStyle name="Обычный 6 4 2 3 10" xfId="18446"/>
    <cellStyle name="Обычный 6 4 2 3 2" xfId="18447"/>
    <cellStyle name="Обычный 6 4 2 3 2 2" xfId="18448"/>
    <cellStyle name="Обычный 6 4 2 3 2 2 2" xfId="18449"/>
    <cellStyle name="Обычный 6 4 2 3 2 2 2 2" xfId="18450"/>
    <cellStyle name="Обычный 6 4 2 3 2 2 2 2 2" xfId="18451"/>
    <cellStyle name="Обычный 6 4 2 3 2 2 2 2 2 2" xfId="18452"/>
    <cellStyle name="Обычный 6 4 2 3 2 2 2 2 2 3" xfId="18453"/>
    <cellStyle name="Обычный 6 4 2 3 2 2 2 2 3" xfId="18454"/>
    <cellStyle name="Обычный 6 4 2 3 2 2 2 2 3 2" xfId="18455"/>
    <cellStyle name="Обычный 6 4 2 3 2 2 2 2 3 3" xfId="18456"/>
    <cellStyle name="Обычный 6 4 2 3 2 2 2 2 4" xfId="18457"/>
    <cellStyle name="Обычный 6 4 2 3 2 2 2 2 4 2" xfId="18458"/>
    <cellStyle name="Обычный 6 4 2 3 2 2 2 2 5" xfId="18459"/>
    <cellStyle name="Обычный 6 4 2 3 2 2 2 2 6" xfId="18460"/>
    <cellStyle name="Обычный 6 4 2 3 2 2 2 3" xfId="18461"/>
    <cellStyle name="Обычный 6 4 2 3 2 2 2 3 2" xfId="18462"/>
    <cellStyle name="Обычный 6 4 2 3 2 2 2 3 3" xfId="18463"/>
    <cellStyle name="Обычный 6 4 2 3 2 2 2 4" xfId="18464"/>
    <cellStyle name="Обычный 6 4 2 3 2 2 2 4 2" xfId="18465"/>
    <cellStyle name="Обычный 6 4 2 3 2 2 2 4 3" xfId="18466"/>
    <cellStyle name="Обычный 6 4 2 3 2 2 2 5" xfId="18467"/>
    <cellStyle name="Обычный 6 4 2 3 2 2 2 5 2" xfId="18468"/>
    <cellStyle name="Обычный 6 4 2 3 2 2 2 6" xfId="18469"/>
    <cellStyle name="Обычный 6 4 2 3 2 2 2 7" xfId="18470"/>
    <cellStyle name="Обычный 6 4 2 3 2 2 3" xfId="18471"/>
    <cellStyle name="Обычный 6 4 2 3 2 2 3 2" xfId="18472"/>
    <cellStyle name="Обычный 6 4 2 3 2 2 3 2 2" xfId="18473"/>
    <cellStyle name="Обычный 6 4 2 3 2 2 3 2 3" xfId="18474"/>
    <cellStyle name="Обычный 6 4 2 3 2 2 3 3" xfId="18475"/>
    <cellStyle name="Обычный 6 4 2 3 2 2 3 3 2" xfId="18476"/>
    <cellStyle name="Обычный 6 4 2 3 2 2 3 3 3" xfId="18477"/>
    <cellStyle name="Обычный 6 4 2 3 2 2 3 4" xfId="18478"/>
    <cellStyle name="Обычный 6 4 2 3 2 2 3 4 2" xfId="18479"/>
    <cellStyle name="Обычный 6 4 2 3 2 2 3 5" xfId="18480"/>
    <cellStyle name="Обычный 6 4 2 3 2 2 3 6" xfId="18481"/>
    <cellStyle name="Обычный 6 4 2 3 2 2 4" xfId="18482"/>
    <cellStyle name="Обычный 6 4 2 3 2 2 4 2" xfId="18483"/>
    <cellStyle name="Обычный 6 4 2 3 2 2 4 3" xfId="18484"/>
    <cellStyle name="Обычный 6 4 2 3 2 2 5" xfId="18485"/>
    <cellStyle name="Обычный 6 4 2 3 2 2 5 2" xfId="18486"/>
    <cellStyle name="Обычный 6 4 2 3 2 2 5 3" xfId="18487"/>
    <cellStyle name="Обычный 6 4 2 3 2 2 6" xfId="18488"/>
    <cellStyle name="Обычный 6 4 2 3 2 2 6 2" xfId="18489"/>
    <cellStyle name="Обычный 6 4 2 3 2 2 7" xfId="18490"/>
    <cellStyle name="Обычный 6 4 2 3 2 2 8" xfId="18491"/>
    <cellStyle name="Обычный 6 4 2 3 2 3" xfId="18492"/>
    <cellStyle name="Обычный 6 4 2 3 2 3 2" xfId="18493"/>
    <cellStyle name="Обычный 6 4 2 3 2 3 2 2" xfId="18494"/>
    <cellStyle name="Обычный 6 4 2 3 2 3 2 2 2" xfId="18495"/>
    <cellStyle name="Обычный 6 4 2 3 2 3 2 2 3" xfId="18496"/>
    <cellStyle name="Обычный 6 4 2 3 2 3 2 3" xfId="18497"/>
    <cellStyle name="Обычный 6 4 2 3 2 3 2 3 2" xfId="18498"/>
    <cellStyle name="Обычный 6 4 2 3 2 3 2 3 3" xfId="18499"/>
    <cellStyle name="Обычный 6 4 2 3 2 3 2 4" xfId="18500"/>
    <cellStyle name="Обычный 6 4 2 3 2 3 2 4 2" xfId="18501"/>
    <cellStyle name="Обычный 6 4 2 3 2 3 2 5" xfId="18502"/>
    <cellStyle name="Обычный 6 4 2 3 2 3 2 6" xfId="18503"/>
    <cellStyle name="Обычный 6 4 2 3 2 3 3" xfId="18504"/>
    <cellStyle name="Обычный 6 4 2 3 2 3 3 2" xfId="18505"/>
    <cellStyle name="Обычный 6 4 2 3 2 3 3 3" xfId="18506"/>
    <cellStyle name="Обычный 6 4 2 3 2 3 4" xfId="18507"/>
    <cellStyle name="Обычный 6 4 2 3 2 3 4 2" xfId="18508"/>
    <cellStyle name="Обычный 6 4 2 3 2 3 4 3" xfId="18509"/>
    <cellStyle name="Обычный 6 4 2 3 2 3 5" xfId="18510"/>
    <cellStyle name="Обычный 6 4 2 3 2 3 5 2" xfId="18511"/>
    <cellStyle name="Обычный 6 4 2 3 2 3 6" xfId="18512"/>
    <cellStyle name="Обычный 6 4 2 3 2 3 7" xfId="18513"/>
    <cellStyle name="Обычный 6 4 2 3 2 4" xfId="18514"/>
    <cellStyle name="Обычный 6 4 2 3 2 4 2" xfId="18515"/>
    <cellStyle name="Обычный 6 4 2 3 2 4 2 2" xfId="18516"/>
    <cellStyle name="Обычный 6 4 2 3 2 4 2 3" xfId="18517"/>
    <cellStyle name="Обычный 6 4 2 3 2 4 3" xfId="18518"/>
    <cellStyle name="Обычный 6 4 2 3 2 4 3 2" xfId="18519"/>
    <cellStyle name="Обычный 6 4 2 3 2 4 3 3" xfId="18520"/>
    <cellStyle name="Обычный 6 4 2 3 2 4 4" xfId="18521"/>
    <cellStyle name="Обычный 6 4 2 3 2 4 4 2" xfId="18522"/>
    <cellStyle name="Обычный 6 4 2 3 2 4 5" xfId="18523"/>
    <cellStyle name="Обычный 6 4 2 3 2 4 6" xfId="18524"/>
    <cellStyle name="Обычный 6 4 2 3 2 5" xfId="18525"/>
    <cellStyle name="Обычный 6 4 2 3 2 5 2" xfId="18526"/>
    <cellStyle name="Обычный 6 4 2 3 2 5 3" xfId="18527"/>
    <cellStyle name="Обычный 6 4 2 3 2 6" xfId="18528"/>
    <cellStyle name="Обычный 6 4 2 3 2 6 2" xfId="18529"/>
    <cellStyle name="Обычный 6 4 2 3 2 6 3" xfId="18530"/>
    <cellStyle name="Обычный 6 4 2 3 2 7" xfId="18531"/>
    <cellStyle name="Обычный 6 4 2 3 2 7 2" xfId="18532"/>
    <cellStyle name="Обычный 6 4 2 3 2 8" xfId="18533"/>
    <cellStyle name="Обычный 6 4 2 3 2 9" xfId="18534"/>
    <cellStyle name="Обычный 6 4 2 3 3" xfId="18535"/>
    <cellStyle name="Обычный 6 4 2 3 3 2" xfId="18536"/>
    <cellStyle name="Обычный 6 4 2 3 3 2 2" xfId="18537"/>
    <cellStyle name="Обычный 6 4 2 3 3 2 2 2" xfId="18538"/>
    <cellStyle name="Обычный 6 4 2 3 3 2 2 2 2" xfId="18539"/>
    <cellStyle name="Обычный 6 4 2 3 3 2 2 2 3" xfId="18540"/>
    <cellStyle name="Обычный 6 4 2 3 3 2 2 3" xfId="18541"/>
    <cellStyle name="Обычный 6 4 2 3 3 2 2 3 2" xfId="18542"/>
    <cellStyle name="Обычный 6 4 2 3 3 2 2 3 3" xfId="18543"/>
    <cellStyle name="Обычный 6 4 2 3 3 2 2 4" xfId="18544"/>
    <cellStyle name="Обычный 6 4 2 3 3 2 2 4 2" xfId="18545"/>
    <cellStyle name="Обычный 6 4 2 3 3 2 2 5" xfId="18546"/>
    <cellStyle name="Обычный 6 4 2 3 3 2 2 6" xfId="18547"/>
    <cellStyle name="Обычный 6 4 2 3 3 2 3" xfId="18548"/>
    <cellStyle name="Обычный 6 4 2 3 3 2 3 2" xfId="18549"/>
    <cellStyle name="Обычный 6 4 2 3 3 2 3 3" xfId="18550"/>
    <cellStyle name="Обычный 6 4 2 3 3 2 4" xfId="18551"/>
    <cellStyle name="Обычный 6 4 2 3 3 2 4 2" xfId="18552"/>
    <cellStyle name="Обычный 6 4 2 3 3 2 4 3" xfId="18553"/>
    <cellStyle name="Обычный 6 4 2 3 3 2 5" xfId="18554"/>
    <cellStyle name="Обычный 6 4 2 3 3 2 5 2" xfId="18555"/>
    <cellStyle name="Обычный 6 4 2 3 3 2 6" xfId="18556"/>
    <cellStyle name="Обычный 6 4 2 3 3 2 7" xfId="18557"/>
    <cellStyle name="Обычный 6 4 2 3 3 3" xfId="18558"/>
    <cellStyle name="Обычный 6 4 2 3 3 3 2" xfId="18559"/>
    <cellStyle name="Обычный 6 4 2 3 3 3 2 2" xfId="18560"/>
    <cellStyle name="Обычный 6 4 2 3 3 3 2 3" xfId="18561"/>
    <cellStyle name="Обычный 6 4 2 3 3 3 3" xfId="18562"/>
    <cellStyle name="Обычный 6 4 2 3 3 3 3 2" xfId="18563"/>
    <cellStyle name="Обычный 6 4 2 3 3 3 3 3" xfId="18564"/>
    <cellStyle name="Обычный 6 4 2 3 3 3 4" xfId="18565"/>
    <cellStyle name="Обычный 6 4 2 3 3 3 4 2" xfId="18566"/>
    <cellStyle name="Обычный 6 4 2 3 3 3 5" xfId="18567"/>
    <cellStyle name="Обычный 6 4 2 3 3 3 6" xfId="18568"/>
    <cellStyle name="Обычный 6 4 2 3 3 4" xfId="18569"/>
    <cellStyle name="Обычный 6 4 2 3 3 4 2" xfId="18570"/>
    <cellStyle name="Обычный 6 4 2 3 3 4 3" xfId="18571"/>
    <cellStyle name="Обычный 6 4 2 3 3 5" xfId="18572"/>
    <cellStyle name="Обычный 6 4 2 3 3 5 2" xfId="18573"/>
    <cellStyle name="Обычный 6 4 2 3 3 5 3" xfId="18574"/>
    <cellStyle name="Обычный 6 4 2 3 3 6" xfId="18575"/>
    <cellStyle name="Обычный 6 4 2 3 3 6 2" xfId="18576"/>
    <cellStyle name="Обычный 6 4 2 3 3 7" xfId="18577"/>
    <cellStyle name="Обычный 6 4 2 3 3 8" xfId="18578"/>
    <cellStyle name="Обычный 6 4 2 3 4" xfId="18579"/>
    <cellStyle name="Обычный 6 4 2 3 4 2" xfId="18580"/>
    <cellStyle name="Обычный 6 4 2 3 4 2 2" xfId="18581"/>
    <cellStyle name="Обычный 6 4 2 3 4 2 2 2" xfId="18582"/>
    <cellStyle name="Обычный 6 4 2 3 4 2 2 3" xfId="18583"/>
    <cellStyle name="Обычный 6 4 2 3 4 2 3" xfId="18584"/>
    <cellStyle name="Обычный 6 4 2 3 4 2 3 2" xfId="18585"/>
    <cellStyle name="Обычный 6 4 2 3 4 2 3 3" xfId="18586"/>
    <cellStyle name="Обычный 6 4 2 3 4 2 4" xfId="18587"/>
    <cellStyle name="Обычный 6 4 2 3 4 2 4 2" xfId="18588"/>
    <cellStyle name="Обычный 6 4 2 3 4 2 5" xfId="18589"/>
    <cellStyle name="Обычный 6 4 2 3 4 2 6" xfId="18590"/>
    <cellStyle name="Обычный 6 4 2 3 4 3" xfId="18591"/>
    <cellStyle name="Обычный 6 4 2 3 4 3 2" xfId="18592"/>
    <cellStyle name="Обычный 6 4 2 3 4 3 3" xfId="18593"/>
    <cellStyle name="Обычный 6 4 2 3 4 4" xfId="18594"/>
    <cellStyle name="Обычный 6 4 2 3 4 4 2" xfId="18595"/>
    <cellStyle name="Обычный 6 4 2 3 4 4 3" xfId="18596"/>
    <cellStyle name="Обычный 6 4 2 3 4 5" xfId="18597"/>
    <cellStyle name="Обычный 6 4 2 3 4 5 2" xfId="18598"/>
    <cellStyle name="Обычный 6 4 2 3 4 6" xfId="18599"/>
    <cellStyle name="Обычный 6 4 2 3 4 7" xfId="18600"/>
    <cellStyle name="Обычный 6 4 2 3 5" xfId="18601"/>
    <cellStyle name="Обычный 6 4 2 3 5 2" xfId="18602"/>
    <cellStyle name="Обычный 6 4 2 3 5 2 2" xfId="18603"/>
    <cellStyle name="Обычный 6 4 2 3 5 2 3" xfId="18604"/>
    <cellStyle name="Обычный 6 4 2 3 5 3" xfId="18605"/>
    <cellStyle name="Обычный 6 4 2 3 5 3 2" xfId="18606"/>
    <cellStyle name="Обычный 6 4 2 3 5 3 3" xfId="18607"/>
    <cellStyle name="Обычный 6 4 2 3 5 4" xfId="18608"/>
    <cellStyle name="Обычный 6 4 2 3 5 4 2" xfId="18609"/>
    <cellStyle name="Обычный 6 4 2 3 5 5" xfId="18610"/>
    <cellStyle name="Обычный 6 4 2 3 5 6" xfId="18611"/>
    <cellStyle name="Обычный 6 4 2 3 6" xfId="18612"/>
    <cellStyle name="Обычный 6 4 2 3 6 2" xfId="18613"/>
    <cellStyle name="Обычный 6 4 2 3 6 3" xfId="18614"/>
    <cellStyle name="Обычный 6 4 2 3 7" xfId="18615"/>
    <cellStyle name="Обычный 6 4 2 3 7 2" xfId="18616"/>
    <cellStyle name="Обычный 6 4 2 3 7 3" xfId="18617"/>
    <cellStyle name="Обычный 6 4 2 3 8" xfId="18618"/>
    <cellStyle name="Обычный 6 4 2 3 8 2" xfId="18619"/>
    <cellStyle name="Обычный 6 4 2 3 9" xfId="18620"/>
    <cellStyle name="Обычный 6 4 2 4" xfId="18621"/>
    <cellStyle name="Обычный 6 4 2 4 10" xfId="18622"/>
    <cellStyle name="Обычный 6 4 2 4 2" xfId="18623"/>
    <cellStyle name="Обычный 6 4 2 4 2 2" xfId="18624"/>
    <cellStyle name="Обычный 6 4 2 4 2 2 2" xfId="18625"/>
    <cellStyle name="Обычный 6 4 2 4 2 2 2 2" xfId="18626"/>
    <cellStyle name="Обычный 6 4 2 4 2 2 2 2 2" xfId="18627"/>
    <cellStyle name="Обычный 6 4 2 4 2 2 2 2 2 2" xfId="18628"/>
    <cellStyle name="Обычный 6 4 2 4 2 2 2 2 2 3" xfId="18629"/>
    <cellStyle name="Обычный 6 4 2 4 2 2 2 2 3" xfId="18630"/>
    <cellStyle name="Обычный 6 4 2 4 2 2 2 2 3 2" xfId="18631"/>
    <cellStyle name="Обычный 6 4 2 4 2 2 2 2 3 3" xfId="18632"/>
    <cellStyle name="Обычный 6 4 2 4 2 2 2 2 4" xfId="18633"/>
    <cellStyle name="Обычный 6 4 2 4 2 2 2 2 4 2" xfId="18634"/>
    <cellStyle name="Обычный 6 4 2 4 2 2 2 2 5" xfId="18635"/>
    <cellStyle name="Обычный 6 4 2 4 2 2 2 2 6" xfId="18636"/>
    <cellStyle name="Обычный 6 4 2 4 2 2 2 3" xfId="18637"/>
    <cellStyle name="Обычный 6 4 2 4 2 2 2 3 2" xfId="18638"/>
    <cellStyle name="Обычный 6 4 2 4 2 2 2 3 3" xfId="18639"/>
    <cellStyle name="Обычный 6 4 2 4 2 2 2 4" xfId="18640"/>
    <cellStyle name="Обычный 6 4 2 4 2 2 2 4 2" xfId="18641"/>
    <cellStyle name="Обычный 6 4 2 4 2 2 2 4 3" xfId="18642"/>
    <cellStyle name="Обычный 6 4 2 4 2 2 2 5" xfId="18643"/>
    <cellStyle name="Обычный 6 4 2 4 2 2 2 5 2" xfId="18644"/>
    <cellStyle name="Обычный 6 4 2 4 2 2 2 6" xfId="18645"/>
    <cellStyle name="Обычный 6 4 2 4 2 2 2 7" xfId="18646"/>
    <cellStyle name="Обычный 6 4 2 4 2 2 3" xfId="18647"/>
    <cellStyle name="Обычный 6 4 2 4 2 2 3 2" xfId="18648"/>
    <cellStyle name="Обычный 6 4 2 4 2 2 3 2 2" xfId="18649"/>
    <cellStyle name="Обычный 6 4 2 4 2 2 3 2 3" xfId="18650"/>
    <cellStyle name="Обычный 6 4 2 4 2 2 3 3" xfId="18651"/>
    <cellStyle name="Обычный 6 4 2 4 2 2 3 3 2" xfId="18652"/>
    <cellStyle name="Обычный 6 4 2 4 2 2 3 3 3" xfId="18653"/>
    <cellStyle name="Обычный 6 4 2 4 2 2 3 4" xfId="18654"/>
    <cellStyle name="Обычный 6 4 2 4 2 2 3 4 2" xfId="18655"/>
    <cellStyle name="Обычный 6 4 2 4 2 2 3 5" xfId="18656"/>
    <cellStyle name="Обычный 6 4 2 4 2 2 3 6" xfId="18657"/>
    <cellStyle name="Обычный 6 4 2 4 2 2 4" xfId="18658"/>
    <cellStyle name="Обычный 6 4 2 4 2 2 4 2" xfId="18659"/>
    <cellStyle name="Обычный 6 4 2 4 2 2 4 3" xfId="18660"/>
    <cellStyle name="Обычный 6 4 2 4 2 2 5" xfId="18661"/>
    <cellStyle name="Обычный 6 4 2 4 2 2 5 2" xfId="18662"/>
    <cellStyle name="Обычный 6 4 2 4 2 2 5 3" xfId="18663"/>
    <cellStyle name="Обычный 6 4 2 4 2 2 6" xfId="18664"/>
    <cellStyle name="Обычный 6 4 2 4 2 2 6 2" xfId="18665"/>
    <cellStyle name="Обычный 6 4 2 4 2 2 7" xfId="18666"/>
    <cellStyle name="Обычный 6 4 2 4 2 2 8" xfId="18667"/>
    <cellStyle name="Обычный 6 4 2 4 2 3" xfId="18668"/>
    <cellStyle name="Обычный 6 4 2 4 2 3 2" xfId="18669"/>
    <cellStyle name="Обычный 6 4 2 4 2 3 2 2" xfId="18670"/>
    <cellStyle name="Обычный 6 4 2 4 2 3 2 2 2" xfId="18671"/>
    <cellStyle name="Обычный 6 4 2 4 2 3 2 2 3" xfId="18672"/>
    <cellStyle name="Обычный 6 4 2 4 2 3 2 3" xfId="18673"/>
    <cellStyle name="Обычный 6 4 2 4 2 3 2 3 2" xfId="18674"/>
    <cellStyle name="Обычный 6 4 2 4 2 3 2 3 3" xfId="18675"/>
    <cellStyle name="Обычный 6 4 2 4 2 3 2 4" xfId="18676"/>
    <cellStyle name="Обычный 6 4 2 4 2 3 2 4 2" xfId="18677"/>
    <cellStyle name="Обычный 6 4 2 4 2 3 2 5" xfId="18678"/>
    <cellStyle name="Обычный 6 4 2 4 2 3 2 6" xfId="18679"/>
    <cellStyle name="Обычный 6 4 2 4 2 3 3" xfId="18680"/>
    <cellStyle name="Обычный 6 4 2 4 2 3 3 2" xfId="18681"/>
    <cellStyle name="Обычный 6 4 2 4 2 3 3 3" xfId="18682"/>
    <cellStyle name="Обычный 6 4 2 4 2 3 4" xfId="18683"/>
    <cellStyle name="Обычный 6 4 2 4 2 3 4 2" xfId="18684"/>
    <cellStyle name="Обычный 6 4 2 4 2 3 4 3" xfId="18685"/>
    <cellStyle name="Обычный 6 4 2 4 2 3 5" xfId="18686"/>
    <cellStyle name="Обычный 6 4 2 4 2 3 5 2" xfId="18687"/>
    <cellStyle name="Обычный 6 4 2 4 2 3 6" xfId="18688"/>
    <cellStyle name="Обычный 6 4 2 4 2 3 7" xfId="18689"/>
    <cellStyle name="Обычный 6 4 2 4 2 4" xfId="18690"/>
    <cellStyle name="Обычный 6 4 2 4 2 4 2" xfId="18691"/>
    <cellStyle name="Обычный 6 4 2 4 2 4 2 2" xfId="18692"/>
    <cellStyle name="Обычный 6 4 2 4 2 4 2 3" xfId="18693"/>
    <cellStyle name="Обычный 6 4 2 4 2 4 3" xfId="18694"/>
    <cellStyle name="Обычный 6 4 2 4 2 4 3 2" xfId="18695"/>
    <cellStyle name="Обычный 6 4 2 4 2 4 3 3" xfId="18696"/>
    <cellStyle name="Обычный 6 4 2 4 2 4 4" xfId="18697"/>
    <cellStyle name="Обычный 6 4 2 4 2 4 4 2" xfId="18698"/>
    <cellStyle name="Обычный 6 4 2 4 2 4 5" xfId="18699"/>
    <cellStyle name="Обычный 6 4 2 4 2 4 6" xfId="18700"/>
    <cellStyle name="Обычный 6 4 2 4 2 5" xfId="18701"/>
    <cellStyle name="Обычный 6 4 2 4 2 5 2" xfId="18702"/>
    <cellStyle name="Обычный 6 4 2 4 2 5 3" xfId="18703"/>
    <cellStyle name="Обычный 6 4 2 4 2 6" xfId="18704"/>
    <cellStyle name="Обычный 6 4 2 4 2 6 2" xfId="18705"/>
    <cellStyle name="Обычный 6 4 2 4 2 6 3" xfId="18706"/>
    <cellStyle name="Обычный 6 4 2 4 2 7" xfId="18707"/>
    <cellStyle name="Обычный 6 4 2 4 2 7 2" xfId="18708"/>
    <cellStyle name="Обычный 6 4 2 4 2 8" xfId="18709"/>
    <cellStyle name="Обычный 6 4 2 4 2 9" xfId="18710"/>
    <cellStyle name="Обычный 6 4 2 4 3" xfId="18711"/>
    <cellStyle name="Обычный 6 4 2 4 3 2" xfId="18712"/>
    <cellStyle name="Обычный 6 4 2 4 3 2 2" xfId="18713"/>
    <cellStyle name="Обычный 6 4 2 4 3 2 2 2" xfId="18714"/>
    <cellStyle name="Обычный 6 4 2 4 3 2 2 2 2" xfId="18715"/>
    <cellStyle name="Обычный 6 4 2 4 3 2 2 2 3" xfId="18716"/>
    <cellStyle name="Обычный 6 4 2 4 3 2 2 3" xfId="18717"/>
    <cellStyle name="Обычный 6 4 2 4 3 2 2 3 2" xfId="18718"/>
    <cellStyle name="Обычный 6 4 2 4 3 2 2 3 3" xfId="18719"/>
    <cellStyle name="Обычный 6 4 2 4 3 2 2 4" xfId="18720"/>
    <cellStyle name="Обычный 6 4 2 4 3 2 2 4 2" xfId="18721"/>
    <cellStyle name="Обычный 6 4 2 4 3 2 2 5" xfId="18722"/>
    <cellStyle name="Обычный 6 4 2 4 3 2 2 6" xfId="18723"/>
    <cellStyle name="Обычный 6 4 2 4 3 2 3" xfId="18724"/>
    <cellStyle name="Обычный 6 4 2 4 3 2 3 2" xfId="18725"/>
    <cellStyle name="Обычный 6 4 2 4 3 2 3 3" xfId="18726"/>
    <cellStyle name="Обычный 6 4 2 4 3 2 4" xfId="18727"/>
    <cellStyle name="Обычный 6 4 2 4 3 2 4 2" xfId="18728"/>
    <cellStyle name="Обычный 6 4 2 4 3 2 4 3" xfId="18729"/>
    <cellStyle name="Обычный 6 4 2 4 3 2 5" xfId="18730"/>
    <cellStyle name="Обычный 6 4 2 4 3 2 5 2" xfId="18731"/>
    <cellStyle name="Обычный 6 4 2 4 3 2 6" xfId="18732"/>
    <cellStyle name="Обычный 6 4 2 4 3 2 7" xfId="18733"/>
    <cellStyle name="Обычный 6 4 2 4 3 3" xfId="18734"/>
    <cellStyle name="Обычный 6 4 2 4 3 3 2" xfId="18735"/>
    <cellStyle name="Обычный 6 4 2 4 3 3 2 2" xfId="18736"/>
    <cellStyle name="Обычный 6 4 2 4 3 3 2 3" xfId="18737"/>
    <cellStyle name="Обычный 6 4 2 4 3 3 3" xfId="18738"/>
    <cellStyle name="Обычный 6 4 2 4 3 3 3 2" xfId="18739"/>
    <cellStyle name="Обычный 6 4 2 4 3 3 3 3" xfId="18740"/>
    <cellStyle name="Обычный 6 4 2 4 3 3 4" xfId="18741"/>
    <cellStyle name="Обычный 6 4 2 4 3 3 4 2" xfId="18742"/>
    <cellStyle name="Обычный 6 4 2 4 3 3 5" xfId="18743"/>
    <cellStyle name="Обычный 6 4 2 4 3 3 6" xfId="18744"/>
    <cellStyle name="Обычный 6 4 2 4 3 4" xfId="18745"/>
    <cellStyle name="Обычный 6 4 2 4 3 4 2" xfId="18746"/>
    <cellStyle name="Обычный 6 4 2 4 3 4 3" xfId="18747"/>
    <cellStyle name="Обычный 6 4 2 4 3 5" xfId="18748"/>
    <cellStyle name="Обычный 6 4 2 4 3 5 2" xfId="18749"/>
    <cellStyle name="Обычный 6 4 2 4 3 5 3" xfId="18750"/>
    <cellStyle name="Обычный 6 4 2 4 3 6" xfId="18751"/>
    <cellStyle name="Обычный 6 4 2 4 3 6 2" xfId="18752"/>
    <cellStyle name="Обычный 6 4 2 4 3 7" xfId="18753"/>
    <cellStyle name="Обычный 6 4 2 4 3 8" xfId="18754"/>
    <cellStyle name="Обычный 6 4 2 4 4" xfId="18755"/>
    <cellStyle name="Обычный 6 4 2 4 4 2" xfId="18756"/>
    <cellStyle name="Обычный 6 4 2 4 4 2 2" xfId="18757"/>
    <cellStyle name="Обычный 6 4 2 4 4 2 2 2" xfId="18758"/>
    <cellStyle name="Обычный 6 4 2 4 4 2 2 3" xfId="18759"/>
    <cellStyle name="Обычный 6 4 2 4 4 2 3" xfId="18760"/>
    <cellStyle name="Обычный 6 4 2 4 4 2 3 2" xfId="18761"/>
    <cellStyle name="Обычный 6 4 2 4 4 2 3 3" xfId="18762"/>
    <cellStyle name="Обычный 6 4 2 4 4 2 4" xfId="18763"/>
    <cellStyle name="Обычный 6 4 2 4 4 2 4 2" xfId="18764"/>
    <cellStyle name="Обычный 6 4 2 4 4 2 5" xfId="18765"/>
    <cellStyle name="Обычный 6 4 2 4 4 2 6" xfId="18766"/>
    <cellStyle name="Обычный 6 4 2 4 4 3" xfId="18767"/>
    <cellStyle name="Обычный 6 4 2 4 4 3 2" xfId="18768"/>
    <cellStyle name="Обычный 6 4 2 4 4 3 3" xfId="18769"/>
    <cellStyle name="Обычный 6 4 2 4 4 4" xfId="18770"/>
    <cellStyle name="Обычный 6 4 2 4 4 4 2" xfId="18771"/>
    <cellStyle name="Обычный 6 4 2 4 4 4 3" xfId="18772"/>
    <cellStyle name="Обычный 6 4 2 4 4 5" xfId="18773"/>
    <cellStyle name="Обычный 6 4 2 4 4 5 2" xfId="18774"/>
    <cellStyle name="Обычный 6 4 2 4 4 6" xfId="18775"/>
    <cellStyle name="Обычный 6 4 2 4 4 7" xfId="18776"/>
    <cellStyle name="Обычный 6 4 2 4 5" xfId="18777"/>
    <cellStyle name="Обычный 6 4 2 4 5 2" xfId="18778"/>
    <cellStyle name="Обычный 6 4 2 4 5 2 2" xfId="18779"/>
    <cellStyle name="Обычный 6 4 2 4 5 2 3" xfId="18780"/>
    <cellStyle name="Обычный 6 4 2 4 5 3" xfId="18781"/>
    <cellStyle name="Обычный 6 4 2 4 5 3 2" xfId="18782"/>
    <cellStyle name="Обычный 6 4 2 4 5 3 3" xfId="18783"/>
    <cellStyle name="Обычный 6 4 2 4 5 4" xfId="18784"/>
    <cellStyle name="Обычный 6 4 2 4 5 4 2" xfId="18785"/>
    <cellStyle name="Обычный 6 4 2 4 5 5" xfId="18786"/>
    <cellStyle name="Обычный 6 4 2 4 5 6" xfId="18787"/>
    <cellStyle name="Обычный 6 4 2 4 6" xfId="18788"/>
    <cellStyle name="Обычный 6 4 2 4 6 2" xfId="18789"/>
    <cellStyle name="Обычный 6 4 2 4 6 3" xfId="18790"/>
    <cellStyle name="Обычный 6 4 2 4 7" xfId="18791"/>
    <cellStyle name="Обычный 6 4 2 4 7 2" xfId="18792"/>
    <cellStyle name="Обычный 6 4 2 4 7 3" xfId="18793"/>
    <cellStyle name="Обычный 6 4 2 4 8" xfId="18794"/>
    <cellStyle name="Обычный 6 4 2 4 8 2" xfId="18795"/>
    <cellStyle name="Обычный 6 4 2 4 9" xfId="18796"/>
    <cellStyle name="Обычный 6 4 2 5" xfId="18797"/>
    <cellStyle name="Обычный 6 4 2 5 2" xfId="18798"/>
    <cellStyle name="Обычный 6 4 2 5 2 2" xfId="18799"/>
    <cellStyle name="Обычный 6 4 2 5 2 2 2" xfId="18800"/>
    <cellStyle name="Обычный 6 4 2 5 2 2 2 2" xfId="18801"/>
    <cellStyle name="Обычный 6 4 2 5 2 2 2 2 2" xfId="18802"/>
    <cellStyle name="Обычный 6 4 2 5 2 2 2 2 3" xfId="18803"/>
    <cellStyle name="Обычный 6 4 2 5 2 2 2 3" xfId="18804"/>
    <cellStyle name="Обычный 6 4 2 5 2 2 2 3 2" xfId="18805"/>
    <cellStyle name="Обычный 6 4 2 5 2 2 2 3 3" xfId="18806"/>
    <cellStyle name="Обычный 6 4 2 5 2 2 2 4" xfId="18807"/>
    <cellStyle name="Обычный 6 4 2 5 2 2 2 4 2" xfId="18808"/>
    <cellStyle name="Обычный 6 4 2 5 2 2 2 5" xfId="18809"/>
    <cellStyle name="Обычный 6 4 2 5 2 2 2 6" xfId="18810"/>
    <cellStyle name="Обычный 6 4 2 5 2 2 3" xfId="18811"/>
    <cellStyle name="Обычный 6 4 2 5 2 2 3 2" xfId="18812"/>
    <cellStyle name="Обычный 6 4 2 5 2 2 3 3" xfId="18813"/>
    <cellStyle name="Обычный 6 4 2 5 2 2 4" xfId="18814"/>
    <cellStyle name="Обычный 6 4 2 5 2 2 4 2" xfId="18815"/>
    <cellStyle name="Обычный 6 4 2 5 2 2 4 3" xfId="18816"/>
    <cellStyle name="Обычный 6 4 2 5 2 2 5" xfId="18817"/>
    <cellStyle name="Обычный 6 4 2 5 2 2 5 2" xfId="18818"/>
    <cellStyle name="Обычный 6 4 2 5 2 2 6" xfId="18819"/>
    <cellStyle name="Обычный 6 4 2 5 2 2 7" xfId="18820"/>
    <cellStyle name="Обычный 6 4 2 5 2 3" xfId="18821"/>
    <cellStyle name="Обычный 6 4 2 5 2 3 2" xfId="18822"/>
    <cellStyle name="Обычный 6 4 2 5 2 3 2 2" xfId="18823"/>
    <cellStyle name="Обычный 6 4 2 5 2 3 2 3" xfId="18824"/>
    <cellStyle name="Обычный 6 4 2 5 2 3 3" xfId="18825"/>
    <cellStyle name="Обычный 6 4 2 5 2 3 3 2" xfId="18826"/>
    <cellStyle name="Обычный 6 4 2 5 2 3 3 3" xfId="18827"/>
    <cellStyle name="Обычный 6 4 2 5 2 3 4" xfId="18828"/>
    <cellStyle name="Обычный 6 4 2 5 2 3 4 2" xfId="18829"/>
    <cellStyle name="Обычный 6 4 2 5 2 3 5" xfId="18830"/>
    <cellStyle name="Обычный 6 4 2 5 2 3 6" xfId="18831"/>
    <cellStyle name="Обычный 6 4 2 5 2 4" xfId="18832"/>
    <cellStyle name="Обычный 6 4 2 5 2 4 2" xfId="18833"/>
    <cellStyle name="Обычный 6 4 2 5 2 4 3" xfId="18834"/>
    <cellStyle name="Обычный 6 4 2 5 2 5" xfId="18835"/>
    <cellStyle name="Обычный 6 4 2 5 2 5 2" xfId="18836"/>
    <cellStyle name="Обычный 6 4 2 5 2 5 3" xfId="18837"/>
    <cellStyle name="Обычный 6 4 2 5 2 6" xfId="18838"/>
    <cellStyle name="Обычный 6 4 2 5 2 6 2" xfId="18839"/>
    <cellStyle name="Обычный 6 4 2 5 2 7" xfId="18840"/>
    <cellStyle name="Обычный 6 4 2 5 2 8" xfId="18841"/>
    <cellStyle name="Обычный 6 4 2 5 3" xfId="18842"/>
    <cellStyle name="Обычный 6 4 2 5 3 2" xfId="18843"/>
    <cellStyle name="Обычный 6 4 2 5 3 2 2" xfId="18844"/>
    <cellStyle name="Обычный 6 4 2 5 3 2 2 2" xfId="18845"/>
    <cellStyle name="Обычный 6 4 2 5 3 2 2 3" xfId="18846"/>
    <cellStyle name="Обычный 6 4 2 5 3 2 3" xfId="18847"/>
    <cellStyle name="Обычный 6 4 2 5 3 2 3 2" xfId="18848"/>
    <cellStyle name="Обычный 6 4 2 5 3 2 3 3" xfId="18849"/>
    <cellStyle name="Обычный 6 4 2 5 3 2 4" xfId="18850"/>
    <cellStyle name="Обычный 6 4 2 5 3 2 4 2" xfId="18851"/>
    <cellStyle name="Обычный 6 4 2 5 3 2 5" xfId="18852"/>
    <cellStyle name="Обычный 6 4 2 5 3 2 6" xfId="18853"/>
    <cellStyle name="Обычный 6 4 2 5 3 3" xfId="18854"/>
    <cellStyle name="Обычный 6 4 2 5 3 3 2" xfId="18855"/>
    <cellStyle name="Обычный 6 4 2 5 3 3 3" xfId="18856"/>
    <cellStyle name="Обычный 6 4 2 5 3 4" xfId="18857"/>
    <cellStyle name="Обычный 6 4 2 5 3 4 2" xfId="18858"/>
    <cellStyle name="Обычный 6 4 2 5 3 4 3" xfId="18859"/>
    <cellStyle name="Обычный 6 4 2 5 3 5" xfId="18860"/>
    <cellStyle name="Обычный 6 4 2 5 3 5 2" xfId="18861"/>
    <cellStyle name="Обычный 6 4 2 5 3 6" xfId="18862"/>
    <cellStyle name="Обычный 6 4 2 5 3 7" xfId="18863"/>
    <cellStyle name="Обычный 6 4 2 5 4" xfId="18864"/>
    <cellStyle name="Обычный 6 4 2 5 4 2" xfId="18865"/>
    <cellStyle name="Обычный 6 4 2 5 4 2 2" xfId="18866"/>
    <cellStyle name="Обычный 6 4 2 5 4 2 3" xfId="18867"/>
    <cellStyle name="Обычный 6 4 2 5 4 3" xfId="18868"/>
    <cellStyle name="Обычный 6 4 2 5 4 3 2" xfId="18869"/>
    <cellStyle name="Обычный 6 4 2 5 4 3 3" xfId="18870"/>
    <cellStyle name="Обычный 6 4 2 5 4 4" xfId="18871"/>
    <cellStyle name="Обычный 6 4 2 5 4 4 2" xfId="18872"/>
    <cellStyle name="Обычный 6 4 2 5 4 5" xfId="18873"/>
    <cellStyle name="Обычный 6 4 2 5 4 6" xfId="18874"/>
    <cellStyle name="Обычный 6 4 2 5 5" xfId="18875"/>
    <cellStyle name="Обычный 6 4 2 5 5 2" xfId="18876"/>
    <cellStyle name="Обычный 6 4 2 5 5 3" xfId="18877"/>
    <cellStyle name="Обычный 6 4 2 5 6" xfId="18878"/>
    <cellStyle name="Обычный 6 4 2 5 6 2" xfId="18879"/>
    <cellStyle name="Обычный 6 4 2 5 6 3" xfId="18880"/>
    <cellStyle name="Обычный 6 4 2 5 7" xfId="18881"/>
    <cellStyle name="Обычный 6 4 2 5 7 2" xfId="18882"/>
    <cellStyle name="Обычный 6 4 2 5 8" xfId="18883"/>
    <cellStyle name="Обычный 6 4 2 5 9" xfId="18884"/>
    <cellStyle name="Обычный 6 4 2 6" xfId="18885"/>
    <cellStyle name="Обычный 6 4 2 6 2" xfId="18886"/>
    <cellStyle name="Обычный 6 4 2 6 2 2" xfId="18887"/>
    <cellStyle name="Обычный 6 4 2 6 2 2 2" xfId="18888"/>
    <cellStyle name="Обычный 6 4 2 6 2 2 2 2" xfId="18889"/>
    <cellStyle name="Обычный 6 4 2 6 2 2 2 3" xfId="18890"/>
    <cellStyle name="Обычный 6 4 2 6 2 2 3" xfId="18891"/>
    <cellStyle name="Обычный 6 4 2 6 2 2 3 2" xfId="18892"/>
    <cellStyle name="Обычный 6 4 2 6 2 2 3 3" xfId="18893"/>
    <cellStyle name="Обычный 6 4 2 6 2 2 4" xfId="18894"/>
    <cellStyle name="Обычный 6 4 2 6 2 2 4 2" xfId="18895"/>
    <cellStyle name="Обычный 6 4 2 6 2 2 5" xfId="18896"/>
    <cellStyle name="Обычный 6 4 2 6 2 2 6" xfId="18897"/>
    <cellStyle name="Обычный 6 4 2 6 2 3" xfId="18898"/>
    <cellStyle name="Обычный 6 4 2 6 2 3 2" xfId="18899"/>
    <cellStyle name="Обычный 6 4 2 6 2 3 3" xfId="18900"/>
    <cellStyle name="Обычный 6 4 2 6 2 4" xfId="18901"/>
    <cellStyle name="Обычный 6 4 2 6 2 4 2" xfId="18902"/>
    <cellStyle name="Обычный 6 4 2 6 2 4 3" xfId="18903"/>
    <cellStyle name="Обычный 6 4 2 6 2 5" xfId="18904"/>
    <cellStyle name="Обычный 6 4 2 6 2 5 2" xfId="18905"/>
    <cellStyle name="Обычный 6 4 2 6 2 6" xfId="18906"/>
    <cellStyle name="Обычный 6 4 2 6 2 7" xfId="18907"/>
    <cellStyle name="Обычный 6 4 2 6 3" xfId="18908"/>
    <cellStyle name="Обычный 6 4 2 6 3 2" xfId="18909"/>
    <cellStyle name="Обычный 6 4 2 6 3 2 2" xfId="18910"/>
    <cellStyle name="Обычный 6 4 2 6 3 2 3" xfId="18911"/>
    <cellStyle name="Обычный 6 4 2 6 3 3" xfId="18912"/>
    <cellStyle name="Обычный 6 4 2 6 3 3 2" xfId="18913"/>
    <cellStyle name="Обычный 6 4 2 6 3 3 3" xfId="18914"/>
    <cellStyle name="Обычный 6 4 2 6 3 4" xfId="18915"/>
    <cellStyle name="Обычный 6 4 2 6 3 4 2" xfId="18916"/>
    <cellStyle name="Обычный 6 4 2 6 3 5" xfId="18917"/>
    <cellStyle name="Обычный 6 4 2 6 3 6" xfId="18918"/>
    <cellStyle name="Обычный 6 4 2 6 4" xfId="18919"/>
    <cellStyle name="Обычный 6 4 2 6 4 2" xfId="18920"/>
    <cellStyle name="Обычный 6 4 2 6 4 3" xfId="18921"/>
    <cellStyle name="Обычный 6 4 2 6 5" xfId="18922"/>
    <cellStyle name="Обычный 6 4 2 6 5 2" xfId="18923"/>
    <cellStyle name="Обычный 6 4 2 6 5 3" xfId="18924"/>
    <cellStyle name="Обычный 6 4 2 6 6" xfId="18925"/>
    <cellStyle name="Обычный 6 4 2 6 6 2" xfId="18926"/>
    <cellStyle name="Обычный 6 4 2 6 7" xfId="18927"/>
    <cellStyle name="Обычный 6 4 2 6 8" xfId="18928"/>
    <cellStyle name="Обычный 6 4 2 7" xfId="18929"/>
    <cellStyle name="Обычный 6 4 2 7 2" xfId="18930"/>
    <cellStyle name="Обычный 6 4 2 7 2 2" xfId="18931"/>
    <cellStyle name="Обычный 6 4 2 7 2 2 2" xfId="18932"/>
    <cellStyle name="Обычный 6 4 2 7 2 2 3" xfId="18933"/>
    <cellStyle name="Обычный 6 4 2 7 2 3" xfId="18934"/>
    <cellStyle name="Обычный 6 4 2 7 2 3 2" xfId="18935"/>
    <cellStyle name="Обычный 6 4 2 7 2 3 3" xfId="18936"/>
    <cellStyle name="Обычный 6 4 2 7 2 4" xfId="18937"/>
    <cellStyle name="Обычный 6 4 2 7 2 4 2" xfId="18938"/>
    <cellStyle name="Обычный 6 4 2 7 2 5" xfId="18939"/>
    <cellStyle name="Обычный 6 4 2 7 2 6" xfId="18940"/>
    <cellStyle name="Обычный 6 4 2 7 3" xfId="18941"/>
    <cellStyle name="Обычный 6 4 2 7 3 2" xfId="18942"/>
    <cellStyle name="Обычный 6 4 2 7 3 3" xfId="18943"/>
    <cellStyle name="Обычный 6 4 2 7 4" xfId="18944"/>
    <cellStyle name="Обычный 6 4 2 7 4 2" xfId="18945"/>
    <cellStyle name="Обычный 6 4 2 7 4 3" xfId="18946"/>
    <cellStyle name="Обычный 6 4 2 7 5" xfId="18947"/>
    <cellStyle name="Обычный 6 4 2 7 5 2" xfId="18948"/>
    <cellStyle name="Обычный 6 4 2 7 6" xfId="18949"/>
    <cellStyle name="Обычный 6 4 2 7 7" xfId="18950"/>
    <cellStyle name="Обычный 6 4 2 8" xfId="18951"/>
    <cellStyle name="Обычный 6 4 2 8 2" xfId="18952"/>
    <cellStyle name="Обычный 6 4 2 8 2 2" xfId="18953"/>
    <cellStyle name="Обычный 6 4 2 8 2 3" xfId="18954"/>
    <cellStyle name="Обычный 6 4 2 8 3" xfId="18955"/>
    <cellStyle name="Обычный 6 4 2 8 3 2" xfId="18956"/>
    <cellStyle name="Обычный 6 4 2 8 3 3" xfId="18957"/>
    <cellStyle name="Обычный 6 4 2 8 4" xfId="18958"/>
    <cellStyle name="Обычный 6 4 2 8 4 2" xfId="18959"/>
    <cellStyle name="Обычный 6 4 2 8 5" xfId="18960"/>
    <cellStyle name="Обычный 6 4 2 8 6" xfId="18961"/>
    <cellStyle name="Обычный 6 4 2 9" xfId="18962"/>
    <cellStyle name="Обычный 6 4 2 9 2" xfId="18963"/>
    <cellStyle name="Обычный 6 4 2 9 3" xfId="18964"/>
    <cellStyle name="Обычный 6 4 3" xfId="18965"/>
    <cellStyle name="Обычный 6 4 3 10" xfId="18966"/>
    <cellStyle name="Обычный 6 4 3 2" xfId="18967"/>
    <cellStyle name="Обычный 6 4 3 2 2" xfId="18968"/>
    <cellStyle name="Обычный 6 4 3 2 2 2" xfId="18969"/>
    <cellStyle name="Обычный 6 4 3 2 2 2 2" xfId="18970"/>
    <cellStyle name="Обычный 6 4 3 2 2 2 2 2" xfId="18971"/>
    <cellStyle name="Обычный 6 4 3 2 2 2 2 2 2" xfId="18972"/>
    <cellStyle name="Обычный 6 4 3 2 2 2 2 2 3" xfId="18973"/>
    <cellStyle name="Обычный 6 4 3 2 2 2 2 3" xfId="18974"/>
    <cellStyle name="Обычный 6 4 3 2 2 2 2 3 2" xfId="18975"/>
    <cellStyle name="Обычный 6 4 3 2 2 2 2 3 3" xfId="18976"/>
    <cellStyle name="Обычный 6 4 3 2 2 2 2 4" xfId="18977"/>
    <cellStyle name="Обычный 6 4 3 2 2 2 2 4 2" xfId="18978"/>
    <cellStyle name="Обычный 6 4 3 2 2 2 2 5" xfId="18979"/>
    <cellStyle name="Обычный 6 4 3 2 2 2 2 6" xfId="18980"/>
    <cellStyle name="Обычный 6 4 3 2 2 2 3" xfId="18981"/>
    <cellStyle name="Обычный 6 4 3 2 2 2 3 2" xfId="18982"/>
    <cellStyle name="Обычный 6 4 3 2 2 2 3 3" xfId="18983"/>
    <cellStyle name="Обычный 6 4 3 2 2 2 4" xfId="18984"/>
    <cellStyle name="Обычный 6 4 3 2 2 2 4 2" xfId="18985"/>
    <cellStyle name="Обычный 6 4 3 2 2 2 4 3" xfId="18986"/>
    <cellStyle name="Обычный 6 4 3 2 2 2 5" xfId="18987"/>
    <cellStyle name="Обычный 6 4 3 2 2 2 5 2" xfId="18988"/>
    <cellStyle name="Обычный 6 4 3 2 2 2 6" xfId="18989"/>
    <cellStyle name="Обычный 6 4 3 2 2 2 7" xfId="18990"/>
    <cellStyle name="Обычный 6 4 3 2 2 3" xfId="18991"/>
    <cellStyle name="Обычный 6 4 3 2 2 3 2" xfId="18992"/>
    <cellStyle name="Обычный 6 4 3 2 2 3 2 2" xfId="18993"/>
    <cellStyle name="Обычный 6 4 3 2 2 3 2 3" xfId="18994"/>
    <cellStyle name="Обычный 6 4 3 2 2 3 3" xfId="18995"/>
    <cellStyle name="Обычный 6 4 3 2 2 3 3 2" xfId="18996"/>
    <cellStyle name="Обычный 6 4 3 2 2 3 3 3" xfId="18997"/>
    <cellStyle name="Обычный 6 4 3 2 2 3 4" xfId="18998"/>
    <cellStyle name="Обычный 6 4 3 2 2 3 4 2" xfId="18999"/>
    <cellStyle name="Обычный 6 4 3 2 2 3 5" xfId="19000"/>
    <cellStyle name="Обычный 6 4 3 2 2 3 6" xfId="19001"/>
    <cellStyle name="Обычный 6 4 3 2 2 4" xfId="19002"/>
    <cellStyle name="Обычный 6 4 3 2 2 4 2" xfId="19003"/>
    <cellStyle name="Обычный 6 4 3 2 2 4 3" xfId="19004"/>
    <cellStyle name="Обычный 6 4 3 2 2 5" xfId="19005"/>
    <cellStyle name="Обычный 6 4 3 2 2 5 2" xfId="19006"/>
    <cellStyle name="Обычный 6 4 3 2 2 5 3" xfId="19007"/>
    <cellStyle name="Обычный 6 4 3 2 2 6" xfId="19008"/>
    <cellStyle name="Обычный 6 4 3 2 2 6 2" xfId="19009"/>
    <cellStyle name="Обычный 6 4 3 2 2 7" xfId="19010"/>
    <cellStyle name="Обычный 6 4 3 2 2 8" xfId="19011"/>
    <cellStyle name="Обычный 6 4 3 2 3" xfId="19012"/>
    <cellStyle name="Обычный 6 4 3 2 3 2" xfId="19013"/>
    <cellStyle name="Обычный 6 4 3 2 3 2 2" xfId="19014"/>
    <cellStyle name="Обычный 6 4 3 2 3 2 2 2" xfId="19015"/>
    <cellStyle name="Обычный 6 4 3 2 3 2 2 3" xfId="19016"/>
    <cellStyle name="Обычный 6 4 3 2 3 2 3" xfId="19017"/>
    <cellStyle name="Обычный 6 4 3 2 3 2 3 2" xfId="19018"/>
    <cellStyle name="Обычный 6 4 3 2 3 2 3 3" xfId="19019"/>
    <cellStyle name="Обычный 6 4 3 2 3 2 4" xfId="19020"/>
    <cellStyle name="Обычный 6 4 3 2 3 2 4 2" xfId="19021"/>
    <cellStyle name="Обычный 6 4 3 2 3 2 5" xfId="19022"/>
    <cellStyle name="Обычный 6 4 3 2 3 2 6" xfId="19023"/>
    <cellStyle name="Обычный 6 4 3 2 3 3" xfId="19024"/>
    <cellStyle name="Обычный 6 4 3 2 3 3 2" xfId="19025"/>
    <cellStyle name="Обычный 6 4 3 2 3 3 3" xfId="19026"/>
    <cellStyle name="Обычный 6 4 3 2 3 4" xfId="19027"/>
    <cellStyle name="Обычный 6 4 3 2 3 4 2" xfId="19028"/>
    <cellStyle name="Обычный 6 4 3 2 3 4 3" xfId="19029"/>
    <cellStyle name="Обычный 6 4 3 2 3 5" xfId="19030"/>
    <cellStyle name="Обычный 6 4 3 2 3 5 2" xfId="19031"/>
    <cellStyle name="Обычный 6 4 3 2 3 6" xfId="19032"/>
    <cellStyle name="Обычный 6 4 3 2 3 7" xfId="19033"/>
    <cellStyle name="Обычный 6 4 3 2 4" xfId="19034"/>
    <cellStyle name="Обычный 6 4 3 2 4 2" xfId="19035"/>
    <cellStyle name="Обычный 6 4 3 2 4 2 2" xfId="19036"/>
    <cellStyle name="Обычный 6 4 3 2 4 2 3" xfId="19037"/>
    <cellStyle name="Обычный 6 4 3 2 4 3" xfId="19038"/>
    <cellStyle name="Обычный 6 4 3 2 4 3 2" xfId="19039"/>
    <cellStyle name="Обычный 6 4 3 2 4 3 3" xfId="19040"/>
    <cellStyle name="Обычный 6 4 3 2 4 4" xfId="19041"/>
    <cellStyle name="Обычный 6 4 3 2 4 4 2" xfId="19042"/>
    <cellStyle name="Обычный 6 4 3 2 4 5" xfId="19043"/>
    <cellStyle name="Обычный 6 4 3 2 4 6" xfId="19044"/>
    <cellStyle name="Обычный 6 4 3 2 5" xfId="19045"/>
    <cellStyle name="Обычный 6 4 3 2 5 2" xfId="19046"/>
    <cellStyle name="Обычный 6 4 3 2 5 3" xfId="19047"/>
    <cellStyle name="Обычный 6 4 3 2 6" xfId="19048"/>
    <cellStyle name="Обычный 6 4 3 2 6 2" xfId="19049"/>
    <cellStyle name="Обычный 6 4 3 2 6 3" xfId="19050"/>
    <cellStyle name="Обычный 6 4 3 2 7" xfId="19051"/>
    <cellStyle name="Обычный 6 4 3 2 7 2" xfId="19052"/>
    <cellStyle name="Обычный 6 4 3 2 8" xfId="19053"/>
    <cellStyle name="Обычный 6 4 3 2 9" xfId="19054"/>
    <cellStyle name="Обычный 6 4 3 3" xfId="19055"/>
    <cellStyle name="Обычный 6 4 3 3 2" xfId="19056"/>
    <cellStyle name="Обычный 6 4 3 3 2 2" xfId="19057"/>
    <cellStyle name="Обычный 6 4 3 3 2 2 2" xfId="19058"/>
    <cellStyle name="Обычный 6 4 3 3 2 2 2 2" xfId="19059"/>
    <cellStyle name="Обычный 6 4 3 3 2 2 2 3" xfId="19060"/>
    <cellStyle name="Обычный 6 4 3 3 2 2 3" xfId="19061"/>
    <cellStyle name="Обычный 6 4 3 3 2 2 3 2" xfId="19062"/>
    <cellStyle name="Обычный 6 4 3 3 2 2 3 3" xfId="19063"/>
    <cellStyle name="Обычный 6 4 3 3 2 2 4" xfId="19064"/>
    <cellStyle name="Обычный 6 4 3 3 2 2 4 2" xfId="19065"/>
    <cellStyle name="Обычный 6 4 3 3 2 2 5" xfId="19066"/>
    <cellStyle name="Обычный 6 4 3 3 2 2 6" xfId="19067"/>
    <cellStyle name="Обычный 6 4 3 3 2 3" xfId="19068"/>
    <cellStyle name="Обычный 6 4 3 3 2 3 2" xfId="19069"/>
    <cellStyle name="Обычный 6 4 3 3 2 3 3" xfId="19070"/>
    <cellStyle name="Обычный 6 4 3 3 2 4" xfId="19071"/>
    <cellStyle name="Обычный 6 4 3 3 2 4 2" xfId="19072"/>
    <cellStyle name="Обычный 6 4 3 3 2 4 3" xfId="19073"/>
    <cellStyle name="Обычный 6 4 3 3 2 5" xfId="19074"/>
    <cellStyle name="Обычный 6 4 3 3 2 5 2" xfId="19075"/>
    <cellStyle name="Обычный 6 4 3 3 2 6" xfId="19076"/>
    <cellStyle name="Обычный 6 4 3 3 2 7" xfId="19077"/>
    <cellStyle name="Обычный 6 4 3 3 3" xfId="19078"/>
    <cellStyle name="Обычный 6 4 3 3 3 2" xfId="19079"/>
    <cellStyle name="Обычный 6 4 3 3 3 2 2" xfId="19080"/>
    <cellStyle name="Обычный 6 4 3 3 3 2 3" xfId="19081"/>
    <cellStyle name="Обычный 6 4 3 3 3 3" xfId="19082"/>
    <cellStyle name="Обычный 6 4 3 3 3 3 2" xfId="19083"/>
    <cellStyle name="Обычный 6 4 3 3 3 3 3" xfId="19084"/>
    <cellStyle name="Обычный 6 4 3 3 3 4" xfId="19085"/>
    <cellStyle name="Обычный 6 4 3 3 3 4 2" xfId="19086"/>
    <cellStyle name="Обычный 6 4 3 3 3 5" xfId="19087"/>
    <cellStyle name="Обычный 6 4 3 3 3 6" xfId="19088"/>
    <cellStyle name="Обычный 6 4 3 3 4" xfId="19089"/>
    <cellStyle name="Обычный 6 4 3 3 4 2" xfId="19090"/>
    <cellStyle name="Обычный 6 4 3 3 4 3" xfId="19091"/>
    <cellStyle name="Обычный 6 4 3 3 5" xfId="19092"/>
    <cellStyle name="Обычный 6 4 3 3 5 2" xfId="19093"/>
    <cellStyle name="Обычный 6 4 3 3 5 3" xfId="19094"/>
    <cellStyle name="Обычный 6 4 3 3 6" xfId="19095"/>
    <cellStyle name="Обычный 6 4 3 3 6 2" xfId="19096"/>
    <cellStyle name="Обычный 6 4 3 3 7" xfId="19097"/>
    <cellStyle name="Обычный 6 4 3 3 8" xfId="19098"/>
    <cellStyle name="Обычный 6 4 3 4" xfId="19099"/>
    <cellStyle name="Обычный 6 4 3 4 2" xfId="19100"/>
    <cellStyle name="Обычный 6 4 3 4 2 2" xfId="19101"/>
    <cellStyle name="Обычный 6 4 3 4 2 2 2" xfId="19102"/>
    <cellStyle name="Обычный 6 4 3 4 2 2 3" xfId="19103"/>
    <cellStyle name="Обычный 6 4 3 4 2 3" xfId="19104"/>
    <cellStyle name="Обычный 6 4 3 4 2 3 2" xfId="19105"/>
    <cellStyle name="Обычный 6 4 3 4 2 3 3" xfId="19106"/>
    <cellStyle name="Обычный 6 4 3 4 2 4" xfId="19107"/>
    <cellStyle name="Обычный 6 4 3 4 2 4 2" xfId="19108"/>
    <cellStyle name="Обычный 6 4 3 4 2 5" xfId="19109"/>
    <cellStyle name="Обычный 6 4 3 4 2 6" xfId="19110"/>
    <cellStyle name="Обычный 6 4 3 4 3" xfId="19111"/>
    <cellStyle name="Обычный 6 4 3 4 3 2" xfId="19112"/>
    <cellStyle name="Обычный 6 4 3 4 3 3" xfId="19113"/>
    <cellStyle name="Обычный 6 4 3 4 4" xfId="19114"/>
    <cellStyle name="Обычный 6 4 3 4 4 2" xfId="19115"/>
    <cellStyle name="Обычный 6 4 3 4 4 3" xfId="19116"/>
    <cellStyle name="Обычный 6 4 3 4 5" xfId="19117"/>
    <cellStyle name="Обычный 6 4 3 4 5 2" xfId="19118"/>
    <cellStyle name="Обычный 6 4 3 4 6" xfId="19119"/>
    <cellStyle name="Обычный 6 4 3 4 7" xfId="19120"/>
    <cellStyle name="Обычный 6 4 3 5" xfId="19121"/>
    <cellStyle name="Обычный 6 4 3 5 2" xfId="19122"/>
    <cellStyle name="Обычный 6 4 3 5 2 2" xfId="19123"/>
    <cellStyle name="Обычный 6 4 3 5 2 3" xfId="19124"/>
    <cellStyle name="Обычный 6 4 3 5 3" xfId="19125"/>
    <cellStyle name="Обычный 6 4 3 5 3 2" xfId="19126"/>
    <cellStyle name="Обычный 6 4 3 5 3 3" xfId="19127"/>
    <cellStyle name="Обычный 6 4 3 5 4" xfId="19128"/>
    <cellStyle name="Обычный 6 4 3 5 4 2" xfId="19129"/>
    <cellStyle name="Обычный 6 4 3 5 5" xfId="19130"/>
    <cellStyle name="Обычный 6 4 3 5 6" xfId="19131"/>
    <cellStyle name="Обычный 6 4 3 6" xfId="19132"/>
    <cellStyle name="Обычный 6 4 3 6 2" xfId="19133"/>
    <cellStyle name="Обычный 6 4 3 6 3" xfId="19134"/>
    <cellStyle name="Обычный 6 4 3 7" xfId="19135"/>
    <cellStyle name="Обычный 6 4 3 7 2" xfId="19136"/>
    <cellStyle name="Обычный 6 4 3 7 3" xfId="19137"/>
    <cellStyle name="Обычный 6 4 3 8" xfId="19138"/>
    <cellStyle name="Обычный 6 4 3 8 2" xfId="19139"/>
    <cellStyle name="Обычный 6 4 3 9" xfId="19140"/>
    <cellStyle name="Обычный 6 4 4" xfId="19141"/>
    <cellStyle name="Обычный 6 4 4 10" xfId="19142"/>
    <cellStyle name="Обычный 6 4 4 2" xfId="19143"/>
    <cellStyle name="Обычный 6 4 4 2 2" xfId="19144"/>
    <cellStyle name="Обычный 6 4 4 2 2 2" xfId="19145"/>
    <cellStyle name="Обычный 6 4 4 2 2 2 2" xfId="19146"/>
    <cellStyle name="Обычный 6 4 4 2 2 2 2 2" xfId="19147"/>
    <cellStyle name="Обычный 6 4 4 2 2 2 2 2 2" xfId="19148"/>
    <cellStyle name="Обычный 6 4 4 2 2 2 2 2 3" xfId="19149"/>
    <cellStyle name="Обычный 6 4 4 2 2 2 2 3" xfId="19150"/>
    <cellStyle name="Обычный 6 4 4 2 2 2 2 3 2" xfId="19151"/>
    <cellStyle name="Обычный 6 4 4 2 2 2 2 3 3" xfId="19152"/>
    <cellStyle name="Обычный 6 4 4 2 2 2 2 4" xfId="19153"/>
    <cellStyle name="Обычный 6 4 4 2 2 2 2 4 2" xfId="19154"/>
    <cellStyle name="Обычный 6 4 4 2 2 2 2 5" xfId="19155"/>
    <cellStyle name="Обычный 6 4 4 2 2 2 2 6" xfId="19156"/>
    <cellStyle name="Обычный 6 4 4 2 2 2 3" xfId="19157"/>
    <cellStyle name="Обычный 6 4 4 2 2 2 3 2" xfId="19158"/>
    <cellStyle name="Обычный 6 4 4 2 2 2 3 3" xfId="19159"/>
    <cellStyle name="Обычный 6 4 4 2 2 2 4" xfId="19160"/>
    <cellStyle name="Обычный 6 4 4 2 2 2 4 2" xfId="19161"/>
    <cellStyle name="Обычный 6 4 4 2 2 2 4 3" xfId="19162"/>
    <cellStyle name="Обычный 6 4 4 2 2 2 5" xfId="19163"/>
    <cellStyle name="Обычный 6 4 4 2 2 2 5 2" xfId="19164"/>
    <cellStyle name="Обычный 6 4 4 2 2 2 6" xfId="19165"/>
    <cellStyle name="Обычный 6 4 4 2 2 2 7" xfId="19166"/>
    <cellStyle name="Обычный 6 4 4 2 2 3" xfId="19167"/>
    <cellStyle name="Обычный 6 4 4 2 2 3 2" xfId="19168"/>
    <cellStyle name="Обычный 6 4 4 2 2 3 2 2" xfId="19169"/>
    <cellStyle name="Обычный 6 4 4 2 2 3 2 3" xfId="19170"/>
    <cellStyle name="Обычный 6 4 4 2 2 3 3" xfId="19171"/>
    <cellStyle name="Обычный 6 4 4 2 2 3 3 2" xfId="19172"/>
    <cellStyle name="Обычный 6 4 4 2 2 3 3 3" xfId="19173"/>
    <cellStyle name="Обычный 6 4 4 2 2 3 4" xfId="19174"/>
    <cellStyle name="Обычный 6 4 4 2 2 3 4 2" xfId="19175"/>
    <cellStyle name="Обычный 6 4 4 2 2 3 5" xfId="19176"/>
    <cellStyle name="Обычный 6 4 4 2 2 3 6" xfId="19177"/>
    <cellStyle name="Обычный 6 4 4 2 2 4" xfId="19178"/>
    <cellStyle name="Обычный 6 4 4 2 2 4 2" xfId="19179"/>
    <cellStyle name="Обычный 6 4 4 2 2 4 3" xfId="19180"/>
    <cellStyle name="Обычный 6 4 4 2 2 5" xfId="19181"/>
    <cellStyle name="Обычный 6 4 4 2 2 5 2" xfId="19182"/>
    <cellStyle name="Обычный 6 4 4 2 2 5 3" xfId="19183"/>
    <cellStyle name="Обычный 6 4 4 2 2 6" xfId="19184"/>
    <cellStyle name="Обычный 6 4 4 2 2 6 2" xfId="19185"/>
    <cellStyle name="Обычный 6 4 4 2 2 7" xfId="19186"/>
    <cellStyle name="Обычный 6 4 4 2 2 8" xfId="19187"/>
    <cellStyle name="Обычный 6 4 4 2 3" xfId="19188"/>
    <cellStyle name="Обычный 6 4 4 2 3 2" xfId="19189"/>
    <cellStyle name="Обычный 6 4 4 2 3 2 2" xfId="19190"/>
    <cellStyle name="Обычный 6 4 4 2 3 2 2 2" xfId="19191"/>
    <cellStyle name="Обычный 6 4 4 2 3 2 2 3" xfId="19192"/>
    <cellStyle name="Обычный 6 4 4 2 3 2 3" xfId="19193"/>
    <cellStyle name="Обычный 6 4 4 2 3 2 3 2" xfId="19194"/>
    <cellStyle name="Обычный 6 4 4 2 3 2 3 3" xfId="19195"/>
    <cellStyle name="Обычный 6 4 4 2 3 2 4" xfId="19196"/>
    <cellStyle name="Обычный 6 4 4 2 3 2 4 2" xfId="19197"/>
    <cellStyle name="Обычный 6 4 4 2 3 2 5" xfId="19198"/>
    <cellStyle name="Обычный 6 4 4 2 3 2 6" xfId="19199"/>
    <cellStyle name="Обычный 6 4 4 2 3 3" xfId="19200"/>
    <cellStyle name="Обычный 6 4 4 2 3 3 2" xfId="19201"/>
    <cellStyle name="Обычный 6 4 4 2 3 3 3" xfId="19202"/>
    <cellStyle name="Обычный 6 4 4 2 3 4" xfId="19203"/>
    <cellStyle name="Обычный 6 4 4 2 3 4 2" xfId="19204"/>
    <cellStyle name="Обычный 6 4 4 2 3 4 3" xfId="19205"/>
    <cellStyle name="Обычный 6 4 4 2 3 5" xfId="19206"/>
    <cellStyle name="Обычный 6 4 4 2 3 5 2" xfId="19207"/>
    <cellStyle name="Обычный 6 4 4 2 3 6" xfId="19208"/>
    <cellStyle name="Обычный 6 4 4 2 3 7" xfId="19209"/>
    <cellStyle name="Обычный 6 4 4 2 4" xfId="19210"/>
    <cellStyle name="Обычный 6 4 4 2 4 2" xfId="19211"/>
    <cellStyle name="Обычный 6 4 4 2 4 2 2" xfId="19212"/>
    <cellStyle name="Обычный 6 4 4 2 4 2 3" xfId="19213"/>
    <cellStyle name="Обычный 6 4 4 2 4 3" xfId="19214"/>
    <cellStyle name="Обычный 6 4 4 2 4 3 2" xfId="19215"/>
    <cellStyle name="Обычный 6 4 4 2 4 3 3" xfId="19216"/>
    <cellStyle name="Обычный 6 4 4 2 4 4" xfId="19217"/>
    <cellStyle name="Обычный 6 4 4 2 4 4 2" xfId="19218"/>
    <cellStyle name="Обычный 6 4 4 2 4 5" xfId="19219"/>
    <cellStyle name="Обычный 6 4 4 2 4 6" xfId="19220"/>
    <cellStyle name="Обычный 6 4 4 2 5" xfId="19221"/>
    <cellStyle name="Обычный 6 4 4 2 5 2" xfId="19222"/>
    <cellStyle name="Обычный 6 4 4 2 5 3" xfId="19223"/>
    <cellStyle name="Обычный 6 4 4 2 6" xfId="19224"/>
    <cellStyle name="Обычный 6 4 4 2 6 2" xfId="19225"/>
    <cellStyle name="Обычный 6 4 4 2 6 3" xfId="19226"/>
    <cellStyle name="Обычный 6 4 4 2 7" xfId="19227"/>
    <cellStyle name="Обычный 6 4 4 2 7 2" xfId="19228"/>
    <cellStyle name="Обычный 6 4 4 2 8" xfId="19229"/>
    <cellStyle name="Обычный 6 4 4 2 9" xfId="19230"/>
    <cellStyle name="Обычный 6 4 4 3" xfId="19231"/>
    <cellStyle name="Обычный 6 4 4 3 2" xfId="19232"/>
    <cellStyle name="Обычный 6 4 4 3 2 2" xfId="19233"/>
    <cellStyle name="Обычный 6 4 4 3 2 2 2" xfId="19234"/>
    <cellStyle name="Обычный 6 4 4 3 2 2 2 2" xfId="19235"/>
    <cellStyle name="Обычный 6 4 4 3 2 2 2 3" xfId="19236"/>
    <cellStyle name="Обычный 6 4 4 3 2 2 3" xfId="19237"/>
    <cellStyle name="Обычный 6 4 4 3 2 2 3 2" xfId="19238"/>
    <cellStyle name="Обычный 6 4 4 3 2 2 3 3" xfId="19239"/>
    <cellStyle name="Обычный 6 4 4 3 2 2 4" xfId="19240"/>
    <cellStyle name="Обычный 6 4 4 3 2 2 4 2" xfId="19241"/>
    <cellStyle name="Обычный 6 4 4 3 2 2 5" xfId="19242"/>
    <cellStyle name="Обычный 6 4 4 3 2 2 6" xfId="19243"/>
    <cellStyle name="Обычный 6 4 4 3 2 3" xfId="19244"/>
    <cellStyle name="Обычный 6 4 4 3 2 3 2" xfId="19245"/>
    <cellStyle name="Обычный 6 4 4 3 2 3 3" xfId="19246"/>
    <cellStyle name="Обычный 6 4 4 3 2 4" xfId="19247"/>
    <cellStyle name="Обычный 6 4 4 3 2 4 2" xfId="19248"/>
    <cellStyle name="Обычный 6 4 4 3 2 4 3" xfId="19249"/>
    <cellStyle name="Обычный 6 4 4 3 2 5" xfId="19250"/>
    <cellStyle name="Обычный 6 4 4 3 2 5 2" xfId="19251"/>
    <cellStyle name="Обычный 6 4 4 3 2 6" xfId="19252"/>
    <cellStyle name="Обычный 6 4 4 3 2 7" xfId="19253"/>
    <cellStyle name="Обычный 6 4 4 3 3" xfId="19254"/>
    <cellStyle name="Обычный 6 4 4 3 3 2" xfId="19255"/>
    <cellStyle name="Обычный 6 4 4 3 3 2 2" xfId="19256"/>
    <cellStyle name="Обычный 6 4 4 3 3 2 3" xfId="19257"/>
    <cellStyle name="Обычный 6 4 4 3 3 3" xfId="19258"/>
    <cellStyle name="Обычный 6 4 4 3 3 3 2" xfId="19259"/>
    <cellStyle name="Обычный 6 4 4 3 3 3 3" xfId="19260"/>
    <cellStyle name="Обычный 6 4 4 3 3 4" xfId="19261"/>
    <cellStyle name="Обычный 6 4 4 3 3 4 2" xfId="19262"/>
    <cellStyle name="Обычный 6 4 4 3 3 5" xfId="19263"/>
    <cellStyle name="Обычный 6 4 4 3 3 6" xfId="19264"/>
    <cellStyle name="Обычный 6 4 4 3 4" xfId="19265"/>
    <cellStyle name="Обычный 6 4 4 3 4 2" xfId="19266"/>
    <cellStyle name="Обычный 6 4 4 3 4 3" xfId="19267"/>
    <cellStyle name="Обычный 6 4 4 3 5" xfId="19268"/>
    <cellStyle name="Обычный 6 4 4 3 5 2" xfId="19269"/>
    <cellStyle name="Обычный 6 4 4 3 5 3" xfId="19270"/>
    <cellStyle name="Обычный 6 4 4 3 6" xfId="19271"/>
    <cellStyle name="Обычный 6 4 4 3 6 2" xfId="19272"/>
    <cellStyle name="Обычный 6 4 4 3 7" xfId="19273"/>
    <cellStyle name="Обычный 6 4 4 3 8" xfId="19274"/>
    <cellStyle name="Обычный 6 4 4 4" xfId="19275"/>
    <cellStyle name="Обычный 6 4 4 4 2" xfId="19276"/>
    <cellStyle name="Обычный 6 4 4 4 2 2" xfId="19277"/>
    <cellStyle name="Обычный 6 4 4 4 2 2 2" xfId="19278"/>
    <cellStyle name="Обычный 6 4 4 4 2 2 3" xfId="19279"/>
    <cellStyle name="Обычный 6 4 4 4 2 3" xfId="19280"/>
    <cellStyle name="Обычный 6 4 4 4 2 3 2" xfId="19281"/>
    <cellStyle name="Обычный 6 4 4 4 2 3 3" xfId="19282"/>
    <cellStyle name="Обычный 6 4 4 4 2 4" xfId="19283"/>
    <cellStyle name="Обычный 6 4 4 4 2 4 2" xfId="19284"/>
    <cellStyle name="Обычный 6 4 4 4 2 5" xfId="19285"/>
    <cellStyle name="Обычный 6 4 4 4 2 6" xfId="19286"/>
    <cellStyle name="Обычный 6 4 4 4 3" xfId="19287"/>
    <cellStyle name="Обычный 6 4 4 4 3 2" xfId="19288"/>
    <cellStyle name="Обычный 6 4 4 4 3 3" xfId="19289"/>
    <cellStyle name="Обычный 6 4 4 4 4" xfId="19290"/>
    <cellStyle name="Обычный 6 4 4 4 4 2" xfId="19291"/>
    <cellStyle name="Обычный 6 4 4 4 4 3" xfId="19292"/>
    <cellStyle name="Обычный 6 4 4 4 5" xfId="19293"/>
    <cellStyle name="Обычный 6 4 4 4 5 2" xfId="19294"/>
    <cellStyle name="Обычный 6 4 4 4 6" xfId="19295"/>
    <cellStyle name="Обычный 6 4 4 4 7" xfId="19296"/>
    <cellStyle name="Обычный 6 4 4 5" xfId="19297"/>
    <cellStyle name="Обычный 6 4 4 5 2" xfId="19298"/>
    <cellStyle name="Обычный 6 4 4 5 2 2" xfId="19299"/>
    <cellStyle name="Обычный 6 4 4 5 2 3" xfId="19300"/>
    <cellStyle name="Обычный 6 4 4 5 3" xfId="19301"/>
    <cellStyle name="Обычный 6 4 4 5 3 2" xfId="19302"/>
    <cellStyle name="Обычный 6 4 4 5 3 3" xfId="19303"/>
    <cellStyle name="Обычный 6 4 4 5 4" xfId="19304"/>
    <cellStyle name="Обычный 6 4 4 5 4 2" xfId="19305"/>
    <cellStyle name="Обычный 6 4 4 5 5" xfId="19306"/>
    <cellStyle name="Обычный 6 4 4 5 6" xfId="19307"/>
    <cellStyle name="Обычный 6 4 4 6" xfId="19308"/>
    <cellStyle name="Обычный 6 4 4 6 2" xfId="19309"/>
    <cellStyle name="Обычный 6 4 4 6 3" xfId="19310"/>
    <cellStyle name="Обычный 6 4 4 7" xfId="19311"/>
    <cellStyle name="Обычный 6 4 4 7 2" xfId="19312"/>
    <cellStyle name="Обычный 6 4 4 7 3" xfId="19313"/>
    <cellStyle name="Обычный 6 4 4 8" xfId="19314"/>
    <cellStyle name="Обычный 6 4 4 8 2" xfId="19315"/>
    <cellStyle name="Обычный 6 4 4 9" xfId="19316"/>
    <cellStyle name="Обычный 6 4 5" xfId="19317"/>
    <cellStyle name="Обычный 6 4 5 10" xfId="19318"/>
    <cellStyle name="Обычный 6 4 5 2" xfId="19319"/>
    <cellStyle name="Обычный 6 4 5 2 2" xfId="19320"/>
    <cellStyle name="Обычный 6 4 5 2 2 2" xfId="19321"/>
    <cellStyle name="Обычный 6 4 5 2 2 2 2" xfId="19322"/>
    <cellStyle name="Обычный 6 4 5 2 2 2 2 2" xfId="19323"/>
    <cellStyle name="Обычный 6 4 5 2 2 2 2 2 2" xfId="19324"/>
    <cellStyle name="Обычный 6 4 5 2 2 2 2 2 3" xfId="19325"/>
    <cellStyle name="Обычный 6 4 5 2 2 2 2 3" xfId="19326"/>
    <cellStyle name="Обычный 6 4 5 2 2 2 2 3 2" xfId="19327"/>
    <cellStyle name="Обычный 6 4 5 2 2 2 2 3 3" xfId="19328"/>
    <cellStyle name="Обычный 6 4 5 2 2 2 2 4" xfId="19329"/>
    <cellStyle name="Обычный 6 4 5 2 2 2 2 4 2" xfId="19330"/>
    <cellStyle name="Обычный 6 4 5 2 2 2 2 5" xfId="19331"/>
    <cellStyle name="Обычный 6 4 5 2 2 2 2 6" xfId="19332"/>
    <cellStyle name="Обычный 6 4 5 2 2 2 3" xfId="19333"/>
    <cellStyle name="Обычный 6 4 5 2 2 2 3 2" xfId="19334"/>
    <cellStyle name="Обычный 6 4 5 2 2 2 3 3" xfId="19335"/>
    <cellStyle name="Обычный 6 4 5 2 2 2 4" xfId="19336"/>
    <cellStyle name="Обычный 6 4 5 2 2 2 4 2" xfId="19337"/>
    <cellStyle name="Обычный 6 4 5 2 2 2 4 3" xfId="19338"/>
    <cellStyle name="Обычный 6 4 5 2 2 2 5" xfId="19339"/>
    <cellStyle name="Обычный 6 4 5 2 2 2 5 2" xfId="19340"/>
    <cellStyle name="Обычный 6 4 5 2 2 2 6" xfId="19341"/>
    <cellStyle name="Обычный 6 4 5 2 2 2 7" xfId="19342"/>
    <cellStyle name="Обычный 6 4 5 2 2 3" xfId="19343"/>
    <cellStyle name="Обычный 6 4 5 2 2 3 2" xfId="19344"/>
    <cellStyle name="Обычный 6 4 5 2 2 3 2 2" xfId="19345"/>
    <cellStyle name="Обычный 6 4 5 2 2 3 2 3" xfId="19346"/>
    <cellStyle name="Обычный 6 4 5 2 2 3 3" xfId="19347"/>
    <cellStyle name="Обычный 6 4 5 2 2 3 3 2" xfId="19348"/>
    <cellStyle name="Обычный 6 4 5 2 2 3 3 3" xfId="19349"/>
    <cellStyle name="Обычный 6 4 5 2 2 3 4" xfId="19350"/>
    <cellStyle name="Обычный 6 4 5 2 2 3 4 2" xfId="19351"/>
    <cellStyle name="Обычный 6 4 5 2 2 3 5" xfId="19352"/>
    <cellStyle name="Обычный 6 4 5 2 2 3 6" xfId="19353"/>
    <cellStyle name="Обычный 6 4 5 2 2 4" xfId="19354"/>
    <cellStyle name="Обычный 6 4 5 2 2 4 2" xfId="19355"/>
    <cellStyle name="Обычный 6 4 5 2 2 4 3" xfId="19356"/>
    <cellStyle name="Обычный 6 4 5 2 2 5" xfId="19357"/>
    <cellStyle name="Обычный 6 4 5 2 2 5 2" xfId="19358"/>
    <cellStyle name="Обычный 6 4 5 2 2 5 3" xfId="19359"/>
    <cellStyle name="Обычный 6 4 5 2 2 6" xfId="19360"/>
    <cellStyle name="Обычный 6 4 5 2 2 6 2" xfId="19361"/>
    <cellStyle name="Обычный 6 4 5 2 2 7" xfId="19362"/>
    <cellStyle name="Обычный 6 4 5 2 2 8" xfId="19363"/>
    <cellStyle name="Обычный 6 4 5 2 3" xfId="19364"/>
    <cellStyle name="Обычный 6 4 5 2 3 2" xfId="19365"/>
    <cellStyle name="Обычный 6 4 5 2 3 2 2" xfId="19366"/>
    <cellStyle name="Обычный 6 4 5 2 3 2 2 2" xfId="19367"/>
    <cellStyle name="Обычный 6 4 5 2 3 2 2 3" xfId="19368"/>
    <cellStyle name="Обычный 6 4 5 2 3 2 3" xfId="19369"/>
    <cellStyle name="Обычный 6 4 5 2 3 2 3 2" xfId="19370"/>
    <cellStyle name="Обычный 6 4 5 2 3 2 3 3" xfId="19371"/>
    <cellStyle name="Обычный 6 4 5 2 3 2 4" xfId="19372"/>
    <cellStyle name="Обычный 6 4 5 2 3 2 4 2" xfId="19373"/>
    <cellStyle name="Обычный 6 4 5 2 3 2 5" xfId="19374"/>
    <cellStyle name="Обычный 6 4 5 2 3 2 6" xfId="19375"/>
    <cellStyle name="Обычный 6 4 5 2 3 3" xfId="19376"/>
    <cellStyle name="Обычный 6 4 5 2 3 3 2" xfId="19377"/>
    <cellStyle name="Обычный 6 4 5 2 3 3 3" xfId="19378"/>
    <cellStyle name="Обычный 6 4 5 2 3 4" xfId="19379"/>
    <cellStyle name="Обычный 6 4 5 2 3 4 2" xfId="19380"/>
    <cellStyle name="Обычный 6 4 5 2 3 4 3" xfId="19381"/>
    <cellStyle name="Обычный 6 4 5 2 3 5" xfId="19382"/>
    <cellStyle name="Обычный 6 4 5 2 3 5 2" xfId="19383"/>
    <cellStyle name="Обычный 6 4 5 2 3 6" xfId="19384"/>
    <cellStyle name="Обычный 6 4 5 2 3 7" xfId="19385"/>
    <cellStyle name="Обычный 6 4 5 2 4" xfId="19386"/>
    <cellStyle name="Обычный 6 4 5 2 4 2" xfId="19387"/>
    <cellStyle name="Обычный 6 4 5 2 4 2 2" xfId="19388"/>
    <cellStyle name="Обычный 6 4 5 2 4 2 3" xfId="19389"/>
    <cellStyle name="Обычный 6 4 5 2 4 3" xfId="19390"/>
    <cellStyle name="Обычный 6 4 5 2 4 3 2" xfId="19391"/>
    <cellStyle name="Обычный 6 4 5 2 4 3 3" xfId="19392"/>
    <cellStyle name="Обычный 6 4 5 2 4 4" xfId="19393"/>
    <cellStyle name="Обычный 6 4 5 2 4 4 2" xfId="19394"/>
    <cellStyle name="Обычный 6 4 5 2 4 5" xfId="19395"/>
    <cellStyle name="Обычный 6 4 5 2 4 6" xfId="19396"/>
    <cellStyle name="Обычный 6 4 5 2 5" xfId="19397"/>
    <cellStyle name="Обычный 6 4 5 2 5 2" xfId="19398"/>
    <cellStyle name="Обычный 6 4 5 2 5 3" xfId="19399"/>
    <cellStyle name="Обычный 6 4 5 2 6" xfId="19400"/>
    <cellStyle name="Обычный 6 4 5 2 6 2" xfId="19401"/>
    <cellStyle name="Обычный 6 4 5 2 6 3" xfId="19402"/>
    <cellStyle name="Обычный 6 4 5 2 7" xfId="19403"/>
    <cellStyle name="Обычный 6 4 5 2 7 2" xfId="19404"/>
    <cellStyle name="Обычный 6 4 5 2 8" xfId="19405"/>
    <cellStyle name="Обычный 6 4 5 2 9" xfId="19406"/>
    <cellStyle name="Обычный 6 4 5 3" xfId="19407"/>
    <cellStyle name="Обычный 6 4 5 3 2" xfId="19408"/>
    <cellStyle name="Обычный 6 4 5 3 2 2" xfId="19409"/>
    <cellStyle name="Обычный 6 4 5 3 2 2 2" xfId="19410"/>
    <cellStyle name="Обычный 6 4 5 3 2 2 2 2" xfId="19411"/>
    <cellStyle name="Обычный 6 4 5 3 2 2 2 3" xfId="19412"/>
    <cellStyle name="Обычный 6 4 5 3 2 2 3" xfId="19413"/>
    <cellStyle name="Обычный 6 4 5 3 2 2 3 2" xfId="19414"/>
    <cellStyle name="Обычный 6 4 5 3 2 2 3 3" xfId="19415"/>
    <cellStyle name="Обычный 6 4 5 3 2 2 4" xfId="19416"/>
    <cellStyle name="Обычный 6 4 5 3 2 2 4 2" xfId="19417"/>
    <cellStyle name="Обычный 6 4 5 3 2 2 5" xfId="19418"/>
    <cellStyle name="Обычный 6 4 5 3 2 2 6" xfId="19419"/>
    <cellStyle name="Обычный 6 4 5 3 2 3" xfId="19420"/>
    <cellStyle name="Обычный 6 4 5 3 2 3 2" xfId="19421"/>
    <cellStyle name="Обычный 6 4 5 3 2 3 3" xfId="19422"/>
    <cellStyle name="Обычный 6 4 5 3 2 4" xfId="19423"/>
    <cellStyle name="Обычный 6 4 5 3 2 4 2" xfId="19424"/>
    <cellStyle name="Обычный 6 4 5 3 2 4 3" xfId="19425"/>
    <cellStyle name="Обычный 6 4 5 3 2 5" xfId="19426"/>
    <cellStyle name="Обычный 6 4 5 3 2 5 2" xfId="19427"/>
    <cellStyle name="Обычный 6 4 5 3 2 6" xfId="19428"/>
    <cellStyle name="Обычный 6 4 5 3 2 7" xfId="19429"/>
    <cellStyle name="Обычный 6 4 5 3 3" xfId="19430"/>
    <cellStyle name="Обычный 6 4 5 3 3 2" xfId="19431"/>
    <cellStyle name="Обычный 6 4 5 3 3 2 2" xfId="19432"/>
    <cellStyle name="Обычный 6 4 5 3 3 2 3" xfId="19433"/>
    <cellStyle name="Обычный 6 4 5 3 3 3" xfId="19434"/>
    <cellStyle name="Обычный 6 4 5 3 3 3 2" xfId="19435"/>
    <cellStyle name="Обычный 6 4 5 3 3 3 3" xfId="19436"/>
    <cellStyle name="Обычный 6 4 5 3 3 4" xfId="19437"/>
    <cellStyle name="Обычный 6 4 5 3 3 4 2" xfId="19438"/>
    <cellStyle name="Обычный 6 4 5 3 3 5" xfId="19439"/>
    <cellStyle name="Обычный 6 4 5 3 3 6" xfId="19440"/>
    <cellStyle name="Обычный 6 4 5 3 4" xfId="19441"/>
    <cellStyle name="Обычный 6 4 5 3 4 2" xfId="19442"/>
    <cellStyle name="Обычный 6 4 5 3 4 3" xfId="19443"/>
    <cellStyle name="Обычный 6 4 5 3 5" xfId="19444"/>
    <cellStyle name="Обычный 6 4 5 3 5 2" xfId="19445"/>
    <cellStyle name="Обычный 6 4 5 3 5 3" xfId="19446"/>
    <cellStyle name="Обычный 6 4 5 3 6" xfId="19447"/>
    <cellStyle name="Обычный 6 4 5 3 6 2" xfId="19448"/>
    <cellStyle name="Обычный 6 4 5 3 7" xfId="19449"/>
    <cellStyle name="Обычный 6 4 5 3 8" xfId="19450"/>
    <cellStyle name="Обычный 6 4 5 4" xfId="19451"/>
    <cellStyle name="Обычный 6 4 5 4 2" xfId="19452"/>
    <cellStyle name="Обычный 6 4 5 4 2 2" xfId="19453"/>
    <cellStyle name="Обычный 6 4 5 4 2 2 2" xfId="19454"/>
    <cellStyle name="Обычный 6 4 5 4 2 2 3" xfId="19455"/>
    <cellStyle name="Обычный 6 4 5 4 2 3" xfId="19456"/>
    <cellStyle name="Обычный 6 4 5 4 2 3 2" xfId="19457"/>
    <cellStyle name="Обычный 6 4 5 4 2 3 3" xfId="19458"/>
    <cellStyle name="Обычный 6 4 5 4 2 4" xfId="19459"/>
    <cellStyle name="Обычный 6 4 5 4 2 4 2" xfId="19460"/>
    <cellStyle name="Обычный 6 4 5 4 2 5" xfId="19461"/>
    <cellStyle name="Обычный 6 4 5 4 2 6" xfId="19462"/>
    <cellStyle name="Обычный 6 4 5 4 3" xfId="19463"/>
    <cellStyle name="Обычный 6 4 5 4 3 2" xfId="19464"/>
    <cellStyle name="Обычный 6 4 5 4 3 3" xfId="19465"/>
    <cellStyle name="Обычный 6 4 5 4 4" xfId="19466"/>
    <cellStyle name="Обычный 6 4 5 4 4 2" xfId="19467"/>
    <cellStyle name="Обычный 6 4 5 4 4 3" xfId="19468"/>
    <cellStyle name="Обычный 6 4 5 4 5" xfId="19469"/>
    <cellStyle name="Обычный 6 4 5 4 5 2" xfId="19470"/>
    <cellStyle name="Обычный 6 4 5 4 6" xfId="19471"/>
    <cellStyle name="Обычный 6 4 5 4 7" xfId="19472"/>
    <cellStyle name="Обычный 6 4 5 5" xfId="19473"/>
    <cellStyle name="Обычный 6 4 5 5 2" xfId="19474"/>
    <cellStyle name="Обычный 6 4 5 5 2 2" xfId="19475"/>
    <cellStyle name="Обычный 6 4 5 5 2 3" xfId="19476"/>
    <cellStyle name="Обычный 6 4 5 5 3" xfId="19477"/>
    <cellStyle name="Обычный 6 4 5 5 3 2" xfId="19478"/>
    <cellStyle name="Обычный 6 4 5 5 3 3" xfId="19479"/>
    <cellStyle name="Обычный 6 4 5 5 4" xfId="19480"/>
    <cellStyle name="Обычный 6 4 5 5 4 2" xfId="19481"/>
    <cellStyle name="Обычный 6 4 5 5 5" xfId="19482"/>
    <cellStyle name="Обычный 6 4 5 5 6" xfId="19483"/>
    <cellStyle name="Обычный 6 4 5 6" xfId="19484"/>
    <cellStyle name="Обычный 6 4 5 6 2" xfId="19485"/>
    <cellStyle name="Обычный 6 4 5 6 3" xfId="19486"/>
    <cellStyle name="Обычный 6 4 5 7" xfId="19487"/>
    <cellStyle name="Обычный 6 4 5 7 2" xfId="19488"/>
    <cellStyle name="Обычный 6 4 5 7 3" xfId="19489"/>
    <cellStyle name="Обычный 6 4 5 8" xfId="19490"/>
    <cellStyle name="Обычный 6 4 5 8 2" xfId="19491"/>
    <cellStyle name="Обычный 6 4 5 9" xfId="19492"/>
    <cellStyle name="Обычный 6 4 6" xfId="19493"/>
    <cellStyle name="Обычный 6 4 6 2" xfId="19494"/>
    <cellStyle name="Обычный 6 4 6 2 2" xfId="19495"/>
    <cellStyle name="Обычный 6 4 6 2 2 2" xfId="19496"/>
    <cellStyle name="Обычный 6 4 6 2 2 2 2" xfId="19497"/>
    <cellStyle name="Обычный 6 4 6 2 2 2 2 2" xfId="19498"/>
    <cellStyle name="Обычный 6 4 6 2 2 2 2 3" xfId="19499"/>
    <cellStyle name="Обычный 6 4 6 2 2 2 3" xfId="19500"/>
    <cellStyle name="Обычный 6 4 6 2 2 2 3 2" xfId="19501"/>
    <cellStyle name="Обычный 6 4 6 2 2 2 3 3" xfId="19502"/>
    <cellStyle name="Обычный 6 4 6 2 2 2 4" xfId="19503"/>
    <cellStyle name="Обычный 6 4 6 2 2 2 4 2" xfId="19504"/>
    <cellStyle name="Обычный 6 4 6 2 2 2 5" xfId="19505"/>
    <cellStyle name="Обычный 6 4 6 2 2 2 6" xfId="19506"/>
    <cellStyle name="Обычный 6 4 6 2 2 3" xfId="19507"/>
    <cellStyle name="Обычный 6 4 6 2 2 3 2" xfId="19508"/>
    <cellStyle name="Обычный 6 4 6 2 2 3 3" xfId="19509"/>
    <cellStyle name="Обычный 6 4 6 2 2 4" xfId="19510"/>
    <cellStyle name="Обычный 6 4 6 2 2 4 2" xfId="19511"/>
    <cellStyle name="Обычный 6 4 6 2 2 4 3" xfId="19512"/>
    <cellStyle name="Обычный 6 4 6 2 2 5" xfId="19513"/>
    <cellStyle name="Обычный 6 4 6 2 2 5 2" xfId="19514"/>
    <cellStyle name="Обычный 6 4 6 2 2 6" xfId="19515"/>
    <cellStyle name="Обычный 6 4 6 2 2 7" xfId="19516"/>
    <cellStyle name="Обычный 6 4 6 2 3" xfId="19517"/>
    <cellStyle name="Обычный 6 4 6 2 3 2" xfId="19518"/>
    <cellStyle name="Обычный 6 4 6 2 3 2 2" xfId="19519"/>
    <cellStyle name="Обычный 6 4 6 2 3 2 3" xfId="19520"/>
    <cellStyle name="Обычный 6 4 6 2 3 3" xfId="19521"/>
    <cellStyle name="Обычный 6 4 6 2 3 3 2" xfId="19522"/>
    <cellStyle name="Обычный 6 4 6 2 3 3 3" xfId="19523"/>
    <cellStyle name="Обычный 6 4 6 2 3 4" xfId="19524"/>
    <cellStyle name="Обычный 6 4 6 2 3 4 2" xfId="19525"/>
    <cellStyle name="Обычный 6 4 6 2 3 5" xfId="19526"/>
    <cellStyle name="Обычный 6 4 6 2 3 6" xfId="19527"/>
    <cellStyle name="Обычный 6 4 6 2 4" xfId="19528"/>
    <cellStyle name="Обычный 6 4 6 2 4 2" xfId="19529"/>
    <cellStyle name="Обычный 6 4 6 2 4 3" xfId="19530"/>
    <cellStyle name="Обычный 6 4 6 2 5" xfId="19531"/>
    <cellStyle name="Обычный 6 4 6 2 5 2" xfId="19532"/>
    <cellStyle name="Обычный 6 4 6 2 5 3" xfId="19533"/>
    <cellStyle name="Обычный 6 4 6 2 6" xfId="19534"/>
    <cellStyle name="Обычный 6 4 6 2 6 2" xfId="19535"/>
    <cellStyle name="Обычный 6 4 6 2 7" xfId="19536"/>
    <cellStyle name="Обычный 6 4 6 2 8" xfId="19537"/>
    <cellStyle name="Обычный 6 4 6 3" xfId="19538"/>
    <cellStyle name="Обычный 6 4 6 3 2" xfId="19539"/>
    <cellStyle name="Обычный 6 4 6 3 2 2" xfId="19540"/>
    <cellStyle name="Обычный 6 4 6 3 2 2 2" xfId="19541"/>
    <cellStyle name="Обычный 6 4 6 3 2 2 3" xfId="19542"/>
    <cellStyle name="Обычный 6 4 6 3 2 3" xfId="19543"/>
    <cellStyle name="Обычный 6 4 6 3 2 3 2" xfId="19544"/>
    <cellStyle name="Обычный 6 4 6 3 2 3 3" xfId="19545"/>
    <cellStyle name="Обычный 6 4 6 3 2 4" xfId="19546"/>
    <cellStyle name="Обычный 6 4 6 3 2 4 2" xfId="19547"/>
    <cellStyle name="Обычный 6 4 6 3 2 5" xfId="19548"/>
    <cellStyle name="Обычный 6 4 6 3 2 6" xfId="19549"/>
    <cellStyle name="Обычный 6 4 6 3 3" xfId="19550"/>
    <cellStyle name="Обычный 6 4 6 3 3 2" xfId="19551"/>
    <cellStyle name="Обычный 6 4 6 3 3 3" xfId="19552"/>
    <cellStyle name="Обычный 6 4 6 3 4" xfId="19553"/>
    <cellStyle name="Обычный 6 4 6 3 4 2" xfId="19554"/>
    <cellStyle name="Обычный 6 4 6 3 4 3" xfId="19555"/>
    <cellStyle name="Обычный 6 4 6 3 5" xfId="19556"/>
    <cellStyle name="Обычный 6 4 6 3 5 2" xfId="19557"/>
    <cellStyle name="Обычный 6 4 6 3 6" xfId="19558"/>
    <cellStyle name="Обычный 6 4 6 3 7" xfId="19559"/>
    <cellStyle name="Обычный 6 4 6 4" xfId="19560"/>
    <cellStyle name="Обычный 6 4 6 4 2" xfId="19561"/>
    <cellStyle name="Обычный 6 4 6 4 2 2" xfId="19562"/>
    <cellStyle name="Обычный 6 4 6 4 2 3" xfId="19563"/>
    <cellStyle name="Обычный 6 4 6 4 3" xfId="19564"/>
    <cellStyle name="Обычный 6 4 6 4 3 2" xfId="19565"/>
    <cellStyle name="Обычный 6 4 6 4 3 3" xfId="19566"/>
    <cellStyle name="Обычный 6 4 6 4 4" xfId="19567"/>
    <cellStyle name="Обычный 6 4 6 4 4 2" xfId="19568"/>
    <cellStyle name="Обычный 6 4 6 4 5" xfId="19569"/>
    <cellStyle name="Обычный 6 4 6 4 6" xfId="19570"/>
    <cellStyle name="Обычный 6 4 6 5" xfId="19571"/>
    <cellStyle name="Обычный 6 4 6 5 2" xfId="19572"/>
    <cellStyle name="Обычный 6 4 6 5 3" xfId="19573"/>
    <cellStyle name="Обычный 6 4 6 6" xfId="19574"/>
    <cellStyle name="Обычный 6 4 6 6 2" xfId="19575"/>
    <cellStyle name="Обычный 6 4 6 6 3" xfId="19576"/>
    <cellStyle name="Обычный 6 4 6 7" xfId="19577"/>
    <cellStyle name="Обычный 6 4 6 7 2" xfId="19578"/>
    <cellStyle name="Обычный 6 4 6 8" xfId="19579"/>
    <cellStyle name="Обычный 6 4 6 9" xfId="19580"/>
    <cellStyle name="Обычный 6 4 7" xfId="19581"/>
    <cellStyle name="Обычный 6 4 7 2" xfId="19582"/>
    <cellStyle name="Обычный 6 4 7 2 2" xfId="19583"/>
    <cellStyle name="Обычный 6 4 7 2 2 2" xfId="19584"/>
    <cellStyle name="Обычный 6 4 7 2 2 2 2" xfId="19585"/>
    <cellStyle name="Обычный 6 4 7 2 2 2 3" xfId="19586"/>
    <cellStyle name="Обычный 6 4 7 2 2 3" xfId="19587"/>
    <cellStyle name="Обычный 6 4 7 2 2 3 2" xfId="19588"/>
    <cellStyle name="Обычный 6 4 7 2 2 3 3" xfId="19589"/>
    <cellStyle name="Обычный 6 4 7 2 2 4" xfId="19590"/>
    <cellStyle name="Обычный 6 4 7 2 2 4 2" xfId="19591"/>
    <cellStyle name="Обычный 6 4 7 2 2 5" xfId="19592"/>
    <cellStyle name="Обычный 6 4 7 2 2 6" xfId="19593"/>
    <cellStyle name="Обычный 6 4 7 2 3" xfId="19594"/>
    <cellStyle name="Обычный 6 4 7 2 3 2" xfId="19595"/>
    <cellStyle name="Обычный 6 4 7 2 3 3" xfId="19596"/>
    <cellStyle name="Обычный 6 4 7 2 4" xfId="19597"/>
    <cellStyle name="Обычный 6 4 7 2 4 2" xfId="19598"/>
    <cellStyle name="Обычный 6 4 7 2 4 3" xfId="19599"/>
    <cellStyle name="Обычный 6 4 7 2 5" xfId="19600"/>
    <cellStyle name="Обычный 6 4 7 2 5 2" xfId="19601"/>
    <cellStyle name="Обычный 6 4 7 2 6" xfId="19602"/>
    <cellStyle name="Обычный 6 4 7 2 7" xfId="19603"/>
    <cellStyle name="Обычный 6 4 7 3" xfId="19604"/>
    <cellStyle name="Обычный 6 4 7 3 2" xfId="19605"/>
    <cellStyle name="Обычный 6 4 7 3 2 2" xfId="19606"/>
    <cellStyle name="Обычный 6 4 7 3 2 3" xfId="19607"/>
    <cellStyle name="Обычный 6 4 7 3 3" xfId="19608"/>
    <cellStyle name="Обычный 6 4 7 3 3 2" xfId="19609"/>
    <cellStyle name="Обычный 6 4 7 3 3 3" xfId="19610"/>
    <cellStyle name="Обычный 6 4 7 3 4" xfId="19611"/>
    <cellStyle name="Обычный 6 4 7 3 4 2" xfId="19612"/>
    <cellStyle name="Обычный 6 4 7 3 5" xfId="19613"/>
    <cellStyle name="Обычный 6 4 7 3 6" xfId="19614"/>
    <cellStyle name="Обычный 6 4 7 4" xfId="19615"/>
    <cellStyle name="Обычный 6 4 7 4 2" xfId="19616"/>
    <cellStyle name="Обычный 6 4 7 4 3" xfId="19617"/>
    <cellStyle name="Обычный 6 4 7 5" xfId="19618"/>
    <cellStyle name="Обычный 6 4 7 5 2" xfId="19619"/>
    <cellStyle name="Обычный 6 4 7 5 3" xfId="19620"/>
    <cellStyle name="Обычный 6 4 7 6" xfId="19621"/>
    <cellStyle name="Обычный 6 4 7 6 2" xfId="19622"/>
    <cellStyle name="Обычный 6 4 7 7" xfId="19623"/>
    <cellStyle name="Обычный 6 4 7 8" xfId="19624"/>
    <cellStyle name="Обычный 6 4 8" xfId="19625"/>
    <cellStyle name="Обычный 6 4 8 2" xfId="19626"/>
    <cellStyle name="Обычный 6 4 8 2 2" xfId="19627"/>
    <cellStyle name="Обычный 6 4 8 2 2 2" xfId="19628"/>
    <cellStyle name="Обычный 6 4 8 2 2 3" xfId="19629"/>
    <cellStyle name="Обычный 6 4 8 2 3" xfId="19630"/>
    <cellStyle name="Обычный 6 4 8 2 3 2" xfId="19631"/>
    <cellStyle name="Обычный 6 4 8 2 3 3" xfId="19632"/>
    <cellStyle name="Обычный 6 4 8 2 4" xfId="19633"/>
    <cellStyle name="Обычный 6 4 8 2 4 2" xfId="19634"/>
    <cellStyle name="Обычный 6 4 8 2 5" xfId="19635"/>
    <cellStyle name="Обычный 6 4 8 2 6" xfId="19636"/>
    <cellStyle name="Обычный 6 4 8 3" xfId="19637"/>
    <cellStyle name="Обычный 6 4 8 3 2" xfId="19638"/>
    <cellStyle name="Обычный 6 4 8 3 3" xfId="19639"/>
    <cellStyle name="Обычный 6 4 8 4" xfId="19640"/>
    <cellStyle name="Обычный 6 4 8 4 2" xfId="19641"/>
    <cellStyle name="Обычный 6 4 8 4 3" xfId="19642"/>
    <cellStyle name="Обычный 6 4 8 5" xfId="19643"/>
    <cellStyle name="Обычный 6 4 8 5 2" xfId="19644"/>
    <cellStyle name="Обычный 6 4 8 6" xfId="19645"/>
    <cellStyle name="Обычный 6 4 8 7" xfId="19646"/>
    <cellStyle name="Обычный 6 4 9" xfId="19647"/>
    <cellStyle name="Обычный 6 4 9 2" xfId="19648"/>
    <cellStyle name="Обычный 6 4 9 2 2" xfId="19649"/>
    <cellStyle name="Обычный 6 4 9 2 3" xfId="19650"/>
    <cellStyle name="Обычный 6 4 9 3" xfId="19651"/>
    <cellStyle name="Обычный 6 4 9 3 2" xfId="19652"/>
    <cellStyle name="Обычный 6 4 9 3 3" xfId="19653"/>
    <cellStyle name="Обычный 6 4 9 4" xfId="19654"/>
    <cellStyle name="Обычный 6 4 9 4 2" xfId="19655"/>
    <cellStyle name="Обычный 6 4 9 5" xfId="19656"/>
    <cellStyle name="Обычный 6 4 9 6" xfId="19657"/>
    <cellStyle name="Обычный 6 5" xfId="19658"/>
    <cellStyle name="Обычный 6 5 10" xfId="19659"/>
    <cellStyle name="Обычный 6 5 10 2" xfId="19660"/>
    <cellStyle name="Обычный 6 5 10 3" xfId="19661"/>
    <cellStyle name="Обычный 6 5 11" xfId="19662"/>
    <cellStyle name="Обычный 6 5 11 2" xfId="19663"/>
    <cellStyle name="Обычный 6 5 11 3" xfId="19664"/>
    <cellStyle name="Обычный 6 5 12" xfId="19665"/>
    <cellStyle name="Обычный 6 5 12 2" xfId="19666"/>
    <cellStyle name="Обычный 6 5 13" xfId="19667"/>
    <cellStyle name="Обычный 6 5 14" xfId="19668"/>
    <cellStyle name="Обычный 6 5 2" xfId="19669"/>
    <cellStyle name="Обычный 6 5 2 10" xfId="19670"/>
    <cellStyle name="Обычный 6 5 2 10 2" xfId="19671"/>
    <cellStyle name="Обычный 6 5 2 10 3" xfId="19672"/>
    <cellStyle name="Обычный 6 5 2 11" xfId="19673"/>
    <cellStyle name="Обычный 6 5 2 11 2" xfId="19674"/>
    <cellStyle name="Обычный 6 5 2 12" xfId="19675"/>
    <cellStyle name="Обычный 6 5 2 13" xfId="19676"/>
    <cellStyle name="Обычный 6 5 2 2" xfId="19677"/>
    <cellStyle name="Обычный 6 5 2 2 10" xfId="19678"/>
    <cellStyle name="Обычный 6 5 2 2 2" xfId="19679"/>
    <cellStyle name="Обычный 6 5 2 2 2 2" xfId="19680"/>
    <cellStyle name="Обычный 6 5 2 2 2 2 2" xfId="19681"/>
    <cellStyle name="Обычный 6 5 2 2 2 2 2 2" xfId="19682"/>
    <cellStyle name="Обычный 6 5 2 2 2 2 2 2 2" xfId="19683"/>
    <cellStyle name="Обычный 6 5 2 2 2 2 2 2 2 2" xfId="19684"/>
    <cellStyle name="Обычный 6 5 2 2 2 2 2 2 2 3" xfId="19685"/>
    <cellStyle name="Обычный 6 5 2 2 2 2 2 2 3" xfId="19686"/>
    <cellStyle name="Обычный 6 5 2 2 2 2 2 2 3 2" xfId="19687"/>
    <cellStyle name="Обычный 6 5 2 2 2 2 2 2 3 3" xfId="19688"/>
    <cellStyle name="Обычный 6 5 2 2 2 2 2 2 4" xfId="19689"/>
    <cellStyle name="Обычный 6 5 2 2 2 2 2 2 4 2" xfId="19690"/>
    <cellStyle name="Обычный 6 5 2 2 2 2 2 2 5" xfId="19691"/>
    <cellStyle name="Обычный 6 5 2 2 2 2 2 2 6" xfId="19692"/>
    <cellStyle name="Обычный 6 5 2 2 2 2 2 3" xfId="19693"/>
    <cellStyle name="Обычный 6 5 2 2 2 2 2 3 2" xfId="19694"/>
    <cellStyle name="Обычный 6 5 2 2 2 2 2 3 3" xfId="19695"/>
    <cellStyle name="Обычный 6 5 2 2 2 2 2 4" xfId="19696"/>
    <cellStyle name="Обычный 6 5 2 2 2 2 2 4 2" xfId="19697"/>
    <cellStyle name="Обычный 6 5 2 2 2 2 2 4 3" xfId="19698"/>
    <cellStyle name="Обычный 6 5 2 2 2 2 2 5" xfId="19699"/>
    <cellStyle name="Обычный 6 5 2 2 2 2 2 5 2" xfId="19700"/>
    <cellStyle name="Обычный 6 5 2 2 2 2 2 6" xfId="19701"/>
    <cellStyle name="Обычный 6 5 2 2 2 2 2 7" xfId="19702"/>
    <cellStyle name="Обычный 6 5 2 2 2 2 3" xfId="19703"/>
    <cellStyle name="Обычный 6 5 2 2 2 2 3 2" xfId="19704"/>
    <cellStyle name="Обычный 6 5 2 2 2 2 3 2 2" xfId="19705"/>
    <cellStyle name="Обычный 6 5 2 2 2 2 3 2 3" xfId="19706"/>
    <cellStyle name="Обычный 6 5 2 2 2 2 3 3" xfId="19707"/>
    <cellStyle name="Обычный 6 5 2 2 2 2 3 3 2" xfId="19708"/>
    <cellStyle name="Обычный 6 5 2 2 2 2 3 3 3" xfId="19709"/>
    <cellStyle name="Обычный 6 5 2 2 2 2 3 4" xfId="19710"/>
    <cellStyle name="Обычный 6 5 2 2 2 2 3 4 2" xfId="19711"/>
    <cellStyle name="Обычный 6 5 2 2 2 2 3 5" xfId="19712"/>
    <cellStyle name="Обычный 6 5 2 2 2 2 3 6" xfId="19713"/>
    <cellStyle name="Обычный 6 5 2 2 2 2 4" xfId="19714"/>
    <cellStyle name="Обычный 6 5 2 2 2 2 4 2" xfId="19715"/>
    <cellStyle name="Обычный 6 5 2 2 2 2 4 3" xfId="19716"/>
    <cellStyle name="Обычный 6 5 2 2 2 2 5" xfId="19717"/>
    <cellStyle name="Обычный 6 5 2 2 2 2 5 2" xfId="19718"/>
    <cellStyle name="Обычный 6 5 2 2 2 2 5 3" xfId="19719"/>
    <cellStyle name="Обычный 6 5 2 2 2 2 6" xfId="19720"/>
    <cellStyle name="Обычный 6 5 2 2 2 2 6 2" xfId="19721"/>
    <cellStyle name="Обычный 6 5 2 2 2 2 7" xfId="19722"/>
    <cellStyle name="Обычный 6 5 2 2 2 2 8" xfId="19723"/>
    <cellStyle name="Обычный 6 5 2 2 2 3" xfId="19724"/>
    <cellStyle name="Обычный 6 5 2 2 2 3 2" xfId="19725"/>
    <cellStyle name="Обычный 6 5 2 2 2 3 2 2" xfId="19726"/>
    <cellStyle name="Обычный 6 5 2 2 2 3 2 2 2" xfId="19727"/>
    <cellStyle name="Обычный 6 5 2 2 2 3 2 2 3" xfId="19728"/>
    <cellStyle name="Обычный 6 5 2 2 2 3 2 3" xfId="19729"/>
    <cellStyle name="Обычный 6 5 2 2 2 3 2 3 2" xfId="19730"/>
    <cellStyle name="Обычный 6 5 2 2 2 3 2 3 3" xfId="19731"/>
    <cellStyle name="Обычный 6 5 2 2 2 3 2 4" xfId="19732"/>
    <cellStyle name="Обычный 6 5 2 2 2 3 2 4 2" xfId="19733"/>
    <cellStyle name="Обычный 6 5 2 2 2 3 2 5" xfId="19734"/>
    <cellStyle name="Обычный 6 5 2 2 2 3 2 6" xfId="19735"/>
    <cellStyle name="Обычный 6 5 2 2 2 3 3" xfId="19736"/>
    <cellStyle name="Обычный 6 5 2 2 2 3 3 2" xfId="19737"/>
    <cellStyle name="Обычный 6 5 2 2 2 3 3 3" xfId="19738"/>
    <cellStyle name="Обычный 6 5 2 2 2 3 4" xfId="19739"/>
    <cellStyle name="Обычный 6 5 2 2 2 3 4 2" xfId="19740"/>
    <cellStyle name="Обычный 6 5 2 2 2 3 4 3" xfId="19741"/>
    <cellStyle name="Обычный 6 5 2 2 2 3 5" xfId="19742"/>
    <cellStyle name="Обычный 6 5 2 2 2 3 5 2" xfId="19743"/>
    <cellStyle name="Обычный 6 5 2 2 2 3 6" xfId="19744"/>
    <cellStyle name="Обычный 6 5 2 2 2 3 7" xfId="19745"/>
    <cellStyle name="Обычный 6 5 2 2 2 4" xfId="19746"/>
    <cellStyle name="Обычный 6 5 2 2 2 4 2" xfId="19747"/>
    <cellStyle name="Обычный 6 5 2 2 2 4 2 2" xfId="19748"/>
    <cellStyle name="Обычный 6 5 2 2 2 4 2 3" xfId="19749"/>
    <cellStyle name="Обычный 6 5 2 2 2 4 3" xfId="19750"/>
    <cellStyle name="Обычный 6 5 2 2 2 4 3 2" xfId="19751"/>
    <cellStyle name="Обычный 6 5 2 2 2 4 3 3" xfId="19752"/>
    <cellStyle name="Обычный 6 5 2 2 2 4 4" xfId="19753"/>
    <cellStyle name="Обычный 6 5 2 2 2 4 4 2" xfId="19754"/>
    <cellStyle name="Обычный 6 5 2 2 2 4 5" xfId="19755"/>
    <cellStyle name="Обычный 6 5 2 2 2 4 6" xfId="19756"/>
    <cellStyle name="Обычный 6 5 2 2 2 5" xfId="19757"/>
    <cellStyle name="Обычный 6 5 2 2 2 5 2" xfId="19758"/>
    <cellStyle name="Обычный 6 5 2 2 2 5 3" xfId="19759"/>
    <cellStyle name="Обычный 6 5 2 2 2 6" xfId="19760"/>
    <cellStyle name="Обычный 6 5 2 2 2 6 2" xfId="19761"/>
    <cellStyle name="Обычный 6 5 2 2 2 6 3" xfId="19762"/>
    <cellStyle name="Обычный 6 5 2 2 2 7" xfId="19763"/>
    <cellStyle name="Обычный 6 5 2 2 2 7 2" xfId="19764"/>
    <cellStyle name="Обычный 6 5 2 2 2 8" xfId="19765"/>
    <cellStyle name="Обычный 6 5 2 2 2 9" xfId="19766"/>
    <cellStyle name="Обычный 6 5 2 2 3" xfId="19767"/>
    <cellStyle name="Обычный 6 5 2 2 3 2" xfId="19768"/>
    <cellStyle name="Обычный 6 5 2 2 3 2 2" xfId="19769"/>
    <cellStyle name="Обычный 6 5 2 2 3 2 2 2" xfId="19770"/>
    <cellStyle name="Обычный 6 5 2 2 3 2 2 2 2" xfId="19771"/>
    <cellStyle name="Обычный 6 5 2 2 3 2 2 2 3" xfId="19772"/>
    <cellStyle name="Обычный 6 5 2 2 3 2 2 3" xfId="19773"/>
    <cellStyle name="Обычный 6 5 2 2 3 2 2 3 2" xfId="19774"/>
    <cellStyle name="Обычный 6 5 2 2 3 2 2 3 3" xfId="19775"/>
    <cellStyle name="Обычный 6 5 2 2 3 2 2 4" xfId="19776"/>
    <cellStyle name="Обычный 6 5 2 2 3 2 2 4 2" xfId="19777"/>
    <cellStyle name="Обычный 6 5 2 2 3 2 2 5" xfId="19778"/>
    <cellStyle name="Обычный 6 5 2 2 3 2 2 6" xfId="19779"/>
    <cellStyle name="Обычный 6 5 2 2 3 2 3" xfId="19780"/>
    <cellStyle name="Обычный 6 5 2 2 3 2 3 2" xfId="19781"/>
    <cellStyle name="Обычный 6 5 2 2 3 2 3 3" xfId="19782"/>
    <cellStyle name="Обычный 6 5 2 2 3 2 4" xfId="19783"/>
    <cellStyle name="Обычный 6 5 2 2 3 2 4 2" xfId="19784"/>
    <cellStyle name="Обычный 6 5 2 2 3 2 4 3" xfId="19785"/>
    <cellStyle name="Обычный 6 5 2 2 3 2 5" xfId="19786"/>
    <cellStyle name="Обычный 6 5 2 2 3 2 5 2" xfId="19787"/>
    <cellStyle name="Обычный 6 5 2 2 3 2 6" xfId="19788"/>
    <cellStyle name="Обычный 6 5 2 2 3 2 7" xfId="19789"/>
    <cellStyle name="Обычный 6 5 2 2 3 3" xfId="19790"/>
    <cellStyle name="Обычный 6 5 2 2 3 3 2" xfId="19791"/>
    <cellStyle name="Обычный 6 5 2 2 3 3 2 2" xfId="19792"/>
    <cellStyle name="Обычный 6 5 2 2 3 3 2 3" xfId="19793"/>
    <cellStyle name="Обычный 6 5 2 2 3 3 3" xfId="19794"/>
    <cellStyle name="Обычный 6 5 2 2 3 3 3 2" xfId="19795"/>
    <cellStyle name="Обычный 6 5 2 2 3 3 3 3" xfId="19796"/>
    <cellStyle name="Обычный 6 5 2 2 3 3 4" xfId="19797"/>
    <cellStyle name="Обычный 6 5 2 2 3 3 4 2" xfId="19798"/>
    <cellStyle name="Обычный 6 5 2 2 3 3 5" xfId="19799"/>
    <cellStyle name="Обычный 6 5 2 2 3 3 6" xfId="19800"/>
    <cellStyle name="Обычный 6 5 2 2 3 4" xfId="19801"/>
    <cellStyle name="Обычный 6 5 2 2 3 4 2" xfId="19802"/>
    <cellStyle name="Обычный 6 5 2 2 3 4 3" xfId="19803"/>
    <cellStyle name="Обычный 6 5 2 2 3 5" xfId="19804"/>
    <cellStyle name="Обычный 6 5 2 2 3 5 2" xfId="19805"/>
    <cellStyle name="Обычный 6 5 2 2 3 5 3" xfId="19806"/>
    <cellStyle name="Обычный 6 5 2 2 3 6" xfId="19807"/>
    <cellStyle name="Обычный 6 5 2 2 3 6 2" xfId="19808"/>
    <cellStyle name="Обычный 6 5 2 2 3 7" xfId="19809"/>
    <cellStyle name="Обычный 6 5 2 2 3 8" xfId="19810"/>
    <cellStyle name="Обычный 6 5 2 2 4" xfId="19811"/>
    <cellStyle name="Обычный 6 5 2 2 4 2" xfId="19812"/>
    <cellStyle name="Обычный 6 5 2 2 4 2 2" xfId="19813"/>
    <cellStyle name="Обычный 6 5 2 2 4 2 2 2" xfId="19814"/>
    <cellStyle name="Обычный 6 5 2 2 4 2 2 3" xfId="19815"/>
    <cellStyle name="Обычный 6 5 2 2 4 2 3" xfId="19816"/>
    <cellStyle name="Обычный 6 5 2 2 4 2 3 2" xfId="19817"/>
    <cellStyle name="Обычный 6 5 2 2 4 2 3 3" xfId="19818"/>
    <cellStyle name="Обычный 6 5 2 2 4 2 4" xfId="19819"/>
    <cellStyle name="Обычный 6 5 2 2 4 2 4 2" xfId="19820"/>
    <cellStyle name="Обычный 6 5 2 2 4 2 5" xfId="19821"/>
    <cellStyle name="Обычный 6 5 2 2 4 2 6" xfId="19822"/>
    <cellStyle name="Обычный 6 5 2 2 4 3" xfId="19823"/>
    <cellStyle name="Обычный 6 5 2 2 4 3 2" xfId="19824"/>
    <cellStyle name="Обычный 6 5 2 2 4 3 3" xfId="19825"/>
    <cellStyle name="Обычный 6 5 2 2 4 4" xfId="19826"/>
    <cellStyle name="Обычный 6 5 2 2 4 4 2" xfId="19827"/>
    <cellStyle name="Обычный 6 5 2 2 4 4 3" xfId="19828"/>
    <cellStyle name="Обычный 6 5 2 2 4 5" xfId="19829"/>
    <cellStyle name="Обычный 6 5 2 2 4 5 2" xfId="19830"/>
    <cellStyle name="Обычный 6 5 2 2 4 6" xfId="19831"/>
    <cellStyle name="Обычный 6 5 2 2 4 7" xfId="19832"/>
    <cellStyle name="Обычный 6 5 2 2 5" xfId="19833"/>
    <cellStyle name="Обычный 6 5 2 2 5 2" xfId="19834"/>
    <cellStyle name="Обычный 6 5 2 2 5 2 2" xfId="19835"/>
    <cellStyle name="Обычный 6 5 2 2 5 2 3" xfId="19836"/>
    <cellStyle name="Обычный 6 5 2 2 5 3" xfId="19837"/>
    <cellStyle name="Обычный 6 5 2 2 5 3 2" xfId="19838"/>
    <cellStyle name="Обычный 6 5 2 2 5 3 3" xfId="19839"/>
    <cellStyle name="Обычный 6 5 2 2 5 4" xfId="19840"/>
    <cellStyle name="Обычный 6 5 2 2 5 4 2" xfId="19841"/>
    <cellStyle name="Обычный 6 5 2 2 5 5" xfId="19842"/>
    <cellStyle name="Обычный 6 5 2 2 5 6" xfId="19843"/>
    <cellStyle name="Обычный 6 5 2 2 6" xfId="19844"/>
    <cellStyle name="Обычный 6 5 2 2 6 2" xfId="19845"/>
    <cellStyle name="Обычный 6 5 2 2 6 3" xfId="19846"/>
    <cellStyle name="Обычный 6 5 2 2 7" xfId="19847"/>
    <cellStyle name="Обычный 6 5 2 2 7 2" xfId="19848"/>
    <cellStyle name="Обычный 6 5 2 2 7 3" xfId="19849"/>
    <cellStyle name="Обычный 6 5 2 2 8" xfId="19850"/>
    <cellStyle name="Обычный 6 5 2 2 8 2" xfId="19851"/>
    <cellStyle name="Обычный 6 5 2 2 9" xfId="19852"/>
    <cellStyle name="Обычный 6 5 2 3" xfId="19853"/>
    <cellStyle name="Обычный 6 5 2 3 10" xfId="19854"/>
    <cellStyle name="Обычный 6 5 2 3 2" xfId="19855"/>
    <cellStyle name="Обычный 6 5 2 3 2 2" xfId="19856"/>
    <cellStyle name="Обычный 6 5 2 3 2 2 2" xfId="19857"/>
    <cellStyle name="Обычный 6 5 2 3 2 2 2 2" xfId="19858"/>
    <cellStyle name="Обычный 6 5 2 3 2 2 2 2 2" xfId="19859"/>
    <cellStyle name="Обычный 6 5 2 3 2 2 2 2 2 2" xfId="19860"/>
    <cellStyle name="Обычный 6 5 2 3 2 2 2 2 2 3" xfId="19861"/>
    <cellStyle name="Обычный 6 5 2 3 2 2 2 2 3" xfId="19862"/>
    <cellStyle name="Обычный 6 5 2 3 2 2 2 2 3 2" xfId="19863"/>
    <cellStyle name="Обычный 6 5 2 3 2 2 2 2 3 3" xfId="19864"/>
    <cellStyle name="Обычный 6 5 2 3 2 2 2 2 4" xfId="19865"/>
    <cellStyle name="Обычный 6 5 2 3 2 2 2 2 4 2" xfId="19866"/>
    <cellStyle name="Обычный 6 5 2 3 2 2 2 2 5" xfId="19867"/>
    <cellStyle name="Обычный 6 5 2 3 2 2 2 2 6" xfId="19868"/>
    <cellStyle name="Обычный 6 5 2 3 2 2 2 3" xfId="19869"/>
    <cellStyle name="Обычный 6 5 2 3 2 2 2 3 2" xfId="19870"/>
    <cellStyle name="Обычный 6 5 2 3 2 2 2 3 3" xfId="19871"/>
    <cellStyle name="Обычный 6 5 2 3 2 2 2 4" xfId="19872"/>
    <cellStyle name="Обычный 6 5 2 3 2 2 2 4 2" xfId="19873"/>
    <cellStyle name="Обычный 6 5 2 3 2 2 2 4 3" xfId="19874"/>
    <cellStyle name="Обычный 6 5 2 3 2 2 2 5" xfId="19875"/>
    <cellStyle name="Обычный 6 5 2 3 2 2 2 5 2" xfId="19876"/>
    <cellStyle name="Обычный 6 5 2 3 2 2 2 6" xfId="19877"/>
    <cellStyle name="Обычный 6 5 2 3 2 2 2 7" xfId="19878"/>
    <cellStyle name="Обычный 6 5 2 3 2 2 3" xfId="19879"/>
    <cellStyle name="Обычный 6 5 2 3 2 2 3 2" xfId="19880"/>
    <cellStyle name="Обычный 6 5 2 3 2 2 3 2 2" xfId="19881"/>
    <cellStyle name="Обычный 6 5 2 3 2 2 3 2 3" xfId="19882"/>
    <cellStyle name="Обычный 6 5 2 3 2 2 3 3" xfId="19883"/>
    <cellStyle name="Обычный 6 5 2 3 2 2 3 3 2" xfId="19884"/>
    <cellStyle name="Обычный 6 5 2 3 2 2 3 3 3" xfId="19885"/>
    <cellStyle name="Обычный 6 5 2 3 2 2 3 4" xfId="19886"/>
    <cellStyle name="Обычный 6 5 2 3 2 2 3 4 2" xfId="19887"/>
    <cellStyle name="Обычный 6 5 2 3 2 2 3 5" xfId="19888"/>
    <cellStyle name="Обычный 6 5 2 3 2 2 3 6" xfId="19889"/>
    <cellStyle name="Обычный 6 5 2 3 2 2 4" xfId="19890"/>
    <cellStyle name="Обычный 6 5 2 3 2 2 4 2" xfId="19891"/>
    <cellStyle name="Обычный 6 5 2 3 2 2 4 3" xfId="19892"/>
    <cellStyle name="Обычный 6 5 2 3 2 2 5" xfId="19893"/>
    <cellStyle name="Обычный 6 5 2 3 2 2 5 2" xfId="19894"/>
    <cellStyle name="Обычный 6 5 2 3 2 2 5 3" xfId="19895"/>
    <cellStyle name="Обычный 6 5 2 3 2 2 6" xfId="19896"/>
    <cellStyle name="Обычный 6 5 2 3 2 2 6 2" xfId="19897"/>
    <cellStyle name="Обычный 6 5 2 3 2 2 7" xfId="19898"/>
    <cellStyle name="Обычный 6 5 2 3 2 2 8" xfId="19899"/>
    <cellStyle name="Обычный 6 5 2 3 2 3" xfId="19900"/>
    <cellStyle name="Обычный 6 5 2 3 2 3 2" xfId="19901"/>
    <cellStyle name="Обычный 6 5 2 3 2 3 2 2" xfId="19902"/>
    <cellStyle name="Обычный 6 5 2 3 2 3 2 2 2" xfId="19903"/>
    <cellStyle name="Обычный 6 5 2 3 2 3 2 2 3" xfId="19904"/>
    <cellStyle name="Обычный 6 5 2 3 2 3 2 3" xfId="19905"/>
    <cellStyle name="Обычный 6 5 2 3 2 3 2 3 2" xfId="19906"/>
    <cellStyle name="Обычный 6 5 2 3 2 3 2 3 3" xfId="19907"/>
    <cellStyle name="Обычный 6 5 2 3 2 3 2 4" xfId="19908"/>
    <cellStyle name="Обычный 6 5 2 3 2 3 2 4 2" xfId="19909"/>
    <cellStyle name="Обычный 6 5 2 3 2 3 2 5" xfId="19910"/>
    <cellStyle name="Обычный 6 5 2 3 2 3 2 6" xfId="19911"/>
    <cellStyle name="Обычный 6 5 2 3 2 3 3" xfId="19912"/>
    <cellStyle name="Обычный 6 5 2 3 2 3 3 2" xfId="19913"/>
    <cellStyle name="Обычный 6 5 2 3 2 3 3 3" xfId="19914"/>
    <cellStyle name="Обычный 6 5 2 3 2 3 4" xfId="19915"/>
    <cellStyle name="Обычный 6 5 2 3 2 3 4 2" xfId="19916"/>
    <cellStyle name="Обычный 6 5 2 3 2 3 4 3" xfId="19917"/>
    <cellStyle name="Обычный 6 5 2 3 2 3 5" xfId="19918"/>
    <cellStyle name="Обычный 6 5 2 3 2 3 5 2" xfId="19919"/>
    <cellStyle name="Обычный 6 5 2 3 2 3 6" xfId="19920"/>
    <cellStyle name="Обычный 6 5 2 3 2 3 7" xfId="19921"/>
    <cellStyle name="Обычный 6 5 2 3 2 4" xfId="19922"/>
    <cellStyle name="Обычный 6 5 2 3 2 4 2" xfId="19923"/>
    <cellStyle name="Обычный 6 5 2 3 2 4 2 2" xfId="19924"/>
    <cellStyle name="Обычный 6 5 2 3 2 4 2 3" xfId="19925"/>
    <cellStyle name="Обычный 6 5 2 3 2 4 3" xfId="19926"/>
    <cellStyle name="Обычный 6 5 2 3 2 4 3 2" xfId="19927"/>
    <cellStyle name="Обычный 6 5 2 3 2 4 3 3" xfId="19928"/>
    <cellStyle name="Обычный 6 5 2 3 2 4 4" xfId="19929"/>
    <cellStyle name="Обычный 6 5 2 3 2 4 4 2" xfId="19930"/>
    <cellStyle name="Обычный 6 5 2 3 2 4 5" xfId="19931"/>
    <cellStyle name="Обычный 6 5 2 3 2 4 6" xfId="19932"/>
    <cellStyle name="Обычный 6 5 2 3 2 5" xfId="19933"/>
    <cellStyle name="Обычный 6 5 2 3 2 5 2" xfId="19934"/>
    <cellStyle name="Обычный 6 5 2 3 2 5 3" xfId="19935"/>
    <cellStyle name="Обычный 6 5 2 3 2 6" xfId="19936"/>
    <cellStyle name="Обычный 6 5 2 3 2 6 2" xfId="19937"/>
    <cellStyle name="Обычный 6 5 2 3 2 6 3" xfId="19938"/>
    <cellStyle name="Обычный 6 5 2 3 2 7" xfId="19939"/>
    <cellStyle name="Обычный 6 5 2 3 2 7 2" xfId="19940"/>
    <cellStyle name="Обычный 6 5 2 3 2 8" xfId="19941"/>
    <cellStyle name="Обычный 6 5 2 3 2 9" xfId="19942"/>
    <cellStyle name="Обычный 6 5 2 3 3" xfId="19943"/>
    <cellStyle name="Обычный 6 5 2 3 3 2" xfId="19944"/>
    <cellStyle name="Обычный 6 5 2 3 3 2 2" xfId="19945"/>
    <cellStyle name="Обычный 6 5 2 3 3 2 2 2" xfId="19946"/>
    <cellStyle name="Обычный 6 5 2 3 3 2 2 2 2" xfId="19947"/>
    <cellStyle name="Обычный 6 5 2 3 3 2 2 2 3" xfId="19948"/>
    <cellStyle name="Обычный 6 5 2 3 3 2 2 3" xfId="19949"/>
    <cellStyle name="Обычный 6 5 2 3 3 2 2 3 2" xfId="19950"/>
    <cellStyle name="Обычный 6 5 2 3 3 2 2 3 3" xfId="19951"/>
    <cellStyle name="Обычный 6 5 2 3 3 2 2 4" xfId="19952"/>
    <cellStyle name="Обычный 6 5 2 3 3 2 2 4 2" xfId="19953"/>
    <cellStyle name="Обычный 6 5 2 3 3 2 2 5" xfId="19954"/>
    <cellStyle name="Обычный 6 5 2 3 3 2 2 6" xfId="19955"/>
    <cellStyle name="Обычный 6 5 2 3 3 2 3" xfId="19956"/>
    <cellStyle name="Обычный 6 5 2 3 3 2 3 2" xfId="19957"/>
    <cellStyle name="Обычный 6 5 2 3 3 2 3 3" xfId="19958"/>
    <cellStyle name="Обычный 6 5 2 3 3 2 4" xfId="19959"/>
    <cellStyle name="Обычный 6 5 2 3 3 2 4 2" xfId="19960"/>
    <cellStyle name="Обычный 6 5 2 3 3 2 4 3" xfId="19961"/>
    <cellStyle name="Обычный 6 5 2 3 3 2 5" xfId="19962"/>
    <cellStyle name="Обычный 6 5 2 3 3 2 5 2" xfId="19963"/>
    <cellStyle name="Обычный 6 5 2 3 3 2 6" xfId="19964"/>
    <cellStyle name="Обычный 6 5 2 3 3 2 7" xfId="19965"/>
    <cellStyle name="Обычный 6 5 2 3 3 3" xfId="19966"/>
    <cellStyle name="Обычный 6 5 2 3 3 3 2" xfId="19967"/>
    <cellStyle name="Обычный 6 5 2 3 3 3 2 2" xfId="19968"/>
    <cellStyle name="Обычный 6 5 2 3 3 3 2 3" xfId="19969"/>
    <cellStyle name="Обычный 6 5 2 3 3 3 3" xfId="19970"/>
    <cellStyle name="Обычный 6 5 2 3 3 3 3 2" xfId="19971"/>
    <cellStyle name="Обычный 6 5 2 3 3 3 3 3" xfId="19972"/>
    <cellStyle name="Обычный 6 5 2 3 3 3 4" xfId="19973"/>
    <cellStyle name="Обычный 6 5 2 3 3 3 4 2" xfId="19974"/>
    <cellStyle name="Обычный 6 5 2 3 3 3 5" xfId="19975"/>
    <cellStyle name="Обычный 6 5 2 3 3 3 6" xfId="19976"/>
    <cellStyle name="Обычный 6 5 2 3 3 4" xfId="19977"/>
    <cellStyle name="Обычный 6 5 2 3 3 4 2" xfId="19978"/>
    <cellStyle name="Обычный 6 5 2 3 3 4 3" xfId="19979"/>
    <cellStyle name="Обычный 6 5 2 3 3 5" xfId="19980"/>
    <cellStyle name="Обычный 6 5 2 3 3 5 2" xfId="19981"/>
    <cellStyle name="Обычный 6 5 2 3 3 5 3" xfId="19982"/>
    <cellStyle name="Обычный 6 5 2 3 3 6" xfId="19983"/>
    <cellStyle name="Обычный 6 5 2 3 3 6 2" xfId="19984"/>
    <cellStyle name="Обычный 6 5 2 3 3 7" xfId="19985"/>
    <cellStyle name="Обычный 6 5 2 3 3 8" xfId="19986"/>
    <cellStyle name="Обычный 6 5 2 3 4" xfId="19987"/>
    <cellStyle name="Обычный 6 5 2 3 4 2" xfId="19988"/>
    <cellStyle name="Обычный 6 5 2 3 4 2 2" xfId="19989"/>
    <cellStyle name="Обычный 6 5 2 3 4 2 2 2" xfId="19990"/>
    <cellStyle name="Обычный 6 5 2 3 4 2 2 3" xfId="19991"/>
    <cellStyle name="Обычный 6 5 2 3 4 2 3" xfId="19992"/>
    <cellStyle name="Обычный 6 5 2 3 4 2 3 2" xfId="19993"/>
    <cellStyle name="Обычный 6 5 2 3 4 2 3 3" xfId="19994"/>
    <cellStyle name="Обычный 6 5 2 3 4 2 4" xfId="19995"/>
    <cellStyle name="Обычный 6 5 2 3 4 2 4 2" xfId="19996"/>
    <cellStyle name="Обычный 6 5 2 3 4 2 5" xfId="19997"/>
    <cellStyle name="Обычный 6 5 2 3 4 2 6" xfId="19998"/>
    <cellStyle name="Обычный 6 5 2 3 4 3" xfId="19999"/>
    <cellStyle name="Обычный 6 5 2 3 4 3 2" xfId="20000"/>
    <cellStyle name="Обычный 6 5 2 3 4 3 3" xfId="20001"/>
    <cellStyle name="Обычный 6 5 2 3 4 4" xfId="20002"/>
    <cellStyle name="Обычный 6 5 2 3 4 4 2" xfId="20003"/>
    <cellStyle name="Обычный 6 5 2 3 4 4 3" xfId="20004"/>
    <cellStyle name="Обычный 6 5 2 3 4 5" xfId="20005"/>
    <cellStyle name="Обычный 6 5 2 3 4 5 2" xfId="20006"/>
    <cellStyle name="Обычный 6 5 2 3 4 6" xfId="20007"/>
    <cellStyle name="Обычный 6 5 2 3 4 7" xfId="20008"/>
    <cellStyle name="Обычный 6 5 2 3 5" xfId="20009"/>
    <cellStyle name="Обычный 6 5 2 3 5 2" xfId="20010"/>
    <cellStyle name="Обычный 6 5 2 3 5 2 2" xfId="20011"/>
    <cellStyle name="Обычный 6 5 2 3 5 2 3" xfId="20012"/>
    <cellStyle name="Обычный 6 5 2 3 5 3" xfId="20013"/>
    <cellStyle name="Обычный 6 5 2 3 5 3 2" xfId="20014"/>
    <cellStyle name="Обычный 6 5 2 3 5 3 3" xfId="20015"/>
    <cellStyle name="Обычный 6 5 2 3 5 4" xfId="20016"/>
    <cellStyle name="Обычный 6 5 2 3 5 4 2" xfId="20017"/>
    <cellStyle name="Обычный 6 5 2 3 5 5" xfId="20018"/>
    <cellStyle name="Обычный 6 5 2 3 5 6" xfId="20019"/>
    <cellStyle name="Обычный 6 5 2 3 6" xfId="20020"/>
    <cellStyle name="Обычный 6 5 2 3 6 2" xfId="20021"/>
    <cellStyle name="Обычный 6 5 2 3 6 3" xfId="20022"/>
    <cellStyle name="Обычный 6 5 2 3 7" xfId="20023"/>
    <cellStyle name="Обычный 6 5 2 3 7 2" xfId="20024"/>
    <cellStyle name="Обычный 6 5 2 3 7 3" xfId="20025"/>
    <cellStyle name="Обычный 6 5 2 3 8" xfId="20026"/>
    <cellStyle name="Обычный 6 5 2 3 8 2" xfId="20027"/>
    <cellStyle name="Обычный 6 5 2 3 9" xfId="20028"/>
    <cellStyle name="Обычный 6 5 2 4" xfId="20029"/>
    <cellStyle name="Обычный 6 5 2 4 10" xfId="20030"/>
    <cellStyle name="Обычный 6 5 2 4 2" xfId="20031"/>
    <cellStyle name="Обычный 6 5 2 4 2 2" xfId="20032"/>
    <cellStyle name="Обычный 6 5 2 4 2 2 2" xfId="20033"/>
    <cellStyle name="Обычный 6 5 2 4 2 2 2 2" xfId="20034"/>
    <cellStyle name="Обычный 6 5 2 4 2 2 2 2 2" xfId="20035"/>
    <cellStyle name="Обычный 6 5 2 4 2 2 2 2 2 2" xfId="20036"/>
    <cellStyle name="Обычный 6 5 2 4 2 2 2 2 2 3" xfId="20037"/>
    <cellStyle name="Обычный 6 5 2 4 2 2 2 2 3" xfId="20038"/>
    <cellStyle name="Обычный 6 5 2 4 2 2 2 2 3 2" xfId="20039"/>
    <cellStyle name="Обычный 6 5 2 4 2 2 2 2 3 3" xfId="20040"/>
    <cellStyle name="Обычный 6 5 2 4 2 2 2 2 4" xfId="20041"/>
    <cellStyle name="Обычный 6 5 2 4 2 2 2 2 4 2" xfId="20042"/>
    <cellStyle name="Обычный 6 5 2 4 2 2 2 2 5" xfId="20043"/>
    <cellStyle name="Обычный 6 5 2 4 2 2 2 2 6" xfId="20044"/>
    <cellStyle name="Обычный 6 5 2 4 2 2 2 3" xfId="20045"/>
    <cellStyle name="Обычный 6 5 2 4 2 2 2 3 2" xfId="20046"/>
    <cellStyle name="Обычный 6 5 2 4 2 2 2 3 3" xfId="20047"/>
    <cellStyle name="Обычный 6 5 2 4 2 2 2 4" xfId="20048"/>
    <cellStyle name="Обычный 6 5 2 4 2 2 2 4 2" xfId="20049"/>
    <cellStyle name="Обычный 6 5 2 4 2 2 2 4 3" xfId="20050"/>
    <cellStyle name="Обычный 6 5 2 4 2 2 2 5" xfId="20051"/>
    <cellStyle name="Обычный 6 5 2 4 2 2 2 5 2" xfId="20052"/>
    <cellStyle name="Обычный 6 5 2 4 2 2 2 6" xfId="20053"/>
    <cellStyle name="Обычный 6 5 2 4 2 2 2 7" xfId="20054"/>
    <cellStyle name="Обычный 6 5 2 4 2 2 3" xfId="20055"/>
    <cellStyle name="Обычный 6 5 2 4 2 2 3 2" xfId="20056"/>
    <cellStyle name="Обычный 6 5 2 4 2 2 3 2 2" xfId="20057"/>
    <cellStyle name="Обычный 6 5 2 4 2 2 3 2 3" xfId="20058"/>
    <cellStyle name="Обычный 6 5 2 4 2 2 3 3" xfId="20059"/>
    <cellStyle name="Обычный 6 5 2 4 2 2 3 3 2" xfId="20060"/>
    <cellStyle name="Обычный 6 5 2 4 2 2 3 3 3" xfId="20061"/>
    <cellStyle name="Обычный 6 5 2 4 2 2 3 4" xfId="20062"/>
    <cellStyle name="Обычный 6 5 2 4 2 2 3 4 2" xfId="20063"/>
    <cellStyle name="Обычный 6 5 2 4 2 2 3 5" xfId="20064"/>
    <cellStyle name="Обычный 6 5 2 4 2 2 3 6" xfId="20065"/>
    <cellStyle name="Обычный 6 5 2 4 2 2 4" xfId="20066"/>
    <cellStyle name="Обычный 6 5 2 4 2 2 4 2" xfId="20067"/>
    <cellStyle name="Обычный 6 5 2 4 2 2 4 3" xfId="20068"/>
    <cellStyle name="Обычный 6 5 2 4 2 2 5" xfId="20069"/>
    <cellStyle name="Обычный 6 5 2 4 2 2 5 2" xfId="20070"/>
    <cellStyle name="Обычный 6 5 2 4 2 2 5 3" xfId="20071"/>
    <cellStyle name="Обычный 6 5 2 4 2 2 6" xfId="20072"/>
    <cellStyle name="Обычный 6 5 2 4 2 2 6 2" xfId="20073"/>
    <cellStyle name="Обычный 6 5 2 4 2 2 7" xfId="20074"/>
    <cellStyle name="Обычный 6 5 2 4 2 2 8" xfId="20075"/>
    <cellStyle name="Обычный 6 5 2 4 2 3" xfId="20076"/>
    <cellStyle name="Обычный 6 5 2 4 2 3 2" xfId="20077"/>
    <cellStyle name="Обычный 6 5 2 4 2 3 2 2" xfId="20078"/>
    <cellStyle name="Обычный 6 5 2 4 2 3 2 2 2" xfId="20079"/>
    <cellStyle name="Обычный 6 5 2 4 2 3 2 2 3" xfId="20080"/>
    <cellStyle name="Обычный 6 5 2 4 2 3 2 3" xfId="20081"/>
    <cellStyle name="Обычный 6 5 2 4 2 3 2 3 2" xfId="20082"/>
    <cellStyle name="Обычный 6 5 2 4 2 3 2 3 3" xfId="20083"/>
    <cellStyle name="Обычный 6 5 2 4 2 3 2 4" xfId="20084"/>
    <cellStyle name="Обычный 6 5 2 4 2 3 2 4 2" xfId="20085"/>
    <cellStyle name="Обычный 6 5 2 4 2 3 2 5" xfId="20086"/>
    <cellStyle name="Обычный 6 5 2 4 2 3 2 6" xfId="20087"/>
    <cellStyle name="Обычный 6 5 2 4 2 3 3" xfId="20088"/>
    <cellStyle name="Обычный 6 5 2 4 2 3 3 2" xfId="20089"/>
    <cellStyle name="Обычный 6 5 2 4 2 3 3 3" xfId="20090"/>
    <cellStyle name="Обычный 6 5 2 4 2 3 4" xfId="20091"/>
    <cellStyle name="Обычный 6 5 2 4 2 3 4 2" xfId="20092"/>
    <cellStyle name="Обычный 6 5 2 4 2 3 4 3" xfId="20093"/>
    <cellStyle name="Обычный 6 5 2 4 2 3 5" xfId="20094"/>
    <cellStyle name="Обычный 6 5 2 4 2 3 5 2" xfId="20095"/>
    <cellStyle name="Обычный 6 5 2 4 2 3 6" xfId="20096"/>
    <cellStyle name="Обычный 6 5 2 4 2 3 7" xfId="20097"/>
    <cellStyle name="Обычный 6 5 2 4 2 4" xfId="20098"/>
    <cellStyle name="Обычный 6 5 2 4 2 4 2" xfId="20099"/>
    <cellStyle name="Обычный 6 5 2 4 2 4 2 2" xfId="20100"/>
    <cellStyle name="Обычный 6 5 2 4 2 4 2 3" xfId="20101"/>
    <cellStyle name="Обычный 6 5 2 4 2 4 3" xfId="20102"/>
    <cellStyle name="Обычный 6 5 2 4 2 4 3 2" xfId="20103"/>
    <cellStyle name="Обычный 6 5 2 4 2 4 3 3" xfId="20104"/>
    <cellStyle name="Обычный 6 5 2 4 2 4 4" xfId="20105"/>
    <cellStyle name="Обычный 6 5 2 4 2 4 4 2" xfId="20106"/>
    <cellStyle name="Обычный 6 5 2 4 2 4 5" xfId="20107"/>
    <cellStyle name="Обычный 6 5 2 4 2 4 6" xfId="20108"/>
    <cellStyle name="Обычный 6 5 2 4 2 5" xfId="20109"/>
    <cellStyle name="Обычный 6 5 2 4 2 5 2" xfId="20110"/>
    <cellStyle name="Обычный 6 5 2 4 2 5 3" xfId="20111"/>
    <cellStyle name="Обычный 6 5 2 4 2 6" xfId="20112"/>
    <cellStyle name="Обычный 6 5 2 4 2 6 2" xfId="20113"/>
    <cellStyle name="Обычный 6 5 2 4 2 6 3" xfId="20114"/>
    <cellStyle name="Обычный 6 5 2 4 2 7" xfId="20115"/>
    <cellStyle name="Обычный 6 5 2 4 2 7 2" xfId="20116"/>
    <cellStyle name="Обычный 6 5 2 4 2 8" xfId="20117"/>
    <cellStyle name="Обычный 6 5 2 4 2 9" xfId="20118"/>
    <cellStyle name="Обычный 6 5 2 4 3" xfId="20119"/>
    <cellStyle name="Обычный 6 5 2 4 3 2" xfId="20120"/>
    <cellStyle name="Обычный 6 5 2 4 3 2 2" xfId="20121"/>
    <cellStyle name="Обычный 6 5 2 4 3 2 2 2" xfId="20122"/>
    <cellStyle name="Обычный 6 5 2 4 3 2 2 2 2" xfId="20123"/>
    <cellStyle name="Обычный 6 5 2 4 3 2 2 2 3" xfId="20124"/>
    <cellStyle name="Обычный 6 5 2 4 3 2 2 3" xfId="20125"/>
    <cellStyle name="Обычный 6 5 2 4 3 2 2 3 2" xfId="20126"/>
    <cellStyle name="Обычный 6 5 2 4 3 2 2 3 3" xfId="20127"/>
    <cellStyle name="Обычный 6 5 2 4 3 2 2 4" xfId="20128"/>
    <cellStyle name="Обычный 6 5 2 4 3 2 2 4 2" xfId="20129"/>
    <cellStyle name="Обычный 6 5 2 4 3 2 2 5" xfId="20130"/>
    <cellStyle name="Обычный 6 5 2 4 3 2 2 6" xfId="20131"/>
    <cellStyle name="Обычный 6 5 2 4 3 2 3" xfId="20132"/>
    <cellStyle name="Обычный 6 5 2 4 3 2 3 2" xfId="20133"/>
    <cellStyle name="Обычный 6 5 2 4 3 2 3 3" xfId="20134"/>
    <cellStyle name="Обычный 6 5 2 4 3 2 4" xfId="20135"/>
    <cellStyle name="Обычный 6 5 2 4 3 2 4 2" xfId="20136"/>
    <cellStyle name="Обычный 6 5 2 4 3 2 4 3" xfId="20137"/>
    <cellStyle name="Обычный 6 5 2 4 3 2 5" xfId="20138"/>
    <cellStyle name="Обычный 6 5 2 4 3 2 5 2" xfId="20139"/>
    <cellStyle name="Обычный 6 5 2 4 3 2 6" xfId="20140"/>
    <cellStyle name="Обычный 6 5 2 4 3 2 7" xfId="20141"/>
    <cellStyle name="Обычный 6 5 2 4 3 3" xfId="20142"/>
    <cellStyle name="Обычный 6 5 2 4 3 3 2" xfId="20143"/>
    <cellStyle name="Обычный 6 5 2 4 3 3 2 2" xfId="20144"/>
    <cellStyle name="Обычный 6 5 2 4 3 3 2 3" xfId="20145"/>
    <cellStyle name="Обычный 6 5 2 4 3 3 3" xfId="20146"/>
    <cellStyle name="Обычный 6 5 2 4 3 3 3 2" xfId="20147"/>
    <cellStyle name="Обычный 6 5 2 4 3 3 3 3" xfId="20148"/>
    <cellStyle name="Обычный 6 5 2 4 3 3 4" xfId="20149"/>
    <cellStyle name="Обычный 6 5 2 4 3 3 4 2" xfId="20150"/>
    <cellStyle name="Обычный 6 5 2 4 3 3 5" xfId="20151"/>
    <cellStyle name="Обычный 6 5 2 4 3 3 6" xfId="20152"/>
    <cellStyle name="Обычный 6 5 2 4 3 4" xfId="20153"/>
    <cellStyle name="Обычный 6 5 2 4 3 4 2" xfId="20154"/>
    <cellStyle name="Обычный 6 5 2 4 3 4 3" xfId="20155"/>
    <cellStyle name="Обычный 6 5 2 4 3 5" xfId="20156"/>
    <cellStyle name="Обычный 6 5 2 4 3 5 2" xfId="20157"/>
    <cellStyle name="Обычный 6 5 2 4 3 5 3" xfId="20158"/>
    <cellStyle name="Обычный 6 5 2 4 3 6" xfId="20159"/>
    <cellStyle name="Обычный 6 5 2 4 3 6 2" xfId="20160"/>
    <cellStyle name="Обычный 6 5 2 4 3 7" xfId="20161"/>
    <cellStyle name="Обычный 6 5 2 4 3 8" xfId="20162"/>
    <cellStyle name="Обычный 6 5 2 4 4" xfId="20163"/>
    <cellStyle name="Обычный 6 5 2 4 4 2" xfId="20164"/>
    <cellStyle name="Обычный 6 5 2 4 4 2 2" xfId="20165"/>
    <cellStyle name="Обычный 6 5 2 4 4 2 2 2" xfId="20166"/>
    <cellStyle name="Обычный 6 5 2 4 4 2 2 3" xfId="20167"/>
    <cellStyle name="Обычный 6 5 2 4 4 2 3" xfId="20168"/>
    <cellStyle name="Обычный 6 5 2 4 4 2 3 2" xfId="20169"/>
    <cellStyle name="Обычный 6 5 2 4 4 2 3 3" xfId="20170"/>
    <cellStyle name="Обычный 6 5 2 4 4 2 4" xfId="20171"/>
    <cellStyle name="Обычный 6 5 2 4 4 2 4 2" xfId="20172"/>
    <cellStyle name="Обычный 6 5 2 4 4 2 5" xfId="20173"/>
    <cellStyle name="Обычный 6 5 2 4 4 2 6" xfId="20174"/>
    <cellStyle name="Обычный 6 5 2 4 4 3" xfId="20175"/>
    <cellStyle name="Обычный 6 5 2 4 4 3 2" xfId="20176"/>
    <cellStyle name="Обычный 6 5 2 4 4 3 3" xfId="20177"/>
    <cellStyle name="Обычный 6 5 2 4 4 4" xfId="20178"/>
    <cellStyle name="Обычный 6 5 2 4 4 4 2" xfId="20179"/>
    <cellStyle name="Обычный 6 5 2 4 4 4 3" xfId="20180"/>
    <cellStyle name="Обычный 6 5 2 4 4 5" xfId="20181"/>
    <cellStyle name="Обычный 6 5 2 4 4 5 2" xfId="20182"/>
    <cellStyle name="Обычный 6 5 2 4 4 6" xfId="20183"/>
    <cellStyle name="Обычный 6 5 2 4 4 7" xfId="20184"/>
    <cellStyle name="Обычный 6 5 2 4 5" xfId="20185"/>
    <cellStyle name="Обычный 6 5 2 4 5 2" xfId="20186"/>
    <cellStyle name="Обычный 6 5 2 4 5 2 2" xfId="20187"/>
    <cellStyle name="Обычный 6 5 2 4 5 2 3" xfId="20188"/>
    <cellStyle name="Обычный 6 5 2 4 5 3" xfId="20189"/>
    <cellStyle name="Обычный 6 5 2 4 5 3 2" xfId="20190"/>
    <cellStyle name="Обычный 6 5 2 4 5 3 3" xfId="20191"/>
    <cellStyle name="Обычный 6 5 2 4 5 4" xfId="20192"/>
    <cellStyle name="Обычный 6 5 2 4 5 4 2" xfId="20193"/>
    <cellStyle name="Обычный 6 5 2 4 5 5" xfId="20194"/>
    <cellStyle name="Обычный 6 5 2 4 5 6" xfId="20195"/>
    <cellStyle name="Обычный 6 5 2 4 6" xfId="20196"/>
    <cellStyle name="Обычный 6 5 2 4 6 2" xfId="20197"/>
    <cellStyle name="Обычный 6 5 2 4 6 3" xfId="20198"/>
    <cellStyle name="Обычный 6 5 2 4 7" xfId="20199"/>
    <cellStyle name="Обычный 6 5 2 4 7 2" xfId="20200"/>
    <cellStyle name="Обычный 6 5 2 4 7 3" xfId="20201"/>
    <cellStyle name="Обычный 6 5 2 4 8" xfId="20202"/>
    <cellStyle name="Обычный 6 5 2 4 8 2" xfId="20203"/>
    <cellStyle name="Обычный 6 5 2 4 9" xfId="20204"/>
    <cellStyle name="Обычный 6 5 2 5" xfId="20205"/>
    <cellStyle name="Обычный 6 5 2 5 2" xfId="20206"/>
    <cellStyle name="Обычный 6 5 2 5 2 2" xfId="20207"/>
    <cellStyle name="Обычный 6 5 2 5 2 2 2" xfId="20208"/>
    <cellStyle name="Обычный 6 5 2 5 2 2 2 2" xfId="20209"/>
    <cellStyle name="Обычный 6 5 2 5 2 2 2 2 2" xfId="20210"/>
    <cellStyle name="Обычный 6 5 2 5 2 2 2 2 3" xfId="20211"/>
    <cellStyle name="Обычный 6 5 2 5 2 2 2 3" xfId="20212"/>
    <cellStyle name="Обычный 6 5 2 5 2 2 2 3 2" xfId="20213"/>
    <cellStyle name="Обычный 6 5 2 5 2 2 2 3 3" xfId="20214"/>
    <cellStyle name="Обычный 6 5 2 5 2 2 2 4" xfId="20215"/>
    <cellStyle name="Обычный 6 5 2 5 2 2 2 4 2" xfId="20216"/>
    <cellStyle name="Обычный 6 5 2 5 2 2 2 5" xfId="20217"/>
    <cellStyle name="Обычный 6 5 2 5 2 2 2 6" xfId="20218"/>
    <cellStyle name="Обычный 6 5 2 5 2 2 3" xfId="20219"/>
    <cellStyle name="Обычный 6 5 2 5 2 2 3 2" xfId="20220"/>
    <cellStyle name="Обычный 6 5 2 5 2 2 3 3" xfId="20221"/>
    <cellStyle name="Обычный 6 5 2 5 2 2 4" xfId="20222"/>
    <cellStyle name="Обычный 6 5 2 5 2 2 4 2" xfId="20223"/>
    <cellStyle name="Обычный 6 5 2 5 2 2 4 3" xfId="20224"/>
    <cellStyle name="Обычный 6 5 2 5 2 2 5" xfId="20225"/>
    <cellStyle name="Обычный 6 5 2 5 2 2 5 2" xfId="20226"/>
    <cellStyle name="Обычный 6 5 2 5 2 2 6" xfId="20227"/>
    <cellStyle name="Обычный 6 5 2 5 2 2 7" xfId="20228"/>
    <cellStyle name="Обычный 6 5 2 5 2 3" xfId="20229"/>
    <cellStyle name="Обычный 6 5 2 5 2 3 2" xfId="20230"/>
    <cellStyle name="Обычный 6 5 2 5 2 3 2 2" xfId="20231"/>
    <cellStyle name="Обычный 6 5 2 5 2 3 2 3" xfId="20232"/>
    <cellStyle name="Обычный 6 5 2 5 2 3 3" xfId="20233"/>
    <cellStyle name="Обычный 6 5 2 5 2 3 3 2" xfId="20234"/>
    <cellStyle name="Обычный 6 5 2 5 2 3 3 3" xfId="20235"/>
    <cellStyle name="Обычный 6 5 2 5 2 3 4" xfId="20236"/>
    <cellStyle name="Обычный 6 5 2 5 2 3 4 2" xfId="20237"/>
    <cellStyle name="Обычный 6 5 2 5 2 3 5" xfId="20238"/>
    <cellStyle name="Обычный 6 5 2 5 2 3 6" xfId="20239"/>
    <cellStyle name="Обычный 6 5 2 5 2 4" xfId="20240"/>
    <cellStyle name="Обычный 6 5 2 5 2 4 2" xfId="20241"/>
    <cellStyle name="Обычный 6 5 2 5 2 4 3" xfId="20242"/>
    <cellStyle name="Обычный 6 5 2 5 2 5" xfId="20243"/>
    <cellStyle name="Обычный 6 5 2 5 2 5 2" xfId="20244"/>
    <cellStyle name="Обычный 6 5 2 5 2 5 3" xfId="20245"/>
    <cellStyle name="Обычный 6 5 2 5 2 6" xfId="20246"/>
    <cellStyle name="Обычный 6 5 2 5 2 6 2" xfId="20247"/>
    <cellStyle name="Обычный 6 5 2 5 2 7" xfId="20248"/>
    <cellStyle name="Обычный 6 5 2 5 2 8" xfId="20249"/>
    <cellStyle name="Обычный 6 5 2 5 3" xfId="20250"/>
    <cellStyle name="Обычный 6 5 2 5 3 2" xfId="20251"/>
    <cellStyle name="Обычный 6 5 2 5 3 2 2" xfId="20252"/>
    <cellStyle name="Обычный 6 5 2 5 3 2 2 2" xfId="20253"/>
    <cellStyle name="Обычный 6 5 2 5 3 2 2 3" xfId="20254"/>
    <cellStyle name="Обычный 6 5 2 5 3 2 3" xfId="20255"/>
    <cellStyle name="Обычный 6 5 2 5 3 2 3 2" xfId="20256"/>
    <cellStyle name="Обычный 6 5 2 5 3 2 3 3" xfId="20257"/>
    <cellStyle name="Обычный 6 5 2 5 3 2 4" xfId="20258"/>
    <cellStyle name="Обычный 6 5 2 5 3 2 4 2" xfId="20259"/>
    <cellStyle name="Обычный 6 5 2 5 3 2 5" xfId="20260"/>
    <cellStyle name="Обычный 6 5 2 5 3 2 6" xfId="20261"/>
    <cellStyle name="Обычный 6 5 2 5 3 3" xfId="20262"/>
    <cellStyle name="Обычный 6 5 2 5 3 3 2" xfId="20263"/>
    <cellStyle name="Обычный 6 5 2 5 3 3 3" xfId="20264"/>
    <cellStyle name="Обычный 6 5 2 5 3 4" xfId="20265"/>
    <cellStyle name="Обычный 6 5 2 5 3 4 2" xfId="20266"/>
    <cellStyle name="Обычный 6 5 2 5 3 4 3" xfId="20267"/>
    <cellStyle name="Обычный 6 5 2 5 3 5" xfId="20268"/>
    <cellStyle name="Обычный 6 5 2 5 3 5 2" xfId="20269"/>
    <cellStyle name="Обычный 6 5 2 5 3 6" xfId="20270"/>
    <cellStyle name="Обычный 6 5 2 5 3 7" xfId="20271"/>
    <cellStyle name="Обычный 6 5 2 5 4" xfId="20272"/>
    <cellStyle name="Обычный 6 5 2 5 4 2" xfId="20273"/>
    <cellStyle name="Обычный 6 5 2 5 4 2 2" xfId="20274"/>
    <cellStyle name="Обычный 6 5 2 5 4 2 3" xfId="20275"/>
    <cellStyle name="Обычный 6 5 2 5 4 3" xfId="20276"/>
    <cellStyle name="Обычный 6 5 2 5 4 3 2" xfId="20277"/>
    <cellStyle name="Обычный 6 5 2 5 4 3 3" xfId="20278"/>
    <cellStyle name="Обычный 6 5 2 5 4 4" xfId="20279"/>
    <cellStyle name="Обычный 6 5 2 5 4 4 2" xfId="20280"/>
    <cellStyle name="Обычный 6 5 2 5 4 5" xfId="20281"/>
    <cellStyle name="Обычный 6 5 2 5 4 6" xfId="20282"/>
    <cellStyle name="Обычный 6 5 2 5 5" xfId="20283"/>
    <cellStyle name="Обычный 6 5 2 5 5 2" xfId="20284"/>
    <cellStyle name="Обычный 6 5 2 5 5 3" xfId="20285"/>
    <cellStyle name="Обычный 6 5 2 5 6" xfId="20286"/>
    <cellStyle name="Обычный 6 5 2 5 6 2" xfId="20287"/>
    <cellStyle name="Обычный 6 5 2 5 6 3" xfId="20288"/>
    <cellStyle name="Обычный 6 5 2 5 7" xfId="20289"/>
    <cellStyle name="Обычный 6 5 2 5 7 2" xfId="20290"/>
    <cellStyle name="Обычный 6 5 2 5 8" xfId="20291"/>
    <cellStyle name="Обычный 6 5 2 5 9" xfId="20292"/>
    <cellStyle name="Обычный 6 5 2 6" xfId="20293"/>
    <cellStyle name="Обычный 6 5 2 6 2" xfId="20294"/>
    <cellStyle name="Обычный 6 5 2 6 2 2" xfId="20295"/>
    <cellStyle name="Обычный 6 5 2 6 2 2 2" xfId="20296"/>
    <cellStyle name="Обычный 6 5 2 6 2 2 2 2" xfId="20297"/>
    <cellStyle name="Обычный 6 5 2 6 2 2 2 3" xfId="20298"/>
    <cellStyle name="Обычный 6 5 2 6 2 2 3" xfId="20299"/>
    <cellStyle name="Обычный 6 5 2 6 2 2 3 2" xfId="20300"/>
    <cellStyle name="Обычный 6 5 2 6 2 2 3 3" xfId="20301"/>
    <cellStyle name="Обычный 6 5 2 6 2 2 4" xfId="20302"/>
    <cellStyle name="Обычный 6 5 2 6 2 2 4 2" xfId="20303"/>
    <cellStyle name="Обычный 6 5 2 6 2 2 5" xfId="20304"/>
    <cellStyle name="Обычный 6 5 2 6 2 2 6" xfId="20305"/>
    <cellStyle name="Обычный 6 5 2 6 2 3" xfId="20306"/>
    <cellStyle name="Обычный 6 5 2 6 2 3 2" xfId="20307"/>
    <cellStyle name="Обычный 6 5 2 6 2 3 3" xfId="20308"/>
    <cellStyle name="Обычный 6 5 2 6 2 4" xfId="20309"/>
    <cellStyle name="Обычный 6 5 2 6 2 4 2" xfId="20310"/>
    <cellStyle name="Обычный 6 5 2 6 2 4 3" xfId="20311"/>
    <cellStyle name="Обычный 6 5 2 6 2 5" xfId="20312"/>
    <cellStyle name="Обычный 6 5 2 6 2 5 2" xfId="20313"/>
    <cellStyle name="Обычный 6 5 2 6 2 6" xfId="20314"/>
    <cellStyle name="Обычный 6 5 2 6 2 7" xfId="20315"/>
    <cellStyle name="Обычный 6 5 2 6 3" xfId="20316"/>
    <cellStyle name="Обычный 6 5 2 6 3 2" xfId="20317"/>
    <cellStyle name="Обычный 6 5 2 6 3 2 2" xfId="20318"/>
    <cellStyle name="Обычный 6 5 2 6 3 2 3" xfId="20319"/>
    <cellStyle name="Обычный 6 5 2 6 3 3" xfId="20320"/>
    <cellStyle name="Обычный 6 5 2 6 3 3 2" xfId="20321"/>
    <cellStyle name="Обычный 6 5 2 6 3 3 3" xfId="20322"/>
    <cellStyle name="Обычный 6 5 2 6 3 4" xfId="20323"/>
    <cellStyle name="Обычный 6 5 2 6 3 4 2" xfId="20324"/>
    <cellStyle name="Обычный 6 5 2 6 3 5" xfId="20325"/>
    <cellStyle name="Обычный 6 5 2 6 3 6" xfId="20326"/>
    <cellStyle name="Обычный 6 5 2 6 4" xfId="20327"/>
    <cellStyle name="Обычный 6 5 2 6 4 2" xfId="20328"/>
    <cellStyle name="Обычный 6 5 2 6 4 3" xfId="20329"/>
    <cellStyle name="Обычный 6 5 2 6 5" xfId="20330"/>
    <cellStyle name="Обычный 6 5 2 6 5 2" xfId="20331"/>
    <cellStyle name="Обычный 6 5 2 6 5 3" xfId="20332"/>
    <cellStyle name="Обычный 6 5 2 6 6" xfId="20333"/>
    <cellStyle name="Обычный 6 5 2 6 6 2" xfId="20334"/>
    <cellStyle name="Обычный 6 5 2 6 7" xfId="20335"/>
    <cellStyle name="Обычный 6 5 2 6 8" xfId="20336"/>
    <cellStyle name="Обычный 6 5 2 7" xfId="20337"/>
    <cellStyle name="Обычный 6 5 2 7 2" xfId="20338"/>
    <cellStyle name="Обычный 6 5 2 7 2 2" xfId="20339"/>
    <cellStyle name="Обычный 6 5 2 7 2 2 2" xfId="20340"/>
    <cellStyle name="Обычный 6 5 2 7 2 2 3" xfId="20341"/>
    <cellStyle name="Обычный 6 5 2 7 2 3" xfId="20342"/>
    <cellStyle name="Обычный 6 5 2 7 2 3 2" xfId="20343"/>
    <cellStyle name="Обычный 6 5 2 7 2 3 3" xfId="20344"/>
    <cellStyle name="Обычный 6 5 2 7 2 4" xfId="20345"/>
    <cellStyle name="Обычный 6 5 2 7 2 4 2" xfId="20346"/>
    <cellStyle name="Обычный 6 5 2 7 2 5" xfId="20347"/>
    <cellStyle name="Обычный 6 5 2 7 2 6" xfId="20348"/>
    <cellStyle name="Обычный 6 5 2 7 3" xfId="20349"/>
    <cellStyle name="Обычный 6 5 2 7 3 2" xfId="20350"/>
    <cellStyle name="Обычный 6 5 2 7 3 3" xfId="20351"/>
    <cellStyle name="Обычный 6 5 2 7 4" xfId="20352"/>
    <cellStyle name="Обычный 6 5 2 7 4 2" xfId="20353"/>
    <cellStyle name="Обычный 6 5 2 7 4 3" xfId="20354"/>
    <cellStyle name="Обычный 6 5 2 7 5" xfId="20355"/>
    <cellStyle name="Обычный 6 5 2 7 5 2" xfId="20356"/>
    <cellStyle name="Обычный 6 5 2 7 6" xfId="20357"/>
    <cellStyle name="Обычный 6 5 2 7 7" xfId="20358"/>
    <cellStyle name="Обычный 6 5 2 8" xfId="20359"/>
    <cellStyle name="Обычный 6 5 2 8 2" xfId="20360"/>
    <cellStyle name="Обычный 6 5 2 8 2 2" xfId="20361"/>
    <cellStyle name="Обычный 6 5 2 8 2 3" xfId="20362"/>
    <cellStyle name="Обычный 6 5 2 8 3" xfId="20363"/>
    <cellStyle name="Обычный 6 5 2 8 3 2" xfId="20364"/>
    <cellStyle name="Обычный 6 5 2 8 3 3" xfId="20365"/>
    <cellStyle name="Обычный 6 5 2 8 4" xfId="20366"/>
    <cellStyle name="Обычный 6 5 2 8 4 2" xfId="20367"/>
    <cellStyle name="Обычный 6 5 2 8 5" xfId="20368"/>
    <cellStyle name="Обычный 6 5 2 8 6" xfId="20369"/>
    <cellStyle name="Обычный 6 5 2 9" xfId="20370"/>
    <cellStyle name="Обычный 6 5 2 9 2" xfId="20371"/>
    <cellStyle name="Обычный 6 5 2 9 3" xfId="20372"/>
    <cellStyle name="Обычный 6 5 3" xfId="20373"/>
    <cellStyle name="Обычный 6 5 3 10" xfId="20374"/>
    <cellStyle name="Обычный 6 5 3 2" xfId="20375"/>
    <cellStyle name="Обычный 6 5 3 2 2" xfId="20376"/>
    <cellStyle name="Обычный 6 5 3 2 2 2" xfId="20377"/>
    <cellStyle name="Обычный 6 5 3 2 2 2 2" xfId="20378"/>
    <cellStyle name="Обычный 6 5 3 2 2 2 2 2" xfId="20379"/>
    <cellStyle name="Обычный 6 5 3 2 2 2 2 2 2" xfId="20380"/>
    <cellStyle name="Обычный 6 5 3 2 2 2 2 2 3" xfId="20381"/>
    <cellStyle name="Обычный 6 5 3 2 2 2 2 3" xfId="20382"/>
    <cellStyle name="Обычный 6 5 3 2 2 2 2 3 2" xfId="20383"/>
    <cellStyle name="Обычный 6 5 3 2 2 2 2 3 3" xfId="20384"/>
    <cellStyle name="Обычный 6 5 3 2 2 2 2 4" xfId="20385"/>
    <cellStyle name="Обычный 6 5 3 2 2 2 2 4 2" xfId="20386"/>
    <cellStyle name="Обычный 6 5 3 2 2 2 2 5" xfId="20387"/>
    <cellStyle name="Обычный 6 5 3 2 2 2 2 6" xfId="20388"/>
    <cellStyle name="Обычный 6 5 3 2 2 2 3" xfId="20389"/>
    <cellStyle name="Обычный 6 5 3 2 2 2 3 2" xfId="20390"/>
    <cellStyle name="Обычный 6 5 3 2 2 2 3 3" xfId="20391"/>
    <cellStyle name="Обычный 6 5 3 2 2 2 4" xfId="20392"/>
    <cellStyle name="Обычный 6 5 3 2 2 2 4 2" xfId="20393"/>
    <cellStyle name="Обычный 6 5 3 2 2 2 4 3" xfId="20394"/>
    <cellStyle name="Обычный 6 5 3 2 2 2 5" xfId="20395"/>
    <cellStyle name="Обычный 6 5 3 2 2 2 5 2" xfId="20396"/>
    <cellStyle name="Обычный 6 5 3 2 2 2 6" xfId="20397"/>
    <cellStyle name="Обычный 6 5 3 2 2 2 7" xfId="20398"/>
    <cellStyle name="Обычный 6 5 3 2 2 3" xfId="20399"/>
    <cellStyle name="Обычный 6 5 3 2 2 3 2" xfId="20400"/>
    <cellStyle name="Обычный 6 5 3 2 2 3 2 2" xfId="20401"/>
    <cellStyle name="Обычный 6 5 3 2 2 3 2 3" xfId="20402"/>
    <cellStyle name="Обычный 6 5 3 2 2 3 3" xfId="20403"/>
    <cellStyle name="Обычный 6 5 3 2 2 3 3 2" xfId="20404"/>
    <cellStyle name="Обычный 6 5 3 2 2 3 3 3" xfId="20405"/>
    <cellStyle name="Обычный 6 5 3 2 2 3 4" xfId="20406"/>
    <cellStyle name="Обычный 6 5 3 2 2 3 4 2" xfId="20407"/>
    <cellStyle name="Обычный 6 5 3 2 2 3 5" xfId="20408"/>
    <cellStyle name="Обычный 6 5 3 2 2 3 6" xfId="20409"/>
    <cellStyle name="Обычный 6 5 3 2 2 4" xfId="20410"/>
    <cellStyle name="Обычный 6 5 3 2 2 4 2" xfId="20411"/>
    <cellStyle name="Обычный 6 5 3 2 2 4 3" xfId="20412"/>
    <cellStyle name="Обычный 6 5 3 2 2 5" xfId="20413"/>
    <cellStyle name="Обычный 6 5 3 2 2 5 2" xfId="20414"/>
    <cellStyle name="Обычный 6 5 3 2 2 5 3" xfId="20415"/>
    <cellStyle name="Обычный 6 5 3 2 2 6" xfId="20416"/>
    <cellStyle name="Обычный 6 5 3 2 2 6 2" xfId="20417"/>
    <cellStyle name="Обычный 6 5 3 2 2 7" xfId="20418"/>
    <cellStyle name="Обычный 6 5 3 2 2 8" xfId="20419"/>
    <cellStyle name="Обычный 6 5 3 2 3" xfId="20420"/>
    <cellStyle name="Обычный 6 5 3 2 3 2" xfId="20421"/>
    <cellStyle name="Обычный 6 5 3 2 3 2 2" xfId="20422"/>
    <cellStyle name="Обычный 6 5 3 2 3 2 2 2" xfId="20423"/>
    <cellStyle name="Обычный 6 5 3 2 3 2 2 3" xfId="20424"/>
    <cellStyle name="Обычный 6 5 3 2 3 2 3" xfId="20425"/>
    <cellStyle name="Обычный 6 5 3 2 3 2 3 2" xfId="20426"/>
    <cellStyle name="Обычный 6 5 3 2 3 2 3 3" xfId="20427"/>
    <cellStyle name="Обычный 6 5 3 2 3 2 4" xfId="20428"/>
    <cellStyle name="Обычный 6 5 3 2 3 2 4 2" xfId="20429"/>
    <cellStyle name="Обычный 6 5 3 2 3 2 5" xfId="20430"/>
    <cellStyle name="Обычный 6 5 3 2 3 2 6" xfId="20431"/>
    <cellStyle name="Обычный 6 5 3 2 3 3" xfId="20432"/>
    <cellStyle name="Обычный 6 5 3 2 3 3 2" xfId="20433"/>
    <cellStyle name="Обычный 6 5 3 2 3 3 3" xfId="20434"/>
    <cellStyle name="Обычный 6 5 3 2 3 4" xfId="20435"/>
    <cellStyle name="Обычный 6 5 3 2 3 4 2" xfId="20436"/>
    <cellStyle name="Обычный 6 5 3 2 3 4 3" xfId="20437"/>
    <cellStyle name="Обычный 6 5 3 2 3 5" xfId="20438"/>
    <cellStyle name="Обычный 6 5 3 2 3 5 2" xfId="20439"/>
    <cellStyle name="Обычный 6 5 3 2 3 6" xfId="20440"/>
    <cellStyle name="Обычный 6 5 3 2 3 7" xfId="20441"/>
    <cellStyle name="Обычный 6 5 3 2 4" xfId="20442"/>
    <cellStyle name="Обычный 6 5 3 2 4 2" xfId="20443"/>
    <cellStyle name="Обычный 6 5 3 2 4 2 2" xfId="20444"/>
    <cellStyle name="Обычный 6 5 3 2 4 2 3" xfId="20445"/>
    <cellStyle name="Обычный 6 5 3 2 4 3" xfId="20446"/>
    <cellStyle name="Обычный 6 5 3 2 4 3 2" xfId="20447"/>
    <cellStyle name="Обычный 6 5 3 2 4 3 3" xfId="20448"/>
    <cellStyle name="Обычный 6 5 3 2 4 4" xfId="20449"/>
    <cellStyle name="Обычный 6 5 3 2 4 4 2" xfId="20450"/>
    <cellStyle name="Обычный 6 5 3 2 4 5" xfId="20451"/>
    <cellStyle name="Обычный 6 5 3 2 4 6" xfId="20452"/>
    <cellStyle name="Обычный 6 5 3 2 5" xfId="20453"/>
    <cellStyle name="Обычный 6 5 3 2 5 2" xfId="20454"/>
    <cellStyle name="Обычный 6 5 3 2 5 3" xfId="20455"/>
    <cellStyle name="Обычный 6 5 3 2 6" xfId="20456"/>
    <cellStyle name="Обычный 6 5 3 2 6 2" xfId="20457"/>
    <cellStyle name="Обычный 6 5 3 2 6 3" xfId="20458"/>
    <cellStyle name="Обычный 6 5 3 2 7" xfId="20459"/>
    <cellStyle name="Обычный 6 5 3 2 7 2" xfId="20460"/>
    <cellStyle name="Обычный 6 5 3 2 8" xfId="20461"/>
    <cellStyle name="Обычный 6 5 3 2 9" xfId="20462"/>
    <cellStyle name="Обычный 6 5 3 3" xfId="20463"/>
    <cellStyle name="Обычный 6 5 3 3 2" xfId="20464"/>
    <cellStyle name="Обычный 6 5 3 3 2 2" xfId="20465"/>
    <cellStyle name="Обычный 6 5 3 3 2 2 2" xfId="20466"/>
    <cellStyle name="Обычный 6 5 3 3 2 2 2 2" xfId="20467"/>
    <cellStyle name="Обычный 6 5 3 3 2 2 2 3" xfId="20468"/>
    <cellStyle name="Обычный 6 5 3 3 2 2 3" xfId="20469"/>
    <cellStyle name="Обычный 6 5 3 3 2 2 3 2" xfId="20470"/>
    <cellStyle name="Обычный 6 5 3 3 2 2 3 3" xfId="20471"/>
    <cellStyle name="Обычный 6 5 3 3 2 2 4" xfId="20472"/>
    <cellStyle name="Обычный 6 5 3 3 2 2 4 2" xfId="20473"/>
    <cellStyle name="Обычный 6 5 3 3 2 2 5" xfId="20474"/>
    <cellStyle name="Обычный 6 5 3 3 2 2 6" xfId="20475"/>
    <cellStyle name="Обычный 6 5 3 3 2 3" xfId="20476"/>
    <cellStyle name="Обычный 6 5 3 3 2 3 2" xfId="20477"/>
    <cellStyle name="Обычный 6 5 3 3 2 3 3" xfId="20478"/>
    <cellStyle name="Обычный 6 5 3 3 2 4" xfId="20479"/>
    <cellStyle name="Обычный 6 5 3 3 2 4 2" xfId="20480"/>
    <cellStyle name="Обычный 6 5 3 3 2 4 3" xfId="20481"/>
    <cellStyle name="Обычный 6 5 3 3 2 5" xfId="20482"/>
    <cellStyle name="Обычный 6 5 3 3 2 5 2" xfId="20483"/>
    <cellStyle name="Обычный 6 5 3 3 2 6" xfId="20484"/>
    <cellStyle name="Обычный 6 5 3 3 2 7" xfId="20485"/>
    <cellStyle name="Обычный 6 5 3 3 3" xfId="20486"/>
    <cellStyle name="Обычный 6 5 3 3 3 2" xfId="20487"/>
    <cellStyle name="Обычный 6 5 3 3 3 2 2" xfId="20488"/>
    <cellStyle name="Обычный 6 5 3 3 3 2 3" xfId="20489"/>
    <cellStyle name="Обычный 6 5 3 3 3 3" xfId="20490"/>
    <cellStyle name="Обычный 6 5 3 3 3 3 2" xfId="20491"/>
    <cellStyle name="Обычный 6 5 3 3 3 3 3" xfId="20492"/>
    <cellStyle name="Обычный 6 5 3 3 3 4" xfId="20493"/>
    <cellStyle name="Обычный 6 5 3 3 3 4 2" xfId="20494"/>
    <cellStyle name="Обычный 6 5 3 3 3 5" xfId="20495"/>
    <cellStyle name="Обычный 6 5 3 3 3 6" xfId="20496"/>
    <cellStyle name="Обычный 6 5 3 3 4" xfId="20497"/>
    <cellStyle name="Обычный 6 5 3 3 4 2" xfId="20498"/>
    <cellStyle name="Обычный 6 5 3 3 4 3" xfId="20499"/>
    <cellStyle name="Обычный 6 5 3 3 5" xfId="20500"/>
    <cellStyle name="Обычный 6 5 3 3 5 2" xfId="20501"/>
    <cellStyle name="Обычный 6 5 3 3 5 3" xfId="20502"/>
    <cellStyle name="Обычный 6 5 3 3 6" xfId="20503"/>
    <cellStyle name="Обычный 6 5 3 3 6 2" xfId="20504"/>
    <cellStyle name="Обычный 6 5 3 3 7" xfId="20505"/>
    <cellStyle name="Обычный 6 5 3 3 8" xfId="20506"/>
    <cellStyle name="Обычный 6 5 3 4" xfId="20507"/>
    <cellStyle name="Обычный 6 5 3 4 2" xfId="20508"/>
    <cellStyle name="Обычный 6 5 3 4 2 2" xfId="20509"/>
    <cellStyle name="Обычный 6 5 3 4 2 2 2" xfId="20510"/>
    <cellStyle name="Обычный 6 5 3 4 2 2 3" xfId="20511"/>
    <cellStyle name="Обычный 6 5 3 4 2 3" xfId="20512"/>
    <cellStyle name="Обычный 6 5 3 4 2 3 2" xfId="20513"/>
    <cellStyle name="Обычный 6 5 3 4 2 3 3" xfId="20514"/>
    <cellStyle name="Обычный 6 5 3 4 2 4" xfId="20515"/>
    <cellStyle name="Обычный 6 5 3 4 2 4 2" xfId="20516"/>
    <cellStyle name="Обычный 6 5 3 4 2 5" xfId="20517"/>
    <cellStyle name="Обычный 6 5 3 4 2 6" xfId="20518"/>
    <cellStyle name="Обычный 6 5 3 4 3" xfId="20519"/>
    <cellStyle name="Обычный 6 5 3 4 3 2" xfId="20520"/>
    <cellStyle name="Обычный 6 5 3 4 3 3" xfId="20521"/>
    <cellStyle name="Обычный 6 5 3 4 4" xfId="20522"/>
    <cellStyle name="Обычный 6 5 3 4 4 2" xfId="20523"/>
    <cellStyle name="Обычный 6 5 3 4 4 3" xfId="20524"/>
    <cellStyle name="Обычный 6 5 3 4 5" xfId="20525"/>
    <cellStyle name="Обычный 6 5 3 4 5 2" xfId="20526"/>
    <cellStyle name="Обычный 6 5 3 4 6" xfId="20527"/>
    <cellStyle name="Обычный 6 5 3 4 7" xfId="20528"/>
    <cellStyle name="Обычный 6 5 3 5" xfId="20529"/>
    <cellStyle name="Обычный 6 5 3 5 2" xfId="20530"/>
    <cellStyle name="Обычный 6 5 3 5 2 2" xfId="20531"/>
    <cellStyle name="Обычный 6 5 3 5 2 3" xfId="20532"/>
    <cellStyle name="Обычный 6 5 3 5 3" xfId="20533"/>
    <cellStyle name="Обычный 6 5 3 5 3 2" xfId="20534"/>
    <cellStyle name="Обычный 6 5 3 5 3 3" xfId="20535"/>
    <cellStyle name="Обычный 6 5 3 5 4" xfId="20536"/>
    <cellStyle name="Обычный 6 5 3 5 4 2" xfId="20537"/>
    <cellStyle name="Обычный 6 5 3 5 5" xfId="20538"/>
    <cellStyle name="Обычный 6 5 3 5 6" xfId="20539"/>
    <cellStyle name="Обычный 6 5 3 6" xfId="20540"/>
    <cellStyle name="Обычный 6 5 3 6 2" xfId="20541"/>
    <cellStyle name="Обычный 6 5 3 6 3" xfId="20542"/>
    <cellStyle name="Обычный 6 5 3 7" xfId="20543"/>
    <cellStyle name="Обычный 6 5 3 7 2" xfId="20544"/>
    <cellStyle name="Обычный 6 5 3 7 3" xfId="20545"/>
    <cellStyle name="Обычный 6 5 3 8" xfId="20546"/>
    <cellStyle name="Обычный 6 5 3 8 2" xfId="20547"/>
    <cellStyle name="Обычный 6 5 3 9" xfId="20548"/>
    <cellStyle name="Обычный 6 5 4" xfId="20549"/>
    <cellStyle name="Обычный 6 5 4 10" xfId="20550"/>
    <cellStyle name="Обычный 6 5 4 2" xfId="20551"/>
    <cellStyle name="Обычный 6 5 4 2 2" xfId="20552"/>
    <cellStyle name="Обычный 6 5 4 2 2 2" xfId="20553"/>
    <cellStyle name="Обычный 6 5 4 2 2 2 2" xfId="20554"/>
    <cellStyle name="Обычный 6 5 4 2 2 2 2 2" xfId="20555"/>
    <cellStyle name="Обычный 6 5 4 2 2 2 2 2 2" xfId="20556"/>
    <cellStyle name="Обычный 6 5 4 2 2 2 2 2 3" xfId="20557"/>
    <cellStyle name="Обычный 6 5 4 2 2 2 2 3" xfId="20558"/>
    <cellStyle name="Обычный 6 5 4 2 2 2 2 3 2" xfId="20559"/>
    <cellStyle name="Обычный 6 5 4 2 2 2 2 3 3" xfId="20560"/>
    <cellStyle name="Обычный 6 5 4 2 2 2 2 4" xfId="20561"/>
    <cellStyle name="Обычный 6 5 4 2 2 2 2 4 2" xfId="20562"/>
    <cellStyle name="Обычный 6 5 4 2 2 2 2 5" xfId="20563"/>
    <cellStyle name="Обычный 6 5 4 2 2 2 2 6" xfId="20564"/>
    <cellStyle name="Обычный 6 5 4 2 2 2 3" xfId="20565"/>
    <cellStyle name="Обычный 6 5 4 2 2 2 3 2" xfId="20566"/>
    <cellStyle name="Обычный 6 5 4 2 2 2 3 3" xfId="20567"/>
    <cellStyle name="Обычный 6 5 4 2 2 2 4" xfId="20568"/>
    <cellStyle name="Обычный 6 5 4 2 2 2 4 2" xfId="20569"/>
    <cellStyle name="Обычный 6 5 4 2 2 2 4 3" xfId="20570"/>
    <cellStyle name="Обычный 6 5 4 2 2 2 5" xfId="20571"/>
    <cellStyle name="Обычный 6 5 4 2 2 2 5 2" xfId="20572"/>
    <cellStyle name="Обычный 6 5 4 2 2 2 6" xfId="20573"/>
    <cellStyle name="Обычный 6 5 4 2 2 2 7" xfId="20574"/>
    <cellStyle name="Обычный 6 5 4 2 2 3" xfId="20575"/>
    <cellStyle name="Обычный 6 5 4 2 2 3 2" xfId="20576"/>
    <cellStyle name="Обычный 6 5 4 2 2 3 2 2" xfId="20577"/>
    <cellStyle name="Обычный 6 5 4 2 2 3 2 3" xfId="20578"/>
    <cellStyle name="Обычный 6 5 4 2 2 3 3" xfId="20579"/>
    <cellStyle name="Обычный 6 5 4 2 2 3 3 2" xfId="20580"/>
    <cellStyle name="Обычный 6 5 4 2 2 3 3 3" xfId="20581"/>
    <cellStyle name="Обычный 6 5 4 2 2 3 4" xfId="20582"/>
    <cellStyle name="Обычный 6 5 4 2 2 3 4 2" xfId="20583"/>
    <cellStyle name="Обычный 6 5 4 2 2 3 5" xfId="20584"/>
    <cellStyle name="Обычный 6 5 4 2 2 3 6" xfId="20585"/>
    <cellStyle name="Обычный 6 5 4 2 2 4" xfId="20586"/>
    <cellStyle name="Обычный 6 5 4 2 2 4 2" xfId="20587"/>
    <cellStyle name="Обычный 6 5 4 2 2 4 3" xfId="20588"/>
    <cellStyle name="Обычный 6 5 4 2 2 5" xfId="20589"/>
    <cellStyle name="Обычный 6 5 4 2 2 5 2" xfId="20590"/>
    <cellStyle name="Обычный 6 5 4 2 2 5 3" xfId="20591"/>
    <cellStyle name="Обычный 6 5 4 2 2 6" xfId="20592"/>
    <cellStyle name="Обычный 6 5 4 2 2 6 2" xfId="20593"/>
    <cellStyle name="Обычный 6 5 4 2 2 7" xfId="20594"/>
    <cellStyle name="Обычный 6 5 4 2 2 8" xfId="20595"/>
    <cellStyle name="Обычный 6 5 4 2 3" xfId="20596"/>
    <cellStyle name="Обычный 6 5 4 2 3 2" xfId="20597"/>
    <cellStyle name="Обычный 6 5 4 2 3 2 2" xfId="20598"/>
    <cellStyle name="Обычный 6 5 4 2 3 2 2 2" xfId="20599"/>
    <cellStyle name="Обычный 6 5 4 2 3 2 2 3" xfId="20600"/>
    <cellStyle name="Обычный 6 5 4 2 3 2 3" xfId="20601"/>
    <cellStyle name="Обычный 6 5 4 2 3 2 3 2" xfId="20602"/>
    <cellStyle name="Обычный 6 5 4 2 3 2 3 3" xfId="20603"/>
    <cellStyle name="Обычный 6 5 4 2 3 2 4" xfId="20604"/>
    <cellStyle name="Обычный 6 5 4 2 3 2 4 2" xfId="20605"/>
    <cellStyle name="Обычный 6 5 4 2 3 2 5" xfId="20606"/>
    <cellStyle name="Обычный 6 5 4 2 3 2 6" xfId="20607"/>
    <cellStyle name="Обычный 6 5 4 2 3 3" xfId="20608"/>
    <cellStyle name="Обычный 6 5 4 2 3 3 2" xfId="20609"/>
    <cellStyle name="Обычный 6 5 4 2 3 3 3" xfId="20610"/>
    <cellStyle name="Обычный 6 5 4 2 3 4" xfId="20611"/>
    <cellStyle name="Обычный 6 5 4 2 3 4 2" xfId="20612"/>
    <cellStyle name="Обычный 6 5 4 2 3 4 3" xfId="20613"/>
    <cellStyle name="Обычный 6 5 4 2 3 5" xfId="20614"/>
    <cellStyle name="Обычный 6 5 4 2 3 5 2" xfId="20615"/>
    <cellStyle name="Обычный 6 5 4 2 3 6" xfId="20616"/>
    <cellStyle name="Обычный 6 5 4 2 3 7" xfId="20617"/>
    <cellStyle name="Обычный 6 5 4 2 4" xfId="20618"/>
    <cellStyle name="Обычный 6 5 4 2 4 2" xfId="20619"/>
    <cellStyle name="Обычный 6 5 4 2 4 2 2" xfId="20620"/>
    <cellStyle name="Обычный 6 5 4 2 4 2 3" xfId="20621"/>
    <cellStyle name="Обычный 6 5 4 2 4 3" xfId="20622"/>
    <cellStyle name="Обычный 6 5 4 2 4 3 2" xfId="20623"/>
    <cellStyle name="Обычный 6 5 4 2 4 3 3" xfId="20624"/>
    <cellStyle name="Обычный 6 5 4 2 4 4" xfId="20625"/>
    <cellStyle name="Обычный 6 5 4 2 4 4 2" xfId="20626"/>
    <cellStyle name="Обычный 6 5 4 2 4 5" xfId="20627"/>
    <cellStyle name="Обычный 6 5 4 2 4 6" xfId="20628"/>
    <cellStyle name="Обычный 6 5 4 2 5" xfId="20629"/>
    <cellStyle name="Обычный 6 5 4 2 5 2" xfId="20630"/>
    <cellStyle name="Обычный 6 5 4 2 5 3" xfId="20631"/>
    <cellStyle name="Обычный 6 5 4 2 6" xfId="20632"/>
    <cellStyle name="Обычный 6 5 4 2 6 2" xfId="20633"/>
    <cellStyle name="Обычный 6 5 4 2 6 3" xfId="20634"/>
    <cellStyle name="Обычный 6 5 4 2 7" xfId="20635"/>
    <cellStyle name="Обычный 6 5 4 2 7 2" xfId="20636"/>
    <cellStyle name="Обычный 6 5 4 2 8" xfId="20637"/>
    <cellStyle name="Обычный 6 5 4 2 9" xfId="20638"/>
    <cellStyle name="Обычный 6 5 4 3" xfId="20639"/>
    <cellStyle name="Обычный 6 5 4 3 2" xfId="20640"/>
    <cellStyle name="Обычный 6 5 4 3 2 2" xfId="20641"/>
    <cellStyle name="Обычный 6 5 4 3 2 2 2" xfId="20642"/>
    <cellStyle name="Обычный 6 5 4 3 2 2 2 2" xfId="20643"/>
    <cellStyle name="Обычный 6 5 4 3 2 2 2 3" xfId="20644"/>
    <cellStyle name="Обычный 6 5 4 3 2 2 3" xfId="20645"/>
    <cellStyle name="Обычный 6 5 4 3 2 2 3 2" xfId="20646"/>
    <cellStyle name="Обычный 6 5 4 3 2 2 3 3" xfId="20647"/>
    <cellStyle name="Обычный 6 5 4 3 2 2 4" xfId="20648"/>
    <cellStyle name="Обычный 6 5 4 3 2 2 4 2" xfId="20649"/>
    <cellStyle name="Обычный 6 5 4 3 2 2 5" xfId="20650"/>
    <cellStyle name="Обычный 6 5 4 3 2 2 6" xfId="20651"/>
    <cellStyle name="Обычный 6 5 4 3 2 3" xfId="20652"/>
    <cellStyle name="Обычный 6 5 4 3 2 3 2" xfId="20653"/>
    <cellStyle name="Обычный 6 5 4 3 2 3 3" xfId="20654"/>
    <cellStyle name="Обычный 6 5 4 3 2 4" xfId="20655"/>
    <cellStyle name="Обычный 6 5 4 3 2 4 2" xfId="20656"/>
    <cellStyle name="Обычный 6 5 4 3 2 4 3" xfId="20657"/>
    <cellStyle name="Обычный 6 5 4 3 2 5" xfId="20658"/>
    <cellStyle name="Обычный 6 5 4 3 2 5 2" xfId="20659"/>
    <cellStyle name="Обычный 6 5 4 3 2 6" xfId="20660"/>
    <cellStyle name="Обычный 6 5 4 3 2 7" xfId="20661"/>
    <cellStyle name="Обычный 6 5 4 3 3" xfId="20662"/>
    <cellStyle name="Обычный 6 5 4 3 3 2" xfId="20663"/>
    <cellStyle name="Обычный 6 5 4 3 3 2 2" xfId="20664"/>
    <cellStyle name="Обычный 6 5 4 3 3 2 3" xfId="20665"/>
    <cellStyle name="Обычный 6 5 4 3 3 3" xfId="20666"/>
    <cellStyle name="Обычный 6 5 4 3 3 3 2" xfId="20667"/>
    <cellStyle name="Обычный 6 5 4 3 3 3 3" xfId="20668"/>
    <cellStyle name="Обычный 6 5 4 3 3 4" xfId="20669"/>
    <cellStyle name="Обычный 6 5 4 3 3 4 2" xfId="20670"/>
    <cellStyle name="Обычный 6 5 4 3 3 5" xfId="20671"/>
    <cellStyle name="Обычный 6 5 4 3 3 6" xfId="20672"/>
    <cellStyle name="Обычный 6 5 4 3 4" xfId="20673"/>
    <cellStyle name="Обычный 6 5 4 3 4 2" xfId="20674"/>
    <cellStyle name="Обычный 6 5 4 3 4 3" xfId="20675"/>
    <cellStyle name="Обычный 6 5 4 3 5" xfId="20676"/>
    <cellStyle name="Обычный 6 5 4 3 5 2" xfId="20677"/>
    <cellStyle name="Обычный 6 5 4 3 5 3" xfId="20678"/>
    <cellStyle name="Обычный 6 5 4 3 6" xfId="20679"/>
    <cellStyle name="Обычный 6 5 4 3 6 2" xfId="20680"/>
    <cellStyle name="Обычный 6 5 4 3 7" xfId="20681"/>
    <cellStyle name="Обычный 6 5 4 3 8" xfId="20682"/>
    <cellStyle name="Обычный 6 5 4 4" xfId="20683"/>
    <cellStyle name="Обычный 6 5 4 4 2" xfId="20684"/>
    <cellStyle name="Обычный 6 5 4 4 2 2" xfId="20685"/>
    <cellStyle name="Обычный 6 5 4 4 2 2 2" xfId="20686"/>
    <cellStyle name="Обычный 6 5 4 4 2 2 3" xfId="20687"/>
    <cellStyle name="Обычный 6 5 4 4 2 3" xfId="20688"/>
    <cellStyle name="Обычный 6 5 4 4 2 3 2" xfId="20689"/>
    <cellStyle name="Обычный 6 5 4 4 2 3 3" xfId="20690"/>
    <cellStyle name="Обычный 6 5 4 4 2 4" xfId="20691"/>
    <cellStyle name="Обычный 6 5 4 4 2 4 2" xfId="20692"/>
    <cellStyle name="Обычный 6 5 4 4 2 5" xfId="20693"/>
    <cellStyle name="Обычный 6 5 4 4 2 6" xfId="20694"/>
    <cellStyle name="Обычный 6 5 4 4 3" xfId="20695"/>
    <cellStyle name="Обычный 6 5 4 4 3 2" xfId="20696"/>
    <cellStyle name="Обычный 6 5 4 4 3 3" xfId="20697"/>
    <cellStyle name="Обычный 6 5 4 4 4" xfId="20698"/>
    <cellStyle name="Обычный 6 5 4 4 4 2" xfId="20699"/>
    <cellStyle name="Обычный 6 5 4 4 4 3" xfId="20700"/>
    <cellStyle name="Обычный 6 5 4 4 5" xfId="20701"/>
    <cellStyle name="Обычный 6 5 4 4 5 2" xfId="20702"/>
    <cellStyle name="Обычный 6 5 4 4 6" xfId="20703"/>
    <cellStyle name="Обычный 6 5 4 4 7" xfId="20704"/>
    <cellStyle name="Обычный 6 5 4 5" xfId="20705"/>
    <cellStyle name="Обычный 6 5 4 5 2" xfId="20706"/>
    <cellStyle name="Обычный 6 5 4 5 2 2" xfId="20707"/>
    <cellStyle name="Обычный 6 5 4 5 2 3" xfId="20708"/>
    <cellStyle name="Обычный 6 5 4 5 3" xfId="20709"/>
    <cellStyle name="Обычный 6 5 4 5 3 2" xfId="20710"/>
    <cellStyle name="Обычный 6 5 4 5 3 3" xfId="20711"/>
    <cellStyle name="Обычный 6 5 4 5 4" xfId="20712"/>
    <cellStyle name="Обычный 6 5 4 5 4 2" xfId="20713"/>
    <cellStyle name="Обычный 6 5 4 5 5" xfId="20714"/>
    <cellStyle name="Обычный 6 5 4 5 6" xfId="20715"/>
    <cellStyle name="Обычный 6 5 4 6" xfId="20716"/>
    <cellStyle name="Обычный 6 5 4 6 2" xfId="20717"/>
    <cellStyle name="Обычный 6 5 4 6 3" xfId="20718"/>
    <cellStyle name="Обычный 6 5 4 7" xfId="20719"/>
    <cellStyle name="Обычный 6 5 4 7 2" xfId="20720"/>
    <cellStyle name="Обычный 6 5 4 7 3" xfId="20721"/>
    <cellStyle name="Обычный 6 5 4 8" xfId="20722"/>
    <cellStyle name="Обычный 6 5 4 8 2" xfId="20723"/>
    <cellStyle name="Обычный 6 5 4 9" xfId="20724"/>
    <cellStyle name="Обычный 6 5 5" xfId="20725"/>
    <cellStyle name="Обычный 6 5 5 10" xfId="20726"/>
    <cellStyle name="Обычный 6 5 5 2" xfId="20727"/>
    <cellStyle name="Обычный 6 5 5 2 2" xfId="20728"/>
    <cellStyle name="Обычный 6 5 5 2 2 2" xfId="20729"/>
    <cellStyle name="Обычный 6 5 5 2 2 2 2" xfId="20730"/>
    <cellStyle name="Обычный 6 5 5 2 2 2 2 2" xfId="20731"/>
    <cellStyle name="Обычный 6 5 5 2 2 2 2 2 2" xfId="20732"/>
    <cellStyle name="Обычный 6 5 5 2 2 2 2 2 3" xfId="20733"/>
    <cellStyle name="Обычный 6 5 5 2 2 2 2 3" xfId="20734"/>
    <cellStyle name="Обычный 6 5 5 2 2 2 2 3 2" xfId="20735"/>
    <cellStyle name="Обычный 6 5 5 2 2 2 2 3 3" xfId="20736"/>
    <cellStyle name="Обычный 6 5 5 2 2 2 2 4" xfId="20737"/>
    <cellStyle name="Обычный 6 5 5 2 2 2 2 4 2" xfId="20738"/>
    <cellStyle name="Обычный 6 5 5 2 2 2 2 5" xfId="20739"/>
    <cellStyle name="Обычный 6 5 5 2 2 2 2 6" xfId="20740"/>
    <cellStyle name="Обычный 6 5 5 2 2 2 3" xfId="20741"/>
    <cellStyle name="Обычный 6 5 5 2 2 2 3 2" xfId="20742"/>
    <cellStyle name="Обычный 6 5 5 2 2 2 3 3" xfId="20743"/>
    <cellStyle name="Обычный 6 5 5 2 2 2 4" xfId="20744"/>
    <cellStyle name="Обычный 6 5 5 2 2 2 4 2" xfId="20745"/>
    <cellStyle name="Обычный 6 5 5 2 2 2 4 3" xfId="20746"/>
    <cellStyle name="Обычный 6 5 5 2 2 2 5" xfId="20747"/>
    <cellStyle name="Обычный 6 5 5 2 2 2 5 2" xfId="20748"/>
    <cellStyle name="Обычный 6 5 5 2 2 2 6" xfId="20749"/>
    <cellStyle name="Обычный 6 5 5 2 2 2 7" xfId="20750"/>
    <cellStyle name="Обычный 6 5 5 2 2 3" xfId="20751"/>
    <cellStyle name="Обычный 6 5 5 2 2 3 2" xfId="20752"/>
    <cellStyle name="Обычный 6 5 5 2 2 3 2 2" xfId="20753"/>
    <cellStyle name="Обычный 6 5 5 2 2 3 2 3" xfId="20754"/>
    <cellStyle name="Обычный 6 5 5 2 2 3 3" xfId="20755"/>
    <cellStyle name="Обычный 6 5 5 2 2 3 3 2" xfId="20756"/>
    <cellStyle name="Обычный 6 5 5 2 2 3 3 3" xfId="20757"/>
    <cellStyle name="Обычный 6 5 5 2 2 3 4" xfId="20758"/>
    <cellStyle name="Обычный 6 5 5 2 2 3 4 2" xfId="20759"/>
    <cellStyle name="Обычный 6 5 5 2 2 3 5" xfId="20760"/>
    <cellStyle name="Обычный 6 5 5 2 2 3 6" xfId="20761"/>
    <cellStyle name="Обычный 6 5 5 2 2 4" xfId="20762"/>
    <cellStyle name="Обычный 6 5 5 2 2 4 2" xfId="20763"/>
    <cellStyle name="Обычный 6 5 5 2 2 4 3" xfId="20764"/>
    <cellStyle name="Обычный 6 5 5 2 2 5" xfId="20765"/>
    <cellStyle name="Обычный 6 5 5 2 2 5 2" xfId="20766"/>
    <cellStyle name="Обычный 6 5 5 2 2 5 3" xfId="20767"/>
    <cellStyle name="Обычный 6 5 5 2 2 6" xfId="20768"/>
    <cellStyle name="Обычный 6 5 5 2 2 6 2" xfId="20769"/>
    <cellStyle name="Обычный 6 5 5 2 2 7" xfId="20770"/>
    <cellStyle name="Обычный 6 5 5 2 2 8" xfId="20771"/>
    <cellStyle name="Обычный 6 5 5 2 3" xfId="20772"/>
    <cellStyle name="Обычный 6 5 5 2 3 2" xfId="20773"/>
    <cellStyle name="Обычный 6 5 5 2 3 2 2" xfId="20774"/>
    <cellStyle name="Обычный 6 5 5 2 3 2 2 2" xfId="20775"/>
    <cellStyle name="Обычный 6 5 5 2 3 2 2 3" xfId="20776"/>
    <cellStyle name="Обычный 6 5 5 2 3 2 3" xfId="20777"/>
    <cellStyle name="Обычный 6 5 5 2 3 2 3 2" xfId="20778"/>
    <cellStyle name="Обычный 6 5 5 2 3 2 3 3" xfId="20779"/>
    <cellStyle name="Обычный 6 5 5 2 3 2 4" xfId="20780"/>
    <cellStyle name="Обычный 6 5 5 2 3 2 4 2" xfId="20781"/>
    <cellStyle name="Обычный 6 5 5 2 3 2 5" xfId="20782"/>
    <cellStyle name="Обычный 6 5 5 2 3 2 6" xfId="20783"/>
    <cellStyle name="Обычный 6 5 5 2 3 3" xfId="20784"/>
    <cellStyle name="Обычный 6 5 5 2 3 3 2" xfId="20785"/>
    <cellStyle name="Обычный 6 5 5 2 3 3 3" xfId="20786"/>
    <cellStyle name="Обычный 6 5 5 2 3 4" xfId="20787"/>
    <cellStyle name="Обычный 6 5 5 2 3 4 2" xfId="20788"/>
    <cellStyle name="Обычный 6 5 5 2 3 4 3" xfId="20789"/>
    <cellStyle name="Обычный 6 5 5 2 3 5" xfId="20790"/>
    <cellStyle name="Обычный 6 5 5 2 3 5 2" xfId="20791"/>
    <cellStyle name="Обычный 6 5 5 2 3 6" xfId="20792"/>
    <cellStyle name="Обычный 6 5 5 2 3 7" xfId="20793"/>
    <cellStyle name="Обычный 6 5 5 2 4" xfId="20794"/>
    <cellStyle name="Обычный 6 5 5 2 4 2" xfId="20795"/>
    <cellStyle name="Обычный 6 5 5 2 4 2 2" xfId="20796"/>
    <cellStyle name="Обычный 6 5 5 2 4 2 3" xfId="20797"/>
    <cellStyle name="Обычный 6 5 5 2 4 3" xfId="20798"/>
    <cellStyle name="Обычный 6 5 5 2 4 3 2" xfId="20799"/>
    <cellStyle name="Обычный 6 5 5 2 4 3 3" xfId="20800"/>
    <cellStyle name="Обычный 6 5 5 2 4 4" xfId="20801"/>
    <cellStyle name="Обычный 6 5 5 2 4 4 2" xfId="20802"/>
    <cellStyle name="Обычный 6 5 5 2 4 5" xfId="20803"/>
    <cellStyle name="Обычный 6 5 5 2 4 6" xfId="20804"/>
    <cellStyle name="Обычный 6 5 5 2 5" xfId="20805"/>
    <cellStyle name="Обычный 6 5 5 2 5 2" xfId="20806"/>
    <cellStyle name="Обычный 6 5 5 2 5 3" xfId="20807"/>
    <cellStyle name="Обычный 6 5 5 2 6" xfId="20808"/>
    <cellStyle name="Обычный 6 5 5 2 6 2" xfId="20809"/>
    <cellStyle name="Обычный 6 5 5 2 6 3" xfId="20810"/>
    <cellStyle name="Обычный 6 5 5 2 7" xfId="20811"/>
    <cellStyle name="Обычный 6 5 5 2 7 2" xfId="20812"/>
    <cellStyle name="Обычный 6 5 5 2 8" xfId="20813"/>
    <cellStyle name="Обычный 6 5 5 2 9" xfId="20814"/>
    <cellStyle name="Обычный 6 5 5 3" xfId="20815"/>
    <cellStyle name="Обычный 6 5 5 3 2" xfId="20816"/>
    <cellStyle name="Обычный 6 5 5 3 2 2" xfId="20817"/>
    <cellStyle name="Обычный 6 5 5 3 2 2 2" xfId="20818"/>
    <cellStyle name="Обычный 6 5 5 3 2 2 2 2" xfId="20819"/>
    <cellStyle name="Обычный 6 5 5 3 2 2 2 3" xfId="20820"/>
    <cellStyle name="Обычный 6 5 5 3 2 2 3" xfId="20821"/>
    <cellStyle name="Обычный 6 5 5 3 2 2 3 2" xfId="20822"/>
    <cellStyle name="Обычный 6 5 5 3 2 2 3 3" xfId="20823"/>
    <cellStyle name="Обычный 6 5 5 3 2 2 4" xfId="20824"/>
    <cellStyle name="Обычный 6 5 5 3 2 2 4 2" xfId="20825"/>
    <cellStyle name="Обычный 6 5 5 3 2 2 5" xfId="20826"/>
    <cellStyle name="Обычный 6 5 5 3 2 2 6" xfId="20827"/>
    <cellStyle name="Обычный 6 5 5 3 2 3" xfId="20828"/>
    <cellStyle name="Обычный 6 5 5 3 2 3 2" xfId="20829"/>
    <cellStyle name="Обычный 6 5 5 3 2 3 3" xfId="20830"/>
    <cellStyle name="Обычный 6 5 5 3 2 4" xfId="20831"/>
    <cellStyle name="Обычный 6 5 5 3 2 4 2" xfId="20832"/>
    <cellStyle name="Обычный 6 5 5 3 2 4 3" xfId="20833"/>
    <cellStyle name="Обычный 6 5 5 3 2 5" xfId="20834"/>
    <cellStyle name="Обычный 6 5 5 3 2 5 2" xfId="20835"/>
    <cellStyle name="Обычный 6 5 5 3 2 6" xfId="20836"/>
    <cellStyle name="Обычный 6 5 5 3 2 7" xfId="20837"/>
    <cellStyle name="Обычный 6 5 5 3 3" xfId="20838"/>
    <cellStyle name="Обычный 6 5 5 3 3 2" xfId="20839"/>
    <cellStyle name="Обычный 6 5 5 3 3 2 2" xfId="20840"/>
    <cellStyle name="Обычный 6 5 5 3 3 2 3" xfId="20841"/>
    <cellStyle name="Обычный 6 5 5 3 3 3" xfId="20842"/>
    <cellStyle name="Обычный 6 5 5 3 3 3 2" xfId="20843"/>
    <cellStyle name="Обычный 6 5 5 3 3 3 3" xfId="20844"/>
    <cellStyle name="Обычный 6 5 5 3 3 4" xfId="20845"/>
    <cellStyle name="Обычный 6 5 5 3 3 4 2" xfId="20846"/>
    <cellStyle name="Обычный 6 5 5 3 3 5" xfId="20847"/>
    <cellStyle name="Обычный 6 5 5 3 3 6" xfId="20848"/>
    <cellStyle name="Обычный 6 5 5 3 4" xfId="20849"/>
    <cellStyle name="Обычный 6 5 5 3 4 2" xfId="20850"/>
    <cellStyle name="Обычный 6 5 5 3 4 3" xfId="20851"/>
    <cellStyle name="Обычный 6 5 5 3 5" xfId="20852"/>
    <cellStyle name="Обычный 6 5 5 3 5 2" xfId="20853"/>
    <cellStyle name="Обычный 6 5 5 3 5 3" xfId="20854"/>
    <cellStyle name="Обычный 6 5 5 3 6" xfId="20855"/>
    <cellStyle name="Обычный 6 5 5 3 6 2" xfId="20856"/>
    <cellStyle name="Обычный 6 5 5 3 7" xfId="20857"/>
    <cellStyle name="Обычный 6 5 5 3 8" xfId="20858"/>
    <cellStyle name="Обычный 6 5 5 4" xfId="20859"/>
    <cellStyle name="Обычный 6 5 5 4 2" xfId="20860"/>
    <cellStyle name="Обычный 6 5 5 4 2 2" xfId="20861"/>
    <cellStyle name="Обычный 6 5 5 4 2 2 2" xfId="20862"/>
    <cellStyle name="Обычный 6 5 5 4 2 2 3" xfId="20863"/>
    <cellStyle name="Обычный 6 5 5 4 2 3" xfId="20864"/>
    <cellStyle name="Обычный 6 5 5 4 2 3 2" xfId="20865"/>
    <cellStyle name="Обычный 6 5 5 4 2 3 3" xfId="20866"/>
    <cellStyle name="Обычный 6 5 5 4 2 4" xfId="20867"/>
    <cellStyle name="Обычный 6 5 5 4 2 4 2" xfId="20868"/>
    <cellStyle name="Обычный 6 5 5 4 2 5" xfId="20869"/>
    <cellStyle name="Обычный 6 5 5 4 2 6" xfId="20870"/>
    <cellStyle name="Обычный 6 5 5 4 3" xfId="20871"/>
    <cellStyle name="Обычный 6 5 5 4 3 2" xfId="20872"/>
    <cellStyle name="Обычный 6 5 5 4 3 3" xfId="20873"/>
    <cellStyle name="Обычный 6 5 5 4 4" xfId="20874"/>
    <cellStyle name="Обычный 6 5 5 4 4 2" xfId="20875"/>
    <cellStyle name="Обычный 6 5 5 4 4 3" xfId="20876"/>
    <cellStyle name="Обычный 6 5 5 4 5" xfId="20877"/>
    <cellStyle name="Обычный 6 5 5 4 5 2" xfId="20878"/>
    <cellStyle name="Обычный 6 5 5 4 6" xfId="20879"/>
    <cellStyle name="Обычный 6 5 5 4 7" xfId="20880"/>
    <cellStyle name="Обычный 6 5 5 5" xfId="20881"/>
    <cellStyle name="Обычный 6 5 5 5 2" xfId="20882"/>
    <cellStyle name="Обычный 6 5 5 5 2 2" xfId="20883"/>
    <cellStyle name="Обычный 6 5 5 5 2 3" xfId="20884"/>
    <cellStyle name="Обычный 6 5 5 5 3" xfId="20885"/>
    <cellStyle name="Обычный 6 5 5 5 3 2" xfId="20886"/>
    <cellStyle name="Обычный 6 5 5 5 3 3" xfId="20887"/>
    <cellStyle name="Обычный 6 5 5 5 4" xfId="20888"/>
    <cellStyle name="Обычный 6 5 5 5 4 2" xfId="20889"/>
    <cellStyle name="Обычный 6 5 5 5 5" xfId="20890"/>
    <cellStyle name="Обычный 6 5 5 5 6" xfId="20891"/>
    <cellStyle name="Обычный 6 5 5 6" xfId="20892"/>
    <cellStyle name="Обычный 6 5 5 6 2" xfId="20893"/>
    <cellStyle name="Обычный 6 5 5 6 3" xfId="20894"/>
    <cellStyle name="Обычный 6 5 5 7" xfId="20895"/>
    <cellStyle name="Обычный 6 5 5 7 2" xfId="20896"/>
    <cellStyle name="Обычный 6 5 5 7 3" xfId="20897"/>
    <cellStyle name="Обычный 6 5 5 8" xfId="20898"/>
    <cellStyle name="Обычный 6 5 5 8 2" xfId="20899"/>
    <cellStyle name="Обычный 6 5 5 9" xfId="20900"/>
    <cellStyle name="Обычный 6 5 6" xfId="20901"/>
    <cellStyle name="Обычный 6 5 6 2" xfId="20902"/>
    <cellStyle name="Обычный 6 5 6 2 2" xfId="20903"/>
    <cellStyle name="Обычный 6 5 6 2 2 2" xfId="20904"/>
    <cellStyle name="Обычный 6 5 6 2 2 2 2" xfId="20905"/>
    <cellStyle name="Обычный 6 5 6 2 2 2 2 2" xfId="20906"/>
    <cellStyle name="Обычный 6 5 6 2 2 2 2 3" xfId="20907"/>
    <cellStyle name="Обычный 6 5 6 2 2 2 3" xfId="20908"/>
    <cellStyle name="Обычный 6 5 6 2 2 2 3 2" xfId="20909"/>
    <cellStyle name="Обычный 6 5 6 2 2 2 3 3" xfId="20910"/>
    <cellStyle name="Обычный 6 5 6 2 2 2 4" xfId="20911"/>
    <cellStyle name="Обычный 6 5 6 2 2 2 4 2" xfId="20912"/>
    <cellStyle name="Обычный 6 5 6 2 2 2 5" xfId="20913"/>
    <cellStyle name="Обычный 6 5 6 2 2 2 6" xfId="20914"/>
    <cellStyle name="Обычный 6 5 6 2 2 3" xfId="20915"/>
    <cellStyle name="Обычный 6 5 6 2 2 3 2" xfId="20916"/>
    <cellStyle name="Обычный 6 5 6 2 2 3 3" xfId="20917"/>
    <cellStyle name="Обычный 6 5 6 2 2 4" xfId="20918"/>
    <cellStyle name="Обычный 6 5 6 2 2 4 2" xfId="20919"/>
    <cellStyle name="Обычный 6 5 6 2 2 4 3" xfId="20920"/>
    <cellStyle name="Обычный 6 5 6 2 2 5" xfId="20921"/>
    <cellStyle name="Обычный 6 5 6 2 2 5 2" xfId="20922"/>
    <cellStyle name="Обычный 6 5 6 2 2 6" xfId="20923"/>
    <cellStyle name="Обычный 6 5 6 2 2 7" xfId="20924"/>
    <cellStyle name="Обычный 6 5 6 2 3" xfId="20925"/>
    <cellStyle name="Обычный 6 5 6 2 3 2" xfId="20926"/>
    <cellStyle name="Обычный 6 5 6 2 3 2 2" xfId="20927"/>
    <cellStyle name="Обычный 6 5 6 2 3 2 3" xfId="20928"/>
    <cellStyle name="Обычный 6 5 6 2 3 3" xfId="20929"/>
    <cellStyle name="Обычный 6 5 6 2 3 3 2" xfId="20930"/>
    <cellStyle name="Обычный 6 5 6 2 3 3 3" xfId="20931"/>
    <cellStyle name="Обычный 6 5 6 2 3 4" xfId="20932"/>
    <cellStyle name="Обычный 6 5 6 2 3 4 2" xfId="20933"/>
    <cellStyle name="Обычный 6 5 6 2 3 5" xfId="20934"/>
    <cellStyle name="Обычный 6 5 6 2 3 6" xfId="20935"/>
    <cellStyle name="Обычный 6 5 6 2 4" xfId="20936"/>
    <cellStyle name="Обычный 6 5 6 2 4 2" xfId="20937"/>
    <cellStyle name="Обычный 6 5 6 2 4 3" xfId="20938"/>
    <cellStyle name="Обычный 6 5 6 2 5" xfId="20939"/>
    <cellStyle name="Обычный 6 5 6 2 5 2" xfId="20940"/>
    <cellStyle name="Обычный 6 5 6 2 5 3" xfId="20941"/>
    <cellStyle name="Обычный 6 5 6 2 6" xfId="20942"/>
    <cellStyle name="Обычный 6 5 6 2 6 2" xfId="20943"/>
    <cellStyle name="Обычный 6 5 6 2 7" xfId="20944"/>
    <cellStyle name="Обычный 6 5 6 2 8" xfId="20945"/>
    <cellStyle name="Обычный 6 5 6 3" xfId="20946"/>
    <cellStyle name="Обычный 6 5 6 3 2" xfId="20947"/>
    <cellStyle name="Обычный 6 5 6 3 2 2" xfId="20948"/>
    <cellStyle name="Обычный 6 5 6 3 2 2 2" xfId="20949"/>
    <cellStyle name="Обычный 6 5 6 3 2 2 3" xfId="20950"/>
    <cellStyle name="Обычный 6 5 6 3 2 3" xfId="20951"/>
    <cellStyle name="Обычный 6 5 6 3 2 3 2" xfId="20952"/>
    <cellStyle name="Обычный 6 5 6 3 2 3 3" xfId="20953"/>
    <cellStyle name="Обычный 6 5 6 3 2 4" xfId="20954"/>
    <cellStyle name="Обычный 6 5 6 3 2 4 2" xfId="20955"/>
    <cellStyle name="Обычный 6 5 6 3 2 5" xfId="20956"/>
    <cellStyle name="Обычный 6 5 6 3 2 6" xfId="20957"/>
    <cellStyle name="Обычный 6 5 6 3 3" xfId="20958"/>
    <cellStyle name="Обычный 6 5 6 3 3 2" xfId="20959"/>
    <cellStyle name="Обычный 6 5 6 3 3 3" xfId="20960"/>
    <cellStyle name="Обычный 6 5 6 3 4" xfId="20961"/>
    <cellStyle name="Обычный 6 5 6 3 4 2" xfId="20962"/>
    <cellStyle name="Обычный 6 5 6 3 4 3" xfId="20963"/>
    <cellStyle name="Обычный 6 5 6 3 5" xfId="20964"/>
    <cellStyle name="Обычный 6 5 6 3 5 2" xfId="20965"/>
    <cellStyle name="Обычный 6 5 6 3 6" xfId="20966"/>
    <cellStyle name="Обычный 6 5 6 3 7" xfId="20967"/>
    <cellStyle name="Обычный 6 5 6 4" xfId="20968"/>
    <cellStyle name="Обычный 6 5 6 4 2" xfId="20969"/>
    <cellStyle name="Обычный 6 5 6 4 2 2" xfId="20970"/>
    <cellStyle name="Обычный 6 5 6 4 2 3" xfId="20971"/>
    <cellStyle name="Обычный 6 5 6 4 3" xfId="20972"/>
    <cellStyle name="Обычный 6 5 6 4 3 2" xfId="20973"/>
    <cellStyle name="Обычный 6 5 6 4 3 3" xfId="20974"/>
    <cellStyle name="Обычный 6 5 6 4 4" xfId="20975"/>
    <cellStyle name="Обычный 6 5 6 4 4 2" xfId="20976"/>
    <cellStyle name="Обычный 6 5 6 4 5" xfId="20977"/>
    <cellStyle name="Обычный 6 5 6 4 6" xfId="20978"/>
    <cellStyle name="Обычный 6 5 6 5" xfId="20979"/>
    <cellStyle name="Обычный 6 5 6 5 2" xfId="20980"/>
    <cellStyle name="Обычный 6 5 6 5 3" xfId="20981"/>
    <cellStyle name="Обычный 6 5 6 6" xfId="20982"/>
    <cellStyle name="Обычный 6 5 6 6 2" xfId="20983"/>
    <cellStyle name="Обычный 6 5 6 6 3" xfId="20984"/>
    <cellStyle name="Обычный 6 5 6 7" xfId="20985"/>
    <cellStyle name="Обычный 6 5 6 7 2" xfId="20986"/>
    <cellStyle name="Обычный 6 5 6 8" xfId="20987"/>
    <cellStyle name="Обычный 6 5 6 9" xfId="20988"/>
    <cellStyle name="Обычный 6 5 7" xfId="20989"/>
    <cellStyle name="Обычный 6 5 7 2" xfId="20990"/>
    <cellStyle name="Обычный 6 5 7 2 2" xfId="20991"/>
    <cellStyle name="Обычный 6 5 7 2 2 2" xfId="20992"/>
    <cellStyle name="Обычный 6 5 7 2 2 2 2" xfId="20993"/>
    <cellStyle name="Обычный 6 5 7 2 2 2 3" xfId="20994"/>
    <cellStyle name="Обычный 6 5 7 2 2 3" xfId="20995"/>
    <cellStyle name="Обычный 6 5 7 2 2 3 2" xfId="20996"/>
    <cellStyle name="Обычный 6 5 7 2 2 3 3" xfId="20997"/>
    <cellStyle name="Обычный 6 5 7 2 2 4" xfId="20998"/>
    <cellStyle name="Обычный 6 5 7 2 2 4 2" xfId="20999"/>
    <cellStyle name="Обычный 6 5 7 2 2 5" xfId="21000"/>
    <cellStyle name="Обычный 6 5 7 2 2 6" xfId="21001"/>
    <cellStyle name="Обычный 6 5 7 2 3" xfId="21002"/>
    <cellStyle name="Обычный 6 5 7 2 3 2" xfId="21003"/>
    <cellStyle name="Обычный 6 5 7 2 3 3" xfId="21004"/>
    <cellStyle name="Обычный 6 5 7 2 4" xfId="21005"/>
    <cellStyle name="Обычный 6 5 7 2 4 2" xfId="21006"/>
    <cellStyle name="Обычный 6 5 7 2 4 3" xfId="21007"/>
    <cellStyle name="Обычный 6 5 7 2 5" xfId="21008"/>
    <cellStyle name="Обычный 6 5 7 2 5 2" xfId="21009"/>
    <cellStyle name="Обычный 6 5 7 2 6" xfId="21010"/>
    <cellStyle name="Обычный 6 5 7 2 7" xfId="21011"/>
    <cellStyle name="Обычный 6 5 7 3" xfId="21012"/>
    <cellStyle name="Обычный 6 5 7 3 2" xfId="21013"/>
    <cellStyle name="Обычный 6 5 7 3 2 2" xfId="21014"/>
    <cellStyle name="Обычный 6 5 7 3 2 3" xfId="21015"/>
    <cellStyle name="Обычный 6 5 7 3 3" xfId="21016"/>
    <cellStyle name="Обычный 6 5 7 3 3 2" xfId="21017"/>
    <cellStyle name="Обычный 6 5 7 3 3 3" xfId="21018"/>
    <cellStyle name="Обычный 6 5 7 3 4" xfId="21019"/>
    <cellStyle name="Обычный 6 5 7 3 4 2" xfId="21020"/>
    <cellStyle name="Обычный 6 5 7 3 5" xfId="21021"/>
    <cellStyle name="Обычный 6 5 7 3 6" xfId="21022"/>
    <cellStyle name="Обычный 6 5 7 4" xfId="21023"/>
    <cellStyle name="Обычный 6 5 7 4 2" xfId="21024"/>
    <cellStyle name="Обычный 6 5 7 4 3" xfId="21025"/>
    <cellStyle name="Обычный 6 5 7 5" xfId="21026"/>
    <cellStyle name="Обычный 6 5 7 5 2" xfId="21027"/>
    <cellStyle name="Обычный 6 5 7 5 3" xfId="21028"/>
    <cellStyle name="Обычный 6 5 7 6" xfId="21029"/>
    <cellStyle name="Обычный 6 5 7 6 2" xfId="21030"/>
    <cellStyle name="Обычный 6 5 7 7" xfId="21031"/>
    <cellStyle name="Обычный 6 5 7 8" xfId="21032"/>
    <cellStyle name="Обычный 6 5 8" xfId="21033"/>
    <cellStyle name="Обычный 6 5 8 2" xfId="21034"/>
    <cellStyle name="Обычный 6 5 8 2 2" xfId="21035"/>
    <cellStyle name="Обычный 6 5 8 2 2 2" xfId="21036"/>
    <cellStyle name="Обычный 6 5 8 2 2 3" xfId="21037"/>
    <cellStyle name="Обычный 6 5 8 2 3" xfId="21038"/>
    <cellStyle name="Обычный 6 5 8 2 3 2" xfId="21039"/>
    <cellStyle name="Обычный 6 5 8 2 3 3" xfId="21040"/>
    <cellStyle name="Обычный 6 5 8 2 4" xfId="21041"/>
    <cellStyle name="Обычный 6 5 8 2 4 2" xfId="21042"/>
    <cellStyle name="Обычный 6 5 8 2 5" xfId="21043"/>
    <cellStyle name="Обычный 6 5 8 2 6" xfId="21044"/>
    <cellStyle name="Обычный 6 5 8 3" xfId="21045"/>
    <cellStyle name="Обычный 6 5 8 3 2" xfId="21046"/>
    <cellStyle name="Обычный 6 5 8 3 3" xfId="21047"/>
    <cellStyle name="Обычный 6 5 8 4" xfId="21048"/>
    <cellStyle name="Обычный 6 5 8 4 2" xfId="21049"/>
    <cellStyle name="Обычный 6 5 8 4 3" xfId="21050"/>
    <cellStyle name="Обычный 6 5 8 5" xfId="21051"/>
    <cellStyle name="Обычный 6 5 8 5 2" xfId="21052"/>
    <cellStyle name="Обычный 6 5 8 6" xfId="21053"/>
    <cellStyle name="Обычный 6 5 8 7" xfId="21054"/>
    <cellStyle name="Обычный 6 5 9" xfId="21055"/>
    <cellStyle name="Обычный 6 5 9 2" xfId="21056"/>
    <cellStyle name="Обычный 6 5 9 2 2" xfId="21057"/>
    <cellStyle name="Обычный 6 5 9 2 3" xfId="21058"/>
    <cellStyle name="Обычный 6 5 9 3" xfId="21059"/>
    <cellStyle name="Обычный 6 5 9 3 2" xfId="21060"/>
    <cellStyle name="Обычный 6 5 9 3 3" xfId="21061"/>
    <cellStyle name="Обычный 6 5 9 4" xfId="21062"/>
    <cellStyle name="Обычный 6 5 9 4 2" xfId="21063"/>
    <cellStyle name="Обычный 6 5 9 5" xfId="21064"/>
    <cellStyle name="Обычный 6 5 9 6" xfId="21065"/>
    <cellStyle name="Обычный 6 6" xfId="21066"/>
    <cellStyle name="Обычный 6 6 10" xfId="21067"/>
    <cellStyle name="Обычный 6 6 10 2" xfId="21068"/>
    <cellStyle name="Обычный 6 6 10 3" xfId="21069"/>
    <cellStyle name="Обычный 6 6 11" xfId="21070"/>
    <cellStyle name="Обычный 6 6 11 2" xfId="21071"/>
    <cellStyle name="Обычный 6 6 11 3" xfId="21072"/>
    <cellStyle name="Обычный 6 6 12" xfId="21073"/>
    <cellStyle name="Обычный 6 6 12 2" xfId="21074"/>
    <cellStyle name="Обычный 6 6 13" xfId="21075"/>
    <cellStyle name="Обычный 6 6 14" xfId="21076"/>
    <cellStyle name="Обычный 6 6 2" xfId="21077"/>
    <cellStyle name="Обычный 6 6 2 10" xfId="21078"/>
    <cellStyle name="Обычный 6 6 2 10 2" xfId="21079"/>
    <cellStyle name="Обычный 6 6 2 10 3" xfId="21080"/>
    <cellStyle name="Обычный 6 6 2 11" xfId="21081"/>
    <cellStyle name="Обычный 6 6 2 11 2" xfId="21082"/>
    <cellStyle name="Обычный 6 6 2 12" xfId="21083"/>
    <cellStyle name="Обычный 6 6 2 13" xfId="21084"/>
    <cellStyle name="Обычный 6 6 2 2" xfId="21085"/>
    <cellStyle name="Обычный 6 6 2 2 10" xfId="21086"/>
    <cellStyle name="Обычный 6 6 2 2 2" xfId="21087"/>
    <cellStyle name="Обычный 6 6 2 2 2 2" xfId="21088"/>
    <cellStyle name="Обычный 6 6 2 2 2 2 2" xfId="21089"/>
    <cellStyle name="Обычный 6 6 2 2 2 2 2 2" xfId="21090"/>
    <cellStyle name="Обычный 6 6 2 2 2 2 2 2 2" xfId="21091"/>
    <cellStyle name="Обычный 6 6 2 2 2 2 2 2 2 2" xfId="21092"/>
    <cellStyle name="Обычный 6 6 2 2 2 2 2 2 2 3" xfId="21093"/>
    <cellStyle name="Обычный 6 6 2 2 2 2 2 2 3" xfId="21094"/>
    <cellStyle name="Обычный 6 6 2 2 2 2 2 2 3 2" xfId="21095"/>
    <cellStyle name="Обычный 6 6 2 2 2 2 2 2 3 3" xfId="21096"/>
    <cellStyle name="Обычный 6 6 2 2 2 2 2 2 4" xfId="21097"/>
    <cellStyle name="Обычный 6 6 2 2 2 2 2 2 4 2" xfId="21098"/>
    <cellStyle name="Обычный 6 6 2 2 2 2 2 2 5" xfId="21099"/>
    <cellStyle name="Обычный 6 6 2 2 2 2 2 2 6" xfId="21100"/>
    <cellStyle name="Обычный 6 6 2 2 2 2 2 3" xfId="21101"/>
    <cellStyle name="Обычный 6 6 2 2 2 2 2 3 2" xfId="21102"/>
    <cellStyle name="Обычный 6 6 2 2 2 2 2 3 3" xfId="21103"/>
    <cellStyle name="Обычный 6 6 2 2 2 2 2 4" xfId="21104"/>
    <cellStyle name="Обычный 6 6 2 2 2 2 2 4 2" xfId="21105"/>
    <cellStyle name="Обычный 6 6 2 2 2 2 2 4 3" xfId="21106"/>
    <cellStyle name="Обычный 6 6 2 2 2 2 2 5" xfId="21107"/>
    <cellStyle name="Обычный 6 6 2 2 2 2 2 5 2" xfId="21108"/>
    <cellStyle name="Обычный 6 6 2 2 2 2 2 6" xfId="21109"/>
    <cellStyle name="Обычный 6 6 2 2 2 2 2 7" xfId="21110"/>
    <cellStyle name="Обычный 6 6 2 2 2 2 3" xfId="21111"/>
    <cellStyle name="Обычный 6 6 2 2 2 2 3 2" xfId="21112"/>
    <cellStyle name="Обычный 6 6 2 2 2 2 3 2 2" xfId="21113"/>
    <cellStyle name="Обычный 6 6 2 2 2 2 3 2 3" xfId="21114"/>
    <cellStyle name="Обычный 6 6 2 2 2 2 3 3" xfId="21115"/>
    <cellStyle name="Обычный 6 6 2 2 2 2 3 3 2" xfId="21116"/>
    <cellStyle name="Обычный 6 6 2 2 2 2 3 3 3" xfId="21117"/>
    <cellStyle name="Обычный 6 6 2 2 2 2 3 4" xfId="21118"/>
    <cellStyle name="Обычный 6 6 2 2 2 2 3 4 2" xfId="21119"/>
    <cellStyle name="Обычный 6 6 2 2 2 2 3 5" xfId="21120"/>
    <cellStyle name="Обычный 6 6 2 2 2 2 3 6" xfId="21121"/>
    <cellStyle name="Обычный 6 6 2 2 2 2 4" xfId="21122"/>
    <cellStyle name="Обычный 6 6 2 2 2 2 4 2" xfId="21123"/>
    <cellStyle name="Обычный 6 6 2 2 2 2 4 3" xfId="21124"/>
    <cellStyle name="Обычный 6 6 2 2 2 2 5" xfId="21125"/>
    <cellStyle name="Обычный 6 6 2 2 2 2 5 2" xfId="21126"/>
    <cellStyle name="Обычный 6 6 2 2 2 2 5 3" xfId="21127"/>
    <cellStyle name="Обычный 6 6 2 2 2 2 6" xfId="21128"/>
    <cellStyle name="Обычный 6 6 2 2 2 2 6 2" xfId="21129"/>
    <cellStyle name="Обычный 6 6 2 2 2 2 7" xfId="21130"/>
    <cellStyle name="Обычный 6 6 2 2 2 2 8" xfId="21131"/>
    <cellStyle name="Обычный 6 6 2 2 2 3" xfId="21132"/>
    <cellStyle name="Обычный 6 6 2 2 2 3 2" xfId="21133"/>
    <cellStyle name="Обычный 6 6 2 2 2 3 2 2" xfId="21134"/>
    <cellStyle name="Обычный 6 6 2 2 2 3 2 2 2" xfId="21135"/>
    <cellStyle name="Обычный 6 6 2 2 2 3 2 2 3" xfId="21136"/>
    <cellStyle name="Обычный 6 6 2 2 2 3 2 3" xfId="21137"/>
    <cellStyle name="Обычный 6 6 2 2 2 3 2 3 2" xfId="21138"/>
    <cellStyle name="Обычный 6 6 2 2 2 3 2 3 3" xfId="21139"/>
    <cellStyle name="Обычный 6 6 2 2 2 3 2 4" xfId="21140"/>
    <cellStyle name="Обычный 6 6 2 2 2 3 2 4 2" xfId="21141"/>
    <cellStyle name="Обычный 6 6 2 2 2 3 2 5" xfId="21142"/>
    <cellStyle name="Обычный 6 6 2 2 2 3 2 6" xfId="21143"/>
    <cellStyle name="Обычный 6 6 2 2 2 3 3" xfId="21144"/>
    <cellStyle name="Обычный 6 6 2 2 2 3 3 2" xfId="21145"/>
    <cellStyle name="Обычный 6 6 2 2 2 3 3 3" xfId="21146"/>
    <cellStyle name="Обычный 6 6 2 2 2 3 4" xfId="21147"/>
    <cellStyle name="Обычный 6 6 2 2 2 3 4 2" xfId="21148"/>
    <cellStyle name="Обычный 6 6 2 2 2 3 4 3" xfId="21149"/>
    <cellStyle name="Обычный 6 6 2 2 2 3 5" xfId="21150"/>
    <cellStyle name="Обычный 6 6 2 2 2 3 5 2" xfId="21151"/>
    <cellStyle name="Обычный 6 6 2 2 2 3 6" xfId="21152"/>
    <cellStyle name="Обычный 6 6 2 2 2 3 7" xfId="21153"/>
    <cellStyle name="Обычный 6 6 2 2 2 4" xfId="21154"/>
    <cellStyle name="Обычный 6 6 2 2 2 4 2" xfId="21155"/>
    <cellStyle name="Обычный 6 6 2 2 2 4 2 2" xfId="21156"/>
    <cellStyle name="Обычный 6 6 2 2 2 4 2 3" xfId="21157"/>
    <cellStyle name="Обычный 6 6 2 2 2 4 3" xfId="21158"/>
    <cellStyle name="Обычный 6 6 2 2 2 4 3 2" xfId="21159"/>
    <cellStyle name="Обычный 6 6 2 2 2 4 3 3" xfId="21160"/>
    <cellStyle name="Обычный 6 6 2 2 2 4 4" xfId="21161"/>
    <cellStyle name="Обычный 6 6 2 2 2 4 4 2" xfId="21162"/>
    <cellStyle name="Обычный 6 6 2 2 2 4 5" xfId="21163"/>
    <cellStyle name="Обычный 6 6 2 2 2 4 6" xfId="21164"/>
    <cellStyle name="Обычный 6 6 2 2 2 5" xfId="21165"/>
    <cellStyle name="Обычный 6 6 2 2 2 5 2" xfId="21166"/>
    <cellStyle name="Обычный 6 6 2 2 2 5 3" xfId="21167"/>
    <cellStyle name="Обычный 6 6 2 2 2 6" xfId="21168"/>
    <cellStyle name="Обычный 6 6 2 2 2 6 2" xfId="21169"/>
    <cellStyle name="Обычный 6 6 2 2 2 6 3" xfId="21170"/>
    <cellStyle name="Обычный 6 6 2 2 2 7" xfId="21171"/>
    <cellStyle name="Обычный 6 6 2 2 2 7 2" xfId="21172"/>
    <cellStyle name="Обычный 6 6 2 2 2 8" xfId="21173"/>
    <cellStyle name="Обычный 6 6 2 2 2 9" xfId="21174"/>
    <cellStyle name="Обычный 6 6 2 2 3" xfId="21175"/>
    <cellStyle name="Обычный 6 6 2 2 3 2" xfId="21176"/>
    <cellStyle name="Обычный 6 6 2 2 3 2 2" xfId="21177"/>
    <cellStyle name="Обычный 6 6 2 2 3 2 2 2" xfId="21178"/>
    <cellStyle name="Обычный 6 6 2 2 3 2 2 2 2" xfId="21179"/>
    <cellStyle name="Обычный 6 6 2 2 3 2 2 2 3" xfId="21180"/>
    <cellStyle name="Обычный 6 6 2 2 3 2 2 3" xfId="21181"/>
    <cellStyle name="Обычный 6 6 2 2 3 2 2 3 2" xfId="21182"/>
    <cellStyle name="Обычный 6 6 2 2 3 2 2 3 3" xfId="21183"/>
    <cellStyle name="Обычный 6 6 2 2 3 2 2 4" xfId="21184"/>
    <cellStyle name="Обычный 6 6 2 2 3 2 2 4 2" xfId="21185"/>
    <cellStyle name="Обычный 6 6 2 2 3 2 2 5" xfId="21186"/>
    <cellStyle name="Обычный 6 6 2 2 3 2 2 6" xfId="21187"/>
    <cellStyle name="Обычный 6 6 2 2 3 2 3" xfId="21188"/>
    <cellStyle name="Обычный 6 6 2 2 3 2 3 2" xfId="21189"/>
    <cellStyle name="Обычный 6 6 2 2 3 2 3 3" xfId="21190"/>
    <cellStyle name="Обычный 6 6 2 2 3 2 4" xfId="21191"/>
    <cellStyle name="Обычный 6 6 2 2 3 2 4 2" xfId="21192"/>
    <cellStyle name="Обычный 6 6 2 2 3 2 4 3" xfId="21193"/>
    <cellStyle name="Обычный 6 6 2 2 3 2 5" xfId="21194"/>
    <cellStyle name="Обычный 6 6 2 2 3 2 5 2" xfId="21195"/>
    <cellStyle name="Обычный 6 6 2 2 3 2 6" xfId="21196"/>
    <cellStyle name="Обычный 6 6 2 2 3 2 7" xfId="21197"/>
    <cellStyle name="Обычный 6 6 2 2 3 3" xfId="21198"/>
    <cellStyle name="Обычный 6 6 2 2 3 3 2" xfId="21199"/>
    <cellStyle name="Обычный 6 6 2 2 3 3 2 2" xfId="21200"/>
    <cellStyle name="Обычный 6 6 2 2 3 3 2 3" xfId="21201"/>
    <cellStyle name="Обычный 6 6 2 2 3 3 3" xfId="21202"/>
    <cellStyle name="Обычный 6 6 2 2 3 3 3 2" xfId="21203"/>
    <cellStyle name="Обычный 6 6 2 2 3 3 3 3" xfId="21204"/>
    <cellStyle name="Обычный 6 6 2 2 3 3 4" xfId="21205"/>
    <cellStyle name="Обычный 6 6 2 2 3 3 4 2" xfId="21206"/>
    <cellStyle name="Обычный 6 6 2 2 3 3 5" xfId="21207"/>
    <cellStyle name="Обычный 6 6 2 2 3 3 6" xfId="21208"/>
    <cellStyle name="Обычный 6 6 2 2 3 4" xfId="21209"/>
    <cellStyle name="Обычный 6 6 2 2 3 4 2" xfId="21210"/>
    <cellStyle name="Обычный 6 6 2 2 3 4 3" xfId="21211"/>
    <cellStyle name="Обычный 6 6 2 2 3 5" xfId="21212"/>
    <cellStyle name="Обычный 6 6 2 2 3 5 2" xfId="21213"/>
    <cellStyle name="Обычный 6 6 2 2 3 5 3" xfId="21214"/>
    <cellStyle name="Обычный 6 6 2 2 3 6" xfId="21215"/>
    <cellStyle name="Обычный 6 6 2 2 3 6 2" xfId="21216"/>
    <cellStyle name="Обычный 6 6 2 2 3 7" xfId="21217"/>
    <cellStyle name="Обычный 6 6 2 2 3 8" xfId="21218"/>
    <cellStyle name="Обычный 6 6 2 2 4" xfId="21219"/>
    <cellStyle name="Обычный 6 6 2 2 4 2" xfId="21220"/>
    <cellStyle name="Обычный 6 6 2 2 4 2 2" xfId="21221"/>
    <cellStyle name="Обычный 6 6 2 2 4 2 2 2" xfId="21222"/>
    <cellStyle name="Обычный 6 6 2 2 4 2 2 3" xfId="21223"/>
    <cellStyle name="Обычный 6 6 2 2 4 2 3" xfId="21224"/>
    <cellStyle name="Обычный 6 6 2 2 4 2 3 2" xfId="21225"/>
    <cellStyle name="Обычный 6 6 2 2 4 2 3 3" xfId="21226"/>
    <cellStyle name="Обычный 6 6 2 2 4 2 4" xfId="21227"/>
    <cellStyle name="Обычный 6 6 2 2 4 2 4 2" xfId="21228"/>
    <cellStyle name="Обычный 6 6 2 2 4 2 5" xfId="21229"/>
    <cellStyle name="Обычный 6 6 2 2 4 2 6" xfId="21230"/>
    <cellStyle name="Обычный 6 6 2 2 4 3" xfId="21231"/>
    <cellStyle name="Обычный 6 6 2 2 4 3 2" xfId="21232"/>
    <cellStyle name="Обычный 6 6 2 2 4 3 3" xfId="21233"/>
    <cellStyle name="Обычный 6 6 2 2 4 4" xfId="21234"/>
    <cellStyle name="Обычный 6 6 2 2 4 4 2" xfId="21235"/>
    <cellStyle name="Обычный 6 6 2 2 4 4 3" xfId="21236"/>
    <cellStyle name="Обычный 6 6 2 2 4 5" xfId="21237"/>
    <cellStyle name="Обычный 6 6 2 2 4 5 2" xfId="21238"/>
    <cellStyle name="Обычный 6 6 2 2 4 6" xfId="21239"/>
    <cellStyle name="Обычный 6 6 2 2 4 7" xfId="21240"/>
    <cellStyle name="Обычный 6 6 2 2 5" xfId="21241"/>
    <cellStyle name="Обычный 6 6 2 2 5 2" xfId="21242"/>
    <cellStyle name="Обычный 6 6 2 2 5 2 2" xfId="21243"/>
    <cellStyle name="Обычный 6 6 2 2 5 2 3" xfId="21244"/>
    <cellStyle name="Обычный 6 6 2 2 5 3" xfId="21245"/>
    <cellStyle name="Обычный 6 6 2 2 5 3 2" xfId="21246"/>
    <cellStyle name="Обычный 6 6 2 2 5 3 3" xfId="21247"/>
    <cellStyle name="Обычный 6 6 2 2 5 4" xfId="21248"/>
    <cellStyle name="Обычный 6 6 2 2 5 4 2" xfId="21249"/>
    <cellStyle name="Обычный 6 6 2 2 5 5" xfId="21250"/>
    <cellStyle name="Обычный 6 6 2 2 5 6" xfId="21251"/>
    <cellStyle name="Обычный 6 6 2 2 6" xfId="21252"/>
    <cellStyle name="Обычный 6 6 2 2 6 2" xfId="21253"/>
    <cellStyle name="Обычный 6 6 2 2 6 3" xfId="21254"/>
    <cellStyle name="Обычный 6 6 2 2 7" xfId="21255"/>
    <cellStyle name="Обычный 6 6 2 2 7 2" xfId="21256"/>
    <cellStyle name="Обычный 6 6 2 2 7 3" xfId="21257"/>
    <cellStyle name="Обычный 6 6 2 2 8" xfId="21258"/>
    <cellStyle name="Обычный 6 6 2 2 8 2" xfId="21259"/>
    <cellStyle name="Обычный 6 6 2 2 9" xfId="21260"/>
    <cellStyle name="Обычный 6 6 2 3" xfId="21261"/>
    <cellStyle name="Обычный 6 6 2 3 10" xfId="21262"/>
    <cellStyle name="Обычный 6 6 2 3 2" xfId="21263"/>
    <cellStyle name="Обычный 6 6 2 3 2 2" xfId="21264"/>
    <cellStyle name="Обычный 6 6 2 3 2 2 2" xfId="21265"/>
    <cellStyle name="Обычный 6 6 2 3 2 2 2 2" xfId="21266"/>
    <cellStyle name="Обычный 6 6 2 3 2 2 2 2 2" xfId="21267"/>
    <cellStyle name="Обычный 6 6 2 3 2 2 2 2 2 2" xfId="21268"/>
    <cellStyle name="Обычный 6 6 2 3 2 2 2 2 2 3" xfId="21269"/>
    <cellStyle name="Обычный 6 6 2 3 2 2 2 2 3" xfId="21270"/>
    <cellStyle name="Обычный 6 6 2 3 2 2 2 2 3 2" xfId="21271"/>
    <cellStyle name="Обычный 6 6 2 3 2 2 2 2 3 3" xfId="21272"/>
    <cellStyle name="Обычный 6 6 2 3 2 2 2 2 4" xfId="21273"/>
    <cellStyle name="Обычный 6 6 2 3 2 2 2 2 4 2" xfId="21274"/>
    <cellStyle name="Обычный 6 6 2 3 2 2 2 2 5" xfId="21275"/>
    <cellStyle name="Обычный 6 6 2 3 2 2 2 2 6" xfId="21276"/>
    <cellStyle name="Обычный 6 6 2 3 2 2 2 3" xfId="21277"/>
    <cellStyle name="Обычный 6 6 2 3 2 2 2 3 2" xfId="21278"/>
    <cellStyle name="Обычный 6 6 2 3 2 2 2 3 3" xfId="21279"/>
    <cellStyle name="Обычный 6 6 2 3 2 2 2 4" xfId="21280"/>
    <cellStyle name="Обычный 6 6 2 3 2 2 2 4 2" xfId="21281"/>
    <cellStyle name="Обычный 6 6 2 3 2 2 2 4 3" xfId="21282"/>
    <cellStyle name="Обычный 6 6 2 3 2 2 2 5" xfId="21283"/>
    <cellStyle name="Обычный 6 6 2 3 2 2 2 5 2" xfId="21284"/>
    <cellStyle name="Обычный 6 6 2 3 2 2 2 6" xfId="21285"/>
    <cellStyle name="Обычный 6 6 2 3 2 2 2 7" xfId="21286"/>
    <cellStyle name="Обычный 6 6 2 3 2 2 3" xfId="21287"/>
    <cellStyle name="Обычный 6 6 2 3 2 2 3 2" xfId="21288"/>
    <cellStyle name="Обычный 6 6 2 3 2 2 3 2 2" xfId="21289"/>
    <cellStyle name="Обычный 6 6 2 3 2 2 3 2 3" xfId="21290"/>
    <cellStyle name="Обычный 6 6 2 3 2 2 3 3" xfId="21291"/>
    <cellStyle name="Обычный 6 6 2 3 2 2 3 3 2" xfId="21292"/>
    <cellStyle name="Обычный 6 6 2 3 2 2 3 3 3" xfId="21293"/>
    <cellStyle name="Обычный 6 6 2 3 2 2 3 4" xfId="21294"/>
    <cellStyle name="Обычный 6 6 2 3 2 2 3 4 2" xfId="21295"/>
    <cellStyle name="Обычный 6 6 2 3 2 2 3 5" xfId="21296"/>
    <cellStyle name="Обычный 6 6 2 3 2 2 3 6" xfId="21297"/>
    <cellStyle name="Обычный 6 6 2 3 2 2 4" xfId="21298"/>
    <cellStyle name="Обычный 6 6 2 3 2 2 4 2" xfId="21299"/>
    <cellStyle name="Обычный 6 6 2 3 2 2 4 3" xfId="21300"/>
    <cellStyle name="Обычный 6 6 2 3 2 2 5" xfId="21301"/>
    <cellStyle name="Обычный 6 6 2 3 2 2 5 2" xfId="21302"/>
    <cellStyle name="Обычный 6 6 2 3 2 2 5 3" xfId="21303"/>
    <cellStyle name="Обычный 6 6 2 3 2 2 6" xfId="21304"/>
    <cellStyle name="Обычный 6 6 2 3 2 2 6 2" xfId="21305"/>
    <cellStyle name="Обычный 6 6 2 3 2 2 7" xfId="21306"/>
    <cellStyle name="Обычный 6 6 2 3 2 2 8" xfId="21307"/>
    <cellStyle name="Обычный 6 6 2 3 2 3" xfId="21308"/>
    <cellStyle name="Обычный 6 6 2 3 2 3 2" xfId="21309"/>
    <cellStyle name="Обычный 6 6 2 3 2 3 2 2" xfId="21310"/>
    <cellStyle name="Обычный 6 6 2 3 2 3 2 2 2" xfId="21311"/>
    <cellStyle name="Обычный 6 6 2 3 2 3 2 2 3" xfId="21312"/>
    <cellStyle name="Обычный 6 6 2 3 2 3 2 3" xfId="21313"/>
    <cellStyle name="Обычный 6 6 2 3 2 3 2 3 2" xfId="21314"/>
    <cellStyle name="Обычный 6 6 2 3 2 3 2 3 3" xfId="21315"/>
    <cellStyle name="Обычный 6 6 2 3 2 3 2 4" xfId="21316"/>
    <cellStyle name="Обычный 6 6 2 3 2 3 2 4 2" xfId="21317"/>
    <cellStyle name="Обычный 6 6 2 3 2 3 2 5" xfId="21318"/>
    <cellStyle name="Обычный 6 6 2 3 2 3 2 6" xfId="21319"/>
    <cellStyle name="Обычный 6 6 2 3 2 3 3" xfId="21320"/>
    <cellStyle name="Обычный 6 6 2 3 2 3 3 2" xfId="21321"/>
    <cellStyle name="Обычный 6 6 2 3 2 3 3 3" xfId="21322"/>
    <cellStyle name="Обычный 6 6 2 3 2 3 4" xfId="21323"/>
    <cellStyle name="Обычный 6 6 2 3 2 3 4 2" xfId="21324"/>
    <cellStyle name="Обычный 6 6 2 3 2 3 4 3" xfId="21325"/>
    <cellStyle name="Обычный 6 6 2 3 2 3 5" xfId="21326"/>
    <cellStyle name="Обычный 6 6 2 3 2 3 5 2" xfId="21327"/>
    <cellStyle name="Обычный 6 6 2 3 2 3 6" xfId="21328"/>
    <cellStyle name="Обычный 6 6 2 3 2 3 7" xfId="21329"/>
    <cellStyle name="Обычный 6 6 2 3 2 4" xfId="21330"/>
    <cellStyle name="Обычный 6 6 2 3 2 4 2" xfId="21331"/>
    <cellStyle name="Обычный 6 6 2 3 2 4 2 2" xfId="21332"/>
    <cellStyle name="Обычный 6 6 2 3 2 4 2 3" xfId="21333"/>
    <cellStyle name="Обычный 6 6 2 3 2 4 3" xfId="21334"/>
    <cellStyle name="Обычный 6 6 2 3 2 4 3 2" xfId="21335"/>
    <cellStyle name="Обычный 6 6 2 3 2 4 3 3" xfId="21336"/>
    <cellStyle name="Обычный 6 6 2 3 2 4 4" xfId="21337"/>
    <cellStyle name="Обычный 6 6 2 3 2 4 4 2" xfId="21338"/>
    <cellStyle name="Обычный 6 6 2 3 2 4 5" xfId="21339"/>
    <cellStyle name="Обычный 6 6 2 3 2 4 6" xfId="21340"/>
    <cellStyle name="Обычный 6 6 2 3 2 5" xfId="21341"/>
    <cellStyle name="Обычный 6 6 2 3 2 5 2" xfId="21342"/>
    <cellStyle name="Обычный 6 6 2 3 2 5 3" xfId="21343"/>
    <cellStyle name="Обычный 6 6 2 3 2 6" xfId="21344"/>
    <cellStyle name="Обычный 6 6 2 3 2 6 2" xfId="21345"/>
    <cellStyle name="Обычный 6 6 2 3 2 6 3" xfId="21346"/>
    <cellStyle name="Обычный 6 6 2 3 2 7" xfId="21347"/>
    <cellStyle name="Обычный 6 6 2 3 2 7 2" xfId="21348"/>
    <cellStyle name="Обычный 6 6 2 3 2 8" xfId="21349"/>
    <cellStyle name="Обычный 6 6 2 3 2 9" xfId="21350"/>
    <cellStyle name="Обычный 6 6 2 3 3" xfId="21351"/>
    <cellStyle name="Обычный 6 6 2 3 3 2" xfId="21352"/>
    <cellStyle name="Обычный 6 6 2 3 3 2 2" xfId="21353"/>
    <cellStyle name="Обычный 6 6 2 3 3 2 2 2" xfId="21354"/>
    <cellStyle name="Обычный 6 6 2 3 3 2 2 2 2" xfId="21355"/>
    <cellStyle name="Обычный 6 6 2 3 3 2 2 2 3" xfId="21356"/>
    <cellStyle name="Обычный 6 6 2 3 3 2 2 3" xfId="21357"/>
    <cellStyle name="Обычный 6 6 2 3 3 2 2 3 2" xfId="21358"/>
    <cellStyle name="Обычный 6 6 2 3 3 2 2 3 3" xfId="21359"/>
    <cellStyle name="Обычный 6 6 2 3 3 2 2 4" xfId="21360"/>
    <cellStyle name="Обычный 6 6 2 3 3 2 2 4 2" xfId="21361"/>
    <cellStyle name="Обычный 6 6 2 3 3 2 2 5" xfId="21362"/>
    <cellStyle name="Обычный 6 6 2 3 3 2 2 6" xfId="21363"/>
    <cellStyle name="Обычный 6 6 2 3 3 2 3" xfId="21364"/>
    <cellStyle name="Обычный 6 6 2 3 3 2 3 2" xfId="21365"/>
    <cellStyle name="Обычный 6 6 2 3 3 2 3 3" xfId="21366"/>
    <cellStyle name="Обычный 6 6 2 3 3 2 4" xfId="21367"/>
    <cellStyle name="Обычный 6 6 2 3 3 2 4 2" xfId="21368"/>
    <cellStyle name="Обычный 6 6 2 3 3 2 4 3" xfId="21369"/>
    <cellStyle name="Обычный 6 6 2 3 3 2 5" xfId="21370"/>
    <cellStyle name="Обычный 6 6 2 3 3 2 5 2" xfId="21371"/>
    <cellStyle name="Обычный 6 6 2 3 3 2 6" xfId="21372"/>
    <cellStyle name="Обычный 6 6 2 3 3 2 7" xfId="21373"/>
    <cellStyle name="Обычный 6 6 2 3 3 3" xfId="21374"/>
    <cellStyle name="Обычный 6 6 2 3 3 3 2" xfId="21375"/>
    <cellStyle name="Обычный 6 6 2 3 3 3 2 2" xfId="21376"/>
    <cellStyle name="Обычный 6 6 2 3 3 3 2 3" xfId="21377"/>
    <cellStyle name="Обычный 6 6 2 3 3 3 3" xfId="21378"/>
    <cellStyle name="Обычный 6 6 2 3 3 3 3 2" xfId="21379"/>
    <cellStyle name="Обычный 6 6 2 3 3 3 3 3" xfId="21380"/>
    <cellStyle name="Обычный 6 6 2 3 3 3 4" xfId="21381"/>
    <cellStyle name="Обычный 6 6 2 3 3 3 4 2" xfId="21382"/>
    <cellStyle name="Обычный 6 6 2 3 3 3 5" xfId="21383"/>
    <cellStyle name="Обычный 6 6 2 3 3 3 6" xfId="21384"/>
    <cellStyle name="Обычный 6 6 2 3 3 4" xfId="21385"/>
    <cellStyle name="Обычный 6 6 2 3 3 4 2" xfId="21386"/>
    <cellStyle name="Обычный 6 6 2 3 3 4 3" xfId="21387"/>
    <cellStyle name="Обычный 6 6 2 3 3 5" xfId="21388"/>
    <cellStyle name="Обычный 6 6 2 3 3 5 2" xfId="21389"/>
    <cellStyle name="Обычный 6 6 2 3 3 5 3" xfId="21390"/>
    <cellStyle name="Обычный 6 6 2 3 3 6" xfId="21391"/>
    <cellStyle name="Обычный 6 6 2 3 3 6 2" xfId="21392"/>
    <cellStyle name="Обычный 6 6 2 3 3 7" xfId="21393"/>
    <cellStyle name="Обычный 6 6 2 3 3 8" xfId="21394"/>
    <cellStyle name="Обычный 6 6 2 3 4" xfId="21395"/>
    <cellStyle name="Обычный 6 6 2 3 4 2" xfId="21396"/>
    <cellStyle name="Обычный 6 6 2 3 4 2 2" xfId="21397"/>
    <cellStyle name="Обычный 6 6 2 3 4 2 2 2" xfId="21398"/>
    <cellStyle name="Обычный 6 6 2 3 4 2 2 3" xfId="21399"/>
    <cellStyle name="Обычный 6 6 2 3 4 2 3" xfId="21400"/>
    <cellStyle name="Обычный 6 6 2 3 4 2 3 2" xfId="21401"/>
    <cellStyle name="Обычный 6 6 2 3 4 2 3 3" xfId="21402"/>
    <cellStyle name="Обычный 6 6 2 3 4 2 4" xfId="21403"/>
    <cellStyle name="Обычный 6 6 2 3 4 2 4 2" xfId="21404"/>
    <cellStyle name="Обычный 6 6 2 3 4 2 5" xfId="21405"/>
    <cellStyle name="Обычный 6 6 2 3 4 2 6" xfId="21406"/>
    <cellStyle name="Обычный 6 6 2 3 4 3" xfId="21407"/>
    <cellStyle name="Обычный 6 6 2 3 4 3 2" xfId="21408"/>
    <cellStyle name="Обычный 6 6 2 3 4 3 3" xfId="21409"/>
    <cellStyle name="Обычный 6 6 2 3 4 4" xfId="21410"/>
    <cellStyle name="Обычный 6 6 2 3 4 4 2" xfId="21411"/>
    <cellStyle name="Обычный 6 6 2 3 4 4 3" xfId="21412"/>
    <cellStyle name="Обычный 6 6 2 3 4 5" xfId="21413"/>
    <cellStyle name="Обычный 6 6 2 3 4 5 2" xfId="21414"/>
    <cellStyle name="Обычный 6 6 2 3 4 6" xfId="21415"/>
    <cellStyle name="Обычный 6 6 2 3 4 7" xfId="21416"/>
    <cellStyle name="Обычный 6 6 2 3 5" xfId="21417"/>
    <cellStyle name="Обычный 6 6 2 3 5 2" xfId="21418"/>
    <cellStyle name="Обычный 6 6 2 3 5 2 2" xfId="21419"/>
    <cellStyle name="Обычный 6 6 2 3 5 2 3" xfId="21420"/>
    <cellStyle name="Обычный 6 6 2 3 5 3" xfId="21421"/>
    <cellStyle name="Обычный 6 6 2 3 5 3 2" xfId="21422"/>
    <cellStyle name="Обычный 6 6 2 3 5 3 3" xfId="21423"/>
    <cellStyle name="Обычный 6 6 2 3 5 4" xfId="21424"/>
    <cellStyle name="Обычный 6 6 2 3 5 4 2" xfId="21425"/>
    <cellStyle name="Обычный 6 6 2 3 5 5" xfId="21426"/>
    <cellStyle name="Обычный 6 6 2 3 5 6" xfId="21427"/>
    <cellStyle name="Обычный 6 6 2 3 6" xfId="21428"/>
    <cellStyle name="Обычный 6 6 2 3 6 2" xfId="21429"/>
    <cellStyle name="Обычный 6 6 2 3 6 3" xfId="21430"/>
    <cellStyle name="Обычный 6 6 2 3 7" xfId="21431"/>
    <cellStyle name="Обычный 6 6 2 3 7 2" xfId="21432"/>
    <cellStyle name="Обычный 6 6 2 3 7 3" xfId="21433"/>
    <cellStyle name="Обычный 6 6 2 3 8" xfId="21434"/>
    <cellStyle name="Обычный 6 6 2 3 8 2" xfId="21435"/>
    <cellStyle name="Обычный 6 6 2 3 9" xfId="21436"/>
    <cellStyle name="Обычный 6 6 2 4" xfId="21437"/>
    <cellStyle name="Обычный 6 6 2 4 10" xfId="21438"/>
    <cellStyle name="Обычный 6 6 2 4 2" xfId="21439"/>
    <cellStyle name="Обычный 6 6 2 4 2 2" xfId="21440"/>
    <cellStyle name="Обычный 6 6 2 4 2 2 2" xfId="21441"/>
    <cellStyle name="Обычный 6 6 2 4 2 2 2 2" xfId="21442"/>
    <cellStyle name="Обычный 6 6 2 4 2 2 2 2 2" xfId="21443"/>
    <cellStyle name="Обычный 6 6 2 4 2 2 2 2 2 2" xfId="21444"/>
    <cellStyle name="Обычный 6 6 2 4 2 2 2 2 2 3" xfId="21445"/>
    <cellStyle name="Обычный 6 6 2 4 2 2 2 2 3" xfId="21446"/>
    <cellStyle name="Обычный 6 6 2 4 2 2 2 2 3 2" xfId="21447"/>
    <cellStyle name="Обычный 6 6 2 4 2 2 2 2 3 3" xfId="21448"/>
    <cellStyle name="Обычный 6 6 2 4 2 2 2 2 4" xfId="21449"/>
    <cellStyle name="Обычный 6 6 2 4 2 2 2 2 4 2" xfId="21450"/>
    <cellStyle name="Обычный 6 6 2 4 2 2 2 2 5" xfId="21451"/>
    <cellStyle name="Обычный 6 6 2 4 2 2 2 2 6" xfId="21452"/>
    <cellStyle name="Обычный 6 6 2 4 2 2 2 3" xfId="21453"/>
    <cellStyle name="Обычный 6 6 2 4 2 2 2 3 2" xfId="21454"/>
    <cellStyle name="Обычный 6 6 2 4 2 2 2 3 3" xfId="21455"/>
    <cellStyle name="Обычный 6 6 2 4 2 2 2 4" xfId="21456"/>
    <cellStyle name="Обычный 6 6 2 4 2 2 2 4 2" xfId="21457"/>
    <cellStyle name="Обычный 6 6 2 4 2 2 2 4 3" xfId="21458"/>
    <cellStyle name="Обычный 6 6 2 4 2 2 2 5" xfId="21459"/>
    <cellStyle name="Обычный 6 6 2 4 2 2 2 5 2" xfId="21460"/>
    <cellStyle name="Обычный 6 6 2 4 2 2 2 6" xfId="21461"/>
    <cellStyle name="Обычный 6 6 2 4 2 2 2 7" xfId="21462"/>
    <cellStyle name="Обычный 6 6 2 4 2 2 3" xfId="21463"/>
    <cellStyle name="Обычный 6 6 2 4 2 2 3 2" xfId="21464"/>
    <cellStyle name="Обычный 6 6 2 4 2 2 3 2 2" xfId="21465"/>
    <cellStyle name="Обычный 6 6 2 4 2 2 3 2 3" xfId="21466"/>
    <cellStyle name="Обычный 6 6 2 4 2 2 3 3" xfId="21467"/>
    <cellStyle name="Обычный 6 6 2 4 2 2 3 3 2" xfId="21468"/>
    <cellStyle name="Обычный 6 6 2 4 2 2 3 3 3" xfId="21469"/>
    <cellStyle name="Обычный 6 6 2 4 2 2 3 4" xfId="21470"/>
    <cellStyle name="Обычный 6 6 2 4 2 2 3 4 2" xfId="21471"/>
    <cellStyle name="Обычный 6 6 2 4 2 2 3 5" xfId="21472"/>
    <cellStyle name="Обычный 6 6 2 4 2 2 3 6" xfId="21473"/>
    <cellStyle name="Обычный 6 6 2 4 2 2 4" xfId="21474"/>
    <cellStyle name="Обычный 6 6 2 4 2 2 4 2" xfId="21475"/>
    <cellStyle name="Обычный 6 6 2 4 2 2 4 3" xfId="21476"/>
    <cellStyle name="Обычный 6 6 2 4 2 2 5" xfId="21477"/>
    <cellStyle name="Обычный 6 6 2 4 2 2 5 2" xfId="21478"/>
    <cellStyle name="Обычный 6 6 2 4 2 2 5 3" xfId="21479"/>
    <cellStyle name="Обычный 6 6 2 4 2 2 6" xfId="21480"/>
    <cellStyle name="Обычный 6 6 2 4 2 2 6 2" xfId="21481"/>
    <cellStyle name="Обычный 6 6 2 4 2 2 7" xfId="21482"/>
    <cellStyle name="Обычный 6 6 2 4 2 2 8" xfId="21483"/>
    <cellStyle name="Обычный 6 6 2 4 2 3" xfId="21484"/>
    <cellStyle name="Обычный 6 6 2 4 2 3 2" xfId="21485"/>
    <cellStyle name="Обычный 6 6 2 4 2 3 2 2" xfId="21486"/>
    <cellStyle name="Обычный 6 6 2 4 2 3 2 2 2" xfId="21487"/>
    <cellStyle name="Обычный 6 6 2 4 2 3 2 2 3" xfId="21488"/>
    <cellStyle name="Обычный 6 6 2 4 2 3 2 3" xfId="21489"/>
    <cellStyle name="Обычный 6 6 2 4 2 3 2 3 2" xfId="21490"/>
    <cellStyle name="Обычный 6 6 2 4 2 3 2 3 3" xfId="21491"/>
    <cellStyle name="Обычный 6 6 2 4 2 3 2 4" xfId="21492"/>
    <cellStyle name="Обычный 6 6 2 4 2 3 2 4 2" xfId="21493"/>
    <cellStyle name="Обычный 6 6 2 4 2 3 2 5" xfId="21494"/>
    <cellStyle name="Обычный 6 6 2 4 2 3 2 6" xfId="21495"/>
    <cellStyle name="Обычный 6 6 2 4 2 3 3" xfId="21496"/>
    <cellStyle name="Обычный 6 6 2 4 2 3 3 2" xfId="21497"/>
    <cellStyle name="Обычный 6 6 2 4 2 3 3 3" xfId="21498"/>
    <cellStyle name="Обычный 6 6 2 4 2 3 4" xfId="21499"/>
    <cellStyle name="Обычный 6 6 2 4 2 3 4 2" xfId="21500"/>
    <cellStyle name="Обычный 6 6 2 4 2 3 4 3" xfId="21501"/>
    <cellStyle name="Обычный 6 6 2 4 2 3 5" xfId="21502"/>
    <cellStyle name="Обычный 6 6 2 4 2 3 5 2" xfId="21503"/>
    <cellStyle name="Обычный 6 6 2 4 2 3 6" xfId="21504"/>
    <cellStyle name="Обычный 6 6 2 4 2 3 7" xfId="21505"/>
    <cellStyle name="Обычный 6 6 2 4 2 4" xfId="21506"/>
    <cellStyle name="Обычный 6 6 2 4 2 4 2" xfId="21507"/>
    <cellStyle name="Обычный 6 6 2 4 2 4 2 2" xfId="21508"/>
    <cellStyle name="Обычный 6 6 2 4 2 4 2 3" xfId="21509"/>
    <cellStyle name="Обычный 6 6 2 4 2 4 3" xfId="21510"/>
    <cellStyle name="Обычный 6 6 2 4 2 4 3 2" xfId="21511"/>
    <cellStyle name="Обычный 6 6 2 4 2 4 3 3" xfId="21512"/>
    <cellStyle name="Обычный 6 6 2 4 2 4 4" xfId="21513"/>
    <cellStyle name="Обычный 6 6 2 4 2 4 4 2" xfId="21514"/>
    <cellStyle name="Обычный 6 6 2 4 2 4 5" xfId="21515"/>
    <cellStyle name="Обычный 6 6 2 4 2 4 6" xfId="21516"/>
    <cellStyle name="Обычный 6 6 2 4 2 5" xfId="21517"/>
    <cellStyle name="Обычный 6 6 2 4 2 5 2" xfId="21518"/>
    <cellStyle name="Обычный 6 6 2 4 2 5 3" xfId="21519"/>
    <cellStyle name="Обычный 6 6 2 4 2 6" xfId="21520"/>
    <cellStyle name="Обычный 6 6 2 4 2 6 2" xfId="21521"/>
    <cellStyle name="Обычный 6 6 2 4 2 6 3" xfId="21522"/>
    <cellStyle name="Обычный 6 6 2 4 2 7" xfId="21523"/>
    <cellStyle name="Обычный 6 6 2 4 2 7 2" xfId="21524"/>
    <cellStyle name="Обычный 6 6 2 4 2 8" xfId="21525"/>
    <cellStyle name="Обычный 6 6 2 4 2 9" xfId="21526"/>
    <cellStyle name="Обычный 6 6 2 4 3" xfId="21527"/>
    <cellStyle name="Обычный 6 6 2 4 3 2" xfId="21528"/>
    <cellStyle name="Обычный 6 6 2 4 3 2 2" xfId="21529"/>
    <cellStyle name="Обычный 6 6 2 4 3 2 2 2" xfId="21530"/>
    <cellStyle name="Обычный 6 6 2 4 3 2 2 2 2" xfId="21531"/>
    <cellStyle name="Обычный 6 6 2 4 3 2 2 2 3" xfId="21532"/>
    <cellStyle name="Обычный 6 6 2 4 3 2 2 3" xfId="21533"/>
    <cellStyle name="Обычный 6 6 2 4 3 2 2 3 2" xfId="21534"/>
    <cellStyle name="Обычный 6 6 2 4 3 2 2 3 3" xfId="21535"/>
    <cellStyle name="Обычный 6 6 2 4 3 2 2 4" xfId="21536"/>
    <cellStyle name="Обычный 6 6 2 4 3 2 2 4 2" xfId="21537"/>
    <cellStyle name="Обычный 6 6 2 4 3 2 2 5" xfId="21538"/>
    <cellStyle name="Обычный 6 6 2 4 3 2 2 6" xfId="21539"/>
    <cellStyle name="Обычный 6 6 2 4 3 2 3" xfId="21540"/>
    <cellStyle name="Обычный 6 6 2 4 3 2 3 2" xfId="21541"/>
    <cellStyle name="Обычный 6 6 2 4 3 2 3 3" xfId="21542"/>
    <cellStyle name="Обычный 6 6 2 4 3 2 4" xfId="21543"/>
    <cellStyle name="Обычный 6 6 2 4 3 2 4 2" xfId="21544"/>
    <cellStyle name="Обычный 6 6 2 4 3 2 4 3" xfId="21545"/>
    <cellStyle name="Обычный 6 6 2 4 3 2 5" xfId="21546"/>
    <cellStyle name="Обычный 6 6 2 4 3 2 5 2" xfId="21547"/>
    <cellStyle name="Обычный 6 6 2 4 3 2 6" xfId="21548"/>
    <cellStyle name="Обычный 6 6 2 4 3 2 7" xfId="21549"/>
    <cellStyle name="Обычный 6 6 2 4 3 3" xfId="21550"/>
    <cellStyle name="Обычный 6 6 2 4 3 3 2" xfId="21551"/>
    <cellStyle name="Обычный 6 6 2 4 3 3 2 2" xfId="21552"/>
    <cellStyle name="Обычный 6 6 2 4 3 3 2 3" xfId="21553"/>
    <cellStyle name="Обычный 6 6 2 4 3 3 3" xfId="21554"/>
    <cellStyle name="Обычный 6 6 2 4 3 3 3 2" xfId="21555"/>
    <cellStyle name="Обычный 6 6 2 4 3 3 3 3" xfId="21556"/>
    <cellStyle name="Обычный 6 6 2 4 3 3 4" xfId="21557"/>
    <cellStyle name="Обычный 6 6 2 4 3 3 4 2" xfId="21558"/>
    <cellStyle name="Обычный 6 6 2 4 3 3 5" xfId="21559"/>
    <cellStyle name="Обычный 6 6 2 4 3 3 6" xfId="21560"/>
    <cellStyle name="Обычный 6 6 2 4 3 4" xfId="21561"/>
    <cellStyle name="Обычный 6 6 2 4 3 4 2" xfId="21562"/>
    <cellStyle name="Обычный 6 6 2 4 3 4 3" xfId="21563"/>
    <cellStyle name="Обычный 6 6 2 4 3 5" xfId="21564"/>
    <cellStyle name="Обычный 6 6 2 4 3 5 2" xfId="21565"/>
    <cellStyle name="Обычный 6 6 2 4 3 5 3" xfId="21566"/>
    <cellStyle name="Обычный 6 6 2 4 3 6" xfId="21567"/>
    <cellStyle name="Обычный 6 6 2 4 3 6 2" xfId="21568"/>
    <cellStyle name="Обычный 6 6 2 4 3 7" xfId="21569"/>
    <cellStyle name="Обычный 6 6 2 4 3 8" xfId="21570"/>
    <cellStyle name="Обычный 6 6 2 4 4" xfId="21571"/>
    <cellStyle name="Обычный 6 6 2 4 4 2" xfId="21572"/>
    <cellStyle name="Обычный 6 6 2 4 4 2 2" xfId="21573"/>
    <cellStyle name="Обычный 6 6 2 4 4 2 2 2" xfId="21574"/>
    <cellStyle name="Обычный 6 6 2 4 4 2 2 3" xfId="21575"/>
    <cellStyle name="Обычный 6 6 2 4 4 2 3" xfId="21576"/>
    <cellStyle name="Обычный 6 6 2 4 4 2 3 2" xfId="21577"/>
    <cellStyle name="Обычный 6 6 2 4 4 2 3 3" xfId="21578"/>
    <cellStyle name="Обычный 6 6 2 4 4 2 4" xfId="21579"/>
    <cellStyle name="Обычный 6 6 2 4 4 2 4 2" xfId="21580"/>
    <cellStyle name="Обычный 6 6 2 4 4 2 5" xfId="21581"/>
    <cellStyle name="Обычный 6 6 2 4 4 2 6" xfId="21582"/>
    <cellStyle name="Обычный 6 6 2 4 4 3" xfId="21583"/>
    <cellStyle name="Обычный 6 6 2 4 4 3 2" xfId="21584"/>
    <cellStyle name="Обычный 6 6 2 4 4 3 3" xfId="21585"/>
    <cellStyle name="Обычный 6 6 2 4 4 4" xfId="21586"/>
    <cellStyle name="Обычный 6 6 2 4 4 4 2" xfId="21587"/>
    <cellStyle name="Обычный 6 6 2 4 4 4 3" xfId="21588"/>
    <cellStyle name="Обычный 6 6 2 4 4 5" xfId="21589"/>
    <cellStyle name="Обычный 6 6 2 4 4 5 2" xfId="21590"/>
    <cellStyle name="Обычный 6 6 2 4 4 6" xfId="21591"/>
    <cellStyle name="Обычный 6 6 2 4 4 7" xfId="21592"/>
    <cellStyle name="Обычный 6 6 2 4 5" xfId="21593"/>
    <cellStyle name="Обычный 6 6 2 4 5 2" xfId="21594"/>
    <cellStyle name="Обычный 6 6 2 4 5 2 2" xfId="21595"/>
    <cellStyle name="Обычный 6 6 2 4 5 2 3" xfId="21596"/>
    <cellStyle name="Обычный 6 6 2 4 5 3" xfId="21597"/>
    <cellStyle name="Обычный 6 6 2 4 5 3 2" xfId="21598"/>
    <cellStyle name="Обычный 6 6 2 4 5 3 3" xfId="21599"/>
    <cellStyle name="Обычный 6 6 2 4 5 4" xfId="21600"/>
    <cellStyle name="Обычный 6 6 2 4 5 4 2" xfId="21601"/>
    <cellStyle name="Обычный 6 6 2 4 5 5" xfId="21602"/>
    <cellStyle name="Обычный 6 6 2 4 5 6" xfId="21603"/>
    <cellStyle name="Обычный 6 6 2 4 6" xfId="21604"/>
    <cellStyle name="Обычный 6 6 2 4 6 2" xfId="21605"/>
    <cellStyle name="Обычный 6 6 2 4 6 3" xfId="21606"/>
    <cellStyle name="Обычный 6 6 2 4 7" xfId="21607"/>
    <cellStyle name="Обычный 6 6 2 4 7 2" xfId="21608"/>
    <cellStyle name="Обычный 6 6 2 4 7 3" xfId="21609"/>
    <cellStyle name="Обычный 6 6 2 4 8" xfId="21610"/>
    <cellStyle name="Обычный 6 6 2 4 8 2" xfId="21611"/>
    <cellStyle name="Обычный 6 6 2 4 9" xfId="21612"/>
    <cellStyle name="Обычный 6 6 2 5" xfId="21613"/>
    <cellStyle name="Обычный 6 6 2 5 2" xfId="21614"/>
    <cellStyle name="Обычный 6 6 2 5 2 2" xfId="21615"/>
    <cellStyle name="Обычный 6 6 2 5 2 2 2" xfId="21616"/>
    <cellStyle name="Обычный 6 6 2 5 2 2 2 2" xfId="21617"/>
    <cellStyle name="Обычный 6 6 2 5 2 2 2 2 2" xfId="21618"/>
    <cellStyle name="Обычный 6 6 2 5 2 2 2 2 3" xfId="21619"/>
    <cellStyle name="Обычный 6 6 2 5 2 2 2 3" xfId="21620"/>
    <cellStyle name="Обычный 6 6 2 5 2 2 2 3 2" xfId="21621"/>
    <cellStyle name="Обычный 6 6 2 5 2 2 2 3 3" xfId="21622"/>
    <cellStyle name="Обычный 6 6 2 5 2 2 2 4" xfId="21623"/>
    <cellStyle name="Обычный 6 6 2 5 2 2 2 4 2" xfId="21624"/>
    <cellStyle name="Обычный 6 6 2 5 2 2 2 5" xfId="21625"/>
    <cellStyle name="Обычный 6 6 2 5 2 2 2 6" xfId="21626"/>
    <cellStyle name="Обычный 6 6 2 5 2 2 3" xfId="21627"/>
    <cellStyle name="Обычный 6 6 2 5 2 2 3 2" xfId="21628"/>
    <cellStyle name="Обычный 6 6 2 5 2 2 3 3" xfId="21629"/>
    <cellStyle name="Обычный 6 6 2 5 2 2 4" xfId="21630"/>
    <cellStyle name="Обычный 6 6 2 5 2 2 4 2" xfId="21631"/>
    <cellStyle name="Обычный 6 6 2 5 2 2 4 3" xfId="21632"/>
    <cellStyle name="Обычный 6 6 2 5 2 2 5" xfId="21633"/>
    <cellStyle name="Обычный 6 6 2 5 2 2 5 2" xfId="21634"/>
    <cellStyle name="Обычный 6 6 2 5 2 2 6" xfId="21635"/>
    <cellStyle name="Обычный 6 6 2 5 2 2 7" xfId="21636"/>
    <cellStyle name="Обычный 6 6 2 5 2 3" xfId="21637"/>
    <cellStyle name="Обычный 6 6 2 5 2 3 2" xfId="21638"/>
    <cellStyle name="Обычный 6 6 2 5 2 3 2 2" xfId="21639"/>
    <cellStyle name="Обычный 6 6 2 5 2 3 2 3" xfId="21640"/>
    <cellStyle name="Обычный 6 6 2 5 2 3 3" xfId="21641"/>
    <cellStyle name="Обычный 6 6 2 5 2 3 3 2" xfId="21642"/>
    <cellStyle name="Обычный 6 6 2 5 2 3 3 3" xfId="21643"/>
    <cellStyle name="Обычный 6 6 2 5 2 3 4" xfId="21644"/>
    <cellStyle name="Обычный 6 6 2 5 2 3 4 2" xfId="21645"/>
    <cellStyle name="Обычный 6 6 2 5 2 3 5" xfId="21646"/>
    <cellStyle name="Обычный 6 6 2 5 2 3 6" xfId="21647"/>
    <cellStyle name="Обычный 6 6 2 5 2 4" xfId="21648"/>
    <cellStyle name="Обычный 6 6 2 5 2 4 2" xfId="21649"/>
    <cellStyle name="Обычный 6 6 2 5 2 4 3" xfId="21650"/>
    <cellStyle name="Обычный 6 6 2 5 2 5" xfId="21651"/>
    <cellStyle name="Обычный 6 6 2 5 2 5 2" xfId="21652"/>
    <cellStyle name="Обычный 6 6 2 5 2 5 3" xfId="21653"/>
    <cellStyle name="Обычный 6 6 2 5 2 6" xfId="21654"/>
    <cellStyle name="Обычный 6 6 2 5 2 6 2" xfId="21655"/>
    <cellStyle name="Обычный 6 6 2 5 2 7" xfId="21656"/>
    <cellStyle name="Обычный 6 6 2 5 2 8" xfId="21657"/>
    <cellStyle name="Обычный 6 6 2 5 3" xfId="21658"/>
    <cellStyle name="Обычный 6 6 2 5 3 2" xfId="21659"/>
    <cellStyle name="Обычный 6 6 2 5 3 2 2" xfId="21660"/>
    <cellStyle name="Обычный 6 6 2 5 3 2 2 2" xfId="21661"/>
    <cellStyle name="Обычный 6 6 2 5 3 2 2 3" xfId="21662"/>
    <cellStyle name="Обычный 6 6 2 5 3 2 3" xfId="21663"/>
    <cellStyle name="Обычный 6 6 2 5 3 2 3 2" xfId="21664"/>
    <cellStyle name="Обычный 6 6 2 5 3 2 3 3" xfId="21665"/>
    <cellStyle name="Обычный 6 6 2 5 3 2 4" xfId="21666"/>
    <cellStyle name="Обычный 6 6 2 5 3 2 4 2" xfId="21667"/>
    <cellStyle name="Обычный 6 6 2 5 3 2 5" xfId="21668"/>
    <cellStyle name="Обычный 6 6 2 5 3 2 6" xfId="21669"/>
    <cellStyle name="Обычный 6 6 2 5 3 3" xfId="21670"/>
    <cellStyle name="Обычный 6 6 2 5 3 3 2" xfId="21671"/>
    <cellStyle name="Обычный 6 6 2 5 3 3 3" xfId="21672"/>
    <cellStyle name="Обычный 6 6 2 5 3 4" xfId="21673"/>
    <cellStyle name="Обычный 6 6 2 5 3 4 2" xfId="21674"/>
    <cellStyle name="Обычный 6 6 2 5 3 4 3" xfId="21675"/>
    <cellStyle name="Обычный 6 6 2 5 3 5" xfId="21676"/>
    <cellStyle name="Обычный 6 6 2 5 3 5 2" xfId="21677"/>
    <cellStyle name="Обычный 6 6 2 5 3 6" xfId="21678"/>
    <cellStyle name="Обычный 6 6 2 5 3 7" xfId="21679"/>
    <cellStyle name="Обычный 6 6 2 5 4" xfId="21680"/>
    <cellStyle name="Обычный 6 6 2 5 4 2" xfId="21681"/>
    <cellStyle name="Обычный 6 6 2 5 4 2 2" xfId="21682"/>
    <cellStyle name="Обычный 6 6 2 5 4 2 3" xfId="21683"/>
    <cellStyle name="Обычный 6 6 2 5 4 3" xfId="21684"/>
    <cellStyle name="Обычный 6 6 2 5 4 3 2" xfId="21685"/>
    <cellStyle name="Обычный 6 6 2 5 4 3 3" xfId="21686"/>
    <cellStyle name="Обычный 6 6 2 5 4 4" xfId="21687"/>
    <cellStyle name="Обычный 6 6 2 5 4 4 2" xfId="21688"/>
    <cellStyle name="Обычный 6 6 2 5 4 5" xfId="21689"/>
    <cellStyle name="Обычный 6 6 2 5 4 6" xfId="21690"/>
    <cellStyle name="Обычный 6 6 2 5 5" xfId="21691"/>
    <cellStyle name="Обычный 6 6 2 5 5 2" xfId="21692"/>
    <cellStyle name="Обычный 6 6 2 5 5 3" xfId="21693"/>
    <cellStyle name="Обычный 6 6 2 5 6" xfId="21694"/>
    <cellStyle name="Обычный 6 6 2 5 6 2" xfId="21695"/>
    <cellStyle name="Обычный 6 6 2 5 6 3" xfId="21696"/>
    <cellStyle name="Обычный 6 6 2 5 7" xfId="21697"/>
    <cellStyle name="Обычный 6 6 2 5 7 2" xfId="21698"/>
    <cellStyle name="Обычный 6 6 2 5 8" xfId="21699"/>
    <cellStyle name="Обычный 6 6 2 5 9" xfId="21700"/>
    <cellStyle name="Обычный 6 6 2 6" xfId="21701"/>
    <cellStyle name="Обычный 6 6 2 6 2" xfId="21702"/>
    <cellStyle name="Обычный 6 6 2 6 2 2" xfId="21703"/>
    <cellStyle name="Обычный 6 6 2 6 2 2 2" xfId="21704"/>
    <cellStyle name="Обычный 6 6 2 6 2 2 2 2" xfId="21705"/>
    <cellStyle name="Обычный 6 6 2 6 2 2 2 3" xfId="21706"/>
    <cellStyle name="Обычный 6 6 2 6 2 2 3" xfId="21707"/>
    <cellStyle name="Обычный 6 6 2 6 2 2 3 2" xfId="21708"/>
    <cellStyle name="Обычный 6 6 2 6 2 2 3 3" xfId="21709"/>
    <cellStyle name="Обычный 6 6 2 6 2 2 4" xfId="21710"/>
    <cellStyle name="Обычный 6 6 2 6 2 2 4 2" xfId="21711"/>
    <cellStyle name="Обычный 6 6 2 6 2 2 5" xfId="21712"/>
    <cellStyle name="Обычный 6 6 2 6 2 2 6" xfId="21713"/>
    <cellStyle name="Обычный 6 6 2 6 2 3" xfId="21714"/>
    <cellStyle name="Обычный 6 6 2 6 2 3 2" xfId="21715"/>
    <cellStyle name="Обычный 6 6 2 6 2 3 3" xfId="21716"/>
    <cellStyle name="Обычный 6 6 2 6 2 4" xfId="21717"/>
    <cellStyle name="Обычный 6 6 2 6 2 4 2" xfId="21718"/>
    <cellStyle name="Обычный 6 6 2 6 2 4 3" xfId="21719"/>
    <cellStyle name="Обычный 6 6 2 6 2 5" xfId="21720"/>
    <cellStyle name="Обычный 6 6 2 6 2 5 2" xfId="21721"/>
    <cellStyle name="Обычный 6 6 2 6 2 6" xfId="21722"/>
    <cellStyle name="Обычный 6 6 2 6 2 7" xfId="21723"/>
    <cellStyle name="Обычный 6 6 2 6 3" xfId="21724"/>
    <cellStyle name="Обычный 6 6 2 6 3 2" xfId="21725"/>
    <cellStyle name="Обычный 6 6 2 6 3 2 2" xfId="21726"/>
    <cellStyle name="Обычный 6 6 2 6 3 2 3" xfId="21727"/>
    <cellStyle name="Обычный 6 6 2 6 3 3" xfId="21728"/>
    <cellStyle name="Обычный 6 6 2 6 3 3 2" xfId="21729"/>
    <cellStyle name="Обычный 6 6 2 6 3 3 3" xfId="21730"/>
    <cellStyle name="Обычный 6 6 2 6 3 4" xfId="21731"/>
    <cellStyle name="Обычный 6 6 2 6 3 4 2" xfId="21732"/>
    <cellStyle name="Обычный 6 6 2 6 3 5" xfId="21733"/>
    <cellStyle name="Обычный 6 6 2 6 3 6" xfId="21734"/>
    <cellStyle name="Обычный 6 6 2 6 4" xfId="21735"/>
    <cellStyle name="Обычный 6 6 2 6 4 2" xfId="21736"/>
    <cellStyle name="Обычный 6 6 2 6 4 3" xfId="21737"/>
    <cellStyle name="Обычный 6 6 2 6 5" xfId="21738"/>
    <cellStyle name="Обычный 6 6 2 6 5 2" xfId="21739"/>
    <cellStyle name="Обычный 6 6 2 6 5 3" xfId="21740"/>
    <cellStyle name="Обычный 6 6 2 6 6" xfId="21741"/>
    <cellStyle name="Обычный 6 6 2 6 6 2" xfId="21742"/>
    <cellStyle name="Обычный 6 6 2 6 7" xfId="21743"/>
    <cellStyle name="Обычный 6 6 2 6 8" xfId="21744"/>
    <cellStyle name="Обычный 6 6 2 7" xfId="21745"/>
    <cellStyle name="Обычный 6 6 2 7 2" xfId="21746"/>
    <cellStyle name="Обычный 6 6 2 7 2 2" xfId="21747"/>
    <cellStyle name="Обычный 6 6 2 7 2 2 2" xfId="21748"/>
    <cellStyle name="Обычный 6 6 2 7 2 2 3" xfId="21749"/>
    <cellStyle name="Обычный 6 6 2 7 2 3" xfId="21750"/>
    <cellStyle name="Обычный 6 6 2 7 2 3 2" xfId="21751"/>
    <cellStyle name="Обычный 6 6 2 7 2 3 3" xfId="21752"/>
    <cellStyle name="Обычный 6 6 2 7 2 4" xfId="21753"/>
    <cellStyle name="Обычный 6 6 2 7 2 4 2" xfId="21754"/>
    <cellStyle name="Обычный 6 6 2 7 2 5" xfId="21755"/>
    <cellStyle name="Обычный 6 6 2 7 2 6" xfId="21756"/>
    <cellStyle name="Обычный 6 6 2 7 3" xfId="21757"/>
    <cellStyle name="Обычный 6 6 2 7 3 2" xfId="21758"/>
    <cellStyle name="Обычный 6 6 2 7 3 3" xfId="21759"/>
    <cellStyle name="Обычный 6 6 2 7 4" xfId="21760"/>
    <cellStyle name="Обычный 6 6 2 7 4 2" xfId="21761"/>
    <cellStyle name="Обычный 6 6 2 7 4 3" xfId="21762"/>
    <cellStyle name="Обычный 6 6 2 7 5" xfId="21763"/>
    <cellStyle name="Обычный 6 6 2 7 5 2" xfId="21764"/>
    <cellStyle name="Обычный 6 6 2 7 6" xfId="21765"/>
    <cellStyle name="Обычный 6 6 2 7 7" xfId="21766"/>
    <cellStyle name="Обычный 6 6 2 8" xfId="21767"/>
    <cellStyle name="Обычный 6 6 2 8 2" xfId="21768"/>
    <cellStyle name="Обычный 6 6 2 8 2 2" xfId="21769"/>
    <cellStyle name="Обычный 6 6 2 8 2 3" xfId="21770"/>
    <cellStyle name="Обычный 6 6 2 8 3" xfId="21771"/>
    <cellStyle name="Обычный 6 6 2 8 3 2" xfId="21772"/>
    <cellStyle name="Обычный 6 6 2 8 3 3" xfId="21773"/>
    <cellStyle name="Обычный 6 6 2 8 4" xfId="21774"/>
    <cellStyle name="Обычный 6 6 2 8 4 2" xfId="21775"/>
    <cellStyle name="Обычный 6 6 2 8 5" xfId="21776"/>
    <cellStyle name="Обычный 6 6 2 8 6" xfId="21777"/>
    <cellStyle name="Обычный 6 6 2 9" xfId="21778"/>
    <cellStyle name="Обычный 6 6 2 9 2" xfId="21779"/>
    <cellStyle name="Обычный 6 6 2 9 3" xfId="21780"/>
    <cellStyle name="Обычный 6 6 3" xfId="21781"/>
    <cellStyle name="Обычный 6 6 3 10" xfId="21782"/>
    <cellStyle name="Обычный 6 6 3 2" xfId="21783"/>
    <cellStyle name="Обычный 6 6 3 2 2" xfId="21784"/>
    <cellStyle name="Обычный 6 6 3 2 2 2" xfId="21785"/>
    <cellStyle name="Обычный 6 6 3 2 2 2 2" xfId="21786"/>
    <cellStyle name="Обычный 6 6 3 2 2 2 2 2" xfId="21787"/>
    <cellStyle name="Обычный 6 6 3 2 2 2 2 2 2" xfId="21788"/>
    <cellStyle name="Обычный 6 6 3 2 2 2 2 2 3" xfId="21789"/>
    <cellStyle name="Обычный 6 6 3 2 2 2 2 3" xfId="21790"/>
    <cellStyle name="Обычный 6 6 3 2 2 2 2 3 2" xfId="21791"/>
    <cellStyle name="Обычный 6 6 3 2 2 2 2 3 3" xfId="21792"/>
    <cellStyle name="Обычный 6 6 3 2 2 2 2 4" xfId="21793"/>
    <cellStyle name="Обычный 6 6 3 2 2 2 2 4 2" xfId="21794"/>
    <cellStyle name="Обычный 6 6 3 2 2 2 2 5" xfId="21795"/>
    <cellStyle name="Обычный 6 6 3 2 2 2 2 6" xfId="21796"/>
    <cellStyle name="Обычный 6 6 3 2 2 2 3" xfId="21797"/>
    <cellStyle name="Обычный 6 6 3 2 2 2 3 2" xfId="21798"/>
    <cellStyle name="Обычный 6 6 3 2 2 2 3 3" xfId="21799"/>
    <cellStyle name="Обычный 6 6 3 2 2 2 4" xfId="21800"/>
    <cellStyle name="Обычный 6 6 3 2 2 2 4 2" xfId="21801"/>
    <cellStyle name="Обычный 6 6 3 2 2 2 4 3" xfId="21802"/>
    <cellStyle name="Обычный 6 6 3 2 2 2 5" xfId="21803"/>
    <cellStyle name="Обычный 6 6 3 2 2 2 5 2" xfId="21804"/>
    <cellStyle name="Обычный 6 6 3 2 2 2 6" xfId="21805"/>
    <cellStyle name="Обычный 6 6 3 2 2 2 7" xfId="21806"/>
    <cellStyle name="Обычный 6 6 3 2 2 3" xfId="21807"/>
    <cellStyle name="Обычный 6 6 3 2 2 3 2" xfId="21808"/>
    <cellStyle name="Обычный 6 6 3 2 2 3 2 2" xfId="21809"/>
    <cellStyle name="Обычный 6 6 3 2 2 3 2 3" xfId="21810"/>
    <cellStyle name="Обычный 6 6 3 2 2 3 3" xfId="21811"/>
    <cellStyle name="Обычный 6 6 3 2 2 3 3 2" xfId="21812"/>
    <cellStyle name="Обычный 6 6 3 2 2 3 3 3" xfId="21813"/>
    <cellStyle name="Обычный 6 6 3 2 2 3 4" xfId="21814"/>
    <cellStyle name="Обычный 6 6 3 2 2 3 4 2" xfId="21815"/>
    <cellStyle name="Обычный 6 6 3 2 2 3 5" xfId="21816"/>
    <cellStyle name="Обычный 6 6 3 2 2 3 6" xfId="21817"/>
    <cellStyle name="Обычный 6 6 3 2 2 4" xfId="21818"/>
    <cellStyle name="Обычный 6 6 3 2 2 4 2" xfId="21819"/>
    <cellStyle name="Обычный 6 6 3 2 2 4 3" xfId="21820"/>
    <cellStyle name="Обычный 6 6 3 2 2 5" xfId="21821"/>
    <cellStyle name="Обычный 6 6 3 2 2 5 2" xfId="21822"/>
    <cellStyle name="Обычный 6 6 3 2 2 5 3" xfId="21823"/>
    <cellStyle name="Обычный 6 6 3 2 2 6" xfId="21824"/>
    <cellStyle name="Обычный 6 6 3 2 2 6 2" xfId="21825"/>
    <cellStyle name="Обычный 6 6 3 2 2 7" xfId="21826"/>
    <cellStyle name="Обычный 6 6 3 2 2 8" xfId="21827"/>
    <cellStyle name="Обычный 6 6 3 2 3" xfId="21828"/>
    <cellStyle name="Обычный 6 6 3 2 3 2" xfId="21829"/>
    <cellStyle name="Обычный 6 6 3 2 3 2 2" xfId="21830"/>
    <cellStyle name="Обычный 6 6 3 2 3 2 2 2" xfId="21831"/>
    <cellStyle name="Обычный 6 6 3 2 3 2 2 3" xfId="21832"/>
    <cellStyle name="Обычный 6 6 3 2 3 2 3" xfId="21833"/>
    <cellStyle name="Обычный 6 6 3 2 3 2 3 2" xfId="21834"/>
    <cellStyle name="Обычный 6 6 3 2 3 2 3 3" xfId="21835"/>
    <cellStyle name="Обычный 6 6 3 2 3 2 4" xfId="21836"/>
    <cellStyle name="Обычный 6 6 3 2 3 2 4 2" xfId="21837"/>
    <cellStyle name="Обычный 6 6 3 2 3 2 5" xfId="21838"/>
    <cellStyle name="Обычный 6 6 3 2 3 2 6" xfId="21839"/>
    <cellStyle name="Обычный 6 6 3 2 3 3" xfId="21840"/>
    <cellStyle name="Обычный 6 6 3 2 3 3 2" xfId="21841"/>
    <cellStyle name="Обычный 6 6 3 2 3 3 3" xfId="21842"/>
    <cellStyle name="Обычный 6 6 3 2 3 4" xfId="21843"/>
    <cellStyle name="Обычный 6 6 3 2 3 4 2" xfId="21844"/>
    <cellStyle name="Обычный 6 6 3 2 3 4 3" xfId="21845"/>
    <cellStyle name="Обычный 6 6 3 2 3 5" xfId="21846"/>
    <cellStyle name="Обычный 6 6 3 2 3 5 2" xfId="21847"/>
    <cellStyle name="Обычный 6 6 3 2 3 6" xfId="21848"/>
    <cellStyle name="Обычный 6 6 3 2 3 7" xfId="21849"/>
    <cellStyle name="Обычный 6 6 3 2 4" xfId="21850"/>
    <cellStyle name="Обычный 6 6 3 2 4 2" xfId="21851"/>
    <cellStyle name="Обычный 6 6 3 2 4 2 2" xfId="21852"/>
    <cellStyle name="Обычный 6 6 3 2 4 2 3" xfId="21853"/>
    <cellStyle name="Обычный 6 6 3 2 4 3" xfId="21854"/>
    <cellStyle name="Обычный 6 6 3 2 4 3 2" xfId="21855"/>
    <cellStyle name="Обычный 6 6 3 2 4 3 3" xfId="21856"/>
    <cellStyle name="Обычный 6 6 3 2 4 4" xfId="21857"/>
    <cellStyle name="Обычный 6 6 3 2 4 4 2" xfId="21858"/>
    <cellStyle name="Обычный 6 6 3 2 4 5" xfId="21859"/>
    <cellStyle name="Обычный 6 6 3 2 4 6" xfId="21860"/>
    <cellStyle name="Обычный 6 6 3 2 5" xfId="21861"/>
    <cellStyle name="Обычный 6 6 3 2 5 2" xfId="21862"/>
    <cellStyle name="Обычный 6 6 3 2 5 3" xfId="21863"/>
    <cellStyle name="Обычный 6 6 3 2 6" xfId="21864"/>
    <cellStyle name="Обычный 6 6 3 2 6 2" xfId="21865"/>
    <cellStyle name="Обычный 6 6 3 2 6 3" xfId="21866"/>
    <cellStyle name="Обычный 6 6 3 2 7" xfId="21867"/>
    <cellStyle name="Обычный 6 6 3 2 7 2" xfId="21868"/>
    <cellStyle name="Обычный 6 6 3 2 8" xfId="21869"/>
    <cellStyle name="Обычный 6 6 3 2 9" xfId="21870"/>
    <cellStyle name="Обычный 6 6 3 3" xfId="21871"/>
    <cellStyle name="Обычный 6 6 3 3 2" xfId="21872"/>
    <cellStyle name="Обычный 6 6 3 3 2 2" xfId="21873"/>
    <cellStyle name="Обычный 6 6 3 3 2 2 2" xfId="21874"/>
    <cellStyle name="Обычный 6 6 3 3 2 2 2 2" xfId="21875"/>
    <cellStyle name="Обычный 6 6 3 3 2 2 2 3" xfId="21876"/>
    <cellStyle name="Обычный 6 6 3 3 2 2 3" xfId="21877"/>
    <cellStyle name="Обычный 6 6 3 3 2 2 3 2" xfId="21878"/>
    <cellStyle name="Обычный 6 6 3 3 2 2 3 3" xfId="21879"/>
    <cellStyle name="Обычный 6 6 3 3 2 2 4" xfId="21880"/>
    <cellStyle name="Обычный 6 6 3 3 2 2 4 2" xfId="21881"/>
    <cellStyle name="Обычный 6 6 3 3 2 2 5" xfId="21882"/>
    <cellStyle name="Обычный 6 6 3 3 2 2 6" xfId="21883"/>
    <cellStyle name="Обычный 6 6 3 3 2 3" xfId="21884"/>
    <cellStyle name="Обычный 6 6 3 3 2 3 2" xfId="21885"/>
    <cellStyle name="Обычный 6 6 3 3 2 3 3" xfId="21886"/>
    <cellStyle name="Обычный 6 6 3 3 2 4" xfId="21887"/>
    <cellStyle name="Обычный 6 6 3 3 2 4 2" xfId="21888"/>
    <cellStyle name="Обычный 6 6 3 3 2 4 3" xfId="21889"/>
    <cellStyle name="Обычный 6 6 3 3 2 5" xfId="21890"/>
    <cellStyle name="Обычный 6 6 3 3 2 5 2" xfId="21891"/>
    <cellStyle name="Обычный 6 6 3 3 2 6" xfId="21892"/>
    <cellStyle name="Обычный 6 6 3 3 2 7" xfId="21893"/>
    <cellStyle name="Обычный 6 6 3 3 3" xfId="21894"/>
    <cellStyle name="Обычный 6 6 3 3 3 2" xfId="21895"/>
    <cellStyle name="Обычный 6 6 3 3 3 2 2" xfId="21896"/>
    <cellStyle name="Обычный 6 6 3 3 3 2 3" xfId="21897"/>
    <cellStyle name="Обычный 6 6 3 3 3 3" xfId="21898"/>
    <cellStyle name="Обычный 6 6 3 3 3 3 2" xfId="21899"/>
    <cellStyle name="Обычный 6 6 3 3 3 3 3" xfId="21900"/>
    <cellStyle name="Обычный 6 6 3 3 3 4" xfId="21901"/>
    <cellStyle name="Обычный 6 6 3 3 3 4 2" xfId="21902"/>
    <cellStyle name="Обычный 6 6 3 3 3 5" xfId="21903"/>
    <cellStyle name="Обычный 6 6 3 3 3 6" xfId="21904"/>
    <cellStyle name="Обычный 6 6 3 3 4" xfId="21905"/>
    <cellStyle name="Обычный 6 6 3 3 4 2" xfId="21906"/>
    <cellStyle name="Обычный 6 6 3 3 4 3" xfId="21907"/>
    <cellStyle name="Обычный 6 6 3 3 5" xfId="21908"/>
    <cellStyle name="Обычный 6 6 3 3 5 2" xfId="21909"/>
    <cellStyle name="Обычный 6 6 3 3 5 3" xfId="21910"/>
    <cellStyle name="Обычный 6 6 3 3 6" xfId="21911"/>
    <cellStyle name="Обычный 6 6 3 3 6 2" xfId="21912"/>
    <cellStyle name="Обычный 6 6 3 3 7" xfId="21913"/>
    <cellStyle name="Обычный 6 6 3 3 8" xfId="21914"/>
    <cellStyle name="Обычный 6 6 3 4" xfId="21915"/>
    <cellStyle name="Обычный 6 6 3 4 2" xfId="21916"/>
    <cellStyle name="Обычный 6 6 3 4 2 2" xfId="21917"/>
    <cellStyle name="Обычный 6 6 3 4 2 2 2" xfId="21918"/>
    <cellStyle name="Обычный 6 6 3 4 2 2 3" xfId="21919"/>
    <cellStyle name="Обычный 6 6 3 4 2 3" xfId="21920"/>
    <cellStyle name="Обычный 6 6 3 4 2 3 2" xfId="21921"/>
    <cellStyle name="Обычный 6 6 3 4 2 3 3" xfId="21922"/>
    <cellStyle name="Обычный 6 6 3 4 2 4" xfId="21923"/>
    <cellStyle name="Обычный 6 6 3 4 2 4 2" xfId="21924"/>
    <cellStyle name="Обычный 6 6 3 4 2 5" xfId="21925"/>
    <cellStyle name="Обычный 6 6 3 4 2 6" xfId="21926"/>
    <cellStyle name="Обычный 6 6 3 4 3" xfId="21927"/>
    <cellStyle name="Обычный 6 6 3 4 3 2" xfId="21928"/>
    <cellStyle name="Обычный 6 6 3 4 3 3" xfId="21929"/>
    <cellStyle name="Обычный 6 6 3 4 4" xfId="21930"/>
    <cellStyle name="Обычный 6 6 3 4 4 2" xfId="21931"/>
    <cellStyle name="Обычный 6 6 3 4 4 3" xfId="21932"/>
    <cellStyle name="Обычный 6 6 3 4 5" xfId="21933"/>
    <cellStyle name="Обычный 6 6 3 4 5 2" xfId="21934"/>
    <cellStyle name="Обычный 6 6 3 4 6" xfId="21935"/>
    <cellStyle name="Обычный 6 6 3 4 7" xfId="21936"/>
    <cellStyle name="Обычный 6 6 3 5" xfId="21937"/>
    <cellStyle name="Обычный 6 6 3 5 2" xfId="21938"/>
    <cellStyle name="Обычный 6 6 3 5 2 2" xfId="21939"/>
    <cellStyle name="Обычный 6 6 3 5 2 3" xfId="21940"/>
    <cellStyle name="Обычный 6 6 3 5 3" xfId="21941"/>
    <cellStyle name="Обычный 6 6 3 5 3 2" xfId="21942"/>
    <cellStyle name="Обычный 6 6 3 5 3 3" xfId="21943"/>
    <cellStyle name="Обычный 6 6 3 5 4" xfId="21944"/>
    <cellStyle name="Обычный 6 6 3 5 4 2" xfId="21945"/>
    <cellStyle name="Обычный 6 6 3 5 5" xfId="21946"/>
    <cellStyle name="Обычный 6 6 3 5 6" xfId="21947"/>
    <cellStyle name="Обычный 6 6 3 6" xfId="21948"/>
    <cellStyle name="Обычный 6 6 3 6 2" xfId="21949"/>
    <cellStyle name="Обычный 6 6 3 6 3" xfId="21950"/>
    <cellStyle name="Обычный 6 6 3 7" xfId="21951"/>
    <cellStyle name="Обычный 6 6 3 7 2" xfId="21952"/>
    <cellStyle name="Обычный 6 6 3 7 3" xfId="21953"/>
    <cellStyle name="Обычный 6 6 3 8" xfId="21954"/>
    <cellStyle name="Обычный 6 6 3 8 2" xfId="21955"/>
    <cellStyle name="Обычный 6 6 3 9" xfId="21956"/>
    <cellStyle name="Обычный 6 6 4" xfId="21957"/>
    <cellStyle name="Обычный 6 6 4 10" xfId="21958"/>
    <cellStyle name="Обычный 6 6 4 2" xfId="21959"/>
    <cellStyle name="Обычный 6 6 4 2 2" xfId="21960"/>
    <cellStyle name="Обычный 6 6 4 2 2 2" xfId="21961"/>
    <cellStyle name="Обычный 6 6 4 2 2 2 2" xfId="21962"/>
    <cellStyle name="Обычный 6 6 4 2 2 2 2 2" xfId="21963"/>
    <cellStyle name="Обычный 6 6 4 2 2 2 2 2 2" xfId="21964"/>
    <cellStyle name="Обычный 6 6 4 2 2 2 2 2 3" xfId="21965"/>
    <cellStyle name="Обычный 6 6 4 2 2 2 2 3" xfId="21966"/>
    <cellStyle name="Обычный 6 6 4 2 2 2 2 3 2" xfId="21967"/>
    <cellStyle name="Обычный 6 6 4 2 2 2 2 3 3" xfId="21968"/>
    <cellStyle name="Обычный 6 6 4 2 2 2 2 4" xfId="21969"/>
    <cellStyle name="Обычный 6 6 4 2 2 2 2 4 2" xfId="21970"/>
    <cellStyle name="Обычный 6 6 4 2 2 2 2 5" xfId="21971"/>
    <cellStyle name="Обычный 6 6 4 2 2 2 2 6" xfId="21972"/>
    <cellStyle name="Обычный 6 6 4 2 2 2 3" xfId="21973"/>
    <cellStyle name="Обычный 6 6 4 2 2 2 3 2" xfId="21974"/>
    <cellStyle name="Обычный 6 6 4 2 2 2 3 3" xfId="21975"/>
    <cellStyle name="Обычный 6 6 4 2 2 2 4" xfId="21976"/>
    <cellStyle name="Обычный 6 6 4 2 2 2 4 2" xfId="21977"/>
    <cellStyle name="Обычный 6 6 4 2 2 2 4 3" xfId="21978"/>
    <cellStyle name="Обычный 6 6 4 2 2 2 5" xfId="21979"/>
    <cellStyle name="Обычный 6 6 4 2 2 2 5 2" xfId="21980"/>
    <cellStyle name="Обычный 6 6 4 2 2 2 6" xfId="21981"/>
    <cellStyle name="Обычный 6 6 4 2 2 2 7" xfId="21982"/>
    <cellStyle name="Обычный 6 6 4 2 2 3" xfId="21983"/>
    <cellStyle name="Обычный 6 6 4 2 2 3 2" xfId="21984"/>
    <cellStyle name="Обычный 6 6 4 2 2 3 2 2" xfId="21985"/>
    <cellStyle name="Обычный 6 6 4 2 2 3 2 3" xfId="21986"/>
    <cellStyle name="Обычный 6 6 4 2 2 3 3" xfId="21987"/>
    <cellStyle name="Обычный 6 6 4 2 2 3 3 2" xfId="21988"/>
    <cellStyle name="Обычный 6 6 4 2 2 3 3 3" xfId="21989"/>
    <cellStyle name="Обычный 6 6 4 2 2 3 4" xfId="21990"/>
    <cellStyle name="Обычный 6 6 4 2 2 3 4 2" xfId="21991"/>
    <cellStyle name="Обычный 6 6 4 2 2 3 5" xfId="21992"/>
    <cellStyle name="Обычный 6 6 4 2 2 3 6" xfId="21993"/>
    <cellStyle name="Обычный 6 6 4 2 2 4" xfId="21994"/>
    <cellStyle name="Обычный 6 6 4 2 2 4 2" xfId="21995"/>
    <cellStyle name="Обычный 6 6 4 2 2 4 3" xfId="21996"/>
    <cellStyle name="Обычный 6 6 4 2 2 5" xfId="21997"/>
    <cellStyle name="Обычный 6 6 4 2 2 5 2" xfId="21998"/>
    <cellStyle name="Обычный 6 6 4 2 2 5 3" xfId="21999"/>
    <cellStyle name="Обычный 6 6 4 2 2 6" xfId="22000"/>
    <cellStyle name="Обычный 6 6 4 2 2 6 2" xfId="22001"/>
    <cellStyle name="Обычный 6 6 4 2 2 7" xfId="22002"/>
    <cellStyle name="Обычный 6 6 4 2 2 8" xfId="22003"/>
    <cellStyle name="Обычный 6 6 4 2 3" xfId="22004"/>
    <cellStyle name="Обычный 6 6 4 2 3 2" xfId="22005"/>
    <cellStyle name="Обычный 6 6 4 2 3 2 2" xfId="22006"/>
    <cellStyle name="Обычный 6 6 4 2 3 2 2 2" xfId="22007"/>
    <cellStyle name="Обычный 6 6 4 2 3 2 2 3" xfId="22008"/>
    <cellStyle name="Обычный 6 6 4 2 3 2 3" xfId="22009"/>
    <cellStyle name="Обычный 6 6 4 2 3 2 3 2" xfId="22010"/>
    <cellStyle name="Обычный 6 6 4 2 3 2 3 3" xfId="22011"/>
    <cellStyle name="Обычный 6 6 4 2 3 2 4" xfId="22012"/>
    <cellStyle name="Обычный 6 6 4 2 3 2 4 2" xfId="22013"/>
    <cellStyle name="Обычный 6 6 4 2 3 2 5" xfId="22014"/>
    <cellStyle name="Обычный 6 6 4 2 3 2 6" xfId="22015"/>
    <cellStyle name="Обычный 6 6 4 2 3 3" xfId="22016"/>
    <cellStyle name="Обычный 6 6 4 2 3 3 2" xfId="22017"/>
    <cellStyle name="Обычный 6 6 4 2 3 3 3" xfId="22018"/>
    <cellStyle name="Обычный 6 6 4 2 3 4" xfId="22019"/>
    <cellStyle name="Обычный 6 6 4 2 3 4 2" xfId="22020"/>
    <cellStyle name="Обычный 6 6 4 2 3 4 3" xfId="22021"/>
    <cellStyle name="Обычный 6 6 4 2 3 5" xfId="22022"/>
    <cellStyle name="Обычный 6 6 4 2 3 5 2" xfId="22023"/>
    <cellStyle name="Обычный 6 6 4 2 3 6" xfId="22024"/>
    <cellStyle name="Обычный 6 6 4 2 3 7" xfId="22025"/>
    <cellStyle name="Обычный 6 6 4 2 4" xfId="22026"/>
    <cellStyle name="Обычный 6 6 4 2 4 2" xfId="22027"/>
    <cellStyle name="Обычный 6 6 4 2 4 2 2" xfId="22028"/>
    <cellStyle name="Обычный 6 6 4 2 4 2 3" xfId="22029"/>
    <cellStyle name="Обычный 6 6 4 2 4 3" xfId="22030"/>
    <cellStyle name="Обычный 6 6 4 2 4 3 2" xfId="22031"/>
    <cellStyle name="Обычный 6 6 4 2 4 3 3" xfId="22032"/>
    <cellStyle name="Обычный 6 6 4 2 4 4" xfId="22033"/>
    <cellStyle name="Обычный 6 6 4 2 4 4 2" xfId="22034"/>
    <cellStyle name="Обычный 6 6 4 2 4 5" xfId="22035"/>
    <cellStyle name="Обычный 6 6 4 2 4 6" xfId="22036"/>
    <cellStyle name="Обычный 6 6 4 2 5" xfId="22037"/>
    <cellStyle name="Обычный 6 6 4 2 5 2" xfId="22038"/>
    <cellStyle name="Обычный 6 6 4 2 5 3" xfId="22039"/>
    <cellStyle name="Обычный 6 6 4 2 6" xfId="22040"/>
    <cellStyle name="Обычный 6 6 4 2 6 2" xfId="22041"/>
    <cellStyle name="Обычный 6 6 4 2 6 3" xfId="22042"/>
    <cellStyle name="Обычный 6 6 4 2 7" xfId="22043"/>
    <cellStyle name="Обычный 6 6 4 2 7 2" xfId="22044"/>
    <cellStyle name="Обычный 6 6 4 2 8" xfId="22045"/>
    <cellStyle name="Обычный 6 6 4 2 9" xfId="22046"/>
    <cellStyle name="Обычный 6 6 4 3" xfId="22047"/>
    <cellStyle name="Обычный 6 6 4 3 2" xfId="22048"/>
    <cellStyle name="Обычный 6 6 4 3 2 2" xfId="22049"/>
    <cellStyle name="Обычный 6 6 4 3 2 2 2" xfId="22050"/>
    <cellStyle name="Обычный 6 6 4 3 2 2 2 2" xfId="22051"/>
    <cellStyle name="Обычный 6 6 4 3 2 2 2 3" xfId="22052"/>
    <cellStyle name="Обычный 6 6 4 3 2 2 3" xfId="22053"/>
    <cellStyle name="Обычный 6 6 4 3 2 2 3 2" xfId="22054"/>
    <cellStyle name="Обычный 6 6 4 3 2 2 3 3" xfId="22055"/>
    <cellStyle name="Обычный 6 6 4 3 2 2 4" xfId="22056"/>
    <cellStyle name="Обычный 6 6 4 3 2 2 4 2" xfId="22057"/>
    <cellStyle name="Обычный 6 6 4 3 2 2 5" xfId="22058"/>
    <cellStyle name="Обычный 6 6 4 3 2 2 6" xfId="22059"/>
    <cellStyle name="Обычный 6 6 4 3 2 3" xfId="22060"/>
    <cellStyle name="Обычный 6 6 4 3 2 3 2" xfId="22061"/>
    <cellStyle name="Обычный 6 6 4 3 2 3 3" xfId="22062"/>
    <cellStyle name="Обычный 6 6 4 3 2 4" xfId="22063"/>
    <cellStyle name="Обычный 6 6 4 3 2 4 2" xfId="22064"/>
    <cellStyle name="Обычный 6 6 4 3 2 4 3" xfId="22065"/>
    <cellStyle name="Обычный 6 6 4 3 2 5" xfId="22066"/>
    <cellStyle name="Обычный 6 6 4 3 2 5 2" xfId="22067"/>
    <cellStyle name="Обычный 6 6 4 3 2 6" xfId="22068"/>
    <cellStyle name="Обычный 6 6 4 3 2 7" xfId="22069"/>
    <cellStyle name="Обычный 6 6 4 3 3" xfId="22070"/>
    <cellStyle name="Обычный 6 6 4 3 3 2" xfId="22071"/>
    <cellStyle name="Обычный 6 6 4 3 3 2 2" xfId="22072"/>
    <cellStyle name="Обычный 6 6 4 3 3 2 3" xfId="22073"/>
    <cellStyle name="Обычный 6 6 4 3 3 3" xfId="22074"/>
    <cellStyle name="Обычный 6 6 4 3 3 3 2" xfId="22075"/>
    <cellStyle name="Обычный 6 6 4 3 3 3 3" xfId="22076"/>
    <cellStyle name="Обычный 6 6 4 3 3 4" xfId="22077"/>
    <cellStyle name="Обычный 6 6 4 3 3 4 2" xfId="22078"/>
    <cellStyle name="Обычный 6 6 4 3 3 5" xfId="22079"/>
    <cellStyle name="Обычный 6 6 4 3 3 6" xfId="22080"/>
    <cellStyle name="Обычный 6 6 4 3 4" xfId="22081"/>
    <cellStyle name="Обычный 6 6 4 3 4 2" xfId="22082"/>
    <cellStyle name="Обычный 6 6 4 3 4 3" xfId="22083"/>
    <cellStyle name="Обычный 6 6 4 3 5" xfId="22084"/>
    <cellStyle name="Обычный 6 6 4 3 5 2" xfId="22085"/>
    <cellStyle name="Обычный 6 6 4 3 5 3" xfId="22086"/>
    <cellStyle name="Обычный 6 6 4 3 6" xfId="22087"/>
    <cellStyle name="Обычный 6 6 4 3 6 2" xfId="22088"/>
    <cellStyle name="Обычный 6 6 4 3 7" xfId="22089"/>
    <cellStyle name="Обычный 6 6 4 3 8" xfId="22090"/>
    <cellStyle name="Обычный 6 6 4 4" xfId="22091"/>
    <cellStyle name="Обычный 6 6 4 4 2" xfId="22092"/>
    <cellStyle name="Обычный 6 6 4 4 2 2" xfId="22093"/>
    <cellStyle name="Обычный 6 6 4 4 2 2 2" xfId="22094"/>
    <cellStyle name="Обычный 6 6 4 4 2 2 3" xfId="22095"/>
    <cellStyle name="Обычный 6 6 4 4 2 3" xfId="22096"/>
    <cellStyle name="Обычный 6 6 4 4 2 3 2" xfId="22097"/>
    <cellStyle name="Обычный 6 6 4 4 2 3 3" xfId="22098"/>
    <cellStyle name="Обычный 6 6 4 4 2 4" xfId="22099"/>
    <cellStyle name="Обычный 6 6 4 4 2 4 2" xfId="22100"/>
    <cellStyle name="Обычный 6 6 4 4 2 5" xfId="22101"/>
    <cellStyle name="Обычный 6 6 4 4 2 6" xfId="22102"/>
    <cellStyle name="Обычный 6 6 4 4 3" xfId="22103"/>
    <cellStyle name="Обычный 6 6 4 4 3 2" xfId="22104"/>
    <cellStyle name="Обычный 6 6 4 4 3 3" xfId="22105"/>
    <cellStyle name="Обычный 6 6 4 4 4" xfId="22106"/>
    <cellStyle name="Обычный 6 6 4 4 4 2" xfId="22107"/>
    <cellStyle name="Обычный 6 6 4 4 4 3" xfId="22108"/>
    <cellStyle name="Обычный 6 6 4 4 5" xfId="22109"/>
    <cellStyle name="Обычный 6 6 4 4 5 2" xfId="22110"/>
    <cellStyle name="Обычный 6 6 4 4 6" xfId="22111"/>
    <cellStyle name="Обычный 6 6 4 4 7" xfId="22112"/>
    <cellStyle name="Обычный 6 6 4 5" xfId="22113"/>
    <cellStyle name="Обычный 6 6 4 5 2" xfId="22114"/>
    <cellStyle name="Обычный 6 6 4 5 2 2" xfId="22115"/>
    <cellStyle name="Обычный 6 6 4 5 2 3" xfId="22116"/>
    <cellStyle name="Обычный 6 6 4 5 3" xfId="22117"/>
    <cellStyle name="Обычный 6 6 4 5 3 2" xfId="22118"/>
    <cellStyle name="Обычный 6 6 4 5 3 3" xfId="22119"/>
    <cellStyle name="Обычный 6 6 4 5 4" xfId="22120"/>
    <cellStyle name="Обычный 6 6 4 5 4 2" xfId="22121"/>
    <cellStyle name="Обычный 6 6 4 5 5" xfId="22122"/>
    <cellStyle name="Обычный 6 6 4 5 6" xfId="22123"/>
    <cellStyle name="Обычный 6 6 4 6" xfId="22124"/>
    <cellStyle name="Обычный 6 6 4 6 2" xfId="22125"/>
    <cellStyle name="Обычный 6 6 4 6 3" xfId="22126"/>
    <cellStyle name="Обычный 6 6 4 7" xfId="22127"/>
    <cellStyle name="Обычный 6 6 4 7 2" xfId="22128"/>
    <cellStyle name="Обычный 6 6 4 7 3" xfId="22129"/>
    <cellStyle name="Обычный 6 6 4 8" xfId="22130"/>
    <cellStyle name="Обычный 6 6 4 8 2" xfId="22131"/>
    <cellStyle name="Обычный 6 6 4 9" xfId="22132"/>
    <cellStyle name="Обычный 6 6 5" xfId="22133"/>
    <cellStyle name="Обычный 6 6 5 10" xfId="22134"/>
    <cellStyle name="Обычный 6 6 5 2" xfId="22135"/>
    <cellStyle name="Обычный 6 6 5 2 2" xfId="22136"/>
    <cellStyle name="Обычный 6 6 5 2 2 2" xfId="22137"/>
    <cellStyle name="Обычный 6 6 5 2 2 2 2" xfId="22138"/>
    <cellStyle name="Обычный 6 6 5 2 2 2 2 2" xfId="22139"/>
    <cellStyle name="Обычный 6 6 5 2 2 2 2 2 2" xfId="22140"/>
    <cellStyle name="Обычный 6 6 5 2 2 2 2 2 3" xfId="22141"/>
    <cellStyle name="Обычный 6 6 5 2 2 2 2 3" xfId="22142"/>
    <cellStyle name="Обычный 6 6 5 2 2 2 2 3 2" xfId="22143"/>
    <cellStyle name="Обычный 6 6 5 2 2 2 2 3 3" xfId="22144"/>
    <cellStyle name="Обычный 6 6 5 2 2 2 2 4" xfId="22145"/>
    <cellStyle name="Обычный 6 6 5 2 2 2 2 4 2" xfId="22146"/>
    <cellStyle name="Обычный 6 6 5 2 2 2 2 5" xfId="22147"/>
    <cellStyle name="Обычный 6 6 5 2 2 2 2 6" xfId="22148"/>
    <cellStyle name="Обычный 6 6 5 2 2 2 3" xfId="22149"/>
    <cellStyle name="Обычный 6 6 5 2 2 2 3 2" xfId="22150"/>
    <cellStyle name="Обычный 6 6 5 2 2 2 3 3" xfId="22151"/>
    <cellStyle name="Обычный 6 6 5 2 2 2 4" xfId="22152"/>
    <cellStyle name="Обычный 6 6 5 2 2 2 4 2" xfId="22153"/>
    <cellStyle name="Обычный 6 6 5 2 2 2 4 3" xfId="22154"/>
    <cellStyle name="Обычный 6 6 5 2 2 2 5" xfId="22155"/>
    <cellStyle name="Обычный 6 6 5 2 2 2 5 2" xfId="22156"/>
    <cellStyle name="Обычный 6 6 5 2 2 2 6" xfId="22157"/>
    <cellStyle name="Обычный 6 6 5 2 2 2 7" xfId="22158"/>
    <cellStyle name="Обычный 6 6 5 2 2 3" xfId="22159"/>
    <cellStyle name="Обычный 6 6 5 2 2 3 2" xfId="22160"/>
    <cellStyle name="Обычный 6 6 5 2 2 3 2 2" xfId="22161"/>
    <cellStyle name="Обычный 6 6 5 2 2 3 2 3" xfId="22162"/>
    <cellStyle name="Обычный 6 6 5 2 2 3 3" xfId="22163"/>
    <cellStyle name="Обычный 6 6 5 2 2 3 3 2" xfId="22164"/>
    <cellStyle name="Обычный 6 6 5 2 2 3 3 3" xfId="22165"/>
    <cellStyle name="Обычный 6 6 5 2 2 3 4" xfId="22166"/>
    <cellStyle name="Обычный 6 6 5 2 2 3 4 2" xfId="22167"/>
    <cellStyle name="Обычный 6 6 5 2 2 3 5" xfId="22168"/>
    <cellStyle name="Обычный 6 6 5 2 2 3 6" xfId="22169"/>
    <cellStyle name="Обычный 6 6 5 2 2 4" xfId="22170"/>
    <cellStyle name="Обычный 6 6 5 2 2 4 2" xfId="22171"/>
    <cellStyle name="Обычный 6 6 5 2 2 4 3" xfId="22172"/>
    <cellStyle name="Обычный 6 6 5 2 2 5" xfId="22173"/>
    <cellStyle name="Обычный 6 6 5 2 2 5 2" xfId="22174"/>
    <cellStyle name="Обычный 6 6 5 2 2 5 3" xfId="22175"/>
    <cellStyle name="Обычный 6 6 5 2 2 6" xfId="22176"/>
    <cellStyle name="Обычный 6 6 5 2 2 6 2" xfId="22177"/>
    <cellStyle name="Обычный 6 6 5 2 2 7" xfId="22178"/>
    <cellStyle name="Обычный 6 6 5 2 2 8" xfId="22179"/>
    <cellStyle name="Обычный 6 6 5 2 3" xfId="22180"/>
    <cellStyle name="Обычный 6 6 5 2 3 2" xfId="22181"/>
    <cellStyle name="Обычный 6 6 5 2 3 2 2" xfId="22182"/>
    <cellStyle name="Обычный 6 6 5 2 3 2 2 2" xfId="22183"/>
    <cellStyle name="Обычный 6 6 5 2 3 2 2 3" xfId="22184"/>
    <cellStyle name="Обычный 6 6 5 2 3 2 3" xfId="22185"/>
    <cellStyle name="Обычный 6 6 5 2 3 2 3 2" xfId="22186"/>
    <cellStyle name="Обычный 6 6 5 2 3 2 3 3" xfId="22187"/>
    <cellStyle name="Обычный 6 6 5 2 3 2 4" xfId="22188"/>
    <cellStyle name="Обычный 6 6 5 2 3 2 4 2" xfId="22189"/>
    <cellStyle name="Обычный 6 6 5 2 3 2 5" xfId="22190"/>
    <cellStyle name="Обычный 6 6 5 2 3 2 6" xfId="22191"/>
    <cellStyle name="Обычный 6 6 5 2 3 3" xfId="22192"/>
    <cellStyle name="Обычный 6 6 5 2 3 3 2" xfId="22193"/>
    <cellStyle name="Обычный 6 6 5 2 3 3 3" xfId="22194"/>
    <cellStyle name="Обычный 6 6 5 2 3 4" xfId="22195"/>
    <cellStyle name="Обычный 6 6 5 2 3 4 2" xfId="22196"/>
    <cellStyle name="Обычный 6 6 5 2 3 4 3" xfId="22197"/>
    <cellStyle name="Обычный 6 6 5 2 3 5" xfId="22198"/>
    <cellStyle name="Обычный 6 6 5 2 3 5 2" xfId="22199"/>
    <cellStyle name="Обычный 6 6 5 2 3 6" xfId="22200"/>
    <cellStyle name="Обычный 6 6 5 2 3 7" xfId="22201"/>
    <cellStyle name="Обычный 6 6 5 2 4" xfId="22202"/>
    <cellStyle name="Обычный 6 6 5 2 4 2" xfId="22203"/>
    <cellStyle name="Обычный 6 6 5 2 4 2 2" xfId="22204"/>
    <cellStyle name="Обычный 6 6 5 2 4 2 3" xfId="22205"/>
    <cellStyle name="Обычный 6 6 5 2 4 3" xfId="22206"/>
    <cellStyle name="Обычный 6 6 5 2 4 3 2" xfId="22207"/>
    <cellStyle name="Обычный 6 6 5 2 4 3 3" xfId="22208"/>
    <cellStyle name="Обычный 6 6 5 2 4 4" xfId="22209"/>
    <cellStyle name="Обычный 6 6 5 2 4 4 2" xfId="22210"/>
    <cellStyle name="Обычный 6 6 5 2 4 5" xfId="22211"/>
    <cellStyle name="Обычный 6 6 5 2 4 6" xfId="22212"/>
    <cellStyle name="Обычный 6 6 5 2 5" xfId="22213"/>
    <cellStyle name="Обычный 6 6 5 2 5 2" xfId="22214"/>
    <cellStyle name="Обычный 6 6 5 2 5 3" xfId="22215"/>
    <cellStyle name="Обычный 6 6 5 2 6" xfId="22216"/>
    <cellStyle name="Обычный 6 6 5 2 6 2" xfId="22217"/>
    <cellStyle name="Обычный 6 6 5 2 6 3" xfId="22218"/>
    <cellStyle name="Обычный 6 6 5 2 7" xfId="22219"/>
    <cellStyle name="Обычный 6 6 5 2 7 2" xfId="22220"/>
    <cellStyle name="Обычный 6 6 5 2 8" xfId="22221"/>
    <cellStyle name="Обычный 6 6 5 2 9" xfId="22222"/>
    <cellStyle name="Обычный 6 6 5 3" xfId="22223"/>
    <cellStyle name="Обычный 6 6 5 3 2" xfId="22224"/>
    <cellStyle name="Обычный 6 6 5 3 2 2" xfId="22225"/>
    <cellStyle name="Обычный 6 6 5 3 2 2 2" xfId="22226"/>
    <cellStyle name="Обычный 6 6 5 3 2 2 2 2" xfId="22227"/>
    <cellStyle name="Обычный 6 6 5 3 2 2 2 3" xfId="22228"/>
    <cellStyle name="Обычный 6 6 5 3 2 2 3" xfId="22229"/>
    <cellStyle name="Обычный 6 6 5 3 2 2 3 2" xfId="22230"/>
    <cellStyle name="Обычный 6 6 5 3 2 2 3 3" xfId="22231"/>
    <cellStyle name="Обычный 6 6 5 3 2 2 4" xfId="22232"/>
    <cellStyle name="Обычный 6 6 5 3 2 2 4 2" xfId="22233"/>
    <cellStyle name="Обычный 6 6 5 3 2 2 5" xfId="22234"/>
    <cellStyle name="Обычный 6 6 5 3 2 2 6" xfId="22235"/>
    <cellStyle name="Обычный 6 6 5 3 2 3" xfId="22236"/>
    <cellStyle name="Обычный 6 6 5 3 2 3 2" xfId="22237"/>
    <cellStyle name="Обычный 6 6 5 3 2 3 3" xfId="22238"/>
    <cellStyle name="Обычный 6 6 5 3 2 4" xfId="22239"/>
    <cellStyle name="Обычный 6 6 5 3 2 4 2" xfId="22240"/>
    <cellStyle name="Обычный 6 6 5 3 2 4 3" xfId="22241"/>
    <cellStyle name="Обычный 6 6 5 3 2 5" xfId="22242"/>
    <cellStyle name="Обычный 6 6 5 3 2 5 2" xfId="22243"/>
    <cellStyle name="Обычный 6 6 5 3 2 6" xfId="22244"/>
    <cellStyle name="Обычный 6 6 5 3 2 7" xfId="22245"/>
    <cellStyle name="Обычный 6 6 5 3 3" xfId="22246"/>
    <cellStyle name="Обычный 6 6 5 3 3 2" xfId="22247"/>
    <cellStyle name="Обычный 6 6 5 3 3 2 2" xfId="22248"/>
    <cellStyle name="Обычный 6 6 5 3 3 2 3" xfId="22249"/>
    <cellStyle name="Обычный 6 6 5 3 3 3" xfId="22250"/>
    <cellStyle name="Обычный 6 6 5 3 3 3 2" xfId="22251"/>
    <cellStyle name="Обычный 6 6 5 3 3 3 3" xfId="22252"/>
    <cellStyle name="Обычный 6 6 5 3 3 4" xfId="22253"/>
    <cellStyle name="Обычный 6 6 5 3 3 4 2" xfId="22254"/>
    <cellStyle name="Обычный 6 6 5 3 3 5" xfId="22255"/>
    <cellStyle name="Обычный 6 6 5 3 3 6" xfId="22256"/>
    <cellStyle name="Обычный 6 6 5 3 4" xfId="22257"/>
    <cellStyle name="Обычный 6 6 5 3 4 2" xfId="22258"/>
    <cellStyle name="Обычный 6 6 5 3 4 3" xfId="22259"/>
    <cellStyle name="Обычный 6 6 5 3 5" xfId="22260"/>
    <cellStyle name="Обычный 6 6 5 3 5 2" xfId="22261"/>
    <cellStyle name="Обычный 6 6 5 3 5 3" xfId="22262"/>
    <cellStyle name="Обычный 6 6 5 3 6" xfId="22263"/>
    <cellStyle name="Обычный 6 6 5 3 6 2" xfId="22264"/>
    <cellStyle name="Обычный 6 6 5 3 7" xfId="22265"/>
    <cellStyle name="Обычный 6 6 5 3 8" xfId="22266"/>
    <cellStyle name="Обычный 6 6 5 4" xfId="22267"/>
    <cellStyle name="Обычный 6 6 5 4 2" xfId="22268"/>
    <cellStyle name="Обычный 6 6 5 4 2 2" xfId="22269"/>
    <cellStyle name="Обычный 6 6 5 4 2 2 2" xfId="22270"/>
    <cellStyle name="Обычный 6 6 5 4 2 2 3" xfId="22271"/>
    <cellStyle name="Обычный 6 6 5 4 2 3" xfId="22272"/>
    <cellStyle name="Обычный 6 6 5 4 2 3 2" xfId="22273"/>
    <cellStyle name="Обычный 6 6 5 4 2 3 3" xfId="22274"/>
    <cellStyle name="Обычный 6 6 5 4 2 4" xfId="22275"/>
    <cellStyle name="Обычный 6 6 5 4 2 4 2" xfId="22276"/>
    <cellStyle name="Обычный 6 6 5 4 2 5" xfId="22277"/>
    <cellStyle name="Обычный 6 6 5 4 2 6" xfId="22278"/>
    <cellStyle name="Обычный 6 6 5 4 3" xfId="22279"/>
    <cellStyle name="Обычный 6 6 5 4 3 2" xfId="22280"/>
    <cellStyle name="Обычный 6 6 5 4 3 3" xfId="22281"/>
    <cellStyle name="Обычный 6 6 5 4 4" xfId="22282"/>
    <cellStyle name="Обычный 6 6 5 4 4 2" xfId="22283"/>
    <cellStyle name="Обычный 6 6 5 4 4 3" xfId="22284"/>
    <cellStyle name="Обычный 6 6 5 4 5" xfId="22285"/>
    <cellStyle name="Обычный 6 6 5 4 5 2" xfId="22286"/>
    <cellStyle name="Обычный 6 6 5 4 6" xfId="22287"/>
    <cellStyle name="Обычный 6 6 5 4 7" xfId="22288"/>
    <cellStyle name="Обычный 6 6 5 5" xfId="22289"/>
    <cellStyle name="Обычный 6 6 5 5 2" xfId="22290"/>
    <cellStyle name="Обычный 6 6 5 5 2 2" xfId="22291"/>
    <cellStyle name="Обычный 6 6 5 5 2 3" xfId="22292"/>
    <cellStyle name="Обычный 6 6 5 5 3" xfId="22293"/>
    <cellStyle name="Обычный 6 6 5 5 3 2" xfId="22294"/>
    <cellStyle name="Обычный 6 6 5 5 3 3" xfId="22295"/>
    <cellStyle name="Обычный 6 6 5 5 4" xfId="22296"/>
    <cellStyle name="Обычный 6 6 5 5 4 2" xfId="22297"/>
    <cellStyle name="Обычный 6 6 5 5 5" xfId="22298"/>
    <cellStyle name="Обычный 6 6 5 5 6" xfId="22299"/>
    <cellStyle name="Обычный 6 6 5 6" xfId="22300"/>
    <cellStyle name="Обычный 6 6 5 6 2" xfId="22301"/>
    <cellStyle name="Обычный 6 6 5 6 3" xfId="22302"/>
    <cellStyle name="Обычный 6 6 5 7" xfId="22303"/>
    <cellStyle name="Обычный 6 6 5 7 2" xfId="22304"/>
    <cellStyle name="Обычный 6 6 5 7 3" xfId="22305"/>
    <cellStyle name="Обычный 6 6 5 8" xfId="22306"/>
    <cellStyle name="Обычный 6 6 5 8 2" xfId="22307"/>
    <cellStyle name="Обычный 6 6 5 9" xfId="22308"/>
    <cellStyle name="Обычный 6 6 6" xfId="22309"/>
    <cellStyle name="Обычный 6 6 6 2" xfId="22310"/>
    <cellStyle name="Обычный 6 6 6 2 2" xfId="22311"/>
    <cellStyle name="Обычный 6 6 6 2 2 2" xfId="22312"/>
    <cellStyle name="Обычный 6 6 6 2 2 2 2" xfId="22313"/>
    <cellStyle name="Обычный 6 6 6 2 2 2 2 2" xfId="22314"/>
    <cellStyle name="Обычный 6 6 6 2 2 2 2 3" xfId="22315"/>
    <cellStyle name="Обычный 6 6 6 2 2 2 3" xfId="22316"/>
    <cellStyle name="Обычный 6 6 6 2 2 2 3 2" xfId="22317"/>
    <cellStyle name="Обычный 6 6 6 2 2 2 3 3" xfId="22318"/>
    <cellStyle name="Обычный 6 6 6 2 2 2 4" xfId="22319"/>
    <cellStyle name="Обычный 6 6 6 2 2 2 4 2" xfId="22320"/>
    <cellStyle name="Обычный 6 6 6 2 2 2 5" xfId="22321"/>
    <cellStyle name="Обычный 6 6 6 2 2 2 6" xfId="22322"/>
    <cellStyle name="Обычный 6 6 6 2 2 3" xfId="22323"/>
    <cellStyle name="Обычный 6 6 6 2 2 3 2" xfId="22324"/>
    <cellStyle name="Обычный 6 6 6 2 2 3 3" xfId="22325"/>
    <cellStyle name="Обычный 6 6 6 2 2 4" xfId="22326"/>
    <cellStyle name="Обычный 6 6 6 2 2 4 2" xfId="22327"/>
    <cellStyle name="Обычный 6 6 6 2 2 4 3" xfId="22328"/>
    <cellStyle name="Обычный 6 6 6 2 2 5" xfId="22329"/>
    <cellStyle name="Обычный 6 6 6 2 2 5 2" xfId="22330"/>
    <cellStyle name="Обычный 6 6 6 2 2 6" xfId="22331"/>
    <cellStyle name="Обычный 6 6 6 2 2 7" xfId="22332"/>
    <cellStyle name="Обычный 6 6 6 2 3" xfId="22333"/>
    <cellStyle name="Обычный 6 6 6 2 3 2" xfId="22334"/>
    <cellStyle name="Обычный 6 6 6 2 3 2 2" xfId="22335"/>
    <cellStyle name="Обычный 6 6 6 2 3 2 3" xfId="22336"/>
    <cellStyle name="Обычный 6 6 6 2 3 3" xfId="22337"/>
    <cellStyle name="Обычный 6 6 6 2 3 3 2" xfId="22338"/>
    <cellStyle name="Обычный 6 6 6 2 3 3 3" xfId="22339"/>
    <cellStyle name="Обычный 6 6 6 2 3 4" xfId="22340"/>
    <cellStyle name="Обычный 6 6 6 2 3 4 2" xfId="22341"/>
    <cellStyle name="Обычный 6 6 6 2 3 5" xfId="22342"/>
    <cellStyle name="Обычный 6 6 6 2 3 6" xfId="22343"/>
    <cellStyle name="Обычный 6 6 6 2 4" xfId="22344"/>
    <cellStyle name="Обычный 6 6 6 2 4 2" xfId="22345"/>
    <cellStyle name="Обычный 6 6 6 2 4 3" xfId="22346"/>
    <cellStyle name="Обычный 6 6 6 2 5" xfId="22347"/>
    <cellStyle name="Обычный 6 6 6 2 5 2" xfId="22348"/>
    <cellStyle name="Обычный 6 6 6 2 5 3" xfId="22349"/>
    <cellStyle name="Обычный 6 6 6 2 6" xfId="22350"/>
    <cellStyle name="Обычный 6 6 6 2 6 2" xfId="22351"/>
    <cellStyle name="Обычный 6 6 6 2 7" xfId="22352"/>
    <cellStyle name="Обычный 6 6 6 2 8" xfId="22353"/>
    <cellStyle name="Обычный 6 6 6 3" xfId="22354"/>
    <cellStyle name="Обычный 6 6 6 3 2" xfId="22355"/>
    <cellStyle name="Обычный 6 6 6 3 2 2" xfId="22356"/>
    <cellStyle name="Обычный 6 6 6 3 2 2 2" xfId="22357"/>
    <cellStyle name="Обычный 6 6 6 3 2 2 3" xfId="22358"/>
    <cellStyle name="Обычный 6 6 6 3 2 3" xfId="22359"/>
    <cellStyle name="Обычный 6 6 6 3 2 3 2" xfId="22360"/>
    <cellStyle name="Обычный 6 6 6 3 2 3 3" xfId="22361"/>
    <cellStyle name="Обычный 6 6 6 3 2 4" xfId="22362"/>
    <cellStyle name="Обычный 6 6 6 3 2 4 2" xfId="22363"/>
    <cellStyle name="Обычный 6 6 6 3 2 5" xfId="22364"/>
    <cellStyle name="Обычный 6 6 6 3 2 6" xfId="22365"/>
    <cellStyle name="Обычный 6 6 6 3 3" xfId="22366"/>
    <cellStyle name="Обычный 6 6 6 3 3 2" xfId="22367"/>
    <cellStyle name="Обычный 6 6 6 3 3 3" xfId="22368"/>
    <cellStyle name="Обычный 6 6 6 3 4" xfId="22369"/>
    <cellStyle name="Обычный 6 6 6 3 4 2" xfId="22370"/>
    <cellStyle name="Обычный 6 6 6 3 4 3" xfId="22371"/>
    <cellStyle name="Обычный 6 6 6 3 5" xfId="22372"/>
    <cellStyle name="Обычный 6 6 6 3 5 2" xfId="22373"/>
    <cellStyle name="Обычный 6 6 6 3 6" xfId="22374"/>
    <cellStyle name="Обычный 6 6 6 3 7" xfId="22375"/>
    <cellStyle name="Обычный 6 6 6 4" xfId="22376"/>
    <cellStyle name="Обычный 6 6 6 4 2" xfId="22377"/>
    <cellStyle name="Обычный 6 6 6 4 2 2" xfId="22378"/>
    <cellStyle name="Обычный 6 6 6 4 2 3" xfId="22379"/>
    <cellStyle name="Обычный 6 6 6 4 3" xfId="22380"/>
    <cellStyle name="Обычный 6 6 6 4 3 2" xfId="22381"/>
    <cellStyle name="Обычный 6 6 6 4 3 3" xfId="22382"/>
    <cellStyle name="Обычный 6 6 6 4 4" xfId="22383"/>
    <cellStyle name="Обычный 6 6 6 4 4 2" xfId="22384"/>
    <cellStyle name="Обычный 6 6 6 4 5" xfId="22385"/>
    <cellStyle name="Обычный 6 6 6 4 6" xfId="22386"/>
    <cellStyle name="Обычный 6 6 6 5" xfId="22387"/>
    <cellStyle name="Обычный 6 6 6 5 2" xfId="22388"/>
    <cellStyle name="Обычный 6 6 6 5 3" xfId="22389"/>
    <cellStyle name="Обычный 6 6 6 6" xfId="22390"/>
    <cellStyle name="Обычный 6 6 6 6 2" xfId="22391"/>
    <cellStyle name="Обычный 6 6 6 6 3" xfId="22392"/>
    <cellStyle name="Обычный 6 6 6 7" xfId="22393"/>
    <cellStyle name="Обычный 6 6 6 7 2" xfId="22394"/>
    <cellStyle name="Обычный 6 6 6 8" xfId="22395"/>
    <cellStyle name="Обычный 6 6 6 9" xfId="22396"/>
    <cellStyle name="Обычный 6 6 7" xfId="22397"/>
    <cellStyle name="Обычный 6 6 7 2" xfId="22398"/>
    <cellStyle name="Обычный 6 6 7 2 2" xfId="22399"/>
    <cellStyle name="Обычный 6 6 7 2 2 2" xfId="22400"/>
    <cellStyle name="Обычный 6 6 7 2 2 2 2" xfId="22401"/>
    <cellStyle name="Обычный 6 6 7 2 2 2 3" xfId="22402"/>
    <cellStyle name="Обычный 6 6 7 2 2 3" xfId="22403"/>
    <cellStyle name="Обычный 6 6 7 2 2 3 2" xfId="22404"/>
    <cellStyle name="Обычный 6 6 7 2 2 3 3" xfId="22405"/>
    <cellStyle name="Обычный 6 6 7 2 2 4" xfId="22406"/>
    <cellStyle name="Обычный 6 6 7 2 2 4 2" xfId="22407"/>
    <cellStyle name="Обычный 6 6 7 2 2 5" xfId="22408"/>
    <cellStyle name="Обычный 6 6 7 2 2 6" xfId="22409"/>
    <cellStyle name="Обычный 6 6 7 2 3" xfId="22410"/>
    <cellStyle name="Обычный 6 6 7 2 3 2" xfId="22411"/>
    <cellStyle name="Обычный 6 6 7 2 3 3" xfId="22412"/>
    <cellStyle name="Обычный 6 6 7 2 4" xfId="22413"/>
    <cellStyle name="Обычный 6 6 7 2 4 2" xfId="22414"/>
    <cellStyle name="Обычный 6 6 7 2 4 3" xfId="22415"/>
    <cellStyle name="Обычный 6 6 7 2 5" xfId="22416"/>
    <cellStyle name="Обычный 6 6 7 2 5 2" xfId="22417"/>
    <cellStyle name="Обычный 6 6 7 2 6" xfId="22418"/>
    <cellStyle name="Обычный 6 6 7 2 7" xfId="22419"/>
    <cellStyle name="Обычный 6 6 7 3" xfId="22420"/>
    <cellStyle name="Обычный 6 6 7 3 2" xfId="22421"/>
    <cellStyle name="Обычный 6 6 7 3 2 2" xfId="22422"/>
    <cellStyle name="Обычный 6 6 7 3 2 3" xfId="22423"/>
    <cellStyle name="Обычный 6 6 7 3 3" xfId="22424"/>
    <cellStyle name="Обычный 6 6 7 3 3 2" xfId="22425"/>
    <cellStyle name="Обычный 6 6 7 3 3 3" xfId="22426"/>
    <cellStyle name="Обычный 6 6 7 3 4" xfId="22427"/>
    <cellStyle name="Обычный 6 6 7 3 4 2" xfId="22428"/>
    <cellStyle name="Обычный 6 6 7 3 5" xfId="22429"/>
    <cellStyle name="Обычный 6 6 7 3 6" xfId="22430"/>
    <cellStyle name="Обычный 6 6 7 4" xfId="22431"/>
    <cellStyle name="Обычный 6 6 7 4 2" xfId="22432"/>
    <cellStyle name="Обычный 6 6 7 4 3" xfId="22433"/>
    <cellStyle name="Обычный 6 6 7 5" xfId="22434"/>
    <cellStyle name="Обычный 6 6 7 5 2" xfId="22435"/>
    <cellStyle name="Обычный 6 6 7 5 3" xfId="22436"/>
    <cellStyle name="Обычный 6 6 7 6" xfId="22437"/>
    <cellStyle name="Обычный 6 6 7 6 2" xfId="22438"/>
    <cellStyle name="Обычный 6 6 7 7" xfId="22439"/>
    <cellStyle name="Обычный 6 6 7 8" xfId="22440"/>
    <cellStyle name="Обычный 6 6 8" xfId="22441"/>
    <cellStyle name="Обычный 6 6 8 2" xfId="22442"/>
    <cellStyle name="Обычный 6 6 8 2 2" xfId="22443"/>
    <cellStyle name="Обычный 6 6 8 2 2 2" xfId="22444"/>
    <cellStyle name="Обычный 6 6 8 2 2 3" xfId="22445"/>
    <cellStyle name="Обычный 6 6 8 2 3" xfId="22446"/>
    <cellStyle name="Обычный 6 6 8 2 3 2" xfId="22447"/>
    <cellStyle name="Обычный 6 6 8 2 3 3" xfId="22448"/>
    <cellStyle name="Обычный 6 6 8 2 4" xfId="22449"/>
    <cellStyle name="Обычный 6 6 8 2 4 2" xfId="22450"/>
    <cellStyle name="Обычный 6 6 8 2 5" xfId="22451"/>
    <cellStyle name="Обычный 6 6 8 2 6" xfId="22452"/>
    <cellStyle name="Обычный 6 6 8 3" xfId="22453"/>
    <cellStyle name="Обычный 6 6 8 3 2" xfId="22454"/>
    <cellStyle name="Обычный 6 6 8 3 3" xfId="22455"/>
    <cellStyle name="Обычный 6 6 8 4" xfId="22456"/>
    <cellStyle name="Обычный 6 6 8 4 2" xfId="22457"/>
    <cellStyle name="Обычный 6 6 8 4 3" xfId="22458"/>
    <cellStyle name="Обычный 6 6 8 5" xfId="22459"/>
    <cellStyle name="Обычный 6 6 8 5 2" xfId="22460"/>
    <cellStyle name="Обычный 6 6 8 6" xfId="22461"/>
    <cellStyle name="Обычный 6 6 8 7" xfId="22462"/>
    <cellStyle name="Обычный 6 6 9" xfId="22463"/>
    <cellStyle name="Обычный 6 6 9 2" xfId="22464"/>
    <cellStyle name="Обычный 6 6 9 2 2" xfId="22465"/>
    <cellStyle name="Обычный 6 6 9 2 3" xfId="22466"/>
    <cellStyle name="Обычный 6 6 9 3" xfId="22467"/>
    <cellStyle name="Обычный 6 6 9 3 2" xfId="22468"/>
    <cellStyle name="Обычный 6 6 9 3 3" xfId="22469"/>
    <cellStyle name="Обычный 6 6 9 4" xfId="22470"/>
    <cellStyle name="Обычный 6 6 9 4 2" xfId="22471"/>
    <cellStyle name="Обычный 6 6 9 5" xfId="22472"/>
    <cellStyle name="Обычный 6 6 9 6" xfId="22473"/>
    <cellStyle name="Обычный 6 7" xfId="22474"/>
    <cellStyle name="Обычный 6 7 10" xfId="22475"/>
    <cellStyle name="Обычный 6 7 10 2" xfId="22476"/>
    <cellStyle name="Обычный 6 7 10 3" xfId="22477"/>
    <cellStyle name="Обычный 6 7 11" xfId="22478"/>
    <cellStyle name="Обычный 6 7 11 2" xfId="22479"/>
    <cellStyle name="Обычный 6 7 11 3" xfId="22480"/>
    <cellStyle name="Обычный 6 7 12" xfId="22481"/>
    <cellStyle name="Обычный 6 7 12 2" xfId="22482"/>
    <cellStyle name="Обычный 6 7 13" xfId="22483"/>
    <cellStyle name="Обычный 6 7 14" xfId="22484"/>
    <cellStyle name="Обычный 6 7 2" xfId="22485"/>
    <cellStyle name="Обычный 6 7 2 10" xfId="22486"/>
    <cellStyle name="Обычный 6 7 2 10 2" xfId="22487"/>
    <cellStyle name="Обычный 6 7 2 10 3" xfId="22488"/>
    <cellStyle name="Обычный 6 7 2 11" xfId="22489"/>
    <cellStyle name="Обычный 6 7 2 11 2" xfId="22490"/>
    <cellStyle name="Обычный 6 7 2 12" xfId="22491"/>
    <cellStyle name="Обычный 6 7 2 13" xfId="22492"/>
    <cellStyle name="Обычный 6 7 2 2" xfId="22493"/>
    <cellStyle name="Обычный 6 7 2 2 10" xfId="22494"/>
    <cellStyle name="Обычный 6 7 2 2 2" xfId="22495"/>
    <cellStyle name="Обычный 6 7 2 2 2 2" xfId="22496"/>
    <cellStyle name="Обычный 6 7 2 2 2 2 2" xfId="22497"/>
    <cellStyle name="Обычный 6 7 2 2 2 2 2 2" xfId="22498"/>
    <cellStyle name="Обычный 6 7 2 2 2 2 2 2 2" xfId="22499"/>
    <cellStyle name="Обычный 6 7 2 2 2 2 2 2 2 2" xfId="22500"/>
    <cellStyle name="Обычный 6 7 2 2 2 2 2 2 2 3" xfId="22501"/>
    <cellStyle name="Обычный 6 7 2 2 2 2 2 2 3" xfId="22502"/>
    <cellStyle name="Обычный 6 7 2 2 2 2 2 2 3 2" xfId="22503"/>
    <cellStyle name="Обычный 6 7 2 2 2 2 2 2 3 3" xfId="22504"/>
    <cellStyle name="Обычный 6 7 2 2 2 2 2 2 4" xfId="22505"/>
    <cellStyle name="Обычный 6 7 2 2 2 2 2 2 4 2" xfId="22506"/>
    <cellStyle name="Обычный 6 7 2 2 2 2 2 2 5" xfId="22507"/>
    <cellStyle name="Обычный 6 7 2 2 2 2 2 2 6" xfId="22508"/>
    <cellStyle name="Обычный 6 7 2 2 2 2 2 3" xfId="22509"/>
    <cellStyle name="Обычный 6 7 2 2 2 2 2 3 2" xfId="22510"/>
    <cellStyle name="Обычный 6 7 2 2 2 2 2 3 3" xfId="22511"/>
    <cellStyle name="Обычный 6 7 2 2 2 2 2 4" xfId="22512"/>
    <cellStyle name="Обычный 6 7 2 2 2 2 2 4 2" xfId="22513"/>
    <cellStyle name="Обычный 6 7 2 2 2 2 2 4 3" xfId="22514"/>
    <cellStyle name="Обычный 6 7 2 2 2 2 2 5" xfId="22515"/>
    <cellStyle name="Обычный 6 7 2 2 2 2 2 5 2" xfId="22516"/>
    <cellStyle name="Обычный 6 7 2 2 2 2 2 6" xfId="22517"/>
    <cellStyle name="Обычный 6 7 2 2 2 2 2 7" xfId="22518"/>
    <cellStyle name="Обычный 6 7 2 2 2 2 3" xfId="22519"/>
    <cellStyle name="Обычный 6 7 2 2 2 2 3 2" xfId="22520"/>
    <cellStyle name="Обычный 6 7 2 2 2 2 3 2 2" xfId="22521"/>
    <cellStyle name="Обычный 6 7 2 2 2 2 3 2 3" xfId="22522"/>
    <cellStyle name="Обычный 6 7 2 2 2 2 3 3" xfId="22523"/>
    <cellStyle name="Обычный 6 7 2 2 2 2 3 3 2" xfId="22524"/>
    <cellStyle name="Обычный 6 7 2 2 2 2 3 3 3" xfId="22525"/>
    <cellStyle name="Обычный 6 7 2 2 2 2 3 4" xfId="22526"/>
    <cellStyle name="Обычный 6 7 2 2 2 2 3 4 2" xfId="22527"/>
    <cellStyle name="Обычный 6 7 2 2 2 2 3 5" xfId="22528"/>
    <cellStyle name="Обычный 6 7 2 2 2 2 3 6" xfId="22529"/>
    <cellStyle name="Обычный 6 7 2 2 2 2 4" xfId="22530"/>
    <cellStyle name="Обычный 6 7 2 2 2 2 4 2" xfId="22531"/>
    <cellStyle name="Обычный 6 7 2 2 2 2 4 3" xfId="22532"/>
    <cellStyle name="Обычный 6 7 2 2 2 2 5" xfId="22533"/>
    <cellStyle name="Обычный 6 7 2 2 2 2 5 2" xfId="22534"/>
    <cellStyle name="Обычный 6 7 2 2 2 2 5 3" xfId="22535"/>
    <cellStyle name="Обычный 6 7 2 2 2 2 6" xfId="22536"/>
    <cellStyle name="Обычный 6 7 2 2 2 2 6 2" xfId="22537"/>
    <cellStyle name="Обычный 6 7 2 2 2 2 7" xfId="22538"/>
    <cellStyle name="Обычный 6 7 2 2 2 2 8" xfId="22539"/>
    <cellStyle name="Обычный 6 7 2 2 2 3" xfId="22540"/>
    <cellStyle name="Обычный 6 7 2 2 2 3 2" xfId="22541"/>
    <cellStyle name="Обычный 6 7 2 2 2 3 2 2" xfId="22542"/>
    <cellStyle name="Обычный 6 7 2 2 2 3 2 2 2" xfId="22543"/>
    <cellStyle name="Обычный 6 7 2 2 2 3 2 2 3" xfId="22544"/>
    <cellStyle name="Обычный 6 7 2 2 2 3 2 3" xfId="22545"/>
    <cellStyle name="Обычный 6 7 2 2 2 3 2 3 2" xfId="22546"/>
    <cellStyle name="Обычный 6 7 2 2 2 3 2 3 3" xfId="22547"/>
    <cellStyle name="Обычный 6 7 2 2 2 3 2 4" xfId="22548"/>
    <cellStyle name="Обычный 6 7 2 2 2 3 2 4 2" xfId="22549"/>
    <cellStyle name="Обычный 6 7 2 2 2 3 2 5" xfId="22550"/>
    <cellStyle name="Обычный 6 7 2 2 2 3 2 6" xfId="22551"/>
    <cellStyle name="Обычный 6 7 2 2 2 3 3" xfId="22552"/>
    <cellStyle name="Обычный 6 7 2 2 2 3 3 2" xfId="22553"/>
    <cellStyle name="Обычный 6 7 2 2 2 3 3 3" xfId="22554"/>
    <cellStyle name="Обычный 6 7 2 2 2 3 4" xfId="22555"/>
    <cellStyle name="Обычный 6 7 2 2 2 3 4 2" xfId="22556"/>
    <cellStyle name="Обычный 6 7 2 2 2 3 4 3" xfId="22557"/>
    <cellStyle name="Обычный 6 7 2 2 2 3 5" xfId="22558"/>
    <cellStyle name="Обычный 6 7 2 2 2 3 5 2" xfId="22559"/>
    <cellStyle name="Обычный 6 7 2 2 2 3 6" xfId="22560"/>
    <cellStyle name="Обычный 6 7 2 2 2 3 7" xfId="22561"/>
    <cellStyle name="Обычный 6 7 2 2 2 4" xfId="22562"/>
    <cellStyle name="Обычный 6 7 2 2 2 4 2" xfId="22563"/>
    <cellStyle name="Обычный 6 7 2 2 2 4 2 2" xfId="22564"/>
    <cellStyle name="Обычный 6 7 2 2 2 4 2 3" xfId="22565"/>
    <cellStyle name="Обычный 6 7 2 2 2 4 3" xfId="22566"/>
    <cellStyle name="Обычный 6 7 2 2 2 4 3 2" xfId="22567"/>
    <cellStyle name="Обычный 6 7 2 2 2 4 3 3" xfId="22568"/>
    <cellStyle name="Обычный 6 7 2 2 2 4 4" xfId="22569"/>
    <cellStyle name="Обычный 6 7 2 2 2 4 4 2" xfId="22570"/>
    <cellStyle name="Обычный 6 7 2 2 2 4 5" xfId="22571"/>
    <cellStyle name="Обычный 6 7 2 2 2 4 6" xfId="22572"/>
    <cellStyle name="Обычный 6 7 2 2 2 5" xfId="22573"/>
    <cellStyle name="Обычный 6 7 2 2 2 5 2" xfId="22574"/>
    <cellStyle name="Обычный 6 7 2 2 2 5 3" xfId="22575"/>
    <cellStyle name="Обычный 6 7 2 2 2 6" xfId="22576"/>
    <cellStyle name="Обычный 6 7 2 2 2 6 2" xfId="22577"/>
    <cellStyle name="Обычный 6 7 2 2 2 6 3" xfId="22578"/>
    <cellStyle name="Обычный 6 7 2 2 2 7" xfId="22579"/>
    <cellStyle name="Обычный 6 7 2 2 2 7 2" xfId="22580"/>
    <cellStyle name="Обычный 6 7 2 2 2 8" xfId="22581"/>
    <cellStyle name="Обычный 6 7 2 2 2 9" xfId="22582"/>
    <cellStyle name="Обычный 6 7 2 2 3" xfId="22583"/>
    <cellStyle name="Обычный 6 7 2 2 3 2" xfId="22584"/>
    <cellStyle name="Обычный 6 7 2 2 3 2 2" xfId="22585"/>
    <cellStyle name="Обычный 6 7 2 2 3 2 2 2" xfId="22586"/>
    <cellStyle name="Обычный 6 7 2 2 3 2 2 2 2" xfId="22587"/>
    <cellStyle name="Обычный 6 7 2 2 3 2 2 2 3" xfId="22588"/>
    <cellStyle name="Обычный 6 7 2 2 3 2 2 3" xfId="22589"/>
    <cellStyle name="Обычный 6 7 2 2 3 2 2 3 2" xfId="22590"/>
    <cellStyle name="Обычный 6 7 2 2 3 2 2 3 3" xfId="22591"/>
    <cellStyle name="Обычный 6 7 2 2 3 2 2 4" xfId="22592"/>
    <cellStyle name="Обычный 6 7 2 2 3 2 2 4 2" xfId="22593"/>
    <cellStyle name="Обычный 6 7 2 2 3 2 2 5" xfId="22594"/>
    <cellStyle name="Обычный 6 7 2 2 3 2 2 6" xfId="22595"/>
    <cellStyle name="Обычный 6 7 2 2 3 2 3" xfId="22596"/>
    <cellStyle name="Обычный 6 7 2 2 3 2 3 2" xfId="22597"/>
    <cellStyle name="Обычный 6 7 2 2 3 2 3 3" xfId="22598"/>
    <cellStyle name="Обычный 6 7 2 2 3 2 4" xfId="22599"/>
    <cellStyle name="Обычный 6 7 2 2 3 2 4 2" xfId="22600"/>
    <cellStyle name="Обычный 6 7 2 2 3 2 4 3" xfId="22601"/>
    <cellStyle name="Обычный 6 7 2 2 3 2 5" xfId="22602"/>
    <cellStyle name="Обычный 6 7 2 2 3 2 5 2" xfId="22603"/>
    <cellStyle name="Обычный 6 7 2 2 3 2 6" xfId="22604"/>
    <cellStyle name="Обычный 6 7 2 2 3 2 7" xfId="22605"/>
    <cellStyle name="Обычный 6 7 2 2 3 3" xfId="22606"/>
    <cellStyle name="Обычный 6 7 2 2 3 3 2" xfId="22607"/>
    <cellStyle name="Обычный 6 7 2 2 3 3 2 2" xfId="22608"/>
    <cellStyle name="Обычный 6 7 2 2 3 3 2 3" xfId="22609"/>
    <cellStyle name="Обычный 6 7 2 2 3 3 3" xfId="22610"/>
    <cellStyle name="Обычный 6 7 2 2 3 3 3 2" xfId="22611"/>
    <cellStyle name="Обычный 6 7 2 2 3 3 3 3" xfId="22612"/>
    <cellStyle name="Обычный 6 7 2 2 3 3 4" xfId="22613"/>
    <cellStyle name="Обычный 6 7 2 2 3 3 4 2" xfId="22614"/>
    <cellStyle name="Обычный 6 7 2 2 3 3 5" xfId="22615"/>
    <cellStyle name="Обычный 6 7 2 2 3 3 6" xfId="22616"/>
    <cellStyle name="Обычный 6 7 2 2 3 4" xfId="22617"/>
    <cellStyle name="Обычный 6 7 2 2 3 4 2" xfId="22618"/>
    <cellStyle name="Обычный 6 7 2 2 3 4 3" xfId="22619"/>
    <cellStyle name="Обычный 6 7 2 2 3 5" xfId="22620"/>
    <cellStyle name="Обычный 6 7 2 2 3 5 2" xfId="22621"/>
    <cellStyle name="Обычный 6 7 2 2 3 5 3" xfId="22622"/>
    <cellStyle name="Обычный 6 7 2 2 3 6" xfId="22623"/>
    <cellStyle name="Обычный 6 7 2 2 3 6 2" xfId="22624"/>
    <cellStyle name="Обычный 6 7 2 2 3 7" xfId="22625"/>
    <cellStyle name="Обычный 6 7 2 2 3 8" xfId="22626"/>
    <cellStyle name="Обычный 6 7 2 2 4" xfId="22627"/>
    <cellStyle name="Обычный 6 7 2 2 4 2" xfId="22628"/>
    <cellStyle name="Обычный 6 7 2 2 4 2 2" xfId="22629"/>
    <cellStyle name="Обычный 6 7 2 2 4 2 2 2" xfId="22630"/>
    <cellStyle name="Обычный 6 7 2 2 4 2 2 3" xfId="22631"/>
    <cellStyle name="Обычный 6 7 2 2 4 2 3" xfId="22632"/>
    <cellStyle name="Обычный 6 7 2 2 4 2 3 2" xfId="22633"/>
    <cellStyle name="Обычный 6 7 2 2 4 2 3 3" xfId="22634"/>
    <cellStyle name="Обычный 6 7 2 2 4 2 4" xfId="22635"/>
    <cellStyle name="Обычный 6 7 2 2 4 2 4 2" xfId="22636"/>
    <cellStyle name="Обычный 6 7 2 2 4 2 5" xfId="22637"/>
    <cellStyle name="Обычный 6 7 2 2 4 2 6" xfId="22638"/>
    <cellStyle name="Обычный 6 7 2 2 4 3" xfId="22639"/>
    <cellStyle name="Обычный 6 7 2 2 4 3 2" xfId="22640"/>
    <cellStyle name="Обычный 6 7 2 2 4 3 3" xfId="22641"/>
    <cellStyle name="Обычный 6 7 2 2 4 4" xfId="22642"/>
    <cellStyle name="Обычный 6 7 2 2 4 4 2" xfId="22643"/>
    <cellStyle name="Обычный 6 7 2 2 4 4 3" xfId="22644"/>
    <cellStyle name="Обычный 6 7 2 2 4 5" xfId="22645"/>
    <cellStyle name="Обычный 6 7 2 2 4 5 2" xfId="22646"/>
    <cellStyle name="Обычный 6 7 2 2 4 6" xfId="22647"/>
    <cellStyle name="Обычный 6 7 2 2 4 7" xfId="22648"/>
    <cellStyle name="Обычный 6 7 2 2 5" xfId="22649"/>
    <cellStyle name="Обычный 6 7 2 2 5 2" xfId="22650"/>
    <cellStyle name="Обычный 6 7 2 2 5 2 2" xfId="22651"/>
    <cellStyle name="Обычный 6 7 2 2 5 2 3" xfId="22652"/>
    <cellStyle name="Обычный 6 7 2 2 5 3" xfId="22653"/>
    <cellStyle name="Обычный 6 7 2 2 5 3 2" xfId="22654"/>
    <cellStyle name="Обычный 6 7 2 2 5 3 3" xfId="22655"/>
    <cellStyle name="Обычный 6 7 2 2 5 4" xfId="22656"/>
    <cellStyle name="Обычный 6 7 2 2 5 4 2" xfId="22657"/>
    <cellStyle name="Обычный 6 7 2 2 5 5" xfId="22658"/>
    <cellStyle name="Обычный 6 7 2 2 5 6" xfId="22659"/>
    <cellStyle name="Обычный 6 7 2 2 6" xfId="22660"/>
    <cellStyle name="Обычный 6 7 2 2 6 2" xfId="22661"/>
    <cellStyle name="Обычный 6 7 2 2 6 3" xfId="22662"/>
    <cellStyle name="Обычный 6 7 2 2 7" xfId="22663"/>
    <cellStyle name="Обычный 6 7 2 2 7 2" xfId="22664"/>
    <cellStyle name="Обычный 6 7 2 2 7 3" xfId="22665"/>
    <cellStyle name="Обычный 6 7 2 2 8" xfId="22666"/>
    <cellStyle name="Обычный 6 7 2 2 8 2" xfId="22667"/>
    <cellStyle name="Обычный 6 7 2 2 9" xfId="22668"/>
    <cellStyle name="Обычный 6 7 2 3" xfId="22669"/>
    <cellStyle name="Обычный 6 7 2 3 10" xfId="22670"/>
    <cellStyle name="Обычный 6 7 2 3 2" xfId="22671"/>
    <cellStyle name="Обычный 6 7 2 3 2 2" xfId="22672"/>
    <cellStyle name="Обычный 6 7 2 3 2 2 2" xfId="22673"/>
    <cellStyle name="Обычный 6 7 2 3 2 2 2 2" xfId="22674"/>
    <cellStyle name="Обычный 6 7 2 3 2 2 2 2 2" xfId="22675"/>
    <cellStyle name="Обычный 6 7 2 3 2 2 2 2 2 2" xfId="22676"/>
    <cellStyle name="Обычный 6 7 2 3 2 2 2 2 2 3" xfId="22677"/>
    <cellStyle name="Обычный 6 7 2 3 2 2 2 2 3" xfId="22678"/>
    <cellStyle name="Обычный 6 7 2 3 2 2 2 2 3 2" xfId="22679"/>
    <cellStyle name="Обычный 6 7 2 3 2 2 2 2 3 3" xfId="22680"/>
    <cellStyle name="Обычный 6 7 2 3 2 2 2 2 4" xfId="22681"/>
    <cellStyle name="Обычный 6 7 2 3 2 2 2 2 4 2" xfId="22682"/>
    <cellStyle name="Обычный 6 7 2 3 2 2 2 2 5" xfId="22683"/>
    <cellStyle name="Обычный 6 7 2 3 2 2 2 2 6" xfId="22684"/>
    <cellStyle name="Обычный 6 7 2 3 2 2 2 3" xfId="22685"/>
    <cellStyle name="Обычный 6 7 2 3 2 2 2 3 2" xfId="22686"/>
    <cellStyle name="Обычный 6 7 2 3 2 2 2 3 3" xfId="22687"/>
    <cellStyle name="Обычный 6 7 2 3 2 2 2 4" xfId="22688"/>
    <cellStyle name="Обычный 6 7 2 3 2 2 2 4 2" xfId="22689"/>
    <cellStyle name="Обычный 6 7 2 3 2 2 2 4 3" xfId="22690"/>
    <cellStyle name="Обычный 6 7 2 3 2 2 2 5" xfId="22691"/>
    <cellStyle name="Обычный 6 7 2 3 2 2 2 5 2" xfId="22692"/>
    <cellStyle name="Обычный 6 7 2 3 2 2 2 6" xfId="22693"/>
    <cellStyle name="Обычный 6 7 2 3 2 2 2 7" xfId="22694"/>
    <cellStyle name="Обычный 6 7 2 3 2 2 3" xfId="22695"/>
    <cellStyle name="Обычный 6 7 2 3 2 2 3 2" xfId="22696"/>
    <cellStyle name="Обычный 6 7 2 3 2 2 3 2 2" xfId="22697"/>
    <cellStyle name="Обычный 6 7 2 3 2 2 3 2 3" xfId="22698"/>
    <cellStyle name="Обычный 6 7 2 3 2 2 3 3" xfId="22699"/>
    <cellStyle name="Обычный 6 7 2 3 2 2 3 3 2" xfId="22700"/>
    <cellStyle name="Обычный 6 7 2 3 2 2 3 3 3" xfId="22701"/>
    <cellStyle name="Обычный 6 7 2 3 2 2 3 4" xfId="22702"/>
    <cellStyle name="Обычный 6 7 2 3 2 2 3 4 2" xfId="22703"/>
    <cellStyle name="Обычный 6 7 2 3 2 2 3 5" xfId="22704"/>
    <cellStyle name="Обычный 6 7 2 3 2 2 3 6" xfId="22705"/>
    <cellStyle name="Обычный 6 7 2 3 2 2 4" xfId="22706"/>
    <cellStyle name="Обычный 6 7 2 3 2 2 4 2" xfId="22707"/>
    <cellStyle name="Обычный 6 7 2 3 2 2 4 3" xfId="22708"/>
    <cellStyle name="Обычный 6 7 2 3 2 2 5" xfId="22709"/>
    <cellStyle name="Обычный 6 7 2 3 2 2 5 2" xfId="22710"/>
    <cellStyle name="Обычный 6 7 2 3 2 2 5 3" xfId="22711"/>
    <cellStyle name="Обычный 6 7 2 3 2 2 6" xfId="22712"/>
    <cellStyle name="Обычный 6 7 2 3 2 2 6 2" xfId="22713"/>
    <cellStyle name="Обычный 6 7 2 3 2 2 7" xfId="22714"/>
    <cellStyle name="Обычный 6 7 2 3 2 2 8" xfId="22715"/>
    <cellStyle name="Обычный 6 7 2 3 2 3" xfId="22716"/>
    <cellStyle name="Обычный 6 7 2 3 2 3 2" xfId="22717"/>
    <cellStyle name="Обычный 6 7 2 3 2 3 2 2" xfId="22718"/>
    <cellStyle name="Обычный 6 7 2 3 2 3 2 2 2" xfId="22719"/>
    <cellStyle name="Обычный 6 7 2 3 2 3 2 2 3" xfId="22720"/>
    <cellStyle name="Обычный 6 7 2 3 2 3 2 3" xfId="22721"/>
    <cellStyle name="Обычный 6 7 2 3 2 3 2 3 2" xfId="22722"/>
    <cellStyle name="Обычный 6 7 2 3 2 3 2 3 3" xfId="22723"/>
    <cellStyle name="Обычный 6 7 2 3 2 3 2 4" xfId="22724"/>
    <cellStyle name="Обычный 6 7 2 3 2 3 2 4 2" xfId="22725"/>
    <cellStyle name="Обычный 6 7 2 3 2 3 2 5" xfId="22726"/>
    <cellStyle name="Обычный 6 7 2 3 2 3 2 6" xfId="22727"/>
    <cellStyle name="Обычный 6 7 2 3 2 3 3" xfId="22728"/>
    <cellStyle name="Обычный 6 7 2 3 2 3 3 2" xfId="22729"/>
    <cellStyle name="Обычный 6 7 2 3 2 3 3 3" xfId="22730"/>
    <cellStyle name="Обычный 6 7 2 3 2 3 4" xfId="22731"/>
    <cellStyle name="Обычный 6 7 2 3 2 3 4 2" xfId="22732"/>
    <cellStyle name="Обычный 6 7 2 3 2 3 4 3" xfId="22733"/>
    <cellStyle name="Обычный 6 7 2 3 2 3 5" xfId="22734"/>
    <cellStyle name="Обычный 6 7 2 3 2 3 5 2" xfId="22735"/>
    <cellStyle name="Обычный 6 7 2 3 2 3 6" xfId="22736"/>
    <cellStyle name="Обычный 6 7 2 3 2 3 7" xfId="22737"/>
    <cellStyle name="Обычный 6 7 2 3 2 4" xfId="22738"/>
    <cellStyle name="Обычный 6 7 2 3 2 4 2" xfId="22739"/>
    <cellStyle name="Обычный 6 7 2 3 2 4 2 2" xfId="22740"/>
    <cellStyle name="Обычный 6 7 2 3 2 4 2 3" xfId="22741"/>
    <cellStyle name="Обычный 6 7 2 3 2 4 3" xfId="22742"/>
    <cellStyle name="Обычный 6 7 2 3 2 4 3 2" xfId="22743"/>
    <cellStyle name="Обычный 6 7 2 3 2 4 3 3" xfId="22744"/>
    <cellStyle name="Обычный 6 7 2 3 2 4 4" xfId="22745"/>
    <cellStyle name="Обычный 6 7 2 3 2 4 4 2" xfId="22746"/>
    <cellStyle name="Обычный 6 7 2 3 2 4 5" xfId="22747"/>
    <cellStyle name="Обычный 6 7 2 3 2 4 6" xfId="22748"/>
    <cellStyle name="Обычный 6 7 2 3 2 5" xfId="22749"/>
    <cellStyle name="Обычный 6 7 2 3 2 5 2" xfId="22750"/>
    <cellStyle name="Обычный 6 7 2 3 2 5 3" xfId="22751"/>
    <cellStyle name="Обычный 6 7 2 3 2 6" xfId="22752"/>
    <cellStyle name="Обычный 6 7 2 3 2 6 2" xfId="22753"/>
    <cellStyle name="Обычный 6 7 2 3 2 6 3" xfId="22754"/>
    <cellStyle name="Обычный 6 7 2 3 2 7" xfId="22755"/>
    <cellStyle name="Обычный 6 7 2 3 2 7 2" xfId="22756"/>
    <cellStyle name="Обычный 6 7 2 3 2 8" xfId="22757"/>
    <cellStyle name="Обычный 6 7 2 3 2 9" xfId="22758"/>
    <cellStyle name="Обычный 6 7 2 3 3" xfId="22759"/>
    <cellStyle name="Обычный 6 7 2 3 3 2" xfId="22760"/>
    <cellStyle name="Обычный 6 7 2 3 3 2 2" xfId="22761"/>
    <cellStyle name="Обычный 6 7 2 3 3 2 2 2" xfId="22762"/>
    <cellStyle name="Обычный 6 7 2 3 3 2 2 2 2" xfId="22763"/>
    <cellStyle name="Обычный 6 7 2 3 3 2 2 2 3" xfId="22764"/>
    <cellStyle name="Обычный 6 7 2 3 3 2 2 3" xfId="22765"/>
    <cellStyle name="Обычный 6 7 2 3 3 2 2 3 2" xfId="22766"/>
    <cellStyle name="Обычный 6 7 2 3 3 2 2 3 3" xfId="22767"/>
    <cellStyle name="Обычный 6 7 2 3 3 2 2 4" xfId="22768"/>
    <cellStyle name="Обычный 6 7 2 3 3 2 2 4 2" xfId="22769"/>
    <cellStyle name="Обычный 6 7 2 3 3 2 2 5" xfId="22770"/>
    <cellStyle name="Обычный 6 7 2 3 3 2 2 6" xfId="22771"/>
    <cellStyle name="Обычный 6 7 2 3 3 2 3" xfId="22772"/>
    <cellStyle name="Обычный 6 7 2 3 3 2 3 2" xfId="22773"/>
    <cellStyle name="Обычный 6 7 2 3 3 2 3 3" xfId="22774"/>
    <cellStyle name="Обычный 6 7 2 3 3 2 4" xfId="22775"/>
    <cellStyle name="Обычный 6 7 2 3 3 2 4 2" xfId="22776"/>
    <cellStyle name="Обычный 6 7 2 3 3 2 4 3" xfId="22777"/>
    <cellStyle name="Обычный 6 7 2 3 3 2 5" xfId="22778"/>
    <cellStyle name="Обычный 6 7 2 3 3 2 5 2" xfId="22779"/>
    <cellStyle name="Обычный 6 7 2 3 3 2 6" xfId="22780"/>
    <cellStyle name="Обычный 6 7 2 3 3 2 7" xfId="22781"/>
    <cellStyle name="Обычный 6 7 2 3 3 3" xfId="22782"/>
    <cellStyle name="Обычный 6 7 2 3 3 3 2" xfId="22783"/>
    <cellStyle name="Обычный 6 7 2 3 3 3 2 2" xfId="22784"/>
    <cellStyle name="Обычный 6 7 2 3 3 3 2 3" xfId="22785"/>
    <cellStyle name="Обычный 6 7 2 3 3 3 3" xfId="22786"/>
    <cellStyle name="Обычный 6 7 2 3 3 3 3 2" xfId="22787"/>
    <cellStyle name="Обычный 6 7 2 3 3 3 3 3" xfId="22788"/>
    <cellStyle name="Обычный 6 7 2 3 3 3 4" xfId="22789"/>
    <cellStyle name="Обычный 6 7 2 3 3 3 4 2" xfId="22790"/>
    <cellStyle name="Обычный 6 7 2 3 3 3 5" xfId="22791"/>
    <cellStyle name="Обычный 6 7 2 3 3 3 6" xfId="22792"/>
    <cellStyle name="Обычный 6 7 2 3 3 4" xfId="22793"/>
    <cellStyle name="Обычный 6 7 2 3 3 4 2" xfId="22794"/>
    <cellStyle name="Обычный 6 7 2 3 3 4 3" xfId="22795"/>
    <cellStyle name="Обычный 6 7 2 3 3 5" xfId="22796"/>
    <cellStyle name="Обычный 6 7 2 3 3 5 2" xfId="22797"/>
    <cellStyle name="Обычный 6 7 2 3 3 5 3" xfId="22798"/>
    <cellStyle name="Обычный 6 7 2 3 3 6" xfId="22799"/>
    <cellStyle name="Обычный 6 7 2 3 3 6 2" xfId="22800"/>
    <cellStyle name="Обычный 6 7 2 3 3 7" xfId="22801"/>
    <cellStyle name="Обычный 6 7 2 3 3 8" xfId="22802"/>
    <cellStyle name="Обычный 6 7 2 3 4" xfId="22803"/>
    <cellStyle name="Обычный 6 7 2 3 4 2" xfId="22804"/>
    <cellStyle name="Обычный 6 7 2 3 4 2 2" xfId="22805"/>
    <cellStyle name="Обычный 6 7 2 3 4 2 2 2" xfId="22806"/>
    <cellStyle name="Обычный 6 7 2 3 4 2 2 3" xfId="22807"/>
    <cellStyle name="Обычный 6 7 2 3 4 2 3" xfId="22808"/>
    <cellStyle name="Обычный 6 7 2 3 4 2 3 2" xfId="22809"/>
    <cellStyle name="Обычный 6 7 2 3 4 2 3 3" xfId="22810"/>
    <cellStyle name="Обычный 6 7 2 3 4 2 4" xfId="22811"/>
    <cellStyle name="Обычный 6 7 2 3 4 2 4 2" xfId="22812"/>
    <cellStyle name="Обычный 6 7 2 3 4 2 5" xfId="22813"/>
    <cellStyle name="Обычный 6 7 2 3 4 2 6" xfId="22814"/>
    <cellStyle name="Обычный 6 7 2 3 4 3" xfId="22815"/>
    <cellStyle name="Обычный 6 7 2 3 4 3 2" xfId="22816"/>
    <cellStyle name="Обычный 6 7 2 3 4 3 3" xfId="22817"/>
    <cellStyle name="Обычный 6 7 2 3 4 4" xfId="22818"/>
    <cellStyle name="Обычный 6 7 2 3 4 4 2" xfId="22819"/>
    <cellStyle name="Обычный 6 7 2 3 4 4 3" xfId="22820"/>
    <cellStyle name="Обычный 6 7 2 3 4 5" xfId="22821"/>
    <cellStyle name="Обычный 6 7 2 3 4 5 2" xfId="22822"/>
    <cellStyle name="Обычный 6 7 2 3 4 6" xfId="22823"/>
    <cellStyle name="Обычный 6 7 2 3 4 7" xfId="22824"/>
    <cellStyle name="Обычный 6 7 2 3 5" xfId="22825"/>
    <cellStyle name="Обычный 6 7 2 3 5 2" xfId="22826"/>
    <cellStyle name="Обычный 6 7 2 3 5 2 2" xfId="22827"/>
    <cellStyle name="Обычный 6 7 2 3 5 2 3" xfId="22828"/>
    <cellStyle name="Обычный 6 7 2 3 5 3" xfId="22829"/>
    <cellStyle name="Обычный 6 7 2 3 5 3 2" xfId="22830"/>
    <cellStyle name="Обычный 6 7 2 3 5 3 3" xfId="22831"/>
    <cellStyle name="Обычный 6 7 2 3 5 4" xfId="22832"/>
    <cellStyle name="Обычный 6 7 2 3 5 4 2" xfId="22833"/>
    <cellStyle name="Обычный 6 7 2 3 5 5" xfId="22834"/>
    <cellStyle name="Обычный 6 7 2 3 5 6" xfId="22835"/>
    <cellStyle name="Обычный 6 7 2 3 6" xfId="22836"/>
    <cellStyle name="Обычный 6 7 2 3 6 2" xfId="22837"/>
    <cellStyle name="Обычный 6 7 2 3 6 3" xfId="22838"/>
    <cellStyle name="Обычный 6 7 2 3 7" xfId="22839"/>
    <cellStyle name="Обычный 6 7 2 3 7 2" xfId="22840"/>
    <cellStyle name="Обычный 6 7 2 3 7 3" xfId="22841"/>
    <cellStyle name="Обычный 6 7 2 3 8" xfId="22842"/>
    <cellStyle name="Обычный 6 7 2 3 8 2" xfId="22843"/>
    <cellStyle name="Обычный 6 7 2 3 9" xfId="22844"/>
    <cellStyle name="Обычный 6 7 2 4" xfId="22845"/>
    <cellStyle name="Обычный 6 7 2 4 10" xfId="22846"/>
    <cellStyle name="Обычный 6 7 2 4 2" xfId="22847"/>
    <cellStyle name="Обычный 6 7 2 4 2 2" xfId="22848"/>
    <cellStyle name="Обычный 6 7 2 4 2 2 2" xfId="22849"/>
    <cellStyle name="Обычный 6 7 2 4 2 2 2 2" xfId="22850"/>
    <cellStyle name="Обычный 6 7 2 4 2 2 2 2 2" xfId="22851"/>
    <cellStyle name="Обычный 6 7 2 4 2 2 2 2 2 2" xfId="22852"/>
    <cellStyle name="Обычный 6 7 2 4 2 2 2 2 2 3" xfId="22853"/>
    <cellStyle name="Обычный 6 7 2 4 2 2 2 2 3" xfId="22854"/>
    <cellStyle name="Обычный 6 7 2 4 2 2 2 2 3 2" xfId="22855"/>
    <cellStyle name="Обычный 6 7 2 4 2 2 2 2 3 3" xfId="22856"/>
    <cellStyle name="Обычный 6 7 2 4 2 2 2 2 4" xfId="22857"/>
    <cellStyle name="Обычный 6 7 2 4 2 2 2 2 4 2" xfId="22858"/>
    <cellStyle name="Обычный 6 7 2 4 2 2 2 2 5" xfId="22859"/>
    <cellStyle name="Обычный 6 7 2 4 2 2 2 2 6" xfId="22860"/>
    <cellStyle name="Обычный 6 7 2 4 2 2 2 3" xfId="22861"/>
    <cellStyle name="Обычный 6 7 2 4 2 2 2 3 2" xfId="22862"/>
    <cellStyle name="Обычный 6 7 2 4 2 2 2 3 3" xfId="22863"/>
    <cellStyle name="Обычный 6 7 2 4 2 2 2 4" xfId="22864"/>
    <cellStyle name="Обычный 6 7 2 4 2 2 2 4 2" xfId="22865"/>
    <cellStyle name="Обычный 6 7 2 4 2 2 2 4 3" xfId="22866"/>
    <cellStyle name="Обычный 6 7 2 4 2 2 2 5" xfId="22867"/>
    <cellStyle name="Обычный 6 7 2 4 2 2 2 5 2" xfId="22868"/>
    <cellStyle name="Обычный 6 7 2 4 2 2 2 6" xfId="22869"/>
    <cellStyle name="Обычный 6 7 2 4 2 2 2 7" xfId="22870"/>
    <cellStyle name="Обычный 6 7 2 4 2 2 3" xfId="22871"/>
    <cellStyle name="Обычный 6 7 2 4 2 2 3 2" xfId="22872"/>
    <cellStyle name="Обычный 6 7 2 4 2 2 3 2 2" xfId="22873"/>
    <cellStyle name="Обычный 6 7 2 4 2 2 3 2 3" xfId="22874"/>
    <cellStyle name="Обычный 6 7 2 4 2 2 3 3" xfId="22875"/>
    <cellStyle name="Обычный 6 7 2 4 2 2 3 3 2" xfId="22876"/>
    <cellStyle name="Обычный 6 7 2 4 2 2 3 3 3" xfId="22877"/>
    <cellStyle name="Обычный 6 7 2 4 2 2 3 4" xfId="22878"/>
    <cellStyle name="Обычный 6 7 2 4 2 2 3 4 2" xfId="22879"/>
    <cellStyle name="Обычный 6 7 2 4 2 2 3 5" xfId="22880"/>
    <cellStyle name="Обычный 6 7 2 4 2 2 3 6" xfId="22881"/>
    <cellStyle name="Обычный 6 7 2 4 2 2 4" xfId="22882"/>
    <cellStyle name="Обычный 6 7 2 4 2 2 4 2" xfId="22883"/>
    <cellStyle name="Обычный 6 7 2 4 2 2 4 3" xfId="22884"/>
    <cellStyle name="Обычный 6 7 2 4 2 2 5" xfId="22885"/>
    <cellStyle name="Обычный 6 7 2 4 2 2 5 2" xfId="22886"/>
    <cellStyle name="Обычный 6 7 2 4 2 2 5 3" xfId="22887"/>
    <cellStyle name="Обычный 6 7 2 4 2 2 6" xfId="22888"/>
    <cellStyle name="Обычный 6 7 2 4 2 2 6 2" xfId="22889"/>
    <cellStyle name="Обычный 6 7 2 4 2 2 7" xfId="22890"/>
    <cellStyle name="Обычный 6 7 2 4 2 2 8" xfId="22891"/>
    <cellStyle name="Обычный 6 7 2 4 2 3" xfId="22892"/>
    <cellStyle name="Обычный 6 7 2 4 2 3 2" xfId="22893"/>
    <cellStyle name="Обычный 6 7 2 4 2 3 2 2" xfId="22894"/>
    <cellStyle name="Обычный 6 7 2 4 2 3 2 2 2" xfId="22895"/>
    <cellStyle name="Обычный 6 7 2 4 2 3 2 2 3" xfId="22896"/>
    <cellStyle name="Обычный 6 7 2 4 2 3 2 3" xfId="22897"/>
    <cellStyle name="Обычный 6 7 2 4 2 3 2 3 2" xfId="22898"/>
    <cellStyle name="Обычный 6 7 2 4 2 3 2 3 3" xfId="22899"/>
    <cellStyle name="Обычный 6 7 2 4 2 3 2 4" xfId="22900"/>
    <cellStyle name="Обычный 6 7 2 4 2 3 2 4 2" xfId="22901"/>
    <cellStyle name="Обычный 6 7 2 4 2 3 2 5" xfId="22902"/>
    <cellStyle name="Обычный 6 7 2 4 2 3 2 6" xfId="22903"/>
    <cellStyle name="Обычный 6 7 2 4 2 3 3" xfId="22904"/>
    <cellStyle name="Обычный 6 7 2 4 2 3 3 2" xfId="22905"/>
    <cellStyle name="Обычный 6 7 2 4 2 3 3 3" xfId="22906"/>
    <cellStyle name="Обычный 6 7 2 4 2 3 4" xfId="22907"/>
    <cellStyle name="Обычный 6 7 2 4 2 3 4 2" xfId="22908"/>
    <cellStyle name="Обычный 6 7 2 4 2 3 4 3" xfId="22909"/>
    <cellStyle name="Обычный 6 7 2 4 2 3 5" xfId="22910"/>
    <cellStyle name="Обычный 6 7 2 4 2 3 5 2" xfId="22911"/>
    <cellStyle name="Обычный 6 7 2 4 2 3 6" xfId="22912"/>
    <cellStyle name="Обычный 6 7 2 4 2 3 7" xfId="22913"/>
    <cellStyle name="Обычный 6 7 2 4 2 4" xfId="22914"/>
    <cellStyle name="Обычный 6 7 2 4 2 4 2" xfId="22915"/>
    <cellStyle name="Обычный 6 7 2 4 2 4 2 2" xfId="22916"/>
    <cellStyle name="Обычный 6 7 2 4 2 4 2 3" xfId="22917"/>
    <cellStyle name="Обычный 6 7 2 4 2 4 3" xfId="22918"/>
    <cellStyle name="Обычный 6 7 2 4 2 4 3 2" xfId="22919"/>
    <cellStyle name="Обычный 6 7 2 4 2 4 3 3" xfId="22920"/>
    <cellStyle name="Обычный 6 7 2 4 2 4 4" xfId="22921"/>
    <cellStyle name="Обычный 6 7 2 4 2 4 4 2" xfId="22922"/>
    <cellStyle name="Обычный 6 7 2 4 2 4 5" xfId="22923"/>
    <cellStyle name="Обычный 6 7 2 4 2 4 6" xfId="22924"/>
    <cellStyle name="Обычный 6 7 2 4 2 5" xfId="22925"/>
    <cellStyle name="Обычный 6 7 2 4 2 5 2" xfId="22926"/>
    <cellStyle name="Обычный 6 7 2 4 2 5 3" xfId="22927"/>
    <cellStyle name="Обычный 6 7 2 4 2 6" xfId="22928"/>
    <cellStyle name="Обычный 6 7 2 4 2 6 2" xfId="22929"/>
    <cellStyle name="Обычный 6 7 2 4 2 6 3" xfId="22930"/>
    <cellStyle name="Обычный 6 7 2 4 2 7" xfId="22931"/>
    <cellStyle name="Обычный 6 7 2 4 2 7 2" xfId="22932"/>
    <cellStyle name="Обычный 6 7 2 4 2 8" xfId="22933"/>
    <cellStyle name="Обычный 6 7 2 4 2 9" xfId="22934"/>
    <cellStyle name="Обычный 6 7 2 4 3" xfId="22935"/>
    <cellStyle name="Обычный 6 7 2 4 3 2" xfId="22936"/>
    <cellStyle name="Обычный 6 7 2 4 3 2 2" xfId="22937"/>
    <cellStyle name="Обычный 6 7 2 4 3 2 2 2" xfId="22938"/>
    <cellStyle name="Обычный 6 7 2 4 3 2 2 2 2" xfId="22939"/>
    <cellStyle name="Обычный 6 7 2 4 3 2 2 2 3" xfId="22940"/>
    <cellStyle name="Обычный 6 7 2 4 3 2 2 3" xfId="22941"/>
    <cellStyle name="Обычный 6 7 2 4 3 2 2 3 2" xfId="22942"/>
    <cellStyle name="Обычный 6 7 2 4 3 2 2 3 3" xfId="22943"/>
    <cellStyle name="Обычный 6 7 2 4 3 2 2 4" xfId="22944"/>
    <cellStyle name="Обычный 6 7 2 4 3 2 2 4 2" xfId="22945"/>
    <cellStyle name="Обычный 6 7 2 4 3 2 2 5" xfId="22946"/>
    <cellStyle name="Обычный 6 7 2 4 3 2 2 6" xfId="22947"/>
    <cellStyle name="Обычный 6 7 2 4 3 2 3" xfId="22948"/>
    <cellStyle name="Обычный 6 7 2 4 3 2 3 2" xfId="22949"/>
    <cellStyle name="Обычный 6 7 2 4 3 2 3 3" xfId="22950"/>
    <cellStyle name="Обычный 6 7 2 4 3 2 4" xfId="22951"/>
    <cellStyle name="Обычный 6 7 2 4 3 2 4 2" xfId="22952"/>
    <cellStyle name="Обычный 6 7 2 4 3 2 4 3" xfId="22953"/>
    <cellStyle name="Обычный 6 7 2 4 3 2 5" xfId="22954"/>
    <cellStyle name="Обычный 6 7 2 4 3 2 5 2" xfId="22955"/>
    <cellStyle name="Обычный 6 7 2 4 3 2 6" xfId="22956"/>
    <cellStyle name="Обычный 6 7 2 4 3 2 7" xfId="22957"/>
    <cellStyle name="Обычный 6 7 2 4 3 3" xfId="22958"/>
    <cellStyle name="Обычный 6 7 2 4 3 3 2" xfId="22959"/>
    <cellStyle name="Обычный 6 7 2 4 3 3 2 2" xfId="22960"/>
    <cellStyle name="Обычный 6 7 2 4 3 3 2 3" xfId="22961"/>
    <cellStyle name="Обычный 6 7 2 4 3 3 3" xfId="22962"/>
    <cellStyle name="Обычный 6 7 2 4 3 3 3 2" xfId="22963"/>
    <cellStyle name="Обычный 6 7 2 4 3 3 3 3" xfId="22964"/>
    <cellStyle name="Обычный 6 7 2 4 3 3 4" xfId="22965"/>
    <cellStyle name="Обычный 6 7 2 4 3 3 4 2" xfId="22966"/>
    <cellStyle name="Обычный 6 7 2 4 3 3 5" xfId="22967"/>
    <cellStyle name="Обычный 6 7 2 4 3 3 6" xfId="22968"/>
    <cellStyle name="Обычный 6 7 2 4 3 4" xfId="22969"/>
    <cellStyle name="Обычный 6 7 2 4 3 4 2" xfId="22970"/>
    <cellStyle name="Обычный 6 7 2 4 3 4 3" xfId="22971"/>
    <cellStyle name="Обычный 6 7 2 4 3 5" xfId="22972"/>
    <cellStyle name="Обычный 6 7 2 4 3 5 2" xfId="22973"/>
    <cellStyle name="Обычный 6 7 2 4 3 5 3" xfId="22974"/>
    <cellStyle name="Обычный 6 7 2 4 3 6" xfId="22975"/>
    <cellStyle name="Обычный 6 7 2 4 3 6 2" xfId="22976"/>
    <cellStyle name="Обычный 6 7 2 4 3 7" xfId="22977"/>
    <cellStyle name="Обычный 6 7 2 4 3 8" xfId="22978"/>
    <cellStyle name="Обычный 6 7 2 4 4" xfId="22979"/>
    <cellStyle name="Обычный 6 7 2 4 4 2" xfId="22980"/>
    <cellStyle name="Обычный 6 7 2 4 4 2 2" xfId="22981"/>
    <cellStyle name="Обычный 6 7 2 4 4 2 2 2" xfId="22982"/>
    <cellStyle name="Обычный 6 7 2 4 4 2 2 3" xfId="22983"/>
    <cellStyle name="Обычный 6 7 2 4 4 2 3" xfId="22984"/>
    <cellStyle name="Обычный 6 7 2 4 4 2 3 2" xfId="22985"/>
    <cellStyle name="Обычный 6 7 2 4 4 2 3 3" xfId="22986"/>
    <cellStyle name="Обычный 6 7 2 4 4 2 4" xfId="22987"/>
    <cellStyle name="Обычный 6 7 2 4 4 2 4 2" xfId="22988"/>
    <cellStyle name="Обычный 6 7 2 4 4 2 5" xfId="22989"/>
    <cellStyle name="Обычный 6 7 2 4 4 2 6" xfId="22990"/>
    <cellStyle name="Обычный 6 7 2 4 4 3" xfId="22991"/>
    <cellStyle name="Обычный 6 7 2 4 4 3 2" xfId="22992"/>
    <cellStyle name="Обычный 6 7 2 4 4 3 3" xfId="22993"/>
    <cellStyle name="Обычный 6 7 2 4 4 4" xfId="22994"/>
    <cellStyle name="Обычный 6 7 2 4 4 4 2" xfId="22995"/>
    <cellStyle name="Обычный 6 7 2 4 4 4 3" xfId="22996"/>
    <cellStyle name="Обычный 6 7 2 4 4 5" xfId="22997"/>
    <cellStyle name="Обычный 6 7 2 4 4 5 2" xfId="22998"/>
    <cellStyle name="Обычный 6 7 2 4 4 6" xfId="22999"/>
    <cellStyle name="Обычный 6 7 2 4 4 7" xfId="23000"/>
    <cellStyle name="Обычный 6 7 2 4 5" xfId="23001"/>
    <cellStyle name="Обычный 6 7 2 4 5 2" xfId="23002"/>
    <cellStyle name="Обычный 6 7 2 4 5 2 2" xfId="23003"/>
    <cellStyle name="Обычный 6 7 2 4 5 2 3" xfId="23004"/>
    <cellStyle name="Обычный 6 7 2 4 5 3" xfId="23005"/>
    <cellStyle name="Обычный 6 7 2 4 5 3 2" xfId="23006"/>
    <cellStyle name="Обычный 6 7 2 4 5 3 3" xfId="23007"/>
    <cellStyle name="Обычный 6 7 2 4 5 4" xfId="23008"/>
    <cellStyle name="Обычный 6 7 2 4 5 4 2" xfId="23009"/>
    <cellStyle name="Обычный 6 7 2 4 5 5" xfId="23010"/>
    <cellStyle name="Обычный 6 7 2 4 5 6" xfId="23011"/>
    <cellStyle name="Обычный 6 7 2 4 6" xfId="23012"/>
    <cellStyle name="Обычный 6 7 2 4 6 2" xfId="23013"/>
    <cellStyle name="Обычный 6 7 2 4 6 3" xfId="23014"/>
    <cellStyle name="Обычный 6 7 2 4 7" xfId="23015"/>
    <cellStyle name="Обычный 6 7 2 4 7 2" xfId="23016"/>
    <cellStyle name="Обычный 6 7 2 4 7 3" xfId="23017"/>
    <cellStyle name="Обычный 6 7 2 4 8" xfId="23018"/>
    <cellStyle name="Обычный 6 7 2 4 8 2" xfId="23019"/>
    <cellStyle name="Обычный 6 7 2 4 9" xfId="23020"/>
    <cellStyle name="Обычный 6 7 2 5" xfId="23021"/>
    <cellStyle name="Обычный 6 7 2 5 2" xfId="23022"/>
    <cellStyle name="Обычный 6 7 2 5 2 2" xfId="23023"/>
    <cellStyle name="Обычный 6 7 2 5 2 2 2" xfId="23024"/>
    <cellStyle name="Обычный 6 7 2 5 2 2 2 2" xfId="23025"/>
    <cellStyle name="Обычный 6 7 2 5 2 2 2 2 2" xfId="23026"/>
    <cellStyle name="Обычный 6 7 2 5 2 2 2 2 3" xfId="23027"/>
    <cellStyle name="Обычный 6 7 2 5 2 2 2 3" xfId="23028"/>
    <cellStyle name="Обычный 6 7 2 5 2 2 2 3 2" xfId="23029"/>
    <cellStyle name="Обычный 6 7 2 5 2 2 2 3 3" xfId="23030"/>
    <cellStyle name="Обычный 6 7 2 5 2 2 2 4" xfId="23031"/>
    <cellStyle name="Обычный 6 7 2 5 2 2 2 4 2" xfId="23032"/>
    <cellStyle name="Обычный 6 7 2 5 2 2 2 5" xfId="23033"/>
    <cellStyle name="Обычный 6 7 2 5 2 2 2 6" xfId="23034"/>
    <cellStyle name="Обычный 6 7 2 5 2 2 3" xfId="23035"/>
    <cellStyle name="Обычный 6 7 2 5 2 2 3 2" xfId="23036"/>
    <cellStyle name="Обычный 6 7 2 5 2 2 3 3" xfId="23037"/>
    <cellStyle name="Обычный 6 7 2 5 2 2 4" xfId="23038"/>
    <cellStyle name="Обычный 6 7 2 5 2 2 4 2" xfId="23039"/>
    <cellStyle name="Обычный 6 7 2 5 2 2 4 3" xfId="23040"/>
    <cellStyle name="Обычный 6 7 2 5 2 2 5" xfId="23041"/>
    <cellStyle name="Обычный 6 7 2 5 2 2 5 2" xfId="23042"/>
    <cellStyle name="Обычный 6 7 2 5 2 2 6" xfId="23043"/>
    <cellStyle name="Обычный 6 7 2 5 2 2 7" xfId="23044"/>
    <cellStyle name="Обычный 6 7 2 5 2 3" xfId="23045"/>
    <cellStyle name="Обычный 6 7 2 5 2 3 2" xfId="23046"/>
    <cellStyle name="Обычный 6 7 2 5 2 3 2 2" xfId="23047"/>
    <cellStyle name="Обычный 6 7 2 5 2 3 2 3" xfId="23048"/>
    <cellStyle name="Обычный 6 7 2 5 2 3 3" xfId="23049"/>
    <cellStyle name="Обычный 6 7 2 5 2 3 3 2" xfId="23050"/>
    <cellStyle name="Обычный 6 7 2 5 2 3 3 3" xfId="23051"/>
    <cellStyle name="Обычный 6 7 2 5 2 3 4" xfId="23052"/>
    <cellStyle name="Обычный 6 7 2 5 2 3 4 2" xfId="23053"/>
    <cellStyle name="Обычный 6 7 2 5 2 3 5" xfId="23054"/>
    <cellStyle name="Обычный 6 7 2 5 2 3 6" xfId="23055"/>
    <cellStyle name="Обычный 6 7 2 5 2 4" xfId="23056"/>
    <cellStyle name="Обычный 6 7 2 5 2 4 2" xfId="23057"/>
    <cellStyle name="Обычный 6 7 2 5 2 4 3" xfId="23058"/>
    <cellStyle name="Обычный 6 7 2 5 2 5" xfId="23059"/>
    <cellStyle name="Обычный 6 7 2 5 2 5 2" xfId="23060"/>
    <cellStyle name="Обычный 6 7 2 5 2 5 3" xfId="23061"/>
    <cellStyle name="Обычный 6 7 2 5 2 6" xfId="23062"/>
    <cellStyle name="Обычный 6 7 2 5 2 6 2" xfId="23063"/>
    <cellStyle name="Обычный 6 7 2 5 2 7" xfId="23064"/>
    <cellStyle name="Обычный 6 7 2 5 2 8" xfId="23065"/>
    <cellStyle name="Обычный 6 7 2 5 3" xfId="23066"/>
    <cellStyle name="Обычный 6 7 2 5 3 2" xfId="23067"/>
    <cellStyle name="Обычный 6 7 2 5 3 2 2" xfId="23068"/>
    <cellStyle name="Обычный 6 7 2 5 3 2 2 2" xfId="23069"/>
    <cellStyle name="Обычный 6 7 2 5 3 2 2 3" xfId="23070"/>
    <cellStyle name="Обычный 6 7 2 5 3 2 3" xfId="23071"/>
    <cellStyle name="Обычный 6 7 2 5 3 2 3 2" xfId="23072"/>
    <cellStyle name="Обычный 6 7 2 5 3 2 3 3" xfId="23073"/>
    <cellStyle name="Обычный 6 7 2 5 3 2 4" xfId="23074"/>
    <cellStyle name="Обычный 6 7 2 5 3 2 4 2" xfId="23075"/>
    <cellStyle name="Обычный 6 7 2 5 3 2 5" xfId="23076"/>
    <cellStyle name="Обычный 6 7 2 5 3 2 6" xfId="23077"/>
    <cellStyle name="Обычный 6 7 2 5 3 3" xfId="23078"/>
    <cellStyle name="Обычный 6 7 2 5 3 3 2" xfId="23079"/>
    <cellStyle name="Обычный 6 7 2 5 3 3 3" xfId="23080"/>
    <cellStyle name="Обычный 6 7 2 5 3 4" xfId="23081"/>
    <cellStyle name="Обычный 6 7 2 5 3 4 2" xfId="23082"/>
    <cellStyle name="Обычный 6 7 2 5 3 4 3" xfId="23083"/>
    <cellStyle name="Обычный 6 7 2 5 3 5" xfId="23084"/>
    <cellStyle name="Обычный 6 7 2 5 3 5 2" xfId="23085"/>
    <cellStyle name="Обычный 6 7 2 5 3 6" xfId="23086"/>
    <cellStyle name="Обычный 6 7 2 5 3 7" xfId="23087"/>
    <cellStyle name="Обычный 6 7 2 5 4" xfId="23088"/>
    <cellStyle name="Обычный 6 7 2 5 4 2" xfId="23089"/>
    <cellStyle name="Обычный 6 7 2 5 4 2 2" xfId="23090"/>
    <cellStyle name="Обычный 6 7 2 5 4 2 3" xfId="23091"/>
    <cellStyle name="Обычный 6 7 2 5 4 3" xfId="23092"/>
    <cellStyle name="Обычный 6 7 2 5 4 3 2" xfId="23093"/>
    <cellStyle name="Обычный 6 7 2 5 4 3 3" xfId="23094"/>
    <cellStyle name="Обычный 6 7 2 5 4 4" xfId="23095"/>
    <cellStyle name="Обычный 6 7 2 5 4 4 2" xfId="23096"/>
    <cellStyle name="Обычный 6 7 2 5 4 5" xfId="23097"/>
    <cellStyle name="Обычный 6 7 2 5 4 6" xfId="23098"/>
    <cellStyle name="Обычный 6 7 2 5 5" xfId="23099"/>
    <cellStyle name="Обычный 6 7 2 5 5 2" xfId="23100"/>
    <cellStyle name="Обычный 6 7 2 5 5 3" xfId="23101"/>
    <cellStyle name="Обычный 6 7 2 5 6" xfId="23102"/>
    <cellStyle name="Обычный 6 7 2 5 6 2" xfId="23103"/>
    <cellStyle name="Обычный 6 7 2 5 6 3" xfId="23104"/>
    <cellStyle name="Обычный 6 7 2 5 7" xfId="23105"/>
    <cellStyle name="Обычный 6 7 2 5 7 2" xfId="23106"/>
    <cellStyle name="Обычный 6 7 2 5 8" xfId="23107"/>
    <cellStyle name="Обычный 6 7 2 5 9" xfId="23108"/>
    <cellStyle name="Обычный 6 7 2 6" xfId="23109"/>
    <cellStyle name="Обычный 6 7 2 6 2" xfId="23110"/>
    <cellStyle name="Обычный 6 7 2 6 2 2" xfId="23111"/>
    <cellStyle name="Обычный 6 7 2 6 2 2 2" xfId="23112"/>
    <cellStyle name="Обычный 6 7 2 6 2 2 2 2" xfId="23113"/>
    <cellStyle name="Обычный 6 7 2 6 2 2 2 3" xfId="23114"/>
    <cellStyle name="Обычный 6 7 2 6 2 2 3" xfId="23115"/>
    <cellStyle name="Обычный 6 7 2 6 2 2 3 2" xfId="23116"/>
    <cellStyle name="Обычный 6 7 2 6 2 2 3 3" xfId="23117"/>
    <cellStyle name="Обычный 6 7 2 6 2 2 4" xfId="23118"/>
    <cellStyle name="Обычный 6 7 2 6 2 2 4 2" xfId="23119"/>
    <cellStyle name="Обычный 6 7 2 6 2 2 5" xfId="23120"/>
    <cellStyle name="Обычный 6 7 2 6 2 2 6" xfId="23121"/>
    <cellStyle name="Обычный 6 7 2 6 2 3" xfId="23122"/>
    <cellStyle name="Обычный 6 7 2 6 2 3 2" xfId="23123"/>
    <cellStyle name="Обычный 6 7 2 6 2 3 3" xfId="23124"/>
    <cellStyle name="Обычный 6 7 2 6 2 4" xfId="23125"/>
    <cellStyle name="Обычный 6 7 2 6 2 4 2" xfId="23126"/>
    <cellStyle name="Обычный 6 7 2 6 2 4 3" xfId="23127"/>
    <cellStyle name="Обычный 6 7 2 6 2 5" xfId="23128"/>
    <cellStyle name="Обычный 6 7 2 6 2 5 2" xfId="23129"/>
    <cellStyle name="Обычный 6 7 2 6 2 6" xfId="23130"/>
    <cellStyle name="Обычный 6 7 2 6 2 7" xfId="23131"/>
    <cellStyle name="Обычный 6 7 2 6 3" xfId="23132"/>
    <cellStyle name="Обычный 6 7 2 6 3 2" xfId="23133"/>
    <cellStyle name="Обычный 6 7 2 6 3 2 2" xfId="23134"/>
    <cellStyle name="Обычный 6 7 2 6 3 2 3" xfId="23135"/>
    <cellStyle name="Обычный 6 7 2 6 3 3" xfId="23136"/>
    <cellStyle name="Обычный 6 7 2 6 3 3 2" xfId="23137"/>
    <cellStyle name="Обычный 6 7 2 6 3 3 3" xfId="23138"/>
    <cellStyle name="Обычный 6 7 2 6 3 4" xfId="23139"/>
    <cellStyle name="Обычный 6 7 2 6 3 4 2" xfId="23140"/>
    <cellStyle name="Обычный 6 7 2 6 3 5" xfId="23141"/>
    <cellStyle name="Обычный 6 7 2 6 3 6" xfId="23142"/>
    <cellStyle name="Обычный 6 7 2 6 4" xfId="23143"/>
    <cellStyle name="Обычный 6 7 2 6 4 2" xfId="23144"/>
    <cellStyle name="Обычный 6 7 2 6 4 3" xfId="23145"/>
    <cellStyle name="Обычный 6 7 2 6 5" xfId="23146"/>
    <cellStyle name="Обычный 6 7 2 6 5 2" xfId="23147"/>
    <cellStyle name="Обычный 6 7 2 6 5 3" xfId="23148"/>
    <cellStyle name="Обычный 6 7 2 6 6" xfId="23149"/>
    <cellStyle name="Обычный 6 7 2 6 6 2" xfId="23150"/>
    <cellStyle name="Обычный 6 7 2 6 7" xfId="23151"/>
    <cellStyle name="Обычный 6 7 2 6 8" xfId="23152"/>
    <cellStyle name="Обычный 6 7 2 7" xfId="23153"/>
    <cellStyle name="Обычный 6 7 2 7 2" xfId="23154"/>
    <cellStyle name="Обычный 6 7 2 7 2 2" xfId="23155"/>
    <cellStyle name="Обычный 6 7 2 7 2 2 2" xfId="23156"/>
    <cellStyle name="Обычный 6 7 2 7 2 2 3" xfId="23157"/>
    <cellStyle name="Обычный 6 7 2 7 2 3" xfId="23158"/>
    <cellStyle name="Обычный 6 7 2 7 2 3 2" xfId="23159"/>
    <cellStyle name="Обычный 6 7 2 7 2 3 3" xfId="23160"/>
    <cellStyle name="Обычный 6 7 2 7 2 4" xfId="23161"/>
    <cellStyle name="Обычный 6 7 2 7 2 4 2" xfId="23162"/>
    <cellStyle name="Обычный 6 7 2 7 2 5" xfId="23163"/>
    <cellStyle name="Обычный 6 7 2 7 2 6" xfId="23164"/>
    <cellStyle name="Обычный 6 7 2 7 3" xfId="23165"/>
    <cellStyle name="Обычный 6 7 2 7 3 2" xfId="23166"/>
    <cellStyle name="Обычный 6 7 2 7 3 3" xfId="23167"/>
    <cellStyle name="Обычный 6 7 2 7 4" xfId="23168"/>
    <cellStyle name="Обычный 6 7 2 7 4 2" xfId="23169"/>
    <cellStyle name="Обычный 6 7 2 7 4 3" xfId="23170"/>
    <cellStyle name="Обычный 6 7 2 7 5" xfId="23171"/>
    <cellStyle name="Обычный 6 7 2 7 5 2" xfId="23172"/>
    <cellStyle name="Обычный 6 7 2 7 6" xfId="23173"/>
    <cellStyle name="Обычный 6 7 2 7 7" xfId="23174"/>
    <cellStyle name="Обычный 6 7 2 8" xfId="23175"/>
    <cellStyle name="Обычный 6 7 2 8 2" xfId="23176"/>
    <cellStyle name="Обычный 6 7 2 8 2 2" xfId="23177"/>
    <cellStyle name="Обычный 6 7 2 8 2 3" xfId="23178"/>
    <cellStyle name="Обычный 6 7 2 8 3" xfId="23179"/>
    <cellStyle name="Обычный 6 7 2 8 3 2" xfId="23180"/>
    <cellStyle name="Обычный 6 7 2 8 3 3" xfId="23181"/>
    <cellStyle name="Обычный 6 7 2 8 4" xfId="23182"/>
    <cellStyle name="Обычный 6 7 2 8 4 2" xfId="23183"/>
    <cellStyle name="Обычный 6 7 2 8 5" xfId="23184"/>
    <cellStyle name="Обычный 6 7 2 8 6" xfId="23185"/>
    <cellStyle name="Обычный 6 7 2 9" xfId="23186"/>
    <cellStyle name="Обычный 6 7 2 9 2" xfId="23187"/>
    <cellStyle name="Обычный 6 7 2 9 3" xfId="23188"/>
    <cellStyle name="Обычный 6 7 3" xfId="23189"/>
    <cellStyle name="Обычный 6 7 3 10" xfId="23190"/>
    <cellStyle name="Обычный 6 7 3 2" xfId="23191"/>
    <cellStyle name="Обычный 6 7 3 2 2" xfId="23192"/>
    <cellStyle name="Обычный 6 7 3 2 2 2" xfId="23193"/>
    <cellStyle name="Обычный 6 7 3 2 2 2 2" xfId="23194"/>
    <cellStyle name="Обычный 6 7 3 2 2 2 2 2" xfId="23195"/>
    <cellStyle name="Обычный 6 7 3 2 2 2 2 2 2" xfId="23196"/>
    <cellStyle name="Обычный 6 7 3 2 2 2 2 2 3" xfId="23197"/>
    <cellStyle name="Обычный 6 7 3 2 2 2 2 3" xfId="23198"/>
    <cellStyle name="Обычный 6 7 3 2 2 2 2 3 2" xfId="23199"/>
    <cellStyle name="Обычный 6 7 3 2 2 2 2 3 3" xfId="23200"/>
    <cellStyle name="Обычный 6 7 3 2 2 2 2 4" xfId="23201"/>
    <cellStyle name="Обычный 6 7 3 2 2 2 2 4 2" xfId="23202"/>
    <cellStyle name="Обычный 6 7 3 2 2 2 2 5" xfId="23203"/>
    <cellStyle name="Обычный 6 7 3 2 2 2 2 6" xfId="23204"/>
    <cellStyle name="Обычный 6 7 3 2 2 2 3" xfId="23205"/>
    <cellStyle name="Обычный 6 7 3 2 2 2 3 2" xfId="23206"/>
    <cellStyle name="Обычный 6 7 3 2 2 2 3 3" xfId="23207"/>
    <cellStyle name="Обычный 6 7 3 2 2 2 4" xfId="23208"/>
    <cellStyle name="Обычный 6 7 3 2 2 2 4 2" xfId="23209"/>
    <cellStyle name="Обычный 6 7 3 2 2 2 4 3" xfId="23210"/>
    <cellStyle name="Обычный 6 7 3 2 2 2 5" xfId="23211"/>
    <cellStyle name="Обычный 6 7 3 2 2 2 5 2" xfId="23212"/>
    <cellStyle name="Обычный 6 7 3 2 2 2 6" xfId="23213"/>
    <cellStyle name="Обычный 6 7 3 2 2 2 7" xfId="23214"/>
    <cellStyle name="Обычный 6 7 3 2 2 3" xfId="23215"/>
    <cellStyle name="Обычный 6 7 3 2 2 3 2" xfId="23216"/>
    <cellStyle name="Обычный 6 7 3 2 2 3 2 2" xfId="23217"/>
    <cellStyle name="Обычный 6 7 3 2 2 3 2 3" xfId="23218"/>
    <cellStyle name="Обычный 6 7 3 2 2 3 3" xfId="23219"/>
    <cellStyle name="Обычный 6 7 3 2 2 3 3 2" xfId="23220"/>
    <cellStyle name="Обычный 6 7 3 2 2 3 3 3" xfId="23221"/>
    <cellStyle name="Обычный 6 7 3 2 2 3 4" xfId="23222"/>
    <cellStyle name="Обычный 6 7 3 2 2 3 4 2" xfId="23223"/>
    <cellStyle name="Обычный 6 7 3 2 2 3 5" xfId="23224"/>
    <cellStyle name="Обычный 6 7 3 2 2 3 6" xfId="23225"/>
    <cellStyle name="Обычный 6 7 3 2 2 4" xfId="23226"/>
    <cellStyle name="Обычный 6 7 3 2 2 4 2" xfId="23227"/>
    <cellStyle name="Обычный 6 7 3 2 2 4 3" xfId="23228"/>
    <cellStyle name="Обычный 6 7 3 2 2 5" xfId="23229"/>
    <cellStyle name="Обычный 6 7 3 2 2 5 2" xfId="23230"/>
    <cellStyle name="Обычный 6 7 3 2 2 5 3" xfId="23231"/>
    <cellStyle name="Обычный 6 7 3 2 2 6" xfId="23232"/>
    <cellStyle name="Обычный 6 7 3 2 2 6 2" xfId="23233"/>
    <cellStyle name="Обычный 6 7 3 2 2 7" xfId="23234"/>
    <cellStyle name="Обычный 6 7 3 2 2 8" xfId="23235"/>
    <cellStyle name="Обычный 6 7 3 2 3" xfId="23236"/>
    <cellStyle name="Обычный 6 7 3 2 3 2" xfId="23237"/>
    <cellStyle name="Обычный 6 7 3 2 3 2 2" xfId="23238"/>
    <cellStyle name="Обычный 6 7 3 2 3 2 2 2" xfId="23239"/>
    <cellStyle name="Обычный 6 7 3 2 3 2 2 3" xfId="23240"/>
    <cellStyle name="Обычный 6 7 3 2 3 2 3" xfId="23241"/>
    <cellStyle name="Обычный 6 7 3 2 3 2 3 2" xfId="23242"/>
    <cellStyle name="Обычный 6 7 3 2 3 2 3 3" xfId="23243"/>
    <cellStyle name="Обычный 6 7 3 2 3 2 4" xfId="23244"/>
    <cellStyle name="Обычный 6 7 3 2 3 2 4 2" xfId="23245"/>
    <cellStyle name="Обычный 6 7 3 2 3 2 5" xfId="23246"/>
    <cellStyle name="Обычный 6 7 3 2 3 2 6" xfId="23247"/>
    <cellStyle name="Обычный 6 7 3 2 3 3" xfId="23248"/>
    <cellStyle name="Обычный 6 7 3 2 3 3 2" xfId="23249"/>
    <cellStyle name="Обычный 6 7 3 2 3 3 3" xfId="23250"/>
    <cellStyle name="Обычный 6 7 3 2 3 4" xfId="23251"/>
    <cellStyle name="Обычный 6 7 3 2 3 4 2" xfId="23252"/>
    <cellStyle name="Обычный 6 7 3 2 3 4 3" xfId="23253"/>
    <cellStyle name="Обычный 6 7 3 2 3 5" xfId="23254"/>
    <cellStyle name="Обычный 6 7 3 2 3 5 2" xfId="23255"/>
    <cellStyle name="Обычный 6 7 3 2 3 6" xfId="23256"/>
    <cellStyle name="Обычный 6 7 3 2 3 7" xfId="23257"/>
    <cellStyle name="Обычный 6 7 3 2 4" xfId="23258"/>
    <cellStyle name="Обычный 6 7 3 2 4 2" xfId="23259"/>
    <cellStyle name="Обычный 6 7 3 2 4 2 2" xfId="23260"/>
    <cellStyle name="Обычный 6 7 3 2 4 2 3" xfId="23261"/>
    <cellStyle name="Обычный 6 7 3 2 4 3" xfId="23262"/>
    <cellStyle name="Обычный 6 7 3 2 4 3 2" xfId="23263"/>
    <cellStyle name="Обычный 6 7 3 2 4 3 3" xfId="23264"/>
    <cellStyle name="Обычный 6 7 3 2 4 4" xfId="23265"/>
    <cellStyle name="Обычный 6 7 3 2 4 4 2" xfId="23266"/>
    <cellStyle name="Обычный 6 7 3 2 4 5" xfId="23267"/>
    <cellStyle name="Обычный 6 7 3 2 4 6" xfId="23268"/>
    <cellStyle name="Обычный 6 7 3 2 5" xfId="23269"/>
    <cellStyle name="Обычный 6 7 3 2 5 2" xfId="23270"/>
    <cellStyle name="Обычный 6 7 3 2 5 3" xfId="23271"/>
    <cellStyle name="Обычный 6 7 3 2 6" xfId="23272"/>
    <cellStyle name="Обычный 6 7 3 2 6 2" xfId="23273"/>
    <cellStyle name="Обычный 6 7 3 2 6 3" xfId="23274"/>
    <cellStyle name="Обычный 6 7 3 2 7" xfId="23275"/>
    <cellStyle name="Обычный 6 7 3 2 7 2" xfId="23276"/>
    <cellStyle name="Обычный 6 7 3 2 8" xfId="23277"/>
    <cellStyle name="Обычный 6 7 3 2 9" xfId="23278"/>
    <cellStyle name="Обычный 6 7 3 3" xfId="23279"/>
    <cellStyle name="Обычный 6 7 3 3 2" xfId="23280"/>
    <cellStyle name="Обычный 6 7 3 3 2 2" xfId="23281"/>
    <cellStyle name="Обычный 6 7 3 3 2 2 2" xfId="23282"/>
    <cellStyle name="Обычный 6 7 3 3 2 2 2 2" xfId="23283"/>
    <cellStyle name="Обычный 6 7 3 3 2 2 2 3" xfId="23284"/>
    <cellStyle name="Обычный 6 7 3 3 2 2 3" xfId="23285"/>
    <cellStyle name="Обычный 6 7 3 3 2 2 3 2" xfId="23286"/>
    <cellStyle name="Обычный 6 7 3 3 2 2 3 3" xfId="23287"/>
    <cellStyle name="Обычный 6 7 3 3 2 2 4" xfId="23288"/>
    <cellStyle name="Обычный 6 7 3 3 2 2 4 2" xfId="23289"/>
    <cellStyle name="Обычный 6 7 3 3 2 2 5" xfId="23290"/>
    <cellStyle name="Обычный 6 7 3 3 2 2 6" xfId="23291"/>
    <cellStyle name="Обычный 6 7 3 3 2 3" xfId="23292"/>
    <cellStyle name="Обычный 6 7 3 3 2 3 2" xfId="23293"/>
    <cellStyle name="Обычный 6 7 3 3 2 3 3" xfId="23294"/>
    <cellStyle name="Обычный 6 7 3 3 2 4" xfId="23295"/>
    <cellStyle name="Обычный 6 7 3 3 2 4 2" xfId="23296"/>
    <cellStyle name="Обычный 6 7 3 3 2 4 3" xfId="23297"/>
    <cellStyle name="Обычный 6 7 3 3 2 5" xfId="23298"/>
    <cellStyle name="Обычный 6 7 3 3 2 5 2" xfId="23299"/>
    <cellStyle name="Обычный 6 7 3 3 2 6" xfId="23300"/>
    <cellStyle name="Обычный 6 7 3 3 2 7" xfId="23301"/>
    <cellStyle name="Обычный 6 7 3 3 3" xfId="23302"/>
    <cellStyle name="Обычный 6 7 3 3 3 2" xfId="23303"/>
    <cellStyle name="Обычный 6 7 3 3 3 2 2" xfId="23304"/>
    <cellStyle name="Обычный 6 7 3 3 3 2 3" xfId="23305"/>
    <cellStyle name="Обычный 6 7 3 3 3 3" xfId="23306"/>
    <cellStyle name="Обычный 6 7 3 3 3 3 2" xfId="23307"/>
    <cellStyle name="Обычный 6 7 3 3 3 3 3" xfId="23308"/>
    <cellStyle name="Обычный 6 7 3 3 3 4" xfId="23309"/>
    <cellStyle name="Обычный 6 7 3 3 3 4 2" xfId="23310"/>
    <cellStyle name="Обычный 6 7 3 3 3 5" xfId="23311"/>
    <cellStyle name="Обычный 6 7 3 3 3 6" xfId="23312"/>
    <cellStyle name="Обычный 6 7 3 3 4" xfId="23313"/>
    <cellStyle name="Обычный 6 7 3 3 4 2" xfId="23314"/>
    <cellStyle name="Обычный 6 7 3 3 4 3" xfId="23315"/>
    <cellStyle name="Обычный 6 7 3 3 5" xfId="23316"/>
    <cellStyle name="Обычный 6 7 3 3 5 2" xfId="23317"/>
    <cellStyle name="Обычный 6 7 3 3 5 3" xfId="23318"/>
    <cellStyle name="Обычный 6 7 3 3 6" xfId="23319"/>
    <cellStyle name="Обычный 6 7 3 3 6 2" xfId="23320"/>
    <cellStyle name="Обычный 6 7 3 3 7" xfId="23321"/>
    <cellStyle name="Обычный 6 7 3 3 8" xfId="23322"/>
    <cellStyle name="Обычный 6 7 3 4" xfId="23323"/>
    <cellStyle name="Обычный 6 7 3 4 2" xfId="23324"/>
    <cellStyle name="Обычный 6 7 3 4 2 2" xfId="23325"/>
    <cellStyle name="Обычный 6 7 3 4 2 2 2" xfId="23326"/>
    <cellStyle name="Обычный 6 7 3 4 2 2 3" xfId="23327"/>
    <cellStyle name="Обычный 6 7 3 4 2 3" xfId="23328"/>
    <cellStyle name="Обычный 6 7 3 4 2 3 2" xfId="23329"/>
    <cellStyle name="Обычный 6 7 3 4 2 3 3" xfId="23330"/>
    <cellStyle name="Обычный 6 7 3 4 2 4" xfId="23331"/>
    <cellStyle name="Обычный 6 7 3 4 2 4 2" xfId="23332"/>
    <cellStyle name="Обычный 6 7 3 4 2 5" xfId="23333"/>
    <cellStyle name="Обычный 6 7 3 4 2 6" xfId="23334"/>
    <cellStyle name="Обычный 6 7 3 4 3" xfId="23335"/>
    <cellStyle name="Обычный 6 7 3 4 3 2" xfId="23336"/>
    <cellStyle name="Обычный 6 7 3 4 3 3" xfId="23337"/>
    <cellStyle name="Обычный 6 7 3 4 4" xfId="23338"/>
    <cellStyle name="Обычный 6 7 3 4 4 2" xfId="23339"/>
    <cellStyle name="Обычный 6 7 3 4 4 3" xfId="23340"/>
    <cellStyle name="Обычный 6 7 3 4 5" xfId="23341"/>
    <cellStyle name="Обычный 6 7 3 4 5 2" xfId="23342"/>
    <cellStyle name="Обычный 6 7 3 4 6" xfId="23343"/>
    <cellStyle name="Обычный 6 7 3 4 7" xfId="23344"/>
    <cellStyle name="Обычный 6 7 3 5" xfId="23345"/>
    <cellStyle name="Обычный 6 7 3 5 2" xfId="23346"/>
    <cellStyle name="Обычный 6 7 3 5 2 2" xfId="23347"/>
    <cellStyle name="Обычный 6 7 3 5 2 3" xfId="23348"/>
    <cellStyle name="Обычный 6 7 3 5 3" xfId="23349"/>
    <cellStyle name="Обычный 6 7 3 5 3 2" xfId="23350"/>
    <cellStyle name="Обычный 6 7 3 5 3 3" xfId="23351"/>
    <cellStyle name="Обычный 6 7 3 5 4" xfId="23352"/>
    <cellStyle name="Обычный 6 7 3 5 4 2" xfId="23353"/>
    <cellStyle name="Обычный 6 7 3 5 5" xfId="23354"/>
    <cellStyle name="Обычный 6 7 3 5 6" xfId="23355"/>
    <cellStyle name="Обычный 6 7 3 6" xfId="23356"/>
    <cellStyle name="Обычный 6 7 3 6 2" xfId="23357"/>
    <cellStyle name="Обычный 6 7 3 6 3" xfId="23358"/>
    <cellStyle name="Обычный 6 7 3 7" xfId="23359"/>
    <cellStyle name="Обычный 6 7 3 7 2" xfId="23360"/>
    <cellStyle name="Обычный 6 7 3 7 3" xfId="23361"/>
    <cellStyle name="Обычный 6 7 3 8" xfId="23362"/>
    <cellStyle name="Обычный 6 7 3 8 2" xfId="23363"/>
    <cellStyle name="Обычный 6 7 3 9" xfId="23364"/>
    <cellStyle name="Обычный 6 7 4" xfId="23365"/>
    <cellStyle name="Обычный 6 7 4 10" xfId="23366"/>
    <cellStyle name="Обычный 6 7 4 2" xfId="23367"/>
    <cellStyle name="Обычный 6 7 4 2 2" xfId="23368"/>
    <cellStyle name="Обычный 6 7 4 2 2 2" xfId="23369"/>
    <cellStyle name="Обычный 6 7 4 2 2 2 2" xfId="23370"/>
    <cellStyle name="Обычный 6 7 4 2 2 2 2 2" xfId="23371"/>
    <cellStyle name="Обычный 6 7 4 2 2 2 2 2 2" xfId="23372"/>
    <cellStyle name="Обычный 6 7 4 2 2 2 2 2 3" xfId="23373"/>
    <cellStyle name="Обычный 6 7 4 2 2 2 2 3" xfId="23374"/>
    <cellStyle name="Обычный 6 7 4 2 2 2 2 3 2" xfId="23375"/>
    <cellStyle name="Обычный 6 7 4 2 2 2 2 3 3" xfId="23376"/>
    <cellStyle name="Обычный 6 7 4 2 2 2 2 4" xfId="23377"/>
    <cellStyle name="Обычный 6 7 4 2 2 2 2 4 2" xfId="23378"/>
    <cellStyle name="Обычный 6 7 4 2 2 2 2 5" xfId="23379"/>
    <cellStyle name="Обычный 6 7 4 2 2 2 2 6" xfId="23380"/>
    <cellStyle name="Обычный 6 7 4 2 2 2 3" xfId="23381"/>
    <cellStyle name="Обычный 6 7 4 2 2 2 3 2" xfId="23382"/>
    <cellStyle name="Обычный 6 7 4 2 2 2 3 3" xfId="23383"/>
    <cellStyle name="Обычный 6 7 4 2 2 2 4" xfId="23384"/>
    <cellStyle name="Обычный 6 7 4 2 2 2 4 2" xfId="23385"/>
    <cellStyle name="Обычный 6 7 4 2 2 2 4 3" xfId="23386"/>
    <cellStyle name="Обычный 6 7 4 2 2 2 5" xfId="23387"/>
    <cellStyle name="Обычный 6 7 4 2 2 2 5 2" xfId="23388"/>
    <cellStyle name="Обычный 6 7 4 2 2 2 6" xfId="23389"/>
    <cellStyle name="Обычный 6 7 4 2 2 2 7" xfId="23390"/>
    <cellStyle name="Обычный 6 7 4 2 2 3" xfId="23391"/>
    <cellStyle name="Обычный 6 7 4 2 2 3 2" xfId="23392"/>
    <cellStyle name="Обычный 6 7 4 2 2 3 2 2" xfId="23393"/>
    <cellStyle name="Обычный 6 7 4 2 2 3 2 3" xfId="23394"/>
    <cellStyle name="Обычный 6 7 4 2 2 3 3" xfId="23395"/>
    <cellStyle name="Обычный 6 7 4 2 2 3 3 2" xfId="23396"/>
    <cellStyle name="Обычный 6 7 4 2 2 3 3 3" xfId="23397"/>
    <cellStyle name="Обычный 6 7 4 2 2 3 4" xfId="23398"/>
    <cellStyle name="Обычный 6 7 4 2 2 3 4 2" xfId="23399"/>
    <cellStyle name="Обычный 6 7 4 2 2 3 5" xfId="23400"/>
    <cellStyle name="Обычный 6 7 4 2 2 3 6" xfId="23401"/>
    <cellStyle name="Обычный 6 7 4 2 2 4" xfId="23402"/>
    <cellStyle name="Обычный 6 7 4 2 2 4 2" xfId="23403"/>
    <cellStyle name="Обычный 6 7 4 2 2 4 3" xfId="23404"/>
    <cellStyle name="Обычный 6 7 4 2 2 5" xfId="23405"/>
    <cellStyle name="Обычный 6 7 4 2 2 5 2" xfId="23406"/>
    <cellStyle name="Обычный 6 7 4 2 2 5 3" xfId="23407"/>
    <cellStyle name="Обычный 6 7 4 2 2 6" xfId="23408"/>
    <cellStyle name="Обычный 6 7 4 2 2 6 2" xfId="23409"/>
    <cellStyle name="Обычный 6 7 4 2 2 7" xfId="23410"/>
    <cellStyle name="Обычный 6 7 4 2 2 8" xfId="23411"/>
    <cellStyle name="Обычный 6 7 4 2 3" xfId="23412"/>
    <cellStyle name="Обычный 6 7 4 2 3 2" xfId="23413"/>
    <cellStyle name="Обычный 6 7 4 2 3 2 2" xfId="23414"/>
    <cellStyle name="Обычный 6 7 4 2 3 2 2 2" xfId="23415"/>
    <cellStyle name="Обычный 6 7 4 2 3 2 2 3" xfId="23416"/>
    <cellStyle name="Обычный 6 7 4 2 3 2 3" xfId="23417"/>
    <cellStyle name="Обычный 6 7 4 2 3 2 3 2" xfId="23418"/>
    <cellStyle name="Обычный 6 7 4 2 3 2 3 3" xfId="23419"/>
    <cellStyle name="Обычный 6 7 4 2 3 2 4" xfId="23420"/>
    <cellStyle name="Обычный 6 7 4 2 3 2 4 2" xfId="23421"/>
    <cellStyle name="Обычный 6 7 4 2 3 2 5" xfId="23422"/>
    <cellStyle name="Обычный 6 7 4 2 3 2 6" xfId="23423"/>
    <cellStyle name="Обычный 6 7 4 2 3 3" xfId="23424"/>
    <cellStyle name="Обычный 6 7 4 2 3 3 2" xfId="23425"/>
    <cellStyle name="Обычный 6 7 4 2 3 3 3" xfId="23426"/>
    <cellStyle name="Обычный 6 7 4 2 3 4" xfId="23427"/>
    <cellStyle name="Обычный 6 7 4 2 3 4 2" xfId="23428"/>
    <cellStyle name="Обычный 6 7 4 2 3 4 3" xfId="23429"/>
    <cellStyle name="Обычный 6 7 4 2 3 5" xfId="23430"/>
    <cellStyle name="Обычный 6 7 4 2 3 5 2" xfId="23431"/>
    <cellStyle name="Обычный 6 7 4 2 3 6" xfId="23432"/>
    <cellStyle name="Обычный 6 7 4 2 3 7" xfId="23433"/>
    <cellStyle name="Обычный 6 7 4 2 4" xfId="23434"/>
    <cellStyle name="Обычный 6 7 4 2 4 2" xfId="23435"/>
    <cellStyle name="Обычный 6 7 4 2 4 2 2" xfId="23436"/>
    <cellStyle name="Обычный 6 7 4 2 4 2 3" xfId="23437"/>
    <cellStyle name="Обычный 6 7 4 2 4 3" xfId="23438"/>
    <cellStyle name="Обычный 6 7 4 2 4 3 2" xfId="23439"/>
    <cellStyle name="Обычный 6 7 4 2 4 3 3" xfId="23440"/>
    <cellStyle name="Обычный 6 7 4 2 4 4" xfId="23441"/>
    <cellStyle name="Обычный 6 7 4 2 4 4 2" xfId="23442"/>
    <cellStyle name="Обычный 6 7 4 2 4 5" xfId="23443"/>
    <cellStyle name="Обычный 6 7 4 2 4 6" xfId="23444"/>
    <cellStyle name="Обычный 6 7 4 2 5" xfId="23445"/>
    <cellStyle name="Обычный 6 7 4 2 5 2" xfId="23446"/>
    <cellStyle name="Обычный 6 7 4 2 5 3" xfId="23447"/>
    <cellStyle name="Обычный 6 7 4 2 6" xfId="23448"/>
    <cellStyle name="Обычный 6 7 4 2 6 2" xfId="23449"/>
    <cellStyle name="Обычный 6 7 4 2 6 3" xfId="23450"/>
    <cellStyle name="Обычный 6 7 4 2 7" xfId="23451"/>
    <cellStyle name="Обычный 6 7 4 2 7 2" xfId="23452"/>
    <cellStyle name="Обычный 6 7 4 2 8" xfId="23453"/>
    <cellStyle name="Обычный 6 7 4 2 9" xfId="23454"/>
    <cellStyle name="Обычный 6 7 4 3" xfId="23455"/>
    <cellStyle name="Обычный 6 7 4 3 2" xfId="23456"/>
    <cellStyle name="Обычный 6 7 4 3 2 2" xfId="23457"/>
    <cellStyle name="Обычный 6 7 4 3 2 2 2" xfId="23458"/>
    <cellStyle name="Обычный 6 7 4 3 2 2 2 2" xfId="23459"/>
    <cellStyle name="Обычный 6 7 4 3 2 2 2 3" xfId="23460"/>
    <cellStyle name="Обычный 6 7 4 3 2 2 3" xfId="23461"/>
    <cellStyle name="Обычный 6 7 4 3 2 2 3 2" xfId="23462"/>
    <cellStyle name="Обычный 6 7 4 3 2 2 3 3" xfId="23463"/>
    <cellStyle name="Обычный 6 7 4 3 2 2 4" xfId="23464"/>
    <cellStyle name="Обычный 6 7 4 3 2 2 4 2" xfId="23465"/>
    <cellStyle name="Обычный 6 7 4 3 2 2 5" xfId="23466"/>
    <cellStyle name="Обычный 6 7 4 3 2 2 6" xfId="23467"/>
    <cellStyle name="Обычный 6 7 4 3 2 3" xfId="23468"/>
    <cellStyle name="Обычный 6 7 4 3 2 3 2" xfId="23469"/>
    <cellStyle name="Обычный 6 7 4 3 2 3 3" xfId="23470"/>
    <cellStyle name="Обычный 6 7 4 3 2 4" xfId="23471"/>
    <cellStyle name="Обычный 6 7 4 3 2 4 2" xfId="23472"/>
    <cellStyle name="Обычный 6 7 4 3 2 4 3" xfId="23473"/>
    <cellStyle name="Обычный 6 7 4 3 2 5" xfId="23474"/>
    <cellStyle name="Обычный 6 7 4 3 2 5 2" xfId="23475"/>
    <cellStyle name="Обычный 6 7 4 3 2 6" xfId="23476"/>
    <cellStyle name="Обычный 6 7 4 3 2 7" xfId="23477"/>
    <cellStyle name="Обычный 6 7 4 3 3" xfId="23478"/>
    <cellStyle name="Обычный 6 7 4 3 3 2" xfId="23479"/>
    <cellStyle name="Обычный 6 7 4 3 3 2 2" xfId="23480"/>
    <cellStyle name="Обычный 6 7 4 3 3 2 3" xfId="23481"/>
    <cellStyle name="Обычный 6 7 4 3 3 3" xfId="23482"/>
    <cellStyle name="Обычный 6 7 4 3 3 3 2" xfId="23483"/>
    <cellStyle name="Обычный 6 7 4 3 3 3 3" xfId="23484"/>
    <cellStyle name="Обычный 6 7 4 3 3 4" xfId="23485"/>
    <cellStyle name="Обычный 6 7 4 3 3 4 2" xfId="23486"/>
    <cellStyle name="Обычный 6 7 4 3 3 5" xfId="23487"/>
    <cellStyle name="Обычный 6 7 4 3 3 6" xfId="23488"/>
    <cellStyle name="Обычный 6 7 4 3 4" xfId="23489"/>
    <cellStyle name="Обычный 6 7 4 3 4 2" xfId="23490"/>
    <cellStyle name="Обычный 6 7 4 3 4 3" xfId="23491"/>
    <cellStyle name="Обычный 6 7 4 3 5" xfId="23492"/>
    <cellStyle name="Обычный 6 7 4 3 5 2" xfId="23493"/>
    <cellStyle name="Обычный 6 7 4 3 5 3" xfId="23494"/>
    <cellStyle name="Обычный 6 7 4 3 6" xfId="23495"/>
    <cellStyle name="Обычный 6 7 4 3 6 2" xfId="23496"/>
    <cellStyle name="Обычный 6 7 4 3 7" xfId="23497"/>
    <cellStyle name="Обычный 6 7 4 3 8" xfId="23498"/>
    <cellStyle name="Обычный 6 7 4 4" xfId="23499"/>
    <cellStyle name="Обычный 6 7 4 4 2" xfId="23500"/>
    <cellStyle name="Обычный 6 7 4 4 2 2" xfId="23501"/>
    <cellStyle name="Обычный 6 7 4 4 2 2 2" xfId="23502"/>
    <cellStyle name="Обычный 6 7 4 4 2 2 3" xfId="23503"/>
    <cellStyle name="Обычный 6 7 4 4 2 3" xfId="23504"/>
    <cellStyle name="Обычный 6 7 4 4 2 3 2" xfId="23505"/>
    <cellStyle name="Обычный 6 7 4 4 2 3 3" xfId="23506"/>
    <cellStyle name="Обычный 6 7 4 4 2 4" xfId="23507"/>
    <cellStyle name="Обычный 6 7 4 4 2 4 2" xfId="23508"/>
    <cellStyle name="Обычный 6 7 4 4 2 5" xfId="23509"/>
    <cellStyle name="Обычный 6 7 4 4 2 6" xfId="23510"/>
    <cellStyle name="Обычный 6 7 4 4 3" xfId="23511"/>
    <cellStyle name="Обычный 6 7 4 4 3 2" xfId="23512"/>
    <cellStyle name="Обычный 6 7 4 4 3 3" xfId="23513"/>
    <cellStyle name="Обычный 6 7 4 4 4" xfId="23514"/>
    <cellStyle name="Обычный 6 7 4 4 4 2" xfId="23515"/>
    <cellStyle name="Обычный 6 7 4 4 4 3" xfId="23516"/>
    <cellStyle name="Обычный 6 7 4 4 5" xfId="23517"/>
    <cellStyle name="Обычный 6 7 4 4 5 2" xfId="23518"/>
    <cellStyle name="Обычный 6 7 4 4 6" xfId="23519"/>
    <cellStyle name="Обычный 6 7 4 4 7" xfId="23520"/>
    <cellStyle name="Обычный 6 7 4 5" xfId="23521"/>
    <cellStyle name="Обычный 6 7 4 5 2" xfId="23522"/>
    <cellStyle name="Обычный 6 7 4 5 2 2" xfId="23523"/>
    <cellStyle name="Обычный 6 7 4 5 2 3" xfId="23524"/>
    <cellStyle name="Обычный 6 7 4 5 3" xfId="23525"/>
    <cellStyle name="Обычный 6 7 4 5 3 2" xfId="23526"/>
    <cellStyle name="Обычный 6 7 4 5 3 3" xfId="23527"/>
    <cellStyle name="Обычный 6 7 4 5 4" xfId="23528"/>
    <cellStyle name="Обычный 6 7 4 5 4 2" xfId="23529"/>
    <cellStyle name="Обычный 6 7 4 5 5" xfId="23530"/>
    <cellStyle name="Обычный 6 7 4 5 6" xfId="23531"/>
    <cellStyle name="Обычный 6 7 4 6" xfId="23532"/>
    <cellStyle name="Обычный 6 7 4 6 2" xfId="23533"/>
    <cellStyle name="Обычный 6 7 4 6 3" xfId="23534"/>
    <cellStyle name="Обычный 6 7 4 7" xfId="23535"/>
    <cellStyle name="Обычный 6 7 4 7 2" xfId="23536"/>
    <cellStyle name="Обычный 6 7 4 7 3" xfId="23537"/>
    <cellStyle name="Обычный 6 7 4 8" xfId="23538"/>
    <cellStyle name="Обычный 6 7 4 8 2" xfId="23539"/>
    <cellStyle name="Обычный 6 7 4 9" xfId="23540"/>
    <cellStyle name="Обычный 6 7 5" xfId="23541"/>
    <cellStyle name="Обычный 6 7 5 10" xfId="23542"/>
    <cellStyle name="Обычный 6 7 5 2" xfId="23543"/>
    <cellStyle name="Обычный 6 7 5 2 2" xfId="23544"/>
    <cellStyle name="Обычный 6 7 5 2 2 2" xfId="23545"/>
    <cellStyle name="Обычный 6 7 5 2 2 2 2" xfId="23546"/>
    <cellStyle name="Обычный 6 7 5 2 2 2 2 2" xfId="23547"/>
    <cellStyle name="Обычный 6 7 5 2 2 2 2 2 2" xfId="23548"/>
    <cellStyle name="Обычный 6 7 5 2 2 2 2 2 3" xfId="23549"/>
    <cellStyle name="Обычный 6 7 5 2 2 2 2 3" xfId="23550"/>
    <cellStyle name="Обычный 6 7 5 2 2 2 2 3 2" xfId="23551"/>
    <cellStyle name="Обычный 6 7 5 2 2 2 2 3 3" xfId="23552"/>
    <cellStyle name="Обычный 6 7 5 2 2 2 2 4" xfId="23553"/>
    <cellStyle name="Обычный 6 7 5 2 2 2 2 4 2" xfId="23554"/>
    <cellStyle name="Обычный 6 7 5 2 2 2 2 5" xfId="23555"/>
    <cellStyle name="Обычный 6 7 5 2 2 2 2 6" xfId="23556"/>
    <cellStyle name="Обычный 6 7 5 2 2 2 3" xfId="23557"/>
    <cellStyle name="Обычный 6 7 5 2 2 2 3 2" xfId="23558"/>
    <cellStyle name="Обычный 6 7 5 2 2 2 3 3" xfId="23559"/>
    <cellStyle name="Обычный 6 7 5 2 2 2 4" xfId="23560"/>
    <cellStyle name="Обычный 6 7 5 2 2 2 4 2" xfId="23561"/>
    <cellStyle name="Обычный 6 7 5 2 2 2 4 3" xfId="23562"/>
    <cellStyle name="Обычный 6 7 5 2 2 2 5" xfId="23563"/>
    <cellStyle name="Обычный 6 7 5 2 2 2 5 2" xfId="23564"/>
    <cellStyle name="Обычный 6 7 5 2 2 2 6" xfId="23565"/>
    <cellStyle name="Обычный 6 7 5 2 2 2 7" xfId="23566"/>
    <cellStyle name="Обычный 6 7 5 2 2 3" xfId="23567"/>
    <cellStyle name="Обычный 6 7 5 2 2 3 2" xfId="23568"/>
    <cellStyle name="Обычный 6 7 5 2 2 3 2 2" xfId="23569"/>
    <cellStyle name="Обычный 6 7 5 2 2 3 2 3" xfId="23570"/>
    <cellStyle name="Обычный 6 7 5 2 2 3 3" xfId="23571"/>
    <cellStyle name="Обычный 6 7 5 2 2 3 3 2" xfId="23572"/>
    <cellStyle name="Обычный 6 7 5 2 2 3 3 3" xfId="23573"/>
    <cellStyle name="Обычный 6 7 5 2 2 3 4" xfId="23574"/>
    <cellStyle name="Обычный 6 7 5 2 2 3 4 2" xfId="23575"/>
    <cellStyle name="Обычный 6 7 5 2 2 3 5" xfId="23576"/>
    <cellStyle name="Обычный 6 7 5 2 2 3 6" xfId="23577"/>
    <cellStyle name="Обычный 6 7 5 2 2 4" xfId="23578"/>
    <cellStyle name="Обычный 6 7 5 2 2 4 2" xfId="23579"/>
    <cellStyle name="Обычный 6 7 5 2 2 4 3" xfId="23580"/>
    <cellStyle name="Обычный 6 7 5 2 2 5" xfId="23581"/>
    <cellStyle name="Обычный 6 7 5 2 2 5 2" xfId="23582"/>
    <cellStyle name="Обычный 6 7 5 2 2 5 3" xfId="23583"/>
    <cellStyle name="Обычный 6 7 5 2 2 6" xfId="23584"/>
    <cellStyle name="Обычный 6 7 5 2 2 6 2" xfId="23585"/>
    <cellStyle name="Обычный 6 7 5 2 2 7" xfId="23586"/>
    <cellStyle name="Обычный 6 7 5 2 2 8" xfId="23587"/>
    <cellStyle name="Обычный 6 7 5 2 3" xfId="23588"/>
    <cellStyle name="Обычный 6 7 5 2 3 2" xfId="23589"/>
    <cellStyle name="Обычный 6 7 5 2 3 2 2" xfId="23590"/>
    <cellStyle name="Обычный 6 7 5 2 3 2 2 2" xfId="23591"/>
    <cellStyle name="Обычный 6 7 5 2 3 2 2 3" xfId="23592"/>
    <cellStyle name="Обычный 6 7 5 2 3 2 3" xfId="23593"/>
    <cellStyle name="Обычный 6 7 5 2 3 2 3 2" xfId="23594"/>
    <cellStyle name="Обычный 6 7 5 2 3 2 3 3" xfId="23595"/>
    <cellStyle name="Обычный 6 7 5 2 3 2 4" xfId="23596"/>
    <cellStyle name="Обычный 6 7 5 2 3 2 4 2" xfId="23597"/>
    <cellStyle name="Обычный 6 7 5 2 3 2 5" xfId="23598"/>
    <cellStyle name="Обычный 6 7 5 2 3 2 6" xfId="23599"/>
    <cellStyle name="Обычный 6 7 5 2 3 3" xfId="23600"/>
    <cellStyle name="Обычный 6 7 5 2 3 3 2" xfId="23601"/>
    <cellStyle name="Обычный 6 7 5 2 3 3 3" xfId="23602"/>
    <cellStyle name="Обычный 6 7 5 2 3 4" xfId="23603"/>
    <cellStyle name="Обычный 6 7 5 2 3 4 2" xfId="23604"/>
    <cellStyle name="Обычный 6 7 5 2 3 4 3" xfId="23605"/>
    <cellStyle name="Обычный 6 7 5 2 3 5" xfId="23606"/>
    <cellStyle name="Обычный 6 7 5 2 3 5 2" xfId="23607"/>
    <cellStyle name="Обычный 6 7 5 2 3 6" xfId="23608"/>
    <cellStyle name="Обычный 6 7 5 2 3 7" xfId="23609"/>
    <cellStyle name="Обычный 6 7 5 2 4" xfId="23610"/>
    <cellStyle name="Обычный 6 7 5 2 4 2" xfId="23611"/>
    <cellStyle name="Обычный 6 7 5 2 4 2 2" xfId="23612"/>
    <cellStyle name="Обычный 6 7 5 2 4 2 3" xfId="23613"/>
    <cellStyle name="Обычный 6 7 5 2 4 3" xfId="23614"/>
    <cellStyle name="Обычный 6 7 5 2 4 3 2" xfId="23615"/>
    <cellStyle name="Обычный 6 7 5 2 4 3 3" xfId="23616"/>
    <cellStyle name="Обычный 6 7 5 2 4 4" xfId="23617"/>
    <cellStyle name="Обычный 6 7 5 2 4 4 2" xfId="23618"/>
    <cellStyle name="Обычный 6 7 5 2 4 5" xfId="23619"/>
    <cellStyle name="Обычный 6 7 5 2 4 6" xfId="23620"/>
    <cellStyle name="Обычный 6 7 5 2 5" xfId="23621"/>
    <cellStyle name="Обычный 6 7 5 2 5 2" xfId="23622"/>
    <cellStyle name="Обычный 6 7 5 2 5 3" xfId="23623"/>
    <cellStyle name="Обычный 6 7 5 2 6" xfId="23624"/>
    <cellStyle name="Обычный 6 7 5 2 6 2" xfId="23625"/>
    <cellStyle name="Обычный 6 7 5 2 6 3" xfId="23626"/>
    <cellStyle name="Обычный 6 7 5 2 7" xfId="23627"/>
    <cellStyle name="Обычный 6 7 5 2 7 2" xfId="23628"/>
    <cellStyle name="Обычный 6 7 5 2 8" xfId="23629"/>
    <cellStyle name="Обычный 6 7 5 2 9" xfId="23630"/>
    <cellStyle name="Обычный 6 7 5 3" xfId="23631"/>
    <cellStyle name="Обычный 6 7 5 3 2" xfId="23632"/>
    <cellStyle name="Обычный 6 7 5 3 2 2" xfId="23633"/>
    <cellStyle name="Обычный 6 7 5 3 2 2 2" xfId="23634"/>
    <cellStyle name="Обычный 6 7 5 3 2 2 2 2" xfId="23635"/>
    <cellStyle name="Обычный 6 7 5 3 2 2 2 3" xfId="23636"/>
    <cellStyle name="Обычный 6 7 5 3 2 2 3" xfId="23637"/>
    <cellStyle name="Обычный 6 7 5 3 2 2 3 2" xfId="23638"/>
    <cellStyle name="Обычный 6 7 5 3 2 2 3 3" xfId="23639"/>
    <cellStyle name="Обычный 6 7 5 3 2 2 4" xfId="23640"/>
    <cellStyle name="Обычный 6 7 5 3 2 2 4 2" xfId="23641"/>
    <cellStyle name="Обычный 6 7 5 3 2 2 5" xfId="23642"/>
    <cellStyle name="Обычный 6 7 5 3 2 2 6" xfId="23643"/>
    <cellStyle name="Обычный 6 7 5 3 2 3" xfId="23644"/>
    <cellStyle name="Обычный 6 7 5 3 2 3 2" xfId="23645"/>
    <cellStyle name="Обычный 6 7 5 3 2 3 3" xfId="23646"/>
    <cellStyle name="Обычный 6 7 5 3 2 4" xfId="23647"/>
    <cellStyle name="Обычный 6 7 5 3 2 4 2" xfId="23648"/>
    <cellStyle name="Обычный 6 7 5 3 2 4 3" xfId="23649"/>
    <cellStyle name="Обычный 6 7 5 3 2 5" xfId="23650"/>
    <cellStyle name="Обычный 6 7 5 3 2 5 2" xfId="23651"/>
    <cellStyle name="Обычный 6 7 5 3 2 6" xfId="23652"/>
    <cellStyle name="Обычный 6 7 5 3 2 7" xfId="23653"/>
    <cellStyle name="Обычный 6 7 5 3 3" xfId="23654"/>
    <cellStyle name="Обычный 6 7 5 3 3 2" xfId="23655"/>
    <cellStyle name="Обычный 6 7 5 3 3 2 2" xfId="23656"/>
    <cellStyle name="Обычный 6 7 5 3 3 2 3" xfId="23657"/>
    <cellStyle name="Обычный 6 7 5 3 3 3" xfId="23658"/>
    <cellStyle name="Обычный 6 7 5 3 3 3 2" xfId="23659"/>
    <cellStyle name="Обычный 6 7 5 3 3 3 3" xfId="23660"/>
    <cellStyle name="Обычный 6 7 5 3 3 4" xfId="23661"/>
    <cellStyle name="Обычный 6 7 5 3 3 4 2" xfId="23662"/>
    <cellStyle name="Обычный 6 7 5 3 3 5" xfId="23663"/>
    <cellStyle name="Обычный 6 7 5 3 3 6" xfId="23664"/>
    <cellStyle name="Обычный 6 7 5 3 4" xfId="23665"/>
    <cellStyle name="Обычный 6 7 5 3 4 2" xfId="23666"/>
    <cellStyle name="Обычный 6 7 5 3 4 3" xfId="23667"/>
    <cellStyle name="Обычный 6 7 5 3 5" xfId="23668"/>
    <cellStyle name="Обычный 6 7 5 3 5 2" xfId="23669"/>
    <cellStyle name="Обычный 6 7 5 3 5 3" xfId="23670"/>
    <cellStyle name="Обычный 6 7 5 3 6" xfId="23671"/>
    <cellStyle name="Обычный 6 7 5 3 6 2" xfId="23672"/>
    <cellStyle name="Обычный 6 7 5 3 7" xfId="23673"/>
    <cellStyle name="Обычный 6 7 5 3 8" xfId="23674"/>
    <cellStyle name="Обычный 6 7 5 4" xfId="23675"/>
    <cellStyle name="Обычный 6 7 5 4 2" xfId="23676"/>
    <cellStyle name="Обычный 6 7 5 4 2 2" xfId="23677"/>
    <cellStyle name="Обычный 6 7 5 4 2 2 2" xfId="23678"/>
    <cellStyle name="Обычный 6 7 5 4 2 2 3" xfId="23679"/>
    <cellStyle name="Обычный 6 7 5 4 2 3" xfId="23680"/>
    <cellStyle name="Обычный 6 7 5 4 2 3 2" xfId="23681"/>
    <cellStyle name="Обычный 6 7 5 4 2 3 3" xfId="23682"/>
    <cellStyle name="Обычный 6 7 5 4 2 4" xfId="23683"/>
    <cellStyle name="Обычный 6 7 5 4 2 4 2" xfId="23684"/>
    <cellStyle name="Обычный 6 7 5 4 2 5" xfId="23685"/>
    <cellStyle name="Обычный 6 7 5 4 2 6" xfId="23686"/>
    <cellStyle name="Обычный 6 7 5 4 3" xfId="23687"/>
    <cellStyle name="Обычный 6 7 5 4 3 2" xfId="23688"/>
    <cellStyle name="Обычный 6 7 5 4 3 3" xfId="23689"/>
    <cellStyle name="Обычный 6 7 5 4 4" xfId="23690"/>
    <cellStyle name="Обычный 6 7 5 4 4 2" xfId="23691"/>
    <cellStyle name="Обычный 6 7 5 4 4 3" xfId="23692"/>
    <cellStyle name="Обычный 6 7 5 4 5" xfId="23693"/>
    <cellStyle name="Обычный 6 7 5 4 5 2" xfId="23694"/>
    <cellStyle name="Обычный 6 7 5 4 6" xfId="23695"/>
    <cellStyle name="Обычный 6 7 5 4 7" xfId="23696"/>
    <cellStyle name="Обычный 6 7 5 5" xfId="23697"/>
    <cellStyle name="Обычный 6 7 5 5 2" xfId="23698"/>
    <cellStyle name="Обычный 6 7 5 5 2 2" xfId="23699"/>
    <cellStyle name="Обычный 6 7 5 5 2 3" xfId="23700"/>
    <cellStyle name="Обычный 6 7 5 5 3" xfId="23701"/>
    <cellStyle name="Обычный 6 7 5 5 3 2" xfId="23702"/>
    <cellStyle name="Обычный 6 7 5 5 3 3" xfId="23703"/>
    <cellStyle name="Обычный 6 7 5 5 4" xfId="23704"/>
    <cellStyle name="Обычный 6 7 5 5 4 2" xfId="23705"/>
    <cellStyle name="Обычный 6 7 5 5 5" xfId="23706"/>
    <cellStyle name="Обычный 6 7 5 5 6" xfId="23707"/>
    <cellStyle name="Обычный 6 7 5 6" xfId="23708"/>
    <cellStyle name="Обычный 6 7 5 6 2" xfId="23709"/>
    <cellStyle name="Обычный 6 7 5 6 3" xfId="23710"/>
    <cellStyle name="Обычный 6 7 5 7" xfId="23711"/>
    <cellStyle name="Обычный 6 7 5 7 2" xfId="23712"/>
    <cellStyle name="Обычный 6 7 5 7 3" xfId="23713"/>
    <cellStyle name="Обычный 6 7 5 8" xfId="23714"/>
    <cellStyle name="Обычный 6 7 5 8 2" xfId="23715"/>
    <cellStyle name="Обычный 6 7 5 9" xfId="23716"/>
    <cellStyle name="Обычный 6 7 6" xfId="23717"/>
    <cellStyle name="Обычный 6 7 6 2" xfId="23718"/>
    <cellStyle name="Обычный 6 7 6 2 2" xfId="23719"/>
    <cellStyle name="Обычный 6 7 6 2 2 2" xfId="23720"/>
    <cellStyle name="Обычный 6 7 6 2 2 2 2" xfId="23721"/>
    <cellStyle name="Обычный 6 7 6 2 2 2 2 2" xfId="23722"/>
    <cellStyle name="Обычный 6 7 6 2 2 2 2 3" xfId="23723"/>
    <cellStyle name="Обычный 6 7 6 2 2 2 3" xfId="23724"/>
    <cellStyle name="Обычный 6 7 6 2 2 2 3 2" xfId="23725"/>
    <cellStyle name="Обычный 6 7 6 2 2 2 3 3" xfId="23726"/>
    <cellStyle name="Обычный 6 7 6 2 2 2 4" xfId="23727"/>
    <cellStyle name="Обычный 6 7 6 2 2 2 4 2" xfId="23728"/>
    <cellStyle name="Обычный 6 7 6 2 2 2 5" xfId="23729"/>
    <cellStyle name="Обычный 6 7 6 2 2 2 6" xfId="23730"/>
    <cellStyle name="Обычный 6 7 6 2 2 3" xfId="23731"/>
    <cellStyle name="Обычный 6 7 6 2 2 3 2" xfId="23732"/>
    <cellStyle name="Обычный 6 7 6 2 2 3 3" xfId="23733"/>
    <cellStyle name="Обычный 6 7 6 2 2 4" xfId="23734"/>
    <cellStyle name="Обычный 6 7 6 2 2 4 2" xfId="23735"/>
    <cellStyle name="Обычный 6 7 6 2 2 4 3" xfId="23736"/>
    <cellStyle name="Обычный 6 7 6 2 2 5" xfId="23737"/>
    <cellStyle name="Обычный 6 7 6 2 2 5 2" xfId="23738"/>
    <cellStyle name="Обычный 6 7 6 2 2 6" xfId="23739"/>
    <cellStyle name="Обычный 6 7 6 2 2 7" xfId="23740"/>
    <cellStyle name="Обычный 6 7 6 2 3" xfId="23741"/>
    <cellStyle name="Обычный 6 7 6 2 3 2" xfId="23742"/>
    <cellStyle name="Обычный 6 7 6 2 3 2 2" xfId="23743"/>
    <cellStyle name="Обычный 6 7 6 2 3 2 3" xfId="23744"/>
    <cellStyle name="Обычный 6 7 6 2 3 3" xfId="23745"/>
    <cellStyle name="Обычный 6 7 6 2 3 3 2" xfId="23746"/>
    <cellStyle name="Обычный 6 7 6 2 3 3 3" xfId="23747"/>
    <cellStyle name="Обычный 6 7 6 2 3 4" xfId="23748"/>
    <cellStyle name="Обычный 6 7 6 2 3 4 2" xfId="23749"/>
    <cellStyle name="Обычный 6 7 6 2 3 5" xfId="23750"/>
    <cellStyle name="Обычный 6 7 6 2 3 6" xfId="23751"/>
    <cellStyle name="Обычный 6 7 6 2 4" xfId="23752"/>
    <cellStyle name="Обычный 6 7 6 2 4 2" xfId="23753"/>
    <cellStyle name="Обычный 6 7 6 2 4 3" xfId="23754"/>
    <cellStyle name="Обычный 6 7 6 2 5" xfId="23755"/>
    <cellStyle name="Обычный 6 7 6 2 5 2" xfId="23756"/>
    <cellStyle name="Обычный 6 7 6 2 5 3" xfId="23757"/>
    <cellStyle name="Обычный 6 7 6 2 6" xfId="23758"/>
    <cellStyle name="Обычный 6 7 6 2 6 2" xfId="23759"/>
    <cellStyle name="Обычный 6 7 6 2 7" xfId="23760"/>
    <cellStyle name="Обычный 6 7 6 2 8" xfId="23761"/>
    <cellStyle name="Обычный 6 7 6 3" xfId="23762"/>
    <cellStyle name="Обычный 6 7 6 3 2" xfId="23763"/>
    <cellStyle name="Обычный 6 7 6 3 2 2" xfId="23764"/>
    <cellStyle name="Обычный 6 7 6 3 2 2 2" xfId="23765"/>
    <cellStyle name="Обычный 6 7 6 3 2 2 3" xfId="23766"/>
    <cellStyle name="Обычный 6 7 6 3 2 3" xfId="23767"/>
    <cellStyle name="Обычный 6 7 6 3 2 3 2" xfId="23768"/>
    <cellStyle name="Обычный 6 7 6 3 2 3 3" xfId="23769"/>
    <cellStyle name="Обычный 6 7 6 3 2 4" xfId="23770"/>
    <cellStyle name="Обычный 6 7 6 3 2 4 2" xfId="23771"/>
    <cellStyle name="Обычный 6 7 6 3 2 5" xfId="23772"/>
    <cellStyle name="Обычный 6 7 6 3 2 6" xfId="23773"/>
    <cellStyle name="Обычный 6 7 6 3 3" xfId="23774"/>
    <cellStyle name="Обычный 6 7 6 3 3 2" xfId="23775"/>
    <cellStyle name="Обычный 6 7 6 3 3 3" xfId="23776"/>
    <cellStyle name="Обычный 6 7 6 3 4" xfId="23777"/>
    <cellStyle name="Обычный 6 7 6 3 4 2" xfId="23778"/>
    <cellStyle name="Обычный 6 7 6 3 4 3" xfId="23779"/>
    <cellStyle name="Обычный 6 7 6 3 5" xfId="23780"/>
    <cellStyle name="Обычный 6 7 6 3 5 2" xfId="23781"/>
    <cellStyle name="Обычный 6 7 6 3 6" xfId="23782"/>
    <cellStyle name="Обычный 6 7 6 3 7" xfId="23783"/>
    <cellStyle name="Обычный 6 7 6 4" xfId="23784"/>
    <cellStyle name="Обычный 6 7 6 4 2" xfId="23785"/>
    <cellStyle name="Обычный 6 7 6 4 2 2" xfId="23786"/>
    <cellStyle name="Обычный 6 7 6 4 2 3" xfId="23787"/>
    <cellStyle name="Обычный 6 7 6 4 3" xfId="23788"/>
    <cellStyle name="Обычный 6 7 6 4 3 2" xfId="23789"/>
    <cellStyle name="Обычный 6 7 6 4 3 3" xfId="23790"/>
    <cellStyle name="Обычный 6 7 6 4 4" xfId="23791"/>
    <cellStyle name="Обычный 6 7 6 4 4 2" xfId="23792"/>
    <cellStyle name="Обычный 6 7 6 4 5" xfId="23793"/>
    <cellStyle name="Обычный 6 7 6 4 6" xfId="23794"/>
    <cellStyle name="Обычный 6 7 6 5" xfId="23795"/>
    <cellStyle name="Обычный 6 7 6 5 2" xfId="23796"/>
    <cellStyle name="Обычный 6 7 6 5 3" xfId="23797"/>
    <cellStyle name="Обычный 6 7 6 6" xfId="23798"/>
    <cellStyle name="Обычный 6 7 6 6 2" xfId="23799"/>
    <cellStyle name="Обычный 6 7 6 6 3" xfId="23800"/>
    <cellStyle name="Обычный 6 7 6 7" xfId="23801"/>
    <cellStyle name="Обычный 6 7 6 7 2" xfId="23802"/>
    <cellStyle name="Обычный 6 7 6 8" xfId="23803"/>
    <cellStyle name="Обычный 6 7 6 9" xfId="23804"/>
    <cellStyle name="Обычный 6 7 7" xfId="23805"/>
    <cellStyle name="Обычный 6 7 7 2" xfId="23806"/>
    <cellStyle name="Обычный 6 7 7 2 2" xfId="23807"/>
    <cellStyle name="Обычный 6 7 7 2 2 2" xfId="23808"/>
    <cellStyle name="Обычный 6 7 7 2 2 2 2" xfId="23809"/>
    <cellStyle name="Обычный 6 7 7 2 2 2 3" xfId="23810"/>
    <cellStyle name="Обычный 6 7 7 2 2 3" xfId="23811"/>
    <cellStyle name="Обычный 6 7 7 2 2 3 2" xfId="23812"/>
    <cellStyle name="Обычный 6 7 7 2 2 3 3" xfId="23813"/>
    <cellStyle name="Обычный 6 7 7 2 2 4" xfId="23814"/>
    <cellStyle name="Обычный 6 7 7 2 2 4 2" xfId="23815"/>
    <cellStyle name="Обычный 6 7 7 2 2 5" xfId="23816"/>
    <cellStyle name="Обычный 6 7 7 2 2 6" xfId="23817"/>
    <cellStyle name="Обычный 6 7 7 2 3" xfId="23818"/>
    <cellStyle name="Обычный 6 7 7 2 3 2" xfId="23819"/>
    <cellStyle name="Обычный 6 7 7 2 3 3" xfId="23820"/>
    <cellStyle name="Обычный 6 7 7 2 4" xfId="23821"/>
    <cellStyle name="Обычный 6 7 7 2 4 2" xfId="23822"/>
    <cellStyle name="Обычный 6 7 7 2 4 3" xfId="23823"/>
    <cellStyle name="Обычный 6 7 7 2 5" xfId="23824"/>
    <cellStyle name="Обычный 6 7 7 2 5 2" xfId="23825"/>
    <cellStyle name="Обычный 6 7 7 2 6" xfId="23826"/>
    <cellStyle name="Обычный 6 7 7 2 7" xfId="23827"/>
    <cellStyle name="Обычный 6 7 7 3" xfId="23828"/>
    <cellStyle name="Обычный 6 7 7 3 2" xfId="23829"/>
    <cellStyle name="Обычный 6 7 7 3 2 2" xfId="23830"/>
    <cellStyle name="Обычный 6 7 7 3 2 3" xfId="23831"/>
    <cellStyle name="Обычный 6 7 7 3 3" xfId="23832"/>
    <cellStyle name="Обычный 6 7 7 3 3 2" xfId="23833"/>
    <cellStyle name="Обычный 6 7 7 3 3 3" xfId="23834"/>
    <cellStyle name="Обычный 6 7 7 3 4" xfId="23835"/>
    <cellStyle name="Обычный 6 7 7 3 4 2" xfId="23836"/>
    <cellStyle name="Обычный 6 7 7 3 5" xfId="23837"/>
    <cellStyle name="Обычный 6 7 7 3 6" xfId="23838"/>
    <cellStyle name="Обычный 6 7 7 4" xfId="23839"/>
    <cellStyle name="Обычный 6 7 7 4 2" xfId="23840"/>
    <cellStyle name="Обычный 6 7 7 4 3" xfId="23841"/>
    <cellStyle name="Обычный 6 7 7 5" xfId="23842"/>
    <cellStyle name="Обычный 6 7 7 5 2" xfId="23843"/>
    <cellStyle name="Обычный 6 7 7 5 3" xfId="23844"/>
    <cellStyle name="Обычный 6 7 7 6" xfId="23845"/>
    <cellStyle name="Обычный 6 7 7 6 2" xfId="23846"/>
    <cellStyle name="Обычный 6 7 7 7" xfId="23847"/>
    <cellStyle name="Обычный 6 7 7 8" xfId="23848"/>
    <cellStyle name="Обычный 6 7 8" xfId="23849"/>
    <cellStyle name="Обычный 6 7 8 2" xfId="23850"/>
    <cellStyle name="Обычный 6 7 8 2 2" xfId="23851"/>
    <cellStyle name="Обычный 6 7 8 2 2 2" xfId="23852"/>
    <cellStyle name="Обычный 6 7 8 2 2 3" xfId="23853"/>
    <cellStyle name="Обычный 6 7 8 2 3" xfId="23854"/>
    <cellStyle name="Обычный 6 7 8 2 3 2" xfId="23855"/>
    <cellStyle name="Обычный 6 7 8 2 3 3" xfId="23856"/>
    <cellStyle name="Обычный 6 7 8 2 4" xfId="23857"/>
    <cellStyle name="Обычный 6 7 8 2 4 2" xfId="23858"/>
    <cellStyle name="Обычный 6 7 8 2 5" xfId="23859"/>
    <cellStyle name="Обычный 6 7 8 2 6" xfId="23860"/>
    <cellStyle name="Обычный 6 7 8 3" xfId="23861"/>
    <cellStyle name="Обычный 6 7 8 3 2" xfId="23862"/>
    <cellStyle name="Обычный 6 7 8 3 3" xfId="23863"/>
    <cellStyle name="Обычный 6 7 8 4" xfId="23864"/>
    <cellStyle name="Обычный 6 7 8 4 2" xfId="23865"/>
    <cellStyle name="Обычный 6 7 8 4 3" xfId="23866"/>
    <cellStyle name="Обычный 6 7 8 5" xfId="23867"/>
    <cellStyle name="Обычный 6 7 8 5 2" xfId="23868"/>
    <cellStyle name="Обычный 6 7 8 6" xfId="23869"/>
    <cellStyle name="Обычный 6 7 8 7" xfId="23870"/>
    <cellStyle name="Обычный 6 7 9" xfId="23871"/>
    <cellStyle name="Обычный 6 7 9 2" xfId="23872"/>
    <cellStyle name="Обычный 6 7 9 2 2" xfId="23873"/>
    <cellStyle name="Обычный 6 7 9 2 3" xfId="23874"/>
    <cellStyle name="Обычный 6 7 9 3" xfId="23875"/>
    <cellStyle name="Обычный 6 7 9 3 2" xfId="23876"/>
    <cellStyle name="Обычный 6 7 9 3 3" xfId="23877"/>
    <cellStyle name="Обычный 6 7 9 4" xfId="23878"/>
    <cellStyle name="Обычный 6 7 9 4 2" xfId="23879"/>
    <cellStyle name="Обычный 6 7 9 5" xfId="23880"/>
    <cellStyle name="Обычный 6 7 9 6" xfId="23881"/>
    <cellStyle name="Обычный 6 8" xfId="23882"/>
    <cellStyle name="Обычный 6 8 10" xfId="23883"/>
    <cellStyle name="Обычный 6 8 10 2" xfId="23884"/>
    <cellStyle name="Обычный 6 8 10 3" xfId="23885"/>
    <cellStyle name="Обычный 6 8 11" xfId="23886"/>
    <cellStyle name="Обычный 6 8 11 2" xfId="23887"/>
    <cellStyle name="Обычный 6 8 11 3" xfId="23888"/>
    <cellStyle name="Обычный 6 8 12" xfId="23889"/>
    <cellStyle name="Обычный 6 8 12 2" xfId="23890"/>
    <cellStyle name="Обычный 6 8 13" xfId="23891"/>
    <cellStyle name="Обычный 6 8 14" xfId="23892"/>
    <cellStyle name="Обычный 6 8 2" xfId="23893"/>
    <cellStyle name="Обычный 6 8 2 10" xfId="23894"/>
    <cellStyle name="Обычный 6 8 2 10 2" xfId="23895"/>
    <cellStyle name="Обычный 6 8 2 10 3" xfId="23896"/>
    <cellStyle name="Обычный 6 8 2 11" xfId="23897"/>
    <cellStyle name="Обычный 6 8 2 11 2" xfId="23898"/>
    <cellStyle name="Обычный 6 8 2 12" xfId="23899"/>
    <cellStyle name="Обычный 6 8 2 13" xfId="23900"/>
    <cellStyle name="Обычный 6 8 2 2" xfId="23901"/>
    <cellStyle name="Обычный 6 8 2 2 10" xfId="23902"/>
    <cellStyle name="Обычный 6 8 2 2 2" xfId="23903"/>
    <cellStyle name="Обычный 6 8 2 2 2 2" xfId="23904"/>
    <cellStyle name="Обычный 6 8 2 2 2 2 2" xfId="23905"/>
    <cellStyle name="Обычный 6 8 2 2 2 2 2 2" xfId="23906"/>
    <cellStyle name="Обычный 6 8 2 2 2 2 2 2 2" xfId="23907"/>
    <cellStyle name="Обычный 6 8 2 2 2 2 2 2 2 2" xfId="23908"/>
    <cellStyle name="Обычный 6 8 2 2 2 2 2 2 2 3" xfId="23909"/>
    <cellStyle name="Обычный 6 8 2 2 2 2 2 2 3" xfId="23910"/>
    <cellStyle name="Обычный 6 8 2 2 2 2 2 2 3 2" xfId="23911"/>
    <cellStyle name="Обычный 6 8 2 2 2 2 2 2 3 3" xfId="23912"/>
    <cellStyle name="Обычный 6 8 2 2 2 2 2 2 4" xfId="23913"/>
    <cellStyle name="Обычный 6 8 2 2 2 2 2 2 4 2" xfId="23914"/>
    <cellStyle name="Обычный 6 8 2 2 2 2 2 2 5" xfId="23915"/>
    <cellStyle name="Обычный 6 8 2 2 2 2 2 2 6" xfId="23916"/>
    <cellStyle name="Обычный 6 8 2 2 2 2 2 3" xfId="23917"/>
    <cellStyle name="Обычный 6 8 2 2 2 2 2 3 2" xfId="23918"/>
    <cellStyle name="Обычный 6 8 2 2 2 2 2 3 3" xfId="23919"/>
    <cellStyle name="Обычный 6 8 2 2 2 2 2 4" xfId="23920"/>
    <cellStyle name="Обычный 6 8 2 2 2 2 2 4 2" xfId="23921"/>
    <cellStyle name="Обычный 6 8 2 2 2 2 2 4 3" xfId="23922"/>
    <cellStyle name="Обычный 6 8 2 2 2 2 2 5" xfId="23923"/>
    <cellStyle name="Обычный 6 8 2 2 2 2 2 5 2" xfId="23924"/>
    <cellStyle name="Обычный 6 8 2 2 2 2 2 6" xfId="23925"/>
    <cellStyle name="Обычный 6 8 2 2 2 2 2 7" xfId="23926"/>
    <cellStyle name="Обычный 6 8 2 2 2 2 3" xfId="23927"/>
    <cellStyle name="Обычный 6 8 2 2 2 2 3 2" xfId="23928"/>
    <cellStyle name="Обычный 6 8 2 2 2 2 3 2 2" xfId="23929"/>
    <cellStyle name="Обычный 6 8 2 2 2 2 3 2 3" xfId="23930"/>
    <cellStyle name="Обычный 6 8 2 2 2 2 3 3" xfId="23931"/>
    <cellStyle name="Обычный 6 8 2 2 2 2 3 3 2" xfId="23932"/>
    <cellStyle name="Обычный 6 8 2 2 2 2 3 3 3" xfId="23933"/>
    <cellStyle name="Обычный 6 8 2 2 2 2 3 4" xfId="23934"/>
    <cellStyle name="Обычный 6 8 2 2 2 2 3 4 2" xfId="23935"/>
    <cellStyle name="Обычный 6 8 2 2 2 2 3 5" xfId="23936"/>
    <cellStyle name="Обычный 6 8 2 2 2 2 3 6" xfId="23937"/>
    <cellStyle name="Обычный 6 8 2 2 2 2 4" xfId="23938"/>
    <cellStyle name="Обычный 6 8 2 2 2 2 4 2" xfId="23939"/>
    <cellStyle name="Обычный 6 8 2 2 2 2 4 3" xfId="23940"/>
    <cellStyle name="Обычный 6 8 2 2 2 2 5" xfId="23941"/>
    <cellStyle name="Обычный 6 8 2 2 2 2 5 2" xfId="23942"/>
    <cellStyle name="Обычный 6 8 2 2 2 2 5 3" xfId="23943"/>
    <cellStyle name="Обычный 6 8 2 2 2 2 6" xfId="23944"/>
    <cellStyle name="Обычный 6 8 2 2 2 2 6 2" xfId="23945"/>
    <cellStyle name="Обычный 6 8 2 2 2 2 7" xfId="23946"/>
    <cellStyle name="Обычный 6 8 2 2 2 2 8" xfId="23947"/>
    <cellStyle name="Обычный 6 8 2 2 2 3" xfId="23948"/>
    <cellStyle name="Обычный 6 8 2 2 2 3 2" xfId="23949"/>
    <cellStyle name="Обычный 6 8 2 2 2 3 2 2" xfId="23950"/>
    <cellStyle name="Обычный 6 8 2 2 2 3 2 2 2" xfId="23951"/>
    <cellStyle name="Обычный 6 8 2 2 2 3 2 2 3" xfId="23952"/>
    <cellStyle name="Обычный 6 8 2 2 2 3 2 3" xfId="23953"/>
    <cellStyle name="Обычный 6 8 2 2 2 3 2 3 2" xfId="23954"/>
    <cellStyle name="Обычный 6 8 2 2 2 3 2 3 3" xfId="23955"/>
    <cellStyle name="Обычный 6 8 2 2 2 3 2 4" xfId="23956"/>
    <cellStyle name="Обычный 6 8 2 2 2 3 2 4 2" xfId="23957"/>
    <cellStyle name="Обычный 6 8 2 2 2 3 2 5" xfId="23958"/>
    <cellStyle name="Обычный 6 8 2 2 2 3 2 6" xfId="23959"/>
    <cellStyle name="Обычный 6 8 2 2 2 3 3" xfId="23960"/>
    <cellStyle name="Обычный 6 8 2 2 2 3 3 2" xfId="23961"/>
    <cellStyle name="Обычный 6 8 2 2 2 3 3 3" xfId="23962"/>
    <cellStyle name="Обычный 6 8 2 2 2 3 4" xfId="23963"/>
    <cellStyle name="Обычный 6 8 2 2 2 3 4 2" xfId="23964"/>
    <cellStyle name="Обычный 6 8 2 2 2 3 4 3" xfId="23965"/>
    <cellStyle name="Обычный 6 8 2 2 2 3 5" xfId="23966"/>
    <cellStyle name="Обычный 6 8 2 2 2 3 5 2" xfId="23967"/>
    <cellStyle name="Обычный 6 8 2 2 2 3 6" xfId="23968"/>
    <cellStyle name="Обычный 6 8 2 2 2 3 7" xfId="23969"/>
    <cellStyle name="Обычный 6 8 2 2 2 4" xfId="23970"/>
    <cellStyle name="Обычный 6 8 2 2 2 4 2" xfId="23971"/>
    <cellStyle name="Обычный 6 8 2 2 2 4 2 2" xfId="23972"/>
    <cellStyle name="Обычный 6 8 2 2 2 4 2 3" xfId="23973"/>
    <cellStyle name="Обычный 6 8 2 2 2 4 3" xfId="23974"/>
    <cellStyle name="Обычный 6 8 2 2 2 4 3 2" xfId="23975"/>
    <cellStyle name="Обычный 6 8 2 2 2 4 3 3" xfId="23976"/>
    <cellStyle name="Обычный 6 8 2 2 2 4 4" xfId="23977"/>
    <cellStyle name="Обычный 6 8 2 2 2 4 4 2" xfId="23978"/>
    <cellStyle name="Обычный 6 8 2 2 2 4 5" xfId="23979"/>
    <cellStyle name="Обычный 6 8 2 2 2 4 6" xfId="23980"/>
    <cellStyle name="Обычный 6 8 2 2 2 5" xfId="23981"/>
    <cellStyle name="Обычный 6 8 2 2 2 5 2" xfId="23982"/>
    <cellStyle name="Обычный 6 8 2 2 2 5 3" xfId="23983"/>
    <cellStyle name="Обычный 6 8 2 2 2 6" xfId="23984"/>
    <cellStyle name="Обычный 6 8 2 2 2 6 2" xfId="23985"/>
    <cellStyle name="Обычный 6 8 2 2 2 6 3" xfId="23986"/>
    <cellStyle name="Обычный 6 8 2 2 2 7" xfId="23987"/>
    <cellStyle name="Обычный 6 8 2 2 2 7 2" xfId="23988"/>
    <cellStyle name="Обычный 6 8 2 2 2 8" xfId="23989"/>
    <cellStyle name="Обычный 6 8 2 2 2 9" xfId="23990"/>
    <cellStyle name="Обычный 6 8 2 2 3" xfId="23991"/>
    <cellStyle name="Обычный 6 8 2 2 3 2" xfId="23992"/>
    <cellStyle name="Обычный 6 8 2 2 3 2 2" xfId="23993"/>
    <cellStyle name="Обычный 6 8 2 2 3 2 2 2" xfId="23994"/>
    <cellStyle name="Обычный 6 8 2 2 3 2 2 2 2" xfId="23995"/>
    <cellStyle name="Обычный 6 8 2 2 3 2 2 2 3" xfId="23996"/>
    <cellStyle name="Обычный 6 8 2 2 3 2 2 3" xfId="23997"/>
    <cellStyle name="Обычный 6 8 2 2 3 2 2 3 2" xfId="23998"/>
    <cellStyle name="Обычный 6 8 2 2 3 2 2 3 3" xfId="23999"/>
    <cellStyle name="Обычный 6 8 2 2 3 2 2 4" xfId="24000"/>
    <cellStyle name="Обычный 6 8 2 2 3 2 2 4 2" xfId="24001"/>
    <cellStyle name="Обычный 6 8 2 2 3 2 2 5" xfId="24002"/>
    <cellStyle name="Обычный 6 8 2 2 3 2 2 6" xfId="24003"/>
    <cellStyle name="Обычный 6 8 2 2 3 2 3" xfId="24004"/>
    <cellStyle name="Обычный 6 8 2 2 3 2 3 2" xfId="24005"/>
    <cellStyle name="Обычный 6 8 2 2 3 2 3 3" xfId="24006"/>
    <cellStyle name="Обычный 6 8 2 2 3 2 4" xfId="24007"/>
    <cellStyle name="Обычный 6 8 2 2 3 2 4 2" xfId="24008"/>
    <cellStyle name="Обычный 6 8 2 2 3 2 4 3" xfId="24009"/>
    <cellStyle name="Обычный 6 8 2 2 3 2 5" xfId="24010"/>
    <cellStyle name="Обычный 6 8 2 2 3 2 5 2" xfId="24011"/>
    <cellStyle name="Обычный 6 8 2 2 3 2 6" xfId="24012"/>
    <cellStyle name="Обычный 6 8 2 2 3 2 7" xfId="24013"/>
    <cellStyle name="Обычный 6 8 2 2 3 3" xfId="24014"/>
    <cellStyle name="Обычный 6 8 2 2 3 3 2" xfId="24015"/>
    <cellStyle name="Обычный 6 8 2 2 3 3 2 2" xfId="24016"/>
    <cellStyle name="Обычный 6 8 2 2 3 3 2 3" xfId="24017"/>
    <cellStyle name="Обычный 6 8 2 2 3 3 3" xfId="24018"/>
    <cellStyle name="Обычный 6 8 2 2 3 3 3 2" xfId="24019"/>
    <cellStyle name="Обычный 6 8 2 2 3 3 3 3" xfId="24020"/>
    <cellStyle name="Обычный 6 8 2 2 3 3 4" xfId="24021"/>
    <cellStyle name="Обычный 6 8 2 2 3 3 4 2" xfId="24022"/>
    <cellStyle name="Обычный 6 8 2 2 3 3 5" xfId="24023"/>
    <cellStyle name="Обычный 6 8 2 2 3 3 6" xfId="24024"/>
    <cellStyle name="Обычный 6 8 2 2 3 4" xfId="24025"/>
    <cellStyle name="Обычный 6 8 2 2 3 4 2" xfId="24026"/>
    <cellStyle name="Обычный 6 8 2 2 3 4 3" xfId="24027"/>
    <cellStyle name="Обычный 6 8 2 2 3 5" xfId="24028"/>
    <cellStyle name="Обычный 6 8 2 2 3 5 2" xfId="24029"/>
    <cellStyle name="Обычный 6 8 2 2 3 5 3" xfId="24030"/>
    <cellStyle name="Обычный 6 8 2 2 3 6" xfId="24031"/>
    <cellStyle name="Обычный 6 8 2 2 3 6 2" xfId="24032"/>
    <cellStyle name="Обычный 6 8 2 2 3 7" xfId="24033"/>
    <cellStyle name="Обычный 6 8 2 2 3 8" xfId="24034"/>
    <cellStyle name="Обычный 6 8 2 2 4" xfId="24035"/>
    <cellStyle name="Обычный 6 8 2 2 4 2" xfId="24036"/>
    <cellStyle name="Обычный 6 8 2 2 4 2 2" xfId="24037"/>
    <cellStyle name="Обычный 6 8 2 2 4 2 2 2" xfId="24038"/>
    <cellStyle name="Обычный 6 8 2 2 4 2 2 3" xfId="24039"/>
    <cellStyle name="Обычный 6 8 2 2 4 2 3" xfId="24040"/>
    <cellStyle name="Обычный 6 8 2 2 4 2 3 2" xfId="24041"/>
    <cellStyle name="Обычный 6 8 2 2 4 2 3 3" xfId="24042"/>
    <cellStyle name="Обычный 6 8 2 2 4 2 4" xfId="24043"/>
    <cellStyle name="Обычный 6 8 2 2 4 2 4 2" xfId="24044"/>
    <cellStyle name="Обычный 6 8 2 2 4 2 5" xfId="24045"/>
    <cellStyle name="Обычный 6 8 2 2 4 2 6" xfId="24046"/>
    <cellStyle name="Обычный 6 8 2 2 4 3" xfId="24047"/>
    <cellStyle name="Обычный 6 8 2 2 4 3 2" xfId="24048"/>
    <cellStyle name="Обычный 6 8 2 2 4 3 3" xfId="24049"/>
    <cellStyle name="Обычный 6 8 2 2 4 4" xfId="24050"/>
    <cellStyle name="Обычный 6 8 2 2 4 4 2" xfId="24051"/>
    <cellStyle name="Обычный 6 8 2 2 4 4 3" xfId="24052"/>
    <cellStyle name="Обычный 6 8 2 2 4 5" xfId="24053"/>
    <cellStyle name="Обычный 6 8 2 2 4 5 2" xfId="24054"/>
    <cellStyle name="Обычный 6 8 2 2 4 6" xfId="24055"/>
    <cellStyle name="Обычный 6 8 2 2 4 7" xfId="24056"/>
    <cellStyle name="Обычный 6 8 2 2 5" xfId="24057"/>
    <cellStyle name="Обычный 6 8 2 2 5 2" xfId="24058"/>
    <cellStyle name="Обычный 6 8 2 2 5 2 2" xfId="24059"/>
    <cellStyle name="Обычный 6 8 2 2 5 2 3" xfId="24060"/>
    <cellStyle name="Обычный 6 8 2 2 5 3" xfId="24061"/>
    <cellStyle name="Обычный 6 8 2 2 5 3 2" xfId="24062"/>
    <cellStyle name="Обычный 6 8 2 2 5 3 3" xfId="24063"/>
    <cellStyle name="Обычный 6 8 2 2 5 4" xfId="24064"/>
    <cellStyle name="Обычный 6 8 2 2 5 4 2" xfId="24065"/>
    <cellStyle name="Обычный 6 8 2 2 5 5" xfId="24066"/>
    <cellStyle name="Обычный 6 8 2 2 5 6" xfId="24067"/>
    <cellStyle name="Обычный 6 8 2 2 6" xfId="24068"/>
    <cellStyle name="Обычный 6 8 2 2 6 2" xfId="24069"/>
    <cellStyle name="Обычный 6 8 2 2 6 3" xfId="24070"/>
    <cellStyle name="Обычный 6 8 2 2 7" xfId="24071"/>
    <cellStyle name="Обычный 6 8 2 2 7 2" xfId="24072"/>
    <cellStyle name="Обычный 6 8 2 2 7 3" xfId="24073"/>
    <cellStyle name="Обычный 6 8 2 2 8" xfId="24074"/>
    <cellStyle name="Обычный 6 8 2 2 8 2" xfId="24075"/>
    <cellStyle name="Обычный 6 8 2 2 9" xfId="24076"/>
    <cellStyle name="Обычный 6 8 2 3" xfId="24077"/>
    <cellStyle name="Обычный 6 8 2 3 10" xfId="24078"/>
    <cellStyle name="Обычный 6 8 2 3 2" xfId="24079"/>
    <cellStyle name="Обычный 6 8 2 3 2 2" xfId="24080"/>
    <cellStyle name="Обычный 6 8 2 3 2 2 2" xfId="24081"/>
    <cellStyle name="Обычный 6 8 2 3 2 2 2 2" xfId="24082"/>
    <cellStyle name="Обычный 6 8 2 3 2 2 2 2 2" xfId="24083"/>
    <cellStyle name="Обычный 6 8 2 3 2 2 2 2 2 2" xfId="24084"/>
    <cellStyle name="Обычный 6 8 2 3 2 2 2 2 2 3" xfId="24085"/>
    <cellStyle name="Обычный 6 8 2 3 2 2 2 2 3" xfId="24086"/>
    <cellStyle name="Обычный 6 8 2 3 2 2 2 2 3 2" xfId="24087"/>
    <cellStyle name="Обычный 6 8 2 3 2 2 2 2 3 3" xfId="24088"/>
    <cellStyle name="Обычный 6 8 2 3 2 2 2 2 4" xfId="24089"/>
    <cellStyle name="Обычный 6 8 2 3 2 2 2 2 4 2" xfId="24090"/>
    <cellStyle name="Обычный 6 8 2 3 2 2 2 2 5" xfId="24091"/>
    <cellStyle name="Обычный 6 8 2 3 2 2 2 2 6" xfId="24092"/>
    <cellStyle name="Обычный 6 8 2 3 2 2 2 3" xfId="24093"/>
    <cellStyle name="Обычный 6 8 2 3 2 2 2 3 2" xfId="24094"/>
    <cellStyle name="Обычный 6 8 2 3 2 2 2 3 3" xfId="24095"/>
    <cellStyle name="Обычный 6 8 2 3 2 2 2 4" xfId="24096"/>
    <cellStyle name="Обычный 6 8 2 3 2 2 2 4 2" xfId="24097"/>
    <cellStyle name="Обычный 6 8 2 3 2 2 2 4 3" xfId="24098"/>
    <cellStyle name="Обычный 6 8 2 3 2 2 2 5" xfId="24099"/>
    <cellStyle name="Обычный 6 8 2 3 2 2 2 5 2" xfId="24100"/>
    <cellStyle name="Обычный 6 8 2 3 2 2 2 6" xfId="24101"/>
    <cellStyle name="Обычный 6 8 2 3 2 2 2 7" xfId="24102"/>
    <cellStyle name="Обычный 6 8 2 3 2 2 3" xfId="24103"/>
    <cellStyle name="Обычный 6 8 2 3 2 2 3 2" xfId="24104"/>
    <cellStyle name="Обычный 6 8 2 3 2 2 3 2 2" xfId="24105"/>
    <cellStyle name="Обычный 6 8 2 3 2 2 3 2 3" xfId="24106"/>
    <cellStyle name="Обычный 6 8 2 3 2 2 3 3" xfId="24107"/>
    <cellStyle name="Обычный 6 8 2 3 2 2 3 3 2" xfId="24108"/>
    <cellStyle name="Обычный 6 8 2 3 2 2 3 3 3" xfId="24109"/>
    <cellStyle name="Обычный 6 8 2 3 2 2 3 4" xfId="24110"/>
    <cellStyle name="Обычный 6 8 2 3 2 2 3 4 2" xfId="24111"/>
    <cellStyle name="Обычный 6 8 2 3 2 2 3 5" xfId="24112"/>
    <cellStyle name="Обычный 6 8 2 3 2 2 3 6" xfId="24113"/>
    <cellStyle name="Обычный 6 8 2 3 2 2 4" xfId="24114"/>
    <cellStyle name="Обычный 6 8 2 3 2 2 4 2" xfId="24115"/>
    <cellStyle name="Обычный 6 8 2 3 2 2 4 3" xfId="24116"/>
    <cellStyle name="Обычный 6 8 2 3 2 2 5" xfId="24117"/>
    <cellStyle name="Обычный 6 8 2 3 2 2 5 2" xfId="24118"/>
    <cellStyle name="Обычный 6 8 2 3 2 2 5 3" xfId="24119"/>
    <cellStyle name="Обычный 6 8 2 3 2 2 6" xfId="24120"/>
    <cellStyle name="Обычный 6 8 2 3 2 2 6 2" xfId="24121"/>
    <cellStyle name="Обычный 6 8 2 3 2 2 7" xfId="24122"/>
    <cellStyle name="Обычный 6 8 2 3 2 2 8" xfId="24123"/>
    <cellStyle name="Обычный 6 8 2 3 2 3" xfId="24124"/>
    <cellStyle name="Обычный 6 8 2 3 2 3 2" xfId="24125"/>
    <cellStyle name="Обычный 6 8 2 3 2 3 2 2" xfId="24126"/>
    <cellStyle name="Обычный 6 8 2 3 2 3 2 2 2" xfId="24127"/>
    <cellStyle name="Обычный 6 8 2 3 2 3 2 2 3" xfId="24128"/>
    <cellStyle name="Обычный 6 8 2 3 2 3 2 3" xfId="24129"/>
    <cellStyle name="Обычный 6 8 2 3 2 3 2 3 2" xfId="24130"/>
    <cellStyle name="Обычный 6 8 2 3 2 3 2 3 3" xfId="24131"/>
    <cellStyle name="Обычный 6 8 2 3 2 3 2 4" xfId="24132"/>
    <cellStyle name="Обычный 6 8 2 3 2 3 2 4 2" xfId="24133"/>
    <cellStyle name="Обычный 6 8 2 3 2 3 2 5" xfId="24134"/>
    <cellStyle name="Обычный 6 8 2 3 2 3 2 6" xfId="24135"/>
    <cellStyle name="Обычный 6 8 2 3 2 3 3" xfId="24136"/>
    <cellStyle name="Обычный 6 8 2 3 2 3 3 2" xfId="24137"/>
    <cellStyle name="Обычный 6 8 2 3 2 3 3 3" xfId="24138"/>
    <cellStyle name="Обычный 6 8 2 3 2 3 4" xfId="24139"/>
    <cellStyle name="Обычный 6 8 2 3 2 3 4 2" xfId="24140"/>
    <cellStyle name="Обычный 6 8 2 3 2 3 4 3" xfId="24141"/>
    <cellStyle name="Обычный 6 8 2 3 2 3 5" xfId="24142"/>
    <cellStyle name="Обычный 6 8 2 3 2 3 5 2" xfId="24143"/>
    <cellStyle name="Обычный 6 8 2 3 2 3 6" xfId="24144"/>
    <cellStyle name="Обычный 6 8 2 3 2 3 7" xfId="24145"/>
    <cellStyle name="Обычный 6 8 2 3 2 4" xfId="24146"/>
    <cellStyle name="Обычный 6 8 2 3 2 4 2" xfId="24147"/>
    <cellStyle name="Обычный 6 8 2 3 2 4 2 2" xfId="24148"/>
    <cellStyle name="Обычный 6 8 2 3 2 4 2 3" xfId="24149"/>
    <cellStyle name="Обычный 6 8 2 3 2 4 3" xfId="24150"/>
    <cellStyle name="Обычный 6 8 2 3 2 4 3 2" xfId="24151"/>
    <cellStyle name="Обычный 6 8 2 3 2 4 3 3" xfId="24152"/>
    <cellStyle name="Обычный 6 8 2 3 2 4 4" xfId="24153"/>
    <cellStyle name="Обычный 6 8 2 3 2 4 4 2" xfId="24154"/>
    <cellStyle name="Обычный 6 8 2 3 2 4 5" xfId="24155"/>
    <cellStyle name="Обычный 6 8 2 3 2 4 6" xfId="24156"/>
    <cellStyle name="Обычный 6 8 2 3 2 5" xfId="24157"/>
    <cellStyle name="Обычный 6 8 2 3 2 5 2" xfId="24158"/>
    <cellStyle name="Обычный 6 8 2 3 2 5 3" xfId="24159"/>
    <cellStyle name="Обычный 6 8 2 3 2 6" xfId="24160"/>
    <cellStyle name="Обычный 6 8 2 3 2 6 2" xfId="24161"/>
    <cellStyle name="Обычный 6 8 2 3 2 6 3" xfId="24162"/>
    <cellStyle name="Обычный 6 8 2 3 2 7" xfId="24163"/>
    <cellStyle name="Обычный 6 8 2 3 2 7 2" xfId="24164"/>
    <cellStyle name="Обычный 6 8 2 3 2 8" xfId="24165"/>
    <cellStyle name="Обычный 6 8 2 3 2 9" xfId="24166"/>
    <cellStyle name="Обычный 6 8 2 3 3" xfId="24167"/>
    <cellStyle name="Обычный 6 8 2 3 3 2" xfId="24168"/>
    <cellStyle name="Обычный 6 8 2 3 3 2 2" xfId="24169"/>
    <cellStyle name="Обычный 6 8 2 3 3 2 2 2" xfId="24170"/>
    <cellStyle name="Обычный 6 8 2 3 3 2 2 2 2" xfId="24171"/>
    <cellStyle name="Обычный 6 8 2 3 3 2 2 2 3" xfId="24172"/>
    <cellStyle name="Обычный 6 8 2 3 3 2 2 3" xfId="24173"/>
    <cellStyle name="Обычный 6 8 2 3 3 2 2 3 2" xfId="24174"/>
    <cellStyle name="Обычный 6 8 2 3 3 2 2 3 3" xfId="24175"/>
    <cellStyle name="Обычный 6 8 2 3 3 2 2 4" xfId="24176"/>
    <cellStyle name="Обычный 6 8 2 3 3 2 2 4 2" xfId="24177"/>
    <cellStyle name="Обычный 6 8 2 3 3 2 2 5" xfId="24178"/>
    <cellStyle name="Обычный 6 8 2 3 3 2 2 6" xfId="24179"/>
    <cellStyle name="Обычный 6 8 2 3 3 2 3" xfId="24180"/>
    <cellStyle name="Обычный 6 8 2 3 3 2 3 2" xfId="24181"/>
    <cellStyle name="Обычный 6 8 2 3 3 2 3 3" xfId="24182"/>
    <cellStyle name="Обычный 6 8 2 3 3 2 4" xfId="24183"/>
    <cellStyle name="Обычный 6 8 2 3 3 2 4 2" xfId="24184"/>
    <cellStyle name="Обычный 6 8 2 3 3 2 4 3" xfId="24185"/>
    <cellStyle name="Обычный 6 8 2 3 3 2 5" xfId="24186"/>
    <cellStyle name="Обычный 6 8 2 3 3 2 5 2" xfId="24187"/>
    <cellStyle name="Обычный 6 8 2 3 3 2 6" xfId="24188"/>
    <cellStyle name="Обычный 6 8 2 3 3 2 7" xfId="24189"/>
    <cellStyle name="Обычный 6 8 2 3 3 3" xfId="24190"/>
    <cellStyle name="Обычный 6 8 2 3 3 3 2" xfId="24191"/>
    <cellStyle name="Обычный 6 8 2 3 3 3 2 2" xfId="24192"/>
    <cellStyle name="Обычный 6 8 2 3 3 3 2 3" xfId="24193"/>
    <cellStyle name="Обычный 6 8 2 3 3 3 3" xfId="24194"/>
    <cellStyle name="Обычный 6 8 2 3 3 3 3 2" xfId="24195"/>
    <cellStyle name="Обычный 6 8 2 3 3 3 3 3" xfId="24196"/>
    <cellStyle name="Обычный 6 8 2 3 3 3 4" xfId="24197"/>
    <cellStyle name="Обычный 6 8 2 3 3 3 4 2" xfId="24198"/>
    <cellStyle name="Обычный 6 8 2 3 3 3 5" xfId="24199"/>
    <cellStyle name="Обычный 6 8 2 3 3 3 6" xfId="24200"/>
    <cellStyle name="Обычный 6 8 2 3 3 4" xfId="24201"/>
    <cellStyle name="Обычный 6 8 2 3 3 4 2" xfId="24202"/>
    <cellStyle name="Обычный 6 8 2 3 3 4 3" xfId="24203"/>
    <cellStyle name="Обычный 6 8 2 3 3 5" xfId="24204"/>
    <cellStyle name="Обычный 6 8 2 3 3 5 2" xfId="24205"/>
    <cellStyle name="Обычный 6 8 2 3 3 5 3" xfId="24206"/>
    <cellStyle name="Обычный 6 8 2 3 3 6" xfId="24207"/>
    <cellStyle name="Обычный 6 8 2 3 3 6 2" xfId="24208"/>
    <cellStyle name="Обычный 6 8 2 3 3 7" xfId="24209"/>
    <cellStyle name="Обычный 6 8 2 3 3 8" xfId="24210"/>
    <cellStyle name="Обычный 6 8 2 3 4" xfId="24211"/>
    <cellStyle name="Обычный 6 8 2 3 4 2" xfId="24212"/>
    <cellStyle name="Обычный 6 8 2 3 4 2 2" xfId="24213"/>
    <cellStyle name="Обычный 6 8 2 3 4 2 2 2" xfId="24214"/>
    <cellStyle name="Обычный 6 8 2 3 4 2 2 3" xfId="24215"/>
    <cellStyle name="Обычный 6 8 2 3 4 2 3" xfId="24216"/>
    <cellStyle name="Обычный 6 8 2 3 4 2 3 2" xfId="24217"/>
    <cellStyle name="Обычный 6 8 2 3 4 2 3 3" xfId="24218"/>
    <cellStyle name="Обычный 6 8 2 3 4 2 4" xfId="24219"/>
    <cellStyle name="Обычный 6 8 2 3 4 2 4 2" xfId="24220"/>
    <cellStyle name="Обычный 6 8 2 3 4 2 5" xfId="24221"/>
    <cellStyle name="Обычный 6 8 2 3 4 2 6" xfId="24222"/>
    <cellStyle name="Обычный 6 8 2 3 4 3" xfId="24223"/>
    <cellStyle name="Обычный 6 8 2 3 4 3 2" xfId="24224"/>
    <cellStyle name="Обычный 6 8 2 3 4 3 3" xfId="24225"/>
    <cellStyle name="Обычный 6 8 2 3 4 4" xfId="24226"/>
    <cellStyle name="Обычный 6 8 2 3 4 4 2" xfId="24227"/>
    <cellStyle name="Обычный 6 8 2 3 4 4 3" xfId="24228"/>
    <cellStyle name="Обычный 6 8 2 3 4 5" xfId="24229"/>
    <cellStyle name="Обычный 6 8 2 3 4 5 2" xfId="24230"/>
    <cellStyle name="Обычный 6 8 2 3 4 6" xfId="24231"/>
    <cellStyle name="Обычный 6 8 2 3 4 7" xfId="24232"/>
    <cellStyle name="Обычный 6 8 2 3 5" xfId="24233"/>
    <cellStyle name="Обычный 6 8 2 3 5 2" xfId="24234"/>
    <cellStyle name="Обычный 6 8 2 3 5 2 2" xfId="24235"/>
    <cellStyle name="Обычный 6 8 2 3 5 2 3" xfId="24236"/>
    <cellStyle name="Обычный 6 8 2 3 5 3" xfId="24237"/>
    <cellStyle name="Обычный 6 8 2 3 5 3 2" xfId="24238"/>
    <cellStyle name="Обычный 6 8 2 3 5 3 3" xfId="24239"/>
    <cellStyle name="Обычный 6 8 2 3 5 4" xfId="24240"/>
    <cellStyle name="Обычный 6 8 2 3 5 4 2" xfId="24241"/>
    <cellStyle name="Обычный 6 8 2 3 5 5" xfId="24242"/>
    <cellStyle name="Обычный 6 8 2 3 5 6" xfId="24243"/>
    <cellStyle name="Обычный 6 8 2 3 6" xfId="24244"/>
    <cellStyle name="Обычный 6 8 2 3 6 2" xfId="24245"/>
    <cellStyle name="Обычный 6 8 2 3 6 3" xfId="24246"/>
    <cellStyle name="Обычный 6 8 2 3 7" xfId="24247"/>
    <cellStyle name="Обычный 6 8 2 3 7 2" xfId="24248"/>
    <cellStyle name="Обычный 6 8 2 3 7 3" xfId="24249"/>
    <cellStyle name="Обычный 6 8 2 3 8" xfId="24250"/>
    <cellStyle name="Обычный 6 8 2 3 8 2" xfId="24251"/>
    <cellStyle name="Обычный 6 8 2 3 9" xfId="24252"/>
    <cellStyle name="Обычный 6 8 2 4" xfId="24253"/>
    <cellStyle name="Обычный 6 8 2 4 10" xfId="24254"/>
    <cellStyle name="Обычный 6 8 2 4 2" xfId="24255"/>
    <cellStyle name="Обычный 6 8 2 4 2 2" xfId="24256"/>
    <cellStyle name="Обычный 6 8 2 4 2 2 2" xfId="24257"/>
    <cellStyle name="Обычный 6 8 2 4 2 2 2 2" xfId="24258"/>
    <cellStyle name="Обычный 6 8 2 4 2 2 2 2 2" xfId="24259"/>
    <cellStyle name="Обычный 6 8 2 4 2 2 2 2 2 2" xfId="24260"/>
    <cellStyle name="Обычный 6 8 2 4 2 2 2 2 2 3" xfId="24261"/>
    <cellStyle name="Обычный 6 8 2 4 2 2 2 2 3" xfId="24262"/>
    <cellStyle name="Обычный 6 8 2 4 2 2 2 2 3 2" xfId="24263"/>
    <cellStyle name="Обычный 6 8 2 4 2 2 2 2 3 3" xfId="24264"/>
    <cellStyle name="Обычный 6 8 2 4 2 2 2 2 4" xfId="24265"/>
    <cellStyle name="Обычный 6 8 2 4 2 2 2 2 4 2" xfId="24266"/>
    <cellStyle name="Обычный 6 8 2 4 2 2 2 2 5" xfId="24267"/>
    <cellStyle name="Обычный 6 8 2 4 2 2 2 2 6" xfId="24268"/>
    <cellStyle name="Обычный 6 8 2 4 2 2 2 3" xfId="24269"/>
    <cellStyle name="Обычный 6 8 2 4 2 2 2 3 2" xfId="24270"/>
    <cellStyle name="Обычный 6 8 2 4 2 2 2 3 3" xfId="24271"/>
    <cellStyle name="Обычный 6 8 2 4 2 2 2 4" xfId="24272"/>
    <cellStyle name="Обычный 6 8 2 4 2 2 2 4 2" xfId="24273"/>
    <cellStyle name="Обычный 6 8 2 4 2 2 2 4 3" xfId="24274"/>
    <cellStyle name="Обычный 6 8 2 4 2 2 2 5" xfId="24275"/>
    <cellStyle name="Обычный 6 8 2 4 2 2 2 5 2" xfId="24276"/>
    <cellStyle name="Обычный 6 8 2 4 2 2 2 6" xfId="24277"/>
    <cellStyle name="Обычный 6 8 2 4 2 2 2 7" xfId="24278"/>
    <cellStyle name="Обычный 6 8 2 4 2 2 3" xfId="24279"/>
    <cellStyle name="Обычный 6 8 2 4 2 2 3 2" xfId="24280"/>
    <cellStyle name="Обычный 6 8 2 4 2 2 3 2 2" xfId="24281"/>
    <cellStyle name="Обычный 6 8 2 4 2 2 3 2 3" xfId="24282"/>
    <cellStyle name="Обычный 6 8 2 4 2 2 3 3" xfId="24283"/>
    <cellStyle name="Обычный 6 8 2 4 2 2 3 3 2" xfId="24284"/>
    <cellStyle name="Обычный 6 8 2 4 2 2 3 3 3" xfId="24285"/>
    <cellStyle name="Обычный 6 8 2 4 2 2 3 4" xfId="24286"/>
    <cellStyle name="Обычный 6 8 2 4 2 2 3 4 2" xfId="24287"/>
    <cellStyle name="Обычный 6 8 2 4 2 2 3 5" xfId="24288"/>
    <cellStyle name="Обычный 6 8 2 4 2 2 3 6" xfId="24289"/>
    <cellStyle name="Обычный 6 8 2 4 2 2 4" xfId="24290"/>
    <cellStyle name="Обычный 6 8 2 4 2 2 4 2" xfId="24291"/>
    <cellStyle name="Обычный 6 8 2 4 2 2 4 3" xfId="24292"/>
    <cellStyle name="Обычный 6 8 2 4 2 2 5" xfId="24293"/>
    <cellStyle name="Обычный 6 8 2 4 2 2 5 2" xfId="24294"/>
    <cellStyle name="Обычный 6 8 2 4 2 2 5 3" xfId="24295"/>
    <cellStyle name="Обычный 6 8 2 4 2 2 6" xfId="24296"/>
    <cellStyle name="Обычный 6 8 2 4 2 2 6 2" xfId="24297"/>
    <cellStyle name="Обычный 6 8 2 4 2 2 7" xfId="24298"/>
    <cellStyle name="Обычный 6 8 2 4 2 2 8" xfId="24299"/>
    <cellStyle name="Обычный 6 8 2 4 2 3" xfId="24300"/>
    <cellStyle name="Обычный 6 8 2 4 2 3 2" xfId="24301"/>
    <cellStyle name="Обычный 6 8 2 4 2 3 2 2" xfId="24302"/>
    <cellStyle name="Обычный 6 8 2 4 2 3 2 2 2" xfId="24303"/>
    <cellStyle name="Обычный 6 8 2 4 2 3 2 2 3" xfId="24304"/>
    <cellStyle name="Обычный 6 8 2 4 2 3 2 3" xfId="24305"/>
    <cellStyle name="Обычный 6 8 2 4 2 3 2 3 2" xfId="24306"/>
    <cellStyle name="Обычный 6 8 2 4 2 3 2 3 3" xfId="24307"/>
    <cellStyle name="Обычный 6 8 2 4 2 3 2 4" xfId="24308"/>
    <cellStyle name="Обычный 6 8 2 4 2 3 2 4 2" xfId="24309"/>
    <cellStyle name="Обычный 6 8 2 4 2 3 2 5" xfId="24310"/>
    <cellStyle name="Обычный 6 8 2 4 2 3 2 6" xfId="24311"/>
    <cellStyle name="Обычный 6 8 2 4 2 3 3" xfId="24312"/>
    <cellStyle name="Обычный 6 8 2 4 2 3 3 2" xfId="24313"/>
    <cellStyle name="Обычный 6 8 2 4 2 3 3 3" xfId="24314"/>
    <cellStyle name="Обычный 6 8 2 4 2 3 4" xfId="24315"/>
    <cellStyle name="Обычный 6 8 2 4 2 3 4 2" xfId="24316"/>
    <cellStyle name="Обычный 6 8 2 4 2 3 4 3" xfId="24317"/>
    <cellStyle name="Обычный 6 8 2 4 2 3 5" xfId="24318"/>
    <cellStyle name="Обычный 6 8 2 4 2 3 5 2" xfId="24319"/>
    <cellStyle name="Обычный 6 8 2 4 2 3 6" xfId="24320"/>
    <cellStyle name="Обычный 6 8 2 4 2 3 7" xfId="24321"/>
    <cellStyle name="Обычный 6 8 2 4 2 4" xfId="24322"/>
    <cellStyle name="Обычный 6 8 2 4 2 4 2" xfId="24323"/>
    <cellStyle name="Обычный 6 8 2 4 2 4 2 2" xfId="24324"/>
    <cellStyle name="Обычный 6 8 2 4 2 4 2 3" xfId="24325"/>
    <cellStyle name="Обычный 6 8 2 4 2 4 3" xfId="24326"/>
    <cellStyle name="Обычный 6 8 2 4 2 4 3 2" xfId="24327"/>
    <cellStyle name="Обычный 6 8 2 4 2 4 3 3" xfId="24328"/>
    <cellStyle name="Обычный 6 8 2 4 2 4 4" xfId="24329"/>
    <cellStyle name="Обычный 6 8 2 4 2 4 4 2" xfId="24330"/>
    <cellStyle name="Обычный 6 8 2 4 2 4 5" xfId="24331"/>
    <cellStyle name="Обычный 6 8 2 4 2 4 6" xfId="24332"/>
    <cellStyle name="Обычный 6 8 2 4 2 5" xfId="24333"/>
    <cellStyle name="Обычный 6 8 2 4 2 5 2" xfId="24334"/>
    <cellStyle name="Обычный 6 8 2 4 2 5 3" xfId="24335"/>
    <cellStyle name="Обычный 6 8 2 4 2 6" xfId="24336"/>
    <cellStyle name="Обычный 6 8 2 4 2 6 2" xfId="24337"/>
    <cellStyle name="Обычный 6 8 2 4 2 6 3" xfId="24338"/>
    <cellStyle name="Обычный 6 8 2 4 2 7" xfId="24339"/>
    <cellStyle name="Обычный 6 8 2 4 2 7 2" xfId="24340"/>
    <cellStyle name="Обычный 6 8 2 4 2 8" xfId="24341"/>
    <cellStyle name="Обычный 6 8 2 4 2 9" xfId="24342"/>
    <cellStyle name="Обычный 6 8 2 4 3" xfId="24343"/>
    <cellStyle name="Обычный 6 8 2 4 3 2" xfId="24344"/>
    <cellStyle name="Обычный 6 8 2 4 3 2 2" xfId="24345"/>
    <cellStyle name="Обычный 6 8 2 4 3 2 2 2" xfId="24346"/>
    <cellStyle name="Обычный 6 8 2 4 3 2 2 2 2" xfId="24347"/>
    <cellStyle name="Обычный 6 8 2 4 3 2 2 2 3" xfId="24348"/>
    <cellStyle name="Обычный 6 8 2 4 3 2 2 3" xfId="24349"/>
    <cellStyle name="Обычный 6 8 2 4 3 2 2 3 2" xfId="24350"/>
    <cellStyle name="Обычный 6 8 2 4 3 2 2 3 3" xfId="24351"/>
    <cellStyle name="Обычный 6 8 2 4 3 2 2 4" xfId="24352"/>
    <cellStyle name="Обычный 6 8 2 4 3 2 2 4 2" xfId="24353"/>
    <cellStyle name="Обычный 6 8 2 4 3 2 2 5" xfId="24354"/>
    <cellStyle name="Обычный 6 8 2 4 3 2 2 6" xfId="24355"/>
    <cellStyle name="Обычный 6 8 2 4 3 2 3" xfId="24356"/>
    <cellStyle name="Обычный 6 8 2 4 3 2 3 2" xfId="24357"/>
    <cellStyle name="Обычный 6 8 2 4 3 2 3 3" xfId="24358"/>
    <cellStyle name="Обычный 6 8 2 4 3 2 4" xfId="24359"/>
    <cellStyle name="Обычный 6 8 2 4 3 2 4 2" xfId="24360"/>
    <cellStyle name="Обычный 6 8 2 4 3 2 4 3" xfId="24361"/>
    <cellStyle name="Обычный 6 8 2 4 3 2 5" xfId="24362"/>
    <cellStyle name="Обычный 6 8 2 4 3 2 5 2" xfId="24363"/>
    <cellStyle name="Обычный 6 8 2 4 3 2 6" xfId="24364"/>
    <cellStyle name="Обычный 6 8 2 4 3 2 7" xfId="24365"/>
    <cellStyle name="Обычный 6 8 2 4 3 3" xfId="24366"/>
    <cellStyle name="Обычный 6 8 2 4 3 3 2" xfId="24367"/>
    <cellStyle name="Обычный 6 8 2 4 3 3 2 2" xfId="24368"/>
    <cellStyle name="Обычный 6 8 2 4 3 3 2 3" xfId="24369"/>
    <cellStyle name="Обычный 6 8 2 4 3 3 3" xfId="24370"/>
    <cellStyle name="Обычный 6 8 2 4 3 3 3 2" xfId="24371"/>
    <cellStyle name="Обычный 6 8 2 4 3 3 3 3" xfId="24372"/>
    <cellStyle name="Обычный 6 8 2 4 3 3 4" xfId="24373"/>
    <cellStyle name="Обычный 6 8 2 4 3 3 4 2" xfId="24374"/>
    <cellStyle name="Обычный 6 8 2 4 3 3 5" xfId="24375"/>
    <cellStyle name="Обычный 6 8 2 4 3 3 6" xfId="24376"/>
    <cellStyle name="Обычный 6 8 2 4 3 4" xfId="24377"/>
    <cellStyle name="Обычный 6 8 2 4 3 4 2" xfId="24378"/>
    <cellStyle name="Обычный 6 8 2 4 3 4 3" xfId="24379"/>
    <cellStyle name="Обычный 6 8 2 4 3 5" xfId="24380"/>
    <cellStyle name="Обычный 6 8 2 4 3 5 2" xfId="24381"/>
    <cellStyle name="Обычный 6 8 2 4 3 5 3" xfId="24382"/>
    <cellStyle name="Обычный 6 8 2 4 3 6" xfId="24383"/>
    <cellStyle name="Обычный 6 8 2 4 3 6 2" xfId="24384"/>
    <cellStyle name="Обычный 6 8 2 4 3 7" xfId="24385"/>
    <cellStyle name="Обычный 6 8 2 4 3 8" xfId="24386"/>
    <cellStyle name="Обычный 6 8 2 4 4" xfId="24387"/>
    <cellStyle name="Обычный 6 8 2 4 4 2" xfId="24388"/>
    <cellStyle name="Обычный 6 8 2 4 4 2 2" xfId="24389"/>
    <cellStyle name="Обычный 6 8 2 4 4 2 2 2" xfId="24390"/>
    <cellStyle name="Обычный 6 8 2 4 4 2 2 3" xfId="24391"/>
    <cellStyle name="Обычный 6 8 2 4 4 2 3" xfId="24392"/>
    <cellStyle name="Обычный 6 8 2 4 4 2 3 2" xfId="24393"/>
    <cellStyle name="Обычный 6 8 2 4 4 2 3 3" xfId="24394"/>
    <cellStyle name="Обычный 6 8 2 4 4 2 4" xfId="24395"/>
    <cellStyle name="Обычный 6 8 2 4 4 2 4 2" xfId="24396"/>
    <cellStyle name="Обычный 6 8 2 4 4 2 5" xfId="24397"/>
    <cellStyle name="Обычный 6 8 2 4 4 2 6" xfId="24398"/>
    <cellStyle name="Обычный 6 8 2 4 4 3" xfId="24399"/>
    <cellStyle name="Обычный 6 8 2 4 4 3 2" xfId="24400"/>
    <cellStyle name="Обычный 6 8 2 4 4 3 3" xfId="24401"/>
    <cellStyle name="Обычный 6 8 2 4 4 4" xfId="24402"/>
    <cellStyle name="Обычный 6 8 2 4 4 4 2" xfId="24403"/>
    <cellStyle name="Обычный 6 8 2 4 4 4 3" xfId="24404"/>
    <cellStyle name="Обычный 6 8 2 4 4 5" xfId="24405"/>
    <cellStyle name="Обычный 6 8 2 4 4 5 2" xfId="24406"/>
    <cellStyle name="Обычный 6 8 2 4 4 6" xfId="24407"/>
    <cellStyle name="Обычный 6 8 2 4 4 7" xfId="24408"/>
    <cellStyle name="Обычный 6 8 2 4 5" xfId="24409"/>
    <cellStyle name="Обычный 6 8 2 4 5 2" xfId="24410"/>
    <cellStyle name="Обычный 6 8 2 4 5 2 2" xfId="24411"/>
    <cellStyle name="Обычный 6 8 2 4 5 2 3" xfId="24412"/>
    <cellStyle name="Обычный 6 8 2 4 5 3" xfId="24413"/>
    <cellStyle name="Обычный 6 8 2 4 5 3 2" xfId="24414"/>
    <cellStyle name="Обычный 6 8 2 4 5 3 3" xfId="24415"/>
    <cellStyle name="Обычный 6 8 2 4 5 4" xfId="24416"/>
    <cellStyle name="Обычный 6 8 2 4 5 4 2" xfId="24417"/>
    <cellStyle name="Обычный 6 8 2 4 5 5" xfId="24418"/>
    <cellStyle name="Обычный 6 8 2 4 5 6" xfId="24419"/>
    <cellStyle name="Обычный 6 8 2 4 6" xfId="24420"/>
    <cellStyle name="Обычный 6 8 2 4 6 2" xfId="24421"/>
    <cellStyle name="Обычный 6 8 2 4 6 3" xfId="24422"/>
    <cellStyle name="Обычный 6 8 2 4 7" xfId="24423"/>
    <cellStyle name="Обычный 6 8 2 4 7 2" xfId="24424"/>
    <cellStyle name="Обычный 6 8 2 4 7 3" xfId="24425"/>
    <cellStyle name="Обычный 6 8 2 4 8" xfId="24426"/>
    <cellStyle name="Обычный 6 8 2 4 8 2" xfId="24427"/>
    <cellStyle name="Обычный 6 8 2 4 9" xfId="24428"/>
    <cellStyle name="Обычный 6 8 2 5" xfId="24429"/>
    <cellStyle name="Обычный 6 8 2 5 2" xfId="24430"/>
    <cellStyle name="Обычный 6 8 2 5 2 2" xfId="24431"/>
    <cellStyle name="Обычный 6 8 2 5 2 2 2" xfId="24432"/>
    <cellStyle name="Обычный 6 8 2 5 2 2 2 2" xfId="24433"/>
    <cellStyle name="Обычный 6 8 2 5 2 2 2 2 2" xfId="24434"/>
    <cellStyle name="Обычный 6 8 2 5 2 2 2 2 3" xfId="24435"/>
    <cellStyle name="Обычный 6 8 2 5 2 2 2 3" xfId="24436"/>
    <cellStyle name="Обычный 6 8 2 5 2 2 2 3 2" xfId="24437"/>
    <cellStyle name="Обычный 6 8 2 5 2 2 2 3 3" xfId="24438"/>
    <cellStyle name="Обычный 6 8 2 5 2 2 2 4" xfId="24439"/>
    <cellStyle name="Обычный 6 8 2 5 2 2 2 4 2" xfId="24440"/>
    <cellStyle name="Обычный 6 8 2 5 2 2 2 5" xfId="24441"/>
    <cellStyle name="Обычный 6 8 2 5 2 2 2 6" xfId="24442"/>
    <cellStyle name="Обычный 6 8 2 5 2 2 3" xfId="24443"/>
    <cellStyle name="Обычный 6 8 2 5 2 2 3 2" xfId="24444"/>
    <cellStyle name="Обычный 6 8 2 5 2 2 3 3" xfId="24445"/>
    <cellStyle name="Обычный 6 8 2 5 2 2 4" xfId="24446"/>
    <cellStyle name="Обычный 6 8 2 5 2 2 4 2" xfId="24447"/>
    <cellStyle name="Обычный 6 8 2 5 2 2 4 3" xfId="24448"/>
    <cellStyle name="Обычный 6 8 2 5 2 2 5" xfId="24449"/>
    <cellStyle name="Обычный 6 8 2 5 2 2 5 2" xfId="24450"/>
    <cellStyle name="Обычный 6 8 2 5 2 2 6" xfId="24451"/>
    <cellStyle name="Обычный 6 8 2 5 2 2 7" xfId="24452"/>
    <cellStyle name="Обычный 6 8 2 5 2 3" xfId="24453"/>
    <cellStyle name="Обычный 6 8 2 5 2 3 2" xfId="24454"/>
    <cellStyle name="Обычный 6 8 2 5 2 3 2 2" xfId="24455"/>
    <cellStyle name="Обычный 6 8 2 5 2 3 2 3" xfId="24456"/>
    <cellStyle name="Обычный 6 8 2 5 2 3 3" xfId="24457"/>
    <cellStyle name="Обычный 6 8 2 5 2 3 3 2" xfId="24458"/>
    <cellStyle name="Обычный 6 8 2 5 2 3 3 3" xfId="24459"/>
    <cellStyle name="Обычный 6 8 2 5 2 3 4" xfId="24460"/>
    <cellStyle name="Обычный 6 8 2 5 2 3 4 2" xfId="24461"/>
    <cellStyle name="Обычный 6 8 2 5 2 3 5" xfId="24462"/>
    <cellStyle name="Обычный 6 8 2 5 2 3 6" xfId="24463"/>
    <cellStyle name="Обычный 6 8 2 5 2 4" xfId="24464"/>
    <cellStyle name="Обычный 6 8 2 5 2 4 2" xfId="24465"/>
    <cellStyle name="Обычный 6 8 2 5 2 4 3" xfId="24466"/>
    <cellStyle name="Обычный 6 8 2 5 2 5" xfId="24467"/>
    <cellStyle name="Обычный 6 8 2 5 2 5 2" xfId="24468"/>
    <cellStyle name="Обычный 6 8 2 5 2 5 3" xfId="24469"/>
    <cellStyle name="Обычный 6 8 2 5 2 6" xfId="24470"/>
    <cellStyle name="Обычный 6 8 2 5 2 6 2" xfId="24471"/>
    <cellStyle name="Обычный 6 8 2 5 2 7" xfId="24472"/>
    <cellStyle name="Обычный 6 8 2 5 2 8" xfId="24473"/>
    <cellStyle name="Обычный 6 8 2 5 3" xfId="24474"/>
    <cellStyle name="Обычный 6 8 2 5 3 2" xfId="24475"/>
    <cellStyle name="Обычный 6 8 2 5 3 2 2" xfId="24476"/>
    <cellStyle name="Обычный 6 8 2 5 3 2 2 2" xfId="24477"/>
    <cellStyle name="Обычный 6 8 2 5 3 2 2 3" xfId="24478"/>
    <cellStyle name="Обычный 6 8 2 5 3 2 3" xfId="24479"/>
    <cellStyle name="Обычный 6 8 2 5 3 2 3 2" xfId="24480"/>
    <cellStyle name="Обычный 6 8 2 5 3 2 3 3" xfId="24481"/>
    <cellStyle name="Обычный 6 8 2 5 3 2 4" xfId="24482"/>
    <cellStyle name="Обычный 6 8 2 5 3 2 4 2" xfId="24483"/>
    <cellStyle name="Обычный 6 8 2 5 3 2 5" xfId="24484"/>
    <cellStyle name="Обычный 6 8 2 5 3 2 6" xfId="24485"/>
    <cellStyle name="Обычный 6 8 2 5 3 3" xfId="24486"/>
    <cellStyle name="Обычный 6 8 2 5 3 3 2" xfId="24487"/>
    <cellStyle name="Обычный 6 8 2 5 3 3 3" xfId="24488"/>
    <cellStyle name="Обычный 6 8 2 5 3 4" xfId="24489"/>
    <cellStyle name="Обычный 6 8 2 5 3 4 2" xfId="24490"/>
    <cellStyle name="Обычный 6 8 2 5 3 4 3" xfId="24491"/>
    <cellStyle name="Обычный 6 8 2 5 3 5" xfId="24492"/>
    <cellStyle name="Обычный 6 8 2 5 3 5 2" xfId="24493"/>
    <cellStyle name="Обычный 6 8 2 5 3 6" xfId="24494"/>
    <cellStyle name="Обычный 6 8 2 5 3 7" xfId="24495"/>
    <cellStyle name="Обычный 6 8 2 5 4" xfId="24496"/>
    <cellStyle name="Обычный 6 8 2 5 4 2" xfId="24497"/>
    <cellStyle name="Обычный 6 8 2 5 4 2 2" xfId="24498"/>
    <cellStyle name="Обычный 6 8 2 5 4 2 3" xfId="24499"/>
    <cellStyle name="Обычный 6 8 2 5 4 3" xfId="24500"/>
    <cellStyle name="Обычный 6 8 2 5 4 3 2" xfId="24501"/>
    <cellStyle name="Обычный 6 8 2 5 4 3 3" xfId="24502"/>
    <cellStyle name="Обычный 6 8 2 5 4 4" xfId="24503"/>
    <cellStyle name="Обычный 6 8 2 5 4 4 2" xfId="24504"/>
    <cellStyle name="Обычный 6 8 2 5 4 5" xfId="24505"/>
    <cellStyle name="Обычный 6 8 2 5 4 6" xfId="24506"/>
    <cellStyle name="Обычный 6 8 2 5 5" xfId="24507"/>
    <cellStyle name="Обычный 6 8 2 5 5 2" xfId="24508"/>
    <cellStyle name="Обычный 6 8 2 5 5 3" xfId="24509"/>
    <cellStyle name="Обычный 6 8 2 5 6" xfId="24510"/>
    <cellStyle name="Обычный 6 8 2 5 6 2" xfId="24511"/>
    <cellStyle name="Обычный 6 8 2 5 6 3" xfId="24512"/>
    <cellStyle name="Обычный 6 8 2 5 7" xfId="24513"/>
    <cellStyle name="Обычный 6 8 2 5 7 2" xfId="24514"/>
    <cellStyle name="Обычный 6 8 2 5 8" xfId="24515"/>
    <cellStyle name="Обычный 6 8 2 5 9" xfId="24516"/>
    <cellStyle name="Обычный 6 8 2 6" xfId="24517"/>
    <cellStyle name="Обычный 6 8 2 6 2" xfId="24518"/>
    <cellStyle name="Обычный 6 8 2 6 2 2" xfId="24519"/>
    <cellStyle name="Обычный 6 8 2 6 2 2 2" xfId="24520"/>
    <cellStyle name="Обычный 6 8 2 6 2 2 2 2" xfId="24521"/>
    <cellStyle name="Обычный 6 8 2 6 2 2 2 3" xfId="24522"/>
    <cellStyle name="Обычный 6 8 2 6 2 2 3" xfId="24523"/>
    <cellStyle name="Обычный 6 8 2 6 2 2 3 2" xfId="24524"/>
    <cellStyle name="Обычный 6 8 2 6 2 2 3 3" xfId="24525"/>
    <cellStyle name="Обычный 6 8 2 6 2 2 4" xfId="24526"/>
    <cellStyle name="Обычный 6 8 2 6 2 2 4 2" xfId="24527"/>
    <cellStyle name="Обычный 6 8 2 6 2 2 5" xfId="24528"/>
    <cellStyle name="Обычный 6 8 2 6 2 2 6" xfId="24529"/>
    <cellStyle name="Обычный 6 8 2 6 2 3" xfId="24530"/>
    <cellStyle name="Обычный 6 8 2 6 2 3 2" xfId="24531"/>
    <cellStyle name="Обычный 6 8 2 6 2 3 3" xfId="24532"/>
    <cellStyle name="Обычный 6 8 2 6 2 4" xfId="24533"/>
    <cellStyle name="Обычный 6 8 2 6 2 4 2" xfId="24534"/>
    <cellStyle name="Обычный 6 8 2 6 2 4 3" xfId="24535"/>
    <cellStyle name="Обычный 6 8 2 6 2 5" xfId="24536"/>
    <cellStyle name="Обычный 6 8 2 6 2 5 2" xfId="24537"/>
    <cellStyle name="Обычный 6 8 2 6 2 6" xfId="24538"/>
    <cellStyle name="Обычный 6 8 2 6 2 7" xfId="24539"/>
    <cellStyle name="Обычный 6 8 2 6 3" xfId="24540"/>
    <cellStyle name="Обычный 6 8 2 6 3 2" xfId="24541"/>
    <cellStyle name="Обычный 6 8 2 6 3 2 2" xfId="24542"/>
    <cellStyle name="Обычный 6 8 2 6 3 2 3" xfId="24543"/>
    <cellStyle name="Обычный 6 8 2 6 3 3" xfId="24544"/>
    <cellStyle name="Обычный 6 8 2 6 3 3 2" xfId="24545"/>
    <cellStyle name="Обычный 6 8 2 6 3 3 3" xfId="24546"/>
    <cellStyle name="Обычный 6 8 2 6 3 4" xfId="24547"/>
    <cellStyle name="Обычный 6 8 2 6 3 4 2" xfId="24548"/>
    <cellStyle name="Обычный 6 8 2 6 3 5" xfId="24549"/>
    <cellStyle name="Обычный 6 8 2 6 3 6" xfId="24550"/>
    <cellStyle name="Обычный 6 8 2 6 4" xfId="24551"/>
    <cellStyle name="Обычный 6 8 2 6 4 2" xfId="24552"/>
    <cellStyle name="Обычный 6 8 2 6 4 3" xfId="24553"/>
    <cellStyle name="Обычный 6 8 2 6 5" xfId="24554"/>
    <cellStyle name="Обычный 6 8 2 6 5 2" xfId="24555"/>
    <cellStyle name="Обычный 6 8 2 6 5 3" xfId="24556"/>
    <cellStyle name="Обычный 6 8 2 6 6" xfId="24557"/>
    <cellStyle name="Обычный 6 8 2 6 6 2" xfId="24558"/>
    <cellStyle name="Обычный 6 8 2 6 7" xfId="24559"/>
    <cellStyle name="Обычный 6 8 2 6 8" xfId="24560"/>
    <cellStyle name="Обычный 6 8 2 7" xfId="24561"/>
    <cellStyle name="Обычный 6 8 2 7 2" xfId="24562"/>
    <cellStyle name="Обычный 6 8 2 7 2 2" xfId="24563"/>
    <cellStyle name="Обычный 6 8 2 7 2 2 2" xfId="24564"/>
    <cellStyle name="Обычный 6 8 2 7 2 2 3" xfId="24565"/>
    <cellStyle name="Обычный 6 8 2 7 2 3" xfId="24566"/>
    <cellStyle name="Обычный 6 8 2 7 2 3 2" xfId="24567"/>
    <cellStyle name="Обычный 6 8 2 7 2 3 3" xfId="24568"/>
    <cellStyle name="Обычный 6 8 2 7 2 4" xfId="24569"/>
    <cellStyle name="Обычный 6 8 2 7 2 4 2" xfId="24570"/>
    <cellStyle name="Обычный 6 8 2 7 2 5" xfId="24571"/>
    <cellStyle name="Обычный 6 8 2 7 2 6" xfId="24572"/>
    <cellStyle name="Обычный 6 8 2 7 3" xfId="24573"/>
    <cellStyle name="Обычный 6 8 2 7 3 2" xfId="24574"/>
    <cellStyle name="Обычный 6 8 2 7 3 3" xfId="24575"/>
    <cellStyle name="Обычный 6 8 2 7 4" xfId="24576"/>
    <cellStyle name="Обычный 6 8 2 7 4 2" xfId="24577"/>
    <cellStyle name="Обычный 6 8 2 7 4 3" xfId="24578"/>
    <cellStyle name="Обычный 6 8 2 7 5" xfId="24579"/>
    <cellStyle name="Обычный 6 8 2 7 5 2" xfId="24580"/>
    <cellStyle name="Обычный 6 8 2 7 6" xfId="24581"/>
    <cellStyle name="Обычный 6 8 2 7 7" xfId="24582"/>
    <cellStyle name="Обычный 6 8 2 8" xfId="24583"/>
    <cellStyle name="Обычный 6 8 2 8 2" xfId="24584"/>
    <cellStyle name="Обычный 6 8 2 8 2 2" xfId="24585"/>
    <cellStyle name="Обычный 6 8 2 8 2 3" xfId="24586"/>
    <cellStyle name="Обычный 6 8 2 8 3" xfId="24587"/>
    <cellStyle name="Обычный 6 8 2 8 3 2" xfId="24588"/>
    <cellStyle name="Обычный 6 8 2 8 3 3" xfId="24589"/>
    <cellStyle name="Обычный 6 8 2 8 4" xfId="24590"/>
    <cellStyle name="Обычный 6 8 2 8 4 2" xfId="24591"/>
    <cellStyle name="Обычный 6 8 2 8 5" xfId="24592"/>
    <cellStyle name="Обычный 6 8 2 8 6" xfId="24593"/>
    <cellStyle name="Обычный 6 8 2 9" xfId="24594"/>
    <cellStyle name="Обычный 6 8 2 9 2" xfId="24595"/>
    <cellStyle name="Обычный 6 8 2 9 3" xfId="24596"/>
    <cellStyle name="Обычный 6 8 3" xfId="24597"/>
    <cellStyle name="Обычный 6 8 3 10" xfId="24598"/>
    <cellStyle name="Обычный 6 8 3 2" xfId="24599"/>
    <cellStyle name="Обычный 6 8 3 2 2" xfId="24600"/>
    <cellStyle name="Обычный 6 8 3 2 2 2" xfId="24601"/>
    <cellStyle name="Обычный 6 8 3 2 2 2 2" xfId="24602"/>
    <cellStyle name="Обычный 6 8 3 2 2 2 2 2" xfId="24603"/>
    <cellStyle name="Обычный 6 8 3 2 2 2 2 2 2" xfId="24604"/>
    <cellStyle name="Обычный 6 8 3 2 2 2 2 2 3" xfId="24605"/>
    <cellStyle name="Обычный 6 8 3 2 2 2 2 3" xfId="24606"/>
    <cellStyle name="Обычный 6 8 3 2 2 2 2 3 2" xfId="24607"/>
    <cellStyle name="Обычный 6 8 3 2 2 2 2 3 3" xfId="24608"/>
    <cellStyle name="Обычный 6 8 3 2 2 2 2 4" xfId="24609"/>
    <cellStyle name="Обычный 6 8 3 2 2 2 2 4 2" xfId="24610"/>
    <cellStyle name="Обычный 6 8 3 2 2 2 2 5" xfId="24611"/>
    <cellStyle name="Обычный 6 8 3 2 2 2 2 6" xfId="24612"/>
    <cellStyle name="Обычный 6 8 3 2 2 2 3" xfId="24613"/>
    <cellStyle name="Обычный 6 8 3 2 2 2 3 2" xfId="24614"/>
    <cellStyle name="Обычный 6 8 3 2 2 2 3 3" xfId="24615"/>
    <cellStyle name="Обычный 6 8 3 2 2 2 4" xfId="24616"/>
    <cellStyle name="Обычный 6 8 3 2 2 2 4 2" xfId="24617"/>
    <cellStyle name="Обычный 6 8 3 2 2 2 4 3" xfId="24618"/>
    <cellStyle name="Обычный 6 8 3 2 2 2 5" xfId="24619"/>
    <cellStyle name="Обычный 6 8 3 2 2 2 5 2" xfId="24620"/>
    <cellStyle name="Обычный 6 8 3 2 2 2 6" xfId="24621"/>
    <cellStyle name="Обычный 6 8 3 2 2 2 7" xfId="24622"/>
    <cellStyle name="Обычный 6 8 3 2 2 3" xfId="24623"/>
    <cellStyle name="Обычный 6 8 3 2 2 3 2" xfId="24624"/>
    <cellStyle name="Обычный 6 8 3 2 2 3 2 2" xfId="24625"/>
    <cellStyle name="Обычный 6 8 3 2 2 3 2 3" xfId="24626"/>
    <cellStyle name="Обычный 6 8 3 2 2 3 3" xfId="24627"/>
    <cellStyle name="Обычный 6 8 3 2 2 3 3 2" xfId="24628"/>
    <cellStyle name="Обычный 6 8 3 2 2 3 3 3" xfId="24629"/>
    <cellStyle name="Обычный 6 8 3 2 2 3 4" xfId="24630"/>
    <cellStyle name="Обычный 6 8 3 2 2 3 4 2" xfId="24631"/>
    <cellStyle name="Обычный 6 8 3 2 2 3 5" xfId="24632"/>
    <cellStyle name="Обычный 6 8 3 2 2 3 6" xfId="24633"/>
    <cellStyle name="Обычный 6 8 3 2 2 4" xfId="24634"/>
    <cellStyle name="Обычный 6 8 3 2 2 4 2" xfId="24635"/>
    <cellStyle name="Обычный 6 8 3 2 2 4 3" xfId="24636"/>
    <cellStyle name="Обычный 6 8 3 2 2 5" xfId="24637"/>
    <cellStyle name="Обычный 6 8 3 2 2 5 2" xfId="24638"/>
    <cellStyle name="Обычный 6 8 3 2 2 5 3" xfId="24639"/>
    <cellStyle name="Обычный 6 8 3 2 2 6" xfId="24640"/>
    <cellStyle name="Обычный 6 8 3 2 2 6 2" xfId="24641"/>
    <cellStyle name="Обычный 6 8 3 2 2 7" xfId="24642"/>
    <cellStyle name="Обычный 6 8 3 2 2 8" xfId="24643"/>
    <cellStyle name="Обычный 6 8 3 2 3" xfId="24644"/>
    <cellStyle name="Обычный 6 8 3 2 3 2" xfId="24645"/>
    <cellStyle name="Обычный 6 8 3 2 3 2 2" xfId="24646"/>
    <cellStyle name="Обычный 6 8 3 2 3 2 2 2" xfId="24647"/>
    <cellStyle name="Обычный 6 8 3 2 3 2 2 3" xfId="24648"/>
    <cellStyle name="Обычный 6 8 3 2 3 2 3" xfId="24649"/>
    <cellStyle name="Обычный 6 8 3 2 3 2 3 2" xfId="24650"/>
    <cellStyle name="Обычный 6 8 3 2 3 2 3 3" xfId="24651"/>
    <cellStyle name="Обычный 6 8 3 2 3 2 4" xfId="24652"/>
    <cellStyle name="Обычный 6 8 3 2 3 2 4 2" xfId="24653"/>
    <cellStyle name="Обычный 6 8 3 2 3 2 5" xfId="24654"/>
    <cellStyle name="Обычный 6 8 3 2 3 2 6" xfId="24655"/>
    <cellStyle name="Обычный 6 8 3 2 3 3" xfId="24656"/>
    <cellStyle name="Обычный 6 8 3 2 3 3 2" xfId="24657"/>
    <cellStyle name="Обычный 6 8 3 2 3 3 3" xfId="24658"/>
    <cellStyle name="Обычный 6 8 3 2 3 4" xfId="24659"/>
    <cellStyle name="Обычный 6 8 3 2 3 4 2" xfId="24660"/>
    <cellStyle name="Обычный 6 8 3 2 3 4 3" xfId="24661"/>
    <cellStyle name="Обычный 6 8 3 2 3 5" xfId="24662"/>
    <cellStyle name="Обычный 6 8 3 2 3 5 2" xfId="24663"/>
    <cellStyle name="Обычный 6 8 3 2 3 6" xfId="24664"/>
    <cellStyle name="Обычный 6 8 3 2 3 7" xfId="24665"/>
    <cellStyle name="Обычный 6 8 3 2 4" xfId="24666"/>
    <cellStyle name="Обычный 6 8 3 2 4 2" xfId="24667"/>
    <cellStyle name="Обычный 6 8 3 2 4 2 2" xfId="24668"/>
    <cellStyle name="Обычный 6 8 3 2 4 2 3" xfId="24669"/>
    <cellStyle name="Обычный 6 8 3 2 4 3" xfId="24670"/>
    <cellStyle name="Обычный 6 8 3 2 4 3 2" xfId="24671"/>
    <cellStyle name="Обычный 6 8 3 2 4 3 3" xfId="24672"/>
    <cellStyle name="Обычный 6 8 3 2 4 4" xfId="24673"/>
    <cellStyle name="Обычный 6 8 3 2 4 4 2" xfId="24674"/>
    <cellStyle name="Обычный 6 8 3 2 4 5" xfId="24675"/>
    <cellStyle name="Обычный 6 8 3 2 4 6" xfId="24676"/>
    <cellStyle name="Обычный 6 8 3 2 5" xfId="24677"/>
    <cellStyle name="Обычный 6 8 3 2 5 2" xfId="24678"/>
    <cellStyle name="Обычный 6 8 3 2 5 3" xfId="24679"/>
    <cellStyle name="Обычный 6 8 3 2 6" xfId="24680"/>
    <cellStyle name="Обычный 6 8 3 2 6 2" xfId="24681"/>
    <cellStyle name="Обычный 6 8 3 2 6 3" xfId="24682"/>
    <cellStyle name="Обычный 6 8 3 2 7" xfId="24683"/>
    <cellStyle name="Обычный 6 8 3 2 7 2" xfId="24684"/>
    <cellStyle name="Обычный 6 8 3 2 8" xfId="24685"/>
    <cellStyle name="Обычный 6 8 3 2 9" xfId="24686"/>
    <cellStyle name="Обычный 6 8 3 3" xfId="24687"/>
    <cellStyle name="Обычный 6 8 3 3 2" xfId="24688"/>
    <cellStyle name="Обычный 6 8 3 3 2 2" xfId="24689"/>
    <cellStyle name="Обычный 6 8 3 3 2 2 2" xfId="24690"/>
    <cellStyle name="Обычный 6 8 3 3 2 2 2 2" xfId="24691"/>
    <cellStyle name="Обычный 6 8 3 3 2 2 2 3" xfId="24692"/>
    <cellStyle name="Обычный 6 8 3 3 2 2 3" xfId="24693"/>
    <cellStyle name="Обычный 6 8 3 3 2 2 3 2" xfId="24694"/>
    <cellStyle name="Обычный 6 8 3 3 2 2 3 3" xfId="24695"/>
    <cellStyle name="Обычный 6 8 3 3 2 2 4" xfId="24696"/>
    <cellStyle name="Обычный 6 8 3 3 2 2 4 2" xfId="24697"/>
    <cellStyle name="Обычный 6 8 3 3 2 2 5" xfId="24698"/>
    <cellStyle name="Обычный 6 8 3 3 2 2 6" xfId="24699"/>
    <cellStyle name="Обычный 6 8 3 3 2 3" xfId="24700"/>
    <cellStyle name="Обычный 6 8 3 3 2 3 2" xfId="24701"/>
    <cellStyle name="Обычный 6 8 3 3 2 3 3" xfId="24702"/>
    <cellStyle name="Обычный 6 8 3 3 2 4" xfId="24703"/>
    <cellStyle name="Обычный 6 8 3 3 2 4 2" xfId="24704"/>
    <cellStyle name="Обычный 6 8 3 3 2 4 3" xfId="24705"/>
    <cellStyle name="Обычный 6 8 3 3 2 5" xfId="24706"/>
    <cellStyle name="Обычный 6 8 3 3 2 5 2" xfId="24707"/>
    <cellStyle name="Обычный 6 8 3 3 2 6" xfId="24708"/>
    <cellStyle name="Обычный 6 8 3 3 2 7" xfId="24709"/>
    <cellStyle name="Обычный 6 8 3 3 3" xfId="24710"/>
    <cellStyle name="Обычный 6 8 3 3 3 2" xfId="24711"/>
    <cellStyle name="Обычный 6 8 3 3 3 2 2" xfId="24712"/>
    <cellStyle name="Обычный 6 8 3 3 3 2 3" xfId="24713"/>
    <cellStyle name="Обычный 6 8 3 3 3 3" xfId="24714"/>
    <cellStyle name="Обычный 6 8 3 3 3 3 2" xfId="24715"/>
    <cellStyle name="Обычный 6 8 3 3 3 3 3" xfId="24716"/>
    <cellStyle name="Обычный 6 8 3 3 3 4" xfId="24717"/>
    <cellStyle name="Обычный 6 8 3 3 3 4 2" xfId="24718"/>
    <cellStyle name="Обычный 6 8 3 3 3 5" xfId="24719"/>
    <cellStyle name="Обычный 6 8 3 3 3 6" xfId="24720"/>
    <cellStyle name="Обычный 6 8 3 3 4" xfId="24721"/>
    <cellStyle name="Обычный 6 8 3 3 4 2" xfId="24722"/>
    <cellStyle name="Обычный 6 8 3 3 4 3" xfId="24723"/>
    <cellStyle name="Обычный 6 8 3 3 5" xfId="24724"/>
    <cellStyle name="Обычный 6 8 3 3 5 2" xfId="24725"/>
    <cellStyle name="Обычный 6 8 3 3 5 3" xfId="24726"/>
    <cellStyle name="Обычный 6 8 3 3 6" xfId="24727"/>
    <cellStyle name="Обычный 6 8 3 3 6 2" xfId="24728"/>
    <cellStyle name="Обычный 6 8 3 3 7" xfId="24729"/>
    <cellStyle name="Обычный 6 8 3 3 8" xfId="24730"/>
    <cellStyle name="Обычный 6 8 3 4" xfId="24731"/>
    <cellStyle name="Обычный 6 8 3 4 2" xfId="24732"/>
    <cellStyle name="Обычный 6 8 3 4 2 2" xfId="24733"/>
    <cellStyle name="Обычный 6 8 3 4 2 2 2" xfId="24734"/>
    <cellStyle name="Обычный 6 8 3 4 2 2 3" xfId="24735"/>
    <cellStyle name="Обычный 6 8 3 4 2 3" xfId="24736"/>
    <cellStyle name="Обычный 6 8 3 4 2 3 2" xfId="24737"/>
    <cellStyle name="Обычный 6 8 3 4 2 3 3" xfId="24738"/>
    <cellStyle name="Обычный 6 8 3 4 2 4" xfId="24739"/>
    <cellStyle name="Обычный 6 8 3 4 2 4 2" xfId="24740"/>
    <cellStyle name="Обычный 6 8 3 4 2 5" xfId="24741"/>
    <cellStyle name="Обычный 6 8 3 4 2 6" xfId="24742"/>
    <cellStyle name="Обычный 6 8 3 4 3" xfId="24743"/>
    <cellStyle name="Обычный 6 8 3 4 3 2" xfId="24744"/>
    <cellStyle name="Обычный 6 8 3 4 3 3" xfId="24745"/>
    <cellStyle name="Обычный 6 8 3 4 4" xfId="24746"/>
    <cellStyle name="Обычный 6 8 3 4 4 2" xfId="24747"/>
    <cellStyle name="Обычный 6 8 3 4 4 3" xfId="24748"/>
    <cellStyle name="Обычный 6 8 3 4 5" xfId="24749"/>
    <cellStyle name="Обычный 6 8 3 4 5 2" xfId="24750"/>
    <cellStyle name="Обычный 6 8 3 4 6" xfId="24751"/>
    <cellStyle name="Обычный 6 8 3 4 7" xfId="24752"/>
    <cellStyle name="Обычный 6 8 3 5" xfId="24753"/>
    <cellStyle name="Обычный 6 8 3 5 2" xfId="24754"/>
    <cellStyle name="Обычный 6 8 3 5 2 2" xfId="24755"/>
    <cellStyle name="Обычный 6 8 3 5 2 3" xfId="24756"/>
    <cellStyle name="Обычный 6 8 3 5 3" xfId="24757"/>
    <cellStyle name="Обычный 6 8 3 5 3 2" xfId="24758"/>
    <cellStyle name="Обычный 6 8 3 5 3 3" xfId="24759"/>
    <cellStyle name="Обычный 6 8 3 5 4" xfId="24760"/>
    <cellStyle name="Обычный 6 8 3 5 4 2" xfId="24761"/>
    <cellStyle name="Обычный 6 8 3 5 5" xfId="24762"/>
    <cellStyle name="Обычный 6 8 3 5 6" xfId="24763"/>
    <cellStyle name="Обычный 6 8 3 6" xfId="24764"/>
    <cellStyle name="Обычный 6 8 3 6 2" xfId="24765"/>
    <cellStyle name="Обычный 6 8 3 6 3" xfId="24766"/>
    <cellStyle name="Обычный 6 8 3 7" xfId="24767"/>
    <cellStyle name="Обычный 6 8 3 7 2" xfId="24768"/>
    <cellStyle name="Обычный 6 8 3 7 3" xfId="24769"/>
    <cellStyle name="Обычный 6 8 3 8" xfId="24770"/>
    <cellStyle name="Обычный 6 8 3 8 2" xfId="24771"/>
    <cellStyle name="Обычный 6 8 3 9" xfId="24772"/>
    <cellStyle name="Обычный 6 8 4" xfId="24773"/>
    <cellStyle name="Обычный 6 8 4 10" xfId="24774"/>
    <cellStyle name="Обычный 6 8 4 2" xfId="24775"/>
    <cellStyle name="Обычный 6 8 4 2 2" xfId="24776"/>
    <cellStyle name="Обычный 6 8 4 2 2 2" xfId="24777"/>
    <cellStyle name="Обычный 6 8 4 2 2 2 2" xfId="24778"/>
    <cellStyle name="Обычный 6 8 4 2 2 2 2 2" xfId="24779"/>
    <cellStyle name="Обычный 6 8 4 2 2 2 2 2 2" xfId="24780"/>
    <cellStyle name="Обычный 6 8 4 2 2 2 2 2 3" xfId="24781"/>
    <cellStyle name="Обычный 6 8 4 2 2 2 2 3" xfId="24782"/>
    <cellStyle name="Обычный 6 8 4 2 2 2 2 3 2" xfId="24783"/>
    <cellStyle name="Обычный 6 8 4 2 2 2 2 3 3" xfId="24784"/>
    <cellStyle name="Обычный 6 8 4 2 2 2 2 4" xfId="24785"/>
    <cellStyle name="Обычный 6 8 4 2 2 2 2 4 2" xfId="24786"/>
    <cellStyle name="Обычный 6 8 4 2 2 2 2 5" xfId="24787"/>
    <cellStyle name="Обычный 6 8 4 2 2 2 2 6" xfId="24788"/>
    <cellStyle name="Обычный 6 8 4 2 2 2 3" xfId="24789"/>
    <cellStyle name="Обычный 6 8 4 2 2 2 3 2" xfId="24790"/>
    <cellStyle name="Обычный 6 8 4 2 2 2 3 3" xfId="24791"/>
    <cellStyle name="Обычный 6 8 4 2 2 2 4" xfId="24792"/>
    <cellStyle name="Обычный 6 8 4 2 2 2 4 2" xfId="24793"/>
    <cellStyle name="Обычный 6 8 4 2 2 2 4 3" xfId="24794"/>
    <cellStyle name="Обычный 6 8 4 2 2 2 5" xfId="24795"/>
    <cellStyle name="Обычный 6 8 4 2 2 2 5 2" xfId="24796"/>
    <cellStyle name="Обычный 6 8 4 2 2 2 6" xfId="24797"/>
    <cellStyle name="Обычный 6 8 4 2 2 2 7" xfId="24798"/>
    <cellStyle name="Обычный 6 8 4 2 2 3" xfId="24799"/>
    <cellStyle name="Обычный 6 8 4 2 2 3 2" xfId="24800"/>
    <cellStyle name="Обычный 6 8 4 2 2 3 2 2" xfId="24801"/>
    <cellStyle name="Обычный 6 8 4 2 2 3 2 3" xfId="24802"/>
    <cellStyle name="Обычный 6 8 4 2 2 3 3" xfId="24803"/>
    <cellStyle name="Обычный 6 8 4 2 2 3 3 2" xfId="24804"/>
    <cellStyle name="Обычный 6 8 4 2 2 3 3 3" xfId="24805"/>
    <cellStyle name="Обычный 6 8 4 2 2 3 4" xfId="24806"/>
    <cellStyle name="Обычный 6 8 4 2 2 3 4 2" xfId="24807"/>
    <cellStyle name="Обычный 6 8 4 2 2 3 5" xfId="24808"/>
    <cellStyle name="Обычный 6 8 4 2 2 3 6" xfId="24809"/>
    <cellStyle name="Обычный 6 8 4 2 2 4" xfId="24810"/>
    <cellStyle name="Обычный 6 8 4 2 2 4 2" xfId="24811"/>
    <cellStyle name="Обычный 6 8 4 2 2 4 3" xfId="24812"/>
    <cellStyle name="Обычный 6 8 4 2 2 5" xfId="24813"/>
    <cellStyle name="Обычный 6 8 4 2 2 5 2" xfId="24814"/>
    <cellStyle name="Обычный 6 8 4 2 2 5 3" xfId="24815"/>
    <cellStyle name="Обычный 6 8 4 2 2 6" xfId="24816"/>
    <cellStyle name="Обычный 6 8 4 2 2 6 2" xfId="24817"/>
    <cellStyle name="Обычный 6 8 4 2 2 7" xfId="24818"/>
    <cellStyle name="Обычный 6 8 4 2 2 8" xfId="24819"/>
    <cellStyle name="Обычный 6 8 4 2 3" xfId="24820"/>
    <cellStyle name="Обычный 6 8 4 2 3 2" xfId="24821"/>
    <cellStyle name="Обычный 6 8 4 2 3 2 2" xfId="24822"/>
    <cellStyle name="Обычный 6 8 4 2 3 2 2 2" xfId="24823"/>
    <cellStyle name="Обычный 6 8 4 2 3 2 2 3" xfId="24824"/>
    <cellStyle name="Обычный 6 8 4 2 3 2 3" xfId="24825"/>
    <cellStyle name="Обычный 6 8 4 2 3 2 3 2" xfId="24826"/>
    <cellStyle name="Обычный 6 8 4 2 3 2 3 3" xfId="24827"/>
    <cellStyle name="Обычный 6 8 4 2 3 2 4" xfId="24828"/>
    <cellStyle name="Обычный 6 8 4 2 3 2 4 2" xfId="24829"/>
    <cellStyle name="Обычный 6 8 4 2 3 2 5" xfId="24830"/>
    <cellStyle name="Обычный 6 8 4 2 3 2 6" xfId="24831"/>
    <cellStyle name="Обычный 6 8 4 2 3 3" xfId="24832"/>
    <cellStyle name="Обычный 6 8 4 2 3 3 2" xfId="24833"/>
    <cellStyle name="Обычный 6 8 4 2 3 3 3" xfId="24834"/>
    <cellStyle name="Обычный 6 8 4 2 3 4" xfId="24835"/>
    <cellStyle name="Обычный 6 8 4 2 3 4 2" xfId="24836"/>
    <cellStyle name="Обычный 6 8 4 2 3 4 3" xfId="24837"/>
    <cellStyle name="Обычный 6 8 4 2 3 5" xfId="24838"/>
    <cellStyle name="Обычный 6 8 4 2 3 5 2" xfId="24839"/>
    <cellStyle name="Обычный 6 8 4 2 3 6" xfId="24840"/>
    <cellStyle name="Обычный 6 8 4 2 3 7" xfId="24841"/>
    <cellStyle name="Обычный 6 8 4 2 4" xfId="24842"/>
    <cellStyle name="Обычный 6 8 4 2 4 2" xfId="24843"/>
    <cellStyle name="Обычный 6 8 4 2 4 2 2" xfId="24844"/>
    <cellStyle name="Обычный 6 8 4 2 4 2 3" xfId="24845"/>
    <cellStyle name="Обычный 6 8 4 2 4 3" xfId="24846"/>
    <cellStyle name="Обычный 6 8 4 2 4 3 2" xfId="24847"/>
    <cellStyle name="Обычный 6 8 4 2 4 3 3" xfId="24848"/>
    <cellStyle name="Обычный 6 8 4 2 4 4" xfId="24849"/>
    <cellStyle name="Обычный 6 8 4 2 4 4 2" xfId="24850"/>
    <cellStyle name="Обычный 6 8 4 2 4 5" xfId="24851"/>
    <cellStyle name="Обычный 6 8 4 2 4 6" xfId="24852"/>
    <cellStyle name="Обычный 6 8 4 2 5" xfId="24853"/>
    <cellStyle name="Обычный 6 8 4 2 5 2" xfId="24854"/>
    <cellStyle name="Обычный 6 8 4 2 5 3" xfId="24855"/>
    <cellStyle name="Обычный 6 8 4 2 6" xfId="24856"/>
    <cellStyle name="Обычный 6 8 4 2 6 2" xfId="24857"/>
    <cellStyle name="Обычный 6 8 4 2 6 3" xfId="24858"/>
    <cellStyle name="Обычный 6 8 4 2 7" xfId="24859"/>
    <cellStyle name="Обычный 6 8 4 2 7 2" xfId="24860"/>
    <cellStyle name="Обычный 6 8 4 2 8" xfId="24861"/>
    <cellStyle name="Обычный 6 8 4 2 9" xfId="24862"/>
    <cellStyle name="Обычный 6 8 4 3" xfId="24863"/>
    <cellStyle name="Обычный 6 8 4 3 2" xfId="24864"/>
    <cellStyle name="Обычный 6 8 4 3 2 2" xfId="24865"/>
    <cellStyle name="Обычный 6 8 4 3 2 2 2" xfId="24866"/>
    <cellStyle name="Обычный 6 8 4 3 2 2 2 2" xfId="24867"/>
    <cellStyle name="Обычный 6 8 4 3 2 2 2 3" xfId="24868"/>
    <cellStyle name="Обычный 6 8 4 3 2 2 3" xfId="24869"/>
    <cellStyle name="Обычный 6 8 4 3 2 2 3 2" xfId="24870"/>
    <cellStyle name="Обычный 6 8 4 3 2 2 3 3" xfId="24871"/>
    <cellStyle name="Обычный 6 8 4 3 2 2 4" xfId="24872"/>
    <cellStyle name="Обычный 6 8 4 3 2 2 4 2" xfId="24873"/>
    <cellStyle name="Обычный 6 8 4 3 2 2 5" xfId="24874"/>
    <cellStyle name="Обычный 6 8 4 3 2 2 6" xfId="24875"/>
    <cellStyle name="Обычный 6 8 4 3 2 3" xfId="24876"/>
    <cellStyle name="Обычный 6 8 4 3 2 3 2" xfId="24877"/>
    <cellStyle name="Обычный 6 8 4 3 2 3 3" xfId="24878"/>
    <cellStyle name="Обычный 6 8 4 3 2 4" xfId="24879"/>
    <cellStyle name="Обычный 6 8 4 3 2 4 2" xfId="24880"/>
    <cellStyle name="Обычный 6 8 4 3 2 4 3" xfId="24881"/>
    <cellStyle name="Обычный 6 8 4 3 2 5" xfId="24882"/>
    <cellStyle name="Обычный 6 8 4 3 2 5 2" xfId="24883"/>
    <cellStyle name="Обычный 6 8 4 3 2 6" xfId="24884"/>
    <cellStyle name="Обычный 6 8 4 3 2 7" xfId="24885"/>
    <cellStyle name="Обычный 6 8 4 3 3" xfId="24886"/>
    <cellStyle name="Обычный 6 8 4 3 3 2" xfId="24887"/>
    <cellStyle name="Обычный 6 8 4 3 3 2 2" xfId="24888"/>
    <cellStyle name="Обычный 6 8 4 3 3 2 3" xfId="24889"/>
    <cellStyle name="Обычный 6 8 4 3 3 3" xfId="24890"/>
    <cellStyle name="Обычный 6 8 4 3 3 3 2" xfId="24891"/>
    <cellStyle name="Обычный 6 8 4 3 3 3 3" xfId="24892"/>
    <cellStyle name="Обычный 6 8 4 3 3 4" xfId="24893"/>
    <cellStyle name="Обычный 6 8 4 3 3 4 2" xfId="24894"/>
    <cellStyle name="Обычный 6 8 4 3 3 5" xfId="24895"/>
    <cellStyle name="Обычный 6 8 4 3 3 6" xfId="24896"/>
    <cellStyle name="Обычный 6 8 4 3 4" xfId="24897"/>
    <cellStyle name="Обычный 6 8 4 3 4 2" xfId="24898"/>
    <cellStyle name="Обычный 6 8 4 3 4 3" xfId="24899"/>
    <cellStyle name="Обычный 6 8 4 3 5" xfId="24900"/>
    <cellStyle name="Обычный 6 8 4 3 5 2" xfId="24901"/>
    <cellStyle name="Обычный 6 8 4 3 5 3" xfId="24902"/>
    <cellStyle name="Обычный 6 8 4 3 6" xfId="24903"/>
    <cellStyle name="Обычный 6 8 4 3 6 2" xfId="24904"/>
    <cellStyle name="Обычный 6 8 4 3 7" xfId="24905"/>
    <cellStyle name="Обычный 6 8 4 3 8" xfId="24906"/>
    <cellStyle name="Обычный 6 8 4 4" xfId="24907"/>
    <cellStyle name="Обычный 6 8 4 4 2" xfId="24908"/>
    <cellStyle name="Обычный 6 8 4 4 2 2" xfId="24909"/>
    <cellStyle name="Обычный 6 8 4 4 2 2 2" xfId="24910"/>
    <cellStyle name="Обычный 6 8 4 4 2 2 3" xfId="24911"/>
    <cellStyle name="Обычный 6 8 4 4 2 3" xfId="24912"/>
    <cellStyle name="Обычный 6 8 4 4 2 3 2" xfId="24913"/>
    <cellStyle name="Обычный 6 8 4 4 2 3 3" xfId="24914"/>
    <cellStyle name="Обычный 6 8 4 4 2 4" xfId="24915"/>
    <cellStyle name="Обычный 6 8 4 4 2 4 2" xfId="24916"/>
    <cellStyle name="Обычный 6 8 4 4 2 5" xfId="24917"/>
    <cellStyle name="Обычный 6 8 4 4 2 6" xfId="24918"/>
    <cellStyle name="Обычный 6 8 4 4 3" xfId="24919"/>
    <cellStyle name="Обычный 6 8 4 4 3 2" xfId="24920"/>
    <cellStyle name="Обычный 6 8 4 4 3 3" xfId="24921"/>
    <cellStyle name="Обычный 6 8 4 4 4" xfId="24922"/>
    <cellStyle name="Обычный 6 8 4 4 4 2" xfId="24923"/>
    <cellStyle name="Обычный 6 8 4 4 4 3" xfId="24924"/>
    <cellStyle name="Обычный 6 8 4 4 5" xfId="24925"/>
    <cellStyle name="Обычный 6 8 4 4 5 2" xfId="24926"/>
    <cellStyle name="Обычный 6 8 4 4 6" xfId="24927"/>
    <cellStyle name="Обычный 6 8 4 4 7" xfId="24928"/>
    <cellStyle name="Обычный 6 8 4 5" xfId="24929"/>
    <cellStyle name="Обычный 6 8 4 5 2" xfId="24930"/>
    <cellStyle name="Обычный 6 8 4 5 2 2" xfId="24931"/>
    <cellStyle name="Обычный 6 8 4 5 2 3" xfId="24932"/>
    <cellStyle name="Обычный 6 8 4 5 3" xfId="24933"/>
    <cellStyle name="Обычный 6 8 4 5 3 2" xfId="24934"/>
    <cellStyle name="Обычный 6 8 4 5 3 3" xfId="24935"/>
    <cellStyle name="Обычный 6 8 4 5 4" xfId="24936"/>
    <cellStyle name="Обычный 6 8 4 5 4 2" xfId="24937"/>
    <cellStyle name="Обычный 6 8 4 5 5" xfId="24938"/>
    <cellStyle name="Обычный 6 8 4 5 6" xfId="24939"/>
    <cellStyle name="Обычный 6 8 4 6" xfId="24940"/>
    <cellStyle name="Обычный 6 8 4 6 2" xfId="24941"/>
    <cellStyle name="Обычный 6 8 4 6 3" xfId="24942"/>
    <cellStyle name="Обычный 6 8 4 7" xfId="24943"/>
    <cellStyle name="Обычный 6 8 4 7 2" xfId="24944"/>
    <cellStyle name="Обычный 6 8 4 7 3" xfId="24945"/>
    <cellStyle name="Обычный 6 8 4 8" xfId="24946"/>
    <cellStyle name="Обычный 6 8 4 8 2" xfId="24947"/>
    <cellStyle name="Обычный 6 8 4 9" xfId="24948"/>
    <cellStyle name="Обычный 6 8 5" xfId="24949"/>
    <cellStyle name="Обычный 6 8 5 10" xfId="24950"/>
    <cellStyle name="Обычный 6 8 5 2" xfId="24951"/>
    <cellStyle name="Обычный 6 8 5 2 2" xfId="24952"/>
    <cellStyle name="Обычный 6 8 5 2 2 2" xfId="24953"/>
    <cellStyle name="Обычный 6 8 5 2 2 2 2" xfId="24954"/>
    <cellStyle name="Обычный 6 8 5 2 2 2 2 2" xfId="24955"/>
    <cellStyle name="Обычный 6 8 5 2 2 2 2 2 2" xfId="24956"/>
    <cellStyle name="Обычный 6 8 5 2 2 2 2 2 3" xfId="24957"/>
    <cellStyle name="Обычный 6 8 5 2 2 2 2 3" xfId="24958"/>
    <cellStyle name="Обычный 6 8 5 2 2 2 2 3 2" xfId="24959"/>
    <cellStyle name="Обычный 6 8 5 2 2 2 2 3 3" xfId="24960"/>
    <cellStyle name="Обычный 6 8 5 2 2 2 2 4" xfId="24961"/>
    <cellStyle name="Обычный 6 8 5 2 2 2 2 4 2" xfId="24962"/>
    <cellStyle name="Обычный 6 8 5 2 2 2 2 5" xfId="24963"/>
    <cellStyle name="Обычный 6 8 5 2 2 2 2 6" xfId="24964"/>
    <cellStyle name="Обычный 6 8 5 2 2 2 3" xfId="24965"/>
    <cellStyle name="Обычный 6 8 5 2 2 2 3 2" xfId="24966"/>
    <cellStyle name="Обычный 6 8 5 2 2 2 3 3" xfId="24967"/>
    <cellStyle name="Обычный 6 8 5 2 2 2 4" xfId="24968"/>
    <cellStyle name="Обычный 6 8 5 2 2 2 4 2" xfId="24969"/>
    <cellStyle name="Обычный 6 8 5 2 2 2 4 3" xfId="24970"/>
    <cellStyle name="Обычный 6 8 5 2 2 2 5" xfId="24971"/>
    <cellStyle name="Обычный 6 8 5 2 2 2 5 2" xfId="24972"/>
    <cellStyle name="Обычный 6 8 5 2 2 2 6" xfId="24973"/>
    <cellStyle name="Обычный 6 8 5 2 2 2 7" xfId="24974"/>
    <cellStyle name="Обычный 6 8 5 2 2 3" xfId="24975"/>
    <cellStyle name="Обычный 6 8 5 2 2 3 2" xfId="24976"/>
    <cellStyle name="Обычный 6 8 5 2 2 3 2 2" xfId="24977"/>
    <cellStyle name="Обычный 6 8 5 2 2 3 2 3" xfId="24978"/>
    <cellStyle name="Обычный 6 8 5 2 2 3 3" xfId="24979"/>
    <cellStyle name="Обычный 6 8 5 2 2 3 3 2" xfId="24980"/>
    <cellStyle name="Обычный 6 8 5 2 2 3 3 3" xfId="24981"/>
    <cellStyle name="Обычный 6 8 5 2 2 3 4" xfId="24982"/>
    <cellStyle name="Обычный 6 8 5 2 2 3 4 2" xfId="24983"/>
    <cellStyle name="Обычный 6 8 5 2 2 3 5" xfId="24984"/>
    <cellStyle name="Обычный 6 8 5 2 2 3 6" xfId="24985"/>
    <cellStyle name="Обычный 6 8 5 2 2 4" xfId="24986"/>
    <cellStyle name="Обычный 6 8 5 2 2 4 2" xfId="24987"/>
    <cellStyle name="Обычный 6 8 5 2 2 4 3" xfId="24988"/>
    <cellStyle name="Обычный 6 8 5 2 2 5" xfId="24989"/>
    <cellStyle name="Обычный 6 8 5 2 2 5 2" xfId="24990"/>
    <cellStyle name="Обычный 6 8 5 2 2 5 3" xfId="24991"/>
    <cellStyle name="Обычный 6 8 5 2 2 6" xfId="24992"/>
    <cellStyle name="Обычный 6 8 5 2 2 6 2" xfId="24993"/>
    <cellStyle name="Обычный 6 8 5 2 2 7" xfId="24994"/>
    <cellStyle name="Обычный 6 8 5 2 2 8" xfId="24995"/>
    <cellStyle name="Обычный 6 8 5 2 3" xfId="24996"/>
    <cellStyle name="Обычный 6 8 5 2 3 2" xfId="24997"/>
    <cellStyle name="Обычный 6 8 5 2 3 2 2" xfId="24998"/>
    <cellStyle name="Обычный 6 8 5 2 3 2 2 2" xfId="24999"/>
    <cellStyle name="Обычный 6 8 5 2 3 2 2 3" xfId="25000"/>
    <cellStyle name="Обычный 6 8 5 2 3 2 3" xfId="25001"/>
    <cellStyle name="Обычный 6 8 5 2 3 2 3 2" xfId="25002"/>
    <cellStyle name="Обычный 6 8 5 2 3 2 3 3" xfId="25003"/>
    <cellStyle name="Обычный 6 8 5 2 3 2 4" xfId="25004"/>
    <cellStyle name="Обычный 6 8 5 2 3 2 4 2" xfId="25005"/>
    <cellStyle name="Обычный 6 8 5 2 3 2 5" xfId="25006"/>
    <cellStyle name="Обычный 6 8 5 2 3 2 6" xfId="25007"/>
    <cellStyle name="Обычный 6 8 5 2 3 3" xfId="25008"/>
    <cellStyle name="Обычный 6 8 5 2 3 3 2" xfId="25009"/>
    <cellStyle name="Обычный 6 8 5 2 3 3 3" xfId="25010"/>
    <cellStyle name="Обычный 6 8 5 2 3 4" xfId="25011"/>
    <cellStyle name="Обычный 6 8 5 2 3 4 2" xfId="25012"/>
    <cellStyle name="Обычный 6 8 5 2 3 4 3" xfId="25013"/>
    <cellStyle name="Обычный 6 8 5 2 3 5" xfId="25014"/>
    <cellStyle name="Обычный 6 8 5 2 3 5 2" xfId="25015"/>
    <cellStyle name="Обычный 6 8 5 2 3 6" xfId="25016"/>
    <cellStyle name="Обычный 6 8 5 2 3 7" xfId="25017"/>
    <cellStyle name="Обычный 6 8 5 2 4" xfId="25018"/>
    <cellStyle name="Обычный 6 8 5 2 4 2" xfId="25019"/>
    <cellStyle name="Обычный 6 8 5 2 4 2 2" xfId="25020"/>
    <cellStyle name="Обычный 6 8 5 2 4 2 3" xfId="25021"/>
    <cellStyle name="Обычный 6 8 5 2 4 3" xfId="25022"/>
    <cellStyle name="Обычный 6 8 5 2 4 3 2" xfId="25023"/>
    <cellStyle name="Обычный 6 8 5 2 4 3 3" xfId="25024"/>
    <cellStyle name="Обычный 6 8 5 2 4 4" xfId="25025"/>
    <cellStyle name="Обычный 6 8 5 2 4 4 2" xfId="25026"/>
    <cellStyle name="Обычный 6 8 5 2 4 5" xfId="25027"/>
    <cellStyle name="Обычный 6 8 5 2 4 6" xfId="25028"/>
    <cellStyle name="Обычный 6 8 5 2 5" xfId="25029"/>
    <cellStyle name="Обычный 6 8 5 2 5 2" xfId="25030"/>
    <cellStyle name="Обычный 6 8 5 2 5 3" xfId="25031"/>
    <cellStyle name="Обычный 6 8 5 2 6" xfId="25032"/>
    <cellStyle name="Обычный 6 8 5 2 6 2" xfId="25033"/>
    <cellStyle name="Обычный 6 8 5 2 6 3" xfId="25034"/>
    <cellStyle name="Обычный 6 8 5 2 7" xfId="25035"/>
    <cellStyle name="Обычный 6 8 5 2 7 2" xfId="25036"/>
    <cellStyle name="Обычный 6 8 5 2 8" xfId="25037"/>
    <cellStyle name="Обычный 6 8 5 2 9" xfId="25038"/>
    <cellStyle name="Обычный 6 8 5 3" xfId="25039"/>
    <cellStyle name="Обычный 6 8 5 3 2" xfId="25040"/>
    <cellStyle name="Обычный 6 8 5 3 2 2" xfId="25041"/>
    <cellStyle name="Обычный 6 8 5 3 2 2 2" xfId="25042"/>
    <cellStyle name="Обычный 6 8 5 3 2 2 2 2" xfId="25043"/>
    <cellStyle name="Обычный 6 8 5 3 2 2 2 3" xfId="25044"/>
    <cellStyle name="Обычный 6 8 5 3 2 2 3" xfId="25045"/>
    <cellStyle name="Обычный 6 8 5 3 2 2 3 2" xfId="25046"/>
    <cellStyle name="Обычный 6 8 5 3 2 2 3 3" xfId="25047"/>
    <cellStyle name="Обычный 6 8 5 3 2 2 4" xfId="25048"/>
    <cellStyle name="Обычный 6 8 5 3 2 2 4 2" xfId="25049"/>
    <cellStyle name="Обычный 6 8 5 3 2 2 5" xfId="25050"/>
    <cellStyle name="Обычный 6 8 5 3 2 2 6" xfId="25051"/>
    <cellStyle name="Обычный 6 8 5 3 2 3" xfId="25052"/>
    <cellStyle name="Обычный 6 8 5 3 2 3 2" xfId="25053"/>
    <cellStyle name="Обычный 6 8 5 3 2 3 3" xfId="25054"/>
    <cellStyle name="Обычный 6 8 5 3 2 4" xfId="25055"/>
    <cellStyle name="Обычный 6 8 5 3 2 4 2" xfId="25056"/>
    <cellStyle name="Обычный 6 8 5 3 2 4 3" xfId="25057"/>
    <cellStyle name="Обычный 6 8 5 3 2 5" xfId="25058"/>
    <cellStyle name="Обычный 6 8 5 3 2 5 2" xfId="25059"/>
    <cellStyle name="Обычный 6 8 5 3 2 6" xfId="25060"/>
    <cellStyle name="Обычный 6 8 5 3 2 7" xfId="25061"/>
    <cellStyle name="Обычный 6 8 5 3 3" xfId="25062"/>
    <cellStyle name="Обычный 6 8 5 3 3 2" xfId="25063"/>
    <cellStyle name="Обычный 6 8 5 3 3 2 2" xfId="25064"/>
    <cellStyle name="Обычный 6 8 5 3 3 2 3" xfId="25065"/>
    <cellStyle name="Обычный 6 8 5 3 3 3" xfId="25066"/>
    <cellStyle name="Обычный 6 8 5 3 3 3 2" xfId="25067"/>
    <cellStyle name="Обычный 6 8 5 3 3 3 3" xfId="25068"/>
    <cellStyle name="Обычный 6 8 5 3 3 4" xfId="25069"/>
    <cellStyle name="Обычный 6 8 5 3 3 4 2" xfId="25070"/>
    <cellStyle name="Обычный 6 8 5 3 3 5" xfId="25071"/>
    <cellStyle name="Обычный 6 8 5 3 3 6" xfId="25072"/>
    <cellStyle name="Обычный 6 8 5 3 4" xfId="25073"/>
    <cellStyle name="Обычный 6 8 5 3 4 2" xfId="25074"/>
    <cellStyle name="Обычный 6 8 5 3 4 3" xfId="25075"/>
    <cellStyle name="Обычный 6 8 5 3 5" xfId="25076"/>
    <cellStyle name="Обычный 6 8 5 3 5 2" xfId="25077"/>
    <cellStyle name="Обычный 6 8 5 3 5 3" xfId="25078"/>
    <cellStyle name="Обычный 6 8 5 3 6" xfId="25079"/>
    <cellStyle name="Обычный 6 8 5 3 6 2" xfId="25080"/>
    <cellStyle name="Обычный 6 8 5 3 7" xfId="25081"/>
    <cellStyle name="Обычный 6 8 5 3 8" xfId="25082"/>
    <cellStyle name="Обычный 6 8 5 4" xfId="25083"/>
    <cellStyle name="Обычный 6 8 5 4 2" xfId="25084"/>
    <cellStyle name="Обычный 6 8 5 4 2 2" xfId="25085"/>
    <cellStyle name="Обычный 6 8 5 4 2 2 2" xfId="25086"/>
    <cellStyle name="Обычный 6 8 5 4 2 2 3" xfId="25087"/>
    <cellStyle name="Обычный 6 8 5 4 2 3" xfId="25088"/>
    <cellStyle name="Обычный 6 8 5 4 2 3 2" xfId="25089"/>
    <cellStyle name="Обычный 6 8 5 4 2 3 3" xfId="25090"/>
    <cellStyle name="Обычный 6 8 5 4 2 4" xfId="25091"/>
    <cellStyle name="Обычный 6 8 5 4 2 4 2" xfId="25092"/>
    <cellStyle name="Обычный 6 8 5 4 2 5" xfId="25093"/>
    <cellStyle name="Обычный 6 8 5 4 2 6" xfId="25094"/>
    <cellStyle name="Обычный 6 8 5 4 3" xfId="25095"/>
    <cellStyle name="Обычный 6 8 5 4 3 2" xfId="25096"/>
    <cellStyle name="Обычный 6 8 5 4 3 3" xfId="25097"/>
    <cellStyle name="Обычный 6 8 5 4 4" xfId="25098"/>
    <cellStyle name="Обычный 6 8 5 4 4 2" xfId="25099"/>
    <cellStyle name="Обычный 6 8 5 4 4 3" xfId="25100"/>
    <cellStyle name="Обычный 6 8 5 4 5" xfId="25101"/>
    <cellStyle name="Обычный 6 8 5 4 5 2" xfId="25102"/>
    <cellStyle name="Обычный 6 8 5 4 6" xfId="25103"/>
    <cellStyle name="Обычный 6 8 5 4 7" xfId="25104"/>
    <cellStyle name="Обычный 6 8 5 5" xfId="25105"/>
    <cellStyle name="Обычный 6 8 5 5 2" xfId="25106"/>
    <cellStyle name="Обычный 6 8 5 5 2 2" xfId="25107"/>
    <cellStyle name="Обычный 6 8 5 5 2 3" xfId="25108"/>
    <cellStyle name="Обычный 6 8 5 5 3" xfId="25109"/>
    <cellStyle name="Обычный 6 8 5 5 3 2" xfId="25110"/>
    <cellStyle name="Обычный 6 8 5 5 3 3" xfId="25111"/>
    <cellStyle name="Обычный 6 8 5 5 4" xfId="25112"/>
    <cellStyle name="Обычный 6 8 5 5 4 2" xfId="25113"/>
    <cellStyle name="Обычный 6 8 5 5 5" xfId="25114"/>
    <cellStyle name="Обычный 6 8 5 5 6" xfId="25115"/>
    <cellStyle name="Обычный 6 8 5 6" xfId="25116"/>
    <cellStyle name="Обычный 6 8 5 6 2" xfId="25117"/>
    <cellStyle name="Обычный 6 8 5 6 3" xfId="25118"/>
    <cellStyle name="Обычный 6 8 5 7" xfId="25119"/>
    <cellStyle name="Обычный 6 8 5 7 2" xfId="25120"/>
    <cellStyle name="Обычный 6 8 5 7 3" xfId="25121"/>
    <cellStyle name="Обычный 6 8 5 8" xfId="25122"/>
    <cellStyle name="Обычный 6 8 5 8 2" xfId="25123"/>
    <cellStyle name="Обычный 6 8 5 9" xfId="25124"/>
    <cellStyle name="Обычный 6 8 6" xfId="25125"/>
    <cellStyle name="Обычный 6 8 6 2" xfId="25126"/>
    <cellStyle name="Обычный 6 8 6 2 2" xfId="25127"/>
    <cellStyle name="Обычный 6 8 6 2 2 2" xfId="25128"/>
    <cellStyle name="Обычный 6 8 6 2 2 2 2" xfId="25129"/>
    <cellStyle name="Обычный 6 8 6 2 2 2 2 2" xfId="25130"/>
    <cellStyle name="Обычный 6 8 6 2 2 2 2 3" xfId="25131"/>
    <cellStyle name="Обычный 6 8 6 2 2 2 3" xfId="25132"/>
    <cellStyle name="Обычный 6 8 6 2 2 2 3 2" xfId="25133"/>
    <cellStyle name="Обычный 6 8 6 2 2 2 3 3" xfId="25134"/>
    <cellStyle name="Обычный 6 8 6 2 2 2 4" xfId="25135"/>
    <cellStyle name="Обычный 6 8 6 2 2 2 4 2" xfId="25136"/>
    <cellStyle name="Обычный 6 8 6 2 2 2 5" xfId="25137"/>
    <cellStyle name="Обычный 6 8 6 2 2 2 6" xfId="25138"/>
    <cellStyle name="Обычный 6 8 6 2 2 3" xfId="25139"/>
    <cellStyle name="Обычный 6 8 6 2 2 3 2" xfId="25140"/>
    <cellStyle name="Обычный 6 8 6 2 2 3 3" xfId="25141"/>
    <cellStyle name="Обычный 6 8 6 2 2 4" xfId="25142"/>
    <cellStyle name="Обычный 6 8 6 2 2 4 2" xfId="25143"/>
    <cellStyle name="Обычный 6 8 6 2 2 4 3" xfId="25144"/>
    <cellStyle name="Обычный 6 8 6 2 2 5" xfId="25145"/>
    <cellStyle name="Обычный 6 8 6 2 2 5 2" xfId="25146"/>
    <cellStyle name="Обычный 6 8 6 2 2 6" xfId="25147"/>
    <cellStyle name="Обычный 6 8 6 2 2 7" xfId="25148"/>
    <cellStyle name="Обычный 6 8 6 2 3" xfId="25149"/>
    <cellStyle name="Обычный 6 8 6 2 3 2" xfId="25150"/>
    <cellStyle name="Обычный 6 8 6 2 3 2 2" xfId="25151"/>
    <cellStyle name="Обычный 6 8 6 2 3 2 3" xfId="25152"/>
    <cellStyle name="Обычный 6 8 6 2 3 3" xfId="25153"/>
    <cellStyle name="Обычный 6 8 6 2 3 3 2" xfId="25154"/>
    <cellStyle name="Обычный 6 8 6 2 3 3 3" xfId="25155"/>
    <cellStyle name="Обычный 6 8 6 2 3 4" xfId="25156"/>
    <cellStyle name="Обычный 6 8 6 2 3 4 2" xfId="25157"/>
    <cellStyle name="Обычный 6 8 6 2 3 5" xfId="25158"/>
    <cellStyle name="Обычный 6 8 6 2 3 6" xfId="25159"/>
    <cellStyle name="Обычный 6 8 6 2 4" xfId="25160"/>
    <cellStyle name="Обычный 6 8 6 2 4 2" xfId="25161"/>
    <cellStyle name="Обычный 6 8 6 2 4 3" xfId="25162"/>
    <cellStyle name="Обычный 6 8 6 2 5" xfId="25163"/>
    <cellStyle name="Обычный 6 8 6 2 5 2" xfId="25164"/>
    <cellStyle name="Обычный 6 8 6 2 5 3" xfId="25165"/>
    <cellStyle name="Обычный 6 8 6 2 6" xfId="25166"/>
    <cellStyle name="Обычный 6 8 6 2 6 2" xfId="25167"/>
    <cellStyle name="Обычный 6 8 6 2 7" xfId="25168"/>
    <cellStyle name="Обычный 6 8 6 2 8" xfId="25169"/>
    <cellStyle name="Обычный 6 8 6 3" xfId="25170"/>
    <cellStyle name="Обычный 6 8 6 3 2" xfId="25171"/>
    <cellStyle name="Обычный 6 8 6 3 2 2" xfId="25172"/>
    <cellStyle name="Обычный 6 8 6 3 2 2 2" xfId="25173"/>
    <cellStyle name="Обычный 6 8 6 3 2 2 3" xfId="25174"/>
    <cellStyle name="Обычный 6 8 6 3 2 3" xfId="25175"/>
    <cellStyle name="Обычный 6 8 6 3 2 3 2" xfId="25176"/>
    <cellStyle name="Обычный 6 8 6 3 2 3 3" xfId="25177"/>
    <cellStyle name="Обычный 6 8 6 3 2 4" xfId="25178"/>
    <cellStyle name="Обычный 6 8 6 3 2 4 2" xfId="25179"/>
    <cellStyle name="Обычный 6 8 6 3 2 5" xfId="25180"/>
    <cellStyle name="Обычный 6 8 6 3 2 6" xfId="25181"/>
    <cellStyle name="Обычный 6 8 6 3 3" xfId="25182"/>
    <cellStyle name="Обычный 6 8 6 3 3 2" xfId="25183"/>
    <cellStyle name="Обычный 6 8 6 3 3 3" xfId="25184"/>
    <cellStyle name="Обычный 6 8 6 3 4" xfId="25185"/>
    <cellStyle name="Обычный 6 8 6 3 4 2" xfId="25186"/>
    <cellStyle name="Обычный 6 8 6 3 4 3" xfId="25187"/>
    <cellStyle name="Обычный 6 8 6 3 5" xfId="25188"/>
    <cellStyle name="Обычный 6 8 6 3 5 2" xfId="25189"/>
    <cellStyle name="Обычный 6 8 6 3 6" xfId="25190"/>
    <cellStyle name="Обычный 6 8 6 3 7" xfId="25191"/>
    <cellStyle name="Обычный 6 8 6 4" xfId="25192"/>
    <cellStyle name="Обычный 6 8 6 4 2" xfId="25193"/>
    <cellStyle name="Обычный 6 8 6 4 2 2" xfId="25194"/>
    <cellStyle name="Обычный 6 8 6 4 2 3" xfId="25195"/>
    <cellStyle name="Обычный 6 8 6 4 3" xfId="25196"/>
    <cellStyle name="Обычный 6 8 6 4 3 2" xfId="25197"/>
    <cellStyle name="Обычный 6 8 6 4 3 3" xfId="25198"/>
    <cellStyle name="Обычный 6 8 6 4 4" xfId="25199"/>
    <cellStyle name="Обычный 6 8 6 4 4 2" xfId="25200"/>
    <cellStyle name="Обычный 6 8 6 4 5" xfId="25201"/>
    <cellStyle name="Обычный 6 8 6 4 6" xfId="25202"/>
    <cellStyle name="Обычный 6 8 6 5" xfId="25203"/>
    <cellStyle name="Обычный 6 8 6 5 2" xfId="25204"/>
    <cellStyle name="Обычный 6 8 6 5 3" xfId="25205"/>
    <cellStyle name="Обычный 6 8 6 6" xfId="25206"/>
    <cellStyle name="Обычный 6 8 6 6 2" xfId="25207"/>
    <cellStyle name="Обычный 6 8 6 6 3" xfId="25208"/>
    <cellStyle name="Обычный 6 8 6 7" xfId="25209"/>
    <cellStyle name="Обычный 6 8 6 7 2" xfId="25210"/>
    <cellStyle name="Обычный 6 8 6 8" xfId="25211"/>
    <cellStyle name="Обычный 6 8 6 9" xfId="25212"/>
    <cellStyle name="Обычный 6 8 7" xfId="25213"/>
    <cellStyle name="Обычный 6 8 7 2" xfId="25214"/>
    <cellStyle name="Обычный 6 8 7 2 2" xfId="25215"/>
    <cellStyle name="Обычный 6 8 7 2 2 2" xfId="25216"/>
    <cellStyle name="Обычный 6 8 7 2 2 2 2" xfId="25217"/>
    <cellStyle name="Обычный 6 8 7 2 2 2 3" xfId="25218"/>
    <cellStyle name="Обычный 6 8 7 2 2 3" xfId="25219"/>
    <cellStyle name="Обычный 6 8 7 2 2 3 2" xfId="25220"/>
    <cellStyle name="Обычный 6 8 7 2 2 3 3" xfId="25221"/>
    <cellStyle name="Обычный 6 8 7 2 2 4" xfId="25222"/>
    <cellStyle name="Обычный 6 8 7 2 2 4 2" xfId="25223"/>
    <cellStyle name="Обычный 6 8 7 2 2 5" xfId="25224"/>
    <cellStyle name="Обычный 6 8 7 2 2 6" xfId="25225"/>
    <cellStyle name="Обычный 6 8 7 2 3" xfId="25226"/>
    <cellStyle name="Обычный 6 8 7 2 3 2" xfId="25227"/>
    <cellStyle name="Обычный 6 8 7 2 3 3" xfId="25228"/>
    <cellStyle name="Обычный 6 8 7 2 4" xfId="25229"/>
    <cellStyle name="Обычный 6 8 7 2 4 2" xfId="25230"/>
    <cellStyle name="Обычный 6 8 7 2 4 3" xfId="25231"/>
    <cellStyle name="Обычный 6 8 7 2 5" xfId="25232"/>
    <cellStyle name="Обычный 6 8 7 2 5 2" xfId="25233"/>
    <cellStyle name="Обычный 6 8 7 2 6" xfId="25234"/>
    <cellStyle name="Обычный 6 8 7 2 7" xfId="25235"/>
    <cellStyle name="Обычный 6 8 7 3" xfId="25236"/>
    <cellStyle name="Обычный 6 8 7 3 2" xfId="25237"/>
    <cellStyle name="Обычный 6 8 7 3 2 2" xfId="25238"/>
    <cellStyle name="Обычный 6 8 7 3 2 3" xfId="25239"/>
    <cellStyle name="Обычный 6 8 7 3 3" xfId="25240"/>
    <cellStyle name="Обычный 6 8 7 3 3 2" xfId="25241"/>
    <cellStyle name="Обычный 6 8 7 3 3 3" xfId="25242"/>
    <cellStyle name="Обычный 6 8 7 3 4" xfId="25243"/>
    <cellStyle name="Обычный 6 8 7 3 4 2" xfId="25244"/>
    <cellStyle name="Обычный 6 8 7 3 5" xfId="25245"/>
    <cellStyle name="Обычный 6 8 7 3 6" xfId="25246"/>
    <cellStyle name="Обычный 6 8 7 4" xfId="25247"/>
    <cellStyle name="Обычный 6 8 7 4 2" xfId="25248"/>
    <cellStyle name="Обычный 6 8 7 4 3" xfId="25249"/>
    <cellStyle name="Обычный 6 8 7 5" xfId="25250"/>
    <cellStyle name="Обычный 6 8 7 5 2" xfId="25251"/>
    <cellStyle name="Обычный 6 8 7 5 3" xfId="25252"/>
    <cellStyle name="Обычный 6 8 7 6" xfId="25253"/>
    <cellStyle name="Обычный 6 8 7 6 2" xfId="25254"/>
    <cellStyle name="Обычный 6 8 7 7" xfId="25255"/>
    <cellStyle name="Обычный 6 8 7 8" xfId="25256"/>
    <cellStyle name="Обычный 6 8 8" xfId="25257"/>
    <cellStyle name="Обычный 6 8 8 2" xfId="25258"/>
    <cellStyle name="Обычный 6 8 8 2 2" xfId="25259"/>
    <cellStyle name="Обычный 6 8 8 2 2 2" xfId="25260"/>
    <cellStyle name="Обычный 6 8 8 2 2 3" xfId="25261"/>
    <cellStyle name="Обычный 6 8 8 2 3" xfId="25262"/>
    <cellStyle name="Обычный 6 8 8 2 3 2" xfId="25263"/>
    <cellStyle name="Обычный 6 8 8 2 3 3" xfId="25264"/>
    <cellStyle name="Обычный 6 8 8 2 4" xfId="25265"/>
    <cellStyle name="Обычный 6 8 8 2 4 2" xfId="25266"/>
    <cellStyle name="Обычный 6 8 8 2 5" xfId="25267"/>
    <cellStyle name="Обычный 6 8 8 2 6" xfId="25268"/>
    <cellStyle name="Обычный 6 8 8 3" xfId="25269"/>
    <cellStyle name="Обычный 6 8 8 3 2" xfId="25270"/>
    <cellStyle name="Обычный 6 8 8 3 3" xfId="25271"/>
    <cellStyle name="Обычный 6 8 8 4" xfId="25272"/>
    <cellStyle name="Обычный 6 8 8 4 2" xfId="25273"/>
    <cellStyle name="Обычный 6 8 8 4 3" xfId="25274"/>
    <cellStyle name="Обычный 6 8 8 5" xfId="25275"/>
    <cellStyle name="Обычный 6 8 8 5 2" xfId="25276"/>
    <cellStyle name="Обычный 6 8 8 6" xfId="25277"/>
    <cellStyle name="Обычный 6 8 8 7" xfId="25278"/>
    <cellStyle name="Обычный 6 8 9" xfId="25279"/>
    <cellStyle name="Обычный 6 8 9 2" xfId="25280"/>
    <cellStyle name="Обычный 6 8 9 2 2" xfId="25281"/>
    <cellStyle name="Обычный 6 8 9 2 3" xfId="25282"/>
    <cellStyle name="Обычный 6 8 9 3" xfId="25283"/>
    <cellStyle name="Обычный 6 8 9 3 2" xfId="25284"/>
    <cellStyle name="Обычный 6 8 9 3 3" xfId="25285"/>
    <cellStyle name="Обычный 6 8 9 4" xfId="25286"/>
    <cellStyle name="Обычный 6 8 9 4 2" xfId="25287"/>
    <cellStyle name="Обычный 6 8 9 5" xfId="25288"/>
    <cellStyle name="Обычный 6 8 9 6" xfId="25289"/>
    <cellStyle name="Обычный 6 9" xfId="25290"/>
    <cellStyle name="Обычный 6 9 10" xfId="25291"/>
    <cellStyle name="Обычный 6 9 10 2" xfId="25292"/>
    <cellStyle name="Обычный 6 9 10 3" xfId="25293"/>
    <cellStyle name="Обычный 6 9 11" xfId="25294"/>
    <cellStyle name="Обычный 6 9 11 2" xfId="25295"/>
    <cellStyle name="Обычный 6 9 12" xfId="25296"/>
    <cellStyle name="Обычный 6 9 13" xfId="25297"/>
    <cellStyle name="Обычный 6 9 2" xfId="25298"/>
    <cellStyle name="Обычный 6 9 2 10" xfId="25299"/>
    <cellStyle name="Обычный 6 9 2 2" xfId="25300"/>
    <cellStyle name="Обычный 6 9 2 2 2" xfId="25301"/>
    <cellStyle name="Обычный 6 9 2 2 2 2" xfId="25302"/>
    <cellStyle name="Обычный 6 9 2 2 2 2 2" xfId="25303"/>
    <cellStyle name="Обычный 6 9 2 2 2 2 2 2" xfId="25304"/>
    <cellStyle name="Обычный 6 9 2 2 2 2 2 2 2" xfId="25305"/>
    <cellStyle name="Обычный 6 9 2 2 2 2 2 2 3" xfId="25306"/>
    <cellStyle name="Обычный 6 9 2 2 2 2 2 3" xfId="25307"/>
    <cellStyle name="Обычный 6 9 2 2 2 2 2 3 2" xfId="25308"/>
    <cellStyle name="Обычный 6 9 2 2 2 2 2 3 3" xfId="25309"/>
    <cellStyle name="Обычный 6 9 2 2 2 2 2 4" xfId="25310"/>
    <cellStyle name="Обычный 6 9 2 2 2 2 2 4 2" xfId="25311"/>
    <cellStyle name="Обычный 6 9 2 2 2 2 2 5" xfId="25312"/>
    <cellStyle name="Обычный 6 9 2 2 2 2 2 6" xfId="25313"/>
    <cellStyle name="Обычный 6 9 2 2 2 2 3" xfId="25314"/>
    <cellStyle name="Обычный 6 9 2 2 2 2 3 2" xfId="25315"/>
    <cellStyle name="Обычный 6 9 2 2 2 2 3 3" xfId="25316"/>
    <cellStyle name="Обычный 6 9 2 2 2 2 4" xfId="25317"/>
    <cellStyle name="Обычный 6 9 2 2 2 2 4 2" xfId="25318"/>
    <cellStyle name="Обычный 6 9 2 2 2 2 4 3" xfId="25319"/>
    <cellStyle name="Обычный 6 9 2 2 2 2 5" xfId="25320"/>
    <cellStyle name="Обычный 6 9 2 2 2 2 5 2" xfId="25321"/>
    <cellStyle name="Обычный 6 9 2 2 2 2 6" xfId="25322"/>
    <cellStyle name="Обычный 6 9 2 2 2 2 7" xfId="25323"/>
    <cellStyle name="Обычный 6 9 2 2 2 3" xfId="25324"/>
    <cellStyle name="Обычный 6 9 2 2 2 3 2" xfId="25325"/>
    <cellStyle name="Обычный 6 9 2 2 2 3 2 2" xfId="25326"/>
    <cellStyle name="Обычный 6 9 2 2 2 3 2 3" xfId="25327"/>
    <cellStyle name="Обычный 6 9 2 2 2 3 3" xfId="25328"/>
    <cellStyle name="Обычный 6 9 2 2 2 3 3 2" xfId="25329"/>
    <cellStyle name="Обычный 6 9 2 2 2 3 3 3" xfId="25330"/>
    <cellStyle name="Обычный 6 9 2 2 2 3 4" xfId="25331"/>
    <cellStyle name="Обычный 6 9 2 2 2 3 4 2" xfId="25332"/>
    <cellStyle name="Обычный 6 9 2 2 2 3 5" xfId="25333"/>
    <cellStyle name="Обычный 6 9 2 2 2 3 6" xfId="25334"/>
    <cellStyle name="Обычный 6 9 2 2 2 4" xfId="25335"/>
    <cellStyle name="Обычный 6 9 2 2 2 4 2" xfId="25336"/>
    <cellStyle name="Обычный 6 9 2 2 2 4 3" xfId="25337"/>
    <cellStyle name="Обычный 6 9 2 2 2 5" xfId="25338"/>
    <cellStyle name="Обычный 6 9 2 2 2 5 2" xfId="25339"/>
    <cellStyle name="Обычный 6 9 2 2 2 5 3" xfId="25340"/>
    <cellStyle name="Обычный 6 9 2 2 2 6" xfId="25341"/>
    <cellStyle name="Обычный 6 9 2 2 2 6 2" xfId="25342"/>
    <cellStyle name="Обычный 6 9 2 2 2 7" xfId="25343"/>
    <cellStyle name="Обычный 6 9 2 2 2 8" xfId="25344"/>
    <cellStyle name="Обычный 6 9 2 2 3" xfId="25345"/>
    <cellStyle name="Обычный 6 9 2 2 3 2" xfId="25346"/>
    <cellStyle name="Обычный 6 9 2 2 3 2 2" xfId="25347"/>
    <cellStyle name="Обычный 6 9 2 2 3 2 2 2" xfId="25348"/>
    <cellStyle name="Обычный 6 9 2 2 3 2 2 3" xfId="25349"/>
    <cellStyle name="Обычный 6 9 2 2 3 2 3" xfId="25350"/>
    <cellStyle name="Обычный 6 9 2 2 3 2 3 2" xfId="25351"/>
    <cellStyle name="Обычный 6 9 2 2 3 2 3 3" xfId="25352"/>
    <cellStyle name="Обычный 6 9 2 2 3 2 4" xfId="25353"/>
    <cellStyle name="Обычный 6 9 2 2 3 2 4 2" xfId="25354"/>
    <cellStyle name="Обычный 6 9 2 2 3 2 5" xfId="25355"/>
    <cellStyle name="Обычный 6 9 2 2 3 2 6" xfId="25356"/>
    <cellStyle name="Обычный 6 9 2 2 3 3" xfId="25357"/>
    <cellStyle name="Обычный 6 9 2 2 3 3 2" xfId="25358"/>
    <cellStyle name="Обычный 6 9 2 2 3 3 3" xfId="25359"/>
    <cellStyle name="Обычный 6 9 2 2 3 4" xfId="25360"/>
    <cellStyle name="Обычный 6 9 2 2 3 4 2" xfId="25361"/>
    <cellStyle name="Обычный 6 9 2 2 3 4 3" xfId="25362"/>
    <cellStyle name="Обычный 6 9 2 2 3 5" xfId="25363"/>
    <cellStyle name="Обычный 6 9 2 2 3 5 2" xfId="25364"/>
    <cellStyle name="Обычный 6 9 2 2 3 6" xfId="25365"/>
    <cellStyle name="Обычный 6 9 2 2 3 7" xfId="25366"/>
    <cellStyle name="Обычный 6 9 2 2 4" xfId="25367"/>
    <cellStyle name="Обычный 6 9 2 2 4 2" xfId="25368"/>
    <cellStyle name="Обычный 6 9 2 2 4 2 2" xfId="25369"/>
    <cellStyle name="Обычный 6 9 2 2 4 2 3" xfId="25370"/>
    <cellStyle name="Обычный 6 9 2 2 4 3" xfId="25371"/>
    <cellStyle name="Обычный 6 9 2 2 4 3 2" xfId="25372"/>
    <cellStyle name="Обычный 6 9 2 2 4 3 3" xfId="25373"/>
    <cellStyle name="Обычный 6 9 2 2 4 4" xfId="25374"/>
    <cellStyle name="Обычный 6 9 2 2 4 4 2" xfId="25375"/>
    <cellStyle name="Обычный 6 9 2 2 4 5" xfId="25376"/>
    <cellStyle name="Обычный 6 9 2 2 4 6" xfId="25377"/>
    <cellStyle name="Обычный 6 9 2 2 5" xfId="25378"/>
    <cellStyle name="Обычный 6 9 2 2 5 2" xfId="25379"/>
    <cellStyle name="Обычный 6 9 2 2 5 3" xfId="25380"/>
    <cellStyle name="Обычный 6 9 2 2 6" xfId="25381"/>
    <cellStyle name="Обычный 6 9 2 2 6 2" xfId="25382"/>
    <cellStyle name="Обычный 6 9 2 2 6 3" xfId="25383"/>
    <cellStyle name="Обычный 6 9 2 2 7" xfId="25384"/>
    <cellStyle name="Обычный 6 9 2 2 7 2" xfId="25385"/>
    <cellStyle name="Обычный 6 9 2 2 8" xfId="25386"/>
    <cellStyle name="Обычный 6 9 2 2 9" xfId="25387"/>
    <cellStyle name="Обычный 6 9 2 3" xfId="25388"/>
    <cellStyle name="Обычный 6 9 2 3 2" xfId="25389"/>
    <cellStyle name="Обычный 6 9 2 3 2 2" xfId="25390"/>
    <cellStyle name="Обычный 6 9 2 3 2 2 2" xfId="25391"/>
    <cellStyle name="Обычный 6 9 2 3 2 2 2 2" xfId="25392"/>
    <cellStyle name="Обычный 6 9 2 3 2 2 2 3" xfId="25393"/>
    <cellStyle name="Обычный 6 9 2 3 2 2 3" xfId="25394"/>
    <cellStyle name="Обычный 6 9 2 3 2 2 3 2" xfId="25395"/>
    <cellStyle name="Обычный 6 9 2 3 2 2 3 3" xfId="25396"/>
    <cellStyle name="Обычный 6 9 2 3 2 2 4" xfId="25397"/>
    <cellStyle name="Обычный 6 9 2 3 2 2 4 2" xfId="25398"/>
    <cellStyle name="Обычный 6 9 2 3 2 2 5" xfId="25399"/>
    <cellStyle name="Обычный 6 9 2 3 2 2 6" xfId="25400"/>
    <cellStyle name="Обычный 6 9 2 3 2 3" xfId="25401"/>
    <cellStyle name="Обычный 6 9 2 3 2 3 2" xfId="25402"/>
    <cellStyle name="Обычный 6 9 2 3 2 3 3" xfId="25403"/>
    <cellStyle name="Обычный 6 9 2 3 2 4" xfId="25404"/>
    <cellStyle name="Обычный 6 9 2 3 2 4 2" xfId="25405"/>
    <cellStyle name="Обычный 6 9 2 3 2 4 3" xfId="25406"/>
    <cellStyle name="Обычный 6 9 2 3 2 5" xfId="25407"/>
    <cellStyle name="Обычный 6 9 2 3 2 5 2" xfId="25408"/>
    <cellStyle name="Обычный 6 9 2 3 2 6" xfId="25409"/>
    <cellStyle name="Обычный 6 9 2 3 2 7" xfId="25410"/>
    <cellStyle name="Обычный 6 9 2 3 3" xfId="25411"/>
    <cellStyle name="Обычный 6 9 2 3 3 2" xfId="25412"/>
    <cellStyle name="Обычный 6 9 2 3 3 2 2" xfId="25413"/>
    <cellStyle name="Обычный 6 9 2 3 3 2 3" xfId="25414"/>
    <cellStyle name="Обычный 6 9 2 3 3 3" xfId="25415"/>
    <cellStyle name="Обычный 6 9 2 3 3 3 2" xfId="25416"/>
    <cellStyle name="Обычный 6 9 2 3 3 3 3" xfId="25417"/>
    <cellStyle name="Обычный 6 9 2 3 3 4" xfId="25418"/>
    <cellStyle name="Обычный 6 9 2 3 3 4 2" xfId="25419"/>
    <cellStyle name="Обычный 6 9 2 3 3 5" xfId="25420"/>
    <cellStyle name="Обычный 6 9 2 3 3 6" xfId="25421"/>
    <cellStyle name="Обычный 6 9 2 3 4" xfId="25422"/>
    <cellStyle name="Обычный 6 9 2 3 4 2" xfId="25423"/>
    <cellStyle name="Обычный 6 9 2 3 4 3" xfId="25424"/>
    <cellStyle name="Обычный 6 9 2 3 5" xfId="25425"/>
    <cellStyle name="Обычный 6 9 2 3 5 2" xfId="25426"/>
    <cellStyle name="Обычный 6 9 2 3 5 3" xfId="25427"/>
    <cellStyle name="Обычный 6 9 2 3 6" xfId="25428"/>
    <cellStyle name="Обычный 6 9 2 3 6 2" xfId="25429"/>
    <cellStyle name="Обычный 6 9 2 3 7" xfId="25430"/>
    <cellStyle name="Обычный 6 9 2 3 8" xfId="25431"/>
    <cellStyle name="Обычный 6 9 2 4" xfId="25432"/>
    <cellStyle name="Обычный 6 9 2 4 2" xfId="25433"/>
    <cellStyle name="Обычный 6 9 2 4 2 2" xfId="25434"/>
    <cellStyle name="Обычный 6 9 2 4 2 2 2" xfId="25435"/>
    <cellStyle name="Обычный 6 9 2 4 2 2 3" xfId="25436"/>
    <cellStyle name="Обычный 6 9 2 4 2 3" xfId="25437"/>
    <cellStyle name="Обычный 6 9 2 4 2 3 2" xfId="25438"/>
    <cellStyle name="Обычный 6 9 2 4 2 3 3" xfId="25439"/>
    <cellStyle name="Обычный 6 9 2 4 2 4" xfId="25440"/>
    <cellStyle name="Обычный 6 9 2 4 2 4 2" xfId="25441"/>
    <cellStyle name="Обычный 6 9 2 4 2 5" xfId="25442"/>
    <cellStyle name="Обычный 6 9 2 4 2 6" xfId="25443"/>
    <cellStyle name="Обычный 6 9 2 4 3" xfId="25444"/>
    <cellStyle name="Обычный 6 9 2 4 3 2" xfId="25445"/>
    <cellStyle name="Обычный 6 9 2 4 3 3" xfId="25446"/>
    <cellStyle name="Обычный 6 9 2 4 4" xfId="25447"/>
    <cellStyle name="Обычный 6 9 2 4 4 2" xfId="25448"/>
    <cellStyle name="Обычный 6 9 2 4 4 3" xfId="25449"/>
    <cellStyle name="Обычный 6 9 2 4 5" xfId="25450"/>
    <cellStyle name="Обычный 6 9 2 4 5 2" xfId="25451"/>
    <cellStyle name="Обычный 6 9 2 4 6" xfId="25452"/>
    <cellStyle name="Обычный 6 9 2 4 7" xfId="25453"/>
    <cellStyle name="Обычный 6 9 2 5" xfId="25454"/>
    <cellStyle name="Обычный 6 9 2 5 2" xfId="25455"/>
    <cellStyle name="Обычный 6 9 2 5 2 2" xfId="25456"/>
    <cellStyle name="Обычный 6 9 2 5 2 3" xfId="25457"/>
    <cellStyle name="Обычный 6 9 2 5 3" xfId="25458"/>
    <cellStyle name="Обычный 6 9 2 5 3 2" xfId="25459"/>
    <cellStyle name="Обычный 6 9 2 5 3 3" xfId="25460"/>
    <cellStyle name="Обычный 6 9 2 5 4" xfId="25461"/>
    <cellStyle name="Обычный 6 9 2 5 4 2" xfId="25462"/>
    <cellStyle name="Обычный 6 9 2 5 5" xfId="25463"/>
    <cellStyle name="Обычный 6 9 2 5 6" xfId="25464"/>
    <cellStyle name="Обычный 6 9 2 6" xfId="25465"/>
    <cellStyle name="Обычный 6 9 2 6 2" xfId="25466"/>
    <cellStyle name="Обычный 6 9 2 6 3" xfId="25467"/>
    <cellStyle name="Обычный 6 9 2 7" xfId="25468"/>
    <cellStyle name="Обычный 6 9 2 7 2" xfId="25469"/>
    <cellStyle name="Обычный 6 9 2 7 3" xfId="25470"/>
    <cellStyle name="Обычный 6 9 2 8" xfId="25471"/>
    <cellStyle name="Обычный 6 9 2 8 2" xfId="25472"/>
    <cellStyle name="Обычный 6 9 2 9" xfId="25473"/>
    <cellStyle name="Обычный 6 9 3" xfId="25474"/>
    <cellStyle name="Обычный 6 9 3 10" xfId="25475"/>
    <cellStyle name="Обычный 6 9 3 2" xfId="25476"/>
    <cellStyle name="Обычный 6 9 3 2 2" xfId="25477"/>
    <cellStyle name="Обычный 6 9 3 2 2 2" xfId="25478"/>
    <cellStyle name="Обычный 6 9 3 2 2 2 2" xfId="25479"/>
    <cellStyle name="Обычный 6 9 3 2 2 2 2 2" xfId="25480"/>
    <cellStyle name="Обычный 6 9 3 2 2 2 2 2 2" xfId="25481"/>
    <cellStyle name="Обычный 6 9 3 2 2 2 2 2 3" xfId="25482"/>
    <cellStyle name="Обычный 6 9 3 2 2 2 2 3" xfId="25483"/>
    <cellStyle name="Обычный 6 9 3 2 2 2 2 3 2" xfId="25484"/>
    <cellStyle name="Обычный 6 9 3 2 2 2 2 3 3" xfId="25485"/>
    <cellStyle name="Обычный 6 9 3 2 2 2 2 4" xfId="25486"/>
    <cellStyle name="Обычный 6 9 3 2 2 2 2 4 2" xfId="25487"/>
    <cellStyle name="Обычный 6 9 3 2 2 2 2 5" xfId="25488"/>
    <cellStyle name="Обычный 6 9 3 2 2 2 2 6" xfId="25489"/>
    <cellStyle name="Обычный 6 9 3 2 2 2 3" xfId="25490"/>
    <cellStyle name="Обычный 6 9 3 2 2 2 3 2" xfId="25491"/>
    <cellStyle name="Обычный 6 9 3 2 2 2 3 3" xfId="25492"/>
    <cellStyle name="Обычный 6 9 3 2 2 2 4" xfId="25493"/>
    <cellStyle name="Обычный 6 9 3 2 2 2 4 2" xfId="25494"/>
    <cellStyle name="Обычный 6 9 3 2 2 2 4 3" xfId="25495"/>
    <cellStyle name="Обычный 6 9 3 2 2 2 5" xfId="25496"/>
    <cellStyle name="Обычный 6 9 3 2 2 2 5 2" xfId="25497"/>
    <cellStyle name="Обычный 6 9 3 2 2 2 6" xfId="25498"/>
    <cellStyle name="Обычный 6 9 3 2 2 2 7" xfId="25499"/>
    <cellStyle name="Обычный 6 9 3 2 2 3" xfId="25500"/>
    <cellStyle name="Обычный 6 9 3 2 2 3 2" xfId="25501"/>
    <cellStyle name="Обычный 6 9 3 2 2 3 2 2" xfId="25502"/>
    <cellStyle name="Обычный 6 9 3 2 2 3 2 3" xfId="25503"/>
    <cellStyle name="Обычный 6 9 3 2 2 3 3" xfId="25504"/>
    <cellStyle name="Обычный 6 9 3 2 2 3 3 2" xfId="25505"/>
    <cellStyle name="Обычный 6 9 3 2 2 3 3 3" xfId="25506"/>
    <cellStyle name="Обычный 6 9 3 2 2 3 4" xfId="25507"/>
    <cellStyle name="Обычный 6 9 3 2 2 3 4 2" xfId="25508"/>
    <cellStyle name="Обычный 6 9 3 2 2 3 5" xfId="25509"/>
    <cellStyle name="Обычный 6 9 3 2 2 3 6" xfId="25510"/>
    <cellStyle name="Обычный 6 9 3 2 2 4" xfId="25511"/>
    <cellStyle name="Обычный 6 9 3 2 2 4 2" xfId="25512"/>
    <cellStyle name="Обычный 6 9 3 2 2 4 3" xfId="25513"/>
    <cellStyle name="Обычный 6 9 3 2 2 5" xfId="25514"/>
    <cellStyle name="Обычный 6 9 3 2 2 5 2" xfId="25515"/>
    <cellStyle name="Обычный 6 9 3 2 2 5 3" xfId="25516"/>
    <cellStyle name="Обычный 6 9 3 2 2 6" xfId="25517"/>
    <cellStyle name="Обычный 6 9 3 2 2 6 2" xfId="25518"/>
    <cellStyle name="Обычный 6 9 3 2 2 7" xfId="25519"/>
    <cellStyle name="Обычный 6 9 3 2 2 8" xfId="25520"/>
    <cellStyle name="Обычный 6 9 3 2 3" xfId="25521"/>
    <cellStyle name="Обычный 6 9 3 2 3 2" xfId="25522"/>
    <cellStyle name="Обычный 6 9 3 2 3 2 2" xfId="25523"/>
    <cellStyle name="Обычный 6 9 3 2 3 2 2 2" xfId="25524"/>
    <cellStyle name="Обычный 6 9 3 2 3 2 2 3" xfId="25525"/>
    <cellStyle name="Обычный 6 9 3 2 3 2 3" xfId="25526"/>
    <cellStyle name="Обычный 6 9 3 2 3 2 3 2" xfId="25527"/>
    <cellStyle name="Обычный 6 9 3 2 3 2 3 3" xfId="25528"/>
    <cellStyle name="Обычный 6 9 3 2 3 2 4" xfId="25529"/>
    <cellStyle name="Обычный 6 9 3 2 3 2 4 2" xfId="25530"/>
    <cellStyle name="Обычный 6 9 3 2 3 2 5" xfId="25531"/>
    <cellStyle name="Обычный 6 9 3 2 3 2 6" xfId="25532"/>
    <cellStyle name="Обычный 6 9 3 2 3 3" xfId="25533"/>
    <cellStyle name="Обычный 6 9 3 2 3 3 2" xfId="25534"/>
    <cellStyle name="Обычный 6 9 3 2 3 3 3" xfId="25535"/>
    <cellStyle name="Обычный 6 9 3 2 3 4" xfId="25536"/>
    <cellStyle name="Обычный 6 9 3 2 3 4 2" xfId="25537"/>
    <cellStyle name="Обычный 6 9 3 2 3 4 3" xfId="25538"/>
    <cellStyle name="Обычный 6 9 3 2 3 5" xfId="25539"/>
    <cellStyle name="Обычный 6 9 3 2 3 5 2" xfId="25540"/>
    <cellStyle name="Обычный 6 9 3 2 3 6" xfId="25541"/>
    <cellStyle name="Обычный 6 9 3 2 3 7" xfId="25542"/>
    <cellStyle name="Обычный 6 9 3 2 4" xfId="25543"/>
    <cellStyle name="Обычный 6 9 3 2 4 2" xfId="25544"/>
    <cellStyle name="Обычный 6 9 3 2 4 2 2" xfId="25545"/>
    <cellStyle name="Обычный 6 9 3 2 4 2 3" xfId="25546"/>
    <cellStyle name="Обычный 6 9 3 2 4 3" xfId="25547"/>
    <cellStyle name="Обычный 6 9 3 2 4 3 2" xfId="25548"/>
    <cellStyle name="Обычный 6 9 3 2 4 3 3" xfId="25549"/>
    <cellStyle name="Обычный 6 9 3 2 4 4" xfId="25550"/>
    <cellStyle name="Обычный 6 9 3 2 4 4 2" xfId="25551"/>
    <cellStyle name="Обычный 6 9 3 2 4 5" xfId="25552"/>
    <cellStyle name="Обычный 6 9 3 2 4 6" xfId="25553"/>
    <cellStyle name="Обычный 6 9 3 2 5" xfId="25554"/>
    <cellStyle name="Обычный 6 9 3 2 5 2" xfId="25555"/>
    <cellStyle name="Обычный 6 9 3 2 5 3" xfId="25556"/>
    <cellStyle name="Обычный 6 9 3 2 6" xfId="25557"/>
    <cellStyle name="Обычный 6 9 3 2 6 2" xfId="25558"/>
    <cellStyle name="Обычный 6 9 3 2 6 3" xfId="25559"/>
    <cellStyle name="Обычный 6 9 3 2 7" xfId="25560"/>
    <cellStyle name="Обычный 6 9 3 2 7 2" xfId="25561"/>
    <cellStyle name="Обычный 6 9 3 2 8" xfId="25562"/>
    <cellStyle name="Обычный 6 9 3 2 9" xfId="25563"/>
    <cellStyle name="Обычный 6 9 3 3" xfId="25564"/>
    <cellStyle name="Обычный 6 9 3 3 2" xfId="25565"/>
    <cellStyle name="Обычный 6 9 3 3 2 2" xfId="25566"/>
    <cellStyle name="Обычный 6 9 3 3 2 2 2" xfId="25567"/>
    <cellStyle name="Обычный 6 9 3 3 2 2 2 2" xfId="25568"/>
    <cellStyle name="Обычный 6 9 3 3 2 2 2 3" xfId="25569"/>
    <cellStyle name="Обычный 6 9 3 3 2 2 3" xfId="25570"/>
    <cellStyle name="Обычный 6 9 3 3 2 2 3 2" xfId="25571"/>
    <cellStyle name="Обычный 6 9 3 3 2 2 3 3" xfId="25572"/>
    <cellStyle name="Обычный 6 9 3 3 2 2 4" xfId="25573"/>
    <cellStyle name="Обычный 6 9 3 3 2 2 4 2" xfId="25574"/>
    <cellStyle name="Обычный 6 9 3 3 2 2 5" xfId="25575"/>
    <cellStyle name="Обычный 6 9 3 3 2 2 6" xfId="25576"/>
    <cellStyle name="Обычный 6 9 3 3 2 3" xfId="25577"/>
    <cellStyle name="Обычный 6 9 3 3 2 3 2" xfId="25578"/>
    <cellStyle name="Обычный 6 9 3 3 2 3 3" xfId="25579"/>
    <cellStyle name="Обычный 6 9 3 3 2 4" xfId="25580"/>
    <cellStyle name="Обычный 6 9 3 3 2 4 2" xfId="25581"/>
    <cellStyle name="Обычный 6 9 3 3 2 4 3" xfId="25582"/>
    <cellStyle name="Обычный 6 9 3 3 2 5" xfId="25583"/>
    <cellStyle name="Обычный 6 9 3 3 2 5 2" xfId="25584"/>
    <cellStyle name="Обычный 6 9 3 3 2 6" xfId="25585"/>
    <cellStyle name="Обычный 6 9 3 3 2 7" xfId="25586"/>
    <cellStyle name="Обычный 6 9 3 3 3" xfId="25587"/>
    <cellStyle name="Обычный 6 9 3 3 3 2" xfId="25588"/>
    <cellStyle name="Обычный 6 9 3 3 3 2 2" xfId="25589"/>
    <cellStyle name="Обычный 6 9 3 3 3 2 3" xfId="25590"/>
    <cellStyle name="Обычный 6 9 3 3 3 3" xfId="25591"/>
    <cellStyle name="Обычный 6 9 3 3 3 3 2" xfId="25592"/>
    <cellStyle name="Обычный 6 9 3 3 3 3 3" xfId="25593"/>
    <cellStyle name="Обычный 6 9 3 3 3 4" xfId="25594"/>
    <cellStyle name="Обычный 6 9 3 3 3 4 2" xfId="25595"/>
    <cellStyle name="Обычный 6 9 3 3 3 5" xfId="25596"/>
    <cellStyle name="Обычный 6 9 3 3 3 6" xfId="25597"/>
    <cellStyle name="Обычный 6 9 3 3 4" xfId="25598"/>
    <cellStyle name="Обычный 6 9 3 3 4 2" xfId="25599"/>
    <cellStyle name="Обычный 6 9 3 3 4 3" xfId="25600"/>
    <cellStyle name="Обычный 6 9 3 3 5" xfId="25601"/>
    <cellStyle name="Обычный 6 9 3 3 5 2" xfId="25602"/>
    <cellStyle name="Обычный 6 9 3 3 5 3" xfId="25603"/>
    <cellStyle name="Обычный 6 9 3 3 6" xfId="25604"/>
    <cellStyle name="Обычный 6 9 3 3 6 2" xfId="25605"/>
    <cellStyle name="Обычный 6 9 3 3 7" xfId="25606"/>
    <cellStyle name="Обычный 6 9 3 3 8" xfId="25607"/>
    <cellStyle name="Обычный 6 9 3 4" xfId="25608"/>
    <cellStyle name="Обычный 6 9 3 4 2" xfId="25609"/>
    <cellStyle name="Обычный 6 9 3 4 2 2" xfId="25610"/>
    <cellStyle name="Обычный 6 9 3 4 2 2 2" xfId="25611"/>
    <cellStyle name="Обычный 6 9 3 4 2 2 3" xfId="25612"/>
    <cellStyle name="Обычный 6 9 3 4 2 3" xfId="25613"/>
    <cellStyle name="Обычный 6 9 3 4 2 3 2" xfId="25614"/>
    <cellStyle name="Обычный 6 9 3 4 2 3 3" xfId="25615"/>
    <cellStyle name="Обычный 6 9 3 4 2 4" xfId="25616"/>
    <cellStyle name="Обычный 6 9 3 4 2 4 2" xfId="25617"/>
    <cellStyle name="Обычный 6 9 3 4 2 5" xfId="25618"/>
    <cellStyle name="Обычный 6 9 3 4 2 6" xfId="25619"/>
    <cellStyle name="Обычный 6 9 3 4 3" xfId="25620"/>
    <cellStyle name="Обычный 6 9 3 4 3 2" xfId="25621"/>
    <cellStyle name="Обычный 6 9 3 4 3 3" xfId="25622"/>
    <cellStyle name="Обычный 6 9 3 4 4" xfId="25623"/>
    <cellStyle name="Обычный 6 9 3 4 4 2" xfId="25624"/>
    <cellStyle name="Обычный 6 9 3 4 4 3" xfId="25625"/>
    <cellStyle name="Обычный 6 9 3 4 5" xfId="25626"/>
    <cellStyle name="Обычный 6 9 3 4 5 2" xfId="25627"/>
    <cellStyle name="Обычный 6 9 3 4 6" xfId="25628"/>
    <cellStyle name="Обычный 6 9 3 4 7" xfId="25629"/>
    <cellStyle name="Обычный 6 9 3 5" xfId="25630"/>
    <cellStyle name="Обычный 6 9 3 5 2" xfId="25631"/>
    <cellStyle name="Обычный 6 9 3 5 2 2" xfId="25632"/>
    <cellStyle name="Обычный 6 9 3 5 2 3" xfId="25633"/>
    <cellStyle name="Обычный 6 9 3 5 3" xfId="25634"/>
    <cellStyle name="Обычный 6 9 3 5 3 2" xfId="25635"/>
    <cellStyle name="Обычный 6 9 3 5 3 3" xfId="25636"/>
    <cellStyle name="Обычный 6 9 3 5 4" xfId="25637"/>
    <cellStyle name="Обычный 6 9 3 5 4 2" xfId="25638"/>
    <cellStyle name="Обычный 6 9 3 5 5" xfId="25639"/>
    <cellStyle name="Обычный 6 9 3 5 6" xfId="25640"/>
    <cellStyle name="Обычный 6 9 3 6" xfId="25641"/>
    <cellStyle name="Обычный 6 9 3 6 2" xfId="25642"/>
    <cellStyle name="Обычный 6 9 3 6 3" xfId="25643"/>
    <cellStyle name="Обычный 6 9 3 7" xfId="25644"/>
    <cellStyle name="Обычный 6 9 3 7 2" xfId="25645"/>
    <cellStyle name="Обычный 6 9 3 7 3" xfId="25646"/>
    <cellStyle name="Обычный 6 9 3 8" xfId="25647"/>
    <cellStyle name="Обычный 6 9 3 8 2" xfId="25648"/>
    <cellStyle name="Обычный 6 9 3 9" xfId="25649"/>
    <cellStyle name="Обычный 6 9 4" xfId="25650"/>
    <cellStyle name="Обычный 6 9 4 10" xfId="25651"/>
    <cellStyle name="Обычный 6 9 4 2" xfId="25652"/>
    <cellStyle name="Обычный 6 9 4 2 2" xfId="25653"/>
    <cellStyle name="Обычный 6 9 4 2 2 2" xfId="25654"/>
    <cellStyle name="Обычный 6 9 4 2 2 2 2" xfId="25655"/>
    <cellStyle name="Обычный 6 9 4 2 2 2 2 2" xfId="25656"/>
    <cellStyle name="Обычный 6 9 4 2 2 2 2 2 2" xfId="25657"/>
    <cellStyle name="Обычный 6 9 4 2 2 2 2 2 3" xfId="25658"/>
    <cellStyle name="Обычный 6 9 4 2 2 2 2 3" xfId="25659"/>
    <cellStyle name="Обычный 6 9 4 2 2 2 2 3 2" xfId="25660"/>
    <cellStyle name="Обычный 6 9 4 2 2 2 2 3 3" xfId="25661"/>
    <cellStyle name="Обычный 6 9 4 2 2 2 2 4" xfId="25662"/>
    <cellStyle name="Обычный 6 9 4 2 2 2 2 4 2" xfId="25663"/>
    <cellStyle name="Обычный 6 9 4 2 2 2 2 5" xfId="25664"/>
    <cellStyle name="Обычный 6 9 4 2 2 2 2 6" xfId="25665"/>
    <cellStyle name="Обычный 6 9 4 2 2 2 3" xfId="25666"/>
    <cellStyle name="Обычный 6 9 4 2 2 2 3 2" xfId="25667"/>
    <cellStyle name="Обычный 6 9 4 2 2 2 3 3" xfId="25668"/>
    <cellStyle name="Обычный 6 9 4 2 2 2 4" xfId="25669"/>
    <cellStyle name="Обычный 6 9 4 2 2 2 4 2" xfId="25670"/>
    <cellStyle name="Обычный 6 9 4 2 2 2 4 3" xfId="25671"/>
    <cellStyle name="Обычный 6 9 4 2 2 2 5" xfId="25672"/>
    <cellStyle name="Обычный 6 9 4 2 2 2 5 2" xfId="25673"/>
    <cellStyle name="Обычный 6 9 4 2 2 2 6" xfId="25674"/>
    <cellStyle name="Обычный 6 9 4 2 2 2 7" xfId="25675"/>
    <cellStyle name="Обычный 6 9 4 2 2 3" xfId="25676"/>
    <cellStyle name="Обычный 6 9 4 2 2 3 2" xfId="25677"/>
    <cellStyle name="Обычный 6 9 4 2 2 3 2 2" xfId="25678"/>
    <cellStyle name="Обычный 6 9 4 2 2 3 2 3" xfId="25679"/>
    <cellStyle name="Обычный 6 9 4 2 2 3 3" xfId="25680"/>
    <cellStyle name="Обычный 6 9 4 2 2 3 3 2" xfId="25681"/>
    <cellStyle name="Обычный 6 9 4 2 2 3 3 3" xfId="25682"/>
    <cellStyle name="Обычный 6 9 4 2 2 3 4" xfId="25683"/>
    <cellStyle name="Обычный 6 9 4 2 2 3 4 2" xfId="25684"/>
    <cellStyle name="Обычный 6 9 4 2 2 3 5" xfId="25685"/>
    <cellStyle name="Обычный 6 9 4 2 2 3 6" xfId="25686"/>
    <cellStyle name="Обычный 6 9 4 2 2 4" xfId="25687"/>
    <cellStyle name="Обычный 6 9 4 2 2 4 2" xfId="25688"/>
    <cellStyle name="Обычный 6 9 4 2 2 4 3" xfId="25689"/>
    <cellStyle name="Обычный 6 9 4 2 2 5" xfId="25690"/>
    <cellStyle name="Обычный 6 9 4 2 2 5 2" xfId="25691"/>
    <cellStyle name="Обычный 6 9 4 2 2 5 3" xfId="25692"/>
    <cellStyle name="Обычный 6 9 4 2 2 6" xfId="25693"/>
    <cellStyle name="Обычный 6 9 4 2 2 6 2" xfId="25694"/>
    <cellStyle name="Обычный 6 9 4 2 2 7" xfId="25695"/>
    <cellStyle name="Обычный 6 9 4 2 2 8" xfId="25696"/>
    <cellStyle name="Обычный 6 9 4 2 3" xfId="25697"/>
    <cellStyle name="Обычный 6 9 4 2 3 2" xfId="25698"/>
    <cellStyle name="Обычный 6 9 4 2 3 2 2" xfId="25699"/>
    <cellStyle name="Обычный 6 9 4 2 3 2 2 2" xfId="25700"/>
    <cellStyle name="Обычный 6 9 4 2 3 2 2 3" xfId="25701"/>
    <cellStyle name="Обычный 6 9 4 2 3 2 3" xfId="25702"/>
    <cellStyle name="Обычный 6 9 4 2 3 2 3 2" xfId="25703"/>
    <cellStyle name="Обычный 6 9 4 2 3 2 3 3" xfId="25704"/>
    <cellStyle name="Обычный 6 9 4 2 3 2 4" xfId="25705"/>
    <cellStyle name="Обычный 6 9 4 2 3 2 4 2" xfId="25706"/>
    <cellStyle name="Обычный 6 9 4 2 3 2 5" xfId="25707"/>
    <cellStyle name="Обычный 6 9 4 2 3 2 6" xfId="25708"/>
    <cellStyle name="Обычный 6 9 4 2 3 3" xfId="25709"/>
    <cellStyle name="Обычный 6 9 4 2 3 3 2" xfId="25710"/>
    <cellStyle name="Обычный 6 9 4 2 3 3 3" xfId="25711"/>
    <cellStyle name="Обычный 6 9 4 2 3 4" xfId="25712"/>
    <cellStyle name="Обычный 6 9 4 2 3 4 2" xfId="25713"/>
    <cellStyle name="Обычный 6 9 4 2 3 4 3" xfId="25714"/>
    <cellStyle name="Обычный 6 9 4 2 3 5" xfId="25715"/>
    <cellStyle name="Обычный 6 9 4 2 3 5 2" xfId="25716"/>
    <cellStyle name="Обычный 6 9 4 2 3 6" xfId="25717"/>
    <cellStyle name="Обычный 6 9 4 2 3 7" xfId="25718"/>
    <cellStyle name="Обычный 6 9 4 2 4" xfId="25719"/>
    <cellStyle name="Обычный 6 9 4 2 4 2" xfId="25720"/>
    <cellStyle name="Обычный 6 9 4 2 4 2 2" xfId="25721"/>
    <cellStyle name="Обычный 6 9 4 2 4 2 3" xfId="25722"/>
    <cellStyle name="Обычный 6 9 4 2 4 3" xfId="25723"/>
    <cellStyle name="Обычный 6 9 4 2 4 3 2" xfId="25724"/>
    <cellStyle name="Обычный 6 9 4 2 4 3 3" xfId="25725"/>
    <cellStyle name="Обычный 6 9 4 2 4 4" xfId="25726"/>
    <cellStyle name="Обычный 6 9 4 2 4 4 2" xfId="25727"/>
    <cellStyle name="Обычный 6 9 4 2 4 5" xfId="25728"/>
    <cellStyle name="Обычный 6 9 4 2 4 6" xfId="25729"/>
    <cellStyle name="Обычный 6 9 4 2 5" xfId="25730"/>
    <cellStyle name="Обычный 6 9 4 2 5 2" xfId="25731"/>
    <cellStyle name="Обычный 6 9 4 2 5 3" xfId="25732"/>
    <cellStyle name="Обычный 6 9 4 2 6" xfId="25733"/>
    <cellStyle name="Обычный 6 9 4 2 6 2" xfId="25734"/>
    <cellStyle name="Обычный 6 9 4 2 6 3" xfId="25735"/>
    <cellStyle name="Обычный 6 9 4 2 7" xfId="25736"/>
    <cellStyle name="Обычный 6 9 4 2 7 2" xfId="25737"/>
    <cellStyle name="Обычный 6 9 4 2 8" xfId="25738"/>
    <cellStyle name="Обычный 6 9 4 2 9" xfId="25739"/>
    <cellStyle name="Обычный 6 9 4 3" xfId="25740"/>
    <cellStyle name="Обычный 6 9 4 3 2" xfId="25741"/>
    <cellStyle name="Обычный 6 9 4 3 2 2" xfId="25742"/>
    <cellStyle name="Обычный 6 9 4 3 2 2 2" xfId="25743"/>
    <cellStyle name="Обычный 6 9 4 3 2 2 2 2" xfId="25744"/>
    <cellStyle name="Обычный 6 9 4 3 2 2 2 3" xfId="25745"/>
    <cellStyle name="Обычный 6 9 4 3 2 2 3" xfId="25746"/>
    <cellStyle name="Обычный 6 9 4 3 2 2 3 2" xfId="25747"/>
    <cellStyle name="Обычный 6 9 4 3 2 2 3 3" xfId="25748"/>
    <cellStyle name="Обычный 6 9 4 3 2 2 4" xfId="25749"/>
    <cellStyle name="Обычный 6 9 4 3 2 2 4 2" xfId="25750"/>
    <cellStyle name="Обычный 6 9 4 3 2 2 5" xfId="25751"/>
    <cellStyle name="Обычный 6 9 4 3 2 2 6" xfId="25752"/>
    <cellStyle name="Обычный 6 9 4 3 2 3" xfId="25753"/>
    <cellStyle name="Обычный 6 9 4 3 2 3 2" xfId="25754"/>
    <cellStyle name="Обычный 6 9 4 3 2 3 3" xfId="25755"/>
    <cellStyle name="Обычный 6 9 4 3 2 4" xfId="25756"/>
    <cellStyle name="Обычный 6 9 4 3 2 4 2" xfId="25757"/>
    <cellStyle name="Обычный 6 9 4 3 2 4 3" xfId="25758"/>
    <cellStyle name="Обычный 6 9 4 3 2 5" xfId="25759"/>
    <cellStyle name="Обычный 6 9 4 3 2 5 2" xfId="25760"/>
    <cellStyle name="Обычный 6 9 4 3 2 6" xfId="25761"/>
    <cellStyle name="Обычный 6 9 4 3 2 7" xfId="25762"/>
    <cellStyle name="Обычный 6 9 4 3 3" xfId="25763"/>
    <cellStyle name="Обычный 6 9 4 3 3 2" xfId="25764"/>
    <cellStyle name="Обычный 6 9 4 3 3 2 2" xfId="25765"/>
    <cellStyle name="Обычный 6 9 4 3 3 2 3" xfId="25766"/>
    <cellStyle name="Обычный 6 9 4 3 3 3" xfId="25767"/>
    <cellStyle name="Обычный 6 9 4 3 3 3 2" xfId="25768"/>
    <cellStyle name="Обычный 6 9 4 3 3 3 3" xfId="25769"/>
    <cellStyle name="Обычный 6 9 4 3 3 4" xfId="25770"/>
    <cellStyle name="Обычный 6 9 4 3 3 4 2" xfId="25771"/>
    <cellStyle name="Обычный 6 9 4 3 3 5" xfId="25772"/>
    <cellStyle name="Обычный 6 9 4 3 3 6" xfId="25773"/>
    <cellStyle name="Обычный 6 9 4 3 4" xfId="25774"/>
    <cellStyle name="Обычный 6 9 4 3 4 2" xfId="25775"/>
    <cellStyle name="Обычный 6 9 4 3 4 3" xfId="25776"/>
    <cellStyle name="Обычный 6 9 4 3 5" xfId="25777"/>
    <cellStyle name="Обычный 6 9 4 3 5 2" xfId="25778"/>
    <cellStyle name="Обычный 6 9 4 3 5 3" xfId="25779"/>
    <cellStyle name="Обычный 6 9 4 3 6" xfId="25780"/>
    <cellStyle name="Обычный 6 9 4 3 6 2" xfId="25781"/>
    <cellStyle name="Обычный 6 9 4 3 7" xfId="25782"/>
    <cellStyle name="Обычный 6 9 4 3 8" xfId="25783"/>
    <cellStyle name="Обычный 6 9 4 4" xfId="25784"/>
    <cellStyle name="Обычный 6 9 4 4 2" xfId="25785"/>
    <cellStyle name="Обычный 6 9 4 4 2 2" xfId="25786"/>
    <cellStyle name="Обычный 6 9 4 4 2 2 2" xfId="25787"/>
    <cellStyle name="Обычный 6 9 4 4 2 2 3" xfId="25788"/>
    <cellStyle name="Обычный 6 9 4 4 2 3" xfId="25789"/>
    <cellStyle name="Обычный 6 9 4 4 2 3 2" xfId="25790"/>
    <cellStyle name="Обычный 6 9 4 4 2 3 3" xfId="25791"/>
    <cellStyle name="Обычный 6 9 4 4 2 4" xfId="25792"/>
    <cellStyle name="Обычный 6 9 4 4 2 4 2" xfId="25793"/>
    <cellStyle name="Обычный 6 9 4 4 2 5" xfId="25794"/>
    <cellStyle name="Обычный 6 9 4 4 2 6" xfId="25795"/>
    <cellStyle name="Обычный 6 9 4 4 3" xfId="25796"/>
    <cellStyle name="Обычный 6 9 4 4 3 2" xfId="25797"/>
    <cellStyle name="Обычный 6 9 4 4 3 3" xfId="25798"/>
    <cellStyle name="Обычный 6 9 4 4 4" xfId="25799"/>
    <cellStyle name="Обычный 6 9 4 4 4 2" xfId="25800"/>
    <cellStyle name="Обычный 6 9 4 4 4 3" xfId="25801"/>
    <cellStyle name="Обычный 6 9 4 4 5" xfId="25802"/>
    <cellStyle name="Обычный 6 9 4 4 5 2" xfId="25803"/>
    <cellStyle name="Обычный 6 9 4 4 6" xfId="25804"/>
    <cellStyle name="Обычный 6 9 4 4 7" xfId="25805"/>
    <cellStyle name="Обычный 6 9 4 5" xfId="25806"/>
    <cellStyle name="Обычный 6 9 4 5 2" xfId="25807"/>
    <cellStyle name="Обычный 6 9 4 5 2 2" xfId="25808"/>
    <cellStyle name="Обычный 6 9 4 5 2 3" xfId="25809"/>
    <cellStyle name="Обычный 6 9 4 5 3" xfId="25810"/>
    <cellStyle name="Обычный 6 9 4 5 3 2" xfId="25811"/>
    <cellStyle name="Обычный 6 9 4 5 3 3" xfId="25812"/>
    <cellStyle name="Обычный 6 9 4 5 4" xfId="25813"/>
    <cellStyle name="Обычный 6 9 4 5 4 2" xfId="25814"/>
    <cellStyle name="Обычный 6 9 4 5 5" xfId="25815"/>
    <cellStyle name="Обычный 6 9 4 5 6" xfId="25816"/>
    <cellStyle name="Обычный 6 9 4 6" xfId="25817"/>
    <cellStyle name="Обычный 6 9 4 6 2" xfId="25818"/>
    <cellStyle name="Обычный 6 9 4 6 3" xfId="25819"/>
    <cellStyle name="Обычный 6 9 4 7" xfId="25820"/>
    <cellStyle name="Обычный 6 9 4 7 2" xfId="25821"/>
    <cellStyle name="Обычный 6 9 4 7 3" xfId="25822"/>
    <cellStyle name="Обычный 6 9 4 8" xfId="25823"/>
    <cellStyle name="Обычный 6 9 4 8 2" xfId="25824"/>
    <cellStyle name="Обычный 6 9 4 9" xfId="25825"/>
    <cellStyle name="Обычный 6 9 5" xfId="25826"/>
    <cellStyle name="Обычный 6 9 5 2" xfId="25827"/>
    <cellStyle name="Обычный 6 9 5 2 2" xfId="25828"/>
    <cellStyle name="Обычный 6 9 5 2 2 2" xfId="25829"/>
    <cellStyle name="Обычный 6 9 5 2 2 2 2" xfId="25830"/>
    <cellStyle name="Обычный 6 9 5 2 2 2 2 2" xfId="25831"/>
    <cellStyle name="Обычный 6 9 5 2 2 2 2 3" xfId="25832"/>
    <cellStyle name="Обычный 6 9 5 2 2 2 3" xfId="25833"/>
    <cellStyle name="Обычный 6 9 5 2 2 2 3 2" xfId="25834"/>
    <cellStyle name="Обычный 6 9 5 2 2 2 3 3" xfId="25835"/>
    <cellStyle name="Обычный 6 9 5 2 2 2 4" xfId="25836"/>
    <cellStyle name="Обычный 6 9 5 2 2 2 4 2" xfId="25837"/>
    <cellStyle name="Обычный 6 9 5 2 2 2 5" xfId="25838"/>
    <cellStyle name="Обычный 6 9 5 2 2 2 6" xfId="25839"/>
    <cellStyle name="Обычный 6 9 5 2 2 3" xfId="25840"/>
    <cellStyle name="Обычный 6 9 5 2 2 3 2" xfId="25841"/>
    <cellStyle name="Обычный 6 9 5 2 2 3 3" xfId="25842"/>
    <cellStyle name="Обычный 6 9 5 2 2 4" xfId="25843"/>
    <cellStyle name="Обычный 6 9 5 2 2 4 2" xfId="25844"/>
    <cellStyle name="Обычный 6 9 5 2 2 4 3" xfId="25845"/>
    <cellStyle name="Обычный 6 9 5 2 2 5" xfId="25846"/>
    <cellStyle name="Обычный 6 9 5 2 2 5 2" xfId="25847"/>
    <cellStyle name="Обычный 6 9 5 2 2 6" xfId="25848"/>
    <cellStyle name="Обычный 6 9 5 2 2 7" xfId="25849"/>
    <cellStyle name="Обычный 6 9 5 2 3" xfId="25850"/>
    <cellStyle name="Обычный 6 9 5 2 3 2" xfId="25851"/>
    <cellStyle name="Обычный 6 9 5 2 3 2 2" xfId="25852"/>
    <cellStyle name="Обычный 6 9 5 2 3 2 3" xfId="25853"/>
    <cellStyle name="Обычный 6 9 5 2 3 3" xfId="25854"/>
    <cellStyle name="Обычный 6 9 5 2 3 3 2" xfId="25855"/>
    <cellStyle name="Обычный 6 9 5 2 3 3 3" xfId="25856"/>
    <cellStyle name="Обычный 6 9 5 2 3 4" xfId="25857"/>
    <cellStyle name="Обычный 6 9 5 2 3 4 2" xfId="25858"/>
    <cellStyle name="Обычный 6 9 5 2 3 5" xfId="25859"/>
    <cellStyle name="Обычный 6 9 5 2 3 6" xfId="25860"/>
    <cellStyle name="Обычный 6 9 5 2 4" xfId="25861"/>
    <cellStyle name="Обычный 6 9 5 2 4 2" xfId="25862"/>
    <cellStyle name="Обычный 6 9 5 2 4 3" xfId="25863"/>
    <cellStyle name="Обычный 6 9 5 2 5" xfId="25864"/>
    <cellStyle name="Обычный 6 9 5 2 5 2" xfId="25865"/>
    <cellStyle name="Обычный 6 9 5 2 5 3" xfId="25866"/>
    <cellStyle name="Обычный 6 9 5 2 6" xfId="25867"/>
    <cellStyle name="Обычный 6 9 5 2 6 2" xfId="25868"/>
    <cellStyle name="Обычный 6 9 5 2 7" xfId="25869"/>
    <cellStyle name="Обычный 6 9 5 2 8" xfId="25870"/>
    <cellStyle name="Обычный 6 9 5 3" xfId="25871"/>
    <cellStyle name="Обычный 6 9 5 3 2" xfId="25872"/>
    <cellStyle name="Обычный 6 9 5 3 2 2" xfId="25873"/>
    <cellStyle name="Обычный 6 9 5 3 2 2 2" xfId="25874"/>
    <cellStyle name="Обычный 6 9 5 3 2 2 3" xfId="25875"/>
    <cellStyle name="Обычный 6 9 5 3 2 3" xfId="25876"/>
    <cellStyle name="Обычный 6 9 5 3 2 3 2" xfId="25877"/>
    <cellStyle name="Обычный 6 9 5 3 2 3 3" xfId="25878"/>
    <cellStyle name="Обычный 6 9 5 3 2 4" xfId="25879"/>
    <cellStyle name="Обычный 6 9 5 3 2 4 2" xfId="25880"/>
    <cellStyle name="Обычный 6 9 5 3 2 5" xfId="25881"/>
    <cellStyle name="Обычный 6 9 5 3 2 6" xfId="25882"/>
    <cellStyle name="Обычный 6 9 5 3 3" xfId="25883"/>
    <cellStyle name="Обычный 6 9 5 3 3 2" xfId="25884"/>
    <cellStyle name="Обычный 6 9 5 3 3 3" xfId="25885"/>
    <cellStyle name="Обычный 6 9 5 3 4" xfId="25886"/>
    <cellStyle name="Обычный 6 9 5 3 4 2" xfId="25887"/>
    <cellStyle name="Обычный 6 9 5 3 4 3" xfId="25888"/>
    <cellStyle name="Обычный 6 9 5 3 5" xfId="25889"/>
    <cellStyle name="Обычный 6 9 5 3 5 2" xfId="25890"/>
    <cellStyle name="Обычный 6 9 5 3 6" xfId="25891"/>
    <cellStyle name="Обычный 6 9 5 3 7" xfId="25892"/>
    <cellStyle name="Обычный 6 9 5 4" xfId="25893"/>
    <cellStyle name="Обычный 6 9 5 4 2" xfId="25894"/>
    <cellStyle name="Обычный 6 9 5 4 2 2" xfId="25895"/>
    <cellStyle name="Обычный 6 9 5 4 2 3" xfId="25896"/>
    <cellStyle name="Обычный 6 9 5 4 3" xfId="25897"/>
    <cellStyle name="Обычный 6 9 5 4 3 2" xfId="25898"/>
    <cellStyle name="Обычный 6 9 5 4 3 3" xfId="25899"/>
    <cellStyle name="Обычный 6 9 5 4 4" xfId="25900"/>
    <cellStyle name="Обычный 6 9 5 4 4 2" xfId="25901"/>
    <cellStyle name="Обычный 6 9 5 4 5" xfId="25902"/>
    <cellStyle name="Обычный 6 9 5 4 6" xfId="25903"/>
    <cellStyle name="Обычный 6 9 5 5" xfId="25904"/>
    <cellStyle name="Обычный 6 9 5 5 2" xfId="25905"/>
    <cellStyle name="Обычный 6 9 5 5 3" xfId="25906"/>
    <cellStyle name="Обычный 6 9 5 6" xfId="25907"/>
    <cellStyle name="Обычный 6 9 5 6 2" xfId="25908"/>
    <cellStyle name="Обычный 6 9 5 6 3" xfId="25909"/>
    <cellStyle name="Обычный 6 9 5 7" xfId="25910"/>
    <cellStyle name="Обычный 6 9 5 7 2" xfId="25911"/>
    <cellStyle name="Обычный 6 9 5 8" xfId="25912"/>
    <cellStyle name="Обычный 6 9 5 9" xfId="25913"/>
    <cellStyle name="Обычный 6 9 6" xfId="25914"/>
    <cellStyle name="Обычный 6 9 6 2" xfId="25915"/>
    <cellStyle name="Обычный 6 9 6 2 2" xfId="25916"/>
    <cellStyle name="Обычный 6 9 6 2 2 2" xfId="25917"/>
    <cellStyle name="Обычный 6 9 6 2 2 2 2" xfId="25918"/>
    <cellStyle name="Обычный 6 9 6 2 2 2 3" xfId="25919"/>
    <cellStyle name="Обычный 6 9 6 2 2 3" xfId="25920"/>
    <cellStyle name="Обычный 6 9 6 2 2 3 2" xfId="25921"/>
    <cellStyle name="Обычный 6 9 6 2 2 3 3" xfId="25922"/>
    <cellStyle name="Обычный 6 9 6 2 2 4" xfId="25923"/>
    <cellStyle name="Обычный 6 9 6 2 2 4 2" xfId="25924"/>
    <cellStyle name="Обычный 6 9 6 2 2 5" xfId="25925"/>
    <cellStyle name="Обычный 6 9 6 2 2 6" xfId="25926"/>
    <cellStyle name="Обычный 6 9 6 2 3" xfId="25927"/>
    <cellStyle name="Обычный 6 9 6 2 3 2" xfId="25928"/>
    <cellStyle name="Обычный 6 9 6 2 3 3" xfId="25929"/>
    <cellStyle name="Обычный 6 9 6 2 4" xfId="25930"/>
    <cellStyle name="Обычный 6 9 6 2 4 2" xfId="25931"/>
    <cellStyle name="Обычный 6 9 6 2 4 3" xfId="25932"/>
    <cellStyle name="Обычный 6 9 6 2 5" xfId="25933"/>
    <cellStyle name="Обычный 6 9 6 2 5 2" xfId="25934"/>
    <cellStyle name="Обычный 6 9 6 2 6" xfId="25935"/>
    <cellStyle name="Обычный 6 9 6 2 7" xfId="25936"/>
    <cellStyle name="Обычный 6 9 6 3" xfId="25937"/>
    <cellStyle name="Обычный 6 9 6 3 2" xfId="25938"/>
    <cellStyle name="Обычный 6 9 6 3 2 2" xfId="25939"/>
    <cellStyle name="Обычный 6 9 6 3 2 3" xfId="25940"/>
    <cellStyle name="Обычный 6 9 6 3 3" xfId="25941"/>
    <cellStyle name="Обычный 6 9 6 3 3 2" xfId="25942"/>
    <cellStyle name="Обычный 6 9 6 3 3 3" xfId="25943"/>
    <cellStyle name="Обычный 6 9 6 3 4" xfId="25944"/>
    <cellStyle name="Обычный 6 9 6 3 4 2" xfId="25945"/>
    <cellStyle name="Обычный 6 9 6 3 5" xfId="25946"/>
    <cellStyle name="Обычный 6 9 6 3 6" xfId="25947"/>
    <cellStyle name="Обычный 6 9 6 4" xfId="25948"/>
    <cellStyle name="Обычный 6 9 6 4 2" xfId="25949"/>
    <cellStyle name="Обычный 6 9 6 4 3" xfId="25950"/>
    <cellStyle name="Обычный 6 9 6 5" xfId="25951"/>
    <cellStyle name="Обычный 6 9 6 5 2" xfId="25952"/>
    <cellStyle name="Обычный 6 9 6 5 3" xfId="25953"/>
    <cellStyle name="Обычный 6 9 6 6" xfId="25954"/>
    <cellStyle name="Обычный 6 9 6 6 2" xfId="25955"/>
    <cellStyle name="Обычный 6 9 6 7" xfId="25956"/>
    <cellStyle name="Обычный 6 9 6 8" xfId="25957"/>
    <cellStyle name="Обычный 6 9 7" xfId="25958"/>
    <cellStyle name="Обычный 6 9 7 2" xfId="25959"/>
    <cellStyle name="Обычный 6 9 7 2 2" xfId="25960"/>
    <cellStyle name="Обычный 6 9 7 2 2 2" xfId="25961"/>
    <cellStyle name="Обычный 6 9 7 2 2 3" xfId="25962"/>
    <cellStyle name="Обычный 6 9 7 2 3" xfId="25963"/>
    <cellStyle name="Обычный 6 9 7 2 3 2" xfId="25964"/>
    <cellStyle name="Обычный 6 9 7 2 3 3" xfId="25965"/>
    <cellStyle name="Обычный 6 9 7 2 4" xfId="25966"/>
    <cellStyle name="Обычный 6 9 7 2 4 2" xfId="25967"/>
    <cellStyle name="Обычный 6 9 7 2 5" xfId="25968"/>
    <cellStyle name="Обычный 6 9 7 2 6" xfId="25969"/>
    <cellStyle name="Обычный 6 9 7 3" xfId="25970"/>
    <cellStyle name="Обычный 6 9 7 3 2" xfId="25971"/>
    <cellStyle name="Обычный 6 9 7 3 3" xfId="25972"/>
    <cellStyle name="Обычный 6 9 7 4" xfId="25973"/>
    <cellStyle name="Обычный 6 9 7 4 2" xfId="25974"/>
    <cellStyle name="Обычный 6 9 7 4 3" xfId="25975"/>
    <cellStyle name="Обычный 6 9 7 5" xfId="25976"/>
    <cellStyle name="Обычный 6 9 7 5 2" xfId="25977"/>
    <cellStyle name="Обычный 6 9 7 6" xfId="25978"/>
    <cellStyle name="Обычный 6 9 7 7" xfId="25979"/>
    <cellStyle name="Обычный 6 9 8" xfId="25980"/>
    <cellStyle name="Обычный 6 9 8 2" xfId="25981"/>
    <cellStyle name="Обычный 6 9 8 2 2" xfId="25982"/>
    <cellStyle name="Обычный 6 9 8 2 3" xfId="25983"/>
    <cellStyle name="Обычный 6 9 8 3" xfId="25984"/>
    <cellStyle name="Обычный 6 9 8 3 2" xfId="25985"/>
    <cellStyle name="Обычный 6 9 8 3 3" xfId="25986"/>
    <cellStyle name="Обычный 6 9 8 4" xfId="25987"/>
    <cellStyle name="Обычный 6 9 8 4 2" xfId="25988"/>
    <cellStyle name="Обычный 6 9 8 5" xfId="25989"/>
    <cellStyle name="Обычный 6 9 8 6" xfId="25990"/>
    <cellStyle name="Обычный 6 9 9" xfId="25991"/>
    <cellStyle name="Обычный 6 9 9 2" xfId="25992"/>
    <cellStyle name="Обычный 6 9 9 3" xfId="25993"/>
    <cellStyle name="Обычный 7" xfId="25994"/>
    <cellStyle name="Обычный 7 10" xfId="25995"/>
    <cellStyle name="Обычный 7 10 10" xfId="25996"/>
    <cellStyle name="Обычный 7 10 2" xfId="25997"/>
    <cellStyle name="Обычный 7 10 2 2" xfId="25998"/>
    <cellStyle name="Обычный 7 10 2 2 2" xfId="25999"/>
    <cellStyle name="Обычный 7 10 2 2 2 2" xfId="26000"/>
    <cellStyle name="Обычный 7 10 2 2 2 2 2" xfId="26001"/>
    <cellStyle name="Обычный 7 10 2 2 2 2 2 2" xfId="26002"/>
    <cellStyle name="Обычный 7 10 2 2 2 2 2 3" xfId="26003"/>
    <cellStyle name="Обычный 7 10 2 2 2 2 3" xfId="26004"/>
    <cellStyle name="Обычный 7 10 2 2 2 2 3 2" xfId="26005"/>
    <cellStyle name="Обычный 7 10 2 2 2 2 3 3" xfId="26006"/>
    <cellStyle name="Обычный 7 10 2 2 2 2 4" xfId="26007"/>
    <cellStyle name="Обычный 7 10 2 2 2 2 4 2" xfId="26008"/>
    <cellStyle name="Обычный 7 10 2 2 2 2 5" xfId="26009"/>
    <cellStyle name="Обычный 7 10 2 2 2 2 6" xfId="26010"/>
    <cellStyle name="Обычный 7 10 2 2 2 3" xfId="26011"/>
    <cellStyle name="Обычный 7 10 2 2 2 3 2" xfId="26012"/>
    <cellStyle name="Обычный 7 10 2 2 2 3 3" xfId="26013"/>
    <cellStyle name="Обычный 7 10 2 2 2 4" xfId="26014"/>
    <cellStyle name="Обычный 7 10 2 2 2 4 2" xfId="26015"/>
    <cellStyle name="Обычный 7 10 2 2 2 4 3" xfId="26016"/>
    <cellStyle name="Обычный 7 10 2 2 2 5" xfId="26017"/>
    <cellStyle name="Обычный 7 10 2 2 2 5 2" xfId="26018"/>
    <cellStyle name="Обычный 7 10 2 2 2 6" xfId="26019"/>
    <cellStyle name="Обычный 7 10 2 2 2 7" xfId="26020"/>
    <cellStyle name="Обычный 7 10 2 2 3" xfId="26021"/>
    <cellStyle name="Обычный 7 10 2 2 3 2" xfId="26022"/>
    <cellStyle name="Обычный 7 10 2 2 3 2 2" xfId="26023"/>
    <cellStyle name="Обычный 7 10 2 2 3 2 3" xfId="26024"/>
    <cellStyle name="Обычный 7 10 2 2 3 3" xfId="26025"/>
    <cellStyle name="Обычный 7 10 2 2 3 3 2" xfId="26026"/>
    <cellStyle name="Обычный 7 10 2 2 3 3 3" xfId="26027"/>
    <cellStyle name="Обычный 7 10 2 2 3 4" xfId="26028"/>
    <cellStyle name="Обычный 7 10 2 2 3 4 2" xfId="26029"/>
    <cellStyle name="Обычный 7 10 2 2 3 5" xfId="26030"/>
    <cellStyle name="Обычный 7 10 2 2 3 6" xfId="26031"/>
    <cellStyle name="Обычный 7 10 2 2 4" xfId="26032"/>
    <cellStyle name="Обычный 7 10 2 2 4 2" xfId="26033"/>
    <cellStyle name="Обычный 7 10 2 2 4 3" xfId="26034"/>
    <cellStyle name="Обычный 7 10 2 2 5" xfId="26035"/>
    <cellStyle name="Обычный 7 10 2 2 5 2" xfId="26036"/>
    <cellStyle name="Обычный 7 10 2 2 5 3" xfId="26037"/>
    <cellStyle name="Обычный 7 10 2 2 6" xfId="26038"/>
    <cellStyle name="Обычный 7 10 2 2 6 2" xfId="26039"/>
    <cellStyle name="Обычный 7 10 2 2 7" xfId="26040"/>
    <cellStyle name="Обычный 7 10 2 2 8" xfId="26041"/>
    <cellStyle name="Обычный 7 10 2 3" xfId="26042"/>
    <cellStyle name="Обычный 7 10 2 3 2" xfId="26043"/>
    <cellStyle name="Обычный 7 10 2 3 2 2" xfId="26044"/>
    <cellStyle name="Обычный 7 10 2 3 2 2 2" xfId="26045"/>
    <cellStyle name="Обычный 7 10 2 3 2 2 3" xfId="26046"/>
    <cellStyle name="Обычный 7 10 2 3 2 3" xfId="26047"/>
    <cellStyle name="Обычный 7 10 2 3 2 3 2" xfId="26048"/>
    <cellStyle name="Обычный 7 10 2 3 2 3 3" xfId="26049"/>
    <cellStyle name="Обычный 7 10 2 3 2 4" xfId="26050"/>
    <cellStyle name="Обычный 7 10 2 3 2 4 2" xfId="26051"/>
    <cellStyle name="Обычный 7 10 2 3 2 5" xfId="26052"/>
    <cellStyle name="Обычный 7 10 2 3 2 6" xfId="26053"/>
    <cellStyle name="Обычный 7 10 2 3 3" xfId="26054"/>
    <cellStyle name="Обычный 7 10 2 3 3 2" xfId="26055"/>
    <cellStyle name="Обычный 7 10 2 3 3 3" xfId="26056"/>
    <cellStyle name="Обычный 7 10 2 3 4" xfId="26057"/>
    <cellStyle name="Обычный 7 10 2 3 4 2" xfId="26058"/>
    <cellStyle name="Обычный 7 10 2 3 4 3" xfId="26059"/>
    <cellStyle name="Обычный 7 10 2 3 5" xfId="26060"/>
    <cellStyle name="Обычный 7 10 2 3 5 2" xfId="26061"/>
    <cellStyle name="Обычный 7 10 2 3 6" xfId="26062"/>
    <cellStyle name="Обычный 7 10 2 3 7" xfId="26063"/>
    <cellStyle name="Обычный 7 10 2 4" xfId="26064"/>
    <cellStyle name="Обычный 7 10 2 4 2" xfId="26065"/>
    <cellStyle name="Обычный 7 10 2 4 2 2" xfId="26066"/>
    <cellStyle name="Обычный 7 10 2 4 2 3" xfId="26067"/>
    <cellStyle name="Обычный 7 10 2 4 3" xfId="26068"/>
    <cellStyle name="Обычный 7 10 2 4 3 2" xfId="26069"/>
    <cellStyle name="Обычный 7 10 2 4 3 3" xfId="26070"/>
    <cellStyle name="Обычный 7 10 2 4 4" xfId="26071"/>
    <cellStyle name="Обычный 7 10 2 4 4 2" xfId="26072"/>
    <cellStyle name="Обычный 7 10 2 4 5" xfId="26073"/>
    <cellStyle name="Обычный 7 10 2 4 6" xfId="26074"/>
    <cellStyle name="Обычный 7 10 2 5" xfId="26075"/>
    <cellStyle name="Обычный 7 10 2 5 2" xfId="26076"/>
    <cellStyle name="Обычный 7 10 2 5 3" xfId="26077"/>
    <cellStyle name="Обычный 7 10 2 6" xfId="26078"/>
    <cellStyle name="Обычный 7 10 2 6 2" xfId="26079"/>
    <cellStyle name="Обычный 7 10 2 6 3" xfId="26080"/>
    <cellStyle name="Обычный 7 10 2 7" xfId="26081"/>
    <cellStyle name="Обычный 7 10 2 7 2" xfId="26082"/>
    <cellStyle name="Обычный 7 10 2 8" xfId="26083"/>
    <cellStyle name="Обычный 7 10 2 9" xfId="26084"/>
    <cellStyle name="Обычный 7 10 3" xfId="26085"/>
    <cellStyle name="Обычный 7 10 3 2" xfId="26086"/>
    <cellStyle name="Обычный 7 10 3 2 2" xfId="26087"/>
    <cellStyle name="Обычный 7 10 3 2 2 2" xfId="26088"/>
    <cellStyle name="Обычный 7 10 3 2 2 2 2" xfId="26089"/>
    <cellStyle name="Обычный 7 10 3 2 2 2 3" xfId="26090"/>
    <cellStyle name="Обычный 7 10 3 2 2 3" xfId="26091"/>
    <cellStyle name="Обычный 7 10 3 2 2 3 2" xfId="26092"/>
    <cellStyle name="Обычный 7 10 3 2 2 3 3" xfId="26093"/>
    <cellStyle name="Обычный 7 10 3 2 2 4" xfId="26094"/>
    <cellStyle name="Обычный 7 10 3 2 2 4 2" xfId="26095"/>
    <cellStyle name="Обычный 7 10 3 2 2 5" xfId="26096"/>
    <cellStyle name="Обычный 7 10 3 2 2 6" xfId="26097"/>
    <cellStyle name="Обычный 7 10 3 2 3" xfId="26098"/>
    <cellStyle name="Обычный 7 10 3 2 3 2" xfId="26099"/>
    <cellStyle name="Обычный 7 10 3 2 3 3" xfId="26100"/>
    <cellStyle name="Обычный 7 10 3 2 4" xfId="26101"/>
    <cellStyle name="Обычный 7 10 3 2 4 2" xfId="26102"/>
    <cellStyle name="Обычный 7 10 3 2 4 3" xfId="26103"/>
    <cellStyle name="Обычный 7 10 3 2 5" xfId="26104"/>
    <cellStyle name="Обычный 7 10 3 2 5 2" xfId="26105"/>
    <cellStyle name="Обычный 7 10 3 2 6" xfId="26106"/>
    <cellStyle name="Обычный 7 10 3 2 7" xfId="26107"/>
    <cellStyle name="Обычный 7 10 3 3" xfId="26108"/>
    <cellStyle name="Обычный 7 10 3 3 2" xfId="26109"/>
    <cellStyle name="Обычный 7 10 3 3 2 2" xfId="26110"/>
    <cellStyle name="Обычный 7 10 3 3 2 3" xfId="26111"/>
    <cellStyle name="Обычный 7 10 3 3 3" xfId="26112"/>
    <cellStyle name="Обычный 7 10 3 3 3 2" xfId="26113"/>
    <cellStyle name="Обычный 7 10 3 3 3 3" xfId="26114"/>
    <cellStyle name="Обычный 7 10 3 3 4" xfId="26115"/>
    <cellStyle name="Обычный 7 10 3 3 4 2" xfId="26116"/>
    <cellStyle name="Обычный 7 10 3 3 5" xfId="26117"/>
    <cellStyle name="Обычный 7 10 3 3 6" xfId="26118"/>
    <cellStyle name="Обычный 7 10 3 4" xfId="26119"/>
    <cellStyle name="Обычный 7 10 3 4 2" xfId="26120"/>
    <cellStyle name="Обычный 7 10 3 4 3" xfId="26121"/>
    <cellStyle name="Обычный 7 10 3 5" xfId="26122"/>
    <cellStyle name="Обычный 7 10 3 5 2" xfId="26123"/>
    <cellStyle name="Обычный 7 10 3 5 3" xfId="26124"/>
    <cellStyle name="Обычный 7 10 3 6" xfId="26125"/>
    <cellStyle name="Обычный 7 10 3 6 2" xfId="26126"/>
    <cellStyle name="Обычный 7 10 3 7" xfId="26127"/>
    <cellStyle name="Обычный 7 10 3 8" xfId="26128"/>
    <cellStyle name="Обычный 7 10 4" xfId="26129"/>
    <cellStyle name="Обычный 7 10 4 2" xfId="26130"/>
    <cellStyle name="Обычный 7 10 4 2 2" xfId="26131"/>
    <cellStyle name="Обычный 7 10 4 2 2 2" xfId="26132"/>
    <cellStyle name="Обычный 7 10 4 2 2 3" xfId="26133"/>
    <cellStyle name="Обычный 7 10 4 2 3" xfId="26134"/>
    <cellStyle name="Обычный 7 10 4 2 3 2" xfId="26135"/>
    <cellStyle name="Обычный 7 10 4 2 3 3" xfId="26136"/>
    <cellStyle name="Обычный 7 10 4 2 4" xfId="26137"/>
    <cellStyle name="Обычный 7 10 4 2 4 2" xfId="26138"/>
    <cellStyle name="Обычный 7 10 4 2 5" xfId="26139"/>
    <cellStyle name="Обычный 7 10 4 2 6" xfId="26140"/>
    <cellStyle name="Обычный 7 10 4 3" xfId="26141"/>
    <cellStyle name="Обычный 7 10 4 3 2" xfId="26142"/>
    <cellStyle name="Обычный 7 10 4 3 3" xfId="26143"/>
    <cellStyle name="Обычный 7 10 4 4" xfId="26144"/>
    <cellStyle name="Обычный 7 10 4 4 2" xfId="26145"/>
    <cellStyle name="Обычный 7 10 4 4 3" xfId="26146"/>
    <cellStyle name="Обычный 7 10 4 5" xfId="26147"/>
    <cellStyle name="Обычный 7 10 4 5 2" xfId="26148"/>
    <cellStyle name="Обычный 7 10 4 6" xfId="26149"/>
    <cellStyle name="Обычный 7 10 4 7" xfId="26150"/>
    <cellStyle name="Обычный 7 10 5" xfId="26151"/>
    <cellStyle name="Обычный 7 10 5 2" xfId="26152"/>
    <cellStyle name="Обычный 7 10 5 2 2" xfId="26153"/>
    <cellStyle name="Обычный 7 10 5 2 3" xfId="26154"/>
    <cellStyle name="Обычный 7 10 5 3" xfId="26155"/>
    <cellStyle name="Обычный 7 10 5 3 2" xfId="26156"/>
    <cellStyle name="Обычный 7 10 5 3 3" xfId="26157"/>
    <cellStyle name="Обычный 7 10 5 4" xfId="26158"/>
    <cellStyle name="Обычный 7 10 5 4 2" xfId="26159"/>
    <cellStyle name="Обычный 7 10 5 5" xfId="26160"/>
    <cellStyle name="Обычный 7 10 5 6" xfId="26161"/>
    <cellStyle name="Обычный 7 10 6" xfId="26162"/>
    <cellStyle name="Обычный 7 10 6 2" xfId="26163"/>
    <cellStyle name="Обычный 7 10 6 3" xfId="26164"/>
    <cellStyle name="Обычный 7 10 7" xfId="26165"/>
    <cellStyle name="Обычный 7 10 7 2" xfId="26166"/>
    <cellStyle name="Обычный 7 10 7 3" xfId="26167"/>
    <cellStyle name="Обычный 7 10 8" xfId="26168"/>
    <cellStyle name="Обычный 7 10 8 2" xfId="26169"/>
    <cellStyle name="Обычный 7 10 9" xfId="26170"/>
    <cellStyle name="Обычный 7 11" xfId="26171"/>
    <cellStyle name="Обычный 7 11 10" xfId="26172"/>
    <cellStyle name="Обычный 7 11 2" xfId="26173"/>
    <cellStyle name="Обычный 7 11 2 2" xfId="26174"/>
    <cellStyle name="Обычный 7 11 2 2 2" xfId="26175"/>
    <cellStyle name="Обычный 7 11 2 2 2 2" xfId="26176"/>
    <cellStyle name="Обычный 7 11 2 2 2 2 2" xfId="26177"/>
    <cellStyle name="Обычный 7 11 2 2 2 2 2 2" xfId="26178"/>
    <cellStyle name="Обычный 7 11 2 2 2 2 2 3" xfId="26179"/>
    <cellStyle name="Обычный 7 11 2 2 2 2 3" xfId="26180"/>
    <cellStyle name="Обычный 7 11 2 2 2 2 3 2" xfId="26181"/>
    <cellStyle name="Обычный 7 11 2 2 2 2 3 3" xfId="26182"/>
    <cellStyle name="Обычный 7 11 2 2 2 2 4" xfId="26183"/>
    <cellStyle name="Обычный 7 11 2 2 2 2 4 2" xfId="26184"/>
    <cellStyle name="Обычный 7 11 2 2 2 2 5" xfId="26185"/>
    <cellStyle name="Обычный 7 11 2 2 2 2 6" xfId="26186"/>
    <cellStyle name="Обычный 7 11 2 2 2 3" xfId="26187"/>
    <cellStyle name="Обычный 7 11 2 2 2 3 2" xfId="26188"/>
    <cellStyle name="Обычный 7 11 2 2 2 3 3" xfId="26189"/>
    <cellStyle name="Обычный 7 11 2 2 2 4" xfId="26190"/>
    <cellStyle name="Обычный 7 11 2 2 2 4 2" xfId="26191"/>
    <cellStyle name="Обычный 7 11 2 2 2 4 3" xfId="26192"/>
    <cellStyle name="Обычный 7 11 2 2 2 5" xfId="26193"/>
    <cellStyle name="Обычный 7 11 2 2 2 5 2" xfId="26194"/>
    <cellStyle name="Обычный 7 11 2 2 2 6" xfId="26195"/>
    <cellStyle name="Обычный 7 11 2 2 2 7" xfId="26196"/>
    <cellStyle name="Обычный 7 11 2 2 3" xfId="26197"/>
    <cellStyle name="Обычный 7 11 2 2 3 2" xfId="26198"/>
    <cellStyle name="Обычный 7 11 2 2 3 2 2" xfId="26199"/>
    <cellStyle name="Обычный 7 11 2 2 3 2 3" xfId="26200"/>
    <cellStyle name="Обычный 7 11 2 2 3 3" xfId="26201"/>
    <cellStyle name="Обычный 7 11 2 2 3 3 2" xfId="26202"/>
    <cellStyle name="Обычный 7 11 2 2 3 3 3" xfId="26203"/>
    <cellStyle name="Обычный 7 11 2 2 3 4" xfId="26204"/>
    <cellStyle name="Обычный 7 11 2 2 3 4 2" xfId="26205"/>
    <cellStyle name="Обычный 7 11 2 2 3 5" xfId="26206"/>
    <cellStyle name="Обычный 7 11 2 2 3 6" xfId="26207"/>
    <cellStyle name="Обычный 7 11 2 2 4" xfId="26208"/>
    <cellStyle name="Обычный 7 11 2 2 4 2" xfId="26209"/>
    <cellStyle name="Обычный 7 11 2 2 4 3" xfId="26210"/>
    <cellStyle name="Обычный 7 11 2 2 5" xfId="26211"/>
    <cellStyle name="Обычный 7 11 2 2 5 2" xfId="26212"/>
    <cellStyle name="Обычный 7 11 2 2 5 3" xfId="26213"/>
    <cellStyle name="Обычный 7 11 2 2 6" xfId="26214"/>
    <cellStyle name="Обычный 7 11 2 2 6 2" xfId="26215"/>
    <cellStyle name="Обычный 7 11 2 2 7" xfId="26216"/>
    <cellStyle name="Обычный 7 11 2 2 8" xfId="26217"/>
    <cellStyle name="Обычный 7 11 2 3" xfId="26218"/>
    <cellStyle name="Обычный 7 11 2 3 2" xfId="26219"/>
    <cellStyle name="Обычный 7 11 2 3 2 2" xfId="26220"/>
    <cellStyle name="Обычный 7 11 2 3 2 2 2" xfId="26221"/>
    <cellStyle name="Обычный 7 11 2 3 2 2 3" xfId="26222"/>
    <cellStyle name="Обычный 7 11 2 3 2 3" xfId="26223"/>
    <cellStyle name="Обычный 7 11 2 3 2 3 2" xfId="26224"/>
    <cellStyle name="Обычный 7 11 2 3 2 3 3" xfId="26225"/>
    <cellStyle name="Обычный 7 11 2 3 2 4" xfId="26226"/>
    <cellStyle name="Обычный 7 11 2 3 2 4 2" xfId="26227"/>
    <cellStyle name="Обычный 7 11 2 3 2 5" xfId="26228"/>
    <cellStyle name="Обычный 7 11 2 3 2 6" xfId="26229"/>
    <cellStyle name="Обычный 7 11 2 3 3" xfId="26230"/>
    <cellStyle name="Обычный 7 11 2 3 3 2" xfId="26231"/>
    <cellStyle name="Обычный 7 11 2 3 3 3" xfId="26232"/>
    <cellStyle name="Обычный 7 11 2 3 4" xfId="26233"/>
    <cellStyle name="Обычный 7 11 2 3 4 2" xfId="26234"/>
    <cellStyle name="Обычный 7 11 2 3 4 3" xfId="26235"/>
    <cellStyle name="Обычный 7 11 2 3 5" xfId="26236"/>
    <cellStyle name="Обычный 7 11 2 3 5 2" xfId="26237"/>
    <cellStyle name="Обычный 7 11 2 3 6" xfId="26238"/>
    <cellStyle name="Обычный 7 11 2 3 7" xfId="26239"/>
    <cellStyle name="Обычный 7 11 2 4" xfId="26240"/>
    <cellStyle name="Обычный 7 11 2 4 2" xfId="26241"/>
    <cellStyle name="Обычный 7 11 2 4 2 2" xfId="26242"/>
    <cellStyle name="Обычный 7 11 2 4 2 3" xfId="26243"/>
    <cellStyle name="Обычный 7 11 2 4 3" xfId="26244"/>
    <cellStyle name="Обычный 7 11 2 4 3 2" xfId="26245"/>
    <cellStyle name="Обычный 7 11 2 4 3 3" xfId="26246"/>
    <cellStyle name="Обычный 7 11 2 4 4" xfId="26247"/>
    <cellStyle name="Обычный 7 11 2 4 4 2" xfId="26248"/>
    <cellStyle name="Обычный 7 11 2 4 5" xfId="26249"/>
    <cellStyle name="Обычный 7 11 2 4 6" xfId="26250"/>
    <cellStyle name="Обычный 7 11 2 5" xfId="26251"/>
    <cellStyle name="Обычный 7 11 2 5 2" xfId="26252"/>
    <cellStyle name="Обычный 7 11 2 5 3" xfId="26253"/>
    <cellStyle name="Обычный 7 11 2 6" xfId="26254"/>
    <cellStyle name="Обычный 7 11 2 6 2" xfId="26255"/>
    <cellStyle name="Обычный 7 11 2 6 3" xfId="26256"/>
    <cellStyle name="Обычный 7 11 2 7" xfId="26257"/>
    <cellStyle name="Обычный 7 11 2 7 2" xfId="26258"/>
    <cellStyle name="Обычный 7 11 2 8" xfId="26259"/>
    <cellStyle name="Обычный 7 11 2 9" xfId="26260"/>
    <cellStyle name="Обычный 7 11 3" xfId="26261"/>
    <cellStyle name="Обычный 7 11 3 2" xfId="26262"/>
    <cellStyle name="Обычный 7 11 3 2 2" xfId="26263"/>
    <cellStyle name="Обычный 7 11 3 2 2 2" xfId="26264"/>
    <cellStyle name="Обычный 7 11 3 2 2 2 2" xfId="26265"/>
    <cellStyle name="Обычный 7 11 3 2 2 2 3" xfId="26266"/>
    <cellStyle name="Обычный 7 11 3 2 2 3" xfId="26267"/>
    <cellStyle name="Обычный 7 11 3 2 2 3 2" xfId="26268"/>
    <cellStyle name="Обычный 7 11 3 2 2 3 3" xfId="26269"/>
    <cellStyle name="Обычный 7 11 3 2 2 4" xfId="26270"/>
    <cellStyle name="Обычный 7 11 3 2 2 4 2" xfId="26271"/>
    <cellStyle name="Обычный 7 11 3 2 2 5" xfId="26272"/>
    <cellStyle name="Обычный 7 11 3 2 2 6" xfId="26273"/>
    <cellStyle name="Обычный 7 11 3 2 3" xfId="26274"/>
    <cellStyle name="Обычный 7 11 3 2 3 2" xfId="26275"/>
    <cellStyle name="Обычный 7 11 3 2 3 3" xfId="26276"/>
    <cellStyle name="Обычный 7 11 3 2 4" xfId="26277"/>
    <cellStyle name="Обычный 7 11 3 2 4 2" xfId="26278"/>
    <cellStyle name="Обычный 7 11 3 2 4 3" xfId="26279"/>
    <cellStyle name="Обычный 7 11 3 2 5" xfId="26280"/>
    <cellStyle name="Обычный 7 11 3 2 5 2" xfId="26281"/>
    <cellStyle name="Обычный 7 11 3 2 6" xfId="26282"/>
    <cellStyle name="Обычный 7 11 3 2 7" xfId="26283"/>
    <cellStyle name="Обычный 7 11 3 3" xfId="26284"/>
    <cellStyle name="Обычный 7 11 3 3 2" xfId="26285"/>
    <cellStyle name="Обычный 7 11 3 3 2 2" xfId="26286"/>
    <cellStyle name="Обычный 7 11 3 3 2 3" xfId="26287"/>
    <cellStyle name="Обычный 7 11 3 3 3" xfId="26288"/>
    <cellStyle name="Обычный 7 11 3 3 3 2" xfId="26289"/>
    <cellStyle name="Обычный 7 11 3 3 3 3" xfId="26290"/>
    <cellStyle name="Обычный 7 11 3 3 4" xfId="26291"/>
    <cellStyle name="Обычный 7 11 3 3 4 2" xfId="26292"/>
    <cellStyle name="Обычный 7 11 3 3 5" xfId="26293"/>
    <cellStyle name="Обычный 7 11 3 3 6" xfId="26294"/>
    <cellStyle name="Обычный 7 11 3 4" xfId="26295"/>
    <cellStyle name="Обычный 7 11 3 4 2" xfId="26296"/>
    <cellStyle name="Обычный 7 11 3 4 3" xfId="26297"/>
    <cellStyle name="Обычный 7 11 3 5" xfId="26298"/>
    <cellStyle name="Обычный 7 11 3 5 2" xfId="26299"/>
    <cellStyle name="Обычный 7 11 3 5 3" xfId="26300"/>
    <cellStyle name="Обычный 7 11 3 6" xfId="26301"/>
    <cellStyle name="Обычный 7 11 3 6 2" xfId="26302"/>
    <cellStyle name="Обычный 7 11 3 7" xfId="26303"/>
    <cellStyle name="Обычный 7 11 3 8" xfId="26304"/>
    <cellStyle name="Обычный 7 11 4" xfId="26305"/>
    <cellStyle name="Обычный 7 11 4 2" xfId="26306"/>
    <cellStyle name="Обычный 7 11 4 2 2" xfId="26307"/>
    <cellStyle name="Обычный 7 11 4 2 2 2" xfId="26308"/>
    <cellStyle name="Обычный 7 11 4 2 2 3" xfId="26309"/>
    <cellStyle name="Обычный 7 11 4 2 3" xfId="26310"/>
    <cellStyle name="Обычный 7 11 4 2 3 2" xfId="26311"/>
    <cellStyle name="Обычный 7 11 4 2 3 3" xfId="26312"/>
    <cellStyle name="Обычный 7 11 4 2 4" xfId="26313"/>
    <cellStyle name="Обычный 7 11 4 2 4 2" xfId="26314"/>
    <cellStyle name="Обычный 7 11 4 2 5" xfId="26315"/>
    <cellStyle name="Обычный 7 11 4 2 6" xfId="26316"/>
    <cellStyle name="Обычный 7 11 4 3" xfId="26317"/>
    <cellStyle name="Обычный 7 11 4 3 2" xfId="26318"/>
    <cellStyle name="Обычный 7 11 4 3 3" xfId="26319"/>
    <cellStyle name="Обычный 7 11 4 4" xfId="26320"/>
    <cellStyle name="Обычный 7 11 4 4 2" xfId="26321"/>
    <cellStyle name="Обычный 7 11 4 4 3" xfId="26322"/>
    <cellStyle name="Обычный 7 11 4 5" xfId="26323"/>
    <cellStyle name="Обычный 7 11 4 5 2" xfId="26324"/>
    <cellStyle name="Обычный 7 11 4 6" xfId="26325"/>
    <cellStyle name="Обычный 7 11 4 7" xfId="26326"/>
    <cellStyle name="Обычный 7 11 5" xfId="26327"/>
    <cellStyle name="Обычный 7 11 5 2" xfId="26328"/>
    <cellStyle name="Обычный 7 11 5 2 2" xfId="26329"/>
    <cellStyle name="Обычный 7 11 5 2 3" xfId="26330"/>
    <cellStyle name="Обычный 7 11 5 3" xfId="26331"/>
    <cellStyle name="Обычный 7 11 5 3 2" xfId="26332"/>
    <cellStyle name="Обычный 7 11 5 3 3" xfId="26333"/>
    <cellStyle name="Обычный 7 11 5 4" xfId="26334"/>
    <cellStyle name="Обычный 7 11 5 4 2" xfId="26335"/>
    <cellStyle name="Обычный 7 11 5 5" xfId="26336"/>
    <cellStyle name="Обычный 7 11 5 6" xfId="26337"/>
    <cellStyle name="Обычный 7 11 6" xfId="26338"/>
    <cellStyle name="Обычный 7 11 6 2" xfId="26339"/>
    <cellStyle name="Обычный 7 11 6 3" xfId="26340"/>
    <cellStyle name="Обычный 7 11 7" xfId="26341"/>
    <cellStyle name="Обычный 7 11 7 2" xfId="26342"/>
    <cellStyle name="Обычный 7 11 7 3" xfId="26343"/>
    <cellStyle name="Обычный 7 11 8" xfId="26344"/>
    <cellStyle name="Обычный 7 11 8 2" xfId="26345"/>
    <cellStyle name="Обычный 7 11 9" xfId="26346"/>
    <cellStyle name="Обычный 7 12" xfId="26347"/>
    <cellStyle name="Обычный 7 12 10" xfId="26348"/>
    <cellStyle name="Обычный 7 12 2" xfId="26349"/>
    <cellStyle name="Обычный 7 12 2 2" xfId="26350"/>
    <cellStyle name="Обычный 7 12 2 2 2" xfId="26351"/>
    <cellStyle name="Обычный 7 12 2 2 2 2" xfId="26352"/>
    <cellStyle name="Обычный 7 12 2 2 2 2 2" xfId="26353"/>
    <cellStyle name="Обычный 7 12 2 2 2 2 2 2" xfId="26354"/>
    <cellStyle name="Обычный 7 12 2 2 2 2 2 3" xfId="26355"/>
    <cellStyle name="Обычный 7 12 2 2 2 2 3" xfId="26356"/>
    <cellStyle name="Обычный 7 12 2 2 2 2 3 2" xfId="26357"/>
    <cellStyle name="Обычный 7 12 2 2 2 2 3 3" xfId="26358"/>
    <cellStyle name="Обычный 7 12 2 2 2 2 4" xfId="26359"/>
    <cellStyle name="Обычный 7 12 2 2 2 2 4 2" xfId="26360"/>
    <cellStyle name="Обычный 7 12 2 2 2 2 5" xfId="26361"/>
    <cellStyle name="Обычный 7 12 2 2 2 2 6" xfId="26362"/>
    <cellStyle name="Обычный 7 12 2 2 2 3" xfId="26363"/>
    <cellStyle name="Обычный 7 12 2 2 2 3 2" xfId="26364"/>
    <cellStyle name="Обычный 7 12 2 2 2 3 3" xfId="26365"/>
    <cellStyle name="Обычный 7 12 2 2 2 4" xfId="26366"/>
    <cellStyle name="Обычный 7 12 2 2 2 4 2" xfId="26367"/>
    <cellStyle name="Обычный 7 12 2 2 2 4 3" xfId="26368"/>
    <cellStyle name="Обычный 7 12 2 2 2 5" xfId="26369"/>
    <cellStyle name="Обычный 7 12 2 2 2 5 2" xfId="26370"/>
    <cellStyle name="Обычный 7 12 2 2 2 6" xfId="26371"/>
    <cellStyle name="Обычный 7 12 2 2 2 7" xfId="26372"/>
    <cellStyle name="Обычный 7 12 2 2 3" xfId="26373"/>
    <cellStyle name="Обычный 7 12 2 2 3 2" xfId="26374"/>
    <cellStyle name="Обычный 7 12 2 2 3 2 2" xfId="26375"/>
    <cellStyle name="Обычный 7 12 2 2 3 2 3" xfId="26376"/>
    <cellStyle name="Обычный 7 12 2 2 3 3" xfId="26377"/>
    <cellStyle name="Обычный 7 12 2 2 3 3 2" xfId="26378"/>
    <cellStyle name="Обычный 7 12 2 2 3 3 3" xfId="26379"/>
    <cellStyle name="Обычный 7 12 2 2 3 4" xfId="26380"/>
    <cellStyle name="Обычный 7 12 2 2 3 4 2" xfId="26381"/>
    <cellStyle name="Обычный 7 12 2 2 3 5" xfId="26382"/>
    <cellStyle name="Обычный 7 12 2 2 3 6" xfId="26383"/>
    <cellStyle name="Обычный 7 12 2 2 4" xfId="26384"/>
    <cellStyle name="Обычный 7 12 2 2 4 2" xfId="26385"/>
    <cellStyle name="Обычный 7 12 2 2 4 3" xfId="26386"/>
    <cellStyle name="Обычный 7 12 2 2 5" xfId="26387"/>
    <cellStyle name="Обычный 7 12 2 2 5 2" xfId="26388"/>
    <cellStyle name="Обычный 7 12 2 2 5 3" xfId="26389"/>
    <cellStyle name="Обычный 7 12 2 2 6" xfId="26390"/>
    <cellStyle name="Обычный 7 12 2 2 6 2" xfId="26391"/>
    <cellStyle name="Обычный 7 12 2 2 7" xfId="26392"/>
    <cellStyle name="Обычный 7 12 2 2 8" xfId="26393"/>
    <cellStyle name="Обычный 7 12 2 3" xfId="26394"/>
    <cellStyle name="Обычный 7 12 2 3 2" xfId="26395"/>
    <cellStyle name="Обычный 7 12 2 3 2 2" xfId="26396"/>
    <cellStyle name="Обычный 7 12 2 3 2 2 2" xfId="26397"/>
    <cellStyle name="Обычный 7 12 2 3 2 2 3" xfId="26398"/>
    <cellStyle name="Обычный 7 12 2 3 2 3" xfId="26399"/>
    <cellStyle name="Обычный 7 12 2 3 2 3 2" xfId="26400"/>
    <cellStyle name="Обычный 7 12 2 3 2 3 3" xfId="26401"/>
    <cellStyle name="Обычный 7 12 2 3 2 4" xfId="26402"/>
    <cellStyle name="Обычный 7 12 2 3 2 4 2" xfId="26403"/>
    <cellStyle name="Обычный 7 12 2 3 2 5" xfId="26404"/>
    <cellStyle name="Обычный 7 12 2 3 2 6" xfId="26405"/>
    <cellStyle name="Обычный 7 12 2 3 3" xfId="26406"/>
    <cellStyle name="Обычный 7 12 2 3 3 2" xfId="26407"/>
    <cellStyle name="Обычный 7 12 2 3 3 3" xfId="26408"/>
    <cellStyle name="Обычный 7 12 2 3 4" xfId="26409"/>
    <cellStyle name="Обычный 7 12 2 3 4 2" xfId="26410"/>
    <cellStyle name="Обычный 7 12 2 3 4 3" xfId="26411"/>
    <cellStyle name="Обычный 7 12 2 3 5" xfId="26412"/>
    <cellStyle name="Обычный 7 12 2 3 5 2" xfId="26413"/>
    <cellStyle name="Обычный 7 12 2 3 6" xfId="26414"/>
    <cellStyle name="Обычный 7 12 2 3 7" xfId="26415"/>
    <cellStyle name="Обычный 7 12 2 4" xfId="26416"/>
    <cellStyle name="Обычный 7 12 2 4 2" xfId="26417"/>
    <cellStyle name="Обычный 7 12 2 4 2 2" xfId="26418"/>
    <cellStyle name="Обычный 7 12 2 4 2 3" xfId="26419"/>
    <cellStyle name="Обычный 7 12 2 4 3" xfId="26420"/>
    <cellStyle name="Обычный 7 12 2 4 3 2" xfId="26421"/>
    <cellStyle name="Обычный 7 12 2 4 3 3" xfId="26422"/>
    <cellStyle name="Обычный 7 12 2 4 4" xfId="26423"/>
    <cellStyle name="Обычный 7 12 2 4 4 2" xfId="26424"/>
    <cellStyle name="Обычный 7 12 2 4 5" xfId="26425"/>
    <cellStyle name="Обычный 7 12 2 4 6" xfId="26426"/>
    <cellStyle name="Обычный 7 12 2 5" xfId="26427"/>
    <cellStyle name="Обычный 7 12 2 5 2" xfId="26428"/>
    <cellStyle name="Обычный 7 12 2 5 3" xfId="26429"/>
    <cellStyle name="Обычный 7 12 2 6" xfId="26430"/>
    <cellStyle name="Обычный 7 12 2 6 2" xfId="26431"/>
    <cellStyle name="Обычный 7 12 2 6 3" xfId="26432"/>
    <cellStyle name="Обычный 7 12 2 7" xfId="26433"/>
    <cellStyle name="Обычный 7 12 2 7 2" xfId="26434"/>
    <cellStyle name="Обычный 7 12 2 8" xfId="26435"/>
    <cellStyle name="Обычный 7 12 2 9" xfId="26436"/>
    <cellStyle name="Обычный 7 12 3" xfId="26437"/>
    <cellStyle name="Обычный 7 12 3 2" xfId="26438"/>
    <cellStyle name="Обычный 7 12 3 2 2" xfId="26439"/>
    <cellStyle name="Обычный 7 12 3 2 2 2" xfId="26440"/>
    <cellStyle name="Обычный 7 12 3 2 2 2 2" xfId="26441"/>
    <cellStyle name="Обычный 7 12 3 2 2 2 3" xfId="26442"/>
    <cellStyle name="Обычный 7 12 3 2 2 3" xfId="26443"/>
    <cellStyle name="Обычный 7 12 3 2 2 3 2" xfId="26444"/>
    <cellStyle name="Обычный 7 12 3 2 2 3 3" xfId="26445"/>
    <cellStyle name="Обычный 7 12 3 2 2 4" xfId="26446"/>
    <cellStyle name="Обычный 7 12 3 2 2 4 2" xfId="26447"/>
    <cellStyle name="Обычный 7 12 3 2 2 5" xfId="26448"/>
    <cellStyle name="Обычный 7 12 3 2 2 6" xfId="26449"/>
    <cellStyle name="Обычный 7 12 3 2 3" xfId="26450"/>
    <cellStyle name="Обычный 7 12 3 2 3 2" xfId="26451"/>
    <cellStyle name="Обычный 7 12 3 2 3 3" xfId="26452"/>
    <cellStyle name="Обычный 7 12 3 2 4" xfId="26453"/>
    <cellStyle name="Обычный 7 12 3 2 4 2" xfId="26454"/>
    <cellStyle name="Обычный 7 12 3 2 4 3" xfId="26455"/>
    <cellStyle name="Обычный 7 12 3 2 5" xfId="26456"/>
    <cellStyle name="Обычный 7 12 3 2 5 2" xfId="26457"/>
    <cellStyle name="Обычный 7 12 3 2 6" xfId="26458"/>
    <cellStyle name="Обычный 7 12 3 2 7" xfId="26459"/>
    <cellStyle name="Обычный 7 12 3 3" xfId="26460"/>
    <cellStyle name="Обычный 7 12 3 3 2" xfId="26461"/>
    <cellStyle name="Обычный 7 12 3 3 2 2" xfId="26462"/>
    <cellStyle name="Обычный 7 12 3 3 2 3" xfId="26463"/>
    <cellStyle name="Обычный 7 12 3 3 3" xfId="26464"/>
    <cellStyle name="Обычный 7 12 3 3 3 2" xfId="26465"/>
    <cellStyle name="Обычный 7 12 3 3 3 3" xfId="26466"/>
    <cellStyle name="Обычный 7 12 3 3 4" xfId="26467"/>
    <cellStyle name="Обычный 7 12 3 3 4 2" xfId="26468"/>
    <cellStyle name="Обычный 7 12 3 3 5" xfId="26469"/>
    <cellStyle name="Обычный 7 12 3 3 6" xfId="26470"/>
    <cellStyle name="Обычный 7 12 3 4" xfId="26471"/>
    <cellStyle name="Обычный 7 12 3 4 2" xfId="26472"/>
    <cellStyle name="Обычный 7 12 3 4 3" xfId="26473"/>
    <cellStyle name="Обычный 7 12 3 5" xfId="26474"/>
    <cellStyle name="Обычный 7 12 3 5 2" xfId="26475"/>
    <cellStyle name="Обычный 7 12 3 5 3" xfId="26476"/>
    <cellStyle name="Обычный 7 12 3 6" xfId="26477"/>
    <cellStyle name="Обычный 7 12 3 6 2" xfId="26478"/>
    <cellStyle name="Обычный 7 12 3 7" xfId="26479"/>
    <cellStyle name="Обычный 7 12 3 8" xfId="26480"/>
    <cellStyle name="Обычный 7 12 4" xfId="26481"/>
    <cellStyle name="Обычный 7 12 4 2" xfId="26482"/>
    <cellStyle name="Обычный 7 12 4 2 2" xfId="26483"/>
    <cellStyle name="Обычный 7 12 4 2 2 2" xfId="26484"/>
    <cellStyle name="Обычный 7 12 4 2 2 3" xfId="26485"/>
    <cellStyle name="Обычный 7 12 4 2 3" xfId="26486"/>
    <cellStyle name="Обычный 7 12 4 2 3 2" xfId="26487"/>
    <cellStyle name="Обычный 7 12 4 2 3 3" xfId="26488"/>
    <cellStyle name="Обычный 7 12 4 2 4" xfId="26489"/>
    <cellStyle name="Обычный 7 12 4 2 4 2" xfId="26490"/>
    <cellStyle name="Обычный 7 12 4 2 5" xfId="26491"/>
    <cellStyle name="Обычный 7 12 4 2 6" xfId="26492"/>
    <cellStyle name="Обычный 7 12 4 3" xfId="26493"/>
    <cellStyle name="Обычный 7 12 4 3 2" xfId="26494"/>
    <cellStyle name="Обычный 7 12 4 3 3" xfId="26495"/>
    <cellStyle name="Обычный 7 12 4 4" xfId="26496"/>
    <cellStyle name="Обычный 7 12 4 4 2" xfId="26497"/>
    <cellStyle name="Обычный 7 12 4 4 3" xfId="26498"/>
    <cellStyle name="Обычный 7 12 4 5" xfId="26499"/>
    <cellStyle name="Обычный 7 12 4 5 2" xfId="26500"/>
    <cellStyle name="Обычный 7 12 4 6" xfId="26501"/>
    <cellStyle name="Обычный 7 12 4 7" xfId="26502"/>
    <cellStyle name="Обычный 7 12 5" xfId="26503"/>
    <cellStyle name="Обычный 7 12 5 2" xfId="26504"/>
    <cellStyle name="Обычный 7 12 5 2 2" xfId="26505"/>
    <cellStyle name="Обычный 7 12 5 2 3" xfId="26506"/>
    <cellStyle name="Обычный 7 12 5 3" xfId="26507"/>
    <cellStyle name="Обычный 7 12 5 3 2" xfId="26508"/>
    <cellStyle name="Обычный 7 12 5 3 3" xfId="26509"/>
    <cellStyle name="Обычный 7 12 5 4" xfId="26510"/>
    <cellStyle name="Обычный 7 12 5 4 2" xfId="26511"/>
    <cellStyle name="Обычный 7 12 5 5" xfId="26512"/>
    <cellStyle name="Обычный 7 12 5 6" xfId="26513"/>
    <cellStyle name="Обычный 7 12 6" xfId="26514"/>
    <cellStyle name="Обычный 7 12 6 2" xfId="26515"/>
    <cellStyle name="Обычный 7 12 6 3" xfId="26516"/>
    <cellStyle name="Обычный 7 12 7" xfId="26517"/>
    <cellStyle name="Обычный 7 12 7 2" xfId="26518"/>
    <cellStyle name="Обычный 7 12 7 3" xfId="26519"/>
    <cellStyle name="Обычный 7 12 8" xfId="26520"/>
    <cellStyle name="Обычный 7 12 8 2" xfId="26521"/>
    <cellStyle name="Обычный 7 12 9" xfId="26522"/>
    <cellStyle name="Обычный 7 13" xfId="26523"/>
    <cellStyle name="Обычный 7 13 2" xfId="26524"/>
    <cellStyle name="Обычный 7 13 2 2" xfId="26525"/>
    <cellStyle name="Обычный 7 13 2 2 2" xfId="26526"/>
    <cellStyle name="Обычный 7 13 2 2 2 2" xfId="26527"/>
    <cellStyle name="Обычный 7 13 2 2 2 2 2" xfId="26528"/>
    <cellStyle name="Обычный 7 13 2 2 2 2 3" xfId="26529"/>
    <cellStyle name="Обычный 7 13 2 2 2 3" xfId="26530"/>
    <cellStyle name="Обычный 7 13 2 2 2 3 2" xfId="26531"/>
    <cellStyle name="Обычный 7 13 2 2 2 3 3" xfId="26532"/>
    <cellStyle name="Обычный 7 13 2 2 2 4" xfId="26533"/>
    <cellStyle name="Обычный 7 13 2 2 2 4 2" xfId="26534"/>
    <cellStyle name="Обычный 7 13 2 2 2 5" xfId="26535"/>
    <cellStyle name="Обычный 7 13 2 2 2 6" xfId="26536"/>
    <cellStyle name="Обычный 7 13 2 2 3" xfId="26537"/>
    <cellStyle name="Обычный 7 13 2 2 3 2" xfId="26538"/>
    <cellStyle name="Обычный 7 13 2 2 3 3" xfId="26539"/>
    <cellStyle name="Обычный 7 13 2 2 4" xfId="26540"/>
    <cellStyle name="Обычный 7 13 2 2 4 2" xfId="26541"/>
    <cellStyle name="Обычный 7 13 2 2 4 3" xfId="26542"/>
    <cellStyle name="Обычный 7 13 2 2 5" xfId="26543"/>
    <cellStyle name="Обычный 7 13 2 2 5 2" xfId="26544"/>
    <cellStyle name="Обычный 7 13 2 2 6" xfId="26545"/>
    <cellStyle name="Обычный 7 13 2 2 7" xfId="26546"/>
    <cellStyle name="Обычный 7 13 2 3" xfId="26547"/>
    <cellStyle name="Обычный 7 13 2 3 2" xfId="26548"/>
    <cellStyle name="Обычный 7 13 2 3 2 2" xfId="26549"/>
    <cellStyle name="Обычный 7 13 2 3 2 3" xfId="26550"/>
    <cellStyle name="Обычный 7 13 2 3 3" xfId="26551"/>
    <cellStyle name="Обычный 7 13 2 3 3 2" xfId="26552"/>
    <cellStyle name="Обычный 7 13 2 3 3 3" xfId="26553"/>
    <cellStyle name="Обычный 7 13 2 3 4" xfId="26554"/>
    <cellStyle name="Обычный 7 13 2 3 4 2" xfId="26555"/>
    <cellStyle name="Обычный 7 13 2 3 5" xfId="26556"/>
    <cellStyle name="Обычный 7 13 2 3 6" xfId="26557"/>
    <cellStyle name="Обычный 7 13 2 4" xfId="26558"/>
    <cellStyle name="Обычный 7 13 2 4 2" xfId="26559"/>
    <cellStyle name="Обычный 7 13 2 4 3" xfId="26560"/>
    <cellStyle name="Обычный 7 13 2 5" xfId="26561"/>
    <cellStyle name="Обычный 7 13 2 5 2" xfId="26562"/>
    <cellStyle name="Обычный 7 13 2 5 3" xfId="26563"/>
    <cellStyle name="Обычный 7 13 2 6" xfId="26564"/>
    <cellStyle name="Обычный 7 13 2 6 2" xfId="26565"/>
    <cellStyle name="Обычный 7 13 2 7" xfId="26566"/>
    <cellStyle name="Обычный 7 13 2 8" xfId="26567"/>
    <cellStyle name="Обычный 7 13 3" xfId="26568"/>
    <cellStyle name="Обычный 7 13 3 2" xfId="26569"/>
    <cellStyle name="Обычный 7 13 3 2 2" xfId="26570"/>
    <cellStyle name="Обычный 7 13 3 2 2 2" xfId="26571"/>
    <cellStyle name="Обычный 7 13 3 2 2 3" xfId="26572"/>
    <cellStyle name="Обычный 7 13 3 2 3" xfId="26573"/>
    <cellStyle name="Обычный 7 13 3 2 3 2" xfId="26574"/>
    <cellStyle name="Обычный 7 13 3 2 3 3" xfId="26575"/>
    <cellStyle name="Обычный 7 13 3 2 4" xfId="26576"/>
    <cellStyle name="Обычный 7 13 3 2 4 2" xfId="26577"/>
    <cellStyle name="Обычный 7 13 3 2 5" xfId="26578"/>
    <cellStyle name="Обычный 7 13 3 2 6" xfId="26579"/>
    <cellStyle name="Обычный 7 13 3 3" xfId="26580"/>
    <cellStyle name="Обычный 7 13 3 3 2" xfId="26581"/>
    <cellStyle name="Обычный 7 13 3 3 3" xfId="26582"/>
    <cellStyle name="Обычный 7 13 3 4" xfId="26583"/>
    <cellStyle name="Обычный 7 13 3 4 2" xfId="26584"/>
    <cellStyle name="Обычный 7 13 3 4 3" xfId="26585"/>
    <cellStyle name="Обычный 7 13 3 5" xfId="26586"/>
    <cellStyle name="Обычный 7 13 3 5 2" xfId="26587"/>
    <cellStyle name="Обычный 7 13 3 6" xfId="26588"/>
    <cellStyle name="Обычный 7 13 3 7" xfId="26589"/>
    <cellStyle name="Обычный 7 13 4" xfId="26590"/>
    <cellStyle name="Обычный 7 13 4 2" xfId="26591"/>
    <cellStyle name="Обычный 7 13 4 2 2" xfId="26592"/>
    <cellStyle name="Обычный 7 13 4 2 3" xfId="26593"/>
    <cellStyle name="Обычный 7 13 4 3" xfId="26594"/>
    <cellStyle name="Обычный 7 13 4 3 2" xfId="26595"/>
    <cellStyle name="Обычный 7 13 4 3 3" xfId="26596"/>
    <cellStyle name="Обычный 7 13 4 4" xfId="26597"/>
    <cellStyle name="Обычный 7 13 4 4 2" xfId="26598"/>
    <cellStyle name="Обычный 7 13 4 5" xfId="26599"/>
    <cellStyle name="Обычный 7 13 4 6" xfId="26600"/>
    <cellStyle name="Обычный 7 13 5" xfId="26601"/>
    <cellStyle name="Обычный 7 13 5 2" xfId="26602"/>
    <cellStyle name="Обычный 7 13 5 3" xfId="26603"/>
    <cellStyle name="Обычный 7 13 6" xfId="26604"/>
    <cellStyle name="Обычный 7 13 6 2" xfId="26605"/>
    <cellStyle name="Обычный 7 13 6 3" xfId="26606"/>
    <cellStyle name="Обычный 7 13 7" xfId="26607"/>
    <cellStyle name="Обычный 7 13 7 2" xfId="26608"/>
    <cellStyle name="Обычный 7 13 8" xfId="26609"/>
    <cellStyle name="Обычный 7 13 9" xfId="26610"/>
    <cellStyle name="Обычный 7 14" xfId="26611"/>
    <cellStyle name="Обычный 7 14 2" xfId="26612"/>
    <cellStyle name="Обычный 7 14 2 2" xfId="26613"/>
    <cellStyle name="Обычный 7 14 2 2 2" xfId="26614"/>
    <cellStyle name="Обычный 7 14 2 2 2 2" xfId="26615"/>
    <cellStyle name="Обычный 7 14 2 2 2 3" xfId="26616"/>
    <cellStyle name="Обычный 7 14 2 2 3" xfId="26617"/>
    <cellStyle name="Обычный 7 14 2 2 3 2" xfId="26618"/>
    <cellStyle name="Обычный 7 14 2 2 3 3" xfId="26619"/>
    <cellStyle name="Обычный 7 14 2 2 4" xfId="26620"/>
    <cellStyle name="Обычный 7 14 2 2 4 2" xfId="26621"/>
    <cellStyle name="Обычный 7 14 2 2 5" xfId="26622"/>
    <cellStyle name="Обычный 7 14 2 2 6" xfId="26623"/>
    <cellStyle name="Обычный 7 14 2 3" xfId="26624"/>
    <cellStyle name="Обычный 7 14 2 3 2" xfId="26625"/>
    <cellStyle name="Обычный 7 14 2 3 3" xfId="26626"/>
    <cellStyle name="Обычный 7 14 2 4" xfId="26627"/>
    <cellStyle name="Обычный 7 14 2 4 2" xfId="26628"/>
    <cellStyle name="Обычный 7 14 2 4 3" xfId="26629"/>
    <cellStyle name="Обычный 7 14 2 5" xfId="26630"/>
    <cellStyle name="Обычный 7 14 2 5 2" xfId="26631"/>
    <cellStyle name="Обычный 7 14 2 6" xfId="26632"/>
    <cellStyle name="Обычный 7 14 2 7" xfId="26633"/>
    <cellStyle name="Обычный 7 14 3" xfId="26634"/>
    <cellStyle name="Обычный 7 14 3 2" xfId="26635"/>
    <cellStyle name="Обычный 7 14 3 2 2" xfId="26636"/>
    <cellStyle name="Обычный 7 14 3 2 3" xfId="26637"/>
    <cellStyle name="Обычный 7 14 3 3" xfId="26638"/>
    <cellStyle name="Обычный 7 14 3 3 2" xfId="26639"/>
    <cellStyle name="Обычный 7 14 3 3 3" xfId="26640"/>
    <cellStyle name="Обычный 7 14 3 4" xfId="26641"/>
    <cellStyle name="Обычный 7 14 3 4 2" xfId="26642"/>
    <cellStyle name="Обычный 7 14 3 5" xfId="26643"/>
    <cellStyle name="Обычный 7 14 3 6" xfId="26644"/>
    <cellStyle name="Обычный 7 14 4" xfId="26645"/>
    <cellStyle name="Обычный 7 14 4 2" xfId="26646"/>
    <cellStyle name="Обычный 7 14 4 3" xfId="26647"/>
    <cellStyle name="Обычный 7 14 5" xfId="26648"/>
    <cellStyle name="Обычный 7 14 5 2" xfId="26649"/>
    <cellStyle name="Обычный 7 14 5 3" xfId="26650"/>
    <cellStyle name="Обычный 7 14 6" xfId="26651"/>
    <cellStyle name="Обычный 7 14 6 2" xfId="26652"/>
    <cellStyle name="Обычный 7 14 7" xfId="26653"/>
    <cellStyle name="Обычный 7 14 8" xfId="26654"/>
    <cellStyle name="Обычный 7 15" xfId="26655"/>
    <cellStyle name="Обычный 7 15 2" xfId="26656"/>
    <cellStyle name="Обычный 7 15 2 2" xfId="26657"/>
    <cellStyle name="Обычный 7 15 2 2 2" xfId="26658"/>
    <cellStyle name="Обычный 7 15 2 2 3" xfId="26659"/>
    <cellStyle name="Обычный 7 15 2 3" xfId="26660"/>
    <cellStyle name="Обычный 7 15 2 3 2" xfId="26661"/>
    <cellStyle name="Обычный 7 15 2 3 3" xfId="26662"/>
    <cellStyle name="Обычный 7 15 2 4" xfId="26663"/>
    <cellStyle name="Обычный 7 15 2 4 2" xfId="26664"/>
    <cellStyle name="Обычный 7 15 2 5" xfId="26665"/>
    <cellStyle name="Обычный 7 15 2 6" xfId="26666"/>
    <cellStyle name="Обычный 7 15 3" xfId="26667"/>
    <cellStyle name="Обычный 7 15 3 2" xfId="26668"/>
    <cellStyle name="Обычный 7 15 3 3" xfId="26669"/>
    <cellStyle name="Обычный 7 15 4" xfId="26670"/>
    <cellStyle name="Обычный 7 15 4 2" xfId="26671"/>
    <cellStyle name="Обычный 7 15 4 3" xfId="26672"/>
    <cellStyle name="Обычный 7 15 5" xfId="26673"/>
    <cellStyle name="Обычный 7 15 5 2" xfId="26674"/>
    <cellStyle name="Обычный 7 15 6" xfId="26675"/>
    <cellStyle name="Обычный 7 15 7" xfId="26676"/>
    <cellStyle name="Обычный 7 16" xfId="26677"/>
    <cellStyle name="Обычный 7 16 2" xfId="26678"/>
    <cellStyle name="Обычный 7 16 2 2" xfId="26679"/>
    <cellStyle name="Обычный 7 16 2 3" xfId="26680"/>
    <cellStyle name="Обычный 7 16 3" xfId="26681"/>
    <cellStyle name="Обычный 7 16 3 2" xfId="26682"/>
    <cellStyle name="Обычный 7 16 3 3" xfId="26683"/>
    <cellStyle name="Обычный 7 16 4" xfId="26684"/>
    <cellStyle name="Обычный 7 16 4 2" xfId="26685"/>
    <cellStyle name="Обычный 7 16 5" xfId="26686"/>
    <cellStyle name="Обычный 7 16 6" xfId="26687"/>
    <cellStyle name="Обычный 7 17" xfId="26688"/>
    <cellStyle name="Обычный 7 17 2" xfId="26689"/>
    <cellStyle name="Обычный 7 17 3" xfId="26690"/>
    <cellStyle name="Обычный 7 18" xfId="26691"/>
    <cellStyle name="Обычный 7 18 2" xfId="26692"/>
    <cellStyle name="Обычный 7 18 3" xfId="26693"/>
    <cellStyle name="Обычный 7 19" xfId="26694"/>
    <cellStyle name="Обычный 7 19 2" xfId="26695"/>
    <cellStyle name="Обычный 7 2" xfId="26696"/>
    <cellStyle name="Обычный 7 2 10" xfId="26697"/>
    <cellStyle name="Обычный 7 2 10 2" xfId="26698"/>
    <cellStyle name="Обычный 7 2 10 3" xfId="26699"/>
    <cellStyle name="Обычный 7 2 11" xfId="26700"/>
    <cellStyle name="Обычный 7 2 11 2" xfId="26701"/>
    <cellStyle name="Обычный 7 2 11 3" xfId="26702"/>
    <cellStyle name="Обычный 7 2 12" xfId="26703"/>
    <cellStyle name="Обычный 7 2 12 2" xfId="26704"/>
    <cellStyle name="Обычный 7 2 13" xfId="26705"/>
    <cellStyle name="Обычный 7 2 14" xfId="26706"/>
    <cellStyle name="Обычный 7 2 2" xfId="26707"/>
    <cellStyle name="Обычный 7 2 2 10" xfId="26708"/>
    <cellStyle name="Обычный 7 2 2 10 2" xfId="26709"/>
    <cellStyle name="Обычный 7 2 2 10 3" xfId="26710"/>
    <cellStyle name="Обычный 7 2 2 11" xfId="26711"/>
    <cellStyle name="Обычный 7 2 2 11 2" xfId="26712"/>
    <cellStyle name="Обычный 7 2 2 12" xfId="26713"/>
    <cellStyle name="Обычный 7 2 2 13" xfId="26714"/>
    <cellStyle name="Обычный 7 2 2 2" xfId="26715"/>
    <cellStyle name="Обычный 7 2 2 2 10" xfId="26716"/>
    <cellStyle name="Обычный 7 2 2 2 2" xfId="26717"/>
    <cellStyle name="Обычный 7 2 2 2 2 2" xfId="26718"/>
    <cellStyle name="Обычный 7 2 2 2 2 2 2" xfId="26719"/>
    <cellStyle name="Обычный 7 2 2 2 2 2 2 2" xfId="26720"/>
    <cellStyle name="Обычный 7 2 2 2 2 2 2 2 2" xfId="26721"/>
    <cellStyle name="Обычный 7 2 2 2 2 2 2 2 2 2" xfId="26722"/>
    <cellStyle name="Обычный 7 2 2 2 2 2 2 2 2 3" xfId="26723"/>
    <cellStyle name="Обычный 7 2 2 2 2 2 2 2 3" xfId="26724"/>
    <cellStyle name="Обычный 7 2 2 2 2 2 2 2 3 2" xfId="26725"/>
    <cellStyle name="Обычный 7 2 2 2 2 2 2 2 3 3" xfId="26726"/>
    <cellStyle name="Обычный 7 2 2 2 2 2 2 2 4" xfId="26727"/>
    <cellStyle name="Обычный 7 2 2 2 2 2 2 2 4 2" xfId="26728"/>
    <cellStyle name="Обычный 7 2 2 2 2 2 2 2 5" xfId="26729"/>
    <cellStyle name="Обычный 7 2 2 2 2 2 2 2 6" xfId="26730"/>
    <cellStyle name="Обычный 7 2 2 2 2 2 2 3" xfId="26731"/>
    <cellStyle name="Обычный 7 2 2 2 2 2 2 3 2" xfId="26732"/>
    <cellStyle name="Обычный 7 2 2 2 2 2 2 3 3" xfId="26733"/>
    <cellStyle name="Обычный 7 2 2 2 2 2 2 4" xfId="26734"/>
    <cellStyle name="Обычный 7 2 2 2 2 2 2 4 2" xfId="26735"/>
    <cellStyle name="Обычный 7 2 2 2 2 2 2 4 3" xfId="26736"/>
    <cellStyle name="Обычный 7 2 2 2 2 2 2 5" xfId="26737"/>
    <cellStyle name="Обычный 7 2 2 2 2 2 2 5 2" xfId="26738"/>
    <cellStyle name="Обычный 7 2 2 2 2 2 2 6" xfId="26739"/>
    <cellStyle name="Обычный 7 2 2 2 2 2 2 7" xfId="26740"/>
    <cellStyle name="Обычный 7 2 2 2 2 2 3" xfId="26741"/>
    <cellStyle name="Обычный 7 2 2 2 2 2 3 2" xfId="26742"/>
    <cellStyle name="Обычный 7 2 2 2 2 2 3 2 2" xfId="26743"/>
    <cellStyle name="Обычный 7 2 2 2 2 2 3 2 3" xfId="26744"/>
    <cellStyle name="Обычный 7 2 2 2 2 2 3 3" xfId="26745"/>
    <cellStyle name="Обычный 7 2 2 2 2 2 3 3 2" xfId="26746"/>
    <cellStyle name="Обычный 7 2 2 2 2 2 3 3 3" xfId="26747"/>
    <cellStyle name="Обычный 7 2 2 2 2 2 3 4" xfId="26748"/>
    <cellStyle name="Обычный 7 2 2 2 2 2 3 4 2" xfId="26749"/>
    <cellStyle name="Обычный 7 2 2 2 2 2 3 5" xfId="26750"/>
    <cellStyle name="Обычный 7 2 2 2 2 2 3 6" xfId="26751"/>
    <cellStyle name="Обычный 7 2 2 2 2 2 4" xfId="26752"/>
    <cellStyle name="Обычный 7 2 2 2 2 2 4 2" xfId="26753"/>
    <cellStyle name="Обычный 7 2 2 2 2 2 4 3" xfId="26754"/>
    <cellStyle name="Обычный 7 2 2 2 2 2 5" xfId="26755"/>
    <cellStyle name="Обычный 7 2 2 2 2 2 5 2" xfId="26756"/>
    <cellStyle name="Обычный 7 2 2 2 2 2 5 3" xfId="26757"/>
    <cellStyle name="Обычный 7 2 2 2 2 2 6" xfId="26758"/>
    <cellStyle name="Обычный 7 2 2 2 2 2 6 2" xfId="26759"/>
    <cellStyle name="Обычный 7 2 2 2 2 2 7" xfId="26760"/>
    <cellStyle name="Обычный 7 2 2 2 2 2 8" xfId="26761"/>
    <cellStyle name="Обычный 7 2 2 2 2 3" xfId="26762"/>
    <cellStyle name="Обычный 7 2 2 2 2 3 2" xfId="26763"/>
    <cellStyle name="Обычный 7 2 2 2 2 3 2 2" xfId="26764"/>
    <cellStyle name="Обычный 7 2 2 2 2 3 2 2 2" xfId="26765"/>
    <cellStyle name="Обычный 7 2 2 2 2 3 2 2 3" xfId="26766"/>
    <cellStyle name="Обычный 7 2 2 2 2 3 2 3" xfId="26767"/>
    <cellStyle name="Обычный 7 2 2 2 2 3 2 3 2" xfId="26768"/>
    <cellStyle name="Обычный 7 2 2 2 2 3 2 3 3" xfId="26769"/>
    <cellStyle name="Обычный 7 2 2 2 2 3 2 4" xfId="26770"/>
    <cellStyle name="Обычный 7 2 2 2 2 3 2 4 2" xfId="26771"/>
    <cellStyle name="Обычный 7 2 2 2 2 3 2 5" xfId="26772"/>
    <cellStyle name="Обычный 7 2 2 2 2 3 2 6" xfId="26773"/>
    <cellStyle name="Обычный 7 2 2 2 2 3 3" xfId="26774"/>
    <cellStyle name="Обычный 7 2 2 2 2 3 3 2" xfId="26775"/>
    <cellStyle name="Обычный 7 2 2 2 2 3 3 3" xfId="26776"/>
    <cellStyle name="Обычный 7 2 2 2 2 3 4" xfId="26777"/>
    <cellStyle name="Обычный 7 2 2 2 2 3 4 2" xfId="26778"/>
    <cellStyle name="Обычный 7 2 2 2 2 3 4 3" xfId="26779"/>
    <cellStyle name="Обычный 7 2 2 2 2 3 5" xfId="26780"/>
    <cellStyle name="Обычный 7 2 2 2 2 3 5 2" xfId="26781"/>
    <cellStyle name="Обычный 7 2 2 2 2 3 6" xfId="26782"/>
    <cellStyle name="Обычный 7 2 2 2 2 3 7" xfId="26783"/>
    <cellStyle name="Обычный 7 2 2 2 2 4" xfId="26784"/>
    <cellStyle name="Обычный 7 2 2 2 2 4 2" xfId="26785"/>
    <cellStyle name="Обычный 7 2 2 2 2 4 2 2" xfId="26786"/>
    <cellStyle name="Обычный 7 2 2 2 2 4 2 3" xfId="26787"/>
    <cellStyle name="Обычный 7 2 2 2 2 4 3" xfId="26788"/>
    <cellStyle name="Обычный 7 2 2 2 2 4 3 2" xfId="26789"/>
    <cellStyle name="Обычный 7 2 2 2 2 4 3 3" xfId="26790"/>
    <cellStyle name="Обычный 7 2 2 2 2 4 4" xfId="26791"/>
    <cellStyle name="Обычный 7 2 2 2 2 4 4 2" xfId="26792"/>
    <cellStyle name="Обычный 7 2 2 2 2 4 5" xfId="26793"/>
    <cellStyle name="Обычный 7 2 2 2 2 4 6" xfId="26794"/>
    <cellStyle name="Обычный 7 2 2 2 2 5" xfId="26795"/>
    <cellStyle name="Обычный 7 2 2 2 2 5 2" xfId="26796"/>
    <cellStyle name="Обычный 7 2 2 2 2 5 3" xfId="26797"/>
    <cellStyle name="Обычный 7 2 2 2 2 6" xfId="26798"/>
    <cellStyle name="Обычный 7 2 2 2 2 6 2" xfId="26799"/>
    <cellStyle name="Обычный 7 2 2 2 2 6 3" xfId="26800"/>
    <cellStyle name="Обычный 7 2 2 2 2 7" xfId="26801"/>
    <cellStyle name="Обычный 7 2 2 2 2 7 2" xfId="26802"/>
    <cellStyle name="Обычный 7 2 2 2 2 8" xfId="26803"/>
    <cellStyle name="Обычный 7 2 2 2 2 9" xfId="26804"/>
    <cellStyle name="Обычный 7 2 2 2 3" xfId="26805"/>
    <cellStyle name="Обычный 7 2 2 2 3 2" xfId="26806"/>
    <cellStyle name="Обычный 7 2 2 2 3 2 2" xfId="26807"/>
    <cellStyle name="Обычный 7 2 2 2 3 2 2 2" xfId="26808"/>
    <cellStyle name="Обычный 7 2 2 2 3 2 2 2 2" xfId="26809"/>
    <cellStyle name="Обычный 7 2 2 2 3 2 2 2 3" xfId="26810"/>
    <cellStyle name="Обычный 7 2 2 2 3 2 2 3" xfId="26811"/>
    <cellStyle name="Обычный 7 2 2 2 3 2 2 3 2" xfId="26812"/>
    <cellStyle name="Обычный 7 2 2 2 3 2 2 3 3" xfId="26813"/>
    <cellStyle name="Обычный 7 2 2 2 3 2 2 4" xfId="26814"/>
    <cellStyle name="Обычный 7 2 2 2 3 2 2 4 2" xfId="26815"/>
    <cellStyle name="Обычный 7 2 2 2 3 2 2 5" xfId="26816"/>
    <cellStyle name="Обычный 7 2 2 2 3 2 2 6" xfId="26817"/>
    <cellStyle name="Обычный 7 2 2 2 3 2 3" xfId="26818"/>
    <cellStyle name="Обычный 7 2 2 2 3 2 3 2" xfId="26819"/>
    <cellStyle name="Обычный 7 2 2 2 3 2 3 3" xfId="26820"/>
    <cellStyle name="Обычный 7 2 2 2 3 2 4" xfId="26821"/>
    <cellStyle name="Обычный 7 2 2 2 3 2 4 2" xfId="26822"/>
    <cellStyle name="Обычный 7 2 2 2 3 2 4 3" xfId="26823"/>
    <cellStyle name="Обычный 7 2 2 2 3 2 5" xfId="26824"/>
    <cellStyle name="Обычный 7 2 2 2 3 2 5 2" xfId="26825"/>
    <cellStyle name="Обычный 7 2 2 2 3 2 6" xfId="26826"/>
    <cellStyle name="Обычный 7 2 2 2 3 2 7" xfId="26827"/>
    <cellStyle name="Обычный 7 2 2 2 3 3" xfId="26828"/>
    <cellStyle name="Обычный 7 2 2 2 3 3 2" xfId="26829"/>
    <cellStyle name="Обычный 7 2 2 2 3 3 2 2" xfId="26830"/>
    <cellStyle name="Обычный 7 2 2 2 3 3 2 3" xfId="26831"/>
    <cellStyle name="Обычный 7 2 2 2 3 3 3" xfId="26832"/>
    <cellStyle name="Обычный 7 2 2 2 3 3 3 2" xfId="26833"/>
    <cellStyle name="Обычный 7 2 2 2 3 3 3 3" xfId="26834"/>
    <cellStyle name="Обычный 7 2 2 2 3 3 4" xfId="26835"/>
    <cellStyle name="Обычный 7 2 2 2 3 3 4 2" xfId="26836"/>
    <cellStyle name="Обычный 7 2 2 2 3 3 5" xfId="26837"/>
    <cellStyle name="Обычный 7 2 2 2 3 3 6" xfId="26838"/>
    <cellStyle name="Обычный 7 2 2 2 3 4" xfId="26839"/>
    <cellStyle name="Обычный 7 2 2 2 3 4 2" xfId="26840"/>
    <cellStyle name="Обычный 7 2 2 2 3 4 3" xfId="26841"/>
    <cellStyle name="Обычный 7 2 2 2 3 5" xfId="26842"/>
    <cellStyle name="Обычный 7 2 2 2 3 5 2" xfId="26843"/>
    <cellStyle name="Обычный 7 2 2 2 3 5 3" xfId="26844"/>
    <cellStyle name="Обычный 7 2 2 2 3 6" xfId="26845"/>
    <cellStyle name="Обычный 7 2 2 2 3 6 2" xfId="26846"/>
    <cellStyle name="Обычный 7 2 2 2 3 7" xfId="26847"/>
    <cellStyle name="Обычный 7 2 2 2 3 8" xfId="26848"/>
    <cellStyle name="Обычный 7 2 2 2 4" xfId="26849"/>
    <cellStyle name="Обычный 7 2 2 2 4 2" xfId="26850"/>
    <cellStyle name="Обычный 7 2 2 2 4 2 2" xfId="26851"/>
    <cellStyle name="Обычный 7 2 2 2 4 2 2 2" xfId="26852"/>
    <cellStyle name="Обычный 7 2 2 2 4 2 2 3" xfId="26853"/>
    <cellStyle name="Обычный 7 2 2 2 4 2 3" xfId="26854"/>
    <cellStyle name="Обычный 7 2 2 2 4 2 3 2" xfId="26855"/>
    <cellStyle name="Обычный 7 2 2 2 4 2 3 3" xfId="26856"/>
    <cellStyle name="Обычный 7 2 2 2 4 2 4" xfId="26857"/>
    <cellStyle name="Обычный 7 2 2 2 4 2 4 2" xfId="26858"/>
    <cellStyle name="Обычный 7 2 2 2 4 2 5" xfId="26859"/>
    <cellStyle name="Обычный 7 2 2 2 4 2 6" xfId="26860"/>
    <cellStyle name="Обычный 7 2 2 2 4 3" xfId="26861"/>
    <cellStyle name="Обычный 7 2 2 2 4 3 2" xfId="26862"/>
    <cellStyle name="Обычный 7 2 2 2 4 3 3" xfId="26863"/>
    <cellStyle name="Обычный 7 2 2 2 4 4" xfId="26864"/>
    <cellStyle name="Обычный 7 2 2 2 4 4 2" xfId="26865"/>
    <cellStyle name="Обычный 7 2 2 2 4 4 3" xfId="26866"/>
    <cellStyle name="Обычный 7 2 2 2 4 5" xfId="26867"/>
    <cellStyle name="Обычный 7 2 2 2 4 5 2" xfId="26868"/>
    <cellStyle name="Обычный 7 2 2 2 4 6" xfId="26869"/>
    <cellStyle name="Обычный 7 2 2 2 4 7" xfId="26870"/>
    <cellStyle name="Обычный 7 2 2 2 5" xfId="26871"/>
    <cellStyle name="Обычный 7 2 2 2 5 2" xfId="26872"/>
    <cellStyle name="Обычный 7 2 2 2 5 2 2" xfId="26873"/>
    <cellStyle name="Обычный 7 2 2 2 5 2 3" xfId="26874"/>
    <cellStyle name="Обычный 7 2 2 2 5 3" xfId="26875"/>
    <cellStyle name="Обычный 7 2 2 2 5 3 2" xfId="26876"/>
    <cellStyle name="Обычный 7 2 2 2 5 3 3" xfId="26877"/>
    <cellStyle name="Обычный 7 2 2 2 5 4" xfId="26878"/>
    <cellStyle name="Обычный 7 2 2 2 5 4 2" xfId="26879"/>
    <cellStyle name="Обычный 7 2 2 2 5 5" xfId="26880"/>
    <cellStyle name="Обычный 7 2 2 2 5 6" xfId="26881"/>
    <cellStyle name="Обычный 7 2 2 2 6" xfId="26882"/>
    <cellStyle name="Обычный 7 2 2 2 6 2" xfId="26883"/>
    <cellStyle name="Обычный 7 2 2 2 6 3" xfId="26884"/>
    <cellStyle name="Обычный 7 2 2 2 7" xfId="26885"/>
    <cellStyle name="Обычный 7 2 2 2 7 2" xfId="26886"/>
    <cellStyle name="Обычный 7 2 2 2 7 3" xfId="26887"/>
    <cellStyle name="Обычный 7 2 2 2 8" xfId="26888"/>
    <cellStyle name="Обычный 7 2 2 2 8 2" xfId="26889"/>
    <cellStyle name="Обычный 7 2 2 2 9" xfId="26890"/>
    <cellStyle name="Обычный 7 2 2 3" xfId="26891"/>
    <cellStyle name="Обычный 7 2 2 3 10" xfId="26892"/>
    <cellStyle name="Обычный 7 2 2 3 2" xfId="26893"/>
    <cellStyle name="Обычный 7 2 2 3 2 2" xfId="26894"/>
    <cellStyle name="Обычный 7 2 2 3 2 2 2" xfId="26895"/>
    <cellStyle name="Обычный 7 2 2 3 2 2 2 2" xfId="26896"/>
    <cellStyle name="Обычный 7 2 2 3 2 2 2 2 2" xfId="26897"/>
    <cellStyle name="Обычный 7 2 2 3 2 2 2 2 2 2" xfId="26898"/>
    <cellStyle name="Обычный 7 2 2 3 2 2 2 2 2 3" xfId="26899"/>
    <cellStyle name="Обычный 7 2 2 3 2 2 2 2 3" xfId="26900"/>
    <cellStyle name="Обычный 7 2 2 3 2 2 2 2 3 2" xfId="26901"/>
    <cellStyle name="Обычный 7 2 2 3 2 2 2 2 3 3" xfId="26902"/>
    <cellStyle name="Обычный 7 2 2 3 2 2 2 2 4" xfId="26903"/>
    <cellStyle name="Обычный 7 2 2 3 2 2 2 2 4 2" xfId="26904"/>
    <cellStyle name="Обычный 7 2 2 3 2 2 2 2 5" xfId="26905"/>
    <cellStyle name="Обычный 7 2 2 3 2 2 2 2 6" xfId="26906"/>
    <cellStyle name="Обычный 7 2 2 3 2 2 2 3" xfId="26907"/>
    <cellStyle name="Обычный 7 2 2 3 2 2 2 3 2" xfId="26908"/>
    <cellStyle name="Обычный 7 2 2 3 2 2 2 3 3" xfId="26909"/>
    <cellStyle name="Обычный 7 2 2 3 2 2 2 4" xfId="26910"/>
    <cellStyle name="Обычный 7 2 2 3 2 2 2 4 2" xfId="26911"/>
    <cellStyle name="Обычный 7 2 2 3 2 2 2 4 3" xfId="26912"/>
    <cellStyle name="Обычный 7 2 2 3 2 2 2 5" xfId="26913"/>
    <cellStyle name="Обычный 7 2 2 3 2 2 2 5 2" xfId="26914"/>
    <cellStyle name="Обычный 7 2 2 3 2 2 2 6" xfId="26915"/>
    <cellStyle name="Обычный 7 2 2 3 2 2 2 7" xfId="26916"/>
    <cellStyle name="Обычный 7 2 2 3 2 2 3" xfId="26917"/>
    <cellStyle name="Обычный 7 2 2 3 2 2 3 2" xfId="26918"/>
    <cellStyle name="Обычный 7 2 2 3 2 2 3 2 2" xfId="26919"/>
    <cellStyle name="Обычный 7 2 2 3 2 2 3 2 3" xfId="26920"/>
    <cellStyle name="Обычный 7 2 2 3 2 2 3 3" xfId="26921"/>
    <cellStyle name="Обычный 7 2 2 3 2 2 3 3 2" xfId="26922"/>
    <cellStyle name="Обычный 7 2 2 3 2 2 3 3 3" xfId="26923"/>
    <cellStyle name="Обычный 7 2 2 3 2 2 3 4" xfId="26924"/>
    <cellStyle name="Обычный 7 2 2 3 2 2 3 4 2" xfId="26925"/>
    <cellStyle name="Обычный 7 2 2 3 2 2 3 5" xfId="26926"/>
    <cellStyle name="Обычный 7 2 2 3 2 2 3 6" xfId="26927"/>
    <cellStyle name="Обычный 7 2 2 3 2 2 4" xfId="26928"/>
    <cellStyle name="Обычный 7 2 2 3 2 2 4 2" xfId="26929"/>
    <cellStyle name="Обычный 7 2 2 3 2 2 4 3" xfId="26930"/>
    <cellStyle name="Обычный 7 2 2 3 2 2 5" xfId="26931"/>
    <cellStyle name="Обычный 7 2 2 3 2 2 5 2" xfId="26932"/>
    <cellStyle name="Обычный 7 2 2 3 2 2 5 3" xfId="26933"/>
    <cellStyle name="Обычный 7 2 2 3 2 2 6" xfId="26934"/>
    <cellStyle name="Обычный 7 2 2 3 2 2 6 2" xfId="26935"/>
    <cellStyle name="Обычный 7 2 2 3 2 2 7" xfId="26936"/>
    <cellStyle name="Обычный 7 2 2 3 2 2 8" xfId="26937"/>
    <cellStyle name="Обычный 7 2 2 3 2 3" xfId="26938"/>
    <cellStyle name="Обычный 7 2 2 3 2 3 2" xfId="26939"/>
    <cellStyle name="Обычный 7 2 2 3 2 3 2 2" xfId="26940"/>
    <cellStyle name="Обычный 7 2 2 3 2 3 2 2 2" xfId="26941"/>
    <cellStyle name="Обычный 7 2 2 3 2 3 2 2 3" xfId="26942"/>
    <cellStyle name="Обычный 7 2 2 3 2 3 2 3" xfId="26943"/>
    <cellStyle name="Обычный 7 2 2 3 2 3 2 3 2" xfId="26944"/>
    <cellStyle name="Обычный 7 2 2 3 2 3 2 3 3" xfId="26945"/>
    <cellStyle name="Обычный 7 2 2 3 2 3 2 4" xfId="26946"/>
    <cellStyle name="Обычный 7 2 2 3 2 3 2 4 2" xfId="26947"/>
    <cellStyle name="Обычный 7 2 2 3 2 3 2 5" xfId="26948"/>
    <cellStyle name="Обычный 7 2 2 3 2 3 2 6" xfId="26949"/>
    <cellStyle name="Обычный 7 2 2 3 2 3 3" xfId="26950"/>
    <cellStyle name="Обычный 7 2 2 3 2 3 3 2" xfId="26951"/>
    <cellStyle name="Обычный 7 2 2 3 2 3 3 3" xfId="26952"/>
    <cellStyle name="Обычный 7 2 2 3 2 3 4" xfId="26953"/>
    <cellStyle name="Обычный 7 2 2 3 2 3 4 2" xfId="26954"/>
    <cellStyle name="Обычный 7 2 2 3 2 3 4 3" xfId="26955"/>
    <cellStyle name="Обычный 7 2 2 3 2 3 5" xfId="26956"/>
    <cellStyle name="Обычный 7 2 2 3 2 3 5 2" xfId="26957"/>
    <cellStyle name="Обычный 7 2 2 3 2 3 6" xfId="26958"/>
    <cellStyle name="Обычный 7 2 2 3 2 3 7" xfId="26959"/>
    <cellStyle name="Обычный 7 2 2 3 2 4" xfId="26960"/>
    <cellStyle name="Обычный 7 2 2 3 2 4 2" xfId="26961"/>
    <cellStyle name="Обычный 7 2 2 3 2 4 2 2" xfId="26962"/>
    <cellStyle name="Обычный 7 2 2 3 2 4 2 3" xfId="26963"/>
    <cellStyle name="Обычный 7 2 2 3 2 4 3" xfId="26964"/>
    <cellStyle name="Обычный 7 2 2 3 2 4 3 2" xfId="26965"/>
    <cellStyle name="Обычный 7 2 2 3 2 4 3 3" xfId="26966"/>
    <cellStyle name="Обычный 7 2 2 3 2 4 4" xfId="26967"/>
    <cellStyle name="Обычный 7 2 2 3 2 4 4 2" xfId="26968"/>
    <cellStyle name="Обычный 7 2 2 3 2 4 5" xfId="26969"/>
    <cellStyle name="Обычный 7 2 2 3 2 4 6" xfId="26970"/>
    <cellStyle name="Обычный 7 2 2 3 2 5" xfId="26971"/>
    <cellStyle name="Обычный 7 2 2 3 2 5 2" xfId="26972"/>
    <cellStyle name="Обычный 7 2 2 3 2 5 3" xfId="26973"/>
    <cellStyle name="Обычный 7 2 2 3 2 6" xfId="26974"/>
    <cellStyle name="Обычный 7 2 2 3 2 6 2" xfId="26975"/>
    <cellStyle name="Обычный 7 2 2 3 2 6 3" xfId="26976"/>
    <cellStyle name="Обычный 7 2 2 3 2 7" xfId="26977"/>
    <cellStyle name="Обычный 7 2 2 3 2 7 2" xfId="26978"/>
    <cellStyle name="Обычный 7 2 2 3 2 8" xfId="26979"/>
    <cellStyle name="Обычный 7 2 2 3 2 9" xfId="26980"/>
    <cellStyle name="Обычный 7 2 2 3 3" xfId="26981"/>
    <cellStyle name="Обычный 7 2 2 3 3 2" xfId="26982"/>
    <cellStyle name="Обычный 7 2 2 3 3 2 2" xfId="26983"/>
    <cellStyle name="Обычный 7 2 2 3 3 2 2 2" xfId="26984"/>
    <cellStyle name="Обычный 7 2 2 3 3 2 2 2 2" xfId="26985"/>
    <cellStyle name="Обычный 7 2 2 3 3 2 2 2 3" xfId="26986"/>
    <cellStyle name="Обычный 7 2 2 3 3 2 2 3" xfId="26987"/>
    <cellStyle name="Обычный 7 2 2 3 3 2 2 3 2" xfId="26988"/>
    <cellStyle name="Обычный 7 2 2 3 3 2 2 3 3" xfId="26989"/>
    <cellStyle name="Обычный 7 2 2 3 3 2 2 4" xfId="26990"/>
    <cellStyle name="Обычный 7 2 2 3 3 2 2 4 2" xfId="26991"/>
    <cellStyle name="Обычный 7 2 2 3 3 2 2 5" xfId="26992"/>
    <cellStyle name="Обычный 7 2 2 3 3 2 2 6" xfId="26993"/>
    <cellStyle name="Обычный 7 2 2 3 3 2 3" xfId="26994"/>
    <cellStyle name="Обычный 7 2 2 3 3 2 3 2" xfId="26995"/>
    <cellStyle name="Обычный 7 2 2 3 3 2 3 3" xfId="26996"/>
    <cellStyle name="Обычный 7 2 2 3 3 2 4" xfId="26997"/>
    <cellStyle name="Обычный 7 2 2 3 3 2 4 2" xfId="26998"/>
    <cellStyle name="Обычный 7 2 2 3 3 2 4 3" xfId="26999"/>
    <cellStyle name="Обычный 7 2 2 3 3 2 5" xfId="27000"/>
    <cellStyle name="Обычный 7 2 2 3 3 2 5 2" xfId="27001"/>
    <cellStyle name="Обычный 7 2 2 3 3 2 6" xfId="27002"/>
    <cellStyle name="Обычный 7 2 2 3 3 2 7" xfId="27003"/>
    <cellStyle name="Обычный 7 2 2 3 3 3" xfId="27004"/>
    <cellStyle name="Обычный 7 2 2 3 3 3 2" xfId="27005"/>
    <cellStyle name="Обычный 7 2 2 3 3 3 2 2" xfId="27006"/>
    <cellStyle name="Обычный 7 2 2 3 3 3 2 3" xfId="27007"/>
    <cellStyle name="Обычный 7 2 2 3 3 3 3" xfId="27008"/>
    <cellStyle name="Обычный 7 2 2 3 3 3 3 2" xfId="27009"/>
    <cellStyle name="Обычный 7 2 2 3 3 3 3 3" xfId="27010"/>
    <cellStyle name="Обычный 7 2 2 3 3 3 4" xfId="27011"/>
    <cellStyle name="Обычный 7 2 2 3 3 3 4 2" xfId="27012"/>
    <cellStyle name="Обычный 7 2 2 3 3 3 5" xfId="27013"/>
    <cellStyle name="Обычный 7 2 2 3 3 3 6" xfId="27014"/>
    <cellStyle name="Обычный 7 2 2 3 3 4" xfId="27015"/>
    <cellStyle name="Обычный 7 2 2 3 3 4 2" xfId="27016"/>
    <cellStyle name="Обычный 7 2 2 3 3 4 3" xfId="27017"/>
    <cellStyle name="Обычный 7 2 2 3 3 5" xfId="27018"/>
    <cellStyle name="Обычный 7 2 2 3 3 5 2" xfId="27019"/>
    <cellStyle name="Обычный 7 2 2 3 3 5 3" xfId="27020"/>
    <cellStyle name="Обычный 7 2 2 3 3 6" xfId="27021"/>
    <cellStyle name="Обычный 7 2 2 3 3 6 2" xfId="27022"/>
    <cellStyle name="Обычный 7 2 2 3 3 7" xfId="27023"/>
    <cellStyle name="Обычный 7 2 2 3 3 8" xfId="27024"/>
    <cellStyle name="Обычный 7 2 2 3 4" xfId="27025"/>
    <cellStyle name="Обычный 7 2 2 3 4 2" xfId="27026"/>
    <cellStyle name="Обычный 7 2 2 3 4 2 2" xfId="27027"/>
    <cellStyle name="Обычный 7 2 2 3 4 2 2 2" xfId="27028"/>
    <cellStyle name="Обычный 7 2 2 3 4 2 2 3" xfId="27029"/>
    <cellStyle name="Обычный 7 2 2 3 4 2 3" xfId="27030"/>
    <cellStyle name="Обычный 7 2 2 3 4 2 3 2" xfId="27031"/>
    <cellStyle name="Обычный 7 2 2 3 4 2 3 3" xfId="27032"/>
    <cellStyle name="Обычный 7 2 2 3 4 2 4" xfId="27033"/>
    <cellStyle name="Обычный 7 2 2 3 4 2 4 2" xfId="27034"/>
    <cellStyle name="Обычный 7 2 2 3 4 2 5" xfId="27035"/>
    <cellStyle name="Обычный 7 2 2 3 4 2 6" xfId="27036"/>
    <cellStyle name="Обычный 7 2 2 3 4 3" xfId="27037"/>
    <cellStyle name="Обычный 7 2 2 3 4 3 2" xfId="27038"/>
    <cellStyle name="Обычный 7 2 2 3 4 3 3" xfId="27039"/>
    <cellStyle name="Обычный 7 2 2 3 4 4" xfId="27040"/>
    <cellStyle name="Обычный 7 2 2 3 4 4 2" xfId="27041"/>
    <cellStyle name="Обычный 7 2 2 3 4 4 3" xfId="27042"/>
    <cellStyle name="Обычный 7 2 2 3 4 5" xfId="27043"/>
    <cellStyle name="Обычный 7 2 2 3 4 5 2" xfId="27044"/>
    <cellStyle name="Обычный 7 2 2 3 4 6" xfId="27045"/>
    <cellStyle name="Обычный 7 2 2 3 4 7" xfId="27046"/>
    <cellStyle name="Обычный 7 2 2 3 5" xfId="27047"/>
    <cellStyle name="Обычный 7 2 2 3 5 2" xfId="27048"/>
    <cellStyle name="Обычный 7 2 2 3 5 2 2" xfId="27049"/>
    <cellStyle name="Обычный 7 2 2 3 5 2 3" xfId="27050"/>
    <cellStyle name="Обычный 7 2 2 3 5 3" xfId="27051"/>
    <cellStyle name="Обычный 7 2 2 3 5 3 2" xfId="27052"/>
    <cellStyle name="Обычный 7 2 2 3 5 3 3" xfId="27053"/>
    <cellStyle name="Обычный 7 2 2 3 5 4" xfId="27054"/>
    <cellStyle name="Обычный 7 2 2 3 5 4 2" xfId="27055"/>
    <cellStyle name="Обычный 7 2 2 3 5 5" xfId="27056"/>
    <cellStyle name="Обычный 7 2 2 3 5 6" xfId="27057"/>
    <cellStyle name="Обычный 7 2 2 3 6" xfId="27058"/>
    <cellStyle name="Обычный 7 2 2 3 6 2" xfId="27059"/>
    <cellStyle name="Обычный 7 2 2 3 6 3" xfId="27060"/>
    <cellStyle name="Обычный 7 2 2 3 7" xfId="27061"/>
    <cellStyle name="Обычный 7 2 2 3 7 2" xfId="27062"/>
    <cellStyle name="Обычный 7 2 2 3 7 3" xfId="27063"/>
    <cellStyle name="Обычный 7 2 2 3 8" xfId="27064"/>
    <cellStyle name="Обычный 7 2 2 3 8 2" xfId="27065"/>
    <cellStyle name="Обычный 7 2 2 3 9" xfId="27066"/>
    <cellStyle name="Обычный 7 2 2 4" xfId="27067"/>
    <cellStyle name="Обычный 7 2 2 4 10" xfId="27068"/>
    <cellStyle name="Обычный 7 2 2 4 2" xfId="27069"/>
    <cellStyle name="Обычный 7 2 2 4 2 2" xfId="27070"/>
    <cellStyle name="Обычный 7 2 2 4 2 2 2" xfId="27071"/>
    <cellStyle name="Обычный 7 2 2 4 2 2 2 2" xfId="27072"/>
    <cellStyle name="Обычный 7 2 2 4 2 2 2 2 2" xfId="27073"/>
    <cellStyle name="Обычный 7 2 2 4 2 2 2 2 2 2" xfId="27074"/>
    <cellStyle name="Обычный 7 2 2 4 2 2 2 2 2 3" xfId="27075"/>
    <cellStyle name="Обычный 7 2 2 4 2 2 2 2 3" xfId="27076"/>
    <cellStyle name="Обычный 7 2 2 4 2 2 2 2 3 2" xfId="27077"/>
    <cellStyle name="Обычный 7 2 2 4 2 2 2 2 3 3" xfId="27078"/>
    <cellStyle name="Обычный 7 2 2 4 2 2 2 2 4" xfId="27079"/>
    <cellStyle name="Обычный 7 2 2 4 2 2 2 2 4 2" xfId="27080"/>
    <cellStyle name="Обычный 7 2 2 4 2 2 2 2 5" xfId="27081"/>
    <cellStyle name="Обычный 7 2 2 4 2 2 2 2 6" xfId="27082"/>
    <cellStyle name="Обычный 7 2 2 4 2 2 2 3" xfId="27083"/>
    <cellStyle name="Обычный 7 2 2 4 2 2 2 3 2" xfId="27084"/>
    <cellStyle name="Обычный 7 2 2 4 2 2 2 3 3" xfId="27085"/>
    <cellStyle name="Обычный 7 2 2 4 2 2 2 4" xfId="27086"/>
    <cellStyle name="Обычный 7 2 2 4 2 2 2 4 2" xfId="27087"/>
    <cellStyle name="Обычный 7 2 2 4 2 2 2 4 3" xfId="27088"/>
    <cellStyle name="Обычный 7 2 2 4 2 2 2 5" xfId="27089"/>
    <cellStyle name="Обычный 7 2 2 4 2 2 2 5 2" xfId="27090"/>
    <cellStyle name="Обычный 7 2 2 4 2 2 2 6" xfId="27091"/>
    <cellStyle name="Обычный 7 2 2 4 2 2 2 7" xfId="27092"/>
    <cellStyle name="Обычный 7 2 2 4 2 2 3" xfId="27093"/>
    <cellStyle name="Обычный 7 2 2 4 2 2 3 2" xfId="27094"/>
    <cellStyle name="Обычный 7 2 2 4 2 2 3 2 2" xfId="27095"/>
    <cellStyle name="Обычный 7 2 2 4 2 2 3 2 3" xfId="27096"/>
    <cellStyle name="Обычный 7 2 2 4 2 2 3 3" xfId="27097"/>
    <cellStyle name="Обычный 7 2 2 4 2 2 3 3 2" xfId="27098"/>
    <cellStyle name="Обычный 7 2 2 4 2 2 3 3 3" xfId="27099"/>
    <cellStyle name="Обычный 7 2 2 4 2 2 3 4" xfId="27100"/>
    <cellStyle name="Обычный 7 2 2 4 2 2 3 4 2" xfId="27101"/>
    <cellStyle name="Обычный 7 2 2 4 2 2 3 5" xfId="27102"/>
    <cellStyle name="Обычный 7 2 2 4 2 2 3 6" xfId="27103"/>
    <cellStyle name="Обычный 7 2 2 4 2 2 4" xfId="27104"/>
    <cellStyle name="Обычный 7 2 2 4 2 2 4 2" xfId="27105"/>
    <cellStyle name="Обычный 7 2 2 4 2 2 4 3" xfId="27106"/>
    <cellStyle name="Обычный 7 2 2 4 2 2 5" xfId="27107"/>
    <cellStyle name="Обычный 7 2 2 4 2 2 5 2" xfId="27108"/>
    <cellStyle name="Обычный 7 2 2 4 2 2 5 3" xfId="27109"/>
    <cellStyle name="Обычный 7 2 2 4 2 2 6" xfId="27110"/>
    <cellStyle name="Обычный 7 2 2 4 2 2 6 2" xfId="27111"/>
    <cellStyle name="Обычный 7 2 2 4 2 2 7" xfId="27112"/>
    <cellStyle name="Обычный 7 2 2 4 2 2 8" xfId="27113"/>
    <cellStyle name="Обычный 7 2 2 4 2 3" xfId="27114"/>
    <cellStyle name="Обычный 7 2 2 4 2 3 2" xfId="27115"/>
    <cellStyle name="Обычный 7 2 2 4 2 3 2 2" xfId="27116"/>
    <cellStyle name="Обычный 7 2 2 4 2 3 2 2 2" xfId="27117"/>
    <cellStyle name="Обычный 7 2 2 4 2 3 2 2 3" xfId="27118"/>
    <cellStyle name="Обычный 7 2 2 4 2 3 2 3" xfId="27119"/>
    <cellStyle name="Обычный 7 2 2 4 2 3 2 3 2" xfId="27120"/>
    <cellStyle name="Обычный 7 2 2 4 2 3 2 3 3" xfId="27121"/>
    <cellStyle name="Обычный 7 2 2 4 2 3 2 4" xfId="27122"/>
    <cellStyle name="Обычный 7 2 2 4 2 3 2 4 2" xfId="27123"/>
    <cellStyle name="Обычный 7 2 2 4 2 3 2 5" xfId="27124"/>
    <cellStyle name="Обычный 7 2 2 4 2 3 2 6" xfId="27125"/>
    <cellStyle name="Обычный 7 2 2 4 2 3 3" xfId="27126"/>
    <cellStyle name="Обычный 7 2 2 4 2 3 3 2" xfId="27127"/>
    <cellStyle name="Обычный 7 2 2 4 2 3 3 3" xfId="27128"/>
    <cellStyle name="Обычный 7 2 2 4 2 3 4" xfId="27129"/>
    <cellStyle name="Обычный 7 2 2 4 2 3 4 2" xfId="27130"/>
    <cellStyle name="Обычный 7 2 2 4 2 3 4 3" xfId="27131"/>
    <cellStyle name="Обычный 7 2 2 4 2 3 5" xfId="27132"/>
    <cellStyle name="Обычный 7 2 2 4 2 3 5 2" xfId="27133"/>
    <cellStyle name="Обычный 7 2 2 4 2 3 6" xfId="27134"/>
    <cellStyle name="Обычный 7 2 2 4 2 3 7" xfId="27135"/>
    <cellStyle name="Обычный 7 2 2 4 2 4" xfId="27136"/>
    <cellStyle name="Обычный 7 2 2 4 2 4 2" xfId="27137"/>
    <cellStyle name="Обычный 7 2 2 4 2 4 2 2" xfId="27138"/>
    <cellStyle name="Обычный 7 2 2 4 2 4 2 3" xfId="27139"/>
    <cellStyle name="Обычный 7 2 2 4 2 4 3" xfId="27140"/>
    <cellStyle name="Обычный 7 2 2 4 2 4 3 2" xfId="27141"/>
    <cellStyle name="Обычный 7 2 2 4 2 4 3 3" xfId="27142"/>
    <cellStyle name="Обычный 7 2 2 4 2 4 4" xfId="27143"/>
    <cellStyle name="Обычный 7 2 2 4 2 4 4 2" xfId="27144"/>
    <cellStyle name="Обычный 7 2 2 4 2 4 5" xfId="27145"/>
    <cellStyle name="Обычный 7 2 2 4 2 4 6" xfId="27146"/>
    <cellStyle name="Обычный 7 2 2 4 2 5" xfId="27147"/>
    <cellStyle name="Обычный 7 2 2 4 2 5 2" xfId="27148"/>
    <cellStyle name="Обычный 7 2 2 4 2 5 3" xfId="27149"/>
    <cellStyle name="Обычный 7 2 2 4 2 6" xfId="27150"/>
    <cellStyle name="Обычный 7 2 2 4 2 6 2" xfId="27151"/>
    <cellStyle name="Обычный 7 2 2 4 2 6 3" xfId="27152"/>
    <cellStyle name="Обычный 7 2 2 4 2 7" xfId="27153"/>
    <cellStyle name="Обычный 7 2 2 4 2 7 2" xfId="27154"/>
    <cellStyle name="Обычный 7 2 2 4 2 8" xfId="27155"/>
    <cellStyle name="Обычный 7 2 2 4 2 9" xfId="27156"/>
    <cellStyle name="Обычный 7 2 2 4 3" xfId="27157"/>
    <cellStyle name="Обычный 7 2 2 4 3 2" xfId="27158"/>
    <cellStyle name="Обычный 7 2 2 4 3 2 2" xfId="27159"/>
    <cellStyle name="Обычный 7 2 2 4 3 2 2 2" xfId="27160"/>
    <cellStyle name="Обычный 7 2 2 4 3 2 2 2 2" xfId="27161"/>
    <cellStyle name="Обычный 7 2 2 4 3 2 2 2 3" xfId="27162"/>
    <cellStyle name="Обычный 7 2 2 4 3 2 2 3" xfId="27163"/>
    <cellStyle name="Обычный 7 2 2 4 3 2 2 3 2" xfId="27164"/>
    <cellStyle name="Обычный 7 2 2 4 3 2 2 3 3" xfId="27165"/>
    <cellStyle name="Обычный 7 2 2 4 3 2 2 4" xfId="27166"/>
    <cellStyle name="Обычный 7 2 2 4 3 2 2 4 2" xfId="27167"/>
    <cellStyle name="Обычный 7 2 2 4 3 2 2 5" xfId="27168"/>
    <cellStyle name="Обычный 7 2 2 4 3 2 2 6" xfId="27169"/>
    <cellStyle name="Обычный 7 2 2 4 3 2 3" xfId="27170"/>
    <cellStyle name="Обычный 7 2 2 4 3 2 3 2" xfId="27171"/>
    <cellStyle name="Обычный 7 2 2 4 3 2 3 3" xfId="27172"/>
    <cellStyle name="Обычный 7 2 2 4 3 2 4" xfId="27173"/>
    <cellStyle name="Обычный 7 2 2 4 3 2 4 2" xfId="27174"/>
    <cellStyle name="Обычный 7 2 2 4 3 2 4 3" xfId="27175"/>
    <cellStyle name="Обычный 7 2 2 4 3 2 5" xfId="27176"/>
    <cellStyle name="Обычный 7 2 2 4 3 2 5 2" xfId="27177"/>
    <cellStyle name="Обычный 7 2 2 4 3 2 6" xfId="27178"/>
    <cellStyle name="Обычный 7 2 2 4 3 2 7" xfId="27179"/>
    <cellStyle name="Обычный 7 2 2 4 3 3" xfId="27180"/>
    <cellStyle name="Обычный 7 2 2 4 3 3 2" xfId="27181"/>
    <cellStyle name="Обычный 7 2 2 4 3 3 2 2" xfId="27182"/>
    <cellStyle name="Обычный 7 2 2 4 3 3 2 3" xfId="27183"/>
    <cellStyle name="Обычный 7 2 2 4 3 3 3" xfId="27184"/>
    <cellStyle name="Обычный 7 2 2 4 3 3 3 2" xfId="27185"/>
    <cellStyle name="Обычный 7 2 2 4 3 3 3 3" xfId="27186"/>
    <cellStyle name="Обычный 7 2 2 4 3 3 4" xfId="27187"/>
    <cellStyle name="Обычный 7 2 2 4 3 3 4 2" xfId="27188"/>
    <cellStyle name="Обычный 7 2 2 4 3 3 5" xfId="27189"/>
    <cellStyle name="Обычный 7 2 2 4 3 3 6" xfId="27190"/>
    <cellStyle name="Обычный 7 2 2 4 3 4" xfId="27191"/>
    <cellStyle name="Обычный 7 2 2 4 3 4 2" xfId="27192"/>
    <cellStyle name="Обычный 7 2 2 4 3 4 3" xfId="27193"/>
    <cellStyle name="Обычный 7 2 2 4 3 5" xfId="27194"/>
    <cellStyle name="Обычный 7 2 2 4 3 5 2" xfId="27195"/>
    <cellStyle name="Обычный 7 2 2 4 3 5 3" xfId="27196"/>
    <cellStyle name="Обычный 7 2 2 4 3 6" xfId="27197"/>
    <cellStyle name="Обычный 7 2 2 4 3 6 2" xfId="27198"/>
    <cellStyle name="Обычный 7 2 2 4 3 7" xfId="27199"/>
    <cellStyle name="Обычный 7 2 2 4 3 8" xfId="27200"/>
    <cellStyle name="Обычный 7 2 2 4 4" xfId="27201"/>
    <cellStyle name="Обычный 7 2 2 4 4 2" xfId="27202"/>
    <cellStyle name="Обычный 7 2 2 4 4 2 2" xfId="27203"/>
    <cellStyle name="Обычный 7 2 2 4 4 2 2 2" xfId="27204"/>
    <cellStyle name="Обычный 7 2 2 4 4 2 2 3" xfId="27205"/>
    <cellStyle name="Обычный 7 2 2 4 4 2 3" xfId="27206"/>
    <cellStyle name="Обычный 7 2 2 4 4 2 3 2" xfId="27207"/>
    <cellStyle name="Обычный 7 2 2 4 4 2 3 3" xfId="27208"/>
    <cellStyle name="Обычный 7 2 2 4 4 2 4" xfId="27209"/>
    <cellStyle name="Обычный 7 2 2 4 4 2 4 2" xfId="27210"/>
    <cellStyle name="Обычный 7 2 2 4 4 2 5" xfId="27211"/>
    <cellStyle name="Обычный 7 2 2 4 4 2 6" xfId="27212"/>
    <cellStyle name="Обычный 7 2 2 4 4 3" xfId="27213"/>
    <cellStyle name="Обычный 7 2 2 4 4 3 2" xfId="27214"/>
    <cellStyle name="Обычный 7 2 2 4 4 3 3" xfId="27215"/>
    <cellStyle name="Обычный 7 2 2 4 4 4" xfId="27216"/>
    <cellStyle name="Обычный 7 2 2 4 4 4 2" xfId="27217"/>
    <cellStyle name="Обычный 7 2 2 4 4 4 3" xfId="27218"/>
    <cellStyle name="Обычный 7 2 2 4 4 5" xfId="27219"/>
    <cellStyle name="Обычный 7 2 2 4 4 5 2" xfId="27220"/>
    <cellStyle name="Обычный 7 2 2 4 4 6" xfId="27221"/>
    <cellStyle name="Обычный 7 2 2 4 4 7" xfId="27222"/>
    <cellStyle name="Обычный 7 2 2 4 5" xfId="27223"/>
    <cellStyle name="Обычный 7 2 2 4 5 2" xfId="27224"/>
    <cellStyle name="Обычный 7 2 2 4 5 2 2" xfId="27225"/>
    <cellStyle name="Обычный 7 2 2 4 5 2 3" xfId="27226"/>
    <cellStyle name="Обычный 7 2 2 4 5 3" xfId="27227"/>
    <cellStyle name="Обычный 7 2 2 4 5 3 2" xfId="27228"/>
    <cellStyle name="Обычный 7 2 2 4 5 3 3" xfId="27229"/>
    <cellStyle name="Обычный 7 2 2 4 5 4" xfId="27230"/>
    <cellStyle name="Обычный 7 2 2 4 5 4 2" xfId="27231"/>
    <cellStyle name="Обычный 7 2 2 4 5 5" xfId="27232"/>
    <cellStyle name="Обычный 7 2 2 4 5 6" xfId="27233"/>
    <cellStyle name="Обычный 7 2 2 4 6" xfId="27234"/>
    <cellStyle name="Обычный 7 2 2 4 6 2" xfId="27235"/>
    <cellStyle name="Обычный 7 2 2 4 6 3" xfId="27236"/>
    <cellStyle name="Обычный 7 2 2 4 7" xfId="27237"/>
    <cellStyle name="Обычный 7 2 2 4 7 2" xfId="27238"/>
    <cellStyle name="Обычный 7 2 2 4 7 3" xfId="27239"/>
    <cellStyle name="Обычный 7 2 2 4 8" xfId="27240"/>
    <cellStyle name="Обычный 7 2 2 4 8 2" xfId="27241"/>
    <cellStyle name="Обычный 7 2 2 4 9" xfId="27242"/>
    <cellStyle name="Обычный 7 2 2 5" xfId="27243"/>
    <cellStyle name="Обычный 7 2 2 5 2" xfId="27244"/>
    <cellStyle name="Обычный 7 2 2 5 2 2" xfId="27245"/>
    <cellStyle name="Обычный 7 2 2 5 2 2 2" xfId="27246"/>
    <cellStyle name="Обычный 7 2 2 5 2 2 2 2" xfId="27247"/>
    <cellStyle name="Обычный 7 2 2 5 2 2 2 2 2" xfId="27248"/>
    <cellStyle name="Обычный 7 2 2 5 2 2 2 2 3" xfId="27249"/>
    <cellStyle name="Обычный 7 2 2 5 2 2 2 3" xfId="27250"/>
    <cellStyle name="Обычный 7 2 2 5 2 2 2 3 2" xfId="27251"/>
    <cellStyle name="Обычный 7 2 2 5 2 2 2 3 3" xfId="27252"/>
    <cellStyle name="Обычный 7 2 2 5 2 2 2 4" xfId="27253"/>
    <cellStyle name="Обычный 7 2 2 5 2 2 2 4 2" xfId="27254"/>
    <cellStyle name="Обычный 7 2 2 5 2 2 2 5" xfId="27255"/>
    <cellStyle name="Обычный 7 2 2 5 2 2 2 6" xfId="27256"/>
    <cellStyle name="Обычный 7 2 2 5 2 2 3" xfId="27257"/>
    <cellStyle name="Обычный 7 2 2 5 2 2 3 2" xfId="27258"/>
    <cellStyle name="Обычный 7 2 2 5 2 2 3 3" xfId="27259"/>
    <cellStyle name="Обычный 7 2 2 5 2 2 4" xfId="27260"/>
    <cellStyle name="Обычный 7 2 2 5 2 2 4 2" xfId="27261"/>
    <cellStyle name="Обычный 7 2 2 5 2 2 4 3" xfId="27262"/>
    <cellStyle name="Обычный 7 2 2 5 2 2 5" xfId="27263"/>
    <cellStyle name="Обычный 7 2 2 5 2 2 5 2" xfId="27264"/>
    <cellStyle name="Обычный 7 2 2 5 2 2 6" xfId="27265"/>
    <cellStyle name="Обычный 7 2 2 5 2 2 7" xfId="27266"/>
    <cellStyle name="Обычный 7 2 2 5 2 3" xfId="27267"/>
    <cellStyle name="Обычный 7 2 2 5 2 3 2" xfId="27268"/>
    <cellStyle name="Обычный 7 2 2 5 2 3 2 2" xfId="27269"/>
    <cellStyle name="Обычный 7 2 2 5 2 3 2 3" xfId="27270"/>
    <cellStyle name="Обычный 7 2 2 5 2 3 3" xfId="27271"/>
    <cellStyle name="Обычный 7 2 2 5 2 3 3 2" xfId="27272"/>
    <cellStyle name="Обычный 7 2 2 5 2 3 3 3" xfId="27273"/>
    <cellStyle name="Обычный 7 2 2 5 2 3 4" xfId="27274"/>
    <cellStyle name="Обычный 7 2 2 5 2 3 4 2" xfId="27275"/>
    <cellStyle name="Обычный 7 2 2 5 2 3 5" xfId="27276"/>
    <cellStyle name="Обычный 7 2 2 5 2 3 6" xfId="27277"/>
    <cellStyle name="Обычный 7 2 2 5 2 4" xfId="27278"/>
    <cellStyle name="Обычный 7 2 2 5 2 4 2" xfId="27279"/>
    <cellStyle name="Обычный 7 2 2 5 2 4 3" xfId="27280"/>
    <cellStyle name="Обычный 7 2 2 5 2 5" xfId="27281"/>
    <cellStyle name="Обычный 7 2 2 5 2 5 2" xfId="27282"/>
    <cellStyle name="Обычный 7 2 2 5 2 5 3" xfId="27283"/>
    <cellStyle name="Обычный 7 2 2 5 2 6" xfId="27284"/>
    <cellStyle name="Обычный 7 2 2 5 2 6 2" xfId="27285"/>
    <cellStyle name="Обычный 7 2 2 5 2 7" xfId="27286"/>
    <cellStyle name="Обычный 7 2 2 5 2 8" xfId="27287"/>
    <cellStyle name="Обычный 7 2 2 5 3" xfId="27288"/>
    <cellStyle name="Обычный 7 2 2 5 3 2" xfId="27289"/>
    <cellStyle name="Обычный 7 2 2 5 3 2 2" xfId="27290"/>
    <cellStyle name="Обычный 7 2 2 5 3 2 2 2" xfId="27291"/>
    <cellStyle name="Обычный 7 2 2 5 3 2 2 3" xfId="27292"/>
    <cellStyle name="Обычный 7 2 2 5 3 2 3" xfId="27293"/>
    <cellStyle name="Обычный 7 2 2 5 3 2 3 2" xfId="27294"/>
    <cellStyle name="Обычный 7 2 2 5 3 2 3 3" xfId="27295"/>
    <cellStyle name="Обычный 7 2 2 5 3 2 4" xfId="27296"/>
    <cellStyle name="Обычный 7 2 2 5 3 2 4 2" xfId="27297"/>
    <cellStyle name="Обычный 7 2 2 5 3 2 5" xfId="27298"/>
    <cellStyle name="Обычный 7 2 2 5 3 2 6" xfId="27299"/>
    <cellStyle name="Обычный 7 2 2 5 3 3" xfId="27300"/>
    <cellStyle name="Обычный 7 2 2 5 3 3 2" xfId="27301"/>
    <cellStyle name="Обычный 7 2 2 5 3 3 3" xfId="27302"/>
    <cellStyle name="Обычный 7 2 2 5 3 4" xfId="27303"/>
    <cellStyle name="Обычный 7 2 2 5 3 4 2" xfId="27304"/>
    <cellStyle name="Обычный 7 2 2 5 3 4 3" xfId="27305"/>
    <cellStyle name="Обычный 7 2 2 5 3 5" xfId="27306"/>
    <cellStyle name="Обычный 7 2 2 5 3 5 2" xfId="27307"/>
    <cellStyle name="Обычный 7 2 2 5 3 6" xfId="27308"/>
    <cellStyle name="Обычный 7 2 2 5 3 7" xfId="27309"/>
    <cellStyle name="Обычный 7 2 2 5 4" xfId="27310"/>
    <cellStyle name="Обычный 7 2 2 5 4 2" xfId="27311"/>
    <cellStyle name="Обычный 7 2 2 5 4 2 2" xfId="27312"/>
    <cellStyle name="Обычный 7 2 2 5 4 2 3" xfId="27313"/>
    <cellStyle name="Обычный 7 2 2 5 4 3" xfId="27314"/>
    <cellStyle name="Обычный 7 2 2 5 4 3 2" xfId="27315"/>
    <cellStyle name="Обычный 7 2 2 5 4 3 3" xfId="27316"/>
    <cellStyle name="Обычный 7 2 2 5 4 4" xfId="27317"/>
    <cellStyle name="Обычный 7 2 2 5 4 4 2" xfId="27318"/>
    <cellStyle name="Обычный 7 2 2 5 4 5" xfId="27319"/>
    <cellStyle name="Обычный 7 2 2 5 4 6" xfId="27320"/>
    <cellStyle name="Обычный 7 2 2 5 5" xfId="27321"/>
    <cellStyle name="Обычный 7 2 2 5 5 2" xfId="27322"/>
    <cellStyle name="Обычный 7 2 2 5 5 3" xfId="27323"/>
    <cellStyle name="Обычный 7 2 2 5 6" xfId="27324"/>
    <cellStyle name="Обычный 7 2 2 5 6 2" xfId="27325"/>
    <cellStyle name="Обычный 7 2 2 5 6 3" xfId="27326"/>
    <cellStyle name="Обычный 7 2 2 5 7" xfId="27327"/>
    <cellStyle name="Обычный 7 2 2 5 7 2" xfId="27328"/>
    <cellStyle name="Обычный 7 2 2 5 8" xfId="27329"/>
    <cellStyle name="Обычный 7 2 2 5 9" xfId="27330"/>
    <cellStyle name="Обычный 7 2 2 6" xfId="27331"/>
    <cellStyle name="Обычный 7 2 2 6 2" xfId="27332"/>
    <cellStyle name="Обычный 7 2 2 6 2 2" xfId="27333"/>
    <cellStyle name="Обычный 7 2 2 6 2 2 2" xfId="27334"/>
    <cellStyle name="Обычный 7 2 2 6 2 2 2 2" xfId="27335"/>
    <cellStyle name="Обычный 7 2 2 6 2 2 2 3" xfId="27336"/>
    <cellStyle name="Обычный 7 2 2 6 2 2 3" xfId="27337"/>
    <cellStyle name="Обычный 7 2 2 6 2 2 3 2" xfId="27338"/>
    <cellStyle name="Обычный 7 2 2 6 2 2 3 3" xfId="27339"/>
    <cellStyle name="Обычный 7 2 2 6 2 2 4" xfId="27340"/>
    <cellStyle name="Обычный 7 2 2 6 2 2 4 2" xfId="27341"/>
    <cellStyle name="Обычный 7 2 2 6 2 2 5" xfId="27342"/>
    <cellStyle name="Обычный 7 2 2 6 2 2 6" xfId="27343"/>
    <cellStyle name="Обычный 7 2 2 6 2 3" xfId="27344"/>
    <cellStyle name="Обычный 7 2 2 6 2 3 2" xfId="27345"/>
    <cellStyle name="Обычный 7 2 2 6 2 3 3" xfId="27346"/>
    <cellStyle name="Обычный 7 2 2 6 2 4" xfId="27347"/>
    <cellStyle name="Обычный 7 2 2 6 2 4 2" xfId="27348"/>
    <cellStyle name="Обычный 7 2 2 6 2 4 3" xfId="27349"/>
    <cellStyle name="Обычный 7 2 2 6 2 5" xfId="27350"/>
    <cellStyle name="Обычный 7 2 2 6 2 5 2" xfId="27351"/>
    <cellStyle name="Обычный 7 2 2 6 2 6" xfId="27352"/>
    <cellStyle name="Обычный 7 2 2 6 2 7" xfId="27353"/>
    <cellStyle name="Обычный 7 2 2 6 3" xfId="27354"/>
    <cellStyle name="Обычный 7 2 2 6 3 2" xfId="27355"/>
    <cellStyle name="Обычный 7 2 2 6 3 2 2" xfId="27356"/>
    <cellStyle name="Обычный 7 2 2 6 3 2 3" xfId="27357"/>
    <cellStyle name="Обычный 7 2 2 6 3 3" xfId="27358"/>
    <cellStyle name="Обычный 7 2 2 6 3 3 2" xfId="27359"/>
    <cellStyle name="Обычный 7 2 2 6 3 3 3" xfId="27360"/>
    <cellStyle name="Обычный 7 2 2 6 3 4" xfId="27361"/>
    <cellStyle name="Обычный 7 2 2 6 3 4 2" xfId="27362"/>
    <cellStyle name="Обычный 7 2 2 6 3 5" xfId="27363"/>
    <cellStyle name="Обычный 7 2 2 6 3 6" xfId="27364"/>
    <cellStyle name="Обычный 7 2 2 6 4" xfId="27365"/>
    <cellStyle name="Обычный 7 2 2 6 4 2" xfId="27366"/>
    <cellStyle name="Обычный 7 2 2 6 4 3" xfId="27367"/>
    <cellStyle name="Обычный 7 2 2 6 5" xfId="27368"/>
    <cellStyle name="Обычный 7 2 2 6 5 2" xfId="27369"/>
    <cellStyle name="Обычный 7 2 2 6 5 3" xfId="27370"/>
    <cellStyle name="Обычный 7 2 2 6 6" xfId="27371"/>
    <cellStyle name="Обычный 7 2 2 6 6 2" xfId="27372"/>
    <cellStyle name="Обычный 7 2 2 6 7" xfId="27373"/>
    <cellStyle name="Обычный 7 2 2 6 8" xfId="27374"/>
    <cellStyle name="Обычный 7 2 2 7" xfId="27375"/>
    <cellStyle name="Обычный 7 2 2 7 2" xfId="27376"/>
    <cellStyle name="Обычный 7 2 2 7 2 2" xfId="27377"/>
    <cellStyle name="Обычный 7 2 2 7 2 2 2" xfId="27378"/>
    <cellStyle name="Обычный 7 2 2 7 2 2 3" xfId="27379"/>
    <cellStyle name="Обычный 7 2 2 7 2 3" xfId="27380"/>
    <cellStyle name="Обычный 7 2 2 7 2 3 2" xfId="27381"/>
    <cellStyle name="Обычный 7 2 2 7 2 3 3" xfId="27382"/>
    <cellStyle name="Обычный 7 2 2 7 2 4" xfId="27383"/>
    <cellStyle name="Обычный 7 2 2 7 2 4 2" xfId="27384"/>
    <cellStyle name="Обычный 7 2 2 7 2 5" xfId="27385"/>
    <cellStyle name="Обычный 7 2 2 7 2 6" xfId="27386"/>
    <cellStyle name="Обычный 7 2 2 7 3" xfId="27387"/>
    <cellStyle name="Обычный 7 2 2 7 3 2" xfId="27388"/>
    <cellStyle name="Обычный 7 2 2 7 3 3" xfId="27389"/>
    <cellStyle name="Обычный 7 2 2 7 4" xfId="27390"/>
    <cellStyle name="Обычный 7 2 2 7 4 2" xfId="27391"/>
    <cellStyle name="Обычный 7 2 2 7 4 3" xfId="27392"/>
    <cellStyle name="Обычный 7 2 2 7 5" xfId="27393"/>
    <cellStyle name="Обычный 7 2 2 7 5 2" xfId="27394"/>
    <cellStyle name="Обычный 7 2 2 7 6" xfId="27395"/>
    <cellStyle name="Обычный 7 2 2 7 7" xfId="27396"/>
    <cellStyle name="Обычный 7 2 2 8" xfId="27397"/>
    <cellStyle name="Обычный 7 2 2 8 2" xfId="27398"/>
    <cellStyle name="Обычный 7 2 2 8 2 2" xfId="27399"/>
    <cellStyle name="Обычный 7 2 2 8 2 3" xfId="27400"/>
    <cellStyle name="Обычный 7 2 2 8 3" xfId="27401"/>
    <cellStyle name="Обычный 7 2 2 8 3 2" xfId="27402"/>
    <cellStyle name="Обычный 7 2 2 8 3 3" xfId="27403"/>
    <cellStyle name="Обычный 7 2 2 8 4" xfId="27404"/>
    <cellStyle name="Обычный 7 2 2 8 4 2" xfId="27405"/>
    <cellStyle name="Обычный 7 2 2 8 5" xfId="27406"/>
    <cellStyle name="Обычный 7 2 2 8 6" xfId="27407"/>
    <cellStyle name="Обычный 7 2 2 9" xfId="27408"/>
    <cellStyle name="Обычный 7 2 2 9 2" xfId="27409"/>
    <cellStyle name="Обычный 7 2 2 9 3" xfId="27410"/>
    <cellStyle name="Обычный 7 2 3" xfId="27411"/>
    <cellStyle name="Обычный 7 2 3 10" xfId="27412"/>
    <cellStyle name="Обычный 7 2 3 2" xfId="27413"/>
    <cellStyle name="Обычный 7 2 3 2 2" xfId="27414"/>
    <cellStyle name="Обычный 7 2 3 2 2 2" xfId="27415"/>
    <cellStyle name="Обычный 7 2 3 2 2 2 2" xfId="27416"/>
    <cellStyle name="Обычный 7 2 3 2 2 2 2 2" xfId="27417"/>
    <cellStyle name="Обычный 7 2 3 2 2 2 2 2 2" xfId="27418"/>
    <cellStyle name="Обычный 7 2 3 2 2 2 2 2 3" xfId="27419"/>
    <cellStyle name="Обычный 7 2 3 2 2 2 2 3" xfId="27420"/>
    <cellStyle name="Обычный 7 2 3 2 2 2 2 3 2" xfId="27421"/>
    <cellStyle name="Обычный 7 2 3 2 2 2 2 3 3" xfId="27422"/>
    <cellStyle name="Обычный 7 2 3 2 2 2 2 4" xfId="27423"/>
    <cellStyle name="Обычный 7 2 3 2 2 2 2 4 2" xfId="27424"/>
    <cellStyle name="Обычный 7 2 3 2 2 2 2 5" xfId="27425"/>
    <cellStyle name="Обычный 7 2 3 2 2 2 2 6" xfId="27426"/>
    <cellStyle name="Обычный 7 2 3 2 2 2 3" xfId="27427"/>
    <cellStyle name="Обычный 7 2 3 2 2 2 3 2" xfId="27428"/>
    <cellStyle name="Обычный 7 2 3 2 2 2 3 3" xfId="27429"/>
    <cellStyle name="Обычный 7 2 3 2 2 2 4" xfId="27430"/>
    <cellStyle name="Обычный 7 2 3 2 2 2 4 2" xfId="27431"/>
    <cellStyle name="Обычный 7 2 3 2 2 2 4 3" xfId="27432"/>
    <cellStyle name="Обычный 7 2 3 2 2 2 5" xfId="27433"/>
    <cellStyle name="Обычный 7 2 3 2 2 2 5 2" xfId="27434"/>
    <cellStyle name="Обычный 7 2 3 2 2 2 6" xfId="27435"/>
    <cellStyle name="Обычный 7 2 3 2 2 2 7" xfId="27436"/>
    <cellStyle name="Обычный 7 2 3 2 2 3" xfId="27437"/>
    <cellStyle name="Обычный 7 2 3 2 2 3 2" xfId="27438"/>
    <cellStyle name="Обычный 7 2 3 2 2 3 2 2" xfId="27439"/>
    <cellStyle name="Обычный 7 2 3 2 2 3 2 3" xfId="27440"/>
    <cellStyle name="Обычный 7 2 3 2 2 3 3" xfId="27441"/>
    <cellStyle name="Обычный 7 2 3 2 2 3 3 2" xfId="27442"/>
    <cellStyle name="Обычный 7 2 3 2 2 3 3 3" xfId="27443"/>
    <cellStyle name="Обычный 7 2 3 2 2 3 4" xfId="27444"/>
    <cellStyle name="Обычный 7 2 3 2 2 3 4 2" xfId="27445"/>
    <cellStyle name="Обычный 7 2 3 2 2 3 5" xfId="27446"/>
    <cellStyle name="Обычный 7 2 3 2 2 3 6" xfId="27447"/>
    <cellStyle name="Обычный 7 2 3 2 2 4" xfId="27448"/>
    <cellStyle name="Обычный 7 2 3 2 2 4 2" xfId="27449"/>
    <cellStyle name="Обычный 7 2 3 2 2 4 3" xfId="27450"/>
    <cellStyle name="Обычный 7 2 3 2 2 5" xfId="27451"/>
    <cellStyle name="Обычный 7 2 3 2 2 5 2" xfId="27452"/>
    <cellStyle name="Обычный 7 2 3 2 2 5 3" xfId="27453"/>
    <cellStyle name="Обычный 7 2 3 2 2 6" xfId="27454"/>
    <cellStyle name="Обычный 7 2 3 2 2 6 2" xfId="27455"/>
    <cellStyle name="Обычный 7 2 3 2 2 7" xfId="27456"/>
    <cellStyle name="Обычный 7 2 3 2 2 8" xfId="27457"/>
    <cellStyle name="Обычный 7 2 3 2 3" xfId="27458"/>
    <cellStyle name="Обычный 7 2 3 2 3 2" xfId="27459"/>
    <cellStyle name="Обычный 7 2 3 2 3 2 2" xfId="27460"/>
    <cellStyle name="Обычный 7 2 3 2 3 2 2 2" xfId="27461"/>
    <cellStyle name="Обычный 7 2 3 2 3 2 2 3" xfId="27462"/>
    <cellStyle name="Обычный 7 2 3 2 3 2 3" xfId="27463"/>
    <cellStyle name="Обычный 7 2 3 2 3 2 3 2" xfId="27464"/>
    <cellStyle name="Обычный 7 2 3 2 3 2 3 3" xfId="27465"/>
    <cellStyle name="Обычный 7 2 3 2 3 2 4" xfId="27466"/>
    <cellStyle name="Обычный 7 2 3 2 3 2 4 2" xfId="27467"/>
    <cellStyle name="Обычный 7 2 3 2 3 2 5" xfId="27468"/>
    <cellStyle name="Обычный 7 2 3 2 3 2 6" xfId="27469"/>
    <cellStyle name="Обычный 7 2 3 2 3 3" xfId="27470"/>
    <cellStyle name="Обычный 7 2 3 2 3 3 2" xfId="27471"/>
    <cellStyle name="Обычный 7 2 3 2 3 3 3" xfId="27472"/>
    <cellStyle name="Обычный 7 2 3 2 3 4" xfId="27473"/>
    <cellStyle name="Обычный 7 2 3 2 3 4 2" xfId="27474"/>
    <cellStyle name="Обычный 7 2 3 2 3 4 3" xfId="27475"/>
    <cellStyle name="Обычный 7 2 3 2 3 5" xfId="27476"/>
    <cellStyle name="Обычный 7 2 3 2 3 5 2" xfId="27477"/>
    <cellStyle name="Обычный 7 2 3 2 3 6" xfId="27478"/>
    <cellStyle name="Обычный 7 2 3 2 3 7" xfId="27479"/>
    <cellStyle name="Обычный 7 2 3 2 4" xfId="27480"/>
    <cellStyle name="Обычный 7 2 3 2 4 2" xfId="27481"/>
    <cellStyle name="Обычный 7 2 3 2 4 2 2" xfId="27482"/>
    <cellStyle name="Обычный 7 2 3 2 4 2 3" xfId="27483"/>
    <cellStyle name="Обычный 7 2 3 2 4 3" xfId="27484"/>
    <cellStyle name="Обычный 7 2 3 2 4 3 2" xfId="27485"/>
    <cellStyle name="Обычный 7 2 3 2 4 3 3" xfId="27486"/>
    <cellStyle name="Обычный 7 2 3 2 4 4" xfId="27487"/>
    <cellStyle name="Обычный 7 2 3 2 4 4 2" xfId="27488"/>
    <cellStyle name="Обычный 7 2 3 2 4 5" xfId="27489"/>
    <cellStyle name="Обычный 7 2 3 2 4 6" xfId="27490"/>
    <cellStyle name="Обычный 7 2 3 2 5" xfId="27491"/>
    <cellStyle name="Обычный 7 2 3 2 5 2" xfId="27492"/>
    <cellStyle name="Обычный 7 2 3 2 5 3" xfId="27493"/>
    <cellStyle name="Обычный 7 2 3 2 6" xfId="27494"/>
    <cellStyle name="Обычный 7 2 3 2 6 2" xfId="27495"/>
    <cellStyle name="Обычный 7 2 3 2 6 3" xfId="27496"/>
    <cellStyle name="Обычный 7 2 3 2 7" xfId="27497"/>
    <cellStyle name="Обычный 7 2 3 2 7 2" xfId="27498"/>
    <cellStyle name="Обычный 7 2 3 2 8" xfId="27499"/>
    <cellStyle name="Обычный 7 2 3 2 9" xfId="27500"/>
    <cellStyle name="Обычный 7 2 3 3" xfId="27501"/>
    <cellStyle name="Обычный 7 2 3 3 2" xfId="27502"/>
    <cellStyle name="Обычный 7 2 3 3 2 2" xfId="27503"/>
    <cellStyle name="Обычный 7 2 3 3 2 2 2" xfId="27504"/>
    <cellStyle name="Обычный 7 2 3 3 2 2 2 2" xfId="27505"/>
    <cellStyle name="Обычный 7 2 3 3 2 2 2 3" xfId="27506"/>
    <cellStyle name="Обычный 7 2 3 3 2 2 3" xfId="27507"/>
    <cellStyle name="Обычный 7 2 3 3 2 2 3 2" xfId="27508"/>
    <cellStyle name="Обычный 7 2 3 3 2 2 3 3" xfId="27509"/>
    <cellStyle name="Обычный 7 2 3 3 2 2 4" xfId="27510"/>
    <cellStyle name="Обычный 7 2 3 3 2 2 4 2" xfId="27511"/>
    <cellStyle name="Обычный 7 2 3 3 2 2 5" xfId="27512"/>
    <cellStyle name="Обычный 7 2 3 3 2 2 6" xfId="27513"/>
    <cellStyle name="Обычный 7 2 3 3 2 3" xfId="27514"/>
    <cellStyle name="Обычный 7 2 3 3 2 3 2" xfId="27515"/>
    <cellStyle name="Обычный 7 2 3 3 2 3 3" xfId="27516"/>
    <cellStyle name="Обычный 7 2 3 3 2 4" xfId="27517"/>
    <cellStyle name="Обычный 7 2 3 3 2 4 2" xfId="27518"/>
    <cellStyle name="Обычный 7 2 3 3 2 4 3" xfId="27519"/>
    <cellStyle name="Обычный 7 2 3 3 2 5" xfId="27520"/>
    <cellStyle name="Обычный 7 2 3 3 2 5 2" xfId="27521"/>
    <cellStyle name="Обычный 7 2 3 3 2 6" xfId="27522"/>
    <cellStyle name="Обычный 7 2 3 3 2 7" xfId="27523"/>
    <cellStyle name="Обычный 7 2 3 3 3" xfId="27524"/>
    <cellStyle name="Обычный 7 2 3 3 3 2" xfId="27525"/>
    <cellStyle name="Обычный 7 2 3 3 3 2 2" xfId="27526"/>
    <cellStyle name="Обычный 7 2 3 3 3 2 3" xfId="27527"/>
    <cellStyle name="Обычный 7 2 3 3 3 3" xfId="27528"/>
    <cellStyle name="Обычный 7 2 3 3 3 3 2" xfId="27529"/>
    <cellStyle name="Обычный 7 2 3 3 3 3 3" xfId="27530"/>
    <cellStyle name="Обычный 7 2 3 3 3 4" xfId="27531"/>
    <cellStyle name="Обычный 7 2 3 3 3 4 2" xfId="27532"/>
    <cellStyle name="Обычный 7 2 3 3 3 5" xfId="27533"/>
    <cellStyle name="Обычный 7 2 3 3 3 6" xfId="27534"/>
    <cellStyle name="Обычный 7 2 3 3 4" xfId="27535"/>
    <cellStyle name="Обычный 7 2 3 3 4 2" xfId="27536"/>
    <cellStyle name="Обычный 7 2 3 3 4 3" xfId="27537"/>
    <cellStyle name="Обычный 7 2 3 3 5" xfId="27538"/>
    <cellStyle name="Обычный 7 2 3 3 5 2" xfId="27539"/>
    <cellStyle name="Обычный 7 2 3 3 5 3" xfId="27540"/>
    <cellStyle name="Обычный 7 2 3 3 6" xfId="27541"/>
    <cellStyle name="Обычный 7 2 3 3 6 2" xfId="27542"/>
    <cellStyle name="Обычный 7 2 3 3 7" xfId="27543"/>
    <cellStyle name="Обычный 7 2 3 3 8" xfId="27544"/>
    <cellStyle name="Обычный 7 2 3 4" xfId="27545"/>
    <cellStyle name="Обычный 7 2 3 4 2" xfId="27546"/>
    <cellStyle name="Обычный 7 2 3 4 2 2" xfId="27547"/>
    <cellStyle name="Обычный 7 2 3 4 2 2 2" xfId="27548"/>
    <cellStyle name="Обычный 7 2 3 4 2 2 3" xfId="27549"/>
    <cellStyle name="Обычный 7 2 3 4 2 3" xfId="27550"/>
    <cellStyle name="Обычный 7 2 3 4 2 3 2" xfId="27551"/>
    <cellStyle name="Обычный 7 2 3 4 2 3 3" xfId="27552"/>
    <cellStyle name="Обычный 7 2 3 4 2 4" xfId="27553"/>
    <cellStyle name="Обычный 7 2 3 4 2 4 2" xfId="27554"/>
    <cellStyle name="Обычный 7 2 3 4 2 5" xfId="27555"/>
    <cellStyle name="Обычный 7 2 3 4 2 6" xfId="27556"/>
    <cellStyle name="Обычный 7 2 3 4 3" xfId="27557"/>
    <cellStyle name="Обычный 7 2 3 4 3 2" xfId="27558"/>
    <cellStyle name="Обычный 7 2 3 4 3 3" xfId="27559"/>
    <cellStyle name="Обычный 7 2 3 4 4" xfId="27560"/>
    <cellStyle name="Обычный 7 2 3 4 4 2" xfId="27561"/>
    <cellStyle name="Обычный 7 2 3 4 4 3" xfId="27562"/>
    <cellStyle name="Обычный 7 2 3 4 5" xfId="27563"/>
    <cellStyle name="Обычный 7 2 3 4 5 2" xfId="27564"/>
    <cellStyle name="Обычный 7 2 3 4 6" xfId="27565"/>
    <cellStyle name="Обычный 7 2 3 4 7" xfId="27566"/>
    <cellStyle name="Обычный 7 2 3 5" xfId="27567"/>
    <cellStyle name="Обычный 7 2 3 5 2" xfId="27568"/>
    <cellStyle name="Обычный 7 2 3 5 2 2" xfId="27569"/>
    <cellStyle name="Обычный 7 2 3 5 2 3" xfId="27570"/>
    <cellStyle name="Обычный 7 2 3 5 3" xfId="27571"/>
    <cellStyle name="Обычный 7 2 3 5 3 2" xfId="27572"/>
    <cellStyle name="Обычный 7 2 3 5 3 3" xfId="27573"/>
    <cellStyle name="Обычный 7 2 3 5 4" xfId="27574"/>
    <cellStyle name="Обычный 7 2 3 5 4 2" xfId="27575"/>
    <cellStyle name="Обычный 7 2 3 5 5" xfId="27576"/>
    <cellStyle name="Обычный 7 2 3 5 6" xfId="27577"/>
    <cellStyle name="Обычный 7 2 3 6" xfId="27578"/>
    <cellStyle name="Обычный 7 2 3 6 2" xfId="27579"/>
    <cellStyle name="Обычный 7 2 3 6 3" xfId="27580"/>
    <cellStyle name="Обычный 7 2 3 7" xfId="27581"/>
    <cellStyle name="Обычный 7 2 3 7 2" xfId="27582"/>
    <cellStyle name="Обычный 7 2 3 7 3" xfId="27583"/>
    <cellStyle name="Обычный 7 2 3 8" xfId="27584"/>
    <cellStyle name="Обычный 7 2 3 8 2" xfId="27585"/>
    <cellStyle name="Обычный 7 2 3 9" xfId="27586"/>
    <cellStyle name="Обычный 7 2 4" xfId="27587"/>
    <cellStyle name="Обычный 7 2 4 10" xfId="27588"/>
    <cellStyle name="Обычный 7 2 4 2" xfId="27589"/>
    <cellStyle name="Обычный 7 2 4 2 2" xfId="27590"/>
    <cellStyle name="Обычный 7 2 4 2 2 2" xfId="27591"/>
    <cellStyle name="Обычный 7 2 4 2 2 2 2" xfId="27592"/>
    <cellStyle name="Обычный 7 2 4 2 2 2 2 2" xfId="27593"/>
    <cellStyle name="Обычный 7 2 4 2 2 2 2 2 2" xfId="27594"/>
    <cellStyle name="Обычный 7 2 4 2 2 2 2 2 3" xfId="27595"/>
    <cellStyle name="Обычный 7 2 4 2 2 2 2 3" xfId="27596"/>
    <cellStyle name="Обычный 7 2 4 2 2 2 2 3 2" xfId="27597"/>
    <cellStyle name="Обычный 7 2 4 2 2 2 2 3 3" xfId="27598"/>
    <cellStyle name="Обычный 7 2 4 2 2 2 2 4" xfId="27599"/>
    <cellStyle name="Обычный 7 2 4 2 2 2 2 4 2" xfId="27600"/>
    <cellStyle name="Обычный 7 2 4 2 2 2 2 5" xfId="27601"/>
    <cellStyle name="Обычный 7 2 4 2 2 2 2 6" xfId="27602"/>
    <cellStyle name="Обычный 7 2 4 2 2 2 3" xfId="27603"/>
    <cellStyle name="Обычный 7 2 4 2 2 2 3 2" xfId="27604"/>
    <cellStyle name="Обычный 7 2 4 2 2 2 3 3" xfId="27605"/>
    <cellStyle name="Обычный 7 2 4 2 2 2 4" xfId="27606"/>
    <cellStyle name="Обычный 7 2 4 2 2 2 4 2" xfId="27607"/>
    <cellStyle name="Обычный 7 2 4 2 2 2 4 3" xfId="27608"/>
    <cellStyle name="Обычный 7 2 4 2 2 2 5" xfId="27609"/>
    <cellStyle name="Обычный 7 2 4 2 2 2 5 2" xfId="27610"/>
    <cellStyle name="Обычный 7 2 4 2 2 2 6" xfId="27611"/>
    <cellStyle name="Обычный 7 2 4 2 2 2 7" xfId="27612"/>
    <cellStyle name="Обычный 7 2 4 2 2 3" xfId="27613"/>
    <cellStyle name="Обычный 7 2 4 2 2 3 2" xfId="27614"/>
    <cellStyle name="Обычный 7 2 4 2 2 3 2 2" xfId="27615"/>
    <cellStyle name="Обычный 7 2 4 2 2 3 2 3" xfId="27616"/>
    <cellStyle name="Обычный 7 2 4 2 2 3 3" xfId="27617"/>
    <cellStyle name="Обычный 7 2 4 2 2 3 3 2" xfId="27618"/>
    <cellStyle name="Обычный 7 2 4 2 2 3 3 3" xfId="27619"/>
    <cellStyle name="Обычный 7 2 4 2 2 3 4" xfId="27620"/>
    <cellStyle name="Обычный 7 2 4 2 2 3 4 2" xfId="27621"/>
    <cellStyle name="Обычный 7 2 4 2 2 3 5" xfId="27622"/>
    <cellStyle name="Обычный 7 2 4 2 2 3 6" xfId="27623"/>
    <cellStyle name="Обычный 7 2 4 2 2 4" xfId="27624"/>
    <cellStyle name="Обычный 7 2 4 2 2 4 2" xfId="27625"/>
    <cellStyle name="Обычный 7 2 4 2 2 4 3" xfId="27626"/>
    <cellStyle name="Обычный 7 2 4 2 2 5" xfId="27627"/>
    <cellStyle name="Обычный 7 2 4 2 2 5 2" xfId="27628"/>
    <cellStyle name="Обычный 7 2 4 2 2 5 3" xfId="27629"/>
    <cellStyle name="Обычный 7 2 4 2 2 6" xfId="27630"/>
    <cellStyle name="Обычный 7 2 4 2 2 6 2" xfId="27631"/>
    <cellStyle name="Обычный 7 2 4 2 2 7" xfId="27632"/>
    <cellStyle name="Обычный 7 2 4 2 2 8" xfId="27633"/>
    <cellStyle name="Обычный 7 2 4 2 3" xfId="27634"/>
    <cellStyle name="Обычный 7 2 4 2 3 2" xfId="27635"/>
    <cellStyle name="Обычный 7 2 4 2 3 2 2" xfId="27636"/>
    <cellStyle name="Обычный 7 2 4 2 3 2 2 2" xfId="27637"/>
    <cellStyle name="Обычный 7 2 4 2 3 2 2 3" xfId="27638"/>
    <cellStyle name="Обычный 7 2 4 2 3 2 3" xfId="27639"/>
    <cellStyle name="Обычный 7 2 4 2 3 2 3 2" xfId="27640"/>
    <cellStyle name="Обычный 7 2 4 2 3 2 3 3" xfId="27641"/>
    <cellStyle name="Обычный 7 2 4 2 3 2 4" xfId="27642"/>
    <cellStyle name="Обычный 7 2 4 2 3 2 4 2" xfId="27643"/>
    <cellStyle name="Обычный 7 2 4 2 3 2 5" xfId="27644"/>
    <cellStyle name="Обычный 7 2 4 2 3 2 6" xfId="27645"/>
    <cellStyle name="Обычный 7 2 4 2 3 3" xfId="27646"/>
    <cellStyle name="Обычный 7 2 4 2 3 3 2" xfId="27647"/>
    <cellStyle name="Обычный 7 2 4 2 3 3 3" xfId="27648"/>
    <cellStyle name="Обычный 7 2 4 2 3 4" xfId="27649"/>
    <cellStyle name="Обычный 7 2 4 2 3 4 2" xfId="27650"/>
    <cellStyle name="Обычный 7 2 4 2 3 4 3" xfId="27651"/>
    <cellStyle name="Обычный 7 2 4 2 3 5" xfId="27652"/>
    <cellStyle name="Обычный 7 2 4 2 3 5 2" xfId="27653"/>
    <cellStyle name="Обычный 7 2 4 2 3 6" xfId="27654"/>
    <cellStyle name="Обычный 7 2 4 2 3 7" xfId="27655"/>
    <cellStyle name="Обычный 7 2 4 2 4" xfId="27656"/>
    <cellStyle name="Обычный 7 2 4 2 4 2" xfId="27657"/>
    <cellStyle name="Обычный 7 2 4 2 4 2 2" xfId="27658"/>
    <cellStyle name="Обычный 7 2 4 2 4 2 3" xfId="27659"/>
    <cellStyle name="Обычный 7 2 4 2 4 3" xfId="27660"/>
    <cellStyle name="Обычный 7 2 4 2 4 3 2" xfId="27661"/>
    <cellStyle name="Обычный 7 2 4 2 4 3 3" xfId="27662"/>
    <cellStyle name="Обычный 7 2 4 2 4 4" xfId="27663"/>
    <cellStyle name="Обычный 7 2 4 2 4 4 2" xfId="27664"/>
    <cellStyle name="Обычный 7 2 4 2 4 5" xfId="27665"/>
    <cellStyle name="Обычный 7 2 4 2 4 6" xfId="27666"/>
    <cellStyle name="Обычный 7 2 4 2 5" xfId="27667"/>
    <cellStyle name="Обычный 7 2 4 2 5 2" xfId="27668"/>
    <cellStyle name="Обычный 7 2 4 2 5 3" xfId="27669"/>
    <cellStyle name="Обычный 7 2 4 2 6" xfId="27670"/>
    <cellStyle name="Обычный 7 2 4 2 6 2" xfId="27671"/>
    <cellStyle name="Обычный 7 2 4 2 6 3" xfId="27672"/>
    <cellStyle name="Обычный 7 2 4 2 7" xfId="27673"/>
    <cellStyle name="Обычный 7 2 4 2 7 2" xfId="27674"/>
    <cellStyle name="Обычный 7 2 4 2 8" xfId="27675"/>
    <cellStyle name="Обычный 7 2 4 2 9" xfId="27676"/>
    <cellStyle name="Обычный 7 2 4 3" xfId="27677"/>
    <cellStyle name="Обычный 7 2 4 3 2" xfId="27678"/>
    <cellStyle name="Обычный 7 2 4 3 2 2" xfId="27679"/>
    <cellStyle name="Обычный 7 2 4 3 2 2 2" xfId="27680"/>
    <cellStyle name="Обычный 7 2 4 3 2 2 2 2" xfId="27681"/>
    <cellStyle name="Обычный 7 2 4 3 2 2 2 3" xfId="27682"/>
    <cellStyle name="Обычный 7 2 4 3 2 2 3" xfId="27683"/>
    <cellStyle name="Обычный 7 2 4 3 2 2 3 2" xfId="27684"/>
    <cellStyle name="Обычный 7 2 4 3 2 2 3 3" xfId="27685"/>
    <cellStyle name="Обычный 7 2 4 3 2 2 4" xfId="27686"/>
    <cellStyle name="Обычный 7 2 4 3 2 2 4 2" xfId="27687"/>
    <cellStyle name="Обычный 7 2 4 3 2 2 5" xfId="27688"/>
    <cellStyle name="Обычный 7 2 4 3 2 2 6" xfId="27689"/>
    <cellStyle name="Обычный 7 2 4 3 2 3" xfId="27690"/>
    <cellStyle name="Обычный 7 2 4 3 2 3 2" xfId="27691"/>
    <cellStyle name="Обычный 7 2 4 3 2 3 3" xfId="27692"/>
    <cellStyle name="Обычный 7 2 4 3 2 4" xfId="27693"/>
    <cellStyle name="Обычный 7 2 4 3 2 4 2" xfId="27694"/>
    <cellStyle name="Обычный 7 2 4 3 2 4 3" xfId="27695"/>
    <cellStyle name="Обычный 7 2 4 3 2 5" xfId="27696"/>
    <cellStyle name="Обычный 7 2 4 3 2 5 2" xfId="27697"/>
    <cellStyle name="Обычный 7 2 4 3 2 6" xfId="27698"/>
    <cellStyle name="Обычный 7 2 4 3 2 7" xfId="27699"/>
    <cellStyle name="Обычный 7 2 4 3 3" xfId="27700"/>
    <cellStyle name="Обычный 7 2 4 3 3 2" xfId="27701"/>
    <cellStyle name="Обычный 7 2 4 3 3 2 2" xfId="27702"/>
    <cellStyle name="Обычный 7 2 4 3 3 2 3" xfId="27703"/>
    <cellStyle name="Обычный 7 2 4 3 3 3" xfId="27704"/>
    <cellStyle name="Обычный 7 2 4 3 3 3 2" xfId="27705"/>
    <cellStyle name="Обычный 7 2 4 3 3 3 3" xfId="27706"/>
    <cellStyle name="Обычный 7 2 4 3 3 4" xfId="27707"/>
    <cellStyle name="Обычный 7 2 4 3 3 4 2" xfId="27708"/>
    <cellStyle name="Обычный 7 2 4 3 3 5" xfId="27709"/>
    <cellStyle name="Обычный 7 2 4 3 3 6" xfId="27710"/>
    <cellStyle name="Обычный 7 2 4 3 4" xfId="27711"/>
    <cellStyle name="Обычный 7 2 4 3 4 2" xfId="27712"/>
    <cellStyle name="Обычный 7 2 4 3 4 3" xfId="27713"/>
    <cellStyle name="Обычный 7 2 4 3 5" xfId="27714"/>
    <cellStyle name="Обычный 7 2 4 3 5 2" xfId="27715"/>
    <cellStyle name="Обычный 7 2 4 3 5 3" xfId="27716"/>
    <cellStyle name="Обычный 7 2 4 3 6" xfId="27717"/>
    <cellStyle name="Обычный 7 2 4 3 6 2" xfId="27718"/>
    <cellStyle name="Обычный 7 2 4 3 7" xfId="27719"/>
    <cellStyle name="Обычный 7 2 4 3 8" xfId="27720"/>
    <cellStyle name="Обычный 7 2 4 4" xfId="27721"/>
    <cellStyle name="Обычный 7 2 4 4 2" xfId="27722"/>
    <cellStyle name="Обычный 7 2 4 4 2 2" xfId="27723"/>
    <cellStyle name="Обычный 7 2 4 4 2 2 2" xfId="27724"/>
    <cellStyle name="Обычный 7 2 4 4 2 2 3" xfId="27725"/>
    <cellStyle name="Обычный 7 2 4 4 2 3" xfId="27726"/>
    <cellStyle name="Обычный 7 2 4 4 2 3 2" xfId="27727"/>
    <cellStyle name="Обычный 7 2 4 4 2 3 3" xfId="27728"/>
    <cellStyle name="Обычный 7 2 4 4 2 4" xfId="27729"/>
    <cellStyle name="Обычный 7 2 4 4 2 4 2" xfId="27730"/>
    <cellStyle name="Обычный 7 2 4 4 2 5" xfId="27731"/>
    <cellStyle name="Обычный 7 2 4 4 2 6" xfId="27732"/>
    <cellStyle name="Обычный 7 2 4 4 3" xfId="27733"/>
    <cellStyle name="Обычный 7 2 4 4 3 2" xfId="27734"/>
    <cellStyle name="Обычный 7 2 4 4 3 3" xfId="27735"/>
    <cellStyle name="Обычный 7 2 4 4 4" xfId="27736"/>
    <cellStyle name="Обычный 7 2 4 4 4 2" xfId="27737"/>
    <cellStyle name="Обычный 7 2 4 4 4 3" xfId="27738"/>
    <cellStyle name="Обычный 7 2 4 4 5" xfId="27739"/>
    <cellStyle name="Обычный 7 2 4 4 5 2" xfId="27740"/>
    <cellStyle name="Обычный 7 2 4 4 6" xfId="27741"/>
    <cellStyle name="Обычный 7 2 4 4 7" xfId="27742"/>
    <cellStyle name="Обычный 7 2 4 5" xfId="27743"/>
    <cellStyle name="Обычный 7 2 4 5 2" xfId="27744"/>
    <cellStyle name="Обычный 7 2 4 5 2 2" xfId="27745"/>
    <cellStyle name="Обычный 7 2 4 5 2 3" xfId="27746"/>
    <cellStyle name="Обычный 7 2 4 5 3" xfId="27747"/>
    <cellStyle name="Обычный 7 2 4 5 3 2" xfId="27748"/>
    <cellStyle name="Обычный 7 2 4 5 3 3" xfId="27749"/>
    <cellStyle name="Обычный 7 2 4 5 4" xfId="27750"/>
    <cellStyle name="Обычный 7 2 4 5 4 2" xfId="27751"/>
    <cellStyle name="Обычный 7 2 4 5 5" xfId="27752"/>
    <cellStyle name="Обычный 7 2 4 5 6" xfId="27753"/>
    <cellStyle name="Обычный 7 2 4 6" xfId="27754"/>
    <cellStyle name="Обычный 7 2 4 6 2" xfId="27755"/>
    <cellStyle name="Обычный 7 2 4 6 3" xfId="27756"/>
    <cellStyle name="Обычный 7 2 4 7" xfId="27757"/>
    <cellStyle name="Обычный 7 2 4 7 2" xfId="27758"/>
    <cellStyle name="Обычный 7 2 4 7 3" xfId="27759"/>
    <cellStyle name="Обычный 7 2 4 8" xfId="27760"/>
    <cellStyle name="Обычный 7 2 4 8 2" xfId="27761"/>
    <cellStyle name="Обычный 7 2 4 9" xfId="27762"/>
    <cellStyle name="Обычный 7 2 5" xfId="27763"/>
    <cellStyle name="Обычный 7 2 5 10" xfId="27764"/>
    <cellStyle name="Обычный 7 2 5 2" xfId="27765"/>
    <cellStyle name="Обычный 7 2 5 2 2" xfId="27766"/>
    <cellStyle name="Обычный 7 2 5 2 2 2" xfId="27767"/>
    <cellStyle name="Обычный 7 2 5 2 2 2 2" xfId="27768"/>
    <cellStyle name="Обычный 7 2 5 2 2 2 2 2" xfId="27769"/>
    <cellStyle name="Обычный 7 2 5 2 2 2 2 2 2" xfId="27770"/>
    <cellStyle name="Обычный 7 2 5 2 2 2 2 2 3" xfId="27771"/>
    <cellStyle name="Обычный 7 2 5 2 2 2 2 3" xfId="27772"/>
    <cellStyle name="Обычный 7 2 5 2 2 2 2 3 2" xfId="27773"/>
    <cellStyle name="Обычный 7 2 5 2 2 2 2 3 3" xfId="27774"/>
    <cellStyle name="Обычный 7 2 5 2 2 2 2 4" xfId="27775"/>
    <cellStyle name="Обычный 7 2 5 2 2 2 2 4 2" xfId="27776"/>
    <cellStyle name="Обычный 7 2 5 2 2 2 2 5" xfId="27777"/>
    <cellStyle name="Обычный 7 2 5 2 2 2 2 6" xfId="27778"/>
    <cellStyle name="Обычный 7 2 5 2 2 2 3" xfId="27779"/>
    <cellStyle name="Обычный 7 2 5 2 2 2 3 2" xfId="27780"/>
    <cellStyle name="Обычный 7 2 5 2 2 2 3 3" xfId="27781"/>
    <cellStyle name="Обычный 7 2 5 2 2 2 4" xfId="27782"/>
    <cellStyle name="Обычный 7 2 5 2 2 2 4 2" xfId="27783"/>
    <cellStyle name="Обычный 7 2 5 2 2 2 4 3" xfId="27784"/>
    <cellStyle name="Обычный 7 2 5 2 2 2 5" xfId="27785"/>
    <cellStyle name="Обычный 7 2 5 2 2 2 5 2" xfId="27786"/>
    <cellStyle name="Обычный 7 2 5 2 2 2 6" xfId="27787"/>
    <cellStyle name="Обычный 7 2 5 2 2 2 7" xfId="27788"/>
    <cellStyle name="Обычный 7 2 5 2 2 3" xfId="27789"/>
    <cellStyle name="Обычный 7 2 5 2 2 3 2" xfId="27790"/>
    <cellStyle name="Обычный 7 2 5 2 2 3 2 2" xfId="27791"/>
    <cellStyle name="Обычный 7 2 5 2 2 3 2 3" xfId="27792"/>
    <cellStyle name="Обычный 7 2 5 2 2 3 3" xfId="27793"/>
    <cellStyle name="Обычный 7 2 5 2 2 3 3 2" xfId="27794"/>
    <cellStyle name="Обычный 7 2 5 2 2 3 3 3" xfId="27795"/>
    <cellStyle name="Обычный 7 2 5 2 2 3 4" xfId="27796"/>
    <cellStyle name="Обычный 7 2 5 2 2 3 4 2" xfId="27797"/>
    <cellStyle name="Обычный 7 2 5 2 2 3 5" xfId="27798"/>
    <cellStyle name="Обычный 7 2 5 2 2 3 6" xfId="27799"/>
    <cellStyle name="Обычный 7 2 5 2 2 4" xfId="27800"/>
    <cellStyle name="Обычный 7 2 5 2 2 4 2" xfId="27801"/>
    <cellStyle name="Обычный 7 2 5 2 2 4 3" xfId="27802"/>
    <cellStyle name="Обычный 7 2 5 2 2 5" xfId="27803"/>
    <cellStyle name="Обычный 7 2 5 2 2 5 2" xfId="27804"/>
    <cellStyle name="Обычный 7 2 5 2 2 5 3" xfId="27805"/>
    <cellStyle name="Обычный 7 2 5 2 2 6" xfId="27806"/>
    <cellStyle name="Обычный 7 2 5 2 2 6 2" xfId="27807"/>
    <cellStyle name="Обычный 7 2 5 2 2 7" xfId="27808"/>
    <cellStyle name="Обычный 7 2 5 2 2 8" xfId="27809"/>
    <cellStyle name="Обычный 7 2 5 2 3" xfId="27810"/>
    <cellStyle name="Обычный 7 2 5 2 3 2" xfId="27811"/>
    <cellStyle name="Обычный 7 2 5 2 3 2 2" xfId="27812"/>
    <cellStyle name="Обычный 7 2 5 2 3 2 2 2" xfId="27813"/>
    <cellStyle name="Обычный 7 2 5 2 3 2 2 3" xfId="27814"/>
    <cellStyle name="Обычный 7 2 5 2 3 2 3" xfId="27815"/>
    <cellStyle name="Обычный 7 2 5 2 3 2 3 2" xfId="27816"/>
    <cellStyle name="Обычный 7 2 5 2 3 2 3 3" xfId="27817"/>
    <cellStyle name="Обычный 7 2 5 2 3 2 4" xfId="27818"/>
    <cellStyle name="Обычный 7 2 5 2 3 2 4 2" xfId="27819"/>
    <cellStyle name="Обычный 7 2 5 2 3 2 5" xfId="27820"/>
    <cellStyle name="Обычный 7 2 5 2 3 2 6" xfId="27821"/>
    <cellStyle name="Обычный 7 2 5 2 3 3" xfId="27822"/>
    <cellStyle name="Обычный 7 2 5 2 3 3 2" xfId="27823"/>
    <cellStyle name="Обычный 7 2 5 2 3 3 3" xfId="27824"/>
    <cellStyle name="Обычный 7 2 5 2 3 4" xfId="27825"/>
    <cellStyle name="Обычный 7 2 5 2 3 4 2" xfId="27826"/>
    <cellStyle name="Обычный 7 2 5 2 3 4 3" xfId="27827"/>
    <cellStyle name="Обычный 7 2 5 2 3 5" xfId="27828"/>
    <cellStyle name="Обычный 7 2 5 2 3 5 2" xfId="27829"/>
    <cellStyle name="Обычный 7 2 5 2 3 6" xfId="27830"/>
    <cellStyle name="Обычный 7 2 5 2 3 7" xfId="27831"/>
    <cellStyle name="Обычный 7 2 5 2 4" xfId="27832"/>
    <cellStyle name="Обычный 7 2 5 2 4 2" xfId="27833"/>
    <cellStyle name="Обычный 7 2 5 2 4 2 2" xfId="27834"/>
    <cellStyle name="Обычный 7 2 5 2 4 2 3" xfId="27835"/>
    <cellStyle name="Обычный 7 2 5 2 4 3" xfId="27836"/>
    <cellStyle name="Обычный 7 2 5 2 4 3 2" xfId="27837"/>
    <cellStyle name="Обычный 7 2 5 2 4 3 3" xfId="27838"/>
    <cellStyle name="Обычный 7 2 5 2 4 4" xfId="27839"/>
    <cellStyle name="Обычный 7 2 5 2 4 4 2" xfId="27840"/>
    <cellStyle name="Обычный 7 2 5 2 4 5" xfId="27841"/>
    <cellStyle name="Обычный 7 2 5 2 4 6" xfId="27842"/>
    <cellStyle name="Обычный 7 2 5 2 5" xfId="27843"/>
    <cellStyle name="Обычный 7 2 5 2 5 2" xfId="27844"/>
    <cellStyle name="Обычный 7 2 5 2 5 3" xfId="27845"/>
    <cellStyle name="Обычный 7 2 5 2 6" xfId="27846"/>
    <cellStyle name="Обычный 7 2 5 2 6 2" xfId="27847"/>
    <cellStyle name="Обычный 7 2 5 2 6 3" xfId="27848"/>
    <cellStyle name="Обычный 7 2 5 2 7" xfId="27849"/>
    <cellStyle name="Обычный 7 2 5 2 7 2" xfId="27850"/>
    <cellStyle name="Обычный 7 2 5 2 8" xfId="27851"/>
    <cellStyle name="Обычный 7 2 5 2 9" xfId="27852"/>
    <cellStyle name="Обычный 7 2 5 3" xfId="27853"/>
    <cellStyle name="Обычный 7 2 5 3 2" xfId="27854"/>
    <cellStyle name="Обычный 7 2 5 3 2 2" xfId="27855"/>
    <cellStyle name="Обычный 7 2 5 3 2 2 2" xfId="27856"/>
    <cellStyle name="Обычный 7 2 5 3 2 2 2 2" xfId="27857"/>
    <cellStyle name="Обычный 7 2 5 3 2 2 2 3" xfId="27858"/>
    <cellStyle name="Обычный 7 2 5 3 2 2 3" xfId="27859"/>
    <cellStyle name="Обычный 7 2 5 3 2 2 3 2" xfId="27860"/>
    <cellStyle name="Обычный 7 2 5 3 2 2 3 3" xfId="27861"/>
    <cellStyle name="Обычный 7 2 5 3 2 2 4" xfId="27862"/>
    <cellStyle name="Обычный 7 2 5 3 2 2 4 2" xfId="27863"/>
    <cellStyle name="Обычный 7 2 5 3 2 2 5" xfId="27864"/>
    <cellStyle name="Обычный 7 2 5 3 2 2 6" xfId="27865"/>
    <cellStyle name="Обычный 7 2 5 3 2 3" xfId="27866"/>
    <cellStyle name="Обычный 7 2 5 3 2 3 2" xfId="27867"/>
    <cellStyle name="Обычный 7 2 5 3 2 3 3" xfId="27868"/>
    <cellStyle name="Обычный 7 2 5 3 2 4" xfId="27869"/>
    <cellStyle name="Обычный 7 2 5 3 2 4 2" xfId="27870"/>
    <cellStyle name="Обычный 7 2 5 3 2 4 3" xfId="27871"/>
    <cellStyle name="Обычный 7 2 5 3 2 5" xfId="27872"/>
    <cellStyle name="Обычный 7 2 5 3 2 5 2" xfId="27873"/>
    <cellStyle name="Обычный 7 2 5 3 2 6" xfId="27874"/>
    <cellStyle name="Обычный 7 2 5 3 2 7" xfId="27875"/>
    <cellStyle name="Обычный 7 2 5 3 3" xfId="27876"/>
    <cellStyle name="Обычный 7 2 5 3 3 2" xfId="27877"/>
    <cellStyle name="Обычный 7 2 5 3 3 2 2" xfId="27878"/>
    <cellStyle name="Обычный 7 2 5 3 3 2 3" xfId="27879"/>
    <cellStyle name="Обычный 7 2 5 3 3 3" xfId="27880"/>
    <cellStyle name="Обычный 7 2 5 3 3 3 2" xfId="27881"/>
    <cellStyle name="Обычный 7 2 5 3 3 3 3" xfId="27882"/>
    <cellStyle name="Обычный 7 2 5 3 3 4" xfId="27883"/>
    <cellStyle name="Обычный 7 2 5 3 3 4 2" xfId="27884"/>
    <cellStyle name="Обычный 7 2 5 3 3 5" xfId="27885"/>
    <cellStyle name="Обычный 7 2 5 3 3 6" xfId="27886"/>
    <cellStyle name="Обычный 7 2 5 3 4" xfId="27887"/>
    <cellStyle name="Обычный 7 2 5 3 4 2" xfId="27888"/>
    <cellStyle name="Обычный 7 2 5 3 4 3" xfId="27889"/>
    <cellStyle name="Обычный 7 2 5 3 5" xfId="27890"/>
    <cellStyle name="Обычный 7 2 5 3 5 2" xfId="27891"/>
    <cellStyle name="Обычный 7 2 5 3 5 3" xfId="27892"/>
    <cellStyle name="Обычный 7 2 5 3 6" xfId="27893"/>
    <cellStyle name="Обычный 7 2 5 3 6 2" xfId="27894"/>
    <cellStyle name="Обычный 7 2 5 3 7" xfId="27895"/>
    <cellStyle name="Обычный 7 2 5 3 8" xfId="27896"/>
    <cellStyle name="Обычный 7 2 5 4" xfId="27897"/>
    <cellStyle name="Обычный 7 2 5 4 2" xfId="27898"/>
    <cellStyle name="Обычный 7 2 5 4 2 2" xfId="27899"/>
    <cellStyle name="Обычный 7 2 5 4 2 2 2" xfId="27900"/>
    <cellStyle name="Обычный 7 2 5 4 2 2 3" xfId="27901"/>
    <cellStyle name="Обычный 7 2 5 4 2 3" xfId="27902"/>
    <cellStyle name="Обычный 7 2 5 4 2 3 2" xfId="27903"/>
    <cellStyle name="Обычный 7 2 5 4 2 3 3" xfId="27904"/>
    <cellStyle name="Обычный 7 2 5 4 2 4" xfId="27905"/>
    <cellStyle name="Обычный 7 2 5 4 2 4 2" xfId="27906"/>
    <cellStyle name="Обычный 7 2 5 4 2 5" xfId="27907"/>
    <cellStyle name="Обычный 7 2 5 4 2 6" xfId="27908"/>
    <cellStyle name="Обычный 7 2 5 4 3" xfId="27909"/>
    <cellStyle name="Обычный 7 2 5 4 3 2" xfId="27910"/>
    <cellStyle name="Обычный 7 2 5 4 3 3" xfId="27911"/>
    <cellStyle name="Обычный 7 2 5 4 4" xfId="27912"/>
    <cellStyle name="Обычный 7 2 5 4 4 2" xfId="27913"/>
    <cellStyle name="Обычный 7 2 5 4 4 3" xfId="27914"/>
    <cellStyle name="Обычный 7 2 5 4 5" xfId="27915"/>
    <cellStyle name="Обычный 7 2 5 4 5 2" xfId="27916"/>
    <cellStyle name="Обычный 7 2 5 4 6" xfId="27917"/>
    <cellStyle name="Обычный 7 2 5 4 7" xfId="27918"/>
    <cellStyle name="Обычный 7 2 5 5" xfId="27919"/>
    <cellStyle name="Обычный 7 2 5 5 2" xfId="27920"/>
    <cellStyle name="Обычный 7 2 5 5 2 2" xfId="27921"/>
    <cellStyle name="Обычный 7 2 5 5 2 3" xfId="27922"/>
    <cellStyle name="Обычный 7 2 5 5 3" xfId="27923"/>
    <cellStyle name="Обычный 7 2 5 5 3 2" xfId="27924"/>
    <cellStyle name="Обычный 7 2 5 5 3 3" xfId="27925"/>
    <cellStyle name="Обычный 7 2 5 5 4" xfId="27926"/>
    <cellStyle name="Обычный 7 2 5 5 4 2" xfId="27927"/>
    <cellStyle name="Обычный 7 2 5 5 5" xfId="27928"/>
    <cellStyle name="Обычный 7 2 5 5 6" xfId="27929"/>
    <cellStyle name="Обычный 7 2 5 6" xfId="27930"/>
    <cellStyle name="Обычный 7 2 5 6 2" xfId="27931"/>
    <cellStyle name="Обычный 7 2 5 6 3" xfId="27932"/>
    <cellStyle name="Обычный 7 2 5 7" xfId="27933"/>
    <cellStyle name="Обычный 7 2 5 7 2" xfId="27934"/>
    <cellStyle name="Обычный 7 2 5 7 3" xfId="27935"/>
    <cellStyle name="Обычный 7 2 5 8" xfId="27936"/>
    <cellStyle name="Обычный 7 2 5 8 2" xfId="27937"/>
    <cellStyle name="Обычный 7 2 5 9" xfId="27938"/>
    <cellStyle name="Обычный 7 2 6" xfId="27939"/>
    <cellStyle name="Обычный 7 2 6 2" xfId="27940"/>
    <cellStyle name="Обычный 7 2 6 2 2" xfId="27941"/>
    <cellStyle name="Обычный 7 2 6 2 2 2" xfId="27942"/>
    <cellStyle name="Обычный 7 2 6 2 2 2 2" xfId="27943"/>
    <cellStyle name="Обычный 7 2 6 2 2 2 2 2" xfId="27944"/>
    <cellStyle name="Обычный 7 2 6 2 2 2 2 3" xfId="27945"/>
    <cellStyle name="Обычный 7 2 6 2 2 2 3" xfId="27946"/>
    <cellStyle name="Обычный 7 2 6 2 2 2 3 2" xfId="27947"/>
    <cellStyle name="Обычный 7 2 6 2 2 2 3 3" xfId="27948"/>
    <cellStyle name="Обычный 7 2 6 2 2 2 4" xfId="27949"/>
    <cellStyle name="Обычный 7 2 6 2 2 2 4 2" xfId="27950"/>
    <cellStyle name="Обычный 7 2 6 2 2 2 5" xfId="27951"/>
    <cellStyle name="Обычный 7 2 6 2 2 2 6" xfId="27952"/>
    <cellStyle name="Обычный 7 2 6 2 2 3" xfId="27953"/>
    <cellStyle name="Обычный 7 2 6 2 2 3 2" xfId="27954"/>
    <cellStyle name="Обычный 7 2 6 2 2 3 3" xfId="27955"/>
    <cellStyle name="Обычный 7 2 6 2 2 4" xfId="27956"/>
    <cellStyle name="Обычный 7 2 6 2 2 4 2" xfId="27957"/>
    <cellStyle name="Обычный 7 2 6 2 2 4 3" xfId="27958"/>
    <cellStyle name="Обычный 7 2 6 2 2 5" xfId="27959"/>
    <cellStyle name="Обычный 7 2 6 2 2 5 2" xfId="27960"/>
    <cellStyle name="Обычный 7 2 6 2 2 6" xfId="27961"/>
    <cellStyle name="Обычный 7 2 6 2 2 7" xfId="27962"/>
    <cellStyle name="Обычный 7 2 6 2 3" xfId="27963"/>
    <cellStyle name="Обычный 7 2 6 2 3 2" xfId="27964"/>
    <cellStyle name="Обычный 7 2 6 2 3 2 2" xfId="27965"/>
    <cellStyle name="Обычный 7 2 6 2 3 2 3" xfId="27966"/>
    <cellStyle name="Обычный 7 2 6 2 3 3" xfId="27967"/>
    <cellStyle name="Обычный 7 2 6 2 3 3 2" xfId="27968"/>
    <cellStyle name="Обычный 7 2 6 2 3 3 3" xfId="27969"/>
    <cellStyle name="Обычный 7 2 6 2 3 4" xfId="27970"/>
    <cellStyle name="Обычный 7 2 6 2 3 4 2" xfId="27971"/>
    <cellStyle name="Обычный 7 2 6 2 3 5" xfId="27972"/>
    <cellStyle name="Обычный 7 2 6 2 3 6" xfId="27973"/>
    <cellStyle name="Обычный 7 2 6 2 4" xfId="27974"/>
    <cellStyle name="Обычный 7 2 6 2 4 2" xfId="27975"/>
    <cellStyle name="Обычный 7 2 6 2 4 3" xfId="27976"/>
    <cellStyle name="Обычный 7 2 6 2 5" xfId="27977"/>
    <cellStyle name="Обычный 7 2 6 2 5 2" xfId="27978"/>
    <cellStyle name="Обычный 7 2 6 2 5 3" xfId="27979"/>
    <cellStyle name="Обычный 7 2 6 2 6" xfId="27980"/>
    <cellStyle name="Обычный 7 2 6 2 6 2" xfId="27981"/>
    <cellStyle name="Обычный 7 2 6 2 7" xfId="27982"/>
    <cellStyle name="Обычный 7 2 6 2 8" xfId="27983"/>
    <cellStyle name="Обычный 7 2 6 3" xfId="27984"/>
    <cellStyle name="Обычный 7 2 6 3 2" xfId="27985"/>
    <cellStyle name="Обычный 7 2 6 3 2 2" xfId="27986"/>
    <cellStyle name="Обычный 7 2 6 3 2 2 2" xfId="27987"/>
    <cellStyle name="Обычный 7 2 6 3 2 2 3" xfId="27988"/>
    <cellStyle name="Обычный 7 2 6 3 2 3" xfId="27989"/>
    <cellStyle name="Обычный 7 2 6 3 2 3 2" xfId="27990"/>
    <cellStyle name="Обычный 7 2 6 3 2 3 3" xfId="27991"/>
    <cellStyle name="Обычный 7 2 6 3 2 4" xfId="27992"/>
    <cellStyle name="Обычный 7 2 6 3 2 4 2" xfId="27993"/>
    <cellStyle name="Обычный 7 2 6 3 2 5" xfId="27994"/>
    <cellStyle name="Обычный 7 2 6 3 2 6" xfId="27995"/>
    <cellStyle name="Обычный 7 2 6 3 3" xfId="27996"/>
    <cellStyle name="Обычный 7 2 6 3 3 2" xfId="27997"/>
    <cellStyle name="Обычный 7 2 6 3 3 3" xfId="27998"/>
    <cellStyle name="Обычный 7 2 6 3 4" xfId="27999"/>
    <cellStyle name="Обычный 7 2 6 3 4 2" xfId="28000"/>
    <cellStyle name="Обычный 7 2 6 3 4 3" xfId="28001"/>
    <cellStyle name="Обычный 7 2 6 3 5" xfId="28002"/>
    <cellStyle name="Обычный 7 2 6 3 5 2" xfId="28003"/>
    <cellStyle name="Обычный 7 2 6 3 6" xfId="28004"/>
    <cellStyle name="Обычный 7 2 6 3 7" xfId="28005"/>
    <cellStyle name="Обычный 7 2 6 4" xfId="28006"/>
    <cellStyle name="Обычный 7 2 6 4 2" xfId="28007"/>
    <cellStyle name="Обычный 7 2 6 4 2 2" xfId="28008"/>
    <cellStyle name="Обычный 7 2 6 4 2 3" xfId="28009"/>
    <cellStyle name="Обычный 7 2 6 4 3" xfId="28010"/>
    <cellStyle name="Обычный 7 2 6 4 3 2" xfId="28011"/>
    <cellStyle name="Обычный 7 2 6 4 3 3" xfId="28012"/>
    <cellStyle name="Обычный 7 2 6 4 4" xfId="28013"/>
    <cellStyle name="Обычный 7 2 6 4 4 2" xfId="28014"/>
    <cellStyle name="Обычный 7 2 6 4 5" xfId="28015"/>
    <cellStyle name="Обычный 7 2 6 4 6" xfId="28016"/>
    <cellStyle name="Обычный 7 2 6 5" xfId="28017"/>
    <cellStyle name="Обычный 7 2 6 5 2" xfId="28018"/>
    <cellStyle name="Обычный 7 2 6 5 3" xfId="28019"/>
    <cellStyle name="Обычный 7 2 6 6" xfId="28020"/>
    <cellStyle name="Обычный 7 2 6 6 2" xfId="28021"/>
    <cellStyle name="Обычный 7 2 6 6 3" xfId="28022"/>
    <cellStyle name="Обычный 7 2 6 7" xfId="28023"/>
    <cellStyle name="Обычный 7 2 6 7 2" xfId="28024"/>
    <cellStyle name="Обычный 7 2 6 8" xfId="28025"/>
    <cellStyle name="Обычный 7 2 6 9" xfId="28026"/>
    <cellStyle name="Обычный 7 2 7" xfId="28027"/>
    <cellStyle name="Обычный 7 2 7 2" xfId="28028"/>
    <cellStyle name="Обычный 7 2 7 2 2" xfId="28029"/>
    <cellStyle name="Обычный 7 2 7 2 2 2" xfId="28030"/>
    <cellStyle name="Обычный 7 2 7 2 2 2 2" xfId="28031"/>
    <cellStyle name="Обычный 7 2 7 2 2 2 3" xfId="28032"/>
    <cellStyle name="Обычный 7 2 7 2 2 3" xfId="28033"/>
    <cellStyle name="Обычный 7 2 7 2 2 3 2" xfId="28034"/>
    <cellStyle name="Обычный 7 2 7 2 2 3 3" xfId="28035"/>
    <cellStyle name="Обычный 7 2 7 2 2 4" xfId="28036"/>
    <cellStyle name="Обычный 7 2 7 2 2 4 2" xfId="28037"/>
    <cellStyle name="Обычный 7 2 7 2 2 5" xfId="28038"/>
    <cellStyle name="Обычный 7 2 7 2 2 6" xfId="28039"/>
    <cellStyle name="Обычный 7 2 7 2 3" xfId="28040"/>
    <cellStyle name="Обычный 7 2 7 2 3 2" xfId="28041"/>
    <cellStyle name="Обычный 7 2 7 2 3 3" xfId="28042"/>
    <cellStyle name="Обычный 7 2 7 2 4" xfId="28043"/>
    <cellStyle name="Обычный 7 2 7 2 4 2" xfId="28044"/>
    <cellStyle name="Обычный 7 2 7 2 4 3" xfId="28045"/>
    <cellStyle name="Обычный 7 2 7 2 5" xfId="28046"/>
    <cellStyle name="Обычный 7 2 7 2 5 2" xfId="28047"/>
    <cellStyle name="Обычный 7 2 7 2 6" xfId="28048"/>
    <cellStyle name="Обычный 7 2 7 2 7" xfId="28049"/>
    <cellStyle name="Обычный 7 2 7 3" xfId="28050"/>
    <cellStyle name="Обычный 7 2 7 3 2" xfId="28051"/>
    <cellStyle name="Обычный 7 2 7 3 2 2" xfId="28052"/>
    <cellStyle name="Обычный 7 2 7 3 2 3" xfId="28053"/>
    <cellStyle name="Обычный 7 2 7 3 3" xfId="28054"/>
    <cellStyle name="Обычный 7 2 7 3 3 2" xfId="28055"/>
    <cellStyle name="Обычный 7 2 7 3 3 3" xfId="28056"/>
    <cellStyle name="Обычный 7 2 7 3 4" xfId="28057"/>
    <cellStyle name="Обычный 7 2 7 3 4 2" xfId="28058"/>
    <cellStyle name="Обычный 7 2 7 3 5" xfId="28059"/>
    <cellStyle name="Обычный 7 2 7 3 6" xfId="28060"/>
    <cellStyle name="Обычный 7 2 7 4" xfId="28061"/>
    <cellStyle name="Обычный 7 2 7 4 2" xfId="28062"/>
    <cellStyle name="Обычный 7 2 7 4 3" xfId="28063"/>
    <cellStyle name="Обычный 7 2 7 5" xfId="28064"/>
    <cellStyle name="Обычный 7 2 7 5 2" xfId="28065"/>
    <cellStyle name="Обычный 7 2 7 5 3" xfId="28066"/>
    <cellStyle name="Обычный 7 2 7 6" xfId="28067"/>
    <cellStyle name="Обычный 7 2 7 6 2" xfId="28068"/>
    <cellStyle name="Обычный 7 2 7 7" xfId="28069"/>
    <cellStyle name="Обычный 7 2 7 8" xfId="28070"/>
    <cellStyle name="Обычный 7 2 8" xfId="28071"/>
    <cellStyle name="Обычный 7 2 8 2" xfId="28072"/>
    <cellStyle name="Обычный 7 2 8 2 2" xfId="28073"/>
    <cellStyle name="Обычный 7 2 8 2 2 2" xfId="28074"/>
    <cellStyle name="Обычный 7 2 8 2 2 3" xfId="28075"/>
    <cellStyle name="Обычный 7 2 8 2 3" xfId="28076"/>
    <cellStyle name="Обычный 7 2 8 2 3 2" xfId="28077"/>
    <cellStyle name="Обычный 7 2 8 2 3 3" xfId="28078"/>
    <cellStyle name="Обычный 7 2 8 2 4" xfId="28079"/>
    <cellStyle name="Обычный 7 2 8 2 4 2" xfId="28080"/>
    <cellStyle name="Обычный 7 2 8 2 5" xfId="28081"/>
    <cellStyle name="Обычный 7 2 8 2 6" xfId="28082"/>
    <cellStyle name="Обычный 7 2 8 3" xfId="28083"/>
    <cellStyle name="Обычный 7 2 8 3 2" xfId="28084"/>
    <cellStyle name="Обычный 7 2 8 3 3" xfId="28085"/>
    <cellStyle name="Обычный 7 2 8 4" xfId="28086"/>
    <cellStyle name="Обычный 7 2 8 4 2" xfId="28087"/>
    <cellStyle name="Обычный 7 2 8 4 3" xfId="28088"/>
    <cellStyle name="Обычный 7 2 8 5" xfId="28089"/>
    <cellStyle name="Обычный 7 2 8 5 2" xfId="28090"/>
    <cellStyle name="Обычный 7 2 8 6" xfId="28091"/>
    <cellStyle name="Обычный 7 2 8 7" xfId="28092"/>
    <cellStyle name="Обычный 7 2 9" xfId="28093"/>
    <cellStyle name="Обычный 7 2 9 2" xfId="28094"/>
    <cellStyle name="Обычный 7 2 9 2 2" xfId="28095"/>
    <cellStyle name="Обычный 7 2 9 2 3" xfId="28096"/>
    <cellStyle name="Обычный 7 2 9 3" xfId="28097"/>
    <cellStyle name="Обычный 7 2 9 3 2" xfId="28098"/>
    <cellStyle name="Обычный 7 2 9 3 3" xfId="28099"/>
    <cellStyle name="Обычный 7 2 9 4" xfId="28100"/>
    <cellStyle name="Обычный 7 2 9 4 2" xfId="28101"/>
    <cellStyle name="Обычный 7 2 9 5" xfId="28102"/>
    <cellStyle name="Обычный 7 2 9 6" xfId="28103"/>
    <cellStyle name="Обычный 7 20" xfId="28104"/>
    <cellStyle name="Обычный 7 21" xfId="28105"/>
    <cellStyle name="Обычный 7 22" xfId="28106"/>
    <cellStyle name="Обычный 7 3" xfId="28107"/>
    <cellStyle name="Обычный 7 3 10" xfId="28108"/>
    <cellStyle name="Обычный 7 3 10 2" xfId="28109"/>
    <cellStyle name="Обычный 7 3 10 3" xfId="28110"/>
    <cellStyle name="Обычный 7 3 11" xfId="28111"/>
    <cellStyle name="Обычный 7 3 11 2" xfId="28112"/>
    <cellStyle name="Обычный 7 3 11 3" xfId="28113"/>
    <cellStyle name="Обычный 7 3 12" xfId="28114"/>
    <cellStyle name="Обычный 7 3 12 2" xfId="28115"/>
    <cellStyle name="Обычный 7 3 13" xfId="28116"/>
    <cellStyle name="Обычный 7 3 14" xfId="28117"/>
    <cellStyle name="Обычный 7 3 2" xfId="28118"/>
    <cellStyle name="Обычный 7 3 2 10" xfId="28119"/>
    <cellStyle name="Обычный 7 3 2 10 2" xfId="28120"/>
    <cellStyle name="Обычный 7 3 2 10 3" xfId="28121"/>
    <cellStyle name="Обычный 7 3 2 11" xfId="28122"/>
    <cellStyle name="Обычный 7 3 2 11 2" xfId="28123"/>
    <cellStyle name="Обычный 7 3 2 12" xfId="28124"/>
    <cellStyle name="Обычный 7 3 2 13" xfId="28125"/>
    <cellStyle name="Обычный 7 3 2 2" xfId="28126"/>
    <cellStyle name="Обычный 7 3 2 2 10" xfId="28127"/>
    <cellStyle name="Обычный 7 3 2 2 2" xfId="28128"/>
    <cellStyle name="Обычный 7 3 2 2 2 2" xfId="28129"/>
    <cellStyle name="Обычный 7 3 2 2 2 2 2" xfId="28130"/>
    <cellStyle name="Обычный 7 3 2 2 2 2 2 2" xfId="28131"/>
    <cellStyle name="Обычный 7 3 2 2 2 2 2 2 2" xfId="28132"/>
    <cellStyle name="Обычный 7 3 2 2 2 2 2 2 2 2" xfId="28133"/>
    <cellStyle name="Обычный 7 3 2 2 2 2 2 2 2 3" xfId="28134"/>
    <cellStyle name="Обычный 7 3 2 2 2 2 2 2 3" xfId="28135"/>
    <cellStyle name="Обычный 7 3 2 2 2 2 2 2 3 2" xfId="28136"/>
    <cellStyle name="Обычный 7 3 2 2 2 2 2 2 3 3" xfId="28137"/>
    <cellStyle name="Обычный 7 3 2 2 2 2 2 2 4" xfId="28138"/>
    <cellStyle name="Обычный 7 3 2 2 2 2 2 2 4 2" xfId="28139"/>
    <cellStyle name="Обычный 7 3 2 2 2 2 2 2 5" xfId="28140"/>
    <cellStyle name="Обычный 7 3 2 2 2 2 2 2 6" xfId="28141"/>
    <cellStyle name="Обычный 7 3 2 2 2 2 2 3" xfId="28142"/>
    <cellStyle name="Обычный 7 3 2 2 2 2 2 3 2" xfId="28143"/>
    <cellStyle name="Обычный 7 3 2 2 2 2 2 3 3" xfId="28144"/>
    <cellStyle name="Обычный 7 3 2 2 2 2 2 4" xfId="28145"/>
    <cellStyle name="Обычный 7 3 2 2 2 2 2 4 2" xfId="28146"/>
    <cellStyle name="Обычный 7 3 2 2 2 2 2 4 3" xfId="28147"/>
    <cellStyle name="Обычный 7 3 2 2 2 2 2 5" xfId="28148"/>
    <cellStyle name="Обычный 7 3 2 2 2 2 2 5 2" xfId="28149"/>
    <cellStyle name="Обычный 7 3 2 2 2 2 2 6" xfId="28150"/>
    <cellStyle name="Обычный 7 3 2 2 2 2 2 7" xfId="28151"/>
    <cellStyle name="Обычный 7 3 2 2 2 2 3" xfId="28152"/>
    <cellStyle name="Обычный 7 3 2 2 2 2 3 2" xfId="28153"/>
    <cellStyle name="Обычный 7 3 2 2 2 2 3 2 2" xfId="28154"/>
    <cellStyle name="Обычный 7 3 2 2 2 2 3 2 3" xfId="28155"/>
    <cellStyle name="Обычный 7 3 2 2 2 2 3 3" xfId="28156"/>
    <cellStyle name="Обычный 7 3 2 2 2 2 3 3 2" xfId="28157"/>
    <cellStyle name="Обычный 7 3 2 2 2 2 3 3 3" xfId="28158"/>
    <cellStyle name="Обычный 7 3 2 2 2 2 3 4" xfId="28159"/>
    <cellStyle name="Обычный 7 3 2 2 2 2 3 4 2" xfId="28160"/>
    <cellStyle name="Обычный 7 3 2 2 2 2 3 5" xfId="28161"/>
    <cellStyle name="Обычный 7 3 2 2 2 2 3 6" xfId="28162"/>
    <cellStyle name="Обычный 7 3 2 2 2 2 4" xfId="28163"/>
    <cellStyle name="Обычный 7 3 2 2 2 2 4 2" xfId="28164"/>
    <cellStyle name="Обычный 7 3 2 2 2 2 4 3" xfId="28165"/>
    <cellStyle name="Обычный 7 3 2 2 2 2 5" xfId="28166"/>
    <cellStyle name="Обычный 7 3 2 2 2 2 5 2" xfId="28167"/>
    <cellStyle name="Обычный 7 3 2 2 2 2 5 3" xfId="28168"/>
    <cellStyle name="Обычный 7 3 2 2 2 2 6" xfId="28169"/>
    <cellStyle name="Обычный 7 3 2 2 2 2 6 2" xfId="28170"/>
    <cellStyle name="Обычный 7 3 2 2 2 2 7" xfId="28171"/>
    <cellStyle name="Обычный 7 3 2 2 2 2 8" xfId="28172"/>
    <cellStyle name="Обычный 7 3 2 2 2 3" xfId="28173"/>
    <cellStyle name="Обычный 7 3 2 2 2 3 2" xfId="28174"/>
    <cellStyle name="Обычный 7 3 2 2 2 3 2 2" xfId="28175"/>
    <cellStyle name="Обычный 7 3 2 2 2 3 2 2 2" xfId="28176"/>
    <cellStyle name="Обычный 7 3 2 2 2 3 2 2 3" xfId="28177"/>
    <cellStyle name="Обычный 7 3 2 2 2 3 2 3" xfId="28178"/>
    <cellStyle name="Обычный 7 3 2 2 2 3 2 3 2" xfId="28179"/>
    <cellStyle name="Обычный 7 3 2 2 2 3 2 3 3" xfId="28180"/>
    <cellStyle name="Обычный 7 3 2 2 2 3 2 4" xfId="28181"/>
    <cellStyle name="Обычный 7 3 2 2 2 3 2 4 2" xfId="28182"/>
    <cellStyle name="Обычный 7 3 2 2 2 3 2 5" xfId="28183"/>
    <cellStyle name="Обычный 7 3 2 2 2 3 2 6" xfId="28184"/>
    <cellStyle name="Обычный 7 3 2 2 2 3 3" xfId="28185"/>
    <cellStyle name="Обычный 7 3 2 2 2 3 3 2" xfId="28186"/>
    <cellStyle name="Обычный 7 3 2 2 2 3 3 3" xfId="28187"/>
    <cellStyle name="Обычный 7 3 2 2 2 3 4" xfId="28188"/>
    <cellStyle name="Обычный 7 3 2 2 2 3 4 2" xfId="28189"/>
    <cellStyle name="Обычный 7 3 2 2 2 3 4 3" xfId="28190"/>
    <cellStyle name="Обычный 7 3 2 2 2 3 5" xfId="28191"/>
    <cellStyle name="Обычный 7 3 2 2 2 3 5 2" xfId="28192"/>
    <cellStyle name="Обычный 7 3 2 2 2 3 6" xfId="28193"/>
    <cellStyle name="Обычный 7 3 2 2 2 3 7" xfId="28194"/>
    <cellStyle name="Обычный 7 3 2 2 2 4" xfId="28195"/>
    <cellStyle name="Обычный 7 3 2 2 2 4 2" xfId="28196"/>
    <cellStyle name="Обычный 7 3 2 2 2 4 2 2" xfId="28197"/>
    <cellStyle name="Обычный 7 3 2 2 2 4 2 3" xfId="28198"/>
    <cellStyle name="Обычный 7 3 2 2 2 4 3" xfId="28199"/>
    <cellStyle name="Обычный 7 3 2 2 2 4 3 2" xfId="28200"/>
    <cellStyle name="Обычный 7 3 2 2 2 4 3 3" xfId="28201"/>
    <cellStyle name="Обычный 7 3 2 2 2 4 4" xfId="28202"/>
    <cellStyle name="Обычный 7 3 2 2 2 4 4 2" xfId="28203"/>
    <cellStyle name="Обычный 7 3 2 2 2 4 5" xfId="28204"/>
    <cellStyle name="Обычный 7 3 2 2 2 4 6" xfId="28205"/>
    <cellStyle name="Обычный 7 3 2 2 2 5" xfId="28206"/>
    <cellStyle name="Обычный 7 3 2 2 2 5 2" xfId="28207"/>
    <cellStyle name="Обычный 7 3 2 2 2 5 3" xfId="28208"/>
    <cellStyle name="Обычный 7 3 2 2 2 6" xfId="28209"/>
    <cellStyle name="Обычный 7 3 2 2 2 6 2" xfId="28210"/>
    <cellStyle name="Обычный 7 3 2 2 2 6 3" xfId="28211"/>
    <cellStyle name="Обычный 7 3 2 2 2 7" xfId="28212"/>
    <cellStyle name="Обычный 7 3 2 2 2 7 2" xfId="28213"/>
    <cellStyle name="Обычный 7 3 2 2 2 8" xfId="28214"/>
    <cellStyle name="Обычный 7 3 2 2 2 9" xfId="28215"/>
    <cellStyle name="Обычный 7 3 2 2 3" xfId="28216"/>
    <cellStyle name="Обычный 7 3 2 2 3 2" xfId="28217"/>
    <cellStyle name="Обычный 7 3 2 2 3 2 2" xfId="28218"/>
    <cellStyle name="Обычный 7 3 2 2 3 2 2 2" xfId="28219"/>
    <cellStyle name="Обычный 7 3 2 2 3 2 2 2 2" xfId="28220"/>
    <cellStyle name="Обычный 7 3 2 2 3 2 2 2 3" xfId="28221"/>
    <cellStyle name="Обычный 7 3 2 2 3 2 2 3" xfId="28222"/>
    <cellStyle name="Обычный 7 3 2 2 3 2 2 3 2" xfId="28223"/>
    <cellStyle name="Обычный 7 3 2 2 3 2 2 3 3" xfId="28224"/>
    <cellStyle name="Обычный 7 3 2 2 3 2 2 4" xfId="28225"/>
    <cellStyle name="Обычный 7 3 2 2 3 2 2 4 2" xfId="28226"/>
    <cellStyle name="Обычный 7 3 2 2 3 2 2 5" xfId="28227"/>
    <cellStyle name="Обычный 7 3 2 2 3 2 2 6" xfId="28228"/>
    <cellStyle name="Обычный 7 3 2 2 3 2 3" xfId="28229"/>
    <cellStyle name="Обычный 7 3 2 2 3 2 3 2" xfId="28230"/>
    <cellStyle name="Обычный 7 3 2 2 3 2 3 3" xfId="28231"/>
    <cellStyle name="Обычный 7 3 2 2 3 2 4" xfId="28232"/>
    <cellStyle name="Обычный 7 3 2 2 3 2 4 2" xfId="28233"/>
    <cellStyle name="Обычный 7 3 2 2 3 2 4 3" xfId="28234"/>
    <cellStyle name="Обычный 7 3 2 2 3 2 5" xfId="28235"/>
    <cellStyle name="Обычный 7 3 2 2 3 2 5 2" xfId="28236"/>
    <cellStyle name="Обычный 7 3 2 2 3 2 6" xfId="28237"/>
    <cellStyle name="Обычный 7 3 2 2 3 2 7" xfId="28238"/>
    <cellStyle name="Обычный 7 3 2 2 3 3" xfId="28239"/>
    <cellStyle name="Обычный 7 3 2 2 3 3 2" xfId="28240"/>
    <cellStyle name="Обычный 7 3 2 2 3 3 2 2" xfId="28241"/>
    <cellStyle name="Обычный 7 3 2 2 3 3 2 3" xfId="28242"/>
    <cellStyle name="Обычный 7 3 2 2 3 3 3" xfId="28243"/>
    <cellStyle name="Обычный 7 3 2 2 3 3 3 2" xfId="28244"/>
    <cellStyle name="Обычный 7 3 2 2 3 3 3 3" xfId="28245"/>
    <cellStyle name="Обычный 7 3 2 2 3 3 4" xfId="28246"/>
    <cellStyle name="Обычный 7 3 2 2 3 3 4 2" xfId="28247"/>
    <cellStyle name="Обычный 7 3 2 2 3 3 5" xfId="28248"/>
    <cellStyle name="Обычный 7 3 2 2 3 3 6" xfId="28249"/>
    <cellStyle name="Обычный 7 3 2 2 3 4" xfId="28250"/>
    <cellStyle name="Обычный 7 3 2 2 3 4 2" xfId="28251"/>
    <cellStyle name="Обычный 7 3 2 2 3 4 3" xfId="28252"/>
    <cellStyle name="Обычный 7 3 2 2 3 5" xfId="28253"/>
    <cellStyle name="Обычный 7 3 2 2 3 5 2" xfId="28254"/>
    <cellStyle name="Обычный 7 3 2 2 3 5 3" xfId="28255"/>
    <cellStyle name="Обычный 7 3 2 2 3 6" xfId="28256"/>
    <cellStyle name="Обычный 7 3 2 2 3 6 2" xfId="28257"/>
    <cellStyle name="Обычный 7 3 2 2 3 7" xfId="28258"/>
    <cellStyle name="Обычный 7 3 2 2 3 8" xfId="28259"/>
    <cellStyle name="Обычный 7 3 2 2 4" xfId="28260"/>
    <cellStyle name="Обычный 7 3 2 2 4 2" xfId="28261"/>
    <cellStyle name="Обычный 7 3 2 2 4 2 2" xfId="28262"/>
    <cellStyle name="Обычный 7 3 2 2 4 2 2 2" xfId="28263"/>
    <cellStyle name="Обычный 7 3 2 2 4 2 2 3" xfId="28264"/>
    <cellStyle name="Обычный 7 3 2 2 4 2 3" xfId="28265"/>
    <cellStyle name="Обычный 7 3 2 2 4 2 3 2" xfId="28266"/>
    <cellStyle name="Обычный 7 3 2 2 4 2 3 3" xfId="28267"/>
    <cellStyle name="Обычный 7 3 2 2 4 2 4" xfId="28268"/>
    <cellStyle name="Обычный 7 3 2 2 4 2 4 2" xfId="28269"/>
    <cellStyle name="Обычный 7 3 2 2 4 2 5" xfId="28270"/>
    <cellStyle name="Обычный 7 3 2 2 4 2 6" xfId="28271"/>
    <cellStyle name="Обычный 7 3 2 2 4 3" xfId="28272"/>
    <cellStyle name="Обычный 7 3 2 2 4 3 2" xfId="28273"/>
    <cellStyle name="Обычный 7 3 2 2 4 3 3" xfId="28274"/>
    <cellStyle name="Обычный 7 3 2 2 4 4" xfId="28275"/>
    <cellStyle name="Обычный 7 3 2 2 4 4 2" xfId="28276"/>
    <cellStyle name="Обычный 7 3 2 2 4 4 3" xfId="28277"/>
    <cellStyle name="Обычный 7 3 2 2 4 5" xfId="28278"/>
    <cellStyle name="Обычный 7 3 2 2 4 5 2" xfId="28279"/>
    <cellStyle name="Обычный 7 3 2 2 4 6" xfId="28280"/>
    <cellStyle name="Обычный 7 3 2 2 4 7" xfId="28281"/>
    <cellStyle name="Обычный 7 3 2 2 5" xfId="28282"/>
    <cellStyle name="Обычный 7 3 2 2 5 2" xfId="28283"/>
    <cellStyle name="Обычный 7 3 2 2 5 2 2" xfId="28284"/>
    <cellStyle name="Обычный 7 3 2 2 5 2 3" xfId="28285"/>
    <cellStyle name="Обычный 7 3 2 2 5 3" xfId="28286"/>
    <cellStyle name="Обычный 7 3 2 2 5 3 2" xfId="28287"/>
    <cellStyle name="Обычный 7 3 2 2 5 3 3" xfId="28288"/>
    <cellStyle name="Обычный 7 3 2 2 5 4" xfId="28289"/>
    <cellStyle name="Обычный 7 3 2 2 5 4 2" xfId="28290"/>
    <cellStyle name="Обычный 7 3 2 2 5 5" xfId="28291"/>
    <cellStyle name="Обычный 7 3 2 2 5 6" xfId="28292"/>
    <cellStyle name="Обычный 7 3 2 2 6" xfId="28293"/>
    <cellStyle name="Обычный 7 3 2 2 6 2" xfId="28294"/>
    <cellStyle name="Обычный 7 3 2 2 6 3" xfId="28295"/>
    <cellStyle name="Обычный 7 3 2 2 7" xfId="28296"/>
    <cellStyle name="Обычный 7 3 2 2 7 2" xfId="28297"/>
    <cellStyle name="Обычный 7 3 2 2 7 3" xfId="28298"/>
    <cellStyle name="Обычный 7 3 2 2 8" xfId="28299"/>
    <cellStyle name="Обычный 7 3 2 2 8 2" xfId="28300"/>
    <cellStyle name="Обычный 7 3 2 2 9" xfId="28301"/>
    <cellStyle name="Обычный 7 3 2 3" xfId="28302"/>
    <cellStyle name="Обычный 7 3 2 3 10" xfId="28303"/>
    <cellStyle name="Обычный 7 3 2 3 2" xfId="28304"/>
    <cellStyle name="Обычный 7 3 2 3 2 2" xfId="28305"/>
    <cellStyle name="Обычный 7 3 2 3 2 2 2" xfId="28306"/>
    <cellStyle name="Обычный 7 3 2 3 2 2 2 2" xfId="28307"/>
    <cellStyle name="Обычный 7 3 2 3 2 2 2 2 2" xfId="28308"/>
    <cellStyle name="Обычный 7 3 2 3 2 2 2 2 2 2" xfId="28309"/>
    <cellStyle name="Обычный 7 3 2 3 2 2 2 2 2 3" xfId="28310"/>
    <cellStyle name="Обычный 7 3 2 3 2 2 2 2 3" xfId="28311"/>
    <cellStyle name="Обычный 7 3 2 3 2 2 2 2 3 2" xfId="28312"/>
    <cellStyle name="Обычный 7 3 2 3 2 2 2 2 3 3" xfId="28313"/>
    <cellStyle name="Обычный 7 3 2 3 2 2 2 2 4" xfId="28314"/>
    <cellStyle name="Обычный 7 3 2 3 2 2 2 2 4 2" xfId="28315"/>
    <cellStyle name="Обычный 7 3 2 3 2 2 2 2 5" xfId="28316"/>
    <cellStyle name="Обычный 7 3 2 3 2 2 2 2 6" xfId="28317"/>
    <cellStyle name="Обычный 7 3 2 3 2 2 2 3" xfId="28318"/>
    <cellStyle name="Обычный 7 3 2 3 2 2 2 3 2" xfId="28319"/>
    <cellStyle name="Обычный 7 3 2 3 2 2 2 3 3" xfId="28320"/>
    <cellStyle name="Обычный 7 3 2 3 2 2 2 4" xfId="28321"/>
    <cellStyle name="Обычный 7 3 2 3 2 2 2 4 2" xfId="28322"/>
    <cellStyle name="Обычный 7 3 2 3 2 2 2 4 3" xfId="28323"/>
    <cellStyle name="Обычный 7 3 2 3 2 2 2 5" xfId="28324"/>
    <cellStyle name="Обычный 7 3 2 3 2 2 2 5 2" xfId="28325"/>
    <cellStyle name="Обычный 7 3 2 3 2 2 2 6" xfId="28326"/>
    <cellStyle name="Обычный 7 3 2 3 2 2 2 7" xfId="28327"/>
    <cellStyle name="Обычный 7 3 2 3 2 2 3" xfId="28328"/>
    <cellStyle name="Обычный 7 3 2 3 2 2 3 2" xfId="28329"/>
    <cellStyle name="Обычный 7 3 2 3 2 2 3 2 2" xfId="28330"/>
    <cellStyle name="Обычный 7 3 2 3 2 2 3 2 3" xfId="28331"/>
    <cellStyle name="Обычный 7 3 2 3 2 2 3 3" xfId="28332"/>
    <cellStyle name="Обычный 7 3 2 3 2 2 3 3 2" xfId="28333"/>
    <cellStyle name="Обычный 7 3 2 3 2 2 3 3 3" xfId="28334"/>
    <cellStyle name="Обычный 7 3 2 3 2 2 3 4" xfId="28335"/>
    <cellStyle name="Обычный 7 3 2 3 2 2 3 4 2" xfId="28336"/>
    <cellStyle name="Обычный 7 3 2 3 2 2 3 5" xfId="28337"/>
    <cellStyle name="Обычный 7 3 2 3 2 2 3 6" xfId="28338"/>
    <cellStyle name="Обычный 7 3 2 3 2 2 4" xfId="28339"/>
    <cellStyle name="Обычный 7 3 2 3 2 2 4 2" xfId="28340"/>
    <cellStyle name="Обычный 7 3 2 3 2 2 4 3" xfId="28341"/>
    <cellStyle name="Обычный 7 3 2 3 2 2 5" xfId="28342"/>
    <cellStyle name="Обычный 7 3 2 3 2 2 5 2" xfId="28343"/>
    <cellStyle name="Обычный 7 3 2 3 2 2 5 3" xfId="28344"/>
    <cellStyle name="Обычный 7 3 2 3 2 2 6" xfId="28345"/>
    <cellStyle name="Обычный 7 3 2 3 2 2 6 2" xfId="28346"/>
    <cellStyle name="Обычный 7 3 2 3 2 2 7" xfId="28347"/>
    <cellStyle name="Обычный 7 3 2 3 2 2 8" xfId="28348"/>
    <cellStyle name="Обычный 7 3 2 3 2 3" xfId="28349"/>
    <cellStyle name="Обычный 7 3 2 3 2 3 2" xfId="28350"/>
    <cellStyle name="Обычный 7 3 2 3 2 3 2 2" xfId="28351"/>
    <cellStyle name="Обычный 7 3 2 3 2 3 2 2 2" xfId="28352"/>
    <cellStyle name="Обычный 7 3 2 3 2 3 2 2 3" xfId="28353"/>
    <cellStyle name="Обычный 7 3 2 3 2 3 2 3" xfId="28354"/>
    <cellStyle name="Обычный 7 3 2 3 2 3 2 3 2" xfId="28355"/>
    <cellStyle name="Обычный 7 3 2 3 2 3 2 3 3" xfId="28356"/>
    <cellStyle name="Обычный 7 3 2 3 2 3 2 4" xfId="28357"/>
    <cellStyle name="Обычный 7 3 2 3 2 3 2 4 2" xfId="28358"/>
    <cellStyle name="Обычный 7 3 2 3 2 3 2 5" xfId="28359"/>
    <cellStyle name="Обычный 7 3 2 3 2 3 2 6" xfId="28360"/>
    <cellStyle name="Обычный 7 3 2 3 2 3 3" xfId="28361"/>
    <cellStyle name="Обычный 7 3 2 3 2 3 3 2" xfId="28362"/>
    <cellStyle name="Обычный 7 3 2 3 2 3 3 3" xfId="28363"/>
    <cellStyle name="Обычный 7 3 2 3 2 3 4" xfId="28364"/>
    <cellStyle name="Обычный 7 3 2 3 2 3 4 2" xfId="28365"/>
    <cellStyle name="Обычный 7 3 2 3 2 3 4 3" xfId="28366"/>
    <cellStyle name="Обычный 7 3 2 3 2 3 5" xfId="28367"/>
    <cellStyle name="Обычный 7 3 2 3 2 3 5 2" xfId="28368"/>
    <cellStyle name="Обычный 7 3 2 3 2 3 6" xfId="28369"/>
    <cellStyle name="Обычный 7 3 2 3 2 3 7" xfId="28370"/>
    <cellStyle name="Обычный 7 3 2 3 2 4" xfId="28371"/>
    <cellStyle name="Обычный 7 3 2 3 2 4 2" xfId="28372"/>
    <cellStyle name="Обычный 7 3 2 3 2 4 2 2" xfId="28373"/>
    <cellStyle name="Обычный 7 3 2 3 2 4 2 3" xfId="28374"/>
    <cellStyle name="Обычный 7 3 2 3 2 4 3" xfId="28375"/>
    <cellStyle name="Обычный 7 3 2 3 2 4 3 2" xfId="28376"/>
    <cellStyle name="Обычный 7 3 2 3 2 4 3 3" xfId="28377"/>
    <cellStyle name="Обычный 7 3 2 3 2 4 4" xfId="28378"/>
    <cellStyle name="Обычный 7 3 2 3 2 4 4 2" xfId="28379"/>
    <cellStyle name="Обычный 7 3 2 3 2 4 5" xfId="28380"/>
    <cellStyle name="Обычный 7 3 2 3 2 4 6" xfId="28381"/>
    <cellStyle name="Обычный 7 3 2 3 2 5" xfId="28382"/>
    <cellStyle name="Обычный 7 3 2 3 2 5 2" xfId="28383"/>
    <cellStyle name="Обычный 7 3 2 3 2 5 3" xfId="28384"/>
    <cellStyle name="Обычный 7 3 2 3 2 6" xfId="28385"/>
    <cellStyle name="Обычный 7 3 2 3 2 6 2" xfId="28386"/>
    <cellStyle name="Обычный 7 3 2 3 2 6 3" xfId="28387"/>
    <cellStyle name="Обычный 7 3 2 3 2 7" xfId="28388"/>
    <cellStyle name="Обычный 7 3 2 3 2 7 2" xfId="28389"/>
    <cellStyle name="Обычный 7 3 2 3 2 8" xfId="28390"/>
    <cellStyle name="Обычный 7 3 2 3 2 9" xfId="28391"/>
    <cellStyle name="Обычный 7 3 2 3 3" xfId="28392"/>
    <cellStyle name="Обычный 7 3 2 3 3 2" xfId="28393"/>
    <cellStyle name="Обычный 7 3 2 3 3 2 2" xfId="28394"/>
    <cellStyle name="Обычный 7 3 2 3 3 2 2 2" xfId="28395"/>
    <cellStyle name="Обычный 7 3 2 3 3 2 2 2 2" xfId="28396"/>
    <cellStyle name="Обычный 7 3 2 3 3 2 2 2 3" xfId="28397"/>
    <cellStyle name="Обычный 7 3 2 3 3 2 2 3" xfId="28398"/>
    <cellStyle name="Обычный 7 3 2 3 3 2 2 3 2" xfId="28399"/>
    <cellStyle name="Обычный 7 3 2 3 3 2 2 3 3" xfId="28400"/>
    <cellStyle name="Обычный 7 3 2 3 3 2 2 4" xfId="28401"/>
    <cellStyle name="Обычный 7 3 2 3 3 2 2 4 2" xfId="28402"/>
    <cellStyle name="Обычный 7 3 2 3 3 2 2 5" xfId="28403"/>
    <cellStyle name="Обычный 7 3 2 3 3 2 2 6" xfId="28404"/>
    <cellStyle name="Обычный 7 3 2 3 3 2 3" xfId="28405"/>
    <cellStyle name="Обычный 7 3 2 3 3 2 3 2" xfId="28406"/>
    <cellStyle name="Обычный 7 3 2 3 3 2 3 3" xfId="28407"/>
    <cellStyle name="Обычный 7 3 2 3 3 2 4" xfId="28408"/>
    <cellStyle name="Обычный 7 3 2 3 3 2 4 2" xfId="28409"/>
    <cellStyle name="Обычный 7 3 2 3 3 2 4 3" xfId="28410"/>
    <cellStyle name="Обычный 7 3 2 3 3 2 5" xfId="28411"/>
    <cellStyle name="Обычный 7 3 2 3 3 2 5 2" xfId="28412"/>
    <cellStyle name="Обычный 7 3 2 3 3 2 6" xfId="28413"/>
    <cellStyle name="Обычный 7 3 2 3 3 2 7" xfId="28414"/>
    <cellStyle name="Обычный 7 3 2 3 3 3" xfId="28415"/>
    <cellStyle name="Обычный 7 3 2 3 3 3 2" xfId="28416"/>
    <cellStyle name="Обычный 7 3 2 3 3 3 2 2" xfId="28417"/>
    <cellStyle name="Обычный 7 3 2 3 3 3 2 3" xfId="28418"/>
    <cellStyle name="Обычный 7 3 2 3 3 3 3" xfId="28419"/>
    <cellStyle name="Обычный 7 3 2 3 3 3 3 2" xfId="28420"/>
    <cellStyle name="Обычный 7 3 2 3 3 3 3 3" xfId="28421"/>
    <cellStyle name="Обычный 7 3 2 3 3 3 4" xfId="28422"/>
    <cellStyle name="Обычный 7 3 2 3 3 3 4 2" xfId="28423"/>
    <cellStyle name="Обычный 7 3 2 3 3 3 5" xfId="28424"/>
    <cellStyle name="Обычный 7 3 2 3 3 3 6" xfId="28425"/>
    <cellStyle name="Обычный 7 3 2 3 3 4" xfId="28426"/>
    <cellStyle name="Обычный 7 3 2 3 3 4 2" xfId="28427"/>
    <cellStyle name="Обычный 7 3 2 3 3 4 3" xfId="28428"/>
    <cellStyle name="Обычный 7 3 2 3 3 5" xfId="28429"/>
    <cellStyle name="Обычный 7 3 2 3 3 5 2" xfId="28430"/>
    <cellStyle name="Обычный 7 3 2 3 3 5 3" xfId="28431"/>
    <cellStyle name="Обычный 7 3 2 3 3 6" xfId="28432"/>
    <cellStyle name="Обычный 7 3 2 3 3 6 2" xfId="28433"/>
    <cellStyle name="Обычный 7 3 2 3 3 7" xfId="28434"/>
    <cellStyle name="Обычный 7 3 2 3 3 8" xfId="28435"/>
    <cellStyle name="Обычный 7 3 2 3 4" xfId="28436"/>
    <cellStyle name="Обычный 7 3 2 3 4 2" xfId="28437"/>
    <cellStyle name="Обычный 7 3 2 3 4 2 2" xfId="28438"/>
    <cellStyle name="Обычный 7 3 2 3 4 2 2 2" xfId="28439"/>
    <cellStyle name="Обычный 7 3 2 3 4 2 2 3" xfId="28440"/>
    <cellStyle name="Обычный 7 3 2 3 4 2 3" xfId="28441"/>
    <cellStyle name="Обычный 7 3 2 3 4 2 3 2" xfId="28442"/>
    <cellStyle name="Обычный 7 3 2 3 4 2 3 3" xfId="28443"/>
    <cellStyle name="Обычный 7 3 2 3 4 2 4" xfId="28444"/>
    <cellStyle name="Обычный 7 3 2 3 4 2 4 2" xfId="28445"/>
    <cellStyle name="Обычный 7 3 2 3 4 2 5" xfId="28446"/>
    <cellStyle name="Обычный 7 3 2 3 4 2 6" xfId="28447"/>
    <cellStyle name="Обычный 7 3 2 3 4 3" xfId="28448"/>
    <cellStyle name="Обычный 7 3 2 3 4 3 2" xfId="28449"/>
    <cellStyle name="Обычный 7 3 2 3 4 3 3" xfId="28450"/>
    <cellStyle name="Обычный 7 3 2 3 4 4" xfId="28451"/>
    <cellStyle name="Обычный 7 3 2 3 4 4 2" xfId="28452"/>
    <cellStyle name="Обычный 7 3 2 3 4 4 3" xfId="28453"/>
    <cellStyle name="Обычный 7 3 2 3 4 5" xfId="28454"/>
    <cellStyle name="Обычный 7 3 2 3 4 5 2" xfId="28455"/>
    <cellStyle name="Обычный 7 3 2 3 4 6" xfId="28456"/>
    <cellStyle name="Обычный 7 3 2 3 4 7" xfId="28457"/>
    <cellStyle name="Обычный 7 3 2 3 5" xfId="28458"/>
    <cellStyle name="Обычный 7 3 2 3 5 2" xfId="28459"/>
    <cellStyle name="Обычный 7 3 2 3 5 2 2" xfId="28460"/>
    <cellStyle name="Обычный 7 3 2 3 5 2 3" xfId="28461"/>
    <cellStyle name="Обычный 7 3 2 3 5 3" xfId="28462"/>
    <cellStyle name="Обычный 7 3 2 3 5 3 2" xfId="28463"/>
    <cellStyle name="Обычный 7 3 2 3 5 3 3" xfId="28464"/>
    <cellStyle name="Обычный 7 3 2 3 5 4" xfId="28465"/>
    <cellStyle name="Обычный 7 3 2 3 5 4 2" xfId="28466"/>
    <cellStyle name="Обычный 7 3 2 3 5 5" xfId="28467"/>
    <cellStyle name="Обычный 7 3 2 3 5 6" xfId="28468"/>
    <cellStyle name="Обычный 7 3 2 3 6" xfId="28469"/>
    <cellStyle name="Обычный 7 3 2 3 6 2" xfId="28470"/>
    <cellStyle name="Обычный 7 3 2 3 6 3" xfId="28471"/>
    <cellStyle name="Обычный 7 3 2 3 7" xfId="28472"/>
    <cellStyle name="Обычный 7 3 2 3 7 2" xfId="28473"/>
    <cellStyle name="Обычный 7 3 2 3 7 3" xfId="28474"/>
    <cellStyle name="Обычный 7 3 2 3 8" xfId="28475"/>
    <cellStyle name="Обычный 7 3 2 3 8 2" xfId="28476"/>
    <cellStyle name="Обычный 7 3 2 3 9" xfId="28477"/>
    <cellStyle name="Обычный 7 3 2 4" xfId="28478"/>
    <cellStyle name="Обычный 7 3 2 4 10" xfId="28479"/>
    <cellStyle name="Обычный 7 3 2 4 2" xfId="28480"/>
    <cellStyle name="Обычный 7 3 2 4 2 2" xfId="28481"/>
    <cellStyle name="Обычный 7 3 2 4 2 2 2" xfId="28482"/>
    <cellStyle name="Обычный 7 3 2 4 2 2 2 2" xfId="28483"/>
    <cellStyle name="Обычный 7 3 2 4 2 2 2 2 2" xfId="28484"/>
    <cellStyle name="Обычный 7 3 2 4 2 2 2 2 2 2" xfId="28485"/>
    <cellStyle name="Обычный 7 3 2 4 2 2 2 2 2 3" xfId="28486"/>
    <cellStyle name="Обычный 7 3 2 4 2 2 2 2 3" xfId="28487"/>
    <cellStyle name="Обычный 7 3 2 4 2 2 2 2 3 2" xfId="28488"/>
    <cellStyle name="Обычный 7 3 2 4 2 2 2 2 3 3" xfId="28489"/>
    <cellStyle name="Обычный 7 3 2 4 2 2 2 2 4" xfId="28490"/>
    <cellStyle name="Обычный 7 3 2 4 2 2 2 2 4 2" xfId="28491"/>
    <cellStyle name="Обычный 7 3 2 4 2 2 2 2 5" xfId="28492"/>
    <cellStyle name="Обычный 7 3 2 4 2 2 2 2 6" xfId="28493"/>
    <cellStyle name="Обычный 7 3 2 4 2 2 2 3" xfId="28494"/>
    <cellStyle name="Обычный 7 3 2 4 2 2 2 3 2" xfId="28495"/>
    <cellStyle name="Обычный 7 3 2 4 2 2 2 3 3" xfId="28496"/>
    <cellStyle name="Обычный 7 3 2 4 2 2 2 4" xfId="28497"/>
    <cellStyle name="Обычный 7 3 2 4 2 2 2 4 2" xfId="28498"/>
    <cellStyle name="Обычный 7 3 2 4 2 2 2 4 3" xfId="28499"/>
    <cellStyle name="Обычный 7 3 2 4 2 2 2 5" xfId="28500"/>
    <cellStyle name="Обычный 7 3 2 4 2 2 2 5 2" xfId="28501"/>
    <cellStyle name="Обычный 7 3 2 4 2 2 2 6" xfId="28502"/>
    <cellStyle name="Обычный 7 3 2 4 2 2 2 7" xfId="28503"/>
    <cellStyle name="Обычный 7 3 2 4 2 2 3" xfId="28504"/>
    <cellStyle name="Обычный 7 3 2 4 2 2 3 2" xfId="28505"/>
    <cellStyle name="Обычный 7 3 2 4 2 2 3 2 2" xfId="28506"/>
    <cellStyle name="Обычный 7 3 2 4 2 2 3 2 3" xfId="28507"/>
    <cellStyle name="Обычный 7 3 2 4 2 2 3 3" xfId="28508"/>
    <cellStyle name="Обычный 7 3 2 4 2 2 3 3 2" xfId="28509"/>
    <cellStyle name="Обычный 7 3 2 4 2 2 3 3 3" xfId="28510"/>
    <cellStyle name="Обычный 7 3 2 4 2 2 3 4" xfId="28511"/>
    <cellStyle name="Обычный 7 3 2 4 2 2 3 4 2" xfId="28512"/>
    <cellStyle name="Обычный 7 3 2 4 2 2 3 5" xfId="28513"/>
    <cellStyle name="Обычный 7 3 2 4 2 2 3 6" xfId="28514"/>
    <cellStyle name="Обычный 7 3 2 4 2 2 4" xfId="28515"/>
    <cellStyle name="Обычный 7 3 2 4 2 2 4 2" xfId="28516"/>
    <cellStyle name="Обычный 7 3 2 4 2 2 4 3" xfId="28517"/>
    <cellStyle name="Обычный 7 3 2 4 2 2 5" xfId="28518"/>
    <cellStyle name="Обычный 7 3 2 4 2 2 5 2" xfId="28519"/>
    <cellStyle name="Обычный 7 3 2 4 2 2 5 3" xfId="28520"/>
    <cellStyle name="Обычный 7 3 2 4 2 2 6" xfId="28521"/>
    <cellStyle name="Обычный 7 3 2 4 2 2 6 2" xfId="28522"/>
    <cellStyle name="Обычный 7 3 2 4 2 2 7" xfId="28523"/>
    <cellStyle name="Обычный 7 3 2 4 2 2 8" xfId="28524"/>
    <cellStyle name="Обычный 7 3 2 4 2 3" xfId="28525"/>
    <cellStyle name="Обычный 7 3 2 4 2 3 2" xfId="28526"/>
    <cellStyle name="Обычный 7 3 2 4 2 3 2 2" xfId="28527"/>
    <cellStyle name="Обычный 7 3 2 4 2 3 2 2 2" xfId="28528"/>
    <cellStyle name="Обычный 7 3 2 4 2 3 2 2 3" xfId="28529"/>
    <cellStyle name="Обычный 7 3 2 4 2 3 2 3" xfId="28530"/>
    <cellStyle name="Обычный 7 3 2 4 2 3 2 3 2" xfId="28531"/>
    <cellStyle name="Обычный 7 3 2 4 2 3 2 3 3" xfId="28532"/>
    <cellStyle name="Обычный 7 3 2 4 2 3 2 4" xfId="28533"/>
    <cellStyle name="Обычный 7 3 2 4 2 3 2 4 2" xfId="28534"/>
    <cellStyle name="Обычный 7 3 2 4 2 3 2 5" xfId="28535"/>
    <cellStyle name="Обычный 7 3 2 4 2 3 2 6" xfId="28536"/>
    <cellStyle name="Обычный 7 3 2 4 2 3 3" xfId="28537"/>
    <cellStyle name="Обычный 7 3 2 4 2 3 3 2" xfId="28538"/>
    <cellStyle name="Обычный 7 3 2 4 2 3 3 3" xfId="28539"/>
    <cellStyle name="Обычный 7 3 2 4 2 3 4" xfId="28540"/>
    <cellStyle name="Обычный 7 3 2 4 2 3 4 2" xfId="28541"/>
    <cellStyle name="Обычный 7 3 2 4 2 3 4 3" xfId="28542"/>
    <cellStyle name="Обычный 7 3 2 4 2 3 5" xfId="28543"/>
    <cellStyle name="Обычный 7 3 2 4 2 3 5 2" xfId="28544"/>
    <cellStyle name="Обычный 7 3 2 4 2 3 6" xfId="28545"/>
    <cellStyle name="Обычный 7 3 2 4 2 3 7" xfId="28546"/>
    <cellStyle name="Обычный 7 3 2 4 2 4" xfId="28547"/>
    <cellStyle name="Обычный 7 3 2 4 2 4 2" xfId="28548"/>
    <cellStyle name="Обычный 7 3 2 4 2 4 2 2" xfId="28549"/>
    <cellStyle name="Обычный 7 3 2 4 2 4 2 3" xfId="28550"/>
    <cellStyle name="Обычный 7 3 2 4 2 4 3" xfId="28551"/>
    <cellStyle name="Обычный 7 3 2 4 2 4 3 2" xfId="28552"/>
    <cellStyle name="Обычный 7 3 2 4 2 4 3 3" xfId="28553"/>
    <cellStyle name="Обычный 7 3 2 4 2 4 4" xfId="28554"/>
    <cellStyle name="Обычный 7 3 2 4 2 4 4 2" xfId="28555"/>
    <cellStyle name="Обычный 7 3 2 4 2 4 5" xfId="28556"/>
    <cellStyle name="Обычный 7 3 2 4 2 4 6" xfId="28557"/>
    <cellStyle name="Обычный 7 3 2 4 2 5" xfId="28558"/>
    <cellStyle name="Обычный 7 3 2 4 2 5 2" xfId="28559"/>
    <cellStyle name="Обычный 7 3 2 4 2 5 3" xfId="28560"/>
    <cellStyle name="Обычный 7 3 2 4 2 6" xfId="28561"/>
    <cellStyle name="Обычный 7 3 2 4 2 6 2" xfId="28562"/>
    <cellStyle name="Обычный 7 3 2 4 2 6 3" xfId="28563"/>
    <cellStyle name="Обычный 7 3 2 4 2 7" xfId="28564"/>
    <cellStyle name="Обычный 7 3 2 4 2 7 2" xfId="28565"/>
    <cellStyle name="Обычный 7 3 2 4 2 8" xfId="28566"/>
    <cellStyle name="Обычный 7 3 2 4 2 9" xfId="28567"/>
    <cellStyle name="Обычный 7 3 2 4 3" xfId="28568"/>
    <cellStyle name="Обычный 7 3 2 4 3 2" xfId="28569"/>
    <cellStyle name="Обычный 7 3 2 4 3 2 2" xfId="28570"/>
    <cellStyle name="Обычный 7 3 2 4 3 2 2 2" xfId="28571"/>
    <cellStyle name="Обычный 7 3 2 4 3 2 2 2 2" xfId="28572"/>
    <cellStyle name="Обычный 7 3 2 4 3 2 2 2 3" xfId="28573"/>
    <cellStyle name="Обычный 7 3 2 4 3 2 2 3" xfId="28574"/>
    <cellStyle name="Обычный 7 3 2 4 3 2 2 3 2" xfId="28575"/>
    <cellStyle name="Обычный 7 3 2 4 3 2 2 3 3" xfId="28576"/>
    <cellStyle name="Обычный 7 3 2 4 3 2 2 4" xfId="28577"/>
    <cellStyle name="Обычный 7 3 2 4 3 2 2 4 2" xfId="28578"/>
    <cellStyle name="Обычный 7 3 2 4 3 2 2 5" xfId="28579"/>
    <cellStyle name="Обычный 7 3 2 4 3 2 2 6" xfId="28580"/>
    <cellStyle name="Обычный 7 3 2 4 3 2 3" xfId="28581"/>
    <cellStyle name="Обычный 7 3 2 4 3 2 3 2" xfId="28582"/>
    <cellStyle name="Обычный 7 3 2 4 3 2 3 3" xfId="28583"/>
    <cellStyle name="Обычный 7 3 2 4 3 2 4" xfId="28584"/>
    <cellStyle name="Обычный 7 3 2 4 3 2 4 2" xfId="28585"/>
    <cellStyle name="Обычный 7 3 2 4 3 2 4 3" xfId="28586"/>
    <cellStyle name="Обычный 7 3 2 4 3 2 5" xfId="28587"/>
    <cellStyle name="Обычный 7 3 2 4 3 2 5 2" xfId="28588"/>
    <cellStyle name="Обычный 7 3 2 4 3 2 6" xfId="28589"/>
    <cellStyle name="Обычный 7 3 2 4 3 2 7" xfId="28590"/>
    <cellStyle name="Обычный 7 3 2 4 3 3" xfId="28591"/>
    <cellStyle name="Обычный 7 3 2 4 3 3 2" xfId="28592"/>
    <cellStyle name="Обычный 7 3 2 4 3 3 2 2" xfId="28593"/>
    <cellStyle name="Обычный 7 3 2 4 3 3 2 3" xfId="28594"/>
    <cellStyle name="Обычный 7 3 2 4 3 3 3" xfId="28595"/>
    <cellStyle name="Обычный 7 3 2 4 3 3 3 2" xfId="28596"/>
    <cellStyle name="Обычный 7 3 2 4 3 3 3 3" xfId="28597"/>
    <cellStyle name="Обычный 7 3 2 4 3 3 4" xfId="28598"/>
    <cellStyle name="Обычный 7 3 2 4 3 3 4 2" xfId="28599"/>
    <cellStyle name="Обычный 7 3 2 4 3 3 5" xfId="28600"/>
    <cellStyle name="Обычный 7 3 2 4 3 3 6" xfId="28601"/>
    <cellStyle name="Обычный 7 3 2 4 3 4" xfId="28602"/>
    <cellStyle name="Обычный 7 3 2 4 3 4 2" xfId="28603"/>
    <cellStyle name="Обычный 7 3 2 4 3 4 3" xfId="28604"/>
    <cellStyle name="Обычный 7 3 2 4 3 5" xfId="28605"/>
    <cellStyle name="Обычный 7 3 2 4 3 5 2" xfId="28606"/>
    <cellStyle name="Обычный 7 3 2 4 3 5 3" xfId="28607"/>
    <cellStyle name="Обычный 7 3 2 4 3 6" xfId="28608"/>
    <cellStyle name="Обычный 7 3 2 4 3 6 2" xfId="28609"/>
    <cellStyle name="Обычный 7 3 2 4 3 7" xfId="28610"/>
    <cellStyle name="Обычный 7 3 2 4 3 8" xfId="28611"/>
    <cellStyle name="Обычный 7 3 2 4 4" xfId="28612"/>
    <cellStyle name="Обычный 7 3 2 4 4 2" xfId="28613"/>
    <cellStyle name="Обычный 7 3 2 4 4 2 2" xfId="28614"/>
    <cellStyle name="Обычный 7 3 2 4 4 2 2 2" xfId="28615"/>
    <cellStyle name="Обычный 7 3 2 4 4 2 2 3" xfId="28616"/>
    <cellStyle name="Обычный 7 3 2 4 4 2 3" xfId="28617"/>
    <cellStyle name="Обычный 7 3 2 4 4 2 3 2" xfId="28618"/>
    <cellStyle name="Обычный 7 3 2 4 4 2 3 3" xfId="28619"/>
    <cellStyle name="Обычный 7 3 2 4 4 2 4" xfId="28620"/>
    <cellStyle name="Обычный 7 3 2 4 4 2 4 2" xfId="28621"/>
    <cellStyle name="Обычный 7 3 2 4 4 2 5" xfId="28622"/>
    <cellStyle name="Обычный 7 3 2 4 4 2 6" xfId="28623"/>
    <cellStyle name="Обычный 7 3 2 4 4 3" xfId="28624"/>
    <cellStyle name="Обычный 7 3 2 4 4 3 2" xfId="28625"/>
    <cellStyle name="Обычный 7 3 2 4 4 3 3" xfId="28626"/>
    <cellStyle name="Обычный 7 3 2 4 4 4" xfId="28627"/>
    <cellStyle name="Обычный 7 3 2 4 4 4 2" xfId="28628"/>
    <cellStyle name="Обычный 7 3 2 4 4 4 3" xfId="28629"/>
    <cellStyle name="Обычный 7 3 2 4 4 5" xfId="28630"/>
    <cellStyle name="Обычный 7 3 2 4 4 5 2" xfId="28631"/>
    <cellStyle name="Обычный 7 3 2 4 4 6" xfId="28632"/>
    <cellStyle name="Обычный 7 3 2 4 4 7" xfId="28633"/>
    <cellStyle name="Обычный 7 3 2 4 5" xfId="28634"/>
    <cellStyle name="Обычный 7 3 2 4 5 2" xfId="28635"/>
    <cellStyle name="Обычный 7 3 2 4 5 2 2" xfId="28636"/>
    <cellStyle name="Обычный 7 3 2 4 5 2 3" xfId="28637"/>
    <cellStyle name="Обычный 7 3 2 4 5 3" xfId="28638"/>
    <cellStyle name="Обычный 7 3 2 4 5 3 2" xfId="28639"/>
    <cellStyle name="Обычный 7 3 2 4 5 3 3" xfId="28640"/>
    <cellStyle name="Обычный 7 3 2 4 5 4" xfId="28641"/>
    <cellStyle name="Обычный 7 3 2 4 5 4 2" xfId="28642"/>
    <cellStyle name="Обычный 7 3 2 4 5 5" xfId="28643"/>
    <cellStyle name="Обычный 7 3 2 4 5 6" xfId="28644"/>
    <cellStyle name="Обычный 7 3 2 4 6" xfId="28645"/>
    <cellStyle name="Обычный 7 3 2 4 6 2" xfId="28646"/>
    <cellStyle name="Обычный 7 3 2 4 6 3" xfId="28647"/>
    <cellStyle name="Обычный 7 3 2 4 7" xfId="28648"/>
    <cellStyle name="Обычный 7 3 2 4 7 2" xfId="28649"/>
    <cellStyle name="Обычный 7 3 2 4 7 3" xfId="28650"/>
    <cellStyle name="Обычный 7 3 2 4 8" xfId="28651"/>
    <cellStyle name="Обычный 7 3 2 4 8 2" xfId="28652"/>
    <cellStyle name="Обычный 7 3 2 4 9" xfId="28653"/>
    <cellStyle name="Обычный 7 3 2 5" xfId="28654"/>
    <cellStyle name="Обычный 7 3 2 5 2" xfId="28655"/>
    <cellStyle name="Обычный 7 3 2 5 2 2" xfId="28656"/>
    <cellStyle name="Обычный 7 3 2 5 2 2 2" xfId="28657"/>
    <cellStyle name="Обычный 7 3 2 5 2 2 2 2" xfId="28658"/>
    <cellStyle name="Обычный 7 3 2 5 2 2 2 2 2" xfId="28659"/>
    <cellStyle name="Обычный 7 3 2 5 2 2 2 2 3" xfId="28660"/>
    <cellStyle name="Обычный 7 3 2 5 2 2 2 3" xfId="28661"/>
    <cellStyle name="Обычный 7 3 2 5 2 2 2 3 2" xfId="28662"/>
    <cellStyle name="Обычный 7 3 2 5 2 2 2 3 3" xfId="28663"/>
    <cellStyle name="Обычный 7 3 2 5 2 2 2 4" xfId="28664"/>
    <cellStyle name="Обычный 7 3 2 5 2 2 2 4 2" xfId="28665"/>
    <cellStyle name="Обычный 7 3 2 5 2 2 2 5" xfId="28666"/>
    <cellStyle name="Обычный 7 3 2 5 2 2 2 6" xfId="28667"/>
    <cellStyle name="Обычный 7 3 2 5 2 2 3" xfId="28668"/>
    <cellStyle name="Обычный 7 3 2 5 2 2 3 2" xfId="28669"/>
    <cellStyle name="Обычный 7 3 2 5 2 2 3 3" xfId="28670"/>
    <cellStyle name="Обычный 7 3 2 5 2 2 4" xfId="28671"/>
    <cellStyle name="Обычный 7 3 2 5 2 2 4 2" xfId="28672"/>
    <cellStyle name="Обычный 7 3 2 5 2 2 4 3" xfId="28673"/>
    <cellStyle name="Обычный 7 3 2 5 2 2 5" xfId="28674"/>
    <cellStyle name="Обычный 7 3 2 5 2 2 5 2" xfId="28675"/>
    <cellStyle name="Обычный 7 3 2 5 2 2 6" xfId="28676"/>
    <cellStyle name="Обычный 7 3 2 5 2 2 7" xfId="28677"/>
    <cellStyle name="Обычный 7 3 2 5 2 3" xfId="28678"/>
    <cellStyle name="Обычный 7 3 2 5 2 3 2" xfId="28679"/>
    <cellStyle name="Обычный 7 3 2 5 2 3 2 2" xfId="28680"/>
    <cellStyle name="Обычный 7 3 2 5 2 3 2 3" xfId="28681"/>
    <cellStyle name="Обычный 7 3 2 5 2 3 3" xfId="28682"/>
    <cellStyle name="Обычный 7 3 2 5 2 3 3 2" xfId="28683"/>
    <cellStyle name="Обычный 7 3 2 5 2 3 3 3" xfId="28684"/>
    <cellStyle name="Обычный 7 3 2 5 2 3 4" xfId="28685"/>
    <cellStyle name="Обычный 7 3 2 5 2 3 4 2" xfId="28686"/>
    <cellStyle name="Обычный 7 3 2 5 2 3 5" xfId="28687"/>
    <cellStyle name="Обычный 7 3 2 5 2 3 6" xfId="28688"/>
    <cellStyle name="Обычный 7 3 2 5 2 4" xfId="28689"/>
    <cellStyle name="Обычный 7 3 2 5 2 4 2" xfId="28690"/>
    <cellStyle name="Обычный 7 3 2 5 2 4 3" xfId="28691"/>
    <cellStyle name="Обычный 7 3 2 5 2 5" xfId="28692"/>
    <cellStyle name="Обычный 7 3 2 5 2 5 2" xfId="28693"/>
    <cellStyle name="Обычный 7 3 2 5 2 5 3" xfId="28694"/>
    <cellStyle name="Обычный 7 3 2 5 2 6" xfId="28695"/>
    <cellStyle name="Обычный 7 3 2 5 2 6 2" xfId="28696"/>
    <cellStyle name="Обычный 7 3 2 5 2 7" xfId="28697"/>
    <cellStyle name="Обычный 7 3 2 5 2 8" xfId="28698"/>
    <cellStyle name="Обычный 7 3 2 5 3" xfId="28699"/>
    <cellStyle name="Обычный 7 3 2 5 3 2" xfId="28700"/>
    <cellStyle name="Обычный 7 3 2 5 3 2 2" xfId="28701"/>
    <cellStyle name="Обычный 7 3 2 5 3 2 2 2" xfId="28702"/>
    <cellStyle name="Обычный 7 3 2 5 3 2 2 3" xfId="28703"/>
    <cellStyle name="Обычный 7 3 2 5 3 2 3" xfId="28704"/>
    <cellStyle name="Обычный 7 3 2 5 3 2 3 2" xfId="28705"/>
    <cellStyle name="Обычный 7 3 2 5 3 2 3 3" xfId="28706"/>
    <cellStyle name="Обычный 7 3 2 5 3 2 4" xfId="28707"/>
    <cellStyle name="Обычный 7 3 2 5 3 2 4 2" xfId="28708"/>
    <cellStyle name="Обычный 7 3 2 5 3 2 5" xfId="28709"/>
    <cellStyle name="Обычный 7 3 2 5 3 2 6" xfId="28710"/>
    <cellStyle name="Обычный 7 3 2 5 3 3" xfId="28711"/>
    <cellStyle name="Обычный 7 3 2 5 3 3 2" xfId="28712"/>
    <cellStyle name="Обычный 7 3 2 5 3 3 3" xfId="28713"/>
    <cellStyle name="Обычный 7 3 2 5 3 4" xfId="28714"/>
    <cellStyle name="Обычный 7 3 2 5 3 4 2" xfId="28715"/>
    <cellStyle name="Обычный 7 3 2 5 3 4 3" xfId="28716"/>
    <cellStyle name="Обычный 7 3 2 5 3 5" xfId="28717"/>
    <cellStyle name="Обычный 7 3 2 5 3 5 2" xfId="28718"/>
    <cellStyle name="Обычный 7 3 2 5 3 6" xfId="28719"/>
    <cellStyle name="Обычный 7 3 2 5 3 7" xfId="28720"/>
    <cellStyle name="Обычный 7 3 2 5 4" xfId="28721"/>
    <cellStyle name="Обычный 7 3 2 5 4 2" xfId="28722"/>
    <cellStyle name="Обычный 7 3 2 5 4 2 2" xfId="28723"/>
    <cellStyle name="Обычный 7 3 2 5 4 2 3" xfId="28724"/>
    <cellStyle name="Обычный 7 3 2 5 4 3" xfId="28725"/>
    <cellStyle name="Обычный 7 3 2 5 4 3 2" xfId="28726"/>
    <cellStyle name="Обычный 7 3 2 5 4 3 3" xfId="28727"/>
    <cellStyle name="Обычный 7 3 2 5 4 4" xfId="28728"/>
    <cellStyle name="Обычный 7 3 2 5 4 4 2" xfId="28729"/>
    <cellStyle name="Обычный 7 3 2 5 4 5" xfId="28730"/>
    <cellStyle name="Обычный 7 3 2 5 4 6" xfId="28731"/>
    <cellStyle name="Обычный 7 3 2 5 5" xfId="28732"/>
    <cellStyle name="Обычный 7 3 2 5 5 2" xfId="28733"/>
    <cellStyle name="Обычный 7 3 2 5 5 3" xfId="28734"/>
    <cellStyle name="Обычный 7 3 2 5 6" xfId="28735"/>
    <cellStyle name="Обычный 7 3 2 5 6 2" xfId="28736"/>
    <cellStyle name="Обычный 7 3 2 5 6 3" xfId="28737"/>
    <cellStyle name="Обычный 7 3 2 5 7" xfId="28738"/>
    <cellStyle name="Обычный 7 3 2 5 7 2" xfId="28739"/>
    <cellStyle name="Обычный 7 3 2 5 8" xfId="28740"/>
    <cellStyle name="Обычный 7 3 2 5 9" xfId="28741"/>
    <cellStyle name="Обычный 7 3 2 6" xfId="28742"/>
    <cellStyle name="Обычный 7 3 2 6 2" xfId="28743"/>
    <cellStyle name="Обычный 7 3 2 6 2 2" xfId="28744"/>
    <cellStyle name="Обычный 7 3 2 6 2 2 2" xfId="28745"/>
    <cellStyle name="Обычный 7 3 2 6 2 2 2 2" xfId="28746"/>
    <cellStyle name="Обычный 7 3 2 6 2 2 2 3" xfId="28747"/>
    <cellStyle name="Обычный 7 3 2 6 2 2 3" xfId="28748"/>
    <cellStyle name="Обычный 7 3 2 6 2 2 3 2" xfId="28749"/>
    <cellStyle name="Обычный 7 3 2 6 2 2 3 3" xfId="28750"/>
    <cellStyle name="Обычный 7 3 2 6 2 2 4" xfId="28751"/>
    <cellStyle name="Обычный 7 3 2 6 2 2 4 2" xfId="28752"/>
    <cellStyle name="Обычный 7 3 2 6 2 2 5" xfId="28753"/>
    <cellStyle name="Обычный 7 3 2 6 2 2 6" xfId="28754"/>
    <cellStyle name="Обычный 7 3 2 6 2 3" xfId="28755"/>
    <cellStyle name="Обычный 7 3 2 6 2 3 2" xfId="28756"/>
    <cellStyle name="Обычный 7 3 2 6 2 3 3" xfId="28757"/>
    <cellStyle name="Обычный 7 3 2 6 2 4" xfId="28758"/>
    <cellStyle name="Обычный 7 3 2 6 2 4 2" xfId="28759"/>
    <cellStyle name="Обычный 7 3 2 6 2 4 3" xfId="28760"/>
    <cellStyle name="Обычный 7 3 2 6 2 5" xfId="28761"/>
    <cellStyle name="Обычный 7 3 2 6 2 5 2" xfId="28762"/>
    <cellStyle name="Обычный 7 3 2 6 2 6" xfId="28763"/>
    <cellStyle name="Обычный 7 3 2 6 2 7" xfId="28764"/>
    <cellStyle name="Обычный 7 3 2 6 3" xfId="28765"/>
    <cellStyle name="Обычный 7 3 2 6 3 2" xfId="28766"/>
    <cellStyle name="Обычный 7 3 2 6 3 2 2" xfId="28767"/>
    <cellStyle name="Обычный 7 3 2 6 3 2 3" xfId="28768"/>
    <cellStyle name="Обычный 7 3 2 6 3 3" xfId="28769"/>
    <cellStyle name="Обычный 7 3 2 6 3 3 2" xfId="28770"/>
    <cellStyle name="Обычный 7 3 2 6 3 3 3" xfId="28771"/>
    <cellStyle name="Обычный 7 3 2 6 3 4" xfId="28772"/>
    <cellStyle name="Обычный 7 3 2 6 3 4 2" xfId="28773"/>
    <cellStyle name="Обычный 7 3 2 6 3 5" xfId="28774"/>
    <cellStyle name="Обычный 7 3 2 6 3 6" xfId="28775"/>
    <cellStyle name="Обычный 7 3 2 6 4" xfId="28776"/>
    <cellStyle name="Обычный 7 3 2 6 4 2" xfId="28777"/>
    <cellStyle name="Обычный 7 3 2 6 4 3" xfId="28778"/>
    <cellStyle name="Обычный 7 3 2 6 5" xfId="28779"/>
    <cellStyle name="Обычный 7 3 2 6 5 2" xfId="28780"/>
    <cellStyle name="Обычный 7 3 2 6 5 3" xfId="28781"/>
    <cellStyle name="Обычный 7 3 2 6 6" xfId="28782"/>
    <cellStyle name="Обычный 7 3 2 6 6 2" xfId="28783"/>
    <cellStyle name="Обычный 7 3 2 6 7" xfId="28784"/>
    <cellStyle name="Обычный 7 3 2 6 8" xfId="28785"/>
    <cellStyle name="Обычный 7 3 2 7" xfId="28786"/>
    <cellStyle name="Обычный 7 3 2 7 2" xfId="28787"/>
    <cellStyle name="Обычный 7 3 2 7 2 2" xfId="28788"/>
    <cellStyle name="Обычный 7 3 2 7 2 2 2" xfId="28789"/>
    <cellStyle name="Обычный 7 3 2 7 2 2 3" xfId="28790"/>
    <cellStyle name="Обычный 7 3 2 7 2 3" xfId="28791"/>
    <cellStyle name="Обычный 7 3 2 7 2 3 2" xfId="28792"/>
    <cellStyle name="Обычный 7 3 2 7 2 3 3" xfId="28793"/>
    <cellStyle name="Обычный 7 3 2 7 2 4" xfId="28794"/>
    <cellStyle name="Обычный 7 3 2 7 2 4 2" xfId="28795"/>
    <cellStyle name="Обычный 7 3 2 7 2 5" xfId="28796"/>
    <cellStyle name="Обычный 7 3 2 7 2 6" xfId="28797"/>
    <cellStyle name="Обычный 7 3 2 7 3" xfId="28798"/>
    <cellStyle name="Обычный 7 3 2 7 3 2" xfId="28799"/>
    <cellStyle name="Обычный 7 3 2 7 3 3" xfId="28800"/>
    <cellStyle name="Обычный 7 3 2 7 4" xfId="28801"/>
    <cellStyle name="Обычный 7 3 2 7 4 2" xfId="28802"/>
    <cellStyle name="Обычный 7 3 2 7 4 3" xfId="28803"/>
    <cellStyle name="Обычный 7 3 2 7 5" xfId="28804"/>
    <cellStyle name="Обычный 7 3 2 7 5 2" xfId="28805"/>
    <cellStyle name="Обычный 7 3 2 7 6" xfId="28806"/>
    <cellStyle name="Обычный 7 3 2 7 7" xfId="28807"/>
    <cellStyle name="Обычный 7 3 2 8" xfId="28808"/>
    <cellStyle name="Обычный 7 3 2 8 2" xfId="28809"/>
    <cellStyle name="Обычный 7 3 2 8 2 2" xfId="28810"/>
    <cellStyle name="Обычный 7 3 2 8 2 3" xfId="28811"/>
    <cellStyle name="Обычный 7 3 2 8 3" xfId="28812"/>
    <cellStyle name="Обычный 7 3 2 8 3 2" xfId="28813"/>
    <cellStyle name="Обычный 7 3 2 8 3 3" xfId="28814"/>
    <cellStyle name="Обычный 7 3 2 8 4" xfId="28815"/>
    <cellStyle name="Обычный 7 3 2 8 4 2" xfId="28816"/>
    <cellStyle name="Обычный 7 3 2 8 5" xfId="28817"/>
    <cellStyle name="Обычный 7 3 2 8 6" xfId="28818"/>
    <cellStyle name="Обычный 7 3 2 9" xfId="28819"/>
    <cellStyle name="Обычный 7 3 2 9 2" xfId="28820"/>
    <cellStyle name="Обычный 7 3 2 9 3" xfId="28821"/>
    <cellStyle name="Обычный 7 3 3" xfId="28822"/>
    <cellStyle name="Обычный 7 3 3 10" xfId="28823"/>
    <cellStyle name="Обычный 7 3 3 2" xfId="28824"/>
    <cellStyle name="Обычный 7 3 3 2 2" xfId="28825"/>
    <cellStyle name="Обычный 7 3 3 2 2 2" xfId="28826"/>
    <cellStyle name="Обычный 7 3 3 2 2 2 2" xfId="28827"/>
    <cellStyle name="Обычный 7 3 3 2 2 2 2 2" xfId="28828"/>
    <cellStyle name="Обычный 7 3 3 2 2 2 2 2 2" xfId="28829"/>
    <cellStyle name="Обычный 7 3 3 2 2 2 2 2 3" xfId="28830"/>
    <cellStyle name="Обычный 7 3 3 2 2 2 2 3" xfId="28831"/>
    <cellStyle name="Обычный 7 3 3 2 2 2 2 3 2" xfId="28832"/>
    <cellStyle name="Обычный 7 3 3 2 2 2 2 3 3" xfId="28833"/>
    <cellStyle name="Обычный 7 3 3 2 2 2 2 4" xfId="28834"/>
    <cellStyle name="Обычный 7 3 3 2 2 2 2 4 2" xfId="28835"/>
    <cellStyle name="Обычный 7 3 3 2 2 2 2 5" xfId="28836"/>
    <cellStyle name="Обычный 7 3 3 2 2 2 2 6" xfId="28837"/>
    <cellStyle name="Обычный 7 3 3 2 2 2 3" xfId="28838"/>
    <cellStyle name="Обычный 7 3 3 2 2 2 3 2" xfId="28839"/>
    <cellStyle name="Обычный 7 3 3 2 2 2 3 3" xfId="28840"/>
    <cellStyle name="Обычный 7 3 3 2 2 2 4" xfId="28841"/>
    <cellStyle name="Обычный 7 3 3 2 2 2 4 2" xfId="28842"/>
    <cellStyle name="Обычный 7 3 3 2 2 2 4 3" xfId="28843"/>
    <cellStyle name="Обычный 7 3 3 2 2 2 5" xfId="28844"/>
    <cellStyle name="Обычный 7 3 3 2 2 2 5 2" xfId="28845"/>
    <cellStyle name="Обычный 7 3 3 2 2 2 6" xfId="28846"/>
    <cellStyle name="Обычный 7 3 3 2 2 2 7" xfId="28847"/>
    <cellStyle name="Обычный 7 3 3 2 2 3" xfId="28848"/>
    <cellStyle name="Обычный 7 3 3 2 2 3 2" xfId="28849"/>
    <cellStyle name="Обычный 7 3 3 2 2 3 2 2" xfId="28850"/>
    <cellStyle name="Обычный 7 3 3 2 2 3 2 3" xfId="28851"/>
    <cellStyle name="Обычный 7 3 3 2 2 3 3" xfId="28852"/>
    <cellStyle name="Обычный 7 3 3 2 2 3 3 2" xfId="28853"/>
    <cellStyle name="Обычный 7 3 3 2 2 3 3 3" xfId="28854"/>
    <cellStyle name="Обычный 7 3 3 2 2 3 4" xfId="28855"/>
    <cellStyle name="Обычный 7 3 3 2 2 3 4 2" xfId="28856"/>
    <cellStyle name="Обычный 7 3 3 2 2 3 5" xfId="28857"/>
    <cellStyle name="Обычный 7 3 3 2 2 3 6" xfId="28858"/>
    <cellStyle name="Обычный 7 3 3 2 2 4" xfId="28859"/>
    <cellStyle name="Обычный 7 3 3 2 2 4 2" xfId="28860"/>
    <cellStyle name="Обычный 7 3 3 2 2 4 3" xfId="28861"/>
    <cellStyle name="Обычный 7 3 3 2 2 5" xfId="28862"/>
    <cellStyle name="Обычный 7 3 3 2 2 5 2" xfId="28863"/>
    <cellStyle name="Обычный 7 3 3 2 2 5 3" xfId="28864"/>
    <cellStyle name="Обычный 7 3 3 2 2 6" xfId="28865"/>
    <cellStyle name="Обычный 7 3 3 2 2 6 2" xfId="28866"/>
    <cellStyle name="Обычный 7 3 3 2 2 7" xfId="28867"/>
    <cellStyle name="Обычный 7 3 3 2 2 8" xfId="28868"/>
    <cellStyle name="Обычный 7 3 3 2 3" xfId="28869"/>
    <cellStyle name="Обычный 7 3 3 2 3 2" xfId="28870"/>
    <cellStyle name="Обычный 7 3 3 2 3 2 2" xfId="28871"/>
    <cellStyle name="Обычный 7 3 3 2 3 2 2 2" xfId="28872"/>
    <cellStyle name="Обычный 7 3 3 2 3 2 2 3" xfId="28873"/>
    <cellStyle name="Обычный 7 3 3 2 3 2 3" xfId="28874"/>
    <cellStyle name="Обычный 7 3 3 2 3 2 3 2" xfId="28875"/>
    <cellStyle name="Обычный 7 3 3 2 3 2 3 3" xfId="28876"/>
    <cellStyle name="Обычный 7 3 3 2 3 2 4" xfId="28877"/>
    <cellStyle name="Обычный 7 3 3 2 3 2 4 2" xfId="28878"/>
    <cellStyle name="Обычный 7 3 3 2 3 2 5" xfId="28879"/>
    <cellStyle name="Обычный 7 3 3 2 3 2 6" xfId="28880"/>
    <cellStyle name="Обычный 7 3 3 2 3 3" xfId="28881"/>
    <cellStyle name="Обычный 7 3 3 2 3 3 2" xfId="28882"/>
    <cellStyle name="Обычный 7 3 3 2 3 3 3" xfId="28883"/>
    <cellStyle name="Обычный 7 3 3 2 3 4" xfId="28884"/>
    <cellStyle name="Обычный 7 3 3 2 3 4 2" xfId="28885"/>
    <cellStyle name="Обычный 7 3 3 2 3 4 3" xfId="28886"/>
    <cellStyle name="Обычный 7 3 3 2 3 5" xfId="28887"/>
    <cellStyle name="Обычный 7 3 3 2 3 5 2" xfId="28888"/>
    <cellStyle name="Обычный 7 3 3 2 3 6" xfId="28889"/>
    <cellStyle name="Обычный 7 3 3 2 3 7" xfId="28890"/>
    <cellStyle name="Обычный 7 3 3 2 4" xfId="28891"/>
    <cellStyle name="Обычный 7 3 3 2 4 2" xfId="28892"/>
    <cellStyle name="Обычный 7 3 3 2 4 2 2" xfId="28893"/>
    <cellStyle name="Обычный 7 3 3 2 4 2 3" xfId="28894"/>
    <cellStyle name="Обычный 7 3 3 2 4 3" xfId="28895"/>
    <cellStyle name="Обычный 7 3 3 2 4 3 2" xfId="28896"/>
    <cellStyle name="Обычный 7 3 3 2 4 3 3" xfId="28897"/>
    <cellStyle name="Обычный 7 3 3 2 4 4" xfId="28898"/>
    <cellStyle name="Обычный 7 3 3 2 4 4 2" xfId="28899"/>
    <cellStyle name="Обычный 7 3 3 2 4 5" xfId="28900"/>
    <cellStyle name="Обычный 7 3 3 2 4 6" xfId="28901"/>
    <cellStyle name="Обычный 7 3 3 2 5" xfId="28902"/>
    <cellStyle name="Обычный 7 3 3 2 5 2" xfId="28903"/>
    <cellStyle name="Обычный 7 3 3 2 5 3" xfId="28904"/>
    <cellStyle name="Обычный 7 3 3 2 6" xfId="28905"/>
    <cellStyle name="Обычный 7 3 3 2 6 2" xfId="28906"/>
    <cellStyle name="Обычный 7 3 3 2 6 3" xfId="28907"/>
    <cellStyle name="Обычный 7 3 3 2 7" xfId="28908"/>
    <cellStyle name="Обычный 7 3 3 2 7 2" xfId="28909"/>
    <cellStyle name="Обычный 7 3 3 2 8" xfId="28910"/>
    <cellStyle name="Обычный 7 3 3 2 9" xfId="28911"/>
    <cellStyle name="Обычный 7 3 3 3" xfId="28912"/>
    <cellStyle name="Обычный 7 3 3 3 2" xfId="28913"/>
    <cellStyle name="Обычный 7 3 3 3 2 2" xfId="28914"/>
    <cellStyle name="Обычный 7 3 3 3 2 2 2" xfId="28915"/>
    <cellStyle name="Обычный 7 3 3 3 2 2 2 2" xfId="28916"/>
    <cellStyle name="Обычный 7 3 3 3 2 2 2 3" xfId="28917"/>
    <cellStyle name="Обычный 7 3 3 3 2 2 3" xfId="28918"/>
    <cellStyle name="Обычный 7 3 3 3 2 2 3 2" xfId="28919"/>
    <cellStyle name="Обычный 7 3 3 3 2 2 3 3" xfId="28920"/>
    <cellStyle name="Обычный 7 3 3 3 2 2 4" xfId="28921"/>
    <cellStyle name="Обычный 7 3 3 3 2 2 4 2" xfId="28922"/>
    <cellStyle name="Обычный 7 3 3 3 2 2 5" xfId="28923"/>
    <cellStyle name="Обычный 7 3 3 3 2 2 6" xfId="28924"/>
    <cellStyle name="Обычный 7 3 3 3 2 3" xfId="28925"/>
    <cellStyle name="Обычный 7 3 3 3 2 3 2" xfId="28926"/>
    <cellStyle name="Обычный 7 3 3 3 2 3 3" xfId="28927"/>
    <cellStyle name="Обычный 7 3 3 3 2 4" xfId="28928"/>
    <cellStyle name="Обычный 7 3 3 3 2 4 2" xfId="28929"/>
    <cellStyle name="Обычный 7 3 3 3 2 4 3" xfId="28930"/>
    <cellStyle name="Обычный 7 3 3 3 2 5" xfId="28931"/>
    <cellStyle name="Обычный 7 3 3 3 2 5 2" xfId="28932"/>
    <cellStyle name="Обычный 7 3 3 3 2 6" xfId="28933"/>
    <cellStyle name="Обычный 7 3 3 3 2 7" xfId="28934"/>
    <cellStyle name="Обычный 7 3 3 3 3" xfId="28935"/>
    <cellStyle name="Обычный 7 3 3 3 3 2" xfId="28936"/>
    <cellStyle name="Обычный 7 3 3 3 3 2 2" xfId="28937"/>
    <cellStyle name="Обычный 7 3 3 3 3 2 3" xfId="28938"/>
    <cellStyle name="Обычный 7 3 3 3 3 3" xfId="28939"/>
    <cellStyle name="Обычный 7 3 3 3 3 3 2" xfId="28940"/>
    <cellStyle name="Обычный 7 3 3 3 3 3 3" xfId="28941"/>
    <cellStyle name="Обычный 7 3 3 3 3 4" xfId="28942"/>
    <cellStyle name="Обычный 7 3 3 3 3 4 2" xfId="28943"/>
    <cellStyle name="Обычный 7 3 3 3 3 5" xfId="28944"/>
    <cellStyle name="Обычный 7 3 3 3 3 6" xfId="28945"/>
    <cellStyle name="Обычный 7 3 3 3 4" xfId="28946"/>
    <cellStyle name="Обычный 7 3 3 3 4 2" xfId="28947"/>
    <cellStyle name="Обычный 7 3 3 3 4 3" xfId="28948"/>
    <cellStyle name="Обычный 7 3 3 3 5" xfId="28949"/>
    <cellStyle name="Обычный 7 3 3 3 5 2" xfId="28950"/>
    <cellStyle name="Обычный 7 3 3 3 5 3" xfId="28951"/>
    <cellStyle name="Обычный 7 3 3 3 6" xfId="28952"/>
    <cellStyle name="Обычный 7 3 3 3 6 2" xfId="28953"/>
    <cellStyle name="Обычный 7 3 3 3 7" xfId="28954"/>
    <cellStyle name="Обычный 7 3 3 3 8" xfId="28955"/>
    <cellStyle name="Обычный 7 3 3 4" xfId="28956"/>
    <cellStyle name="Обычный 7 3 3 4 2" xfId="28957"/>
    <cellStyle name="Обычный 7 3 3 4 2 2" xfId="28958"/>
    <cellStyle name="Обычный 7 3 3 4 2 2 2" xfId="28959"/>
    <cellStyle name="Обычный 7 3 3 4 2 2 3" xfId="28960"/>
    <cellStyle name="Обычный 7 3 3 4 2 3" xfId="28961"/>
    <cellStyle name="Обычный 7 3 3 4 2 3 2" xfId="28962"/>
    <cellStyle name="Обычный 7 3 3 4 2 3 3" xfId="28963"/>
    <cellStyle name="Обычный 7 3 3 4 2 4" xfId="28964"/>
    <cellStyle name="Обычный 7 3 3 4 2 4 2" xfId="28965"/>
    <cellStyle name="Обычный 7 3 3 4 2 5" xfId="28966"/>
    <cellStyle name="Обычный 7 3 3 4 2 6" xfId="28967"/>
    <cellStyle name="Обычный 7 3 3 4 3" xfId="28968"/>
    <cellStyle name="Обычный 7 3 3 4 3 2" xfId="28969"/>
    <cellStyle name="Обычный 7 3 3 4 3 3" xfId="28970"/>
    <cellStyle name="Обычный 7 3 3 4 4" xfId="28971"/>
    <cellStyle name="Обычный 7 3 3 4 4 2" xfId="28972"/>
    <cellStyle name="Обычный 7 3 3 4 4 3" xfId="28973"/>
    <cellStyle name="Обычный 7 3 3 4 5" xfId="28974"/>
    <cellStyle name="Обычный 7 3 3 4 5 2" xfId="28975"/>
    <cellStyle name="Обычный 7 3 3 4 6" xfId="28976"/>
    <cellStyle name="Обычный 7 3 3 4 7" xfId="28977"/>
    <cellStyle name="Обычный 7 3 3 5" xfId="28978"/>
    <cellStyle name="Обычный 7 3 3 5 2" xfId="28979"/>
    <cellStyle name="Обычный 7 3 3 5 2 2" xfId="28980"/>
    <cellStyle name="Обычный 7 3 3 5 2 3" xfId="28981"/>
    <cellStyle name="Обычный 7 3 3 5 3" xfId="28982"/>
    <cellStyle name="Обычный 7 3 3 5 3 2" xfId="28983"/>
    <cellStyle name="Обычный 7 3 3 5 3 3" xfId="28984"/>
    <cellStyle name="Обычный 7 3 3 5 4" xfId="28985"/>
    <cellStyle name="Обычный 7 3 3 5 4 2" xfId="28986"/>
    <cellStyle name="Обычный 7 3 3 5 5" xfId="28987"/>
    <cellStyle name="Обычный 7 3 3 5 6" xfId="28988"/>
    <cellStyle name="Обычный 7 3 3 6" xfId="28989"/>
    <cellStyle name="Обычный 7 3 3 6 2" xfId="28990"/>
    <cellStyle name="Обычный 7 3 3 6 3" xfId="28991"/>
    <cellStyle name="Обычный 7 3 3 7" xfId="28992"/>
    <cellStyle name="Обычный 7 3 3 7 2" xfId="28993"/>
    <cellStyle name="Обычный 7 3 3 7 3" xfId="28994"/>
    <cellStyle name="Обычный 7 3 3 8" xfId="28995"/>
    <cellStyle name="Обычный 7 3 3 8 2" xfId="28996"/>
    <cellStyle name="Обычный 7 3 3 9" xfId="28997"/>
    <cellStyle name="Обычный 7 3 4" xfId="28998"/>
    <cellStyle name="Обычный 7 3 4 10" xfId="28999"/>
    <cellStyle name="Обычный 7 3 4 2" xfId="29000"/>
    <cellStyle name="Обычный 7 3 4 2 2" xfId="29001"/>
    <cellStyle name="Обычный 7 3 4 2 2 2" xfId="29002"/>
    <cellStyle name="Обычный 7 3 4 2 2 2 2" xfId="29003"/>
    <cellStyle name="Обычный 7 3 4 2 2 2 2 2" xfId="29004"/>
    <cellStyle name="Обычный 7 3 4 2 2 2 2 2 2" xfId="29005"/>
    <cellStyle name="Обычный 7 3 4 2 2 2 2 2 3" xfId="29006"/>
    <cellStyle name="Обычный 7 3 4 2 2 2 2 3" xfId="29007"/>
    <cellStyle name="Обычный 7 3 4 2 2 2 2 3 2" xfId="29008"/>
    <cellStyle name="Обычный 7 3 4 2 2 2 2 3 3" xfId="29009"/>
    <cellStyle name="Обычный 7 3 4 2 2 2 2 4" xfId="29010"/>
    <cellStyle name="Обычный 7 3 4 2 2 2 2 4 2" xfId="29011"/>
    <cellStyle name="Обычный 7 3 4 2 2 2 2 5" xfId="29012"/>
    <cellStyle name="Обычный 7 3 4 2 2 2 2 6" xfId="29013"/>
    <cellStyle name="Обычный 7 3 4 2 2 2 3" xfId="29014"/>
    <cellStyle name="Обычный 7 3 4 2 2 2 3 2" xfId="29015"/>
    <cellStyle name="Обычный 7 3 4 2 2 2 3 3" xfId="29016"/>
    <cellStyle name="Обычный 7 3 4 2 2 2 4" xfId="29017"/>
    <cellStyle name="Обычный 7 3 4 2 2 2 4 2" xfId="29018"/>
    <cellStyle name="Обычный 7 3 4 2 2 2 4 3" xfId="29019"/>
    <cellStyle name="Обычный 7 3 4 2 2 2 5" xfId="29020"/>
    <cellStyle name="Обычный 7 3 4 2 2 2 5 2" xfId="29021"/>
    <cellStyle name="Обычный 7 3 4 2 2 2 6" xfId="29022"/>
    <cellStyle name="Обычный 7 3 4 2 2 2 7" xfId="29023"/>
    <cellStyle name="Обычный 7 3 4 2 2 3" xfId="29024"/>
    <cellStyle name="Обычный 7 3 4 2 2 3 2" xfId="29025"/>
    <cellStyle name="Обычный 7 3 4 2 2 3 2 2" xfId="29026"/>
    <cellStyle name="Обычный 7 3 4 2 2 3 2 3" xfId="29027"/>
    <cellStyle name="Обычный 7 3 4 2 2 3 3" xfId="29028"/>
    <cellStyle name="Обычный 7 3 4 2 2 3 3 2" xfId="29029"/>
    <cellStyle name="Обычный 7 3 4 2 2 3 3 3" xfId="29030"/>
    <cellStyle name="Обычный 7 3 4 2 2 3 4" xfId="29031"/>
    <cellStyle name="Обычный 7 3 4 2 2 3 4 2" xfId="29032"/>
    <cellStyle name="Обычный 7 3 4 2 2 3 5" xfId="29033"/>
    <cellStyle name="Обычный 7 3 4 2 2 3 6" xfId="29034"/>
    <cellStyle name="Обычный 7 3 4 2 2 4" xfId="29035"/>
    <cellStyle name="Обычный 7 3 4 2 2 4 2" xfId="29036"/>
    <cellStyle name="Обычный 7 3 4 2 2 4 3" xfId="29037"/>
    <cellStyle name="Обычный 7 3 4 2 2 5" xfId="29038"/>
    <cellStyle name="Обычный 7 3 4 2 2 5 2" xfId="29039"/>
    <cellStyle name="Обычный 7 3 4 2 2 5 3" xfId="29040"/>
    <cellStyle name="Обычный 7 3 4 2 2 6" xfId="29041"/>
    <cellStyle name="Обычный 7 3 4 2 2 6 2" xfId="29042"/>
    <cellStyle name="Обычный 7 3 4 2 2 7" xfId="29043"/>
    <cellStyle name="Обычный 7 3 4 2 2 8" xfId="29044"/>
    <cellStyle name="Обычный 7 3 4 2 3" xfId="29045"/>
    <cellStyle name="Обычный 7 3 4 2 3 2" xfId="29046"/>
    <cellStyle name="Обычный 7 3 4 2 3 2 2" xfId="29047"/>
    <cellStyle name="Обычный 7 3 4 2 3 2 2 2" xfId="29048"/>
    <cellStyle name="Обычный 7 3 4 2 3 2 2 3" xfId="29049"/>
    <cellStyle name="Обычный 7 3 4 2 3 2 3" xfId="29050"/>
    <cellStyle name="Обычный 7 3 4 2 3 2 3 2" xfId="29051"/>
    <cellStyle name="Обычный 7 3 4 2 3 2 3 3" xfId="29052"/>
    <cellStyle name="Обычный 7 3 4 2 3 2 4" xfId="29053"/>
    <cellStyle name="Обычный 7 3 4 2 3 2 4 2" xfId="29054"/>
    <cellStyle name="Обычный 7 3 4 2 3 2 5" xfId="29055"/>
    <cellStyle name="Обычный 7 3 4 2 3 2 6" xfId="29056"/>
    <cellStyle name="Обычный 7 3 4 2 3 3" xfId="29057"/>
    <cellStyle name="Обычный 7 3 4 2 3 3 2" xfId="29058"/>
    <cellStyle name="Обычный 7 3 4 2 3 3 3" xfId="29059"/>
    <cellStyle name="Обычный 7 3 4 2 3 4" xfId="29060"/>
    <cellStyle name="Обычный 7 3 4 2 3 4 2" xfId="29061"/>
    <cellStyle name="Обычный 7 3 4 2 3 4 3" xfId="29062"/>
    <cellStyle name="Обычный 7 3 4 2 3 5" xfId="29063"/>
    <cellStyle name="Обычный 7 3 4 2 3 5 2" xfId="29064"/>
    <cellStyle name="Обычный 7 3 4 2 3 6" xfId="29065"/>
    <cellStyle name="Обычный 7 3 4 2 3 7" xfId="29066"/>
    <cellStyle name="Обычный 7 3 4 2 4" xfId="29067"/>
    <cellStyle name="Обычный 7 3 4 2 4 2" xfId="29068"/>
    <cellStyle name="Обычный 7 3 4 2 4 2 2" xfId="29069"/>
    <cellStyle name="Обычный 7 3 4 2 4 2 3" xfId="29070"/>
    <cellStyle name="Обычный 7 3 4 2 4 3" xfId="29071"/>
    <cellStyle name="Обычный 7 3 4 2 4 3 2" xfId="29072"/>
    <cellStyle name="Обычный 7 3 4 2 4 3 3" xfId="29073"/>
    <cellStyle name="Обычный 7 3 4 2 4 4" xfId="29074"/>
    <cellStyle name="Обычный 7 3 4 2 4 4 2" xfId="29075"/>
    <cellStyle name="Обычный 7 3 4 2 4 5" xfId="29076"/>
    <cellStyle name="Обычный 7 3 4 2 4 6" xfId="29077"/>
    <cellStyle name="Обычный 7 3 4 2 5" xfId="29078"/>
    <cellStyle name="Обычный 7 3 4 2 5 2" xfId="29079"/>
    <cellStyle name="Обычный 7 3 4 2 5 3" xfId="29080"/>
    <cellStyle name="Обычный 7 3 4 2 6" xfId="29081"/>
    <cellStyle name="Обычный 7 3 4 2 6 2" xfId="29082"/>
    <cellStyle name="Обычный 7 3 4 2 6 3" xfId="29083"/>
    <cellStyle name="Обычный 7 3 4 2 7" xfId="29084"/>
    <cellStyle name="Обычный 7 3 4 2 7 2" xfId="29085"/>
    <cellStyle name="Обычный 7 3 4 2 8" xfId="29086"/>
    <cellStyle name="Обычный 7 3 4 2 9" xfId="29087"/>
    <cellStyle name="Обычный 7 3 4 3" xfId="29088"/>
    <cellStyle name="Обычный 7 3 4 3 2" xfId="29089"/>
    <cellStyle name="Обычный 7 3 4 3 2 2" xfId="29090"/>
    <cellStyle name="Обычный 7 3 4 3 2 2 2" xfId="29091"/>
    <cellStyle name="Обычный 7 3 4 3 2 2 2 2" xfId="29092"/>
    <cellStyle name="Обычный 7 3 4 3 2 2 2 3" xfId="29093"/>
    <cellStyle name="Обычный 7 3 4 3 2 2 3" xfId="29094"/>
    <cellStyle name="Обычный 7 3 4 3 2 2 3 2" xfId="29095"/>
    <cellStyle name="Обычный 7 3 4 3 2 2 3 3" xfId="29096"/>
    <cellStyle name="Обычный 7 3 4 3 2 2 4" xfId="29097"/>
    <cellStyle name="Обычный 7 3 4 3 2 2 4 2" xfId="29098"/>
    <cellStyle name="Обычный 7 3 4 3 2 2 5" xfId="29099"/>
    <cellStyle name="Обычный 7 3 4 3 2 2 6" xfId="29100"/>
    <cellStyle name="Обычный 7 3 4 3 2 3" xfId="29101"/>
    <cellStyle name="Обычный 7 3 4 3 2 3 2" xfId="29102"/>
    <cellStyle name="Обычный 7 3 4 3 2 3 3" xfId="29103"/>
    <cellStyle name="Обычный 7 3 4 3 2 4" xfId="29104"/>
    <cellStyle name="Обычный 7 3 4 3 2 4 2" xfId="29105"/>
    <cellStyle name="Обычный 7 3 4 3 2 4 3" xfId="29106"/>
    <cellStyle name="Обычный 7 3 4 3 2 5" xfId="29107"/>
    <cellStyle name="Обычный 7 3 4 3 2 5 2" xfId="29108"/>
    <cellStyle name="Обычный 7 3 4 3 2 6" xfId="29109"/>
    <cellStyle name="Обычный 7 3 4 3 2 7" xfId="29110"/>
    <cellStyle name="Обычный 7 3 4 3 3" xfId="29111"/>
    <cellStyle name="Обычный 7 3 4 3 3 2" xfId="29112"/>
    <cellStyle name="Обычный 7 3 4 3 3 2 2" xfId="29113"/>
    <cellStyle name="Обычный 7 3 4 3 3 2 3" xfId="29114"/>
    <cellStyle name="Обычный 7 3 4 3 3 3" xfId="29115"/>
    <cellStyle name="Обычный 7 3 4 3 3 3 2" xfId="29116"/>
    <cellStyle name="Обычный 7 3 4 3 3 3 3" xfId="29117"/>
    <cellStyle name="Обычный 7 3 4 3 3 4" xfId="29118"/>
    <cellStyle name="Обычный 7 3 4 3 3 4 2" xfId="29119"/>
    <cellStyle name="Обычный 7 3 4 3 3 5" xfId="29120"/>
    <cellStyle name="Обычный 7 3 4 3 3 6" xfId="29121"/>
    <cellStyle name="Обычный 7 3 4 3 4" xfId="29122"/>
    <cellStyle name="Обычный 7 3 4 3 4 2" xfId="29123"/>
    <cellStyle name="Обычный 7 3 4 3 4 3" xfId="29124"/>
    <cellStyle name="Обычный 7 3 4 3 5" xfId="29125"/>
    <cellStyle name="Обычный 7 3 4 3 5 2" xfId="29126"/>
    <cellStyle name="Обычный 7 3 4 3 5 3" xfId="29127"/>
    <cellStyle name="Обычный 7 3 4 3 6" xfId="29128"/>
    <cellStyle name="Обычный 7 3 4 3 6 2" xfId="29129"/>
    <cellStyle name="Обычный 7 3 4 3 7" xfId="29130"/>
    <cellStyle name="Обычный 7 3 4 3 8" xfId="29131"/>
    <cellStyle name="Обычный 7 3 4 4" xfId="29132"/>
    <cellStyle name="Обычный 7 3 4 4 2" xfId="29133"/>
    <cellStyle name="Обычный 7 3 4 4 2 2" xfId="29134"/>
    <cellStyle name="Обычный 7 3 4 4 2 2 2" xfId="29135"/>
    <cellStyle name="Обычный 7 3 4 4 2 2 3" xfId="29136"/>
    <cellStyle name="Обычный 7 3 4 4 2 3" xfId="29137"/>
    <cellStyle name="Обычный 7 3 4 4 2 3 2" xfId="29138"/>
    <cellStyle name="Обычный 7 3 4 4 2 3 3" xfId="29139"/>
    <cellStyle name="Обычный 7 3 4 4 2 4" xfId="29140"/>
    <cellStyle name="Обычный 7 3 4 4 2 4 2" xfId="29141"/>
    <cellStyle name="Обычный 7 3 4 4 2 5" xfId="29142"/>
    <cellStyle name="Обычный 7 3 4 4 2 6" xfId="29143"/>
    <cellStyle name="Обычный 7 3 4 4 3" xfId="29144"/>
    <cellStyle name="Обычный 7 3 4 4 3 2" xfId="29145"/>
    <cellStyle name="Обычный 7 3 4 4 3 3" xfId="29146"/>
    <cellStyle name="Обычный 7 3 4 4 4" xfId="29147"/>
    <cellStyle name="Обычный 7 3 4 4 4 2" xfId="29148"/>
    <cellStyle name="Обычный 7 3 4 4 4 3" xfId="29149"/>
    <cellStyle name="Обычный 7 3 4 4 5" xfId="29150"/>
    <cellStyle name="Обычный 7 3 4 4 5 2" xfId="29151"/>
    <cellStyle name="Обычный 7 3 4 4 6" xfId="29152"/>
    <cellStyle name="Обычный 7 3 4 4 7" xfId="29153"/>
    <cellStyle name="Обычный 7 3 4 5" xfId="29154"/>
    <cellStyle name="Обычный 7 3 4 5 2" xfId="29155"/>
    <cellStyle name="Обычный 7 3 4 5 2 2" xfId="29156"/>
    <cellStyle name="Обычный 7 3 4 5 2 3" xfId="29157"/>
    <cellStyle name="Обычный 7 3 4 5 3" xfId="29158"/>
    <cellStyle name="Обычный 7 3 4 5 3 2" xfId="29159"/>
    <cellStyle name="Обычный 7 3 4 5 3 3" xfId="29160"/>
    <cellStyle name="Обычный 7 3 4 5 4" xfId="29161"/>
    <cellStyle name="Обычный 7 3 4 5 4 2" xfId="29162"/>
    <cellStyle name="Обычный 7 3 4 5 5" xfId="29163"/>
    <cellStyle name="Обычный 7 3 4 5 6" xfId="29164"/>
    <cellStyle name="Обычный 7 3 4 6" xfId="29165"/>
    <cellStyle name="Обычный 7 3 4 6 2" xfId="29166"/>
    <cellStyle name="Обычный 7 3 4 6 3" xfId="29167"/>
    <cellStyle name="Обычный 7 3 4 7" xfId="29168"/>
    <cellStyle name="Обычный 7 3 4 7 2" xfId="29169"/>
    <cellStyle name="Обычный 7 3 4 7 3" xfId="29170"/>
    <cellStyle name="Обычный 7 3 4 8" xfId="29171"/>
    <cellStyle name="Обычный 7 3 4 8 2" xfId="29172"/>
    <cellStyle name="Обычный 7 3 4 9" xfId="29173"/>
    <cellStyle name="Обычный 7 3 5" xfId="29174"/>
    <cellStyle name="Обычный 7 3 5 10" xfId="29175"/>
    <cellStyle name="Обычный 7 3 5 2" xfId="29176"/>
    <cellStyle name="Обычный 7 3 5 2 2" xfId="29177"/>
    <cellStyle name="Обычный 7 3 5 2 2 2" xfId="29178"/>
    <cellStyle name="Обычный 7 3 5 2 2 2 2" xfId="29179"/>
    <cellStyle name="Обычный 7 3 5 2 2 2 2 2" xfId="29180"/>
    <cellStyle name="Обычный 7 3 5 2 2 2 2 2 2" xfId="29181"/>
    <cellStyle name="Обычный 7 3 5 2 2 2 2 2 3" xfId="29182"/>
    <cellStyle name="Обычный 7 3 5 2 2 2 2 3" xfId="29183"/>
    <cellStyle name="Обычный 7 3 5 2 2 2 2 3 2" xfId="29184"/>
    <cellStyle name="Обычный 7 3 5 2 2 2 2 3 3" xfId="29185"/>
    <cellStyle name="Обычный 7 3 5 2 2 2 2 4" xfId="29186"/>
    <cellStyle name="Обычный 7 3 5 2 2 2 2 4 2" xfId="29187"/>
    <cellStyle name="Обычный 7 3 5 2 2 2 2 5" xfId="29188"/>
    <cellStyle name="Обычный 7 3 5 2 2 2 2 6" xfId="29189"/>
    <cellStyle name="Обычный 7 3 5 2 2 2 3" xfId="29190"/>
    <cellStyle name="Обычный 7 3 5 2 2 2 3 2" xfId="29191"/>
    <cellStyle name="Обычный 7 3 5 2 2 2 3 3" xfId="29192"/>
    <cellStyle name="Обычный 7 3 5 2 2 2 4" xfId="29193"/>
    <cellStyle name="Обычный 7 3 5 2 2 2 4 2" xfId="29194"/>
    <cellStyle name="Обычный 7 3 5 2 2 2 4 3" xfId="29195"/>
    <cellStyle name="Обычный 7 3 5 2 2 2 5" xfId="29196"/>
    <cellStyle name="Обычный 7 3 5 2 2 2 5 2" xfId="29197"/>
    <cellStyle name="Обычный 7 3 5 2 2 2 6" xfId="29198"/>
    <cellStyle name="Обычный 7 3 5 2 2 2 7" xfId="29199"/>
    <cellStyle name="Обычный 7 3 5 2 2 3" xfId="29200"/>
    <cellStyle name="Обычный 7 3 5 2 2 3 2" xfId="29201"/>
    <cellStyle name="Обычный 7 3 5 2 2 3 2 2" xfId="29202"/>
    <cellStyle name="Обычный 7 3 5 2 2 3 2 3" xfId="29203"/>
    <cellStyle name="Обычный 7 3 5 2 2 3 3" xfId="29204"/>
    <cellStyle name="Обычный 7 3 5 2 2 3 3 2" xfId="29205"/>
    <cellStyle name="Обычный 7 3 5 2 2 3 3 3" xfId="29206"/>
    <cellStyle name="Обычный 7 3 5 2 2 3 4" xfId="29207"/>
    <cellStyle name="Обычный 7 3 5 2 2 3 4 2" xfId="29208"/>
    <cellStyle name="Обычный 7 3 5 2 2 3 5" xfId="29209"/>
    <cellStyle name="Обычный 7 3 5 2 2 3 6" xfId="29210"/>
    <cellStyle name="Обычный 7 3 5 2 2 4" xfId="29211"/>
    <cellStyle name="Обычный 7 3 5 2 2 4 2" xfId="29212"/>
    <cellStyle name="Обычный 7 3 5 2 2 4 3" xfId="29213"/>
    <cellStyle name="Обычный 7 3 5 2 2 5" xfId="29214"/>
    <cellStyle name="Обычный 7 3 5 2 2 5 2" xfId="29215"/>
    <cellStyle name="Обычный 7 3 5 2 2 5 3" xfId="29216"/>
    <cellStyle name="Обычный 7 3 5 2 2 6" xfId="29217"/>
    <cellStyle name="Обычный 7 3 5 2 2 6 2" xfId="29218"/>
    <cellStyle name="Обычный 7 3 5 2 2 7" xfId="29219"/>
    <cellStyle name="Обычный 7 3 5 2 2 8" xfId="29220"/>
    <cellStyle name="Обычный 7 3 5 2 3" xfId="29221"/>
    <cellStyle name="Обычный 7 3 5 2 3 2" xfId="29222"/>
    <cellStyle name="Обычный 7 3 5 2 3 2 2" xfId="29223"/>
    <cellStyle name="Обычный 7 3 5 2 3 2 2 2" xfId="29224"/>
    <cellStyle name="Обычный 7 3 5 2 3 2 2 3" xfId="29225"/>
    <cellStyle name="Обычный 7 3 5 2 3 2 3" xfId="29226"/>
    <cellStyle name="Обычный 7 3 5 2 3 2 3 2" xfId="29227"/>
    <cellStyle name="Обычный 7 3 5 2 3 2 3 3" xfId="29228"/>
    <cellStyle name="Обычный 7 3 5 2 3 2 4" xfId="29229"/>
    <cellStyle name="Обычный 7 3 5 2 3 2 4 2" xfId="29230"/>
    <cellStyle name="Обычный 7 3 5 2 3 2 5" xfId="29231"/>
    <cellStyle name="Обычный 7 3 5 2 3 2 6" xfId="29232"/>
    <cellStyle name="Обычный 7 3 5 2 3 3" xfId="29233"/>
    <cellStyle name="Обычный 7 3 5 2 3 3 2" xfId="29234"/>
    <cellStyle name="Обычный 7 3 5 2 3 3 3" xfId="29235"/>
    <cellStyle name="Обычный 7 3 5 2 3 4" xfId="29236"/>
    <cellStyle name="Обычный 7 3 5 2 3 4 2" xfId="29237"/>
    <cellStyle name="Обычный 7 3 5 2 3 4 3" xfId="29238"/>
    <cellStyle name="Обычный 7 3 5 2 3 5" xfId="29239"/>
    <cellStyle name="Обычный 7 3 5 2 3 5 2" xfId="29240"/>
    <cellStyle name="Обычный 7 3 5 2 3 6" xfId="29241"/>
    <cellStyle name="Обычный 7 3 5 2 3 7" xfId="29242"/>
    <cellStyle name="Обычный 7 3 5 2 4" xfId="29243"/>
    <cellStyle name="Обычный 7 3 5 2 4 2" xfId="29244"/>
    <cellStyle name="Обычный 7 3 5 2 4 2 2" xfId="29245"/>
    <cellStyle name="Обычный 7 3 5 2 4 2 3" xfId="29246"/>
    <cellStyle name="Обычный 7 3 5 2 4 3" xfId="29247"/>
    <cellStyle name="Обычный 7 3 5 2 4 3 2" xfId="29248"/>
    <cellStyle name="Обычный 7 3 5 2 4 3 3" xfId="29249"/>
    <cellStyle name="Обычный 7 3 5 2 4 4" xfId="29250"/>
    <cellStyle name="Обычный 7 3 5 2 4 4 2" xfId="29251"/>
    <cellStyle name="Обычный 7 3 5 2 4 5" xfId="29252"/>
    <cellStyle name="Обычный 7 3 5 2 4 6" xfId="29253"/>
    <cellStyle name="Обычный 7 3 5 2 5" xfId="29254"/>
    <cellStyle name="Обычный 7 3 5 2 5 2" xfId="29255"/>
    <cellStyle name="Обычный 7 3 5 2 5 3" xfId="29256"/>
    <cellStyle name="Обычный 7 3 5 2 6" xfId="29257"/>
    <cellStyle name="Обычный 7 3 5 2 6 2" xfId="29258"/>
    <cellStyle name="Обычный 7 3 5 2 6 3" xfId="29259"/>
    <cellStyle name="Обычный 7 3 5 2 7" xfId="29260"/>
    <cellStyle name="Обычный 7 3 5 2 7 2" xfId="29261"/>
    <cellStyle name="Обычный 7 3 5 2 8" xfId="29262"/>
    <cellStyle name="Обычный 7 3 5 2 9" xfId="29263"/>
    <cellStyle name="Обычный 7 3 5 3" xfId="29264"/>
    <cellStyle name="Обычный 7 3 5 3 2" xfId="29265"/>
    <cellStyle name="Обычный 7 3 5 3 2 2" xfId="29266"/>
    <cellStyle name="Обычный 7 3 5 3 2 2 2" xfId="29267"/>
    <cellStyle name="Обычный 7 3 5 3 2 2 2 2" xfId="29268"/>
    <cellStyle name="Обычный 7 3 5 3 2 2 2 3" xfId="29269"/>
    <cellStyle name="Обычный 7 3 5 3 2 2 3" xfId="29270"/>
    <cellStyle name="Обычный 7 3 5 3 2 2 3 2" xfId="29271"/>
    <cellStyle name="Обычный 7 3 5 3 2 2 3 3" xfId="29272"/>
    <cellStyle name="Обычный 7 3 5 3 2 2 4" xfId="29273"/>
    <cellStyle name="Обычный 7 3 5 3 2 2 4 2" xfId="29274"/>
    <cellStyle name="Обычный 7 3 5 3 2 2 5" xfId="29275"/>
    <cellStyle name="Обычный 7 3 5 3 2 2 6" xfId="29276"/>
    <cellStyle name="Обычный 7 3 5 3 2 3" xfId="29277"/>
    <cellStyle name="Обычный 7 3 5 3 2 3 2" xfId="29278"/>
    <cellStyle name="Обычный 7 3 5 3 2 3 3" xfId="29279"/>
    <cellStyle name="Обычный 7 3 5 3 2 4" xfId="29280"/>
    <cellStyle name="Обычный 7 3 5 3 2 4 2" xfId="29281"/>
    <cellStyle name="Обычный 7 3 5 3 2 4 3" xfId="29282"/>
    <cellStyle name="Обычный 7 3 5 3 2 5" xfId="29283"/>
    <cellStyle name="Обычный 7 3 5 3 2 5 2" xfId="29284"/>
    <cellStyle name="Обычный 7 3 5 3 2 6" xfId="29285"/>
    <cellStyle name="Обычный 7 3 5 3 2 7" xfId="29286"/>
    <cellStyle name="Обычный 7 3 5 3 3" xfId="29287"/>
    <cellStyle name="Обычный 7 3 5 3 3 2" xfId="29288"/>
    <cellStyle name="Обычный 7 3 5 3 3 2 2" xfId="29289"/>
    <cellStyle name="Обычный 7 3 5 3 3 2 3" xfId="29290"/>
    <cellStyle name="Обычный 7 3 5 3 3 3" xfId="29291"/>
    <cellStyle name="Обычный 7 3 5 3 3 3 2" xfId="29292"/>
    <cellStyle name="Обычный 7 3 5 3 3 3 3" xfId="29293"/>
    <cellStyle name="Обычный 7 3 5 3 3 4" xfId="29294"/>
    <cellStyle name="Обычный 7 3 5 3 3 4 2" xfId="29295"/>
    <cellStyle name="Обычный 7 3 5 3 3 5" xfId="29296"/>
    <cellStyle name="Обычный 7 3 5 3 3 6" xfId="29297"/>
    <cellStyle name="Обычный 7 3 5 3 4" xfId="29298"/>
    <cellStyle name="Обычный 7 3 5 3 4 2" xfId="29299"/>
    <cellStyle name="Обычный 7 3 5 3 4 3" xfId="29300"/>
    <cellStyle name="Обычный 7 3 5 3 5" xfId="29301"/>
    <cellStyle name="Обычный 7 3 5 3 5 2" xfId="29302"/>
    <cellStyle name="Обычный 7 3 5 3 5 3" xfId="29303"/>
    <cellStyle name="Обычный 7 3 5 3 6" xfId="29304"/>
    <cellStyle name="Обычный 7 3 5 3 6 2" xfId="29305"/>
    <cellStyle name="Обычный 7 3 5 3 7" xfId="29306"/>
    <cellStyle name="Обычный 7 3 5 3 8" xfId="29307"/>
    <cellStyle name="Обычный 7 3 5 4" xfId="29308"/>
    <cellStyle name="Обычный 7 3 5 4 2" xfId="29309"/>
    <cellStyle name="Обычный 7 3 5 4 2 2" xfId="29310"/>
    <cellStyle name="Обычный 7 3 5 4 2 2 2" xfId="29311"/>
    <cellStyle name="Обычный 7 3 5 4 2 2 3" xfId="29312"/>
    <cellStyle name="Обычный 7 3 5 4 2 3" xfId="29313"/>
    <cellStyle name="Обычный 7 3 5 4 2 3 2" xfId="29314"/>
    <cellStyle name="Обычный 7 3 5 4 2 3 3" xfId="29315"/>
    <cellStyle name="Обычный 7 3 5 4 2 4" xfId="29316"/>
    <cellStyle name="Обычный 7 3 5 4 2 4 2" xfId="29317"/>
    <cellStyle name="Обычный 7 3 5 4 2 5" xfId="29318"/>
    <cellStyle name="Обычный 7 3 5 4 2 6" xfId="29319"/>
    <cellStyle name="Обычный 7 3 5 4 3" xfId="29320"/>
    <cellStyle name="Обычный 7 3 5 4 3 2" xfId="29321"/>
    <cellStyle name="Обычный 7 3 5 4 3 3" xfId="29322"/>
    <cellStyle name="Обычный 7 3 5 4 4" xfId="29323"/>
    <cellStyle name="Обычный 7 3 5 4 4 2" xfId="29324"/>
    <cellStyle name="Обычный 7 3 5 4 4 3" xfId="29325"/>
    <cellStyle name="Обычный 7 3 5 4 5" xfId="29326"/>
    <cellStyle name="Обычный 7 3 5 4 5 2" xfId="29327"/>
    <cellStyle name="Обычный 7 3 5 4 6" xfId="29328"/>
    <cellStyle name="Обычный 7 3 5 4 7" xfId="29329"/>
    <cellStyle name="Обычный 7 3 5 5" xfId="29330"/>
    <cellStyle name="Обычный 7 3 5 5 2" xfId="29331"/>
    <cellStyle name="Обычный 7 3 5 5 2 2" xfId="29332"/>
    <cellStyle name="Обычный 7 3 5 5 2 3" xfId="29333"/>
    <cellStyle name="Обычный 7 3 5 5 3" xfId="29334"/>
    <cellStyle name="Обычный 7 3 5 5 3 2" xfId="29335"/>
    <cellStyle name="Обычный 7 3 5 5 3 3" xfId="29336"/>
    <cellStyle name="Обычный 7 3 5 5 4" xfId="29337"/>
    <cellStyle name="Обычный 7 3 5 5 4 2" xfId="29338"/>
    <cellStyle name="Обычный 7 3 5 5 5" xfId="29339"/>
    <cellStyle name="Обычный 7 3 5 5 6" xfId="29340"/>
    <cellStyle name="Обычный 7 3 5 6" xfId="29341"/>
    <cellStyle name="Обычный 7 3 5 6 2" xfId="29342"/>
    <cellStyle name="Обычный 7 3 5 6 3" xfId="29343"/>
    <cellStyle name="Обычный 7 3 5 7" xfId="29344"/>
    <cellStyle name="Обычный 7 3 5 7 2" xfId="29345"/>
    <cellStyle name="Обычный 7 3 5 7 3" xfId="29346"/>
    <cellStyle name="Обычный 7 3 5 8" xfId="29347"/>
    <cellStyle name="Обычный 7 3 5 8 2" xfId="29348"/>
    <cellStyle name="Обычный 7 3 5 9" xfId="29349"/>
    <cellStyle name="Обычный 7 3 6" xfId="29350"/>
    <cellStyle name="Обычный 7 3 6 2" xfId="29351"/>
    <cellStyle name="Обычный 7 3 6 2 2" xfId="29352"/>
    <cellStyle name="Обычный 7 3 6 2 2 2" xfId="29353"/>
    <cellStyle name="Обычный 7 3 6 2 2 2 2" xfId="29354"/>
    <cellStyle name="Обычный 7 3 6 2 2 2 2 2" xfId="29355"/>
    <cellStyle name="Обычный 7 3 6 2 2 2 2 3" xfId="29356"/>
    <cellStyle name="Обычный 7 3 6 2 2 2 3" xfId="29357"/>
    <cellStyle name="Обычный 7 3 6 2 2 2 3 2" xfId="29358"/>
    <cellStyle name="Обычный 7 3 6 2 2 2 3 3" xfId="29359"/>
    <cellStyle name="Обычный 7 3 6 2 2 2 4" xfId="29360"/>
    <cellStyle name="Обычный 7 3 6 2 2 2 4 2" xfId="29361"/>
    <cellStyle name="Обычный 7 3 6 2 2 2 5" xfId="29362"/>
    <cellStyle name="Обычный 7 3 6 2 2 2 6" xfId="29363"/>
    <cellStyle name="Обычный 7 3 6 2 2 3" xfId="29364"/>
    <cellStyle name="Обычный 7 3 6 2 2 3 2" xfId="29365"/>
    <cellStyle name="Обычный 7 3 6 2 2 3 3" xfId="29366"/>
    <cellStyle name="Обычный 7 3 6 2 2 4" xfId="29367"/>
    <cellStyle name="Обычный 7 3 6 2 2 4 2" xfId="29368"/>
    <cellStyle name="Обычный 7 3 6 2 2 4 3" xfId="29369"/>
    <cellStyle name="Обычный 7 3 6 2 2 5" xfId="29370"/>
    <cellStyle name="Обычный 7 3 6 2 2 5 2" xfId="29371"/>
    <cellStyle name="Обычный 7 3 6 2 2 6" xfId="29372"/>
    <cellStyle name="Обычный 7 3 6 2 2 7" xfId="29373"/>
    <cellStyle name="Обычный 7 3 6 2 3" xfId="29374"/>
    <cellStyle name="Обычный 7 3 6 2 3 2" xfId="29375"/>
    <cellStyle name="Обычный 7 3 6 2 3 2 2" xfId="29376"/>
    <cellStyle name="Обычный 7 3 6 2 3 2 3" xfId="29377"/>
    <cellStyle name="Обычный 7 3 6 2 3 3" xfId="29378"/>
    <cellStyle name="Обычный 7 3 6 2 3 3 2" xfId="29379"/>
    <cellStyle name="Обычный 7 3 6 2 3 3 3" xfId="29380"/>
    <cellStyle name="Обычный 7 3 6 2 3 4" xfId="29381"/>
    <cellStyle name="Обычный 7 3 6 2 3 4 2" xfId="29382"/>
    <cellStyle name="Обычный 7 3 6 2 3 5" xfId="29383"/>
    <cellStyle name="Обычный 7 3 6 2 3 6" xfId="29384"/>
    <cellStyle name="Обычный 7 3 6 2 4" xfId="29385"/>
    <cellStyle name="Обычный 7 3 6 2 4 2" xfId="29386"/>
    <cellStyle name="Обычный 7 3 6 2 4 3" xfId="29387"/>
    <cellStyle name="Обычный 7 3 6 2 5" xfId="29388"/>
    <cellStyle name="Обычный 7 3 6 2 5 2" xfId="29389"/>
    <cellStyle name="Обычный 7 3 6 2 5 3" xfId="29390"/>
    <cellStyle name="Обычный 7 3 6 2 6" xfId="29391"/>
    <cellStyle name="Обычный 7 3 6 2 6 2" xfId="29392"/>
    <cellStyle name="Обычный 7 3 6 2 7" xfId="29393"/>
    <cellStyle name="Обычный 7 3 6 2 8" xfId="29394"/>
    <cellStyle name="Обычный 7 3 6 3" xfId="29395"/>
    <cellStyle name="Обычный 7 3 6 3 2" xfId="29396"/>
    <cellStyle name="Обычный 7 3 6 3 2 2" xfId="29397"/>
    <cellStyle name="Обычный 7 3 6 3 2 2 2" xfId="29398"/>
    <cellStyle name="Обычный 7 3 6 3 2 2 3" xfId="29399"/>
    <cellStyle name="Обычный 7 3 6 3 2 3" xfId="29400"/>
    <cellStyle name="Обычный 7 3 6 3 2 3 2" xfId="29401"/>
    <cellStyle name="Обычный 7 3 6 3 2 3 3" xfId="29402"/>
    <cellStyle name="Обычный 7 3 6 3 2 4" xfId="29403"/>
    <cellStyle name="Обычный 7 3 6 3 2 4 2" xfId="29404"/>
    <cellStyle name="Обычный 7 3 6 3 2 5" xfId="29405"/>
    <cellStyle name="Обычный 7 3 6 3 2 6" xfId="29406"/>
    <cellStyle name="Обычный 7 3 6 3 3" xfId="29407"/>
    <cellStyle name="Обычный 7 3 6 3 3 2" xfId="29408"/>
    <cellStyle name="Обычный 7 3 6 3 3 3" xfId="29409"/>
    <cellStyle name="Обычный 7 3 6 3 4" xfId="29410"/>
    <cellStyle name="Обычный 7 3 6 3 4 2" xfId="29411"/>
    <cellStyle name="Обычный 7 3 6 3 4 3" xfId="29412"/>
    <cellStyle name="Обычный 7 3 6 3 5" xfId="29413"/>
    <cellStyle name="Обычный 7 3 6 3 5 2" xfId="29414"/>
    <cellStyle name="Обычный 7 3 6 3 6" xfId="29415"/>
    <cellStyle name="Обычный 7 3 6 3 7" xfId="29416"/>
    <cellStyle name="Обычный 7 3 6 4" xfId="29417"/>
    <cellStyle name="Обычный 7 3 6 4 2" xfId="29418"/>
    <cellStyle name="Обычный 7 3 6 4 2 2" xfId="29419"/>
    <cellStyle name="Обычный 7 3 6 4 2 3" xfId="29420"/>
    <cellStyle name="Обычный 7 3 6 4 3" xfId="29421"/>
    <cellStyle name="Обычный 7 3 6 4 3 2" xfId="29422"/>
    <cellStyle name="Обычный 7 3 6 4 3 3" xfId="29423"/>
    <cellStyle name="Обычный 7 3 6 4 4" xfId="29424"/>
    <cellStyle name="Обычный 7 3 6 4 4 2" xfId="29425"/>
    <cellStyle name="Обычный 7 3 6 4 5" xfId="29426"/>
    <cellStyle name="Обычный 7 3 6 4 6" xfId="29427"/>
    <cellStyle name="Обычный 7 3 6 5" xfId="29428"/>
    <cellStyle name="Обычный 7 3 6 5 2" xfId="29429"/>
    <cellStyle name="Обычный 7 3 6 5 3" xfId="29430"/>
    <cellStyle name="Обычный 7 3 6 6" xfId="29431"/>
    <cellStyle name="Обычный 7 3 6 6 2" xfId="29432"/>
    <cellStyle name="Обычный 7 3 6 6 3" xfId="29433"/>
    <cellStyle name="Обычный 7 3 6 7" xfId="29434"/>
    <cellStyle name="Обычный 7 3 6 7 2" xfId="29435"/>
    <cellStyle name="Обычный 7 3 6 8" xfId="29436"/>
    <cellStyle name="Обычный 7 3 6 9" xfId="29437"/>
    <cellStyle name="Обычный 7 3 7" xfId="29438"/>
    <cellStyle name="Обычный 7 3 7 2" xfId="29439"/>
    <cellStyle name="Обычный 7 3 7 2 2" xfId="29440"/>
    <cellStyle name="Обычный 7 3 7 2 2 2" xfId="29441"/>
    <cellStyle name="Обычный 7 3 7 2 2 2 2" xfId="29442"/>
    <cellStyle name="Обычный 7 3 7 2 2 2 3" xfId="29443"/>
    <cellStyle name="Обычный 7 3 7 2 2 3" xfId="29444"/>
    <cellStyle name="Обычный 7 3 7 2 2 3 2" xfId="29445"/>
    <cellStyle name="Обычный 7 3 7 2 2 3 3" xfId="29446"/>
    <cellStyle name="Обычный 7 3 7 2 2 4" xfId="29447"/>
    <cellStyle name="Обычный 7 3 7 2 2 4 2" xfId="29448"/>
    <cellStyle name="Обычный 7 3 7 2 2 5" xfId="29449"/>
    <cellStyle name="Обычный 7 3 7 2 2 6" xfId="29450"/>
    <cellStyle name="Обычный 7 3 7 2 3" xfId="29451"/>
    <cellStyle name="Обычный 7 3 7 2 3 2" xfId="29452"/>
    <cellStyle name="Обычный 7 3 7 2 3 3" xfId="29453"/>
    <cellStyle name="Обычный 7 3 7 2 4" xfId="29454"/>
    <cellStyle name="Обычный 7 3 7 2 4 2" xfId="29455"/>
    <cellStyle name="Обычный 7 3 7 2 4 3" xfId="29456"/>
    <cellStyle name="Обычный 7 3 7 2 5" xfId="29457"/>
    <cellStyle name="Обычный 7 3 7 2 5 2" xfId="29458"/>
    <cellStyle name="Обычный 7 3 7 2 6" xfId="29459"/>
    <cellStyle name="Обычный 7 3 7 2 7" xfId="29460"/>
    <cellStyle name="Обычный 7 3 7 3" xfId="29461"/>
    <cellStyle name="Обычный 7 3 7 3 2" xfId="29462"/>
    <cellStyle name="Обычный 7 3 7 3 2 2" xfId="29463"/>
    <cellStyle name="Обычный 7 3 7 3 2 3" xfId="29464"/>
    <cellStyle name="Обычный 7 3 7 3 3" xfId="29465"/>
    <cellStyle name="Обычный 7 3 7 3 3 2" xfId="29466"/>
    <cellStyle name="Обычный 7 3 7 3 3 3" xfId="29467"/>
    <cellStyle name="Обычный 7 3 7 3 4" xfId="29468"/>
    <cellStyle name="Обычный 7 3 7 3 4 2" xfId="29469"/>
    <cellStyle name="Обычный 7 3 7 3 5" xfId="29470"/>
    <cellStyle name="Обычный 7 3 7 3 6" xfId="29471"/>
    <cellStyle name="Обычный 7 3 7 4" xfId="29472"/>
    <cellStyle name="Обычный 7 3 7 4 2" xfId="29473"/>
    <cellStyle name="Обычный 7 3 7 4 3" xfId="29474"/>
    <cellStyle name="Обычный 7 3 7 5" xfId="29475"/>
    <cellStyle name="Обычный 7 3 7 5 2" xfId="29476"/>
    <cellStyle name="Обычный 7 3 7 5 3" xfId="29477"/>
    <cellStyle name="Обычный 7 3 7 6" xfId="29478"/>
    <cellStyle name="Обычный 7 3 7 6 2" xfId="29479"/>
    <cellStyle name="Обычный 7 3 7 7" xfId="29480"/>
    <cellStyle name="Обычный 7 3 7 8" xfId="29481"/>
    <cellStyle name="Обычный 7 3 8" xfId="29482"/>
    <cellStyle name="Обычный 7 3 8 2" xfId="29483"/>
    <cellStyle name="Обычный 7 3 8 2 2" xfId="29484"/>
    <cellStyle name="Обычный 7 3 8 2 2 2" xfId="29485"/>
    <cellStyle name="Обычный 7 3 8 2 2 3" xfId="29486"/>
    <cellStyle name="Обычный 7 3 8 2 3" xfId="29487"/>
    <cellStyle name="Обычный 7 3 8 2 3 2" xfId="29488"/>
    <cellStyle name="Обычный 7 3 8 2 3 3" xfId="29489"/>
    <cellStyle name="Обычный 7 3 8 2 4" xfId="29490"/>
    <cellStyle name="Обычный 7 3 8 2 4 2" xfId="29491"/>
    <cellStyle name="Обычный 7 3 8 2 5" xfId="29492"/>
    <cellStyle name="Обычный 7 3 8 2 6" xfId="29493"/>
    <cellStyle name="Обычный 7 3 8 3" xfId="29494"/>
    <cellStyle name="Обычный 7 3 8 3 2" xfId="29495"/>
    <cellStyle name="Обычный 7 3 8 3 3" xfId="29496"/>
    <cellStyle name="Обычный 7 3 8 4" xfId="29497"/>
    <cellStyle name="Обычный 7 3 8 4 2" xfId="29498"/>
    <cellStyle name="Обычный 7 3 8 4 3" xfId="29499"/>
    <cellStyle name="Обычный 7 3 8 5" xfId="29500"/>
    <cellStyle name="Обычный 7 3 8 5 2" xfId="29501"/>
    <cellStyle name="Обычный 7 3 8 6" xfId="29502"/>
    <cellStyle name="Обычный 7 3 8 7" xfId="29503"/>
    <cellStyle name="Обычный 7 3 9" xfId="29504"/>
    <cellStyle name="Обычный 7 3 9 2" xfId="29505"/>
    <cellStyle name="Обычный 7 3 9 2 2" xfId="29506"/>
    <cellStyle name="Обычный 7 3 9 2 3" xfId="29507"/>
    <cellStyle name="Обычный 7 3 9 3" xfId="29508"/>
    <cellStyle name="Обычный 7 3 9 3 2" xfId="29509"/>
    <cellStyle name="Обычный 7 3 9 3 3" xfId="29510"/>
    <cellStyle name="Обычный 7 3 9 4" xfId="29511"/>
    <cellStyle name="Обычный 7 3 9 4 2" xfId="29512"/>
    <cellStyle name="Обычный 7 3 9 5" xfId="29513"/>
    <cellStyle name="Обычный 7 3 9 6" xfId="29514"/>
    <cellStyle name="Обычный 7 4" xfId="29515"/>
    <cellStyle name="Обычный 7 4 10" xfId="29516"/>
    <cellStyle name="Обычный 7 4 10 2" xfId="29517"/>
    <cellStyle name="Обычный 7 4 10 3" xfId="29518"/>
    <cellStyle name="Обычный 7 4 11" xfId="29519"/>
    <cellStyle name="Обычный 7 4 11 2" xfId="29520"/>
    <cellStyle name="Обычный 7 4 11 3" xfId="29521"/>
    <cellStyle name="Обычный 7 4 12" xfId="29522"/>
    <cellStyle name="Обычный 7 4 12 2" xfId="29523"/>
    <cellStyle name="Обычный 7 4 13" xfId="29524"/>
    <cellStyle name="Обычный 7 4 14" xfId="29525"/>
    <cellStyle name="Обычный 7 4 2" xfId="29526"/>
    <cellStyle name="Обычный 7 4 2 10" xfId="29527"/>
    <cellStyle name="Обычный 7 4 2 10 2" xfId="29528"/>
    <cellStyle name="Обычный 7 4 2 10 3" xfId="29529"/>
    <cellStyle name="Обычный 7 4 2 11" xfId="29530"/>
    <cellStyle name="Обычный 7 4 2 11 2" xfId="29531"/>
    <cellStyle name="Обычный 7 4 2 12" xfId="29532"/>
    <cellStyle name="Обычный 7 4 2 13" xfId="29533"/>
    <cellStyle name="Обычный 7 4 2 2" xfId="29534"/>
    <cellStyle name="Обычный 7 4 2 2 10" xfId="29535"/>
    <cellStyle name="Обычный 7 4 2 2 2" xfId="29536"/>
    <cellStyle name="Обычный 7 4 2 2 2 2" xfId="29537"/>
    <cellStyle name="Обычный 7 4 2 2 2 2 2" xfId="29538"/>
    <cellStyle name="Обычный 7 4 2 2 2 2 2 2" xfId="29539"/>
    <cellStyle name="Обычный 7 4 2 2 2 2 2 2 2" xfId="29540"/>
    <cellStyle name="Обычный 7 4 2 2 2 2 2 2 2 2" xfId="29541"/>
    <cellStyle name="Обычный 7 4 2 2 2 2 2 2 2 3" xfId="29542"/>
    <cellStyle name="Обычный 7 4 2 2 2 2 2 2 3" xfId="29543"/>
    <cellStyle name="Обычный 7 4 2 2 2 2 2 2 3 2" xfId="29544"/>
    <cellStyle name="Обычный 7 4 2 2 2 2 2 2 3 3" xfId="29545"/>
    <cellStyle name="Обычный 7 4 2 2 2 2 2 2 4" xfId="29546"/>
    <cellStyle name="Обычный 7 4 2 2 2 2 2 2 4 2" xfId="29547"/>
    <cellStyle name="Обычный 7 4 2 2 2 2 2 2 5" xfId="29548"/>
    <cellStyle name="Обычный 7 4 2 2 2 2 2 2 6" xfId="29549"/>
    <cellStyle name="Обычный 7 4 2 2 2 2 2 3" xfId="29550"/>
    <cellStyle name="Обычный 7 4 2 2 2 2 2 3 2" xfId="29551"/>
    <cellStyle name="Обычный 7 4 2 2 2 2 2 3 3" xfId="29552"/>
    <cellStyle name="Обычный 7 4 2 2 2 2 2 4" xfId="29553"/>
    <cellStyle name="Обычный 7 4 2 2 2 2 2 4 2" xfId="29554"/>
    <cellStyle name="Обычный 7 4 2 2 2 2 2 4 3" xfId="29555"/>
    <cellStyle name="Обычный 7 4 2 2 2 2 2 5" xfId="29556"/>
    <cellStyle name="Обычный 7 4 2 2 2 2 2 5 2" xfId="29557"/>
    <cellStyle name="Обычный 7 4 2 2 2 2 2 6" xfId="29558"/>
    <cellStyle name="Обычный 7 4 2 2 2 2 2 7" xfId="29559"/>
    <cellStyle name="Обычный 7 4 2 2 2 2 3" xfId="29560"/>
    <cellStyle name="Обычный 7 4 2 2 2 2 3 2" xfId="29561"/>
    <cellStyle name="Обычный 7 4 2 2 2 2 3 2 2" xfId="29562"/>
    <cellStyle name="Обычный 7 4 2 2 2 2 3 2 3" xfId="29563"/>
    <cellStyle name="Обычный 7 4 2 2 2 2 3 3" xfId="29564"/>
    <cellStyle name="Обычный 7 4 2 2 2 2 3 3 2" xfId="29565"/>
    <cellStyle name="Обычный 7 4 2 2 2 2 3 3 3" xfId="29566"/>
    <cellStyle name="Обычный 7 4 2 2 2 2 3 4" xfId="29567"/>
    <cellStyle name="Обычный 7 4 2 2 2 2 3 4 2" xfId="29568"/>
    <cellStyle name="Обычный 7 4 2 2 2 2 3 5" xfId="29569"/>
    <cellStyle name="Обычный 7 4 2 2 2 2 3 6" xfId="29570"/>
    <cellStyle name="Обычный 7 4 2 2 2 2 4" xfId="29571"/>
    <cellStyle name="Обычный 7 4 2 2 2 2 4 2" xfId="29572"/>
    <cellStyle name="Обычный 7 4 2 2 2 2 4 3" xfId="29573"/>
    <cellStyle name="Обычный 7 4 2 2 2 2 5" xfId="29574"/>
    <cellStyle name="Обычный 7 4 2 2 2 2 5 2" xfId="29575"/>
    <cellStyle name="Обычный 7 4 2 2 2 2 5 3" xfId="29576"/>
    <cellStyle name="Обычный 7 4 2 2 2 2 6" xfId="29577"/>
    <cellStyle name="Обычный 7 4 2 2 2 2 6 2" xfId="29578"/>
    <cellStyle name="Обычный 7 4 2 2 2 2 7" xfId="29579"/>
    <cellStyle name="Обычный 7 4 2 2 2 2 8" xfId="29580"/>
    <cellStyle name="Обычный 7 4 2 2 2 3" xfId="29581"/>
    <cellStyle name="Обычный 7 4 2 2 2 3 2" xfId="29582"/>
    <cellStyle name="Обычный 7 4 2 2 2 3 2 2" xfId="29583"/>
    <cellStyle name="Обычный 7 4 2 2 2 3 2 2 2" xfId="29584"/>
    <cellStyle name="Обычный 7 4 2 2 2 3 2 2 3" xfId="29585"/>
    <cellStyle name="Обычный 7 4 2 2 2 3 2 3" xfId="29586"/>
    <cellStyle name="Обычный 7 4 2 2 2 3 2 3 2" xfId="29587"/>
    <cellStyle name="Обычный 7 4 2 2 2 3 2 3 3" xfId="29588"/>
    <cellStyle name="Обычный 7 4 2 2 2 3 2 4" xfId="29589"/>
    <cellStyle name="Обычный 7 4 2 2 2 3 2 4 2" xfId="29590"/>
    <cellStyle name="Обычный 7 4 2 2 2 3 2 5" xfId="29591"/>
    <cellStyle name="Обычный 7 4 2 2 2 3 2 6" xfId="29592"/>
    <cellStyle name="Обычный 7 4 2 2 2 3 3" xfId="29593"/>
    <cellStyle name="Обычный 7 4 2 2 2 3 3 2" xfId="29594"/>
    <cellStyle name="Обычный 7 4 2 2 2 3 3 3" xfId="29595"/>
    <cellStyle name="Обычный 7 4 2 2 2 3 4" xfId="29596"/>
    <cellStyle name="Обычный 7 4 2 2 2 3 4 2" xfId="29597"/>
    <cellStyle name="Обычный 7 4 2 2 2 3 4 3" xfId="29598"/>
    <cellStyle name="Обычный 7 4 2 2 2 3 5" xfId="29599"/>
    <cellStyle name="Обычный 7 4 2 2 2 3 5 2" xfId="29600"/>
    <cellStyle name="Обычный 7 4 2 2 2 3 6" xfId="29601"/>
    <cellStyle name="Обычный 7 4 2 2 2 3 7" xfId="29602"/>
    <cellStyle name="Обычный 7 4 2 2 2 4" xfId="29603"/>
    <cellStyle name="Обычный 7 4 2 2 2 4 2" xfId="29604"/>
    <cellStyle name="Обычный 7 4 2 2 2 4 2 2" xfId="29605"/>
    <cellStyle name="Обычный 7 4 2 2 2 4 2 3" xfId="29606"/>
    <cellStyle name="Обычный 7 4 2 2 2 4 3" xfId="29607"/>
    <cellStyle name="Обычный 7 4 2 2 2 4 3 2" xfId="29608"/>
    <cellStyle name="Обычный 7 4 2 2 2 4 3 3" xfId="29609"/>
    <cellStyle name="Обычный 7 4 2 2 2 4 4" xfId="29610"/>
    <cellStyle name="Обычный 7 4 2 2 2 4 4 2" xfId="29611"/>
    <cellStyle name="Обычный 7 4 2 2 2 4 5" xfId="29612"/>
    <cellStyle name="Обычный 7 4 2 2 2 4 6" xfId="29613"/>
    <cellStyle name="Обычный 7 4 2 2 2 5" xfId="29614"/>
    <cellStyle name="Обычный 7 4 2 2 2 5 2" xfId="29615"/>
    <cellStyle name="Обычный 7 4 2 2 2 5 3" xfId="29616"/>
    <cellStyle name="Обычный 7 4 2 2 2 6" xfId="29617"/>
    <cellStyle name="Обычный 7 4 2 2 2 6 2" xfId="29618"/>
    <cellStyle name="Обычный 7 4 2 2 2 6 3" xfId="29619"/>
    <cellStyle name="Обычный 7 4 2 2 2 7" xfId="29620"/>
    <cellStyle name="Обычный 7 4 2 2 2 7 2" xfId="29621"/>
    <cellStyle name="Обычный 7 4 2 2 2 8" xfId="29622"/>
    <cellStyle name="Обычный 7 4 2 2 2 9" xfId="29623"/>
    <cellStyle name="Обычный 7 4 2 2 3" xfId="29624"/>
    <cellStyle name="Обычный 7 4 2 2 3 2" xfId="29625"/>
    <cellStyle name="Обычный 7 4 2 2 3 2 2" xfId="29626"/>
    <cellStyle name="Обычный 7 4 2 2 3 2 2 2" xfId="29627"/>
    <cellStyle name="Обычный 7 4 2 2 3 2 2 2 2" xfId="29628"/>
    <cellStyle name="Обычный 7 4 2 2 3 2 2 2 3" xfId="29629"/>
    <cellStyle name="Обычный 7 4 2 2 3 2 2 3" xfId="29630"/>
    <cellStyle name="Обычный 7 4 2 2 3 2 2 3 2" xfId="29631"/>
    <cellStyle name="Обычный 7 4 2 2 3 2 2 3 3" xfId="29632"/>
    <cellStyle name="Обычный 7 4 2 2 3 2 2 4" xfId="29633"/>
    <cellStyle name="Обычный 7 4 2 2 3 2 2 4 2" xfId="29634"/>
    <cellStyle name="Обычный 7 4 2 2 3 2 2 5" xfId="29635"/>
    <cellStyle name="Обычный 7 4 2 2 3 2 2 6" xfId="29636"/>
    <cellStyle name="Обычный 7 4 2 2 3 2 3" xfId="29637"/>
    <cellStyle name="Обычный 7 4 2 2 3 2 3 2" xfId="29638"/>
    <cellStyle name="Обычный 7 4 2 2 3 2 3 3" xfId="29639"/>
    <cellStyle name="Обычный 7 4 2 2 3 2 4" xfId="29640"/>
    <cellStyle name="Обычный 7 4 2 2 3 2 4 2" xfId="29641"/>
    <cellStyle name="Обычный 7 4 2 2 3 2 4 3" xfId="29642"/>
    <cellStyle name="Обычный 7 4 2 2 3 2 5" xfId="29643"/>
    <cellStyle name="Обычный 7 4 2 2 3 2 5 2" xfId="29644"/>
    <cellStyle name="Обычный 7 4 2 2 3 2 6" xfId="29645"/>
    <cellStyle name="Обычный 7 4 2 2 3 2 7" xfId="29646"/>
    <cellStyle name="Обычный 7 4 2 2 3 3" xfId="29647"/>
    <cellStyle name="Обычный 7 4 2 2 3 3 2" xfId="29648"/>
    <cellStyle name="Обычный 7 4 2 2 3 3 2 2" xfId="29649"/>
    <cellStyle name="Обычный 7 4 2 2 3 3 2 3" xfId="29650"/>
    <cellStyle name="Обычный 7 4 2 2 3 3 3" xfId="29651"/>
    <cellStyle name="Обычный 7 4 2 2 3 3 3 2" xfId="29652"/>
    <cellStyle name="Обычный 7 4 2 2 3 3 3 3" xfId="29653"/>
    <cellStyle name="Обычный 7 4 2 2 3 3 4" xfId="29654"/>
    <cellStyle name="Обычный 7 4 2 2 3 3 4 2" xfId="29655"/>
    <cellStyle name="Обычный 7 4 2 2 3 3 5" xfId="29656"/>
    <cellStyle name="Обычный 7 4 2 2 3 3 6" xfId="29657"/>
    <cellStyle name="Обычный 7 4 2 2 3 4" xfId="29658"/>
    <cellStyle name="Обычный 7 4 2 2 3 4 2" xfId="29659"/>
    <cellStyle name="Обычный 7 4 2 2 3 4 3" xfId="29660"/>
    <cellStyle name="Обычный 7 4 2 2 3 5" xfId="29661"/>
    <cellStyle name="Обычный 7 4 2 2 3 5 2" xfId="29662"/>
    <cellStyle name="Обычный 7 4 2 2 3 5 3" xfId="29663"/>
    <cellStyle name="Обычный 7 4 2 2 3 6" xfId="29664"/>
    <cellStyle name="Обычный 7 4 2 2 3 6 2" xfId="29665"/>
    <cellStyle name="Обычный 7 4 2 2 3 7" xfId="29666"/>
    <cellStyle name="Обычный 7 4 2 2 3 8" xfId="29667"/>
    <cellStyle name="Обычный 7 4 2 2 4" xfId="29668"/>
    <cellStyle name="Обычный 7 4 2 2 4 2" xfId="29669"/>
    <cellStyle name="Обычный 7 4 2 2 4 2 2" xfId="29670"/>
    <cellStyle name="Обычный 7 4 2 2 4 2 2 2" xfId="29671"/>
    <cellStyle name="Обычный 7 4 2 2 4 2 2 3" xfId="29672"/>
    <cellStyle name="Обычный 7 4 2 2 4 2 3" xfId="29673"/>
    <cellStyle name="Обычный 7 4 2 2 4 2 3 2" xfId="29674"/>
    <cellStyle name="Обычный 7 4 2 2 4 2 3 3" xfId="29675"/>
    <cellStyle name="Обычный 7 4 2 2 4 2 4" xfId="29676"/>
    <cellStyle name="Обычный 7 4 2 2 4 2 4 2" xfId="29677"/>
    <cellStyle name="Обычный 7 4 2 2 4 2 5" xfId="29678"/>
    <cellStyle name="Обычный 7 4 2 2 4 2 6" xfId="29679"/>
    <cellStyle name="Обычный 7 4 2 2 4 3" xfId="29680"/>
    <cellStyle name="Обычный 7 4 2 2 4 3 2" xfId="29681"/>
    <cellStyle name="Обычный 7 4 2 2 4 3 3" xfId="29682"/>
    <cellStyle name="Обычный 7 4 2 2 4 4" xfId="29683"/>
    <cellStyle name="Обычный 7 4 2 2 4 4 2" xfId="29684"/>
    <cellStyle name="Обычный 7 4 2 2 4 4 3" xfId="29685"/>
    <cellStyle name="Обычный 7 4 2 2 4 5" xfId="29686"/>
    <cellStyle name="Обычный 7 4 2 2 4 5 2" xfId="29687"/>
    <cellStyle name="Обычный 7 4 2 2 4 6" xfId="29688"/>
    <cellStyle name="Обычный 7 4 2 2 4 7" xfId="29689"/>
    <cellStyle name="Обычный 7 4 2 2 5" xfId="29690"/>
    <cellStyle name="Обычный 7 4 2 2 5 2" xfId="29691"/>
    <cellStyle name="Обычный 7 4 2 2 5 2 2" xfId="29692"/>
    <cellStyle name="Обычный 7 4 2 2 5 2 3" xfId="29693"/>
    <cellStyle name="Обычный 7 4 2 2 5 3" xfId="29694"/>
    <cellStyle name="Обычный 7 4 2 2 5 3 2" xfId="29695"/>
    <cellStyle name="Обычный 7 4 2 2 5 3 3" xfId="29696"/>
    <cellStyle name="Обычный 7 4 2 2 5 4" xfId="29697"/>
    <cellStyle name="Обычный 7 4 2 2 5 4 2" xfId="29698"/>
    <cellStyle name="Обычный 7 4 2 2 5 5" xfId="29699"/>
    <cellStyle name="Обычный 7 4 2 2 5 6" xfId="29700"/>
    <cellStyle name="Обычный 7 4 2 2 6" xfId="29701"/>
    <cellStyle name="Обычный 7 4 2 2 6 2" xfId="29702"/>
    <cellStyle name="Обычный 7 4 2 2 6 3" xfId="29703"/>
    <cellStyle name="Обычный 7 4 2 2 7" xfId="29704"/>
    <cellStyle name="Обычный 7 4 2 2 7 2" xfId="29705"/>
    <cellStyle name="Обычный 7 4 2 2 7 3" xfId="29706"/>
    <cellStyle name="Обычный 7 4 2 2 8" xfId="29707"/>
    <cellStyle name="Обычный 7 4 2 2 8 2" xfId="29708"/>
    <cellStyle name="Обычный 7 4 2 2 9" xfId="29709"/>
    <cellStyle name="Обычный 7 4 2 3" xfId="29710"/>
    <cellStyle name="Обычный 7 4 2 3 10" xfId="29711"/>
    <cellStyle name="Обычный 7 4 2 3 2" xfId="29712"/>
    <cellStyle name="Обычный 7 4 2 3 2 2" xfId="29713"/>
    <cellStyle name="Обычный 7 4 2 3 2 2 2" xfId="29714"/>
    <cellStyle name="Обычный 7 4 2 3 2 2 2 2" xfId="29715"/>
    <cellStyle name="Обычный 7 4 2 3 2 2 2 2 2" xfId="29716"/>
    <cellStyle name="Обычный 7 4 2 3 2 2 2 2 2 2" xfId="29717"/>
    <cellStyle name="Обычный 7 4 2 3 2 2 2 2 2 3" xfId="29718"/>
    <cellStyle name="Обычный 7 4 2 3 2 2 2 2 3" xfId="29719"/>
    <cellStyle name="Обычный 7 4 2 3 2 2 2 2 3 2" xfId="29720"/>
    <cellStyle name="Обычный 7 4 2 3 2 2 2 2 3 3" xfId="29721"/>
    <cellStyle name="Обычный 7 4 2 3 2 2 2 2 4" xfId="29722"/>
    <cellStyle name="Обычный 7 4 2 3 2 2 2 2 4 2" xfId="29723"/>
    <cellStyle name="Обычный 7 4 2 3 2 2 2 2 5" xfId="29724"/>
    <cellStyle name="Обычный 7 4 2 3 2 2 2 2 6" xfId="29725"/>
    <cellStyle name="Обычный 7 4 2 3 2 2 2 3" xfId="29726"/>
    <cellStyle name="Обычный 7 4 2 3 2 2 2 3 2" xfId="29727"/>
    <cellStyle name="Обычный 7 4 2 3 2 2 2 3 3" xfId="29728"/>
    <cellStyle name="Обычный 7 4 2 3 2 2 2 4" xfId="29729"/>
    <cellStyle name="Обычный 7 4 2 3 2 2 2 4 2" xfId="29730"/>
    <cellStyle name="Обычный 7 4 2 3 2 2 2 4 3" xfId="29731"/>
    <cellStyle name="Обычный 7 4 2 3 2 2 2 5" xfId="29732"/>
    <cellStyle name="Обычный 7 4 2 3 2 2 2 5 2" xfId="29733"/>
    <cellStyle name="Обычный 7 4 2 3 2 2 2 6" xfId="29734"/>
    <cellStyle name="Обычный 7 4 2 3 2 2 2 7" xfId="29735"/>
    <cellStyle name="Обычный 7 4 2 3 2 2 3" xfId="29736"/>
    <cellStyle name="Обычный 7 4 2 3 2 2 3 2" xfId="29737"/>
    <cellStyle name="Обычный 7 4 2 3 2 2 3 2 2" xfId="29738"/>
    <cellStyle name="Обычный 7 4 2 3 2 2 3 2 3" xfId="29739"/>
    <cellStyle name="Обычный 7 4 2 3 2 2 3 3" xfId="29740"/>
    <cellStyle name="Обычный 7 4 2 3 2 2 3 3 2" xfId="29741"/>
    <cellStyle name="Обычный 7 4 2 3 2 2 3 3 3" xfId="29742"/>
    <cellStyle name="Обычный 7 4 2 3 2 2 3 4" xfId="29743"/>
    <cellStyle name="Обычный 7 4 2 3 2 2 3 4 2" xfId="29744"/>
    <cellStyle name="Обычный 7 4 2 3 2 2 3 5" xfId="29745"/>
    <cellStyle name="Обычный 7 4 2 3 2 2 3 6" xfId="29746"/>
    <cellStyle name="Обычный 7 4 2 3 2 2 4" xfId="29747"/>
    <cellStyle name="Обычный 7 4 2 3 2 2 4 2" xfId="29748"/>
    <cellStyle name="Обычный 7 4 2 3 2 2 4 3" xfId="29749"/>
    <cellStyle name="Обычный 7 4 2 3 2 2 5" xfId="29750"/>
    <cellStyle name="Обычный 7 4 2 3 2 2 5 2" xfId="29751"/>
    <cellStyle name="Обычный 7 4 2 3 2 2 5 3" xfId="29752"/>
    <cellStyle name="Обычный 7 4 2 3 2 2 6" xfId="29753"/>
    <cellStyle name="Обычный 7 4 2 3 2 2 6 2" xfId="29754"/>
    <cellStyle name="Обычный 7 4 2 3 2 2 7" xfId="29755"/>
    <cellStyle name="Обычный 7 4 2 3 2 2 8" xfId="29756"/>
    <cellStyle name="Обычный 7 4 2 3 2 3" xfId="29757"/>
    <cellStyle name="Обычный 7 4 2 3 2 3 2" xfId="29758"/>
    <cellStyle name="Обычный 7 4 2 3 2 3 2 2" xfId="29759"/>
    <cellStyle name="Обычный 7 4 2 3 2 3 2 2 2" xfId="29760"/>
    <cellStyle name="Обычный 7 4 2 3 2 3 2 2 3" xfId="29761"/>
    <cellStyle name="Обычный 7 4 2 3 2 3 2 3" xfId="29762"/>
    <cellStyle name="Обычный 7 4 2 3 2 3 2 3 2" xfId="29763"/>
    <cellStyle name="Обычный 7 4 2 3 2 3 2 3 3" xfId="29764"/>
    <cellStyle name="Обычный 7 4 2 3 2 3 2 4" xfId="29765"/>
    <cellStyle name="Обычный 7 4 2 3 2 3 2 4 2" xfId="29766"/>
    <cellStyle name="Обычный 7 4 2 3 2 3 2 5" xfId="29767"/>
    <cellStyle name="Обычный 7 4 2 3 2 3 2 6" xfId="29768"/>
    <cellStyle name="Обычный 7 4 2 3 2 3 3" xfId="29769"/>
    <cellStyle name="Обычный 7 4 2 3 2 3 3 2" xfId="29770"/>
    <cellStyle name="Обычный 7 4 2 3 2 3 3 3" xfId="29771"/>
    <cellStyle name="Обычный 7 4 2 3 2 3 4" xfId="29772"/>
    <cellStyle name="Обычный 7 4 2 3 2 3 4 2" xfId="29773"/>
    <cellStyle name="Обычный 7 4 2 3 2 3 4 3" xfId="29774"/>
    <cellStyle name="Обычный 7 4 2 3 2 3 5" xfId="29775"/>
    <cellStyle name="Обычный 7 4 2 3 2 3 5 2" xfId="29776"/>
    <cellStyle name="Обычный 7 4 2 3 2 3 6" xfId="29777"/>
    <cellStyle name="Обычный 7 4 2 3 2 3 7" xfId="29778"/>
    <cellStyle name="Обычный 7 4 2 3 2 4" xfId="29779"/>
    <cellStyle name="Обычный 7 4 2 3 2 4 2" xfId="29780"/>
    <cellStyle name="Обычный 7 4 2 3 2 4 2 2" xfId="29781"/>
    <cellStyle name="Обычный 7 4 2 3 2 4 2 3" xfId="29782"/>
    <cellStyle name="Обычный 7 4 2 3 2 4 3" xfId="29783"/>
    <cellStyle name="Обычный 7 4 2 3 2 4 3 2" xfId="29784"/>
    <cellStyle name="Обычный 7 4 2 3 2 4 3 3" xfId="29785"/>
    <cellStyle name="Обычный 7 4 2 3 2 4 4" xfId="29786"/>
    <cellStyle name="Обычный 7 4 2 3 2 4 4 2" xfId="29787"/>
    <cellStyle name="Обычный 7 4 2 3 2 4 5" xfId="29788"/>
    <cellStyle name="Обычный 7 4 2 3 2 4 6" xfId="29789"/>
    <cellStyle name="Обычный 7 4 2 3 2 5" xfId="29790"/>
    <cellStyle name="Обычный 7 4 2 3 2 5 2" xfId="29791"/>
    <cellStyle name="Обычный 7 4 2 3 2 5 3" xfId="29792"/>
    <cellStyle name="Обычный 7 4 2 3 2 6" xfId="29793"/>
    <cellStyle name="Обычный 7 4 2 3 2 6 2" xfId="29794"/>
    <cellStyle name="Обычный 7 4 2 3 2 6 3" xfId="29795"/>
    <cellStyle name="Обычный 7 4 2 3 2 7" xfId="29796"/>
    <cellStyle name="Обычный 7 4 2 3 2 7 2" xfId="29797"/>
    <cellStyle name="Обычный 7 4 2 3 2 8" xfId="29798"/>
    <cellStyle name="Обычный 7 4 2 3 2 9" xfId="29799"/>
    <cellStyle name="Обычный 7 4 2 3 3" xfId="29800"/>
    <cellStyle name="Обычный 7 4 2 3 3 2" xfId="29801"/>
    <cellStyle name="Обычный 7 4 2 3 3 2 2" xfId="29802"/>
    <cellStyle name="Обычный 7 4 2 3 3 2 2 2" xfId="29803"/>
    <cellStyle name="Обычный 7 4 2 3 3 2 2 2 2" xfId="29804"/>
    <cellStyle name="Обычный 7 4 2 3 3 2 2 2 3" xfId="29805"/>
    <cellStyle name="Обычный 7 4 2 3 3 2 2 3" xfId="29806"/>
    <cellStyle name="Обычный 7 4 2 3 3 2 2 3 2" xfId="29807"/>
    <cellStyle name="Обычный 7 4 2 3 3 2 2 3 3" xfId="29808"/>
    <cellStyle name="Обычный 7 4 2 3 3 2 2 4" xfId="29809"/>
    <cellStyle name="Обычный 7 4 2 3 3 2 2 4 2" xfId="29810"/>
    <cellStyle name="Обычный 7 4 2 3 3 2 2 5" xfId="29811"/>
    <cellStyle name="Обычный 7 4 2 3 3 2 2 6" xfId="29812"/>
    <cellStyle name="Обычный 7 4 2 3 3 2 3" xfId="29813"/>
    <cellStyle name="Обычный 7 4 2 3 3 2 3 2" xfId="29814"/>
    <cellStyle name="Обычный 7 4 2 3 3 2 3 3" xfId="29815"/>
    <cellStyle name="Обычный 7 4 2 3 3 2 4" xfId="29816"/>
    <cellStyle name="Обычный 7 4 2 3 3 2 4 2" xfId="29817"/>
    <cellStyle name="Обычный 7 4 2 3 3 2 4 3" xfId="29818"/>
    <cellStyle name="Обычный 7 4 2 3 3 2 5" xfId="29819"/>
    <cellStyle name="Обычный 7 4 2 3 3 2 5 2" xfId="29820"/>
    <cellStyle name="Обычный 7 4 2 3 3 2 6" xfId="29821"/>
    <cellStyle name="Обычный 7 4 2 3 3 2 7" xfId="29822"/>
    <cellStyle name="Обычный 7 4 2 3 3 3" xfId="29823"/>
    <cellStyle name="Обычный 7 4 2 3 3 3 2" xfId="29824"/>
    <cellStyle name="Обычный 7 4 2 3 3 3 2 2" xfId="29825"/>
    <cellStyle name="Обычный 7 4 2 3 3 3 2 3" xfId="29826"/>
    <cellStyle name="Обычный 7 4 2 3 3 3 3" xfId="29827"/>
    <cellStyle name="Обычный 7 4 2 3 3 3 3 2" xfId="29828"/>
    <cellStyle name="Обычный 7 4 2 3 3 3 3 3" xfId="29829"/>
    <cellStyle name="Обычный 7 4 2 3 3 3 4" xfId="29830"/>
    <cellStyle name="Обычный 7 4 2 3 3 3 4 2" xfId="29831"/>
    <cellStyle name="Обычный 7 4 2 3 3 3 5" xfId="29832"/>
    <cellStyle name="Обычный 7 4 2 3 3 3 6" xfId="29833"/>
    <cellStyle name="Обычный 7 4 2 3 3 4" xfId="29834"/>
    <cellStyle name="Обычный 7 4 2 3 3 4 2" xfId="29835"/>
    <cellStyle name="Обычный 7 4 2 3 3 4 3" xfId="29836"/>
    <cellStyle name="Обычный 7 4 2 3 3 5" xfId="29837"/>
    <cellStyle name="Обычный 7 4 2 3 3 5 2" xfId="29838"/>
    <cellStyle name="Обычный 7 4 2 3 3 5 3" xfId="29839"/>
    <cellStyle name="Обычный 7 4 2 3 3 6" xfId="29840"/>
    <cellStyle name="Обычный 7 4 2 3 3 6 2" xfId="29841"/>
    <cellStyle name="Обычный 7 4 2 3 3 7" xfId="29842"/>
    <cellStyle name="Обычный 7 4 2 3 3 8" xfId="29843"/>
    <cellStyle name="Обычный 7 4 2 3 4" xfId="29844"/>
    <cellStyle name="Обычный 7 4 2 3 4 2" xfId="29845"/>
    <cellStyle name="Обычный 7 4 2 3 4 2 2" xfId="29846"/>
    <cellStyle name="Обычный 7 4 2 3 4 2 2 2" xfId="29847"/>
    <cellStyle name="Обычный 7 4 2 3 4 2 2 3" xfId="29848"/>
    <cellStyle name="Обычный 7 4 2 3 4 2 3" xfId="29849"/>
    <cellStyle name="Обычный 7 4 2 3 4 2 3 2" xfId="29850"/>
    <cellStyle name="Обычный 7 4 2 3 4 2 3 3" xfId="29851"/>
    <cellStyle name="Обычный 7 4 2 3 4 2 4" xfId="29852"/>
    <cellStyle name="Обычный 7 4 2 3 4 2 4 2" xfId="29853"/>
    <cellStyle name="Обычный 7 4 2 3 4 2 5" xfId="29854"/>
    <cellStyle name="Обычный 7 4 2 3 4 2 6" xfId="29855"/>
    <cellStyle name="Обычный 7 4 2 3 4 3" xfId="29856"/>
    <cellStyle name="Обычный 7 4 2 3 4 3 2" xfId="29857"/>
    <cellStyle name="Обычный 7 4 2 3 4 3 3" xfId="29858"/>
    <cellStyle name="Обычный 7 4 2 3 4 4" xfId="29859"/>
    <cellStyle name="Обычный 7 4 2 3 4 4 2" xfId="29860"/>
    <cellStyle name="Обычный 7 4 2 3 4 4 3" xfId="29861"/>
    <cellStyle name="Обычный 7 4 2 3 4 5" xfId="29862"/>
    <cellStyle name="Обычный 7 4 2 3 4 5 2" xfId="29863"/>
    <cellStyle name="Обычный 7 4 2 3 4 6" xfId="29864"/>
    <cellStyle name="Обычный 7 4 2 3 4 7" xfId="29865"/>
    <cellStyle name="Обычный 7 4 2 3 5" xfId="29866"/>
    <cellStyle name="Обычный 7 4 2 3 5 2" xfId="29867"/>
    <cellStyle name="Обычный 7 4 2 3 5 2 2" xfId="29868"/>
    <cellStyle name="Обычный 7 4 2 3 5 2 3" xfId="29869"/>
    <cellStyle name="Обычный 7 4 2 3 5 3" xfId="29870"/>
    <cellStyle name="Обычный 7 4 2 3 5 3 2" xfId="29871"/>
    <cellStyle name="Обычный 7 4 2 3 5 3 3" xfId="29872"/>
    <cellStyle name="Обычный 7 4 2 3 5 4" xfId="29873"/>
    <cellStyle name="Обычный 7 4 2 3 5 4 2" xfId="29874"/>
    <cellStyle name="Обычный 7 4 2 3 5 5" xfId="29875"/>
    <cellStyle name="Обычный 7 4 2 3 5 6" xfId="29876"/>
    <cellStyle name="Обычный 7 4 2 3 6" xfId="29877"/>
    <cellStyle name="Обычный 7 4 2 3 6 2" xfId="29878"/>
    <cellStyle name="Обычный 7 4 2 3 6 3" xfId="29879"/>
    <cellStyle name="Обычный 7 4 2 3 7" xfId="29880"/>
    <cellStyle name="Обычный 7 4 2 3 7 2" xfId="29881"/>
    <cellStyle name="Обычный 7 4 2 3 7 3" xfId="29882"/>
    <cellStyle name="Обычный 7 4 2 3 8" xfId="29883"/>
    <cellStyle name="Обычный 7 4 2 3 8 2" xfId="29884"/>
    <cellStyle name="Обычный 7 4 2 3 9" xfId="29885"/>
    <cellStyle name="Обычный 7 4 2 4" xfId="29886"/>
    <cellStyle name="Обычный 7 4 2 4 10" xfId="29887"/>
    <cellStyle name="Обычный 7 4 2 4 2" xfId="29888"/>
    <cellStyle name="Обычный 7 4 2 4 2 2" xfId="29889"/>
    <cellStyle name="Обычный 7 4 2 4 2 2 2" xfId="29890"/>
    <cellStyle name="Обычный 7 4 2 4 2 2 2 2" xfId="29891"/>
    <cellStyle name="Обычный 7 4 2 4 2 2 2 2 2" xfId="29892"/>
    <cellStyle name="Обычный 7 4 2 4 2 2 2 2 2 2" xfId="29893"/>
    <cellStyle name="Обычный 7 4 2 4 2 2 2 2 2 3" xfId="29894"/>
    <cellStyle name="Обычный 7 4 2 4 2 2 2 2 3" xfId="29895"/>
    <cellStyle name="Обычный 7 4 2 4 2 2 2 2 3 2" xfId="29896"/>
    <cellStyle name="Обычный 7 4 2 4 2 2 2 2 3 3" xfId="29897"/>
    <cellStyle name="Обычный 7 4 2 4 2 2 2 2 4" xfId="29898"/>
    <cellStyle name="Обычный 7 4 2 4 2 2 2 2 4 2" xfId="29899"/>
    <cellStyle name="Обычный 7 4 2 4 2 2 2 2 5" xfId="29900"/>
    <cellStyle name="Обычный 7 4 2 4 2 2 2 2 6" xfId="29901"/>
    <cellStyle name="Обычный 7 4 2 4 2 2 2 3" xfId="29902"/>
    <cellStyle name="Обычный 7 4 2 4 2 2 2 3 2" xfId="29903"/>
    <cellStyle name="Обычный 7 4 2 4 2 2 2 3 3" xfId="29904"/>
    <cellStyle name="Обычный 7 4 2 4 2 2 2 4" xfId="29905"/>
    <cellStyle name="Обычный 7 4 2 4 2 2 2 4 2" xfId="29906"/>
    <cellStyle name="Обычный 7 4 2 4 2 2 2 4 3" xfId="29907"/>
    <cellStyle name="Обычный 7 4 2 4 2 2 2 5" xfId="29908"/>
    <cellStyle name="Обычный 7 4 2 4 2 2 2 5 2" xfId="29909"/>
    <cellStyle name="Обычный 7 4 2 4 2 2 2 6" xfId="29910"/>
    <cellStyle name="Обычный 7 4 2 4 2 2 2 7" xfId="29911"/>
    <cellStyle name="Обычный 7 4 2 4 2 2 3" xfId="29912"/>
    <cellStyle name="Обычный 7 4 2 4 2 2 3 2" xfId="29913"/>
    <cellStyle name="Обычный 7 4 2 4 2 2 3 2 2" xfId="29914"/>
    <cellStyle name="Обычный 7 4 2 4 2 2 3 2 3" xfId="29915"/>
    <cellStyle name="Обычный 7 4 2 4 2 2 3 3" xfId="29916"/>
    <cellStyle name="Обычный 7 4 2 4 2 2 3 3 2" xfId="29917"/>
    <cellStyle name="Обычный 7 4 2 4 2 2 3 3 3" xfId="29918"/>
    <cellStyle name="Обычный 7 4 2 4 2 2 3 4" xfId="29919"/>
    <cellStyle name="Обычный 7 4 2 4 2 2 3 4 2" xfId="29920"/>
    <cellStyle name="Обычный 7 4 2 4 2 2 3 5" xfId="29921"/>
    <cellStyle name="Обычный 7 4 2 4 2 2 3 6" xfId="29922"/>
    <cellStyle name="Обычный 7 4 2 4 2 2 4" xfId="29923"/>
    <cellStyle name="Обычный 7 4 2 4 2 2 4 2" xfId="29924"/>
    <cellStyle name="Обычный 7 4 2 4 2 2 4 3" xfId="29925"/>
    <cellStyle name="Обычный 7 4 2 4 2 2 5" xfId="29926"/>
    <cellStyle name="Обычный 7 4 2 4 2 2 5 2" xfId="29927"/>
    <cellStyle name="Обычный 7 4 2 4 2 2 5 3" xfId="29928"/>
    <cellStyle name="Обычный 7 4 2 4 2 2 6" xfId="29929"/>
    <cellStyle name="Обычный 7 4 2 4 2 2 6 2" xfId="29930"/>
    <cellStyle name="Обычный 7 4 2 4 2 2 7" xfId="29931"/>
    <cellStyle name="Обычный 7 4 2 4 2 2 8" xfId="29932"/>
    <cellStyle name="Обычный 7 4 2 4 2 3" xfId="29933"/>
    <cellStyle name="Обычный 7 4 2 4 2 3 2" xfId="29934"/>
    <cellStyle name="Обычный 7 4 2 4 2 3 2 2" xfId="29935"/>
    <cellStyle name="Обычный 7 4 2 4 2 3 2 2 2" xfId="29936"/>
    <cellStyle name="Обычный 7 4 2 4 2 3 2 2 3" xfId="29937"/>
    <cellStyle name="Обычный 7 4 2 4 2 3 2 3" xfId="29938"/>
    <cellStyle name="Обычный 7 4 2 4 2 3 2 3 2" xfId="29939"/>
    <cellStyle name="Обычный 7 4 2 4 2 3 2 3 3" xfId="29940"/>
    <cellStyle name="Обычный 7 4 2 4 2 3 2 4" xfId="29941"/>
    <cellStyle name="Обычный 7 4 2 4 2 3 2 4 2" xfId="29942"/>
    <cellStyle name="Обычный 7 4 2 4 2 3 2 5" xfId="29943"/>
    <cellStyle name="Обычный 7 4 2 4 2 3 2 6" xfId="29944"/>
    <cellStyle name="Обычный 7 4 2 4 2 3 3" xfId="29945"/>
    <cellStyle name="Обычный 7 4 2 4 2 3 3 2" xfId="29946"/>
    <cellStyle name="Обычный 7 4 2 4 2 3 3 3" xfId="29947"/>
    <cellStyle name="Обычный 7 4 2 4 2 3 4" xfId="29948"/>
    <cellStyle name="Обычный 7 4 2 4 2 3 4 2" xfId="29949"/>
    <cellStyle name="Обычный 7 4 2 4 2 3 4 3" xfId="29950"/>
    <cellStyle name="Обычный 7 4 2 4 2 3 5" xfId="29951"/>
    <cellStyle name="Обычный 7 4 2 4 2 3 5 2" xfId="29952"/>
    <cellStyle name="Обычный 7 4 2 4 2 3 6" xfId="29953"/>
    <cellStyle name="Обычный 7 4 2 4 2 3 7" xfId="29954"/>
    <cellStyle name="Обычный 7 4 2 4 2 4" xfId="29955"/>
    <cellStyle name="Обычный 7 4 2 4 2 4 2" xfId="29956"/>
    <cellStyle name="Обычный 7 4 2 4 2 4 2 2" xfId="29957"/>
    <cellStyle name="Обычный 7 4 2 4 2 4 2 3" xfId="29958"/>
    <cellStyle name="Обычный 7 4 2 4 2 4 3" xfId="29959"/>
    <cellStyle name="Обычный 7 4 2 4 2 4 3 2" xfId="29960"/>
    <cellStyle name="Обычный 7 4 2 4 2 4 3 3" xfId="29961"/>
    <cellStyle name="Обычный 7 4 2 4 2 4 4" xfId="29962"/>
    <cellStyle name="Обычный 7 4 2 4 2 4 4 2" xfId="29963"/>
    <cellStyle name="Обычный 7 4 2 4 2 4 5" xfId="29964"/>
    <cellStyle name="Обычный 7 4 2 4 2 4 6" xfId="29965"/>
    <cellStyle name="Обычный 7 4 2 4 2 5" xfId="29966"/>
    <cellStyle name="Обычный 7 4 2 4 2 5 2" xfId="29967"/>
    <cellStyle name="Обычный 7 4 2 4 2 5 3" xfId="29968"/>
    <cellStyle name="Обычный 7 4 2 4 2 6" xfId="29969"/>
    <cellStyle name="Обычный 7 4 2 4 2 6 2" xfId="29970"/>
    <cellStyle name="Обычный 7 4 2 4 2 6 3" xfId="29971"/>
    <cellStyle name="Обычный 7 4 2 4 2 7" xfId="29972"/>
    <cellStyle name="Обычный 7 4 2 4 2 7 2" xfId="29973"/>
    <cellStyle name="Обычный 7 4 2 4 2 8" xfId="29974"/>
    <cellStyle name="Обычный 7 4 2 4 2 9" xfId="29975"/>
    <cellStyle name="Обычный 7 4 2 4 3" xfId="29976"/>
    <cellStyle name="Обычный 7 4 2 4 3 2" xfId="29977"/>
    <cellStyle name="Обычный 7 4 2 4 3 2 2" xfId="29978"/>
    <cellStyle name="Обычный 7 4 2 4 3 2 2 2" xfId="29979"/>
    <cellStyle name="Обычный 7 4 2 4 3 2 2 2 2" xfId="29980"/>
    <cellStyle name="Обычный 7 4 2 4 3 2 2 2 3" xfId="29981"/>
    <cellStyle name="Обычный 7 4 2 4 3 2 2 3" xfId="29982"/>
    <cellStyle name="Обычный 7 4 2 4 3 2 2 3 2" xfId="29983"/>
    <cellStyle name="Обычный 7 4 2 4 3 2 2 3 3" xfId="29984"/>
    <cellStyle name="Обычный 7 4 2 4 3 2 2 4" xfId="29985"/>
    <cellStyle name="Обычный 7 4 2 4 3 2 2 4 2" xfId="29986"/>
    <cellStyle name="Обычный 7 4 2 4 3 2 2 5" xfId="29987"/>
    <cellStyle name="Обычный 7 4 2 4 3 2 2 6" xfId="29988"/>
    <cellStyle name="Обычный 7 4 2 4 3 2 3" xfId="29989"/>
    <cellStyle name="Обычный 7 4 2 4 3 2 3 2" xfId="29990"/>
    <cellStyle name="Обычный 7 4 2 4 3 2 3 3" xfId="29991"/>
    <cellStyle name="Обычный 7 4 2 4 3 2 4" xfId="29992"/>
    <cellStyle name="Обычный 7 4 2 4 3 2 4 2" xfId="29993"/>
    <cellStyle name="Обычный 7 4 2 4 3 2 4 3" xfId="29994"/>
    <cellStyle name="Обычный 7 4 2 4 3 2 5" xfId="29995"/>
    <cellStyle name="Обычный 7 4 2 4 3 2 5 2" xfId="29996"/>
    <cellStyle name="Обычный 7 4 2 4 3 2 6" xfId="29997"/>
    <cellStyle name="Обычный 7 4 2 4 3 2 7" xfId="29998"/>
    <cellStyle name="Обычный 7 4 2 4 3 3" xfId="29999"/>
    <cellStyle name="Обычный 7 4 2 4 3 3 2" xfId="30000"/>
    <cellStyle name="Обычный 7 4 2 4 3 3 2 2" xfId="30001"/>
    <cellStyle name="Обычный 7 4 2 4 3 3 2 3" xfId="30002"/>
    <cellStyle name="Обычный 7 4 2 4 3 3 3" xfId="30003"/>
    <cellStyle name="Обычный 7 4 2 4 3 3 3 2" xfId="30004"/>
    <cellStyle name="Обычный 7 4 2 4 3 3 3 3" xfId="30005"/>
    <cellStyle name="Обычный 7 4 2 4 3 3 4" xfId="30006"/>
    <cellStyle name="Обычный 7 4 2 4 3 3 4 2" xfId="30007"/>
    <cellStyle name="Обычный 7 4 2 4 3 3 5" xfId="30008"/>
    <cellStyle name="Обычный 7 4 2 4 3 3 6" xfId="30009"/>
    <cellStyle name="Обычный 7 4 2 4 3 4" xfId="30010"/>
    <cellStyle name="Обычный 7 4 2 4 3 4 2" xfId="30011"/>
    <cellStyle name="Обычный 7 4 2 4 3 4 3" xfId="30012"/>
    <cellStyle name="Обычный 7 4 2 4 3 5" xfId="30013"/>
    <cellStyle name="Обычный 7 4 2 4 3 5 2" xfId="30014"/>
    <cellStyle name="Обычный 7 4 2 4 3 5 3" xfId="30015"/>
    <cellStyle name="Обычный 7 4 2 4 3 6" xfId="30016"/>
    <cellStyle name="Обычный 7 4 2 4 3 6 2" xfId="30017"/>
    <cellStyle name="Обычный 7 4 2 4 3 7" xfId="30018"/>
    <cellStyle name="Обычный 7 4 2 4 3 8" xfId="30019"/>
    <cellStyle name="Обычный 7 4 2 4 4" xfId="30020"/>
    <cellStyle name="Обычный 7 4 2 4 4 2" xfId="30021"/>
    <cellStyle name="Обычный 7 4 2 4 4 2 2" xfId="30022"/>
    <cellStyle name="Обычный 7 4 2 4 4 2 2 2" xfId="30023"/>
    <cellStyle name="Обычный 7 4 2 4 4 2 2 3" xfId="30024"/>
    <cellStyle name="Обычный 7 4 2 4 4 2 3" xfId="30025"/>
    <cellStyle name="Обычный 7 4 2 4 4 2 3 2" xfId="30026"/>
    <cellStyle name="Обычный 7 4 2 4 4 2 3 3" xfId="30027"/>
    <cellStyle name="Обычный 7 4 2 4 4 2 4" xfId="30028"/>
    <cellStyle name="Обычный 7 4 2 4 4 2 4 2" xfId="30029"/>
    <cellStyle name="Обычный 7 4 2 4 4 2 5" xfId="30030"/>
    <cellStyle name="Обычный 7 4 2 4 4 2 6" xfId="30031"/>
    <cellStyle name="Обычный 7 4 2 4 4 3" xfId="30032"/>
    <cellStyle name="Обычный 7 4 2 4 4 3 2" xfId="30033"/>
    <cellStyle name="Обычный 7 4 2 4 4 3 3" xfId="30034"/>
    <cellStyle name="Обычный 7 4 2 4 4 4" xfId="30035"/>
    <cellStyle name="Обычный 7 4 2 4 4 4 2" xfId="30036"/>
    <cellStyle name="Обычный 7 4 2 4 4 4 3" xfId="30037"/>
    <cellStyle name="Обычный 7 4 2 4 4 5" xfId="30038"/>
    <cellStyle name="Обычный 7 4 2 4 4 5 2" xfId="30039"/>
    <cellStyle name="Обычный 7 4 2 4 4 6" xfId="30040"/>
    <cellStyle name="Обычный 7 4 2 4 4 7" xfId="30041"/>
    <cellStyle name="Обычный 7 4 2 4 5" xfId="30042"/>
    <cellStyle name="Обычный 7 4 2 4 5 2" xfId="30043"/>
    <cellStyle name="Обычный 7 4 2 4 5 2 2" xfId="30044"/>
    <cellStyle name="Обычный 7 4 2 4 5 2 3" xfId="30045"/>
    <cellStyle name="Обычный 7 4 2 4 5 3" xfId="30046"/>
    <cellStyle name="Обычный 7 4 2 4 5 3 2" xfId="30047"/>
    <cellStyle name="Обычный 7 4 2 4 5 3 3" xfId="30048"/>
    <cellStyle name="Обычный 7 4 2 4 5 4" xfId="30049"/>
    <cellStyle name="Обычный 7 4 2 4 5 4 2" xfId="30050"/>
    <cellStyle name="Обычный 7 4 2 4 5 5" xfId="30051"/>
    <cellStyle name="Обычный 7 4 2 4 5 6" xfId="30052"/>
    <cellStyle name="Обычный 7 4 2 4 6" xfId="30053"/>
    <cellStyle name="Обычный 7 4 2 4 6 2" xfId="30054"/>
    <cellStyle name="Обычный 7 4 2 4 6 3" xfId="30055"/>
    <cellStyle name="Обычный 7 4 2 4 7" xfId="30056"/>
    <cellStyle name="Обычный 7 4 2 4 7 2" xfId="30057"/>
    <cellStyle name="Обычный 7 4 2 4 7 3" xfId="30058"/>
    <cellStyle name="Обычный 7 4 2 4 8" xfId="30059"/>
    <cellStyle name="Обычный 7 4 2 4 8 2" xfId="30060"/>
    <cellStyle name="Обычный 7 4 2 4 9" xfId="30061"/>
    <cellStyle name="Обычный 7 4 2 5" xfId="30062"/>
    <cellStyle name="Обычный 7 4 2 5 2" xfId="30063"/>
    <cellStyle name="Обычный 7 4 2 5 2 2" xfId="30064"/>
    <cellStyle name="Обычный 7 4 2 5 2 2 2" xfId="30065"/>
    <cellStyle name="Обычный 7 4 2 5 2 2 2 2" xfId="30066"/>
    <cellStyle name="Обычный 7 4 2 5 2 2 2 2 2" xfId="30067"/>
    <cellStyle name="Обычный 7 4 2 5 2 2 2 2 3" xfId="30068"/>
    <cellStyle name="Обычный 7 4 2 5 2 2 2 3" xfId="30069"/>
    <cellStyle name="Обычный 7 4 2 5 2 2 2 3 2" xfId="30070"/>
    <cellStyle name="Обычный 7 4 2 5 2 2 2 3 3" xfId="30071"/>
    <cellStyle name="Обычный 7 4 2 5 2 2 2 4" xfId="30072"/>
    <cellStyle name="Обычный 7 4 2 5 2 2 2 4 2" xfId="30073"/>
    <cellStyle name="Обычный 7 4 2 5 2 2 2 5" xfId="30074"/>
    <cellStyle name="Обычный 7 4 2 5 2 2 2 6" xfId="30075"/>
    <cellStyle name="Обычный 7 4 2 5 2 2 3" xfId="30076"/>
    <cellStyle name="Обычный 7 4 2 5 2 2 3 2" xfId="30077"/>
    <cellStyle name="Обычный 7 4 2 5 2 2 3 3" xfId="30078"/>
    <cellStyle name="Обычный 7 4 2 5 2 2 4" xfId="30079"/>
    <cellStyle name="Обычный 7 4 2 5 2 2 4 2" xfId="30080"/>
    <cellStyle name="Обычный 7 4 2 5 2 2 4 3" xfId="30081"/>
    <cellStyle name="Обычный 7 4 2 5 2 2 5" xfId="30082"/>
    <cellStyle name="Обычный 7 4 2 5 2 2 5 2" xfId="30083"/>
    <cellStyle name="Обычный 7 4 2 5 2 2 6" xfId="30084"/>
    <cellStyle name="Обычный 7 4 2 5 2 2 7" xfId="30085"/>
    <cellStyle name="Обычный 7 4 2 5 2 3" xfId="30086"/>
    <cellStyle name="Обычный 7 4 2 5 2 3 2" xfId="30087"/>
    <cellStyle name="Обычный 7 4 2 5 2 3 2 2" xfId="30088"/>
    <cellStyle name="Обычный 7 4 2 5 2 3 2 3" xfId="30089"/>
    <cellStyle name="Обычный 7 4 2 5 2 3 3" xfId="30090"/>
    <cellStyle name="Обычный 7 4 2 5 2 3 3 2" xfId="30091"/>
    <cellStyle name="Обычный 7 4 2 5 2 3 3 3" xfId="30092"/>
    <cellStyle name="Обычный 7 4 2 5 2 3 4" xfId="30093"/>
    <cellStyle name="Обычный 7 4 2 5 2 3 4 2" xfId="30094"/>
    <cellStyle name="Обычный 7 4 2 5 2 3 5" xfId="30095"/>
    <cellStyle name="Обычный 7 4 2 5 2 3 6" xfId="30096"/>
    <cellStyle name="Обычный 7 4 2 5 2 4" xfId="30097"/>
    <cellStyle name="Обычный 7 4 2 5 2 4 2" xfId="30098"/>
    <cellStyle name="Обычный 7 4 2 5 2 4 3" xfId="30099"/>
    <cellStyle name="Обычный 7 4 2 5 2 5" xfId="30100"/>
    <cellStyle name="Обычный 7 4 2 5 2 5 2" xfId="30101"/>
    <cellStyle name="Обычный 7 4 2 5 2 5 3" xfId="30102"/>
    <cellStyle name="Обычный 7 4 2 5 2 6" xfId="30103"/>
    <cellStyle name="Обычный 7 4 2 5 2 6 2" xfId="30104"/>
    <cellStyle name="Обычный 7 4 2 5 2 7" xfId="30105"/>
    <cellStyle name="Обычный 7 4 2 5 2 8" xfId="30106"/>
    <cellStyle name="Обычный 7 4 2 5 3" xfId="30107"/>
    <cellStyle name="Обычный 7 4 2 5 3 2" xfId="30108"/>
    <cellStyle name="Обычный 7 4 2 5 3 2 2" xfId="30109"/>
    <cellStyle name="Обычный 7 4 2 5 3 2 2 2" xfId="30110"/>
    <cellStyle name="Обычный 7 4 2 5 3 2 2 3" xfId="30111"/>
    <cellStyle name="Обычный 7 4 2 5 3 2 3" xfId="30112"/>
    <cellStyle name="Обычный 7 4 2 5 3 2 3 2" xfId="30113"/>
    <cellStyle name="Обычный 7 4 2 5 3 2 3 3" xfId="30114"/>
    <cellStyle name="Обычный 7 4 2 5 3 2 4" xfId="30115"/>
    <cellStyle name="Обычный 7 4 2 5 3 2 4 2" xfId="30116"/>
    <cellStyle name="Обычный 7 4 2 5 3 2 5" xfId="30117"/>
    <cellStyle name="Обычный 7 4 2 5 3 2 6" xfId="30118"/>
    <cellStyle name="Обычный 7 4 2 5 3 3" xfId="30119"/>
    <cellStyle name="Обычный 7 4 2 5 3 3 2" xfId="30120"/>
    <cellStyle name="Обычный 7 4 2 5 3 3 3" xfId="30121"/>
    <cellStyle name="Обычный 7 4 2 5 3 4" xfId="30122"/>
    <cellStyle name="Обычный 7 4 2 5 3 4 2" xfId="30123"/>
    <cellStyle name="Обычный 7 4 2 5 3 4 3" xfId="30124"/>
    <cellStyle name="Обычный 7 4 2 5 3 5" xfId="30125"/>
    <cellStyle name="Обычный 7 4 2 5 3 5 2" xfId="30126"/>
    <cellStyle name="Обычный 7 4 2 5 3 6" xfId="30127"/>
    <cellStyle name="Обычный 7 4 2 5 3 7" xfId="30128"/>
    <cellStyle name="Обычный 7 4 2 5 4" xfId="30129"/>
    <cellStyle name="Обычный 7 4 2 5 4 2" xfId="30130"/>
    <cellStyle name="Обычный 7 4 2 5 4 2 2" xfId="30131"/>
    <cellStyle name="Обычный 7 4 2 5 4 2 3" xfId="30132"/>
    <cellStyle name="Обычный 7 4 2 5 4 3" xfId="30133"/>
    <cellStyle name="Обычный 7 4 2 5 4 3 2" xfId="30134"/>
    <cellStyle name="Обычный 7 4 2 5 4 3 3" xfId="30135"/>
    <cellStyle name="Обычный 7 4 2 5 4 4" xfId="30136"/>
    <cellStyle name="Обычный 7 4 2 5 4 4 2" xfId="30137"/>
    <cellStyle name="Обычный 7 4 2 5 4 5" xfId="30138"/>
    <cellStyle name="Обычный 7 4 2 5 4 6" xfId="30139"/>
    <cellStyle name="Обычный 7 4 2 5 5" xfId="30140"/>
    <cellStyle name="Обычный 7 4 2 5 5 2" xfId="30141"/>
    <cellStyle name="Обычный 7 4 2 5 5 3" xfId="30142"/>
    <cellStyle name="Обычный 7 4 2 5 6" xfId="30143"/>
    <cellStyle name="Обычный 7 4 2 5 6 2" xfId="30144"/>
    <cellStyle name="Обычный 7 4 2 5 6 3" xfId="30145"/>
    <cellStyle name="Обычный 7 4 2 5 7" xfId="30146"/>
    <cellStyle name="Обычный 7 4 2 5 7 2" xfId="30147"/>
    <cellStyle name="Обычный 7 4 2 5 8" xfId="30148"/>
    <cellStyle name="Обычный 7 4 2 5 9" xfId="30149"/>
    <cellStyle name="Обычный 7 4 2 6" xfId="30150"/>
    <cellStyle name="Обычный 7 4 2 6 2" xfId="30151"/>
    <cellStyle name="Обычный 7 4 2 6 2 2" xfId="30152"/>
    <cellStyle name="Обычный 7 4 2 6 2 2 2" xfId="30153"/>
    <cellStyle name="Обычный 7 4 2 6 2 2 2 2" xfId="30154"/>
    <cellStyle name="Обычный 7 4 2 6 2 2 2 3" xfId="30155"/>
    <cellStyle name="Обычный 7 4 2 6 2 2 3" xfId="30156"/>
    <cellStyle name="Обычный 7 4 2 6 2 2 3 2" xfId="30157"/>
    <cellStyle name="Обычный 7 4 2 6 2 2 3 3" xfId="30158"/>
    <cellStyle name="Обычный 7 4 2 6 2 2 4" xfId="30159"/>
    <cellStyle name="Обычный 7 4 2 6 2 2 4 2" xfId="30160"/>
    <cellStyle name="Обычный 7 4 2 6 2 2 5" xfId="30161"/>
    <cellStyle name="Обычный 7 4 2 6 2 2 6" xfId="30162"/>
    <cellStyle name="Обычный 7 4 2 6 2 3" xfId="30163"/>
    <cellStyle name="Обычный 7 4 2 6 2 3 2" xfId="30164"/>
    <cellStyle name="Обычный 7 4 2 6 2 3 3" xfId="30165"/>
    <cellStyle name="Обычный 7 4 2 6 2 4" xfId="30166"/>
    <cellStyle name="Обычный 7 4 2 6 2 4 2" xfId="30167"/>
    <cellStyle name="Обычный 7 4 2 6 2 4 3" xfId="30168"/>
    <cellStyle name="Обычный 7 4 2 6 2 5" xfId="30169"/>
    <cellStyle name="Обычный 7 4 2 6 2 5 2" xfId="30170"/>
    <cellStyle name="Обычный 7 4 2 6 2 6" xfId="30171"/>
    <cellStyle name="Обычный 7 4 2 6 2 7" xfId="30172"/>
    <cellStyle name="Обычный 7 4 2 6 3" xfId="30173"/>
    <cellStyle name="Обычный 7 4 2 6 3 2" xfId="30174"/>
    <cellStyle name="Обычный 7 4 2 6 3 2 2" xfId="30175"/>
    <cellStyle name="Обычный 7 4 2 6 3 2 3" xfId="30176"/>
    <cellStyle name="Обычный 7 4 2 6 3 3" xfId="30177"/>
    <cellStyle name="Обычный 7 4 2 6 3 3 2" xfId="30178"/>
    <cellStyle name="Обычный 7 4 2 6 3 3 3" xfId="30179"/>
    <cellStyle name="Обычный 7 4 2 6 3 4" xfId="30180"/>
    <cellStyle name="Обычный 7 4 2 6 3 4 2" xfId="30181"/>
    <cellStyle name="Обычный 7 4 2 6 3 5" xfId="30182"/>
    <cellStyle name="Обычный 7 4 2 6 3 6" xfId="30183"/>
    <cellStyle name="Обычный 7 4 2 6 4" xfId="30184"/>
    <cellStyle name="Обычный 7 4 2 6 4 2" xfId="30185"/>
    <cellStyle name="Обычный 7 4 2 6 4 3" xfId="30186"/>
    <cellStyle name="Обычный 7 4 2 6 5" xfId="30187"/>
    <cellStyle name="Обычный 7 4 2 6 5 2" xfId="30188"/>
    <cellStyle name="Обычный 7 4 2 6 5 3" xfId="30189"/>
    <cellStyle name="Обычный 7 4 2 6 6" xfId="30190"/>
    <cellStyle name="Обычный 7 4 2 6 6 2" xfId="30191"/>
    <cellStyle name="Обычный 7 4 2 6 7" xfId="30192"/>
    <cellStyle name="Обычный 7 4 2 6 8" xfId="30193"/>
    <cellStyle name="Обычный 7 4 2 7" xfId="30194"/>
    <cellStyle name="Обычный 7 4 2 7 2" xfId="30195"/>
    <cellStyle name="Обычный 7 4 2 7 2 2" xfId="30196"/>
    <cellStyle name="Обычный 7 4 2 7 2 2 2" xfId="30197"/>
    <cellStyle name="Обычный 7 4 2 7 2 2 3" xfId="30198"/>
    <cellStyle name="Обычный 7 4 2 7 2 3" xfId="30199"/>
    <cellStyle name="Обычный 7 4 2 7 2 3 2" xfId="30200"/>
    <cellStyle name="Обычный 7 4 2 7 2 3 3" xfId="30201"/>
    <cellStyle name="Обычный 7 4 2 7 2 4" xfId="30202"/>
    <cellStyle name="Обычный 7 4 2 7 2 4 2" xfId="30203"/>
    <cellStyle name="Обычный 7 4 2 7 2 5" xfId="30204"/>
    <cellStyle name="Обычный 7 4 2 7 2 6" xfId="30205"/>
    <cellStyle name="Обычный 7 4 2 7 3" xfId="30206"/>
    <cellStyle name="Обычный 7 4 2 7 3 2" xfId="30207"/>
    <cellStyle name="Обычный 7 4 2 7 3 3" xfId="30208"/>
    <cellStyle name="Обычный 7 4 2 7 4" xfId="30209"/>
    <cellStyle name="Обычный 7 4 2 7 4 2" xfId="30210"/>
    <cellStyle name="Обычный 7 4 2 7 4 3" xfId="30211"/>
    <cellStyle name="Обычный 7 4 2 7 5" xfId="30212"/>
    <cellStyle name="Обычный 7 4 2 7 5 2" xfId="30213"/>
    <cellStyle name="Обычный 7 4 2 7 6" xfId="30214"/>
    <cellStyle name="Обычный 7 4 2 7 7" xfId="30215"/>
    <cellStyle name="Обычный 7 4 2 8" xfId="30216"/>
    <cellStyle name="Обычный 7 4 2 8 2" xfId="30217"/>
    <cellStyle name="Обычный 7 4 2 8 2 2" xfId="30218"/>
    <cellStyle name="Обычный 7 4 2 8 2 3" xfId="30219"/>
    <cellStyle name="Обычный 7 4 2 8 3" xfId="30220"/>
    <cellStyle name="Обычный 7 4 2 8 3 2" xfId="30221"/>
    <cellStyle name="Обычный 7 4 2 8 3 3" xfId="30222"/>
    <cellStyle name="Обычный 7 4 2 8 4" xfId="30223"/>
    <cellStyle name="Обычный 7 4 2 8 4 2" xfId="30224"/>
    <cellStyle name="Обычный 7 4 2 8 5" xfId="30225"/>
    <cellStyle name="Обычный 7 4 2 8 6" xfId="30226"/>
    <cellStyle name="Обычный 7 4 2 9" xfId="30227"/>
    <cellStyle name="Обычный 7 4 2 9 2" xfId="30228"/>
    <cellStyle name="Обычный 7 4 2 9 3" xfId="30229"/>
    <cellStyle name="Обычный 7 4 3" xfId="30230"/>
    <cellStyle name="Обычный 7 4 3 10" xfId="30231"/>
    <cellStyle name="Обычный 7 4 3 2" xfId="30232"/>
    <cellStyle name="Обычный 7 4 3 2 2" xfId="30233"/>
    <cellStyle name="Обычный 7 4 3 2 2 2" xfId="30234"/>
    <cellStyle name="Обычный 7 4 3 2 2 2 2" xfId="30235"/>
    <cellStyle name="Обычный 7 4 3 2 2 2 2 2" xfId="30236"/>
    <cellStyle name="Обычный 7 4 3 2 2 2 2 2 2" xfId="30237"/>
    <cellStyle name="Обычный 7 4 3 2 2 2 2 2 3" xfId="30238"/>
    <cellStyle name="Обычный 7 4 3 2 2 2 2 3" xfId="30239"/>
    <cellStyle name="Обычный 7 4 3 2 2 2 2 3 2" xfId="30240"/>
    <cellStyle name="Обычный 7 4 3 2 2 2 2 3 3" xfId="30241"/>
    <cellStyle name="Обычный 7 4 3 2 2 2 2 4" xfId="30242"/>
    <cellStyle name="Обычный 7 4 3 2 2 2 2 4 2" xfId="30243"/>
    <cellStyle name="Обычный 7 4 3 2 2 2 2 5" xfId="30244"/>
    <cellStyle name="Обычный 7 4 3 2 2 2 2 6" xfId="30245"/>
    <cellStyle name="Обычный 7 4 3 2 2 2 3" xfId="30246"/>
    <cellStyle name="Обычный 7 4 3 2 2 2 3 2" xfId="30247"/>
    <cellStyle name="Обычный 7 4 3 2 2 2 3 3" xfId="30248"/>
    <cellStyle name="Обычный 7 4 3 2 2 2 4" xfId="30249"/>
    <cellStyle name="Обычный 7 4 3 2 2 2 4 2" xfId="30250"/>
    <cellStyle name="Обычный 7 4 3 2 2 2 4 3" xfId="30251"/>
    <cellStyle name="Обычный 7 4 3 2 2 2 5" xfId="30252"/>
    <cellStyle name="Обычный 7 4 3 2 2 2 5 2" xfId="30253"/>
    <cellStyle name="Обычный 7 4 3 2 2 2 6" xfId="30254"/>
    <cellStyle name="Обычный 7 4 3 2 2 2 7" xfId="30255"/>
    <cellStyle name="Обычный 7 4 3 2 2 3" xfId="30256"/>
    <cellStyle name="Обычный 7 4 3 2 2 3 2" xfId="30257"/>
    <cellStyle name="Обычный 7 4 3 2 2 3 2 2" xfId="30258"/>
    <cellStyle name="Обычный 7 4 3 2 2 3 2 3" xfId="30259"/>
    <cellStyle name="Обычный 7 4 3 2 2 3 3" xfId="30260"/>
    <cellStyle name="Обычный 7 4 3 2 2 3 3 2" xfId="30261"/>
    <cellStyle name="Обычный 7 4 3 2 2 3 3 3" xfId="30262"/>
    <cellStyle name="Обычный 7 4 3 2 2 3 4" xfId="30263"/>
    <cellStyle name="Обычный 7 4 3 2 2 3 4 2" xfId="30264"/>
    <cellStyle name="Обычный 7 4 3 2 2 3 5" xfId="30265"/>
    <cellStyle name="Обычный 7 4 3 2 2 3 6" xfId="30266"/>
    <cellStyle name="Обычный 7 4 3 2 2 4" xfId="30267"/>
    <cellStyle name="Обычный 7 4 3 2 2 4 2" xfId="30268"/>
    <cellStyle name="Обычный 7 4 3 2 2 4 3" xfId="30269"/>
    <cellStyle name="Обычный 7 4 3 2 2 5" xfId="30270"/>
    <cellStyle name="Обычный 7 4 3 2 2 5 2" xfId="30271"/>
    <cellStyle name="Обычный 7 4 3 2 2 5 3" xfId="30272"/>
    <cellStyle name="Обычный 7 4 3 2 2 6" xfId="30273"/>
    <cellStyle name="Обычный 7 4 3 2 2 6 2" xfId="30274"/>
    <cellStyle name="Обычный 7 4 3 2 2 7" xfId="30275"/>
    <cellStyle name="Обычный 7 4 3 2 2 8" xfId="30276"/>
    <cellStyle name="Обычный 7 4 3 2 3" xfId="30277"/>
    <cellStyle name="Обычный 7 4 3 2 3 2" xfId="30278"/>
    <cellStyle name="Обычный 7 4 3 2 3 2 2" xfId="30279"/>
    <cellStyle name="Обычный 7 4 3 2 3 2 2 2" xfId="30280"/>
    <cellStyle name="Обычный 7 4 3 2 3 2 2 3" xfId="30281"/>
    <cellStyle name="Обычный 7 4 3 2 3 2 3" xfId="30282"/>
    <cellStyle name="Обычный 7 4 3 2 3 2 3 2" xfId="30283"/>
    <cellStyle name="Обычный 7 4 3 2 3 2 3 3" xfId="30284"/>
    <cellStyle name="Обычный 7 4 3 2 3 2 4" xfId="30285"/>
    <cellStyle name="Обычный 7 4 3 2 3 2 4 2" xfId="30286"/>
    <cellStyle name="Обычный 7 4 3 2 3 2 5" xfId="30287"/>
    <cellStyle name="Обычный 7 4 3 2 3 2 6" xfId="30288"/>
    <cellStyle name="Обычный 7 4 3 2 3 3" xfId="30289"/>
    <cellStyle name="Обычный 7 4 3 2 3 3 2" xfId="30290"/>
    <cellStyle name="Обычный 7 4 3 2 3 3 3" xfId="30291"/>
    <cellStyle name="Обычный 7 4 3 2 3 4" xfId="30292"/>
    <cellStyle name="Обычный 7 4 3 2 3 4 2" xfId="30293"/>
    <cellStyle name="Обычный 7 4 3 2 3 4 3" xfId="30294"/>
    <cellStyle name="Обычный 7 4 3 2 3 5" xfId="30295"/>
    <cellStyle name="Обычный 7 4 3 2 3 5 2" xfId="30296"/>
    <cellStyle name="Обычный 7 4 3 2 3 6" xfId="30297"/>
    <cellStyle name="Обычный 7 4 3 2 3 7" xfId="30298"/>
    <cellStyle name="Обычный 7 4 3 2 4" xfId="30299"/>
    <cellStyle name="Обычный 7 4 3 2 4 2" xfId="30300"/>
    <cellStyle name="Обычный 7 4 3 2 4 2 2" xfId="30301"/>
    <cellStyle name="Обычный 7 4 3 2 4 2 3" xfId="30302"/>
    <cellStyle name="Обычный 7 4 3 2 4 3" xfId="30303"/>
    <cellStyle name="Обычный 7 4 3 2 4 3 2" xfId="30304"/>
    <cellStyle name="Обычный 7 4 3 2 4 3 3" xfId="30305"/>
    <cellStyle name="Обычный 7 4 3 2 4 4" xfId="30306"/>
    <cellStyle name="Обычный 7 4 3 2 4 4 2" xfId="30307"/>
    <cellStyle name="Обычный 7 4 3 2 4 5" xfId="30308"/>
    <cellStyle name="Обычный 7 4 3 2 4 6" xfId="30309"/>
    <cellStyle name="Обычный 7 4 3 2 5" xfId="30310"/>
    <cellStyle name="Обычный 7 4 3 2 5 2" xfId="30311"/>
    <cellStyle name="Обычный 7 4 3 2 5 3" xfId="30312"/>
    <cellStyle name="Обычный 7 4 3 2 6" xfId="30313"/>
    <cellStyle name="Обычный 7 4 3 2 6 2" xfId="30314"/>
    <cellStyle name="Обычный 7 4 3 2 6 3" xfId="30315"/>
    <cellStyle name="Обычный 7 4 3 2 7" xfId="30316"/>
    <cellStyle name="Обычный 7 4 3 2 7 2" xfId="30317"/>
    <cellStyle name="Обычный 7 4 3 2 8" xfId="30318"/>
    <cellStyle name="Обычный 7 4 3 2 9" xfId="30319"/>
    <cellStyle name="Обычный 7 4 3 3" xfId="30320"/>
    <cellStyle name="Обычный 7 4 3 3 2" xfId="30321"/>
    <cellStyle name="Обычный 7 4 3 3 2 2" xfId="30322"/>
    <cellStyle name="Обычный 7 4 3 3 2 2 2" xfId="30323"/>
    <cellStyle name="Обычный 7 4 3 3 2 2 2 2" xfId="30324"/>
    <cellStyle name="Обычный 7 4 3 3 2 2 2 3" xfId="30325"/>
    <cellStyle name="Обычный 7 4 3 3 2 2 3" xfId="30326"/>
    <cellStyle name="Обычный 7 4 3 3 2 2 3 2" xfId="30327"/>
    <cellStyle name="Обычный 7 4 3 3 2 2 3 3" xfId="30328"/>
    <cellStyle name="Обычный 7 4 3 3 2 2 4" xfId="30329"/>
    <cellStyle name="Обычный 7 4 3 3 2 2 4 2" xfId="30330"/>
    <cellStyle name="Обычный 7 4 3 3 2 2 5" xfId="30331"/>
    <cellStyle name="Обычный 7 4 3 3 2 2 6" xfId="30332"/>
    <cellStyle name="Обычный 7 4 3 3 2 3" xfId="30333"/>
    <cellStyle name="Обычный 7 4 3 3 2 3 2" xfId="30334"/>
    <cellStyle name="Обычный 7 4 3 3 2 3 3" xfId="30335"/>
    <cellStyle name="Обычный 7 4 3 3 2 4" xfId="30336"/>
    <cellStyle name="Обычный 7 4 3 3 2 4 2" xfId="30337"/>
    <cellStyle name="Обычный 7 4 3 3 2 4 3" xfId="30338"/>
    <cellStyle name="Обычный 7 4 3 3 2 5" xfId="30339"/>
    <cellStyle name="Обычный 7 4 3 3 2 5 2" xfId="30340"/>
    <cellStyle name="Обычный 7 4 3 3 2 6" xfId="30341"/>
    <cellStyle name="Обычный 7 4 3 3 2 7" xfId="30342"/>
    <cellStyle name="Обычный 7 4 3 3 3" xfId="30343"/>
    <cellStyle name="Обычный 7 4 3 3 3 2" xfId="30344"/>
    <cellStyle name="Обычный 7 4 3 3 3 2 2" xfId="30345"/>
    <cellStyle name="Обычный 7 4 3 3 3 2 3" xfId="30346"/>
    <cellStyle name="Обычный 7 4 3 3 3 3" xfId="30347"/>
    <cellStyle name="Обычный 7 4 3 3 3 3 2" xfId="30348"/>
    <cellStyle name="Обычный 7 4 3 3 3 3 3" xfId="30349"/>
    <cellStyle name="Обычный 7 4 3 3 3 4" xfId="30350"/>
    <cellStyle name="Обычный 7 4 3 3 3 4 2" xfId="30351"/>
    <cellStyle name="Обычный 7 4 3 3 3 5" xfId="30352"/>
    <cellStyle name="Обычный 7 4 3 3 3 6" xfId="30353"/>
    <cellStyle name="Обычный 7 4 3 3 4" xfId="30354"/>
    <cellStyle name="Обычный 7 4 3 3 4 2" xfId="30355"/>
    <cellStyle name="Обычный 7 4 3 3 4 3" xfId="30356"/>
    <cellStyle name="Обычный 7 4 3 3 5" xfId="30357"/>
    <cellStyle name="Обычный 7 4 3 3 5 2" xfId="30358"/>
    <cellStyle name="Обычный 7 4 3 3 5 3" xfId="30359"/>
    <cellStyle name="Обычный 7 4 3 3 6" xfId="30360"/>
    <cellStyle name="Обычный 7 4 3 3 6 2" xfId="30361"/>
    <cellStyle name="Обычный 7 4 3 3 7" xfId="30362"/>
    <cellStyle name="Обычный 7 4 3 3 8" xfId="30363"/>
    <cellStyle name="Обычный 7 4 3 4" xfId="30364"/>
    <cellStyle name="Обычный 7 4 3 4 2" xfId="30365"/>
    <cellStyle name="Обычный 7 4 3 4 2 2" xfId="30366"/>
    <cellStyle name="Обычный 7 4 3 4 2 2 2" xfId="30367"/>
    <cellStyle name="Обычный 7 4 3 4 2 2 3" xfId="30368"/>
    <cellStyle name="Обычный 7 4 3 4 2 3" xfId="30369"/>
    <cellStyle name="Обычный 7 4 3 4 2 3 2" xfId="30370"/>
    <cellStyle name="Обычный 7 4 3 4 2 3 3" xfId="30371"/>
    <cellStyle name="Обычный 7 4 3 4 2 4" xfId="30372"/>
    <cellStyle name="Обычный 7 4 3 4 2 4 2" xfId="30373"/>
    <cellStyle name="Обычный 7 4 3 4 2 5" xfId="30374"/>
    <cellStyle name="Обычный 7 4 3 4 2 6" xfId="30375"/>
    <cellStyle name="Обычный 7 4 3 4 3" xfId="30376"/>
    <cellStyle name="Обычный 7 4 3 4 3 2" xfId="30377"/>
    <cellStyle name="Обычный 7 4 3 4 3 3" xfId="30378"/>
    <cellStyle name="Обычный 7 4 3 4 4" xfId="30379"/>
    <cellStyle name="Обычный 7 4 3 4 4 2" xfId="30380"/>
    <cellStyle name="Обычный 7 4 3 4 4 3" xfId="30381"/>
    <cellStyle name="Обычный 7 4 3 4 5" xfId="30382"/>
    <cellStyle name="Обычный 7 4 3 4 5 2" xfId="30383"/>
    <cellStyle name="Обычный 7 4 3 4 6" xfId="30384"/>
    <cellStyle name="Обычный 7 4 3 4 7" xfId="30385"/>
    <cellStyle name="Обычный 7 4 3 5" xfId="30386"/>
    <cellStyle name="Обычный 7 4 3 5 2" xfId="30387"/>
    <cellStyle name="Обычный 7 4 3 5 2 2" xfId="30388"/>
    <cellStyle name="Обычный 7 4 3 5 2 3" xfId="30389"/>
    <cellStyle name="Обычный 7 4 3 5 3" xfId="30390"/>
    <cellStyle name="Обычный 7 4 3 5 3 2" xfId="30391"/>
    <cellStyle name="Обычный 7 4 3 5 3 3" xfId="30392"/>
    <cellStyle name="Обычный 7 4 3 5 4" xfId="30393"/>
    <cellStyle name="Обычный 7 4 3 5 4 2" xfId="30394"/>
    <cellStyle name="Обычный 7 4 3 5 5" xfId="30395"/>
    <cellStyle name="Обычный 7 4 3 5 6" xfId="30396"/>
    <cellStyle name="Обычный 7 4 3 6" xfId="30397"/>
    <cellStyle name="Обычный 7 4 3 6 2" xfId="30398"/>
    <cellStyle name="Обычный 7 4 3 6 3" xfId="30399"/>
    <cellStyle name="Обычный 7 4 3 7" xfId="30400"/>
    <cellStyle name="Обычный 7 4 3 7 2" xfId="30401"/>
    <cellStyle name="Обычный 7 4 3 7 3" xfId="30402"/>
    <cellStyle name="Обычный 7 4 3 8" xfId="30403"/>
    <cellStyle name="Обычный 7 4 3 8 2" xfId="30404"/>
    <cellStyle name="Обычный 7 4 3 9" xfId="30405"/>
    <cellStyle name="Обычный 7 4 4" xfId="30406"/>
    <cellStyle name="Обычный 7 4 4 10" xfId="30407"/>
    <cellStyle name="Обычный 7 4 4 2" xfId="30408"/>
    <cellStyle name="Обычный 7 4 4 2 2" xfId="30409"/>
    <cellStyle name="Обычный 7 4 4 2 2 2" xfId="30410"/>
    <cellStyle name="Обычный 7 4 4 2 2 2 2" xfId="30411"/>
    <cellStyle name="Обычный 7 4 4 2 2 2 2 2" xfId="30412"/>
    <cellStyle name="Обычный 7 4 4 2 2 2 2 2 2" xfId="30413"/>
    <cellStyle name="Обычный 7 4 4 2 2 2 2 2 3" xfId="30414"/>
    <cellStyle name="Обычный 7 4 4 2 2 2 2 3" xfId="30415"/>
    <cellStyle name="Обычный 7 4 4 2 2 2 2 3 2" xfId="30416"/>
    <cellStyle name="Обычный 7 4 4 2 2 2 2 3 3" xfId="30417"/>
    <cellStyle name="Обычный 7 4 4 2 2 2 2 4" xfId="30418"/>
    <cellStyle name="Обычный 7 4 4 2 2 2 2 4 2" xfId="30419"/>
    <cellStyle name="Обычный 7 4 4 2 2 2 2 5" xfId="30420"/>
    <cellStyle name="Обычный 7 4 4 2 2 2 2 6" xfId="30421"/>
    <cellStyle name="Обычный 7 4 4 2 2 2 3" xfId="30422"/>
    <cellStyle name="Обычный 7 4 4 2 2 2 3 2" xfId="30423"/>
    <cellStyle name="Обычный 7 4 4 2 2 2 3 3" xfId="30424"/>
    <cellStyle name="Обычный 7 4 4 2 2 2 4" xfId="30425"/>
    <cellStyle name="Обычный 7 4 4 2 2 2 4 2" xfId="30426"/>
    <cellStyle name="Обычный 7 4 4 2 2 2 4 3" xfId="30427"/>
    <cellStyle name="Обычный 7 4 4 2 2 2 5" xfId="30428"/>
    <cellStyle name="Обычный 7 4 4 2 2 2 5 2" xfId="30429"/>
    <cellStyle name="Обычный 7 4 4 2 2 2 6" xfId="30430"/>
    <cellStyle name="Обычный 7 4 4 2 2 2 7" xfId="30431"/>
    <cellStyle name="Обычный 7 4 4 2 2 3" xfId="30432"/>
    <cellStyle name="Обычный 7 4 4 2 2 3 2" xfId="30433"/>
    <cellStyle name="Обычный 7 4 4 2 2 3 2 2" xfId="30434"/>
    <cellStyle name="Обычный 7 4 4 2 2 3 2 3" xfId="30435"/>
    <cellStyle name="Обычный 7 4 4 2 2 3 3" xfId="30436"/>
    <cellStyle name="Обычный 7 4 4 2 2 3 3 2" xfId="30437"/>
    <cellStyle name="Обычный 7 4 4 2 2 3 3 3" xfId="30438"/>
    <cellStyle name="Обычный 7 4 4 2 2 3 4" xfId="30439"/>
    <cellStyle name="Обычный 7 4 4 2 2 3 4 2" xfId="30440"/>
    <cellStyle name="Обычный 7 4 4 2 2 3 5" xfId="30441"/>
    <cellStyle name="Обычный 7 4 4 2 2 3 6" xfId="30442"/>
    <cellStyle name="Обычный 7 4 4 2 2 4" xfId="30443"/>
    <cellStyle name="Обычный 7 4 4 2 2 4 2" xfId="30444"/>
    <cellStyle name="Обычный 7 4 4 2 2 4 3" xfId="30445"/>
    <cellStyle name="Обычный 7 4 4 2 2 5" xfId="30446"/>
    <cellStyle name="Обычный 7 4 4 2 2 5 2" xfId="30447"/>
    <cellStyle name="Обычный 7 4 4 2 2 5 3" xfId="30448"/>
    <cellStyle name="Обычный 7 4 4 2 2 6" xfId="30449"/>
    <cellStyle name="Обычный 7 4 4 2 2 6 2" xfId="30450"/>
    <cellStyle name="Обычный 7 4 4 2 2 7" xfId="30451"/>
    <cellStyle name="Обычный 7 4 4 2 2 8" xfId="30452"/>
    <cellStyle name="Обычный 7 4 4 2 3" xfId="30453"/>
    <cellStyle name="Обычный 7 4 4 2 3 2" xfId="30454"/>
    <cellStyle name="Обычный 7 4 4 2 3 2 2" xfId="30455"/>
    <cellStyle name="Обычный 7 4 4 2 3 2 2 2" xfId="30456"/>
    <cellStyle name="Обычный 7 4 4 2 3 2 2 3" xfId="30457"/>
    <cellStyle name="Обычный 7 4 4 2 3 2 3" xfId="30458"/>
    <cellStyle name="Обычный 7 4 4 2 3 2 3 2" xfId="30459"/>
    <cellStyle name="Обычный 7 4 4 2 3 2 3 3" xfId="30460"/>
    <cellStyle name="Обычный 7 4 4 2 3 2 4" xfId="30461"/>
    <cellStyle name="Обычный 7 4 4 2 3 2 4 2" xfId="30462"/>
    <cellStyle name="Обычный 7 4 4 2 3 2 5" xfId="30463"/>
    <cellStyle name="Обычный 7 4 4 2 3 2 6" xfId="30464"/>
    <cellStyle name="Обычный 7 4 4 2 3 3" xfId="30465"/>
    <cellStyle name="Обычный 7 4 4 2 3 3 2" xfId="30466"/>
    <cellStyle name="Обычный 7 4 4 2 3 3 3" xfId="30467"/>
    <cellStyle name="Обычный 7 4 4 2 3 4" xfId="30468"/>
    <cellStyle name="Обычный 7 4 4 2 3 4 2" xfId="30469"/>
    <cellStyle name="Обычный 7 4 4 2 3 4 3" xfId="30470"/>
    <cellStyle name="Обычный 7 4 4 2 3 5" xfId="30471"/>
    <cellStyle name="Обычный 7 4 4 2 3 5 2" xfId="30472"/>
    <cellStyle name="Обычный 7 4 4 2 3 6" xfId="30473"/>
    <cellStyle name="Обычный 7 4 4 2 3 7" xfId="30474"/>
    <cellStyle name="Обычный 7 4 4 2 4" xfId="30475"/>
    <cellStyle name="Обычный 7 4 4 2 4 2" xfId="30476"/>
    <cellStyle name="Обычный 7 4 4 2 4 2 2" xfId="30477"/>
    <cellStyle name="Обычный 7 4 4 2 4 2 3" xfId="30478"/>
    <cellStyle name="Обычный 7 4 4 2 4 3" xfId="30479"/>
    <cellStyle name="Обычный 7 4 4 2 4 3 2" xfId="30480"/>
    <cellStyle name="Обычный 7 4 4 2 4 3 3" xfId="30481"/>
    <cellStyle name="Обычный 7 4 4 2 4 4" xfId="30482"/>
    <cellStyle name="Обычный 7 4 4 2 4 4 2" xfId="30483"/>
    <cellStyle name="Обычный 7 4 4 2 4 5" xfId="30484"/>
    <cellStyle name="Обычный 7 4 4 2 4 6" xfId="30485"/>
    <cellStyle name="Обычный 7 4 4 2 5" xfId="30486"/>
    <cellStyle name="Обычный 7 4 4 2 5 2" xfId="30487"/>
    <cellStyle name="Обычный 7 4 4 2 5 3" xfId="30488"/>
    <cellStyle name="Обычный 7 4 4 2 6" xfId="30489"/>
    <cellStyle name="Обычный 7 4 4 2 6 2" xfId="30490"/>
    <cellStyle name="Обычный 7 4 4 2 6 3" xfId="30491"/>
    <cellStyle name="Обычный 7 4 4 2 7" xfId="30492"/>
    <cellStyle name="Обычный 7 4 4 2 7 2" xfId="30493"/>
    <cellStyle name="Обычный 7 4 4 2 8" xfId="30494"/>
    <cellStyle name="Обычный 7 4 4 2 9" xfId="30495"/>
    <cellStyle name="Обычный 7 4 4 3" xfId="30496"/>
    <cellStyle name="Обычный 7 4 4 3 2" xfId="30497"/>
    <cellStyle name="Обычный 7 4 4 3 2 2" xfId="30498"/>
    <cellStyle name="Обычный 7 4 4 3 2 2 2" xfId="30499"/>
    <cellStyle name="Обычный 7 4 4 3 2 2 2 2" xfId="30500"/>
    <cellStyle name="Обычный 7 4 4 3 2 2 2 3" xfId="30501"/>
    <cellStyle name="Обычный 7 4 4 3 2 2 3" xfId="30502"/>
    <cellStyle name="Обычный 7 4 4 3 2 2 3 2" xfId="30503"/>
    <cellStyle name="Обычный 7 4 4 3 2 2 3 3" xfId="30504"/>
    <cellStyle name="Обычный 7 4 4 3 2 2 4" xfId="30505"/>
    <cellStyle name="Обычный 7 4 4 3 2 2 4 2" xfId="30506"/>
    <cellStyle name="Обычный 7 4 4 3 2 2 5" xfId="30507"/>
    <cellStyle name="Обычный 7 4 4 3 2 2 6" xfId="30508"/>
    <cellStyle name="Обычный 7 4 4 3 2 3" xfId="30509"/>
    <cellStyle name="Обычный 7 4 4 3 2 3 2" xfId="30510"/>
    <cellStyle name="Обычный 7 4 4 3 2 3 3" xfId="30511"/>
    <cellStyle name="Обычный 7 4 4 3 2 4" xfId="30512"/>
    <cellStyle name="Обычный 7 4 4 3 2 4 2" xfId="30513"/>
    <cellStyle name="Обычный 7 4 4 3 2 4 3" xfId="30514"/>
    <cellStyle name="Обычный 7 4 4 3 2 5" xfId="30515"/>
    <cellStyle name="Обычный 7 4 4 3 2 5 2" xfId="30516"/>
    <cellStyle name="Обычный 7 4 4 3 2 6" xfId="30517"/>
    <cellStyle name="Обычный 7 4 4 3 2 7" xfId="30518"/>
    <cellStyle name="Обычный 7 4 4 3 3" xfId="30519"/>
    <cellStyle name="Обычный 7 4 4 3 3 2" xfId="30520"/>
    <cellStyle name="Обычный 7 4 4 3 3 2 2" xfId="30521"/>
    <cellStyle name="Обычный 7 4 4 3 3 2 3" xfId="30522"/>
    <cellStyle name="Обычный 7 4 4 3 3 3" xfId="30523"/>
    <cellStyle name="Обычный 7 4 4 3 3 3 2" xfId="30524"/>
    <cellStyle name="Обычный 7 4 4 3 3 3 3" xfId="30525"/>
    <cellStyle name="Обычный 7 4 4 3 3 4" xfId="30526"/>
    <cellStyle name="Обычный 7 4 4 3 3 4 2" xfId="30527"/>
    <cellStyle name="Обычный 7 4 4 3 3 5" xfId="30528"/>
    <cellStyle name="Обычный 7 4 4 3 3 6" xfId="30529"/>
    <cellStyle name="Обычный 7 4 4 3 4" xfId="30530"/>
    <cellStyle name="Обычный 7 4 4 3 4 2" xfId="30531"/>
    <cellStyle name="Обычный 7 4 4 3 4 3" xfId="30532"/>
    <cellStyle name="Обычный 7 4 4 3 5" xfId="30533"/>
    <cellStyle name="Обычный 7 4 4 3 5 2" xfId="30534"/>
    <cellStyle name="Обычный 7 4 4 3 5 3" xfId="30535"/>
    <cellStyle name="Обычный 7 4 4 3 6" xfId="30536"/>
    <cellStyle name="Обычный 7 4 4 3 6 2" xfId="30537"/>
    <cellStyle name="Обычный 7 4 4 3 7" xfId="30538"/>
    <cellStyle name="Обычный 7 4 4 3 8" xfId="30539"/>
    <cellStyle name="Обычный 7 4 4 4" xfId="30540"/>
    <cellStyle name="Обычный 7 4 4 4 2" xfId="30541"/>
    <cellStyle name="Обычный 7 4 4 4 2 2" xfId="30542"/>
    <cellStyle name="Обычный 7 4 4 4 2 2 2" xfId="30543"/>
    <cellStyle name="Обычный 7 4 4 4 2 2 3" xfId="30544"/>
    <cellStyle name="Обычный 7 4 4 4 2 3" xfId="30545"/>
    <cellStyle name="Обычный 7 4 4 4 2 3 2" xfId="30546"/>
    <cellStyle name="Обычный 7 4 4 4 2 3 3" xfId="30547"/>
    <cellStyle name="Обычный 7 4 4 4 2 4" xfId="30548"/>
    <cellStyle name="Обычный 7 4 4 4 2 4 2" xfId="30549"/>
    <cellStyle name="Обычный 7 4 4 4 2 5" xfId="30550"/>
    <cellStyle name="Обычный 7 4 4 4 2 6" xfId="30551"/>
    <cellStyle name="Обычный 7 4 4 4 3" xfId="30552"/>
    <cellStyle name="Обычный 7 4 4 4 3 2" xfId="30553"/>
    <cellStyle name="Обычный 7 4 4 4 3 3" xfId="30554"/>
    <cellStyle name="Обычный 7 4 4 4 4" xfId="30555"/>
    <cellStyle name="Обычный 7 4 4 4 4 2" xfId="30556"/>
    <cellStyle name="Обычный 7 4 4 4 4 3" xfId="30557"/>
    <cellStyle name="Обычный 7 4 4 4 5" xfId="30558"/>
    <cellStyle name="Обычный 7 4 4 4 5 2" xfId="30559"/>
    <cellStyle name="Обычный 7 4 4 4 6" xfId="30560"/>
    <cellStyle name="Обычный 7 4 4 4 7" xfId="30561"/>
    <cellStyle name="Обычный 7 4 4 5" xfId="30562"/>
    <cellStyle name="Обычный 7 4 4 5 2" xfId="30563"/>
    <cellStyle name="Обычный 7 4 4 5 2 2" xfId="30564"/>
    <cellStyle name="Обычный 7 4 4 5 2 3" xfId="30565"/>
    <cellStyle name="Обычный 7 4 4 5 3" xfId="30566"/>
    <cellStyle name="Обычный 7 4 4 5 3 2" xfId="30567"/>
    <cellStyle name="Обычный 7 4 4 5 3 3" xfId="30568"/>
    <cellStyle name="Обычный 7 4 4 5 4" xfId="30569"/>
    <cellStyle name="Обычный 7 4 4 5 4 2" xfId="30570"/>
    <cellStyle name="Обычный 7 4 4 5 5" xfId="30571"/>
    <cellStyle name="Обычный 7 4 4 5 6" xfId="30572"/>
    <cellStyle name="Обычный 7 4 4 6" xfId="30573"/>
    <cellStyle name="Обычный 7 4 4 6 2" xfId="30574"/>
    <cellStyle name="Обычный 7 4 4 6 3" xfId="30575"/>
    <cellStyle name="Обычный 7 4 4 7" xfId="30576"/>
    <cellStyle name="Обычный 7 4 4 7 2" xfId="30577"/>
    <cellStyle name="Обычный 7 4 4 7 3" xfId="30578"/>
    <cellStyle name="Обычный 7 4 4 8" xfId="30579"/>
    <cellStyle name="Обычный 7 4 4 8 2" xfId="30580"/>
    <cellStyle name="Обычный 7 4 4 9" xfId="30581"/>
    <cellStyle name="Обычный 7 4 5" xfId="30582"/>
    <cellStyle name="Обычный 7 4 5 10" xfId="30583"/>
    <cellStyle name="Обычный 7 4 5 2" xfId="30584"/>
    <cellStyle name="Обычный 7 4 5 2 2" xfId="30585"/>
    <cellStyle name="Обычный 7 4 5 2 2 2" xfId="30586"/>
    <cellStyle name="Обычный 7 4 5 2 2 2 2" xfId="30587"/>
    <cellStyle name="Обычный 7 4 5 2 2 2 2 2" xfId="30588"/>
    <cellStyle name="Обычный 7 4 5 2 2 2 2 2 2" xfId="30589"/>
    <cellStyle name="Обычный 7 4 5 2 2 2 2 2 3" xfId="30590"/>
    <cellStyle name="Обычный 7 4 5 2 2 2 2 3" xfId="30591"/>
    <cellStyle name="Обычный 7 4 5 2 2 2 2 3 2" xfId="30592"/>
    <cellStyle name="Обычный 7 4 5 2 2 2 2 3 3" xfId="30593"/>
    <cellStyle name="Обычный 7 4 5 2 2 2 2 4" xfId="30594"/>
    <cellStyle name="Обычный 7 4 5 2 2 2 2 4 2" xfId="30595"/>
    <cellStyle name="Обычный 7 4 5 2 2 2 2 5" xfId="30596"/>
    <cellStyle name="Обычный 7 4 5 2 2 2 2 6" xfId="30597"/>
    <cellStyle name="Обычный 7 4 5 2 2 2 3" xfId="30598"/>
    <cellStyle name="Обычный 7 4 5 2 2 2 3 2" xfId="30599"/>
    <cellStyle name="Обычный 7 4 5 2 2 2 3 3" xfId="30600"/>
    <cellStyle name="Обычный 7 4 5 2 2 2 4" xfId="30601"/>
    <cellStyle name="Обычный 7 4 5 2 2 2 4 2" xfId="30602"/>
    <cellStyle name="Обычный 7 4 5 2 2 2 4 3" xfId="30603"/>
    <cellStyle name="Обычный 7 4 5 2 2 2 5" xfId="30604"/>
    <cellStyle name="Обычный 7 4 5 2 2 2 5 2" xfId="30605"/>
    <cellStyle name="Обычный 7 4 5 2 2 2 6" xfId="30606"/>
    <cellStyle name="Обычный 7 4 5 2 2 2 7" xfId="30607"/>
    <cellStyle name="Обычный 7 4 5 2 2 3" xfId="30608"/>
    <cellStyle name="Обычный 7 4 5 2 2 3 2" xfId="30609"/>
    <cellStyle name="Обычный 7 4 5 2 2 3 2 2" xfId="30610"/>
    <cellStyle name="Обычный 7 4 5 2 2 3 2 3" xfId="30611"/>
    <cellStyle name="Обычный 7 4 5 2 2 3 3" xfId="30612"/>
    <cellStyle name="Обычный 7 4 5 2 2 3 3 2" xfId="30613"/>
    <cellStyle name="Обычный 7 4 5 2 2 3 3 3" xfId="30614"/>
    <cellStyle name="Обычный 7 4 5 2 2 3 4" xfId="30615"/>
    <cellStyle name="Обычный 7 4 5 2 2 3 4 2" xfId="30616"/>
    <cellStyle name="Обычный 7 4 5 2 2 3 5" xfId="30617"/>
    <cellStyle name="Обычный 7 4 5 2 2 3 6" xfId="30618"/>
    <cellStyle name="Обычный 7 4 5 2 2 4" xfId="30619"/>
    <cellStyle name="Обычный 7 4 5 2 2 4 2" xfId="30620"/>
    <cellStyle name="Обычный 7 4 5 2 2 4 3" xfId="30621"/>
    <cellStyle name="Обычный 7 4 5 2 2 5" xfId="30622"/>
    <cellStyle name="Обычный 7 4 5 2 2 5 2" xfId="30623"/>
    <cellStyle name="Обычный 7 4 5 2 2 5 3" xfId="30624"/>
    <cellStyle name="Обычный 7 4 5 2 2 6" xfId="30625"/>
    <cellStyle name="Обычный 7 4 5 2 2 6 2" xfId="30626"/>
    <cellStyle name="Обычный 7 4 5 2 2 7" xfId="30627"/>
    <cellStyle name="Обычный 7 4 5 2 2 8" xfId="30628"/>
    <cellStyle name="Обычный 7 4 5 2 3" xfId="30629"/>
    <cellStyle name="Обычный 7 4 5 2 3 2" xfId="30630"/>
    <cellStyle name="Обычный 7 4 5 2 3 2 2" xfId="30631"/>
    <cellStyle name="Обычный 7 4 5 2 3 2 2 2" xfId="30632"/>
    <cellStyle name="Обычный 7 4 5 2 3 2 2 3" xfId="30633"/>
    <cellStyle name="Обычный 7 4 5 2 3 2 3" xfId="30634"/>
    <cellStyle name="Обычный 7 4 5 2 3 2 3 2" xfId="30635"/>
    <cellStyle name="Обычный 7 4 5 2 3 2 3 3" xfId="30636"/>
    <cellStyle name="Обычный 7 4 5 2 3 2 4" xfId="30637"/>
    <cellStyle name="Обычный 7 4 5 2 3 2 4 2" xfId="30638"/>
    <cellStyle name="Обычный 7 4 5 2 3 2 5" xfId="30639"/>
    <cellStyle name="Обычный 7 4 5 2 3 2 6" xfId="30640"/>
    <cellStyle name="Обычный 7 4 5 2 3 3" xfId="30641"/>
    <cellStyle name="Обычный 7 4 5 2 3 3 2" xfId="30642"/>
    <cellStyle name="Обычный 7 4 5 2 3 3 3" xfId="30643"/>
    <cellStyle name="Обычный 7 4 5 2 3 4" xfId="30644"/>
    <cellStyle name="Обычный 7 4 5 2 3 4 2" xfId="30645"/>
    <cellStyle name="Обычный 7 4 5 2 3 4 3" xfId="30646"/>
    <cellStyle name="Обычный 7 4 5 2 3 5" xfId="30647"/>
    <cellStyle name="Обычный 7 4 5 2 3 5 2" xfId="30648"/>
    <cellStyle name="Обычный 7 4 5 2 3 6" xfId="30649"/>
    <cellStyle name="Обычный 7 4 5 2 3 7" xfId="30650"/>
    <cellStyle name="Обычный 7 4 5 2 4" xfId="30651"/>
    <cellStyle name="Обычный 7 4 5 2 4 2" xfId="30652"/>
    <cellStyle name="Обычный 7 4 5 2 4 2 2" xfId="30653"/>
    <cellStyle name="Обычный 7 4 5 2 4 2 3" xfId="30654"/>
    <cellStyle name="Обычный 7 4 5 2 4 3" xfId="30655"/>
    <cellStyle name="Обычный 7 4 5 2 4 3 2" xfId="30656"/>
    <cellStyle name="Обычный 7 4 5 2 4 3 3" xfId="30657"/>
    <cellStyle name="Обычный 7 4 5 2 4 4" xfId="30658"/>
    <cellStyle name="Обычный 7 4 5 2 4 4 2" xfId="30659"/>
    <cellStyle name="Обычный 7 4 5 2 4 5" xfId="30660"/>
    <cellStyle name="Обычный 7 4 5 2 4 6" xfId="30661"/>
    <cellStyle name="Обычный 7 4 5 2 5" xfId="30662"/>
    <cellStyle name="Обычный 7 4 5 2 5 2" xfId="30663"/>
    <cellStyle name="Обычный 7 4 5 2 5 3" xfId="30664"/>
    <cellStyle name="Обычный 7 4 5 2 6" xfId="30665"/>
    <cellStyle name="Обычный 7 4 5 2 6 2" xfId="30666"/>
    <cellStyle name="Обычный 7 4 5 2 6 3" xfId="30667"/>
    <cellStyle name="Обычный 7 4 5 2 7" xfId="30668"/>
    <cellStyle name="Обычный 7 4 5 2 7 2" xfId="30669"/>
    <cellStyle name="Обычный 7 4 5 2 8" xfId="30670"/>
    <cellStyle name="Обычный 7 4 5 2 9" xfId="30671"/>
    <cellStyle name="Обычный 7 4 5 3" xfId="30672"/>
    <cellStyle name="Обычный 7 4 5 3 2" xfId="30673"/>
    <cellStyle name="Обычный 7 4 5 3 2 2" xfId="30674"/>
    <cellStyle name="Обычный 7 4 5 3 2 2 2" xfId="30675"/>
    <cellStyle name="Обычный 7 4 5 3 2 2 2 2" xfId="30676"/>
    <cellStyle name="Обычный 7 4 5 3 2 2 2 3" xfId="30677"/>
    <cellStyle name="Обычный 7 4 5 3 2 2 3" xfId="30678"/>
    <cellStyle name="Обычный 7 4 5 3 2 2 3 2" xfId="30679"/>
    <cellStyle name="Обычный 7 4 5 3 2 2 3 3" xfId="30680"/>
    <cellStyle name="Обычный 7 4 5 3 2 2 4" xfId="30681"/>
    <cellStyle name="Обычный 7 4 5 3 2 2 4 2" xfId="30682"/>
    <cellStyle name="Обычный 7 4 5 3 2 2 5" xfId="30683"/>
    <cellStyle name="Обычный 7 4 5 3 2 2 6" xfId="30684"/>
    <cellStyle name="Обычный 7 4 5 3 2 3" xfId="30685"/>
    <cellStyle name="Обычный 7 4 5 3 2 3 2" xfId="30686"/>
    <cellStyle name="Обычный 7 4 5 3 2 3 3" xfId="30687"/>
    <cellStyle name="Обычный 7 4 5 3 2 4" xfId="30688"/>
    <cellStyle name="Обычный 7 4 5 3 2 4 2" xfId="30689"/>
    <cellStyle name="Обычный 7 4 5 3 2 4 3" xfId="30690"/>
    <cellStyle name="Обычный 7 4 5 3 2 5" xfId="30691"/>
    <cellStyle name="Обычный 7 4 5 3 2 5 2" xfId="30692"/>
    <cellStyle name="Обычный 7 4 5 3 2 6" xfId="30693"/>
    <cellStyle name="Обычный 7 4 5 3 2 7" xfId="30694"/>
    <cellStyle name="Обычный 7 4 5 3 3" xfId="30695"/>
    <cellStyle name="Обычный 7 4 5 3 3 2" xfId="30696"/>
    <cellStyle name="Обычный 7 4 5 3 3 2 2" xfId="30697"/>
    <cellStyle name="Обычный 7 4 5 3 3 2 3" xfId="30698"/>
    <cellStyle name="Обычный 7 4 5 3 3 3" xfId="30699"/>
    <cellStyle name="Обычный 7 4 5 3 3 3 2" xfId="30700"/>
    <cellStyle name="Обычный 7 4 5 3 3 3 3" xfId="30701"/>
    <cellStyle name="Обычный 7 4 5 3 3 4" xfId="30702"/>
    <cellStyle name="Обычный 7 4 5 3 3 4 2" xfId="30703"/>
    <cellStyle name="Обычный 7 4 5 3 3 5" xfId="30704"/>
    <cellStyle name="Обычный 7 4 5 3 3 6" xfId="30705"/>
    <cellStyle name="Обычный 7 4 5 3 4" xfId="30706"/>
    <cellStyle name="Обычный 7 4 5 3 4 2" xfId="30707"/>
    <cellStyle name="Обычный 7 4 5 3 4 3" xfId="30708"/>
    <cellStyle name="Обычный 7 4 5 3 5" xfId="30709"/>
    <cellStyle name="Обычный 7 4 5 3 5 2" xfId="30710"/>
    <cellStyle name="Обычный 7 4 5 3 5 3" xfId="30711"/>
    <cellStyle name="Обычный 7 4 5 3 6" xfId="30712"/>
    <cellStyle name="Обычный 7 4 5 3 6 2" xfId="30713"/>
    <cellStyle name="Обычный 7 4 5 3 7" xfId="30714"/>
    <cellStyle name="Обычный 7 4 5 3 8" xfId="30715"/>
    <cellStyle name="Обычный 7 4 5 4" xfId="30716"/>
    <cellStyle name="Обычный 7 4 5 4 2" xfId="30717"/>
    <cellStyle name="Обычный 7 4 5 4 2 2" xfId="30718"/>
    <cellStyle name="Обычный 7 4 5 4 2 2 2" xfId="30719"/>
    <cellStyle name="Обычный 7 4 5 4 2 2 3" xfId="30720"/>
    <cellStyle name="Обычный 7 4 5 4 2 3" xfId="30721"/>
    <cellStyle name="Обычный 7 4 5 4 2 3 2" xfId="30722"/>
    <cellStyle name="Обычный 7 4 5 4 2 3 3" xfId="30723"/>
    <cellStyle name="Обычный 7 4 5 4 2 4" xfId="30724"/>
    <cellStyle name="Обычный 7 4 5 4 2 4 2" xfId="30725"/>
    <cellStyle name="Обычный 7 4 5 4 2 5" xfId="30726"/>
    <cellStyle name="Обычный 7 4 5 4 2 6" xfId="30727"/>
    <cellStyle name="Обычный 7 4 5 4 3" xfId="30728"/>
    <cellStyle name="Обычный 7 4 5 4 3 2" xfId="30729"/>
    <cellStyle name="Обычный 7 4 5 4 3 3" xfId="30730"/>
    <cellStyle name="Обычный 7 4 5 4 4" xfId="30731"/>
    <cellStyle name="Обычный 7 4 5 4 4 2" xfId="30732"/>
    <cellStyle name="Обычный 7 4 5 4 4 3" xfId="30733"/>
    <cellStyle name="Обычный 7 4 5 4 5" xfId="30734"/>
    <cellStyle name="Обычный 7 4 5 4 5 2" xfId="30735"/>
    <cellStyle name="Обычный 7 4 5 4 6" xfId="30736"/>
    <cellStyle name="Обычный 7 4 5 4 7" xfId="30737"/>
    <cellStyle name="Обычный 7 4 5 5" xfId="30738"/>
    <cellStyle name="Обычный 7 4 5 5 2" xfId="30739"/>
    <cellStyle name="Обычный 7 4 5 5 2 2" xfId="30740"/>
    <cellStyle name="Обычный 7 4 5 5 2 3" xfId="30741"/>
    <cellStyle name="Обычный 7 4 5 5 3" xfId="30742"/>
    <cellStyle name="Обычный 7 4 5 5 3 2" xfId="30743"/>
    <cellStyle name="Обычный 7 4 5 5 3 3" xfId="30744"/>
    <cellStyle name="Обычный 7 4 5 5 4" xfId="30745"/>
    <cellStyle name="Обычный 7 4 5 5 4 2" xfId="30746"/>
    <cellStyle name="Обычный 7 4 5 5 5" xfId="30747"/>
    <cellStyle name="Обычный 7 4 5 5 6" xfId="30748"/>
    <cellStyle name="Обычный 7 4 5 6" xfId="30749"/>
    <cellStyle name="Обычный 7 4 5 6 2" xfId="30750"/>
    <cellStyle name="Обычный 7 4 5 6 3" xfId="30751"/>
    <cellStyle name="Обычный 7 4 5 7" xfId="30752"/>
    <cellStyle name="Обычный 7 4 5 7 2" xfId="30753"/>
    <cellStyle name="Обычный 7 4 5 7 3" xfId="30754"/>
    <cellStyle name="Обычный 7 4 5 8" xfId="30755"/>
    <cellStyle name="Обычный 7 4 5 8 2" xfId="30756"/>
    <cellStyle name="Обычный 7 4 5 9" xfId="30757"/>
    <cellStyle name="Обычный 7 4 6" xfId="30758"/>
    <cellStyle name="Обычный 7 4 6 2" xfId="30759"/>
    <cellStyle name="Обычный 7 4 6 2 2" xfId="30760"/>
    <cellStyle name="Обычный 7 4 6 2 2 2" xfId="30761"/>
    <cellStyle name="Обычный 7 4 6 2 2 2 2" xfId="30762"/>
    <cellStyle name="Обычный 7 4 6 2 2 2 2 2" xfId="30763"/>
    <cellStyle name="Обычный 7 4 6 2 2 2 2 3" xfId="30764"/>
    <cellStyle name="Обычный 7 4 6 2 2 2 3" xfId="30765"/>
    <cellStyle name="Обычный 7 4 6 2 2 2 3 2" xfId="30766"/>
    <cellStyle name="Обычный 7 4 6 2 2 2 3 3" xfId="30767"/>
    <cellStyle name="Обычный 7 4 6 2 2 2 4" xfId="30768"/>
    <cellStyle name="Обычный 7 4 6 2 2 2 4 2" xfId="30769"/>
    <cellStyle name="Обычный 7 4 6 2 2 2 5" xfId="30770"/>
    <cellStyle name="Обычный 7 4 6 2 2 2 6" xfId="30771"/>
    <cellStyle name="Обычный 7 4 6 2 2 3" xfId="30772"/>
    <cellStyle name="Обычный 7 4 6 2 2 3 2" xfId="30773"/>
    <cellStyle name="Обычный 7 4 6 2 2 3 3" xfId="30774"/>
    <cellStyle name="Обычный 7 4 6 2 2 4" xfId="30775"/>
    <cellStyle name="Обычный 7 4 6 2 2 4 2" xfId="30776"/>
    <cellStyle name="Обычный 7 4 6 2 2 4 3" xfId="30777"/>
    <cellStyle name="Обычный 7 4 6 2 2 5" xfId="30778"/>
    <cellStyle name="Обычный 7 4 6 2 2 5 2" xfId="30779"/>
    <cellStyle name="Обычный 7 4 6 2 2 6" xfId="30780"/>
    <cellStyle name="Обычный 7 4 6 2 2 7" xfId="30781"/>
    <cellStyle name="Обычный 7 4 6 2 3" xfId="30782"/>
    <cellStyle name="Обычный 7 4 6 2 3 2" xfId="30783"/>
    <cellStyle name="Обычный 7 4 6 2 3 2 2" xfId="30784"/>
    <cellStyle name="Обычный 7 4 6 2 3 2 3" xfId="30785"/>
    <cellStyle name="Обычный 7 4 6 2 3 3" xfId="30786"/>
    <cellStyle name="Обычный 7 4 6 2 3 3 2" xfId="30787"/>
    <cellStyle name="Обычный 7 4 6 2 3 3 3" xfId="30788"/>
    <cellStyle name="Обычный 7 4 6 2 3 4" xfId="30789"/>
    <cellStyle name="Обычный 7 4 6 2 3 4 2" xfId="30790"/>
    <cellStyle name="Обычный 7 4 6 2 3 5" xfId="30791"/>
    <cellStyle name="Обычный 7 4 6 2 3 6" xfId="30792"/>
    <cellStyle name="Обычный 7 4 6 2 4" xfId="30793"/>
    <cellStyle name="Обычный 7 4 6 2 4 2" xfId="30794"/>
    <cellStyle name="Обычный 7 4 6 2 4 3" xfId="30795"/>
    <cellStyle name="Обычный 7 4 6 2 5" xfId="30796"/>
    <cellStyle name="Обычный 7 4 6 2 5 2" xfId="30797"/>
    <cellStyle name="Обычный 7 4 6 2 5 3" xfId="30798"/>
    <cellStyle name="Обычный 7 4 6 2 6" xfId="30799"/>
    <cellStyle name="Обычный 7 4 6 2 6 2" xfId="30800"/>
    <cellStyle name="Обычный 7 4 6 2 7" xfId="30801"/>
    <cellStyle name="Обычный 7 4 6 2 8" xfId="30802"/>
    <cellStyle name="Обычный 7 4 6 3" xfId="30803"/>
    <cellStyle name="Обычный 7 4 6 3 2" xfId="30804"/>
    <cellStyle name="Обычный 7 4 6 3 2 2" xfId="30805"/>
    <cellStyle name="Обычный 7 4 6 3 2 2 2" xfId="30806"/>
    <cellStyle name="Обычный 7 4 6 3 2 2 3" xfId="30807"/>
    <cellStyle name="Обычный 7 4 6 3 2 3" xfId="30808"/>
    <cellStyle name="Обычный 7 4 6 3 2 3 2" xfId="30809"/>
    <cellStyle name="Обычный 7 4 6 3 2 3 3" xfId="30810"/>
    <cellStyle name="Обычный 7 4 6 3 2 4" xfId="30811"/>
    <cellStyle name="Обычный 7 4 6 3 2 4 2" xfId="30812"/>
    <cellStyle name="Обычный 7 4 6 3 2 5" xfId="30813"/>
    <cellStyle name="Обычный 7 4 6 3 2 6" xfId="30814"/>
    <cellStyle name="Обычный 7 4 6 3 3" xfId="30815"/>
    <cellStyle name="Обычный 7 4 6 3 3 2" xfId="30816"/>
    <cellStyle name="Обычный 7 4 6 3 3 3" xfId="30817"/>
    <cellStyle name="Обычный 7 4 6 3 4" xfId="30818"/>
    <cellStyle name="Обычный 7 4 6 3 4 2" xfId="30819"/>
    <cellStyle name="Обычный 7 4 6 3 4 3" xfId="30820"/>
    <cellStyle name="Обычный 7 4 6 3 5" xfId="30821"/>
    <cellStyle name="Обычный 7 4 6 3 5 2" xfId="30822"/>
    <cellStyle name="Обычный 7 4 6 3 6" xfId="30823"/>
    <cellStyle name="Обычный 7 4 6 3 7" xfId="30824"/>
    <cellStyle name="Обычный 7 4 6 4" xfId="30825"/>
    <cellStyle name="Обычный 7 4 6 4 2" xfId="30826"/>
    <cellStyle name="Обычный 7 4 6 4 2 2" xfId="30827"/>
    <cellStyle name="Обычный 7 4 6 4 2 3" xfId="30828"/>
    <cellStyle name="Обычный 7 4 6 4 3" xfId="30829"/>
    <cellStyle name="Обычный 7 4 6 4 3 2" xfId="30830"/>
    <cellStyle name="Обычный 7 4 6 4 3 3" xfId="30831"/>
    <cellStyle name="Обычный 7 4 6 4 4" xfId="30832"/>
    <cellStyle name="Обычный 7 4 6 4 4 2" xfId="30833"/>
    <cellStyle name="Обычный 7 4 6 4 5" xfId="30834"/>
    <cellStyle name="Обычный 7 4 6 4 6" xfId="30835"/>
    <cellStyle name="Обычный 7 4 6 5" xfId="30836"/>
    <cellStyle name="Обычный 7 4 6 5 2" xfId="30837"/>
    <cellStyle name="Обычный 7 4 6 5 3" xfId="30838"/>
    <cellStyle name="Обычный 7 4 6 6" xfId="30839"/>
    <cellStyle name="Обычный 7 4 6 6 2" xfId="30840"/>
    <cellStyle name="Обычный 7 4 6 6 3" xfId="30841"/>
    <cellStyle name="Обычный 7 4 6 7" xfId="30842"/>
    <cellStyle name="Обычный 7 4 6 7 2" xfId="30843"/>
    <cellStyle name="Обычный 7 4 6 8" xfId="30844"/>
    <cellStyle name="Обычный 7 4 6 9" xfId="30845"/>
    <cellStyle name="Обычный 7 4 7" xfId="30846"/>
    <cellStyle name="Обычный 7 4 7 2" xfId="30847"/>
    <cellStyle name="Обычный 7 4 7 2 2" xfId="30848"/>
    <cellStyle name="Обычный 7 4 7 2 2 2" xfId="30849"/>
    <cellStyle name="Обычный 7 4 7 2 2 2 2" xfId="30850"/>
    <cellStyle name="Обычный 7 4 7 2 2 2 3" xfId="30851"/>
    <cellStyle name="Обычный 7 4 7 2 2 3" xfId="30852"/>
    <cellStyle name="Обычный 7 4 7 2 2 3 2" xfId="30853"/>
    <cellStyle name="Обычный 7 4 7 2 2 3 3" xfId="30854"/>
    <cellStyle name="Обычный 7 4 7 2 2 4" xfId="30855"/>
    <cellStyle name="Обычный 7 4 7 2 2 4 2" xfId="30856"/>
    <cellStyle name="Обычный 7 4 7 2 2 5" xfId="30857"/>
    <cellStyle name="Обычный 7 4 7 2 2 6" xfId="30858"/>
    <cellStyle name="Обычный 7 4 7 2 3" xfId="30859"/>
    <cellStyle name="Обычный 7 4 7 2 3 2" xfId="30860"/>
    <cellStyle name="Обычный 7 4 7 2 3 3" xfId="30861"/>
    <cellStyle name="Обычный 7 4 7 2 4" xfId="30862"/>
    <cellStyle name="Обычный 7 4 7 2 4 2" xfId="30863"/>
    <cellStyle name="Обычный 7 4 7 2 4 3" xfId="30864"/>
    <cellStyle name="Обычный 7 4 7 2 5" xfId="30865"/>
    <cellStyle name="Обычный 7 4 7 2 5 2" xfId="30866"/>
    <cellStyle name="Обычный 7 4 7 2 6" xfId="30867"/>
    <cellStyle name="Обычный 7 4 7 2 7" xfId="30868"/>
    <cellStyle name="Обычный 7 4 7 3" xfId="30869"/>
    <cellStyle name="Обычный 7 4 7 3 2" xfId="30870"/>
    <cellStyle name="Обычный 7 4 7 3 2 2" xfId="30871"/>
    <cellStyle name="Обычный 7 4 7 3 2 3" xfId="30872"/>
    <cellStyle name="Обычный 7 4 7 3 3" xfId="30873"/>
    <cellStyle name="Обычный 7 4 7 3 3 2" xfId="30874"/>
    <cellStyle name="Обычный 7 4 7 3 3 3" xfId="30875"/>
    <cellStyle name="Обычный 7 4 7 3 4" xfId="30876"/>
    <cellStyle name="Обычный 7 4 7 3 4 2" xfId="30877"/>
    <cellStyle name="Обычный 7 4 7 3 5" xfId="30878"/>
    <cellStyle name="Обычный 7 4 7 3 6" xfId="30879"/>
    <cellStyle name="Обычный 7 4 7 4" xfId="30880"/>
    <cellStyle name="Обычный 7 4 7 4 2" xfId="30881"/>
    <cellStyle name="Обычный 7 4 7 4 3" xfId="30882"/>
    <cellStyle name="Обычный 7 4 7 5" xfId="30883"/>
    <cellStyle name="Обычный 7 4 7 5 2" xfId="30884"/>
    <cellStyle name="Обычный 7 4 7 5 3" xfId="30885"/>
    <cellStyle name="Обычный 7 4 7 6" xfId="30886"/>
    <cellStyle name="Обычный 7 4 7 6 2" xfId="30887"/>
    <cellStyle name="Обычный 7 4 7 7" xfId="30888"/>
    <cellStyle name="Обычный 7 4 7 8" xfId="30889"/>
    <cellStyle name="Обычный 7 4 8" xfId="30890"/>
    <cellStyle name="Обычный 7 4 8 2" xfId="30891"/>
    <cellStyle name="Обычный 7 4 8 2 2" xfId="30892"/>
    <cellStyle name="Обычный 7 4 8 2 2 2" xfId="30893"/>
    <cellStyle name="Обычный 7 4 8 2 2 3" xfId="30894"/>
    <cellStyle name="Обычный 7 4 8 2 3" xfId="30895"/>
    <cellStyle name="Обычный 7 4 8 2 3 2" xfId="30896"/>
    <cellStyle name="Обычный 7 4 8 2 3 3" xfId="30897"/>
    <cellStyle name="Обычный 7 4 8 2 4" xfId="30898"/>
    <cellStyle name="Обычный 7 4 8 2 4 2" xfId="30899"/>
    <cellStyle name="Обычный 7 4 8 2 5" xfId="30900"/>
    <cellStyle name="Обычный 7 4 8 2 6" xfId="30901"/>
    <cellStyle name="Обычный 7 4 8 3" xfId="30902"/>
    <cellStyle name="Обычный 7 4 8 3 2" xfId="30903"/>
    <cellStyle name="Обычный 7 4 8 3 3" xfId="30904"/>
    <cellStyle name="Обычный 7 4 8 4" xfId="30905"/>
    <cellStyle name="Обычный 7 4 8 4 2" xfId="30906"/>
    <cellStyle name="Обычный 7 4 8 4 3" xfId="30907"/>
    <cellStyle name="Обычный 7 4 8 5" xfId="30908"/>
    <cellStyle name="Обычный 7 4 8 5 2" xfId="30909"/>
    <cellStyle name="Обычный 7 4 8 6" xfId="30910"/>
    <cellStyle name="Обычный 7 4 8 7" xfId="30911"/>
    <cellStyle name="Обычный 7 4 9" xfId="30912"/>
    <cellStyle name="Обычный 7 4 9 2" xfId="30913"/>
    <cellStyle name="Обычный 7 4 9 2 2" xfId="30914"/>
    <cellStyle name="Обычный 7 4 9 2 3" xfId="30915"/>
    <cellStyle name="Обычный 7 4 9 3" xfId="30916"/>
    <cellStyle name="Обычный 7 4 9 3 2" xfId="30917"/>
    <cellStyle name="Обычный 7 4 9 3 3" xfId="30918"/>
    <cellStyle name="Обычный 7 4 9 4" xfId="30919"/>
    <cellStyle name="Обычный 7 4 9 4 2" xfId="30920"/>
    <cellStyle name="Обычный 7 4 9 5" xfId="30921"/>
    <cellStyle name="Обычный 7 4 9 6" xfId="30922"/>
    <cellStyle name="Обычный 7 5" xfId="30923"/>
    <cellStyle name="Обычный 7 5 10" xfId="30924"/>
    <cellStyle name="Обычный 7 5 10 2" xfId="30925"/>
    <cellStyle name="Обычный 7 5 10 3" xfId="30926"/>
    <cellStyle name="Обычный 7 5 11" xfId="30927"/>
    <cellStyle name="Обычный 7 5 11 2" xfId="30928"/>
    <cellStyle name="Обычный 7 5 11 3" xfId="30929"/>
    <cellStyle name="Обычный 7 5 12" xfId="30930"/>
    <cellStyle name="Обычный 7 5 12 2" xfId="30931"/>
    <cellStyle name="Обычный 7 5 13" xfId="30932"/>
    <cellStyle name="Обычный 7 5 14" xfId="30933"/>
    <cellStyle name="Обычный 7 5 2" xfId="30934"/>
    <cellStyle name="Обычный 7 5 2 10" xfId="30935"/>
    <cellStyle name="Обычный 7 5 2 10 2" xfId="30936"/>
    <cellStyle name="Обычный 7 5 2 10 3" xfId="30937"/>
    <cellStyle name="Обычный 7 5 2 11" xfId="30938"/>
    <cellStyle name="Обычный 7 5 2 11 2" xfId="30939"/>
    <cellStyle name="Обычный 7 5 2 12" xfId="30940"/>
    <cellStyle name="Обычный 7 5 2 13" xfId="30941"/>
    <cellStyle name="Обычный 7 5 2 2" xfId="30942"/>
    <cellStyle name="Обычный 7 5 2 2 10" xfId="30943"/>
    <cellStyle name="Обычный 7 5 2 2 2" xfId="30944"/>
    <cellStyle name="Обычный 7 5 2 2 2 2" xfId="30945"/>
    <cellStyle name="Обычный 7 5 2 2 2 2 2" xfId="30946"/>
    <cellStyle name="Обычный 7 5 2 2 2 2 2 2" xfId="30947"/>
    <cellStyle name="Обычный 7 5 2 2 2 2 2 2 2" xfId="30948"/>
    <cellStyle name="Обычный 7 5 2 2 2 2 2 2 2 2" xfId="30949"/>
    <cellStyle name="Обычный 7 5 2 2 2 2 2 2 2 3" xfId="30950"/>
    <cellStyle name="Обычный 7 5 2 2 2 2 2 2 3" xfId="30951"/>
    <cellStyle name="Обычный 7 5 2 2 2 2 2 2 3 2" xfId="30952"/>
    <cellStyle name="Обычный 7 5 2 2 2 2 2 2 3 3" xfId="30953"/>
    <cellStyle name="Обычный 7 5 2 2 2 2 2 2 4" xfId="30954"/>
    <cellStyle name="Обычный 7 5 2 2 2 2 2 2 4 2" xfId="30955"/>
    <cellStyle name="Обычный 7 5 2 2 2 2 2 2 5" xfId="30956"/>
    <cellStyle name="Обычный 7 5 2 2 2 2 2 2 6" xfId="30957"/>
    <cellStyle name="Обычный 7 5 2 2 2 2 2 3" xfId="30958"/>
    <cellStyle name="Обычный 7 5 2 2 2 2 2 3 2" xfId="30959"/>
    <cellStyle name="Обычный 7 5 2 2 2 2 2 3 3" xfId="30960"/>
    <cellStyle name="Обычный 7 5 2 2 2 2 2 4" xfId="30961"/>
    <cellStyle name="Обычный 7 5 2 2 2 2 2 4 2" xfId="30962"/>
    <cellStyle name="Обычный 7 5 2 2 2 2 2 4 3" xfId="30963"/>
    <cellStyle name="Обычный 7 5 2 2 2 2 2 5" xfId="30964"/>
    <cellStyle name="Обычный 7 5 2 2 2 2 2 5 2" xfId="30965"/>
    <cellStyle name="Обычный 7 5 2 2 2 2 2 6" xfId="30966"/>
    <cellStyle name="Обычный 7 5 2 2 2 2 2 7" xfId="30967"/>
    <cellStyle name="Обычный 7 5 2 2 2 2 3" xfId="30968"/>
    <cellStyle name="Обычный 7 5 2 2 2 2 3 2" xfId="30969"/>
    <cellStyle name="Обычный 7 5 2 2 2 2 3 2 2" xfId="30970"/>
    <cellStyle name="Обычный 7 5 2 2 2 2 3 2 3" xfId="30971"/>
    <cellStyle name="Обычный 7 5 2 2 2 2 3 3" xfId="30972"/>
    <cellStyle name="Обычный 7 5 2 2 2 2 3 3 2" xfId="30973"/>
    <cellStyle name="Обычный 7 5 2 2 2 2 3 3 3" xfId="30974"/>
    <cellStyle name="Обычный 7 5 2 2 2 2 3 4" xfId="30975"/>
    <cellStyle name="Обычный 7 5 2 2 2 2 3 4 2" xfId="30976"/>
    <cellStyle name="Обычный 7 5 2 2 2 2 3 5" xfId="30977"/>
    <cellStyle name="Обычный 7 5 2 2 2 2 3 6" xfId="30978"/>
    <cellStyle name="Обычный 7 5 2 2 2 2 4" xfId="30979"/>
    <cellStyle name="Обычный 7 5 2 2 2 2 4 2" xfId="30980"/>
    <cellStyle name="Обычный 7 5 2 2 2 2 4 3" xfId="30981"/>
    <cellStyle name="Обычный 7 5 2 2 2 2 5" xfId="30982"/>
    <cellStyle name="Обычный 7 5 2 2 2 2 5 2" xfId="30983"/>
    <cellStyle name="Обычный 7 5 2 2 2 2 5 3" xfId="30984"/>
    <cellStyle name="Обычный 7 5 2 2 2 2 6" xfId="30985"/>
    <cellStyle name="Обычный 7 5 2 2 2 2 6 2" xfId="30986"/>
    <cellStyle name="Обычный 7 5 2 2 2 2 7" xfId="30987"/>
    <cellStyle name="Обычный 7 5 2 2 2 2 8" xfId="30988"/>
    <cellStyle name="Обычный 7 5 2 2 2 3" xfId="30989"/>
    <cellStyle name="Обычный 7 5 2 2 2 3 2" xfId="30990"/>
    <cellStyle name="Обычный 7 5 2 2 2 3 2 2" xfId="30991"/>
    <cellStyle name="Обычный 7 5 2 2 2 3 2 2 2" xfId="30992"/>
    <cellStyle name="Обычный 7 5 2 2 2 3 2 2 3" xfId="30993"/>
    <cellStyle name="Обычный 7 5 2 2 2 3 2 3" xfId="30994"/>
    <cellStyle name="Обычный 7 5 2 2 2 3 2 3 2" xfId="30995"/>
    <cellStyle name="Обычный 7 5 2 2 2 3 2 3 3" xfId="30996"/>
    <cellStyle name="Обычный 7 5 2 2 2 3 2 4" xfId="30997"/>
    <cellStyle name="Обычный 7 5 2 2 2 3 2 4 2" xfId="30998"/>
    <cellStyle name="Обычный 7 5 2 2 2 3 2 5" xfId="30999"/>
    <cellStyle name="Обычный 7 5 2 2 2 3 2 6" xfId="31000"/>
    <cellStyle name="Обычный 7 5 2 2 2 3 3" xfId="31001"/>
    <cellStyle name="Обычный 7 5 2 2 2 3 3 2" xfId="31002"/>
    <cellStyle name="Обычный 7 5 2 2 2 3 3 3" xfId="31003"/>
    <cellStyle name="Обычный 7 5 2 2 2 3 4" xfId="31004"/>
    <cellStyle name="Обычный 7 5 2 2 2 3 4 2" xfId="31005"/>
    <cellStyle name="Обычный 7 5 2 2 2 3 4 3" xfId="31006"/>
    <cellStyle name="Обычный 7 5 2 2 2 3 5" xfId="31007"/>
    <cellStyle name="Обычный 7 5 2 2 2 3 5 2" xfId="31008"/>
    <cellStyle name="Обычный 7 5 2 2 2 3 6" xfId="31009"/>
    <cellStyle name="Обычный 7 5 2 2 2 3 7" xfId="31010"/>
    <cellStyle name="Обычный 7 5 2 2 2 4" xfId="31011"/>
    <cellStyle name="Обычный 7 5 2 2 2 4 2" xfId="31012"/>
    <cellStyle name="Обычный 7 5 2 2 2 4 2 2" xfId="31013"/>
    <cellStyle name="Обычный 7 5 2 2 2 4 2 3" xfId="31014"/>
    <cellStyle name="Обычный 7 5 2 2 2 4 3" xfId="31015"/>
    <cellStyle name="Обычный 7 5 2 2 2 4 3 2" xfId="31016"/>
    <cellStyle name="Обычный 7 5 2 2 2 4 3 3" xfId="31017"/>
    <cellStyle name="Обычный 7 5 2 2 2 4 4" xfId="31018"/>
    <cellStyle name="Обычный 7 5 2 2 2 4 4 2" xfId="31019"/>
    <cellStyle name="Обычный 7 5 2 2 2 4 5" xfId="31020"/>
    <cellStyle name="Обычный 7 5 2 2 2 4 6" xfId="31021"/>
    <cellStyle name="Обычный 7 5 2 2 2 5" xfId="31022"/>
    <cellStyle name="Обычный 7 5 2 2 2 5 2" xfId="31023"/>
    <cellStyle name="Обычный 7 5 2 2 2 5 3" xfId="31024"/>
    <cellStyle name="Обычный 7 5 2 2 2 6" xfId="31025"/>
    <cellStyle name="Обычный 7 5 2 2 2 6 2" xfId="31026"/>
    <cellStyle name="Обычный 7 5 2 2 2 6 3" xfId="31027"/>
    <cellStyle name="Обычный 7 5 2 2 2 7" xfId="31028"/>
    <cellStyle name="Обычный 7 5 2 2 2 7 2" xfId="31029"/>
    <cellStyle name="Обычный 7 5 2 2 2 8" xfId="31030"/>
    <cellStyle name="Обычный 7 5 2 2 2 9" xfId="31031"/>
    <cellStyle name="Обычный 7 5 2 2 3" xfId="31032"/>
    <cellStyle name="Обычный 7 5 2 2 3 2" xfId="31033"/>
    <cellStyle name="Обычный 7 5 2 2 3 2 2" xfId="31034"/>
    <cellStyle name="Обычный 7 5 2 2 3 2 2 2" xfId="31035"/>
    <cellStyle name="Обычный 7 5 2 2 3 2 2 2 2" xfId="31036"/>
    <cellStyle name="Обычный 7 5 2 2 3 2 2 2 3" xfId="31037"/>
    <cellStyle name="Обычный 7 5 2 2 3 2 2 3" xfId="31038"/>
    <cellStyle name="Обычный 7 5 2 2 3 2 2 3 2" xfId="31039"/>
    <cellStyle name="Обычный 7 5 2 2 3 2 2 3 3" xfId="31040"/>
    <cellStyle name="Обычный 7 5 2 2 3 2 2 4" xfId="31041"/>
    <cellStyle name="Обычный 7 5 2 2 3 2 2 4 2" xfId="31042"/>
    <cellStyle name="Обычный 7 5 2 2 3 2 2 5" xfId="31043"/>
    <cellStyle name="Обычный 7 5 2 2 3 2 2 6" xfId="31044"/>
    <cellStyle name="Обычный 7 5 2 2 3 2 3" xfId="31045"/>
    <cellStyle name="Обычный 7 5 2 2 3 2 3 2" xfId="31046"/>
    <cellStyle name="Обычный 7 5 2 2 3 2 3 3" xfId="31047"/>
    <cellStyle name="Обычный 7 5 2 2 3 2 4" xfId="31048"/>
    <cellStyle name="Обычный 7 5 2 2 3 2 4 2" xfId="31049"/>
    <cellStyle name="Обычный 7 5 2 2 3 2 4 3" xfId="31050"/>
    <cellStyle name="Обычный 7 5 2 2 3 2 5" xfId="31051"/>
    <cellStyle name="Обычный 7 5 2 2 3 2 5 2" xfId="31052"/>
    <cellStyle name="Обычный 7 5 2 2 3 2 6" xfId="31053"/>
    <cellStyle name="Обычный 7 5 2 2 3 2 7" xfId="31054"/>
    <cellStyle name="Обычный 7 5 2 2 3 3" xfId="31055"/>
    <cellStyle name="Обычный 7 5 2 2 3 3 2" xfId="31056"/>
    <cellStyle name="Обычный 7 5 2 2 3 3 2 2" xfId="31057"/>
    <cellStyle name="Обычный 7 5 2 2 3 3 2 3" xfId="31058"/>
    <cellStyle name="Обычный 7 5 2 2 3 3 3" xfId="31059"/>
    <cellStyle name="Обычный 7 5 2 2 3 3 3 2" xfId="31060"/>
    <cellStyle name="Обычный 7 5 2 2 3 3 3 3" xfId="31061"/>
    <cellStyle name="Обычный 7 5 2 2 3 3 4" xfId="31062"/>
    <cellStyle name="Обычный 7 5 2 2 3 3 4 2" xfId="31063"/>
    <cellStyle name="Обычный 7 5 2 2 3 3 5" xfId="31064"/>
    <cellStyle name="Обычный 7 5 2 2 3 3 6" xfId="31065"/>
    <cellStyle name="Обычный 7 5 2 2 3 4" xfId="31066"/>
    <cellStyle name="Обычный 7 5 2 2 3 4 2" xfId="31067"/>
    <cellStyle name="Обычный 7 5 2 2 3 4 3" xfId="31068"/>
    <cellStyle name="Обычный 7 5 2 2 3 5" xfId="31069"/>
    <cellStyle name="Обычный 7 5 2 2 3 5 2" xfId="31070"/>
    <cellStyle name="Обычный 7 5 2 2 3 5 3" xfId="31071"/>
    <cellStyle name="Обычный 7 5 2 2 3 6" xfId="31072"/>
    <cellStyle name="Обычный 7 5 2 2 3 6 2" xfId="31073"/>
    <cellStyle name="Обычный 7 5 2 2 3 7" xfId="31074"/>
    <cellStyle name="Обычный 7 5 2 2 3 8" xfId="31075"/>
    <cellStyle name="Обычный 7 5 2 2 4" xfId="31076"/>
    <cellStyle name="Обычный 7 5 2 2 4 2" xfId="31077"/>
    <cellStyle name="Обычный 7 5 2 2 4 2 2" xfId="31078"/>
    <cellStyle name="Обычный 7 5 2 2 4 2 2 2" xfId="31079"/>
    <cellStyle name="Обычный 7 5 2 2 4 2 2 3" xfId="31080"/>
    <cellStyle name="Обычный 7 5 2 2 4 2 3" xfId="31081"/>
    <cellStyle name="Обычный 7 5 2 2 4 2 3 2" xfId="31082"/>
    <cellStyle name="Обычный 7 5 2 2 4 2 3 3" xfId="31083"/>
    <cellStyle name="Обычный 7 5 2 2 4 2 4" xfId="31084"/>
    <cellStyle name="Обычный 7 5 2 2 4 2 4 2" xfId="31085"/>
    <cellStyle name="Обычный 7 5 2 2 4 2 5" xfId="31086"/>
    <cellStyle name="Обычный 7 5 2 2 4 2 6" xfId="31087"/>
    <cellStyle name="Обычный 7 5 2 2 4 3" xfId="31088"/>
    <cellStyle name="Обычный 7 5 2 2 4 3 2" xfId="31089"/>
    <cellStyle name="Обычный 7 5 2 2 4 3 3" xfId="31090"/>
    <cellStyle name="Обычный 7 5 2 2 4 4" xfId="31091"/>
    <cellStyle name="Обычный 7 5 2 2 4 4 2" xfId="31092"/>
    <cellStyle name="Обычный 7 5 2 2 4 4 3" xfId="31093"/>
    <cellStyle name="Обычный 7 5 2 2 4 5" xfId="31094"/>
    <cellStyle name="Обычный 7 5 2 2 4 5 2" xfId="31095"/>
    <cellStyle name="Обычный 7 5 2 2 4 6" xfId="31096"/>
    <cellStyle name="Обычный 7 5 2 2 4 7" xfId="31097"/>
    <cellStyle name="Обычный 7 5 2 2 5" xfId="31098"/>
    <cellStyle name="Обычный 7 5 2 2 5 2" xfId="31099"/>
    <cellStyle name="Обычный 7 5 2 2 5 2 2" xfId="31100"/>
    <cellStyle name="Обычный 7 5 2 2 5 2 3" xfId="31101"/>
    <cellStyle name="Обычный 7 5 2 2 5 3" xfId="31102"/>
    <cellStyle name="Обычный 7 5 2 2 5 3 2" xfId="31103"/>
    <cellStyle name="Обычный 7 5 2 2 5 3 3" xfId="31104"/>
    <cellStyle name="Обычный 7 5 2 2 5 4" xfId="31105"/>
    <cellStyle name="Обычный 7 5 2 2 5 4 2" xfId="31106"/>
    <cellStyle name="Обычный 7 5 2 2 5 5" xfId="31107"/>
    <cellStyle name="Обычный 7 5 2 2 5 6" xfId="31108"/>
    <cellStyle name="Обычный 7 5 2 2 6" xfId="31109"/>
    <cellStyle name="Обычный 7 5 2 2 6 2" xfId="31110"/>
    <cellStyle name="Обычный 7 5 2 2 6 3" xfId="31111"/>
    <cellStyle name="Обычный 7 5 2 2 7" xfId="31112"/>
    <cellStyle name="Обычный 7 5 2 2 7 2" xfId="31113"/>
    <cellStyle name="Обычный 7 5 2 2 7 3" xfId="31114"/>
    <cellStyle name="Обычный 7 5 2 2 8" xfId="31115"/>
    <cellStyle name="Обычный 7 5 2 2 8 2" xfId="31116"/>
    <cellStyle name="Обычный 7 5 2 2 9" xfId="31117"/>
    <cellStyle name="Обычный 7 5 2 3" xfId="31118"/>
    <cellStyle name="Обычный 7 5 2 3 10" xfId="31119"/>
    <cellStyle name="Обычный 7 5 2 3 2" xfId="31120"/>
    <cellStyle name="Обычный 7 5 2 3 2 2" xfId="31121"/>
    <cellStyle name="Обычный 7 5 2 3 2 2 2" xfId="31122"/>
    <cellStyle name="Обычный 7 5 2 3 2 2 2 2" xfId="31123"/>
    <cellStyle name="Обычный 7 5 2 3 2 2 2 2 2" xfId="31124"/>
    <cellStyle name="Обычный 7 5 2 3 2 2 2 2 2 2" xfId="31125"/>
    <cellStyle name="Обычный 7 5 2 3 2 2 2 2 2 3" xfId="31126"/>
    <cellStyle name="Обычный 7 5 2 3 2 2 2 2 3" xfId="31127"/>
    <cellStyle name="Обычный 7 5 2 3 2 2 2 2 3 2" xfId="31128"/>
    <cellStyle name="Обычный 7 5 2 3 2 2 2 2 3 3" xfId="31129"/>
    <cellStyle name="Обычный 7 5 2 3 2 2 2 2 4" xfId="31130"/>
    <cellStyle name="Обычный 7 5 2 3 2 2 2 2 4 2" xfId="31131"/>
    <cellStyle name="Обычный 7 5 2 3 2 2 2 2 5" xfId="31132"/>
    <cellStyle name="Обычный 7 5 2 3 2 2 2 2 6" xfId="31133"/>
    <cellStyle name="Обычный 7 5 2 3 2 2 2 3" xfId="31134"/>
    <cellStyle name="Обычный 7 5 2 3 2 2 2 3 2" xfId="31135"/>
    <cellStyle name="Обычный 7 5 2 3 2 2 2 3 3" xfId="31136"/>
    <cellStyle name="Обычный 7 5 2 3 2 2 2 4" xfId="31137"/>
    <cellStyle name="Обычный 7 5 2 3 2 2 2 4 2" xfId="31138"/>
    <cellStyle name="Обычный 7 5 2 3 2 2 2 4 3" xfId="31139"/>
    <cellStyle name="Обычный 7 5 2 3 2 2 2 5" xfId="31140"/>
    <cellStyle name="Обычный 7 5 2 3 2 2 2 5 2" xfId="31141"/>
    <cellStyle name="Обычный 7 5 2 3 2 2 2 6" xfId="31142"/>
    <cellStyle name="Обычный 7 5 2 3 2 2 2 7" xfId="31143"/>
    <cellStyle name="Обычный 7 5 2 3 2 2 3" xfId="31144"/>
    <cellStyle name="Обычный 7 5 2 3 2 2 3 2" xfId="31145"/>
    <cellStyle name="Обычный 7 5 2 3 2 2 3 2 2" xfId="31146"/>
    <cellStyle name="Обычный 7 5 2 3 2 2 3 2 3" xfId="31147"/>
    <cellStyle name="Обычный 7 5 2 3 2 2 3 3" xfId="31148"/>
    <cellStyle name="Обычный 7 5 2 3 2 2 3 3 2" xfId="31149"/>
    <cellStyle name="Обычный 7 5 2 3 2 2 3 3 3" xfId="31150"/>
    <cellStyle name="Обычный 7 5 2 3 2 2 3 4" xfId="31151"/>
    <cellStyle name="Обычный 7 5 2 3 2 2 3 4 2" xfId="31152"/>
    <cellStyle name="Обычный 7 5 2 3 2 2 3 5" xfId="31153"/>
    <cellStyle name="Обычный 7 5 2 3 2 2 3 6" xfId="31154"/>
    <cellStyle name="Обычный 7 5 2 3 2 2 4" xfId="31155"/>
    <cellStyle name="Обычный 7 5 2 3 2 2 4 2" xfId="31156"/>
    <cellStyle name="Обычный 7 5 2 3 2 2 4 3" xfId="31157"/>
    <cellStyle name="Обычный 7 5 2 3 2 2 5" xfId="31158"/>
    <cellStyle name="Обычный 7 5 2 3 2 2 5 2" xfId="31159"/>
    <cellStyle name="Обычный 7 5 2 3 2 2 5 3" xfId="31160"/>
    <cellStyle name="Обычный 7 5 2 3 2 2 6" xfId="31161"/>
    <cellStyle name="Обычный 7 5 2 3 2 2 6 2" xfId="31162"/>
    <cellStyle name="Обычный 7 5 2 3 2 2 7" xfId="31163"/>
    <cellStyle name="Обычный 7 5 2 3 2 2 8" xfId="31164"/>
    <cellStyle name="Обычный 7 5 2 3 2 3" xfId="31165"/>
    <cellStyle name="Обычный 7 5 2 3 2 3 2" xfId="31166"/>
    <cellStyle name="Обычный 7 5 2 3 2 3 2 2" xfId="31167"/>
    <cellStyle name="Обычный 7 5 2 3 2 3 2 2 2" xfId="31168"/>
    <cellStyle name="Обычный 7 5 2 3 2 3 2 2 3" xfId="31169"/>
    <cellStyle name="Обычный 7 5 2 3 2 3 2 3" xfId="31170"/>
    <cellStyle name="Обычный 7 5 2 3 2 3 2 3 2" xfId="31171"/>
    <cellStyle name="Обычный 7 5 2 3 2 3 2 3 3" xfId="31172"/>
    <cellStyle name="Обычный 7 5 2 3 2 3 2 4" xfId="31173"/>
    <cellStyle name="Обычный 7 5 2 3 2 3 2 4 2" xfId="31174"/>
    <cellStyle name="Обычный 7 5 2 3 2 3 2 5" xfId="31175"/>
    <cellStyle name="Обычный 7 5 2 3 2 3 2 6" xfId="31176"/>
    <cellStyle name="Обычный 7 5 2 3 2 3 3" xfId="31177"/>
    <cellStyle name="Обычный 7 5 2 3 2 3 3 2" xfId="31178"/>
    <cellStyle name="Обычный 7 5 2 3 2 3 3 3" xfId="31179"/>
    <cellStyle name="Обычный 7 5 2 3 2 3 4" xfId="31180"/>
    <cellStyle name="Обычный 7 5 2 3 2 3 4 2" xfId="31181"/>
    <cellStyle name="Обычный 7 5 2 3 2 3 4 3" xfId="31182"/>
    <cellStyle name="Обычный 7 5 2 3 2 3 5" xfId="31183"/>
    <cellStyle name="Обычный 7 5 2 3 2 3 5 2" xfId="31184"/>
    <cellStyle name="Обычный 7 5 2 3 2 3 6" xfId="31185"/>
    <cellStyle name="Обычный 7 5 2 3 2 3 7" xfId="31186"/>
    <cellStyle name="Обычный 7 5 2 3 2 4" xfId="31187"/>
    <cellStyle name="Обычный 7 5 2 3 2 4 2" xfId="31188"/>
    <cellStyle name="Обычный 7 5 2 3 2 4 2 2" xfId="31189"/>
    <cellStyle name="Обычный 7 5 2 3 2 4 2 3" xfId="31190"/>
    <cellStyle name="Обычный 7 5 2 3 2 4 3" xfId="31191"/>
    <cellStyle name="Обычный 7 5 2 3 2 4 3 2" xfId="31192"/>
    <cellStyle name="Обычный 7 5 2 3 2 4 3 3" xfId="31193"/>
    <cellStyle name="Обычный 7 5 2 3 2 4 4" xfId="31194"/>
    <cellStyle name="Обычный 7 5 2 3 2 4 4 2" xfId="31195"/>
    <cellStyle name="Обычный 7 5 2 3 2 4 5" xfId="31196"/>
    <cellStyle name="Обычный 7 5 2 3 2 4 6" xfId="31197"/>
    <cellStyle name="Обычный 7 5 2 3 2 5" xfId="31198"/>
    <cellStyle name="Обычный 7 5 2 3 2 5 2" xfId="31199"/>
    <cellStyle name="Обычный 7 5 2 3 2 5 3" xfId="31200"/>
    <cellStyle name="Обычный 7 5 2 3 2 6" xfId="31201"/>
    <cellStyle name="Обычный 7 5 2 3 2 6 2" xfId="31202"/>
    <cellStyle name="Обычный 7 5 2 3 2 6 3" xfId="31203"/>
    <cellStyle name="Обычный 7 5 2 3 2 7" xfId="31204"/>
    <cellStyle name="Обычный 7 5 2 3 2 7 2" xfId="31205"/>
    <cellStyle name="Обычный 7 5 2 3 2 8" xfId="31206"/>
    <cellStyle name="Обычный 7 5 2 3 2 9" xfId="31207"/>
    <cellStyle name="Обычный 7 5 2 3 3" xfId="31208"/>
    <cellStyle name="Обычный 7 5 2 3 3 2" xfId="31209"/>
    <cellStyle name="Обычный 7 5 2 3 3 2 2" xfId="31210"/>
    <cellStyle name="Обычный 7 5 2 3 3 2 2 2" xfId="31211"/>
    <cellStyle name="Обычный 7 5 2 3 3 2 2 2 2" xfId="31212"/>
    <cellStyle name="Обычный 7 5 2 3 3 2 2 2 3" xfId="31213"/>
    <cellStyle name="Обычный 7 5 2 3 3 2 2 3" xfId="31214"/>
    <cellStyle name="Обычный 7 5 2 3 3 2 2 3 2" xfId="31215"/>
    <cellStyle name="Обычный 7 5 2 3 3 2 2 3 3" xfId="31216"/>
    <cellStyle name="Обычный 7 5 2 3 3 2 2 4" xfId="31217"/>
    <cellStyle name="Обычный 7 5 2 3 3 2 2 4 2" xfId="31218"/>
    <cellStyle name="Обычный 7 5 2 3 3 2 2 5" xfId="31219"/>
    <cellStyle name="Обычный 7 5 2 3 3 2 2 6" xfId="31220"/>
    <cellStyle name="Обычный 7 5 2 3 3 2 3" xfId="31221"/>
    <cellStyle name="Обычный 7 5 2 3 3 2 3 2" xfId="31222"/>
    <cellStyle name="Обычный 7 5 2 3 3 2 3 3" xfId="31223"/>
    <cellStyle name="Обычный 7 5 2 3 3 2 4" xfId="31224"/>
    <cellStyle name="Обычный 7 5 2 3 3 2 4 2" xfId="31225"/>
    <cellStyle name="Обычный 7 5 2 3 3 2 4 3" xfId="31226"/>
    <cellStyle name="Обычный 7 5 2 3 3 2 5" xfId="31227"/>
    <cellStyle name="Обычный 7 5 2 3 3 2 5 2" xfId="31228"/>
    <cellStyle name="Обычный 7 5 2 3 3 2 6" xfId="31229"/>
    <cellStyle name="Обычный 7 5 2 3 3 2 7" xfId="31230"/>
    <cellStyle name="Обычный 7 5 2 3 3 3" xfId="31231"/>
    <cellStyle name="Обычный 7 5 2 3 3 3 2" xfId="31232"/>
    <cellStyle name="Обычный 7 5 2 3 3 3 2 2" xfId="31233"/>
    <cellStyle name="Обычный 7 5 2 3 3 3 2 3" xfId="31234"/>
    <cellStyle name="Обычный 7 5 2 3 3 3 3" xfId="31235"/>
    <cellStyle name="Обычный 7 5 2 3 3 3 3 2" xfId="31236"/>
    <cellStyle name="Обычный 7 5 2 3 3 3 3 3" xfId="31237"/>
    <cellStyle name="Обычный 7 5 2 3 3 3 4" xfId="31238"/>
    <cellStyle name="Обычный 7 5 2 3 3 3 4 2" xfId="31239"/>
    <cellStyle name="Обычный 7 5 2 3 3 3 5" xfId="31240"/>
    <cellStyle name="Обычный 7 5 2 3 3 3 6" xfId="31241"/>
    <cellStyle name="Обычный 7 5 2 3 3 4" xfId="31242"/>
    <cellStyle name="Обычный 7 5 2 3 3 4 2" xfId="31243"/>
    <cellStyle name="Обычный 7 5 2 3 3 4 3" xfId="31244"/>
    <cellStyle name="Обычный 7 5 2 3 3 5" xfId="31245"/>
    <cellStyle name="Обычный 7 5 2 3 3 5 2" xfId="31246"/>
    <cellStyle name="Обычный 7 5 2 3 3 5 3" xfId="31247"/>
    <cellStyle name="Обычный 7 5 2 3 3 6" xfId="31248"/>
    <cellStyle name="Обычный 7 5 2 3 3 6 2" xfId="31249"/>
    <cellStyle name="Обычный 7 5 2 3 3 7" xfId="31250"/>
    <cellStyle name="Обычный 7 5 2 3 3 8" xfId="31251"/>
    <cellStyle name="Обычный 7 5 2 3 4" xfId="31252"/>
    <cellStyle name="Обычный 7 5 2 3 4 2" xfId="31253"/>
    <cellStyle name="Обычный 7 5 2 3 4 2 2" xfId="31254"/>
    <cellStyle name="Обычный 7 5 2 3 4 2 2 2" xfId="31255"/>
    <cellStyle name="Обычный 7 5 2 3 4 2 2 3" xfId="31256"/>
    <cellStyle name="Обычный 7 5 2 3 4 2 3" xfId="31257"/>
    <cellStyle name="Обычный 7 5 2 3 4 2 3 2" xfId="31258"/>
    <cellStyle name="Обычный 7 5 2 3 4 2 3 3" xfId="31259"/>
    <cellStyle name="Обычный 7 5 2 3 4 2 4" xfId="31260"/>
    <cellStyle name="Обычный 7 5 2 3 4 2 4 2" xfId="31261"/>
    <cellStyle name="Обычный 7 5 2 3 4 2 5" xfId="31262"/>
    <cellStyle name="Обычный 7 5 2 3 4 2 6" xfId="31263"/>
    <cellStyle name="Обычный 7 5 2 3 4 3" xfId="31264"/>
    <cellStyle name="Обычный 7 5 2 3 4 3 2" xfId="31265"/>
    <cellStyle name="Обычный 7 5 2 3 4 3 3" xfId="31266"/>
    <cellStyle name="Обычный 7 5 2 3 4 4" xfId="31267"/>
    <cellStyle name="Обычный 7 5 2 3 4 4 2" xfId="31268"/>
    <cellStyle name="Обычный 7 5 2 3 4 4 3" xfId="31269"/>
    <cellStyle name="Обычный 7 5 2 3 4 5" xfId="31270"/>
    <cellStyle name="Обычный 7 5 2 3 4 5 2" xfId="31271"/>
    <cellStyle name="Обычный 7 5 2 3 4 6" xfId="31272"/>
    <cellStyle name="Обычный 7 5 2 3 4 7" xfId="31273"/>
    <cellStyle name="Обычный 7 5 2 3 5" xfId="31274"/>
    <cellStyle name="Обычный 7 5 2 3 5 2" xfId="31275"/>
    <cellStyle name="Обычный 7 5 2 3 5 2 2" xfId="31276"/>
    <cellStyle name="Обычный 7 5 2 3 5 2 3" xfId="31277"/>
    <cellStyle name="Обычный 7 5 2 3 5 3" xfId="31278"/>
    <cellStyle name="Обычный 7 5 2 3 5 3 2" xfId="31279"/>
    <cellStyle name="Обычный 7 5 2 3 5 3 3" xfId="31280"/>
    <cellStyle name="Обычный 7 5 2 3 5 4" xfId="31281"/>
    <cellStyle name="Обычный 7 5 2 3 5 4 2" xfId="31282"/>
    <cellStyle name="Обычный 7 5 2 3 5 5" xfId="31283"/>
    <cellStyle name="Обычный 7 5 2 3 5 6" xfId="31284"/>
    <cellStyle name="Обычный 7 5 2 3 6" xfId="31285"/>
    <cellStyle name="Обычный 7 5 2 3 6 2" xfId="31286"/>
    <cellStyle name="Обычный 7 5 2 3 6 3" xfId="31287"/>
    <cellStyle name="Обычный 7 5 2 3 7" xfId="31288"/>
    <cellStyle name="Обычный 7 5 2 3 7 2" xfId="31289"/>
    <cellStyle name="Обычный 7 5 2 3 7 3" xfId="31290"/>
    <cellStyle name="Обычный 7 5 2 3 8" xfId="31291"/>
    <cellStyle name="Обычный 7 5 2 3 8 2" xfId="31292"/>
    <cellStyle name="Обычный 7 5 2 3 9" xfId="31293"/>
    <cellStyle name="Обычный 7 5 2 4" xfId="31294"/>
    <cellStyle name="Обычный 7 5 2 4 10" xfId="31295"/>
    <cellStyle name="Обычный 7 5 2 4 2" xfId="31296"/>
    <cellStyle name="Обычный 7 5 2 4 2 2" xfId="31297"/>
    <cellStyle name="Обычный 7 5 2 4 2 2 2" xfId="31298"/>
    <cellStyle name="Обычный 7 5 2 4 2 2 2 2" xfId="31299"/>
    <cellStyle name="Обычный 7 5 2 4 2 2 2 2 2" xfId="31300"/>
    <cellStyle name="Обычный 7 5 2 4 2 2 2 2 2 2" xfId="31301"/>
    <cellStyle name="Обычный 7 5 2 4 2 2 2 2 2 3" xfId="31302"/>
    <cellStyle name="Обычный 7 5 2 4 2 2 2 2 3" xfId="31303"/>
    <cellStyle name="Обычный 7 5 2 4 2 2 2 2 3 2" xfId="31304"/>
    <cellStyle name="Обычный 7 5 2 4 2 2 2 2 3 3" xfId="31305"/>
    <cellStyle name="Обычный 7 5 2 4 2 2 2 2 4" xfId="31306"/>
    <cellStyle name="Обычный 7 5 2 4 2 2 2 2 4 2" xfId="31307"/>
    <cellStyle name="Обычный 7 5 2 4 2 2 2 2 5" xfId="31308"/>
    <cellStyle name="Обычный 7 5 2 4 2 2 2 2 6" xfId="31309"/>
    <cellStyle name="Обычный 7 5 2 4 2 2 2 3" xfId="31310"/>
    <cellStyle name="Обычный 7 5 2 4 2 2 2 3 2" xfId="31311"/>
    <cellStyle name="Обычный 7 5 2 4 2 2 2 3 3" xfId="31312"/>
    <cellStyle name="Обычный 7 5 2 4 2 2 2 4" xfId="31313"/>
    <cellStyle name="Обычный 7 5 2 4 2 2 2 4 2" xfId="31314"/>
    <cellStyle name="Обычный 7 5 2 4 2 2 2 4 3" xfId="31315"/>
    <cellStyle name="Обычный 7 5 2 4 2 2 2 5" xfId="31316"/>
    <cellStyle name="Обычный 7 5 2 4 2 2 2 5 2" xfId="31317"/>
    <cellStyle name="Обычный 7 5 2 4 2 2 2 6" xfId="31318"/>
    <cellStyle name="Обычный 7 5 2 4 2 2 2 7" xfId="31319"/>
    <cellStyle name="Обычный 7 5 2 4 2 2 3" xfId="31320"/>
    <cellStyle name="Обычный 7 5 2 4 2 2 3 2" xfId="31321"/>
    <cellStyle name="Обычный 7 5 2 4 2 2 3 2 2" xfId="31322"/>
    <cellStyle name="Обычный 7 5 2 4 2 2 3 2 3" xfId="31323"/>
    <cellStyle name="Обычный 7 5 2 4 2 2 3 3" xfId="31324"/>
    <cellStyle name="Обычный 7 5 2 4 2 2 3 3 2" xfId="31325"/>
    <cellStyle name="Обычный 7 5 2 4 2 2 3 3 3" xfId="31326"/>
    <cellStyle name="Обычный 7 5 2 4 2 2 3 4" xfId="31327"/>
    <cellStyle name="Обычный 7 5 2 4 2 2 3 4 2" xfId="31328"/>
    <cellStyle name="Обычный 7 5 2 4 2 2 3 5" xfId="31329"/>
    <cellStyle name="Обычный 7 5 2 4 2 2 3 6" xfId="31330"/>
    <cellStyle name="Обычный 7 5 2 4 2 2 4" xfId="31331"/>
    <cellStyle name="Обычный 7 5 2 4 2 2 4 2" xfId="31332"/>
    <cellStyle name="Обычный 7 5 2 4 2 2 4 3" xfId="31333"/>
    <cellStyle name="Обычный 7 5 2 4 2 2 5" xfId="31334"/>
    <cellStyle name="Обычный 7 5 2 4 2 2 5 2" xfId="31335"/>
    <cellStyle name="Обычный 7 5 2 4 2 2 5 3" xfId="31336"/>
    <cellStyle name="Обычный 7 5 2 4 2 2 6" xfId="31337"/>
    <cellStyle name="Обычный 7 5 2 4 2 2 6 2" xfId="31338"/>
    <cellStyle name="Обычный 7 5 2 4 2 2 7" xfId="31339"/>
    <cellStyle name="Обычный 7 5 2 4 2 2 8" xfId="31340"/>
    <cellStyle name="Обычный 7 5 2 4 2 3" xfId="31341"/>
    <cellStyle name="Обычный 7 5 2 4 2 3 2" xfId="31342"/>
    <cellStyle name="Обычный 7 5 2 4 2 3 2 2" xfId="31343"/>
    <cellStyle name="Обычный 7 5 2 4 2 3 2 2 2" xfId="31344"/>
    <cellStyle name="Обычный 7 5 2 4 2 3 2 2 3" xfId="31345"/>
    <cellStyle name="Обычный 7 5 2 4 2 3 2 3" xfId="31346"/>
    <cellStyle name="Обычный 7 5 2 4 2 3 2 3 2" xfId="31347"/>
    <cellStyle name="Обычный 7 5 2 4 2 3 2 3 3" xfId="31348"/>
    <cellStyle name="Обычный 7 5 2 4 2 3 2 4" xfId="31349"/>
    <cellStyle name="Обычный 7 5 2 4 2 3 2 4 2" xfId="31350"/>
    <cellStyle name="Обычный 7 5 2 4 2 3 2 5" xfId="31351"/>
    <cellStyle name="Обычный 7 5 2 4 2 3 2 6" xfId="31352"/>
    <cellStyle name="Обычный 7 5 2 4 2 3 3" xfId="31353"/>
    <cellStyle name="Обычный 7 5 2 4 2 3 3 2" xfId="31354"/>
    <cellStyle name="Обычный 7 5 2 4 2 3 3 3" xfId="31355"/>
    <cellStyle name="Обычный 7 5 2 4 2 3 4" xfId="31356"/>
    <cellStyle name="Обычный 7 5 2 4 2 3 4 2" xfId="31357"/>
    <cellStyle name="Обычный 7 5 2 4 2 3 4 3" xfId="31358"/>
    <cellStyle name="Обычный 7 5 2 4 2 3 5" xfId="31359"/>
    <cellStyle name="Обычный 7 5 2 4 2 3 5 2" xfId="31360"/>
    <cellStyle name="Обычный 7 5 2 4 2 3 6" xfId="31361"/>
    <cellStyle name="Обычный 7 5 2 4 2 3 7" xfId="31362"/>
    <cellStyle name="Обычный 7 5 2 4 2 4" xfId="31363"/>
    <cellStyle name="Обычный 7 5 2 4 2 4 2" xfId="31364"/>
    <cellStyle name="Обычный 7 5 2 4 2 4 2 2" xfId="31365"/>
    <cellStyle name="Обычный 7 5 2 4 2 4 2 3" xfId="31366"/>
    <cellStyle name="Обычный 7 5 2 4 2 4 3" xfId="31367"/>
    <cellStyle name="Обычный 7 5 2 4 2 4 3 2" xfId="31368"/>
    <cellStyle name="Обычный 7 5 2 4 2 4 3 3" xfId="31369"/>
    <cellStyle name="Обычный 7 5 2 4 2 4 4" xfId="31370"/>
    <cellStyle name="Обычный 7 5 2 4 2 4 4 2" xfId="31371"/>
    <cellStyle name="Обычный 7 5 2 4 2 4 5" xfId="31372"/>
    <cellStyle name="Обычный 7 5 2 4 2 4 6" xfId="31373"/>
    <cellStyle name="Обычный 7 5 2 4 2 5" xfId="31374"/>
    <cellStyle name="Обычный 7 5 2 4 2 5 2" xfId="31375"/>
    <cellStyle name="Обычный 7 5 2 4 2 5 3" xfId="31376"/>
    <cellStyle name="Обычный 7 5 2 4 2 6" xfId="31377"/>
    <cellStyle name="Обычный 7 5 2 4 2 6 2" xfId="31378"/>
    <cellStyle name="Обычный 7 5 2 4 2 6 3" xfId="31379"/>
    <cellStyle name="Обычный 7 5 2 4 2 7" xfId="31380"/>
    <cellStyle name="Обычный 7 5 2 4 2 7 2" xfId="31381"/>
    <cellStyle name="Обычный 7 5 2 4 2 8" xfId="31382"/>
    <cellStyle name="Обычный 7 5 2 4 2 9" xfId="31383"/>
    <cellStyle name="Обычный 7 5 2 4 3" xfId="31384"/>
    <cellStyle name="Обычный 7 5 2 4 3 2" xfId="31385"/>
    <cellStyle name="Обычный 7 5 2 4 3 2 2" xfId="31386"/>
    <cellStyle name="Обычный 7 5 2 4 3 2 2 2" xfId="31387"/>
    <cellStyle name="Обычный 7 5 2 4 3 2 2 2 2" xfId="31388"/>
    <cellStyle name="Обычный 7 5 2 4 3 2 2 2 3" xfId="31389"/>
    <cellStyle name="Обычный 7 5 2 4 3 2 2 3" xfId="31390"/>
    <cellStyle name="Обычный 7 5 2 4 3 2 2 3 2" xfId="31391"/>
    <cellStyle name="Обычный 7 5 2 4 3 2 2 3 3" xfId="31392"/>
    <cellStyle name="Обычный 7 5 2 4 3 2 2 4" xfId="31393"/>
    <cellStyle name="Обычный 7 5 2 4 3 2 2 4 2" xfId="31394"/>
    <cellStyle name="Обычный 7 5 2 4 3 2 2 5" xfId="31395"/>
    <cellStyle name="Обычный 7 5 2 4 3 2 2 6" xfId="31396"/>
    <cellStyle name="Обычный 7 5 2 4 3 2 3" xfId="31397"/>
    <cellStyle name="Обычный 7 5 2 4 3 2 3 2" xfId="31398"/>
    <cellStyle name="Обычный 7 5 2 4 3 2 3 3" xfId="31399"/>
    <cellStyle name="Обычный 7 5 2 4 3 2 4" xfId="31400"/>
    <cellStyle name="Обычный 7 5 2 4 3 2 4 2" xfId="31401"/>
    <cellStyle name="Обычный 7 5 2 4 3 2 4 3" xfId="31402"/>
    <cellStyle name="Обычный 7 5 2 4 3 2 5" xfId="31403"/>
    <cellStyle name="Обычный 7 5 2 4 3 2 5 2" xfId="31404"/>
    <cellStyle name="Обычный 7 5 2 4 3 2 6" xfId="31405"/>
    <cellStyle name="Обычный 7 5 2 4 3 2 7" xfId="31406"/>
    <cellStyle name="Обычный 7 5 2 4 3 3" xfId="31407"/>
    <cellStyle name="Обычный 7 5 2 4 3 3 2" xfId="31408"/>
    <cellStyle name="Обычный 7 5 2 4 3 3 2 2" xfId="31409"/>
    <cellStyle name="Обычный 7 5 2 4 3 3 2 3" xfId="31410"/>
    <cellStyle name="Обычный 7 5 2 4 3 3 3" xfId="31411"/>
    <cellStyle name="Обычный 7 5 2 4 3 3 3 2" xfId="31412"/>
    <cellStyle name="Обычный 7 5 2 4 3 3 3 3" xfId="31413"/>
    <cellStyle name="Обычный 7 5 2 4 3 3 4" xfId="31414"/>
    <cellStyle name="Обычный 7 5 2 4 3 3 4 2" xfId="31415"/>
    <cellStyle name="Обычный 7 5 2 4 3 3 5" xfId="31416"/>
    <cellStyle name="Обычный 7 5 2 4 3 3 6" xfId="31417"/>
    <cellStyle name="Обычный 7 5 2 4 3 4" xfId="31418"/>
    <cellStyle name="Обычный 7 5 2 4 3 4 2" xfId="31419"/>
    <cellStyle name="Обычный 7 5 2 4 3 4 3" xfId="31420"/>
    <cellStyle name="Обычный 7 5 2 4 3 5" xfId="31421"/>
    <cellStyle name="Обычный 7 5 2 4 3 5 2" xfId="31422"/>
    <cellStyle name="Обычный 7 5 2 4 3 5 3" xfId="31423"/>
    <cellStyle name="Обычный 7 5 2 4 3 6" xfId="31424"/>
    <cellStyle name="Обычный 7 5 2 4 3 6 2" xfId="31425"/>
    <cellStyle name="Обычный 7 5 2 4 3 7" xfId="31426"/>
    <cellStyle name="Обычный 7 5 2 4 3 8" xfId="31427"/>
    <cellStyle name="Обычный 7 5 2 4 4" xfId="31428"/>
    <cellStyle name="Обычный 7 5 2 4 4 2" xfId="31429"/>
    <cellStyle name="Обычный 7 5 2 4 4 2 2" xfId="31430"/>
    <cellStyle name="Обычный 7 5 2 4 4 2 2 2" xfId="31431"/>
    <cellStyle name="Обычный 7 5 2 4 4 2 2 3" xfId="31432"/>
    <cellStyle name="Обычный 7 5 2 4 4 2 3" xfId="31433"/>
    <cellStyle name="Обычный 7 5 2 4 4 2 3 2" xfId="31434"/>
    <cellStyle name="Обычный 7 5 2 4 4 2 3 3" xfId="31435"/>
    <cellStyle name="Обычный 7 5 2 4 4 2 4" xfId="31436"/>
    <cellStyle name="Обычный 7 5 2 4 4 2 4 2" xfId="31437"/>
    <cellStyle name="Обычный 7 5 2 4 4 2 5" xfId="31438"/>
    <cellStyle name="Обычный 7 5 2 4 4 2 6" xfId="31439"/>
    <cellStyle name="Обычный 7 5 2 4 4 3" xfId="31440"/>
    <cellStyle name="Обычный 7 5 2 4 4 3 2" xfId="31441"/>
    <cellStyle name="Обычный 7 5 2 4 4 3 3" xfId="31442"/>
    <cellStyle name="Обычный 7 5 2 4 4 4" xfId="31443"/>
    <cellStyle name="Обычный 7 5 2 4 4 4 2" xfId="31444"/>
    <cellStyle name="Обычный 7 5 2 4 4 4 3" xfId="31445"/>
    <cellStyle name="Обычный 7 5 2 4 4 5" xfId="31446"/>
    <cellStyle name="Обычный 7 5 2 4 4 5 2" xfId="31447"/>
    <cellStyle name="Обычный 7 5 2 4 4 6" xfId="31448"/>
    <cellStyle name="Обычный 7 5 2 4 4 7" xfId="31449"/>
    <cellStyle name="Обычный 7 5 2 4 5" xfId="31450"/>
    <cellStyle name="Обычный 7 5 2 4 5 2" xfId="31451"/>
    <cellStyle name="Обычный 7 5 2 4 5 2 2" xfId="31452"/>
    <cellStyle name="Обычный 7 5 2 4 5 2 3" xfId="31453"/>
    <cellStyle name="Обычный 7 5 2 4 5 3" xfId="31454"/>
    <cellStyle name="Обычный 7 5 2 4 5 3 2" xfId="31455"/>
    <cellStyle name="Обычный 7 5 2 4 5 3 3" xfId="31456"/>
    <cellStyle name="Обычный 7 5 2 4 5 4" xfId="31457"/>
    <cellStyle name="Обычный 7 5 2 4 5 4 2" xfId="31458"/>
    <cellStyle name="Обычный 7 5 2 4 5 5" xfId="31459"/>
    <cellStyle name="Обычный 7 5 2 4 5 6" xfId="31460"/>
    <cellStyle name="Обычный 7 5 2 4 6" xfId="31461"/>
    <cellStyle name="Обычный 7 5 2 4 6 2" xfId="31462"/>
    <cellStyle name="Обычный 7 5 2 4 6 3" xfId="31463"/>
    <cellStyle name="Обычный 7 5 2 4 7" xfId="31464"/>
    <cellStyle name="Обычный 7 5 2 4 7 2" xfId="31465"/>
    <cellStyle name="Обычный 7 5 2 4 7 3" xfId="31466"/>
    <cellStyle name="Обычный 7 5 2 4 8" xfId="31467"/>
    <cellStyle name="Обычный 7 5 2 4 8 2" xfId="31468"/>
    <cellStyle name="Обычный 7 5 2 4 9" xfId="31469"/>
    <cellStyle name="Обычный 7 5 2 5" xfId="31470"/>
    <cellStyle name="Обычный 7 5 2 5 2" xfId="31471"/>
    <cellStyle name="Обычный 7 5 2 5 2 2" xfId="31472"/>
    <cellStyle name="Обычный 7 5 2 5 2 2 2" xfId="31473"/>
    <cellStyle name="Обычный 7 5 2 5 2 2 2 2" xfId="31474"/>
    <cellStyle name="Обычный 7 5 2 5 2 2 2 2 2" xfId="31475"/>
    <cellStyle name="Обычный 7 5 2 5 2 2 2 2 3" xfId="31476"/>
    <cellStyle name="Обычный 7 5 2 5 2 2 2 3" xfId="31477"/>
    <cellStyle name="Обычный 7 5 2 5 2 2 2 3 2" xfId="31478"/>
    <cellStyle name="Обычный 7 5 2 5 2 2 2 3 3" xfId="31479"/>
    <cellStyle name="Обычный 7 5 2 5 2 2 2 4" xfId="31480"/>
    <cellStyle name="Обычный 7 5 2 5 2 2 2 4 2" xfId="31481"/>
    <cellStyle name="Обычный 7 5 2 5 2 2 2 5" xfId="31482"/>
    <cellStyle name="Обычный 7 5 2 5 2 2 2 6" xfId="31483"/>
    <cellStyle name="Обычный 7 5 2 5 2 2 3" xfId="31484"/>
    <cellStyle name="Обычный 7 5 2 5 2 2 3 2" xfId="31485"/>
    <cellStyle name="Обычный 7 5 2 5 2 2 3 3" xfId="31486"/>
    <cellStyle name="Обычный 7 5 2 5 2 2 4" xfId="31487"/>
    <cellStyle name="Обычный 7 5 2 5 2 2 4 2" xfId="31488"/>
    <cellStyle name="Обычный 7 5 2 5 2 2 4 3" xfId="31489"/>
    <cellStyle name="Обычный 7 5 2 5 2 2 5" xfId="31490"/>
    <cellStyle name="Обычный 7 5 2 5 2 2 5 2" xfId="31491"/>
    <cellStyle name="Обычный 7 5 2 5 2 2 6" xfId="31492"/>
    <cellStyle name="Обычный 7 5 2 5 2 2 7" xfId="31493"/>
    <cellStyle name="Обычный 7 5 2 5 2 3" xfId="31494"/>
    <cellStyle name="Обычный 7 5 2 5 2 3 2" xfId="31495"/>
    <cellStyle name="Обычный 7 5 2 5 2 3 2 2" xfId="31496"/>
    <cellStyle name="Обычный 7 5 2 5 2 3 2 3" xfId="31497"/>
    <cellStyle name="Обычный 7 5 2 5 2 3 3" xfId="31498"/>
    <cellStyle name="Обычный 7 5 2 5 2 3 3 2" xfId="31499"/>
    <cellStyle name="Обычный 7 5 2 5 2 3 3 3" xfId="31500"/>
    <cellStyle name="Обычный 7 5 2 5 2 3 4" xfId="31501"/>
    <cellStyle name="Обычный 7 5 2 5 2 3 4 2" xfId="31502"/>
    <cellStyle name="Обычный 7 5 2 5 2 3 5" xfId="31503"/>
    <cellStyle name="Обычный 7 5 2 5 2 3 6" xfId="31504"/>
    <cellStyle name="Обычный 7 5 2 5 2 4" xfId="31505"/>
    <cellStyle name="Обычный 7 5 2 5 2 4 2" xfId="31506"/>
    <cellStyle name="Обычный 7 5 2 5 2 4 3" xfId="31507"/>
    <cellStyle name="Обычный 7 5 2 5 2 5" xfId="31508"/>
    <cellStyle name="Обычный 7 5 2 5 2 5 2" xfId="31509"/>
    <cellStyle name="Обычный 7 5 2 5 2 5 3" xfId="31510"/>
    <cellStyle name="Обычный 7 5 2 5 2 6" xfId="31511"/>
    <cellStyle name="Обычный 7 5 2 5 2 6 2" xfId="31512"/>
    <cellStyle name="Обычный 7 5 2 5 2 7" xfId="31513"/>
    <cellStyle name="Обычный 7 5 2 5 2 8" xfId="31514"/>
    <cellStyle name="Обычный 7 5 2 5 3" xfId="31515"/>
    <cellStyle name="Обычный 7 5 2 5 3 2" xfId="31516"/>
    <cellStyle name="Обычный 7 5 2 5 3 2 2" xfId="31517"/>
    <cellStyle name="Обычный 7 5 2 5 3 2 2 2" xfId="31518"/>
    <cellStyle name="Обычный 7 5 2 5 3 2 2 3" xfId="31519"/>
    <cellStyle name="Обычный 7 5 2 5 3 2 3" xfId="31520"/>
    <cellStyle name="Обычный 7 5 2 5 3 2 3 2" xfId="31521"/>
    <cellStyle name="Обычный 7 5 2 5 3 2 3 3" xfId="31522"/>
    <cellStyle name="Обычный 7 5 2 5 3 2 4" xfId="31523"/>
    <cellStyle name="Обычный 7 5 2 5 3 2 4 2" xfId="31524"/>
    <cellStyle name="Обычный 7 5 2 5 3 2 5" xfId="31525"/>
    <cellStyle name="Обычный 7 5 2 5 3 2 6" xfId="31526"/>
    <cellStyle name="Обычный 7 5 2 5 3 3" xfId="31527"/>
    <cellStyle name="Обычный 7 5 2 5 3 3 2" xfId="31528"/>
    <cellStyle name="Обычный 7 5 2 5 3 3 3" xfId="31529"/>
    <cellStyle name="Обычный 7 5 2 5 3 4" xfId="31530"/>
    <cellStyle name="Обычный 7 5 2 5 3 4 2" xfId="31531"/>
    <cellStyle name="Обычный 7 5 2 5 3 4 3" xfId="31532"/>
    <cellStyle name="Обычный 7 5 2 5 3 5" xfId="31533"/>
    <cellStyle name="Обычный 7 5 2 5 3 5 2" xfId="31534"/>
    <cellStyle name="Обычный 7 5 2 5 3 6" xfId="31535"/>
    <cellStyle name="Обычный 7 5 2 5 3 7" xfId="31536"/>
    <cellStyle name="Обычный 7 5 2 5 4" xfId="31537"/>
    <cellStyle name="Обычный 7 5 2 5 4 2" xfId="31538"/>
    <cellStyle name="Обычный 7 5 2 5 4 2 2" xfId="31539"/>
    <cellStyle name="Обычный 7 5 2 5 4 2 3" xfId="31540"/>
    <cellStyle name="Обычный 7 5 2 5 4 3" xfId="31541"/>
    <cellStyle name="Обычный 7 5 2 5 4 3 2" xfId="31542"/>
    <cellStyle name="Обычный 7 5 2 5 4 3 3" xfId="31543"/>
    <cellStyle name="Обычный 7 5 2 5 4 4" xfId="31544"/>
    <cellStyle name="Обычный 7 5 2 5 4 4 2" xfId="31545"/>
    <cellStyle name="Обычный 7 5 2 5 4 5" xfId="31546"/>
    <cellStyle name="Обычный 7 5 2 5 4 6" xfId="31547"/>
    <cellStyle name="Обычный 7 5 2 5 5" xfId="31548"/>
    <cellStyle name="Обычный 7 5 2 5 5 2" xfId="31549"/>
    <cellStyle name="Обычный 7 5 2 5 5 3" xfId="31550"/>
    <cellStyle name="Обычный 7 5 2 5 6" xfId="31551"/>
    <cellStyle name="Обычный 7 5 2 5 6 2" xfId="31552"/>
    <cellStyle name="Обычный 7 5 2 5 6 3" xfId="31553"/>
    <cellStyle name="Обычный 7 5 2 5 7" xfId="31554"/>
    <cellStyle name="Обычный 7 5 2 5 7 2" xfId="31555"/>
    <cellStyle name="Обычный 7 5 2 5 8" xfId="31556"/>
    <cellStyle name="Обычный 7 5 2 5 9" xfId="31557"/>
    <cellStyle name="Обычный 7 5 2 6" xfId="31558"/>
    <cellStyle name="Обычный 7 5 2 6 2" xfId="31559"/>
    <cellStyle name="Обычный 7 5 2 6 2 2" xfId="31560"/>
    <cellStyle name="Обычный 7 5 2 6 2 2 2" xfId="31561"/>
    <cellStyle name="Обычный 7 5 2 6 2 2 2 2" xfId="31562"/>
    <cellStyle name="Обычный 7 5 2 6 2 2 2 3" xfId="31563"/>
    <cellStyle name="Обычный 7 5 2 6 2 2 3" xfId="31564"/>
    <cellStyle name="Обычный 7 5 2 6 2 2 3 2" xfId="31565"/>
    <cellStyle name="Обычный 7 5 2 6 2 2 3 3" xfId="31566"/>
    <cellStyle name="Обычный 7 5 2 6 2 2 4" xfId="31567"/>
    <cellStyle name="Обычный 7 5 2 6 2 2 4 2" xfId="31568"/>
    <cellStyle name="Обычный 7 5 2 6 2 2 5" xfId="31569"/>
    <cellStyle name="Обычный 7 5 2 6 2 2 6" xfId="31570"/>
    <cellStyle name="Обычный 7 5 2 6 2 3" xfId="31571"/>
    <cellStyle name="Обычный 7 5 2 6 2 3 2" xfId="31572"/>
    <cellStyle name="Обычный 7 5 2 6 2 3 3" xfId="31573"/>
    <cellStyle name="Обычный 7 5 2 6 2 4" xfId="31574"/>
    <cellStyle name="Обычный 7 5 2 6 2 4 2" xfId="31575"/>
    <cellStyle name="Обычный 7 5 2 6 2 4 3" xfId="31576"/>
    <cellStyle name="Обычный 7 5 2 6 2 5" xfId="31577"/>
    <cellStyle name="Обычный 7 5 2 6 2 5 2" xfId="31578"/>
    <cellStyle name="Обычный 7 5 2 6 2 6" xfId="31579"/>
    <cellStyle name="Обычный 7 5 2 6 2 7" xfId="31580"/>
    <cellStyle name="Обычный 7 5 2 6 3" xfId="31581"/>
    <cellStyle name="Обычный 7 5 2 6 3 2" xfId="31582"/>
    <cellStyle name="Обычный 7 5 2 6 3 2 2" xfId="31583"/>
    <cellStyle name="Обычный 7 5 2 6 3 2 3" xfId="31584"/>
    <cellStyle name="Обычный 7 5 2 6 3 3" xfId="31585"/>
    <cellStyle name="Обычный 7 5 2 6 3 3 2" xfId="31586"/>
    <cellStyle name="Обычный 7 5 2 6 3 3 3" xfId="31587"/>
    <cellStyle name="Обычный 7 5 2 6 3 4" xfId="31588"/>
    <cellStyle name="Обычный 7 5 2 6 3 4 2" xfId="31589"/>
    <cellStyle name="Обычный 7 5 2 6 3 5" xfId="31590"/>
    <cellStyle name="Обычный 7 5 2 6 3 6" xfId="31591"/>
    <cellStyle name="Обычный 7 5 2 6 4" xfId="31592"/>
    <cellStyle name="Обычный 7 5 2 6 4 2" xfId="31593"/>
    <cellStyle name="Обычный 7 5 2 6 4 3" xfId="31594"/>
    <cellStyle name="Обычный 7 5 2 6 5" xfId="31595"/>
    <cellStyle name="Обычный 7 5 2 6 5 2" xfId="31596"/>
    <cellStyle name="Обычный 7 5 2 6 5 3" xfId="31597"/>
    <cellStyle name="Обычный 7 5 2 6 6" xfId="31598"/>
    <cellStyle name="Обычный 7 5 2 6 6 2" xfId="31599"/>
    <cellStyle name="Обычный 7 5 2 6 7" xfId="31600"/>
    <cellStyle name="Обычный 7 5 2 6 8" xfId="31601"/>
    <cellStyle name="Обычный 7 5 2 7" xfId="31602"/>
    <cellStyle name="Обычный 7 5 2 7 2" xfId="31603"/>
    <cellStyle name="Обычный 7 5 2 7 2 2" xfId="31604"/>
    <cellStyle name="Обычный 7 5 2 7 2 2 2" xfId="31605"/>
    <cellStyle name="Обычный 7 5 2 7 2 2 3" xfId="31606"/>
    <cellStyle name="Обычный 7 5 2 7 2 3" xfId="31607"/>
    <cellStyle name="Обычный 7 5 2 7 2 3 2" xfId="31608"/>
    <cellStyle name="Обычный 7 5 2 7 2 3 3" xfId="31609"/>
    <cellStyle name="Обычный 7 5 2 7 2 4" xfId="31610"/>
    <cellStyle name="Обычный 7 5 2 7 2 4 2" xfId="31611"/>
    <cellStyle name="Обычный 7 5 2 7 2 5" xfId="31612"/>
    <cellStyle name="Обычный 7 5 2 7 2 6" xfId="31613"/>
    <cellStyle name="Обычный 7 5 2 7 3" xfId="31614"/>
    <cellStyle name="Обычный 7 5 2 7 3 2" xfId="31615"/>
    <cellStyle name="Обычный 7 5 2 7 3 3" xfId="31616"/>
    <cellStyle name="Обычный 7 5 2 7 4" xfId="31617"/>
    <cellStyle name="Обычный 7 5 2 7 4 2" xfId="31618"/>
    <cellStyle name="Обычный 7 5 2 7 4 3" xfId="31619"/>
    <cellStyle name="Обычный 7 5 2 7 5" xfId="31620"/>
    <cellStyle name="Обычный 7 5 2 7 5 2" xfId="31621"/>
    <cellStyle name="Обычный 7 5 2 7 6" xfId="31622"/>
    <cellStyle name="Обычный 7 5 2 7 7" xfId="31623"/>
    <cellStyle name="Обычный 7 5 2 8" xfId="31624"/>
    <cellStyle name="Обычный 7 5 2 8 2" xfId="31625"/>
    <cellStyle name="Обычный 7 5 2 8 2 2" xfId="31626"/>
    <cellStyle name="Обычный 7 5 2 8 2 3" xfId="31627"/>
    <cellStyle name="Обычный 7 5 2 8 3" xfId="31628"/>
    <cellStyle name="Обычный 7 5 2 8 3 2" xfId="31629"/>
    <cellStyle name="Обычный 7 5 2 8 3 3" xfId="31630"/>
    <cellStyle name="Обычный 7 5 2 8 4" xfId="31631"/>
    <cellStyle name="Обычный 7 5 2 8 4 2" xfId="31632"/>
    <cellStyle name="Обычный 7 5 2 8 5" xfId="31633"/>
    <cellStyle name="Обычный 7 5 2 8 6" xfId="31634"/>
    <cellStyle name="Обычный 7 5 2 9" xfId="31635"/>
    <cellStyle name="Обычный 7 5 2 9 2" xfId="31636"/>
    <cellStyle name="Обычный 7 5 2 9 3" xfId="31637"/>
    <cellStyle name="Обычный 7 5 3" xfId="31638"/>
    <cellStyle name="Обычный 7 5 3 10" xfId="31639"/>
    <cellStyle name="Обычный 7 5 3 2" xfId="31640"/>
    <cellStyle name="Обычный 7 5 3 2 2" xfId="31641"/>
    <cellStyle name="Обычный 7 5 3 2 2 2" xfId="31642"/>
    <cellStyle name="Обычный 7 5 3 2 2 2 2" xfId="31643"/>
    <cellStyle name="Обычный 7 5 3 2 2 2 2 2" xfId="31644"/>
    <cellStyle name="Обычный 7 5 3 2 2 2 2 2 2" xfId="31645"/>
    <cellStyle name="Обычный 7 5 3 2 2 2 2 2 3" xfId="31646"/>
    <cellStyle name="Обычный 7 5 3 2 2 2 2 3" xfId="31647"/>
    <cellStyle name="Обычный 7 5 3 2 2 2 2 3 2" xfId="31648"/>
    <cellStyle name="Обычный 7 5 3 2 2 2 2 3 3" xfId="31649"/>
    <cellStyle name="Обычный 7 5 3 2 2 2 2 4" xfId="31650"/>
    <cellStyle name="Обычный 7 5 3 2 2 2 2 4 2" xfId="31651"/>
    <cellStyle name="Обычный 7 5 3 2 2 2 2 5" xfId="31652"/>
    <cellStyle name="Обычный 7 5 3 2 2 2 2 6" xfId="31653"/>
    <cellStyle name="Обычный 7 5 3 2 2 2 3" xfId="31654"/>
    <cellStyle name="Обычный 7 5 3 2 2 2 3 2" xfId="31655"/>
    <cellStyle name="Обычный 7 5 3 2 2 2 3 3" xfId="31656"/>
    <cellStyle name="Обычный 7 5 3 2 2 2 4" xfId="31657"/>
    <cellStyle name="Обычный 7 5 3 2 2 2 4 2" xfId="31658"/>
    <cellStyle name="Обычный 7 5 3 2 2 2 4 3" xfId="31659"/>
    <cellStyle name="Обычный 7 5 3 2 2 2 5" xfId="31660"/>
    <cellStyle name="Обычный 7 5 3 2 2 2 5 2" xfId="31661"/>
    <cellStyle name="Обычный 7 5 3 2 2 2 6" xfId="31662"/>
    <cellStyle name="Обычный 7 5 3 2 2 2 7" xfId="31663"/>
    <cellStyle name="Обычный 7 5 3 2 2 3" xfId="31664"/>
    <cellStyle name="Обычный 7 5 3 2 2 3 2" xfId="31665"/>
    <cellStyle name="Обычный 7 5 3 2 2 3 2 2" xfId="31666"/>
    <cellStyle name="Обычный 7 5 3 2 2 3 2 3" xfId="31667"/>
    <cellStyle name="Обычный 7 5 3 2 2 3 3" xfId="31668"/>
    <cellStyle name="Обычный 7 5 3 2 2 3 3 2" xfId="31669"/>
    <cellStyle name="Обычный 7 5 3 2 2 3 3 3" xfId="31670"/>
    <cellStyle name="Обычный 7 5 3 2 2 3 4" xfId="31671"/>
    <cellStyle name="Обычный 7 5 3 2 2 3 4 2" xfId="31672"/>
    <cellStyle name="Обычный 7 5 3 2 2 3 5" xfId="31673"/>
    <cellStyle name="Обычный 7 5 3 2 2 3 6" xfId="31674"/>
    <cellStyle name="Обычный 7 5 3 2 2 4" xfId="31675"/>
    <cellStyle name="Обычный 7 5 3 2 2 4 2" xfId="31676"/>
    <cellStyle name="Обычный 7 5 3 2 2 4 3" xfId="31677"/>
    <cellStyle name="Обычный 7 5 3 2 2 5" xfId="31678"/>
    <cellStyle name="Обычный 7 5 3 2 2 5 2" xfId="31679"/>
    <cellStyle name="Обычный 7 5 3 2 2 5 3" xfId="31680"/>
    <cellStyle name="Обычный 7 5 3 2 2 6" xfId="31681"/>
    <cellStyle name="Обычный 7 5 3 2 2 6 2" xfId="31682"/>
    <cellStyle name="Обычный 7 5 3 2 2 7" xfId="31683"/>
    <cellStyle name="Обычный 7 5 3 2 2 8" xfId="31684"/>
    <cellStyle name="Обычный 7 5 3 2 3" xfId="31685"/>
    <cellStyle name="Обычный 7 5 3 2 3 2" xfId="31686"/>
    <cellStyle name="Обычный 7 5 3 2 3 2 2" xfId="31687"/>
    <cellStyle name="Обычный 7 5 3 2 3 2 2 2" xfId="31688"/>
    <cellStyle name="Обычный 7 5 3 2 3 2 2 3" xfId="31689"/>
    <cellStyle name="Обычный 7 5 3 2 3 2 3" xfId="31690"/>
    <cellStyle name="Обычный 7 5 3 2 3 2 3 2" xfId="31691"/>
    <cellStyle name="Обычный 7 5 3 2 3 2 3 3" xfId="31692"/>
    <cellStyle name="Обычный 7 5 3 2 3 2 4" xfId="31693"/>
    <cellStyle name="Обычный 7 5 3 2 3 2 4 2" xfId="31694"/>
    <cellStyle name="Обычный 7 5 3 2 3 2 5" xfId="31695"/>
    <cellStyle name="Обычный 7 5 3 2 3 2 6" xfId="31696"/>
    <cellStyle name="Обычный 7 5 3 2 3 3" xfId="31697"/>
    <cellStyle name="Обычный 7 5 3 2 3 3 2" xfId="31698"/>
    <cellStyle name="Обычный 7 5 3 2 3 3 3" xfId="31699"/>
    <cellStyle name="Обычный 7 5 3 2 3 4" xfId="31700"/>
    <cellStyle name="Обычный 7 5 3 2 3 4 2" xfId="31701"/>
    <cellStyle name="Обычный 7 5 3 2 3 4 3" xfId="31702"/>
    <cellStyle name="Обычный 7 5 3 2 3 5" xfId="31703"/>
    <cellStyle name="Обычный 7 5 3 2 3 5 2" xfId="31704"/>
    <cellStyle name="Обычный 7 5 3 2 3 6" xfId="31705"/>
    <cellStyle name="Обычный 7 5 3 2 3 7" xfId="31706"/>
    <cellStyle name="Обычный 7 5 3 2 4" xfId="31707"/>
    <cellStyle name="Обычный 7 5 3 2 4 2" xfId="31708"/>
    <cellStyle name="Обычный 7 5 3 2 4 2 2" xfId="31709"/>
    <cellStyle name="Обычный 7 5 3 2 4 2 3" xfId="31710"/>
    <cellStyle name="Обычный 7 5 3 2 4 3" xfId="31711"/>
    <cellStyle name="Обычный 7 5 3 2 4 3 2" xfId="31712"/>
    <cellStyle name="Обычный 7 5 3 2 4 3 3" xfId="31713"/>
    <cellStyle name="Обычный 7 5 3 2 4 4" xfId="31714"/>
    <cellStyle name="Обычный 7 5 3 2 4 4 2" xfId="31715"/>
    <cellStyle name="Обычный 7 5 3 2 4 5" xfId="31716"/>
    <cellStyle name="Обычный 7 5 3 2 4 6" xfId="31717"/>
    <cellStyle name="Обычный 7 5 3 2 5" xfId="31718"/>
    <cellStyle name="Обычный 7 5 3 2 5 2" xfId="31719"/>
    <cellStyle name="Обычный 7 5 3 2 5 3" xfId="31720"/>
    <cellStyle name="Обычный 7 5 3 2 6" xfId="31721"/>
    <cellStyle name="Обычный 7 5 3 2 6 2" xfId="31722"/>
    <cellStyle name="Обычный 7 5 3 2 6 3" xfId="31723"/>
    <cellStyle name="Обычный 7 5 3 2 7" xfId="31724"/>
    <cellStyle name="Обычный 7 5 3 2 7 2" xfId="31725"/>
    <cellStyle name="Обычный 7 5 3 2 8" xfId="31726"/>
    <cellStyle name="Обычный 7 5 3 2 9" xfId="31727"/>
    <cellStyle name="Обычный 7 5 3 3" xfId="31728"/>
    <cellStyle name="Обычный 7 5 3 3 2" xfId="31729"/>
    <cellStyle name="Обычный 7 5 3 3 2 2" xfId="31730"/>
    <cellStyle name="Обычный 7 5 3 3 2 2 2" xfId="31731"/>
    <cellStyle name="Обычный 7 5 3 3 2 2 2 2" xfId="31732"/>
    <cellStyle name="Обычный 7 5 3 3 2 2 2 3" xfId="31733"/>
    <cellStyle name="Обычный 7 5 3 3 2 2 3" xfId="31734"/>
    <cellStyle name="Обычный 7 5 3 3 2 2 3 2" xfId="31735"/>
    <cellStyle name="Обычный 7 5 3 3 2 2 3 3" xfId="31736"/>
    <cellStyle name="Обычный 7 5 3 3 2 2 4" xfId="31737"/>
    <cellStyle name="Обычный 7 5 3 3 2 2 4 2" xfId="31738"/>
    <cellStyle name="Обычный 7 5 3 3 2 2 5" xfId="31739"/>
    <cellStyle name="Обычный 7 5 3 3 2 2 6" xfId="31740"/>
    <cellStyle name="Обычный 7 5 3 3 2 3" xfId="31741"/>
    <cellStyle name="Обычный 7 5 3 3 2 3 2" xfId="31742"/>
    <cellStyle name="Обычный 7 5 3 3 2 3 3" xfId="31743"/>
    <cellStyle name="Обычный 7 5 3 3 2 4" xfId="31744"/>
    <cellStyle name="Обычный 7 5 3 3 2 4 2" xfId="31745"/>
    <cellStyle name="Обычный 7 5 3 3 2 4 3" xfId="31746"/>
    <cellStyle name="Обычный 7 5 3 3 2 5" xfId="31747"/>
    <cellStyle name="Обычный 7 5 3 3 2 5 2" xfId="31748"/>
    <cellStyle name="Обычный 7 5 3 3 2 6" xfId="31749"/>
    <cellStyle name="Обычный 7 5 3 3 2 7" xfId="31750"/>
    <cellStyle name="Обычный 7 5 3 3 3" xfId="31751"/>
    <cellStyle name="Обычный 7 5 3 3 3 2" xfId="31752"/>
    <cellStyle name="Обычный 7 5 3 3 3 2 2" xfId="31753"/>
    <cellStyle name="Обычный 7 5 3 3 3 2 3" xfId="31754"/>
    <cellStyle name="Обычный 7 5 3 3 3 3" xfId="31755"/>
    <cellStyle name="Обычный 7 5 3 3 3 3 2" xfId="31756"/>
    <cellStyle name="Обычный 7 5 3 3 3 3 3" xfId="31757"/>
    <cellStyle name="Обычный 7 5 3 3 3 4" xfId="31758"/>
    <cellStyle name="Обычный 7 5 3 3 3 4 2" xfId="31759"/>
    <cellStyle name="Обычный 7 5 3 3 3 5" xfId="31760"/>
    <cellStyle name="Обычный 7 5 3 3 3 6" xfId="31761"/>
    <cellStyle name="Обычный 7 5 3 3 4" xfId="31762"/>
    <cellStyle name="Обычный 7 5 3 3 4 2" xfId="31763"/>
    <cellStyle name="Обычный 7 5 3 3 4 3" xfId="31764"/>
    <cellStyle name="Обычный 7 5 3 3 5" xfId="31765"/>
    <cellStyle name="Обычный 7 5 3 3 5 2" xfId="31766"/>
    <cellStyle name="Обычный 7 5 3 3 5 3" xfId="31767"/>
    <cellStyle name="Обычный 7 5 3 3 6" xfId="31768"/>
    <cellStyle name="Обычный 7 5 3 3 6 2" xfId="31769"/>
    <cellStyle name="Обычный 7 5 3 3 7" xfId="31770"/>
    <cellStyle name="Обычный 7 5 3 3 8" xfId="31771"/>
    <cellStyle name="Обычный 7 5 3 4" xfId="31772"/>
    <cellStyle name="Обычный 7 5 3 4 2" xfId="31773"/>
    <cellStyle name="Обычный 7 5 3 4 2 2" xfId="31774"/>
    <cellStyle name="Обычный 7 5 3 4 2 2 2" xfId="31775"/>
    <cellStyle name="Обычный 7 5 3 4 2 2 3" xfId="31776"/>
    <cellStyle name="Обычный 7 5 3 4 2 3" xfId="31777"/>
    <cellStyle name="Обычный 7 5 3 4 2 3 2" xfId="31778"/>
    <cellStyle name="Обычный 7 5 3 4 2 3 3" xfId="31779"/>
    <cellStyle name="Обычный 7 5 3 4 2 4" xfId="31780"/>
    <cellStyle name="Обычный 7 5 3 4 2 4 2" xfId="31781"/>
    <cellStyle name="Обычный 7 5 3 4 2 5" xfId="31782"/>
    <cellStyle name="Обычный 7 5 3 4 2 6" xfId="31783"/>
    <cellStyle name="Обычный 7 5 3 4 3" xfId="31784"/>
    <cellStyle name="Обычный 7 5 3 4 3 2" xfId="31785"/>
    <cellStyle name="Обычный 7 5 3 4 3 3" xfId="31786"/>
    <cellStyle name="Обычный 7 5 3 4 4" xfId="31787"/>
    <cellStyle name="Обычный 7 5 3 4 4 2" xfId="31788"/>
    <cellStyle name="Обычный 7 5 3 4 4 3" xfId="31789"/>
    <cellStyle name="Обычный 7 5 3 4 5" xfId="31790"/>
    <cellStyle name="Обычный 7 5 3 4 5 2" xfId="31791"/>
    <cellStyle name="Обычный 7 5 3 4 6" xfId="31792"/>
    <cellStyle name="Обычный 7 5 3 4 7" xfId="31793"/>
    <cellStyle name="Обычный 7 5 3 5" xfId="31794"/>
    <cellStyle name="Обычный 7 5 3 5 2" xfId="31795"/>
    <cellStyle name="Обычный 7 5 3 5 2 2" xfId="31796"/>
    <cellStyle name="Обычный 7 5 3 5 2 3" xfId="31797"/>
    <cellStyle name="Обычный 7 5 3 5 3" xfId="31798"/>
    <cellStyle name="Обычный 7 5 3 5 3 2" xfId="31799"/>
    <cellStyle name="Обычный 7 5 3 5 3 3" xfId="31800"/>
    <cellStyle name="Обычный 7 5 3 5 4" xfId="31801"/>
    <cellStyle name="Обычный 7 5 3 5 4 2" xfId="31802"/>
    <cellStyle name="Обычный 7 5 3 5 5" xfId="31803"/>
    <cellStyle name="Обычный 7 5 3 5 6" xfId="31804"/>
    <cellStyle name="Обычный 7 5 3 6" xfId="31805"/>
    <cellStyle name="Обычный 7 5 3 6 2" xfId="31806"/>
    <cellStyle name="Обычный 7 5 3 6 3" xfId="31807"/>
    <cellStyle name="Обычный 7 5 3 7" xfId="31808"/>
    <cellStyle name="Обычный 7 5 3 7 2" xfId="31809"/>
    <cellStyle name="Обычный 7 5 3 7 3" xfId="31810"/>
    <cellStyle name="Обычный 7 5 3 8" xfId="31811"/>
    <cellStyle name="Обычный 7 5 3 8 2" xfId="31812"/>
    <cellStyle name="Обычный 7 5 3 9" xfId="31813"/>
    <cellStyle name="Обычный 7 5 4" xfId="31814"/>
    <cellStyle name="Обычный 7 5 4 10" xfId="31815"/>
    <cellStyle name="Обычный 7 5 4 2" xfId="31816"/>
    <cellStyle name="Обычный 7 5 4 2 2" xfId="31817"/>
    <cellStyle name="Обычный 7 5 4 2 2 2" xfId="31818"/>
    <cellStyle name="Обычный 7 5 4 2 2 2 2" xfId="31819"/>
    <cellStyle name="Обычный 7 5 4 2 2 2 2 2" xfId="31820"/>
    <cellStyle name="Обычный 7 5 4 2 2 2 2 2 2" xfId="31821"/>
    <cellStyle name="Обычный 7 5 4 2 2 2 2 2 3" xfId="31822"/>
    <cellStyle name="Обычный 7 5 4 2 2 2 2 3" xfId="31823"/>
    <cellStyle name="Обычный 7 5 4 2 2 2 2 3 2" xfId="31824"/>
    <cellStyle name="Обычный 7 5 4 2 2 2 2 3 3" xfId="31825"/>
    <cellStyle name="Обычный 7 5 4 2 2 2 2 4" xfId="31826"/>
    <cellStyle name="Обычный 7 5 4 2 2 2 2 4 2" xfId="31827"/>
    <cellStyle name="Обычный 7 5 4 2 2 2 2 5" xfId="31828"/>
    <cellStyle name="Обычный 7 5 4 2 2 2 2 6" xfId="31829"/>
    <cellStyle name="Обычный 7 5 4 2 2 2 3" xfId="31830"/>
    <cellStyle name="Обычный 7 5 4 2 2 2 3 2" xfId="31831"/>
    <cellStyle name="Обычный 7 5 4 2 2 2 3 3" xfId="31832"/>
    <cellStyle name="Обычный 7 5 4 2 2 2 4" xfId="31833"/>
    <cellStyle name="Обычный 7 5 4 2 2 2 4 2" xfId="31834"/>
    <cellStyle name="Обычный 7 5 4 2 2 2 4 3" xfId="31835"/>
    <cellStyle name="Обычный 7 5 4 2 2 2 5" xfId="31836"/>
    <cellStyle name="Обычный 7 5 4 2 2 2 5 2" xfId="31837"/>
    <cellStyle name="Обычный 7 5 4 2 2 2 6" xfId="31838"/>
    <cellStyle name="Обычный 7 5 4 2 2 2 7" xfId="31839"/>
    <cellStyle name="Обычный 7 5 4 2 2 3" xfId="31840"/>
    <cellStyle name="Обычный 7 5 4 2 2 3 2" xfId="31841"/>
    <cellStyle name="Обычный 7 5 4 2 2 3 2 2" xfId="31842"/>
    <cellStyle name="Обычный 7 5 4 2 2 3 2 3" xfId="31843"/>
    <cellStyle name="Обычный 7 5 4 2 2 3 3" xfId="31844"/>
    <cellStyle name="Обычный 7 5 4 2 2 3 3 2" xfId="31845"/>
    <cellStyle name="Обычный 7 5 4 2 2 3 3 3" xfId="31846"/>
    <cellStyle name="Обычный 7 5 4 2 2 3 4" xfId="31847"/>
    <cellStyle name="Обычный 7 5 4 2 2 3 4 2" xfId="31848"/>
    <cellStyle name="Обычный 7 5 4 2 2 3 5" xfId="31849"/>
    <cellStyle name="Обычный 7 5 4 2 2 3 6" xfId="31850"/>
    <cellStyle name="Обычный 7 5 4 2 2 4" xfId="31851"/>
    <cellStyle name="Обычный 7 5 4 2 2 4 2" xfId="31852"/>
    <cellStyle name="Обычный 7 5 4 2 2 4 3" xfId="31853"/>
    <cellStyle name="Обычный 7 5 4 2 2 5" xfId="31854"/>
    <cellStyle name="Обычный 7 5 4 2 2 5 2" xfId="31855"/>
    <cellStyle name="Обычный 7 5 4 2 2 5 3" xfId="31856"/>
    <cellStyle name="Обычный 7 5 4 2 2 6" xfId="31857"/>
    <cellStyle name="Обычный 7 5 4 2 2 6 2" xfId="31858"/>
    <cellStyle name="Обычный 7 5 4 2 2 7" xfId="31859"/>
    <cellStyle name="Обычный 7 5 4 2 2 8" xfId="31860"/>
    <cellStyle name="Обычный 7 5 4 2 3" xfId="31861"/>
    <cellStyle name="Обычный 7 5 4 2 3 2" xfId="31862"/>
    <cellStyle name="Обычный 7 5 4 2 3 2 2" xfId="31863"/>
    <cellStyle name="Обычный 7 5 4 2 3 2 2 2" xfId="31864"/>
    <cellStyle name="Обычный 7 5 4 2 3 2 2 3" xfId="31865"/>
    <cellStyle name="Обычный 7 5 4 2 3 2 3" xfId="31866"/>
    <cellStyle name="Обычный 7 5 4 2 3 2 3 2" xfId="31867"/>
    <cellStyle name="Обычный 7 5 4 2 3 2 3 3" xfId="31868"/>
    <cellStyle name="Обычный 7 5 4 2 3 2 4" xfId="31869"/>
    <cellStyle name="Обычный 7 5 4 2 3 2 4 2" xfId="31870"/>
    <cellStyle name="Обычный 7 5 4 2 3 2 5" xfId="31871"/>
    <cellStyle name="Обычный 7 5 4 2 3 2 6" xfId="31872"/>
    <cellStyle name="Обычный 7 5 4 2 3 3" xfId="31873"/>
    <cellStyle name="Обычный 7 5 4 2 3 3 2" xfId="31874"/>
    <cellStyle name="Обычный 7 5 4 2 3 3 3" xfId="31875"/>
    <cellStyle name="Обычный 7 5 4 2 3 4" xfId="31876"/>
    <cellStyle name="Обычный 7 5 4 2 3 4 2" xfId="31877"/>
    <cellStyle name="Обычный 7 5 4 2 3 4 3" xfId="31878"/>
    <cellStyle name="Обычный 7 5 4 2 3 5" xfId="31879"/>
    <cellStyle name="Обычный 7 5 4 2 3 5 2" xfId="31880"/>
    <cellStyle name="Обычный 7 5 4 2 3 6" xfId="31881"/>
    <cellStyle name="Обычный 7 5 4 2 3 7" xfId="31882"/>
    <cellStyle name="Обычный 7 5 4 2 4" xfId="31883"/>
    <cellStyle name="Обычный 7 5 4 2 4 2" xfId="31884"/>
    <cellStyle name="Обычный 7 5 4 2 4 2 2" xfId="31885"/>
    <cellStyle name="Обычный 7 5 4 2 4 2 3" xfId="31886"/>
    <cellStyle name="Обычный 7 5 4 2 4 3" xfId="31887"/>
    <cellStyle name="Обычный 7 5 4 2 4 3 2" xfId="31888"/>
    <cellStyle name="Обычный 7 5 4 2 4 3 3" xfId="31889"/>
    <cellStyle name="Обычный 7 5 4 2 4 4" xfId="31890"/>
    <cellStyle name="Обычный 7 5 4 2 4 4 2" xfId="31891"/>
    <cellStyle name="Обычный 7 5 4 2 4 5" xfId="31892"/>
    <cellStyle name="Обычный 7 5 4 2 4 6" xfId="31893"/>
    <cellStyle name="Обычный 7 5 4 2 5" xfId="31894"/>
    <cellStyle name="Обычный 7 5 4 2 5 2" xfId="31895"/>
    <cellStyle name="Обычный 7 5 4 2 5 3" xfId="31896"/>
    <cellStyle name="Обычный 7 5 4 2 6" xfId="31897"/>
    <cellStyle name="Обычный 7 5 4 2 6 2" xfId="31898"/>
    <cellStyle name="Обычный 7 5 4 2 6 3" xfId="31899"/>
    <cellStyle name="Обычный 7 5 4 2 7" xfId="31900"/>
    <cellStyle name="Обычный 7 5 4 2 7 2" xfId="31901"/>
    <cellStyle name="Обычный 7 5 4 2 8" xfId="31902"/>
    <cellStyle name="Обычный 7 5 4 2 9" xfId="31903"/>
    <cellStyle name="Обычный 7 5 4 3" xfId="31904"/>
    <cellStyle name="Обычный 7 5 4 3 2" xfId="31905"/>
    <cellStyle name="Обычный 7 5 4 3 2 2" xfId="31906"/>
    <cellStyle name="Обычный 7 5 4 3 2 2 2" xfId="31907"/>
    <cellStyle name="Обычный 7 5 4 3 2 2 2 2" xfId="31908"/>
    <cellStyle name="Обычный 7 5 4 3 2 2 2 3" xfId="31909"/>
    <cellStyle name="Обычный 7 5 4 3 2 2 3" xfId="31910"/>
    <cellStyle name="Обычный 7 5 4 3 2 2 3 2" xfId="31911"/>
    <cellStyle name="Обычный 7 5 4 3 2 2 3 3" xfId="31912"/>
    <cellStyle name="Обычный 7 5 4 3 2 2 4" xfId="31913"/>
    <cellStyle name="Обычный 7 5 4 3 2 2 4 2" xfId="31914"/>
    <cellStyle name="Обычный 7 5 4 3 2 2 5" xfId="31915"/>
    <cellStyle name="Обычный 7 5 4 3 2 2 6" xfId="31916"/>
    <cellStyle name="Обычный 7 5 4 3 2 3" xfId="31917"/>
    <cellStyle name="Обычный 7 5 4 3 2 3 2" xfId="31918"/>
    <cellStyle name="Обычный 7 5 4 3 2 3 3" xfId="31919"/>
    <cellStyle name="Обычный 7 5 4 3 2 4" xfId="31920"/>
    <cellStyle name="Обычный 7 5 4 3 2 4 2" xfId="31921"/>
    <cellStyle name="Обычный 7 5 4 3 2 4 3" xfId="31922"/>
    <cellStyle name="Обычный 7 5 4 3 2 5" xfId="31923"/>
    <cellStyle name="Обычный 7 5 4 3 2 5 2" xfId="31924"/>
    <cellStyle name="Обычный 7 5 4 3 2 6" xfId="31925"/>
    <cellStyle name="Обычный 7 5 4 3 2 7" xfId="31926"/>
    <cellStyle name="Обычный 7 5 4 3 3" xfId="31927"/>
    <cellStyle name="Обычный 7 5 4 3 3 2" xfId="31928"/>
    <cellStyle name="Обычный 7 5 4 3 3 2 2" xfId="31929"/>
    <cellStyle name="Обычный 7 5 4 3 3 2 3" xfId="31930"/>
    <cellStyle name="Обычный 7 5 4 3 3 3" xfId="31931"/>
    <cellStyle name="Обычный 7 5 4 3 3 3 2" xfId="31932"/>
    <cellStyle name="Обычный 7 5 4 3 3 3 3" xfId="31933"/>
    <cellStyle name="Обычный 7 5 4 3 3 4" xfId="31934"/>
    <cellStyle name="Обычный 7 5 4 3 3 4 2" xfId="31935"/>
    <cellStyle name="Обычный 7 5 4 3 3 5" xfId="31936"/>
    <cellStyle name="Обычный 7 5 4 3 3 6" xfId="31937"/>
    <cellStyle name="Обычный 7 5 4 3 4" xfId="31938"/>
    <cellStyle name="Обычный 7 5 4 3 4 2" xfId="31939"/>
    <cellStyle name="Обычный 7 5 4 3 4 3" xfId="31940"/>
    <cellStyle name="Обычный 7 5 4 3 5" xfId="31941"/>
    <cellStyle name="Обычный 7 5 4 3 5 2" xfId="31942"/>
    <cellStyle name="Обычный 7 5 4 3 5 3" xfId="31943"/>
    <cellStyle name="Обычный 7 5 4 3 6" xfId="31944"/>
    <cellStyle name="Обычный 7 5 4 3 6 2" xfId="31945"/>
    <cellStyle name="Обычный 7 5 4 3 7" xfId="31946"/>
    <cellStyle name="Обычный 7 5 4 3 8" xfId="31947"/>
    <cellStyle name="Обычный 7 5 4 4" xfId="31948"/>
    <cellStyle name="Обычный 7 5 4 4 2" xfId="31949"/>
    <cellStyle name="Обычный 7 5 4 4 2 2" xfId="31950"/>
    <cellStyle name="Обычный 7 5 4 4 2 2 2" xfId="31951"/>
    <cellStyle name="Обычный 7 5 4 4 2 2 3" xfId="31952"/>
    <cellStyle name="Обычный 7 5 4 4 2 3" xfId="31953"/>
    <cellStyle name="Обычный 7 5 4 4 2 3 2" xfId="31954"/>
    <cellStyle name="Обычный 7 5 4 4 2 3 3" xfId="31955"/>
    <cellStyle name="Обычный 7 5 4 4 2 4" xfId="31956"/>
    <cellStyle name="Обычный 7 5 4 4 2 4 2" xfId="31957"/>
    <cellStyle name="Обычный 7 5 4 4 2 5" xfId="31958"/>
    <cellStyle name="Обычный 7 5 4 4 2 6" xfId="31959"/>
    <cellStyle name="Обычный 7 5 4 4 3" xfId="31960"/>
    <cellStyle name="Обычный 7 5 4 4 3 2" xfId="31961"/>
    <cellStyle name="Обычный 7 5 4 4 3 3" xfId="31962"/>
    <cellStyle name="Обычный 7 5 4 4 4" xfId="31963"/>
    <cellStyle name="Обычный 7 5 4 4 4 2" xfId="31964"/>
    <cellStyle name="Обычный 7 5 4 4 4 3" xfId="31965"/>
    <cellStyle name="Обычный 7 5 4 4 5" xfId="31966"/>
    <cellStyle name="Обычный 7 5 4 4 5 2" xfId="31967"/>
    <cellStyle name="Обычный 7 5 4 4 6" xfId="31968"/>
    <cellStyle name="Обычный 7 5 4 4 7" xfId="31969"/>
    <cellStyle name="Обычный 7 5 4 5" xfId="31970"/>
    <cellStyle name="Обычный 7 5 4 5 2" xfId="31971"/>
    <cellStyle name="Обычный 7 5 4 5 2 2" xfId="31972"/>
    <cellStyle name="Обычный 7 5 4 5 2 3" xfId="31973"/>
    <cellStyle name="Обычный 7 5 4 5 3" xfId="31974"/>
    <cellStyle name="Обычный 7 5 4 5 3 2" xfId="31975"/>
    <cellStyle name="Обычный 7 5 4 5 3 3" xfId="31976"/>
    <cellStyle name="Обычный 7 5 4 5 4" xfId="31977"/>
    <cellStyle name="Обычный 7 5 4 5 4 2" xfId="31978"/>
    <cellStyle name="Обычный 7 5 4 5 5" xfId="31979"/>
    <cellStyle name="Обычный 7 5 4 5 6" xfId="31980"/>
    <cellStyle name="Обычный 7 5 4 6" xfId="31981"/>
    <cellStyle name="Обычный 7 5 4 6 2" xfId="31982"/>
    <cellStyle name="Обычный 7 5 4 6 3" xfId="31983"/>
    <cellStyle name="Обычный 7 5 4 7" xfId="31984"/>
    <cellStyle name="Обычный 7 5 4 7 2" xfId="31985"/>
    <cellStyle name="Обычный 7 5 4 7 3" xfId="31986"/>
    <cellStyle name="Обычный 7 5 4 8" xfId="31987"/>
    <cellStyle name="Обычный 7 5 4 8 2" xfId="31988"/>
    <cellStyle name="Обычный 7 5 4 9" xfId="31989"/>
    <cellStyle name="Обычный 7 5 5" xfId="31990"/>
    <cellStyle name="Обычный 7 5 5 10" xfId="31991"/>
    <cellStyle name="Обычный 7 5 5 2" xfId="31992"/>
    <cellStyle name="Обычный 7 5 5 2 2" xfId="31993"/>
    <cellStyle name="Обычный 7 5 5 2 2 2" xfId="31994"/>
    <cellStyle name="Обычный 7 5 5 2 2 2 2" xfId="31995"/>
    <cellStyle name="Обычный 7 5 5 2 2 2 2 2" xfId="31996"/>
    <cellStyle name="Обычный 7 5 5 2 2 2 2 2 2" xfId="31997"/>
    <cellStyle name="Обычный 7 5 5 2 2 2 2 2 3" xfId="31998"/>
    <cellStyle name="Обычный 7 5 5 2 2 2 2 3" xfId="31999"/>
    <cellStyle name="Обычный 7 5 5 2 2 2 2 3 2" xfId="32000"/>
    <cellStyle name="Обычный 7 5 5 2 2 2 2 3 3" xfId="32001"/>
    <cellStyle name="Обычный 7 5 5 2 2 2 2 4" xfId="32002"/>
    <cellStyle name="Обычный 7 5 5 2 2 2 2 4 2" xfId="32003"/>
    <cellStyle name="Обычный 7 5 5 2 2 2 2 5" xfId="32004"/>
    <cellStyle name="Обычный 7 5 5 2 2 2 2 6" xfId="32005"/>
    <cellStyle name="Обычный 7 5 5 2 2 2 3" xfId="32006"/>
    <cellStyle name="Обычный 7 5 5 2 2 2 3 2" xfId="32007"/>
    <cellStyle name="Обычный 7 5 5 2 2 2 3 3" xfId="32008"/>
    <cellStyle name="Обычный 7 5 5 2 2 2 4" xfId="32009"/>
    <cellStyle name="Обычный 7 5 5 2 2 2 4 2" xfId="32010"/>
    <cellStyle name="Обычный 7 5 5 2 2 2 4 3" xfId="32011"/>
    <cellStyle name="Обычный 7 5 5 2 2 2 5" xfId="32012"/>
    <cellStyle name="Обычный 7 5 5 2 2 2 5 2" xfId="32013"/>
    <cellStyle name="Обычный 7 5 5 2 2 2 6" xfId="32014"/>
    <cellStyle name="Обычный 7 5 5 2 2 2 7" xfId="32015"/>
    <cellStyle name="Обычный 7 5 5 2 2 3" xfId="32016"/>
    <cellStyle name="Обычный 7 5 5 2 2 3 2" xfId="32017"/>
    <cellStyle name="Обычный 7 5 5 2 2 3 2 2" xfId="32018"/>
    <cellStyle name="Обычный 7 5 5 2 2 3 2 3" xfId="32019"/>
    <cellStyle name="Обычный 7 5 5 2 2 3 3" xfId="32020"/>
    <cellStyle name="Обычный 7 5 5 2 2 3 3 2" xfId="32021"/>
    <cellStyle name="Обычный 7 5 5 2 2 3 3 3" xfId="32022"/>
    <cellStyle name="Обычный 7 5 5 2 2 3 4" xfId="32023"/>
    <cellStyle name="Обычный 7 5 5 2 2 3 4 2" xfId="32024"/>
    <cellStyle name="Обычный 7 5 5 2 2 3 5" xfId="32025"/>
    <cellStyle name="Обычный 7 5 5 2 2 3 6" xfId="32026"/>
    <cellStyle name="Обычный 7 5 5 2 2 4" xfId="32027"/>
    <cellStyle name="Обычный 7 5 5 2 2 4 2" xfId="32028"/>
    <cellStyle name="Обычный 7 5 5 2 2 4 3" xfId="32029"/>
    <cellStyle name="Обычный 7 5 5 2 2 5" xfId="32030"/>
    <cellStyle name="Обычный 7 5 5 2 2 5 2" xfId="32031"/>
    <cellStyle name="Обычный 7 5 5 2 2 5 3" xfId="32032"/>
    <cellStyle name="Обычный 7 5 5 2 2 6" xfId="32033"/>
    <cellStyle name="Обычный 7 5 5 2 2 6 2" xfId="32034"/>
    <cellStyle name="Обычный 7 5 5 2 2 7" xfId="32035"/>
    <cellStyle name="Обычный 7 5 5 2 2 8" xfId="32036"/>
    <cellStyle name="Обычный 7 5 5 2 3" xfId="32037"/>
    <cellStyle name="Обычный 7 5 5 2 3 2" xfId="32038"/>
    <cellStyle name="Обычный 7 5 5 2 3 2 2" xfId="32039"/>
    <cellStyle name="Обычный 7 5 5 2 3 2 2 2" xfId="32040"/>
    <cellStyle name="Обычный 7 5 5 2 3 2 2 3" xfId="32041"/>
    <cellStyle name="Обычный 7 5 5 2 3 2 3" xfId="32042"/>
    <cellStyle name="Обычный 7 5 5 2 3 2 3 2" xfId="32043"/>
    <cellStyle name="Обычный 7 5 5 2 3 2 3 3" xfId="32044"/>
    <cellStyle name="Обычный 7 5 5 2 3 2 4" xfId="32045"/>
    <cellStyle name="Обычный 7 5 5 2 3 2 4 2" xfId="32046"/>
    <cellStyle name="Обычный 7 5 5 2 3 2 5" xfId="32047"/>
    <cellStyle name="Обычный 7 5 5 2 3 2 6" xfId="32048"/>
    <cellStyle name="Обычный 7 5 5 2 3 3" xfId="32049"/>
    <cellStyle name="Обычный 7 5 5 2 3 3 2" xfId="32050"/>
    <cellStyle name="Обычный 7 5 5 2 3 3 3" xfId="32051"/>
    <cellStyle name="Обычный 7 5 5 2 3 4" xfId="32052"/>
    <cellStyle name="Обычный 7 5 5 2 3 4 2" xfId="32053"/>
    <cellStyle name="Обычный 7 5 5 2 3 4 3" xfId="32054"/>
    <cellStyle name="Обычный 7 5 5 2 3 5" xfId="32055"/>
    <cellStyle name="Обычный 7 5 5 2 3 5 2" xfId="32056"/>
    <cellStyle name="Обычный 7 5 5 2 3 6" xfId="32057"/>
    <cellStyle name="Обычный 7 5 5 2 3 7" xfId="32058"/>
    <cellStyle name="Обычный 7 5 5 2 4" xfId="32059"/>
    <cellStyle name="Обычный 7 5 5 2 4 2" xfId="32060"/>
    <cellStyle name="Обычный 7 5 5 2 4 2 2" xfId="32061"/>
    <cellStyle name="Обычный 7 5 5 2 4 2 3" xfId="32062"/>
    <cellStyle name="Обычный 7 5 5 2 4 3" xfId="32063"/>
    <cellStyle name="Обычный 7 5 5 2 4 3 2" xfId="32064"/>
    <cellStyle name="Обычный 7 5 5 2 4 3 3" xfId="32065"/>
    <cellStyle name="Обычный 7 5 5 2 4 4" xfId="32066"/>
    <cellStyle name="Обычный 7 5 5 2 4 4 2" xfId="32067"/>
    <cellStyle name="Обычный 7 5 5 2 4 5" xfId="32068"/>
    <cellStyle name="Обычный 7 5 5 2 4 6" xfId="32069"/>
    <cellStyle name="Обычный 7 5 5 2 5" xfId="32070"/>
    <cellStyle name="Обычный 7 5 5 2 5 2" xfId="32071"/>
    <cellStyle name="Обычный 7 5 5 2 5 3" xfId="32072"/>
    <cellStyle name="Обычный 7 5 5 2 6" xfId="32073"/>
    <cellStyle name="Обычный 7 5 5 2 6 2" xfId="32074"/>
    <cellStyle name="Обычный 7 5 5 2 6 3" xfId="32075"/>
    <cellStyle name="Обычный 7 5 5 2 7" xfId="32076"/>
    <cellStyle name="Обычный 7 5 5 2 7 2" xfId="32077"/>
    <cellStyle name="Обычный 7 5 5 2 8" xfId="32078"/>
    <cellStyle name="Обычный 7 5 5 2 9" xfId="32079"/>
    <cellStyle name="Обычный 7 5 5 3" xfId="32080"/>
    <cellStyle name="Обычный 7 5 5 3 2" xfId="32081"/>
    <cellStyle name="Обычный 7 5 5 3 2 2" xfId="32082"/>
    <cellStyle name="Обычный 7 5 5 3 2 2 2" xfId="32083"/>
    <cellStyle name="Обычный 7 5 5 3 2 2 2 2" xfId="32084"/>
    <cellStyle name="Обычный 7 5 5 3 2 2 2 3" xfId="32085"/>
    <cellStyle name="Обычный 7 5 5 3 2 2 3" xfId="32086"/>
    <cellStyle name="Обычный 7 5 5 3 2 2 3 2" xfId="32087"/>
    <cellStyle name="Обычный 7 5 5 3 2 2 3 3" xfId="32088"/>
    <cellStyle name="Обычный 7 5 5 3 2 2 4" xfId="32089"/>
    <cellStyle name="Обычный 7 5 5 3 2 2 4 2" xfId="32090"/>
    <cellStyle name="Обычный 7 5 5 3 2 2 5" xfId="32091"/>
    <cellStyle name="Обычный 7 5 5 3 2 2 6" xfId="32092"/>
    <cellStyle name="Обычный 7 5 5 3 2 3" xfId="32093"/>
    <cellStyle name="Обычный 7 5 5 3 2 3 2" xfId="32094"/>
    <cellStyle name="Обычный 7 5 5 3 2 3 3" xfId="32095"/>
    <cellStyle name="Обычный 7 5 5 3 2 4" xfId="32096"/>
    <cellStyle name="Обычный 7 5 5 3 2 4 2" xfId="32097"/>
    <cellStyle name="Обычный 7 5 5 3 2 4 3" xfId="32098"/>
    <cellStyle name="Обычный 7 5 5 3 2 5" xfId="32099"/>
    <cellStyle name="Обычный 7 5 5 3 2 5 2" xfId="32100"/>
    <cellStyle name="Обычный 7 5 5 3 2 6" xfId="32101"/>
    <cellStyle name="Обычный 7 5 5 3 2 7" xfId="32102"/>
    <cellStyle name="Обычный 7 5 5 3 3" xfId="32103"/>
    <cellStyle name="Обычный 7 5 5 3 3 2" xfId="32104"/>
    <cellStyle name="Обычный 7 5 5 3 3 2 2" xfId="32105"/>
    <cellStyle name="Обычный 7 5 5 3 3 2 3" xfId="32106"/>
    <cellStyle name="Обычный 7 5 5 3 3 3" xfId="32107"/>
    <cellStyle name="Обычный 7 5 5 3 3 3 2" xfId="32108"/>
    <cellStyle name="Обычный 7 5 5 3 3 3 3" xfId="32109"/>
    <cellStyle name="Обычный 7 5 5 3 3 4" xfId="32110"/>
    <cellStyle name="Обычный 7 5 5 3 3 4 2" xfId="32111"/>
    <cellStyle name="Обычный 7 5 5 3 3 5" xfId="32112"/>
    <cellStyle name="Обычный 7 5 5 3 3 6" xfId="32113"/>
    <cellStyle name="Обычный 7 5 5 3 4" xfId="32114"/>
    <cellStyle name="Обычный 7 5 5 3 4 2" xfId="32115"/>
    <cellStyle name="Обычный 7 5 5 3 4 3" xfId="32116"/>
    <cellStyle name="Обычный 7 5 5 3 5" xfId="32117"/>
    <cellStyle name="Обычный 7 5 5 3 5 2" xfId="32118"/>
    <cellStyle name="Обычный 7 5 5 3 5 3" xfId="32119"/>
    <cellStyle name="Обычный 7 5 5 3 6" xfId="32120"/>
    <cellStyle name="Обычный 7 5 5 3 6 2" xfId="32121"/>
    <cellStyle name="Обычный 7 5 5 3 7" xfId="32122"/>
    <cellStyle name="Обычный 7 5 5 3 8" xfId="32123"/>
    <cellStyle name="Обычный 7 5 5 4" xfId="32124"/>
    <cellStyle name="Обычный 7 5 5 4 2" xfId="32125"/>
    <cellStyle name="Обычный 7 5 5 4 2 2" xfId="32126"/>
    <cellStyle name="Обычный 7 5 5 4 2 2 2" xfId="32127"/>
    <cellStyle name="Обычный 7 5 5 4 2 2 3" xfId="32128"/>
    <cellStyle name="Обычный 7 5 5 4 2 3" xfId="32129"/>
    <cellStyle name="Обычный 7 5 5 4 2 3 2" xfId="32130"/>
    <cellStyle name="Обычный 7 5 5 4 2 3 3" xfId="32131"/>
    <cellStyle name="Обычный 7 5 5 4 2 4" xfId="32132"/>
    <cellStyle name="Обычный 7 5 5 4 2 4 2" xfId="32133"/>
    <cellStyle name="Обычный 7 5 5 4 2 5" xfId="32134"/>
    <cellStyle name="Обычный 7 5 5 4 2 6" xfId="32135"/>
    <cellStyle name="Обычный 7 5 5 4 3" xfId="32136"/>
    <cellStyle name="Обычный 7 5 5 4 3 2" xfId="32137"/>
    <cellStyle name="Обычный 7 5 5 4 3 3" xfId="32138"/>
    <cellStyle name="Обычный 7 5 5 4 4" xfId="32139"/>
    <cellStyle name="Обычный 7 5 5 4 4 2" xfId="32140"/>
    <cellStyle name="Обычный 7 5 5 4 4 3" xfId="32141"/>
    <cellStyle name="Обычный 7 5 5 4 5" xfId="32142"/>
    <cellStyle name="Обычный 7 5 5 4 5 2" xfId="32143"/>
    <cellStyle name="Обычный 7 5 5 4 6" xfId="32144"/>
    <cellStyle name="Обычный 7 5 5 4 7" xfId="32145"/>
    <cellStyle name="Обычный 7 5 5 5" xfId="32146"/>
    <cellStyle name="Обычный 7 5 5 5 2" xfId="32147"/>
    <cellStyle name="Обычный 7 5 5 5 2 2" xfId="32148"/>
    <cellStyle name="Обычный 7 5 5 5 2 3" xfId="32149"/>
    <cellStyle name="Обычный 7 5 5 5 3" xfId="32150"/>
    <cellStyle name="Обычный 7 5 5 5 3 2" xfId="32151"/>
    <cellStyle name="Обычный 7 5 5 5 3 3" xfId="32152"/>
    <cellStyle name="Обычный 7 5 5 5 4" xfId="32153"/>
    <cellStyle name="Обычный 7 5 5 5 4 2" xfId="32154"/>
    <cellStyle name="Обычный 7 5 5 5 5" xfId="32155"/>
    <cellStyle name="Обычный 7 5 5 5 6" xfId="32156"/>
    <cellStyle name="Обычный 7 5 5 6" xfId="32157"/>
    <cellStyle name="Обычный 7 5 5 6 2" xfId="32158"/>
    <cellStyle name="Обычный 7 5 5 6 3" xfId="32159"/>
    <cellStyle name="Обычный 7 5 5 7" xfId="32160"/>
    <cellStyle name="Обычный 7 5 5 7 2" xfId="32161"/>
    <cellStyle name="Обычный 7 5 5 7 3" xfId="32162"/>
    <cellStyle name="Обычный 7 5 5 8" xfId="32163"/>
    <cellStyle name="Обычный 7 5 5 8 2" xfId="32164"/>
    <cellStyle name="Обычный 7 5 5 9" xfId="32165"/>
    <cellStyle name="Обычный 7 5 6" xfId="32166"/>
    <cellStyle name="Обычный 7 5 6 2" xfId="32167"/>
    <cellStyle name="Обычный 7 5 6 2 2" xfId="32168"/>
    <cellStyle name="Обычный 7 5 6 2 2 2" xfId="32169"/>
    <cellStyle name="Обычный 7 5 6 2 2 2 2" xfId="32170"/>
    <cellStyle name="Обычный 7 5 6 2 2 2 2 2" xfId="32171"/>
    <cellStyle name="Обычный 7 5 6 2 2 2 2 3" xfId="32172"/>
    <cellStyle name="Обычный 7 5 6 2 2 2 3" xfId="32173"/>
    <cellStyle name="Обычный 7 5 6 2 2 2 3 2" xfId="32174"/>
    <cellStyle name="Обычный 7 5 6 2 2 2 3 3" xfId="32175"/>
    <cellStyle name="Обычный 7 5 6 2 2 2 4" xfId="32176"/>
    <cellStyle name="Обычный 7 5 6 2 2 2 4 2" xfId="32177"/>
    <cellStyle name="Обычный 7 5 6 2 2 2 5" xfId="32178"/>
    <cellStyle name="Обычный 7 5 6 2 2 2 6" xfId="32179"/>
    <cellStyle name="Обычный 7 5 6 2 2 3" xfId="32180"/>
    <cellStyle name="Обычный 7 5 6 2 2 3 2" xfId="32181"/>
    <cellStyle name="Обычный 7 5 6 2 2 3 3" xfId="32182"/>
    <cellStyle name="Обычный 7 5 6 2 2 4" xfId="32183"/>
    <cellStyle name="Обычный 7 5 6 2 2 4 2" xfId="32184"/>
    <cellStyle name="Обычный 7 5 6 2 2 4 3" xfId="32185"/>
    <cellStyle name="Обычный 7 5 6 2 2 5" xfId="32186"/>
    <cellStyle name="Обычный 7 5 6 2 2 5 2" xfId="32187"/>
    <cellStyle name="Обычный 7 5 6 2 2 6" xfId="32188"/>
    <cellStyle name="Обычный 7 5 6 2 2 7" xfId="32189"/>
    <cellStyle name="Обычный 7 5 6 2 3" xfId="32190"/>
    <cellStyle name="Обычный 7 5 6 2 3 2" xfId="32191"/>
    <cellStyle name="Обычный 7 5 6 2 3 2 2" xfId="32192"/>
    <cellStyle name="Обычный 7 5 6 2 3 2 3" xfId="32193"/>
    <cellStyle name="Обычный 7 5 6 2 3 3" xfId="32194"/>
    <cellStyle name="Обычный 7 5 6 2 3 3 2" xfId="32195"/>
    <cellStyle name="Обычный 7 5 6 2 3 3 3" xfId="32196"/>
    <cellStyle name="Обычный 7 5 6 2 3 4" xfId="32197"/>
    <cellStyle name="Обычный 7 5 6 2 3 4 2" xfId="32198"/>
    <cellStyle name="Обычный 7 5 6 2 3 5" xfId="32199"/>
    <cellStyle name="Обычный 7 5 6 2 3 6" xfId="32200"/>
    <cellStyle name="Обычный 7 5 6 2 4" xfId="32201"/>
    <cellStyle name="Обычный 7 5 6 2 4 2" xfId="32202"/>
    <cellStyle name="Обычный 7 5 6 2 4 3" xfId="32203"/>
    <cellStyle name="Обычный 7 5 6 2 5" xfId="32204"/>
    <cellStyle name="Обычный 7 5 6 2 5 2" xfId="32205"/>
    <cellStyle name="Обычный 7 5 6 2 5 3" xfId="32206"/>
    <cellStyle name="Обычный 7 5 6 2 6" xfId="32207"/>
    <cellStyle name="Обычный 7 5 6 2 6 2" xfId="32208"/>
    <cellStyle name="Обычный 7 5 6 2 7" xfId="32209"/>
    <cellStyle name="Обычный 7 5 6 2 8" xfId="32210"/>
    <cellStyle name="Обычный 7 5 6 3" xfId="32211"/>
    <cellStyle name="Обычный 7 5 6 3 2" xfId="32212"/>
    <cellStyle name="Обычный 7 5 6 3 2 2" xfId="32213"/>
    <cellStyle name="Обычный 7 5 6 3 2 2 2" xfId="32214"/>
    <cellStyle name="Обычный 7 5 6 3 2 2 3" xfId="32215"/>
    <cellStyle name="Обычный 7 5 6 3 2 3" xfId="32216"/>
    <cellStyle name="Обычный 7 5 6 3 2 3 2" xfId="32217"/>
    <cellStyle name="Обычный 7 5 6 3 2 3 3" xfId="32218"/>
    <cellStyle name="Обычный 7 5 6 3 2 4" xfId="32219"/>
    <cellStyle name="Обычный 7 5 6 3 2 4 2" xfId="32220"/>
    <cellStyle name="Обычный 7 5 6 3 2 5" xfId="32221"/>
    <cellStyle name="Обычный 7 5 6 3 2 6" xfId="32222"/>
    <cellStyle name="Обычный 7 5 6 3 3" xfId="32223"/>
    <cellStyle name="Обычный 7 5 6 3 3 2" xfId="32224"/>
    <cellStyle name="Обычный 7 5 6 3 3 3" xfId="32225"/>
    <cellStyle name="Обычный 7 5 6 3 4" xfId="32226"/>
    <cellStyle name="Обычный 7 5 6 3 4 2" xfId="32227"/>
    <cellStyle name="Обычный 7 5 6 3 4 3" xfId="32228"/>
    <cellStyle name="Обычный 7 5 6 3 5" xfId="32229"/>
    <cellStyle name="Обычный 7 5 6 3 5 2" xfId="32230"/>
    <cellStyle name="Обычный 7 5 6 3 6" xfId="32231"/>
    <cellStyle name="Обычный 7 5 6 3 7" xfId="32232"/>
    <cellStyle name="Обычный 7 5 6 4" xfId="32233"/>
    <cellStyle name="Обычный 7 5 6 4 2" xfId="32234"/>
    <cellStyle name="Обычный 7 5 6 4 2 2" xfId="32235"/>
    <cellStyle name="Обычный 7 5 6 4 2 3" xfId="32236"/>
    <cellStyle name="Обычный 7 5 6 4 3" xfId="32237"/>
    <cellStyle name="Обычный 7 5 6 4 3 2" xfId="32238"/>
    <cellStyle name="Обычный 7 5 6 4 3 3" xfId="32239"/>
    <cellStyle name="Обычный 7 5 6 4 4" xfId="32240"/>
    <cellStyle name="Обычный 7 5 6 4 4 2" xfId="32241"/>
    <cellStyle name="Обычный 7 5 6 4 5" xfId="32242"/>
    <cellStyle name="Обычный 7 5 6 4 6" xfId="32243"/>
    <cellStyle name="Обычный 7 5 6 5" xfId="32244"/>
    <cellStyle name="Обычный 7 5 6 5 2" xfId="32245"/>
    <cellStyle name="Обычный 7 5 6 5 3" xfId="32246"/>
    <cellStyle name="Обычный 7 5 6 6" xfId="32247"/>
    <cellStyle name="Обычный 7 5 6 6 2" xfId="32248"/>
    <cellStyle name="Обычный 7 5 6 6 3" xfId="32249"/>
    <cellStyle name="Обычный 7 5 6 7" xfId="32250"/>
    <cellStyle name="Обычный 7 5 6 7 2" xfId="32251"/>
    <cellStyle name="Обычный 7 5 6 8" xfId="32252"/>
    <cellStyle name="Обычный 7 5 6 9" xfId="32253"/>
    <cellStyle name="Обычный 7 5 7" xfId="32254"/>
    <cellStyle name="Обычный 7 5 7 2" xfId="32255"/>
    <cellStyle name="Обычный 7 5 7 2 2" xfId="32256"/>
    <cellStyle name="Обычный 7 5 7 2 2 2" xfId="32257"/>
    <cellStyle name="Обычный 7 5 7 2 2 2 2" xfId="32258"/>
    <cellStyle name="Обычный 7 5 7 2 2 2 3" xfId="32259"/>
    <cellStyle name="Обычный 7 5 7 2 2 3" xfId="32260"/>
    <cellStyle name="Обычный 7 5 7 2 2 3 2" xfId="32261"/>
    <cellStyle name="Обычный 7 5 7 2 2 3 3" xfId="32262"/>
    <cellStyle name="Обычный 7 5 7 2 2 4" xfId="32263"/>
    <cellStyle name="Обычный 7 5 7 2 2 4 2" xfId="32264"/>
    <cellStyle name="Обычный 7 5 7 2 2 5" xfId="32265"/>
    <cellStyle name="Обычный 7 5 7 2 2 6" xfId="32266"/>
    <cellStyle name="Обычный 7 5 7 2 3" xfId="32267"/>
    <cellStyle name="Обычный 7 5 7 2 3 2" xfId="32268"/>
    <cellStyle name="Обычный 7 5 7 2 3 3" xfId="32269"/>
    <cellStyle name="Обычный 7 5 7 2 4" xfId="32270"/>
    <cellStyle name="Обычный 7 5 7 2 4 2" xfId="32271"/>
    <cellStyle name="Обычный 7 5 7 2 4 3" xfId="32272"/>
    <cellStyle name="Обычный 7 5 7 2 5" xfId="32273"/>
    <cellStyle name="Обычный 7 5 7 2 5 2" xfId="32274"/>
    <cellStyle name="Обычный 7 5 7 2 6" xfId="32275"/>
    <cellStyle name="Обычный 7 5 7 2 7" xfId="32276"/>
    <cellStyle name="Обычный 7 5 7 3" xfId="32277"/>
    <cellStyle name="Обычный 7 5 7 3 2" xfId="32278"/>
    <cellStyle name="Обычный 7 5 7 3 2 2" xfId="32279"/>
    <cellStyle name="Обычный 7 5 7 3 2 3" xfId="32280"/>
    <cellStyle name="Обычный 7 5 7 3 3" xfId="32281"/>
    <cellStyle name="Обычный 7 5 7 3 3 2" xfId="32282"/>
    <cellStyle name="Обычный 7 5 7 3 3 3" xfId="32283"/>
    <cellStyle name="Обычный 7 5 7 3 4" xfId="32284"/>
    <cellStyle name="Обычный 7 5 7 3 4 2" xfId="32285"/>
    <cellStyle name="Обычный 7 5 7 3 5" xfId="32286"/>
    <cellStyle name="Обычный 7 5 7 3 6" xfId="32287"/>
    <cellStyle name="Обычный 7 5 7 4" xfId="32288"/>
    <cellStyle name="Обычный 7 5 7 4 2" xfId="32289"/>
    <cellStyle name="Обычный 7 5 7 4 3" xfId="32290"/>
    <cellStyle name="Обычный 7 5 7 5" xfId="32291"/>
    <cellStyle name="Обычный 7 5 7 5 2" xfId="32292"/>
    <cellStyle name="Обычный 7 5 7 5 3" xfId="32293"/>
    <cellStyle name="Обычный 7 5 7 6" xfId="32294"/>
    <cellStyle name="Обычный 7 5 7 6 2" xfId="32295"/>
    <cellStyle name="Обычный 7 5 7 7" xfId="32296"/>
    <cellStyle name="Обычный 7 5 7 8" xfId="32297"/>
    <cellStyle name="Обычный 7 5 8" xfId="32298"/>
    <cellStyle name="Обычный 7 5 8 2" xfId="32299"/>
    <cellStyle name="Обычный 7 5 8 2 2" xfId="32300"/>
    <cellStyle name="Обычный 7 5 8 2 2 2" xfId="32301"/>
    <cellStyle name="Обычный 7 5 8 2 2 3" xfId="32302"/>
    <cellStyle name="Обычный 7 5 8 2 3" xfId="32303"/>
    <cellStyle name="Обычный 7 5 8 2 3 2" xfId="32304"/>
    <cellStyle name="Обычный 7 5 8 2 3 3" xfId="32305"/>
    <cellStyle name="Обычный 7 5 8 2 4" xfId="32306"/>
    <cellStyle name="Обычный 7 5 8 2 4 2" xfId="32307"/>
    <cellStyle name="Обычный 7 5 8 2 5" xfId="32308"/>
    <cellStyle name="Обычный 7 5 8 2 6" xfId="32309"/>
    <cellStyle name="Обычный 7 5 8 3" xfId="32310"/>
    <cellStyle name="Обычный 7 5 8 3 2" xfId="32311"/>
    <cellStyle name="Обычный 7 5 8 3 3" xfId="32312"/>
    <cellStyle name="Обычный 7 5 8 4" xfId="32313"/>
    <cellStyle name="Обычный 7 5 8 4 2" xfId="32314"/>
    <cellStyle name="Обычный 7 5 8 4 3" xfId="32315"/>
    <cellStyle name="Обычный 7 5 8 5" xfId="32316"/>
    <cellStyle name="Обычный 7 5 8 5 2" xfId="32317"/>
    <cellStyle name="Обычный 7 5 8 6" xfId="32318"/>
    <cellStyle name="Обычный 7 5 8 7" xfId="32319"/>
    <cellStyle name="Обычный 7 5 9" xfId="32320"/>
    <cellStyle name="Обычный 7 5 9 2" xfId="32321"/>
    <cellStyle name="Обычный 7 5 9 2 2" xfId="32322"/>
    <cellStyle name="Обычный 7 5 9 2 3" xfId="32323"/>
    <cellStyle name="Обычный 7 5 9 3" xfId="32324"/>
    <cellStyle name="Обычный 7 5 9 3 2" xfId="32325"/>
    <cellStyle name="Обычный 7 5 9 3 3" xfId="32326"/>
    <cellStyle name="Обычный 7 5 9 4" xfId="32327"/>
    <cellStyle name="Обычный 7 5 9 4 2" xfId="32328"/>
    <cellStyle name="Обычный 7 5 9 5" xfId="32329"/>
    <cellStyle name="Обычный 7 5 9 6" xfId="32330"/>
    <cellStyle name="Обычный 7 6" xfId="32331"/>
    <cellStyle name="Обычный 7 6 10" xfId="32332"/>
    <cellStyle name="Обычный 7 6 10 2" xfId="32333"/>
    <cellStyle name="Обычный 7 6 10 3" xfId="32334"/>
    <cellStyle name="Обычный 7 6 11" xfId="32335"/>
    <cellStyle name="Обычный 7 6 11 2" xfId="32336"/>
    <cellStyle name="Обычный 7 6 11 3" xfId="32337"/>
    <cellStyle name="Обычный 7 6 12" xfId="32338"/>
    <cellStyle name="Обычный 7 6 12 2" xfId="32339"/>
    <cellStyle name="Обычный 7 6 13" xfId="32340"/>
    <cellStyle name="Обычный 7 6 14" xfId="32341"/>
    <cellStyle name="Обычный 7 6 2" xfId="32342"/>
    <cellStyle name="Обычный 7 6 2 10" xfId="32343"/>
    <cellStyle name="Обычный 7 6 2 10 2" xfId="32344"/>
    <cellStyle name="Обычный 7 6 2 10 3" xfId="32345"/>
    <cellStyle name="Обычный 7 6 2 11" xfId="32346"/>
    <cellStyle name="Обычный 7 6 2 11 2" xfId="32347"/>
    <cellStyle name="Обычный 7 6 2 12" xfId="32348"/>
    <cellStyle name="Обычный 7 6 2 13" xfId="32349"/>
    <cellStyle name="Обычный 7 6 2 2" xfId="32350"/>
    <cellStyle name="Обычный 7 6 2 2 10" xfId="32351"/>
    <cellStyle name="Обычный 7 6 2 2 2" xfId="32352"/>
    <cellStyle name="Обычный 7 6 2 2 2 2" xfId="32353"/>
    <cellStyle name="Обычный 7 6 2 2 2 2 2" xfId="32354"/>
    <cellStyle name="Обычный 7 6 2 2 2 2 2 2" xfId="32355"/>
    <cellStyle name="Обычный 7 6 2 2 2 2 2 2 2" xfId="32356"/>
    <cellStyle name="Обычный 7 6 2 2 2 2 2 2 2 2" xfId="32357"/>
    <cellStyle name="Обычный 7 6 2 2 2 2 2 2 2 3" xfId="32358"/>
    <cellStyle name="Обычный 7 6 2 2 2 2 2 2 3" xfId="32359"/>
    <cellStyle name="Обычный 7 6 2 2 2 2 2 2 3 2" xfId="32360"/>
    <cellStyle name="Обычный 7 6 2 2 2 2 2 2 3 3" xfId="32361"/>
    <cellStyle name="Обычный 7 6 2 2 2 2 2 2 4" xfId="32362"/>
    <cellStyle name="Обычный 7 6 2 2 2 2 2 2 4 2" xfId="32363"/>
    <cellStyle name="Обычный 7 6 2 2 2 2 2 2 5" xfId="32364"/>
    <cellStyle name="Обычный 7 6 2 2 2 2 2 2 6" xfId="32365"/>
    <cellStyle name="Обычный 7 6 2 2 2 2 2 3" xfId="32366"/>
    <cellStyle name="Обычный 7 6 2 2 2 2 2 3 2" xfId="32367"/>
    <cellStyle name="Обычный 7 6 2 2 2 2 2 3 3" xfId="32368"/>
    <cellStyle name="Обычный 7 6 2 2 2 2 2 4" xfId="32369"/>
    <cellStyle name="Обычный 7 6 2 2 2 2 2 4 2" xfId="32370"/>
    <cellStyle name="Обычный 7 6 2 2 2 2 2 4 3" xfId="32371"/>
    <cellStyle name="Обычный 7 6 2 2 2 2 2 5" xfId="32372"/>
    <cellStyle name="Обычный 7 6 2 2 2 2 2 5 2" xfId="32373"/>
    <cellStyle name="Обычный 7 6 2 2 2 2 2 6" xfId="32374"/>
    <cellStyle name="Обычный 7 6 2 2 2 2 2 7" xfId="32375"/>
    <cellStyle name="Обычный 7 6 2 2 2 2 3" xfId="32376"/>
    <cellStyle name="Обычный 7 6 2 2 2 2 3 2" xfId="32377"/>
    <cellStyle name="Обычный 7 6 2 2 2 2 3 2 2" xfId="32378"/>
    <cellStyle name="Обычный 7 6 2 2 2 2 3 2 3" xfId="32379"/>
    <cellStyle name="Обычный 7 6 2 2 2 2 3 3" xfId="32380"/>
    <cellStyle name="Обычный 7 6 2 2 2 2 3 3 2" xfId="32381"/>
    <cellStyle name="Обычный 7 6 2 2 2 2 3 3 3" xfId="32382"/>
    <cellStyle name="Обычный 7 6 2 2 2 2 3 4" xfId="32383"/>
    <cellStyle name="Обычный 7 6 2 2 2 2 3 4 2" xfId="32384"/>
    <cellStyle name="Обычный 7 6 2 2 2 2 3 5" xfId="32385"/>
    <cellStyle name="Обычный 7 6 2 2 2 2 3 6" xfId="32386"/>
    <cellStyle name="Обычный 7 6 2 2 2 2 4" xfId="32387"/>
    <cellStyle name="Обычный 7 6 2 2 2 2 4 2" xfId="32388"/>
    <cellStyle name="Обычный 7 6 2 2 2 2 4 3" xfId="32389"/>
    <cellStyle name="Обычный 7 6 2 2 2 2 5" xfId="32390"/>
    <cellStyle name="Обычный 7 6 2 2 2 2 5 2" xfId="32391"/>
    <cellStyle name="Обычный 7 6 2 2 2 2 5 3" xfId="32392"/>
    <cellStyle name="Обычный 7 6 2 2 2 2 6" xfId="32393"/>
    <cellStyle name="Обычный 7 6 2 2 2 2 6 2" xfId="32394"/>
    <cellStyle name="Обычный 7 6 2 2 2 2 7" xfId="32395"/>
    <cellStyle name="Обычный 7 6 2 2 2 2 8" xfId="32396"/>
    <cellStyle name="Обычный 7 6 2 2 2 3" xfId="32397"/>
    <cellStyle name="Обычный 7 6 2 2 2 3 2" xfId="32398"/>
    <cellStyle name="Обычный 7 6 2 2 2 3 2 2" xfId="32399"/>
    <cellStyle name="Обычный 7 6 2 2 2 3 2 2 2" xfId="32400"/>
    <cellStyle name="Обычный 7 6 2 2 2 3 2 2 3" xfId="32401"/>
    <cellStyle name="Обычный 7 6 2 2 2 3 2 3" xfId="32402"/>
    <cellStyle name="Обычный 7 6 2 2 2 3 2 3 2" xfId="32403"/>
    <cellStyle name="Обычный 7 6 2 2 2 3 2 3 3" xfId="32404"/>
    <cellStyle name="Обычный 7 6 2 2 2 3 2 4" xfId="32405"/>
    <cellStyle name="Обычный 7 6 2 2 2 3 2 4 2" xfId="32406"/>
    <cellStyle name="Обычный 7 6 2 2 2 3 2 5" xfId="32407"/>
    <cellStyle name="Обычный 7 6 2 2 2 3 2 6" xfId="32408"/>
    <cellStyle name="Обычный 7 6 2 2 2 3 3" xfId="32409"/>
    <cellStyle name="Обычный 7 6 2 2 2 3 3 2" xfId="32410"/>
    <cellStyle name="Обычный 7 6 2 2 2 3 3 3" xfId="32411"/>
    <cellStyle name="Обычный 7 6 2 2 2 3 4" xfId="32412"/>
    <cellStyle name="Обычный 7 6 2 2 2 3 4 2" xfId="32413"/>
    <cellStyle name="Обычный 7 6 2 2 2 3 4 3" xfId="32414"/>
    <cellStyle name="Обычный 7 6 2 2 2 3 5" xfId="32415"/>
    <cellStyle name="Обычный 7 6 2 2 2 3 5 2" xfId="32416"/>
    <cellStyle name="Обычный 7 6 2 2 2 3 6" xfId="32417"/>
    <cellStyle name="Обычный 7 6 2 2 2 3 7" xfId="32418"/>
    <cellStyle name="Обычный 7 6 2 2 2 4" xfId="32419"/>
    <cellStyle name="Обычный 7 6 2 2 2 4 2" xfId="32420"/>
    <cellStyle name="Обычный 7 6 2 2 2 4 2 2" xfId="32421"/>
    <cellStyle name="Обычный 7 6 2 2 2 4 2 3" xfId="32422"/>
    <cellStyle name="Обычный 7 6 2 2 2 4 3" xfId="32423"/>
    <cellStyle name="Обычный 7 6 2 2 2 4 3 2" xfId="32424"/>
    <cellStyle name="Обычный 7 6 2 2 2 4 3 3" xfId="32425"/>
    <cellStyle name="Обычный 7 6 2 2 2 4 4" xfId="32426"/>
    <cellStyle name="Обычный 7 6 2 2 2 4 4 2" xfId="32427"/>
    <cellStyle name="Обычный 7 6 2 2 2 4 5" xfId="32428"/>
    <cellStyle name="Обычный 7 6 2 2 2 4 6" xfId="32429"/>
    <cellStyle name="Обычный 7 6 2 2 2 5" xfId="32430"/>
    <cellStyle name="Обычный 7 6 2 2 2 5 2" xfId="32431"/>
    <cellStyle name="Обычный 7 6 2 2 2 5 3" xfId="32432"/>
    <cellStyle name="Обычный 7 6 2 2 2 6" xfId="32433"/>
    <cellStyle name="Обычный 7 6 2 2 2 6 2" xfId="32434"/>
    <cellStyle name="Обычный 7 6 2 2 2 6 3" xfId="32435"/>
    <cellStyle name="Обычный 7 6 2 2 2 7" xfId="32436"/>
    <cellStyle name="Обычный 7 6 2 2 2 7 2" xfId="32437"/>
    <cellStyle name="Обычный 7 6 2 2 2 8" xfId="32438"/>
    <cellStyle name="Обычный 7 6 2 2 2 9" xfId="32439"/>
    <cellStyle name="Обычный 7 6 2 2 3" xfId="32440"/>
    <cellStyle name="Обычный 7 6 2 2 3 2" xfId="32441"/>
    <cellStyle name="Обычный 7 6 2 2 3 2 2" xfId="32442"/>
    <cellStyle name="Обычный 7 6 2 2 3 2 2 2" xfId="32443"/>
    <cellStyle name="Обычный 7 6 2 2 3 2 2 2 2" xfId="32444"/>
    <cellStyle name="Обычный 7 6 2 2 3 2 2 2 3" xfId="32445"/>
    <cellStyle name="Обычный 7 6 2 2 3 2 2 3" xfId="32446"/>
    <cellStyle name="Обычный 7 6 2 2 3 2 2 3 2" xfId="32447"/>
    <cellStyle name="Обычный 7 6 2 2 3 2 2 3 3" xfId="32448"/>
    <cellStyle name="Обычный 7 6 2 2 3 2 2 4" xfId="32449"/>
    <cellStyle name="Обычный 7 6 2 2 3 2 2 4 2" xfId="32450"/>
    <cellStyle name="Обычный 7 6 2 2 3 2 2 5" xfId="32451"/>
    <cellStyle name="Обычный 7 6 2 2 3 2 2 6" xfId="32452"/>
    <cellStyle name="Обычный 7 6 2 2 3 2 3" xfId="32453"/>
    <cellStyle name="Обычный 7 6 2 2 3 2 3 2" xfId="32454"/>
    <cellStyle name="Обычный 7 6 2 2 3 2 3 3" xfId="32455"/>
    <cellStyle name="Обычный 7 6 2 2 3 2 4" xfId="32456"/>
    <cellStyle name="Обычный 7 6 2 2 3 2 4 2" xfId="32457"/>
    <cellStyle name="Обычный 7 6 2 2 3 2 4 3" xfId="32458"/>
    <cellStyle name="Обычный 7 6 2 2 3 2 5" xfId="32459"/>
    <cellStyle name="Обычный 7 6 2 2 3 2 5 2" xfId="32460"/>
    <cellStyle name="Обычный 7 6 2 2 3 2 6" xfId="32461"/>
    <cellStyle name="Обычный 7 6 2 2 3 2 7" xfId="32462"/>
    <cellStyle name="Обычный 7 6 2 2 3 3" xfId="32463"/>
    <cellStyle name="Обычный 7 6 2 2 3 3 2" xfId="32464"/>
    <cellStyle name="Обычный 7 6 2 2 3 3 2 2" xfId="32465"/>
    <cellStyle name="Обычный 7 6 2 2 3 3 2 3" xfId="32466"/>
    <cellStyle name="Обычный 7 6 2 2 3 3 3" xfId="32467"/>
    <cellStyle name="Обычный 7 6 2 2 3 3 3 2" xfId="32468"/>
    <cellStyle name="Обычный 7 6 2 2 3 3 3 3" xfId="32469"/>
    <cellStyle name="Обычный 7 6 2 2 3 3 4" xfId="32470"/>
    <cellStyle name="Обычный 7 6 2 2 3 3 4 2" xfId="32471"/>
    <cellStyle name="Обычный 7 6 2 2 3 3 5" xfId="32472"/>
    <cellStyle name="Обычный 7 6 2 2 3 3 6" xfId="32473"/>
    <cellStyle name="Обычный 7 6 2 2 3 4" xfId="32474"/>
    <cellStyle name="Обычный 7 6 2 2 3 4 2" xfId="32475"/>
    <cellStyle name="Обычный 7 6 2 2 3 4 3" xfId="32476"/>
    <cellStyle name="Обычный 7 6 2 2 3 5" xfId="32477"/>
    <cellStyle name="Обычный 7 6 2 2 3 5 2" xfId="32478"/>
    <cellStyle name="Обычный 7 6 2 2 3 5 3" xfId="32479"/>
    <cellStyle name="Обычный 7 6 2 2 3 6" xfId="32480"/>
    <cellStyle name="Обычный 7 6 2 2 3 6 2" xfId="32481"/>
    <cellStyle name="Обычный 7 6 2 2 3 7" xfId="32482"/>
    <cellStyle name="Обычный 7 6 2 2 3 8" xfId="32483"/>
    <cellStyle name="Обычный 7 6 2 2 4" xfId="32484"/>
    <cellStyle name="Обычный 7 6 2 2 4 2" xfId="32485"/>
    <cellStyle name="Обычный 7 6 2 2 4 2 2" xfId="32486"/>
    <cellStyle name="Обычный 7 6 2 2 4 2 2 2" xfId="32487"/>
    <cellStyle name="Обычный 7 6 2 2 4 2 2 3" xfId="32488"/>
    <cellStyle name="Обычный 7 6 2 2 4 2 3" xfId="32489"/>
    <cellStyle name="Обычный 7 6 2 2 4 2 3 2" xfId="32490"/>
    <cellStyle name="Обычный 7 6 2 2 4 2 3 3" xfId="32491"/>
    <cellStyle name="Обычный 7 6 2 2 4 2 4" xfId="32492"/>
    <cellStyle name="Обычный 7 6 2 2 4 2 4 2" xfId="32493"/>
    <cellStyle name="Обычный 7 6 2 2 4 2 5" xfId="32494"/>
    <cellStyle name="Обычный 7 6 2 2 4 2 6" xfId="32495"/>
    <cellStyle name="Обычный 7 6 2 2 4 3" xfId="32496"/>
    <cellStyle name="Обычный 7 6 2 2 4 3 2" xfId="32497"/>
    <cellStyle name="Обычный 7 6 2 2 4 3 3" xfId="32498"/>
    <cellStyle name="Обычный 7 6 2 2 4 4" xfId="32499"/>
    <cellStyle name="Обычный 7 6 2 2 4 4 2" xfId="32500"/>
    <cellStyle name="Обычный 7 6 2 2 4 4 3" xfId="32501"/>
    <cellStyle name="Обычный 7 6 2 2 4 5" xfId="32502"/>
    <cellStyle name="Обычный 7 6 2 2 4 5 2" xfId="32503"/>
    <cellStyle name="Обычный 7 6 2 2 4 6" xfId="32504"/>
    <cellStyle name="Обычный 7 6 2 2 4 7" xfId="32505"/>
    <cellStyle name="Обычный 7 6 2 2 5" xfId="32506"/>
    <cellStyle name="Обычный 7 6 2 2 5 2" xfId="32507"/>
    <cellStyle name="Обычный 7 6 2 2 5 2 2" xfId="32508"/>
    <cellStyle name="Обычный 7 6 2 2 5 2 3" xfId="32509"/>
    <cellStyle name="Обычный 7 6 2 2 5 3" xfId="32510"/>
    <cellStyle name="Обычный 7 6 2 2 5 3 2" xfId="32511"/>
    <cellStyle name="Обычный 7 6 2 2 5 3 3" xfId="32512"/>
    <cellStyle name="Обычный 7 6 2 2 5 4" xfId="32513"/>
    <cellStyle name="Обычный 7 6 2 2 5 4 2" xfId="32514"/>
    <cellStyle name="Обычный 7 6 2 2 5 5" xfId="32515"/>
    <cellStyle name="Обычный 7 6 2 2 5 6" xfId="32516"/>
    <cellStyle name="Обычный 7 6 2 2 6" xfId="32517"/>
    <cellStyle name="Обычный 7 6 2 2 6 2" xfId="32518"/>
    <cellStyle name="Обычный 7 6 2 2 6 3" xfId="32519"/>
    <cellStyle name="Обычный 7 6 2 2 7" xfId="32520"/>
    <cellStyle name="Обычный 7 6 2 2 7 2" xfId="32521"/>
    <cellStyle name="Обычный 7 6 2 2 7 3" xfId="32522"/>
    <cellStyle name="Обычный 7 6 2 2 8" xfId="32523"/>
    <cellStyle name="Обычный 7 6 2 2 8 2" xfId="32524"/>
    <cellStyle name="Обычный 7 6 2 2 9" xfId="32525"/>
    <cellStyle name="Обычный 7 6 2 3" xfId="32526"/>
    <cellStyle name="Обычный 7 6 2 3 10" xfId="32527"/>
    <cellStyle name="Обычный 7 6 2 3 2" xfId="32528"/>
    <cellStyle name="Обычный 7 6 2 3 2 2" xfId="32529"/>
    <cellStyle name="Обычный 7 6 2 3 2 2 2" xfId="32530"/>
    <cellStyle name="Обычный 7 6 2 3 2 2 2 2" xfId="32531"/>
    <cellStyle name="Обычный 7 6 2 3 2 2 2 2 2" xfId="32532"/>
    <cellStyle name="Обычный 7 6 2 3 2 2 2 2 2 2" xfId="32533"/>
    <cellStyle name="Обычный 7 6 2 3 2 2 2 2 2 3" xfId="32534"/>
    <cellStyle name="Обычный 7 6 2 3 2 2 2 2 3" xfId="32535"/>
    <cellStyle name="Обычный 7 6 2 3 2 2 2 2 3 2" xfId="32536"/>
    <cellStyle name="Обычный 7 6 2 3 2 2 2 2 3 3" xfId="32537"/>
    <cellStyle name="Обычный 7 6 2 3 2 2 2 2 4" xfId="32538"/>
    <cellStyle name="Обычный 7 6 2 3 2 2 2 2 4 2" xfId="32539"/>
    <cellStyle name="Обычный 7 6 2 3 2 2 2 2 5" xfId="32540"/>
    <cellStyle name="Обычный 7 6 2 3 2 2 2 2 6" xfId="32541"/>
    <cellStyle name="Обычный 7 6 2 3 2 2 2 3" xfId="32542"/>
    <cellStyle name="Обычный 7 6 2 3 2 2 2 3 2" xfId="32543"/>
    <cellStyle name="Обычный 7 6 2 3 2 2 2 3 3" xfId="32544"/>
    <cellStyle name="Обычный 7 6 2 3 2 2 2 4" xfId="32545"/>
    <cellStyle name="Обычный 7 6 2 3 2 2 2 4 2" xfId="32546"/>
    <cellStyle name="Обычный 7 6 2 3 2 2 2 4 3" xfId="32547"/>
    <cellStyle name="Обычный 7 6 2 3 2 2 2 5" xfId="32548"/>
    <cellStyle name="Обычный 7 6 2 3 2 2 2 5 2" xfId="32549"/>
    <cellStyle name="Обычный 7 6 2 3 2 2 2 6" xfId="32550"/>
    <cellStyle name="Обычный 7 6 2 3 2 2 2 7" xfId="32551"/>
    <cellStyle name="Обычный 7 6 2 3 2 2 3" xfId="32552"/>
    <cellStyle name="Обычный 7 6 2 3 2 2 3 2" xfId="32553"/>
    <cellStyle name="Обычный 7 6 2 3 2 2 3 2 2" xfId="32554"/>
    <cellStyle name="Обычный 7 6 2 3 2 2 3 2 3" xfId="32555"/>
    <cellStyle name="Обычный 7 6 2 3 2 2 3 3" xfId="32556"/>
    <cellStyle name="Обычный 7 6 2 3 2 2 3 3 2" xfId="32557"/>
    <cellStyle name="Обычный 7 6 2 3 2 2 3 3 3" xfId="32558"/>
    <cellStyle name="Обычный 7 6 2 3 2 2 3 4" xfId="32559"/>
    <cellStyle name="Обычный 7 6 2 3 2 2 3 4 2" xfId="32560"/>
    <cellStyle name="Обычный 7 6 2 3 2 2 3 5" xfId="32561"/>
    <cellStyle name="Обычный 7 6 2 3 2 2 3 6" xfId="32562"/>
    <cellStyle name="Обычный 7 6 2 3 2 2 4" xfId="32563"/>
    <cellStyle name="Обычный 7 6 2 3 2 2 4 2" xfId="32564"/>
    <cellStyle name="Обычный 7 6 2 3 2 2 4 3" xfId="32565"/>
    <cellStyle name="Обычный 7 6 2 3 2 2 5" xfId="32566"/>
    <cellStyle name="Обычный 7 6 2 3 2 2 5 2" xfId="32567"/>
    <cellStyle name="Обычный 7 6 2 3 2 2 5 3" xfId="32568"/>
    <cellStyle name="Обычный 7 6 2 3 2 2 6" xfId="32569"/>
    <cellStyle name="Обычный 7 6 2 3 2 2 6 2" xfId="32570"/>
    <cellStyle name="Обычный 7 6 2 3 2 2 7" xfId="32571"/>
    <cellStyle name="Обычный 7 6 2 3 2 2 8" xfId="32572"/>
    <cellStyle name="Обычный 7 6 2 3 2 3" xfId="32573"/>
    <cellStyle name="Обычный 7 6 2 3 2 3 2" xfId="32574"/>
    <cellStyle name="Обычный 7 6 2 3 2 3 2 2" xfId="32575"/>
    <cellStyle name="Обычный 7 6 2 3 2 3 2 2 2" xfId="32576"/>
    <cellStyle name="Обычный 7 6 2 3 2 3 2 2 3" xfId="32577"/>
    <cellStyle name="Обычный 7 6 2 3 2 3 2 3" xfId="32578"/>
    <cellStyle name="Обычный 7 6 2 3 2 3 2 3 2" xfId="32579"/>
    <cellStyle name="Обычный 7 6 2 3 2 3 2 3 3" xfId="32580"/>
    <cellStyle name="Обычный 7 6 2 3 2 3 2 4" xfId="32581"/>
    <cellStyle name="Обычный 7 6 2 3 2 3 2 4 2" xfId="32582"/>
    <cellStyle name="Обычный 7 6 2 3 2 3 2 5" xfId="32583"/>
    <cellStyle name="Обычный 7 6 2 3 2 3 2 6" xfId="32584"/>
    <cellStyle name="Обычный 7 6 2 3 2 3 3" xfId="32585"/>
    <cellStyle name="Обычный 7 6 2 3 2 3 3 2" xfId="32586"/>
    <cellStyle name="Обычный 7 6 2 3 2 3 3 3" xfId="32587"/>
    <cellStyle name="Обычный 7 6 2 3 2 3 4" xfId="32588"/>
    <cellStyle name="Обычный 7 6 2 3 2 3 4 2" xfId="32589"/>
    <cellStyle name="Обычный 7 6 2 3 2 3 4 3" xfId="32590"/>
    <cellStyle name="Обычный 7 6 2 3 2 3 5" xfId="32591"/>
    <cellStyle name="Обычный 7 6 2 3 2 3 5 2" xfId="32592"/>
    <cellStyle name="Обычный 7 6 2 3 2 3 6" xfId="32593"/>
    <cellStyle name="Обычный 7 6 2 3 2 3 7" xfId="32594"/>
    <cellStyle name="Обычный 7 6 2 3 2 4" xfId="32595"/>
    <cellStyle name="Обычный 7 6 2 3 2 4 2" xfId="32596"/>
    <cellStyle name="Обычный 7 6 2 3 2 4 2 2" xfId="32597"/>
    <cellStyle name="Обычный 7 6 2 3 2 4 2 3" xfId="32598"/>
    <cellStyle name="Обычный 7 6 2 3 2 4 3" xfId="32599"/>
    <cellStyle name="Обычный 7 6 2 3 2 4 3 2" xfId="32600"/>
    <cellStyle name="Обычный 7 6 2 3 2 4 3 3" xfId="32601"/>
    <cellStyle name="Обычный 7 6 2 3 2 4 4" xfId="32602"/>
    <cellStyle name="Обычный 7 6 2 3 2 4 4 2" xfId="32603"/>
    <cellStyle name="Обычный 7 6 2 3 2 4 5" xfId="32604"/>
    <cellStyle name="Обычный 7 6 2 3 2 4 6" xfId="32605"/>
    <cellStyle name="Обычный 7 6 2 3 2 5" xfId="32606"/>
    <cellStyle name="Обычный 7 6 2 3 2 5 2" xfId="32607"/>
    <cellStyle name="Обычный 7 6 2 3 2 5 3" xfId="32608"/>
    <cellStyle name="Обычный 7 6 2 3 2 6" xfId="32609"/>
    <cellStyle name="Обычный 7 6 2 3 2 6 2" xfId="32610"/>
    <cellStyle name="Обычный 7 6 2 3 2 6 3" xfId="32611"/>
    <cellStyle name="Обычный 7 6 2 3 2 7" xfId="32612"/>
    <cellStyle name="Обычный 7 6 2 3 2 7 2" xfId="32613"/>
    <cellStyle name="Обычный 7 6 2 3 2 8" xfId="32614"/>
    <cellStyle name="Обычный 7 6 2 3 2 9" xfId="32615"/>
    <cellStyle name="Обычный 7 6 2 3 3" xfId="32616"/>
    <cellStyle name="Обычный 7 6 2 3 3 2" xfId="32617"/>
    <cellStyle name="Обычный 7 6 2 3 3 2 2" xfId="32618"/>
    <cellStyle name="Обычный 7 6 2 3 3 2 2 2" xfId="32619"/>
    <cellStyle name="Обычный 7 6 2 3 3 2 2 2 2" xfId="32620"/>
    <cellStyle name="Обычный 7 6 2 3 3 2 2 2 3" xfId="32621"/>
    <cellStyle name="Обычный 7 6 2 3 3 2 2 3" xfId="32622"/>
    <cellStyle name="Обычный 7 6 2 3 3 2 2 3 2" xfId="32623"/>
    <cellStyle name="Обычный 7 6 2 3 3 2 2 3 3" xfId="32624"/>
    <cellStyle name="Обычный 7 6 2 3 3 2 2 4" xfId="32625"/>
    <cellStyle name="Обычный 7 6 2 3 3 2 2 4 2" xfId="32626"/>
    <cellStyle name="Обычный 7 6 2 3 3 2 2 5" xfId="32627"/>
    <cellStyle name="Обычный 7 6 2 3 3 2 2 6" xfId="32628"/>
    <cellStyle name="Обычный 7 6 2 3 3 2 3" xfId="32629"/>
    <cellStyle name="Обычный 7 6 2 3 3 2 3 2" xfId="32630"/>
    <cellStyle name="Обычный 7 6 2 3 3 2 3 3" xfId="32631"/>
    <cellStyle name="Обычный 7 6 2 3 3 2 4" xfId="32632"/>
    <cellStyle name="Обычный 7 6 2 3 3 2 4 2" xfId="32633"/>
    <cellStyle name="Обычный 7 6 2 3 3 2 4 3" xfId="32634"/>
    <cellStyle name="Обычный 7 6 2 3 3 2 5" xfId="32635"/>
    <cellStyle name="Обычный 7 6 2 3 3 2 5 2" xfId="32636"/>
    <cellStyle name="Обычный 7 6 2 3 3 2 6" xfId="32637"/>
    <cellStyle name="Обычный 7 6 2 3 3 2 7" xfId="32638"/>
    <cellStyle name="Обычный 7 6 2 3 3 3" xfId="32639"/>
    <cellStyle name="Обычный 7 6 2 3 3 3 2" xfId="32640"/>
    <cellStyle name="Обычный 7 6 2 3 3 3 2 2" xfId="32641"/>
    <cellStyle name="Обычный 7 6 2 3 3 3 2 3" xfId="32642"/>
    <cellStyle name="Обычный 7 6 2 3 3 3 3" xfId="32643"/>
    <cellStyle name="Обычный 7 6 2 3 3 3 3 2" xfId="32644"/>
    <cellStyle name="Обычный 7 6 2 3 3 3 3 3" xfId="32645"/>
    <cellStyle name="Обычный 7 6 2 3 3 3 4" xfId="32646"/>
    <cellStyle name="Обычный 7 6 2 3 3 3 4 2" xfId="32647"/>
    <cellStyle name="Обычный 7 6 2 3 3 3 5" xfId="32648"/>
    <cellStyle name="Обычный 7 6 2 3 3 3 6" xfId="32649"/>
    <cellStyle name="Обычный 7 6 2 3 3 4" xfId="32650"/>
    <cellStyle name="Обычный 7 6 2 3 3 4 2" xfId="32651"/>
    <cellStyle name="Обычный 7 6 2 3 3 4 3" xfId="32652"/>
    <cellStyle name="Обычный 7 6 2 3 3 5" xfId="32653"/>
    <cellStyle name="Обычный 7 6 2 3 3 5 2" xfId="32654"/>
    <cellStyle name="Обычный 7 6 2 3 3 5 3" xfId="32655"/>
    <cellStyle name="Обычный 7 6 2 3 3 6" xfId="32656"/>
    <cellStyle name="Обычный 7 6 2 3 3 6 2" xfId="32657"/>
    <cellStyle name="Обычный 7 6 2 3 3 7" xfId="32658"/>
    <cellStyle name="Обычный 7 6 2 3 3 8" xfId="32659"/>
    <cellStyle name="Обычный 7 6 2 3 4" xfId="32660"/>
    <cellStyle name="Обычный 7 6 2 3 4 2" xfId="32661"/>
    <cellStyle name="Обычный 7 6 2 3 4 2 2" xfId="32662"/>
    <cellStyle name="Обычный 7 6 2 3 4 2 2 2" xfId="32663"/>
    <cellStyle name="Обычный 7 6 2 3 4 2 2 3" xfId="32664"/>
    <cellStyle name="Обычный 7 6 2 3 4 2 3" xfId="32665"/>
    <cellStyle name="Обычный 7 6 2 3 4 2 3 2" xfId="32666"/>
    <cellStyle name="Обычный 7 6 2 3 4 2 3 3" xfId="32667"/>
    <cellStyle name="Обычный 7 6 2 3 4 2 4" xfId="32668"/>
    <cellStyle name="Обычный 7 6 2 3 4 2 4 2" xfId="32669"/>
    <cellStyle name="Обычный 7 6 2 3 4 2 5" xfId="32670"/>
    <cellStyle name="Обычный 7 6 2 3 4 2 6" xfId="32671"/>
    <cellStyle name="Обычный 7 6 2 3 4 3" xfId="32672"/>
    <cellStyle name="Обычный 7 6 2 3 4 3 2" xfId="32673"/>
    <cellStyle name="Обычный 7 6 2 3 4 3 3" xfId="32674"/>
    <cellStyle name="Обычный 7 6 2 3 4 4" xfId="32675"/>
    <cellStyle name="Обычный 7 6 2 3 4 4 2" xfId="32676"/>
    <cellStyle name="Обычный 7 6 2 3 4 4 3" xfId="32677"/>
    <cellStyle name="Обычный 7 6 2 3 4 5" xfId="32678"/>
    <cellStyle name="Обычный 7 6 2 3 4 5 2" xfId="32679"/>
    <cellStyle name="Обычный 7 6 2 3 4 6" xfId="32680"/>
    <cellStyle name="Обычный 7 6 2 3 4 7" xfId="32681"/>
    <cellStyle name="Обычный 7 6 2 3 5" xfId="32682"/>
    <cellStyle name="Обычный 7 6 2 3 5 2" xfId="32683"/>
    <cellStyle name="Обычный 7 6 2 3 5 2 2" xfId="32684"/>
    <cellStyle name="Обычный 7 6 2 3 5 2 3" xfId="32685"/>
    <cellStyle name="Обычный 7 6 2 3 5 3" xfId="32686"/>
    <cellStyle name="Обычный 7 6 2 3 5 3 2" xfId="32687"/>
    <cellStyle name="Обычный 7 6 2 3 5 3 3" xfId="32688"/>
    <cellStyle name="Обычный 7 6 2 3 5 4" xfId="32689"/>
    <cellStyle name="Обычный 7 6 2 3 5 4 2" xfId="32690"/>
    <cellStyle name="Обычный 7 6 2 3 5 5" xfId="32691"/>
    <cellStyle name="Обычный 7 6 2 3 5 6" xfId="32692"/>
    <cellStyle name="Обычный 7 6 2 3 6" xfId="32693"/>
    <cellStyle name="Обычный 7 6 2 3 6 2" xfId="32694"/>
    <cellStyle name="Обычный 7 6 2 3 6 3" xfId="32695"/>
    <cellStyle name="Обычный 7 6 2 3 7" xfId="32696"/>
    <cellStyle name="Обычный 7 6 2 3 7 2" xfId="32697"/>
    <cellStyle name="Обычный 7 6 2 3 7 3" xfId="32698"/>
    <cellStyle name="Обычный 7 6 2 3 8" xfId="32699"/>
    <cellStyle name="Обычный 7 6 2 3 8 2" xfId="32700"/>
    <cellStyle name="Обычный 7 6 2 3 9" xfId="32701"/>
    <cellStyle name="Обычный 7 6 2 4" xfId="32702"/>
    <cellStyle name="Обычный 7 6 2 4 10" xfId="32703"/>
    <cellStyle name="Обычный 7 6 2 4 2" xfId="32704"/>
    <cellStyle name="Обычный 7 6 2 4 2 2" xfId="32705"/>
    <cellStyle name="Обычный 7 6 2 4 2 2 2" xfId="32706"/>
    <cellStyle name="Обычный 7 6 2 4 2 2 2 2" xfId="32707"/>
    <cellStyle name="Обычный 7 6 2 4 2 2 2 2 2" xfId="32708"/>
    <cellStyle name="Обычный 7 6 2 4 2 2 2 2 2 2" xfId="32709"/>
    <cellStyle name="Обычный 7 6 2 4 2 2 2 2 2 3" xfId="32710"/>
    <cellStyle name="Обычный 7 6 2 4 2 2 2 2 3" xfId="32711"/>
    <cellStyle name="Обычный 7 6 2 4 2 2 2 2 3 2" xfId="32712"/>
    <cellStyle name="Обычный 7 6 2 4 2 2 2 2 3 3" xfId="32713"/>
    <cellStyle name="Обычный 7 6 2 4 2 2 2 2 4" xfId="32714"/>
    <cellStyle name="Обычный 7 6 2 4 2 2 2 2 4 2" xfId="32715"/>
    <cellStyle name="Обычный 7 6 2 4 2 2 2 2 5" xfId="32716"/>
    <cellStyle name="Обычный 7 6 2 4 2 2 2 2 6" xfId="32717"/>
    <cellStyle name="Обычный 7 6 2 4 2 2 2 3" xfId="32718"/>
    <cellStyle name="Обычный 7 6 2 4 2 2 2 3 2" xfId="32719"/>
    <cellStyle name="Обычный 7 6 2 4 2 2 2 3 3" xfId="32720"/>
    <cellStyle name="Обычный 7 6 2 4 2 2 2 4" xfId="32721"/>
    <cellStyle name="Обычный 7 6 2 4 2 2 2 4 2" xfId="32722"/>
    <cellStyle name="Обычный 7 6 2 4 2 2 2 4 3" xfId="32723"/>
    <cellStyle name="Обычный 7 6 2 4 2 2 2 5" xfId="32724"/>
    <cellStyle name="Обычный 7 6 2 4 2 2 2 5 2" xfId="32725"/>
    <cellStyle name="Обычный 7 6 2 4 2 2 2 6" xfId="32726"/>
    <cellStyle name="Обычный 7 6 2 4 2 2 2 7" xfId="32727"/>
    <cellStyle name="Обычный 7 6 2 4 2 2 3" xfId="32728"/>
    <cellStyle name="Обычный 7 6 2 4 2 2 3 2" xfId="32729"/>
    <cellStyle name="Обычный 7 6 2 4 2 2 3 2 2" xfId="32730"/>
    <cellStyle name="Обычный 7 6 2 4 2 2 3 2 3" xfId="32731"/>
    <cellStyle name="Обычный 7 6 2 4 2 2 3 3" xfId="32732"/>
    <cellStyle name="Обычный 7 6 2 4 2 2 3 3 2" xfId="32733"/>
    <cellStyle name="Обычный 7 6 2 4 2 2 3 3 3" xfId="32734"/>
    <cellStyle name="Обычный 7 6 2 4 2 2 3 4" xfId="32735"/>
    <cellStyle name="Обычный 7 6 2 4 2 2 3 4 2" xfId="32736"/>
    <cellStyle name="Обычный 7 6 2 4 2 2 3 5" xfId="32737"/>
    <cellStyle name="Обычный 7 6 2 4 2 2 3 6" xfId="32738"/>
    <cellStyle name="Обычный 7 6 2 4 2 2 4" xfId="32739"/>
    <cellStyle name="Обычный 7 6 2 4 2 2 4 2" xfId="32740"/>
    <cellStyle name="Обычный 7 6 2 4 2 2 4 3" xfId="32741"/>
    <cellStyle name="Обычный 7 6 2 4 2 2 5" xfId="32742"/>
    <cellStyle name="Обычный 7 6 2 4 2 2 5 2" xfId="32743"/>
    <cellStyle name="Обычный 7 6 2 4 2 2 5 3" xfId="32744"/>
    <cellStyle name="Обычный 7 6 2 4 2 2 6" xfId="32745"/>
    <cellStyle name="Обычный 7 6 2 4 2 2 6 2" xfId="32746"/>
    <cellStyle name="Обычный 7 6 2 4 2 2 7" xfId="32747"/>
    <cellStyle name="Обычный 7 6 2 4 2 2 8" xfId="32748"/>
    <cellStyle name="Обычный 7 6 2 4 2 3" xfId="32749"/>
    <cellStyle name="Обычный 7 6 2 4 2 3 2" xfId="32750"/>
    <cellStyle name="Обычный 7 6 2 4 2 3 2 2" xfId="32751"/>
    <cellStyle name="Обычный 7 6 2 4 2 3 2 2 2" xfId="32752"/>
    <cellStyle name="Обычный 7 6 2 4 2 3 2 2 3" xfId="32753"/>
    <cellStyle name="Обычный 7 6 2 4 2 3 2 3" xfId="32754"/>
    <cellStyle name="Обычный 7 6 2 4 2 3 2 3 2" xfId="32755"/>
    <cellStyle name="Обычный 7 6 2 4 2 3 2 3 3" xfId="32756"/>
    <cellStyle name="Обычный 7 6 2 4 2 3 2 4" xfId="32757"/>
    <cellStyle name="Обычный 7 6 2 4 2 3 2 4 2" xfId="32758"/>
    <cellStyle name="Обычный 7 6 2 4 2 3 2 5" xfId="32759"/>
    <cellStyle name="Обычный 7 6 2 4 2 3 2 6" xfId="32760"/>
    <cellStyle name="Обычный 7 6 2 4 2 3 3" xfId="32761"/>
    <cellStyle name="Обычный 7 6 2 4 2 3 3 2" xfId="32762"/>
    <cellStyle name="Обычный 7 6 2 4 2 3 3 3" xfId="32763"/>
    <cellStyle name="Обычный 7 6 2 4 2 3 4" xfId="32764"/>
    <cellStyle name="Обычный 7 6 2 4 2 3 4 2" xfId="32765"/>
    <cellStyle name="Обычный 7 6 2 4 2 3 4 3" xfId="32766"/>
    <cellStyle name="Обычный 7 6 2 4 2 3 5" xfId="32767"/>
    <cellStyle name="Обычный 7 6 2 4 2 3 5 2" xfId="32768"/>
    <cellStyle name="Обычный 7 6 2 4 2 3 6" xfId="32769"/>
    <cellStyle name="Обычный 7 6 2 4 2 3 7" xfId="32770"/>
    <cellStyle name="Обычный 7 6 2 4 2 4" xfId="32771"/>
    <cellStyle name="Обычный 7 6 2 4 2 4 2" xfId="32772"/>
    <cellStyle name="Обычный 7 6 2 4 2 4 2 2" xfId="32773"/>
    <cellStyle name="Обычный 7 6 2 4 2 4 2 3" xfId="32774"/>
    <cellStyle name="Обычный 7 6 2 4 2 4 3" xfId="32775"/>
    <cellStyle name="Обычный 7 6 2 4 2 4 3 2" xfId="32776"/>
    <cellStyle name="Обычный 7 6 2 4 2 4 3 3" xfId="32777"/>
    <cellStyle name="Обычный 7 6 2 4 2 4 4" xfId="32778"/>
    <cellStyle name="Обычный 7 6 2 4 2 4 4 2" xfId="32779"/>
    <cellStyle name="Обычный 7 6 2 4 2 4 5" xfId="32780"/>
    <cellStyle name="Обычный 7 6 2 4 2 4 6" xfId="32781"/>
    <cellStyle name="Обычный 7 6 2 4 2 5" xfId="32782"/>
    <cellStyle name="Обычный 7 6 2 4 2 5 2" xfId="32783"/>
    <cellStyle name="Обычный 7 6 2 4 2 5 3" xfId="32784"/>
    <cellStyle name="Обычный 7 6 2 4 2 6" xfId="32785"/>
    <cellStyle name="Обычный 7 6 2 4 2 6 2" xfId="32786"/>
    <cellStyle name="Обычный 7 6 2 4 2 6 3" xfId="32787"/>
    <cellStyle name="Обычный 7 6 2 4 2 7" xfId="32788"/>
    <cellStyle name="Обычный 7 6 2 4 2 7 2" xfId="32789"/>
    <cellStyle name="Обычный 7 6 2 4 2 8" xfId="32790"/>
    <cellStyle name="Обычный 7 6 2 4 2 9" xfId="32791"/>
    <cellStyle name="Обычный 7 6 2 4 3" xfId="32792"/>
    <cellStyle name="Обычный 7 6 2 4 3 2" xfId="32793"/>
    <cellStyle name="Обычный 7 6 2 4 3 2 2" xfId="32794"/>
    <cellStyle name="Обычный 7 6 2 4 3 2 2 2" xfId="32795"/>
    <cellStyle name="Обычный 7 6 2 4 3 2 2 2 2" xfId="32796"/>
    <cellStyle name="Обычный 7 6 2 4 3 2 2 2 3" xfId="32797"/>
    <cellStyle name="Обычный 7 6 2 4 3 2 2 3" xfId="32798"/>
    <cellStyle name="Обычный 7 6 2 4 3 2 2 3 2" xfId="32799"/>
    <cellStyle name="Обычный 7 6 2 4 3 2 2 3 3" xfId="32800"/>
    <cellStyle name="Обычный 7 6 2 4 3 2 2 4" xfId="32801"/>
    <cellStyle name="Обычный 7 6 2 4 3 2 2 4 2" xfId="32802"/>
    <cellStyle name="Обычный 7 6 2 4 3 2 2 5" xfId="32803"/>
    <cellStyle name="Обычный 7 6 2 4 3 2 2 6" xfId="32804"/>
    <cellStyle name="Обычный 7 6 2 4 3 2 3" xfId="32805"/>
    <cellStyle name="Обычный 7 6 2 4 3 2 3 2" xfId="32806"/>
    <cellStyle name="Обычный 7 6 2 4 3 2 3 3" xfId="32807"/>
    <cellStyle name="Обычный 7 6 2 4 3 2 4" xfId="32808"/>
    <cellStyle name="Обычный 7 6 2 4 3 2 4 2" xfId="32809"/>
    <cellStyle name="Обычный 7 6 2 4 3 2 4 3" xfId="32810"/>
    <cellStyle name="Обычный 7 6 2 4 3 2 5" xfId="32811"/>
    <cellStyle name="Обычный 7 6 2 4 3 2 5 2" xfId="32812"/>
    <cellStyle name="Обычный 7 6 2 4 3 2 6" xfId="32813"/>
    <cellStyle name="Обычный 7 6 2 4 3 2 7" xfId="32814"/>
    <cellStyle name="Обычный 7 6 2 4 3 3" xfId="32815"/>
    <cellStyle name="Обычный 7 6 2 4 3 3 2" xfId="32816"/>
    <cellStyle name="Обычный 7 6 2 4 3 3 2 2" xfId="32817"/>
    <cellStyle name="Обычный 7 6 2 4 3 3 2 3" xfId="32818"/>
    <cellStyle name="Обычный 7 6 2 4 3 3 3" xfId="32819"/>
    <cellStyle name="Обычный 7 6 2 4 3 3 3 2" xfId="32820"/>
    <cellStyle name="Обычный 7 6 2 4 3 3 3 3" xfId="32821"/>
    <cellStyle name="Обычный 7 6 2 4 3 3 4" xfId="32822"/>
    <cellStyle name="Обычный 7 6 2 4 3 3 4 2" xfId="32823"/>
    <cellStyle name="Обычный 7 6 2 4 3 3 5" xfId="32824"/>
    <cellStyle name="Обычный 7 6 2 4 3 3 6" xfId="32825"/>
    <cellStyle name="Обычный 7 6 2 4 3 4" xfId="32826"/>
    <cellStyle name="Обычный 7 6 2 4 3 4 2" xfId="32827"/>
    <cellStyle name="Обычный 7 6 2 4 3 4 3" xfId="32828"/>
    <cellStyle name="Обычный 7 6 2 4 3 5" xfId="32829"/>
    <cellStyle name="Обычный 7 6 2 4 3 5 2" xfId="32830"/>
    <cellStyle name="Обычный 7 6 2 4 3 5 3" xfId="32831"/>
    <cellStyle name="Обычный 7 6 2 4 3 6" xfId="32832"/>
    <cellStyle name="Обычный 7 6 2 4 3 6 2" xfId="32833"/>
    <cellStyle name="Обычный 7 6 2 4 3 7" xfId="32834"/>
    <cellStyle name="Обычный 7 6 2 4 3 8" xfId="32835"/>
    <cellStyle name="Обычный 7 6 2 4 4" xfId="32836"/>
    <cellStyle name="Обычный 7 6 2 4 4 2" xfId="32837"/>
    <cellStyle name="Обычный 7 6 2 4 4 2 2" xfId="32838"/>
    <cellStyle name="Обычный 7 6 2 4 4 2 2 2" xfId="32839"/>
    <cellStyle name="Обычный 7 6 2 4 4 2 2 3" xfId="32840"/>
    <cellStyle name="Обычный 7 6 2 4 4 2 3" xfId="32841"/>
    <cellStyle name="Обычный 7 6 2 4 4 2 3 2" xfId="32842"/>
    <cellStyle name="Обычный 7 6 2 4 4 2 3 3" xfId="32843"/>
    <cellStyle name="Обычный 7 6 2 4 4 2 4" xfId="32844"/>
    <cellStyle name="Обычный 7 6 2 4 4 2 4 2" xfId="32845"/>
    <cellStyle name="Обычный 7 6 2 4 4 2 5" xfId="32846"/>
    <cellStyle name="Обычный 7 6 2 4 4 2 6" xfId="32847"/>
    <cellStyle name="Обычный 7 6 2 4 4 3" xfId="32848"/>
    <cellStyle name="Обычный 7 6 2 4 4 3 2" xfId="32849"/>
    <cellStyle name="Обычный 7 6 2 4 4 3 3" xfId="32850"/>
    <cellStyle name="Обычный 7 6 2 4 4 4" xfId="32851"/>
    <cellStyle name="Обычный 7 6 2 4 4 4 2" xfId="32852"/>
    <cellStyle name="Обычный 7 6 2 4 4 4 3" xfId="32853"/>
    <cellStyle name="Обычный 7 6 2 4 4 5" xfId="32854"/>
    <cellStyle name="Обычный 7 6 2 4 4 5 2" xfId="32855"/>
    <cellStyle name="Обычный 7 6 2 4 4 6" xfId="32856"/>
    <cellStyle name="Обычный 7 6 2 4 4 7" xfId="32857"/>
    <cellStyle name="Обычный 7 6 2 4 5" xfId="32858"/>
    <cellStyle name="Обычный 7 6 2 4 5 2" xfId="32859"/>
    <cellStyle name="Обычный 7 6 2 4 5 2 2" xfId="32860"/>
    <cellStyle name="Обычный 7 6 2 4 5 2 3" xfId="32861"/>
    <cellStyle name="Обычный 7 6 2 4 5 3" xfId="32862"/>
    <cellStyle name="Обычный 7 6 2 4 5 3 2" xfId="32863"/>
    <cellStyle name="Обычный 7 6 2 4 5 3 3" xfId="32864"/>
    <cellStyle name="Обычный 7 6 2 4 5 4" xfId="32865"/>
    <cellStyle name="Обычный 7 6 2 4 5 4 2" xfId="32866"/>
    <cellStyle name="Обычный 7 6 2 4 5 5" xfId="32867"/>
    <cellStyle name="Обычный 7 6 2 4 5 6" xfId="32868"/>
    <cellStyle name="Обычный 7 6 2 4 6" xfId="32869"/>
    <cellStyle name="Обычный 7 6 2 4 6 2" xfId="32870"/>
    <cellStyle name="Обычный 7 6 2 4 6 3" xfId="32871"/>
    <cellStyle name="Обычный 7 6 2 4 7" xfId="32872"/>
    <cellStyle name="Обычный 7 6 2 4 7 2" xfId="32873"/>
    <cellStyle name="Обычный 7 6 2 4 7 3" xfId="32874"/>
    <cellStyle name="Обычный 7 6 2 4 8" xfId="32875"/>
    <cellStyle name="Обычный 7 6 2 4 8 2" xfId="32876"/>
    <cellStyle name="Обычный 7 6 2 4 9" xfId="32877"/>
    <cellStyle name="Обычный 7 6 2 5" xfId="32878"/>
    <cellStyle name="Обычный 7 6 2 5 2" xfId="32879"/>
    <cellStyle name="Обычный 7 6 2 5 2 2" xfId="32880"/>
    <cellStyle name="Обычный 7 6 2 5 2 2 2" xfId="32881"/>
    <cellStyle name="Обычный 7 6 2 5 2 2 2 2" xfId="32882"/>
    <cellStyle name="Обычный 7 6 2 5 2 2 2 2 2" xfId="32883"/>
    <cellStyle name="Обычный 7 6 2 5 2 2 2 2 3" xfId="32884"/>
    <cellStyle name="Обычный 7 6 2 5 2 2 2 3" xfId="32885"/>
    <cellStyle name="Обычный 7 6 2 5 2 2 2 3 2" xfId="32886"/>
    <cellStyle name="Обычный 7 6 2 5 2 2 2 3 3" xfId="32887"/>
    <cellStyle name="Обычный 7 6 2 5 2 2 2 4" xfId="32888"/>
    <cellStyle name="Обычный 7 6 2 5 2 2 2 4 2" xfId="32889"/>
    <cellStyle name="Обычный 7 6 2 5 2 2 2 5" xfId="32890"/>
    <cellStyle name="Обычный 7 6 2 5 2 2 2 6" xfId="32891"/>
    <cellStyle name="Обычный 7 6 2 5 2 2 3" xfId="32892"/>
    <cellStyle name="Обычный 7 6 2 5 2 2 3 2" xfId="32893"/>
    <cellStyle name="Обычный 7 6 2 5 2 2 3 3" xfId="32894"/>
    <cellStyle name="Обычный 7 6 2 5 2 2 4" xfId="32895"/>
    <cellStyle name="Обычный 7 6 2 5 2 2 4 2" xfId="32896"/>
    <cellStyle name="Обычный 7 6 2 5 2 2 4 3" xfId="32897"/>
    <cellStyle name="Обычный 7 6 2 5 2 2 5" xfId="32898"/>
    <cellStyle name="Обычный 7 6 2 5 2 2 5 2" xfId="32899"/>
    <cellStyle name="Обычный 7 6 2 5 2 2 6" xfId="32900"/>
    <cellStyle name="Обычный 7 6 2 5 2 2 7" xfId="32901"/>
    <cellStyle name="Обычный 7 6 2 5 2 3" xfId="32902"/>
    <cellStyle name="Обычный 7 6 2 5 2 3 2" xfId="32903"/>
    <cellStyle name="Обычный 7 6 2 5 2 3 2 2" xfId="32904"/>
    <cellStyle name="Обычный 7 6 2 5 2 3 2 3" xfId="32905"/>
    <cellStyle name="Обычный 7 6 2 5 2 3 3" xfId="32906"/>
    <cellStyle name="Обычный 7 6 2 5 2 3 3 2" xfId="32907"/>
    <cellStyle name="Обычный 7 6 2 5 2 3 3 3" xfId="32908"/>
    <cellStyle name="Обычный 7 6 2 5 2 3 4" xfId="32909"/>
    <cellStyle name="Обычный 7 6 2 5 2 3 4 2" xfId="32910"/>
    <cellStyle name="Обычный 7 6 2 5 2 3 5" xfId="32911"/>
    <cellStyle name="Обычный 7 6 2 5 2 3 6" xfId="32912"/>
    <cellStyle name="Обычный 7 6 2 5 2 4" xfId="32913"/>
    <cellStyle name="Обычный 7 6 2 5 2 4 2" xfId="32914"/>
    <cellStyle name="Обычный 7 6 2 5 2 4 3" xfId="32915"/>
    <cellStyle name="Обычный 7 6 2 5 2 5" xfId="32916"/>
    <cellStyle name="Обычный 7 6 2 5 2 5 2" xfId="32917"/>
    <cellStyle name="Обычный 7 6 2 5 2 5 3" xfId="32918"/>
    <cellStyle name="Обычный 7 6 2 5 2 6" xfId="32919"/>
    <cellStyle name="Обычный 7 6 2 5 2 6 2" xfId="32920"/>
    <cellStyle name="Обычный 7 6 2 5 2 7" xfId="32921"/>
    <cellStyle name="Обычный 7 6 2 5 2 8" xfId="32922"/>
    <cellStyle name="Обычный 7 6 2 5 3" xfId="32923"/>
    <cellStyle name="Обычный 7 6 2 5 3 2" xfId="32924"/>
    <cellStyle name="Обычный 7 6 2 5 3 2 2" xfId="32925"/>
    <cellStyle name="Обычный 7 6 2 5 3 2 2 2" xfId="32926"/>
    <cellStyle name="Обычный 7 6 2 5 3 2 2 3" xfId="32927"/>
    <cellStyle name="Обычный 7 6 2 5 3 2 3" xfId="32928"/>
    <cellStyle name="Обычный 7 6 2 5 3 2 3 2" xfId="32929"/>
    <cellStyle name="Обычный 7 6 2 5 3 2 3 3" xfId="32930"/>
    <cellStyle name="Обычный 7 6 2 5 3 2 4" xfId="32931"/>
    <cellStyle name="Обычный 7 6 2 5 3 2 4 2" xfId="32932"/>
    <cellStyle name="Обычный 7 6 2 5 3 2 5" xfId="32933"/>
    <cellStyle name="Обычный 7 6 2 5 3 2 6" xfId="32934"/>
    <cellStyle name="Обычный 7 6 2 5 3 3" xfId="32935"/>
    <cellStyle name="Обычный 7 6 2 5 3 3 2" xfId="32936"/>
    <cellStyle name="Обычный 7 6 2 5 3 3 3" xfId="32937"/>
    <cellStyle name="Обычный 7 6 2 5 3 4" xfId="32938"/>
    <cellStyle name="Обычный 7 6 2 5 3 4 2" xfId="32939"/>
    <cellStyle name="Обычный 7 6 2 5 3 4 3" xfId="32940"/>
    <cellStyle name="Обычный 7 6 2 5 3 5" xfId="32941"/>
    <cellStyle name="Обычный 7 6 2 5 3 5 2" xfId="32942"/>
    <cellStyle name="Обычный 7 6 2 5 3 6" xfId="32943"/>
    <cellStyle name="Обычный 7 6 2 5 3 7" xfId="32944"/>
    <cellStyle name="Обычный 7 6 2 5 4" xfId="32945"/>
    <cellStyle name="Обычный 7 6 2 5 4 2" xfId="32946"/>
    <cellStyle name="Обычный 7 6 2 5 4 2 2" xfId="32947"/>
    <cellStyle name="Обычный 7 6 2 5 4 2 3" xfId="32948"/>
    <cellStyle name="Обычный 7 6 2 5 4 3" xfId="32949"/>
    <cellStyle name="Обычный 7 6 2 5 4 3 2" xfId="32950"/>
    <cellStyle name="Обычный 7 6 2 5 4 3 3" xfId="32951"/>
    <cellStyle name="Обычный 7 6 2 5 4 4" xfId="32952"/>
    <cellStyle name="Обычный 7 6 2 5 4 4 2" xfId="32953"/>
    <cellStyle name="Обычный 7 6 2 5 4 5" xfId="32954"/>
    <cellStyle name="Обычный 7 6 2 5 4 6" xfId="32955"/>
    <cellStyle name="Обычный 7 6 2 5 5" xfId="32956"/>
    <cellStyle name="Обычный 7 6 2 5 5 2" xfId="32957"/>
    <cellStyle name="Обычный 7 6 2 5 5 3" xfId="32958"/>
    <cellStyle name="Обычный 7 6 2 5 6" xfId="32959"/>
    <cellStyle name="Обычный 7 6 2 5 6 2" xfId="32960"/>
    <cellStyle name="Обычный 7 6 2 5 6 3" xfId="32961"/>
    <cellStyle name="Обычный 7 6 2 5 7" xfId="32962"/>
    <cellStyle name="Обычный 7 6 2 5 7 2" xfId="32963"/>
    <cellStyle name="Обычный 7 6 2 5 8" xfId="32964"/>
    <cellStyle name="Обычный 7 6 2 5 9" xfId="32965"/>
    <cellStyle name="Обычный 7 6 2 6" xfId="32966"/>
    <cellStyle name="Обычный 7 6 2 6 2" xfId="32967"/>
    <cellStyle name="Обычный 7 6 2 6 2 2" xfId="32968"/>
    <cellStyle name="Обычный 7 6 2 6 2 2 2" xfId="32969"/>
    <cellStyle name="Обычный 7 6 2 6 2 2 2 2" xfId="32970"/>
    <cellStyle name="Обычный 7 6 2 6 2 2 2 3" xfId="32971"/>
    <cellStyle name="Обычный 7 6 2 6 2 2 3" xfId="32972"/>
    <cellStyle name="Обычный 7 6 2 6 2 2 3 2" xfId="32973"/>
    <cellStyle name="Обычный 7 6 2 6 2 2 3 3" xfId="32974"/>
    <cellStyle name="Обычный 7 6 2 6 2 2 4" xfId="32975"/>
    <cellStyle name="Обычный 7 6 2 6 2 2 4 2" xfId="32976"/>
    <cellStyle name="Обычный 7 6 2 6 2 2 5" xfId="32977"/>
    <cellStyle name="Обычный 7 6 2 6 2 2 6" xfId="32978"/>
    <cellStyle name="Обычный 7 6 2 6 2 3" xfId="32979"/>
    <cellStyle name="Обычный 7 6 2 6 2 3 2" xfId="32980"/>
    <cellStyle name="Обычный 7 6 2 6 2 3 3" xfId="32981"/>
    <cellStyle name="Обычный 7 6 2 6 2 4" xfId="32982"/>
    <cellStyle name="Обычный 7 6 2 6 2 4 2" xfId="32983"/>
    <cellStyle name="Обычный 7 6 2 6 2 4 3" xfId="32984"/>
    <cellStyle name="Обычный 7 6 2 6 2 5" xfId="32985"/>
    <cellStyle name="Обычный 7 6 2 6 2 5 2" xfId="32986"/>
    <cellStyle name="Обычный 7 6 2 6 2 6" xfId="32987"/>
    <cellStyle name="Обычный 7 6 2 6 2 7" xfId="32988"/>
    <cellStyle name="Обычный 7 6 2 6 3" xfId="32989"/>
    <cellStyle name="Обычный 7 6 2 6 3 2" xfId="32990"/>
    <cellStyle name="Обычный 7 6 2 6 3 2 2" xfId="32991"/>
    <cellStyle name="Обычный 7 6 2 6 3 2 3" xfId="32992"/>
    <cellStyle name="Обычный 7 6 2 6 3 3" xfId="32993"/>
    <cellStyle name="Обычный 7 6 2 6 3 3 2" xfId="32994"/>
    <cellStyle name="Обычный 7 6 2 6 3 3 3" xfId="32995"/>
    <cellStyle name="Обычный 7 6 2 6 3 4" xfId="32996"/>
    <cellStyle name="Обычный 7 6 2 6 3 4 2" xfId="32997"/>
    <cellStyle name="Обычный 7 6 2 6 3 5" xfId="32998"/>
    <cellStyle name="Обычный 7 6 2 6 3 6" xfId="32999"/>
    <cellStyle name="Обычный 7 6 2 6 4" xfId="33000"/>
    <cellStyle name="Обычный 7 6 2 6 4 2" xfId="33001"/>
    <cellStyle name="Обычный 7 6 2 6 4 3" xfId="33002"/>
    <cellStyle name="Обычный 7 6 2 6 5" xfId="33003"/>
    <cellStyle name="Обычный 7 6 2 6 5 2" xfId="33004"/>
    <cellStyle name="Обычный 7 6 2 6 5 3" xfId="33005"/>
    <cellStyle name="Обычный 7 6 2 6 6" xfId="33006"/>
    <cellStyle name="Обычный 7 6 2 6 6 2" xfId="33007"/>
    <cellStyle name="Обычный 7 6 2 6 7" xfId="33008"/>
    <cellStyle name="Обычный 7 6 2 6 8" xfId="33009"/>
    <cellStyle name="Обычный 7 6 2 7" xfId="33010"/>
    <cellStyle name="Обычный 7 6 2 7 2" xfId="33011"/>
    <cellStyle name="Обычный 7 6 2 7 2 2" xfId="33012"/>
    <cellStyle name="Обычный 7 6 2 7 2 2 2" xfId="33013"/>
    <cellStyle name="Обычный 7 6 2 7 2 2 3" xfId="33014"/>
    <cellStyle name="Обычный 7 6 2 7 2 3" xfId="33015"/>
    <cellStyle name="Обычный 7 6 2 7 2 3 2" xfId="33016"/>
    <cellStyle name="Обычный 7 6 2 7 2 3 3" xfId="33017"/>
    <cellStyle name="Обычный 7 6 2 7 2 4" xfId="33018"/>
    <cellStyle name="Обычный 7 6 2 7 2 4 2" xfId="33019"/>
    <cellStyle name="Обычный 7 6 2 7 2 5" xfId="33020"/>
    <cellStyle name="Обычный 7 6 2 7 2 6" xfId="33021"/>
    <cellStyle name="Обычный 7 6 2 7 3" xfId="33022"/>
    <cellStyle name="Обычный 7 6 2 7 3 2" xfId="33023"/>
    <cellStyle name="Обычный 7 6 2 7 3 3" xfId="33024"/>
    <cellStyle name="Обычный 7 6 2 7 4" xfId="33025"/>
    <cellStyle name="Обычный 7 6 2 7 4 2" xfId="33026"/>
    <cellStyle name="Обычный 7 6 2 7 4 3" xfId="33027"/>
    <cellStyle name="Обычный 7 6 2 7 5" xfId="33028"/>
    <cellStyle name="Обычный 7 6 2 7 5 2" xfId="33029"/>
    <cellStyle name="Обычный 7 6 2 7 6" xfId="33030"/>
    <cellStyle name="Обычный 7 6 2 7 7" xfId="33031"/>
    <cellStyle name="Обычный 7 6 2 8" xfId="33032"/>
    <cellStyle name="Обычный 7 6 2 8 2" xfId="33033"/>
    <cellStyle name="Обычный 7 6 2 8 2 2" xfId="33034"/>
    <cellStyle name="Обычный 7 6 2 8 2 3" xfId="33035"/>
    <cellStyle name="Обычный 7 6 2 8 3" xfId="33036"/>
    <cellStyle name="Обычный 7 6 2 8 3 2" xfId="33037"/>
    <cellStyle name="Обычный 7 6 2 8 3 3" xfId="33038"/>
    <cellStyle name="Обычный 7 6 2 8 4" xfId="33039"/>
    <cellStyle name="Обычный 7 6 2 8 4 2" xfId="33040"/>
    <cellStyle name="Обычный 7 6 2 8 5" xfId="33041"/>
    <cellStyle name="Обычный 7 6 2 8 6" xfId="33042"/>
    <cellStyle name="Обычный 7 6 2 9" xfId="33043"/>
    <cellStyle name="Обычный 7 6 2 9 2" xfId="33044"/>
    <cellStyle name="Обычный 7 6 2 9 3" xfId="33045"/>
    <cellStyle name="Обычный 7 6 3" xfId="33046"/>
    <cellStyle name="Обычный 7 6 3 10" xfId="33047"/>
    <cellStyle name="Обычный 7 6 3 2" xfId="33048"/>
    <cellStyle name="Обычный 7 6 3 2 2" xfId="33049"/>
    <cellStyle name="Обычный 7 6 3 2 2 2" xfId="33050"/>
    <cellStyle name="Обычный 7 6 3 2 2 2 2" xfId="33051"/>
    <cellStyle name="Обычный 7 6 3 2 2 2 2 2" xfId="33052"/>
    <cellStyle name="Обычный 7 6 3 2 2 2 2 2 2" xfId="33053"/>
    <cellStyle name="Обычный 7 6 3 2 2 2 2 2 3" xfId="33054"/>
    <cellStyle name="Обычный 7 6 3 2 2 2 2 3" xfId="33055"/>
    <cellStyle name="Обычный 7 6 3 2 2 2 2 3 2" xfId="33056"/>
    <cellStyle name="Обычный 7 6 3 2 2 2 2 3 3" xfId="33057"/>
    <cellStyle name="Обычный 7 6 3 2 2 2 2 4" xfId="33058"/>
    <cellStyle name="Обычный 7 6 3 2 2 2 2 4 2" xfId="33059"/>
    <cellStyle name="Обычный 7 6 3 2 2 2 2 5" xfId="33060"/>
    <cellStyle name="Обычный 7 6 3 2 2 2 2 6" xfId="33061"/>
    <cellStyle name="Обычный 7 6 3 2 2 2 3" xfId="33062"/>
    <cellStyle name="Обычный 7 6 3 2 2 2 3 2" xfId="33063"/>
    <cellStyle name="Обычный 7 6 3 2 2 2 3 3" xfId="33064"/>
    <cellStyle name="Обычный 7 6 3 2 2 2 4" xfId="33065"/>
    <cellStyle name="Обычный 7 6 3 2 2 2 4 2" xfId="33066"/>
    <cellStyle name="Обычный 7 6 3 2 2 2 4 3" xfId="33067"/>
    <cellStyle name="Обычный 7 6 3 2 2 2 5" xfId="33068"/>
    <cellStyle name="Обычный 7 6 3 2 2 2 5 2" xfId="33069"/>
    <cellStyle name="Обычный 7 6 3 2 2 2 6" xfId="33070"/>
    <cellStyle name="Обычный 7 6 3 2 2 2 7" xfId="33071"/>
    <cellStyle name="Обычный 7 6 3 2 2 3" xfId="33072"/>
    <cellStyle name="Обычный 7 6 3 2 2 3 2" xfId="33073"/>
    <cellStyle name="Обычный 7 6 3 2 2 3 2 2" xfId="33074"/>
    <cellStyle name="Обычный 7 6 3 2 2 3 2 3" xfId="33075"/>
    <cellStyle name="Обычный 7 6 3 2 2 3 3" xfId="33076"/>
    <cellStyle name="Обычный 7 6 3 2 2 3 3 2" xfId="33077"/>
    <cellStyle name="Обычный 7 6 3 2 2 3 3 3" xfId="33078"/>
    <cellStyle name="Обычный 7 6 3 2 2 3 4" xfId="33079"/>
    <cellStyle name="Обычный 7 6 3 2 2 3 4 2" xfId="33080"/>
    <cellStyle name="Обычный 7 6 3 2 2 3 5" xfId="33081"/>
    <cellStyle name="Обычный 7 6 3 2 2 3 6" xfId="33082"/>
    <cellStyle name="Обычный 7 6 3 2 2 4" xfId="33083"/>
    <cellStyle name="Обычный 7 6 3 2 2 4 2" xfId="33084"/>
    <cellStyle name="Обычный 7 6 3 2 2 4 3" xfId="33085"/>
    <cellStyle name="Обычный 7 6 3 2 2 5" xfId="33086"/>
    <cellStyle name="Обычный 7 6 3 2 2 5 2" xfId="33087"/>
    <cellStyle name="Обычный 7 6 3 2 2 5 3" xfId="33088"/>
    <cellStyle name="Обычный 7 6 3 2 2 6" xfId="33089"/>
    <cellStyle name="Обычный 7 6 3 2 2 6 2" xfId="33090"/>
    <cellStyle name="Обычный 7 6 3 2 2 7" xfId="33091"/>
    <cellStyle name="Обычный 7 6 3 2 2 8" xfId="33092"/>
    <cellStyle name="Обычный 7 6 3 2 3" xfId="33093"/>
    <cellStyle name="Обычный 7 6 3 2 3 2" xfId="33094"/>
    <cellStyle name="Обычный 7 6 3 2 3 2 2" xfId="33095"/>
    <cellStyle name="Обычный 7 6 3 2 3 2 2 2" xfId="33096"/>
    <cellStyle name="Обычный 7 6 3 2 3 2 2 3" xfId="33097"/>
    <cellStyle name="Обычный 7 6 3 2 3 2 3" xfId="33098"/>
    <cellStyle name="Обычный 7 6 3 2 3 2 3 2" xfId="33099"/>
    <cellStyle name="Обычный 7 6 3 2 3 2 3 3" xfId="33100"/>
    <cellStyle name="Обычный 7 6 3 2 3 2 4" xfId="33101"/>
    <cellStyle name="Обычный 7 6 3 2 3 2 4 2" xfId="33102"/>
    <cellStyle name="Обычный 7 6 3 2 3 2 5" xfId="33103"/>
    <cellStyle name="Обычный 7 6 3 2 3 2 6" xfId="33104"/>
    <cellStyle name="Обычный 7 6 3 2 3 3" xfId="33105"/>
    <cellStyle name="Обычный 7 6 3 2 3 3 2" xfId="33106"/>
    <cellStyle name="Обычный 7 6 3 2 3 3 3" xfId="33107"/>
    <cellStyle name="Обычный 7 6 3 2 3 4" xfId="33108"/>
    <cellStyle name="Обычный 7 6 3 2 3 4 2" xfId="33109"/>
    <cellStyle name="Обычный 7 6 3 2 3 4 3" xfId="33110"/>
    <cellStyle name="Обычный 7 6 3 2 3 5" xfId="33111"/>
    <cellStyle name="Обычный 7 6 3 2 3 5 2" xfId="33112"/>
    <cellStyle name="Обычный 7 6 3 2 3 6" xfId="33113"/>
    <cellStyle name="Обычный 7 6 3 2 3 7" xfId="33114"/>
    <cellStyle name="Обычный 7 6 3 2 4" xfId="33115"/>
    <cellStyle name="Обычный 7 6 3 2 4 2" xfId="33116"/>
    <cellStyle name="Обычный 7 6 3 2 4 2 2" xfId="33117"/>
    <cellStyle name="Обычный 7 6 3 2 4 2 3" xfId="33118"/>
    <cellStyle name="Обычный 7 6 3 2 4 3" xfId="33119"/>
    <cellStyle name="Обычный 7 6 3 2 4 3 2" xfId="33120"/>
    <cellStyle name="Обычный 7 6 3 2 4 3 3" xfId="33121"/>
    <cellStyle name="Обычный 7 6 3 2 4 4" xfId="33122"/>
    <cellStyle name="Обычный 7 6 3 2 4 4 2" xfId="33123"/>
    <cellStyle name="Обычный 7 6 3 2 4 5" xfId="33124"/>
    <cellStyle name="Обычный 7 6 3 2 4 6" xfId="33125"/>
    <cellStyle name="Обычный 7 6 3 2 5" xfId="33126"/>
    <cellStyle name="Обычный 7 6 3 2 5 2" xfId="33127"/>
    <cellStyle name="Обычный 7 6 3 2 5 3" xfId="33128"/>
    <cellStyle name="Обычный 7 6 3 2 6" xfId="33129"/>
    <cellStyle name="Обычный 7 6 3 2 6 2" xfId="33130"/>
    <cellStyle name="Обычный 7 6 3 2 6 3" xfId="33131"/>
    <cellStyle name="Обычный 7 6 3 2 7" xfId="33132"/>
    <cellStyle name="Обычный 7 6 3 2 7 2" xfId="33133"/>
    <cellStyle name="Обычный 7 6 3 2 8" xfId="33134"/>
    <cellStyle name="Обычный 7 6 3 2 9" xfId="33135"/>
    <cellStyle name="Обычный 7 6 3 3" xfId="33136"/>
    <cellStyle name="Обычный 7 6 3 3 2" xfId="33137"/>
    <cellStyle name="Обычный 7 6 3 3 2 2" xfId="33138"/>
    <cellStyle name="Обычный 7 6 3 3 2 2 2" xfId="33139"/>
    <cellStyle name="Обычный 7 6 3 3 2 2 2 2" xfId="33140"/>
    <cellStyle name="Обычный 7 6 3 3 2 2 2 3" xfId="33141"/>
    <cellStyle name="Обычный 7 6 3 3 2 2 3" xfId="33142"/>
    <cellStyle name="Обычный 7 6 3 3 2 2 3 2" xfId="33143"/>
    <cellStyle name="Обычный 7 6 3 3 2 2 3 3" xfId="33144"/>
    <cellStyle name="Обычный 7 6 3 3 2 2 4" xfId="33145"/>
    <cellStyle name="Обычный 7 6 3 3 2 2 4 2" xfId="33146"/>
    <cellStyle name="Обычный 7 6 3 3 2 2 5" xfId="33147"/>
    <cellStyle name="Обычный 7 6 3 3 2 2 6" xfId="33148"/>
    <cellStyle name="Обычный 7 6 3 3 2 3" xfId="33149"/>
    <cellStyle name="Обычный 7 6 3 3 2 3 2" xfId="33150"/>
    <cellStyle name="Обычный 7 6 3 3 2 3 3" xfId="33151"/>
    <cellStyle name="Обычный 7 6 3 3 2 4" xfId="33152"/>
    <cellStyle name="Обычный 7 6 3 3 2 4 2" xfId="33153"/>
    <cellStyle name="Обычный 7 6 3 3 2 4 3" xfId="33154"/>
    <cellStyle name="Обычный 7 6 3 3 2 5" xfId="33155"/>
    <cellStyle name="Обычный 7 6 3 3 2 5 2" xfId="33156"/>
    <cellStyle name="Обычный 7 6 3 3 2 6" xfId="33157"/>
    <cellStyle name="Обычный 7 6 3 3 2 7" xfId="33158"/>
    <cellStyle name="Обычный 7 6 3 3 3" xfId="33159"/>
    <cellStyle name="Обычный 7 6 3 3 3 2" xfId="33160"/>
    <cellStyle name="Обычный 7 6 3 3 3 2 2" xfId="33161"/>
    <cellStyle name="Обычный 7 6 3 3 3 2 3" xfId="33162"/>
    <cellStyle name="Обычный 7 6 3 3 3 3" xfId="33163"/>
    <cellStyle name="Обычный 7 6 3 3 3 3 2" xfId="33164"/>
    <cellStyle name="Обычный 7 6 3 3 3 3 3" xfId="33165"/>
    <cellStyle name="Обычный 7 6 3 3 3 4" xfId="33166"/>
    <cellStyle name="Обычный 7 6 3 3 3 4 2" xfId="33167"/>
    <cellStyle name="Обычный 7 6 3 3 3 5" xfId="33168"/>
    <cellStyle name="Обычный 7 6 3 3 3 6" xfId="33169"/>
    <cellStyle name="Обычный 7 6 3 3 4" xfId="33170"/>
    <cellStyle name="Обычный 7 6 3 3 4 2" xfId="33171"/>
    <cellStyle name="Обычный 7 6 3 3 4 3" xfId="33172"/>
    <cellStyle name="Обычный 7 6 3 3 5" xfId="33173"/>
    <cellStyle name="Обычный 7 6 3 3 5 2" xfId="33174"/>
    <cellStyle name="Обычный 7 6 3 3 5 3" xfId="33175"/>
    <cellStyle name="Обычный 7 6 3 3 6" xfId="33176"/>
    <cellStyle name="Обычный 7 6 3 3 6 2" xfId="33177"/>
    <cellStyle name="Обычный 7 6 3 3 7" xfId="33178"/>
    <cellStyle name="Обычный 7 6 3 3 8" xfId="33179"/>
    <cellStyle name="Обычный 7 6 3 4" xfId="33180"/>
    <cellStyle name="Обычный 7 6 3 4 2" xfId="33181"/>
    <cellStyle name="Обычный 7 6 3 4 2 2" xfId="33182"/>
    <cellStyle name="Обычный 7 6 3 4 2 2 2" xfId="33183"/>
    <cellStyle name="Обычный 7 6 3 4 2 2 3" xfId="33184"/>
    <cellStyle name="Обычный 7 6 3 4 2 3" xfId="33185"/>
    <cellStyle name="Обычный 7 6 3 4 2 3 2" xfId="33186"/>
    <cellStyle name="Обычный 7 6 3 4 2 3 3" xfId="33187"/>
    <cellStyle name="Обычный 7 6 3 4 2 4" xfId="33188"/>
    <cellStyle name="Обычный 7 6 3 4 2 4 2" xfId="33189"/>
    <cellStyle name="Обычный 7 6 3 4 2 5" xfId="33190"/>
    <cellStyle name="Обычный 7 6 3 4 2 6" xfId="33191"/>
    <cellStyle name="Обычный 7 6 3 4 3" xfId="33192"/>
    <cellStyle name="Обычный 7 6 3 4 3 2" xfId="33193"/>
    <cellStyle name="Обычный 7 6 3 4 3 3" xfId="33194"/>
    <cellStyle name="Обычный 7 6 3 4 4" xfId="33195"/>
    <cellStyle name="Обычный 7 6 3 4 4 2" xfId="33196"/>
    <cellStyle name="Обычный 7 6 3 4 4 3" xfId="33197"/>
    <cellStyle name="Обычный 7 6 3 4 5" xfId="33198"/>
    <cellStyle name="Обычный 7 6 3 4 5 2" xfId="33199"/>
    <cellStyle name="Обычный 7 6 3 4 6" xfId="33200"/>
    <cellStyle name="Обычный 7 6 3 4 7" xfId="33201"/>
    <cellStyle name="Обычный 7 6 3 5" xfId="33202"/>
    <cellStyle name="Обычный 7 6 3 5 2" xfId="33203"/>
    <cellStyle name="Обычный 7 6 3 5 2 2" xfId="33204"/>
    <cellStyle name="Обычный 7 6 3 5 2 3" xfId="33205"/>
    <cellStyle name="Обычный 7 6 3 5 3" xfId="33206"/>
    <cellStyle name="Обычный 7 6 3 5 3 2" xfId="33207"/>
    <cellStyle name="Обычный 7 6 3 5 3 3" xfId="33208"/>
    <cellStyle name="Обычный 7 6 3 5 4" xfId="33209"/>
    <cellStyle name="Обычный 7 6 3 5 4 2" xfId="33210"/>
    <cellStyle name="Обычный 7 6 3 5 5" xfId="33211"/>
    <cellStyle name="Обычный 7 6 3 5 6" xfId="33212"/>
    <cellStyle name="Обычный 7 6 3 6" xfId="33213"/>
    <cellStyle name="Обычный 7 6 3 6 2" xfId="33214"/>
    <cellStyle name="Обычный 7 6 3 6 3" xfId="33215"/>
    <cellStyle name="Обычный 7 6 3 7" xfId="33216"/>
    <cellStyle name="Обычный 7 6 3 7 2" xfId="33217"/>
    <cellStyle name="Обычный 7 6 3 7 3" xfId="33218"/>
    <cellStyle name="Обычный 7 6 3 8" xfId="33219"/>
    <cellStyle name="Обычный 7 6 3 8 2" xfId="33220"/>
    <cellStyle name="Обычный 7 6 3 9" xfId="33221"/>
    <cellStyle name="Обычный 7 6 4" xfId="33222"/>
    <cellStyle name="Обычный 7 6 4 10" xfId="33223"/>
    <cellStyle name="Обычный 7 6 4 2" xfId="33224"/>
    <cellStyle name="Обычный 7 6 4 2 2" xfId="33225"/>
    <cellStyle name="Обычный 7 6 4 2 2 2" xfId="33226"/>
    <cellStyle name="Обычный 7 6 4 2 2 2 2" xfId="33227"/>
    <cellStyle name="Обычный 7 6 4 2 2 2 2 2" xfId="33228"/>
    <cellStyle name="Обычный 7 6 4 2 2 2 2 2 2" xfId="33229"/>
    <cellStyle name="Обычный 7 6 4 2 2 2 2 2 3" xfId="33230"/>
    <cellStyle name="Обычный 7 6 4 2 2 2 2 3" xfId="33231"/>
    <cellStyle name="Обычный 7 6 4 2 2 2 2 3 2" xfId="33232"/>
    <cellStyle name="Обычный 7 6 4 2 2 2 2 3 3" xfId="33233"/>
    <cellStyle name="Обычный 7 6 4 2 2 2 2 4" xfId="33234"/>
    <cellStyle name="Обычный 7 6 4 2 2 2 2 4 2" xfId="33235"/>
    <cellStyle name="Обычный 7 6 4 2 2 2 2 5" xfId="33236"/>
    <cellStyle name="Обычный 7 6 4 2 2 2 2 6" xfId="33237"/>
    <cellStyle name="Обычный 7 6 4 2 2 2 3" xfId="33238"/>
    <cellStyle name="Обычный 7 6 4 2 2 2 3 2" xfId="33239"/>
    <cellStyle name="Обычный 7 6 4 2 2 2 3 3" xfId="33240"/>
    <cellStyle name="Обычный 7 6 4 2 2 2 4" xfId="33241"/>
    <cellStyle name="Обычный 7 6 4 2 2 2 4 2" xfId="33242"/>
    <cellStyle name="Обычный 7 6 4 2 2 2 4 3" xfId="33243"/>
    <cellStyle name="Обычный 7 6 4 2 2 2 5" xfId="33244"/>
    <cellStyle name="Обычный 7 6 4 2 2 2 5 2" xfId="33245"/>
    <cellStyle name="Обычный 7 6 4 2 2 2 6" xfId="33246"/>
    <cellStyle name="Обычный 7 6 4 2 2 2 7" xfId="33247"/>
    <cellStyle name="Обычный 7 6 4 2 2 3" xfId="33248"/>
    <cellStyle name="Обычный 7 6 4 2 2 3 2" xfId="33249"/>
    <cellStyle name="Обычный 7 6 4 2 2 3 2 2" xfId="33250"/>
    <cellStyle name="Обычный 7 6 4 2 2 3 2 3" xfId="33251"/>
    <cellStyle name="Обычный 7 6 4 2 2 3 3" xfId="33252"/>
    <cellStyle name="Обычный 7 6 4 2 2 3 3 2" xfId="33253"/>
    <cellStyle name="Обычный 7 6 4 2 2 3 3 3" xfId="33254"/>
    <cellStyle name="Обычный 7 6 4 2 2 3 4" xfId="33255"/>
    <cellStyle name="Обычный 7 6 4 2 2 3 4 2" xfId="33256"/>
    <cellStyle name="Обычный 7 6 4 2 2 3 5" xfId="33257"/>
    <cellStyle name="Обычный 7 6 4 2 2 3 6" xfId="33258"/>
    <cellStyle name="Обычный 7 6 4 2 2 4" xfId="33259"/>
    <cellStyle name="Обычный 7 6 4 2 2 4 2" xfId="33260"/>
    <cellStyle name="Обычный 7 6 4 2 2 4 3" xfId="33261"/>
    <cellStyle name="Обычный 7 6 4 2 2 5" xfId="33262"/>
    <cellStyle name="Обычный 7 6 4 2 2 5 2" xfId="33263"/>
    <cellStyle name="Обычный 7 6 4 2 2 5 3" xfId="33264"/>
    <cellStyle name="Обычный 7 6 4 2 2 6" xfId="33265"/>
    <cellStyle name="Обычный 7 6 4 2 2 6 2" xfId="33266"/>
    <cellStyle name="Обычный 7 6 4 2 2 7" xfId="33267"/>
    <cellStyle name="Обычный 7 6 4 2 2 8" xfId="33268"/>
    <cellStyle name="Обычный 7 6 4 2 3" xfId="33269"/>
    <cellStyle name="Обычный 7 6 4 2 3 2" xfId="33270"/>
    <cellStyle name="Обычный 7 6 4 2 3 2 2" xfId="33271"/>
    <cellStyle name="Обычный 7 6 4 2 3 2 2 2" xfId="33272"/>
    <cellStyle name="Обычный 7 6 4 2 3 2 2 3" xfId="33273"/>
    <cellStyle name="Обычный 7 6 4 2 3 2 3" xfId="33274"/>
    <cellStyle name="Обычный 7 6 4 2 3 2 3 2" xfId="33275"/>
    <cellStyle name="Обычный 7 6 4 2 3 2 3 3" xfId="33276"/>
    <cellStyle name="Обычный 7 6 4 2 3 2 4" xfId="33277"/>
    <cellStyle name="Обычный 7 6 4 2 3 2 4 2" xfId="33278"/>
    <cellStyle name="Обычный 7 6 4 2 3 2 5" xfId="33279"/>
    <cellStyle name="Обычный 7 6 4 2 3 2 6" xfId="33280"/>
    <cellStyle name="Обычный 7 6 4 2 3 3" xfId="33281"/>
    <cellStyle name="Обычный 7 6 4 2 3 3 2" xfId="33282"/>
    <cellStyle name="Обычный 7 6 4 2 3 3 3" xfId="33283"/>
    <cellStyle name="Обычный 7 6 4 2 3 4" xfId="33284"/>
    <cellStyle name="Обычный 7 6 4 2 3 4 2" xfId="33285"/>
    <cellStyle name="Обычный 7 6 4 2 3 4 3" xfId="33286"/>
    <cellStyle name="Обычный 7 6 4 2 3 5" xfId="33287"/>
    <cellStyle name="Обычный 7 6 4 2 3 5 2" xfId="33288"/>
    <cellStyle name="Обычный 7 6 4 2 3 6" xfId="33289"/>
    <cellStyle name="Обычный 7 6 4 2 3 7" xfId="33290"/>
    <cellStyle name="Обычный 7 6 4 2 4" xfId="33291"/>
    <cellStyle name="Обычный 7 6 4 2 4 2" xfId="33292"/>
    <cellStyle name="Обычный 7 6 4 2 4 2 2" xfId="33293"/>
    <cellStyle name="Обычный 7 6 4 2 4 2 3" xfId="33294"/>
    <cellStyle name="Обычный 7 6 4 2 4 3" xfId="33295"/>
    <cellStyle name="Обычный 7 6 4 2 4 3 2" xfId="33296"/>
    <cellStyle name="Обычный 7 6 4 2 4 3 3" xfId="33297"/>
    <cellStyle name="Обычный 7 6 4 2 4 4" xfId="33298"/>
    <cellStyle name="Обычный 7 6 4 2 4 4 2" xfId="33299"/>
    <cellStyle name="Обычный 7 6 4 2 4 5" xfId="33300"/>
    <cellStyle name="Обычный 7 6 4 2 4 6" xfId="33301"/>
    <cellStyle name="Обычный 7 6 4 2 5" xfId="33302"/>
    <cellStyle name="Обычный 7 6 4 2 5 2" xfId="33303"/>
    <cellStyle name="Обычный 7 6 4 2 5 3" xfId="33304"/>
    <cellStyle name="Обычный 7 6 4 2 6" xfId="33305"/>
    <cellStyle name="Обычный 7 6 4 2 6 2" xfId="33306"/>
    <cellStyle name="Обычный 7 6 4 2 6 3" xfId="33307"/>
    <cellStyle name="Обычный 7 6 4 2 7" xfId="33308"/>
    <cellStyle name="Обычный 7 6 4 2 7 2" xfId="33309"/>
    <cellStyle name="Обычный 7 6 4 2 8" xfId="33310"/>
    <cellStyle name="Обычный 7 6 4 2 9" xfId="33311"/>
    <cellStyle name="Обычный 7 6 4 3" xfId="33312"/>
    <cellStyle name="Обычный 7 6 4 3 2" xfId="33313"/>
    <cellStyle name="Обычный 7 6 4 3 2 2" xfId="33314"/>
    <cellStyle name="Обычный 7 6 4 3 2 2 2" xfId="33315"/>
    <cellStyle name="Обычный 7 6 4 3 2 2 2 2" xfId="33316"/>
    <cellStyle name="Обычный 7 6 4 3 2 2 2 3" xfId="33317"/>
    <cellStyle name="Обычный 7 6 4 3 2 2 3" xfId="33318"/>
    <cellStyle name="Обычный 7 6 4 3 2 2 3 2" xfId="33319"/>
    <cellStyle name="Обычный 7 6 4 3 2 2 3 3" xfId="33320"/>
    <cellStyle name="Обычный 7 6 4 3 2 2 4" xfId="33321"/>
    <cellStyle name="Обычный 7 6 4 3 2 2 4 2" xfId="33322"/>
    <cellStyle name="Обычный 7 6 4 3 2 2 5" xfId="33323"/>
    <cellStyle name="Обычный 7 6 4 3 2 2 6" xfId="33324"/>
    <cellStyle name="Обычный 7 6 4 3 2 3" xfId="33325"/>
    <cellStyle name="Обычный 7 6 4 3 2 3 2" xfId="33326"/>
    <cellStyle name="Обычный 7 6 4 3 2 3 3" xfId="33327"/>
    <cellStyle name="Обычный 7 6 4 3 2 4" xfId="33328"/>
    <cellStyle name="Обычный 7 6 4 3 2 4 2" xfId="33329"/>
    <cellStyle name="Обычный 7 6 4 3 2 4 3" xfId="33330"/>
    <cellStyle name="Обычный 7 6 4 3 2 5" xfId="33331"/>
    <cellStyle name="Обычный 7 6 4 3 2 5 2" xfId="33332"/>
    <cellStyle name="Обычный 7 6 4 3 2 6" xfId="33333"/>
    <cellStyle name="Обычный 7 6 4 3 2 7" xfId="33334"/>
    <cellStyle name="Обычный 7 6 4 3 3" xfId="33335"/>
    <cellStyle name="Обычный 7 6 4 3 3 2" xfId="33336"/>
    <cellStyle name="Обычный 7 6 4 3 3 2 2" xfId="33337"/>
    <cellStyle name="Обычный 7 6 4 3 3 2 3" xfId="33338"/>
    <cellStyle name="Обычный 7 6 4 3 3 3" xfId="33339"/>
    <cellStyle name="Обычный 7 6 4 3 3 3 2" xfId="33340"/>
    <cellStyle name="Обычный 7 6 4 3 3 3 3" xfId="33341"/>
    <cellStyle name="Обычный 7 6 4 3 3 4" xfId="33342"/>
    <cellStyle name="Обычный 7 6 4 3 3 4 2" xfId="33343"/>
    <cellStyle name="Обычный 7 6 4 3 3 5" xfId="33344"/>
    <cellStyle name="Обычный 7 6 4 3 3 6" xfId="33345"/>
    <cellStyle name="Обычный 7 6 4 3 4" xfId="33346"/>
    <cellStyle name="Обычный 7 6 4 3 4 2" xfId="33347"/>
    <cellStyle name="Обычный 7 6 4 3 4 3" xfId="33348"/>
    <cellStyle name="Обычный 7 6 4 3 5" xfId="33349"/>
    <cellStyle name="Обычный 7 6 4 3 5 2" xfId="33350"/>
    <cellStyle name="Обычный 7 6 4 3 5 3" xfId="33351"/>
    <cellStyle name="Обычный 7 6 4 3 6" xfId="33352"/>
    <cellStyle name="Обычный 7 6 4 3 6 2" xfId="33353"/>
    <cellStyle name="Обычный 7 6 4 3 7" xfId="33354"/>
    <cellStyle name="Обычный 7 6 4 3 8" xfId="33355"/>
    <cellStyle name="Обычный 7 6 4 4" xfId="33356"/>
    <cellStyle name="Обычный 7 6 4 4 2" xfId="33357"/>
    <cellStyle name="Обычный 7 6 4 4 2 2" xfId="33358"/>
    <cellStyle name="Обычный 7 6 4 4 2 2 2" xfId="33359"/>
    <cellStyle name="Обычный 7 6 4 4 2 2 3" xfId="33360"/>
    <cellStyle name="Обычный 7 6 4 4 2 3" xfId="33361"/>
    <cellStyle name="Обычный 7 6 4 4 2 3 2" xfId="33362"/>
    <cellStyle name="Обычный 7 6 4 4 2 3 3" xfId="33363"/>
    <cellStyle name="Обычный 7 6 4 4 2 4" xfId="33364"/>
    <cellStyle name="Обычный 7 6 4 4 2 4 2" xfId="33365"/>
    <cellStyle name="Обычный 7 6 4 4 2 5" xfId="33366"/>
    <cellStyle name="Обычный 7 6 4 4 2 6" xfId="33367"/>
    <cellStyle name="Обычный 7 6 4 4 3" xfId="33368"/>
    <cellStyle name="Обычный 7 6 4 4 3 2" xfId="33369"/>
    <cellStyle name="Обычный 7 6 4 4 3 3" xfId="33370"/>
    <cellStyle name="Обычный 7 6 4 4 4" xfId="33371"/>
    <cellStyle name="Обычный 7 6 4 4 4 2" xfId="33372"/>
    <cellStyle name="Обычный 7 6 4 4 4 3" xfId="33373"/>
    <cellStyle name="Обычный 7 6 4 4 5" xfId="33374"/>
    <cellStyle name="Обычный 7 6 4 4 5 2" xfId="33375"/>
    <cellStyle name="Обычный 7 6 4 4 6" xfId="33376"/>
    <cellStyle name="Обычный 7 6 4 4 7" xfId="33377"/>
    <cellStyle name="Обычный 7 6 4 5" xfId="33378"/>
    <cellStyle name="Обычный 7 6 4 5 2" xfId="33379"/>
    <cellStyle name="Обычный 7 6 4 5 2 2" xfId="33380"/>
    <cellStyle name="Обычный 7 6 4 5 2 3" xfId="33381"/>
    <cellStyle name="Обычный 7 6 4 5 3" xfId="33382"/>
    <cellStyle name="Обычный 7 6 4 5 3 2" xfId="33383"/>
    <cellStyle name="Обычный 7 6 4 5 3 3" xfId="33384"/>
    <cellStyle name="Обычный 7 6 4 5 4" xfId="33385"/>
    <cellStyle name="Обычный 7 6 4 5 4 2" xfId="33386"/>
    <cellStyle name="Обычный 7 6 4 5 5" xfId="33387"/>
    <cellStyle name="Обычный 7 6 4 5 6" xfId="33388"/>
    <cellStyle name="Обычный 7 6 4 6" xfId="33389"/>
    <cellStyle name="Обычный 7 6 4 6 2" xfId="33390"/>
    <cellStyle name="Обычный 7 6 4 6 3" xfId="33391"/>
    <cellStyle name="Обычный 7 6 4 7" xfId="33392"/>
    <cellStyle name="Обычный 7 6 4 7 2" xfId="33393"/>
    <cellStyle name="Обычный 7 6 4 7 3" xfId="33394"/>
    <cellStyle name="Обычный 7 6 4 8" xfId="33395"/>
    <cellStyle name="Обычный 7 6 4 8 2" xfId="33396"/>
    <cellStyle name="Обычный 7 6 4 9" xfId="33397"/>
    <cellStyle name="Обычный 7 6 5" xfId="33398"/>
    <cellStyle name="Обычный 7 6 5 10" xfId="33399"/>
    <cellStyle name="Обычный 7 6 5 2" xfId="33400"/>
    <cellStyle name="Обычный 7 6 5 2 2" xfId="33401"/>
    <cellStyle name="Обычный 7 6 5 2 2 2" xfId="33402"/>
    <cellStyle name="Обычный 7 6 5 2 2 2 2" xfId="33403"/>
    <cellStyle name="Обычный 7 6 5 2 2 2 2 2" xfId="33404"/>
    <cellStyle name="Обычный 7 6 5 2 2 2 2 2 2" xfId="33405"/>
    <cellStyle name="Обычный 7 6 5 2 2 2 2 2 3" xfId="33406"/>
    <cellStyle name="Обычный 7 6 5 2 2 2 2 3" xfId="33407"/>
    <cellStyle name="Обычный 7 6 5 2 2 2 2 3 2" xfId="33408"/>
    <cellStyle name="Обычный 7 6 5 2 2 2 2 3 3" xfId="33409"/>
    <cellStyle name="Обычный 7 6 5 2 2 2 2 4" xfId="33410"/>
    <cellStyle name="Обычный 7 6 5 2 2 2 2 4 2" xfId="33411"/>
    <cellStyle name="Обычный 7 6 5 2 2 2 2 5" xfId="33412"/>
    <cellStyle name="Обычный 7 6 5 2 2 2 2 6" xfId="33413"/>
    <cellStyle name="Обычный 7 6 5 2 2 2 3" xfId="33414"/>
    <cellStyle name="Обычный 7 6 5 2 2 2 3 2" xfId="33415"/>
    <cellStyle name="Обычный 7 6 5 2 2 2 3 3" xfId="33416"/>
    <cellStyle name="Обычный 7 6 5 2 2 2 4" xfId="33417"/>
    <cellStyle name="Обычный 7 6 5 2 2 2 4 2" xfId="33418"/>
    <cellStyle name="Обычный 7 6 5 2 2 2 4 3" xfId="33419"/>
    <cellStyle name="Обычный 7 6 5 2 2 2 5" xfId="33420"/>
    <cellStyle name="Обычный 7 6 5 2 2 2 5 2" xfId="33421"/>
    <cellStyle name="Обычный 7 6 5 2 2 2 6" xfId="33422"/>
    <cellStyle name="Обычный 7 6 5 2 2 2 7" xfId="33423"/>
    <cellStyle name="Обычный 7 6 5 2 2 3" xfId="33424"/>
    <cellStyle name="Обычный 7 6 5 2 2 3 2" xfId="33425"/>
    <cellStyle name="Обычный 7 6 5 2 2 3 2 2" xfId="33426"/>
    <cellStyle name="Обычный 7 6 5 2 2 3 2 3" xfId="33427"/>
    <cellStyle name="Обычный 7 6 5 2 2 3 3" xfId="33428"/>
    <cellStyle name="Обычный 7 6 5 2 2 3 3 2" xfId="33429"/>
    <cellStyle name="Обычный 7 6 5 2 2 3 3 3" xfId="33430"/>
    <cellStyle name="Обычный 7 6 5 2 2 3 4" xfId="33431"/>
    <cellStyle name="Обычный 7 6 5 2 2 3 4 2" xfId="33432"/>
    <cellStyle name="Обычный 7 6 5 2 2 3 5" xfId="33433"/>
    <cellStyle name="Обычный 7 6 5 2 2 3 6" xfId="33434"/>
    <cellStyle name="Обычный 7 6 5 2 2 4" xfId="33435"/>
    <cellStyle name="Обычный 7 6 5 2 2 4 2" xfId="33436"/>
    <cellStyle name="Обычный 7 6 5 2 2 4 3" xfId="33437"/>
    <cellStyle name="Обычный 7 6 5 2 2 5" xfId="33438"/>
    <cellStyle name="Обычный 7 6 5 2 2 5 2" xfId="33439"/>
    <cellStyle name="Обычный 7 6 5 2 2 5 3" xfId="33440"/>
    <cellStyle name="Обычный 7 6 5 2 2 6" xfId="33441"/>
    <cellStyle name="Обычный 7 6 5 2 2 6 2" xfId="33442"/>
    <cellStyle name="Обычный 7 6 5 2 2 7" xfId="33443"/>
    <cellStyle name="Обычный 7 6 5 2 2 8" xfId="33444"/>
    <cellStyle name="Обычный 7 6 5 2 3" xfId="33445"/>
    <cellStyle name="Обычный 7 6 5 2 3 2" xfId="33446"/>
    <cellStyle name="Обычный 7 6 5 2 3 2 2" xfId="33447"/>
    <cellStyle name="Обычный 7 6 5 2 3 2 2 2" xfId="33448"/>
    <cellStyle name="Обычный 7 6 5 2 3 2 2 3" xfId="33449"/>
    <cellStyle name="Обычный 7 6 5 2 3 2 3" xfId="33450"/>
    <cellStyle name="Обычный 7 6 5 2 3 2 3 2" xfId="33451"/>
    <cellStyle name="Обычный 7 6 5 2 3 2 3 3" xfId="33452"/>
    <cellStyle name="Обычный 7 6 5 2 3 2 4" xfId="33453"/>
    <cellStyle name="Обычный 7 6 5 2 3 2 4 2" xfId="33454"/>
    <cellStyle name="Обычный 7 6 5 2 3 2 5" xfId="33455"/>
    <cellStyle name="Обычный 7 6 5 2 3 2 6" xfId="33456"/>
    <cellStyle name="Обычный 7 6 5 2 3 3" xfId="33457"/>
    <cellStyle name="Обычный 7 6 5 2 3 3 2" xfId="33458"/>
    <cellStyle name="Обычный 7 6 5 2 3 3 3" xfId="33459"/>
    <cellStyle name="Обычный 7 6 5 2 3 4" xfId="33460"/>
    <cellStyle name="Обычный 7 6 5 2 3 4 2" xfId="33461"/>
    <cellStyle name="Обычный 7 6 5 2 3 4 3" xfId="33462"/>
    <cellStyle name="Обычный 7 6 5 2 3 5" xfId="33463"/>
    <cellStyle name="Обычный 7 6 5 2 3 5 2" xfId="33464"/>
    <cellStyle name="Обычный 7 6 5 2 3 6" xfId="33465"/>
    <cellStyle name="Обычный 7 6 5 2 3 7" xfId="33466"/>
    <cellStyle name="Обычный 7 6 5 2 4" xfId="33467"/>
    <cellStyle name="Обычный 7 6 5 2 4 2" xfId="33468"/>
    <cellStyle name="Обычный 7 6 5 2 4 2 2" xfId="33469"/>
    <cellStyle name="Обычный 7 6 5 2 4 2 3" xfId="33470"/>
    <cellStyle name="Обычный 7 6 5 2 4 3" xfId="33471"/>
    <cellStyle name="Обычный 7 6 5 2 4 3 2" xfId="33472"/>
    <cellStyle name="Обычный 7 6 5 2 4 3 3" xfId="33473"/>
    <cellStyle name="Обычный 7 6 5 2 4 4" xfId="33474"/>
    <cellStyle name="Обычный 7 6 5 2 4 4 2" xfId="33475"/>
    <cellStyle name="Обычный 7 6 5 2 4 5" xfId="33476"/>
    <cellStyle name="Обычный 7 6 5 2 4 6" xfId="33477"/>
    <cellStyle name="Обычный 7 6 5 2 5" xfId="33478"/>
    <cellStyle name="Обычный 7 6 5 2 5 2" xfId="33479"/>
    <cellStyle name="Обычный 7 6 5 2 5 3" xfId="33480"/>
    <cellStyle name="Обычный 7 6 5 2 6" xfId="33481"/>
    <cellStyle name="Обычный 7 6 5 2 6 2" xfId="33482"/>
    <cellStyle name="Обычный 7 6 5 2 6 3" xfId="33483"/>
    <cellStyle name="Обычный 7 6 5 2 7" xfId="33484"/>
    <cellStyle name="Обычный 7 6 5 2 7 2" xfId="33485"/>
    <cellStyle name="Обычный 7 6 5 2 8" xfId="33486"/>
    <cellStyle name="Обычный 7 6 5 2 9" xfId="33487"/>
    <cellStyle name="Обычный 7 6 5 3" xfId="33488"/>
    <cellStyle name="Обычный 7 6 5 3 2" xfId="33489"/>
    <cellStyle name="Обычный 7 6 5 3 2 2" xfId="33490"/>
    <cellStyle name="Обычный 7 6 5 3 2 2 2" xfId="33491"/>
    <cellStyle name="Обычный 7 6 5 3 2 2 2 2" xfId="33492"/>
    <cellStyle name="Обычный 7 6 5 3 2 2 2 3" xfId="33493"/>
    <cellStyle name="Обычный 7 6 5 3 2 2 3" xfId="33494"/>
    <cellStyle name="Обычный 7 6 5 3 2 2 3 2" xfId="33495"/>
    <cellStyle name="Обычный 7 6 5 3 2 2 3 3" xfId="33496"/>
    <cellStyle name="Обычный 7 6 5 3 2 2 4" xfId="33497"/>
    <cellStyle name="Обычный 7 6 5 3 2 2 4 2" xfId="33498"/>
    <cellStyle name="Обычный 7 6 5 3 2 2 5" xfId="33499"/>
    <cellStyle name="Обычный 7 6 5 3 2 2 6" xfId="33500"/>
    <cellStyle name="Обычный 7 6 5 3 2 3" xfId="33501"/>
    <cellStyle name="Обычный 7 6 5 3 2 3 2" xfId="33502"/>
    <cellStyle name="Обычный 7 6 5 3 2 3 3" xfId="33503"/>
    <cellStyle name="Обычный 7 6 5 3 2 4" xfId="33504"/>
    <cellStyle name="Обычный 7 6 5 3 2 4 2" xfId="33505"/>
    <cellStyle name="Обычный 7 6 5 3 2 4 3" xfId="33506"/>
    <cellStyle name="Обычный 7 6 5 3 2 5" xfId="33507"/>
    <cellStyle name="Обычный 7 6 5 3 2 5 2" xfId="33508"/>
    <cellStyle name="Обычный 7 6 5 3 2 6" xfId="33509"/>
    <cellStyle name="Обычный 7 6 5 3 2 7" xfId="33510"/>
    <cellStyle name="Обычный 7 6 5 3 3" xfId="33511"/>
    <cellStyle name="Обычный 7 6 5 3 3 2" xfId="33512"/>
    <cellStyle name="Обычный 7 6 5 3 3 2 2" xfId="33513"/>
    <cellStyle name="Обычный 7 6 5 3 3 2 3" xfId="33514"/>
    <cellStyle name="Обычный 7 6 5 3 3 3" xfId="33515"/>
    <cellStyle name="Обычный 7 6 5 3 3 3 2" xfId="33516"/>
    <cellStyle name="Обычный 7 6 5 3 3 3 3" xfId="33517"/>
    <cellStyle name="Обычный 7 6 5 3 3 4" xfId="33518"/>
    <cellStyle name="Обычный 7 6 5 3 3 4 2" xfId="33519"/>
    <cellStyle name="Обычный 7 6 5 3 3 5" xfId="33520"/>
    <cellStyle name="Обычный 7 6 5 3 3 6" xfId="33521"/>
    <cellStyle name="Обычный 7 6 5 3 4" xfId="33522"/>
    <cellStyle name="Обычный 7 6 5 3 4 2" xfId="33523"/>
    <cellStyle name="Обычный 7 6 5 3 4 3" xfId="33524"/>
    <cellStyle name="Обычный 7 6 5 3 5" xfId="33525"/>
    <cellStyle name="Обычный 7 6 5 3 5 2" xfId="33526"/>
    <cellStyle name="Обычный 7 6 5 3 5 3" xfId="33527"/>
    <cellStyle name="Обычный 7 6 5 3 6" xfId="33528"/>
    <cellStyle name="Обычный 7 6 5 3 6 2" xfId="33529"/>
    <cellStyle name="Обычный 7 6 5 3 7" xfId="33530"/>
    <cellStyle name="Обычный 7 6 5 3 8" xfId="33531"/>
    <cellStyle name="Обычный 7 6 5 4" xfId="33532"/>
    <cellStyle name="Обычный 7 6 5 4 2" xfId="33533"/>
    <cellStyle name="Обычный 7 6 5 4 2 2" xfId="33534"/>
    <cellStyle name="Обычный 7 6 5 4 2 2 2" xfId="33535"/>
    <cellStyle name="Обычный 7 6 5 4 2 2 3" xfId="33536"/>
    <cellStyle name="Обычный 7 6 5 4 2 3" xfId="33537"/>
    <cellStyle name="Обычный 7 6 5 4 2 3 2" xfId="33538"/>
    <cellStyle name="Обычный 7 6 5 4 2 3 3" xfId="33539"/>
    <cellStyle name="Обычный 7 6 5 4 2 4" xfId="33540"/>
    <cellStyle name="Обычный 7 6 5 4 2 4 2" xfId="33541"/>
    <cellStyle name="Обычный 7 6 5 4 2 5" xfId="33542"/>
    <cellStyle name="Обычный 7 6 5 4 2 6" xfId="33543"/>
    <cellStyle name="Обычный 7 6 5 4 3" xfId="33544"/>
    <cellStyle name="Обычный 7 6 5 4 3 2" xfId="33545"/>
    <cellStyle name="Обычный 7 6 5 4 3 3" xfId="33546"/>
    <cellStyle name="Обычный 7 6 5 4 4" xfId="33547"/>
    <cellStyle name="Обычный 7 6 5 4 4 2" xfId="33548"/>
    <cellStyle name="Обычный 7 6 5 4 4 3" xfId="33549"/>
    <cellStyle name="Обычный 7 6 5 4 5" xfId="33550"/>
    <cellStyle name="Обычный 7 6 5 4 5 2" xfId="33551"/>
    <cellStyle name="Обычный 7 6 5 4 6" xfId="33552"/>
    <cellStyle name="Обычный 7 6 5 4 7" xfId="33553"/>
    <cellStyle name="Обычный 7 6 5 5" xfId="33554"/>
    <cellStyle name="Обычный 7 6 5 5 2" xfId="33555"/>
    <cellStyle name="Обычный 7 6 5 5 2 2" xfId="33556"/>
    <cellStyle name="Обычный 7 6 5 5 2 3" xfId="33557"/>
    <cellStyle name="Обычный 7 6 5 5 3" xfId="33558"/>
    <cellStyle name="Обычный 7 6 5 5 3 2" xfId="33559"/>
    <cellStyle name="Обычный 7 6 5 5 3 3" xfId="33560"/>
    <cellStyle name="Обычный 7 6 5 5 4" xfId="33561"/>
    <cellStyle name="Обычный 7 6 5 5 4 2" xfId="33562"/>
    <cellStyle name="Обычный 7 6 5 5 5" xfId="33563"/>
    <cellStyle name="Обычный 7 6 5 5 6" xfId="33564"/>
    <cellStyle name="Обычный 7 6 5 6" xfId="33565"/>
    <cellStyle name="Обычный 7 6 5 6 2" xfId="33566"/>
    <cellStyle name="Обычный 7 6 5 6 3" xfId="33567"/>
    <cellStyle name="Обычный 7 6 5 7" xfId="33568"/>
    <cellStyle name="Обычный 7 6 5 7 2" xfId="33569"/>
    <cellStyle name="Обычный 7 6 5 7 3" xfId="33570"/>
    <cellStyle name="Обычный 7 6 5 8" xfId="33571"/>
    <cellStyle name="Обычный 7 6 5 8 2" xfId="33572"/>
    <cellStyle name="Обычный 7 6 5 9" xfId="33573"/>
    <cellStyle name="Обычный 7 6 6" xfId="33574"/>
    <cellStyle name="Обычный 7 6 6 2" xfId="33575"/>
    <cellStyle name="Обычный 7 6 6 2 2" xfId="33576"/>
    <cellStyle name="Обычный 7 6 6 2 2 2" xfId="33577"/>
    <cellStyle name="Обычный 7 6 6 2 2 2 2" xfId="33578"/>
    <cellStyle name="Обычный 7 6 6 2 2 2 2 2" xfId="33579"/>
    <cellStyle name="Обычный 7 6 6 2 2 2 2 3" xfId="33580"/>
    <cellStyle name="Обычный 7 6 6 2 2 2 3" xfId="33581"/>
    <cellStyle name="Обычный 7 6 6 2 2 2 3 2" xfId="33582"/>
    <cellStyle name="Обычный 7 6 6 2 2 2 3 3" xfId="33583"/>
    <cellStyle name="Обычный 7 6 6 2 2 2 4" xfId="33584"/>
    <cellStyle name="Обычный 7 6 6 2 2 2 4 2" xfId="33585"/>
    <cellStyle name="Обычный 7 6 6 2 2 2 5" xfId="33586"/>
    <cellStyle name="Обычный 7 6 6 2 2 2 6" xfId="33587"/>
    <cellStyle name="Обычный 7 6 6 2 2 3" xfId="33588"/>
    <cellStyle name="Обычный 7 6 6 2 2 3 2" xfId="33589"/>
    <cellStyle name="Обычный 7 6 6 2 2 3 3" xfId="33590"/>
    <cellStyle name="Обычный 7 6 6 2 2 4" xfId="33591"/>
    <cellStyle name="Обычный 7 6 6 2 2 4 2" xfId="33592"/>
    <cellStyle name="Обычный 7 6 6 2 2 4 3" xfId="33593"/>
    <cellStyle name="Обычный 7 6 6 2 2 5" xfId="33594"/>
    <cellStyle name="Обычный 7 6 6 2 2 5 2" xfId="33595"/>
    <cellStyle name="Обычный 7 6 6 2 2 6" xfId="33596"/>
    <cellStyle name="Обычный 7 6 6 2 2 7" xfId="33597"/>
    <cellStyle name="Обычный 7 6 6 2 3" xfId="33598"/>
    <cellStyle name="Обычный 7 6 6 2 3 2" xfId="33599"/>
    <cellStyle name="Обычный 7 6 6 2 3 2 2" xfId="33600"/>
    <cellStyle name="Обычный 7 6 6 2 3 2 3" xfId="33601"/>
    <cellStyle name="Обычный 7 6 6 2 3 3" xfId="33602"/>
    <cellStyle name="Обычный 7 6 6 2 3 3 2" xfId="33603"/>
    <cellStyle name="Обычный 7 6 6 2 3 3 3" xfId="33604"/>
    <cellStyle name="Обычный 7 6 6 2 3 4" xfId="33605"/>
    <cellStyle name="Обычный 7 6 6 2 3 4 2" xfId="33606"/>
    <cellStyle name="Обычный 7 6 6 2 3 5" xfId="33607"/>
    <cellStyle name="Обычный 7 6 6 2 3 6" xfId="33608"/>
    <cellStyle name="Обычный 7 6 6 2 4" xfId="33609"/>
    <cellStyle name="Обычный 7 6 6 2 4 2" xfId="33610"/>
    <cellStyle name="Обычный 7 6 6 2 4 3" xfId="33611"/>
    <cellStyle name="Обычный 7 6 6 2 5" xfId="33612"/>
    <cellStyle name="Обычный 7 6 6 2 5 2" xfId="33613"/>
    <cellStyle name="Обычный 7 6 6 2 5 3" xfId="33614"/>
    <cellStyle name="Обычный 7 6 6 2 6" xfId="33615"/>
    <cellStyle name="Обычный 7 6 6 2 6 2" xfId="33616"/>
    <cellStyle name="Обычный 7 6 6 2 7" xfId="33617"/>
    <cellStyle name="Обычный 7 6 6 2 8" xfId="33618"/>
    <cellStyle name="Обычный 7 6 6 3" xfId="33619"/>
    <cellStyle name="Обычный 7 6 6 3 2" xfId="33620"/>
    <cellStyle name="Обычный 7 6 6 3 2 2" xfId="33621"/>
    <cellStyle name="Обычный 7 6 6 3 2 2 2" xfId="33622"/>
    <cellStyle name="Обычный 7 6 6 3 2 2 3" xfId="33623"/>
    <cellStyle name="Обычный 7 6 6 3 2 3" xfId="33624"/>
    <cellStyle name="Обычный 7 6 6 3 2 3 2" xfId="33625"/>
    <cellStyle name="Обычный 7 6 6 3 2 3 3" xfId="33626"/>
    <cellStyle name="Обычный 7 6 6 3 2 4" xfId="33627"/>
    <cellStyle name="Обычный 7 6 6 3 2 4 2" xfId="33628"/>
    <cellStyle name="Обычный 7 6 6 3 2 5" xfId="33629"/>
    <cellStyle name="Обычный 7 6 6 3 2 6" xfId="33630"/>
    <cellStyle name="Обычный 7 6 6 3 3" xfId="33631"/>
    <cellStyle name="Обычный 7 6 6 3 3 2" xfId="33632"/>
    <cellStyle name="Обычный 7 6 6 3 3 3" xfId="33633"/>
    <cellStyle name="Обычный 7 6 6 3 4" xfId="33634"/>
    <cellStyle name="Обычный 7 6 6 3 4 2" xfId="33635"/>
    <cellStyle name="Обычный 7 6 6 3 4 3" xfId="33636"/>
    <cellStyle name="Обычный 7 6 6 3 5" xfId="33637"/>
    <cellStyle name="Обычный 7 6 6 3 5 2" xfId="33638"/>
    <cellStyle name="Обычный 7 6 6 3 6" xfId="33639"/>
    <cellStyle name="Обычный 7 6 6 3 7" xfId="33640"/>
    <cellStyle name="Обычный 7 6 6 4" xfId="33641"/>
    <cellStyle name="Обычный 7 6 6 4 2" xfId="33642"/>
    <cellStyle name="Обычный 7 6 6 4 2 2" xfId="33643"/>
    <cellStyle name="Обычный 7 6 6 4 2 3" xfId="33644"/>
    <cellStyle name="Обычный 7 6 6 4 3" xfId="33645"/>
    <cellStyle name="Обычный 7 6 6 4 3 2" xfId="33646"/>
    <cellStyle name="Обычный 7 6 6 4 3 3" xfId="33647"/>
    <cellStyle name="Обычный 7 6 6 4 4" xfId="33648"/>
    <cellStyle name="Обычный 7 6 6 4 4 2" xfId="33649"/>
    <cellStyle name="Обычный 7 6 6 4 5" xfId="33650"/>
    <cellStyle name="Обычный 7 6 6 4 6" xfId="33651"/>
    <cellStyle name="Обычный 7 6 6 5" xfId="33652"/>
    <cellStyle name="Обычный 7 6 6 5 2" xfId="33653"/>
    <cellStyle name="Обычный 7 6 6 5 3" xfId="33654"/>
    <cellStyle name="Обычный 7 6 6 6" xfId="33655"/>
    <cellStyle name="Обычный 7 6 6 6 2" xfId="33656"/>
    <cellStyle name="Обычный 7 6 6 6 3" xfId="33657"/>
    <cellStyle name="Обычный 7 6 6 7" xfId="33658"/>
    <cellStyle name="Обычный 7 6 6 7 2" xfId="33659"/>
    <cellStyle name="Обычный 7 6 6 8" xfId="33660"/>
    <cellStyle name="Обычный 7 6 6 9" xfId="33661"/>
    <cellStyle name="Обычный 7 6 7" xfId="33662"/>
    <cellStyle name="Обычный 7 6 7 2" xfId="33663"/>
    <cellStyle name="Обычный 7 6 7 2 2" xfId="33664"/>
    <cellStyle name="Обычный 7 6 7 2 2 2" xfId="33665"/>
    <cellStyle name="Обычный 7 6 7 2 2 2 2" xfId="33666"/>
    <cellStyle name="Обычный 7 6 7 2 2 2 3" xfId="33667"/>
    <cellStyle name="Обычный 7 6 7 2 2 3" xfId="33668"/>
    <cellStyle name="Обычный 7 6 7 2 2 3 2" xfId="33669"/>
    <cellStyle name="Обычный 7 6 7 2 2 3 3" xfId="33670"/>
    <cellStyle name="Обычный 7 6 7 2 2 4" xfId="33671"/>
    <cellStyle name="Обычный 7 6 7 2 2 4 2" xfId="33672"/>
    <cellStyle name="Обычный 7 6 7 2 2 5" xfId="33673"/>
    <cellStyle name="Обычный 7 6 7 2 2 6" xfId="33674"/>
    <cellStyle name="Обычный 7 6 7 2 3" xfId="33675"/>
    <cellStyle name="Обычный 7 6 7 2 3 2" xfId="33676"/>
    <cellStyle name="Обычный 7 6 7 2 3 3" xfId="33677"/>
    <cellStyle name="Обычный 7 6 7 2 4" xfId="33678"/>
    <cellStyle name="Обычный 7 6 7 2 4 2" xfId="33679"/>
    <cellStyle name="Обычный 7 6 7 2 4 3" xfId="33680"/>
    <cellStyle name="Обычный 7 6 7 2 5" xfId="33681"/>
    <cellStyle name="Обычный 7 6 7 2 5 2" xfId="33682"/>
    <cellStyle name="Обычный 7 6 7 2 6" xfId="33683"/>
    <cellStyle name="Обычный 7 6 7 2 7" xfId="33684"/>
    <cellStyle name="Обычный 7 6 7 3" xfId="33685"/>
    <cellStyle name="Обычный 7 6 7 3 2" xfId="33686"/>
    <cellStyle name="Обычный 7 6 7 3 2 2" xfId="33687"/>
    <cellStyle name="Обычный 7 6 7 3 2 3" xfId="33688"/>
    <cellStyle name="Обычный 7 6 7 3 3" xfId="33689"/>
    <cellStyle name="Обычный 7 6 7 3 3 2" xfId="33690"/>
    <cellStyle name="Обычный 7 6 7 3 3 3" xfId="33691"/>
    <cellStyle name="Обычный 7 6 7 3 4" xfId="33692"/>
    <cellStyle name="Обычный 7 6 7 3 4 2" xfId="33693"/>
    <cellStyle name="Обычный 7 6 7 3 5" xfId="33694"/>
    <cellStyle name="Обычный 7 6 7 3 6" xfId="33695"/>
    <cellStyle name="Обычный 7 6 7 4" xfId="33696"/>
    <cellStyle name="Обычный 7 6 7 4 2" xfId="33697"/>
    <cellStyle name="Обычный 7 6 7 4 3" xfId="33698"/>
    <cellStyle name="Обычный 7 6 7 5" xfId="33699"/>
    <cellStyle name="Обычный 7 6 7 5 2" xfId="33700"/>
    <cellStyle name="Обычный 7 6 7 5 3" xfId="33701"/>
    <cellStyle name="Обычный 7 6 7 6" xfId="33702"/>
    <cellStyle name="Обычный 7 6 7 6 2" xfId="33703"/>
    <cellStyle name="Обычный 7 6 7 7" xfId="33704"/>
    <cellStyle name="Обычный 7 6 7 8" xfId="33705"/>
    <cellStyle name="Обычный 7 6 8" xfId="33706"/>
    <cellStyle name="Обычный 7 6 8 2" xfId="33707"/>
    <cellStyle name="Обычный 7 6 8 2 2" xfId="33708"/>
    <cellStyle name="Обычный 7 6 8 2 2 2" xfId="33709"/>
    <cellStyle name="Обычный 7 6 8 2 2 3" xfId="33710"/>
    <cellStyle name="Обычный 7 6 8 2 3" xfId="33711"/>
    <cellStyle name="Обычный 7 6 8 2 3 2" xfId="33712"/>
    <cellStyle name="Обычный 7 6 8 2 3 3" xfId="33713"/>
    <cellStyle name="Обычный 7 6 8 2 4" xfId="33714"/>
    <cellStyle name="Обычный 7 6 8 2 4 2" xfId="33715"/>
    <cellStyle name="Обычный 7 6 8 2 5" xfId="33716"/>
    <cellStyle name="Обычный 7 6 8 2 6" xfId="33717"/>
    <cellStyle name="Обычный 7 6 8 3" xfId="33718"/>
    <cellStyle name="Обычный 7 6 8 3 2" xfId="33719"/>
    <cellStyle name="Обычный 7 6 8 3 3" xfId="33720"/>
    <cellStyle name="Обычный 7 6 8 4" xfId="33721"/>
    <cellStyle name="Обычный 7 6 8 4 2" xfId="33722"/>
    <cellStyle name="Обычный 7 6 8 4 3" xfId="33723"/>
    <cellStyle name="Обычный 7 6 8 5" xfId="33724"/>
    <cellStyle name="Обычный 7 6 8 5 2" xfId="33725"/>
    <cellStyle name="Обычный 7 6 8 6" xfId="33726"/>
    <cellStyle name="Обычный 7 6 8 7" xfId="33727"/>
    <cellStyle name="Обычный 7 6 9" xfId="33728"/>
    <cellStyle name="Обычный 7 6 9 2" xfId="33729"/>
    <cellStyle name="Обычный 7 6 9 2 2" xfId="33730"/>
    <cellStyle name="Обычный 7 6 9 2 3" xfId="33731"/>
    <cellStyle name="Обычный 7 6 9 3" xfId="33732"/>
    <cellStyle name="Обычный 7 6 9 3 2" xfId="33733"/>
    <cellStyle name="Обычный 7 6 9 3 3" xfId="33734"/>
    <cellStyle name="Обычный 7 6 9 4" xfId="33735"/>
    <cellStyle name="Обычный 7 6 9 4 2" xfId="33736"/>
    <cellStyle name="Обычный 7 6 9 5" xfId="33737"/>
    <cellStyle name="Обычный 7 6 9 6" xfId="33738"/>
    <cellStyle name="Обычный 7 7" xfId="33739"/>
    <cellStyle name="Обычный 7 7 10" xfId="33740"/>
    <cellStyle name="Обычный 7 7 10 2" xfId="33741"/>
    <cellStyle name="Обычный 7 7 10 3" xfId="33742"/>
    <cellStyle name="Обычный 7 7 11" xfId="33743"/>
    <cellStyle name="Обычный 7 7 11 2" xfId="33744"/>
    <cellStyle name="Обычный 7 7 11 3" xfId="33745"/>
    <cellStyle name="Обычный 7 7 12" xfId="33746"/>
    <cellStyle name="Обычный 7 7 12 2" xfId="33747"/>
    <cellStyle name="Обычный 7 7 13" xfId="33748"/>
    <cellStyle name="Обычный 7 7 14" xfId="33749"/>
    <cellStyle name="Обычный 7 7 2" xfId="33750"/>
    <cellStyle name="Обычный 7 7 2 10" xfId="33751"/>
    <cellStyle name="Обычный 7 7 2 10 2" xfId="33752"/>
    <cellStyle name="Обычный 7 7 2 10 3" xfId="33753"/>
    <cellStyle name="Обычный 7 7 2 11" xfId="33754"/>
    <cellStyle name="Обычный 7 7 2 11 2" xfId="33755"/>
    <cellStyle name="Обычный 7 7 2 12" xfId="33756"/>
    <cellStyle name="Обычный 7 7 2 13" xfId="33757"/>
    <cellStyle name="Обычный 7 7 2 2" xfId="33758"/>
    <cellStyle name="Обычный 7 7 2 2 10" xfId="33759"/>
    <cellStyle name="Обычный 7 7 2 2 2" xfId="33760"/>
    <cellStyle name="Обычный 7 7 2 2 2 2" xfId="33761"/>
    <cellStyle name="Обычный 7 7 2 2 2 2 2" xfId="33762"/>
    <cellStyle name="Обычный 7 7 2 2 2 2 2 2" xfId="33763"/>
    <cellStyle name="Обычный 7 7 2 2 2 2 2 2 2" xfId="33764"/>
    <cellStyle name="Обычный 7 7 2 2 2 2 2 2 2 2" xfId="33765"/>
    <cellStyle name="Обычный 7 7 2 2 2 2 2 2 2 3" xfId="33766"/>
    <cellStyle name="Обычный 7 7 2 2 2 2 2 2 3" xfId="33767"/>
    <cellStyle name="Обычный 7 7 2 2 2 2 2 2 3 2" xfId="33768"/>
    <cellStyle name="Обычный 7 7 2 2 2 2 2 2 3 3" xfId="33769"/>
    <cellStyle name="Обычный 7 7 2 2 2 2 2 2 4" xfId="33770"/>
    <cellStyle name="Обычный 7 7 2 2 2 2 2 2 4 2" xfId="33771"/>
    <cellStyle name="Обычный 7 7 2 2 2 2 2 2 5" xfId="33772"/>
    <cellStyle name="Обычный 7 7 2 2 2 2 2 2 6" xfId="33773"/>
    <cellStyle name="Обычный 7 7 2 2 2 2 2 3" xfId="33774"/>
    <cellStyle name="Обычный 7 7 2 2 2 2 2 3 2" xfId="33775"/>
    <cellStyle name="Обычный 7 7 2 2 2 2 2 3 3" xfId="33776"/>
    <cellStyle name="Обычный 7 7 2 2 2 2 2 4" xfId="33777"/>
    <cellStyle name="Обычный 7 7 2 2 2 2 2 4 2" xfId="33778"/>
    <cellStyle name="Обычный 7 7 2 2 2 2 2 4 3" xfId="33779"/>
    <cellStyle name="Обычный 7 7 2 2 2 2 2 5" xfId="33780"/>
    <cellStyle name="Обычный 7 7 2 2 2 2 2 5 2" xfId="33781"/>
    <cellStyle name="Обычный 7 7 2 2 2 2 2 6" xfId="33782"/>
    <cellStyle name="Обычный 7 7 2 2 2 2 2 7" xfId="33783"/>
    <cellStyle name="Обычный 7 7 2 2 2 2 3" xfId="33784"/>
    <cellStyle name="Обычный 7 7 2 2 2 2 3 2" xfId="33785"/>
    <cellStyle name="Обычный 7 7 2 2 2 2 3 2 2" xfId="33786"/>
    <cellStyle name="Обычный 7 7 2 2 2 2 3 2 3" xfId="33787"/>
    <cellStyle name="Обычный 7 7 2 2 2 2 3 3" xfId="33788"/>
    <cellStyle name="Обычный 7 7 2 2 2 2 3 3 2" xfId="33789"/>
    <cellStyle name="Обычный 7 7 2 2 2 2 3 3 3" xfId="33790"/>
    <cellStyle name="Обычный 7 7 2 2 2 2 3 4" xfId="33791"/>
    <cellStyle name="Обычный 7 7 2 2 2 2 3 4 2" xfId="33792"/>
    <cellStyle name="Обычный 7 7 2 2 2 2 3 5" xfId="33793"/>
    <cellStyle name="Обычный 7 7 2 2 2 2 3 6" xfId="33794"/>
    <cellStyle name="Обычный 7 7 2 2 2 2 4" xfId="33795"/>
    <cellStyle name="Обычный 7 7 2 2 2 2 4 2" xfId="33796"/>
    <cellStyle name="Обычный 7 7 2 2 2 2 4 3" xfId="33797"/>
    <cellStyle name="Обычный 7 7 2 2 2 2 5" xfId="33798"/>
    <cellStyle name="Обычный 7 7 2 2 2 2 5 2" xfId="33799"/>
    <cellStyle name="Обычный 7 7 2 2 2 2 5 3" xfId="33800"/>
    <cellStyle name="Обычный 7 7 2 2 2 2 6" xfId="33801"/>
    <cellStyle name="Обычный 7 7 2 2 2 2 6 2" xfId="33802"/>
    <cellStyle name="Обычный 7 7 2 2 2 2 7" xfId="33803"/>
    <cellStyle name="Обычный 7 7 2 2 2 2 8" xfId="33804"/>
    <cellStyle name="Обычный 7 7 2 2 2 3" xfId="33805"/>
    <cellStyle name="Обычный 7 7 2 2 2 3 2" xfId="33806"/>
    <cellStyle name="Обычный 7 7 2 2 2 3 2 2" xfId="33807"/>
    <cellStyle name="Обычный 7 7 2 2 2 3 2 2 2" xfId="33808"/>
    <cellStyle name="Обычный 7 7 2 2 2 3 2 2 3" xfId="33809"/>
    <cellStyle name="Обычный 7 7 2 2 2 3 2 3" xfId="33810"/>
    <cellStyle name="Обычный 7 7 2 2 2 3 2 3 2" xfId="33811"/>
    <cellStyle name="Обычный 7 7 2 2 2 3 2 3 3" xfId="33812"/>
    <cellStyle name="Обычный 7 7 2 2 2 3 2 4" xfId="33813"/>
    <cellStyle name="Обычный 7 7 2 2 2 3 2 4 2" xfId="33814"/>
    <cellStyle name="Обычный 7 7 2 2 2 3 2 5" xfId="33815"/>
    <cellStyle name="Обычный 7 7 2 2 2 3 2 6" xfId="33816"/>
    <cellStyle name="Обычный 7 7 2 2 2 3 3" xfId="33817"/>
    <cellStyle name="Обычный 7 7 2 2 2 3 3 2" xfId="33818"/>
    <cellStyle name="Обычный 7 7 2 2 2 3 3 3" xfId="33819"/>
    <cellStyle name="Обычный 7 7 2 2 2 3 4" xfId="33820"/>
    <cellStyle name="Обычный 7 7 2 2 2 3 4 2" xfId="33821"/>
    <cellStyle name="Обычный 7 7 2 2 2 3 4 3" xfId="33822"/>
    <cellStyle name="Обычный 7 7 2 2 2 3 5" xfId="33823"/>
    <cellStyle name="Обычный 7 7 2 2 2 3 5 2" xfId="33824"/>
    <cellStyle name="Обычный 7 7 2 2 2 3 6" xfId="33825"/>
    <cellStyle name="Обычный 7 7 2 2 2 3 7" xfId="33826"/>
    <cellStyle name="Обычный 7 7 2 2 2 4" xfId="33827"/>
    <cellStyle name="Обычный 7 7 2 2 2 4 2" xfId="33828"/>
    <cellStyle name="Обычный 7 7 2 2 2 4 2 2" xfId="33829"/>
    <cellStyle name="Обычный 7 7 2 2 2 4 2 3" xfId="33830"/>
    <cellStyle name="Обычный 7 7 2 2 2 4 3" xfId="33831"/>
    <cellStyle name="Обычный 7 7 2 2 2 4 3 2" xfId="33832"/>
    <cellStyle name="Обычный 7 7 2 2 2 4 3 3" xfId="33833"/>
    <cellStyle name="Обычный 7 7 2 2 2 4 4" xfId="33834"/>
    <cellStyle name="Обычный 7 7 2 2 2 4 4 2" xfId="33835"/>
    <cellStyle name="Обычный 7 7 2 2 2 4 5" xfId="33836"/>
    <cellStyle name="Обычный 7 7 2 2 2 4 6" xfId="33837"/>
    <cellStyle name="Обычный 7 7 2 2 2 5" xfId="33838"/>
    <cellStyle name="Обычный 7 7 2 2 2 5 2" xfId="33839"/>
    <cellStyle name="Обычный 7 7 2 2 2 5 3" xfId="33840"/>
    <cellStyle name="Обычный 7 7 2 2 2 6" xfId="33841"/>
    <cellStyle name="Обычный 7 7 2 2 2 6 2" xfId="33842"/>
    <cellStyle name="Обычный 7 7 2 2 2 6 3" xfId="33843"/>
    <cellStyle name="Обычный 7 7 2 2 2 7" xfId="33844"/>
    <cellStyle name="Обычный 7 7 2 2 2 7 2" xfId="33845"/>
    <cellStyle name="Обычный 7 7 2 2 2 8" xfId="33846"/>
    <cellStyle name="Обычный 7 7 2 2 2 9" xfId="33847"/>
    <cellStyle name="Обычный 7 7 2 2 3" xfId="33848"/>
    <cellStyle name="Обычный 7 7 2 2 3 2" xfId="33849"/>
    <cellStyle name="Обычный 7 7 2 2 3 2 2" xfId="33850"/>
    <cellStyle name="Обычный 7 7 2 2 3 2 2 2" xfId="33851"/>
    <cellStyle name="Обычный 7 7 2 2 3 2 2 2 2" xfId="33852"/>
    <cellStyle name="Обычный 7 7 2 2 3 2 2 2 3" xfId="33853"/>
    <cellStyle name="Обычный 7 7 2 2 3 2 2 3" xfId="33854"/>
    <cellStyle name="Обычный 7 7 2 2 3 2 2 3 2" xfId="33855"/>
    <cellStyle name="Обычный 7 7 2 2 3 2 2 3 3" xfId="33856"/>
    <cellStyle name="Обычный 7 7 2 2 3 2 2 4" xfId="33857"/>
    <cellStyle name="Обычный 7 7 2 2 3 2 2 4 2" xfId="33858"/>
    <cellStyle name="Обычный 7 7 2 2 3 2 2 5" xfId="33859"/>
    <cellStyle name="Обычный 7 7 2 2 3 2 2 6" xfId="33860"/>
    <cellStyle name="Обычный 7 7 2 2 3 2 3" xfId="33861"/>
    <cellStyle name="Обычный 7 7 2 2 3 2 3 2" xfId="33862"/>
    <cellStyle name="Обычный 7 7 2 2 3 2 3 3" xfId="33863"/>
    <cellStyle name="Обычный 7 7 2 2 3 2 4" xfId="33864"/>
    <cellStyle name="Обычный 7 7 2 2 3 2 4 2" xfId="33865"/>
    <cellStyle name="Обычный 7 7 2 2 3 2 4 3" xfId="33866"/>
    <cellStyle name="Обычный 7 7 2 2 3 2 5" xfId="33867"/>
    <cellStyle name="Обычный 7 7 2 2 3 2 5 2" xfId="33868"/>
    <cellStyle name="Обычный 7 7 2 2 3 2 6" xfId="33869"/>
    <cellStyle name="Обычный 7 7 2 2 3 2 7" xfId="33870"/>
    <cellStyle name="Обычный 7 7 2 2 3 3" xfId="33871"/>
    <cellStyle name="Обычный 7 7 2 2 3 3 2" xfId="33872"/>
    <cellStyle name="Обычный 7 7 2 2 3 3 2 2" xfId="33873"/>
    <cellStyle name="Обычный 7 7 2 2 3 3 2 3" xfId="33874"/>
    <cellStyle name="Обычный 7 7 2 2 3 3 3" xfId="33875"/>
    <cellStyle name="Обычный 7 7 2 2 3 3 3 2" xfId="33876"/>
    <cellStyle name="Обычный 7 7 2 2 3 3 3 3" xfId="33877"/>
    <cellStyle name="Обычный 7 7 2 2 3 3 4" xfId="33878"/>
    <cellStyle name="Обычный 7 7 2 2 3 3 4 2" xfId="33879"/>
    <cellStyle name="Обычный 7 7 2 2 3 3 5" xfId="33880"/>
    <cellStyle name="Обычный 7 7 2 2 3 3 6" xfId="33881"/>
    <cellStyle name="Обычный 7 7 2 2 3 4" xfId="33882"/>
    <cellStyle name="Обычный 7 7 2 2 3 4 2" xfId="33883"/>
    <cellStyle name="Обычный 7 7 2 2 3 4 3" xfId="33884"/>
    <cellStyle name="Обычный 7 7 2 2 3 5" xfId="33885"/>
    <cellStyle name="Обычный 7 7 2 2 3 5 2" xfId="33886"/>
    <cellStyle name="Обычный 7 7 2 2 3 5 3" xfId="33887"/>
    <cellStyle name="Обычный 7 7 2 2 3 6" xfId="33888"/>
    <cellStyle name="Обычный 7 7 2 2 3 6 2" xfId="33889"/>
    <cellStyle name="Обычный 7 7 2 2 3 7" xfId="33890"/>
    <cellStyle name="Обычный 7 7 2 2 3 8" xfId="33891"/>
    <cellStyle name="Обычный 7 7 2 2 4" xfId="33892"/>
    <cellStyle name="Обычный 7 7 2 2 4 2" xfId="33893"/>
    <cellStyle name="Обычный 7 7 2 2 4 2 2" xfId="33894"/>
    <cellStyle name="Обычный 7 7 2 2 4 2 2 2" xfId="33895"/>
    <cellStyle name="Обычный 7 7 2 2 4 2 2 3" xfId="33896"/>
    <cellStyle name="Обычный 7 7 2 2 4 2 3" xfId="33897"/>
    <cellStyle name="Обычный 7 7 2 2 4 2 3 2" xfId="33898"/>
    <cellStyle name="Обычный 7 7 2 2 4 2 3 3" xfId="33899"/>
    <cellStyle name="Обычный 7 7 2 2 4 2 4" xfId="33900"/>
    <cellStyle name="Обычный 7 7 2 2 4 2 4 2" xfId="33901"/>
    <cellStyle name="Обычный 7 7 2 2 4 2 5" xfId="33902"/>
    <cellStyle name="Обычный 7 7 2 2 4 2 6" xfId="33903"/>
    <cellStyle name="Обычный 7 7 2 2 4 3" xfId="33904"/>
    <cellStyle name="Обычный 7 7 2 2 4 3 2" xfId="33905"/>
    <cellStyle name="Обычный 7 7 2 2 4 3 3" xfId="33906"/>
    <cellStyle name="Обычный 7 7 2 2 4 4" xfId="33907"/>
    <cellStyle name="Обычный 7 7 2 2 4 4 2" xfId="33908"/>
    <cellStyle name="Обычный 7 7 2 2 4 4 3" xfId="33909"/>
    <cellStyle name="Обычный 7 7 2 2 4 5" xfId="33910"/>
    <cellStyle name="Обычный 7 7 2 2 4 5 2" xfId="33911"/>
    <cellStyle name="Обычный 7 7 2 2 4 6" xfId="33912"/>
    <cellStyle name="Обычный 7 7 2 2 4 7" xfId="33913"/>
    <cellStyle name="Обычный 7 7 2 2 5" xfId="33914"/>
    <cellStyle name="Обычный 7 7 2 2 5 2" xfId="33915"/>
    <cellStyle name="Обычный 7 7 2 2 5 2 2" xfId="33916"/>
    <cellStyle name="Обычный 7 7 2 2 5 2 3" xfId="33917"/>
    <cellStyle name="Обычный 7 7 2 2 5 3" xfId="33918"/>
    <cellStyle name="Обычный 7 7 2 2 5 3 2" xfId="33919"/>
    <cellStyle name="Обычный 7 7 2 2 5 3 3" xfId="33920"/>
    <cellStyle name="Обычный 7 7 2 2 5 4" xfId="33921"/>
    <cellStyle name="Обычный 7 7 2 2 5 4 2" xfId="33922"/>
    <cellStyle name="Обычный 7 7 2 2 5 5" xfId="33923"/>
    <cellStyle name="Обычный 7 7 2 2 5 6" xfId="33924"/>
    <cellStyle name="Обычный 7 7 2 2 6" xfId="33925"/>
    <cellStyle name="Обычный 7 7 2 2 6 2" xfId="33926"/>
    <cellStyle name="Обычный 7 7 2 2 6 3" xfId="33927"/>
    <cellStyle name="Обычный 7 7 2 2 7" xfId="33928"/>
    <cellStyle name="Обычный 7 7 2 2 7 2" xfId="33929"/>
    <cellStyle name="Обычный 7 7 2 2 7 3" xfId="33930"/>
    <cellStyle name="Обычный 7 7 2 2 8" xfId="33931"/>
    <cellStyle name="Обычный 7 7 2 2 8 2" xfId="33932"/>
    <cellStyle name="Обычный 7 7 2 2 9" xfId="33933"/>
    <cellStyle name="Обычный 7 7 2 3" xfId="33934"/>
    <cellStyle name="Обычный 7 7 2 3 10" xfId="33935"/>
    <cellStyle name="Обычный 7 7 2 3 2" xfId="33936"/>
    <cellStyle name="Обычный 7 7 2 3 2 2" xfId="33937"/>
    <cellStyle name="Обычный 7 7 2 3 2 2 2" xfId="33938"/>
    <cellStyle name="Обычный 7 7 2 3 2 2 2 2" xfId="33939"/>
    <cellStyle name="Обычный 7 7 2 3 2 2 2 2 2" xfId="33940"/>
    <cellStyle name="Обычный 7 7 2 3 2 2 2 2 2 2" xfId="33941"/>
    <cellStyle name="Обычный 7 7 2 3 2 2 2 2 2 3" xfId="33942"/>
    <cellStyle name="Обычный 7 7 2 3 2 2 2 2 3" xfId="33943"/>
    <cellStyle name="Обычный 7 7 2 3 2 2 2 2 3 2" xfId="33944"/>
    <cellStyle name="Обычный 7 7 2 3 2 2 2 2 3 3" xfId="33945"/>
    <cellStyle name="Обычный 7 7 2 3 2 2 2 2 4" xfId="33946"/>
    <cellStyle name="Обычный 7 7 2 3 2 2 2 2 4 2" xfId="33947"/>
    <cellStyle name="Обычный 7 7 2 3 2 2 2 2 5" xfId="33948"/>
    <cellStyle name="Обычный 7 7 2 3 2 2 2 2 6" xfId="33949"/>
    <cellStyle name="Обычный 7 7 2 3 2 2 2 3" xfId="33950"/>
    <cellStyle name="Обычный 7 7 2 3 2 2 2 3 2" xfId="33951"/>
    <cellStyle name="Обычный 7 7 2 3 2 2 2 3 3" xfId="33952"/>
    <cellStyle name="Обычный 7 7 2 3 2 2 2 4" xfId="33953"/>
    <cellStyle name="Обычный 7 7 2 3 2 2 2 4 2" xfId="33954"/>
    <cellStyle name="Обычный 7 7 2 3 2 2 2 4 3" xfId="33955"/>
    <cellStyle name="Обычный 7 7 2 3 2 2 2 5" xfId="33956"/>
    <cellStyle name="Обычный 7 7 2 3 2 2 2 5 2" xfId="33957"/>
    <cellStyle name="Обычный 7 7 2 3 2 2 2 6" xfId="33958"/>
    <cellStyle name="Обычный 7 7 2 3 2 2 2 7" xfId="33959"/>
    <cellStyle name="Обычный 7 7 2 3 2 2 3" xfId="33960"/>
    <cellStyle name="Обычный 7 7 2 3 2 2 3 2" xfId="33961"/>
    <cellStyle name="Обычный 7 7 2 3 2 2 3 2 2" xfId="33962"/>
    <cellStyle name="Обычный 7 7 2 3 2 2 3 2 3" xfId="33963"/>
    <cellStyle name="Обычный 7 7 2 3 2 2 3 3" xfId="33964"/>
    <cellStyle name="Обычный 7 7 2 3 2 2 3 3 2" xfId="33965"/>
    <cellStyle name="Обычный 7 7 2 3 2 2 3 3 3" xfId="33966"/>
    <cellStyle name="Обычный 7 7 2 3 2 2 3 4" xfId="33967"/>
    <cellStyle name="Обычный 7 7 2 3 2 2 3 4 2" xfId="33968"/>
    <cellStyle name="Обычный 7 7 2 3 2 2 3 5" xfId="33969"/>
    <cellStyle name="Обычный 7 7 2 3 2 2 3 6" xfId="33970"/>
    <cellStyle name="Обычный 7 7 2 3 2 2 4" xfId="33971"/>
    <cellStyle name="Обычный 7 7 2 3 2 2 4 2" xfId="33972"/>
    <cellStyle name="Обычный 7 7 2 3 2 2 4 3" xfId="33973"/>
    <cellStyle name="Обычный 7 7 2 3 2 2 5" xfId="33974"/>
    <cellStyle name="Обычный 7 7 2 3 2 2 5 2" xfId="33975"/>
    <cellStyle name="Обычный 7 7 2 3 2 2 5 3" xfId="33976"/>
    <cellStyle name="Обычный 7 7 2 3 2 2 6" xfId="33977"/>
    <cellStyle name="Обычный 7 7 2 3 2 2 6 2" xfId="33978"/>
    <cellStyle name="Обычный 7 7 2 3 2 2 7" xfId="33979"/>
    <cellStyle name="Обычный 7 7 2 3 2 2 8" xfId="33980"/>
    <cellStyle name="Обычный 7 7 2 3 2 3" xfId="33981"/>
    <cellStyle name="Обычный 7 7 2 3 2 3 2" xfId="33982"/>
    <cellStyle name="Обычный 7 7 2 3 2 3 2 2" xfId="33983"/>
    <cellStyle name="Обычный 7 7 2 3 2 3 2 2 2" xfId="33984"/>
    <cellStyle name="Обычный 7 7 2 3 2 3 2 2 3" xfId="33985"/>
    <cellStyle name="Обычный 7 7 2 3 2 3 2 3" xfId="33986"/>
    <cellStyle name="Обычный 7 7 2 3 2 3 2 3 2" xfId="33987"/>
    <cellStyle name="Обычный 7 7 2 3 2 3 2 3 3" xfId="33988"/>
    <cellStyle name="Обычный 7 7 2 3 2 3 2 4" xfId="33989"/>
    <cellStyle name="Обычный 7 7 2 3 2 3 2 4 2" xfId="33990"/>
    <cellStyle name="Обычный 7 7 2 3 2 3 2 5" xfId="33991"/>
    <cellStyle name="Обычный 7 7 2 3 2 3 2 6" xfId="33992"/>
    <cellStyle name="Обычный 7 7 2 3 2 3 3" xfId="33993"/>
    <cellStyle name="Обычный 7 7 2 3 2 3 3 2" xfId="33994"/>
    <cellStyle name="Обычный 7 7 2 3 2 3 3 3" xfId="33995"/>
    <cellStyle name="Обычный 7 7 2 3 2 3 4" xfId="33996"/>
    <cellStyle name="Обычный 7 7 2 3 2 3 4 2" xfId="33997"/>
    <cellStyle name="Обычный 7 7 2 3 2 3 4 3" xfId="33998"/>
    <cellStyle name="Обычный 7 7 2 3 2 3 5" xfId="33999"/>
    <cellStyle name="Обычный 7 7 2 3 2 3 5 2" xfId="34000"/>
    <cellStyle name="Обычный 7 7 2 3 2 3 6" xfId="34001"/>
    <cellStyle name="Обычный 7 7 2 3 2 3 7" xfId="34002"/>
    <cellStyle name="Обычный 7 7 2 3 2 4" xfId="34003"/>
    <cellStyle name="Обычный 7 7 2 3 2 4 2" xfId="34004"/>
    <cellStyle name="Обычный 7 7 2 3 2 4 2 2" xfId="34005"/>
    <cellStyle name="Обычный 7 7 2 3 2 4 2 3" xfId="34006"/>
    <cellStyle name="Обычный 7 7 2 3 2 4 3" xfId="34007"/>
    <cellStyle name="Обычный 7 7 2 3 2 4 3 2" xfId="34008"/>
    <cellStyle name="Обычный 7 7 2 3 2 4 3 3" xfId="34009"/>
    <cellStyle name="Обычный 7 7 2 3 2 4 4" xfId="34010"/>
    <cellStyle name="Обычный 7 7 2 3 2 4 4 2" xfId="34011"/>
    <cellStyle name="Обычный 7 7 2 3 2 4 5" xfId="34012"/>
    <cellStyle name="Обычный 7 7 2 3 2 4 6" xfId="34013"/>
    <cellStyle name="Обычный 7 7 2 3 2 5" xfId="34014"/>
    <cellStyle name="Обычный 7 7 2 3 2 5 2" xfId="34015"/>
    <cellStyle name="Обычный 7 7 2 3 2 5 3" xfId="34016"/>
    <cellStyle name="Обычный 7 7 2 3 2 6" xfId="34017"/>
    <cellStyle name="Обычный 7 7 2 3 2 6 2" xfId="34018"/>
    <cellStyle name="Обычный 7 7 2 3 2 6 3" xfId="34019"/>
    <cellStyle name="Обычный 7 7 2 3 2 7" xfId="34020"/>
    <cellStyle name="Обычный 7 7 2 3 2 7 2" xfId="34021"/>
    <cellStyle name="Обычный 7 7 2 3 2 8" xfId="34022"/>
    <cellStyle name="Обычный 7 7 2 3 2 9" xfId="34023"/>
    <cellStyle name="Обычный 7 7 2 3 3" xfId="34024"/>
    <cellStyle name="Обычный 7 7 2 3 3 2" xfId="34025"/>
    <cellStyle name="Обычный 7 7 2 3 3 2 2" xfId="34026"/>
    <cellStyle name="Обычный 7 7 2 3 3 2 2 2" xfId="34027"/>
    <cellStyle name="Обычный 7 7 2 3 3 2 2 2 2" xfId="34028"/>
    <cellStyle name="Обычный 7 7 2 3 3 2 2 2 3" xfId="34029"/>
    <cellStyle name="Обычный 7 7 2 3 3 2 2 3" xfId="34030"/>
    <cellStyle name="Обычный 7 7 2 3 3 2 2 3 2" xfId="34031"/>
    <cellStyle name="Обычный 7 7 2 3 3 2 2 3 3" xfId="34032"/>
    <cellStyle name="Обычный 7 7 2 3 3 2 2 4" xfId="34033"/>
    <cellStyle name="Обычный 7 7 2 3 3 2 2 4 2" xfId="34034"/>
    <cellStyle name="Обычный 7 7 2 3 3 2 2 5" xfId="34035"/>
    <cellStyle name="Обычный 7 7 2 3 3 2 2 6" xfId="34036"/>
    <cellStyle name="Обычный 7 7 2 3 3 2 3" xfId="34037"/>
    <cellStyle name="Обычный 7 7 2 3 3 2 3 2" xfId="34038"/>
    <cellStyle name="Обычный 7 7 2 3 3 2 3 3" xfId="34039"/>
    <cellStyle name="Обычный 7 7 2 3 3 2 4" xfId="34040"/>
    <cellStyle name="Обычный 7 7 2 3 3 2 4 2" xfId="34041"/>
    <cellStyle name="Обычный 7 7 2 3 3 2 4 3" xfId="34042"/>
    <cellStyle name="Обычный 7 7 2 3 3 2 5" xfId="34043"/>
    <cellStyle name="Обычный 7 7 2 3 3 2 5 2" xfId="34044"/>
    <cellStyle name="Обычный 7 7 2 3 3 2 6" xfId="34045"/>
    <cellStyle name="Обычный 7 7 2 3 3 2 7" xfId="34046"/>
    <cellStyle name="Обычный 7 7 2 3 3 3" xfId="34047"/>
    <cellStyle name="Обычный 7 7 2 3 3 3 2" xfId="34048"/>
    <cellStyle name="Обычный 7 7 2 3 3 3 2 2" xfId="34049"/>
    <cellStyle name="Обычный 7 7 2 3 3 3 2 3" xfId="34050"/>
    <cellStyle name="Обычный 7 7 2 3 3 3 3" xfId="34051"/>
    <cellStyle name="Обычный 7 7 2 3 3 3 3 2" xfId="34052"/>
    <cellStyle name="Обычный 7 7 2 3 3 3 3 3" xfId="34053"/>
    <cellStyle name="Обычный 7 7 2 3 3 3 4" xfId="34054"/>
    <cellStyle name="Обычный 7 7 2 3 3 3 4 2" xfId="34055"/>
    <cellStyle name="Обычный 7 7 2 3 3 3 5" xfId="34056"/>
    <cellStyle name="Обычный 7 7 2 3 3 3 6" xfId="34057"/>
    <cellStyle name="Обычный 7 7 2 3 3 4" xfId="34058"/>
    <cellStyle name="Обычный 7 7 2 3 3 4 2" xfId="34059"/>
    <cellStyle name="Обычный 7 7 2 3 3 4 3" xfId="34060"/>
    <cellStyle name="Обычный 7 7 2 3 3 5" xfId="34061"/>
    <cellStyle name="Обычный 7 7 2 3 3 5 2" xfId="34062"/>
    <cellStyle name="Обычный 7 7 2 3 3 5 3" xfId="34063"/>
    <cellStyle name="Обычный 7 7 2 3 3 6" xfId="34064"/>
    <cellStyle name="Обычный 7 7 2 3 3 6 2" xfId="34065"/>
    <cellStyle name="Обычный 7 7 2 3 3 7" xfId="34066"/>
    <cellStyle name="Обычный 7 7 2 3 3 8" xfId="34067"/>
    <cellStyle name="Обычный 7 7 2 3 4" xfId="34068"/>
    <cellStyle name="Обычный 7 7 2 3 4 2" xfId="34069"/>
    <cellStyle name="Обычный 7 7 2 3 4 2 2" xfId="34070"/>
    <cellStyle name="Обычный 7 7 2 3 4 2 2 2" xfId="34071"/>
    <cellStyle name="Обычный 7 7 2 3 4 2 2 3" xfId="34072"/>
    <cellStyle name="Обычный 7 7 2 3 4 2 3" xfId="34073"/>
    <cellStyle name="Обычный 7 7 2 3 4 2 3 2" xfId="34074"/>
    <cellStyle name="Обычный 7 7 2 3 4 2 3 3" xfId="34075"/>
    <cellStyle name="Обычный 7 7 2 3 4 2 4" xfId="34076"/>
    <cellStyle name="Обычный 7 7 2 3 4 2 4 2" xfId="34077"/>
    <cellStyle name="Обычный 7 7 2 3 4 2 5" xfId="34078"/>
    <cellStyle name="Обычный 7 7 2 3 4 2 6" xfId="34079"/>
    <cellStyle name="Обычный 7 7 2 3 4 3" xfId="34080"/>
    <cellStyle name="Обычный 7 7 2 3 4 3 2" xfId="34081"/>
    <cellStyle name="Обычный 7 7 2 3 4 3 3" xfId="34082"/>
    <cellStyle name="Обычный 7 7 2 3 4 4" xfId="34083"/>
    <cellStyle name="Обычный 7 7 2 3 4 4 2" xfId="34084"/>
    <cellStyle name="Обычный 7 7 2 3 4 4 3" xfId="34085"/>
    <cellStyle name="Обычный 7 7 2 3 4 5" xfId="34086"/>
    <cellStyle name="Обычный 7 7 2 3 4 5 2" xfId="34087"/>
    <cellStyle name="Обычный 7 7 2 3 4 6" xfId="34088"/>
    <cellStyle name="Обычный 7 7 2 3 4 7" xfId="34089"/>
    <cellStyle name="Обычный 7 7 2 3 5" xfId="34090"/>
    <cellStyle name="Обычный 7 7 2 3 5 2" xfId="34091"/>
    <cellStyle name="Обычный 7 7 2 3 5 2 2" xfId="34092"/>
    <cellStyle name="Обычный 7 7 2 3 5 2 3" xfId="34093"/>
    <cellStyle name="Обычный 7 7 2 3 5 3" xfId="34094"/>
    <cellStyle name="Обычный 7 7 2 3 5 3 2" xfId="34095"/>
    <cellStyle name="Обычный 7 7 2 3 5 3 3" xfId="34096"/>
    <cellStyle name="Обычный 7 7 2 3 5 4" xfId="34097"/>
    <cellStyle name="Обычный 7 7 2 3 5 4 2" xfId="34098"/>
    <cellStyle name="Обычный 7 7 2 3 5 5" xfId="34099"/>
    <cellStyle name="Обычный 7 7 2 3 5 6" xfId="34100"/>
    <cellStyle name="Обычный 7 7 2 3 6" xfId="34101"/>
    <cellStyle name="Обычный 7 7 2 3 6 2" xfId="34102"/>
    <cellStyle name="Обычный 7 7 2 3 6 3" xfId="34103"/>
    <cellStyle name="Обычный 7 7 2 3 7" xfId="34104"/>
    <cellStyle name="Обычный 7 7 2 3 7 2" xfId="34105"/>
    <cellStyle name="Обычный 7 7 2 3 7 3" xfId="34106"/>
    <cellStyle name="Обычный 7 7 2 3 8" xfId="34107"/>
    <cellStyle name="Обычный 7 7 2 3 8 2" xfId="34108"/>
    <cellStyle name="Обычный 7 7 2 3 9" xfId="34109"/>
    <cellStyle name="Обычный 7 7 2 4" xfId="34110"/>
    <cellStyle name="Обычный 7 7 2 4 10" xfId="34111"/>
    <cellStyle name="Обычный 7 7 2 4 2" xfId="34112"/>
    <cellStyle name="Обычный 7 7 2 4 2 2" xfId="34113"/>
    <cellStyle name="Обычный 7 7 2 4 2 2 2" xfId="34114"/>
    <cellStyle name="Обычный 7 7 2 4 2 2 2 2" xfId="34115"/>
    <cellStyle name="Обычный 7 7 2 4 2 2 2 2 2" xfId="34116"/>
    <cellStyle name="Обычный 7 7 2 4 2 2 2 2 2 2" xfId="34117"/>
    <cellStyle name="Обычный 7 7 2 4 2 2 2 2 2 3" xfId="34118"/>
    <cellStyle name="Обычный 7 7 2 4 2 2 2 2 3" xfId="34119"/>
    <cellStyle name="Обычный 7 7 2 4 2 2 2 2 3 2" xfId="34120"/>
    <cellStyle name="Обычный 7 7 2 4 2 2 2 2 3 3" xfId="34121"/>
    <cellStyle name="Обычный 7 7 2 4 2 2 2 2 4" xfId="34122"/>
    <cellStyle name="Обычный 7 7 2 4 2 2 2 2 4 2" xfId="34123"/>
    <cellStyle name="Обычный 7 7 2 4 2 2 2 2 5" xfId="34124"/>
    <cellStyle name="Обычный 7 7 2 4 2 2 2 2 6" xfId="34125"/>
    <cellStyle name="Обычный 7 7 2 4 2 2 2 3" xfId="34126"/>
    <cellStyle name="Обычный 7 7 2 4 2 2 2 3 2" xfId="34127"/>
    <cellStyle name="Обычный 7 7 2 4 2 2 2 3 3" xfId="34128"/>
    <cellStyle name="Обычный 7 7 2 4 2 2 2 4" xfId="34129"/>
    <cellStyle name="Обычный 7 7 2 4 2 2 2 4 2" xfId="34130"/>
    <cellStyle name="Обычный 7 7 2 4 2 2 2 4 3" xfId="34131"/>
    <cellStyle name="Обычный 7 7 2 4 2 2 2 5" xfId="34132"/>
    <cellStyle name="Обычный 7 7 2 4 2 2 2 5 2" xfId="34133"/>
    <cellStyle name="Обычный 7 7 2 4 2 2 2 6" xfId="34134"/>
    <cellStyle name="Обычный 7 7 2 4 2 2 2 7" xfId="34135"/>
    <cellStyle name="Обычный 7 7 2 4 2 2 3" xfId="34136"/>
    <cellStyle name="Обычный 7 7 2 4 2 2 3 2" xfId="34137"/>
    <cellStyle name="Обычный 7 7 2 4 2 2 3 2 2" xfId="34138"/>
    <cellStyle name="Обычный 7 7 2 4 2 2 3 2 3" xfId="34139"/>
    <cellStyle name="Обычный 7 7 2 4 2 2 3 3" xfId="34140"/>
    <cellStyle name="Обычный 7 7 2 4 2 2 3 3 2" xfId="34141"/>
    <cellStyle name="Обычный 7 7 2 4 2 2 3 3 3" xfId="34142"/>
    <cellStyle name="Обычный 7 7 2 4 2 2 3 4" xfId="34143"/>
    <cellStyle name="Обычный 7 7 2 4 2 2 3 4 2" xfId="34144"/>
    <cellStyle name="Обычный 7 7 2 4 2 2 3 5" xfId="34145"/>
    <cellStyle name="Обычный 7 7 2 4 2 2 3 6" xfId="34146"/>
    <cellStyle name="Обычный 7 7 2 4 2 2 4" xfId="34147"/>
    <cellStyle name="Обычный 7 7 2 4 2 2 4 2" xfId="34148"/>
    <cellStyle name="Обычный 7 7 2 4 2 2 4 3" xfId="34149"/>
    <cellStyle name="Обычный 7 7 2 4 2 2 5" xfId="34150"/>
    <cellStyle name="Обычный 7 7 2 4 2 2 5 2" xfId="34151"/>
    <cellStyle name="Обычный 7 7 2 4 2 2 5 3" xfId="34152"/>
    <cellStyle name="Обычный 7 7 2 4 2 2 6" xfId="34153"/>
    <cellStyle name="Обычный 7 7 2 4 2 2 6 2" xfId="34154"/>
    <cellStyle name="Обычный 7 7 2 4 2 2 7" xfId="34155"/>
    <cellStyle name="Обычный 7 7 2 4 2 2 8" xfId="34156"/>
    <cellStyle name="Обычный 7 7 2 4 2 3" xfId="34157"/>
    <cellStyle name="Обычный 7 7 2 4 2 3 2" xfId="34158"/>
    <cellStyle name="Обычный 7 7 2 4 2 3 2 2" xfId="34159"/>
    <cellStyle name="Обычный 7 7 2 4 2 3 2 2 2" xfId="34160"/>
    <cellStyle name="Обычный 7 7 2 4 2 3 2 2 3" xfId="34161"/>
    <cellStyle name="Обычный 7 7 2 4 2 3 2 3" xfId="34162"/>
    <cellStyle name="Обычный 7 7 2 4 2 3 2 3 2" xfId="34163"/>
    <cellStyle name="Обычный 7 7 2 4 2 3 2 3 3" xfId="34164"/>
    <cellStyle name="Обычный 7 7 2 4 2 3 2 4" xfId="34165"/>
    <cellStyle name="Обычный 7 7 2 4 2 3 2 4 2" xfId="34166"/>
    <cellStyle name="Обычный 7 7 2 4 2 3 2 5" xfId="34167"/>
    <cellStyle name="Обычный 7 7 2 4 2 3 2 6" xfId="34168"/>
    <cellStyle name="Обычный 7 7 2 4 2 3 3" xfId="34169"/>
    <cellStyle name="Обычный 7 7 2 4 2 3 3 2" xfId="34170"/>
    <cellStyle name="Обычный 7 7 2 4 2 3 3 3" xfId="34171"/>
    <cellStyle name="Обычный 7 7 2 4 2 3 4" xfId="34172"/>
    <cellStyle name="Обычный 7 7 2 4 2 3 4 2" xfId="34173"/>
    <cellStyle name="Обычный 7 7 2 4 2 3 4 3" xfId="34174"/>
    <cellStyle name="Обычный 7 7 2 4 2 3 5" xfId="34175"/>
    <cellStyle name="Обычный 7 7 2 4 2 3 5 2" xfId="34176"/>
    <cellStyle name="Обычный 7 7 2 4 2 3 6" xfId="34177"/>
    <cellStyle name="Обычный 7 7 2 4 2 3 7" xfId="34178"/>
    <cellStyle name="Обычный 7 7 2 4 2 4" xfId="34179"/>
    <cellStyle name="Обычный 7 7 2 4 2 4 2" xfId="34180"/>
    <cellStyle name="Обычный 7 7 2 4 2 4 2 2" xfId="34181"/>
    <cellStyle name="Обычный 7 7 2 4 2 4 2 3" xfId="34182"/>
    <cellStyle name="Обычный 7 7 2 4 2 4 3" xfId="34183"/>
    <cellStyle name="Обычный 7 7 2 4 2 4 3 2" xfId="34184"/>
    <cellStyle name="Обычный 7 7 2 4 2 4 3 3" xfId="34185"/>
    <cellStyle name="Обычный 7 7 2 4 2 4 4" xfId="34186"/>
    <cellStyle name="Обычный 7 7 2 4 2 4 4 2" xfId="34187"/>
    <cellStyle name="Обычный 7 7 2 4 2 4 5" xfId="34188"/>
    <cellStyle name="Обычный 7 7 2 4 2 4 6" xfId="34189"/>
    <cellStyle name="Обычный 7 7 2 4 2 5" xfId="34190"/>
    <cellStyle name="Обычный 7 7 2 4 2 5 2" xfId="34191"/>
    <cellStyle name="Обычный 7 7 2 4 2 5 3" xfId="34192"/>
    <cellStyle name="Обычный 7 7 2 4 2 6" xfId="34193"/>
    <cellStyle name="Обычный 7 7 2 4 2 6 2" xfId="34194"/>
    <cellStyle name="Обычный 7 7 2 4 2 6 3" xfId="34195"/>
    <cellStyle name="Обычный 7 7 2 4 2 7" xfId="34196"/>
    <cellStyle name="Обычный 7 7 2 4 2 7 2" xfId="34197"/>
    <cellStyle name="Обычный 7 7 2 4 2 8" xfId="34198"/>
    <cellStyle name="Обычный 7 7 2 4 2 9" xfId="34199"/>
    <cellStyle name="Обычный 7 7 2 4 3" xfId="34200"/>
    <cellStyle name="Обычный 7 7 2 4 3 2" xfId="34201"/>
    <cellStyle name="Обычный 7 7 2 4 3 2 2" xfId="34202"/>
    <cellStyle name="Обычный 7 7 2 4 3 2 2 2" xfId="34203"/>
    <cellStyle name="Обычный 7 7 2 4 3 2 2 2 2" xfId="34204"/>
    <cellStyle name="Обычный 7 7 2 4 3 2 2 2 3" xfId="34205"/>
    <cellStyle name="Обычный 7 7 2 4 3 2 2 3" xfId="34206"/>
    <cellStyle name="Обычный 7 7 2 4 3 2 2 3 2" xfId="34207"/>
    <cellStyle name="Обычный 7 7 2 4 3 2 2 3 3" xfId="34208"/>
    <cellStyle name="Обычный 7 7 2 4 3 2 2 4" xfId="34209"/>
    <cellStyle name="Обычный 7 7 2 4 3 2 2 4 2" xfId="34210"/>
    <cellStyle name="Обычный 7 7 2 4 3 2 2 5" xfId="34211"/>
    <cellStyle name="Обычный 7 7 2 4 3 2 2 6" xfId="34212"/>
    <cellStyle name="Обычный 7 7 2 4 3 2 3" xfId="34213"/>
    <cellStyle name="Обычный 7 7 2 4 3 2 3 2" xfId="34214"/>
    <cellStyle name="Обычный 7 7 2 4 3 2 3 3" xfId="34215"/>
    <cellStyle name="Обычный 7 7 2 4 3 2 4" xfId="34216"/>
    <cellStyle name="Обычный 7 7 2 4 3 2 4 2" xfId="34217"/>
    <cellStyle name="Обычный 7 7 2 4 3 2 4 3" xfId="34218"/>
    <cellStyle name="Обычный 7 7 2 4 3 2 5" xfId="34219"/>
    <cellStyle name="Обычный 7 7 2 4 3 2 5 2" xfId="34220"/>
    <cellStyle name="Обычный 7 7 2 4 3 2 6" xfId="34221"/>
    <cellStyle name="Обычный 7 7 2 4 3 2 7" xfId="34222"/>
    <cellStyle name="Обычный 7 7 2 4 3 3" xfId="34223"/>
    <cellStyle name="Обычный 7 7 2 4 3 3 2" xfId="34224"/>
    <cellStyle name="Обычный 7 7 2 4 3 3 2 2" xfId="34225"/>
    <cellStyle name="Обычный 7 7 2 4 3 3 2 3" xfId="34226"/>
    <cellStyle name="Обычный 7 7 2 4 3 3 3" xfId="34227"/>
    <cellStyle name="Обычный 7 7 2 4 3 3 3 2" xfId="34228"/>
    <cellStyle name="Обычный 7 7 2 4 3 3 3 3" xfId="34229"/>
    <cellStyle name="Обычный 7 7 2 4 3 3 4" xfId="34230"/>
    <cellStyle name="Обычный 7 7 2 4 3 3 4 2" xfId="34231"/>
    <cellStyle name="Обычный 7 7 2 4 3 3 5" xfId="34232"/>
    <cellStyle name="Обычный 7 7 2 4 3 3 6" xfId="34233"/>
    <cellStyle name="Обычный 7 7 2 4 3 4" xfId="34234"/>
    <cellStyle name="Обычный 7 7 2 4 3 4 2" xfId="34235"/>
    <cellStyle name="Обычный 7 7 2 4 3 4 3" xfId="34236"/>
    <cellStyle name="Обычный 7 7 2 4 3 5" xfId="34237"/>
    <cellStyle name="Обычный 7 7 2 4 3 5 2" xfId="34238"/>
    <cellStyle name="Обычный 7 7 2 4 3 5 3" xfId="34239"/>
    <cellStyle name="Обычный 7 7 2 4 3 6" xfId="34240"/>
    <cellStyle name="Обычный 7 7 2 4 3 6 2" xfId="34241"/>
    <cellStyle name="Обычный 7 7 2 4 3 7" xfId="34242"/>
    <cellStyle name="Обычный 7 7 2 4 3 8" xfId="34243"/>
    <cellStyle name="Обычный 7 7 2 4 4" xfId="34244"/>
    <cellStyle name="Обычный 7 7 2 4 4 2" xfId="34245"/>
    <cellStyle name="Обычный 7 7 2 4 4 2 2" xfId="34246"/>
    <cellStyle name="Обычный 7 7 2 4 4 2 2 2" xfId="34247"/>
    <cellStyle name="Обычный 7 7 2 4 4 2 2 3" xfId="34248"/>
    <cellStyle name="Обычный 7 7 2 4 4 2 3" xfId="34249"/>
    <cellStyle name="Обычный 7 7 2 4 4 2 3 2" xfId="34250"/>
    <cellStyle name="Обычный 7 7 2 4 4 2 3 3" xfId="34251"/>
    <cellStyle name="Обычный 7 7 2 4 4 2 4" xfId="34252"/>
    <cellStyle name="Обычный 7 7 2 4 4 2 4 2" xfId="34253"/>
    <cellStyle name="Обычный 7 7 2 4 4 2 5" xfId="34254"/>
    <cellStyle name="Обычный 7 7 2 4 4 2 6" xfId="34255"/>
    <cellStyle name="Обычный 7 7 2 4 4 3" xfId="34256"/>
    <cellStyle name="Обычный 7 7 2 4 4 3 2" xfId="34257"/>
    <cellStyle name="Обычный 7 7 2 4 4 3 3" xfId="34258"/>
    <cellStyle name="Обычный 7 7 2 4 4 4" xfId="34259"/>
    <cellStyle name="Обычный 7 7 2 4 4 4 2" xfId="34260"/>
    <cellStyle name="Обычный 7 7 2 4 4 4 3" xfId="34261"/>
    <cellStyle name="Обычный 7 7 2 4 4 5" xfId="34262"/>
    <cellStyle name="Обычный 7 7 2 4 4 5 2" xfId="34263"/>
    <cellStyle name="Обычный 7 7 2 4 4 6" xfId="34264"/>
    <cellStyle name="Обычный 7 7 2 4 4 7" xfId="34265"/>
    <cellStyle name="Обычный 7 7 2 4 5" xfId="34266"/>
    <cellStyle name="Обычный 7 7 2 4 5 2" xfId="34267"/>
    <cellStyle name="Обычный 7 7 2 4 5 2 2" xfId="34268"/>
    <cellStyle name="Обычный 7 7 2 4 5 2 3" xfId="34269"/>
    <cellStyle name="Обычный 7 7 2 4 5 3" xfId="34270"/>
    <cellStyle name="Обычный 7 7 2 4 5 3 2" xfId="34271"/>
    <cellStyle name="Обычный 7 7 2 4 5 3 3" xfId="34272"/>
    <cellStyle name="Обычный 7 7 2 4 5 4" xfId="34273"/>
    <cellStyle name="Обычный 7 7 2 4 5 4 2" xfId="34274"/>
    <cellStyle name="Обычный 7 7 2 4 5 5" xfId="34275"/>
    <cellStyle name="Обычный 7 7 2 4 5 6" xfId="34276"/>
    <cellStyle name="Обычный 7 7 2 4 6" xfId="34277"/>
    <cellStyle name="Обычный 7 7 2 4 6 2" xfId="34278"/>
    <cellStyle name="Обычный 7 7 2 4 6 3" xfId="34279"/>
    <cellStyle name="Обычный 7 7 2 4 7" xfId="34280"/>
    <cellStyle name="Обычный 7 7 2 4 7 2" xfId="34281"/>
    <cellStyle name="Обычный 7 7 2 4 7 3" xfId="34282"/>
    <cellStyle name="Обычный 7 7 2 4 8" xfId="34283"/>
    <cellStyle name="Обычный 7 7 2 4 8 2" xfId="34284"/>
    <cellStyle name="Обычный 7 7 2 4 9" xfId="34285"/>
    <cellStyle name="Обычный 7 7 2 5" xfId="34286"/>
    <cellStyle name="Обычный 7 7 2 5 2" xfId="34287"/>
    <cellStyle name="Обычный 7 7 2 5 2 2" xfId="34288"/>
    <cellStyle name="Обычный 7 7 2 5 2 2 2" xfId="34289"/>
    <cellStyle name="Обычный 7 7 2 5 2 2 2 2" xfId="34290"/>
    <cellStyle name="Обычный 7 7 2 5 2 2 2 2 2" xfId="34291"/>
    <cellStyle name="Обычный 7 7 2 5 2 2 2 2 3" xfId="34292"/>
    <cellStyle name="Обычный 7 7 2 5 2 2 2 3" xfId="34293"/>
    <cellStyle name="Обычный 7 7 2 5 2 2 2 3 2" xfId="34294"/>
    <cellStyle name="Обычный 7 7 2 5 2 2 2 3 3" xfId="34295"/>
    <cellStyle name="Обычный 7 7 2 5 2 2 2 4" xfId="34296"/>
    <cellStyle name="Обычный 7 7 2 5 2 2 2 4 2" xfId="34297"/>
    <cellStyle name="Обычный 7 7 2 5 2 2 2 5" xfId="34298"/>
    <cellStyle name="Обычный 7 7 2 5 2 2 2 6" xfId="34299"/>
    <cellStyle name="Обычный 7 7 2 5 2 2 3" xfId="34300"/>
    <cellStyle name="Обычный 7 7 2 5 2 2 3 2" xfId="34301"/>
    <cellStyle name="Обычный 7 7 2 5 2 2 3 3" xfId="34302"/>
    <cellStyle name="Обычный 7 7 2 5 2 2 4" xfId="34303"/>
    <cellStyle name="Обычный 7 7 2 5 2 2 4 2" xfId="34304"/>
    <cellStyle name="Обычный 7 7 2 5 2 2 4 3" xfId="34305"/>
    <cellStyle name="Обычный 7 7 2 5 2 2 5" xfId="34306"/>
    <cellStyle name="Обычный 7 7 2 5 2 2 5 2" xfId="34307"/>
    <cellStyle name="Обычный 7 7 2 5 2 2 6" xfId="34308"/>
    <cellStyle name="Обычный 7 7 2 5 2 2 7" xfId="34309"/>
    <cellStyle name="Обычный 7 7 2 5 2 3" xfId="34310"/>
    <cellStyle name="Обычный 7 7 2 5 2 3 2" xfId="34311"/>
    <cellStyle name="Обычный 7 7 2 5 2 3 2 2" xfId="34312"/>
    <cellStyle name="Обычный 7 7 2 5 2 3 2 3" xfId="34313"/>
    <cellStyle name="Обычный 7 7 2 5 2 3 3" xfId="34314"/>
    <cellStyle name="Обычный 7 7 2 5 2 3 3 2" xfId="34315"/>
    <cellStyle name="Обычный 7 7 2 5 2 3 3 3" xfId="34316"/>
    <cellStyle name="Обычный 7 7 2 5 2 3 4" xfId="34317"/>
    <cellStyle name="Обычный 7 7 2 5 2 3 4 2" xfId="34318"/>
    <cellStyle name="Обычный 7 7 2 5 2 3 5" xfId="34319"/>
    <cellStyle name="Обычный 7 7 2 5 2 3 6" xfId="34320"/>
    <cellStyle name="Обычный 7 7 2 5 2 4" xfId="34321"/>
    <cellStyle name="Обычный 7 7 2 5 2 4 2" xfId="34322"/>
    <cellStyle name="Обычный 7 7 2 5 2 4 3" xfId="34323"/>
    <cellStyle name="Обычный 7 7 2 5 2 5" xfId="34324"/>
    <cellStyle name="Обычный 7 7 2 5 2 5 2" xfId="34325"/>
    <cellStyle name="Обычный 7 7 2 5 2 5 3" xfId="34326"/>
    <cellStyle name="Обычный 7 7 2 5 2 6" xfId="34327"/>
    <cellStyle name="Обычный 7 7 2 5 2 6 2" xfId="34328"/>
    <cellStyle name="Обычный 7 7 2 5 2 7" xfId="34329"/>
    <cellStyle name="Обычный 7 7 2 5 2 8" xfId="34330"/>
    <cellStyle name="Обычный 7 7 2 5 3" xfId="34331"/>
    <cellStyle name="Обычный 7 7 2 5 3 2" xfId="34332"/>
    <cellStyle name="Обычный 7 7 2 5 3 2 2" xfId="34333"/>
    <cellStyle name="Обычный 7 7 2 5 3 2 2 2" xfId="34334"/>
    <cellStyle name="Обычный 7 7 2 5 3 2 2 3" xfId="34335"/>
    <cellStyle name="Обычный 7 7 2 5 3 2 3" xfId="34336"/>
    <cellStyle name="Обычный 7 7 2 5 3 2 3 2" xfId="34337"/>
    <cellStyle name="Обычный 7 7 2 5 3 2 3 3" xfId="34338"/>
    <cellStyle name="Обычный 7 7 2 5 3 2 4" xfId="34339"/>
    <cellStyle name="Обычный 7 7 2 5 3 2 4 2" xfId="34340"/>
    <cellStyle name="Обычный 7 7 2 5 3 2 5" xfId="34341"/>
    <cellStyle name="Обычный 7 7 2 5 3 2 6" xfId="34342"/>
    <cellStyle name="Обычный 7 7 2 5 3 3" xfId="34343"/>
    <cellStyle name="Обычный 7 7 2 5 3 3 2" xfId="34344"/>
    <cellStyle name="Обычный 7 7 2 5 3 3 3" xfId="34345"/>
    <cellStyle name="Обычный 7 7 2 5 3 4" xfId="34346"/>
    <cellStyle name="Обычный 7 7 2 5 3 4 2" xfId="34347"/>
    <cellStyle name="Обычный 7 7 2 5 3 4 3" xfId="34348"/>
    <cellStyle name="Обычный 7 7 2 5 3 5" xfId="34349"/>
    <cellStyle name="Обычный 7 7 2 5 3 5 2" xfId="34350"/>
    <cellStyle name="Обычный 7 7 2 5 3 6" xfId="34351"/>
    <cellStyle name="Обычный 7 7 2 5 3 7" xfId="34352"/>
    <cellStyle name="Обычный 7 7 2 5 4" xfId="34353"/>
    <cellStyle name="Обычный 7 7 2 5 4 2" xfId="34354"/>
    <cellStyle name="Обычный 7 7 2 5 4 2 2" xfId="34355"/>
    <cellStyle name="Обычный 7 7 2 5 4 2 3" xfId="34356"/>
    <cellStyle name="Обычный 7 7 2 5 4 3" xfId="34357"/>
    <cellStyle name="Обычный 7 7 2 5 4 3 2" xfId="34358"/>
    <cellStyle name="Обычный 7 7 2 5 4 3 3" xfId="34359"/>
    <cellStyle name="Обычный 7 7 2 5 4 4" xfId="34360"/>
    <cellStyle name="Обычный 7 7 2 5 4 4 2" xfId="34361"/>
    <cellStyle name="Обычный 7 7 2 5 4 5" xfId="34362"/>
    <cellStyle name="Обычный 7 7 2 5 4 6" xfId="34363"/>
    <cellStyle name="Обычный 7 7 2 5 5" xfId="34364"/>
    <cellStyle name="Обычный 7 7 2 5 5 2" xfId="34365"/>
    <cellStyle name="Обычный 7 7 2 5 5 3" xfId="34366"/>
    <cellStyle name="Обычный 7 7 2 5 6" xfId="34367"/>
    <cellStyle name="Обычный 7 7 2 5 6 2" xfId="34368"/>
    <cellStyle name="Обычный 7 7 2 5 6 3" xfId="34369"/>
    <cellStyle name="Обычный 7 7 2 5 7" xfId="34370"/>
    <cellStyle name="Обычный 7 7 2 5 7 2" xfId="34371"/>
    <cellStyle name="Обычный 7 7 2 5 8" xfId="34372"/>
    <cellStyle name="Обычный 7 7 2 5 9" xfId="34373"/>
    <cellStyle name="Обычный 7 7 2 6" xfId="34374"/>
    <cellStyle name="Обычный 7 7 2 6 2" xfId="34375"/>
    <cellStyle name="Обычный 7 7 2 6 2 2" xfId="34376"/>
    <cellStyle name="Обычный 7 7 2 6 2 2 2" xfId="34377"/>
    <cellStyle name="Обычный 7 7 2 6 2 2 2 2" xfId="34378"/>
    <cellStyle name="Обычный 7 7 2 6 2 2 2 3" xfId="34379"/>
    <cellStyle name="Обычный 7 7 2 6 2 2 3" xfId="34380"/>
    <cellStyle name="Обычный 7 7 2 6 2 2 3 2" xfId="34381"/>
    <cellStyle name="Обычный 7 7 2 6 2 2 3 3" xfId="34382"/>
    <cellStyle name="Обычный 7 7 2 6 2 2 4" xfId="34383"/>
    <cellStyle name="Обычный 7 7 2 6 2 2 4 2" xfId="34384"/>
    <cellStyle name="Обычный 7 7 2 6 2 2 5" xfId="34385"/>
    <cellStyle name="Обычный 7 7 2 6 2 2 6" xfId="34386"/>
    <cellStyle name="Обычный 7 7 2 6 2 3" xfId="34387"/>
    <cellStyle name="Обычный 7 7 2 6 2 3 2" xfId="34388"/>
    <cellStyle name="Обычный 7 7 2 6 2 3 3" xfId="34389"/>
    <cellStyle name="Обычный 7 7 2 6 2 4" xfId="34390"/>
    <cellStyle name="Обычный 7 7 2 6 2 4 2" xfId="34391"/>
    <cellStyle name="Обычный 7 7 2 6 2 4 3" xfId="34392"/>
    <cellStyle name="Обычный 7 7 2 6 2 5" xfId="34393"/>
    <cellStyle name="Обычный 7 7 2 6 2 5 2" xfId="34394"/>
    <cellStyle name="Обычный 7 7 2 6 2 6" xfId="34395"/>
    <cellStyle name="Обычный 7 7 2 6 2 7" xfId="34396"/>
    <cellStyle name="Обычный 7 7 2 6 3" xfId="34397"/>
    <cellStyle name="Обычный 7 7 2 6 3 2" xfId="34398"/>
    <cellStyle name="Обычный 7 7 2 6 3 2 2" xfId="34399"/>
    <cellStyle name="Обычный 7 7 2 6 3 2 3" xfId="34400"/>
    <cellStyle name="Обычный 7 7 2 6 3 3" xfId="34401"/>
    <cellStyle name="Обычный 7 7 2 6 3 3 2" xfId="34402"/>
    <cellStyle name="Обычный 7 7 2 6 3 3 3" xfId="34403"/>
    <cellStyle name="Обычный 7 7 2 6 3 4" xfId="34404"/>
    <cellStyle name="Обычный 7 7 2 6 3 4 2" xfId="34405"/>
    <cellStyle name="Обычный 7 7 2 6 3 5" xfId="34406"/>
    <cellStyle name="Обычный 7 7 2 6 3 6" xfId="34407"/>
    <cellStyle name="Обычный 7 7 2 6 4" xfId="34408"/>
    <cellStyle name="Обычный 7 7 2 6 4 2" xfId="34409"/>
    <cellStyle name="Обычный 7 7 2 6 4 3" xfId="34410"/>
    <cellStyle name="Обычный 7 7 2 6 5" xfId="34411"/>
    <cellStyle name="Обычный 7 7 2 6 5 2" xfId="34412"/>
    <cellStyle name="Обычный 7 7 2 6 5 3" xfId="34413"/>
    <cellStyle name="Обычный 7 7 2 6 6" xfId="34414"/>
    <cellStyle name="Обычный 7 7 2 6 6 2" xfId="34415"/>
    <cellStyle name="Обычный 7 7 2 6 7" xfId="34416"/>
    <cellStyle name="Обычный 7 7 2 6 8" xfId="34417"/>
    <cellStyle name="Обычный 7 7 2 7" xfId="34418"/>
    <cellStyle name="Обычный 7 7 2 7 2" xfId="34419"/>
    <cellStyle name="Обычный 7 7 2 7 2 2" xfId="34420"/>
    <cellStyle name="Обычный 7 7 2 7 2 2 2" xfId="34421"/>
    <cellStyle name="Обычный 7 7 2 7 2 2 3" xfId="34422"/>
    <cellStyle name="Обычный 7 7 2 7 2 3" xfId="34423"/>
    <cellStyle name="Обычный 7 7 2 7 2 3 2" xfId="34424"/>
    <cellStyle name="Обычный 7 7 2 7 2 3 3" xfId="34425"/>
    <cellStyle name="Обычный 7 7 2 7 2 4" xfId="34426"/>
    <cellStyle name="Обычный 7 7 2 7 2 4 2" xfId="34427"/>
    <cellStyle name="Обычный 7 7 2 7 2 5" xfId="34428"/>
    <cellStyle name="Обычный 7 7 2 7 2 6" xfId="34429"/>
    <cellStyle name="Обычный 7 7 2 7 3" xfId="34430"/>
    <cellStyle name="Обычный 7 7 2 7 3 2" xfId="34431"/>
    <cellStyle name="Обычный 7 7 2 7 3 3" xfId="34432"/>
    <cellStyle name="Обычный 7 7 2 7 4" xfId="34433"/>
    <cellStyle name="Обычный 7 7 2 7 4 2" xfId="34434"/>
    <cellStyle name="Обычный 7 7 2 7 4 3" xfId="34435"/>
    <cellStyle name="Обычный 7 7 2 7 5" xfId="34436"/>
    <cellStyle name="Обычный 7 7 2 7 5 2" xfId="34437"/>
    <cellStyle name="Обычный 7 7 2 7 6" xfId="34438"/>
    <cellStyle name="Обычный 7 7 2 7 7" xfId="34439"/>
    <cellStyle name="Обычный 7 7 2 8" xfId="34440"/>
    <cellStyle name="Обычный 7 7 2 8 2" xfId="34441"/>
    <cellStyle name="Обычный 7 7 2 8 2 2" xfId="34442"/>
    <cellStyle name="Обычный 7 7 2 8 2 3" xfId="34443"/>
    <cellStyle name="Обычный 7 7 2 8 3" xfId="34444"/>
    <cellStyle name="Обычный 7 7 2 8 3 2" xfId="34445"/>
    <cellStyle name="Обычный 7 7 2 8 3 3" xfId="34446"/>
    <cellStyle name="Обычный 7 7 2 8 4" xfId="34447"/>
    <cellStyle name="Обычный 7 7 2 8 4 2" xfId="34448"/>
    <cellStyle name="Обычный 7 7 2 8 5" xfId="34449"/>
    <cellStyle name="Обычный 7 7 2 8 6" xfId="34450"/>
    <cellStyle name="Обычный 7 7 2 9" xfId="34451"/>
    <cellStyle name="Обычный 7 7 2 9 2" xfId="34452"/>
    <cellStyle name="Обычный 7 7 2 9 3" xfId="34453"/>
    <cellStyle name="Обычный 7 7 3" xfId="34454"/>
    <cellStyle name="Обычный 7 7 3 10" xfId="34455"/>
    <cellStyle name="Обычный 7 7 3 2" xfId="34456"/>
    <cellStyle name="Обычный 7 7 3 2 2" xfId="34457"/>
    <cellStyle name="Обычный 7 7 3 2 2 2" xfId="34458"/>
    <cellStyle name="Обычный 7 7 3 2 2 2 2" xfId="34459"/>
    <cellStyle name="Обычный 7 7 3 2 2 2 2 2" xfId="34460"/>
    <cellStyle name="Обычный 7 7 3 2 2 2 2 2 2" xfId="34461"/>
    <cellStyle name="Обычный 7 7 3 2 2 2 2 2 3" xfId="34462"/>
    <cellStyle name="Обычный 7 7 3 2 2 2 2 3" xfId="34463"/>
    <cellStyle name="Обычный 7 7 3 2 2 2 2 3 2" xfId="34464"/>
    <cellStyle name="Обычный 7 7 3 2 2 2 2 3 3" xfId="34465"/>
    <cellStyle name="Обычный 7 7 3 2 2 2 2 4" xfId="34466"/>
    <cellStyle name="Обычный 7 7 3 2 2 2 2 4 2" xfId="34467"/>
    <cellStyle name="Обычный 7 7 3 2 2 2 2 5" xfId="34468"/>
    <cellStyle name="Обычный 7 7 3 2 2 2 2 6" xfId="34469"/>
    <cellStyle name="Обычный 7 7 3 2 2 2 3" xfId="34470"/>
    <cellStyle name="Обычный 7 7 3 2 2 2 3 2" xfId="34471"/>
    <cellStyle name="Обычный 7 7 3 2 2 2 3 3" xfId="34472"/>
    <cellStyle name="Обычный 7 7 3 2 2 2 4" xfId="34473"/>
    <cellStyle name="Обычный 7 7 3 2 2 2 4 2" xfId="34474"/>
    <cellStyle name="Обычный 7 7 3 2 2 2 4 3" xfId="34475"/>
    <cellStyle name="Обычный 7 7 3 2 2 2 5" xfId="34476"/>
    <cellStyle name="Обычный 7 7 3 2 2 2 5 2" xfId="34477"/>
    <cellStyle name="Обычный 7 7 3 2 2 2 6" xfId="34478"/>
    <cellStyle name="Обычный 7 7 3 2 2 2 7" xfId="34479"/>
    <cellStyle name="Обычный 7 7 3 2 2 3" xfId="34480"/>
    <cellStyle name="Обычный 7 7 3 2 2 3 2" xfId="34481"/>
    <cellStyle name="Обычный 7 7 3 2 2 3 2 2" xfId="34482"/>
    <cellStyle name="Обычный 7 7 3 2 2 3 2 3" xfId="34483"/>
    <cellStyle name="Обычный 7 7 3 2 2 3 3" xfId="34484"/>
    <cellStyle name="Обычный 7 7 3 2 2 3 3 2" xfId="34485"/>
    <cellStyle name="Обычный 7 7 3 2 2 3 3 3" xfId="34486"/>
    <cellStyle name="Обычный 7 7 3 2 2 3 4" xfId="34487"/>
    <cellStyle name="Обычный 7 7 3 2 2 3 4 2" xfId="34488"/>
    <cellStyle name="Обычный 7 7 3 2 2 3 5" xfId="34489"/>
    <cellStyle name="Обычный 7 7 3 2 2 3 6" xfId="34490"/>
    <cellStyle name="Обычный 7 7 3 2 2 4" xfId="34491"/>
    <cellStyle name="Обычный 7 7 3 2 2 4 2" xfId="34492"/>
    <cellStyle name="Обычный 7 7 3 2 2 4 3" xfId="34493"/>
    <cellStyle name="Обычный 7 7 3 2 2 5" xfId="34494"/>
    <cellStyle name="Обычный 7 7 3 2 2 5 2" xfId="34495"/>
    <cellStyle name="Обычный 7 7 3 2 2 5 3" xfId="34496"/>
    <cellStyle name="Обычный 7 7 3 2 2 6" xfId="34497"/>
    <cellStyle name="Обычный 7 7 3 2 2 6 2" xfId="34498"/>
    <cellStyle name="Обычный 7 7 3 2 2 7" xfId="34499"/>
    <cellStyle name="Обычный 7 7 3 2 2 8" xfId="34500"/>
    <cellStyle name="Обычный 7 7 3 2 3" xfId="34501"/>
    <cellStyle name="Обычный 7 7 3 2 3 2" xfId="34502"/>
    <cellStyle name="Обычный 7 7 3 2 3 2 2" xfId="34503"/>
    <cellStyle name="Обычный 7 7 3 2 3 2 2 2" xfId="34504"/>
    <cellStyle name="Обычный 7 7 3 2 3 2 2 3" xfId="34505"/>
    <cellStyle name="Обычный 7 7 3 2 3 2 3" xfId="34506"/>
    <cellStyle name="Обычный 7 7 3 2 3 2 3 2" xfId="34507"/>
    <cellStyle name="Обычный 7 7 3 2 3 2 3 3" xfId="34508"/>
    <cellStyle name="Обычный 7 7 3 2 3 2 4" xfId="34509"/>
    <cellStyle name="Обычный 7 7 3 2 3 2 4 2" xfId="34510"/>
    <cellStyle name="Обычный 7 7 3 2 3 2 5" xfId="34511"/>
    <cellStyle name="Обычный 7 7 3 2 3 2 6" xfId="34512"/>
    <cellStyle name="Обычный 7 7 3 2 3 3" xfId="34513"/>
    <cellStyle name="Обычный 7 7 3 2 3 3 2" xfId="34514"/>
    <cellStyle name="Обычный 7 7 3 2 3 3 3" xfId="34515"/>
    <cellStyle name="Обычный 7 7 3 2 3 4" xfId="34516"/>
    <cellStyle name="Обычный 7 7 3 2 3 4 2" xfId="34517"/>
    <cellStyle name="Обычный 7 7 3 2 3 4 3" xfId="34518"/>
    <cellStyle name="Обычный 7 7 3 2 3 5" xfId="34519"/>
    <cellStyle name="Обычный 7 7 3 2 3 5 2" xfId="34520"/>
    <cellStyle name="Обычный 7 7 3 2 3 6" xfId="34521"/>
    <cellStyle name="Обычный 7 7 3 2 3 7" xfId="34522"/>
    <cellStyle name="Обычный 7 7 3 2 4" xfId="34523"/>
    <cellStyle name="Обычный 7 7 3 2 4 2" xfId="34524"/>
    <cellStyle name="Обычный 7 7 3 2 4 2 2" xfId="34525"/>
    <cellStyle name="Обычный 7 7 3 2 4 2 3" xfId="34526"/>
    <cellStyle name="Обычный 7 7 3 2 4 3" xfId="34527"/>
    <cellStyle name="Обычный 7 7 3 2 4 3 2" xfId="34528"/>
    <cellStyle name="Обычный 7 7 3 2 4 3 3" xfId="34529"/>
    <cellStyle name="Обычный 7 7 3 2 4 4" xfId="34530"/>
    <cellStyle name="Обычный 7 7 3 2 4 4 2" xfId="34531"/>
    <cellStyle name="Обычный 7 7 3 2 4 5" xfId="34532"/>
    <cellStyle name="Обычный 7 7 3 2 4 6" xfId="34533"/>
    <cellStyle name="Обычный 7 7 3 2 5" xfId="34534"/>
    <cellStyle name="Обычный 7 7 3 2 5 2" xfId="34535"/>
    <cellStyle name="Обычный 7 7 3 2 5 3" xfId="34536"/>
    <cellStyle name="Обычный 7 7 3 2 6" xfId="34537"/>
    <cellStyle name="Обычный 7 7 3 2 6 2" xfId="34538"/>
    <cellStyle name="Обычный 7 7 3 2 6 3" xfId="34539"/>
    <cellStyle name="Обычный 7 7 3 2 7" xfId="34540"/>
    <cellStyle name="Обычный 7 7 3 2 7 2" xfId="34541"/>
    <cellStyle name="Обычный 7 7 3 2 8" xfId="34542"/>
    <cellStyle name="Обычный 7 7 3 2 9" xfId="34543"/>
    <cellStyle name="Обычный 7 7 3 3" xfId="34544"/>
    <cellStyle name="Обычный 7 7 3 3 2" xfId="34545"/>
    <cellStyle name="Обычный 7 7 3 3 2 2" xfId="34546"/>
    <cellStyle name="Обычный 7 7 3 3 2 2 2" xfId="34547"/>
    <cellStyle name="Обычный 7 7 3 3 2 2 2 2" xfId="34548"/>
    <cellStyle name="Обычный 7 7 3 3 2 2 2 3" xfId="34549"/>
    <cellStyle name="Обычный 7 7 3 3 2 2 3" xfId="34550"/>
    <cellStyle name="Обычный 7 7 3 3 2 2 3 2" xfId="34551"/>
    <cellStyle name="Обычный 7 7 3 3 2 2 3 3" xfId="34552"/>
    <cellStyle name="Обычный 7 7 3 3 2 2 4" xfId="34553"/>
    <cellStyle name="Обычный 7 7 3 3 2 2 4 2" xfId="34554"/>
    <cellStyle name="Обычный 7 7 3 3 2 2 5" xfId="34555"/>
    <cellStyle name="Обычный 7 7 3 3 2 2 6" xfId="34556"/>
    <cellStyle name="Обычный 7 7 3 3 2 3" xfId="34557"/>
    <cellStyle name="Обычный 7 7 3 3 2 3 2" xfId="34558"/>
    <cellStyle name="Обычный 7 7 3 3 2 3 3" xfId="34559"/>
    <cellStyle name="Обычный 7 7 3 3 2 4" xfId="34560"/>
    <cellStyle name="Обычный 7 7 3 3 2 4 2" xfId="34561"/>
    <cellStyle name="Обычный 7 7 3 3 2 4 3" xfId="34562"/>
    <cellStyle name="Обычный 7 7 3 3 2 5" xfId="34563"/>
    <cellStyle name="Обычный 7 7 3 3 2 5 2" xfId="34564"/>
    <cellStyle name="Обычный 7 7 3 3 2 6" xfId="34565"/>
    <cellStyle name="Обычный 7 7 3 3 2 7" xfId="34566"/>
    <cellStyle name="Обычный 7 7 3 3 3" xfId="34567"/>
    <cellStyle name="Обычный 7 7 3 3 3 2" xfId="34568"/>
    <cellStyle name="Обычный 7 7 3 3 3 2 2" xfId="34569"/>
    <cellStyle name="Обычный 7 7 3 3 3 2 3" xfId="34570"/>
    <cellStyle name="Обычный 7 7 3 3 3 3" xfId="34571"/>
    <cellStyle name="Обычный 7 7 3 3 3 3 2" xfId="34572"/>
    <cellStyle name="Обычный 7 7 3 3 3 3 3" xfId="34573"/>
    <cellStyle name="Обычный 7 7 3 3 3 4" xfId="34574"/>
    <cellStyle name="Обычный 7 7 3 3 3 4 2" xfId="34575"/>
    <cellStyle name="Обычный 7 7 3 3 3 5" xfId="34576"/>
    <cellStyle name="Обычный 7 7 3 3 3 6" xfId="34577"/>
    <cellStyle name="Обычный 7 7 3 3 4" xfId="34578"/>
    <cellStyle name="Обычный 7 7 3 3 4 2" xfId="34579"/>
    <cellStyle name="Обычный 7 7 3 3 4 3" xfId="34580"/>
    <cellStyle name="Обычный 7 7 3 3 5" xfId="34581"/>
    <cellStyle name="Обычный 7 7 3 3 5 2" xfId="34582"/>
    <cellStyle name="Обычный 7 7 3 3 5 3" xfId="34583"/>
    <cellStyle name="Обычный 7 7 3 3 6" xfId="34584"/>
    <cellStyle name="Обычный 7 7 3 3 6 2" xfId="34585"/>
    <cellStyle name="Обычный 7 7 3 3 7" xfId="34586"/>
    <cellStyle name="Обычный 7 7 3 3 8" xfId="34587"/>
    <cellStyle name="Обычный 7 7 3 4" xfId="34588"/>
    <cellStyle name="Обычный 7 7 3 4 2" xfId="34589"/>
    <cellStyle name="Обычный 7 7 3 4 2 2" xfId="34590"/>
    <cellStyle name="Обычный 7 7 3 4 2 2 2" xfId="34591"/>
    <cellStyle name="Обычный 7 7 3 4 2 2 3" xfId="34592"/>
    <cellStyle name="Обычный 7 7 3 4 2 3" xfId="34593"/>
    <cellStyle name="Обычный 7 7 3 4 2 3 2" xfId="34594"/>
    <cellStyle name="Обычный 7 7 3 4 2 3 3" xfId="34595"/>
    <cellStyle name="Обычный 7 7 3 4 2 4" xfId="34596"/>
    <cellStyle name="Обычный 7 7 3 4 2 4 2" xfId="34597"/>
    <cellStyle name="Обычный 7 7 3 4 2 5" xfId="34598"/>
    <cellStyle name="Обычный 7 7 3 4 2 6" xfId="34599"/>
    <cellStyle name="Обычный 7 7 3 4 3" xfId="34600"/>
    <cellStyle name="Обычный 7 7 3 4 3 2" xfId="34601"/>
    <cellStyle name="Обычный 7 7 3 4 3 3" xfId="34602"/>
    <cellStyle name="Обычный 7 7 3 4 4" xfId="34603"/>
    <cellStyle name="Обычный 7 7 3 4 4 2" xfId="34604"/>
    <cellStyle name="Обычный 7 7 3 4 4 3" xfId="34605"/>
    <cellStyle name="Обычный 7 7 3 4 5" xfId="34606"/>
    <cellStyle name="Обычный 7 7 3 4 5 2" xfId="34607"/>
    <cellStyle name="Обычный 7 7 3 4 6" xfId="34608"/>
    <cellStyle name="Обычный 7 7 3 4 7" xfId="34609"/>
    <cellStyle name="Обычный 7 7 3 5" xfId="34610"/>
    <cellStyle name="Обычный 7 7 3 5 2" xfId="34611"/>
    <cellStyle name="Обычный 7 7 3 5 2 2" xfId="34612"/>
    <cellStyle name="Обычный 7 7 3 5 2 3" xfId="34613"/>
    <cellStyle name="Обычный 7 7 3 5 3" xfId="34614"/>
    <cellStyle name="Обычный 7 7 3 5 3 2" xfId="34615"/>
    <cellStyle name="Обычный 7 7 3 5 3 3" xfId="34616"/>
    <cellStyle name="Обычный 7 7 3 5 4" xfId="34617"/>
    <cellStyle name="Обычный 7 7 3 5 4 2" xfId="34618"/>
    <cellStyle name="Обычный 7 7 3 5 5" xfId="34619"/>
    <cellStyle name="Обычный 7 7 3 5 6" xfId="34620"/>
    <cellStyle name="Обычный 7 7 3 6" xfId="34621"/>
    <cellStyle name="Обычный 7 7 3 6 2" xfId="34622"/>
    <cellStyle name="Обычный 7 7 3 6 3" xfId="34623"/>
    <cellStyle name="Обычный 7 7 3 7" xfId="34624"/>
    <cellStyle name="Обычный 7 7 3 7 2" xfId="34625"/>
    <cellStyle name="Обычный 7 7 3 7 3" xfId="34626"/>
    <cellStyle name="Обычный 7 7 3 8" xfId="34627"/>
    <cellStyle name="Обычный 7 7 3 8 2" xfId="34628"/>
    <cellStyle name="Обычный 7 7 3 9" xfId="34629"/>
    <cellStyle name="Обычный 7 7 4" xfId="34630"/>
    <cellStyle name="Обычный 7 7 4 10" xfId="34631"/>
    <cellStyle name="Обычный 7 7 4 2" xfId="34632"/>
    <cellStyle name="Обычный 7 7 4 2 2" xfId="34633"/>
    <cellStyle name="Обычный 7 7 4 2 2 2" xfId="34634"/>
    <cellStyle name="Обычный 7 7 4 2 2 2 2" xfId="34635"/>
    <cellStyle name="Обычный 7 7 4 2 2 2 2 2" xfId="34636"/>
    <cellStyle name="Обычный 7 7 4 2 2 2 2 2 2" xfId="34637"/>
    <cellStyle name="Обычный 7 7 4 2 2 2 2 2 3" xfId="34638"/>
    <cellStyle name="Обычный 7 7 4 2 2 2 2 3" xfId="34639"/>
    <cellStyle name="Обычный 7 7 4 2 2 2 2 3 2" xfId="34640"/>
    <cellStyle name="Обычный 7 7 4 2 2 2 2 3 3" xfId="34641"/>
    <cellStyle name="Обычный 7 7 4 2 2 2 2 4" xfId="34642"/>
    <cellStyle name="Обычный 7 7 4 2 2 2 2 4 2" xfId="34643"/>
    <cellStyle name="Обычный 7 7 4 2 2 2 2 5" xfId="34644"/>
    <cellStyle name="Обычный 7 7 4 2 2 2 2 6" xfId="34645"/>
    <cellStyle name="Обычный 7 7 4 2 2 2 3" xfId="34646"/>
    <cellStyle name="Обычный 7 7 4 2 2 2 3 2" xfId="34647"/>
    <cellStyle name="Обычный 7 7 4 2 2 2 3 3" xfId="34648"/>
    <cellStyle name="Обычный 7 7 4 2 2 2 4" xfId="34649"/>
    <cellStyle name="Обычный 7 7 4 2 2 2 4 2" xfId="34650"/>
    <cellStyle name="Обычный 7 7 4 2 2 2 4 3" xfId="34651"/>
    <cellStyle name="Обычный 7 7 4 2 2 2 5" xfId="34652"/>
    <cellStyle name="Обычный 7 7 4 2 2 2 5 2" xfId="34653"/>
    <cellStyle name="Обычный 7 7 4 2 2 2 6" xfId="34654"/>
    <cellStyle name="Обычный 7 7 4 2 2 2 7" xfId="34655"/>
    <cellStyle name="Обычный 7 7 4 2 2 3" xfId="34656"/>
    <cellStyle name="Обычный 7 7 4 2 2 3 2" xfId="34657"/>
    <cellStyle name="Обычный 7 7 4 2 2 3 2 2" xfId="34658"/>
    <cellStyle name="Обычный 7 7 4 2 2 3 2 3" xfId="34659"/>
    <cellStyle name="Обычный 7 7 4 2 2 3 3" xfId="34660"/>
    <cellStyle name="Обычный 7 7 4 2 2 3 3 2" xfId="34661"/>
    <cellStyle name="Обычный 7 7 4 2 2 3 3 3" xfId="34662"/>
    <cellStyle name="Обычный 7 7 4 2 2 3 4" xfId="34663"/>
    <cellStyle name="Обычный 7 7 4 2 2 3 4 2" xfId="34664"/>
    <cellStyle name="Обычный 7 7 4 2 2 3 5" xfId="34665"/>
    <cellStyle name="Обычный 7 7 4 2 2 3 6" xfId="34666"/>
    <cellStyle name="Обычный 7 7 4 2 2 4" xfId="34667"/>
    <cellStyle name="Обычный 7 7 4 2 2 4 2" xfId="34668"/>
    <cellStyle name="Обычный 7 7 4 2 2 4 3" xfId="34669"/>
    <cellStyle name="Обычный 7 7 4 2 2 5" xfId="34670"/>
    <cellStyle name="Обычный 7 7 4 2 2 5 2" xfId="34671"/>
    <cellStyle name="Обычный 7 7 4 2 2 5 3" xfId="34672"/>
    <cellStyle name="Обычный 7 7 4 2 2 6" xfId="34673"/>
    <cellStyle name="Обычный 7 7 4 2 2 6 2" xfId="34674"/>
    <cellStyle name="Обычный 7 7 4 2 2 7" xfId="34675"/>
    <cellStyle name="Обычный 7 7 4 2 2 8" xfId="34676"/>
    <cellStyle name="Обычный 7 7 4 2 3" xfId="34677"/>
    <cellStyle name="Обычный 7 7 4 2 3 2" xfId="34678"/>
    <cellStyle name="Обычный 7 7 4 2 3 2 2" xfId="34679"/>
    <cellStyle name="Обычный 7 7 4 2 3 2 2 2" xfId="34680"/>
    <cellStyle name="Обычный 7 7 4 2 3 2 2 3" xfId="34681"/>
    <cellStyle name="Обычный 7 7 4 2 3 2 3" xfId="34682"/>
    <cellStyle name="Обычный 7 7 4 2 3 2 3 2" xfId="34683"/>
    <cellStyle name="Обычный 7 7 4 2 3 2 3 3" xfId="34684"/>
    <cellStyle name="Обычный 7 7 4 2 3 2 4" xfId="34685"/>
    <cellStyle name="Обычный 7 7 4 2 3 2 4 2" xfId="34686"/>
    <cellStyle name="Обычный 7 7 4 2 3 2 5" xfId="34687"/>
    <cellStyle name="Обычный 7 7 4 2 3 2 6" xfId="34688"/>
    <cellStyle name="Обычный 7 7 4 2 3 3" xfId="34689"/>
    <cellStyle name="Обычный 7 7 4 2 3 3 2" xfId="34690"/>
    <cellStyle name="Обычный 7 7 4 2 3 3 3" xfId="34691"/>
    <cellStyle name="Обычный 7 7 4 2 3 4" xfId="34692"/>
    <cellStyle name="Обычный 7 7 4 2 3 4 2" xfId="34693"/>
    <cellStyle name="Обычный 7 7 4 2 3 4 3" xfId="34694"/>
    <cellStyle name="Обычный 7 7 4 2 3 5" xfId="34695"/>
    <cellStyle name="Обычный 7 7 4 2 3 5 2" xfId="34696"/>
    <cellStyle name="Обычный 7 7 4 2 3 6" xfId="34697"/>
    <cellStyle name="Обычный 7 7 4 2 3 7" xfId="34698"/>
    <cellStyle name="Обычный 7 7 4 2 4" xfId="34699"/>
    <cellStyle name="Обычный 7 7 4 2 4 2" xfId="34700"/>
    <cellStyle name="Обычный 7 7 4 2 4 2 2" xfId="34701"/>
    <cellStyle name="Обычный 7 7 4 2 4 2 3" xfId="34702"/>
    <cellStyle name="Обычный 7 7 4 2 4 3" xfId="34703"/>
    <cellStyle name="Обычный 7 7 4 2 4 3 2" xfId="34704"/>
    <cellStyle name="Обычный 7 7 4 2 4 3 3" xfId="34705"/>
    <cellStyle name="Обычный 7 7 4 2 4 4" xfId="34706"/>
    <cellStyle name="Обычный 7 7 4 2 4 4 2" xfId="34707"/>
    <cellStyle name="Обычный 7 7 4 2 4 5" xfId="34708"/>
    <cellStyle name="Обычный 7 7 4 2 4 6" xfId="34709"/>
    <cellStyle name="Обычный 7 7 4 2 5" xfId="34710"/>
    <cellStyle name="Обычный 7 7 4 2 5 2" xfId="34711"/>
    <cellStyle name="Обычный 7 7 4 2 5 3" xfId="34712"/>
    <cellStyle name="Обычный 7 7 4 2 6" xfId="34713"/>
    <cellStyle name="Обычный 7 7 4 2 6 2" xfId="34714"/>
    <cellStyle name="Обычный 7 7 4 2 6 3" xfId="34715"/>
    <cellStyle name="Обычный 7 7 4 2 7" xfId="34716"/>
    <cellStyle name="Обычный 7 7 4 2 7 2" xfId="34717"/>
    <cellStyle name="Обычный 7 7 4 2 8" xfId="34718"/>
    <cellStyle name="Обычный 7 7 4 2 9" xfId="34719"/>
    <cellStyle name="Обычный 7 7 4 3" xfId="34720"/>
    <cellStyle name="Обычный 7 7 4 3 2" xfId="34721"/>
    <cellStyle name="Обычный 7 7 4 3 2 2" xfId="34722"/>
    <cellStyle name="Обычный 7 7 4 3 2 2 2" xfId="34723"/>
    <cellStyle name="Обычный 7 7 4 3 2 2 2 2" xfId="34724"/>
    <cellStyle name="Обычный 7 7 4 3 2 2 2 3" xfId="34725"/>
    <cellStyle name="Обычный 7 7 4 3 2 2 3" xfId="34726"/>
    <cellStyle name="Обычный 7 7 4 3 2 2 3 2" xfId="34727"/>
    <cellStyle name="Обычный 7 7 4 3 2 2 3 3" xfId="34728"/>
    <cellStyle name="Обычный 7 7 4 3 2 2 4" xfId="34729"/>
    <cellStyle name="Обычный 7 7 4 3 2 2 4 2" xfId="34730"/>
    <cellStyle name="Обычный 7 7 4 3 2 2 5" xfId="34731"/>
    <cellStyle name="Обычный 7 7 4 3 2 2 6" xfId="34732"/>
    <cellStyle name="Обычный 7 7 4 3 2 3" xfId="34733"/>
    <cellStyle name="Обычный 7 7 4 3 2 3 2" xfId="34734"/>
    <cellStyle name="Обычный 7 7 4 3 2 3 3" xfId="34735"/>
    <cellStyle name="Обычный 7 7 4 3 2 4" xfId="34736"/>
    <cellStyle name="Обычный 7 7 4 3 2 4 2" xfId="34737"/>
    <cellStyle name="Обычный 7 7 4 3 2 4 3" xfId="34738"/>
    <cellStyle name="Обычный 7 7 4 3 2 5" xfId="34739"/>
    <cellStyle name="Обычный 7 7 4 3 2 5 2" xfId="34740"/>
    <cellStyle name="Обычный 7 7 4 3 2 6" xfId="34741"/>
    <cellStyle name="Обычный 7 7 4 3 2 7" xfId="34742"/>
    <cellStyle name="Обычный 7 7 4 3 3" xfId="34743"/>
    <cellStyle name="Обычный 7 7 4 3 3 2" xfId="34744"/>
    <cellStyle name="Обычный 7 7 4 3 3 2 2" xfId="34745"/>
    <cellStyle name="Обычный 7 7 4 3 3 2 3" xfId="34746"/>
    <cellStyle name="Обычный 7 7 4 3 3 3" xfId="34747"/>
    <cellStyle name="Обычный 7 7 4 3 3 3 2" xfId="34748"/>
    <cellStyle name="Обычный 7 7 4 3 3 3 3" xfId="34749"/>
    <cellStyle name="Обычный 7 7 4 3 3 4" xfId="34750"/>
    <cellStyle name="Обычный 7 7 4 3 3 4 2" xfId="34751"/>
    <cellStyle name="Обычный 7 7 4 3 3 5" xfId="34752"/>
    <cellStyle name="Обычный 7 7 4 3 3 6" xfId="34753"/>
    <cellStyle name="Обычный 7 7 4 3 4" xfId="34754"/>
    <cellStyle name="Обычный 7 7 4 3 4 2" xfId="34755"/>
    <cellStyle name="Обычный 7 7 4 3 4 3" xfId="34756"/>
    <cellStyle name="Обычный 7 7 4 3 5" xfId="34757"/>
    <cellStyle name="Обычный 7 7 4 3 5 2" xfId="34758"/>
    <cellStyle name="Обычный 7 7 4 3 5 3" xfId="34759"/>
    <cellStyle name="Обычный 7 7 4 3 6" xfId="34760"/>
    <cellStyle name="Обычный 7 7 4 3 6 2" xfId="34761"/>
    <cellStyle name="Обычный 7 7 4 3 7" xfId="34762"/>
    <cellStyle name="Обычный 7 7 4 3 8" xfId="34763"/>
    <cellStyle name="Обычный 7 7 4 4" xfId="34764"/>
    <cellStyle name="Обычный 7 7 4 4 2" xfId="34765"/>
    <cellStyle name="Обычный 7 7 4 4 2 2" xfId="34766"/>
    <cellStyle name="Обычный 7 7 4 4 2 2 2" xfId="34767"/>
    <cellStyle name="Обычный 7 7 4 4 2 2 3" xfId="34768"/>
    <cellStyle name="Обычный 7 7 4 4 2 3" xfId="34769"/>
    <cellStyle name="Обычный 7 7 4 4 2 3 2" xfId="34770"/>
    <cellStyle name="Обычный 7 7 4 4 2 3 3" xfId="34771"/>
    <cellStyle name="Обычный 7 7 4 4 2 4" xfId="34772"/>
    <cellStyle name="Обычный 7 7 4 4 2 4 2" xfId="34773"/>
    <cellStyle name="Обычный 7 7 4 4 2 5" xfId="34774"/>
    <cellStyle name="Обычный 7 7 4 4 2 6" xfId="34775"/>
    <cellStyle name="Обычный 7 7 4 4 3" xfId="34776"/>
    <cellStyle name="Обычный 7 7 4 4 3 2" xfId="34777"/>
    <cellStyle name="Обычный 7 7 4 4 3 3" xfId="34778"/>
    <cellStyle name="Обычный 7 7 4 4 4" xfId="34779"/>
    <cellStyle name="Обычный 7 7 4 4 4 2" xfId="34780"/>
    <cellStyle name="Обычный 7 7 4 4 4 3" xfId="34781"/>
    <cellStyle name="Обычный 7 7 4 4 5" xfId="34782"/>
    <cellStyle name="Обычный 7 7 4 4 5 2" xfId="34783"/>
    <cellStyle name="Обычный 7 7 4 4 6" xfId="34784"/>
    <cellStyle name="Обычный 7 7 4 4 7" xfId="34785"/>
    <cellStyle name="Обычный 7 7 4 5" xfId="34786"/>
    <cellStyle name="Обычный 7 7 4 5 2" xfId="34787"/>
    <cellStyle name="Обычный 7 7 4 5 2 2" xfId="34788"/>
    <cellStyle name="Обычный 7 7 4 5 2 3" xfId="34789"/>
    <cellStyle name="Обычный 7 7 4 5 3" xfId="34790"/>
    <cellStyle name="Обычный 7 7 4 5 3 2" xfId="34791"/>
    <cellStyle name="Обычный 7 7 4 5 3 3" xfId="34792"/>
    <cellStyle name="Обычный 7 7 4 5 4" xfId="34793"/>
    <cellStyle name="Обычный 7 7 4 5 4 2" xfId="34794"/>
    <cellStyle name="Обычный 7 7 4 5 5" xfId="34795"/>
    <cellStyle name="Обычный 7 7 4 5 6" xfId="34796"/>
    <cellStyle name="Обычный 7 7 4 6" xfId="34797"/>
    <cellStyle name="Обычный 7 7 4 6 2" xfId="34798"/>
    <cellStyle name="Обычный 7 7 4 6 3" xfId="34799"/>
    <cellStyle name="Обычный 7 7 4 7" xfId="34800"/>
    <cellStyle name="Обычный 7 7 4 7 2" xfId="34801"/>
    <cellStyle name="Обычный 7 7 4 7 3" xfId="34802"/>
    <cellStyle name="Обычный 7 7 4 8" xfId="34803"/>
    <cellStyle name="Обычный 7 7 4 8 2" xfId="34804"/>
    <cellStyle name="Обычный 7 7 4 9" xfId="34805"/>
    <cellStyle name="Обычный 7 7 5" xfId="34806"/>
    <cellStyle name="Обычный 7 7 5 10" xfId="34807"/>
    <cellStyle name="Обычный 7 7 5 2" xfId="34808"/>
    <cellStyle name="Обычный 7 7 5 2 2" xfId="34809"/>
    <cellStyle name="Обычный 7 7 5 2 2 2" xfId="34810"/>
    <cellStyle name="Обычный 7 7 5 2 2 2 2" xfId="34811"/>
    <cellStyle name="Обычный 7 7 5 2 2 2 2 2" xfId="34812"/>
    <cellStyle name="Обычный 7 7 5 2 2 2 2 2 2" xfId="34813"/>
    <cellStyle name="Обычный 7 7 5 2 2 2 2 2 3" xfId="34814"/>
    <cellStyle name="Обычный 7 7 5 2 2 2 2 3" xfId="34815"/>
    <cellStyle name="Обычный 7 7 5 2 2 2 2 3 2" xfId="34816"/>
    <cellStyle name="Обычный 7 7 5 2 2 2 2 3 3" xfId="34817"/>
    <cellStyle name="Обычный 7 7 5 2 2 2 2 4" xfId="34818"/>
    <cellStyle name="Обычный 7 7 5 2 2 2 2 4 2" xfId="34819"/>
    <cellStyle name="Обычный 7 7 5 2 2 2 2 5" xfId="34820"/>
    <cellStyle name="Обычный 7 7 5 2 2 2 2 6" xfId="34821"/>
    <cellStyle name="Обычный 7 7 5 2 2 2 3" xfId="34822"/>
    <cellStyle name="Обычный 7 7 5 2 2 2 3 2" xfId="34823"/>
    <cellStyle name="Обычный 7 7 5 2 2 2 3 3" xfId="34824"/>
    <cellStyle name="Обычный 7 7 5 2 2 2 4" xfId="34825"/>
    <cellStyle name="Обычный 7 7 5 2 2 2 4 2" xfId="34826"/>
    <cellStyle name="Обычный 7 7 5 2 2 2 4 3" xfId="34827"/>
    <cellStyle name="Обычный 7 7 5 2 2 2 5" xfId="34828"/>
    <cellStyle name="Обычный 7 7 5 2 2 2 5 2" xfId="34829"/>
    <cellStyle name="Обычный 7 7 5 2 2 2 6" xfId="34830"/>
    <cellStyle name="Обычный 7 7 5 2 2 2 7" xfId="34831"/>
    <cellStyle name="Обычный 7 7 5 2 2 3" xfId="34832"/>
    <cellStyle name="Обычный 7 7 5 2 2 3 2" xfId="34833"/>
    <cellStyle name="Обычный 7 7 5 2 2 3 2 2" xfId="34834"/>
    <cellStyle name="Обычный 7 7 5 2 2 3 2 3" xfId="34835"/>
    <cellStyle name="Обычный 7 7 5 2 2 3 3" xfId="34836"/>
    <cellStyle name="Обычный 7 7 5 2 2 3 3 2" xfId="34837"/>
    <cellStyle name="Обычный 7 7 5 2 2 3 3 3" xfId="34838"/>
    <cellStyle name="Обычный 7 7 5 2 2 3 4" xfId="34839"/>
    <cellStyle name="Обычный 7 7 5 2 2 3 4 2" xfId="34840"/>
    <cellStyle name="Обычный 7 7 5 2 2 3 5" xfId="34841"/>
    <cellStyle name="Обычный 7 7 5 2 2 3 6" xfId="34842"/>
    <cellStyle name="Обычный 7 7 5 2 2 4" xfId="34843"/>
    <cellStyle name="Обычный 7 7 5 2 2 4 2" xfId="34844"/>
    <cellStyle name="Обычный 7 7 5 2 2 4 3" xfId="34845"/>
    <cellStyle name="Обычный 7 7 5 2 2 5" xfId="34846"/>
    <cellStyle name="Обычный 7 7 5 2 2 5 2" xfId="34847"/>
    <cellStyle name="Обычный 7 7 5 2 2 5 3" xfId="34848"/>
    <cellStyle name="Обычный 7 7 5 2 2 6" xfId="34849"/>
    <cellStyle name="Обычный 7 7 5 2 2 6 2" xfId="34850"/>
    <cellStyle name="Обычный 7 7 5 2 2 7" xfId="34851"/>
    <cellStyle name="Обычный 7 7 5 2 2 8" xfId="34852"/>
    <cellStyle name="Обычный 7 7 5 2 3" xfId="34853"/>
    <cellStyle name="Обычный 7 7 5 2 3 2" xfId="34854"/>
    <cellStyle name="Обычный 7 7 5 2 3 2 2" xfId="34855"/>
    <cellStyle name="Обычный 7 7 5 2 3 2 2 2" xfId="34856"/>
    <cellStyle name="Обычный 7 7 5 2 3 2 2 3" xfId="34857"/>
    <cellStyle name="Обычный 7 7 5 2 3 2 3" xfId="34858"/>
    <cellStyle name="Обычный 7 7 5 2 3 2 3 2" xfId="34859"/>
    <cellStyle name="Обычный 7 7 5 2 3 2 3 3" xfId="34860"/>
    <cellStyle name="Обычный 7 7 5 2 3 2 4" xfId="34861"/>
    <cellStyle name="Обычный 7 7 5 2 3 2 4 2" xfId="34862"/>
    <cellStyle name="Обычный 7 7 5 2 3 2 5" xfId="34863"/>
    <cellStyle name="Обычный 7 7 5 2 3 2 6" xfId="34864"/>
    <cellStyle name="Обычный 7 7 5 2 3 3" xfId="34865"/>
    <cellStyle name="Обычный 7 7 5 2 3 3 2" xfId="34866"/>
    <cellStyle name="Обычный 7 7 5 2 3 3 3" xfId="34867"/>
    <cellStyle name="Обычный 7 7 5 2 3 4" xfId="34868"/>
    <cellStyle name="Обычный 7 7 5 2 3 4 2" xfId="34869"/>
    <cellStyle name="Обычный 7 7 5 2 3 4 3" xfId="34870"/>
    <cellStyle name="Обычный 7 7 5 2 3 5" xfId="34871"/>
    <cellStyle name="Обычный 7 7 5 2 3 5 2" xfId="34872"/>
    <cellStyle name="Обычный 7 7 5 2 3 6" xfId="34873"/>
    <cellStyle name="Обычный 7 7 5 2 3 7" xfId="34874"/>
    <cellStyle name="Обычный 7 7 5 2 4" xfId="34875"/>
    <cellStyle name="Обычный 7 7 5 2 4 2" xfId="34876"/>
    <cellStyle name="Обычный 7 7 5 2 4 2 2" xfId="34877"/>
    <cellStyle name="Обычный 7 7 5 2 4 2 3" xfId="34878"/>
    <cellStyle name="Обычный 7 7 5 2 4 3" xfId="34879"/>
    <cellStyle name="Обычный 7 7 5 2 4 3 2" xfId="34880"/>
    <cellStyle name="Обычный 7 7 5 2 4 3 3" xfId="34881"/>
    <cellStyle name="Обычный 7 7 5 2 4 4" xfId="34882"/>
    <cellStyle name="Обычный 7 7 5 2 4 4 2" xfId="34883"/>
    <cellStyle name="Обычный 7 7 5 2 4 5" xfId="34884"/>
    <cellStyle name="Обычный 7 7 5 2 4 6" xfId="34885"/>
    <cellStyle name="Обычный 7 7 5 2 5" xfId="34886"/>
    <cellStyle name="Обычный 7 7 5 2 5 2" xfId="34887"/>
    <cellStyle name="Обычный 7 7 5 2 5 3" xfId="34888"/>
    <cellStyle name="Обычный 7 7 5 2 6" xfId="34889"/>
    <cellStyle name="Обычный 7 7 5 2 6 2" xfId="34890"/>
    <cellStyle name="Обычный 7 7 5 2 6 3" xfId="34891"/>
    <cellStyle name="Обычный 7 7 5 2 7" xfId="34892"/>
    <cellStyle name="Обычный 7 7 5 2 7 2" xfId="34893"/>
    <cellStyle name="Обычный 7 7 5 2 8" xfId="34894"/>
    <cellStyle name="Обычный 7 7 5 2 9" xfId="34895"/>
    <cellStyle name="Обычный 7 7 5 3" xfId="34896"/>
    <cellStyle name="Обычный 7 7 5 3 2" xfId="34897"/>
    <cellStyle name="Обычный 7 7 5 3 2 2" xfId="34898"/>
    <cellStyle name="Обычный 7 7 5 3 2 2 2" xfId="34899"/>
    <cellStyle name="Обычный 7 7 5 3 2 2 2 2" xfId="34900"/>
    <cellStyle name="Обычный 7 7 5 3 2 2 2 3" xfId="34901"/>
    <cellStyle name="Обычный 7 7 5 3 2 2 3" xfId="34902"/>
    <cellStyle name="Обычный 7 7 5 3 2 2 3 2" xfId="34903"/>
    <cellStyle name="Обычный 7 7 5 3 2 2 3 3" xfId="34904"/>
    <cellStyle name="Обычный 7 7 5 3 2 2 4" xfId="34905"/>
    <cellStyle name="Обычный 7 7 5 3 2 2 4 2" xfId="34906"/>
    <cellStyle name="Обычный 7 7 5 3 2 2 5" xfId="34907"/>
    <cellStyle name="Обычный 7 7 5 3 2 2 6" xfId="34908"/>
    <cellStyle name="Обычный 7 7 5 3 2 3" xfId="34909"/>
    <cellStyle name="Обычный 7 7 5 3 2 3 2" xfId="34910"/>
    <cellStyle name="Обычный 7 7 5 3 2 3 3" xfId="34911"/>
    <cellStyle name="Обычный 7 7 5 3 2 4" xfId="34912"/>
    <cellStyle name="Обычный 7 7 5 3 2 4 2" xfId="34913"/>
    <cellStyle name="Обычный 7 7 5 3 2 4 3" xfId="34914"/>
    <cellStyle name="Обычный 7 7 5 3 2 5" xfId="34915"/>
    <cellStyle name="Обычный 7 7 5 3 2 5 2" xfId="34916"/>
    <cellStyle name="Обычный 7 7 5 3 2 6" xfId="34917"/>
    <cellStyle name="Обычный 7 7 5 3 2 7" xfId="34918"/>
    <cellStyle name="Обычный 7 7 5 3 3" xfId="34919"/>
    <cellStyle name="Обычный 7 7 5 3 3 2" xfId="34920"/>
    <cellStyle name="Обычный 7 7 5 3 3 2 2" xfId="34921"/>
    <cellStyle name="Обычный 7 7 5 3 3 2 3" xfId="34922"/>
    <cellStyle name="Обычный 7 7 5 3 3 3" xfId="34923"/>
    <cellStyle name="Обычный 7 7 5 3 3 3 2" xfId="34924"/>
    <cellStyle name="Обычный 7 7 5 3 3 3 3" xfId="34925"/>
    <cellStyle name="Обычный 7 7 5 3 3 4" xfId="34926"/>
    <cellStyle name="Обычный 7 7 5 3 3 4 2" xfId="34927"/>
    <cellStyle name="Обычный 7 7 5 3 3 5" xfId="34928"/>
    <cellStyle name="Обычный 7 7 5 3 3 6" xfId="34929"/>
    <cellStyle name="Обычный 7 7 5 3 4" xfId="34930"/>
    <cellStyle name="Обычный 7 7 5 3 4 2" xfId="34931"/>
    <cellStyle name="Обычный 7 7 5 3 4 3" xfId="34932"/>
    <cellStyle name="Обычный 7 7 5 3 5" xfId="34933"/>
    <cellStyle name="Обычный 7 7 5 3 5 2" xfId="34934"/>
    <cellStyle name="Обычный 7 7 5 3 5 3" xfId="34935"/>
    <cellStyle name="Обычный 7 7 5 3 6" xfId="34936"/>
    <cellStyle name="Обычный 7 7 5 3 6 2" xfId="34937"/>
    <cellStyle name="Обычный 7 7 5 3 7" xfId="34938"/>
    <cellStyle name="Обычный 7 7 5 3 8" xfId="34939"/>
    <cellStyle name="Обычный 7 7 5 4" xfId="34940"/>
    <cellStyle name="Обычный 7 7 5 4 2" xfId="34941"/>
    <cellStyle name="Обычный 7 7 5 4 2 2" xfId="34942"/>
    <cellStyle name="Обычный 7 7 5 4 2 2 2" xfId="34943"/>
    <cellStyle name="Обычный 7 7 5 4 2 2 3" xfId="34944"/>
    <cellStyle name="Обычный 7 7 5 4 2 3" xfId="34945"/>
    <cellStyle name="Обычный 7 7 5 4 2 3 2" xfId="34946"/>
    <cellStyle name="Обычный 7 7 5 4 2 3 3" xfId="34947"/>
    <cellStyle name="Обычный 7 7 5 4 2 4" xfId="34948"/>
    <cellStyle name="Обычный 7 7 5 4 2 4 2" xfId="34949"/>
    <cellStyle name="Обычный 7 7 5 4 2 5" xfId="34950"/>
    <cellStyle name="Обычный 7 7 5 4 2 6" xfId="34951"/>
    <cellStyle name="Обычный 7 7 5 4 3" xfId="34952"/>
    <cellStyle name="Обычный 7 7 5 4 3 2" xfId="34953"/>
    <cellStyle name="Обычный 7 7 5 4 3 3" xfId="34954"/>
    <cellStyle name="Обычный 7 7 5 4 4" xfId="34955"/>
    <cellStyle name="Обычный 7 7 5 4 4 2" xfId="34956"/>
    <cellStyle name="Обычный 7 7 5 4 4 3" xfId="34957"/>
    <cellStyle name="Обычный 7 7 5 4 5" xfId="34958"/>
    <cellStyle name="Обычный 7 7 5 4 5 2" xfId="34959"/>
    <cellStyle name="Обычный 7 7 5 4 6" xfId="34960"/>
    <cellStyle name="Обычный 7 7 5 4 7" xfId="34961"/>
    <cellStyle name="Обычный 7 7 5 5" xfId="34962"/>
    <cellStyle name="Обычный 7 7 5 5 2" xfId="34963"/>
    <cellStyle name="Обычный 7 7 5 5 2 2" xfId="34964"/>
    <cellStyle name="Обычный 7 7 5 5 2 3" xfId="34965"/>
    <cellStyle name="Обычный 7 7 5 5 3" xfId="34966"/>
    <cellStyle name="Обычный 7 7 5 5 3 2" xfId="34967"/>
    <cellStyle name="Обычный 7 7 5 5 3 3" xfId="34968"/>
    <cellStyle name="Обычный 7 7 5 5 4" xfId="34969"/>
    <cellStyle name="Обычный 7 7 5 5 4 2" xfId="34970"/>
    <cellStyle name="Обычный 7 7 5 5 5" xfId="34971"/>
    <cellStyle name="Обычный 7 7 5 5 6" xfId="34972"/>
    <cellStyle name="Обычный 7 7 5 6" xfId="34973"/>
    <cellStyle name="Обычный 7 7 5 6 2" xfId="34974"/>
    <cellStyle name="Обычный 7 7 5 6 3" xfId="34975"/>
    <cellStyle name="Обычный 7 7 5 7" xfId="34976"/>
    <cellStyle name="Обычный 7 7 5 7 2" xfId="34977"/>
    <cellStyle name="Обычный 7 7 5 7 3" xfId="34978"/>
    <cellStyle name="Обычный 7 7 5 8" xfId="34979"/>
    <cellStyle name="Обычный 7 7 5 8 2" xfId="34980"/>
    <cellStyle name="Обычный 7 7 5 9" xfId="34981"/>
    <cellStyle name="Обычный 7 7 6" xfId="34982"/>
    <cellStyle name="Обычный 7 7 6 2" xfId="34983"/>
    <cellStyle name="Обычный 7 7 6 2 2" xfId="34984"/>
    <cellStyle name="Обычный 7 7 6 2 2 2" xfId="34985"/>
    <cellStyle name="Обычный 7 7 6 2 2 2 2" xfId="34986"/>
    <cellStyle name="Обычный 7 7 6 2 2 2 2 2" xfId="34987"/>
    <cellStyle name="Обычный 7 7 6 2 2 2 2 3" xfId="34988"/>
    <cellStyle name="Обычный 7 7 6 2 2 2 3" xfId="34989"/>
    <cellStyle name="Обычный 7 7 6 2 2 2 3 2" xfId="34990"/>
    <cellStyle name="Обычный 7 7 6 2 2 2 3 3" xfId="34991"/>
    <cellStyle name="Обычный 7 7 6 2 2 2 4" xfId="34992"/>
    <cellStyle name="Обычный 7 7 6 2 2 2 4 2" xfId="34993"/>
    <cellStyle name="Обычный 7 7 6 2 2 2 5" xfId="34994"/>
    <cellStyle name="Обычный 7 7 6 2 2 2 6" xfId="34995"/>
    <cellStyle name="Обычный 7 7 6 2 2 3" xfId="34996"/>
    <cellStyle name="Обычный 7 7 6 2 2 3 2" xfId="34997"/>
    <cellStyle name="Обычный 7 7 6 2 2 3 3" xfId="34998"/>
    <cellStyle name="Обычный 7 7 6 2 2 4" xfId="34999"/>
    <cellStyle name="Обычный 7 7 6 2 2 4 2" xfId="35000"/>
    <cellStyle name="Обычный 7 7 6 2 2 4 3" xfId="35001"/>
    <cellStyle name="Обычный 7 7 6 2 2 5" xfId="35002"/>
    <cellStyle name="Обычный 7 7 6 2 2 5 2" xfId="35003"/>
    <cellStyle name="Обычный 7 7 6 2 2 6" xfId="35004"/>
    <cellStyle name="Обычный 7 7 6 2 2 7" xfId="35005"/>
    <cellStyle name="Обычный 7 7 6 2 3" xfId="35006"/>
    <cellStyle name="Обычный 7 7 6 2 3 2" xfId="35007"/>
    <cellStyle name="Обычный 7 7 6 2 3 2 2" xfId="35008"/>
    <cellStyle name="Обычный 7 7 6 2 3 2 3" xfId="35009"/>
    <cellStyle name="Обычный 7 7 6 2 3 3" xfId="35010"/>
    <cellStyle name="Обычный 7 7 6 2 3 3 2" xfId="35011"/>
    <cellStyle name="Обычный 7 7 6 2 3 3 3" xfId="35012"/>
    <cellStyle name="Обычный 7 7 6 2 3 4" xfId="35013"/>
    <cellStyle name="Обычный 7 7 6 2 3 4 2" xfId="35014"/>
    <cellStyle name="Обычный 7 7 6 2 3 5" xfId="35015"/>
    <cellStyle name="Обычный 7 7 6 2 3 6" xfId="35016"/>
    <cellStyle name="Обычный 7 7 6 2 4" xfId="35017"/>
    <cellStyle name="Обычный 7 7 6 2 4 2" xfId="35018"/>
    <cellStyle name="Обычный 7 7 6 2 4 3" xfId="35019"/>
    <cellStyle name="Обычный 7 7 6 2 5" xfId="35020"/>
    <cellStyle name="Обычный 7 7 6 2 5 2" xfId="35021"/>
    <cellStyle name="Обычный 7 7 6 2 5 3" xfId="35022"/>
    <cellStyle name="Обычный 7 7 6 2 6" xfId="35023"/>
    <cellStyle name="Обычный 7 7 6 2 6 2" xfId="35024"/>
    <cellStyle name="Обычный 7 7 6 2 7" xfId="35025"/>
    <cellStyle name="Обычный 7 7 6 2 8" xfId="35026"/>
    <cellStyle name="Обычный 7 7 6 3" xfId="35027"/>
    <cellStyle name="Обычный 7 7 6 3 2" xfId="35028"/>
    <cellStyle name="Обычный 7 7 6 3 2 2" xfId="35029"/>
    <cellStyle name="Обычный 7 7 6 3 2 2 2" xfId="35030"/>
    <cellStyle name="Обычный 7 7 6 3 2 2 3" xfId="35031"/>
    <cellStyle name="Обычный 7 7 6 3 2 3" xfId="35032"/>
    <cellStyle name="Обычный 7 7 6 3 2 3 2" xfId="35033"/>
    <cellStyle name="Обычный 7 7 6 3 2 3 3" xfId="35034"/>
    <cellStyle name="Обычный 7 7 6 3 2 4" xfId="35035"/>
    <cellStyle name="Обычный 7 7 6 3 2 4 2" xfId="35036"/>
    <cellStyle name="Обычный 7 7 6 3 2 5" xfId="35037"/>
    <cellStyle name="Обычный 7 7 6 3 2 6" xfId="35038"/>
    <cellStyle name="Обычный 7 7 6 3 3" xfId="35039"/>
    <cellStyle name="Обычный 7 7 6 3 3 2" xfId="35040"/>
    <cellStyle name="Обычный 7 7 6 3 3 3" xfId="35041"/>
    <cellStyle name="Обычный 7 7 6 3 4" xfId="35042"/>
    <cellStyle name="Обычный 7 7 6 3 4 2" xfId="35043"/>
    <cellStyle name="Обычный 7 7 6 3 4 3" xfId="35044"/>
    <cellStyle name="Обычный 7 7 6 3 5" xfId="35045"/>
    <cellStyle name="Обычный 7 7 6 3 5 2" xfId="35046"/>
    <cellStyle name="Обычный 7 7 6 3 6" xfId="35047"/>
    <cellStyle name="Обычный 7 7 6 3 7" xfId="35048"/>
    <cellStyle name="Обычный 7 7 6 4" xfId="35049"/>
    <cellStyle name="Обычный 7 7 6 4 2" xfId="35050"/>
    <cellStyle name="Обычный 7 7 6 4 2 2" xfId="35051"/>
    <cellStyle name="Обычный 7 7 6 4 2 3" xfId="35052"/>
    <cellStyle name="Обычный 7 7 6 4 3" xfId="35053"/>
    <cellStyle name="Обычный 7 7 6 4 3 2" xfId="35054"/>
    <cellStyle name="Обычный 7 7 6 4 3 3" xfId="35055"/>
    <cellStyle name="Обычный 7 7 6 4 4" xfId="35056"/>
    <cellStyle name="Обычный 7 7 6 4 4 2" xfId="35057"/>
    <cellStyle name="Обычный 7 7 6 4 5" xfId="35058"/>
    <cellStyle name="Обычный 7 7 6 4 6" xfId="35059"/>
    <cellStyle name="Обычный 7 7 6 5" xfId="35060"/>
    <cellStyle name="Обычный 7 7 6 5 2" xfId="35061"/>
    <cellStyle name="Обычный 7 7 6 5 3" xfId="35062"/>
    <cellStyle name="Обычный 7 7 6 6" xfId="35063"/>
    <cellStyle name="Обычный 7 7 6 6 2" xfId="35064"/>
    <cellStyle name="Обычный 7 7 6 6 3" xfId="35065"/>
    <cellStyle name="Обычный 7 7 6 7" xfId="35066"/>
    <cellStyle name="Обычный 7 7 6 7 2" xfId="35067"/>
    <cellStyle name="Обычный 7 7 6 8" xfId="35068"/>
    <cellStyle name="Обычный 7 7 6 9" xfId="35069"/>
    <cellStyle name="Обычный 7 7 7" xfId="35070"/>
    <cellStyle name="Обычный 7 7 7 2" xfId="35071"/>
    <cellStyle name="Обычный 7 7 7 2 2" xfId="35072"/>
    <cellStyle name="Обычный 7 7 7 2 2 2" xfId="35073"/>
    <cellStyle name="Обычный 7 7 7 2 2 2 2" xfId="35074"/>
    <cellStyle name="Обычный 7 7 7 2 2 2 3" xfId="35075"/>
    <cellStyle name="Обычный 7 7 7 2 2 3" xfId="35076"/>
    <cellStyle name="Обычный 7 7 7 2 2 3 2" xfId="35077"/>
    <cellStyle name="Обычный 7 7 7 2 2 3 3" xfId="35078"/>
    <cellStyle name="Обычный 7 7 7 2 2 4" xfId="35079"/>
    <cellStyle name="Обычный 7 7 7 2 2 4 2" xfId="35080"/>
    <cellStyle name="Обычный 7 7 7 2 2 5" xfId="35081"/>
    <cellStyle name="Обычный 7 7 7 2 2 6" xfId="35082"/>
    <cellStyle name="Обычный 7 7 7 2 3" xfId="35083"/>
    <cellStyle name="Обычный 7 7 7 2 3 2" xfId="35084"/>
    <cellStyle name="Обычный 7 7 7 2 3 3" xfId="35085"/>
    <cellStyle name="Обычный 7 7 7 2 4" xfId="35086"/>
    <cellStyle name="Обычный 7 7 7 2 4 2" xfId="35087"/>
    <cellStyle name="Обычный 7 7 7 2 4 3" xfId="35088"/>
    <cellStyle name="Обычный 7 7 7 2 5" xfId="35089"/>
    <cellStyle name="Обычный 7 7 7 2 5 2" xfId="35090"/>
    <cellStyle name="Обычный 7 7 7 2 6" xfId="35091"/>
    <cellStyle name="Обычный 7 7 7 2 7" xfId="35092"/>
    <cellStyle name="Обычный 7 7 7 3" xfId="35093"/>
    <cellStyle name="Обычный 7 7 7 3 2" xfId="35094"/>
    <cellStyle name="Обычный 7 7 7 3 2 2" xfId="35095"/>
    <cellStyle name="Обычный 7 7 7 3 2 3" xfId="35096"/>
    <cellStyle name="Обычный 7 7 7 3 3" xfId="35097"/>
    <cellStyle name="Обычный 7 7 7 3 3 2" xfId="35098"/>
    <cellStyle name="Обычный 7 7 7 3 3 3" xfId="35099"/>
    <cellStyle name="Обычный 7 7 7 3 4" xfId="35100"/>
    <cellStyle name="Обычный 7 7 7 3 4 2" xfId="35101"/>
    <cellStyle name="Обычный 7 7 7 3 5" xfId="35102"/>
    <cellStyle name="Обычный 7 7 7 3 6" xfId="35103"/>
    <cellStyle name="Обычный 7 7 7 4" xfId="35104"/>
    <cellStyle name="Обычный 7 7 7 4 2" xfId="35105"/>
    <cellStyle name="Обычный 7 7 7 4 3" xfId="35106"/>
    <cellStyle name="Обычный 7 7 7 5" xfId="35107"/>
    <cellStyle name="Обычный 7 7 7 5 2" xfId="35108"/>
    <cellStyle name="Обычный 7 7 7 5 3" xfId="35109"/>
    <cellStyle name="Обычный 7 7 7 6" xfId="35110"/>
    <cellStyle name="Обычный 7 7 7 6 2" xfId="35111"/>
    <cellStyle name="Обычный 7 7 7 7" xfId="35112"/>
    <cellStyle name="Обычный 7 7 7 8" xfId="35113"/>
    <cellStyle name="Обычный 7 7 8" xfId="35114"/>
    <cellStyle name="Обычный 7 7 8 2" xfId="35115"/>
    <cellStyle name="Обычный 7 7 8 2 2" xfId="35116"/>
    <cellStyle name="Обычный 7 7 8 2 2 2" xfId="35117"/>
    <cellStyle name="Обычный 7 7 8 2 2 3" xfId="35118"/>
    <cellStyle name="Обычный 7 7 8 2 3" xfId="35119"/>
    <cellStyle name="Обычный 7 7 8 2 3 2" xfId="35120"/>
    <cellStyle name="Обычный 7 7 8 2 3 3" xfId="35121"/>
    <cellStyle name="Обычный 7 7 8 2 4" xfId="35122"/>
    <cellStyle name="Обычный 7 7 8 2 4 2" xfId="35123"/>
    <cellStyle name="Обычный 7 7 8 2 5" xfId="35124"/>
    <cellStyle name="Обычный 7 7 8 2 6" xfId="35125"/>
    <cellStyle name="Обычный 7 7 8 3" xfId="35126"/>
    <cellStyle name="Обычный 7 7 8 3 2" xfId="35127"/>
    <cellStyle name="Обычный 7 7 8 3 3" xfId="35128"/>
    <cellStyle name="Обычный 7 7 8 4" xfId="35129"/>
    <cellStyle name="Обычный 7 7 8 4 2" xfId="35130"/>
    <cellStyle name="Обычный 7 7 8 4 3" xfId="35131"/>
    <cellStyle name="Обычный 7 7 8 5" xfId="35132"/>
    <cellStyle name="Обычный 7 7 8 5 2" xfId="35133"/>
    <cellStyle name="Обычный 7 7 8 6" xfId="35134"/>
    <cellStyle name="Обычный 7 7 8 7" xfId="35135"/>
    <cellStyle name="Обычный 7 7 9" xfId="35136"/>
    <cellStyle name="Обычный 7 7 9 2" xfId="35137"/>
    <cellStyle name="Обычный 7 7 9 2 2" xfId="35138"/>
    <cellStyle name="Обычный 7 7 9 2 3" xfId="35139"/>
    <cellStyle name="Обычный 7 7 9 3" xfId="35140"/>
    <cellStyle name="Обычный 7 7 9 3 2" xfId="35141"/>
    <cellStyle name="Обычный 7 7 9 3 3" xfId="35142"/>
    <cellStyle name="Обычный 7 7 9 4" xfId="35143"/>
    <cellStyle name="Обычный 7 7 9 4 2" xfId="35144"/>
    <cellStyle name="Обычный 7 7 9 5" xfId="35145"/>
    <cellStyle name="Обычный 7 7 9 6" xfId="35146"/>
    <cellStyle name="Обычный 7 8" xfId="35147"/>
    <cellStyle name="Обычный 7 8 10" xfId="35148"/>
    <cellStyle name="Обычный 7 8 10 2" xfId="35149"/>
    <cellStyle name="Обычный 7 8 10 3" xfId="35150"/>
    <cellStyle name="Обычный 7 8 11" xfId="35151"/>
    <cellStyle name="Обычный 7 8 11 2" xfId="35152"/>
    <cellStyle name="Обычный 7 8 11 3" xfId="35153"/>
    <cellStyle name="Обычный 7 8 12" xfId="35154"/>
    <cellStyle name="Обычный 7 8 12 2" xfId="35155"/>
    <cellStyle name="Обычный 7 8 13" xfId="35156"/>
    <cellStyle name="Обычный 7 8 14" xfId="35157"/>
    <cellStyle name="Обычный 7 8 2" xfId="35158"/>
    <cellStyle name="Обычный 7 8 2 10" xfId="35159"/>
    <cellStyle name="Обычный 7 8 2 10 2" xfId="35160"/>
    <cellStyle name="Обычный 7 8 2 10 3" xfId="35161"/>
    <cellStyle name="Обычный 7 8 2 11" xfId="35162"/>
    <cellStyle name="Обычный 7 8 2 11 2" xfId="35163"/>
    <cellStyle name="Обычный 7 8 2 12" xfId="35164"/>
    <cellStyle name="Обычный 7 8 2 13" xfId="35165"/>
    <cellStyle name="Обычный 7 8 2 2" xfId="35166"/>
    <cellStyle name="Обычный 7 8 2 2 10" xfId="35167"/>
    <cellStyle name="Обычный 7 8 2 2 2" xfId="35168"/>
    <cellStyle name="Обычный 7 8 2 2 2 2" xfId="35169"/>
    <cellStyle name="Обычный 7 8 2 2 2 2 2" xfId="35170"/>
    <cellStyle name="Обычный 7 8 2 2 2 2 2 2" xfId="35171"/>
    <cellStyle name="Обычный 7 8 2 2 2 2 2 2 2" xfId="35172"/>
    <cellStyle name="Обычный 7 8 2 2 2 2 2 2 2 2" xfId="35173"/>
    <cellStyle name="Обычный 7 8 2 2 2 2 2 2 2 3" xfId="35174"/>
    <cellStyle name="Обычный 7 8 2 2 2 2 2 2 3" xfId="35175"/>
    <cellStyle name="Обычный 7 8 2 2 2 2 2 2 3 2" xfId="35176"/>
    <cellStyle name="Обычный 7 8 2 2 2 2 2 2 3 3" xfId="35177"/>
    <cellStyle name="Обычный 7 8 2 2 2 2 2 2 4" xfId="35178"/>
    <cellStyle name="Обычный 7 8 2 2 2 2 2 2 4 2" xfId="35179"/>
    <cellStyle name="Обычный 7 8 2 2 2 2 2 2 5" xfId="35180"/>
    <cellStyle name="Обычный 7 8 2 2 2 2 2 2 6" xfId="35181"/>
    <cellStyle name="Обычный 7 8 2 2 2 2 2 3" xfId="35182"/>
    <cellStyle name="Обычный 7 8 2 2 2 2 2 3 2" xfId="35183"/>
    <cellStyle name="Обычный 7 8 2 2 2 2 2 3 3" xfId="35184"/>
    <cellStyle name="Обычный 7 8 2 2 2 2 2 4" xfId="35185"/>
    <cellStyle name="Обычный 7 8 2 2 2 2 2 4 2" xfId="35186"/>
    <cellStyle name="Обычный 7 8 2 2 2 2 2 4 3" xfId="35187"/>
    <cellStyle name="Обычный 7 8 2 2 2 2 2 5" xfId="35188"/>
    <cellStyle name="Обычный 7 8 2 2 2 2 2 5 2" xfId="35189"/>
    <cellStyle name="Обычный 7 8 2 2 2 2 2 6" xfId="35190"/>
    <cellStyle name="Обычный 7 8 2 2 2 2 2 7" xfId="35191"/>
    <cellStyle name="Обычный 7 8 2 2 2 2 3" xfId="35192"/>
    <cellStyle name="Обычный 7 8 2 2 2 2 3 2" xfId="35193"/>
    <cellStyle name="Обычный 7 8 2 2 2 2 3 2 2" xfId="35194"/>
    <cellStyle name="Обычный 7 8 2 2 2 2 3 2 3" xfId="35195"/>
    <cellStyle name="Обычный 7 8 2 2 2 2 3 3" xfId="35196"/>
    <cellStyle name="Обычный 7 8 2 2 2 2 3 3 2" xfId="35197"/>
    <cellStyle name="Обычный 7 8 2 2 2 2 3 3 3" xfId="35198"/>
    <cellStyle name="Обычный 7 8 2 2 2 2 3 4" xfId="35199"/>
    <cellStyle name="Обычный 7 8 2 2 2 2 3 4 2" xfId="35200"/>
    <cellStyle name="Обычный 7 8 2 2 2 2 3 5" xfId="35201"/>
    <cellStyle name="Обычный 7 8 2 2 2 2 3 6" xfId="35202"/>
    <cellStyle name="Обычный 7 8 2 2 2 2 4" xfId="35203"/>
    <cellStyle name="Обычный 7 8 2 2 2 2 4 2" xfId="35204"/>
    <cellStyle name="Обычный 7 8 2 2 2 2 4 3" xfId="35205"/>
    <cellStyle name="Обычный 7 8 2 2 2 2 5" xfId="35206"/>
    <cellStyle name="Обычный 7 8 2 2 2 2 5 2" xfId="35207"/>
    <cellStyle name="Обычный 7 8 2 2 2 2 5 3" xfId="35208"/>
    <cellStyle name="Обычный 7 8 2 2 2 2 6" xfId="35209"/>
    <cellStyle name="Обычный 7 8 2 2 2 2 6 2" xfId="35210"/>
    <cellStyle name="Обычный 7 8 2 2 2 2 7" xfId="35211"/>
    <cellStyle name="Обычный 7 8 2 2 2 2 8" xfId="35212"/>
    <cellStyle name="Обычный 7 8 2 2 2 3" xfId="35213"/>
    <cellStyle name="Обычный 7 8 2 2 2 3 2" xfId="35214"/>
    <cellStyle name="Обычный 7 8 2 2 2 3 2 2" xfId="35215"/>
    <cellStyle name="Обычный 7 8 2 2 2 3 2 2 2" xfId="35216"/>
    <cellStyle name="Обычный 7 8 2 2 2 3 2 2 3" xfId="35217"/>
    <cellStyle name="Обычный 7 8 2 2 2 3 2 3" xfId="35218"/>
    <cellStyle name="Обычный 7 8 2 2 2 3 2 3 2" xfId="35219"/>
    <cellStyle name="Обычный 7 8 2 2 2 3 2 3 3" xfId="35220"/>
    <cellStyle name="Обычный 7 8 2 2 2 3 2 4" xfId="35221"/>
    <cellStyle name="Обычный 7 8 2 2 2 3 2 4 2" xfId="35222"/>
    <cellStyle name="Обычный 7 8 2 2 2 3 2 5" xfId="35223"/>
    <cellStyle name="Обычный 7 8 2 2 2 3 2 6" xfId="35224"/>
    <cellStyle name="Обычный 7 8 2 2 2 3 3" xfId="35225"/>
    <cellStyle name="Обычный 7 8 2 2 2 3 3 2" xfId="35226"/>
    <cellStyle name="Обычный 7 8 2 2 2 3 3 3" xfId="35227"/>
    <cellStyle name="Обычный 7 8 2 2 2 3 4" xfId="35228"/>
    <cellStyle name="Обычный 7 8 2 2 2 3 4 2" xfId="35229"/>
    <cellStyle name="Обычный 7 8 2 2 2 3 4 3" xfId="35230"/>
    <cellStyle name="Обычный 7 8 2 2 2 3 5" xfId="35231"/>
    <cellStyle name="Обычный 7 8 2 2 2 3 5 2" xfId="35232"/>
    <cellStyle name="Обычный 7 8 2 2 2 3 6" xfId="35233"/>
    <cellStyle name="Обычный 7 8 2 2 2 3 7" xfId="35234"/>
    <cellStyle name="Обычный 7 8 2 2 2 4" xfId="35235"/>
    <cellStyle name="Обычный 7 8 2 2 2 4 2" xfId="35236"/>
    <cellStyle name="Обычный 7 8 2 2 2 4 2 2" xfId="35237"/>
    <cellStyle name="Обычный 7 8 2 2 2 4 2 3" xfId="35238"/>
    <cellStyle name="Обычный 7 8 2 2 2 4 3" xfId="35239"/>
    <cellStyle name="Обычный 7 8 2 2 2 4 3 2" xfId="35240"/>
    <cellStyle name="Обычный 7 8 2 2 2 4 3 3" xfId="35241"/>
    <cellStyle name="Обычный 7 8 2 2 2 4 4" xfId="35242"/>
    <cellStyle name="Обычный 7 8 2 2 2 4 4 2" xfId="35243"/>
    <cellStyle name="Обычный 7 8 2 2 2 4 5" xfId="35244"/>
    <cellStyle name="Обычный 7 8 2 2 2 4 6" xfId="35245"/>
    <cellStyle name="Обычный 7 8 2 2 2 5" xfId="35246"/>
    <cellStyle name="Обычный 7 8 2 2 2 5 2" xfId="35247"/>
    <cellStyle name="Обычный 7 8 2 2 2 5 3" xfId="35248"/>
    <cellStyle name="Обычный 7 8 2 2 2 6" xfId="35249"/>
    <cellStyle name="Обычный 7 8 2 2 2 6 2" xfId="35250"/>
    <cellStyle name="Обычный 7 8 2 2 2 6 3" xfId="35251"/>
    <cellStyle name="Обычный 7 8 2 2 2 7" xfId="35252"/>
    <cellStyle name="Обычный 7 8 2 2 2 7 2" xfId="35253"/>
    <cellStyle name="Обычный 7 8 2 2 2 8" xfId="35254"/>
    <cellStyle name="Обычный 7 8 2 2 2 9" xfId="35255"/>
    <cellStyle name="Обычный 7 8 2 2 3" xfId="35256"/>
    <cellStyle name="Обычный 7 8 2 2 3 2" xfId="35257"/>
    <cellStyle name="Обычный 7 8 2 2 3 2 2" xfId="35258"/>
    <cellStyle name="Обычный 7 8 2 2 3 2 2 2" xfId="35259"/>
    <cellStyle name="Обычный 7 8 2 2 3 2 2 2 2" xfId="35260"/>
    <cellStyle name="Обычный 7 8 2 2 3 2 2 2 3" xfId="35261"/>
    <cellStyle name="Обычный 7 8 2 2 3 2 2 3" xfId="35262"/>
    <cellStyle name="Обычный 7 8 2 2 3 2 2 3 2" xfId="35263"/>
    <cellStyle name="Обычный 7 8 2 2 3 2 2 3 3" xfId="35264"/>
    <cellStyle name="Обычный 7 8 2 2 3 2 2 4" xfId="35265"/>
    <cellStyle name="Обычный 7 8 2 2 3 2 2 4 2" xfId="35266"/>
    <cellStyle name="Обычный 7 8 2 2 3 2 2 5" xfId="35267"/>
    <cellStyle name="Обычный 7 8 2 2 3 2 2 6" xfId="35268"/>
    <cellStyle name="Обычный 7 8 2 2 3 2 3" xfId="35269"/>
    <cellStyle name="Обычный 7 8 2 2 3 2 3 2" xfId="35270"/>
    <cellStyle name="Обычный 7 8 2 2 3 2 3 3" xfId="35271"/>
    <cellStyle name="Обычный 7 8 2 2 3 2 4" xfId="35272"/>
    <cellStyle name="Обычный 7 8 2 2 3 2 4 2" xfId="35273"/>
    <cellStyle name="Обычный 7 8 2 2 3 2 4 3" xfId="35274"/>
    <cellStyle name="Обычный 7 8 2 2 3 2 5" xfId="35275"/>
    <cellStyle name="Обычный 7 8 2 2 3 2 5 2" xfId="35276"/>
    <cellStyle name="Обычный 7 8 2 2 3 2 6" xfId="35277"/>
    <cellStyle name="Обычный 7 8 2 2 3 2 7" xfId="35278"/>
    <cellStyle name="Обычный 7 8 2 2 3 3" xfId="35279"/>
    <cellStyle name="Обычный 7 8 2 2 3 3 2" xfId="35280"/>
    <cellStyle name="Обычный 7 8 2 2 3 3 2 2" xfId="35281"/>
    <cellStyle name="Обычный 7 8 2 2 3 3 2 3" xfId="35282"/>
    <cellStyle name="Обычный 7 8 2 2 3 3 3" xfId="35283"/>
    <cellStyle name="Обычный 7 8 2 2 3 3 3 2" xfId="35284"/>
    <cellStyle name="Обычный 7 8 2 2 3 3 3 3" xfId="35285"/>
    <cellStyle name="Обычный 7 8 2 2 3 3 4" xfId="35286"/>
    <cellStyle name="Обычный 7 8 2 2 3 3 4 2" xfId="35287"/>
    <cellStyle name="Обычный 7 8 2 2 3 3 5" xfId="35288"/>
    <cellStyle name="Обычный 7 8 2 2 3 3 6" xfId="35289"/>
    <cellStyle name="Обычный 7 8 2 2 3 4" xfId="35290"/>
    <cellStyle name="Обычный 7 8 2 2 3 4 2" xfId="35291"/>
    <cellStyle name="Обычный 7 8 2 2 3 4 3" xfId="35292"/>
    <cellStyle name="Обычный 7 8 2 2 3 5" xfId="35293"/>
    <cellStyle name="Обычный 7 8 2 2 3 5 2" xfId="35294"/>
    <cellStyle name="Обычный 7 8 2 2 3 5 3" xfId="35295"/>
    <cellStyle name="Обычный 7 8 2 2 3 6" xfId="35296"/>
    <cellStyle name="Обычный 7 8 2 2 3 6 2" xfId="35297"/>
    <cellStyle name="Обычный 7 8 2 2 3 7" xfId="35298"/>
    <cellStyle name="Обычный 7 8 2 2 3 8" xfId="35299"/>
    <cellStyle name="Обычный 7 8 2 2 4" xfId="35300"/>
    <cellStyle name="Обычный 7 8 2 2 4 2" xfId="35301"/>
    <cellStyle name="Обычный 7 8 2 2 4 2 2" xfId="35302"/>
    <cellStyle name="Обычный 7 8 2 2 4 2 2 2" xfId="35303"/>
    <cellStyle name="Обычный 7 8 2 2 4 2 2 3" xfId="35304"/>
    <cellStyle name="Обычный 7 8 2 2 4 2 3" xfId="35305"/>
    <cellStyle name="Обычный 7 8 2 2 4 2 3 2" xfId="35306"/>
    <cellStyle name="Обычный 7 8 2 2 4 2 3 3" xfId="35307"/>
    <cellStyle name="Обычный 7 8 2 2 4 2 4" xfId="35308"/>
    <cellStyle name="Обычный 7 8 2 2 4 2 4 2" xfId="35309"/>
    <cellStyle name="Обычный 7 8 2 2 4 2 5" xfId="35310"/>
    <cellStyle name="Обычный 7 8 2 2 4 2 6" xfId="35311"/>
    <cellStyle name="Обычный 7 8 2 2 4 3" xfId="35312"/>
    <cellStyle name="Обычный 7 8 2 2 4 3 2" xfId="35313"/>
    <cellStyle name="Обычный 7 8 2 2 4 3 3" xfId="35314"/>
    <cellStyle name="Обычный 7 8 2 2 4 4" xfId="35315"/>
    <cellStyle name="Обычный 7 8 2 2 4 4 2" xfId="35316"/>
    <cellStyle name="Обычный 7 8 2 2 4 4 3" xfId="35317"/>
    <cellStyle name="Обычный 7 8 2 2 4 5" xfId="35318"/>
    <cellStyle name="Обычный 7 8 2 2 4 5 2" xfId="35319"/>
    <cellStyle name="Обычный 7 8 2 2 4 6" xfId="35320"/>
    <cellStyle name="Обычный 7 8 2 2 4 7" xfId="35321"/>
    <cellStyle name="Обычный 7 8 2 2 5" xfId="35322"/>
    <cellStyle name="Обычный 7 8 2 2 5 2" xfId="35323"/>
    <cellStyle name="Обычный 7 8 2 2 5 2 2" xfId="35324"/>
    <cellStyle name="Обычный 7 8 2 2 5 2 3" xfId="35325"/>
    <cellStyle name="Обычный 7 8 2 2 5 3" xfId="35326"/>
    <cellStyle name="Обычный 7 8 2 2 5 3 2" xfId="35327"/>
    <cellStyle name="Обычный 7 8 2 2 5 3 3" xfId="35328"/>
    <cellStyle name="Обычный 7 8 2 2 5 4" xfId="35329"/>
    <cellStyle name="Обычный 7 8 2 2 5 4 2" xfId="35330"/>
    <cellStyle name="Обычный 7 8 2 2 5 5" xfId="35331"/>
    <cellStyle name="Обычный 7 8 2 2 5 6" xfId="35332"/>
    <cellStyle name="Обычный 7 8 2 2 6" xfId="35333"/>
    <cellStyle name="Обычный 7 8 2 2 6 2" xfId="35334"/>
    <cellStyle name="Обычный 7 8 2 2 6 3" xfId="35335"/>
    <cellStyle name="Обычный 7 8 2 2 7" xfId="35336"/>
    <cellStyle name="Обычный 7 8 2 2 7 2" xfId="35337"/>
    <cellStyle name="Обычный 7 8 2 2 7 3" xfId="35338"/>
    <cellStyle name="Обычный 7 8 2 2 8" xfId="35339"/>
    <cellStyle name="Обычный 7 8 2 2 8 2" xfId="35340"/>
    <cellStyle name="Обычный 7 8 2 2 9" xfId="35341"/>
    <cellStyle name="Обычный 7 8 2 3" xfId="35342"/>
    <cellStyle name="Обычный 7 8 2 3 10" xfId="35343"/>
    <cellStyle name="Обычный 7 8 2 3 2" xfId="35344"/>
    <cellStyle name="Обычный 7 8 2 3 2 2" xfId="35345"/>
    <cellStyle name="Обычный 7 8 2 3 2 2 2" xfId="35346"/>
    <cellStyle name="Обычный 7 8 2 3 2 2 2 2" xfId="35347"/>
    <cellStyle name="Обычный 7 8 2 3 2 2 2 2 2" xfId="35348"/>
    <cellStyle name="Обычный 7 8 2 3 2 2 2 2 2 2" xfId="35349"/>
    <cellStyle name="Обычный 7 8 2 3 2 2 2 2 2 3" xfId="35350"/>
    <cellStyle name="Обычный 7 8 2 3 2 2 2 2 3" xfId="35351"/>
    <cellStyle name="Обычный 7 8 2 3 2 2 2 2 3 2" xfId="35352"/>
    <cellStyle name="Обычный 7 8 2 3 2 2 2 2 3 3" xfId="35353"/>
    <cellStyle name="Обычный 7 8 2 3 2 2 2 2 4" xfId="35354"/>
    <cellStyle name="Обычный 7 8 2 3 2 2 2 2 4 2" xfId="35355"/>
    <cellStyle name="Обычный 7 8 2 3 2 2 2 2 5" xfId="35356"/>
    <cellStyle name="Обычный 7 8 2 3 2 2 2 2 6" xfId="35357"/>
    <cellStyle name="Обычный 7 8 2 3 2 2 2 3" xfId="35358"/>
    <cellStyle name="Обычный 7 8 2 3 2 2 2 3 2" xfId="35359"/>
    <cellStyle name="Обычный 7 8 2 3 2 2 2 3 3" xfId="35360"/>
    <cellStyle name="Обычный 7 8 2 3 2 2 2 4" xfId="35361"/>
    <cellStyle name="Обычный 7 8 2 3 2 2 2 4 2" xfId="35362"/>
    <cellStyle name="Обычный 7 8 2 3 2 2 2 4 3" xfId="35363"/>
    <cellStyle name="Обычный 7 8 2 3 2 2 2 5" xfId="35364"/>
    <cellStyle name="Обычный 7 8 2 3 2 2 2 5 2" xfId="35365"/>
    <cellStyle name="Обычный 7 8 2 3 2 2 2 6" xfId="35366"/>
    <cellStyle name="Обычный 7 8 2 3 2 2 2 7" xfId="35367"/>
    <cellStyle name="Обычный 7 8 2 3 2 2 3" xfId="35368"/>
    <cellStyle name="Обычный 7 8 2 3 2 2 3 2" xfId="35369"/>
    <cellStyle name="Обычный 7 8 2 3 2 2 3 2 2" xfId="35370"/>
    <cellStyle name="Обычный 7 8 2 3 2 2 3 2 3" xfId="35371"/>
    <cellStyle name="Обычный 7 8 2 3 2 2 3 3" xfId="35372"/>
    <cellStyle name="Обычный 7 8 2 3 2 2 3 3 2" xfId="35373"/>
    <cellStyle name="Обычный 7 8 2 3 2 2 3 3 3" xfId="35374"/>
    <cellStyle name="Обычный 7 8 2 3 2 2 3 4" xfId="35375"/>
    <cellStyle name="Обычный 7 8 2 3 2 2 3 4 2" xfId="35376"/>
    <cellStyle name="Обычный 7 8 2 3 2 2 3 5" xfId="35377"/>
    <cellStyle name="Обычный 7 8 2 3 2 2 3 6" xfId="35378"/>
    <cellStyle name="Обычный 7 8 2 3 2 2 4" xfId="35379"/>
    <cellStyle name="Обычный 7 8 2 3 2 2 4 2" xfId="35380"/>
    <cellStyle name="Обычный 7 8 2 3 2 2 4 3" xfId="35381"/>
    <cellStyle name="Обычный 7 8 2 3 2 2 5" xfId="35382"/>
    <cellStyle name="Обычный 7 8 2 3 2 2 5 2" xfId="35383"/>
    <cellStyle name="Обычный 7 8 2 3 2 2 5 3" xfId="35384"/>
    <cellStyle name="Обычный 7 8 2 3 2 2 6" xfId="35385"/>
    <cellStyle name="Обычный 7 8 2 3 2 2 6 2" xfId="35386"/>
    <cellStyle name="Обычный 7 8 2 3 2 2 7" xfId="35387"/>
    <cellStyle name="Обычный 7 8 2 3 2 2 8" xfId="35388"/>
    <cellStyle name="Обычный 7 8 2 3 2 3" xfId="35389"/>
    <cellStyle name="Обычный 7 8 2 3 2 3 2" xfId="35390"/>
    <cellStyle name="Обычный 7 8 2 3 2 3 2 2" xfId="35391"/>
    <cellStyle name="Обычный 7 8 2 3 2 3 2 2 2" xfId="35392"/>
    <cellStyle name="Обычный 7 8 2 3 2 3 2 2 3" xfId="35393"/>
    <cellStyle name="Обычный 7 8 2 3 2 3 2 3" xfId="35394"/>
    <cellStyle name="Обычный 7 8 2 3 2 3 2 3 2" xfId="35395"/>
    <cellStyle name="Обычный 7 8 2 3 2 3 2 3 3" xfId="35396"/>
    <cellStyle name="Обычный 7 8 2 3 2 3 2 4" xfId="35397"/>
    <cellStyle name="Обычный 7 8 2 3 2 3 2 4 2" xfId="35398"/>
    <cellStyle name="Обычный 7 8 2 3 2 3 2 5" xfId="35399"/>
    <cellStyle name="Обычный 7 8 2 3 2 3 2 6" xfId="35400"/>
    <cellStyle name="Обычный 7 8 2 3 2 3 3" xfId="35401"/>
    <cellStyle name="Обычный 7 8 2 3 2 3 3 2" xfId="35402"/>
    <cellStyle name="Обычный 7 8 2 3 2 3 3 3" xfId="35403"/>
    <cellStyle name="Обычный 7 8 2 3 2 3 4" xfId="35404"/>
    <cellStyle name="Обычный 7 8 2 3 2 3 4 2" xfId="35405"/>
    <cellStyle name="Обычный 7 8 2 3 2 3 4 3" xfId="35406"/>
    <cellStyle name="Обычный 7 8 2 3 2 3 5" xfId="35407"/>
    <cellStyle name="Обычный 7 8 2 3 2 3 5 2" xfId="35408"/>
    <cellStyle name="Обычный 7 8 2 3 2 3 6" xfId="35409"/>
    <cellStyle name="Обычный 7 8 2 3 2 3 7" xfId="35410"/>
    <cellStyle name="Обычный 7 8 2 3 2 4" xfId="35411"/>
    <cellStyle name="Обычный 7 8 2 3 2 4 2" xfId="35412"/>
    <cellStyle name="Обычный 7 8 2 3 2 4 2 2" xfId="35413"/>
    <cellStyle name="Обычный 7 8 2 3 2 4 2 3" xfId="35414"/>
    <cellStyle name="Обычный 7 8 2 3 2 4 3" xfId="35415"/>
    <cellStyle name="Обычный 7 8 2 3 2 4 3 2" xfId="35416"/>
    <cellStyle name="Обычный 7 8 2 3 2 4 3 3" xfId="35417"/>
    <cellStyle name="Обычный 7 8 2 3 2 4 4" xfId="35418"/>
    <cellStyle name="Обычный 7 8 2 3 2 4 4 2" xfId="35419"/>
    <cellStyle name="Обычный 7 8 2 3 2 4 5" xfId="35420"/>
    <cellStyle name="Обычный 7 8 2 3 2 4 6" xfId="35421"/>
    <cellStyle name="Обычный 7 8 2 3 2 5" xfId="35422"/>
    <cellStyle name="Обычный 7 8 2 3 2 5 2" xfId="35423"/>
    <cellStyle name="Обычный 7 8 2 3 2 5 3" xfId="35424"/>
    <cellStyle name="Обычный 7 8 2 3 2 6" xfId="35425"/>
    <cellStyle name="Обычный 7 8 2 3 2 6 2" xfId="35426"/>
    <cellStyle name="Обычный 7 8 2 3 2 6 3" xfId="35427"/>
    <cellStyle name="Обычный 7 8 2 3 2 7" xfId="35428"/>
    <cellStyle name="Обычный 7 8 2 3 2 7 2" xfId="35429"/>
    <cellStyle name="Обычный 7 8 2 3 2 8" xfId="35430"/>
    <cellStyle name="Обычный 7 8 2 3 2 9" xfId="35431"/>
    <cellStyle name="Обычный 7 8 2 3 3" xfId="35432"/>
    <cellStyle name="Обычный 7 8 2 3 3 2" xfId="35433"/>
    <cellStyle name="Обычный 7 8 2 3 3 2 2" xfId="35434"/>
    <cellStyle name="Обычный 7 8 2 3 3 2 2 2" xfId="35435"/>
    <cellStyle name="Обычный 7 8 2 3 3 2 2 2 2" xfId="35436"/>
    <cellStyle name="Обычный 7 8 2 3 3 2 2 2 3" xfId="35437"/>
    <cellStyle name="Обычный 7 8 2 3 3 2 2 3" xfId="35438"/>
    <cellStyle name="Обычный 7 8 2 3 3 2 2 3 2" xfId="35439"/>
    <cellStyle name="Обычный 7 8 2 3 3 2 2 3 3" xfId="35440"/>
    <cellStyle name="Обычный 7 8 2 3 3 2 2 4" xfId="35441"/>
    <cellStyle name="Обычный 7 8 2 3 3 2 2 4 2" xfId="35442"/>
    <cellStyle name="Обычный 7 8 2 3 3 2 2 5" xfId="35443"/>
    <cellStyle name="Обычный 7 8 2 3 3 2 2 6" xfId="35444"/>
    <cellStyle name="Обычный 7 8 2 3 3 2 3" xfId="35445"/>
    <cellStyle name="Обычный 7 8 2 3 3 2 3 2" xfId="35446"/>
    <cellStyle name="Обычный 7 8 2 3 3 2 3 3" xfId="35447"/>
    <cellStyle name="Обычный 7 8 2 3 3 2 4" xfId="35448"/>
    <cellStyle name="Обычный 7 8 2 3 3 2 4 2" xfId="35449"/>
    <cellStyle name="Обычный 7 8 2 3 3 2 4 3" xfId="35450"/>
    <cellStyle name="Обычный 7 8 2 3 3 2 5" xfId="35451"/>
    <cellStyle name="Обычный 7 8 2 3 3 2 5 2" xfId="35452"/>
    <cellStyle name="Обычный 7 8 2 3 3 2 6" xfId="35453"/>
    <cellStyle name="Обычный 7 8 2 3 3 2 7" xfId="35454"/>
    <cellStyle name="Обычный 7 8 2 3 3 3" xfId="35455"/>
    <cellStyle name="Обычный 7 8 2 3 3 3 2" xfId="35456"/>
    <cellStyle name="Обычный 7 8 2 3 3 3 2 2" xfId="35457"/>
    <cellStyle name="Обычный 7 8 2 3 3 3 2 3" xfId="35458"/>
    <cellStyle name="Обычный 7 8 2 3 3 3 3" xfId="35459"/>
    <cellStyle name="Обычный 7 8 2 3 3 3 3 2" xfId="35460"/>
    <cellStyle name="Обычный 7 8 2 3 3 3 3 3" xfId="35461"/>
    <cellStyle name="Обычный 7 8 2 3 3 3 4" xfId="35462"/>
    <cellStyle name="Обычный 7 8 2 3 3 3 4 2" xfId="35463"/>
    <cellStyle name="Обычный 7 8 2 3 3 3 5" xfId="35464"/>
    <cellStyle name="Обычный 7 8 2 3 3 3 6" xfId="35465"/>
    <cellStyle name="Обычный 7 8 2 3 3 4" xfId="35466"/>
    <cellStyle name="Обычный 7 8 2 3 3 4 2" xfId="35467"/>
    <cellStyle name="Обычный 7 8 2 3 3 4 3" xfId="35468"/>
    <cellStyle name="Обычный 7 8 2 3 3 5" xfId="35469"/>
    <cellStyle name="Обычный 7 8 2 3 3 5 2" xfId="35470"/>
    <cellStyle name="Обычный 7 8 2 3 3 5 3" xfId="35471"/>
    <cellStyle name="Обычный 7 8 2 3 3 6" xfId="35472"/>
    <cellStyle name="Обычный 7 8 2 3 3 6 2" xfId="35473"/>
    <cellStyle name="Обычный 7 8 2 3 3 7" xfId="35474"/>
    <cellStyle name="Обычный 7 8 2 3 3 8" xfId="35475"/>
    <cellStyle name="Обычный 7 8 2 3 4" xfId="35476"/>
    <cellStyle name="Обычный 7 8 2 3 4 2" xfId="35477"/>
    <cellStyle name="Обычный 7 8 2 3 4 2 2" xfId="35478"/>
    <cellStyle name="Обычный 7 8 2 3 4 2 2 2" xfId="35479"/>
    <cellStyle name="Обычный 7 8 2 3 4 2 2 3" xfId="35480"/>
    <cellStyle name="Обычный 7 8 2 3 4 2 3" xfId="35481"/>
    <cellStyle name="Обычный 7 8 2 3 4 2 3 2" xfId="35482"/>
    <cellStyle name="Обычный 7 8 2 3 4 2 3 3" xfId="35483"/>
    <cellStyle name="Обычный 7 8 2 3 4 2 4" xfId="35484"/>
    <cellStyle name="Обычный 7 8 2 3 4 2 4 2" xfId="35485"/>
    <cellStyle name="Обычный 7 8 2 3 4 2 5" xfId="35486"/>
    <cellStyle name="Обычный 7 8 2 3 4 2 6" xfId="35487"/>
    <cellStyle name="Обычный 7 8 2 3 4 3" xfId="35488"/>
    <cellStyle name="Обычный 7 8 2 3 4 3 2" xfId="35489"/>
    <cellStyle name="Обычный 7 8 2 3 4 3 3" xfId="35490"/>
    <cellStyle name="Обычный 7 8 2 3 4 4" xfId="35491"/>
    <cellStyle name="Обычный 7 8 2 3 4 4 2" xfId="35492"/>
    <cellStyle name="Обычный 7 8 2 3 4 4 3" xfId="35493"/>
    <cellStyle name="Обычный 7 8 2 3 4 5" xfId="35494"/>
    <cellStyle name="Обычный 7 8 2 3 4 5 2" xfId="35495"/>
    <cellStyle name="Обычный 7 8 2 3 4 6" xfId="35496"/>
    <cellStyle name="Обычный 7 8 2 3 4 7" xfId="35497"/>
    <cellStyle name="Обычный 7 8 2 3 5" xfId="35498"/>
    <cellStyle name="Обычный 7 8 2 3 5 2" xfId="35499"/>
    <cellStyle name="Обычный 7 8 2 3 5 2 2" xfId="35500"/>
    <cellStyle name="Обычный 7 8 2 3 5 2 3" xfId="35501"/>
    <cellStyle name="Обычный 7 8 2 3 5 3" xfId="35502"/>
    <cellStyle name="Обычный 7 8 2 3 5 3 2" xfId="35503"/>
    <cellStyle name="Обычный 7 8 2 3 5 3 3" xfId="35504"/>
    <cellStyle name="Обычный 7 8 2 3 5 4" xfId="35505"/>
    <cellStyle name="Обычный 7 8 2 3 5 4 2" xfId="35506"/>
    <cellStyle name="Обычный 7 8 2 3 5 5" xfId="35507"/>
    <cellStyle name="Обычный 7 8 2 3 5 6" xfId="35508"/>
    <cellStyle name="Обычный 7 8 2 3 6" xfId="35509"/>
    <cellStyle name="Обычный 7 8 2 3 6 2" xfId="35510"/>
    <cellStyle name="Обычный 7 8 2 3 6 3" xfId="35511"/>
    <cellStyle name="Обычный 7 8 2 3 7" xfId="35512"/>
    <cellStyle name="Обычный 7 8 2 3 7 2" xfId="35513"/>
    <cellStyle name="Обычный 7 8 2 3 7 3" xfId="35514"/>
    <cellStyle name="Обычный 7 8 2 3 8" xfId="35515"/>
    <cellStyle name="Обычный 7 8 2 3 8 2" xfId="35516"/>
    <cellStyle name="Обычный 7 8 2 3 9" xfId="35517"/>
    <cellStyle name="Обычный 7 8 2 4" xfId="35518"/>
    <cellStyle name="Обычный 7 8 2 4 10" xfId="35519"/>
    <cellStyle name="Обычный 7 8 2 4 2" xfId="35520"/>
    <cellStyle name="Обычный 7 8 2 4 2 2" xfId="35521"/>
    <cellStyle name="Обычный 7 8 2 4 2 2 2" xfId="35522"/>
    <cellStyle name="Обычный 7 8 2 4 2 2 2 2" xfId="35523"/>
    <cellStyle name="Обычный 7 8 2 4 2 2 2 2 2" xfId="35524"/>
    <cellStyle name="Обычный 7 8 2 4 2 2 2 2 2 2" xfId="35525"/>
    <cellStyle name="Обычный 7 8 2 4 2 2 2 2 2 3" xfId="35526"/>
    <cellStyle name="Обычный 7 8 2 4 2 2 2 2 3" xfId="35527"/>
    <cellStyle name="Обычный 7 8 2 4 2 2 2 2 3 2" xfId="35528"/>
    <cellStyle name="Обычный 7 8 2 4 2 2 2 2 3 3" xfId="35529"/>
    <cellStyle name="Обычный 7 8 2 4 2 2 2 2 4" xfId="35530"/>
    <cellStyle name="Обычный 7 8 2 4 2 2 2 2 4 2" xfId="35531"/>
    <cellStyle name="Обычный 7 8 2 4 2 2 2 2 5" xfId="35532"/>
    <cellStyle name="Обычный 7 8 2 4 2 2 2 2 6" xfId="35533"/>
    <cellStyle name="Обычный 7 8 2 4 2 2 2 3" xfId="35534"/>
    <cellStyle name="Обычный 7 8 2 4 2 2 2 3 2" xfId="35535"/>
    <cellStyle name="Обычный 7 8 2 4 2 2 2 3 3" xfId="35536"/>
    <cellStyle name="Обычный 7 8 2 4 2 2 2 4" xfId="35537"/>
    <cellStyle name="Обычный 7 8 2 4 2 2 2 4 2" xfId="35538"/>
    <cellStyle name="Обычный 7 8 2 4 2 2 2 4 3" xfId="35539"/>
    <cellStyle name="Обычный 7 8 2 4 2 2 2 5" xfId="35540"/>
    <cellStyle name="Обычный 7 8 2 4 2 2 2 5 2" xfId="35541"/>
    <cellStyle name="Обычный 7 8 2 4 2 2 2 6" xfId="35542"/>
    <cellStyle name="Обычный 7 8 2 4 2 2 2 7" xfId="35543"/>
    <cellStyle name="Обычный 7 8 2 4 2 2 3" xfId="35544"/>
    <cellStyle name="Обычный 7 8 2 4 2 2 3 2" xfId="35545"/>
    <cellStyle name="Обычный 7 8 2 4 2 2 3 2 2" xfId="35546"/>
    <cellStyle name="Обычный 7 8 2 4 2 2 3 2 3" xfId="35547"/>
    <cellStyle name="Обычный 7 8 2 4 2 2 3 3" xfId="35548"/>
    <cellStyle name="Обычный 7 8 2 4 2 2 3 3 2" xfId="35549"/>
    <cellStyle name="Обычный 7 8 2 4 2 2 3 3 3" xfId="35550"/>
    <cellStyle name="Обычный 7 8 2 4 2 2 3 4" xfId="35551"/>
    <cellStyle name="Обычный 7 8 2 4 2 2 3 4 2" xfId="35552"/>
    <cellStyle name="Обычный 7 8 2 4 2 2 3 5" xfId="35553"/>
    <cellStyle name="Обычный 7 8 2 4 2 2 3 6" xfId="35554"/>
    <cellStyle name="Обычный 7 8 2 4 2 2 4" xfId="35555"/>
    <cellStyle name="Обычный 7 8 2 4 2 2 4 2" xfId="35556"/>
    <cellStyle name="Обычный 7 8 2 4 2 2 4 3" xfId="35557"/>
    <cellStyle name="Обычный 7 8 2 4 2 2 5" xfId="35558"/>
    <cellStyle name="Обычный 7 8 2 4 2 2 5 2" xfId="35559"/>
    <cellStyle name="Обычный 7 8 2 4 2 2 5 3" xfId="35560"/>
    <cellStyle name="Обычный 7 8 2 4 2 2 6" xfId="35561"/>
    <cellStyle name="Обычный 7 8 2 4 2 2 6 2" xfId="35562"/>
    <cellStyle name="Обычный 7 8 2 4 2 2 7" xfId="35563"/>
    <cellStyle name="Обычный 7 8 2 4 2 2 8" xfId="35564"/>
    <cellStyle name="Обычный 7 8 2 4 2 3" xfId="35565"/>
    <cellStyle name="Обычный 7 8 2 4 2 3 2" xfId="35566"/>
    <cellStyle name="Обычный 7 8 2 4 2 3 2 2" xfId="35567"/>
    <cellStyle name="Обычный 7 8 2 4 2 3 2 2 2" xfId="35568"/>
    <cellStyle name="Обычный 7 8 2 4 2 3 2 2 3" xfId="35569"/>
    <cellStyle name="Обычный 7 8 2 4 2 3 2 3" xfId="35570"/>
    <cellStyle name="Обычный 7 8 2 4 2 3 2 3 2" xfId="35571"/>
    <cellStyle name="Обычный 7 8 2 4 2 3 2 3 3" xfId="35572"/>
    <cellStyle name="Обычный 7 8 2 4 2 3 2 4" xfId="35573"/>
    <cellStyle name="Обычный 7 8 2 4 2 3 2 4 2" xfId="35574"/>
    <cellStyle name="Обычный 7 8 2 4 2 3 2 5" xfId="35575"/>
    <cellStyle name="Обычный 7 8 2 4 2 3 2 6" xfId="35576"/>
    <cellStyle name="Обычный 7 8 2 4 2 3 3" xfId="35577"/>
    <cellStyle name="Обычный 7 8 2 4 2 3 3 2" xfId="35578"/>
    <cellStyle name="Обычный 7 8 2 4 2 3 3 3" xfId="35579"/>
    <cellStyle name="Обычный 7 8 2 4 2 3 4" xfId="35580"/>
    <cellStyle name="Обычный 7 8 2 4 2 3 4 2" xfId="35581"/>
    <cellStyle name="Обычный 7 8 2 4 2 3 4 3" xfId="35582"/>
    <cellStyle name="Обычный 7 8 2 4 2 3 5" xfId="35583"/>
    <cellStyle name="Обычный 7 8 2 4 2 3 5 2" xfId="35584"/>
    <cellStyle name="Обычный 7 8 2 4 2 3 6" xfId="35585"/>
    <cellStyle name="Обычный 7 8 2 4 2 3 7" xfId="35586"/>
    <cellStyle name="Обычный 7 8 2 4 2 4" xfId="35587"/>
    <cellStyle name="Обычный 7 8 2 4 2 4 2" xfId="35588"/>
    <cellStyle name="Обычный 7 8 2 4 2 4 2 2" xfId="35589"/>
    <cellStyle name="Обычный 7 8 2 4 2 4 2 3" xfId="35590"/>
    <cellStyle name="Обычный 7 8 2 4 2 4 3" xfId="35591"/>
    <cellStyle name="Обычный 7 8 2 4 2 4 3 2" xfId="35592"/>
    <cellStyle name="Обычный 7 8 2 4 2 4 3 3" xfId="35593"/>
    <cellStyle name="Обычный 7 8 2 4 2 4 4" xfId="35594"/>
    <cellStyle name="Обычный 7 8 2 4 2 4 4 2" xfId="35595"/>
    <cellStyle name="Обычный 7 8 2 4 2 4 5" xfId="35596"/>
    <cellStyle name="Обычный 7 8 2 4 2 4 6" xfId="35597"/>
    <cellStyle name="Обычный 7 8 2 4 2 5" xfId="35598"/>
    <cellStyle name="Обычный 7 8 2 4 2 5 2" xfId="35599"/>
    <cellStyle name="Обычный 7 8 2 4 2 5 3" xfId="35600"/>
    <cellStyle name="Обычный 7 8 2 4 2 6" xfId="35601"/>
    <cellStyle name="Обычный 7 8 2 4 2 6 2" xfId="35602"/>
    <cellStyle name="Обычный 7 8 2 4 2 6 3" xfId="35603"/>
    <cellStyle name="Обычный 7 8 2 4 2 7" xfId="35604"/>
    <cellStyle name="Обычный 7 8 2 4 2 7 2" xfId="35605"/>
    <cellStyle name="Обычный 7 8 2 4 2 8" xfId="35606"/>
    <cellStyle name="Обычный 7 8 2 4 2 9" xfId="35607"/>
    <cellStyle name="Обычный 7 8 2 4 3" xfId="35608"/>
    <cellStyle name="Обычный 7 8 2 4 3 2" xfId="35609"/>
    <cellStyle name="Обычный 7 8 2 4 3 2 2" xfId="35610"/>
    <cellStyle name="Обычный 7 8 2 4 3 2 2 2" xfId="35611"/>
    <cellStyle name="Обычный 7 8 2 4 3 2 2 2 2" xfId="35612"/>
    <cellStyle name="Обычный 7 8 2 4 3 2 2 2 3" xfId="35613"/>
    <cellStyle name="Обычный 7 8 2 4 3 2 2 3" xfId="35614"/>
    <cellStyle name="Обычный 7 8 2 4 3 2 2 3 2" xfId="35615"/>
    <cellStyle name="Обычный 7 8 2 4 3 2 2 3 3" xfId="35616"/>
    <cellStyle name="Обычный 7 8 2 4 3 2 2 4" xfId="35617"/>
    <cellStyle name="Обычный 7 8 2 4 3 2 2 4 2" xfId="35618"/>
    <cellStyle name="Обычный 7 8 2 4 3 2 2 5" xfId="35619"/>
    <cellStyle name="Обычный 7 8 2 4 3 2 2 6" xfId="35620"/>
    <cellStyle name="Обычный 7 8 2 4 3 2 3" xfId="35621"/>
    <cellStyle name="Обычный 7 8 2 4 3 2 3 2" xfId="35622"/>
    <cellStyle name="Обычный 7 8 2 4 3 2 3 3" xfId="35623"/>
    <cellStyle name="Обычный 7 8 2 4 3 2 4" xfId="35624"/>
    <cellStyle name="Обычный 7 8 2 4 3 2 4 2" xfId="35625"/>
    <cellStyle name="Обычный 7 8 2 4 3 2 4 3" xfId="35626"/>
    <cellStyle name="Обычный 7 8 2 4 3 2 5" xfId="35627"/>
    <cellStyle name="Обычный 7 8 2 4 3 2 5 2" xfId="35628"/>
    <cellStyle name="Обычный 7 8 2 4 3 2 6" xfId="35629"/>
    <cellStyle name="Обычный 7 8 2 4 3 2 7" xfId="35630"/>
    <cellStyle name="Обычный 7 8 2 4 3 3" xfId="35631"/>
    <cellStyle name="Обычный 7 8 2 4 3 3 2" xfId="35632"/>
    <cellStyle name="Обычный 7 8 2 4 3 3 2 2" xfId="35633"/>
    <cellStyle name="Обычный 7 8 2 4 3 3 2 3" xfId="35634"/>
    <cellStyle name="Обычный 7 8 2 4 3 3 3" xfId="35635"/>
    <cellStyle name="Обычный 7 8 2 4 3 3 3 2" xfId="35636"/>
    <cellStyle name="Обычный 7 8 2 4 3 3 3 3" xfId="35637"/>
    <cellStyle name="Обычный 7 8 2 4 3 3 4" xfId="35638"/>
    <cellStyle name="Обычный 7 8 2 4 3 3 4 2" xfId="35639"/>
    <cellStyle name="Обычный 7 8 2 4 3 3 5" xfId="35640"/>
    <cellStyle name="Обычный 7 8 2 4 3 3 6" xfId="35641"/>
    <cellStyle name="Обычный 7 8 2 4 3 4" xfId="35642"/>
    <cellStyle name="Обычный 7 8 2 4 3 4 2" xfId="35643"/>
    <cellStyle name="Обычный 7 8 2 4 3 4 3" xfId="35644"/>
    <cellStyle name="Обычный 7 8 2 4 3 5" xfId="35645"/>
    <cellStyle name="Обычный 7 8 2 4 3 5 2" xfId="35646"/>
    <cellStyle name="Обычный 7 8 2 4 3 5 3" xfId="35647"/>
    <cellStyle name="Обычный 7 8 2 4 3 6" xfId="35648"/>
    <cellStyle name="Обычный 7 8 2 4 3 6 2" xfId="35649"/>
    <cellStyle name="Обычный 7 8 2 4 3 7" xfId="35650"/>
    <cellStyle name="Обычный 7 8 2 4 3 8" xfId="35651"/>
    <cellStyle name="Обычный 7 8 2 4 4" xfId="35652"/>
    <cellStyle name="Обычный 7 8 2 4 4 2" xfId="35653"/>
    <cellStyle name="Обычный 7 8 2 4 4 2 2" xfId="35654"/>
    <cellStyle name="Обычный 7 8 2 4 4 2 2 2" xfId="35655"/>
    <cellStyle name="Обычный 7 8 2 4 4 2 2 3" xfId="35656"/>
    <cellStyle name="Обычный 7 8 2 4 4 2 3" xfId="35657"/>
    <cellStyle name="Обычный 7 8 2 4 4 2 3 2" xfId="35658"/>
    <cellStyle name="Обычный 7 8 2 4 4 2 3 3" xfId="35659"/>
    <cellStyle name="Обычный 7 8 2 4 4 2 4" xfId="35660"/>
    <cellStyle name="Обычный 7 8 2 4 4 2 4 2" xfId="35661"/>
    <cellStyle name="Обычный 7 8 2 4 4 2 5" xfId="35662"/>
    <cellStyle name="Обычный 7 8 2 4 4 2 6" xfId="35663"/>
    <cellStyle name="Обычный 7 8 2 4 4 3" xfId="35664"/>
    <cellStyle name="Обычный 7 8 2 4 4 3 2" xfId="35665"/>
    <cellStyle name="Обычный 7 8 2 4 4 3 3" xfId="35666"/>
    <cellStyle name="Обычный 7 8 2 4 4 4" xfId="35667"/>
    <cellStyle name="Обычный 7 8 2 4 4 4 2" xfId="35668"/>
    <cellStyle name="Обычный 7 8 2 4 4 4 3" xfId="35669"/>
    <cellStyle name="Обычный 7 8 2 4 4 5" xfId="35670"/>
    <cellStyle name="Обычный 7 8 2 4 4 5 2" xfId="35671"/>
    <cellStyle name="Обычный 7 8 2 4 4 6" xfId="35672"/>
    <cellStyle name="Обычный 7 8 2 4 4 7" xfId="35673"/>
    <cellStyle name="Обычный 7 8 2 4 5" xfId="35674"/>
    <cellStyle name="Обычный 7 8 2 4 5 2" xfId="35675"/>
    <cellStyle name="Обычный 7 8 2 4 5 2 2" xfId="35676"/>
    <cellStyle name="Обычный 7 8 2 4 5 2 3" xfId="35677"/>
    <cellStyle name="Обычный 7 8 2 4 5 3" xfId="35678"/>
    <cellStyle name="Обычный 7 8 2 4 5 3 2" xfId="35679"/>
    <cellStyle name="Обычный 7 8 2 4 5 3 3" xfId="35680"/>
    <cellStyle name="Обычный 7 8 2 4 5 4" xfId="35681"/>
    <cellStyle name="Обычный 7 8 2 4 5 4 2" xfId="35682"/>
    <cellStyle name="Обычный 7 8 2 4 5 5" xfId="35683"/>
    <cellStyle name="Обычный 7 8 2 4 5 6" xfId="35684"/>
    <cellStyle name="Обычный 7 8 2 4 6" xfId="35685"/>
    <cellStyle name="Обычный 7 8 2 4 6 2" xfId="35686"/>
    <cellStyle name="Обычный 7 8 2 4 6 3" xfId="35687"/>
    <cellStyle name="Обычный 7 8 2 4 7" xfId="35688"/>
    <cellStyle name="Обычный 7 8 2 4 7 2" xfId="35689"/>
    <cellStyle name="Обычный 7 8 2 4 7 3" xfId="35690"/>
    <cellStyle name="Обычный 7 8 2 4 8" xfId="35691"/>
    <cellStyle name="Обычный 7 8 2 4 8 2" xfId="35692"/>
    <cellStyle name="Обычный 7 8 2 4 9" xfId="35693"/>
    <cellStyle name="Обычный 7 8 2 5" xfId="35694"/>
    <cellStyle name="Обычный 7 8 2 5 2" xfId="35695"/>
    <cellStyle name="Обычный 7 8 2 5 2 2" xfId="35696"/>
    <cellStyle name="Обычный 7 8 2 5 2 2 2" xfId="35697"/>
    <cellStyle name="Обычный 7 8 2 5 2 2 2 2" xfId="35698"/>
    <cellStyle name="Обычный 7 8 2 5 2 2 2 2 2" xfId="35699"/>
    <cellStyle name="Обычный 7 8 2 5 2 2 2 2 3" xfId="35700"/>
    <cellStyle name="Обычный 7 8 2 5 2 2 2 3" xfId="35701"/>
    <cellStyle name="Обычный 7 8 2 5 2 2 2 3 2" xfId="35702"/>
    <cellStyle name="Обычный 7 8 2 5 2 2 2 3 3" xfId="35703"/>
    <cellStyle name="Обычный 7 8 2 5 2 2 2 4" xfId="35704"/>
    <cellStyle name="Обычный 7 8 2 5 2 2 2 4 2" xfId="35705"/>
    <cellStyle name="Обычный 7 8 2 5 2 2 2 5" xfId="35706"/>
    <cellStyle name="Обычный 7 8 2 5 2 2 2 6" xfId="35707"/>
    <cellStyle name="Обычный 7 8 2 5 2 2 3" xfId="35708"/>
    <cellStyle name="Обычный 7 8 2 5 2 2 3 2" xfId="35709"/>
    <cellStyle name="Обычный 7 8 2 5 2 2 3 3" xfId="35710"/>
    <cellStyle name="Обычный 7 8 2 5 2 2 4" xfId="35711"/>
    <cellStyle name="Обычный 7 8 2 5 2 2 4 2" xfId="35712"/>
    <cellStyle name="Обычный 7 8 2 5 2 2 4 3" xfId="35713"/>
    <cellStyle name="Обычный 7 8 2 5 2 2 5" xfId="35714"/>
    <cellStyle name="Обычный 7 8 2 5 2 2 5 2" xfId="35715"/>
    <cellStyle name="Обычный 7 8 2 5 2 2 6" xfId="35716"/>
    <cellStyle name="Обычный 7 8 2 5 2 2 7" xfId="35717"/>
    <cellStyle name="Обычный 7 8 2 5 2 3" xfId="35718"/>
    <cellStyle name="Обычный 7 8 2 5 2 3 2" xfId="35719"/>
    <cellStyle name="Обычный 7 8 2 5 2 3 2 2" xfId="35720"/>
    <cellStyle name="Обычный 7 8 2 5 2 3 2 3" xfId="35721"/>
    <cellStyle name="Обычный 7 8 2 5 2 3 3" xfId="35722"/>
    <cellStyle name="Обычный 7 8 2 5 2 3 3 2" xfId="35723"/>
    <cellStyle name="Обычный 7 8 2 5 2 3 3 3" xfId="35724"/>
    <cellStyle name="Обычный 7 8 2 5 2 3 4" xfId="35725"/>
    <cellStyle name="Обычный 7 8 2 5 2 3 4 2" xfId="35726"/>
    <cellStyle name="Обычный 7 8 2 5 2 3 5" xfId="35727"/>
    <cellStyle name="Обычный 7 8 2 5 2 3 6" xfId="35728"/>
    <cellStyle name="Обычный 7 8 2 5 2 4" xfId="35729"/>
    <cellStyle name="Обычный 7 8 2 5 2 4 2" xfId="35730"/>
    <cellStyle name="Обычный 7 8 2 5 2 4 3" xfId="35731"/>
    <cellStyle name="Обычный 7 8 2 5 2 5" xfId="35732"/>
    <cellStyle name="Обычный 7 8 2 5 2 5 2" xfId="35733"/>
    <cellStyle name="Обычный 7 8 2 5 2 5 3" xfId="35734"/>
    <cellStyle name="Обычный 7 8 2 5 2 6" xfId="35735"/>
    <cellStyle name="Обычный 7 8 2 5 2 6 2" xfId="35736"/>
    <cellStyle name="Обычный 7 8 2 5 2 7" xfId="35737"/>
    <cellStyle name="Обычный 7 8 2 5 2 8" xfId="35738"/>
    <cellStyle name="Обычный 7 8 2 5 3" xfId="35739"/>
    <cellStyle name="Обычный 7 8 2 5 3 2" xfId="35740"/>
    <cellStyle name="Обычный 7 8 2 5 3 2 2" xfId="35741"/>
    <cellStyle name="Обычный 7 8 2 5 3 2 2 2" xfId="35742"/>
    <cellStyle name="Обычный 7 8 2 5 3 2 2 3" xfId="35743"/>
    <cellStyle name="Обычный 7 8 2 5 3 2 3" xfId="35744"/>
    <cellStyle name="Обычный 7 8 2 5 3 2 3 2" xfId="35745"/>
    <cellStyle name="Обычный 7 8 2 5 3 2 3 3" xfId="35746"/>
    <cellStyle name="Обычный 7 8 2 5 3 2 4" xfId="35747"/>
    <cellStyle name="Обычный 7 8 2 5 3 2 4 2" xfId="35748"/>
    <cellStyle name="Обычный 7 8 2 5 3 2 5" xfId="35749"/>
    <cellStyle name="Обычный 7 8 2 5 3 2 6" xfId="35750"/>
    <cellStyle name="Обычный 7 8 2 5 3 3" xfId="35751"/>
    <cellStyle name="Обычный 7 8 2 5 3 3 2" xfId="35752"/>
    <cellStyle name="Обычный 7 8 2 5 3 3 3" xfId="35753"/>
    <cellStyle name="Обычный 7 8 2 5 3 4" xfId="35754"/>
    <cellStyle name="Обычный 7 8 2 5 3 4 2" xfId="35755"/>
    <cellStyle name="Обычный 7 8 2 5 3 4 3" xfId="35756"/>
    <cellStyle name="Обычный 7 8 2 5 3 5" xfId="35757"/>
    <cellStyle name="Обычный 7 8 2 5 3 5 2" xfId="35758"/>
    <cellStyle name="Обычный 7 8 2 5 3 6" xfId="35759"/>
    <cellStyle name="Обычный 7 8 2 5 3 7" xfId="35760"/>
    <cellStyle name="Обычный 7 8 2 5 4" xfId="35761"/>
    <cellStyle name="Обычный 7 8 2 5 4 2" xfId="35762"/>
    <cellStyle name="Обычный 7 8 2 5 4 2 2" xfId="35763"/>
    <cellStyle name="Обычный 7 8 2 5 4 2 3" xfId="35764"/>
    <cellStyle name="Обычный 7 8 2 5 4 3" xfId="35765"/>
    <cellStyle name="Обычный 7 8 2 5 4 3 2" xfId="35766"/>
    <cellStyle name="Обычный 7 8 2 5 4 3 3" xfId="35767"/>
    <cellStyle name="Обычный 7 8 2 5 4 4" xfId="35768"/>
    <cellStyle name="Обычный 7 8 2 5 4 4 2" xfId="35769"/>
    <cellStyle name="Обычный 7 8 2 5 4 5" xfId="35770"/>
    <cellStyle name="Обычный 7 8 2 5 4 6" xfId="35771"/>
    <cellStyle name="Обычный 7 8 2 5 5" xfId="35772"/>
    <cellStyle name="Обычный 7 8 2 5 5 2" xfId="35773"/>
    <cellStyle name="Обычный 7 8 2 5 5 3" xfId="35774"/>
    <cellStyle name="Обычный 7 8 2 5 6" xfId="35775"/>
    <cellStyle name="Обычный 7 8 2 5 6 2" xfId="35776"/>
    <cellStyle name="Обычный 7 8 2 5 6 3" xfId="35777"/>
    <cellStyle name="Обычный 7 8 2 5 7" xfId="35778"/>
    <cellStyle name="Обычный 7 8 2 5 7 2" xfId="35779"/>
    <cellStyle name="Обычный 7 8 2 5 8" xfId="35780"/>
    <cellStyle name="Обычный 7 8 2 5 9" xfId="35781"/>
    <cellStyle name="Обычный 7 8 2 6" xfId="35782"/>
    <cellStyle name="Обычный 7 8 2 6 2" xfId="35783"/>
    <cellStyle name="Обычный 7 8 2 6 2 2" xfId="35784"/>
    <cellStyle name="Обычный 7 8 2 6 2 2 2" xfId="35785"/>
    <cellStyle name="Обычный 7 8 2 6 2 2 2 2" xfId="35786"/>
    <cellStyle name="Обычный 7 8 2 6 2 2 2 3" xfId="35787"/>
    <cellStyle name="Обычный 7 8 2 6 2 2 3" xfId="35788"/>
    <cellStyle name="Обычный 7 8 2 6 2 2 3 2" xfId="35789"/>
    <cellStyle name="Обычный 7 8 2 6 2 2 3 3" xfId="35790"/>
    <cellStyle name="Обычный 7 8 2 6 2 2 4" xfId="35791"/>
    <cellStyle name="Обычный 7 8 2 6 2 2 4 2" xfId="35792"/>
    <cellStyle name="Обычный 7 8 2 6 2 2 5" xfId="35793"/>
    <cellStyle name="Обычный 7 8 2 6 2 2 6" xfId="35794"/>
    <cellStyle name="Обычный 7 8 2 6 2 3" xfId="35795"/>
    <cellStyle name="Обычный 7 8 2 6 2 3 2" xfId="35796"/>
    <cellStyle name="Обычный 7 8 2 6 2 3 3" xfId="35797"/>
    <cellStyle name="Обычный 7 8 2 6 2 4" xfId="35798"/>
    <cellStyle name="Обычный 7 8 2 6 2 4 2" xfId="35799"/>
    <cellStyle name="Обычный 7 8 2 6 2 4 3" xfId="35800"/>
    <cellStyle name="Обычный 7 8 2 6 2 5" xfId="35801"/>
    <cellStyle name="Обычный 7 8 2 6 2 5 2" xfId="35802"/>
    <cellStyle name="Обычный 7 8 2 6 2 6" xfId="35803"/>
    <cellStyle name="Обычный 7 8 2 6 2 7" xfId="35804"/>
    <cellStyle name="Обычный 7 8 2 6 3" xfId="35805"/>
    <cellStyle name="Обычный 7 8 2 6 3 2" xfId="35806"/>
    <cellStyle name="Обычный 7 8 2 6 3 2 2" xfId="35807"/>
    <cellStyle name="Обычный 7 8 2 6 3 2 3" xfId="35808"/>
    <cellStyle name="Обычный 7 8 2 6 3 3" xfId="35809"/>
    <cellStyle name="Обычный 7 8 2 6 3 3 2" xfId="35810"/>
    <cellStyle name="Обычный 7 8 2 6 3 3 3" xfId="35811"/>
    <cellStyle name="Обычный 7 8 2 6 3 4" xfId="35812"/>
    <cellStyle name="Обычный 7 8 2 6 3 4 2" xfId="35813"/>
    <cellStyle name="Обычный 7 8 2 6 3 5" xfId="35814"/>
    <cellStyle name="Обычный 7 8 2 6 3 6" xfId="35815"/>
    <cellStyle name="Обычный 7 8 2 6 4" xfId="35816"/>
    <cellStyle name="Обычный 7 8 2 6 4 2" xfId="35817"/>
    <cellStyle name="Обычный 7 8 2 6 4 3" xfId="35818"/>
    <cellStyle name="Обычный 7 8 2 6 5" xfId="35819"/>
    <cellStyle name="Обычный 7 8 2 6 5 2" xfId="35820"/>
    <cellStyle name="Обычный 7 8 2 6 5 3" xfId="35821"/>
    <cellStyle name="Обычный 7 8 2 6 6" xfId="35822"/>
    <cellStyle name="Обычный 7 8 2 6 6 2" xfId="35823"/>
    <cellStyle name="Обычный 7 8 2 6 7" xfId="35824"/>
    <cellStyle name="Обычный 7 8 2 6 8" xfId="35825"/>
    <cellStyle name="Обычный 7 8 2 7" xfId="35826"/>
    <cellStyle name="Обычный 7 8 2 7 2" xfId="35827"/>
    <cellStyle name="Обычный 7 8 2 7 2 2" xfId="35828"/>
    <cellStyle name="Обычный 7 8 2 7 2 2 2" xfId="35829"/>
    <cellStyle name="Обычный 7 8 2 7 2 2 3" xfId="35830"/>
    <cellStyle name="Обычный 7 8 2 7 2 3" xfId="35831"/>
    <cellStyle name="Обычный 7 8 2 7 2 3 2" xfId="35832"/>
    <cellStyle name="Обычный 7 8 2 7 2 3 3" xfId="35833"/>
    <cellStyle name="Обычный 7 8 2 7 2 4" xfId="35834"/>
    <cellStyle name="Обычный 7 8 2 7 2 4 2" xfId="35835"/>
    <cellStyle name="Обычный 7 8 2 7 2 5" xfId="35836"/>
    <cellStyle name="Обычный 7 8 2 7 2 6" xfId="35837"/>
    <cellStyle name="Обычный 7 8 2 7 3" xfId="35838"/>
    <cellStyle name="Обычный 7 8 2 7 3 2" xfId="35839"/>
    <cellStyle name="Обычный 7 8 2 7 3 3" xfId="35840"/>
    <cellStyle name="Обычный 7 8 2 7 4" xfId="35841"/>
    <cellStyle name="Обычный 7 8 2 7 4 2" xfId="35842"/>
    <cellStyle name="Обычный 7 8 2 7 4 3" xfId="35843"/>
    <cellStyle name="Обычный 7 8 2 7 5" xfId="35844"/>
    <cellStyle name="Обычный 7 8 2 7 5 2" xfId="35845"/>
    <cellStyle name="Обычный 7 8 2 7 6" xfId="35846"/>
    <cellStyle name="Обычный 7 8 2 7 7" xfId="35847"/>
    <cellStyle name="Обычный 7 8 2 8" xfId="35848"/>
    <cellStyle name="Обычный 7 8 2 8 2" xfId="35849"/>
    <cellStyle name="Обычный 7 8 2 8 2 2" xfId="35850"/>
    <cellStyle name="Обычный 7 8 2 8 2 3" xfId="35851"/>
    <cellStyle name="Обычный 7 8 2 8 3" xfId="35852"/>
    <cellStyle name="Обычный 7 8 2 8 3 2" xfId="35853"/>
    <cellStyle name="Обычный 7 8 2 8 3 3" xfId="35854"/>
    <cellStyle name="Обычный 7 8 2 8 4" xfId="35855"/>
    <cellStyle name="Обычный 7 8 2 8 4 2" xfId="35856"/>
    <cellStyle name="Обычный 7 8 2 8 5" xfId="35857"/>
    <cellStyle name="Обычный 7 8 2 8 6" xfId="35858"/>
    <cellStyle name="Обычный 7 8 2 9" xfId="35859"/>
    <cellStyle name="Обычный 7 8 2 9 2" xfId="35860"/>
    <cellStyle name="Обычный 7 8 2 9 3" xfId="35861"/>
    <cellStyle name="Обычный 7 8 3" xfId="35862"/>
    <cellStyle name="Обычный 7 8 3 10" xfId="35863"/>
    <cellStyle name="Обычный 7 8 3 2" xfId="35864"/>
    <cellStyle name="Обычный 7 8 3 2 2" xfId="35865"/>
    <cellStyle name="Обычный 7 8 3 2 2 2" xfId="35866"/>
    <cellStyle name="Обычный 7 8 3 2 2 2 2" xfId="35867"/>
    <cellStyle name="Обычный 7 8 3 2 2 2 2 2" xfId="35868"/>
    <cellStyle name="Обычный 7 8 3 2 2 2 2 2 2" xfId="35869"/>
    <cellStyle name="Обычный 7 8 3 2 2 2 2 2 3" xfId="35870"/>
    <cellStyle name="Обычный 7 8 3 2 2 2 2 3" xfId="35871"/>
    <cellStyle name="Обычный 7 8 3 2 2 2 2 3 2" xfId="35872"/>
    <cellStyle name="Обычный 7 8 3 2 2 2 2 3 3" xfId="35873"/>
    <cellStyle name="Обычный 7 8 3 2 2 2 2 4" xfId="35874"/>
    <cellStyle name="Обычный 7 8 3 2 2 2 2 4 2" xfId="35875"/>
    <cellStyle name="Обычный 7 8 3 2 2 2 2 5" xfId="35876"/>
    <cellStyle name="Обычный 7 8 3 2 2 2 2 6" xfId="35877"/>
    <cellStyle name="Обычный 7 8 3 2 2 2 3" xfId="35878"/>
    <cellStyle name="Обычный 7 8 3 2 2 2 3 2" xfId="35879"/>
    <cellStyle name="Обычный 7 8 3 2 2 2 3 3" xfId="35880"/>
    <cellStyle name="Обычный 7 8 3 2 2 2 4" xfId="35881"/>
    <cellStyle name="Обычный 7 8 3 2 2 2 4 2" xfId="35882"/>
    <cellStyle name="Обычный 7 8 3 2 2 2 4 3" xfId="35883"/>
    <cellStyle name="Обычный 7 8 3 2 2 2 5" xfId="35884"/>
    <cellStyle name="Обычный 7 8 3 2 2 2 5 2" xfId="35885"/>
    <cellStyle name="Обычный 7 8 3 2 2 2 6" xfId="35886"/>
    <cellStyle name="Обычный 7 8 3 2 2 2 7" xfId="35887"/>
    <cellStyle name="Обычный 7 8 3 2 2 3" xfId="35888"/>
    <cellStyle name="Обычный 7 8 3 2 2 3 2" xfId="35889"/>
    <cellStyle name="Обычный 7 8 3 2 2 3 2 2" xfId="35890"/>
    <cellStyle name="Обычный 7 8 3 2 2 3 2 3" xfId="35891"/>
    <cellStyle name="Обычный 7 8 3 2 2 3 3" xfId="35892"/>
    <cellStyle name="Обычный 7 8 3 2 2 3 3 2" xfId="35893"/>
    <cellStyle name="Обычный 7 8 3 2 2 3 3 3" xfId="35894"/>
    <cellStyle name="Обычный 7 8 3 2 2 3 4" xfId="35895"/>
    <cellStyle name="Обычный 7 8 3 2 2 3 4 2" xfId="35896"/>
    <cellStyle name="Обычный 7 8 3 2 2 3 5" xfId="35897"/>
    <cellStyle name="Обычный 7 8 3 2 2 3 6" xfId="35898"/>
    <cellStyle name="Обычный 7 8 3 2 2 4" xfId="35899"/>
    <cellStyle name="Обычный 7 8 3 2 2 4 2" xfId="35900"/>
    <cellStyle name="Обычный 7 8 3 2 2 4 3" xfId="35901"/>
    <cellStyle name="Обычный 7 8 3 2 2 5" xfId="35902"/>
    <cellStyle name="Обычный 7 8 3 2 2 5 2" xfId="35903"/>
    <cellStyle name="Обычный 7 8 3 2 2 5 3" xfId="35904"/>
    <cellStyle name="Обычный 7 8 3 2 2 6" xfId="35905"/>
    <cellStyle name="Обычный 7 8 3 2 2 6 2" xfId="35906"/>
    <cellStyle name="Обычный 7 8 3 2 2 7" xfId="35907"/>
    <cellStyle name="Обычный 7 8 3 2 2 8" xfId="35908"/>
    <cellStyle name="Обычный 7 8 3 2 3" xfId="35909"/>
    <cellStyle name="Обычный 7 8 3 2 3 2" xfId="35910"/>
    <cellStyle name="Обычный 7 8 3 2 3 2 2" xfId="35911"/>
    <cellStyle name="Обычный 7 8 3 2 3 2 2 2" xfId="35912"/>
    <cellStyle name="Обычный 7 8 3 2 3 2 2 3" xfId="35913"/>
    <cellStyle name="Обычный 7 8 3 2 3 2 3" xfId="35914"/>
    <cellStyle name="Обычный 7 8 3 2 3 2 3 2" xfId="35915"/>
    <cellStyle name="Обычный 7 8 3 2 3 2 3 3" xfId="35916"/>
    <cellStyle name="Обычный 7 8 3 2 3 2 4" xfId="35917"/>
    <cellStyle name="Обычный 7 8 3 2 3 2 4 2" xfId="35918"/>
    <cellStyle name="Обычный 7 8 3 2 3 2 5" xfId="35919"/>
    <cellStyle name="Обычный 7 8 3 2 3 2 6" xfId="35920"/>
    <cellStyle name="Обычный 7 8 3 2 3 3" xfId="35921"/>
    <cellStyle name="Обычный 7 8 3 2 3 3 2" xfId="35922"/>
    <cellStyle name="Обычный 7 8 3 2 3 3 3" xfId="35923"/>
    <cellStyle name="Обычный 7 8 3 2 3 4" xfId="35924"/>
    <cellStyle name="Обычный 7 8 3 2 3 4 2" xfId="35925"/>
    <cellStyle name="Обычный 7 8 3 2 3 4 3" xfId="35926"/>
    <cellStyle name="Обычный 7 8 3 2 3 5" xfId="35927"/>
    <cellStyle name="Обычный 7 8 3 2 3 5 2" xfId="35928"/>
    <cellStyle name="Обычный 7 8 3 2 3 6" xfId="35929"/>
    <cellStyle name="Обычный 7 8 3 2 3 7" xfId="35930"/>
    <cellStyle name="Обычный 7 8 3 2 4" xfId="35931"/>
    <cellStyle name="Обычный 7 8 3 2 4 2" xfId="35932"/>
    <cellStyle name="Обычный 7 8 3 2 4 2 2" xfId="35933"/>
    <cellStyle name="Обычный 7 8 3 2 4 2 3" xfId="35934"/>
    <cellStyle name="Обычный 7 8 3 2 4 3" xfId="35935"/>
    <cellStyle name="Обычный 7 8 3 2 4 3 2" xfId="35936"/>
    <cellStyle name="Обычный 7 8 3 2 4 3 3" xfId="35937"/>
    <cellStyle name="Обычный 7 8 3 2 4 4" xfId="35938"/>
    <cellStyle name="Обычный 7 8 3 2 4 4 2" xfId="35939"/>
    <cellStyle name="Обычный 7 8 3 2 4 5" xfId="35940"/>
    <cellStyle name="Обычный 7 8 3 2 4 6" xfId="35941"/>
    <cellStyle name="Обычный 7 8 3 2 5" xfId="35942"/>
    <cellStyle name="Обычный 7 8 3 2 5 2" xfId="35943"/>
    <cellStyle name="Обычный 7 8 3 2 5 3" xfId="35944"/>
    <cellStyle name="Обычный 7 8 3 2 6" xfId="35945"/>
    <cellStyle name="Обычный 7 8 3 2 6 2" xfId="35946"/>
    <cellStyle name="Обычный 7 8 3 2 6 3" xfId="35947"/>
    <cellStyle name="Обычный 7 8 3 2 7" xfId="35948"/>
    <cellStyle name="Обычный 7 8 3 2 7 2" xfId="35949"/>
    <cellStyle name="Обычный 7 8 3 2 8" xfId="35950"/>
    <cellStyle name="Обычный 7 8 3 2 9" xfId="35951"/>
    <cellStyle name="Обычный 7 8 3 3" xfId="35952"/>
    <cellStyle name="Обычный 7 8 3 3 2" xfId="35953"/>
    <cellStyle name="Обычный 7 8 3 3 2 2" xfId="35954"/>
    <cellStyle name="Обычный 7 8 3 3 2 2 2" xfId="35955"/>
    <cellStyle name="Обычный 7 8 3 3 2 2 2 2" xfId="35956"/>
    <cellStyle name="Обычный 7 8 3 3 2 2 2 3" xfId="35957"/>
    <cellStyle name="Обычный 7 8 3 3 2 2 3" xfId="35958"/>
    <cellStyle name="Обычный 7 8 3 3 2 2 3 2" xfId="35959"/>
    <cellStyle name="Обычный 7 8 3 3 2 2 3 3" xfId="35960"/>
    <cellStyle name="Обычный 7 8 3 3 2 2 4" xfId="35961"/>
    <cellStyle name="Обычный 7 8 3 3 2 2 4 2" xfId="35962"/>
    <cellStyle name="Обычный 7 8 3 3 2 2 5" xfId="35963"/>
    <cellStyle name="Обычный 7 8 3 3 2 2 6" xfId="35964"/>
    <cellStyle name="Обычный 7 8 3 3 2 3" xfId="35965"/>
    <cellStyle name="Обычный 7 8 3 3 2 3 2" xfId="35966"/>
    <cellStyle name="Обычный 7 8 3 3 2 3 3" xfId="35967"/>
    <cellStyle name="Обычный 7 8 3 3 2 4" xfId="35968"/>
    <cellStyle name="Обычный 7 8 3 3 2 4 2" xfId="35969"/>
    <cellStyle name="Обычный 7 8 3 3 2 4 3" xfId="35970"/>
    <cellStyle name="Обычный 7 8 3 3 2 5" xfId="35971"/>
    <cellStyle name="Обычный 7 8 3 3 2 5 2" xfId="35972"/>
    <cellStyle name="Обычный 7 8 3 3 2 6" xfId="35973"/>
    <cellStyle name="Обычный 7 8 3 3 2 7" xfId="35974"/>
    <cellStyle name="Обычный 7 8 3 3 3" xfId="35975"/>
    <cellStyle name="Обычный 7 8 3 3 3 2" xfId="35976"/>
    <cellStyle name="Обычный 7 8 3 3 3 2 2" xfId="35977"/>
    <cellStyle name="Обычный 7 8 3 3 3 2 3" xfId="35978"/>
    <cellStyle name="Обычный 7 8 3 3 3 3" xfId="35979"/>
    <cellStyle name="Обычный 7 8 3 3 3 3 2" xfId="35980"/>
    <cellStyle name="Обычный 7 8 3 3 3 3 3" xfId="35981"/>
    <cellStyle name="Обычный 7 8 3 3 3 4" xfId="35982"/>
    <cellStyle name="Обычный 7 8 3 3 3 4 2" xfId="35983"/>
    <cellStyle name="Обычный 7 8 3 3 3 5" xfId="35984"/>
    <cellStyle name="Обычный 7 8 3 3 3 6" xfId="35985"/>
    <cellStyle name="Обычный 7 8 3 3 4" xfId="35986"/>
    <cellStyle name="Обычный 7 8 3 3 4 2" xfId="35987"/>
    <cellStyle name="Обычный 7 8 3 3 4 3" xfId="35988"/>
    <cellStyle name="Обычный 7 8 3 3 5" xfId="35989"/>
    <cellStyle name="Обычный 7 8 3 3 5 2" xfId="35990"/>
    <cellStyle name="Обычный 7 8 3 3 5 3" xfId="35991"/>
    <cellStyle name="Обычный 7 8 3 3 6" xfId="35992"/>
    <cellStyle name="Обычный 7 8 3 3 6 2" xfId="35993"/>
    <cellStyle name="Обычный 7 8 3 3 7" xfId="35994"/>
    <cellStyle name="Обычный 7 8 3 3 8" xfId="35995"/>
    <cellStyle name="Обычный 7 8 3 4" xfId="35996"/>
    <cellStyle name="Обычный 7 8 3 4 2" xfId="35997"/>
    <cellStyle name="Обычный 7 8 3 4 2 2" xfId="35998"/>
    <cellStyle name="Обычный 7 8 3 4 2 2 2" xfId="35999"/>
    <cellStyle name="Обычный 7 8 3 4 2 2 3" xfId="36000"/>
    <cellStyle name="Обычный 7 8 3 4 2 3" xfId="36001"/>
    <cellStyle name="Обычный 7 8 3 4 2 3 2" xfId="36002"/>
    <cellStyle name="Обычный 7 8 3 4 2 3 3" xfId="36003"/>
    <cellStyle name="Обычный 7 8 3 4 2 4" xfId="36004"/>
    <cellStyle name="Обычный 7 8 3 4 2 4 2" xfId="36005"/>
    <cellStyle name="Обычный 7 8 3 4 2 5" xfId="36006"/>
    <cellStyle name="Обычный 7 8 3 4 2 6" xfId="36007"/>
    <cellStyle name="Обычный 7 8 3 4 3" xfId="36008"/>
    <cellStyle name="Обычный 7 8 3 4 3 2" xfId="36009"/>
    <cellStyle name="Обычный 7 8 3 4 3 3" xfId="36010"/>
    <cellStyle name="Обычный 7 8 3 4 4" xfId="36011"/>
    <cellStyle name="Обычный 7 8 3 4 4 2" xfId="36012"/>
    <cellStyle name="Обычный 7 8 3 4 4 3" xfId="36013"/>
    <cellStyle name="Обычный 7 8 3 4 5" xfId="36014"/>
    <cellStyle name="Обычный 7 8 3 4 5 2" xfId="36015"/>
    <cellStyle name="Обычный 7 8 3 4 6" xfId="36016"/>
    <cellStyle name="Обычный 7 8 3 4 7" xfId="36017"/>
    <cellStyle name="Обычный 7 8 3 5" xfId="36018"/>
    <cellStyle name="Обычный 7 8 3 5 2" xfId="36019"/>
    <cellStyle name="Обычный 7 8 3 5 2 2" xfId="36020"/>
    <cellStyle name="Обычный 7 8 3 5 2 3" xfId="36021"/>
    <cellStyle name="Обычный 7 8 3 5 3" xfId="36022"/>
    <cellStyle name="Обычный 7 8 3 5 3 2" xfId="36023"/>
    <cellStyle name="Обычный 7 8 3 5 3 3" xfId="36024"/>
    <cellStyle name="Обычный 7 8 3 5 4" xfId="36025"/>
    <cellStyle name="Обычный 7 8 3 5 4 2" xfId="36026"/>
    <cellStyle name="Обычный 7 8 3 5 5" xfId="36027"/>
    <cellStyle name="Обычный 7 8 3 5 6" xfId="36028"/>
    <cellStyle name="Обычный 7 8 3 6" xfId="36029"/>
    <cellStyle name="Обычный 7 8 3 6 2" xfId="36030"/>
    <cellStyle name="Обычный 7 8 3 6 3" xfId="36031"/>
    <cellStyle name="Обычный 7 8 3 7" xfId="36032"/>
    <cellStyle name="Обычный 7 8 3 7 2" xfId="36033"/>
    <cellStyle name="Обычный 7 8 3 7 3" xfId="36034"/>
    <cellStyle name="Обычный 7 8 3 8" xfId="36035"/>
    <cellStyle name="Обычный 7 8 3 8 2" xfId="36036"/>
    <cellStyle name="Обычный 7 8 3 9" xfId="36037"/>
    <cellStyle name="Обычный 7 8 4" xfId="36038"/>
    <cellStyle name="Обычный 7 8 4 10" xfId="36039"/>
    <cellStyle name="Обычный 7 8 4 2" xfId="36040"/>
    <cellStyle name="Обычный 7 8 4 2 2" xfId="36041"/>
    <cellStyle name="Обычный 7 8 4 2 2 2" xfId="36042"/>
    <cellStyle name="Обычный 7 8 4 2 2 2 2" xfId="36043"/>
    <cellStyle name="Обычный 7 8 4 2 2 2 2 2" xfId="36044"/>
    <cellStyle name="Обычный 7 8 4 2 2 2 2 2 2" xfId="36045"/>
    <cellStyle name="Обычный 7 8 4 2 2 2 2 2 3" xfId="36046"/>
    <cellStyle name="Обычный 7 8 4 2 2 2 2 3" xfId="36047"/>
    <cellStyle name="Обычный 7 8 4 2 2 2 2 3 2" xfId="36048"/>
    <cellStyle name="Обычный 7 8 4 2 2 2 2 3 3" xfId="36049"/>
    <cellStyle name="Обычный 7 8 4 2 2 2 2 4" xfId="36050"/>
    <cellStyle name="Обычный 7 8 4 2 2 2 2 4 2" xfId="36051"/>
    <cellStyle name="Обычный 7 8 4 2 2 2 2 5" xfId="36052"/>
    <cellStyle name="Обычный 7 8 4 2 2 2 2 6" xfId="36053"/>
    <cellStyle name="Обычный 7 8 4 2 2 2 3" xfId="36054"/>
    <cellStyle name="Обычный 7 8 4 2 2 2 3 2" xfId="36055"/>
    <cellStyle name="Обычный 7 8 4 2 2 2 3 3" xfId="36056"/>
    <cellStyle name="Обычный 7 8 4 2 2 2 4" xfId="36057"/>
    <cellStyle name="Обычный 7 8 4 2 2 2 4 2" xfId="36058"/>
    <cellStyle name="Обычный 7 8 4 2 2 2 4 3" xfId="36059"/>
    <cellStyle name="Обычный 7 8 4 2 2 2 5" xfId="36060"/>
    <cellStyle name="Обычный 7 8 4 2 2 2 5 2" xfId="36061"/>
    <cellStyle name="Обычный 7 8 4 2 2 2 6" xfId="36062"/>
    <cellStyle name="Обычный 7 8 4 2 2 2 7" xfId="36063"/>
    <cellStyle name="Обычный 7 8 4 2 2 3" xfId="36064"/>
    <cellStyle name="Обычный 7 8 4 2 2 3 2" xfId="36065"/>
    <cellStyle name="Обычный 7 8 4 2 2 3 2 2" xfId="36066"/>
    <cellStyle name="Обычный 7 8 4 2 2 3 2 3" xfId="36067"/>
    <cellStyle name="Обычный 7 8 4 2 2 3 3" xfId="36068"/>
    <cellStyle name="Обычный 7 8 4 2 2 3 3 2" xfId="36069"/>
    <cellStyle name="Обычный 7 8 4 2 2 3 3 3" xfId="36070"/>
    <cellStyle name="Обычный 7 8 4 2 2 3 4" xfId="36071"/>
    <cellStyle name="Обычный 7 8 4 2 2 3 4 2" xfId="36072"/>
    <cellStyle name="Обычный 7 8 4 2 2 3 5" xfId="36073"/>
    <cellStyle name="Обычный 7 8 4 2 2 3 6" xfId="36074"/>
    <cellStyle name="Обычный 7 8 4 2 2 4" xfId="36075"/>
    <cellStyle name="Обычный 7 8 4 2 2 4 2" xfId="36076"/>
    <cellStyle name="Обычный 7 8 4 2 2 4 3" xfId="36077"/>
    <cellStyle name="Обычный 7 8 4 2 2 5" xfId="36078"/>
    <cellStyle name="Обычный 7 8 4 2 2 5 2" xfId="36079"/>
    <cellStyle name="Обычный 7 8 4 2 2 5 3" xfId="36080"/>
    <cellStyle name="Обычный 7 8 4 2 2 6" xfId="36081"/>
    <cellStyle name="Обычный 7 8 4 2 2 6 2" xfId="36082"/>
    <cellStyle name="Обычный 7 8 4 2 2 7" xfId="36083"/>
    <cellStyle name="Обычный 7 8 4 2 2 8" xfId="36084"/>
    <cellStyle name="Обычный 7 8 4 2 3" xfId="36085"/>
    <cellStyle name="Обычный 7 8 4 2 3 2" xfId="36086"/>
    <cellStyle name="Обычный 7 8 4 2 3 2 2" xfId="36087"/>
    <cellStyle name="Обычный 7 8 4 2 3 2 2 2" xfId="36088"/>
    <cellStyle name="Обычный 7 8 4 2 3 2 2 3" xfId="36089"/>
    <cellStyle name="Обычный 7 8 4 2 3 2 3" xfId="36090"/>
    <cellStyle name="Обычный 7 8 4 2 3 2 3 2" xfId="36091"/>
    <cellStyle name="Обычный 7 8 4 2 3 2 3 3" xfId="36092"/>
    <cellStyle name="Обычный 7 8 4 2 3 2 4" xfId="36093"/>
    <cellStyle name="Обычный 7 8 4 2 3 2 4 2" xfId="36094"/>
    <cellStyle name="Обычный 7 8 4 2 3 2 5" xfId="36095"/>
    <cellStyle name="Обычный 7 8 4 2 3 2 6" xfId="36096"/>
    <cellStyle name="Обычный 7 8 4 2 3 3" xfId="36097"/>
    <cellStyle name="Обычный 7 8 4 2 3 3 2" xfId="36098"/>
    <cellStyle name="Обычный 7 8 4 2 3 3 3" xfId="36099"/>
    <cellStyle name="Обычный 7 8 4 2 3 4" xfId="36100"/>
    <cellStyle name="Обычный 7 8 4 2 3 4 2" xfId="36101"/>
    <cellStyle name="Обычный 7 8 4 2 3 4 3" xfId="36102"/>
    <cellStyle name="Обычный 7 8 4 2 3 5" xfId="36103"/>
    <cellStyle name="Обычный 7 8 4 2 3 5 2" xfId="36104"/>
    <cellStyle name="Обычный 7 8 4 2 3 6" xfId="36105"/>
    <cellStyle name="Обычный 7 8 4 2 3 7" xfId="36106"/>
    <cellStyle name="Обычный 7 8 4 2 4" xfId="36107"/>
    <cellStyle name="Обычный 7 8 4 2 4 2" xfId="36108"/>
    <cellStyle name="Обычный 7 8 4 2 4 2 2" xfId="36109"/>
    <cellStyle name="Обычный 7 8 4 2 4 2 3" xfId="36110"/>
    <cellStyle name="Обычный 7 8 4 2 4 3" xfId="36111"/>
    <cellStyle name="Обычный 7 8 4 2 4 3 2" xfId="36112"/>
    <cellStyle name="Обычный 7 8 4 2 4 3 3" xfId="36113"/>
    <cellStyle name="Обычный 7 8 4 2 4 4" xfId="36114"/>
    <cellStyle name="Обычный 7 8 4 2 4 4 2" xfId="36115"/>
    <cellStyle name="Обычный 7 8 4 2 4 5" xfId="36116"/>
    <cellStyle name="Обычный 7 8 4 2 4 6" xfId="36117"/>
    <cellStyle name="Обычный 7 8 4 2 5" xfId="36118"/>
    <cellStyle name="Обычный 7 8 4 2 5 2" xfId="36119"/>
    <cellStyle name="Обычный 7 8 4 2 5 3" xfId="36120"/>
    <cellStyle name="Обычный 7 8 4 2 6" xfId="36121"/>
    <cellStyle name="Обычный 7 8 4 2 6 2" xfId="36122"/>
    <cellStyle name="Обычный 7 8 4 2 6 3" xfId="36123"/>
    <cellStyle name="Обычный 7 8 4 2 7" xfId="36124"/>
    <cellStyle name="Обычный 7 8 4 2 7 2" xfId="36125"/>
    <cellStyle name="Обычный 7 8 4 2 8" xfId="36126"/>
    <cellStyle name="Обычный 7 8 4 2 9" xfId="36127"/>
    <cellStyle name="Обычный 7 8 4 3" xfId="36128"/>
    <cellStyle name="Обычный 7 8 4 3 2" xfId="36129"/>
    <cellStyle name="Обычный 7 8 4 3 2 2" xfId="36130"/>
    <cellStyle name="Обычный 7 8 4 3 2 2 2" xfId="36131"/>
    <cellStyle name="Обычный 7 8 4 3 2 2 2 2" xfId="36132"/>
    <cellStyle name="Обычный 7 8 4 3 2 2 2 3" xfId="36133"/>
    <cellStyle name="Обычный 7 8 4 3 2 2 3" xfId="36134"/>
    <cellStyle name="Обычный 7 8 4 3 2 2 3 2" xfId="36135"/>
    <cellStyle name="Обычный 7 8 4 3 2 2 3 3" xfId="36136"/>
    <cellStyle name="Обычный 7 8 4 3 2 2 4" xfId="36137"/>
    <cellStyle name="Обычный 7 8 4 3 2 2 4 2" xfId="36138"/>
    <cellStyle name="Обычный 7 8 4 3 2 2 5" xfId="36139"/>
    <cellStyle name="Обычный 7 8 4 3 2 2 6" xfId="36140"/>
    <cellStyle name="Обычный 7 8 4 3 2 3" xfId="36141"/>
    <cellStyle name="Обычный 7 8 4 3 2 3 2" xfId="36142"/>
    <cellStyle name="Обычный 7 8 4 3 2 3 3" xfId="36143"/>
    <cellStyle name="Обычный 7 8 4 3 2 4" xfId="36144"/>
    <cellStyle name="Обычный 7 8 4 3 2 4 2" xfId="36145"/>
    <cellStyle name="Обычный 7 8 4 3 2 4 3" xfId="36146"/>
    <cellStyle name="Обычный 7 8 4 3 2 5" xfId="36147"/>
    <cellStyle name="Обычный 7 8 4 3 2 5 2" xfId="36148"/>
    <cellStyle name="Обычный 7 8 4 3 2 6" xfId="36149"/>
    <cellStyle name="Обычный 7 8 4 3 2 7" xfId="36150"/>
    <cellStyle name="Обычный 7 8 4 3 3" xfId="36151"/>
    <cellStyle name="Обычный 7 8 4 3 3 2" xfId="36152"/>
    <cellStyle name="Обычный 7 8 4 3 3 2 2" xfId="36153"/>
    <cellStyle name="Обычный 7 8 4 3 3 2 3" xfId="36154"/>
    <cellStyle name="Обычный 7 8 4 3 3 3" xfId="36155"/>
    <cellStyle name="Обычный 7 8 4 3 3 3 2" xfId="36156"/>
    <cellStyle name="Обычный 7 8 4 3 3 3 3" xfId="36157"/>
    <cellStyle name="Обычный 7 8 4 3 3 4" xfId="36158"/>
    <cellStyle name="Обычный 7 8 4 3 3 4 2" xfId="36159"/>
    <cellStyle name="Обычный 7 8 4 3 3 5" xfId="36160"/>
    <cellStyle name="Обычный 7 8 4 3 3 6" xfId="36161"/>
    <cellStyle name="Обычный 7 8 4 3 4" xfId="36162"/>
    <cellStyle name="Обычный 7 8 4 3 4 2" xfId="36163"/>
    <cellStyle name="Обычный 7 8 4 3 4 3" xfId="36164"/>
    <cellStyle name="Обычный 7 8 4 3 5" xfId="36165"/>
    <cellStyle name="Обычный 7 8 4 3 5 2" xfId="36166"/>
    <cellStyle name="Обычный 7 8 4 3 5 3" xfId="36167"/>
    <cellStyle name="Обычный 7 8 4 3 6" xfId="36168"/>
    <cellStyle name="Обычный 7 8 4 3 6 2" xfId="36169"/>
    <cellStyle name="Обычный 7 8 4 3 7" xfId="36170"/>
    <cellStyle name="Обычный 7 8 4 3 8" xfId="36171"/>
    <cellStyle name="Обычный 7 8 4 4" xfId="36172"/>
    <cellStyle name="Обычный 7 8 4 4 2" xfId="36173"/>
    <cellStyle name="Обычный 7 8 4 4 2 2" xfId="36174"/>
    <cellStyle name="Обычный 7 8 4 4 2 2 2" xfId="36175"/>
    <cellStyle name="Обычный 7 8 4 4 2 2 3" xfId="36176"/>
    <cellStyle name="Обычный 7 8 4 4 2 3" xfId="36177"/>
    <cellStyle name="Обычный 7 8 4 4 2 3 2" xfId="36178"/>
    <cellStyle name="Обычный 7 8 4 4 2 3 3" xfId="36179"/>
    <cellStyle name="Обычный 7 8 4 4 2 4" xfId="36180"/>
    <cellStyle name="Обычный 7 8 4 4 2 4 2" xfId="36181"/>
    <cellStyle name="Обычный 7 8 4 4 2 5" xfId="36182"/>
    <cellStyle name="Обычный 7 8 4 4 2 6" xfId="36183"/>
    <cellStyle name="Обычный 7 8 4 4 3" xfId="36184"/>
    <cellStyle name="Обычный 7 8 4 4 3 2" xfId="36185"/>
    <cellStyle name="Обычный 7 8 4 4 3 3" xfId="36186"/>
    <cellStyle name="Обычный 7 8 4 4 4" xfId="36187"/>
    <cellStyle name="Обычный 7 8 4 4 4 2" xfId="36188"/>
    <cellStyle name="Обычный 7 8 4 4 4 3" xfId="36189"/>
    <cellStyle name="Обычный 7 8 4 4 5" xfId="36190"/>
    <cellStyle name="Обычный 7 8 4 4 5 2" xfId="36191"/>
    <cellStyle name="Обычный 7 8 4 4 6" xfId="36192"/>
    <cellStyle name="Обычный 7 8 4 4 7" xfId="36193"/>
    <cellStyle name="Обычный 7 8 4 5" xfId="36194"/>
    <cellStyle name="Обычный 7 8 4 5 2" xfId="36195"/>
    <cellStyle name="Обычный 7 8 4 5 2 2" xfId="36196"/>
    <cellStyle name="Обычный 7 8 4 5 2 3" xfId="36197"/>
    <cellStyle name="Обычный 7 8 4 5 3" xfId="36198"/>
    <cellStyle name="Обычный 7 8 4 5 3 2" xfId="36199"/>
    <cellStyle name="Обычный 7 8 4 5 3 3" xfId="36200"/>
    <cellStyle name="Обычный 7 8 4 5 4" xfId="36201"/>
    <cellStyle name="Обычный 7 8 4 5 4 2" xfId="36202"/>
    <cellStyle name="Обычный 7 8 4 5 5" xfId="36203"/>
    <cellStyle name="Обычный 7 8 4 5 6" xfId="36204"/>
    <cellStyle name="Обычный 7 8 4 6" xfId="36205"/>
    <cellStyle name="Обычный 7 8 4 6 2" xfId="36206"/>
    <cellStyle name="Обычный 7 8 4 6 3" xfId="36207"/>
    <cellStyle name="Обычный 7 8 4 7" xfId="36208"/>
    <cellStyle name="Обычный 7 8 4 7 2" xfId="36209"/>
    <cellStyle name="Обычный 7 8 4 7 3" xfId="36210"/>
    <cellStyle name="Обычный 7 8 4 8" xfId="36211"/>
    <cellStyle name="Обычный 7 8 4 8 2" xfId="36212"/>
    <cellStyle name="Обычный 7 8 4 9" xfId="36213"/>
    <cellStyle name="Обычный 7 8 5" xfId="36214"/>
    <cellStyle name="Обычный 7 8 5 10" xfId="36215"/>
    <cellStyle name="Обычный 7 8 5 2" xfId="36216"/>
    <cellStyle name="Обычный 7 8 5 2 2" xfId="36217"/>
    <cellStyle name="Обычный 7 8 5 2 2 2" xfId="36218"/>
    <cellStyle name="Обычный 7 8 5 2 2 2 2" xfId="36219"/>
    <cellStyle name="Обычный 7 8 5 2 2 2 2 2" xfId="36220"/>
    <cellStyle name="Обычный 7 8 5 2 2 2 2 2 2" xfId="36221"/>
    <cellStyle name="Обычный 7 8 5 2 2 2 2 2 3" xfId="36222"/>
    <cellStyle name="Обычный 7 8 5 2 2 2 2 3" xfId="36223"/>
    <cellStyle name="Обычный 7 8 5 2 2 2 2 3 2" xfId="36224"/>
    <cellStyle name="Обычный 7 8 5 2 2 2 2 3 3" xfId="36225"/>
    <cellStyle name="Обычный 7 8 5 2 2 2 2 4" xfId="36226"/>
    <cellStyle name="Обычный 7 8 5 2 2 2 2 4 2" xfId="36227"/>
    <cellStyle name="Обычный 7 8 5 2 2 2 2 5" xfId="36228"/>
    <cellStyle name="Обычный 7 8 5 2 2 2 2 6" xfId="36229"/>
    <cellStyle name="Обычный 7 8 5 2 2 2 3" xfId="36230"/>
    <cellStyle name="Обычный 7 8 5 2 2 2 3 2" xfId="36231"/>
    <cellStyle name="Обычный 7 8 5 2 2 2 3 3" xfId="36232"/>
    <cellStyle name="Обычный 7 8 5 2 2 2 4" xfId="36233"/>
    <cellStyle name="Обычный 7 8 5 2 2 2 4 2" xfId="36234"/>
    <cellStyle name="Обычный 7 8 5 2 2 2 4 3" xfId="36235"/>
    <cellStyle name="Обычный 7 8 5 2 2 2 5" xfId="36236"/>
    <cellStyle name="Обычный 7 8 5 2 2 2 5 2" xfId="36237"/>
    <cellStyle name="Обычный 7 8 5 2 2 2 6" xfId="36238"/>
    <cellStyle name="Обычный 7 8 5 2 2 2 7" xfId="36239"/>
    <cellStyle name="Обычный 7 8 5 2 2 3" xfId="36240"/>
    <cellStyle name="Обычный 7 8 5 2 2 3 2" xfId="36241"/>
    <cellStyle name="Обычный 7 8 5 2 2 3 2 2" xfId="36242"/>
    <cellStyle name="Обычный 7 8 5 2 2 3 2 3" xfId="36243"/>
    <cellStyle name="Обычный 7 8 5 2 2 3 3" xfId="36244"/>
    <cellStyle name="Обычный 7 8 5 2 2 3 3 2" xfId="36245"/>
    <cellStyle name="Обычный 7 8 5 2 2 3 3 3" xfId="36246"/>
    <cellStyle name="Обычный 7 8 5 2 2 3 4" xfId="36247"/>
    <cellStyle name="Обычный 7 8 5 2 2 3 4 2" xfId="36248"/>
    <cellStyle name="Обычный 7 8 5 2 2 3 5" xfId="36249"/>
    <cellStyle name="Обычный 7 8 5 2 2 3 6" xfId="36250"/>
    <cellStyle name="Обычный 7 8 5 2 2 4" xfId="36251"/>
    <cellStyle name="Обычный 7 8 5 2 2 4 2" xfId="36252"/>
    <cellStyle name="Обычный 7 8 5 2 2 4 3" xfId="36253"/>
    <cellStyle name="Обычный 7 8 5 2 2 5" xfId="36254"/>
    <cellStyle name="Обычный 7 8 5 2 2 5 2" xfId="36255"/>
    <cellStyle name="Обычный 7 8 5 2 2 5 3" xfId="36256"/>
    <cellStyle name="Обычный 7 8 5 2 2 6" xfId="36257"/>
    <cellStyle name="Обычный 7 8 5 2 2 6 2" xfId="36258"/>
    <cellStyle name="Обычный 7 8 5 2 2 7" xfId="36259"/>
    <cellStyle name="Обычный 7 8 5 2 2 8" xfId="36260"/>
    <cellStyle name="Обычный 7 8 5 2 3" xfId="36261"/>
    <cellStyle name="Обычный 7 8 5 2 3 2" xfId="36262"/>
    <cellStyle name="Обычный 7 8 5 2 3 2 2" xfId="36263"/>
    <cellStyle name="Обычный 7 8 5 2 3 2 2 2" xfId="36264"/>
    <cellStyle name="Обычный 7 8 5 2 3 2 2 3" xfId="36265"/>
    <cellStyle name="Обычный 7 8 5 2 3 2 3" xfId="36266"/>
    <cellStyle name="Обычный 7 8 5 2 3 2 3 2" xfId="36267"/>
    <cellStyle name="Обычный 7 8 5 2 3 2 3 3" xfId="36268"/>
    <cellStyle name="Обычный 7 8 5 2 3 2 4" xfId="36269"/>
    <cellStyle name="Обычный 7 8 5 2 3 2 4 2" xfId="36270"/>
    <cellStyle name="Обычный 7 8 5 2 3 2 5" xfId="36271"/>
    <cellStyle name="Обычный 7 8 5 2 3 2 6" xfId="36272"/>
    <cellStyle name="Обычный 7 8 5 2 3 3" xfId="36273"/>
    <cellStyle name="Обычный 7 8 5 2 3 3 2" xfId="36274"/>
    <cellStyle name="Обычный 7 8 5 2 3 3 3" xfId="36275"/>
    <cellStyle name="Обычный 7 8 5 2 3 4" xfId="36276"/>
    <cellStyle name="Обычный 7 8 5 2 3 4 2" xfId="36277"/>
    <cellStyle name="Обычный 7 8 5 2 3 4 3" xfId="36278"/>
    <cellStyle name="Обычный 7 8 5 2 3 5" xfId="36279"/>
    <cellStyle name="Обычный 7 8 5 2 3 5 2" xfId="36280"/>
    <cellStyle name="Обычный 7 8 5 2 3 6" xfId="36281"/>
    <cellStyle name="Обычный 7 8 5 2 3 7" xfId="36282"/>
    <cellStyle name="Обычный 7 8 5 2 4" xfId="36283"/>
    <cellStyle name="Обычный 7 8 5 2 4 2" xfId="36284"/>
    <cellStyle name="Обычный 7 8 5 2 4 2 2" xfId="36285"/>
    <cellStyle name="Обычный 7 8 5 2 4 2 3" xfId="36286"/>
    <cellStyle name="Обычный 7 8 5 2 4 3" xfId="36287"/>
    <cellStyle name="Обычный 7 8 5 2 4 3 2" xfId="36288"/>
    <cellStyle name="Обычный 7 8 5 2 4 3 3" xfId="36289"/>
    <cellStyle name="Обычный 7 8 5 2 4 4" xfId="36290"/>
    <cellStyle name="Обычный 7 8 5 2 4 4 2" xfId="36291"/>
    <cellStyle name="Обычный 7 8 5 2 4 5" xfId="36292"/>
    <cellStyle name="Обычный 7 8 5 2 4 6" xfId="36293"/>
    <cellStyle name="Обычный 7 8 5 2 5" xfId="36294"/>
    <cellStyle name="Обычный 7 8 5 2 5 2" xfId="36295"/>
    <cellStyle name="Обычный 7 8 5 2 5 3" xfId="36296"/>
    <cellStyle name="Обычный 7 8 5 2 6" xfId="36297"/>
    <cellStyle name="Обычный 7 8 5 2 6 2" xfId="36298"/>
    <cellStyle name="Обычный 7 8 5 2 6 3" xfId="36299"/>
    <cellStyle name="Обычный 7 8 5 2 7" xfId="36300"/>
    <cellStyle name="Обычный 7 8 5 2 7 2" xfId="36301"/>
    <cellStyle name="Обычный 7 8 5 2 8" xfId="36302"/>
    <cellStyle name="Обычный 7 8 5 2 9" xfId="36303"/>
    <cellStyle name="Обычный 7 8 5 3" xfId="36304"/>
    <cellStyle name="Обычный 7 8 5 3 2" xfId="36305"/>
    <cellStyle name="Обычный 7 8 5 3 2 2" xfId="36306"/>
    <cellStyle name="Обычный 7 8 5 3 2 2 2" xfId="36307"/>
    <cellStyle name="Обычный 7 8 5 3 2 2 2 2" xfId="36308"/>
    <cellStyle name="Обычный 7 8 5 3 2 2 2 3" xfId="36309"/>
    <cellStyle name="Обычный 7 8 5 3 2 2 3" xfId="36310"/>
    <cellStyle name="Обычный 7 8 5 3 2 2 3 2" xfId="36311"/>
    <cellStyle name="Обычный 7 8 5 3 2 2 3 3" xfId="36312"/>
    <cellStyle name="Обычный 7 8 5 3 2 2 4" xfId="36313"/>
    <cellStyle name="Обычный 7 8 5 3 2 2 4 2" xfId="36314"/>
    <cellStyle name="Обычный 7 8 5 3 2 2 5" xfId="36315"/>
    <cellStyle name="Обычный 7 8 5 3 2 2 6" xfId="36316"/>
    <cellStyle name="Обычный 7 8 5 3 2 3" xfId="36317"/>
    <cellStyle name="Обычный 7 8 5 3 2 3 2" xfId="36318"/>
    <cellStyle name="Обычный 7 8 5 3 2 3 3" xfId="36319"/>
    <cellStyle name="Обычный 7 8 5 3 2 4" xfId="36320"/>
    <cellStyle name="Обычный 7 8 5 3 2 4 2" xfId="36321"/>
    <cellStyle name="Обычный 7 8 5 3 2 4 3" xfId="36322"/>
    <cellStyle name="Обычный 7 8 5 3 2 5" xfId="36323"/>
    <cellStyle name="Обычный 7 8 5 3 2 5 2" xfId="36324"/>
    <cellStyle name="Обычный 7 8 5 3 2 6" xfId="36325"/>
    <cellStyle name="Обычный 7 8 5 3 2 7" xfId="36326"/>
    <cellStyle name="Обычный 7 8 5 3 3" xfId="36327"/>
    <cellStyle name="Обычный 7 8 5 3 3 2" xfId="36328"/>
    <cellStyle name="Обычный 7 8 5 3 3 2 2" xfId="36329"/>
    <cellStyle name="Обычный 7 8 5 3 3 2 3" xfId="36330"/>
    <cellStyle name="Обычный 7 8 5 3 3 3" xfId="36331"/>
    <cellStyle name="Обычный 7 8 5 3 3 3 2" xfId="36332"/>
    <cellStyle name="Обычный 7 8 5 3 3 3 3" xfId="36333"/>
    <cellStyle name="Обычный 7 8 5 3 3 4" xfId="36334"/>
    <cellStyle name="Обычный 7 8 5 3 3 4 2" xfId="36335"/>
    <cellStyle name="Обычный 7 8 5 3 3 5" xfId="36336"/>
    <cellStyle name="Обычный 7 8 5 3 3 6" xfId="36337"/>
    <cellStyle name="Обычный 7 8 5 3 4" xfId="36338"/>
    <cellStyle name="Обычный 7 8 5 3 4 2" xfId="36339"/>
    <cellStyle name="Обычный 7 8 5 3 4 3" xfId="36340"/>
    <cellStyle name="Обычный 7 8 5 3 5" xfId="36341"/>
    <cellStyle name="Обычный 7 8 5 3 5 2" xfId="36342"/>
    <cellStyle name="Обычный 7 8 5 3 5 3" xfId="36343"/>
    <cellStyle name="Обычный 7 8 5 3 6" xfId="36344"/>
    <cellStyle name="Обычный 7 8 5 3 6 2" xfId="36345"/>
    <cellStyle name="Обычный 7 8 5 3 7" xfId="36346"/>
    <cellStyle name="Обычный 7 8 5 3 8" xfId="36347"/>
    <cellStyle name="Обычный 7 8 5 4" xfId="36348"/>
    <cellStyle name="Обычный 7 8 5 4 2" xfId="36349"/>
    <cellStyle name="Обычный 7 8 5 4 2 2" xfId="36350"/>
    <cellStyle name="Обычный 7 8 5 4 2 2 2" xfId="36351"/>
    <cellStyle name="Обычный 7 8 5 4 2 2 3" xfId="36352"/>
    <cellStyle name="Обычный 7 8 5 4 2 3" xfId="36353"/>
    <cellStyle name="Обычный 7 8 5 4 2 3 2" xfId="36354"/>
    <cellStyle name="Обычный 7 8 5 4 2 3 3" xfId="36355"/>
    <cellStyle name="Обычный 7 8 5 4 2 4" xfId="36356"/>
    <cellStyle name="Обычный 7 8 5 4 2 4 2" xfId="36357"/>
    <cellStyle name="Обычный 7 8 5 4 2 5" xfId="36358"/>
    <cellStyle name="Обычный 7 8 5 4 2 6" xfId="36359"/>
    <cellStyle name="Обычный 7 8 5 4 3" xfId="36360"/>
    <cellStyle name="Обычный 7 8 5 4 3 2" xfId="36361"/>
    <cellStyle name="Обычный 7 8 5 4 3 3" xfId="36362"/>
    <cellStyle name="Обычный 7 8 5 4 4" xfId="36363"/>
    <cellStyle name="Обычный 7 8 5 4 4 2" xfId="36364"/>
    <cellStyle name="Обычный 7 8 5 4 4 3" xfId="36365"/>
    <cellStyle name="Обычный 7 8 5 4 5" xfId="36366"/>
    <cellStyle name="Обычный 7 8 5 4 5 2" xfId="36367"/>
    <cellStyle name="Обычный 7 8 5 4 6" xfId="36368"/>
    <cellStyle name="Обычный 7 8 5 4 7" xfId="36369"/>
    <cellStyle name="Обычный 7 8 5 5" xfId="36370"/>
    <cellStyle name="Обычный 7 8 5 5 2" xfId="36371"/>
    <cellStyle name="Обычный 7 8 5 5 2 2" xfId="36372"/>
    <cellStyle name="Обычный 7 8 5 5 2 3" xfId="36373"/>
    <cellStyle name="Обычный 7 8 5 5 3" xfId="36374"/>
    <cellStyle name="Обычный 7 8 5 5 3 2" xfId="36375"/>
    <cellStyle name="Обычный 7 8 5 5 3 3" xfId="36376"/>
    <cellStyle name="Обычный 7 8 5 5 4" xfId="36377"/>
    <cellStyle name="Обычный 7 8 5 5 4 2" xfId="36378"/>
    <cellStyle name="Обычный 7 8 5 5 5" xfId="36379"/>
    <cellStyle name="Обычный 7 8 5 5 6" xfId="36380"/>
    <cellStyle name="Обычный 7 8 5 6" xfId="36381"/>
    <cellStyle name="Обычный 7 8 5 6 2" xfId="36382"/>
    <cellStyle name="Обычный 7 8 5 6 3" xfId="36383"/>
    <cellStyle name="Обычный 7 8 5 7" xfId="36384"/>
    <cellStyle name="Обычный 7 8 5 7 2" xfId="36385"/>
    <cellStyle name="Обычный 7 8 5 7 3" xfId="36386"/>
    <cellStyle name="Обычный 7 8 5 8" xfId="36387"/>
    <cellStyle name="Обычный 7 8 5 8 2" xfId="36388"/>
    <cellStyle name="Обычный 7 8 5 9" xfId="36389"/>
    <cellStyle name="Обычный 7 8 6" xfId="36390"/>
    <cellStyle name="Обычный 7 8 6 2" xfId="36391"/>
    <cellStyle name="Обычный 7 8 6 2 2" xfId="36392"/>
    <cellStyle name="Обычный 7 8 6 2 2 2" xfId="36393"/>
    <cellStyle name="Обычный 7 8 6 2 2 2 2" xfId="36394"/>
    <cellStyle name="Обычный 7 8 6 2 2 2 2 2" xfId="36395"/>
    <cellStyle name="Обычный 7 8 6 2 2 2 2 3" xfId="36396"/>
    <cellStyle name="Обычный 7 8 6 2 2 2 3" xfId="36397"/>
    <cellStyle name="Обычный 7 8 6 2 2 2 3 2" xfId="36398"/>
    <cellStyle name="Обычный 7 8 6 2 2 2 3 3" xfId="36399"/>
    <cellStyle name="Обычный 7 8 6 2 2 2 4" xfId="36400"/>
    <cellStyle name="Обычный 7 8 6 2 2 2 4 2" xfId="36401"/>
    <cellStyle name="Обычный 7 8 6 2 2 2 5" xfId="36402"/>
    <cellStyle name="Обычный 7 8 6 2 2 2 6" xfId="36403"/>
    <cellStyle name="Обычный 7 8 6 2 2 3" xfId="36404"/>
    <cellStyle name="Обычный 7 8 6 2 2 3 2" xfId="36405"/>
    <cellStyle name="Обычный 7 8 6 2 2 3 3" xfId="36406"/>
    <cellStyle name="Обычный 7 8 6 2 2 4" xfId="36407"/>
    <cellStyle name="Обычный 7 8 6 2 2 4 2" xfId="36408"/>
    <cellStyle name="Обычный 7 8 6 2 2 4 3" xfId="36409"/>
    <cellStyle name="Обычный 7 8 6 2 2 5" xfId="36410"/>
    <cellStyle name="Обычный 7 8 6 2 2 5 2" xfId="36411"/>
    <cellStyle name="Обычный 7 8 6 2 2 6" xfId="36412"/>
    <cellStyle name="Обычный 7 8 6 2 2 7" xfId="36413"/>
    <cellStyle name="Обычный 7 8 6 2 3" xfId="36414"/>
    <cellStyle name="Обычный 7 8 6 2 3 2" xfId="36415"/>
    <cellStyle name="Обычный 7 8 6 2 3 2 2" xfId="36416"/>
    <cellStyle name="Обычный 7 8 6 2 3 2 3" xfId="36417"/>
    <cellStyle name="Обычный 7 8 6 2 3 3" xfId="36418"/>
    <cellStyle name="Обычный 7 8 6 2 3 3 2" xfId="36419"/>
    <cellStyle name="Обычный 7 8 6 2 3 3 3" xfId="36420"/>
    <cellStyle name="Обычный 7 8 6 2 3 4" xfId="36421"/>
    <cellStyle name="Обычный 7 8 6 2 3 4 2" xfId="36422"/>
    <cellStyle name="Обычный 7 8 6 2 3 5" xfId="36423"/>
    <cellStyle name="Обычный 7 8 6 2 3 6" xfId="36424"/>
    <cellStyle name="Обычный 7 8 6 2 4" xfId="36425"/>
    <cellStyle name="Обычный 7 8 6 2 4 2" xfId="36426"/>
    <cellStyle name="Обычный 7 8 6 2 4 3" xfId="36427"/>
    <cellStyle name="Обычный 7 8 6 2 5" xfId="36428"/>
    <cellStyle name="Обычный 7 8 6 2 5 2" xfId="36429"/>
    <cellStyle name="Обычный 7 8 6 2 5 3" xfId="36430"/>
    <cellStyle name="Обычный 7 8 6 2 6" xfId="36431"/>
    <cellStyle name="Обычный 7 8 6 2 6 2" xfId="36432"/>
    <cellStyle name="Обычный 7 8 6 2 7" xfId="36433"/>
    <cellStyle name="Обычный 7 8 6 2 8" xfId="36434"/>
    <cellStyle name="Обычный 7 8 6 3" xfId="36435"/>
    <cellStyle name="Обычный 7 8 6 3 2" xfId="36436"/>
    <cellStyle name="Обычный 7 8 6 3 2 2" xfId="36437"/>
    <cellStyle name="Обычный 7 8 6 3 2 2 2" xfId="36438"/>
    <cellStyle name="Обычный 7 8 6 3 2 2 3" xfId="36439"/>
    <cellStyle name="Обычный 7 8 6 3 2 3" xfId="36440"/>
    <cellStyle name="Обычный 7 8 6 3 2 3 2" xfId="36441"/>
    <cellStyle name="Обычный 7 8 6 3 2 3 3" xfId="36442"/>
    <cellStyle name="Обычный 7 8 6 3 2 4" xfId="36443"/>
    <cellStyle name="Обычный 7 8 6 3 2 4 2" xfId="36444"/>
    <cellStyle name="Обычный 7 8 6 3 2 5" xfId="36445"/>
    <cellStyle name="Обычный 7 8 6 3 2 6" xfId="36446"/>
    <cellStyle name="Обычный 7 8 6 3 3" xfId="36447"/>
    <cellStyle name="Обычный 7 8 6 3 3 2" xfId="36448"/>
    <cellStyle name="Обычный 7 8 6 3 3 3" xfId="36449"/>
    <cellStyle name="Обычный 7 8 6 3 4" xfId="36450"/>
    <cellStyle name="Обычный 7 8 6 3 4 2" xfId="36451"/>
    <cellStyle name="Обычный 7 8 6 3 4 3" xfId="36452"/>
    <cellStyle name="Обычный 7 8 6 3 5" xfId="36453"/>
    <cellStyle name="Обычный 7 8 6 3 5 2" xfId="36454"/>
    <cellStyle name="Обычный 7 8 6 3 6" xfId="36455"/>
    <cellStyle name="Обычный 7 8 6 3 7" xfId="36456"/>
    <cellStyle name="Обычный 7 8 6 4" xfId="36457"/>
    <cellStyle name="Обычный 7 8 6 4 2" xfId="36458"/>
    <cellStyle name="Обычный 7 8 6 4 2 2" xfId="36459"/>
    <cellStyle name="Обычный 7 8 6 4 2 3" xfId="36460"/>
    <cellStyle name="Обычный 7 8 6 4 3" xfId="36461"/>
    <cellStyle name="Обычный 7 8 6 4 3 2" xfId="36462"/>
    <cellStyle name="Обычный 7 8 6 4 3 3" xfId="36463"/>
    <cellStyle name="Обычный 7 8 6 4 4" xfId="36464"/>
    <cellStyle name="Обычный 7 8 6 4 4 2" xfId="36465"/>
    <cellStyle name="Обычный 7 8 6 4 5" xfId="36466"/>
    <cellStyle name="Обычный 7 8 6 4 6" xfId="36467"/>
    <cellStyle name="Обычный 7 8 6 5" xfId="36468"/>
    <cellStyle name="Обычный 7 8 6 5 2" xfId="36469"/>
    <cellStyle name="Обычный 7 8 6 5 3" xfId="36470"/>
    <cellStyle name="Обычный 7 8 6 6" xfId="36471"/>
    <cellStyle name="Обычный 7 8 6 6 2" xfId="36472"/>
    <cellStyle name="Обычный 7 8 6 6 3" xfId="36473"/>
    <cellStyle name="Обычный 7 8 6 7" xfId="36474"/>
    <cellStyle name="Обычный 7 8 6 7 2" xfId="36475"/>
    <cellStyle name="Обычный 7 8 6 8" xfId="36476"/>
    <cellStyle name="Обычный 7 8 6 9" xfId="36477"/>
    <cellStyle name="Обычный 7 8 7" xfId="36478"/>
    <cellStyle name="Обычный 7 8 7 2" xfId="36479"/>
    <cellStyle name="Обычный 7 8 7 2 2" xfId="36480"/>
    <cellStyle name="Обычный 7 8 7 2 2 2" xfId="36481"/>
    <cellStyle name="Обычный 7 8 7 2 2 2 2" xfId="36482"/>
    <cellStyle name="Обычный 7 8 7 2 2 2 3" xfId="36483"/>
    <cellStyle name="Обычный 7 8 7 2 2 3" xfId="36484"/>
    <cellStyle name="Обычный 7 8 7 2 2 3 2" xfId="36485"/>
    <cellStyle name="Обычный 7 8 7 2 2 3 3" xfId="36486"/>
    <cellStyle name="Обычный 7 8 7 2 2 4" xfId="36487"/>
    <cellStyle name="Обычный 7 8 7 2 2 4 2" xfId="36488"/>
    <cellStyle name="Обычный 7 8 7 2 2 5" xfId="36489"/>
    <cellStyle name="Обычный 7 8 7 2 2 6" xfId="36490"/>
    <cellStyle name="Обычный 7 8 7 2 3" xfId="36491"/>
    <cellStyle name="Обычный 7 8 7 2 3 2" xfId="36492"/>
    <cellStyle name="Обычный 7 8 7 2 3 3" xfId="36493"/>
    <cellStyle name="Обычный 7 8 7 2 4" xfId="36494"/>
    <cellStyle name="Обычный 7 8 7 2 4 2" xfId="36495"/>
    <cellStyle name="Обычный 7 8 7 2 4 3" xfId="36496"/>
    <cellStyle name="Обычный 7 8 7 2 5" xfId="36497"/>
    <cellStyle name="Обычный 7 8 7 2 5 2" xfId="36498"/>
    <cellStyle name="Обычный 7 8 7 2 6" xfId="36499"/>
    <cellStyle name="Обычный 7 8 7 2 7" xfId="36500"/>
    <cellStyle name="Обычный 7 8 7 3" xfId="36501"/>
    <cellStyle name="Обычный 7 8 7 3 2" xfId="36502"/>
    <cellStyle name="Обычный 7 8 7 3 2 2" xfId="36503"/>
    <cellStyle name="Обычный 7 8 7 3 2 3" xfId="36504"/>
    <cellStyle name="Обычный 7 8 7 3 3" xfId="36505"/>
    <cellStyle name="Обычный 7 8 7 3 3 2" xfId="36506"/>
    <cellStyle name="Обычный 7 8 7 3 3 3" xfId="36507"/>
    <cellStyle name="Обычный 7 8 7 3 4" xfId="36508"/>
    <cellStyle name="Обычный 7 8 7 3 4 2" xfId="36509"/>
    <cellStyle name="Обычный 7 8 7 3 5" xfId="36510"/>
    <cellStyle name="Обычный 7 8 7 3 6" xfId="36511"/>
    <cellStyle name="Обычный 7 8 7 4" xfId="36512"/>
    <cellStyle name="Обычный 7 8 7 4 2" xfId="36513"/>
    <cellStyle name="Обычный 7 8 7 4 3" xfId="36514"/>
    <cellStyle name="Обычный 7 8 7 5" xfId="36515"/>
    <cellStyle name="Обычный 7 8 7 5 2" xfId="36516"/>
    <cellStyle name="Обычный 7 8 7 5 3" xfId="36517"/>
    <cellStyle name="Обычный 7 8 7 6" xfId="36518"/>
    <cellStyle name="Обычный 7 8 7 6 2" xfId="36519"/>
    <cellStyle name="Обычный 7 8 7 7" xfId="36520"/>
    <cellStyle name="Обычный 7 8 7 8" xfId="36521"/>
    <cellStyle name="Обычный 7 8 8" xfId="36522"/>
    <cellStyle name="Обычный 7 8 8 2" xfId="36523"/>
    <cellStyle name="Обычный 7 8 8 2 2" xfId="36524"/>
    <cellStyle name="Обычный 7 8 8 2 2 2" xfId="36525"/>
    <cellStyle name="Обычный 7 8 8 2 2 3" xfId="36526"/>
    <cellStyle name="Обычный 7 8 8 2 3" xfId="36527"/>
    <cellStyle name="Обычный 7 8 8 2 3 2" xfId="36528"/>
    <cellStyle name="Обычный 7 8 8 2 3 3" xfId="36529"/>
    <cellStyle name="Обычный 7 8 8 2 4" xfId="36530"/>
    <cellStyle name="Обычный 7 8 8 2 4 2" xfId="36531"/>
    <cellStyle name="Обычный 7 8 8 2 5" xfId="36532"/>
    <cellStyle name="Обычный 7 8 8 2 6" xfId="36533"/>
    <cellStyle name="Обычный 7 8 8 3" xfId="36534"/>
    <cellStyle name="Обычный 7 8 8 3 2" xfId="36535"/>
    <cellStyle name="Обычный 7 8 8 3 3" xfId="36536"/>
    <cellStyle name="Обычный 7 8 8 4" xfId="36537"/>
    <cellStyle name="Обычный 7 8 8 4 2" xfId="36538"/>
    <cellStyle name="Обычный 7 8 8 4 3" xfId="36539"/>
    <cellStyle name="Обычный 7 8 8 5" xfId="36540"/>
    <cellStyle name="Обычный 7 8 8 5 2" xfId="36541"/>
    <cellStyle name="Обычный 7 8 8 6" xfId="36542"/>
    <cellStyle name="Обычный 7 8 8 7" xfId="36543"/>
    <cellStyle name="Обычный 7 8 9" xfId="36544"/>
    <cellStyle name="Обычный 7 8 9 2" xfId="36545"/>
    <cellStyle name="Обычный 7 8 9 2 2" xfId="36546"/>
    <cellStyle name="Обычный 7 8 9 2 3" xfId="36547"/>
    <cellStyle name="Обычный 7 8 9 3" xfId="36548"/>
    <cellStyle name="Обычный 7 8 9 3 2" xfId="36549"/>
    <cellStyle name="Обычный 7 8 9 3 3" xfId="36550"/>
    <cellStyle name="Обычный 7 8 9 4" xfId="36551"/>
    <cellStyle name="Обычный 7 8 9 4 2" xfId="36552"/>
    <cellStyle name="Обычный 7 8 9 5" xfId="36553"/>
    <cellStyle name="Обычный 7 8 9 6" xfId="36554"/>
    <cellStyle name="Обычный 7 9" xfId="36555"/>
    <cellStyle name="Обычный 7 9 10" xfId="36556"/>
    <cellStyle name="Обычный 7 9 10 2" xfId="36557"/>
    <cellStyle name="Обычный 7 9 10 3" xfId="36558"/>
    <cellStyle name="Обычный 7 9 11" xfId="36559"/>
    <cellStyle name="Обычный 7 9 11 2" xfId="36560"/>
    <cellStyle name="Обычный 7 9 12" xfId="36561"/>
    <cellStyle name="Обычный 7 9 13" xfId="36562"/>
    <cellStyle name="Обычный 7 9 2" xfId="36563"/>
    <cellStyle name="Обычный 7 9 2 10" xfId="36564"/>
    <cellStyle name="Обычный 7 9 2 2" xfId="36565"/>
    <cellStyle name="Обычный 7 9 2 2 2" xfId="36566"/>
    <cellStyle name="Обычный 7 9 2 2 2 2" xfId="36567"/>
    <cellStyle name="Обычный 7 9 2 2 2 2 2" xfId="36568"/>
    <cellStyle name="Обычный 7 9 2 2 2 2 2 2" xfId="36569"/>
    <cellStyle name="Обычный 7 9 2 2 2 2 2 2 2" xfId="36570"/>
    <cellStyle name="Обычный 7 9 2 2 2 2 2 2 3" xfId="36571"/>
    <cellStyle name="Обычный 7 9 2 2 2 2 2 3" xfId="36572"/>
    <cellStyle name="Обычный 7 9 2 2 2 2 2 3 2" xfId="36573"/>
    <cellStyle name="Обычный 7 9 2 2 2 2 2 3 3" xfId="36574"/>
    <cellStyle name="Обычный 7 9 2 2 2 2 2 4" xfId="36575"/>
    <cellStyle name="Обычный 7 9 2 2 2 2 2 4 2" xfId="36576"/>
    <cellStyle name="Обычный 7 9 2 2 2 2 2 5" xfId="36577"/>
    <cellStyle name="Обычный 7 9 2 2 2 2 2 6" xfId="36578"/>
    <cellStyle name="Обычный 7 9 2 2 2 2 3" xfId="36579"/>
    <cellStyle name="Обычный 7 9 2 2 2 2 3 2" xfId="36580"/>
    <cellStyle name="Обычный 7 9 2 2 2 2 3 3" xfId="36581"/>
    <cellStyle name="Обычный 7 9 2 2 2 2 4" xfId="36582"/>
    <cellStyle name="Обычный 7 9 2 2 2 2 4 2" xfId="36583"/>
    <cellStyle name="Обычный 7 9 2 2 2 2 4 3" xfId="36584"/>
    <cellStyle name="Обычный 7 9 2 2 2 2 5" xfId="36585"/>
    <cellStyle name="Обычный 7 9 2 2 2 2 5 2" xfId="36586"/>
    <cellStyle name="Обычный 7 9 2 2 2 2 6" xfId="36587"/>
    <cellStyle name="Обычный 7 9 2 2 2 2 7" xfId="36588"/>
    <cellStyle name="Обычный 7 9 2 2 2 3" xfId="36589"/>
    <cellStyle name="Обычный 7 9 2 2 2 3 2" xfId="36590"/>
    <cellStyle name="Обычный 7 9 2 2 2 3 2 2" xfId="36591"/>
    <cellStyle name="Обычный 7 9 2 2 2 3 2 3" xfId="36592"/>
    <cellStyle name="Обычный 7 9 2 2 2 3 3" xfId="36593"/>
    <cellStyle name="Обычный 7 9 2 2 2 3 3 2" xfId="36594"/>
    <cellStyle name="Обычный 7 9 2 2 2 3 3 3" xfId="36595"/>
    <cellStyle name="Обычный 7 9 2 2 2 3 4" xfId="36596"/>
    <cellStyle name="Обычный 7 9 2 2 2 3 4 2" xfId="36597"/>
    <cellStyle name="Обычный 7 9 2 2 2 3 5" xfId="36598"/>
    <cellStyle name="Обычный 7 9 2 2 2 3 6" xfId="36599"/>
    <cellStyle name="Обычный 7 9 2 2 2 4" xfId="36600"/>
    <cellStyle name="Обычный 7 9 2 2 2 4 2" xfId="36601"/>
    <cellStyle name="Обычный 7 9 2 2 2 4 3" xfId="36602"/>
    <cellStyle name="Обычный 7 9 2 2 2 5" xfId="36603"/>
    <cellStyle name="Обычный 7 9 2 2 2 5 2" xfId="36604"/>
    <cellStyle name="Обычный 7 9 2 2 2 5 3" xfId="36605"/>
    <cellStyle name="Обычный 7 9 2 2 2 6" xfId="36606"/>
    <cellStyle name="Обычный 7 9 2 2 2 6 2" xfId="36607"/>
    <cellStyle name="Обычный 7 9 2 2 2 7" xfId="36608"/>
    <cellStyle name="Обычный 7 9 2 2 2 8" xfId="36609"/>
    <cellStyle name="Обычный 7 9 2 2 3" xfId="36610"/>
    <cellStyle name="Обычный 7 9 2 2 3 2" xfId="36611"/>
    <cellStyle name="Обычный 7 9 2 2 3 2 2" xfId="36612"/>
    <cellStyle name="Обычный 7 9 2 2 3 2 2 2" xfId="36613"/>
    <cellStyle name="Обычный 7 9 2 2 3 2 2 3" xfId="36614"/>
    <cellStyle name="Обычный 7 9 2 2 3 2 3" xfId="36615"/>
    <cellStyle name="Обычный 7 9 2 2 3 2 3 2" xfId="36616"/>
    <cellStyle name="Обычный 7 9 2 2 3 2 3 3" xfId="36617"/>
    <cellStyle name="Обычный 7 9 2 2 3 2 4" xfId="36618"/>
    <cellStyle name="Обычный 7 9 2 2 3 2 4 2" xfId="36619"/>
    <cellStyle name="Обычный 7 9 2 2 3 2 5" xfId="36620"/>
    <cellStyle name="Обычный 7 9 2 2 3 2 6" xfId="36621"/>
    <cellStyle name="Обычный 7 9 2 2 3 3" xfId="36622"/>
    <cellStyle name="Обычный 7 9 2 2 3 3 2" xfId="36623"/>
    <cellStyle name="Обычный 7 9 2 2 3 3 3" xfId="36624"/>
    <cellStyle name="Обычный 7 9 2 2 3 4" xfId="36625"/>
    <cellStyle name="Обычный 7 9 2 2 3 4 2" xfId="36626"/>
    <cellStyle name="Обычный 7 9 2 2 3 4 3" xfId="36627"/>
    <cellStyle name="Обычный 7 9 2 2 3 5" xfId="36628"/>
    <cellStyle name="Обычный 7 9 2 2 3 5 2" xfId="36629"/>
    <cellStyle name="Обычный 7 9 2 2 3 6" xfId="36630"/>
    <cellStyle name="Обычный 7 9 2 2 3 7" xfId="36631"/>
    <cellStyle name="Обычный 7 9 2 2 4" xfId="36632"/>
    <cellStyle name="Обычный 7 9 2 2 4 2" xfId="36633"/>
    <cellStyle name="Обычный 7 9 2 2 4 2 2" xfId="36634"/>
    <cellStyle name="Обычный 7 9 2 2 4 2 3" xfId="36635"/>
    <cellStyle name="Обычный 7 9 2 2 4 3" xfId="36636"/>
    <cellStyle name="Обычный 7 9 2 2 4 3 2" xfId="36637"/>
    <cellStyle name="Обычный 7 9 2 2 4 3 3" xfId="36638"/>
    <cellStyle name="Обычный 7 9 2 2 4 4" xfId="36639"/>
    <cellStyle name="Обычный 7 9 2 2 4 4 2" xfId="36640"/>
    <cellStyle name="Обычный 7 9 2 2 4 5" xfId="36641"/>
    <cellStyle name="Обычный 7 9 2 2 4 6" xfId="36642"/>
    <cellStyle name="Обычный 7 9 2 2 5" xfId="36643"/>
    <cellStyle name="Обычный 7 9 2 2 5 2" xfId="36644"/>
    <cellStyle name="Обычный 7 9 2 2 5 3" xfId="36645"/>
    <cellStyle name="Обычный 7 9 2 2 6" xfId="36646"/>
    <cellStyle name="Обычный 7 9 2 2 6 2" xfId="36647"/>
    <cellStyle name="Обычный 7 9 2 2 6 3" xfId="36648"/>
    <cellStyle name="Обычный 7 9 2 2 7" xfId="36649"/>
    <cellStyle name="Обычный 7 9 2 2 7 2" xfId="36650"/>
    <cellStyle name="Обычный 7 9 2 2 8" xfId="36651"/>
    <cellStyle name="Обычный 7 9 2 2 9" xfId="36652"/>
    <cellStyle name="Обычный 7 9 2 3" xfId="36653"/>
    <cellStyle name="Обычный 7 9 2 3 2" xfId="36654"/>
    <cellStyle name="Обычный 7 9 2 3 2 2" xfId="36655"/>
    <cellStyle name="Обычный 7 9 2 3 2 2 2" xfId="36656"/>
    <cellStyle name="Обычный 7 9 2 3 2 2 2 2" xfId="36657"/>
    <cellStyle name="Обычный 7 9 2 3 2 2 2 3" xfId="36658"/>
    <cellStyle name="Обычный 7 9 2 3 2 2 3" xfId="36659"/>
    <cellStyle name="Обычный 7 9 2 3 2 2 3 2" xfId="36660"/>
    <cellStyle name="Обычный 7 9 2 3 2 2 3 3" xfId="36661"/>
    <cellStyle name="Обычный 7 9 2 3 2 2 4" xfId="36662"/>
    <cellStyle name="Обычный 7 9 2 3 2 2 4 2" xfId="36663"/>
    <cellStyle name="Обычный 7 9 2 3 2 2 5" xfId="36664"/>
    <cellStyle name="Обычный 7 9 2 3 2 2 6" xfId="36665"/>
    <cellStyle name="Обычный 7 9 2 3 2 3" xfId="36666"/>
    <cellStyle name="Обычный 7 9 2 3 2 3 2" xfId="36667"/>
    <cellStyle name="Обычный 7 9 2 3 2 3 3" xfId="36668"/>
    <cellStyle name="Обычный 7 9 2 3 2 4" xfId="36669"/>
    <cellStyle name="Обычный 7 9 2 3 2 4 2" xfId="36670"/>
    <cellStyle name="Обычный 7 9 2 3 2 4 3" xfId="36671"/>
    <cellStyle name="Обычный 7 9 2 3 2 5" xfId="36672"/>
    <cellStyle name="Обычный 7 9 2 3 2 5 2" xfId="36673"/>
    <cellStyle name="Обычный 7 9 2 3 2 6" xfId="36674"/>
    <cellStyle name="Обычный 7 9 2 3 2 7" xfId="36675"/>
    <cellStyle name="Обычный 7 9 2 3 3" xfId="36676"/>
    <cellStyle name="Обычный 7 9 2 3 3 2" xfId="36677"/>
    <cellStyle name="Обычный 7 9 2 3 3 2 2" xfId="36678"/>
    <cellStyle name="Обычный 7 9 2 3 3 2 3" xfId="36679"/>
    <cellStyle name="Обычный 7 9 2 3 3 3" xfId="36680"/>
    <cellStyle name="Обычный 7 9 2 3 3 3 2" xfId="36681"/>
    <cellStyle name="Обычный 7 9 2 3 3 3 3" xfId="36682"/>
    <cellStyle name="Обычный 7 9 2 3 3 4" xfId="36683"/>
    <cellStyle name="Обычный 7 9 2 3 3 4 2" xfId="36684"/>
    <cellStyle name="Обычный 7 9 2 3 3 5" xfId="36685"/>
    <cellStyle name="Обычный 7 9 2 3 3 6" xfId="36686"/>
    <cellStyle name="Обычный 7 9 2 3 4" xfId="36687"/>
    <cellStyle name="Обычный 7 9 2 3 4 2" xfId="36688"/>
    <cellStyle name="Обычный 7 9 2 3 4 3" xfId="36689"/>
    <cellStyle name="Обычный 7 9 2 3 5" xfId="36690"/>
    <cellStyle name="Обычный 7 9 2 3 5 2" xfId="36691"/>
    <cellStyle name="Обычный 7 9 2 3 5 3" xfId="36692"/>
    <cellStyle name="Обычный 7 9 2 3 6" xfId="36693"/>
    <cellStyle name="Обычный 7 9 2 3 6 2" xfId="36694"/>
    <cellStyle name="Обычный 7 9 2 3 7" xfId="36695"/>
    <cellStyle name="Обычный 7 9 2 3 8" xfId="36696"/>
    <cellStyle name="Обычный 7 9 2 4" xfId="36697"/>
    <cellStyle name="Обычный 7 9 2 4 2" xfId="36698"/>
    <cellStyle name="Обычный 7 9 2 4 2 2" xfId="36699"/>
    <cellStyle name="Обычный 7 9 2 4 2 2 2" xfId="36700"/>
    <cellStyle name="Обычный 7 9 2 4 2 2 3" xfId="36701"/>
    <cellStyle name="Обычный 7 9 2 4 2 3" xfId="36702"/>
    <cellStyle name="Обычный 7 9 2 4 2 3 2" xfId="36703"/>
    <cellStyle name="Обычный 7 9 2 4 2 3 3" xfId="36704"/>
    <cellStyle name="Обычный 7 9 2 4 2 4" xfId="36705"/>
    <cellStyle name="Обычный 7 9 2 4 2 4 2" xfId="36706"/>
    <cellStyle name="Обычный 7 9 2 4 2 5" xfId="36707"/>
    <cellStyle name="Обычный 7 9 2 4 2 6" xfId="36708"/>
    <cellStyle name="Обычный 7 9 2 4 3" xfId="36709"/>
    <cellStyle name="Обычный 7 9 2 4 3 2" xfId="36710"/>
    <cellStyle name="Обычный 7 9 2 4 3 3" xfId="36711"/>
    <cellStyle name="Обычный 7 9 2 4 4" xfId="36712"/>
    <cellStyle name="Обычный 7 9 2 4 4 2" xfId="36713"/>
    <cellStyle name="Обычный 7 9 2 4 4 3" xfId="36714"/>
    <cellStyle name="Обычный 7 9 2 4 5" xfId="36715"/>
    <cellStyle name="Обычный 7 9 2 4 5 2" xfId="36716"/>
    <cellStyle name="Обычный 7 9 2 4 6" xfId="36717"/>
    <cellStyle name="Обычный 7 9 2 4 7" xfId="36718"/>
    <cellStyle name="Обычный 7 9 2 5" xfId="36719"/>
    <cellStyle name="Обычный 7 9 2 5 2" xfId="36720"/>
    <cellStyle name="Обычный 7 9 2 5 2 2" xfId="36721"/>
    <cellStyle name="Обычный 7 9 2 5 2 3" xfId="36722"/>
    <cellStyle name="Обычный 7 9 2 5 3" xfId="36723"/>
    <cellStyle name="Обычный 7 9 2 5 3 2" xfId="36724"/>
    <cellStyle name="Обычный 7 9 2 5 3 3" xfId="36725"/>
    <cellStyle name="Обычный 7 9 2 5 4" xfId="36726"/>
    <cellStyle name="Обычный 7 9 2 5 4 2" xfId="36727"/>
    <cellStyle name="Обычный 7 9 2 5 5" xfId="36728"/>
    <cellStyle name="Обычный 7 9 2 5 6" xfId="36729"/>
    <cellStyle name="Обычный 7 9 2 6" xfId="36730"/>
    <cellStyle name="Обычный 7 9 2 6 2" xfId="36731"/>
    <cellStyle name="Обычный 7 9 2 6 3" xfId="36732"/>
    <cellStyle name="Обычный 7 9 2 7" xfId="36733"/>
    <cellStyle name="Обычный 7 9 2 7 2" xfId="36734"/>
    <cellStyle name="Обычный 7 9 2 7 3" xfId="36735"/>
    <cellStyle name="Обычный 7 9 2 8" xfId="36736"/>
    <cellStyle name="Обычный 7 9 2 8 2" xfId="36737"/>
    <cellStyle name="Обычный 7 9 2 9" xfId="36738"/>
    <cellStyle name="Обычный 7 9 3" xfId="36739"/>
    <cellStyle name="Обычный 7 9 3 10" xfId="36740"/>
    <cellStyle name="Обычный 7 9 3 2" xfId="36741"/>
    <cellStyle name="Обычный 7 9 3 2 2" xfId="36742"/>
    <cellStyle name="Обычный 7 9 3 2 2 2" xfId="36743"/>
    <cellStyle name="Обычный 7 9 3 2 2 2 2" xfId="36744"/>
    <cellStyle name="Обычный 7 9 3 2 2 2 2 2" xfId="36745"/>
    <cellStyle name="Обычный 7 9 3 2 2 2 2 2 2" xfId="36746"/>
    <cellStyle name="Обычный 7 9 3 2 2 2 2 2 3" xfId="36747"/>
    <cellStyle name="Обычный 7 9 3 2 2 2 2 3" xfId="36748"/>
    <cellStyle name="Обычный 7 9 3 2 2 2 2 3 2" xfId="36749"/>
    <cellStyle name="Обычный 7 9 3 2 2 2 2 3 3" xfId="36750"/>
    <cellStyle name="Обычный 7 9 3 2 2 2 2 4" xfId="36751"/>
    <cellStyle name="Обычный 7 9 3 2 2 2 2 4 2" xfId="36752"/>
    <cellStyle name="Обычный 7 9 3 2 2 2 2 5" xfId="36753"/>
    <cellStyle name="Обычный 7 9 3 2 2 2 2 6" xfId="36754"/>
    <cellStyle name="Обычный 7 9 3 2 2 2 3" xfId="36755"/>
    <cellStyle name="Обычный 7 9 3 2 2 2 3 2" xfId="36756"/>
    <cellStyle name="Обычный 7 9 3 2 2 2 3 3" xfId="36757"/>
    <cellStyle name="Обычный 7 9 3 2 2 2 4" xfId="36758"/>
    <cellStyle name="Обычный 7 9 3 2 2 2 4 2" xfId="36759"/>
    <cellStyle name="Обычный 7 9 3 2 2 2 4 3" xfId="36760"/>
    <cellStyle name="Обычный 7 9 3 2 2 2 5" xfId="36761"/>
    <cellStyle name="Обычный 7 9 3 2 2 2 5 2" xfId="36762"/>
    <cellStyle name="Обычный 7 9 3 2 2 2 6" xfId="36763"/>
    <cellStyle name="Обычный 7 9 3 2 2 2 7" xfId="36764"/>
    <cellStyle name="Обычный 7 9 3 2 2 3" xfId="36765"/>
    <cellStyle name="Обычный 7 9 3 2 2 3 2" xfId="36766"/>
    <cellStyle name="Обычный 7 9 3 2 2 3 2 2" xfId="36767"/>
    <cellStyle name="Обычный 7 9 3 2 2 3 2 3" xfId="36768"/>
    <cellStyle name="Обычный 7 9 3 2 2 3 3" xfId="36769"/>
    <cellStyle name="Обычный 7 9 3 2 2 3 3 2" xfId="36770"/>
    <cellStyle name="Обычный 7 9 3 2 2 3 3 3" xfId="36771"/>
    <cellStyle name="Обычный 7 9 3 2 2 3 4" xfId="36772"/>
    <cellStyle name="Обычный 7 9 3 2 2 3 4 2" xfId="36773"/>
    <cellStyle name="Обычный 7 9 3 2 2 3 5" xfId="36774"/>
    <cellStyle name="Обычный 7 9 3 2 2 3 6" xfId="36775"/>
    <cellStyle name="Обычный 7 9 3 2 2 4" xfId="36776"/>
    <cellStyle name="Обычный 7 9 3 2 2 4 2" xfId="36777"/>
    <cellStyle name="Обычный 7 9 3 2 2 4 3" xfId="36778"/>
    <cellStyle name="Обычный 7 9 3 2 2 5" xfId="36779"/>
    <cellStyle name="Обычный 7 9 3 2 2 5 2" xfId="36780"/>
    <cellStyle name="Обычный 7 9 3 2 2 5 3" xfId="36781"/>
    <cellStyle name="Обычный 7 9 3 2 2 6" xfId="36782"/>
    <cellStyle name="Обычный 7 9 3 2 2 6 2" xfId="36783"/>
    <cellStyle name="Обычный 7 9 3 2 2 7" xfId="36784"/>
    <cellStyle name="Обычный 7 9 3 2 2 8" xfId="36785"/>
    <cellStyle name="Обычный 7 9 3 2 3" xfId="36786"/>
    <cellStyle name="Обычный 7 9 3 2 3 2" xfId="36787"/>
    <cellStyle name="Обычный 7 9 3 2 3 2 2" xfId="36788"/>
    <cellStyle name="Обычный 7 9 3 2 3 2 2 2" xfId="36789"/>
    <cellStyle name="Обычный 7 9 3 2 3 2 2 3" xfId="36790"/>
    <cellStyle name="Обычный 7 9 3 2 3 2 3" xfId="36791"/>
    <cellStyle name="Обычный 7 9 3 2 3 2 3 2" xfId="36792"/>
    <cellStyle name="Обычный 7 9 3 2 3 2 3 3" xfId="36793"/>
    <cellStyle name="Обычный 7 9 3 2 3 2 4" xfId="36794"/>
    <cellStyle name="Обычный 7 9 3 2 3 2 4 2" xfId="36795"/>
    <cellStyle name="Обычный 7 9 3 2 3 2 5" xfId="36796"/>
    <cellStyle name="Обычный 7 9 3 2 3 2 6" xfId="36797"/>
    <cellStyle name="Обычный 7 9 3 2 3 3" xfId="36798"/>
    <cellStyle name="Обычный 7 9 3 2 3 3 2" xfId="36799"/>
    <cellStyle name="Обычный 7 9 3 2 3 3 3" xfId="36800"/>
    <cellStyle name="Обычный 7 9 3 2 3 4" xfId="36801"/>
    <cellStyle name="Обычный 7 9 3 2 3 4 2" xfId="36802"/>
    <cellStyle name="Обычный 7 9 3 2 3 4 3" xfId="36803"/>
    <cellStyle name="Обычный 7 9 3 2 3 5" xfId="36804"/>
    <cellStyle name="Обычный 7 9 3 2 3 5 2" xfId="36805"/>
    <cellStyle name="Обычный 7 9 3 2 3 6" xfId="36806"/>
    <cellStyle name="Обычный 7 9 3 2 3 7" xfId="36807"/>
    <cellStyle name="Обычный 7 9 3 2 4" xfId="36808"/>
    <cellStyle name="Обычный 7 9 3 2 4 2" xfId="36809"/>
    <cellStyle name="Обычный 7 9 3 2 4 2 2" xfId="36810"/>
    <cellStyle name="Обычный 7 9 3 2 4 2 3" xfId="36811"/>
    <cellStyle name="Обычный 7 9 3 2 4 3" xfId="36812"/>
    <cellStyle name="Обычный 7 9 3 2 4 3 2" xfId="36813"/>
    <cellStyle name="Обычный 7 9 3 2 4 3 3" xfId="36814"/>
    <cellStyle name="Обычный 7 9 3 2 4 4" xfId="36815"/>
    <cellStyle name="Обычный 7 9 3 2 4 4 2" xfId="36816"/>
    <cellStyle name="Обычный 7 9 3 2 4 5" xfId="36817"/>
    <cellStyle name="Обычный 7 9 3 2 4 6" xfId="36818"/>
    <cellStyle name="Обычный 7 9 3 2 5" xfId="36819"/>
    <cellStyle name="Обычный 7 9 3 2 5 2" xfId="36820"/>
    <cellStyle name="Обычный 7 9 3 2 5 3" xfId="36821"/>
    <cellStyle name="Обычный 7 9 3 2 6" xfId="36822"/>
    <cellStyle name="Обычный 7 9 3 2 6 2" xfId="36823"/>
    <cellStyle name="Обычный 7 9 3 2 6 3" xfId="36824"/>
    <cellStyle name="Обычный 7 9 3 2 7" xfId="36825"/>
    <cellStyle name="Обычный 7 9 3 2 7 2" xfId="36826"/>
    <cellStyle name="Обычный 7 9 3 2 8" xfId="36827"/>
    <cellStyle name="Обычный 7 9 3 2 9" xfId="36828"/>
    <cellStyle name="Обычный 7 9 3 3" xfId="36829"/>
    <cellStyle name="Обычный 7 9 3 3 2" xfId="36830"/>
    <cellStyle name="Обычный 7 9 3 3 2 2" xfId="36831"/>
    <cellStyle name="Обычный 7 9 3 3 2 2 2" xfId="36832"/>
    <cellStyle name="Обычный 7 9 3 3 2 2 2 2" xfId="36833"/>
    <cellStyle name="Обычный 7 9 3 3 2 2 2 3" xfId="36834"/>
    <cellStyle name="Обычный 7 9 3 3 2 2 3" xfId="36835"/>
    <cellStyle name="Обычный 7 9 3 3 2 2 3 2" xfId="36836"/>
    <cellStyle name="Обычный 7 9 3 3 2 2 3 3" xfId="36837"/>
    <cellStyle name="Обычный 7 9 3 3 2 2 4" xfId="36838"/>
    <cellStyle name="Обычный 7 9 3 3 2 2 4 2" xfId="36839"/>
    <cellStyle name="Обычный 7 9 3 3 2 2 5" xfId="36840"/>
    <cellStyle name="Обычный 7 9 3 3 2 2 6" xfId="36841"/>
    <cellStyle name="Обычный 7 9 3 3 2 3" xfId="36842"/>
    <cellStyle name="Обычный 7 9 3 3 2 3 2" xfId="36843"/>
    <cellStyle name="Обычный 7 9 3 3 2 3 3" xfId="36844"/>
    <cellStyle name="Обычный 7 9 3 3 2 4" xfId="36845"/>
    <cellStyle name="Обычный 7 9 3 3 2 4 2" xfId="36846"/>
    <cellStyle name="Обычный 7 9 3 3 2 4 3" xfId="36847"/>
    <cellStyle name="Обычный 7 9 3 3 2 5" xfId="36848"/>
    <cellStyle name="Обычный 7 9 3 3 2 5 2" xfId="36849"/>
    <cellStyle name="Обычный 7 9 3 3 2 6" xfId="36850"/>
    <cellStyle name="Обычный 7 9 3 3 2 7" xfId="36851"/>
    <cellStyle name="Обычный 7 9 3 3 3" xfId="36852"/>
    <cellStyle name="Обычный 7 9 3 3 3 2" xfId="36853"/>
    <cellStyle name="Обычный 7 9 3 3 3 2 2" xfId="36854"/>
    <cellStyle name="Обычный 7 9 3 3 3 2 3" xfId="36855"/>
    <cellStyle name="Обычный 7 9 3 3 3 3" xfId="36856"/>
    <cellStyle name="Обычный 7 9 3 3 3 3 2" xfId="36857"/>
    <cellStyle name="Обычный 7 9 3 3 3 3 3" xfId="36858"/>
    <cellStyle name="Обычный 7 9 3 3 3 4" xfId="36859"/>
    <cellStyle name="Обычный 7 9 3 3 3 4 2" xfId="36860"/>
    <cellStyle name="Обычный 7 9 3 3 3 5" xfId="36861"/>
    <cellStyle name="Обычный 7 9 3 3 3 6" xfId="36862"/>
    <cellStyle name="Обычный 7 9 3 3 4" xfId="36863"/>
    <cellStyle name="Обычный 7 9 3 3 4 2" xfId="36864"/>
    <cellStyle name="Обычный 7 9 3 3 4 3" xfId="36865"/>
    <cellStyle name="Обычный 7 9 3 3 5" xfId="36866"/>
    <cellStyle name="Обычный 7 9 3 3 5 2" xfId="36867"/>
    <cellStyle name="Обычный 7 9 3 3 5 3" xfId="36868"/>
    <cellStyle name="Обычный 7 9 3 3 6" xfId="36869"/>
    <cellStyle name="Обычный 7 9 3 3 6 2" xfId="36870"/>
    <cellStyle name="Обычный 7 9 3 3 7" xfId="36871"/>
    <cellStyle name="Обычный 7 9 3 3 8" xfId="36872"/>
    <cellStyle name="Обычный 7 9 3 4" xfId="36873"/>
    <cellStyle name="Обычный 7 9 3 4 2" xfId="36874"/>
    <cellStyle name="Обычный 7 9 3 4 2 2" xfId="36875"/>
    <cellStyle name="Обычный 7 9 3 4 2 2 2" xfId="36876"/>
    <cellStyle name="Обычный 7 9 3 4 2 2 3" xfId="36877"/>
    <cellStyle name="Обычный 7 9 3 4 2 3" xfId="36878"/>
    <cellStyle name="Обычный 7 9 3 4 2 3 2" xfId="36879"/>
    <cellStyle name="Обычный 7 9 3 4 2 3 3" xfId="36880"/>
    <cellStyle name="Обычный 7 9 3 4 2 4" xfId="36881"/>
    <cellStyle name="Обычный 7 9 3 4 2 4 2" xfId="36882"/>
    <cellStyle name="Обычный 7 9 3 4 2 5" xfId="36883"/>
    <cellStyle name="Обычный 7 9 3 4 2 6" xfId="36884"/>
    <cellStyle name="Обычный 7 9 3 4 3" xfId="36885"/>
    <cellStyle name="Обычный 7 9 3 4 3 2" xfId="36886"/>
    <cellStyle name="Обычный 7 9 3 4 3 3" xfId="36887"/>
    <cellStyle name="Обычный 7 9 3 4 4" xfId="36888"/>
    <cellStyle name="Обычный 7 9 3 4 4 2" xfId="36889"/>
    <cellStyle name="Обычный 7 9 3 4 4 3" xfId="36890"/>
    <cellStyle name="Обычный 7 9 3 4 5" xfId="36891"/>
    <cellStyle name="Обычный 7 9 3 4 5 2" xfId="36892"/>
    <cellStyle name="Обычный 7 9 3 4 6" xfId="36893"/>
    <cellStyle name="Обычный 7 9 3 4 7" xfId="36894"/>
    <cellStyle name="Обычный 7 9 3 5" xfId="36895"/>
    <cellStyle name="Обычный 7 9 3 5 2" xfId="36896"/>
    <cellStyle name="Обычный 7 9 3 5 2 2" xfId="36897"/>
    <cellStyle name="Обычный 7 9 3 5 2 3" xfId="36898"/>
    <cellStyle name="Обычный 7 9 3 5 3" xfId="36899"/>
    <cellStyle name="Обычный 7 9 3 5 3 2" xfId="36900"/>
    <cellStyle name="Обычный 7 9 3 5 3 3" xfId="36901"/>
    <cellStyle name="Обычный 7 9 3 5 4" xfId="36902"/>
    <cellStyle name="Обычный 7 9 3 5 4 2" xfId="36903"/>
    <cellStyle name="Обычный 7 9 3 5 5" xfId="36904"/>
    <cellStyle name="Обычный 7 9 3 5 6" xfId="36905"/>
    <cellStyle name="Обычный 7 9 3 6" xfId="36906"/>
    <cellStyle name="Обычный 7 9 3 6 2" xfId="36907"/>
    <cellStyle name="Обычный 7 9 3 6 3" xfId="36908"/>
    <cellStyle name="Обычный 7 9 3 7" xfId="36909"/>
    <cellStyle name="Обычный 7 9 3 7 2" xfId="36910"/>
    <cellStyle name="Обычный 7 9 3 7 3" xfId="36911"/>
    <cellStyle name="Обычный 7 9 3 8" xfId="36912"/>
    <cellStyle name="Обычный 7 9 3 8 2" xfId="36913"/>
    <cellStyle name="Обычный 7 9 3 9" xfId="36914"/>
    <cellStyle name="Обычный 7 9 4" xfId="36915"/>
    <cellStyle name="Обычный 7 9 4 10" xfId="36916"/>
    <cellStyle name="Обычный 7 9 4 2" xfId="36917"/>
    <cellStyle name="Обычный 7 9 4 2 2" xfId="36918"/>
    <cellStyle name="Обычный 7 9 4 2 2 2" xfId="36919"/>
    <cellStyle name="Обычный 7 9 4 2 2 2 2" xfId="36920"/>
    <cellStyle name="Обычный 7 9 4 2 2 2 2 2" xfId="36921"/>
    <cellStyle name="Обычный 7 9 4 2 2 2 2 2 2" xfId="36922"/>
    <cellStyle name="Обычный 7 9 4 2 2 2 2 2 3" xfId="36923"/>
    <cellStyle name="Обычный 7 9 4 2 2 2 2 3" xfId="36924"/>
    <cellStyle name="Обычный 7 9 4 2 2 2 2 3 2" xfId="36925"/>
    <cellStyle name="Обычный 7 9 4 2 2 2 2 3 3" xfId="36926"/>
    <cellStyle name="Обычный 7 9 4 2 2 2 2 4" xfId="36927"/>
    <cellStyle name="Обычный 7 9 4 2 2 2 2 4 2" xfId="36928"/>
    <cellStyle name="Обычный 7 9 4 2 2 2 2 5" xfId="36929"/>
    <cellStyle name="Обычный 7 9 4 2 2 2 2 6" xfId="36930"/>
    <cellStyle name="Обычный 7 9 4 2 2 2 3" xfId="36931"/>
    <cellStyle name="Обычный 7 9 4 2 2 2 3 2" xfId="36932"/>
    <cellStyle name="Обычный 7 9 4 2 2 2 3 3" xfId="36933"/>
    <cellStyle name="Обычный 7 9 4 2 2 2 4" xfId="36934"/>
    <cellStyle name="Обычный 7 9 4 2 2 2 4 2" xfId="36935"/>
    <cellStyle name="Обычный 7 9 4 2 2 2 4 3" xfId="36936"/>
    <cellStyle name="Обычный 7 9 4 2 2 2 5" xfId="36937"/>
    <cellStyle name="Обычный 7 9 4 2 2 2 5 2" xfId="36938"/>
    <cellStyle name="Обычный 7 9 4 2 2 2 6" xfId="36939"/>
    <cellStyle name="Обычный 7 9 4 2 2 2 7" xfId="36940"/>
    <cellStyle name="Обычный 7 9 4 2 2 3" xfId="36941"/>
    <cellStyle name="Обычный 7 9 4 2 2 3 2" xfId="36942"/>
    <cellStyle name="Обычный 7 9 4 2 2 3 2 2" xfId="36943"/>
    <cellStyle name="Обычный 7 9 4 2 2 3 2 3" xfId="36944"/>
    <cellStyle name="Обычный 7 9 4 2 2 3 3" xfId="36945"/>
    <cellStyle name="Обычный 7 9 4 2 2 3 3 2" xfId="36946"/>
    <cellStyle name="Обычный 7 9 4 2 2 3 3 3" xfId="36947"/>
    <cellStyle name="Обычный 7 9 4 2 2 3 4" xfId="36948"/>
    <cellStyle name="Обычный 7 9 4 2 2 3 4 2" xfId="36949"/>
    <cellStyle name="Обычный 7 9 4 2 2 3 5" xfId="36950"/>
    <cellStyle name="Обычный 7 9 4 2 2 3 6" xfId="36951"/>
    <cellStyle name="Обычный 7 9 4 2 2 4" xfId="36952"/>
    <cellStyle name="Обычный 7 9 4 2 2 4 2" xfId="36953"/>
    <cellStyle name="Обычный 7 9 4 2 2 4 3" xfId="36954"/>
    <cellStyle name="Обычный 7 9 4 2 2 5" xfId="36955"/>
    <cellStyle name="Обычный 7 9 4 2 2 5 2" xfId="36956"/>
    <cellStyle name="Обычный 7 9 4 2 2 5 3" xfId="36957"/>
    <cellStyle name="Обычный 7 9 4 2 2 6" xfId="36958"/>
    <cellStyle name="Обычный 7 9 4 2 2 6 2" xfId="36959"/>
    <cellStyle name="Обычный 7 9 4 2 2 7" xfId="36960"/>
    <cellStyle name="Обычный 7 9 4 2 2 8" xfId="36961"/>
    <cellStyle name="Обычный 7 9 4 2 3" xfId="36962"/>
    <cellStyle name="Обычный 7 9 4 2 3 2" xfId="36963"/>
    <cellStyle name="Обычный 7 9 4 2 3 2 2" xfId="36964"/>
    <cellStyle name="Обычный 7 9 4 2 3 2 2 2" xfId="36965"/>
    <cellStyle name="Обычный 7 9 4 2 3 2 2 3" xfId="36966"/>
    <cellStyle name="Обычный 7 9 4 2 3 2 3" xfId="36967"/>
    <cellStyle name="Обычный 7 9 4 2 3 2 3 2" xfId="36968"/>
    <cellStyle name="Обычный 7 9 4 2 3 2 3 3" xfId="36969"/>
    <cellStyle name="Обычный 7 9 4 2 3 2 4" xfId="36970"/>
    <cellStyle name="Обычный 7 9 4 2 3 2 4 2" xfId="36971"/>
    <cellStyle name="Обычный 7 9 4 2 3 2 5" xfId="36972"/>
    <cellStyle name="Обычный 7 9 4 2 3 2 6" xfId="36973"/>
    <cellStyle name="Обычный 7 9 4 2 3 3" xfId="36974"/>
    <cellStyle name="Обычный 7 9 4 2 3 3 2" xfId="36975"/>
    <cellStyle name="Обычный 7 9 4 2 3 3 3" xfId="36976"/>
    <cellStyle name="Обычный 7 9 4 2 3 4" xfId="36977"/>
    <cellStyle name="Обычный 7 9 4 2 3 4 2" xfId="36978"/>
    <cellStyle name="Обычный 7 9 4 2 3 4 3" xfId="36979"/>
    <cellStyle name="Обычный 7 9 4 2 3 5" xfId="36980"/>
    <cellStyle name="Обычный 7 9 4 2 3 5 2" xfId="36981"/>
    <cellStyle name="Обычный 7 9 4 2 3 6" xfId="36982"/>
    <cellStyle name="Обычный 7 9 4 2 3 7" xfId="36983"/>
    <cellStyle name="Обычный 7 9 4 2 4" xfId="36984"/>
    <cellStyle name="Обычный 7 9 4 2 4 2" xfId="36985"/>
    <cellStyle name="Обычный 7 9 4 2 4 2 2" xfId="36986"/>
    <cellStyle name="Обычный 7 9 4 2 4 2 3" xfId="36987"/>
    <cellStyle name="Обычный 7 9 4 2 4 3" xfId="36988"/>
    <cellStyle name="Обычный 7 9 4 2 4 3 2" xfId="36989"/>
    <cellStyle name="Обычный 7 9 4 2 4 3 3" xfId="36990"/>
    <cellStyle name="Обычный 7 9 4 2 4 4" xfId="36991"/>
    <cellStyle name="Обычный 7 9 4 2 4 4 2" xfId="36992"/>
    <cellStyle name="Обычный 7 9 4 2 4 5" xfId="36993"/>
    <cellStyle name="Обычный 7 9 4 2 4 6" xfId="36994"/>
    <cellStyle name="Обычный 7 9 4 2 5" xfId="36995"/>
    <cellStyle name="Обычный 7 9 4 2 5 2" xfId="36996"/>
    <cellStyle name="Обычный 7 9 4 2 5 3" xfId="36997"/>
    <cellStyle name="Обычный 7 9 4 2 6" xfId="36998"/>
    <cellStyle name="Обычный 7 9 4 2 6 2" xfId="36999"/>
    <cellStyle name="Обычный 7 9 4 2 6 3" xfId="37000"/>
    <cellStyle name="Обычный 7 9 4 2 7" xfId="37001"/>
    <cellStyle name="Обычный 7 9 4 2 7 2" xfId="37002"/>
    <cellStyle name="Обычный 7 9 4 2 8" xfId="37003"/>
    <cellStyle name="Обычный 7 9 4 2 9" xfId="37004"/>
    <cellStyle name="Обычный 7 9 4 3" xfId="37005"/>
    <cellStyle name="Обычный 7 9 4 3 2" xfId="37006"/>
    <cellStyle name="Обычный 7 9 4 3 2 2" xfId="37007"/>
    <cellStyle name="Обычный 7 9 4 3 2 2 2" xfId="37008"/>
    <cellStyle name="Обычный 7 9 4 3 2 2 2 2" xfId="37009"/>
    <cellStyle name="Обычный 7 9 4 3 2 2 2 3" xfId="37010"/>
    <cellStyle name="Обычный 7 9 4 3 2 2 3" xfId="37011"/>
    <cellStyle name="Обычный 7 9 4 3 2 2 3 2" xfId="37012"/>
    <cellStyle name="Обычный 7 9 4 3 2 2 3 3" xfId="37013"/>
    <cellStyle name="Обычный 7 9 4 3 2 2 4" xfId="37014"/>
    <cellStyle name="Обычный 7 9 4 3 2 2 4 2" xfId="37015"/>
    <cellStyle name="Обычный 7 9 4 3 2 2 5" xfId="37016"/>
    <cellStyle name="Обычный 7 9 4 3 2 2 6" xfId="37017"/>
    <cellStyle name="Обычный 7 9 4 3 2 3" xfId="37018"/>
    <cellStyle name="Обычный 7 9 4 3 2 3 2" xfId="37019"/>
    <cellStyle name="Обычный 7 9 4 3 2 3 3" xfId="37020"/>
    <cellStyle name="Обычный 7 9 4 3 2 4" xfId="37021"/>
    <cellStyle name="Обычный 7 9 4 3 2 4 2" xfId="37022"/>
    <cellStyle name="Обычный 7 9 4 3 2 4 3" xfId="37023"/>
    <cellStyle name="Обычный 7 9 4 3 2 5" xfId="37024"/>
    <cellStyle name="Обычный 7 9 4 3 2 5 2" xfId="37025"/>
    <cellStyle name="Обычный 7 9 4 3 2 6" xfId="37026"/>
    <cellStyle name="Обычный 7 9 4 3 2 7" xfId="37027"/>
    <cellStyle name="Обычный 7 9 4 3 3" xfId="37028"/>
    <cellStyle name="Обычный 7 9 4 3 3 2" xfId="37029"/>
    <cellStyle name="Обычный 7 9 4 3 3 2 2" xfId="37030"/>
    <cellStyle name="Обычный 7 9 4 3 3 2 3" xfId="37031"/>
    <cellStyle name="Обычный 7 9 4 3 3 3" xfId="37032"/>
    <cellStyle name="Обычный 7 9 4 3 3 3 2" xfId="37033"/>
    <cellStyle name="Обычный 7 9 4 3 3 3 3" xfId="37034"/>
    <cellStyle name="Обычный 7 9 4 3 3 4" xfId="37035"/>
    <cellStyle name="Обычный 7 9 4 3 3 4 2" xfId="37036"/>
    <cellStyle name="Обычный 7 9 4 3 3 5" xfId="37037"/>
    <cellStyle name="Обычный 7 9 4 3 3 6" xfId="37038"/>
    <cellStyle name="Обычный 7 9 4 3 4" xfId="37039"/>
    <cellStyle name="Обычный 7 9 4 3 4 2" xfId="37040"/>
    <cellStyle name="Обычный 7 9 4 3 4 3" xfId="37041"/>
    <cellStyle name="Обычный 7 9 4 3 5" xfId="37042"/>
    <cellStyle name="Обычный 7 9 4 3 5 2" xfId="37043"/>
    <cellStyle name="Обычный 7 9 4 3 5 3" xfId="37044"/>
    <cellStyle name="Обычный 7 9 4 3 6" xfId="37045"/>
    <cellStyle name="Обычный 7 9 4 3 6 2" xfId="37046"/>
    <cellStyle name="Обычный 7 9 4 3 7" xfId="37047"/>
    <cellStyle name="Обычный 7 9 4 3 8" xfId="37048"/>
    <cellStyle name="Обычный 7 9 4 4" xfId="37049"/>
    <cellStyle name="Обычный 7 9 4 4 2" xfId="37050"/>
    <cellStyle name="Обычный 7 9 4 4 2 2" xfId="37051"/>
    <cellStyle name="Обычный 7 9 4 4 2 2 2" xfId="37052"/>
    <cellStyle name="Обычный 7 9 4 4 2 2 3" xfId="37053"/>
    <cellStyle name="Обычный 7 9 4 4 2 3" xfId="37054"/>
    <cellStyle name="Обычный 7 9 4 4 2 3 2" xfId="37055"/>
    <cellStyle name="Обычный 7 9 4 4 2 3 3" xfId="37056"/>
    <cellStyle name="Обычный 7 9 4 4 2 4" xfId="37057"/>
    <cellStyle name="Обычный 7 9 4 4 2 4 2" xfId="37058"/>
    <cellStyle name="Обычный 7 9 4 4 2 5" xfId="37059"/>
    <cellStyle name="Обычный 7 9 4 4 2 6" xfId="37060"/>
    <cellStyle name="Обычный 7 9 4 4 3" xfId="37061"/>
    <cellStyle name="Обычный 7 9 4 4 3 2" xfId="37062"/>
    <cellStyle name="Обычный 7 9 4 4 3 3" xfId="37063"/>
    <cellStyle name="Обычный 7 9 4 4 4" xfId="37064"/>
    <cellStyle name="Обычный 7 9 4 4 4 2" xfId="37065"/>
    <cellStyle name="Обычный 7 9 4 4 4 3" xfId="37066"/>
    <cellStyle name="Обычный 7 9 4 4 5" xfId="37067"/>
    <cellStyle name="Обычный 7 9 4 4 5 2" xfId="37068"/>
    <cellStyle name="Обычный 7 9 4 4 6" xfId="37069"/>
    <cellStyle name="Обычный 7 9 4 4 7" xfId="37070"/>
    <cellStyle name="Обычный 7 9 4 5" xfId="37071"/>
    <cellStyle name="Обычный 7 9 4 5 2" xfId="37072"/>
    <cellStyle name="Обычный 7 9 4 5 2 2" xfId="37073"/>
    <cellStyle name="Обычный 7 9 4 5 2 3" xfId="37074"/>
    <cellStyle name="Обычный 7 9 4 5 3" xfId="37075"/>
    <cellStyle name="Обычный 7 9 4 5 3 2" xfId="37076"/>
    <cellStyle name="Обычный 7 9 4 5 3 3" xfId="37077"/>
    <cellStyle name="Обычный 7 9 4 5 4" xfId="37078"/>
    <cellStyle name="Обычный 7 9 4 5 4 2" xfId="37079"/>
    <cellStyle name="Обычный 7 9 4 5 5" xfId="37080"/>
    <cellStyle name="Обычный 7 9 4 5 6" xfId="37081"/>
    <cellStyle name="Обычный 7 9 4 6" xfId="37082"/>
    <cellStyle name="Обычный 7 9 4 6 2" xfId="37083"/>
    <cellStyle name="Обычный 7 9 4 6 3" xfId="37084"/>
    <cellStyle name="Обычный 7 9 4 7" xfId="37085"/>
    <cellStyle name="Обычный 7 9 4 7 2" xfId="37086"/>
    <cellStyle name="Обычный 7 9 4 7 3" xfId="37087"/>
    <cellStyle name="Обычный 7 9 4 8" xfId="37088"/>
    <cellStyle name="Обычный 7 9 4 8 2" xfId="37089"/>
    <cellStyle name="Обычный 7 9 4 9" xfId="37090"/>
    <cellStyle name="Обычный 7 9 5" xfId="37091"/>
    <cellStyle name="Обычный 7 9 5 2" xfId="37092"/>
    <cellStyle name="Обычный 7 9 5 2 2" xfId="37093"/>
    <cellStyle name="Обычный 7 9 5 2 2 2" xfId="37094"/>
    <cellStyle name="Обычный 7 9 5 2 2 2 2" xfId="37095"/>
    <cellStyle name="Обычный 7 9 5 2 2 2 2 2" xfId="37096"/>
    <cellStyle name="Обычный 7 9 5 2 2 2 2 3" xfId="37097"/>
    <cellStyle name="Обычный 7 9 5 2 2 2 3" xfId="37098"/>
    <cellStyle name="Обычный 7 9 5 2 2 2 3 2" xfId="37099"/>
    <cellStyle name="Обычный 7 9 5 2 2 2 3 3" xfId="37100"/>
    <cellStyle name="Обычный 7 9 5 2 2 2 4" xfId="37101"/>
    <cellStyle name="Обычный 7 9 5 2 2 2 4 2" xfId="37102"/>
    <cellStyle name="Обычный 7 9 5 2 2 2 5" xfId="37103"/>
    <cellStyle name="Обычный 7 9 5 2 2 2 6" xfId="37104"/>
    <cellStyle name="Обычный 7 9 5 2 2 3" xfId="37105"/>
    <cellStyle name="Обычный 7 9 5 2 2 3 2" xfId="37106"/>
    <cellStyle name="Обычный 7 9 5 2 2 3 3" xfId="37107"/>
    <cellStyle name="Обычный 7 9 5 2 2 4" xfId="37108"/>
    <cellStyle name="Обычный 7 9 5 2 2 4 2" xfId="37109"/>
    <cellStyle name="Обычный 7 9 5 2 2 4 3" xfId="37110"/>
    <cellStyle name="Обычный 7 9 5 2 2 5" xfId="37111"/>
    <cellStyle name="Обычный 7 9 5 2 2 5 2" xfId="37112"/>
    <cellStyle name="Обычный 7 9 5 2 2 6" xfId="37113"/>
    <cellStyle name="Обычный 7 9 5 2 2 7" xfId="37114"/>
    <cellStyle name="Обычный 7 9 5 2 3" xfId="37115"/>
    <cellStyle name="Обычный 7 9 5 2 3 2" xfId="37116"/>
    <cellStyle name="Обычный 7 9 5 2 3 2 2" xfId="37117"/>
    <cellStyle name="Обычный 7 9 5 2 3 2 3" xfId="37118"/>
    <cellStyle name="Обычный 7 9 5 2 3 3" xfId="37119"/>
    <cellStyle name="Обычный 7 9 5 2 3 3 2" xfId="37120"/>
    <cellStyle name="Обычный 7 9 5 2 3 3 3" xfId="37121"/>
    <cellStyle name="Обычный 7 9 5 2 3 4" xfId="37122"/>
    <cellStyle name="Обычный 7 9 5 2 3 4 2" xfId="37123"/>
    <cellStyle name="Обычный 7 9 5 2 3 5" xfId="37124"/>
    <cellStyle name="Обычный 7 9 5 2 3 6" xfId="37125"/>
    <cellStyle name="Обычный 7 9 5 2 4" xfId="37126"/>
    <cellStyle name="Обычный 7 9 5 2 4 2" xfId="37127"/>
    <cellStyle name="Обычный 7 9 5 2 4 3" xfId="37128"/>
    <cellStyle name="Обычный 7 9 5 2 5" xfId="37129"/>
    <cellStyle name="Обычный 7 9 5 2 5 2" xfId="37130"/>
    <cellStyle name="Обычный 7 9 5 2 5 3" xfId="37131"/>
    <cellStyle name="Обычный 7 9 5 2 6" xfId="37132"/>
    <cellStyle name="Обычный 7 9 5 2 6 2" xfId="37133"/>
    <cellStyle name="Обычный 7 9 5 2 7" xfId="37134"/>
    <cellStyle name="Обычный 7 9 5 2 8" xfId="37135"/>
    <cellStyle name="Обычный 7 9 5 3" xfId="37136"/>
    <cellStyle name="Обычный 7 9 5 3 2" xfId="37137"/>
    <cellStyle name="Обычный 7 9 5 3 2 2" xfId="37138"/>
    <cellStyle name="Обычный 7 9 5 3 2 2 2" xfId="37139"/>
    <cellStyle name="Обычный 7 9 5 3 2 2 3" xfId="37140"/>
    <cellStyle name="Обычный 7 9 5 3 2 3" xfId="37141"/>
    <cellStyle name="Обычный 7 9 5 3 2 3 2" xfId="37142"/>
    <cellStyle name="Обычный 7 9 5 3 2 3 3" xfId="37143"/>
    <cellStyle name="Обычный 7 9 5 3 2 4" xfId="37144"/>
    <cellStyle name="Обычный 7 9 5 3 2 4 2" xfId="37145"/>
    <cellStyle name="Обычный 7 9 5 3 2 5" xfId="37146"/>
    <cellStyle name="Обычный 7 9 5 3 2 6" xfId="37147"/>
    <cellStyle name="Обычный 7 9 5 3 3" xfId="37148"/>
    <cellStyle name="Обычный 7 9 5 3 3 2" xfId="37149"/>
    <cellStyle name="Обычный 7 9 5 3 3 3" xfId="37150"/>
    <cellStyle name="Обычный 7 9 5 3 4" xfId="37151"/>
    <cellStyle name="Обычный 7 9 5 3 4 2" xfId="37152"/>
    <cellStyle name="Обычный 7 9 5 3 4 3" xfId="37153"/>
    <cellStyle name="Обычный 7 9 5 3 5" xfId="37154"/>
    <cellStyle name="Обычный 7 9 5 3 5 2" xfId="37155"/>
    <cellStyle name="Обычный 7 9 5 3 6" xfId="37156"/>
    <cellStyle name="Обычный 7 9 5 3 7" xfId="37157"/>
    <cellStyle name="Обычный 7 9 5 4" xfId="37158"/>
    <cellStyle name="Обычный 7 9 5 4 2" xfId="37159"/>
    <cellStyle name="Обычный 7 9 5 4 2 2" xfId="37160"/>
    <cellStyle name="Обычный 7 9 5 4 2 3" xfId="37161"/>
    <cellStyle name="Обычный 7 9 5 4 3" xfId="37162"/>
    <cellStyle name="Обычный 7 9 5 4 3 2" xfId="37163"/>
    <cellStyle name="Обычный 7 9 5 4 3 3" xfId="37164"/>
    <cellStyle name="Обычный 7 9 5 4 4" xfId="37165"/>
    <cellStyle name="Обычный 7 9 5 4 4 2" xfId="37166"/>
    <cellStyle name="Обычный 7 9 5 4 5" xfId="37167"/>
    <cellStyle name="Обычный 7 9 5 4 6" xfId="37168"/>
    <cellStyle name="Обычный 7 9 5 5" xfId="37169"/>
    <cellStyle name="Обычный 7 9 5 5 2" xfId="37170"/>
    <cellStyle name="Обычный 7 9 5 5 3" xfId="37171"/>
    <cellStyle name="Обычный 7 9 5 6" xfId="37172"/>
    <cellStyle name="Обычный 7 9 5 6 2" xfId="37173"/>
    <cellStyle name="Обычный 7 9 5 6 3" xfId="37174"/>
    <cellStyle name="Обычный 7 9 5 7" xfId="37175"/>
    <cellStyle name="Обычный 7 9 5 7 2" xfId="37176"/>
    <cellStyle name="Обычный 7 9 5 8" xfId="37177"/>
    <cellStyle name="Обычный 7 9 5 9" xfId="37178"/>
    <cellStyle name="Обычный 7 9 6" xfId="37179"/>
    <cellStyle name="Обычный 7 9 6 2" xfId="37180"/>
    <cellStyle name="Обычный 7 9 6 2 2" xfId="37181"/>
    <cellStyle name="Обычный 7 9 6 2 2 2" xfId="37182"/>
    <cellStyle name="Обычный 7 9 6 2 2 2 2" xfId="37183"/>
    <cellStyle name="Обычный 7 9 6 2 2 2 3" xfId="37184"/>
    <cellStyle name="Обычный 7 9 6 2 2 3" xfId="37185"/>
    <cellStyle name="Обычный 7 9 6 2 2 3 2" xfId="37186"/>
    <cellStyle name="Обычный 7 9 6 2 2 3 3" xfId="37187"/>
    <cellStyle name="Обычный 7 9 6 2 2 4" xfId="37188"/>
    <cellStyle name="Обычный 7 9 6 2 2 4 2" xfId="37189"/>
    <cellStyle name="Обычный 7 9 6 2 2 5" xfId="37190"/>
    <cellStyle name="Обычный 7 9 6 2 2 6" xfId="37191"/>
    <cellStyle name="Обычный 7 9 6 2 3" xfId="37192"/>
    <cellStyle name="Обычный 7 9 6 2 3 2" xfId="37193"/>
    <cellStyle name="Обычный 7 9 6 2 3 3" xfId="37194"/>
    <cellStyle name="Обычный 7 9 6 2 4" xfId="37195"/>
    <cellStyle name="Обычный 7 9 6 2 4 2" xfId="37196"/>
    <cellStyle name="Обычный 7 9 6 2 4 3" xfId="37197"/>
    <cellStyle name="Обычный 7 9 6 2 5" xfId="37198"/>
    <cellStyle name="Обычный 7 9 6 2 5 2" xfId="37199"/>
    <cellStyle name="Обычный 7 9 6 2 6" xfId="37200"/>
    <cellStyle name="Обычный 7 9 6 2 7" xfId="37201"/>
    <cellStyle name="Обычный 7 9 6 3" xfId="37202"/>
    <cellStyle name="Обычный 7 9 6 3 2" xfId="37203"/>
    <cellStyle name="Обычный 7 9 6 3 2 2" xfId="37204"/>
    <cellStyle name="Обычный 7 9 6 3 2 3" xfId="37205"/>
    <cellStyle name="Обычный 7 9 6 3 3" xfId="37206"/>
    <cellStyle name="Обычный 7 9 6 3 3 2" xfId="37207"/>
    <cellStyle name="Обычный 7 9 6 3 3 3" xfId="37208"/>
    <cellStyle name="Обычный 7 9 6 3 4" xfId="37209"/>
    <cellStyle name="Обычный 7 9 6 3 4 2" xfId="37210"/>
    <cellStyle name="Обычный 7 9 6 3 5" xfId="37211"/>
    <cellStyle name="Обычный 7 9 6 3 6" xfId="37212"/>
    <cellStyle name="Обычный 7 9 6 4" xfId="37213"/>
    <cellStyle name="Обычный 7 9 6 4 2" xfId="37214"/>
    <cellStyle name="Обычный 7 9 6 4 3" xfId="37215"/>
    <cellStyle name="Обычный 7 9 6 5" xfId="37216"/>
    <cellStyle name="Обычный 7 9 6 5 2" xfId="37217"/>
    <cellStyle name="Обычный 7 9 6 5 3" xfId="37218"/>
    <cellStyle name="Обычный 7 9 6 6" xfId="37219"/>
    <cellStyle name="Обычный 7 9 6 6 2" xfId="37220"/>
    <cellStyle name="Обычный 7 9 6 7" xfId="37221"/>
    <cellStyle name="Обычный 7 9 6 8" xfId="37222"/>
    <cellStyle name="Обычный 7 9 7" xfId="37223"/>
    <cellStyle name="Обычный 7 9 7 2" xfId="37224"/>
    <cellStyle name="Обычный 7 9 7 2 2" xfId="37225"/>
    <cellStyle name="Обычный 7 9 7 2 2 2" xfId="37226"/>
    <cellStyle name="Обычный 7 9 7 2 2 3" xfId="37227"/>
    <cellStyle name="Обычный 7 9 7 2 3" xfId="37228"/>
    <cellStyle name="Обычный 7 9 7 2 3 2" xfId="37229"/>
    <cellStyle name="Обычный 7 9 7 2 3 3" xfId="37230"/>
    <cellStyle name="Обычный 7 9 7 2 4" xfId="37231"/>
    <cellStyle name="Обычный 7 9 7 2 4 2" xfId="37232"/>
    <cellStyle name="Обычный 7 9 7 2 5" xfId="37233"/>
    <cellStyle name="Обычный 7 9 7 2 6" xfId="37234"/>
    <cellStyle name="Обычный 7 9 7 3" xfId="37235"/>
    <cellStyle name="Обычный 7 9 7 3 2" xfId="37236"/>
    <cellStyle name="Обычный 7 9 7 3 3" xfId="37237"/>
    <cellStyle name="Обычный 7 9 7 4" xfId="37238"/>
    <cellStyle name="Обычный 7 9 7 4 2" xfId="37239"/>
    <cellStyle name="Обычный 7 9 7 4 3" xfId="37240"/>
    <cellStyle name="Обычный 7 9 7 5" xfId="37241"/>
    <cellStyle name="Обычный 7 9 7 5 2" xfId="37242"/>
    <cellStyle name="Обычный 7 9 7 6" xfId="37243"/>
    <cellStyle name="Обычный 7 9 7 7" xfId="37244"/>
    <cellStyle name="Обычный 7 9 8" xfId="37245"/>
    <cellStyle name="Обычный 7 9 8 2" xfId="37246"/>
    <cellStyle name="Обычный 7 9 8 2 2" xfId="37247"/>
    <cellStyle name="Обычный 7 9 8 2 3" xfId="37248"/>
    <cellStyle name="Обычный 7 9 8 3" xfId="37249"/>
    <cellStyle name="Обычный 7 9 8 3 2" xfId="37250"/>
    <cellStyle name="Обычный 7 9 8 3 3" xfId="37251"/>
    <cellStyle name="Обычный 7 9 8 4" xfId="37252"/>
    <cellStyle name="Обычный 7 9 8 4 2" xfId="37253"/>
    <cellStyle name="Обычный 7 9 8 5" xfId="37254"/>
    <cellStyle name="Обычный 7 9 8 6" xfId="37255"/>
    <cellStyle name="Обычный 7 9 9" xfId="37256"/>
    <cellStyle name="Обычный 7 9 9 2" xfId="37257"/>
    <cellStyle name="Обычный 7 9 9 3" xfId="37258"/>
    <cellStyle name="Обычный 8" xfId="37259"/>
    <cellStyle name="Обычный 8 10" xfId="37260"/>
    <cellStyle name="Обычный 8 10 10" xfId="37261"/>
    <cellStyle name="Обычный 8 10 2" xfId="37262"/>
    <cellStyle name="Обычный 8 10 2 2" xfId="37263"/>
    <cellStyle name="Обычный 8 10 2 2 2" xfId="37264"/>
    <cellStyle name="Обычный 8 10 2 2 2 2" xfId="37265"/>
    <cellStyle name="Обычный 8 10 2 2 2 2 2" xfId="37266"/>
    <cellStyle name="Обычный 8 10 2 2 2 2 2 2" xfId="37267"/>
    <cellStyle name="Обычный 8 10 2 2 2 2 2 3" xfId="37268"/>
    <cellStyle name="Обычный 8 10 2 2 2 2 3" xfId="37269"/>
    <cellStyle name="Обычный 8 10 2 2 2 2 3 2" xfId="37270"/>
    <cellStyle name="Обычный 8 10 2 2 2 2 3 3" xfId="37271"/>
    <cellStyle name="Обычный 8 10 2 2 2 2 4" xfId="37272"/>
    <cellStyle name="Обычный 8 10 2 2 2 2 4 2" xfId="37273"/>
    <cellStyle name="Обычный 8 10 2 2 2 2 5" xfId="37274"/>
    <cellStyle name="Обычный 8 10 2 2 2 2 6" xfId="37275"/>
    <cellStyle name="Обычный 8 10 2 2 2 3" xfId="37276"/>
    <cellStyle name="Обычный 8 10 2 2 2 3 2" xfId="37277"/>
    <cellStyle name="Обычный 8 10 2 2 2 3 3" xfId="37278"/>
    <cellStyle name="Обычный 8 10 2 2 2 4" xfId="37279"/>
    <cellStyle name="Обычный 8 10 2 2 2 4 2" xfId="37280"/>
    <cellStyle name="Обычный 8 10 2 2 2 4 3" xfId="37281"/>
    <cellStyle name="Обычный 8 10 2 2 2 5" xfId="37282"/>
    <cellStyle name="Обычный 8 10 2 2 2 5 2" xfId="37283"/>
    <cellStyle name="Обычный 8 10 2 2 2 6" xfId="37284"/>
    <cellStyle name="Обычный 8 10 2 2 2 7" xfId="37285"/>
    <cellStyle name="Обычный 8 10 2 2 3" xfId="37286"/>
    <cellStyle name="Обычный 8 10 2 2 3 2" xfId="37287"/>
    <cellStyle name="Обычный 8 10 2 2 3 2 2" xfId="37288"/>
    <cellStyle name="Обычный 8 10 2 2 3 2 3" xfId="37289"/>
    <cellStyle name="Обычный 8 10 2 2 3 3" xfId="37290"/>
    <cellStyle name="Обычный 8 10 2 2 3 3 2" xfId="37291"/>
    <cellStyle name="Обычный 8 10 2 2 3 3 3" xfId="37292"/>
    <cellStyle name="Обычный 8 10 2 2 3 4" xfId="37293"/>
    <cellStyle name="Обычный 8 10 2 2 3 4 2" xfId="37294"/>
    <cellStyle name="Обычный 8 10 2 2 3 5" xfId="37295"/>
    <cellStyle name="Обычный 8 10 2 2 3 6" xfId="37296"/>
    <cellStyle name="Обычный 8 10 2 2 4" xfId="37297"/>
    <cellStyle name="Обычный 8 10 2 2 4 2" xfId="37298"/>
    <cellStyle name="Обычный 8 10 2 2 4 3" xfId="37299"/>
    <cellStyle name="Обычный 8 10 2 2 5" xfId="37300"/>
    <cellStyle name="Обычный 8 10 2 2 5 2" xfId="37301"/>
    <cellStyle name="Обычный 8 10 2 2 5 3" xfId="37302"/>
    <cellStyle name="Обычный 8 10 2 2 6" xfId="37303"/>
    <cellStyle name="Обычный 8 10 2 2 6 2" xfId="37304"/>
    <cellStyle name="Обычный 8 10 2 2 7" xfId="37305"/>
    <cellStyle name="Обычный 8 10 2 2 8" xfId="37306"/>
    <cellStyle name="Обычный 8 10 2 3" xfId="37307"/>
    <cellStyle name="Обычный 8 10 2 3 2" xfId="37308"/>
    <cellStyle name="Обычный 8 10 2 3 2 2" xfId="37309"/>
    <cellStyle name="Обычный 8 10 2 3 2 2 2" xfId="37310"/>
    <cellStyle name="Обычный 8 10 2 3 2 2 3" xfId="37311"/>
    <cellStyle name="Обычный 8 10 2 3 2 3" xfId="37312"/>
    <cellStyle name="Обычный 8 10 2 3 2 3 2" xfId="37313"/>
    <cellStyle name="Обычный 8 10 2 3 2 3 3" xfId="37314"/>
    <cellStyle name="Обычный 8 10 2 3 2 4" xfId="37315"/>
    <cellStyle name="Обычный 8 10 2 3 2 4 2" xfId="37316"/>
    <cellStyle name="Обычный 8 10 2 3 2 5" xfId="37317"/>
    <cellStyle name="Обычный 8 10 2 3 2 6" xfId="37318"/>
    <cellStyle name="Обычный 8 10 2 3 3" xfId="37319"/>
    <cellStyle name="Обычный 8 10 2 3 3 2" xfId="37320"/>
    <cellStyle name="Обычный 8 10 2 3 3 3" xfId="37321"/>
    <cellStyle name="Обычный 8 10 2 3 4" xfId="37322"/>
    <cellStyle name="Обычный 8 10 2 3 4 2" xfId="37323"/>
    <cellStyle name="Обычный 8 10 2 3 4 3" xfId="37324"/>
    <cellStyle name="Обычный 8 10 2 3 5" xfId="37325"/>
    <cellStyle name="Обычный 8 10 2 3 5 2" xfId="37326"/>
    <cellStyle name="Обычный 8 10 2 3 6" xfId="37327"/>
    <cellStyle name="Обычный 8 10 2 3 7" xfId="37328"/>
    <cellStyle name="Обычный 8 10 2 4" xfId="37329"/>
    <cellStyle name="Обычный 8 10 2 4 2" xfId="37330"/>
    <cellStyle name="Обычный 8 10 2 4 2 2" xfId="37331"/>
    <cellStyle name="Обычный 8 10 2 4 2 3" xfId="37332"/>
    <cellStyle name="Обычный 8 10 2 4 3" xfId="37333"/>
    <cellStyle name="Обычный 8 10 2 4 3 2" xfId="37334"/>
    <cellStyle name="Обычный 8 10 2 4 3 3" xfId="37335"/>
    <cellStyle name="Обычный 8 10 2 4 4" xfId="37336"/>
    <cellStyle name="Обычный 8 10 2 4 4 2" xfId="37337"/>
    <cellStyle name="Обычный 8 10 2 4 5" xfId="37338"/>
    <cellStyle name="Обычный 8 10 2 4 6" xfId="37339"/>
    <cellStyle name="Обычный 8 10 2 5" xfId="37340"/>
    <cellStyle name="Обычный 8 10 2 5 2" xfId="37341"/>
    <cellStyle name="Обычный 8 10 2 5 3" xfId="37342"/>
    <cellStyle name="Обычный 8 10 2 6" xfId="37343"/>
    <cellStyle name="Обычный 8 10 2 6 2" xfId="37344"/>
    <cellStyle name="Обычный 8 10 2 6 3" xfId="37345"/>
    <cellStyle name="Обычный 8 10 2 7" xfId="37346"/>
    <cellStyle name="Обычный 8 10 2 7 2" xfId="37347"/>
    <cellStyle name="Обычный 8 10 2 8" xfId="37348"/>
    <cellStyle name="Обычный 8 10 2 9" xfId="37349"/>
    <cellStyle name="Обычный 8 10 3" xfId="37350"/>
    <cellStyle name="Обычный 8 10 3 2" xfId="37351"/>
    <cellStyle name="Обычный 8 10 3 2 2" xfId="37352"/>
    <cellStyle name="Обычный 8 10 3 2 2 2" xfId="37353"/>
    <cellStyle name="Обычный 8 10 3 2 2 2 2" xfId="37354"/>
    <cellStyle name="Обычный 8 10 3 2 2 2 3" xfId="37355"/>
    <cellStyle name="Обычный 8 10 3 2 2 3" xfId="37356"/>
    <cellStyle name="Обычный 8 10 3 2 2 3 2" xfId="37357"/>
    <cellStyle name="Обычный 8 10 3 2 2 3 3" xfId="37358"/>
    <cellStyle name="Обычный 8 10 3 2 2 4" xfId="37359"/>
    <cellStyle name="Обычный 8 10 3 2 2 4 2" xfId="37360"/>
    <cellStyle name="Обычный 8 10 3 2 2 5" xfId="37361"/>
    <cellStyle name="Обычный 8 10 3 2 2 6" xfId="37362"/>
    <cellStyle name="Обычный 8 10 3 2 3" xfId="37363"/>
    <cellStyle name="Обычный 8 10 3 2 3 2" xfId="37364"/>
    <cellStyle name="Обычный 8 10 3 2 3 3" xfId="37365"/>
    <cellStyle name="Обычный 8 10 3 2 4" xfId="37366"/>
    <cellStyle name="Обычный 8 10 3 2 4 2" xfId="37367"/>
    <cellStyle name="Обычный 8 10 3 2 4 3" xfId="37368"/>
    <cellStyle name="Обычный 8 10 3 2 5" xfId="37369"/>
    <cellStyle name="Обычный 8 10 3 2 5 2" xfId="37370"/>
    <cellStyle name="Обычный 8 10 3 2 6" xfId="37371"/>
    <cellStyle name="Обычный 8 10 3 2 7" xfId="37372"/>
    <cellStyle name="Обычный 8 10 3 3" xfId="37373"/>
    <cellStyle name="Обычный 8 10 3 3 2" xfId="37374"/>
    <cellStyle name="Обычный 8 10 3 3 2 2" xfId="37375"/>
    <cellStyle name="Обычный 8 10 3 3 2 3" xfId="37376"/>
    <cellStyle name="Обычный 8 10 3 3 3" xfId="37377"/>
    <cellStyle name="Обычный 8 10 3 3 3 2" xfId="37378"/>
    <cellStyle name="Обычный 8 10 3 3 3 3" xfId="37379"/>
    <cellStyle name="Обычный 8 10 3 3 4" xfId="37380"/>
    <cellStyle name="Обычный 8 10 3 3 4 2" xfId="37381"/>
    <cellStyle name="Обычный 8 10 3 3 5" xfId="37382"/>
    <cellStyle name="Обычный 8 10 3 3 6" xfId="37383"/>
    <cellStyle name="Обычный 8 10 3 4" xfId="37384"/>
    <cellStyle name="Обычный 8 10 3 4 2" xfId="37385"/>
    <cellStyle name="Обычный 8 10 3 4 3" xfId="37386"/>
    <cellStyle name="Обычный 8 10 3 5" xfId="37387"/>
    <cellStyle name="Обычный 8 10 3 5 2" xfId="37388"/>
    <cellStyle name="Обычный 8 10 3 5 3" xfId="37389"/>
    <cellStyle name="Обычный 8 10 3 6" xfId="37390"/>
    <cellStyle name="Обычный 8 10 3 6 2" xfId="37391"/>
    <cellStyle name="Обычный 8 10 3 7" xfId="37392"/>
    <cellStyle name="Обычный 8 10 3 8" xfId="37393"/>
    <cellStyle name="Обычный 8 10 4" xfId="37394"/>
    <cellStyle name="Обычный 8 10 4 2" xfId="37395"/>
    <cellStyle name="Обычный 8 10 4 2 2" xfId="37396"/>
    <cellStyle name="Обычный 8 10 4 2 2 2" xfId="37397"/>
    <cellStyle name="Обычный 8 10 4 2 2 3" xfId="37398"/>
    <cellStyle name="Обычный 8 10 4 2 3" xfId="37399"/>
    <cellStyle name="Обычный 8 10 4 2 3 2" xfId="37400"/>
    <cellStyle name="Обычный 8 10 4 2 3 3" xfId="37401"/>
    <cellStyle name="Обычный 8 10 4 2 4" xfId="37402"/>
    <cellStyle name="Обычный 8 10 4 2 4 2" xfId="37403"/>
    <cellStyle name="Обычный 8 10 4 2 5" xfId="37404"/>
    <cellStyle name="Обычный 8 10 4 2 6" xfId="37405"/>
    <cellStyle name="Обычный 8 10 4 3" xfId="37406"/>
    <cellStyle name="Обычный 8 10 4 3 2" xfId="37407"/>
    <cellStyle name="Обычный 8 10 4 3 3" xfId="37408"/>
    <cellStyle name="Обычный 8 10 4 4" xfId="37409"/>
    <cellStyle name="Обычный 8 10 4 4 2" xfId="37410"/>
    <cellStyle name="Обычный 8 10 4 4 3" xfId="37411"/>
    <cellStyle name="Обычный 8 10 4 5" xfId="37412"/>
    <cellStyle name="Обычный 8 10 4 5 2" xfId="37413"/>
    <cellStyle name="Обычный 8 10 4 6" xfId="37414"/>
    <cellStyle name="Обычный 8 10 4 7" xfId="37415"/>
    <cellStyle name="Обычный 8 10 5" xfId="37416"/>
    <cellStyle name="Обычный 8 10 5 2" xfId="37417"/>
    <cellStyle name="Обычный 8 10 5 2 2" xfId="37418"/>
    <cellStyle name="Обычный 8 10 5 2 3" xfId="37419"/>
    <cellStyle name="Обычный 8 10 5 3" xfId="37420"/>
    <cellStyle name="Обычный 8 10 5 3 2" xfId="37421"/>
    <cellStyle name="Обычный 8 10 5 3 3" xfId="37422"/>
    <cellStyle name="Обычный 8 10 5 4" xfId="37423"/>
    <cellStyle name="Обычный 8 10 5 4 2" xfId="37424"/>
    <cellStyle name="Обычный 8 10 5 5" xfId="37425"/>
    <cellStyle name="Обычный 8 10 5 6" xfId="37426"/>
    <cellStyle name="Обычный 8 10 6" xfId="37427"/>
    <cellStyle name="Обычный 8 10 6 2" xfId="37428"/>
    <cellStyle name="Обычный 8 10 6 3" xfId="37429"/>
    <cellStyle name="Обычный 8 10 7" xfId="37430"/>
    <cellStyle name="Обычный 8 10 7 2" xfId="37431"/>
    <cellStyle name="Обычный 8 10 7 3" xfId="37432"/>
    <cellStyle name="Обычный 8 10 8" xfId="37433"/>
    <cellStyle name="Обычный 8 10 8 2" xfId="37434"/>
    <cellStyle name="Обычный 8 10 9" xfId="37435"/>
    <cellStyle name="Обычный 8 11" xfId="37436"/>
    <cellStyle name="Обычный 8 11 10" xfId="37437"/>
    <cellStyle name="Обычный 8 11 2" xfId="37438"/>
    <cellStyle name="Обычный 8 11 2 2" xfId="37439"/>
    <cellStyle name="Обычный 8 11 2 2 2" xfId="37440"/>
    <cellStyle name="Обычный 8 11 2 2 2 2" xfId="37441"/>
    <cellStyle name="Обычный 8 11 2 2 2 2 2" xfId="37442"/>
    <cellStyle name="Обычный 8 11 2 2 2 2 2 2" xfId="37443"/>
    <cellStyle name="Обычный 8 11 2 2 2 2 2 3" xfId="37444"/>
    <cellStyle name="Обычный 8 11 2 2 2 2 3" xfId="37445"/>
    <cellStyle name="Обычный 8 11 2 2 2 2 3 2" xfId="37446"/>
    <cellStyle name="Обычный 8 11 2 2 2 2 3 3" xfId="37447"/>
    <cellStyle name="Обычный 8 11 2 2 2 2 4" xfId="37448"/>
    <cellStyle name="Обычный 8 11 2 2 2 2 4 2" xfId="37449"/>
    <cellStyle name="Обычный 8 11 2 2 2 2 5" xfId="37450"/>
    <cellStyle name="Обычный 8 11 2 2 2 2 6" xfId="37451"/>
    <cellStyle name="Обычный 8 11 2 2 2 3" xfId="37452"/>
    <cellStyle name="Обычный 8 11 2 2 2 3 2" xfId="37453"/>
    <cellStyle name="Обычный 8 11 2 2 2 3 3" xfId="37454"/>
    <cellStyle name="Обычный 8 11 2 2 2 4" xfId="37455"/>
    <cellStyle name="Обычный 8 11 2 2 2 4 2" xfId="37456"/>
    <cellStyle name="Обычный 8 11 2 2 2 4 3" xfId="37457"/>
    <cellStyle name="Обычный 8 11 2 2 2 5" xfId="37458"/>
    <cellStyle name="Обычный 8 11 2 2 2 5 2" xfId="37459"/>
    <cellStyle name="Обычный 8 11 2 2 2 6" xfId="37460"/>
    <cellStyle name="Обычный 8 11 2 2 2 7" xfId="37461"/>
    <cellStyle name="Обычный 8 11 2 2 3" xfId="37462"/>
    <cellStyle name="Обычный 8 11 2 2 3 2" xfId="37463"/>
    <cellStyle name="Обычный 8 11 2 2 3 2 2" xfId="37464"/>
    <cellStyle name="Обычный 8 11 2 2 3 2 3" xfId="37465"/>
    <cellStyle name="Обычный 8 11 2 2 3 3" xfId="37466"/>
    <cellStyle name="Обычный 8 11 2 2 3 3 2" xfId="37467"/>
    <cellStyle name="Обычный 8 11 2 2 3 3 3" xfId="37468"/>
    <cellStyle name="Обычный 8 11 2 2 3 4" xfId="37469"/>
    <cellStyle name="Обычный 8 11 2 2 3 4 2" xfId="37470"/>
    <cellStyle name="Обычный 8 11 2 2 3 5" xfId="37471"/>
    <cellStyle name="Обычный 8 11 2 2 3 6" xfId="37472"/>
    <cellStyle name="Обычный 8 11 2 2 4" xfId="37473"/>
    <cellStyle name="Обычный 8 11 2 2 4 2" xfId="37474"/>
    <cellStyle name="Обычный 8 11 2 2 4 3" xfId="37475"/>
    <cellStyle name="Обычный 8 11 2 2 5" xfId="37476"/>
    <cellStyle name="Обычный 8 11 2 2 5 2" xfId="37477"/>
    <cellStyle name="Обычный 8 11 2 2 5 3" xfId="37478"/>
    <cellStyle name="Обычный 8 11 2 2 6" xfId="37479"/>
    <cellStyle name="Обычный 8 11 2 2 6 2" xfId="37480"/>
    <cellStyle name="Обычный 8 11 2 2 7" xfId="37481"/>
    <cellStyle name="Обычный 8 11 2 2 8" xfId="37482"/>
    <cellStyle name="Обычный 8 11 2 3" xfId="37483"/>
    <cellStyle name="Обычный 8 11 2 3 2" xfId="37484"/>
    <cellStyle name="Обычный 8 11 2 3 2 2" xfId="37485"/>
    <cellStyle name="Обычный 8 11 2 3 2 2 2" xfId="37486"/>
    <cellStyle name="Обычный 8 11 2 3 2 2 3" xfId="37487"/>
    <cellStyle name="Обычный 8 11 2 3 2 3" xfId="37488"/>
    <cellStyle name="Обычный 8 11 2 3 2 3 2" xfId="37489"/>
    <cellStyle name="Обычный 8 11 2 3 2 3 3" xfId="37490"/>
    <cellStyle name="Обычный 8 11 2 3 2 4" xfId="37491"/>
    <cellStyle name="Обычный 8 11 2 3 2 4 2" xfId="37492"/>
    <cellStyle name="Обычный 8 11 2 3 2 5" xfId="37493"/>
    <cellStyle name="Обычный 8 11 2 3 2 6" xfId="37494"/>
    <cellStyle name="Обычный 8 11 2 3 3" xfId="37495"/>
    <cellStyle name="Обычный 8 11 2 3 3 2" xfId="37496"/>
    <cellStyle name="Обычный 8 11 2 3 3 3" xfId="37497"/>
    <cellStyle name="Обычный 8 11 2 3 4" xfId="37498"/>
    <cellStyle name="Обычный 8 11 2 3 4 2" xfId="37499"/>
    <cellStyle name="Обычный 8 11 2 3 4 3" xfId="37500"/>
    <cellStyle name="Обычный 8 11 2 3 5" xfId="37501"/>
    <cellStyle name="Обычный 8 11 2 3 5 2" xfId="37502"/>
    <cellStyle name="Обычный 8 11 2 3 6" xfId="37503"/>
    <cellStyle name="Обычный 8 11 2 3 7" xfId="37504"/>
    <cellStyle name="Обычный 8 11 2 4" xfId="37505"/>
    <cellStyle name="Обычный 8 11 2 4 2" xfId="37506"/>
    <cellStyle name="Обычный 8 11 2 4 2 2" xfId="37507"/>
    <cellStyle name="Обычный 8 11 2 4 2 3" xfId="37508"/>
    <cellStyle name="Обычный 8 11 2 4 3" xfId="37509"/>
    <cellStyle name="Обычный 8 11 2 4 3 2" xfId="37510"/>
    <cellStyle name="Обычный 8 11 2 4 3 3" xfId="37511"/>
    <cellStyle name="Обычный 8 11 2 4 4" xfId="37512"/>
    <cellStyle name="Обычный 8 11 2 4 4 2" xfId="37513"/>
    <cellStyle name="Обычный 8 11 2 4 5" xfId="37514"/>
    <cellStyle name="Обычный 8 11 2 4 6" xfId="37515"/>
    <cellStyle name="Обычный 8 11 2 5" xfId="37516"/>
    <cellStyle name="Обычный 8 11 2 5 2" xfId="37517"/>
    <cellStyle name="Обычный 8 11 2 5 3" xfId="37518"/>
    <cellStyle name="Обычный 8 11 2 6" xfId="37519"/>
    <cellStyle name="Обычный 8 11 2 6 2" xfId="37520"/>
    <cellStyle name="Обычный 8 11 2 6 3" xfId="37521"/>
    <cellStyle name="Обычный 8 11 2 7" xfId="37522"/>
    <cellStyle name="Обычный 8 11 2 7 2" xfId="37523"/>
    <cellStyle name="Обычный 8 11 2 8" xfId="37524"/>
    <cellStyle name="Обычный 8 11 2 9" xfId="37525"/>
    <cellStyle name="Обычный 8 11 3" xfId="37526"/>
    <cellStyle name="Обычный 8 11 3 2" xfId="37527"/>
    <cellStyle name="Обычный 8 11 3 2 2" xfId="37528"/>
    <cellStyle name="Обычный 8 11 3 2 2 2" xfId="37529"/>
    <cellStyle name="Обычный 8 11 3 2 2 2 2" xfId="37530"/>
    <cellStyle name="Обычный 8 11 3 2 2 2 3" xfId="37531"/>
    <cellStyle name="Обычный 8 11 3 2 2 3" xfId="37532"/>
    <cellStyle name="Обычный 8 11 3 2 2 3 2" xfId="37533"/>
    <cellStyle name="Обычный 8 11 3 2 2 3 3" xfId="37534"/>
    <cellStyle name="Обычный 8 11 3 2 2 4" xfId="37535"/>
    <cellStyle name="Обычный 8 11 3 2 2 4 2" xfId="37536"/>
    <cellStyle name="Обычный 8 11 3 2 2 5" xfId="37537"/>
    <cellStyle name="Обычный 8 11 3 2 2 6" xfId="37538"/>
    <cellStyle name="Обычный 8 11 3 2 3" xfId="37539"/>
    <cellStyle name="Обычный 8 11 3 2 3 2" xfId="37540"/>
    <cellStyle name="Обычный 8 11 3 2 3 3" xfId="37541"/>
    <cellStyle name="Обычный 8 11 3 2 4" xfId="37542"/>
    <cellStyle name="Обычный 8 11 3 2 4 2" xfId="37543"/>
    <cellStyle name="Обычный 8 11 3 2 4 3" xfId="37544"/>
    <cellStyle name="Обычный 8 11 3 2 5" xfId="37545"/>
    <cellStyle name="Обычный 8 11 3 2 5 2" xfId="37546"/>
    <cellStyle name="Обычный 8 11 3 2 6" xfId="37547"/>
    <cellStyle name="Обычный 8 11 3 2 7" xfId="37548"/>
    <cellStyle name="Обычный 8 11 3 3" xfId="37549"/>
    <cellStyle name="Обычный 8 11 3 3 2" xfId="37550"/>
    <cellStyle name="Обычный 8 11 3 3 2 2" xfId="37551"/>
    <cellStyle name="Обычный 8 11 3 3 2 3" xfId="37552"/>
    <cellStyle name="Обычный 8 11 3 3 3" xfId="37553"/>
    <cellStyle name="Обычный 8 11 3 3 3 2" xfId="37554"/>
    <cellStyle name="Обычный 8 11 3 3 3 3" xfId="37555"/>
    <cellStyle name="Обычный 8 11 3 3 4" xfId="37556"/>
    <cellStyle name="Обычный 8 11 3 3 4 2" xfId="37557"/>
    <cellStyle name="Обычный 8 11 3 3 5" xfId="37558"/>
    <cellStyle name="Обычный 8 11 3 3 6" xfId="37559"/>
    <cellStyle name="Обычный 8 11 3 4" xfId="37560"/>
    <cellStyle name="Обычный 8 11 3 4 2" xfId="37561"/>
    <cellStyle name="Обычный 8 11 3 4 3" xfId="37562"/>
    <cellStyle name="Обычный 8 11 3 5" xfId="37563"/>
    <cellStyle name="Обычный 8 11 3 5 2" xfId="37564"/>
    <cellStyle name="Обычный 8 11 3 5 3" xfId="37565"/>
    <cellStyle name="Обычный 8 11 3 6" xfId="37566"/>
    <cellStyle name="Обычный 8 11 3 6 2" xfId="37567"/>
    <cellStyle name="Обычный 8 11 3 7" xfId="37568"/>
    <cellStyle name="Обычный 8 11 3 8" xfId="37569"/>
    <cellStyle name="Обычный 8 11 4" xfId="37570"/>
    <cellStyle name="Обычный 8 11 4 2" xfId="37571"/>
    <cellStyle name="Обычный 8 11 4 2 2" xfId="37572"/>
    <cellStyle name="Обычный 8 11 4 2 2 2" xfId="37573"/>
    <cellStyle name="Обычный 8 11 4 2 2 3" xfId="37574"/>
    <cellStyle name="Обычный 8 11 4 2 3" xfId="37575"/>
    <cellStyle name="Обычный 8 11 4 2 3 2" xfId="37576"/>
    <cellStyle name="Обычный 8 11 4 2 3 3" xfId="37577"/>
    <cellStyle name="Обычный 8 11 4 2 4" xfId="37578"/>
    <cellStyle name="Обычный 8 11 4 2 4 2" xfId="37579"/>
    <cellStyle name="Обычный 8 11 4 2 5" xfId="37580"/>
    <cellStyle name="Обычный 8 11 4 2 6" xfId="37581"/>
    <cellStyle name="Обычный 8 11 4 3" xfId="37582"/>
    <cellStyle name="Обычный 8 11 4 3 2" xfId="37583"/>
    <cellStyle name="Обычный 8 11 4 3 3" xfId="37584"/>
    <cellStyle name="Обычный 8 11 4 4" xfId="37585"/>
    <cellStyle name="Обычный 8 11 4 4 2" xfId="37586"/>
    <cellStyle name="Обычный 8 11 4 4 3" xfId="37587"/>
    <cellStyle name="Обычный 8 11 4 5" xfId="37588"/>
    <cellStyle name="Обычный 8 11 4 5 2" xfId="37589"/>
    <cellStyle name="Обычный 8 11 4 6" xfId="37590"/>
    <cellStyle name="Обычный 8 11 4 7" xfId="37591"/>
    <cellStyle name="Обычный 8 11 5" xfId="37592"/>
    <cellStyle name="Обычный 8 11 5 2" xfId="37593"/>
    <cellStyle name="Обычный 8 11 5 2 2" xfId="37594"/>
    <cellStyle name="Обычный 8 11 5 2 3" xfId="37595"/>
    <cellStyle name="Обычный 8 11 5 3" xfId="37596"/>
    <cellStyle name="Обычный 8 11 5 3 2" xfId="37597"/>
    <cellStyle name="Обычный 8 11 5 3 3" xfId="37598"/>
    <cellStyle name="Обычный 8 11 5 4" xfId="37599"/>
    <cellStyle name="Обычный 8 11 5 4 2" xfId="37600"/>
    <cellStyle name="Обычный 8 11 5 5" xfId="37601"/>
    <cellStyle name="Обычный 8 11 5 6" xfId="37602"/>
    <cellStyle name="Обычный 8 11 6" xfId="37603"/>
    <cellStyle name="Обычный 8 11 6 2" xfId="37604"/>
    <cellStyle name="Обычный 8 11 6 3" xfId="37605"/>
    <cellStyle name="Обычный 8 11 7" xfId="37606"/>
    <cellStyle name="Обычный 8 11 7 2" xfId="37607"/>
    <cellStyle name="Обычный 8 11 7 3" xfId="37608"/>
    <cellStyle name="Обычный 8 11 8" xfId="37609"/>
    <cellStyle name="Обычный 8 11 8 2" xfId="37610"/>
    <cellStyle name="Обычный 8 11 9" xfId="37611"/>
    <cellStyle name="Обычный 8 12" xfId="37612"/>
    <cellStyle name="Обычный 8 12 10" xfId="37613"/>
    <cellStyle name="Обычный 8 12 2" xfId="37614"/>
    <cellStyle name="Обычный 8 12 2 2" xfId="37615"/>
    <cellStyle name="Обычный 8 12 2 2 2" xfId="37616"/>
    <cellStyle name="Обычный 8 12 2 2 2 2" xfId="37617"/>
    <cellStyle name="Обычный 8 12 2 2 2 2 2" xfId="37618"/>
    <cellStyle name="Обычный 8 12 2 2 2 2 2 2" xfId="37619"/>
    <cellStyle name="Обычный 8 12 2 2 2 2 2 3" xfId="37620"/>
    <cellStyle name="Обычный 8 12 2 2 2 2 3" xfId="37621"/>
    <cellStyle name="Обычный 8 12 2 2 2 2 3 2" xfId="37622"/>
    <cellStyle name="Обычный 8 12 2 2 2 2 3 3" xfId="37623"/>
    <cellStyle name="Обычный 8 12 2 2 2 2 4" xfId="37624"/>
    <cellStyle name="Обычный 8 12 2 2 2 2 4 2" xfId="37625"/>
    <cellStyle name="Обычный 8 12 2 2 2 2 5" xfId="37626"/>
    <cellStyle name="Обычный 8 12 2 2 2 2 6" xfId="37627"/>
    <cellStyle name="Обычный 8 12 2 2 2 3" xfId="37628"/>
    <cellStyle name="Обычный 8 12 2 2 2 3 2" xfId="37629"/>
    <cellStyle name="Обычный 8 12 2 2 2 3 3" xfId="37630"/>
    <cellStyle name="Обычный 8 12 2 2 2 4" xfId="37631"/>
    <cellStyle name="Обычный 8 12 2 2 2 4 2" xfId="37632"/>
    <cellStyle name="Обычный 8 12 2 2 2 4 3" xfId="37633"/>
    <cellStyle name="Обычный 8 12 2 2 2 5" xfId="37634"/>
    <cellStyle name="Обычный 8 12 2 2 2 5 2" xfId="37635"/>
    <cellStyle name="Обычный 8 12 2 2 2 6" xfId="37636"/>
    <cellStyle name="Обычный 8 12 2 2 2 7" xfId="37637"/>
    <cellStyle name="Обычный 8 12 2 2 3" xfId="37638"/>
    <cellStyle name="Обычный 8 12 2 2 3 2" xfId="37639"/>
    <cellStyle name="Обычный 8 12 2 2 3 2 2" xfId="37640"/>
    <cellStyle name="Обычный 8 12 2 2 3 2 3" xfId="37641"/>
    <cellStyle name="Обычный 8 12 2 2 3 3" xfId="37642"/>
    <cellStyle name="Обычный 8 12 2 2 3 3 2" xfId="37643"/>
    <cellStyle name="Обычный 8 12 2 2 3 3 3" xfId="37644"/>
    <cellStyle name="Обычный 8 12 2 2 3 4" xfId="37645"/>
    <cellStyle name="Обычный 8 12 2 2 3 4 2" xfId="37646"/>
    <cellStyle name="Обычный 8 12 2 2 3 5" xfId="37647"/>
    <cellStyle name="Обычный 8 12 2 2 3 6" xfId="37648"/>
    <cellStyle name="Обычный 8 12 2 2 4" xfId="37649"/>
    <cellStyle name="Обычный 8 12 2 2 4 2" xfId="37650"/>
    <cellStyle name="Обычный 8 12 2 2 4 3" xfId="37651"/>
    <cellStyle name="Обычный 8 12 2 2 5" xfId="37652"/>
    <cellStyle name="Обычный 8 12 2 2 5 2" xfId="37653"/>
    <cellStyle name="Обычный 8 12 2 2 5 3" xfId="37654"/>
    <cellStyle name="Обычный 8 12 2 2 6" xfId="37655"/>
    <cellStyle name="Обычный 8 12 2 2 6 2" xfId="37656"/>
    <cellStyle name="Обычный 8 12 2 2 7" xfId="37657"/>
    <cellStyle name="Обычный 8 12 2 2 8" xfId="37658"/>
    <cellStyle name="Обычный 8 12 2 3" xfId="37659"/>
    <cellStyle name="Обычный 8 12 2 3 2" xfId="37660"/>
    <cellStyle name="Обычный 8 12 2 3 2 2" xfId="37661"/>
    <cellStyle name="Обычный 8 12 2 3 2 2 2" xfId="37662"/>
    <cellStyle name="Обычный 8 12 2 3 2 2 3" xfId="37663"/>
    <cellStyle name="Обычный 8 12 2 3 2 3" xfId="37664"/>
    <cellStyle name="Обычный 8 12 2 3 2 3 2" xfId="37665"/>
    <cellStyle name="Обычный 8 12 2 3 2 3 3" xfId="37666"/>
    <cellStyle name="Обычный 8 12 2 3 2 4" xfId="37667"/>
    <cellStyle name="Обычный 8 12 2 3 2 4 2" xfId="37668"/>
    <cellStyle name="Обычный 8 12 2 3 2 5" xfId="37669"/>
    <cellStyle name="Обычный 8 12 2 3 2 6" xfId="37670"/>
    <cellStyle name="Обычный 8 12 2 3 3" xfId="37671"/>
    <cellStyle name="Обычный 8 12 2 3 3 2" xfId="37672"/>
    <cellStyle name="Обычный 8 12 2 3 3 3" xfId="37673"/>
    <cellStyle name="Обычный 8 12 2 3 4" xfId="37674"/>
    <cellStyle name="Обычный 8 12 2 3 4 2" xfId="37675"/>
    <cellStyle name="Обычный 8 12 2 3 4 3" xfId="37676"/>
    <cellStyle name="Обычный 8 12 2 3 5" xfId="37677"/>
    <cellStyle name="Обычный 8 12 2 3 5 2" xfId="37678"/>
    <cellStyle name="Обычный 8 12 2 3 6" xfId="37679"/>
    <cellStyle name="Обычный 8 12 2 3 7" xfId="37680"/>
    <cellStyle name="Обычный 8 12 2 4" xfId="37681"/>
    <cellStyle name="Обычный 8 12 2 4 2" xfId="37682"/>
    <cellStyle name="Обычный 8 12 2 4 2 2" xfId="37683"/>
    <cellStyle name="Обычный 8 12 2 4 2 3" xfId="37684"/>
    <cellStyle name="Обычный 8 12 2 4 3" xfId="37685"/>
    <cellStyle name="Обычный 8 12 2 4 3 2" xfId="37686"/>
    <cellStyle name="Обычный 8 12 2 4 3 3" xfId="37687"/>
    <cellStyle name="Обычный 8 12 2 4 4" xfId="37688"/>
    <cellStyle name="Обычный 8 12 2 4 4 2" xfId="37689"/>
    <cellStyle name="Обычный 8 12 2 4 5" xfId="37690"/>
    <cellStyle name="Обычный 8 12 2 4 6" xfId="37691"/>
    <cellStyle name="Обычный 8 12 2 5" xfId="37692"/>
    <cellStyle name="Обычный 8 12 2 5 2" xfId="37693"/>
    <cellStyle name="Обычный 8 12 2 5 3" xfId="37694"/>
    <cellStyle name="Обычный 8 12 2 6" xfId="37695"/>
    <cellStyle name="Обычный 8 12 2 6 2" xfId="37696"/>
    <cellStyle name="Обычный 8 12 2 6 3" xfId="37697"/>
    <cellStyle name="Обычный 8 12 2 7" xfId="37698"/>
    <cellStyle name="Обычный 8 12 2 7 2" xfId="37699"/>
    <cellStyle name="Обычный 8 12 2 8" xfId="37700"/>
    <cellStyle name="Обычный 8 12 2 9" xfId="37701"/>
    <cellStyle name="Обычный 8 12 3" xfId="37702"/>
    <cellStyle name="Обычный 8 12 3 2" xfId="37703"/>
    <cellStyle name="Обычный 8 12 3 2 2" xfId="37704"/>
    <cellStyle name="Обычный 8 12 3 2 2 2" xfId="37705"/>
    <cellStyle name="Обычный 8 12 3 2 2 2 2" xfId="37706"/>
    <cellStyle name="Обычный 8 12 3 2 2 2 3" xfId="37707"/>
    <cellStyle name="Обычный 8 12 3 2 2 3" xfId="37708"/>
    <cellStyle name="Обычный 8 12 3 2 2 3 2" xfId="37709"/>
    <cellStyle name="Обычный 8 12 3 2 2 3 3" xfId="37710"/>
    <cellStyle name="Обычный 8 12 3 2 2 4" xfId="37711"/>
    <cellStyle name="Обычный 8 12 3 2 2 4 2" xfId="37712"/>
    <cellStyle name="Обычный 8 12 3 2 2 5" xfId="37713"/>
    <cellStyle name="Обычный 8 12 3 2 2 6" xfId="37714"/>
    <cellStyle name="Обычный 8 12 3 2 3" xfId="37715"/>
    <cellStyle name="Обычный 8 12 3 2 3 2" xfId="37716"/>
    <cellStyle name="Обычный 8 12 3 2 3 3" xfId="37717"/>
    <cellStyle name="Обычный 8 12 3 2 4" xfId="37718"/>
    <cellStyle name="Обычный 8 12 3 2 4 2" xfId="37719"/>
    <cellStyle name="Обычный 8 12 3 2 4 3" xfId="37720"/>
    <cellStyle name="Обычный 8 12 3 2 5" xfId="37721"/>
    <cellStyle name="Обычный 8 12 3 2 5 2" xfId="37722"/>
    <cellStyle name="Обычный 8 12 3 2 6" xfId="37723"/>
    <cellStyle name="Обычный 8 12 3 2 7" xfId="37724"/>
    <cellStyle name="Обычный 8 12 3 3" xfId="37725"/>
    <cellStyle name="Обычный 8 12 3 3 2" xfId="37726"/>
    <cellStyle name="Обычный 8 12 3 3 2 2" xfId="37727"/>
    <cellStyle name="Обычный 8 12 3 3 2 3" xfId="37728"/>
    <cellStyle name="Обычный 8 12 3 3 3" xfId="37729"/>
    <cellStyle name="Обычный 8 12 3 3 3 2" xfId="37730"/>
    <cellStyle name="Обычный 8 12 3 3 3 3" xfId="37731"/>
    <cellStyle name="Обычный 8 12 3 3 4" xfId="37732"/>
    <cellStyle name="Обычный 8 12 3 3 4 2" xfId="37733"/>
    <cellStyle name="Обычный 8 12 3 3 5" xfId="37734"/>
    <cellStyle name="Обычный 8 12 3 3 6" xfId="37735"/>
    <cellStyle name="Обычный 8 12 3 4" xfId="37736"/>
    <cellStyle name="Обычный 8 12 3 4 2" xfId="37737"/>
    <cellStyle name="Обычный 8 12 3 4 3" xfId="37738"/>
    <cellStyle name="Обычный 8 12 3 5" xfId="37739"/>
    <cellStyle name="Обычный 8 12 3 5 2" xfId="37740"/>
    <cellStyle name="Обычный 8 12 3 5 3" xfId="37741"/>
    <cellStyle name="Обычный 8 12 3 6" xfId="37742"/>
    <cellStyle name="Обычный 8 12 3 6 2" xfId="37743"/>
    <cellStyle name="Обычный 8 12 3 7" xfId="37744"/>
    <cellStyle name="Обычный 8 12 3 8" xfId="37745"/>
    <cellStyle name="Обычный 8 12 4" xfId="37746"/>
    <cellStyle name="Обычный 8 12 4 2" xfId="37747"/>
    <cellStyle name="Обычный 8 12 4 2 2" xfId="37748"/>
    <cellStyle name="Обычный 8 12 4 2 2 2" xfId="37749"/>
    <cellStyle name="Обычный 8 12 4 2 2 3" xfId="37750"/>
    <cellStyle name="Обычный 8 12 4 2 3" xfId="37751"/>
    <cellStyle name="Обычный 8 12 4 2 3 2" xfId="37752"/>
    <cellStyle name="Обычный 8 12 4 2 3 3" xfId="37753"/>
    <cellStyle name="Обычный 8 12 4 2 4" xfId="37754"/>
    <cellStyle name="Обычный 8 12 4 2 4 2" xfId="37755"/>
    <cellStyle name="Обычный 8 12 4 2 5" xfId="37756"/>
    <cellStyle name="Обычный 8 12 4 2 6" xfId="37757"/>
    <cellStyle name="Обычный 8 12 4 3" xfId="37758"/>
    <cellStyle name="Обычный 8 12 4 3 2" xfId="37759"/>
    <cellStyle name="Обычный 8 12 4 3 3" xfId="37760"/>
    <cellStyle name="Обычный 8 12 4 4" xfId="37761"/>
    <cellStyle name="Обычный 8 12 4 4 2" xfId="37762"/>
    <cellStyle name="Обычный 8 12 4 4 3" xfId="37763"/>
    <cellStyle name="Обычный 8 12 4 5" xfId="37764"/>
    <cellStyle name="Обычный 8 12 4 5 2" xfId="37765"/>
    <cellStyle name="Обычный 8 12 4 6" xfId="37766"/>
    <cellStyle name="Обычный 8 12 4 7" xfId="37767"/>
    <cellStyle name="Обычный 8 12 5" xfId="37768"/>
    <cellStyle name="Обычный 8 12 5 2" xfId="37769"/>
    <cellStyle name="Обычный 8 12 5 2 2" xfId="37770"/>
    <cellStyle name="Обычный 8 12 5 2 3" xfId="37771"/>
    <cellStyle name="Обычный 8 12 5 3" xfId="37772"/>
    <cellStyle name="Обычный 8 12 5 3 2" xfId="37773"/>
    <cellStyle name="Обычный 8 12 5 3 3" xfId="37774"/>
    <cellStyle name="Обычный 8 12 5 4" xfId="37775"/>
    <cellStyle name="Обычный 8 12 5 4 2" xfId="37776"/>
    <cellStyle name="Обычный 8 12 5 5" xfId="37777"/>
    <cellStyle name="Обычный 8 12 5 6" xfId="37778"/>
    <cellStyle name="Обычный 8 12 6" xfId="37779"/>
    <cellStyle name="Обычный 8 12 6 2" xfId="37780"/>
    <cellStyle name="Обычный 8 12 6 3" xfId="37781"/>
    <cellStyle name="Обычный 8 12 7" xfId="37782"/>
    <cellStyle name="Обычный 8 12 7 2" xfId="37783"/>
    <cellStyle name="Обычный 8 12 7 3" xfId="37784"/>
    <cellStyle name="Обычный 8 12 8" xfId="37785"/>
    <cellStyle name="Обычный 8 12 8 2" xfId="37786"/>
    <cellStyle name="Обычный 8 12 9" xfId="37787"/>
    <cellStyle name="Обычный 8 13" xfId="37788"/>
    <cellStyle name="Обычный 8 13 2" xfId="37789"/>
    <cellStyle name="Обычный 8 13 2 2" xfId="37790"/>
    <cellStyle name="Обычный 8 13 2 2 2" xfId="37791"/>
    <cellStyle name="Обычный 8 13 2 2 2 2" xfId="37792"/>
    <cellStyle name="Обычный 8 13 2 2 2 2 2" xfId="37793"/>
    <cellStyle name="Обычный 8 13 2 2 2 2 3" xfId="37794"/>
    <cellStyle name="Обычный 8 13 2 2 2 3" xfId="37795"/>
    <cellStyle name="Обычный 8 13 2 2 2 3 2" xfId="37796"/>
    <cellStyle name="Обычный 8 13 2 2 2 3 3" xfId="37797"/>
    <cellStyle name="Обычный 8 13 2 2 2 4" xfId="37798"/>
    <cellStyle name="Обычный 8 13 2 2 2 4 2" xfId="37799"/>
    <cellStyle name="Обычный 8 13 2 2 2 5" xfId="37800"/>
    <cellStyle name="Обычный 8 13 2 2 2 6" xfId="37801"/>
    <cellStyle name="Обычный 8 13 2 2 3" xfId="37802"/>
    <cellStyle name="Обычный 8 13 2 2 3 2" xfId="37803"/>
    <cellStyle name="Обычный 8 13 2 2 3 3" xfId="37804"/>
    <cellStyle name="Обычный 8 13 2 2 4" xfId="37805"/>
    <cellStyle name="Обычный 8 13 2 2 4 2" xfId="37806"/>
    <cellStyle name="Обычный 8 13 2 2 4 3" xfId="37807"/>
    <cellStyle name="Обычный 8 13 2 2 5" xfId="37808"/>
    <cellStyle name="Обычный 8 13 2 2 5 2" xfId="37809"/>
    <cellStyle name="Обычный 8 13 2 2 6" xfId="37810"/>
    <cellStyle name="Обычный 8 13 2 2 7" xfId="37811"/>
    <cellStyle name="Обычный 8 13 2 3" xfId="37812"/>
    <cellStyle name="Обычный 8 13 2 3 2" xfId="37813"/>
    <cellStyle name="Обычный 8 13 2 3 2 2" xfId="37814"/>
    <cellStyle name="Обычный 8 13 2 3 2 3" xfId="37815"/>
    <cellStyle name="Обычный 8 13 2 3 3" xfId="37816"/>
    <cellStyle name="Обычный 8 13 2 3 3 2" xfId="37817"/>
    <cellStyle name="Обычный 8 13 2 3 3 3" xfId="37818"/>
    <cellStyle name="Обычный 8 13 2 3 4" xfId="37819"/>
    <cellStyle name="Обычный 8 13 2 3 4 2" xfId="37820"/>
    <cellStyle name="Обычный 8 13 2 3 5" xfId="37821"/>
    <cellStyle name="Обычный 8 13 2 3 6" xfId="37822"/>
    <cellStyle name="Обычный 8 13 2 4" xfId="37823"/>
    <cellStyle name="Обычный 8 13 2 4 2" xfId="37824"/>
    <cellStyle name="Обычный 8 13 2 4 3" xfId="37825"/>
    <cellStyle name="Обычный 8 13 2 5" xfId="37826"/>
    <cellStyle name="Обычный 8 13 2 5 2" xfId="37827"/>
    <cellStyle name="Обычный 8 13 2 5 3" xfId="37828"/>
    <cellStyle name="Обычный 8 13 2 6" xfId="37829"/>
    <cellStyle name="Обычный 8 13 2 6 2" xfId="37830"/>
    <cellStyle name="Обычный 8 13 2 7" xfId="37831"/>
    <cellStyle name="Обычный 8 13 2 8" xfId="37832"/>
    <cellStyle name="Обычный 8 13 3" xfId="37833"/>
    <cellStyle name="Обычный 8 13 3 2" xfId="37834"/>
    <cellStyle name="Обычный 8 13 3 2 2" xfId="37835"/>
    <cellStyle name="Обычный 8 13 3 2 2 2" xfId="37836"/>
    <cellStyle name="Обычный 8 13 3 2 2 3" xfId="37837"/>
    <cellStyle name="Обычный 8 13 3 2 3" xfId="37838"/>
    <cellStyle name="Обычный 8 13 3 2 3 2" xfId="37839"/>
    <cellStyle name="Обычный 8 13 3 2 3 3" xfId="37840"/>
    <cellStyle name="Обычный 8 13 3 2 4" xfId="37841"/>
    <cellStyle name="Обычный 8 13 3 2 4 2" xfId="37842"/>
    <cellStyle name="Обычный 8 13 3 2 5" xfId="37843"/>
    <cellStyle name="Обычный 8 13 3 2 6" xfId="37844"/>
    <cellStyle name="Обычный 8 13 3 3" xfId="37845"/>
    <cellStyle name="Обычный 8 13 3 3 2" xfId="37846"/>
    <cellStyle name="Обычный 8 13 3 3 3" xfId="37847"/>
    <cellStyle name="Обычный 8 13 3 4" xfId="37848"/>
    <cellStyle name="Обычный 8 13 3 4 2" xfId="37849"/>
    <cellStyle name="Обычный 8 13 3 4 3" xfId="37850"/>
    <cellStyle name="Обычный 8 13 3 5" xfId="37851"/>
    <cellStyle name="Обычный 8 13 3 5 2" xfId="37852"/>
    <cellStyle name="Обычный 8 13 3 6" xfId="37853"/>
    <cellStyle name="Обычный 8 13 3 7" xfId="37854"/>
    <cellStyle name="Обычный 8 13 4" xfId="37855"/>
    <cellStyle name="Обычный 8 13 4 2" xfId="37856"/>
    <cellStyle name="Обычный 8 13 4 2 2" xfId="37857"/>
    <cellStyle name="Обычный 8 13 4 2 3" xfId="37858"/>
    <cellStyle name="Обычный 8 13 4 3" xfId="37859"/>
    <cellStyle name="Обычный 8 13 4 3 2" xfId="37860"/>
    <cellStyle name="Обычный 8 13 4 3 3" xfId="37861"/>
    <cellStyle name="Обычный 8 13 4 4" xfId="37862"/>
    <cellStyle name="Обычный 8 13 4 4 2" xfId="37863"/>
    <cellStyle name="Обычный 8 13 4 5" xfId="37864"/>
    <cellStyle name="Обычный 8 13 4 6" xfId="37865"/>
    <cellStyle name="Обычный 8 13 5" xfId="37866"/>
    <cellStyle name="Обычный 8 13 5 2" xfId="37867"/>
    <cellStyle name="Обычный 8 13 5 3" xfId="37868"/>
    <cellStyle name="Обычный 8 13 6" xfId="37869"/>
    <cellStyle name="Обычный 8 13 6 2" xfId="37870"/>
    <cellStyle name="Обычный 8 13 6 3" xfId="37871"/>
    <cellStyle name="Обычный 8 13 7" xfId="37872"/>
    <cellStyle name="Обычный 8 13 7 2" xfId="37873"/>
    <cellStyle name="Обычный 8 13 8" xfId="37874"/>
    <cellStyle name="Обычный 8 13 9" xfId="37875"/>
    <cellStyle name="Обычный 8 14" xfId="37876"/>
    <cellStyle name="Обычный 8 14 2" xfId="37877"/>
    <cellStyle name="Обычный 8 14 2 2" xfId="37878"/>
    <cellStyle name="Обычный 8 14 2 2 2" xfId="37879"/>
    <cellStyle name="Обычный 8 14 2 2 2 2" xfId="37880"/>
    <cellStyle name="Обычный 8 14 2 2 2 3" xfId="37881"/>
    <cellStyle name="Обычный 8 14 2 2 3" xfId="37882"/>
    <cellStyle name="Обычный 8 14 2 2 3 2" xfId="37883"/>
    <cellStyle name="Обычный 8 14 2 2 3 3" xfId="37884"/>
    <cellStyle name="Обычный 8 14 2 2 4" xfId="37885"/>
    <cellStyle name="Обычный 8 14 2 2 4 2" xfId="37886"/>
    <cellStyle name="Обычный 8 14 2 2 5" xfId="37887"/>
    <cellStyle name="Обычный 8 14 2 2 6" xfId="37888"/>
    <cellStyle name="Обычный 8 14 2 3" xfId="37889"/>
    <cellStyle name="Обычный 8 14 2 3 2" xfId="37890"/>
    <cellStyle name="Обычный 8 14 2 3 3" xfId="37891"/>
    <cellStyle name="Обычный 8 14 2 4" xfId="37892"/>
    <cellStyle name="Обычный 8 14 2 4 2" xfId="37893"/>
    <cellStyle name="Обычный 8 14 2 4 3" xfId="37894"/>
    <cellStyle name="Обычный 8 14 2 5" xfId="37895"/>
    <cellStyle name="Обычный 8 14 2 5 2" xfId="37896"/>
    <cellStyle name="Обычный 8 14 2 6" xfId="37897"/>
    <cellStyle name="Обычный 8 14 2 7" xfId="37898"/>
    <cellStyle name="Обычный 8 14 3" xfId="37899"/>
    <cellStyle name="Обычный 8 14 3 2" xfId="37900"/>
    <cellStyle name="Обычный 8 14 3 2 2" xfId="37901"/>
    <cellStyle name="Обычный 8 14 3 2 3" xfId="37902"/>
    <cellStyle name="Обычный 8 14 3 3" xfId="37903"/>
    <cellStyle name="Обычный 8 14 3 3 2" xfId="37904"/>
    <cellStyle name="Обычный 8 14 3 3 3" xfId="37905"/>
    <cellStyle name="Обычный 8 14 3 4" xfId="37906"/>
    <cellStyle name="Обычный 8 14 3 4 2" xfId="37907"/>
    <cellStyle name="Обычный 8 14 3 5" xfId="37908"/>
    <cellStyle name="Обычный 8 14 3 6" xfId="37909"/>
    <cellStyle name="Обычный 8 14 4" xfId="37910"/>
    <cellStyle name="Обычный 8 14 4 2" xfId="37911"/>
    <cellStyle name="Обычный 8 14 4 3" xfId="37912"/>
    <cellStyle name="Обычный 8 14 5" xfId="37913"/>
    <cellStyle name="Обычный 8 14 5 2" xfId="37914"/>
    <cellStyle name="Обычный 8 14 5 3" xfId="37915"/>
    <cellStyle name="Обычный 8 14 6" xfId="37916"/>
    <cellStyle name="Обычный 8 14 6 2" xfId="37917"/>
    <cellStyle name="Обычный 8 14 7" xfId="37918"/>
    <cellStyle name="Обычный 8 14 8" xfId="37919"/>
    <cellStyle name="Обычный 8 15" xfId="37920"/>
    <cellStyle name="Обычный 8 15 2" xfId="37921"/>
    <cellStyle name="Обычный 8 15 2 2" xfId="37922"/>
    <cellStyle name="Обычный 8 15 2 2 2" xfId="37923"/>
    <cellStyle name="Обычный 8 15 2 2 3" xfId="37924"/>
    <cellStyle name="Обычный 8 15 2 3" xfId="37925"/>
    <cellStyle name="Обычный 8 15 2 3 2" xfId="37926"/>
    <cellStyle name="Обычный 8 15 2 3 3" xfId="37927"/>
    <cellStyle name="Обычный 8 15 2 4" xfId="37928"/>
    <cellStyle name="Обычный 8 15 2 4 2" xfId="37929"/>
    <cellStyle name="Обычный 8 15 2 5" xfId="37930"/>
    <cellStyle name="Обычный 8 15 2 6" xfId="37931"/>
    <cellStyle name="Обычный 8 15 3" xfId="37932"/>
    <cellStyle name="Обычный 8 15 3 2" xfId="37933"/>
    <cellStyle name="Обычный 8 15 3 3" xfId="37934"/>
    <cellStyle name="Обычный 8 15 4" xfId="37935"/>
    <cellStyle name="Обычный 8 15 4 2" xfId="37936"/>
    <cellStyle name="Обычный 8 15 4 3" xfId="37937"/>
    <cellStyle name="Обычный 8 15 5" xfId="37938"/>
    <cellStyle name="Обычный 8 15 5 2" xfId="37939"/>
    <cellStyle name="Обычный 8 15 6" xfId="37940"/>
    <cellStyle name="Обычный 8 15 7" xfId="37941"/>
    <cellStyle name="Обычный 8 16" xfId="37942"/>
    <cellStyle name="Обычный 8 16 2" xfId="37943"/>
    <cellStyle name="Обычный 8 16 2 2" xfId="37944"/>
    <cellStyle name="Обычный 8 16 2 3" xfId="37945"/>
    <cellStyle name="Обычный 8 16 3" xfId="37946"/>
    <cellStyle name="Обычный 8 16 3 2" xfId="37947"/>
    <cellStyle name="Обычный 8 16 3 3" xfId="37948"/>
    <cellStyle name="Обычный 8 16 4" xfId="37949"/>
    <cellStyle name="Обычный 8 16 4 2" xfId="37950"/>
    <cellStyle name="Обычный 8 16 5" xfId="37951"/>
    <cellStyle name="Обычный 8 16 6" xfId="37952"/>
    <cellStyle name="Обычный 8 17" xfId="37953"/>
    <cellStyle name="Обычный 8 17 2" xfId="37954"/>
    <cellStyle name="Обычный 8 17 3" xfId="37955"/>
    <cellStyle name="Обычный 8 18" xfId="37956"/>
    <cellStyle name="Обычный 8 18 2" xfId="37957"/>
    <cellStyle name="Обычный 8 18 3" xfId="37958"/>
    <cellStyle name="Обычный 8 19" xfId="37959"/>
    <cellStyle name="Обычный 8 19 2" xfId="37960"/>
    <cellStyle name="Обычный 8 2" xfId="37961"/>
    <cellStyle name="Обычный 8 2 10" xfId="37962"/>
    <cellStyle name="Обычный 8 2 10 2" xfId="37963"/>
    <cellStyle name="Обычный 8 2 10 3" xfId="37964"/>
    <cellStyle name="Обычный 8 2 11" xfId="37965"/>
    <cellStyle name="Обычный 8 2 11 2" xfId="37966"/>
    <cellStyle name="Обычный 8 2 11 3" xfId="37967"/>
    <cellStyle name="Обычный 8 2 12" xfId="37968"/>
    <cellStyle name="Обычный 8 2 12 2" xfId="37969"/>
    <cellStyle name="Обычный 8 2 13" xfId="37970"/>
    <cellStyle name="Обычный 8 2 14" xfId="37971"/>
    <cellStyle name="Обычный 8 2 2" xfId="37972"/>
    <cellStyle name="Обычный 8 2 2 10" xfId="37973"/>
    <cellStyle name="Обычный 8 2 2 10 2" xfId="37974"/>
    <cellStyle name="Обычный 8 2 2 10 3" xfId="37975"/>
    <cellStyle name="Обычный 8 2 2 11" xfId="37976"/>
    <cellStyle name="Обычный 8 2 2 11 2" xfId="37977"/>
    <cellStyle name="Обычный 8 2 2 12" xfId="37978"/>
    <cellStyle name="Обычный 8 2 2 13" xfId="37979"/>
    <cellStyle name="Обычный 8 2 2 2" xfId="37980"/>
    <cellStyle name="Обычный 8 2 2 2 10" xfId="37981"/>
    <cellStyle name="Обычный 8 2 2 2 2" xfId="37982"/>
    <cellStyle name="Обычный 8 2 2 2 2 2" xfId="37983"/>
    <cellStyle name="Обычный 8 2 2 2 2 2 2" xfId="37984"/>
    <cellStyle name="Обычный 8 2 2 2 2 2 2 2" xfId="37985"/>
    <cellStyle name="Обычный 8 2 2 2 2 2 2 2 2" xfId="37986"/>
    <cellStyle name="Обычный 8 2 2 2 2 2 2 2 2 2" xfId="37987"/>
    <cellStyle name="Обычный 8 2 2 2 2 2 2 2 2 3" xfId="37988"/>
    <cellStyle name="Обычный 8 2 2 2 2 2 2 2 3" xfId="37989"/>
    <cellStyle name="Обычный 8 2 2 2 2 2 2 2 3 2" xfId="37990"/>
    <cellStyle name="Обычный 8 2 2 2 2 2 2 2 3 3" xfId="37991"/>
    <cellStyle name="Обычный 8 2 2 2 2 2 2 2 4" xfId="37992"/>
    <cellStyle name="Обычный 8 2 2 2 2 2 2 2 4 2" xfId="37993"/>
    <cellStyle name="Обычный 8 2 2 2 2 2 2 2 5" xfId="37994"/>
    <cellStyle name="Обычный 8 2 2 2 2 2 2 2 6" xfId="37995"/>
    <cellStyle name="Обычный 8 2 2 2 2 2 2 3" xfId="37996"/>
    <cellStyle name="Обычный 8 2 2 2 2 2 2 3 2" xfId="37997"/>
    <cellStyle name="Обычный 8 2 2 2 2 2 2 3 3" xfId="37998"/>
    <cellStyle name="Обычный 8 2 2 2 2 2 2 4" xfId="37999"/>
    <cellStyle name="Обычный 8 2 2 2 2 2 2 4 2" xfId="38000"/>
    <cellStyle name="Обычный 8 2 2 2 2 2 2 4 3" xfId="38001"/>
    <cellStyle name="Обычный 8 2 2 2 2 2 2 5" xfId="38002"/>
    <cellStyle name="Обычный 8 2 2 2 2 2 2 5 2" xfId="38003"/>
    <cellStyle name="Обычный 8 2 2 2 2 2 2 6" xfId="38004"/>
    <cellStyle name="Обычный 8 2 2 2 2 2 2 7" xfId="38005"/>
    <cellStyle name="Обычный 8 2 2 2 2 2 3" xfId="38006"/>
    <cellStyle name="Обычный 8 2 2 2 2 2 3 2" xfId="38007"/>
    <cellStyle name="Обычный 8 2 2 2 2 2 3 2 2" xfId="38008"/>
    <cellStyle name="Обычный 8 2 2 2 2 2 3 2 3" xfId="38009"/>
    <cellStyle name="Обычный 8 2 2 2 2 2 3 3" xfId="38010"/>
    <cellStyle name="Обычный 8 2 2 2 2 2 3 3 2" xfId="38011"/>
    <cellStyle name="Обычный 8 2 2 2 2 2 3 3 3" xfId="38012"/>
    <cellStyle name="Обычный 8 2 2 2 2 2 3 4" xfId="38013"/>
    <cellStyle name="Обычный 8 2 2 2 2 2 3 4 2" xfId="38014"/>
    <cellStyle name="Обычный 8 2 2 2 2 2 3 5" xfId="38015"/>
    <cellStyle name="Обычный 8 2 2 2 2 2 3 6" xfId="38016"/>
    <cellStyle name="Обычный 8 2 2 2 2 2 4" xfId="38017"/>
    <cellStyle name="Обычный 8 2 2 2 2 2 4 2" xfId="38018"/>
    <cellStyle name="Обычный 8 2 2 2 2 2 4 3" xfId="38019"/>
    <cellStyle name="Обычный 8 2 2 2 2 2 5" xfId="38020"/>
    <cellStyle name="Обычный 8 2 2 2 2 2 5 2" xfId="38021"/>
    <cellStyle name="Обычный 8 2 2 2 2 2 5 3" xfId="38022"/>
    <cellStyle name="Обычный 8 2 2 2 2 2 6" xfId="38023"/>
    <cellStyle name="Обычный 8 2 2 2 2 2 6 2" xfId="38024"/>
    <cellStyle name="Обычный 8 2 2 2 2 2 7" xfId="38025"/>
    <cellStyle name="Обычный 8 2 2 2 2 2 8" xfId="38026"/>
    <cellStyle name="Обычный 8 2 2 2 2 3" xfId="38027"/>
    <cellStyle name="Обычный 8 2 2 2 2 3 2" xfId="38028"/>
    <cellStyle name="Обычный 8 2 2 2 2 3 2 2" xfId="38029"/>
    <cellStyle name="Обычный 8 2 2 2 2 3 2 2 2" xfId="38030"/>
    <cellStyle name="Обычный 8 2 2 2 2 3 2 2 3" xfId="38031"/>
    <cellStyle name="Обычный 8 2 2 2 2 3 2 3" xfId="38032"/>
    <cellStyle name="Обычный 8 2 2 2 2 3 2 3 2" xfId="38033"/>
    <cellStyle name="Обычный 8 2 2 2 2 3 2 3 3" xfId="38034"/>
    <cellStyle name="Обычный 8 2 2 2 2 3 2 4" xfId="38035"/>
    <cellStyle name="Обычный 8 2 2 2 2 3 2 4 2" xfId="38036"/>
    <cellStyle name="Обычный 8 2 2 2 2 3 2 5" xfId="38037"/>
    <cellStyle name="Обычный 8 2 2 2 2 3 2 6" xfId="38038"/>
    <cellStyle name="Обычный 8 2 2 2 2 3 3" xfId="38039"/>
    <cellStyle name="Обычный 8 2 2 2 2 3 3 2" xfId="38040"/>
    <cellStyle name="Обычный 8 2 2 2 2 3 3 3" xfId="38041"/>
    <cellStyle name="Обычный 8 2 2 2 2 3 4" xfId="38042"/>
    <cellStyle name="Обычный 8 2 2 2 2 3 4 2" xfId="38043"/>
    <cellStyle name="Обычный 8 2 2 2 2 3 4 3" xfId="38044"/>
    <cellStyle name="Обычный 8 2 2 2 2 3 5" xfId="38045"/>
    <cellStyle name="Обычный 8 2 2 2 2 3 5 2" xfId="38046"/>
    <cellStyle name="Обычный 8 2 2 2 2 3 6" xfId="38047"/>
    <cellStyle name="Обычный 8 2 2 2 2 3 7" xfId="38048"/>
    <cellStyle name="Обычный 8 2 2 2 2 4" xfId="38049"/>
    <cellStyle name="Обычный 8 2 2 2 2 4 2" xfId="38050"/>
    <cellStyle name="Обычный 8 2 2 2 2 4 2 2" xfId="38051"/>
    <cellStyle name="Обычный 8 2 2 2 2 4 2 3" xfId="38052"/>
    <cellStyle name="Обычный 8 2 2 2 2 4 3" xfId="38053"/>
    <cellStyle name="Обычный 8 2 2 2 2 4 3 2" xfId="38054"/>
    <cellStyle name="Обычный 8 2 2 2 2 4 3 3" xfId="38055"/>
    <cellStyle name="Обычный 8 2 2 2 2 4 4" xfId="38056"/>
    <cellStyle name="Обычный 8 2 2 2 2 4 4 2" xfId="38057"/>
    <cellStyle name="Обычный 8 2 2 2 2 4 5" xfId="38058"/>
    <cellStyle name="Обычный 8 2 2 2 2 4 6" xfId="38059"/>
    <cellStyle name="Обычный 8 2 2 2 2 5" xfId="38060"/>
    <cellStyle name="Обычный 8 2 2 2 2 5 2" xfId="38061"/>
    <cellStyle name="Обычный 8 2 2 2 2 5 3" xfId="38062"/>
    <cellStyle name="Обычный 8 2 2 2 2 6" xfId="38063"/>
    <cellStyle name="Обычный 8 2 2 2 2 6 2" xfId="38064"/>
    <cellStyle name="Обычный 8 2 2 2 2 6 3" xfId="38065"/>
    <cellStyle name="Обычный 8 2 2 2 2 7" xfId="38066"/>
    <cellStyle name="Обычный 8 2 2 2 2 7 2" xfId="38067"/>
    <cellStyle name="Обычный 8 2 2 2 2 8" xfId="38068"/>
    <cellStyle name="Обычный 8 2 2 2 2 9" xfId="38069"/>
    <cellStyle name="Обычный 8 2 2 2 3" xfId="38070"/>
    <cellStyle name="Обычный 8 2 2 2 3 2" xfId="38071"/>
    <cellStyle name="Обычный 8 2 2 2 3 2 2" xfId="38072"/>
    <cellStyle name="Обычный 8 2 2 2 3 2 2 2" xfId="38073"/>
    <cellStyle name="Обычный 8 2 2 2 3 2 2 2 2" xfId="38074"/>
    <cellStyle name="Обычный 8 2 2 2 3 2 2 2 3" xfId="38075"/>
    <cellStyle name="Обычный 8 2 2 2 3 2 2 3" xfId="38076"/>
    <cellStyle name="Обычный 8 2 2 2 3 2 2 3 2" xfId="38077"/>
    <cellStyle name="Обычный 8 2 2 2 3 2 2 3 3" xfId="38078"/>
    <cellStyle name="Обычный 8 2 2 2 3 2 2 4" xfId="38079"/>
    <cellStyle name="Обычный 8 2 2 2 3 2 2 4 2" xfId="38080"/>
    <cellStyle name="Обычный 8 2 2 2 3 2 2 5" xfId="38081"/>
    <cellStyle name="Обычный 8 2 2 2 3 2 2 6" xfId="38082"/>
    <cellStyle name="Обычный 8 2 2 2 3 2 3" xfId="38083"/>
    <cellStyle name="Обычный 8 2 2 2 3 2 3 2" xfId="38084"/>
    <cellStyle name="Обычный 8 2 2 2 3 2 3 3" xfId="38085"/>
    <cellStyle name="Обычный 8 2 2 2 3 2 4" xfId="38086"/>
    <cellStyle name="Обычный 8 2 2 2 3 2 4 2" xfId="38087"/>
    <cellStyle name="Обычный 8 2 2 2 3 2 4 3" xfId="38088"/>
    <cellStyle name="Обычный 8 2 2 2 3 2 5" xfId="38089"/>
    <cellStyle name="Обычный 8 2 2 2 3 2 5 2" xfId="38090"/>
    <cellStyle name="Обычный 8 2 2 2 3 2 6" xfId="38091"/>
    <cellStyle name="Обычный 8 2 2 2 3 2 7" xfId="38092"/>
    <cellStyle name="Обычный 8 2 2 2 3 3" xfId="38093"/>
    <cellStyle name="Обычный 8 2 2 2 3 3 2" xfId="38094"/>
    <cellStyle name="Обычный 8 2 2 2 3 3 2 2" xfId="38095"/>
    <cellStyle name="Обычный 8 2 2 2 3 3 2 3" xfId="38096"/>
    <cellStyle name="Обычный 8 2 2 2 3 3 3" xfId="38097"/>
    <cellStyle name="Обычный 8 2 2 2 3 3 3 2" xfId="38098"/>
    <cellStyle name="Обычный 8 2 2 2 3 3 3 3" xfId="38099"/>
    <cellStyle name="Обычный 8 2 2 2 3 3 4" xfId="38100"/>
    <cellStyle name="Обычный 8 2 2 2 3 3 4 2" xfId="38101"/>
    <cellStyle name="Обычный 8 2 2 2 3 3 5" xfId="38102"/>
    <cellStyle name="Обычный 8 2 2 2 3 3 6" xfId="38103"/>
    <cellStyle name="Обычный 8 2 2 2 3 4" xfId="38104"/>
    <cellStyle name="Обычный 8 2 2 2 3 4 2" xfId="38105"/>
    <cellStyle name="Обычный 8 2 2 2 3 4 3" xfId="38106"/>
    <cellStyle name="Обычный 8 2 2 2 3 5" xfId="38107"/>
    <cellStyle name="Обычный 8 2 2 2 3 5 2" xfId="38108"/>
    <cellStyle name="Обычный 8 2 2 2 3 5 3" xfId="38109"/>
    <cellStyle name="Обычный 8 2 2 2 3 6" xfId="38110"/>
    <cellStyle name="Обычный 8 2 2 2 3 6 2" xfId="38111"/>
    <cellStyle name="Обычный 8 2 2 2 3 7" xfId="38112"/>
    <cellStyle name="Обычный 8 2 2 2 3 8" xfId="38113"/>
    <cellStyle name="Обычный 8 2 2 2 4" xfId="38114"/>
    <cellStyle name="Обычный 8 2 2 2 4 2" xfId="38115"/>
    <cellStyle name="Обычный 8 2 2 2 4 2 2" xfId="38116"/>
    <cellStyle name="Обычный 8 2 2 2 4 2 2 2" xfId="38117"/>
    <cellStyle name="Обычный 8 2 2 2 4 2 2 3" xfId="38118"/>
    <cellStyle name="Обычный 8 2 2 2 4 2 3" xfId="38119"/>
    <cellStyle name="Обычный 8 2 2 2 4 2 3 2" xfId="38120"/>
    <cellStyle name="Обычный 8 2 2 2 4 2 3 3" xfId="38121"/>
    <cellStyle name="Обычный 8 2 2 2 4 2 4" xfId="38122"/>
    <cellStyle name="Обычный 8 2 2 2 4 2 4 2" xfId="38123"/>
    <cellStyle name="Обычный 8 2 2 2 4 2 5" xfId="38124"/>
    <cellStyle name="Обычный 8 2 2 2 4 2 6" xfId="38125"/>
    <cellStyle name="Обычный 8 2 2 2 4 3" xfId="38126"/>
    <cellStyle name="Обычный 8 2 2 2 4 3 2" xfId="38127"/>
    <cellStyle name="Обычный 8 2 2 2 4 3 3" xfId="38128"/>
    <cellStyle name="Обычный 8 2 2 2 4 4" xfId="38129"/>
    <cellStyle name="Обычный 8 2 2 2 4 4 2" xfId="38130"/>
    <cellStyle name="Обычный 8 2 2 2 4 4 3" xfId="38131"/>
    <cellStyle name="Обычный 8 2 2 2 4 5" xfId="38132"/>
    <cellStyle name="Обычный 8 2 2 2 4 5 2" xfId="38133"/>
    <cellStyle name="Обычный 8 2 2 2 4 6" xfId="38134"/>
    <cellStyle name="Обычный 8 2 2 2 4 7" xfId="38135"/>
    <cellStyle name="Обычный 8 2 2 2 5" xfId="38136"/>
    <cellStyle name="Обычный 8 2 2 2 5 2" xfId="38137"/>
    <cellStyle name="Обычный 8 2 2 2 5 2 2" xfId="38138"/>
    <cellStyle name="Обычный 8 2 2 2 5 2 3" xfId="38139"/>
    <cellStyle name="Обычный 8 2 2 2 5 3" xfId="38140"/>
    <cellStyle name="Обычный 8 2 2 2 5 3 2" xfId="38141"/>
    <cellStyle name="Обычный 8 2 2 2 5 3 3" xfId="38142"/>
    <cellStyle name="Обычный 8 2 2 2 5 4" xfId="38143"/>
    <cellStyle name="Обычный 8 2 2 2 5 4 2" xfId="38144"/>
    <cellStyle name="Обычный 8 2 2 2 5 5" xfId="38145"/>
    <cellStyle name="Обычный 8 2 2 2 5 6" xfId="38146"/>
    <cellStyle name="Обычный 8 2 2 2 6" xfId="38147"/>
    <cellStyle name="Обычный 8 2 2 2 6 2" xfId="38148"/>
    <cellStyle name="Обычный 8 2 2 2 6 3" xfId="38149"/>
    <cellStyle name="Обычный 8 2 2 2 7" xfId="38150"/>
    <cellStyle name="Обычный 8 2 2 2 7 2" xfId="38151"/>
    <cellStyle name="Обычный 8 2 2 2 7 3" xfId="38152"/>
    <cellStyle name="Обычный 8 2 2 2 8" xfId="38153"/>
    <cellStyle name="Обычный 8 2 2 2 8 2" xfId="38154"/>
    <cellStyle name="Обычный 8 2 2 2 9" xfId="38155"/>
    <cellStyle name="Обычный 8 2 2 3" xfId="38156"/>
    <cellStyle name="Обычный 8 2 2 3 10" xfId="38157"/>
    <cellStyle name="Обычный 8 2 2 3 2" xfId="38158"/>
    <cellStyle name="Обычный 8 2 2 3 2 2" xfId="38159"/>
    <cellStyle name="Обычный 8 2 2 3 2 2 2" xfId="38160"/>
    <cellStyle name="Обычный 8 2 2 3 2 2 2 2" xfId="38161"/>
    <cellStyle name="Обычный 8 2 2 3 2 2 2 2 2" xfId="38162"/>
    <cellStyle name="Обычный 8 2 2 3 2 2 2 2 2 2" xfId="38163"/>
    <cellStyle name="Обычный 8 2 2 3 2 2 2 2 2 3" xfId="38164"/>
    <cellStyle name="Обычный 8 2 2 3 2 2 2 2 3" xfId="38165"/>
    <cellStyle name="Обычный 8 2 2 3 2 2 2 2 3 2" xfId="38166"/>
    <cellStyle name="Обычный 8 2 2 3 2 2 2 2 3 3" xfId="38167"/>
    <cellStyle name="Обычный 8 2 2 3 2 2 2 2 4" xfId="38168"/>
    <cellStyle name="Обычный 8 2 2 3 2 2 2 2 4 2" xfId="38169"/>
    <cellStyle name="Обычный 8 2 2 3 2 2 2 2 5" xfId="38170"/>
    <cellStyle name="Обычный 8 2 2 3 2 2 2 2 6" xfId="38171"/>
    <cellStyle name="Обычный 8 2 2 3 2 2 2 3" xfId="38172"/>
    <cellStyle name="Обычный 8 2 2 3 2 2 2 3 2" xfId="38173"/>
    <cellStyle name="Обычный 8 2 2 3 2 2 2 3 3" xfId="38174"/>
    <cellStyle name="Обычный 8 2 2 3 2 2 2 4" xfId="38175"/>
    <cellStyle name="Обычный 8 2 2 3 2 2 2 4 2" xfId="38176"/>
    <cellStyle name="Обычный 8 2 2 3 2 2 2 4 3" xfId="38177"/>
    <cellStyle name="Обычный 8 2 2 3 2 2 2 5" xfId="38178"/>
    <cellStyle name="Обычный 8 2 2 3 2 2 2 5 2" xfId="38179"/>
    <cellStyle name="Обычный 8 2 2 3 2 2 2 6" xfId="38180"/>
    <cellStyle name="Обычный 8 2 2 3 2 2 2 7" xfId="38181"/>
    <cellStyle name="Обычный 8 2 2 3 2 2 3" xfId="38182"/>
    <cellStyle name="Обычный 8 2 2 3 2 2 3 2" xfId="38183"/>
    <cellStyle name="Обычный 8 2 2 3 2 2 3 2 2" xfId="38184"/>
    <cellStyle name="Обычный 8 2 2 3 2 2 3 2 3" xfId="38185"/>
    <cellStyle name="Обычный 8 2 2 3 2 2 3 3" xfId="38186"/>
    <cellStyle name="Обычный 8 2 2 3 2 2 3 3 2" xfId="38187"/>
    <cellStyle name="Обычный 8 2 2 3 2 2 3 3 3" xfId="38188"/>
    <cellStyle name="Обычный 8 2 2 3 2 2 3 4" xfId="38189"/>
    <cellStyle name="Обычный 8 2 2 3 2 2 3 4 2" xfId="38190"/>
    <cellStyle name="Обычный 8 2 2 3 2 2 3 5" xfId="38191"/>
    <cellStyle name="Обычный 8 2 2 3 2 2 3 6" xfId="38192"/>
    <cellStyle name="Обычный 8 2 2 3 2 2 4" xfId="38193"/>
    <cellStyle name="Обычный 8 2 2 3 2 2 4 2" xfId="38194"/>
    <cellStyle name="Обычный 8 2 2 3 2 2 4 3" xfId="38195"/>
    <cellStyle name="Обычный 8 2 2 3 2 2 5" xfId="38196"/>
    <cellStyle name="Обычный 8 2 2 3 2 2 5 2" xfId="38197"/>
    <cellStyle name="Обычный 8 2 2 3 2 2 5 3" xfId="38198"/>
    <cellStyle name="Обычный 8 2 2 3 2 2 6" xfId="38199"/>
    <cellStyle name="Обычный 8 2 2 3 2 2 6 2" xfId="38200"/>
    <cellStyle name="Обычный 8 2 2 3 2 2 7" xfId="38201"/>
    <cellStyle name="Обычный 8 2 2 3 2 2 8" xfId="38202"/>
    <cellStyle name="Обычный 8 2 2 3 2 3" xfId="38203"/>
    <cellStyle name="Обычный 8 2 2 3 2 3 2" xfId="38204"/>
    <cellStyle name="Обычный 8 2 2 3 2 3 2 2" xfId="38205"/>
    <cellStyle name="Обычный 8 2 2 3 2 3 2 2 2" xfId="38206"/>
    <cellStyle name="Обычный 8 2 2 3 2 3 2 2 3" xfId="38207"/>
    <cellStyle name="Обычный 8 2 2 3 2 3 2 3" xfId="38208"/>
    <cellStyle name="Обычный 8 2 2 3 2 3 2 3 2" xfId="38209"/>
    <cellStyle name="Обычный 8 2 2 3 2 3 2 3 3" xfId="38210"/>
    <cellStyle name="Обычный 8 2 2 3 2 3 2 4" xfId="38211"/>
    <cellStyle name="Обычный 8 2 2 3 2 3 2 4 2" xfId="38212"/>
    <cellStyle name="Обычный 8 2 2 3 2 3 2 5" xfId="38213"/>
    <cellStyle name="Обычный 8 2 2 3 2 3 2 6" xfId="38214"/>
    <cellStyle name="Обычный 8 2 2 3 2 3 3" xfId="38215"/>
    <cellStyle name="Обычный 8 2 2 3 2 3 3 2" xfId="38216"/>
    <cellStyle name="Обычный 8 2 2 3 2 3 3 3" xfId="38217"/>
    <cellStyle name="Обычный 8 2 2 3 2 3 4" xfId="38218"/>
    <cellStyle name="Обычный 8 2 2 3 2 3 4 2" xfId="38219"/>
    <cellStyle name="Обычный 8 2 2 3 2 3 4 3" xfId="38220"/>
    <cellStyle name="Обычный 8 2 2 3 2 3 5" xfId="38221"/>
    <cellStyle name="Обычный 8 2 2 3 2 3 5 2" xfId="38222"/>
    <cellStyle name="Обычный 8 2 2 3 2 3 6" xfId="38223"/>
    <cellStyle name="Обычный 8 2 2 3 2 3 7" xfId="38224"/>
    <cellStyle name="Обычный 8 2 2 3 2 4" xfId="38225"/>
    <cellStyle name="Обычный 8 2 2 3 2 4 2" xfId="38226"/>
    <cellStyle name="Обычный 8 2 2 3 2 4 2 2" xfId="38227"/>
    <cellStyle name="Обычный 8 2 2 3 2 4 2 3" xfId="38228"/>
    <cellStyle name="Обычный 8 2 2 3 2 4 3" xfId="38229"/>
    <cellStyle name="Обычный 8 2 2 3 2 4 3 2" xfId="38230"/>
    <cellStyle name="Обычный 8 2 2 3 2 4 3 3" xfId="38231"/>
    <cellStyle name="Обычный 8 2 2 3 2 4 4" xfId="38232"/>
    <cellStyle name="Обычный 8 2 2 3 2 4 4 2" xfId="38233"/>
    <cellStyle name="Обычный 8 2 2 3 2 4 5" xfId="38234"/>
    <cellStyle name="Обычный 8 2 2 3 2 4 6" xfId="38235"/>
    <cellStyle name="Обычный 8 2 2 3 2 5" xfId="38236"/>
    <cellStyle name="Обычный 8 2 2 3 2 5 2" xfId="38237"/>
    <cellStyle name="Обычный 8 2 2 3 2 5 3" xfId="38238"/>
    <cellStyle name="Обычный 8 2 2 3 2 6" xfId="38239"/>
    <cellStyle name="Обычный 8 2 2 3 2 6 2" xfId="38240"/>
    <cellStyle name="Обычный 8 2 2 3 2 6 3" xfId="38241"/>
    <cellStyle name="Обычный 8 2 2 3 2 7" xfId="38242"/>
    <cellStyle name="Обычный 8 2 2 3 2 7 2" xfId="38243"/>
    <cellStyle name="Обычный 8 2 2 3 2 8" xfId="38244"/>
    <cellStyle name="Обычный 8 2 2 3 2 9" xfId="38245"/>
    <cellStyle name="Обычный 8 2 2 3 3" xfId="38246"/>
    <cellStyle name="Обычный 8 2 2 3 3 2" xfId="38247"/>
    <cellStyle name="Обычный 8 2 2 3 3 2 2" xfId="38248"/>
    <cellStyle name="Обычный 8 2 2 3 3 2 2 2" xfId="38249"/>
    <cellStyle name="Обычный 8 2 2 3 3 2 2 2 2" xfId="38250"/>
    <cellStyle name="Обычный 8 2 2 3 3 2 2 2 3" xfId="38251"/>
    <cellStyle name="Обычный 8 2 2 3 3 2 2 3" xfId="38252"/>
    <cellStyle name="Обычный 8 2 2 3 3 2 2 3 2" xfId="38253"/>
    <cellStyle name="Обычный 8 2 2 3 3 2 2 3 3" xfId="38254"/>
    <cellStyle name="Обычный 8 2 2 3 3 2 2 4" xfId="38255"/>
    <cellStyle name="Обычный 8 2 2 3 3 2 2 4 2" xfId="38256"/>
    <cellStyle name="Обычный 8 2 2 3 3 2 2 5" xfId="38257"/>
    <cellStyle name="Обычный 8 2 2 3 3 2 2 6" xfId="38258"/>
    <cellStyle name="Обычный 8 2 2 3 3 2 3" xfId="38259"/>
    <cellStyle name="Обычный 8 2 2 3 3 2 3 2" xfId="38260"/>
    <cellStyle name="Обычный 8 2 2 3 3 2 3 3" xfId="38261"/>
    <cellStyle name="Обычный 8 2 2 3 3 2 4" xfId="38262"/>
    <cellStyle name="Обычный 8 2 2 3 3 2 4 2" xfId="38263"/>
    <cellStyle name="Обычный 8 2 2 3 3 2 4 3" xfId="38264"/>
    <cellStyle name="Обычный 8 2 2 3 3 2 5" xfId="38265"/>
    <cellStyle name="Обычный 8 2 2 3 3 2 5 2" xfId="38266"/>
    <cellStyle name="Обычный 8 2 2 3 3 2 6" xfId="38267"/>
    <cellStyle name="Обычный 8 2 2 3 3 2 7" xfId="38268"/>
    <cellStyle name="Обычный 8 2 2 3 3 3" xfId="38269"/>
    <cellStyle name="Обычный 8 2 2 3 3 3 2" xfId="38270"/>
    <cellStyle name="Обычный 8 2 2 3 3 3 2 2" xfId="38271"/>
    <cellStyle name="Обычный 8 2 2 3 3 3 2 3" xfId="38272"/>
    <cellStyle name="Обычный 8 2 2 3 3 3 3" xfId="38273"/>
    <cellStyle name="Обычный 8 2 2 3 3 3 3 2" xfId="38274"/>
    <cellStyle name="Обычный 8 2 2 3 3 3 3 3" xfId="38275"/>
    <cellStyle name="Обычный 8 2 2 3 3 3 4" xfId="38276"/>
    <cellStyle name="Обычный 8 2 2 3 3 3 4 2" xfId="38277"/>
    <cellStyle name="Обычный 8 2 2 3 3 3 5" xfId="38278"/>
    <cellStyle name="Обычный 8 2 2 3 3 3 6" xfId="38279"/>
    <cellStyle name="Обычный 8 2 2 3 3 4" xfId="38280"/>
    <cellStyle name="Обычный 8 2 2 3 3 4 2" xfId="38281"/>
    <cellStyle name="Обычный 8 2 2 3 3 4 3" xfId="38282"/>
    <cellStyle name="Обычный 8 2 2 3 3 5" xfId="38283"/>
    <cellStyle name="Обычный 8 2 2 3 3 5 2" xfId="38284"/>
    <cellStyle name="Обычный 8 2 2 3 3 5 3" xfId="38285"/>
    <cellStyle name="Обычный 8 2 2 3 3 6" xfId="38286"/>
    <cellStyle name="Обычный 8 2 2 3 3 6 2" xfId="38287"/>
    <cellStyle name="Обычный 8 2 2 3 3 7" xfId="38288"/>
    <cellStyle name="Обычный 8 2 2 3 3 8" xfId="38289"/>
    <cellStyle name="Обычный 8 2 2 3 4" xfId="38290"/>
    <cellStyle name="Обычный 8 2 2 3 4 2" xfId="38291"/>
    <cellStyle name="Обычный 8 2 2 3 4 2 2" xfId="38292"/>
    <cellStyle name="Обычный 8 2 2 3 4 2 2 2" xfId="38293"/>
    <cellStyle name="Обычный 8 2 2 3 4 2 2 3" xfId="38294"/>
    <cellStyle name="Обычный 8 2 2 3 4 2 3" xfId="38295"/>
    <cellStyle name="Обычный 8 2 2 3 4 2 3 2" xfId="38296"/>
    <cellStyle name="Обычный 8 2 2 3 4 2 3 3" xfId="38297"/>
    <cellStyle name="Обычный 8 2 2 3 4 2 4" xfId="38298"/>
    <cellStyle name="Обычный 8 2 2 3 4 2 4 2" xfId="38299"/>
    <cellStyle name="Обычный 8 2 2 3 4 2 5" xfId="38300"/>
    <cellStyle name="Обычный 8 2 2 3 4 2 6" xfId="38301"/>
    <cellStyle name="Обычный 8 2 2 3 4 3" xfId="38302"/>
    <cellStyle name="Обычный 8 2 2 3 4 3 2" xfId="38303"/>
    <cellStyle name="Обычный 8 2 2 3 4 3 3" xfId="38304"/>
    <cellStyle name="Обычный 8 2 2 3 4 4" xfId="38305"/>
    <cellStyle name="Обычный 8 2 2 3 4 4 2" xfId="38306"/>
    <cellStyle name="Обычный 8 2 2 3 4 4 3" xfId="38307"/>
    <cellStyle name="Обычный 8 2 2 3 4 5" xfId="38308"/>
    <cellStyle name="Обычный 8 2 2 3 4 5 2" xfId="38309"/>
    <cellStyle name="Обычный 8 2 2 3 4 6" xfId="38310"/>
    <cellStyle name="Обычный 8 2 2 3 4 7" xfId="38311"/>
    <cellStyle name="Обычный 8 2 2 3 5" xfId="38312"/>
    <cellStyle name="Обычный 8 2 2 3 5 2" xfId="38313"/>
    <cellStyle name="Обычный 8 2 2 3 5 2 2" xfId="38314"/>
    <cellStyle name="Обычный 8 2 2 3 5 2 3" xfId="38315"/>
    <cellStyle name="Обычный 8 2 2 3 5 3" xfId="38316"/>
    <cellStyle name="Обычный 8 2 2 3 5 3 2" xfId="38317"/>
    <cellStyle name="Обычный 8 2 2 3 5 3 3" xfId="38318"/>
    <cellStyle name="Обычный 8 2 2 3 5 4" xfId="38319"/>
    <cellStyle name="Обычный 8 2 2 3 5 4 2" xfId="38320"/>
    <cellStyle name="Обычный 8 2 2 3 5 5" xfId="38321"/>
    <cellStyle name="Обычный 8 2 2 3 5 6" xfId="38322"/>
    <cellStyle name="Обычный 8 2 2 3 6" xfId="38323"/>
    <cellStyle name="Обычный 8 2 2 3 6 2" xfId="38324"/>
    <cellStyle name="Обычный 8 2 2 3 6 3" xfId="38325"/>
    <cellStyle name="Обычный 8 2 2 3 7" xfId="38326"/>
    <cellStyle name="Обычный 8 2 2 3 7 2" xfId="38327"/>
    <cellStyle name="Обычный 8 2 2 3 7 3" xfId="38328"/>
    <cellStyle name="Обычный 8 2 2 3 8" xfId="38329"/>
    <cellStyle name="Обычный 8 2 2 3 8 2" xfId="38330"/>
    <cellStyle name="Обычный 8 2 2 3 9" xfId="38331"/>
    <cellStyle name="Обычный 8 2 2 4" xfId="38332"/>
    <cellStyle name="Обычный 8 2 2 4 10" xfId="38333"/>
    <cellStyle name="Обычный 8 2 2 4 2" xfId="38334"/>
    <cellStyle name="Обычный 8 2 2 4 2 2" xfId="38335"/>
    <cellStyle name="Обычный 8 2 2 4 2 2 2" xfId="38336"/>
    <cellStyle name="Обычный 8 2 2 4 2 2 2 2" xfId="38337"/>
    <cellStyle name="Обычный 8 2 2 4 2 2 2 2 2" xfId="38338"/>
    <cellStyle name="Обычный 8 2 2 4 2 2 2 2 2 2" xfId="38339"/>
    <cellStyle name="Обычный 8 2 2 4 2 2 2 2 2 3" xfId="38340"/>
    <cellStyle name="Обычный 8 2 2 4 2 2 2 2 3" xfId="38341"/>
    <cellStyle name="Обычный 8 2 2 4 2 2 2 2 3 2" xfId="38342"/>
    <cellStyle name="Обычный 8 2 2 4 2 2 2 2 3 3" xfId="38343"/>
    <cellStyle name="Обычный 8 2 2 4 2 2 2 2 4" xfId="38344"/>
    <cellStyle name="Обычный 8 2 2 4 2 2 2 2 4 2" xfId="38345"/>
    <cellStyle name="Обычный 8 2 2 4 2 2 2 2 5" xfId="38346"/>
    <cellStyle name="Обычный 8 2 2 4 2 2 2 2 6" xfId="38347"/>
    <cellStyle name="Обычный 8 2 2 4 2 2 2 3" xfId="38348"/>
    <cellStyle name="Обычный 8 2 2 4 2 2 2 3 2" xfId="38349"/>
    <cellStyle name="Обычный 8 2 2 4 2 2 2 3 3" xfId="38350"/>
    <cellStyle name="Обычный 8 2 2 4 2 2 2 4" xfId="38351"/>
    <cellStyle name="Обычный 8 2 2 4 2 2 2 4 2" xfId="38352"/>
    <cellStyle name="Обычный 8 2 2 4 2 2 2 4 3" xfId="38353"/>
    <cellStyle name="Обычный 8 2 2 4 2 2 2 5" xfId="38354"/>
    <cellStyle name="Обычный 8 2 2 4 2 2 2 5 2" xfId="38355"/>
    <cellStyle name="Обычный 8 2 2 4 2 2 2 6" xfId="38356"/>
    <cellStyle name="Обычный 8 2 2 4 2 2 2 7" xfId="38357"/>
    <cellStyle name="Обычный 8 2 2 4 2 2 3" xfId="38358"/>
    <cellStyle name="Обычный 8 2 2 4 2 2 3 2" xfId="38359"/>
    <cellStyle name="Обычный 8 2 2 4 2 2 3 2 2" xfId="38360"/>
    <cellStyle name="Обычный 8 2 2 4 2 2 3 2 3" xfId="38361"/>
    <cellStyle name="Обычный 8 2 2 4 2 2 3 3" xfId="38362"/>
    <cellStyle name="Обычный 8 2 2 4 2 2 3 3 2" xfId="38363"/>
    <cellStyle name="Обычный 8 2 2 4 2 2 3 3 3" xfId="38364"/>
    <cellStyle name="Обычный 8 2 2 4 2 2 3 4" xfId="38365"/>
    <cellStyle name="Обычный 8 2 2 4 2 2 3 4 2" xfId="38366"/>
    <cellStyle name="Обычный 8 2 2 4 2 2 3 5" xfId="38367"/>
    <cellStyle name="Обычный 8 2 2 4 2 2 3 6" xfId="38368"/>
    <cellStyle name="Обычный 8 2 2 4 2 2 4" xfId="38369"/>
    <cellStyle name="Обычный 8 2 2 4 2 2 4 2" xfId="38370"/>
    <cellStyle name="Обычный 8 2 2 4 2 2 4 3" xfId="38371"/>
    <cellStyle name="Обычный 8 2 2 4 2 2 5" xfId="38372"/>
    <cellStyle name="Обычный 8 2 2 4 2 2 5 2" xfId="38373"/>
    <cellStyle name="Обычный 8 2 2 4 2 2 5 3" xfId="38374"/>
    <cellStyle name="Обычный 8 2 2 4 2 2 6" xfId="38375"/>
    <cellStyle name="Обычный 8 2 2 4 2 2 6 2" xfId="38376"/>
    <cellStyle name="Обычный 8 2 2 4 2 2 7" xfId="38377"/>
    <cellStyle name="Обычный 8 2 2 4 2 2 8" xfId="38378"/>
    <cellStyle name="Обычный 8 2 2 4 2 3" xfId="38379"/>
    <cellStyle name="Обычный 8 2 2 4 2 3 2" xfId="38380"/>
    <cellStyle name="Обычный 8 2 2 4 2 3 2 2" xfId="38381"/>
    <cellStyle name="Обычный 8 2 2 4 2 3 2 2 2" xfId="38382"/>
    <cellStyle name="Обычный 8 2 2 4 2 3 2 2 3" xfId="38383"/>
    <cellStyle name="Обычный 8 2 2 4 2 3 2 3" xfId="38384"/>
    <cellStyle name="Обычный 8 2 2 4 2 3 2 3 2" xfId="38385"/>
    <cellStyle name="Обычный 8 2 2 4 2 3 2 3 3" xfId="38386"/>
    <cellStyle name="Обычный 8 2 2 4 2 3 2 4" xfId="38387"/>
    <cellStyle name="Обычный 8 2 2 4 2 3 2 4 2" xfId="38388"/>
    <cellStyle name="Обычный 8 2 2 4 2 3 2 5" xfId="38389"/>
    <cellStyle name="Обычный 8 2 2 4 2 3 2 6" xfId="38390"/>
    <cellStyle name="Обычный 8 2 2 4 2 3 3" xfId="38391"/>
    <cellStyle name="Обычный 8 2 2 4 2 3 3 2" xfId="38392"/>
    <cellStyle name="Обычный 8 2 2 4 2 3 3 3" xfId="38393"/>
    <cellStyle name="Обычный 8 2 2 4 2 3 4" xfId="38394"/>
    <cellStyle name="Обычный 8 2 2 4 2 3 4 2" xfId="38395"/>
    <cellStyle name="Обычный 8 2 2 4 2 3 4 3" xfId="38396"/>
    <cellStyle name="Обычный 8 2 2 4 2 3 5" xfId="38397"/>
    <cellStyle name="Обычный 8 2 2 4 2 3 5 2" xfId="38398"/>
    <cellStyle name="Обычный 8 2 2 4 2 3 6" xfId="38399"/>
    <cellStyle name="Обычный 8 2 2 4 2 3 7" xfId="38400"/>
    <cellStyle name="Обычный 8 2 2 4 2 4" xfId="38401"/>
    <cellStyle name="Обычный 8 2 2 4 2 4 2" xfId="38402"/>
    <cellStyle name="Обычный 8 2 2 4 2 4 2 2" xfId="38403"/>
    <cellStyle name="Обычный 8 2 2 4 2 4 2 3" xfId="38404"/>
    <cellStyle name="Обычный 8 2 2 4 2 4 3" xfId="38405"/>
    <cellStyle name="Обычный 8 2 2 4 2 4 3 2" xfId="38406"/>
    <cellStyle name="Обычный 8 2 2 4 2 4 3 3" xfId="38407"/>
    <cellStyle name="Обычный 8 2 2 4 2 4 4" xfId="38408"/>
    <cellStyle name="Обычный 8 2 2 4 2 4 4 2" xfId="38409"/>
    <cellStyle name="Обычный 8 2 2 4 2 4 5" xfId="38410"/>
    <cellStyle name="Обычный 8 2 2 4 2 4 6" xfId="38411"/>
    <cellStyle name="Обычный 8 2 2 4 2 5" xfId="38412"/>
    <cellStyle name="Обычный 8 2 2 4 2 5 2" xfId="38413"/>
    <cellStyle name="Обычный 8 2 2 4 2 5 3" xfId="38414"/>
    <cellStyle name="Обычный 8 2 2 4 2 6" xfId="38415"/>
    <cellStyle name="Обычный 8 2 2 4 2 6 2" xfId="38416"/>
    <cellStyle name="Обычный 8 2 2 4 2 6 3" xfId="38417"/>
    <cellStyle name="Обычный 8 2 2 4 2 7" xfId="38418"/>
    <cellStyle name="Обычный 8 2 2 4 2 7 2" xfId="38419"/>
    <cellStyle name="Обычный 8 2 2 4 2 8" xfId="38420"/>
    <cellStyle name="Обычный 8 2 2 4 2 9" xfId="38421"/>
    <cellStyle name="Обычный 8 2 2 4 3" xfId="38422"/>
    <cellStyle name="Обычный 8 2 2 4 3 2" xfId="38423"/>
    <cellStyle name="Обычный 8 2 2 4 3 2 2" xfId="38424"/>
    <cellStyle name="Обычный 8 2 2 4 3 2 2 2" xfId="38425"/>
    <cellStyle name="Обычный 8 2 2 4 3 2 2 2 2" xfId="38426"/>
    <cellStyle name="Обычный 8 2 2 4 3 2 2 2 3" xfId="38427"/>
    <cellStyle name="Обычный 8 2 2 4 3 2 2 3" xfId="38428"/>
    <cellStyle name="Обычный 8 2 2 4 3 2 2 3 2" xfId="38429"/>
    <cellStyle name="Обычный 8 2 2 4 3 2 2 3 3" xfId="38430"/>
    <cellStyle name="Обычный 8 2 2 4 3 2 2 4" xfId="38431"/>
    <cellStyle name="Обычный 8 2 2 4 3 2 2 4 2" xfId="38432"/>
    <cellStyle name="Обычный 8 2 2 4 3 2 2 5" xfId="38433"/>
    <cellStyle name="Обычный 8 2 2 4 3 2 2 6" xfId="38434"/>
    <cellStyle name="Обычный 8 2 2 4 3 2 3" xfId="38435"/>
    <cellStyle name="Обычный 8 2 2 4 3 2 3 2" xfId="38436"/>
    <cellStyle name="Обычный 8 2 2 4 3 2 3 3" xfId="38437"/>
    <cellStyle name="Обычный 8 2 2 4 3 2 4" xfId="38438"/>
    <cellStyle name="Обычный 8 2 2 4 3 2 4 2" xfId="38439"/>
    <cellStyle name="Обычный 8 2 2 4 3 2 4 3" xfId="38440"/>
    <cellStyle name="Обычный 8 2 2 4 3 2 5" xfId="38441"/>
    <cellStyle name="Обычный 8 2 2 4 3 2 5 2" xfId="38442"/>
    <cellStyle name="Обычный 8 2 2 4 3 2 6" xfId="38443"/>
    <cellStyle name="Обычный 8 2 2 4 3 2 7" xfId="38444"/>
    <cellStyle name="Обычный 8 2 2 4 3 3" xfId="38445"/>
    <cellStyle name="Обычный 8 2 2 4 3 3 2" xfId="38446"/>
    <cellStyle name="Обычный 8 2 2 4 3 3 2 2" xfId="38447"/>
    <cellStyle name="Обычный 8 2 2 4 3 3 2 3" xfId="38448"/>
    <cellStyle name="Обычный 8 2 2 4 3 3 3" xfId="38449"/>
    <cellStyle name="Обычный 8 2 2 4 3 3 3 2" xfId="38450"/>
    <cellStyle name="Обычный 8 2 2 4 3 3 3 3" xfId="38451"/>
    <cellStyle name="Обычный 8 2 2 4 3 3 4" xfId="38452"/>
    <cellStyle name="Обычный 8 2 2 4 3 3 4 2" xfId="38453"/>
    <cellStyle name="Обычный 8 2 2 4 3 3 5" xfId="38454"/>
    <cellStyle name="Обычный 8 2 2 4 3 3 6" xfId="38455"/>
    <cellStyle name="Обычный 8 2 2 4 3 4" xfId="38456"/>
    <cellStyle name="Обычный 8 2 2 4 3 4 2" xfId="38457"/>
    <cellStyle name="Обычный 8 2 2 4 3 4 3" xfId="38458"/>
    <cellStyle name="Обычный 8 2 2 4 3 5" xfId="38459"/>
    <cellStyle name="Обычный 8 2 2 4 3 5 2" xfId="38460"/>
    <cellStyle name="Обычный 8 2 2 4 3 5 3" xfId="38461"/>
    <cellStyle name="Обычный 8 2 2 4 3 6" xfId="38462"/>
    <cellStyle name="Обычный 8 2 2 4 3 6 2" xfId="38463"/>
    <cellStyle name="Обычный 8 2 2 4 3 7" xfId="38464"/>
    <cellStyle name="Обычный 8 2 2 4 3 8" xfId="38465"/>
    <cellStyle name="Обычный 8 2 2 4 4" xfId="38466"/>
    <cellStyle name="Обычный 8 2 2 4 4 2" xfId="38467"/>
    <cellStyle name="Обычный 8 2 2 4 4 2 2" xfId="38468"/>
    <cellStyle name="Обычный 8 2 2 4 4 2 2 2" xfId="38469"/>
    <cellStyle name="Обычный 8 2 2 4 4 2 2 3" xfId="38470"/>
    <cellStyle name="Обычный 8 2 2 4 4 2 3" xfId="38471"/>
    <cellStyle name="Обычный 8 2 2 4 4 2 3 2" xfId="38472"/>
    <cellStyle name="Обычный 8 2 2 4 4 2 3 3" xfId="38473"/>
    <cellStyle name="Обычный 8 2 2 4 4 2 4" xfId="38474"/>
    <cellStyle name="Обычный 8 2 2 4 4 2 4 2" xfId="38475"/>
    <cellStyle name="Обычный 8 2 2 4 4 2 5" xfId="38476"/>
    <cellStyle name="Обычный 8 2 2 4 4 2 6" xfId="38477"/>
    <cellStyle name="Обычный 8 2 2 4 4 3" xfId="38478"/>
    <cellStyle name="Обычный 8 2 2 4 4 3 2" xfId="38479"/>
    <cellStyle name="Обычный 8 2 2 4 4 3 3" xfId="38480"/>
    <cellStyle name="Обычный 8 2 2 4 4 4" xfId="38481"/>
    <cellStyle name="Обычный 8 2 2 4 4 4 2" xfId="38482"/>
    <cellStyle name="Обычный 8 2 2 4 4 4 3" xfId="38483"/>
    <cellStyle name="Обычный 8 2 2 4 4 5" xfId="38484"/>
    <cellStyle name="Обычный 8 2 2 4 4 5 2" xfId="38485"/>
    <cellStyle name="Обычный 8 2 2 4 4 6" xfId="38486"/>
    <cellStyle name="Обычный 8 2 2 4 4 7" xfId="38487"/>
    <cellStyle name="Обычный 8 2 2 4 5" xfId="38488"/>
    <cellStyle name="Обычный 8 2 2 4 5 2" xfId="38489"/>
    <cellStyle name="Обычный 8 2 2 4 5 2 2" xfId="38490"/>
    <cellStyle name="Обычный 8 2 2 4 5 2 3" xfId="38491"/>
    <cellStyle name="Обычный 8 2 2 4 5 3" xfId="38492"/>
    <cellStyle name="Обычный 8 2 2 4 5 3 2" xfId="38493"/>
    <cellStyle name="Обычный 8 2 2 4 5 3 3" xfId="38494"/>
    <cellStyle name="Обычный 8 2 2 4 5 4" xfId="38495"/>
    <cellStyle name="Обычный 8 2 2 4 5 4 2" xfId="38496"/>
    <cellStyle name="Обычный 8 2 2 4 5 5" xfId="38497"/>
    <cellStyle name="Обычный 8 2 2 4 5 6" xfId="38498"/>
    <cellStyle name="Обычный 8 2 2 4 6" xfId="38499"/>
    <cellStyle name="Обычный 8 2 2 4 6 2" xfId="38500"/>
    <cellStyle name="Обычный 8 2 2 4 6 3" xfId="38501"/>
    <cellStyle name="Обычный 8 2 2 4 7" xfId="38502"/>
    <cellStyle name="Обычный 8 2 2 4 7 2" xfId="38503"/>
    <cellStyle name="Обычный 8 2 2 4 7 3" xfId="38504"/>
    <cellStyle name="Обычный 8 2 2 4 8" xfId="38505"/>
    <cellStyle name="Обычный 8 2 2 4 8 2" xfId="38506"/>
    <cellStyle name="Обычный 8 2 2 4 9" xfId="38507"/>
    <cellStyle name="Обычный 8 2 2 5" xfId="38508"/>
    <cellStyle name="Обычный 8 2 2 5 2" xfId="38509"/>
    <cellStyle name="Обычный 8 2 2 5 2 2" xfId="38510"/>
    <cellStyle name="Обычный 8 2 2 5 2 2 2" xfId="38511"/>
    <cellStyle name="Обычный 8 2 2 5 2 2 2 2" xfId="38512"/>
    <cellStyle name="Обычный 8 2 2 5 2 2 2 2 2" xfId="38513"/>
    <cellStyle name="Обычный 8 2 2 5 2 2 2 2 3" xfId="38514"/>
    <cellStyle name="Обычный 8 2 2 5 2 2 2 3" xfId="38515"/>
    <cellStyle name="Обычный 8 2 2 5 2 2 2 3 2" xfId="38516"/>
    <cellStyle name="Обычный 8 2 2 5 2 2 2 3 3" xfId="38517"/>
    <cellStyle name="Обычный 8 2 2 5 2 2 2 4" xfId="38518"/>
    <cellStyle name="Обычный 8 2 2 5 2 2 2 4 2" xfId="38519"/>
    <cellStyle name="Обычный 8 2 2 5 2 2 2 5" xfId="38520"/>
    <cellStyle name="Обычный 8 2 2 5 2 2 2 6" xfId="38521"/>
    <cellStyle name="Обычный 8 2 2 5 2 2 3" xfId="38522"/>
    <cellStyle name="Обычный 8 2 2 5 2 2 3 2" xfId="38523"/>
    <cellStyle name="Обычный 8 2 2 5 2 2 3 3" xfId="38524"/>
    <cellStyle name="Обычный 8 2 2 5 2 2 4" xfId="38525"/>
    <cellStyle name="Обычный 8 2 2 5 2 2 4 2" xfId="38526"/>
    <cellStyle name="Обычный 8 2 2 5 2 2 4 3" xfId="38527"/>
    <cellStyle name="Обычный 8 2 2 5 2 2 5" xfId="38528"/>
    <cellStyle name="Обычный 8 2 2 5 2 2 5 2" xfId="38529"/>
    <cellStyle name="Обычный 8 2 2 5 2 2 6" xfId="38530"/>
    <cellStyle name="Обычный 8 2 2 5 2 2 7" xfId="38531"/>
    <cellStyle name="Обычный 8 2 2 5 2 3" xfId="38532"/>
    <cellStyle name="Обычный 8 2 2 5 2 3 2" xfId="38533"/>
    <cellStyle name="Обычный 8 2 2 5 2 3 2 2" xfId="38534"/>
    <cellStyle name="Обычный 8 2 2 5 2 3 2 3" xfId="38535"/>
    <cellStyle name="Обычный 8 2 2 5 2 3 3" xfId="38536"/>
    <cellStyle name="Обычный 8 2 2 5 2 3 3 2" xfId="38537"/>
    <cellStyle name="Обычный 8 2 2 5 2 3 3 3" xfId="38538"/>
    <cellStyle name="Обычный 8 2 2 5 2 3 4" xfId="38539"/>
    <cellStyle name="Обычный 8 2 2 5 2 3 4 2" xfId="38540"/>
    <cellStyle name="Обычный 8 2 2 5 2 3 5" xfId="38541"/>
    <cellStyle name="Обычный 8 2 2 5 2 3 6" xfId="38542"/>
    <cellStyle name="Обычный 8 2 2 5 2 4" xfId="38543"/>
    <cellStyle name="Обычный 8 2 2 5 2 4 2" xfId="38544"/>
    <cellStyle name="Обычный 8 2 2 5 2 4 3" xfId="38545"/>
    <cellStyle name="Обычный 8 2 2 5 2 5" xfId="38546"/>
    <cellStyle name="Обычный 8 2 2 5 2 5 2" xfId="38547"/>
    <cellStyle name="Обычный 8 2 2 5 2 5 3" xfId="38548"/>
    <cellStyle name="Обычный 8 2 2 5 2 6" xfId="38549"/>
    <cellStyle name="Обычный 8 2 2 5 2 6 2" xfId="38550"/>
    <cellStyle name="Обычный 8 2 2 5 2 7" xfId="38551"/>
    <cellStyle name="Обычный 8 2 2 5 2 8" xfId="38552"/>
    <cellStyle name="Обычный 8 2 2 5 3" xfId="38553"/>
    <cellStyle name="Обычный 8 2 2 5 3 2" xfId="38554"/>
    <cellStyle name="Обычный 8 2 2 5 3 2 2" xfId="38555"/>
    <cellStyle name="Обычный 8 2 2 5 3 2 2 2" xfId="38556"/>
    <cellStyle name="Обычный 8 2 2 5 3 2 2 3" xfId="38557"/>
    <cellStyle name="Обычный 8 2 2 5 3 2 3" xfId="38558"/>
    <cellStyle name="Обычный 8 2 2 5 3 2 3 2" xfId="38559"/>
    <cellStyle name="Обычный 8 2 2 5 3 2 3 3" xfId="38560"/>
    <cellStyle name="Обычный 8 2 2 5 3 2 4" xfId="38561"/>
    <cellStyle name="Обычный 8 2 2 5 3 2 4 2" xfId="38562"/>
    <cellStyle name="Обычный 8 2 2 5 3 2 5" xfId="38563"/>
    <cellStyle name="Обычный 8 2 2 5 3 2 6" xfId="38564"/>
    <cellStyle name="Обычный 8 2 2 5 3 3" xfId="38565"/>
    <cellStyle name="Обычный 8 2 2 5 3 3 2" xfId="38566"/>
    <cellStyle name="Обычный 8 2 2 5 3 3 3" xfId="38567"/>
    <cellStyle name="Обычный 8 2 2 5 3 4" xfId="38568"/>
    <cellStyle name="Обычный 8 2 2 5 3 4 2" xfId="38569"/>
    <cellStyle name="Обычный 8 2 2 5 3 4 3" xfId="38570"/>
    <cellStyle name="Обычный 8 2 2 5 3 5" xfId="38571"/>
    <cellStyle name="Обычный 8 2 2 5 3 5 2" xfId="38572"/>
    <cellStyle name="Обычный 8 2 2 5 3 6" xfId="38573"/>
    <cellStyle name="Обычный 8 2 2 5 3 7" xfId="38574"/>
    <cellStyle name="Обычный 8 2 2 5 4" xfId="38575"/>
    <cellStyle name="Обычный 8 2 2 5 4 2" xfId="38576"/>
    <cellStyle name="Обычный 8 2 2 5 4 2 2" xfId="38577"/>
    <cellStyle name="Обычный 8 2 2 5 4 2 3" xfId="38578"/>
    <cellStyle name="Обычный 8 2 2 5 4 3" xfId="38579"/>
    <cellStyle name="Обычный 8 2 2 5 4 3 2" xfId="38580"/>
    <cellStyle name="Обычный 8 2 2 5 4 3 3" xfId="38581"/>
    <cellStyle name="Обычный 8 2 2 5 4 4" xfId="38582"/>
    <cellStyle name="Обычный 8 2 2 5 4 4 2" xfId="38583"/>
    <cellStyle name="Обычный 8 2 2 5 4 5" xfId="38584"/>
    <cellStyle name="Обычный 8 2 2 5 4 6" xfId="38585"/>
    <cellStyle name="Обычный 8 2 2 5 5" xfId="38586"/>
    <cellStyle name="Обычный 8 2 2 5 5 2" xfId="38587"/>
    <cellStyle name="Обычный 8 2 2 5 5 3" xfId="38588"/>
    <cellStyle name="Обычный 8 2 2 5 6" xfId="38589"/>
    <cellStyle name="Обычный 8 2 2 5 6 2" xfId="38590"/>
    <cellStyle name="Обычный 8 2 2 5 6 3" xfId="38591"/>
    <cellStyle name="Обычный 8 2 2 5 7" xfId="38592"/>
    <cellStyle name="Обычный 8 2 2 5 7 2" xfId="38593"/>
    <cellStyle name="Обычный 8 2 2 5 8" xfId="38594"/>
    <cellStyle name="Обычный 8 2 2 5 9" xfId="38595"/>
    <cellStyle name="Обычный 8 2 2 6" xfId="38596"/>
    <cellStyle name="Обычный 8 2 2 6 2" xfId="38597"/>
    <cellStyle name="Обычный 8 2 2 6 2 2" xfId="38598"/>
    <cellStyle name="Обычный 8 2 2 6 2 2 2" xfId="38599"/>
    <cellStyle name="Обычный 8 2 2 6 2 2 2 2" xfId="38600"/>
    <cellStyle name="Обычный 8 2 2 6 2 2 2 3" xfId="38601"/>
    <cellStyle name="Обычный 8 2 2 6 2 2 3" xfId="38602"/>
    <cellStyle name="Обычный 8 2 2 6 2 2 3 2" xfId="38603"/>
    <cellStyle name="Обычный 8 2 2 6 2 2 3 3" xfId="38604"/>
    <cellStyle name="Обычный 8 2 2 6 2 2 4" xfId="38605"/>
    <cellStyle name="Обычный 8 2 2 6 2 2 4 2" xfId="38606"/>
    <cellStyle name="Обычный 8 2 2 6 2 2 5" xfId="38607"/>
    <cellStyle name="Обычный 8 2 2 6 2 2 6" xfId="38608"/>
    <cellStyle name="Обычный 8 2 2 6 2 3" xfId="38609"/>
    <cellStyle name="Обычный 8 2 2 6 2 3 2" xfId="38610"/>
    <cellStyle name="Обычный 8 2 2 6 2 3 3" xfId="38611"/>
    <cellStyle name="Обычный 8 2 2 6 2 4" xfId="38612"/>
    <cellStyle name="Обычный 8 2 2 6 2 4 2" xfId="38613"/>
    <cellStyle name="Обычный 8 2 2 6 2 4 3" xfId="38614"/>
    <cellStyle name="Обычный 8 2 2 6 2 5" xfId="38615"/>
    <cellStyle name="Обычный 8 2 2 6 2 5 2" xfId="38616"/>
    <cellStyle name="Обычный 8 2 2 6 2 6" xfId="38617"/>
    <cellStyle name="Обычный 8 2 2 6 2 7" xfId="38618"/>
    <cellStyle name="Обычный 8 2 2 6 3" xfId="38619"/>
    <cellStyle name="Обычный 8 2 2 6 3 2" xfId="38620"/>
    <cellStyle name="Обычный 8 2 2 6 3 2 2" xfId="38621"/>
    <cellStyle name="Обычный 8 2 2 6 3 2 3" xfId="38622"/>
    <cellStyle name="Обычный 8 2 2 6 3 3" xfId="38623"/>
    <cellStyle name="Обычный 8 2 2 6 3 3 2" xfId="38624"/>
    <cellStyle name="Обычный 8 2 2 6 3 3 3" xfId="38625"/>
    <cellStyle name="Обычный 8 2 2 6 3 4" xfId="38626"/>
    <cellStyle name="Обычный 8 2 2 6 3 4 2" xfId="38627"/>
    <cellStyle name="Обычный 8 2 2 6 3 5" xfId="38628"/>
    <cellStyle name="Обычный 8 2 2 6 3 6" xfId="38629"/>
    <cellStyle name="Обычный 8 2 2 6 4" xfId="38630"/>
    <cellStyle name="Обычный 8 2 2 6 4 2" xfId="38631"/>
    <cellStyle name="Обычный 8 2 2 6 4 3" xfId="38632"/>
    <cellStyle name="Обычный 8 2 2 6 5" xfId="38633"/>
    <cellStyle name="Обычный 8 2 2 6 5 2" xfId="38634"/>
    <cellStyle name="Обычный 8 2 2 6 5 3" xfId="38635"/>
    <cellStyle name="Обычный 8 2 2 6 6" xfId="38636"/>
    <cellStyle name="Обычный 8 2 2 6 6 2" xfId="38637"/>
    <cellStyle name="Обычный 8 2 2 6 7" xfId="38638"/>
    <cellStyle name="Обычный 8 2 2 6 8" xfId="38639"/>
    <cellStyle name="Обычный 8 2 2 7" xfId="38640"/>
    <cellStyle name="Обычный 8 2 2 7 2" xfId="38641"/>
    <cellStyle name="Обычный 8 2 2 7 2 2" xfId="38642"/>
    <cellStyle name="Обычный 8 2 2 7 2 2 2" xfId="38643"/>
    <cellStyle name="Обычный 8 2 2 7 2 2 3" xfId="38644"/>
    <cellStyle name="Обычный 8 2 2 7 2 3" xfId="38645"/>
    <cellStyle name="Обычный 8 2 2 7 2 3 2" xfId="38646"/>
    <cellStyle name="Обычный 8 2 2 7 2 3 3" xfId="38647"/>
    <cellStyle name="Обычный 8 2 2 7 2 4" xfId="38648"/>
    <cellStyle name="Обычный 8 2 2 7 2 4 2" xfId="38649"/>
    <cellStyle name="Обычный 8 2 2 7 2 5" xfId="38650"/>
    <cellStyle name="Обычный 8 2 2 7 2 6" xfId="38651"/>
    <cellStyle name="Обычный 8 2 2 7 3" xfId="38652"/>
    <cellStyle name="Обычный 8 2 2 7 3 2" xfId="38653"/>
    <cellStyle name="Обычный 8 2 2 7 3 3" xfId="38654"/>
    <cellStyle name="Обычный 8 2 2 7 4" xfId="38655"/>
    <cellStyle name="Обычный 8 2 2 7 4 2" xfId="38656"/>
    <cellStyle name="Обычный 8 2 2 7 4 3" xfId="38657"/>
    <cellStyle name="Обычный 8 2 2 7 5" xfId="38658"/>
    <cellStyle name="Обычный 8 2 2 7 5 2" xfId="38659"/>
    <cellStyle name="Обычный 8 2 2 7 6" xfId="38660"/>
    <cellStyle name="Обычный 8 2 2 7 7" xfId="38661"/>
    <cellStyle name="Обычный 8 2 2 8" xfId="38662"/>
    <cellStyle name="Обычный 8 2 2 8 2" xfId="38663"/>
    <cellStyle name="Обычный 8 2 2 8 2 2" xfId="38664"/>
    <cellStyle name="Обычный 8 2 2 8 2 3" xfId="38665"/>
    <cellStyle name="Обычный 8 2 2 8 3" xfId="38666"/>
    <cellStyle name="Обычный 8 2 2 8 3 2" xfId="38667"/>
    <cellStyle name="Обычный 8 2 2 8 3 3" xfId="38668"/>
    <cellStyle name="Обычный 8 2 2 8 4" xfId="38669"/>
    <cellStyle name="Обычный 8 2 2 8 4 2" xfId="38670"/>
    <cellStyle name="Обычный 8 2 2 8 5" xfId="38671"/>
    <cellStyle name="Обычный 8 2 2 8 6" xfId="38672"/>
    <cellStyle name="Обычный 8 2 2 9" xfId="38673"/>
    <cellStyle name="Обычный 8 2 2 9 2" xfId="38674"/>
    <cellStyle name="Обычный 8 2 2 9 3" xfId="38675"/>
    <cellStyle name="Обычный 8 2 3" xfId="38676"/>
    <cellStyle name="Обычный 8 2 3 10" xfId="38677"/>
    <cellStyle name="Обычный 8 2 3 2" xfId="38678"/>
    <cellStyle name="Обычный 8 2 3 2 2" xfId="38679"/>
    <cellStyle name="Обычный 8 2 3 2 2 2" xfId="38680"/>
    <cellStyle name="Обычный 8 2 3 2 2 2 2" xfId="38681"/>
    <cellStyle name="Обычный 8 2 3 2 2 2 2 2" xfId="38682"/>
    <cellStyle name="Обычный 8 2 3 2 2 2 2 2 2" xfId="38683"/>
    <cellStyle name="Обычный 8 2 3 2 2 2 2 2 3" xfId="38684"/>
    <cellStyle name="Обычный 8 2 3 2 2 2 2 3" xfId="38685"/>
    <cellStyle name="Обычный 8 2 3 2 2 2 2 3 2" xfId="38686"/>
    <cellStyle name="Обычный 8 2 3 2 2 2 2 3 3" xfId="38687"/>
    <cellStyle name="Обычный 8 2 3 2 2 2 2 4" xfId="38688"/>
    <cellStyle name="Обычный 8 2 3 2 2 2 2 4 2" xfId="38689"/>
    <cellStyle name="Обычный 8 2 3 2 2 2 2 5" xfId="38690"/>
    <cellStyle name="Обычный 8 2 3 2 2 2 2 6" xfId="38691"/>
    <cellStyle name="Обычный 8 2 3 2 2 2 3" xfId="38692"/>
    <cellStyle name="Обычный 8 2 3 2 2 2 3 2" xfId="38693"/>
    <cellStyle name="Обычный 8 2 3 2 2 2 3 3" xfId="38694"/>
    <cellStyle name="Обычный 8 2 3 2 2 2 4" xfId="38695"/>
    <cellStyle name="Обычный 8 2 3 2 2 2 4 2" xfId="38696"/>
    <cellStyle name="Обычный 8 2 3 2 2 2 4 3" xfId="38697"/>
    <cellStyle name="Обычный 8 2 3 2 2 2 5" xfId="38698"/>
    <cellStyle name="Обычный 8 2 3 2 2 2 5 2" xfId="38699"/>
    <cellStyle name="Обычный 8 2 3 2 2 2 6" xfId="38700"/>
    <cellStyle name="Обычный 8 2 3 2 2 2 7" xfId="38701"/>
    <cellStyle name="Обычный 8 2 3 2 2 3" xfId="38702"/>
    <cellStyle name="Обычный 8 2 3 2 2 3 2" xfId="38703"/>
    <cellStyle name="Обычный 8 2 3 2 2 3 2 2" xfId="38704"/>
    <cellStyle name="Обычный 8 2 3 2 2 3 2 3" xfId="38705"/>
    <cellStyle name="Обычный 8 2 3 2 2 3 3" xfId="38706"/>
    <cellStyle name="Обычный 8 2 3 2 2 3 3 2" xfId="38707"/>
    <cellStyle name="Обычный 8 2 3 2 2 3 3 3" xfId="38708"/>
    <cellStyle name="Обычный 8 2 3 2 2 3 4" xfId="38709"/>
    <cellStyle name="Обычный 8 2 3 2 2 3 4 2" xfId="38710"/>
    <cellStyle name="Обычный 8 2 3 2 2 3 5" xfId="38711"/>
    <cellStyle name="Обычный 8 2 3 2 2 3 6" xfId="38712"/>
    <cellStyle name="Обычный 8 2 3 2 2 4" xfId="38713"/>
    <cellStyle name="Обычный 8 2 3 2 2 4 2" xfId="38714"/>
    <cellStyle name="Обычный 8 2 3 2 2 4 3" xfId="38715"/>
    <cellStyle name="Обычный 8 2 3 2 2 5" xfId="38716"/>
    <cellStyle name="Обычный 8 2 3 2 2 5 2" xfId="38717"/>
    <cellStyle name="Обычный 8 2 3 2 2 5 3" xfId="38718"/>
    <cellStyle name="Обычный 8 2 3 2 2 6" xfId="38719"/>
    <cellStyle name="Обычный 8 2 3 2 2 6 2" xfId="38720"/>
    <cellStyle name="Обычный 8 2 3 2 2 7" xfId="38721"/>
    <cellStyle name="Обычный 8 2 3 2 2 8" xfId="38722"/>
    <cellStyle name="Обычный 8 2 3 2 3" xfId="38723"/>
    <cellStyle name="Обычный 8 2 3 2 3 2" xfId="38724"/>
    <cellStyle name="Обычный 8 2 3 2 3 2 2" xfId="38725"/>
    <cellStyle name="Обычный 8 2 3 2 3 2 2 2" xfId="38726"/>
    <cellStyle name="Обычный 8 2 3 2 3 2 2 3" xfId="38727"/>
    <cellStyle name="Обычный 8 2 3 2 3 2 3" xfId="38728"/>
    <cellStyle name="Обычный 8 2 3 2 3 2 3 2" xfId="38729"/>
    <cellStyle name="Обычный 8 2 3 2 3 2 3 3" xfId="38730"/>
    <cellStyle name="Обычный 8 2 3 2 3 2 4" xfId="38731"/>
    <cellStyle name="Обычный 8 2 3 2 3 2 4 2" xfId="38732"/>
    <cellStyle name="Обычный 8 2 3 2 3 2 5" xfId="38733"/>
    <cellStyle name="Обычный 8 2 3 2 3 2 6" xfId="38734"/>
    <cellStyle name="Обычный 8 2 3 2 3 3" xfId="38735"/>
    <cellStyle name="Обычный 8 2 3 2 3 3 2" xfId="38736"/>
    <cellStyle name="Обычный 8 2 3 2 3 3 3" xfId="38737"/>
    <cellStyle name="Обычный 8 2 3 2 3 4" xfId="38738"/>
    <cellStyle name="Обычный 8 2 3 2 3 4 2" xfId="38739"/>
    <cellStyle name="Обычный 8 2 3 2 3 4 3" xfId="38740"/>
    <cellStyle name="Обычный 8 2 3 2 3 5" xfId="38741"/>
    <cellStyle name="Обычный 8 2 3 2 3 5 2" xfId="38742"/>
    <cellStyle name="Обычный 8 2 3 2 3 6" xfId="38743"/>
    <cellStyle name="Обычный 8 2 3 2 3 7" xfId="38744"/>
    <cellStyle name="Обычный 8 2 3 2 4" xfId="38745"/>
    <cellStyle name="Обычный 8 2 3 2 4 2" xfId="38746"/>
    <cellStyle name="Обычный 8 2 3 2 4 2 2" xfId="38747"/>
    <cellStyle name="Обычный 8 2 3 2 4 2 3" xfId="38748"/>
    <cellStyle name="Обычный 8 2 3 2 4 3" xfId="38749"/>
    <cellStyle name="Обычный 8 2 3 2 4 3 2" xfId="38750"/>
    <cellStyle name="Обычный 8 2 3 2 4 3 3" xfId="38751"/>
    <cellStyle name="Обычный 8 2 3 2 4 4" xfId="38752"/>
    <cellStyle name="Обычный 8 2 3 2 4 4 2" xfId="38753"/>
    <cellStyle name="Обычный 8 2 3 2 4 5" xfId="38754"/>
    <cellStyle name="Обычный 8 2 3 2 4 6" xfId="38755"/>
    <cellStyle name="Обычный 8 2 3 2 5" xfId="38756"/>
    <cellStyle name="Обычный 8 2 3 2 5 2" xfId="38757"/>
    <cellStyle name="Обычный 8 2 3 2 5 3" xfId="38758"/>
    <cellStyle name="Обычный 8 2 3 2 6" xfId="38759"/>
    <cellStyle name="Обычный 8 2 3 2 6 2" xfId="38760"/>
    <cellStyle name="Обычный 8 2 3 2 6 3" xfId="38761"/>
    <cellStyle name="Обычный 8 2 3 2 7" xfId="38762"/>
    <cellStyle name="Обычный 8 2 3 2 7 2" xfId="38763"/>
    <cellStyle name="Обычный 8 2 3 2 8" xfId="38764"/>
    <cellStyle name="Обычный 8 2 3 2 9" xfId="38765"/>
    <cellStyle name="Обычный 8 2 3 3" xfId="38766"/>
    <cellStyle name="Обычный 8 2 3 3 2" xfId="38767"/>
    <cellStyle name="Обычный 8 2 3 3 2 2" xfId="38768"/>
    <cellStyle name="Обычный 8 2 3 3 2 2 2" xfId="38769"/>
    <cellStyle name="Обычный 8 2 3 3 2 2 2 2" xfId="38770"/>
    <cellStyle name="Обычный 8 2 3 3 2 2 2 3" xfId="38771"/>
    <cellStyle name="Обычный 8 2 3 3 2 2 3" xfId="38772"/>
    <cellStyle name="Обычный 8 2 3 3 2 2 3 2" xfId="38773"/>
    <cellStyle name="Обычный 8 2 3 3 2 2 3 3" xfId="38774"/>
    <cellStyle name="Обычный 8 2 3 3 2 2 4" xfId="38775"/>
    <cellStyle name="Обычный 8 2 3 3 2 2 4 2" xfId="38776"/>
    <cellStyle name="Обычный 8 2 3 3 2 2 5" xfId="38777"/>
    <cellStyle name="Обычный 8 2 3 3 2 2 6" xfId="38778"/>
    <cellStyle name="Обычный 8 2 3 3 2 3" xfId="38779"/>
    <cellStyle name="Обычный 8 2 3 3 2 3 2" xfId="38780"/>
    <cellStyle name="Обычный 8 2 3 3 2 3 3" xfId="38781"/>
    <cellStyle name="Обычный 8 2 3 3 2 4" xfId="38782"/>
    <cellStyle name="Обычный 8 2 3 3 2 4 2" xfId="38783"/>
    <cellStyle name="Обычный 8 2 3 3 2 4 3" xfId="38784"/>
    <cellStyle name="Обычный 8 2 3 3 2 5" xfId="38785"/>
    <cellStyle name="Обычный 8 2 3 3 2 5 2" xfId="38786"/>
    <cellStyle name="Обычный 8 2 3 3 2 6" xfId="38787"/>
    <cellStyle name="Обычный 8 2 3 3 2 7" xfId="38788"/>
    <cellStyle name="Обычный 8 2 3 3 3" xfId="38789"/>
    <cellStyle name="Обычный 8 2 3 3 3 2" xfId="38790"/>
    <cellStyle name="Обычный 8 2 3 3 3 2 2" xfId="38791"/>
    <cellStyle name="Обычный 8 2 3 3 3 2 3" xfId="38792"/>
    <cellStyle name="Обычный 8 2 3 3 3 3" xfId="38793"/>
    <cellStyle name="Обычный 8 2 3 3 3 3 2" xfId="38794"/>
    <cellStyle name="Обычный 8 2 3 3 3 3 3" xfId="38795"/>
    <cellStyle name="Обычный 8 2 3 3 3 4" xfId="38796"/>
    <cellStyle name="Обычный 8 2 3 3 3 4 2" xfId="38797"/>
    <cellStyle name="Обычный 8 2 3 3 3 5" xfId="38798"/>
    <cellStyle name="Обычный 8 2 3 3 3 6" xfId="38799"/>
    <cellStyle name="Обычный 8 2 3 3 4" xfId="38800"/>
    <cellStyle name="Обычный 8 2 3 3 4 2" xfId="38801"/>
    <cellStyle name="Обычный 8 2 3 3 4 3" xfId="38802"/>
    <cellStyle name="Обычный 8 2 3 3 5" xfId="38803"/>
    <cellStyle name="Обычный 8 2 3 3 5 2" xfId="38804"/>
    <cellStyle name="Обычный 8 2 3 3 5 3" xfId="38805"/>
    <cellStyle name="Обычный 8 2 3 3 6" xfId="38806"/>
    <cellStyle name="Обычный 8 2 3 3 6 2" xfId="38807"/>
    <cellStyle name="Обычный 8 2 3 3 7" xfId="38808"/>
    <cellStyle name="Обычный 8 2 3 3 8" xfId="38809"/>
    <cellStyle name="Обычный 8 2 3 4" xfId="38810"/>
    <cellStyle name="Обычный 8 2 3 4 2" xfId="38811"/>
    <cellStyle name="Обычный 8 2 3 4 2 2" xfId="38812"/>
    <cellStyle name="Обычный 8 2 3 4 2 2 2" xfId="38813"/>
    <cellStyle name="Обычный 8 2 3 4 2 2 3" xfId="38814"/>
    <cellStyle name="Обычный 8 2 3 4 2 3" xfId="38815"/>
    <cellStyle name="Обычный 8 2 3 4 2 3 2" xfId="38816"/>
    <cellStyle name="Обычный 8 2 3 4 2 3 3" xfId="38817"/>
    <cellStyle name="Обычный 8 2 3 4 2 4" xfId="38818"/>
    <cellStyle name="Обычный 8 2 3 4 2 4 2" xfId="38819"/>
    <cellStyle name="Обычный 8 2 3 4 2 5" xfId="38820"/>
    <cellStyle name="Обычный 8 2 3 4 2 6" xfId="38821"/>
    <cellStyle name="Обычный 8 2 3 4 3" xfId="38822"/>
    <cellStyle name="Обычный 8 2 3 4 3 2" xfId="38823"/>
    <cellStyle name="Обычный 8 2 3 4 3 3" xfId="38824"/>
    <cellStyle name="Обычный 8 2 3 4 4" xfId="38825"/>
    <cellStyle name="Обычный 8 2 3 4 4 2" xfId="38826"/>
    <cellStyle name="Обычный 8 2 3 4 4 3" xfId="38827"/>
    <cellStyle name="Обычный 8 2 3 4 5" xfId="38828"/>
    <cellStyle name="Обычный 8 2 3 4 5 2" xfId="38829"/>
    <cellStyle name="Обычный 8 2 3 4 6" xfId="38830"/>
    <cellStyle name="Обычный 8 2 3 4 7" xfId="38831"/>
    <cellStyle name="Обычный 8 2 3 5" xfId="38832"/>
    <cellStyle name="Обычный 8 2 3 5 2" xfId="38833"/>
    <cellStyle name="Обычный 8 2 3 5 2 2" xfId="38834"/>
    <cellStyle name="Обычный 8 2 3 5 2 3" xfId="38835"/>
    <cellStyle name="Обычный 8 2 3 5 3" xfId="38836"/>
    <cellStyle name="Обычный 8 2 3 5 3 2" xfId="38837"/>
    <cellStyle name="Обычный 8 2 3 5 3 3" xfId="38838"/>
    <cellStyle name="Обычный 8 2 3 5 4" xfId="38839"/>
    <cellStyle name="Обычный 8 2 3 5 4 2" xfId="38840"/>
    <cellStyle name="Обычный 8 2 3 5 5" xfId="38841"/>
    <cellStyle name="Обычный 8 2 3 5 6" xfId="38842"/>
    <cellStyle name="Обычный 8 2 3 6" xfId="38843"/>
    <cellStyle name="Обычный 8 2 3 6 2" xfId="38844"/>
    <cellStyle name="Обычный 8 2 3 6 3" xfId="38845"/>
    <cellStyle name="Обычный 8 2 3 7" xfId="38846"/>
    <cellStyle name="Обычный 8 2 3 7 2" xfId="38847"/>
    <cellStyle name="Обычный 8 2 3 7 3" xfId="38848"/>
    <cellStyle name="Обычный 8 2 3 8" xfId="38849"/>
    <cellStyle name="Обычный 8 2 3 8 2" xfId="38850"/>
    <cellStyle name="Обычный 8 2 3 9" xfId="38851"/>
    <cellStyle name="Обычный 8 2 4" xfId="38852"/>
    <cellStyle name="Обычный 8 2 4 10" xfId="38853"/>
    <cellStyle name="Обычный 8 2 4 2" xfId="38854"/>
    <cellStyle name="Обычный 8 2 4 2 2" xfId="38855"/>
    <cellStyle name="Обычный 8 2 4 2 2 2" xfId="38856"/>
    <cellStyle name="Обычный 8 2 4 2 2 2 2" xfId="38857"/>
    <cellStyle name="Обычный 8 2 4 2 2 2 2 2" xfId="38858"/>
    <cellStyle name="Обычный 8 2 4 2 2 2 2 2 2" xfId="38859"/>
    <cellStyle name="Обычный 8 2 4 2 2 2 2 2 3" xfId="38860"/>
    <cellStyle name="Обычный 8 2 4 2 2 2 2 3" xfId="38861"/>
    <cellStyle name="Обычный 8 2 4 2 2 2 2 3 2" xfId="38862"/>
    <cellStyle name="Обычный 8 2 4 2 2 2 2 3 3" xfId="38863"/>
    <cellStyle name="Обычный 8 2 4 2 2 2 2 4" xfId="38864"/>
    <cellStyle name="Обычный 8 2 4 2 2 2 2 4 2" xfId="38865"/>
    <cellStyle name="Обычный 8 2 4 2 2 2 2 5" xfId="38866"/>
    <cellStyle name="Обычный 8 2 4 2 2 2 2 6" xfId="38867"/>
    <cellStyle name="Обычный 8 2 4 2 2 2 3" xfId="38868"/>
    <cellStyle name="Обычный 8 2 4 2 2 2 3 2" xfId="38869"/>
    <cellStyle name="Обычный 8 2 4 2 2 2 3 3" xfId="38870"/>
    <cellStyle name="Обычный 8 2 4 2 2 2 4" xfId="38871"/>
    <cellStyle name="Обычный 8 2 4 2 2 2 4 2" xfId="38872"/>
    <cellStyle name="Обычный 8 2 4 2 2 2 4 3" xfId="38873"/>
    <cellStyle name="Обычный 8 2 4 2 2 2 5" xfId="38874"/>
    <cellStyle name="Обычный 8 2 4 2 2 2 5 2" xfId="38875"/>
    <cellStyle name="Обычный 8 2 4 2 2 2 6" xfId="38876"/>
    <cellStyle name="Обычный 8 2 4 2 2 2 7" xfId="38877"/>
    <cellStyle name="Обычный 8 2 4 2 2 3" xfId="38878"/>
    <cellStyle name="Обычный 8 2 4 2 2 3 2" xfId="38879"/>
    <cellStyle name="Обычный 8 2 4 2 2 3 2 2" xfId="38880"/>
    <cellStyle name="Обычный 8 2 4 2 2 3 2 3" xfId="38881"/>
    <cellStyle name="Обычный 8 2 4 2 2 3 3" xfId="38882"/>
    <cellStyle name="Обычный 8 2 4 2 2 3 3 2" xfId="38883"/>
    <cellStyle name="Обычный 8 2 4 2 2 3 3 3" xfId="38884"/>
    <cellStyle name="Обычный 8 2 4 2 2 3 4" xfId="38885"/>
    <cellStyle name="Обычный 8 2 4 2 2 3 4 2" xfId="38886"/>
    <cellStyle name="Обычный 8 2 4 2 2 3 5" xfId="38887"/>
    <cellStyle name="Обычный 8 2 4 2 2 3 6" xfId="38888"/>
    <cellStyle name="Обычный 8 2 4 2 2 4" xfId="38889"/>
    <cellStyle name="Обычный 8 2 4 2 2 4 2" xfId="38890"/>
    <cellStyle name="Обычный 8 2 4 2 2 4 3" xfId="38891"/>
    <cellStyle name="Обычный 8 2 4 2 2 5" xfId="38892"/>
    <cellStyle name="Обычный 8 2 4 2 2 5 2" xfId="38893"/>
    <cellStyle name="Обычный 8 2 4 2 2 5 3" xfId="38894"/>
    <cellStyle name="Обычный 8 2 4 2 2 6" xfId="38895"/>
    <cellStyle name="Обычный 8 2 4 2 2 6 2" xfId="38896"/>
    <cellStyle name="Обычный 8 2 4 2 2 7" xfId="38897"/>
    <cellStyle name="Обычный 8 2 4 2 2 8" xfId="38898"/>
    <cellStyle name="Обычный 8 2 4 2 3" xfId="38899"/>
    <cellStyle name="Обычный 8 2 4 2 3 2" xfId="38900"/>
    <cellStyle name="Обычный 8 2 4 2 3 2 2" xfId="38901"/>
    <cellStyle name="Обычный 8 2 4 2 3 2 2 2" xfId="38902"/>
    <cellStyle name="Обычный 8 2 4 2 3 2 2 3" xfId="38903"/>
    <cellStyle name="Обычный 8 2 4 2 3 2 3" xfId="38904"/>
    <cellStyle name="Обычный 8 2 4 2 3 2 3 2" xfId="38905"/>
    <cellStyle name="Обычный 8 2 4 2 3 2 3 3" xfId="38906"/>
    <cellStyle name="Обычный 8 2 4 2 3 2 4" xfId="38907"/>
    <cellStyle name="Обычный 8 2 4 2 3 2 4 2" xfId="38908"/>
    <cellStyle name="Обычный 8 2 4 2 3 2 5" xfId="38909"/>
    <cellStyle name="Обычный 8 2 4 2 3 2 6" xfId="38910"/>
    <cellStyle name="Обычный 8 2 4 2 3 3" xfId="38911"/>
    <cellStyle name="Обычный 8 2 4 2 3 3 2" xfId="38912"/>
    <cellStyle name="Обычный 8 2 4 2 3 3 3" xfId="38913"/>
    <cellStyle name="Обычный 8 2 4 2 3 4" xfId="38914"/>
    <cellStyle name="Обычный 8 2 4 2 3 4 2" xfId="38915"/>
    <cellStyle name="Обычный 8 2 4 2 3 4 3" xfId="38916"/>
    <cellStyle name="Обычный 8 2 4 2 3 5" xfId="38917"/>
    <cellStyle name="Обычный 8 2 4 2 3 5 2" xfId="38918"/>
    <cellStyle name="Обычный 8 2 4 2 3 6" xfId="38919"/>
    <cellStyle name="Обычный 8 2 4 2 3 7" xfId="38920"/>
    <cellStyle name="Обычный 8 2 4 2 4" xfId="38921"/>
    <cellStyle name="Обычный 8 2 4 2 4 2" xfId="38922"/>
    <cellStyle name="Обычный 8 2 4 2 4 2 2" xfId="38923"/>
    <cellStyle name="Обычный 8 2 4 2 4 2 3" xfId="38924"/>
    <cellStyle name="Обычный 8 2 4 2 4 3" xfId="38925"/>
    <cellStyle name="Обычный 8 2 4 2 4 3 2" xfId="38926"/>
    <cellStyle name="Обычный 8 2 4 2 4 3 3" xfId="38927"/>
    <cellStyle name="Обычный 8 2 4 2 4 4" xfId="38928"/>
    <cellStyle name="Обычный 8 2 4 2 4 4 2" xfId="38929"/>
    <cellStyle name="Обычный 8 2 4 2 4 5" xfId="38930"/>
    <cellStyle name="Обычный 8 2 4 2 4 6" xfId="38931"/>
    <cellStyle name="Обычный 8 2 4 2 5" xfId="38932"/>
    <cellStyle name="Обычный 8 2 4 2 5 2" xfId="38933"/>
    <cellStyle name="Обычный 8 2 4 2 5 3" xfId="38934"/>
    <cellStyle name="Обычный 8 2 4 2 6" xfId="38935"/>
    <cellStyle name="Обычный 8 2 4 2 6 2" xfId="38936"/>
    <cellStyle name="Обычный 8 2 4 2 6 3" xfId="38937"/>
    <cellStyle name="Обычный 8 2 4 2 7" xfId="38938"/>
    <cellStyle name="Обычный 8 2 4 2 7 2" xfId="38939"/>
    <cellStyle name="Обычный 8 2 4 2 8" xfId="38940"/>
    <cellStyle name="Обычный 8 2 4 2 9" xfId="38941"/>
    <cellStyle name="Обычный 8 2 4 3" xfId="38942"/>
    <cellStyle name="Обычный 8 2 4 3 2" xfId="38943"/>
    <cellStyle name="Обычный 8 2 4 3 2 2" xfId="38944"/>
    <cellStyle name="Обычный 8 2 4 3 2 2 2" xfId="38945"/>
    <cellStyle name="Обычный 8 2 4 3 2 2 2 2" xfId="38946"/>
    <cellStyle name="Обычный 8 2 4 3 2 2 2 3" xfId="38947"/>
    <cellStyle name="Обычный 8 2 4 3 2 2 3" xfId="38948"/>
    <cellStyle name="Обычный 8 2 4 3 2 2 3 2" xfId="38949"/>
    <cellStyle name="Обычный 8 2 4 3 2 2 3 3" xfId="38950"/>
    <cellStyle name="Обычный 8 2 4 3 2 2 4" xfId="38951"/>
    <cellStyle name="Обычный 8 2 4 3 2 2 4 2" xfId="38952"/>
    <cellStyle name="Обычный 8 2 4 3 2 2 5" xfId="38953"/>
    <cellStyle name="Обычный 8 2 4 3 2 2 6" xfId="38954"/>
    <cellStyle name="Обычный 8 2 4 3 2 3" xfId="38955"/>
    <cellStyle name="Обычный 8 2 4 3 2 3 2" xfId="38956"/>
    <cellStyle name="Обычный 8 2 4 3 2 3 3" xfId="38957"/>
    <cellStyle name="Обычный 8 2 4 3 2 4" xfId="38958"/>
    <cellStyle name="Обычный 8 2 4 3 2 4 2" xfId="38959"/>
    <cellStyle name="Обычный 8 2 4 3 2 4 3" xfId="38960"/>
    <cellStyle name="Обычный 8 2 4 3 2 5" xfId="38961"/>
    <cellStyle name="Обычный 8 2 4 3 2 5 2" xfId="38962"/>
    <cellStyle name="Обычный 8 2 4 3 2 6" xfId="38963"/>
    <cellStyle name="Обычный 8 2 4 3 2 7" xfId="38964"/>
    <cellStyle name="Обычный 8 2 4 3 3" xfId="38965"/>
    <cellStyle name="Обычный 8 2 4 3 3 2" xfId="38966"/>
    <cellStyle name="Обычный 8 2 4 3 3 2 2" xfId="38967"/>
    <cellStyle name="Обычный 8 2 4 3 3 2 3" xfId="38968"/>
    <cellStyle name="Обычный 8 2 4 3 3 3" xfId="38969"/>
    <cellStyle name="Обычный 8 2 4 3 3 3 2" xfId="38970"/>
    <cellStyle name="Обычный 8 2 4 3 3 3 3" xfId="38971"/>
    <cellStyle name="Обычный 8 2 4 3 3 4" xfId="38972"/>
    <cellStyle name="Обычный 8 2 4 3 3 4 2" xfId="38973"/>
    <cellStyle name="Обычный 8 2 4 3 3 5" xfId="38974"/>
    <cellStyle name="Обычный 8 2 4 3 3 6" xfId="38975"/>
    <cellStyle name="Обычный 8 2 4 3 4" xfId="38976"/>
    <cellStyle name="Обычный 8 2 4 3 4 2" xfId="38977"/>
    <cellStyle name="Обычный 8 2 4 3 4 3" xfId="38978"/>
    <cellStyle name="Обычный 8 2 4 3 5" xfId="38979"/>
    <cellStyle name="Обычный 8 2 4 3 5 2" xfId="38980"/>
    <cellStyle name="Обычный 8 2 4 3 5 3" xfId="38981"/>
    <cellStyle name="Обычный 8 2 4 3 6" xfId="38982"/>
    <cellStyle name="Обычный 8 2 4 3 6 2" xfId="38983"/>
    <cellStyle name="Обычный 8 2 4 3 7" xfId="38984"/>
    <cellStyle name="Обычный 8 2 4 3 8" xfId="38985"/>
    <cellStyle name="Обычный 8 2 4 4" xfId="38986"/>
    <cellStyle name="Обычный 8 2 4 4 2" xfId="38987"/>
    <cellStyle name="Обычный 8 2 4 4 2 2" xfId="38988"/>
    <cellStyle name="Обычный 8 2 4 4 2 2 2" xfId="38989"/>
    <cellStyle name="Обычный 8 2 4 4 2 2 3" xfId="38990"/>
    <cellStyle name="Обычный 8 2 4 4 2 3" xfId="38991"/>
    <cellStyle name="Обычный 8 2 4 4 2 3 2" xfId="38992"/>
    <cellStyle name="Обычный 8 2 4 4 2 3 3" xfId="38993"/>
    <cellStyle name="Обычный 8 2 4 4 2 4" xfId="38994"/>
    <cellStyle name="Обычный 8 2 4 4 2 4 2" xfId="38995"/>
    <cellStyle name="Обычный 8 2 4 4 2 5" xfId="38996"/>
    <cellStyle name="Обычный 8 2 4 4 2 6" xfId="38997"/>
    <cellStyle name="Обычный 8 2 4 4 3" xfId="38998"/>
    <cellStyle name="Обычный 8 2 4 4 3 2" xfId="38999"/>
    <cellStyle name="Обычный 8 2 4 4 3 3" xfId="39000"/>
    <cellStyle name="Обычный 8 2 4 4 4" xfId="39001"/>
    <cellStyle name="Обычный 8 2 4 4 4 2" xfId="39002"/>
    <cellStyle name="Обычный 8 2 4 4 4 3" xfId="39003"/>
    <cellStyle name="Обычный 8 2 4 4 5" xfId="39004"/>
    <cellStyle name="Обычный 8 2 4 4 5 2" xfId="39005"/>
    <cellStyle name="Обычный 8 2 4 4 6" xfId="39006"/>
    <cellStyle name="Обычный 8 2 4 4 7" xfId="39007"/>
    <cellStyle name="Обычный 8 2 4 5" xfId="39008"/>
    <cellStyle name="Обычный 8 2 4 5 2" xfId="39009"/>
    <cellStyle name="Обычный 8 2 4 5 2 2" xfId="39010"/>
    <cellStyle name="Обычный 8 2 4 5 2 3" xfId="39011"/>
    <cellStyle name="Обычный 8 2 4 5 3" xfId="39012"/>
    <cellStyle name="Обычный 8 2 4 5 3 2" xfId="39013"/>
    <cellStyle name="Обычный 8 2 4 5 3 3" xfId="39014"/>
    <cellStyle name="Обычный 8 2 4 5 4" xfId="39015"/>
    <cellStyle name="Обычный 8 2 4 5 4 2" xfId="39016"/>
    <cellStyle name="Обычный 8 2 4 5 5" xfId="39017"/>
    <cellStyle name="Обычный 8 2 4 5 6" xfId="39018"/>
    <cellStyle name="Обычный 8 2 4 6" xfId="39019"/>
    <cellStyle name="Обычный 8 2 4 6 2" xfId="39020"/>
    <cellStyle name="Обычный 8 2 4 6 3" xfId="39021"/>
    <cellStyle name="Обычный 8 2 4 7" xfId="39022"/>
    <cellStyle name="Обычный 8 2 4 7 2" xfId="39023"/>
    <cellStyle name="Обычный 8 2 4 7 3" xfId="39024"/>
    <cellStyle name="Обычный 8 2 4 8" xfId="39025"/>
    <cellStyle name="Обычный 8 2 4 8 2" xfId="39026"/>
    <cellStyle name="Обычный 8 2 4 9" xfId="39027"/>
    <cellStyle name="Обычный 8 2 5" xfId="39028"/>
    <cellStyle name="Обычный 8 2 5 10" xfId="39029"/>
    <cellStyle name="Обычный 8 2 5 2" xfId="39030"/>
    <cellStyle name="Обычный 8 2 5 2 2" xfId="39031"/>
    <cellStyle name="Обычный 8 2 5 2 2 2" xfId="39032"/>
    <cellStyle name="Обычный 8 2 5 2 2 2 2" xfId="39033"/>
    <cellStyle name="Обычный 8 2 5 2 2 2 2 2" xfId="39034"/>
    <cellStyle name="Обычный 8 2 5 2 2 2 2 2 2" xfId="39035"/>
    <cellStyle name="Обычный 8 2 5 2 2 2 2 2 3" xfId="39036"/>
    <cellStyle name="Обычный 8 2 5 2 2 2 2 3" xfId="39037"/>
    <cellStyle name="Обычный 8 2 5 2 2 2 2 3 2" xfId="39038"/>
    <cellStyle name="Обычный 8 2 5 2 2 2 2 3 3" xfId="39039"/>
    <cellStyle name="Обычный 8 2 5 2 2 2 2 4" xfId="39040"/>
    <cellStyle name="Обычный 8 2 5 2 2 2 2 4 2" xfId="39041"/>
    <cellStyle name="Обычный 8 2 5 2 2 2 2 5" xfId="39042"/>
    <cellStyle name="Обычный 8 2 5 2 2 2 2 6" xfId="39043"/>
    <cellStyle name="Обычный 8 2 5 2 2 2 3" xfId="39044"/>
    <cellStyle name="Обычный 8 2 5 2 2 2 3 2" xfId="39045"/>
    <cellStyle name="Обычный 8 2 5 2 2 2 3 3" xfId="39046"/>
    <cellStyle name="Обычный 8 2 5 2 2 2 4" xfId="39047"/>
    <cellStyle name="Обычный 8 2 5 2 2 2 4 2" xfId="39048"/>
    <cellStyle name="Обычный 8 2 5 2 2 2 4 3" xfId="39049"/>
    <cellStyle name="Обычный 8 2 5 2 2 2 5" xfId="39050"/>
    <cellStyle name="Обычный 8 2 5 2 2 2 5 2" xfId="39051"/>
    <cellStyle name="Обычный 8 2 5 2 2 2 6" xfId="39052"/>
    <cellStyle name="Обычный 8 2 5 2 2 2 7" xfId="39053"/>
    <cellStyle name="Обычный 8 2 5 2 2 3" xfId="39054"/>
    <cellStyle name="Обычный 8 2 5 2 2 3 2" xfId="39055"/>
    <cellStyle name="Обычный 8 2 5 2 2 3 2 2" xfId="39056"/>
    <cellStyle name="Обычный 8 2 5 2 2 3 2 3" xfId="39057"/>
    <cellStyle name="Обычный 8 2 5 2 2 3 3" xfId="39058"/>
    <cellStyle name="Обычный 8 2 5 2 2 3 3 2" xfId="39059"/>
    <cellStyle name="Обычный 8 2 5 2 2 3 3 3" xfId="39060"/>
    <cellStyle name="Обычный 8 2 5 2 2 3 4" xfId="39061"/>
    <cellStyle name="Обычный 8 2 5 2 2 3 4 2" xfId="39062"/>
    <cellStyle name="Обычный 8 2 5 2 2 3 5" xfId="39063"/>
    <cellStyle name="Обычный 8 2 5 2 2 3 6" xfId="39064"/>
    <cellStyle name="Обычный 8 2 5 2 2 4" xfId="39065"/>
    <cellStyle name="Обычный 8 2 5 2 2 4 2" xfId="39066"/>
    <cellStyle name="Обычный 8 2 5 2 2 4 3" xfId="39067"/>
    <cellStyle name="Обычный 8 2 5 2 2 5" xfId="39068"/>
    <cellStyle name="Обычный 8 2 5 2 2 5 2" xfId="39069"/>
    <cellStyle name="Обычный 8 2 5 2 2 5 3" xfId="39070"/>
    <cellStyle name="Обычный 8 2 5 2 2 6" xfId="39071"/>
    <cellStyle name="Обычный 8 2 5 2 2 6 2" xfId="39072"/>
    <cellStyle name="Обычный 8 2 5 2 2 7" xfId="39073"/>
    <cellStyle name="Обычный 8 2 5 2 2 8" xfId="39074"/>
    <cellStyle name="Обычный 8 2 5 2 3" xfId="39075"/>
    <cellStyle name="Обычный 8 2 5 2 3 2" xfId="39076"/>
    <cellStyle name="Обычный 8 2 5 2 3 2 2" xfId="39077"/>
    <cellStyle name="Обычный 8 2 5 2 3 2 2 2" xfId="39078"/>
    <cellStyle name="Обычный 8 2 5 2 3 2 2 3" xfId="39079"/>
    <cellStyle name="Обычный 8 2 5 2 3 2 3" xfId="39080"/>
    <cellStyle name="Обычный 8 2 5 2 3 2 3 2" xfId="39081"/>
    <cellStyle name="Обычный 8 2 5 2 3 2 3 3" xfId="39082"/>
    <cellStyle name="Обычный 8 2 5 2 3 2 4" xfId="39083"/>
    <cellStyle name="Обычный 8 2 5 2 3 2 4 2" xfId="39084"/>
    <cellStyle name="Обычный 8 2 5 2 3 2 5" xfId="39085"/>
    <cellStyle name="Обычный 8 2 5 2 3 2 6" xfId="39086"/>
    <cellStyle name="Обычный 8 2 5 2 3 3" xfId="39087"/>
    <cellStyle name="Обычный 8 2 5 2 3 3 2" xfId="39088"/>
    <cellStyle name="Обычный 8 2 5 2 3 3 3" xfId="39089"/>
    <cellStyle name="Обычный 8 2 5 2 3 4" xfId="39090"/>
    <cellStyle name="Обычный 8 2 5 2 3 4 2" xfId="39091"/>
    <cellStyle name="Обычный 8 2 5 2 3 4 3" xfId="39092"/>
    <cellStyle name="Обычный 8 2 5 2 3 5" xfId="39093"/>
    <cellStyle name="Обычный 8 2 5 2 3 5 2" xfId="39094"/>
    <cellStyle name="Обычный 8 2 5 2 3 6" xfId="39095"/>
    <cellStyle name="Обычный 8 2 5 2 3 7" xfId="39096"/>
    <cellStyle name="Обычный 8 2 5 2 4" xfId="39097"/>
    <cellStyle name="Обычный 8 2 5 2 4 2" xfId="39098"/>
    <cellStyle name="Обычный 8 2 5 2 4 2 2" xfId="39099"/>
    <cellStyle name="Обычный 8 2 5 2 4 2 3" xfId="39100"/>
    <cellStyle name="Обычный 8 2 5 2 4 3" xfId="39101"/>
    <cellStyle name="Обычный 8 2 5 2 4 3 2" xfId="39102"/>
    <cellStyle name="Обычный 8 2 5 2 4 3 3" xfId="39103"/>
    <cellStyle name="Обычный 8 2 5 2 4 4" xfId="39104"/>
    <cellStyle name="Обычный 8 2 5 2 4 4 2" xfId="39105"/>
    <cellStyle name="Обычный 8 2 5 2 4 5" xfId="39106"/>
    <cellStyle name="Обычный 8 2 5 2 4 6" xfId="39107"/>
    <cellStyle name="Обычный 8 2 5 2 5" xfId="39108"/>
    <cellStyle name="Обычный 8 2 5 2 5 2" xfId="39109"/>
    <cellStyle name="Обычный 8 2 5 2 5 3" xfId="39110"/>
    <cellStyle name="Обычный 8 2 5 2 6" xfId="39111"/>
    <cellStyle name="Обычный 8 2 5 2 6 2" xfId="39112"/>
    <cellStyle name="Обычный 8 2 5 2 6 3" xfId="39113"/>
    <cellStyle name="Обычный 8 2 5 2 7" xfId="39114"/>
    <cellStyle name="Обычный 8 2 5 2 7 2" xfId="39115"/>
    <cellStyle name="Обычный 8 2 5 2 8" xfId="39116"/>
    <cellStyle name="Обычный 8 2 5 2 9" xfId="39117"/>
    <cellStyle name="Обычный 8 2 5 3" xfId="39118"/>
    <cellStyle name="Обычный 8 2 5 3 2" xfId="39119"/>
    <cellStyle name="Обычный 8 2 5 3 2 2" xfId="39120"/>
    <cellStyle name="Обычный 8 2 5 3 2 2 2" xfId="39121"/>
    <cellStyle name="Обычный 8 2 5 3 2 2 2 2" xfId="39122"/>
    <cellStyle name="Обычный 8 2 5 3 2 2 2 3" xfId="39123"/>
    <cellStyle name="Обычный 8 2 5 3 2 2 3" xfId="39124"/>
    <cellStyle name="Обычный 8 2 5 3 2 2 3 2" xfId="39125"/>
    <cellStyle name="Обычный 8 2 5 3 2 2 3 3" xfId="39126"/>
    <cellStyle name="Обычный 8 2 5 3 2 2 4" xfId="39127"/>
    <cellStyle name="Обычный 8 2 5 3 2 2 4 2" xfId="39128"/>
    <cellStyle name="Обычный 8 2 5 3 2 2 5" xfId="39129"/>
    <cellStyle name="Обычный 8 2 5 3 2 2 6" xfId="39130"/>
    <cellStyle name="Обычный 8 2 5 3 2 3" xfId="39131"/>
    <cellStyle name="Обычный 8 2 5 3 2 3 2" xfId="39132"/>
    <cellStyle name="Обычный 8 2 5 3 2 3 3" xfId="39133"/>
    <cellStyle name="Обычный 8 2 5 3 2 4" xfId="39134"/>
    <cellStyle name="Обычный 8 2 5 3 2 4 2" xfId="39135"/>
    <cellStyle name="Обычный 8 2 5 3 2 4 3" xfId="39136"/>
    <cellStyle name="Обычный 8 2 5 3 2 5" xfId="39137"/>
    <cellStyle name="Обычный 8 2 5 3 2 5 2" xfId="39138"/>
    <cellStyle name="Обычный 8 2 5 3 2 6" xfId="39139"/>
    <cellStyle name="Обычный 8 2 5 3 2 7" xfId="39140"/>
    <cellStyle name="Обычный 8 2 5 3 3" xfId="39141"/>
    <cellStyle name="Обычный 8 2 5 3 3 2" xfId="39142"/>
    <cellStyle name="Обычный 8 2 5 3 3 2 2" xfId="39143"/>
    <cellStyle name="Обычный 8 2 5 3 3 2 3" xfId="39144"/>
    <cellStyle name="Обычный 8 2 5 3 3 3" xfId="39145"/>
    <cellStyle name="Обычный 8 2 5 3 3 3 2" xfId="39146"/>
    <cellStyle name="Обычный 8 2 5 3 3 3 3" xfId="39147"/>
    <cellStyle name="Обычный 8 2 5 3 3 4" xfId="39148"/>
    <cellStyle name="Обычный 8 2 5 3 3 4 2" xfId="39149"/>
    <cellStyle name="Обычный 8 2 5 3 3 5" xfId="39150"/>
    <cellStyle name="Обычный 8 2 5 3 3 6" xfId="39151"/>
    <cellStyle name="Обычный 8 2 5 3 4" xfId="39152"/>
    <cellStyle name="Обычный 8 2 5 3 4 2" xfId="39153"/>
    <cellStyle name="Обычный 8 2 5 3 4 3" xfId="39154"/>
    <cellStyle name="Обычный 8 2 5 3 5" xfId="39155"/>
    <cellStyle name="Обычный 8 2 5 3 5 2" xfId="39156"/>
    <cellStyle name="Обычный 8 2 5 3 5 3" xfId="39157"/>
    <cellStyle name="Обычный 8 2 5 3 6" xfId="39158"/>
    <cellStyle name="Обычный 8 2 5 3 6 2" xfId="39159"/>
    <cellStyle name="Обычный 8 2 5 3 7" xfId="39160"/>
    <cellStyle name="Обычный 8 2 5 3 8" xfId="39161"/>
    <cellStyle name="Обычный 8 2 5 4" xfId="39162"/>
    <cellStyle name="Обычный 8 2 5 4 2" xfId="39163"/>
    <cellStyle name="Обычный 8 2 5 4 2 2" xfId="39164"/>
    <cellStyle name="Обычный 8 2 5 4 2 2 2" xfId="39165"/>
    <cellStyle name="Обычный 8 2 5 4 2 2 3" xfId="39166"/>
    <cellStyle name="Обычный 8 2 5 4 2 3" xfId="39167"/>
    <cellStyle name="Обычный 8 2 5 4 2 3 2" xfId="39168"/>
    <cellStyle name="Обычный 8 2 5 4 2 3 3" xfId="39169"/>
    <cellStyle name="Обычный 8 2 5 4 2 4" xfId="39170"/>
    <cellStyle name="Обычный 8 2 5 4 2 4 2" xfId="39171"/>
    <cellStyle name="Обычный 8 2 5 4 2 5" xfId="39172"/>
    <cellStyle name="Обычный 8 2 5 4 2 6" xfId="39173"/>
    <cellStyle name="Обычный 8 2 5 4 3" xfId="39174"/>
    <cellStyle name="Обычный 8 2 5 4 3 2" xfId="39175"/>
    <cellStyle name="Обычный 8 2 5 4 3 3" xfId="39176"/>
    <cellStyle name="Обычный 8 2 5 4 4" xfId="39177"/>
    <cellStyle name="Обычный 8 2 5 4 4 2" xfId="39178"/>
    <cellStyle name="Обычный 8 2 5 4 4 3" xfId="39179"/>
    <cellStyle name="Обычный 8 2 5 4 5" xfId="39180"/>
    <cellStyle name="Обычный 8 2 5 4 5 2" xfId="39181"/>
    <cellStyle name="Обычный 8 2 5 4 6" xfId="39182"/>
    <cellStyle name="Обычный 8 2 5 4 7" xfId="39183"/>
    <cellStyle name="Обычный 8 2 5 5" xfId="39184"/>
    <cellStyle name="Обычный 8 2 5 5 2" xfId="39185"/>
    <cellStyle name="Обычный 8 2 5 5 2 2" xfId="39186"/>
    <cellStyle name="Обычный 8 2 5 5 2 3" xfId="39187"/>
    <cellStyle name="Обычный 8 2 5 5 3" xfId="39188"/>
    <cellStyle name="Обычный 8 2 5 5 3 2" xfId="39189"/>
    <cellStyle name="Обычный 8 2 5 5 3 3" xfId="39190"/>
    <cellStyle name="Обычный 8 2 5 5 4" xfId="39191"/>
    <cellStyle name="Обычный 8 2 5 5 4 2" xfId="39192"/>
    <cellStyle name="Обычный 8 2 5 5 5" xfId="39193"/>
    <cellStyle name="Обычный 8 2 5 5 6" xfId="39194"/>
    <cellStyle name="Обычный 8 2 5 6" xfId="39195"/>
    <cellStyle name="Обычный 8 2 5 6 2" xfId="39196"/>
    <cellStyle name="Обычный 8 2 5 6 3" xfId="39197"/>
    <cellStyle name="Обычный 8 2 5 7" xfId="39198"/>
    <cellStyle name="Обычный 8 2 5 7 2" xfId="39199"/>
    <cellStyle name="Обычный 8 2 5 7 3" xfId="39200"/>
    <cellStyle name="Обычный 8 2 5 8" xfId="39201"/>
    <cellStyle name="Обычный 8 2 5 8 2" xfId="39202"/>
    <cellStyle name="Обычный 8 2 5 9" xfId="39203"/>
    <cellStyle name="Обычный 8 2 6" xfId="39204"/>
    <cellStyle name="Обычный 8 2 6 2" xfId="39205"/>
    <cellStyle name="Обычный 8 2 6 2 2" xfId="39206"/>
    <cellStyle name="Обычный 8 2 6 2 2 2" xfId="39207"/>
    <cellStyle name="Обычный 8 2 6 2 2 2 2" xfId="39208"/>
    <cellStyle name="Обычный 8 2 6 2 2 2 2 2" xfId="39209"/>
    <cellStyle name="Обычный 8 2 6 2 2 2 2 3" xfId="39210"/>
    <cellStyle name="Обычный 8 2 6 2 2 2 3" xfId="39211"/>
    <cellStyle name="Обычный 8 2 6 2 2 2 3 2" xfId="39212"/>
    <cellStyle name="Обычный 8 2 6 2 2 2 3 3" xfId="39213"/>
    <cellStyle name="Обычный 8 2 6 2 2 2 4" xfId="39214"/>
    <cellStyle name="Обычный 8 2 6 2 2 2 4 2" xfId="39215"/>
    <cellStyle name="Обычный 8 2 6 2 2 2 5" xfId="39216"/>
    <cellStyle name="Обычный 8 2 6 2 2 2 6" xfId="39217"/>
    <cellStyle name="Обычный 8 2 6 2 2 3" xfId="39218"/>
    <cellStyle name="Обычный 8 2 6 2 2 3 2" xfId="39219"/>
    <cellStyle name="Обычный 8 2 6 2 2 3 3" xfId="39220"/>
    <cellStyle name="Обычный 8 2 6 2 2 4" xfId="39221"/>
    <cellStyle name="Обычный 8 2 6 2 2 4 2" xfId="39222"/>
    <cellStyle name="Обычный 8 2 6 2 2 4 3" xfId="39223"/>
    <cellStyle name="Обычный 8 2 6 2 2 5" xfId="39224"/>
    <cellStyle name="Обычный 8 2 6 2 2 5 2" xfId="39225"/>
    <cellStyle name="Обычный 8 2 6 2 2 6" xfId="39226"/>
    <cellStyle name="Обычный 8 2 6 2 2 7" xfId="39227"/>
    <cellStyle name="Обычный 8 2 6 2 3" xfId="39228"/>
    <cellStyle name="Обычный 8 2 6 2 3 2" xfId="39229"/>
    <cellStyle name="Обычный 8 2 6 2 3 2 2" xfId="39230"/>
    <cellStyle name="Обычный 8 2 6 2 3 2 3" xfId="39231"/>
    <cellStyle name="Обычный 8 2 6 2 3 3" xfId="39232"/>
    <cellStyle name="Обычный 8 2 6 2 3 3 2" xfId="39233"/>
    <cellStyle name="Обычный 8 2 6 2 3 3 3" xfId="39234"/>
    <cellStyle name="Обычный 8 2 6 2 3 4" xfId="39235"/>
    <cellStyle name="Обычный 8 2 6 2 3 4 2" xfId="39236"/>
    <cellStyle name="Обычный 8 2 6 2 3 5" xfId="39237"/>
    <cellStyle name="Обычный 8 2 6 2 3 6" xfId="39238"/>
    <cellStyle name="Обычный 8 2 6 2 4" xfId="39239"/>
    <cellStyle name="Обычный 8 2 6 2 4 2" xfId="39240"/>
    <cellStyle name="Обычный 8 2 6 2 4 3" xfId="39241"/>
    <cellStyle name="Обычный 8 2 6 2 5" xfId="39242"/>
    <cellStyle name="Обычный 8 2 6 2 5 2" xfId="39243"/>
    <cellStyle name="Обычный 8 2 6 2 5 3" xfId="39244"/>
    <cellStyle name="Обычный 8 2 6 2 6" xfId="39245"/>
    <cellStyle name="Обычный 8 2 6 2 6 2" xfId="39246"/>
    <cellStyle name="Обычный 8 2 6 2 7" xfId="39247"/>
    <cellStyle name="Обычный 8 2 6 2 8" xfId="39248"/>
    <cellStyle name="Обычный 8 2 6 3" xfId="39249"/>
    <cellStyle name="Обычный 8 2 6 3 2" xfId="39250"/>
    <cellStyle name="Обычный 8 2 6 3 2 2" xfId="39251"/>
    <cellStyle name="Обычный 8 2 6 3 2 2 2" xfId="39252"/>
    <cellStyle name="Обычный 8 2 6 3 2 2 3" xfId="39253"/>
    <cellStyle name="Обычный 8 2 6 3 2 3" xfId="39254"/>
    <cellStyle name="Обычный 8 2 6 3 2 3 2" xfId="39255"/>
    <cellStyle name="Обычный 8 2 6 3 2 3 3" xfId="39256"/>
    <cellStyle name="Обычный 8 2 6 3 2 4" xfId="39257"/>
    <cellStyle name="Обычный 8 2 6 3 2 4 2" xfId="39258"/>
    <cellStyle name="Обычный 8 2 6 3 2 5" xfId="39259"/>
    <cellStyle name="Обычный 8 2 6 3 2 6" xfId="39260"/>
    <cellStyle name="Обычный 8 2 6 3 3" xfId="39261"/>
    <cellStyle name="Обычный 8 2 6 3 3 2" xfId="39262"/>
    <cellStyle name="Обычный 8 2 6 3 3 3" xfId="39263"/>
    <cellStyle name="Обычный 8 2 6 3 4" xfId="39264"/>
    <cellStyle name="Обычный 8 2 6 3 4 2" xfId="39265"/>
    <cellStyle name="Обычный 8 2 6 3 4 3" xfId="39266"/>
    <cellStyle name="Обычный 8 2 6 3 5" xfId="39267"/>
    <cellStyle name="Обычный 8 2 6 3 5 2" xfId="39268"/>
    <cellStyle name="Обычный 8 2 6 3 6" xfId="39269"/>
    <cellStyle name="Обычный 8 2 6 3 7" xfId="39270"/>
    <cellStyle name="Обычный 8 2 6 4" xfId="39271"/>
    <cellStyle name="Обычный 8 2 6 4 2" xfId="39272"/>
    <cellStyle name="Обычный 8 2 6 4 2 2" xfId="39273"/>
    <cellStyle name="Обычный 8 2 6 4 2 3" xfId="39274"/>
    <cellStyle name="Обычный 8 2 6 4 3" xfId="39275"/>
    <cellStyle name="Обычный 8 2 6 4 3 2" xfId="39276"/>
    <cellStyle name="Обычный 8 2 6 4 3 3" xfId="39277"/>
    <cellStyle name="Обычный 8 2 6 4 4" xfId="39278"/>
    <cellStyle name="Обычный 8 2 6 4 4 2" xfId="39279"/>
    <cellStyle name="Обычный 8 2 6 4 5" xfId="39280"/>
    <cellStyle name="Обычный 8 2 6 4 6" xfId="39281"/>
    <cellStyle name="Обычный 8 2 6 5" xfId="39282"/>
    <cellStyle name="Обычный 8 2 6 5 2" xfId="39283"/>
    <cellStyle name="Обычный 8 2 6 5 3" xfId="39284"/>
    <cellStyle name="Обычный 8 2 6 6" xfId="39285"/>
    <cellStyle name="Обычный 8 2 6 6 2" xfId="39286"/>
    <cellStyle name="Обычный 8 2 6 6 3" xfId="39287"/>
    <cellStyle name="Обычный 8 2 6 7" xfId="39288"/>
    <cellStyle name="Обычный 8 2 6 7 2" xfId="39289"/>
    <cellStyle name="Обычный 8 2 6 8" xfId="39290"/>
    <cellStyle name="Обычный 8 2 6 9" xfId="39291"/>
    <cellStyle name="Обычный 8 2 7" xfId="39292"/>
    <cellStyle name="Обычный 8 2 7 2" xfId="39293"/>
    <cellStyle name="Обычный 8 2 7 2 2" xfId="39294"/>
    <cellStyle name="Обычный 8 2 7 2 2 2" xfId="39295"/>
    <cellStyle name="Обычный 8 2 7 2 2 2 2" xfId="39296"/>
    <cellStyle name="Обычный 8 2 7 2 2 2 3" xfId="39297"/>
    <cellStyle name="Обычный 8 2 7 2 2 3" xfId="39298"/>
    <cellStyle name="Обычный 8 2 7 2 2 3 2" xfId="39299"/>
    <cellStyle name="Обычный 8 2 7 2 2 3 3" xfId="39300"/>
    <cellStyle name="Обычный 8 2 7 2 2 4" xfId="39301"/>
    <cellStyle name="Обычный 8 2 7 2 2 4 2" xfId="39302"/>
    <cellStyle name="Обычный 8 2 7 2 2 5" xfId="39303"/>
    <cellStyle name="Обычный 8 2 7 2 2 6" xfId="39304"/>
    <cellStyle name="Обычный 8 2 7 2 3" xfId="39305"/>
    <cellStyle name="Обычный 8 2 7 2 3 2" xfId="39306"/>
    <cellStyle name="Обычный 8 2 7 2 3 3" xfId="39307"/>
    <cellStyle name="Обычный 8 2 7 2 4" xfId="39308"/>
    <cellStyle name="Обычный 8 2 7 2 4 2" xfId="39309"/>
    <cellStyle name="Обычный 8 2 7 2 4 3" xfId="39310"/>
    <cellStyle name="Обычный 8 2 7 2 5" xfId="39311"/>
    <cellStyle name="Обычный 8 2 7 2 5 2" xfId="39312"/>
    <cellStyle name="Обычный 8 2 7 2 6" xfId="39313"/>
    <cellStyle name="Обычный 8 2 7 2 7" xfId="39314"/>
    <cellStyle name="Обычный 8 2 7 3" xfId="39315"/>
    <cellStyle name="Обычный 8 2 7 3 2" xfId="39316"/>
    <cellStyle name="Обычный 8 2 7 3 2 2" xfId="39317"/>
    <cellStyle name="Обычный 8 2 7 3 2 3" xfId="39318"/>
    <cellStyle name="Обычный 8 2 7 3 3" xfId="39319"/>
    <cellStyle name="Обычный 8 2 7 3 3 2" xfId="39320"/>
    <cellStyle name="Обычный 8 2 7 3 3 3" xfId="39321"/>
    <cellStyle name="Обычный 8 2 7 3 4" xfId="39322"/>
    <cellStyle name="Обычный 8 2 7 3 4 2" xfId="39323"/>
    <cellStyle name="Обычный 8 2 7 3 5" xfId="39324"/>
    <cellStyle name="Обычный 8 2 7 3 6" xfId="39325"/>
    <cellStyle name="Обычный 8 2 7 4" xfId="39326"/>
    <cellStyle name="Обычный 8 2 7 4 2" xfId="39327"/>
    <cellStyle name="Обычный 8 2 7 4 3" xfId="39328"/>
    <cellStyle name="Обычный 8 2 7 5" xfId="39329"/>
    <cellStyle name="Обычный 8 2 7 5 2" xfId="39330"/>
    <cellStyle name="Обычный 8 2 7 5 3" xfId="39331"/>
    <cellStyle name="Обычный 8 2 7 6" xfId="39332"/>
    <cellStyle name="Обычный 8 2 7 6 2" xfId="39333"/>
    <cellStyle name="Обычный 8 2 7 7" xfId="39334"/>
    <cellStyle name="Обычный 8 2 7 8" xfId="39335"/>
    <cellStyle name="Обычный 8 2 8" xfId="39336"/>
    <cellStyle name="Обычный 8 2 8 2" xfId="39337"/>
    <cellStyle name="Обычный 8 2 8 2 2" xfId="39338"/>
    <cellStyle name="Обычный 8 2 8 2 2 2" xfId="39339"/>
    <cellStyle name="Обычный 8 2 8 2 2 3" xfId="39340"/>
    <cellStyle name="Обычный 8 2 8 2 3" xfId="39341"/>
    <cellStyle name="Обычный 8 2 8 2 3 2" xfId="39342"/>
    <cellStyle name="Обычный 8 2 8 2 3 3" xfId="39343"/>
    <cellStyle name="Обычный 8 2 8 2 4" xfId="39344"/>
    <cellStyle name="Обычный 8 2 8 2 4 2" xfId="39345"/>
    <cellStyle name="Обычный 8 2 8 2 5" xfId="39346"/>
    <cellStyle name="Обычный 8 2 8 2 6" xfId="39347"/>
    <cellStyle name="Обычный 8 2 8 3" xfId="39348"/>
    <cellStyle name="Обычный 8 2 8 3 2" xfId="39349"/>
    <cellStyle name="Обычный 8 2 8 3 3" xfId="39350"/>
    <cellStyle name="Обычный 8 2 8 4" xfId="39351"/>
    <cellStyle name="Обычный 8 2 8 4 2" xfId="39352"/>
    <cellStyle name="Обычный 8 2 8 4 3" xfId="39353"/>
    <cellStyle name="Обычный 8 2 8 5" xfId="39354"/>
    <cellStyle name="Обычный 8 2 8 5 2" xfId="39355"/>
    <cellStyle name="Обычный 8 2 8 6" xfId="39356"/>
    <cellStyle name="Обычный 8 2 8 7" xfId="39357"/>
    <cellStyle name="Обычный 8 2 9" xfId="39358"/>
    <cellStyle name="Обычный 8 2 9 2" xfId="39359"/>
    <cellStyle name="Обычный 8 2 9 2 2" xfId="39360"/>
    <cellStyle name="Обычный 8 2 9 2 3" xfId="39361"/>
    <cellStyle name="Обычный 8 2 9 3" xfId="39362"/>
    <cellStyle name="Обычный 8 2 9 3 2" xfId="39363"/>
    <cellStyle name="Обычный 8 2 9 3 3" xfId="39364"/>
    <cellStyle name="Обычный 8 2 9 4" xfId="39365"/>
    <cellStyle name="Обычный 8 2 9 4 2" xfId="39366"/>
    <cellStyle name="Обычный 8 2 9 5" xfId="39367"/>
    <cellStyle name="Обычный 8 2 9 6" xfId="39368"/>
    <cellStyle name="Обычный 8 20" xfId="39369"/>
    <cellStyle name="Обычный 8 21" xfId="39370"/>
    <cellStyle name="Обычный 8 22" xfId="39371"/>
    <cellStyle name="Обычный 8 3" xfId="39372"/>
    <cellStyle name="Обычный 8 3 10" xfId="39373"/>
    <cellStyle name="Обычный 8 3 10 2" xfId="39374"/>
    <cellStyle name="Обычный 8 3 10 3" xfId="39375"/>
    <cellStyle name="Обычный 8 3 11" xfId="39376"/>
    <cellStyle name="Обычный 8 3 11 2" xfId="39377"/>
    <cellStyle name="Обычный 8 3 11 3" xfId="39378"/>
    <cellStyle name="Обычный 8 3 12" xfId="39379"/>
    <cellStyle name="Обычный 8 3 12 2" xfId="39380"/>
    <cellStyle name="Обычный 8 3 13" xfId="39381"/>
    <cellStyle name="Обычный 8 3 14" xfId="39382"/>
    <cellStyle name="Обычный 8 3 2" xfId="39383"/>
    <cellStyle name="Обычный 8 3 2 10" xfId="39384"/>
    <cellStyle name="Обычный 8 3 2 10 2" xfId="39385"/>
    <cellStyle name="Обычный 8 3 2 10 3" xfId="39386"/>
    <cellStyle name="Обычный 8 3 2 11" xfId="39387"/>
    <cellStyle name="Обычный 8 3 2 11 2" xfId="39388"/>
    <cellStyle name="Обычный 8 3 2 12" xfId="39389"/>
    <cellStyle name="Обычный 8 3 2 13" xfId="39390"/>
    <cellStyle name="Обычный 8 3 2 2" xfId="39391"/>
    <cellStyle name="Обычный 8 3 2 2 10" xfId="39392"/>
    <cellStyle name="Обычный 8 3 2 2 2" xfId="39393"/>
    <cellStyle name="Обычный 8 3 2 2 2 2" xfId="39394"/>
    <cellStyle name="Обычный 8 3 2 2 2 2 2" xfId="39395"/>
    <cellStyle name="Обычный 8 3 2 2 2 2 2 2" xfId="39396"/>
    <cellStyle name="Обычный 8 3 2 2 2 2 2 2 2" xfId="39397"/>
    <cellStyle name="Обычный 8 3 2 2 2 2 2 2 2 2" xfId="39398"/>
    <cellStyle name="Обычный 8 3 2 2 2 2 2 2 2 3" xfId="39399"/>
    <cellStyle name="Обычный 8 3 2 2 2 2 2 2 3" xfId="39400"/>
    <cellStyle name="Обычный 8 3 2 2 2 2 2 2 3 2" xfId="39401"/>
    <cellStyle name="Обычный 8 3 2 2 2 2 2 2 3 3" xfId="39402"/>
    <cellStyle name="Обычный 8 3 2 2 2 2 2 2 4" xfId="39403"/>
    <cellStyle name="Обычный 8 3 2 2 2 2 2 2 4 2" xfId="39404"/>
    <cellStyle name="Обычный 8 3 2 2 2 2 2 2 5" xfId="39405"/>
    <cellStyle name="Обычный 8 3 2 2 2 2 2 2 6" xfId="39406"/>
    <cellStyle name="Обычный 8 3 2 2 2 2 2 3" xfId="39407"/>
    <cellStyle name="Обычный 8 3 2 2 2 2 2 3 2" xfId="39408"/>
    <cellStyle name="Обычный 8 3 2 2 2 2 2 3 3" xfId="39409"/>
    <cellStyle name="Обычный 8 3 2 2 2 2 2 4" xfId="39410"/>
    <cellStyle name="Обычный 8 3 2 2 2 2 2 4 2" xfId="39411"/>
    <cellStyle name="Обычный 8 3 2 2 2 2 2 4 3" xfId="39412"/>
    <cellStyle name="Обычный 8 3 2 2 2 2 2 5" xfId="39413"/>
    <cellStyle name="Обычный 8 3 2 2 2 2 2 5 2" xfId="39414"/>
    <cellStyle name="Обычный 8 3 2 2 2 2 2 6" xfId="39415"/>
    <cellStyle name="Обычный 8 3 2 2 2 2 2 7" xfId="39416"/>
    <cellStyle name="Обычный 8 3 2 2 2 2 3" xfId="39417"/>
    <cellStyle name="Обычный 8 3 2 2 2 2 3 2" xfId="39418"/>
    <cellStyle name="Обычный 8 3 2 2 2 2 3 2 2" xfId="39419"/>
    <cellStyle name="Обычный 8 3 2 2 2 2 3 2 3" xfId="39420"/>
    <cellStyle name="Обычный 8 3 2 2 2 2 3 3" xfId="39421"/>
    <cellStyle name="Обычный 8 3 2 2 2 2 3 3 2" xfId="39422"/>
    <cellStyle name="Обычный 8 3 2 2 2 2 3 3 3" xfId="39423"/>
    <cellStyle name="Обычный 8 3 2 2 2 2 3 4" xfId="39424"/>
    <cellStyle name="Обычный 8 3 2 2 2 2 3 4 2" xfId="39425"/>
    <cellStyle name="Обычный 8 3 2 2 2 2 3 5" xfId="39426"/>
    <cellStyle name="Обычный 8 3 2 2 2 2 3 6" xfId="39427"/>
    <cellStyle name="Обычный 8 3 2 2 2 2 4" xfId="39428"/>
    <cellStyle name="Обычный 8 3 2 2 2 2 4 2" xfId="39429"/>
    <cellStyle name="Обычный 8 3 2 2 2 2 4 3" xfId="39430"/>
    <cellStyle name="Обычный 8 3 2 2 2 2 5" xfId="39431"/>
    <cellStyle name="Обычный 8 3 2 2 2 2 5 2" xfId="39432"/>
    <cellStyle name="Обычный 8 3 2 2 2 2 5 3" xfId="39433"/>
    <cellStyle name="Обычный 8 3 2 2 2 2 6" xfId="39434"/>
    <cellStyle name="Обычный 8 3 2 2 2 2 6 2" xfId="39435"/>
    <cellStyle name="Обычный 8 3 2 2 2 2 7" xfId="39436"/>
    <cellStyle name="Обычный 8 3 2 2 2 2 8" xfId="39437"/>
    <cellStyle name="Обычный 8 3 2 2 2 3" xfId="39438"/>
    <cellStyle name="Обычный 8 3 2 2 2 3 2" xfId="39439"/>
    <cellStyle name="Обычный 8 3 2 2 2 3 2 2" xfId="39440"/>
    <cellStyle name="Обычный 8 3 2 2 2 3 2 2 2" xfId="39441"/>
    <cellStyle name="Обычный 8 3 2 2 2 3 2 2 3" xfId="39442"/>
    <cellStyle name="Обычный 8 3 2 2 2 3 2 3" xfId="39443"/>
    <cellStyle name="Обычный 8 3 2 2 2 3 2 3 2" xfId="39444"/>
    <cellStyle name="Обычный 8 3 2 2 2 3 2 3 3" xfId="39445"/>
    <cellStyle name="Обычный 8 3 2 2 2 3 2 4" xfId="39446"/>
    <cellStyle name="Обычный 8 3 2 2 2 3 2 4 2" xfId="39447"/>
    <cellStyle name="Обычный 8 3 2 2 2 3 2 5" xfId="39448"/>
    <cellStyle name="Обычный 8 3 2 2 2 3 2 6" xfId="39449"/>
    <cellStyle name="Обычный 8 3 2 2 2 3 3" xfId="39450"/>
    <cellStyle name="Обычный 8 3 2 2 2 3 3 2" xfId="39451"/>
    <cellStyle name="Обычный 8 3 2 2 2 3 3 3" xfId="39452"/>
    <cellStyle name="Обычный 8 3 2 2 2 3 4" xfId="39453"/>
    <cellStyle name="Обычный 8 3 2 2 2 3 4 2" xfId="39454"/>
    <cellStyle name="Обычный 8 3 2 2 2 3 4 3" xfId="39455"/>
    <cellStyle name="Обычный 8 3 2 2 2 3 5" xfId="39456"/>
    <cellStyle name="Обычный 8 3 2 2 2 3 5 2" xfId="39457"/>
    <cellStyle name="Обычный 8 3 2 2 2 3 6" xfId="39458"/>
    <cellStyle name="Обычный 8 3 2 2 2 3 7" xfId="39459"/>
    <cellStyle name="Обычный 8 3 2 2 2 4" xfId="39460"/>
    <cellStyle name="Обычный 8 3 2 2 2 4 2" xfId="39461"/>
    <cellStyle name="Обычный 8 3 2 2 2 4 2 2" xfId="39462"/>
    <cellStyle name="Обычный 8 3 2 2 2 4 2 3" xfId="39463"/>
    <cellStyle name="Обычный 8 3 2 2 2 4 3" xfId="39464"/>
    <cellStyle name="Обычный 8 3 2 2 2 4 3 2" xfId="39465"/>
    <cellStyle name="Обычный 8 3 2 2 2 4 3 3" xfId="39466"/>
    <cellStyle name="Обычный 8 3 2 2 2 4 4" xfId="39467"/>
    <cellStyle name="Обычный 8 3 2 2 2 4 4 2" xfId="39468"/>
    <cellStyle name="Обычный 8 3 2 2 2 4 5" xfId="39469"/>
    <cellStyle name="Обычный 8 3 2 2 2 4 6" xfId="39470"/>
    <cellStyle name="Обычный 8 3 2 2 2 5" xfId="39471"/>
    <cellStyle name="Обычный 8 3 2 2 2 5 2" xfId="39472"/>
    <cellStyle name="Обычный 8 3 2 2 2 5 3" xfId="39473"/>
    <cellStyle name="Обычный 8 3 2 2 2 6" xfId="39474"/>
    <cellStyle name="Обычный 8 3 2 2 2 6 2" xfId="39475"/>
    <cellStyle name="Обычный 8 3 2 2 2 6 3" xfId="39476"/>
    <cellStyle name="Обычный 8 3 2 2 2 7" xfId="39477"/>
    <cellStyle name="Обычный 8 3 2 2 2 7 2" xfId="39478"/>
    <cellStyle name="Обычный 8 3 2 2 2 8" xfId="39479"/>
    <cellStyle name="Обычный 8 3 2 2 2 9" xfId="39480"/>
    <cellStyle name="Обычный 8 3 2 2 3" xfId="39481"/>
    <cellStyle name="Обычный 8 3 2 2 3 2" xfId="39482"/>
    <cellStyle name="Обычный 8 3 2 2 3 2 2" xfId="39483"/>
    <cellStyle name="Обычный 8 3 2 2 3 2 2 2" xfId="39484"/>
    <cellStyle name="Обычный 8 3 2 2 3 2 2 2 2" xfId="39485"/>
    <cellStyle name="Обычный 8 3 2 2 3 2 2 2 3" xfId="39486"/>
    <cellStyle name="Обычный 8 3 2 2 3 2 2 3" xfId="39487"/>
    <cellStyle name="Обычный 8 3 2 2 3 2 2 3 2" xfId="39488"/>
    <cellStyle name="Обычный 8 3 2 2 3 2 2 3 3" xfId="39489"/>
    <cellStyle name="Обычный 8 3 2 2 3 2 2 4" xfId="39490"/>
    <cellStyle name="Обычный 8 3 2 2 3 2 2 4 2" xfId="39491"/>
    <cellStyle name="Обычный 8 3 2 2 3 2 2 5" xfId="39492"/>
    <cellStyle name="Обычный 8 3 2 2 3 2 2 6" xfId="39493"/>
    <cellStyle name="Обычный 8 3 2 2 3 2 3" xfId="39494"/>
    <cellStyle name="Обычный 8 3 2 2 3 2 3 2" xfId="39495"/>
    <cellStyle name="Обычный 8 3 2 2 3 2 3 3" xfId="39496"/>
    <cellStyle name="Обычный 8 3 2 2 3 2 4" xfId="39497"/>
    <cellStyle name="Обычный 8 3 2 2 3 2 4 2" xfId="39498"/>
    <cellStyle name="Обычный 8 3 2 2 3 2 4 3" xfId="39499"/>
    <cellStyle name="Обычный 8 3 2 2 3 2 5" xfId="39500"/>
    <cellStyle name="Обычный 8 3 2 2 3 2 5 2" xfId="39501"/>
    <cellStyle name="Обычный 8 3 2 2 3 2 6" xfId="39502"/>
    <cellStyle name="Обычный 8 3 2 2 3 2 7" xfId="39503"/>
    <cellStyle name="Обычный 8 3 2 2 3 3" xfId="39504"/>
    <cellStyle name="Обычный 8 3 2 2 3 3 2" xfId="39505"/>
    <cellStyle name="Обычный 8 3 2 2 3 3 2 2" xfId="39506"/>
    <cellStyle name="Обычный 8 3 2 2 3 3 2 3" xfId="39507"/>
    <cellStyle name="Обычный 8 3 2 2 3 3 3" xfId="39508"/>
    <cellStyle name="Обычный 8 3 2 2 3 3 3 2" xfId="39509"/>
    <cellStyle name="Обычный 8 3 2 2 3 3 3 3" xfId="39510"/>
    <cellStyle name="Обычный 8 3 2 2 3 3 4" xfId="39511"/>
    <cellStyle name="Обычный 8 3 2 2 3 3 4 2" xfId="39512"/>
    <cellStyle name="Обычный 8 3 2 2 3 3 5" xfId="39513"/>
    <cellStyle name="Обычный 8 3 2 2 3 3 6" xfId="39514"/>
    <cellStyle name="Обычный 8 3 2 2 3 4" xfId="39515"/>
    <cellStyle name="Обычный 8 3 2 2 3 4 2" xfId="39516"/>
    <cellStyle name="Обычный 8 3 2 2 3 4 3" xfId="39517"/>
    <cellStyle name="Обычный 8 3 2 2 3 5" xfId="39518"/>
    <cellStyle name="Обычный 8 3 2 2 3 5 2" xfId="39519"/>
    <cellStyle name="Обычный 8 3 2 2 3 5 3" xfId="39520"/>
    <cellStyle name="Обычный 8 3 2 2 3 6" xfId="39521"/>
    <cellStyle name="Обычный 8 3 2 2 3 6 2" xfId="39522"/>
    <cellStyle name="Обычный 8 3 2 2 3 7" xfId="39523"/>
    <cellStyle name="Обычный 8 3 2 2 3 8" xfId="39524"/>
    <cellStyle name="Обычный 8 3 2 2 4" xfId="39525"/>
    <cellStyle name="Обычный 8 3 2 2 4 2" xfId="39526"/>
    <cellStyle name="Обычный 8 3 2 2 4 2 2" xfId="39527"/>
    <cellStyle name="Обычный 8 3 2 2 4 2 2 2" xfId="39528"/>
    <cellStyle name="Обычный 8 3 2 2 4 2 2 3" xfId="39529"/>
    <cellStyle name="Обычный 8 3 2 2 4 2 3" xfId="39530"/>
    <cellStyle name="Обычный 8 3 2 2 4 2 3 2" xfId="39531"/>
    <cellStyle name="Обычный 8 3 2 2 4 2 3 3" xfId="39532"/>
    <cellStyle name="Обычный 8 3 2 2 4 2 4" xfId="39533"/>
    <cellStyle name="Обычный 8 3 2 2 4 2 4 2" xfId="39534"/>
    <cellStyle name="Обычный 8 3 2 2 4 2 5" xfId="39535"/>
    <cellStyle name="Обычный 8 3 2 2 4 2 6" xfId="39536"/>
    <cellStyle name="Обычный 8 3 2 2 4 3" xfId="39537"/>
    <cellStyle name="Обычный 8 3 2 2 4 3 2" xfId="39538"/>
    <cellStyle name="Обычный 8 3 2 2 4 3 3" xfId="39539"/>
    <cellStyle name="Обычный 8 3 2 2 4 4" xfId="39540"/>
    <cellStyle name="Обычный 8 3 2 2 4 4 2" xfId="39541"/>
    <cellStyle name="Обычный 8 3 2 2 4 4 3" xfId="39542"/>
    <cellStyle name="Обычный 8 3 2 2 4 5" xfId="39543"/>
    <cellStyle name="Обычный 8 3 2 2 4 5 2" xfId="39544"/>
    <cellStyle name="Обычный 8 3 2 2 4 6" xfId="39545"/>
    <cellStyle name="Обычный 8 3 2 2 4 7" xfId="39546"/>
    <cellStyle name="Обычный 8 3 2 2 5" xfId="39547"/>
    <cellStyle name="Обычный 8 3 2 2 5 2" xfId="39548"/>
    <cellStyle name="Обычный 8 3 2 2 5 2 2" xfId="39549"/>
    <cellStyle name="Обычный 8 3 2 2 5 2 3" xfId="39550"/>
    <cellStyle name="Обычный 8 3 2 2 5 3" xfId="39551"/>
    <cellStyle name="Обычный 8 3 2 2 5 3 2" xfId="39552"/>
    <cellStyle name="Обычный 8 3 2 2 5 3 3" xfId="39553"/>
    <cellStyle name="Обычный 8 3 2 2 5 4" xfId="39554"/>
    <cellStyle name="Обычный 8 3 2 2 5 4 2" xfId="39555"/>
    <cellStyle name="Обычный 8 3 2 2 5 5" xfId="39556"/>
    <cellStyle name="Обычный 8 3 2 2 5 6" xfId="39557"/>
    <cellStyle name="Обычный 8 3 2 2 6" xfId="39558"/>
    <cellStyle name="Обычный 8 3 2 2 6 2" xfId="39559"/>
    <cellStyle name="Обычный 8 3 2 2 6 3" xfId="39560"/>
    <cellStyle name="Обычный 8 3 2 2 7" xfId="39561"/>
    <cellStyle name="Обычный 8 3 2 2 7 2" xfId="39562"/>
    <cellStyle name="Обычный 8 3 2 2 7 3" xfId="39563"/>
    <cellStyle name="Обычный 8 3 2 2 8" xfId="39564"/>
    <cellStyle name="Обычный 8 3 2 2 8 2" xfId="39565"/>
    <cellStyle name="Обычный 8 3 2 2 9" xfId="39566"/>
    <cellStyle name="Обычный 8 3 2 3" xfId="39567"/>
    <cellStyle name="Обычный 8 3 2 3 10" xfId="39568"/>
    <cellStyle name="Обычный 8 3 2 3 2" xfId="39569"/>
    <cellStyle name="Обычный 8 3 2 3 2 2" xfId="39570"/>
    <cellStyle name="Обычный 8 3 2 3 2 2 2" xfId="39571"/>
    <cellStyle name="Обычный 8 3 2 3 2 2 2 2" xfId="39572"/>
    <cellStyle name="Обычный 8 3 2 3 2 2 2 2 2" xfId="39573"/>
    <cellStyle name="Обычный 8 3 2 3 2 2 2 2 2 2" xfId="39574"/>
    <cellStyle name="Обычный 8 3 2 3 2 2 2 2 2 3" xfId="39575"/>
    <cellStyle name="Обычный 8 3 2 3 2 2 2 2 3" xfId="39576"/>
    <cellStyle name="Обычный 8 3 2 3 2 2 2 2 3 2" xfId="39577"/>
    <cellStyle name="Обычный 8 3 2 3 2 2 2 2 3 3" xfId="39578"/>
    <cellStyle name="Обычный 8 3 2 3 2 2 2 2 4" xfId="39579"/>
    <cellStyle name="Обычный 8 3 2 3 2 2 2 2 4 2" xfId="39580"/>
    <cellStyle name="Обычный 8 3 2 3 2 2 2 2 5" xfId="39581"/>
    <cellStyle name="Обычный 8 3 2 3 2 2 2 2 6" xfId="39582"/>
    <cellStyle name="Обычный 8 3 2 3 2 2 2 3" xfId="39583"/>
    <cellStyle name="Обычный 8 3 2 3 2 2 2 3 2" xfId="39584"/>
    <cellStyle name="Обычный 8 3 2 3 2 2 2 3 3" xfId="39585"/>
    <cellStyle name="Обычный 8 3 2 3 2 2 2 4" xfId="39586"/>
    <cellStyle name="Обычный 8 3 2 3 2 2 2 4 2" xfId="39587"/>
    <cellStyle name="Обычный 8 3 2 3 2 2 2 4 3" xfId="39588"/>
    <cellStyle name="Обычный 8 3 2 3 2 2 2 5" xfId="39589"/>
    <cellStyle name="Обычный 8 3 2 3 2 2 2 5 2" xfId="39590"/>
    <cellStyle name="Обычный 8 3 2 3 2 2 2 6" xfId="39591"/>
    <cellStyle name="Обычный 8 3 2 3 2 2 2 7" xfId="39592"/>
    <cellStyle name="Обычный 8 3 2 3 2 2 3" xfId="39593"/>
    <cellStyle name="Обычный 8 3 2 3 2 2 3 2" xfId="39594"/>
    <cellStyle name="Обычный 8 3 2 3 2 2 3 2 2" xfId="39595"/>
    <cellStyle name="Обычный 8 3 2 3 2 2 3 2 3" xfId="39596"/>
    <cellStyle name="Обычный 8 3 2 3 2 2 3 3" xfId="39597"/>
    <cellStyle name="Обычный 8 3 2 3 2 2 3 3 2" xfId="39598"/>
    <cellStyle name="Обычный 8 3 2 3 2 2 3 3 3" xfId="39599"/>
    <cellStyle name="Обычный 8 3 2 3 2 2 3 4" xfId="39600"/>
    <cellStyle name="Обычный 8 3 2 3 2 2 3 4 2" xfId="39601"/>
    <cellStyle name="Обычный 8 3 2 3 2 2 3 5" xfId="39602"/>
    <cellStyle name="Обычный 8 3 2 3 2 2 3 6" xfId="39603"/>
    <cellStyle name="Обычный 8 3 2 3 2 2 4" xfId="39604"/>
    <cellStyle name="Обычный 8 3 2 3 2 2 4 2" xfId="39605"/>
    <cellStyle name="Обычный 8 3 2 3 2 2 4 3" xfId="39606"/>
    <cellStyle name="Обычный 8 3 2 3 2 2 5" xfId="39607"/>
    <cellStyle name="Обычный 8 3 2 3 2 2 5 2" xfId="39608"/>
    <cellStyle name="Обычный 8 3 2 3 2 2 5 3" xfId="39609"/>
    <cellStyle name="Обычный 8 3 2 3 2 2 6" xfId="39610"/>
    <cellStyle name="Обычный 8 3 2 3 2 2 6 2" xfId="39611"/>
    <cellStyle name="Обычный 8 3 2 3 2 2 7" xfId="39612"/>
    <cellStyle name="Обычный 8 3 2 3 2 2 8" xfId="39613"/>
    <cellStyle name="Обычный 8 3 2 3 2 3" xfId="39614"/>
    <cellStyle name="Обычный 8 3 2 3 2 3 2" xfId="39615"/>
    <cellStyle name="Обычный 8 3 2 3 2 3 2 2" xfId="39616"/>
    <cellStyle name="Обычный 8 3 2 3 2 3 2 2 2" xfId="39617"/>
    <cellStyle name="Обычный 8 3 2 3 2 3 2 2 3" xfId="39618"/>
    <cellStyle name="Обычный 8 3 2 3 2 3 2 3" xfId="39619"/>
    <cellStyle name="Обычный 8 3 2 3 2 3 2 3 2" xfId="39620"/>
    <cellStyle name="Обычный 8 3 2 3 2 3 2 3 3" xfId="39621"/>
    <cellStyle name="Обычный 8 3 2 3 2 3 2 4" xfId="39622"/>
    <cellStyle name="Обычный 8 3 2 3 2 3 2 4 2" xfId="39623"/>
    <cellStyle name="Обычный 8 3 2 3 2 3 2 5" xfId="39624"/>
    <cellStyle name="Обычный 8 3 2 3 2 3 2 6" xfId="39625"/>
    <cellStyle name="Обычный 8 3 2 3 2 3 3" xfId="39626"/>
    <cellStyle name="Обычный 8 3 2 3 2 3 3 2" xfId="39627"/>
    <cellStyle name="Обычный 8 3 2 3 2 3 3 3" xfId="39628"/>
    <cellStyle name="Обычный 8 3 2 3 2 3 4" xfId="39629"/>
    <cellStyle name="Обычный 8 3 2 3 2 3 4 2" xfId="39630"/>
    <cellStyle name="Обычный 8 3 2 3 2 3 4 3" xfId="39631"/>
    <cellStyle name="Обычный 8 3 2 3 2 3 5" xfId="39632"/>
    <cellStyle name="Обычный 8 3 2 3 2 3 5 2" xfId="39633"/>
    <cellStyle name="Обычный 8 3 2 3 2 3 6" xfId="39634"/>
    <cellStyle name="Обычный 8 3 2 3 2 3 7" xfId="39635"/>
    <cellStyle name="Обычный 8 3 2 3 2 4" xfId="39636"/>
    <cellStyle name="Обычный 8 3 2 3 2 4 2" xfId="39637"/>
    <cellStyle name="Обычный 8 3 2 3 2 4 2 2" xfId="39638"/>
    <cellStyle name="Обычный 8 3 2 3 2 4 2 3" xfId="39639"/>
    <cellStyle name="Обычный 8 3 2 3 2 4 3" xfId="39640"/>
    <cellStyle name="Обычный 8 3 2 3 2 4 3 2" xfId="39641"/>
    <cellStyle name="Обычный 8 3 2 3 2 4 3 3" xfId="39642"/>
    <cellStyle name="Обычный 8 3 2 3 2 4 4" xfId="39643"/>
    <cellStyle name="Обычный 8 3 2 3 2 4 4 2" xfId="39644"/>
    <cellStyle name="Обычный 8 3 2 3 2 4 5" xfId="39645"/>
    <cellStyle name="Обычный 8 3 2 3 2 4 6" xfId="39646"/>
    <cellStyle name="Обычный 8 3 2 3 2 5" xfId="39647"/>
    <cellStyle name="Обычный 8 3 2 3 2 5 2" xfId="39648"/>
    <cellStyle name="Обычный 8 3 2 3 2 5 3" xfId="39649"/>
    <cellStyle name="Обычный 8 3 2 3 2 6" xfId="39650"/>
    <cellStyle name="Обычный 8 3 2 3 2 6 2" xfId="39651"/>
    <cellStyle name="Обычный 8 3 2 3 2 6 3" xfId="39652"/>
    <cellStyle name="Обычный 8 3 2 3 2 7" xfId="39653"/>
    <cellStyle name="Обычный 8 3 2 3 2 7 2" xfId="39654"/>
    <cellStyle name="Обычный 8 3 2 3 2 8" xfId="39655"/>
    <cellStyle name="Обычный 8 3 2 3 2 9" xfId="39656"/>
    <cellStyle name="Обычный 8 3 2 3 3" xfId="39657"/>
    <cellStyle name="Обычный 8 3 2 3 3 2" xfId="39658"/>
    <cellStyle name="Обычный 8 3 2 3 3 2 2" xfId="39659"/>
    <cellStyle name="Обычный 8 3 2 3 3 2 2 2" xfId="39660"/>
    <cellStyle name="Обычный 8 3 2 3 3 2 2 2 2" xfId="39661"/>
    <cellStyle name="Обычный 8 3 2 3 3 2 2 2 3" xfId="39662"/>
    <cellStyle name="Обычный 8 3 2 3 3 2 2 3" xfId="39663"/>
    <cellStyle name="Обычный 8 3 2 3 3 2 2 3 2" xfId="39664"/>
    <cellStyle name="Обычный 8 3 2 3 3 2 2 3 3" xfId="39665"/>
    <cellStyle name="Обычный 8 3 2 3 3 2 2 4" xfId="39666"/>
    <cellStyle name="Обычный 8 3 2 3 3 2 2 4 2" xfId="39667"/>
    <cellStyle name="Обычный 8 3 2 3 3 2 2 5" xfId="39668"/>
    <cellStyle name="Обычный 8 3 2 3 3 2 2 6" xfId="39669"/>
    <cellStyle name="Обычный 8 3 2 3 3 2 3" xfId="39670"/>
    <cellStyle name="Обычный 8 3 2 3 3 2 3 2" xfId="39671"/>
    <cellStyle name="Обычный 8 3 2 3 3 2 3 3" xfId="39672"/>
    <cellStyle name="Обычный 8 3 2 3 3 2 4" xfId="39673"/>
    <cellStyle name="Обычный 8 3 2 3 3 2 4 2" xfId="39674"/>
    <cellStyle name="Обычный 8 3 2 3 3 2 4 3" xfId="39675"/>
    <cellStyle name="Обычный 8 3 2 3 3 2 5" xfId="39676"/>
    <cellStyle name="Обычный 8 3 2 3 3 2 5 2" xfId="39677"/>
    <cellStyle name="Обычный 8 3 2 3 3 2 6" xfId="39678"/>
    <cellStyle name="Обычный 8 3 2 3 3 2 7" xfId="39679"/>
    <cellStyle name="Обычный 8 3 2 3 3 3" xfId="39680"/>
    <cellStyle name="Обычный 8 3 2 3 3 3 2" xfId="39681"/>
    <cellStyle name="Обычный 8 3 2 3 3 3 2 2" xfId="39682"/>
    <cellStyle name="Обычный 8 3 2 3 3 3 2 3" xfId="39683"/>
    <cellStyle name="Обычный 8 3 2 3 3 3 3" xfId="39684"/>
    <cellStyle name="Обычный 8 3 2 3 3 3 3 2" xfId="39685"/>
    <cellStyle name="Обычный 8 3 2 3 3 3 3 3" xfId="39686"/>
    <cellStyle name="Обычный 8 3 2 3 3 3 4" xfId="39687"/>
    <cellStyle name="Обычный 8 3 2 3 3 3 4 2" xfId="39688"/>
    <cellStyle name="Обычный 8 3 2 3 3 3 5" xfId="39689"/>
    <cellStyle name="Обычный 8 3 2 3 3 3 6" xfId="39690"/>
    <cellStyle name="Обычный 8 3 2 3 3 4" xfId="39691"/>
    <cellStyle name="Обычный 8 3 2 3 3 4 2" xfId="39692"/>
    <cellStyle name="Обычный 8 3 2 3 3 4 3" xfId="39693"/>
    <cellStyle name="Обычный 8 3 2 3 3 5" xfId="39694"/>
    <cellStyle name="Обычный 8 3 2 3 3 5 2" xfId="39695"/>
    <cellStyle name="Обычный 8 3 2 3 3 5 3" xfId="39696"/>
    <cellStyle name="Обычный 8 3 2 3 3 6" xfId="39697"/>
    <cellStyle name="Обычный 8 3 2 3 3 6 2" xfId="39698"/>
    <cellStyle name="Обычный 8 3 2 3 3 7" xfId="39699"/>
    <cellStyle name="Обычный 8 3 2 3 3 8" xfId="39700"/>
    <cellStyle name="Обычный 8 3 2 3 4" xfId="39701"/>
    <cellStyle name="Обычный 8 3 2 3 4 2" xfId="39702"/>
    <cellStyle name="Обычный 8 3 2 3 4 2 2" xfId="39703"/>
    <cellStyle name="Обычный 8 3 2 3 4 2 2 2" xfId="39704"/>
    <cellStyle name="Обычный 8 3 2 3 4 2 2 3" xfId="39705"/>
    <cellStyle name="Обычный 8 3 2 3 4 2 3" xfId="39706"/>
    <cellStyle name="Обычный 8 3 2 3 4 2 3 2" xfId="39707"/>
    <cellStyle name="Обычный 8 3 2 3 4 2 3 3" xfId="39708"/>
    <cellStyle name="Обычный 8 3 2 3 4 2 4" xfId="39709"/>
    <cellStyle name="Обычный 8 3 2 3 4 2 4 2" xfId="39710"/>
    <cellStyle name="Обычный 8 3 2 3 4 2 5" xfId="39711"/>
    <cellStyle name="Обычный 8 3 2 3 4 2 6" xfId="39712"/>
    <cellStyle name="Обычный 8 3 2 3 4 3" xfId="39713"/>
    <cellStyle name="Обычный 8 3 2 3 4 3 2" xfId="39714"/>
    <cellStyle name="Обычный 8 3 2 3 4 3 3" xfId="39715"/>
    <cellStyle name="Обычный 8 3 2 3 4 4" xfId="39716"/>
    <cellStyle name="Обычный 8 3 2 3 4 4 2" xfId="39717"/>
    <cellStyle name="Обычный 8 3 2 3 4 4 3" xfId="39718"/>
    <cellStyle name="Обычный 8 3 2 3 4 5" xfId="39719"/>
    <cellStyle name="Обычный 8 3 2 3 4 5 2" xfId="39720"/>
    <cellStyle name="Обычный 8 3 2 3 4 6" xfId="39721"/>
    <cellStyle name="Обычный 8 3 2 3 4 7" xfId="39722"/>
    <cellStyle name="Обычный 8 3 2 3 5" xfId="39723"/>
    <cellStyle name="Обычный 8 3 2 3 5 2" xfId="39724"/>
    <cellStyle name="Обычный 8 3 2 3 5 2 2" xfId="39725"/>
    <cellStyle name="Обычный 8 3 2 3 5 2 3" xfId="39726"/>
    <cellStyle name="Обычный 8 3 2 3 5 3" xfId="39727"/>
    <cellStyle name="Обычный 8 3 2 3 5 3 2" xfId="39728"/>
    <cellStyle name="Обычный 8 3 2 3 5 3 3" xfId="39729"/>
    <cellStyle name="Обычный 8 3 2 3 5 4" xfId="39730"/>
    <cellStyle name="Обычный 8 3 2 3 5 4 2" xfId="39731"/>
    <cellStyle name="Обычный 8 3 2 3 5 5" xfId="39732"/>
    <cellStyle name="Обычный 8 3 2 3 5 6" xfId="39733"/>
    <cellStyle name="Обычный 8 3 2 3 6" xfId="39734"/>
    <cellStyle name="Обычный 8 3 2 3 6 2" xfId="39735"/>
    <cellStyle name="Обычный 8 3 2 3 6 3" xfId="39736"/>
    <cellStyle name="Обычный 8 3 2 3 7" xfId="39737"/>
    <cellStyle name="Обычный 8 3 2 3 7 2" xfId="39738"/>
    <cellStyle name="Обычный 8 3 2 3 7 3" xfId="39739"/>
    <cellStyle name="Обычный 8 3 2 3 8" xfId="39740"/>
    <cellStyle name="Обычный 8 3 2 3 8 2" xfId="39741"/>
    <cellStyle name="Обычный 8 3 2 3 9" xfId="39742"/>
    <cellStyle name="Обычный 8 3 2 4" xfId="39743"/>
    <cellStyle name="Обычный 8 3 2 4 10" xfId="39744"/>
    <cellStyle name="Обычный 8 3 2 4 2" xfId="39745"/>
    <cellStyle name="Обычный 8 3 2 4 2 2" xfId="39746"/>
    <cellStyle name="Обычный 8 3 2 4 2 2 2" xfId="39747"/>
    <cellStyle name="Обычный 8 3 2 4 2 2 2 2" xfId="39748"/>
    <cellStyle name="Обычный 8 3 2 4 2 2 2 2 2" xfId="39749"/>
    <cellStyle name="Обычный 8 3 2 4 2 2 2 2 2 2" xfId="39750"/>
    <cellStyle name="Обычный 8 3 2 4 2 2 2 2 2 3" xfId="39751"/>
    <cellStyle name="Обычный 8 3 2 4 2 2 2 2 3" xfId="39752"/>
    <cellStyle name="Обычный 8 3 2 4 2 2 2 2 3 2" xfId="39753"/>
    <cellStyle name="Обычный 8 3 2 4 2 2 2 2 3 3" xfId="39754"/>
    <cellStyle name="Обычный 8 3 2 4 2 2 2 2 4" xfId="39755"/>
    <cellStyle name="Обычный 8 3 2 4 2 2 2 2 4 2" xfId="39756"/>
    <cellStyle name="Обычный 8 3 2 4 2 2 2 2 5" xfId="39757"/>
    <cellStyle name="Обычный 8 3 2 4 2 2 2 2 6" xfId="39758"/>
    <cellStyle name="Обычный 8 3 2 4 2 2 2 3" xfId="39759"/>
    <cellStyle name="Обычный 8 3 2 4 2 2 2 3 2" xfId="39760"/>
    <cellStyle name="Обычный 8 3 2 4 2 2 2 3 3" xfId="39761"/>
    <cellStyle name="Обычный 8 3 2 4 2 2 2 4" xfId="39762"/>
    <cellStyle name="Обычный 8 3 2 4 2 2 2 4 2" xfId="39763"/>
    <cellStyle name="Обычный 8 3 2 4 2 2 2 4 3" xfId="39764"/>
    <cellStyle name="Обычный 8 3 2 4 2 2 2 5" xfId="39765"/>
    <cellStyle name="Обычный 8 3 2 4 2 2 2 5 2" xfId="39766"/>
    <cellStyle name="Обычный 8 3 2 4 2 2 2 6" xfId="39767"/>
    <cellStyle name="Обычный 8 3 2 4 2 2 2 7" xfId="39768"/>
    <cellStyle name="Обычный 8 3 2 4 2 2 3" xfId="39769"/>
    <cellStyle name="Обычный 8 3 2 4 2 2 3 2" xfId="39770"/>
    <cellStyle name="Обычный 8 3 2 4 2 2 3 2 2" xfId="39771"/>
    <cellStyle name="Обычный 8 3 2 4 2 2 3 2 3" xfId="39772"/>
    <cellStyle name="Обычный 8 3 2 4 2 2 3 3" xfId="39773"/>
    <cellStyle name="Обычный 8 3 2 4 2 2 3 3 2" xfId="39774"/>
    <cellStyle name="Обычный 8 3 2 4 2 2 3 3 3" xfId="39775"/>
    <cellStyle name="Обычный 8 3 2 4 2 2 3 4" xfId="39776"/>
    <cellStyle name="Обычный 8 3 2 4 2 2 3 4 2" xfId="39777"/>
    <cellStyle name="Обычный 8 3 2 4 2 2 3 5" xfId="39778"/>
    <cellStyle name="Обычный 8 3 2 4 2 2 3 6" xfId="39779"/>
    <cellStyle name="Обычный 8 3 2 4 2 2 4" xfId="39780"/>
    <cellStyle name="Обычный 8 3 2 4 2 2 4 2" xfId="39781"/>
    <cellStyle name="Обычный 8 3 2 4 2 2 4 3" xfId="39782"/>
    <cellStyle name="Обычный 8 3 2 4 2 2 5" xfId="39783"/>
    <cellStyle name="Обычный 8 3 2 4 2 2 5 2" xfId="39784"/>
    <cellStyle name="Обычный 8 3 2 4 2 2 5 3" xfId="39785"/>
    <cellStyle name="Обычный 8 3 2 4 2 2 6" xfId="39786"/>
    <cellStyle name="Обычный 8 3 2 4 2 2 6 2" xfId="39787"/>
    <cellStyle name="Обычный 8 3 2 4 2 2 7" xfId="39788"/>
    <cellStyle name="Обычный 8 3 2 4 2 2 8" xfId="39789"/>
    <cellStyle name="Обычный 8 3 2 4 2 3" xfId="39790"/>
    <cellStyle name="Обычный 8 3 2 4 2 3 2" xfId="39791"/>
    <cellStyle name="Обычный 8 3 2 4 2 3 2 2" xfId="39792"/>
    <cellStyle name="Обычный 8 3 2 4 2 3 2 2 2" xfId="39793"/>
    <cellStyle name="Обычный 8 3 2 4 2 3 2 2 3" xfId="39794"/>
    <cellStyle name="Обычный 8 3 2 4 2 3 2 3" xfId="39795"/>
    <cellStyle name="Обычный 8 3 2 4 2 3 2 3 2" xfId="39796"/>
    <cellStyle name="Обычный 8 3 2 4 2 3 2 3 3" xfId="39797"/>
    <cellStyle name="Обычный 8 3 2 4 2 3 2 4" xfId="39798"/>
    <cellStyle name="Обычный 8 3 2 4 2 3 2 4 2" xfId="39799"/>
    <cellStyle name="Обычный 8 3 2 4 2 3 2 5" xfId="39800"/>
    <cellStyle name="Обычный 8 3 2 4 2 3 2 6" xfId="39801"/>
    <cellStyle name="Обычный 8 3 2 4 2 3 3" xfId="39802"/>
    <cellStyle name="Обычный 8 3 2 4 2 3 3 2" xfId="39803"/>
    <cellStyle name="Обычный 8 3 2 4 2 3 3 3" xfId="39804"/>
    <cellStyle name="Обычный 8 3 2 4 2 3 4" xfId="39805"/>
    <cellStyle name="Обычный 8 3 2 4 2 3 4 2" xfId="39806"/>
    <cellStyle name="Обычный 8 3 2 4 2 3 4 3" xfId="39807"/>
    <cellStyle name="Обычный 8 3 2 4 2 3 5" xfId="39808"/>
    <cellStyle name="Обычный 8 3 2 4 2 3 5 2" xfId="39809"/>
    <cellStyle name="Обычный 8 3 2 4 2 3 6" xfId="39810"/>
    <cellStyle name="Обычный 8 3 2 4 2 3 7" xfId="39811"/>
    <cellStyle name="Обычный 8 3 2 4 2 4" xfId="39812"/>
    <cellStyle name="Обычный 8 3 2 4 2 4 2" xfId="39813"/>
    <cellStyle name="Обычный 8 3 2 4 2 4 2 2" xfId="39814"/>
    <cellStyle name="Обычный 8 3 2 4 2 4 2 3" xfId="39815"/>
    <cellStyle name="Обычный 8 3 2 4 2 4 3" xfId="39816"/>
    <cellStyle name="Обычный 8 3 2 4 2 4 3 2" xfId="39817"/>
    <cellStyle name="Обычный 8 3 2 4 2 4 3 3" xfId="39818"/>
    <cellStyle name="Обычный 8 3 2 4 2 4 4" xfId="39819"/>
    <cellStyle name="Обычный 8 3 2 4 2 4 4 2" xfId="39820"/>
    <cellStyle name="Обычный 8 3 2 4 2 4 5" xfId="39821"/>
    <cellStyle name="Обычный 8 3 2 4 2 4 6" xfId="39822"/>
    <cellStyle name="Обычный 8 3 2 4 2 5" xfId="39823"/>
    <cellStyle name="Обычный 8 3 2 4 2 5 2" xfId="39824"/>
    <cellStyle name="Обычный 8 3 2 4 2 5 3" xfId="39825"/>
    <cellStyle name="Обычный 8 3 2 4 2 6" xfId="39826"/>
    <cellStyle name="Обычный 8 3 2 4 2 6 2" xfId="39827"/>
    <cellStyle name="Обычный 8 3 2 4 2 6 3" xfId="39828"/>
    <cellStyle name="Обычный 8 3 2 4 2 7" xfId="39829"/>
    <cellStyle name="Обычный 8 3 2 4 2 7 2" xfId="39830"/>
    <cellStyle name="Обычный 8 3 2 4 2 8" xfId="39831"/>
    <cellStyle name="Обычный 8 3 2 4 2 9" xfId="39832"/>
    <cellStyle name="Обычный 8 3 2 4 3" xfId="39833"/>
    <cellStyle name="Обычный 8 3 2 4 3 2" xfId="39834"/>
    <cellStyle name="Обычный 8 3 2 4 3 2 2" xfId="39835"/>
    <cellStyle name="Обычный 8 3 2 4 3 2 2 2" xfId="39836"/>
    <cellStyle name="Обычный 8 3 2 4 3 2 2 2 2" xfId="39837"/>
    <cellStyle name="Обычный 8 3 2 4 3 2 2 2 3" xfId="39838"/>
    <cellStyle name="Обычный 8 3 2 4 3 2 2 3" xfId="39839"/>
    <cellStyle name="Обычный 8 3 2 4 3 2 2 3 2" xfId="39840"/>
    <cellStyle name="Обычный 8 3 2 4 3 2 2 3 3" xfId="39841"/>
    <cellStyle name="Обычный 8 3 2 4 3 2 2 4" xfId="39842"/>
    <cellStyle name="Обычный 8 3 2 4 3 2 2 4 2" xfId="39843"/>
    <cellStyle name="Обычный 8 3 2 4 3 2 2 5" xfId="39844"/>
    <cellStyle name="Обычный 8 3 2 4 3 2 2 6" xfId="39845"/>
    <cellStyle name="Обычный 8 3 2 4 3 2 3" xfId="39846"/>
    <cellStyle name="Обычный 8 3 2 4 3 2 3 2" xfId="39847"/>
    <cellStyle name="Обычный 8 3 2 4 3 2 3 3" xfId="39848"/>
    <cellStyle name="Обычный 8 3 2 4 3 2 4" xfId="39849"/>
    <cellStyle name="Обычный 8 3 2 4 3 2 4 2" xfId="39850"/>
    <cellStyle name="Обычный 8 3 2 4 3 2 4 3" xfId="39851"/>
    <cellStyle name="Обычный 8 3 2 4 3 2 5" xfId="39852"/>
    <cellStyle name="Обычный 8 3 2 4 3 2 5 2" xfId="39853"/>
    <cellStyle name="Обычный 8 3 2 4 3 2 6" xfId="39854"/>
    <cellStyle name="Обычный 8 3 2 4 3 2 7" xfId="39855"/>
    <cellStyle name="Обычный 8 3 2 4 3 3" xfId="39856"/>
    <cellStyle name="Обычный 8 3 2 4 3 3 2" xfId="39857"/>
    <cellStyle name="Обычный 8 3 2 4 3 3 2 2" xfId="39858"/>
    <cellStyle name="Обычный 8 3 2 4 3 3 2 3" xfId="39859"/>
    <cellStyle name="Обычный 8 3 2 4 3 3 3" xfId="39860"/>
    <cellStyle name="Обычный 8 3 2 4 3 3 3 2" xfId="39861"/>
    <cellStyle name="Обычный 8 3 2 4 3 3 3 3" xfId="39862"/>
    <cellStyle name="Обычный 8 3 2 4 3 3 4" xfId="39863"/>
    <cellStyle name="Обычный 8 3 2 4 3 3 4 2" xfId="39864"/>
    <cellStyle name="Обычный 8 3 2 4 3 3 5" xfId="39865"/>
    <cellStyle name="Обычный 8 3 2 4 3 3 6" xfId="39866"/>
    <cellStyle name="Обычный 8 3 2 4 3 4" xfId="39867"/>
    <cellStyle name="Обычный 8 3 2 4 3 4 2" xfId="39868"/>
    <cellStyle name="Обычный 8 3 2 4 3 4 3" xfId="39869"/>
    <cellStyle name="Обычный 8 3 2 4 3 5" xfId="39870"/>
    <cellStyle name="Обычный 8 3 2 4 3 5 2" xfId="39871"/>
    <cellStyle name="Обычный 8 3 2 4 3 5 3" xfId="39872"/>
    <cellStyle name="Обычный 8 3 2 4 3 6" xfId="39873"/>
    <cellStyle name="Обычный 8 3 2 4 3 6 2" xfId="39874"/>
    <cellStyle name="Обычный 8 3 2 4 3 7" xfId="39875"/>
    <cellStyle name="Обычный 8 3 2 4 3 8" xfId="39876"/>
    <cellStyle name="Обычный 8 3 2 4 4" xfId="39877"/>
    <cellStyle name="Обычный 8 3 2 4 4 2" xfId="39878"/>
    <cellStyle name="Обычный 8 3 2 4 4 2 2" xfId="39879"/>
    <cellStyle name="Обычный 8 3 2 4 4 2 2 2" xfId="39880"/>
    <cellStyle name="Обычный 8 3 2 4 4 2 2 3" xfId="39881"/>
    <cellStyle name="Обычный 8 3 2 4 4 2 3" xfId="39882"/>
    <cellStyle name="Обычный 8 3 2 4 4 2 3 2" xfId="39883"/>
    <cellStyle name="Обычный 8 3 2 4 4 2 3 3" xfId="39884"/>
    <cellStyle name="Обычный 8 3 2 4 4 2 4" xfId="39885"/>
    <cellStyle name="Обычный 8 3 2 4 4 2 4 2" xfId="39886"/>
    <cellStyle name="Обычный 8 3 2 4 4 2 5" xfId="39887"/>
    <cellStyle name="Обычный 8 3 2 4 4 2 6" xfId="39888"/>
    <cellStyle name="Обычный 8 3 2 4 4 3" xfId="39889"/>
    <cellStyle name="Обычный 8 3 2 4 4 3 2" xfId="39890"/>
    <cellStyle name="Обычный 8 3 2 4 4 3 3" xfId="39891"/>
    <cellStyle name="Обычный 8 3 2 4 4 4" xfId="39892"/>
    <cellStyle name="Обычный 8 3 2 4 4 4 2" xfId="39893"/>
    <cellStyle name="Обычный 8 3 2 4 4 4 3" xfId="39894"/>
    <cellStyle name="Обычный 8 3 2 4 4 5" xfId="39895"/>
    <cellStyle name="Обычный 8 3 2 4 4 5 2" xfId="39896"/>
    <cellStyle name="Обычный 8 3 2 4 4 6" xfId="39897"/>
    <cellStyle name="Обычный 8 3 2 4 4 7" xfId="39898"/>
    <cellStyle name="Обычный 8 3 2 4 5" xfId="39899"/>
    <cellStyle name="Обычный 8 3 2 4 5 2" xfId="39900"/>
    <cellStyle name="Обычный 8 3 2 4 5 2 2" xfId="39901"/>
    <cellStyle name="Обычный 8 3 2 4 5 2 3" xfId="39902"/>
    <cellStyle name="Обычный 8 3 2 4 5 3" xfId="39903"/>
    <cellStyle name="Обычный 8 3 2 4 5 3 2" xfId="39904"/>
    <cellStyle name="Обычный 8 3 2 4 5 3 3" xfId="39905"/>
    <cellStyle name="Обычный 8 3 2 4 5 4" xfId="39906"/>
    <cellStyle name="Обычный 8 3 2 4 5 4 2" xfId="39907"/>
    <cellStyle name="Обычный 8 3 2 4 5 5" xfId="39908"/>
    <cellStyle name="Обычный 8 3 2 4 5 6" xfId="39909"/>
    <cellStyle name="Обычный 8 3 2 4 6" xfId="39910"/>
    <cellStyle name="Обычный 8 3 2 4 6 2" xfId="39911"/>
    <cellStyle name="Обычный 8 3 2 4 6 3" xfId="39912"/>
    <cellStyle name="Обычный 8 3 2 4 7" xfId="39913"/>
    <cellStyle name="Обычный 8 3 2 4 7 2" xfId="39914"/>
    <cellStyle name="Обычный 8 3 2 4 7 3" xfId="39915"/>
    <cellStyle name="Обычный 8 3 2 4 8" xfId="39916"/>
    <cellStyle name="Обычный 8 3 2 4 8 2" xfId="39917"/>
    <cellStyle name="Обычный 8 3 2 4 9" xfId="39918"/>
    <cellStyle name="Обычный 8 3 2 5" xfId="39919"/>
    <cellStyle name="Обычный 8 3 2 5 2" xfId="39920"/>
    <cellStyle name="Обычный 8 3 2 5 2 2" xfId="39921"/>
    <cellStyle name="Обычный 8 3 2 5 2 2 2" xfId="39922"/>
    <cellStyle name="Обычный 8 3 2 5 2 2 2 2" xfId="39923"/>
    <cellStyle name="Обычный 8 3 2 5 2 2 2 2 2" xfId="39924"/>
    <cellStyle name="Обычный 8 3 2 5 2 2 2 2 3" xfId="39925"/>
    <cellStyle name="Обычный 8 3 2 5 2 2 2 3" xfId="39926"/>
    <cellStyle name="Обычный 8 3 2 5 2 2 2 3 2" xfId="39927"/>
    <cellStyle name="Обычный 8 3 2 5 2 2 2 3 3" xfId="39928"/>
    <cellStyle name="Обычный 8 3 2 5 2 2 2 4" xfId="39929"/>
    <cellStyle name="Обычный 8 3 2 5 2 2 2 4 2" xfId="39930"/>
    <cellStyle name="Обычный 8 3 2 5 2 2 2 5" xfId="39931"/>
    <cellStyle name="Обычный 8 3 2 5 2 2 2 6" xfId="39932"/>
    <cellStyle name="Обычный 8 3 2 5 2 2 3" xfId="39933"/>
    <cellStyle name="Обычный 8 3 2 5 2 2 3 2" xfId="39934"/>
    <cellStyle name="Обычный 8 3 2 5 2 2 3 3" xfId="39935"/>
    <cellStyle name="Обычный 8 3 2 5 2 2 4" xfId="39936"/>
    <cellStyle name="Обычный 8 3 2 5 2 2 4 2" xfId="39937"/>
    <cellStyle name="Обычный 8 3 2 5 2 2 4 3" xfId="39938"/>
    <cellStyle name="Обычный 8 3 2 5 2 2 5" xfId="39939"/>
    <cellStyle name="Обычный 8 3 2 5 2 2 5 2" xfId="39940"/>
    <cellStyle name="Обычный 8 3 2 5 2 2 6" xfId="39941"/>
    <cellStyle name="Обычный 8 3 2 5 2 2 7" xfId="39942"/>
    <cellStyle name="Обычный 8 3 2 5 2 3" xfId="39943"/>
    <cellStyle name="Обычный 8 3 2 5 2 3 2" xfId="39944"/>
    <cellStyle name="Обычный 8 3 2 5 2 3 2 2" xfId="39945"/>
    <cellStyle name="Обычный 8 3 2 5 2 3 2 3" xfId="39946"/>
    <cellStyle name="Обычный 8 3 2 5 2 3 3" xfId="39947"/>
    <cellStyle name="Обычный 8 3 2 5 2 3 3 2" xfId="39948"/>
    <cellStyle name="Обычный 8 3 2 5 2 3 3 3" xfId="39949"/>
    <cellStyle name="Обычный 8 3 2 5 2 3 4" xfId="39950"/>
    <cellStyle name="Обычный 8 3 2 5 2 3 4 2" xfId="39951"/>
    <cellStyle name="Обычный 8 3 2 5 2 3 5" xfId="39952"/>
    <cellStyle name="Обычный 8 3 2 5 2 3 6" xfId="39953"/>
    <cellStyle name="Обычный 8 3 2 5 2 4" xfId="39954"/>
    <cellStyle name="Обычный 8 3 2 5 2 4 2" xfId="39955"/>
    <cellStyle name="Обычный 8 3 2 5 2 4 3" xfId="39956"/>
    <cellStyle name="Обычный 8 3 2 5 2 5" xfId="39957"/>
    <cellStyle name="Обычный 8 3 2 5 2 5 2" xfId="39958"/>
    <cellStyle name="Обычный 8 3 2 5 2 5 3" xfId="39959"/>
    <cellStyle name="Обычный 8 3 2 5 2 6" xfId="39960"/>
    <cellStyle name="Обычный 8 3 2 5 2 6 2" xfId="39961"/>
    <cellStyle name="Обычный 8 3 2 5 2 7" xfId="39962"/>
    <cellStyle name="Обычный 8 3 2 5 2 8" xfId="39963"/>
    <cellStyle name="Обычный 8 3 2 5 3" xfId="39964"/>
    <cellStyle name="Обычный 8 3 2 5 3 2" xfId="39965"/>
    <cellStyle name="Обычный 8 3 2 5 3 2 2" xfId="39966"/>
    <cellStyle name="Обычный 8 3 2 5 3 2 2 2" xfId="39967"/>
    <cellStyle name="Обычный 8 3 2 5 3 2 2 3" xfId="39968"/>
    <cellStyle name="Обычный 8 3 2 5 3 2 3" xfId="39969"/>
    <cellStyle name="Обычный 8 3 2 5 3 2 3 2" xfId="39970"/>
    <cellStyle name="Обычный 8 3 2 5 3 2 3 3" xfId="39971"/>
    <cellStyle name="Обычный 8 3 2 5 3 2 4" xfId="39972"/>
    <cellStyle name="Обычный 8 3 2 5 3 2 4 2" xfId="39973"/>
    <cellStyle name="Обычный 8 3 2 5 3 2 5" xfId="39974"/>
    <cellStyle name="Обычный 8 3 2 5 3 2 6" xfId="39975"/>
    <cellStyle name="Обычный 8 3 2 5 3 3" xfId="39976"/>
    <cellStyle name="Обычный 8 3 2 5 3 3 2" xfId="39977"/>
    <cellStyle name="Обычный 8 3 2 5 3 3 3" xfId="39978"/>
    <cellStyle name="Обычный 8 3 2 5 3 4" xfId="39979"/>
    <cellStyle name="Обычный 8 3 2 5 3 4 2" xfId="39980"/>
    <cellStyle name="Обычный 8 3 2 5 3 4 3" xfId="39981"/>
    <cellStyle name="Обычный 8 3 2 5 3 5" xfId="39982"/>
    <cellStyle name="Обычный 8 3 2 5 3 5 2" xfId="39983"/>
    <cellStyle name="Обычный 8 3 2 5 3 6" xfId="39984"/>
    <cellStyle name="Обычный 8 3 2 5 3 7" xfId="39985"/>
    <cellStyle name="Обычный 8 3 2 5 4" xfId="39986"/>
    <cellStyle name="Обычный 8 3 2 5 4 2" xfId="39987"/>
    <cellStyle name="Обычный 8 3 2 5 4 2 2" xfId="39988"/>
    <cellStyle name="Обычный 8 3 2 5 4 2 3" xfId="39989"/>
    <cellStyle name="Обычный 8 3 2 5 4 3" xfId="39990"/>
    <cellStyle name="Обычный 8 3 2 5 4 3 2" xfId="39991"/>
    <cellStyle name="Обычный 8 3 2 5 4 3 3" xfId="39992"/>
    <cellStyle name="Обычный 8 3 2 5 4 4" xfId="39993"/>
    <cellStyle name="Обычный 8 3 2 5 4 4 2" xfId="39994"/>
    <cellStyle name="Обычный 8 3 2 5 4 5" xfId="39995"/>
    <cellStyle name="Обычный 8 3 2 5 4 6" xfId="39996"/>
    <cellStyle name="Обычный 8 3 2 5 5" xfId="39997"/>
    <cellStyle name="Обычный 8 3 2 5 5 2" xfId="39998"/>
    <cellStyle name="Обычный 8 3 2 5 5 3" xfId="39999"/>
    <cellStyle name="Обычный 8 3 2 5 6" xfId="40000"/>
    <cellStyle name="Обычный 8 3 2 5 6 2" xfId="40001"/>
    <cellStyle name="Обычный 8 3 2 5 6 3" xfId="40002"/>
    <cellStyle name="Обычный 8 3 2 5 7" xfId="40003"/>
    <cellStyle name="Обычный 8 3 2 5 7 2" xfId="40004"/>
    <cellStyle name="Обычный 8 3 2 5 8" xfId="40005"/>
    <cellStyle name="Обычный 8 3 2 5 9" xfId="40006"/>
    <cellStyle name="Обычный 8 3 2 6" xfId="40007"/>
    <cellStyle name="Обычный 8 3 2 6 2" xfId="40008"/>
    <cellStyle name="Обычный 8 3 2 6 2 2" xfId="40009"/>
    <cellStyle name="Обычный 8 3 2 6 2 2 2" xfId="40010"/>
    <cellStyle name="Обычный 8 3 2 6 2 2 2 2" xfId="40011"/>
    <cellStyle name="Обычный 8 3 2 6 2 2 2 3" xfId="40012"/>
    <cellStyle name="Обычный 8 3 2 6 2 2 3" xfId="40013"/>
    <cellStyle name="Обычный 8 3 2 6 2 2 3 2" xfId="40014"/>
    <cellStyle name="Обычный 8 3 2 6 2 2 3 3" xfId="40015"/>
    <cellStyle name="Обычный 8 3 2 6 2 2 4" xfId="40016"/>
    <cellStyle name="Обычный 8 3 2 6 2 2 4 2" xfId="40017"/>
    <cellStyle name="Обычный 8 3 2 6 2 2 5" xfId="40018"/>
    <cellStyle name="Обычный 8 3 2 6 2 2 6" xfId="40019"/>
    <cellStyle name="Обычный 8 3 2 6 2 3" xfId="40020"/>
    <cellStyle name="Обычный 8 3 2 6 2 3 2" xfId="40021"/>
    <cellStyle name="Обычный 8 3 2 6 2 3 3" xfId="40022"/>
    <cellStyle name="Обычный 8 3 2 6 2 4" xfId="40023"/>
    <cellStyle name="Обычный 8 3 2 6 2 4 2" xfId="40024"/>
    <cellStyle name="Обычный 8 3 2 6 2 4 3" xfId="40025"/>
    <cellStyle name="Обычный 8 3 2 6 2 5" xfId="40026"/>
    <cellStyle name="Обычный 8 3 2 6 2 5 2" xfId="40027"/>
    <cellStyle name="Обычный 8 3 2 6 2 6" xfId="40028"/>
    <cellStyle name="Обычный 8 3 2 6 2 7" xfId="40029"/>
    <cellStyle name="Обычный 8 3 2 6 3" xfId="40030"/>
    <cellStyle name="Обычный 8 3 2 6 3 2" xfId="40031"/>
    <cellStyle name="Обычный 8 3 2 6 3 2 2" xfId="40032"/>
    <cellStyle name="Обычный 8 3 2 6 3 2 3" xfId="40033"/>
    <cellStyle name="Обычный 8 3 2 6 3 3" xfId="40034"/>
    <cellStyle name="Обычный 8 3 2 6 3 3 2" xfId="40035"/>
    <cellStyle name="Обычный 8 3 2 6 3 3 3" xfId="40036"/>
    <cellStyle name="Обычный 8 3 2 6 3 4" xfId="40037"/>
    <cellStyle name="Обычный 8 3 2 6 3 4 2" xfId="40038"/>
    <cellStyle name="Обычный 8 3 2 6 3 5" xfId="40039"/>
    <cellStyle name="Обычный 8 3 2 6 3 6" xfId="40040"/>
    <cellStyle name="Обычный 8 3 2 6 4" xfId="40041"/>
    <cellStyle name="Обычный 8 3 2 6 4 2" xfId="40042"/>
    <cellStyle name="Обычный 8 3 2 6 4 3" xfId="40043"/>
    <cellStyle name="Обычный 8 3 2 6 5" xfId="40044"/>
    <cellStyle name="Обычный 8 3 2 6 5 2" xfId="40045"/>
    <cellStyle name="Обычный 8 3 2 6 5 3" xfId="40046"/>
    <cellStyle name="Обычный 8 3 2 6 6" xfId="40047"/>
    <cellStyle name="Обычный 8 3 2 6 6 2" xfId="40048"/>
    <cellStyle name="Обычный 8 3 2 6 7" xfId="40049"/>
    <cellStyle name="Обычный 8 3 2 6 8" xfId="40050"/>
    <cellStyle name="Обычный 8 3 2 7" xfId="40051"/>
    <cellStyle name="Обычный 8 3 2 7 2" xfId="40052"/>
    <cellStyle name="Обычный 8 3 2 7 2 2" xfId="40053"/>
    <cellStyle name="Обычный 8 3 2 7 2 2 2" xfId="40054"/>
    <cellStyle name="Обычный 8 3 2 7 2 2 3" xfId="40055"/>
    <cellStyle name="Обычный 8 3 2 7 2 3" xfId="40056"/>
    <cellStyle name="Обычный 8 3 2 7 2 3 2" xfId="40057"/>
    <cellStyle name="Обычный 8 3 2 7 2 3 3" xfId="40058"/>
    <cellStyle name="Обычный 8 3 2 7 2 4" xfId="40059"/>
    <cellStyle name="Обычный 8 3 2 7 2 4 2" xfId="40060"/>
    <cellStyle name="Обычный 8 3 2 7 2 5" xfId="40061"/>
    <cellStyle name="Обычный 8 3 2 7 2 6" xfId="40062"/>
    <cellStyle name="Обычный 8 3 2 7 3" xfId="40063"/>
    <cellStyle name="Обычный 8 3 2 7 3 2" xfId="40064"/>
    <cellStyle name="Обычный 8 3 2 7 3 3" xfId="40065"/>
    <cellStyle name="Обычный 8 3 2 7 4" xfId="40066"/>
    <cellStyle name="Обычный 8 3 2 7 4 2" xfId="40067"/>
    <cellStyle name="Обычный 8 3 2 7 4 3" xfId="40068"/>
    <cellStyle name="Обычный 8 3 2 7 5" xfId="40069"/>
    <cellStyle name="Обычный 8 3 2 7 5 2" xfId="40070"/>
    <cellStyle name="Обычный 8 3 2 7 6" xfId="40071"/>
    <cellStyle name="Обычный 8 3 2 7 7" xfId="40072"/>
    <cellStyle name="Обычный 8 3 2 8" xfId="40073"/>
    <cellStyle name="Обычный 8 3 2 8 2" xfId="40074"/>
    <cellStyle name="Обычный 8 3 2 8 2 2" xfId="40075"/>
    <cellStyle name="Обычный 8 3 2 8 2 3" xfId="40076"/>
    <cellStyle name="Обычный 8 3 2 8 3" xfId="40077"/>
    <cellStyle name="Обычный 8 3 2 8 3 2" xfId="40078"/>
    <cellStyle name="Обычный 8 3 2 8 3 3" xfId="40079"/>
    <cellStyle name="Обычный 8 3 2 8 4" xfId="40080"/>
    <cellStyle name="Обычный 8 3 2 8 4 2" xfId="40081"/>
    <cellStyle name="Обычный 8 3 2 8 5" xfId="40082"/>
    <cellStyle name="Обычный 8 3 2 8 6" xfId="40083"/>
    <cellStyle name="Обычный 8 3 2 9" xfId="40084"/>
    <cellStyle name="Обычный 8 3 2 9 2" xfId="40085"/>
    <cellStyle name="Обычный 8 3 2 9 3" xfId="40086"/>
    <cellStyle name="Обычный 8 3 3" xfId="40087"/>
    <cellStyle name="Обычный 8 3 3 10" xfId="40088"/>
    <cellStyle name="Обычный 8 3 3 2" xfId="40089"/>
    <cellStyle name="Обычный 8 3 3 2 2" xfId="40090"/>
    <cellStyle name="Обычный 8 3 3 2 2 2" xfId="40091"/>
    <cellStyle name="Обычный 8 3 3 2 2 2 2" xfId="40092"/>
    <cellStyle name="Обычный 8 3 3 2 2 2 2 2" xfId="40093"/>
    <cellStyle name="Обычный 8 3 3 2 2 2 2 2 2" xfId="40094"/>
    <cellStyle name="Обычный 8 3 3 2 2 2 2 2 3" xfId="40095"/>
    <cellStyle name="Обычный 8 3 3 2 2 2 2 3" xfId="40096"/>
    <cellStyle name="Обычный 8 3 3 2 2 2 2 3 2" xfId="40097"/>
    <cellStyle name="Обычный 8 3 3 2 2 2 2 3 3" xfId="40098"/>
    <cellStyle name="Обычный 8 3 3 2 2 2 2 4" xfId="40099"/>
    <cellStyle name="Обычный 8 3 3 2 2 2 2 4 2" xfId="40100"/>
    <cellStyle name="Обычный 8 3 3 2 2 2 2 5" xfId="40101"/>
    <cellStyle name="Обычный 8 3 3 2 2 2 2 6" xfId="40102"/>
    <cellStyle name="Обычный 8 3 3 2 2 2 3" xfId="40103"/>
    <cellStyle name="Обычный 8 3 3 2 2 2 3 2" xfId="40104"/>
    <cellStyle name="Обычный 8 3 3 2 2 2 3 3" xfId="40105"/>
    <cellStyle name="Обычный 8 3 3 2 2 2 4" xfId="40106"/>
    <cellStyle name="Обычный 8 3 3 2 2 2 4 2" xfId="40107"/>
    <cellStyle name="Обычный 8 3 3 2 2 2 4 3" xfId="40108"/>
    <cellStyle name="Обычный 8 3 3 2 2 2 5" xfId="40109"/>
    <cellStyle name="Обычный 8 3 3 2 2 2 5 2" xfId="40110"/>
    <cellStyle name="Обычный 8 3 3 2 2 2 6" xfId="40111"/>
    <cellStyle name="Обычный 8 3 3 2 2 2 7" xfId="40112"/>
    <cellStyle name="Обычный 8 3 3 2 2 3" xfId="40113"/>
    <cellStyle name="Обычный 8 3 3 2 2 3 2" xfId="40114"/>
    <cellStyle name="Обычный 8 3 3 2 2 3 2 2" xfId="40115"/>
    <cellStyle name="Обычный 8 3 3 2 2 3 2 3" xfId="40116"/>
    <cellStyle name="Обычный 8 3 3 2 2 3 3" xfId="40117"/>
    <cellStyle name="Обычный 8 3 3 2 2 3 3 2" xfId="40118"/>
    <cellStyle name="Обычный 8 3 3 2 2 3 3 3" xfId="40119"/>
    <cellStyle name="Обычный 8 3 3 2 2 3 4" xfId="40120"/>
    <cellStyle name="Обычный 8 3 3 2 2 3 4 2" xfId="40121"/>
    <cellStyle name="Обычный 8 3 3 2 2 3 5" xfId="40122"/>
    <cellStyle name="Обычный 8 3 3 2 2 3 6" xfId="40123"/>
    <cellStyle name="Обычный 8 3 3 2 2 4" xfId="40124"/>
    <cellStyle name="Обычный 8 3 3 2 2 4 2" xfId="40125"/>
    <cellStyle name="Обычный 8 3 3 2 2 4 3" xfId="40126"/>
    <cellStyle name="Обычный 8 3 3 2 2 5" xfId="40127"/>
    <cellStyle name="Обычный 8 3 3 2 2 5 2" xfId="40128"/>
    <cellStyle name="Обычный 8 3 3 2 2 5 3" xfId="40129"/>
    <cellStyle name="Обычный 8 3 3 2 2 6" xfId="40130"/>
    <cellStyle name="Обычный 8 3 3 2 2 6 2" xfId="40131"/>
    <cellStyle name="Обычный 8 3 3 2 2 7" xfId="40132"/>
    <cellStyle name="Обычный 8 3 3 2 2 8" xfId="40133"/>
    <cellStyle name="Обычный 8 3 3 2 3" xfId="40134"/>
    <cellStyle name="Обычный 8 3 3 2 3 2" xfId="40135"/>
    <cellStyle name="Обычный 8 3 3 2 3 2 2" xfId="40136"/>
    <cellStyle name="Обычный 8 3 3 2 3 2 2 2" xfId="40137"/>
    <cellStyle name="Обычный 8 3 3 2 3 2 2 3" xfId="40138"/>
    <cellStyle name="Обычный 8 3 3 2 3 2 3" xfId="40139"/>
    <cellStyle name="Обычный 8 3 3 2 3 2 3 2" xfId="40140"/>
    <cellStyle name="Обычный 8 3 3 2 3 2 3 3" xfId="40141"/>
    <cellStyle name="Обычный 8 3 3 2 3 2 4" xfId="40142"/>
    <cellStyle name="Обычный 8 3 3 2 3 2 4 2" xfId="40143"/>
    <cellStyle name="Обычный 8 3 3 2 3 2 5" xfId="40144"/>
    <cellStyle name="Обычный 8 3 3 2 3 2 6" xfId="40145"/>
    <cellStyle name="Обычный 8 3 3 2 3 3" xfId="40146"/>
    <cellStyle name="Обычный 8 3 3 2 3 3 2" xfId="40147"/>
    <cellStyle name="Обычный 8 3 3 2 3 3 3" xfId="40148"/>
    <cellStyle name="Обычный 8 3 3 2 3 4" xfId="40149"/>
    <cellStyle name="Обычный 8 3 3 2 3 4 2" xfId="40150"/>
    <cellStyle name="Обычный 8 3 3 2 3 4 3" xfId="40151"/>
    <cellStyle name="Обычный 8 3 3 2 3 5" xfId="40152"/>
    <cellStyle name="Обычный 8 3 3 2 3 5 2" xfId="40153"/>
    <cellStyle name="Обычный 8 3 3 2 3 6" xfId="40154"/>
    <cellStyle name="Обычный 8 3 3 2 3 7" xfId="40155"/>
    <cellStyle name="Обычный 8 3 3 2 4" xfId="40156"/>
    <cellStyle name="Обычный 8 3 3 2 4 2" xfId="40157"/>
    <cellStyle name="Обычный 8 3 3 2 4 2 2" xfId="40158"/>
    <cellStyle name="Обычный 8 3 3 2 4 2 3" xfId="40159"/>
    <cellStyle name="Обычный 8 3 3 2 4 3" xfId="40160"/>
    <cellStyle name="Обычный 8 3 3 2 4 3 2" xfId="40161"/>
    <cellStyle name="Обычный 8 3 3 2 4 3 3" xfId="40162"/>
    <cellStyle name="Обычный 8 3 3 2 4 4" xfId="40163"/>
    <cellStyle name="Обычный 8 3 3 2 4 4 2" xfId="40164"/>
    <cellStyle name="Обычный 8 3 3 2 4 5" xfId="40165"/>
    <cellStyle name="Обычный 8 3 3 2 4 6" xfId="40166"/>
    <cellStyle name="Обычный 8 3 3 2 5" xfId="40167"/>
    <cellStyle name="Обычный 8 3 3 2 5 2" xfId="40168"/>
    <cellStyle name="Обычный 8 3 3 2 5 3" xfId="40169"/>
    <cellStyle name="Обычный 8 3 3 2 6" xfId="40170"/>
    <cellStyle name="Обычный 8 3 3 2 6 2" xfId="40171"/>
    <cellStyle name="Обычный 8 3 3 2 6 3" xfId="40172"/>
    <cellStyle name="Обычный 8 3 3 2 7" xfId="40173"/>
    <cellStyle name="Обычный 8 3 3 2 7 2" xfId="40174"/>
    <cellStyle name="Обычный 8 3 3 2 8" xfId="40175"/>
    <cellStyle name="Обычный 8 3 3 2 9" xfId="40176"/>
    <cellStyle name="Обычный 8 3 3 3" xfId="40177"/>
    <cellStyle name="Обычный 8 3 3 3 2" xfId="40178"/>
    <cellStyle name="Обычный 8 3 3 3 2 2" xfId="40179"/>
    <cellStyle name="Обычный 8 3 3 3 2 2 2" xfId="40180"/>
    <cellStyle name="Обычный 8 3 3 3 2 2 2 2" xfId="40181"/>
    <cellStyle name="Обычный 8 3 3 3 2 2 2 3" xfId="40182"/>
    <cellStyle name="Обычный 8 3 3 3 2 2 3" xfId="40183"/>
    <cellStyle name="Обычный 8 3 3 3 2 2 3 2" xfId="40184"/>
    <cellStyle name="Обычный 8 3 3 3 2 2 3 3" xfId="40185"/>
    <cellStyle name="Обычный 8 3 3 3 2 2 4" xfId="40186"/>
    <cellStyle name="Обычный 8 3 3 3 2 2 4 2" xfId="40187"/>
    <cellStyle name="Обычный 8 3 3 3 2 2 5" xfId="40188"/>
    <cellStyle name="Обычный 8 3 3 3 2 2 6" xfId="40189"/>
    <cellStyle name="Обычный 8 3 3 3 2 3" xfId="40190"/>
    <cellStyle name="Обычный 8 3 3 3 2 3 2" xfId="40191"/>
    <cellStyle name="Обычный 8 3 3 3 2 3 3" xfId="40192"/>
    <cellStyle name="Обычный 8 3 3 3 2 4" xfId="40193"/>
    <cellStyle name="Обычный 8 3 3 3 2 4 2" xfId="40194"/>
    <cellStyle name="Обычный 8 3 3 3 2 4 3" xfId="40195"/>
    <cellStyle name="Обычный 8 3 3 3 2 5" xfId="40196"/>
    <cellStyle name="Обычный 8 3 3 3 2 5 2" xfId="40197"/>
    <cellStyle name="Обычный 8 3 3 3 2 6" xfId="40198"/>
    <cellStyle name="Обычный 8 3 3 3 2 7" xfId="40199"/>
    <cellStyle name="Обычный 8 3 3 3 3" xfId="40200"/>
    <cellStyle name="Обычный 8 3 3 3 3 2" xfId="40201"/>
    <cellStyle name="Обычный 8 3 3 3 3 2 2" xfId="40202"/>
    <cellStyle name="Обычный 8 3 3 3 3 2 3" xfId="40203"/>
    <cellStyle name="Обычный 8 3 3 3 3 3" xfId="40204"/>
    <cellStyle name="Обычный 8 3 3 3 3 3 2" xfId="40205"/>
    <cellStyle name="Обычный 8 3 3 3 3 3 3" xfId="40206"/>
    <cellStyle name="Обычный 8 3 3 3 3 4" xfId="40207"/>
    <cellStyle name="Обычный 8 3 3 3 3 4 2" xfId="40208"/>
    <cellStyle name="Обычный 8 3 3 3 3 5" xfId="40209"/>
    <cellStyle name="Обычный 8 3 3 3 3 6" xfId="40210"/>
    <cellStyle name="Обычный 8 3 3 3 4" xfId="40211"/>
    <cellStyle name="Обычный 8 3 3 3 4 2" xfId="40212"/>
    <cellStyle name="Обычный 8 3 3 3 4 3" xfId="40213"/>
    <cellStyle name="Обычный 8 3 3 3 5" xfId="40214"/>
    <cellStyle name="Обычный 8 3 3 3 5 2" xfId="40215"/>
    <cellStyle name="Обычный 8 3 3 3 5 3" xfId="40216"/>
    <cellStyle name="Обычный 8 3 3 3 6" xfId="40217"/>
    <cellStyle name="Обычный 8 3 3 3 6 2" xfId="40218"/>
    <cellStyle name="Обычный 8 3 3 3 7" xfId="40219"/>
    <cellStyle name="Обычный 8 3 3 3 8" xfId="40220"/>
    <cellStyle name="Обычный 8 3 3 4" xfId="40221"/>
    <cellStyle name="Обычный 8 3 3 4 2" xfId="40222"/>
    <cellStyle name="Обычный 8 3 3 4 2 2" xfId="40223"/>
    <cellStyle name="Обычный 8 3 3 4 2 2 2" xfId="40224"/>
    <cellStyle name="Обычный 8 3 3 4 2 2 3" xfId="40225"/>
    <cellStyle name="Обычный 8 3 3 4 2 3" xfId="40226"/>
    <cellStyle name="Обычный 8 3 3 4 2 3 2" xfId="40227"/>
    <cellStyle name="Обычный 8 3 3 4 2 3 3" xfId="40228"/>
    <cellStyle name="Обычный 8 3 3 4 2 4" xfId="40229"/>
    <cellStyle name="Обычный 8 3 3 4 2 4 2" xfId="40230"/>
    <cellStyle name="Обычный 8 3 3 4 2 5" xfId="40231"/>
    <cellStyle name="Обычный 8 3 3 4 2 6" xfId="40232"/>
    <cellStyle name="Обычный 8 3 3 4 3" xfId="40233"/>
    <cellStyle name="Обычный 8 3 3 4 3 2" xfId="40234"/>
    <cellStyle name="Обычный 8 3 3 4 3 3" xfId="40235"/>
    <cellStyle name="Обычный 8 3 3 4 4" xfId="40236"/>
    <cellStyle name="Обычный 8 3 3 4 4 2" xfId="40237"/>
    <cellStyle name="Обычный 8 3 3 4 4 3" xfId="40238"/>
    <cellStyle name="Обычный 8 3 3 4 5" xfId="40239"/>
    <cellStyle name="Обычный 8 3 3 4 5 2" xfId="40240"/>
    <cellStyle name="Обычный 8 3 3 4 6" xfId="40241"/>
    <cellStyle name="Обычный 8 3 3 4 7" xfId="40242"/>
    <cellStyle name="Обычный 8 3 3 5" xfId="40243"/>
    <cellStyle name="Обычный 8 3 3 5 2" xfId="40244"/>
    <cellStyle name="Обычный 8 3 3 5 2 2" xfId="40245"/>
    <cellStyle name="Обычный 8 3 3 5 2 3" xfId="40246"/>
    <cellStyle name="Обычный 8 3 3 5 3" xfId="40247"/>
    <cellStyle name="Обычный 8 3 3 5 3 2" xfId="40248"/>
    <cellStyle name="Обычный 8 3 3 5 3 3" xfId="40249"/>
    <cellStyle name="Обычный 8 3 3 5 4" xfId="40250"/>
    <cellStyle name="Обычный 8 3 3 5 4 2" xfId="40251"/>
    <cellStyle name="Обычный 8 3 3 5 5" xfId="40252"/>
    <cellStyle name="Обычный 8 3 3 5 6" xfId="40253"/>
    <cellStyle name="Обычный 8 3 3 6" xfId="40254"/>
    <cellStyle name="Обычный 8 3 3 6 2" xfId="40255"/>
    <cellStyle name="Обычный 8 3 3 6 3" xfId="40256"/>
    <cellStyle name="Обычный 8 3 3 7" xfId="40257"/>
    <cellStyle name="Обычный 8 3 3 7 2" xfId="40258"/>
    <cellStyle name="Обычный 8 3 3 7 3" xfId="40259"/>
    <cellStyle name="Обычный 8 3 3 8" xfId="40260"/>
    <cellStyle name="Обычный 8 3 3 8 2" xfId="40261"/>
    <cellStyle name="Обычный 8 3 3 9" xfId="40262"/>
    <cellStyle name="Обычный 8 3 4" xfId="40263"/>
    <cellStyle name="Обычный 8 3 4 10" xfId="40264"/>
    <cellStyle name="Обычный 8 3 4 2" xfId="40265"/>
    <cellStyle name="Обычный 8 3 4 2 2" xfId="40266"/>
    <cellStyle name="Обычный 8 3 4 2 2 2" xfId="40267"/>
    <cellStyle name="Обычный 8 3 4 2 2 2 2" xfId="40268"/>
    <cellStyle name="Обычный 8 3 4 2 2 2 2 2" xfId="40269"/>
    <cellStyle name="Обычный 8 3 4 2 2 2 2 2 2" xfId="40270"/>
    <cellStyle name="Обычный 8 3 4 2 2 2 2 2 3" xfId="40271"/>
    <cellStyle name="Обычный 8 3 4 2 2 2 2 3" xfId="40272"/>
    <cellStyle name="Обычный 8 3 4 2 2 2 2 3 2" xfId="40273"/>
    <cellStyle name="Обычный 8 3 4 2 2 2 2 3 3" xfId="40274"/>
    <cellStyle name="Обычный 8 3 4 2 2 2 2 4" xfId="40275"/>
    <cellStyle name="Обычный 8 3 4 2 2 2 2 4 2" xfId="40276"/>
    <cellStyle name="Обычный 8 3 4 2 2 2 2 5" xfId="40277"/>
    <cellStyle name="Обычный 8 3 4 2 2 2 2 6" xfId="40278"/>
    <cellStyle name="Обычный 8 3 4 2 2 2 3" xfId="40279"/>
    <cellStyle name="Обычный 8 3 4 2 2 2 3 2" xfId="40280"/>
    <cellStyle name="Обычный 8 3 4 2 2 2 3 3" xfId="40281"/>
    <cellStyle name="Обычный 8 3 4 2 2 2 4" xfId="40282"/>
    <cellStyle name="Обычный 8 3 4 2 2 2 4 2" xfId="40283"/>
    <cellStyle name="Обычный 8 3 4 2 2 2 4 3" xfId="40284"/>
    <cellStyle name="Обычный 8 3 4 2 2 2 5" xfId="40285"/>
    <cellStyle name="Обычный 8 3 4 2 2 2 5 2" xfId="40286"/>
    <cellStyle name="Обычный 8 3 4 2 2 2 6" xfId="40287"/>
    <cellStyle name="Обычный 8 3 4 2 2 2 7" xfId="40288"/>
    <cellStyle name="Обычный 8 3 4 2 2 3" xfId="40289"/>
    <cellStyle name="Обычный 8 3 4 2 2 3 2" xfId="40290"/>
    <cellStyle name="Обычный 8 3 4 2 2 3 2 2" xfId="40291"/>
    <cellStyle name="Обычный 8 3 4 2 2 3 2 3" xfId="40292"/>
    <cellStyle name="Обычный 8 3 4 2 2 3 3" xfId="40293"/>
    <cellStyle name="Обычный 8 3 4 2 2 3 3 2" xfId="40294"/>
    <cellStyle name="Обычный 8 3 4 2 2 3 3 3" xfId="40295"/>
    <cellStyle name="Обычный 8 3 4 2 2 3 4" xfId="40296"/>
    <cellStyle name="Обычный 8 3 4 2 2 3 4 2" xfId="40297"/>
    <cellStyle name="Обычный 8 3 4 2 2 3 5" xfId="40298"/>
    <cellStyle name="Обычный 8 3 4 2 2 3 6" xfId="40299"/>
    <cellStyle name="Обычный 8 3 4 2 2 4" xfId="40300"/>
    <cellStyle name="Обычный 8 3 4 2 2 4 2" xfId="40301"/>
    <cellStyle name="Обычный 8 3 4 2 2 4 3" xfId="40302"/>
    <cellStyle name="Обычный 8 3 4 2 2 5" xfId="40303"/>
    <cellStyle name="Обычный 8 3 4 2 2 5 2" xfId="40304"/>
    <cellStyle name="Обычный 8 3 4 2 2 5 3" xfId="40305"/>
    <cellStyle name="Обычный 8 3 4 2 2 6" xfId="40306"/>
    <cellStyle name="Обычный 8 3 4 2 2 6 2" xfId="40307"/>
    <cellStyle name="Обычный 8 3 4 2 2 7" xfId="40308"/>
    <cellStyle name="Обычный 8 3 4 2 2 8" xfId="40309"/>
    <cellStyle name="Обычный 8 3 4 2 3" xfId="40310"/>
    <cellStyle name="Обычный 8 3 4 2 3 2" xfId="40311"/>
    <cellStyle name="Обычный 8 3 4 2 3 2 2" xfId="40312"/>
    <cellStyle name="Обычный 8 3 4 2 3 2 2 2" xfId="40313"/>
    <cellStyle name="Обычный 8 3 4 2 3 2 2 3" xfId="40314"/>
    <cellStyle name="Обычный 8 3 4 2 3 2 3" xfId="40315"/>
    <cellStyle name="Обычный 8 3 4 2 3 2 3 2" xfId="40316"/>
    <cellStyle name="Обычный 8 3 4 2 3 2 3 3" xfId="40317"/>
    <cellStyle name="Обычный 8 3 4 2 3 2 4" xfId="40318"/>
    <cellStyle name="Обычный 8 3 4 2 3 2 4 2" xfId="40319"/>
    <cellStyle name="Обычный 8 3 4 2 3 2 5" xfId="40320"/>
    <cellStyle name="Обычный 8 3 4 2 3 2 6" xfId="40321"/>
    <cellStyle name="Обычный 8 3 4 2 3 3" xfId="40322"/>
    <cellStyle name="Обычный 8 3 4 2 3 3 2" xfId="40323"/>
    <cellStyle name="Обычный 8 3 4 2 3 3 3" xfId="40324"/>
    <cellStyle name="Обычный 8 3 4 2 3 4" xfId="40325"/>
    <cellStyle name="Обычный 8 3 4 2 3 4 2" xfId="40326"/>
    <cellStyle name="Обычный 8 3 4 2 3 4 3" xfId="40327"/>
    <cellStyle name="Обычный 8 3 4 2 3 5" xfId="40328"/>
    <cellStyle name="Обычный 8 3 4 2 3 5 2" xfId="40329"/>
    <cellStyle name="Обычный 8 3 4 2 3 6" xfId="40330"/>
    <cellStyle name="Обычный 8 3 4 2 3 7" xfId="40331"/>
    <cellStyle name="Обычный 8 3 4 2 4" xfId="40332"/>
    <cellStyle name="Обычный 8 3 4 2 4 2" xfId="40333"/>
    <cellStyle name="Обычный 8 3 4 2 4 2 2" xfId="40334"/>
    <cellStyle name="Обычный 8 3 4 2 4 2 3" xfId="40335"/>
    <cellStyle name="Обычный 8 3 4 2 4 3" xfId="40336"/>
    <cellStyle name="Обычный 8 3 4 2 4 3 2" xfId="40337"/>
    <cellStyle name="Обычный 8 3 4 2 4 3 3" xfId="40338"/>
    <cellStyle name="Обычный 8 3 4 2 4 4" xfId="40339"/>
    <cellStyle name="Обычный 8 3 4 2 4 4 2" xfId="40340"/>
    <cellStyle name="Обычный 8 3 4 2 4 5" xfId="40341"/>
    <cellStyle name="Обычный 8 3 4 2 4 6" xfId="40342"/>
    <cellStyle name="Обычный 8 3 4 2 5" xfId="40343"/>
    <cellStyle name="Обычный 8 3 4 2 5 2" xfId="40344"/>
    <cellStyle name="Обычный 8 3 4 2 5 3" xfId="40345"/>
    <cellStyle name="Обычный 8 3 4 2 6" xfId="40346"/>
    <cellStyle name="Обычный 8 3 4 2 6 2" xfId="40347"/>
    <cellStyle name="Обычный 8 3 4 2 6 3" xfId="40348"/>
    <cellStyle name="Обычный 8 3 4 2 7" xfId="40349"/>
    <cellStyle name="Обычный 8 3 4 2 7 2" xfId="40350"/>
    <cellStyle name="Обычный 8 3 4 2 8" xfId="40351"/>
    <cellStyle name="Обычный 8 3 4 2 9" xfId="40352"/>
    <cellStyle name="Обычный 8 3 4 3" xfId="40353"/>
    <cellStyle name="Обычный 8 3 4 3 2" xfId="40354"/>
    <cellStyle name="Обычный 8 3 4 3 2 2" xfId="40355"/>
    <cellStyle name="Обычный 8 3 4 3 2 2 2" xfId="40356"/>
    <cellStyle name="Обычный 8 3 4 3 2 2 2 2" xfId="40357"/>
    <cellStyle name="Обычный 8 3 4 3 2 2 2 3" xfId="40358"/>
    <cellStyle name="Обычный 8 3 4 3 2 2 3" xfId="40359"/>
    <cellStyle name="Обычный 8 3 4 3 2 2 3 2" xfId="40360"/>
    <cellStyle name="Обычный 8 3 4 3 2 2 3 3" xfId="40361"/>
    <cellStyle name="Обычный 8 3 4 3 2 2 4" xfId="40362"/>
    <cellStyle name="Обычный 8 3 4 3 2 2 4 2" xfId="40363"/>
    <cellStyle name="Обычный 8 3 4 3 2 2 5" xfId="40364"/>
    <cellStyle name="Обычный 8 3 4 3 2 2 6" xfId="40365"/>
    <cellStyle name="Обычный 8 3 4 3 2 3" xfId="40366"/>
    <cellStyle name="Обычный 8 3 4 3 2 3 2" xfId="40367"/>
    <cellStyle name="Обычный 8 3 4 3 2 3 3" xfId="40368"/>
    <cellStyle name="Обычный 8 3 4 3 2 4" xfId="40369"/>
    <cellStyle name="Обычный 8 3 4 3 2 4 2" xfId="40370"/>
    <cellStyle name="Обычный 8 3 4 3 2 4 3" xfId="40371"/>
    <cellStyle name="Обычный 8 3 4 3 2 5" xfId="40372"/>
    <cellStyle name="Обычный 8 3 4 3 2 5 2" xfId="40373"/>
    <cellStyle name="Обычный 8 3 4 3 2 6" xfId="40374"/>
    <cellStyle name="Обычный 8 3 4 3 2 7" xfId="40375"/>
    <cellStyle name="Обычный 8 3 4 3 3" xfId="40376"/>
    <cellStyle name="Обычный 8 3 4 3 3 2" xfId="40377"/>
    <cellStyle name="Обычный 8 3 4 3 3 2 2" xfId="40378"/>
    <cellStyle name="Обычный 8 3 4 3 3 2 3" xfId="40379"/>
    <cellStyle name="Обычный 8 3 4 3 3 3" xfId="40380"/>
    <cellStyle name="Обычный 8 3 4 3 3 3 2" xfId="40381"/>
    <cellStyle name="Обычный 8 3 4 3 3 3 3" xfId="40382"/>
    <cellStyle name="Обычный 8 3 4 3 3 4" xfId="40383"/>
    <cellStyle name="Обычный 8 3 4 3 3 4 2" xfId="40384"/>
    <cellStyle name="Обычный 8 3 4 3 3 5" xfId="40385"/>
    <cellStyle name="Обычный 8 3 4 3 3 6" xfId="40386"/>
    <cellStyle name="Обычный 8 3 4 3 4" xfId="40387"/>
    <cellStyle name="Обычный 8 3 4 3 4 2" xfId="40388"/>
    <cellStyle name="Обычный 8 3 4 3 4 3" xfId="40389"/>
    <cellStyle name="Обычный 8 3 4 3 5" xfId="40390"/>
    <cellStyle name="Обычный 8 3 4 3 5 2" xfId="40391"/>
    <cellStyle name="Обычный 8 3 4 3 5 3" xfId="40392"/>
    <cellStyle name="Обычный 8 3 4 3 6" xfId="40393"/>
    <cellStyle name="Обычный 8 3 4 3 6 2" xfId="40394"/>
    <cellStyle name="Обычный 8 3 4 3 7" xfId="40395"/>
    <cellStyle name="Обычный 8 3 4 3 8" xfId="40396"/>
    <cellStyle name="Обычный 8 3 4 4" xfId="40397"/>
    <cellStyle name="Обычный 8 3 4 4 2" xfId="40398"/>
    <cellStyle name="Обычный 8 3 4 4 2 2" xfId="40399"/>
    <cellStyle name="Обычный 8 3 4 4 2 2 2" xfId="40400"/>
    <cellStyle name="Обычный 8 3 4 4 2 2 3" xfId="40401"/>
    <cellStyle name="Обычный 8 3 4 4 2 3" xfId="40402"/>
    <cellStyle name="Обычный 8 3 4 4 2 3 2" xfId="40403"/>
    <cellStyle name="Обычный 8 3 4 4 2 3 3" xfId="40404"/>
    <cellStyle name="Обычный 8 3 4 4 2 4" xfId="40405"/>
    <cellStyle name="Обычный 8 3 4 4 2 4 2" xfId="40406"/>
    <cellStyle name="Обычный 8 3 4 4 2 5" xfId="40407"/>
    <cellStyle name="Обычный 8 3 4 4 2 6" xfId="40408"/>
    <cellStyle name="Обычный 8 3 4 4 3" xfId="40409"/>
    <cellStyle name="Обычный 8 3 4 4 3 2" xfId="40410"/>
    <cellStyle name="Обычный 8 3 4 4 3 3" xfId="40411"/>
    <cellStyle name="Обычный 8 3 4 4 4" xfId="40412"/>
    <cellStyle name="Обычный 8 3 4 4 4 2" xfId="40413"/>
    <cellStyle name="Обычный 8 3 4 4 4 3" xfId="40414"/>
    <cellStyle name="Обычный 8 3 4 4 5" xfId="40415"/>
    <cellStyle name="Обычный 8 3 4 4 5 2" xfId="40416"/>
    <cellStyle name="Обычный 8 3 4 4 6" xfId="40417"/>
    <cellStyle name="Обычный 8 3 4 4 7" xfId="40418"/>
    <cellStyle name="Обычный 8 3 4 5" xfId="40419"/>
    <cellStyle name="Обычный 8 3 4 5 2" xfId="40420"/>
    <cellStyle name="Обычный 8 3 4 5 2 2" xfId="40421"/>
    <cellStyle name="Обычный 8 3 4 5 2 3" xfId="40422"/>
    <cellStyle name="Обычный 8 3 4 5 3" xfId="40423"/>
    <cellStyle name="Обычный 8 3 4 5 3 2" xfId="40424"/>
    <cellStyle name="Обычный 8 3 4 5 3 3" xfId="40425"/>
    <cellStyle name="Обычный 8 3 4 5 4" xfId="40426"/>
    <cellStyle name="Обычный 8 3 4 5 4 2" xfId="40427"/>
    <cellStyle name="Обычный 8 3 4 5 5" xfId="40428"/>
    <cellStyle name="Обычный 8 3 4 5 6" xfId="40429"/>
    <cellStyle name="Обычный 8 3 4 6" xfId="40430"/>
    <cellStyle name="Обычный 8 3 4 6 2" xfId="40431"/>
    <cellStyle name="Обычный 8 3 4 6 3" xfId="40432"/>
    <cellStyle name="Обычный 8 3 4 7" xfId="40433"/>
    <cellStyle name="Обычный 8 3 4 7 2" xfId="40434"/>
    <cellStyle name="Обычный 8 3 4 7 3" xfId="40435"/>
    <cellStyle name="Обычный 8 3 4 8" xfId="40436"/>
    <cellStyle name="Обычный 8 3 4 8 2" xfId="40437"/>
    <cellStyle name="Обычный 8 3 4 9" xfId="40438"/>
    <cellStyle name="Обычный 8 3 5" xfId="40439"/>
    <cellStyle name="Обычный 8 3 5 10" xfId="40440"/>
    <cellStyle name="Обычный 8 3 5 2" xfId="40441"/>
    <cellStyle name="Обычный 8 3 5 2 2" xfId="40442"/>
    <cellStyle name="Обычный 8 3 5 2 2 2" xfId="40443"/>
    <cellStyle name="Обычный 8 3 5 2 2 2 2" xfId="40444"/>
    <cellStyle name="Обычный 8 3 5 2 2 2 2 2" xfId="40445"/>
    <cellStyle name="Обычный 8 3 5 2 2 2 2 2 2" xfId="40446"/>
    <cellStyle name="Обычный 8 3 5 2 2 2 2 2 3" xfId="40447"/>
    <cellStyle name="Обычный 8 3 5 2 2 2 2 3" xfId="40448"/>
    <cellStyle name="Обычный 8 3 5 2 2 2 2 3 2" xfId="40449"/>
    <cellStyle name="Обычный 8 3 5 2 2 2 2 3 3" xfId="40450"/>
    <cellStyle name="Обычный 8 3 5 2 2 2 2 4" xfId="40451"/>
    <cellStyle name="Обычный 8 3 5 2 2 2 2 4 2" xfId="40452"/>
    <cellStyle name="Обычный 8 3 5 2 2 2 2 5" xfId="40453"/>
    <cellStyle name="Обычный 8 3 5 2 2 2 2 6" xfId="40454"/>
    <cellStyle name="Обычный 8 3 5 2 2 2 3" xfId="40455"/>
    <cellStyle name="Обычный 8 3 5 2 2 2 3 2" xfId="40456"/>
    <cellStyle name="Обычный 8 3 5 2 2 2 3 3" xfId="40457"/>
    <cellStyle name="Обычный 8 3 5 2 2 2 4" xfId="40458"/>
    <cellStyle name="Обычный 8 3 5 2 2 2 4 2" xfId="40459"/>
    <cellStyle name="Обычный 8 3 5 2 2 2 4 3" xfId="40460"/>
    <cellStyle name="Обычный 8 3 5 2 2 2 5" xfId="40461"/>
    <cellStyle name="Обычный 8 3 5 2 2 2 5 2" xfId="40462"/>
    <cellStyle name="Обычный 8 3 5 2 2 2 6" xfId="40463"/>
    <cellStyle name="Обычный 8 3 5 2 2 2 7" xfId="40464"/>
    <cellStyle name="Обычный 8 3 5 2 2 3" xfId="40465"/>
    <cellStyle name="Обычный 8 3 5 2 2 3 2" xfId="40466"/>
    <cellStyle name="Обычный 8 3 5 2 2 3 2 2" xfId="40467"/>
    <cellStyle name="Обычный 8 3 5 2 2 3 2 3" xfId="40468"/>
    <cellStyle name="Обычный 8 3 5 2 2 3 3" xfId="40469"/>
    <cellStyle name="Обычный 8 3 5 2 2 3 3 2" xfId="40470"/>
    <cellStyle name="Обычный 8 3 5 2 2 3 3 3" xfId="40471"/>
    <cellStyle name="Обычный 8 3 5 2 2 3 4" xfId="40472"/>
    <cellStyle name="Обычный 8 3 5 2 2 3 4 2" xfId="40473"/>
    <cellStyle name="Обычный 8 3 5 2 2 3 5" xfId="40474"/>
    <cellStyle name="Обычный 8 3 5 2 2 3 6" xfId="40475"/>
    <cellStyle name="Обычный 8 3 5 2 2 4" xfId="40476"/>
    <cellStyle name="Обычный 8 3 5 2 2 4 2" xfId="40477"/>
    <cellStyle name="Обычный 8 3 5 2 2 4 3" xfId="40478"/>
    <cellStyle name="Обычный 8 3 5 2 2 5" xfId="40479"/>
    <cellStyle name="Обычный 8 3 5 2 2 5 2" xfId="40480"/>
    <cellStyle name="Обычный 8 3 5 2 2 5 3" xfId="40481"/>
    <cellStyle name="Обычный 8 3 5 2 2 6" xfId="40482"/>
    <cellStyle name="Обычный 8 3 5 2 2 6 2" xfId="40483"/>
    <cellStyle name="Обычный 8 3 5 2 2 7" xfId="40484"/>
    <cellStyle name="Обычный 8 3 5 2 2 8" xfId="40485"/>
    <cellStyle name="Обычный 8 3 5 2 3" xfId="40486"/>
    <cellStyle name="Обычный 8 3 5 2 3 2" xfId="40487"/>
    <cellStyle name="Обычный 8 3 5 2 3 2 2" xfId="40488"/>
    <cellStyle name="Обычный 8 3 5 2 3 2 2 2" xfId="40489"/>
    <cellStyle name="Обычный 8 3 5 2 3 2 2 3" xfId="40490"/>
    <cellStyle name="Обычный 8 3 5 2 3 2 3" xfId="40491"/>
    <cellStyle name="Обычный 8 3 5 2 3 2 3 2" xfId="40492"/>
    <cellStyle name="Обычный 8 3 5 2 3 2 3 3" xfId="40493"/>
    <cellStyle name="Обычный 8 3 5 2 3 2 4" xfId="40494"/>
    <cellStyle name="Обычный 8 3 5 2 3 2 4 2" xfId="40495"/>
    <cellStyle name="Обычный 8 3 5 2 3 2 5" xfId="40496"/>
    <cellStyle name="Обычный 8 3 5 2 3 2 6" xfId="40497"/>
    <cellStyle name="Обычный 8 3 5 2 3 3" xfId="40498"/>
    <cellStyle name="Обычный 8 3 5 2 3 3 2" xfId="40499"/>
    <cellStyle name="Обычный 8 3 5 2 3 3 3" xfId="40500"/>
    <cellStyle name="Обычный 8 3 5 2 3 4" xfId="40501"/>
    <cellStyle name="Обычный 8 3 5 2 3 4 2" xfId="40502"/>
    <cellStyle name="Обычный 8 3 5 2 3 4 3" xfId="40503"/>
    <cellStyle name="Обычный 8 3 5 2 3 5" xfId="40504"/>
    <cellStyle name="Обычный 8 3 5 2 3 5 2" xfId="40505"/>
    <cellStyle name="Обычный 8 3 5 2 3 6" xfId="40506"/>
    <cellStyle name="Обычный 8 3 5 2 3 7" xfId="40507"/>
    <cellStyle name="Обычный 8 3 5 2 4" xfId="40508"/>
    <cellStyle name="Обычный 8 3 5 2 4 2" xfId="40509"/>
    <cellStyle name="Обычный 8 3 5 2 4 2 2" xfId="40510"/>
    <cellStyle name="Обычный 8 3 5 2 4 2 3" xfId="40511"/>
    <cellStyle name="Обычный 8 3 5 2 4 3" xfId="40512"/>
    <cellStyle name="Обычный 8 3 5 2 4 3 2" xfId="40513"/>
    <cellStyle name="Обычный 8 3 5 2 4 3 3" xfId="40514"/>
    <cellStyle name="Обычный 8 3 5 2 4 4" xfId="40515"/>
    <cellStyle name="Обычный 8 3 5 2 4 4 2" xfId="40516"/>
    <cellStyle name="Обычный 8 3 5 2 4 5" xfId="40517"/>
    <cellStyle name="Обычный 8 3 5 2 4 6" xfId="40518"/>
    <cellStyle name="Обычный 8 3 5 2 5" xfId="40519"/>
    <cellStyle name="Обычный 8 3 5 2 5 2" xfId="40520"/>
    <cellStyle name="Обычный 8 3 5 2 5 3" xfId="40521"/>
    <cellStyle name="Обычный 8 3 5 2 6" xfId="40522"/>
    <cellStyle name="Обычный 8 3 5 2 6 2" xfId="40523"/>
    <cellStyle name="Обычный 8 3 5 2 6 3" xfId="40524"/>
    <cellStyle name="Обычный 8 3 5 2 7" xfId="40525"/>
    <cellStyle name="Обычный 8 3 5 2 7 2" xfId="40526"/>
    <cellStyle name="Обычный 8 3 5 2 8" xfId="40527"/>
    <cellStyle name="Обычный 8 3 5 2 9" xfId="40528"/>
    <cellStyle name="Обычный 8 3 5 3" xfId="40529"/>
    <cellStyle name="Обычный 8 3 5 3 2" xfId="40530"/>
    <cellStyle name="Обычный 8 3 5 3 2 2" xfId="40531"/>
    <cellStyle name="Обычный 8 3 5 3 2 2 2" xfId="40532"/>
    <cellStyle name="Обычный 8 3 5 3 2 2 2 2" xfId="40533"/>
    <cellStyle name="Обычный 8 3 5 3 2 2 2 3" xfId="40534"/>
    <cellStyle name="Обычный 8 3 5 3 2 2 3" xfId="40535"/>
    <cellStyle name="Обычный 8 3 5 3 2 2 3 2" xfId="40536"/>
    <cellStyle name="Обычный 8 3 5 3 2 2 3 3" xfId="40537"/>
    <cellStyle name="Обычный 8 3 5 3 2 2 4" xfId="40538"/>
    <cellStyle name="Обычный 8 3 5 3 2 2 4 2" xfId="40539"/>
    <cellStyle name="Обычный 8 3 5 3 2 2 5" xfId="40540"/>
    <cellStyle name="Обычный 8 3 5 3 2 2 6" xfId="40541"/>
    <cellStyle name="Обычный 8 3 5 3 2 3" xfId="40542"/>
    <cellStyle name="Обычный 8 3 5 3 2 3 2" xfId="40543"/>
    <cellStyle name="Обычный 8 3 5 3 2 3 3" xfId="40544"/>
    <cellStyle name="Обычный 8 3 5 3 2 4" xfId="40545"/>
    <cellStyle name="Обычный 8 3 5 3 2 4 2" xfId="40546"/>
    <cellStyle name="Обычный 8 3 5 3 2 4 3" xfId="40547"/>
    <cellStyle name="Обычный 8 3 5 3 2 5" xfId="40548"/>
    <cellStyle name="Обычный 8 3 5 3 2 5 2" xfId="40549"/>
    <cellStyle name="Обычный 8 3 5 3 2 6" xfId="40550"/>
    <cellStyle name="Обычный 8 3 5 3 2 7" xfId="40551"/>
    <cellStyle name="Обычный 8 3 5 3 3" xfId="40552"/>
    <cellStyle name="Обычный 8 3 5 3 3 2" xfId="40553"/>
    <cellStyle name="Обычный 8 3 5 3 3 2 2" xfId="40554"/>
    <cellStyle name="Обычный 8 3 5 3 3 2 3" xfId="40555"/>
    <cellStyle name="Обычный 8 3 5 3 3 3" xfId="40556"/>
    <cellStyle name="Обычный 8 3 5 3 3 3 2" xfId="40557"/>
    <cellStyle name="Обычный 8 3 5 3 3 3 3" xfId="40558"/>
    <cellStyle name="Обычный 8 3 5 3 3 4" xfId="40559"/>
    <cellStyle name="Обычный 8 3 5 3 3 4 2" xfId="40560"/>
    <cellStyle name="Обычный 8 3 5 3 3 5" xfId="40561"/>
    <cellStyle name="Обычный 8 3 5 3 3 6" xfId="40562"/>
    <cellStyle name="Обычный 8 3 5 3 4" xfId="40563"/>
    <cellStyle name="Обычный 8 3 5 3 4 2" xfId="40564"/>
    <cellStyle name="Обычный 8 3 5 3 4 3" xfId="40565"/>
    <cellStyle name="Обычный 8 3 5 3 5" xfId="40566"/>
    <cellStyle name="Обычный 8 3 5 3 5 2" xfId="40567"/>
    <cellStyle name="Обычный 8 3 5 3 5 3" xfId="40568"/>
    <cellStyle name="Обычный 8 3 5 3 6" xfId="40569"/>
    <cellStyle name="Обычный 8 3 5 3 6 2" xfId="40570"/>
    <cellStyle name="Обычный 8 3 5 3 7" xfId="40571"/>
    <cellStyle name="Обычный 8 3 5 3 8" xfId="40572"/>
    <cellStyle name="Обычный 8 3 5 4" xfId="40573"/>
    <cellStyle name="Обычный 8 3 5 4 2" xfId="40574"/>
    <cellStyle name="Обычный 8 3 5 4 2 2" xfId="40575"/>
    <cellStyle name="Обычный 8 3 5 4 2 2 2" xfId="40576"/>
    <cellStyle name="Обычный 8 3 5 4 2 2 3" xfId="40577"/>
    <cellStyle name="Обычный 8 3 5 4 2 3" xfId="40578"/>
    <cellStyle name="Обычный 8 3 5 4 2 3 2" xfId="40579"/>
    <cellStyle name="Обычный 8 3 5 4 2 3 3" xfId="40580"/>
    <cellStyle name="Обычный 8 3 5 4 2 4" xfId="40581"/>
    <cellStyle name="Обычный 8 3 5 4 2 4 2" xfId="40582"/>
    <cellStyle name="Обычный 8 3 5 4 2 5" xfId="40583"/>
    <cellStyle name="Обычный 8 3 5 4 2 6" xfId="40584"/>
    <cellStyle name="Обычный 8 3 5 4 3" xfId="40585"/>
    <cellStyle name="Обычный 8 3 5 4 3 2" xfId="40586"/>
    <cellStyle name="Обычный 8 3 5 4 3 3" xfId="40587"/>
    <cellStyle name="Обычный 8 3 5 4 4" xfId="40588"/>
    <cellStyle name="Обычный 8 3 5 4 4 2" xfId="40589"/>
    <cellStyle name="Обычный 8 3 5 4 4 3" xfId="40590"/>
    <cellStyle name="Обычный 8 3 5 4 5" xfId="40591"/>
    <cellStyle name="Обычный 8 3 5 4 5 2" xfId="40592"/>
    <cellStyle name="Обычный 8 3 5 4 6" xfId="40593"/>
    <cellStyle name="Обычный 8 3 5 4 7" xfId="40594"/>
    <cellStyle name="Обычный 8 3 5 5" xfId="40595"/>
    <cellStyle name="Обычный 8 3 5 5 2" xfId="40596"/>
    <cellStyle name="Обычный 8 3 5 5 2 2" xfId="40597"/>
    <cellStyle name="Обычный 8 3 5 5 2 3" xfId="40598"/>
    <cellStyle name="Обычный 8 3 5 5 3" xfId="40599"/>
    <cellStyle name="Обычный 8 3 5 5 3 2" xfId="40600"/>
    <cellStyle name="Обычный 8 3 5 5 3 3" xfId="40601"/>
    <cellStyle name="Обычный 8 3 5 5 4" xfId="40602"/>
    <cellStyle name="Обычный 8 3 5 5 4 2" xfId="40603"/>
    <cellStyle name="Обычный 8 3 5 5 5" xfId="40604"/>
    <cellStyle name="Обычный 8 3 5 5 6" xfId="40605"/>
    <cellStyle name="Обычный 8 3 5 6" xfId="40606"/>
    <cellStyle name="Обычный 8 3 5 6 2" xfId="40607"/>
    <cellStyle name="Обычный 8 3 5 6 3" xfId="40608"/>
    <cellStyle name="Обычный 8 3 5 7" xfId="40609"/>
    <cellStyle name="Обычный 8 3 5 7 2" xfId="40610"/>
    <cellStyle name="Обычный 8 3 5 7 3" xfId="40611"/>
    <cellStyle name="Обычный 8 3 5 8" xfId="40612"/>
    <cellStyle name="Обычный 8 3 5 8 2" xfId="40613"/>
    <cellStyle name="Обычный 8 3 5 9" xfId="40614"/>
    <cellStyle name="Обычный 8 3 6" xfId="40615"/>
    <cellStyle name="Обычный 8 3 6 2" xfId="40616"/>
    <cellStyle name="Обычный 8 3 6 2 2" xfId="40617"/>
    <cellStyle name="Обычный 8 3 6 2 2 2" xfId="40618"/>
    <cellStyle name="Обычный 8 3 6 2 2 2 2" xfId="40619"/>
    <cellStyle name="Обычный 8 3 6 2 2 2 2 2" xfId="40620"/>
    <cellStyle name="Обычный 8 3 6 2 2 2 2 3" xfId="40621"/>
    <cellStyle name="Обычный 8 3 6 2 2 2 3" xfId="40622"/>
    <cellStyle name="Обычный 8 3 6 2 2 2 3 2" xfId="40623"/>
    <cellStyle name="Обычный 8 3 6 2 2 2 3 3" xfId="40624"/>
    <cellStyle name="Обычный 8 3 6 2 2 2 4" xfId="40625"/>
    <cellStyle name="Обычный 8 3 6 2 2 2 4 2" xfId="40626"/>
    <cellStyle name="Обычный 8 3 6 2 2 2 5" xfId="40627"/>
    <cellStyle name="Обычный 8 3 6 2 2 2 6" xfId="40628"/>
    <cellStyle name="Обычный 8 3 6 2 2 3" xfId="40629"/>
    <cellStyle name="Обычный 8 3 6 2 2 3 2" xfId="40630"/>
    <cellStyle name="Обычный 8 3 6 2 2 3 3" xfId="40631"/>
    <cellStyle name="Обычный 8 3 6 2 2 4" xfId="40632"/>
    <cellStyle name="Обычный 8 3 6 2 2 4 2" xfId="40633"/>
    <cellStyle name="Обычный 8 3 6 2 2 4 3" xfId="40634"/>
    <cellStyle name="Обычный 8 3 6 2 2 5" xfId="40635"/>
    <cellStyle name="Обычный 8 3 6 2 2 5 2" xfId="40636"/>
    <cellStyle name="Обычный 8 3 6 2 2 6" xfId="40637"/>
    <cellStyle name="Обычный 8 3 6 2 2 7" xfId="40638"/>
    <cellStyle name="Обычный 8 3 6 2 3" xfId="40639"/>
    <cellStyle name="Обычный 8 3 6 2 3 2" xfId="40640"/>
    <cellStyle name="Обычный 8 3 6 2 3 2 2" xfId="40641"/>
    <cellStyle name="Обычный 8 3 6 2 3 2 3" xfId="40642"/>
    <cellStyle name="Обычный 8 3 6 2 3 3" xfId="40643"/>
    <cellStyle name="Обычный 8 3 6 2 3 3 2" xfId="40644"/>
    <cellStyle name="Обычный 8 3 6 2 3 3 3" xfId="40645"/>
    <cellStyle name="Обычный 8 3 6 2 3 4" xfId="40646"/>
    <cellStyle name="Обычный 8 3 6 2 3 4 2" xfId="40647"/>
    <cellStyle name="Обычный 8 3 6 2 3 5" xfId="40648"/>
    <cellStyle name="Обычный 8 3 6 2 3 6" xfId="40649"/>
    <cellStyle name="Обычный 8 3 6 2 4" xfId="40650"/>
    <cellStyle name="Обычный 8 3 6 2 4 2" xfId="40651"/>
    <cellStyle name="Обычный 8 3 6 2 4 3" xfId="40652"/>
    <cellStyle name="Обычный 8 3 6 2 5" xfId="40653"/>
    <cellStyle name="Обычный 8 3 6 2 5 2" xfId="40654"/>
    <cellStyle name="Обычный 8 3 6 2 5 3" xfId="40655"/>
    <cellStyle name="Обычный 8 3 6 2 6" xfId="40656"/>
    <cellStyle name="Обычный 8 3 6 2 6 2" xfId="40657"/>
    <cellStyle name="Обычный 8 3 6 2 7" xfId="40658"/>
    <cellStyle name="Обычный 8 3 6 2 8" xfId="40659"/>
    <cellStyle name="Обычный 8 3 6 3" xfId="40660"/>
    <cellStyle name="Обычный 8 3 6 3 2" xfId="40661"/>
    <cellStyle name="Обычный 8 3 6 3 2 2" xfId="40662"/>
    <cellStyle name="Обычный 8 3 6 3 2 2 2" xfId="40663"/>
    <cellStyle name="Обычный 8 3 6 3 2 2 3" xfId="40664"/>
    <cellStyle name="Обычный 8 3 6 3 2 3" xfId="40665"/>
    <cellStyle name="Обычный 8 3 6 3 2 3 2" xfId="40666"/>
    <cellStyle name="Обычный 8 3 6 3 2 3 3" xfId="40667"/>
    <cellStyle name="Обычный 8 3 6 3 2 4" xfId="40668"/>
    <cellStyle name="Обычный 8 3 6 3 2 4 2" xfId="40669"/>
    <cellStyle name="Обычный 8 3 6 3 2 5" xfId="40670"/>
    <cellStyle name="Обычный 8 3 6 3 2 6" xfId="40671"/>
    <cellStyle name="Обычный 8 3 6 3 3" xfId="40672"/>
    <cellStyle name="Обычный 8 3 6 3 3 2" xfId="40673"/>
    <cellStyle name="Обычный 8 3 6 3 3 3" xfId="40674"/>
    <cellStyle name="Обычный 8 3 6 3 4" xfId="40675"/>
    <cellStyle name="Обычный 8 3 6 3 4 2" xfId="40676"/>
    <cellStyle name="Обычный 8 3 6 3 4 3" xfId="40677"/>
    <cellStyle name="Обычный 8 3 6 3 5" xfId="40678"/>
    <cellStyle name="Обычный 8 3 6 3 5 2" xfId="40679"/>
    <cellStyle name="Обычный 8 3 6 3 6" xfId="40680"/>
    <cellStyle name="Обычный 8 3 6 3 7" xfId="40681"/>
    <cellStyle name="Обычный 8 3 6 4" xfId="40682"/>
    <cellStyle name="Обычный 8 3 6 4 2" xfId="40683"/>
    <cellStyle name="Обычный 8 3 6 4 2 2" xfId="40684"/>
    <cellStyle name="Обычный 8 3 6 4 2 3" xfId="40685"/>
    <cellStyle name="Обычный 8 3 6 4 3" xfId="40686"/>
    <cellStyle name="Обычный 8 3 6 4 3 2" xfId="40687"/>
    <cellStyle name="Обычный 8 3 6 4 3 3" xfId="40688"/>
    <cellStyle name="Обычный 8 3 6 4 4" xfId="40689"/>
    <cellStyle name="Обычный 8 3 6 4 4 2" xfId="40690"/>
    <cellStyle name="Обычный 8 3 6 4 5" xfId="40691"/>
    <cellStyle name="Обычный 8 3 6 4 6" xfId="40692"/>
    <cellStyle name="Обычный 8 3 6 5" xfId="40693"/>
    <cellStyle name="Обычный 8 3 6 5 2" xfId="40694"/>
    <cellStyle name="Обычный 8 3 6 5 3" xfId="40695"/>
    <cellStyle name="Обычный 8 3 6 6" xfId="40696"/>
    <cellStyle name="Обычный 8 3 6 6 2" xfId="40697"/>
    <cellStyle name="Обычный 8 3 6 6 3" xfId="40698"/>
    <cellStyle name="Обычный 8 3 6 7" xfId="40699"/>
    <cellStyle name="Обычный 8 3 6 7 2" xfId="40700"/>
    <cellStyle name="Обычный 8 3 6 8" xfId="40701"/>
    <cellStyle name="Обычный 8 3 6 9" xfId="40702"/>
    <cellStyle name="Обычный 8 3 7" xfId="40703"/>
    <cellStyle name="Обычный 8 3 7 2" xfId="40704"/>
    <cellStyle name="Обычный 8 3 7 2 2" xfId="40705"/>
    <cellStyle name="Обычный 8 3 7 2 2 2" xfId="40706"/>
    <cellStyle name="Обычный 8 3 7 2 2 2 2" xfId="40707"/>
    <cellStyle name="Обычный 8 3 7 2 2 2 3" xfId="40708"/>
    <cellStyle name="Обычный 8 3 7 2 2 3" xfId="40709"/>
    <cellStyle name="Обычный 8 3 7 2 2 3 2" xfId="40710"/>
    <cellStyle name="Обычный 8 3 7 2 2 3 3" xfId="40711"/>
    <cellStyle name="Обычный 8 3 7 2 2 4" xfId="40712"/>
    <cellStyle name="Обычный 8 3 7 2 2 4 2" xfId="40713"/>
    <cellStyle name="Обычный 8 3 7 2 2 5" xfId="40714"/>
    <cellStyle name="Обычный 8 3 7 2 2 6" xfId="40715"/>
    <cellStyle name="Обычный 8 3 7 2 3" xfId="40716"/>
    <cellStyle name="Обычный 8 3 7 2 3 2" xfId="40717"/>
    <cellStyle name="Обычный 8 3 7 2 3 3" xfId="40718"/>
    <cellStyle name="Обычный 8 3 7 2 4" xfId="40719"/>
    <cellStyle name="Обычный 8 3 7 2 4 2" xfId="40720"/>
    <cellStyle name="Обычный 8 3 7 2 4 3" xfId="40721"/>
    <cellStyle name="Обычный 8 3 7 2 5" xfId="40722"/>
    <cellStyle name="Обычный 8 3 7 2 5 2" xfId="40723"/>
    <cellStyle name="Обычный 8 3 7 2 6" xfId="40724"/>
    <cellStyle name="Обычный 8 3 7 2 7" xfId="40725"/>
    <cellStyle name="Обычный 8 3 7 3" xfId="40726"/>
    <cellStyle name="Обычный 8 3 7 3 2" xfId="40727"/>
    <cellStyle name="Обычный 8 3 7 3 2 2" xfId="40728"/>
    <cellStyle name="Обычный 8 3 7 3 2 3" xfId="40729"/>
    <cellStyle name="Обычный 8 3 7 3 3" xfId="40730"/>
    <cellStyle name="Обычный 8 3 7 3 3 2" xfId="40731"/>
    <cellStyle name="Обычный 8 3 7 3 3 3" xfId="40732"/>
    <cellStyle name="Обычный 8 3 7 3 4" xfId="40733"/>
    <cellStyle name="Обычный 8 3 7 3 4 2" xfId="40734"/>
    <cellStyle name="Обычный 8 3 7 3 5" xfId="40735"/>
    <cellStyle name="Обычный 8 3 7 3 6" xfId="40736"/>
    <cellStyle name="Обычный 8 3 7 4" xfId="40737"/>
    <cellStyle name="Обычный 8 3 7 4 2" xfId="40738"/>
    <cellStyle name="Обычный 8 3 7 4 3" xfId="40739"/>
    <cellStyle name="Обычный 8 3 7 5" xfId="40740"/>
    <cellStyle name="Обычный 8 3 7 5 2" xfId="40741"/>
    <cellStyle name="Обычный 8 3 7 5 3" xfId="40742"/>
    <cellStyle name="Обычный 8 3 7 6" xfId="40743"/>
    <cellStyle name="Обычный 8 3 7 6 2" xfId="40744"/>
    <cellStyle name="Обычный 8 3 7 7" xfId="40745"/>
    <cellStyle name="Обычный 8 3 7 8" xfId="40746"/>
    <cellStyle name="Обычный 8 3 8" xfId="40747"/>
    <cellStyle name="Обычный 8 3 8 2" xfId="40748"/>
    <cellStyle name="Обычный 8 3 8 2 2" xfId="40749"/>
    <cellStyle name="Обычный 8 3 8 2 2 2" xfId="40750"/>
    <cellStyle name="Обычный 8 3 8 2 2 3" xfId="40751"/>
    <cellStyle name="Обычный 8 3 8 2 3" xfId="40752"/>
    <cellStyle name="Обычный 8 3 8 2 3 2" xfId="40753"/>
    <cellStyle name="Обычный 8 3 8 2 3 3" xfId="40754"/>
    <cellStyle name="Обычный 8 3 8 2 4" xfId="40755"/>
    <cellStyle name="Обычный 8 3 8 2 4 2" xfId="40756"/>
    <cellStyle name="Обычный 8 3 8 2 5" xfId="40757"/>
    <cellStyle name="Обычный 8 3 8 2 6" xfId="40758"/>
    <cellStyle name="Обычный 8 3 8 3" xfId="40759"/>
    <cellStyle name="Обычный 8 3 8 3 2" xfId="40760"/>
    <cellStyle name="Обычный 8 3 8 3 3" xfId="40761"/>
    <cellStyle name="Обычный 8 3 8 4" xfId="40762"/>
    <cellStyle name="Обычный 8 3 8 4 2" xfId="40763"/>
    <cellStyle name="Обычный 8 3 8 4 3" xfId="40764"/>
    <cellStyle name="Обычный 8 3 8 5" xfId="40765"/>
    <cellStyle name="Обычный 8 3 8 5 2" xfId="40766"/>
    <cellStyle name="Обычный 8 3 8 6" xfId="40767"/>
    <cellStyle name="Обычный 8 3 8 7" xfId="40768"/>
    <cellStyle name="Обычный 8 3 9" xfId="40769"/>
    <cellStyle name="Обычный 8 3 9 2" xfId="40770"/>
    <cellStyle name="Обычный 8 3 9 2 2" xfId="40771"/>
    <cellStyle name="Обычный 8 3 9 2 3" xfId="40772"/>
    <cellStyle name="Обычный 8 3 9 3" xfId="40773"/>
    <cellStyle name="Обычный 8 3 9 3 2" xfId="40774"/>
    <cellStyle name="Обычный 8 3 9 3 3" xfId="40775"/>
    <cellStyle name="Обычный 8 3 9 4" xfId="40776"/>
    <cellStyle name="Обычный 8 3 9 4 2" xfId="40777"/>
    <cellStyle name="Обычный 8 3 9 5" xfId="40778"/>
    <cellStyle name="Обычный 8 3 9 6" xfId="40779"/>
    <cellStyle name="Обычный 8 4" xfId="40780"/>
    <cellStyle name="Обычный 8 4 10" xfId="40781"/>
    <cellStyle name="Обычный 8 4 10 2" xfId="40782"/>
    <cellStyle name="Обычный 8 4 10 3" xfId="40783"/>
    <cellStyle name="Обычный 8 4 11" xfId="40784"/>
    <cellStyle name="Обычный 8 4 11 2" xfId="40785"/>
    <cellStyle name="Обычный 8 4 11 3" xfId="40786"/>
    <cellStyle name="Обычный 8 4 12" xfId="40787"/>
    <cellStyle name="Обычный 8 4 12 2" xfId="40788"/>
    <cellStyle name="Обычный 8 4 13" xfId="40789"/>
    <cellStyle name="Обычный 8 4 14" xfId="40790"/>
    <cellStyle name="Обычный 8 4 2" xfId="40791"/>
    <cellStyle name="Обычный 8 4 2 10" xfId="40792"/>
    <cellStyle name="Обычный 8 4 2 10 2" xfId="40793"/>
    <cellStyle name="Обычный 8 4 2 10 3" xfId="40794"/>
    <cellStyle name="Обычный 8 4 2 11" xfId="40795"/>
    <cellStyle name="Обычный 8 4 2 11 2" xfId="40796"/>
    <cellStyle name="Обычный 8 4 2 12" xfId="40797"/>
    <cellStyle name="Обычный 8 4 2 13" xfId="40798"/>
    <cellStyle name="Обычный 8 4 2 2" xfId="40799"/>
    <cellStyle name="Обычный 8 4 2 2 10" xfId="40800"/>
    <cellStyle name="Обычный 8 4 2 2 2" xfId="40801"/>
    <cellStyle name="Обычный 8 4 2 2 2 2" xfId="40802"/>
    <cellStyle name="Обычный 8 4 2 2 2 2 2" xfId="40803"/>
    <cellStyle name="Обычный 8 4 2 2 2 2 2 2" xfId="40804"/>
    <cellStyle name="Обычный 8 4 2 2 2 2 2 2 2" xfId="40805"/>
    <cellStyle name="Обычный 8 4 2 2 2 2 2 2 2 2" xfId="40806"/>
    <cellStyle name="Обычный 8 4 2 2 2 2 2 2 2 3" xfId="40807"/>
    <cellStyle name="Обычный 8 4 2 2 2 2 2 2 3" xfId="40808"/>
    <cellStyle name="Обычный 8 4 2 2 2 2 2 2 3 2" xfId="40809"/>
    <cellStyle name="Обычный 8 4 2 2 2 2 2 2 3 3" xfId="40810"/>
    <cellStyle name="Обычный 8 4 2 2 2 2 2 2 4" xfId="40811"/>
    <cellStyle name="Обычный 8 4 2 2 2 2 2 2 4 2" xfId="40812"/>
    <cellStyle name="Обычный 8 4 2 2 2 2 2 2 5" xfId="40813"/>
    <cellStyle name="Обычный 8 4 2 2 2 2 2 2 6" xfId="40814"/>
    <cellStyle name="Обычный 8 4 2 2 2 2 2 3" xfId="40815"/>
    <cellStyle name="Обычный 8 4 2 2 2 2 2 3 2" xfId="40816"/>
    <cellStyle name="Обычный 8 4 2 2 2 2 2 3 3" xfId="40817"/>
    <cellStyle name="Обычный 8 4 2 2 2 2 2 4" xfId="40818"/>
    <cellStyle name="Обычный 8 4 2 2 2 2 2 4 2" xfId="40819"/>
    <cellStyle name="Обычный 8 4 2 2 2 2 2 4 3" xfId="40820"/>
    <cellStyle name="Обычный 8 4 2 2 2 2 2 5" xfId="40821"/>
    <cellStyle name="Обычный 8 4 2 2 2 2 2 5 2" xfId="40822"/>
    <cellStyle name="Обычный 8 4 2 2 2 2 2 6" xfId="40823"/>
    <cellStyle name="Обычный 8 4 2 2 2 2 2 7" xfId="40824"/>
    <cellStyle name="Обычный 8 4 2 2 2 2 3" xfId="40825"/>
    <cellStyle name="Обычный 8 4 2 2 2 2 3 2" xfId="40826"/>
    <cellStyle name="Обычный 8 4 2 2 2 2 3 2 2" xfId="40827"/>
    <cellStyle name="Обычный 8 4 2 2 2 2 3 2 3" xfId="40828"/>
    <cellStyle name="Обычный 8 4 2 2 2 2 3 3" xfId="40829"/>
    <cellStyle name="Обычный 8 4 2 2 2 2 3 3 2" xfId="40830"/>
    <cellStyle name="Обычный 8 4 2 2 2 2 3 3 3" xfId="40831"/>
    <cellStyle name="Обычный 8 4 2 2 2 2 3 4" xfId="40832"/>
    <cellStyle name="Обычный 8 4 2 2 2 2 3 4 2" xfId="40833"/>
    <cellStyle name="Обычный 8 4 2 2 2 2 3 5" xfId="40834"/>
    <cellStyle name="Обычный 8 4 2 2 2 2 3 6" xfId="40835"/>
    <cellStyle name="Обычный 8 4 2 2 2 2 4" xfId="40836"/>
    <cellStyle name="Обычный 8 4 2 2 2 2 4 2" xfId="40837"/>
    <cellStyle name="Обычный 8 4 2 2 2 2 4 3" xfId="40838"/>
    <cellStyle name="Обычный 8 4 2 2 2 2 5" xfId="40839"/>
    <cellStyle name="Обычный 8 4 2 2 2 2 5 2" xfId="40840"/>
    <cellStyle name="Обычный 8 4 2 2 2 2 5 3" xfId="40841"/>
    <cellStyle name="Обычный 8 4 2 2 2 2 6" xfId="40842"/>
    <cellStyle name="Обычный 8 4 2 2 2 2 6 2" xfId="40843"/>
    <cellStyle name="Обычный 8 4 2 2 2 2 7" xfId="40844"/>
    <cellStyle name="Обычный 8 4 2 2 2 2 8" xfId="40845"/>
    <cellStyle name="Обычный 8 4 2 2 2 3" xfId="40846"/>
    <cellStyle name="Обычный 8 4 2 2 2 3 2" xfId="40847"/>
    <cellStyle name="Обычный 8 4 2 2 2 3 2 2" xfId="40848"/>
    <cellStyle name="Обычный 8 4 2 2 2 3 2 2 2" xfId="40849"/>
    <cellStyle name="Обычный 8 4 2 2 2 3 2 2 3" xfId="40850"/>
    <cellStyle name="Обычный 8 4 2 2 2 3 2 3" xfId="40851"/>
    <cellStyle name="Обычный 8 4 2 2 2 3 2 3 2" xfId="40852"/>
    <cellStyle name="Обычный 8 4 2 2 2 3 2 3 3" xfId="40853"/>
    <cellStyle name="Обычный 8 4 2 2 2 3 2 4" xfId="40854"/>
    <cellStyle name="Обычный 8 4 2 2 2 3 2 4 2" xfId="40855"/>
    <cellStyle name="Обычный 8 4 2 2 2 3 2 5" xfId="40856"/>
    <cellStyle name="Обычный 8 4 2 2 2 3 2 6" xfId="40857"/>
    <cellStyle name="Обычный 8 4 2 2 2 3 3" xfId="40858"/>
    <cellStyle name="Обычный 8 4 2 2 2 3 3 2" xfId="40859"/>
    <cellStyle name="Обычный 8 4 2 2 2 3 3 3" xfId="40860"/>
    <cellStyle name="Обычный 8 4 2 2 2 3 4" xfId="40861"/>
    <cellStyle name="Обычный 8 4 2 2 2 3 4 2" xfId="40862"/>
    <cellStyle name="Обычный 8 4 2 2 2 3 4 3" xfId="40863"/>
    <cellStyle name="Обычный 8 4 2 2 2 3 5" xfId="40864"/>
    <cellStyle name="Обычный 8 4 2 2 2 3 5 2" xfId="40865"/>
    <cellStyle name="Обычный 8 4 2 2 2 3 6" xfId="40866"/>
    <cellStyle name="Обычный 8 4 2 2 2 3 7" xfId="40867"/>
    <cellStyle name="Обычный 8 4 2 2 2 4" xfId="40868"/>
    <cellStyle name="Обычный 8 4 2 2 2 4 2" xfId="40869"/>
    <cellStyle name="Обычный 8 4 2 2 2 4 2 2" xfId="40870"/>
    <cellStyle name="Обычный 8 4 2 2 2 4 2 3" xfId="40871"/>
    <cellStyle name="Обычный 8 4 2 2 2 4 3" xfId="40872"/>
    <cellStyle name="Обычный 8 4 2 2 2 4 3 2" xfId="40873"/>
    <cellStyle name="Обычный 8 4 2 2 2 4 3 3" xfId="40874"/>
    <cellStyle name="Обычный 8 4 2 2 2 4 4" xfId="40875"/>
    <cellStyle name="Обычный 8 4 2 2 2 4 4 2" xfId="40876"/>
    <cellStyle name="Обычный 8 4 2 2 2 4 5" xfId="40877"/>
    <cellStyle name="Обычный 8 4 2 2 2 4 6" xfId="40878"/>
    <cellStyle name="Обычный 8 4 2 2 2 5" xfId="40879"/>
    <cellStyle name="Обычный 8 4 2 2 2 5 2" xfId="40880"/>
    <cellStyle name="Обычный 8 4 2 2 2 5 3" xfId="40881"/>
    <cellStyle name="Обычный 8 4 2 2 2 6" xfId="40882"/>
    <cellStyle name="Обычный 8 4 2 2 2 6 2" xfId="40883"/>
    <cellStyle name="Обычный 8 4 2 2 2 6 3" xfId="40884"/>
    <cellStyle name="Обычный 8 4 2 2 2 7" xfId="40885"/>
    <cellStyle name="Обычный 8 4 2 2 2 7 2" xfId="40886"/>
    <cellStyle name="Обычный 8 4 2 2 2 8" xfId="40887"/>
    <cellStyle name="Обычный 8 4 2 2 2 9" xfId="40888"/>
    <cellStyle name="Обычный 8 4 2 2 3" xfId="40889"/>
    <cellStyle name="Обычный 8 4 2 2 3 2" xfId="40890"/>
    <cellStyle name="Обычный 8 4 2 2 3 2 2" xfId="40891"/>
    <cellStyle name="Обычный 8 4 2 2 3 2 2 2" xfId="40892"/>
    <cellStyle name="Обычный 8 4 2 2 3 2 2 2 2" xfId="40893"/>
    <cellStyle name="Обычный 8 4 2 2 3 2 2 2 3" xfId="40894"/>
    <cellStyle name="Обычный 8 4 2 2 3 2 2 3" xfId="40895"/>
    <cellStyle name="Обычный 8 4 2 2 3 2 2 3 2" xfId="40896"/>
    <cellStyle name="Обычный 8 4 2 2 3 2 2 3 3" xfId="40897"/>
    <cellStyle name="Обычный 8 4 2 2 3 2 2 4" xfId="40898"/>
    <cellStyle name="Обычный 8 4 2 2 3 2 2 4 2" xfId="40899"/>
    <cellStyle name="Обычный 8 4 2 2 3 2 2 5" xfId="40900"/>
    <cellStyle name="Обычный 8 4 2 2 3 2 2 6" xfId="40901"/>
    <cellStyle name="Обычный 8 4 2 2 3 2 3" xfId="40902"/>
    <cellStyle name="Обычный 8 4 2 2 3 2 3 2" xfId="40903"/>
    <cellStyle name="Обычный 8 4 2 2 3 2 3 3" xfId="40904"/>
    <cellStyle name="Обычный 8 4 2 2 3 2 4" xfId="40905"/>
    <cellStyle name="Обычный 8 4 2 2 3 2 4 2" xfId="40906"/>
    <cellStyle name="Обычный 8 4 2 2 3 2 4 3" xfId="40907"/>
    <cellStyle name="Обычный 8 4 2 2 3 2 5" xfId="40908"/>
    <cellStyle name="Обычный 8 4 2 2 3 2 5 2" xfId="40909"/>
    <cellStyle name="Обычный 8 4 2 2 3 2 6" xfId="40910"/>
    <cellStyle name="Обычный 8 4 2 2 3 2 7" xfId="40911"/>
    <cellStyle name="Обычный 8 4 2 2 3 3" xfId="40912"/>
    <cellStyle name="Обычный 8 4 2 2 3 3 2" xfId="40913"/>
    <cellStyle name="Обычный 8 4 2 2 3 3 2 2" xfId="40914"/>
    <cellStyle name="Обычный 8 4 2 2 3 3 2 3" xfId="40915"/>
    <cellStyle name="Обычный 8 4 2 2 3 3 3" xfId="40916"/>
    <cellStyle name="Обычный 8 4 2 2 3 3 3 2" xfId="40917"/>
    <cellStyle name="Обычный 8 4 2 2 3 3 3 3" xfId="40918"/>
    <cellStyle name="Обычный 8 4 2 2 3 3 4" xfId="40919"/>
    <cellStyle name="Обычный 8 4 2 2 3 3 4 2" xfId="40920"/>
    <cellStyle name="Обычный 8 4 2 2 3 3 5" xfId="40921"/>
    <cellStyle name="Обычный 8 4 2 2 3 3 6" xfId="40922"/>
    <cellStyle name="Обычный 8 4 2 2 3 4" xfId="40923"/>
    <cellStyle name="Обычный 8 4 2 2 3 4 2" xfId="40924"/>
    <cellStyle name="Обычный 8 4 2 2 3 4 3" xfId="40925"/>
    <cellStyle name="Обычный 8 4 2 2 3 5" xfId="40926"/>
    <cellStyle name="Обычный 8 4 2 2 3 5 2" xfId="40927"/>
    <cellStyle name="Обычный 8 4 2 2 3 5 3" xfId="40928"/>
    <cellStyle name="Обычный 8 4 2 2 3 6" xfId="40929"/>
    <cellStyle name="Обычный 8 4 2 2 3 6 2" xfId="40930"/>
    <cellStyle name="Обычный 8 4 2 2 3 7" xfId="40931"/>
    <cellStyle name="Обычный 8 4 2 2 3 8" xfId="40932"/>
    <cellStyle name="Обычный 8 4 2 2 4" xfId="40933"/>
    <cellStyle name="Обычный 8 4 2 2 4 2" xfId="40934"/>
    <cellStyle name="Обычный 8 4 2 2 4 2 2" xfId="40935"/>
    <cellStyle name="Обычный 8 4 2 2 4 2 2 2" xfId="40936"/>
    <cellStyle name="Обычный 8 4 2 2 4 2 2 3" xfId="40937"/>
    <cellStyle name="Обычный 8 4 2 2 4 2 3" xfId="40938"/>
    <cellStyle name="Обычный 8 4 2 2 4 2 3 2" xfId="40939"/>
    <cellStyle name="Обычный 8 4 2 2 4 2 3 3" xfId="40940"/>
    <cellStyle name="Обычный 8 4 2 2 4 2 4" xfId="40941"/>
    <cellStyle name="Обычный 8 4 2 2 4 2 4 2" xfId="40942"/>
    <cellStyle name="Обычный 8 4 2 2 4 2 5" xfId="40943"/>
    <cellStyle name="Обычный 8 4 2 2 4 2 6" xfId="40944"/>
    <cellStyle name="Обычный 8 4 2 2 4 3" xfId="40945"/>
    <cellStyle name="Обычный 8 4 2 2 4 3 2" xfId="40946"/>
    <cellStyle name="Обычный 8 4 2 2 4 3 3" xfId="40947"/>
    <cellStyle name="Обычный 8 4 2 2 4 4" xfId="40948"/>
    <cellStyle name="Обычный 8 4 2 2 4 4 2" xfId="40949"/>
    <cellStyle name="Обычный 8 4 2 2 4 4 3" xfId="40950"/>
    <cellStyle name="Обычный 8 4 2 2 4 5" xfId="40951"/>
    <cellStyle name="Обычный 8 4 2 2 4 5 2" xfId="40952"/>
    <cellStyle name="Обычный 8 4 2 2 4 6" xfId="40953"/>
    <cellStyle name="Обычный 8 4 2 2 4 7" xfId="40954"/>
    <cellStyle name="Обычный 8 4 2 2 5" xfId="40955"/>
    <cellStyle name="Обычный 8 4 2 2 5 2" xfId="40956"/>
    <cellStyle name="Обычный 8 4 2 2 5 2 2" xfId="40957"/>
    <cellStyle name="Обычный 8 4 2 2 5 2 3" xfId="40958"/>
    <cellStyle name="Обычный 8 4 2 2 5 3" xfId="40959"/>
    <cellStyle name="Обычный 8 4 2 2 5 3 2" xfId="40960"/>
    <cellStyle name="Обычный 8 4 2 2 5 3 3" xfId="40961"/>
    <cellStyle name="Обычный 8 4 2 2 5 4" xfId="40962"/>
    <cellStyle name="Обычный 8 4 2 2 5 4 2" xfId="40963"/>
    <cellStyle name="Обычный 8 4 2 2 5 5" xfId="40964"/>
    <cellStyle name="Обычный 8 4 2 2 5 6" xfId="40965"/>
    <cellStyle name="Обычный 8 4 2 2 6" xfId="40966"/>
    <cellStyle name="Обычный 8 4 2 2 6 2" xfId="40967"/>
    <cellStyle name="Обычный 8 4 2 2 6 3" xfId="40968"/>
    <cellStyle name="Обычный 8 4 2 2 7" xfId="40969"/>
    <cellStyle name="Обычный 8 4 2 2 7 2" xfId="40970"/>
    <cellStyle name="Обычный 8 4 2 2 7 3" xfId="40971"/>
    <cellStyle name="Обычный 8 4 2 2 8" xfId="40972"/>
    <cellStyle name="Обычный 8 4 2 2 8 2" xfId="40973"/>
    <cellStyle name="Обычный 8 4 2 2 9" xfId="40974"/>
    <cellStyle name="Обычный 8 4 2 3" xfId="40975"/>
    <cellStyle name="Обычный 8 4 2 3 10" xfId="40976"/>
    <cellStyle name="Обычный 8 4 2 3 2" xfId="40977"/>
    <cellStyle name="Обычный 8 4 2 3 2 2" xfId="40978"/>
    <cellStyle name="Обычный 8 4 2 3 2 2 2" xfId="40979"/>
    <cellStyle name="Обычный 8 4 2 3 2 2 2 2" xfId="40980"/>
    <cellStyle name="Обычный 8 4 2 3 2 2 2 2 2" xfId="40981"/>
    <cellStyle name="Обычный 8 4 2 3 2 2 2 2 2 2" xfId="40982"/>
    <cellStyle name="Обычный 8 4 2 3 2 2 2 2 2 3" xfId="40983"/>
    <cellStyle name="Обычный 8 4 2 3 2 2 2 2 3" xfId="40984"/>
    <cellStyle name="Обычный 8 4 2 3 2 2 2 2 3 2" xfId="40985"/>
    <cellStyle name="Обычный 8 4 2 3 2 2 2 2 3 3" xfId="40986"/>
    <cellStyle name="Обычный 8 4 2 3 2 2 2 2 4" xfId="40987"/>
    <cellStyle name="Обычный 8 4 2 3 2 2 2 2 4 2" xfId="40988"/>
    <cellStyle name="Обычный 8 4 2 3 2 2 2 2 5" xfId="40989"/>
    <cellStyle name="Обычный 8 4 2 3 2 2 2 2 6" xfId="40990"/>
    <cellStyle name="Обычный 8 4 2 3 2 2 2 3" xfId="40991"/>
    <cellStyle name="Обычный 8 4 2 3 2 2 2 3 2" xfId="40992"/>
    <cellStyle name="Обычный 8 4 2 3 2 2 2 3 3" xfId="40993"/>
    <cellStyle name="Обычный 8 4 2 3 2 2 2 4" xfId="40994"/>
    <cellStyle name="Обычный 8 4 2 3 2 2 2 4 2" xfId="40995"/>
    <cellStyle name="Обычный 8 4 2 3 2 2 2 4 3" xfId="40996"/>
    <cellStyle name="Обычный 8 4 2 3 2 2 2 5" xfId="40997"/>
    <cellStyle name="Обычный 8 4 2 3 2 2 2 5 2" xfId="40998"/>
    <cellStyle name="Обычный 8 4 2 3 2 2 2 6" xfId="40999"/>
    <cellStyle name="Обычный 8 4 2 3 2 2 2 7" xfId="41000"/>
    <cellStyle name="Обычный 8 4 2 3 2 2 3" xfId="41001"/>
    <cellStyle name="Обычный 8 4 2 3 2 2 3 2" xfId="41002"/>
    <cellStyle name="Обычный 8 4 2 3 2 2 3 2 2" xfId="41003"/>
    <cellStyle name="Обычный 8 4 2 3 2 2 3 2 3" xfId="41004"/>
    <cellStyle name="Обычный 8 4 2 3 2 2 3 3" xfId="41005"/>
    <cellStyle name="Обычный 8 4 2 3 2 2 3 3 2" xfId="41006"/>
    <cellStyle name="Обычный 8 4 2 3 2 2 3 3 3" xfId="41007"/>
    <cellStyle name="Обычный 8 4 2 3 2 2 3 4" xfId="41008"/>
    <cellStyle name="Обычный 8 4 2 3 2 2 3 4 2" xfId="41009"/>
    <cellStyle name="Обычный 8 4 2 3 2 2 3 5" xfId="41010"/>
    <cellStyle name="Обычный 8 4 2 3 2 2 3 6" xfId="41011"/>
    <cellStyle name="Обычный 8 4 2 3 2 2 4" xfId="41012"/>
    <cellStyle name="Обычный 8 4 2 3 2 2 4 2" xfId="41013"/>
    <cellStyle name="Обычный 8 4 2 3 2 2 4 3" xfId="41014"/>
    <cellStyle name="Обычный 8 4 2 3 2 2 5" xfId="41015"/>
    <cellStyle name="Обычный 8 4 2 3 2 2 5 2" xfId="41016"/>
    <cellStyle name="Обычный 8 4 2 3 2 2 5 3" xfId="41017"/>
    <cellStyle name="Обычный 8 4 2 3 2 2 6" xfId="41018"/>
    <cellStyle name="Обычный 8 4 2 3 2 2 6 2" xfId="41019"/>
    <cellStyle name="Обычный 8 4 2 3 2 2 7" xfId="41020"/>
    <cellStyle name="Обычный 8 4 2 3 2 2 8" xfId="41021"/>
    <cellStyle name="Обычный 8 4 2 3 2 3" xfId="41022"/>
    <cellStyle name="Обычный 8 4 2 3 2 3 2" xfId="41023"/>
    <cellStyle name="Обычный 8 4 2 3 2 3 2 2" xfId="41024"/>
    <cellStyle name="Обычный 8 4 2 3 2 3 2 2 2" xfId="41025"/>
    <cellStyle name="Обычный 8 4 2 3 2 3 2 2 3" xfId="41026"/>
    <cellStyle name="Обычный 8 4 2 3 2 3 2 3" xfId="41027"/>
    <cellStyle name="Обычный 8 4 2 3 2 3 2 3 2" xfId="41028"/>
    <cellStyle name="Обычный 8 4 2 3 2 3 2 3 3" xfId="41029"/>
    <cellStyle name="Обычный 8 4 2 3 2 3 2 4" xfId="41030"/>
    <cellStyle name="Обычный 8 4 2 3 2 3 2 4 2" xfId="41031"/>
    <cellStyle name="Обычный 8 4 2 3 2 3 2 5" xfId="41032"/>
    <cellStyle name="Обычный 8 4 2 3 2 3 2 6" xfId="41033"/>
    <cellStyle name="Обычный 8 4 2 3 2 3 3" xfId="41034"/>
    <cellStyle name="Обычный 8 4 2 3 2 3 3 2" xfId="41035"/>
    <cellStyle name="Обычный 8 4 2 3 2 3 3 3" xfId="41036"/>
    <cellStyle name="Обычный 8 4 2 3 2 3 4" xfId="41037"/>
    <cellStyle name="Обычный 8 4 2 3 2 3 4 2" xfId="41038"/>
    <cellStyle name="Обычный 8 4 2 3 2 3 4 3" xfId="41039"/>
    <cellStyle name="Обычный 8 4 2 3 2 3 5" xfId="41040"/>
    <cellStyle name="Обычный 8 4 2 3 2 3 5 2" xfId="41041"/>
    <cellStyle name="Обычный 8 4 2 3 2 3 6" xfId="41042"/>
    <cellStyle name="Обычный 8 4 2 3 2 3 7" xfId="41043"/>
    <cellStyle name="Обычный 8 4 2 3 2 4" xfId="41044"/>
    <cellStyle name="Обычный 8 4 2 3 2 4 2" xfId="41045"/>
    <cellStyle name="Обычный 8 4 2 3 2 4 2 2" xfId="41046"/>
    <cellStyle name="Обычный 8 4 2 3 2 4 2 3" xfId="41047"/>
    <cellStyle name="Обычный 8 4 2 3 2 4 3" xfId="41048"/>
    <cellStyle name="Обычный 8 4 2 3 2 4 3 2" xfId="41049"/>
    <cellStyle name="Обычный 8 4 2 3 2 4 3 3" xfId="41050"/>
    <cellStyle name="Обычный 8 4 2 3 2 4 4" xfId="41051"/>
    <cellStyle name="Обычный 8 4 2 3 2 4 4 2" xfId="41052"/>
    <cellStyle name="Обычный 8 4 2 3 2 4 5" xfId="41053"/>
    <cellStyle name="Обычный 8 4 2 3 2 4 6" xfId="41054"/>
    <cellStyle name="Обычный 8 4 2 3 2 5" xfId="41055"/>
    <cellStyle name="Обычный 8 4 2 3 2 5 2" xfId="41056"/>
    <cellStyle name="Обычный 8 4 2 3 2 5 3" xfId="41057"/>
    <cellStyle name="Обычный 8 4 2 3 2 6" xfId="41058"/>
    <cellStyle name="Обычный 8 4 2 3 2 6 2" xfId="41059"/>
    <cellStyle name="Обычный 8 4 2 3 2 6 3" xfId="41060"/>
    <cellStyle name="Обычный 8 4 2 3 2 7" xfId="41061"/>
    <cellStyle name="Обычный 8 4 2 3 2 7 2" xfId="41062"/>
    <cellStyle name="Обычный 8 4 2 3 2 8" xfId="41063"/>
    <cellStyle name="Обычный 8 4 2 3 2 9" xfId="41064"/>
    <cellStyle name="Обычный 8 4 2 3 3" xfId="41065"/>
    <cellStyle name="Обычный 8 4 2 3 3 2" xfId="41066"/>
    <cellStyle name="Обычный 8 4 2 3 3 2 2" xfId="41067"/>
    <cellStyle name="Обычный 8 4 2 3 3 2 2 2" xfId="41068"/>
    <cellStyle name="Обычный 8 4 2 3 3 2 2 2 2" xfId="41069"/>
    <cellStyle name="Обычный 8 4 2 3 3 2 2 2 3" xfId="41070"/>
    <cellStyle name="Обычный 8 4 2 3 3 2 2 3" xfId="41071"/>
    <cellStyle name="Обычный 8 4 2 3 3 2 2 3 2" xfId="41072"/>
    <cellStyle name="Обычный 8 4 2 3 3 2 2 3 3" xfId="41073"/>
    <cellStyle name="Обычный 8 4 2 3 3 2 2 4" xfId="41074"/>
    <cellStyle name="Обычный 8 4 2 3 3 2 2 4 2" xfId="41075"/>
    <cellStyle name="Обычный 8 4 2 3 3 2 2 5" xfId="41076"/>
    <cellStyle name="Обычный 8 4 2 3 3 2 2 6" xfId="41077"/>
    <cellStyle name="Обычный 8 4 2 3 3 2 3" xfId="41078"/>
    <cellStyle name="Обычный 8 4 2 3 3 2 3 2" xfId="41079"/>
    <cellStyle name="Обычный 8 4 2 3 3 2 3 3" xfId="41080"/>
    <cellStyle name="Обычный 8 4 2 3 3 2 4" xfId="41081"/>
    <cellStyle name="Обычный 8 4 2 3 3 2 4 2" xfId="41082"/>
    <cellStyle name="Обычный 8 4 2 3 3 2 4 3" xfId="41083"/>
    <cellStyle name="Обычный 8 4 2 3 3 2 5" xfId="41084"/>
    <cellStyle name="Обычный 8 4 2 3 3 2 5 2" xfId="41085"/>
    <cellStyle name="Обычный 8 4 2 3 3 2 6" xfId="41086"/>
    <cellStyle name="Обычный 8 4 2 3 3 2 7" xfId="41087"/>
    <cellStyle name="Обычный 8 4 2 3 3 3" xfId="41088"/>
    <cellStyle name="Обычный 8 4 2 3 3 3 2" xfId="41089"/>
    <cellStyle name="Обычный 8 4 2 3 3 3 2 2" xfId="41090"/>
    <cellStyle name="Обычный 8 4 2 3 3 3 2 3" xfId="41091"/>
    <cellStyle name="Обычный 8 4 2 3 3 3 3" xfId="41092"/>
    <cellStyle name="Обычный 8 4 2 3 3 3 3 2" xfId="41093"/>
    <cellStyle name="Обычный 8 4 2 3 3 3 3 3" xfId="41094"/>
    <cellStyle name="Обычный 8 4 2 3 3 3 4" xfId="41095"/>
    <cellStyle name="Обычный 8 4 2 3 3 3 4 2" xfId="41096"/>
    <cellStyle name="Обычный 8 4 2 3 3 3 5" xfId="41097"/>
    <cellStyle name="Обычный 8 4 2 3 3 3 6" xfId="41098"/>
    <cellStyle name="Обычный 8 4 2 3 3 4" xfId="41099"/>
    <cellStyle name="Обычный 8 4 2 3 3 4 2" xfId="41100"/>
    <cellStyle name="Обычный 8 4 2 3 3 4 3" xfId="41101"/>
    <cellStyle name="Обычный 8 4 2 3 3 5" xfId="41102"/>
    <cellStyle name="Обычный 8 4 2 3 3 5 2" xfId="41103"/>
    <cellStyle name="Обычный 8 4 2 3 3 5 3" xfId="41104"/>
    <cellStyle name="Обычный 8 4 2 3 3 6" xfId="41105"/>
    <cellStyle name="Обычный 8 4 2 3 3 6 2" xfId="41106"/>
    <cellStyle name="Обычный 8 4 2 3 3 7" xfId="41107"/>
    <cellStyle name="Обычный 8 4 2 3 3 8" xfId="41108"/>
    <cellStyle name="Обычный 8 4 2 3 4" xfId="41109"/>
    <cellStyle name="Обычный 8 4 2 3 4 2" xfId="41110"/>
    <cellStyle name="Обычный 8 4 2 3 4 2 2" xfId="41111"/>
    <cellStyle name="Обычный 8 4 2 3 4 2 2 2" xfId="41112"/>
    <cellStyle name="Обычный 8 4 2 3 4 2 2 3" xfId="41113"/>
    <cellStyle name="Обычный 8 4 2 3 4 2 3" xfId="41114"/>
    <cellStyle name="Обычный 8 4 2 3 4 2 3 2" xfId="41115"/>
    <cellStyle name="Обычный 8 4 2 3 4 2 3 3" xfId="41116"/>
    <cellStyle name="Обычный 8 4 2 3 4 2 4" xfId="41117"/>
    <cellStyle name="Обычный 8 4 2 3 4 2 4 2" xfId="41118"/>
    <cellStyle name="Обычный 8 4 2 3 4 2 5" xfId="41119"/>
    <cellStyle name="Обычный 8 4 2 3 4 2 6" xfId="41120"/>
    <cellStyle name="Обычный 8 4 2 3 4 3" xfId="41121"/>
    <cellStyle name="Обычный 8 4 2 3 4 3 2" xfId="41122"/>
    <cellStyle name="Обычный 8 4 2 3 4 3 3" xfId="41123"/>
    <cellStyle name="Обычный 8 4 2 3 4 4" xfId="41124"/>
    <cellStyle name="Обычный 8 4 2 3 4 4 2" xfId="41125"/>
    <cellStyle name="Обычный 8 4 2 3 4 4 3" xfId="41126"/>
    <cellStyle name="Обычный 8 4 2 3 4 5" xfId="41127"/>
    <cellStyle name="Обычный 8 4 2 3 4 5 2" xfId="41128"/>
    <cellStyle name="Обычный 8 4 2 3 4 6" xfId="41129"/>
    <cellStyle name="Обычный 8 4 2 3 4 7" xfId="41130"/>
    <cellStyle name="Обычный 8 4 2 3 5" xfId="41131"/>
    <cellStyle name="Обычный 8 4 2 3 5 2" xfId="41132"/>
    <cellStyle name="Обычный 8 4 2 3 5 2 2" xfId="41133"/>
    <cellStyle name="Обычный 8 4 2 3 5 2 3" xfId="41134"/>
    <cellStyle name="Обычный 8 4 2 3 5 3" xfId="41135"/>
    <cellStyle name="Обычный 8 4 2 3 5 3 2" xfId="41136"/>
    <cellStyle name="Обычный 8 4 2 3 5 3 3" xfId="41137"/>
    <cellStyle name="Обычный 8 4 2 3 5 4" xfId="41138"/>
    <cellStyle name="Обычный 8 4 2 3 5 4 2" xfId="41139"/>
    <cellStyle name="Обычный 8 4 2 3 5 5" xfId="41140"/>
    <cellStyle name="Обычный 8 4 2 3 5 6" xfId="41141"/>
    <cellStyle name="Обычный 8 4 2 3 6" xfId="41142"/>
    <cellStyle name="Обычный 8 4 2 3 6 2" xfId="41143"/>
    <cellStyle name="Обычный 8 4 2 3 6 3" xfId="41144"/>
    <cellStyle name="Обычный 8 4 2 3 7" xfId="41145"/>
    <cellStyle name="Обычный 8 4 2 3 7 2" xfId="41146"/>
    <cellStyle name="Обычный 8 4 2 3 7 3" xfId="41147"/>
    <cellStyle name="Обычный 8 4 2 3 8" xfId="41148"/>
    <cellStyle name="Обычный 8 4 2 3 8 2" xfId="41149"/>
    <cellStyle name="Обычный 8 4 2 3 9" xfId="41150"/>
    <cellStyle name="Обычный 8 4 2 4" xfId="41151"/>
    <cellStyle name="Обычный 8 4 2 4 10" xfId="41152"/>
    <cellStyle name="Обычный 8 4 2 4 2" xfId="41153"/>
    <cellStyle name="Обычный 8 4 2 4 2 2" xfId="41154"/>
    <cellStyle name="Обычный 8 4 2 4 2 2 2" xfId="41155"/>
    <cellStyle name="Обычный 8 4 2 4 2 2 2 2" xfId="41156"/>
    <cellStyle name="Обычный 8 4 2 4 2 2 2 2 2" xfId="41157"/>
    <cellStyle name="Обычный 8 4 2 4 2 2 2 2 2 2" xfId="41158"/>
    <cellStyle name="Обычный 8 4 2 4 2 2 2 2 2 3" xfId="41159"/>
    <cellStyle name="Обычный 8 4 2 4 2 2 2 2 3" xfId="41160"/>
    <cellStyle name="Обычный 8 4 2 4 2 2 2 2 3 2" xfId="41161"/>
    <cellStyle name="Обычный 8 4 2 4 2 2 2 2 3 3" xfId="41162"/>
    <cellStyle name="Обычный 8 4 2 4 2 2 2 2 4" xfId="41163"/>
    <cellStyle name="Обычный 8 4 2 4 2 2 2 2 4 2" xfId="41164"/>
    <cellStyle name="Обычный 8 4 2 4 2 2 2 2 5" xfId="41165"/>
    <cellStyle name="Обычный 8 4 2 4 2 2 2 2 6" xfId="41166"/>
    <cellStyle name="Обычный 8 4 2 4 2 2 2 3" xfId="41167"/>
    <cellStyle name="Обычный 8 4 2 4 2 2 2 3 2" xfId="41168"/>
    <cellStyle name="Обычный 8 4 2 4 2 2 2 3 3" xfId="41169"/>
    <cellStyle name="Обычный 8 4 2 4 2 2 2 4" xfId="41170"/>
    <cellStyle name="Обычный 8 4 2 4 2 2 2 4 2" xfId="41171"/>
    <cellStyle name="Обычный 8 4 2 4 2 2 2 4 3" xfId="41172"/>
    <cellStyle name="Обычный 8 4 2 4 2 2 2 5" xfId="41173"/>
    <cellStyle name="Обычный 8 4 2 4 2 2 2 5 2" xfId="41174"/>
    <cellStyle name="Обычный 8 4 2 4 2 2 2 6" xfId="41175"/>
    <cellStyle name="Обычный 8 4 2 4 2 2 2 7" xfId="41176"/>
    <cellStyle name="Обычный 8 4 2 4 2 2 3" xfId="41177"/>
    <cellStyle name="Обычный 8 4 2 4 2 2 3 2" xfId="41178"/>
    <cellStyle name="Обычный 8 4 2 4 2 2 3 2 2" xfId="41179"/>
    <cellStyle name="Обычный 8 4 2 4 2 2 3 2 3" xfId="41180"/>
    <cellStyle name="Обычный 8 4 2 4 2 2 3 3" xfId="41181"/>
    <cellStyle name="Обычный 8 4 2 4 2 2 3 3 2" xfId="41182"/>
    <cellStyle name="Обычный 8 4 2 4 2 2 3 3 3" xfId="41183"/>
    <cellStyle name="Обычный 8 4 2 4 2 2 3 4" xfId="41184"/>
    <cellStyle name="Обычный 8 4 2 4 2 2 3 4 2" xfId="41185"/>
    <cellStyle name="Обычный 8 4 2 4 2 2 3 5" xfId="41186"/>
    <cellStyle name="Обычный 8 4 2 4 2 2 3 6" xfId="41187"/>
    <cellStyle name="Обычный 8 4 2 4 2 2 4" xfId="41188"/>
    <cellStyle name="Обычный 8 4 2 4 2 2 4 2" xfId="41189"/>
    <cellStyle name="Обычный 8 4 2 4 2 2 4 3" xfId="41190"/>
    <cellStyle name="Обычный 8 4 2 4 2 2 5" xfId="41191"/>
    <cellStyle name="Обычный 8 4 2 4 2 2 5 2" xfId="41192"/>
    <cellStyle name="Обычный 8 4 2 4 2 2 5 3" xfId="41193"/>
    <cellStyle name="Обычный 8 4 2 4 2 2 6" xfId="41194"/>
    <cellStyle name="Обычный 8 4 2 4 2 2 6 2" xfId="41195"/>
    <cellStyle name="Обычный 8 4 2 4 2 2 7" xfId="41196"/>
    <cellStyle name="Обычный 8 4 2 4 2 2 8" xfId="41197"/>
    <cellStyle name="Обычный 8 4 2 4 2 3" xfId="41198"/>
    <cellStyle name="Обычный 8 4 2 4 2 3 2" xfId="41199"/>
    <cellStyle name="Обычный 8 4 2 4 2 3 2 2" xfId="41200"/>
    <cellStyle name="Обычный 8 4 2 4 2 3 2 2 2" xfId="41201"/>
    <cellStyle name="Обычный 8 4 2 4 2 3 2 2 3" xfId="41202"/>
    <cellStyle name="Обычный 8 4 2 4 2 3 2 3" xfId="41203"/>
    <cellStyle name="Обычный 8 4 2 4 2 3 2 3 2" xfId="41204"/>
    <cellStyle name="Обычный 8 4 2 4 2 3 2 3 3" xfId="41205"/>
    <cellStyle name="Обычный 8 4 2 4 2 3 2 4" xfId="41206"/>
    <cellStyle name="Обычный 8 4 2 4 2 3 2 4 2" xfId="41207"/>
    <cellStyle name="Обычный 8 4 2 4 2 3 2 5" xfId="41208"/>
    <cellStyle name="Обычный 8 4 2 4 2 3 2 6" xfId="41209"/>
    <cellStyle name="Обычный 8 4 2 4 2 3 3" xfId="41210"/>
    <cellStyle name="Обычный 8 4 2 4 2 3 3 2" xfId="41211"/>
    <cellStyle name="Обычный 8 4 2 4 2 3 3 3" xfId="41212"/>
    <cellStyle name="Обычный 8 4 2 4 2 3 4" xfId="41213"/>
    <cellStyle name="Обычный 8 4 2 4 2 3 4 2" xfId="41214"/>
    <cellStyle name="Обычный 8 4 2 4 2 3 4 3" xfId="41215"/>
    <cellStyle name="Обычный 8 4 2 4 2 3 5" xfId="41216"/>
    <cellStyle name="Обычный 8 4 2 4 2 3 5 2" xfId="41217"/>
    <cellStyle name="Обычный 8 4 2 4 2 3 6" xfId="41218"/>
    <cellStyle name="Обычный 8 4 2 4 2 3 7" xfId="41219"/>
    <cellStyle name="Обычный 8 4 2 4 2 4" xfId="41220"/>
    <cellStyle name="Обычный 8 4 2 4 2 4 2" xfId="41221"/>
    <cellStyle name="Обычный 8 4 2 4 2 4 2 2" xfId="41222"/>
    <cellStyle name="Обычный 8 4 2 4 2 4 2 3" xfId="41223"/>
    <cellStyle name="Обычный 8 4 2 4 2 4 3" xfId="41224"/>
    <cellStyle name="Обычный 8 4 2 4 2 4 3 2" xfId="41225"/>
    <cellStyle name="Обычный 8 4 2 4 2 4 3 3" xfId="41226"/>
    <cellStyle name="Обычный 8 4 2 4 2 4 4" xfId="41227"/>
    <cellStyle name="Обычный 8 4 2 4 2 4 4 2" xfId="41228"/>
    <cellStyle name="Обычный 8 4 2 4 2 4 5" xfId="41229"/>
    <cellStyle name="Обычный 8 4 2 4 2 4 6" xfId="41230"/>
    <cellStyle name="Обычный 8 4 2 4 2 5" xfId="41231"/>
    <cellStyle name="Обычный 8 4 2 4 2 5 2" xfId="41232"/>
    <cellStyle name="Обычный 8 4 2 4 2 5 3" xfId="41233"/>
    <cellStyle name="Обычный 8 4 2 4 2 6" xfId="41234"/>
    <cellStyle name="Обычный 8 4 2 4 2 6 2" xfId="41235"/>
    <cellStyle name="Обычный 8 4 2 4 2 6 3" xfId="41236"/>
    <cellStyle name="Обычный 8 4 2 4 2 7" xfId="41237"/>
    <cellStyle name="Обычный 8 4 2 4 2 7 2" xfId="41238"/>
    <cellStyle name="Обычный 8 4 2 4 2 8" xfId="41239"/>
    <cellStyle name="Обычный 8 4 2 4 2 9" xfId="41240"/>
    <cellStyle name="Обычный 8 4 2 4 3" xfId="41241"/>
    <cellStyle name="Обычный 8 4 2 4 3 2" xfId="41242"/>
    <cellStyle name="Обычный 8 4 2 4 3 2 2" xfId="41243"/>
    <cellStyle name="Обычный 8 4 2 4 3 2 2 2" xfId="41244"/>
    <cellStyle name="Обычный 8 4 2 4 3 2 2 2 2" xfId="41245"/>
    <cellStyle name="Обычный 8 4 2 4 3 2 2 2 3" xfId="41246"/>
    <cellStyle name="Обычный 8 4 2 4 3 2 2 3" xfId="41247"/>
    <cellStyle name="Обычный 8 4 2 4 3 2 2 3 2" xfId="41248"/>
    <cellStyle name="Обычный 8 4 2 4 3 2 2 3 3" xfId="41249"/>
    <cellStyle name="Обычный 8 4 2 4 3 2 2 4" xfId="41250"/>
    <cellStyle name="Обычный 8 4 2 4 3 2 2 4 2" xfId="41251"/>
    <cellStyle name="Обычный 8 4 2 4 3 2 2 5" xfId="41252"/>
    <cellStyle name="Обычный 8 4 2 4 3 2 2 6" xfId="41253"/>
    <cellStyle name="Обычный 8 4 2 4 3 2 3" xfId="41254"/>
    <cellStyle name="Обычный 8 4 2 4 3 2 3 2" xfId="41255"/>
    <cellStyle name="Обычный 8 4 2 4 3 2 3 3" xfId="41256"/>
    <cellStyle name="Обычный 8 4 2 4 3 2 4" xfId="41257"/>
    <cellStyle name="Обычный 8 4 2 4 3 2 4 2" xfId="41258"/>
    <cellStyle name="Обычный 8 4 2 4 3 2 4 3" xfId="41259"/>
    <cellStyle name="Обычный 8 4 2 4 3 2 5" xfId="41260"/>
    <cellStyle name="Обычный 8 4 2 4 3 2 5 2" xfId="41261"/>
    <cellStyle name="Обычный 8 4 2 4 3 2 6" xfId="41262"/>
    <cellStyle name="Обычный 8 4 2 4 3 2 7" xfId="41263"/>
    <cellStyle name="Обычный 8 4 2 4 3 3" xfId="41264"/>
    <cellStyle name="Обычный 8 4 2 4 3 3 2" xfId="41265"/>
    <cellStyle name="Обычный 8 4 2 4 3 3 2 2" xfId="41266"/>
    <cellStyle name="Обычный 8 4 2 4 3 3 2 3" xfId="41267"/>
    <cellStyle name="Обычный 8 4 2 4 3 3 3" xfId="41268"/>
    <cellStyle name="Обычный 8 4 2 4 3 3 3 2" xfId="41269"/>
    <cellStyle name="Обычный 8 4 2 4 3 3 3 3" xfId="41270"/>
    <cellStyle name="Обычный 8 4 2 4 3 3 4" xfId="41271"/>
    <cellStyle name="Обычный 8 4 2 4 3 3 4 2" xfId="41272"/>
    <cellStyle name="Обычный 8 4 2 4 3 3 5" xfId="41273"/>
    <cellStyle name="Обычный 8 4 2 4 3 3 6" xfId="41274"/>
    <cellStyle name="Обычный 8 4 2 4 3 4" xfId="41275"/>
    <cellStyle name="Обычный 8 4 2 4 3 4 2" xfId="41276"/>
    <cellStyle name="Обычный 8 4 2 4 3 4 3" xfId="41277"/>
    <cellStyle name="Обычный 8 4 2 4 3 5" xfId="41278"/>
    <cellStyle name="Обычный 8 4 2 4 3 5 2" xfId="41279"/>
    <cellStyle name="Обычный 8 4 2 4 3 5 3" xfId="41280"/>
    <cellStyle name="Обычный 8 4 2 4 3 6" xfId="41281"/>
    <cellStyle name="Обычный 8 4 2 4 3 6 2" xfId="41282"/>
    <cellStyle name="Обычный 8 4 2 4 3 7" xfId="41283"/>
    <cellStyle name="Обычный 8 4 2 4 3 8" xfId="41284"/>
    <cellStyle name="Обычный 8 4 2 4 4" xfId="41285"/>
    <cellStyle name="Обычный 8 4 2 4 4 2" xfId="41286"/>
    <cellStyle name="Обычный 8 4 2 4 4 2 2" xfId="41287"/>
    <cellStyle name="Обычный 8 4 2 4 4 2 2 2" xfId="41288"/>
    <cellStyle name="Обычный 8 4 2 4 4 2 2 3" xfId="41289"/>
    <cellStyle name="Обычный 8 4 2 4 4 2 3" xfId="41290"/>
    <cellStyle name="Обычный 8 4 2 4 4 2 3 2" xfId="41291"/>
    <cellStyle name="Обычный 8 4 2 4 4 2 3 3" xfId="41292"/>
    <cellStyle name="Обычный 8 4 2 4 4 2 4" xfId="41293"/>
    <cellStyle name="Обычный 8 4 2 4 4 2 4 2" xfId="41294"/>
    <cellStyle name="Обычный 8 4 2 4 4 2 5" xfId="41295"/>
    <cellStyle name="Обычный 8 4 2 4 4 2 6" xfId="41296"/>
    <cellStyle name="Обычный 8 4 2 4 4 3" xfId="41297"/>
    <cellStyle name="Обычный 8 4 2 4 4 3 2" xfId="41298"/>
    <cellStyle name="Обычный 8 4 2 4 4 3 3" xfId="41299"/>
    <cellStyle name="Обычный 8 4 2 4 4 4" xfId="41300"/>
    <cellStyle name="Обычный 8 4 2 4 4 4 2" xfId="41301"/>
    <cellStyle name="Обычный 8 4 2 4 4 4 3" xfId="41302"/>
    <cellStyle name="Обычный 8 4 2 4 4 5" xfId="41303"/>
    <cellStyle name="Обычный 8 4 2 4 4 5 2" xfId="41304"/>
    <cellStyle name="Обычный 8 4 2 4 4 6" xfId="41305"/>
    <cellStyle name="Обычный 8 4 2 4 4 7" xfId="41306"/>
    <cellStyle name="Обычный 8 4 2 4 5" xfId="41307"/>
    <cellStyle name="Обычный 8 4 2 4 5 2" xfId="41308"/>
    <cellStyle name="Обычный 8 4 2 4 5 2 2" xfId="41309"/>
    <cellStyle name="Обычный 8 4 2 4 5 2 3" xfId="41310"/>
    <cellStyle name="Обычный 8 4 2 4 5 3" xfId="41311"/>
    <cellStyle name="Обычный 8 4 2 4 5 3 2" xfId="41312"/>
    <cellStyle name="Обычный 8 4 2 4 5 3 3" xfId="41313"/>
    <cellStyle name="Обычный 8 4 2 4 5 4" xfId="41314"/>
    <cellStyle name="Обычный 8 4 2 4 5 4 2" xfId="41315"/>
    <cellStyle name="Обычный 8 4 2 4 5 5" xfId="41316"/>
    <cellStyle name="Обычный 8 4 2 4 5 6" xfId="41317"/>
    <cellStyle name="Обычный 8 4 2 4 6" xfId="41318"/>
    <cellStyle name="Обычный 8 4 2 4 6 2" xfId="41319"/>
    <cellStyle name="Обычный 8 4 2 4 6 3" xfId="41320"/>
    <cellStyle name="Обычный 8 4 2 4 7" xfId="41321"/>
    <cellStyle name="Обычный 8 4 2 4 7 2" xfId="41322"/>
    <cellStyle name="Обычный 8 4 2 4 7 3" xfId="41323"/>
    <cellStyle name="Обычный 8 4 2 4 8" xfId="41324"/>
    <cellStyle name="Обычный 8 4 2 4 8 2" xfId="41325"/>
    <cellStyle name="Обычный 8 4 2 4 9" xfId="41326"/>
    <cellStyle name="Обычный 8 4 2 5" xfId="41327"/>
    <cellStyle name="Обычный 8 4 2 5 2" xfId="41328"/>
    <cellStyle name="Обычный 8 4 2 5 2 2" xfId="41329"/>
    <cellStyle name="Обычный 8 4 2 5 2 2 2" xfId="41330"/>
    <cellStyle name="Обычный 8 4 2 5 2 2 2 2" xfId="41331"/>
    <cellStyle name="Обычный 8 4 2 5 2 2 2 2 2" xfId="41332"/>
    <cellStyle name="Обычный 8 4 2 5 2 2 2 2 3" xfId="41333"/>
    <cellStyle name="Обычный 8 4 2 5 2 2 2 3" xfId="41334"/>
    <cellStyle name="Обычный 8 4 2 5 2 2 2 3 2" xfId="41335"/>
    <cellStyle name="Обычный 8 4 2 5 2 2 2 3 3" xfId="41336"/>
    <cellStyle name="Обычный 8 4 2 5 2 2 2 4" xfId="41337"/>
    <cellStyle name="Обычный 8 4 2 5 2 2 2 4 2" xfId="41338"/>
    <cellStyle name="Обычный 8 4 2 5 2 2 2 5" xfId="41339"/>
    <cellStyle name="Обычный 8 4 2 5 2 2 2 6" xfId="41340"/>
    <cellStyle name="Обычный 8 4 2 5 2 2 3" xfId="41341"/>
    <cellStyle name="Обычный 8 4 2 5 2 2 3 2" xfId="41342"/>
    <cellStyle name="Обычный 8 4 2 5 2 2 3 3" xfId="41343"/>
    <cellStyle name="Обычный 8 4 2 5 2 2 4" xfId="41344"/>
    <cellStyle name="Обычный 8 4 2 5 2 2 4 2" xfId="41345"/>
    <cellStyle name="Обычный 8 4 2 5 2 2 4 3" xfId="41346"/>
    <cellStyle name="Обычный 8 4 2 5 2 2 5" xfId="41347"/>
    <cellStyle name="Обычный 8 4 2 5 2 2 5 2" xfId="41348"/>
    <cellStyle name="Обычный 8 4 2 5 2 2 6" xfId="41349"/>
    <cellStyle name="Обычный 8 4 2 5 2 2 7" xfId="41350"/>
    <cellStyle name="Обычный 8 4 2 5 2 3" xfId="41351"/>
    <cellStyle name="Обычный 8 4 2 5 2 3 2" xfId="41352"/>
    <cellStyle name="Обычный 8 4 2 5 2 3 2 2" xfId="41353"/>
    <cellStyle name="Обычный 8 4 2 5 2 3 2 3" xfId="41354"/>
    <cellStyle name="Обычный 8 4 2 5 2 3 3" xfId="41355"/>
    <cellStyle name="Обычный 8 4 2 5 2 3 3 2" xfId="41356"/>
    <cellStyle name="Обычный 8 4 2 5 2 3 3 3" xfId="41357"/>
    <cellStyle name="Обычный 8 4 2 5 2 3 4" xfId="41358"/>
    <cellStyle name="Обычный 8 4 2 5 2 3 4 2" xfId="41359"/>
    <cellStyle name="Обычный 8 4 2 5 2 3 5" xfId="41360"/>
    <cellStyle name="Обычный 8 4 2 5 2 3 6" xfId="41361"/>
    <cellStyle name="Обычный 8 4 2 5 2 4" xfId="41362"/>
    <cellStyle name="Обычный 8 4 2 5 2 4 2" xfId="41363"/>
    <cellStyle name="Обычный 8 4 2 5 2 4 3" xfId="41364"/>
    <cellStyle name="Обычный 8 4 2 5 2 5" xfId="41365"/>
    <cellStyle name="Обычный 8 4 2 5 2 5 2" xfId="41366"/>
    <cellStyle name="Обычный 8 4 2 5 2 5 3" xfId="41367"/>
    <cellStyle name="Обычный 8 4 2 5 2 6" xfId="41368"/>
    <cellStyle name="Обычный 8 4 2 5 2 6 2" xfId="41369"/>
    <cellStyle name="Обычный 8 4 2 5 2 7" xfId="41370"/>
    <cellStyle name="Обычный 8 4 2 5 2 8" xfId="41371"/>
    <cellStyle name="Обычный 8 4 2 5 3" xfId="41372"/>
    <cellStyle name="Обычный 8 4 2 5 3 2" xfId="41373"/>
    <cellStyle name="Обычный 8 4 2 5 3 2 2" xfId="41374"/>
    <cellStyle name="Обычный 8 4 2 5 3 2 2 2" xfId="41375"/>
    <cellStyle name="Обычный 8 4 2 5 3 2 2 3" xfId="41376"/>
    <cellStyle name="Обычный 8 4 2 5 3 2 3" xfId="41377"/>
    <cellStyle name="Обычный 8 4 2 5 3 2 3 2" xfId="41378"/>
    <cellStyle name="Обычный 8 4 2 5 3 2 3 3" xfId="41379"/>
    <cellStyle name="Обычный 8 4 2 5 3 2 4" xfId="41380"/>
    <cellStyle name="Обычный 8 4 2 5 3 2 4 2" xfId="41381"/>
    <cellStyle name="Обычный 8 4 2 5 3 2 5" xfId="41382"/>
    <cellStyle name="Обычный 8 4 2 5 3 2 6" xfId="41383"/>
    <cellStyle name="Обычный 8 4 2 5 3 3" xfId="41384"/>
    <cellStyle name="Обычный 8 4 2 5 3 3 2" xfId="41385"/>
    <cellStyle name="Обычный 8 4 2 5 3 3 3" xfId="41386"/>
    <cellStyle name="Обычный 8 4 2 5 3 4" xfId="41387"/>
    <cellStyle name="Обычный 8 4 2 5 3 4 2" xfId="41388"/>
    <cellStyle name="Обычный 8 4 2 5 3 4 3" xfId="41389"/>
    <cellStyle name="Обычный 8 4 2 5 3 5" xfId="41390"/>
    <cellStyle name="Обычный 8 4 2 5 3 5 2" xfId="41391"/>
    <cellStyle name="Обычный 8 4 2 5 3 6" xfId="41392"/>
    <cellStyle name="Обычный 8 4 2 5 3 7" xfId="41393"/>
    <cellStyle name="Обычный 8 4 2 5 4" xfId="41394"/>
    <cellStyle name="Обычный 8 4 2 5 4 2" xfId="41395"/>
    <cellStyle name="Обычный 8 4 2 5 4 2 2" xfId="41396"/>
    <cellStyle name="Обычный 8 4 2 5 4 2 3" xfId="41397"/>
    <cellStyle name="Обычный 8 4 2 5 4 3" xfId="41398"/>
    <cellStyle name="Обычный 8 4 2 5 4 3 2" xfId="41399"/>
    <cellStyle name="Обычный 8 4 2 5 4 3 3" xfId="41400"/>
    <cellStyle name="Обычный 8 4 2 5 4 4" xfId="41401"/>
    <cellStyle name="Обычный 8 4 2 5 4 4 2" xfId="41402"/>
    <cellStyle name="Обычный 8 4 2 5 4 5" xfId="41403"/>
    <cellStyle name="Обычный 8 4 2 5 4 6" xfId="41404"/>
    <cellStyle name="Обычный 8 4 2 5 5" xfId="41405"/>
    <cellStyle name="Обычный 8 4 2 5 5 2" xfId="41406"/>
    <cellStyle name="Обычный 8 4 2 5 5 3" xfId="41407"/>
    <cellStyle name="Обычный 8 4 2 5 6" xfId="41408"/>
    <cellStyle name="Обычный 8 4 2 5 6 2" xfId="41409"/>
    <cellStyle name="Обычный 8 4 2 5 6 3" xfId="41410"/>
    <cellStyle name="Обычный 8 4 2 5 7" xfId="41411"/>
    <cellStyle name="Обычный 8 4 2 5 7 2" xfId="41412"/>
    <cellStyle name="Обычный 8 4 2 5 8" xfId="41413"/>
    <cellStyle name="Обычный 8 4 2 5 9" xfId="41414"/>
    <cellStyle name="Обычный 8 4 2 6" xfId="41415"/>
    <cellStyle name="Обычный 8 4 2 6 2" xfId="41416"/>
    <cellStyle name="Обычный 8 4 2 6 2 2" xfId="41417"/>
    <cellStyle name="Обычный 8 4 2 6 2 2 2" xfId="41418"/>
    <cellStyle name="Обычный 8 4 2 6 2 2 2 2" xfId="41419"/>
    <cellStyle name="Обычный 8 4 2 6 2 2 2 3" xfId="41420"/>
    <cellStyle name="Обычный 8 4 2 6 2 2 3" xfId="41421"/>
    <cellStyle name="Обычный 8 4 2 6 2 2 3 2" xfId="41422"/>
    <cellStyle name="Обычный 8 4 2 6 2 2 3 3" xfId="41423"/>
    <cellStyle name="Обычный 8 4 2 6 2 2 4" xfId="41424"/>
    <cellStyle name="Обычный 8 4 2 6 2 2 4 2" xfId="41425"/>
    <cellStyle name="Обычный 8 4 2 6 2 2 5" xfId="41426"/>
    <cellStyle name="Обычный 8 4 2 6 2 2 6" xfId="41427"/>
    <cellStyle name="Обычный 8 4 2 6 2 3" xfId="41428"/>
    <cellStyle name="Обычный 8 4 2 6 2 3 2" xfId="41429"/>
    <cellStyle name="Обычный 8 4 2 6 2 3 3" xfId="41430"/>
    <cellStyle name="Обычный 8 4 2 6 2 4" xfId="41431"/>
    <cellStyle name="Обычный 8 4 2 6 2 4 2" xfId="41432"/>
    <cellStyle name="Обычный 8 4 2 6 2 4 3" xfId="41433"/>
    <cellStyle name="Обычный 8 4 2 6 2 5" xfId="41434"/>
    <cellStyle name="Обычный 8 4 2 6 2 5 2" xfId="41435"/>
    <cellStyle name="Обычный 8 4 2 6 2 6" xfId="41436"/>
    <cellStyle name="Обычный 8 4 2 6 2 7" xfId="41437"/>
    <cellStyle name="Обычный 8 4 2 6 3" xfId="41438"/>
    <cellStyle name="Обычный 8 4 2 6 3 2" xfId="41439"/>
    <cellStyle name="Обычный 8 4 2 6 3 2 2" xfId="41440"/>
    <cellStyle name="Обычный 8 4 2 6 3 2 3" xfId="41441"/>
    <cellStyle name="Обычный 8 4 2 6 3 3" xfId="41442"/>
    <cellStyle name="Обычный 8 4 2 6 3 3 2" xfId="41443"/>
    <cellStyle name="Обычный 8 4 2 6 3 3 3" xfId="41444"/>
    <cellStyle name="Обычный 8 4 2 6 3 4" xfId="41445"/>
    <cellStyle name="Обычный 8 4 2 6 3 4 2" xfId="41446"/>
    <cellStyle name="Обычный 8 4 2 6 3 5" xfId="41447"/>
    <cellStyle name="Обычный 8 4 2 6 3 6" xfId="41448"/>
    <cellStyle name="Обычный 8 4 2 6 4" xfId="41449"/>
    <cellStyle name="Обычный 8 4 2 6 4 2" xfId="41450"/>
    <cellStyle name="Обычный 8 4 2 6 4 3" xfId="41451"/>
    <cellStyle name="Обычный 8 4 2 6 5" xfId="41452"/>
    <cellStyle name="Обычный 8 4 2 6 5 2" xfId="41453"/>
    <cellStyle name="Обычный 8 4 2 6 5 3" xfId="41454"/>
    <cellStyle name="Обычный 8 4 2 6 6" xfId="41455"/>
    <cellStyle name="Обычный 8 4 2 6 6 2" xfId="41456"/>
    <cellStyle name="Обычный 8 4 2 6 7" xfId="41457"/>
    <cellStyle name="Обычный 8 4 2 6 8" xfId="41458"/>
    <cellStyle name="Обычный 8 4 2 7" xfId="41459"/>
    <cellStyle name="Обычный 8 4 2 7 2" xfId="41460"/>
    <cellStyle name="Обычный 8 4 2 7 2 2" xfId="41461"/>
    <cellStyle name="Обычный 8 4 2 7 2 2 2" xfId="41462"/>
    <cellStyle name="Обычный 8 4 2 7 2 2 3" xfId="41463"/>
    <cellStyle name="Обычный 8 4 2 7 2 3" xfId="41464"/>
    <cellStyle name="Обычный 8 4 2 7 2 3 2" xfId="41465"/>
    <cellStyle name="Обычный 8 4 2 7 2 3 3" xfId="41466"/>
    <cellStyle name="Обычный 8 4 2 7 2 4" xfId="41467"/>
    <cellStyle name="Обычный 8 4 2 7 2 4 2" xfId="41468"/>
    <cellStyle name="Обычный 8 4 2 7 2 5" xfId="41469"/>
    <cellStyle name="Обычный 8 4 2 7 2 6" xfId="41470"/>
    <cellStyle name="Обычный 8 4 2 7 3" xfId="41471"/>
    <cellStyle name="Обычный 8 4 2 7 3 2" xfId="41472"/>
    <cellStyle name="Обычный 8 4 2 7 3 3" xfId="41473"/>
    <cellStyle name="Обычный 8 4 2 7 4" xfId="41474"/>
    <cellStyle name="Обычный 8 4 2 7 4 2" xfId="41475"/>
    <cellStyle name="Обычный 8 4 2 7 4 3" xfId="41476"/>
    <cellStyle name="Обычный 8 4 2 7 5" xfId="41477"/>
    <cellStyle name="Обычный 8 4 2 7 5 2" xfId="41478"/>
    <cellStyle name="Обычный 8 4 2 7 6" xfId="41479"/>
    <cellStyle name="Обычный 8 4 2 7 7" xfId="41480"/>
    <cellStyle name="Обычный 8 4 2 8" xfId="41481"/>
    <cellStyle name="Обычный 8 4 2 8 2" xfId="41482"/>
    <cellStyle name="Обычный 8 4 2 8 2 2" xfId="41483"/>
    <cellStyle name="Обычный 8 4 2 8 2 3" xfId="41484"/>
    <cellStyle name="Обычный 8 4 2 8 3" xfId="41485"/>
    <cellStyle name="Обычный 8 4 2 8 3 2" xfId="41486"/>
    <cellStyle name="Обычный 8 4 2 8 3 3" xfId="41487"/>
    <cellStyle name="Обычный 8 4 2 8 4" xfId="41488"/>
    <cellStyle name="Обычный 8 4 2 8 4 2" xfId="41489"/>
    <cellStyle name="Обычный 8 4 2 8 5" xfId="41490"/>
    <cellStyle name="Обычный 8 4 2 8 6" xfId="41491"/>
    <cellStyle name="Обычный 8 4 2 9" xfId="41492"/>
    <cellStyle name="Обычный 8 4 2 9 2" xfId="41493"/>
    <cellStyle name="Обычный 8 4 2 9 3" xfId="41494"/>
    <cellStyle name="Обычный 8 4 3" xfId="41495"/>
    <cellStyle name="Обычный 8 4 3 10" xfId="41496"/>
    <cellStyle name="Обычный 8 4 3 2" xfId="41497"/>
    <cellStyle name="Обычный 8 4 3 2 2" xfId="41498"/>
    <cellStyle name="Обычный 8 4 3 2 2 2" xfId="41499"/>
    <cellStyle name="Обычный 8 4 3 2 2 2 2" xfId="41500"/>
    <cellStyle name="Обычный 8 4 3 2 2 2 2 2" xfId="41501"/>
    <cellStyle name="Обычный 8 4 3 2 2 2 2 2 2" xfId="41502"/>
    <cellStyle name="Обычный 8 4 3 2 2 2 2 2 3" xfId="41503"/>
    <cellStyle name="Обычный 8 4 3 2 2 2 2 3" xfId="41504"/>
    <cellStyle name="Обычный 8 4 3 2 2 2 2 3 2" xfId="41505"/>
    <cellStyle name="Обычный 8 4 3 2 2 2 2 3 3" xfId="41506"/>
    <cellStyle name="Обычный 8 4 3 2 2 2 2 4" xfId="41507"/>
    <cellStyle name="Обычный 8 4 3 2 2 2 2 4 2" xfId="41508"/>
    <cellStyle name="Обычный 8 4 3 2 2 2 2 5" xfId="41509"/>
    <cellStyle name="Обычный 8 4 3 2 2 2 2 6" xfId="41510"/>
    <cellStyle name="Обычный 8 4 3 2 2 2 3" xfId="41511"/>
    <cellStyle name="Обычный 8 4 3 2 2 2 3 2" xfId="41512"/>
    <cellStyle name="Обычный 8 4 3 2 2 2 3 3" xfId="41513"/>
    <cellStyle name="Обычный 8 4 3 2 2 2 4" xfId="41514"/>
    <cellStyle name="Обычный 8 4 3 2 2 2 4 2" xfId="41515"/>
    <cellStyle name="Обычный 8 4 3 2 2 2 4 3" xfId="41516"/>
    <cellStyle name="Обычный 8 4 3 2 2 2 5" xfId="41517"/>
    <cellStyle name="Обычный 8 4 3 2 2 2 5 2" xfId="41518"/>
    <cellStyle name="Обычный 8 4 3 2 2 2 6" xfId="41519"/>
    <cellStyle name="Обычный 8 4 3 2 2 2 7" xfId="41520"/>
    <cellStyle name="Обычный 8 4 3 2 2 3" xfId="41521"/>
    <cellStyle name="Обычный 8 4 3 2 2 3 2" xfId="41522"/>
    <cellStyle name="Обычный 8 4 3 2 2 3 2 2" xfId="41523"/>
    <cellStyle name="Обычный 8 4 3 2 2 3 2 3" xfId="41524"/>
    <cellStyle name="Обычный 8 4 3 2 2 3 3" xfId="41525"/>
    <cellStyle name="Обычный 8 4 3 2 2 3 3 2" xfId="41526"/>
    <cellStyle name="Обычный 8 4 3 2 2 3 3 3" xfId="41527"/>
    <cellStyle name="Обычный 8 4 3 2 2 3 4" xfId="41528"/>
    <cellStyle name="Обычный 8 4 3 2 2 3 4 2" xfId="41529"/>
    <cellStyle name="Обычный 8 4 3 2 2 3 5" xfId="41530"/>
    <cellStyle name="Обычный 8 4 3 2 2 3 6" xfId="41531"/>
    <cellStyle name="Обычный 8 4 3 2 2 4" xfId="41532"/>
    <cellStyle name="Обычный 8 4 3 2 2 4 2" xfId="41533"/>
    <cellStyle name="Обычный 8 4 3 2 2 4 3" xfId="41534"/>
    <cellStyle name="Обычный 8 4 3 2 2 5" xfId="41535"/>
    <cellStyle name="Обычный 8 4 3 2 2 5 2" xfId="41536"/>
    <cellStyle name="Обычный 8 4 3 2 2 5 3" xfId="41537"/>
    <cellStyle name="Обычный 8 4 3 2 2 6" xfId="41538"/>
    <cellStyle name="Обычный 8 4 3 2 2 6 2" xfId="41539"/>
    <cellStyle name="Обычный 8 4 3 2 2 7" xfId="41540"/>
    <cellStyle name="Обычный 8 4 3 2 2 8" xfId="41541"/>
    <cellStyle name="Обычный 8 4 3 2 3" xfId="41542"/>
    <cellStyle name="Обычный 8 4 3 2 3 2" xfId="41543"/>
    <cellStyle name="Обычный 8 4 3 2 3 2 2" xfId="41544"/>
    <cellStyle name="Обычный 8 4 3 2 3 2 2 2" xfId="41545"/>
    <cellStyle name="Обычный 8 4 3 2 3 2 2 3" xfId="41546"/>
    <cellStyle name="Обычный 8 4 3 2 3 2 3" xfId="41547"/>
    <cellStyle name="Обычный 8 4 3 2 3 2 3 2" xfId="41548"/>
    <cellStyle name="Обычный 8 4 3 2 3 2 3 3" xfId="41549"/>
    <cellStyle name="Обычный 8 4 3 2 3 2 4" xfId="41550"/>
    <cellStyle name="Обычный 8 4 3 2 3 2 4 2" xfId="41551"/>
    <cellStyle name="Обычный 8 4 3 2 3 2 5" xfId="41552"/>
    <cellStyle name="Обычный 8 4 3 2 3 2 6" xfId="41553"/>
    <cellStyle name="Обычный 8 4 3 2 3 3" xfId="41554"/>
    <cellStyle name="Обычный 8 4 3 2 3 3 2" xfId="41555"/>
    <cellStyle name="Обычный 8 4 3 2 3 3 3" xfId="41556"/>
    <cellStyle name="Обычный 8 4 3 2 3 4" xfId="41557"/>
    <cellStyle name="Обычный 8 4 3 2 3 4 2" xfId="41558"/>
    <cellStyle name="Обычный 8 4 3 2 3 4 3" xfId="41559"/>
    <cellStyle name="Обычный 8 4 3 2 3 5" xfId="41560"/>
    <cellStyle name="Обычный 8 4 3 2 3 5 2" xfId="41561"/>
    <cellStyle name="Обычный 8 4 3 2 3 6" xfId="41562"/>
    <cellStyle name="Обычный 8 4 3 2 3 7" xfId="41563"/>
    <cellStyle name="Обычный 8 4 3 2 4" xfId="41564"/>
    <cellStyle name="Обычный 8 4 3 2 4 2" xfId="41565"/>
    <cellStyle name="Обычный 8 4 3 2 4 2 2" xfId="41566"/>
    <cellStyle name="Обычный 8 4 3 2 4 2 3" xfId="41567"/>
    <cellStyle name="Обычный 8 4 3 2 4 3" xfId="41568"/>
    <cellStyle name="Обычный 8 4 3 2 4 3 2" xfId="41569"/>
    <cellStyle name="Обычный 8 4 3 2 4 3 3" xfId="41570"/>
    <cellStyle name="Обычный 8 4 3 2 4 4" xfId="41571"/>
    <cellStyle name="Обычный 8 4 3 2 4 4 2" xfId="41572"/>
    <cellStyle name="Обычный 8 4 3 2 4 5" xfId="41573"/>
    <cellStyle name="Обычный 8 4 3 2 4 6" xfId="41574"/>
    <cellStyle name="Обычный 8 4 3 2 5" xfId="41575"/>
    <cellStyle name="Обычный 8 4 3 2 5 2" xfId="41576"/>
    <cellStyle name="Обычный 8 4 3 2 5 3" xfId="41577"/>
    <cellStyle name="Обычный 8 4 3 2 6" xfId="41578"/>
    <cellStyle name="Обычный 8 4 3 2 6 2" xfId="41579"/>
    <cellStyle name="Обычный 8 4 3 2 6 3" xfId="41580"/>
    <cellStyle name="Обычный 8 4 3 2 7" xfId="41581"/>
    <cellStyle name="Обычный 8 4 3 2 7 2" xfId="41582"/>
    <cellStyle name="Обычный 8 4 3 2 8" xfId="41583"/>
    <cellStyle name="Обычный 8 4 3 2 9" xfId="41584"/>
    <cellStyle name="Обычный 8 4 3 3" xfId="41585"/>
    <cellStyle name="Обычный 8 4 3 3 2" xfId="41586"/>
    <cellStyle name="Обычный 8 4 3 3 2 2" xfId="41587"/>
    <cellStyle name="Обычный 8 4 3 3 2 2 2" xfId="41588"/>
    <cellStyle name="Обычный 8 4 3 3 2 2 2 2" xfId="41589"/>
    <cellStyle name="Обычный 8 4 3 3 2 2 2 3" xfId="41590"/>
    <cellStyle name="Обычный 8 4 3 3 2 2 3" xfId="41591"/>
    <cellStyle name="Обычный 8 4 3 3 2 2 3 2" xfId="41592"/>
    <cellStyle name="Обычный 8 4 3 3 2 2 3 3" xfId="41593"/>
    <cellStyle name="Обычный 8 4 3 3 2 2 4" xfId="41594"/>
    <cellStyle name="Обычный 8 4 3 3 2 2 4 2" xfId="41595"/>
    <cellStyle name="Обычный 8 4 3 3 2 2 5" xfId="41596"/>
    <cellStyle name="Обычный 8 4 3 3 2 2 6" xfId="41597"/>
    <cellStyle name="Обычный 8 4 3 3 2 3" xfId="41598"/>
    <cellStyle name="Обычный 8 4 3 3 2 3 2" xfId="41599"/>
    <cellStyle name="Обычный 8 4 3 3 2 3 3" xfId="41600"/>
    <cellStyle name="Обычный 8 4 3 3 2 4" xfId="41601"/>
    <cellStyle name="Обычный 8 4 3 3 2 4 2" xfId="41602"/>
    <cellStyle name="Обычный 8 4 3 3 2 4 3" xfId="41603"/>
    <cellStyle name="Обычный 8 4 3 3 2 5" xfId="41604"/>
    <cellStyle name="Обычный 8 4 3 3 2 5 2" xfId="41605"/>
    <cellStyle name="Обычный 8 4 3 3 2 6" xfId="41606"/>
    <cellStyle name="Обычный 8 4 3 3 2 7" xfId="41607"/>
    <cellStyle name="Обычный 8 4 3 3 3" xfId="41608"/>
    <cellStyle name="Обычный 8 4 3 3 3 2" xfId="41609"/>
    <cellStyle name="Обычный 8 4 3 3 3 2 2" xfId="41610"/>
    <cellStyle name="Обычный 8 4 3 3 3 2 3" xfId="41611"/>
    <cellStyle name="Обычный 8 4 3 3 3 3" xfId="41612"/>
    <cellStyle name="Обычный 8 4 3 3 3 3 2" xfId="41613"/>
    <cellStyle name="Обычный 8 4 3 3 3 3 3" xfId="41614"/>
    <cellStyle name="Обычный 8 4 3 3 3 4" xfId="41615"/>
    <cellStyle name="Обычный 8 4 3 3 3 4 2" xfId="41616"/>
    <cellStyle name="Обычный 8 4 3 3 3 5" xfId="41617"/>
    <cellStyle name="Обычный 8 4 3 3 3 6" xfId="41618"/>
    <cellStyle name="Обычный 8 4 3 3 4" xfId="41619"/>
    <cellStyle name="Обычный 8 4 3 3 4 2" xfId="41620"/>
    <cellStyle name="Обычный 8 4 3 3 4 3" xfId="41621"/>
    <cellStyle name="Обычный 8 4 3 3 5" xfId="41622"/>
    <cellStyle name="Обычный 8 4 3 3 5 2" xfId="41623"/>
    <cellStyle name="Обычный 8 4 3 3 5 3" xfId="41624"/>
    <cellStyle name="Обычный 8 4 3 3 6" xfId="41625"/>
    <cellStyle name="Обычный 8 4 3 3 6 2" xfId="41626"/>
    <cellStyle name="Обычный 8 4 3 3 7" xfId="41627"/>
    <cellStyle name="Обычный 8 4 3 3 8" xfId="41628"/>
    <cellStyle name="Обычный 8 4 3 4" xfId="41629"/>
    <cellStyle name="Обычный 8 4 3 4 2" xfId="41630"/>
    <cellStyle name="Обычный 8 4 3 4 2 2" xfId="41631"/>
    <cellStyle name="Обычный 8 4 3 4 2 2 2" xfId="41632"/>
    <cellStyle name="Обычный 8 4 3 4 2 2 3" xfId="41633"/>
    <cellStyle name="Обычный 8 4 3 4 2 3" xfId="41634"/>
    <cellStyle name="Обычный 8 4 3 4 2 3 2" xfId="41635"/>
    <cellStyle name="Обычный 8 4 3 4 2 3 3" xfId="41636"/>
    <cellStyle name="Обычный 8 4 3 4 2 4" xfId="41637"/>
    <cellStyle name="Обычный 8 4 3 4 2 4 2" xfId="41638"/>
    <cellStyle name="Обычный 8 4 3 4 2 5" xfId="41639"/>
    <cellStyle name="Обычный 8 4 3 4 2 6" xfId="41640"/>
    <cellStyle name="Обычный 8 4 3 4 3" xfId="41641"/>
    <cellStyle name="Обычный 8 4 3 4 3 2" xfId="41642"/>
    <cellStyle name="Обычный 8 4 3 4 3 3" xfId="41643"/>
    <cellStyle name="Обычный 8 4 3 4 4" xfId="41644"/>
    <cellStyle name="Обычный 8 4 3 4 4 2" xfId="41645"/>
    <cellStyle name="Обычный 8 4 3 4 4 3" xfId="41646"/>
    <cellStyle name="Обычный 8 4 3 4 5" xfId="41647"/>
    <cellStyle name="Обычный 8 4 3 4 5 2" xfId="41648"/>
    <cellStyle name="Обычный 8 4 3 4 6" xfId="41649"/>
    <cellStyle name="Обычный 8 4 3 4 7" xfId="41650"/>
    <cellStyle name="Обычный 8 4 3 5" xfId="41651"/>
    <cellStyle name="Обычный 8 4 3 5 2" xfId="41652"/>
    <cellStyle name="Обычный 8 4 3 5 2 2" xfId="41653"/>
    <cellStyle name="Обычный 8 4 3 5 2 3" xfId="41654"/>
    <cellStyle name="Обычный 8 4 3 5 3" xfId="41655"/>
    <cellStyle name="Обычный 8 4 3 5 3 2" xfId="41656"/>
    <cellStyle name="Обычный 8 4 3 5 3 3" xfId="41657"/>
    <cellStyle name="Обычный 8 4 3 5 4" xfId="41658"/>
    <cellStyle name="Обычный 8 4 3 5 4 2" xfId="41659"/>
    <cellStyle name="Обычный 8 4 3 5 5" xfId="41660"/>
    <cellStyle name="Обычный 8 4 3 5 6" xfId="41661"/>
    <cellStyle name="Обычный 8 4 3 6" xfId="41662"/>
    <cellStyle name="Обычный 8 4 3 6 2" xfId="41663"/>
    <cellStyle name="Обычный 8 4 3 6 3" xfId="41664"/>
    <cellStyle name="Обычный 8 4 3 7" xfId="41665"/>
    <cellStyle name="Обычный 8 4 3 7 2" xfId="41666"/>
    <cellStyle name="Обычный 8 4 3 7 3" xfId="41667"/>
    <cellStyle name="Обычный 8 4 3 8" xfId="41668"/>
    <cellStyle name="Обычный 8 4 3 8 2" xfId="41669"/>
    <cellStyle name="Обычный 8 4 3 9" xfId="41670"/>
    <cellStyle name="Обычный 8 4 4" xfId="41671"/>
    <cellStyle name="Обычный 8 4 4 10" xfId="41672"/>
    <cellStyle name="Обычный 8 4 4 2" xfId="41673"/>
    <cellStyle name="Обычный 8 4 4 2 2" xfId="41674"/>
    <cellStyle name="Обычный 8 4 4 2 2 2" xfId="41675"/>
    <cellStyle name="Обычный 8 4 4 2 2 2 2" xfId="41676"/>
    <cellStyle name="Обычный 8 4 4 2 2 2 2 2" xfId="41677"/>
    <cellStyle name="Обычный 8 4 4 2 2 2 2 2 2" xfId="41678"/>
    <cellStyle name="Обычный 8 4 4 2 2 2 2 2 3" xfId="41679"/>
    <cellStyle name="Обычный 8 4 4 2 2 2 2 3" xfId="41680"/>
    <cellStyle name="Обычный 8 4 4 2 2 2 2 3 2" xfId="41681"/>
    <cellStyle name="Обычный 8 4 4 2 2 2 2 3 3" xfId="41682"/>
    <cellStyle name="Обычный 8 4 4 2 2 2 2 4" xfId="41683"/>
    <cellStyle name="Обычный 8 4 4 2 2 2 2 4 2" xfId="41684"/>
    <cellStyle name="Обычный 8 4 4 2 2 2 2 5" xfId="41685"/>
    <cellStyle name="Обычный 8 4 4 2 2 2 2 6" xfId="41686"/>
    <cellStyle name="Обычный 8 4 4 2 2 2 3" xfId="41687"/>
    <cellStyle name="Обычный 8 4 4 2 2 2 3 2" xfId="41688"/>
    <cellStyle name="Обычный 8 4 4 2 2 2 3 3" xfId="41689"/>
    <cellStyle name="Обычный 8 4 4 2 2 2 4" xfId="41690"/>
    <cellStyle name="Обычный 8 4 4 2 2 2 4 2" xfId="41691"/>
    <cellStyle name="Обычный 8 4 4 2 2 2 4 3" xfId="41692"/>
    <cellStyle name="Обычный 8 4 4 2 2 2 5" xfId="41693"/>
    <cellStyle name="Обычный 8 4 4 2 2 2 5 2" xfId="41694"/>
    <cellStyle name="Обычный 8 4 4 2 2 2 6" xfId="41695"/>
    <cellStyle name="Обычный 8 4 4 2 2 2 7" xfId="41696"/>
    <cellStyle name="Обычный 8 4 4 2 2 3" xfId="41697"/>
    <cellStyle name="Обычный 8 4 4 2 2 3 2" xfId="41698"/>
    <cellStyle name="Обычный 8 4 4 2 2 3 2 2" xfId="41699"/>
    <cellStyle name="Обычный 8 4 4 2 2 3 2 3" xfId="41700"/>
    <cellStyle name="Обычный 8 4 4 2 2 3 3" xfId="41701"/>
    <cellStyle name="Обычный 8 4 4 2 2 3 3 2" xfId="41702"/>
    <cellStyle name="Обычный 8 4 4 2 2 3 3 3" xfId="41703"/>
    <cellStyle name="Обычный 8 4 4 2 2 3 4" xfId="41704"/>
    <cellStyle name="Обычный 8 4 4 2 2 3 4 2" xfId="41705"/>
    <cellStyle name="Обычный 8 4 4 2 2 3 5" xfId="41706"/>
    <cellStyle name="Обычный 8 4 4 2 2 3 6" xfId="41707"/>
    <cellStyle name="Обычный 8 4 4 2 2 4" xfId="41708"/>
    <cellStyle name="Обычный 8 4 4 2 2 4 2" xfId="41709"/>
    <cellStyle name="Обычный 8 4 4 2 2 4 3" xfId="41710"/>
    <cellStyle name="Обычный 8 4 4 2 2 5" xfId="41711"/>
    <cellStyle name="Обычный 8 4 4 2 2 5 2" xfId="41712"/>
    <cellStyle name="Обычный 8 4 4 2 2 5 3" xfId="41713"/>
    <cellStyle name="Обычный 8 4 4 2 2 6" xfId="41714"/>
    <cellStyle name="Обычный 8 4 4 2 2 6 2" xfId="41715"/>
    <cellStyle name="Обычный 8 4 4 2 2 7" xfId="41716"/>
    <cellStyle name="Обычный 8 4 4 2 2 8" xfId="41717"/>
    <cellStyle name="Обычный 8 4 4 2 3" xfId="41718"/>
    <cellStyle name="Обычный 8 4 4 2 3 2" xfId="41719"/>
    <cellStyle name="Обычный 8 4 4 2 3 2 2" xfId="41720"/>
    <cellStyle name="Обычный 8 4 4 2 3 2 2 2" xfId="41721"/>
    <cellStyle name="Обычный 8 4 4 2 3 2 2 3" xfId="41722"/>
    <cellStyle name="Обычный 8 4 4 2 3 2 3" xfId="41723"/>
    <cellStyle name="Обычный 8 4 4 2 3 2 3 2" xfId="41724"/>
    <cellStyle name="Обычный 8 4 4 2 3 2 3 3" xfId="41725"/>
    <cellStyle name="Обычный 8 4 4 2 3 2 4" xfId="41726"/>
    <cellStyle name="Обычный 8 4 4 2 3 2 4 2" xfId="41727"/>
    <cellStyle name="Обычный 8 4 4 2 3 2 5" xfId="41728"/>
    <cellStyle name="Обычный 8 4 4 2 3 2 6" xfId="41729"/>
    <cellStyle name="Обычный 8 4 4 2 3 3" xfId="41730"/>
    <cellStyle name="Обычный 8 4 4 2 3 3 2" xfId="41731"/>
    <cellStyle name="Обычный 8 4 4 2 3 3 3" xfId="41732"/>
    <cellStyle name="Обычный 8 4 4 2 3 4" xfId="41733"/>
    <cellStyle name="Обычный 8 4 4 2 3 4 2" xfId="41734"/>
    <cellStyle name="Обычный 8 4 4 2 3 4 3" xfId="41735"/>
    <cellStyle name="Обычный 8 4 4 2 3 5" xfId="41736"/>
    <cellStyle name="Обычный 8 4 4 2 3 5 2" xfId="41737"/>
    <cellStyle name="Обычный 8 4 4 2 3 6" xfId="41738"/>
    <cellStyle name="Обычный 8 4 4 2 3 7" xfId="41739"/>
    <cellStyle name="Обычный 8 4 4 2 4" xfId="41740"/>
    <cellStyle name="Обычный 8 4 4 2 4 2" xfId="41741"/>
    <cellStyle name="Обычный 8 4 4 2 4 2 2" xfId="41742"/>
    <cellStyle name="Обычный 8 4 4 2 4 2 3" xfId="41743"/>
    <cellStyle name="Обычный 8 4 4 2 4 3" xfId="41744"/>
    <cellStyle name="Обычный 8 4 4 2 4 3 2" xfId="41745"/>
    <cellStyle name="Обычный 8 4 4 2 4 3 3" xfId="41746"/>
    <cellStyle name="Обычный 8 4 4 2 4 4" xfId="41747"/>
    <cellStyle name="Обычный 8 4 4 2 4 4 2" xfId="41748"/>
    <cellStyle name="Обычный 8 4 4 2 4 5" xfId="41749"/>
    <cellStyle name="Обычный 8 4 4 2 4 6" xfId="41750"/>
    <cellStyle name="Обычный 8 4 4 2 5" xfId="41751"/>
    <cellStyle name="Обычный 8 4 4 2 5 2" xfId="41752"/>
    <cellStyle name="Обычный 8 4 4 2 5 3" xfId="41753"/>
    <cellStyle name="Обычный 8 4 4 2 6" xfId="41754"/>
    <cellStyle name="Обычный 8 4 4 2 6 2" xfId="41755"/>
    <cellStyle name="Обычный 8 4 4 2 6 3" xfId="41756"/>
    <cellStyle name="Обычный 8 4 4 2 7" xfId="41757"/>
    <cellStyle name="Обычный 8 4 4 2 7 2" xfId="41758"/>
    <cellStyle name="Обычный 8 4 4 2 8" xfId="41759"/>
    <cellStyle name="Обычный 8 4 4 2 9" xfId="41760"/>
    <cellStyle name="Обычный 8 4 4 3" xfId="41761"/>
    <cellStyle name="Обычный 8 4 4 3 2" xfId="41762"/>
    <cellStyle name="Обычный 8 4 4 3 2 2" xfId="41763"/>
    <cellStyle name="Обычный 8 4 4 3 2 2 2" xfId="41764"/>
    <cellStyle name="Обычный 8 4 4 3 2 2 2 2" xfId="41765"/>
    <cellStyle name="Обычный 8 4 4 3 2 2 2 3" xfId="41766"/>
    <cellStyle name="Обычный 8 4 4 3 2 2 3" xfId="41767"/>
    <cellStyle name="Обычный 8 4 4 3 2 2 3 2" xfId="41768"/>
    <cellStyle name="Обычный 8 4 4 3 2 2 3 3" xfId="41769"/>
    <cellStyle name="Обычный 8 4 4 3 2 2 4" xfId="41770"/>
    <cellStyle name="Обычный 8 4 4 3 2 2 4 2" xfId="41771"/>
    <cellStyle name="Обычный 8 4 4 3 2 2 5" xfId="41772"/>
    <cellStyle name="Обычный 8 4 4 3 2 2 6" xfId="41773"/>
    <cellStyle name="Обычный 8 4 4 3 2 3" xfId="41774"/>
    <cellStyle name="Обычный 8 4 4 3 2 3 2" xfId="41775"/>
    <cellStyle name="Обычный 8 4 4 3 2 3 3" xfId="41776"/>
    <cellStyle name="Обычный 8 4 4 3 2 4" xfId="41777"/>
    <cellStyle name="Обычный 8 4 4 3 2 4 2" xfId="41778"/>
    <cellStyle name="Обычный 8 4 4 3 2 4 3" xfId="41779"/>
    <cellStyle name="Обычный 8 4 4 3 2 5" xfId="41780"/>
    <cellStyle name="Обычный 8 4 4 3 2 5 2" xfId="41781"/>
    <cellStyle name="Обычный 8 4 4 3 2 6" xfId="41782"/>
    <cellStyle name="Обычный 8 4 4 3 2 7" xfId="41783"/>
    <cellStyle name="Обычный 8 4 4 3 3" xfId="41784"/>
    <cellStyle name="Обычный 8 4 4 3 3 2" xfId="41785"/>
    <cellStyle name="Обычный 8 4 4 3 3 2 2" xfId="41786"/>
    <cellStyle name="Обычный 8 4 4 3 3 2 3" xfId="41787"/>
    <cellStyle name="Обычный 8 4 4 3 3 3" xfId="41788"/>
    <cellStyle name="Обычный 8 4 4 3 3 3 2" xfId="41789"/>
    <cellStyle name="Обычный 8 4 4 3 3 3 3" xfId="41790"/>
    <cellStyle name="Обычный 8 4 4 3 3 4" xfId="41791"/>
    <cellStyle name="Обычный 8 4 4 3 3 4 2" xfId="41792"/>
    <cellStyle name="Обычный 8 4 4 3 3 5" xfId="41793"/>
    <cellStyle name="Обычный 8 4 4 3 3 6" xfId="41794"/>
    <cellStyle name="Обычный 8 4 4 3 4" xfId="41795"/>
    <cellStyle name="Обычный 8 4 4 3 4 2" xfId="41796"/>
    <cellStyle name="Обычный 8 4 4 3 4 3" xfId="41797"/>
    <cellStyle name="Обычный 8 4 4 3 5" xfId="41798"/>
    <cellStyle name="Обычный 8 4 4 3 5 2" xfId="41799"/>
    <cellStyle name="Обычный 8 4 4 3 5 3" xfId="41800"/>
    <cellStyle name="Обычный 8 4 4 3 6" xfId="41801"/>
    <cellStyle name="Обычный 8 4 4 3 6 2" xfId="41802"/>
    <cellStyle name="Обычный 8 4 4 3 7" xfId="41803"/>
    <cellStyle name="Обычный 8 4 4 3 8" xfId="41804"/>
    <cellStyle name="Обычный 8 4 4 4" xfId="41805"/>
    <cellStyle name="Обычный 8 4 4 4 2" xfId="41806"/>
    <cellStyle name="Обычный 8 4 4 4 2 2" xfId="41807"/>
    <cellStyle name="Обычный 8 4 4 4 2 2 2" xfId="41808"/>
    <cellStyle name="Обычный 8 4 4 4 2 2 3" xfId="41809"/>
    <cellStyle name="Обычный 8 4 4 4 2 3" xfId="41810"/>
    <cellStyle name="Обычный 8 4 4 4 2 3 2" xfId="41811"/>
    <cellStyle name="Обычный 8 4 4 4 2 3 3" xfId="41812"/>
    <cellStyle name="Обычный 8 4 4 4 2 4" xfId="41813"/>
    <cellStyle name="Обычный 8 4 4 4 2 4 2" xfId="41814"/>
    <cellStyle name="Обычный 8 4 4 4 2 5" xfId="41815"/>
    <cellStyle name="Обычный 8 4 4 4 2 6" xfId="41816"/>
    <cellStyle name="Обычный 8 4 4 4 3" xfId="41817"/>
    <cellStyle name="Обычный 8 4 4 4 3 2" xfId="41818"/>
    <cellStyle name="Обычный 8 4 4 4 3 3" xfId="41819"/>
    <cellStyle name="Обычный 8 4 4 4 4" xfId="41820"/>
    <cellStyle name="Обычный 8 4 4 4 4 2" xfId="41821"/>
    <cellStyle name="Обычный 8 4 4 4 4 3" xfId="41822"/>
    <cellStyle name="Обычный 8 4 4 4 5" xfId="41823"/>
    <cellStyle name="Обычный 8 4 4 4 5 2" xfId="41824"/>
    <cellStyle name="Обычный 8 4 4 4 6" xfId="41825"/>
    <cellStyle name="Обычный 8 4 4 4 7" xfId="41826"/>
    <cellStyle name="Обычный 8 4 4 5" xfId="41827"/>
    <cellStyle name="Обычный 8 4 4 5 2" xfId="41828"/>
    <cellStyle name="Обычный 8 4 4 5 2 2" xfId="41829"/>
    <cellStyle name="Обычный 8 4 4 5 2 3" xfId="41830"/>
    <cellStyle name="Обычный 8 4 4 5 3" xfId="41831"/>
    <cellStyle name="Обычный 8 4 4 5 3 2" xfId="41832"/>
    <cellStyle name="Обычный 8 4 4 5 3 3" xfId="41833"/>
    <cellStyle name="Обычный 8 4 4 5 4" xfId="41834"/>
    <cellStyle name="Обычный 8 4 4 5 4 2" xfId="41835"/>
    <cellStyle name="Обычный 8 4 4 5 5" xfId="41836"/>
    <cellStyle name="Обычный 8 4 4 5 6" xfId="41837"/>
    <cellStyle name="Обычный 8 4 4 6" xfId="41838"/>
    <cellStyle name="Обычный 8 4 4 6 2" xfId="41839"/>
    <cellStyle name="Обычный 8 4 4 6 3" xfId="41840"/>
    <cellStyle name="Обычный 8 4 4 7" xfId="41841"/>
    <cellStyle name="Обычный 8 4 4 7 2" xfId="41842"/>
    <cellStyle name="Обычный 8 4 4 7 3" xfId="41843"/>
    <cellStyle name="Обычный 8 4 4 8" xfId="41844"/>
    <cellStyle name="Обычный 8 4 4 8 2" xfId="41845"/>
    <cellStyle name="Обычный 8 4 4 9" xfId="41846"/>
    <cellStyle name="Обычный 8 4 5" xfId="41847"/>
    <cellStyle name="Обычный 8 4 5 10" xfId="41848"/>
    <cellStyle name="Обычный 8 4 5 2" xfId="41849"/>
    <cellStyle name="Обычный 8 4 5 2 2" xfId="41850"/>
    <cellStyle name="Обычный 8 4 5 2 2 2" xfId="41851"/>
    <cellStyle name="Обычный 8 4 5 2 2 2 2" xfId="41852"/>
    <cellStyle name="Обычный 8 4 5 2 2 2 2 2" xfId="41853"/>
    <cellStyle name="Обычный 8 4 5 2 2 2 2 2 2" xfId="41854"/>
    <cellStyle name="Обычный 8 4 5 2 2 2 2 2 3" xfId="41855"/>
    <cellStyle name="Обычный 8 4 5 2 2 2 2 3" xfId="41856"/>
    <cellStyle name="Обычный 8 4 5 2 2 2 2 3 2" xfId="41857"/>
    <cellStyle name="Обычный 8 4 5 2 2 2 2 3 3" xfId="41858"/>
    <cellStyle name="Обычный 8 4 5 2 2 2 2 4" xfId="41859"/>
    <cellStyle name="Обычный 8 4 5 2 2 2 2 4 2" xfId="41860"/>
    <cellStyle name="Обычный 8 4 5 2 2 2 2 5" xfId="41861"/>
    <cellStyle name="Обычный 8 4 5 2 2 2 2 6" xfId="41862"/>
    <cellStyle name="Обычный 8 4 5 2 2 2 3" xfId="41863"/>
    <cellStyle name="Обычный 8 4 5 2 2 2 3 2" xfId="41864"/>
    <cellStyle name="Обычный 8 4 5 2 2 2 3 3" xfId="41865"/>
    <cellStyle name="Обычный 8 4 5 2 2 2 4" xfId="41866"/>
    <cellStyle name="Обычный 8 4 5 2 2 2 4 2" xfId="41867"/>
    <cellStyle name="Обычный 8 4 5 2 2 2 4 3" xfId="41868"/>
    <cellStyle name="Обычный 8 4 5 2 2 2 5" xfId="41869"/>
    <cellStyle name="Обычный 8 4 5 2 2 2 5 2" xfId="41870"/>
    <cellStyle name="Обычный 8 4 5 2 2 2 6" xfId="41871"/>
    <cellStyle name="Обычный 8 4 5 2 2 2 7" xfId="41872"/>
    <cellStyle name="Обычный 8 4 5 2 2 3" xfId="41873"/>
    <cellStyle name="Обычный 8 4 5 2 2 3 2" xfId="41874"/>
    <cellStyle name="Обычный 8 4 5 2 2 3 2 2" xfId="41875"/>
    <cellStyle name="Обычный 8 4 5 2 2 3 2 3" xfId="41876"/>
    <cellStyle name="Обычный 8 4 5 2 2 3 3" xfId="41877"/>
    <cellStyle name="Обычный 8 4 5 2 2 3 3 2" xfId="41878"/>
    <cellStyle name="Обычный 8 4 5 2 2 3 3 3" xfId="41879"/>
    <cellStyle name="Обычный 8 4 5 2 2 3 4" xfId="41880"/>
    <cellStyle name="Обычный 8 4 5 2 2 3 4 2" xfId="41881"/>
    <cellStyle name="Обычный 8 4 5 2 2 3 5" xfId="41882"/>
    <cellStyle name="Обычный 8 4 5 2 2 3 6" xfId="41883"/>
    <cellStyle name="Обычный 8 4 5 2 2 4" xfId="41884"/>
    <cellStyle name="Обычный 8 4 5 2 2 4 2" xfId="41885"/>
    <cellStyle name="Обычный 8 4 5 2 2 4 3" xfId="41886"/>
    <cellStyle name="Обычный 8 4 5 2 2 5" xfId="41887"/>
    <cellStyle name="Обычный 8 4 5 2 2 5 2" xfId="41888"/>
    <cellStyle name="Обычный 8 4 5 2 2 5 3" xfId="41889"/>
    <cellStyle name="Обычный 8 4 5 2 2 6" xfId="41890"/>
    <cellStyle name="Обычный 8 4 5 2 2 6 2" xfId="41891"/>
    <cellStyle name="Обычный 8 4 5 2 2 7" xfId="41892"/>
    <cellStyle name="Обычный 8 4 5 2 2 8" xfId="41893"/>
    <cellStyle name="Обычный 8 4 5 2 3" xfId="41894"/>
    <cellStyle name="Обычный 8 4 5 2 3 2" xfId="41895"/>
    <cellStyle name="Обычный 8 4 5 2 3 2 2" xfId="41896"/>
    <cellStyle name="Обычный 8 4 5 2 3 2 2 2" xfId="41897"/>
    <cellStyle name="Обычный 8 4 5 2 3 2 2 3" xfId="41898"/>
    <cellStyle name="Обычный 8 4 5 2 3 2 3" xfId="41899"/>
    <cellStyle name="Обычный 8 4 5 2 3 2 3 2" xfId="41900"/>
    <cellStyle name="Обычный 8 4 5 2 3 2 3 3" xfId="41901"/>
    <cellStyle name="Обычный 8 4 5 2 3 2 4" xfId="41902"/>
    <cellStyle name="Обычный 8 4 5 2 3 2 4 2" xfId="41903"/>
    <cellStyle name="Обычный 8 4 5 2 3 2 5" xfId="41904"/>
    <cellStyle name="Обычный 8 4 5 2 3 2 6" xfId="41905"/>
    <cellStyle name="Обычный 8 4 5 2 3 3" xfId="41906"/>
    <cellStyle name="Обычный 8 4 5 2 3 3 2" xfId="41907"/>
    <cellStyle name="Обычный 8 4 5 2 3 3 3" xfId="41908"/>
    <cellStyle name="Обычный 8 4 5 2 3 4" xfId="41909"/>
    <cellStyle name="Обычный 8 4 5 2 3 4 2" xfId="41910"/>
    <cellStyle name="Обычный 8 4 5 2 3 4 3" xfId="41911"/>
    <cellStyle name="Обычный 8 4 5 2 3 5" xfId="41912"/>
    <cellStyle name="Обычный 8 4 5 2 3 5 2" xfId="41913"/>
    <cellStyle name="Обычный 8 4 5 2 3 6" xfId="41914"/>
    <cellStyle name="Обычный 8 4 5 2 3 7" xfId="41915"/>
    <cellStyle name="Обычный 8 4 5 2 4" xfId="41916"/>
    <cellStyle name="Обычный 8 4 5 2 4 2" xfId="41917"/>
    <cellStyle name="Обычный 8 4 5 2 4 2 2" xfId="41918"/>
    <cellStyle name="Обычный 8 4 5 2 4 2 3" xfId="41919"/>
    <cellStyle name="Обычный 8 4 5 2 4 3" xfId="41920"/>
    <cellStyle name="Обычный 8 4 5 2 4 3 2" xfId="41921"/>
    <cellStyle name="Обычный 8 4 5 2 4 3 3" xfId="41922"/>
    <cellStyle name="Обычный 8 4 5 2 4 4" xfId="41923"/>
    <cellStyle name="Обычный 8 4 5 2 4 4 2" xfId="41924"/>
    <cellStyle name="Обычный 8 4 5 2 4 5" xfId="41925"/>
    <cellStyle name="Обычный 8 4 5 2 4 6" xfId="41926"/>
    <cellStyle name="Обычный 8 4 5 2 5" xfId="41927"/>
    <cellStyle name="Обычный 8 4 5 2 5 2" xfId="41928"/>
    <cellStyle name="Обычный 8 4 5 2 5 3" xfId="41929"/>
    <cellStyle name="Обычный 8 4 5 2 6" xfId="41930"/>
    <cellStyle name="Обычный 8 4 5 2 6 2" xfId="41931"/>
    <cellStyle name="Обычный 8 4 5 2 6 3" xfId="41932"/>
    <cellStyle name="Обычный 8 4 5 2 7" xfId="41933"/>
    <cellStyle name="Обычный 8 4 5 2 7 2" xfId="41934"/>
    <cellStyle name="Обычный 8 4 5 2 8" xfId="41935"/>
    <cellStyle name="Обычный 8 4 5 2 9" xfId="41936"/>
    <cellStyle name="Обычный 8 4 5 3" xfId="41937"/>
    <cellStyle name="Обычный 8 4 5 3 2" xfId="41938"/>
    <cellStyle name="Обычный 8 4 5 3 2 2" xfId="41939"/>
    <cellStyle name="Обычный 8 4 5 3 2 2 2" xfId="41940"/>
    <cellStyle name="Обычный 8 4 5 3 2 2 2 2" xfId="41941"/>
    <cellStyle name="Обычный 8 4 5 3 2 2 2 3" xfId="41942"/>
    <cellStyle name="Обычный 8 4 5 3 2 2 3" xfId="41943"/>
    <cellStyle name="Обычный 8 4 5 3 2 2 3 2" xfId="41944"/>
    <cellStyle name="Обычный 8 4 5 3 2 2 3 3" xfId="41945"/>
    <cellStyle name="Обычный 8 4 5 3 2 2 4" xfId="41946"/>
    <cellStyle name="Обычный 8 4 5 3 2 2 4 2" xfId="41947"/>
    <cellStyle name="Обычный 8 4 5 3 2 2 5" xfId="41948"/>
    <cellStyle name="Обычный 8 4 5 3 2 2 6" xfId="41949"/>
    <cellStyle name="Обычный 8 4 5 3 2 3" xfId="41950"/>
    <cellStyle name="Обычный 8 4 5 3 2 3 2" xfId="41951"/>
    <cellStyle name="Обычный 8 4 5 3 2 3 3" xfId="41952"/>
    <cellStyle name="Обычный 8 4 5 3 2 4" xfId="41953"/>
    <cellStyle name="Обычный 8 4 5 3 2 4 2" xfId="41954"/>
    <cellStyle name="Обычный 8 4 5 3 2 4 3" xfId="41955"/>
    <cellStyle name="Обычный 8 4 5 3 2 5" xfId="41956"/>
    <cellStyle name="Обычный 8 4 5 3 2 5 2" xfId="41957"/>
    <cellStyle name="Обычный 8 4 5 3 2 6" xfId="41958"/>
    <cellStyle name="Обычный 8 4 5 3 2 7" xfId="41959"/>
    <cellStyle name="Обычный 8 4 5 3 3" xfId="41960"/>
    <cellStyle name="Обычный 8 4 5 3 3 2" xfId="41961"/>
    <cellStyle name="Обычный 8 4 5 3 3 2 2" xfId="41962"/>
    <cellStyle name="Обычный 8 4 5 3 3 2 3" xfId="41963"/>
    <cellStyle name="Обычный 8 4 5 3 3 3" xfId="41964"/>
    <cellStyle name="Обычный 8 4 5 3 3 3 2" xfId="41965"/>
    <cellStyle name="Обычный 8 4 5 3 3 3 3" xfId="41966"/>
    <cellStyle name="Обычный 8 4 5 3 3 4" xfId="41967"/>
    <cellStyle name="Обычный 8 4 5 3 3 4 2" xfId="41968"/>
    <cellStyle name="Обычный 8 4 5 3 3 5" xfId="41969"/>
    <cellStyle name="Обычный 8 4 5 3 3 6" xfId="41970"/>
    <cellStyle name="Обычный 8 4 5 3 4" xfId="41971"/>
    <cellStyle name="Обычный 8 4 5 3 4 2" xfId="41972"/>
    <cellStyle name="Обычный 8 4 5 3 4 3" xfId="41973"/>
    <cellStyle name="Обычный 8 4 5 3 5" xfId="41974"/>
    <cellStyle name="Обычный 8 4 5 3 5 2" xfId="41975"/>
    <cellStyle name="Обычный 8 4 5 3 5 3" xfId="41976"/>
    <cellStyle name="Обычный 8 4 5 3 6" xfId="41977"/>
    <cellStyle name="Обычный 8 4 5 3 6 2" xfId="41978"/>
    <cellStyle name="Обычный 8 4 5 3 7" xfId="41979"/>
    <cellStyle name="Обычный 8 4 5 3 8" xfId="41980"/>
    <cellStyle name="Обычный 8 4 5 4" xfId="41981"/>
    <cellStyle name="Обычный 8 4 5 4 2" xfId="41982"/>
    <cellStyle name="Обычный 8 4 5 4 2 2" xfId="41983"/>
    <cellStyle name="Обычный 8 4 5 4 2 2 2" xfId="41984"/>
    <cellStyle name="Обычный 8 4 5 4 2 2 3" xfId="41985"/>
    <cellStyle name="Обычный 8 4 5 4 2 3" xfId="41986"/>
    <cellStyle name="Обычный 8 4 5 4 2 3 2" xfId="41987"/>
    <cellStyle name="Обычный 8 4 5 4 2 3 3" xfId="41988"/>
    <cellStyle name="Обычный 8 4 5 4 2 4" xfId="41989"/>
    <cellStyle name="Обычный 8 4 5 4 2 4 2" xfId="41990"/>
    <cellStyle name="Обычный 8 4 5 4 2 5" xfId="41991"/>
    <cellStyle name="Обычный 8 4 5 4 2 6" xfId="41992"/>
    <cellStyle name="Обычный 8 4 5 4 3" xfId="41993"/>
    <cellStyle name="Обычный 8 4 5 4 3 2" xfId="41994"/>
    <cellStyle name="Обычный 8 4 5 4 3 3" xfId="41995"/>
    <cellStyle name="Обычный 8 4 5 4 4" xfId="41996"/>
    <cellStyle name="Обычный 8 4 5 4 4 2" xfId="41997"/>
    <cellStyle name="Обычный 8 4 5 4 4 3" xfId="41998"/>
    <cellStyle name="Обычный 8 4 5 4 5" xfId="41999"/>
    <cellStyle name="Обычный 8 4 5 4 5 2" xfId="42000"/>
    <cellStyle name="Обычный 8 4 5 4 6" xfId="42001"/>
    <cellStyle name="Обычный 8 4 5 4 7" xfId="42002"/>
    <cellStyle name="Обычный 8 4 5 5" xfId="42003"/>
    <cellStyle name="Обычный 8 4 5 5 2" xfId="42004"/>
    <cellStyle name="Обычный 8 4 5 5 2 2" xfId="42005"/>
    <cellStyle name="Обычный 8 4 5 5 2 3" xfId="42006"/>
    <cellStyle name="Обычный 8 4 5 5 3" xfId="42007"/>
    <cellStyle name="Обычный 8 4 5 5 3 2" xfId="42008"/>
    <cellStyle name="Обычный 8 4 5 5 3 3" xfId="42009"/>
    <cellStyle name="Обычный 8 4 5 5 4" xfId="42010"/>
    <cellStyle name="Обычный 8 4 5 5 4 2" xfId="42011"/>
    <cellStyle name="Обычный 8 4 5 5 5" xfId="42012"/>
    <cellStyle name="Обычный 8 4 5 5 6" xfId="42013"/>
    <cellStyle name="Обычный 8 4 5 6" xfId="42014"/>
    <cellStyle name="Обычный 8 4 5 6 2" xfId="42015"/>
    <cellStyle name="Обычный 8 4 5 6 3" xfId="42016"/>
    <cellStyle name="Обычный 8 4 5 7" xfId="42017"/>
    <cellStyle name="Обычный 8 4 5 7 2" xfId="42018"/>
    <cellStyle name="Обычный 8 4 5 7 3" xfId="42019"/>
    <cellStyle name="Обычный 8 4 5 8" xfId="42020"/>
    <cellStyle name="Обычный 8 4 5 8 2" xfId="42021"/>
    <cellStyle name="Обычный 8 4 5 9" xfId="42022"/>
    <cellStyle name="Обычный 8 4 6" xfId="42023"/>
    <cellStyle name="Обычный 8 4 6 2" xfId="42024"/>
    <cellStyle name="Обычный 8 4 6 2 2" xfId="42025"/>
    <cellStyle name="Обычный 8 4 6 2 2 2" xfId="42026"/>
    <cellStyle name="Обычный 8 4 6 2 2 2 2" xfId="42027"/>
    <cellStyle name="Обычный 8 4 6 2 2 2 2 2" xfId="42028"/>
    <cellStyle name="Обычный 8 4 6 2 2 2 2 3" xfId="42029"/>
    <cellStyle name="Обычный 8 4 6 2 2 2 3" xfId="42030"/>
    <cellStyle name="Обычный 8 4 6 2 2 2 3 2" xfId="42031"/>
    <cellStyle name="Обычный 8 4 6 2 2 2 3 3" xfId="42032"/>
    <cellStyle name="Обычный 8 4 6 2 2 2 4" xfId="42033"/>
    <cellStyle name="Обычный 8 4 6 2 2 2 4 2" xfId="42034"/>
    <cellStyle name="Обычный 8 4 6 2 2 2 5" xfId="42035"/>
    <cellStyle name="Обычный 8 4 6 2 2 2 6" xfId="42036"/>
    <cellStyle name="Обычный 8 4 6 2 2 3" xfId="42037"/>
    <cellStyle name="Обычный 8 4 6 2 2 3 2" xfId="42038"/>
    <cellStyle name="Обычный 8 4 6 2 2 3 3" xfId="42039"/>
    <cellStyle name="Обычный 8 4 6 2 2 4" xfId="42040"/>
    <cellStyle name="Обычный 8 4 6 2 2 4 2" xfId="42041"/>
    <cellStyle name="Обычный 8 4 6 2 2 4 3" xfId="42042"/>
    <cellStyle name="Обычный 8 4 6 2 2 5" xfId="42043"/>
    <cellStyle name="Обычный 8 4 6 2 2 5 2" xfId="42044"/>
    <cellStyle name="Обычный 8 4 6 2 2 6" xfId="42045"/>
    <cellStyle name="Обычный 8 4 6 2 2 7" xfId="42046"/>
    <cellStyle name="Обычный 8 4 6 2 3" xfId="42047"/>
    <cellStyle name="Обычный 8 4 6 2 3 2" xfId="42048"/>
    <cellStyle name="Обычный 8 4 6 2 3 2 2" xfId="42049"/>
    <cellStyle name="Обычный 8 4 6 2 3 2 3" xfId="42050"/>
    <cellStyle name="Обычный 8 4 6 2 3 3" xfId="42051"/>
    <cellStyle name="Обычный 8 4 6 2 3 3 2" xfId="42052"/>
    <cellStyle name="Обычный 8 4 6 2 3 3 3" xfId="42053"/>
    <cellStyle name="Обычный 8 4 6 2 3 4" xfId="42054"/>
    <cellStyle name="Обычный 8 4 6 2 3 4 2" xfId="42055"/>
    <cellStyle name="Обычный 8 4 6 2 3 5" xfId="42056"/>
    <cellStyle name="Обычный 8 4 6 2 3 6" xfId="42057"/>
    <cellStyle name="Обычный 8 4 6 2 4" xfId="42058"/>
    <cellStyle name="Обычный 8 4 6 2 4 2" xfId="42059"/>
    <cellStyle name="Обычный 8 4 6 2 4 3" xfId="42060"/>
    <cellStyle name="Обычный 8 4 6 2 5" xfId="42061"/>
    <cellStyle name="Обычный 8 4 6 2 5 2" xfId="42062"/>
    <cellStyle name="Обычный 8 4 6 2 5 3" xfId="42063"/>
    <cellStyle name="Обычный 8 4 6 2 6" xfId="42064"/>
    <cellStyle name="Обычный 8 4 6 2 6 2" xfId="42065"/>
    <cellStyle name="Обычный 8 4 6 2 7" xfId="42066"/>
    <cellStyle name="Обычный 8 4 6 2 8" xfId="42067"/>
    <cellStyle name="Обычный 8 4 6 3" xfId="42068"/>
    <cellStyle name="Обычный 8 4 6 3 2" xfId="42069"/>
    <cellStyle name="Обычный 8 4 6 3 2 2" xfId="42070"/>
    <cellStyle name="Обычный 8 4 6 3 2 2 2" xfId="42071"/>
    <cellStyle name="Обычный 8 4 6 3 2 2 3" xfId="42072"/>
    <cellStyle name="Обычный 8 4 6 3 2 3" xfId="42073"/>
    <cellStyle name="Обычный 8 4 6 3 2 3 2" xfId="42074"/>
    <cellStyle name="Обычный 8 4 6 3 2 3 3" xfId="42075"/>
    <cellStyle name="Обычный 8 4 6 3 2 4" xfId="42076"/>
    <cellStyle name="Обычный 8 4 6 3 2 4 2" xfId="42077"/>
    <cellStyle name="Обычный 8 4 6 3 2 5" xfId="42078"/>
    <cellStyle name="Обычный 8 4 6 3 2 6" xfId="42079"/>
    <cellStyle name="Обычный 8 4 6 3 3" xfId="42080"/>
    <cellStyle name="Обычный 8 4 6 3 3 2" xfId="42081"/>
    <cellStyle name="Обычный 8 4 6 3 3 3" xfId="42082"/>
    <cellStyle name="Обычный 8 4 6 3 4" xfId="42083"/>
    <cellStyle name="Обычный 8 4 6 3 4 2" xfId="42084"/>
    <cellStyle name="Обычный 8 4 6 3 4 3" xfId="42085"/>
    <cellStyle name="Обычный 8 4 6 3 5" xfId="42086"/>
    <cellStyle name="Обычный 8 4 6 3 5 2" xfId="42087"/>
    <cellStyle name="Обычный 8 4 6 3 6" xfId="42088"/>
    <cellStyle name="Обычный 8 4 6 3 7" xfId="42089"/>
    <cellStyle name="Обычный 8 4 6 4" xfId="42090"/>
    <cellStyle name="Обычный 8 4 6 4 2" xfId="42091"/>
    <cellStyle name="Обычный 8 4 6 4 2 2" xfId="42092"/>
    <cellStyle name="Обычный 8 4 6 4 2 3" xfId="42093"/>
    <cellStyle name="Обычный 8 4 6 4 3" xfId="42094"/>
    <cellStyle name="Обычный 8 4 6 4 3 2" xfId="42095"/>
    <cellStyle name="Обычный 8 4 6 4 3 3" xfId="42096"/>
    <cellStyle name="Обычный 8 4 6 4 4" xfId="42097"/>
    <cellStyle name="Обычный 8 4 6 4 4 2" xfId="42098"/>
    <cellStyle name="Обычный 8 4 6 4 5" xfId="42099"/>
    <cellStyle name="Обычный 8 4 6 4 6" xfId="42100"/>
    <cellStyle name="Обычный 8 4 6 5" xfId="42101"/>
    <cellStyle name="Обычный 8 4 6 5 2" xfId="42102"/>
    <cellStyle name="Обычный 8 4 6 5 3" xfId="42103"/>
    <cellStyle name="Обычный 8 4 6 6" xfId="42104"/>
    <cellStyle name="Обычный 8 4 6 6 2" xfId="42105"/>
    <cellStyle name="Обычный 8 4 6 6 3" xfId="42106"/>
    <cellStyle name="Обычный 8 4 6 7" xfId="42107"/>
    <cellStyle name="Обычный 8 4 6 7 2" xfId="42108"/>
    <cellStyle name="Обычный 8 4 6 8" xfId="42109"/>
    <cellStyle name="Обычный 8 4 6 9" xfId="42110"/>
    <cellStyle name="Обычный 8 4 7" xfId="42111"/>
    <cellStyle name="Обычный 8 4 7 2" xfId="42112"/>
    <cellStyle name="Обычный 8 4 7 2 2" xfId="42113"/>
    <cellStyle name="Обычный 8 4 7 2 2 2" xfId="42114"/>
    <cellStyle name="Обычный 8 4 7 2 2 2 2" xfId="42115"/>
    <cellStyle name="Обычный 8 4 7 2 2 2 3" xfId="42116"/>
    <cellStyle name="Обычный 8 4 7 2 2 3" xfId="42117"/>
    <cellStyle name="Обычный 8 4 7 2 2 3 2" xfId="42118"/>
    <cellStyle name="Обычный 8 4 7 2 2 3 3" xfId="42119"/>
    <cellStyle name="Обычный 8 4 7 2 2 4" xfId="42120"/>
    <cellStyle name="Обычный 8 4 7 2 2 4 2" xfId="42121"/>
    <cellStyle name="Обычный 8 4 7 2 2 5" xfId="42122"/>
    <cellStyle name="Обычный 8 4 7 2 2 6" xfId="42123"/>
    <cellStyle name="Обычный 8 4 7 2 3" xfId="42124"/>
    <cellStyle name="Обычный 8 4 7 2 3 2" xfId="42125"/>
    <cellStyle name="Обычный 8 4 7 2 3 3" xfId="42126"/>
    <cellStyle name="Обычный 8 4 7 2 4" xfId="42127"/>
    <cellStyle name="Обычный 8 4 7 2 4 2" xfId="42128"/>
    <cellStyle name="Обычный 8 4 7 2 4 3" xfId="42129"/>
    <cellStyle name="Обычный 8 4 7 2 5" xfId="42130"/>
    <cellStyle name="Обычный 8 4 7 2 5 2" xfId="42131"/>
    <cellStyle name="Обычный 8 4 7 2 6" xfId="42132"/>
    <cellStyle name="Обычный 8 4 7 2 7" xfId="42133"/>
    <cellStyle name="Обычный 8 4 7 3" xfId="42134"/>
    <cellStyle name="Обычный 8 4 7 3 2" xfId="42135"/>
    <cellStyle name="Обычный 8 4 7 3 2 2" xfId="42136"/>
    <cellStyle name="Обычный 8 4 7 3 2 3" xfId="42137"/>
    <cellStyle name="Обычный 8 4 7 3 3" xfId="42138"/>
    <cellStyle name="Обычный 8 4 7 3 3 2" xfId="42139"/>
    <cellStyle name="Обычный 8 4 7 3 3 3" xfId="42140"/>
    <cellStyle name="Обычный 8 4 7 3 4" xfId="42141"/>
    <cellStyle name="Обычный 8 4 7 3 4 2" xfId="42142"/>
    <cellStyle name="Обычный 8 4 7 3 5" xfId="42143"/>
    <cellStyle name="Обычный 8 4 7 3 6" xfId="42144"/>
    <cellStyle name="Обычный 8 4 7 4" xfId="42145"/>
    <cellStyle name="Обычный 8 4 7 4 2" xfId="42146"/>
    <cellStyle name="Обычный 8 4 7 4 3" xfId="42147"/>
    <cellStyle name="Обычный 8 4 7 5" xfId="42148"/>
    <cellStyle name="Обычный 8 4 7 5 2" xfId="42149"/>
    <cellStyle name="Обычный 8 4 7 5 3" xfId="42150"/>
    <cellStyle name="Обычный 8 4 7 6" xfId="42151"/>
    <cellStyle name="Обычный 8 4 7 6 2" xfId="42152"/>
    <cellStyle name="Обычный 8 4 7 7" xfId="42153"/>
    <cellStyle name="Обычный 8 4 7 8" xfId="42154"/>
    <cellStyle name="Обычный 8 4 8" xfId="42155"/>
    <cellStyle name="Обычный 8 4 8 2" xfId="42156"/>
    <cellStyle name="Обычный 8 4 8 2 2" xfId="42157"/>
    <cellStyle name="Обычный 8 4 8 2 2 2" xfId="42158"/>
    <cellStyle name="Обычный 8 4 8 2 2 3" xfId="42159"/>
    <cellStyle name="Обычный 8 4 8 2 3" xfId="42160"/>
    <cellStyle name="Обычный 8 4 8 2 3 2" xfId="42161"/>
    <cellStyle name="Обычный 8 4 8 2 3 3" xfId="42162"/>
    <cellStyle name="Обычный 8 4 8 2 4" xfId="42163"/>
    <cellStyle name="Обычный 8 4 8 2 4 2" xfId="42164"/>
    <cellStyle name="Обычный 8 4 8 2 5" xfId="42165"/>
    <cellStyle name="Обычный 8 4 8 2 6" xfId="42166"/>
    <cellStyle name="Обычный 8 4 8 3" xfId="42167"/>
    <cellStyle name="Обычный 8 4 8 3 2" xfId="42168"/>
    <cellStyle name="Обычный 8 4 8 3 3" xfId="42169"/>
    <cellStyle name="Обычный 8 4 8 4" xfId="42170"/>
    <cellStyle name="Обычный 8 4 8 4 2" xfId="42171"/>
    <cellStyle name="Обычный 8 4 8 4 3" xfId="42172"/>
    <cellStyle name="Обычный 8 4 8 5" xfId="42173"/>
    <cellStyle name="Обычный 8 4 8 5 2" xfId="42174"/>
    <cellStyle name="Обычный 8 4 8 6" xfId="42175"/>
    <cellStyle name="Обычный 8 4 8 7" xfId="42176"/>
    <cellStyle name="Обычный 8 4 9" xfId="42177"/>
    <cellStyle name="Обычный 8 4 9 2" xfId="42178"/>
    <cellStyle name="Обычный 8 4 9 2 2" xfId="42179"/>
    <cellStyle name="Обычный 8 4 9 2 3" xfId="42180"/>
    <cellStyle name="Обычный 8 4 9 3" xfId="42181"/>
    <cellStyle name="Обычный 8 4 9 3 2" xfId="42182"/>
    <cellStyle name="Обычный 8 4 9 3 3" xfId="42183"/>
    <cellStyle name="Обычный 8 4 9 4" xfId="42184"/>
    <cellStyle name="Обычный 8 4 9 4 2" xfId="42185"/>
    <cellStyle name="Обычный 8 4 9 5" xfId="42186"/>
    <cellStyle name="Обычный 8 4 9 6" xfId="42187"/>
    <cellStyle name="Обычный 8 5" xfId="42188"/>
    <cellStyle name="Обычный 8 5 10" xfId="42189"/>
    <cellStyle name="Обычный 8 5 10 2" xfId="42190"/>
    <cellStyle name="Обычный 8 5 10 3" xfId="42191"/>
    <cellStyle name="Обычный 8 5 11" xfId="42192"/>
    <cellStyle name="Обычный 8 5 11 2" xfId="42193"/>
    <cellStyle name="Обычный 8 5 11 3" xfId="42194"/>
    <cellStyle name="Обычный 8 5 12" xfId="42195"/>
    <cellStyle name="Обычный 8 5 12 2" xfId="42196"/>
    <cellStyle name="Обычный 8 5 13" xfId="42197"/>
    <cellStyle name="Обычный 8 5 14" xfId="42198"/>
    <cellStyle name="Обычный 8 5 2" xfId="42199"/>
    <cellStyle name="Обычный 8 5 2 10" xfId="42200"/>
    <cellStyle name="Обычный 8 5 2 10 2" xfId="42201"/>
    <cellStyle name="Обычный 8 5 2 10 3" xfId="42202"/>
    <cellStyle name="Обычный 8 5 2 11" xfId="42203"/>
    <cellStyle name="Обычный 8 5 2 11 2" xfId="42204"/>
    <cellStyle name="Обычный 8 5 2 12" xfId="42205"/>
    <cellStyle name="Обычный 8 5 2 13" xfId="42206"/>
    <cellStyle name="Обычный 8 5 2 2" xfId="42207"/>
    <cellStyle name="Обычный 8 5 2 2 10" xfId="42208"/>
    <cellStyle name="Обычный 8 5 2 2 2" xfId="42209"/>
    <cellStyle name="Обычный 8 5 2 2 2 2" xfId="42210"/>
    <cellStyle name="Обычный 8 5 2 2 2 2 2" xfId="42211"/>
    <cellStyle name="Обычный 8 5 2 2 2 2 2 2" xfId="42212"/>
    <cellStyle name="Обычный 8 5 2 2 2 2 2 2 2" xfId="42213"/>
    <cellStyle name="Обычный 8 5 2 2 2 2 2 2 2 2" xfId="42214"/>
    <cellStyle name="Обычный 8 5 2 2 2 2 2 2 2 3" xfId="42215"/>
    <cellStyle name="Обычный 8 5 2 2 2 2 2 2 3" xfId="42216"/>
    <cellStyle name="Обычный 8 5 2 2 2 2 2 2 3 2" xfId="42217"/>
    <cellStyle name="Обычный 8 5 2 2 2 2 2 2 3 3" xfId="42218"/>
    <cellStyle name="Обычный 8 5 2 2 2 2 2 2 4" xfId="42219"/>
    <cellStyle name="Обычный 8 5 2 2 2 2 2 2 4 2" xfId="42220"/>
    <cellStyle name="Обычный 8 5 2 2 2 2 2 2 5" xfId="42221"/>
    <cellStyle name="Обычный 8 5 2 2 2 2 2 2 6" xfId="42222"/>
    <cellStyle name="Обычный 8 5 2 2 2 2 2 3" xfId="42223"/>
    <cellStyle name="Обычный 8 5 2 2 2 2 2 3 2" xfId="42224"/>
    <cellStyle name="Обычный 8 5 2 2 2 2 2 3 3" xfId="42225"/>
    <cellStyle name="Обычный 8 5 2 2 2 2 2 4" xfId="42226"/>
    <cellStyle name="Обычный 8 5 2 2 2 2 2 4 2" xfId="42227"/>
    <cellStyle name="Обычный 8 5 2 2 2 2 2 4 3" xfId="42228"/>
    <cellStyle name="Обычный 8 5 2 2 2 2 2 5" xfId="42229"/>
    <cellStyle name="Обычный 8 5 2 2 2 2 2 5 2" xfId="42230"/>
    <cellStyle name="Обычный 8 5 2 2 2 2 2 6" xfId="42231"/>
    <cellStyle name="Обычный 8 5 2 2 2 2 2 7" xfId="42232"/>
    <cellStyle name="Обычный 8 5 2 2 2 2 3" xfId="42233"/>
    <cellStyle name="Обычный 8 5 2 2 2 2 3 2" xfId="42234"/>
    <cellStyle name="Обычный 8 5 2 2 2 2 3 2 2" xfId="42235"/>
    <cellStyle name="Обычный 8 5 2 2 2 2 3 2 3" xfId="42236"/>
    <cellStyle name="Обычный 8 5 2 2 2 2 3 3" xfId="42237"/>
    <cellStyle name="Обычный 8 5 2 2 2 2 3 3 2" xfId="42238"/>
    <cellStyle name="Обычный 8 5 2 2 2 2 3 3 3" xfId="42239"/>
    <cellStyle name="Обычный 8 5 2 2 2 2 3 4" xfId="42240"/>
    <cellStyle name="Обычный 8 5 2 2 2 2 3 4 2" xfId="42241"/>
    <cellStyle name="Обычный 8 5 2 2 2 2 3 5" xfId="42242"/>
    <cellStyle name="Обычный 8 5 2 2 2 2 3 6" xfId="42243"/>
    <cellStyle name="Обычный 8 5 2 2 2 2 4" xfId="42244"/>
    <cellStyle name="Обычный 8 5 2 2 2 2 4 2" xfId="42245"/>
    <cellStyle name="Обычный 8 5 2 2 2 2 4 3" xfId="42246"/>
    <cellStyle name="Обычный 8 5 2 2 2 2 5" xfId="42247"/>
    <cellStyle name="Обычный 8 5 2 2 2 2 5 2" xfId="42248"/>
    <cellStyle name="Обычный 8 5 2 2 2 2 5 3" xfId="42249"/>
    <cellStyle name="Обычный 8 5 2 2 2 2 6" xfId="42250"/>
    <cellStyle name="Обычный 8 5 2 2 2 2 6 2" xfId="42251"/>
    <cellStyle name="Обычный 8 5 2 2 2 2 7" xfId="42252"/>
    <cellStyle name="Обычный 8 5 2 2 2 2 8" xfId="42253"/>
    <cellStyle name="Обычный 8 5 2 2 2 3" xfId="42254"/>
    <cellStyle name="Обычный 8 5 2 2 2 3 2" xfId="42255"/>
    <cellStyle name="Обычный 8 5 2 2 2 3 2 2" xfId="42256"/>
    <cellStyle name="Обычный 8 5 2 2 2 3 2 2 2" xfId="42257"/>
    <cellStyle name="Обычный 8 5 2 2 2 3 2 2 3" xfId="42258"/>
    <cellStyle name="Обычный 8 5 2 2 2 3 2 3" xfId="42259"/>
    <cellStyle name="Обычный 8 5 2 2 2 3 2 3 2" xfId="42260"/>
    <cellStyle name="Обычный 8 5 2 2 2 3 2 3 3" xfId="42261"/>
    <cellStyle name="Обычный 8 5 2 2 2 3 2 4" xfId="42262"/>
    <cellStyle name="Обычный 8 5 2 2 2 3 2 4 2" xfId="42263"/>
    <cellStyle name="Обычный 8 5 2 2 2 3 2 5" xfId="42264"/>
    <cellStyle name="Обычный 8 5 2 2 2 3 2 6" xfId="42265"/>
    <cellStyle name="Обычный 8 5 2 2 2 3 3" xfId="42266"/>
    <cellStyle name="Обычный 8 5 2 2 2 3 3 2" xfId="42267"/>
    <cellStyle name="Обычный 8 5 2 2 2 3 3 3" xfId="42268"/>
    <cellStyle name="Обычный 8 5 2 2 2 3 4" xfId="42269"/>
    <cellStyle name="Обычный 8 5 2 2 2 3 4 2" xfId="42270"/>
    <cellStyle name="Обычный 8 5 2 2 2 3 4 3" xfId="42271"/>
    <cellStyle name="Обычный 8 5 2 2 2 3 5" xfId="42272"/>
    <cellStyle name="Обычный 8 5 2 2 2 3 5 2" xfId="42273"/>
    <cellStyle name="Обычный 8 5 2 2 2 3 6" xfId="42274"/>
    <cellStyle name="Обычный 8 5 2 2 2 3 7" xfId="42275"/>
    <cellStyle name="Обычный 8 5 2 2 2 4" xfId="42276"/>
    <cellStyle name="Обычный 8 5 2 2 2 4 2" xfId="42277"/>
    <cellStyle name="Обычный 8 5 2 2 2 4 2 2" xfId="42278"/>
    <cellStyle name="Обычный 8 5 2 2 2 4 2 3" xfId="42279"/>
    <cellStyle name="Обычный 8 5 2 2 2 4 3" xfId="42280"/>
    <cellStyle name="Обычный 8 5 2 2 2 4 3 2" xfId="42281"/>
    <cellStyle name="Обычный 8 5 2 2 2 4 3 3" xfId="42282"/>
    <cellStyle name="Обычный 8 5 2 2 2 4 4" xfId="42283"/>
    <cellStyle name="Обычный 8 5 2 2 2 4 4 2" xfId="42284"/>
    <cellStyle name="Обычный 8 5 2 2 2 4 5" xfId="42285"/>
    <cellStyle name="Обычный 8 5 2 2 2 4 6" xfId="42286"/>
    <cellStyle name="Обычный 8 5 2 2 2 5" xfId="42287"/>
    <cellStyle name="Обычный 8 5 2 2 2 5 2" xfId="42288"/>
    <cellStyle name="Обычный 8 5 2 2 2 5 3" xfId="42289"/>
    <cellStyle name="Обычный 8 5 2 2 2 6" xfId="42290"/>
    <cellStyle name="Обычный 8 5 2 2 2 6 2" xfId="42291"/>
    <cellStyle name="Обычный 8 5 2 2 2 6 3" xfId="42292"/>
    <cellStyle name="Обычный 8 5 2 2 2 7" xfId="42293"/>
    <cellStyle name="Обычный 8 5 2 2 2 7 2" xfId="42294"/>
    <cellStyle name="Обычный 8 5 2 2 2 8" xfId="42295"/>
    <cellStyle name="Обычный 8 5 2 2 2 9" xfId="42296"/>
    <cellStyle name="Обычный 8 5 2 2 3" xfId="42297"/>
    <cellStyle name="Обычный 8 5 2 2 3 2" xfId="42298"/>
    <cellStyle name="Обычный 8 5 2 2 3 2 2" xfId="42299"/>
    <cellStyle name="Обычный 8 5 2 2 3 2 2 2" xfId="42300"/>
    <cellStyle name="Обычный 8 5 2 2 3 2 2 2 2" xfId="42301"/>
    <cellStyle name="Обычный 8 5 2 2 3 2 2 2 3" xfId="42302"/>
    <cellStyle name="Обычный 8 5 2 2 3 2 2 3" xfId="42303"/>
    <cellStyle name="Обычный 8 5 2 2 3 2 2 3 2" xfId="42304"/>
    <cellStyle name="Обычный 8 5 2 2 3 2 2 3 3" xfId="42305"/>
    <cellStyle name="Обычный 8 5 2 2 3 2 2 4" xfId="42306"/>
    <cellStyle name="Обычный 8 5 2 2 3 2 2 4 2" xfId="42307"/>
    <cellStyle name="Обычный 8 5 2 2 3 2 2 5" xfId="42308"/>
    <cellStyle name="Обычный 8 5 2 2 3 2 2 6" xfId="42309"/>
    <cellStyle name="Обычный 8 5 2 2 3 2 3" xfId="42310"/>
    <cellStyle name="Обычный 8 5 2 2 3 2 3 2" xfId="42311"/>
    <cellStyle name="Обычный 8 5 2 2 3 2 3 3" xfId="42312"/>
    <cellStyle name="Обычный 8 5 2 2 3 2 4" xfId="42313"/>
    <cellStyle name="Обычный 8 5 2 2 3 2 4 2" xfId="42314"/>
    <cellStyle name="Обычный 8 5 2 2 3 2 4 3" xfId="42315"/>
    <cellStyle name="Обычный 8 5 2 2 3 2 5" xfId="42316"/>
    <cellStyle name="Обычный 8 5 2 2 3 2 5 2" xfId="42317"/>
    <cellStyle name="Обычный 8 5 2 2 3 2 6" xfId="42318"/>
    <cellStyle name="Обычный 8 5 2 2 3 2 7" xfId="42319"/>
    <cellStyle name="Обычный 8 5 2 2 3 3" xfId="42320"/>
    <cellStyle name="Обычный 8 5 2 2 3 3 2" xfId="42321"/>
    <cellStyle name="Обычный 8 5 2 2 3 3 2 2" xfId="42322"/>
    <cellStyle name="Обычный 8 5 2 2 3 3 2 3" xfId="42323"/>
    <cellStyle name="Обычный 8 5 2 2 3 3 3" xfId="42324"/>
    <cellStyle name="Обычный 8 5 2 2 3 3 3 2" xfId="42325"/>
    <cellStyle name="Обычный 8 5 2 2 3 3 3 3" xfId="42326"/>
    <cellStyle name="Обычный 8 5 2 2 3 3 4" xfId="42327"/>
    <cellStyle name="Обычный 8 5 2 2 3 3 4 2" xfId="42328"/>
    <cellStyle name="Обычный 8 5 2 2 3 3 5" xfId="42329"/>
    <cellStyle name="Обычный 8 5 2 2 3 3 6" xfId="42330"/>
    <cellStyle name="Обычный 8 5 2 2 3 4" xfId="42331"/>
    <cellStyle name="Обычный 8 5 2 2 3 4 2" xfId="42332"/>
    <cellStyle name="Обычный 8 5 2 2 3 4 3" xfId="42333"/>
    <cellStyle name="Обычный 8 5 2 2 3 5" xfId="42334"/>
    <cellStyle name="Обычный 8 5 2 2 3 5 2" xfId="42335"/>
    <cellStyle name="Обычный 8 5 2 2 3 5 3" xfId="42336"/>
    <cellStyle name="Обычный 8 5 2 2 3 6" xfId="42337"/>
    <cellStyle name="Обычный 8 5 2 2 3 6 2" xfId="42338"/>
    <cellStyle name="Обычный 8 5 2 2 3 7" xfId="42339"/>
    <cellStyle name="Обычный 8 5 2 2 3 8" xfId="42340"/>
    <cellStyle name="Обычный 8 5 2 2 4" xfId="42341"/>
    <cellStyle name="Обычный 8 5 2 2 4 2" xfId="42342"/>
    <cellStyle name="Обычный 8 5 2 2 4 2 2" xfId="42343"/>
    <cellStyle name="Обычный 8 5 2 2 4 2 2 2" xfId="42344"/>
    <cellStyle name="Обычный 8 5 2 2 4 2 2 3" xfId="42345"/>
    <cellStyle name="Обычный 8 5 2 2 4 2 3" xfId="42346"/>
    <cellStyle name="Обычный 8 5 2 2 4 2 3 2" xfId="42347"/>
    <cellStyle name="Обычный 8 5 2 2 4 2 3 3" xfId="42348"/>
    <cellStyle name="Обычный 8 5 2 2 4 2 4" xfId="42349"/>
    <cellStyle name="Обычный 8 5 2 2 4 2 4 2" xfId="42350"/>
    <cellStyle name="Обычный 8 5 2 2 4 2 5" xfId="42351"/>
    <cellStyle name="Обычный 8 5 2 2 4 2 6" xfId="42352"/>
    <cellStyle name="Обычный 8 5 2 2 4 3" xfId="42353"/>
    <cellStyle name="Обычный 8 5 2 2 4 3 2" xfId="42354"/>
    <cellStyle name="Обычный 8 5 2 2 4 3 3" xfId="42355"/>
    <cellStyle name="Обычный 8 5 2 2 4 4" xfId="42356"/>
    <cellStyle name="Обычный 8 5 2 2 4 4 2" xfId="42357"/>
    <cellStyle name="Обычный 8 5 2 2 4 4 3" xfId="42358"/>
    <cellStyle name="Обычный 8 5 2 2 4 5" xfId="42359"/>
    <cellStyle name="Обычный 8 5 2 2 4 5 2" xfId="42360"/>
    <cellStyle name="Обычный 8 5 2 2 4 6" xfId="42361"/>
    <cellStyle name="Обычный 8 5 2 2 4 7" xfId="42362"/>
    <cellStyle name="Обычный 8 5 2 2 5" xfId="42363"/>
    <cellStyle name="Обычный 8 5 2 2 5 2" xfId="42364"/>
    <cellStyle name="Обычный 8 5 2 2 5 2 2" xfId="42365"/>
    <cellStyle name="Обычный 8 5 2 2 5 2 3" xfId="42366"/>
    <cellStyle name="Обычный 8 5 2 2 5 3" xfId="42367"/>
    <cellStyle name="Обычный 8 5 2 2 5 3 2" xfId="42368"/>
    <cellStyle name="Обычный 8 5 2 2 5 3 3" xfId="42369"/>
    <cellStyle name="Обычный 8 5 2 2 5 4" xfId="42370"/>
    <cellStyle name="Обычный 8 5 2 2 5 4 2" xfId="42371"/>
    <cellStyle name="Обычный 8 5 2 2 5 5" xfId="42372"/>
    <cellStyle name="Обычный 8 5 2 2 5 6" xfId="42373"/>
    <cellStyle name="Обычный 8 5 2 2 6" xfId="42374"/>
    <cellStyle name="Обычный 8 5 2 2 6 2" xfId="42375"/>
    <cellStyle name="Обычный 8 5 2 2 6 3" xfId="42376"/>
    <cellStyle name="Обычный 8 5 2 2 7" xfId="42377"/>
    <cellStyle name="Обычный 8 5 2 2 7 2" xfId="42378"/>
    <cellStyle name="Обычный 8 5 2 2 7 3" xfId="42379"/>
    <cellStyle name="Обычный 8 5 2 2 8" xfId="42380"/>
    <cellStyle name="Обычный 8 5 2 2 8 2" xfId="42381"/>
    <cellStyle name="Обычный 8 5 2 2 9" xfId="42382"/>
    <cellStyle name="Обычный 8 5 2 3" xfId="42383"/>
    <cellStyle name="Обычный 8 5 2 3 10" xfId="42384"/>
    <cellStyle name="Обычный 8 5 2 3 2" xfId="42385"/>
    <cellStyle name="Обычный 8 5 2 3 2 2" xfId="42386"/>
    <cellStyle name="Обычный 8 5 2 3 2 2 2" xfId="42387"/>
    <cellStyle name="Обычный 8 5 2 3 2 2 2 2" xfId="42388"/>
    <cellStyle name="Обычный 8 5 2 3 2 2 2 2 2" xfId="42389"/>
    <cellStyle name="Обычный 8 5 2 3 2 2 2 2 2 2" xfId="42390"/>
    <cellStyle name="Обычный 8 5 2 3 2 2 2 2 2 3" xfId="42391"/>
    <cellStyle name="Обычный 8 5 2 3 2 2 2 2 3" xfId="42392"/>
    <cellStyle name="Обычный 8 5 2 3 2 2 2 2 3 2" xfId="42393"/>
    <cellStyle name="Обычный 8 5 2 3 2 2 2 2 3 3" xfId="42394"/>
    <cellStyle name="Обычный 8 5 2 3 2 2 2 2 4" xfId="42395"/>
    <cellStyle name="Обычный 8 5 2 3 2 2 2 2 4 2" xfId="42396"/>
    <cellStyle name="Обычный 8 5 2 3 2 2 2 2 5" xfId="42397"/>
    <cellStyle name="Обычный 8 5 2 3 2 2 2 2 6" xfId="42398"/>
    <cellStyle name="Обычный 8 5 2 3 2 2 2 3" xfId="42399"/>
    <cellStyle name="Обычный 8 5 2 3 2 2 2 3 2" xfId="42400"/>
    <cellStyle name="Обычный 8 5 2 3 2 2 2 3 3" xfId="42401"/>
    <cellStyle name="Обычный 8 5 2 3 2 2 2 4" xfId="42402"/>
    <cellStyle name="Обычный 8 5 2 3 2 2 2 4 2" xfId="42403"/>
    <cellStyle name="Обычный 8 5 2 3 2 2 2 4 3" xfId="42404"/>
    <cellStyle name="Обычный 8 5 2 3 2 2 2 5" xfId="42405"/>
    <cellStyle name="Обычный 8 5 2 3 2 2 2 5 2" xfId="42406"/>
    <cellStyle name="Обычный 8 5 2 3 2 2 2 6" xfId="42407"/>
    <cellStyle name="Обычный 8 5 2 3 2 2 2 7" xfId="42408"/>
    <cellStyle name="Обычный 8 5 2 3 2 2 3" xfId="42409"/>
    <cellStyle name="Обычный 8 5 2 3 2 2 3 2" xfId="42410"/>
    <cellStyle name="Обычный 8 5 2 3 2 2 3 2 2" xfId="42411"/>
    <cellStyle name="Обычный 8 5 2 3 2 2 3 2 3" xfId="42412"/>
    <cellStyle name="Обычный 8 5 2 3 2 2 3 3" xfId="42413"/>
    <cellStyle name="Обычный 8 5 2 3 2 2 3 3 2" xfId="42414"/>
    <cellStyle name="Обычный 8 5 2 3 2 2 3 3 3" xfId="42415"/>
    <cellStyle name="Обычный 8 5 2 3 2 2 3 4" xfId="42416"/>
    <cellStyle name="Обычный 8 5 2 3 2 2 3 4 2" xfId="42417"/>
    <cellStyle name="Обычный 8 5 2 3 2 2 3 5" xfId="42418"/>
    <cellStyle name="Обычный 8 5 2 3 2 2 3 6" xfId="42419"/>
    <cellStyle name="Обычный 8 5 2 3 2 2 4" xfId="42420"/>
    <cellStyle name="Обычный 8 5 2 3 2 2 4 2" xfId="42421"/>
    <cellStyle name="Обычный 8 5 2 3 2 2 4 3" xfId="42422"/>
    <cellStyle name="Обычный 8 5 2 3 2 2 5" xfId="42423"/>
    <cellStyle name="Обычный 8 5 2 3 2 2 5 2" xfId="42424"/>
    <cellStyle name="Обычный 8 5 2 3 2 2 5 3" xfId="42425"/>
    <cellStyle name="Обычный 8 5 2 3 2 2 6" xfId="42426"/>
    <cellStyle name="Обычный 8 5 2 3 2 2 6 2" xfId="42427"/>
    <cellStyle name="Обычный 8 5 2 3 2 2 7" xfId="42428"/>
    <cellStyle name="Обычный 8 5 2 3 2 2 8" xfId="42429"/>
    <cellStyle name="Обычный 8 5 2 3 2 3" xfId="42430"/>
    <cellStyle name="Обычный 8 5 2 3 2 3 2" xfId="42431"/>
    <cellStyle name="Обычный 8 5 2 3 2 3 2 2" xfId="42432"/>
    <cellStyle name="Обычный 8 5 2 3 2 3 2 2 2" xfId="42433"/>
    <cellStyle name="Обычный 8 5 2 3 2 3 2 2 3" xfId="42434"/>
    <cellStyle name="Обычный 8 5 2 3 2 3 2 3" xfId="42435"/>
    <cellStyle name="Обычный 8 5 2 3 2 3 2 3 2" xfId="42436"/>
    <cellStyle name="Обычный 8 5 2 3 2 3 2 3 3" xfId="42437"/>
    <cellStyle name="Обычный 8 5 2 3 2 3 2 4" xfId="42438"/>
    <cellStyle name="Обычный 8 5 2 3 2 3 2 4 2" xfId="42439"/>
    <cellStyle name="Обычный 8 5 2 3 2 3 2 5" xfId="42440"/>
    <cellStyle name="Обычный 8 5 2 3 2 3 2 6" xfId="42441"/>
    <cellStyle name="Обычный 8 5 2 3 2 3 3" xfId="42442"/>
    <cellStyle name="Обычный 8 5 2 3 2 3 3 2" xfId="42443"/>
    <cellStyle name="Обычный 8 5 2 3 2 3 3 3" xfId="42444"/>
    <cellStyle name="Обычный 8 5 2 3 2 3 4" xfId="42445"/>
    <cellStyle name="Обычный 8 5 2 3 2 3 4 2" xfId="42446"/>
    <cellStyle name="Обычный 8 5 2 3 2 3 4 3" xfId="42447"/>
    <cellStyle name="Обычный 8 5 2 3 2 3 5" xfId="42448"/>
    <cellStyle name="Обычный 8 5 2 3 2 3 5 2" xfId="42449"/>
    <cellStyle name="Обычный 8 5 2 3 2 3 6" xfId="42450"/>
    <cellStyle name="Обычный 8 5 2 3 2 3 7" xfId="42451"/>
    <cellStyle name="Обычный 8 5 2 3 2 4" xfId="42452"/>
    <cellStyle name="Обычный 8 5 2 3 2 4 2" xfId="42453"/>
    <cellStyle name="Обычный 8 5 2 3 2 4 2 2" xfId="42454"/>
    <cellStyle name="Обычный 8 5 2 3 2 4 2 3" xfId="42455"/>
    <cellStyle name="Обычный 8 5 2 3 2 4 3" xfId="42456"/>
    <cellStyle name="Обычный 8 5 2 3 2 4 3 2" xfId="42457"/>
    <cellStyle name="Обычный 8 5 2 3 2 4 3 3" xfId="42458"/>
    <cellStyle name="Обычный 8 5 2 3 2 4 4" xfId="42459"/>
    <cellStyle name="Обычный 8 5 2 3 2 4 4 2" xfId="42460"/>
    <cellStyle name="Обычный 8 5 2 3 2 4 5" xfId="42461"/>
    <cellStyle name="Обычный 8 5 2 3 2 4 6" xfId="42462"/>
    <cellStyle name="Обычный 8 5 2 3 2 5" xfId="42463"/>
    <cellStyle name="Обычный 8 5 2 3 2 5 2" xfId="42464"/>
    <cellStyle name="Обычный 8 5 2 3 2 5 3" xfId="42465"/>
    <cellStyle name="Обычный 8 5 2 3 2 6" xfId="42466"/>
    <cellStyle name="Обычный 8 5 2 3 2 6 2" xfId="42467"/>
    <cellStyle name="Обычный 8 5 2 3 2 6 3" xfId="42468"/>
    <cellStyle name="Обычный 8 5 2 3 2 7" xfId="42469"/>
    <cellStyle name="Обычный 8 5 2 3 2 7 2" xfId="42470"/>
    <cellStyle name="Обычный 8 5 2 3 2 8" xfId="42471"/>
    <cellStyle name="Обычный 8 5 2 3 2 9" xfId="42472"/>
    <cellStyle name="Обычный 8 5 2 3 3" xfId="42473"/>
    <cellStyle name="Обычный 8 5 2 3 3 2" xfId="42474"/>
    <cellStyle name="Обычный 8 5 2 3 3 2 2" xfId="42475"/>
    <cellStyle name="Обычный 8 5 2 3 3 2 2 2" xfId="42476"/>
    <cellStyle name="Обычный 8 5 2 3 3 2 2 2 2" xfId="42477"/>
    <cellStyle name="Обычный 8 5 2 3 3 2 2 2 3" xfId="42478"/>
    <cellStyle name="Обычный 8 5 2 3 3 2 2 3" xfId="42479"/>
    <cellStyle name="Обычный 8 5 2 3 3 2 2 3 2" xfId="42480"/>
    <cellStyle name="Обычный 8 5 2 3 3 2 2 3 3" xfId="42481"/>
    <cellStyle name="Обычный 8 5 2 3 3 2 2 4" xfId="42482"/>
    <cellStyle name="Обычный 8 5 2 3 3 2 2 4 2" xfId="42483"/>
    <cellStyle name="Обычный 8 5 2 3 3 2 2 5" xfId="42484"/>
    <cellStyle name="Обычный 8 5 2 3 3 2 2 6" xfId="42485"/>
    <cellStyle name="Обычный 8 5 2 3 3 2 3" xfId="42486"/>
    <cellStyle name="Обычный 8 5 2 3 3 2 3 2" xfId="42487"/>
    <cellStyle name="Обычный 8 5 2 3 3 2 3 3" xfId="42488"/>
    <cellStyle name="Обычный 8 5 2 3 3 2 4" xfId="42489"/>
    <cellStyle name="Обычный 8 5 2 3 3 2 4 2" xfId="42490"/>
    <cellStyle name="Обычный 8 5 2 3 3 2 4 3" xfId="42491"/>
    <cellStyle name="Обычный 8 5 2 3 3 2 5" xfId="42492"/>
    <cellStyle name="Обычный 8 5 2 3 3 2 5 2" xfId="42493"/>
    <cellStyle name="Обычный 8 5 2 3 3 2 6" xfId="42494"/>
    <cellStyle name="Обычный 8 5 2 3 3 2 7" xfId="42495"/>
    <cellStyle name="Обычный 8 5 2 3 3 3" xfId="42496"/>
    <cellStyle name="Обычный 8 5 2 3 3 3 2" xfId="42497"/>
    <cellStyle name="Обычный 8 5 2 3 3 3 2 2" xfId="42498"/>
    <cellStyle name="Обычный 8 5 2 3 3 3 2 3" xfId="42499"/>
    <cellStyle name="Обычный 8 5 2 3 3 3 3" xfId="42500"/>
    <cellStyle name="Обычный 8 5 2 3 3 3 3 2" xfId="42501"/>
    <cellStyle name="Обычный 8 5 2 3 3 3 3 3" xfId="42502"/>
    <cellStyle name="Обычный 8 5 2 3 3 3 4" xfId="42503"/>
    <cellStyle name="Обычный 8 5 2 3 3 3 4 2" xfId="42504"/>
    <cellStyle name="Обычный 8 5 2 3 3 3 5" xfId="42505"/>
    <cellStyle name="Обычный 8 5 2 3 3 3 6" xfId="42506"/>
    <cellStyle name="Обычный 8 5 2 3 3 4" xfId="42507"/>
    <cellStyle name="Обычный 8 5 2 3 3 4 2" xfId="42508"/>
    <cellStyle name="Обычный 8 5 2 3 3 4 3" xfId="42509"/>
    <cellStyle name="Обычный 8 5 2 3 3 5" xfId="42510"/>
    <cellStyle name="Обычный 8 5 2 3 3 5 2" xfId="42511"/>
    <cellStyle name="Обычный 8 5 2 3 3 5 3" xfId="42512"/>
    <cellStyle name="Обычный 8 5 2 3 3 6" xfId="42513"/>
    <cellStyle name="Обычный 8 5 2 3 3 6 2" xfId="42514"/>
    <cellStyle name="Обычный 8 5 2 3 3 7" xfId="42515"/>
    <cellStyle name="Обычный 8 5 2 3 3 8" xfId="42516"/>
    <cellStyle name="Обычный 8 5 2 3 4" xfId="42517"/>
    <cellStyle name="Обычный 8 5 2 3 4 2" xfId="42518"/>
    <cellStyle name="Обычный 8 5 2 3 4 2 2" xfId="42519"/>
    <cellStyle name="Обычный 8 5 2 3 4 2 2 2" xfId="42520"/>
    <cellStyle name="Обычный 8 5 2 3 4 2 2 3" xfId="42521"/>
    <cellStyle name="Обычный 8 5 2 3 4 2 3" xfId="42522"/>
    <cellStyle name="Обычный 8 5 2 3 4 2 3 2" xfId="42523"/>
    <cellStyle name="Обычный 8 5 2 3 4 2 3 3" xfId="42524"/>
    <cellStyle name="Обычный 8 5 2 3 4 2 4" xfId="42525"/>
    <cellStyle name="Обычный 8 5 2 3 4 2 4 2" xfId="42526"/>
    <cellStyle name="Обычный 8 5 2 3 4 2 5" xfId="42527"/>
    <cellStyle name="Обычный 8 5 2 3 4 2 6" xfId="42528"/>
    <cellStyle name="Обычный 8 5 2 3 4 3" xfId="42529"/>
    <cellStyle name="Обычный 8 5 2 3 4 3 2" xfId="42530"/>
    <cellStyle name="Обычный 8 5 2 3 4 3 3" xfId="42531"/>
    <cellStyle name="Обычный 8 5 2 3 4 4" xfId="42532"/>
    <cellStyle name="Обычный 8 5 2 3 4 4 2" xfId="42533"/>
    <cellStyle name="Обычный 8 5 2 3 4 4 3" xfId="42534"/>
    <cellStyle name="Обычный 8 5 2 3 4 5" xfId="42535"/>
    <cellStyle name="Обычный 8 5 2 3 4 5 2" xfId="42536"/>
    <cellStyle name="Обычный 8 5 2 3 4 6" xfId="42537"/>
    <cellStyle name="Обычный 8 5 2 3 4 7" xfId="42538"/>
    <cellStyle name="Обычный 8 5 2 3 5" xfId="42539"/>
    <cellStyle name="Обычный 8 5 2 3 5 2" xfId="42540"/>
    <cellStyle name="Обычный 8 5 2 3 5 2 2" xfId="42541"/>
    <cellStyle name="Обычный 8 5 2 3 5 2 3" xfId="42542"/>
    <cellStyle name="Обычный 8 5 2 3 5 3" xfId="42543"/>
    <cellStyle name="Обычный 8 5 2 3 5 3 2" xfId="42544"/>
    <cellStyle name="Обычный 8 5 2 3 5 3 3" xfId="42545"/>
    <cellStyle name="Обычный 8 5 2 3 5 4" xfId="42546"/>
    <cellStyle name="Обычный 8 5 2 3 5 4 2" xfId="42547"/>
    <cellStyle name="Обычный 8 5 2 3 5 5" xfId="42548"/>
    <cellStyle name="Обычный 8 5 2 3 5 6" xfId="42549"/>
    <cellStyle name="Обычный 8 5 2 3 6" xfId="42550"/>
    <cellStyle name="Обычный 8 5 2 3 6 2" xfId="42551"/>
    <cellStyle name="Обычный 8 5 2 3 6 3" xfId="42552"/>
    <cellStyle name="Обычный 8 5 2 3 7" xfId="42553"/>
    <cellStyle name="Обычный 8 5 2 3 7 2" xfId="42554"/>
    <cellStyle name="Обычный 8 5 2 3 7 3" xfId="42555"/>
    <cellStyle name="Обычный 8 5 2 3 8" xfId="42556"/>
    <cellStyle name="Обычный 8 5 2 3 8 2" xfId="42557"/>
    <cellStyle name="Обычный 8 5 2 3 9" xfId="42558"/>
    <cellStyle name="Обычный 8 5 2 4" xfId="42559"/>
    <cellStyle name="Обычный 8 5 2 4 10" xfId="42560"/>
    <cellStyle name="Обычный 8 5 2 4 2" xfId="42561"/>
    <cellStyle name="Обычный 8 5 2 4 2 2" xfId="42562"/>
    <cellStyle name="Обычный 8 5 2 4 2 2 2" xfId="42563"/>
    <cellStyle name="Обычный 8 5 2 4 2 2 2 2" xfId="42564"/>
    <cellStyle name="Обычный 8 5 2 4 2 2 2 2 2" xfId="42565"/>
    <cellStyle name="Обычный 8 5 2 4 2 2 2 2 2 2" xfId="42566"/>
    <cellStyle name="Обычный 8 5 2 4 2 2 2 2 2 3" xfId="42567"/>
    <cellStyle name="Обычный 8 5 2 4 2 2 2 2 3" xfId="42568"/>
    <cellStyle name="Обычный 8 5 2 4 2 2 2 2 3 2" xfId="42569"/>
    <cellStyle name="Обычный 8 5 2 4 2 2 2 2 3 3" xfId="42570"/>
    <cellStyle name="Обычный 8 5 2 4 2 2 2 2 4" xfId="42571"/>
    <cellStyle name="Обычный 8 5 2 4 2 2 2 2 4 2" xfId="42572"/>
    <cellStyle name="Обычный 8 5 2 4 2 2 2 2 5" xfId="42573"/>
    <cellStyle name="Обычный 8 5 2 4 2 2 2 2 6" xfId="42574"/>
    <cellStyle name="Обычный 8 5 2 4 2 2 2 3" xfId="42575"/>
    <cellStyle name="Обычный 8 5 2 4 2 2 2 3 2" xfId="42576"/>
    <cellStyle name="Обычный 8 5 2 4 2 2 2 3 3" xfId="42577"/>
    <cellStyle name="Обычный 8 5 2 4 2 2 2 4" xfId="42578"/>
    <cellStyle name="Обычный 8 5 2 4 2 2 2 4 2" xfId="42579"/>
    <cellStyle name="Обычный 8 5 2 4 2 2 2 4 3" xfId="42580"/>
    <cellStyle name="Обычный 8 5 2 4 2 2 2 5" xfId="42581"/>
    <cellStyle name="Обычный 8 5 2 4 2 2 2 5 2" xfId="42582"/>
    <cellStyle name="Обычный 8 5 2 4 2 2 2 6" xfId="42583"/>
    <cellStyle name="Обычный 8 5 2 4 2 2 2 7" xfId="42584"/>
    <cellStyle name="Обычный 8 5 2 4 2 2 3" xfId="42585"/>
    <cellStyle name="Обычный 8 5 2 4 2 2 3 2" xfId="42586"/>
    <cellStyle name="Обычный 8 5 2 4 2 2 3 2 2" xfId="42587"/>
    <cellStyle name="Обычный 8 5 2 4 2 2 3 2 3" xfId="42588"/>
    <cellStyle name="Обычный 8 5 2 4 2 2 3 3" xfId="42589"/>
    <cellStyle name="Обычный 8 5 2 4 2 2 3 3 2" xfId="42590"/>
    <cellStyle name="Обычный 8 5 2 4 2 2 3 3 3" xfId="42591"/>
    <cellStyle name="Обычный 8 5 2 4 2 2 3 4" xfId="42592"/>
    <cellStyle name="Обычный 8 5 2 4 2 2 3 4 2" xfId="42593"/>
    <cellStyle name="Обычный 8 5 2 4 2 2 3 5" xfId="42594"/>
    <cellStyle name="Обычный 8 5 2 4 2 2 3 6" xfId="42595"/>
    <cellStyle name="Обычный 8 5 2 4 2 2 4" xfId="42596"/>
    <cellStyle name="Обычный 8 5 2 4 2 2 4 2" xfId="42597"/>
    <cellStyle name="Обычный 8 5 2 4 2 2 4 3" xfId="42598"/>
    <cellStyle name="Обычный 8 5 2 4 2 2 5" xfId="42599"/>
    <cellStyle name="Обычный 8 5 2 4 2 2 5 2" xfId="42600"/>
    <cellStyle name="Обычный 8 5 2 4 2 2 5 3" xfId="42601"/>
    <cellStyle name="Обычный 8 5 2 4 2 2 6" xfId="42602"/>
    <cellStyle name="Обычный 8 5 2 4 2 2 6 2" xfId="42603"/>
    <cellStyle name="Обычный 8 5 2 4 2 2 7" xfId="42604"/>
    <cellStyle name="Обычный 8 5 2 4 2 2 8" xfId="42605"/>
    <cellStyle name="Обычный 8 5 2 4 2 3" xfId="42606"/>
    <cellStyle name="Обычный 8 5 2 4 2 3 2" xfId="42607"/>
    <cellStyle name="Обычный 8 5 2 4 2 3 2 2" xfId="42608"/>
    <cellStyle name="Обычный 8 5 2 4 2 3 2 2 2" xfId="42609"/>
    <cellStyle name="Обычный 8 5 2 4 2 3 2 2 3" xfId="42610"/>
    <cellStyle name="Обычный 8 5 2 4 2 3 2 3" xfId="42611"/>
    <cellStyle name="Обычный 8 5 2 4 2 3 2 3 2" xfId="42612"/>
    <cellStyle name="Обычный 8 5 2 4 2 3 2 3 3" xfId="42613"/>
    <cellStyle name="Обычный 8 5 2 4 2 3 2 4" xfId="42614"/>
    <cellStyle name="Обычный 8 5 2 4 2 3 2 4 2" xfId="42615"/>
    <cellStyle name="Обычный 8 5 2 4 2 3 2 5" xfId="42616"/>
    <cellStyle name="Обычный 8 5 2 4 2 3 2 6" xfId="42617"/>
    <cellStyle name="Обычный 8 5 2 4 2 3 3" xfId="42618"/>
    <cellStyle name="Обычный 8 5 2 4 2 3 3 2" xfId="42619"/>
    <cellStyle name="Обычный 8 5 2 4 2 3 3 3" xfId="42620"/>
    <cellStyle name="Обычный 8 5 2 4 2 3 4" xfId="42621"/>
    <cellStyle name="Обычный 8 5 2 4 2 3 4 2" xfId="42622"/>
    <cellStyle name="Обычный 8 5 2 4 2 3 4 3" xfId="42623"/>
    <cellStyle name="Обычный 8 5 2 4 2 3 5" xfId="42624"/>
    <cellStyle name="Обычный 8 5 2 4 2 3 5 2" xfId="42625"/>
    <cellStyle name="Обычный 8 5 2 4 2 3 6" xfId="42626"/>
    <cellStyle name="Обычный 8 5 2 4 2 3 7" xfId="42627"/>
    <cellStyle name="Обычный 8 5 2 4 2 4" xfId="42628"/>
    <cellStyle name="Обычный 8 5 2 4 2 4 2" xfId="42629"/>
    <cellStyle name="Обычный 8 5 2 4 2 4 2 2" xfId="42630"/>
    <cellStyle name="Обычный 8 5 2 4 2 4 2 3" xfId="42631"/>
    <cellStyle name="Обычный 8 5 2 4 2 4 3" xfId="42632"/>
    <cellStyle name="Обычный 8 5 2 4 2 4 3 2" xfId="42633"/>
    <cellStyle name="Обычный 8 5 2 4 2 4 3 3" xfId="42634"/>
    <cellStyle name="Обычный 8 5 2 4 2 4 4" xfId="42635"/>
    <cellStyle name="Обычный 8 5 2 4 2 4 4 2" xfId="42636"/>
    <cellStyle name="Обычный 8 5 2 4 2 4 5" xfId="42637"/>
    <cellStyle name="Обычный 8 5 2 4 2 4 6" xfId="42638"/>
    <cellStyle name="Обычный 8 5 2 4 2 5" xfId="42639"/>
    <cellStyle name="Обычный 8 5 2 4 2 5 2" xfId="42640"/>
    <cellStyle name="Обычный 8 5 2 4 2 5 3" xfId="42641"/>
    <cellStyle name="Обычный 8 5 2 4 2 6" xfId="42642"/>
    <cellStyle name="Обычный 8 5 2 4 2 6 2" xfId="42643"/>
    <cellStyle name="Обычный 8 5 2 4 2 6 3" xfId="42644"/>
    <cellStyle name="Обычный 8 5 2 4 2 7" xfId="42645"/>
    <cellStyle name="Обычный 8 5 2 4 2 7 2" xfId="42646"/>
    <cellStyle name="Обычный 8 5 2 4 2 8" xfId="42647"/>
    <cellStyle name="Обычный 8 5 2 4 2 9" xfId="42648"/>
    <cellStyle name="Обычный 8 5 2 4 3" xfId="42649"/>
    <cellStyle name="Обычный 8 5 2 4 3 2" xfId="42650"/>
    <cellStyle name="Обычный 8 5 2 4 3 2 2" xfId="42651"/>
    <cellStyle name="Обычный 8 5 2 4 3 2 2 2" xfId="42652"/>
    <cellStyle name="Обычный 8 5 2 4 3 2 2 2 2" xfId="42653"/>
    <cellStyle name="Обычный 8 5 2 4 3 2 2 2 3" xfId="42654"/>
    <cellStyle name="Обычный 8 5 2 4 3 2 2 3" xfId="42655"/>
    <cellStyle name="Обычный 8 5 2 4 3 2 2 3 2" xfId="42656"/>
    <cellStyle name="Обычный 8 5 2 4 3 2 2 3 3" xfId="42657"/>
    <cellStyle name="Обычный 8 5 2 4 3 2 2 4" xfId="42658"/>
    <cellStyle name="Обычный 8 5 2 4 3 2 2 4 2" xfId="42659"/>
    <cellStyle name="Обычный 8 5 2 4 3 2 2 5" xfId="42660"/>
    <cellStyle name="Обычный 8 5 2 4 3 2 2 6" xfId="42661"/>
    <cellStyle name="Обычный 8 5 2 4 3 2 3" xfId="42662"/>
    <cellStyle name="Обычный 8 5 2 4 3 2 3 2" xfId="42663"/>
    <cellStyle name="Обычный 8 5 2 4 3 2 3 3" xfId="42664"/>
    <cellStyle name="Обычный 8 5 2 4 3 2 4" xfId="42665"/>
    <cellStyle name="Обычный 8 5 2 4 3 2 4 2" xfId="42666"/>
    <cellStyle name="Обычный 8 5 2 4 3 2 4 3" xfId="42667"/>
    <cellStyle name="Обычный 8 5 2 4 3 2 5" xfId="42668"/>
    <cellStyle name="Обычный 8 5 2 4 3 2 5 2" xfId="42669"/>
    <cellStyle name="Обычный 8 5 2 4 3 2 6" xfId="42670"/>
    <cellStyle name="Обычный 8 5 2 4 3 2 7" xfId="42671"/>
    <cellStyle name="Обычный 8 5 2 4 3 3" xfId="42672"/>
    <cellStyle name="Обычный 8 5 2 4 3 3 2" xfId="42673"/>
    <cellStyle name="Обычный 8 5 2 4 3 3 2 2" xfId="42674"/>
    <cellStyle name="Обычный 8 5 2 4 3 3 2 3" xfId="42675"/>
    <cellStyle name="Обычный 8 5 2 4 3 3 3" xfId="42676"/>
    <cellStyle name="Обычный 8 5 2 4 3 3 3 2" xfId="42677"/>
    <cellStyle name="Обычный 8 5 2 4 3 3 3 3" xfId="42678"/>
    <cellStyle name="Обычный 8 5 2 4 3 3 4" xfId="42679"/>
    <cellStyle name="Обычный 8 5 2 4 3 3 4 2" xfId="42680"/>
    <cellStyle name="Обычный 8 5 2 4 3 3 5" xfId="42681"/>
    <cellStyle name="Обычный 8 5 2 4 3 3 6" xfId="42682"/>
    <cellStyle name="Обычный 8 5 2 4 3 4" xfId="42683"/>
    <cellStyle name="Обычный 8 5 2 4 3 4 2" xfId="42684"/>
    <cellStyle name="Обычный 8 5 2 4 3 4 3" xfId="42685"/>
    <cellStyle name="Обычный 8 5 2 4 3 5" xfId="42686"/>
    <cellStyle name="Обычный 8 5 2 4 3 5 2" xfId="42687"/>
    <cellStyle name="Обычный 8 5 2 4 3 5 3" xfId="42688"/>
    <cellStyle name="Обычный 8 5 2 4 3 6" xfId="42689"/>
    <cellStyle name="Обычный 8 5 2 4 3 6 2" xfId="42690"/>
    <cellStyle name="Обычный 8 5 2 4 3 7" xfId="42691"/>
    <cellStyle name="Обычный 8 5 2 4 3 8" xfId="42692"/>
    <cellStyle name="Обычный 8 5 2 4 4" xfId="42693"/>
    <cellStyle name="Обычный 8 5 2 4 4 2" xfId="42694"/>
    <cellStyle name="Обычный 8 5 2 4 4 2 2" xfId="42695"/>
    <cellStyle name="Обычный 8 5 2 4 4 2 2 2" xfId="42696"/>
    <cellStyle name="Обычный 8 5 2 4 4 2 2 3" xfId="42697"/>
    <cellStyle name="Обычный 8 5 2 4 4 2 3" xfId="42698"/>
    <cellStyle name="Обычный 8 5 2 4 4 2 3 2" xfId="42699"/>
    <cellStyle name="Обычный 8 5 2 4 4 2 3 3" xfId="42700"/>
    <cellStyle name="Обычный 8 5 2 4 4 2 4" xfId="42701"/>
    <cellStyle name="Обычный 8 5 2 4 4 2 4 2" xfId="42702"/>
    <cellStyle name="Обычный 8 5 2 4 4 2 5" xfId="42703"/>
    <cellStyle name="Обычный 8 5 2 4 4 2 6" xfId="42704"/>
    <cellStyle name="Обычный 8 5 2 4 4 3" xfId="42705"/>
    <cellStyle name="Обычный 8 5 2 4 4 3 2" xfId="42706"/>
    <cellStyle name="Обычный 8 5 2 4 4 3 3" xfId="42707"/>
    <cellStyle name="Обычный 8 5 2 4 4 4" xfId="42708"/>
    <cellStyle name="Обычный 8 5 2 4 4 4 2" xfId="42709"/>
    <cellStyle name="Обычный 8 5 2 4 4 4 3" xfId="42710"/>
    <cellStyle name="Обычный 8 5 2 4 4 5" xfId="42711"/>
    <cellStyle name="Обычный 8 5 2 4 4 5 2" xfId="42712"/>
    <cellStyle name="Обычный 8 5 2 4 4 6" xfId="42713"/>
    <cellStyle name="Обычный 8 5 2 4 4 7" xfId="42714"/>
    <cellStyle name="Обычный 8 5 2 4 5" xfId="42715"/>
    <cellStyle name="Обычный 8 5 2 4 5 2" xfId="42716"/>
    <cellStyle name="Обычный 8 5 2 4 5 2 2" xfId="42717"/>
    <cellStyle name="Обычный 8 5 2 4 5 2 3" xfId="42718"/>
    <cellStyle name="Обычный 8 5 2 4 5 3" xfId="42719"/>
    <cellStyle name="Обычный 8 5 2 4 5 3 2" xfId="42720"/>
    <cellStyle name="Обычный 8 5 2 4 5 3 3" xfId="42721"/>
    <cellStyle name="Обычный 8 5 2 4 5 4" xfId="42722"/>
    <cellStyle name="Обычный 8 5 2 4 5 4 2" xfId="42723"/>
    <cellStyle name="Обычный 8 5 2 4 5 5" xfId="42724"/>
    <cellStyle name="Обычный 8 5 2 4 5 6" xfId="42725"/>
    <cellStyle name="Обычный 8 5 2 4 6" xfId="42726"/>
    <cellStyle name="Обычный 8 5 2 4 6 2" xfId="42727"/>
    <cellStyle name="Обычный 8 5 2 4 6 3" xfId="42728"/>
    <cellStyle name="Обычный 8 5 2 4 7" xfId="42729"/>
    <cellStyle name="Обычный 8 5 2 4 7 2" xfId="42730"/>
    <cellStyle name="Обычный 8 5 2 4 7 3" xfId="42731"/>
    <cellStyle name="Обычный 8 5 2 4 8" xfId="42732"/>
    <cellStyle name="Обычный 8 5 2 4 8 2" xfId="42733"/>
    <cellStyle name="Обычный 8 5 2 4 9" xfId="42734"/>
    <cellStyle name="Обычный 8 5 2 5" xfId="42735"/>
    <cellStyle name="Обычный 8 5 2 5 2" xfId="42736"/>
    <cellStyle name="Обычный 8 5 2 5 2 2" xfId="42737"/>
    <cellStyle name="Обычный 8 5 2 5 2 2 2" xfId="42738"/>
    <cellStyle name="Обычный 8 5 2 5 2 2 2 2" xfId="42739"/>
    <cellStyle name="Обычный 8 5 2 5 2 2 2 2 2" xfId="42740"/>
    <cellStyle name="Обычный 8 5 2 5 2 2 2 2 3" xfId="42741"/>
    <cellStyle name="Обычный 8 5 2 5 2 2 2 3" xfId="42742"/>
    <cellStyle name="Обычный 8 5 2 5 2 2 2 3 2" xfId="42743"/>
    <cellStyle name="Обычный 8 5 2 5 2 2 2 3 3" xfId="42744"/>
    <cellStyle name="Обычный 8 5 2 5 2 2 2 4" xfId="42745"/>
    <cellStyle name="Обычный 8 5 2 5 2 2 2 4 2" xfId="42746"/>
    <cellStyle name="Обычный 8 5 2 5 2 2 2 5" xfId="42747"/>
    <cellStyle name="Обычный 8 5 2 5 2 2 2 6" xfId="42748"/>
    <cellStyle name="Обычный 8 5 2 5 2 2 3" xfId="42749"/>
    <cellStyle name="Обычный 8 5 2 5 2 2 3 2" xfId="42750"/>
    <cellStyle name="Обычный 8 5 2 5 2 2 3 3" xfId="42751"/>
    <cellStyle name="Обычный 8 5 2 5 2 2 4" xfId="42752"/>
    <cellStyle name="Обычный 8 5 2 5 2 2 4 2" xfId="42753"/>
    <cellStyle name="Обычный 8 5 2 5 2 2 4 3" xfId="42754"/>
    <cellStyle name="Обычный 8 5 2 5 2 2 5" xfId="42755"/>
    <cellStyle name="Обычный 8 5 2 5 2 2 5 2" xfId="42756"/>
    <cellStyle name="Обычный 8 5 2 5 2 2 6" xfId="42757"/>
    <cellStyle name="Обычный 8 5 2 5 2 2 7" xfId="42758"/>
    <cellStyle name="Обычный 8 5 2 5 2 3" xfId="42759"/>
    <cellStyle name="Обычный 8 5 2 5 2 3 2" xfId="42760"/>
    <cellStyle name="Обычный 8 5 2 5 2 3 2 2" xfId="42761"/>
    <cellStyle name="Обычный 8 5 2 5 2 3 2 3" xfId="42762"/>
    <cellStyle name="Обычный 8 5 2 5 2 3 3" xfId="42763"/>
    <cellStyle name="Обычный 8 5 2 5 2 3 3 2" xfId="42764"/>
    <cellStyle name="Обычный 8 5 2 5 2 3 3 3" xfId="42765"/>
    <cellStyle name="Обычный 8 5 2 5 2 3 4" xfId="42766"/>
    <cellStyle name="Обычный 8 5 2 5 2 3 4 2" xfId="42767"/>
    <cellStyle name="Обычный 8 5 2 5 2 3 5" xfId="42768"/>
    <cellStyle name="Обычный 8 5 2 5 2 3 6" xfId="42769"/>
    <cellStyle name="Обычный 8 5 2 5 2 4" xfId="42770"/>
    <cellStyle name="Обычный 8 5 2 5 2 4 2" xfId="42771"/>
    <cellStyle name="Обычный 8 5 2 5 2 4 3" xfId="42772"/>
    <cellStyle name="Обычный 8 5 2 5 2 5" xfId="42773"/>
    <cellStyle name="Обычный 8 5 2 5 2 5 2" xfId="42774"/>
    <cellStyle name="Обычный 8 5 2 5 2 5 3" xfId="42775"/>
    <cellStyle name="Обычный 8 5 2 5 2 6" xfId="42776"/>
    <cellStyle name="Обычный 8 5 2 5 2 6 2" xfId="42777"/>
    <cellStyle name="Обычный 8 5 2 5 2 7" xfId="42778"/>
    <cellStyle name="Обычный 8 5 2 5 2 8" xfId="42779"/>
    <cellStyle name="Обычный 8 5 2 5 3" xfId="42780"/>
    <cellStyle name="Обычный 8 5 2 5 3 2" xfId="42781"/>
    <cellStyle name="Обычный 8 5 2 5 3 2 2" xfId="42782"/>
    <cellStyle name="Обычный 8 5 2 5 3 2 2 2" xfId="42783"/>
    <cellStyle name="Обычный 8 5 2 5 3 2 2 3" xfId="42784"/>
    <cellStyle name="Обычный 8 5 2 5 3 2 3" xfId="42785"/>
    <cellStyle name="Обычный 8 5 2 5 3 2 3 2" xfId="42786"/>
    <cellStyle name="Обычный 8 5 2 5 3 2 3 3" xfId="42787"/>
    <cellStyle name="Обычный 8 5 2 5 3 2 4" xfId="42788"/>
    <cellStyle name="Обычный 8 5 2 5 3 2 4 2" xfId="42789"/>
    <cellStyle name="Обычный 8 5 2 5 3 2 5" xfId="42790"/>
    <cellStyle name="Обычный 8 5 2 5 3 2 6" xfId="42791"/>
    <cellStyle name="Обычный 8 5 2 5 3 3" xfId="42792"/>
    <cellStyle name="Обычный 8 5 2 5 3 3 2" xfId="42793"/>
    <cellStyle name="Обычный 8 5 2 5 3 3 3" xfId="42794"/>
    <cellStyle name="Обычный 8 5 2 5 3 4" xfId="42795"/>
    <cellStyle name="Обычный 8 5 2 5 3 4 2" xfId="42796"/>
    <cellStyle name="Обычный 8 5 2 5 3 4 3" xfId="42797"/>
    <cellStyle name="Обычный 8 5 2 5 3 5" xfId="42798"/>
    <cellStyle name="Обычный 8 5 2 5 3 5 2" xfId="42799"/>
    <cellStyle name="Обычный 8 5 2 5 3 6" xfId="42800"/>
    <cellStyle name="Обычный 8 5 2 5 3 7" xfId="42801"/>
    <cellStyle name="Обычный 8 5 2 5 4" xfId="42802"/>
    <cellStyle name="Обычный 8 5 2 5 4 2" xfId="42803"/>
    <cellStyle name="Обычный 8 5 2 5 4 2 2" xfId="42804"/>
    <cellStyle name="Обычный 8 5 2 5 4 2 3" xfId="42805"/>
    <cellStyle name="Обычный 8 5 2 5 4 3" xfId="42806"/>
    <cellStyle name="Обычный 8 5 2 5 4 3 2" xfId="42807"/>
    <cellStyle name="Обычный 8 5 2 5 4 3 3" xfId="42808"/>
    <cellStyle name="Обычный 8 5 2 5 4 4" xfId="42809"/>
    <cellStyle name="Обычный 8 5 2 5 4 4 2" xfId="42810"/>
    <cellStyle name="Обычный 8 5 2 5 4 5" xfId="42811"/>
    <cellStyle name="Обычный 8 5 2 5 4 6" xfId="42812"/>
    <cellStyle name="Обычный 8 5 2 5 5" xfId="42813"/>
    <cellStyle name="Обычный 8 5 2 5 5 2" xfId="42814"/>
    <cellStyle name="Обычный 8 5 2 5 5 3" xfId="42815"/>
    <cellStyle name="Обычный 8 5 2 5 6" xfId="42816"/>
    <cellStyle name="Обычный 8 5 2 5 6 2" xfId="42817"/>
    <cellStyle name="Обычный 8 5 2 5 6 3" xfId="42818"/>
    <cellStyle name="Обычный 8 5 2 5 7" xfId="42819"/>
    <cellStyle name="Обычный 8 5 2 5 7 2" xfId="42820"/>
    <cellStyle name="Обычный 8 5 2 5 8" xfId="42821"/>
    <cellStyle name="Обычный 8 5 2 5 9" xfId="42822"/>
    <cellStyle name="Обычный 8 5 2 6" xfId="42823"/>
    <cellStyle name="Обычный 8 5 2 6 2" xfId="42824"/>
    <cellStyle name="Обычный 8 5 2 6 2 2" xfId="42825"/>
    <cellStyle name="Обычный 8 5 2 6 2 2 2" xfId="42826"/>
    <cellStyle name="Обычный 8 5 2 6 2 2 2 2" xfId="42827"/>
    <cellStyle name="Обычный 8 5 2 6 2 2 2 3" xfId="42828"/>
    <cellStyle name="Обычный 8 5 2 6 2 2 3" xfId="42829"/>
    <cellStyle name="Обычный 8 5 2 6 2 2 3 2" xfId="42830"/>
    <cellStyle name="Обычный 8 5 2 6 2 2 3 3" xfId="42831"/>
    <cellStyle name="Обычный 8 5 2 6 2 2 4" xfId="42832"/>
    <cellStyle name="Обычный 8 5 2 6 2 2 4 2" xfId="42833"/>
    <cellStyle name="Обычный 8 5 2 6 2 2 5" xfId="42834"/>
    <cellStyle name="Обычный 8 5 2 6 2 2 6" xfId="42835"/>
    <cellStyle name="Обычный 8 5 2 6 2 3" xfId="42836"/>
    <cellStyle name="Обычный 8 5 2 6 2 3 2" xfId="42837"/>
    <cellStyle name="Обычный 8 5 2 6 2 3 3" xfId="42838"/>
    <cellStyle name="Обычный 8 5 2 6 2 4" xfId="42839"/>
    <cellStyle name="Обычный 8 5 2 6 2 4 2" xfId="42840"/>
    <cellStyle name="Обычный 8 5 2 6 2 4 3" xfId="42841"/>
    <cellStyle name="Обычный 8 5 2 6 2 5" xfId="42842"/>
    <cellStyle name="Обычный 8 5 2 6 2 5 2" xfId="42843"/>
    <cellStyle name="Обычный 8 5 2 6 2 6" xfId="42844"/>
    <cellStyle name="Обычный 8 5 2 6 2 7" xfId="42845"/>
    <cellStyle name="Обычный 8 5 2 6 3" xfId="42846"/>
    <cellStyle name="Обычный 8 5 2 6 3 2" xfId="42847"/>
    <cellStyle name="Обычный 8 5 2 6 3 2 2" xfId="42848"/>
    <cellStyle name="Обычный 8 5 2 6 3 2 3" xfId="42849"/>
    <cellStyle name="Обычный 8 5 2 6 3 3" xfId="42850"/>
    <cellStyle name="Обычный 8 5 2 6 3 3 2" xfId="42851"/>
    <cellStyle name="Обычный 8 5 2 6 3 3 3" xfId="42852"/>
    <cellStyle name="Обычный 8 5 2 6 3 4" xfId="42853"/>
    <cellStyle name="Обычный 8 5 2 6 3 4 2" xfId="42854"/>
    <cellStyle name="Обычный 8 5 2 6 3 5" xfId="42855"/>
    <cellStyle name="Обычный 8 5 2 6 3 6" xfId="42856"/>
    <cellStyle name="Обычный 8 5 2 6 4" xfId="42857"/>
    <cellStyle name="Обычный 8 5 2 6 4 2" xfId="42858"/>
    <cellStyle name="Обычный 8 5 2 6 4 3" xfId="42859"/>
    <cellStyle name="Обычный 8 5 2 6 5" xfId="42860"/>
    <cellStyle name="Обычный 8 5 2 6 5 2" xfId="42861"/>
    <cellStyle name="Обычный 8 5 2 6 5 3" xfId="42862"/>
    <cellStyle name="Обычный 8 5 2 6 6" xfId="42863"/>
    <cellStyle name="Обычный 8 5 2 6 6 2" xfId="42864"/>
    <cellStyle name="Обычный 8 5 2 6 7" xfId="42865"/>
    <cellStyle name="Обычный 8 5 2 6 8" xfId="42866"/>
    <cellStyle name="Обычный 8 5 2 7" xfId="42867"/>
    <cellStyle name="Обычный 8 5 2 7 2" xfId="42868"/>
    <cellStyle name="Обычный 8 5 2 7 2 2" xfId="42869"/>
    <cellStyle name="Обычный 8 5 2 7 2 2 2" xfId="42870"/>
    <cellStyle name="Обычный 8 5 2 7 2 2 3" xfId="42871"/>
    <cellStyle name="Обычный 8 5 2 7 2 3" xfId="42872"/>
    <cellStyle name="Обычный 8 5 2 7 2 3 2" xfId="42873"/>
    <cellStyle name="Обычный 8 5 2 7 2 3 3" xfId="42874"/>
    <cellStyle name="Обычный 8 5 2 7 2 4" xfId="42875"/>
    <cellStyle name="Обычный 8 5 2 7 2 4 2" xfId="42876"/>
    <cellStyle name="Обычный 8 5 2 7 2 5" xfId="42877"/>
    <cellStyle name="Обычный 8 5 2 7 2 6" xfId="42878"/>
    <cellStyle name="Обычный 8 5 2 7 3" xfId="42879"/>
    <cellStyle name="Обычный 8 5 2 7 3 2" xfId="42880"/>
    <cellStyle name="Обычный 8 5 2 7 3 3" xfId="42881"/>
    <cellStyle name="Обычный 8 5 2 7 4" xfId="42882"/>
    <cellStyle name="Обычный 8 5 2 7 4 2" xfId="42883"/>
    <cellStyle name="Обычный 8 5 2 7 4 3" xfId="42884"/>
    <cellStyle name="Обычный 8 5 2 7 5" xfId="42885"/>
    <cellStyle name="Обычный 8 5 2 7 5 2" xfId="42886"/>
    <cellStyle name="Обычный 8 5 2 7 6" xfId="42887"/>
    <cellStyle name="Обычный 8 5 2 7 7" xfId="42888"/>
    <cellStyle name="Обычный 8 5 2 8" xfId="42889"/>
    <cellStyle name="Обычный 8 5 2 8 2" xfId="42890"/>
    <cellStyle name="Обычный 8 5 2 8 2 2" xfId="42891"/>
    <cellStyle name="Обычный 8 5 2 8 2 3" xfId="42892"/>
    <cellStyle name="Обычный 8 5 2 8 3" xfId="42893"/>
    <cellStyle name="Обычный 8 5 2 8 3 2" xfId="42894"/>
    <cellStyle name="Обычный 8 5 2 8 3 3" xfId="42895"/>
    <cellStyle name="Обычный 8 5 2 8 4" xfId="42896"/>
    <cellStyle name="Обычный 8 5 2 8 4 2" xfId="42897"/>
    <cellStyle name="Обычный 8 5 2 8 5" xfId="42898"/>
    <cellStyle name="Обычный 8 5 2 8 6" xfId="42899"/>
    <cellStyle name="Обычный 8 5 2 9" xfId="42900"/>
    <cellStyle name="Обычный 8 5 2 9 2" xfId="42901"/>
    <cellStyle name="Обычный 8 5 2 9 3" xfId="42902"/>
    <cellStyle name="Обычный 8 5 3" xfId="42903"/>
    <cellStyle name="Обычный 8 5 3 10" xfId="42904"/>
    <cellStyle name="Обычный 8 5 3 2" xfId="42905"/>
    <cellStyle name="Обычный 8 5 3 2 2" xfId="42906"/>
    <cellStyle name="Обычный 8 5 3 2 2 2" xfId="42907"/>
    <cellStyle name="Обычный 8 5 3 2 2 2 2" xfId="42908"/>
    <cellStyle name="Обычный 8 5 3 2 2 2 2 2" xfId="42909"/>
    <cellStyle name="Обычный 8 5 3 2 2 2 2 2 2" xfId="42910"/>
    <cellStyle name="Обычный 8 5 3 2 2 2 2 2 3" xfId="42911"/>
    <cellStyle name="Обычный 8 5 3 2 2 2 2 3" xfId="42912"/>
    <cellStyle name="Обычный 8 5 3 2 2 2 2 3 2" xfId="42913"/>
    <cellStyle name="Обычный 8 5 3 2 2 2 2 3 3" xfId="42914"/>
    <cellStyle name="Обычный 8 5 3 2 2 2 2 4" xfId="42915"/>
    <cellStyle name="Обычный 8 5 3 2 2 2 2 4 2" xfId="42916"/>
    <cellStyle name="Обычный 8 5 3 2 2 2 2 5" xfId="42917"/>
    <cellStyle name="Обычный 8 5 3 2 2 2 2 6" xfId="42918"/>
    <cellStyle name="Обычный 8 5 3 2 2 2 3" xfId="42919"/>
    <cellStyle name="Обычный 8 5 3 2 2 2 3 2" xfId="42920"/>
    <cellStyle name="Обычный 8 5 3 2 2 2 3 3" xfId="42921"/>
    <cellStyle name="Обычный 8 5 3 2 2 2 4" xfId="42922"/>
    <cellStyle name="Обычный 8 5 3 2 2 2 4 2" xfId="42923"/>
    <cellStyle name="Обычный 8 5 3 2 2 2 4 3" xfId="42924"/>
    <cellStyle name="Обычный 8 5 3 2 2 2 5" xfId="42925"/>
    <cellStyle name="Обычный 8 5 3 2 2 2 5 2" xfId="42926"/>
    <cellStyle name="Обычный 8 5 3 2 2 2 6" xfId="42927"/>
    <cellStyle name="Обычный 8 5 3 2 2 2 7" xfId="42928"/>
    <cellStyle name="Обычный 8 5 3 2 2 3" xfId="42929"/>
    <cellStyle name="Обычный 8 5 3 2 2 3 2" xfId="42930"/>
    <cellStyle name="Обычный 8 5 3 2 2 3 2 2" xfId="42931"/>
    <cellStyle name="Обычный 8 5 3 2 2 3 2 3" xfId="42932"/>
    <cellStyle name="Обычный 8 5 3 2 2 3 3" xfId="42933"/>
    <cellStyle name="Обычный 8 5 3 2 2 3 3 2" xfId="42934"/>
    <cellStyle name="Обычный 8 5 3 2 2 3 3 3" xfId="42935"/>
    <cellStyle name="Обычный 8 5 3 2 2 3 4" xfId="42936"/>
    <cellStyle name="Обычный 8 5 3 2 2 3 4 2" xfId="42937"/>
    <cellStyle name="Обычный 8 5 3 2 2 3 5" xfId="42938"/>
    <cellStyle name="Обычный 8 5 3 2 2 3 6" xfId="42939"/>
    <cellStyle name="Обычный 8 5 3 2 2 4" xfId="42940"/>
    <cellStyle name="Обычный 8 5 3 2 2 4 2" xfId="42941"/>
    <cellStyle name="Обычный 8 5 3 2 2 4 3" xfId="42942"/>
    <cellStyle name="Обычный 8 5 3 2 2 5" xfId="42943"/>
    <cellStyle name="Обычный 8 5 3 2 2 5 2" xfId="42944"/>
    <cellStyle name="Обычный 8 5 3 2 2 5 3" xfId="42945"/>
    <cellStyle name="Обычный 8 5 3 2 2 6" xfId="42946"/>
    <cellStyle name="Обычный 8 5 3 2 2 6 2" xfId="42947"/>
    <cellStyle name="Обычный 8 5 3 2 2 7" xfId="42948"/>
    <cellStyle name="Обычный 8 5 3 2 2 8" xfId="42949"/>
    <cellStyle name="Обычный 8 5 3 2 3" xfId="42950"/>
    <cellStyle name="Обычный 8 5 3 2 3 2" xfId="42951"/>
    <cellStyle name="Обычный 8 5 3 2 3 2 2" xfId="42952"/>
    <cellStyle name="Обычный 8 5 3 2 3 2 2 2" xfId="42953"/>
    <cellStyle name="Обычный 8 5 3 2 3 2 2 3" xfId="42954"/>
    <cellStyle name="Обычный 8 5 3 2 3 2 3" xfId="42955"/>
    <cellStyle name="Обычный 8 5 3 2 3 2 3 2" xfId="42956"/>
    <cellStyle name="Обычный 8 5 3 2 3 2 3 3" xfId="42957"/>
    <cellStyle name="Обычный 8 5 3 2 3 2 4" xfId="42958"/>
    <cellStyle name="Обычный 8 5 3 2 3 2 4 2" xfId="42959"/>
    <cellStyle name="Обычный 8 5 3 2 3 2 5" xfId="42960"/>
    <cellStyle name="Обычный 8 5 3 2 3 2 6" xfId="42961"/>
    <cellStyle name="Обычный 8 5 3 2 3 3" xfId="42962"/>
    <cellStyle name="Обычный 8 5 3 2 3 3 2" xfId="42963"/>
    <cellStyle name="Обычный 8 5 3 2 3 3 3" xfId="42964"/>
    <cellStyle name="Обычный 8 5 3 2 3 4" xfId="42965"/>
    <cellStyle name="Обычный 8 5 3 2 3 4 2" xfId="42966"/>
    <cellStyle name="Обычный 8 5 3 2 3 4 3" xfId="42967"/>
    <cellStyle name="Обычный 8 5 3 2 3 5" xfId="42968"/>
    <cellStyle name="Обычный 8 5 3 2 3 5 2" xfId="42969"/>
    <cellStyle name="Обычный 8 5 3 2 3 6" xfId="42970"/>
    <cellStyle name="Обычный 8 5 3 2 3 7" xfId="42971"/>
    <cellStyle name="Обычный 8 5 3 2 4" xfId="42972"/>
    <cellStyle name="Обычный 8 5 3 2 4 2" xfId="42973"/>
    <cellStyle name="Обычный 8 5 3 2 4 2 2" xfId="42974"/>
    <cellStyle name="Обычный 8 5 3 2 4 2 3" xfId="42975"/>
    <cellStyle name="Обычный 8 5 3 2 4 3" xfId="42976"/>
    <cellStyle name="Обычный 8 5 3 2 4 3 2" xfId="42977"/>
    <cellStyle name="Обычный 8 5 3 2 4 3 3" xfId="42978"/>
    <cellStyle name="Обычный 8 5 3 2 4 4" xfId="42979"/>
    <cellStyle name="Обычный 8 5 3 2 4 4 2" xfId="42980"/>
    <cellStyle name="Обычный 8 5 3 2 4 5" xfId="42981"/>
    <cellStyle name="Обычный 8 5 3 2 4 6" xfId="42982"/>
    <cellStyle name="Обычный 8 5 3 2 5" xfId="42983"/>
    <cellStyle name="Обычный 8 5 3 2 5 2" xfId="42984"/>
    <cellStyle name="Обычный 8 5 3 2 5 3" xfId="42985"/>
    <cellStyle name="Обычный 8 5 3 2 6" xfId="42986"/>
    <cellStyle name="Обычный 8 5 3 2 6 2" xfId="42987"/>
    <cellStyle name="Обычный 8 5 3 2 6 3" xfId="42988"/>
    <cellStyle name="Обычный 8 5 3 2 7" xfId="42989"/>
    <cellStyle name="Обычный 8 5 3 2 7 2" xfId="42990"/>
    <cellStyle name="Обычный 8 5 3 2 8" xfId="42991"/>
    <cellStyle name="Обычный 8 5 3 2 9" xfId="42992"/>
    <cellStyle name="Обычный 8 5 3 3" xfId="42993"/>
    <cellStyle name="Обычный 8 5 3 3 2" xfId="42994"/>
    <cellStyle name="Обычный 8 5 3 3 2 2" xfId="42995"/>
    <cellStyle name="Обычный 8 5 3 3 2 2 2" xfId="42996"/>
    <cellStyle name="Обычный 8 5 3 3 2 2 2 2" xfId="42997"/>
    <cellStyle name="Обычный 8 5 3 3 2 2 2 3" xfId="42998"/>
    <cellStyle name="Обычный 8 5 3 3 2 2 3" xfId="42999"/>
    <cellStyle name="Обычный 8 5 3 3 2 2 3 2" xfId="43000"/>
    <cellStyle name="Обычный 8 5 3 3 2 2 3 3" xfId="43001"/>
    <cellStyle name="Обычный 8 5 3 3 2 2 4" xfId="43002"/>
    <cellStyle name="Обычный 8 5 3 3 2 2 4 2" xfId="43003"/>
    <cellStyle name="Обычный 8 5 3 3 2 2 5" xfId="43004"/>
    <cellStyle name="Обычный 8 5 3 3 2 2 6" xfId="43005"/>
    <cellStyle name="Обычный 8 5 3 3 2 3" xfId="43006"/>
    <cellStyle name="Обычный 8 5 3 3 2 3 2" xfId="43007"/>
    <cellStyle name="Обычный 8 5 3 3 2 3 3" xfId="43008"/>
    <cellStyle name="Обычный 8 5 3 3 2 4" xfId="43009"/>
    <cellStyle name="Обычный 8 5 3 3 2 4 2" xfId="43010"/>
    <cellStyle name="Обычный 8 5 3 3 2 4 3" xfId="43011"/>
    <cellStyle name="Обычный 8 5 3 3 2 5" xfId="43012"/>
    <cellStyle name="Обычный 8 5 3 3 2 5 2" xfId="43013"/>
    <cellStyle name="Обычный 8 5 3 3 2 6" xfId="43014"/>
    <cellStyle name="Обычный 8 5 3 3 2 7" xfId="43015"/>
    <cellStyle name="Обычный 8 5 3 3 3" xfId="43016"/>
    <cellStyle name="Обычный 8 5 3 3 3 2" xfId="43017"/>
    <cellStyle name="Обычный 8 5 3 3 3 2 2" xfId="43018"/>
    <cellStyle name="Обычный 8 5 3 3 3 2 3" xfId="43019"/>
    <cellStyle name="Обычный 8 5 3 3 3 3" xfId="43020"/>
    <cellStyle name="Обычный 8 5 3 3 3 3 2" xfId="43021"/>
    <cellStyle name="Обычный 8 5 3 3 3 3 3" xfId="43022"/>
    <cellStyle name="Обычный 8 5 3 3 3 4" xfId="43023"/>
    <cellStyle name="Обычный 8 5 3 3 3 4 2" xfId="43024"/>
    <cellStyle name="Обычный 8 5 3 3 3 5" xfId="43025"/>
    <cellStyle name="Обычный 8 5 3 3 3 6" xfId="43026"/>
    <cellStyle name="Обычный 8 5 3 3 4" xfId="43027"/>
    <cellStyle name="Обычный 8 5 3 3 4 2" xfId="43028"/>
    <cellStyle name="Обычный 8 5 3 3 4 3" xfId="43029"/>
    <cellStyle name="Обычный 8 5 3 3 5" xfId="43030"/>
    <cellStyle name="Обычный 8 5 3 3 5 2" xfId="43031"/>
    <cellStyle name="Обычный 8 5 3 3 5 3" xfId="43032"/>
    <cellStyle name="Обычный 8 5 3 3 6" xfId="43033"/>
    <cellStyle name="Обычный 8 5 3 3 6 2" xfId="43034"/>
    <cellStyle name="Обычный 8 5 3 3 7" xfId="43035"/>
    <cellStyle name="Обычный 8 5 3 3 8" xfId="43036"/>
    <cellStyle name="Обычный 8 5 3 4" xfId="43037"/>
    <cellStyle name="Обычный 8 5 3 4 2" xfId="43038"/>
    <cellStyle name="Обычный 8 5 3 4 2 2" xfId="43039"/>
    <cellStyle name="Обычный 8 5 3 4 2 2 2" xfId="43040"/>
    <cellStyle name="Обычный 8 5 3 4 2 2 3" xfId="43041"/>
    <cellStyle name="Обычный 8 5 3 4 2 3" xfId="43042"/>
    <cellStyle name="Обычный 8 5 3 4 2 3 2" xfId="43043"/>
    <cellStyle name="Обычный 8 5 3 4 2 3 3" xfId="43044"/>
    <cellStyle name="Обычный 8 5 3 4 2 4" xfId="43045"/>
    <cellStyle name="Обычный 8 5 3 4 2 4 2" xfId="43046"/>
    <cellStyle name="Обычный 8 5 3 4 2 5" xfId="43047"/>
    <cellStyle name="Обычный 8 5 3 4 2 6" xfId="43048"/>
    <cellStyle name="Обычный 8 5 3 4 3" xfId="43049"/>
    <cellStyle name="Обычный 8 5 3 4 3 2" xfId="43050"/>
    <cellStyle name="Обычный 8 5 3 4 3 3" xfId="43051"/>
    <cellStyle name="Обычный 8 5 3 4 4" xfId="43052"/>
    <cellStyle name="Обычный 8 5 3 4 4 2" xfId="43053"/>
    <cellStyle name="Обычный 8 5 3 4 4 3" xfId="43054"/>
    <cellStyle name="Обычный 8 5 3 4 5" xfId="43055"/>
    <cellStyle name="Обычный 8 5 3 4 5 2" xfId="43056"/>
    <cellStyle name="Обычный 8 5 3 4 6" xfId="43057"/>
    <cellStyle name="Обычный 8 5 3 4 7" xfId="43058"/>
    <cellStyle name="Обычный 8 5 3 5" xfId="43059"/>
    <cellStyle name="Обычный 8 5 3 5 2" xfId="43060"/>
    <cellStyle name="Обычный 8 5 3 5 2 2" xfId="43061"/>
    <cellStyle name="Обычный 8 5 3 5 2 3" xfId="43062"/>
    <cellStyle name="Обычный 8 5 3 5 3" xfId="43063"/>
    <cellStyle name="Обычный 8 5 3 5 3 2" xfId="43064"/>
    <cellStyle name="Обычный 8 5 3 5 3 3" xfId="43065"/>
    <cellStyle name="Обычный 8 5 3 5 4" xfId="43066"/>
    <cellStyle name="Обычный 8 5 3 5 4 2" xfId="43067"/>
    <cellStyle name="Обычный 8 5 3 5 5" xfId="43068"/>
    <cellStyle name="Обычный 8 5 3 5 6" xfId="43069"/>
    <cellStyle name="Обычный 8 5 3 6" xfId="43070"/>
    <cellStyle name="Обычный 8 5 3 6 2" xfId="43071"/>
    <cellStyle name="Обычный 8 5 3 6 3" xfId="43072"/>
    <cellStyle name="Обычный 8 5 3 7" xfId="43073"/>
    <cellStyle name="Обычный 8 5 3 7 2" xfId="43074"/>
    <cellStyle name="Обычный 8 5 3 7 3" xfId="43075"/>
    <cellStyle name="Обычный 8 5 3 8" xfId="43076"/>
    <cellStyle name="Обычный 8 5 3 8 2" xfId="43077"/>
    <cellStyle name="Обычный 8 5 3 9" xfId="43078"/>
    <cellStyle name="Обычный 8 5 4" xfId="43079"/>
    <cellStyle name="Обычный 8 5 4 10" xfId="43080"/>
    <cellStyle name="Обычный 8 5 4 2" xfId="43081"/>
    <cellStyle name="Обычный 8 5 4 2 2" xfId="43082"/>
    <cellStyle name="Обычный 8 5 4 2 2 2" xfId="43083"/>
    <cellStyle name="Обычный 8 5 4 2 2 2 2" xfId="43084"/>
    <cellStyle name="Обычный 8 5 4 2 2 2 2 2" xfId="43085"/>
    <cellStyle name="Обычный 8 5 4 2 2 2 2 2 2" xfId="43086"/>
    <cellStyle name="Обычный 8 5 4 2 2 2 2 2 3" xfId="43087"/>
    <cellStyle name="Обычный 8 5 4 2 2 2 2 3" xfId="43088"/>
    <cellStyle name="Обычный 8 5 4 2 2 2 2 3 2" xfId="43089"/>
    <cellStyle name="Обычный 8 5 4 2 2 2 2 3 3" xfId="43090"/>
    <cellStyle name="Обычный 8 5 4 2 2 2 2 4" xfId="43091"/>
    <cellStyle name="Обычный 8 5 4 2 2 2 2 4 2" xfId="43092"/>
    <cellStyle name="Обычный 8 5 4 2 2 2 2 5" xfId="43093"/>
    <cellStyle name="Обычный 8 5 4 2 2 2 2 6" xfId="43094"/>
    <cellStyle name="Обычный 8 5 4 2 2 2 3" xfId="43095"/>
    <cellStyle name="Обычный 8 5 4 2 2 2 3 2" xfId="43096"/>
    <cellStyle name="Обычный 8 5 4 2 2 2 3 3" xfId="43097"/>
    <cellStyle name="Обычный 8 5 4 2 2 2 4" xfId="43098"/>
    <cellStyle name="Обычный 8 5 4 2 2 2 4 2" xfId="43099"/>
    <cellStyle name="Обычный 8 5 4 2 2 2 4 3" xfId="43100"/>
    <cellStyle name="Обычный 8 5 4 2 2 2 5" xfId="43101"/>
    <cellStyle name="Обычный 8 5 4 2 2 2 5 2" xfId="43102"/>
    <cellStyle name="Обычный 8 5 4 2 2 2 6" xfId="43103"/>
    <cellStyle name="Обычный 8 5 4 2 2 2 7" xfId="43104"/>
    <cellStyle name="Обычный 8 5 4 2 2 3" xfId="43105"/>
    <cellStyle name="Обычный 8 5 4 2 2 3 2" xfId="43106"/>
    <cellStyle name="Обычный 8 5 4 2 2 3 2 2" xfId="43107"/>
    <cellStyle name="Обычный 8 5 4 2 2 3 2 3" xfId="43108"/>
    <cellStyle name="Обычный 8 5 4 2 2 3 3" xfId="43109"/>
    <cellStyle name="Обычный 8 5 4 2 2 3 3 2" xfId="43110"/>
    <cellStyle name="Обычный 8 5 4 2 2 3 3 3" xfId="43111"/>
    <cellStyle name="Обычный 8 5 4 2 2 3 4" xfId="43112"/>
    <cellStyle name="Обычный 8 5 4 2 2 3 4 2" xfId="43113"/>
    <cellStyle name="Обычный 8 5 4 2 2 3 5" xfId="43114"/>
    <cellStyle name="Обычный 8 5 4 2 2 3 6" xfId="43115"/>
    <cellStyle name="Обычный 8 5 4 2 2 4" xfId="43116"/>
    <cellStyle name="Обычный 8 5 4 2 2 4 2" xfId="43117"/>
    <cellStyle name="Обычный 8 5 4 2 2 4 3" xfId="43118"/>
    <cellStyle name="Обычный 8 5 4 2 2 5" xfId="43119"/>
    <cellStyle name="Обычный 8 5 4 2 2 5 2" xfId="43120"/>
    <cellStyle name="Обычный 8 5 4 2 2 5 3" xfId="43121"/>
    <cellStyle name="Обычный 8 5 4 2 2 6" xfId="43122"/>
    <cellStyle name="Обычный 8 5 4 2 2 6 2" xfId="43123"/>
    <cellStyle name="Обычный 8 5 4 2 2 7" xfId="43124"/>
    <cellStyle name="Обычный 8 5 4 2 2 8" xfId="43125"/>
    <cellStyle name="Обычный 8 5 4 2 3" xfId="43126"/>
    <cellStyle name="Обычный 8 5 4 2 3 2" xfId="43127"/>
    <cellStyle name="Обычный 8 5 4 2 3 2 2" xfId="43128"/>
    <cellStyle name="Обычный 8 5 4 2 3 2 2 2" xfId="43129"/>
    <cellStyle name="Обычный 8 5 4 2 3 2 2 3" xfId="43130"/>
    <cellStyle name="Обычный 8 5 4 2 3 2 3" xfId="43131"/>
    <cellStyle name="Обычный 8 5 4 2 3 2 3 2" xfId="43132"/>
    <cellStyle name="Обычный 8 5 4 2 3 2 3 3" xfId="43133"/>
    <cellStyle name="Обычный 8 5 4 2 3 2 4" xfId="43134"/>
    <cellStyle name="Обычный 8 5 4 2 3 2 4 2" xfId="43135"/>
    <cellStyle name="Обычный 8 5 4 2 3 2 5" xfId="43136"/>
    <cellStyle name="Обычный 8 5 4 2 3 2 6" xfId="43137"/>
    <cellStyle name="Обычный 8 5 4 2 3 3" xfId="43138"/>
    <cellStyle name="Обычный 8 5 4 2 3 3 2" xfId="43139"/>
    <cellStyle name="Обычный 8 5 4 2 3 3 3" xfId="43140"/>
    <cellStyle name="Обычный 8 5 4 2 3 4" xfId="43141"/>
    <cellStyle name="Обычный 8 5 4 2 3 4 2" xfId="43142"/>
    <cellStyle name="Обычный 8 5 4 2 3 4 3" xfId="43143"/>
    <cellStyle name="Обычный 8 5 4 2 3 5" xfId="43144"/>
    <cellStyle name="Обычный 8 5 4 2 3 5 2" xfId="43145"/>
    <cellStyle name="Обычный 8 5 4 2 3 6" xfId="43146"/>
    <cellStyle name="Обычный 8 5 4 2 3 7" xfId="43147"/>
    <cellStyle name="Обычный 8 5 4 2 4" xfId="43148"/>
    <cellStyle name="Обычный 8 5 4 2 4 2" xfId="43149"/>
    <cellStyle name="Обычный 8 5 4 2 4 2 2" xfId="43150"/>
    <cellStyle name="Обычный 8 5 4 2 4 2 3" xfId="43151"/>
    <cellStyle name="Обычный 8 5 4 2 4 3" xfId="43152"/>
    <cellStyle name="Обычный 8 5 4 2 4 3 2" xfId="43153"/>
    <cellStyle name="Обычный 8 5 4 2 4 3 3" xfId="43154"/>
    <cellStyle name="Обычный 8 5 4 2 4 4" xfId="43155"/>
    <cellStyle name="Обычный 8 5 4 2 4 4 2" xfId="43156"/>
    <cellStyle name="Обычный 8 5 4 2 4 5" xfId="43157"/>
    <cellStyle name="Обычный 8 5 4 2 4 6" xfId="43158"/>
    <cellStyle name="Обычный 8 5 4 2 5" xfId="43159"/>
    <cellStyle name="Обычный 8 5 4 2 5 2" xfId="43160"/>
    <cellStyle name="Обычный 8 5 4 2 5 3" xfId="43161"/>
    <cellStyle name="Обычный 8 5 4 2 6" xfId="43162"/>
    <cellStyle name="Обычный 8 5 4 2 6 2" xfId="43163"/>
    <cellStyle name="Обычный 8 5 4 2 6 3" xfId="43164"/>
    <cellStyle name="Обычный 8 5 4 2 7" xfId="43165"/>
    <cellStyle name="Обычный 8 5 4 2 7 2" xfId="43166"/>
    <cellStyle name="Обычный 8 5 4 2 8" xfId="43167"/>
    <cellStyle name="Обычный 8 5 4 2 9" xfId="43168"/>
    <cellStyle name="Обычный 8 5 4 3" xfId="43169"/>
    <cellStyle name="Обычный 8 5 4 3 2" xfId="43170"/>
    <cellStyle name="Обычный 8 5 4 3 2 2" xfId="43171"/>
    <cellStyle name="Обычный 8 5 4 3 2 2 2" xfId="43172"/>
    <cellStyle name="Обычный 8 5 4 3 2 2 2 2" xfId="43173"/>
    <cellStyle name="Обычный 8 5 4 3 2 2 2 3" xfId="43174"/>
    <cellStyle name="Обычный 8 5 4 3 2 2 3" xfId="43175"/>
    <cellStyle name="Обычный 8 5 4 3 2 2 3 2" xfId="43176"/>
    <cellStyle name="Обычный 8 5 4 3 2 2 3 3" xfId="43177"/>
    <cellStyle name="Обычный 8 5 4 3 2 2 4" xfId="43178"/>
    <cellStyle name="Обычный 8 5 4 3 2 2 4 2" xfId="43179"/>
    <cellStyle name="Обычный 8 5 4 3 2 2 5" xfId="43180"/>
    <cellStyle name="Обычный 8 5 4 3 2 2 6" xfId="43181"/>
    <cellStyle name="Обычный 8 5 4 3 2 3" xfId="43182"/>
    <cellStyle name="Обычный 8 5 4 3 2 3 2" xfId="43183"/>
    <cellStyle name="Обычный 8 5 4 3 2 3 3" xfId="43184"/>
    <cellStyle name="Обычный 8 5 4 3 2 4" xfId="43185"/>
    <cellStyle name="Обычный 8 5 4 3 2 4 2" xfId="43186"/>
    <cellStyle name="Обычный 8 5 4 3 2 4 3" xfId="43187"/>
    <cellStyle name="Обычный 8 5 4 3 2 5" xfId="43188"/>
    <cellStyle name="Обычный 8 5 4 3 2 5 2" xfId="43189"/>
    <cellStyle name="Обычный 8 5 4 3 2 6" xfId="43190"/>
    <cellStyle name="Обычный 8 5 4 3 2 7" xfId="43191"/>
    <cellStyle name="Обычный 8 5 4 3 3" xfId="43192"/>
    <cellStyle name="Обычный 8 5 4 3 3 2" xfId="43193"/>
    <cellStyle name="Обычный 8 5 4 3 3 2 2" xfId="43194"/>
    <cellStyle name="Обычный 8 5 4 3 3 2 3" xfId="43195"/>
    <cellStyle name="Обычный 8 5 4 3 3 3" xfId="43196"/>
    <cellStyle name="Обычный 8 5 4 3 3 3 2" xfId="43197"/>
    <cellStyle name="Обычный 8 5 4 3 3 3 3" xfId="43198"/>
    <cellStyle name="Обычный 8 5 4 3 3 4" xfId="43199"/>
    <cellStyle name="Обычный 8 5 4 3 3 4 2" xfId="43200"/>
    <cellStyle name="Обычный 8 5 4 3 3 5" xfId="43201"/>
    <cellStyle name="Обычный 8 5 4 3 3 6" xfId="43202"/>
    <cellStyle name="Обычный 8 5 4 3 4" xfId="43203"/>
    <cellStyle name="Обычный 8 5 4 3 4 2" xfId="43204"/>
    <cellStyle name="Обычный 8 5 4 3 4 3" xfId="43205"/>
    <cellStyle name="Обычный 8 5 4 3 5" xfId="43206"/>
    <cellStyle name="Обычный 8 5 4 3 5 2" xfId="43207"/>
    <cellStyle name="Обычный 8 5 4 3 5 3" xfId="43208"/>
    <cellStyle name="Обычный 8 5 4 3 6" xfId="43209"/>
    <cellStyle name="Обычный 8 5 4 3 6 2" xfId="43210"/>
    <cellStyle name="Обычный 8 5 4 3 7" xfId="43211"/>
    <cellStyle name="Обычный 8 5 4 3 8" xfId="43212"/>
    <cellStyle name="Обычный 8 5 4 4" xfId="43213"/>
    <cellStyle name="Обычный 8 5 4 4 2" xfId="43214"/>
    <cellStyle name="Обычный 8 5 4 4 2 2" xfId="43215"/>
    <cellStyle name="Обычный 8 5 4 4 2 2 2" xfId="43216"/>
    <cellStyle name="Обычный 8 5 4 4 2 2 3" xfId="43217"/>
    <cellStyle name="Обычный 8 5 4 4 2 3" xfId="43218"/>
    <cellStyle name="Обычный 8 5 4 4 2 3 2" xfId="43219"/>
    <cellStyle name="Обычный 8 5 4 4 2 3 3" xfId="43220"/>
    <cellStyle name="Обычный 8 5 4 4 2 4" xfId="43221"/>
    <cellStyle name="Обычный 8 5 4 4 2 4 2" xfId="43222"/>
    <cellStyle name="Обычный 8 5 4 4 2 5" xfId="43223"/>
    <cellStyle name="Обычный 8 5 4 4 2 6" xfId="43224"/>
    <cellStyle name="Обычный 8 5 4 4 3" xfId="43225"/>
    <cellStyle name="Обычный 8 5 4 4 3 2" xfId="43226"/>
    <cellStyle name="Обычный 8 5 4 4 3 3" xfId="43227"/>
    <cellStyle name="Обычный 8 5 4 4 4" xfId="43228"/>
    <cellStyle name="Обычный 8 5 4 4 4 2" xfId="43229"/>
    <cellStyle name="Обычный 8 5 4 4 4 3" xfId="43230"/>
    <cellStyle name="Обычный 8 5 4 4 5" xfId="43231"/>
    <cellStyle name="Обычный 8 5 4 4 5 2" xfId="43232"/>
    <cellStyle name="Обычный 8 5 4 4 6" xfId="43233"/>
    <cellStyle name="Обычный 8 5 4 4 7" xfId="43234"/>
    <cellStyle name="Обычный 8 5 4 5" xfId="43235"/>
    <cellStyle name="Обычный 8 5 4 5 2" xfId="43236"/>
    <cellStyle name="Обычный 8 5 4 5 2 2" xfId="43237"/>
    <cellStyle name="Обычный 8 5 4 5 2 3" xfId="43238"/>
    <cellStyle name="Обычный 8 5 4 5 3" xfId="43239"/>
    <cellStyle name="Обычный 8 5 4 5 3 2" xfId="43240"/>
    <cellStyle name="Обычный 8 5 4 5 3 3" xfId="43241"/>
    <cellStyle name="Обычный 8 5 4 5 4" xfId="43242"/>
    <cellStyle name="Обычный 8 5 4 5 4 2" xfId="43243"/>
    <cellStyle name="Обычный 8 5 4 5 5" xfId="43244"/>
    <cellStyle name="Обычный 8 5 4 5 6" xfId="43245"/>
    <cellStyle name="Обычный 8 5 4 6" xfId="43246"/>
    <cellStyle name="Обычный 8 5 4 6 2" xfId="43247"/>
    <cellStyle name="Обычный 8 5 4 6 3" xfId="43248"/>
    <cellStyle name="Обычный 8 5 4 7" xfId="43249"/>
    <cellStyle name="Обычный 8 5 4 7 2" xfId="43250"/>
    <cellStyle name="Обычный 8 5 4 7 3" xfId="43251"/>
    <cellStyle name="Обычный 8 5 4 8" xfId="43252"/>
    <cellStyle name="Обычный 8 5 4 8 2" xfId="43253"/>
    <cellStyle name="Обычный 8 5 4 9" xfId="43254"/>
    <cellStyle name="Обычный 8 5 5" xfId="43255"/>
    <cellStyle name="Обычный 8 5 5 10" xfId="43256"/>
    <cellStyle name="Обычный 8 5 5 2" xfId="43257"/>
    <cellStyle name="Обычный 8 5 5 2 2" xfId="43258"/>
    <cellStyle name="Обычный 8 5 5 2 2 2" xfId="43259"/>
    <cellStyle name="Обычный 8 5 5 2 2 2 2" xfId="43260"/>
    <cellStyle name="Обычный 8 5 5 2 2 2 2 2" xfId="43261"/>
    <cellStyle name="Обычный 8 5 5 2 2 2 2 2 2" xfId="43262"/>
    <cellStyle name="Обычный 8 5 5 2 2 2 2 2 3" xfId="43263"/>
    <cellStyle name="Обычный 8 5 5 2 2 2 2 3" xfId="43264"/>
    <cellStyle name="Обычный 8 5 5 2 2 2 2 3 2" xfId="43265"/>
    <cellStyle name="Обычный 8 5 5 2 2 2 2 3 3" xfId="43266"/>
    <cellStyle name="Обычный 8 5 5 2 2 2 2 4" xfId="43267"/>
    <cellStyle name="Обычный 8 5 5 2 2 2 2 4 2" xfId="43268"/>
    <cellStyle name="Обычный 8 5 5 2 2 2 2 5" xfId="43269"/>
    <cellStyle name="Обычный 8 5 5 2 2 2 2 6" xfId="43270"/>
    <cellStyle name="Обычный 8 5 5 2 2 2 3" xfId="43271"/>
    <cellStyle name="Обычный 8 5 5 2 2 2 3 2" xfId="43272"/>
    <cellStyle name="Обычный 8 5 5 2 2 2 3 3" xfId="43273"/>
    <cellStyle name="Обычный 8 5 5 2 2 2 4" xfId="43274"/>
    <cellStyle name="Обычный 8 5 5 2 2 2 4 2" xfId="43275"/>
    <cellStyle name="Обычный 8 5 5 2 2 2 4 3" xfId="43276"/>
    <cellStyle name="Обычный 8 5 5 2 2 2 5" xfId="43277"/>
    <cellStyle name="Обычный 8 5 5 2 2 2 5 2" xfId="43278"/>
    <cellStyle name="Обычный 8 5 5 2 2 2 6" xfId="43279"/>
    <cellStyle name="Обычный 8 5 5 2 2 2 7" xfId="43280"/>
    <cellStyle name="Обычный 8 5 5 2 2 3" xfId="43281"/>
    <cellStyle name="Обычный 8 5 5 2 2 3 2" xfId="43282"/>
    <cellStyle name="Обычный 8 5 5 2 2 3 2 2" xfId="43283"/>
    <cellStyle name="Обычный 8 5 5 2 2 3 2 3" xfId="43284"/>
    <cellStyle name="Обычный 8 5 5 2 2 3 3" xfId="43285"/>
    <cellStyle name="Обычный 8 5 5 2 2 3 3 2" xfId="43286"/>
    <cellStyle name="Обычный 8 5 5 2 2 3 3 3" xfId="43287"/>
    <cellStyle name="Обычный 8 5 5 2 2 3 4" xfId="43288"/>
    <cellStyle name="Обычный 8 5 5 2 2 3 4 2" xfId="43289"/>
    <cellStyle name="Обычный 8 5 5 2 2 3 5" xfId="43290"/>
    <cellStyle name="Обычный 8 5 5 2 2 3 6" xfId="43291"/>
    <cellStyle name="Обычный 8 5 5 2 2 4" xfId="43292"/>
    <cellStyle name="Обычный 8 5 5 2 2 4 2" xfId="43293"/>
    <cellStyle name="Обычный 8 5 5 2 2 4 3" xfId="43294"/>
    <cellStyle name="Обычный 8 5 5 2 2 5" xfId="43295"/>
    <cellStyle name="Обычный 8 5 5 2 2 5 2" xfId="43296"/>
    <cellStyle name="Обычный 8 5 5 2 2 5 3" xfId="43297"/>
    <cellStyle name="Обычный 8 5 5 2 2 6" xfId="43298"/>
    <cellStyle name="Обычный 8 5 5 2 2 6 2" xfId="43299"/>
    <cellStyle name="Обычный 8 5 5 2 2 7" xfId="43300"/>
    <cellStyle name="Обычный 8 5 5 2 2 8" xfId="43301"/>
    <cellStyle name="Обычный 8 5 5 2 3" xfId="43302"/>
    <cellStyle name="Обычный 8 5 5 2 3 2" xfId="43303"/>
    <cellStyle name="Обычный 8 5 5 2 3 2 2" xfId="43304"/>
    <cellStyle name="Обычный 8 5 5 2 3 2 2 2" xfId="43305"/>
    <cellStyle name="Обычный 8 5 5 2 3 2 2 3" xfId="43306"/>
    <cellStyle name="Обычный 8 5 5 2 3 2 3" xfId="43307"/>
    <cellStyle name="Обычный 8 5 5 2 3 2 3 2" xfId="43308"/>
    <cellStyle name="Обычный 8 5 5 2 3 2 3 3" xfId="43309"/>
    <cellStyle name="Обычный 8 5 5 2 3 2 4" xfId="43310"/>
    <cellStyle name="Обычный 8 5 5 2 3 2 4 2" xfId="43311"/>
    <cellStyle name="Обычный 8 5 5 2 3 2 5" xfId="43312"/>
    <cellStyle name="Обычный 8 5 5 2 3 2 6" xfId="43313"/>
    <cellStyle name="Обычный 8 5 5 2 3 3" xfId="43314"/>
    <cellStyle name="Обычный 8 5 5 2 3 3 2" xfId="43315"/>
    <cellStyle name="Обычный 8 5 5 2 3 3 3" xfId="43316"/>
    <cellStyle name="Обычный 8 5 5 2 3 4" xfId="43317"/>
    <cellStyle name="Обычный 8 5 5 2 3 4 2" xfId="43318"/>
    <cellStyle name="Обычный 8 5 5 2 3 4 3" xfId="43319"/>
    <cellStyle name="Обычный 8 5 5 2 3 5" xfId="43320"/>
    <cellStyle name="Обычный 8 5 5 2 3 5 2" xfId="43321"/>
    <cellStyle name="Обычный 8 5 5 2 3 6" xfId="43322"/>
    <cellStyle name="Обычный 8 5 5 2 3 7" xfId="43323"/>
    <cellStyle name="Обычный 8 5 5 2 4" xfId="43324"/>
    <cellStyle name="Обычный 8 5 5 2 4 2" xfId="43325"/>
    <cellStyle name="Обычный 8 5 5 2 4 2 2" xfId="43326"/>
    <cellStyle name="Обычный 8 5 5 2 4 2 3" xfId="43327"/>
    <cellStyle name="Обычный 8 5 5 2 4 3" xfId="43328"/>
    <cellStyle name="Обычный 8 5 5 2 4 3 2" xfId="43329"/>
    <cellStyle name="Обычный 8 5 5 2 4 3 3" xfId="43330"/>
    <cellStyle name="Обычный 8 5 5 2 4 4" xfId="43331"/>
    <cellStyle name="Обычный 8 5 5 2 4 4 2" xfId="43332"/>
    <cellStyle name="Обычный 8 5 5 2 4 5" xfId="43333"/>
    <cellStyle name="Обычный 8 5 5 2 4 6" xfId="43334"/>
    <cellStyle name="Обычный 8 5 5 2 5" xfId="43335"/>
    <cellStyle name="Обычный 8 5 5 2 5 2" xfId="43336"/>
    <cellStyle name="Обычный 8 5 5 2 5 3" xfId="43337"/>
    <cellStyle name="Обычный 8 5 5 2 6" xfId="43338"/>
    <cellStyle name="Обычный 8 5 5 2 6 2" xfId="43339"/>
    <cellStyle name="Обычный 8 5 5 2 6 3" xfId="43340"/>
    <cellStyle name="Обычный 8 5 5 2 7" xfId="43341"/>
    <cellStyle name="Обычный 8 5 5 2 7 2" xfId="43342"/>
    <cellStyle name="Обычный 8 5 5 2 8" xfId="43343"/>
    <cellStyle name="Обычный 8 5 5 2 9" xfId="43344"/>
    <cellStyle name="Обычный 8 5 5 3" xfId="43345"/>
    <cellStyle name="Обычный 8 5 5 3 2" xfId="43346"/>
    <cellStyle name="Обычный 8 5 5 3 2 2" xfId="43347"/>
    <cellStyle name="Обычный 8 5 5 3 2 2 2" xfId="43348"/>
    <cellStyle name="Обычный 8 5 5 3 2 2 2 2" xfId="43349"/>
    <cellStyle name="Обычный 8 5 5 3 2 2 2 3" xfId="43350"/>
    <cellStyle name="Обычный 8 5 5 3 2 2 3" xfId="43351"/>
    <cellStyle name="Обычный 8 5 5 3 2 2 3 2" xfId="43352"/>
    <cellStyle name="Обычный 8 5 5 3 2 2 3 3" xfId="43353"/>
    <cellStyle name="Обычный 8 5 5 3 2 2 4" xfId="43354"/>
    <cellStyle name="Обычный 8 5 5 3 2 2 4 2" xfId="43355"/>
    <cellStyle name="Обычный 8 5 5 3 2 2 5" xfId="43356"/>
    <cellStyle name="Обычный 8 5 5 3 2 2 6" xfId="43357"/>
    <cellStyle name="Обычный 8 5 5 3 2 3" xfId="43358"/>
    <cellStyle name="Обычный 8 5 5 3 2 3 2" xfId="43359"/>
    <cellStyle name="Обычный 8 5 5 3 2 3 3" xfId="43360"/>
    <cellStyle name="Обычный 8 5 5 3 2 4" xfId="43361"/>
    <cellStyle name="Обычный 8 5 5 3 2 4 2" xfId="43362"/>
    <cellStyle name="Обычный 8 5 5 3 2 4 3" xfId="43363"/>
    <cellStyle name="Обычный 8 5 5 3 2 5" xfId="43364"/>
    <cellStyle name="Обычный 8 5 5 3 2 5 2" xfId="43365"/>
    <cellStyle name="Обычный 8 5 5 3 2 6" xfId="43366"/>
    <cellStyle name="Обычный 8 5 5 3 2 7" xfId="43367"/>
    <cellStyle name="Обычный 8 5 5 3 3" xfId="43368"/>
    <cellStyle name="Обычный 8 5 5 3 3 2" xfId="43369"/>
    <cellStyle name="Обычный 8 5 5 3 3 2 2" xfId="43370"/>
    <cellStyle name="Обычный 8 5 5 3 3 2 3" xfId="43371"/>
    <cellStyle name="Обычный 8 5 5 3 3 3" xfId="43372"/>
    <cellStyle name="Обычный 8 5 5 3 3 3 2" xfId="43373"/>
    <cellStyle name="Обычный 8 5 5 3 3 3 3" xfId="43374"/>
    <cellStyle name="Обычный 8 5 5 3 3 4" xfId="43375"/>
    <cellStyle name="Обычный 8 5 5 3 3 4 2" xfId="43376"/>
    <cellStyle name="Обычный 8 5 5 3 3 5" xfId="43377"/>
    <cellStyle name="Обычный 8 5 5 3 3 6" xfId="43378"/>
    <cellStyle name="Обычный 8 5 5 3 4" xfId="43379"/>
    <cellStyle name="Обычный 8 5 5 3 4 2" xfId="43380"/>
    <cellStyle name="Обычный 8 5 5 3 4 3" xfId="43381"/>
    <cellStyle name="Обычный 8 5 5 3 5" xfId="43382"/>
    <cellStyle name="Обычный 8 5 5 3 5 2" xfId="43383"/>
    <cellStyle name="Обычный 8 5 5 3 5 3" xfId="43384"/>
    <cellStyle name="Обычный 8 5 5 3 6" xfId="43385"/>
    <cellStyle name="Обычный 8 5 5 3 6 2" xfId="43386"/>
    <cellStyle name="Обычный 8 5 5 3 7" xfId="43387"/>
    <cellStyle name="Обычный 8 5 5 3 8" xfId="43388"/>
    <cellStyle name="Обычный 8 5 5 4" xfId="43389"/>
    <cellStyle name="Обычный 8 5 5 4 2" xfId="43390"/>
    <cellStyle name="Обычный 8 5 5 4 2 2" xfId="43391"/>
    <cellStyle name="Обычный 8 5 5 4 2 2 2" xfId="43392"/>
    <cellStyle name="Обычный 8 5 5 4 2 2 3" xfId="43393"/>
    <cellStyle name="Обычный 8 5 5 4 2 3" xfId="43394"/>
    <cellStyle name="Обычный 8 5 5 4 2 3 2" xfId="43395"/>
    <cellStyle name="Обычный 8 5 5 4 2 3 3" xfId="43396"/>
    <cellStyle name="Обычный 8 5 5 4 2 4" xfId="43397"/>
    <cellStyle name="Обычный 8 5 5 4 2 4 2" xfId="43398"/>
    <cellStyle name="Обычный 8 5 5 4 2 5" xfId="43399"/>
    <cellStyle name="Обычный 8 5 5 4 2 6" xfId="43400"/>
    <cellStyle name="Обычный 8 5 5 4 3" xfId="43401"/>
    <cellStyle name="Обычный 8 5 5 4 3 2" xfId="43402"/>
    <cellStyle name="Обычный 8 5 5 4 3 3" xfId="43403"/>
    <cellStyle name="Обычный 8 5 5 4 4" xfId="43404"/>
    <cellStyle name="Обычный 8 5 5 4 4 2" xfId="43405"/>
    <cellStyle name="Обычный 8 5 5 4 4 3" xfId="43406"/>
    <cellStyle name="Обычный 8 5 5 4 5" xfId="43407"/>
    <cellStyle name="Обычный 8 5 5 4 5 2" xfId="43408"/>
    <cellStyle name="Обычный 8 5 5 4 6" xfId="43409"/>
    <cellStyle name="Обычный 8 5 5 4 7" xfId="43410"/>
    <cellStyle name="Обычный 8 5 5 5" xfId="43411"/>
    <cellStyle name="Обычный 8 5 5 5 2" xfId="43412"/>
    <cellStyle name="Обычный 8 5 5 5 2 2" xfId="43413"/>
    <cellStyle name="Обычный 8 5 5 5 2 3" xfId="43414"/>
    <cellStyle name="Обычный 8 5 5 5 3" xfId="43415"/>
    <cellStyle name="Обычный 8 5 5 5 3 2" xfId="43416"/>
    <cellStyle name="Обычный 8 5 5 5 3 3" xfId="43417"/>
    <cellStyle name="Обычный 8 5 5 5 4" xfId="43418"/>
    <cellStyle name="Обычный 8 5 5 5 4 2" xfId="43419"/>
    <cellStyle name="Обычный 8 5 5 5 5" xfId="43420"/>
    <cellStyle name="Обычный 8 5 5 5 6" xfId="43421"/>
    <cellStyle name="Обычный 8 5 5 6" xfId="43422"/>
    <cellStyle name="Обычный 8 5 5 6 2" xfId="43423"/>
    <cellStyle name="Обычный 8 5 5 6 3" xfId="43424"/>
    <cellStyle name="Обычный 8 5 5 7" xfId="43425"/>
    <cellStyle name="Обычный 8 5 5 7 2" xfId="43426"/>
    <cellStyle name="Обычный 8 5 5 7 3" xfId="43427"/>
    <cellStyle name="Обычный 8 5 5 8" xfId="43428"/>
    <cellStyle name="Обычный 8 5 5 8 2" xfId="43429"/>
    <cellStyle name="Обычный 8 5 5 9" xfId="43430"/>
    <cellStyle name="Обычный 8 5 6" xfId="43431"/>
    <cellStyle name="Обычный 8 5 6 2" xfId="43432"/>
    <cellStyle name="Обычный 8 5 6 2 2" xfId="43433"/>
    <cellStyle name="Обычный 8 5 6 2 2 2" xfId="43434"/>
    <cellStyle name="Обычный 8 5 6 2 2 2 2" xfId="43435"/>
    <cellStyle name="Обычный 8 5 6 2 2 2 2 2" xfId="43436"/>
    <cellStyle name="Обычный 8 5 6 2 2 2 2 3" xfId="43437"/>
    <cellStyle name="Обычный 8 5 6 2 2 2 3" xfId="43438"/>
    <cellStyle name="Обычный 8 5 6 2 2 2 3 2" xfId="43439"/>
    <cellStyle name="Обычный 8 5 6 2 2 2 3 3" xfId="43440"/>
    <cellStyle name="Обычный 8 5 6 2 2 2 4" xfId="43441"/>
    <cellStyle name="Обычный 8 5 6 2 2 2 4 2" xfId="43442"/>
    <cellStyle name="Обычный 8 5 6 2 2 2 5" xfId="43443"/>
    <cellStyle name="Обычный 8 5 6 2 2 2 6" xfId="43444"/>
    <cellStyle name="Обычный 8 5 6 2 2 3" xfId="43445"/>
    <cellStyle name="Обычный 8 5 6 2 2 3 2" xfId="43446"/>
    <cellStyle name="Обычный 8 5 6 2 2 3 3" xfId="43447"/>
    <cellStyle name="Обычный 8 5 6 2 2 4" xfId="43448"/>
    <cellStyle name="Обычный 8 5 6 2 2 4 2" xfId="43449"/>
    <cellStyle name="Обычный 8 5 6 2 2 4 3" xfId="43450"/>
    <cellStyle name="Обычный 8 5 6 2 2 5" xfId="43451"/>
    <cellStyle name="Обычный 8 5 6 2 2 5 2" xfId="43452"/>
    <cellStyle name="Обычный 8 5 6 2 2 6" xfId="43453"/>
    <cellStyle name="Обычный 8 5 6 2 2 7" xfId="43454"/>
    <cellStyle name="Обычный 8 5 6 2 3" xfId="43455"/>
    <cellStyle name="Обычный 8 5 6 2 3 2" xfId="43456"/>
    <cellStyle name="Обычный 8 5 6 2 3 2 2" xfId="43457"/>
    <cellStyle name="Обычный 8 5 6 2 3 2 3" xfId="43458"/>
    <cellStyle name="Обычный 8 5 6 2 3 3" xfId="43459"/>
    <cellStyle name="Обычный 8 5 6 2 3 3 2" xfId="43460"/>
    <cellStyle name="Обычный 8 5 6 2 3 3 3" xfId="43461"/>
    <cellStyle name="Обычный 8 5 6 2 3 4" xfId="43462"/>
    <cellStyle name="Обычный 8 5 6 2 3 4 2" xfId="43463"/>
    <cellStyle name="Обычный 8 5 6 2 3 5" xfId="43464"/>
    <cellStyle name="Обычный 8 5 6 2 3 6" xfId="43465"/>
    <cellStyle name="Обычный 8 5 6 2 4" xfId="43466"/>
    <cellStyle name="Обычный 8 5 6 2 4 2" xfId="43467"/>
    <cellStyle name="Обычный 8 5 6 2 4 3" xfId="43468"/>
    <cellStyle name="Обычный 8 5 6 2 5" xfId="43469"/>
    <cellStyle name="Обычный 8 5 6 2 5 2" xfId="43470"/>
    <cellStyle name="Обычный 8 5 6 2 5 3" xfId="43471"/>
    <cellStyle name="Обычный 8 5 6 2 6" xfId="43472"/>
    <cellStyle name="Обычный 8 5 6 2 6 2" xfId="43473"/>
    <cellStyle name="Обычный 8 5 6 2 7" xfId="43474"/>
    <cellStyle name="Обычный 8 5 6 2 8" xfId="43475"/>
    <cellStyle name="Обычный 8 5 6 3" xfId="43476"/>
    <cellStyle name="Обычный 8 5 6 3 2" xfId="43477"/>
    <cellStyle name="Обычный 8 5 6 3 2 2" xfId="43478"/>
    <cellStyle name="Обычный 8 5 6 3 2 2 2" xfId="43479"/>
    <cellStyle name="Обычный 8 5 6 3 2 2 3" xfId="43480"/>
    <cellStyle name="Обычный 8 5 6 3 2 3" xfId="43481"/>
    <cellStyle name="Обычный 8 5 6 3 2 3 2" xfId="43482"/>
    <cellStyle name="Обычный 8 5 6 3 2 3 3" xfId="43483"/>
    <cellStyle name="Обычный 8 5 6 3 2 4" xfId="43484"/>
    <cellStyle name="Обычный 8 5 6 3 2 4 2" xfId="43485"/>
    <cellStyle name="Обычный 8 5 6 3 2 5" xfId="43486"/>
    <cellStyle name="Обычный 8 5 6 3 2 6" xfId="43487"/>
    <cellStyle name="Обычный 8 5 6 3 3" xfId="43488"/>
    <cellStyle name="Обычный 8 5 6 3 3 2" xfId="43489"/>
    <cellStyle name="Обычный 8 5 6 3 3 3" xfId="43490"/>
    <cellStyle name="Обычный 8 5 6 3 4" xfId="43491"/>
    <cellStyle name="Обычный 8 5 6 3 4 2" xfId="43492"/>
    <cellStyle name="Обычный 8 5 6 3 4 3" xfId="43493"/>
    <cellStyle name="Обычный 8 5 6 3 5" xfId="43494"/>
    <cellStyle name="Обычный 8 5 6 3 5 2" xfId="43495"/>
    <cellStyle name="Обычный 8 5 6 3 6" xfId="43496"/>
    <cellStyle name="Обычный 8 5 6 3 7" xfId="43497"/>
    <cellStyle name="Обычный 8 5 6 4" xfId="43498"/>
    <cellStyle name="Обычный 8 5 6 4 2" xfId="43499"/>
    <cellStyle name="Обычный 8 5 6 4 2 2" xfId="43500"/>
    <cellStyle name="Обычный 8 5 6 4 2 3" xfId="43501"/>
    <cellStyle name="Обычный 8 5 6 4 3" xfId="43502"/>
    <cellStyle name="Обычный 8 5 6 4 3 2" xfId="43503"/>
    <cellStyle name="Обычный 8 5 6 4 3 3" xfId="43504"/>
    <cellStyle name="Обычный 8 5 6 4 4" xfId="43505"/>
    <cellStyle name="Обычный 8 5 6 4 4 2" xfId="43506"/>
    <cellStyle name="Обычный 8 5 6 4 5" xfId="43507"/>
    <cellStyle name="Обычный 8 5 6 4 6" xfId="43508"/>
    <cellStyle name="Обычный 8 5 6 5" xfId="43509"/>
    <cellStyle name="Обычный 8 5 6 5 2" xfId="43510"/>
    <cellStyle name="Обычный 8 5 6 5 3" xfId="43511"/>
    <cellStyle name="Обычный 8 5 6 6" xfId="43512"/>
    <cellStyle name="Обычный 8 5 6 6 2" xfId="43513"/>
    <cellStyle name="Обычный 8 5 6 6 3" xfId="43514"/>
    <cellStyle name="Обычный 8 5 6 7" xfId="43515"/>
    <cellStyle name="Обычный 8 5 6 7 2" xfId="43516"/>
    <cellStyle name="Обычный 8 5 6 8" xfId="43517"/>
    <cellStyle name="Обычный 8 5 6 9" xfId="43518"/>
    <cellStyle name="Обычный 8 5 7" xfId="43519"/>
    <cellStyle name="Обычный 8 5 7 2" xfId="43520"/>
    <cellStyle name="Обычный 8 5 7 2 2" xfId="43521"/>
    <cellStyle name="Обычный 8 5 7 2 2 2" xfId="43522"/>
    <cellStyle name="Обычный 8 5 7 2 2 2 2" xfId="43523"/>
    <cellStyle name="Обычный 8 5 7 2 2 2 3" xfId="43524"/>
    <cellStyle name="Обычный 8 5 7 2 2 3" xfId="43525"/>
    <cellStyle name="Обычный 8 5 7 2 2 3 2" xfId="43526"/>
    <cellStyle name="Обычный 8 5 7 2 2 3 3" xfId="43527"/>
    <cellStyle name="Обычный 8 5 7 2 2 4" xfId="43528"/>
    <cellStyle name="Обычный 8 5 7 2 2 4 2" xfId="43529"/>
    <cellStyle name="Обычный 8 5 7 2 2 5" xfId="43530"/>
    <cellStyle name="Обычный 8 5 7 2 2 6" xfId="43531"/>
    <cellStyle name="Обычный 8 5 7 2 3" xfId="43532"/>
    <cellStyle name="Обычный 8 5 7 2 3 2" xfId="43533"/>
    <cellStyle name="Обычный 8 5 7 2 3 3" xfId="43534"/>
    <cellStyle name="Обычный 8 5 7 2 4" xfId="43535"/>
    <cellStyle name="Обычный 8 5 7 2 4 2" xfId="43536"/>
    <cellStyle name="Обычный 8 5 7 2 4 3" xfId="43537"/>
    <cellStyle name="Обычный 8 5 7 2 5" xfId="43538"/>
    <cellStyle name="Обычный 8 5 7 2 5 2" xfId="43539"/>
    <cellStyle name="Обычный 8 5 7 2 6" xfId="43540"/>
    <cellStyle name="Обычный 8 5 7 2 7" xfId="43541"/>
    <cellStyle name="Обычный 8 5 7 3" xfId="43542"/>
    <cellStyle name="Обычный 8 5 7 3 2" xfId="43543"/>
    <cellStyle name="Обычный 8 5 7 3 2 2" xfId="43544"/>
    <cellStyle name="Обычный 8 5 7 3 2 3" xfId="43545"/>
    <cellStyle name="Обычный 8 5 7 3 3" xfId="43546"/>
    <cellStyle name="Обычный 8 5 7 3 3 2" xfId="43547"/>
    <cellStyle name="Обычный 8 5 7 3 3 3" xfId="43548"/>
    <cellStyle name="Обычный 8 5 7 3 4" xfId="43549"/>
    <cellStyle name="Обычный 8 5 7 3 4 2" xfId="43550"/>
    <cellStyle name="Обычный 8 5 7 3 5" xfId="43551"/>
    <cellStyle name="Обычный 8 5 7 3 6" xfId="43552"/>
    <cellStyle name="Обычный 8 5 7 4" xfId="43553"/>
    <cellStyle name="Обычный 8 5 7 4 2" xfId="43554"/>
    <cellStyle name="Обычный 8 5 7 4 3" xfId="43555"/>
    <cellStyle name="Обычный 8 5 7 5" xfId="43556"/>
    <cellStyle name="Обычный 8 5 7 5 2" xfId="43557"/>
    <cellStyle name="Обычный 8 5 7 5 3" xfId="43558"/>
    <cellStyle name="Обычный 8 5 7 6" xfId="43559"/>
    <cellStyle name="Обычный 8 5 7 6 2" xfId="43560"/>
    <cellStyle name="Обычный 8 5 7 7" xfId="43561"/>
    <cellStyle name="Обычный 8 5 7 8" xfId="43562"/>
    <cellStyle name="Обычный 8 5 8" xfId="43563"/>
    <cellStyle name="Обычный 8 5 8 2" xfId="43564"/>
    <cellStyle name="Обычный 8 5 8 2 2" xfId="43565"/>
    <cellStyle name="Обычный 8 5 8 2 2 2" xfId="43566"/>
    <cellStyle name="Обычный 8 5 8 2 2 3" xfId="43567"/>
    <cellStyle name="Обычный 8 5 8 2 3" xfId="43568"/>
    <cellStyle name="Обычный 8 5 8 2 3 2" xfId="43569"/>
    <cellStyle name="Обычный 8 5 8 2 3 3" xfId="43570"/>
    <cellStyle name="Обычный 8 5 8 2 4" xfId="43571"/>
    <cellStyle name="Обычный 8 5 8 2 4 2" xfId="43572"/>
    <cellStyle name="Обычный 8 5 8 2 5" xfId="43573"/>
    <cellStyle name="Обычный 8 5 8 2 6" xfId="43574"/>
    <cellStyle name="Обычный 8 5 8 3" xfId="43575"/>
    <cellStyle name="Обычный 8 5 8 3 2" xfId="43576"/>
    <cellStyle name="Обычный 8 5 8 3 3" xfId="43577"/>
    <cellStyle name="Обычный 8 5 8 4" xfId="43578"/>
    <cellStyle name="Обычный 8 5 8 4 2" xfId="43579"/>
    <cellStyle name="Обычный 8 5 8 4 3" xfId="43580"/>
    <cellStyle name="Обычный 8 5 8 5" xfId="43581"/>
    <cellStyle name="Обычный 8 5 8 5 2" xfId="43582"/>
    <cellStyle name="Обычный 8 5 8 6" xfId="43583"/>
    <cellStyle name="Обычный 8 5 8 7" xfId="43584"/>
    <cellStyle name="Обычный 8 5 9" xfId="43585"/>
    <cellStyle name="Обычный 8 5 9 2" xfId="43586"/>
    <cellStyle name="Обычный 8 5 9 2 2" xfId="43587"/>
    <cellStyle name="Обычный 8 5 9 2 3" xfId="43588"/>
    <cellStyle name="Обычный 8 5 9 3" xfId="43589"/>
    <cellStyle name="Обычный 8 5 9 3 2" xfId="43590"/>
    <cellStyle name="Обычный 8 5 9 3 3" xfId="43591"/>
    <cellStyle name="Обычный 8 5 9 4" xfId="43592"/>
    <cellStyle name="Обычный 8 5 9 4 2" xfId="43593"/>
    <cellStyle name="Обычный 8 5 9 5" xfId="43594"/>
    <cellStyle name="Обычный 8 5 9 6" xfId="43595"/>
    <cellStyle name="Обычный 8 6" xfId="43596"/>
    <cellStyle name="Обычный 8 6 10" xfId="43597"/>
    <cellStyle name="Обычный 8 6 10 2" xfId="43598"/>
    <cellStyle name="Обычный 8 6 10 3" xfId="43599"/>
    <cellStyle name="Обычный 8 6 11" xfId="43600"/>
    <cellStyle name="Обычный 8 6 11 2" xfId="43601"/>
    <cellStyle name="Обычный 8 6 11 3" xfId="43602"/>
    <cellStyle name="Обычный 8 6 12" xfId="43603"/>
    <cellStyle name="Обычный 8 6 12 2" xfId="43604"/>
    <cellStyle name="Обычный 8 6 13" xfId="43605"/>
    <cellStyle name="Обычный 8 6 14" xfId="43606"/>
    <cellStyle name="Обычный 8 6 2" xfId="43607"/>
    <cellStyle name="Обычный 8 6 2 10" xfId="43608"/>
    <cellStyle name="Обычный 8 6 2 10 2" xfId="43609"/>
    <cellStyle name="Обычный 8 6 2 10 3" xfId="43610"/>
    <cellStyle name="Обычный 8 6 2 11" xfId="43611"/>
    <cellStyle name="Обычный 8 6 2 11 2" xfId="43612"/>
    <cellStyle name="Обычный 8 6 2 12" xfId="43613"/>
    <cellStyle name="Обычный 8 6 2 13" xfId="43614"/>
    <cellStyle name="Обычный 8 6 2 2" xfId="43615"/>
    <cellStyle name="Обычный 8 6 2 2 10" xfId="43616"/>
    <cellStyle name="Обычный 8 6 2 2 2" xfId="43617"/>
    <cellStyle name="Обычный 8 6 2 2 2 2" xfId="43618"/>
    <cellStyle name="Обычный 8 6 2 2 2 2 2" xfId="43619"/>
    <cellStyle name="Обычный 8 6 2 2 2 2 2 2" xfId="43620"/>
    <cellStyle name="Обычный 8 6 2 2 2 2 2 2 2" xfId="43621"/>
    <cellStyle name="Обычный 8 6 2 2 2 2 2 2 2 2" xfId="43622"/>
    <cellStyle name="Обычный 8 6 2 2 2 2 2 2 2 3" xfId="43623"/>
    <cellStyle name="Обычный 8 6 2 2 2 2 2 2 3" xfId="43624"/>
    <cellStyle name="Обычный 8 6 2 2 2 2 2 2 3 2" xfId="43625"/>
    <cellStyle name="Обычный 8 6 2 2 2 2 2 2 3 3" xfId="43626"/>
    <cellStyle name="Обычный 8 6 2 2 2 2 2 2 4" xfId="43627"/>
    <cellStyle name="Обычный 8 6 2 2 2 2 2 2 4 2" xfId="43628"/>
    <cellStyle name="Обычный 8 6 2 2 2 2 2 2 5" xfId="43629"/>
    <cellStyle name="Обычный 8 6 2 2 2 2 2 2 6" xfId="43630"/>
    <cellStyle name="Обычный 8 6 2 2 2 2 2 3" xfId="43631"/>
    <cellStyle name="Обычный 8 6 2 2 2 2 2 3 2" xfId="43632"/>
    <cellStyle name="Обычный 8 6 2 2 2 2 2 3 3" xfId="43633"/>
    <cellStyle name="Обычный 8 6 2 2 2 2 2 4" xfId="43634"/>
    <cellStyle name="Обычный 8 6 2 2 2 2 2 4 2" xfId="43635"/>
    <cellStyle name="Обычный 8 6 2 2 2 2 2 4 3" xfId="43636"/>
    <cellStyle name="Обычный 8 6 2 2 2 2 2 5" xfId="43637"/>
    <cellStyle name="Обычный 8 6 2 2 2 2 2 5 2" xfId="43638"/>
    <cellStyle name="Обычный 8 6 2 2 2 2 2 6" xfId="43639"/>
    <cellStyle name="Обычный 8 6 2 2 2 2 2 7" xfId="43640"/>
    <cellStyle name="Обычный 8 6 2 2 2 2 3" xfId="43641"/>
    <cellStyle name="Обычный 8 6 2 2 2 2 3 2" xfId="43642"/>
    <cellStyle name="Обычный 8 6 2 2 2 2 3 2 2" xfId="43643"/>
    <cellStyle name="Обычный 8 6 2 2 2 2 3 2 3" xfId="43644"/>
    <cellStyle name="Обычный 8 6 2 2 2 2 3 3" xfId="43645"/>
    <cellStyle name="Обычный 8 6 2 2 2 2 3 3 2" xfId="43646"/>
    <cellStyle name="Обычный 8 6 2 2 2 2 3 3 3" xfId="43647"/>
    <cellStyle name="Обычный 8 6 2 2 2 2 3 4" xfId="43648"/>
    <cellStyle name="Обычный 8 6 2 2 2 2 3 4 2" xfId="43649"/>
    <cellStyle name="Обычный 8 6 2 2 2 2 3 5" xfId="43650"/>
    <cellStyle name="Обычный 8 6 2 2 2 2 3 6" xfId="43651"/>
    <cellStyle name="Обычный 8 6 2 2 2 2 4" xfId="43652"/>
    <cellStyle name="Обычный 8 6 2 2 2 2 4 2" xfId="43653"/>
    <cellStyle name="Обычный 8 6 2 2 2 2 4 3" xfId="43654"/>
    <cellStyle name="Обычный 8 6 2 2 2 2 5" xfId="43655"/>
    <cellStyle name="Обычный 8 6 2 2 2 2 5 2" xfId="43656"/>
    <cellStyle name="Обычный 8 6 2 2 2 2 5 3" xfId="43657"/>
    <cellStyle name="Обычный 8 6 2 2 2 2 6" xfId="43658"/>
    <cellStyle name="Обычный 8 6 2 2 2 2 6 2" xfId="43659"/>
    <cellStyle name="Обычный 8 6 2 2 2 2 7" xfId="43660"/>
    <cellStyle name="Обычный 8 6 2 2 2 2 8" xfId="43661"/>
    <cellStyle name="Обычный 8 6 2 2 2 3" xfId="43662"/>
    <cellStyle name="Обычный 8 6 2 2 2 3 2" xfId="43663"/>
    <cellStyle name="Обычный 8 6 2 2 2 3 2 2" xfId="43664"/>
    <cellStyle name="Обычный 8 6 2 2 2 3 2 2 2" xfId="43665"/>
    <cellStyle name="Обычный 8 6 2 2 2 3 2 2 3" xfId="43666"/>
    <cellStyle name="Обычный 8 6 2 2 2 3 2 3" xfId="43667"/>
    <cellStyle name="Обычный 8 6 2 2 2 3 2 3 2" xfId="43668"/>
    <cellStyle name="Обычный 8 6 2 2 2 3 2 3 3" xfId="43669"/>
    <cellStyle name="Обычный 8 6 2 2 2 3 2 4" xfId="43670"/>
    <cellStyle name="Обычный 8 6 2 2 2 3 2 4 2" xfId="43671"/>
    <cellStyle name="Обычный 8 6 2 2 2 3 2 5" xfId="43672"/>
    <cellStyle name="Обычный 8 6 2 2 2 3 2 6" xfId="43673"/>
    <cellStyle name="Обычный 8 6 2 2 2 3 3" xfId="43674"/>
    <cellStyle name="Обычный 8 6 2 2 2 3 3 2" xfId="43675"/>
    <cellStyle name="Обычный 8 6 2 2 2 3 3 3" xfId="43676"/>
    <cellStyle name="Обычный 8 6 2 2 2 3 4" xfId="43677"/>
    <cellStyle name="Обычный 8 6 2 2 2 3 4 2" xfId="43678"/>
    <cellStyle name="Обычный 8 6 2 2 2 3 4 3" xfId="43679"/>
    <cellStyle name="Обычный 8 6 2 2 2 3 5" xfId="43680"/>
    <cellStyle name="Обычный 8 6 2 2 2 3 5 2" xfId="43681"/>
    <cellStyle name="Обычный 8 6 2 2 2 3 6" xfId="43682"/>
    <cellStyle name="Обычный 8 6 2 2 2 3 7" xfId="43683"/>
    <cellStyle name="Обычный 8 6 2 2 2 4" xfId="43684"/>
    <cellStyle name="Обычный 8 6 2 2 2 4 2" xfId="43685"/>
    <cellStyle name="Обычный 8 6 2 2 2 4 2 2" xfId="43686"/>
    <cellStyle name="Обычный 8 6 2 2 2 4 2 3" xfId="43687"/>
    <cellStyle name="Обычный 8 6 2 2 2 4 3" xfId="43688"/>
    <cellStyle name="Обычный 8 6 2 2 2 4 3 2" xfId="43689"/>
    <cellStyle name="Обычный 8 6 2 2 2 4 3 3" xfId="43690"/>
    <cellStyle name="Обычный 8 6 2 2 2 4 4" xfId="43691"/>
    <cellStyle name="Обычный 8 6 2 2 2 4 4 2" xfId="43692"/>
    <cellStyle name="Обычный 8 6 2 2 2 4 5" xfId="43693"/>
    <cellStyle name="Обычный 8 6 2 2 2 4 6" xfId="43694"/>
    <cellStyle name="Обычный 8 6 2 2 2 5" xfId="43695"/>
    <cellStyle name="Обычный 8 6 2 2 2 5 2" xfId="43696"/>
    <cellStyle name="Обычный 8 6 2 2 2 5 3" xfId="43697"/>
    <cellStyle name="Обычный 8 6 2 2 2 6" xfId="43698"/>
    <cellStyle name="Обычный 8 6 2 2 2 6 2" xfId="43699"/>
    <cellStyle name="Обычный 8 6 2 2 2 6 3" xfId="43700"/>
    <cellStyle name="Обычный 8 6 2 2 2 7" xfId="43701"/>
    <cellStyle name="Обычный 8 6 2 2 2 7 2" xfId="43702"/>
    <cellStyle name="Обычный 8 6 2 2 2 8" xfId="43703"/>
    <cellStyle name="Обычный 8 6 2 2 2 9" xfId="43704"/>
    <cellStyle name="Обычный 8 6 2 2 3" xfId="43705"/>
    <cellStyle name="Обычный 8 6 2 2 3 2" xfId="43706"/>
    <cellStyle name="Обычный 8 6 2 2 3 2 2" xfId="43707"/>
    <cellStyle name="Обычный 8 6 2 2 3 2 2 2" xfId="43708"/>
    <cellStyle name="Обычный 8 6 2 2 3 2 2 2 2" xfId="43709"/>
    <cellStyle name="Обычный 8 6 2 2 3 2 2 2 3" xfId="43710"/>
    <cellStyle name="Обычный 8 6 2 2 3 2 2 3" xfId="43711"/>
    <cellStyle name="Обычный 8 6 2 2 3 2 2 3 2" xfId="43712"/>
    <cellStyle name="Обычный 8 6 2 2 3 2 2 3 3" xfId="43713"/>
    <cellStyle name="Обычный 8 6 2 2 3 2 2 4" xfId="43714"/>
    <cellStyle name="Обычный 8 6 2 2 3 2 2 4 2" xfId="43715"/>
    <cellStyle name="Обычный 8 6 2 2 3 2 2 5" xfId="43716"/>
    <cellStyle name="Обычный 8 6 2 2 3 2 2 6" xfId="43717"/>
    <cellStyle name="Обычный 8 6 2 2 3 2 3" xfId="43718"/>
    <cellStyle name="Обычный 8 6 2 2 3 2 3 2" xfId="43719"/>
    <cellStyle name="Обычный 8 6 2 2 3 2 3 3" xfId="43720"/>
    <cellStyle name="Обычный 8 6 2 2 3 2 4" xfId="43721"/>
    <cellStyle name="Обычный 8 6 2 2 3 2 4 2" xfId="43722"/>
    <cellStyle name="Обычный 8 6 2 2 3 2 4 3" xfId="43723"/>
    <cellStyle name="Обычный 8 6 2 2 3 2 5" xfId="43724"/>
    <cellStyle name="Обычный 8 6 2 2 3 2 5 2" xfId="43725"/>
    <cellStyle name="Обычный 8 6 2 2 3 2 6" xfId="43726"/>
    <cellStyle name="Обычный 8 6 2 2 3 2 7" xfId="43727"/>
    <cellStyle name="Обычный 8 6 2 2 3 3" xfId="43728"/>
    <cellStyle name="Обычный 8 6 2 2 3 3 2" xfId="43729"/>
    <cellStyle name="Обычный 8 6 2 2 3 3 2 2" xfId="43730"/>
    <cellStyle name="Обычный 8 6 2 2 3 3 2 3" xfId="43731"/>
    <cellStyle name="Обычный 8 6 2 2 3 3 3" xfId="43732"/>
    <cellStyle name="Обычный 8 6 2 2 3 3 3 2" xfId="43733"/>
    <cellStyle name="Обычный 8 6 2 2 3 3 3 3" xfId="43734"/>
    <cellStyle name="Обычный 8 6 2 2 3 3 4" xfId="43735"/>
    <cellStyle name="Обычный 8 6 2 2 3 3 4 2" xfId="43736"/>
    <cellStyle name="Обычный 8 6 2 2 3 3 5" xfId="43737"/>
    <cellStyle name="Обычный 8 6 2 2 3 3 6" xfId="43738"/>
    <cellStyle name="Обычный 8 6 2 2 3 4" xfId="43739"/>
    <cellStyle name="Обычный 8 6 2 2 3 4 2" xfId="43740"/>
    <cellStyle name="Обычный 8 6 2 2 3 4 3" xfId="43741"/>
    <cellStyle name="Обычный 8 6 2 2 3 5" xfId="43742"/>
    <cellStyle name="Обычный 8 6 2 2 3 5 2" xfId="43743"/>
    <cellStyle name="Обычный 8 6 2 2 3 5 3" xfId="43744"/>
    <cellStyle name="Обычный 8 6 2 2 3 6" xfId="43745"/>
    <cellStyle name="Обычный 8 6 2 2 3 6 2" xfId="43746"/>
    <cellStyle name="Обычный 8 6 2 2 3 7" xfId="43747"/>
    <cellStyle name="Обычный 8 6 2 2 3 8" xfId="43748"/>
    <cellStyle name="Обычный 8 6 2 2 4" xfId="43749"/>
    <cellStyle name="Обычный 8 6 2 2 4 2" xfId="43750"/>
    <cellStyle name="Обычный 8 6 2 2 4 2 2" xfId="43751"/>
    <cellStyle name="Обычный 8 6 2 2 4 2 2 2" xfId="43752"/>
    <cellStyle name="Обычный 8 6 2 2 4 2 2 3" xfId="43753"/>
    <cellStyle name="Обычный 8 6 2 2 4 2 3" xfId="43754"/>
    <cellStyle name="Обычный 8 6 2 2 4 2 3 2" xfId="43755"/>
    <cellStyle name="Обычный 8 6 2 2 4 2 3 3" xfId="43756"/>
    <cellStyle name="Обычный 8 6 2 2 4 2 4" xfId="43757"/>
    <cellStyle name="Обычный 8 6 2 2 4 2 4 2" xfId="43758"/>
    <cellStyle name="Обычный 8 6 2 2 4 2 5" xfId="43759"/>
    <cellStyle name="Обычный 8 6 2 2 4 2 6" xfId="43760"/>
    <cellStyle name="Обычный 8 6 2 2 4 3" xfId="43761"/>
    <cellStyle name="Обычный 8 6 2 2 4 3 2" xfId="43762"/>
    <cellStyle name="Обычный 8 6 2 2 4 3 3" xfId="43763"/>
    <cellStyle name="Обычный 8 6 2 2 4 4" xfId="43764"/>
    <cellStyle name="Обычный 8 6 2 2 4 4 2" xfId="43765"/>
    <cellStyle name="Обычный 8 6 2 2 4 4 3" xfId="43766"/>
    <cellStyle name="Обычный 8 6 2 2 4 5" xfId="43767"/>
    <cellStyle name="Обычный 8 6 2 2 4 5 2" xfId="43768"/>
    <cellStyle name="Обычный 8 6 2 2 4 6" xfId="43769"/>
    <cellStyle name="Обычный 8 6 2 2 4 7" xfId="43770"/>
    <cellStyle name="Обычный 8 6 2 2 5" xfId="43771"/>
    <cellStyle name="Обычный 8 6 2 2 5 2" xfId="43772"/>
    <cellStyle name="Обычный 8 6 2 2 5 2 2" xfId="43773"/>
    <cellStyle name="Обычный 8 6 2 2 5 2 3" xfId="43774"/>
    <cellStyle name="Обычный 8 6 2 2 5 3" xfId="43775"/>
    <cellStyle name="Обычный 8 6 2 2 5 3 2" xfId="43776"/>
    <cellStyle name="Обычный 8 6 2 2 5 3 3" xfId="43777"/>
    <cellStyle name="Обычный 8 6 2 2 5 4" xfId="43778"/>
    <cellStyle name="Обычный 8 6 2 2 5 4 2" xfId="43779"/>
    <cellStyle name="Обычный 8 6 2 2 5 5" xfId="43780"/>
    <cellStyle name="Обычный 8 6 2 2 5 6" xfId="43781"/>
    <cellStyle name="Обычный 8 6 2 2 6" xfId="43782"/>
    <cellStyle name="Обычный 8 6 2 2 6 2" xfId="43783"/>
    <cellStyle name="Обычный 8 6 2 2 6 3" xfId="43784"/>
    <cellStyle name="Обычный 8 6 2 2 7" xfId="43785"/>
    <cellStyle name="Обычный 8 6 2 2 7 2" xfId="43786"/>
    <cellStyle name="Обычный 8 6 2 2 7 3" xfId="43787"/>
    <cellStyle name="Обычный 8 6 2 2 8" xfId="43788"/>
    <cellStyle name="Обычный 8 6 2 2 8 2" xfId="43789"/>
    <cellStyle name="Обычный 8 6 2 2 9" xfId="43790"/>
    <cellStyle name="Обычный 8 6 2 3" xfId="43791"/>
    <cellStyle name="Обычный 8 6 2 3 10" xfId="43792"/>
    <cellStyle name="Обычный 8 6 2 3 2" xfId="43793"/>
    <cellStyle name="Обычный 8 6 2 3 2 2" xfId="43794"/>
    <cellStyle name="Обычный 8 6 2 3 2 2 2" xfId="43795"/>
    <cellStyle name="Обычный 8 6 2 3 2 2 2 2" xfId="43796"/>
    <cellStyle name="Обычный 8 6 2 3 2 2 2 2 2" xfId="43797"/>
    <cellStyle name="Обычный 8 6 2 3 2 2 2 2 2 2" xfId="43798"/>
    <cellStyle name="Обычный 8 6 2 3 2 2 2 2 2 3" xfId="43799"/>
    <cellStyle name="Обычный 8 6 2 3 2 2 2 2 3" xfId="43800"/>
    <cellStyle name="Обычный 8 6 2 3 2 2 2 2 3 2" xfId="43801"/>
    <cellStyle name="Обычный 8 6 2 3 2 2 2 2 3 3" xfId="43802"/>
    <cellStyle name="Обычный 8 6 2 3 2 2 2 2 4" xfId="43803"/>
    <cellStyle name="Обычный 8 6 2 3 2 2 2 2 4 2" xfId="43804"/>
    <cellStyle name="Обычный 8 6 2 3 2 2 2 2 5" xfId="43805"/>
    <cellStyle name="Обычный 8 6 2 3 2 2 2 2 6" xfId="43806"/>
    <cellStyle name="Обычный 8 6 2 3 2 2 2 3" xfId="43807"/>
    <cellStyle name="Обычный 8 6 2 3 2 2 2 3 2" xfId="43808"/>
    <cellStyle name="Обычный 8 6 2 3 2 2 2 3 3" xfId="43809"/>
    <cellStyle name="Обычный 8 6 2 3 2 2 2 4" xfId="43810"/>
    <cellStyle name="Обычный 8 6 2 3 2 2 2 4 2" xfId="43811"/>
    <cellStyle name="Обычный 8 6 2 3 2 2 2 4 3" xfId="43812"/>
    <cellStyle name="Обычный 8 6 2 3 2 2 2 5" xfId="43813"/>
    <cellStyle name="Обычный 8 6 2 3 2 2 2 5 2" xfId="43814"/>
    <cellStyle name="Обычный 8 6 2 3 2 2 2 6" xfId="43815"/>
    <cellStyle name="Обычный 8 6 2 3 2 2 2 7" xfId="43816"/>
    <cellStyle name="Обычный 8 6 2 3 2 2 3" xfId="43817"/>
    <cellStyle name="Обычный 8 6 2 3 2 2 3 2" xfId="43818"/>
    <cellStyle name="Обычный 8 6 2 3 2 2 3 2 2" xfId="43819"/>
    <cellStyle name="Обычный 8 6 2 3 2 2 3 2 3" xfId="43820"/>
    <cellStyle name="Обычный 8 6 2 3 2 2 3 3" xfId="43821"/>
    <cellStyle name="Обычный 8 6 2 3 2 2 3 3 2" xfId="43822"/>
    <cellStyle name="Обычный 8 6 2 3 2 2 3 3 3" xfId="43823"/>
    <cellStyle name="Обычный 8 6 2 3 2 2 3 4" xfId="43824"/>
    <cellStyle name="Обычный 8 6 2 3 2 2 3 4 2" xfId="43825"/>
    <cellStyle name="Обычный 8 6 2 3 2 2 3 5" xfId="43826"/>
    <cellStyle name="Обычный 8 6 2 3 2 2 3 6" xfId="43827"/>
    <cellStyle name="Обычный 8 6 2 3 2 2 4" xfId="43828"/>
    <cellStyle name="Обычный 8 6 2 3 2 2 4 2" xfId="43829"/>
    <cellStyle name="Обычный 8 6 2 3 2 2 4 3" xfId="43830"/>
    <cellStyle name="Обычный 8 6 2 3 2 2 5" xfId="43831"/>
    <cellStyle name="Обычный 8 6 2 3 2 2 5 2" xfId="43832"/>
    <cellStyle name="Обычный 8 6 2 3 2 2 5 3" xfId="43833"/>
    <cellStyle name="Обычный 8 6 2 3 2 2 6" xfId="43834"/>
    <cellStyle name="Обычный 8 6 2 3 2 2 6 2" xfId="43835"/>
    <cellStyle name="Обычный 8 6 2 3 2 2 7" xfId="43836"/>
    <cellStyle name="Обычный 8 6 2 3 2 2 8" xfId="43837"/>
    <cellStyle name="Обычный 8 6 2 3 2 3" xfId="43838"/>
    <cellStyle name="Обычный 8 6 2 3 2 3 2" xfId="43839"/>
    <cellStyle name="Обычный 8 6 2 3 2 3 2 2" xfId="43840"/>
    <cellStyle name="Обычный 8 6 2 3 2 3 2 2 2" xfId="43841"/>
    <cellStyle name="Обычный 8 6 2 3 2 3 2 2 3" xfId="43842"/>
    <cellStyle name="Обычный 8 6 2 3 2 3 2 3" xfId="43843"/>
    <cellStyle name="Обычный 8 6 2 3 2 3 2 3 2" xfId="43844"/>
    <cellStyle name="Обычный 8 6 2 3 2 3 2 3 3" xfId="43845"/>
    <cellStyle name="Обычный 8 6 2 3 2 3 2 4" xfId="43846"/>
    <cellStyle name="Обычный 8 6 2 3 2 3 2 4 2" xfId="43847"/>
    <cellStyle name="Обычный 8 6 2 3 2 3 2 5" xfId="43848"/>
    <cellStyle name="Обычный 8 6 2 3 2 3 2 6" xfId="43849"/>
    <cellStyle name="Обычный 8 6 2 3 2 3 3" xfId="43850"/>
    <cellStyle name="Обычный 8 6 2 3 2 3 3 2" xfId="43851"/>
    <cellStyle name="Обычный 8 6 2 3 2 3 3 3" xfId="43852"/>
    <cellStyle name="Обычный 8 6 2 3 2 3 4" xfId="43853"/>
    <cellStyle name="Обычный 8 6 2 3 2 3 4 2" xfId="43854"/>
    <cellStyle name="Обычный 8 6 2 3 2 3 4 3" xfId="43855"/>
    <cellStyle name="Обычный 8 6 2 3 2 3 5" xfId="43856"/>
    <cellStyle name="Обычный 8 6 2 3 2 3 5 2" xfId="43857"/>
    <cellStyle name="Обычный 8 6 2 3 2 3 6" xfId="43858"/>
    <cellStyle name="Обычный 8 6 2 3 2 3 7" xfId="43859"/>
    <cellStyle name="Обычный 8 6 2 3 2 4" xfId="43860"/>
    <cellStyle name="Обычный 8 6 2 3 2 4 2" xfId="43861"/>
    <cellStyle name="Обычный 8 6 2 3 2 4 2 2" xfId="43862"/>
    <cellStyle name="Обычный 8 6 2 3 2 4 2 3" xfId="43863"/>
    <cellStyle name="Обычный 8 6 2 3 2 4 3" xfId="43864"/>
    <cellStyle name="Обычный 8 6 2 3 2 4 3 2" xfId="43865"/>
    <cellStyle name="Обычный 8 6 2 3 2 4 3 3" xfId="43866"/>
    <cellStyle name="Обычный 8 6 2 3 2 4 4" xfId="43867"/>
    <cellStyle name="Обычный 8 6 2 3 2 4 4 2" xfId="43868"/>
    <cellStyle name="Обычный 8 6 2 3 2 4 5" xfId="43869"/>
    <cellStyle name="Обычный 8 6 2 3 2 4 6" xfId="43870"/>
    <cellStyle name="Обычный 8 6 2 3 2 5" xfId="43871"/>
    <cellStyle name="Обычный 8 6 2 3 2 5 2" xfId="43872"/>
    <cellStyle name="Обычный 8 6 2 3 2 5 3" xfId="43873"/>
    <cellStyle name="Обычный 8 6 2 3 2 6" xfId="43874"/>
    <cellStyle name="Обычный 8 6 2 3 2 6 2" xfId="43875"/>
    <cellStyle name="Обычный 8 6 2 3 2 6 3" xfId="43876"/>
    <cellStyle name="Обычный 8 6 2 3 2 7" xfId="43877"/>
    <cellStyle name="Обычный 8 6 2 3 2 7 2" xfId="43878"/>
    <cellStyle name="Обычный 8 6 2 3 2 8" xfId="43879"/>
    <cellStyle name="Обычный 8 6 2 3 2 9" xfId="43880"/>
    <cellStyle name="Обычный 8 6 2 3 3" xfId="43881"/>
    <cellStyle name="Обычный 8 6 2 3 3 2" xfId="43882"/>
    <cellStyle name="Обычный 8 6 2 3 3 2 2" xfId="43883"/>
    <cellStyle name="Обычный 8 6 2 3 3 2 2 2" xfId="43884"/>
    <cellStyle name="Обычный 8 6 2 3 3 2 2 2 2" xfId="43885"/>
    <cellStyle name="Обычный 8 6 2 3 3 2 2 2 3" xfId="43886"/>
    <cellStyle name="Обычный 8 6 2 3 3 2 2 3" xfId="43887"/>
    <cellStyle name="Обычный 8 6 2 3 3 2 2 3 2" xfId="43888"/>
    <cellStyle name="Обычный 8 6 2 3 3 2 2 3 3" xfId="43889"/>
    <cellStyle name="Обычный 8 6 2 3 3 2 2 4" xfId="43890"/>
    <cellStyle name="Обычный 8 6 2 3 3 2 2 4 2" xfId="43891"/>
    <cellStyle name="Обычный 8 6 2 3 3 2 2 5" xfId="43892"/>
    <cellStyle name="Обычный 8 6 2 3 3 2 2 6" xfId="43893"/>
    <cellStyle name="Обычный 8 6 2 3 3 2 3" xfId="43894"/>
    <cellStyle name="Обычный 8 6 2 3 3 2 3 2" xfId="43895"/>
    <cellStyle name="Обычный 8 6 2 3 3 2 3 3" xfId="43896"/>
    <cellStyle name="Обычный 8 6 2 3 3 2 4" xfId="43897"/>
    <cellStyle name="Обычный 8 6 2 3 3 2 4 2" xfId="43898"/>
    <cellStyle name="Обычный 8 6 2 3 3 2 4 3" xfId="43899"/>
    <cellStyle name="Обычный 8 6 2 3 3 2 5" xfId="43900"/>
    <cellStyle name="Обычный 8 6 2 3 3 2 5 2" xfId="43901"/>
    <cellStyle name="Обычный 8 6 2 3 3 2 6" xfId="43902"/>
    <cellStyle name="Обычный 8 6 2 3 3 2 7" xfId="43903"/>
    <cellStyle name="Обычный 8 6 2 3 3 3" xfId="43904"/>
    <cellStyle name="Обычный 8 6 2 3 3 3 2" xfId="43905"/>
    <cellStyle name="Обычный 8 6 2 3 3 3 2 2" xfId="43906"/>
    <cellStyle name="Обычный 8 6 2 3 3 3 2 3" xfId="43907"/>
    <cellStyle name="Обычный 8 6 2 3 3 3 3" xfId="43908"/>
    <cellStyle name="Обычный 8 6 2 3 3 3 3 2" xfId="43909"/>
    <cellStyle name="Обычный 8 6 2 3 3 3 3 3" xfId="43910"/>
    <cellStyle name="Обычный 8 6 2 3 3 3 4" xfId="43911"/>
    <cellStyle name="Обычный 8 6 2 3 3 3 4 2" xfId="43912"/>
    <cellStyle name="Обычный 8 6 2 3 3 3 5" xfId="43913"/>
    <cellStyle name="Обычный 8 6 2 3 3 3 6" xfId="43914"/>
    <cellStyle name="Обычный 8 6 2 3 3 4" xfId="43915"/>
    <cellStyle name="Обычный 8 6 2 3 3 4 2" xfId="43916"/>
    <cellStyle name="Обычный 8 6 2 3 3 4 3" xfId="43917"/>
    <cellStyle name="Обычный 8 6 2 3 3 5" xfId="43918"/>
    <cellStyle name="Обычный 8 6 2 3 3 5 2" xfId="43919"/>
    <cellStyle name="Обычный 8 6 2 3 3 5 3" xfId="43920"/>
    <cellStyle name="Обычный 8 6 2 3 3 6" xfId="43921"/>
    <cellStyle name="Обычный 8 6 2 3 3 6 2" xfId="43922"/>
    <cellStyle name="Обычный 8 6 2 3 3 7" xfId="43923"/>
    <cellStyle name="Обычный 8 6 2 3 3 8" xfId="43924"/>
    <cellStyle name="Обычный 8 6 2 3 4" xfId="43925"/>
    <cellStyle name="Обычный 8 6 2 3 4 2" xfId="43926"/>
    <cellStyle name="Обычный 8 6 2 3 4 2 2" xfId="43927"/>
    <cellStyle name="Обычный 8 6 2 3 4 2 2 2" xfId="43928"/>
    <cellStyle name="Обычный 8 6 2 3 4 2 2 3" xfId="43929"/>
    <cellStyle name="Обычный 8 6 2 3 4 2 3" xfId="43930"/>
    <cellStyle name="Обычный 8 6 2 3 4 2 3 2" xfId="43931"/>
    <cellStyle name="Обычный 8 6 2 3 4 2 3 3" xfId="43932"/>
    <cellStyle name="Обычный 8 6 2 3 4 2 4" xfId="43933"/>
    <cellStyle name="Обычный 8 6 2 3 4 2 4 2" xfId="43934"/>
    <cellStyle name="Обычный 8 6 2 3 4 2 5" xfId="43935"/>
    <cellStyle name="Обычный 8 6 2 3 4 2 6" xfId="43936"/>
    <cellStyle name="Обычный 8 6 2 3 4 3" xfId="43937"/>
    <cellStyle name="Обычный 8 6 2 3 4 3 2" xfId="43938"/>
    <cellStyle name="Обычный 8 6 2 3 4 3 3" xfId="43939"/>
    <cellStyle name="Обычный 8 6 2 3 4 4" xfId="43940"/>
    <cellStyle name="Обычный 8 6 2 3 4 4 2" xfId="43941"/>
    <cellStyle name="Обычный 8 6 2 3 4 4 3" xfId="43942"/>
    <cellStyle name="Обычный 8 6 2 3 4 5" xfId="43943"/>
    <cellStyle name="Обычный 8 6 2 3 4 5 2" xfId="43944"/>
    <cellStyle name="Обычный 8 6 2 3 4 6" xfId="43945"/>
    <cellStyle name="Обычный 8 6 2 3 4 7" xfId="43946"/>
    <cellStyle name="Обычный 8 6 2 3 5" xfId="43947"/>
    <cellStyle name="Обычный 8 6 2 3 5 2" xfId="43948"/>
    <cellStyle name="Обычный 8 6 2 3 5 2 2" xfId="43949"/>
    <cellStyle name="Обычный 8 6 2 3 5 2 3" xfId="43950"/>
    <cellStyle name="Обычный 8 6 2 3 5 3" xfId="43951"/>
    <cellStyle name="Обычный 8 6 2 3 5 3 2" xfId="43952"/>
    <cellStyle name="Обычный 8 6 2 3 5 3 3" xfId="43953"/>
    <cellStyle name="Обычный 8 6 2 3 5 4" xfId="43954"/>
    <cellStyle name="Обычный 8 6 2 3 5 4 2" xfId="43955"/>
    <cellStyle name="Обычный 8 6 2 3 5 5" xfId="43956"/>
    <cellStyle name="Обычный 8 6 2 3 5 6" xfId="43957"/>
    <cellStyle name="Обычный 8 6 2 3 6" xfId="43958"/>
    <cellStyle name="Обычный 8 6 2 3 6 2" xfId="43959"/>
    <cellStyle name="Обычный 8 6 2 3 6 3" xfId="43960"/>
    <cellStyle name="Обычный 8 6 2 3 7" xfId="43961"/>
    <cellStyle name="Обычный 8 6 2 3 7 2" xfId="43962"/>
    <cellStyle name="Обычный 8 6 2 3 7 3" xfId="43963"/>
    <cellStyle name="Обычный 8 6 2 3 8" xfId="43964"/>
    <cellStyle name="Обычный 8 6 2 3 8 2" xfId="43965"/>
    <cellStyle name="Обычный 8 6 2 3 9" xfId="43966"/>
    <cellStyle name="Обычный 8 6 2 4" xfId="43967"/>
    <cellStyle name="Обычный 8 6 2 4 10" xfId="43968"/>
    <cellStyle name="Обычный 8 6 2 4 2" xfId="43969"/>
    <cellStyle name="Обычный 8 6 2 4 2 2" xfId="43970"/>
    <cellStyle name="Обычный 8 6 2 4 2 2 2" xfId="43971"/>
    <cellStyle name="Обычный 8 6 2 4 2 2 2 2" xfId="43972"/>
    <cellStyle name="Обычный 8 6 2 4 2 2 2 2 2" xfId="43973"/>
    <cellStyle name="Обычный 8 6 2 4 2 2 2 2 2 2" xfId="43974"/>
    <cellStyle name="Обычный 8 6 2 4 2 2 2 2 2 3" xfId="43975"/>
    <cellStyle name="Обычный 8 6 2 4 2 2 2 2 3" xfId="43976"/>
    <cellStyle name="Обычный 8 6 2 4 2 2 2 2 3 2" xfId="43977"/>
    <cellStyle name="Обычный 8 6 2 4 2 2 2 2 3 3" xfId="43978"/>
    <cellStyle name="Обычный 8 6 2 4 2 2 2 2 4" xfId="43979"/>
    <cellStyle name="Обычный 8 6 2 4 2 2 2 2 4 2" xfId="43980"/>
    <cellStyle name="Обычный 8 6 2 4 2 2 2 2 5" xfId="43981"/>
    <cellStyle name="Обычный 8 6 2 4 2 2 2 2 6" xfId="43982"/>
    <cellStyle name="Обычный 8 6 2 4 2 2 2 3" xfId="43983"/>
    <cellStyle name="Обычный 8 6 2 4 2 2 2 3 2" xfId="43984"/>
    <cellStyle name="Обычный 8 6 2 4 2 2 2 3 3" xfId="43985"/>
    <cellStyle name="Обычный 8 6 2 4 2 2 2 4" xfId="43986"/>
    <cellStyle name="Обычный 8 6 2 4 2 2 2 4 2" xfId="43987"/>
    <cellStyle name="Обычный 8 6 2 4 2 2 2 4 3" xfId="43988"/>
    <cellStyle name="Обычный 8 6 2 4 2 2 2 5" xfId="43989"/>
    <cellStyle name="Обычный 8 6 2 4 2 2 2 5 2" xfId="43990"/>
    <cellStyle name="Обычный 8 6 2 4 2 2 2 6" xfId="43991"/>
    <cellStyle name="Обычный 8 6 2 4 2 2 2 7" xfId="43992"/>
    <cellStyle name="Обычный 8 6 2 4 2 2 3" xfId="43993"/>
    <cellStyle name="Обычный 8 6 2 4 2 2 3 2" xfId="43994"/>
    <cellStyle name="Обычный 8 6 2 4 2 2 3 2 2" xfId="43995"/>
    <cellStyle name="Обычный 8 6 2 4 2 2 3 2 3" xfId="43996"/>
    <cellStyle name="Обычный 8 6 2 4 2 2 3 3" xfId="43997"/>
    <cellStyle name="Обычный 8 6 2 4 2 2 3 3 2" xfId="43998"/>
    <cellStyle name="Обычный 8 6 2 4 2 2 3 3 3" xfId="43999"/>
    <cellStyle name="Обычный 8 6 2 4 2 2 3 4" xfId="44000"/>
    <cellStyle name="Обычный 8 6 2 4 2 2 3 4 2" xfId="44001"/>
    <cellStyle name="Обычный 8 6 2 4 2 2 3 5" xfId="44002"/>
    <cellStyle name="Обычный 8 6 2 4 2 2 3 6" xfId="44003"/>
    <cellStyle name="Обычный 8 6 2 4 2 2 4" xfId="44004"/>
    <cellStyle name="Обычный 8 6 2 4 2 2 4 2" xfId="44005"/>
    <cellStyle name="Обычный 8 6 2 4 2 2 4 3" xfId="44006"/>
    <cellStyle name="Обычный 8 6 2 4 2 2 5" xfId="44007"/>
    <cellStyle name="Обычный 8 6 2 4 2 2 5 2" xfId="44008"/>
    <cellStyle name="Обычный 8 6 2 4 2 2 5 3" xfId="44009"/>
    <cellStyle name="Обычный 8 6 2 4 2 2 6" xfId="44010"/>
    <cellStyle name="Обычный 8 6 2 4 2 2 6 2" xfId="44011"/>
    <cellStyle name="Обычный 8 6 2 4 2 2 7" xfId="44012"/>
    <cellStyle name="Обычный 8 6 2 4 2 2 8" xfId="44013"/>
    <cellStyle name="Обычный 8 6 2 4 2 3" xfId="44014"/>
    <cellStyle name="Обычный 8 6 2 4 2 3 2" xfId="44015"/>
    <cellStyle name="Обычный 8 6 2 4 2 3 2 2" xfId="44016"/>
    <cellStyle name="Обычный 8 6 2 4 2 3 2 2 2" xfId="44017"/>
    <cellStyle name="Обычный 8 6 2 4 2 3 2 2 3" xfId="44018"/>
    <cellStyle name="Обычный 8 6 2 4 2 3 2 3" xfId="44019"/>
    <cellStyle name="Обычный 8 6 2 4 2 3 2 3 2" xfId="44020"/>
    <cellStyle name="Обычный 8 6 2 4 2 3 2 3 3" xfId="44021"/>
    <cellStyle name="Обычный 8 6 2 4 2 3 2 4" xfId="44022"/>
    <cellStyle name="Обычный 8 6 2 4 2 3 2 4 2" xfId="44023"/>
    <cellStyle name="Обычный 8 6 2 4 2 3 2 5" xfId="44024"/>
    <cellStyle name="Обычный 8 6 2 4 2 3 2 6" xfId="44025"/>
    <cellStyle name="Обычный 8 6 2 4 2 3 3" xfId="44026"/>
    <cellStyle name="Обычный 8 6 2 4 2 3 3 2" xfId="44027"/>
    <cellStyle name="Обычный 8 6 2 4 2 3 3 3" xfId="44028"/>
    <cellStyle name="Обычный 8 6 2 4 2 3 4" xfId="44029"/>
    <cellStyle name="Обычный 8 6 2 4 2 3 4 2" xfId="44030"/>
    <cellStyle name="Обычный 8 6 2 4 2 3 4 3" xfId="44031"/>
    <cellStyle name="Обычный 8 6 2 4 2 3 5" xfId="44032"/>
    <cellStyle name="Обычный 8 6 2 4 2 3 5 2" xfId="44033"/>
    <cellStyle name="Обычный 8 6 2 4 2 3 6" xfId="44034"/>
    <cellStyle name="Обычный 8 6 2 4 2 3 7" xfId="44035"/>
    <cellStyle name="Обычный 8 6 2 4 2 4" xfId="44036"/>
    <cellStyle name="Обычный 8 6 2 4 2 4 2" xfId="44037"/>
    <cellStyle name="Обычный 8 6 2 4 2 4 2 2" xfId="44038"/>
    <cellStyle name="Обычный 8 6 2 4 2 4 2 3" xfId="44039"/>
    <cellStyle name="Обычный 8 6 2 4 2 4 3" xfId="44040"/>
    <cellStyle name="Обычный 8 6 2 4 2 4 3 2" xfId="44041"/>
    <cellStyle name="Обычный 8 6 2 4 2 4 3 3" xfId="44042"/>
    <cellStyle name="Обычный 8 6 2 4 2 4 4" xfId="44043"/>
    <cellStyle name="Обычный 8 6 2 4 2 4 4 2" xfId="44044"/>
    <cellStyle name="Обычный 8 6 2 4 2 4 5" xfId="44045"/>
    <cellStyle name="Обычный 8 6 2 4 2 4 6" xfId="44046"/>
    <cellStyle name="Обычный 8 6 2 4 2 5" xfId="44047"/>
    <cellStyle name="Обычный 8 6 2 4 2 5 2" xfId="44048"/>
    <cellStyle name="Обычный 8 6 2 4 2 5 3" xfId="44049"/>
    <cellStyle name="Обычный 8 6 2 4 2 6" xfId="44050"/>
    <cellStyle name="Обычный 8 6 2 4 2 6 2" xfId="44051"/>
    <cellStyle name="Обычный 8 6 2 4 2 6 3" xfId="44052"/>
    <cellStyle name="Обычный 8 6 2 4 2 7" xfId="44053"/>
    <cellStyle name="Обычный 8 6 2 4 2 7 2" xfId="44054"/>
    <cellStyle name="Обычный 8 6 2 4 2 8" xfId="44055"/>
    <cellStyle name="Обычный 8 6 2 4 2 9" xfId="44056"/>
    <cellStyle name="Обычный 8 6 2 4 3" xfId="44057"/>
    <cellStyle name="Обычный 8 6 2 4 3 2" xfId="44058"/>
    <cellStyle name="Обычный 8 6 2 4 3 2 2" xfId="44059"/>
    <cellStyle name="Обычный 8 6 2 4 3 2 2 2" xfId="44060"/>
    <cellStyle name="Обычный 8 6 2 4 3 2 2 2 2" xfId="44061"/>
    <cellStyle name="Обычный 8 6 2 4 3 2 2 2 3" xfId="44062"/>
    <cellStyle name="Обычный 8 6 2 4 3 2 2 3" xfId="44063"/>
    <cellStyle name="Обычный 8 6 2 4 3 2 2 3 2" xfId="44064"/>
    <cellStyle name="Обычный 8 6 2 4 3 2 2 3 3" xfId="44065"/>
    <cellStyle name="Обычный 8 6 2 4 3 2 2 4" xfId="44066"/>
    <cellStyle name="Обычный 8 6 2 4 3 2 2 4 2" xfId="44067"/>
    <cellStyle name="Обычный 8 6 2 4 3 2 2 5" xfId="44068"/>
    <cellStyle name="Обычный 8 6 2 4 3 2 2 6" xfId="44069"/>
    <cellStyle name="Обычный 8 6 2 4 3 2 3" xfId="44070"/>
    <cellStyle name="Обычный 8 6 2 4 3 2 3 2" xfId="44071"/>
    <cellStyle name="Обычный 8 6 2 4 3 2 3 3" xfId="44072"/>
    <cellStyle name="Обычный 8 6 2 4 3 2 4" xfId="44073"/>
    <cellStyle name="Обычный 8 6 2 4 3 2 4 2" xfId="44074"/>
    <cellStyle name="Обычный 8 6 2 4 3 2 4 3" xfId="44075"/>
    <cellStyle name="Обычный 8 6 2 4 3 2 5" xfId="44076"/>
    <cellStyle name="Обычный 8 6 2 4 3 2 5 2" xfId="44077"/>
    <cellStyle name="Обычный 8 6 2 4 3 2 6" xfId="44078"/>
    <cellStyle name="Обычный 8 6 2 4 3 2 7" xfId="44079"/>
    <cellStyle name="Обычный 8 6 2 4 3 3" xfId="44080"/>
    <cellStyle name="Обычный 8 6 2 4 3 3 2" xfId="44081"/>
    <cellStyle name="Обычный 8 6 2 4 3 3 2 2" xfId="44082"/>
    <cellStyle name="Обычный 8 6 2 4 3 3 2 3" xfId="44083"/>
    <cellStyle name="Обычный 8 6 2 4 3 3 3" xfId="44084"/>
    <cellStyle name="Обычный 8 6 2 4 3 3 3 2" xfId="44085"/>
    <cellStyle name="Обычный 8 6 2 4 3 3 3 3" xfId="44086"/>
    <cellStyle name="Обычный 8 6 2 4 3 3 4" xfId="44087"/>
    <cellStyle name="Обычный 8 6 2 4 3 3 4 2" xfId="44088"/>
    <cellStyle name="Обычный 8 6 2 4 3 3 5" xfId="44089"/>
    <cellStyle name="Обычный 8 6 2 4 3 3 6" xfId="44090"/>
    <cellStyle name="Обычный 8 6 2 4 3 4" xfId="44091"/>
    <cellStyle name="Обычный 8 6 2 4 3 4 2" xfId="44092"/>
    <cellStyle name="Обычный 8 6 2 4 3 4 3" xfId="44093"/>
    <cellStyle name="Обычный 8 6 2 4 3 5" xfId="44094"/>
    <cellStyle name="Обычный 8 6 2 4 3 5 2" xfId="44095"/>
    <cellStyle name="Обычный 8 6 2 4 3 5 3" xfId="44096"/>
    <cellStyle name="Обычный 8 6 2 4 3 6" xfId="44097"/>
    <cellStyle name="Обычный 8 6 2 4 3 6 2" xfId="44098"/>
    <cellStyle name="Обычный 8 6 2 4 3 7" xfId="44099"/>
    <cellStyle name="Обычный 8 6 2 4 3 8" xfId="44100"/>
    <cellStyle name="Обычный 8 6 2 4 4" xfId="44101"/>
    <cellStyle name="Обычный 8 6 2 4 4 2" xfId="44102"/>
    <cellStyle name="Обычный 8 6 2 4 4 2 2" xfId="44103"/>
    <cellStyle name="Обычный 8 6 2 4 4 2 2 2" xfId="44104"/>
    <cellStyle name="Обычный 8 6 2 4 4 2 2 3" xfId="44105"/>
    <cellStyle name="Обычный 8 6 2 4 4 2 3" xfId="44106"/>
    <cellStyle name="Обычный 8 6 2 4 4 2 3 2" xfId="44107"/>
    <cellStyle name="Обычный 8 6 2 4 4 2 3 3" xfId="44108"/>
    <cellStyle name="Обычный 8 6 2 4 4 2 4" xfId="44109"/>
    <cellStyle name="Обычный 8 6 2 4 4 2 4 2" xfId="44110"/>
    <cellStyle name="Обычный 8 6 2 4 4 2 5" xfId="44111"/>
    <cellStyle name="Обычный 8 6 2 4 4 2 6" xfId="44112"/>
    <cellStyle name="Обычный 8 6 2 4 4 3" xfId="44113"/>
    <cellStyle name="Обычный 8 6 2 4 4 3 2" xfId="44114"/>
    <cellStyle name="Обычный 8 6 2 4 4 3 3" xfId="44115"/>
    <cellStyle name="Обычный 8 6 2 4 4 4" xfId="44116"/>
    <cellStyle name="Обычный 8 6 2 4 4 4 2" xfId="44117"/>
    <cellStyle name="Обычный 8 6 2 4 4 4 3" xfId="44118"/>
    <cellStyle name="Обычный 8 6 2 4 4 5" xfId="44119"/>
    <cellStyle name="Обычный 8 6 2 4 4 5 2" xfId="44120"/>
    <cellStyle name="Обычный 8 6 2 4 4 6" xfId="44121"/>
    <cellStyle name="Обычный 8 6 2 4 4 7" xfId="44122"/>
    <cellStyle name="Обычный 8 6 2 4 5" xfId="44123"/>
    <cellStyle name="Обычный 8 6 2 4 5 2" xfId="44124"/>
    <cellStyle name="Обычный 8 6 2 4 5 2 2" xfId="44125"/>
    <cellStyle name="Обычный 8 6 2 4 5 2 3" xfId="44126"/>
    <cellStyle name="Обычный 8 6 2 4 5 3" xfId="44127"/>
    <cellStyle name="Обычный 8 6 2 4 5 3 2" xfId="44128"/>
    <cellStyle name="Обычный 8 6 2 4 5 3 3" xfId="44129"/>
    <cellStyle name="Обычный 8 6 2 4 5 4" xfId="44130"/>
    <cellStyle name="Обычный 8 6 2 4 5 4 2" xfId="44131"/>
    <cellStyle name="Обычный 8 6 2 4 5 5" xfId="44132"/>
    <cellStyle name="Обычный 8 6 2 4 5 6" xfId="44133"/>
    <cellStyle name="Обычный 8 6 2 4 6" xfId="44134"/>
    <cellStyle name="Обычный 8 6 2 4 6 2" xfId="44135"/>
    <cellStyle name="Обычный 8 6 2 4 6 3" xfId="44136"/>
    <cellStyle name="Обычный 8 6 2 4 7" xfId="44137"/>
    <cellStyle name="Обычный 8 6 2 4 7 2" xfId="44138"/>
    <cellStyle name="Обычный 8 6 2 4 7 3" xfId="44139"/>
    <cellStyle name="Обычный 8 6 2 4 8" xfId="44140"/>
    <cellStyle name="Обычный 8 6 2 4 8 2" xfId="44141"/>
    <cellStyle name="Обычный 8 6 2 4 9" xfId="44142"/>
    <cellStyle name="Обычный 8 6 2 5" xfId="44143"/>
    <cellStyle name="Обычный 8 6 2 5 2" xfId="44144"/>
    <cellStyle name="Обычный 8 6 2 5 2 2" xfId="44145"/>
    <cellStyle name="Обычный 8 6 2 5 2 2 2" xfId="44146"/>
    <cellStyle name="Обычный 8 6 2 5 2 2 2 2" xfId="44147"/>
    <cellStyle name="Обычный 8 6 2 5 2 2 2 2 2" xfId="44148"/>
    <cellStyle name="Обычный 8 6 2 5 2 2 2 2 3" xfId="44149"/>
    <cellStyle name="Обычный 8 6 2 5 2 2 2 3" xfId="44150"/>
    <cellStyle name="Обычный 8 6 2 5 2 2 2 3 2" xfId="44151"/>
    <cellStyle name="Обычный 8 6 2 5 2 2 2 3 3" xfId="44152"/>
    <cellStyle name="Обычный 8 6 2 5 2 2 2 4" xfId="44153"/>
    <cellStyle name="Обычный 8 6 2 5 2 2 2 4 2" xfId="44154"/>
    <cellStyle name="Обычный 8 6 2 5 2 2 2 5" xfId="44155"/>
    <cellStyle name="Обычный 8 6 2 5 2 2 2 6" xfId="44156"/>
    <cellStyle name="Обычный 8 6 2 5 2 2 3" xfId="44157"/>
    <cellStyle name="Обычный 8 6 2 5 2 2 3 2" xfId="44158"/>
    <cellStyle name="Обычный 8 6 2 5 2 2 3 3" xfId="44159"/>
    <cellStyle name="Обычный 8 6 2 5 2 2 4" xfId="44160"/>
    <cellStyle name="Обычный 8 6 2 5 2 2 4 2" xfId="44161"/>
    <cellStyle name="Обычный 8 6 2 5 2 2 4 3" xfId="44162"/>
    <cellStyle name="Обычный 8 6 2 5 2 2 5" xfId="44163"/>
    <cellStyle name="Обычный 8 6 2 5 2 2 5 2" xfId="44164"/>
    <cellStyle name="Обычный 8 6 2 5 2 2 6" xfId="44165"/>
    <cellStyle name="Обычный 8 6 2 5 2 2 7" xfId="44166"/>
    <cellStyle name="Обычный 8 6 2 5 2 3" xfId="44167"/>
    <cellStyle name="Обычный 8 6 2 5 2 3 2" xfId="44168"/>
    <cellStyle name="Обычный 8 6 2 5 2 3 2 2" xfId="44169"/>
    <cellStyle name="Обычный 8 6 2 5 2 3 2 3" xfId="44170"/>
    <cellStyle name="Обычный 8 6 2 5 2 3 3" xfId="44171"/>
    <cellStyle name="Обычный 8 6 2 5 2 3 3 2" xfId="44172"/>
    <cellStyle name="Обычный 8 6 2 5 2 3 3 3" xfId="44173"/>
    <cellStyle name="Обычный 8 6 2 5 2 3 4" xfId="44174"/>
    <cellStyle name="Обычный 8 6 2 5 2 3 4 2" xfId="44175"/>
    <cellStyle name="Обычный 8 6 2 5 2 3 5" xfId="44176"/>
    <cellStyle name="Обычный 8 6 2 5 2 3 6" xfId="44177"/>
    <cellStyle name="Обычный 8 6 2 5 2 4" xfId="44178"/>
    <cellStyle name="Обычный 8 6 2 5 2 4 2" xfId="44179"/>
    <cellStyle name="Обычный 8 6 2 5 2 4 3" xfId="44180"/>
    <cellStyle name="Обычный 8 6 2 5 2 5" xfId="44181"/>
    <cellStyle name="Обычный 8 6 2 5 2 5 2" xfId="44182"/>
    <cellStyle name="Обычный 8 6 2 5 2 5 3" xfId="44183"/>
    <cellStyle name="Обычный 8 6 2 5 2 6" xfId="44184"/>
    <cellStyle name="Обычный 8 6 2 5 2 6 2" xfId="44185"/>
    <cellStyle name="Обычный 8 6 2 5 2 7" xfId="44186"/>
    <cellStyle name="Обычный 8 6 2 5 2 8" xfId="44187"/>
    <cellStyle name="Обычный 8 6 2 5 3" xfId="44188"/>
    <cellStyle name="Обычный 8 6 2 5 3 2" xfId="44189"/>
    <cellStyle name="Обычный 8 6 2 5 3 2 2" xfId="44190"/>
    <cellStyle name="Обычный 8 6 2 5 3 2 2 2" xfId="44191"/>
    <cellStyle name="Обычный 8 6 2 5 3 2 2 3" xfId="44192"/>
    <cellStyle name="Обычный 8 6 2 5 3 2 3" xfId="44193"/>
    <cellStyle name="Обычный 8 6 2 5 3 2 3 2" xfId="44194"/>
    <cellStyle name="Обычный 8 6 2 5 3 2 3 3" xfId="44195"/>
    <cellStyle name="Обычный 8 6 2 5 3 2 4" xfId="44196"/>
    <cellStyle name="Обычный 8 6 2 5 3 2 4 2" xfId="44197"/>
    <cellStyle name="Обычный 8 6 2 5 3 2 5" xfId="44198"/>
    <cellStyle name="Обычный 8 6 2 5 3 2 6" xfId="44199"/>
    <cellStyle name="Обычный 8 6 2 5 3 3" xfId="44200"/>
    <cellStyle name="Обычный 8 6 2 5 3 3 2" xfId="44201"/>
    <cellStyle name="Обычный 8 6 2 5 3 3 3" xfId="44202"/>
    <cellStyle name="Обычный 8 6 2 5 3 4" xfId="44203"/>
    <cellStyle name="Обычный 8 6 2 5 3 4 2" xfId="44204"/>
    <cellStyle name="Обычный 8 6 2 5 3 4 3" xfId="44205"/>
    <cellStyle name="Обычный 8 6 2 5 3 5" xfId="44206"/>
    <cellStyle name="Обычный 8 6 2 5 3 5 2" xfId="44207"/>
    <cellStyle name="Обычный 8 6 2 5 3 6" xfId="44208"/>
    <cellStyle name="Обычный 8 6 2 5 3 7" xfId="44209"/>
    <cellStyle name="Обычный 8 6 2 5 4" xfId="44210"/>
    <cellStyle name="Обычный 8 6 2 5 4 2" xfId="44211"/>
    <cellStyle name="Обычный 8 6 2 5 4 2 2" xfId="44212"/>
    <cellStyle name="Обычный 8 6 2 5 4 2 3" xfId="44213"/>
    <cellStyle name="Обычный 8 6 2 5 4 3" xfId="44214"/>
    <cellStyle name="Обычный 8 6 2 5 4 3 2" xfId="44215"/>
    <cellStyle name="Обычный 8 6 2 5 4 3 3" xfId="44216"/>
    <cellStyle name="Обычный 8 6 2 5 4 4" xfId="44217"/>
    <cellStyle name="Обычный 8 6 2 5 4 4 2" xfId="44218"/>
    <cellStyle name="Обычный 8 6 2 5 4 5" xfId="44219"/>
    <cellStyle name="Обычный 8 6 2 5 4 6" xfId="44220"/>
    <cellStyle name="Обычный 8 6 2 5 5" xfId="44221"/>
    <cellStyle name="Обычный 8 6 2 5 5 2" xfId="44222"/>
    <cellStyle name="Обычный 8 6 2 5 5 3" xfId="44223"/>
    <cellStyle name="Обычный 8 6 2 5 6" xfId="44224"/>
    <cellStyle name="Обычный 8 6 2 5 6 2" xfId="44225"/>
    <cellStyle name="Обычный 8 6 2 5 6 3" xfId="44226"/>
    <cellStyle name="Обычный 8 6 2 5 7" xfId="44227"/>
    <cellStyle name="Обычный 8 6 2 5 7 2" xfId="44228"/>
    <cellStyle name="Обычный 8 6 2 5 8" xfId="44229"/>
    <cellStyle name="Обычный 8 6 2 5 9" xfId="44230"/>
    <cellStyle name="Обычный 8 6 2 6" xfId="44231"/>
    <cellStyle name="Обычный 8 6 2 6 2" xfId="44232"/>
    <cellStyle name="Обычный 8 6 2 6 2 2" xfId="44233"/>
    <cellStyle name="Обычный 8 6 2 6 2 2 2" xfId="44234"/>
    <cellStyle name="Обычный 8 6 2 6 2 2 2 2" xfId="44235"/>
    <cellStyle name="Обычный 8 6 2 6 2 2 2 3" xfId="44236"/>
    <cellStyle name="Обычный 8 6 2 6 2 2 3" xfId="44237"/>
    <cellStyle name="Обычный 8 6 2 6 2 2 3 2" xfId="44238"/>
    <cellStyle name="Обычный 8 6 2 6 2 2 3 3" xfId="44239"/>
    <cellStyle name="Обычный 8 6 2 6 2 2 4" xfId="44240"/>
    <cellStyle name="Обычный 8 6 2 6 2 2 4 2" xfId="44241"/>
    <cellStyle name="Обычный 8 6 2 6 2 2 5" xfId="44242"/>
    <cellStyle name="Обычный 8 6 2 6 2 2 6" xfId="44243"/>
    <cellStyle name="Обычный 8 6 2 6 2 3" xfId="44244"/>
    <cellStyle name="Обычный 8 6 2 6 2 3 2" xfId="44245"/>
    <cellStyle name="Обычный 8 6 2 6 2 3 3" xfId="44246"/>
    <cellStyle name="Обычный 8 6 2 6 2 4" xfId="44247"/>
    <cellStyle name="Обычный 8 6 2 6 2 4 2" xfId="44248"/>
    <cellStyle name="Обычный 8 6 2 6 2 4 3" xfId="44249"/>
    <cellStyle name="Обычный 8 6 2 6 2 5" xfId="44250"/>
    <cellStyle name="Обычный 8 6 2 6 2 5 2" xfId="44251"/>
    <cellStyle name="Обычный 8 6 2 6 2 6" xfId="44252"/>
    <cellStyle name="Обычный 8 6 2 6 2 7" xfId="44253"/>
    <cellStyle name="Обычный 8 6 2 6 3" xfId="44254"/>
    <cellStyle name="Обычный 8 6 2 6 3 2" xfId="44255"/>
    <cellStyle name="Обычный 8 6 2 6 3 2 2" xfId="44256"/>
    <cellStyle name="Обычный 8 6 2 6 3 2 3" xfId="44257"/>
    <cellStyle name="Обычный 8 6 2 6 3 3" xfId="44258"/>
    <cellStyle name="Обычный 8 6 2 6 3 3 2" xfId="44259"/>
    <cellStyle name="Обычный 8 6 2 6 3 3 3" xfId="44260"/>
    <cellStyle name="Обычный 8 6 2 6 3 4" xfId="44261"/>
    <cellStyle name="Обычный 8 6 2 6 3 4 2" xfId="44262"/>
    <cellStyle name="Обычный 8 6 2 6 3 5" xfId="44263"/>
    <cellStyle name="Обычный 8 6 2 6 3 6" xfId="44264"/>
    <cellStyle name="Обычный 8 6 2 6 4" xfId="44265"/>
    <cellStyle name="Обычный 8 6 2 6 4 2" xfId="44266"/>
    <cellStyle name="Обычный 8 6 2 6 4 3" xfId="44267"/>
    <cellStyle name="Обычный 8 6 2 6 5" xfId="44268"/>
    <cellStyle name="Обычный 8 6 2 6 5 2" xfId="44269"/>
    <cellStyle name="Обычный 8 6 2 6 5 3" xfId="44270"/>
    <cellStyle name="Обычный 8 6 2 6 6" xfId="44271"/>
    <cellStyle name="Обычный 8 6 2 6 6 2" xfId="44272"/>
    <cellStyle name="Обычный 8 6 2 6 7" xfId="44273"/>
    <cellStyle name="Обычный 8 6 2 6 8" xfId="44274"/>
    <cellStyle name="Обычный 8 6 2 7" xfId="44275"/>
    <cellStyle name="Обычный 8 6 2 7 2" xfId="44276"/>
    <cellStyle name="Обычный 8 6 2 7 2 2" xfId="44277"/>
    <cellStyle name="Обычный 8 6 2 7 2 2 2" xfId="44278"/>
    <cellStyle name="Обычный 8 6 2 7 2 2 3" xfId="44279"/>
    <cellStyle name="Обычный 8 6 2 7 2 3" xfId="44280"/>
    <cellStyle name="Обычный 8 6 2 7 2 3 2" xfId="44281"/>
    <cellStyle name="Обычный 8 6 2 7 2 3 3" xfId="44282"/>
    <cellStyle name="Обычный 8 6 2 7 2 4" xfId="44283"/>
    <cellStyle name="Обычный 8 6 2 7 2 4 2" xfId="44284"/>
    <cellStyle name="Обычный 8 6 2 7 2 5" xfId="44285"/>
    <cellStyle name="Обычный 8 6 2 7 2 6" xfId="44286"/>
    <cellStyle name="Обычный 8 6 2 7 3" xfId="44287"/>
    <cellStyle name="Обычный 8 6 2 7 3 2" xfId="44288"/>
    <cellStyle name="Обычный 8 6 2 7 3 3" xfId="44289"/>
    <cellStyle name="Обычный 8 6 2 7 4" xfId="44290"/>
    <cellStyle name="Обычный 8 6 2 7 4 2" xfId="44291"/>
    <cellStyle name="Обычный 8 6 2 7 4 3" xfId="44292"/>
    <cellStyle name="Обычный 8 6 2 7 5" xfId="44293"/>
    <cellStyle name="Обычный 8 6 2 7 5 2" xfId="44294"/>
    <cellStyle name="Обычный 8 6 2 7 6" xfId="44295"/>
    <cellStyle name="Обычный 8 6 2 7 7" xfId="44296"/>
    <cellStyle name="Обычный 8 6 2 8" xfId="44297"/>
    <cellStyle name="Обычный 8 6 2 8 2" xfId="44298"/>
    <cellStyle name="Обычный 8 6 2 8 2 2" xfId="44299"/>
    <cellStyle name="Обычный 8 6 2 8 2 3" xfId="44300"/>
    <cellStyle name="Обычный 8 6 2 8 3" xfId="44301"/>
    <cellStyle name="Обычный 8 6 2 8 3 2" xfId="44302"/>
    <cellStyle name="Обычный 8 6 2 8 3 3" xfId="44303"/>
    <cellStyle name="Обычный 8 6 2 8 4" xfId="44304"/>
    <cellStyle name="Обычный 8 6 2 8 4 2" xfId="44305"/>
    <cellStyle name="Обычный 8 6 2 8 5" xfId="44306"/>
    <cellStyle name="Обычный 8 6 2 8 6" xfId="44307"/>
    <cellStyle name="Обычный 8 6 2 9" xfId="44308"/>
    <cellStyle name="Обычный 8 6 2 9 2" xfId="44309"/>
    <cellStyle name="Обычный 8 6 2 9 3" xfId="44310"/>
    <cellStyle name="Обычный 8 6 3" xfId="44311"/>
    <cellStyle name="Обычный 8 6 3 10" xfId="44312"/>
    <cellStyle name="Обычный 8 6 3 2" xfId="44313"/>
    <cellStyle name="Обычный 8 6 3 2 2" xfId="44314"/>
    <cellStyle name="Обычный 8 6 3 2 2 2" xfId="44315"/>
    <cellStyle name="Обычный 8 6 3 2 2 2 2" xfId="44316"/>
    <cellStyle name="Обычный 8 6 3 2 2 2 2 2" xfId="44317"/>
    <cellStyle name="Обычный 8 6 3 2 2 2 2 2 2" xfId="44318"/>
    <cellStyle name="Обычный 8 6 3 2 2 2 2 2 3" xfId="44319"/>
    <cellStyle name="Обычный 8 6 3 2 2 2 2 3" xfId="44320"/>
    <cellStyle name="Обычный 8 6 3 2 2 2 2 3 2" xfId="44321"/>
    <cellStyle name="Обычный 8 6 3 2 2 2 2 3 3" xfId="44322"/>
    <cellStyle name="Обычный 8 6 3 2 2 2 2 4" xfId="44323"/>
    <cellStyle name="Обычный 8 6 3 2 2 2 2 4 2" xfId="44324"/>
    <cellStyle name="Обычный 8 6 3 2 2 2 2 5" xfId="44325"/>
    <cellStyle name="Обычный 8 6 3 2 2 2 2 6" xfId="44326"/>
    <cellStyle name="Обычный 8 6 3 2 2 2 3" xfId="44327"/>
    <cellStyle name="Обычный 8 6 3 2 2 2 3 2" xfId="44328"/>
    <cellStyle name="Обычный 8 6 3 2 2 2 3 3" xfId="44329"/>
    <cellStyle name="Обычный 8 6 3 2 2 2 4" xfId="44330"/>
    <cellStyle name="Обычный 8 6 3 2 2 2 4 2" xfId="44331"/>
    <cellStyle name="Обычный 8 6 3 2 2 2 4 3" xfId="44332"/>
    <cellStyle name="Обычный 8 6 3 2 2 2 5" xfId="44333"/>
    <cellStyle name="Обычный 8 6 3 2 2 2 5 2" xfId="44334"/>
    <cellStyle name="Обычный 8 6 3 2 2 2 6" xfId="44335"/>
    <cellStyle name="Обычный 8 6 3 2 2 2 7" xfId="44336"/>
    <cellStyle name="Обычный 8 6 3 2 2 3" xfId="44337"/>
    <cellStyle name="Обычный 8 6 3 2 2 3 2" xfId="44338"/>
    <cellStyle name="Обычный 8 6 3 2 2 3 2 2" xfId="44339"/>
    <cellStyle name="Обычный 8 6 3 2 2 3 2 3" xfId="44340"/>
    <cellStyle name="Обычный 8 6 3 2 2 3 3" xfId="44341"/>
    <cellStyle name="Обычный 8 6 3 2 2 3 3 2" xfId="44342"/>
    <cellStyle name="Обычный 8 6 3 2 2 3 3 3" xfId="44343"/>
    <cellStyle name="Обычный 8 6 3 2 2 3 4" xfId="44344"/>
    <cellStyle name="Обычный 8 6 3 2 2 3 4 2" xfId="44345"/>
    <cellStyle name="Обычный 8 6 3 2 2 3 5" xfId="44346"/>
    <cellStyle name="Обычный 8 6 3 2 2 3 6" xfId="44347"/>
    <cellStyle name="Обычный 8 6 3 2 2 4" xfId="44348"/>
    <cellStyle name="Обычный 8 6 3 2 2 4 2" xfId="44349"/>
    <cellStyle name="Обычный 8 6 3 2 2 4 3" xfId="44350"/>
    <cellStyle name="Обычный 8 6 3 2 2 5" xfId="44351"/>
    <cellStyle name="Обычный 8 6 3 2 2 5 2" xfId="44352"/>
    <cellStyle name="Обычный 8 6 3 2 2 5 3" xfId="44353"/>
    <cellStyle name="Обычный 8 6 3 2 2 6" xfId="44354"/>
    <cellStyle name="Обычный 8 6 3 2 2 6 2" xfId="44355"/>
    <cellStyle name="Обычный 8 6 3 2 2 7" xfId="44356"/>
    <cellStyle name="Обычный 8 6 3 2 2 8" xfId="44357"/>
    <cellStyle name="Обычный 8 6 3 2 3" xfId="44358"/>
    <cellStyle name="Обычный 8 6 3 2 3 2" xfId="44359"/>
    <cellStyle name="Обычный 8 6 3 2 3 2 2" xfId="44360"/>
    <cellStyle name="Обычный 8 6 3 2 3 2 2 2" xfId="44361"/>
    <cellStyle name="Обычный 8 6 3 2 3 2 2 3" xfId="44362"/>
    <cellStyle name="Обычный 8 6 3 2 3 2 3" xfId="44363"/>
    <cellStyle name="Обычный 8 6 3 2 3 2 3 2" xfId="44364"/>
    <cellStyle name="Обычный 8 6 3 2 3 2 3 3" xfId="44365"/>
    <cellStyle name="Обычный 8 6 3 2 3 2 4" xfId="44366"/>
    <cellStyle name="Обычный 8 6 3 2 3 2 4 2" xfId="44367"/>
    <cellStyle name="Обычный 8 6 3 2 3 2 5" xfId="44368"/>
    <cellStyle name="Обычный 8 6 3 2 3 2 6" xfId="44369"/>
    <cellStyle name="Обычный 8 6 3 2 3 3" xfId="44370"/>
    <cellStyle name="Обычный 8 6 3 2 3 3 2" xfId="44371"/>
    <cellStyle name="Обычный 8 6 3 2 3 3 3" xfId="44372"/>
    <cellStyle name="Обычный 8 6 3 2 3 4" xfId="44373"/>
    <cellStyle name="Обычный 8 6 3 2 3 4 2" xfId="44374"/>
    <cellStyle name="Обычный 8 6 3 2 3 4 3" xfId="44375"/>
    <cellStyle name="Обычный 8 6 3 2 3 5" xfId="44376"/>
    <cellStyle name="Обычный 8 6 3 2 3 5 2" xfId="44377"/>
    <cellStyle name="Обычный 8 6 3 2 3 6" xfId="44378"/>
    <cellStyle name="Обычный 8 6 3 2 3 7" xfId="44379"/>
    <cellStyle name="Обычный 8 6 3 2 4" xfId="44380"/>
    <cellStyle name="Обычный 8 6 3 2 4 2" xfId="44381"/>
    <cellStyle name="Обычный 8 6 3 2 4 2 2" xfId="44382"/>
    <cellStyle name="Обычный 8 6 3 2 4 2 3" xfId="44383"/>
    <cellStyle name="Обычный 8 6 3 2 4 3" xfId="44384"/>
    <cellStyle name="Обычный 8 6 3 2 4 3 2" xfId="44385"/>
    <cellStyle name="Обычный 8 6 3 2 4 3 3" xfId="44386"/>
    <cellStyle name="Обычный 8 6 3 2 4 4" xfId="44387"/>
    <cellStyle name="Обычный 8 6 3 2 4 4 2" xfId="44388"/>
    <cellStyle name="Обычный 8 6 3 2 4 5" xfId="44389"/>
    <cellStyle name="Обычный 8 6 3 2 4 6" xfId="44390"/>
    <cellStyle name="Обычный 8 6 3 2 5" xfId="44391"/>
    <cellStyle name="Обычный 8 6 3 2 5 2" xfId="44392"/>
    <cellStyle name="Обычный 8 6 3 2 5 3" xfId="44393"/>
    <cellStyle name="Обычный 8 6 3 2 6" xfId="44394"/>
    <cellStyle name="Обычный 8 6 3 2 6 2" xfId="44395"/>
    <cellStyle name="Обычный 8 6 3 2 6 3" xfId="44396"/>
    <cellStyle name="Обычный 8 6 3 2 7" xfId="44397"/>
    <cellStyle name="Обычный 8 6 3 2 7 2" xfId="44398"/>
    <cellStyle name="Обычный 8 6 3 2 8" xfId="44399"/>
    <cellStyle name="Обычный 8 6 3 2 9" xfId="44400"/>
    <cellStyle name="Обычный 8 6 3 3" xfId="44401"/>
    <cellStyle name="Обычный 8 6 3 3 2" xfId="44402"/>
    <cellStyle name="Обычный 8 6 3 3 2 2" xfId="44403"/>
    <cellStyle name="Обычный 8 6 3 3 2 2 2" xfId="44404"/>
    <cellStyle name="Обычный 8 6 3 3 2 2 2 2" xfId="44405"/>
    <cellStyle name="Обычный 8 6 3 3 2 2 2 3" xfId="44406"/>
    <cellStyle name="Обычный 8 6 3 3 2 2 3" xfId="44407"/>
    <cellStyle name="Обычный 8 6 3 3 2 2 3 2" xfId="44408"/>
    <cellStyle name="Обычный 8 6 3 3 2 2 3 3" xfId="44409"/>
    <cellStyle name="Обычный 8 6 3 3 2 2 4" xfId="44410"/>
    <cellStyle name="Обычный 8 6 3 3 2 2 4 2" xfId="44411"/>
    <cellStyle name="Обычный 8 6 3 3 2 2 5" xfId="44412"/>
    <cellStyle name="Обычный 8 6 3 3 2 2 6" xfId="44413"/>
    <cellStyle name="Обычный 8 6 3 3 2 3" xfId="44414"/>
    <cellStyle name="Обычный 8 6 3 3 2 3 2" xfId="44415"/>
    <cellStyle name="Обычный 8 6 3 3 2 3 3" xfId="44416"/>
    <cellStyle name="Обычный 8 6 3 3 2 4" xfId="44417"/>
    <cellStyle name="Обычный 8 6 3 3 2 4 2" xfId="44418"/>
    <cellStyle name="Обычный 8 6 3 3 2 4 3" xfId="44419"/>
    <cellStyle name="Обычный 8 6 3 3 2 5" xfId="44420"/>
    <cellStyle name="Обычный 8 6 3 3 2 5 2" xfId="44421"/>
    <cellStyle name="Обычный 8 6 3 3 2 6" xfId="44422"/>
    <cellStyle name="Обычный 8 6 3 3 2 7" xfId="44423"/>
    <cellStyle name="Обычный 8 6 3 3 3" xfId="44424"/>
    <cellStyle name="Обычный 8 6 3 3 3 2" xfId="44425"/>
    <cellStyle name="Обычный 8 6 3 3 3 2 2" xfId="44426"/>
    <cellStyle name="Обычный 8 6 3 3 3 2 3" xfId="44427"/>
    <cellStyle name="Обычный 8 6 3 3 3 3" xfId="44428"/>
    <cellStyle name="Обычный 8 6 3 3 3 3 2" xfId="44429"/>
    <cellStyle name="Обычный 8 6 3 3 3 3 3" xfId="44430"/>
    <cellStyle name="Обычный 8 6 3 3 3 4" xfId="44431"/>
    <cellStyle name="Обычный 8 6 3 3 3 4 2" xfId="44432"/>
    <cellStyle name="Обычный 8 6 3 3 3 5" xfId="44433"/>
    <cellStyle name="Обычный 8 6 3 3 3 6" xfId="44434"/>
    <cellStyle name="Обычный 8 6 3 3 4" xfId="44435"/>
    <cellStyle name="Обычный 8 6 3 3 4 2" xfId="44436"/>
    <cellStyle name="Обычный 8 6 3 3 4 3" xfId="44437"/>
    <cellStyle name="Обычный 8 6 3 3 5" xfId="44438"/>
    <cellStyle name="Обычный 8 6 3 3 5 2" xfId="44439"/>
    <cellStyle name="Обычный 8 6 3 3 5 3" xfId="44440"/>
    <cellStyle name="Обычный 8 6 3 3 6" xfId="44441"/>
    <cellStyle name="Обычный 8 6 3 3 6 2" xfId="44442"/>
    <cellStyle name="Обычный 8 6 3 3 7" xfId="44443"/>
    <cellStyle name="Обычный 8 6 3 3 8" xfId="44444"/>
    <cellStyle name="Обычный 8 6 3 4" xfId="44445"/>
    <cellStyle name="Обычный 8 6 3 4 2" xfId="44446"/>
    <cellStyle name="Обычный 8 6 3 4 2 2" xfId="44447"/>
    <cellStyle name="Обычный 8 6 3 4 2 2 2" xfId="44448"/>
    <cellStyle name="Обычный 8 6 3 4 2 2 3" xfId="44449"/>
    <cellStyle name="Обычный 8 6 3 4 2 3" xfId="44450"/>
    <cellStyle name="Обычный 8 6 3 4 2 3 2" xfId="44451"/>
    <cellStyle name="Обычный 8 6 3 4 2 3 3" xfId="44452"/>
    <cellStyle name="Обычный 8 6 3 4 2 4" xfId="44453"/>
    <cellStyle name="Обычный 8 6 3 4 2 4 2" xfId="44454"/>
    <cellStyle name="Обычный 8 6 3 4 2 5" xfId="44455"/>
    <cellStyle name="Обычный 8 6 3 4 2 6" xfId="44456"/>
    <cellStyle name="Обычный 8 6 3 4 3" xfId="44457"/>
    <cellStyle name="Обычный 8 6 3 4 3 2" xfId="44458"/>
    <cellStyle name="Обычный 8 6 3 4 3 3" xfId="44459"/>
    <cellStyle name="Обычный 8 6 3 4 4" xfId="44460"/>
    <cellStyle name="Обычный 8 6 3 4 4 2" xfId="44461"/>
    <cellStyle name="Обычный 8 6 3 4 4 3" xfId="44462"/>
    <cellStyle name="Обычный 8 6 3 4 5" xfId="44463"/>
    <cellStyle name="Обычный 8 6 3 4 5 2" xfId="44464"/>
    <cellStyle name="Обычный 8 6 3 4 6" xfId="44465"/>
    <cellStyle name="Обычный 8 6 3 4 7" xfId="44466"/>
    <cellStyle name="Обычный 8 6 3 5" xfId="44467"/>
    <cellStyle name="Обычный 8 6 3 5 2" xfId="44468"/>
    <cellStyle name="Обычный 8 6 3 5 2 2" xfId="44469"/>
    <cellStyle name="Обычный 8 6 3 5 2 3" xfId="44470"/>
    <cellStyle name="Обычный 8 6 3 5 3" xfId="44471"/>
    <cellStyle name="Обычный 8 6 3 5 3 2" xfId="44472"/>
    <cellStyle name="Обычный 8 6 3 5 3 3" xfId="44473"/>
    <cellStyle name="Обычный 8 6 3 5 4" xfId="44474"/>
    <cellStyle name="Обычный 8 6 3 5 4 2" xfId="44475"/>
    <cellStyle name="Обычный 8 6 3 5 5" xfId="44476"/>
    <cellStyle name="Обычный 8 6 3 5 6" xfId="44477"/>
    <cellStyle name="Обычный 8 6 3 6" xfId="44478"/>
    <cellStyle name="Обычный 8 6 3 6 2" xfId="44479"/>
    <cellStyle name="Обычный 8 6 3 6 3" xfId="44480"/>
    <cellStyle name="Обычный 8 6 3 7" xfId="44481"/>
    <cellStyle name="Обычный 8 6 3 7 2" xfId="44482"/>
    <cellStyle name="Обычный 8 6 3 7 3" xfId="44483"/>
    <cellStyle name="Обычный 8 6 3 8" xfId="44484"/>
    <cellStyle name="Обычный 8 6 3 8 2" xfId="44485"/>
    <cellStyle name="Обычный 8 6 3 9" xfId="44486"/>
    <cellStyle name="Обычный 8 6 4" xfId="44487"/>
    <cellStyle name="Обычный 8 6 4 10" xfId="44488"/>
    <cellStyle name="Обычный 8 6 4 2" xfId="44489"/>
    <cellStyle name="Обычный 8 6 4 2 2" xfId="44490"/>
    <cellStyle name="Обычный 8 6 4 2 2 2" xfId="44491"/>
    <cellStyle name="Обычный 8 6 4 2 2 2 2" xfId="44492"/>
    <cellStyle name="Обычный 8 6 4 2 2 2 2 2" xfId="44493"/>
    <cellStyle name="Обычный 8 6 4 2 2 2 2 2 2" xfId="44494"/>
    <cellStyle name="Обычный 8 6 4 2 2 2 2 2 3" xfId="44495"/>
    <cellStyle name="Обычный 8 6 4 2 2 2 2 3" xfId="44496"/>
    <cellStyle name="Обычный 8 6 4 2 2 2 2 3 2" xfId="44497"/>
    <cellStyle name="Обычный 8 6 4 2 2 2 2 3 3" xfId="44498"/>
    <cellStyle name="Обычный 8 6 4 2 2 2 2 4" xfId="44499"/>
    <cellStyle name="Обычный 8 6 4 2 2 2 2 4 2" xfId="44500"/>
    <cellStyle name="Обычный 8 6 4 2 2 2 2 5" xfId="44501"/>
    <cellStyle name="Обычный 8 6 4 2 2 2 2 6" xfId="44502"/>
    <cellStyle name="Обычный 8 6 4 2 2 2 3" xfId="44503"/>
    <cellStyle name="Обычный 8 6 4 2 2 2 3 2" xfId="44504"/>
    <cellStyle name="Обычный 8 6 4 2 2 2 3 3" xfId="44505"/>
    <cellStyle name="Обычный 8 6 4 2 2 2 4" xfId="44506"/>
    <cellStyle name="Обычный 8 6 4 2 2 2 4 2" xfId="44507"/>
    <cellStyle name="Обычный 8 6 4 2 2 2 4 3" xfId="44508"/>
    <cellStyle name="Обычный 8 6 4 2 2 2 5" xfId="44509"/>
    <cellStyle name="Обычный 8 6 4 2 2 2 5 2" xfId="44510"/>
    <cellStyle name="Обычный 8 6 4 2 2 2 6" xfId="44511"/>
    <cellStyle name="Обычный 8 6 4 2 2 2 7" xfId="44512"/>
    <cellStyle name="Обычный 8 6 4 2 2 3" xfId="44513"/>
    <cellStyle name="Обычный 8 6 4 2 2 3 2" xfId="44514"/>
    <cellStyle name="Обычный 8 6 4 2 2 3 2 2" xfId="44515"/>
    <cellStyle name="Обычный 8 6 4 2 2 3 2 3" xfId="44516"/>
    <cellStyle name="Обычный 8 6 4 2 2 3 3" xfId="44517"/>
    <cellStyle name="Обычный 8 6 4 2 2 3 3 2" xfId="44518"/>
    <cellStyle name="Обычный 8 6 4 2 2 3 3 3" xfId="44519"/>
    <cellStyle name="Обычный 8 6 4 2 2 3 4" xfId="44520"/>
    <cellStyle name="Обычный 8 6 4 2 2 3 4 2" xfId="44521"/>
    <cellStyle name="Обычный 8 6 4 2 2 3 5" xfId="44522"/>
    <cellStyle name="Обычный 8 6 4 2 2 3 6" xfId="44523"/>
    <cellStyle name="Обычный 8 6 4 2 2 4" xfId="44524"/>
    <cellStyle name="Обычный 8 6 4 2 2 4 2" xfId="44525"/>
    <cellStyle name="Обычный 8 6 4 2 2 4 3" xfId="44526"/>
    <cellStyle name="Обычный 8 6 4 2 2 5" xfId="44527"/>
    <cellStyle name="Обычный 8 6 4 2 2 5 2" xfId="44528"/>
    <cellStyle name="Обычный 8 6 4 2 2 5 3" xfId="44529"/>
    <cellStyle name="Обычный 8 6 4 2 2 6" xfId="44530"/>
    <cellStyle name="Обычный 8 6 4 2 2 6 2" xfId="44531"/>
    <cellStyle name="Обычный 8 6 4 2 2 7" xfId="44532"/>
    <cellStyle name="Обычный 8 6 4 2 2 8" xfId="44533"/>
    <cellStyle name="Обычный 8 6 4 2 3" xfId="44534"/>
    <cellStyle name="Обычный 8 6 4 2 3 2" xfId="44535"/>
    <cellStyle name="Обычный 8 6 4 2 3 2 2" xfId="44536"/>
    <cellStyle name="Обычный 8 6 4 2 3 2 2 2" xfId="44537"/>
    <cellStyle name="Обычный 8 6 4 2 3 2 2 3" xfId="44538"/>
    <cellStyle name="Обычный 8 6 4 2 3 2 3" xfId="44539"/>
    <cellStyle name="Обычный 8 6 4 2 3 2 3 2" xfId="44540"/>
    <cellStyle name="Обычный 8 6 4 2 3 2 3 3" xfId="44541"/>
    <cellStyle name="Обычный 8 6 4 2 3 2 4" xfId="44542"/>
    <cellStyle name="Обычный 8 6 4 2 3 2 4 2" xfId="44543"/>
    <cellStyle name="Обычный 8 6 4 2 3 2 5" xfId="44544"/>
    <cellStyle name="Обычный 8 6 4 2 3 2 6" xfId="44545"/>
    <cellStyle name="Обычный 8 6 4 2 3 3" xfId="44546"/>
    <cellStyle name="Обычный 8 6 4 2 3 3 2" xfId="44547"/>
    <cellStyle name="Обычный 8 6 4 2 3 3 3" xfId="44548"/>
    <cellStyle name="Обычный 8 6 4 2 3 4" xfId="44549"/>
    <cellStyle name="Обычный 8 6 4 2 3 4 2" xfId="44550"/>
    <cellStyle name="Обычный 8 6 4 2 3 4 3" xfId="44551"/>
    <cellStyle name="Обычный 8 6 4 2 3 5" xfId="44552"/>
    <cellStyle name="Обычный 8 6 4 2 3 5 2" xfId="44553"/>
    <cellStyle name="Обычный 8 6 4 2 3 6" xfId="44554"/>
    <cellStyle name="Обычный 8 6 4 2 3 7" xfId="44555"/>
    <cellStyle name="Обычный 8 6 4 2 4" xfId="44556"/>
    <cellStyle name="Обычный 8 6 4 2 4 2" xfId="44557"/>
    <cellStyle name="Обычный 8 6 4 2 4 2 2" xfId="44558"/>
    <cellStyle name="Обычный 8 6 4 2 4 2 3" xfId="44559"/>
    <cellStyle name="Обычный 8 6 4 2 4 3" xfId="44560"/>
    <cellStyle name="Обычный 8 6 4 2 4 3 2" xfId="44561"/>
    <cellStyle name="Обычный 8 6 4 2 4 3 3" xfId="44562"/>
    <cellStyle name="Обычный 8 6 4 2 4 4" xfId="44563"/>
    <cellStyle name="Обычный 8 6 4 2 4 4 2" xfId="44564"/>
    <cellStyle name="Обычный 8 6 4 2 4 5" xfId="44565"/>
    <cellStyle name="Обычный 8 6 4 2 4 6" xfId="44566"/>
    <cellStyle name="Обычный 8 6 4 2 5" xfId="44567"/>
    <cellStyle name="Обычный 8 6 4 2 5 2" xfId="44568"/>
    <cellStyle name="Обычный 8 6 4 2 5 3" xfId="44569"/>
    <cellStyle name="Обычный 8 6 4 2 6" xfId="44570"/>
    <cellStyle name="Обычный 8 6 4 2 6 2" xfId="44571"/>
    <cellStyle name="Обычный 8 6 4 2 6 3" xfId="44572"/>
    <cellStyle name="Обычный 8 6 4 2 7" xfId="44573"/>
    <cellStyle name="Обычный 8 6 4 2 7 2" xfId="44574"/>
    <cellStyle name="Обычный 8 6 4 2 8" xfId="44575"/>
    <cellStyle name="Обычный 8 6 4 2 9" xfId="44576"/>
    <cellStyle name="Обычный 8 6 4 3" xfId="44577"/>
    <cellStyle name="Обычный 8 6 4 3 2" xfId="44578"/>
    <cellStyle name="Обычный 8 6 4 3 2 2" xfId="44579"/>
    <cellStyle name="Обычный 8 6 4 3 2 2 2" xfId="44580"/>
    <cellStyle name="Обычный 8 6 4 3 2 2 2 2" xfId="44581"/>
    <cellStyle name="Обычный 8 6 4 3 2 2 2 3" xfId="44582"/>
    <cellStyle name="Обычный 8 6 4 3 2 2 3" xfId="44583"/>
    <cellStyle name="Обычный 8 6 4 3 2 2 3 2" xfId="44584"/>
    <cellStyle name="Обычный 8 6 4 3 2 2 3 3" xfId="44585"/>
    <cellStyle name="Обычный 8 6 4 3 2 2 4" xfId="44586"/>
    <cellStyle name="Обычный 8 6 4 3 2 2 4 2" xfId="44587"/>
    <cellStyle name="Обычный 8 6 4 3 2 2 5" xfId="44588"/>
    <cellStyle name="Обычный 8 6 4 3 2 2 6" xfId="44589"/>
    <cellStyle name="Обычный 8 6 4 3 2 3" xfId="44590"/>
    <cellStyle name="Обычный 8 6 4 3 2 3 2" xfId="44591"/>
    <cellStyle name="Обычный 8 6 4 3 2 3 3" xfId="44592"/>
    <cellStyle name="Обычный 8 6 4 3 2 4" xfId="44593"/>
    <cellStyle name="Обычный 8 6 4 3 2 4 2" xfId="44594"/>
    <cellStyle name="Обычный 8 6 4 3 2 4 3" xfId="44595"/>
    <cellStyle name="Обычный 8 6 4 3 2 5" xfId="44596"/>
    <cellStyle name="Обычный 8 6 4 3 2 5 2" xfId="44597"/>
    <cellStyle name="Обычный 8 6 4 3 2 6" xfId="44598"/>
    <cellStyle name="Обычный 8 6 4 3 2 7" xfId="44599"/>
    <cellStyle name="Обычный 8 6 4 3 3" xfId="44600"/>
    <cellStyle name="Обычный 8 6 4 3 3 2" xfId="44601"/>
    <cellStyle name="Обычный 8 6 4 3 3 2 2" xfId="44602"/>
    <cellStyle name="Обычный 8 6 4 3 3 2 3" xfId="44603"/>
    <cellStyle name="Обычный 8 6 4 3 3 3" xfId="44604"/>
    <cellStyle name="Обычный 8 6 4 3 3 3 2" xfId="44605"/>
    <cellStyle name="Обычный 8 6 4 3 3 3 3" xfId="44606"/>
    <cellStyle name="Обычный 8 6 4 3 3 4" xfId="44607"/>
    <cellStyle name="Обычный 8 6 4 3 3 4 2" xfId="44608"/>
    <cellStyle name="Обычный 8 6 4 3 3 5" xfId="44609"/>
    <cellStyle name="Обычный 8 6 4 3 3 6" xfId="44610"/>
    <cellStyle name="Обычный 8 6 4 3 4" xfId="44611"/>
    <cellStyle name="Обычный 8 6 4 3 4 2" xfId="44612"/>
    <cellStyle name="Обычный 8 6 4 3 4 3" xfId="44613"/>
    <cellStyle name="Обычный 8 6 4 3 5" xfId="44614"/>
    <cellStyle name="Обычный 8 6 4 3 5 2" xfId="44615"/>
    <cellStyle name="Обычный 8 6 4 3 5 3" xfId="44616"/>
    <cellStyle name="Обычный 8 6 4 3 6" xfId="44617"/>
    <cellStyle name="Обычный 8 6 4 3 6 2" xfId="44618"/>
    <cellStyle name="Обычный 8 6 4 3 7" xfId="44619"/>
    <cellStyle name="Обычный 8 6 4 3 8" xfId="44620"/>
    <cellStyle name="Обычный 8 6 4 4" xfId="44621"/>
    <cellStyle name="Обычный 8 6 4 4 2" xfId="44622"/>
    <cellStyle name="Обычный 8 6 4 4 2 2" xfId="44623"/>
    <cellStyle name="Обычный 8 6 4 4 2 2 2" xfId="44624"/>
    <cellStyle name="Обычный 8 6 4 4 2 2 3" xfId="44625"/>
    <cellStyle name="Обычный 8 6 4 4 2 3" xfId="44626"/>
    <cellStyle name="Обычный 8 6 4 4 2 3 2" xfId="44627"/>
    <cellStyle name="Обычный 8 6 4 4 2 3 3" xfId="44628"/>
    <cellStyle name="Обычный 8 6 4 4 2 4" xfId="44629"/>
    <cellStyle name="Обычный 8 6 4 4 2 4 2" xfId="44630"/>
    <cellStyle name="Обычный 8 6 4 4 2 5" xfId="44631"/>
    <cellStyle name="Обычный 8 6 4 4 2 6" xfId="44632"/>
    <cellStyle name="Обычный 8 6 4 4 3" xfId="44633"/>
    <cellStyle name="Обычный 8 6 4 4 3 2" xfId="44634"/>
    <cellStyle name="Обычный 8 6 4 4 3 3" xfId="44635"/>
    <cellStyle name="Обычный 8 6 4 4 4" xfId="44636"/>
    <cellStyle name="Обычный 8 6 4 4 4 2" xfId="44637"/>
    <cellStyle name="Обычный 8 6 4 4 4 3" xfId="44638"/>
    <cellStyle name="Обычный 8 6 4 4 5" xfId="44639"/>
    <cellStyle name="Обычный 8 6 4 4 5 2" xfId="44640"/>
    <cellStyle name="Обычный 8 6 4 4 6" xfId="44641"/>
    <cellStyle name="Обычный 8 6 4 4 7" xfId="44642"/>
    <cellStyle name="Обычный 8 6 4 5" xfId="44643"/>
    <cellStyle name="Обычный 8 6 4 5 2" xfId="44644"/>
    <cellStyle name="Обычный 8 6 4 5 2 2" xfId="44645"/>
    <cellStyle name="Обычный 8 6 4 5 2 3" xfId="44646"/>
    <cellStyle name="Обычный 8 6 4 5 3" xfId="44647"/>
    <cellStyle name="Обычный 8 6 4 5 3 2" xfId="44648"/>
    <cellStyle name="Обычный 8 6 4 5 3 3" xfId="44649"/>
    <cellStyle name="Обычный 8 6 4 5 4" xfId="44650"/>
    <cellStyle name="Обычный 8 6 4 5 4 2" xfId="44651"/>
    <cellStyle name="Обычный 8 6 4 5 5" xfId="44652"/>
    <cellStyle name="Обычный 8 6 4 5 6" xfId="44653"/>
    <cellStyle name="Обычный 8 6 4 6" xfId="44654"/>
    <cellStyle name="Обычный 8 6 4 6 2" xfId="44655"/>
    <cellStyle name="Обычный 8 6 4 6 3" xfId="44656"/>
    <cellStyle name="Обычный 8 6 4 7" xfId="44657"/>
    <cellStyle name="Обычный 8 6 4 7 2" xfId="44658"/>
    <cellStyle name="Обычный 8 6 4 7 3" xfId="44659"/>
    <cellStyle name="Обычный 8 6 4 8" xfId="44660"/>
    <cellStyle name="Обычный 8 6 4 8 2" xfId="44661"/>
    <cellStyle name="Обычный 8 6 4 9" xfId="44662"/>
    <cellStyle name="Обычный 8 6 5" xfId="44663"/>
    <cellStyle name="Обычный 8 6 5 10" xfId="44664"/>
    <cellStyle name="Обычный 8 6 5 2" xfId="44665"/>
    <cellStyle name="Обычный 8 6 5 2 2" xfId="44666"/>
    <cellStyle name="Обычный 8 6 5 2 2 2" xfId="44667"/>
    <cellStyle name="Обычный 8 6 5 2 2 2 2" xfId="44668"/>
    <cellStyle name="Обычный 8 6 5 2 2 2 2 2" xfId="44669"/>
    <cellStyle name="Обычный 8 6 5 2 2 2 2 2 2" xfId="44670"/>
    <cellStyle name="Обычный 8 6 5 2 2 2 2 2 3" xfId="44671"/>
    <cellStyle name="Обычный 8 6 5 2 2 2 2 3" xfId="44672"/>
    <cellStyle name="Обычный 8 6 5 2 2 2 2 3 2" xfId="44673"/>
    <cellStyle name="Обычный 8 6 5 2 2 2 2 3 3" xfId="44674"/>
    <cellStyle name="Обычный 8 6 5 2 2 2 2 4" xfId="44675"/>
    <cellStyle name="Обычный 8 6 5 2 2 2 2 4 2" xfId="44676"/>
    <cellStyle name="Обычный 8 6 5 2 2 2 2 5" xfId="44677"/>
    <cellStyle name="Обычный 8 6 5 2 2 2 2 6" xfId="44678"/>
    <cellStyle name="Обычный 8 6 5 2 2 2 3" xfId="44679"/>
    <cellStyle name="Обычный 8 6 5 2 2 2 3 2" xfId="44680"/>
    <cellStyle name="Обычный 8 6 5 2 2 2 3 3" xfId="44681"/>
    <cellStyle name="Обычный 8 6 5 2 2 2 4" xfId="44682"/>
    <cellStyle name="Обычный 8 6 5 2 2 2 4 2" xfId="44683"/>
    <cellStyle name="Обычный 8 6 5 2 2 2 4 3" xfId="44684"/>
    <cellStyle name="Обычный 8 6 5 2 2 2 5" xfId="44685"/>
    <cellStyle name="Обычный 8 6 5 2 2 2 5 2" xfId="44686"/>
    <cellStyle name="Обычный 8 6 5 2 2 2 6" xfId="44687"/>
    <cellStyle name="Обычный 8 6 5 2 2 2 7" xfId="44688"/>
    <cellStyle name="Обычный 8 6 5 2 2 3" xfId="44689"/>
    <cellStyle name="Обычный 8 6 5 2 2 3 2" xfId="44690"/>
    <cellStyle name="Обычный 8 6 5 2 2 3 2 2" xfId="44691"/>
    <cellStyle name="Обычный 8 6 5 2 2 3 2 3" xfId="44692"/>
    <cellStyle name="Обычный 8 6 5 2 2 3 3" xfId="44693"/>
    <cellStyle name="Обычный 8 6 5 2 2 3 3 2" xfId="44694"/>
    <cellStyle name="Обычный 8 6 5 2 2 3 3 3" xfId="44695"/>
    <cellStyle name="Обычный 8 6 5 2 2 3 4" xfId="44696"/>
    <cellStyle name="Обычный 8 6 5 2 2 3 4 2" xfId="44697"/>
    <cellStyle name="Обычный 8 6 5 2 2 3 5" xfId="44698"/>
    <cellStyle name="Обычный 8 6 5 2 2 3 6" xfId="44699"/>
    <cellStyle name="Обычный 8 6 5 2 2 4" xfId="44700"/>
    <cellStyle name="Обычный 8 6 5 2 2 4 2" xfId="44701"/>
    <cellStyle name="Обычный 8 6 5 2 2 4 3" xfId="44702"/>
    <cellStyle name="Обычный 8 6 5 2 2 5" xfId="44703"/>
    <cellStyle name="Обычный 8 6 5 2 2 5 2" xfId="44704"/>
    <cellStyle name="Обычный 8 6 5 2 2 5 3" xfId="44705"/>
    <cellStyle name="Обычный 8 6 5 2 2 6" xfId="44706"/>
    <cellStyle name="Обычный 8 6 5 2 2 6 2" xfId="44707"/>
    <cellStyle name="Обычный 8 6 5 2 2 7" xfId="44708"/>
    <cellStyle name="Обычный 8 6 5 2 2 8" xfId="44709"/>
    <cellStyle name="Обычный 8 6 5 2 3" xfId="44710"/>
    <cellStyle name="Обычный 8 6 5 2 3 2" xfId="44711"/>
    <cellStyle name="Обычный 8 6 5 2 3 2 2" xfId="44712"/>
    <cellStyle name="Обычный 8 6 5 2 3 2 2 2" xfId="44713"/>
    <cellStyle name="Обычный 8 6 5 2 3 2 2 3" xfId="44714"/>
    <cellStyle name="Обычный 8 6 5 2 3 2 3" xfId="44715"/>
    <cellStyle name="Обычный 8 6 5 2 3 2 3 2" xfId="44716"/>
    <cellStyle name="Обычный 8 6 5 2 3 2 3 3" xfId="44717"/>
    <cellStyle name="Обычный 8 6 5 2 3 2 4" xfId="44718"/>
    <cellStyle name="Обычный 8 6 5 2 3 2 4 2" xfId="44719"/>
    <cellStyle name="Обычный 8 6 5 2 3 2 5" xfId="44720"/>
    <cellStyle name="Обычный 8 6 5 2 3 2 6" xfId="44721"/>
    <cellStyle name="Обычный 8 6 5 2 3 3" xfId="44722"/>
    <cellStyle name="Обычный 8 6 5 2 3 3 2" xfId="44723"/>
    <cellStyle name="Обычный 8 6 5 2 3 3 3" xfId="44724"/>
    <cellStyle name="Обычный 8 6 5 2 3 4" xfId="44725"/>
    <cellStyle name="Обычный 8 6 5 2 3 4 2" xfId="44726"/>
    <cellStyle name="Обычный 8 6 5 2 3 4 3" xfId="44727"/>
    <cellStyle name="Обычный 8 6 5 2 3 5" xfId="44728"/>
    <cellStyle name="Обычный 8 6 5 2 3 5 2" xfId="44729"/>
    <cellStyle name="Обычный 8 6 5 2 3 6" xfId="44730"/>
    <cellStyle name="Обычный 8 6 5 2 3 7" xfId="44731"/>
    <cellStyle name="Обычный 8 6 5 2 4" xfId="44732"/>
    <cellStyle name="Обычный 8 6 5 2 4 2" xfId="44733"/>
    <cellStyle name="Обычный 8 6 5 2 4 2 2" xfId="44734"/>
    <cellStyle name="Обычный 8 6 5 2 4 2 3" xfId="44735"/>
    <cellStyle name="Обычный 8 6 5 2 4 3" xfId="44736"/>
    <cellStyle name="Обычный 8 6 5 2 4 3 2" xfId="44737"/>
    <cellStyle name="Обычный 8 6 5 2 4 3 3" xfId="44738"/>
    <cellStyle name="Обычный 8 6 5 2 4 4" xfId="44739"/>
    <cellStyle name="Обычный 8 6 5 2 4 4 2" xfId="44740"/>
    <cellStyle name="Обычный 8 6 5 2 4 5" xfId="44741"/>
    <cellStyle name="Обычный 8 6 5 2 4 6" xfId="44742"/>
    <cellStyle name="Обычный 8 6 5 2 5" xfId="44743"/>
    <cellStyle name="Обычный 8 6 5 2 5 2" xfId="44744"/>
    <cellStyle name="Обычный 8 6 5 2 5 3" xfId="44745"/>
    <cellStyle name="Обычный 8 6 5 2 6" xfId="44746"/>
    <cellStyle name="Обычный 8 6 5 2 6 2" xfId="44747"/>
    <cellStyle name="Обычный 8 6 5 2 6 3" xfId="44748"/>
    <cellStyle name="Обычный 8 6 5 2 7" xfId="44749"/>
    <cellStyle name="Обычный 8 6 5 2 7 2" xfId="44750"/>
    <cellStyle name="Обычный 8 6 5 2 8" xfId="44751"/>
    <cellStyle name="Обычный 8 6 5 2 9" xfId="44752"/>
    <cellStyle name="Обычный 8 6 5 3" xfId="44753"/>
    <cellStyle name="Обычный 8 6 5 3 2" xfId="44754"/>
    <cellStyle name="Обычный 8 6 5 3 2 2" xfId="44755"/>
    <cellStyle name="Обычный 8 6 5 3 2 2 2" xfId="44756"/>
    <cellStyle name="Обычный 8 6 5 3 2 2 2 2" xfId="44757"/>
    <cellStyle name="Обычный 8 6 5 3 2 2 2 3" xfId="44758"/>
    <cellStyle name="Обычный 8 6 5 3 2 2 3" xfId="44759"/>
    <cellStyle name="Обычный 8 6 5 3 2 2 3 2" xfId="44760"/>
    <cellStyle name="Обычный 8 6 5 3 2 2 3 3" xfId="44761"/>
    <cellStyle name="Обычный 8 6 5 3 2 2 4" xfId="44762"/>
    <cellStyle name="Обычный 8 6 5 3 2 2 4 2" xfId="44763"/>
    <cellStyle name="Обычный 8 6 5 3 2 2 5" xfId="44764"/>
    <cellStyle name="Обычный 8 6 5 3 2 2 6" xfId="44765"/>
    <cellStyle name="Обычный 8 6 5 3 2 3" xfId="44766"/>
    <cellStyle name="Обычный 8 6 5 3 2 3 2" xfId="44767"/>
    <cellStyle name="Обычный 8 6 5 3 2 3 3" xfId="44768"/>
    <cellStyle name="Обычный 8 6 5 3 2 4" xfId="44769"/>
    <cellStyle name="Обычный 8 6 5 3 2 4 2" xfId="44770"/>
    <cellStyle name="Обычный 8 6 5 3 2 4 3" xfId="44771"/>
    <cellStyle name="Обычный 8 6 5 3 2 5" xfId="44772"/>
    <cellStyle name="Обычный 8 6 5 3 2 5 2" xfId="44773"/>
    <cellStyle name="Обычный 8 6 5 3 2 6" xfId="44774"/>
    <cellStyle name="Обычный 8 6 5 3 2 7" xfId="44775"/>
    <cellStyle name="Обычный 8 6 5 3 3" xfId="44776"/>
    <cellStyle name="Обычный 8 6 5 3 3 2" xfId="44777"/>
    <cellStyle name="Обычный 8 6 5 3 3 2 2" xfId="44778"/>
    <cellStyle name="Обычный 8 6 5 3 3 2 3" xfId="44779"/>
    <cellStyle name="Обычный 8 6 5 3 3 3" xfId="44780"/>
    <cellStyle name="Обычный 8 6 5 3 3 3 2" xfId="44781"/>
    <cellStyle name="Обычный 8 6 5 3 3 3 3" xfId="44782"/>
    <cellStyle name="Обычный 8 6 5 3 3 4" xfId="44783"/>
    <cellStyle name="Обычный 8 6 5 3 3 4 2" xfId="44784"/>
    <cellStyle name="Обычный 8 6 5 3 3 5" xfId="44785"/>
    <cellStyle name="Обычный 8 6 5 3 3 6" xfId="44786"/>
    <cellStyle name="Обычный 8 6 5 3 4" xfId="44787"/>
    <cellStyle name="Обычный 8 6 5 3 4 2" xfId="44788"/>
    <cellStyle name="Обычный 8 6 5 3 4 3" xfId="44789"/>
    <cellStyle name="Обычный 8 6 5 3 5" xfId="44790"/>
    <cellStyle name="Обычный 8 6 5 3 5 2" xfId="44791"/>
    <cellStyle name="Обычный 8 6 5 3 5 3" xfId="44792"/>
    <cellStyle name="Обычный 8 6 5 3 6" xfId="44793"/>
    <cellStyle name="Обычный 8 6 5 3 6 2" xfId="44794"/>
    <cellStyle name="Обычный 8 6 5 3 7" xfId="44795"/>
    <cellStyle name="Обычный 8 6 5 3 8" xfId="44796"/>
    <cellStyle name="Обычный 8 6 5 4" xfId="44797"/>
    <cellStyle name="Обычный 8 6 5 4 2" xfId="44798"/>
    <cellStyle name="Обычный 8 6 5 4 2 2" xfId="44799"/>
    <cellStyle name="Обычный 8 6 5 4 2 2 2" xfId="44800"/>
    <cellStyle name="Обычный 8 6 5 4 2 2 3" xfId="44801"/>
    <cellStyle name="Обычный 8 6 5 4 2 3" xfId="44802"/>
    <cellStyle name="Обычный 8 6 5 4 2 3 2" xfId="44803"/>
    <cellStyle name="Обычный 8 6 5 4 2 3 3" xfId="44804"/>
    <cellStyle name="Обычный 8 6 5 4 2 4" xfId="44805"/>
    <cellStyle name="Обычный 8 6 5 4 2 4 2" xfId="44806"/>
    <cellStyle name="Обычный 8 6 5 4 2 5" xfId="44807"/>
    <cellStyle name="Обычный 8 6 5 4 2 6" xfId="44808"/>
    <cellStyle name="Обычный 8 6 5 4 3" xfId="44809"/>
    <cellStyle name="Обычный 8 6 5 4 3 2" xfId="44810"/>
    <cellStyle name="Обычный 8 6 5 4 3 3" xfId="44811"/>
    <cellStyle name="Обычный 8 6 5 4 4" xfId="44812"/>
    <cellStyle name="Обычный 8 6 5 4 4 2" xfId="44813"/>
    <cellStyle name="Обычный 8 6 5 4 4 3" xfId="44814"/>
    <cellStyle name="Обычный 8 6 5 4 5" xfId="44815"/>
    <cellStyle name="Обычный 8 6 5 4 5 2" xfId="44816"/>
    <cellStyle name="Обычный 8 6 5 4 6" xfId="44817"/>
    <cellStyle name="Обычный 8 6 5 4 7" xfId="44818"/>
    <cellStyle name="Обычный 8 6 5 5" xfId="44819"/>
    <cellStyle name="Обычный 8 6 5 5 2" xfId="44820"/>
    <cellStyle name="Обычный 8 6 5 5 2 2" xfId="44821"/>
    <cellStyle name="Обычный 8 6 5 5 2 3" xfId="44822"/>
    <cellStyle name="Обычный 8 6 5 5 3" xfId="44823"/>
    <cellStyle name="Обычный 8 6 5 5 3 2" xfId="44824"/>
    <cellStyle name="Обычный 8 6 5 5 3 3" xfId="44825"/>
    <cellStyle name="Обычный 8 6 5 5 4" xfId="44826"/>
    <cellStyle name="Обычный 8 6 5 5 4 2" xfId="44827"/>
    <cellStyle name="Обычный 8 6 5 5 5" xfId="44828"/>
    <cellStyle name="Обычный 8 6 5 5 6" xfId="44829"/>
    <cellStyle name="Обычный 8 6 5 6" xfId="44830"/>
    <cellStyle name="Обычный 8 6 5 6 2" xfId="44831"/>
    <cellStyle name="Обычный 8 6 5 6 3" xfId="44832"/>
    <cellStyle name="Обычный 8 6 5 7" xfId="44833"/>
    <cellStyle name="Обычный 8 6 5 7 2" xfId="44834"/>
    <cellStyle name="Обычный 8 6 5 7 3" xfId="44835"/>
    <cellStyle name="Обычный 8 6 5 8" xfId="44836"/>
    <cellStyle name="Обычный 8 6 5 8 2" xfId="44837"/>
    <cellStyle name="Обычный 8 6 5 9" xfId="44838"/>
    <cellStyle name="Обычный 8 6 6" xfId="44839"/>
    <cellStyle name="Обычный 8 6 6 2" xfId="44840"/>
    <cellStyle name="Обычный 8 6 6 2 2" xfId="44841"/>
    <cellStyle name="Обычный 8 6 6 2 2 2" xfId="44842"/>
    <cellStyle name="Обычный 8 6 6 2 2 2 2" xfId="44843"/>
    <cellStyle name="Обычный 8 6 6 2 2 2 2 2" xfId="44844"/>
    <cellStyle name="Обычный 8 6 6 2 2 2 2 3" xfId="44845"/>
    <cellStyle name="Обычный 8 6 6 2 2 2 3" xfId="44846"/>
    <cellStyle name="Обычный 8 6 6 2 2 2 3 2" xfId="44847"/>
    <cellStyle name="Обычный 8 6 6 2 2 2 3 3" xfId="44848"/>
    <cellStyle name="Обычный 8 6 6 2 2 2 4" xfId="44849"/>
    <cellStyle name="Обычный 8 6 6 2 2 2 4 2" xfId="44850"/>
    <cellStyle name="Обычный 8 6 6 2 2 2 5" xfId="44851"/>
    <cellStyle name="Обычный 8 6 6 2 2 2 6" xfId="44852"/>
    <cellStyle name="Обычный 8 6 6 2 2 3" xfId="44853"/>
    <cellStyle name="Обычный 8 6 6 2 2 3 2" xfId="44854"/>
    <cellStyle name="Обычный 8 6 6 2 2 3 3" xfId="44855"/>
    <cellStyle name="Обычный 8 6 6 2 2 4" xfId="44856"/>
    <cellStyle name="Обычный 8 6 6 2 2 4 2" xfId="44857"/>
    <cellStyle name="Обычный 8 6 6 2 2 4 3" xfId="44858"/>
    <cellStyle name="Обычный 8 6 6 2 2 5" xfId="44859"/>
    <cellStyle name="Обычный 8 6 6 2 2 5 2" xfId="44860"/>
    <cellStyle name="Обычный 8 6 6 2 2 6" xfId="44861"/>
    <cellStyle name="Обычный 8 6 6 2 2 7" xfId="44862"/>
    <cellStyle name="Обычный 8 6 6 2 3" xfId="44863"/>
    <cellStyle name="Обычный 8 6 6 2 3 2" xfId="44864"/>
    <cellStyle name="Обычный 8 6 6 2 3 2 2" xfId="44865"/>
    <cellStyle name="Обычный 8 6 6 2 3 2 3" xfId="44866"/>
    <cellStyle name="Обычный 8 6 6 2 3 3" xfId="44867"/>
    <cellStyle name="Обычный 8 6 6 2 3 3 2" xfId="44868"/>
    <cellStyle name="Обычный 8 6 6 2 3 3 3" xfId="44869"/>
    <cellStyle name="Обычный 8 6 6 2 3 4" xfId="44870"/>
    <cellStyle name="Обычный 8 6 6 2 3 4 2" xfId="44871"/>
    <cellStyle name="Обычный 8 6 6 2 3 5" xfId="44872"/>
    <cellStyle name="Обычный 8 6 6 2 3 6" xfId="44873"/>
    <cellStyle name="Обычный 8 6 6 2 4" xfId="44874"/>
    <cellStyle name="Обычный 8 6 6 2 4 2" xfId="44875"/>
    <cellStyle name="Обычный 8 6 6 2 4 3" xfId="44876"/>
    <cellStyle name="Обычный 8 6 6 2 5" xfId="44877"/>
    <cellStyle name="Обычный 8 6 6 2 5 2" xfId="44878"/>
    <cellStyle name="Обычный 8 6 6 2 5 3" xfId="44879"/>
    <cellStyle name="Обычный 8 6 6 2 6" xfId="44880"/>
    <cellStyle name="Обычный 8 6 6 2 6 2" xfId="44881"/>
    <cellStyle name="Обычный 8 6 6 2 7" xfId="44882"/>
    <cellStyle name="Обычный 8 6 6 2 8" xfId="44883"/>
    <cellStyle name="Обычный 8 6 6 3" xfId="44884"/>
    <cellStyle name="Обычный 8 6 6 3 2" xfId="44885"/>
    <cellStyle name="Обычный 8 6 6 3 2 2" xfId="44886"/>
    <cellStyle name="Обычный 8 6 6 3 2 2 2" xfId="44887"/>
    <cellStyle name="Обычный 8 6 6 3 2 2 3" xfId="44888"/>
    <cellStyle name="Обычный 8 6 6 3 2 3" xfId="44889"/>
    <cellStyle name="Обычный 8 6 6 3 2 3 2" xfId="44890"/>
    <cellStyle name="Обычный 8 6 6 3 2 3 3" xfId="44891"/>
    <cellStyle name="Обычный 8 6 6 3 2 4" xfId="44892"/>
    <cellStyle name="Обычный 8 6 6 3 2 4 2" xfId="44893"/>
    <cellStyle name="Обычный 8 6 6 3 2 5" xfId="44894"/>
    <cellStyle name="Обычный 8 6 6 3 2 6" xfId="44895"/>
    <cellStyle name="Обычный 8 6 6 3 3" xfId="44896"/>
    <cellStyle name="Обычный 8 6 6 3 3 2" xfId="44897"/>
    <cellStyle name="Обычный 8 6 6 3 3 3" xfId="44898"/>
    <cellStyle name="Обычный 8 6 6 3 4" xfId="44899"/>
    <cellStyle name="Обычный 8 6 6 3 4 2" xfId="44900"/>
    <cellStyle name="Обычный 8 6 6 3 4 3" xfId="44901"/>
    <cellStyle name="Обычный 8 6 6 3 5" xfId="44902"/>
    <cellStyle name="Обычный 8 6 6 3 5 2" xfId="44903"/>
    <cellStyle name="Обычный 8 6 6 3 6" xfId="44904"/>
    <cellStyle name="Обычный 8 6 6 3 7" xfId="44905"/>
    <cellStyle name="Обычный 8 6 6 4" xfId="44906"/>
    <cellStyle name="Обычный 8 6 6 4 2" xfId="44907"/>
    <cellStyle name="Обычный 8 6 6 4 2 2" xfId="44908"/>
    <cellStyle name="Обычный 8 6 6 4 2 3" xfId="44909"/>
    <cellStyle name="Обычный 8 6 6 4 3" xfId="44910"/>
    <cellStyle name="Обычный 8 6 6 4 3 2" xfId="44911"/>
    <cellStyle name="Обычный 8 6 6 4 3 3" xfId="44912"/>
    <cellStyle name="Обычный 8 6 6 4 4" xfId="44913"/>
    <cellStyle name="Обычный 8 6 6 4 4 2" xfId="44914"/>
    <cellStyle name="Обычный 8 6 6 4 5" xfId="44915"/>
    <cellStyle name="Обычный 8 6 6 4 6" xfId="44916"/>
    <cellStyle name="Обычный 8 6 6 5" xfId="44917"/>
    <cellStyle name="Обычный 8 6 6 5 2" xfId="44918"/>
    <cellStyle name="Обычный 8 6 6 5 3" xfId="44919"/>
    <cellStyle name="Обычный 8 6 6 6" xfId="44920"/>
    <cellStyle name="Обычный 8 6 6 6 2" xfId="44921"/>
    <cellStyle name="Обычный 8 6 6 6 3" xfId="44922"/>
    <cellStyle name="Обычный 8 6 6 7" xfId="44923"/>
    <cellStyle name="Обычный 8 6 6 7 2" xfId="44924"/>
    <cellStyle name="Обычный 8 6 6 8" xfId="44925"/>
    <cellStyle name="Обычный 8 6 6 9" xfId="44926"/>
    <cellStyle name="Обычный 8 6 7" xfId="44927"/>
    <cellStyle name="Обычный 8 6 7 2" xfId="44928"/>
    <cellStyle name="Обычный 8 6 7 2 2" xfId="44929"/>
    <cellStyle name="Обычный 8 6 7 2 2 2" xfId="44930"/>
    <cellStyle name="Обычный 8 6 7 2 2 2 2" xfId="44931"/>
    <cellStyle name="Обычный 8 6 7 2 2 2 3" xfId="44932"/>
    <cellStyle name="Обычный 8 6 7 2 2 3" xfId="44933"/>
    <cellStyle name="Обычный 8 6 7 2 2 3 2" xfId="44934"/>
    <cellStyle name="Обычный 8 6 7 2 2 3 3" xfId="44935"/>
    <cellStyle name="Обычный 8 6 7 2 2 4" xfId="44936"/>
    <cellStyle name="Обычный 8 6 7 2 2 4 2" xfId="44937"/>
    <cellStyle name="Обычный 8 6 7 2 2 5" xfId="44938"/>
    <cellStyle name="Обычный 8 6 7 2 2 6" xfId="44939"/>
    <cellStyle name="Обычный 8 6 7 2 3" xfId="44940"/>
    <cellStyle name="Обычный 8 6 7 2 3 2" xfId="44941"/>
    <cellStyle name="Обычный 8 6 7 2 3 3" xfId="44942"/>
    <cellStyle name="Обычный 8 6 7 2 4" xfId="44943"/>
    <cellStyle name="Обычный 8 6 7 2 4 2" xfId="44944"/>
    <cellStyle name="Обычный 8 6 7 2 4 3" xfId="44945"/>
    <cellStyle name="Обычный 8 6 7 2 5" xfId="44946"/>
    <cellStyle name="Обычный 8 6 7 2 5 2" xfId="44947"/>
    <cellStyle name="Обычный 8 6 7 2 6" xfId="44948"/>
    <cellStyle name="Обычный 8 6 7 2 7" xfId="44949"/>
    <cellStyle name="Обычный 8 6 7 3" xfId="44950"/>
    <cellStyle name="Обычный 8 6 7 3 2" xfId="44951"/>
    <cellStyle name="Обычный 8 6 7 3 2 2" xfId="44952"/>
    <cellStyle name="Обычный 8 6 7 3 2 3" xfId="44953"/>
    <cellStyle name="Обычный 8 6 7 3 3" xfId="44954"/>
    <cellStyle name="Обычный 8 6 7 3 3 2" xfId="44955"/>
    <cellStyle name="Обычный 8 6 7 3 3 3" xfId="44956"/>
    <cellStyle name="Обычный 8 6 7 3 4" xfId="44957"/>
    <cellStyle name="Обычный 8 6 7 3 4 2" xfId="44958"/>
    <cellStyle name="Обычный 8 6 7 3 5" xfId="44959"/>
    <cellStyle name="Обычный 8 6 7 3 6" xfId="44960"/>
    <cellStyle name="Обычный 8 6 7 4" xfId="44961"/>
    <cellStyle name="Обычный 8 6 7 4 2" xfId="44962"/>
    <cellStyle name="Обычный 8 6 7 4 3" xfId="44963"/>
    <cellStyle name="Обычный 8 6 7 5" xfId="44964"/>
    <cellStyle name="Обычный 8 6 7 5 2" xfId="44965"/>
    <cellStyle name="Обычный 8 6 7 5 3" xfId="44966"/>
    <cellStyle name="Обычный 8 6 7 6" xfId="44967"/>
    <cellStyle name="Обычный 8 6 7 6 2" xfId="44968"/>
    <cellStyle name="Обычный 8 6 7 7" xfId="44969"/>
    <cellStyle name="Обычный 8 6 7 8" xfId="44970"/>
    <cellStyle name="Обычный 8 6 8" xfId="44971"/>
    <cellStyle name="Обычный 8 6 8 2" xfId="44972"/>
    <cellStyle name="Обычный 8 6 8 2 2" xfId="44973"/>
    <cellStyle name="Обычный 8 6 8 2 2 2" xfId="44974"/>
    <cellStyle name="Обычный 8 6 8 2 2 3" xfId="44975"/>
    <cellStyle name="Обычный 8 6 8 2 3" xfId="44976"/>
    <cellStyle name="Обычный 8 6 8 2 3 2" xfId="44977"/>
    <cellStyle name="Обычный 8 6 8 2 3 3" xfId="44978"/>
    <cellStyle name="Обычный 8 6 8 2 4" xfId="44979"/>
    <cellStyle name="Обычный 8 6 8 2 4 2" xfId="44980"/>
    <cellStyle name="Обычный 8 6 8 2 5" xfId="44981"/>
    <cellStyle name="Обычный 8 6 8 2 6" xfId="44982"/>
    <cellStyle name="Обычный 8 6 8 3" xfId="44983"/>
    <cellStyle name="Обычный 8 6 8 3 2" xfId="44984"/>
    <cellStyle name="Обычный 8 6 8 3 3" xfId="44985"/>
    <cellStyle name="Обычный 8 6 8 4" xfId="44986"/>
    <cellStyle name="Обычный 8 6 8 4 2" xfId="44987"/>
    <cellStyle name="Обычный 8 6 8 4 3" xfId="44988"/>
    <cellStyle name="Обычный 8 6 8 5" xfId="44989"/>
    <cellStyle name="Обычный 8 6 8 5 2" xfId="44990"/>
    <cellStyle name="Обычный 8 6 8 6" xfId="44991"/>
    <cellStyle name="Обычный 8 6 8 7" xfId="44992"/>
    <cellStyle name="Обычный 8 6 9" xfId="44993"/>
    <cellStyle name="Обычный 8 6 9 2" xfId="44994"/>
    <cellStyle name="Обычный 8 6 9 2 2" xfId="44995"/>
    <cellStyle name="Обычный 8 6 9 2 3" xfId="44996"/>
    <cellStyle name="Обычный 8 6 9 3" xfId="44997"/>
    <cellStyle name="Обычный 8 6 9 3 2" xfId="44998"/>
    <cellStyle name="Обычный 8 6 9 3 3" xfId="44999"/>
    <cellStyle name="Обычный 8 6 9 4" xfId="45000"/>
    <cellStyle name="Обычный 8 6 9 4 2" xfId="45001"/>
    <cellStyle name="Обычный 8 6 9 5" xfId="45002"/>
    <cellStyle name="Обычный 8 6 9 6" xfId="45003"/>
    <cellStyle name="Обычный 8 7" xfId="45004"/>
    <cellStyle name="Обычный 8 7 10" xfId="45005"/>
    <cellStyle name="Обычный 8 7 10 2" xfId="45006"/>
    <cellStyle name="Обычный 8 7 10 3" xfId="45007"/>
    <cellStyle name="Обычный 8 7 11" xfId="45008"/>
    <cellStyle name="Обычный 8 7 11 2" xfId="45009"/>
    <cellStyle name="Обычный 8 7 11 3" xfId="45010"/>
    <cellStyle name="Обычный 8 7 12" xfId="45011"/>
    <cellStyle name="Обычный 8 7 12 2" xfId="45012"/>
    <cellStyle name="Обычный 8 7 13" xfId="45013"/>
    <cellStyle name="Обычный 8 7 14" xfId="45014"/>
    <cellStyle name="Обычный 8 7 2" xfId="45015"/>
    <cellStyle name="Обычный 8 7 2 10" xfId="45016"/>
    <cellStyle name="Обычный 8 7 2 10 2" xfId="45017"/>
    <cellStyle name="Обычный 8 7 2 10 3" xfId="45018"/>
    <cellStyle name="Обычный 8 7 2 11" xfId="45019"/>
    <cellStyle name="Обычный 8 7 2 11 2" xfId="45020"/>
    <cellStyle name="Обычный 8 7 2 12" xfId="45021"/>
    <cellStyle name="Обычный 8 7 2 13" xfId="45022"/>
    <cellStyle name="Обычный 8 7 2 2" xfId="45023"/>
    <cellStyle name="Обычный 8 7 2 2 10" xfId="45024"/>
    <cellStyle name="Обычный 8 7 2 2 2" xfId="45025"/>
    <cellStyle name="Обычный 8 7 2 2 2 2" xfId="45026"/>
    <cellStyle name="Обычный 8 7 2 2 2 2 2" xfId="45027"/>
    <cellStyle name="Обычный 8 7 2 2 2 2 2 2" xfId="45028"/>
    <cellStyle name="Обычный 8 7 2 2 2 2 2 2 2" xfId="45029"/>
    <cellStyle name="Обычный 8 7 2 2 2 2 2 2 2 2" xfId="45030"/>
    <cellStyle name="Обычный 8 7 2 2 2 2 2 2 2 3" xfId="45031"/>
    <cellStyle name="Обычный 8 7 2 2 2 2 2 2 3" xfId="45032"/>
    <cellStyle name="Обычный 8 7 2 2 2 2 2 2 3 2" xfId="45033"/>
    <cellStyle name="Обычный 8 7 2 2 2 2 2 2 3 3" xfId="45034"/>
    <cellStyle name="Обычный 8 7 2 2 2 2 2 2 4" xfId="45035"/>
    <cellStyle name="Обычный 8 7 2 2 2 2 2 2 4 2" xfId="45036"/>
    <cellStyle name="Обычный 8 7 2 2 2 2 2 2 5" xfId="45037"/>
    <cellStyle name="Обычный 8 7 2 2 2 2 2 2 6" xfId="45038"/>
    <cellStyle name="Обычный 8 7 2 2 2 2 2 3" xfId="45039"/>
    <cellStyle name="Обычный 8 7 2 2 2 2 2 3 2" xfId="45040"/>
    <cellStyle name="Обычный 8 7 2 2 2 2 2 3 3" xfId="45041"/>
    <cellStyle name="Обычный 8 7 2 2 2 2 2 4" xfId="45042"/>
    <cellStyle name="Обычный 8 7 2 2 2 2 2 4 2" xfId="45043"/>
    <cellStyle name="Обычный 8 7 2 2 2 2 2 4 3" xfId="45044"/>
    <cellStyle name="Обычный 8 7 2 2 2 2 2 5" xfId="45045"/>
    <cellStyle name="Обычный 8 7 2 2 2 2 2 5 2" xfId="45046"/>
    <cellStyle name="Обычный 8 7 2 2 2 2 2 6" xfId="45047"/>
    <cellStyle name="Обычный 8 7 2 2 2 2 2 7" xfId="45048"/>
    <cellStyle name="Обычный 8 7 2 2 2 2 3" xfId="45049"/>
    <cellStyle name="Обычный 8 7 2 2 2 2 3 2" xfId="45050"/>
    <cellStyle name="Обычный 8 7 2 2 2 2 3 2 2" xfId="45051"/>
    <cellStyle name="Обычный 8 7 2 2 2 2 3 2 3" xfId="45052"/>
    <cellStyle name="Обычный 8 7 2 2 2 2 3 3" xfId="45053"/>
    <cellStyle name="Обычный 8 7 2 2 2 2 3 3 2" xfId="45054"/>
    <cellStyle name="Обычный 8 7 2 2 2 2 3 3 3" xfId="45055"/>
    <cellStyle name="Обычный 8 7 2 2 2 2 3 4" xfId="45056"/>
    <cellStyle name="Обычный 8 7 2 2 2 2 3 4 2" xfId="45057"/>
    <cellStyle name="Обычный 8 7 2 2 2 2 3 5" xfId="45058"/>
    <cellStyle name="Обычный 8 7 2 2 2 2 3 6" xfId="45059"/>
    <cellStyle name="Обычный 8 7 2 2 2 2 4" xfId="45060"/>
    <cellStyle name="Обычный 8 7 2 2 2 2 4 2" xfId="45061"/>
    <cellStyle name="Обычный 8 7 2 2 2 2 4 3" xfId="45062"/>
    <cellStyle name="Обычный 8 7 2 2 2 2 5" xfId="45063"/>
    <cellStyle name="Обычный 8 7 2 2 2 2 5 2" xfId="45064"/>
    <cellStyle name="Обычный 8 7 2 2 2 2 5 3" xfId="45065"/>
    <cellStyle name="Обычный 8 7 2 2 2 2 6" xfId="45066"/>
    <cellStyle name="Обычный 8 7 2 2 2 2 6 2" xfId="45067"/>
    <cellStyle name="Обычный 8 7 2 2 2 2 7" xfId="45068"/>
    <cellStyle name="Обычный 8 7 2 2 2 2 8" xfId="45069"/>
    <cellStyle name="Обычный 8 7 2 2 2 3" xfId="45070"/>
    <cellStyle name="Обычный 8 7 2 2 2 3 2" xfId="45071"/>
    <cellStyle name="Обычный 8 7 2 2 2 3 2 2" xfId="45072"/>
    <cellStyle name="Обычный 8 7 2 2 2 3 2 2 2" xfId="45073"/>
    <cellStyle name="Обычный 8 7 2 2 2 3 2 2 3" xfId="45074"/>
    <cellStyle name="Обычный 8 7 2 2 2 3 2 3" xfId="45075"/>
    <cellStyle name="Обычный 8 7 2 2 2 3 2 3 2" xfId="45076"/>
    <cellStyle name="Обычный 8 7 2 2 2 3 2 3 3" xfId="45077"/>
    <cellStyle name="Обычный 8 7 2 2 2 3 2 4" xfId="45078"/>
    <cellStyle name="Обычный 8 7 2 2 2 3 2 4 2" xfId="45079"/>
    <cellStyle name="Обычный 8 7 2 2 2 3 2 5" xfId="45080"/>
    <cellStyle name="Обычный 8 7 2 2 2 3 2 6" xfId="45081"/>
    <cellStyle name="Обычный 8 7 2 2 2 3 3" xfId="45082"/>
    <cellStyle name="Обычный 8 7 2 2 2 3 3 2" xfId="45083"/>
    <cellStyle name="Обычный 8 7 2 2 2 3 3 3" xfId="45084"/>
    <cellStyle name="Обычный 8 7 2 2 2 3 4" xfId="45085"/>
    <cellStyle name="Обычный 8 7 2 2 2 3 4 2" xfId="45086"/>
    <cellStyle name="Обычный 8 7 2 2 2 3 4 3" xfId="45087"/>
    <cellStyle name="Обычный 8 7 2 2 2 3 5" xfId="45088"/>
    <cellStyle name="Обычный 8 7 2 2 2 3 5 2" xfId="45089"/>
    <cellStyle name="Обычный 8 7 2 2 2 3 6" xfId="45090"/>
    <cellStyle name="Обычный 8 7 2 2 2 3 7" xfId="45091"/>
    <cellStyle name="Обычный 8 7 2 2 2 4" xfId="45092"/>
    <cellStyle name="Обычный 8 7 2 2 2 4 2" xfId="45093"/>
    <cellStyle name="Обычный 8 7 2 2 2 4 2 2" xfId="45094"/>
    <cellStyle name="Обычный 8 7 2 2 2 4 2 3" xfId="45095"/>
    <cellStyle name="Обычный 8 7 2 2 2 4 3" xfId="45096"/>
    <cellStyle name="Обычный 8 7 2 2 2 4 3 2" xfId="45097"/>
    <cellStyle name="Обычный 8 7 2 2 2 4 3 3" xfId="45098"/>
    <cellStyle name="Обычный 8 7 2 2 2 4 4" xfId="45099"/>
    <cellStyle name="Обычный 8 7 2 2 2 4 4 2" xfId="45100"/>
    <cellStyle name="Обычный 8 7 2 2 2 4 5" xfId="45101"/>
    <cellStyle name="Обычный 8 7 2 2 2 4 6" xfId="45102"/>
    <cellStyle name="Обычный 8 7 2 2 2 5" xfId="45103"/>
    <cellStyle name="Обычный 8 7 2 2 2 5 2" xfId="45104"/>
    <cellStyle name="Обычный 8 7 2 2 2 5 3" xfId="45105"/>
    <cellStyle name="Обычный 8 7 2 2 2 6" xfId="45106"/>
    <cellStyle name="Обычный 8 7 2 2 2 6 2" xfId="45107"/>
    <cellStyle name="Обычный 8 7 2 2 2 6 3" xfId="45108"/>
    <cellStyle name="Обычный 8 7 2 2 2 7" xfId="45109"/>
    <cellStyle name="Обычный 8 7 2 2 2 7 2" xfId="45110"/>
    <cellStyle name="Обычный 8 7 2 2 2 8" xfId="45111"/>
    <cellStyle name="Обычный 8 7 2 2 2 9" xfId="45112"/>
    <cellStyle name="Обычный 8 7 2 2 3" xfId="45113"/>
    <cellStyle name="Обычный 8 7 2 2 3 2" xfId="45114"/>
    <cellStyle name="Обычный 8 7 2 2 3 2 2" xfId="45115"/>
    <cellStyle name="Обычный 8 7 2 2 3 2 2 2" xfId="45116"/>
    <cellStyle name="Обычный 8 7 2 2 3 2 2 2 2" xfId="45117"/>
    <cellStyle name="Обычный 8 7 2 2 3 2 2 2 3" xfId="45118"/>
    <cellStyle name="Обычный 8 7 2 2 3 2 2 3" xfId="45119"/>
    <cellStyle name="Обычный 8 7 2 2 3 2 2 3 2" xfId="45120"/>
    <cellStyle name="Обычный 8 7 2 2 3 2 2 3 3" xfId="45121"/>
    <cellStyle name="Обычный 8 7 2 2 3 2 2 4" xfId="45122"/>
    <cellStyle name="Обычный 8 7 2 2 3 2 2 4 2" xfId="45123"/>
    <cellStyle name="Обычный 8 7 2 2 3 2 2 5" xfId="45124"/>
    <cellStyle name="Обычный 8 7 2 2 3 2 2 6" xfId="45125"/>
    <cellStyle name="Обычный 8 7 2 2 3 2 3" xfId="45126"/>
    <cellStyle name="Обычный 8 7 2 2 3 2 3 2" xfId="45127"/>
    <cellStyle name="Обычный 8 7 2 2 3 2 3 3" xfId="45128"/>
    <cellStyle name="Обычный 8 7 2 2 3 2 4" xfId="45129"/>
    <cellStyle name="Обычный 8 7 2 2 3 2 4 2" xfId="45130"/>
    <cellStyle name="Обычный 8 7 2 2 3 2 4 3" xfId="45131"/>
    <cellStyle name="Обычный 8 7 2 2 3 2 5" xfId="45132"/>
    <cellStyle name="Обычный 8 7 2 2 3 2 5 2" xfId="45133"/>
    <cellStyle name="Обычный 8 7 2 2 3 2 6" xfId="45134"/>
    <cellStyle name="Обычный 8 7 2 2 3 2 7" xfId="45135"/>
    <cellStyle name="Обычный 8 7 2 2 3 3" xfId="45136"/>
    <cellStyle name="Обычный 8 7 2 2 3 3 2" xfId="45137"/>
    <cellStyle name="Обычный 8 7 2 2 3 3 2 2" xfId="45138"/>
    <cellStyle name="Обычный 8 7 2 2 3 3 2 3" xfId="45139"/>
    <cellStyle name="Обычный 8 7 2 2 3 3 3" xfId="45140"/>
    <cellStyle name="Обычный 8 7 2 2 3 3 3 2" xfId="45141"/>
    <cellStyle name="Обычный 8 7 2 2 3 3 3 3" xfId="45142"/>
    <cellStyle name="Обычный 8 7 2 2 3 3 4" xfId="45143"/>
    <cellStyle name="Обычный 8 7 2 2 3 3 4 2" xfId="45144"/>
    <cellStyle name="Обычный 8 7 2 2 3 3 5" xfId="45145"/>
    <cellStyle name="Обычный 8 7 2 2 3 3 6" xfId="45146"/>
    <cellStyle name="Обычный 8 7 2 2 3 4" xfId="45147"/>
    <cellStyle name="Обычный 8 7 2 2 3 4 2" xfId="45148"/>
    <cellStyle name="Обычный 8 7 2 2 3 4 3" xfId="45149"/>
    <cellStyle name="Обычный 8 7 2 2 3 5" xfId="45150"/>
    <cellStyle name="Обычный 8 7 2 2 3 5 2" xfId="45151"/>
    <cellStyle name="Обычный 8 7 2 2 3 5 3" xfId="45152"/>
    <cellStyle name="Обычный 8 7 2 2 3 6" xfId="45153"/>
    <cellStyle name="Обычный 8 7 2 2 3 6 2" xfId="45154"/>
    <cellStyle name="Обычный 8 7 2 2 3 7" xfId="45155"/>
    <cellStyle name="Обычный 8 7 2 2 3 8" xfId="45156"/>
    <cellStyle name="Обычный 8 7 2 2 4" xfId="45157"/>
    <cellStyle name="Обычный 8 7 2 2 4 2" xfId="45158"/>
    <cellStyle name="Обычный 8 7 2 2 4 2 2" xfId="45159"/>
    <cellStyle name="Обычный 8 7 2 2 4 2 2 2" xfId="45160"/>
    <cellStyle name="Обычный 8 7 2 2 4 2 2 3" xfId="45161"/>
    <cellStyle name="Обычный 8 7 2 2 4 2 3" xfId="45162"/>
    <cellStyle name="Обычный 8 7 2 2 4 2 3 2" xfId="45163"/>
    <cellStyle name="Обычный 8 7 2 2 4 2 3 3" xfId="45164"/>
    <cellStyle name="Обычный 8 7 2 2 4 2 4" xfId="45165"/>
    <cellStyle name="Обычный 8 7 2 2 4 2 4 2" xfId="45166"/>
    <cellStyle name="Обычный 8 7 2 2 4 2 5" xfId="45167"/>
    <cellStyle name="Обычный 8 7 2 2 4 2 6" xfId="45168"/>
    <cellStyle name="Обычный 8 7 2 2 4 3" xfId="45169"/>
    <cellStyle name="Обычный 8 7 2 2 4 3 2" xfId="45170"/>
    <cellStyle name="Обычный 8 7 2 2 4 3 3" xfId="45171"/>
    <cellStyle name="Обычный 8 7 2 2 4 4" xfId="45172"/>
    <cellStyle name="Обычный 8 7 2 2 4 4 2" xfId="45173"/>
    <cellStyle name="Обычный 8 7 2 2 4 4 3" xfId="45174"/>
    <cellStyle name="Обычный 8 7 2 2 4 5" xfId="45175"/>
    <cellStyle name="Обычный 8 7 2 2 4 5 2" xfId="45176"/>
    <cellStyle name="Обычный 8 7 2 2 4 6" xfId="45177"/>
    <cellStyle name="Обычный 8 7 2 2 4 7" xfId="45178"/>
    <cellStyle name="Обычный 8 7 2 2 5" xfId="45179"/>
    <cellStyle name="Обычный 8 7 2 2 5 2" xfId="45180"/>
    <cellStyle name="Обычный 8 7 2 2 5 2 2" xfId="45181"/>
    <cellStyle name="Обычный 8 7 2 2 5 2 3" xfId="45182"/>
    <cellStyle name="Обычный 8 7 2 2 5 3" xfId="45183"/>
    <cellStyle name="Обычный 8 7 2 2 5 3 2" xfId="45184"/>
    <cellStyle name="Обычный 8 7 2 2 5 3 3" xfId="45185"/>
    <cellStyle name="Обычный 8 7 2 2 5 4" xfId="45186"/>
    <cellStyle name="Обычный 8 7 2 2 5 4 2" xfId="45187"/>
    <cellStyle name="Обычный 8 7 2 2 5 5" xfId="45188"/>
    <cellStyle name="Обычный 8 7 2 2 5 6" xfId="45189"/>
    <cellStyle name="Обычный 8 7 2 2 6" xfId="45190"/>
    <cellStyle name="Обычный 8 7 2 2 6 2" xfId="45191"/>
    <cellStyle name="Обычный 8 7 2 2 6 3" xfId="45192"/>
    <cellStyle name="Обычный 8 7 2 2 7" xfId="45193"/>
    <cellStyle name="Обычный 8 7 2 2 7 2" xfId="45194"/>
    <cellStyle name="Обычный 8 7 2 2 7 3" xfId="45195"/>
    <cellStyle name="Обычный 8 7 2 2 8" xfId="45196"/>
    <cellStyle name="Обычный 8 7 2 2 8 2" xfId="45197"/>
    <cellStyle name="Обычный 8 7 2 2 9" xfId="45198"/>
    <cellStyle name="Обычный 8 7 2 3" xfId="45199"/>
    <cellStyle name="Обычный 8 7 2 3 10" xfId="45200"/>
    <cellStyle name="Обычный 8 7 2 3 2" xfId="45201"/>
    <cellStyle name="Обычный 8 7 2 3 2 2" xfId="45202"/>
    <cellStyle name="Обычный 8 7 2 3 2 2 2" xfId="45203"/>
    <cellStyle name="Обычный 8 7 2 3 2 2 2 2" xfId="45204"/>
    <cellStyle name="Обычный 8 7 2 3 2 2 2 2 2" xfId="45205"/>
    <cellStyle name="Обычный 8 7 2 3 2 2 2 2 2 2" xfId="45206"/>
    <cellStyle name="Обычный 8 7 2 3 2 2 2 2 2 3" xfId="45207"/>
    <cellStyle name="Обычный 8 7 2 3 2 2 2 2 3" xfId="45208"/>
    <cellStyle name="Обычный 8 7 2 3 2 2 2 2 3 2" xfId="45209"/>
    <cellStyle name="Обычный 8 7 2 3 2 2 2 2 3 3" xfId="45210"/>
    <cellStyle name="Обычный 8 7 2 3 2 2 2 2 4" xfId="45211"/>
    <cellStyle name="Обычный 8 7 2 3 2 2 2 2 4 2" xfId="45212"/>
    <cellStyle name="Обычный 8 7 2 3 2 2 2 2 5" xfId="45213"/>
    <cellStyle name="Обычный 8 7 2 3 2 2 2 2 6" xfId="45214"/>
    <cellStyle name="Обычный 8 7 2 3 2 2 2 3" xfId="45215"/>
    <cellStyle name="Обычный 8 7 2 3 2 2 2 3 2" xfId="45216"/>
    <cellStyle name="Обычный 8 7 2 3 2 2 2 3 3" xfId="45217"/>
    <cellStyle name="Обычный 8 7 2 3 2 2 2 4" xfId="45218"/>
    <cellStyle name="Обычный 8 7 2 3 2 2 2 4 2" xfId="45219"/>
    <cellStyle name="Обычный 8 7 2 3 2 2 2 4 3" xfId="45220"/>
    <cellStyle name="Обычный 8 7 2 3 2 2 2 5" xfId="45221"/>
    <cellStyle name="Обычный 8 7 2 3 2 2 2 5 2" xfId="45222"/>
    <cellStyle name="Обычный 8 7 2 3 2 2 2 6" xfId="45223"/>
    <cellStyle name="Обычный 8 7 2 3 2 2 2 7" xfId="45224"/>
    <cellStyle name="Обычный 8 7 2 3 2 2 3" xfId="45225"/>
    <cellStyle name="Обычный 8 7 2 3 2 2 3 2" xfId="45226"/>
    <cellStyle name="Обычный 8 7 2 3 2 2 3 2 2" xfId="45227"/>
    <cellStyle name="Обычный 8 7 2 3 2 2 3 2 3" xfId="45228"/>
    <cellStyle name="Обычный 8 7 2 3 2 2 3 3" xfId="45229"/>
    <cellStyle name="Обычный 8 7 2 3 2 2 3 3 2" xfId="45230"/>
    <cellStyle name="Обычный 8 7 2 3 2 2 3 3 3" xfId="45231"/>
    <cellStyle name="Обычный 8 7 2 3 2 2 3 4" xfId="45232"/>
    <cellStyle name="Обычный 8 7 2 3 2 2 3 4 2" xfId="45233"/>
    <cellStyle name="Обычный 8 7 2 3 2 2 3 5" xfId="45234"/>
    <cellStyle name="Обычный 8 7 2 3 2 2 3 6" xfId="45235"/>
    <cellStyle name="Обычный 8 7 2 3 2 2 4" xfId="45236"/>
    <cellStyle name="Обычный 8 7 2 3 2 2 4 2" xfId="45237"/>
    <cellStyle name="Обычный 8 7 2 3 2 2 4 3" xfId="45238"/>
    <cellStyle name="Обычный 8 7 2 3 2 2 5" xfId="45239"/>
    <cellStyle name="Обычный 8 7 2 3 2 2 5 2" xfId="45240"/>
    <cellStyle name="Обычный 8 7 2 3 2 2 5 3" xfId="45241"/>
    <cellStyle name="Обычный 8 7 2 3 2 2 6" xfId="45242"/>
    <cellStyle name="Обычный 8 7 2 3 2 2 6 2" xfId="45243"/>
    <cellStyle name="Обычный 8 7 2 3 2 2 7" xfId="45244"/>
    <cellStyle name="Обычный 8 7 2 3 2 2 8" xfId="45245"/>
    <cellStyle name="Обычный 8 7 2 3 2 3" xfId="45246"/>
    <cellStyle name="Обычный 8 7 2 3 2 3 2" xfId="45247"/>
    <cellStyle name="Обычный 8 7 2 3 2 3 2 2" xfId="45248"/>
    <cellStyle name="Обычный 8 7 2 3 2 3 2 2 2" xfId="45249"/>
    <cellStyle name="Обычный 8 7 2 3 2 3 2 2 3" xfId="45250"/>
    <cellStyle name="Обычный 8 7 2 3 2 3 2 3" xfId="45251"/>
    <cellStyle name="Обычный 8 7 2 3 2 3 2 3 2" xfId="45252"/>
    <cellStyle name="Обычный 8 7 2 3 2 3 2 3 3" xfId="45253"/>
    <cellStyle name="Обычный 8 7 2 3 2 3 2 4" xfId="45254"/>
    <cellStyle name="Обычный 8 7 2 3 2 3 2 4 2" xfId="45255"/>
    <cellStyle name="Обычный 8 7 2 3 2 3 2 5" xfId="45256"/>
    <cellStyle name="Обычный 8 7 2 3 2 3 2 6" xfId="45257"/>
    <cellStyle name="Обычный 8 7 2 3 2 3 3" xfId="45258"/>
    <cellStyle name="Обычный 8 7 2 3 2 3 3 2" xfId="45259"/>
    <cellStyle name="Обычный 8 7 2 3 2 3 3 3" xfId="45260"/>
    <cellStyle name="Обычный 8 7 2 3 2 3 4" xfId="45261"/>
    <cellStyle name="Обычный 8 7 2 3 2 3 4 2" xfId="45262"/>
    <cellStyle name="Обычный 8 7 2 3 2 3 4 3" xfId="45263"/>
    <cellStyle name="Обычный 8 7 2 3 2 3 5" xfId="45264"/>
    <cellStyle name="Обычный 8 7 2 3 2 3 5 2" xfId="45265"/>
    <cellStyle name="Обычный 8 7 2 3 2 3 6" xfId="45266"/>
    <cellStyle name="Обычный 8 7 2 3 2 3 7" xfId="45267"/>
    <cellStyle name="Обычный 8 7 2 3 2 4" xfId="45268"/>
    <cellStyle name="Обычный 8 7 2 3 2 4 2" xfId="45269"/>
    <cellStyle name="Обычный 8 7 2 3 2 4 2 2" xfId="45270"/>
    <cellStyle name="Обычный 8 7 2 3 2 4 2 3" xfId="45271"/>
    <cellStyle name="Обычный 8 7 2 3 2 4 3" xfId="45272"/>
    <cellStyle name="Обычный 8 7 2 3 2 4 3 2" xfId="45273"/>
    <cellStyle name="Обычный 8 7 2 3 2 4 3 3" xfId="45274"/>
    <cellStyle name="Обычный 8 7 2 3 2 4 4" xfId="45275"/>
    <cellStyle name="Обычный 8 7 2 3 2 4 4 2" xfId="45276"/>
    <cellStyle name="Обычный 8 7 2 3 2 4 5" xfId="45277"/>
    <cellStyle name="Обычный 8 7 2 3 2 4 6" xfId="45278"/>
    <cellStyle name="Обычный 8 7 2 3 2 5" xfId="45279"/>
    <cellStyle name="Обычный 8 7 2 3 2 5 2" xfId="45280"/>
    <cellStyle name="Обычный 8 7 2 3 2 5 3" xfId="45281"/>
    <cellStyle name="Обычный 8 7 2 3 2 6" xfId="45282"/>
    <cellStyle name="Обычный 8 7 2 3 2 6 2" xfId="45283"/>
    <cellStyle name="Обычный 8 7 2 3 2 6 3" xfId="45284"/>
    <cellStyle name="Обычный 8 7 2 3 2 7" xfId="45285"/>
    <cellStyle name="Обычный 8 7 2 3 2 7 2" xfId="45286"/>
    <cellStyle name="Обычный 8 7 2 3 2 8" xfId="45287"/>
    <cellStyle name="Обычный 8 7 2 3 2 9" xfId="45288"/>
    <cellStyle name="Обычный 8 7 2 3 3" xfId="45289"/>
    <cellStyle name="Обычный 8 7 2 3 3 2" xfId="45290"/>
    <cellStyle name="Обычный 8 7 2 3 3 2 2" xfId="45291"/>
    <cellStyle name="Обычный 8 7 2 3 3 2 2 2" xfId="45292"/>
    <cellStyle name="Обычный 8 7 2 3 3 2 2 2 2" xfId="45293"/>
    <cellStyle name="Обычный 8 7 2 3 3 2 2 2 3" xfId="45294"/>
    <cellStyle name="Обычный 8 7 2 3 3 2 2 3" xfId="45295"/>
    <cellStyle name="Обычный 8 7 2 3 3 2 2 3 2" xfId="45296"/>
    <cellStyle name="Обычный 8 7 2 3 3 2 2 3 3" xfId="45297"/>
    <cellStyle name="Обычный 8 7 2 3 3 2 2 4" xfId="45298"/>
    <cellStyle name="Обычный 8 7 2 3 3 2 2 4 2" xfId="45299"/>
    <cellStyle name="Обычный 8 7 2 3 3 2 2 5" xfId="45300"/>
    <cellStyle name="Обычный 8 7 2 3 3 2 2 6" xfId="45301"/>
    <cellStyle name="Обычный 8 7 2 3 3 2 3" xfId="45302"/>
    <cellStyle name="Обычный 8 7 2 3 3 2 3 2" xfId="45303"/>
    <cellStyle name="Обычный 8 7 2 3 3 2 3 3" xfId="45304"/>
    <cellStyle name="Обычный 8 7 2 3 3 2 4" xfId="45305"/>
    <cellStyle name="Обычный 8 7 2 3 3 2 4 2" xfId="45306"/>
    <cellStyle name="Обычный 8 7 2 3 3 2 4 3" xfId="45307"/>
    <cellStyle name="Обычный 8 7 2 3 3 2 5" xfId="45308"/>
    <cellStyle name="Обычный 8 7 2 3 3 2 5 2" xfId="45309"/>
    <cellStyle name="Обычный 8 7 2 3 3 2 6" xfId="45310"/>
    <cellStyle name="Обычный 8 7 2 3 3 2 7" xfId="45311"/>
    <cellStyle name="Обычный 8 7 2 3 3 3" xfId="45312"/>
    <cellStyle name="Обычный 8 7 2 3 3 3 2" xfId="45313"/>
    <cellStyle name="Обычный 8 7 2 3 3 3 2 2" xfId="45314"/>
    <cellStyle name="Обычный 8 7 2 3 3 3 2 3" xfId="45315"/>
    <cellStyle name="Обычный 8 7 2 3 3 3 3" xfId="45316"/>
    <cellStyle name="Обычный 8 7 2 3 3 3 3 2" xfId="45317"/>
    <cellStyle name="Обычный 8 7 2 3 3 3 3 3" xfId="45318"/>
    <cellStyle name="Обычный 8 7 2 3 3 3 4" xfId="45319"/>
    <cellStyle name="Обычный 8 7 2 3 3 3 4 2" xfId="45320"/>
    <cellStyle name="Обычный 8 7 2 3 3 3 5" xfId="45321"/>
    <cellStyle name="Обычный 8 7 2 3 3 3 6" xfId="45322"/>
    <cellStyle name="Обычный 8 7 2 3 3 4" xfId="45323"/>
    <cellStyle name="Обычный 8 7 2 3 3 4 2" xfId="45324"/>
    <cellStyle name="Обычный 8 7 2 3 3 4 3" xfId="45325"/>
    <cellStyle name="Обычный 8 7 2 3 3 5" xfId="45326"/>
    <cellStyle name="Обычный 8 7 2 3 3 5 2" xfId="45327"/>
    <cellStyle name="Обычный 8 7 2 3 3 5 3" xfId="45328"/>
    <cellStyle name="Обычный 8 7 2 3 3 6" xfId="45329"/>
    <cellStyle name="Обычный 8 7 2 3 3 6 2" xfId="45330"/>
    <cellStyle name="Обычный 8 7 2 3 3 7" xfId="45331"/>
    <cellStyle name="Обычный 8 7 2 3 3 8" xfId="45332"/>
    <cellStyle name="Обычный 8 7 2 3 4" xfId="45333"/>
    <cellStyle name="Обычный 8 7 2 3 4 2" xfId="45334"/>
    <cellStyle name="Обычный 8 7 2 3 4 2 2" xfId="45335"/>
    <cellStyle name="Обычный 8 7 2 3 4 2 2 2" xfId="45336"/>
    <cellStyle name="Обычный 8 7 2 3 4 2 2 3" xfId="45337"/>
    <cellStyle name="Обычный 8 7 2 3 4 2 3" xfId="45338"/>
    <cellStyle name="Обычный 8 7 2 3 4 2 3 2" xfId="45339"/>
    <cellStyle name="Обычный 8 7 2 3 4 2 3 3" xfId="45340"/>
    <cellStyle name="Обычный 8 7 2 3 4 2 4" xfId="45341"/>
    <cellStyle name="Обычный 8 7 2 3 4 2 4 2" xfId="45342"/>
    <cellStyle name="Обычный 8 7 2 3 4 2 5" xfId="45343"/>
    <cellStyle name="Обычный 8 7 2 3 4 2 6" xfId="45344"/>
    <cellStyle name="Обычный 8 7 2 3 4 3" xfId="45345"/>
    <cellStyle name="Обычный 8 7 2 3 4 3 2" xfId="45346"/>
    <cellStyle name="Обычный 8 7 2 3 4 3 3" xfId="45347"/>
    <cellStyle name="Обычный 8 7 2 3 4 4" xfId="45348"/>
    <cellStyle name="Обычный 8 7 2 3 4 4 2" xfId="45349"/>
    <cellStyle name="Обычный 8 7 2 3 4 4 3" xfId="45350"/>
    <cellStyle name="Обычный 8 7 2 3 4 5" xfId="45351"/>
    <cellStyle name="Обычный 8 7 2 3 4 5 2" xfId="45352"/>
    <cellStyle name="Обычный 8 7 2 3 4 6" xfId="45353"/>
    <cellStyle name="Обычный 8 7 2 3 4 7" xfId="45354"/>
    <cellStyle name="Обычный 8 7 2 3 5" xfId="45355"/>
    <cellStyle name="Обычный 8 7 2 3 5 2" xfId="45356"/>
    <cellStyle name="Обычный 8 7 2 3 5 2 2" xfId="45357"/>
    <cellStyle name="Обычный 8 7 2 3 5 2 3" xfId="45358"/>
    <cellStyle name="Обычный 8 7 2 3 5 3" xfId="45359"/>
    <cellStyle name="Обычный 8 7 2 3 5 3 2" xfId="45360"/>
    <cellStyle name="Обычный 8 7 2 3 5 3 3" xfId="45361"/>
    <cellStyle name="Обычный 8 7 2 3 5 4" xfId="45362"/>
    <cellStyle name="Обычный 8 7 2 3 5 4 2" xfId="45363"/>
    <cellStyle name="Обычный 8 7 2 3 5 5" xfId="45364"/>
    <cellStyle name="Обычный 8 7 2 3 5 6" xfId="45365"/>
    <cellStyle name="Обычный 8 7 2 3 6" xfId="45366"/>
    <cellStyle name="Обычный 8 7 2 3 6 2" xfId="45367"/>
    <cellStyle name="Обычный 8 7 2 3 6 3" xfId="45368"/>
    <cellStyle name="Обычный 8 7 2 3 7" xfId="45369"/>
    <cellStyle name="Обычный 8 7 2 3 7 2" xfId="45370"/>
    <cellStyle name="Обычный 8 7 2 3 7 3" xfId="45371"/>
    <cellStyle name="Обычный 8 7 2 3 8" xfId="45372"/>
    <cellStyle name="Обычный 8 7 2 3 8 2" xfId="45373"/>
    <cellStyle name="Обычный 8 7 2 3 9" xfId="45374"/>
    <cellStyle name="Обычный 8 7 2 4" xfId="45375"/>
    <cellStyle name="Обычный 8 7 2 4 10" xfId="45376"/>
    <cellStyle name="Обычный 8 7 2 4 2" xfId="45377"/>
    <cellStyle name="Обычный 8 7 2 4 2 2" xfId="45378"/>
    <cellStyle name="Обычный 8 7 2 4 2 2 2" xfId="45379"/>
    <cellStyle name="Обычный 8 7 2 4 2 2 2 2" xfId="45380"/>
    <cellStyle name="Обычный 8 7 2 4 2 2 2 2 2" xfId="45381"/>
    <cellStyle name="Обычный 8 7 2 4 2 2 2 2 2 2" xfId="45382"/>
    <cellStyle name="Обычный 8 7 2 4 2 2 2 2 2 3" xfId="45383"/>
    <cellStyle name="Обычный 8 7 2 4 2 2 2 2 3" xfId="45384"/>
    <cellStyle name="Обычный 8 7 2 4 2 2 2 2 3 2" xfId="45385"/>
    <cellStyle name="Обычный 8 7 2 4 2 2 2 2 3 3" xfId="45386"/>
    <cellStyle name="Обычный 8 7 2 4 2 2 2 2 4" xfId="45387"/>
    <cellStyle name="Обычный 8 7 2 4 2 2 2 2 4 2" xfId="45388"/>
    <cellStyle name="Обычный 8 7 2 4 2 2 2 2 5" xfId="45389"/>
    <cellStyle name="Обычный 8 7 2 4 2 2 2 2 6" xfId="45390"/>
    <cellStyle name="Обычный 8 7 2 4 2 2 2 3" xfId="45391"/>
    <cellStyle name="Обычный 8 7 2 4 2 2 2 3 2" xfId="45392"/>
    <cellStyle name="Обычный 8 7 2 4 2 2 2 3 3" xfId="45393"/>
    <cellStyle name="Обычный 8 7 2 4 2 2 2 4" xfId="45394"/>
    <cellStyle name="Обычный 8 7 2 4 2 2 2 4 2" xfId="45395"/>
    <cellStyle name="Обычный 8 7 2 4 2 2 2 4 3" xfId="45396"/>
    <cellStyle name="Обычный 8 7 2 4 2 2 2 5" xfId="45397"/>
    <cellStyle name="Обычный 8 7 2 4 2 2 2 5 2" xfId="45398"/>
    <cellStyle name="Обычный 8 7 2 4 2 2 2 6" xfId="45399"/>
    <cellStyle name="Обычный 8 7 2 4 2 2 2 7" xfId="45400"/>
    <cellStyle name="Обычный 8 7 2 4 2 2 3" xfId="45401"/>
    <cellStyle name="Обычный 8 7 2 4 2 2 3 2" xfId="45402"/>
    <cellStyle name="Обычный 8 7 2 4 2 2 3 2 2" xfId="45403"/>
    <cellStyle name="Обычный 8 7 2 4 2 2 3 2 3" xfId="45404"/>
    <cellStyle name="Обычный 8 7 2 4 2 2 3 3" xfId="45405"/>
    <cellStyle name="Обычный 8 7 2 4 2 2 3 3 2" xfId="45406"/>
    <cellStyle name="Обычный 8 7 2 4 2 2 3 3 3" xfId="45407"/>
    <cellStyle name="Обычный 8 7 2 4 2 2 3 4" xfId="45408"/>
    <cellStyle name="Обычный 8 7 2 4 2 2 3 4 2" xfId="45409"/>
    <cellStyle name="Обычный 8 7 2 4 2 2 3 5" xfId="45410"/>
    <cellStyle name="Обычный 8 7 2 4 2 2 3 6" xfId="45411"/>
    <cellStyle name="Обычный 8 7 2 4 2 2 4" xfId="45412"/>
    <cellStyle name="Обычный 8 7 2 4 2 2 4 2" xfId="45413"/>
    <cellStyle name="Обычный 8 7 2 4 2 2 4 3" xfId="45414"/>
    <cellStyle name="Обычный 8 7 2 4 2 2 5" xfId="45415"/>
    <cellStyle name="Обычный 8 7 2 4 2 2 5 2" xfId="45416"/>
    <cellStyle name="Обычный 8 7 2 4 2 2 5 3" xfId="45417"/>
    <cellStyle name="Обычный 8 7 2 4 2 2 6" xfId="45418"/>
    <cellStyle name="Обычный 8 7 2 4 2 2 6 2" xfId="45419"/>
    <cellStyle name="Обычный 8 7 2 4 2 2 7" xfId="45420"/>
    <cellStyle name="Обычный 8 7 2 4 2 2 8" xfId="45421"/>
    <cellStyle name="Обычный 8 7 2 4 2 3" xfId="45422"/>
    <cellStyle name="Обычный 8 7 2 4 2 3 2" xfId="45423"/>
    <cellStyle name="Обычный 8 7 2 4 2 3 2 2" xfId="45424"/>
    <cellStyle name="Обычный 8 7 2 4 2 3 2 2 2" xfId="45425"/>
    <cellStyle name="Обычный 8 7 2 4 2 3 2 2 3" xfId="45426"/>
    <cellStyle name="Обычный 8 7 2 4 2 3 2 3" xfId="45427"/>
    <cellStyle name="Обычный 8 7 2 4 2 3 2 3 2" xfId="45428"/>
    <cellStyle name="Обычный 8 7 2 4 2 3 2 3 3" xfId="45429"/>
    <cellStyle name="Обычный 8 7 2 4 2 3 2 4" xfId="45430"/>
    <cellStyle name="Обычный 8 7 2 4 2 3 2 4 2" xfId="45431"/>
    <cellStyle name="Обычный 8 7 2 4 2 3 2 5" xfId="45432"/>
    <cellStyle name="Обычный 8 7 2 4 2 3 2 6" xfId="45433"/>
    <cellStyle name="Обычный 8 7 2 4 2 3 3" xfId="45434"/>
    <cellStyle name="Обычный 8 7 2 4 2 3 3 2" xfId="45435"/>
    <cellStyle name="Обычный 8 7 2 4 2 3 3 3" xfId="45436"/>
    <cellStyle name="Обычный 8 7 2 4 2 3 4" xfId="45437"/>
    <cellStyle name="Обычный 8 7 2 4 2 3 4 2" xfId="45438"/>
    <cellStyle name="Обычный 8 7 2 4 2 3 4 3" xfId="45439"/>
    <cellStyle name="Обычный 8 7 2 4 2 3 5" xfId="45440"/>
    <cellStyle name="Обычный 8 7 2 4 2 3 5 2" xfId="45441"/>
    <cellStyle name="Обычный 8 7 2 4 2 3 6" xfId="45442"/>
    <cellStyle name="Обычный 8 7 2 4 2 3 7" xfId="45443"/>
    <cellStyle name="Обычный 8 7 2 4 2 4" xfId="45444"/>
    <cellStyle name="Обычный 8 7 2 4 2 4 2" xfId="45445"/>
    <cellStyle name="Обычный 8 7 2 4 2 4 2 2" xfId="45446"/>
    <cellStyle name="Обычный 8 7 2 4 2 4 2 3" xfId="45447"/>
    <cellStyle name="Обычный 8 7 2 4 2 4 3" xfId="45448"/>
    <cellStyle name="Обычный 8 7 2 4 2 4 3 2" xfId="45449"/>
    <cellStyle name="Обычный 8 7 2 4 2 4 3 3" xfId="45450"/>
    <cellStyle name="Обычный 8 7 2 4 2 4 4" xfId="45451"/>
    <cellStyle name="Обычный 8 7 2 4 2 4 4 2" xfId="45452"/>
    <cellStyle name="Обычный 8 7 2 4 2 4 5" xfId="45453"/>
    <cellStyle name="Обычный 8 7 2 4 2 4 6" xfId="45454"/>
    <cellStyle name="Обычный 8 7 2 4 2 5" xfId="45455"/>
    <cellStyle name="Обычный 8 7 2 4 2 5 2" xfId="45456"/>
    <cellStyle name="Обычный 8 7 2 4 2 5 3" xfId="45457"/>
    <cellStyle name="Обычный 8 7 2 4 2 6" xfId="45458"/>
    <cellStyle name="Обычный 8 7 2 4 2 6 2" xfId="45459"/>
    <cellStyle name="Обычный 8 7 2 4 2 6 3" xfId="45460"/>
    <cellStyle name="Обычный 8 7 2 4 2 7" xfId="45461"/>
    <cellStyle name="Обычный 8 7 2 4 2 7 2" xfId="45462"/>
    <cellStyle name="Обычный 8 7 2 4 2 8" xfId="45463"/>
    <cellStyle name="Обычный 8 7 2 4 2 9" xfId="45464"/>
    <cellStyle name="Обычный 8 7 2 4 3" xfId="45465"/>
    <cellStyle name="Обычный 8 7 2 4 3 2" xfId="45466"/>
    <cellStyle name="Обычный 8 7 2 4 3 2 2" xfId="45467"/>
    <cellStyle name="Обычный 8 7 2 4 3 2 2 2" xfId="45468"/>
    <cellStyle name="Обычный 8 7 2 4 3 2 2 2 2" xfId="45469"/>
    <cellStyle name="Обычный 8 7 2 4 3 2 2 2 3" xfId="45470"/>
    <cellStyle name="Обычный 8 7 2 4 3 2 2 3" xfId="45471"/>
    <cellStyle name="Обычный 8 7 2 4 3 2 2 3 2" xfId="45472"/>
    <cellStyle name="Обычный 8 7 2 4 3 2 2 3 3" xfId="45473"/>
    <cellStyle name="Обычный 8 7 2 4 3 2 2 4" xfId="45474"/>
    <cellStyle name="Обычный 8 7 2 4 3 2 2 4 2" xfId="45475"/>
    <cellStyle name="Обычный 8 7 2 4 3 2 2 5" xfId="45476"/>
    <cellStyle name="Обычный 8 7 2 4 3 2 2 6" xfId="45477"/>
    <cellStyle name="Обычный 8 7 2 4 3 2 3" xfId="45478"/>
    <cellStyle name="Обычный 8 7 2 4 3 2 3 2" xfId="45479"/>
    <cellStyle name="Обычный 8 7 2 4 3 2 3 3" xfId="45480"/>
    <cellStyle name="Обычный 8 7 2 4 3 2 4" xfId="45481"/>
    <cellStyle name="Обычный 8 7 2 4 3 2 4 2" xfId="45482"/>
    <cellStyle name="Обычный 8 7 2 4 3 2 4 3" xfId="45483"/>
    <cellStyle name="Обычный 8 7 2 4 3 2 5" xfId="45484"/>
    <cellStyle name="Обычный 8 7 2 4 3 2 5 2" xfId="45485"/>
    <cellStyle name="Обычный 8 7 2 4 3 2 6" xfId="45486"/>
    <cellStyle name="Обычный 8 7 2 4 3 2 7" xfId="45487"/>
    <cellStyle name="Обычный 8 7 2 4 3 3" xfId="45488"/>
    <cellStyle name="Обычный 8 7 2 4 3 3 2" xfId="45489"/>
    <cellStyle name="Обычный 8 7 2 4 3 3 2 2" xfId="45490"/>
    <cellStyle name="Обычный 8 7 2 4 3 3 2 3" xfId="45491"/>
    <cellStyle name="Обычный 8 7 2 4 3 3 3" xfId="45492"/>
    <cellStyle name="Обычный 8 7 2 4 3 3 3 2" xfId="45493"/>
    <cellStyle name="Обычный 8 7 2 4 3 3 3 3" xfId="45494"/>
    <cellStyle name="Обычный 8 7 2 4 3 3 4" xfId="45495"/>
    <cellStyle name="Обычный 8 7 2 4 3 3 4 2" xfId="45496"/>
    <cellStyle name="Обычный 8 7 2 4 3 3 5" xfId="45497"/>
    <cellStyle name="Обычный 8 7 2 4 3 3 6" xfId="45498"/>
    <cellStyle name="Обычный 8 7 2 4 3 4" xfId="45499"/>
    <cellStyle name="Обычный 8 7 2 4 3 4 2" xfId="45500"/>
    <cellStyle name="Обычный 8 7 2 4 3 4 3" xfId="45501"/>
    <cellStyle name="Обычный 8 7 2 4 3 5" xfId="45502"/>
    <cellStyle name="Обычный 8 7 2 4 3 5 2" xfId="45503"/>
    <cellStyle name="Обычный 8 7 2 4 3 5 3" xfId="45504"/>
    <cellStyle name="Обычный 8 7 2 4 3 6" xfId="45505"/>
    <cellStyle name="Обычный 8 7 2 4 3 6 2" xfId="45506"/>
    <cellStyle name="Обычный 8 7 2 4 3 7" xfId="45507"/>
    <cellStyle name="Обычный 8 7 2 4 3 8" xfId="45508"/>
    <cellStyle name="Обычный 8 7 2 4 4" xfId="45509"/>
    <cellStyle name="Обычный 8 7 2 4 4 2" xfId="45510"/>
    <cellStyle name="Обычный 8 7 2 4 4 2 2" xfId="45511"/>
    <cellStyle name="Обычный 8 7 2 4 4 2 2 2" xfId="45512"/>
    <cellStyle name="Обычный 8 7 2 4 4 2 2 3" xfId="45513"/>
    <cellStyle name="Обычный 8 7 2 4 4 2 3" xfId="45514"/>
    <cellStyle name="Обычный 8 7 2 4 4 2 3 2" xfId="45515"/>
    <cellStyle name="Обычный 8 7 2 4 4 2 3 3" xfId="45516"/>
    <cellStyle name="Обычный 8 7 2 4 4 2 4" xfId="45517"/>
    <cellStyle name="Обычный 8 7 2 4 4 2 4 2" xfId="45518"/>
    <cellStyle name="Обычный 8 7 2 4 4 2 5" xfId="45519"/>
    <cellStyle name="Обычный 8 7 2 4 4 2 6" xfId="45520"/>
    <cellStyle name="Обычный 8 7 2 4 4 3" xfId="45521"/>
    <cellStyle name="Обычный 8 7 2 4 4 3 2" xfId="45522"/>
    <cellStyle name="Обычный 8 7 2 4 4 3 3" xfId="45523"/>
    <cellStyle name="Обычный 8 7 2 4 4 4" xfId="45524"/>
    <cellStyle name="Обычный 8 7 2 4 4 4 2" xfId="45525"/>
    <cellStyle name="Обычный 8 7 2 4 4 4 3" xfId="45526"/>
    <cellStyle name="Обычный 8 7 2 4 4 5" xfId="45527"/>
    <cellStyle name="Обычный 8 7 2 4 4 5 2" xfId="45528"/>
    <cellStyle name="Обычный 8 7 2 4 4 6" xfId="45529"/>
    <cellStyle name="Обычный 8 7 2 4 4 7" xfId="45530"/>
    <cellStyle name="Обычный 8 7 2 4 5" xfId="45531"/>
    <cellStyle name="Обычный 8 7 2 4 5 2" xfId="45532"/>
    <cellStyle name="Обычный 8 7 2 4 5 2 2" xfId="45533"/>
    <cellStyle name="Обычный 8 7 2 4 5 2 3" xfId="45534"/>
    <cellStyle name="Обычный 8 7 2 4 5 3" xfId="45535"/>
    <cellStyle name="Обычный 8 7 2 4 5 3 2" xfId="45536"/>
    <cellStyle name="Обычный 8 7 2 4 5 3 3" xfId="45537"/>
    <cellStyle name="Обычный 8 7 2 4 5 4" xfId="45538"/>
    <cellStyle name="Обычный 8 7 2 4 5 4 2" xfId="45539"/>
    <cellStyle name="Обычный 8 7 2 4 5 5" xfId="45540"/>
    <cellStyle name="Обычный 8 7 2 4 5 6" xfId="45541"/>
    <cellStyle name="Обычный 8 7 2 4 6" xfId="45542"/>
    <cellStyle name="Обычный 8 7 2 4 6 2" xfId="45543"/>
    <cellStyle name="Обычный 8 7 2 4 6 3" xfId="45544"/>
    <cellStyle name="Обычный 8 7 2 4 7" xfId="45545"/>
    <cellStyle name="Обычный 8 7 2 4 7 2" xfId="45546"/>
    <cellStyle name="Обычный 8 7 2 4 7 3" xfId="45547"/>
    <cellStyle name="Обычный 8 7 2 4 8" xfId="45548"/>
    <cellStyle name="Обычный 8 7 2 4 8 2" xfId="45549"/>
    <cellStyle name="Обычный 8 7 2 4 9" xfId="45550"/>
    <cellStyle name="Обычный 8 7 2 5" xfId="45551"/>
    <cellStyle name="Обычный 8 7 2 5 2" xfId="45552"/>
    <cellStyle name="Обычный 8 7 2 5 2 2" xfId="45553"/>
    <cellStyle name="Обычный 8 7 2 5 2 2 2" xfId="45554"/>
    <cellStyle name="Обычный 8 7 2 5 2 2 2 2" xfId="45555"/>
    <cellStyle name="Обычный 8 7 2 5 2 2 2 2 2" xfId="45556"/>
    <cellStyle name="Обычный 8 7 2 5 2 2 2 2 3" xfId="45557"/>
    <cellStyle name="Обычный 8 7 2 5 2 2 2 3" xfId="45558"/>
    <cellStyle name="Обычный 8 7 2 5 2 2 2 3 2" xfId="45559"/>
    <cellStyle name="Обычный 8 7 2 5 2 2 2 3 3" xfId="45560"/>
    <cellStyle name="Обычный 8 7 2 5 2 2 2 4" xfId="45561"/>
    <cellStyle name="Обычный 8 7 2 5 2 2 2 4 2" xfId="45562"/>
    <cellStyle name="Обычный 8 7 2 5 2 2 2 5" xfId="45563"/>
    <cellStyle name="Обычный 8 7 2 5 2 2 2 6" xfId="45564"/>
    <cellStyle name="Обычный 8 7 2 5 2 2 3" xfId="45565"/>
    <cellStyle name="Обычный 8 7 2 5 2 2 3 2" xfId="45566"/>
    <cellStyle name="Обычный 8 7 2 5 2 2 3 3" xfId="45567"/>
    <cellStyle name="Обычный 8 7 2 5 2 2 4" xfId="45568"/>
    <cellStyle name="Обычный 8 7 2 5 2 2 4 2" xfId="45569"/>
    <cellStyle name="Обычный 8 7 2 5 2 2 4 3" xfId="45570"/>
    <cellStyle name="Обычный 8 7 2 5 2 2 5" xfId="45571"/>
    <cellStyle name="Обычный 8 7 2 5 2 2 5 2" xfId="45572"/>
    <cellStyle name="Обычный 8 7 2 5 2 2 6" xfId="45573"/>
    <cellStyle name="Обычный 8 7 2 5 2 2 7" xfId="45574"/>
    <cellStyle name="Обычный 8 7 2 5 2 3" xfId="45575"/>
    <cellStyle name="Обычный 8 7 2 5 2 3 2" xfId="45576"/>
    <cellStyle name="Обычный 8 7 2 5 2 3 2 2" xfId="45577"/>
    <cellStyle name="Обычный 8 7 2 5 2 3 2 3" xfId="45578"/>
    <cellStyle name="Обычный 8 7 2 5 2 3 3" xfId="45579"/>
    <cellStyle name="Обычный 8 7 2 5 2 3 3 2" xfId="45580"/>
    <cellStyle name="Обычный 8 7 2 5 2 3 3 3" xfId="45581"/>
    <cellStyle name="Обычный 8 7 2 5 2 3 4" xfId="45582"/>
    <cellStyle name="Обычный 8 7 2 5 2 3 4 2" xfId="45583"/>
    <cellStyle name="Обычный 8 7 2 5 2 3 5" xfId="45584"/>
    <cellStyle name="Обычный 8 7 2 5 2 3 6" xfId="45585"/>
    <cellStyle name="Обычный 8 7 2 5 2 4" xfId="45586"/>
    <cellStyle name="Обычный 8 7 2 5 2 4 2" xfId="45587"/>
    <cellStyle name="Обычный 8 7 2 5 2 4 3" xfId="45588"/>
    <cellStyle name="Обычный 8 7 2 5 2 5" xfId="45589"/>
    <cellStyle name="Обычный 8 7 2 5 2 5 2" xfId="45590"/>
    <cellStyle name="Обычный 8 7 2 5 2 5 3" xfId="45591"/>
    <cellStyle name="Обычный 8 7 2 5 2 6" xfId="45592"/>
    <cellStyle name="Обычный 8 7 2 5 2 6 2" xfId="45593"/>
    <cellStyle name="Обычный 8 7 2 5 2 7" xfId="45594"/>
    <cellStyle name="Обычный 8 7 2 5 2 8" xfId="45595"/>
    <cellStyle name="Обычный 8 7 2 5 3" xfId="45596"/>
    <cellStyle name="Обычный 8 7 2 5 3 2" xfId="45597"/>
    <cellStyle name="Обычный 8 7 2 5 3 2 2" xfId="45598"/>
    <cellStyle name="Обычный 8 7 2 5 3 2 2 2" xfId="45599"/>
    <cellStyle name="Обычный 8 7 2 5 3 2 2 3" xfId="45600"/>
    <cellStyle name="Обычный 8 7 2 5 3 2 3" xfId="45601"/>
    <cellStyle name="Обычный 8 7 2 5 3 2 3 2" xfId="45602"/>
    <cellStyle name="Обычный 8 7 2 5 3 2 3 3" xfId="45603"/>
    <cellStyle name="Обычный 8 7 2 5 3 2 4" xfId="45604"/>
    <cellStyle name="Обычный 8 7 2 5 3 2 4 2" xfId="45605"/>
    <cellStyle name="Обычный 8 7 2 5 3 2 5" xfId="45606"/>
    <cellStyle name="Обычный 8 7 2 5 3 2 6" xfId="45607"/>
    <cellStyle name="Обычный 8 7 2 5 3 3" xfId="45608"/>
    <cellStyle name="Обычный 8 7 2 5 3 3 2" xfId="45609"/>
    <cellStyle name="Обычный 8 7 2 5 3 3 3" xfId="45610"/>
    <cellStyle name="Обычный 8 7 2 5 3 4" xfId="45611"/>
    <cellStyle name="Обычный 8 7 2 5 3 4 2" xfId="45612"/>
    <cellStyle name="Обычный 8 7 2 5 3 4 3" xfId="45613"/>
    <cellStyle name="Обычный 8 7 2 5 3 5" xfId="45614"/>
    <cellStyle name="Обычный 8 7 2 5 3 5 2" xfId="45615"/>
    <cellStyle name="Обычный 8 7 2 5 3 6" xfId="45616"/>
    <cellStyle name="Обычный 8 7 2 5 3 7" xfId="45617"/>
    <cellStyle name="Обычный 8 7 2 5 4" xfId="45618"/>
    <cellStyle name="Обычный 8 7 2 5 4 2" xfId="45619"/>
    <cellStyle name="Обычный 8 7 2 5 4 2 2" xfId="45620"/>
    <cellStyle name="Обычный 8 7 2 5 4 2 3" xfId="45621"/>
    <cellStyle name="Обычный 8 7 2 5 4 3" xfId="45622"/>
    <cellStyle name="Обычный 8 7 2 5 4 3 2" xfId="45623"/>
    <cellStyle name="Обычный 8 7 2 5 4 3 3" xfId="45624"/>
    <cellStyle name="Обычный 8 7 2 5 4 4" xfId="45625"/>
    <cellStyle name="Обычный 8 7 2 5 4 4 2" xfId="45626"/>
    <cellStyle name="Обычный 8 7 2 5 4 5" xfId="45627"/>
    <cellStyle name="Обычный 8 7 2 5 4 6" xfId="45628"/>
    <cellStyle name="Обычный 8 7 2 5 5" xfId="45629"/>
    <cellStyle name="Обычный 8 7 2 5 5 2" xfId="45630"/>
    <cellStyle name="Обычный 8 7 2 5 5 3" xfId="45631"/>
    <cellStyle name="Обычный 8 7 2 5 6" xfId="45632"/>
    <cellStyle name="Обычный 8 7 2 5 6 2" xfId="45633"/>
    <cellStyle name="Обычный 8 7 2 5 6 3" xfId="45634"/>
    <cellStyle name="Обычный 8 7 2 5 7" xfId="45635"/>
    <cellStyle name="Обычный 8 7 2 5 7 2" xfId="45636"/>
    <cellStyle name="Обычный 8 7 2 5 8" xfId="45637"/>
    <cellStyle name="Обычный 8 7 2 5 9" xfId="45638"/>
    <cellStyle name="Обычный 8 7 2 6" xfId="45639"/>
    <cellStyle name="Обычный 8 7 2 6 2" xfId="45640"/>
    <cellStyle name="Обычный 8 7 2 6 2 2" xfId="45641"/>
    <cellStyle name="Обычный 8 7 2 6 2 2 2" xfId="45642"/>
    <cellStyle name="Обычный 8 7 2 6 2 2 2 2" xfId="45643"/>
    <cellStyle name="Обычный 8 7 2 6 2 2 2 3" xfId="45644"/>
    <cellStyle name="Обычный 8 7 2 6 2 2 3" xfId="45645"/>
    <cellStyle name="Обычный 8 7 2 6 2 2 3 2" xfId="45646"/>
    <cellStyle name="Обычный 8 7 2 6 2 2 3 3" xfId="45647"/>
    <cellStyle name="Обычный 8 7 2 6 2 2 4" xfId="45648"/>
    <cellStyle name="Обычный 8 7 2 6 2 2 4 2" xfId="45649"/>
    <cellStyle name="Обычный 8 7 2 6 2 2 5" xfId="45650"/>
    <cellStyle name="Обычный 8 7 2 6 2 2 6" xfId="45651"/>
    <cellStyle name="Обычный 8 7 2 6 2 3" xfId="45652"/>
    <cellStyle name="Обычный 8 7 2 6 2 3 2" xfId="45653"/>
    <cellStyle name="Обычный 8 7 2 6 2 3 3" xfId="45654"/>
    <cellStyle name="Обычный 8 7 2 6 2 4" xfId="45655"/>
    <cellStyle name="Обычный 8 7 2 6 2 4 2" xfId="45656"/>
    <cellStyle name="Обычный 8 7 2 6 2 4 3" xfId="45657"/>
    <cellStyle name="Обычный 8 7 2 6 2 5" xfId="45658"/>
    <cellStyle name="Обычный 8 7 2 6 2 5 2" xfId="45659"/>
    <cellStyle name="Обычный 8 7 2 6 2 6" xfId="45660"/>
    <cellStyle name="Обычный 8 7 2 6 2 7" xfId="45661"/>
    <cellStyle name="Обычный 8 7 2 6 3" xfId="45662"/>
    <cellStyle name="Обычный 8 7 2 6 3 2" xfId="45663"/>
    <cellStyle name="Обычный 8 7 2 6 3 2 2" xfId="45664"/>
    <cellStyle name="Обычный 8 7 2 6 3 2 3" xfId="45665"/>
    <cellStyle name="Обычный 8 7 2 6 3 3" xfId="45666"/>
    <cellStyle name="Обычный 8 7 2 6 3 3 2" xfId="45667"/>
    <cellStyle name="Обычный 8 7 2 6 3 3 3" xfId="45668"/>
    <cellStyle name="Обычный 8 7 2 6 3 4" xfId="45669"/>
    <cellStyle name="Обычный 8 7 2 6 3 4 2" xfId="45670"/>
    <cellStyle name="Обычный 8 7 2 6 3 5" xfId="45671"/>
    <cellStyle name="Обычный 8 7 2 6 3 6" xfId="45672"/>
    <cellStyle name="Обычный 8 7 2 6 4" xfId="45673"/>
    <cellStyle name="Обычный 8 7 2 6 4 2" xfId="45674"/>
    <cellStyle name="Обычный 8 7 2 6 4 3" xfId="45675"/>
    <cellStyle name="Обычный 8 7 2 6 5" xfId="45676"/>
    <cellStyle name="Обычный 8 7 2 6 5 2" xfId="45677"/>
    <cellStyle name="Обычный 8 7 2 6 5 3" xfId="45678"/>
    <cellStyle name="Обычный 8 7 2 6 6" xfId="45679"/>
    <cellStyle name="Обычный 8 7 2 6 6 2" xfId="45680"/>
    <cellStyle name="Обычный 8 7 2 6 7" xfId="45681"/>
    <cellStyle name="Обычный 8 7 2 6 8" xfId="45682"/>
    <cellStyle name="Обычный 8 7 2 7" xfId="45683"/>
    <cellStyle name="Обычный 8 7 2 7 2" xfId="45684"/>
    <cellStyle name="Обычный 8 7 2 7 2 2" xfId="45685"/>
    <cellStyle name="Обычный 8 7 2 7 2 2 2" xfId="45686"/>
    <cellStyle name="Обычный 8 7 2 7 2 2 3" xfId="45687"/>
    <cellStyle name="Обычный 8 7 2 7 2 3" xfId="45688"/>
    <cellStyle name="Обычный 8 7 2 7 2 3 2" xfId="45689"/>
    <cellStyle name="Обычный 8 7 2 7 2 3 3" xfId="45690"/>
    <cellStyle name="Обычный 8 7 2 7 2 4" xfId="45691"/>
    <cellStyle name="Обычный 8 7 2 7 2 4 2" xfId="45692"/>
    <cellStyle name="Обычный 8 7 2 7 2 5" xfId="45693"/>
    <cellStyle name="Обычный 8 7 2 7 2 6" xfId="45694"/>
    <cellStyle name="Обычный 8 7 2 7 3" xfId="45695"/>
    <cellStyle name="Обычный 8 7 2 7 3 2" xfId="45696"/>
    <cellStyle name="Обычный 8 7 2 7 3 3" xfId="45697"/>
    <cellStyle name="Обычный 8 7 2 7 4" xfId="45698"/>
    <cellStyle name="Обычный 8 7 2 7 4 2" xfId="45699"/>
    <cellStyle name="Обычный 8 7 2 7 4 3" xfId="45700"/>
    <cellStyle name="Обычный 8 7 2 7 5" xfId="45701"/>
    <cellStyle name="Обычный 8 7 2 7 5 2" xfId="45702"/>
    <cellStyle name="Обычный 8 7 2 7 6" xfId="45703"/>
    <cellStyle name="Обычный 8 7 2 7 7" xfId="45704"/>
    <cellStyle name="Обычный 8 7 2 8" xfId="45705"/>
    <cellStyle name="Обычный 8 7 2 8 2" xfId="45706"/>
    <cellStyle name="Обычный 8 7 2 8 2 2" xfId="45707"/>
    <cellStyle name="Обычный 8 7 2 8 2 3" xfId="45708"/>
    <cellStyle name="Обычный 8 7 2 8 3" xfId="45709"/>
    <cellStyle name="Обычный 8 7 2 8 3 2" xfId="45710"/>
    <cellStyle name="Обычный 8 7 2 8 3 3" xfId="45711"/>
    <cellStyle name="Обычный 8 7 2 8 4" xfId="45712"/>
    <cellStyle name="Обычный 8 7 2 8 4 2" xfId="45713"/>
    <cellStyle name="Обычный 8 7 2 8 5" xfId="45714"/>
    <cellStyle name="Обычный 8 7 2 8 6" xfId="45715"/>
    <cellStyle name="Обычный 8 7 2 9" xfId="45716"/>
    <cellStyle name="Обычный 8 7 2 9 2" xfId="45717"/>
    <cellStyle name="Обычный 8 7 2 9 3" xfId="45718"/>
    <cellStyle name="Обычный 8 7 3" xfId="45719"/>
    <cellStyle name="Обычный 8 7 3 10" xfId="45720"/>
    <cellStyle name="Обычный 8 7 3 2" xfId="45721"/>
    <cellStyle name="Обычный 8 7 3 2 2" xfId="45722"/>
    <cellStyle name="Обычный 8 7 3 2 2 2" xfId="45723"/>
    <cellStyle name="Обычный 8 7 3 2 2 2 2" xfId="45724"/>
    <cellStyle name="Обычный 8 7 3 2 2 2 2 2" xfId="45725"/>
    <cellStyle name="Обычный 8 7 3 2 2 2 2 2 2" xfId="45726"/>
    <cellStyle name="Обычный 8 7 3 2 2 2 2 2 3" xfId="45727"/>
    <cellStyle name="Обычный 8 7 3 2 2 2 2 3" xfId="45728"/>
    <cellStyle name="Обычный 8 7 3 2 2 2 2 3 2" xfId="45729"/>
    <cellStyle name="Обычный 8 7 3 2 2 2 2 3 3" xfId="45730"/>
    <cellStyle name="Обычный 8 7 3 2 2 2 2 4" xfId="45731"/>
    <cellStyle name="Обычный 8 7 3 2 2 2 2 4 2" xfId="45732"/>
    <cellStyle name="Обычный 8 7 3 2 2 2 2 5" xfId="45733"/>
    <cellStyle name="Обычный 8 7 3 2 2 2 2 6" xfId="45734"/>
    <cellStyle name="Обычный 8 7 3 2 2 2 3" xfId="45735"/>
    <cellStyle name="Обычный 8 7 3 2 2 2 3 2" xfId="45736"/>
    <cellStyle name="Обычный 8 7 3 2 2 2 3 3" xfId="45737"/>
    <cellStyle name="Обычный 8 7 3 2 2 2 4" xfId="45738"/>
    <cellStyle name="Обычный 8 7 3 2 2 2 4 2" xfId="45739"/>
    <cellStyle name="Обычный 8 7 3 2 2 2 4 3" xfId="45740"/>
    <cellStyle name="Обычный 8 7 3 2 2 2 5" xfId="45741"/>
    <cellStyle name="Обычный 8 7 3 2 2 2 5 2" xfId="45742"/>
    <cellStyle name="Обычный 8 7 3 2 2 2 6" xfId="45743"/>
    <cellStyle name="Обычный 8 7 3 2 2 2 7" xfId="45744"/>
    <cellStyle name="Обычный 8 7 3 2 2 3" xfId="45745"/>
    <cellStyle name="Обычный 8 7 3 2 2 3 2" xfId="45746"/>
    <cellStyle name="Обычный 8 7 3 2 2 3 2 2" xfId="45747"/>
    <cellStyle name="Обычный 8 7 3 2 2 3 2 3" xfId="45748"/>
    <cellStyle name="Обычный 8 7 3 2 2 3 3" xfId="45749"/>
    <cellStyle name="Обычный 8 7 3 2 2 3 3 2" xfId="45750"/>
    <cellStyle name="Обычный 8 7 3 2 2 3 3 3" xfId="45751"/>
    <cellStyle name="Обычный 8 7 3 2 2 3 4" xfId="45752"/>
    <cellStyle name="Обычный 8 7 3 2 2 3 4 2" xfId="45753"/>
    <cellStyle name="Обычный 8 7 3 2 2 3 5" xfId="45754"/>
    <cellStyle name="Обычный 8 7 3 2 2 3 6" xfId="45755"/>
    <cellStyle name="Обычный 8 7 3 2 2 4" xfId="45756"/>
    <cellStyle name="Обычный 8 7 3 2 2 4 2" xfId="45757"/>
    <cellStyle name="Обычный 8 7 3 2 2 4 3" xfId="45758"/>
    <cellStyle name="Обычный 8 7 3 2 2 5" xfId="45759"/>
    <cellStyle name="Обычный 8 7 3 2 2 5 2" xfId="45760"/>
    <cellStyle name="Обычный 8 7 3 2 2 5 3" xfId="45761"/>
    <cellStyle name="Обычный 8 7 3 2 2 6" xfId="45762"/>
    <cellStyle name="Обычный 8 7 3 2 2 6 2" xfId="45763"/>
    <cellStyle name="Обычный 8 7 3 2 2 7" xfId="45764"/>
    <cellStyle name="Обычный 8 7 3 2 2 8" xfId="45765"/>
    <cellStyle name="Обычный 8 7 3 2 3" xfId="45766"/>
    <cellStyle name="Обычный 8 7 3 2 3 2" xfId="45767"/>
    <cellStyle name="Обычный 8 7 3 2 3 2 2" xfId="45768"/>
    <cellStyle name="Обычный 8 7 3 2 3 2 2 2" xfId="45769"/>
    <cellStyle name="Обычный 8 7 3 2 3 2 2 3" xfId="45770"/>
    <cellStyle name="Обычный 8 7 3 2 3 2 3" xfId="45771"/>
    <cellStyle name="Обычный 8 7 3 2 3 2 3 2" xfId="45772"/>
    <cellStyle name="Обычный 8 7 3 2 3 2 3 3" xfId="45773"/>
    <cellStyle name="Обычный 8 7 3 2 3 2 4" xfId="45774"/>
    <cellStyle name="Обычный 8 7 3 2 3 2 4 2" xfId="45775"/>
    <cellStyle name="Обычный 8 7 3 2 3 2 5" xfId="45776"/>
    <cellStyle name="Обычный 8 7 3 2 3 2 6" xfId="45777"/>
    <cellStyle name="Обычный 8 7 3 2 3 3" xfId="45778"/>
    <cellStyle name="Обычный 8 7 3 2 3 3 2" xfId="45779"/>
    <cellStyle name="Обычный 8 7 3 2 3 3 3" xfId="45780"/>
    <cellStyle name="Обычный 8 7 3 2 3 4" xfId="45781"/>
    <cellStyle name="Обычный 8 7 3 2 3 4 2" xfId="45782"/>
    <cellStyle name="Обычный 8 7 3 2 3 4 3" xfId="45783"/>
    <cellStyle name="Обычный 8 7 3 2 3 5" xfId="45784"/>
    <cellStyle name="Обычный 8 7 3 2 3 5 2" xfId="45785"/>
    <cellStyle name="Обычный 8 7 3 2 3 6" xfId="45786"/>
    <cellStyle name="Обычный 8 7 3 2 3 7" xfId="45787"/>
    <cellStyle name="Обычный 8 7 3 2 4" xfId="45788"/>
    <cellStyle name="Обычный 8 7 3 2 4 2" xfId="45789"/>
    <cellStyle name="Обычный 8 7 3 2 4 2 2" xfId="45790"/>
    <cellStyle name="Обычный 8 7 3 2 4 2 3" xfId="45791"/>
    <cellStyle name="Обычный 8 7 3 2 4 3" xfId="45792"/>
    <cellStyle name="Обычный 8 7 3 2 4 3 2" xfId="45793"/>
    <cellStyle name="Обычный 8 7 3 2 4 3 3" xfId="45794"/>
    <cellStyle name="Обычный 8 7 3 2 4 4" xfId="45795"/>
    <cellStyle name="Обычный 8 7 3 2 4 4 2" xfId="45796"/>
    <cellStyle name="Обычный 8 7 3 2 4 5" xfId="45797"/>
    <cellStyle name="Обычный 8 7 3 2 4 6" xfId="45798"/>
    <cellStyle name="Обычный 8 7 3 2 5" xfId="45799"/>
    <cellStyle name="Обычный 8 7 3 2 5 2" xfId="45800"/>
    <cellStyle name="Обычный 8 7 3 2 5 3" xfId="45801"/>
    <cellStyle name="Обычный 8 7 3 2 6" xfId="45802"/>
    <cellStyle name="Обычный 8 7 3 2 6 2" xfId="45803"/>
    <cellStyle name="Обычный 8 7 3 2 6 3" xfId="45804"/>
    <cellStyle name="Обычный 8 7 3 2 7" xfId="45805"/>
    <cellStyle name="Обычный 8 7 3 2 7 2" xfId="45806"/>
    <cellStyle name="Обычный 8 7 3 2 8" xfId="45807"/>
    <cellStyle name="Обычный 8 7 3 2 9" xfId="45808"/>
    <cellStyle name="Обычный 8 7 3 3" xfId="45809"/>
    <cellStyle name="Обычный 8 7 3 3 2" xfId="45810"/>
    <cellStyle name="Обычный 8 7 3 3 2 2" xfId="45811"/>
    <cellStyle name="Обычный 8 7 3 3 2 2 2" xfId="45812"/>
    <cellStyle name="Обычный 8 7 3 3 2 2 2 2" xfId="45813"/>
    <cellStyle name="Обычный 8 7 3 3 2 2 2 3" xfId="45814"/>
    <cellStyle name="Обычный 8 7 3 3 2 2 3" xfId="45815"/>
    <cellStyle name="Обычный 8 7 3 3 2 2 3 2" xfId="45816"/>
    <cellStyle name="Обычный 8 7 3 3 2 2 3 3" xfId="45817"/>
    <cellStyle name="Обычный 8 7 3 3 2 2 4" xfId="45818"/>
    <cellStyle name="Обычный 8 7 3 3 2 2 4 2" xfId="45819"/>
    <cellStyle name="Обычный 8 7 3 3 2 2 5" xfId="45820"/>
    <cellStyle name="Обычный 8 7 3 3 2 2 6" xfId="45821"/>
    <cellStyle name="Обычный 8 7 3 3 2 3" xfId="45822"/>
    <cellStyle name="Обычный 8 7 3 3 2 3 2" xfId="45823"/>
    <cellStyle name="Обычный 8 7 3 3 2 3 3" xfId="45824"/>
    <cellStyle name="Обычный 8 7 3 3 2 4" xfId="45825"/>
    <cellStyle name="Обычный 8 7 3 3 2 4 2" xfId="45826"/>
    <cellStyle name="Обычный 8 7 3 3 2 4 3" xfId="45827"/>
    <cellStyle name="Обычный 8 7 3 3 2 5" xfId="45828"/>
    <cellStyle name="Обычный 8 7 3 3 2 5 2" xfId="45829"/>
    <cellStyle name="Обычный 8 7 3 3 2 6" xfId="45830"/>
    <cellStyle name="Обычный 8 7 3 3 2 7" xfId="45831"/>
    <cellStyle name="Обычный 8 7 3 3 3" xfId="45832"/>
    <cellStyle name="Обычный 8 7 3 3 3 2" xfId="45833"/>
    <cellStyle name="Обычный 8 7 3 3 3 2 2" xfId="45834"/>
    <cellStyle name="Обычный 8 7 3 3 3 2 3" xfId="45835"/>
    <cellStyle name="Обычный 8 7 3 3 3 3" xfId="45836"/>
    <cellStyle name="Обычный 8 7 3 3 3 3 2" xfId="45837"/>
    <cellStyle name="Обычный 8 7 3 3 3 3 3" xfId="45838"/>
    <cellStyle name="Обычный 8 7 3 3 3 4" xfId="45839"/>
    <cellStyle name="Обычный 8 7 3 3 3 4 2" xfId="45840"/>
    <cellStyle name="Обычный 8 7 3 3 3 5" xfId="45841"/>
    <cellStyle name="Обычный 8 7 3 3 3 6" xfId="45842"/>
    <cellStyle name="Обычный 8 7 3 3 4" xfId="45843"/>
    <cellStyle name="Обычный 8 7 3 3 4 2" xfId="45844"/>
    <cellStyle name="Обычный 8 7 3 3 4 3" xfId="45845"/>
    <cellStyle name="Обычный 8 7 3 3 5" xfId="45846"/>
    <cellStyle name="Обычный 8 7 3 3 5 2" xfId="45847"/>
    <cellStyle name="Обычный 8 7 3 3 5 3" xfId="45848"/>
    <cellStyle name="Обычный 8 7 3 3 6" xfId="45849"/>
    <cellStyle name="Обычный 8 7 3 3 6 2" xfId="45850"/>
    <cellStyle name="Обычный 8 7 3 3 7" xfId="45851"/>
    <cellStyle name="Обычный 8 7 3 3 8" xfId="45852"/>
    <cellStyle name="Обычный 8 7 3 4" xfId="45853"/>
    <cellStyle name="Обычный 8 7 3 4 2" xfId="45854"/>
    <cellStyle name="Обычный 8 7 3 4 2 2" xfId="45855"/>
    <cellStyle name="Обычный 8 7 3 4 2 2 2" xfId="45856"/>
    <cellStyle name="Обычный 8 7 3 4 2 2 3" xfId="45857"/>
    <cellStyle name="Обычный 8 7 3 4 2 3" xfId="45858"/>
    <cellStyle name="Обычный 8 7 3 4 2 3 2" xfId="45859"/>
    <cellStyle name="Обычный 8 7 3 4 2 3 3" xfId="45860"/>
    <cellStyle name="Обычный 8 7 3 4 2 4" xfId="45861"/>
    <cellStyle name="Обычный 8 7 3 4 2 4 2" xfId="45862"/>
    <cellStyle name="Обычный 8 7 3 4 2 5" xfId="45863"/>
    <cellStyle name="Обычный 8 7 3 4 2 6" xfId="45864"/>
    <cellStyle name="Обычный 8 7 3 4 3" xfId="45865"/>
    <cellStyle name="Обычный 8 7 3 4 3 2" xfId="45866"/>
    <cellStyle name="Обычный 8 7 3 4 3 3" xfId="45867"/>
    <cellStyle name="Обычный 8 7 3 4 4" xfId="45868"/>
    <cellStyle name="Обычный 8 7 3 4 4 2" xfId="45869"/>
    <cellStyle name="Обычный 8 7 3 4 4 3" xfId="45870"/>
    <cellStyle name="Обычный 8 7 3 4 5" xfId="45871"/>
    <cellStyle name="Обычный 8 7 3 4 5 2" xfId="45872"/>
    <cellStyle name="Обычный 8 7 3 4 6" xfId="45873"/>
    <cellStyle name="Обычный 8 7 3 4 7" xfId="45874"/>
    <cellStyle name="Обычный 8 7 3 5" xfId="45875"/>
    <cellStyle name="Обычный 8 7 3 5 2" xfId="45876"/>
    <cellStyle name="Обычный 8 7 3 5 2 2" xfId="45877"/>
    <cellStyle name="Обычный 8 7 3 5 2 3" xfId="45878"/>
    <cellStyle name="Обычный 8 7 3 5 3" xfId="45879"/>
    <cellStyle name="Обычный 8 7 3 5 3 2" xfId="45880"/>
    <cellStyle name="Обычный 8 7 3 5 3 3" xfId="45881"/>
    <cellStyle name="Обычный 8 7 3 5 4" xfId="45882"/>
    <cellStyle name="Обычный 8 7 3 5 4 2" xfId="45883"/>
    <cellStyle name="Обычный 8 7 3 5 5" xfId="45884"/>
    <cellStyle name="Обычный 8 7 3 5 6" xfId="45885"/>
    <cellStyle name="Обычный 8 7 3 6" xfId="45886"/>
    <cellStyle name="Обычный 8 7 3 6 2" xfId="45887"/>
    <cellStyle name="Обычный 8 7 3 6 3" xfId="45888"/>
    <cellStyle name="Обычный 8 7 3 7" xfId="45889"/>
    <cellStyle name="Обычный 8 7 3 7 2" xfId="45890"/>
    <cellStyle name="Обычный 8 7 3 7 3" xfId="45891"/>
    <cellStyle name="Обычный 8 7 3 8" xfId="45892"/>
    <cellStyle name="Обычный 8 7 3 8 2" xfId="45893"/>
    <cellStyle name="Обычный 8 7 3 9" xfId="45894"/>
    <cellStyle name="Обычный 8 7 4" xfId="45895"/>
    <cellStyle name="Обычный 8 7 4 10" xfId="45896"/>
    <cellStyle name="Обычный 8 7 4 2" xfId="45897"/>
    <cellStyle name="Обычный 8 7 4 2 2" xfId="45898"/>
    <cellStyle name="Обычный 8 7 4 2 2 2" xfId="45899"/>
    <cellStyle name="Обычный 8 7 4 2 2 2 2" xfId="45900"/>
    <cellStyle name="Обычный 8 7 4 2 2 2 2 2" xfId="45901"/>
    <cellStyle name="Обычный 8 7 4 2 2 2 2 2 2" xfId="45902"/>
    <cellStyle name="Обычный 8 7 4 2 2 2 2 2 3" xfId="45903"/>
    <cellStyle name="Обычный 8 7 4 2 2 2 2 3" xfId="45904"/>
    <cellStyle name="Обычный 8 7 4 2 2 2 2 3 2" xfId="45905"/>
    <cellStyle name="Обычный 8 7 4 2 2 2 2 3 3" xfId="45906"/>
    <cellStyle name="Обычный 8 7 4 2 2 2 2 4" xfId="45907"/>
    <cellStyle name="Обычный 8 7 4 2 2 2 2 4 2" xfId="45908"/>
    <cellStyle name="Обычный 8 7 4 2 2 2 2 5" xfId="45909"/>
    <cellStyle name="Обычный 8 7 4 2 2 2 2 6" xfId="45910"/>
    <cellStyle name="Обычный 8 7 4 2 2 2 3" xfId="45911"/>
    <cellStyle name="Обычный 8 7 4 2 2 2 3 2" xfId="45912"/>
    <cellStyle name="Обычный 8 7 4 2 2 2 3 3" xfId="45913"/>
    <cellStyle name="Обычный 8 7 4 2 2 2 4" xfId="45914"/>
    <cellStyle name="Обычный 8 7 4 2 2 2 4 2" xfId="45915"/>
    <cellStyle name="Обычный 8 7 4 2 2 2 4 3" xfId="45916"/>
    <cellStyle name="Обычный 8 7 4 2 2 2 5" xfId="45917"/>
    <cellStyle name="Обычный 8 7 4 2 2 2 5 2" xfId="45918"/>
    <cellStyle name="Обычный 8 7 4 2 2 2 6" xfId="45919"/>
    <cellStyle name="Обычный 8 7 4 2 2 2 7" xfId="45920"/>
    <cellStyle name="Обычный 8 7 4 2 2 3" xfId="45921"/>
    <cellStyle name="Обычный 8 7 4 2 2 3 2" xfId="45922"/>
    <cellStyle name="Обычный 8 7 4 2 2 3 2 2" xfId="45923"/>
    <cellStyle name="Обычный 8 7 4 2 2 3 2 3" xfId="45924"/>
    <cellStyle name="Обычный 8 7 4 2 2 3 3" xfId="45925"/>
    <cellStyle name="Обычный 8 7 4 2 2 3 3 2" xfId="45926"/>
    <cellStyle name="Обычный 8 7 4 2 2 3 3 3" xfId="45927"/>
    <cellStyle name="Обычный 8 7 4 2 2 3 4" xfId="45928"/>
    <cellStyle name="Обычный 8 7 4 2 2 3 4 2" xfId="45929"/>
    <cellStyle name="Обычный 8 7 4 2 2 3 5" xfId="45930"/>
    <cellStyle name="Обычный 8 7 4 2 2 3 6" xfId="45931"/>
    <cellStyle name="Обычный 8 7 4 2 2 4" xfId="45932"/>
    <cellStyle name="Обычный 8 7 4 2 2 4 2" xfId="45933"/>
    <cellStyle name="Обычный 8 7 4 2 2 4 3" xfId="45934"/>
    <cellStyle name="Обычный 8 7 4 2 2 5" xfId="45935"/>
    <cellStyle name="Обычный 8 7 4 2 2 5 2" xfId="45936"/>
    <cellStyle name="Обычный 8 7 4 2 2 5 3" xfId="45937"/>
    <cellStyle name="Обычный 8 7 4 2 2 6" xfId="45938"/>
    <cellStyle name="Обычный 8 7 4 2 2 6 2" xfId="45939"/>
    <cellStyle name="Обычный 8 7 4 2 2 7" xfId="45940"/>
    <cellStyle name="Обычный 8 7 4 2 2 8" xfId="45941"/>
    <cellStyle name="Обычный 8 7 4 2 3" xfId="45942"/>
    <cellStyle name="Обычный 8 7 4 2 3 2" xfId="45943"/>
    <cellStyle name="Обычный 8 7 4 2 3 2 2" xfId="45944"/>
    <cellStyle name="Обычный 8 7 4 2 3 2 2 2" xfId="45945"/>
    <cellStyle name="Обычный 8 7 4 2 3 2 2 3" xfId="45946"/>
    <cellStyle name="Обычный 8 7 4 2 3 2 3" xfId="45947"/>
    <cellStyle name="Обычный 8 7 4 2 3 2 3 2" xfId="45948"/>
    <cellStyle name="Обычный 8 7 4 2 3 2 3 3" xfId="45949"/>
    <cellStyle name="Обычный 8 7 4 2 3 2 4" xfId="45950"/>
    <cellStyle name="Обычный 8 7 4 2 3 2 4 2" xfId="45951"/>
    <cellStyle name="Обычный 8 7 4 2 3 2 5" xfId="45952"/>
    <cellStyle name="Обычный 8 7 4 2 3 2 6" xfId="45953"/>
    <cellStyle name="Обычный 8 7 4 2 3 3" xfId="45954"/>
    <cellStyle name="Обычный 8 7 4 2 3 3 2" xfId="45955"/>
    <cellStyle name="Обычный 8 7 4 2 3 3 3" xfId="45956"/>
    <cellStyle name="Обычный 8 7 4 2 3 4" xfId="45957"/>
    <cellStyle name="Обычный 8 7 4 2 3 4 2" xfId="45958"/>
    <cellStyle name="Обычный 8 7 4 2 3 4 3" xfId="45959"/>
    <cellStyle name="Обычный 8 7 4 2 3 5" xfId="45960"/>
    <cellStyle name="Обычный 8 7 4 2 3 5 2" xfId="45961"/>
    <cellStyle name="Обычный 8 7 4 2 3 6" xfId="45962"/>
    <cellStyle name="Обычный 8 7 4 2 3 7" xfId="45963"/>
    <cellStyle name="Обычный 8 7 4 2 4" xfId="45964"/>
    <cellStyle name="Обычный 8 7 4 2 4 2" xfId="45965"/>
    <cellStyle name="Обычный 8 7 4 2 4 2 2" xfId="45966"/>
    <cellStyle name="Обычный 8 7 4 2 4 2 3" xfId="45967"/>
    <cellStyle name="Обычный 8 7 4 2 4 3" xfId="45968"/>
    <cellStyle name="Обычный 8 7 4 2 4 3 2" xfId="45969"/>
    <cellStyle name="Обычный 8 7 4 2 4 3 3" xfId="45970"/>
    <cellStyle name="Обычный 8 7 4 2 4 4" xfId="45971"/>
    <cellStyle name="Обычный 8 7 4 2 4 4 2" xfId="45972"/>
    <cellStyle name="Обычный 8 7 4 2 4 5" xfId="45973"/>
    <cellStyle name="Обычный 8 7 4 2 4 6" xfId="45974"/>
    <cellStyle name="Обычный 8 7 4 2 5" xfId="45975"/>
    <cellStyle name="Обычный 8 7 4 2 5 2" xfId="45976"/>
    <cellStyle name="Обычный 8 7 4 2 5 3" xfId="45977"/>
    <cellStyle name="Обычный 8 7 4 2 6" xfId="45978"/>
    <cellStyle name="Обычный 8 7 4 2 6 2" xfId="45979"/>
    <cellStyle name="Обычный 8 7 4 2 6 3" xfId="45980"/>
    <cellStyle name="Обычный 8 7 4 2 7" xfId="45981"/>
    <cellStyle name="Обычный 8 7 4 2 7 2" xfId="45982"/>
    <cellStyle name="Обычный 8 7 4 2 8" xfId="45983"/>
    <cellStyle name="Обычный 8 7 4 2 9" xfId="45984"/>
    <cellStyle name="Обычный 8 7 4 3" xfId="45985"/>
    <cellStyle name="Обычный 8 7 4 3 2" xfId="45986"/>
    <cellStyle name="Обычный 8 7 4 3 2 2" xfId="45987"/>
    <cellStyle name="Обычный 8 7 4 3 2 2 2" xfId="45988"/>
    <cellStyle name="Обычный 8 7 4 3 2 2 2 2" xfId="45989"/>
    <cellStyle name="Обычный 8 7 4 3 2 2 2 3" xfId="45990"/>
    <cellStyle name="Обычный 8 7 4 3 2 2 3" xfId="45991"/>
    <cellStyle name="Обычный 8 7 4 3 2 2 3 2" xfId="45992"/>
    <cellStyle name="Обычный 8 7 4 3 2 2 3 3" xfId="45993"/>
    <cellStyle name="Обычный 8 7 4 3 2 2 4" xfId="45994"/>
    <cellStyle name="Обычный 8 7 4 3 2 2 4 2" xfId="45995"/>
    <cellStyle name="Обычный 8 7 4 3 2 2 5" xfId="45996"/>
    <cellStyle name="Обычный 8 7 4 3 2 2 6" xfId="45997"/>
    <cellStyle name="Обычный 8 7 4 3 2 3" xfId="45998"/>
    <cellStyle name="Обычный 8 7 4 3 2 3 2" xfId="45999"/>
    <cellStyle name="Обычный 8 7 4 3 2 3 3" xfId="46000"/>
    <cellStyle name="Обычный 8 7 4 3 2 4" xfId="46001"/>
    <cellStyle name="Обычный 8 7 4 3 2 4 2" xfId="46002"/>
    <cellStyle name="Обычный 8 7 4 3 2 4 3" xfId="46003"/>
    <cellStyle name="Обычный 8 7 4 3 2 5" xfId="46004"/>
    <cellStyle name="Обычный 8 7 4 3 2 5 2" xfId="46005"/>
    <cellStyle name="Обычный 8 7 4 3 2 6" xfId="46006"/>
    <cellStyle name="Обычный 8 7 4 3 2 7" xfId="46007"/>
    <cellStyle name="Обычный 8 7 4 3 3" xfId="46008"/>
    <cellStyle name="Обычный 8 7 4 3 3 2" xfId="46009"/>
    <cellStyle name="Обычный 8 7 4 3 3 2 2" xfId="46010"/>
    <cellStyle name="Обычный 8 7 4 3 3 2 3" xfId="46011"/>
    <cellStyle name="Обычный 8 7 4 3 3 3" xfId="46012"/>
    <cellStyle name="Обычный 8 7 4 3 3 3 2" xfId="46013"/>
    <cellStyle name="Обычный 8 7 4 3 3 3 3" xfId="46014"/>
    <cellStyle name="Обычный 8 7 4 3 3 4" xfId="46015"/>
    <cellStyle name="Обычный 8 7 4 3 3 4 2" xfId="46016"/>
    <cellStyle name="Обычный 8 7 4 3 3 5" xfId="46017"/>
    <cellStyle name="Обычный 8 7 4 3 3 6" xfId="46018"/>
    <cellStyle name="Обычный 8 7 4 3 4" xfId="46019"/>
    <cellStyle name="Обычный 8 7 4 3 4 2" xfId="46020"/>
    <cellStyle name="Обычный 8 7 4 3 4 3" xfId="46021"/>
    <cellStyle name="Обычный 8 7 4 3 5" xfId="46022"/>
    <cellStyle name="Обычный 8 7 4 3 5 2" xfId="46023"/>
    <cellStyle name="Обычный 8 7 4 3 5 3" xfId="46024"/>
    <cellStyle name="Обычный 8 7 4 3 6" xfId="46025"/>
    <cellStyle name="Обычный 8 7 4 3 6 2" xfId="46026"/>
    <cellStyle name="Обычный 8 7 4 3 7" xfId="46027"/>
    <cellStyle name="Обычный 8 7 4 3 8" xfId="46028"/>
    <cellStyle name="Обычный 8 7 4 4" xfId="46029"/>
    <cellStyle name="Обычный 8 7 4 4 2" xfId="46030"/>
    <cellStyle name="Обычный 8 7 4 4 2 2" xfId="46031"/>
    <cellStyle name="Обычный 8 7 4 4 2 2 2" xfId="46032"/>
    <cellStyle name="Обычный 8 7 4 4 2 2 3" xfId="46033"/>
    <cellStyle name="Обычный 8 7 4 4 2 3" xfId="46034"/>
    <cellStyle name="Обычный 8 7 4 4 2 3 2" xfId="46035"/>
    <cellStyle name="Обычный 8 7 4 4 2 3 3" xfId="46036"/>
    <cellStyle name="Обычный 8 7 4 4 2 4" xfId="46037"/>
    <cellStyle name="Обычный 8 7 4 4 2 4 2" xfId="46038"/>
    <cellStyle name="Обычный 8 7 4 4 2 5" xfId="46039"/>
    <cellStyle name="Обычный 8 7 4 4 2 6" xfId="46040"/>
    <cellStyle name="Обычный 8 7 4 4 3" xfId="46041"/>
    <cellStyle name="Обычный 8 7 4 4 3 2" xfId="46042"/>
    <cellStyle name="Обычный 8 7 4 4 3 3" xfId="46043"/>
    <cellStyle name="Обычный 8 7 4 4 4" xfId="46044"/>
    <cellStyle name="Обычный 8 7 4 4 4 2" xfId="46045"/>
    <cellStyle name="Обычный 8 7 4 4 4 3" xfId="46046"/>
    <cellStyle name="Обычный 8 7 4 4 5" xfId="46047"/>
    <cellStyle name="Обычный 8 7 4 4 5 2" xfId="46048"/>
    <cellStyle name="Обычный 8 7 4 4 6" xfId="46049"/>
    <cellStyle name="Обычный 8 7 4 4 7" xfId="46050"/>
    <cellStyle name="Обычный 8 7 4 5" xfId="46051"/>
    <cellStyle name="Обычный 8 7 4 5 2" xfId="46052"/>
    <cellStyle name="Обычный 8 7 4 5 2 2" xfId="46053"/>
    <cellStyle name="Обычный 8 7 4 5 2 3" xfId="46054"/>
    <cellStyle name="Обычный 8 7 4 5 3" xfId="46055"/>
    <cellStyle name="Обычный 8 7 4 5 3 2" xfId="46056"/>
    <cellStyle name="Обычный 8 7 4 5 3 3" xfId="46057"/>
    <cellStyle name="Обычный 8 7 4 5 4" xfId="46058"/>
    <cellStyle name="Обычный 8 7 4 5 4 2" xfId="46059"/>
    <cellStyle name="Обычный 8 7 4 5 5" xfId="46060"/>
    <cellStyle name="Обычный 8 7 4 5 6" xfId="46061"/>
    <cellStyle name="Обычный 8 7 4 6" xfId="46062"/>
    <cellStyle name="Обычный 8 7 4 6 2" xfId="46063"/>
    <cellStyle name="Обычный 8 7 4 6 3" xfId="46064"/>
    <cellStyle name="Обычный 8 7 4 7" xfId="46065"/>
    <cellStyle name="Обычный 8 7 4 7 2" xfId="46066"/>
    <cellStyle name="Обычный 8 7 4 7 3" xfId="46067"/>
    <cellStyle name="Обычный 8 7 4 8" xfId="46068"/>
    <cellStyle name="Обычный 8 7 4 8 2" xfId="46069"/>
    <cellStyle name="Обычный 8 7 4 9" xfId="46070"/>
    <cellStyle name="Обычный 8 7 5" xfId="46071"/>
    <cellStyle name="Обычный 8 7 5 10" xfId="46072"/>
    <cellStyle name="Обычный 8 7 5 2" xfId="46073"/>
    <cellStyle name="Обычный 8 7 5 2 2" xfId="46074"/>
    <cellStyle name="Обычный 8 7 5 2 2 2" xfId="46075"/>
    <cellStyle name="Обычный 8 7 5 2 2 2 2" xfId="46076"/>
    <cellStyle name="Обычный 8 7 5 2 2 2 2 2" xfId="46077"/>
    <cellStyle name="Обычный 8 7 5 2 2 2 2 2 2" xfId="46078"/>
    <cellStyle name="Обычный 8 7 5 2 2 2 2 2 3" xfId="46079"/>
    <cellStyle name="Обычный 8 7 5 2 2 2 2 3" xfId="46080"/>
    <cellStyle name="Обычный 8 7 5 2 2 2 2 3 2" xfId="46081"/>
    <cellStyle name="Обычный 8 7 5 2 2 2 2 3 3" xfId="46082"/>
    <cellStyle name="Обычный 8 7 5 2 2 2 2 4" xfId="46083"/>
    <cellStyle name="Обычный 8 7 5 2 2 2 2 4 2" xfId="46084"/>
    <cellStyle name="Обычный 8 7 5 2 2 2 2 5" xfId="46085"/>
    <cellStyle name="Обычный 8 7 5 2 2 2 2 6" xfId="46086"/>
    <cellStyle name="Обычный 8 7 5 2 2 2 3" xfId="46087"/>
    <cellStyle name="Обычный 8 7 5 2 2 2 3 2" xfId="46088"/>
    <cellStyle name="Обычный 8 7 5 2 2 2 3 3" xfId="46089"/>
    <cellStyle name="Обычный 8 7 5 2 2 2 4" xfId="46090"/>
    <cellStyle name="Обычный 8 7 5 2 2 2 4 2" xfId="46091"/>
    <cellStyle name="Обычный 8 7 5 2 2 2 4 3" xfId="46092"/>
    <cellStyle name="Обычный 8 7 5 2 2 2 5" xfId="46093"/>
    <cellStyle name="Обычный 8 7 5 2 2 2 5 2" xfId="46094"/>
    <cellStyle name="Обычный 8 7 5 2 2 2 6" xfId="46095"/>
    <cellStyle name="Обычный 8 7 5 2 2 2 7" xfId="46096"/>
    <cellStyle name="Обычный 8 7 5 2 2 3" xfId="46097"/>
    <cellStyle name="Обычный 8 7 5 2 2 3 2" xfId="46098"/>
    <cellStyle name="Обычный 8 7 5 2 2 3 2 2" xfId="46099"/>
    <cellStyle name="Обычный 8 7 5 2 2 3 2 3" xfId="46100"/>
    <cellStyle name="Обычный 8 7 5 2 2 3 3" xfId="46101"/>
    <cellStyle name="Обычный 8 7 5 2 2 3 3 2" xfId="46102"/>
    <cellStyle name="Обычный 8 7 5 2 2 3 3 3" xfId="46103"/>
    <cellStyle name="Обычный 8 7 5 2 2 3 4" xfId="46104"/>
    <cellStyle name="Обычный 8 7 5 2 2 3 4 2" xfId="46105"/>
    <cellStyle name="Обычный 8 7 5 2 2 3 5" xfId="46106"/>
    <cellStyle name="Обычный 8 7 5 2 2 3 6" xfId="46107"/>
    <cellStyle name="Обычный 8 7 5 2 2 4" xfId="46108"/>
    <cellStyle name="Обычный 8 7 5 2 2 4 2" xfId="46109"/>
    <cellStyle name="Обычный 8 7 5 2 2 4 3" xfId="46110"/>
    <cellStyle name="Обычный 8 7 5 2 2 5" xfId="46111"/>
    <cellStyle name="Обычный 8 7 5 2 2 5 2" xfId="46112"/>
    <cellStyle name="Обычный 8 7 5 2 2 5 3" xfId="46113"/>
    <cellStyle name="Обычный 8 7 5 2 2 6" xfId="46114"/>
    <cellStyle name="Обычный 8 7 5 2 2 6 2" xfId="46115"/>
    <cellStyle name="Обычный 8 7 5 2 2 7" xfId="46116"/>
    <cellStyle name="Обычный 8 7 5 2 2 8" xfId="46117"/>
    <cellStyle name="Обычный 8 7 5 2 3" xfId="46118"/>
    <cellStyle name="Обычный 8 7 5 2 3 2" xfId="46119"/>
    <cellStyle name="Обычный 8 7 5 2 3 2 2" xfId="46120"/>
    <cellStyle name="Обычный 8 7 5 2 3 2 2 2" xfId="46121"/>
    <cellStyle name="Обычный 8 7 5 2 3 2 2 3" xfId="46122"/>
    <cellStyle name="Обычный 8 7 5 2 3 2 3" xfId="46123"/>
    <cellStyle name="Обычный 8 7 5 2 3 2 3 2" xfId="46124"/>
    <cellStyle name="Обычный 8 7 5 2 3 2 3 3" xfId="46125"/>
    <cellStyle name="Обычный 8 7 5 2 3 2 4" xfId="46126"/>
    <cellStyle name="Обычный 8 7 5 2 3 2 4 2" xfId="46127"/>
    <cellStyle name="Обычный 8 7 5 2 3 2 5" xfId="46128"/>
    <cellStyle name="Обычный 8 7 5 2 3 2 6" xfId="46129"/>
    <cellStyle name="Обычный 8 7 5 2 3 3" xfId="46130"/>
    <cellStyle name="Обычный 8 7 5 2 3 3 2" xfId="46131"/>
    <cellStyle name="Обычный 8 7 5 2 3 3 3" xfId="46132"/>
    <cellStyle name="Обычный 8 7 5 2 3 4" xfId="46133"/>
    <cellStyle name="Обычный 8 7 5 2 3 4 2" xfId="46134"/>
    <cellStyle name="Обычный 8 7 5 2 3 4 3" xfId="46135"/>
    <cellStyle name="Обычный 8 7 5 2 3 5" xfId="46136"/>
    <cellStyle name="Обычный 8 7 5 2 3 5 2" xfId="46137"/>
    <cellStyle name="Обычный 8 7 5 2 3 6" xfId="46138"/>
    <cellStyle name="Обычный 8 7 5 2 3 7" xfId="46139"/>
    <cellStyle name="Обычный 8 7 5 2 4" xfId="46140"/>
    <cellStyle name="Обычный 8 7 5 2 4 2" xfId="46141"/>
    <cellStyle name="Обычный 8 7 5 2 4 2 2" xfId="46142"/>
    <cellStyle name="Обычный 8 7 5 2 4 2 3" xfId="46143"/>
    <cellStyle name="Обычный 8 7 5 2 4 3" xfId="46144"/>
    <cellStyle name="Обычный 8 7 5 2 4 3 2" xfId="46145"/>
    <cellStyle name="Обычный 8 7 5 2 4 3 3" xfId="46146"/>
    <cellStyle name="Обычный 8 7 5 2 4 4" xfId="46147"/>
    <cellStyle name="Обычный 8 7 5 2 4 4 2" xfId="46148"/>
    <cellStyle name="Обычный 8 7 5 2 4 5" xfId="46149"/>
    <cellStyle name="Обычный 8 7 5 2 4 6" xfId="46150"/>
    <cellStyle name="Обычный 8 7 5 2 5" xfId="46151"/>
    <cellStyle name="Обычный 8 7 5 2 5 2" xfId="46152"/>
    <cellStyle name="Обычный 8 7 5 2 5 3" xfId="46153"/>
    <cellStyle name="Обычный 8 7 5 2 6" xfId="46154"/>
    <cellStyle name="Обычный 8 7 5 2 6 2" xfId="46155"/>
    <cellStyle name="Обычный 8 7 5 2 6 3" xfId="46156"/>
    <cellStyle name="Обычный 8 7 5 2 7" xfId="46157"/>
    <cellStyle name="Обычный 8 7 5 2 7 2" xfId="46158"/>
    <cellStyle name="Обычный 8 7 5 2 8" xfId="46159"/>
    <cellStyle name="Обычный 8 7 5 2 9" xfId="46160"/>
    <cellStyle name="Обычный 8 7 5 3" xfId="46161"/>
    <cellStyle name="Обычный 8 7 5 3 2" xfId="46162"/>
    <cellStyle name="Обычный 8 7 5 3 2 2" xfId="46163"/>
    <cellStyle name="Обычный 8 7 5 3 2 2 2" xfId="46164"/>
    <cellStyle name="Обычный 8 7 5 3 2 2 2 2" xfId="46165"/>
    <cellStyle name="Обычный 8 7 5 3 2 2 2 3" xfId="46166"/>
    <cellStyle name="Обычный 8 7 5 3 2 2 3" xfId="46167"/>
    <cellStyle name="Обычный 8 7 5 3 2 2 3 2" xfId="46168"/>
    <cellStyle name="Обычный 8 7 5 3 2 2 3 3" xfId="46169"/>
    <cellStyle name="Обычный 8 7 5 3 2 2 4" xfId="46170"/>
    <cellStyle name="Обычный 8 7 5 3 2 2 4 2" xfId="46171"/>
    <cellStyle name="Обычный 8 7 5 3 2 2 5" xfId="46172"/>
    <cellStyle name="Обычный 8 7 5 3 2 2 6" xfId="46173"/>
    <cellStyle name="Обычный 8 7 5 3 2 3" xfId="46174"/>
    <cellStyle name="Обычный 8 7 5 3 2 3 2" xfId="46175"/>
    <cellStyle name="Обычный 8 7 5 3 2 3 3" xfId="46176"/>
    <cellStyle name="Обычный 8 7 5 3 2 4" xfId="46177"/>
    <cellStyle name="Обычный 8 7 5 3 2 4 2" xfId="46178"/>
    <cellStyle name="Обычный 8 7 5 3 2 4 3" xfId="46179"/>
    <cellStyle name="Обычный 8 7 5 3 2 5" xfId="46180"/>
    <cellStyle name="Обычный 8 7 5 3 2 5 2" xfId="46181"/>
    <cellStyle name="Обычный 8 7 5 3 2 6" xfId="46182"/>
    <cellStyle name="Обычный 8 7 5 3 2 7" xfId="46183"/>
    <cellStyle name="Обычный 8 7 5 3 3" xfId="46184"/>
    <cellStyle name="Обычный 8 7 5 3 3 2" xfId="46185"/>
    <cellStyle name="Обычный 8 7 5 3 3 2 2" xfId="46186"/>
    <cellStyle name="Обычный 8 7 5 3 3 2 3" xfId="46187"/>
    <cellStyle name="Обычный 8 7 5 3 3 3" xfId="46188"/>
    <cellStyle name="Обычный 8 7 5 3 3 3 2" xfId="46189"/>
    <cellStyle name="Обычный 8 7 5 3 3 3 3" xfId="46190"/>
    <cellStyle name="Обычный 8 7 5 3 3 4" xfId="46191"/>
    <cellStyle name="Обычный 8 7 5 3 3 4 2" xfId="46192"/>
    <cellStyle name="Обычный 8 7 5 3 3 5" xfId="46193"/>
    <cellStyle name="Обычный 8 7 5 3 3 6" xfId="46194"/>
    <cellStyle name="Обычный 8 7 5 3 4" xfId="46195"/>
    <cellStyle name="Обычный 8 7 5 3 4 2" xfId="46196"/>
    <cellStyle name="Обычный 8 7 5 3 4 3" xfId="46197"/>
    <cellStyle name="Обычный 8 7 5 3 5" xfId="46198"/>
    <cellStyle name="Обычный 8 7 5 3 5 2" xfId="46199"/>
    <cellStyle name="Обычный 8 7 5 3 5 3" xfId="46200"/>
    <cellStyle name="Обычный 8 7 5 3 6" xfId="46201"/>
    <cellStyle name="Обычный 8 7 5 3 6 2" xfId="46202"/>
    <cellStyle name="Обычный 8 7 5 3 7" xfId="46203"/>
    <cellStyle name="Обычный 8 7 5 3 8" xfId="46204"/>
    <cellStyle name="Обычный 8 7 5 4" xfId="46205"/>
    <cellStyle name="Обычный 8 7 5 4 2" xfId="46206"/>
    <cellStyle name="Обычный 8 7 5 4 2 2" xfId="46207"/>
    <cellStyle name="Обычный 8 7 5 4 2 2 2" xfId="46208"/>
    <cellStyle name="Обычный 8 7 5 4 2 2 3" xfId="46209"/>
    <cellStyle name="Обычный 8 7 5 4 2 3" xfId="46210"/>
    <cellStyle name="Обычный 8 7 5 4 2 3 2" xfId="46211"/>
    <cellStyle name="Обычный 8 7 5 4 2 3 3" xfId="46212"/>
    <cellStyle name="Обычный 8 7 5 4 2 4" xfId="46213"/>
    <cellStyle name="Обычный 8 7 5 4 2 4 2" xfId="46214"/>
    <cellStyle name="Обычный 8 7 5 4 2 5" xfId="46215"/>
    <cellStyle name="Обычный 8 7 5 4 2 6" xfId="46216"/>
    <cellStyle name="Обычный 8 7 5 4 3" xfId="46217"/>
    <cellStyle name="Обычный 8 7 5 4 3 2" xfId="46218"/>
    <cellStyle name="Обычный 8 7 5 4 3 3" xfId="46219"/>
    <cellStyle name="Обычный 8 7 5 4 4" xfId="46220"/>
    <cellStyle name="Обычный 8 7 5 4 4 2" xfId="46221"/>
    <cellStyle name="Обычный 8 7 5 4 4 3" xfId="46222"/>
    <cellStyle name="Обычный 8 7 5 4 5" xfId="46223"/>
    <cellStyle name="Обычный 8 7 5 4 5 2" xfId="46224"/>
    <cellStyle name="Обычный 8 7 5 4 6" xfId="46225"/>
    <cellStyle name="Обычный 8 7 5 4 7" xfId="46226"/>
    <cellStyle name="Обычный 8 7 5 5" xfId="46227"/>
    <cellStyle name="Обычный 8 7 5 5 2" xfId="46228"/>
    <cellStyle name="Обычный 8 7 5 5 2 2" xfId="46229"/>
    <cellStyle name="Обычный 8 7 5 5 2 3" xfId="46230"/>
    <cellStyle name="Обычный 8 7 5 5 3" xfId="46231"/>
    <cellStyle name="Обычный 8 7 5 5 3 2" xfId="46232"/>
    <cellStyle name="Обычный 8 7 5 5 3 3" xfId="46233"/>
    <cellStyle name="Обычный 8 7 5 5 4" xfId="46234"/>
    <cellStyle name="Обычный 8 7 5 5 4 2" xfId="46235"/>
    <cellStyle name="Обычный 8 7 5 5 5" xfId="46236"/>
    <cellStyle name="Обычный 8 7 5 5 6" xfId="46237"/>
    <cellStyle name="Обычный 8 7 5 6" xfId="46238"/>
    <cellStyle name="Обычный 8 7 5 6 2" xfId="46239"/>
    <cellStyle name="Обычный 8 7 5 6 3" xfId="46240"/>
    <cellStyle name="Обычный 8 7 5 7" xfId="46241"/>
    <cellStyle name="Обычный 8 7 5 7 2" xfId="46242"/>
    <cellStyle name="Обычный 8 7 5 7 3" xfId="46243"/>
    <cellStyle name="Обычный 8 7 5 8" xfId="46244"/>
    <cellStyle name="Обычный 8 7 5 8 2" xfId="46245"/>
    <cellStyle name="Обычный 8 7 5 9" xfId="46246"/>
    <cellStyle name="Обычный 8 7 6" xfId="46247"/>
    <cellStyle name="Обычный 8 7 6 2" xfId="46248"/>
    <cellStyle name="Обычный 8 7 6 2 2" xfId="46249"/>
    <cellStyle name="Обычный 8 7 6 2 2 2" xfId="46250"/>
    <cellStyle name="Обычный 8 7 6 2 2 2 2" xfId="46251"/>
    <cellStyle name="Обычный 8 7 6 2 2 2 2 2" xfId="46252"/>
    <cellStyle name="Обычный 8 7 6 2 2 2 2 3" xfId="46253"/>
    <cellStyle name="Обычный 8 7 6 2 2 2 3" xfId="46254"/>
    <cellStyle name="Обычный 8 7 6 2 2 2 3 2" xfId="46255"/>
    <cellStyle name="Обычный 8 7 6 2 2 2 3 3" xfId="46256"/>
    <cellStyle name="Обычный 8 7 6 2 2 2 4" xfId="46257"/>
    <cellStyle name="Обычный 8 7 6 2 2 2 4 2" xfId="46258"/>
    <cellStyle name="Обычный 8 7 6 2 2 2 5" xfId="46259"/>
    <cellStyle name="Обычный 8 7 6 2 2 2 6" xfId="46260"/>
    <cellStyle name="Обычный 8 7 6 2 2 3" xfId="46261"/>
    <cellStyle name="Обычный 8 7 6 2 2 3 2" xfId="46262"/>
    <cellStyle name="Обычный 8 7 6 2 2 3 3" xfId="46263"/>
    <cellStyle name="Обычный 8 7 6 2 2 4" xfId="46264"/>
    <cellStyle name="Обычный 8 7 6 2 2 4 2" xfId="46265"/>
    <cellStyle name="Обычный 8 7 6 2 2 4 3" xfId="46266"/>
    <cellStyle name="Обычный 8 7 6 2 2 5" xfId="46267"/>
    <cellStyle name="Обычный 8 7 6 2 2 5 2" xfId="46268"/>
    <cellStyle name="Обычный 8 7 6 2 2 6" xfId="46269"/>
    <cellStyle name="Обычный 8 7 6 2 2 7" xfId="46270"/>
    <cellStyle name="Обычный 8 7 6 2 3" xfId="46271"/>
    <cellStyle name="Обычный 8 7 6 2 3 2" xfId="46272"/>
    <cellStyle name="Обычный 8 7 6 2 3 2 2" xfId="46273"/>
    <cellStyle name="Обычный 8 7 6 2 3 2 3" xfId="46274"/>
    <cellStyle name="Обычный 8 7 6 2 3 3" xfId="46275"/>
    <cellStyle name="Обычный 8 7 6 2 3 3 2" xfId="46276"/>
    <cellStyle name="Обычный 8 7 6 2 3 3 3" xfId="46277"/>
    <cellStyle name="Обычный 8 7 6 2 3 4" xfId="46278"/>
    <cellStyle name="Обычный 8 7 6 2 3 4 2" xfId="46279"/>
    <cellStyle name="Обычный 8 7 6 2 3 5" xfId="46280"/>
    <cellStyle name="Обычный 8 7 6 2 3 6" xfId="46281"/>
    <cellStyle name="Обычный 8 7 6 2 4" xfId="46282"/>
    <cellStyle name="Обычный 8 7 6 2 4 2" xfId="46283"/>
    <cellStyle name="Обычный 8 7 6 2 4 3" xfId="46284"/>
    <cellStyle name="Обычный 8 7 6 2 5" xfId="46285"/>
    <cellStyle name="Обычный 8 7 6 2 5 2" xfId="46286"/>
    <cellStyle name="Обычный 8 7 6 2 5 3" xfId="46287"/>
    <cellStyle name="Обычный 8 7 6 2 6" xfId="46288"/>
    <cellStyle name="Обычный 8 7 6 2 6 2" xfId="46289"/>
    <cellStyle name="Обычный 8 7 6 2 7" xfId="46290"/>
    <cellStyle name="Обычный 8 7 6 2 8" xfId="46291"/>
    <cellStyle name="Обычный 8 7 6 3" xfId="46292"/>
    <cellStyle name="Обычный 8 7 6 3 2" xfId="46293"/>
    <cellStyle name="Обычный 8 7 6 3 2 2" xfId="46294"/>
    <cellStyle name="Обычный 8 7 6 3 2 2 2" xfId="46295"/>
    <cellStyle name="Обычный 8 7 6 3 2 2 3" xfId="46296"/>
    <cellStyle name="Обычный 8 7 6 3 2 3" xfId="46297"/>
    <cellStyle name="Обычный 8 7 6 3 2 3 2" xfId="46298"/>
    <cellStyle name="Обычный 8 7 6 3 2 3 3" xfId="46299"/>
    <cellStyle name="Обычный 8 7 6 3 2 4" xfId="46300"/>
    <cellStyle name="Обычный 8 7 6 3 2 4 2" xfId="46301"/>
    <cellStyle name="Обычный 8 7 6 3 2 5" xfId="46302"/>
    <cellStyle name="Обычный 8 7 6 3 2 6" xfId="46303"/>
    <cellStyle name="Обычный 8 7 6 3 3" xfId="46304"/>
    <cellStyle name="Обычный 8 7 6 3 3 2" xfId="46305"/>
    <cellStyle name="Обычный 8 7 6 3 3 3" xfId="46306"/>
    <cellStyle name="Обычный 8 7 6 3 4" xfId="46307"/>
    <cellStyle name="Обычный 8 7 6 3 4 2" xfId="46308"/>
    <cellStyle name="Обычный 8 7 6 3 4 3" xfId="46309"/>
    <cellStyle name="Обычный 8 7 6 3 5" xfId="46310"/>
    <cellStyle name="Обычный 8 7 6 3 5 2" xfId="46311"/>
    <cellStyle name="Обычный 8 7 6 3 6" xfId="46312"/>
    <cellStyle name="Обычный 8 7 6 3 7" xfId="46313"/>
    <cellStyle name="Обычный 8 7 6 4" xfId="46314"/>
    <cellStyle name="Обычный 8 7 6 4 2" xfId="46315"/>
    <cellStyle name="Обычный 8 7 6 4 2 2" xfId="46316"/>
    <cellStyle name="Обычный 8 7 6 4 2 3" xfId="46317"/>
    <cellStyle name="Обычный 8 7 6 4 3" xfId="46318"/>
    <cellStyle name="Обычный 8 7 6 4 3 2" xfId="46319"/>
    <cellStyle name="Обычный 8 7 6 4 3 3" xfId="46320"/>
    <cellStyle name="Обычный 8 7 6 4 4" xfId="46321"/>
    <cellStyle name="Обычный 8 7 6 4 4 2" xfId="46322"/>
    <cellStyle name="Обычный 8 7 6 4 5" xfId="46323"/>
    <cellStyle name="Обычный 8 7 6 4 6" xfId="46324"/>
    <cellStyle name="Обычный 8 7 6 5" xfId="46325"/>
    <cellStyle name="Обычный 8 7 6 5 2" xfId="46326"/>
    <cellStyle name="Обычный 8 7 6 5 3" xfId="46327"/>
    <cellStyle name="Обычный 8 7 6 6" xfId="46328"/>
    <cellStyle name="Обычный 8 7 6 6 2" xfId="46329"/>
    <cellStyle name="Обычный 8 7 6 6 3" xfId="46330"/>
    <cellStyle name="Обычный 8 7 6 7" xfId="46331"/>
    <cellStyle name="Обычный 8 7 6 7 2" xfId="46332"/>
    <cellStyle name="Обычный 8 7 6 8" xfId="46333"/>
    <cellStyle name="Обычный 8 7 6 9" xfId="46334"/>
    <cellStyle name="Обычный 8 7 7" xfId="46335"/>
    <cellStyle name="Обычный 8 7 7 2" xfId="46336"/>
    <cellStyle name="Обычный 8 7 7 2 2" xfId="46337"/>
    <cellStyle name="Обычный 8 7 7 2 2 2" xfId="46338"/>
    <cellStyle name="Обычный 8 7 7 2 2 2 2" xfId="46339"/>
    <cellStyle name="Обычный 8 7 7 2 2 2 3" xfId="46340"/>
    <cellStyle name="Обычный 8 7 7 2 2 3" xfId="46341"/>
    <cellStyle name="Обычный 8 7 7 2 2 3 2" xfId="46342"/>
    <cellStyle name="Обычный 8 7 7 2 2 3 3" xfId="46343"/>
    <cellStyle name="Обычный 8 7 7 2 2 4" xfId="46344"/>
    <cellStyle name="Обычный 8 7 7 2 2 4 2" xfId="46345"/>
    <cellStyle name="Обычный 8 7 7 2 2 5" xfId="46346"/>
    <cellStyle name="Обычный 8 7 7 2 2 6" xfId="46347"/>
    <cellStyle name="Обычный 8 7 7 2 3" xfId="46348"/>
    <cellStyle name="Обычный 8 7 7 2 3 2" xfId="46349"/>
    <cellStyle name="Обычный 8 7 7 2 3 3" xfId="46350"/>
    <cellStyle name="Обычный 8 7 7 2 4" xfId="46351"/>
    <cellStyle name="Обычный 8 7 7 2 4 2" xfId="46352"/>
    <cellStyle name="Обычный 8 7 7 2 4 3" xfId="46353"/>
    <cellStyle name="Обычный 8 7 7 2 5" xfId="46354"/>
    <cellStyle name="Обычный 8 7 7 2 5 2" xfId="46355"/>
    <cellStyle name="Обычный 8 7 7 2 6" xfId="46356"/>
    <cellStyle name="Обычный 8 7 7 2 7" xfId="46357"/>
    <cellStyle name="Обычный 8 7 7 3" xfId="46358"/>
    <cellStyle name="Обычный 8 7 7 3 2" xfId="46359"/>
    <cellStyle name="Обычный 8 7 7 3 2 2" xfId="46360"/>
    <cellStyle name="Обычный 8 7 7 3 2 3" xfId="46361"/>
    <cellStyle name="Обычный 8 7 7 3 3" xfId="46362"/>
    <cellStyle name="Обычный 8 7 7 3 3 2" xfId="46363"/>
    <cellStyle name="Обычный 8 7 7 3 3 3" xfId="46364"/>
    <cellStyle name="Обычный 8 7 7 3 4" xfId="46365"/>
    <cellStyle name="Обычный 8 7 7 3 4 2" xfId="46366"/>
    <cellStyle name="Обычный 8 7 7 3 5" xfId="46367"/>
    <cellStyle name="Обычный 8 7 7 3 6" xfId="46368"/>
    <cellStyle name="Обычный 8 7 7 4" xfId="46369"/>
    <cellStyle name="Обычный 8 7 7 4 2" xfId="46370"/>
    <cellStyle name="Обычный 8 7 7 4 3" xfId="46371"/>
    <cellStyle name="Обычный 8 7 7 5" xfId="46372"/>
    <cellStyle name="Обычный 8 7 7 5 2" xfId="46373"/>
    <cellStyle name="Обычный 8 7 7 5 3" xfId="46374"/>
    <cellStyle name="Обычный 8 7 7 6" xfId="46375"/>
    <cellStyle name="Обычный 8 7 7 6 2" xfId="46376"/>
    <cellStyle name="Обычный 8 7 7 7" xfId="46377"/>
    <cellStyle name="Обычный 8 7 7 8" xfId="46378"/>
    <cellStyle name="Обычный 8 7 8" xfId="46379"/>
    <cellStyle name="Обычный 8 7 8 2" xfId="46380"/>
    <cellStyle name="Обычный 8 7 8 2 2" xfId="46381"/>
    <cellStyle name="Обычный 8 7 8 2 2 2" xfId="46382"/>
    <cellStyle name="Обычный 8 7 8 2 2 3" xfId="46383"/>
    <cellStyle name="Обычный 8 7 8 2 3" xfId="46384"/>
    <cellStyle name="Обычный 8 7 8 2 3 2" xfId="46385"/>
    <cellStyle name="Обычный 8 7 8 2 3 3" xfId="46386"/>
    <cellStyle name="Обычный 8 7 8 2 4" xfId="46387"/>
    <cellStyle name="Обычный 8 7 8 2 4 2" xfId="46388"/>
    <cellStyle name="Обычный 8 7 8 2 5" xfId="46389"/>
    <cellStyle name="Обычный 8 7 8 2 6" xfId="46390"/>
    <cellStyle name="Обычный 8 7 8 3" xfId="46391"/>
    <cellStyle name="Обычный 8 7 8 3 2" xfId="46392"/>
    <cellStyle name="Обычный 8 7 8 3 3" xfId="46393"/>
    <cellStyle name="Обычный 8 7 8 4" xfId="46394"/>
    <cellStyle name="Обычный 8 7 8 4 2" xfId="46395"/>
    <cellStyle name="Обычный 8 7 8 4 3" xfId="46396"/>
    <cellStyle name="Обычный 8 7 8 5" xfId="46397"/>
    <cellStyle name="Обычный 8 7 8 5 2" xfId="46398"/>
    <cellStyle name="Обычный 8 7 8 6" xfId="46399"/>
    <cellStyle name="Обычный 8 7 8 7" xfId="46400"/>
    <cellStyle name="Обычный 8 7 9" xfId="46401"/>
    <cellStyle name="Обычный 8 7 9 2" xfId="46402"/>
    <cellStyle name="Обычный 8 7 9 2 2" xfId="46403"/>
    <cellStyle name="Обычный 8 7 9 2 3" xfId="46404"/>
    <cellStyle name="Обычный 8 7 9 3" xfId="46405"/>
    <cellStyle name="Обычный 8 7 9 3 2" xfId="46406"/>
    <cellStyle name="Обычный 8 7 9 3 3" xfId="46407"/>
    <cellStyle name="Обычный 8 7 9 4" xfId="46408"/>
    <cellStyle name="Обычный 8 7 9 4 2" xfId="46409"/>
    <cellStyle name="Обычный 8 7 9 5" xfId="46410"/>
    <cellStyle name="Обычный 8 7 9 6" xfId="46411"/>
    <cellStyle name="Обычный 8 8" xfId="46412"/>
    <cellStyle name="Обычный 8 8 10" xfId="46413"/>
    <cellStyle name="Обычный 8 8 10 2" xfId="46414"/>
    <cellStyle name="Обычный 8 8 10 3" xfId="46415"/>
    <cellStyle name="Обычный 8 8 11" xfId="46416"/>
    <cellStyle name="Обычный 8 8 11 2" xfId="46417"/>
    <cellStyle name="Обычный 8 8 11 3" xfId="46418"/>
    <cellStyle name="Обычный 8 8 12" xfId="46419"/>
    <cellStyle name="Обычный 8 8 12 2" xfId="46420"/>
    <cellStyle name="Обычный 8 8 13" xfId="46421"/>
    <cellStyle name="Обычный 8 8 14" xfId="46422"/>
    <cellStyle name="Обычный 8 8 2" xfId="46423"/>
    <cellStyle name="Обычный 8 8 2 10" xfId="46424"/>
    <cellStyle name="Обычный 8 8 2 10 2" xfId="46425"/>
    <cellStyle name="Обычный 8 8 2 10 3" xfId="46426"/>
    <cellStyle name="Обычный 8 8 2 11" xfId="46427"/>
    <cellStyle name="Обычный 8 8 2 11 2" xfId="46428"/>
    <cellStyle name="Обычный 8 8 2 12" xfId="46429"/>
    <cellStyle name="Обычный 8 8 2 13" xfId="46430"/>
    <cellStyle name="Обычный 8 8 2 2" xfId="46431"/>
    <cellStyle name="Обычный 8 8 2 2 10" xfId="46432"/>
    <cellStyle name="Обычный 8 8 2 2 2" xfId="46433"/>
    <cellStyle name="Обычный 8 8 2 2 2 2" xfId="46434"/>
    <cellStyle name="Обычный 8 8 2 2 2 2 2" xfId="46435"/>
    <cellStyle name="Обычный 8 8 2 2 2 2 2 2" xfId="46436"/>
    <cellStyle name="Обычный 8 8 2 2 2 2 2 2 2" xfId="46437"/>
    <cellStyle name="Обычный 8 8 2 2 2 2 2 2 2 2" xfId="46438"/>
    <cellStyle name="Обычный 8 8 2 2 2 2 2 2 2 3" xfId="46439"/>
    <cellStyle name="Обычный 8 8 2 2 2 2 2 2 3" xfId="46440"/>
    <cellStyle name="Обычный 8 8 2 2 2 2 2 2 3 2" xfId="46441"/>
    <cellStyle name="Обычный 8 8 2 2 2 2 2 2 3 3" xfId="46442"/>
    <cellStyle name="Обычный 8 8 2 2 2 2 2 2 4" xfId="46443"/>
    <cellStyle name="Обычный 8 8 2 2 2 2 2 2 4 2" xfId="46444"/>
    <cellStyle name="Обычный 8 8 2 2 2 2 2 2 5" xfId="46445"/>
    <cellStyle name="Обычный 8 8 2 2 2 2 2 2 6" xfId="46446"/>
    <cellStyle name="Обычный 8 8 2 2 2 2 2 3" xfId="46447"/>
    <cellStyle name="Обычный 8 8 2 2 2 2 2 3 2" xfId="46448"/>
    <cellStyle name="Обычный 8 8 2 2 2 2 2 3 3" xfId="46449"/>
    <cellStyle name="Обычный 8 8 2 2 2 2 2 4" xfId="46450"/>
    <cellStyle name="Обычный 8 8 2 2 2 2 2 4 2" xfId="46451"/>
    <cellStyle name="Обычный 8 8 2 2 2 2 2 4 3" xfId="46452"/>
    <cellStyle name="Обычный 8 8 2 2 2 2 2 5" xfId="46453"/>
    <cellStyle name="Обычный 8 8 2 2 2 2 2 5 2" xfId="46454"/>
    <cellStyle name="Обычный 8 8 2 2 2 2 2 6" xfId="46455"/>
    <cellStyle name="Обычный 8 8 2 2 2 2 2 7" xfId="46456"/>
    <cellStyle name="Обычный 8 8 2 2 2 2 3" xfId="46457"/>
    <cellStyle name="Обычный 8 8 2 2 2 2 3 2" xfId="46458"/>
    <cellStyle name="Обычный 8 8 2 2 2 2 3 2 2" xfId="46459"/>
    <cellStyle name="Обычный 8 8 2 2 2 2 3 2 3" xfId="46460"/>
    <cellStyle name="Обычный 8 8 2 2 2 2 3 3" xfId="46461"/>
    <cellStyle name="Обычный 8 8 2 2 2 2 3 3 2" xfId="46462"/>
    <cellStyle name="Обычный 8 8 2 2 2 2 3 3 3" xfId="46463"/>
    <cellStyle name="Обычный 8 8 2 2 2 2 3 4" xfId="46464"/>
    <cellStyle name="Обычный 8 8 2 2 2 2 3 4 2" xfId="46465"/>
    <cellStyle name="Обычный 8 8 2 2 2 2 3 5" xfId="46466"/>
    <cellStyle name="Обычный 8 8 2 2 2 2 3 6" xfId="46467"/>
    <cellStyle name="Обычный 8 8 2 2 2 2 4" xfId="46468"/>
    <cellStyle name="Обычный 8 8 2 2 2 2 4 2" xfId="46469"/>
    <cellStyle name="Обычный 8 8 2 2 2 2 4 3" xfId="46470"/>
    <cellStyle name="Обычный 8 8 2 2 2 2 5" xfId="46471"/>
    <cellStyle name="Обычный 8 8 2 2 2 2 5 2" xfId="46472"/>
    <cellStyle name="Обычный 8 8 2 2 2 2 5 3" xfId="46473"/>
    <cellStyle name="Обычный 8 8 2 2 2 2 6" xfId="46474"/>
    <cellStyle name="Обычный 8 8 2 2 2 2 6 2" xfId="46475"/>
    <cellStyle name="Обычный 8 8 2 2 2 2 7" xfId="46476"/>
    <cellStyle name="Обычный 8 8 2 2 2 2 8" xfId="46477"/>
    <cellStyle name="Обычный 8 8 2 2 2 3" xfId="46478"/>
    <cellStyle name="Обычный 8 8 2 2 2 3 2" xfId="46479"/>
    <cellStyle name="Обычный 8 8 2 2 2 3 2 2" xfId="46480"/>
    <cellStyle name="Обычный 8 8 2 2 2 3 2 2 2" xfId="46481"/>
    <cellStyle name="Обычный 8 8 2 2 2 3 2 2 3" xfId="46482"/>
    <cellStyle name="Обычный 8 8 2 2 2 3 2 3" xfId="46483"/>
    <cellStyle name="Обычный 8 8 2 2 2 3 2 3 2" xfId="46484"/>
    <cellStyle name="Обычный 8 8 2 2 2 3 2 3 3" xfId="46485"/>
    <cellStyle name="Обычный 8 8 2 2 2 3 2 4" xfId="46486"/>
    <cellStyle name="Обычный 8 8 2 2 2 3 2 4 2" xfId="46487"/>
    <cellStyle name="Обычный 8 8 2 2 2 3 2 5" xfId="46488"/>
    <cellStyle name="Обычный 8 8 2 2 2 3 2 6" xfId="46489"/>
    <cellStyle name="Обычный 8 8 2 2 2 3 3" xfId="46490"/>
    <cellStyle name="Обычный 8 8 2 2 2 3 3 2" xfId="46491"/>
    <cellStyle name="Обычный 8 8 2 2 2 3 3 3" xfId="46492"/>
    <cellStyle name="Обычный 8 8 2 2 2 3 4" xfId="46493"/>
    <cellStyle name="Обычный 8 8 2 2 2 3 4 2" xfId="46494"/>
    <cellStyle name="Обычный 8 8 2 2 2 3 4 3" xfId="46495"/>
    <cellStyle name="Обычный 8 8 2 2 2 3 5" xfId="46496"/>
    <cellStyle name="Обычный 8 8 2 2 2 3 5 2" xfId="46497"/>
    <cellStyle name="Обычный 8 8 2 2 2 3 6" xfId="46498"/>
    <cellStyle name="Обычный 8 8 2 2 2 3 7" xfId="46499"/>
    <cellStyle name="Обычный 8 8 2 2 2 4" xfId="46500"/>
    <cellStyle name="Обычный 8 8 2 2 2 4 2" xfId="46501"/>
    <cellStyle name="Обычный 8 8 2 2 2 4 2 2" xfId="46502"/>
    <cellStyle name="Обычный 8 8 2 2 2 4 2 3" xfId="46503"/>
    <cellStyle name="Обычный 8 8 2 2 2 4 3" xfId="46504"/>
    <cellStyle name="Обычный 8 8 2 2 2 4 3 2" xfId="46505"/>
    <cellStyle name="Обычный 8 8 2 2 2 4 3 3" xfId="46506"/>
    <cellStyle name="Обычный 8 8 2 2 2 4 4" xfId="46507"/>
    <cellStyle name="Обычный 8 8 2 2 2 4 4 2" xfId="46508"/>
    <cellStyle name="Обычный 8 8 2 2 2 4 5" xfId="46509"/>
    <cellStyle name="Обычный 8 8 2 2 2 4 6" xfId="46510"/>
    <cellStyle name="Обычный 8 8 2 2 2 5" xfId="46511"/>
    <cellStyle name="Обычный 8 8 2 2 2 5 2" xfId="46512"/>
    <cellStyle name="Обычный 8 8 2 2 2 5 3" xfId="46513"/>
    <cellStyle name="Обычный 8 8 2 2 2 6" xfId="46514"/>
    <cellStyle name="Обычный 8 8 2 2 2 6 2" xfId="46515"/>
    <cellStyle name="Обычный 8 8 2 2 2 6 3" xfId="46516"/>
    <cellStyle name="Обычный 8 8 2 2 2 7" xfId="46517"/>
    <cellStyle name="Обычный 8 8 2 2 2 7 2" xfId="46518"/>
    <cellStyle name="Обычный 8 8 2 2 2 8" xfId="46519"/>
    <cellStyle name="Обычный 8 8 2 2 2 9" xfId="46520"/>
    <cellStyle name="Обычный 8 8 2 2 3" xfId="46521"/>
    <cellStyle name="Обычный 8 8 2 2 3 2" xfId="46522"/>
    <cellStyle name="Обычный 8 8 2 2 3 2 2" xfId="46523"/>
    <cellStyle name="Обычный 8 8 2 2 3 2 2 2" xfId="46524"/>
    <cellStyle name="Обычный 8 8 2 2 3 2 2 2 2" xfId="46525"/>
    <cellStyle name="Обычный 8 8 2 2 3 2 2 2 3" xfId="46526"/>
    <cellStyle name="Обычный 8 8 2 2 3 2 2 3" xfId="46527"/>
    <cellStyle name="Обычный 8 8 2 2 3 2 2 3 2" xfId="46528"/>
    <cellStyle name="Обычный 8 8 2 2 3 2 2 3 3" xfId="46529"/>
    <cellStyle name="Обычный 8 8 2 2 3 2 2 4" xfId="46530"/>
    <cellStyle name="Обычный 8 8 2 2 3 2 2 4 2" xfId="46531"/>
    <cellStyle name="Обычный 8 8 2 2 3 2 2 5" xfId="46532"/>
    <cellStyle name="Обычный 8 8 2 2 3 2 2 6" xfId="46533"/>
    <cellStyle name="Обычный 8 8 2 2 3 2 3" xfId="46534"/>
    <cellStyle name="Обычный 8 8 2 2 3 2 3 2" xfId="46535"/>
    <cellStyle name="Обычный 8 8 2 2 3 2 3 3" xfId="46536"/>
    <cellStyle name="Обычный 8 8 2 2 3 2 4" xfId="46537"/>
    <cellStyle name="Обычный 8 8 2 2 3 2 4 2" xfId="46538"/>
    <cellStyle name="Обычный 8 8 2 2 3 2 4 3" xfId="46539"/>
    <cellStyle name="Обычный 8 8 2 2 3 2 5" xfId="46540"/>
    <cellStyle name="Обычный 8 8 2 2 3 2 5 2" xfId="46541"/>
    <cellStyle name="Обычный 8 8 2 2 3 2 6" xfId="46542"/>
    <cellStyle name="Обычный 8 8 2 2 3 2 7" xfId="46543"/>
    <cellStyle name="Обычный 8 8 2 2 3 3" xfId="46544"/>
    <cellStyle name="Обычный 8 8 2 2 3 3 2" xfId="46545"/>
    <cellStyle name="Обычный 8 8 2 2 3 3 2 2" xfId="46546"/>
    <cellStyle name="Обычный 8 8 2 2 3 3 2 3" xfId="46547"/>
    <cellStyle name="Обычный 8 8 2 2 3 3 3" xfId="46548"/>
    <cellStyle name="Обычный 8 8 2 2 3 3 3 2" xfId="46549"/>
    <cellStyle name="Обычный 8 8 2 2 3 3 3 3" xfId="46550"/>
    <cellStyle name="Обычный 8 8 2 2 3 3 4" xfId="46551"/>
    <cellStyle name="Обычный 8 8 2 2 3 3 4 2" xfId="46552"/>
    <cellStyle name="Обычный 8 8 2 2 3 3 5" xfId="46553"/>
    <cellStyle name="Обычный 8 8 2 2 3 3 6" xfId="46554"/>
    <cellStyle name="Обычный 8 8 2 2 3 4" xfId="46555"/>
    <cellStyle name="Обычный 8 8 2 2 3 4 2" xfId="46556"/>
    <cellStyle name="Обычный 8 8 2 2 3 4 3" xfId="46557"/>
    <cellStyle name="Обычный 8 8 2 2 3 5" xfId="46558"/>
    <cellStyle name="Обычный 8 8 2 2 3 5 2" xfId="46559"/>
    <cellStyle name="Обычный 8 8 2 2 3 5 3" xfId="46560"/>
    <cellStyle name="Обычный 8 8 2 2 3 6" xfId="46561"/>
    <cellStyle name="Обычный 8 8 2 2 3 6 2" xfId="46562"/>
    <cellStyle name="Обычный 8 8 2 2 3 7" xfId="46563"/>
    <cellStyle name="Обычный 8 8 2 2 3 8" xfId="46564"/>
    <cellStyle name="Обычный 8 8 2 2 4" xfId="46565"/>
    <cellStyle name="Обычный 8 8 2 2 4 2" xfId="46566"/>
    <cellStyle name="Обычный 8 8 2 2 4 2 2" xfId="46567"/>
    <cellStyle name="Обычный 8 8 2 2 4 2 2 2" xfId="46568"/>
    <cellStyle name="Обычный 8 8 2 2 4 2 2 3" xfId="46569"/>
    <cellStyle name="Обычный 8 8 2 2 4 2 3" xfId="46570"/>
    <cellStyle name="Обычный 8 8 2 2 4 2 3 2" xfId="46571"/>
    <cellStyle name="Обычный 8 8 2 2 4 2 3 3" xfId="46572"/>
    <cellStyle name="Обычный 8 8 2 2 4 2 4" xfId="46573"/>
    <cellStyle name="Обычный 8 8 2 2 4 2 4 2" xfId="46574"/>
    <cellStyle name="Обычный 8 8 2 2 4 2 5" xfId="46575"/>
    <cellStyle name="Обычный 8 8 2 2 4 2 6" xfId="46576"/>
    <cellStyle name="Обычный 8 8 2 2 4 3" xfId="46577"/>
    <cellStyle name="Обычный 8 8 2 2 4 3 2" xfId="46578"/>
    <cellStyle name="Обычный 8 8 2 2 4 3 3" xfId="46579"/>
    <cellStyle name="Обычный 8 8 2 2 4 4" xfId="46580"/>
    <cellStyle name="Обычный 8 8 2 2 4 4 2" xfId="46581"/>
    <cellStyle name="Обычный 8 8 2 2 4 4 3" xfId="46582"/>
    <cellStyle name="Обычный 8 8 2 2 4 5" xfId="46583"/>
    <cellStyle name="Обычный 8 8 2 2 4 5 2" xfId="46584"/>
    <cellStyle name="Обычный 8 8 2 2 4 6" xfId="46585"/>
    <cellStyle name="Обычный 8 8 2 2 4 7" xfId="46586"/>
    <cellStyle name="Обычный 8 8 2 2 5" xfId="46587"/>
    <cellStyle name="Обычный 8 8 2 2 5 2" xfId="46588"/>
    <cellStyle name="Обычный 8 8 2 2 5 2 2" xfId="46589"/>
    <cellStyle name="Обычный 8 8 2 2 5 2 3" xfId="46590"/>
    <cellStyle name="Обычный 8 8 2 2 5 3" xfId="46591"/>
    <cellStyle name="Обычный 8 8 2 2 5 3 2" xfId="46592"/>
    <cellStyle name="Обычный 8 8 2 2 5 3 3" xfId="46593"/>
    <cellStyle name="Обычный 8 8 2 2 5 4" xfId="46594"/>
    <cellStyle name="Обычный 8 8 2 2 5 4 2" xfId="46595"/>
    <cellStyle name="Обычный 8 8 2 2 5 5" xfId="46596"/>
    <cellStyle name="Обычный 8 8 2 2 5 6" xfId="46597"/>
    <cellStyle name="Обычный 8 8 2 2 6" xfId="46598"/>
    <cellStyle name="Обычный 8 8 2 2 6 2" xfId="46599"/>
    <cellStyle name="Обычный 8 8 2 2 6 3" xfId="46600"/>
    <cellStyle name="Обычный 8 8 2 2 7" xfId="46601"/>
    <cellStyle name="Обычный 8 8 2 2 7 2" xfId="46602"/>
    <cellStyle name="Обычный 8 8 2 2 7 3" xfId="46603"/>
    <cellStyle name="Обычный 8 8 2 2 8" xfId="46604"/>
    <cellStyle name="Обычный 8 8 2 2 8 2" xfId="46605"/>
    <cellStyle name="Обычный 8 8 2 2 9" xfId="46606"/>
    <cellStyle name="Обычный 8 8 2 3" xfId="46607"/>
    <cellStyle name="Обычный 8 8 2 3 10" xfId="46608"/>
    <cellStyle name="Обычный 8 8 2 3 2" xfId="46609"/>
    <cellStyle name="Обычный 8 8 2 3 2 2" xfId="46610"/>
    <cellStyle name="Обычный 8 8 2 3 2 2 2" xfId="46611"/>
    <cellStyle name="Обычный 8 8 2 3 2 2 2 2" xfId="46612"/>
    <cellStyle name="Обычный 8 8 2 3 2 2 2 2 2" xfId="46613"/>
    <cellStyle name="Обычный 8 8 2 3 2 2 2 2 2 2" xfId="46614"/>
    <cellStyle name="Обычный 8 8 2 3 2 2 2 2 2 3" xfId="46615"/>
    <cellStyle name="Обычный 8 8 2 3 2 2 2 2 3" xfId="46616"/>
    <cellStyle name="Обычный 8 8 2 3 2 2 2 2 3 2" xfId="46617"/>
    <cellStyle name="Обычный 8 8 2 3 2 2 2 2 3 3" xfId="46618"/>
    <cellStyle name="Обычный 8 8 2 3 2 2 2 2 4" xfId="46619"/>
    <cellStyle name="Обычный 8 8 2 3 2 2 2 2 4 2" xfId="46620"/>
    <cellStyle name="Обычный 8 8 2 3 2 2 2 2 5" xfId="46621"/>
    <cellStyle name="Обычный 8 8 2 3 2 2 2 2 6" xfId="46622"/>
    <cellStyle name="Обычный 8 8 2 3 2 2 2 3" xfId="46623"/>
    <cellStyle name="Обычный 8 8 2 3 2 2 2 3 2" xfId="46624"/>
    <cellStyle name="Обычный 8 8 2 3 2 2 2 3 3" xfId="46625"/>
    <cellStyle name="Обычный 8 8 2 3 2 2 2 4" xfId="46626"/>
    <cellStyle name="Обычный 8 8 2 3 2 2 2 4 2" xfId="46627"/>
    <cellStyle name="Обычный 8 8 2 3 2 2 2 4 3" xfId="46628"/>
    <cellStyle name="Обычный 8 8 2 3 2 2 2 5" xfId="46629"/>
    <cellStyle name="Обычный 8 8 2 3 2 2 2 5 2" xfId="46630"/>
    <cellStyle name="Обычный 8 8 2 3 2 2 2 6" xfId="46631"/>
    <cellStyle name="Обычный 8 8 2 3 2 2 2 7" xfId="46632"/>
    <cellStyle name="Обычный 8 8 2 3 2 2 3" xfId="46633"/>
    <cellStyle name="Обычный 8 8 2 3 2 2 3 2" xfId="46634"/>
    <cellStyle name="Обычный 8 8 2 3 2 2 3 2 2" xfId="46635"/>
    <cellStyle name="Обычный 8 8 2 3 2 2 3 2 3" xfId="46636"/>
    <cellStyle name="Обычный 8 8 2 3 2 2 3 3" xfId="46637"/>
    <cellStyle name="Обычный 8 8 2 3 2 2 3 3 2" xfId="46638"/>
    <cellStyle name="Обычный 8 8 2 3 2 2 3 3 3" xfId="46639"/>
    <cellStyle name="Обычный 8 8 2 3 2 2 3 4" xfId="46640"/>
    <cellStyle name="Обычный 8 8 2 3 2 2 3 4 2" xfId="46641"/>
    <cellStyle name="Обычный 8 8 2 3 2 2 3 5" xfId="46642"/>
    <cellStyle name="Обычный 8 8 2 3 2 2 3 6" xfId="46643"/>
    <cellStyle name="Обычный 8 8 2 3 2 2 4" xfId="46644"/>
    <cellStyle name="Обычный 8 8 2 3 2 2 4 2" xfId="46645"/>
    <cellStyle name="Обычный 8 8 2 3 2 2 4 3" xfId="46646"/>
    <cellStyle name="Обычный 8 8 2 3 2 2 5" xfId="46647"/>
    <cellStyle name="Обычный 8 8 2 3 2 2 5 2" xfId="46648"/>
    <cellStyle name="Обычный 8 8 2 3 2 2 5 3" xfId="46649"/>
    <cellStyle name="Обычный 8 8 2 3 2 2 6" xfId="46650"/>
    <cellStyle name="Обычный 8 8 2 3 2 2 6 2" xfId="46651"/>
    <cellStyle name="Обычный 8 8 2 3 2 2 7" xfId="46652"/>
    <cellStyle name="Обычный 8 8 2 3 2 2 8" xfId="46653"/>
    <cellStyle name="Обычный 8 8 2 3 2 3" xfId="46654"/>
    <cellStyle name="Обычный 8 8 2 3 2 3 2" xfId="46655"/>
    <cellStyle name="Обычный 8 8 2 3 2 3 2 2" xfId="46656"/>
    <cellStyle name="Обычный 8 8 2 3 2 3 2 2 2" xfId="46657"/>
    <cellStyle name="Обычный 8 8 2 3 2 3 2 2 3" xfId="46658"/>
    <cellStyle name="Обычный 8 8 2 3 2 3 2 3" xfId="46659"/>
    <cellStyle name="Обычный 8 8 2 3 2 3 2 3 2" xfId="46660"/>
    <cellStyle name="Обычный 8 8 2 3 2 3 2 3 3" xfId="46661"/>
    <cellStyle name="Обычный 8 8 2 3 2 3 2 4" xfId="46662"/>
    <cellStyle name="Обычный 8 8 2 3 2 3 2 4 2" xfId="46663"/>
    <cellStyle name="Обычный 8 8 2 3 2 3 2 5" xfId="46664"/>
    <cellStyle name="Обычный 8 8 2 3 2 3 2 6" xfId="46665"/>
    <cellStyle name="Обычный 8 8 2 3 2 3 3" xfId="46666"/>
    <cellStyle name="Обычный 8 8 2 3 2 3 3 2" xfId="46667"/>
    <cellStyle name="Обычный 8 8 2 3 2 3 3 3" xfId="46668"/>
    <cellStyle name="Обычный 8 8 2 3 2 3 4" xfId="46669"/>
    <cellStyle name="Обычный 8 8 2 3 2 3 4 2" xfId="46670"/>
    <cellStyle name="Обычный 8 8 2 3 2 3 4 3" xfId="46671"/>
    <cellStyle name="Обычный 8 8 2 3 2 3 5" xfId="46672"/>
    <cellStyle name="Обычный 8 8 2 3 2 3 5 2" xfId="46673"/>
    <cellStyle name="Обычный 8 8 2 3 2 3 6" xfId="46674"/>
    <cellStyle name="Обычный 8 8 2 3 2 3 7" xfId="46675"/>
    <cellStyle name="Обычный 8 8 2 3 2 4" xfId="46676"/>
    <cellStyle name="Обычный 8 8 2 3 2 4 2" xfId="46677"/>
    <cellStyle name="Обычный 8 8 2 3 2 4 2 2" xfId="46678"/>
    <cellStyle name="Обычный 8 8 2 3 2 4 2 3" xfId="46679"/>
    <cellStyle name="Обычный 8 8 2 3 2 4 3" xfId="46680"/>
    <cellStyle name="Обычный 8 8 2 3 2 4 3 2" xfId="46681"/>
    <cellStyle name="Обычный 8 8 2 3 2 4 3 3" xfId="46682"/>
    <cellStyle name="Обычный 8 8 2 3 2 4 4" xfId="46683"/>
    <cellStyle name="Обычный 8 8 2 3 2 4 4 2" xfId="46684"/>
    <cellStyle name="Обычный 8 8 2 3 2 4 5" xfId="46685"/>
    <cellStyle name="Обычный 8 8 2 3 2 4 6" xfId="46686"/>
    <cellStyle name="Обычный 8 8 2 3 2 5" xfId="46687"/>
    <cellStyle name="Обычный 8 8 2 3 2 5 2" xfId="46688"/>
    <cellStyle name="Обычный 8 8 2 3 2 5 3" xfId="46689"/>
    <cellStyle name="Обычный 8 8 2 3 2 6" xfId="46690"/>
    <cellStyle name="Обычный 8 8 2 3 2 6 2" xfId="46691"/>
    <cellStyle name="Обычный 8 8 2 3 2 6 3" xfId="46692"/>
    <cellStyle name="Обычный 8 8 2 3 2 7" xfId="46693"/>
    <cellStyle name="Обычный 8 8 2 3 2 7 2" xfId="46694"/>
    <cellStyle name="Обычный 8 8 2 3 2 8" xfId="46695"/>
    <cellStyle name="Обычный 8 8 2 3 2 9" xfId="46696"/>
    <cellStyle name="Обычный 8 8 2 3 3" xfId="46697"/>
    <cellStyle name="Обычный 8 8 2 3 3 2" xfId="46698"/>
    <cellStyle name="Обычный 8 8 2 3 3 2 2" xfId="46699"/>
    <cellStyle name="Обычный 8 8 2 3 3 2 2 2" xfId="46700"/>
    <cellStyle name="Обычный 8 8 2 3 3 2 2 2 2" xfId="46701"/>
    <cellStyle name="Обычный 8 8 2 3 3 2 2 2 3" xfId="46702"/>
    <cellStyle name="Обычный 8 8 2 3 3 2 2 3" xfId="46703"/>
    <cellStyle name="Обычный 8 8 2 3 3 2 2 3 2" xfId="46704"/>
    <cellStyle name="Обычный 8 8 2 3 3 2 2 3 3" xfId="46705"/>
    <cellStyle name="Обычный 8 8 2 3 3 2 2 4" xfId="46706"/>
    <cellStyle name="Обычный 8 8 2 3 3 2 2 4 2" xfId="46707"/>
    <cellStyle name="Обычный 8 8 2 3 3 2 2 5" xfId="46708"/>
    <cellStyle name="Обычный 8 8 2 3 3 2 2 6" xfId="46709"/>
    <cellStyle name="Обычный 8 8 2 3 3 2 3" xfId="46710"/>
    <cellStyle name="Обычный 8 8 2 3 3 2 3 2" xfId="46711"/>
    <cellStyle name="Обычный 8 8 2 3 3 2 3 3" xfId="46712"/>
    <cellStyle name="Обычный 8 8 2 3 3 2 4" xfId="46713"/>
    <cellStyle name="Обычный 8 8 2 3 3 2 4 2" xfId="46714"/>
    <cellStyle name="Обычный 8 8 2 3 3 2 4 3" xfId="46715"/>
    <cellStyle name="Обычный 8 8 2 3 3 2 5" xfId="46716"/>
    <cellStyle name="Обычный 8 8 2 3 3 2 5 2" xfId="46717"/>
    <cellStyle name="Обычный 8 8 2 3 3 2 6" xfId="46718"/>
    <cellStyle name="Обычный 8 8 2 3 3 2 7" xfId="46719"/>
    <cellStyle name="Обычный 8 8 2 3 3 3" xfId="46720"/>
    <cellStyle name="Обычный 8 8 2 3 3 3 2" xfId="46721"/>
    <cellStyle name="Обычный 8 8 2 3 3 3 2 2" xfId="46722"/>
    <cellStyle name="Обычный 8 8 2 3 3 3 2 3" xfId="46723"/>
    <cellStyle name="Обычный 8 8 2 3 3 3 3" xfId="46724"/>
    <cellStyle name="Обычный 8 8 2 3 3 3 3 2" xfId="46725"/>
    <cellStyle name="Обычный 8 8 2 3 3 3 3 3" xfId="46726"/>
    <cellStyle name="Обычный 8 8 2 3 3 3 4" xfId="46727"/>
    <cellStyle name="Обычный 8 8 2 3 3 3 4 2" xfId="46728"/>
    <cellStyle name="Обычный 8 8 2 3 3 3 5" xfId="46729"/>
    <cellStyle name="Обычный 8 8 2 3 3 3 6" xfId="46730"/>
    <cellStyle name="Обычный 8 8 2 3 3 4" xfId="46731"/>
    <cellStyle name="Обычный 8 8 2 3 3 4 2" xfId="46732"/>
    <cellStyle name="Обычный 8 8 2 3 3 4 3" xfId="46733"/>
    <cellStyle name="Обычный 8 8 2 3 3 5" xfId="46734"/>
    <cellStyle name="Обычный 8 8 2 3 3 5 2" xfId="46735"/>
    <cellStyle name="Обычный 8 8 2 3 3 5 3" xfId="46736"/>
    <cellStyle name="Обычный 8 8 2 3 3 6" xfId="46737"/>
    <cellStyle name="Обычный 8 8 2 3 3 6 2" xfId="46738"/>
    <cellStyle name="Обычный 8 8 2 3 3 7" xfId="46739"/>
    <cellStyle name="Обычный 8 8 2 3 3 8" xfId="46740"/>
    <cellStyle name="Обычный 8 8 2 3 4" xfId="46741"/>
    <cellStyle name="Обычный 8 8 2 3 4 2" xfId="46742"/>
    <cellStyle name="Обычный 8 8 2 3 4 2 2" xfId="46743"/>
    <cellStyle name="Обычный 8 8 2 3 4 2 2 2" xfId="46744"/>
    <cellStyle name="Обычный 8 8 2 3 4 2 2 3" xfId="46745"/>
    <cellStyle name="Обычный 8 8 2 3 4 2 3" xfId="46746"/>
    <cellStyle name="Обычный 8 8 2 3 4 2 3 2" xfId="46747"/>
    <cellStyle name="Обычный 8 8 2 3 4 2 3 3" xfId="46748"/>
    <cellStyle name="Обычный 8 8 2 3 4 2 4" xfId="46749"/>
    <cellStyle name="Обычный 8 8 2 3 4 2 4 2" xfId="46750"/>
    <cellStyle name="Обычный 8 8 2 3 4 2 5" xfId="46751"/>
    <cellStyle name="Обычный 8 8 2 3 4 2 6" xfId="46752"/>
    <cellStyle name="Обычный 8 8 2 3 4 3" xfId="46753"/>
    <cellStyle name="Обычный 8 8 2 3 4 3 2" xfId="46754"/>
    <cellStyle name="Обычный 8 8 2 3 4 3 3" xfId="46755"/>
    <cellStyle name="Обычный 8 8 2 3 4 4" xfId="46756"/>
    <cellStyle name="Обычный 8 8 2 3 4 4 2" xfId="46757"/>
    <cellStyle name="Обычный 8 8 2 3 4 4 3" xfId="46758"/>
    <cellStyle name="Обычный 8 8 2 3 4 5" xfId="46759"/>
    <cellStyle name="Обычный 8 8 2 3 4 5 2" xfId="46760"/>
    <cellStyle name="Обычный 8 8 2 3 4 6" xfId="46761"/>
    <cellStyle name="Обычный 8 8 2 3 4 7" xfId="46762"/>
    <cellStyle name="Обычный 8 8 2 3 5" xfId="46763"/>
    <cellStyle name="Обычный 8 8 2 3 5 2" xfId="46764"/>
    <cellStyle name="Обычный 8 8 2 3 5 2 2" xfId="46765"/>
    <cellStyle name="Обычный 8 8 2 3 5 2 3" xfId="46766"/>
    <cellStyle name="Обычный 8 8 2 3 5 3" xfId="46767"/>
    <cellStyle name="Обычный 8 8 2 3 5 3 2" xfId="46768"/>
    <cellStyle name="Обычный 8 8 2 3 5 3 3" xfId="46769"/>
    <cellStyle name="Обычный 8 8 2 3 5 4" xfId="46770"/>
    <cellStyle name="Обычный 8 8 2 3 5 4 2" xfId="46771"/>
    <cellStyle name="Обычный 8 8 2 3 5 5" xfId="46772"/>
    <cellStyle name="Обычный 8 8 2 3 5 6" xfId="46773"/>
    <cellStyle name="Обычный 8 8 2 3 6" xfId="46774"/>
    <cellStyle name="Обычный 8 8 2 3 6 2" xfId="46775"/>
    <cellStyle name="Обычный 8 8 2 3 6 3" xfId="46776"/>
    <cellStyle name="Обычный 8 8 2 3 7" xfId="46777"/>
    <cellStyle name="Обычный 8 8 2 3 7 2" xfId="46778"/>
    <cellStyle name="Обычный 8 8 2 3 7 3" xfId="46779"/>
    <cellStyle name="Обычный 8 8 2 3 8" xfId="46780"/>
    <cellStyle name="Обычный 8 8 2 3 8 2" xfId="46781"/>
    <cellStyle name="Обычный 8 8 2 3 9" xfId="46782"/>
    <cellStyle name="Обычный 8 8 2 4" xfId="46783"/>
    <cellStyle name="Обычный 8 8 2 4 10" xfId="46784"/>
    <cellStyle name="Обычный 8 8 2 4 2" xfId="46785"/>
    <cellStyle name="Обычный 8 8 2 4 2 2" xfId="46786"/>
    <cellStyle name="Обычный 8 8 2 4 2 2 2" xfId="46787"/>
    <cellStyle name="Обычный 8 8 2 4 2 2 2 2" xfId="46788"/>
    <cellStyle name="Обычный 8 8 2 4 2 2 2 2 2" xfId="46789"/>
    <cellStyle name="Обычный 8 8 2 4 2 2 2 2 2 2" xfId="46790"/>
    <cellStyle name="Обычный 8 8 2 4 2 2 2 2 2 3" xfId="46791"/>
    <cellStyle name="Обычный 8 8 2 4 2 2 2 2 3" xfId="46792"/>
    <cellStyle name="Обычный 8 8 2 4 2 2 2 2 3 2" xfId="46793"/>
    <cellStyle name="Обычный 8 8 2 4 2 2 2 2 3 3" xfId="46794"/>
    <cellStyle name="Обычный 8 8 2 4 2 2 2 2 4" xfId="46795"/>
    <cellStyle name="Обычный 8 8 2 4 2 2 2 2 4 2" xfId="46796"/>
    <cellStyle name="Обычный 8 8 2 4 2 2 2 2 5" xfId="46797"/>
    <cellStyle name="Обычный 8 8 2 4 2 2 2 2 6" xfId="46798"/>
    <cellStyle name="Обычный 8 8 2 4 2 2 2 3" xfId="46799"/>
    <cellStyle name="Обычный 8 8 2 4 2 2 2 3 2" xfId="46800"/>
    <cellStyle name="Обычный 8 8 2 4 2 2 2 3 3" xfId="46801"/>
    <cellStyle name="Обычный 8 8 2 4 2 2 2 4" xfId="46802"/>
    <cellStyle name="Обычный 8 8 2 4 2 2 2 4 2" xfId="46803"/>
    <cellStyle name="Обычный 8 8 2 4 2 2 2 4 3" xfId="46804"/>
    <cellStyle name="Обычный 8 8 2 4 2 2 2 5" xfId="46805"/>
    <cellStyle name="Обычный 8 8 2 4 2 2 2 5 2" xfId="46806"/>
    <cellStyle name="Обычный 8 8 2 4 2 2 2 6" xfId="46807"/>
    <cellStyle name="Обычный 8 8 2 4 2 2 2 7" xfId="46808"/>
    <cellStyle name="Обычный 8 8 2 4 2 2 3" xfId="46809"/>
    <cellStyle name="Обычный 8 8 2 4 2 2 3 2" xfId="46810"/>
    <cellStyle name="Обычный 8 8 2 4 2 2 3 2 2" xfId="46811"/>
    <cellStyle name="Обычный 8 8 2 4 2 2 3 2 3" xfId="46812"/>
    <cellStyle name="Обычный 8 8 2 4 2 2 3 3" xfId="46813"/>
    <cellStyle name="Обычный 8 8 2 4 2 2 3 3 2" xfId="46814"/>
    <cellStyle name="Обычный 8 8 2 4 2 2 3 3 3" xfId="46815"/>
    <cellStyle name="Обычный 8 8 2 4 2 2 3 4" xfId="46816"/>
    <cellStyle name="Обычный 8 8 2 4 2 2 3 4 2" xfId="46817"/>
    <cellStyle name="Обычный 8 8 2 4 2 2 3 5" xfId="46818"/>
    <cellStyle name="Обычный 8 8 2 4 2 2 3 6" xfId="46819"/>
    <cellStyle name="Обычный 8 8 2 4 2 2 4" xfId="46820"/>
    <cellStyle name="Обычный 8 8 2 4 2 2 4 2" xfId="46821"/>
    <cellStyle name="Обычный 8 8 2 4 2 2 4 3" xfId="46822"/>
    <cellStyle name="Обычный 8 8 2 4 2 2 5" xfId="46823"/>
    <cellStyle name="Обычный 8 8 2 4 2 2 5 2" xfId="46824"/>
    <cellStyle name="Обычный 8 8 2 4 2 2 5 3" xfId="46825"/>
    <cellStyle name="Обычный 8 8 2 4 2 2 6" xfId="46826"/>
    <cellStyle name="Обычный 8 8 2 4 2 2 6 2" xfId="46827"/>
    <cellStyle name="Обычный 8 8 2 4 2 2 7" xfId="46828"/>
    <cellStyle name="Обычный 8 8 2 4 2 2 8" xfId="46829"/>
    <cellStyle name="Обычный 8 8 2 4 2 3" xfId="46830"/>
    <cellStyle name="Обычный 8 8 2 4 2 3 2" xfId="46831"/>
    <cellStyle name="Обычный 8 8 2 4 2 3 2 2" xfId="46832"/>
    <cellStyle name="Обычный 8 8 2 4 2 3 2 2 2" xfId="46833"/>
    <cellStyle name="Обычный 8 8 2 4 2 3 2 2 3" xfId="46834"/>
    <cellStyle name="Обычный 8 8 2 4 2 3 2 3" xfId="46835"/>
    <cellStyle name="Обычный 8 8 2 4 2 3 2 3 2" xfId="46836"/>
    <cellStyle name="Обычный 8 8 2 4 2 3 2 3 3" xfId="46837"/>
    <cellStyle name="Обычный 8 8 2 4 2 3 2 4" xfId="46838"/>
    <cellStyle name="Обычный 8 8 2 4 2 3 2 4 2" xfId="46839"/>
    <cellStyle name="Обычный 8 8 2 4 2 3 2 5" xfId="46840"/>
    <cellStyle name="Обычный 8 8 2 4 2 3 2 6" xfId="46841"/>
    <cellStyle name="Обычный 8 8 2 4 2 3 3" xfId="46842"/>
    <cellStyle name="Обычный 8 8 2 4 2 3 3 2" xfId="46843"/>
    <cellStyle name="Обычный 8 8 2 4 2 3 3 3" xfId="46844"/>
    <cellStyle name="Обычный 8 8 2 4 2 3 4" xfId="46845"/>
    <cellStyle name="Обычный 8 8 2 4 2 3 4 2" xfId="46846"/>
    <cellStyle name="Обычный 8 8 2 4 2 3 4 3" xfId="46847"/>
    <cellStyle name="Обычный 8 8 2 4 2 3 5" xfId="46848"/>
    <cellStyle name="Обычный 8 8 2 4 2 3 5 2" xfId="46849"/>
    <cellStyle name="Обычный 8 8 2 4 2 3 6" xfId="46850"/>
    <cellStyle name="Обычный 8 8 2 4 2 3 7" xfId="46851"/>
    <cellStyle name="Обычный 8 8 2 4 2 4" xfId="46852"/>
    <cellStyle name="Обычный 8 8 2 4 2 4 2" xfId="46853"/>
    <cellStyle name="Обычный 8 8 2 4 2 4 2 2" xfId="46854"/>
    <cellStyle name="Обычный 8 8 2 4 2 4 2 3" xfId="46855"/>
    <cellStyle name="Обычный 8 8 2 4 2 4 3" xfId="46856"/>
    <cellStyle name="Обычный 8 8 2 4 2 4 3 2" xfId="46857"/>
    <cellStyle name="Обычный 8 8 2 4 2 4 3 3" xfId="46858"/>
    <cellStyle name="Обычный 8 8 2 4 2 4 4" xfId="46859"/>
    <cellStyle name="Обычный 8 8 2 4 2 4 4 2" xfId="46860"/>
    <cellStyle name="Обычный 8 8 2 4 2 4 5" xfId="46861"/>
    <cellStyle name="Обычный 8 8 2 4 2 4 6" xfId="46862"/>
    <cellStyle name="Обычный 8 8 2 4 2 5" xfId="46863"/>
    <cellStyle name="Обычный 8 8 2 4 2 5 2" xfId="46864"/>
    <cellStyle name="Обычный 8 8 2 4 2 5 3" xfId="46865"/>
    <cellStyle name="Обычный 8 8 2 4 2 6" xfId="46866"/>
    <cellStyle name="Обычный 8 8 2 4 2 6 2" xfId="46867"/>
    <cellStyle name="Обычный 8 8 2 4 2 6 3" xfId="46868"/>
    <cellStyle name="Обычный 8 8 2 4 2 7" xfId="46869"/>
    <cellStyle name="Обычный 8 8 2 4 2 7 2" xfId="46870"/>
    <cellStyle name="Обычный 8 8 2 4 2 8" xfId="46871"/>
    <cellStyle name="Обычный 8 8 2 4 2 9" xfId="46872"/>
    <cellStyle name="Обычный 8 8 2 4 3" xfId="46873"/>
    <cellStyle name="Обычный 8 8 2 4 3 2" xfId="46874"/>
    <cellStyle name="Обычный 8 8 2 4 3 2 2" xfId="46875"/>
    <cellStyle name="Обычный 8 8 2 4 3 2 2 2" xfId="46876"/>
    <cellStyle name="Обычный 8 8 2 4 3 2 2 2 2" xfId="46877"/>
    <cellStyle name="Обычный 8 8 2 4 3 2 2 2 3" xfId="46878"/>
    <cellStyle name="Обычный 8 8 2 4 3 2 2 3" xfId="46879"/>
    <cellStyle name="Обычный 8 8 2 4 3 2 2 3 2" xfId="46880"/>
    <cellStyle name="Обычный 8 8 2 4 3 2 2 3 3" xfId="46881"/>
    <cellStyle name="Обычный 8 8 2 4 3 2 2 4" xfId="46882"/>
    <cellStyle name="Обычный 8 8 2 4 3 2 2 4 2" xfId="46883"/>
    <cellStyle name="Обычный 8 8 2 4 3 2 2 5" xfId="46884"/>
    <cellStyle name="Обычный 8 8 2 4 3 2 2 6" xfId="46885"/>
    <cellStyle name="Обычный 8 8 2 4 3 2 3" xfId="46886"/>
    <cellStyle name="Обычный 8 8 2 4 3 2 3 2" xfId="46887"/>
    <cellStyle name="Обычный 8 8 2 4 3 2 3 3" xfId="46888"/>
    <cellStyle name="Обычный 8 8 2 4 3 2 4" xfId="46889"/>
    <cellStyle name="Обычный 8 8 2 4 3 2 4 2" xfId="46890"/>
    <cellStyle name="Обычный 8 8 2 4 3 2 4 3" xfId="46891"/>
    <cellStyle name="Обычный 8 8 2 4 3 2 5" xfId="46892"/>
    <cellStyle name="Обычный 8 8 2 4 3 2 5 2" xfId="46893"/>
    <cellStyle name="Обычный 8 8 2 4 3 2 6" xfId="46894"/>
    <cellStyle name="Обычный 8 8 2 4 3 2 7" xfId="46895"/>
    <cellStyle name="Обычный 8 8 2 4 3 3" xfId="46896"/>
    <cellStyle name="Обычный 8 8 2 4 3 3 2" xfId="46897"/>
    <cellStyle name="Обычный 8 8 2 4 3 3 2 2" xfId="46898"/>
    <cellStyle name="Обычный 8 8 2 4 3 3 2 3" xfId="46899"/>
    <cellStyle name="Обычный 8 8 2 4 3 3 3" xfId="46900"/>
    <cellStyle name="Обычный 8 8 2 4 3 3 3 2" xfId="46901"/>
    <cellStyle name="Обычный 8 8 2 4 3 3 3 3" xfId="46902"/>
    <cellStyle name="Обычный 8 8 2 4 3 3 4" xfId="46903"/>
    <cellStyle name="Обычный 8 8 2 4 3 3 4 2" xfId="46904"/>
    <cellStyle name="Обычный 8 8 2 4 3 3 5" xfId="46905"/>
    <cellStyle name="Обычный 8 8 2 4 3 3 6" xfId="46906"/>
    <cellStyle name="Обычный 8 8 2 4 3 4" xfId="46907"/>
    <cellStyle name="Обычный 8 8 2 4 3 4 2" xfId="46908"/>
    <cellStyle name="Обычный 8 8 2 4 3 4 3" xfId="46909"/>
    <cellStyle name="Обычный 8 8 2 4 3 5" xfId="46910"/>
    <cellStyle name="Обычный 8 8 2 4 3 5 2" xfId="46911"/>
    <cellStyle name="Обычный 8 8 2 4 3 5 3" xfId="46912"/>
    <cellStyle name="Обычный 8 8 2 4 3 6" xfId="46913"/>
    <cellStyle name="Обычный 8 8 2 4 3 6 2" xfId="46914"/>
    <cellStyle name="Обычный 8 8 2 4 3 7" xfId="46915"/>
    <cellStyle name="Обычный 8 8 2 4 3 8" xfId="46916"/>
    <cellStyle name="Обычный 8 8 2 4 4" xfId="46917"/>
    <cellStyle name="Обычный 8 8 2 4 4 2" xfId="46918"/>
    <cellStyle name="Обычный 8 8 2 4 4 2 2" xfId="46919"/>
    <cellStyle name="Обычный 8 8 2 4 4 2 2 2" xfId="46920"/>
    <cellStyle name="Обычный 8 8 2 4 4 2 2 3" xfId="46921"/>
    <cellStyle name="Обычный 8 8 2 4 4 2 3" xfId="46922"/>
    <cellStyle name="Обычный 8 8 2 4 4 2 3 2" xfId="46923"/>
    <cellStyle name="Обычный 8 8 2 4 4 2 3 3" xfId="46924"/>
    <cellStyle name="Обычный 8 8 2 4 4 2 4" xfId="46925"/>
    <cellStyle name="Обычный 8 8 2 4 4 2 4 2" xfId="46926"/>
    <cellStyle name="Обычный 8 8 2 4 4 2 5" xfId="46927"/>
    <cellStyle name="Обычный 8 8 2 4 4 2 6" xfId="46928"/>
    <cellStyle name="Обычный 8 8 2 4 4 3" xfId="46929"/>
    <cellStyle name="Обычный 8 8 2 4 4 3 2" xfId="46930"/>
    <cellStyle name="Обычный 8 8 2 4 4 3 3" xfId="46931"/>
    <cellStyle name="Обычный 8 8 2 4 4 4" xfId="46932"/>
    <cellStyle name="Обычный 8 8 2 4 4 4 2" xfId="46933"/>
    <cellStyle name="Обычный 8 8 2 4 4 4 3" xfId="46934"/>
    <cellStyle name="Обычный 8 8 2 4 4 5" xfId="46935"/>
    <cellStyle name="Обычный 8 8 2 4 4 5 2" xfId="46936"/>
    <cellStyle name="Обычный 8 8 2 4 4 6" xfId="46937"/>
    <cellStyle name="Обычный 8 8 2 4 4 7" xfId="46938"/>
    <cellStyle name="Обычный 8 8 2 4 5" xfId="46939"/>
    <cellStyle name="Обычный 8 8 2 4 5 2" xfId="46940"/>
    <cellStyle name="Обычный 8 8 2 4 5 2 2" xfId="46941"/>
    <cellStyle name="Обычный 8 8 2 4 5 2 3" xfId="46942"/>
    <cellStyle name="Обычный 8 8 2 4 5 3" xfId="46943"/>
    <cellStyle name="Обычный 8 8 2 4 5 3 2" xfId="46944"/>
    <cellStyle name="Обычный 8 8 2 4 5 3 3" xfId="46945"/>
    <cellStyle name="Обычный 8 8 2 4 5 4" xfId="46946"/>
    <cellStyle name="Обычный 8 8 2 4 5 4 2" xfId="46947"/>
    <cellStyle name="Обычный 8 8 2 4 5 5" xfId="46948"/>
    <cellStyle name="Обычный 8 8 2 4 5 6" xfId="46949"/>
    <cellStyle name="Обычный 8 8 2 4 6" xfId="46950"/>
    <cellStyle name="Обычный 8 8 2 4 6 2" xfId="46951"/>
    <cellStyle name="Обычный 8 8 2 4 6 3" xfId="46952"/>
    <cellStyle name="Обычный 8 8 2 4 7" xfId="46953"/>
    <cellStyle name="Обычный 8 8 2 4 7 2" xfId="46954"/>
    <cellStyle name="Обычный 8 8 2 4 7 3" xfId="46955"/>
    <cellStyle name="Обычный 8 8 2 4 8" xfId="46956"/>
    <cellStyle name="Обычный 8 8 2 4 8 2" xfId="46957"/>
    <cellStyle name="Обычный 8 8 2 4 9" xfId="46958"/>
    <cellStyle name="Обычный 8 8 2 5" xfId="46959"/>
    <cellStyle name="Обычный 8 8 2 5 2" xfId="46960"/>
    <cellStyle name="Обычный 8 8 2 5 2 2" xfId="46961"/>
    <cellStyle name="Обычный 8 8 2 5 2 2 2" xfId="46962"/>
    <cellStyle name="Обычный 8 8 2 5 2 2 2 2" xfId="46963"/>
    <cellStyle name="Обычный 8 8 2 5 2 2 2 2 2" xfId="46964"/>
    <cellStyle name="Обычный 8 8 2 5 2 2 2 2 3" xfId="46965"/>
    <cellStyle name="Обычный 8 8 2 5 2 2 2 3" xfId="46966"/>
    <cellStyle name="Обычный 8 8 2 5 2 2 2 3 2" xfId="46967"/>
    <cellStyle name="Обычный 8 8 2 5 2 2 2 3 3" xfId="46968"/>
    <cellStyle name="Обычный 8 8 2 5 2 2 2 4" xfId="46969"/>
    <cellStyle name="Обычный 8 8 2 5 2 2 2 4 2" xfId="46970"/>
    <cellStyle name="Обычный 8 8 2 5 2 2 2 5" xfId="46971"/>
    <cellStyle name="Обычный 8 8 2 5 2 2 2 6" xfId="46972"/>
    <cellStyle name="Обычный 8 8 2 5 2 2 3" xfId="46973"/>
    <cellStyle name="Обычный 8 8 2 5 2 2 3 2" xfId="46974"/>
    <cellStyle name="Обычный 8 8 2 5 2 2 3 3" xfId="46975"/>
    <cellStyle name="Обычный 8 8 2 5 2 2 4" xfId="46976"/>
    <cellStyle name="Обычный 8 8 2 5 2 2 4 2" xfId="46977"/>
    <cellStyle name="Обычный 8 8 2 5 2 2 4 3" xfId="46978"/>
    <cellStyle name="Обычный 8 8 2 5 2 2 5" xfId="46979"/>
    <cellStyle name="Обычный 8 8 2 5 2 2 5 2" xfId="46980"/>
    <cellStyle name="Обычный 8 8 2 5 2 2 6" xfId="46981"/>
    <cellStyle name="Обычный 8 8 2 5 2 2 7" xfId="46982"/>
    <cellStyle name="Обычный 8 8 2 5 2 3" xfId="46983"/>
    <cellStyle name="Обычный 8 8 2 5 2 3 2" xfId="46984"/>
    <cellStyle name="Обычный 8 8 2 5 2 3 2 2" xfId="46985"/>
    <cellStyle name="Обычный 8 8 2 5 2 3 2 3" xfId="46986"/>
    <cellStyle name="Обычный 8 8 2 5 2 3 3" xfId="46987"/>
    <cellStyle name="Обычный 8 8 2 5 2 3 3 2" xfId="46988"/>
    <cellStyle name="Обычный 8 8 2 5 2 3 3 3" xfId="46989"/>
    <cellStyle name="Обычный 8 8 2 5 2 3 4" xfId="46990"/>
    <cellStyle name="Обычный 8 8 2 5 2 3 4 2" xfId="46991"/>
    <cellStyle name="Обычный 8 8 2 5 2 3 5" xfId="46992"/>
    <cellStyle name="Обычный 8 8 2 5 2 3 6" xfId="46993"/>
    <cellStyle name="Обычный 8 8 2 5 2 4" xfId="46994"/>
    <cellStyle name="Обычный 8 8 2 5 2 4 2" xfId="46995"/>
    <cellStyle name="Обычный 8 8 2 5 2 4 3" xfId="46996"/>
    <cellStyle name="Обычный 8 8 2 5 2 5" xfId="46997"/>
    <cellStyle name="Обычный 8 8 2 5 2 5 2" xfId="46998"/>
    <cellStyle name="Обычный 8 8 2 5 2 5 3" xfId="46999"/>
    <cellStyle name="Обычный 8 8 2 5 2 6" xfId="47000"/>
    <cellStyle name="Обычный 8 8 2 5 2 6 2" xfId="47001"/>
    <cellStyle name="Обычный 8 8 2 5 2 7" xfId="47002"/>
    <cellStyle name="Обычный 8 8 2 5 2 8" xfId="47003"/>
    <cellStyle name="Обычный 8 8 2 5 3" xfId="47004"/>
    <cellStyle name="Обычный 8 8 2 5 3 2" xfId="47005"/>
    <cellStyle name="Обычный 8 8 2 5 3 2 2" xfId="47006"/>
    <cellStyle name="Обычный 8 8 2 5 3 2 2 2" xfId="47007"/>
    <cellStyle name="Обычный 8 8 2 5 3 2 2 3" xfId="47008"/>
    <cellStyle name="Обычный 8 8 2 5 3 2 3" xfId="47009"/>
    <cellStyle name="Обычный 8 8 2 5 3 2 3 2" xfId="47010"/>
    <cellStyle name="Обычный 8 8 2 5 3 2 3 3" xfId="47011"/>
    <cellStyle name="Обычный 8 8 2 5 3 2 4" xfId="47012"/>
    <cellStyle name="Обычный 8 8 2 5 3 2 4 2" xfId="47013"/>
    <cellStyle name="Обычный 8 8 2 5 3 2 5" xfId="47014"/>
    <cellStyle name="Обычный 8 8 2 5 3 2 6" xfId="47015"/>
    <cellStyle name="Обычный 8 8 2 5 3 3" xfId="47016"/>
    <cellStyle name="Обычный 8 8 2 5 3 3 2" xfId="47017"/>
    <cellStyle name="Обычный 8 8 2 5 3 3 3" xfId="47018"/>
    <cellStyle name="Обычный 8 8 2 5 3 4" xfId="47019"/>
    <cellStyle name="Обычный 8 8 2 5 3 4 2" xfId="47020"/>
    <cellStyle name="Обычный 8 8 2 5 3 4 3" xfId="47021"/>
    <cellStyle name="Обычный 8 8 2 5 3 5" xfId="47022"/>
    <cellStyle name="Обычный 8 8 2 5 3 5 2" xfId="47023"/>
    <cellStyle name="Обычный 8 8 2 5 3 6" xfId="47024"/>
    <cellStyle name="Обычный 8 8 2 5 3 7" xfId="47025"/>
    <cellStyle name="Обычный 8 8 2 5 4" xfId="47026"/>
    <cellStyle name="Обычный 8 8 2 5 4 2" xfId="47027"/>
    <cellStyle name="Обычный 8 8 2 5 4 2 2" xfId="47028"/>
    <cellStyle name="Обычный 8 8 2 5 4 2 3" xfId="47029"/>
    <cellStyle name="Обычный 8 8 2 5 4 3" xfId="47030"/>
    <cellStyle name="Обычный 8 8 2 5 4 3 2" xfId="47031"/>
    <cellStyle name="Обычный 8 8 2 5 4 3 3" xfId="47032"/>
    <cellStyle name="Обычный 8 8 2 5 4 4" xfId="47033"/>
    <cellStyle name="Обычный 8 8 2 5 4 4 2" xfId="47034"/>
    <cellStyle name="Обычный 8 8 2 5 4 5" xfId="47035"/>
    <cellStyle name="Обычный 8 8 2 5 4 6" xfId="47036"/>
    <cellStyle name="Обычный 8 8 2 5 5" xfId="47037"/>
    <cellStyle name="Обычный 8 8 2 5 5 2" xfId="47038"/>
    <cellStyle name="Обычный 8 8 2 5 5 3" xfId="47039"/>
    <cellStyle name="Обычный 8 8 2 5 6" xfId="47040"/>
    <cellStyle name="Обычный 8 8 2 5 6 2" xfId="47041"/>
    <cellStyle name="Обычный 8 8 2 5 6 3" xfId="47042"/>
    <cellStyle name="Обычный 8 8 2 5 7" xfId="47043"/>
    <cellStyle name="Обычный 8 8 2 5 7 2" xfId="47044"/>
    <cellStyle name="Обычный 8 8 2 5 8" xfId="47045"/>
    <cellStyle name="Обычный 8 8 2 5 9" xfId="47046"/>
    <cellStyle name="Обычный 8 8 2 6" xfId="47047"/>
    <cellStyle name="Обычный 8 8 2 6 2" xfId="47048"/>
    <cellStyle name="Обычный 8 8 2 6 2 2" xfId="47049"/>
    <cellStyle name="Обычный 8 8 2 6 2 2 2" xfId="47050"/>
    <cellStyle name="Обычный 8 8 2 6 2 2 2 2" xfId="47051"/>
    <cellStyle name="Обычный 8 8 2 6 2 2 2 3" xfId="47052"/>
    <cellStyle name="Обычный 8 8 2 6 2 2 3" xfId="47053"/>
    <cellStyle name="Обычный 8 8 2 6 2 2 3 2" xfId="47054"/>
    <cellStyle name="Обычный 8 8 2 6 2 2 3 3" xfId="47055"/>
    <cellStyle name="Обычный 8 8 2 6 2 2 4" xfId="47056"/>
    <cellStyle name="Обычный 8 8 2 6 2 2 4 2" xfId="47057"/>
    <cellStyle name="Обычный 8 8 2 6 2 2 5" xfId="47058"/>
    <cellStyle name="Обычный 8 8 2 6 2 2 6" xfId="47059"/>
    <cellStyle name="Обычный 8 8 2 6 2 3" xfId="47060"/>
    <cellStyle name="Обычный 8 8 2 6 2 3 2" xfId="47061"/>
    <cellStyle name="Обычный 8 8 2 6 2 3 3" xfId="47062"/>
    <cellStyle name="Обычный 8 8 2 6 2 4" xfId="47063"/>
    <cellStyle name="Обычный 8 8 2 6 2 4 2" xfId="47064"/>
    <cellStyle name="Обычный 8 8 2 6 2 4 3" xfId="47065"/>
    <cellStyle name="Обычный 8 8 2 6 2 5" xfId="47066"/>
    <cellStyle name="Обычный 8 8 2 6 2 5 2" xfId="47067"/>
    <cellStyle name="Обычный 8 8 2 6 2 6" xfId="47068"/>
    <cellStyle name="Обычный 8 8 2 6 2 7" xfId="47069"/>
    <cellStyle name="Обычный 8 8 2 6 3" xfId="47070"/>
    <cellStyle name="Обычный 8 8 2 6 3 2" xfId="47071"/>
    <cellStyle name="Обычный 8 8 2 6 3 2 2" xfId="47072"/>
    <cellStyle name="Обычный 8 8 2 6 3 2 3" xfId="47073"/>
    <cellStyle name="Обычный 8 8 2 6 3 3" xfId="47074"/>
    <cellStyle name="Обычный 8 8 2 6 3 3 2" xfId="47075"/>
    <cellStyle name="Обычный 8 8 2 6 3 3 3" xfId="47076"/>
    <cellStyle name="Обычный 8 8 2 6 3 4" xfId="47077"/>
    <cellStyle name="Обычный 8 8 2 6 3 4 2" xfId="47078"/>
    <cellStyle name="Обычный 8 8 2 6 3 5" xfId="47079"/>
    <cellStyle name="Обычный 8 8 2 6 3 6" xfId="47080"/>
    <cellStyle name="Обычный 8 8 2 6 4" xfId="47081"/>
    <cellStyle name="Обычный 8 8 2 6 4 2" xfId="47082"/>
    <cellStyle name="Обычный 8 8 2 6 4 3" xfId="47083"/>
    <cellStyle name="Обычный 8 8 2 6 5" xfId="47084"/>
    <cellStyle name="Обычный 8 8 2 6 5 2" xfId="47085"/>
    <cellStyle name="Обычный 8 8 2 6 5 3" xfId="47086"/>
    <cellStyle name="Обычный 8 8 2 6 6" xfId="47087"/>
    <cellStyle name="Обычный 8 8 2 6 6 2" xfId="47088"/>
    <cellStyle name="Обычный 8 8 2 6 7" xfId="47089"/>
    <cellStyle name="Обычный 8 8 2 6 8" xfId="47090"/>
    <cellStyle name="Обычный 8 8 2 7" xfId="47091"/>
    <cellStyle name="Обычный 8 8 2 7 2" xfId="47092"/>
    <cellStyle name="Обычный 8 8 2 7 2 2" xfId="47093"/>
    <cellStyle name="Обычный 8 8 2 7 2 2 2" xfId="47094"/>
    <cellStyle name="Обычный 8 8 2 7 2 2 3" xfId="47095"/>
    <cellStyle name="Обычный 8 8 2 7 2 3" xfId="47096"/>
    <cellStyle name="Обычный 8 8 2 7 2 3 2" xfId="47097"/>
    <cellStyle name="Обычный 8 8 2 7 2 3 3" xfId="47098"/>
    <cellStyle name="Обычный 8 8 2 7 2 4" xfId="47099"/>
    <cellStyle name="Обычный 8 8 2 7 2 4 2" xfId="47100"/>
    <cellStyle name="Обычный 8 8 2 7 2 5" xfId="47101"/>
    <cellStyle name="Обычный 8 8 2 7 2 6" xfId="47102"/>
    <cellStyle name="Обычный 8 8 2 7 3" xfId="47103"/>
    <cellStyle name="Обычный 8 8 2 7 3 2" xfId="47104"/>
    <cellStyle name="Обычный 8 8 2 7 3 3" xfId="47105"/>
    <cellStyle name="Обычный 8 8 2 7 4" xfId="47106"/>
    <cellStyle name="Обычный 8 8 2 7 4 2" xfId="47107"/>
    <cellStyle name="Обычный 8 8 2 7 4 3" xfId="47108"/>
    <cellStyle name="Обычный 8 8 2 7 5" xfId="47109"/>
    <cellStyle name="Обычный 8 8 2 7 5 2" xfId="47110"/>
    <cellStyle name="Обычный 8 8 2 7 6" xfId="47111"/>
    <cellStyle name="Обычный 8 8 2 7 7" xfId="47112"/>
    <cellStyle name="Обычный 8 8 2 8" xfId="47113"/>
    <cellStyle name="Обычный 8 8 2 8 2" xfId="47114"/>
    <cellStyle name="Обычный 8 8 2 8 2 2" xfId="47115"/>
    <cellStyle name="Обычный 8 8 2 8 2 3" xfId="47116"/>
    <cellStyle name="Обычный 8 8 2 8 3" xfId="47117"/>
    <cellStyle name="Обычный 8 8 2 8 3 2" xfId="47118"/>
    <cellStyle name="Обычный 8 8 2 8 3 3" xfId="47119"/>
    <cellStyle name="Обычный 8 8 2 8 4" xfId="47120"/>
    <cellStyle name="Обычный 8 8 2 8 4 2" xfId="47121"/>
    <cellStyle name="Обычный 8 8 2 8 5" xfId="47122"/>
    <cellStyle name="Обычный 8 8 2 8 6" xfId="47123"/>
    <cellStyle name="Обычный 8 8 2 9" xfId="47124"/>
    <cellStyle name="Обычный 8 8 2 9 2" xfId="47125"/>
    <cellStyle name="Обычный 8 8 2 9 3" xfId="47126"/>
    <cellStyle name="Обычный 8 8 3" xfId="47127"/>
    <cellStyle name="Обычный 8 8 3 10" xfId="47128"/>
    <cellStyle name="Обычный 8 8 3 2" xfId="47129"/>
    <cellStyle name="Обычный 8 8 3 2 2" xfId="47130"/>
    <cellStyle name="Обычный 8 8 3 2 2 2" xfId="47131"/>
    <cellStyle name="Обычный 8 8 3 2 2 2 2" xfId="47132"/>
    <cellStyle name="Обычный 8 8 3 2 2 2 2 2" xfId="47133"/>
    <cellStyle name="Обычный 8 8 3 2 2 2 2 2 2" xfId="47134"/>
    <cellStyle name="Обычный 8 8 3 2 2 2 2 2 3" xfId="47135"/>
    <cellStyle name="Обычный 8 8 3 2 2 2 2 3" xfId="47136"/>
    <cellStyle name="Обычный 8 8 3 2 2 2 2 3 2" xfId="47137"/>
    <cellStyle name="Обычный 8 8 3 2 2 2 2 3 3" xfId="47138"/>
    <cellStyle name="Обычный 8 8 3 2 2 2 2 4" xfId="47139"/>
    <cellStyle name="Обычный 8 8 3 2 2 2 2 4 2" xfId="47140"/>
    <cellStyle name="Обычный 8 8 3 2 2 2 2 5" xfId="47141"/>
    <cellStyle name="Обычный 8 8 3 2 2 2 2 6" xfId="47142"/>
    <cellStyle name="Обычный 8 8 3 2 2 2 3" xfId="47143"/>
    <cellStyle name="Обычный 8 8 3 2 2 2 3 2" xfId="47144"/>
    <cellStyle name="Обычный 8 8 3 2 2 2 3 3" xfId="47145"/>
    <cellStyle name="Обычный 8 8 3 2 2 2 4" xfId="47146"/>
    <cellStyle name="Обычный 8 8 3 2 2 2 4 2" xfId="47147"/>
    <cellStyle name="Обычный 8 8 3 2 2 2 4 3" xfId="47148"/>
    <cellStyle name="Обычный 8 8 3 2 2 2 5" xfId="47149"/>
    <cellStyle name="Обычный 8 8 3 2 2 2 5 2" xfId="47150"/>
    <cellStyle name="Обычный 8 8 3 2 2 2 6" xfId="47151"/>
    <cellStyle name="Обычный 8 8 3 2 2 2 7" xfId="47152"/>
    <cellStyle name="Обычный 8 8 3 2 2 3" xfId="47153"/>
    <cellStyle name="Обычный 8 8 3 2 2 3 2" xfId="47154"/>
    <cellStyle name="Обычный 8 8 3 2 2 3 2 2" xfId="47155"/>
    <cellStyle name="Обычный 8 8 3 2 2 3 2 3" xfId="47156"/>
    <cellStyle name="Обычный 8 8 3 2 2 3 3" xfId="47157"/>
    <cellStyle name="Обычный 8 8 3 2 2 3 3 2" xfId="47158"/>
    <cellStyle name="Обычный 8 8 3 2 2 3 3 3" xfId="47159"/>
    <cellStyle name="Обычный 8 8 3 2 2 3 4" xfId="47160"/>
    <cellStyle name="Обычный 8 8 3 2 2 3 4 2" xfId="47161"/>
    <cellStyle name="Обычный 8 8 3 2 2 3 5" xfId="47162"/>
    <cellStyle name="Обычный 8 8 3 2 2 3 6" xfId="47163"/>
    <cellStyle name="Обычный 8 8 3 2 2 4" xfId="47164"/>
    <cellStyle name="Обычный 8 8 3 2 2 4 2" xfId="47165"/>
    <cellStyle name="Обычный 8 8 3 2 2 4 3" xfId="47166"/>
    <cellStyle name="Обычный 8 8 3 2 2 5" xfId="47167"/>
    <cellStyle name="Обычный 8 8 3 2 2 5 2" xfId="47168"/>
    <cellStyle name="Обычный 8 8 3 2 2 5 3" xfId="47169"/>
    <cellStyle name="Обычный 8 8 3 2 2 6" xfId="47170"/>
    <cellStyle name="Обычный 8 8 3 2 2 6 2" xfId="47171"/>
    <cellStyle name="Обычный 8 8 3 2 2 7" xfId="47172"/>
    <cellStyle name="Обычный 8 8 3 2 2 8" xfId="47173"/>
    <cellStyle name="Обычный 8 8 3 2 3" xfId="47174"/>
    <cellStyle name="Обычный 8 8 3 2 3 2" xfId="47175"/>
    <cellStyle name="Обычный 8 8 3 2 3 2 2" xfId="47176"/>
    <cellStyle name="Обычный 8 8 3 2 3 2 2 2" xfId="47177"/>
    <cellStyle name="Обычный 8 8 3 2 3 2 2 3" xfId="47178"/>
    <cellStyle name="Обычный 8 8 3 2 3 2 3" xfId="47179"/>
    <cellStyle name="Обычный 8 8 3 2 3 2 3 2" xfId="47180"/>
    <cellStyle name="Обычный 8 8 3 2 3 2 3 3" xfId="47181"/>
    <cellStyle name="Обычный 8 8 3 2 3 2 4" xfId="47182"/>
    <cellStyle name="Обычный 8 8 3 2 3 2 4 2" xfId="47183"/>
    <cellStyle name="Обычный 8 8 3 2 3 2 5" xfId="47184"/>
    <cellStyle name="Обычный 8 8 3 2 3 2 6" xfId="47185"/>
    <cellStyle name="Обычный 8 8 3 2 3 3" xfId="47186"/>
    <cellStyle name="Обычный 8 8 3 2 3 3 2" xfId="47187"/>
    <cellStyle name="Обычный 8 8 3 2 3 3 3" xfId="47188"/>
    <cellStyle name="Обычный 8 8 3 2 3 4" xfId="47189"/>
    <cellStyle name="Обычный 8 8 3 2 3 4 2" xfId="47190"/>
    <cellStyle name="Обычный 8 8 3 2 3 4 3" xfId="47191"/>
    <cellStyle name="Обычный 8 8 3 2 3 5" xfId="47192"/>
    <cellStyle name="Обычный 8 8 3 2 3 5 2" xfId="47193"/>
    <cellStyle name="Обычный 8 8 3 2 3 6" xfId="47194"/>
    <cellStyle name="Обычный 8 8 3 2 3 7" xfId="47195"/>
    <cellStyle name="Обычный 8 8 3 2 4" xfId="47196"/>
    <cellStyle name="Обычный 8 8 3 2 4 2" xfId="47197"/>
    <cellStyle name="Обычный 8 8 3 2 4 2 2" xfId="47198"/>
    <cellStyle name="Обычный 8 8 3 2 4 2 3" xfId="47199"/>
    <cellStyle name="Обычный 8 8 3 2 4 3" xfId="47200"/>
    <cellStyle name="Обычный 8 8 3 2 4 3 2" xfId="47201"/>
    <cellStyle name="Обычный 8 8 3 2 4 3 3" xfId="47202"/>
    <cellStyle name="Обычный 8 8 3 2 4 4" xfId="47203"/>
    <cellStyle name="Обычный 8 8 3 2 4 4 2" xfId="47204"/>
    <cellStyle name="Обычный 8 8 3 2 4 5" xfId="47205"/>
    <cellStyle name="Обычный 8 8 3 2 4 6" xfId="47206"/>
    <cellStyle name="Обычный 8 8 3 2 5" xfId="47207"/>
    <cellStyle name="Обычный 8 8 3 2 5 2" xfId="47208"/>
    <cellStyle name="Обычный 8 8 3 2 5 3" xfId="47209"/>
    <cellStyle name="Обычный 8 8 3 2 6" xfId="47210"/>
    <cellStyle name="Обычный 8 8 3 2 6 2" xfId="47211"/>
    <cellStyle name="Обычный 8 8 3 2 6 3" xfId="47212"/>
    <cellStyle name="Обычный 8 8 3 2 7" xfId="47213"/>
    <cellStyle name="Обычный 8 8 3 2 7 2" xfId="47214"/>
    <cellStyle name="Обычный 8 8 3 2 8" xfId="47215"/>
    <cellStyle name="Обычный 8 8 3 2 9" xfId="47216"/>
    <cellStyle name="Обычный 8 8 3 3" xfId="47217"/>
    <cellStyle name="Обычный 8 8 3 3 2" xfId="47218"/>
    <cellStyle name="Обычный 8 8 3 3 2 2" xfId="47219"/>
    <cellStyle name="Обычный 8 8 3 3 2 2 2" xfId="47220"/>
    <cellStyle name="Обычный 8 8 3 3 2 2 2 2" xfId="47221"/>
    <cellStyle name="Обычный 8 8 3 3 2 2 2 3" xfId="47222"/>
    <cellStyle name="Обычный 8 8 3 3 2 2 3" xfId="47223"/>
    <cellStyle name="Обычный 8 8 3 3 2 2 3 2" xfId="47224"/>
    <cellStyle name="Обычный 8 8 3 3 2 2 3 3" xfId="47225"/>
    <cellStyle name="Обычный 8 8 3 3 2 2 4" xfId="47226"/>
    <cellStyle name="Обычный 8 8 3 3 2 2 4 2" xfId="47227"/>
    <cellStyle name="Обычный 8 8 3 3 2 2 5" xfId="47228"/>
    <cellStyle name="Обычный 8 8 3 3 2 2 6" xfId="47229"/>
    <cellStyle name="Обычный 8 8 3 3 2 3" xfId="47230"/>
    <cellStyle name="Обычный 8 8 3 3 2 3 2" xfId="47231"/>
    <cellStyle name="Обычный 8 8 3 3 2 3 3" xfId="47232"/>
    <cellStyle name="Обычный 8 8 3 3 2 4" xfId="47233"/>
    <cellStyle name="Обычный 8 8 3 3 2 4 2" xfId="47234"/>
    <cellStyle name="Обычный 8 8 3 3 2 4 3" xfId="47235"/>
    <cellStyle name="Обычный 8 8 3 3 2 5" xfId="47236"/>
    <cellStyle name="Обычный 8 8 3 3 2 5 2" xfId="47237"/>
    <cellStyle name="Обычный 8 8 3 3 2 6" xfId="47238"/>
    <cellStyle name="Обычный 8 8 3 3 2 7" xfId="47239"/>
    <cellStyle name="Обычный 8 8 3 3 3" xfId="47240"/>
    <cellStyle name="Обычный 8 8 3 3 3 2" xfId="47241"/>
    <cellStyle name="Обычный 8 8 3 3 3 2 2" xfId="47242"/>
    <cellStyle name="Обычный 8 8 3 3 3 2 3" xfId="47243"/>
    <cellStyle name="Обычный 8 8 3 3 3 3" xfId="47244"/>
    <cellStyle name="Обычный 8 8 3 3 3 3 2" xfId="47245"/>
    <cellStyle name="Обычный 8 8 3 3 3 3 3" xfId="47246"/>
    <cellStyle name="Обычный 8 8 3 3 3 4" xfId="47247"/>
    <cellStyle name="Обычный 8 8 3 3 3 4 2" xfId="47248"/>
    <cellStyle name="Обычный 8 8 3 3 3 5" xfId="47249"/>
    <cellStyle name="Обычный 8 8 3 3 3 6" xfId="47250"/>
    <cellStyle name="Обычный 8 8 3 3 4" xfId="47251"/>
    <cellStyle name="Обычный 8 8 3 3 4 2" xfId="47252"/>
    <cellStyle name="Обычный 8 8 3 3 4 3" xfId="47253"/>
    <cellStyle name="Обычный 8 8 3 3 5" xfId="47254"/>
    <cellStyle name="Обычный 8 8 3 3 5 2" xfId="47255"/>
    <cellStyle name="Обычный 8 8 3 3 5 3" xfId="47256"/>
    <cellStyle name="Обычный 8 8 3 3 6" xfId="47257"/>
    <cellStyle name="Обычный 8 8 3 3 6 2" xfId="47258"/>
    <cellStyle name="Обычный 8 8 3 3 7" xfId="47259"/>
    <cellStyle name="Обычный 8 8 3 3 8" xfId="47260"/>
    <cellStyle name="Обычный 8 8 3 4" xfId="47261"/>
    <cellStyle name="Обычный 8 8 3 4 2" xfId="47262"/>
    <cellStyle name="Обычный 8 8 3 4 2 2" xfId="47263"/>
    <cellStyle name="Обычный 8 8 3 4 2 2 2" xfId="47264"/>
    <cellStyle name="Обычный 8 8 3 4 2 2 3" xfId="47265"/>
    <cellStyle name="Обычный 8 8 3 4 2 3" xfId="47266"/>
    <cellStyle name="Обычный 8 8 3 4 2 3 2" xfId="47267"/>
    <cellStyle name="Обычный 8 8 3 4 2 3 3" xfId="47268"/>
    <cellStyle name="Обычный 8 8 3 4 2 4" xfId="47269"/>
    <cellStyle name="Обычный 8 8 3 4 2 4 2" xfId="47270"/>
    <cellStyle name="Обычный 8 8 3 4 2 5" xfId="47271"/>
    <cellStyle name="Обычный 8 8 3 4 2 6" xfId="47272"/>
    <cellStyle name="Обычный 8 8 3 4 3" xfId="47273"/>
    <cellStyle name="Обычный 8 8 3 4 3 2" xfId="47274"/>
    <cellStyle name="Обычный 8 8 3 4 3 3" xfId="47275"/>
    <cellStyle name="Обычный 8 8 3 4 4" xfId="47276"/>
    <cellStyle name="Обычный 8 8 3 4 4 2" xfId="47277"/>
    <cellStyle name="Обычный 8 8 3 4 4 3" xfId="47278"/>
    <cellStyle name="Обычный 8 8 3 4 5" xfId="47279"/>
    <cellStyle name="Обычный 8 8 3 4 5 2" xfId="47280"/>
    <cellStyle name="Обычный 8 8 3 4 6" xfId="47281"/>
    <cellStyle name="Обычный 8 8 3 4 7" xfId="47282"/>
    <cellStyle name="Обычный 8 8 3 5" xfId="47283"/>
    <cellStyle name="Обычный 8 8 3 5 2" xfId="47284"/>
    <cellStyle name="Обычный 8 8 3 5 2 2" xfId="47285"/>
    <cellStyle name="Обычный 8 8 3 5 2 3" xfId="47286"/>
    <cellStyle name="Обычный 8 8 3 5 3" xfId="47287"/>
    <cellStyle name="Обычный 8 8 3 5 3 2" xfId="47288"/>
    <cellStyle name="Обычный 8 8 3 5 3 3" xfId="47289"/>
    <cellStyle name="Обычный 8 8 3 5 4" xfId="47290"/>
    <cellStyle name="Обычный 8 8 3 5 4 2" xfId="47291"/>
    <cellStyle name="Обычный 8 8 3 5 5" xfId="47292"/>
    <cellStyle name="Обычный 8 8 3 5 6" xfId="47293"/>
    <cellStyle name="Обычный 8 8 3 6" xfId="47294"/>
    <cellStyle name="Обычный 8 8 3 6 2" xfId="47295"/>
    <cellStyle name="Обычный 8 8 3 6 3" xfId="47296"/>
    <cellStyle name="Обычный 8 8 3 7" xfId="47297"/>
    <cellStyle name="Обычный 8 8 3 7 2" xfId="47298"/>
    <cellStyle name="Обычный 8 8 3 7 3" xfId="47299"/>
    <cellStyle name="Обычный 8 8 3 8" xfId="47300"/>
    <cellStyle name="Обычный 8 8 3 8 2" xfId="47301"/>
    <cellStyle name="Обычный 8 8 3 9" xfId="47302"/>
    <cellStyle name="Обычный 8 8 4" xfId="47303"/>
    <cellStyle name="Обычный 8 8 4 10" xfId="47304"/>
    <cellStyle name="Обычный 8 8 4 2" xfId="47305"/>
    <cellStyle name="Обычный 8 8 4 2 2" xfId="47306"/>
    <cellStyle name="Обычный 8 8 4 2 2 2" xfId="47307"/>
    <cellStyle name="Обычный 8 8 4 2 2 2 2" xfId="47308"/>
    <cellStyle name="Обычный 8 8 4 2 2 2 2 2" xfId="47309"/>
    <cellStyle name="Обычный 8 8 4 2 2 2 2 2 2" xfId="47310"/>
    <cellStyle name="Обычный 8 8 4 2 2 2 2 2 3" xfId="47311"/>
    <cellStyle name="Обычный 8 8 4 2 2 2 2 3" xfId="47312"/>
    <cellStyle name="Обычный 8 8 4 2 2 2 2 3 2" xfId="47313"/>
    <cellStyle name="Обычный 8 8 4 2 2 2 2 3 3" xfId="47314"/>
    <cellStyle name="Обычный 8 8 4 2 2 2 2 4" xfId="47315"/>
    <cellStyle name="Обычный 8 8 4 2 2 2 2 4 2" xfId="47316"/>
    <cellStyle name="Обычный 8 8 4 2 2 2 2 5" xfId="47317"/>
    <cellStyle name="Обычный 8 8 4 2 2 2 2 6" xfId="47318"/>
    <cellStyle name="Обычный 8 8 4 2 2 2 3" xfId="47319"/>
    <cellStyle name="Обычный 8 8 4 2 2 2 3 2" xfId="47320"/>
    <cellStyle name="Обычный 8 8 4 2 2 2 3 3" xfId="47321"/>
    <cellStyle name="Обычный 8 8 4 2 2 2 4" xfId="47322"/>
    <cellStyle name="Обычный 8 8 4 2 2 2 4 2" xfId="47323"/>
    <cellStyle name="Обычный 8 8 4 2 2 2 4 3" xfId="47324"/>
    <cellStyle name="Обычный 8 8 4 2 2 2 5" xfId="47325"/>
    <cellStyle name="Обычный 8 8 4 2 2 2 5 2" xfId="47326"/>
    <cellStyle name="Обычный 8 8 4 2 2 2 6" xfId="47327"/>
    <cellStyle name="Обычный 8 8 4 2 2 2 7" xfId="47328"/>
    <cellStyle name="Обычный 8 8 4 2 2 3" xfId="47329"/>
    <cellStyle name="Обычный 8 8 4 2 2 3 2" xfId="47330"/>
    <cellStyle name="Обычный 8 8 4 2 2 3 2 2" xfId="47331"/>
    <cellStyle name="Обычный 8 8 4 2 2 3 2 3" xfId="47332"/>
    <cellStyle name="Обычный 8 8 4 2 2 3 3" xfId="47333"/>
    <cellStyle name="Обычный 8 8 4 2 2 3 3 2" xfId="47334"/>
    <cellStyle name="Обычный 8 8 4 2 2 3 3 3" xfId="47335"/>
    <cellStyle name="Обычный 8 8 4 2 2 3 4" xfId="47336"/>
    <cellStyle name="Обычный 8 8 4 2 2 3 4 2" xfId="47337"/>
    <cellStyle name="Обычный 8 8 4 2 2 3 5" xfId="47338"/>
    <cellStyle name="Обычный 8 8 4 2 2 3 6" xfId="47339"/>
    <cellStyle name="Обычный 8 8 4 2 2 4" xfId="47340"/>
    <cellStyle name="Обычный 8 8 4 2 2 4 2" xfId="47341"/>
    <cellStyle name="Обычный 8 8 4 2 2 4 3" xfId="47342"/>
    <cellStyle name="Обычный 8 8 4 2 2 5" xfId="47343"/>
    <cellStyle name="Обычный 8 8 4 2 2 5 2" xfId="47344"/>
    <cellStyle name="Обычный 8 8 4 2 2 5 3" xfId="47345"/>
    <cellStyle name="Обычный 8 8 4 2 2 6" xfId="47346"/>
    <cellStyle name="Обычный 8 8 4 2 2 6 2" xfId="47347"/>
    <cellStyle name="Обычный 8 8 4 2 2 7" xfId="47348"/>
    <cellStyle name="Обычный 8 8 4 2 2 8" xfId="47349"/>
    <cellStyle name="Обычный 8 8 4 2 3" xfId="47350"/>
    <cellStyle name="Обычный 8 8 4 2 3 2" xfId="47351"/>
    <cellStyle name="Обычный 8 8 4 2 3 2 2" xfId="47352"/>
    <cellStyle name="Обычный 8 8 4 2 3 2 2 2" xfId="47353"/>
    <cellStyle name="Обычный 8 8 4 2 3 2 2 3" xfId="47354"/>
    <cellStyle name="Обычный 8 8 4 2 3 2 3" xfId="47355"/>
    <cellStyle name="Обычный 8 8 4 2 3 2 3 2" xfId="47356"/>
    <cellStyle name="Обычный 8 8 4 2 3 2 3 3" xfId="47357"/>
    <cellStyle name="Обычный 8 8 4 2 3 2 4" xfId="47358"/>
    <cellStyle name="Обычный 8 8 4 2 3 2 4 2" xfId="47359"/>
    <cellStyle name="Обычный 8 8 4 2 3 2 5" xfId="47360"/>
    <cellStyle name="Обычный 8 8 4 2 3 2 6" xfId="47361"/>
    <cellStyle name="Обычный 8 8 4 2 3 3" xfId="47362"/>
    <cellStyle name="Обычный 8 8 4 2 3 3 2" xfId="47363"/>
    <cellStyle name="Обычный 8 8 4 2 3 3 3" xfId="47364"/>
    <cellStyle name="Обычный 8 8 4 2 3 4" xfId="47365"/>
    <cellStyle name="Обычный 8 8 4 2 3 4 2" xfId="47366"/>
    <cellStyle name="Обычный 8 8 4 2 3 4 3" xfId="47367"/>
    <cellStyle name="Обычный 8 8 4 2 3 5" xfId="47368"/>
    <cellStyle name="Обычный 8 8 4 2 3 5 2" xfId="47369"/>
    <cellStyle name="Обычный 8 8 4 2 3 6" xfId="47370"/>
    <cellStyle name="Обычный 8 8 4 2 3 7" xfId="47371"/>
    <cellStyle name="Обычный 8 8 4 2 4" xfId="47372"/>
    <cellStyle name="Обычный 8 8 4 2 4 2" xfId="47373"/>
    <cellStyle name="Обычный 8 8 4 2 4 2 2" xfId="47374"/>
    <cellStyle name="Обычный 8 8 4 2 4 2 3" xfId="47375"/>
    <cellStyle name="Обычный 8 8 4 2 4 3" xfId="47376"/>
    <cellStyle name="Обычный 8 8 4 2 4 3 2" xfId="47377"/>
    <cellStyle name="Обычный 8 8 4 2 4 3 3" xfId="47378"/>
    <cellStyle name="Обычный 8 8 4 2 4 4" xfId="47379"/>
    <cellStyle name="Обычный 8 8 4 2 4 4 2" xfId="47380"/>
    <cellStyle name="Обычный 8 8 4 2 4 5" xfId="47381"/>
    <cellStyle name="Обычный 8 8 4 2 4 6" xfId="47382"/>
    <cellStyle name="Обычный 8 8 4 2 5" xfId="47383"/>
    <cellStyle name="Обычный 8 8 4 2 5 2" xfId="47384"/>
    <cellStyle name="Обычный 8 8 4 2 5 3" xfId="47385"/>
    <cellStyle name="Обычный 8 8 4 2 6" xfId="47386"/>
    <cellStyle name="Обычный 8 8 4 2 6 2" xfId="47387"/>
    <cellStyle name="Обычный 8 8 4 2 6 3" xfId="47388"/>
    <cellStyle name="Обычный 8 8 4 2 7" xfId="47389"/>
    <cellStyle name="Обычный 8 8 4 2 7 2" xfId="47390"/>
    <cellStyle name="Обычный 8 8 4 2 8" xfId="47391"/>
    <cellStyle name="Обычный 8 8 4 2 9" xfId="47392"/>
    <cellStyle name="Обычный 8 8 4 3" xfId="47393"/>
    <cellStyle name="Обычный 8 8 4 3 2" xfId="47394"/>
    <cellStyle name="Обычный 8 8 4 3 2 2" xfId="47395"/>
    <cellStyle name="Обычный 8 8 4 3 2 2 2" xfId="47396"/>
    <cellStyle name="Обычный 8 8 4 3 2 2 2 2" xfId="47397"/>
    <cellStyle name="Обычный 8 8 4 3 2 2 2 3" xfId="47398"/>
    <cellStyle name="Обычный 8 8 4 3 2 2 3" xfId="47399"/>
    <cellStyle name="Обычный 8 8 4 3 2 2 3 2" xfId="47400"/>
    <cellStyle name="Обычный 8 8 4 3 2 2 3 3" xfId="47401"/>
    <cellStyle name="Обычный 8 8 4 3 2 2 4" xfId="47402"/>
    <cellStyle name="Обычный 8 8 4 3 2 2 4 2" xfId="47403"/>
    <cellStyle name="Обычный 8 8 4 3 2 2 5" xfId="47404"/>
    <cellStyle name="Обычный 8 8 4 3 2 2 6" xfId="47405"/>
    <cellStyle name="Обычный 8 8 4 3 2 3" xfId="47406"/>
    <cellStyle name="Обычный 8 8 4 3 2 3 2" xfId="47407"/>
    <cellStyle name="Обычный 8 8 4 3 2 3 3" xfId="47408"/>
    <cellStyle name="Обычный 8 8 4 3 2 4" xfId="47409"/>
    <cellStyle name="Обычный 8 8 4 3 2 4 2" xfId="47410"/>
    <cellStyle name="Обычный 8 8 4 3 2 4 3" xfId="47411"/>
    <cellStyle name="Обычный 8 8 4 3 2 5" xfId="47412"/>
    <cellStyle name="Обычный 8 8 4 3 2 5 2" xfId="47413"/>
    <cellStyle name="Обычный 8 8 4 3 2 6" xfId="47414"/>
    <cellStyle name="Обычный 8 8 4 3 2 7" xfId="47415"/>
    <cellStyle name="Обычный 8 8 4 3 3" xfId="47416"/>
    <cellStyle name="Обычный 8 8 4 3 3 2" xfId="47417"/>
    <cellStyle name="Обычный 8 8 4 3 3 2 2" xfId="47418"/>
    <cellStyle name="Обычный 8 8 4 3 3 2 3" xfId="47419"/>
    <cellStyle name="Обычный 8 8 4 3 3 3" xfId="47420"/>
    <cellStyle name="Обычный 8 8 4 3 3 3 2" xfId="47421"/>
    <cellStyle name="Обычный 8 8 4 3 3 3 3" xfId="47422"/>
    <cellStyle name="Обычный 8 8 4 3 3 4" xfId="47423"/>
    <cellStyle name="Обычный 8 8 4 3 3 4 2" xfId="47424"/>
    <cellStyle name="Обычный 8 8 4 3 3 5" xfId="47425"/>
    <cellStyle name="Обычный 8 8 4 3 3 6" xfId="47426"/>
    <cellStyle name="Обычный 8 8 4 3 4" xfId="47427"/>
    <cellStyle name="Обычный 8 8 4 3 4 2" xfId="47428"/>
    <cellStyle name="Обычный 8 8 4 3 4 3" xfId="47429"/>
    <cellStyle name="Обычный 8 8 4 3 5" xfId="47430"/>
    <cellStyle name="Обычный 8 8 4 3 5 2" xfId="47431"/>
    <cellStyle name="Обычный 8 8 4 3 5 3" xfId="47432"/>
    <cellStyle name="Обычный 8 8 4 3 6" xfId="47433"/>
    <cellStyle name="Обычный 8 8 4 3 6 2" xfId="47434"/>
    <cellStyle name="Обычный 8 8 4 3 7" xfId="47435"/>
    <cellStyle name="Обычный 8 8 4 3 8" xfId="47436"/>
    <cellStyle name="Обычный 8 8 4 4" xfId="47437"/>
    <cellStyle name="Обычный 8 8 4 4 2" xfId="47438"/>
    <cellStyle name="Обычный 8 8 4 4 2 2" xfId="47439"/>
    <cellStyle name="Обычный 8 8 4 4 2 2 2" xfId="47440"/>
    <cellStyle name="Обычный 8 8 4 4 2 2 3" xfId="47441"/>
    <cellStyle name="Обычный 8 8 4 4 2 3" xfId="47442"/>
    <cellStyle name="Обычный 8 8 4 4 2 3 2" xfId="47443"/>
    <cellStyle name="Обычный 8 8 4 4 2 3 3" xfId="47444"/>
    <cellStyle name="Обычный 8 8 4 4 2 4" xfId="47445"/>
    <cellStyle name="Обычный 8 8 4 4 2 4 2" xfId="47446"/>
    <cellStyle name="Обычный 8 8 4 4 2 5" xfId="47447"/>
    <cellStyle name="Обычный 8 8 4 4 2 6" xfId="47448"/>
    <cellStyle name="Обычный 8 8 4 4 3" xfId="47449"/>
    <cellStyle name="Обычный 8 8 4 4 3 2" xfId="47450"/>
    <cellStyle name="Обычный 8 8 4 4 3 3" xfId="47451"/>
    <cellStyle name="Обычный 8 8 4 4 4" xfId="47452"/>
    <cellStyle name="Обычный 8 8 4 4 4 2" xfId="47453"/>
    <cellStyle name="Обычный 8 8 4 4 4 3" xfId="47454"/>
    <cellStyle name="Обычный 8 8 4 4 5" xfId="47455"/>
    <cellStyle name="Обычный 8 8 4 4 5 2" xfId="47456"/>
    <cellStyle name="Обычный 8 8 4 4 6" xfId="47457"/>
    <cellStyle name="Обычный 8 8 4 4 7" xfId="47458"/>
    <cellStyle name="Обычный 8 8 4 5" xfId="47459"/>
    <cellStyle name="Обычный 8 8 4 5 2" xfId="47460"/>
    <cellStyle name="Обычный 8 8 4 5 2 2" xfId="47461"/>
    <cellStyle name="Обычный 8 8 4 5 2 3" xfId="47462"/>
    <cellStyle name="Обычный 8 8 4 5 3" xfId="47463"/>
    <cellStyle name="Обычный 8 8 4 5 3 2" xfId="47464"/>
    <cellStyle name="Обычный 8 8 4 5 3 3" xfId="47465"/>
    <cellStyle name="Обычный 8 8 4 5 4" xfId="47466"/>
    <cellStyle name="Обычный 8 8 4 5 4 2" xfId="47467"/>
    <cellStyle name="Обычный 8 8 4 5 5" xfId="47468"/>
    <cellStyle name="Обычный 8 8 4 5 6" xfId="47469"/>
    <cellStyle name="Обычный 8 8 4 6" xfId="47470"/>
    <cellStyle name="Обычный 8 8 4 6 2" xfId="47471"/>
    <cellStyle name="Обычный 8 8 4 6 3" xfId="47472"/>
    <cellStyle name="Обычный 8 8 4 7" xfId="47473"/>
    <cellStyle name="Обычный 8 8 4 7 2" xfId="47474"/>
    <cellStyle name="Обычный 8 8 4 7 3" xfId="47475"/>
    <cellStyle name="Обычный 8 8 4 8" xfId="47476"/>
    <cellStyle name="Обычный 8 8 4 8 2" xfId="47477"/>
    <cellStyle name="Обычный 8 8 4 9" xfId="47478"/>
    <cellStyle name="Обычный 8 8 5" xfId="47479"/>
    <cellStyle name="Обычный 8 8 5 10" xfId="47480"/>
    <cellStyle name="Обычный 8 8 5 2" xfId="47481"/>
    <cellStyle name="Обычный 8 8 5 2 2" xfId="47482"/>
    <cellStyle name="Обычный 8 8 5 2 2 2" xfId="47483"/>
    <cellStyle name="Обычный 8 8 5 2 2 2 2" xfId="47484"/>
    <cellStyle name="Обычный 8 8 5 2 2 2 2 2" xfId="47485"/>
    <cellStyle name="Обычный 8 8 5 2 2 2 2 2 2" xfId="47486"/>
    <cellStyle name="Обычный 8 8 5 2 2 2 2 2 3" xfId="47487"/>
    <cellStyle name="Обычный 8 8 5 2 2 2 2 3" xfId="47488"/>
    <cellStyle name="Обычный 8 8 5 2 2 2 2 3 2" xfId="47489"/>
    <cellStyle name="Обычный 8 8 5 2 2 2 2 3 3" xfId="47490"/>
    <cellStyle name="Обычный 8 8 5 2 2 2 2 4" xfId="47491"/>
    <cellStyle name="Обычный 8 8 5 2 2 2 2 4 2" xfId="47492"/>
    <cellStyle name="Обычный 8 8 5 2 2 2 2 5" xfId="47493"/>
    <cellStyle name="Обычный 8 8 5 2 2 2 2 6" xfId="47494"/>
    <cellStyle name="Обычный 8 8 5 2 2 2 3" xfId="47495"/>
    <cellStyle name="Обычный 8 8 5 2 2 2 3 2" xfId="47496"/>
    <cellStyle name="Обычный 8 8 5 2 2 2 3 3" xfId="47497"/>
    <cellStyle name="Обычный 8 8 5 2 2 2 4" xfId="47498"/>
    <cellStyle name="Обычный 8 8 5 2 2 2 4 2" xfId="47499"/>
    <cellStyle name="Обычный 8 8 5 2 2 2 4 3" xfId="47500"/>
    <cellStyle name="Обычный 8 8 5 2 2 2 5" xfId="47501"/>
    <cellStyle name="Обычный 8 8 5 2 2 2 5 2" xfId="47502"/>
    <cellStyle name="Обычный 8 8 5 2 2 2 6" xfId="47503"/>
    <cellStyle name="Обычный 8 8 5 2 2 2 7" xfId="47504"/>
    <cellStyle name="Обычный 8 8 5 2 2 3" xfId="47505"/>
    <cellStyle name="Обычный 8 8 5 2 2 3 2" xfId="47506"/>
    <cellStyle name="Обычный 8 8 5 2 2 3 2 2" xfId="47507"/>
    <cellStyle name="Обычный 8 8 5 2 2 3 2 3" xfId="47508"/>
    <cellStyle name="Обычный 8 8 5 2 2 3 3" xfId="47509"/>
    <cellStyle name="Обычный 8 8 5 2 2 3 3 2" xfId="47510"/>
    <cellStyle name="Обычный 8 8 5 2 2 3 3 3" xfId="47511"/>
    <cellStyle name="Обычный 8 8 5 2 2 3 4" xfId="47512"/>
    <cellStyle name="Обычный 8 8 5 2 2 3 4 2" xfId="47513"/>
    <cellStyle name="Обычный 8 8 5 2 2 3 5" xfId="47514"/>
    <cellStyle name="Обычный 8 8 5 2 2 3 6" xfId="47515"/>
    <cellStyle name="Обычный 8 8 5 2 2 4" xfId="47516"/>
    <cellStyle name="Обычный 8 8 5 2 2 4 2" xfId="47517"/>
    <cellStyle name="Обычный 8 8 5 2 2 4 3" xfId="47518"/>
    <cellStyle name="Обычный 8 8 5 2 2 5" xfId="47519"/>
    <cellStyle name="Обычный 8 8 5 2 2 5 2" xfId="47520"/>
    <cellStyle name="Обычный 8 8 5 2 2 5 3" xfId="47521"/>
    <cellStyle name="Обычный 8 8 5 2 2 6" xfId="47522"/>
    <cellStyle name="Обычный 8 8 5 2 2 6 2" xfId="47523"/>
    <cellStyle name="Обычный 8 8 5 2 2 7" xfId="47524"/>
    <cellStyle name="Обычный 8 8 5 2 2 8" xfId="47525"/>
    <cellStyle name="Обычный 8 8 5 2 3" xfId="47526"/>
    <cellStyle name="Обычный 8 8 5 2 3 2" xfId="47527"/>
    <cellStyle name="Обычный 8 8 5 2 3 2 2" xfId="47528"/>
    <cellStyle name="Обычный 8 8 5 2 3 2 2 2" xfId="47529"/>
    <cellStyle name="Обычный 8 8 5 2 3 2 2 3" xfId="47530"/>
    <cellStyle name="Обычный 8 8 5 2 3 2 3" xfId="47531"/>
    <cellStyle name="Обычный 8 8 5 2 3 2 3 2" xfId="47532"/>
    <cellStyle name="Обычный 8 8 5 2 3 2 3 3" xfId="47533"/>
    <cellStyle name="Обычный 8 8 5 2 3 2 4" xfId="47534"/>
    <cellStyle name="Обычный 8 8 5 2 3 2 4 2" xfId="47535"/>
    <cellStyle name="Обычный 8 8 5 2 3 2 5" xfId="47536"/>
    <cellStyle name="Обычный 8 8 5 2 3 2 6" xfId="47537"/>
    <cellStyle name="Обычный 8 8 5 2 3 3" xfId="47538"/>
    <cellStyle name="Обычный 8 8 5 2 3 3 2" xfId="47539"/>
    <cellStyle name="Обычный 8 8 5 2 3 3 3" xfId="47540"/>
    <cellStyle name="Обычный 8 8 5 2 3 4" xfId="47541"/>
    <cellStyle name="Обычный 8 8 5 2 3 4 2" xfId="47542"/>
    <cellStyle name="Обычный 8 8 5 2 3 4 3" xfId="47543"/>
    <cellStyle name="Обычный 8 8 5 2 3 5" xfId="47544"/>
    <cellStyle name="Обычный 8 8 5 2 3 5 2" xfId="47545"/>
    <cellStyle name="Обычный 8 8 5 2 3 6" xfId="47546"/>
    <cellStyle name="Обычный 8 8 5 2 3 7" xfId="47547"/>
    <cellStyle name="Обычный 8 8 5 2 4" xfId="47548"/>
    <cellStyle name="Обычный 8 8 5 2 4 2" xfId="47549"/>
    <cellStyle name="Обычный 8 8 5 2 4 2 2" xfId="47550"/>
    <cellStyle name="Обычный 8 8 5 2 4 2 3" xfId="47551"/>
    <cellStyle name="Обычный 8 8 5 2 4 3" xfId="47552"/>
    <cellStyle name="Обычный 8 8 5 2 4 3 2" xfId="47553"/>
    <cellStyle name="Обычный 8 8 5 2 4 3 3" xfId="47554"/>
    <cellStyle name="Обычный 8 8 5 2 4 4" xfId="47555"/>
    <cellStyle name="Обычный 8 8 5 2 4 4 2" xfId="47556"/>
    <cellStyle name="Обычный 8 8 5 2 4 5" xfId="47557"/>
    <cellStyle name="Обычный 8 8 5 2 4 6" xfId="47558"/>
    <cellStyle name="Обычный 8 8 5 2 5" xfId="47559"/>
    <cellStyle name="Обычный 8 8 5 2 5 2" xfId="47560"/>
    <cellStyle name="Обычный 8 8 5 2 5 3" xfId="47561"/>
    <cellStyle name="Обычный 8 8 5 2 6" xfId="47562"/>
    <cellStyle name="Обычный 8 8 5 2 6 2" xfId="47563"/>
    <cellStyle name="Обычный 8 8 5 2 6 3" xfId="47564"/>
    <cellStyle name="Обычный 8 8 5 2 7" xfId="47565"/>
    <cellStyle name="Обычный 8 8 5 2 7 2" xfId="47566"/>
    <cellStyle name="Обычный 8 8 5 2 8" xfId="47567"/>
    <cellStyle name="Обычный 8 8 5 2 9" xfId="47568"/>
    <cellStyle name="Обычный 8 8 5 3" xfId="47569"/>
    <cellStyle name="Обычный 8 8 5 3 2" xfId="47570"/>
    <cellStyle name="Обычный 8 8 5 3 2 2" xfId="47571"/>
    <cellStyle name="Обычный 8 8 5 3 2 2 2" xfId="47572"/>
    <cellStyle name="Обычный 8 8 5 3 2 2 2 2" xfId="47573"/>
    <cellStyle name="Обычный 8 8 5 3 2 2 2 3" xfId="47574"/>
    <cellStyle name="Обычный 8 8 5 3 2 2 3" xfId="47575"/>
    <cellStyle name="Обычный 8 8 5 3 2 2 3 2" xfId="47576"/>
    <cellStyle name="Обычный 8 8 5 3 2 2 3 3" xfId="47577"/>
    <cellStyle name="Обычный 8 8 5 3 2 2 4" xfId="47578"/>
    <cellStyle name="Обычный 8 8 5 3 2 2 4 2" xfId="47579"/>
    <cellStyle name="Обычный 8 8 5 3 2 2 5" xfId="47580"/>
    <cellStyle name="Обычный 8 8 5 3 2 2 6" xfId="47581"/>
    <cellStyle name="Обычный 8 8 5 3 2 3" xfId="47582"/>
    <cellStyle name="Обычный 8 8 5 3 2 3 2" xfId="47583"/>
    <cellStyle name="Обычный 8 8 5 3 2 3 3" xfId="47584"/>
    <cellStyle name="Обычный 8 8 5 3 2 4" xfId="47585"/>
    <cellStyle name="Обычный 8 8 5 3 2 4 2" xfId="47586"/>
    <cellStyle name="Обычный 8 8 5 3 2 4 3" xfId="47587"/>
    <cellStyle name="Обычный 8 8 5 3 2 5" xfId="47588"/>
    <cellStyle name="Обычный 8 8 5 3 2 5 2" xfId="47589"/>
    <cellStyle name="Обычный 8 8 5 3 2 6" xfId="47590"/>
    <cellStyle name="Обычный 8 8 5 3 2 7" xfId="47591"/>
    <cellStyle name="Обычный 8 8 5 3 3" xfId="47592"/>
    <cellStyle name="Обычный 8 8 5 3 3 2" xfId="47593"/>
    <cellStyle name="Обычный 8 8 5 3 3 2 2" xfId="47594"/>
    <cellStyle name="Обычный 8 8 5 3 3 2 3" xfId="47595"/>
    <cellStyle name="Обычный 8 8 5 3 3 3" xfId="47596"/>
    <cellStyle name="Обычный 8 8 5 3 3 3 2" xfId="47597"/>
    <cellStyle name="Обычный 8 8 5 3 3 3 3" xfId="47598"/>
    <cellStyle name="Обычный 8 8 5 3 3 4" xfId="47599"/>
    <cellStyle name="Обычный 8 8 5 3 3 4 2" xfId="47600"/>
    <cellStyle name="Обычный 8 8 5 3 3 5" xfId="47601"/>
    <cellStyle name="Обычный 8 8 5 3 3 6" xfId="47602"/>
    <cellStyle name="Обычный 8 8 5 3 4" xfId="47603"/>
    <cellStyle name="Обычный 8 8 5 3 4 2" xfId="47604"/>
    <cellStyle name="Обычный 8 8 5 3 4 3" xfId="47605"/>
    <cellStyle name="Обычный 8 8 5 3 5" xfId="47606"/>
    <cellStyle name="Обычный 8 8 5 3 5 2" xfId="47607"/>
    <cellStyle name="Обычный 8 8 5 3 5 3" xfId="47608"/>
    <cellStyle name="Обычный 8 8 5 3 6" xfId="47609"/>
    <cellStyle name="Обычный 8 8 5 3 6 2" xfId="47610"/>
    <cellStyle name="Обычный 8 8 5 3 7" xfId="47611"/>
    <cellStyle name="Обычный 8 8 5 3 8" xfId="47612"/>
    <cellStyle name="Обычный 8 8 5 4" xfId="47613"/>
    <cellStyle name="Обычный 8 8 5 4 2" xfId="47614"/>
    <cellStyle name="Обычный 8 8 5 4 2 2" xfId="47615"/>
    <cellStyle name="Обычный 8 8 5 4 2 2 2" xfId="47616"/>
    <cellStyle name="Обычный 8 8 5 4 2 2 3" xfId="47617"/>
    <cellStyle name="Обычный 8 8 5 4 2 3" xfId="47618"/>
    <cellStyle name="Обычный 8 8 5 4 2 3 2" xfId="47619"/>
    <cellStyle name="Обычный 8 8 5 4 2 3 3" xfId="47620"/>
    <cellStyle name="Обычный 8 8 5 4 2 4" xfId="47621"/>
    <cellStyle name="Обычный 8 8 5 4 2 4 2" xfId="47622"/>
    <cellStyle name="Обычный 8 8 5 4 2 5" xfId="47623"/>
    <cellStyle name="Обычный 8 8 5 4 2 6" xfId="47624"/>
    <cellStyle name="Обычный 8 8 5 4 3" xfId="47625"/>
    <cellStyle name="Обычный 8 8 5 4 3 2" xfId="47626"/>
    <cellStyle name="Обычный 8 8 5 4 3 3" xfId="47627"/>
    <cellStyle name="Обычный 8 8 5 4 4" xfId="47628"/>
    <cellStyle name="Обычный 8 8 5 4 4 2" xfId="47629"/>
    <cellStyle name="Обычный 8 8 5 4 4 3" xfId="47630"/>
    <cellStyle name="Обычный 8 8 5 4 5" xfId="47631"/>
    <cellStyle name="Обычный 8 8 5 4 5 2" xfId="47632"/>
    <cellStyle name="Обычный 8 8 5 4 6" xfId="47633"/>
    <cellStyle name="Обычный 8 8 5 4 7" xfId="47634"/>
    <cellStyle name="Обычный 8 8 5 5" xfId="47635"/>
    <cellStyle name="Обычный 8 8 5 5 2" xfId="47636"/>
    <cellStyle name="Обычный 8 8 5 5 2 2" xfId="47637"/>
    <cellStyle name="Обычный 8 8 5 5 2 3" xfId="47638"/>
    <cellStyle name="Обычный 8 8 5 5 3" xfId="47639"/>
    <cellStyle name="Обычный 8 8 5 5 3 2" xfId="47640"/>
    <cellStyle name="Обычный 8 8 5 5 3 3" xfId="47641"/>
    <cellStyle name="Обычный 8 8 5 5 4" xfId="47642"/>
    <cellStyle name="Обычный 8 8 5 5 4 2" xfId="47643"/>
    <cellStyle name="Обычный 8 8 5 5 5" xfId="47644"/>
    <cellStyle name="Обычный 8 8 5 5 6" xfId="47645"/>
    <cellStyle name="Обычный 8 8 5 6" xfId="47646"/>
    <cellStyle name="Обычный 8 8 5 6 2" xfId="47647"/>
    <cellStyle name="Обычный 8 8 5 6 3" xfId="47648"/>
    <cellStyle name="Обычный 8 8 5 7" xfId="47649"/>
    <cellStyle name="Обычный 8 8 5 7 2" xfId="47650"/>
    <cellStyle name="Обычный 8 8 5 7 3" xfId="47651"/>
    <cellStyle name="Обычный 8 8 5 8" xfId="47652"/>
    <cellStyle name="Обычный 8 8 5 8 2" xfId="47653"/>
    <cellStyle name="Обычный 8 8 5 9" xfId="47654"/>
    <cellStyle name="Обычный 8 8 6" xfId="47655"/>
    <cellStyle name="Обычный 8 8 6 2" xfId="47656"/>
    <cellStyle name="Обычный 8 8 6 2 2" xfId="47657"/>
    <cellStyle name="Обычный 8 8 6 2 2 2" xfId="47658"/>
    <cellStyle name="Обычный 8 8 6 2 2 2 2" xfId="47659"/>
    <cellStyle name="Обычный 8 8 6 2 2 2 2 2" xfId="47660"/>
    <cellStyle name="Обычный 8 8 6 2 2 2 2 3" xfId="47661"/>
    <cellStyle name="Обычный 8 8 6 2 2 2 3" xfId="47662"/>
    <cellStyle name="Обычный 8 8 6 2 2 2 3 2" xfId="47663"/>
    <cellStyle name="Обычный 8 8 6 2 2 2 3 3" xfId="47664"/>
    <cellStyle name="Обычный 8 8 6 2 2 2 4" xfId="47665"/>
    <cellStyle name="Обычный 8 8 6 2 2 2 4 2" xfId="47666"/>
    <cellStyle name="Обычный 8 8 6 2 2 2 5" xfId="47667"/>
    <cellStyle name="Обычный 8 8 6 2 2 2 6" xfId="47668"/>
    <cellStyle name="Обычный 8 8 6 2 2 3" xfId="47669"/>
    <cellStyle name="Обычный 8 8 6 2 2 3 2" xfId="47670"/>
    <cellStyle name="Обычный 8 8 6 2 2 3 3" xfId="47671"/>
    <cellStyle name="Обычный 8 8 6 2 2 4" xfId="47672"/>
    <cellStyle name="Обычный 8 8 6 2 2 4 2" xfId="47673"/>
    <cellStyle name="Обычный 8 8 6 2 2 4 3" xfId="47674"/>
    <cellStyle name="Обычный 8 8 6 2 2 5" xfId="47675"/>
    <cellStyle name="Обычный 8 8 6 2 2 5 2" xfId="47676"/>
    <cellStyle name="Обычный 8 8 6 2 2 6" xfId="47677"/>
    <cellStyle name="Обычный 8 8 6 2 2 7" xfId="47678"/>
    <cellStyle name="Обычный 8 8 6 2 3" xfId="47679"/>
    <cellStyle name="Обычный 8 8 6 2 3 2" xfId="47680"/>
    <cellStyle name="Обычный 8 8 6 2 3 2 2" xfId="47681"/>
    <cellStyle name="Обычный 8 8 6 2 3 2 3" xfId="47682"/>
    <cellStyle name="Обычный 8 8 6 2 3 3" xfId="47683"/>
    <cellStyle name="Обычный 8 8 6 2 3 3 2" xfId="47684"/>
    <cellStyle name="Обычный 8 8 6 2 3 3 3" xfId="47685"/>
    <cellStyle name="Обычный 8 8 6 2 3 4" xfId="47686"/>
    <cellStyle name="Обычный 8 8 6 2 3 4 2" xfId="47687"/>
    <cellStyle name="Обычный 8 8 6 2 3 5" xfId="47688"/>
    <cellStyle name="Обычный 8 8 6 2 3 6" xfId="47689"/>
    <cellStyle name="Обычный 8 8 6 2 4" xfId="47690"/>
    <cellStyle name="Обычный 8 8 6 2 4 2" xfId="47691"/>
    <cellStyle name="Обычный 8 8 6 2 4 3" xfId="47692"/>
    <cellStyle name="Обычный 8 8 6 2 5" xfId="47693"/>
    <cellStyle name="Обычный 8 8 6 2 5 2" xfId="47694"/>
    <cellStyle name="Обычный 8 8 6 2 5 3" xfId="47695"/>
    <cellStyle name="Обычный 8 8 6 2 6" xfId="47696"/>
    <cellStyle name="Обычный 8 8 6 2 6 2" xfId="47697"/>
    <cellStyle name="Обычный 8 8 6 2 7" xfId="47698"/>
    <cellStyle name="Обычный 8 8 6 2 8" xfId="47699"/>
    <cellStyle name="Обычный 8 8 6 3" xfId="47700"/>
    <cellStyle name="Обычный 8 8 6 3 2" xfId="47701"/>
    <cellStyle name="Обычный 8 8 6 3 2 2" xfId="47702"/>
    <cellStyle name="Обычный 8 8 6 3 2 2 2" xfId="47703"/>
    <cellStyle name="Обычный 8 8 6 3 2 2 3" xfId="47704"/>
    <cellStyle name="Обычный 8 8 6 3 2 3" xfId="47705"/>
    <cellStyle name="Обычный 8 8 6 3 2 3 2" xfId="47706"/>
    <cellStyle name="Обычный 8 8 6 3 2 3 3" xfId="47707"/>
    <cellStyle name="Обычный 8 8 6 3 2 4" xfId="47708"/>
    <cellStyle name="Обычный 8 8 6 3 2 4 2" xfId="47709"/>
    <cellStyle name="Обычный 8 8 6 3 2 5" xfId="47710"/>
    <cellStyle name="Обычный 8 8 6 3 2 6" xfId="47711"/>
    <cellStyle name="Обычный 8 8 6 3 3" xfId="47712"/>
    <cellStyle name="Обычный 8 8 6 3 3 2" xfId="47713"/>
    <cellStyle name="Обычный 8 8 6 3 3 3" xfId="47714"/>
    <cellStyle name="Обычный 8 8 6 3 4" xfId="47715"/>
    <cellStyle name="Обычный 8 8 6 3 4 2" xfId="47716"/>
    <cellStyle name="Обычный 8 8 6 3 4 3" xfId="47717"/>
    <cellStyle name="Обычный 8 8 6 3 5" xfId="47718"/>
    <cellStyle name="Обычный 8 8 6 3 5 2" xfId="47719"/>
    <cellStyle name="Обычный 8 8 6 3 6" xfId="47720"/>
    <cellStyle name="Обычный 8 8 6 3 7" xfId="47721"/>
    <cellStyle name="Обычный 8 8 6 4" xfId="47722"/>
    <cellStyle name="Обычный 8 8 6 4 2" xfId="47723"/>
    <cellStyle name="Обычный 8 8 6 4 2 2" xfId="47724"/>
    <cellStyle name="Обычный 8 8 6 4 2 3" xfId="47725"/>
    <cellStyle name="Обычный 8 8 6 4 3" xfId="47726"/>
    <cellStyle name="Обычный 8 8 6 4 3 2" xfId="47727"/>
    <cellStyle name="Обычный 8 8 6 4 3 3" xfId="47728"/>
    <cellStyle name="Обычный 8 8 6 4 4" xfId="47729"/>
    <cellStyle name="Обычный 8 8 6 4 4 2" xfId="47730"/>
    <cellStyle name="Обычный 8 8 6 4 5" xfId="47731"/>
    <cellStyle name="Обычный 8 8 6 4 6" xfId="47732"/>
    <cellStyle name="Обычный 8 8 6 5" xfId="47733"/>
    <cellStyle name="Обычный 8 8 6 5 2" xfId="47734"/>
    <cellStyle name="Обычный 8 8 6 5 3" xfId="47735"/>
    <cellStyle name="Обычный 8 8 6 6" xfId="47736"/>
    <cellStyle name="Обычный 8 8 6 6 2" xfId="47737"/>
    <cellStyle name="Обычный 8 8 6 6 3" xfId="47738"/>
    <cellStyle name="Обычный 8 8 6 7" xfId="47739"/>
    <cellStyle name="Обычный 8 8 6 7 2" xfId="47740"/>
    <cellStyle name="Обычный 8 8 6 8" xfId="47741"/>
    <cellStyle name="Обычный 8 8 6 9" xfId="47742"/>
    <cellStyle name="Обычный 8 8 7" xfId="47743"/>
    <cellStyle name="Обычный 8 8 7 2" xfId="47744"/>
    <cellStyle name="Обычный 8 8 7 2 2" xfId="47745"/>
    <cellStyle name="Обычный 8 8 7 2 2 2" xfId="47746"/>
    <cellStyle name="Обычный 8 8 7 2 2 2 2" xfId="47747"/>
    <cellStyle name="Обычный 8 8 7 2 2 2 3" xfId="47748"/>
    <cellStyle name="Обычный 8 8 7 2 2 3" xfId="47749"/>
    <cellStyle name="Обычный 8 8 7 2 2 3 2" xfId="47750"/>
    <cellStyle name="Обычный 8 8 7 2 2 3 3" xfId="47751"/>
    <cellStyle name="Обычный 8 8 7 2 2 4" xfId="47752"/>
    <cellStyle name="Обычный 8 8 7 2 2 4 2" xfId="47753"/>
    <cellStyle name="Обычный 8 8 7 2 2 5" xfId="47754"/>
    <cellStyle name="Обычный 8 8 7 2 2 6" xfId="47755"/>
    <cellStyle name="Обычный 8 8 7 2 3" xfId="47756"/>
    <cellStyle name="Обычный 8 8 7 2 3 2" xfId="47757"/>
    <cellStyle name="Обычный 8 8 7 2 3 3" xfId="47758"/>
    <cellStyle name="Обычный 8 8 7 2 4" xfId="47759"/>
    <cellStyle name="Обычный 8 8 7 2 4 2" xfId="47760"/>
    <cellStyle name="Обычный 8 8 7 2 4 3" xfId="47761"/>
    <cellStyle name="Обычный 8 8 7 2 5" xfId="47762"/>
    <cellStyle name="Обычный 8 8 7 2 5 2" xfId="47763"/>
    <cellStyle name="Обычный 8 8 7 2 6" xfId="47764"/>
    <cellStyle name="Обычный 8 8 7 2 7" xfId="47765"/>
    <cellStyle name="Обычный 8 8 7 3" xfId="47766"/>
    <cellStyle name="Обычный 8 8 7 3 2" xfId="47767"/>
    <cellStyle name="Обычный 8 8 7 3 2 2" xfId="47768"/>
    <cellStyle name="Обычный 8 8 7 3 2 3" xfId="47769"/>
    <cellStyle name="Обычный 8 8 7 3 3" xfId="47770"/>
    <cellStyle name="Обычный 8 8 7 3 3 2" xfId="47771"/>
    <cellStyle name="Обычный 8 8 7 3 3 3" xfId="47772"/>
    <cellStyle name="Обычный 8 8 7 3 4" xfId="47773"/>
    <cellStyle name="Обычный 8 8 7 3 4 2" xfId="47774"/>
    <cellStyle name="Обычный 8 8 7 3 5" xfId="47775"/>
    <cellStyle name="Обычный 8 8 7 3 6" xfId="47776"/>
    <cellStyle name="Обычный 8 8 7 4" xfId="47777"/>
    <cellStyle name="Обычный 8 8 7 4 2" xfId="47778"/>
    <cellStyle name="Обычный 8 8 7 4 3" xfId="47779"/>
    <cellStyle name="Обычный 8 8 7 5" xfId="47780"/>
    <cellStyle name="Обычный 8 8 7 5 2" xfId="47781"/>
    <cellStyle name="Обычный 8 8 7 5 3" xfId="47782"/>
    <cellStyle name="Обычный 8 8 7 6" xfId="47783"/>
    <cellStyle name="Обычный 8 8 7 6 2" xfId="47784"/>
    <cellStyle name="Обычный 8 8 7 7" xfId="47785"/>
    <cellStyle name="Обычный 8 8 7 8" xfId="47786"/>
    <cellStyle name="Обычный 8 8 8" xfId="47787"/>
    <cellStyle name="Обычный 8 8 8 2" xfId="47788"/>
    <cellStyle name="Обычный 8 8 8 2 2" xfId="47789"/>
    <cellStyle name="Обычный 8 8 8 2 2 2" xfId="47790"/>
    <cellStyle name="Обычный 8 8 8 2 2 3" xfId="47791"/>
    <cellStyle name="Обычный 8 8 8 2 3" xfId="47792"/>
    <cellStyle name="Обычный 8 8 8 2 3 2" xfId="47793"/>
    <cellStyle name="Обычный 8 8 8 2 3 3" xfId="47794"/>
    <cellStyle name="Обычный 8 8 8 2 4" xfId="47795"/>
    <cellStyle name="Обычный 8 8 8 2 4 2" xfId="47796"/>
    <cellStyle name="Обычный 8 8 8 2 5" xfId="47797"/>
    <cellStyle name="Обычный 8 8 8 2 6" xfId="47798"/>
    <cellStyle name="Обычный 8 8 8 3" xfId="47799"/>
    <cellStyle name="Обычный 8 8 8 3 2" xfId="47800"/>
    <cellStyle name="Обычный 8 8 8 3 3" xfId="47801"/>
    <cellStyle name="Обычный 8 8 8 4" xfId="47802"/>
    <cellStyle name="Обычный 8 8 8 4 2" xfId="47803"/>
    <cellStyle name="Обычный 8 8 8 4 3" xfId="47804"/>
    <cellStyle name="Обычный 8 8 8 5" xfId="47805"/>
    <cellStyle name="Обычный 8 8 8 5 2" xfId="47806"/>
    <cellStyle name="Обычный 8 8 8 6" xfId="47807"/>
    <cellStyle name="Обычный 8 8 8 7" xfId="47808"/>
    <cellStyle name="Обычный 8 8 9" xfId="47809"/>
    <cellStyle name="Обычный 8 8 9 2" xfId="47810"/>
    <cellStyle name="Обычный 8 8 9 2 2" xfId="47811"/>
    <cellStyle name="Обычный 8 8 9 2 3" xfId="47812"/>
    <cellStyle name="Обычный 8 8 9 3" xfId="47813"/>
    <cellStyle name="Обычный 8 8 9 3 2" xfId="47814"/>
    <cellStyle name="Обычный 8 8 9 3 3" xfId="47815"/>
    <cellStyle name="Обычный 8 8 9 4" xfId="47816"/>
    <cellStyle name="Обычный 8 8 9 4 2" xfId="47817"/>
    <cellStyle name="Обычный 8 8 9 5" xfId="47818"/>
    <cellStyle name="Обычный 8 8 9 6" xfId="47819"/>
    <cellStyle name="Обычный 8 9" xfId="47820"/>
    <cellStyle name="Обычный 8 9 10" xfId="47821"/>
    <cellStyle name="Обычный 8 9 10 2" xfId="47822"/>
    <cellStyle name="Обычный 8 9 10 3" xfId="47823"/>
    <cellStyle name="Обычный 8 9 11" xfId="47824"/>
    <cellStyle name="Обычный 8 9 11 2" xfId="47825"/>
    <cellStyle name="Обычный 8 9 12" xfId="47826"/>
    <cellStyle name="Обычный 8 9 13" xfId="47827"/>
    <cellStyle name="Обычный 8 9 2" xfId="47828"/>
    <cellStyle name="Обычный 8 9 2 10" xfId="47829"/>
    <cellStyle name="Обычный 8 9 2 2" xfId="47830"/>
    <cellStyle name="Обычный 8 9 2 2 2" xfId="47831"/>
    <cellStyle name="Обычный 8 9 2 2 2 2" xfId="47832"/>
    <cellStyle name="Обычный 8 9 2 2 2 2 2" xfId="47833"/>
    <cellStyle name="Обычный 8 9 2 2 2 2 2 2" xfId="47834"/>
    <cellStyle name="Обычный 8 9 2 2 2 2 2 2 2" xfId="47835"/>
    <cellStyle name="Обычный 8 9 2 2 2 2 2 2 3" xfId="47836"/>
    <cellStyle name="Обычный 8 9 2 2 2 2 2 3" xfId="47837"/>
    <cellStyle name="Обычный 8 9 2 2 2 2 2 3 2" xfId="47838"/>
    <cellStyle name="Обычный 8 9 2 2 2 2 2 3 3" xfId="47839"/>
    <cellStyle name="Обычный 8 9 2 2 2 2 2 4" xfId="47840"/>
    <cellStyle name="Обычный 8 9 2 2 2 2 2 4 2" xfId="47841"/>
    <cellStyle name="Обычный 8 9 2 2 2 2 2 5" xfId="47842"/>
    <cellStyle name="Обычный 8 9 2 2 2 2 2 6" xfId="47843"/>
    <cellStyle name="Обычный 8 9 2 2 2 2 3" xfId="47844"/>
    <cellStyle name="Обычный 8 9 2 2 2 2 3 2" xfId="47845"/>
    <cellStyle name="Обычный 8 9 2 2 2 2 3 3" xfId="47846"/>
    <cellStyle name="Обычный 8 9 2 2 2 2 4" xfId="47847"/>
    <cellStyle name="Обычный 8 9 2 2 2 2 4 2" xfId="47848"/>
    <cellStyle name="Обычный 8 9 2 2 2 2 4 3" xfId="47849"/>
    <cellStyle name="Обычный 8 9 2 2 2 2 5" xfId="47850"/>
    <cellStyle name="Обычный 8 9 2 2 2 2 5 2" xfId="47851"/>
    <cellStyle name="Обычный 8 9 2 2 2 2 6" xfId="47852"/>
    <cellStyle name="Обычный 8 9 2 2 2 2 7" xfId="47853"/>
    <cellStyle name="Обычный 8 9 2 2 2 3" xfId="47854"/>
    <cellStyle name="Обычный 8 9 2 2 2 3 2" xfId="47855"/>
    <cellStyle name="Обычный 8 9 2 2 2 3 2 2" xfId="47856"/>
    <cellStyle name="Обычный 8 9 2 2 2 3 2 3" xfId="47857"/>
    <cellStyle name="Обычный 8 9 2 2 2 3 3" xfId="47858"/>
    <cellStyle name="Обычный 8 9 2 2 2 3 3 2" xfId="47859"/>
    <cellStyle name="Обычный 8 9 2 2 2 3 3 3" xfId="47860"/>
    <cellStyle name="Обычный 8 9 2 2 2 3 4" xfId="47861"/>
    <cellStyle name="Обычный 8 9 2 2 2 3 4 2" xfId="47862"/>
    <cellStyle name="Обычный 8 9 2 2 2 3 5" xfId="47863"/>
    <cellStyle name="Обычный 8 9 2 2 2 3 6" xfId="47864"/>
    <cellStyle name="Обычный 8 9 2 2 2 4" xfId="47865"/>
    <cellStyle name="Обычный 8 9 2 2 2 4 2" xfId="47866"/>
    <cellStyle name="Обычный 8 9 2 2 2 4 3" xfId="47867"/>
    <cellStyle name="Обычный 8 9 2 2 2 5" xfId="47868"/>
    <cellStyle name="Обычный 8 9 2 2 2 5 2" xfId="47869"/>
    <cellStyle name="Обычный 8 9 2 2 2 5 3" xfId="47870"/>
    <cellStyle name="Обычный 8 9 2 2 2 6" xfId="47871"/>
    <cellStyle name="Обычный 8 9 2 2 2 6 2" xfId="47872"/>
    <cellStyle name="Обычный 8 9 2 2 2 7" xfId="47873"/>
    <cellStyle name="Обычный 8 9 2 2 2 8" xfId="47874"/>
    <cellStyle name="Обычный 8 9 2 2 3" xfId="47875"/>
    <cellStyle name="Обычный 8 9 2 2 3 2" xfId="47876"/>
    <cellStyle name="Обычный 8 9 2 2 3 2 2" xfId="47877"/>
    <cellStyle name="Обычный 8 9 2 2 3 2 2 2" xfId="47878"/>
    <cellStyle name="Обычный 8 9 2 2 3 2 2 3" xfId="47879"/>
    <cellStyle name="Обычный 8 9 2 2 3 2 3" xfId="47880"/>
    <cellStyle name="Обычный 8 9 2 2 3 2 3 2" xfId="47881"/>
    <cellStyle name="Обычный 8 9 2 2 3 2 3 3" xfId="47882"/>
    <cellStyle name="Обычный 8 9 2 2 3 2 4" xfId="47883"/>
    <cellStyle name="Обычный 8 9 2 2 3 2 4 2" xfId="47884"/>
    <cellStyle name="Обычный 8 9 2 2 3 2 5" xfId="47885"/>
    <cellStyle name="Обычный 8 9 2 2 3 2 6" xfId="47886"/>
    <cellStyle name="Обычный 8 9 2 2 3 3" xfId="47887"/>
    <cellStyle name="Обычный 8 9 2 2 3 3 2" xfId="47888"/>
    <cellStyle name="Обычный 8 9 2 2 3 3 3" xfId="47889"/>
    <cellStyle name="Обычный 8 9 2 2 3 4" xfId="47890"/>
    <cellStyle name="Обычный 8 9 2 2 3 4 2" xfId="47891"/>
    <cellStyle name="Обычный 8 9 2 2 3 4 3" xfId="47892"/>
    <cellStyle name="Обычный 8 9 2 2 3 5" xfId="47893"/>
    <cellStyle name="Обычный 8 9 2 2 3 5 2" xfId="47894"/>
    <cellStyle name="Обычный 8 9 2 2 3 6" xfId="47895"/>
    <cellStyle name="Обычный 8 9 2 2 3 7" xfId="47896"/>
    <cellStyle name="Обычный 8 9 2 2 4" xfId="47897"/>
    <cellStyle name="Обычный 8 9 2 2 4 2" xfId="47898"/>
    <cellStyle name="Обычный 8 9 2 2 4 2 2" xfId="47899"/>
    <cellStyle name="Обычный 8 9 2 2 4 2 3" xfId="47900"/>
    <cellStyle name="Обычный 8 9 2 2 4 3" xfId="47901"/>
    <cellStyle name="Обычный 8 9 2 2 4 3 2" xfId="47902"/>
    <cellStyle name="Обычный 8 9 2 2 4 3 3" xfId="47903"/>
    <cellStyle name="Обычный 8 9 2 2 4 4" xfId="47904"/>
    <cellStyle name="Обычный 8 9 2 2 4 4 2" xfId="47905"/>
    <cellStyle name="Обычный 8 9 2 2 4 5" xfId="47906"/>
    <cellStyle name="Обычный 8 9 2 2 4 6" xfId="47907"/>
    <cellStyle name="Обычный 8 9 2 2 5" xfId="47908"/>
    <cellStyle name="Обычный 8 9 2 2 5 2" xfId="47909"/>
    <cellStyle name="Обычный 8 9 2 2 5 3" xfId="47910"/>
    <cellStyle name="Обычный 8 9 2 2 6" xfId="47911"/>
    <cellStyle name="Обычный 8 9 2 2 6 2" xfId="47912"/>
    <cellStyle name="Обычный 8 9 2 2 6 3" xfId="47913"/>
    <cellStyle name="Обычный 8 9 2 2 7" xfId="47914"/>
    <cellStyle name="Обычный 8 9 2 2 7 2" xfId="47915"/>
    <cellStyle name="Обычный 8 9 2 2 8" xfId="47916"/>
    <cellStyle name="Обычный 8 9 2 2 9" xfId="47917"/>
    <cellStyle name="Обычный 8 9 2 3" xfId="47918"/>
    <cellStyle name="Обычный 8 9 2 3 2" xfId="47919"/>
    <cellStyle name="Обычный 8 9 2 3 2 2" xfId="47920"/>
    <cellStyle name="Обычный 8 9 2 3 2 2 2" xfId="47921"/>
    <cellStyle name="Обычный 8 9 2 3 2 2 2 2" xfId="47922"/>
    <cellStyle name="Обычный 8 9 2 3 2 2 2 3" xfId="47923"/>
    <cellStyle name="Обычный 8 9 2 3 2 2 3" xfId="47924"/>
    <cellStyle name="Обычный 8 9 2 3 2 2 3 2" xfId="47925"/>
    <cellStyle name="Обычный 8 9 2 3 2 2 3 3" xfId="47926"/>
    <cellStyle name="Обычный 8 9 2 3 2 2 4" xfId="47927"/>
    <cellStyle name="Обычный 8 9 2 3 2 2 4 2" xfId="47928"/>
    <cellStyle name="Обычный 8 9 2 3 2 2 5" xfId="47929"/>
    <cellStyle name="Обычный 8 9 2 3 2 2 6" xfId="47930"/>
    <cellStyle name="Обычный 8 9 2 3 2 3" xfId="47931"/>
    <cellStyle name="Обычный 8 9 2 3 2 3 2" xfId="47932"/>
    <cellStyle name="Обычный 8 9 2 3 2 3 3" xfId="47933"/>
    <cellStyle name="Обычный 8 9 2 3 2 4" xfId="47934"/>
    <cellStyle name="Обычный 8 9 2 3 2 4 2" xfId="47935"/>
    <cellStyle name="Обычный 8 9 2 3 2 4 3" xfId="47936"/>
    <cellStyle name="Обычный 8 9 2 3 2 5" xfId="47937"/>
    <cellStyle name="Обычный 8 9 2 3 2 5 2" xfId="47938"/>
    <cellStyle name="Обычный 8 9 2 3 2 6" xfId="47939"/>
    <cellStyle name="Обычный 8 9 2 3 2 7" xfId="47940"/>
    <cellStyle name="Обычный 8 9 2 3 3" xfId="47941"/>
    <cellStyle name="Обычный 8 9 2 3 3 2" xfId="47942"/>
    <cellStyle name="Обычный 8 9 2 3 3 2 2" xfId="47943"/>
    <cellStyle name="Обычный 8 9 2 3 3 2 3" xfId="47944"/>
    <cellStyle name="Обычный 8 9 2 3 3 3" xfId="47945"/>
    <cellStyle name="Обычный 8 9 2 3 3 3 2" xfId="47946"/>
    <cellStyle name="Обычный 8 9 2 3 3 3 3" xfId="47947"/>
    <cellStyle name="Обычный 8 9 2 3 3 4" xfId="47948"/>
    <cellStyle name="Обычный 8 9 2 3 3 4 2" xfId="47949"/>
    <cellStyle name="Обычный 8 9 2 3 3 5" xfId="47950"/>
    <cellStyle name="Обычный 8 9 2 3 3 6" xfId="47951"/>
    <cellStyle name="Обычный 8 9 2 3 4" xfId="47952"/>
    <cellStyle name="Обычный 8 9 2 3 4 2" xfId="47953"/>
    <cellStyle name="Обычный 8 9 2 3 4 3" xfId="47954"/>
    <cellStyle name="Обычный 8 9 2 3 5" xfId="47955"/>
    <cellStyle name="Обычный 8 9 2 3 5 2" xfId="47956"/>
    <cellStyle name="Обычный 8 9 2 3 5 3" xfId="47957"/>
    <cellStyle name="Обычный 8 9 2 3 6" xfId="47958"/>
    <cellStyle name="Обычный 8 9 2 3 6 2" xfId="47959"/>
    <cellStyle name="Обычный 8 9 2 3 7" xfId="47960"/>
    <cellStyle name="Обычный 8 9 2 3 8" xfId="47961"/>
    <cellStyle name="Обычный 8 9 2 4" xfId="47962"/>
    <cellStyle name="Обычный 8 9 2 4 2" xfId="47963"/>
    <cellStyle name="Обычный 8 9 2 4 2 2" xfId="47964"/>
    <cellStyle name="Обычный 8 9 2 4 2 2 2" xfId="47965"/>
    <cellStyle name="Обычный 8 9 2 4 2 2 3" xfId="47966"/>
    <cellStyle name="Обычный 8 9 2 4 2 3" xfId="47967"/>
    <cellStyle name="Обычный 8 9 2 4 2 3 2" xfId="47968"/>
    <cellStyle name="Обычный 8 9 2 4 2 3 3" xfId="47969"/>
    <cellStyle name="Обычный 8 9 2 4 2 4" xfId="47970"/>
    <cellStyle name="Обычный 8 9 2 4 2 4 2" xfId="47971"/>
    <cellStyle name="Обычный 8 9 2 4 2 5" xfId="47972"/>
    <cellStyle name="Обычный 8 9 2 4 2 6" xfId="47973"/>
    <cellStyle name="Обычный 8 9 2 4 3" xfId="47974"/>
    <cellStyle name="Обычный 8 9 2 4 3 2" xfId="47975"/>
    <cellStyle name="Обычный 8 9 2 4 3 3" xfId="47976"/>
    <cellStyle name="Обычный 8 9 2 4 4" xfId="47977"/>
    <cellStyle name="Обычный 8 9 2 4 4 2" xfId="47978"/>
    <cellStyle name="Обычный 8 9 2 4 4 3" xfId="47979"/>
    <cellStyle name="Обычный 8 9 2 4 5" xfId="47980"/>
    <cellStyle name="Обычный 8 9 2 4 5 2" xfId="47981"/>
    <cellStyle name="Обычный 8 9 2 4 6" xfId="47982"/>
    <cellStyle name="Обычный 8 9 2 4 7" xfId="47983"/>
    <cellStyle name="Обычный 8 9 2 5" xfId="47984"/>
    <cellStyle name="Обычный 8 9 2 5 2" xfId="47985"/>
    <cellStyle name="Обычный 8 9 2 5 2 2" xfId="47986"/>
    <cellStyle name="Обычный 8 9 2 5 2 3" xfId="47987"/>
    <cellStyle name="Обычный 8 9 2 5 3" xfId="47988"/>
    <cellStyle name="Обычный 8 9 2 5 3 2" xfId="47989"/>
    <cellStyle name="Обычный 8 9 2 5 3 3" xfId="47990"/>
    <cellStyle name="Обычный 8 9 2 5 4" xfId="47991"/>
    <cellStyle name="Обычный 8 9 2 5 4 2" xfId="47992"/>
    <cellStyle name="Обычный 8 9 2 5 5" xfId="47993"/>
    <cellStyle name="Обычный 8 9 2 5 6" xfId="47994"/>
    <cellStyle name="Обычный 8 9 2 6" xfId="47995"/>
    <cellStyle name="Обычный 8 9 2 6 2" xfId="47996"/>
    <cellStyle name="Обычный 8 9 2 6 3" xfId="47997"/>
    <cellStyle name="Обычный 8 9 2 7" xfId="47998"/>
    <cellStyle name="Обычный 8 9 2 7 2" xfId="47999"/>
    <cellStyle name="Обычный 8 9 2 7 3" xfId="48000"/>
    <cellStyle name="Обычный 8 9 2 8" xfId="48001"/>
    <cellStyle name="Обычный 8 9 2 8 2" xfId="48002"/>
    <cellStyle name="Обычный 8 9 2 9" xfId="48003"/>
    <cellStyle name="Обычный 8 9 3" xfId="48004"/>
    <cellStyle name="Обычный 8 9 3 10" xfId="48005"/>
    <cellStyle name="Обычный 8 9 3 2" xfId="48006"/>
    <cellStyle name="Обычный 8 9 3 2 2" xfId="48007"/>
    <cellStyle name="Обычный 8 9 3 2 2 2" xfId="48008"/>
    <cellStyle name="Обычный 8 9 3 2 2 2 2" xfId="48009"/>
    <cellStyle name="Обычный 8 9 3 2 2 2 2 2" xfId="48010"/>
    <cellStyle name="Обычный 8 9 3 2 2 2 2 2 2" xfId="48011"/>
    <cellStyle name="Обычный 8 9 3 2 2 2 2 2 3" xfId="48012"/>
    <cellStyle name="Обычный 8 9 3 2 2 2 2 3" xfId="48013"/>
    <cellStyle name="Обычный 8 9 3 2 2 2 2 3 2" xfId="48014"/>
    <cellStyle name="Обычный 8 9 3 2 2 2 2 3 3" xfId="48015"/>
    <cellStyle name="Обычный 8 9 3 2 2 2 2 4" xfId="48016"/>
    <cellStyle name="Обычный 8 9 3 2 2 2 2 4 2" xfId="48017"/>
    <cellStyle name="Обычный 8 9 3 2 2 2 2 5" xfId="48018"/>
    <cellStyle name="Обычный 8 9 3 2 2 2 2 6" xfId="48019"/>
    <cellStyle name="Обычный 8 9 3 2 2 2 3" xfId="48020"/>
    <cellStyle name="Обычный 8 9 3 2 2 2 3 2" xfId="48021"/>
    <cellStyle name="Обычный 8 9 3 2 2 2 3 3" xfId="48022"/>
    <cellStyle name="Обычный 8 9 3 2 2 2 4" xfId="48023"/>
    <cellStyle name="Обычный 8 9 3 2 2 2 4 2" xfId="48024"/>
    <cellStyle name="Обычный 8 9 3 2 2 2 4 3" xfId="48025"/>
    <cellStyle name="Обычный 8 9 3 2 2 2 5" xfId="48026"/>
    <cellStyle name="Обычный 8 9 3 2 2 2 5 2" xfId="48027"/>
    <cellStyle name="Обычный 8 9 3 2 2 2 6" xfId="48028"/>
    <cellStyle name="Обычный 8 9 3 2 2 2 7" xfId="48029"/>
    <cellStyle name="Обычный 8 9 3 2 2 3" xfId="48030"/>
    <cellStyle name="Обычный 8 9 3 2 2 3 2" xfId="48031"/>
    <cellStyle name="Обычный 8 9 3 2 2 3 2 2" xfId="48032"/>
    <cellStyle name="Обычный 8 9 3 2 2 3 2 3" xfId="48033"/>
    <cellStyle name="Обычный 8 9 3 2 2 3 3" xfId="48034"/>
    <cellStyle name="Обычный 8 9 3 2 2 3 3 2" xfId="48035"/>
    <cellStyle name="Обычный 8 9 3 2 2 3 3 3" xfId="48036"/>
    <cellStyle name="Обычный 8 9 3 2 2 3 4" xfId="48037"/>
    <cellStyle name="Обычный 8 9 3 2 2 3 4 2" xfId="48038"/>
    <cellStyle name="Обычный 8 9 3 2 2 3 5" xfId="48039"/>
    <cellStyle name="Обычный 8 9 3 2 2 3 6" xfId="48040"/>
    <cellStyle name="Обычный 8 9 3 2 2 4" xfId="48041"/>
    <cellStyle name="Обычный 8 9 3 2 2 4 2" xfId="48042"/>
    <cellStyle name="Обычный 8 9 3 2 2 4 3" xfId="48043"/>
    <cellStyle name="Обычный 8 9 3 2 2 5" xfId="48044"/>
    <cellStyle name="Обычный 8 9 3 2 2 5 2" xfId="48045"/>
    <cellStyle name="Обычный 8 9 3 2 2 5 3" xfId="48046"/>
    <cellStyle name="Обычный 8 9 3 2 2 6" xfId="48047"/>
    <cellStyle name="Обычный 8 9 3 2 2 6 2" xfId="48048"/>
    <cellStyle name="Обычный 8 9 3 2 2 7" xfId="48049"/>
    <cellStyle name="Обычный 8 9 3 2 2 8" xfId="48050"/>
    <cellStyle name="Обычный 8 9 3 2 3" xfId="48051"/>
    <cellStyle name="Обычный 8 9 3 2 3 2" xfId="48052"/>
    <cellStyle name="Обычный 8 9 3 2 3 2 2" xfId="48053"/>
    <cellStyle name="Обычный 8 9 3 2 3 2 2 2" xfId="48054"/>
    <cellStyle name="Обычный 8 9 3 2 3 2 2 3" xfId="48055"/>
    <cellStyle name="Обычный 8 9 3 2 3 2 3" xfId="48056"/>
    <cellStyle name="Обычный 8 9 3 2 3 2 3 2" xfId="48057"/>
    <cellStyle name="Обычный 8 9 3 2 3 2 3 3" xfId="48058"/>
    <cellStyle name="Обычный 8 9 3 2 3 2 4" xfId="48059"/>
    <cellStyle name="Обычный 8 9 3 2 3 2 4 2" xfId="48060"/>
    <cellStyle name="Обычный 8 9 3 2 3 2 5" xfId="48061"/>
    <cellStyle name="Обычный 8 9 3 2 3 2 6" xfId="48062"/>
    <cellStyle name="Обычный 8 9 3 2 3 3" xfId="48063"/>
    <cellStyle name="Обычный 8 9 3 2 3 3 2" xfId="48064"/>
    <cellStyle name="Обычный 8 9 3 2 3 3 3" xfId="48065"/>
    <cellStyle name="Обычный 8 9 3 2 3 4" xfId="48066"/>
    <cellStyle name="Обычный 8 9 3 2 3 4 2" xfId="48067"/>
    <cellStyle name="Обычный 8 9 3 2 3 4 3" xfId="48068"/>
    <cellStyle name="Обычный 8 9 3 2 3 5" xfId="48069"/>
    <cellStyle name="Обычный 8 9 3 2 3 5 2" xfId="48070"/>
    <cellStyle name="Обычный 8 9 3 2 3 6" xfId="48071"/>
    <cellStyle name="Обычный 8 9 3 2 3 7" xfId="48072"/>
    <cellStyle name="Обычный 8 9 3 2 4" xfId="48073"/>
    <cellStyle name="Обычный 8 9 3 2 4 2" xfId="48074"/>
    <cellStyle name="Обычный 8 9 3 2 4 2 2" xfId="48075"/>
    <cellStyle name="Обычный 8 9 3 2 4 2 3" xfId="48076"/>
    <cellStyle name="Обычный 8 9 3 2 4 3" xfId="48077"/>
    <cellStyle name="Обычный 8 9 3 2 4 3 2" xfId="48078"/>
    <cellStyle name="Обычный 8 9 3 2 4 3 3" xfId="48079"/>
    <cellStyle name="Обычный 8 9 3 2 4 4" xfId="48080"/>
    <cellStyle name="Обычный 8 9 3 2 4 4 2" xfId="48081"/>
    <cellStyle name="Обычный 8 9 3 2 4 5" xfId="48082"/>
    <cellStyle name="Обычный 8 9 3 2 4 6" xfId="48083"/>
    <cellStyle name="Обычный 8 9 3 2 5" xfId="48084"/>
    <cellStyle name="Обычный 8 9 3 2 5 2" xfId="48085"/>
    <cellStyle name="Обычный 8 9 3 2 5 3" xfId="48086"/>
    <cellStyle name="Обычный 8 9 3 2 6" xfId="48087"/>
    <cellStyle name="Обычный 8 9 3 2 6 2" xfId="48088"/>
    <cellStyle name="Обычный 8 9 3 2 6 3" xfId="48089"/>
    <cellStyle name="Обычный 8 9 3 2 7" xfId="48090"/>
    <cellStyle name="Обычный 8 9 3 2 7 2" xfId="48091"/>
    <cellStyle name="Обычный 8 9 3 2 8" xfId="48092"/>
    <cellStyle name="Обычный 8 9 3 2 9" xfId="48093"/>
    <cellStyle name="Обычный 8 9 3 3" xfId="48094"/>
    <cellStyle name="Обычный 8 9 3 3 2" xfId="48095"/>
    <cellStyle name="Обычный 8 9 3 3 2 2" xfId="48096"/>
    <cellStyle name="Обычный 8 9 3 3 2 2 2" xfId="48097"/>
    <cellStyle name="Обычный 8 9 3 3 2 2 2 2" xfId="48098"/>
    <cellStyle name="Обычный 8 9 3 3 2 2 2 3" xfId="48099"/>
    <cellStyle name="Обычный 8 9 3 3 2 2 3" xfId="48100"/>
    <cellStyle name="Обычный 8 9 3 3 2 2 3 2" xfId="48101"/>
    <cellStyle name="Обычный 8 9 3 3 2 2 3 3" xfId="48102"/>
    <cellStyle name="Обычный 8 9 3 3 2 2 4" xfId="48103"/>
    <cellStyle name="Обычный 8 9 3 3 2 2 4 2" xfId="48104"/>
    <cellStyle name="Обычный 8 9 3 3 2 2 5" xfId="48105"/>
    <cellStyle name="Обычный 8 9 3 3 2 2 6" xfId="48106"/>
    <cellStyle name="Обычный 8 9 3 3 2 3" xfId="48107"/>
    <cellStyle name="Обычный 8 9 3 3 2 3 2" xfId="48108"/>
    <cellStyle name="Обычный 8 9 3 3 2 3 3" xfId="48109"/>
    <cellStyle name="Обычный 8 9 3 3 2 4" xfId="48110"/>
    <cellStyle name="Обычный 8 9 3 3 2 4 2" xfId="48111"/>
    <cellStyle name="Обычный 8 9 3 3 2 4 3" xfId="48112"/>
    <cellStyle name="Обычный 8 9 3 3 2 5" xfId="48113"/>
    <cellStyle name="Обычный 8 9 3 3 2 5 2" xfId="48114"/>
    <cellStyle name="Обычный 8 9 3 3 2 6" xfId="48115"/>
    <cellStyle name="Обычный 8 9 3 3 2 7" xfId="48116"/>
    <cellStyle name="Обычный 8 9 3 3 3" xfId="48117"/>
    <cellStyle name="Обычный 8 9 3 3 3 2" xfId="48118"/>
    <cellStyle name="Обычный 8 9 3 3 3 2 2" xfId="48119"/>
    <cellStyle name="Обычный 8 9 3 3 3 2 3" xfId="48120"/>
    <cellStyle name="Обычный 8 9 3 3 3 3" xfId="48121"/>
    <cellStyle name="Обычный 8 9 3 3 3 3 2" xfId="48122"/>
    <cellStyle name="Обычный 8 9 3 3 3 3 3" xfId="48123"/>
    <cellStyle name="Обычный 8 9 3 3 3 4" xfId="48124"/>
    <cellStyle name="Обычный 8 9 3 3 3 4 2" xfId="48125"/>
    <cellStyle name="Обычный 8 9 3 3 3 5" xfId="48126"/>
    <cellStyle name="Обычный 8 9 3 3 3 6" xfId="48127"/>
    <cellStyle name="Обычный 8 9 3 3 4" xfId="48128"/>
    <cellStyle name="Обычный 8 9 3 3 4 2" xfId="48129"/>
    <cellStyle name="Обычный 8 9 3 3 4 3" xfId="48130"/>
    <cellStyle name="Обычный 8 9 3 3 5" xfId="48131"/>
    <cellStyle name="Обычный 8 9 3 3 5 2" xfId="48132"/>
    <cellStyle name="Обычный 8 9 3 3 5 3" xfId="48133"/>
    <cellStyle name="Обычный 8 9 3 3 6" xfId="48134"/>
    <cellStyle name="Обычный 8 9 3 3 6 2" xfId="48135"/>
    <cellStyle name="Обычный 8 9 3 3 7" xfId="48136"/>
    <cellStyle name="Обычный 8 9 3 3 8" xfId="48137"/>
    <cellStyle name="Обычный 8 9 3 4" xfId="48138"/>
    <cellStyle name="Обычный 8 9 3 4 2" xfId="48139"/>
    <cellStyle name="Обычный 8 9 3 4 2 2" xfId="48140"/>
    <cellStyle name="Обычный 8 9 3 4 2 2 2" xfId="48141"/>
    <cellStyle name="Обычный 8 9 3 4 2 2 3" xfId="48142"/>
    <cellStyle name="Обычный 8 9 3 4 2 3" xfId="48143"/>
    <cellStyle name="Обычный 8 9 3 4 2 3 2" xfId="48144"/>
    <cellStyle name="Обычный 8 9 3 4 2 3 3" xfId="48145"/>
    <cellStyle name="Обычный 8 9 3 4 2 4" xfId="48146"/>
    <cellStyle name="Обычный 8 9 3 4 2 4 2" xfId="48147"/>
    <cellStyle name="Обычный 8 9 3 4 2 5" xfId="48148"/>
    <cellStyle name="Обычный 8 9 3 4 2 6" xfId="48149"/>
    <cellStyle name="Обычный 8 9 3 4 3" xfId="48150"/>
    <cellStyle name="Обычный 8 9 3 4 3 2" xfId="48151"/>
    <cellStyle name="Обычный 8 9 3 4 3 3" xfId="48152"/>
    <cellStyle name="Обычный 8 9 3 4 4" xfId="48153"/>
    <cellStyle name="Обычный 8 9 3 4 4 2" xfId="48154"/>
    <cellStyle name="Обычный 8 9 3 4 4 3" xfId="48155"/>
    <cellStyle name="Обычный 8 9 3 4 5" xfId="48156"/>
    <cellStyle name="Обычный 8 9 3 4 5 2" xfId="48157"/>
    <cellStyle name="Обычный 8 9 3 4 6" xfId="48158"/>
    <cellStyle name="Обычный 8 9 3 4 7" xfId="48159"/>
    <cellStyle name="Обычный 8 9 3 5" xfId="48160"/>
    <cellStyle name="Обычный 8 9 3 5 2" xfId="48161"/>
    <cellStyle name="Обычный 8 9 3 5 2 2" xfId="48162"/>
    <cellStyle name="Обычный 8 9 3 5 2 3" xfId="48163"/>
    <cellStyle name="Обычный 8 9 3 5 3" xfId="48164"/>
    <cellStyle name="Обычный 8 9 3 5 3 2" xfId="48165"/>
    <cellStyle name="Обычный 8 9 3 5 3 3" xfId="48166"/>
    <cellStyle name="Обычный 8 9 3 5 4" xfId="48167"/>
    <cellStyle name="Обычный 8 9 3 5 4 2" xfId="48168"/>
    <cellStyle name="Обычный 8 9 3 5 5" xfId="48169"/>
    <cellStyle name="Обычный 8 9 3 5 6" xfId="48170"/>
    <cellStyle name="Обычный 8 9 3 6" xfId="48171"/>
    <cellStyle name="Обычный 8 9 3 6 2" xfId="48172"/>
    <cellStyle name="Обычный 8 9 3 6 3" xfId="48173"/>
    <cellStyle name="Обычный 8 9 3 7" xfId="48174"/>
    <cellStyle name="Обычный 8 9 3 7 2" xfId="48175"/>
    <cellStyle name="Обычный 8 9 3 7 3" xfId="48176"/>
    <cellStyle name="Обычный 8 9 3 8" xfId="48177"/>
    <cellStyle name="Обычный 8 9 3 8 2" xfId="48178"/>
    <cellStyle name="Обычный 8 9 3 9" xfId="48179"/>
    <cellStyle name="Обычный 8 9 4" xfId="48180"/>
    <cellStyle name="Обычный 8 9 4 10" xfId="48181"/>
    <cellStyle name="Обычный 8 9 4 2" xfId="48182"/>
    <cellStyle name="Обычный 8 9 4 2 2" xfId="48183"/>
    <cellStyle name="Обычный 8 9 4 2 2 2" xfId="48184"/>
    <cellStyle name="Обычный 8 9 4 2 2 2 2" xfId="48185"/>
    <cellStyle name="Обычный 8 9 4 2 2 2 2 2" xfId="48186"/>
    <cellStyle name="Обычный 8 9 4 2 2 2 2 2 2" xfId="48187"/>
    <cellStyle name="Обычный 8 9 4 2 2 2 2 2 3" xfId="48188"/>
    <cellStyle name="Обычный 8 9 4 2 2 2 2 3" xfId="48189"/>
    <cellStyle name="Обычный 8 9 4 2 2 2 2 3 2" xfId="48190"/>
    <cellStyle name="Обычный 8 9 4 2 2 2 2 3 3" xfId="48191"/>
    <cellStyle name="Обычный 8 9 4 2 2 2 2 4" xfId="48192"/>
    <cellStyle name="Обычный 8 9 4 2 2 2 2 4 2" xfId="48193"/>
    <cellStyle name="Обычный 8 9 4 2 2 2 2 5" xfId="48194"/>
    <cellStyle name="Обычный 8 9 4 2 2 2 2 6" xfId="48195"/>
    <cellStyle name="Обычный 8 9 4 2 2 2 3" xfId="48196"/>
    <cellStyle name="Обычный 8 9 4 2 2 2 3 2" xfId="48197"/>
    <cellStyle name="Обычный 8 9 4 2 2 2 3 3" xfId="48198"/>
    <cellStyle name="Обычный 8 9 4 2 2 2 4" xfId="48199"/>
    <cellStyle name="Обычный 8 9 4 2 2 2 4 2" xfId="48200"/>
    <cellStyle name="Обычный 8 9 4 2 2 2 4 3" xfId="48201"/>
    <cellStyle name="Обычный 8 9 4 2 2 2 5" xfId="48202"/>
    <cellStyle name="Обычный 8 9 4 2 2 2 5 2" xfId="48203"/>
    <cellStyle name="Обычный 8 9 4 2 2 2 6" xfId="48204"/>
    <cellStyle name="Обычный 8 9 4 2 2 2 7" xfId="48205"/>
    <cellStyle name="Обычный 8 9 4 2 2 3" xfId="48206"/>
    <cellStyle name="Обычный 8 9 4 2 2 3 2" xfId="48207"/>
    <cellStyle name="Обычный 8 9 4 2 2 3 2 2" xfId="48208"/>
    <cellStyle name="Обычный 8 9 4 2 2 3 2 3" xfId="48209"/>
    <cellStyle name="Обычный 8 9 4 2 2 3 3" xfId="48210"/>
    <cellStyle name="Обычный 8 9 4 2 2 3 3 2" xfId="48211"/>
    <cellStyle name="Обычный 8 9 4 2 2 3 3 3" xfId="48212"/>
    <cellStyle name="Обычный 8 9 4 2 2 3 4" xfId="48213"/>
    <cellStyle name="Обычный 8 9 4 2 2 3 4 2" xfId="48214"/>
    <cellStyle name="Обычный 8 9 4 2 2 3 5" xfId="48215"/>
    <cellStyle name="Обычный 8 9 4 2 2 3 6" xfId="48216"/>
    <cellStyle name="Обычный 8 9 4 2 2 4" xfId="48217"/>
    <cellStyle name="Обычный 8 9 4 2 2 4 2" xfId="48218"/>
    <cellStyle name="Обычный 8 9 4 2 2 4 3" xfId="48219"/>
    <cellStyle name="Обычный 8 9 4 2 2 5" xfId="48220"/>
    <cellStyle name="Обычный 8 9 4 2 2 5 2" xfId="48221"/>
    <cellStyle name="Обычный 8 9 4 2 2 5 3" xfId="48222"/>
    <cellStyle name="Обычный 8 9 4 2 2 6" xfId="48223"/>
    <cellStyle name="Обычный 8 9 4 2 2 6 2" xfId="48224"/>
    <cellStyle name="Обычный 8 9 4 2 2 7" xfId="48225"/>
    <cellStyle name="Обычный 8 9 4 2 2 8" xfId="48226"/>
    <cellStyle name="Обычный 8 9 4 2 3" xfId="48227"/>
    <cellStyle name="Обычный 8 9 4 2 3 2" xfId="48228"/>
    <cellStyle name="Обычный 8 9 4 2 3 2 2" xfId="48229"/>
    <cellStyle name="Обычный 8 9 4 2 3 2 2 2" xfId="48230"/>
    <cellStyle name="Обычный 8 9 4 2 3 2 2 3" xfId="48231"/>
    <cellStyle name="Обычный 8 9 4 2 3 2 3" xfId="48232"/>
    <cellStyle name="Обычный 8 9 4 2 3 2 3 2" xfId="48233"/>
    <cellStyle name="Обычный 8 9 4 2 3 2 3 3" xfId="48234"/>
    <cellStyle name="Обычный 8 9 4 2 3 2 4" xfId="48235"/>
    <cellStyle name="Обычный 8 9 4 2 3 2 4 2" xfId="48236"/>
    <cellStyle name="Обычный 8 9 4 2 3 2 5" xfId="48237"/>
    <cellStyle name="Обычный 8 9 4 2 3 2 6" xfId="48238"/>
    <cellStyle name="Обычный 8 9 4 2 3 3" xfId="48239"/>
    <cellStyle name="Обычный 8 9 4 2 3 3 2" xfId="48240"/>
    <cellStyle name="Обычный 8 9 4 2 3 3 3" xfId="48241"/>
    <cellStyle name="Обычный 8 9 4 2 3 4" xfId="48242"/>
    <cellStyle name="Обычный 8 9 4 2 3 4 2" xfId="48243"/>
    <cellStyle name="Обычный 8 9 4 2 3 4 3" xfId="48244"/>
    <cellStyle name="Обычный 8 9 4 2 3 5" xfId="48245"/>
    <cellStyle name="Обычный 8 9 4 2 3 5 2" xfId="48246"/>
    <cellStyle name="Обычный 8 9 4 2 3 6" xfId="48247"/>
    <cellStyle name="Обычный 8 9 4 2 3 7" xfId="48248"/>
    <cellStyle name="Обычный 8 9 4 2 4" xfId="48249"/>
    <cellStyle name="Обычный 8 9 4 2 4 2" xfId="48250"/>
    <cellStyle name="Обычный 8 9 4 2 4 2 2" xfId="48251"/>
    <cellStyle name="Обычный 8 9 4 2 4 2 3" xfId="48252"/>
    <cellStyle name="Обычный 8 9 4 2 4 3" xfId="48253"/>
    <cellStyle name="Обычный 8 9 4 2 4 3 2" xfId="48254"/>
    <cellStyle name="Обычный 8 9 4 2 4 3 3" xfId="48255"/>
    <cellStyle name="Обычный 8 9 4 2 4 4" xfId="48256"/>
    <cellStyle name="Обычный 8 9 4 2 4 4 2" xfId="48257"/>
    <cellStyle name="Обычный 8 9 4 2 4 5" xfId="48258"/>
    <cellStyle name="Обычный 8 9 4 2 4 6" xfId="48259"/>
    <cellStyle name="Обычный 8 9 4 2 5" xfId="48260"/>
    <cellStyle name="Обычный 8 9 4 2 5 2" xfId="48261"/>
    <cellStyle name="Обычный 8 9 4 2 5 3" xfId="48262"/>
    <cellStyle name="Обычный 8 9 4 2 6" xfId="48263"/>
    <cellStyle name="Обычный 8 9 4 2 6 2" xfId="48264"/>
    <cellStyle name="Обычный 8 9 4 2 6 3" xfId="48265"/>
    <cellStyle name="Обычный 8 9 4 2 7" xfId="48266"/>
    <cellStyle name="Обычный 8 9 4 2 7 2" xfId="48267"/>
    <cellStyle name="Обычный 8 9 4 2 8" xfId="48268"/>
    <cellStyle name="Обычный 8 9 4 2 9" xfId="48269"/>
    <cellStyle name="Обычный 8 9 4 3" xfId="48270"/>
    <cellStyle name="Обычный 8 9 4 3 2" xfId="48271"/>
    <cellStyle name="Обычный 8 9 4 3 2 2" xfId="48272"/>
    <cellStyle name="Обычный 8 9 4 3 2 2 2" xfId="48273"/>
    <cellStyle name="Обычный 8 9 4 3 2 2 2 2" xfId="48274"/>
    <cellStyle name="Обычный 8 9 4 3 2 2 2 3" xfId="48275"/>
    <cellStyle name="Обычный 8 9 4 3 2 2 3" xfId="48276"/>
    <cellStyle name="Обычный 8 9 4 3 2 2 3 2" xfId="48277"/>
    <cellStyle name="Обычный 8 9 4 3 2 2 3 3" xfId="48278"/>
    <cellStyle name="Обычный 8 9 4 3 2 2 4" xfId="48279"/>
    <cellStyle name="Обычный 8 9 4 3 2 2 4 2" xfId="48280"/>
    <cellStyle name="Обычный 8 9 4 3 2 2 5" xfId="48281"/>
    <cellStyle name="Обычный 8 9 4 3 2 2 6" xfId="48282"/>
    <cellStyle name="Обычный 8 9 4 3 2 3" xfId="48283"/>
    <cellStyle name="Обычный 8 9 4 3 2 3 2" xfId="48284"/>
    <cellStyle name="Обычный 8 9 4 3 2 3 3" xfId="48285"/>
    <cellStyle name="Обычный 8 9 4 3 2 4" xfId="48286"/>
    <cellStyle name="Обычный 8 9 4 3 2 4 2" xfId="48287"/>
    <cellStyle name="Обычный 8 9 4 3 2 4 3" xfId="48288"/>
    <cellStyle name="Обычный 8 9 4 3 2 5" xfId="48289"/>
    <cellStyle name="Обычный 8 9 4 3 2 5 2" xfId="48290"/>
    <cellStyle name="Обычный 8 9 4 3 2 6" xfId="48291"/>
    <cellStyle name="Обычный 8 9 4 3 2 7" xfId="48292"/>
    <cellStyle name="Обычный 8 9 4 3 3" xfId="48293"/>
    <cellStyle name="Обычный 8 9 4 3 3 2" xfId="48294"/>
    <cellStyle name="Обычный 8 9 4 3 3 2 2" xfId="48295"/>
    <cellStyle name="Обычный 8 9 4 3 3 2 3" xfId="48296"/>
    <cellStyle name="Обычный 8 9 4 3 3 3" xfId="48297"/>
    <cellStyle name="Обычный 8 9 4 3 3 3 2" xfId="48298"/>
    <cellStyle name="Обычный 8 9 4 3 3 3 3" xfId="48299"/>
    <cellStyle name="Обычный 8 9 4 3 3 4" xfId="48300"/>
    <cellStyle name="Обычный 8 9 4 3 3 4 2" xfId="48301"/>
    <cellStyle name="Обычный 8 9 4 3 3 5" xfId="48302"/>
    <cellStyle name="Обычный 8 9 4 3 3 6" xfId="48303"/>
    <cellStyle name="Обычный 8 9 4 3 4" xfId="48304"/>
    <cellStyle name="Обычный 8 9 4 3 4 2" xfId="48305"/>
    <cellStyle name="Обычный 8 9 4 3 4 3" xfId="48306"/>
    <cellStyle name="Обычный 8 9 4 3 5" xfId="48307"/>
    <cellStyle name="Обычный 8 9 4 3 5 2" xfId="48308"/>
    <cellStyle name="Обычный 8 9 4 3 5 3" xfId="48309"/>
    <cellStyle name="Обычный 8 9 4 3 6" xfId="48310"/>
    <cellStyle name="Обычный 8 9 4 3 6 2" xfId="48311"/>
    <cellStyle name="Обычный 8 9 4 3 7" xfId="48312"/>
    <cellStyle name="Обычный 8 9 4 3 8" xfId="48313"/>
    <cellStyle name="Обычный 8 9 4 4" xfId="48314"/>
    <cellStyle name="Обычный 8 9 4 4 2" xfId="48315"/>
    <cellStyle name="Обычный 8 9 4 4 2 2" xfId="48316"/>
    <cellStyle name="Обычный 8 9 4 4 2 2 2" xfId="48317"/>
    <cellStyle name="Обычный 8 9 4 4 2 2 3" xfId="48318"/>
    <cellStyle name="Обычный 8 9 4 4 2 3" xfId="48319"/>
    <cellStyle name="Обычный 8 9 4 4 2 3 2" xfId="48320"/>
    <cellStyle name="Обычный 8 9 4 4 2 3 3" xfId="48321"/>
    <cellStyle name="Обычный 8 9 4 4 2 4" xfId="48322"/>
    <cellStyle name="Обычный 8 9 4 4 2 4 2" xfId="48323"/>
    <cellStyle name="Обычный 8 9 4 4 2 5" xfId="48324"/>
    <cellStyle name="Обычный 8 9 4 4 2 6" xfId="48325"/>
    <cellStyle name="Обычный 8 9 4 4 3" xfId="48326"/>
    <cellStyle name="Обычный 8 9 4 4 3 2" xfId="48327"/>
    <cellStyle name="Обычный 8 9 4 4 3 3" xfId="48328"/>
    <cellStyle name="Обычный 8 9 4 4 4" xfId="48329"/>
    <cellStyle name="Обычный 8 9 4 4 4 2" xfId="48330"/>
    <cellStyle name="Обычный 8 9 4 4 4 3" xfId="48331"/>
    <cellStyle name="Обычный 8 9 4 4 5" xfId="48332"/>
    <cellStyle name="Обычный 8 9 4 4 5 2" xfId="48333"/>
    <cellStyle name="Обычный 8 9 4 4 6" xfId="48334"/>
    <cellStyle name="Обычный 8 9 4 4 7" xfId="48335"/>
    <cellStyle name="Обычный 8 9 4 5" xfId="48336"/>
    <cellStyle name="Обычный 8 9 4 5 2" xfId="48337"/>
    <cellStyle name="Обычный 8 9 4 5 2 2" xfId="48338"/>
    <cellStyle name="Обычный 8 9 4 5 2 3" xfId="48339"/>
    <cellStyle name="Обычный 8 9 4 5 3" xfId="48340"/>
    <cellStyle name="Обычный 8 9 4 5 3 2" xfId="48341"/>
    <cellStyle name="Обычный 8 9 4 5 3 3" xfId="48342"/>
    <cellStyle name="Обычный 8 9 4 5 4" xfId="48343"/>
    <cellStyle name="Обычный 8 9 4 5 4 2" xfId="48344"/>
    <cellStyle name="Обычный 8 9 4 5 5" xfId="48345"/>
    <cellStyle name="Обычный 8 9 4 5 6" xfId="48346"/>
    <cellStyle name="Обычный 8 9 4 6" xfId="48347"/>
    <cellStyle name="Обычный 8 9 4 6 2" xfId="48348"/>
    <cellStyle name="Обычный 8 9 4 6 3" xfId="48349"/>
    <cellStyle name="Обычный 8 9 4 7" xfId="48350"/>
    <cellStyle name="Обычный 8 9 4 7 2" xfId="48351"/>
    <cellStyle name="Обычный 8 9 4 7 3" xfId="48352"/>
    <cellStyle name="Обычный 8 9 4 8" xfId="48353"/>
    <cellStyle name="Обычный 8 9 4 8 2" xfId="48354"/>
    <cellStyle name="Обычный 8 9 4 9" xfId="48355"/>
    <cellStyle name="Обычный 8 9 5" xfId="48356"/>
    <cellStyle name="Обычный 8 9 5 2" xfId="48357"/>
    <cellStyle name="Обычный 8 9 5 2 2" xfId="48358"/>
    <cellStyle name="Обычный 8 9 5 2 2 2" xfId="48359"/>
    <cellStyle name="Обычный 8 9 5 2 2 2 2" xfId="48360"/>
    <cellStyle name="Обычный 8 9 5 2 2 2 2 2" xfId="48361"/>
    <cellStyle name="Обычный 8 9 5 2 2 2 2 3" xfId="48362"/>
    <cellStyle name="Обычный 8 9 5 2 2 2 3" xfId="48363"/>
    <cellStyle name="Обычный 8 9 5 2 2 2 3 2" xfId="48364"/>
    <cellStyle name="Обычный 8 9 5 2 2 2 3 3" xfId="48365"/>
    <cellStyle name="Обычный 8 9 5 2 2 2 4" xfId="48366"/>
    <cellStyle name="Обычный 8 9 5 2 2 2 4 2" xfId="48367"/>
    <cellStyle name="Обычный 8 9 5 2 2 2 5" xfId="48368"/>
    <cellStyle name="Обычный 8 9 5 2 2 2 6" xfId="48369"/>
    <cellStyle name="Обычный 8 9 5 2 2 3" xfId="48370"/>
    <cellStyle name="Обычный 8 9 5 2 2 3 2" xfId="48371"/>
    <cellStyle name="Обычный 8 9 5 2 2 3 3" xfId="48372"/>
    <cellStyle name="Обычный 8 9 5 2 2 4" xfId="48373"/>
    <cellStyle name="Обычный 8 9 5 2 2 4 2" xfId="48374"/>
    <cellStyle name="Обычный 8 9 5 2 2 4 3" xfId="48375"/>
    <cellStyle name="Обычный 8 9 5 2 2 5" xfId="48376"/>
    <cellStyle name="Обычный 8 9 5 2 2 5 2" xfId="48377"/>
    <cellStyle name="Обычный 8 9 5 2 2 6" xfId="48378"/>
    <cellStyle name="Обычный 8 9 5 2 2 7" xfId="48379"/>
    <cellStyle name="Обычный 8 9 5 2 3" xfId="48380"/>
    <cellStyle name="Обычный 8 9 5 2 3 2" xfId="48381"/>
    <cellStyle name="Обычный 8 9 5 2 3 2 2" xfId="48382"/>
    <cellStyle name="Обычный 8 9 5 2 3 2 3" xfId="48383"/>
    <cellStyle name="Обычный 8 9 5 2 3 3" xfId="48384"/>
    <cellStyle name="Обычный 8 9 5 2 3 3 2" xfId="48385"/>
    <cellStyle name="Обычный 8 9 5 2 3 3 3" xfId="48386"/>
    <cellStyle name="Обычный 8 9 5 2 3 4" xfId="48387"/>
    <cellStyle name="Обычный 8 9 5 2 3 4 2" xfId="48388"/>
    <cellStyle name="Обычный 8 9 5 2 3 5" xfId="48389"/>
    <cellStyle name="Обычный 8 9 5 2 3 6" xfId="48390"/>
    <cellStyle name="Обычный 8 9 5 2 4" xfId="48391"/>
    <cellStyle name="Обычный 8 9 5 2 4 2" xfId="48392"/>
    <cellStyle name="Обычный 8 9 5 2 4 3" xfId="48393"/>
    <cellStyle name="Обычный 8 9 5 2 5" xfId="48394"/>
    <cellStyle name="Обычный 8 9 5 2 5 2" xfId="48395"/>
    <cellStyle name="Обычный 8 9 5 2 5 3" xfId="48396"/>
    <cellStyle name="Обычный 8 9 5 2 6" xfId="48397"/>
    <cellStyle name="Обычный 8 9 5 2 6 2" xfId="48398"/>
    <cellStyle name="Обычный 8 9 5 2 7" xfId="48399"/>
    <cellStyle name="Обычный 8 9 5 2 8" xfId="48400"/>
    <cellStyle name="Обычный 8 9 5 3" xfId="48401"/>
    <cellStyle name="Обычный 8 9 5 3 2" xfId="48402"/>
    <cellStyle name="Обычный 8 9 5 3 2 2" xfId="48403"/>
    <cellStyle name="Обычный 8 9 5 3 2 2 2" xfId="48404"/>
    <cellStyle name="Обычный 8 9 5 3 2 2 3" xfId="48405"/>
    <cellStyle name="Обычный 8 9 5 3 2 3" xfId="48406"/>
    <cellStyle name="Обычный 8 9 5 3 2 3 2" xfId="48407"/>
    <cellStyle name="Обычный 8 9 5 3 2 3 3" xfId="48408"/>
    <cellStyle name="Обычный 8 9 5 3 2 4" xfId="48409"/>
    <cellStyle name="Обычный 8 9 5 3 2 4 2" xfId="48410"/>
    <cellStyle name="Обычный 8 9 5 3 2 5" xfId="48411"/>
    <cellStyle name="Обычный 8 9 5 3 2 6" xfId="48412"/>
    <cellStyle name="Обычный 8 9 5 3 3" xfId="48413"/>
    <cellStyle name="Обычный 8 9 5 3 3 2" xfId="48414"/>
    <cellStyle name="Обычный 8 9 5 3 3 3" xfId="48415"/>
    <cellStyle name="Обычный 8 9 5 3 4" xfId="48416"/>
    <cellStyle name="Обычный 8 9 5 3 4 2" xfId="48417"/>
    <cellStyle name="Обычный 8 9 5 3 4 3" xfId="48418"/>
    <cellStyle name="Обычный 8 9 5 3 5" xfId="48419"/>
    <cellStyle name="Обычный 8 9 5 3 5 2" xfId="48420"/>
    <cellStyle name="Обычный 8 9 5 3 6" xfId="48421"/>
    <cellStyle name="Обычный 8 9 5 3 7" xfId="48422"/>
    <cellStyle name="Обычный 8 9 5 4" xfId="48423"/>
    <cellStyle name="Обычный 8 9 5 4 2" xfId="48424"/>
    <cellStyle name="Обычный 8 9 5 4 2 2" xfId="48425"/>
    <cellStyle name="Обычный 8 9 5 4 2 3" xfId="48426"/>
    <cellStyle name="Обычный 8 9 5 4 3" xfId="48427"/>
    <cellStyle name="Обычный 8 9 5 4 3 2" xfId="48428"/>
    <cellStyle name="Обычный 8 9 5 4 3 3" xfId="48429"/>
    <cellStyle name="Обычный 8 9 5 4 4" xfId="48430"/>
    <cellStyle name="Обычный 8 9 5 4 4 2" xfId="48431"/>
    <cellStyle name="Обычный 8 9 5 4 5" xfId="48432"/>
    <cellStyle name="Обычный 8 9 5 4 6" xfId="48433"/>
    <cellStyle name="Обычный 8 9 5 5" xfId="48434"/>
    <cellStyle name="Обычный 8 9 5 5 2" xfId="48435"/>
    <cellStyle name="Обычный 8 9 5 5 3" xfId="48436"/>
    <cellStyle name="Обычный 8 9 5 6" xfId="48437"/>
    <cellStyle name="Обычный 8 9 5 6 2" xfId="48438"/>
    <cellStyle name="Обычный 8 9 5 6 3" xfId="48439"/>
    <cellStyle name="Обычный 8 9 5 7" xfId="48440"/>
    <cellStyle name="Обычный 8 9 5 7 2" xfId="48441"/>
    <cellStyle name="Обычный 8 9 5 8" xfId="48442"/>
    <cellStyle name="Обычный 8 9 5 9" xfId="48443"/>
    <cellStyle name="Обычный 8 9 6" xfId="48444"/>
    <cellStyle name="Обычный 8 9 6 2" xfId="48445"/>
    <cellStyle name="Обычный 8 9 6 2 2" xfId="48446"/>
    <cellStyle name="Обычный 8 9 6 2 2 2" xfId="48447"/>
    <cellStyle name="Обычный 8 9 6 2 2 2 2" xfId="48448"/>
    <cellStyle name="Обычный 8 9 6 2 2 2 3" xfId="48449"/>
    <cellStyle name="Обычный 8 9 6 2 2 3" xfId="48450"/>
    <cellStyle name="Обычный 8 9 6 2 2 3 2" xfId="48451"/>
    <cellStyle name="Обычный 8 9 6 2 2 3 3" xfId="48452"/>
    <cellStyle name="Обычный 8 9 6 2 2 4" xfId="48453"/>
    <cellStyle name="Обычный 8 9 6 2 2 4 2" xfId="48454"/>
    <cellStyle name="Обычный 8 9 6 2 2 5" xfId="48455"/>
    <cellStyle name="Обычный 8 9 6 2 2 6" xfId="48456"/>
    <cellStyle name="Обычный 8 9 6 2 3" xfId="48457"/>
    <cellStyle name="Обычный 8 9 6 2 3 2" xfId="48458"/>
    <cellStyle name="Обычный 8 9 6 2 3 3" xfId="48459"/>
    <cellStyle name="Обычный 8 9 6 2 4" xfId="48460"/>
    <cellStyle name="Обычный 8 9 6 2 4 2" xfId="48461"/>
    <cellStyle name="Обычный 8 9 6 2 4 3" xfId="48462"/>
    <cellStyle name="Обычный 8 9 6 2 5" xfId="48463"/>
    <cellStyle name="Обычный 8 9 6 2 5 2" xfId="48464"/>
    <cellStyle name="Обычный 8 9 6 2 6" xfId="48465"/>
    <cellStyle name="Обычный 8 9 6 2 7" xfId="48466"/>
    <cellStyle name="Обычный 8 9 6 3" xfId="48467"/>
    <cellStyle name="Обычный 8 9 6 3 2" xfId="48468"/>
    <cellStyle name="Обычный 8 9 6 3 2 2" xfId="48469"/>
    <cellStyle name="Обычный 8 9 6 3 2 3" xfId="48470"/>
    <cellStyle name="Обычный 8 9 6 3 3" xfId="48471"/>
    <cellStyle name="Обычный 8 9 6 3 3 2" xfId="48472"/>
    <cellStyle name="Обычный 8 9 6 3 3 3" xfId="48473"/>
    <cellStyle name="Обычный 8 9 6 3 4" xfId="48474"/>
    <cellStyle name="Обычный 8 9 6 3 4 2" xfId="48475"/>
    <cellStyle name="Обычный 8 9 6 3 5" xfId="48476"/>
    <cellStyle name="Обычный 8 9 6 3 6" xfId="48477"/>
    <cellStyle name="Обычный 8 9 6 4" xfId="48478"/>
    <cellStyle name="Обычный 8 9 6 4 2" xfId="48479"/>
    <cellStyle name="Обычный 8 9 6 4 3" xfId="48480"/>
    <cellStyle name="Обычный 8 9 6 5" xfId="48481"/>
    <cellStyle name="Обычный 8 9 6 5 2" xfId="48482"/>
    <cellStyle name="Обычный 8 9 6 5 3" xfId="48483"/>
    <cellStyle name="Обычный 8 9 6 6" xfId="48484"/>
    <cellStyle name="Обычный 8 9 6 6 2" xfId="48485"/>
    <cellStyle name="Обычный 8 9 6 7" xfId="48486"/>
    <cellStyle name="Обычный 8 9 6 8" xfId="48487"/>
    <cellStyle name="Обычный 8 9 7" xfId="48488"/>
    <cellStyle name="Обычный 8 9 7 2" xfId="48489"/>
    <cellStyle name="Обычный 8 9 7 2 2" xfId="48490"/>
    <cellStyle name="Обычный 8 9 7 2 2 2" xfId="48491"/>
    <cellStyle name="Обычный 8 9 7 2 2 3" xfId="48492"/>
    <cellStyle name="Обычный 8 9 7 2 3" xfId="48493"/>
    <cellStyle name="Обычный 8 9 7 2 3 2" xfId="48494"/>
    <cellStyle name="Обычный 8 9 7 2 3 3" xfId="48495"/>
    <cellStyle name="Обычный 8 9 7 2 4" xfId="48496"/>
    <cellStyle name="Обычный 8 9 7 2 4 2" xfId="48497"/>
    <cellStyle name="Обычный 8 9 7 2 5" xfId="48498"/>
    <cellStyle name="Обычный 8 9 7 2 6" xfId="48499"/>
    <cellStyle name="Обычный 8 9 7 3" xfId="48500"/>
    <cellStyle name="Обычный 8 9 7 3 2" xfId="48501"/>
    <cellStyle name="Обычный 8 9 7 3 3" xfId="48502"/>
    <cellStyle name="Обычный 8 9 7 4" xfId="48503"/>
    <cellStyle name="Обычный 8 9 7 4 2" xfId="48504"/>
    <cellStyle name="Обычный 8 9 7 4 3" xfId="48505"/>
    <cellStyle name="Обычный 8 9 7 5" xfId="48506"/>
    <cellStyle name="Обычный 8 9 7 5 2" xfId="48507"/>
    <cellStyle name="Обычный 8 9 7 6" xfId="48508"/>
    <cellStyle name="Обычный 8 9 7 7" xfId="48509"/>
    <cellStyle name="Обычный 8 9 8" xfId="48510"/>
    <cellStyle name="Обычный 8 9 8 2" xfId="48511"/>
    <cellStyle name="Обычный 8 9 8 2 2" xfId="48512"/>
    <cellStyle name="Обычный 8 9 8 2 3" xfId="48513"/>
    <cellStyle name="Обычный 8 9 8 3" xfId="48514"/>
    <cellStyle name="Обычный 8 9 8 3 2" xfId="48515"/>
    <cellStyle name="Обычный 8 9 8 3 3" xfId="48516"/>
    <cellStyle name="Обычный 8 9 8 4" xfId="48517"/>
    <cellStyle name="Обычный 8 9 8 4 2" xfId="48518"/>
    <cellStyle name="Обычный 8 9 8 5" xfId="48519"/>
    <cellStyle name="Обычный 8 9 8 6" xfId="48520"/>
    <cellStyle name="Обычный 8 9 9" xfId="48521"/>
    <cellStyle name="Обычный 8 9 9 2" xfId="48522"/>
    <cellStyle name="Обычный 8 9 9 3" xfId="48523"/>
    <cellStyle name="Обычный 9" xfId="48524"/>
    <cellStyle name="Обычный 9 10" xfId="48525"/>
    <cellStyle name="Обычный 9 10 10" xfId="48526"/>
    <cellStyle name="Обычный 9 10 2" xfId="48527"/>
    <cellStyle name="Обычный 9 10 2 2" xfId="48528"/>
    <cellStyle name="Обычный 9 10 2 2 2" xfId="48529"/>
    <cellStyle name="Обычный 9 10 2 2 2 2" xfId="48530"/>
    <cellStyle name="Обычный 9 10 2 2 2 2 2" xfId="48531"/>
    <cellStyle name="Обычный 9 10 2 2 2 2 2 2" xfId="48532"/>
    <cellStyle name="Обычный 9 10 2 2 2 2 2 3" xfId="48533"/>
    <cellStyle name="Обычный 9 10 2 2 2 2 3" xfId="48534"/>
    <cellStyle name="Обычный 9 10 2 2 2 2 3 2" xfId="48535"/>
    <cellStyle name="Обычный 9 10 2 2 2 2 3 3" xfId="48536"/>
    <cellStyle name="Обычный 9 10 2 2 2 2 4" xfId="48537"/>
    <cellStyle name="Обычный 9 10 2 2 2 2 4 2" xfId="48538"/>
    <cellStyle name="Обычный 9 10 2 2 2 2 5" xfId="48539"/>
    <cellStyle name="Обычный 9 10 2 2 2 2 6" xfId="48540"/>
    <cellStyle name="Обычный 9 10 2 2 2 3" xfId="48541"/>
    <cellStyle name="Обычный 9 10 2 2 2 3 2" xfId="48542"/>
    <cellStyle name="Обычный 9 10 2 2 2 3 3" xfId="48543"/>
    <cellStyle name="Обычный 9 10 2 2 2 4" xfId="48544"/>
    <cellStyle name="Обычный 9 10 2 2 2 4 2" xfId="48545"/>
    <cellStyle name="Обычный 9 10 2 2 2 4 3" xfId="48546"/>
    <cellStyle name="Обычный 9 10 2 2 2 5" xfId="48547"/>
    <cellStyle name="Обычный 9 10 2 2 2 5 2" xfId="48548"/>
    <cellStyle name="Обычный 9 10 2 2 2 6" xfId="48549"/>
    <cellStyle name="Обычный 9 10 2 2 2 7" xfId="48550"/>
    <cellStyle name="Обычный 9 10 2 2 3" xfId="48551"/>
    <cellStyle name="Обычный 9 10 2 2 3 2" xfId="48552"/>
    <cellStyle name="Обычный 9 10 2 2 3 2 2" xfId="48553"/>
    <cellStyle name="Обычный 9 10 2 2 3 2 3" xfId="48554"/>
    <cellStyle name="Обычный 9 10 2 2 3 3" xfId="48555"/>
    <cellStyle name="Обычный 9 10 2 2 3 3 2" xfId="48556"/>
    <cellStyle name="Обычный 9 10 2 2 3 3 3" xfId="48557"/>
    <cellStyle name="Обычный 9 10 2 2 3 4" xfId="48558"/>
    <cellStyle name="Обычный 9 10 2 2 3 4 2" xfId="48559"/>
    <cellStyle name="Обычный 9 10 2 2 3 5" xfId="48560"/>
    <cellStyle name="Обычный 9 10 2 2 3 6" xfId="48561"/>
    <cellStyle name="Обычный 9 10 2 2 4" xfId="48562"/>
    <cellStyle name="Обычный 9 10 2 2 4 2" xfId="48563"/>
    <cellStyle name="Обычный 9 10 2 2 4 3" xfId="48564"/>
    <cellStyle name="Обычный 9 10 2 2 5" xfId="48565"/>
    <cellStyle name="Обычный 9 10 2 2 5 2" xfId="48566"/>
    <cellStyle name="Обычный 9 10 2 2 5 3" xfId="48567"/>
    <cellStyle name="Обычный 9 10 2 2 6" xfId="48568"/>
    <cellStyle name="Обычный 9 10 2 2 6 2" xfId="48569"/>
    <cellStyle name="Обычный 9 10 2 2 7" xfId="48570"/>
    <cellStyle name="Обычный 9 10 2 2 8" xfId="48571"/>
    <cellStyle name="Обычный 9 10 2 3" xfId="48572"/>
    <cellStyle name="Обычный 9 10 2 3 2" xfId="48573"/>
    <cellStyle name="Обычный 9 10 2 3 2 2" xfId="48574"/>
    <cellStyle name="Обычный 9 10 2 3 2 2 2" xfId="48575"/>
    <cellStyle name="Обычный 9 10 2 3 2 2 3" xfId="48576"/>
    <cellStyle name="Обычный 9 10 2 3 2 3" xfId="48577"/>
    <cellStyle name="Обычный 9 10 2 3 2 3 2" xfId="48578"/>
    <cellStyle name="Обычный 9 10 2 3 2 3 3" xfId="48579"/>
    <cellStyle name="Обычный 9 10 2 3 2 4" xfId="48580"/>
    <cellStyle name="Обычный 9 10 2 3 2 4 2" xfId="48581"/>
    <cellStyle name="Обычный 9 10 2 3 2 5" xfId="48582"/>
    <cellStyle name="Обычный 9 10 2 3 2 6" xfId="48583"/>
    <cellStyle name="Обычный 9 10 2 3 3" xfId="48584"/>
    <cellStyle name="Обычный 9 10 2 3 3 2" xfId="48585"/>
    <cellStyle name="Обычный 9 10 2 3 3 3" xfId="48586"/>
    <cellStyle name="Обычный 9 10 2 3 4" xfId="48587"/>
    <cellStyle name="Обычный 9 10 2 3 4 2" xfId="48588"/>
    <cellStyle name="Обычный 9 10 2 3 4 3" xfId="48589"/>
    <cellStyle name="Обычный 9 10 2 3 5" xfId="48590"/>
    <cellStyle name="Обычный 9 10 2 3 5 2" xfId="48591"/>
    <cellStyle name="Обычный 9 10 2 3 6" xfId="48592"/>
    <cellStyle name="Обычный 9 10 2 3 7" xfId="48593"/>
    <cellStyle name="Обычный 9 10 2 4" xfId="48594"/>
    <cellStyle name="Обычный 9 10 2 4 2" xfId="48595"/>
    <cellStyle name="Обычный 9 10 2 4 2 2" xfId="48596"/>
    <cellStyle name="Обычный 9 10 2 4 2 3" xfId="48597"/>
    <cellStyle name="Обычный 9 10 2 4 3" xfId="48598"/>
    <cellStyle name="Обычный 9 10 2 4 3 2" xfId="48599"/>
    <cellStyle name="Обычный 9 10 2 4 3 3" xfId="48600"/>
    <cellStyle name="Обычный 9 10 2 4 4" xfId="48601"/>
    <cellStyle name="Обычный 9 10 2 4 4 2" xfId="48602"/>
    <cellStyle name="Обычный 9 10 2 4 5" xfId="48603"/>
    <cellStyle name="Обычный 9 10 2 4 6" xfId="48604"/>
    <cellStyle name="Обычный 9 10 2 5" xfId="48605"/>
    <cellStyle name="Обычный 9 10 2 5 2" xfId="48606"/>
    <cellStyle name="Обычный 9 10 2 5 3" xfId="48607"/>
    <cellStyle name="Обычный 9 10 2 6" xfId="48608"/>
    <cellStyle name="Обычный 9 10 2 6 2" xfId="48609"/>
    <cellStyle name="Обычный 9 10 2 6 3" xfId="48610"/>
    <cellStyle name="Обычный 9 10 2 7" xfId="48611"/>
    <cellStyle name="Обычный 9 10 2 7 2" xfId="48612"/>
    <cellStyle name="Обычный 9 10 2 8" xfId="48613"/>
    <cellStyle name="Обычный 9 10 2 9" xfId="48614"/>
    <cellStyle name="Обычный 9 10 3" xfId="48615"/>
    <cellStyle name="Обычный 9 10 3 2" xfId="48616"/>
    <cellStyle name="Обычный 9 10 3 2 2" xfId="48617"/>
    <cellStyle name="Обычный 9 10 3 2 2 2" xfId="48618"/>
    <cellStyle name="Обычный 9 10 3 2 2 2 2" xfId="48619"/>
    <cellStyle name="Обычный 9 10 3 2 2 2 3" xfId="48620"/>
    <cellStyle name="Обычный 9 10 3 2 2 3" xfId="48621"/>
    <cellStyle name="Обычный 9 10 3 2 2 3 2" xfId="48622"/>
    <cellStyle name="Обычный 9 10 3 2 2 3 3" xfId="48623"/>
    <cellStyle name="Обычный 9 10 3 2 2 4" xfId="48624"/>
    <cellStyle name="Обычный 9 10 3 2 2 4 2" xfId="48625"/>
    <cellStyle name="Обычный 9 10 3 2 2 5" xfId="48626"/>
    <cellStyle name="Обычный 9 10 3 2 2 6" xfId="48627"/>
    <cellStyle name="Обычный 9 10 3 2 3" xfId="48628"/>
    <cellStyle name="Обычный 9 10 3 2 3 2" xfId="48629"/>
    <cellStyle name="Обычный 9 10 3 2 3 3" xfId="48630"/>
    <cellStyle name="Обычный 9 10 3 2 4" xfId="48631"/>
    <cellStyle name="Обычный 9 10 3 2 4 2" xfId="48632"/>
    <cellStyle name="Обычный 9 10 3 2 4 3" xfId="48633"/>
    <cellStyle name="Обычный 9 10 3 2 5" xfId="48634"/>
    <cellStyle name="Обычный 9 10 3 2 5 2" xfId="48635"/>
    <cellStyle name="Обычный 9 10 3 2 6" xfId="48636"/>
    <cellStyle name="Обычный 9 10 3 2 7" xfId="48637"/>
    <cellStyle name="Обычный 9 10 3 3" xfId="48638"/>
    <cellStyle name="Обычный 9 10 3 3 2" xfId="48639"/>
    <cellStyle name="Обычный 9 10 3 3 2 2" xfId="48640"/>
    <cellStyle name="Обычный 9 10 3 3 2 3" xfId="48641"/>
    <cellStyle name="Обычный 9 10 3 3 3" xfId="48642"/>
    <cellStyle name="Обычный 9 10 3 3 3 2" xfId="48643"/>
    <cellStyle name="Обычный 9 10 3 3 3 3" xfId="48644"/>
    <cellStyle name="Обычный 9 10 3 3 4" xfId="48645"/>
    <cellStyle name="Обычный 9 10 3 3 4 2" xfId="48646"/>
    <cellStyle name="Обычный 9 10 3 3 5" xfId="48647"/>
    <cellStyle name="Обычный 9 10 3 3 6" xfId="48648"/>
    <cellStyle name="Обычный 9 10 3 4" xfId="48649"/>
    <cellStyle name="Обычный 9 10 3 4 2" xfId="48650"/>
    <cellStyle name="Обычный 9 10 3 4 3" xfId="48651"/>
    <cellStyle name="Обычный 9 10 3 5" xfId="48652"/>
    <cellStyle name="Обычный 9 10 3 5 2" xfId="48653"/>
    <cellStyle name="Обычный 9 10 3 5 3" xfId="48654"/>
    <cellStyle name="Обычный 9 10 3 6" xfId="48655"/>
    <cellStyle name="Обычный 9 10 3 6 2" xfId="48656"/>
    <cellStyle name="Обычный 9 10 3 7" xfId="48657"/>
    <cellStyle name="Обычный 9 10 3 8" xfId="48658"/>
    <cellStyle name="Обычный 9 10 4" xfId="48659"/>
    <cellStyle name="Обычный 9 10 4 2" xfId="48660"/>
    <cellStyle name="Обычный 9 10 4 2 2" xfId="48661"/>
    <cellStyle name="Обычный 9 10 4 2 2 2" xfId="48662"/>
    <cellStyle name="Обычный 9 10 4 2 2 3" xfId="48663"/>
    <cellStyle name="Обычный 9 10 4 2 3" xfId="48664"/>
    <cellStyle name="Обычный 9 10 4 2 3 2" xfId="48665"/>
    <cellStyle name="Обычный 9 10 4 2 3 3" xfId="48666"/>
    <cellStyle name="Обычный 9 10 4 2 4" xfId="48667"/>
    <cellStyle name="Обычный 9 10 4 2 4 2" xfId="48668"/>
    <cellStyle name="Обычный 9 10 4 2 5" xfId="48669"/>
    <cellStyle name="Обычный 9 10 4 2 6" xfId="48670"/>
    <cellStyle name="Обычный 9 10 4 3" xfId="48671"/>
    <cellStyle name="Обычный 9 10 4 3 2" xfId="48672"/>
    <cellStyle name="Обычный 9 10 4 3 3" xfId="48673"/>
    <cellStyle name="Обычный 9 10 4 4" xfId="48674"/>
    <cellStyle name="Обычный 9 10 4 4 2" xfId="48675"/>
    <cellStyle name="Обычный 9 10 4 4 3" xfId="48676"/>
    <cellStyle name="Обычный 9 10 4 5" xfId="48677"/>
    <cellStyle name="Обычный 9 10 4 5 2" xfId="48678"/>
    <cellStyle name="Обычный 9 10 4 6" xfId="48679"/>
    <cellStyle name="Обычный 9 10 4 7" xfId="48680"/>
    <cellStyle name="Обычный 9 10 5" xfId="48681"/>
    <cellStyle name="Обычный 9 10 5 2" xfId="48682"/>
    <cellStyle name="Обычный 9 10 5 2 2" xfId="48683"/>
    <cellStyle name="Обычный 9 10 5 2 3" xfId="48684"/>
    <cellStyle name="Обычный 9 10 5 3" xfId="48685"/>
    <cellStyle name="Обычный 9 10 5 3 2" xfId="48686"/>
    <cellStyle name="Обычный 9 10 5 3 3" xfId="48687"/>
    <cellStyle name="Обычный 9 10 5 4" xfId="48688"/>
    <cellStyle name="Обычный 9 10 5 4 2" xfId="48689"/>
    <cellStyle name="Обычный 9 10 5 5" xfId="48690"/>
    <cellStyle name="Обычный 9 10 5 6" xfId="48691"/>
    <cellStyle name="Обычный 9 10 6" xfId="48692"/>
    <cellStyle name="Обычный 9 10 6 2" xfId="48693"/>
    <cellStyle name="Обычный 9 10 6 3" xfId="48694"/>
    <cellStyle name="Обычный 9 10 7" xfId="48695"/>
    <cellStyle name="Обычный 9 10 7 2" xfId="48696"/>
    <cellStyle name="Обычный 9 10 7 3" xfId="48697"/>
    <cellStyle name="Обычный 9 10 8" xfId="48698"/>
    <cellStyle name="Обычный 9 10 8 2" xfId="48699"/>
    <cellStyle name="Обычный 9 10 9" xfId="48700"/>
    <cellStyle name="Обычный 9 11" xfId="48701"/>
    <cellStyle name="Обычный 9 11 10" xfId="48702"/>
    <cellStyle name="Обычный 9 11 2" xfId="48703"/>
    <cellStyle name="Обычный 9 11 2 2" xfId="48704"/>
    <cellStyle name="Обычный 9 11 2 2 2" xfId="48705"/>
    <cellStyle name="Обычный 9 11 2 2 2 2" xfId="48706"/>
    <cellStyle name="Обычный 9 11 2 2 2 2 2" xfId="48707"/>
    <cellStyle name="Обычный 9 11 2 2 2 2 2 2" xfId="48708"/>
    <cellStyle name="Обычный 9 11 2 2 2 2 2 3" xfId="48709"/>
    <cellStyle name="Обычный 9 11 2 2 2 2 3" xfId="48710"/>
    <cellStyle name="Обычный 9 11 2 2 2 2 3 2" xfId="48711"/>
    <cellStyle name="Обычный 9 11 2 2 2 2 3 3" xfId="48712"/>
    <cellStyle name="Обычный 9 11 2 2 2 2 4" xfId="48713"/>
    <cellStyle name="Обычный 9 11 2 2 2 2 4 2" xfId="48714"/>
    <cellStyle name="Обычный 9 11 2 2 2 2 5" xfId="48715"/>
    <cellStyle name="Обычный 9 11 2 2 2 2 6" xfId="48716"/>
    <cellStyle name="Обычный 9 11 2 2 2 3" xfId="48717"/>
    <cellStyle name="Обычный 9 11 2 2 2 3 2" xfId="48718"/>
    <cellStyle name="Обычный 9 11 2 2 2 3 3" xfId="48719"/>
    <cellStyle name="Обычный 9 11 2 2 2 4" xfId="48720"/>
    <cellStyle name="Обычный 9 11 2 2 2 4 2" xfId="48721"/>
    <cellStyle name="Обычный 9 11 2 2 2 4 3" xfId="48722"/>
    <cellStyle name="Обычный 9 11 2 2 2 5" xfId="48723"/>
    <cellStyle name="Обычный 9 11 2 2 2 5 2" xfId="48724"/>
    <cellStyle name="Обычный 9 11 2 2 2 6" xfId="48725"/>
    <cellStyle name="Обычный 9 11 2 2 2 7" xfId="48726"/>
    <cellStyle name="Обычный 9 11 2 2 3" xfId="48727"/>
    <cellStyle name="Обычный 9 11 2 2 3 2" xfId="48728"/>
    <cellStyle name="Обычный 9 11 2 2 3 2 2" xfId="48729"/>
    <cellStyle name="Обычный 9 11 2 2 3 2 3" xfId="48730"/>
    <cellStyle name="Обычный 9 11 2 2 3 3" xfId="48731"/>
    <cellStyle name="Обычный 9 11 2 2 3 3 2" xfId="48732"/>
    <cellStyle name="Обычный 9 11 2 2 3 3 3" xfId="48733"/>
    <cellStyle name="Обычный 9 11 2 2 3 4" xfId="48734"/>
    <cellStyle name="Обычный 9 11 2 2 3 4 2" xfId="48735"/>
    <cellStyle name="Обычный 9 11 2 2 3 5" xfId="48736"/>
    <cellStyle name="Обычный 9 11 2 2 3 6" xfId="48737"/>
    <cellStyle name="Обычный 9 11 2 2 4" xfId="48738"/>
    <cellStyle name="Обычный 9 11 2 2 4 2" xfId="48739"/>
    <cellStyle name="Обычный 9 11 2 2 4 3" xfId="48740"/>
    <cellStyle name="Обычный 9 11 2 2 5" xfId="48741"/>
    <cellStyle name="Обычный 9 11 2 2 5 2" xfId="48742"/>
    <cellStyle name="Обычный 9 11 2 2 5 3" xfId="48743"/>
    <cellStyle name="Обычный 9 11 2 2 6" xfId="48744"/>
    <cellStyle name="Обычный 9 11 2 2 6 2" xfId="48745"/>
    <cellStyle name="Обычный 9 11 2 2 7" xfId="48746"/>
    <cellStyle name="Обычный 9 11 2 2 8" xfId="48747"/>
    <cellStyle name="Обычный 9 11 2 3" xfId="48748"/>
    <cellStyle name="Обычный 9 11 2 3 2" xfId="48749"/>
    <cellStyle name="Обычный 9 11 2 3 2 2" xfId="48750"/>
    <cellStyle name="Обычный 9 11 2 3 2 2 2" xfId="48751"/>
    <cellStyle name="Обычный 9 11 2 3 2 2 3" xfId="48752"/>
    <cellStyle name="Обычный 9 11 2 3 2 3" xfId="48753"/>
    <cellStyle name="Обычный 9 11 2 3 2 3 2" xfId="48754"/>
    <cellStyle name="Обычный 9 11 2 3 2 3 3" xfId="48755"/>
    <cellStyle name="Обычный 9 11 2 3 2 4" xfId="48756"/>
    <cellStyle name="Обычный 9 11 2 3 2 4 2" xfId="48757"/>
    <cellStyle name="Обычный 9 11 2 3 2 5" xfId="48758"/>
    <cellStyle name="Обычный 9 11 2 3 2 6" xfId="48759"/>
    <cellStyle name="Обычный 9 11 2 3 3" xfId="48760"/>
    <cellStyle name="Обычный 9 11 2 3 3 2" xfId="48761"/>
    <cellStyle name="Обычный 9 11 2 3 3 3" xfId="48762"/>
    <cellStyle name="Обычный 9 11 2 3 4" xfId="48763"/>
    <cellStyle name="Обычный 9 11 2 3 4 2" xfId="48764"/>
    <cellStyle name="Обычный 9 11 2 3 4 3" xfId="48765"/>
    <cellStyle name="Обычный 9 11 2 3 5" xfId="48766"/>
    <cellStyle name="Обычный 9 11 2 3 5 2" xfId="48767"/>
    <cellStyle name="Обычный 9 11 2 3 6" xfId="48768"/>
    <cellStyle name="Обычный 9 11 2 3 7" xfId="48769"/>
    <cellStyle name="Обычный 9 11 2 4" xfId="48770"/>
    <cellStyle name="Обычный 9 11 2 4 2" xfId="48771"/>
    <cellStyle name="Обычный 9 11 2 4 2 2" xfId="48772"/>
    <cellStyle name="Обычный 9 11 2 4 2 3" xfId="48773"/>
    <cellStyle name="Обычный 9 11 2 4 3" xfId="48774"/>
    <cellStyle name="Обычный 9 11 2 4 3 2" xfId="48775"/>
    <cellStyle name="Обычный 9 11 2 4 3 3" xfId="48776"/>
    <cellStyle name="Обычный 9 11 2 4 4" xfId="48777"/>
    <cellStyle name="Обычный 9 11 2 4 4 2" xfId="48778"/>
    <cellStyle name="Обычный 9 11 2 4 5" xfId="48779"/>
    <cellStyle name="Обычный 9 11 2 4 6" xfId="48780"/>
    <cellStyle name="Обычный 9 11 2 5" xfId="48781"/>
    <cellStyle name="Обычный 9 11 2 5 2" xfId="48782"/>
    <cellStyle name="Обычный 9 11 2 5 3" xfId="48783"/>
    <cellStyle name="Обычный 9 11 2 6" xfId="48784"/>
    <cellStyle name="Обычный 9 11 2 6 2" xfId="48785"/>
    <cellStyle name="Обычный 9 11 2 6 3" xfId="48786"/>
    <cellStyle name="Обычный 9 11 2 7" xfId="48787"/>
    <cellStyle name="Обычный 9 11 2 7 2" xfId="48788"/>
    <cellStyle name="Обычный 9 11 2 8" xfId="48789"/>
    <cellStyle name="Обычный 9 11 2 9" xfId="48790"/>
    <cellStyle name="Обычный 9 11 3" xfId="48791"/>
    <cellStyle name="Обычный 9 11 3 2" xfId="48792"/>
    <cellStyle name="Обычный 9 11 3 2 2" xfId="48793"/>
    <cellStyle name="Обычный 9 11 3 2 2 2" xfId="48794"/>
    <cellStyle name="Обычный 9 11 3 2 2 2 2" xfId="48795"/>
    <cellStyle name="Обычный 9 11 3 2 2 2 3" xfId="48796"/>
    <cellStyle name="Обычный 9 11 3 2 2 3" xfId="48797"/>
    <cellStyle name="Обычный 9 11 3 2 2 3 2" xfId="48798"/>
    <cellStyle name="Обычный 9 11 3 2 2 3 3" xfId="48799"/>
    <cellStyle name="Обычный 9 11 3 2 2 4" xfId="48800"/>
    <cellStyle name="Обычный 9 11 3 2 2 4 2" xfId="48801"/>
    <cellStyle name="Обычный 9 11 3 2 2 5" xfId="48802"/>
    <cellStyle name="Обычный 9 11 3 2 2 6" xfId="48803"/>
    <cellStyle name="Обычный 9 11 3 2 3" xfId="48804"/>
    <cellStyle name="Обычный 9 11 3 2 3 2" xfId="48805"/>
    <cellStyle name="Обычный 9 11 3 2 3 3" xfId="48806"/>
    <cellStyle name="Обычный 9 11 3 2 4" xfId="48807"/>
    <cellStyle name="Обычный 9 11 3 2 4 2" xfId="48808"/>
    <cellStyle name="Обычный 9 11 3 2 4 3" xfId="48809"/>
    <cellStyle name="Обычный 9 11 3 2 5" xfId="48810"/>
    <cellStyle name="Обычный 9 11 3 2 5 2" xfId="48811"/>
    <cellStyle name="Обычный 9 11 3 2 6" xfId="48812"/>
    <cellStyle name="Обычный 9 11 3 2 7" xfId="48813"/>
    <cellStyle name="Обычный 9 11 3 3" xfId="48814"/>
    <cellStyle name="Обычный 9 11 3 3 2" xfId="48815"/>
    <cellStyle name="Обычный 9 11 3 3 2 2" xfId="48816"/>
    <cellStyle name="Обычный 9 11 3 3 2 3" xfId="48817"/>
    <cellStyle name="Обычный 9 11 3 3 3" xfId="48818"/>
    <cellStyle name="Обычный 9 11 3 3 3 2" xfId="48819"/>
    <cellStyle name="Обычный 9 11 3 3 3 3" xfId="48820"/>
    <cellStyle name="Обычный 9 11 3 3 4" xfId="48821"/>
    <cellStyle name="Обычный 9 11 3 3 4 2" xfId="48822"/>
    <cellStyle name="Обычный 9 11 3 3 5" xfId="48823"/>
    <cellStyle name="Обычный 9 11 3 3 6" xfId="48824"/>
    <cellStyle name="Обычный 9 11 3 4" xfId="48825"/>
    <cellStyle name="Обычный 9 11 3 4 2" xfId="48826"/>
    <cellStyle name="Обычный 9 11 3 4 3" xfId="48827"/>
    <cellStyle name="Обычный 9 11 3 5" xfId="48828"/>
    <cellStyle name="Обычный 9 11 3 5 2" xfId="48829"/>
    <cellStyle name="Обычный 9 11 3 5 3" xfId="48830"/>
    <cellStyle name="Обычный 9 11 3 6" xfId="48831"/>
    <cellStyle name="Обычный 9 11 3 6 2" xfId="48832"/>
    <cellStyle name="Обычный 9 11 3 7" xfId="48833"/>
    <cellStyle name="Обычный 9 11 3 8" xfId="48834"/>
    <cellStyle name="Обычный 9 11 4" xfId="48835"/>
    <cellStyle name="Обычный 9 11 4 2" xfId="48836"/>
    <cellStyle name="Обычный 9 11 4 2 2" xfId="48837"/>
    <cellStyle name="Обычный 9 11 4 2 2 2" xfId="48838"/>
    <cellStyle name="Обычный 9 11 4 2 2 3" xfId="48839"/>
    <cellStyle name="Обычный 9 11 4 2 3" xfId="48840"/>
    <cellStyle name="Обычный 9 11 4 2 3 2" xfId="48841"/>
    <cellStyle name="Обычный 9 11 4 2 3 3" xfId="48842"/>
    <cellStyle name="Обычный 9 11 4 2 4" xfId="48843"/>
    <cellStyle name="Обычный 9 11 4 2 4 2" xfId="48844"/>
    <cellStyle name="Обычный 9 11 4 2 5" xfId="48845"/>
    <cellStyle name="Обычный 9 11 4 2 6" xfId="48846"/>
    <cellStyle name="Обычный 9 11 4 3" xfId="48847"/>
    <cellStyle name="Обычный 9 11 4 3 2" xfId="48848"/>
    <cellStyle name="Обычный 9 11 4 3 3" xfId="48849"/>
    <cellStyle name="Обычный 9 11 4 4" xfId="48850"/>
    <cellStyle name="Обычный 9 11 4 4 2" xfId="48851"/>
    <cellStyle name="Обычный 9 11 4 4 3" xfId="48852"/>
    <cellStyle name="Обычный 9 11 4 5" xfId="48853"/>
    <cellStyle name="Обычный 9 11 4 5 2" xfId="48854"/>
    <cellStyle name="Обычный 9 11 4 6" xfId="48855"/>
    <cellStyle name="Обычный 9 11 4 7" xfId="48856"/>
    <cellStyle name="Обычный 9 11 5" xfId="48857"/>
    <cellStyle name="Обычный 9 11 5 2" xfId="48858"/>
    <cellStyle name="Обычный 9 11 5 2 2" xfId="48859"/>
    <cellStyle name="Обычный 9 11 5 2 3" xfId="48860"/>
    <cellStyle name="Обычный 9 11 5 3" xfId="48861"/>
    <cellStyle name="Обычный 9 11 5 3 2" xfId="48862"/>
    <cellStyle name="Обычный 9 11 5 3 3" xfId="48863"/>
    <cellStyle name="Обычный 9 11 5 4" xfId="48864"/>
    <cellStyle name="Обычный 9 11 5 4 2" xfId="48865"/>
    <cellStyle name="Обычный 9 11 5 5" xfId="48866"/>
    <cellStyle name="Обычный 9 11 5 6" xfId="48867"/>
    <cellStyle name="Обычный 9 11 6" xfId="48868"/>
    <cellStyle name="Обычный 9 11 6 2" xfId="48869"/>
    <cellStyle name="Обычный 9 11 6 3" xfId="48870"/>
    <cellStyle name="Обычный 9 11 7" xfId="48871"/>
    <cellStyle name="Обычный 9 11 7 2" xfId="48872"/>
    <cellStyle name="Обычный 9 11 7 3" xfId="48873"/>
    <cellStyle name="Обычный 9 11 8" xfId="48874"/>
    <cellStyle name="Обычный 9 11 8 2" xfId="48875"/>
    <cellStyle name="Обычный 9 11 9" xfId="48876"/>
    <cellStyle name="Обычный 9 12" xfId="48877"/>
    <cellStyle name="Обычный 9 12 10" xfId="48878"/>
    <cellStyle name="Обычный 9 12 2" xfId="48879"/>
    <cellStyle name="Обычный 9 12 2 2" xfId="48880"/>
    <cellStyle name="Обычный 9 12 2 2 2" xfId="48881"/>
    <cellStyle name="Обычный 9 12 2 2 2 2" xfId="48882"/>
    <cellStyle name="Обычный 9 12 2 2 2 2 2" xfId="48883"/>
    <cellStyle name="Обычный 9 12 2 2 2 2 2 2" xfId="48884"/>
    <cellStyle name="Обычный 9 12 2 2 2 2 2 3" xfId="48885"/>
    <cellStyle name="Обычный 9 12 2 2 2 2 3" xfId="48886"/>
    <cellStyle name="Обычный 9 12 2 2 2 2 3 2" xfId="48887"/>
    <cellStyle name="Обычный 9 12 2 2 2 2 3 3" xfId="48888"/>
    <cellStyle name="Обычный 9 12 2 2 2 2 4" xfId="48889"/>
    <cellStyle name="Обычный 9 12 2 2 2 2 4 2" xfId="48890"/>
    <cellStyle name="Обычный 9 12 2 2 2 2 5" xfId="48891"/>
    <cellStyle name="Обычный 9 12 2 2 2 2 6" xfId="48892"/>
    <cellStyle name="Обычный 9 12 2 2 2 3" xfId="48893"/>
    <cellStyle name="Обычный 9 12 2 2 2 3 2" xfId="48894"/>
    <cellStyle name="Обычный 9 12 2 2 2 3 3" xfId="48895"/>
    <cellStyle name="Обычный 9 12 2 2 2 4" xfId="48896"/>
    <cellStyle name="Обычный 9 12 2 2 2 4 2" xfId="48897"/>
    <cellStyle name="Обычный 9 12 2 2 2 4 3" xfId="48898"/>
    <cellStyle name="Обычный 9 12 2 2 2 5" xfId="48899"/>
    <cellStyle name="Обычный 9 12 2 2 2 5 2" xfId="48900"/>
    <cellStyle name="Обычный 9 12 2 2 2 6" xfId="48901"/>
    <cellStyle name="Обычный 9 12 2 2 2 7" xfId="48902"/>
    <cellStyle name="Обычный 9 12 2 2 3" xfId="48903"/>
    <cellStyle name="Обычный 9 12 2 2 3 2" xfId="48904"/>
    <cellStyle name="Обычный 9 12 2 2 3 2 2" xfId="48905"/>
    <cellStyle name="Обычный 9 12 2 2 3 2 3" xfId="48906"/>
    <cellStyle name="Обычный 9 12 2 2 3 3" xfId="48907"/>
    <cellStyle name="Обычный 9 12 2 2 3 3 2" xfId="48908"/>
    <cellStyle name="Обычный 9 12 2 2 3 3 3" xfId="48909"/>
    <cellStyle name="Обычный 9 12 2 2 3 4" xfId="48910"/>
    <cellStyle name="Обычный 9 12 2 2 3 4 2" xfId="48911"/>
    <cellStyle name="Обычный 9 12 2 2 3 5" xfId="48912"/>
    <cellStyle name="Обычный 9 12 2 2 3 6" xfId="48913"/>
    <cellStyle name="Обычный 9 12 2 2 4" xfId="48914"/>
    <cellStyle name="Обычный 9 12 2 2 4 2" xfId="48915"/>
    <cellStyle name="Обычный 9 12 2 2 4 3" xfId="48916"/>
    <cellStyle name="Обычный 9 12 2 2 5" xfId="48917"/>
    <cellStyle name="Обычный 9 12 2 2 5 2" xfId="48918"/>
    <cellStyle name="Обычный 9 12 2 2 5 3" xfId="48919"/>
    <cellStyle name="Обычный 9 12 2 2 6" xfId="48920"/>
    <cellStyle name="Обычный 9 12 2 2 6 2" xfId="48921"/>
    <cellStyle name="Обычный 9 12 2 2 7" xfId="48922"/>
    <cellStyle name="Обычный 9 12 2 2 8" xfId="48923"/>
    <cellStyle name="Обычный 9 12 2 3" xfId="48924"/>
    <cellStyle name="Обычный 9 12 2 3 2" xfId="48925"/>
    <cellStyle name="Обычный 9 12 2 3 2 2" xfId="48926"/>
    <cellStyle name="Обычный 9 12 2 3 2 2 2" xfId="48927"/>
    <cellStyle name="Обычный 9 12 2 3 2 2 3" xfId="48928"/>
    <cellStyle name="Обычный 9 12 2 3 2 3" xfId="48929"/>
    <cellStyle name="Обычный 9 12 2 3 2 3 2" xfId="48930"/>
    <cellStyle name="Обычный 9 12 2 3 2 3 3" xfId="48931"/>
    <cellStyle name="Обычный 9 12 2 3 2 4" xfId="48932"/>
    <cellStyle name="Обычный 9 12 2 3 2 4 2" xfId="48933"/>
    <cellStyle name="Обычный 9 12 2 3 2 5" xfId="48934"/>
    <cellStyle name="Обычный 9 12 2 3 2 6" xfId="48935"/>
    <cellStyle name="Обычный 9 12 2 3 3" xfId="48936"/>
    <cellStyle name="Обычный 9 12 2 3 3 2" xfId="48937"/>
    <cellStyle name="Обычный 9 12 2 3 3 3" xfId="48938"/>
    <cellStyle name="Обычный 9 12 2 3 4" xfId="48939"/>
    <cellStyle name="Обычный 9 12 2 3 4 2" xfId="48940"/>
    <cellStyle name="Обычный 9 12 2 3 4 3" xfId="48941"/>
    <cellStyle name="Обычный 9 12 2 3 5" xfId="48942"/>
    <cellStyle name="Обычный 9 12 2 3 5 2" xfId="48943"/>
    <cellStyle name="Обычный 9 12 2 3 6" xfId="48944"/>
    <cellStyle name="Обычный 9 12 2 3 7" xfId="48945"/>
    <cellStyle name="Обычный 9 12 2 4" xfId="48946"/>
    <cellStyle name="Обычный 9 12 2 4 2" xfId="48947"/>
    <cellStyle name="Обычный 9 12 2 4 2 2" xfId="48948"/>
    <cellStyle name="Обычный 9 12 2 4 2 3" xfId="48949"/>
    <cellStyle name="Обычный 9 12 2 4 3" xfId="48950"/>
    <cellStyle name="Обычный 9 12 2 4 3 2" xfId="48951"/>
    <cellStyle name="Обычный 9 12 2 4 3 3" xfId="48952"/>
    <cellStyle name="Обычный 9 12 2 4 4" xfId="48953"/>
    <cellStyle name="Обычный 9 12 2 4 4 2" xfId="48954"/>
    <cellStyle name="Обычный 9 12 2 4 5" xfId="48955"/>
    <cellStyle name="Обычный 9 12 2 4 6" xfId="48956"/>
    <cellStyle name="Обычный 9 12 2 5" xfId="48957"/>
    <cellStyle name="Обычный 9 12 2 5 2" xfId="48958"/>
    <cellStyle name="Обычный 9 12 2 5 3" xfId="48959"/>
    <cellStyle name="Обычный 9 12 2 6" xfId="48960"/>
    <cellStyle name="Обычный 9 12 2 6 2" xfId="48961"/>
    <cellStyle name="Обычный 9 12 2 6 3" xfId="48962"/>
    <cellStyle name="Обычный 9 12 2 7" xfId="48963"/>
    <cellStyle name="Обычный 9 12 2 7 2" xfId="48964"/>
    <cellStyle name="Обычный 9 12 2 8" xfId="48965"/>
    <cellStyle name="Обычный 9 12 2 9" xfId="48966"/>
    <cellStyle name="Обычный 9 12 3" xfId="48967"/>
    <cellStyle name="Обычный 9 12 3 2" xfId="48968"/>
    <cellStyle name="Обычный 9 12 3 2 2" xfId="48969"/>
    <cellStyle name="Обычный 9 12 3 2 2 2" xfId="48970"/>
    <cellStyle name="Обычный 9 12 3 2 2 2 2" xfId="48971"/>
    <cellStyle name="Обычный 9 12 3 2 2 2 3" xfId="48972"/>
    <cellStyle name="Обычный 9 12 3 2 2 3" xfId="48973"/>
    <cellStyle name="Обычный 9 12 3 2 2 3 2" xfId="48974"/>
    <cellStyle name="Обычный 9 12 3 2 2 3 3" xfId="48975"/>
    <cellStyle name="Обычный 9 12 3 2 2 4" xfId="48976"/>
    <cellStyle name="Обычный 9 12 3 2 2 4 2" xfId="48977"/>
    <cellStyle name="Обычный 9 12 3 2 2 5" xfId="48978"/>
    <cellStyle name="Обычный 9 12 3 2 2 6" xfId="48979"/>
    <cellStyle name="Обычный 9 12 3 2 3" xfId="48980"/>
    <cellStyle name="Обычный 9 12 3 2 3 2" xfId="48981"/>
    <cellStyle name="Обычный 9 12 3 2 3 3" xfId="48982"/>
    <cellStyle name="Обычный 9 12 3 2 4" xfId="48983"/>
    <cellStyle name="Обычный 9 12 3 2 4 2" xfId="48984"/>
    <cellStyle name="Обычный 9 12 3 2 4 3" xfId="48985"/>
    <cellStyle name="Обычный 9 12 3 2 5" xfId="48986"/>
    <cellStyle name="Обычный 9 12 3 2 5 2" xfId="48987"/>
    <cellStyle name="Обычный 9 12 3 2 6" xfId="48988"/>
    <cellStyle name="Обычный 9 12 3 2 7" xfId="48989"/>
    <cellStyle name="Обычный 9 12 3 3" xfId="48990"/>
    <cellStyle name="Обычный 9 12 3 3 2" xfId="48991"/>
    <cellStyle name="Обычный 9 12 3 3 2 2" xfId="48992"/>
    <cellStyle name="Обычный 9 12 3 3 2 3" xfId="48993"/>
    <cellStyle name="Обычный 9 12 3 3 3" xfId="48994"/>
    <cellStyle name="Обычный 9 12 3 3 3 2" xfId="48995"/>
    <cellStyle name="Обычный 9 12 3 3 3 3" xfId="48996"/>
    <cellStyle name="Обычный 9 12 3 3 4" xfId="48997"/>
    <cellStyle name="Обычный 9 12 3 3 4 2" xfId="48998"/>
    <cellStyle name="Обычный 9 12 3 3 5" xfId="48999"/>
    <cellStyle name="Обычный 9 12 3 3 6" xfId="49000"/>
    <cellStyle name="Обычный 9 12 3 4" xfId="49001"/>
    <cellStyle name="Обычный 9 12 3 4 2" xfId="49002"/>
    <cellStyle name="Обычный 9 12 3 4 3" xfId="49003"/>
    <cellStyle name="Обычный 9 12 3 5" xfId="49004"/>
    <cellStyle name="Обычный 9 12 3 5 2" xfId="49005"/>
    <cellStyle name="Обычный 9 12 3 5 3" xfId="49006"/>
    <cellStyle name="Обычный 9 12 3 6" xfId="49007"/>
    <cellStyle name="Обычный 9 12 3 6 2" xfId="49008"/>
    <cellStyle name="Обычный 9 12 3 7" xfId="49009"/>
    <cellStyle name="Обычный 9 12 3 8" xfId="49010"/>
    <cellStyle name="Обычный 9 12 4" xfId="49011"/>
    <cellStyle name="Обычный 9 12 4 2" xfId="49012"/>
    <cellStyle name="Обычный 9 12 4 2 2" xfId="49013"/>
    <cellStyle name="Обычный 9 12 4 2 2 2" xfId="49014"/>
    <cellStyle name="Обычный 9 12 4 2 2 3" xfId="49015"/>
    <cellStyle name="Обычный 9 12 4 2 3" xfId="49016"/>
    <cellStyle name="Обычный 9 12 4 2 3 2" xfId="49017"/>
    <cellStyle name="Обычный 9 12 4 2 3 3" xfId="49018"/>
    <cellStyle name="Обычный 9 12 4 2 4" xfId="49019"/>
    <cellStyle name="Обычный 9 12 4 2 4 2" xfId="49020"/>
    <cellStyle name="Обычный 9 12 4 2 5" xfId="49021"/>
    <cellStyle name="Обычный 9 12 4 2 6" xfId="49022"/>
    <cellStyle name="Обычный 9 12 4 3" xfId="49023"/>
    <cellStyle name="Обычный 9 12 4 3 2" xfId="49024"/>
    <cellStyle name="Обычный 9 12 4 3 3" xfId="49025"/>
    <cellStyle name="Обычный 9 12 4 4" xfId="49026"/>
    <cellStyle name="Обычный 9 12 4 4 2" xfId="49027"/>
    <cellStyle name="Обычный 9 12 4 4 3" xfId="49028"/>
    <cellStyle name="Обычный 9 12 4 5" xfId="49029"/>
    <cellStyle name="Обычный 9 12 4 5 2" xfId="49030"/>
    <cellStyle name="Обычный 9 12 4 6" xfId="49031"/>
    <cellStyle name="Обычный 9 12 4 7" xfId="49032"/>
    <cellStyle name="Обычный 9 12 5" xfId="49033"/>
    <cellStyle name="Обычный 9 12 5 2" xfId="49034"/>
    <cellStyle name="Обычный 9 12 5 2 2" xfId="49035"/>
    <cellStyle name="Обычный 9 12 5 2 3" xfId="49036"/>
    <cellStyle name="Обычный 9 12 5 3" xfId="49037"/>
    <cellStyle name="Обычный 9 12 5 3 2" xfId="49038"/>
    <cellStyle name="Обычный 9 12 5 3 3" xfId="49039"/>
    <cellStyle name="Обычный 9 12 5 4" xfId="49040"/>
    <cellStyle name="Обычный 9 12 5 4 2" xfId="49041"/>
    <cellStyle name="Обычный 9 12 5 5" xfId="49042"/>
    <cellStyle name="Обычный 9 12 5 6" xfId="49043"/>
    <cellStyle name="Обычный 9 12 6" xfId="49044"/>
    <cellStyle name="Обычный 9 12 6 2" xfId="49045"/>
    <cellStyle name="Обычный 9 12 6 3" xfId="49046"/>
    <cellStyle name="Обычный 9 12 7" xfId="49047"/>
    <cellStyle name="Обычный 9 12 7 2" xfId="49048"/>
    <cellStyle name="Обычный 9 12 7 3" xfId="49049"/>
    <cellStyle name="Обычный 9 12 8" xfId="49050"/>
    <cellStyle name="Обычный 9 12 8 2" xfId="49051"/>
    <cellStyle name="Обычный 9 12 9" xfId="49052"/>
    <cellStyle name="Обычный 9 13" xfId="49053"/>
    <cellStyle name="Обычный 9 13 2" xfId="49054"/>
    <cellStyle name="Обычный 9 13 2 2" xfId="49055"/>
    <cellStyle name="Обычный 9 13 2 2 2" xfId="49056"/>
    <cellStyle name="Обычный 9 13 2 2 2 2" xfId="49057"/>
    <cellStyle name="Обычный 9 13 2 2 2 2 2" xfId="49058"/>
    <cellStyle name="Обычный 9 13 2 2 2 2 3" xfId="49059"/>
    <cellStyle name="Обычный 9 13 2 2 2 3" xfId="49060"/>
    <cellStyle name="Обычный 9 13 2 2 2 3 2" xfId="49061"/>
    <cellStyle name="Обычный 9 13 2 2 2 3 3" xfId="49062"/>
    <cellStyle name="Обычный 9 13 2 2 2 4" xfId="49063"/>
    <cellStyle name="Обычный 9 13 2 2 2 4 2" xfId="49064"/>
    <cellStyle name="Обычный 9 13 2 2 2 5" xfId="49065"/>
    <cellStyle name="Обычный 9 13 2 2 2 6" xfId="49066"/>
    <cellStyle name="Обычный 9 13 2 2 3" xfId="49067"/>
    <cellStyle name="Обычный 9 13 2 2 3 2" xfId="49068"/>
    <cellStyle name="Обычный 9 13 2 2 3 3" xfId="49069"/>
    <cellStyle name="Обычный 9 13 2 2 4" xfId="49070"/>
    <cellStyle name="Обычный 9 13 2 2 4 2" xfId="49071"/>
    <cellStyle name="Обычный 9 13 2 2 4 3" xfId="49072"/>
    <cellStyle name="Обычный 9 13 2 2 5" xfId="49073"/>
    <cellStyle name="Обычный 9 13 2 2 5 2" xfId="49074"/>
    <cellStyle name="Обычный 9 13 2 2 6" xfId="49075"/>
    <cellStyle name="Обычный 9 13 2 2 7" xfId="49076"/>
    <cellStyle name="Обычный 9 13 2 3" xfId="49077"/>
    <cellStyle name="Обычный 9 13 2 3 2" xfId="49078"/>
    <cellStyle name="Обычный 9 13 2 3 2 2" xfId="49079"/>
    <cellStyle name="Обычный 9 13 2 3 2 3" xfId="49080"/>
    <cellStyle name="Обычный 9 13 2 3 3" xfId="49081"/>
    <cellStyle name="Обычный 9 13 2 3 3 2" xfId="49082"/>
    <cellStyle name="Обычный 9 13 2 3 3 3" xfId="49083"/>
    <cellStyle name="Обычный 9 13 2 3 4" xfId="49084"/>
    <cellStyle name="Обычный 9 13 2 3 4 2" xfId="49085"/>
    <cellStyle name="Обычный 9 13 2 3 5" xfId="49086"/>
    <cellStyle name="Обычный 9 13 2 3 6" xfId="49087"/>
    <cellStyle name="Обычный 9 13 2 4" xfId="49088"/>
    <cellStyle name="Обычный 9 13 2 4 2" xfId="49089"/>
    <cellStyle name="Обычный 9 13 2 4 3" xfId="49090"/>
    <cellStyle name="Обычный 9 13 2 5" xfId="49091"/>
    <cellStyle name="Обычный 9 13 2 5 2" xfId="49092"/>
    <cellStyle name="Обычный 9 13 2 5 3" xfId="49093"/>
    <cellStyle name="Обычный 9 13 2 6" xfId="49094"/>
    <cellStyle name="Обычный 9 13 2 6 2" xfId="49095"/>
    <cellStyle name="Обычный 9 13 2 7" xfId="49096"/>
    <cellStyle name="Обычный 9 13 2 8" xfId="49097"/>
    <cellStyle name="Обычный 9 13 3" xfId="49098"/>
    <cellStyle name="Обычный 9 13 3 2" xfId="49099"/>
    <cellStyle name="Обычный 9 13 3 2 2" xfId="49100"/>
    <cellStyle name="Обычный 9 13 3 2 2 2" xfId="49101"/>
    <cellStyle name="Обычный 9 13 3 2 2 3" xfId="49102"/>
    <cellStyle name="Обычный 9 13 3 2 3" xfId="49103"/>
    <cellStyle name="Обычный 9 13 3 2 3 2" xfId="49104"/>
    <cellStyle name="Обычный 9 13 3 2 3 3" xfId="49105"/>
    <cellStyle name="Обычный 9 13 3 2 4" xfId="49106"/>
    <cellStyle name="Обычный 9 13 3 2 4 2" xfId="49107"/>
    <cellStyle name="Обычный 9 13 3 2 5" xfId="49108"/>
    <cellStyle name="Обычный 9 13 3 2 6" xfId="49109"/>
    <cellStyle name="Обычный 9 13 3 3" xfId="49110"/>
    <cellStyle name="Обычный 9 13 3 3 2" xfId="49111"/>
    <cellStyle name="Обычный 9 13 3 3 3" xfId="49112"/>
    <cellStyle name="Обычный 9 13 3 4" xfId="49113"/>
    <cellStyle name="Обычный 9 13 3 4 2" xfId="49114"/>
    <cellStyle name="Обычный 9 13 3 4 3" xfId="49115"/>
    <cellStyle name="Обычный 9 13 3 5" xfId="49116"/>
    <cellStyle name="Обычный 9 13 3 5 2" xfId="49117"/>
    <cellStyle name="Обычный 9 13 3 6" xfId="49118"/>
    <cellStyle name="Обычный 9 13 3 7" xfId="49119"/>
    <cellStyle name="Обычный 9 13 4" xfId="49120"/>
    <cellStyle name="Обычный 9 13 4 2" xfId="49121"/>
    <cellStyle name="Обычный 9 13 4 2 2" xfId="49122"/>
    <cellStyle name="Обычный 9 13 4 2 3" xfId="49123"/>
    <cellStyle name="Обычный 9 13 4 3" xfId="49124"/>
    <cellStyle name="Обычный 9 13 4 3 2" xfId="49125"/>
    <cellStyle name="Обычный 9 13 4 3 3" xfId="49126"/>
    <cellStyle name="Обычный 9 13 4 4" xfId="49127"/>
    <cellStyle name="Обычный 9 13 4 4 2" xfId="49128"/>
    <cellStyle name="Обычный 9 13 4 5" xfId="49129"/>
    <cellStyle name="Обычный 9 13 4 6" xfId="49130"/>
    <cellStyle name="Обычный 9 13 5" xfId="49131"/>
    <cellStyle name="Обычный 9 13 5 2" xfId="49132"/>
    <cellStyle name="Обычный 9 13 5 3" xfId="49133"/>
    <cellStyle name="Обычный 9 13 6" xfId="49134"/>
    <cellStyle name="Обычный 9 13 6 2" xfId="49135"/>
    <cellStyle name="Обычный 9 13 6 3" xfId="49136"/>
    <cellStyle name="Обычный 9 13 7" xfId="49137"/>
    <cellStyle name="Обычный 9 13 7 2" xfId="49138"/>
    <cellStyle name="Обычный 9 13 8" xfId="49139"/>
    <cellStyle name="Обычный 9 13 9" xfId="49140"/>
    <cellStyle name="Обычный 9 14" xfId="49141"/>
    <cellStyle name="Обычный 9 14 2" xfId="49142"/>
    <cellStyle name="Обычный 9 14 2 2" xfId="49143"/>
    <cellStyle name="Обычный 9 14 2 2 2" xfId="49144"/>
    <cellStyle name="Обычный 9 14 2 2 2 2" xfId="49145"/>
    <cellStyle name="Обычный 9 14 2 2 2 3" xfId="49146"/>
    <cellStyle name="Обычный 9 14 2 2 3" xfId="49147"/>
    <cellStyle name="Обычный 9 14 2 2 3 2" xfId="49148"/>
    <cellStyle name="Обычный 9 14 2 2 3 3" xfId="49149"/>
    <cellStyle name="Обычный 9 14 2 2 4" xfId="49150"/>
    <cellStyle name="Обычный 9 14 2 2 4 2" xfId="49151"/>
    <cellStyle name="Обычный 9 14 2 2 5" xfId="49152"/>
    <cellStyle name="Обычный 9 14 2 2 6" xfId="49153"/>
    <cellStyle name="Обычный 9 14 2 3" xfId="49154"/>
    <cellStyle name="Обычный 9 14 2 3 2" xfId="49155"/>
    <cellStyle name="Обычный 9 14 2 3 3" xfId="49156"/>
    <cellStyle name="Обычный 9 14 2 4" xfId="49157"/>
    <cellStyle name="Обычный 9 14 2 4 2" xfId="49158"/>
    <cellStyle name="Обычный 9 14 2 4 3" xfId="49159"/>
    <cellStyle name="Обычный 9 14 2 5" xfId="49160"/>
    <cellStyle name="Обычный 9 14 2 5 2" xfId="49161"/>
    <cellStyle name="Обычный 9 14 2 6" xfId="49162"/>
    <cellStyle name="Обычный 9 14 2 7" xfId="49163"/>
    <cellStyle name="Обычный 9 14 3" xfId="49164"/>
    <cellStyle name="Обычный 9 14 3 2" xfId="49165"/>
    <cellStyle name="Обычный 9 14 3 2 2" xfId="49166"/>
    <cellStyle name="Обычный 9 14 3 2 3" xfId="49167"/>
    <cellStyle name="Обычный 9 14 3 3" xfId="49168"/>
    <cellStyle name="Обычный 9 14 3 3 2" xfId="49169"/>
    <cellStyle name="Обычный 9 14 3 3 3" xfId="49170"/>
    <cellStyle name="Обычный 9 14 3 4" xfId="49171"/>
    <cellStyle name="Обычный 9 14 3 4 2" xfId="49172"/>
    <cellStyle name="Обычный 9 14 3 5" xfId="49173"/>
    <cellStyle name="Обычный 9 14 3 6" xfId="49174"/>
    <cellStyle name="Обычный 9 14 4" xfId="49175"/>
    <cellStyle name="Обычный 9 14 4 2" xfId="49176"/>
    <cellStyle name="Обычный 9 14 4 3" xfId="49177"/>
    <cellStyle name="Обычный 9 14 5" xfId="49178"/>
    <cellStyle name="Обычный 9 14 5 2" xfId="49179"/>
    <cellStyle name="Обычный 9 14 5 3" xfId="49180"/>
    <cellStyle name="Обычный 9 14 6" xfId="49181"/>
    <cellStyle name="Обычный 9 14 6 2" xfId="49182"/>
    <cellStyle name="Обычный 9 14 7" xfId="49183"/>
    <cellStyle name="Обычный 9 14 8" xfId="49184"/>
    <cellStyle name="Обычный 9 15" xfId="49185"/>
    <cellStyle name="Обычный 9 15 2" xfId="49186"/>
    <cellStyle name="Обычный 9 15 2 2" xfId="49187"/>
    <cellStyle name="Обычный 9 15 2 2 2" xfId="49188"/>
    <cellStyle name="Обычный 9 15 2 2 3" xfId="49189"/>
    <cellStyle name="Обычный 9 15 2 3" xfId="49190"/>
    <cellStyle name="Обычный 9 15 2 3 2" xfId="49191"/>
    <cellStyle name="Обычный 9 15 2 3 3" xfId="49192"/>
    <cellStyle name="Обычный 9 15 2 4" xfId="49193"/>
    <cellStyle name="Обычный 9 15 2 4 2" xfId="49194"/>
    <cellStyle name="Обычный 9 15 2 5" xfId="49195"/>
    <cellStyle name="Обычный 9 15 2 6" xfId="49196"/>
    <cellStyle name="Обычный 9 15 3" xfId="49197"/>
    <cellStyle name="Обычный 9 15 3 2" xfId="49198"/>
    <cellStyle name="Обычный 9 15 3 3" xfId="49199"/>
    <cellStyle name="Обычный 9 15 4" xfId="49200"/>
    <cellStyle name="Обычный 9 15 4 2" xfId="49201"/>
    <cellStyle name="Обычный 9 15 4 3" xfId="49202"/>
    <cellStyle name="Обычный 9 15 5" xfId="49203"/>
    <cellStyle name="Обычный 9 15 5 2" xfId="49204"/>
    <cellStyle name="Обычный 9 15 6" xfId="49205"/>
    <cellStyle name="Обычный 9 15 7" xfId="49206"/>
    <cellStyle name="Обычный 9 16" xfId="49207"/>
    <cellStyle name="Обычный 9 16 2" xfId="49208"/>
    <cellStyle name="Обычный 9 16 2 2" xfId="49209"/>
    <cellStyle name="Обычный 9 16 2 3" xfId="49210"/>
    <cellStyle name="Обычный 9 16 3" xfId="49211"/>
    <cellStyle name="Обычный 9 16 3 2" xfId="49212"/>
    <cellStyle name="Обычный 9 16 3 3" xfId="49213"/>
    <cellStyle name="Обычный 9 16 4" xfId="49214"/>
    <cellStyle name="Обычный 9 16 4 2" xfId="49215"/>
    <cellStyle name="Обычный 9 16 5" xfId="49216"/>
    <cellStyle name="Обычный 9 16 6" xfId="49217"/>
    <cellStyle name="Обычный 9 17" xfId="49218"/>
    <cellStyle name="Обычный 9 17 2" xfId="49219"/>
    <cellStyle name="Обычный 9 17 3" xfId="49220"/>
    <cellStyle name="Обычный 9 18" xfId="49221"/>
    <cellStyle name="Обычный 9 18 2" xfId="49222"/>
    <cellStyle name="Обычный 9 18 3" xfId="49223"/>
    <cellStyle name="Обычный 9 19" xfId="49224"/>
    <cellStyle name="Обычный 9 19 2" xfId="49225"/>
    <cellStyle name="Обычный 9 2" xfId="49226"/>
    <cellStyle name="Обычный 9 2 10" xfId="49227"/>
    <cellStyle name="Обычный 9 2 10 2" xfId="49228"/>
    <cellStyle name="Обычный 9 2 10 3" xfId="49229"/>
    <cellStyle name="Обычный 9 2 11" xfId="49230"/>
    <cellStyle name="Обычный 9 2 11 2" xfId="49231"/>
    <cellStyle name="Обычный 9 2 11 3" xfId="49232"/>
    <cellStyle name="Обычный 9 2 12" xfId="49233"/>
    <cellStyle name="Обычный 9 2 12 2" xfId="49234"/>
    <cellStyle name="Обычный 9 2 13" xfId="49235"/>
    <cellStyle name="Обычный 9 2 14" xfId="49236"/>
    <cellStyle name="Обычный 9 2 2" xfId="49237"/>
    <cellStyle name="Обычный 9 2 2 10" xfId="49238"/>
    <cellStyle name="Обычный 9 2 2 10 2" xfId="49239"/>
    <cellStyle name="Обычный 9 2 2 10 3" xfId="49240"/>
    <cellStyle name="Обычный 9 2 2 11" xfId="49241"/>
    <cellStyle name="Обычный 9 2 2 11 2" xfId="49242"/>
    <cellStyle name="Обычный 9 2 2 12" xfId="49243"/>
    <cellStyle name="Обычный 9 2 2 13" xfId="49244"/>
    <cellStyle name="Обычный 9 2 2 2" xfId="49245"/>
    <cellStyle name="Обычный 9 2 2 2 10" xfId="49246"/>
    <cellStyle name="Обычный 9 2 2 2 2" xfId="49247"/>
    <cellStyle name="Обычный 9 2 2 2 2 2" xfId="49248"/>
    <cellStyle name="Обычный 9 2 2 2 2 2 2" xfId="49249"/>
    <cellStyle name="Обычный 9 2 2 2 2 2 2 2" xfId="49250"/>
    <cellStyle name="Обычный 9 2 2 2 2 2 2 2 2" xfId="49251"/>
    <cellStyle name="Обычный 9 2 2 2 2 2 2 2 2 2" xfId="49252"/>
    <cellStyle name="Обычный 9 2 2 2 2 2 2 2 2 3" xfId="49253"/>
    <cellStyle name="Обычный 9 2 2 2 2 2 2 2 3" xfId="49254"/>
    <cellStyle name="Обычный 9 2 2 2 2 2 2 2 3 2" xfId="49255"/>
    <cellStyle name="Обычный 9 2 2 2 2 2 2 2 3 3" xfId="49256"/>
    <cellStyle name="Обычный 9 2 2 2 2 2 2 2 4" xfId="49257"/>
    <cellStyle name="Обычный 9 2 2 2 2 2 2 2 4 2" xfId="49258"/>
    <cellStyle name="Обычный 9 2 2 2 2 2 2 2 5" xfId="49259"/>
    <cellStyle name="Обычный 9 2 2 2 2 2 2 2 6" xfId="49260"/>
    <cellStyle name="Обычный 9 2 2 2 2 2 2 3" xfId="49261"/>
    <cellStyle name="Обычный 9 2 2 2 2 2 2 3 2" xfId="49262"/>
    <cellStyle name="Обычный 9 2 2 2 2 2 2 3 3" xfId="49263"/>
    <cellStyle name="Обычный 9 2 2 2 2 2 2 4" xfId="49264"/>
    <cellStyle name="Обычный 9 2 2 2 2 2 2 4 2" xfId="49265"/>
    <cellStyle name="Обычный 9 2 2 2 2 2 2 4 3" xfId="49266"/>
    <cellStyle name="Обычный 9 2 2 2 2 2 2 5" xfId="49267"/>
    <cellStyle name="Обычный 9 2 2 2 2 2 2 5 2" xfId="49268"/>
    <cellStyle name="Обычный 9 2 2 2 2 2 2 6" xfId="49269"/>
    <cellStyle name="Обычный 9 2 2 2 2 2 2 7" xfId="49270"/>
    <cellStyle name="Обычный 9 2 2 2 2 2 3" xfId="49271"/>
    <cellStyle name="Обычный 9 2 2 2 2 2 3 2" xfId="49272"/>
    <cellStyle name="Обычный 9 2 2 2 2 2 3 2 2" xfId="49273"/>
    <cellStyle name="Обычный 9 2 2 2 2 2 3 2 3" xfId="49274"/>
    <cellStyle name="Обычный 9 2 2 2 2 2 3 3" xfId="49275"/>
    <cellStyle name="Обычный 9 2 2 2 2 2 3 3 2" xfId="49276"/>
    <cellStyle name="Обычный 9 2 2 2 2 2 3 3 3" xfId="49277"/>
    <cellStyle name="Обычный 9 2 2 2 2 2 3 4" xfId="49278"/>
    <cellStyle name="Обычный 9 2 2 2 2 2 3 4 2" xfId="49279"/>
    <cellStyle name="Обычный 9 2 2 2 2 2 3 5" xfId="49280"/>
    <cellStyle name="Обычный 9 2 2 2 2 2 3 6" xfId="49281"/>
    <cellStyle name="Обычный 9 2 2 2 2 2 4" xfId="49282"/>
    <cellStyle name="Обычный 9 2 2 2 2 2 4 2" xfId="49283"/>
    <cellStyle name="Обычный 9 2 2 2 2 2 4 3" xfId="49284"/>
    <cellStyle name="Обычный 9 2 2 2 2 2 5" xfId="49285"/>
    <cellStyle name="Обычный 9 2 2 2 2 2 5 2" xfId="49286"/>
    <cellStyle name="Обычный 9 2 2 2 2 2 5 3" xfId="49287"/>
    <cellStyle name="Обычный 9 2 2 2 2 2 6" xfId="49288"/>
    <cellStyle name="Обычный 9 2 2 2 2 2 6 2" xfId="49289"/>
    <cellStyle name="Обычный 9 2 2 2 2 2 7" xfId="49290"/>
    <cellStyle name="Обычный 9 2 2 2 2 2 8" xfId="49291"/>
    <cellStyle name="Обычный 9 2 2 2 2 3" xfId="49292"/>
    <cellStyle name="Обычный 9 2 2 2 2 3 2" xfId="49293"/>
    <cellStyle name="Обычный 9 2 2 2 2 3 2 2" xfId="49294"/>
    <cellStyle name="Обычный 9 2 2 2 2 3 2 2 2" xfId="49295"/>
    <cellStyle name="Обычный 9 2 2 2 2 3 2 2 3" xfId="49296"/>
    <cellStyle name="Обычный 9 2 2 2 2 3 2 3" xfId="49297"/>
    <cellStyle name="Обычный 9 2 2 2 2 3 2 3 2" xfId="49298"/>
    <cellStyle name="Обычный 9 2 2 2 2 3 2 3 3" xfId="49299"/>
    <cellStyle name="Обычный 9 2 2 2 2 3 2 4" xfId="49300"/>
    <cellStyle name="Обычный 9 2 2 2 2 3 2 4 2" xfId="49301"/>
    <cellStyle name="Обычный 9 2 2 2 2 3 2 5" xfId="49302"/>
    <cellStyle name="Обычный 9 2 2 2 2 3 2 6" xfId="49303"/>
    <cellStyle name="Обычный 9 2 2 2 2 3 3" xfId="49304"/>
    <cellStyle name="Обычный 9 2 2 2 2 3 3 2" xfId="49305"/>
    <cellStyle name="Обычный 9 2 2 2 2 3 3 3" xfId="49306"/>
    <cellStyle name="Обычный 9 2 2 2 2 3 4" xfId="49307"/>
    <cellStyle name="Обычный 9 2 2 2 2 3 4 2" xfId="49308"/>
    <cellStyle name="Обычный 9 2 2 2 2 3 4 3" xfId="49309"/>
    <cellStyle name="Обычный 9 2 2 2 2 3 5" xfId="49310"/>
    <cellStyle name="Обычный 9 2 2 2 2 3 5 2" xfId="49311"/>
    <cellStyle name="Обычный 9 2 2 2 2 3 6" xfId="49312"/>
    <cellStyle name="Обычный 9 2 2 2 2 3 7" xfId="49313"/>
    <cellStyle name="Обычный 9 2 2 2 2 4" xfId="49314"/>
    <cellStyle name="Обычный 9 2 2 2 2 4 2" xfId="49315"/>
    <cellStyle name="Обычный 9 2 2 2 2 4 2 2" xfId="49316"/>
    <cellStyle name="Обычный 9 2 2 2 2 4 2 3" xfId="49317"/>
    <cellStyle name="Обычный 9 2 2 2 2 4 3" xfId="49318"/>
    <cellStyle name="Обычный 9 2 2 2 2 4 3 2" xfId="49319"/>
    <cellStyle name="Обычный 9 2 2 2 2 4 3 3" xfId="49320"/>
    <cellStyle name="Обычный 9 2 2 2 2 4 4" xfId="49321"/>
    <cellStyle name="Обычный 9 2 2 2 2 4 4 2" xfId="49322"/>
    <cellStyle name="Обычный 9 2 2 2 2 4 5" xfId="49323"/>
    <cellStyle name="Обычный 9 2 2 2 2 4 6" xfId="49324"/>
    <cellStyle name="Обычный 9 2 2 2 2 5" xfId="49325"/>
    <cellStyle name="Обычный 9 2 2 2 2 5 2" xfId="49326"/>
    <cellStyle name="Обычный 9 2 2 2 2 5 3" xfId="49327"/>
    <cellStyle name="Обычный 9 2 2 2 2 6" xfId="49328"/>
    <cellStyle name="Обычный 9 2 2 2 2 6 2" xfId="49329"/>
    <cellStyle name="Обычный 9 2 2 2 2 6 3" xfId="49330"/>
    <cellStyle name="Обычный 9 2 2 2 2 7" xfId="49331"/>
    <cellStyle name="Обычный 9 2 2 2 2 7 2" xfId="49332"/>
    <cellStyle name="Обычный 9 2 2 2 2 8" xfId="49333"/>
    <cellStyle name="Обычный 9 2 2 2 2 9" xfId="49334"/>
    <cellStyle name="Обычный 9 2 2 2 3" xfId="49335"/>
    <cellStyle name="Обычный 9 2 2 2 3 2" xfId="49336"/>
    <cellStyle name="Обычный 9 2 2 2 3 2 2" xfId="49337"/>
    <cellStyle name="Обычный 9 2 2 2 3 2 2 2" xfId="49338"/>
    <cellStyle name="Обычный 9 2 2 2 3 2 2 2 2" xfId="49339"/>
    <cellStyle name="Обычный 9 2 2 2 3 2 2 2 3" xfId="49340"/>
    <cellStyle name="Обычный 9 2 2 2 3 2 2 3" xfId="49341"/>
    <cellStyle name="Обычный 9 2 2 2 3 2 2 3 2" xfId="49342"/>
    <cellStyle name="Обычный 9 2 2 2 3 2 2 3 3" xfId="49343"/>
    <cellStyle name="Обычный 9 2 2 2 3 2 2 4" xfId="49344"/>
    <cellStyle name="Обычный 9 2 2 2 3 2 2 4 2" xfId="49345"/>
    <cellStyle name="Обычный 9 2 2 2 3 2 2 5" xfId="49346"/>
    <cellStyle name="Обычный 9 2 2 2 3 2 2 6" xfId="49347"/>
    <cellStyle name="Обычный 9 2 2 2 3 2 3" xfId="49348"/>
    <cellStyle name="Обычный 9 2 2 2 3 2 3 2" xfId="49349"/>
    <cellStyle name="Обычный 9 2 2 2 3 2 3 3" xfId="49350"/>
    <cellStyle name="Обычный 9 2 2 2 3 2 4" xfId="49351"/>
    <cellStyle name="Обычный 9 2 2 2 3 2 4 2" xfId="49352"/>
    <cellStyle name="Обычный 9 2 2 2 3 2 4 3" xfId="49353"/>
    <cellStyle name="Обычный 9 2 2 2 3 2 5" xfId="49354"/>
    <cellStyle name="Обычный 9 2 2 2 3 2 5 2" xfId="49355"/>
    <cellStyle name="Обычный 9 2 2 2 3 2 6" xfId="49356"/>
    <cellStyle name="Обычный 9 2 2 2 3 2 7" xfId="49357"/>
    <cellStyle name="Обычный 9 2 2 2 3 3" xfId="49358"/>
    <cellStyle name="Обычный 9 2 2 2 3 3 2" xfId="49359"/>
    <cellStyle name="Обычный 9 2 2 2 3 3 2 2" xfId="49360"/>
    <cellStyle name="Обычный 9 2 2 2 3 3 2 3" xfId="49361"/>
    <cellStyle name="Обычный 9 2 2 2 3 3 3" xfId="49362"/>
    <cellStyle name="Обычный 9 2 2 2 3 3 3 2" xfId="49363"/>
    <cellStyle name="Обычный 9 2 2 2 3 3 3 3" xfId="49364"/>
    <cellStyle name="Обычный 9 2 2 2 3 3 4" xfId="49365"/>
    <cellStyle name="Обычный 9 2 2 2 3 3 4 2" xfId="49366"/>
    <cellStyle name="Обычный 9 2 2 2 3 3 5" xfId="49367"/>
    <cellStyle name="Обычный 9 2 2 2 3 3 6" xfId="49368"/>
    <cellStyle name="Обычный 9 2 2 2 3 4" xfId="49369"/>
    <cellStyle name="Обычный 9 2 2 2 3 4 2" xfId="49370"/>
    <cellStyle name="Обычный 9 2 2 2 3 4 3" xfId="49371"/>
    <cellStyle name="Обычный 9 2 2 2 3 5" xfId="49372"/>
    <cellStyle name="Обычный 9 2 2 2 3 5 2" xfId="49373"/>
    <cellStyle name="Обычный 9 2 2 2 3 5 3" xfId="49374"/>
    <cellStyle name="Обычный 9 2 2 2 3 6" xfId="49375"/>
    <cellStyle name="Обычный 9 2 2 2 3 6 2" xfId="49376"/>
    <cellStyle name="Обычный 9 2 2 2 3 7" xfId="49377"/>
    <cellStyle name="Обычный 9 2 2 2 3 8" xfId="49378"/>
    <cellStyle name="Обычный 9 2 2 2 4" xfId="49379"/>
    <cellStyle name="Обычный 9 2 2 2 4 2" xfId="49380"/>
    <cellStyle name="Обычный 9 2 2 2 4 2 2" xfId="49381"/>
    <cellStyle name="Обычный 9 2 2 2 4 2 2 2" xfId="49382"/>
    <cellStyle name="Обычный 9 2 2 2 4 2 2 3" xfId="49383"/>
    <cellStyle name="Обычный 9 2 2 2 4 2 3" xfId="49384"/>
    <cellStyle name="Обычный 9 2 2 2 4 2 3 2" xfId="49385"/>
    <cellStyle name="Обычный 9 2 2 2 4 2 3 3" xfId="49386"/>
    <cellStyle name="Обычный 9 2 2 2 4 2 4" xfId="49387"/>
    <cellStyle name="Обычный 9 2 2 2 4 2 4 2" xfId="49388"/>
    <cellStyle name="Обычный 9 2 2 2 4 2 5" xfId="49389"/>
    <cellStyle name="Обычный 9 2 2 2 4 2 6" xfId="49390"/>
    <cellStyle name="Обычный 9 2 2 2 4 3" xfId="49391"/>
    <cellStyle name="Обычный 9 2 2 2 4 3 2" xfId="49392"/>
    <cellStyle name="Обычный 9 2 2 2 4 3 3" xfId="49393"/>
    <cellStyle name="Обычный 9 2 2 2 4 4" xfId="49394"/>
    <cellStyle name="Обычный 9 2 2 2 4 4 2" xfId="49395"/>
    <cellStyle name="Обычный 9 2 2 2 4 4 3" xfId="49396"/>
    <cellStyle name="Обычный 9 2 2 2 4 5" xfId="49397"/>
    <cellStyle name="Обычный 9 2 2 2 4 5 2" xfId="49398"/>
    <cellStyle name="Обычный 9 2 2 2 4 6" xfId="49399"/>
    <cellStyle name="Обычный 9 2 2 2 4 7" xfId="49400"/>
    <cellStyle name="Обычный 9 2 2 2 5" xfId="49401"/>
    <cellStyle name="Обычный 9 2 2 2 5 2" xfId="49402"/>
    <cellStyle name="Обычный 9 2 2 2 5 2 2" xfId="49403"/>
    <cellStyle name="Обычный 9 2 2 2 5 2 3" xfId="49404"/>
    <cellStyle name="Обычный 9 2 2 2 5 3" xfId="49405"/>
    <cellStyle name="Обычный 9 2 2 2 5 3 2" xfId="49406"/>
    <cellStyle name="Обычный 9 2 2 2 5 3 3" xfId="49407"/>
    <cellStyle name="Обычный 9 2 2 2 5 4" xfId="49408"/>
    <cellStyle name="Обычный 9 2 2 2 5 4 2" xfId="49409"/>
    <cellStyle name="Обычный 9 2 2 2 5 5" xfId="49410"/>
    <cellStyle name="Обычный 9 2 2 2 5 6" xfId="49411"/>
    <cellStyle name="Обычный 9 2 2 2 6" xfId="49412"/>
    <cellStyle name="Обычный 9 2 2 2 6 2" xfId="49413"/>
    <cellStyle name="Обычный 9 2 2 2 6 3" xfId="49414"/>
    <cellStyle name="Обычный 9 2 2 2 7" xfId="49415"/>
    <cellStyle name="Обычный 9 2 2 2 7 2" xfId="49416"/>
    <cellStyle name="Обычный 9 2 2 2 7 3" xfId="49417"/>
    <cellStyle name="Обычный 9 2 2 2 8" xfId="49418"/>
    <cellStyle name="Обычный 9 2 2 2 8 2" xfId="49419"/>
    <cellStyle name="Обычный 9 2 2 2 9" xfId="49420"/>
    <cellStyle name="Обычный 9 2 2 3" xfId="49421"/>
    <cellStyle name="Обычный 9 2 2 3 10" xfId="49422"/>
    <cellStyle name="Обычный 9 2 2 3 2" xfId="49423"/>
    <cellStyle name="Обычный 9 2 2 3 2 2" xfId="49424"/>
    <cellStyle name="Обычный 9 2 2 3 2 2 2" xfId="49425"/>
    <cellStyle name="Обычный 9 2 2 3 2 2 2 2" xfId="49426"/>
    <cellStyle name="Обычный 9 2 2 3 2 2 2 2 2" xfId="49427"/>
    <cellStyle name="Обычный 9 2 2 3 2 2 2 2 2 2" xfId="49428"/>
    <cellStyle name="Обычный 9 2 2 3 2 2 2 2 2 3" xfId="49429"/>
    <cellStyle name="Обычный 9 2 2 3 2 2 2 2 3" xfId="49430"/>
    <cellStyle name="Обычный 9 2 2 3 2 2 2 2 3 2" xfId="49431"/>
    <cellStyle name="Обычный 9 2 2 3 2 2 2 2 3 3" xfId="49432"/>
    <cellStyle name="Обычный 9 2 2 3 2 2 2 2 4" xfId="49433"/>
    <cellStyle name="Обычный 9 2 2 3 2 2 2 2 4 2" xfId="49434"/>
    <cellStyle name="Обычный 9 2 2 3 2 2 2 2 5" xfId="49435"/>
    <cellStyle name="Обычный 9 2 2 3 2 2 2 2 6" xfId="49436"/>
    <cellStyle name="Обычный 9 2 2 3 2 2 2 3" xfId="49437"/>
    <cellStyle name="Обычный 9 2 2 3 2 2 2 3 2" xfId="49438"/>
    <cellStyle name="Обычный 9 2 2 3 2 2 2 3 3" xfId="49439"/>
    <cellStyle name="Обычный 9 2 2 3 2 2 2 4" xfId="49440"/>
    <cellStyle name="Обычный 9 2 2 3 2 2 2 4 2" xfId="49441"/>
    <cellStyle name="Обычный 9 2 2 3 2 2 2 4 3" xfId="49442"/>
    <cellStyle name="Обычный 9 2 2 3 2 2 2 5" xfId="49443"/>
    <cellStyle name="Обычный 9 2 2 3 2 2 2 5 2" xfId="49444"/>
    <cellStyle name="Обычный 9 2 2 3 2 2 2 6" xfId="49445"/>
    <cellStyle name="Обычный 9 2 2 3 2 2 2 7" xfId="49446"/>
    <cellStyle name="Обычный 9 2 2 3 2 2 3" xfId="49447"/>
    <cellStyle name="Обычный 9 2 2 3 2 2 3 2" xfId="49448"/>
    <cellStyle name="Обычный 9 2 2 3 2 2 3 2 2" xfId="49449"/>
    <cellStyle name="Обычный 9 2 2 3 2 2 3 2 3" xfId="49450"/>
    <cellStyle name="Обычный 9 2 2 3 2 2 3 3" xfId="49451"/>
    <cellStyle name="Обычный 9 2 2 3 2 2 3 3 2" xfId="49452"/>
    <cellStyle name="Обычный 9 2 2 3 2 2 3 3 3" xfId="49453"/>
    <cellStyle name="Обычный 9 2 2 3 2 2 3 4" xfId="49454"/>
    <cellStyle name="Обычный 9 2 2 3 2 2 3 4 2" xfId="49455"/>
    <cellStyle name="Обычный 9 2 2 3 2 2 3 5" xfId="49456"/>
    <cellStyle name="Обычный 9 2 2 3 2 2 3 6" xfId="49457"/>
    <cellStyle name="Обычный 9 2 2 3 2 2 4" xfId="49458"/>
    <cellStyle name="Обычный 9 2 2 3 2 2 4 2" xfId="49459"/>
    <cellStyle name="Обычный 9 2 2 3 2 2 4 3" xfId="49460"/>
    <cellStyle name="Обычный 9 2 2 3 2 2 5" xfId="49461"/>
    <cellStyle name="Обычный 9 2 2 3 2 2 5 2" xfId="49462"/>
    <cellStyle name="Обычный 9 2 2 3 2 2 5 3" xfId="49463"/>
    <cellStyle name="Обычный 9 2 2 3 2 2 6" xfId="49464"/>
    <cellStyle name="Обычный 9 2 2 3 2 2 6 2" xfId="49465"/>
    <cellStyle name="Обычный 9 2 2 3 2 2 7" xfId="49466"/>
    <cellStyle name="Обычный 9 2 2 3 2 2 8" xfId="49467"/>
    <cellStyle name="Обычный 9 2 2 3 2 3" xfId="49468"/>
    <cellStyle name="Обычный 9 2 2 3 2 3 2" xfId="49469"/>
    <cellStyle name="Обычный 9 2 2 3 2 3 2 2" xfId="49470"/>
    <cellStyle name="Обычный 9 2 2 3 2 3 2 2 2" xfId="49471"/>
    <cellStyle name="Обычный 9 2 2 3 2 3 2 2 3" xfId="49472"/>
    <cellStyle name="Обычный 9 2 2 3 2 3 2 3" xfId="49473"/>
    <cellStyle name="Обычный 9 2 2 3 2 3 2 3 2" xfId="49474"/>
    <cellStyle name="Обычный 9 2 2 3 2 3 2 3 3" xfId="49475"/>
    <cellStyle name="Обычный 9 2 2 3 2 3 2 4" xfId="49476"/>
    <cellStyle name="Обычный 9 2 2 3 2 3 2 4 2" xfId="49477"/>
    <cellStyle name="Обычный 9 2 2 3 2 3 2 5" xfId="49478"/>
    <cellStyle name="Обычный 9 2 2 3 2 3 2 6" xfId="49479"/>
    <cellStyle name="Обычный 9 2 2 3 2 3 3" xfId="49480"/>
    <cellStyle name="Обычный 9 2 2 3 2 3 3 2" xfId="49481"/>
    <cellStyle name="Обычный 9 2 2 3 2 3 3 3" xfId="49482"/>
    <cellStyle name="Обычный 9 2 2 3 2 3 4" xfId="49483"/>
    <cellStyle name="Обычный 9 2 2 3 2 3 4 2" xfId="49484"/>
    <cellStyle name="Обычный 9 2 2 3 2 3 4 3" xfId="49485"/>
    <cellStyle name="Обычный 9 2 2 3 2 3 5" xfId="49486"/>
    <cellStyle name="Обычный 9 2 2 3 2 3 5 2" xfId="49487"/>
    <cellStyle name="Обычный 9 2 2 3 2 3 6" xfId="49488"/>
    <cellStyle name="Обычный 9 2 2 3 2 3 7" xfId="49489"/>
    <cellStyle name="Обычный 9 2 2 3 2 4" xfId="49490"/>
    <cellStyle name="Обычный 9 2 2 3 2 4 2" xfId="49491"/>
    <cellStyle name="Обычный 9 2 2 3 2 4 2 2" xfId="49492"/>
    <cellStyle name="Обычный 9 2 2 3 2 4 2 3" xfId="49493"/>
    <cellStyle name="Обычный 9 2 2 3 2 4 3" xfId="49494"/>
    <cellStyle name="Обычный 9 2 2 3 2 4 3 2" xfId="49495"/>
    <cellStyle name="Обычный 9 2 2 3 2 4 3 3" xfId="49496"/>
    <cellStyle name="Обычный 9 2 2 3 2 4 4" xfId="49497"/>
    <cellStyle name="Обычный 9 2 2 3 2 4 4 2" xfId="49498"/>
    <cellStyle name="Обычный 9 2 2 3 2 4 5" xfId="49499"/>
    <cellStyle name="Обычный 9 2 2 3 2 4 6" xfId="49500"/>
    <cellStyle name="Обычный 9 2 2 3 2 5" xfId="49501"/>
    <cellStyle name="Обычный 9 2 2 3 2 5 2" xfId="49502"/>
    <cellStyle name="Обычный 9 2 2 3 2 5 3" xfId="49503"/>
    <cellStyle name="Обычный 9 2 2 3 2 6" xfId="49504"/>
    <cellStyle name="Обычный 9 2 2 3 2 6 2" xfId="49505"/>
    <cellStyle name="Обычный 9 2 2 3 2 6 3" xfId="49506"/>
    <cellStyle name="Обычный 9 2 2 3 2 7" xfId="49507"/>
    <cellStyle name="Обычный 9 2 2 3 2 7 2" xfId="49508"/>
    <cellStyle name="Обычный 9 2 2 3 2 8" xfId="49509"/>
    <cellStyle name="Обычный 9 2 2 3 2 9" xfId="49510"/>
    <cellStyle name="Обычный 9 2 2 3 3" xfId="49511"/>
    <cellStyle name="Обычный 9 2 2 3 3 2" xfId="49512"/>
    <cellStyle name="Обычный 9 2 2 3 3 2 2" xfId="49513"/>
    <cellStyle name="Обычный 9 2 2 3 3 2 2 2" xfId="49514"/>
    <cellStyle name="Обычный 9 2 2 3 3 2 2 2 2" xfId="49515"/>
    <cellStyle name="Обычный 9 2 2 3 3 2 2 2 3" xfId="49516"/>
    <cellStyle name="Обычный 9 2 2 3 3 2 2 3" xfId="49517"/>
    <cellStyle name="Обычный 9 2 2 3 3 2 2 3 2" xfId="49518"/>
    <cellStyle name="Обычный 9 2 2 3 3 2 2 3 3" xfId="49519"/>
    <cellStyle name="Обычный 9 2 2 3 3 2 2 4" xfId="49520"/>
    <cellStyle name="Обычный 9 2 2 3 3 2 2 4 2" xfId="49521"/>
    <cellStyle name="Обычный 9 2 2 3 3 2 2 5" xfId="49522"/>
    <cellStyle name="Обычный 9 2 2 3 3 2 2 6" xfId="49523"/>
    <cellStyle name="Обычный 9 2 2 3 3 2 3" xfId="49524"/>
    <cellStyle name="Обычный 9 2 2 3 3 2 3 2" xfId="49525"/>
    <cellStyle name="Обычный 9 2 2 3 3 2 3 3" xfId="49526"/>
    <cellStyle name="Обычный 9 2 2 3 3 2 4" xfId="49527"/>
    <cellStyle name="Обычный 9 2 2 3 3 2 4 2" xfId="49528"/>
    <cellStyle name="Обычный 9 2 2 3 3 2 4 3" xfId="49529"/>
    <cellStyle name="Обычный 9 2 2 3 3 2 5" xfId="49530"/>
    <cellStyle name="Обычный 9 2 2 3 3 2 5 2" xfId="49531"/>
    <cellStyle name="Обычный 9 2 2 3 3 2 6" xfId="49532"/>
    <cellStyle name="Обычный 9 2 2 3 3 2 7" xfId="49533"/>
    <cellStyle name="Обычный 9 2 2 3 3 3" xfId="49534"/>
    <cellStyle name="Обычный 9 2 2 3 3 3 2" xfId="49535"/>
    <cellStyle name="Обычный 9 2 2 3 3 3 2 2" xfId="49536"/>
    <cellStyle name="Обычный 9 2 2 3 3 3 2 3" xfId="49537"/>
    <cellStyle name="Обычный 9 2 2 3 3 3 3" xfId="49538"/>
    <cellStyle name="Обычный 9 2 2 3 3 3 3 2" xfId="49539"/>
    <cellStyle name="Обычный 9 2 2 3 3 3 3 3" xfId="49540"/>
    <cellStyle name="Обычный 9 2 2 3 3 3 4" xfId="49541"/>
    <cellStyle name="Обычный 9 2 2 3 3 3 4 2" xfId="49542"/>
    <cellStyle name="Обычный 9 2 2 3 3 3 5" xfId="49543"/>
    <cellStyle name="Обычный 9 2 2 3 3 3 6" xfId="49544"/>
    <cellStyle name="Обычный 9 2 2 3 3 4" xfId="49545"/>
    <cellStyle name="Обычный 9 2 2 3 3 4 2" xfId="49546"/>
    <cellStyle name="Обычный 9 2 2 3 3 4 3" xfId="49547"/>
    <cellStyle name="Обычный 9 2 2 3 3 5" xfId="49548"/>
    <cellStyle name="Обычный 9 2 2 3 3 5 2" xfId="49549"/>
    <cellStyle name="Обычный 9 2 2 3 3 5 3" xfId="49550"/>
    <cellStyle name="Обычный 9 2 2 3 3 6" xfId="49551"/>
    <cellStyle name="Обычный 9 2 2 3 3 6 2" xfId="49552"/>
    <cellStyle name="Обычный 9 2 2 3 3 7" xfId="49553"/>
    <cellStyle name="Обычный 9 2 2 3 3 8" xfId="49554"/>
    <cellStyle name="Обычный 9 2 2 3 4" xfId="49555"/>
    <cellStyle name="Обычный 9 2 2 3 4 2" xfId="49556"/>
    <cellStyle name="Обычный 9 2 2 3 4 2 2" xfId="49557"/>
    <cellStyle name="Обычный 9 2 2 3 4 2 2 2" xfId="49558"/>
    <cellStyle name="Обычный 9 2 2 3 4 2 2 3" xfId="49559"/>
    <cellStyle name="Обычный 9 2 2 3 4 2 3" xfId="49560"/>
    <cellStyle name="Обычный 9 2 2 3 4 2 3 2" xfId="49561"/>
    <cellStyle name="Обычный 9 2 2 3 4 2 3 3" xfId="49562"/>
    <cellStyle name="Обычный 9 2 2 3 4 2 4" xfId="49563"/>
    <cellStyle name="Обычный 9 2 2 3 4 2 4 2" xfId="49564"/>
    <cellStyle name="Обычный 9 2 2 3 4 2 5" xfId="49565"/>
    <cellStyle name="Обычный 9 2 2 3 4 2 6" xfId="49566"/>
    <cellStyle name="Обычный 9 2 2 3 4 3" xfId="49567"/>
    <cellStyle name="Обычный 9 2 2 3 4 3 2" xfId="49568"/>
    <cellStyle name="Обычный 9 2 2 3 4 3 3" xfId="49569"/>
    <cellStyle name="Обычный 9 2 2 3 4 4" xfId="49570"/>
    <cellStyle name="Обычный 9 2 2 3 4 4 2" xfId="49571"/>
    <cellStyle name="Обычный 9 2 2 3 4 4 3" xfId="49572"/>
    <cellStyle name="Обычный 9 2 2 3 4 5" xfId="49573"/>
    <cellStyle name="Обычный 9 2 2 3 4 5 2" xfId="49574"/>
    <cellStyle name="Обычный 9 2 2 3 4 6" xfId="49575"/>
    <cellStyle name="Обычный 9 2 2 3 4 7" xfId="49576"/>
    <cellStyle name="Обычный 9 2 2 3 5" xfId="49577"/>
    <cellStyle name="Обычный 9 2 2 3 5 2" xfId="49578"/>
    <cellStyle name="Обычный 9 2 2 3 5 2 2" xfId="49579"/>
    <cellStyle name="Обычный 9 2 2 3 5 2 3" xfId="49580"/>
    <cellStyle name="Обычный 9 2 2 3 5 3" xfId="49581"/>
    <cellStyle name="Обычный 9 2 2 3 5 3 2" xfId="49582"/>
    <cellStyle name="Обычный 9 2 2 3 5 3 3" xfId="49583"/>
    <cellStyle name="Обычный 9 2 2 3 5 4" xfId="49584"/>
    <cellStyle name="Обычный 9 2 2 3 5 4 2" xfId="49585"/>
    <cellStyle name="Обычный 9 2 2 3 5 5" xfId="49586"/>
    <cellStyle name="Обычный 9 2 2 3 5 6" xfId="49587"/>
    <cellStyle name="Обычный 9 2 2 3 6" xfId="49588"/>
    <cellStyle name="Обычный 9 2 2 3 6 2" xfId="49589"/>
    <cellStyle name="Обычный 9 2 2 3 6 3" xfId="49590"/>
    <cellStyle name="Обычный 9 2 2 3 7" xfId="49591"/>
    <cellStyle name="Обычный 9 2 2 3 7 2" xfId="49592"/>
    <cellStyle name="Обычный 9 2 2 3 7 3" xfId="49593"/>
    <cellStyle name="Обычный 9 2 2 3 8" xfId="49594"/>
    <cellStyle name="Обычный 9 2 2 3 8 2" xfId="49595"/>
    <cellStyle name="Обычный 9 2 2 3 9" xfId="49596"/>
    <cellStyle name="Обычный 9 2 2 4" xfId="49597"/>
    <cellStyle name="Обычный 9 2 2 4 10" xfId="49598"/>
    <cellStyle name="Обычный 9 2 2 4 2" xfId="49599"/>
    <cellStyle name="Обычный 9 2 2 4 2 2" xfId="49600"/>
    <cellStyle name="Обычный 9 2 2 4 2 2 2" xfId="49601"/>
    <cellStyle name="Обычный 9 2 2 4 2 2 2 2" xfId="49602"/>
    <cellStyle name="Обычный 9 2 2 4 2 2 2 2 2" xfId="49603"/>
    <cellStyle name="Обычный 9 2 2 4 2 2 2 2 2 2" xfId="49604"/>
    <cellStyle name="Обычный 9 2 2 4 2 2 2 2 2 3" xfId="49605"/>
    <cellStyle name="Обычный 9 2 2 4 2 2 2 2 3" xfId="49606"/>
    <cellStyle name="Обычный 9 2 2 4 2 2 2 2 3 2" xfId="49607"/>
    <cellStyle name="Обычный 9 2 2 4 2 2 2 2 3 3" xfId="49608"/>
    <cellStyle name="Обычный 9 2 2 4 2 2 2 2 4" xfId="49609"/>
    <cellStyle name="Обычный 9 2 2 4 2 2 2 2 4 2" xfId="49610"/>
    <cellStyle name="Обычный 9 2 2 4 2 2 2 2 5" xfId="49611"/>
    <cellStyle name="Обычный 9 2 2 4 2 2 2 2 6" xfId="49612"/>
    <cellStyle name="Обычный 9 2 2 4 2 2 2 3" xfId="49613"/>
    <cellStyle name="Обычный 9 2 2 4 2 2 2 3 2" xfId="49614"/>
    <cellStyle name="Обычный 9 2 2 4 2 2 2 3 3" xfId="49615"/>
    <cellStyle name="Обычный 9 2 2 4 2 2 2 4" xfId="49616"/>
    <cellStyle name="Обычный 9 2 2 4 2 2 2 4 2" xfId="49617"/>
    <cellStyle name="Обычный 9 2 2 4 2 2 2 4 3" xfId="49618"/>
    <cellStyle name="Обычный 9 2 2 4 2 2 2 5" xfId="49619"/>
    <cellStyle name="Обычный 9 2 2 4 2 2 2 5 2" xfId="49620"/>
    <cellStyle name="Обычный 9 2 2 4 2 2 2 6" xfId="49621"/>
    <cellStyle name="Обычный 9 2 2 4 2 2 2 7" xfId="49622"/>
    <cellStyle name="Обычный 9 2 2 4 2 2 3" xfId="49623"/>
    <cellStyle name="Обычный 9 2 2 4 2 2 3 2" xfId="49624"/>
    <cellStyle name="Обычный 9 2 2 4 2 2 3 2 2" xfId="49625"/>
    <cellStyle name="Обычный 9 2 2 4 2 2 3 2 3" xfId="49626"/>
    <cellStyle name="Обычный 9 2 2 4 2 2 3 3" xfId="49627"/>
    <cellStyle name="Обычный 9 2 2 4 2 2 3 3 2" xfId="49628"/>
    <cellStyle name="Обычный 9 2 2 4 2 2 3 3 3" xfId="49629"/>
    <cellStyle name="Обычный 9 2 2 4 2 2 3 4" xfId="49630"/>
    <cellStyle name="Обычный 9 2 2 4 2 2 3 4 2" xfId="49631"/>
    <cellStyle name="Обычный 9 2 2 4 2 2 3 5" xfId="49632"/>
    <cellStyle name="Обычный 9 2 2 4 2 2 3 6" xfId="49633"/>
    <cellStyle name="Обычный 9 2 2 4 2 2 4" xfId="49634"/>
    <cellStyle name="Обычный 9 2 2 4 2 2 4 2" xfId="49635"/>
    <cellStyle name="Обычный 9 2 2 4 2 2 4 3" xfId="49636"/>
    <cellStyle name="Обычный 9 2 2 4 2 2 5" xfId="49637"/>
    <cellStyle name="Обычный 9 2 2 4 2 2 5 2" xfId="49638"/>
    <cellStyle name="Обычный 9 2 2 4 2 2 5 3" xfId="49639"/>
    <cellStyle name="Обычный 9 2 2 4 2 2 6" xfId="49640"/>
    <cellStyle name="Обычный 9 2 2 4 2 2 6 2" xfId="49641"/>
    <cellStyle name="Обычный 9 2 2 4 2 2 7" xfId="49642"/>
    <cellStyle name="Обычный 9 2 2 4 2 2 8" xfId="49643"/>
    <cellStyle name="Обычный 9 2 2 4 2 3" xfId="49644"/>
    <cellStyle name="Обычный 9 2 2 4 2 3 2" xfId="49645"/>
    <cellStyle name="Обычный 9 2 2 4 2 3 2 2" xfId="49646"/>
    <cellStyle name="Обычный 9 2 2 4 2 3 2 2 2" xfId="49647"/>
    <cellStyle name="Обычный 9 2 2 4 2 3 2 2 3" xfId="49648"/>
    <cellStyle name="Обычный 9 2 2 4 2 3 2 3" xfId="49649"/>
    <cellStyle name="Обычный 9 2 2 4 2 3 2 3 2" xfId="49650"/>
    <cellStyle name="Обычный 9 2 2 4 2 3 2 3 3" xfId="49651"/>
    <cellStyle name="Обычный 9 2 2 4 2 3 2 4" xfId="49652"/>
    <cellStyle name="Обычный 9 2 2 4 2 3 2 4 2" xfId="49653"/>
    <cellStyle name="Обычный 9 2 2 4 2 3 2 5" xfId="49654"/>
    <cellStyle name="Обычный 9 2 2 4 2 3 2 6" xfId="49655"/>
    <cellStyle name="Обычный 9 2 2 4 2 3 3" xfId="49656"/>
    <cellStyle name="Обычный 9 2 2 4 2 3 3 2" xfId="49657"/>
    <cellStyle name="Обычный 9 2 2 4 2 3 3 3" xfId="49658"/>
    <cellStyle name="Обычный 9 2 2 4 2 3 4" xfId="49659"/>
    <cellStyle name="Обычный 9 2 2 4 2 3 4 2" xfId="49660"/>
    <cellStyle name="Обычный 9 2 2 4 2 3 4 3" xfId="49661"/>
    <cellStyle name="Обычный 9 2 2 4 2 3 5" xfId="49662"/>
    <cellStyle name="Обычный 9 2 2 4 2 3 5 2" xfId="49663"/>
    <cellStyle name="Обычный 9 2 2 4 2 3 6" xfId="49664"/>
    <cellStyle name="Обычный 9 2 2 4 2 3 7" xfId="49665"/>
    <cellStyle name="Обычный 9 2 2 4 2 4" xfId="49666"/>
    <cellStyle name="Обычный 9 2 2 4 2 4 2" xfId="49667"/>
    <cellStyle name="Обычный 9 2 2 4 2 4 2 2" xfId="49668"/>
    <cellStyle name="Обычный 9 2 2 4 2 4 2 3" xfId="49669"/>
    <cellStyle name="Обычный 9 2 2 4 2 4 3" xfId="49670"/>
    <cellStyle name="Обычный 9 2 2 4 2 4 3 2" xfId="49671"/>
    <cellStyle name="Обычный 9 2 2 4 2 4 3 3" xfId="49672"/>
    <cellStyle name="Обычный 9 2 2 4 2 4 4" xfId="49673"/>
    <cellStyle name="Обычный 9 2 2 4 2 4 4 2" xfId="49674"/>
    <cellStyle name="Обычный 9 2 2 4 2 4 5" xfId="49675"/>
    <cellStyle name="Обычный 9 2 2 4 2 4 6" xfId="49676"/>
    <cellStyle name="Обычный 9 2 2 4 2 5" xfId="49677"/>
    <cellStyle name="Обычный 9 2 2 4 2 5 2" xfId="49678"/>
    <cellStyle name="Обычный 9 2 2 4 2 5 3" xfId="49679"/>
    <cellStyle name="Обычный 9 2 2 4 2 6" xfId="49680"/>
    <cellStyle name="Обычный 9 2 2 4 2 6 2" xfId="49681"/>
    <cellStyle name="Обычный 9 2 2 4 2 6 3" xfId="49682"/>
    <cellStyle name="Обычный 9 2 2 4 2 7" xfId="49683"/>
    <cellStyle name="Обычный 9 2 2 4 2 7 2" xfId="49684"/>
    <cellStyle name="Обычный 9 2 2 4 2 8" xfId="49685"/>
    <cellStyle name="Обычный 9 2 2 4 2 9" xfId="49686"/>
    <cellStyle name="Обычный 9 2 2 4 3" xfId="49687"/>
    <cellStyle name="Обычный 9 2 2 4 3 2" xfId="49688"/>
    <cellStyle name="Обычный 9 2 2 4 3 2 2" xfId="49689"/>
    <cellStyle name="Обычный 9 2 2 4 3 2 2 2" xfId="49690"/>
    <cellStyle name="Обычный 9 2 2 4 3 2 2 2 2" xfId="49691"/>
    <cellStyle name="Обычный 9 2 2 4 3 2 2 2 3" xfId="49692"/>
    <cellStyle name="Обычный 9 2 2 4 3 2 2 3" xfId="49693"/>
    <cellStyle name="Обычный 9 2 2 4 3 2 2 3 2" xfId="49694"/>
    <cellStyle name="Обычный 9 2 2 4 3 2 2 3 3" xfId="49695"/>
    <cellStyle name="Обычный 9 2 2 4 3 2 2 4" xfId="49696"/>
    <cellStyle name="Обычный 9 2 2 4 3 2 2 4 2" xfId="49697"/>
    <cellStyle name="Обычный 9 2 2 4 3 2 2 5" xfId="49698"/>
    <cellStyle name="Обычный 9 2 2 4 3 2 2 6" xfId="49699"/>
    <cellStyle name="Обычный 9 2 2 4 3 2 3" xfId="49700"/>
    <cellStyle name="Обычный 9 2 2 4 3 2 3 2" xfId="49701"/>
    <cellStyle name="Обычный 9 2 2 4 3 2 3 3" xfId="49702"/>
    <cellStyle name="Обычный 9 2 2 4 3 2 4" xfId="49703"/>
    <cellStyle name="Обычный 9 2 2 4 3 2 4 2" xfId="49704"/>
    <cellStyle name="Обычный 9 2 2 4 3 2 4 3" xfId="49705"/>
    <cellStyle name="Обычный 9 2 2 4 3 2 5" xfId="49706"/>
    <cellStyle name="Обычный 9 2 2 4 3 2 5 2" xfId="49707"/>
    <cellStyle name="Обычный 9 2 2 4 3 2 6" xfId="49708"/>
    <cellStyle name="Обычный 9 2 2 4 3 2 7" xfId="49709"/>
    <cellStyle name="Обычный 9 2 2 4 3 3" xfId="49710"/>
    <cellStyle name="Обычный 9 2 2 4 3 3 2" xfId="49711"/>
    <cellStyle name="Обычный 9 2 2 4 3 3 2 2" xfId="49712"/>
    <cellStyle name="Обычный 9 2 2 4 3 3 2 3" xfId="49713"/>
    <cellStyle name="Обычный 9 2 2 4 3 3 3" xfId="49714"/>
    <cellStyle name="Обычный 9 2 2 4 3 3 3 2" xfId="49715"/>
    <cellStyle name="Обычный 9 2 2 4 3 3 3 3" xfId="49716"/>
    <cellStyle name="Обычный 9 2 2 4 3 3 4" xfId="49717"/>
    <cellStyle name="Обычный 9 2 2 4 3 3 4 2" xfId="49718"/>
    <cellStyle name="Обычный 9 2 2 4 3 3 5" xfId="49719"/>
    <cellStyle name="Обычный 9 2 2 4 3 3 6" xfId="49720"/>
    <cellStyle name="Обычный 9 2 2 4 3 4" xfId="49721"/>
    <cellStyle name="Обычный 9 2 2 4 3 4 2" xfId="49722"/>
    <cellStyle name="Обычный 9 2 2 4 3 4 3" xfId="49723"/>
    <cellStyle name="Обычный 9 2 2 4 3 5" xfId="49724"/>
    <cellStyle name="Обычный 9 2 2 4 3 5 2" xfId="49725"/>
    <cellStyle name="Обычный 9 2 2 4 3 5 3" xfId="49726"/>
    <cellStyle name="Обычный 9 2 2 4 3 6" xfId="49727"/>
    <cellStyle name="Обычный 9 2 2 4 3 6 2" xfId="49728"/>
    <cellStyle name="Обычный 9 2 2 4 3 7" xfId="49729"/>
    <cellStyle name="Обычный 9 2 2 4 3 8" xfId="49730"/>
    <cellStyle name="Обычный 9 2 2 4 4" xfId="49731"/>
    <cellStyle name="Обычный 9 2 2 4 4 2" xfId="49732"/>
    <cellStyle name="Обычный 9 2 2 4 4 2 2" xfId="49733"/>
    <cellStyle name="Обычный 9 2 2 4 4 2 2 2" xfId="49734"/>
    <cellStyle name="Обычный 9 2 2 4 4 2 2 3" xfId="49735"/>
    <cellStyle name="Обычный 9 2 2 4 4 2 3" xfId="49736"/>
    <cellStyle name="Обычный 9 2 2 4 4 2 3 2" xfId="49737"/>
    <cellStyle name="Обычный 9 2 2 4 4 2 3 3" xfId="49738"/>
    <cellStyle name="Обычный 9 2 2 4 4 2 4" xfId="49739"/>
    <cellStyle name="Обычный 9 2 2 4 4 2 4 2" xfId="49740"/>
    <cellStyle name="Обычный 9 2 2 4 4 2 5" xfId="49741"/>
    <cellStyle name="Обычный 9 2 2 4 4 2 6" xfId="49742"/>
    <cellStyle name="Обычный 9 2 2 4 4 3" xfId="49743"/>
    <cellStyle name="Обычный 9 2 2 4 4 3 2" xfId="49744"/>
    <cellStyle name="Обычный 9 2 2 4 4 3 3" xfId="49745"/>
    <cellStyle name="Обычный 9 2 2 4 4 4" xfId="49746"/>
    <cellStyle name="Обычный 9 2 2 4 4 4 2" xfId="49747"/>
    <cellStyle name="Обычный 9 2 2 4 4 4 3" xfId="49748"/>
    <cellStyle name="Обычный 9 2 2 4 4 5" xfId="49749"/>
    <cellStyle name="Обычный 9 2 2 4 4 5 2" xfId="49750"/>
    <cellStyle name="Обычный 9 2 2 4 4 6" xfId="49751"/>
    <cellStyle name="Обычный 9 2 2 4 4 7" xfId="49752"/>
    <cellStyle name="Обычный 9 2 2 4 5" xfId="49753"/>
    <cellStyle name="Обычный 9 2 2 4 5 2" xfId="49754"/>
    <cellStyle name="Обычный 9 2 2 4 5 2 2" xfId="49755"/>
    <cellStyle name="Обычный 9 2 2 4 5 2 3" xfId="49756"/>
    <cellStyle name="Обычный 9 2 2 4 5 3" xfId="49757"/>
    <cellStyle name="Обычный 9 2 2 4 5 3 2" xfId="49758"/>
    <cellStyle name="Обычный 9 2 2 4 5 3 3" xfId="49759"/>
    <cellStyle name="Обычный 9 2 2 4 5 4" xfId="49760"/>
    <cellStyle name="Обычный 9 2 2 4 5 4 2" xfId="49761"/>
    <cellStyle name="Обычный 9 2 2 4 5 5" xfId="49762"/>
    <cellStyle name="Обычный 9 2 2 4 5 6" xfId="49763"/>
    <cellStyle name="Обычный 9 2 2 4 6" xfId="49764"/>
    <cellStyle name="Обычный 9 2 2 4 6 2" xfId="49765"/>
    <cellStyle name="Обычный 9 2 2 4 6 3" xfId="49766"/>
    <cellStyle name="Обычный 9 2 2 4 7" xfId="49767"/>
    <cellStyle name="Обычный 9 2 2 4 7 2" xfId="49768"/>
    <cellStyle name="Обычный 9 2 2 4 7 3" xfId="49769"/>
    <cellStyle name="Обычный 9 2 2 4 8" xfId="49770"/>
    <cellStyle name="Обычный 9 2 2 4 8 2" xfId="49771"/>
    <cellStyle name="Обычный 9 2 2 4 9" xfId="49772"/>
    <cellStyle name="Обычный 9 2 2 5" xfId="49773"/>
    <cellStyle name="Обычный 9 2 2 5 2" xfId="49774"/>
    <cellStyle name="Обычный 9 2 2 5 2 2" xfId="49775"/>
    <cellStyle name="Обычный 9 2 2 5 2 2 2" xfId="49776"/>
    <cellStyle name="Обычный 9 2 2 5 2 2 2 2" xfId="49777"/>
    <cellStyle name="Обычный 9 2 2 5 2 2 2 2 2" xfId="49778"/>
    <cellStyle name="Обычный 9 2 2 5 2 2 2 2 3" xfId="49779"/>
    <cellStyle name="Обычный 9 2 2 5 2 2 2 3" xfId="49780"/>
    <cellStyle name="Обычный 9 2 2 5 2 2 2 3 2" xfId="49781"/>
    <cellStyle name="Обычный 9 2 2 5 2 2 2 3 3" xfId="49782"/>
    <cellStyle name="Обычный 9 2 2 5 2 2 2 4" xfId="49783"/>
    <cellStyle name="Обычный 9 2 2 5 2 2 2 4 2" xfId="49784"/>
    <cellStyle name="Обычный 9 2 2 5 2 2 2 5" xfId="49785"/>
    <cellStyle name="Обычный 9 2 2 5 2 2 2 6" xfId="49786"/>
    <cellStyle name="Обычный 9 2 2 5 2 2 3" xfId="49787"/>
    <cellStyle name="Обычный 9 2 2 5 2 2 3 2" xfId="49788"/>
    <cellStyle name="Обычный 9 2 2 5 2 2 3 3" xfId="49789"/>
    <cellStyle name="Обычный 9 2 2 5 2 2 4" xfId="49790"/>
    <cellStyle name="Обычный 9 2 2 5 2 2 4 2" xfId="49791"/>
    <cellStyle name="Обычный 9 2 2 5 2 2 4 3" xfId="49792"/>
    <cellStyle name="Обычный 9 2 2 5 2 2 5" xfId="49793"/>
    <cellStyle name="Обычный 9 2 2 5 2 2 5 2" xfId="49794"/>
    <cellStyle name="Обычный 9 2 2 5 2 2 6" xfId="49795"/>
    <cellStyle name="Обычный 9 2 2 5 2 2 7" xfId="49796"/>
    <cellStyle name="Обычный 9 2 2 5 2 3" xfId="49797"/>
    <cellStyle name="Обычный 9 2 2 5 2 3 2" xfId="49798"/>
    <cellStyle name="Обычный 9 2 2 5 2 3 2 2" xfId="49799"/>
    <cellStyle name="Обычный 9 2 2 5 2 3 2 3" xfId="49800"/>
    <cellStyle name="Обычный 9 2 2 5 2 3 3" xfId="49801"/>
    <cellStyle name="Обычный 9 2 2 5 2 3 3 2" xfId="49802"/>
    <cellStyle name="Обычный 9 2 2 5 2 3 3 3" xfId="49803"/>
    <cellStyle name="Обычный 9 2 2 5 2 3 4" xfId="49804"/>
    <cellStyle name="Обычный 9 2 2 5 2 3 4 2" xfId="49805"/>
    <cellStyle name="Обычный 9 2 2 5 2 3 5" xfId="49806"/>
    <cellStyle name="Обычный 9 2 2 5 2 3 6" xfId="49807"/>
    <cellStyle name="Обычный 9 2 2 5 2 4" xfId="49808"/>
    <cellStyle name="Обычный 9 2 2 5 2 4 2" xfId="49809"/>
    <cellStyle name="Обычный 9 2 2 5 2 4 3" xfId="49810"/>
    <cellStyle name="Обычный 9 2 2 5 2 5" xfId="49811"/>
    <cellStyle name="Обычный 9 2 2 5 2 5 2" xfId="49812"/>
    <cellStyle name="Обычный 9 2 2 5 2 5 3" xfId="49813"/>
    <cellStyle name="Обычный 9 2 2 5 2 6" xfId="49814"/>
    <cellStyle name="Обычный 9 2 2 5 2 6 2" xfId="49815"/>
    <cellStyle name="Обычный 9 2 2 5 2 7" xfId="49816"/>
    <cellStyle name="Обычный 9 2 2 5 2 8" xfId="49817"/>
    <cellStyle name="Обычный 9 2 2 5 3" xfId="49818"/>
    <cellStyle name="Обычный 9 2 2 5 3 2" xfId="49819"/>
    <cellStyle name="Обычный 9 2 2 5 3 2 2" xfId="49820"/>
    <cellStyle name="Обычный 9 2 2 5 3 2 2 2" xfId="49821"/>
    <cellStyle name="Обычный 9 2 2 5 3 2 2 3" xfId="49822"/>
    <cellStyle name="Обычный 9 2 2 5 3 2 3" xfId="49823"/>
    <cellStyle name="Обычный 9 2 2 5 3 2 3 2" xfId="49824"/>
    <cellStyle name="Обычный 9 2 2 5 3 2 3 3" xfId="49825"/>
    <cellStyle name="Обычный 9 2 2 5 3 2 4" xfId="49826"/>
    <cellStyle name="Обычный 9 2 2 5 3 2 4 2" xfId="49827"/>
    <cellStyle name="Обычный 9 2 2 5 3 2 5" xfId="49828"/>
    <cellStyle name="Обычный 9 2 2 5 3 2 6" xfId="49829"/>
    <cellStyle name="Обычный 9 2 2 5 3 3" xfId="49830"/>
    <cellStyle name="Обычный 9 2 2 5 3 3 2" xfId="49831"/>
    <cellStyle name="Обычный 9 2 2 5 3 3 3" xfId="49832"/>
    <cellStyle name="Обычный 9 2 2 5 3 4" xfId="49833"/>
    <cellStyle name="Обычный 9 2 2 5 3 4 2" xfId="49834"/>
    <cellStyle name="Обычный 9 2 2 5 3 4 3" xfId="49835"/>
    <cellStyle name="Обычный 9 2 2 5 3 5" xfId="49836"/>
    <cellStyle name="Обычный 9 2 2 5 3 5 2" xfId="49837"/>
    <cellStyle name="Обычный 9 2 2 5 3 6" xfId="49838"/>
    <cellStyle name="Обычный 9 2 2 5 3 7" xfId="49839"/>
    <cellStyle name="Обычный 9 2 2 5 4" xfId="49840"/>
    <cellStyle name="Обычный 9 2 2 5 4 2" xfId="49841"/>
    <cellStyle name="Обычный 9 2 2 5 4 2 2" xfId="49842"/>
    <cellStyle name="Обычный 9 2 2 5 4 2 3" xfId="49843"/>
    <cellStyle name="Обычный 9 2 2 5 4 3" xfId="49844"/>
    <cellStyle name="Обычный 9 2 2 5 4 3 2" xfId="49845"/>
    <cellStyle name="Обычный 9 2 2 5 4 3 3" xfId="49846"/>
    <cellStyle name="Обычный 9 2 2 5 4 4" xfId="49847"/>
    <cellStyle name="Обычный 9 2 2 5 4 4 2" xfId="49848"/>
    <cellStyle name="Обычный 9 2 2 5 4 5" xfId="49849"/>
    <cellStyle name="Обычный 9 2 2 5 4 6" xfId="49850"/>
    <cellStyle name="Обычный 9 2 2 5 5" xfId="49851"/>
    <cellStyle name="Обычный 9 2 2 5 5 2" xfId="49852"/>
    <cellStyle name="Обычный 9 2 2 5 5 3" xfId="49853"/>
    <cellStyle name="Обычный 9 2 2 5 6" xfId="49854"/>
    <cellStyle name="Обычный 9 2 2 5 6 2" xfId="49855"/>
    <cellStyle name="Обычный 9 2 2 5 6 3" xfId="49856"/>
    <cellStyle name="Обычный 9 2 2 5 7" xfId="49857"/>
    <cellStyle name="Обычный 9 2 2 5 7 2" xfId="49858"/>
    <cellStyle name="Обычный 9 2 2 5 8" xfId="49859"/>
    <cellStyle name="Обычный 9 2 2 5 9" xfId="49860"/>
    <cellStyle name="Обычный 9 2 2 6" xfId="49861"/>
    <cellStyle name="Обычный 9 2 2 6 2" xfId="49862"/>
    <cellStyle name="Обычный 9 2 2 6 2 2" xfId="49863"/>
    <cellStyle name="Обычный 9 2 2 6 2 2 2" xfId="49864"/>
    <cellStyle name="Обычный 9 2 2 6 2 2 2 2" xfId="49865"/>
    <cellStyle name="Обычный 9 2 2 6 2 2 2 3" xfId="49866"/>
    <cellStyle name="Обычный 9 2 2 6 2 2 3" xfId="49867"/>
    <cellStyle name="Обычный 9 2 2 6 2 2 3 2" xfId="49868"/>
    <cellStyle name="Обычный 9 2 2 6 2 2 3 3" xfId="49869"/>
    <cellStyle name="Обычный 9 2 2 6 2 2 4" xfId="49870"/>
    <cellStyle name="Обычный 9 2 2 6 2 2 4 2" xfId="49871"/>
    <cellStyle name="Обычный 9 2 2 6 2 2 5" xfId="49872"/>
    <cellStyle name="Обычный 9 2 2 6 2 2 6" xfId="49873"/>
    <cellStyle name="Обычный 9 2 2 6 2 3" xfId="49874"/>
    <cellStyle name="Обычный 9 2 2 6 2 3 2" xfId="49875"/>
    <cellStyle name="Обычный 9 2 2 6 2 3 3" xfId="49876"/>
    <cellStyle name="Обычный 9 2 2 6 2 4" xfId="49877"/>
    <cellStyle name="Обычный 9 2 2 6 2 4 2" xfId="49878"/>
    <cellStyle name="Обычный 9 2 2 6 2 4 3" xfId="49879"/>
    <cellStyle name="Обычный 9 2 2 6 2 5" xfId="49880"/>
    <cellStyle name="Обычный 9 2 2 6 2 5 2" xfId="49881"/>
    <cellStyle name="Обычный 9 2 2 6 2 6" xfId="49882"/>
    <cellStyle name="Обычный 9 2 2 6 2 7" xfId="49883"/>
    <cellStyle name="Обычный 9 2 2 6 3" xfId="49884"/>
    <cellStyle name="Обычный 9 2 2 6 3 2" xfId="49885"/>
    <cellStyle name="Обычный 9 2 2 6 3 2 2" xfId="49886"/>
    <cellStyle name="Обычный 9 2 2 6 3 2 3" xfId="49887"/>
    <cellStyle name="Обычный 9 2 2 6 3 3" xfId="49888"/>
    <cellStyle name="Обычный 9 2 2 6 3 3 2" xfId="49889"/>
    <cellStyle name="Обычный 9 2 2 6 3 3 3" xfId="49890"/>
    <cellStyle name="Обычный 9 2 2 6 3 4" xfId="49891"/>
    <cellStyle name="Обычный 9 2 2 6 3 4 2" xfId="49892"/>
    <cellStyle name="Обычный 9 2 2 6 3 5" xfId="49893"/>
    <cellStyle name="Обычный 9 2 2 6 3 6" xfId="49894"/>
    <cellStyle name="Обычный 9 2 2 6 4" xfId="49895"/>
    <cellStyle name="Обычный 9 2 2 6 4 2" xfId="49896"/>
    <cellStyle name="Обычный 9 2 2 6 4 3" xfId="49897"/>
    <cellStyle name="Обычный 9 2 2 6 5" xfId="49898"/>
    <cellStyle name="Обычный 9 2 2 6 5 2" xfId="49899"/>
    <cellStyle name="Обычный 9 2 2 6 5 3" xfId="49900"/>
    <cellStyle name="Обычный 9 2 2 6 6" xfId="49901"/>
    <cellStyle name="Обычный 9 2 2 6 6 2" xfId="49902"/>
    <cellStyle name="Обычный 9 2 2 6 7" xfId="49903"/>
    <cellStyle name="Обычный 9 2 2 6 8" xfId="49904"/>
    <cellStyle name="Обычный 9 2 2 7" xfId="49905"/>
    <cellStyle name="Обычный 9 2 2 7 2" xfId="49906"/>
    <cellStyle name="Обычный 9 2 2 7 2 2" xfId="49907"/>
    <cellStyle name="Обычный 9 2 2 7 2 2 2" xfId="49908"/>
    <cellStyle name="Обычный 9 2 2 7 2 2 3" xfId="49909"/>
    <cellStyle name="Обычный 9 2 2 7 2 3" xfId="49910"/>
    <cellStyle name="Обычный 9 2 2 7 2 3 2" xfId="49911"/>
    <cellStyle name="Обычный 9 2 2 7 2 3 3" xfId="49912"/>
    <cellStyle name="Обычный 9 2 2 7 2 4" xfId="49913"/>
    <cellStyle name="Обычный 9 2 2 7 2 4 2" xfId="49914"/>
    <cellStyle name="Обычный 9 2 2 7 2 5" xfId="49915"/>
    <cellStyle name="Обычный 9 2 2 7 2 6" xfId="49916"/>
    <cellStyle name="Обычный 9 2 2 7 3" xfId="49917"/>
    <cellStyle name="Обычный 9 2 2 7 3 2" xfId="49918"/>
    <cellStyle name="Обычный 9 2 2 7 3 3" xfId="49919"/>
    <cellStyle name="Обычный 9 2 2 7 4" xfId="49920"/>
    <cellStyle name="Обычный 9 2 2 7 4 2" xfId="49921"/>
    <cellStyle name="Обычный 9 2 2 7 4 3" xfId="49922"/>
    <cellStyle name="Обычный 9 2 2 7 5" xfId="49923"/>
    <cellStyle name="Обычный 9 2 2 7 5 2" xfId="49924"/>
    <cellStyle name="Обычный 9 2 2 7 6" xfId="49925"/>
    <cellStyle name="Обычный 9 2 2 7 7" xfId="49926"/>
    <cellStyle name="Обычный 9 2 2 8" xfId="49927"/>
    <cellStyle name="Обычный 9 2 2 8 2" xfId="49928"/>
    <cellStyle name="Обычный 9 2 2 8 2 2" xfId="49929"/>
    <cellStyle name="Обычный 9 2 2 8 2 3" xfId="49930"/>
    <cellStyle name="Обычный 9 2 2 8 3" xfId="49931"/>
    <cellStyle name="Обычный 9 2 2 8 3 2" xfId="49932"/>
    <cellStyle name="Обычный 9 2 2 8 3 3" xfId="49933"/>
    <cellStyle name="Обычный 9 2 2 8 4" xfId="49934"/>
    <cellStyle name="Обычный 9 2 2 8 4 2" xfId="49935"/>
    <cellStyle name="Обычный 9 2 2 8 5" xfId="49936"/>
    <cellStyle name="Обычный 9 2 2 8 6" xfId="49937"/>
    <cellStyle name="Обычный 9 2 2 9" xfId="49938"/>
    <cellStyle name="Обычный 9 2 2 9 2" xfId="49939"/>
    <cellStyle name="Обычный 9 2 2 9 3" xfId="49940"/>
    <cellStyle name="Обычный 9 2 3" xfId="49941"/>
    <cellStyle name="Обычный 9 2 3 10" xfId="49942"/>
    <cellStyle name="Обычный 9 2 3 2" xfId="49943"/>
    <cellStyle name="Обычный 9 2 3 2 2" xfId="49944"/>
    <cellStyle name="Обычный 9 2 3 2 2 2" xfId="49945"/>
    <cellStyle name="Обычный 9 2 3 2 2 2 2" xfId="49946"/>
    <cellStyle name="Обычный 9 2 3 2 2 2 2 2" xfId="49947"/>
    <cellStyle name="Обычный 9 2 3 2 2 2 2 2 2" xfId="49948"/>
    <cellStyle name="Обычный 9 2 3 2 2 2 2 2 3" xfId="49949"/>
    <cellStyle name="Обычный 9 2 3 2 2 2 2 3" xfId="49950"/>
    <cellStyle name="Обычный 9 2 3 2 2 2 2 3 2" xfId="49951"/>
    <cellStyle name="Обычный 9 2 3 2 2 2 2 3 3" xfId="49952"/>
    <cellStyle name="Обычный 9 2 3 2 2 2 2 4" xfId="49953"/>
    <cellStyle name="Обычный 9 2 3 2 2 2 2 4 2" xfId="49954"/>
    <cellStyle name="Обычный 9 2 3 2 2 2 2 5" xfId="49955"/>
    <cellStyle name="Обычный 9 2 3 2 2 2 2 6" xfId="49956"/>
    <cellStyle name="Обычный 9 2 3 2 2 2 3" xfId="49957"/>
    <cellStyle name="Обычный 9 2 3 2 2 2 3 2" xfId="49958"/>
    <cellStyle name="Обычный 9 2 3 2 2 2 3 3" xfId="49959"/>
    <cellStyle name="Обычный 9 2 3 2 2 2 4" xfId="49960"/>
    <cellStyle name="Обычный 9 2 3 2 2 2 4 2" xfId="49961"/>
    <cellStyle name="Обычный 9 2 3 2 2 2 4 3" xfId="49962"/>
    <cellStyle name="Обычный 9 2 3 2 2 2 5" xfId="49963"/>
    <cellStyle name="Обычный 9 2 3 2 2 2 5 2" xfId="49964"/>
    <cellStyle name="Обычный 9 2 3 2 2 2 6" xfId="49965"/>
    <cellStyle name="Обычный 9 2 3 2 2 2 7" xfId="49966"/>
    <cellStyle name="Обычный 9 2 3 2 2 3" xfId="49967"/>
    <cellStyle name="Обычный 9 2 3 2 2 3 2" xfId="49968"/>
    <cellStyle name="Обычный 9 2 3 2 2 3 2 2" xfId="49969"/>
    <cellStyle name="Обычный 9 2 3 2 2 3 2 3" xfId="49970"/>
    <cellStyle name="Обычный 9 2 3 2 2 3 3" xfId="49971"/>
    <cellStyle name="Обычный 9 2 3 2 2 3 3 2" xfId="49972"/>
    <cellStyle name="Обычный 9 2 3 2 2 3 3 3" xfId="49973"/>
    <cellStyle name="Обычный 9 2 3 2 2 3 4" xfId="49974"/>
    <cellStyle name="Обычный 9 2 3 2 2 3 4 2" xfId="49975"/>
    <cellStyle name="Обычный 9 2 3 2 2 3 5" xfId="49976"/>
    <cellStyle name="Обычный 9 2 3 2 2 3 6" xfId="49977"/>
    <cellStyle name="Обычный 9 2 3 2 2 4" xfId="49978"/>
    <cellStyle name="Обычный 9 2 3 2 2 4 2" xfId="49979"/>
    <cellStyle name="Обычный 9 2 3 2 2 4 3" xfId="49980"/>
    <cellStyle name="Обычный 9 2 3 2 2 5" xfId="49981"/>
    <cellStyle name="Обычный 9 2 3 2 2 5 2" xfId="49982"/>
    <cellStyle name="Обычный 9 2 3 2 2 5 3" xfId="49983"/>
    <cellStyle name="Обычный 9 2 3 2 2 6" xfId="49984"/>
    <cellStyle name="Обычный 9 2 3 2 2 6 2" xfId="49985"/>
    <cellStyle name="Обычный 9 2 3 2 2 7" xfId="49986"/>
    <cellStyle name="Обычный 9 2 3 2 2 8" xfId="49987"/>
    <cellStyle name="Обычный 9 2 3 2 3" xfId="49988"/>
    <cellStyle name="Обычный 9 2 3 2 3 2" xfId="49989"/>
    <cellStyle name="Обычный 9 2 3 2 3 2 2" xfId="49990"/>
    <cellStyle name="Обычный 9 2 3 2 3 2 2 2" xfId="49991"/>
    <cellStyle name="Обычный 9 2 3 2 3 2 2 3" xfId="49992"/>
    <cellStyle name="Обычный 9 2 3 2 3 2 3" xfId="49993"/>
    <cellStyle name="Обычный 9 2 3 2 3 2 3 2" xfId="49994"/>
    <cellStyle name="Обычный 9 2 3 2 3 2 3 3" xfId="49995"/>
    <cellStyle name="Обычный 9 2 3 2 3 2 4" xfId="49996"/>
    <cellStyle name="Обычный 9 2 3 2 3 2 4 2" xfId="49997"/>
    <cellStyle name="Обычный 9 2 3 2 3 2 5" xfId="49998"/>
    <cellStyle name="Обычный 9 2 3 2 3 2 6" xfId="49999"/>
    <cellStyle name="Обычный 9 2 3 2 3 3" xfId="50000"/>
    <cellStyle name="Обычный 9 2 3 2 3 3 2" xfId="50001"/>
    <cellStyle name="Обычный 9 2 3 2 3 3 3" xfId="50002"/>
    <cellStyle name="Обычный 9 2 3 2 3 4" xfId="50003"/>
    <cellStyle name="Обычный 9 2 3 2 3 4 2" xfId="50004"/>
    <cellStyle name="Обычный 9 2 3 2 3 4 3" xfId="50005"/>
    <cellStyle name="Обычный 9 2 3 2 3 5" xfId="50006"/>
    <cellStyle name="Обычный 9 2 3 2 3 5 2" xfId="50007"/>
    <cellStyle name="Обычный 9 2 3 2 3 6" xfId="50008"/>
    <cellStyle name="Обычный 9 2 3 2 3 7" xfId="50009"/>
    <cellStyle name="Обычный 9 2 3 2 4" xfId="50010"/>
    <cellStyle name="Обычный 9 2 3 2 4 2" xfId="50011"/>
    <cellStyle name="Обычный 9 2 3 2 4 2 2" xfId="50012"/>
    <cellStyle name="Обычный 9 2 3 2 4 2 3" xfId="50013"/>
    <cellStyle name="Обычный 9 2 3 2 4 3" xfId="50014"/>
    <cellStyle name="Обычный 9 2 3 2 4 3 2" xfId="50015"/>
    <cellStyle name="Обычный 9 2 3 2 4 3 3" xfId="50016"/>
    <cellStyle name="Обычный 9 2 3 2 4 4" xfId="50017"/>
    <cellStyle name="Обычный 9 2 3 2 4 4 2" xfId="50018"/>
    <cellStyle name="Обычный 9 2 3 2 4 5" xfId="50019"/>
    <cellStyle name="Обычный 9 2 3 2 4 6" xfId="50020"/>
    <cellStyle name="Обычный 9 2 3 2 5" xfId="50021"/>
    <cellStyle name="Обычный 9 2 3 2 5 2" xfId="50022"/>
    <cellStyle name="Обычный 9 2 3 2 5 3" xfId="50023"/>
    <cellStyle name="Обычный 9 2 3 2 6" xfId="50024"/>
    <cellStyle name="Обычный 9 2 3 2 6 2" xfId="50025"/>
    <cellStyle name="Обычный 9 2 3 2 6 3" xfId="50026"/>
    <cellStyle name="Обычный 9 2 3 2 7" xfId="50027"/>
    <cellStyle name="Обычный 9 2 3 2 7 2" xfId="50028"/>
    <cellStyle name="Обычный 9 2 3 2 8" xfId="50029"/>
    <cellStyle name="Обычный 9 2 3 2 9" xfId="50030"/>
    <cellStyle name="Обычный 9 2 3 3" xfId="50031"/>
    <cellStyle name="Обычный 9 2 3 3 2" xfId="50032"/>
    <cellStyle name="Обычный 9 2 3 3 2 2" xfId="50033"/>
    <cellStyle name="Обычный 9 2 3 3 2 2 2" xfId="50034"/>
    <cellStyle name="Обычный 9 2 3 3 2 2 2 2" xfId="50035"/>
    <cellStyle name="Обычный 9 2 3 3 2 2 2 3" xfId="50036"/>
    <cellStyle name="Обычный 9 2 3 3 2 2 3" xfId="50037"/>
    <cellStyle name="Обычный 9 2 3 3 2 2 3 2" xfId="50038"/>
    <cellStyle name="Обычный 9 2 3 3 2 2 3 3" xfId="50039"/>
    <cellStyle name="Обычный 9 2 3 3 2 2 4" xfId="50040"/>
    <cellStyle name="Обычный 9 2 3 3 2 2 4 2" xfId="50041"/>
    <cellStyle name="Обычный 9 2 3 3 2 2 5" xfId="50042"/>
    <cellStyle name="Обычный 9 2 3 3 2 2 6" xfId="50043"/>
    <cellStyle name="Обычный 9 2 3 3 2 3" xfId="50044"/>
    <cellStyle name="Обычный 9 2 3 3 2 3 2" xfId="50045"/>
    <cellStyle name="Обычный 9 2 3 3 2 3 3" xfId="50046"/>
    <cellStyle name="Обычный 9 2 3 3 2 4" xfId="50047"/>
    <cellStyle name="Обычный 9 2 3 3 2 4 2" xfId="50048"/>
    <cellStyle name="Обычный 9 2 3 3 2 4 3" xfId="50049"/>
    <cellStyle name="Обычный 9 2 3 3 2 5" xfId="50050"/>
    <cellStyle name="Обычный 9 2 3 3 2 5 2" xfId="50051"/>
    <cellStyle name="Обычный 9 2 3 3 2 6" xfId="50052"/>
    <cellStyle name="Обычный 9 2 3 3 2 7" xfId="50053"/>
    <cellStyle name="Обычный 9 2 3 3 3" xfId="50054"/>
    <cellStyle name="Обычный 9 2 3 3 3 2" xfId="50055"/>
    <cellStyle name="Обычный 9 2 3 3 3 2 2" xfId="50056"/>
    <cellStyle name="Обычный 9 2 3 3 3 2 3" xfId="50057"/>
    <cellStyle name="Обычный 9 2 3 3 3 3" xfId="50058"/>
    <cellStyle name="Обычный 9 2 3 3 3 3 2" xfId="50059"/>
    <cellStyle name="Обычный 9 2 3 3 3 3 3" xfId="50060"/>
    <cellStyle name="Обычный 9 2 3 3 3 4" xfId="50061"/>
    <cellStyle name="Обычный 9 2 3 3 3 4 2" xfId="50062"/>
    <cellStyle name="Обычный 9 2 3 3 3 5" xfId="50063"/>
    <cellStyle name="Обычный 9 2 3 3 3 6" xfId="50064"/>
    <cellStyle name="Обычный 9 2 3 3 4" xfId="50065"/>
    <cellStyle name="Обычный 9 2 3 3 4 2" xfId="50066"/>
    <cellStyle name="Обычный 9 2 3 3 4 3" xfId="50067"/>
    <cellStyle name="Обычный 9 2 3 3 5" xfId="50068"/>
    <cellStyle name="Обычный 9 2 3 3 5 2" xfId="50069"/>
    <cellStyle name="Обычный 9 2 3 3 5 3" xfId="50070"/>
    <cellStyle name="Обычный 9 2 3 3 6" xfId="50071"/>
    <cellStyle name="Обычный 9 2 3 3 6 2" xfId="50072"/>
    <cellStyle name="Обычный 9 2 3 3 7" xfId="50073"/>
    <cellStyle name="Обычный 9 2 3 3 8" xfId="50074"/>
    <cellStyle name="Обычный 9 2 3 4" xfId="50075"/>
    <cellStyle name="Обычный 9 2 3 4 2" xfId="50076"/>
    <cellStyle name="Обычный 9 2 3 4 2 2" xfId="50077"/>
    <cellStyle name="Обычный 9 2 3 4 2 2 2" xfId="50078"/>
    <cellStyle name="Обычный 9 2 3 4 2 2 3" xfId="50079"/>
    <cellStyle name="Обычный 9 2 3 4 2 3" xfId="50080"/>
    <cellStyle name="Обычный 9 2 3 4 2 3 2" xfId="50081"/>
    <cellStyle name="Обычный 9 2 3 4 2 3 3" xfId="50082"/>
    <cellStyle name="Обычный 9 2 3 4 2 4" xfId="50083"/>
    <cellStyle name="Обычный 9 2 3 4 2 4 2" xfId="50084"/>
    <cellStyle name="Обычный 9 2 3 4 2 5" xfId="50085"/>
    <cellStyle name="Обычный 9 2 3 4 2 6" xfId="50086"/>
    <cellStyle name="Обычный 9 2 3 4 3" xfId="50087"/>
    <cellStyle name="Обычный 9 2 3 4 3 2" xfId="50088"/>
    <cellStyle name="Обычный 9 2 3 4 3 3" xfId="50089"/>
    <cellStyle name="Обычный 9 2 3 4 4" xfId="50090"/>
    <cellStyle name="Обычный 9 2 3 4 4 2" xfId="50091"/>
    <cellStyle name="Обычный 9 2 3 4 4 3" xfId="50092"/>
    <cellStyle name="Обычный 9 2 3 4 5" xfId="50093"/>
    <cellStyle name="Обычный 9 2 3 4 5 2" xfId="50094"/>
    <cellStyle name="Обычный 9 2 3 4 6" xfId="50095"/>
    <cellStyle name="Обычный 9 2 3 4 7" xfId="50096"/>
    <cellStyle name="Обычный 9 2 3 5" xfId="50097"/>
    <cellStyle name="Обычный 9 2 3 5 2" xfId="50098"/>
    <cellStyle name="Обычный 9 2 3 5 2 2" xfId="50099"/>
    <cellStyle name="Обычный 9 2 3 5 2 3" xfId="50100"/>
    <cellStyle name="Обычный 9 2 3 5 3" xfId="50101"/>
    <cellStyle name="Обычный 9 2 3 5 3 2" xfId="50102"/>
    <cellStyle name="Обычный 9 2 3 5 3 3" xfId="50103"/>
    <cellStyle name="Обычный 9 2 3 5 4" xfId="50104"/>
    <cellStyle name="Обычный 9 2 3 5 4 2" xfId="50105"/>
    <cellStyle name="Обычный 9 2 3 5 5" xfId="50106"/>
    <cellStyle name="Обычный 9 2 3 5 6" xfId="50107"/>
    <cellStyle name="Обычный 9 2 3 6" xfId="50108"/>
    <cellStyle name="Обычный 9 2 3 6 2" xfId="50109"/>
    <cellStyle name="Обычный 9 2 3 6 3" xfId="50110"/>
    <cellStyle name="Обычный 9 2 3 7" xfId="50111"/>
    <cellStyle name="Обычный 9 2 3 7 2" xfId="50112"/>
    <cellStyle name="Обычный 9 2 3 7 3" xfId="50113"/>
    <cellStyle name="Обычный 9 2 3 8" xfId="50114"/>
    <cellStyle name="Обычный 9 2 3 8 2" xfId="50115"/>
    <cellStyle name="Обычный 9 2 3 9" xfId="50116"/>
    <cellStyle name="Обычный 9 2 4" xfId="50117"/>
    <cellStyle name="Обычный 9 2 4 10" xfId="50118"/>
    <cellStyle name="Обычный 9 2 4 2" xfId="50119"/>
    <cellStyle name="Обычный 9 2 4 2 2" xfId="50120"/>
    <cellStyle name="Обычный 9 2 4 2 2 2" xfId="50121"/>
    <cellStyle name="Обычный 9 2 4 2 2 2 2" xfId="50122"/>
    <cellStyle name="Обычный 9 2 4 2 2 2 2 2" xfId="50123"/>
    <cellStyle name="Обычный 9 2 4 2 2 2 2 2 2" xfId="50124"/>
    <cellStyle name="Обычный 9 2 4 2 2 2 2 2 3" xfId="50125"/>
    <cellStyle name="Обычный 9 2 4 2 2 2 2 3" xfId="50126"/>
    <cellStyle name="Обычный 9 2 4 2 2 2 2 3 2" xfId="50127"/>
    <cellStyle name="Обычный 9 2 4 2 2 2 2 3 3" xfId="50128"/>
    <cellStyle name="Обычный 9 2 4 2 2 2 2 4" xfId="50129"/>
    <cellStyle name="Обычный 9 2 4 2 2 2 2 4 2" xfId="50130"/>
    <cellStyle name="Обычный 9 2 4 2 2 2 2 5" xfId="50131"/>
    <cellStyle name="Обычный 9 2 4 2 2 2 2 6" xfId="50132"/>
    <cellStyle name="Обычный 9 2 4 2 2 2 3" xfId="50133"/>
    <cellStyle name="Обычный 9 2 4 2 2 2 3 2" xfId="50134"/>
    <cellStyle name="Обычный 9 2 4 2 2 2 3 3" xfId="50135"/>
    <cellStyle name="Обычный 9 2 4 2 2 2 4" xfId="50136"/>
    <cellStyle name="Обычный 9 2 4 2 2 2 4 2" xfId="50137"/>
    <cellStyle name="Обычный 9 2 4 2 2 2 4 3" xfId="50138"/>
    <cellStyle name="Обычный 9 2 4 2 2 2 5" xfId="50139"/>
    <cellStyle name="Обычный 9 2 4 2 2 2 5 2" xfId="50140"/>
    <cellStyle name="Обычный 9 2 4 2 2 2 6" xfId="50141"/>
    <cellStyle name="Обычный 9 2 4 2 2 2 7" xfId="50142"/>
    <cellStyle name="Обычный 9 2 4 2 2 3" xfId="50143"/>
    <cellStyle name="Обычный 9 2 4 2 2 3 2" xfId="50144"/>
    <cellStyle name="Обычный 9 2 4 2 2 3 2 2" xfId="50145"/>
    <cellStyle name="Обычный 9 2 4 2 2 3 2 3" xfId="50146"/>
    <cellStyle name="Обычный 9 2 4 2 2 3 3" xfId="50147"/>
    <cellStyle name="Обычный 9 2 4 2 2 3 3 2" xfId="50148"/>
    <cellStyle name="Обычный 9 2 4 2 2 3 3 3" xfId="50149"/>
    <cellStyle name="Обычный 9 2 4 2 2 3 4" xfId="50150"/>
    <cellStyle name="Обычный 9 2 4 2 2 3 4 2" xfId="50151"/>
    <cellStyle name="Обычный 9 2 4 2 2 3 5" xfId="50152"/>
    <cellStyle name="Обычный 9 2 4 2 2 3 6" xfId="50153"/>
    <cellStyle name="Обычный 9 2 4 2 2 4" xfId="50154"/>
    <cellStyle name="Обычный 9 2 4 2 2 4 2" xfId="50155"/>
    <cellStyle name="Обычный 9 2 4 2 2 4 3" xfId="50156"/>
    <cellStyle name="Обычный 9 2 4 2 2 5" xfId="50157"/>
    <cellStyle name="Обычный 9 2 4 2 2 5 2" xfId="50158"/>
    <cellStyle name="Обычный 9 2 4 2 2 5 3" xfId="50159"/>
    <cellStyle name="Обычный 9 2 4 2 2 6" xfId="50160"/>
    <cellStyle name="Обычный 9 2 4 2 2 6 2" xfId="50161"/>
    <cellStyle name="Обычный 9 2 4 2 2 7" xfId="50162"/>
    <cellStyle name="Обычный 9 2 4 2 2 8" xfId="50163"/>
    <cellStyle name="Обычный 9 2 4 2 3" xfId="50164"/>
    <cellStyle name="Обычный 9 2 4 2 3 2" xfId="50165"/>
    <cellStyle name="Обычный 9 2 4 2 3 2 2" xfId="50166"/>
    <cellStyle name="Обычный 9 2 4 2 3 2 2 2" xfId="50167"/>
    <cellStyle name="Обычный 9 2 4 2 3 2 2 3" xfId="50168"/>
    <cellStyle name="Обычный 9 2 4 2 3 2 3" xfId="50169"/>
    <cellStyle name="Обычный 9 2 4 2 3 2 3 2" xfId="50170"/>
    <cellStyle name="Обычный 9 2 4 2 3 2 3 3" xfId="50171"/>
    <cellStyle name="Обычный 9 2 4 2 3 2 4" xfId="50172"/>
    <cellStyle name="Обычный 9 2 4 2 3 2 4 2" xfId="50173"/>
    <cellStyle name="Обычный 9 2 4 2 3 2 5" xfId="50174"/>
    <cellStyle name="Обычный 9 2 4 2 3 2 6" xfId="50175"/>
    <cellStyle name="Обычный 9 2 4 2 3 3" xfId="50176"/>
    <cellStyle name="Обычный 9 2 4 2 3 3 2" xfId="50177"/>
    <cellStyle name="Обычный 9 2 4 2 3 3 3" xfId="50178"/>
    <cellStyle name="Обычный 9 2 4 2 3 4" xfId="50179"/>
    <cellStyle name="Обычный 9 2 4 2 3 4 2" xfId="50180"/>
    <cellStyle name="Обычный 9 2 4 2 3 4 3" xfId="50181"/>
    <cellStyle name="Обычный 9 2 4 2 3 5" xfId="50182"/>
    <cellStyle name="Обычный 9 2 4 2 3 5 2" xfId="50183"/>
    <cellStyle name="Обычный 9 2 4 2 3 6" xfId="50184"/>
    <cellStyle name="Обычный 9 2 4 2 3 7" xfId="50185"/>
    <cellStyle name="Обычный 9 2 4 2 4" xfId="50186"/>
    <cellStyle name="Обычный 9 2 4 2 4 2" xfId="50187"/>
    <cellStyle name="Обычный 9 2 4 2 4 2 2" xfId="50188"/>
    <cellStyle name="Обычный 9 2 4 2 4 2 3" xfId="50189"/>
    <cellStyle name="Обычный 9 2 4 2 4 3" xfId="50190"/>
    <cellStyle name="Обычный 9 2 4 2 4 3 2" xfId="50191"/>
    <cellStyle name="Обычный 9 2 4 2 4 3 3" xfId="50192"/>
    <cellStyle name="Обычный 9 2 4 2 4 4" xfId="50193"/>
    <cellStyle name="Обычный 9 2 4 2 4 4 2" xfId="50194"/>
    <cellStyle name="Обычный 9 2 4 2 4 5" xfId="50195"/>
    <cellStyle name="Обычный 9 2 4 2 4 6" xfId="50196"/>
    <cellStyle name="Обычный 9 2 4 2 5" xfId="50197"/>
    <cellStyle name="Обычный 9 2 4 2 5 2" xfId="50198"/>
    <cellStyle name="Обычный 9 2 4 2 5 3" xfId="50199"/>
    <cellStyle name="Обычный 9 2 4 2 6" xfId="50200"/>
    <cellStyle name="Обычный 9 2 4 2 6 2" xfId="50201"/>
    <cellStyle name="Обычный 9 2 4 2 6 3" xfId="50202"/>
    <cellStyle name="Обычный 9 2 4 2 7" xfId="50203"/>
    <cellStyle name="Обычный 9 2 4 2 7 2" xfId="50204"/>
    <cellStyle name="Обычный 9 2 4 2 8" xfId="50205"/>
    <cellStyle name="Обычный 9 2 4 2 9" xfId="50206"/>
    <cellStyle name="Обычный 9 2 4 3" xfId="50207"/>
    <cellStyle name="Обычный 9 2 4 3 2" xfId="50208"/>
    <cellStyle name="Обычный 9 2 4 3 2 2" xfId="50209"/>
    <cellStyle name="Обычный 9 2 4 3 2 2 2" xfId="50210"/>
    <cellStyle name="Обычный 9 2 4 3 2 2 2 2" xfId="50211"/>
    <cellStyle name="Обычный 9 2 4 3 2 2 2 3" xfId="50212"/>
    <cellStyle name="Обычный 9 2 4 3 2 2 3" xfId="50213"/>
    <cellStyle name="Обычный 9 2 4 3 2 2 3 2" xfId="50214"/>
    <cellStyle name="Обычный 9 2 4 3 2 2 3 3" xfId="50215"/>
    <cellStyle name="Обычный 9 2 4 3 2 2 4" xfId="50216"/>
    <cellStyle name="Обычный 9 2 4 3 2 2 4 2" xfId="50217"/>
    <cellStyle name="Обычный 9 2 4 3 2 2 5" xfId="50218"/>
    <cellStyle name="Обычный 9 2 4 3 2 2 6" xfId="50219"/>
    <cellStyle name="Обычный 9 2 4 3 2 3" xfId="50220"/>
    <cellStyle name="Обычный 9 2 4 3 2 3 2" xfId="50221"/>
    <cellStyle name="Обычный 9 2 4 3 2 3 3" xfId="50222"/>
    <cellStyle name="Обычный 9 2 4 3 2 4" xfId="50223"/>
    <cellStyle name="Обычный 9 2 4 3 2 4 2" xfId="50224"/>
    <cellStyle name="Обычный 9 2 4 3 2 4 3" xfId="50225"/>
    <cellStyle name="Обычный 9 2 4 3 2 5" xfId="50226"/>
    <cellStyle name="Обычный 9 2 4 3 2 5 2" xfId="50227"/>
    <cellStyle name="Обычный 9 2 4 3 2 6" xfId="50228"/>
    <cellStyle name="Обычный 9 2 4 3 2 7" xfId="50229"/>
    <cellStyle name="Обычный 9 2 4 3 3" xfId="50230"/>
    <cellStyle name="Обычный 9 2 4 3 3 2" xfId="50231"/>
    <cellStyle name="Обычный 9 2 4 3 3 2 2" xfId="50232"/>
    <cellStyle name="Обычный 9 2 4 3 3 2 3" xfId="50233"/>
    <cellStyle name="Обычный 9 2 4 3 3 3" xfId="50234"/>
    <cellStyle name="Обычный 9 2 4 3 3 3 2" xfId="50235"/>
    <cellStyle name="Обычный 9 2 4 3 3 3 3" xfId="50236"/>
    <cellStyle name="Обычный 9 2 4 3 3 4" xfId="50237"/>
    <cellStyle name="Обычный 9 2 4 3 3 4 2" xfId="50238"/>
    <cellStyle name="Обычный 9 2 4 3 3 5" xfId="50239"/>
    <cellStyle name="Обычный 9 2 4 3 3 6" xfId="50240"/>
    <cellStyle name="Обычный 9 2 4 3 4" xfId="50241"/>
    <cellStyle name="Обычный 9 2 4 3 4 2" xfId="50242"/>
    <cellStyle name="Обычный 9 2 4 3 4 3" xfId="50243"/>
    <cellStyle name="Обычный 9 2 4 3 5" xfId="50244"/>
    <cellStyle name="Обычный 9 2 4 3 5 2" xfId="50245"/>
    <cellStyle name="Обычный 9 2 4 3 5 3" xfId="50246"/>
    <cellStyle name="Обычный 9 2 4 3 6" xfId="50247"/>
    <cellStyle name="Обычный 9 2 4 3 6 2" xfId="50248"/>
    <cellStyle name="Обычный 9 2 4 3 7" xfId="50249"/>
    <cellStyle name="Обычный 9 2 4 3 8" xfId="50250"/>
    <cellStyle name="Обычный 9 2 4 4" xfId="50251"/>
    <cellStyle name="Обычный 9 2 4 4 2" xfId="50252"/>
    <cellStyle name="Обычный 9 2 4 4 2 2" xfId="50253"/>
    <cellStyle name="Обычный 9 2 4 4 2 2 2" xfId="50254"/>
    <cellStyle name="Обычный 9 2 4 4 2 2 3" xfId="50255"/>
    <cellStyle name="Обычный 9 2 4 4 2 3" xfId="50256"/>
    <cellStyle name="Обычный 9 2 4 4 2 3 2" xfId="50257"/>
    <cellStyle name="Обычный 9 2 4 4 2 3 3" xfId="50258"/>
    <cellStyle name="Обычный 9 2 4 4 2 4" xfId="50259"/>
    <cellStyle name="Обычный 9 2 4 4 2 4 2" xfId="50260"/>
    <cellStyle name="Обычный 9 2 4 4 2 5" xfId="50261"/>
    <cellStyle name="Обычный 9 2 4 4 2 6" xfId="50262"/>
    <cellStyle name="Обычный 9 2 4 4 3" xfId="50263"/>
    <cellStyle name="Обычный 9 2 4 4 3 2" xfId="50264"/>
    <cellStyle name="Обычный 9 2 4 4 3 3" xfId="50265"/>
    <cellStyle name="Обычный 9 2 4 4 4" xfId="50266"/>
    <cellStyle name="Обычный 9 2 4 4 4 2" xfId="50267"/>
    <cellStyle name="Обычный 9 2 4 4 4 3" xfId="50268"/>
    <cellStyle name="Обычный 9 2 4 4 5" xfId="50269"/>
    <cellStyle name="Обычный 9 2 4 4 5 2" xfId="50270"/>
    <cellStyle name="Обычный 9 2 4 4 6" xfId="50271"/>
    <cellStyle name="Обычный 9 2 4 4 7" xfId="50272"/>
    <cellStyle name="Обычный 9 2 4 5" xfId="50273"/>
    <cellStyle name="Обычный 9 2 4 5 2" xfId="50274"/>
    <cellStyle name="Обычный 9 2 4 5 2 2" xfId="50275"/>
    <cellStyle name="Обычный 9 2 4 5 2 3" xfId="50276"/>
    <cellStyle name="Обычный 9 2 4 5 3" xfId="50277"/>
    <cellStyle name="Обычный 9 2 4 5 3 2" xfId="50278"/>
    <cellStyle name="Обычный 9 2 4 5 3 3" xfId="50279"/>
    <cellStyle name="Обычный 9 2 4 5 4" xfId="50280"/>
    <cellStyle name="Обычный 9 2 4 5 4 2" xfId="50281"/>
    <cellStyle name="Обычный 9 2 4 5 5" xfId="50282"/>
    <cellStyle name="Обычный 9 2 4 5 6" xfId="50283"/>
    <cellStyle name="Обычный 9 2 4 6" xfId="50284"/>
    <cellStyle name="Обычный 9 2 4 6 2" xfId="50285"/>
    <cellStyle name="Обычный 9 2 4 6 3" xfId="50286"/>
    <cellStyle name="Обычный 9 2 4 7" xfId="50287"/>
    <cellStyle name="Обычный 9 2 4 7 2" xfId="50288"/>
    <cellStyle name="Обычный 9 2 4 7 3" xfId="50289"/>
    <cellStyle name="Обычный 9 2 4 8" xfId="50290"/>
    <cellStyle name="Обычный 9 2 4 8 2" xfId="50291"/>
    <cellStyle name="Обычный 9 2 4 9" xfId="50292"/>
    <cellStyle name="Обычный 9 2 5" xfId="50293"/>
    <cellStyle name="Обычный 9 2 5 10" xfId="50294"/>
    <cellStyle name="Обычный 9 2 5 2" xfId="50295"/>
    <cellStyle name="Обычный 9 2 5 2 2" xfId="50296"/>
    <cellStyle name="Обычный 9 2 5 2 2 2" xfId="50297"/>
    <cellStyle name="Обычный 9 2 5 2 2 2 2" xfId="50298"/>
    <cellStyle name="Обычный 9 2 5 2 2 2 2 2" xfId="50299"/>
    <cellStyle name="Обычный 9 2 5 2 2 2 2 2 2" xfId="50300"/>
    <cellStyle name="Обычный 9 2 5 2 2 2 2 2 3" xfId="50301"/>
    <cellStyle name="Обычный 9 2 5 2 2 2 2 3" xfId="50302"/>
    <cellStyle name="Обычный 9 2 5 2 2 2 2 3 2" xfId="50303"/>
    <cellStyle name="Обычный 9 2 5 2 2 2 2 3 3" xfId="50304"/>
    <cellStyle name="Обычный 9 2 5 2 2 2 2 4" xfId="50305"/>
    <cellStyle name="Обычный 9 2 5 2 2 2 2 4 2" xfId="50306"/>
    <cellStyle name="Обычный 9 2 5 2 2 2 2 5" xfId="50307"/>
    <cellStyle name="Обычный 9 2 5 2 2 2 2 6" xfId="50308"/>
    <cellStyle name="Обычный 9 2 5 2 2 2 3" xfId="50309"/>
    <cellStyle name="Обычный 9 2 5 2 2 2 3 2" xfId="50310"/>
    <cellStyle name="Обычный 9 2 5 2 2 2 3 3" xfId="50311"/>
    <cellStyle name="Обычный 9 2 5 2 2 2 4" xfId="50312"/>
    <cellStyle name="Обычный 9 2 5 2 2 2 4 2" xfId="50313"/>
    <cellStyle name="Обычный 9 2 5 2 2 2 4 3" xfId="50314"/>
    <cellStyle name="Обычный 9 2 5 2 2 2 5" xfId="50315"/>
    <cellStyle name="Обычный 9 2 5 2 2 2 5 2" xfId="50316"/>
    <cellStyle name="Обычный 9 2 5 2 2 2 6" xfId="50317"/>
    <cellStyle name="Обычный 9 2 5 2 2 2 7" xfId="50318"/>
    <cellStyle name="Обычный 9 2 5 2 2 3" xfId="50319"/>
    <cellStyle name="Обычный 9 2 5 2 2 3 2" xfId="50320"/>
    <cellStyle name="Обычный 9 2 5 2 2 3 2 2" xfId="50321"/>
    <cellStyle name="Обычный 9 2 5 2 2 3 2 3" xfId="50322"/>
    <cellStyle name="Обычный 9 2 5 2 2 3 3" xfId="50323"/>
    <cellStyle name="Обычный 9 2 5 2 2 3 3 2" xfId="50324"/>
    <cellStyle name="Обычный 9 2 5 2 2 3 3 3" xfId="50325"/>
    <cellStyle name="Обычный 9 2 5 2 2 3 4" xfId="50326"/>
    <cellStyle name="Обычный 9 2 5 2 2 3 4 2" xfId="50327"/>
    <cellStyle name="Обычный 9 2 5 2 2 3 5" xfId="50328"/>
    <cellStyle name="Обычный 9 2 5 2 2 3 6" xfId="50329"/>
    <cellStyle name="Обычный 9 2 5 2 2 4" xfId="50330"/>
    <cellStyle name="Обычный 9 2 5 2 2 4 2" xfId="50331"/>
    <cellStyle name="Обычный 9 2 5 2 2 4 3" xfId="50332"/>
    <cellStyle name="Обычный 9 2 5 2 2 5" xfId="50333"/>
    <cellStyle name="Обычный 9 2 5 2 2 5 2" xfId="50334"/>
    <cellStyle name="Обычный 9 2 5 2 2 5 3" xfId="50335"/>
    <cellStyle name="Обычный 9 2 5 2 2 6" xfId="50336"/>
    <cellStyle name="Обычный 9 2 5 2 2 6 2" xfId="50337"/>
    <cellStyle name="Обычный 9 2 5 2 2 7" xfId="50338"/>
    <cellStyle name="Обычный 9 2 5 2 2 8" xfId="50339"/>
    <cellStyle name="Обычный 9 2 5 2 3" xfId="50340"/>
    <cellStyle name="Обычный 9 2 5 2 3 2" xfId="50341"/>
    <cellStyle name="Обычный 9 2 5 2 3 2 2" xfId="50342"/>
    <cellStyle name="Обычный 9 2 5 2 3 2 2 2" xfId="50343"/>
    <cellStyle name="Обычный 9 2 5 2 3 2 2 3" xfId="50344"/>
    <cellStyle name="Обычный 9 2 5 2 3 2 3" xfId="50345"/>
    <cellStyle name="Обычный 9 2 5 2 3 2 3 2" xfId="50346"/>
    <cellStyle name="Обычный 9 2 5 2 3 2 3 3" xfId="50347"/>
    <cellStyle name="Обычный 9 2 5 2 3 2 4" xfId="50348"/>
    <cellStyle name="Обычный 9 2 5 2 3 2 4 2" xfId="50349"/>
    <cellStyle name="Обычный 9 2 5 2 3 2 5" xfId="50350"/>
    <cellStyle name="Обычный 9 2 5 2 3 2 6" xfId="50351"/>
    <cellStyle name="Обычный 9 2 5 2 3 3" xfId="50352"/>
    <cellStyle name="Обычный 9 2 5 2 3 3 2" xfId="50353"/>
    <cellStyle name="Обычный 9 2 5 2 3 3 3" xfId="50354"/>
    <cellStyle name="Обычный 9 2 5 2 3 4" xfId="50355"/>
    <cellStyle name="Обычный 9 2 5 2 3 4 2" xfId="50356"/>
    <cellStyle name="Обычный 9 2 5 2 3 4 3" xfId="50357"/>
    <cellStyle name="Обычный 9 2 5 2 3 5" xfId="50358"/>
    <cellStyle name="Обычный 9 2 5 2 3 5 2" xfId="50359"/>
    <cellStyle name="Обычный 9 2 5 2 3 6" xfId="50360"/>
    <cellStyle name="Обычный 9 2 5 2 3 7" xfId="50361"/>
    <cellStyle name="Обычный 9 2 5 2 4" xfId="50362"/>
    <cellStyle name="Обычный 9 2 5 2 4 2" xfId="50363"/>
    <cellStyle name="Обычный 9 2 5 2 4 2 2" xfId="50364"/>
    <cellStyle name="Обычный 9 2 5 2 4 2 3" xfId="50365"/>
    <cellStyle name="Обычный 9 2 5 2 4 3" xfId="50366"/>
    <cellStyle name="Обычный 9 2 5 2 4 3 2" xfId="50367"/>
    <cellStyle name="Обычный 9 2 5 2 4 3 3" xfId="50368"/>
    <cellStyle name="Обычный 9 2 5 2 4 4" xfId="50369"/>
    <cellStyle name="Обычный 9 2 5 2 4 4 2" xfId="50370"/>
    <cellStyle name="Обычный 9 2 5 2 4 5" xfId="50371"/>
    <cellStyle name="Обычный 9 2 5 2 4 6" xfId="50372"/>
    <cellStyle name="Обычный 9 2 5 2 5" xfId="50373"/>
    <cellStyle name="Обычный 9 2 5 2 5 2" xfId="50374"/>
    <cellStyle name="Обычный 9 2 5 2 5 3" xfId="50375"/>
    <cellStyle name="Обычный 9 2 5 2 6" xfId="50376"/>
    <cellStyle name="Обычный 9 2 5 2 6 2" xfId="50377"/>
    <cellStyle name="Обычный 9 2 5 2 6 3" xfId="50378"/>
    <cellStyle name="Обычный 9 2 5 2 7" xfId="50379"/>
    <cellStyle name="Обычный 9 2 5 2 7 2" xfId="50380"/>
    <cellStyle name="Обычный 9 2 5 2 8" xfId="50381"/>
    <cellStyle name="Обычный 9 2 5 2 9" xfId="50382"/>
    <cellStyle name="Обычный 9 2 5 3" xfId="50383"/>
    <cellStyle name="Обычный 9 2 5 3 2" xfId="50384"/>
    <cellStyle name="Обычный 9 2 5 3 2 2" xfId="50385"/>
    <cellStyle name="Обычный 9 2 5 3 2 2 2" xfId="50386"/>
    <cellStyle name="Обычный 9 2 5 3 2 2 2 2" xfId="50387"/>
    <cellStyle name="Обычный 9 2 5 3 2 2 2 3" xfId="50388"/>
    <cellStyle name="Обычный 9 2 5 3 2 2 3" xfId="50389"/>
    <cellStyle name="Обычный 9 2 5 3 2 2 3 2" xfId="50390"/>
    <cellStyle name="Обычный 9 2 5 3 2 2 3 3" xfId="50391"/>
    <cellStyle name="Обычный 9 2 5 3 2 2 4" xfId="50392"/>
    <cellStyle name="Обычный 9 2 5 3 2 2 4 2" xfId="50393"/>
    <cellStyle name="Обычный 9 2 5 3 2 2 5" xfId="50394"/>
    <cellStyle name="Обычный 9 2 5 3 2 2 6" xfId="50395"/>
    <cellStyle name="Обычный 9 2 5 3 2 3" xfId="50396"/>
    <cellStyle name="Обычный 9 2 5 3 2 3 2" xfId="50397"/>
    <cellStyle name="Обычный 9 2 5 3 2 3 3" xfId="50398"/>
    <cellStyle name="Обычный 9 2 5 3 2 4" xfId="50399"/>
    <cellStyle name="Обычный 9 2 5 3 2 4 2" xfId="50400"/>
    <cellStyle name="Обычный 9 2 5 3 2 4 3" xfId="50401"/>
    <cellStyle name="Обычный 9 2 5 3 2 5" xfId="50402"/>
    <cellStyle name="Обычный 9 2 5 3 2 5 2" xfId="50403"/>
    <cellStyle name="Обычный 9 2 5 3 2 6" xfId="50404"/>
    <cellStyle name="Обычный 9 2 5 3 2 7" xfId="50405"/>
    <cellStyle name="Обычный 9 2 5 3 3" xfId="50406"/>
    <cellStyle name="Обычный 9 2 5 3 3 2" xfId="50407"/>
    <cellStyle name="Обычный 9 2 5 3 3 2 2" xfId="50408"/>
    <cellStyle name="Обычный 9 2 5 3 3 2 3" xfId="50409"/>
    <cellStyle name="Обычный 9 2 5 3 3 3" xfId="50410"/>
    <cellStyle name="Обычный 9 2 5 3 3 3 2" xfId="50411"/>
    <cellStyle name="Обычный 9 2 5 3 3 3 3" xfId="50412"/>
    <cellStyle name="Обычный 9 2 5 3 3 4" xfId="50413"/>
    <cellStyle name="Обычный 9 2 5 3 3 4 2" xfId="50414"/>
    <cellStyle name="Обычный 9 2 5 3 3 5" xfId="50415"/>
    <cellStyle name="Обычный 9 2 5 3 3 6" xfId="50416"/>
    <cellStyle name="Обычный 9 2 5 3 4" xfId="50417"/>
    <cellStyle name="Обычный 9 2 5 3 4 2" xfId="50418"/>
    <cellStyle name="Обычный 9 2 5 3 4 3" xfId="50419"/>
    <cellStyle name="Обычный 9 2 5 3 5" xfId="50420"/>
    <cellStyle name="Обычный 9 2 5 3 5 2" xfId="50421"/>
    <cellStyle name="Обычный 9 2 5 3 5 3" xfId="50422"/>
    <cellStyle name="Обычный 9 2 5 3 6" xfId="50423"/>
    <cellStyle name="Обычный 9 2 5 3 6 2" xfId="50424"/>
    <cellStyle name="Обычный 9 2 5 3 7" xfId="50425"/>
    <cellStyle name="Обычный 9 2 5 3 8" xfId="50426"/>
    <cellStyle name="Обычный 9 2 5 4" xfId="50427"/>
    <cellStyle name="Обычный 9 2 5 4 2" xfId="50428"/>
    <cellStyle name="Обычный 9 2 5 4 2 2" xfId="50429"/>
    <cellStyle name="Обычный 9 2 5 4 2 2 2" xfId="50430"/>
    <cellStyle name="Обычный 9 2 5 4 2 2 3" xfId="50431"/>
    <cellStyle name="Обычный 9 2 5 4 2 3" xfId="50432"/>
    <cellStyle name="Обычный 9 2 5 4 2 3 2" xfId="50433"/>
    <cellStyle name="Обычный 9 2 5 4 2 3 3" xfId="50434"/>
    <cellStyle name="Обычный 9 2 5 4 2 4" xfId="50435"/>
    <cellStyle name="Обычный 9 2 5 4 2 4 2" xfId="50436"/>
    <cellStyle name="Обычный 9 2 5 4 2 5" xfId="50437"/>
    <cellStyle name="Обычный 9 2 5 4 2 6" xfId="50438"/>
    <cellStyle name="Обычный 9 2 5 4 3" xfId="50439"/>
    <cellStyle name="Обычный 9 2 5 4 3 2" xfId="50440"/>
    <cellStyle name="Обычный 9 2 5 4 3 3" xfId="50441"/>
    <cellStyle name="Обычный 9 2 5 4 4" xfId="50442"/>
    <cellStyle name="Обычный 9 2 5 4 4 2" xfId="50443"/>
    <cellStyle name="Обычный 9 2 5 4 4 3" xfId="50444"/>
    <cellStyle name="Обычный 9 2 5 4 5" xfId="50445"/>
    <cellStyle name="Обычный 9 2 5 4 5 2" xfId="50446"/>
    <cellStyle name="Обычный 9 2 5 4 6" xfId="50447"/>
    <cellStyle name="Обычный 9 2 5 4 7" xfId="50448"/>
    <cellStyle name="Обычный 9 2 5 5" xfId="50449"/>
    <cellStyle name="Обычный 9 2 5 5 2" xfId="50450"/>
    <cellStyle name="Обычный 9 2 5 5 2 2" xfId="50451"/>
    <cellStyle name="Обычный 9 2 5 5 2 3" xfId="50452"/>
    <cellStyle name="Обычный 9 2 5 5 3" xfId="50453"/>
    <cellStyle name="Обычный 9 2 5 5 3 2" xfId="50454"/>
    <cellStyle name="Обычный 9 2 5 5 3 3" xfId="50455"/>
    <cellStyle name="Обычный 9 2 5 5 4" xfId="50456"/>
    <cellStyle name="Обычный 9 2 5 5 4 2" xfId="50457"/>
    <cellStyle name="Обычный 9 2 5 5 5" xfId="50458"/>
    <cellStyle name="Обычный 9 2 5 5 6" xfId="50459"/>
    <cellStyle name="Обычный 9 2 5 6" xfId="50460"/>
    <cellStyle name="Обычный 9 2 5 6 2" xfId="50461"/>
    <cellStyle name="Обычный 9 2 5 6 3" xfId="50462"/>
    <cellStyle name="Обычный 9 2 5 7" xfId="50463"/>
    <cellStyle name="Обычный 9 2 5 7 2" xfId="50464"/>
    <cellStyle name="Обычный 9 2 5 7 3" xfId="50465"/>
    <cellStyle name="Обычный 9 2 5 8" xfId="50466"/>
    <cellStyle name="Обычный 9 2 5 8 2" xfId="50467"/>
    <cellStyle name="Обычный 9 2 5 9" xfId="50468"/>
    <cellStyle name="Обычный 9 2 6" xfId="50469"/>
    <cellStyle name="Обычный 9 2 6 2" xfId="50470"/>
    <cellStyle name="Обычный 9 2 6 2 2" xfId="50471"/>
    <cellStyle name="Обычный 9 2 6 2 2 2" xfId="50472"/>
    <cellStyle name="Обычный 9 2 6 2 2 2 2" xfId="50473"/>
    <cellStyle name="Обычный 9 2 6 2 2 2 2 2" xfId="50474"/>
    <cellStyle name="Обычный 9 2 6 2 2 2 2 3" xfId="50475"/>
    <cellStyle name="Обычный 9 2 6 2 2 2 3" xfId="50476"/>
    <cellStyle name="Обычный 9 2 6 2 2 2 3 2" xfId="50477"/>
    <cellStyle name="Обычный 9 2 6 2 2 2 3 3" xfId="50478"/>
    <cellStyle name="Обычный 9 2 6 2 2 2 4" xfId="50479"/>
    <cellStyle name="Обычный 9 2 6 2 2 2 4 2" xfId="50480"/>
    <cellStyle name="Обычный 9 2 6 2 2 2 5" xfId="50481"/>
    <cellStyle name="Обычный 9 2 6 2 2 2 6" xfId="50482"/>
    <cellStyle name="Обычный 9 2 6 2 2 3" xfId="50483"/>
    <cellStyle name="Обычный 9 2 6 2 2 3 2" xfId="50484"/>
    <cellStyle name="Обычный 9 2 6 2 2 3 3" xfId="50485"/>
    <cellStyle name="Обычный 9 2 6 2 2 4" xfId="50486"/>
    <cellStyle name="Обычный 9 2 6 2 2 4 2" xfId="50487"/>
    <cellStyle name="Обычный 9 2 6 2 2 4 3" xfId="50488"/>
    <cellStyle name="Обычный 9 2 6 2 2 5" xfId="50489"/>
    <cellStyle name="Обычный 9 2 6 2 2 5 2" xfId="50490"/>
    <cellStyle name="Обычный 9 2 6 2 2 6" xfId="50491"/>
    <cellStyle name="Обычный 9 2 6 2 2 7" xfId="50492"/>
    <cellStyle name="Обычный 9 2 6 2 3" xfId="50493"/>
    <cellStyle name="Обычный 9 2 6 2 3 2" xfId="50494"/>
    <cellStyle name="Обычный 9 2 6 2 3 2 2" xfId="50495"/>
    <cellStyle name="Обычный 9 2 6 2 3 2 3" xfId="50496"/>
    <cellStyle name="Обычный 9 2 6 2 3 3" xfId="50497"/>
    <cellStyle name="Обычный 9 2 6 2 3 3 2" xfId="50498"/>
    <cellStyle name="Обычный 9 2 6 2 3 3 3" xfId="50499"/>
    <cellStyle name="Обычный 9 2 6 2 3 4" xfId="50500"/>
    <cellStyle name="Обычный 9 2 6 2 3 4 2" xfId="50501"/>
    <cellStyle name="Обычный 9 2 6 2 3 5" xfId="50502"/>
    <cellStyle name="Обычный 9 2 6 2 3 6" xfId="50503"/>
    <cellStyle name="Обычный 9 2 6 2 4" xfId="50504"/>
    <cellStyle name="Обычный 9 2 6 2 4 2" xfId="50505"/>
    <cellStyle name="Обычный 9 2 6 2 4 3" xfId="50506"/>
    <cellStyle name="Обычный 9 2 6 2 5" xfId="50507"/>
    <cellStyle name="Обычный 9 2 6 2 5 2" xfId="50508"/>
    <cellStyle name="Обычный 9 2 6 2 5 3" xfId="50509"/>
    <cellStyle name="Обычный 9 2 6 2 6" xfId="50510"/>
    <cellStyle name="Обычный 9 2 6 2 6 2" xfId="50511"/>
    <cellStyle name="Обычный 9 2 6 2 7" xfId="50512"/>
    <cellStyle name="Обычный 9 2 6 2 8" xfId="50513"/>
    <cellStyle name="Обычный 9 2 6 3" xfId="50514"/>
    <cellStyle name="Обычный 9 2 6 3 2" xfId="50515"/>
    <cellStyle name="Обычный 9 2 6 3 2 2" xfId="50516"/>
    <cellStyle name="Обычный 9 2 6 3 2 2 2" xfId="50517"/>
    <cellStyle name="Обычный 9 2 6 3 2 2 3" xfId="50518"/>
    <cellStyle name="Обычный 9 2 6 3 2 3" xfId="50519"/>
    <cellStyle name="Обычный 9 2 6 3 2 3 2" xfId="50520"/>
    <cellStyle name="Обычный 9 2 6 3 2 3 3" xfId="50521"/>
    <cellStyle name="Обычный 9 2 6 3 2 4" xfId="50522"/>
    <cellStyle name="Обычный 9 2 6 3 2 4 2" xfId="50523"/>
    <cellStyle name="Обычный 9 2 6 3 2 5" xfId="50524"/>
    <cellStyle name="Обычный 9 2 6 3 2 6" xfId="50525"/>
    <cellStyle name="Обычный 9 2 6 3 3" xfId="50526"/>
    <cellStyle name="Обычный 9 2 6 3 3 2" xfId="50527"/>
    <cellStyle name="Обычный 9 2 6 3 3 3" xfId="50528"/>
    <cellStyle name="Обычный 9 2 6 3 4" xfId="50529"/>
    <cellStyle name="Обычный 9 2 6 3 4 2" xfId="50530"/>
    <cellStyle name="Обычный 9 2 6 3 4 3" xfId="50531"/>
    <cellStyle name="Обычный 9 2 6 3 5" xfId="50532"/>
    <cellStyle name="Обычный 9 2 6 3 5 2" xfId="50533"/>
    <cellStyle name="Обычный 9 2 6 3 6" xfId="50534"/>
    <cellStyle name="Обычный 9 2 6 3 7" xfId="50535"/>
    <cellStyle name="Обычный 9 2 6 4" xfId="50536"/>
    <cellStyle name="Обычный 9 2 6 4 2" xfId="50537"/>
    <cellStyle name="Обычный 9 2 6 4 2 2" xfId="50538"/>
    <cellStyle name="Обычный 9 2 6 4 2 3" xfId="50539"/>
    <cellStyle name="Обычный 9 2 6 4 3" xfId="50540"/>
    <cellStyle name="Обычный 9 2 6 4 3 2" xfId="50541"/>
    <cellStyle name="Обычный 9 2 6 4 3 3" xfId="50542"/>
    <cellStyle name="Обычный 9 2 6 4 4" xfId="50543"/>
    <cellStyle name="Обычный 9 2 6 4 4 2" xfId="50544"/>
    <cellStyle name="Обычный 9 2 6 4 5" xfId="50545"/>
    <cellStyle name="Обычный 9 2 6 4 6" xfId="50546"/>
    <cellStyle name="Обычный 9 2 6 5" xfId="50547"/>
    <cellStyle name="Обычный 9 2 6 5 2" xfId="50548"/>
    <cellStyle name="Обычный 9 2 6 5 3" xfId="50549"/>
    <cellStyle name="Обычный 9 2 6 6" xfId="50550"/>
    <cellStyle name="Обычный 9 2 6 6 2" xfId="50551"/>
    <cellStyle name="Обычный 9 2 6 6 3" xfId="50552"/>
    <cellStyle name="Обычный 9 2 6 7" xfId="50553"/>
    <cellStyle name="Обычный 9 2 6 7 2" xfId="50554"/>
    <cellStyle name="Обычный 9 2 6 8" xfId="50555"/>
    <cellStyle name="Обычный 9 2 6 9" xfId="50556"/>
    <cellStyle name="Обычный 9 2 7" xfId="50557"/>
    <cellStyle name="Обычный 9 2 7 2" xfId="50558"/>
    <cellStyle name="Обычный 9 2 7 2 2" xfId="50559"/>
    <cellStyle name="Обычный 9 2 7 2 2 2" xfId="50560"/>
    <cellStyle name="Обычный 9 2 7 2 2 2 2" xfId="50561"/>
    <cellStyle name="Обычный 9 2 7 2 2 2 3" xfId="50562"/>
    <cellStyle name="Обычный 9 2 7 2 2 3" xfId="50563"/>
    <cellStyle name="Обычный 9 2 7 2 2 3 2" xfId="50564"/>
    <cellStyle name="Обычный 9 2 7 2 2 3 3" xfId="50565"/>
    <cellStyle name="Обычный 9 2 7 2 2 4" xfId="50566"/>
    <cellStyle name="Обычный 9 2 7 2 2 4 2" xfId="50567"/>
    <cellStyle name="Обычный 9 2 7 2 2 5" xfId="50568"/>
    <cellStyle name="Обычный 9 2 7 2 2 6" xfId="50569"/>
    <cellStyle name="Обычный 9 2 7 2 3" xfId="50570"/>
    <cellStyle name="Обычный 9 2 7 2 3 2" xfId="50571"/>
    <cellStyle name="Обычный 9 2 7 2 3 3" xfId="50572"/>
    <cellStyle name="Обычный 9 2 7 2 4" xfId="50573"/>
    <cellStyle name="Обычный 9 2 7 2 4 2" xfId="50574"/>
    <cellStyle name="Обычный 9 2 7 2 4 3" xfId="50575"/>
    <cellStyle name="Обычный 9 2 7 2 5" xfId="50576"/>
    <cellStyle name="Обычный 9 2 7 2 5 2" xfId="50577"/>
    <cellStyle name="Обычный 9 2 7 2 6" xfId="50578"/>
    <cellStyle name="Обычный 9 2 7 2 7" xfId="50579"/>
    <cellStyle name="Обычный 9 2 7 3" xfId="50580"/>
    <cellStyle name="Обычный 9 2 7 3 2" xfId="50581"/>
    <cellStyle name="Обычный 9 2 7 3 2 2" xfId="50582"/>
    <cellStyle name="Обычный 9 2 7 3 2 3" xfId="50583"/>
    <cellStyle name="Обычный 9 2 7 3 3" xfId="50584"/>
    <cellStyle name="Обычный 9 2 7 3 3 2" xfId="50585"/>
    <cellStyle name="Обычный 9 2 7 3 3 3" xfId="50586"/>
    <cellStyle name="Обычный 9 2 7 3 4" xfId="50587"/>
    <cellStyle name="Обычный 9 2 7 3 4 2" xfId="50588"/>
    <cellStyle name="Обычный 9 2 7 3 5" xfId="50589"/>
    <cellStyle name="Обычный 9 2 7 3 6" xfId="50590"/>
    <cellStyle name="Обычный 9 2 7 4" xfId="50591"/>
    <cellStyle name="Обычный 9 2 7 4 2" xfId="50592"/>
    <cellStyle name="Обычный 9 2 7 4 3" xfId="50593"/>
    <cellStyle name="Обычный 9 2 7 5" xfId="50594"/>
    <cellStyle name="Обычный 9 2 7 5 2" xfId="50595"/>
    <cellStyle name="Обычный 9 2 7 5 3" xfId="50596"/>
    <cellStyle name="Обычный 9 2 7 6" xfId="50597"/>
    <cellStyle name="Обычный 9 2 7 6 2" xfId="50598"/>
    <cellStyle name="Обычный 9 2 7 7" xfId="50599"/>
    <cellStyle name="Обычный 9 2 7 8" xfId="50600"/>
    <cellStyle name="Обычный 9 2 8" xfId="50601"/>
    <cellStyle name="Обычный 9 2 8 2" xfId="50602"/>
    <cellStyle name="Обычный 9 2 8 2 2" xfId="50603"/>
    <cellStyle name="Обычный 9 2 8 2 2 2" xfId="50604"/>
    <cellStyle name="Обычный 9 2 8 2 2 3" xfId="50605"/>
    <cellStyle name="Обычный 9 2 8 2 3" xfId="50606"/>
    <cellStyle name="Обычный 9 2 8 2 3 2" xfId="50607"/>
    <cellStyle name="Обычный 9 2 8 2 3 3" xfId="50608"/>
    <cellStyle name="Обычный 9 2 8 2 4" xfId="50609"/>
    <cellStyle name="Обычный 9 2 8 2 4 2" xfId="50610"/>
    <cellStyle name="Обычный 9 2 8 2 5" xfId="50611"/>
    <cellStyle name="Обычный 9 2 8 2 6" xfId="50612"/>
    <cellStyle name="Обычный 9 2 8 3" xfId="50613"/>
    <cellStyle name="Обычный 9 2 8 3 2" xfId="50614"/>
    <cellStyle name="Обычный 9 2 8 3 3" xfId="50615"/>
    <cellStyle name="Обычный 9 2 8 4" xfId="50616"/>
    <cellStyle name="Обычный 9 2 8 4 2" xfId="50617"/>
    <cellStyle name="Обычный 9 2 8 4 3" xfId="50618"/>
    <cellStyle name="Обычный 9 2 8 5" xfId="50619"/>
    <cellStyle name="Обычный 9 2 8 5 2" xfId="50620"/>
    <cellStyle name="Обычный 9 2 8 6" xfId="50621"/>
    <cellStyle name="Обычный 9 2 8 7" xfId="50622"/>
    <cellStyle name="Обычный 9 2 9" xfId="50623"/>
    <cellStyle name="Обычный 9 2 9 2" xfId="50624"/>
    <cellStyle name="Обычный 9 2 9 2 2" xfId="50625"/>
    <cellStyle name="Обычный 9 2 9 2 3" xfId="50626"/>
    <cellStyle name="Обычный 9 2 9 3" xfId="50627"/>
    <cellStyle name="Обычный 9 2 9 3 2" xfId="50628"/>
    <cellStyle name="Обычный 9 2 9 3 3" xfId="50629"/>
    <cellStyle name="Обычный 9 2 9 4" xfId="50630"/>
    <cellStyle name="Обычный 9 2 9 4 2" xfId="50631"/>
    <cellStyle name="Обычный 9 2 9 5" xfId="50632"/>
    <cellStyle name="Обычный 9 2 9 6" xfId="50633"/>
    <cellStyle name="Обычный 9 20" xfId="50634"/>
    <cellStyle name="Обычный 9 21" xfId="50635"/>
    <cellStyle name="Обычный 9 3" xfId="50636"/>
    <cellStyle name="Обычный 9 3 10" xfId="50637"/>
    <cellStyle name="Обычный 9 3 10 2" xfId="50638"/>
    <cellStyle name="Обычный 9 3 10 3" xfId="50639"/>
    <cellStyle name="Обычный 9 3 11" xfId="50640"/>
    <cellStyle name="Обычный 9 3 11 2" xfId="50641"/>
    <cellStyle name="Обычный 9 3 11 3" xfId="50642"/>
    <cellStyle name="Обычный 9 3 12" xfId="50643"/>
    <cellStyle name="Обычный 9 3 12 2" xfId="50644"/>
    <cellStyle name="Обычный 9 3 13" xfId="50645"/>
    <cellStyle name="Обычный 9 3 14" xfId="50646"/>
    <cellStyle name="Обычный 9 3 2" xfId="50647"/>
    <cellStyle name="Обычный 9 3 2 10" xfId="50648"/>
    <cellStyle name="Обычный 9 3 2 10 2" xfId="50649"/>
    <cellStyle name="Обычный 9 3 2 10 3" xfId="50650"/>
    <cellStyle name="Обычный 9 3 2 11" xfId="50651"/>
    <cellStyle name="Обычный 9 3 2 11 2" xfId="50652"/>
    <cellStyle name="Обычный 9 3 2 12" xfId="50653"/>
    <cellStyle name="Обычный 9 3 2 13" xfId="50654"/>
    <cellStyle name="Обычный 9 3 2 2" xfId="50655"/>
    <cellStyle name="Обычный 9 3 2 2 10" xfId="50656"/>
    <cellStyle name="Обычный 9 3 2 2 2" xfId="50657"/>
    <cellStyle name="Обычный 9 3 2 2 2 2" xfId="50658"/>
    <cellStyle name="Обычный 9 3 2 2 2 2 2" xfId="50659"/>
    <cellStyle name="Обычный 9 3 2 2 2 2 2 2" xfId="50660"/>
    <cellStyle name="Обычный 9 3 2 2 2 2 2 2 2" xfId="50661"/>
    <cellStyle name="Обычный 9 3 2 2 2 2 2 2 2 2" xfId="50662"/>
    <cellStyle name="Обычный 9 3 2 2 2 2 2 2 2 3" xfId="50663"/>
    <cellStyle name="Обычный 9 3 2 2 2 2 2 2 3" xfId="50664"/>
    <cellStyle name="Обычный 9 3 2 2 2 2 2 2 3 2" xfId="50665"/>
    <cellStyle name="Обычный 9 3 2 2 2 2 2 2 3 3" xfId="50666"/>
    <cellStyle name="Обычный 9 3 2 2 2 2 2 2 4" xfId="50667"/>
    <cellStyle name="Обычный 9 3 2 2 2 2 2 2 4 2" xfId="50668"/>
    <cellStyle name="Обычный 9 3 2 2 2 2 2 2 5" xfId="50669"/>
    <cellStyle name="Обычный 9 3 2 2 2 2 2 2 6" xfId="50670"/>
    <cellStyle name="Обычный 9 3 2 2 2 2 2 3" xfId="50671"/>
    <cellStyle name="Обычный 9 3 2 2 2 2 2 3 2" xfId="50672"/>
    <cellStyle name="Обычный 9 3 2 2 2 2 2 3 3" xfId="50673"/>
    <cellStyle name="Обычный 9 3 2 2 2 2 2 4" xfId="50674"/>
    <cellStyle name="Обычный 9 3 2 2 2 2 2 4 2" xfId="50675"/>
    <cellStyle name="Обычный 9 3 2 2 2 2 2 4 3" xfId="50676"/>
    <cellStyle name="Обычный 9 3 2 2 2 2 2 5" xfId="50677"/>
    <cellStyle name="Обычный 9 3 2 2 2 2 2 5 2" xfId="50678"/>
    <cellStyle name="Обычный 9 3 2 2 2 2 2 6" xfId="50679"/>
    <cellStyle name="Обычный 9 3 2 2 2 2 2 7" xfId="50680"/>
    <cellStyle name="Обычный 9 3 2 2 2 2 3" xfId="50681"/>
    <cellStyle name="Обычный 9 3 2 2 2 2 3 2" xfId="50682"/>
    <cellStyle name="Обычный 9 3 2 2 2 2 3 2 2" xfId="50683"/>
    <cellStyle name="Обычный 9 3 2 2 2 2 3 2 3" xfId="50684"/>
    <cellStyle name="Обычный 9 3 2 2 2 2 3 3" xfId="50685"/>
    <cellStyle name="Обычный 9 3 2 2 2 2 3 3 2" xfId="50686"/>
    <cellStyle name="Обычный 9 3 2 2 2 2 3 3 3" xfId="50687"/>
    <cellStyle name="Обычный 9 3 2 2 2 2 3 4" xfId="50688"/>
    <cellStyle name="Обычный 9 3 2 2 2 2 3 4 2" xfId="50689"/>
    <cellStyle name="Обычный 9 3 2 2 2 2 3 5" xfId="50690"/>
    <cellStyle name="Обычный 9 3 2 2 2 2 3 6" xfId="50691"/>
    <cellStyle name="Обычный 9 3 2 2 2 2 4" xfId="50692"/>
    <cellStyle name="Обычный 9 3 2 2 2 2 4 2" xfId="50693"/>
    <cellStyle name="Обычный 9 3 2 2 2 2 4 3" xfId="50694"/>
    <cellStyle name="Обычный 9 3 2 2 2 2 5" xfId="50695"/>
    <cellStyle name="Обычный 9 3 2 2 2 2 5 2" xfId="50696"/>
    <cellStyle name="Обычный 9 3 2 2 2 2 5 3" xfId="50697"/>
    <cellStyle name="Обычный 9 3 2 2 2 2 6" xfId="50698"/>
    <cellStyle name="Обычный 9 3 2 2 2 2 6 2" xfId="50699"/>
    <cellStyle name="Обычный 9 3 2 2 2 2 7" xfId="50700"/>
    <cellStyle name="Обычный 9 3 2 2 2 2 8" xfId="50701"/>
    <cellStyle name="Обычный 9 3 2 2 2 3" xfId="50702"/>
    <cellStyle name="Обычный 9 3 2 2 2 3 2" xfId="50703"/>
    <cellStyle name="Обычный 9 3 2 2 2 3 2 2" xfId="50704"/>
    <cellStyle name="Обычный 9 3 2 2 2 3 2 2 2" xfId="50705"/>
    <cellStyle name="Обычный 9 3 2 2 2 3 2 2 3" xfId="50706"/>
    <cellStyle name="Обычный 9 3 2 2 2 3 2 3" xfId="50707"/>
    <cellStyle name="Обычный 9 3 2 2 2 3 2 3 2" xfId="50708"/>
    <cellStyle name="Обычный 9 3 2 2 2 3 2 3 3" xfId="50709"/>
    <cellStyle name="Обычный 9 3 2 2 2 3 2 4" xfId="50710"/>
    <cellStyle name="Обычный 9 3 2 2 2 3 2 4 2" xfId="50711"/>
    <cellStyle name="Обычный 9 3 2 2 2 3 2 5" xfId="50712"/>
    <cellStyle name="Обычный 9 3 2 2 2 3 2 6" xfId="50713"/>
    <cellStyle name="Обычный 9 3 2 2 2 3 3" xfId="50714"/>
    <cellStyle name="Обычный 9 3 2 2 2 3 3 2" xfId="50715"/>
    <cellStyle name="Обычный 9 3 2 2 2 3 3 3" xfId="50716"/>
    <cellStyle name="Обычный 9 3 2 2 2 3 4" xfId="50717"/>
    <cellStyle name="Обычный 9 3 2 2 2 3 4 2" xfId="50718"/>
    <cellStyle name="Обычный 9 3 2 2 2 3 4 3" xfId="50719"/>
    <cellStyle name="Обычный 9 3 2 2 2 3 5" xfId="50720"/>
    <cellStyle name="Обычный 9 3 2 2 2 3 5 2" xfId="50721"/>
    <cellStyle name="Обычный 9 3 2 2 2 3 6" xfId="50722"/>
    <cellStyle name="Обычный 9 3 2 2 2 3 7" xfId="50723"/>
    <cellStyle name="Обычный 9 3 2 2 2 4" xfId="50724"/>
    <cellStyle name="Обычный 9 3 2 2 2 4 2" xfId="50725"/>
    <cellStyle name="Обычный 9 3 2 2 2 4 2 2" xfId="50726"/>
    <cellStyle name="Обычный 9 3 2 2 2 4 2 3" xfId="50727"/>
    <cellStyle name="Обычный 9 3 2 2 2 4 3" xfId="50728"/>
    <cellStyle name="Обычный 9 3 2 2 2 4 3 2" xfId="50729"/>
    <cellStyle name="Обычный 9 3 2 2 2 4 3 3" xfId="50730"/>
    <cellStyle name="Обычный 9 3 2 2 2 4 4" xfId="50731"/>
    <cellStyle name="Обычный 9 3 2 2 2 4 4 2" xfId="50732"/>
    <cellStyle name="Обычный 9 3 2 2 2 4 5" xfId="50733"/>
    <cellStyle name="Обычный 9 3 2 2 2 4 6" xfId="50734"/>
    <cellStyle name="Обычный 9 3 2 2 2 5" xfId="50735"/>
    <cellStyle name="Обычный 9 3 2 2 2 5 2" xfId="50736"/>
    <cellStyle name="Обычный 9 3 2 2 2 5 3" xfId="50737"/>
    <cellStyle name="Обычный 9 3 2 2 2 6" xfId="50738"/>
    <cellStyle name="Обычный 9 3 2 2 2 6 2" xfId="50739"/>
    <cellStyle name="Обычный 9 3 2 2 2 6 3" xfId="50740"/>
    <cellStyle name="Обычный 9 3 2 2 2 7" xfId="50741"/>
    <cellStyle name="Обычный 9 3 2 2 2 7 2" xfId="50742"/>
    <cellStyle name="Обычный 9 3 2 2 2 8" xfId="50743"/>
    <cellStyle name="Обычный 9 3 2 2 2 9" xfId="50744"/>
    <cellStyle name="Обычный 9 3 2 2 3" xfId="50745"/>
    <cellStyle name="Обычный 9 3 2 2 3 2" xfId="50746"/>
    <cellStyle name="Обычный 9 3 2 2 3 2 2" xfId="50747"/>
    <cellStyle name="Обычный 9 3 2 2 3 2 2 2" xfId="50748"/>
    <cellStyle name="Обычный 9 3 2 2 3 2 2 2 2" xfId="50749"/>
    <cellStyle name="Обычный 9 3 2 2 3 2 2 2 3" xfId="50750"/>
    <cellStyle name="Обычный 9 3 2 2 3 2 2 3" xfId="50751"/>
    <cellStyle name="Обычный 9 3 2 2 3 2 2 3 2" xfId="50752"/>
    <cellStyle name="Обычный 9 3 2 2 3 2 2 3 3" xfId="50753"/>
    <cellStyle name="Обычный 9 3 2 2 3 2 2 4" xfId="50754"/>
    <cellStyle name="Обычный 9 3 2 2 3 2 2 4 2" xfId="50755"/>
    <cellStyle name="Обычный 9 3 2 2 3 2 2 5" xfId="50756"/>
    <cellStyle name="Обычный 9 3 2 2 3 2 2 6" xfId="50757"/>
    <cellStyle name="Обычный 9 3 2 2 3 2 3" xfId="50758"/>
    <cellStyle name="Обычный 9 3 2 2 3 2 3 2" xfId="50759"/>
    <cellStyle name="Обычный 9 3 2 2 3 2 3 3" xfId="50760"/>
    <cellStyle name="Обычный 9 3 2 2 3 2 4" xfId="50761"/>
    <cellStyle name="Обычный 9 3 2 2 3 2 4 2" xfId="50762"/>
    <cellStyle name="Обычный 9 3 2 2 3 2 4 3" xfId="50763"/>
    <cellStyle name="Обычный 9 3 2 2 3 2 5" xfId="50764"/>
    <cellStyle name="Обычный 9 3 2 2 3 2 5 2" xfId="50765"/>
    <cellStyle name="Обычный 9 3 2 2 3 2 6" xfId="50766"/>
    <cellStyle name="Обычный 9 3 2 2 3 2 7" xfId="50767"/>
    <cellStyle name="Обычный 9 3 2 2 3 3" xfId="50768"/>
    <cellStyle name="Обычный 9 3 2 2 3 3 2" xfId="50769"/>
    <cellStyle name="Обычный 9 3 2 2 3 3 2 2" xfId="50770"/>
    <cellStyle name="Обычный 9 3 2 2 3 3 2 3" xfId="50771"/>
    <cellStyle name="Обычный 9 3 2 2 3 3 3" xfId="50772"/>
    <cellStyle name="Обычный 9 3 2 2 3 3 3 2" xfId="50773"/>
    <cellStyle name="Обычный 9 3 2 2 3 3 3 3" xfId="50774"/>
    <cellStyle name="Обычный 9 3 2 2 3 3 4" xfId="50775"/>
    <cellStyle name="Обычный 9 3 2 2 3 3 4 2" xfId="50776"/>
    <cellStyle name="Обычный 9 3 2 2 3 3 5" xfId="50777"/>
    <cellStyle name="Обычный 9 3 2 2 3 3 6" xfId="50778"/>
    <cellStyle name="Обычный 9 3 2 2 3 4" xfId="50779"/>
    <cellStyle name="Обычный 9 3 2 2 3 4 2" xfId="50780"/>
    <cellStyle name="Обычный 9 3 2 2 3 4 3" xfId="50781"/>
    <cellStyle name="Обычный 9 3 2 2 3 5" xfId="50782"/>
    <cellStyle name="Обычный 9 3 2 2 3 5 2" xfId="50783"/>
    <cellStyle name="Обычный 9 3 2 2 3 5 3" xfId="50784"/>
    <cellStyle name="Обычный 9 3 2 2 3 6" xfId="50785"/>
    <cellStyle name="Обычный 9 3 2 2 3 6 2" xfId="50786"/>
    <cellStyle name="Обычный 9 3 2 2 3 7" xfId="50787"/>
    <cellStyle name="Обычный 9 3 2 2 3 8" xfId="50788"/>
    <cellStyle name="Обычный 9 3 2 2 4" xfId="50789"/>
    <cellStyle name="Обычный 9 3 2 2 4 2" xfId="50790"/>
    <cellStyle name="Обычный 9 3 2 2 4 2 2" xfId="50791"/>
    <cellStyle name="Обычный 9 3 2 2 4 2 2 2" xfId="50792"/>
    <cellStyle name="Обычный 9 3 2 2 4 2 2 3" xfId="50793"/>
    <cellStyle name="Обычный 9 3 2 2 4 2 3" xfId="50794"/>
    <cellStyle name="Обычный 9 3 2 2 4 2 3 2" xfId="50795"/>
    <cellStyle name="Обычный 9 3 2 2 4 2 3 3" xfId="50796"/>
    <cellStyle name="Обычный 9 3 2 2 4 2 4" xfId="50797"/>
    <cellStyle name="Обычный 9 3 2 2 4 2 4 2" xfId="50798"/>
    <cellStyle name="Обычный 9 3 2 2 4 2 5" xfId="50799"/>
    <cellStyle name="Обычный 9 3 2 2 4 2 6" xfId="50800"/>
    <cellStyle name="Обычный 9 3 2 2 4 3" xfId="50801"/>
    <cellStyle name="Обычный 9 3 2 2 4 3 2" xfId="50802"/>
    <cellStyle name="Обычный 9 3 2 2 4 3 3" xfId="50803"/>
    <cellStyle name="Обычный 9 3 2 2 4 4" xfId="50804"/>
    <cellStyle name="Обычный 9 3 2 2 4 4 2" xfId="50805"/>
    <cellStyle name="Обычный 9 3 2 2 4 4 3" xfId="50806"/>
    <cellStyle name="Обычный 9 3 2 2 4 5" xfId="50807"/>
    <cellStyle name="Обычный 9 3 2 2 4 5 2" xfId="50808"/>
    <cellStyle name="Обычный 9 3 2 2 4 6" xfId="50809"/>
    <cellStyle name="Обычный 9 3 2 2 4 7" xfId="50810"/>
    <cellStyle name="Обычный 9 3 2 2 5" xfId="50811"/>
    <cellStyle name="Обычный 9 3 2 2 5 2" xfId="50812"/>
    <cellStyle name="Обычный 9 3 2 2 5 2 2" xfId="50813"/>
    <cellStyle name="Обычный 9 3 2 2 5 2 3" xfId="50814"/>
    <cellStyle name="Обычный 9 3 2 2 5 3" xfId="50815"/>
    <cellStyle name="Обычный 9 3 2 2 5 3 2" xfId="50816"/>
    <cellStyle name="Обычный 9 3 2 2 5 3 3" xfId="50817"/>
    <cellStyle name="Обычный 9 3 2 2 5 4" xfId="50818"/>
    <cellStyle name="Обычный 9 3 2 2 5 4 2" xfId="50819"/>
    <cellStyle name="Обычный 9 3 2 2 5 5" xfId="50820"/>
    <cellStyle name="Обычный 9 3 2 2 5 6" xfId="50821"/>
    <cellStyle name="Обычный 9 3 2 2 6" xfId="50822"/>
    <cellStyle name="Обычный 9 3 2 2 6 2" xfId="50823"/>
    <cellStyle name="Обычный 9 3 2 2 6 3" xfId="50824"/>
    <cellStyle name="Обычный 9 3 2 2 7" xfId="50825"/>
    <cellStyle name="Обычный 9 3 2 2 7 2" xfId="50826"/>
    <cellStyle name="Обычный 9 3 2 2 7 3" xfId="50827"/>
    <cellStyle name="Обычный 9 3 2 2 8" xfId="50828"/>
    <cellStyle name="Обычный 9 3 2 2 8 2" xfId="50829"/>
    <cellStyle name="Обычный 9 3 2 2 9" xfId="50830"/>
    <cellStyle name="Обычный 9 3 2 3" xfId="50831"/>
    <cellStyle name="Обычный 9 3 2 3 10" xfId="50832"/>
    <cellStyle name="Обычный 9 3 2 3 2" xfId="50833"/>
    <cellStyle name="Обычный 9 3 2 3 2 2" xfId="50834"/>
    <cellStyle name="Обычный 9 3 2 3 2 2 2" xfId="50835"/>
    <cellStyle name="Обычный 9 3 2 3 2 2 2 2" xfId="50836"/>
    <cellStyle name="Обычный 9 3 2 3 2 2 2 2 2" xfId="50837"/>
    <cellStyle name="Обычный 9 3 2 3 2 2 2 2 2 2" xfId="50838"/>
    <cellStyle name="Обычный 9 3 2 3 2 2 2 2 2 3" xfId="50839"/>
    <cellStyle name="Обычный 9 3 2 3 2 2 2 2 3" xfId="50840"/>
    <cellStyle name="Обычный 9 3 2 3 2 2 2 2 3 2" xfId="50841"/>
    <cellStyle name="Обычный 9 3 2 3 2 2 2 2 3 3" xfId="50842"/>
    <cellStyle name="Обычный 9 3 2 3 2 2 2 2 4" xfId="50843"/>
    <cellStyle name="Обычный 9 3 2 3 2 2 2 2 4 2" xfId="50844"/>
    <cellStyle name="Обычный 9 3 2 3 2 2 2 2 5" xfId="50845"/>
    <cellStyle name="Обычный 9 3 2 3 2 2 2 2 6" xfId="50846"/>
    <cellStyle name="Обычный 9 3 2 3 2 2 2 3" xfId="50847"/>
    <cellStyle name="Обычный 9 3 2 3 2 2 2 3 2" xfId="50848"/>
    <cellStyle name="Обычный 9 3 2 3 2 2 2 3 3" xfId="50849"/>
    <cellStyle name="Обычный 9 3 2 3 2 2 2 4" xfId="50850"/>
    <cellStyle name="Обычный 9 3 2 3 2 2 2 4 2" xfId="50851"/>
    <cellStyle name="Обычный 9 3 2 3 2 2 2 4 3" xfId="50852"/>
    <cellStyle name="Обычный 9 3 2 3 2 2 2 5" xfId="50853"/>
    <cellStyle name="Обычный 9 3 2 3 2 2 2 5 2" xfId="50854"/>
    <cellStyle name="Обычный 9 3 2 3 2 2 2 6" xfId="50855"/>
    <cellStyle name="Обычный 9 3 2 3 2 2 2 7" xfId="50856"/>
    <cellStyle name="Обычный 9 3 2 3 2 2 3" xfId="50857"/>
    <cellStyle name="Обычный 9 3 2 3 2 2 3 2" xfId="50858"/>
    <cellStyle name="Обычный 9 3 2 3 2 2 3 2 2" xfId="50859"/>
    <cellStyle name="Обычный 9 3 2 3 2 2 3 2 3" xfId="50860"/>
    <cellStyle name="Обычный 9 3 2 3 2 2 3 3" xfId="50861"/>
    <cellStyle name="Обычный 9 3 2 3 2 2 3 3 2" xfId="50862"/>
    <cellStyle name="Обычный 9 3 2 3 2 2 3 3 3" xfId="50863"/>
    <cellStyle name="Обычный 9 3 2 3 2 2 3 4" xfId="50864"/>
    <cellStyle name="Обычный 9 3 2 3 2 2 3 4 2" xfId="50865"/>
    <cellStyle name="Обычный 9 3 2 3 2 2 3 5" xfId="50866"/>
    <cellStyle name="Обычный 9 3 2 3 2 2 3 6" xfId="50867"/>
    <cellStyle name="Обычный 9 3 2 3 2 2 4" xfId="50868"/>
    <cellStyle name="Обычный 9 3 2 3 2 2 4 2" xfId="50869"/>
    <cellStyle name="Обычный 9 3 2 3 2 2 4 3" xfId="50870"/>
    <cellStyle name="Обычный 9 3 2 3 2 2 5" xfId="50871"/>
    <cellStyle name="Обычный 9 3 2 3 2 2 5 2" xfId="50872"/>
    <cellStyle name="Обычный 9 3 2 3 2 2 5 3" xfId="50873"/>
    <cellStyle name="Обычный 9 3 2 3 2 2 6" xfId="50874"/>
    <cellStyle name="Обычный 9 3 2 3 2 2 6 2" xfId="50875"/>
    <cellStyle name="Обычный 9 3 2 3 2 2 7" xfId="50876"/>
    <cellStyle name="Обычный 9 3 2 3 2 2 8" xfId="50877"/>
    <cellStyle name="Обычный 9 3 2 3 2 3" xfId="50878"/>
    <cellStyle name="Обычный 9 3 2 3 2 3 2" xfId="50879"/>
    <cellStyle name="Обычный 9 3 2 3 2 3 2 2" xfId="50880"/>
    <cellStyle name="Обычный 9 3 2 3 2 3 2 2 2" xfId="50881"/>
    <cellStyle name="Обычный 9 3 2 3 2 3 2 2 3" xfId="50882"/>
    <cellStyle name="Обычный 9 3 2 3 2 3 2 3" xfId="50883"/>
    <cellStyle name="Обычный 9 3 2 3 2 3 2 3 2" xfId="50884"/>
    <cellStyle name="Обычный 9 3 2 3 2 3 2 3 3" xfId="50885"/>
    <cellStyle name="Обычный 9 3 2 3 2 3 2 4" xfId="50886"/>
    <cellStyle name="Обычный 9 3 2 3 2 3 2 4 2" xfId="50887"/>
    <cellStyle name="Обычный 9 3 2 3 2 3 2 5" xfId="50888"/>
    <cellStyle name="Обычный 9 3 2 3 2 3 2 6" xfId="50889"/>
    <cellStyle name="Обычный 9 3 2 3 2 3 3" xfId="50890"/>
    <cellStyle name="Обычный 9 3 2 3 2 3 3 2" xfId="50891"/>
    <cellStyle name="Обычный 9 3 2 3 2 3 3 3" xfId="50892"/>
    <cellStyle name="Обычный 9 3 2 3 2 3 4" xfId="50893"/>
    <cellStyle name="Обычный 9 3 2 3 2 3 4 2" xfId="50894"/>
    <cellStyle name="Обычный 9 3 2 3 2 3 4 3" xfId="50895"/>
    <cellStyle name="Обычный 9 3 2 3 2 3 5" xfId="50896"/>
    <cellStyle name="Обычный 9 3 2 3 2 3 5 2" xfId="50897"/>
    <cellStyle name="Обычный 9 3 2 3 2 3 6" xfId="50898"/>
    <cellStyle name="Обычный 9 3 2 3 2 3 7" xfId="50899"/>
    <cellStyle name="Обычный 9 3 2 3 2 4" xfId="50900"/>
    <cellStyle name="Обычный 9 3 2 3 2 4 2" xfId="50901"/>
    <cellStyle name="Обычный 9 3 2 3 2 4 2 2" xfId="50902"/>
    <cellStyle name="Обычный 9 3 2 3 2 4 2 3" xfId="50903"/>
    <cellStyle name="Обычный 9 3 2 3 2 4 3" xfId="50904"/>
    <cellStyle name="Обычный 9 3 2 3 2 4 3 2" xfId="50905"/>
    <cellStyle name="Обычный 9 3 2 3 2 4 3 3" xfId="50906"/>
    <cellStyle name="Обычный 9 3 2 3 2 4 4" xfId="50907"/>
    <cellStyle name="Обычный 9 3 2 3 2 4 4 2" xfId="50908"/>
    <cellStyle name="Обычный 9 3 2 3 2 4 5" xfId="50909"/>
    <cellStyle name="Обычный 9 3 2 3 2 4 6" xfId="50910"/>
    <cellStyle name="Обычный 9 3 2 3 2 5" xfId="50911"/>
    <cellStyle name="Обычный 9 3 2 3 2 5 2" xfId="50912"/>
    <cellStyle name="Обычный 9 3 2 3 2 5 3" xfId="50913"/>
    <cellStyle name="Обычный 9 3 2 3 2 6" xfId="50914"/>
    <cellStyle name="Обычный 9 3 2 3 2 6 2" xfId="50915"/>
    <cellStyle name="Обычный 9 3 2 3 2 6 3" xfId="50916"/>
    <cellStyle name="Обычный 9 3 2 3 2 7" xfId="50917"/>
    <cellStyle name="Обычный 9 3 2 3 2 7 2" xfId="50918"/>
    <cellStyle name="Обычный 9 3 2 3 2 8" xfId="50919"/>
    <cellStyle name="Обычный 9 3 2 3 2 9" xfId="50920"/>
    <cellStyle name="Обычный 9 3 2 3 3" xfId="50921"/>
    <cellStyle name="Обычный 9 3 2 3 3 2" xfId="50922"/>
    <cellStyle name="Обычный 9 3 2 3 3 2 2" xfId="50923"/>
    <cellStyle name="Обычный 9 3 2 3 3 2 2 2" xfId="50924"/>
    <cellStyle name="Обычный 9 3 2 3 3 2 2 2 2" xfId="50925"/>
    <cellStyle name="Обычный 9 3 2 3 3 2 2 2 3" xfId="50926"/>
    <cellStyle name="Обычный 9 3 2 3 3 2 2 3" xfId="50927"/>
    <cellStyle name="Обычный 9 3 2 3 3 2 2 3 2" xfId="50928"/>
    <cellStyle name="Обычный 9 3 2 3 3 2 2 3 3" xfId="50929"/>
    <cellStyle name="Обычный 9 3 2 3 3 2 2 4" xfId="50930"/>
    <cellStyle name="Обычный 9 3 2 3 3 2 2 4 2" xfId="50931"/>
    <cellStyle name="Обычный 9 3 2 3 3 2 2 5" xfId="50932"/>
    <cellStyle name="Обычный 9 3 2 3 3 2 2 6" xfId="50933"/>
    <cellStyle name="Обычный 9 3 2 3 3 2 3" xfId="50934"/>
    <cellStyle name="Обычный 9 3 2 3 3 2 3 2" xfId="50935"/>
    <cellStyle name="Обычный 9 3 2 3 3 2 3 3" xfId="50936"/>
    <cellStyle name="Обычный 9 3 2 3 3 2 4" xfId="50937"/>
    <cellStyle name="Обычный 9 3 2 3 3 2 4 2" xfId="50938"/>
    <cellStyle name="Обычный 9 3 2 3 3 2 4 3" xfId="50939"/>
    <cellStyle name="Обычный 9 3 2 3 3 2 5" xfId="50940"/>
    <cellStyle name="Обычный 9 3 2 3 3 2 5 2" xfId="50941"/>
    <cellStyle name="Обычный 9 3 2 3 3 2 6" xfId="50942"/>
    <cellStyle name="Обычный 9 3 2 3 3 2 7" xfId="50943"/>
    <cellStyle name="Обычный 9 3 2 3 3 3" xfId="50944"/>
    <cellStyle name="Обычный 9 3 2 3 3 3 2" xfId="50945"/>
    <cellStyle name="Обычный 9 3 2 3 3 3 2 2" xfId="50946"/>
    <cellStyle name="Обычный 9 3 2 3 3 3 2 3" xfId="50947"/>
    <cellStyle name="Обычный 9 3 2 3 3 3 3" xfId="50948"/>
    <cellStyle name="Обычный 9 3 2 3 3 3 3 2" xfId="50949"/>
    <cellStyle name="Обычный 9 3 2 3 3 3 3 3" xfId="50950"/>
    <cellStyle name="Обычный 9 3 2 3 3 3 4" xfId="50951"/>
    <cellStyle name="Обычный 9 3 2 3 3 3 4 2" xfId="50952"/>
    <cellStyle name="Обычный 9 3 2 3 3 3 5" xfId="50953"/>
    <cellStyle name="Обычный 9 3 2 3 3 3 6" xfId="50954"/>
    <cellStyle name="Обычный 9 3 2 3 3 4" xfId="50955"/>
    <cellStyle name="Обычный 9 3 2 3 3 4 2" xfId="50956"/>
    <cellStyle name="Обычный 9 3 2 3 3 4 3" xfId="50957"/>
    <cellStyle name="Обычный 9 3 2 3 3 5" xfId="50958"/>
    <cellStyle name="Обычный 9 3 2 3 3 5 2" xfId="50959"/>
    <cellStyle name="Обычный 9 3 2 3 3 5 3" xfId="50960"/>
    <cellStyle name="Обычный 9 3 2 3 3 6" xfId="50961"/>
    <cellStyle name="Обычный 9 3 2 3 3 6 2" xfId="50962"/>
    <cellStyle name="Обычный 9 3 2 3 3 7" xfId="50963"/>
    <cellStyle name="Обычный 9 3 2 3 3 8" xfId="50964"/>
    <cellStyle name="Обычный 9 3 2 3 4" xfId="50965"/>
    <cellStyle name="Обычный 9 3 2 3 4 2" xfId="50966"/>
    <cellStyle name="Обычный 9 3 2 3 4 2 2" xfId="50967"/>
    <cellStyle name="Обычный 9 3 2 3 4 2 2 2" xfId="50968"/>
    <cellStyle name="Обычный 9 3 2 3 4 2 2 3" xfId="50969"/>
    <cellStyle name="Обычный 9 3 2 3 4 2 3" xfId="50970"/>
    <cellStyle name="Обычный 9 3 2 3 4 2 3 2" xfId="50971"/>
    <cellStyle name="Обычный 9 3 2 3 4 2 3 3" xfId="50972"/>
    <cellStyle name="Обычный 9 3 2 3 4 2 4" xfId="50973"/>
    <cellStyle name="Обычный 9 3 2 3 4 2 4 2" xfId="50974"/>
    <cellStyle name="Обычный 9 3 2 3 4 2 5" xfId="50975"/>
    <cellStyle name="Обычный 9 3 2 3 4 2 6" xfId="50976"/>
    <cellStyle name="Обычный 9 3 2 3 4 3" xfId="50977"/>
    <cellStyle name="Обычный 9 3 2 3 4 3 2" xfId="50978"/>
    <cellStyle name="Обычный 9 3 2 3 4 3 3" xfId="50979"/>
    <cellStyle name="Обычный 9 3 2 3 4 4" xfId="50980"/>
    <cellStyle name="Обычный 9 3 2 3 4 4 2" xfId="50981"/>
    <cellStyle name="Обычный 9 3 2 3 4 4 3" xfId="50982"/>
    <cellStyle name="Обычный 9 3 2 3 4 5" xfId="50983"/>
    <cellStyle name="Обычный 9 3 2 3 4 5 2" xfId="50984"/>
    <cellStyle name="Обычный 9 3 2 3 4 6" xfId="50985"/>
    <cellStyle name="Обычный 9 3 2 3 4 7" xfId="50986"/>
    <cellStyle name="Обычный 9 3 2 3 5" xfId="50987"/>
    <cellStyle name="Обычный 9 3 2 3 5 2" xfId="50988"/>
    <cellStyle name="Обычный 9 3 2 3 5 2 2" xfId="50989"/>
    <cellStyle name="Обычный 9 3 2 3 5 2 3" xfId="50990"/>
    <cellStyle name="Обычный 9 3 2 3 5 3" xfId="50991"/>
    <cellStyle name="Обычный 9 3 2 3 5 3 2" xfId="50992"/>
    <cellStyle name="Обычный 9 3 2 3 5 3 3" xfId="50993"/>
    <cellStyle name="Обычный 9 3 2 3 5 4" xfId="50994"/>
    <cellStyle name="Обычный 9 3 2 3 5 4 2" xfId="50995"/>
    <cellStyle name="Обычный 9 3 2 3 5 5" xfId="50996"/>
    <cellStyle name="Обычный 9 3 2 3 5 6" xfId="50997"/>
    <cellStyle name="Обычный 9 3 2 3 6" xfId="50998"/>
    <cellStyle name="Обычный 9 3 2 3 6 2" xfId="50999"/>
    <cellStyle name="Обычный 9 3 2 3 6 3" xfId="51000"/>
    <cellStyle name="Обычный 9 3 2 3 7" xfId="51001"/>
    <cellStyle name="Обычный 9 3 2 3 7 2" xfId="51002"/>
    <cellStyle name="Обычный 9 3 2 3 7 3" xfId="51003"/>
    <cellStyle name="Обычный 9 3 2 3 8" xfId="51004"/>
    <cellStyle name="Обычный 9 3 2 3 8 2" xfId="51005"/>
    <cellStyle name="Обычный 9 3 2 3 9" xfId="51006"/>
    <cellStyle name="Обычный 9 3 2 4" xfId="51007"/>
    <cellStyle name="Обычный 9 3 2 4 10" xfId="51008"/>
    <cellStyle name="Обычный 9 3 2 4 2" xfId="51009"/>
    <cellStyle name="Обычный 9 3 2 4 2 2" xfId="51010"/>
    <cellStyle name="Обычный 9 3 2 4 2 2 2" xfId="51011"/>
    <cellStyle name="Обычный 9 3 2 4 2 2 2 2" xfId="51012"/>
    <cellStyle name="Обычный 9 3 2 4 2 2 2 2 2" xfId="51013"/>
    <cellStyle name="Обычный 9 3 2 4 2 2 2 2 2 2" xfId="51014"/>
    <cellStyle name="Обычный 9 3 2 4 2 2 2 2 2 3" xfId="51015"/>
    <cellStyle name="Обычный 9 3 2 4 2 2 2 2 3" xfId="51016"/>
    <cellStyle name="Обычный 9 3 2 4 2 2 2 2 3 2" xfId="51017"/>
    <cellStyle name="Обычный 9 3 2 4 2 2 2 2 3 3" xfId="51018"/>
    <cellStyle name="Обычный 9 3 2 4 2 2 2 2 4" xfId="51019"/>
    <cellStyle name="Обычный 9 3 2 4 2 2 2 2 4 2" xfId="51020"/>
    <cellStyle name="Обычный 9 3 2 4 2 2 2 2 5" xfId="51021"/>
    <cellStyle name="Обычный 9 3 2 4 2 2 2 2 6" xfId="51022"/>
    <cellStyle name="Обычный 9 3 2 4 2 2 2 3" xfId="51023"/>
    <cellStyle name="Обычный 9 3 2 4 2 2 2 3 2" xfId="51024"/>
    <cellStyle name="Обычный 9 3 2 4 2 2 2 3 3" xfId="51025"/>
    <cellStyle name="Обычный 9 3 2 4 2 2 2 4" xfId="51026"/>
    <cellStyle name="Обычный 9 3 2 4 2 2 2 4 2" xfId="51027"/>
    <cellStyle name="Обычный 9 3 2 4 2 2 2 4 3" xfId="51028"/>
    <cellStyle name="Обычный 9 3 2 4 2 2 2 5" xfId="51029"/>
    <cellStyle name="Обычный 9 3 2 4 2 2 2 5 2" xfId="51030"/>
    <cellStyle name="Обычный 9 3 2 4 2 2 2 6" xfId="51031"/>
    <cellStyle name="Обычный 9 3 2 4 2 2 2 7" xfId="51032"/>
    <cellStyle name="Обычный 9 3 2 4 2 2 3" xfId="51033"/>
    <cellStyle name="Обычный 9 3 2 4 2 2 3 2" xfId="51034"/>
    <cellStyle name="Обычный 9 3 2 4 2 2 3 2 2" xfId="51035"/>
    <cellStyle name="Обычный 9 3 2 4 2 2 3 2 3" xfId="51036"/>
    <cellStyle name="Обычный 9 3 2 4 2 2 3 3" xfId="51037"/>
    <cellStyle name="Обычный 9 3 2 4 2 2 3 3 2" xfId="51038"/>
    <cellStyle name="Обычный 9 3 2 4 2 2 3 3 3" xfId="51039"/>
    <cellStyle name="Обычный 9 3 2 4 2 2 3 4" xfId="51040"/>
    <cellStyle name="Обычный 9 3 2 4 2 2 3 4 2" xfId="51041"/>
    <cellStyle name="Обычный 9 3 2 4 2 2 3 5" xfId="51042"/>
    <cellStyle name="Обычный 9 3 2 4 2 2 3 6" xfId="51043"/>
    <cellStyle name="Обычный 9 3 2 4 2 2 4" xfId="51044"/>
    <cellStyle name="Обычный 9 3 2 4 2 2 4 2" xfId="51045"/>
    <cellStyle name="Обычный 9 3 2 4 2 2 4 3" xfId="51046"/>
    <cellStyle name="Обычный 9 3 2 4 2 2 5" xfId="51047"/>
    <cellStyle name="Обычный 9 3 2 4 2 2 5 2" xfId="51048"/>
    <cellStyle name="Обычный 9 3 2 4 2 2 5 3" xfId="51049"/>
    <cellStyle name="Обычный 9 3 2 4 2 2 6" xfId="51050"/>
    <cellStyle name="Обычный 9 3 2 4 2 2 6 2" xfId="51051"/>
    <cellStyle name="Обычный 9 3 2 4 2 2 7" xfId="51052"/>
    <cellStyle name="Обычный 9 3 2 4 2 2 8" xfId="51053"/>
    <cellStyle name="Обычный 9 3 2 4 2 3" xfId="51054"/>
    <cellStyle name="Обычный 9 3 2 4 2 3 2" xfId="51055"/>
    <cellStyle name="Обычный 9 3 2 4 2 3 2 2" xfId="51056"/>
    <cellStyle name="Обычный 9 3 2 4 2 3 2 2 2" xfId="51057"/>
    <cellStyle name="Обычный 9 3 2 4 2 3 2 2 3" xfId="51058"/>
    <cellStyle name="Обычный 9 3 2 4 2 3 2 3" xfId="51059"/>
    <cellStyle name="Обычный 9 3 2 4 2 3 2 3 2" xfId="51060"/>
    <cellStyle name="Обычный 9 3 2 4 2 3 2 3 3" xfId="51061"/>
    <cellStyle name="Обычный 9 3 2 4 2 3 2 4" xfId="51062"/>
    <cellStyle name="Обычный 9 3 2 4 2 3 2 4 2" xfId="51063"/>
    <cellStyle name="Обычный 9 3 2 4 2 3 2 5" xfId="51064"/>
    <cellStyle name="Обычный 9 3 2 4 2 3 2 6" xfId="51065"/>
    <cellStyle name="Обычный 9 3 2 4 2 3 3" xfId="51066"/>
    <cellStyle name="Обычный 9 3 2 4 2 3 3 2" xfId="51067"/>
    <cellStyle name="Обычный 9 3 2 4 2 3 3 3" xfId="51068"/>
    <cellStyle name="Обычный 9 3 2 4 2 3 4" xfId="51069"/>
    <cellStyle name="Обычный 9 3 2 4 2 3 4 2" xfId="51070"/>
    <cellStyle name="Обычный 9 3 2 4 2 3 4 3" xfId="51071"/>
    <cellStyle name="Обычный 9 3 2 4 2 3 5" xfId="51072"/>
    <cellStyle name="Обычный 9 3 2 4 2 3 5 2" xfId="51073"/>
    <cellStyle name="Обычный 9 3 2 4 2 3 6" xfId="51074"/>
    <cellStyle name="Обычный 9 3 2 4 2 3 7" xfId="51075"/>
    <cellStyle name="Обычный 9 3 2 4 2 4" xfId="51076"/>
    <cellStyle name="Обычный 9 3 2 4 2 4 2" xfId="51077"/>
    <cellStyle name="Обычный 9 3 2 4 2 4 2 2" xfId="51078"/>
    <cellStyle name="Обычный 9 3 2 4 2 4 2 3" xfId="51079"/>
    <cellStyle name="Обычный 9 3 2 4 2 4 3" xfId="51080"/>
    <cellStyle name="Обычный 9 3 2 4 2 4 3 2" xfId="51081"/>
    <cellStyle name="Обычный 9 3 2 4 2 4 3 3" xfId="51082"/>
    <cellStyle name="Обычный 9 3 2 4 2 4 4" xfId="51083"/>
    <cellStyle name="Обычный 9 3 2 4 2 4 4 2" xfId="51084"/>
    <cellStyle name="Обычный 9 3 2 4 2 4 5" xfId="51085"/>
    <cellStyle name="Обычный 9 3 2 4 2 4 6" xfId="51086"/>
    <cellStyle name="Обычный 9 3 2 4 2 5" xfId="51087"/>
    <cellStyle name="Обычный 9 3 2 4 2 5 2" xfId="51088"/>
    <cellStyle name="Обычный 9 3 2 4 2 5 3" xfId="51089"/>
    <cellStyle name="Обычный 9 3 2 4 2 6" xfId="51090"/>
    <cellStyle name="Обычный 9 3 2 4 2 6 2" xfId="51091"/>
    <cellStyle name="Обычный 9 3 2 4 2 6 3" xfId="51092"/>
    <cellStyle name="Обычный 9 3 2 4 2 7" xfId="51093"/>
    <cellStyle name="Обычный 9 3 2 4 2 7 2" xfId="51094"/>
    <cellStyle name="Обычный 9 3 2 4 2 8" xfId="51095"/>
    <cellStyle name="Обычный 9 3 2 4 2 9" xfId="51096"/>
    <cellStyle name="Обычный 9 3 2 4 3" xfId="51097"/>
    <cellStyle name="Обычный 9 3 2 4 3 2" xfId="51098"/>
    <cellStyle name="Обычный 9 3 2 4 3 2 2" xfId="51099"/>
    <cellStyle name="Обычный 9 3 2 4 3 2 2 2" xfId="51100"/>
    <cellStyle name="Обычный 9 3 2 4 3 2 2 2 2" xfId="51101"/>
    <cellStyle name="Обычный 9 3 2 4 3 2 2 2 3" xfId="51102"/>
    <cellStyle name="Обычный 9 3 2 4 3 2 2 3" xfId="51103"/>
    <cellStyle name="Обычный 9 3 2 4 3 2 2 3 2" xfId="51104"/>
    <cellStyle name="Обычный 9 3 2 4 3 2 2 3 3" xfId="51105"/>
    <cellStyle name="Обычный 9 3 2 4 3 2 2 4" xfId="51106"/>
    <cellStyle name="Обычный 9 3 2 4 3 2 2 4 2" xfId="51107"/>
    <cellStyle name="Обычный 9 3 2 4 3 2 2 5" xfId="51108"/>
    <cellStyle name="Обычный 9 3 2 4 3 2 2 6" xfId="51109"/>
    <cellStyle name="Обычный 9 3 2 4 3 2 3" xfId="51110"/>
    <cellStyle name="Обычный 9 3 2 4 3 2 3 2" xfId="51111"/>
    <cellStyle name="Обычный 9 3 2 4 3 2 3 3" xfId="51112"/>
    <cellStyle name="Обычный 9 3 2 4 3 2 4" xfId="51113"/>
    <cellStyle name="Обычный 9 3 2 4 3 2 4 2" xfId="51114"/>
    <cellStyle name="Обычный 9 3 2 4 3 2 4 3" xfId="51115"/>
    <cellStyle name="Обычный 9 3 2 4 3 2 5" xfId="51116"/>
    <cellStyle name="Обычный 9 3 2 4 3 2 5 2" xfId="51117"/>
    <cellStyle name="Обычный 9 3 2 4 3 2 6" xfId="51118"/>
    <cellStyle name="Обычный 9 3 2 4 3 2 7" xfId="51119"/>
    <cellStyle name="Обычный 9 3 2 4 3 3" xfId="51120"/>
    <cellStyle name="Обычный 9 3 2 4 3 3 2" xfId="51121"/>
    <cellStyle name="Обычный 9 3 2 4 3 3 2 2" xfId="51122"/>
    <cellStyle name="Обычный 9 3 2 4 3 3 2 3" xfId="51123"/>
    <cellStyle name="Обычный 9 3 2 4 3 3 3" xfId="51124"/>
    <cellStyle name="Обычный 9 3 2 4 3 3 3 2" xfId="51125"/>
    <cellStyle name="Обычный 9 3 2 4 3 3 3 3" xfId="51126"/>
    <cellStyle name="Обычный 9 3 2 4 3 3 4" xfId="51127"/>
    <cellStyle name="Обычный 9 3 2 4 3 3 4 2" xfId="51128"/>
    <cellStyle name="Обычный 9 3 2 4 3 3 5" xfId="51129"/>
    <cellStyle name="Обычный 9 3 2 4 3 3 6" xfId="51130"/>
    <cellStyle name="Обычный 9 3 2 4 3 4" xfId="51131"/>
    <cellStyle name="Обычный 9 3 2 4 3 4 2" xfId="51132"/>
    <cellStyle name="Обычный 9 3 2 4 3 4 3" xfId="51133"/>
    <cellStyle name="Обычный 9 3 2 4 3 5" xfId="51134"/>
    <cellStyle name="Обычный 9 3 2 4 3 5 2" xfId="51135"/>
    <cellStyle name="Обычный 9 3 2 4 3 5 3" xfId="51136"/>
    <cellStyle name="Обычный 9 3 2 4 3 6" xfId="51137"/>
    <cellStyle name="Обычный 9 3 2 4 3 6 2" xfId="51138"/>
    <cellStyle name="Обычный 9 3 2 4 3 7" xfId="51139"/>
    <cellStyle name="Обычный 9 3 2 4 3 8" xfId="51140"/>
    <cellStyle name="Обычный 9 3 2 4 4" xfId="51141"/>
    <cellStyle name="Обычный 9 3 2 4 4 2" xfId="51142"/>
    <cellStyle name="Обычный 9 3 2 4 4 2 2" xfId="51143"/>
    <cellStyle name="Обычный 9 3 2 4 4 2 2 2" xfId="51144"/>
    <cellStyle name="Обычный 9 3 2 4 4 2 2 3" xfId="51145"/>
    <cellStyle name="Обычный 9 3 2 4 4 2 3" xfId="51146"/>
    <cellStyle name="Обычный 9 3 2 4 4 2 3 2" xfId="51147"/>
    <cellStyle name="Обычный 9 3 2 4 4 2 3 3" xfId="51148"/>
    <cellStyle name="Обычный 9 3 2 4 4 2 4" xfId="51149"/>
    <cellStyle name="Обычный 9 3 2 4 4 2 4 2" xfId="51150"/>
    <cellStyle name="Обычный 9 3 2 4 4 2 5" xfId="51151"/>
    <cellStyle name="Обычный 9 3 2 4 4 2 6" xfId="51152"/>
    <cellStyle name="Обычный 9 3 2 4 4 3" xfId="51153"/>
    <cellStyle name="Обычный 9 3 2 4 4 3 2" xfId="51154"/>
    <cellStyle name="Обычный 9 3 2 4 4 3 3" xfId="51155"/>
    <cellStyle name="Обычный 9 3 2 4 4 4" xfId="51156"/>
    <cellStyle name="Обычный 9 3 2 4 4 4 2" xfId="51157"/>
    <cellStyle name="Обычный 9 3 2 4 4 4 3" xfId="51158"/>
    <cellStyle name="Обычный 9 3 2 4 4 5" xfId="51159"/>
    <cellStyle name="Обычный 9 3 2 4 4 5 2" xfId="51160"/>
    <cellStyle name="Обычный 9 3 2 4 4 6" xfId="51161"/>
    <cellStyle name="Обычный 9 3 2 4 4 7" xfId="51162"/>
    <cellStyle name="Обычный 9 3 2 4 5" xfId="51163"/>
    <cellStyle name="Обычный 9 3 2 4 5 2" xfId="51164"/>
    <cellStyle name="Обычный 9 3 2 4 5 2 2" xfId="51165"/>
    <cellStyle name="Обычный 9 3 2 4 5 2 3" xfId="51166"/>
    <cellStyle name="Обычный 9 3 2 4 5 3" xfId="51167"/>
    <cellStyle name="Обычный 9 3 2 4 5 3 2" xfId="51168"/>
    <cellStyle name="Обычный 9 3 2 4 5 3 3" xfId="51169"/>
    <cellStyle name="Обычный 9 3 2 4 5 4" xfId="51170"/>
    <cellStyle name="Обычный 9 3 2 4 5 4 2" xfId="51171"/>
    <cellStyle name="Обычный 9 3 2 4 5 5" xfId="51172"/>
    <cellStyle name="Обычный 9 3 2 4 5 6" xfId="51173"/>
    <cellStyle name="Обычный 9 3 2 4 6" xfId="51174"/>
    <cellStyle name="Обычный 9 3 2 4 6 2" xfId="51175"/>
    <cellStyle name="Обычный 9 3 2 4 6 3" xfId="51176"/>
    <cellStyle name="Обычный 9 3 2 4 7" xfId="51177"/>
    <cellStyle name="Обычный 9 3 2 4 7 2" xfId="51178"/>
    <cellStyle name="Обычный 9 3 2 4 7 3" xfId="51179"/>
    <cellStyle name="Обычный 9 3 2 4 8" xfId="51180"/>
    <cellStyle name="Обычный 9 3 2 4 8 2" xfId="51181"/>
    <cellStyle name="Обычный 9 3 2 4 9" xfId="51182"/>
    <cellStyle name="Обычный 9 3 2 5" xfId="51183"/>
    <cellStyle name="Обычный 9 3 2 5 2" xfId="51184"/>
    <cellStyle name="Обычный 9 3 2 5 2 2" xfId="51185"/>
    <cellStyle name="Обычный 9 3 2 5 2 2 2" xfId="51186"/>
    <cellStyle name="Обычный 9 3 2 5 2 2 2 2" xfId="51187"/>
    <cellStyle name="Обычный 9 3 2 5 2 2 2 2 2" xfId="51188"/>
    <cellStyle name="Обычный 9 3 2 5 2 2 2 2 3" xfId="51189"/>
    <cellStyle name="Обычный 9 3 2 5 2 2 2 3" xfId="51190"/>
    <cellStyle name="Обычный 9 3 2 5 2 2 2 3 2" xfId="51191"/>
    <cellStyle name="Обычный 9 3 2 5 2 2 2 3 3" xfId="51192"/>
    <cellStyle name="Обычный 9 3 2 5 2 2 2 4" xfId="51193"/>
    <cellStyle name="Обычный 9 3 2 5 2 2 2 4 2" xfId="51194"/>
    <cellStyle name="Обычный 9 3 2 5 2 2 2 5" xfId="51195"/>
    <cellStyle name="Обычный 9 3 2 5 2 2 2 6" xfId="51196"/>
    <cellStyle name="Обычный 9 3 2 5 2 2 3" xfId="51197"/>
    <cellStyle name="Обычный 9 3 2 5 2 2 3 2" xfId="51198"/>
    <cellStyle name="Обычный 9 3 2 5 2 2 3 3" xfId="51199"/>
    <cellStyle name="Обычный 9 3 2 5 2 2 4" xfId="51200"/>
    <cellStyle name="Обычный 9 3 2 5 2 2 4 2" xfId="51201"/>
    <cellStyle name="Обычный 9 3 2 5 2 2 4 3" xfId="51202"/>
    <cellStyle name="Обычный 9 3 2 5 2 2 5" xfId="51203"/>
    <cellStyle name="Обычный 9 3 2 5 2 2 5 2" xfId="51204"/>
    <cellStyle name="Обычный 9 3 2 5 2 2 6" xfId="51205"/>
    <cellStyle name="Обычный 9 3 2 5 2 2 7" xfId="51206"/>
    <cellStyle name="Обычный 9 3 2 5 2 3" xfId="51207"/>
    <cellStyle name="Обычный 9 3 2 5 2 3 2" xfId="51208"/>
    <cellStyle name="Обычный 9 3 2 5 2 3 2 2" xfId="51209"/>
    <cellStyle name="Обычный 9 3 2 5 2 3 2 3" xfId="51210"/>
    <cellStyle name="Обычный 9 3 2 5 2 3 3" xfId="51211"/>
    <cellStyle name="Обычный 9 3 2 5 2 3 3 2" xfId="51212"/>
    <cellStyle name="Обычный 9 3 2 5 2 3 3 3" xfId="51213"/>
    <cellStyle name="Обычный 9 3 2 5 2 3 4" xfId="51214"/>
    <cellStyle name="Обычный 9 3 2 5 2 3 4 2" xfId="51215"/>
    <cellStyle name="Обычный 9 3 2 5 2 3 5" xfId="51216"/>
    <cellStyle name="Обычный 9 3 2 5 2 3 6" xfId="51217"/>
    <cellStyle name="Обычный 9 3 2 5 2 4" xfId="51218"/>
    <cellStyle name="Обычный 9 3 2 5 2 4 2" xfId="51219"/>
    <cellStyle name="Обычный 9 3 2 5 2 4 3" xfId="51220"/>
    <cellStyle name="Обычный 9 3 2 5 2 5" xfId="51221"/>
    <cellStyle name="Обычный 9 3 2 5 2 5 2" xfId="51222"/>
    <cellStyle name="Обычный 9 3 2 5 2 5 3" xfId="51223"/>
    <cellStyle name="Обычный 9 3 2 5 2 6" xfId="51224"/>
    <cellStyle name="Обычный 9 3 2 5 2 6 2" xfId="51225"/>
    <cellStyle name="Обычный 9 3 2 5 2 7" xfId="51226"/>
    <cellStyle name="Обычный 9 3 2 5 2 8" xfId="51227"/>
    <cellStyle name="Обычный 9 3 2 5 3" xfId="51228"/>
    <cellStyle name="Обычный 9 3 2 5 3 2" xfId="51229"/>
    <cellStyle name="Обычный 9 3 2 5 3 2 2" xfId="51230"/>
    <cellStyle name="Обычный 9 3 2 5 3 2 2 2" xfId="51231"/>
    <cellStyle name="Обычный 9 3 2 5 3 2 2 3" xfId="51232"/>
    <cellStyle name="Обычный 9 3 2 5 3 2 3" xfId="51233"/>
    <cellStyle name="Обычный 9 3 2 5 3 2 3 2" xfId="51234"/>
    <cellStyle name="Обычный 9 3 2 5 3 2 3 3" xfId="51235"/>
    <cellStyle name="Обычный 9 3 2 5 3 2 4" xfId="51236"/>
    <cellStyle name="Обычный 9 3 2 5 3 2 4 2" xfId="51237"/>
    <cellStyle name="Обычный 9 3 2 5 3 2 5" xfId="51238"/>
    <cellStyle name="Обычный 9 3 2 5 3 2 6" xfId="51239"/>
    <cellStyle name="Обычный 9 3 2 5 3 3" xfId="51240"/>
    <cellStyle name="Обычный 9 3 2 5 3 3 2" xfId="51241"/>
    <cellStyle name="Обычный 9 3 2 5 3 3 3" xfId="51242"/>
    <cellStyle name="Обычный 9 3 2 5 3 4" xfId="51243"/>
    <cellStyle name="Обычный 9 3 2 5 3 4 2" xfId="51244"/>
    <cellStyle name="Обычный 9 3 2 5 3 4 3" xfId="51245"/>
    <cellStyle name="Обычный 9 3 2 5 3 5" xfId="51246"/>
    <cellStyle name="Обычный 9 3 2 5 3 5 2" xfId="51247"/>
    <cellStyle name="Обычный 9 3 2 5 3 6" xfId="51248"/>
    <cellStyle name="Обычный 9 3 2 5 3 7" xfId="51249"/>
    <cellStyle name="Обычный 9 3 2 5 4" xfId="51250"/>
    <cellStyle name="Обычный 9 3 2 5 4 2" xfId="51251"/>
    <cellStyle name="Обычный 9 3 2 5 4 2 2" xfId="51252"/>
    <cellStyle name="Обычный 9 3 2 5 4 2 3" xfId="51253"/>
    <cellStyle name="Обычный 9 3 2 5 4 3" xfId="51254"/>
    <cellStyle name="Обычный 9 3 2 5 4 3 2" xfId="51255"/>
    <cellStyle name="Обычный 9 3 2 5 4 3 3" xfId="51256"/>
    <cellStyle name="Обычный 9 3 2 5 4 4" xfId="51257"/>
    <cellStyle name="Обычный 9 3 2 5 4 4 2" xfId="51258"/>
    <cellStyle name="Обычный 9 3 2 5 4 5" xfId="51259"/>
    <cellStyle name="Обычный 9 3 2 5 4 6" xfId="51260"/>
    <cellStyle name="Обычный 9 3 2 5 5" xfId="51261"/>
    <cellStyle name="Обычный 9 3 2 5 5 2" xfId="51262"/>
    <cellStyle name="Обычный 9 3 2 5 5 3" xfId="51263"/>
    <cellStyle name="Обычный 9 3 2 5 6" xfId="51264"/>
    <cellStyle name="Обычный 9 3 2 5 6 2" xfId="51265"/>
    <cellStyle name="Обычный 9 3 2 5 6 3" xfId="51266"/>
    <cellStyle name="Обычный 9 3 2 5 7" xfId="51267"/>
    <cellStyle name="Обычный 9 3 2 5 7 2" xfId="51268"/>
    <cellStyle name="Обычный 9 3 2 5 8" xfId="51269"/>
    <cellStyle name="Обычный 9 3 2 5 9" xfId="51270"/>
    <cellStyle name="Обычный 9 3 2 6" xfId="51271"/>
    <cellStyle name="Обычный 9 3 2 6 2" xfId="51272"/>
    <cellStyle name="Обычный 9 3 2 6 2 2" xfId="51273"/>
    <cellStyle name="Обычный 9 3 2 6 2 2 2" xfId="51274"/>
    <cellStyle name="Обычный 9 3 2 6 2 2 2 2" xfId="51275"/>
    <cellStyle name="Обычный 9 3 2 6 2 2 2 3" xfId="51276"/>
    <cellStyle name="Обычный 9 3 2 6 2 2 3" xfId="51277"/>
    <cellStyle name="Обычный 9 3 2 6 2 2 3 2" xfId="51278"/>
    <cellStyle name="Обычный 9 3 2 6 2 2 3 3" xfId="51279"/>
    <cellStyle name="Обычный 9 3 2 6 2 2 4" xfId="51280"/>
    <cellStyle name="Обычный 9 3 2 6 2 2 4 2" xfId="51281"/>
    <cellStyle name="Обычный 9 3 2 6 2 2 5" xfId="51282"/>
    <cellStyle name="Обычный 9 3 2 6 2 2 6" xfId="51283"/>
    <cellStyle name="Обычный 9 3 2 6 2 3" xfId="51284"/>
    <cellStyle name="Обычный 9 3 2 6 2 3 2" xfId="51285"/>
    <cellStyle name="Обычный 9 3 2 6 2 3 3" xfId="51286"/>
    <cellStyle name="Обычный 9 3 2 6 2 4" xfId="51287"/>
    <cellStyle name="Обычный 9 3 2 6 2 4 2" xfId="51288"/>
    <cellStyle name="Обычный 9 3 2 6 2 4 3" xfId="51289"/>
    <cellStyle name="Обычный 9 3 2 6 2 5" xfId="51290"/>
    <cellStyle name="Обычный 9 3 2 6 2 5 2" xfId="51291"/>
    <cellStyle name="Обычный 9 3 2 6 2 6" xfId="51292"/>
    <cellStyle name="Обычный 9 3 2 6 2 7" xfId="51293"/>
    <cellStyle name="Обычный 9 3 2 6 3" xfId="51294"/>
    <cellStyle name="Обычный 9 3 2 6 3 2" xfId="51295"/>
    <cellStyle name="Обычный 9 3 2 6 3 2 2" xfId="51296"/>
    <cellStyle name="Обычный 9 3 2 6 3 2 3" xfId="51297"/>
    <cellStyle name="Обычный 9 3 2 6 3 3" xfId="51298"/>
    <cellStyle name="Обычный 9 3 2 6 3 3 2" xfId="51299"/>
    <cellStyle name="Обычный 9 3 2 6 3 3 3" xfId="51300"/>
    <cellStyle name="Обычный 9 3 2 6 3 4" xfId="51301"/>
    <cellStyle name="Обычный 9 3 2 6 3 4 2" xfId="51302"/>
    <cellStyle name="Обычный 9 3 2 6 3 5" xfId="51303"/>
    <cellStyle name="Обычный 9 3 2 6 3 6" xfId="51304"/>
    <cellStyle name="Обычный 9 3 2 6 4" xfId="51305"/>
    <cellStyle name="Обычный 9 3 2 6 4 2" xfId="51306"/>
    <cellStyle name="Обычный 9 3 2 6 4 3" xfId="51307"/>
    <cellStyle name="Обычный 9 3 2 6 5" xfId="51308"/>
    <cellStyle name="Обычный 9 3 2 6 5 2" xfId="51309"/>
    <cellStyle name="Обычный 9 3 2 6 5 3" xfId="51310"/>
    <cellStyle name="Обычный 9 3 2 6 6" xfId="51311"/>
    <cellStyle name="Обычный 9 3 2 6 6 2" xfId="51312"/>
    <cellStyle name="Обычный 9 3 2 6 7" xfId="51313"/>
    <cellStyle name="Обычный 9 3 2 6 8" xfId="51314"/>
    <cellStyle name="Обычный 9 3 2 7" xfId="51315"/>
    <cellStyle name="Обычный 9 3 2 7 2" xfId="51316"/>
    <cellStyle name="Обычный 9 3 2 7 2 2" xfId="51317"/>
    <cellStyle name="Обычный 9 3 2 7 2 2 2" xfId="51318"/>
    <cellStyle name="Обычный 9 3 2 7 2 2 3" xfId="51319"/>
    <cellStyle name="Обычный 9 3 2 7 2 3" xfId="51320"/>
    <cellStyle name="Обычный 9 3 2 7 2 3 2" xfId="51321"/>
    <cellStyle name="Обычный 9 3 2 7 2 3 3" xfId="51322"/>
    <cellStyle name="Обычный 9 3 2 7 2 4" xfId="51323"/>
    <cellStyle name="Обычный 9 3 2 7 2 4 2" xfId="51324"/>
    <cellStyle name="Обычный 9 3 2 7 2 5" xfId="51325"/>
    <cellStyle name="Обычный 9 3 2 7 2 6" xfId="51326"/>
    <cellStyle name="Обычный 9 3 2 7 3" xfId="51327"/>
    <cellStyle name="Обычный 9 3 2 7 3 2" xfId="51328"/>
    <cellStyle name="Обычный 9 3 2 7 3 3" xfId="51329"/>
    <cellStyle name="Обычный 9 3 2 7 4" xfId="51330"/>
    <cellStyle name="Обычный 9 3 2 7 4 2" xfId="51331"/>
    <cellStyle name="Обычный 9 3 2 7 4 3" xfId="51332"/>
    <cellStyle name="Обычный 9 3 2 7 5" xfId="51333"/>
    <cellStyle name="Обычный 9 3 2 7 5 2" xfId="51334"/>
    <cellStyle name="Обычный 9 3 2 7 6" xfId="51335"/>
    <cellStyle name="Обычный 9 3 2 7 7" xfId="51336"/>
    <cellStyle name="Обычный 9 3 2 8" xfId="51337"/>
    <cellStyle name="Обычный 9 3 2 8 2" xfId="51338"/>
    <cellStyle name="Обычный 9 3 2 8 2 2" xfId="51339"/>
    <cellStyle name="Обычный 9 3 2 8 2 3" xfId="51340"/>
    <cellStyle name="Обычный 9 3 2 8 3" xfId="51341"/>
    <cellStyle name="Обычный 9 3 2 8 3 2" xfId="51342"/>
    <cellStyle name="Обычный 9 3 2 8 3 3" xfId="51343"/>
    <cellStyle name="Обычный 9 3 2 8 4" xfId="51344"/>
    <cellStyle name="Обычный 9 3 2 8 4 2" xfId="51345"/>
    <cellStyle name="Обычный 9 3 2 8 5" xfId="51346"/>
    <cellStyle name="Обычный 9 3 2 8 6" xfId="51347"/>
    <cellStyle name="Обычный 9 3 2 9" xfId="51348"/>
    <cellStyle name="Обычный 9 3 2 9 2" xfId="51349"/>
    <cellStyle name="Обычный 9 3 2 9 3" xfId="51350"/>
    <cellStyle name="Обычный 9 3 3" xfId="51351"/>
    <cellStyle name="Обычный 9 3 3 10" xfId="51352"/>
    <cellStyle name="Обычный 9 3 3 2" xfId="51353"/>
    <cellStyle name="Обычный 9 3 3 2 2" xfId="51354"/>
    <cellStyle name="Обычный 9 3 3 2 2 2" xfId="51355"/>
    <cellStyle name="Обычный 9 3 3 2 2 2 2" xfId="51356"/>
    <cellStyle name="Обычный 9 3 3 2 2 2 2 2" xfId="51357"/>
    <cellStyle name="Обычный 9 3 3 2 2 2 2 2 2" xfId="51358"/>
    <cellStyle name="Обычный 9 3 3 2 2 2 2 2 3" xfId="51359"/>
    <cellStyle name="Обычный 9 3 3 2 2 2 2 3" xfId="51360"/>
    <cellStyle name="Обычный 9 3 3 2 2 2 2 3 2" xfId="51361"/>
    <cellStyle name="Обычный 9 3 3 2 2 2 2 3 3" xfId="51362"/>
    <cellStyle name="Обычный 9 3 3 2 2 2 2 4" xfId="51363"/>
    <cellStyle name="Обычный 9 3 3 2 2 2 2 4 2" xfId="51364"/>
    <cellStyle name="Обычный 9 3 3 2 2 2 2 5" xfId="51365"/>
    <cellStyle name="Обычный 9 3 3 2 2 2 2 6" xfId="51366"/>
    <cellStyle name="Обычный 9 3 3 2 2 2 3" xfId="51367"/>
    <cellStyle name="Обычный 9 3 3 2 2 2 3 2" xfId="51368"/>
    <cellStyle name="Обычный 9 3 3 2 2 2 3 3" xfId="51369"/>
    <cellStyle name="Обычный 9 3 3 2 2 2 4" xfId="51370"/>
    <cellStyle name="Обычный 9 3 3 2 2 2 4 2" xfId="51371"/>
    <cellStyle name="Обычный 9 3 3 2 2 2 4 3" xfId="51372"/>
    <cellStyle name="Обычный 9 3 3 2 2 2 5" xfId="51373"/>
    <cellStyle name="Обычный 9 3 3 2 2 2 5 2" xfId="51374"/>
    <cellStyle name="Обычный 9 3 3 2 2 2 6" xfId="51375"/>
    <cellStyle name="Обычный 9 3 3 2 2 2 7" xfId="51376"/>
    <cellStyle name="Обычный 9 3 3 2 2 3" xfId="51377"/>
    <cellStyle name="Обычный 9 3 3 2 2 3 2" xfId="51378"/>
    <cellStyle name="Обычный 9 3 3 2 2 3 2 2" xfId="51379"/>
    <cellStyle name="Обычный 9 3 3 2 2 3 2 3" xfId="51380"/>
    <cellStyle name="Обычный 9 3 3 2 2 3 3" xfId="51381"/>
    <cellStyle name="Обычный 9 3 3 2 2 3 3 2" xfId="51382"/>
    <cellStyle name="Обычный 9 3 3 2 2 3 3 3" xfId="51383"/>
    <cellStyle name="Обычный 9 3 3 2 2 3 4" xfId="51384"/>
    <cellStyle name="Обычный 9 3 3 2 2 3 4 2" xfId="51385"/>
    <cellStyle name="Обычный 9 3 3 2 2 3 5" xfId="51386"/>
    <cellStyle name="Обычный 9 3 3 2 2 3 6" xfId="51387"/>
    <cellStyle name="Обычный 9 3 3 2 2 4" xfId="51388"/>
    <cellStyle name="Обычный 9 3 3 2 2 4 2" xfId="51389"/>
    <cellStyle name="Обычный 9 3 3 2 2 4 3" xfId="51390"/>
    <cellStyle name="Обычный 9 3 3 2 2 5" xfId="51391"/>
    <cellStyle name="Обычный 9 3 3 2 2 5 2" xfId="51392"/>
    <cellStyle name="Обычный 9 3 3 2 2 5 3" xfId="51393"/>
    <cellStyle name="Обычный 9 3 3 2 2 6" xfId="51394"/>
    <cellStyle name="Обычный 9 3 3 2 2 6 2" xfId="51395"/>
    <cellStyle name="Обычный 9 3 3 2 2 7" xfId="51396"/>
    <cellStyle name="Обычный 9 3 3 2 2 8" xfId="51397"/>
    <cellStyle name="Обычный 9 3 3 2 3" xfId="51398"/>
    <cellStyle name="Обычный 9 3 3 2 3 2" xfId="51399"/>
    <cellStyle name="Обычный 9 3 3 2 3 2 2" xfId="51400"/>
    <cellStyle name="Обычный 9 3 3 2 3 2 2 2" xfId="51401"/>
    <cellStyle name="Обычный 9 3 3 2 3 2 2 3" xfId="51402"/>
    <cellStyle name="Обычный 9 3 3 2 3 2 3" xfId="51403"/>
    <cellStyle name="Обычный 9 3 3 2 3 2 3 2" xfId="51404"/>
    <cellStyle name="Обычный 9 3 3 2 3 2 3 3" xfId="51405"/>
    <cellStyle name="Обычный 9 3 3 2 3 2 4" xfId="51406"/>
    <cellStyle name="Обычный 9 3 3 2 3 2 4 2" xfId="51407"/>
    <cellStyle name="Обычный 9 3 3 2 3 2 5" xfId="51408"/>
    <cellStyle name="Обычный 9 3 3 2 3 2 6" xfId="51409"/>
    <cellStyle name="Обычный 9 3 3 2 3 3" xfId="51410"/>
    <cellStyle name="Обычный 9 3 3 2 3 3 2" xfId="51411"/>
    <cellStyle name="Обычный 9 3 3 2 3 3 3" xfId="51412"/>
    <cellStyle name="Обычный 9 3 3 2 3 4" xfId="51413"/>
    <cellStyle name="Обычный 9 3 3 2 3 4 2" xfId="51414"/>
    <cellStyle name="Обычный 9 3 3 2 3 4 3" xfId="51415"/>
    <cellStyle name="Обычный 9 3 3 2 3 5" xfId="51416"/>
    <cellStyle name="Обычный 9 3 3 2 3 5 2" xfId="51417"/>
    <cellStyle name="Обычный 9 3 3 2 3 6" xfId="51418"/>
    <cellStyle name="Обычный 9 3 3 2 3 7" xfId="51419"/>
    <cellStyle name="Обычный 9 3 3 2 4" xfId="51420"/>
    <cellStyle name="Обычный 9 3 3 2 4 2" xfId="51421"/>
    <cellStyle name="Обычный 9 3 3 2 4 2 2" xfId="51422"/>
    <cellStyle name="Обычный 9 3 3 2 4 2 3" xfId="51423"/>
    <cellStyle name="Обычный 9 3 3 2 4 3" xfId="51424"/>
    <cellStyle name="Обычный 9 3 3 2 4 3 2" xfId="51425"/>
    <cellStyle name="Обычный 9 3 3 2 4 3 3" xfId="51426"/>
    <cellStyle name="Обычный 9 3 3 2 4 4" xfId="51427"/>
    <cellStyle name="Обычный 9 3 3 2 4 4 2" xfId="51428"/>
    <cellStyle name="Обычный 9 3 3 2 4 5" xfId="51429"/>
    <cellStyle name="Обычный 9 3 3 2 4 6" xfId="51430"/>
    <cellStyle name="Обычный 9 3 3 2 5" xfId="51431"/>
    <cellStyle name="Обычный 9 3 3 2 5 2" xfId="51432"/>
    <cellStyle name="Обычный 9 3 3 2 5 3" xfId="51433"/>
    <cellStyle name="Обычный 9 3 3 2 6" xfId="51434"/>
    <cellStyle name="Обычный 9 3 3 2 6 2" xfId="51435"/>
    <cellStyle name="Обычный 9 3 3 2 6 3" xfId="51436"/>
    <cellStyle name="Обычный 9 3 3 2 7" xfId="51437"/>
    <cellStyle name="Обычный 9 3 3 2 7 2" xfId="51438"/>
    <cellStyle name="Обычный 9 3 3 2 8" xfId="51439"/>
    <cellStyle name="Обычный 9 3 3 2 9" xfId="51440"/>
    <cellStyle name="Обычный 9 3 3 3" xfId="51441"/>
    <cellStyle name="Обычный 9 3 3 3 2" xfId="51442"/>
    <cellStyle name="Обычный 9 3 3 3 2 2" xfId="51443"/>
    <cellStyle name="Обычный 9 3 3 3 2 2 2" xfId="51444"/>
    <cellStyle name="Обычный 9 3 3 3 2 2 2 2" xfId="51445"/>
    <cellStyle name="Обычный 9 3 3 3 2 2 2 3" xfId="51446"/>
    <cellStyle name="Обычный 9 3 3 3 2 2 3" xfId="51447"/>
    <cellStyle name="Обычный 9 3 3 3 2 2 3 2" xfId="51448"/>
    <cellStyle name="Обычный 9 3 3 3 2 2 3 3" xfId="51449"/>
    <cellStyle name="Обычный 9 3 3 3 2 2 4" xfId="51450"/>
    <cellStyle name="Обычный 9 3 3 3 2 2 4 2" xfId="51451"/>
    <cellStyle name="Обычный 9 3 3 3 2 2 5" xfId="51452"/>
    <cellStyle name="Обычный 9 3 3 3 2 2 6" xfId="51453"/>
    <cellStyle name="Обычный 9 3 3 3 2 3" xfId="51454"/>
    <cellStyle name="Обычный 9 3 3 3 2 3 2" xfId="51455"/>
    <cellStyle name="Обычный 9 3 3 3 2 3 3" xfId="51456"/>
    <cellStyle name="Обычный 9 3 3 3 2 4" xfId="51457"/>
    <cellStyle name="Обычный 9 3 3 3 2 4 2" xfId="51458"/>
    <cellStyle name="Обычный 9 3 3 3 2 4 3" xfId="51459"/>
    <cellStyle name="Обычный 9 3 3 3 2 5" xfId="51460"/>
    <cellStyle name="Обычный 9 3 3 3 2 5 2" xfId="51461"/>
    <cellStyle name="Обычный 9 3 3 3 2 6" xfId="51462"/>
    <cellStyle name="Обычный 9 3 3 3 2 7" xfId="51463"/>
    <cellStyle name="Обычный 9 3 3 3 3" xfId="51464"/>
    <cellStyle name="Обычный 9 3 3 3 3 2" xfId="51465"/>
    <cellStyle name="Обычный 9 3 3 3 3 2 2" xfId="51466"/>
    <cellStyle name="Обычный 9 3 3 3 3 2 3" xfId="51467"/>
    <cellStyle name="Обычный 9 3 3 3 3 3" xfId="51468"/>
    <cellStyle name="Обычный 9 3 3 3 3 3 2" xfId="51469"/>
    <cellStyle name="Обычный 9 3 3 3 3 3 3" xfId="51470"/>
    <cellStyle name="Обычный 9 3 3 3 3 4" xfId="51471"/>
    <cellStyle name="Обычный 9 3 3 3 3 4 2" xfId="51472"/>
    <cellStyle name="Обычный 9 3 3 3 3 5" xfId="51473"/>
    <cellStyle name="Обычный 9 3 3 3 3 6" xfId="51474"/>
    <cellStyle name="Обычный 9 3 3 3 4" xfId="51475"/>
    <cellStyle name="Обычный 9 3 3 3 4 2" xfId="51476"/>
    <cellStyle name="Обычный 9 3 3 3 4 3" xfId="51477"/>
    <cellStyle name="Обычный 9 3 3 3 5" xfId="51478"/>
    <cellStyle name="Обычный 9 3 3 3 5 2" xfId="51479"/>
    <cellStyle name="Обычный 9 3 3 3 5 3" xfId="51480"/>
    <cellStyle name="Обычный 9 3 3 3 6" xfId="51481"/>
    <cellStyle name="Обычный 9 3 3 3 6 2" xfId="51482"/>
    <cellStyle name="Обычный 9 3 3 3 7" xfId="51483"/>
    <cellStyle name="Обычный 9 3 3 3 8" xfId="51484"/>
    <cellStyle name="Обычный 9 3 3 4" xfId="51485"/>
    <cellStyle name="Обычный 9 3 3 4 2" xfId="51486"/>
    <cellStyle name="Обычный 9 3 3 4 2 2" xfId="51487"/>
    <cellStyle name="Обычный 9 3 3 4 2 2 2" xfId="51488"/>
    <cellStyle name="Обычный 9 3 3 4 2 2 3" xfId="51489"/>
    <cellStyle name="Обычный 9 3 3 4 2 3" xfId="51490"/>
    <cellStyle name="Обычный 9 3 3 4 2 3 2" xfId="51491"/>
    <cellStyle name="Обычный 9 3 3 4 2 3 3" xfId="51492"/>
    <cellStyle name="Обычный 9 3 3 4 2 4" xfId="51493"/>
    <cellStyle name="Обычный 9 3 3 4 2 4 2" xfId="51494"/>
    <cellStyle name="Обычный 9 3 3 4 2 5" xfId="51495"/>
    <cellStyle name="Обычный 9 3 3 4 2 6" xfId="51496"/>
    <cellStyle name="Обычный 9 3 3 4 3" xfId="51497"/>
    <cellStyle name="Обычный 9 3 3 4 3 2" xfId="51498"/>
    <cellStyle name="Обычный 9 3 3 4 3 3" xfId="51499"/>
    <cellStyle name="Обычный 9 3 3 4 4" xfId="51500"/>
    <cellStyle name="Обычный 9 3 3 4 4 2" xfId="51501"/>
    <cellStyle name="Обычный 9 3 3 4 4 3" xfId="51502"/>
    <cellStyle name="Обычный 9 3 3 4 5" xfId="51503"/>
    <cellStyle name="Обычный 9 3 3 4 5 2" xfId="51504"/>
    <cellStyle name="Обычный 9 3 3 4 6" xfId="51505"/>
    <cellStyle name="Обычный 9 3 3 4 7" xfId="51506"/>
    <cellStyle name="Обычный 9 3 3 5" xfId="51507"/>
    <cellStyle name="Обычный 9 3 3 5 2" xfId="51508"/>
    <cellStyle name="Обычный 9 3 3 5 2 2" xfId="51509"/>
    <cellStyle name="Обычный 9 3 3 5 2 3" xfId="51510"/>
    <cellStyle name="Обычный 9 3 3 5 3" xfId="51511"/>
    <cellStyle name="Обычный 9 3 3 5 3 2" xfId="51512"/>
    <cellStyle name="Обычный 9 3 3 5 3 3" xfId="51513"/>
    <cellStyle name="Обычный 9 3 3 5 4" xfId="51514"/>
    <cellStyle name="Обычный 9 3 3 5 4 2" xfId="51515"/>
    <cellStyle name="Обычный 9 3 3 5 5" xfId="51516"/>
    <cellStyle name="Обычный 9 3 3 5 6" xfId="51517"/>
    <cellStyle name="Обычный 9 3 3 6" xfId="51518"/>
    <cellStyle name="Обычный 9 3 3 6 2" xfId="51519"/>
    <cellStyle name="Обычный 9 3 3 6 3" xfId="51520"/>
    <cellStyle name="Обычный 9 3 3 7" xfId="51521"/>
    <cellStyle name="Обычный 9 3 3 7 2" xfId="51522"/>
    <cellStyle name="Обычный 9 3 3 7 3" xfId="51523"/>
    <cellStyle name="Обычный 9 3 3 8" xfId="51524"/>
    <cellStyle name="Обычный 9 3 3 8 2" xfId="51525"/>
    <cellStyle name="Обычный 9 3 3 9" xfId="51526"/>
    <cellStyle name="Обычный 9 3 4" xfId="51527"/>
    <cellStyle name="Обычный 9 3 4 10" xfId="51528"/>
    <cellStyle name="Обычный 9 3 4 2" xfId="51529"/>
    <cellStyle name="Обычный 9 3 4 2 2" xfId="51530"/>
    <cellStyle name="Обычный 9 3 4 2 2 2" xfId="51531"/>
    <cellStyle name="Обычный 9 3 4 2 2 2 2" xfId="51532"/>
    <cellStyle name="Обычный 9 3 4 2 2 2 2 2" xfId="51533"/>
    <cellStyle name="Обычный 9 3 4 2 2 2 2 2 2" xfId="51534"/>
    <cellStyle name="Обычный 9 3 4 2 2 2 2 2 3" xfId="51535"/>
    <cellStyle name="Обычный 9 3 4 2 2 2 2 3" xfId="51536"/>
    <cellStyle name="Обычный 9 3 4 2 2 2 2 3 2" xfId="51537"/>
    <cellStyle name="Обычный 9 3 4 2 2 2 2 3 3" xfId="51538"/>
    <cellStyle name="Обычный 9 3 4 2 2 2 2 4" xfId="51539"/>
    <cellStyle name="Обычный 9 3 4 2 2 2 2 4 2" xfId="51540"/>
    <cellStyle name="Обычный 9 3 4 2 2 2 2 5" xfId="51541"/>
    <cellStyle name="Обычный 9 3 4 2 2 2 2 6" xfId="51542"/>
    <cellStyle name="Обычный 9 3 4 2 2 2 3" xfId="51543"/>
    <cellStyle name="Обычный 9 3 4 2 2 2 3 2" xfId="51544"/>
    <cellStyle name="Обычный 9 3 4 2 2 2 3 3" xfId="51545"/>
    <cellStyle name="Обычный 9 3 4 2 2 2 4" xfId="51546"/>
    <cellStyle name="Обычный 9 3 4 2 2 2 4 2" xfId="51547"/>
    <cellStyle name="Обычный 9 3 4 2 2 2 4 3" xfId="51548"/>
    <cellStyle name="Обычный 9 3 4 2 2 2 5" xfId="51549"/>
    <cellStyle name="Обычный 9 3 4 2 2 2 5 2" xfId="51550"/>
    <cellStyle name="Обычный 9 3 4 2 2 2 6" xfId="51551"/>
    <cellStyle name="Обычный 9 3 4 2 2 2 7" xfId="51552"/>
    <cellStyle name="Обычный 9 3 4 2 2 3" xfId="51553"/>
    <cellStyle name="Обычный 9 3 4 2 2 3 2" xfId="51554"/>
    <cellStyle name="Обычный 9 3 4 2 2 3 2 2" xfId="51555"/>
    <cellStyle name="Обычный 9 3 4 2 2 3 2 3" xfId="51556"/>
    <cellStyle name="Обычный 9 3 4 2 2 3 3" xfId="51557"/>
    <cellStyle name="Обычный 9 3 4 2 2 3 3 2" xfId="51558"/>
    <cellStyle name="Обычный 9 3 4 2 2 3 3 3" xfId="51559"/>
    <cellStyle name="Обычный 9 3 4 2 2 3 4" xfId="51560"/>
    <cellStyle name="Обычный 9 3 4 2 2 3 4 2" xfId="51561"/>
    <cellStyle name="Обычный 9 3 4 2 2 3 5" xfId="51562"/>
    <cellStyle name="Обычный 9 3 4 2 2 3 6" xfId="51563"/>
    <cellStyle name="Обычный 9 3 4 2 2 4" xfId="51564"/>
    <cellStyle name="Обычный 9 3 4 2 2 4 2" xfId="51565"/>
    <cellStyle name="Обычный 9 3 4 2 2 4 3" xfId="51566"/>
    <cellStyle name="Обычный 9 3 4 2 2 5" xfId="51567"/>
    <cellStyle name="Обычный 9 3 4 2 2 5 2" xfId="51568"/>
    <cellStyle name="Обычный 9 3 4 2 2 5 3" xfId="51569"/>
    <cellStyle name="Обычный 9 3 4 2 2 6" xfId="51570"/>
    <cellStyle name="Обычный 9 3 4 2 2 6 2" xfId="51571"/>
    <cellStyle name="Обычный 9 3 4 2 2 7" xfId="51572"/>
    <cellStyle name="Обычный 9 3 4 2 2 8" xfId="51573"/>
    <cellStyle name="Обычный 9 3 4 2 3" xfId="51574"/>
    <cellStyle name="Обычный 9 3 4 2 3 2" xfId="51575"/>
    <cellStyle name="Обычный 9 3 4 2 3 2 2" xfId="51576"/>
    <cellStyle name="Обычный 9 3 4 2 3 2 2 2" xfId="51577"/>
    <cellStyle name="Обычный 9 3 4 2 3 2 2 3" xfId="51578"/>
    <cellStyle name="Обычный 9 3 4 2 3 2 3" xfId="51579"/>
    <cellStyle name="Обычный 9 3 4 2 3 2 3 2" xfId="51580"/>
    <cellStyle name="Обычный 9 3 4 2 3 2 3 3" xfId="51581"/>
    <cellStyle name="Обычный 9 3 4 2 3 2 4" xfId="51582"/>
    <cellStyle name="Обычный 9 3 4 2 3 2 4 2" xfId="51583"/>
    <cellStyle name="Обычный 9 3 4 2 3 2 5" xfId="51584"/>
    <cellStyle name="Обычный 9 3 4 2 3 2 6" xfId="51585"/>
    <cellStyle name="Обычный 9 3 4 2 3 3" xfId="51586"/>
    <cellStyle name="Обычный 9 3 4 2 3 3 2" xfId="51587"/>
    <cellStyle name="Обычный 9 3 4 2 3 3 3" xfId="51588"/>
    <cellStyle name="Обычный 9 3 4 2 3 4" xfId="51589"/>
    <cellStyle name="Обычный 9 3 4 2 3 4 2" xfId="51590"/>
    <cellStyle name="Обычный 9 3 4 2 3 4 3" xfId="51591"/>
    <cellStyle name="Обычный 9 3 4 2 3 5" xfId="51592"/>
    <cellStyle name="Обычный 9 3 4 2 3 5 2" xfId="51593"/>
    <cellStyle name="Обычный 9 3 4 2 3 6" xfId="51594"/>
    <cellStyle name="Обычный 9 3 4 2 3 7" xfId="51595"/>
    <cellStyle name="Обычный 9 3 4 2 4" xfId="51596"/>
    <cellStyle name="Обычный 9 3 4 2 4 2" xfId="51597"/>
    <cellStyle name="Обычный 9 3 4 2 4 2 2" xfId="51598"/>
    <cellStyle name="Обычный 9 3 4 2 4 2 3" xfId="51599"/>
    <cellStyle name="Обычный 9 3 4 2 4 3" xfId="51600"/>
    <cellStyle name="Обычный 9 3 4 2 4 3 2" xfId="51601"/>
    <cellStyle name="Обычный 9 3 4 2 4 3 3" xfId="51602"/>
    <cellStyle name="Обычный 9 3 4 2 4 4" xfId="51603"/>
    <cellStyle name="Обычный 9 3 4 2 4 4 2" xfId="51604"/>
    <cellStyle name="Обычный 9 3 4 2 4 5" xfId="51605"/>
    <cellStyle name="Обычный 9 3 4 2 4 6" xfId="51606"/>
    <cellStyle name="Обычный 9 3 4 2 5" xfId="51607"/>
    <cellStyle name="Обычный 9 3 4 2 5 2" xfId="51608"/>
    <cellStyle name="Обычный 9 3 4 2 5 3" xfId="51609"/>
    <cellStyle name="Обычный 9 3 4 2 6" xfId="51610"/>
    <cellStyle name="Обычный 9 3 4 2 6 2" xfId="51611"/>
    <cellStyle name="Обычный 9 3 4 2 6 3" xfId="51612"/>
    <cellStyle name="Обычный 9 3 4 2 7" xfId="51613"/>
    <cellStyle name="Обычный 9 3 4 2 7 2" xfId="51614"/>
    <cellStyle name="Обычный 9 3 4 2 8" xfId="51615"/>
    <cellStyle name="Обычный 9 3 4 2 9" xfId="51616"/>
    <cellStyle name="Обычный 9 3 4 3" xfId="51617"/>
    <cellStyle name="Обычный 9 3 4 3 2" xfId="51618"/>
    <cellStyle name="Обычный 9 3 4 3 2 2" xfId="51619"/>
    <cellStyle name="Обычный 9 3 4 3 2 2 2" xfId="51620"/>
    <cellStyle name="Обычный 9 3 4 3 2 2 2 2" xfId="51621"/>
    <cellStyle name="Обычный 9 3 4 3 2 2 2 3" xfId="51622"/>
    <cellStyle name="Обычный 9 3 4 3 2 2 3" xfId="51623"/>
    <cellStyle name="Обычный 9 3 4 3 2 2 3 2" xfId="51624"/>
    <cellStyle name="Обычный 9 3 4 3 2 2 3 3" xfId="51625"/>
    <cellStyle name="Обычный 9 3 4 3 2 2 4" xfId="51626"/>
    <cellStyle name="Обычный 9 3 4 3 2 2 4 2" xfId="51627"/>
    <cellStyle name="Обычный 9 3 4 3 2 2 5" xfId="51628"/>
    <cellStyle name="Обычный 9 3 4 3 2 2 6" xfId="51629"/>
    <cellStyle name="Обычный 9 3 4 3 2 3" xfId="51630"/>
    <cellStyle name="Обычный 9 3 4 3 2 3 2" xfId="51631"/>
    <cellStyle name="Обычный 9 3 4 3 2 3 3" xfId="51632"/>
    <cellStyle name="Обычный 9 3 4 3 2 4" xfId="51633"/>
    <cellStyle name="Обычный 9 3 4 3 2 4 2" xfId="51634"/>
    <cellStyle name="Обычный 9 3 4 3 2 4 3" xfId="51635"/>
    <cellStyle name="Обычный 9 3 4 3 2 5" xfId="51636"/>
    <cellStyle name="Обычный 9 3 4 3 2 5 2" xfId="51637"/>
    <cellStyle name="Обычный 9 3 4 3 2 6" xfId="51638"/>
    <cellStyle name="Обычный 9 3 4 3 2 7" xfId="51639"/>
    <cellStyle name="Обычный 9 3 4 3 3" xfId="51640"/>
    <cellStyle name="Обычный 9 3 4 3 3 2" xfId="51641"/>
    <cellStyle name="Обычный 9 3 4 3 3 2 2" xfId="51642"/>
    <cellStyle name="Обычный 9 3 4 3 3 2 3" xfId="51643"/>
    <cellStyle name="Обычный 9 3 4 3 3 3" xfId="51644"/>
    <cellStyle name="Обычный 9 3 4 3 3 3 2" xfId="51645"/>
    <cellStyle name="Обычный 9 3 4 3 3 3 3" xfId="51646"/>
    <cellStyle name="Обычный 9 3 4 3 3 4" xfId="51647"/>
    <cellStyle name="Обычный 9 3 4 3 3 4 2" xfId="51648"/>
    <cellStyle name="Обычный 9 3 4 3 3 5" xfId="51649"/>
    <cellStyle name="Обычный 9 3 4 3 3 6" xfId="51650"/>
    <cellStyle name="Обычный 9 3 4 3 4" xfId="51651"/>
    <cellStyle name="Обычный 9 3 4 3 4 2" xfId="51652"/>
    <cellStyle name="Обычный 9 3 4 3 4 3" xfId="51653"/>
    <cellStyle name="Обычный 9 3 4 3 5" xfId="51654"/>
    <cellStyle name="Обычный 9 3 4 3 5 2" xfId="51655"/>
    <cellStyle name="Обычный 9 3 4 3 5 3" xfId="51656"/>
    <cellStyle name="Обычный 9 3 4 3 6" xfId="51657"/>
    <cellStyle name="Обычный 9 3 4 3 6 2" xfId="51658"/>
    <cellStyle name="Обычный 9 3 4 3 7" xfId="51659"/>
    <cellStyle name="Обычный 9 3 4 3 8" xfId="51660"/>
    <cellStyle name="Обычный 9 3 4 4" xfId="51661"/>
    <cellStyle name="Обычный 9 3 4 4 2" xfId="51662"/>
    <cellStyle name="Обычный 9 3 4 4 2 2" xfId="51663"/>
    <cellStyle name="Обычный 9 3 4 4 2 2 2" xfId="51664"/>
    <cellStyle name="Обычный 9 3 4 4 2 2 3" xfId="51665"/>
    <cellStyle name="Обычный 9 3 4 4 2 3" xfId="51666"/>
    <cellStyle name="Обычный 9 3 4 4 2 3 2" xfId="51667"/>
    <cellStyle name="Обычный 9 3 4 4 2 3 3" xfId="51668"/>
    <cellStyle name="Обычный 9 3 4 4 2 4" xfId="51669"/>
    <cellStyle name="Обычный 9 3 4 4 2 4 2" xfId="51670"/>
    <cellStyle name="Обычный 9 3 4 4 2 5" xfId="51671"/>
    <cellStyle name="Обычный 9 3 4 4 2 6" xfId="51672"/>
    <cellStyle name="Обычный 9 3 4 4 3" xfId="51673"/>
    <cellStyle name="Обычный 9 3 4 4 3 2" xfId="51674"/>
    <cellStyle name="Обычный 9 3 4 4 3 3" xfId="51675"/>
    <cellStyle name="Обычный 9 3 4 4 4" xfId="51676"/>
    <cellStyle name="Обычный 9 3 4 4 4 2" xfId="51677"/>
    <cellStyle name="Обычный 9 3 4 4 4 3" xfId="51678"/>
    <cellStyle name="Обычный 9 3 4 4 5" xfId="51679"/>
    <cellStyle name="Обычный 9 3 4 4 5 2" xfId="51680"/>
    <cellStyle name="Обычный 9 3 4 4 6" xfId="51681"/>
    <cellStyle name="Обычный 9 3 4 4 7" xfId="51682"/>
    <cellStyle name="Обычный 9 3 4 5" xfId="51683"/>
    <cellStyle name="Обычный 9 3 4 5 2" xfId="51684"/>
    <cellStyle name="Обычный 9 3 4 5 2 2" xfId="51685"/>
    <cellStyle name="Обычный 9 3 4 5 2 3" xfId="51686"/>
    <cellStyle name="Обычный 9 3 4 5 3" xfId="51687"/>
    <cellStyle name="Обычный 9 3 4 5 3 2" xfId="51688"/>
    <cellStyle name="Обычный 9 3 4 5 3 3" xfId="51689"/>
    <cellStyle name="Обычный 9 3 4 5 4" xfId="51690"/>
    <cellStyle name="Обычный 9 3 4 5 4 2" xfId="51691"/>
    <cellStyle name="Обычный 9 3 4 5 5" xfId="51692"/>
    <cellStyle name="Обычный 9 3 4 5 6" xfId="51693"/>
    <cellStyle name="Обычный 9 3 4 6" xfId="51694"/>
    <cellStyle name="Обычный 9 3 4 6 2" xfId="51695"/>
    <cellStyle name="Обычный 9 3 4 6 3" xfId="51696"/>
    <cellStyle name="Обычный 9 3 4 7" xfId="51697"/>
    <cellStyle name="Обычный 9 3 4 7 2" xfId="51698"/>
    <cellStyle name="Обычный 9 3 4 7 3" xfId="51699"/>
    <cellStyle name="Обычный 9 3 4 8" xfId="51700"/>
    <cellStyle name="Обычный 9 3 4 8 2" xfId="51701"/>
    <cellStyle name="Обычный 9 3 4 9" xfId="51702"/>
    <cellStyle name="Обычный 9 3 5" xfId="51703"/>
    <cellStyle name="Обычный 9 3 5 10" xfId="51704"/>
    <cellStyle name="Обычный 9 3 5 2" xfId="51705"/>
    <cellStyle name="Обычный 9 3 5 2 2" xfId="51706"/>
    <cellStyle name="Обычный 9 3 5 2 2 2" xfId="51707"/>
    <cellStyle name="Обычный 9 3 5 2 2 2 2" xfId="51708"/>
    <cellStyle name="Обычный 9 3 5 2 2 2 2 2" xfId="51709"/>
    <cellStyle name="Обычный 9 3 5 2 2 2 2 2 2" xfId="51710"/>
    <cellStyle name="Обычный 9 3 5 2 2 2 2 2 3" xfId="51711"/>
    <cellStyle name="Обычный 9 3 5 2 2 2 2 3" xfId="51712"/>
    <cellStyle name="Обычный 9 3 5 2 2 2 2 3 2" xfId="51713"/>
    <cellStyle name="Обычный 9 3 5 2 2 2 2 3 3" xfId="51714"/>
    <cellStyle name="Обычный 9 3 5 2 2 2 2 4" xfId="51715"/>
    <cellStyle name="Обычный 9 3 5 2 2 2 2 4 2" xfId="51716"/>
    <cellStyle name="Обычный 9 3 5 2 2 2 2 5" xfId="51717"/>
    <cellStyle name="Обычный 9 3 5 2 2 2 2 6" xfId="51718"/>
    <cellStyle name="Обычный 9 3 5 2 2 2 3" xfId="51719"/>
    <cellStyle name="Обычный 9 3 5 2 2 2 3 2" xfId="51720"/>
    <cellStyle name="Обычный 9 3 5 2 2 2 3 3" xfId="51721"/>
    <cellStyle name="Обычный 9 3 5 2 2 2 4" xfId="51722"/>
    <cellStyle name="Обычный 9 3 5 2 2 2 4 2" xfId="51723"/>
    <cellStyle name="Обычный 9 3 5 2 2 2 4 3" xfId="51724"/>
    <cellStyle name="Обычный 9 3 5 2 2 2 5" xfId="51725"/>
    <cellStyle name="Обычный 9 3 5 2 2 2 5 2" xfId="51726"/>
    <cellStyle name="Обычный 9 3 5 2 2 2 6" xfId="51727"/>
    <cellStyle name="Обычный 9 3 5 2 2 2 7" xfId="51728"/>
    <cellStyle name="Обычный 9 3 5 2 2 3" xfId="51729"/>
    <cellStyle name="Обычный 9 3 5 2 2 3 2" xfId="51730"/>
    <cellStyle name="Обычный 9 3 5 2 2 3 2 2" xfId="51731"/>
    <cellStyle name="Обычный 9 3 5 2 2 3 2 3" xfId="51732"/>
    <cellStyle name="Обычный 9 3 5 2 2 3 3" xfId="51733"/>
    <cellStyle name="Обычный 9 3 5 2 2 3 3 2" xfId="51734"/>
    <cellStyle name="Обычный 9 3 5 2 2 3 3 3" xfId="51735"/>
    <cellStyle name="Обычный 9 3 5 2 2 3 4" xfId="51736"/>
    <cellStyle name="Обычный 9 3 5 2 2 3 4 2" xfId="51737"/>
    <cellStyle name="Обычный 9 3 5 2 2 3 5" xfId="51738"/>
    <cellStyle name="Обычный 9 3 5 2 2 3 6" xfId="51739"/>
    <cellStyle name="Обычный 9 3 5 2 2 4" xfId="51740"/>
    <cellStyle name="Обычный 9 3 5 2 2 4 2" xfId="51741"/>
    <cellStyle name="Обычный 9 3 5 2 2 4 3" xfId="51742"/>
    <cellStyle name="Обычный 9 3 5 2 2 5" xfId="51743"/>
    <cellStyle name="Обычный 9 3 5 2 2 5 2" xfId="51744"/>
    <cellStyle name="Обычный 9 3 5 2 2 5 3" xfId="51745"/>
    <cellStyle name="Обычный 9 3 5 2 2 6" xfId="51746"/>
    <cellStyle name="Обычный 9 3 5 2 2 6 2" xfId="51747"/>
    <cellStyle name="Обычный 9 3 5 2 2 7" xfId="51748"/>
    <cellStyle name="Обычный 9 3 5 2 2 8" xfId="51749"/>
    <cellStyle name="Обычный 9 3 5 2 3" xfId="51750"/>
    <cellStyle name="Обычный 9 3 5 2 3 2" xfId="51751"/>
    <cellStyle name="Обычный 9 3 5 2 3 2 2" xfId="51752"/>
    <cellStyle name="Обычный 9 3 5 2 3 2 2 2" xfId="51753"/>
    <cellStyle name="Обычный 9 3 5 2 3 2 2 3" xfId="51754"/>
    <cellStyle name="Обычный 9 3 5 2 3 2 3" xfId="51755"/>
    <cellStyle name="Обычный 9 3 5 2 3 2 3 2" xfId="51756"/>
    <cellStyle name="Обычный 9 3 5 2 3 2 3 3" xfId="51757"/>
    <cellStyle name="Обычный 9 3 5 2 3 2 4" xfId="51758"/>
    <cellStyle name="Обычный 9 3 5 2 3 2 4 2" xfId="51759"/>
    <cellStyle name="Обычный 9 3 5 2 3 2 5" xfId="51760"/>
    <cellStyle name="Обычный 9 3 5 2 3 2 6" xfId="51761"/>
    <cellStyle name="Обычный 9 3 5 2 3 3" xfId="51762"/>
    <cellStyle name="Обычный 9 3 5 2 3 3 2" xfId="51763"/>
    <cellStyle name="Обычный 9 3 5 2 3 3 3" xfId="51764"/>
    <cellStyle name="Обычный 9 3 5 2 3 4" xfId="51765"/>
    <cellStyle name="Обычный 9 3 5 2 3 4 2" xfId="51766"/>
    <cellStyle name="Обычный 9 3 5 2 3 4 3" xfId="51767"/>
    <cellStyle name="Обычный 9 3 5 2 3 5" xfId="51768"/>
    <cellStyle name="Обычный 9 3 5 2 3 5 2" xfId="51769"/>
    <cellStyle name="Обычный 9 3 5 2 3 6" xfId="51770"/>
    <cellStyle name="Обычный 9 3 5 2 3 7" xfId="51771"/>
    <cellStyle name="Обычный 9 3 5 2 4" xfId="51772"/>
    <cellStyle name="Обычный 9 3 5 2 4 2" xfId="51773"/>
    <cellStyle name="Обычный 9 3 5 2 4 2 2" xfId="51774"/>
    <cellStyle name="Обычный 9 3 5 2 4 2 3" xfId="51775"/>
    <cellStyle name="Обычный 9 3 5 2 4 3" xfId="51776"/>
    <cellStyle name="Обычный 9 3 5 2 4 3 2" xfId="51777"/>
    <cellStyle name="Обычный 9 3 5 2 4 3 3" xfId="51778"/>
    <cellStyle name="Обычный 9 3 5 2 4 4" xfId="51779"/>
    <cellStyle name="Обычный 9 3 5 2 4 4 2" xfId="51780"/>
    <cellStyle name="Обычный 9 3 5 2 4 5" xfId="51781"/>
    <cellStyle name="Обычный 9 3 5 2 4 6" xfId="51782"/>
    <cellStyle name="Обычный 9 3 5 2 5" xfId="51783"/>
    <cellStyle name="Обычный 9 3 5 2 5 2" xfId="51784"/>
    <cellStyle name="Обычный 9 3 5 2 5 3" xfId="51785"/>
    <cellStyle name="Обычный 9 3 5 2 6" xfId="51786"/>
    <cellStyle name="Обычный 9 3 5 2 6 2" xfId="51787"/>
    <cellStyle name="Обычный 9 3 5 2 6 3" xfId="51788"/>
    <cellStyle name="Обычный 9 3 5 2 7" xfId="51789"/>
    <cellStyle name="Обычный 9 3 5 2 7 2" xfId="51790"/>
    <cellStyle name="Обычный 9 3 5 2 8" xfId="51791"/>
    <cellStyle name="Обычный 9 3 5 2 9" xfId="51792"/>
    <cellStyle name="Обычный 9 3 5 3" xfId="51793"/>
    <cellStyle name="Обычный 9 3 5 3 2" xfId="51794"/>
    <cellStyle name="Обычный 9 3 5 3 2 2" xfId="51795"/>
    <cellStyle name="Обычный 9 3 5 3 2 2 2" xfId="51796"/>
    <cellStyle name="Обычный 9 3 5 3 2 2 2 2" xfId="51797"/>
    <cellStyle name="Обычный 9 3 5 3 2 2 2 3" xfId="51798"/>
    <cellStyle name="Обычный 9 3 5 3 2 2 3" xfId="51799"/>
    <cellStyle name="Обычный 9 3 5 3 2 2 3 2" xfId="51800"/>
    <cellStyle name="Обычный 9 3 5 3 2 2 3 3" xfId="51801"/>
    <cellStyle name="Обычный 9 3 5 3 2 2 4" xfId="51802"/>
    <cellStyle name="Обычный 9 3 5 3 2 2 4 2" xfId="51803"/>
    <cellStyle name="Обычный 9 3 5 3 2 2 5" xfId="51804"/>
    <cellStyle name="Обычный 9 3 5 3 2 2 6" xfId="51805"/>
    <cellStyle name="Обычный 9 3 5 3 2 3" xfId="51806"/>
    <cellStyle name="Обычный 9 3 5 3 2 3 2" xfId="51807"/>
    <cellStyle name="Обычный 9 3 5 3 2 3 3" xfId="51808"/>
    <cellStyle name="Обычный 9 3 5 3 2 4" xfId="51809"/>
    <cellStyle name="Обычный 9 3 5 3 2 4 2" xfId="51810"/>
    <cellStyle name="Обычный 9 3 5 3 2 4 3" xfId="51811"/>
    <cellStyle name="Обычный 9 3 5 3 2 5" xfId="51812"/>
    <cellStyle name="Обычный 9 3 5 3 2 5 2" xfId="51813"/>
    <cellStyle name="Обычный 9 3 5 3 2 6" xfId="51814"/>
    <cellStyle name="Обычный 9 3 5 3 2 7" xfId="51815"/>
    <cellStyle name="Обычный 9 3 5 3 3" xfId="51816"/>
    <cellStyle name="Обычный 9 3 5 3 3 2" xfId="51817"/>
    <cellStyle name="Обычный 9 3 5 3 3 2 2" xfId="51818"/>
    <cellStyle name="Обычный 9 3 5 3 3 2 3" xfId="51819"/>
    <cellStyle name="Обычный 9 3 5 3 3 3" xfId="51820"/>
    <cellStyle name="Обычный 9 3 5 3 3 3 2" xfId="51821"/>
    <cellStyle name="Обычный 9 3 5 3 3 3 3" xfId="51822"/>
    <cellStyle name="Обычный 9 3 5 3 3 4" xfId="51823"/>
    <cellStyle name="Обычный 9 3 5 3 3 4 2" xfId="51824"/>
    <cellStyle name="Обычный 9 3 5 3 3 5" xfId="51825"/>
    <cellStyle name="Обычный 9 3 5 3 3 6" xfId="51826"/>
    <cellStyle name="Обычный 9 3 5 3 4" xfId="51827"/>
    <cellStyle name="Обычный 9 3 5 3 4 2" xfId="51828"/>
    <cellStyle name="Обычный 9 3 5 3 4 3" xfId="51829"/>
    <cellStyle name="Обычный 9 3 5 3 5" xfId="51830"/>
    <cellStyle name="Обычный 9 3 5 3 5 2" xfId="51831"/>
    <cellStyle name="Обычный 9 3 5 3 5 3" xfId="51832"/>
    <cellStyle name="Обычный 9 3 5 3 6" xfId="51833"/>
    <cellStyle name="Обычный 9 3 5 3 6 2" xfId="51834"/>
    <cellStyle name="Обычный 9 3 5 3 7" xfId="51835"/>
    <cellStyle name="Обычный 9 3 5 3 8" xfId="51836"/>
    <cellStyle name="Обычный 9 3 5 4" xfId="51837"/>
    <cellStyle name="Обычный 9 3 5 4 2" xfId="51838"/>
    <cellStyle name="Обычный 9 3 5 4 2 2" xfId="51839"/>
    <cellStyle name="Обычный 9 3 5 4 2 2 2" xfId="51840"/>
    <cellStyle name="Обычный 9 3 5 4 2 2 3" xfId="51841"/>
    <cellStyle name="Обычный 9 3 5 4 2 3" xfId="51842"/>
    <cellStyle name="Обычный 9 3 5 4 2 3 2" xfId="51843"/>
    <cellStyle name="Обычный 9 3 5 4 2 3 3" xfId="51844"/>
    <cellStyle name="Обычный 9 3 5 4 2 4" xfId="51845"/>
    <cellStyle name="Обычный 9 3 5 4 2 4 2" xfId="51846"/>
    <cellStyle name="Обычный 9 3 5 4 2 5" xfId="51847"/>
    <cellStyle name="Обычный 9 3 5 4 2 6" xfId="51848"/>
    <cellStyle name="Обычный 9 3 5 4 3" xfId="51849"/>
    <cellStyle name="Обычный 9 3 5 4 3 2" xfId="51850"/>
    <cellStyle name="Обычный 9 3 5 4 3 3" xfId="51851"/>
    <cellStyle name="Обычный 9 3 5 4 4" xfId="51852"/>
    <cellStyle name="Обычный 9 3 5 4 4 2" xfId="51853"/>
    <cellStyle name="Обычный 9 3 5 4 4 3" xfId="51854"/>
    <cellStyle name="Обычный 9 3 5 4 5" xfId="51855"/>
    <cellStyle name="Обычный 9 3 5 4 5 2" xfId="51856"/>
    <cellStyle name="Обычный 9 3 5 4 6" xfId="51857"/>
    <cellStyle name="Обычный 9 3 5 4 7" xfId="51858"/>
    <cellStyle name="Обычный 9 3 5 5" xfId="51859"/>
    <cellStyle name="Обычный 9 3 5 5 2" xfId="51860"/>
    <cellStyle name="Обычный 9 3 5 5 2 2" xfId="51861"/>
    <cellStyle name="Обычный 9 3 5 5 2 3" xfId="51862"/>
    <cellStyle name="Обычный 9 3 5 5 3" xfId="51863"/>
    <cellStyle name="Обычный 9 3 5 5 3 2" xfId="51864"/>
    <cellStyle name="Обычный 9 3 5 5 3 3" xfId="51865"/>
    <cellStyle name="Обычный 9 3 5 5 4" xfId="51866"/>
    <cellStyle name="Обычный 9 3 5 5 4 2" xfId="51867"/>
    <cellStyle name="Обычный 9 3 5 5 5" xfId="51868"/>
    <cellStyle name="Обычный 9 3 5 5 6" xfId="51869"/>
    <cellStyle name="Обычный 9 3 5 6" xfId="51870"/>
    <cellStyle name="Обычный 9 3 5 6 2" xfId="51871"/>
    <cellStyle name="Обычный 9 3 5 6 3" xfId="51872"/>
    <cellStyle name="Обычный 9 3 5 7" xfId="51873"/>
    <cellStyle name="Обычный 9 3 5 7 2" xfId="51874"/>
    <cellStyle name="Обычный 9 3 5 7 3" xfId="51875"/>
    <cellStyle name="Обычный 9 3 5 8" xfId="51876"/>
    <cellStyle name="Обычный 9 3 5 8 2" xfId="51877"/>
    <cellStyle name="Обычный 9 3 5 9" xfId="51878"/>
    <cellStyle name="Обычный 9 3 6" xfId="51879"/>
    <cellStyle name="Обычный 9 3 6 2" xfId="51880"/>
    <cellStyle name="Обычный 9 3 6 2 2" xfId="51881"/>
    <cellStyle name="Обычный 9 3 6 2 2 2" xfId="51882"/>
    <cellStyle name="Обычный 9 3 6 2 2 2 2" xfId="51883"/>
    <cellStyle name="Обычный 9 3 6 2 2 2 2 2" xfId="51884"/>
    <cellStyle name="Обычный 9 3 6 2 2 2 2 3" xfId="51885"/>
    <cellStyle name="Обычный 9 3 6 2 2 2 3" xfId="51886"/>
    <cellStyle name="Обычный 9 3 6 2 2 2 3 2" xfId="51887"/>
    <cellStyle name="Обычный 9 3 6 2 2 2 3 3" xfId="51888"/>
    <cellStyle name="Обычный 9 3 6 2 2 2 4" xfId="51889"/>
    <cellStyle name="Обычный 9 3 6 2 2 2 4 2" xfId="51890"/>
    <cellStyle name="Обычный 9 3 6 2 2 2 5" xfId="51891"/>
    <cellStyle name="Обычный 9 3 6 2 2 2 6" xfId="51892"/>
    <cellStyle name="Обычный 9 3 6 2 2 3" xfId="51893"/>
    <cellStyle name="Обычный 9 3 6 2 2 3 2" xfId="51894"/>
    <cellStyle name="Обычный 9 3 6 2 2 3 3" xfId="51895"/>
    <cellStyle name="Обычный 9 3 6 2 2 4" xfId="51896"/>
    <cellStyle name="Обычный 9 3 6 2 2 4 2" xfId="51897"/>
    <cellStyle name="Обычный 9 3 6 2 2 4 3" xfId="51898"/>
    <cellStyle name="Обычный 9 3 6 2 2 5" xfId="51899"/>
    <cellStyle name="Обычный 9 3 6 2 2 5 2" xfId="51900"/>
    <cellStyle name="Обычный 9 3 6 2 2 6" xfId="51901"/>
    <cellStyle name="Обычный 9 3 6 2 2 7" xfId="51902"/>
    <cellStyle name="Обычный 9 3 6 2 3" xfId="51903"/>
    <cellStyle name="Обычный 9 3 6 2 3 2" xfId="51904"/>
    <cellStyle name="Обычный 9 3 6 2 3 2 2" xfId="51905"/>
    <cellStyle name="Обычный 9 3 6 2 3 2 3" xfId="51906"/>
    <cellStyle name="Обычный 9 3 6 2 3 3" xfId="51907"/>
    <cellStyle name="Обычный 9 3 6 2 3 3 2" xfId="51908"/>
    <cellStyle name="Обычный 9 3 6 2 3 3 3" xfId="51909"/>
    <cellStyle name="Обычный 9 3 6 2 3 4" xfId="51910"/>
    <cellStyle name="Обычный 9 3 6 2 3 4 2" xfId="51911"/>
    <cellStyle name="Обычный 9 3 6 2 3 5" xfId="51912"/>
    <cellStyle name="Обычный 9 3 6 2 3 6" xfId="51913"/>
    <cellStyle name="Обычный 9 3 6 2 4" xfId="51914"/>
    <cellStyle name="Обычный 9 3 6 2 4 2" xfId="51915"/>
    <cellStyle name="Обычный 9 3 6 2 4 3" xfId="51916"/>
    <cellStyle name="Обычный 9 3 6 2 5" xfId="51917"/>
    <cellStyle name="Обычный 9 3 6 2 5 2" xfId="51918"/>
    <cellStyle name="Обычный 9 3 6 2 5 3" xfId="51919"/>
    <cellStyle name="Обычный 9 3 6 2 6" xfId="51920"/>
    <cellStyle name="Обычный 9 3 6 2 6 2" xfId="51921"/>
    <cellStyle name="Обычный 9 3 6 2 7" xfId="51922"/>
    <cellStyle name="Обычный 9 3 6 2 8" xfId="51923"/>
    <cellStyle name="Обычный 9 3 6 3" xfId="51924"/>
    <cellStyle name="Обычный 9 3 6 3 2" xfId="51925"/>
    <cellStyle name="Обычный 9 3 6 3 2 2" xfId="51926"/>
    <cellStyle name="Обычный 9 3 6 3 2 2 2" xfId="51927"/>
    <cellStyle name="Обычный 9 3 6 3 2 2 3" xfId="51928"/>
    <cellStyle name="Обычный 9 3 6 3 2 3" xfId="51929"/>
    <cellStyle name="Обычный 9 3 6 3 2 3 2" xfId="51930"/>
    <cellStyle name="Обычный 9 3 6 3 2 3 3" xfId="51931"/>
    <cellStyle name="Обычный 9 3 6 3 2 4" xfId="51932"/>
    <cellStyle name="Обычный 9 3 6 3 2 4 2" xfId="51933"/>
    <cellStyle name="Обычный 9 3 6 3 2 5" xfId="51934"/>
    <cellStyle name="Обычный 9 3 6 3 2 6" xfId="51935"/>
    <cellStyle name="Обычный 9 3 6 3 3" xfId="51936"/>
    <cellStyle name="Обычный 9 3 6 3 3 2" xfId="51937"/>
    <cellStyle name="Обычный 9 3 6 3 3 3" xfId="51938"/>
    <cellStyle name="Обычный 9 3 6 3 4" xfId="51939"/>
    <cellStyle name="Обычный 9 3 6 3 4 2" xfId="51940"/>
    <cellStyle name="Обычный 9 3 6 3 4 3" xfId="51941"/>
    <cellStyle name="Обычный 9 3 6 3 5" xfId="51942"/>
    <cellStyle name="Обычный 9 3 6 3 5 2" xfId="51943"/>
    <cellStyle name="Обычный 9 3 6 3 6" xfId="51944"/>
    <cellStyle name="Обычный 9 3 6 3 7" xfId="51945"/>
    <cellStyle name="Обычный 9 3 6 4" xfId="51946"/>
    <cellStyle name="Обычный 9 3 6 4 2" xfId="51947"/>
    <cellStyle name="Обычный 9 3 6 4 2 2" xfId="51948"/>
    <cellStyle name="Обычный 9 3 6 4 2 3" xfId="51949"/>
    <cellStyle name="Обычный 9 3 6 4 3" xfId="51950"/>
    <cellStyle name="Обычный 9 3 6 4 3 2" xfId="51951"/>
    <cellStyle name="Обычный 9 3 6 4 3 3" xfId="51952"/>
    <cellStyle name="Обычный 9 3 6 4 4" xfId="51953"/>
    <cellStyle name="Обычный 9 3 6 4 4 2" xfId="51954"/>
    <cellStyle name="Обычный 9 3 6 4 5" xfId="51955"/>
    <cellStyle name="Обычный 9 3 6 4 6" xfId="51956"/>
    <cellStyle name="Обычный 9 3 6 5" xfId="51957"/>
    <cellStyle name="Обычный 9 3 6 5 2" xfId="51958"/>
    <cellStyle name="Обычный 9 3 6 5 3" xfId="51959"/>
    <cellStyle name="Обычный 9 3 6 6" xfId="51960"/>
    <cellStyle name="Обычный 9 3 6 6 2" xfId="51961"/>
    <cellStyle name="Обычный 9 3 6 6 3" xfId="51962"/>
    <cellStyle name="Обычный 9 3 6 7" xfId="51963"/>
    <cellStyle name="Обычный 9 3 6 7 2" xfId="51964"/>
    <cellStyle name="Обычный 9 3 6 8" xfId="51965"/>
    <cellStyle name="Обычный 9 3 6 9" xfId="51966"/>
    <cellStyle name="Обычный 9 3 7" xfId="51967"/>
    <cellStyle name="Обычный 9 3 7 2" xfId="51968"/>
    <cellStyle name="Обычный 9 3 7 2 2" xfId="51969"/>
    <cellStyle name="Обычный 9 3 7 2 2 2" xfId="51970"/>
    <cellStyle name="Обычный 9 3 7 2 2 2 2" xfId="51971"/>
    <cellStyle name="Обычный 9 3 7 2 2 2 3" xfId="51972"/>
    <cellStyle name="Обычный 9 3 7 2 2 3" xfId="51973"/>
    <cellStyle name="Обычный 9 3 7 2 2 3 2" xfId="51974"/>
    <cellStyle name="Обычный 9 3 7 2 2 3 3" xfId="51975"/>
    <cellStyle name="Обычный 9 3 7 2 2 4" xfId="51976"/>
    <cellStyle name="Обычный 9 3 7 2 2 4 2" xfId="51977"/>
    <cellStyle name="Обычный 9 3 7 2 2 5" xfId="51978"/>
    <cellStyle name="Обычный 9 3 7 2 2 6" xfId="51979"/>
    <cellStyle name="Обычный 9 3 7 2 3" xfId="51980"/>
    <cellStyle name="Обычный 9 3 7 2 3 2" xfId="51981"/>
    <cellStyle name="Обычный 9 3 7 2 3 3" xfId="51982"/>
    <cellStyle name="Обычный 9 3 7 2 4" xfId="51983"/>
    <cellStyle name="Обычный 9 3 7 2 4 2" xfId="51984"/>
    <cellStyle name="Обычный 9 3 7 2 4 3" xfId="51985"/>
    <cellStyle name="Обычный 9 3 7 2 5" xfId="51986"/>
    <cellStyle name="Обычный 9 3 7 2 5 2" xfId="51987"/>
    <cellStyle name="Обычный 9 3 7 2 6" xfId="51988"/>
    <cellStyle name="Обычный 9 3 7 2 7" xfId="51989"/>
    <cellStyle name="Обычный 9 3 7 3" xfId="51990"/>
    <cellStyle name="Обычный 9 3 7 3 2" xfId="51991"/>
    <cellStyle name="Обычный 9 3 7 3 2 2" xfId="51992"/>
    <cellStyle name="Обычный 9 3 7 3 2 3" xfId="51993"/>
    <cellStyle name="Обычный 9 3 7 3 3" xfId="51994"/>
    <cellStyle name="Обычный 9 3 7 3 3 2" xfId="51995"/>
    <cellStyle name="Обычный 9 3 7 3 3 3" xfId="51996"/>
    <cellStyle name="Обычный 9 3 7 3 4" xfId="51997"/>
    <cellStyle name="Обычный 9 3 7 3 4 2" xfId="51998"/>
    <cellStyle name="Обычный 9 3 7 3 5" xfId="51999"/>
    <cellStyle name="Обычный 9 3 7 3 6" xfId="52000"/>
    <cellStyle name="Обычный 9 3 7 4" xfId="52001"/>
    <cellStyle name="Обычный 9 3 7 4 2" xfId="52002"/>
    <cellStyle name="Обычный 9 3 7 4 3" xfId="52003"/>
    <cellStyle name="Обычный 9 3 7 5" xfId="52004"/>
    <cellStyle name="Обычный 9 3 7 5 2" xfId="52005"/>
    <cellStyle name="Обычный 9 3 7 5 3" xfId="52006"/>
    <cellStyle name="Обычный 9 3 7 6" xfId="52007"/>
    <cellStyle name="Обычный 9 3 7 6 2" xfId="52008"/>
    <cellStyle name="Обычный 9 3 7 7" xfId="52009"/>
    <cellStyle name="Обычный 9 3 7 8" xfId="52010"/>
    <cellStyle name="Обычный 9 3 8" xfId="52011"/>
    <cellStyle name="Обычный 9 3 8 2" xfId="52012"/>
    <cellStyle name="Обычный 9 3 8 2 2" xfId="52013"/>
    <cellStyle name="Обычный 9 3 8 2 2 2" xfId="52014"/>
    <cellStyle name="Обычный 9 3 8 2 2 3" xfId="52015"/>
    <cellStyle name="Обычный 9 3 8 2 3" xfId="52016"/>
    <cellStyle name="Обычный 9 3 8 2 3 2" xfId="52017"/>
    <cellStyle name="Обычный 9 3 8 2 3 3" xfId="52018"/>
    <cellStyle name="Обычный 9 3 8 2 4" xfId="52019"/>
    <cellStyle name="Обычный 9 3 8 2 4 2" xfId="52020"/>
    <cellStyle name="Обычный 9 3 8 2 5" xfId="52021"/>
    <cellStyle name="Обычный 9 3 8 2 6" xfId="52022"/>
    <cellStyle name="Обычный 9 3 8 3" xfId="52023"/>
    <cellStyle name="Обычный 9 3 8 3 2" xfId="52024"/>
    <cellStyle name="Обычный 9 3 8 3 3" xfId="52025"/>
    <cellStyle name="Обычный 9 3 8 4" xfId="52026"/>
    <cellStyle name="Обычный 9 3 8 4 2" xfId="52027"/>
    <cellStyle name="Обычный 9 3 8 4 3" xfId="52028"/>
    <cellStyle name="Обычный 9 3 8 5" xfId="52029"/>
    <cellStyle name="Обычный 9 3 8 5 2" xfId="52030"/>
    <cellStyle name="Обычный 9 3 8 6" xfId="52031"/>
    <cellStyle name="Обычный 9 3 8 7" xfId="52032"/>
    <cellStyle name="Обычный 9 3 9" xfId="52033"/>
    <cellStyle name="Обычный 9 3 9 2" xfId="52034"/>
    <cellStyle name="Обычный 9 3 9 2 2" xfId="52035"/>
    <cellStyle name="Обычный 9 3 9 2 3" xfId="52036"/>
    <cellStyle name="Обычный 9 3 9 3" xfId="52037"/>
    <cellStyle name="Обычный 9 3 9 3 2" xfId="52038"/>
    <cellStyle name="Обычный 9 3 9 3 3" xfId="52039"/>
    <cellStyle name="Обычный 9 3 9 4" xfId="52040"/>
    <cellStyle name="Обычный 9 3 9 4 2" xfId="52041"/>
    <cellStyle name="Обычный 9 3 9 5" xfId="52042"/>
    <cellStyle name="Обычный 9 3 9 6" xfId="52043"/>
    <cellStyle name="Обычный 9 4" xfId="52044"/>
    <cellStyle name="Обычный 9 4 10" xfId="52045"/>
    <cellStyle name="Обычный 9 4 10 2" xfId="52046"/>
    <cellStyle name="Обычный 9 4 10 3" xfId="52047"/>
    <cellStyle name="Обычный 9 4 11" xfId="52048"/>
    <cellStyle name="Обычный 9 4 11 2" xfId="52049"/>
    <cellStyle name="Обычный 9 4 11 3" xfId="52050"/>
    <cellStyle name="Обычный 9 4 12" xfId="52051"/>
    <cellStyle name="Обычный 9 4 12 2" xfId="52052"/>
    <cellStyle name="Обычный 9 4 13" xfId="52053"/>
    <cellStyle name="Обычный 9 4 14" xfId="52054"/>
    <cellStyle name="Обычный 9 4 2" xfId="52055"/>
    <cellStyle name="Обычный 9 4 2 10" xfId="52056"/>
    <cellStyle name="Обычный 9 4 2 10 2" xfId="52057"/>
    <cellStyle name="Обычный 9 4 2 10 3" xfId="52058"/>
    <cellStyle name="Обычный 9 4 2 11" xfId="52059"/>
    <cellStyle name="Обычный 9 4 2 11 2" xfId="52060"/>
    <cellStyle name="Обычный 9 4 2 12" xfId="52061"/>
    <cellStyle name="Обычный 9 4 2 13" xfId="52062"/>
    <cellStyle name="Обычный 9 4 2 2" xfId="52063"/>
    <cellStyle name="Обычный 9 4 2 2 10" xfId="52064"/>
    <cellStyle name="Обычный 9 4 2 2 2" xfId="52065"/>
    <cellStyle name="Обычный 9 4 2 2 2 2" xfId="52066"/>
    <cellStyle name="Обычный 9 4 2 2 2 2 2" xfId="52067"/>
    <cellStyle name="Обычный 9 4 2 2 2 2 2 2" xfId="52068"/>
    <cellStyle name="Обычный 9 4 2 2 2 2 2 2 2" xfId="52069"/>
    <cellStyle name="Обычный 9 4 2 2 2 2 2 2 2 2" xfId="52070"/>
    <cellStyle name="Обычный 9 4 2 2 2 2 2 2 2 3" xfId="52071"/>
    <cellStyle name="Обычный 9 4 2 2 2 2 2 2 3" xfId="52072"/>
    <cellStyle name="Обычный 9 4 2 2 2 2 2 2 3 2" xfId="52073"/>
    <cellStyle name="Обычный 9 4 2 2 2 2 2 2 3 3" xfId="52074"/>
    <cellStyle name="Обычный 9 4 2 2 2 2 2 2 4" xfId="52075"/>
    <cellStyle name="Обычный 9 4 2 2 2 2 2 2 4 2" xfId="52076"/>
    <cellStyle name="Обычный 9 4 2 2 2 2 2 2 5" xfId="52077"/>
    <cellStyle name="Обычный 9 4 2 2 2 2 2 2 6" xfId="52078"/>
    <cellStyle name="Обычный 9 4 2 2 2 2 2 3" xfId="52079"/>
    <cellStyle name="Обычный 9 4 2 2 2 2 2 3 2" xfId="52080"/>
    <cellStyle name="Обычный 9 4 2 2 2 2 2 3 3" xfId="52081"/>
    <cellStyle name="Обычный 9 4 2 2 2 2 2 4" xfId="52082"/>
    <cellStyle name="Обычный 9 4 2 2 2 2 2 4 2" xfId="52083"/>
    <cellStyle name="Обычный 9 4 2 2 2 2 2 4 3" xfId="52084"/>
    <cellStyle name="Обычный 9 4 2 2 2 2 2 5" xfId="52085"/>
    <cellStyle name="Обычный 9 4 2 2 2 2 2 5 2" xfId="52086"/>
    <cellStyle name="Обычный 9 4 2 2 2 2 2 6" xfId="52087"/>
    <cellStyle name="Обычный 9 4 2 2 2 2 2 7" xfId="52088"/>
    <cellStyle name="Обычный 9 4 2 2 2 2 3" xfId="52089"/>
    <cellStyle name="Обычный 9 4 2 2 2 2 3 2" xfId="52090"/>
    <cellStyle name="Обычный 9 4 2 2 2 2 3 2 2" xfId="52091"/>
    <cellStyle name="Обычный 9 4 2 2 2 2 3 2 3" xfId="52092"/>
    <cellStyle name="Обычный 9 4 2 2 2 2 3 3" xfId="52093"/>
    <cellStyle name="Обычный 9 4 2 2 2 2 3 3 2" xfId="52094"/>
    <cellStyle name="Обычный 9 4 2 2 2 2 3 3 3" xfId="52095"/>
    <cellStyle name="Обычный 9 4 2 2 2 2 3 4" xfId="52096"/>
    <cellStyle name="Обычный 9 4 2 2 2 2 3 4 2" xfId="52097"/>
    <cellStyle name="Обычный 9 4 2 2 2 2 3 5" xfId="52098"/>
    <cellStyle name="Обычный 9 4 2 2 2 2 3 6" xfId="52099"/>
    <cellStyle name="Обычный 9 4 2 2 2 2 4" xfId="52100"/>
    <cellStyle name="Обычный 9 4 2 2 2 2 4 2" xfId="52101"/>
    <cellStyle name="Обычный 9 4 2 2 2 2 4 3" xfId="52102"/>
    <cellStyle name="Обычный 9 4 2 2 2 2 5" xfId="52103"/>
    <cellStyle name="Обычный 9 4 2 2 2 2 5 2" xfId="52104"/>
    <cellStyle name="Обычный 9 4 2 2 2 2 5 3" xfId="52105"/>
    <cellStyle name="Обычный 9 4 2 2 2 2 6" xfId="52106"/>
    <cellStyle name="Обычный 9 4 2 2 2 2 6 2" xfId="52107"/>
    <cellStyle name="Обычный 9 4 2 2 2 2 7" xfId="52108"/>
    <cellStyle name="Обычный 9 4 2 2 2 2 8" xfId="52109"/>
    <cellStyle name="Обычный 9 4 2 2 2 3" xfId="52110"/>
    <cellStyle name="Обычный 9 4 2 2 2 3 2" xfId="52111"/>
    <cellStyle name="Обычный 9 4 2 2 2 3 2 2" xfId="52112"/>
    <cellStyle name="Обычный 9 4 2 2 2 3 2 2 2" xfId="52113"/>
    <cellStyle name="Обычный 9 4 2 2 2 3 2 2 3" xfId="52114"/>
    <cellStyle name="Обычный 9 4 2 2 2 3 2 3" xfId="52115"/>
    <cellStyle name="Обычный 9 4 2 2 2 3 2 3 2" xfId="52116"/>
    <cellStyle name="Обычный 9 4 2 2 2 3 2 3 3" xfId="52117"/>
    <cellStyle name="Обычный 9 4 2 2 2 3 2 4" xfId="52118"/>
    <cellStyle name="Обычный 9 4 2 2 2 3 2 4 2" xfId="52119"/>
    <cellStyle name="Обычный 9 4 2 2 2 3 2 5" xfId="52120"/>
    <cellStyle name="Обычный 9 4 2 2 2 3 2 6" xfId="52121"/>
    <cellStyle name="Обычный 9 4 2 2 2 3 3" xfId="52122"/>
    <cellStyle name="Обычный 9 4 2 2 2 3 3 2" xfId="52123"/>
    <cellStyle name="Обычный 9 4 2 2 2 3 3 3" xfId="52124"/>
    <cellStyle name="Обычный 9 4 2 2 2 3 4" xfId="52125"/>
    <cellStyle name="Обычный 9 4 2 2 2 3 4 2" xfId="52126"/>
    <cellStyle name="Обычный 9 4 2 2 2 3 4 3" xfId="52127"/>
    <cellStyle name="Обычный 9 4 2 2 2 3 5" xfId="52128"/>
    <cellStyle name="Обычный 9 4 2 2 2 3 5 2" xfId="52129"/>
    <cellStyle name="Обычный 9 4 2 2 2 3 6" xfId="52130"/>
    <cellStyle name="Обычный 9 4 2 2 2 3 7" xfId="52131"/>
    <cellStyle name="Обычный 9 4 2 2 2 4" xfId="52132"/>
    <cellStyle name="Обычный 9 4 2 2 2 4 2" xfId="52133"/>
    <cellStyle name="Обычный 9 4 2 2 2 4 2 2" xfId="52134"/>
    <cellStyle name="Обычный 9 4 2 2 2 4 2 3" xfId="52135"/>
    <cellStyle name="Обычный 9 4 2 2 2 4 3" xfId="52136"/>
    <cellStyle name="Обычный 9 4 2 2 2 4 3 2" xfId="52137"/>
    <cellStyle name="Обычный 9 4 2 2 2 4 3 3" xfId="52138"/>
    <cellStyle name="Обычный 9 4 2 2 2 4 4" xfId="52139"/>
    <cellStyle name="Обычный 9 4 2 2 2 4 4 2" xfId="52140"/>
    <cellStyle name="Обычный 9 4 2 2 2 4 5" xfId="52141"/>
    <cellStyle name="Обычный 9 4 2 2 2 4 6" xfId="52142"/>
    <cellStyle name="Обычный 9 4 2 2 2 5" xfId="52143"/>
    <cellStyle name="Обычный 9 4 2 2 2 5 2" xfId="52144"/>
    <cellStyle name="Обычный 9 4 2 2 2 5 3" xfId="52145"/>
    <cellStyle name="Обычный 9 4 2 2 2 6" xfId="52146"/>
    <cellStyle name="Обычный 9 4 2 2 2 6 2" xfId="52147"/>
    <cellStyle name="Обычный 9 4 2 2 2 6 3" xfId="52148"/>
    <cellStyle name="Обычный 9 4 2 2 2 7" xfId="52149"/>
    <cellStyle name="Обычный 9 4 2 2 2 7 2" xfId="52150"/>
    <cellStyle name="Обычный 9 4 2 2 2 8" xfId="52151"/>
    <cellStyle name="Обычный 9 4 2 2 2 9" xfId="52152"/>
    <cellStyle name="Обычный 9 4 2 2 3" xfId="52153"/>
    <cellStyle name="Обычный 9 4 2 2 3 2" xfId="52154"/>
    <cellStyle name="Обычный 9 4 2 2 3 2 2" xfId="52155"/>
    <cellStyle name="Обычный 9 4 2 2 3 2 2 2" xfId="52156"/>
    <cellStyle name="Обычный 9 4 2 2 3 2 2 2 2" xfId="52157"/>
    <cellStyle name="Обычный 9 4 2 2 3 2 2 2 3" xfId="52158"/>
    <cellStyle name="Обычный 9 4 2 2 3 2 2 3" xfId="52159"/>
    <cellStyle name="Обычный 9 4 2 2 3 2 2 3 2" xfId="52160"/>
    <cellStyle name="Обычный 9 4 2 2 3 2 2 3 3" xfId="52161"/>
    <cellStyle name="Обычный 9 4 2 2 3 2 2 4" xfId="52162"/>
    <cellStyle name="Обычный 9 4 2 2 3 2 2 4 2" xfId="52163"/>
    <cellStyle name="Обычный 9 4 2 2 3 2 2 5" xfId="52164"/>
    <cellStyle name="Обычный 9 4 2 2 3 2 2 6" xfId="52165"/>
    <cellStyle name="Обычный 9 4 2 2 3 2 3" xfId="52166"/>
    <cellStyle name="Обычный 9 4 2 2 3 2 3 2" xfId="52167"/>
    <cellStyle name="Обычный 9 4 2 2 3 2 3 3" xfId="52168"/>
    <cellStyle name="Обычный 9 4 2 2 3 2 4" xfId="52169"/>
    <cellStyle name="Обычный 9 4 2 2 3 2 4 2" xfId="52170"/>
    <cellStyle name="Обычный 9 4 2 2 3 2 4 3" xfId="52171"/>
    <cellStyle name="Обычный 9 4 2 2 3 2 5" xfId="52172"/>
    <cellStyle name="Обычный 9 4 2 2 3 2 5 2" xfId="52173"/>
    <cellStyle name="Обычный 9 4 2 2 3 2 6" xfId="52174"/>
    <cellStyle name="Обычный 9 4 2 2 3 2 7" xfId="52175"/>
    <cellStyle name="Обычный 9 4 2 2 3 3" xfId="52176"/>
    <cellStyle name="Обычный 9 4 2 2 3 3 2" xfId="52177"/>
    <cellStyle name="Обычный 9 4 2 2 3 3 2 2" xfId="52178"/>
    <cellStyle name="Обычный 9 4 2 2 3 3 2 3" xfId="52179"/>
    <cellStyle name="Обычный 9 4 2 2 3 3 3" xfId="52180"/>
    <cellStyle name="Обычный 9 4 2 2 3 3 3 2" xfId="52181"/>
    <cellStyle name="Обычный 9 4 2 2 3 3 3 3" xfId="52182"/>
    <cellStyle name="Обычный 9 4 2 2 3 3 4" xfId="52183"/>
    <cellStyle name="Обычный 9 4 2 2 3 3 4 2" xfId="52184"/>
    <cellStyle name="Обычный 9 4 2 2 3 3 5" xfId="52185"/>
    <cellStyle name="Обычный 9 4 2 2 3 3 6" xfId="52186"/>
    <cellStyle name="Обычный 9 4 2 2 3 4" xfId="52187"/>
    <cellStyle name="Обычный 9 4 2 2 3 4 2" xfId="52188"/>
    <cellStyle name="Обычный 9 4 2 2 3 4 3" xfId="52189"/>
    <cellStyle name="Обычный 9 4 2 2 3 5" xfId="52190"/>
    <cellStyle name="Обычный 9 4 2 2 3 5 2" xfId="52191"/>
    <cellStyle name="Обычный 9 4 2 2 3 5 3" xfId="52192"/>
    <cellStyle name="Обычный 9 4 2 2 3 6" xfId="52193"/>
    <cellStyle name="Обычный 9 4 2 2 3 6 2" xfId="52194"/>
    <cellStyle name="Обычный 9 4 2 2 3 7" xfId="52195"/>
    <cellStyle name="Обычный 9 4 2 2 3 8" xfId="52196"/>
    <cellStyle name="Обычный 9 4 2 2 4" xfId="52197"/>
    <cellStyle name="Обычный 9 4 2 2 4 2" xfId="52198"/>
    <cellStyle name="Обычный 9 4 2 2 4 2 2" xfId="52199"/>
    <cellStyle name="Обычный 9 4 2 2 4 2 2 2" xfId="52200"/>
    <cellStyle name="Обычный 9 4 2 2 4 2 2 3" xfId="52201"/>
    <cellStyle name="Обычный 9 4 2 2 4 2 3" xfId="52202"/>
    <cellStyle name="Обычный 9 4 2 2 4 2 3 2" xfId="52203"/>
    <cellStyle name="Обычный 9 4 2 2 4 2 3 3" xfId="52204"/>
    <cellStyle name="Обычный 9 4 2 2 4 2 4" xfId="52205"/>
    <cellStyle name="Обычный 9 4 2 2 4 2 4 2" xfId="52206"/>
    <cellStyle name="Обычный 9 4 2 2 4 2 5" xfId="52207"/>
    <cellStyle name="Обычный 9 4 2 2 4 2 6" xfId="52208"/>
    <cellStyle name="Обычный 9 4 2 2 4 3" xfId="52209"/>
    <cellStyle name="Обычный 9 4 2 2 4 3 2" xfId="52210"/>
    <cellStyle name="Обычный 9 4 2 2 4 3 3" xfId="52211"/>
    <cellStyle name="Обычный 9 4 2 2 4 4" xfId="52212"/>
    <cellStyle name="Обычный 9 4 2 2 4 4 2" xfId="52213"/>
    <cellStyle name="Обычный 9 4 2 2 4 4 3" xfId="52214"/>
    <cellStyle name="Обычный 9 4 2 2 4 5" xfId="52215"/>
    <cellStyle name="Обычный 9 4 2 2 4 5 2" xfId="52216"/>
    <cellStyle name="Обычный 9 4 2 2 4 6" xfId="52217"/>
    <cellStyle name="Обычный 9 4 2 2 4 7" xfId="52218"/>
    <cellStyle name="Обычный 9 4 2 2 5" xfId="52219"/>
    <cellStyle name="Обычный 9 4 2 2 5 2" xfId="52220"/>
    <cellStyle name="Обычный 9 4 2 2 5 2 2" xfId="52221"/>
    <cellStyle name="Обычный 9 4 2 2 5 2 3" xfId="52222"/>
    <cellStyle name="Обычный 9 4 2 2 5 3" xfId="52223"/>
    <cellStyle name="Обычный 9 4 2 2 5 3 2" xfId="52224"/>
    <cellStyle name="Обычный 9 4 2 2 5 3 3" xfId="52225"/>
    <cellStyle name="Обычный 9 4 2 2 5 4" xfId="52226"/>
    <cellStyle name="Обычный 9 4 2 2 5 4 2" xfId="52227"/>
    <cellStyle name="Обычный 9 4 2 2 5 5" xfId="52228"/>
    <cellStyle name="Обычный 9 4 2 2 5 6" xfId="52229"/>
    <cellStyle name="Обычный 9 4 2 2 6" xfId="52230"/>
    <cellStyle name="Обычный 9 4 2 2 6 2" xfId="52231"/>
    <cellStyle name="Обычный 9 4 2 2 6 3" xfId="52232"/>
    <cellStyle name="Обычный 9 4 2 2 7" xfId="52233"/>
    <cellStyle name="Обычный 9 4 2 2 7 2" xfId="52234"/>
    <cellStyle name="Обычный 9 4 2 2 7 3" xfId="52235"/>
    <cellStyle name="Обычный 9 4 2 2 8" xfId="52236"/>
    <cellStyle name="Обычный 9 4 2 2 8 2" xfId="52237"/>
    <cellStyle name="Обычный 9 4 2 2 9" xfId="52238"/>
    <cellStyle name="Обычный 9 4 2 3" xfId="52239"/>
    <cellStyle name="Обычный 9 4 2 3 10" xfId="52240"/>
    <cellStyle name="Обычный 9 4 2 3 2" xfId="52241"/>
    <cellStyle name="Обычный 9 4 2 3 2 2" xfId="52242"/>
    <cellStyle name="Обычный 9 4 2 3 2 2 2" xfId="52243"/>
    <cellStyle name="Обычный 9 4 2 3 2 2 2 2" xfId="52244"/>
    <cellStyle name="Обычный 9 4 2 3 2 2 2 2 2" xfId="52245"/>
    <cellStyle name="Обычный 9 4 2 3 2 2 2 2 2 2" xfId="52246"/>
    <cellStyle name="Обычный 9 4 2 3 2 2 2 2 2 3" xfId="52247"/>
    <cellStyle name="Обычный 9 4 2 3 2 2 2 2 3" xfId="52248"/>
    <cellStyle name="Обычный 9 4 2 3 2 2 2 2 3 2" xfId="52249"/>
    <cellStyle name="Обычный 9 4 2 3 2 2 2 2 3 3" xfId="52250"/>
    <cellStyle name="Обычный 9 4 2 3 2 2 2 2 4" xfId="52251"/>
    <cellStyle name="Обычный 9 4 2 3 2 2 2 2 4 2" xfId="52252"/>
    <cellStyle name="Обычный 9 4 2 3 2 2 2 2 5" xfId="52253"/>
    <cellStyle name="Обычный 9 4 2 3 2 2 2 2 6" xfId="52254"/>
    <cellStyle name="Обычный 9 4 2 3 2 2 2 3" xfId="52255"/>
    <cellStyle name="Обычный 9 4 2 3 2 2 2 3 2" xfId="52256"/>
    <cellStyle name="Обычный 9 4 2 3 2 2 2 3 3" xfId="52257"/>
    <cellStyle name="Обычный 9 4 2 3 2 2 2 4" xfId="52258"/>
    <cellStyle name="Обычный 9 4 2 3 2 2 2 4 2" xfId="52259"/>
    <cellStyle name="Обычный 9 4 2 3 2 2 2 4 3" xfId="52260"/>
    <cellStyle name="Обычный 9 4 2 3 2 2 2 5" xfId="52261"/>
    <cellStyle name="Обычный 9 4 2 3 2 2 2 5 2" xfId="52262"/>
    <cellStyle name="Обычный 9 4 2 3 2 2 2 6" xfId="52263"/>
    <cellStyle name="Обычный 9 4 2 3 2 2 2 7" xfId="52264"/>
    <cellStyle name="Обычный 9 4 2 3 2 2 3" xfId="52265"/>
    <cellStyle name="Обычный 9 4 2 3 2 2 3 2" xfId="52266"/>
    <cellStyle name="Обычный 9 4 2 3 2 2 3 2 2" xfId="52267"/>
    <cellStyle name="Обычный 9 4 2 3 2 2 3 2 3" xfId="52268"/>
    <cellStyle name="Обычный 9 4 2 3 2 2 3 3" xfId="52269"/>
    <cellStyle name="Обычный 9 4 2 3 2 2 3 3 2" xfId="52270"/>
    <cellStyle name="Обычный 9 4 2 3 2 2 3 3 3" xfId="52271"/>
    <cellStyle name="Обычный 9 4 2 3 2 2 3 4" xfId="52272"/>
    <cellStyle name="Обычный 9 4 2 3 2 2 3 4 2" xfId="52273"/>
    <cellStyle name="Обычный 9 4 2 3 2 2 3 5" xfId="52274"/>
    <cellStyle name="Обычный 9 4 2 3 2 2 3 6" xfId="52275"/>
    <cellStyle name="Обычный 9 4 2 3 2 2 4" xfId="52276"/>
    <cellStyle name="Обычный 9 4 2 3 2 2 4 2" xfId="52277"/>
    <cellStyle name="Обычный 9 4 2 3 2 2 4 3" xfId="52278"/>
    <cellStyle name="Обычный 9 4 2 3 2 2 5" xfId="52279"/>
    <cellStyle name="Обычный 9 4 2 3 2 2 5 2" xfId="52280"/>
    <cellStyle name="Обычный 9 4 2 3 2 2 5 3" xfId="52281"/>
    <cellStyle name="Обычный 9 4 2 3 2 2 6" xfId="52282"/>
    <cellStyle name="Обычный 9 4 2 3 2 2 6 2" xfId="52283"/>
    <cellStyle name="Обычный 9 4 2 3 2 2 7" xfId="52284"/>
    <cellStyle name="Обычный 9 4 2 3 2 2 8" xfId="52285"/>
    <cellStyle name="Обычный 9 4 2 3 2 3" xfId="52286"/>
    <cellStyle name="Обычный 9 4 2 3 2 3 2" xfId="52287"/>
    <cellStyle name="Обычный 9 4 2 3 2 3 2 2" xfId="52288"/>
    <cellStyle name="Обычный 9 4 2 3 2 3 2 2 2" xfId="52289"/>
    <cellStyle name="Обычный 9 4 2 3 2 3 2 2 3" xfId="52290"/>
    <cellStyle name="Обычный 9 4 2 3 2 3 2 3" xfId="52291"/>
    <cellStyle name="Обычный 9 4 2 3 2 3 2 3 2" xfId="52292"/>
    <cellStyle name="Обычный 9 4 2 3 2 3 2 3 3" xfId="52293"/>
    <cellStyle name="Обычный 9 4 2 3 2 3 2 4" xfId="52294"/>
    <cellStyle name="Обычный 9 4 2 3 2 3 2 4 2" xfId="52295"/>
    <cellStyle name="Обычный 9 4 2 3 2 3 2 5" xfId="52296"/>
    <cellStyle name="Обычный 9 4 2 3 2 3 2 6" xfId="52297"/>
    <cellStyle name="Обычный 9 4 2 3 2 3 3" xfId="52298"/>
    <cellStyle name="Обычный 9 4 2 3 2 3 3 2" xfId="52299"/>
    <cellStyle name="Обычный 9 4 2 3 2 3 3 3" xfId="52300"/>
    <cellStyle name="Обычный 9 4 2 3 2 3 4" xfId="52301"/>
    <cellStyle name="Обычный 9 4 2 3 2 3 4 2" xfId="52302"/>
    <cellStyle name="Обычный 9 4 2 3 2 3 4 3" xfId="52303"/>
    <cellStyle name="Обычный 9 4 2 3 2 3 5" xfId="52304"/>
    <cellStyle name="Обычный 9 4 2 3 2 3 5 2" xfId="52305"/>
    <cellStyle name="Обычный 9 4 2 3 2 3 6" xfId="52306"/>
    <cellStyle name="Обычный 9 4 2 3 2 3 7" xfId="52307"/>
    <cellStyle name="Обычный 9 4 2 3 2 4" xfId="52308"/>
    <cellStyle name="Обычный 9 4 2 3 2 4 2" xfId="52309"/>
    <cellStyle name="Обычный 9 4 2 3 2 4 2 2" xfId="52310"/>
    <cellStyle name="Обычный 9 4 2 3 2 4 2 3" xfId="52311"/>
    <cellStyle name="Обычный 9 4 2 3 2 4 3" xfId="52312"/>
    <cellStyle name="Обычный 9 4 2 3 2 4 3 2" xfId="52313"/>
    <cellStyle name="Обычный 9 4 2 3 2 4 3 3" xfId="52314"/>
    <cellStyle name="Обычный 9 4 2 3 2 4 4" xfId="52315"/>
    <cellStyle name="Обычный 9 4 2 3 2 4 4 2" xfId="52316"/>
    <cellStyle name="Обычный 9 4 2 3 2 4 5" xfId="52317"/>
    <cellStyle name="Обычный 9 4 2 3 2 4 6" xfId="52318"/>
    <cellStyle name="Обычный 9 4 2 3 2 5" xfId="52319"/>
    <cellStyle name="Обычный 9 4 2 3 2 5 2" xfId="52320"/>
    <cellStyle name="Обычный 9 4 2 3 2 5 3" xfId="52321"/>
    <cellStyle name="Обычный 9 4 2 3 2 6" xfId="52322"/>
    <cellStyle name="Обычный 9 4 2 3 2 6 2" xfId="52323"/>
    <cellStyle name="Обычный 9 4 2 3 2 6 3" xfId="52324"/>
    <cellStyle name="Обычный 9 4 2 3 2 7" xfId="52325"/>
    <cellStyle name="Обычный 9 4 2 3 2 7 2" xfId="52326"/>
    <cellStyle name="Обычный 9 4 2 3 2 8" xfId="52327"/>
    <cellStyle name="Обычный 9 4 2 3 2 9" xfId="52328"/>
    <cellStyle name="Обычный 9 4 2 3 3" xfId="52329"/>
    <cellStyle name="Обычный 9 4 2 3 3 2" xfId="52330"/>
    <cellStyle name="Обычный 9 4 2 3 3 2 2" xfId="52331"/>
    <cellStyle name="Обычный 9 4 2 3 3 2 2 2" xfId="52332"/>
    <cellStyle name="Обычный 9 4 2 3 3 2 2 2 2" xfId="52333"/>
    <cellStyle name="Обычный 9 4 2 3 3 2 2 2 3" xfId="52334"/>
    <cellStyle name="Обычный 9 4 2 3 3 2 2 3" xfId="52335"/>
    <cellStyle name="Обычный 9 4 2 3 3 2 2 3 2" xfId="52336"/>
    <cellStyle name="Обычный 9 4 2 3 3 2 2 3 3" xfId="52337"/>
    <cellStyle name="Обычный 9 4 2 3 3 2 2 4" xfId="52338"/>
    <cellStyle name="Обычный 9 4 2 3 3 2 2 4 2" xfId="52339"/>
    <cellStyle name="Обычный 9 4 2 3 3 2 2 5" xfId="52340"/>
    <cellStyle name="Обычный 9 4 2 3 3 2 2 6" xfId="52341"/>
    <cellStyle name="Обычный 9 4 2 3 3 2 3" xfId="52342"/>
    <cellStyle name="Обычный 9 4 2 3 3 2 3 2" xfId="52343"/>
    <cellStyle name="Обычный 9 4 2 3 3 2 3 3" xfId="52344"/>
    <cellStyle name="Обычный 9 4 2 3 3 2 4" xfId="52345"/>
    <cellStyle name="Обычный 9 4 2 3 3 2 4 2" xfId="52346"/>
    <cellStyle name="Обычный 9 4 2 3 3 2 4 3" xfId="52347"/>
    <cellStyle name="Обычный 9 4 2 3 3 2 5" xfId="52348"/>
    <cellStyle name="Обычный 9 4 2 3 3 2 5 2" xfId="52349"/>
    <cellStyle name="Обычный 9 4 2 3 3 2 6" xfId="52350"/>
    <cellStyle name="Обычный 9 4 2 3 3 2 7" xfId="52351"/>
    <cellStyle name="Обычный 9 4 2 3 3 3" xfId="52352"/>
    <cellStyle name="Обычный 9 4 2 3 3 3 2" xfId="52353"/>
    <cellStyle name="Обычный 9 4 2 3 3 3 2 2" xfId="52354"/>
    <cellStyle name="Обычный 9 4 2 3 3 3 2 3" xfId="52355"/>
    <cellStyle name="Обычный 9 4 2 3 3 3 3" xfId="52356"/>
    <cellStyle name="Обычный 9 4 2 3 3 3 3 2" xfId="52357"/>
    <cellStyle name="Обычный 9 4 2 3 3 3 3 3" xfId="52358"/>
    <cellStyle name="Обычный 9 4 2 3 3 3 4" xfId="52359"/>
    <cellStyle name="Обычный 9 4 2 3 3 3 4 2" xfId="52360"/>
    <cellStyle name="Обычный 9 4 2 3 3 3 5" xfId="52361"/>
    <cellStyle name="Обычный 9 4 2 3 3 3 6" xfId="52362"/>
    <cellStyle name="Обычный 9 4 2 3 3 4" xfId="52363"/>
    <cellStyle name="Обычный 9 4 2 3 3 4 2" xfId="52364"/>
    <cellStyle name="Обычный 9 4 2 3 3 4 3" xfId="52365"/>
    <cellStyle name="Обычный 9 4 2 3 3 5" xfId="52366"/>
    <cellStyle name="Обычный 9 4 2 3 3 5 2" xfId="52367"/>
    <cellStyle name="Обычный 9 4 2 3 3 5 3" xfId="52368"/>
    <cellStyle name="Обычный 9 4 2 3 3 6" xfId="52369"/>
    <cellStyle name="Обычный 9 4 2 3 3 6 2" xfId="52370"/>
    <cellStyle name="Обычный 9 4 2 3 3 7" xfId="52371"/>
    <cellStyle name="Обычный 9 4 2 3 3 8" xfId="52372"/>
    <cellStyle name="Обычный 9 4 2 3 4" xfId="52373"/>
    <cellStyle name="Обычный 9 4 2 3 4 2" xfId="52374"/>
    <cellStyle name="Обычный 9 4 2 3 4 2 2" xfId="52375"/>
    <cellStyle name="Обычный 9 4 2 3 4 2 2 2" xfId="52376"/>
    <cellStyle name="Обычный 9 4 2 3 4 2 2 3" xfId="52377"/>
    <cellStyle name="Обычный 9 4 2 3 4 2 3" xfId="52378"/>
    <cellStyle name="Обычный 9 4 2 3 4 2 3 2" xfId="52379"/>
    <cellStyle name="Обычный 9 4 2 3 4 2 3 3" xfId="52380"/>
    <cellStyle name="Обычный 9 4 2 3 4 2 4" xfId="52381"/>
    <cellStyle name="Обычный 9 4 2 3 4 2 4 2" xfId="52382"/>
    <cellStyle name="Обычный 9 4 2 3 4 2 5" xfId="52383"/>
    <cellStyle name="Обычный 9 4 2 3 4 2 6" xfId="52384"/>
    <cellStyle name="Обычный 9 4 2 3 4 3" xfId="52385"/>
    <cellStyle name="Обычный 9 4 2 3 4 3 2" xfId="52386"/>
    <cellStyle name="Обычный 9 4 2 3 4 3 3" xfId="52387"/>
    <cellStyle name="Обычный 9 4 2 3 4 4" xfId="52388"/>
    <cellStyle name="Обычный 9 4 2 3 4 4 2" xfId="52389"/>
    <cellStyle name="Обычный 9 4 2 3 4 4 3" xfId="52390"/>
    <cellStyle name="Обычный 9 4 2 3 4 5" xfId="52391"/>
    <cellStyle name="Обычный 9 4 2 3 4 5 2" xfId="52392"/>
    <cellStyle name="Обычный 9 4 2 3 4 6" xfId="52393"/>
    <cellStyle name="Обычный 9 4 2 3 4 7" xfId="52394"/>
    <cellStyle name="Обычный 9 4 2 3 5" xfId="52395"/>
    <cellStyle name="Обычный 9 4 2 3 5 2" xfId="52396"/>
    <cellStyle name="Обычный 9 4 2 3 5 2 2" xfId="52397"/>
    <cellStyle name="Обычный 9 4 2 3 5 2 3" xfId="52398"/>
    <cellStyle name="Обычный 9 4 2 3 5 3" xfId="52399"/>
    <cellStyle name="Обычный 9 4 2 3 5 3 2" xfId="52400"/>
    <cellStyle name="Обычный 9 4 2 3 5 3 3" xfId="52401"/>
    <cellStyle name="Обычный 9 4 2 3 5 4" xfId="52402"/>
    <cellStyle name="Обычный 9 4 2 3 5 4 2" xfId="52403"/>
    <cellStyle name="Обычный 9 4 2 3 5 5" xfId="52404"/>
    <cellStyle name="Обычный 9 4 2 3 5 6" xfId="52405"/>
    <cellStyle name="Обычный 9 4 2 3 6" xfId="52406"/>
    <cellStyle name="Обычный 9 4 2 3 6 2" xfId="52407"/>
    <cellStyle name="Обычный 9 4 2 3 6 3" xfId="52408"/>
    <cellStyle name="Обычный 9 4 2 3 7" xfId="52409"/>
    <cellStyle name="Обычный 9 4 2 3 7 2" xfId="52410"/>
    <cellStyle name="Обычный 9 4 2 3 7 3" xfId="52411"/>
    <cellStyle name="Обычный 9 4 2 3 8" xfId="52412"/>
    <cellStyle name="Обычный 9 4 2 3 8 2" xfId="52413"/>
    <cellStyle name="Обычный 9 4 2 3 9" xfId="52414"/>
    <cellStyle name="Обычный 9 4 2 4" xfId="52415"/>
    <cellStyle name="Обычный 9 4 2 4 10" xfId="52416"/>
    <cellStyle name="Обычный 9 4 2 4 2" xfId="52417"/>
    <cellStyle name="Обычный 9 4 2 4 2 2" xfId="52418"/>
    <cellStyle name="Обычный 9 4 2 4 2 2 2" xfId="52419"/>
    <cellStyle name="Обычный 9 4 2 4 2 2 2 2" xfId="52420"/>
    <cellStyle name="Обычный 9 4 2 4 2 2 2 2 2" xfId="52421"/>
    <cellStyle name="Обычный 9 4 2 4 2 2 2 2 2 2" xfId="52422"/>
    <cellStyle name="Обычный 9 4 2 4 2 2 2 2 2 3" xfId="52423"/>
    <cellStyle name="Обычный 9 4 2 4 2 2 2 2 3" xfId="52424"/>
    <cellStyle name="Обычный 9 4 2 4 2 2 2 2 3 2" xfId="52425"/>
    <cellStyle name="Обычный 9 4 2 4 2 2 2 2 3 3" xfId="52426"/>
    <cellStyle name="Обычный 9 4 2 4 2 2 2 2 4" xfId="52427"/>
    <cellStyle name="Обычный 9 4 2 4 2 2 2 2 4 2" xfId="52428"/>
    <cellStyle name="Обычный 9 4 2 4 2 2 2 2 5" xfId="52429"/>
    <cellStyle name="Обычный 9 4 2 4 2 2 2 2 6" xfId="52430"/>
    <cellStyle name="Обычный 9 4 2 4 2 2 2 3" xfId="52431"/>
    <cellStyle name="Обычный 9 4 2 4 2 2 2 3 2" xfId="52432"/>
    <cellStyle name="Обычный 9 4 2 4 2 2 2 3 3" xfId="52433"/>
    <cellStyle name="Обычный 9 4 2 4 2 2 2 4" xfId="52434"/>
    <cellStyle name="Обычный 9 4 2 4 2 2 2 4 2" xfId="52435"/>
    <cellStyle name="Обычный 9 4 2 4 2 2 2 4 3" xfId="52436"/>
    <cellStyle name="Обычный 9 4 2 4 2 2 2 5" xfId="52437"/>
    <cellStyle name="Обычный 9 4 2 4 2 2 2 5 2" xfId="52438"/>
    <cellStyle name="Обычный 9 4 2 4 2 2 2 6" xfId="52439"/>
    <cellStyle name="Обычный 9 4 2 4 2 2 2 7" xfId="52440"/>
    <cellStyle name="Обычный 9 4 2 4 2 2 3" xfId="52441"/>
    <cellStyle name="Обычный 9 4 2 4 2 2 3 2" xfId="52442"/>
    <cellStyle name="Обычный 9 4 2 4 2 2 3 2 2" xfId="52443"/>
    <cellStyle name="Обычный 9 4 2 4 2 2 3 2 3" xfId="52444"/>
    <cellStyle name="Обычный 9 4 2 4 2 2 3 3" xfId="52445"/>
    <cellStyle name="Обычный 9 4 2 4 2 2 3 3 2" xfId="52446"/>
    <cellStyle name="Обычный 9 4 2 4 2 2 3 3 3" xfId="52447"/>
    <cellStyle name="Обычный 9 4 2 4 2 2 3 4" xfId="52448"/>
    <cellStyle name="Обычный 9 4 2 4 2 2 3 4 2" xfId="52449"/>
    <cellStyle name="Обычный 9 4 2 4 2 2 3 5" xfId="52450"/>
    <cellStyle name="Обычный 9 4 2 4 2 2 3 6" xfId="52451"/>
    <cellStyle name="Обычный 9 4 2 4 2 2 4" xfId="52452"/>
    <cellStyle name="Обычный 9 4 2 4 2 2 4 2" xfId="52453"/>
    <cellStyle name="Обычный 9 4 2 4 2 2 4 3" xfId="52454"/>
    <cellStyle name="Обычный 9 4 2 4 2 2 5" xfId="52455"/>
    <cellStyle name="Обычный 9 4 2 4 2 2 5 2" xfId="52456"/>
    <cellStyle name="Обычный 9 4 2 4 2 2 5 3" xfId="52457"/>
    <cellStyle name="Обычный 9 4 2 4 2 2 6" xfId="52458"/>
    <cellStyle name="Обычный 9 4 2 4 2 2 6 2" xfId="52459"/>
    <cellStyle name="Обычный 9 4 2 4 2 2 7" xfId="52460"/>
    <cellStyle name="Обычный 9 4 2 4 2 2 8" xfId="52461"/>
    <cellStyle name="Обычный 9 4 2 4 2 3" xfId="52462"/>
    <cellStyle name="Обычный 9 4 2 4 2 3 2" xfId="52463"/>
    <cellStyle name="Обычный 9 4 2 4 2 3 2 2" xfId="52464"/>
    <cellStyle name="Обычный 9 4 2 4 2 3 2 2 2" xfId="52465"/>
    <cellStyle name="Обычный 9 4 2 4 2 3 2 2 3" xfId="52466"/>
    <cellStyle name="Обычный 9 4 2 4 2 3 2 3" xfId="52467"/>
    <cellStyle name="Обычный 9 4 2 4 2 3 2 3 2" xfId="52468"/>
    <cellStyle name="Обычный 9 4 2 4 2 3 2 3 3" xfId="52469"/>
    <cellStyle name="Обычный 9 4 2 4 2 3 2 4" xfId="52470"/>
    <cellStyle name="Обычный 9 4 2 4 2 3 2 4 2" xfId="52471"/>
    <cellStyle name="Обычный 9 4 2 4 2 3 2 5" xfId="52472"/>
    <cellStyle name="Обычный 9 4 2 4 2 3 2 6" xfId="52473"/>
    <cellStyle name="Обычный 9 4 2 4 2 3 3" xfId="52474"/>
    <cellStyle name="Обычный 9 4 2 4 2 3 3 2" xfId="52475"/>
    <cellStyle name="Обычный 9 4 2 4 2 3 3 3" xfId="52476"/>
    <cellStyle name="Обычный 9 4 2 4 2 3 4" xfId="52477"/>
    <cellStyle name="Обычный 9 4 2 4 2 3 4 2" xfId="52478"/>
    <cellStyle name="Обычный 9 4 2 4 2 3 4 3" xfId="52479"/>
    <cellStyle name="Обычный 9 4 2 4 2 3 5" xfId="52480"/>
    <cellStyle name="Обычный 9 4 2 4 2 3 5 2" xfId="52481"/>
    <cellStyle name="Обычный 9 4 2 4 2 3 6" xfId="52482"/>
    <cellStyle name="Обычный 9 4 2 4 2 3 7" xfId="52483"/>
    <cellStyle name="Обычный 9 4 2 4 2 4" xfId="52484"/>
    <cellStyle name="Обычный 9 4 2 4 2 4 2" xfId="52485"/>
    <cellStyle name="Обычный 9 4 2 4 2 4 2 2" xfId="52486"/>
    <cellStyle name="Обычный 9 4 2 4 2 4 2 3" xfId="52487"/>
    <cellStyle name="Обычный 9 4 2 4 2 4 3" xfId="52488"/>
    <cellStyle name="Обычный 9 4 2 4 2 4 3 2" xfId="52489"/>
    <cellStyle name="Обычный 9 4 2 4 2 4 3 3" xfId="52490"/>
    <cellStyle name="Обычный 9 4 2 4 2 4 4" xfId="52491"/>
    <cellStyle name="Обычный 9 4 2 4 2 4 4 2" xfId="52492"/>
    <cellStyle name="Обычный 9 4 2 4 2 4 5" xfId="52493"/>
    <cellStyle name="Обычный 9 4 2 4 2 4 6" xfId="52494"/>
    <cellStyle name="Обычный 9 4 2 4 2 5" xfId="52495"/>
    <cellStyle name="Обычный 9 4 2 4 2 5 2" xfId="52496"/>
    <cellStyle name="Обычный 9 4 2 4 2 5 3" xfId="52497"/>
    <cellStyle name="Обычный 9 4 2 4 2 6" xfId="52498"/>
    <cellStyle name="Обычный 9 4 2 4 2 6 2" xfId="52499"/>
    <cellStyle name="Обычный 9 4 2 4 2 6 3" xfId="52500"/>
    <cellStyle name="Обычный 9 4 2 4 2 7" xfId="52501"/>
    <cellStyle name="Обычный 9 4 2 4 2 7 2" xfId="52502"/>
    <cellStyle name="Обычный 9 4 2 4 2 8" xfId="52503"/>
    <cellStyle name="Обычный 9 4 2 4 2 9" xfId="52504"/>
    <cellStyle name="Обычный 9 4 2 4 3" xfId="52505"/>
    <cellStyle name="Обычный 9 4 2 4 3 2" xfId="52506"/>
    <cellStyle name="Обычный 9 4 2 4 3 2 2" xfId="52507"/>
    <cellStyle name="Обычный 9 4 2 4 3 2 2 2" xfId="52508"/>
    <cellStyle name="Обычный 9 4 2 4 3 2 2 2 2" xfId="52509"/>
    <cellStyle name="Обычный 9 4 2 4 3 2 2 2 3" xfId="52510"/>
    <cellStyle name="Обычный 9 4 2 4 3 2 2 3" xfId="52511"/>
    <cellStyle name="Обычный 9 4 2 4 3 2 2 3 2" xfId="52512"/>
    <cellStyle name="Обычный 9 4 2 4 3 2 2 3 3" xfId="52513"/>
    <cellStyle name="Обычный 9 4 2 4 3 2 2 4" xfId="52514"/>
    <cellStyle name="Обычный 9 4 2 4 3 2 2 4 2" xfId="52515"/>
    <cellStyle name="Обычный 9 4 2 4 3 2 2 5" xfId="52516"/>
    <cellStyle name="Обычный 9 4 2 4 3 2 2 6" xfId="52517"/>
    <cellStyle name="Обычный 9 4 2 4 3 2 3" xfId="52518"/>
    <cellStyle name="Обычный 9 4 2 4 3 2 3 2" xfId="52519"/>
    <cellStyle name="Обычный 9 4 2 4 3 2 3 3" xfId="52520"/>
    <cellStyle name="Обычный 9 4 2 4 3 2 4" xfId="52521"/>
    <cellStyle name="Обычный 9 4 2 4 3 2 4 2" xfId="52522"/>
    <cellStyle name="Обычный 9 4 2 4 3 2 4 3" xfId="52523"/>
    <cellStyle name="Обычный 9 4 2 4 3 2 5" xfId="52524"/>
    <cellStyle name="Обычный 9 4 2 4 3 2 5 2" xfId="52525"/>
    <cellStyle name="Обычный 9 4 2 4 3 2 6" xfId="52526"/>
    <cellStyle name="Обычный 9 4 2 4 3 2 7" xfId="52527"/>
    <cellStyle name="Обычный 9 4 2 4 3 3" xfId="52528"/>
    <cellStyle name="Обычный 9 4 2 4 3 3 2" xfId="52529"/>
    <cellStyle name="Обычный 9 4 2 4 3 3 2 2" xfId="52530"/>
    <cellStyle name="Обычный 9 4 2 4 3 3 2 3" xfId="52531"/>
    <cellStyle name="Обычный 9 4 2 4 3 3 3" xfId="52532"/>
    <cellStyle name="Обычный 9 4 2 4 3 3 3 2" xfId="52533"/>
    <cellStyle name="Обычный 9 4 2 4 3 3 3 3" xfId="52534"/>
    <cellStyle name="Обычный 9 4 2 4 3 3 4" xfId="52535"/>
    <cellStyle name="Обычный 9 4 2 4 3 3 4 2" xfId="52536"/>
    <cellStyle name="Обычный 9 4 2 4 3 3 5" xfId="52537"/>
    <cellStyle name="Обычный 9 4 2 4 3 3 6" xfId="52538"/>
    <cellStyle name="Обычный 9 4 2 4 3 4" xfId="52539"/>
    <cellStyle name="Обычный 9 4 2 4 3 4 2" xfId="52540"/>
    <cellStyle name="Обычный 9 4 2 4 3 4 3" xfId="52541"/>
    <cellStyle name="Обычный 9 4 2 4 3 5" xfId="52542"/>
    <cellStyle name="Обычный 9 4 2 4 3 5 2" xfId="52543"/>
    <cellStyle name="Обычный 9 4 2 4 3 5 3" xfId="52544"/>
    <cellStyle name="Обычный 9 4 2 4 3 6" xfId="52545"/>
    <cellStyle name="Обычный 9 4 2 4 3 6 2" xfId="52546"/>
    <cellStyle name="Обычный 9 4 2 4 3 7" xfId="52547"/>
    <cellStyle name="Обычный 9 4 2 4 3 8" xfId="52548"/>
    <cellStyle name="Обычный 9 4 2 4 4" xfId="52549"/>
    <cellStyle name="Обычный 9 4 2 4 4 2" xfId="52550"/>
    <cellStyle name="Обычный 9 4 2 4 4 2 2" xfId="52551"/>
    <cellStyle name="Обычный 9 4 2 4 4 2 2 2" xfId="52552"/>
    <cellStyle name="Обычный 9 4 2 4 4 2 2 3" xfId="52553"/>
    <cellStyle name="Обычный 9 4 2 4 4 2 3" xfId="52554"/>
    <cellStyle name="Обычный 9 4 2 4 4 2 3 2" xfId="52555"/>
    <cellStyle name="Обычный 9 4 2 4 4 2 3 3" xfId="52556"/>
    <cellStyle name="Обычный 9 4 2 4 4 2 4" xfId="52557"/>
    <cellStyle name="Обычный 9 4 2 4 4 2 4 2" xfId="52558"/>
    <cellStyle name="Обычный 9 4 2 4 4 2 5" xfId="52559"/>
    <cellStyle name="Обычный 9 4 2 4 4 2 6" xfId="52560"/>
    <cellStyle name="Обычный 9 4 2 4 4 3" xfId="52561"/>
    <cellStyle name="Обычный 9 4 2 4 4 3 2" xfId="52562"/>
    <cellStyle name="Обычный 9 4 2 4 4 3 3" xfId="52563"/>
    <cellStyle name="Обычный 9 4 2 4 4 4" xfId="52564"/>
    <cellStyle name="Обычный 9 4 2 4 4 4 2" xfId="52565"/>
    <cellStyle name="Обычный 9 4 2 4 4 4 3" xfId="52566"/>
    <cellStyle name="Обычный 9 4 2 4 4 5" xfId="52567"/>
    <cellStyle name="Обычный 9 4 2 4 4 5 2" xfId="52568"/>
    <cellStyle name="Обычный 9 4 2 4 4 6" xfId="52569"/>
    <cellStyle name="Обычный 9 4 2 4 4 7" xfId="52570"/>
    <cellStyle name="Обычный 9 4 2 4 5" xfId="52571"/>
    <cellStyle name="Обычный 9 4 2 4 5 2" xfId="52572"/>
    <cellStyle name="Обычный 9 4 2 4 5 2 2" xfId="52573"/>
    <cellStyle name="Обычный 9 4 2 4 5 2 3" xfId="52574"/>
    <cellStyle name="Обычный 9 4 2 4 5 3" xfId="52575"/>
    <cellStyle name="Обычный 9 4 2 4 5 3 2" xfId="52576"/>
    <cellStyle name="Обычный 9 4 2 4 5 3 3" xfId="52577"/>
    <cellStyle name="Обычный 9 4 2 4 5 4" xfId="52578"/>
    <cellStyle name="Обычный 9 4 2 4 5 4 2" xfId="52579"/>
    <cellStyle name="Обычный 9 4 2 4 5 5" xfId="52580"/>
    <cellStyle name="Обычный 9 4 2 4 5 6" xfId="52581"/>
    <cellStyle name="Обычный 9 4 2 4 6" xfId="52582"/>
    <cellStyle name="Обычный 9 4 2 4 6 2" xfId="52583"/>
    <cellStyle name="Обычный 9 4 2 4 6 3" xfId="52584"/>
    <cellStyle name="Обычный 9 4 2 4 7" xfId="52585"/>
    <cellStyle name="Обычный 9 4 2 4 7 2" xfId="52586"/>
    <cellStyle name="Обычный 9 4 2 4 7 3" xfId="52587"/>
    <cellStyle name="Обычный 9 4 2 4 8" xfId="52588"/>
    <cellStyle name="Обычный 9 4 2 4 8 2" xfId="52589"/>
    <cellStyle name="Обычный 9 4 2 4 9" xfId="52590"/>
    <cellStyle name="Обычный 9 4 2 5" xfId="52591"/>
    <cellStyle name="Обычный 9 4 2 5 2" xfId="52592"/>
    <cellStyle name="Обычный 9 4 2 5 2 2" xfId="52593"/>
    <cellStyle name="Обычный 9 4 2 5 2 2 2" xfId="52594"/>
    <cellStyle name="Обычный 9 4 2 5 2 2 2 2" xfId="52595"/>
    <cellStyle name="Обычный 9 4 2 5 2 2 2 2 2" xfId="52596"/>
    <cellStyle name="Обычный 9 4 2 5 2 2 2 2 3" xfId="52597"/>
    <cellStyle name="Обычный 9 4 2 5 2 2 2 3" xfId="52598"/>
    <cellStyle name="Обычный 9 4 2 5 2 2 2 3 2" xfId="52599"/>
    <cellStyle name="Обычный 9 4 2 5 2 2 2 3 3" xfId="52600"/>
    <cellStyle name="Обычный 9 4 2 5 2 2 2 4" xfId="52601"/>
    <cellStyle name="Обычный 9 4 2 5 2 2 2 4 2" xfId="52602"/>
    <cellStyle name="Обычный 9 4 2 5 2 2 2 5" xfId="52603"/>
    <cellStyle name="Обычный 9 4 2 5 2 2 2 6" xfId="52604"/>
    <cellStyle name="Обычный 9 4 2 5 2 2 3" xfId="52605"/>
    <cellStyle name="Обычный 9 4 2 5 2 2 3 2" xfId="52606"/>
    <cellStyle name="Обычный 9 4 2 5 2 2 3 3" xfId="52607"/>
    <cellStyle name="Обычный 9 4 2 5 2 2 4" xfId="52608"/>
    <cellStyle name="Обычный 9 4 2 5 2 2 4 2" xfId="52609"/>
    <cellStyle name="Обычный 9 4 2 5 2 2 4 3" xfId="52610"/>
    <cellStyle name="Обычный 9 4 2 5 2 2 5" xfId="52611"/>
    <cellStyle name="Обычный 9 4 2 5 2 2 5 2" xfId="52612"/>
    <cellStyle name="Обычный 9 4 2 5 2 2 6" xfId="52613"/>
    <cellStyle name="Обычный 9 4 2 5 2 2 7" xfId="52614"/>
    <cellStyle name="Обычный 9 4 2 5 2 3" xfId="52615"/>
    <cellStyle name="Обычный 9 4 2 5 2 3 2" xfId="52616"/>
    <cellStyle name="Обычный 9 4 2 5 2 3 2 2" xfId="52617"/>
    <cellStyle name="Обычный 9 4 2 5 2 3 2 3" xfId="52618"/>
    <cellStyle name="Обычный 9 4 2 5 2 3 3" xfId="52619"/>
    <cellStyle name="Обычный 9 4 2 5 2 3 3 2" xfId="52620"/>
    <cellStyle name="Обычный 9 4 2 5 2 3 3 3" xfId="52621"/>
    <cellStyle name="Обычный 9 4 2 5 2 3 4" xfId="52622"/>
    <cellStyle name="Обычный 9 4 2 5 2 3 4 2" xfId="52623"/>
    <cellStyle name="Обычный 9 4 2 5 2 3 5" xfId="52624"/>
    <cellStyle name="Обычный 9 4 2 5 2 3 6" xfId="52625"/>
    <cellStyle name="Обычный 9 4 2 5 2 4" xfId="52626"/>
    <cellStyle name="Обычный 9 4 2 5 2 4 2" xfId="52627"/>
    <cellStyle name="Обычный 9 4 2 5 2 4 3" xfId="52628"/>
    <cellStyle name="Обычный 9 4 2 5 2 5" xfId="52629"/>
    <cellStyle name="Обычный 9 4 2 5 2 5 2" xfId="52630"/>
    <cellStyle name="Обычный 9 4 2 5 2 5 3" xfId="52631"/>
    <cellStyle name="Обычный 9 4 2 5 2 6" xfId="52632"/>
    <cellStyle name="Обычный 9 4 2 5 2 6 2" xfId="52633"/>
    <cellStyle name="Обычный 9 4 2 5 2 7" xfId="52634"/>
    <cellStyle name="Обычный 9 4 2 5 2 8" xfId="52635"/>
    <cellStyle name="Обычный 9 4 2 5 3" xfId="52636"/>
    <cellStyle name="Обычный 9 4 2 5 3 2" xfId="52637"/>
    <cellStyle name="Обычный 9 4 2 5 3 2 2" xfId="52638"/>
    <cellStyle name="Обычный 9 4 2 5 3 2 2 2" xfId="52639"/>
    <cellStyle name="Обычный 9 4 2 5 3 2 2 3" xfId="52640"/>
    <cellStyle name="Обычный 9 4 2 5 3 2 3" xfId="52641"/>
    <cellStyle name="Обычный 9 4 2 5 3 2 3 2" xfId="52642"/>
    <cellStyle name="Обычный 9 4 2 5 3 2 3 3" xfId="52643"/>
    <cellStyle name="Обычный 9 4 2 5 3 2 4" xfId="52644"/>
    <cellStyle name="Обычный 9 4 2 5 3 2 4 2" xfId="52645"/>
    <cellStyle name="Обычный 9 4 2 5 3 2 5" xfId="52646"/>
    <cellStyle name="Обычный 9 4 2 5 3 2 6" xfId="52647"/>
    <cellStyle name="Обычный 9 4 2 5 3 3" xfId="52648"/>
    <cellStyle name="Обычный 9 4 2 5 3 3 2" xfId="52649"/>
    <cellStyle name="Обычный 9 4 2 5 3 3 3" xfId="52650"/>
    <cellStyle name="Обычный 9 4 2 5 3 4" xfId="52651"/>
    <cellStyle name="Обычный 9 4 2 5 3 4 2" xfId="52652"/>
    <cellStyle name="Обычный 9 4 2 5 3 4 3" xfId="52653"/>
    <cellStyle name="Обычный 9 4 2 5 3 5" xfId="52654"/>
    <cellStyle name="Обычный 9 4 2 5 3 5 2" xfId="52655"/>
    <cellStyle name="Обычный 9 4 2 5 3 6" xfId="52656"/>
    <cellStyle name="Обычный 9 4 2 5 3 7" xfId="52657"/>
    <cellStyle name="Обычный 9 4 2 5 4" xfId="52658"/>
    <cellStyle name="Обычный 9 4 2 5 4 2" xfId="52659"/>
    <cellStyle name="Обычный 9 4 2 5 4 2 2" xfId="52660"/>
    <cellStyle name="Обычный 9 4 2 5 4 2 3" xfId="52661"/>
    <cellStyle name="Обычный 9 4 2 5 4 3" xfId="52662"/>
    <cellStyle name="Обычный 9 4 2 5 4 3 2" xfId="52663"/>
    <cellStyle name="Обычный 9 4 2 5 4 3 3" xfId="52664"/>
    <cellStyle name="Обычный 9 4 2 5 4 4" xfId="52665"/>
    <cellStyle name="Обычный 9 4 2 5 4 4 2" xfId="52666"/>
    <cellStyle name="Обычный 9 4 2 5 4 5" xfId="52667"/>
    <cellStyle name="Обычный 9 4 2 5 4 6" xfId="52668"/>
    <cellStyle name="Обычный 9 4 2 5 5" xfId="52669"/>
    <cellStyle name="Обычный 9 4 2 5 5 2" xfId="52670"/>
    <cellStyle name="Обычный 9 4 2 5 5 3" xfId="52671"/>
    <cellStyle name="Обычный 9 4 2 5 6" xfId="52672"/>
    <cellStyle name="Обычный 9 4 2 5 6 2" xfId="52673"/>
    <cellStyle name="Обычный 9 4 2 5 6 3" xfId="52674"/>
    <cellStyle name="Обычный 9 4 2 5 7" xfId="52675"/>
    <cellStyle name="Обычный 9 4 2 5 7 2" xfId="52676"/>
    <cellStyle name="Обычный 9 4 2 5 8" xfId="52677"/>
    <cellStyle name="Обычный 9 4 2 5 9" xfId="52678"/>
    <cellStyle name="Обычный 9 4 2 6" xfId="52679"/>
    <cellStyle name="Обычный 9 4 2 6 2" xfId="52680"/>
    <cellStyle name="Обычный 9 4 2 6 2 2" xfId="52681"/>
    <cellStyle name="Обычный 9 4 2 6 2 2 2" xfId="52682"/>
    <cellStyle name="Обычный 9 4 2 6 2 2 2 2" xfId="52683"/>
    <cellStyle name="Обычный 9 4 2 6 2 2 2 3" xfId="52684"/>
    <cellStyle name="Обычный 9 4 2 6 2 2 3" xfId="52685"/>
    <cellStyle name="Обычный 9 4 2 6 2 2 3 2" xfId="52686"/>
    <cellStyle name="Обычный 9 4 2 6 2 2 3 3" xfId="52687"/>
    <cellStyle name="Обычный 9 4 2 6 2 2 4" xfId="52688"/>
    <cellStyle name="Обычный 9 4 2 6 2 2 4 2" xfId="52689"/>
    <cellStyle name="Обычный 9 4 2 6 2 2 5" xfId="52690"/>
    <cellStyle name="Обычный 9 4 2 6 2 2 6" xfId="52691"/>
    <cellStyle name="Обычный 9 4 2 6 2 3" xfId="52692"/>
    <cellStyle name="Обычный 9 4 2 6 2 3 2" xfId="52693"/>
    <cellStyle name="Обычный 9 4 2 6 2 3 3" xfId="52694"/>
    <cellStyle name="Обычный 9 4 2 6 2 4" xfId="52695"/>
    <cellStyle name="Обычный 9 4 2 6 2 4 2" xfId="52696"/>
    <cellStyle name="Обычный 9 4 2 6 2 4 3" xfId="52697"/>
    <cellStyle name="Обычный 9 4 2 6 2 5" xfId="52698"/>
    <cellStyle name="Обычный 9 4 2 6 2 5 2" xfId="52699"/>
    <cellStyle name="Обычный 9 4 2 6 2 6" xfId="52700"/>
    <cellStyle name="Обычный 9 4 2 6 2 7" xfId="52701"/>
    <cellStyle name="Обычный 9 4 2 6 3" xfId="52702"/>
    <cellStyle name="Обычный 9 4 2 6 3 2" xfId="52703"/>
    <cellStyle name="Обычный 9 4 2 6 3 2 2" xfId="52704"/>
    <cellStyle name="Обычный 9 4 2 6 3 2 3" xfId="52705"/>
    <cellStyle name="Обычный 9 4 2 6 3 3" xfId="52706"/>
    <cellStyle name="Обычный 9 4 2 6 3 3 2" xfId="52707"/>
    <cellStyle name="Обычный 9 4 2 6 3 3 3" xfId="52708"/>
    <cellStyle name="Обычный 9 4 2 6 3 4" xfId="52709"/>
    <cellStyle name="Обычный 9 4 2 6 3 4 2" xfId="52710"/>
    <cellStyle name="Обычный 9 4 2 6 3 5" xfId="52711"/>
    <cellStyle name="Обычный 9 4 2 6 3 6" xfId="52712"/>
    <cellStyle name="Обычный 9 4 2 6 4" xfId="52713"/>
    <cellStyle name="Обычный 9 4 2 6 4 2" xfId="52714"/>
    <cellStyle name="Обычный 9 4 2 6 4 3" xfId="52715"/>
    <cellStyle name="Обычный 9 4 2 6 5" xfId="52716"/>
    <cellStyle name="Обычный 9 4 2 6 5 2" xfId="52717"/>
    <cellStyle name="Обычный 9 4 2 6 5 3" xfId="52718"/>
    <cellStyle name="Обычный 9 4 2 6 6" xfId="52719"/>
    <cellStyle name="Обычный 9 4 2 6 6 2" xfId="52720"/>
    <cellStyle name="Обычный 9 4 2 6 7" xfId="52721"/>
    <cellStyle name="Обычный 9 4 2 6 8" xfId="52722"/>
    <cellStyle name="Обычный 9 4 2 7" xfId="52723"/>
    <cellStyle name="Обычный 9 4 2 7 2" xfId="52724"/>
    <cellStyle name="Обычный 9 4 2 7 2 2" xfId="52725"/>
    <cellStyle name="Обычный 9 4 2 7 2 2 2" xfId="52726"/>
    <cellStyle name="Обычный 9 4 2 7 2 2 3" xfId="52727"/>
    <cellStyle name="Обычный 9 4 2 7 2 3" xfId="52728"/>
    <cellStyle name="Обычный 9 4 2 7 2 3 2" xfId="52729"/>
    <cellStyle name="Обычный 9 4 2 7 2 3 3" xfId="52730"/>
    <cellStyle name="Обычный 9 4 2 7 2 4" xfId="52731"/>
    <cellStyle name="Обычный 9 4 2 7 2 4 2" xfId="52732"/>
    <cellStyle name="Обычный 9 4 2 7 2 5" xfId="52733"/>
    <cellStyle name="Обычный 9 4 2 7 2 6" xfId="52734"/>
    <cellStyle name="Обычный 9 4 2 7 3" xfId="52735"/>
    <cellStyle name="Обычный 9 4 2 7 3 2" xfId="52736"/>
    <cellStyle name="Обычный 9 4 2 7 3 3" xfId="52737"/>
    <cellStyle name="Обычный 9 4 2 7 4" xfId="52738"/>
    <cellStyle name="Обычный 9 4 2 7 4 2" xfId="52739"/>
    <cellStyle name="Обычный 9 4 2 7 4 3" xfId="52740"/>
    <cellStyle name="Обычный 9 4 2 7 5" xfId="52741"/>
    <cellStyle name="Обычный 9 4 2 7 5 2" xfId="52742"/>
    <cellStyle name="Обычный 9 4 2 7 6" xfId="52743"/>
    <cellStyle name="Обычный 9 4 2 7 7" xfId="52744"/>
    <cellStyle name="Обычный 9 4 2 8" xfId="52745"/>
    <cellStyle name="Обычный 9 4 2 8 2" xfId="52746"/>
    <cellStyle name="Обычный 9 4 2 8 2 2" xfId="52747"/>
    <cellStyle name="Обычный 9 4 2 8 2 3" xfId="52748"/>
    <cellStyle name="Обычный 9 4 2 8 3" xfId="52749"/>
    <cellStyle name="Обычный 9 4 2 8 3 2" xfId="52750"/>
    <cellStyle name="Обычный 9 4 2 8 3 3" xfId="52751"/>
    <cellStyle name="Обычный 9 4 2 8 4" xfId="52752"/>
    <cellStyle name="Обычный 9 4 2 8 4 2" xfId="52753"/>
    <cellStyle name="Обычный 9 4 2 8 5" xfId="52754"/>
    <cellStyle name="Обычный 9 4 2 8 6" xfId="52755"/>
    <cellStyle name="Обычный 9 4 2 9" xfId="52756"/>
    <cellStyle name="Обычный 9 4 2 9 2" xfId="52757"/>
    <cellStyle name="Обычный 9 4 2 9 3" xfId="52758"/>
    <cellStyle name="Обычный 9 4 3" xfId="52759"/>
    <cellStyle name="Обычный 9 4 3 10" xfId="52760"/>
    <cellStyle name="Обычный 9 4 3 2" xfId="52761"/>
    <cellStyle name="Обычный 9 4 3 2 2" xfId="52762"/>
    <cellStyle name="Обычный 9 4 3 2 2 2" xfId="52763"/>
    <cellStyle name="Обычный 9 4 3 2 2 2 2" xfId="52764"/>
    <cellStyle name="Обычный 9 4 3 2 2 2 2 2" xfId="52765"/>
    <cellStyle name="Обычный 9 4 3 2 2 2 2 2 2" xfId="52766"/>
    <cellStyle name="Обычный 9 4 3 2 2 2 2 2 3" xfId="52767"/>
    <cellStyle name="Обычный 9 4 3 2 2 2 2 3" xfId="52768"/>
    <cellStyle name="Обычный 9 4 3 2 2 2 2 3 2" xfId="52769"/>
    <cellStyle name="Обычный 9 4 3 2 2 2 2 3 3" xfId="52770"/>
    <cellStyle name="Обычный 9 4 3 2 2 2 2 4" xfId="52771"/>
    <cellStyle name="Обычный 9 4 3 2 2 2 2 4 2" xfId="52772"/>
    <cellStyle name="Обычный 9 4 3 2 2 2 2 5" xfId="52773"/>
    <cellStyle name="Обычный 9 4 3 2 2 2 2 6" xfId="52774"/>
    <cellStyle name="Обычный 9 4 3 2 2 2 3" xfId="52775"/>
    <cellStyle name="Обычный 9 4 3 2 2 2 3 2" xfId="52776"/>
    <cellStyle name="Обычный 9 4 3 2 2 2 3 3" xfId="52777"/>
    <cellStyle name="Обычный 9 4 3 2 2 2 4" xfId="52778"/>
    <cellStyle name="Обычный 9 4 3 2 2 2 4 2" xfId="52779"/>
    <cellStyle name="Обычный 9 4 3 2 2 2 4 3" xfId="52780"/>
    <cellStyle name="Обычный 9 4 3 2 2 2 5" xfId="52781"/>
    <cellStyle name="Обычный 9 4 3 2 2 2 5 2" xfId="52782"/>
    <cellStyle name="Обычный 9 4 3 2 2 2 6" xfId="52783"/>
    <cellStyle name="Обычный 9 4 3 2 2 2 7" xfId="52784"/>
    <cellStyle name="Обычный 9 4 3 2 2 3" xfId="52785"/>
    <cellStyle name="Обычный 9 4 3 2 2 3 2" xfId="52786"/>
    <cellStyle name="Обычный 9 4 3 2 2 3 2 2" xfId="52787"/>
    <cellStyle name="Обычный 9 4 3 2 2 3 2 3" xfId="52788"/>
    <cellStyle name="Обычный 9 4 3 2 2 3 3" xfId="52789"/>
    <cellStyle name="Обычный 9 4 3 2 2 3 3 2" xfId="52790"/>
    <cellStyle name="Обычный 9 4 3 2 2 3 3 3" xfId="52791"/>
    <cellStyle name="Обычный 9 4 3 2 2 3 4" xfId="52792"/>
    <cellStyle name="Обычный 9 4 3 2 2 3 4 2" xfId="52793"/>
    <cellStyle name="Обычный 9 4 3 2 2 3 5" xfId="52794"/>
    <cellStyle name="Обычный 9 4 3 2 2 3 6" xfId="52795"/>
    <cellStyle name="Обычный 9 4 3 2 2 4" xfId="52796"/>
    <cellStyle name="Обычный 9 4 3 2 2 4 2" xfId="52797"/>
    <cellStyle name="Обычный 9 4 3 2 2 4 3" xfId="52798"/>
    <cellStyle name="Обычный 9 4 3 2 2 5" xfId="52799"/>
    <cellStyle name="Обычный 9 4 3 2 2 5 2" xfId="52800"/>
    <cellStyle name="Обычный 9 4 3 2 2 5 3" xfId="52801"/>
    <cellStyle name="Обычный 9 4 3 2 2 6" xfId="52802"/>
    <cellStyle name="Обычный 9 4 3 2 2 6 2" xfId="52803"/>
    <cellStyle name="Обычный 9 4 3 2 2 7" xfId="52804"/>
    <cellStyle name="Обычный 9 4 3 2 2 8" xfId="52805"/>
    <cellStyle name="Обычный 9 4 3 2 3" xfId="52806"/>
    <cellStyle name="Обычный 9 4 3 2 3 2" xfId="52807"/>
    <cellStyle name="Обычный 9 4 3 2 3 2 2" xfId="52808"/>
    <cellStyle name="Обычный 9 4 3 2 3 2 2 2" xfId="52809"/>
    <cellStyle name="Обычный 9 4 3 2 3 2 2 3" xfId="52810"/>
    <cellStyle name="Обычный 9 4 3 2 3 2 3" xfId="52811"/>
    <cellStyle name="Обычный 9 4 3 2 3 2 3 2" xfId="52812"/>
    <cellStyle name="Обычный 9 4 3 2 3 2 3 3" xfId="52813"/>
    <cellStyle name="Обычный 9 4 3 2 3 2 4" xfId="52814"/>
    <cellStyle name="Обычный 9 4 3 2 3 2 4 2" xfId="52815"/>
    <cellStyle name="Обычный 9 4 3 2 3 2 5" xfId="52816"/>
    <cellStyle name="Обычный 9 4 3 2 3 2 6" xfId="52817"/>
    <cellStyle name="Обычный 9 4 3 2 3 3" xfId="52818"/>
    <cellStyle name="Обычный 9 4 3 2 3 3 2" xfId="52819"/>
    <cellStyle name="Обычный 9 4 3 2 3 3 3" xfId="52820"/>
    <cellStyle name="Обычный 9 4 3 2 3 4" xfId="52821"/>
    <cellStyle name="Обычный 9 4 3 2 3 4 2" xfId="52822"/>
    <cellStyle name="Обычный 9 4 3 2 3 4 3" xfId="52823"/>
    <cellStyle name="Обычный 9 4 3 2 3 5" xfId="52824"/>
    <cellStyle name="Обычный 9 4 3 2 3 5 2" xfId="52825"/>
    <cellStyle name="Обычный 9 4 3 2 3 6" xfId="52826"/>
    <cellStyle name="Обычный 9 4 3 2 3 7" xfId="52827"/>
    <cellStyle name="Обычный 9 4 3 2 4" xfId="52828"/>
    <cellStyle name="Обычный 9 4 3 2 4 2" xfId="52829"/>
    <cellStyle name="Обычный 9 4 3 2 4 2 2" xfId="52830"/>
    <cellStyle name="Обычный 9 4 3 2 4 2 3" xfId="52831"/>
    <cellStyle name="Обычный 9 4 3 2 4 3" xfId="52832"/>
    <cellStyle name="Обычный 9 4 3 2 4 3 2" xfId="52833"/>
    <cellStyle name="Обычный 9 4 3 2 4 3 3" xfId="52834"/>
    <cellStyle name="Обычный 9 4 3 2 4 4" xfId="52835"/>
    <cellStyle name="Обычный 9 4 3 2 4 4 2" xfId="52836"/>
    <cellStyle name="Обычный 9 4 3 2 4 5" xfId="52837"/>
    <cellStyle name="Обычный 9 4 3 2 4 6" xfId="52838"/>
    <cellStyle name="Обычный 9 4 3 2 5" xfId="52839"/>
    <cellStyle name="Обычный 9 4 3 2 5 2" xfId="52840"/>
    <cellStyle name="Обычный 9 4 3 2 5 3" xfId="52841"/>
    <cellStyle name="Обычный 9 4 3 2 6" xfId="52842"/>
    <cellStyle name="Обычный 9 4 3 2 6 2" xfId="52843"/>
    <cellStyle name="Обычный 9 4 3 2 6 3" xfId="52844"/>
    <cellStyle name="Обычный 9 4 3 2 7" xfId="52845"/>
    <cellStyle name="Обычный 9 4 3 2 7 2" xfId="52846"/>
    <cellStyle name="Обычный 9 4 3 2 8" xfId="52847"/>
    <cellStyle name="Обычный 9 4 3 2 9" xfId="52848"/>
    <cellStyle name="Обычный 9 4 3 3" xfId="52849"/>
    <cellStyle name="Обычный 9 4 3 3 2" xfId="52850"/>
    <cellStyle name="Обычный 9 4 3 3 2 2" xfId="52851"/>
    <cellStyle name="Обычный 9 4 3 3 2 2 2" xfId="52852"/>
    <cellStyle name="Обычный 9 4 3 3 2 2 2 2" xfId="52853"/>
    <cellStyle name="Обычный 9 4 3 3 2 2 2 3" xfId="52854"/>
    <cellStyle name="Обычный 9 4 3 3 2 2 3" xfId="52855"/>
    <cellStyle name="Обычный 9 4 3 3 2 2 3 2" xfId="52856"/>
    <cellStyle name="Обычный 9 4 3 3 2 2 3 3" xfId="52857"/>
    <cellStyle name="Обычный 9 4 3 3 2 2 4" xfId="52858"/>
    <cellStyle name="Обычный 9 4 3 3 2 2 4 2" xfId="52859"/>
    <cellStyle name="Обычный 9 4 3 3 2 2 5" xfId="52860"/>
    <cellStyle name="Обычный 9 4 3 3 2 2 6" xfId="52861"/>
    <cellStyle name="Обычный 9 4 3 3 2 3" xfId="52862"/>
    <cellStyle name="Обычный 9 4 3 3 2 3 2" xfId="52863"/>
    <cellStyle name="Обычный 9 4 3 3 2 3 3" xfId="52864"/>
    <cellStyle name="Обычный 9 4 3 3 2 4" xfId="52865"/>
    <cellStyle name="Обычный 9 4 3 3 2 4 2" xfId="52866"/>
    <cellStyle name="Обычный 9 4 3 3 2 4 3" xfId="52867"/>
    <cellStyle name="Обычный 9 4 3 3 2 5" xfId="52868"/>
    <cellStyle name="Обычный 9 4 3 3 2 5 2" xfId="52869"/>
    <cellStyle name="Обычный 9 4 3 3 2 6" xfId="52870"/>
    <cellStyle name="Обычный 9 4 3 3 2 7" xfId="52871"/>
    <cellStyle name="Обычный 9 4 3 3 3" xfId="52872"/>
    <cellStyle name="Обычный 9 4 3 3 3 2" xfId="52873"/>
    <cellStyle name="Обычный 9 4 3 3 3 2 2" xfId="52874"/>
    <cellStyle name="Обычный 9 4 3 3 3 2 3" xfId="52875"/>
    <cellStyle name="Обычный 9 4 3 3 3 3" xfId="52876"/>
    <cellStyle name="Обычный 9 4 3 3 3 3 2" xfId="52877"/>
    <cellStyle name="Обычный 9 4 3 3 3 3 3" xfId="52878"/>
    <cellStyle name="Обычный 9 4 3 3 3 4" xfId="52879"/>
    <cellStyle name="Обычный 9 4 3 3 3 4 2" xfId="52880"/>
    <cellStyle name="Обычный 9 4 3 3 3 5" xfId="52881"/>
    <cellStyle name="Обычный 9 4 3 3 3 6" xfId="52882"/>
    <cellStyle name="Обычный 9 4 3 3 4" xfId="52883"/>
    <cellStyle name="Обычный 9 4 3 3 4 2" xfId="52884"/>
    <cellStyle name="Обычный 9 4 3 3 4 3" xfId="52885"/>
    <cellStyle name="Обычный 9 4 3 3 5" xfId="52886"/>
    <cellStyle name="Обычный 9 4 3 3 5 2" xfId="52887"/>
    <cellStyle name="Обычный 9 4 3 3 5 3" xfId="52888"/>
    <cellStyle name="Обычный 9 4 3 3 6" xfId="52889"/>
    <cellStyle name="Обычный 9 4 3 3 6 2" xfId="52890"/>
    <cellStyle name="Обычный 9 4 3 3 7" xfId="52891"/>
    <cellStyle name="Обычный 9 4 3 3 8" xfId="52892"/>
    <cellStyle name="Обычный 9 4 3 4" xfId="52893"/>
    <cellStyle name="Обычный 9 4 3 4 2" xfId="52894"/>
    <cellStyle name="Обычный 9 4 3 4 2 2" xfId="52895"/>
    <cellStyle name="Обычный 9 4 3 4 2 2 2" xfId="52896"/>
    <cellStyle name="Обычный 9 4 3 4 2 2 3" xfId="52897"/>
    <cellStyle name="Обычный 9 4 3 4 2 3" xfId="52898"/>
    <cellStyle name="Обычный 9 4 3 4 2 3 2" xfId="52899"/>
    <cellStyle name="Обычный 9 4 3 4 2 3 3" xfId="52900"/>
    <cellStyle name="Обычный 9 4 3 4 2 4" xfId="52901"/>
    <cellStyle name="Обычный 9 4 3 4 2 4 2" xfId="52902"/>
    <cellStyle name="Обычный 9 4 3 4 2 5" xfId="52903"/>
    <cellStyle name="Обычный 9 4 3 4 2 6" xfId="52904"/>
    <cellStyle name="Обычный 9 4 3 4 3" xfId="52905"/>
    <cellStyle name="Обычный 9 4 3 4 3 2" xfId="52906"/>
    <cellStyle name="Обычный 9 4 3 4 3 3" xfId="52907"/>
    <cellStyle name="Обычный 9 4 3 4 4" xfId="52908"/>
    <cellStyle name="Обычный 9 4 3 4 4 2" xfId="52909"/>
    <cellStyle name="Обычный 9 4 3 4 4 3" xfId="52910"/>
    <cellStyle name="Обычный 9 4 3 4 5" xfId="52911"/>
    <cellStyle name="Обычный 9 4 3 4 5 2" xfId="52912"/>
    <cellStyle name="Обычный 9 4 3 4 6" xfId="52913"/>
    <cellStyle name="Обычный 9 4 3 4 7" xfId="52914"/>
    <cellStyle name="Обычный 9 4 3 5" xfId="52915"/>
    <cellStyle name="Обычный 9 4 3 5 2" xfId="52916"/>
    <cellStyle name="Обычный 9 4 3 5 2 2" xfId="52917"/>
    <cellStyle name="Обычный 9 4 3 5 2 3" xfId="52918"/>
    <cellStyle name="Обычный 9 4 3 5 3" xfId="52919"/>
    <cellStyle name="Обычный 9 4 3 5 3 2" xfId="52920"/>
    <cellStyle name="Обычный 9 4 3 5 3 3" xfId="52921"/>
    <cellStyle name="Обычный 9 4 3 5 4" xfId="52922"/>
    <cellStyle name="Обычный 9 4 3 5 4 2" xfId="52923"/>
    <cellStyle name="Обычный 9 4 3 5 5" xfId="52924"/>
    <cellStyle name="Обычный 9 4 3 5 6" xfId="52925"/>
    <cellStyle name="Обычный 9 4 3 6" xfId="52926"/>
    <cellStyle name="Обычный 9 4 3 6 2" xfId="52927"/>
    <cellStyle name="Обычный 9 4 3 6 3" xfId="52928"/>
    <cellStyle name="Обычный 9 4 3 7" xfId="52929"/>
    <cellStyle name="Обычный 9 4 3 7 2" xfId="52930"/>
    <cellStyle name="Обычный 9 4 3 7 3" xfId="52931"/>
    <cellStyle name="Обычный 9 4 3 8" xfId="52932"/>
    <cellStyle name="Обычный 9 4 3 8 2" xfId="52933"/>
    <cellStyle name="Обычный 9 4 3 9" xfId="52934"/>
    <cellStyle name="Обычный 9 4 4" xfId="52935"/>
    <cellStyle name="Обычный 9 4 4 10" xfId="52936"/>
    <cellStyle name="Обычный 9 4 4 2" xfId="52937"/>
    <cellStyle name="Обычный 9 4 4 2 2" xfId="52938"/>
    <cellStyle name="Обычный 9 4 4 2 2 2" xfId="52939"/>
    <cellStyle name="Обычный 9 4 4 2 2 2 2" xfId="52940"/>
    <cellStyle name="Обычный 9 4 4 2 2 2 2 2" xfId="52941"/>
    <cellStyle name="Обычный 9 4 4 2 2 2 2 2 2" xfId="52942"/>
    <cellStyle name="Обычный 9 4 4 2 2 2 2 2 3" xfId="52943"/>
    <cellStyle name="Обычный 9 4 4 2 2 2 2 3" xfId="52944"/>
    <cellStyle name="Обычный 9 4 4 2 2 2 2 3 2" xfId="52945"/>
    <cellStyle name="Обычный 9 4 4 2 2 2 2 3 3" xfId="52946"/>
    <cellStyle name="Обычный 9 4 4 2 2 2 2 4" xfId="52947"/>
    <cellStyle name="Обычный 9 4 4 2 2 2 2 4 2" xfId="52948"/>
    <cellStyle name="Обычный 9 4 4 2 2 2 2 5" xfId="52949"/>
    <cellStyle name="Обычный 9 4 4 2 2 2 2 6" xfId="52950"/>
    <cellStyle name="Обычный 9 4 4 2 2 2 3" xfId="52951"/>
    <cellStyle name="Обычный 9 4 4 2 2 2 3 2" xfId="52952"/>
    <cellStyle name="Обычный 9 4 4 2 2 2 3 3" xfId="52953"/>
    <cellStyle name="Обычный 9 4 4 2 2 2 4" xfId="52954"/>
    <cellStyle name="Обычный 9 4 4 2 2 2 4 2" xfId="52955"/>
    <cellStyle name="Обычный 9 4 4 2 2 2 4 3" xfId="52956"/>
    <cellStyle name="Обычный 9 4 4 2 2 2 5" xfId="52957"/>
    <cellStyle name="Обычный 9 4 4 2 2 2 5 2" xfId="52958"/>
    <cellStyle name="Обычный 9 4 4 2 2 2 6" xfId="52959"/>
    <cellStyle name="Обычный 9 4 4 2 2 2 7" xfId="52960"/>
    <cellStyle name="Обычный 9 4 4 2 2 3" xfId="52961"/>
    <cellStyle name="Обычный 9 4 4 2 2 3 2" xfId="52962"/>
    <cellStyle name="Обычный 9 4 4 2 2 3 2 2" xfId="52963"/>
    <cellStyle name="Обычный 9 4 4 2 2 3 2 3" xfId="52964"/>
    <cellStyle name="Обычный 9 4 4 2 2 3 3" xfId="52965"/>
    <cellStyle name="Обычный 9 4 4 2 2 3 3 2" xfId="52966"/>
    <cellStyle name="Обычный 9 4 4 2 2 3 3 3" xfId="52967"/>
    <cellStyle name="Обычный 9 4 4 2 2 3 4" xfId="52968"/>
    <cellStyle name="Обычный 9 4 4 2 2 3 4 2" xfId="52969"/>
    <cellStyle name="Обычный 9 4 4 2 2 3 5" xfId="52970"/>
    <cellStyle name="Обычный 9 4 4 2 2 3 6" xfId="52971"/>
    <cellStyle name="Обычный 9 4 4 2 2 4" xfId="52972"/>
    <cellStyle name="Обычный 9 4 4 2 2 4 2" xfId="52973"/>
    <cellStyle name="Обычный 9 4 4 2 2 4 3" xfId="52974"/>
    <cellStyle name="Обычный 9 4 4 2 2 5" xfId="52975"/>
    <cellStyle name="Обычный 9 4 4 2 2 5 2" xfId="52976"/>
    <cellStyle name="Обычный 9 4 4 2 2 5 3" xfId="52977"/>
    <cellStyle name="Обычный 9 4 4 2 2 6" xfId="52978"/>
    <cellStyle name="Обычный 9 4 4 2 2 6 2" xfId="52979"/>
    <cellStyle name="Обычный 9 4 4 2 2 7" xfId="52980"/>
    <cellStyle name="Обычный 9 4 4 2 2 8" xfId="52981"/>
    <cellStyle name="Обычный 9 4 4 2 3" xfId="52982"/>
    <cellStyle name="Обычный 9 4 4 2 3 2" xfId="52983"/>
    <cellStyle name="Обычный 9 4 4 2 3 2 2" xfId="52984"/>
    <cellStyle name="Обычный 9 4 4 2 3 2 2 2" xfId="52985"/>
    <cellStyle name="Обычный 9 4 4 2 3 2 2 3" xfId="52986"/>
    <cellStyle name="Обычный 9 4 4 2 3 2 3" xfId="52987"/>
    <cellStyle name="Обычный 9 4 4 2 3 2 3 2" xfId="52988"/>
    <cellStyle name="Обычный 9 4 4 2 3 2 3 3" xfId="52989"/>
    <cellStyle name="Обычный 9 4 4 2 3 2 4" xfId="52990"/>
    <cellStyle name="Обычный 9 4 4 2 3 2 4 2" xfId="52991"/>
    <cellStyle name="Обычный 9 4 4 2 3 2 5" xfId="52992"/>
    <cellStyle name="Обычный 9 4 4 2 3 2 6" xfId="52993"/>
    <cellStyle name="Обычный 9 4 4 2 3 3" xfId="52994"/>
    <cellStyle name="Обычный 9 4 4 2 3 3 2" xfId="52995"/>
    <cellStyle name="Обычный 9 4 4 2 3 3 3" xfId="52996"/>
    <cellStyle name="Обычный 9 4 4 2 3 4" xfId="52997"/>
    <cellStyle name="Обычный 9 4 4 2 3 4 2" xfId="52998"/>
    <cellStyle name="Обычный 9 4 4 2 3 4 3" xfId="52999"/>
    <cellStyle name="Обычный 9 4 4 2 3 5" xfId="53000"/>
    <cellStyle name="Обычный 9 4 4 2 3 5 2" xfId="53001"/>
    <cellStyle name="Обычный 9 4 4 2 3 6" xfId="53002"/>
    <cellStyle name="Обычный 9 4 4 2 3 7" xfId="53003"/>
    <cellStyle name="Обычный 9 4 4 2 4" xfId="53004"/>
    <cellStyle name="Обычный 9 4 4 2 4 2" xfId="53005"/>
    <cellStyle name="Обычный 9 4 4 2 4 2 2" xfId="53006"/>
    <cellStyle name="Обычный 9 4 4 2 4 2 3" xfId="53007"/>
    <cellStyle name="Обычный 9 4 4 2 4 3" xfId="53008"/>
    <cellStyle name="Обычный 9 4 4 2 4 3 2" xfId="53009"/>
    <cellStyle name="Обычный 9 4 4 2 4 3 3" xfId="53010"/>
    <cellStyle name="Обычный 9 4 4 2 4 4" xfId="53011"/>
    <cellStyle name="Обычный 9 4 4 2 4 4 2" xfId="53012"/>
    <cellStyle name="Обычный 9 4 4 2 4 5" xfId="53013"/>
    <cellStyle name="Обычный 9 4 4 2 4 6" xfId="53014"/>
    <cellStyle name="Обычный 9 4 4 2 5" xfId="53015"/>
    <cellStyle name="Обычный 9 4 4 2 5 2" xfId="53016"/>
    <cellStyle name="Обычный 9 4 4 2 5 3" xfId="53017"/>
    <cellStyle name="Обычный 9 4 4 2 6" xfId="53018"/>
    <cellStyle name="Обычный 9 4 4 2 6 2" xfId="53019"/>
    <cellStyle name="Обычный 9 4 4 2 6 3" xfId="53020"/>
    <cellStyle name="Обычный 9 4 4 2 7" xfId="53021"/>
    <cellStyle name="Обычный 9 4 4 2 7 2" xfId="53022"/>
    <cellStyle name="Обычный 9 4 4 2 8" xfId="53023"/>
    <cellStyle name="Обычный 9 4 4 2 9" xfId="53024"/>
    <cellStyle name="Обычный 9 4 4 3" xfId="53025"/>
    <cellStyle name="Обычный 9 4 4 3 2" xfId="53026"/>
    <cellStyle name="Обычный 9 4 4 3 2 2" xfId="53027"/>
    <cellStyle name="Обычный 9 4 4 3 2 2 2" xfId="53028"/>
    <cellStyle name="Обычный 9 4 4 3 2 2 2 2" xfId="53029"/>
    <cellStyle name="Обычный 9 4 4 3 2 2 2 3" xfId="53030"/>
    <cellStyle name="Обычный 9 4 4 3 2 2 3" xfId="53031"/>
    <cellStyle name="Обычный 9 4 4 3 2 2 3 2" xfId="53032"/>
    <cellStyle name="Обычный 9 4 4 3 2 2 3 3" xfId="53033"/>
    <cellStyle name="Обычный 9 4 4 3 2 2 4" xfId="53034"/>
    <cellStyle name="Обычный 9 4 4 3 2 2 4 2" xfId="53035"/>
    <cellStyle name="Обычный 9 4 4 3 2 2 5" xfId="53036"/>
    <cellStyle name="Обычный 9 4 4 3 2 2 6" xfId="53037"/>
    <cellStyle name="Обычный 9 4 4 3 2 3" xfId="53038"/>
    <cellStyle name="Обычный 9 4 4 3 2 3 2" xfId="53039"/>
    <cellStyle name="Обычный 9 4 4 3 2 3 3" xfId="53040"/>
    <cellStyle name="Обычный 9 4 4 3 2 4" xfId="53041"/>
    <cellStyle name="Обычный 9 4 4 3 2 4 2" xfId="53042"/>
    <cellStyle name="Обычный 9 4 4 3 2 4 3" xfId="53043"/>
    <cellStyle name="Обычный 9 4 4 3 2 5" xfId="53044"/>
    <cellStyle name="Обычный 9 4 4 3 2 5 2" xfId="53045"/>
    <cellStyle name="Обычный 9 4 4 3 2 6" xfId="53046"/>
    <cellStyle name="Обычный 9 4 4 3 2 7" xfId="53047"/>
    <cellStyle name="Обычный 9 4 4 3 3" xfId="53048"/>
    <cellStyle name="Обычный 9 4 4 3 3 2" xfId="53049"/>
    <cellStyle name="Обычный 9 4 4 3 3 2 2" xfId="53050"/>
    <cellStyle name="Обычный 9 4 4 3 3 2 3" xfId="53051"/>
    <cellStyle name="Обычный 9 4 4 3 3 3" xfId="53052"/>
    <cellStyle name="Обычный 9 4 4 3 3 3 2" xfId="53053"/>
    <cellStyle name="Обычный 9 4 4 3 3 3 3" xfId="53054"/>
    <cellStyle name="Обычный 9 4 4 3 3 4" xfId="53055"/>
    <cellStyle name="Обычный 9 4 4 3 3 4 2" xfId="53056"/>
    <cellStyle name="Обычный 9 4 4 3 3 5" xfId="53057"/>
    <cellStyle name="Обычный 9 4 4 3 3 6" xfId="53058"/>
    <cellStyle name="Обычный 9 4 4 3 4" xfId="53059"/>
    <cellStyle name="Обычный 9 4 4 3 4 2" xfId="53060"/>
    <cellStyle name="Обычный 9 4 4 3 4 3" xfId="53061"/>
    <cellStyle name="Обычный 9 4 4 3 5" xfId="53062"/>
    <cellStyle name="Обычный 9 4 4 3 5 2" xfId="53063"/>
    <cellStyle name="Обычный 9 4 4 3 5 3" xfId="53064"/>
    <cellStyle name="Обычный 9 4 4 3 6" xfId="53065"/>
    <cellStyle name="Обычный 9 4 4 3 6 2" xfId="53066"/>
    <cellStyle name="Обычный 9 4 4 3 7" xfId="53067"/>
    <cellStyle name="Обычный 9 4 4 3 8" xfId="53068"/>
    <cellStyle name="Обычный 9 4 4 4" xfId="53069"/>
    <cellStyle name="Обычный 9 4 4 4 2" xfId="53070"/>
    <cellStyle name="Обычный 9 4 4 4 2 2" xfId="53071"/>
    <cellStyle name="Обычный 9 4 4 4 2 2 2" xfId="53072"/>
    <cellStyle name="Обычный 9 4 4 4 2 2 3" xfId="53073"/>
    <cellStyle name="Обычный 9 4 4 4 2 3" xfId="53074"/>
    <cellStyle name="Обычный 9 4 4 4 2 3 2" xfId="53075"/>
    <cellStyle name="Обычный 9 4 4 4 2 3 3" xfId="53076"/>
    <cellStyle name="Обычный 9 4 4 4 2 4" xfId="53077"/>
    <cellStyle name="Обычный 9 4 4 4 2 4 2" xfId="53078"/>
    <cellStyle name="Обычный 9 4 4 4 2 5" xfId="53079"/>
    <cellStyle name="Обычный 9 4 4 4 2 6" xfId="53080"/>
    <cellStyle name="Обычный 9 4 4 4 3" xfId="53081"/>
    <cellStyle name="Обычный 9 4 4 4 3 2" xfId="53082"/>
    <cellStyle name="Обычный 9 4 4 4 3 3" xfId="53083"/>
    <cellStyle name="Обычный 9 4 4 4 4" xfId="53084"/>
    <cellStyle name="Обычный 9 4 4 4 4 2" xfId="53085"/>
    <cellStyle name="Обычный 9 4 4 4 4 3" xfId="53086"/>
    <cellStyle name="Обычный 9 4 4 4 5" xfId="53087"/>
    <cellStyle name="Обычный 9 4 4 4 5 2" xfId="53088"/>
    <cellStyle name="Обычный 9 4 4 4 6" xfId="53089"/>
    <cellStyle name="Обычный 9 4 4 4 7" xfId="53090"/>
    <cellStyle name="Обычный 9 4 4 5" xfId="53091"/>
    <cellStyle name="Обычный 9 4 4 5 2" xfId="53092"/>
    <cellStyle name="Обычный 9 4 4 5 2 2" xfId="53093"/>
    <cellStyle name="Обычный 9 4 4 5 2 3" xfId="53094"/>
    <cellStyle name="Обычный 9 4 4 5 3" xfId="53095"/>
    <cellStyle name="Обычный 9 4 4 5 3 2" xfId="53096"/>
    <cellStyle name="Обычный 9 4 4 5 3 3" xfId="53097"/>
    <cellStyle name="Обычный 9 4 4 5 4" xfId="53098"/>
    <cellStyle name="Обычный 9 4 4 5 4 2" xfId="53099"/>
    <cellStyle name="Обычный 9 4 4 5 5" xfId="53100"/>
    <cellStyle name="Обычный 9 4 4 5 6" xfId="53101"/>
    <cellStyle name="Обычный 9 4 4 6" xfId="53102"/>
    <cellStyle name="Обычный 9 4 4 6 2" xfId="53103"/>
    <cellStyle name="Обычный 9 4 4 6 3" xfId="53104"/>
    <cellStyle name="Обычный 9 4 4 7" xfId="53105"/>
    <cellStyle name="Обычный 9 4 4 7 2" xfId="53106"/>
    <cellStyle name="Обычный 9 4 4 7 3" xfId="53107"/>
    <cellStyle name="Обычный 9 4 4 8" xfId="53108"/>
    <cellStyle name="Обычный 9 4 4 8 2" xfId="53109"/>
    <cellStyle name="Обычный 9 4 4 9" xfId="53110"/>
    <cellStyle name="Обычный 9 4 5" xfId="53111"/>
    <cellStyle name="Обычный 9 4 5 10" xfId="53112"/>
    <cellStyle name="Обычный 9 4 5 2" xfId="53113"/>
    <cellStyle name="Обычный 9 4 5 2 2" xfId="53114"/>
    <cellStyle name="Обычный 9 4 5 2 2 2" xfId="53115"/>
    <cellStyle name="Обычный 9 4 5 2 2 2 2" xfId="53116"/>
    <cellStyle name="Обычный 9 4 5 2 2 2 2 2" xfId="53117"/>
    <cellStyle name="Обычный 9 4 5 2 2 2 2 2 2" xfId="53118"/>
    <cellStyle name="Обычный 9 4 5 2 2 2 2 2 3" xfId="53119"/>
    <cellStyle name="Обычный 9 4 5 2 2 2 2 3" xfId="53120"/>
    <cellStyle name="Обычный 9 4 5 2 2 2 2 3 2" xfId="53121"/>
    <cellStyle name="Обычный 9 4 5 2 2 2 2 3 3" xfId="53122"/>
    <cellStyle name="Обычный 9 4 5 2 2 2 2 4" xfId="53123"/>
    <cellStyle name="Обычный 9 4 5 2 2 2 2 4 2" xfId="53124"/>
    <cellStyle name="Обычный 9 4 5 2 2 2 2 5" xfId="53125"/>
    <cellStyle name="Обычный 9 4 5 2 2 2 2 6" xfId="53126"/>
    <cellStyle name="Обычный 9 4 5 2 2 2 3" xfId="53127"/>
    <cellStyle name="Обычный 9 4 5 2 2 2 3 2" xfId="53128"/>
    <cellStyle name="Обычный 9 4 5 2 2 2 3 3" xfId="53129"/>
    <cellStyle name="Обычный 9 4 5 2 2 2 4" xfId="53130"/>
    <cellStyle name="Обычный 9 4 5 2 2 2 4 2" xfId="53131"/>
    <cellStyle name="Обычный 9 4 5 2 2 2 4 3" xfId="53132"/>
    <cellStyle name="Обычный 9 4 5 2 2 2 5" xfId="53133"/>
    <cellStyle name="Обычный 9 4 5 2 2 2 5 2" xfId="53134"/>
    <cellStyle name="Обычный 9 4 5 2 2 2 6" xfId="53135"/>
    <cellStyle name="Обычный 9 4 5 2 2 2 7" xfId="53136"/>
    <cellStyle name="Обычный 9 4 5 2 2 3" xfId="53137"/>
    <cellStyle name="Обычный 9 4 5 2 2 3 2" xfId="53138"/>
    <cellStyle name="Обычный 9 4 5 2 2 3 2 2" xfId="53139"/>
    <cellStyle name="Обычный 9 4 5 2 2 3 2 3" xfId="53140"/>
    <cellStyle name="Обычный 9 4 5 2 2 3 3" xfId="53141"/>
    <cellStyle name="Обычный 9 4 5 2 2 3 3 2" xfId="53142"/>
    <cellStyle name="Обычный 9 4 5 2 2 3 3 3" xfId="53143"/>
    <cellStyle name="Обычный 9 4 5 2 2 3 4" xfId="53144"/>
    <cellStyle name="Обычный 9 4 5 2 2 3 4 2" xfId="53145"/>
    <cellStyle name="Обычный 9 4 5 2 2 3 5" xfId="53146"/>
    <cellStyle name="Обычный 9 4 5 2 2 3 6" xfId="53147"/>
    <cellStyle name="Обычный 9 4 5 2 2 4" xfId="53148"/>
    <cellStyle name="Обычный 9 4 5 2 2 4 2" xfId="53149"/>
    <cellStyle name="Обычный 9 4 5 2 2 4 3" xfId="53150"/>
    <cellStyle name="Обычный 9 4 5 2 2 5" xfId="53151"/>
    <cellStyle name="Обычный 9 4 5 2 2 5 2" xfId="53152"/>
    <cellStyle name="Обычный 9 4 5 2 2 5 3" xfId="53153"/>
    <cellStyle name="Обычный 9 4 5 2 2 6" xfId="53154"/>
    <cellStyle name="Обычный 9 4 5 2 2 6 2" xfId="53155"/>
    <cellStyle name="Обычный 9 4 5 2 2 7" xfId="53156"/>
    <cellStyle name="Обычный 9 4 5 2 2 8" xfId="53157"/>
    <cellStyle name="Обычный 9 4 5 2 3" xfId="53158"/>
    <cellStyle name="Обычный 9 4 5 2 3 2" xfId="53159"/>
    <cellStyle name="Обычный 9 4 5 2 3 2 2" xfId="53160"/>
    <cellStyle name="Обычный 9 4 5 2 3 2 2 2" xfId="53161"/>
    <cellStyle name="Обычный 9 4 5 2 3 2 2 3" xfId="53162"/>
    <cellStyle name="Обычный 9 4 5 2 3 2 3" xfId="53163"/>
    <cellStyle name="Обычный 9 4 5 2 3 2 3 2" xfId="53164"/>
    <cellStyle name="Обычный 9 4 5 2 3 2 3 3" xfId="53165"/>
    <cellStyle name="Обычный 9 4 5 2 3 2 4" xfId="53166"/>
    <cellStyle name="Обычный 9 4 5 2 3 2 4 2" xfId="53167"/>
    <cellStyle name="Обычный 9 4 5 2 3 2 5" xfId="53168"/>
    <cellStyle name="Обычный 9 4 5 2 3 2 6" xfId="53169"/>
    <cellStyle name="Обычный 9 4 5 2 3 3" xfId="53170"/>
    <cellStyle name="Обычный 9 4 5 2 3 3 2" xfId="53171"/>
    <cellStyle name="Обычный 9 4 5 2 3 3 3" xfId="53172"/>
    <cellStyle name="Обычный 9 4 5 2 3 4" xfId="53173"/>
    <cellStyle name="Обычный 9 4 5 2 3 4 2" xfId="53174"/>
    <cellStyle name="Обычный 9 4 5 2 3 4 3" xfId="53175"/>
    <cellStyle name="Обычный 9 4 5 2 3 5" xfId="53176"/>
    <cellStyle name="Обычный 9 4 5 2 3 5 2" xfId="53177"/>
    <cellStyle name="Обычный 9 4 5 2 3 6" xfId="53178"/>
    <cellStyle name="Обычный 9 4 5 2 3 7" xfId="53179"/>
    <cellStyle name="Обычный 9 4 5 2 4" xfId="53180"/>
    <cellStyle name="Обычный 9 4 5 2 4 2" xfId="53181"/>
    <cellStyle name="Обычный 9 4 5 2 4 2 2" xfId="53182"/>
    <cellStyle name="Обычный 9 4 5 2 4 2 3" xfId="53183"/>
    <cellStyle name="Обычный 9 4 5 2 4 3" xfId="53184"/>
    <cellStyle name="Обычный 9 4 5 2 4 3 2" xfId="53185"/>
    <cellStyle name="Обычный 9 4 5 2 4 3 3" xfId="53186"/>
    <cellStyle name="Обычный 9 4 5 2 4 4" xfId="53187"/>
    <cellStyle name="Обычный 9 4 5 2 4 4 2" xfId="53188"/>
    <cellStyle name="Обычный 9 4 5 2 4 5" xfId="53189"/>
    <cellStyle name="Обычный 9 4 5 2 4 6" xfId="53190"/>
    <cellStyle name="Обычный 9 4 5 2 5" xfId="53191"/>
    <cellStyle name="Обычный 9 4 5 2 5 2" xfId="53192"/>
    <cellStyle name="Обычный 9 4 5 2 5 3" xfId="53193"/>
    <cellStyle name="Обычный 9 4 5 2 6" xfId="53194"/>
    <cellStyle name="Обычный 9 4 5 2 6 2" xfId="53195"/>
    <cellStyle name="Обычный 9 4 5 2 6 3" xfId="53196"/>
    <cellStyle name="Обычный 9 4 5 2 7" xfId="53197"/>
    <cellStyle name="Обычный 9 4 5 2 7 2" xfId="53198"/>
    <cellStyle name="Обычный 9 4 5 2 8" xfId="53199"/>
    <cellStyle name="Обычный 9 4 5 2 9" xfId="53200"/>
    <cellStyle name="Обычный 9 4 5 3" xfId="53201"/>
    <cellStyle name="Обычный 9 4 5 3 2" xfId="53202"/>
    <cellStyle name="Обычный 9 4 5 3 2 2" xfId="53203"/>
    <cellStyle name="Обычный 9 4 5 3 2 2 2" xfId="53204"/>
    <cellStyle name="Обычный 9 4 5 3 2 2 2 2" xfId="53205"/>
    <cellStyle name="Обычный 9 4 5 3 2 2 2 3" xfId="53206"/>
    <cellStyle name="Обычный 9 4 5 3 2 2 3" xfId="53207"/>
    <cellStyle name="Обычный 9 4 5 3 2 2 3 2" xfId="53208"/>
    <cellStyle name="Обычный 9 4 5 3 2 2 3 3" xfId="53209"/>
    <cellStyle name="Обычный 9 4 5 3 2 2 4" xfId="53210"/>
    <cellStyle name="Обычный 9 4 5 3 2 2 4 2" xfId="53211"/>
    <cellStyle name="Обычный 9 4 5 3 2 2 5" xfId="53212"/>
    <cellStyle name="Обычный 9 4 5 3 2 2 6" xfId="53213"/>
    <cellStyle name="Обычный 9 4 5 3 2 3" xfId="53214"/>
    <cellStyle name="Обычный 9 4 5 3 2 3 2" xfId="53215"/>
    <cellStyle name="Обычный 9 4 5 3 2 3 3" xfId="53216"/>
    <cellStyle name="Обычный 9 4 5 3 2 4" xfId="53217"/>
    <cellStyle name="Обычный 9 4 5 3 2 4 2" xfId="53218"/>
    <cellStyle name="Обычный 9 4 5 3 2 4 3" xfId="53219"/>
    <cellStyle name="Обычный 9 4 5 3 2 5" xfId="53220"/>
    <cellStyle name="Обычный 9 4 5 3 2 5 2" xfId="53221"/>
    <cellStyle name="Обычный 9 4 5 3 2 6" xfId="53222"/>
    <cellStyle name="Обычный 9 4 5 3 2 7" xfId="53223"/>
    <cellStyle name="Обычный 9 4 5 3 3" xfId="53224"/>
    <cellStyle name="Обычный 9 4 5 3 3 2" xfId="53225"/>
    <cellStyle name="Обычный 9 4 5 3 3 2 2" xfId="53226"/>
    <cellStyle name="Обычный 9 4 5 3 3 2 3" xfId="53227"/>
    <cellStyle name="Обычный 9 4 5 3 3 3" xfId="53228"/>
    <cellStyle name="Обычный 9 4 5 3 3 3 2" xfId="53229"/>
    <cellStyle name="Обычный 9 4 5 3 3 3 3" xfId="53230"/>
    <cellStyle name="Обычный 9 4 5 3 3 4" xfId="53231"/>
    <cellStyle name="Обычный 9 4 5 3 3 4 2" xfId="53232"/>
    <cellStyle name="Обычный 9 4 5 3 3 5" xfId="53233"/>
    <cellStyle name="Обычный 9 4 5 3 3 6" xfId="53234"/>
    <cellStyle name="Обычный 9 4 5 3 4" xfId="53235"/>
    <cellStyle name="Обычный 9 4 5 3 4 2" xfId="53236"/>
    <cellStyle name="Обычный 9 4 5 3 4 3" xfId="53237"/>
    <cellStyle name="Обычный 9 4 5 3 5" xfId="53238"/>
    <cellStyle name="Обычный 9 4 5 3 5 2" xfId="53239"/>
    <cellStyle name="Обычный 9 4 5 3 5 3" xfId="53240"/>
    <cellStyle name="Обычный 9 4 5 3 6" xfId="53241"/>
    <cellStyle name="Обычный 9 4 5 3 6 2" xfId="53242"/>
    <cellStyle name="Обычный 9 4 5 3 7" xfId="53243"/>
    <cellStyle name="Обычный 9 4 5 3 8" xfId="53244"/>
    <cellStyle name="Обычный 9 4 5 4" xfId="53245"/>
    <cellStyle name="Обычный 9 4 5 4 2" xfId="53246"/>
    <cellStyle name="Обычный 9 4 5 4 2 2" xfId="53247"/>
    <cellStyle name="Обычный 9 4 5 4 2 2 2" xfId="53248"/>
    <cellStyle name="Обычный 9 4 5 4 2 2 3" xfId="53249"/>
    <cellStyle name="Обычный 9 4 5 4 2 3" xfId="53250"/>
    <cellStyle name="Обычный 9 4 5 4 2 3 2" xfId="53251"/>
    <cellStyle name="Обычный 9 4 5 4 2 3 3" xfId="53252"/>
    <cellStyle name="Обычный 9 4 5 4 2 4" xfId="53253"/>
    <cellStyle name="Обычный 9 4 5 4 2 4 2" xfId="53254"/>
    <cellStyle name="Обычный 9 4 5 4 2 5" xfId="53255"/>
    <cellStyle name="Обычный 9 4 5 4 2 6" xfId="53256"/>
    <cellStyle name="Обычный 9 4 5 4 3" xfId="53257"/>
    <cellStyle name="Обычный 9 4 5 4 3 2" xfId="53258"/>
    <cellStyle name="Обычный 9 4 5 4 3 3" xfId="53259"/>
    <cellStyle name="Обычный 9 4 5 4 4" xfId="53260"/>
    <cellStyle name="Обычный 9 4 5 4 4 2" xfId="53261"/>
    <cellStyle name="Обычный 9 4 5 4 4 3" xfId="53262"/>
    <cellStyle name="Обычный 9 4 5 4 5" xfId="53263"/>
    <cellStyle name="Обычный 9 4 5 4 5 2" xfId="53264"/>
    <cellStyle name="Обычный 9 4 5 4 6" xfId="53265"/>
    <cellStyle name="Обычный 9 4 5 4 7" xfId="53266"/>
    <cellStyle name="Обычный 9 4 5 5" xfId="53267"/>
    <cellStyle name="Обычный 9 4 5 5 2" xfId="53268"/>
    <cellStyle name="Обычный 9 4 5 5 2 2" xfId="53269"/>
    <cellStyle name="Обычный 9 4 5 5 2 3" xfId="53270"/>
    <cellStyle name="Обычный 9 4 5 5 3" xfId="53271"/>
    <cellStyle name="Обычный 9 4 5 5 3 2" xfId="53272"/>
    <cellStyle name="Обычный 9 4 5 5 3 3" xfId="53273"/>
    <cellStyle name="Обычный 9 4 5 5 4" xfId="53274"/>
    <cellStyle name="Обычный 9 4 5 5 4 2" xfId="53275"/>
    <cellStyle name="Обычный 9 4 5 5 5" xfId="53276"/>
    <cellStyle name="Обычный 9 4 5 5 6" xfId="53277"/>
    <cellStyle name="Обычный 9 4 5 6" xfId="53278"/>
    <cellStyle name="Обычный 9 4 5 6 2" xfId="53279"/>
    <cellStyle name="Обычный 9 4 5 6 3" xfId="53280"/>
    <cellStyle name="Обычный 9 4 5 7" xfId="53281"/>
    <cellStyle name="Обычный 9 4 5 7 2" xfId="53282"/>
    <cellStyle name="Обычный 9 4 5 7 3" xfId="53283"/>
    <cellStyle name="Обычный 9 4 5 8" xfId="53284"/>
    <cellStyle name="Обычный 9 4 5 8 2" xfId="53285"/>
    <cellStyle name="Обычный 9 4 5 9" xfId="53286"/>
    <cellStyle name="Обычный 9 4 6" xfId="53287"/>
    <cellStyle name="Обычный 9 4 6 2" xfId="53288"/>
    <cellStyle name="Обычный 9 4 6 2 2" xfId="53289"/>
    <cellStyle name="Обычный 9 4 6 2 2 2" xfId="53290"/>
    <cellStyle name="Обычный 9 4 6 2 2 2 2" xfId="53291"/>
    <cellStyle name="Обычный 9 4 6 2 2 2 2 2" xfId="53292"/>
    <cellStyle name="Обычный 9 4 6 2 2 2 2 3" xfId="53293"/>
    <cellStyle name="Обычный 9 4 6 2 2 2 3" xfId="53294"/>
    <cellStyle name="Обычный 9 4 6 2 2 2 3 2" xfId="53295"/>
    <cellStyle name="Обычный 9 4 6 2 2 2 3 3" xfId="53296"/>
    <cellStyle name="Обычный 9 4 6 2 2 2 4" xfId="53297"/>
    <cellStyle name="Обычный 9 4 6 2 2 2 4 2" xfId="53298"/>
    <cellStyle name="Обычный 9 4 6 2 2 2 5" xfId="53299"/>
    <cellStyle name="Обычный 9 4 6 2 2 2 6" xfId="53300"/>
    <cellStyle name="Обычный 9 4 6 2 2 3" xfId="53301"/>
    <cellStyle name="Обычный 9 4 6 2 2 3 2" xfId="53302"/>
    <cellStyle name="Обычный 9 4 6 2 2 3 3" xfId="53303"/>
    <cellStyle name="Обычный 9 4 6 2 2 4" xfId="53304"/>
    <cellStyle name="Обычный 9 4 6 2 2 4 2" xfId="53305"/>
    <cellStyle name="Обычный 9 4 6 2 2 4 3" xfId="53306"/>
    <cellStyle name="Обычный 9 4 6 2 2 5" xfId="53307"/>
    <cellStyle name="Обычный 9 4 6 2 2 5 2" xfId="53308"/>
    <cellStyle name="Обычный 9 4 6 2 2 6" xfId="53309"/>
    <cellStyle name="Обычный 9 4 6 2 2 7" xfId="53310"/>
    <cellStyle name="Обычный 9 4 6 2 3" xfId="53311"/>
    <cellStyle name="Обычный 9 4 6 2 3 2" xfId="53312"/>
    <cellStyle name="Обычный 9 4 6 2 3 2 2" xfId="53313"/>
    <cellStyle name="Обычный 9 4 6 2 3 2 3" xfId="53314"/>
    <cellStyle name="Обычный 9 4 6 2 3 3" xfId="53315"/>
    <cellStyle name="Обычный 9 4 6 2 3 3 2" xfId="53316"/>
    <cellStyle name="Обычный 9 4 6 2 3 3 3" xfId="53317"/>
    <cellStyle name="Обычный 9 4 6 2 3 4" xfId="53318"/>
    <cellStyle name="Обычный 9 4 6 2 3 4 2" xfId="53319"/>
    <cellStyle name="Обычный 9 4 6 2 3 5" xfId="53320"/>
    <cellStyle name="Обычный 9 4 6 2 3 6" xfId="53321"/>
    <cellStyle name="Обычный 9 4 6 2 4" xfId="53322"/>
    <cellStyle name="Обычный 9 4 6 2 4 2" xfId="53323"/>
    <cellStyle name="Обычный 9 4 6 2 4 3" xfId="53324"/>
    <cellStyle name="Обычный 9 4 6 2 5" xfId="53325"/>
    <cellStyle name="Обычный 9 4 6 2 5 2" xfId="53326"/>
    <cellStyle name="Обычный 9 4 6 2 5 3" xfId="53327"/>
    <cellStyle name="Обычный 9 4 6 2 6" xfId="53328"/>
    <cellStyle name="Обычный 9 4 6 2 6 2" xfId="53329"/>
    <cellStyle name="Обычный 9 4 6 2 7" xfId="53330"/>
    <cellStyle name="Обычный 9 4 6 2 8" xfId="53331"/>
    <cellStyle name="Обычный 9 4 6 3" xfId="53332"/>
    <cellStyle name="Обычный 9 4 6 3 2" xfId="53333"/>
    <cellStyle name="Обычный 9 4 6 3 2 2" xfId="53334"/>
    <cellStyle name="Обычный 9 4 6 3 2 2 2" xfId="53335"/>
    <cellStyle name="Обычный 9 4 6 3 2 2 3" xfId="53336"/>
    <cellStyle name="Обычный 9 4 6 3 2 3" xfId="53337"/>
    <cellStyle name="Обычный 9 4 6 3 2 3 2" xfId="53338"/>
    <cellStyle name="Обычный 9 4 6 3 2 3 3" xfId="53339"/>
    <cellStyle name="Обычный 9 4 6 3 2 4" xfId="53340"/>
    <cellStyle name="Обычный 9 4 6 3 2 4 2" xfId="53341"/>
    <cellStyle name="Обычный 9 4 6 3 2 5" xfId="53342"/>
    <cellStyle name="Обычный 9 4 6 3 2 6" xfId="53343"/>
    <cellStyle name="Обычный 9 4 6 3 3" xfId="53344"/>
    <cellStyle name="Обычный 9 4 6 3 3 2" xfId="53345"/>
    <cellStyle name="Обычный 9 4 6 3 3 3" xfId="53346"/>
    <cellStyle name="Обычный 9 4 6 3 4" xfId="53347"/>
    <cellStyle name="Обычный 9 4 6 3 4 2" xfId="53348"/>
    <cellStyle name="Обычный 9 4 6 3 4 3" xfId="53349"/>
    <cellStyle name="Обычный 9 4 6 3 5" xfId="53350"/>
    <cellStyle name="Обычный 9 4 6 3 5 2" xfId="53351"/>
    <cellStyle name="Обычный 9 4 6 3 6" xfId="53352"/>
    <cellStyle name="Обычный 9 4 6 3 7" xfId="53353"/>
    <cellStyle name="Обычный 9 4 6 4" xfId="53354"/>
    <cellStyle name="Обычный 9 4 6 4 2" xfId="53355"/>
    <cellStyle name="Обычный 9 4 6 4 2 2" xfId="53356"/>
    <cellStyle name="Обычный 9 4 6 4 2 3" xfId="53357"/>
    <cellStyle name="Обычный 9 4 6 4 3" xfId="53358"/>
    <cellStyle name="Обычный 9 4 6 4 3 2" xfId="53359"/>
    <cellStyle name="Обычный 9 4 6 4 3 3" xfId="53360"/>
    <cellStyle name="Обычный 9 4 6 4 4" xfId="53361"/>
    <cellStyle name="Обычный 9 4 6 4 4 2" xfId="53362"/>
    <cellStyle name="Обычный 9 4 6 4 5" xfId="53363"/>
    <cellStyle name="Обычный 9 4 6 4 6" xfId="53364"/>
    <cellStyle name="Обычный 9 4 6 5" xfId="53365"/>
    <cellStyle name="Обычный 9 4 6 5 2" xfId="53366"/>
    <cellStyle name="Обычный 9 4 6 5 3" xfId="53367"/>
    <cellStyle name="Обычный 9 4 6 6" xfId="53368"/>
    <cellStyle name="Обычный 9 4 6 6 2" xfId="53369"/>
    <cellStyle name="Обычный 9 4 6 6 3" xfId="53370"/>
    <cellStyle name="Обычный 9 4 6 7" xfId="53371"/>
    <cellStyle name="Обычный 9 4 6 7 2" xfId="53372"/>
    <cellStyle name="Обычный 9 4 6 8" xfId="53373"/>
    <cellStyle name="Обычный 9 4 6 9" xfId="53374"/>
    <cellStyle name="Обычный 9 4 7" xfId="53375"/>
    <cellStyle name="Обычный 9 4 7 2" xfId="53376"/>
    <cellStyle name="Обычный 9 4 7 2 2" xfId="53377"/>
    <cellStyle name="Обычный 9 4 7 2 2 2" xfId="53378"/>
    <cellStyle name="Обычный 9 4 7 2 2 2 2" xfId="53379"/>
    <cellStyle name="Обычный 9 4 7 2 2 2 3" xfId="53380"/>
    <cellStyle name="Обычный 9 4 7 2 2 3" xfId="53381"/>
    <cellStyle name="Обычный 9 4 7 2 2 3 2" xfId="53382"/>
    <cellStyle name="Обычный 9 4 7 2 2 3 3" xfId="53383"/>
    <cellStyle name="Обычный 9 4 7 2 2 4" xfId="53384"/>
    <cellStyle name="Обычный 9 4 7 2 2 4 2" xfId="53385"/>
    <cellStyle name="Обычный 9 4 7 2 2 5" xfId="53386"/>
    <cellStyle name="Обычный 9 4 7 2 2 6" xfId="53387"/>
    <cellStyle name="Обычный 9 4 7 2 3" xfId="53388"/>
    <cellStyle name="Обычный 9 4 7 2 3 2" xfId="53389"/>
    <cellStyle name="Обычный 9 4 7 2 3 3" xfId="53390"/>
    <cellStyle name="Обычный 9 4 7 2 4" xfId="53391"/>
    <cellStyle name="Обычный 9 4 7 2 4 2" xfId="53392"/>
    <cellStyle name="Обычный 9 4 7 2 4 3" xfId="53393"/>
    <cellStyle name="Обычный 9 4 7 2 5" xfId="53394"/>
    <cellStyle name="Обычный 9 4 7 2 5 2" xfId="53395"/>
    <cellStyle name="Обычный 9 4 7 2 6" xfId="53396"/>
    <cellStyle name="Обычный 9 4 7 2 7" xfId="53397"/>
    <cellStyle name="Обычный 9 4 7 3" xfId="53398"/>
    <cellStyle name="Обычный 9 4 7 3 2" xfId="53399"/>
    <cellStyle name="Обычный 9 4 7 3 2 2" xfId="53400"/>
    <cellStyle name="Обычный 9 4 7 3 2 3" xfId="53401"/>
    <cellStyle name="Обычный 9 4 7 3 3" xfId="53402"/>
    <cellStyle name="Обычный 9 4 7 3 3 2" xfId="53403"/>
    <cellStyle name="Обычный 9 4 7 3 3 3" xfId="53404"/>
    <cellStyle name="Обычный 9 4 7 3 4" xfId="53405"/>
    <cellStyle name="Обычный 9 4 7 3 4 2" xfId="53406"/>
    <cellStyle name="Обычный 9 4 7 3 5" xfId="53407"/>
    <cellStyle name="Обычный 9 4 7 3 6" xfId="53408"/>
    <cellStyle name="Обычный 9 4 7 4" xfId="53409"/>
    <cellStyle name="Обычный 9 4 7 4 2" xfId="53410"/>
    <cellStyle name="Обычный 9 4 7 4 3" xfId="53411"/>
    <cellStyle name="Обычный 9 4 7 5" xfId="53412"/>
    <cellStyle name="Обычный 9 4 7 5 2" xfId="53413"/>
    <cellStyle name="Обычный 9 4 7 5 3" xfId="53414"/>
    <cellStyle name="Обычный 9 4 7 6" xfId="53415"/>
    <cellStyle name="Обычный 9 4 7 6 2" xfId="53416"/>
    <cellStyle name="Обычный 9 4 7 7" xfId="53417"/>
    <cellStyle name="Обычный 9 4 7 8" xfId="53418"/>
    <cellStyle name="Обычный 9 4 8" xfId="53419"/>
    <cellStyle name="Обычный 9 4 8 2" xfId="53420"/>
    <cellStyle name="Обычный 9 4 8 2 2" xfId="53421"/>
    <cellStyle name="Обычный 9 4 8 2 2 2" xfId="53422"/>
    <cellStyle name="Обычный 9 4 8 2 2 3" xfId="53423"/>
    <cellStyle name="Обычный 9 4 8 2 3" xfId="53424"/>
    <cellStyle name="Обычный 9 4 8 2 3 2" xfId="53425"/>
    <cellStyle name="Обычный 9 4 8 2 3 3" xfId="53426"/>
    <cellStyle name="Обычный 9 4 8 2 4" xfId="53427"/>
    <cellStyle name="Обычный 9 4 8 2 4 2" xfId="53428"/>
    <cellStyle name="Обычный 9 4 8 2 5" xfId="53429"/>
    <cellStyle name="Обычный 9 4 8 2 6" xfId="53430"/>
    <cellStyle name="Обычный 9 4 8 3" xfId="53431"/>
    <cellStyle name="Обычный 9 4 8 3 2" xfId="53432"/>
    <cellStyle name="Обычный 9 4 8 3 3" xfId="53433"/>
    <cellStyle name="Обычный 9 4 8 4" xfId="53434"/>
    <cellStyle name="Обычный 9 4 8 4 2" xfId="53435"/>
    <cellStyle name="Обычный 9 4 8 4 3" xfId="53436"/>
    <cellStyle name="Обычный 9 4 8 5" xfId="53437"/>
    <cellStyle name="Обычный 9 4 8 5 2" xfId="53438"/>
    <cellStyle name="Обычный 9 4 8 6" xfId="53439"/>
    <cellStyle name="Обычный 9 4 8 7" xfId="53440"/>
    <cellStyle name="Обычный 9 4 9" xfId="53441"/>
    <cellStyle name="Обычный 9 4 9 2" xfId="53442"/>
    <cellStyle name="Обычный 9 4 9 2 2" xfId="53443"/>
    <cellStyle name="Обычный 9 4 9 2 3" xfId="53444"/>
    <cellStyle name="Обычный 9 4 9 3" xfId="53445"/>
    <cellStyle name="Обычный 9 4 9 3 2" xfId="53446"/>
    <cellStyle name="Обычный 9 4 9 3 3" xfId="53447"/>
    <cellStyle name="Обычный 9 4 9 4" xfId="53448"/>
    <cellStyle name="Обычный 9 4 9 4 2" xfId="53449"/>
    <cellStyle name="Обычный 9 4 9 5" xfId="53450"/>
    <cellStyle name="Обычный 9 4 9 6" xfId="53451"/>
    <cellStyle name="Обычный 9 5" xfId="53452"/>
    <cellStyle name="Обычный 9 5 10" xfId="53453"/>
    <cellStyle name="Обычный 9 5 10 2" xfId="53454"/>
    <cellStyle name="Обычный 9 5 10 3" xfId="53455"/>
    <cellStyle name="Обычный 9 5 11" xfId="53456"/>
    <cellStyle name="Обычный 9 5 11 2" xfId="53457"/>
    <cellStyle name="Обычный 9 5 11 3" xfId="53458"/>
    <cellStyle name="Обычный 9 5 12" xfId="53459"/>
    <cellStyle name="Обычный 9 5 12 2" xfId="53460"/>
    <cellStyle name="Обычный 9 5 13" xfId="53461"/>
    <cellStyle name="Обычный 9 5 14" xfId="53462"/>
    <cellStyle name="Обычный 9 5 2" xfId="53463"/>
    <cellStyle name="Обычный 9 5 2 10" xfId="53464"/>
    <cellStyle name="Обычный 9 5 2 10 2" xfId="53465"/>
    <cellStyle name="Обычный 9 5 2 10 3" xfId="53466"/>
    <cellStyle name="Обычный 9 5 2 11" xfId="53467"/>
    <cellStyle name="Обычный 9 5 2 11 2" xfId="53468"/>
    <cellStyle name="Обычный 9 5 2 12" xfId="53469"/>
    <cellStyle name="Обычный 9 5 2 13" xfId="53470"/>
    <cellStyle name="Обычный 9 5 2 2" xfId="53471"/>
    <cellStyle name="Обычный 9 5 2 2 10" xfId="53472"/>
    <cellStyle name="Обычный 9 5 2 2 2" xfId="53473"/>
    <cellStyle name="Обычный 9 5 2 2 2 2" xfId="53474"/>
    <cellStyle name="Обычный 9 5 2 2 2 2 2" xfId="53475"/>
    <cellStyle name="Обычный 9 5 2 2 2 2 2 2" xfId="53476"/>
    <cellStyle name="Обычный 9 5 2 2 2 2 2 2 2" xfId="53477"/>
    <cellStyle name="Обычный 9 5 2 2 2 2 2 2 2 2" xfId="53478"/>
    <cellStyle name="Обычный 9 5 2 2 2 2 2 2 2 3" xfId="53479"/>
    <cellStyle name="Обычный 9 5 2 2 2 2 2 2 3" xfId="53480"/>
    <cellStyle name="Обычный 9 5 2 2 2 2 2 2 3 2" xfId="53481"/>
    <cellStyle name="Обычный 9 5 2 2 2 2 2 2 3 3" xfId="53482"/>
    <cellStyle name="Обычный 9 5 2 2 2 2 2 2 4" xfId="53483"/>
    <cellStyle name="Обычный 9 5 2 2 2 2 2 2 4 2" xfId="53484"/>
    <cellStyle name="Обычный 9 5 2 2 2 2 2 2 5" xfId="53485"/>
    <cellStyle name="Обычный 9 5 2 2 2 2 2 2 6" xfId="53486"/>
    <cellStyle name="Обычный 9 5 2 2 2 2 2 3" xfId="53487"/>
    <cellStyle name="Обычный 9 5 2 2 2 2 2 3 2" xfId="53488"/>
    <cellStyle name="Обычный 9 5 2 2 2 2 2 3 3" xfId="53489"/>
    <cellStyle name="Обычный 9 5 2 2 2 2 2 4" xfId="53490"/>
    <cellStyle name="Обычный 9 5 2 2 2 2 2 4 2" xfId="53491"/>
    <cellStyle name="Обычный 9 5 2 2 2 2 2 4 3" xfId="53492"/>
    <cellStyle name="Обычный 9 5 2 2 2 2 2 5" xfId="53493"/>
    <cellStyle name="Обычный 9 5 2 2 2 2 2 5 2" xfId="53494"/>
    <cellStyle name="Обычный 9 5 2 2 2 2 2 6" xfId="53495"/>
    <cellStyle name="Обычный 9 5 2 2 2 2 2 7" xfId="53496"/>
    <cellStyle name="Обычный 9 5 2 2 2 2 3" xfId="53497"/>
    <cellStyle name="Обычный 9 5 2 2 2 2 3 2" xfId="53498"/>
    <cellStyle name="Обычный 9 5 2 2 2 2 3 2 2" xfId="53499"/>
    <cellStyle name="Обычный 9 5 2 2 2 2 3 2 3" xfId="53500"/>
    <cellStyle name="Обычный 9 5 2 2 2 2 3 3" xfId="53501"/>
    <cellStyle name="Обычный 9 5 2 2 2 2 3 3 2" xfId="53502"/>
    <cellStyle name="Обычный 9 5 2 2 2 2 3 3 3" xfId="53503"/>
    <cellStyle name="Обычный 9 5 2 2 2 2 3 4" xfId="53504"/>
    <cellStyle name="Обычный 9 5 2 2 2 2 3 4 2" xfId="53505"/>
    <cellStyle name="Обычный 9 5 2 2 2 2 3 5" xfId="53506"/>
    <cellStyle name="Обычный 9 5 2 2 2 2 3 6" xfId="53507"/>
    <cellStyle name="Обычный 9 5 2 2 2 2 4" xfId="53508"/>
    <cellStyle name="Обычный 9 5 2 2 2 2 4 2" xfId="53509"/>
    <cellStyle name="Обычный 9 5 2 2 2 2 4 3" xfId="53510"/>
    <cellStyle name="Обычный 9 5 2 2 2 2 5" xfId="53511"/>
    <cellStyle name="Обычный 9 5 2 2 2 2 5 2" xfId="53512"/>
    <cellStyle name="Обычный 9 5 2 2 2 2 5 3" xfId="53513"/>
    <cellStyle name="Обычный 9 5 2 2 2 2 6" xfId="53514"/>
    <cellStyle name="Обычный 9 5 2 2 2 2 6 2" xfId="53515"/>
    <cellStyle name="Обычный 9 5 2 2 2 2 7" xfId="53516"/>
    <cellStyle name="Обычный 9 5 2 2 2 2 8" xfId="53517"/>
    <cellStyle name="Обычный 9 5 2 2 2 3" xfId="53518"/>
    <cellStyle name="Обычный 9 5 2 2 2 3 2" xfId="53519"/>
    <cellStyle name="Обычный 9 5 2 2 2 3 2 2" xfId="53520"/>
    <cellStyle name="Обычный 9 5 2 2 2 3 2 2 2" xfId="53521"/>
    <cellStyle name="Обычный 9 5 2 2 2 3 2 2 3" xfId="53522"/>
    <cellStyle name="Обычный 9 5 2 2 2 3 2 3" xfId="53523"/>
    <cellStyle name="Обычный 9 5 2 2 2 3 2 3 2" xfId="53524"/>
    <cellStyle name="Обычный 9 5 2 2 2 3 2 3 3" xfId="53525"/>
    <cellStyle name="Обычный 9 5 2 2 2 3 2 4" xfId="53526"/>
    <cellStyle name="Обычный 9 5 2 2 2 3 2 4 2" xfId="53527"/>
    <cellStyle name="Обычный 9 5 2 2 2 3 2 5" xfId="53528"/>
    <cellStyle name="Обычный 9 5 2 2 2 3 2 6" xfId="53529"/>
    <cellStyle name="Обычный 9 5 2 2 2 3 3" xfId="53530"/>
    <cellStyle name="Обычный 9 5 2 2 2 3 3 2" xfId="53531"/>
    <cellStyle name="Обычный 9 5 2 2 2 3 3 3" xfId="53532"/>
    <cellStyle name="Обычный 9 5 2 2 2 3 4" xfId="53533"/>
    <cellStyle name="Обычный 9 5 2 2 2 3 4 2" xfId="53534"/>
    <cellStyle name="Обычный 9 5 2 2 2 3 4 3" xfId="53535"/>
    <cellStyle name="Обычный 9 5 2 2 2 3 5" xfId="53536"/>
    <cellStyle name="Обычный 9 5 2 2 2 3 5 2" xfId="53537"/>
    <cellStyle name="Обычный 9 5 2 2 2 3 6" xfId="53538"/>
    <cellStyle name="Обычный 9 5 2 2 2 3 7" xfId="53539"/>
    <cellStyle name="Обычный 9 5 2 2 2 4" xfId="53540"/>
    <cellStyle name="Обычный 9 5 2 2 2 4 2" xfId="53541"/>
    <cellStyle name="Обычный 9 5 2 2 2 4 2 2" xfId="53542"/>
    <cellStyle name="Обычный 9 5 2 2 2 4 2 3" xfId="53543"/>
    <cellStyle name="Обычный 9 5 2 2 2 4 3" xfId="53544"/>
    <cellStyle name="Обычный 9 5 2 2 2 4 3 2" xfId="53545"/>
    <cellStyle name="Обычный 9 5 2 2 2 4 3 3" xfId="53546"/>
    <cellStyle name="Обычный 9 5 2 2 2 4 4" xfId="53547"/>
    <cellStyle name="Обычный 9 5 2 2 2 4 4 2" xfId="53548"/>
    <cellStyle name="Обычный 9 5 2 2 2 4 5" xfId="53549"/>
    <cellStyle name="Обычный 9 5 2 2 2 4 6" xfId="53550"/>
    <cellStyle name="Обычный 9 5 2 2 2 5" xfId="53551"/>
    <cellStyle name="Обычный 9 5 2 2 2 5 2" xfId="53552"/>
    <cellStyle name="Обычный 9 5 2 2 2 5 3" xfId="53553"/>
    <cellStyle name="Обычный 9 5 2 2 2 6" xfId="53554"/>
    <cellStyle name="Обычный 9 5 2 2 2 6 2" xfId="53555"/>
    <cellStyle name="Обычный 9 5 2 2 2 6 3" xfId="53556"/>
    <cellStyle name="Обычный 9 5 2 2 2 7" xfId="53557"/>
    <cellStyle name="Обычный 9 5 2 2 2 7 2" xfId="53558"/>
    <cellStyle name="Обычный 9 5 2 2 2 8" xfId="53559"/>
    <cellStyle name="Обычный 9 5 2 2 2 9" xfId="53560"/>
    <cellStyle name="Обычный 9 5 2 2 3" xfId="53561"/>
    <cellStyle name="Обычный 9 5 2 2 3 2" xfId="53562"/>
    <cellStyle name="Обычный 9 5 2 2 3 2 2" xfId="53563"/>
    <cellStyle name="Обычный 9 5 2 2 3 2 2 2" xfId="53564"/>
    <cellStyle name="Обычный 9 5 2 2 3 2 2 2 2" xfId="53565"/>
    <cellStyle name="Обычный 9 5 2 2 3 2 2 2 3" xfId="53566"/>
    <cellStyle name="Обычный 9 5 2 2 3 2 2 3" xfId="53567"/>
    <cellStyle name="Обычный 9 5 2 2 3 2 2 3 2" xfId="53568"/>
    <cellStyle name="Обычный 9 5 2 2 3 2 2 3 3" xfId="53569"/>
    <cellStyle name="Обычный 9 5 2 2 3 2 2 4" xfId="53570"/>
    <cellStyle name="Обычный 9 5 2 2 3 2 2 4 2" xfId="53571"/>
    <cellStyle name="Обычный 9 5 2 2 3 2 2 5" xfId="53572"/>
    <cellStyle name="Обычный 9 5 2 2 3 2 2 6" xfId="53573"/>
    <cellStyle name="Обычный 9 5 2 2 3 2 3" xfId="53574"/>
    <cellStyle name="Обычный 9 5 2 2 3 2 3 2" xfId="53575"/>
    <cellStyle name="Обычный 9 5 2 2 3 2 3 3" xfId="53576"/>
    <cellStyle name="Обычный 9 5 2 2 3 2 4" xfId="53577"/>
    <cellStyle name="Обычный 9 5 2 2 3 2 4 2" xfId="53578"/>
    <cellStyle name="Обычный 9 5 2 2 3 2 4 3" xfId="53579"/>
    <cellStyle name="Обычный 9 5 2 2 3 2 5" xfId="53580"/>
    <cellStyle name="Обычный 9 5 2 2 3 2 5 2" xfId="53581"/>
    <cellStyle name="Обычный 9 5 2 2 3 2 6" xfId="53582"/>
    <cellStyle name="Обычный 9 5 2 2 3 2 7" xfId="53583"/>
    <cellStyle name="Обычный 9 5 2 2 3 3" xfId="53584"/>
    <cellStyle name="Обычный 9 5 2 2 3 3 2" xfId="53585"/>
    <cellStyle name="Обычный 9 5 2 2 3 3 2 2" xfId="53586"/>
    <cellStyle name="Обычный 9 5 2 2 3 3 2 3" xfId="53587"/>
    <cellStyle name="Обычный 9 5 2 2 3 3 3" xfId="53588"/>
    <cellStyle name="Обычный 9 5 2 2 3 3 3 2" xfId="53589"/>
    <cellStyle name="Обычный 9 5 2 2 3 3 3 3" xfId="53590"/>
    <cellStyle name="Обычный 9 5 2 2 3 3 4" xfId="53591"/>
    <cellStyle name="Обычный 9 5 2 2 3 3 4 2" xfId="53592"/>
    <cellStyle name="Обычный 9 5 2 2 3 3 5" xfId="53593"/>
    <cellStyle name="Обычный 9 5 2 2 3 3 6" xfId="53594"/>
    <cellStyle name="Обычный 9 5 2 2 3 4" xfId="53595"/>
    <cellStyle name="Обычный 9 5 2 2 3 4 2" xfId="53596"/>
    <cellStyle name="Обычный 9 5 2 2 3 4 3" xfId="53597"/>
    <cellStyle name="Обычный 9 5 2 2 3 5" xfId="53598"/>
    <cellStyle name="Обычный 9 5 2 2 3 5 2" xfId="53599"/>
    <cellStyle name="Обычный 9 5 2 2 3 5 3" xfId="53600"/>
    <cellStyle name="Обычный 9 5 2 2 3 6" xfId="53601"/>
    <cellStyle name="Обычный 9 5 2 2 3 6 2" xfId="53602"/>
    <cellStyle name="Обычный 9 5 2 2 3 7" xfId="53603"/>
    <cellStyle name="Обычный 9 5 2 2 3 8" xfId="53604"/>
    <cellStyle name="Обычный 9 5 2 2 4" xfId="53605"/>
    <cellStyle name="Обычный 9 5 2 2 4 2" xfId="53606"/>
    <cellStyle name="Обычный 9 5 2 2 4 2 2" xfId="53607"/>
    <cellStyle name="Обычный 9 5 2 2 4 2 2 2" xfId="53608"/>
    <cellStyle name="Обычный 9 5 2 2 4 2 2 3" xfId="53609"/>
    <cellStyle name="Обычный 9 5 2 2 4 2 3" xfId="53610"/>
    <cellStyle name="Обычный 9 5 2 2 4 2 3 2" xfId="53611"/>
    <cellStyle name="Обычный 9 5 2 2 4 2 3 3" xfId="53612"/>
    <cellStyle name="Обычный 9 5 2 2 4 2 4" xfId="53613"/>
    <cellStyle name="Обычный 9 5 2 2 4 2 4 2" xfId="53614"/>
    <cellStyle name="Обычный 9 5 2 2 4 2 5" xfId="53615"/>
    <cellStyle name="Обычный 9 5 2 2 4 2 6" xfId="53616"/>
    <cellStyle name="Обычный 9 5 2 2 4 3" xfId="53617"/>
    <cellStyle name="Обычный 9 5 2 2 4 3 2" xfId="53618"/>
    <cellStyle name="Обычный 9 5 2 2 4 3 3" xfId="53619"/>
    <cellStyle name="Обычный 9 5 2 2 4 4" xfId="53620"/>
    <cellStyle name="Обычный 9 5 2 2 4 4 2" xfId="53621"/>
    <cellStyle name="Обычный 9 5 2 2 4 4 3" xfId="53622"/>
    <cellStyle name="Обычный 9 5 2 2 4 5" xfId="53623"/>
    <cellStyle name="Обычный 9 5 2 2 4 5 2" xfId="53624"/>
    <cellStyle name="Обычный 9 5 2 2 4 6" xfId="53625"/>
    <cellStyle name="Обычный 9 5 2 2 4 7" xfId="53626"/>
    <cellStyle name="Обычный 9 5 2 2 5" xfId="53627"/>
    <cellStyle name="Обычный 9 5 2 2 5 2" xfId="53628"/>
    <cellStyle name="Обычный 9 5 2 2 5 2 2" xfId="53629"/>
    <cellStyle name="Обычный 9 5 2 2 5 2 3" xfId="53630"/>
    <cellStyle name="Обычный 9 5 2 2 5 3" xfId="53631"/>
    <cellStyle name="Обычный 9 5 2 2 5 3 2" xfId="53632"/>
    <cellStyle name="Обычный 9 5 2 2 5 3 3" xfId="53633"/>
    <cellStyle name="Обычный 9 5 2 2 5 4" xfId="53634"/>
    <cellStyle name="Обычный 9 5 2 2 5 4 2" xfId="53635"/>
    <cellStyle name="Обычный 9 5 2 2 5 5" xfId="53636"/>
    <cellStyle name="Обычный 9 5 2 2 5 6" xfId="53637"/>
    <cellStyle name="Обычный 9 5 2 2 6" xfId="53638"/>
    <cellStyle name="Обычный 9 5 2 2 6 2" xfId="53639"/>
    <cellStyle name="Обычный 9 5 2 2 6 3" xfId="53640"/>
    <cellStyle name="Обычный 9 5 2 2 7" xfId="53641"/>
    <cellStyle name="Обычный 9 5 2 2 7 2" xfId="53642"/>
    <cellStyle name="Обычный 9 5 2 2 7 3" xfId="53643"/>
    <cellStyle name="Обычный 9 5 2 2 8" xfId="53644"/>
    <cellStyle name="Обычный 9 5 2 2 8 2" xfId="53645"/>
    <cellStyle name="Обычный 9 5 2 2 9" xfId="53646"/>
    <cellStyle name="Обычный 9 5 2 3" xfId="53647"/>
    <cellStyle name="Обычный 9 5 2 3 10" xfId="53648"/>
    <cellStyle name="Обычный 9 5 2 3 2" xfId="53649"/>
    <cellStyle name="Обычный 9 5 2 3 2 2" xfId="53650"/>
    <cellStyle name="Обычный 9 5 2 3 2 2 2" xfId="53651"/>
    <cellStyle name="Обычный 9 5 2 3 2 2 2 2" xfId="53652"/>
    <cellStyle name="Обычный 9 5 2 3 2 2 2 2 2" xfId="53653"/>
    <cellStyle name="Обычный 9 5 2 3 2 2 2 2 2 2" xfId="53654"/>
    <cellStyle name="Обычный 9 5 2 3 2 2 2 2 2 3" xfId="53655"/>
    <cellStyle name="Обычный 9 5 2 3 2 2 2 2 3" xfId="53656"/>
    <cellStyle name="Обычный 9 5 2 3 2 2 2 2 3 2" xfId="53657"/>
    <cellStyle name="Обычный 9 5 2 3 2 2 2 2 3 3" xfId="53658"/>
    <cellStyle name="Обычный 9 5 2 3 2 2 2 2 4" xfId="53659"/>
    <cellStyle name="Обычный 9 5 2 3 2 2 2 2 4 2" xfId="53660"/>
    <cellStyle name="Обычный 9 5 2 3 2 2 2 2 5" xfId="53661"/>
    <cellStyle name="Обычный 9 5 2 3 2 2 2 2 6" xfId="53662"/>
    <cellStyle name="Обычный 9 5 2 3 2 2 2 3" xfId="53663"/>
    <cellStyle name="Обычный 9 5 2 3 2 2 2 3 2" xfId="53664"/>
    <cellStyle name="Обычный 9 5 2 3 2 2 2 3 3" xfId="53665"/>
    <cellStyle name="Обычный 9 5 2 3 2 2 2 4" xfId="53666"/>
    <cellStyle name="Обычный 9 5 2 3 2 2 2 4 2" xfId="53667"/>
    <cellStyle name="Обычный 9 5 2 3 2 2 2 4 3" xfId="53668"/>
    <cellStyle name="Обычный 9 5 2 3 2 2 2 5" xfId="53669"/>
    <cellStyle name="Обычный 9 5 2 3 2 2 2 5 2" xfId="53670"/>
    <cellStyle name="Обычный 9 5 2 3 2 2 2 6" xfId="53671"/>
    <cellStyle name="Обычный 9 5 2 3 2 2 2 7" xfId="53672"/>
    <cellStyle name="Обычный 9 5 2 3 2 2 3" xfId="53673"/>
    <cellStyle name="Обычный 9 5 2 3 2 2 3 2" xfId="53674"/>
    <cellStyle name="Обычный 9 5 2 3 2 2 3 2 2" xfId="53675"/>
    <cellStyle name="Обычный 9 5 2 3 2 2 3 2 3" xfId="53676"/>
    <cellStyle name="Обычный 9 5 2 3 2 2 3 3" xfId="53677"/>
    <cellStyle name="Обычный 9 5 2 3 2 2 3 3 2" xfId="53678"/>
    <cellStyle name="Обычный 9 5 2 3 2 2 3 3 3" xfId="53679"/>
    <cellStyle name="Обычный 9 5 2 3 2 2 3 4" xfId="53680"/>
    <cellStyle name="Обычный 9 5 2 3 2 2 3 4 2" xfId="53681"/>
    <cellStyle name="Обычный 9 5 2 3 2 2 3 5" xfId="53682"/>
    <cellStyle name="Обычный 9 5 2 3 2 2 3 6" xfId="53683"/>
    <cellStyle name="Обычный 9 5 2 3 2 2 4" xfId="53684"/>
    <cellStyle name="Обычный 9 5 2 3 2 2 4 2" xfId="53685"/>
    <cellStyle name="Обычный 9 5 2 3 2 2 4 3" xfId="53686"/>
    <cellStyle name="Обычный 9 5 2 3 2 2 5" xfId="53687"/>
    <cellStyle name="Обычный 9 5 2 3 2 2 5 2" xfId="53688"/>
    <cellStyle name="Обычный 9 5 2 3 2 2 5 3" xfId="53689"/>
    <cellStyle name="Обычный 9 5 2 3 2 2 6" xfId="53690"/>
    <cellStyle name="Обычный 9 5 2 3 2 2 6 2" xfId="53691"/>
    <cellStyle name="Обычный 9 5 2 3 2 2 7" xfId="53692"/>
    <cellStyle name="Обычный 9 5 2 3 2 2 8" xfId="53693"/>
    <cellStyle name="Обычный 9 5 2 3 2 3" xfId="53694"/>
    <cellStyle name="Обычный 9 5 2 3 2 3 2" xfId="53695"/>
    <cellStyle name="Обычный 9 5 2 3 2 3 2 2" xfId="53696"/>
    <cellStyle name="Обычный 9 5 2 3 2 3 2 2 2" xfId="53697"/>
    <cellStyle name="Обычный 9 5 2 3 2 3 2 2 3" xfId="53698"/>
    <cellStyle name="Обычный 9 5 2 3 2 3 2 3" xfId="53699"/>
    <cellStyle name="Обычный 9 5 2 3 2 3 2 3 2" xfId="53700"/>
    <cellStyle name="Обычный 9 5 2 3 2 3 2 3 3" xfId="53701"/>
    <cellStyle name="Обычный 9 5 2 3 2 3 2 4" xfId="53702"/>
    <cellStyle name="Обычный 9 5 2 3 2 3 2 4 2" xfId="53703"/>
    <cellStyle name="Обычный 9 5 2 3 2 3 2 5" xfId="53704"/>
    <cellStyle name="Обычный 9 5 2 3 2 3 2 6" xfId="53705"/>
    <cellStyle name="Обычный 9 5 2 3 2 3 3" xfId="53706"/>
    <cellStyle name="Обычный 9 5 2 3 2 3 3 2" xfId="53707"/>
    <cellStyle name="Обычный 9 5 2 3 2 3 3 3" xfId="53708"/>
    <cellStyle name="Обычный 9 5 2 3 2 3 4" xfId="53709"/>
    <cellStyle name="Обычный 9 5 2 3 2 3 4 2" xfId="53710"/>
    <cellStyle name="Обычный 9 5 2 3 2 3 4 3" xfId="53711"/>
    <cellStyle name="Обычный 9 5 2 3 2 3 5" xfId="53712"/>
    <cellStyle name="Обычный 9 5 2 3 2 3 5 2" xfId="53713"/>
    <cellStyle name="Обычный 9 5 2 3 2 3 6" xfId="53714"/>
    <cellStyle name="Обычный 9 5 2 3 2 3 7" xfId="53715"/>
    <cellStyle name="Обычный 9 5 2 3 2 4" xfId="53716"/>
    <cellStyle name="Обычный 9 5 2 3 2 4 2" xfId="53717"/>
    <cellStyle name="Обычный 9 5 2 3 2 4 2 2" xfId="53718"/>
    <cellStyle name="Обычный 9 5 2 3 2 4 2 3" xfId="53719"/>
    <cellStyle name="Обычный 9 5 2 3 2 4 3" xfId="53720"/>
    <cellStyle name="Обычный 9 5 2 3 2 4 3 2" xfId="53721"/>
    <cellStyle name="Обычный 9 5 2 3 2 4 3 3" xfId="53722"/>
    <cellStyle name="Обычный 9 5 2 3 2 4 4" xfId="53723"/>
    <cellStyle name="Обычный 9 5 2 3 2 4 4 2" xfId="53724"/>
    <cellStyle name="Обычный 9 5 2 3 2 4 5" xfId="53725"/>
    <cellStyle name="Обычный 9 5 2 3 2 4 6" xfId="53726"/>
    <cellStyle name="Обычный 9 5 2 3 2 5" xfId="53727"/>
    <cellStyle name="Обычный 9 5 2 3 2 5 2" xfId="53728"/>
    <cellStyle name="Обычный 9 5 2 3 2 5 3" xfId="53729"/>
    <cellStyle name="Обычный 9 5 2 3 2 6" xfId="53730"/>
    <cellStyle name="Обычный 9 5 2 3 2 6 2" xfId="53731"/>
    <cellStyle name="Обычный 9 5 2 3 2 6 3" xfId="53732"/>
    <cellStyle name="Обычный 9 5 2 3 2 7" xfId="53733"/>
    <cellStyle name="Обычный 9 5 2 3 2 7 2" xfId="53734"/>
    <cellStyle name="Обычный 9 5 2 3 2 8" xfId="53735"/>
    <cellStyle name="Обычный 9 5 2 3 2 9" xfId="53736"/>
    <cellStyle name="Обычный 9 5 2 3 3" xfId="53737"/>
    <cellStyle name="Обычный 9 5 2 3 3 2" xfId="53738"/>
    <cellStyle name="Обычный 9 5 2 3 3 2 2" xfId="53739"/>
    <cellStyle name="Обычный 9 5 2 3 3 2 2 2" xfId="53740"/>
    <cellStyle name="Обычный 9 5 2 3 3 2 2 2 2" xfId="53741"/>
    <cellStyle name="Обычный 9 5 2 3 3 2 2 2 3" xfId="53742"/>
    <cellStyle name="Обычный 9 5 2 3 3 2 2 3" xfId="53743"/>
    <cellStyle name="Обычный 9 5 2 3 3 2 2 3 2" xfId="53744"/>
    <cellStyle name="Обычный 9 5 2 3 3 2 2 3 3" xfId="53745"/>
    <cellStyle name="Обычный 9 5 2 3 3 2 2 4" xfId="53746"/>
    <cellStyle name="Обычный 9 5 2 3 3 2 2 4 2" xfId="53747"/>
    <cellStyle name="Обычный 9 5 2 3 3 2 2 5" xfId="53748"/>
    <cellStyle name="Обычный 9 5 2 3 3 2 2 6" xfId="53749"/>
    <cellStyle name="Обычный 9 5 2 3 3 2 3" xfId="53750"/>
    <cellStyle name="Обычный 9 5 2 3 3 2 3 2" xfId="53751"/>
    <cellStyle name="Обычный 9 5 2 3 3 2 3 3" xfId="53752"/>
    <cellStyle name="Обычный 9 5 2 3 3 2 4" xfId="53753"/>
    <cellStyle name="Обычный 9 5 2 3 3 2 4 2" xfId="53754"/>
    <cellStyle name="Обычный 9 5 2 3 3 2 4 3" xfId="53755"/>
    <cellStyle name="Обычный 9 5 2 3 3 2 5" xfId="53756"/>
    <cellStyle name="Обычный 9 5 2 3 3 2 5 2" xfId="53757"/>
    <cellStyle name="Обычный 9 5 2 3 3 2 6" xfId="53758"/>
    <cellStyle name="Обычный 9 5 2 3 3 2 7" xfId="53759"/>
    <cellStyle name="Обычный 9 5 2 3 3 3" xfId="53760"/>
    <cellStyle name="Обычный 9 5 2 3 3 3 2" xfId="53761"/>
    <cellStyle name="Обычный 9 5 2 3 3 3 2 2" xfId="53762"/>
    <cellStyle name="Обычный 9 5 2 3 3 3 2 3" xfId="53763"/>
    <cellStyle name="Обычный 9 5 2 3 3 3 3" xfId="53764"/>
    <cellStyle name="Обычный 9 5 2 3 3 3 3 2" xfId="53765"/>
    <cellStyle name="Обычный 9 5 2 3 3 3 3 3" xfId="53766"/>
    <cellStyle name="Обычный 9 5 2 3 3 3 4" xfId="53767"/>
    <cellStyle name="Обычный 9 5 2 3 3 3 4 2" xfId="53768"/>
    <cellStyle name="Обычный 9 5 2 3 3 3 5" xfId="53769"/>
    <cellStyle name="Обычный 9 5 2 3 3 3 6" xfId="53770"/>
    <cellStyle name="Обычный 9 5 2 3 3 4" xfId="53771"/>
    <cellStyle name="Обычный 9 5 2 3 3 4 2" xfId="53772"/>
    <cellStyle name="Обычный 9 5 2 3 3 4 3" xfId="53773"/>
    <cellStyle name="Обычный 9 5 2 3 3 5" xfId="53774"/>
    <cellStyle name="Обычный 9 5 2 3 3 5 2" xfId="53775"/>
    <cellStyle name="Обычный 9 5 2 3 3 5 3" xfId="53776"/>
    <cellStyle name="Обычный 9 5 2 3 3 6" xfId="53777"/>
    <cellStyle name="Обычный 9 5 2 3 3 6 2" xfId="53778"/>
    <cellStyle name="Обычный 9 5 2 3 3 7" xfId="53779"/>
    <cellStyle name="Обычный 9 5 2 3 3 8" xfId="53780"/>
    <cellStyle name="Обычный 9 5 2 3 4" xfId="53781"/>
    <cellStyle name="Обычный 9 5 2 3 4 2" xfId="53782"/>
    <cellStyle name="Обычный 9 5 2 3 4 2 2" xfId="53783"/>
    <cellStyle name="Обычный 9 5 2 3 4 2 2 2" xfId="53784"/>
    <cellStyle name="Обычный 9 5 2 3 4 2 2 3" xfId="53785"/>
    <cellStyle name="Обычный 9 5 2 3 4 2 3" xfId="53786"/>
    <cellStyle name="Обычный 9 5 2 3 4 2 3 2" xfId="53787"/>
    <cellStyle name="Обычный 9 5 2 3 4 2 3 3" xfId="53788"/>
    <cellStyle name="Обычный 9 5 2 3 4 2 4" xfId="53789"/>
    <cellStyle name="Обычный 9 5 2 3 4 2 4 2" xfId="53790"/>
    <cellStyle name="Обычный 9 5 2 3 4 2 5" xfId="53791"/>
    <cellStyle name="Обычный 9 5 2 3 4 2 6" xfId="53792"/>
    <cellStyle name="Обычный 9 5 2 3 4 3" xfId="53793"/>
    <cellStyle name="Обычный 9 5 2 3 4 3 2" xfId="53794"/>
    <cellStyle name="Обычный 9 5 2 3 4 3 3" xfId="53795"/>
    <cellStyle name="Обычный 9 5 2 3 4 4" xfId="53796"/>
    <cellStyle name="Обычный 9 5 2 3 4 4 2" xfId="53797"/>
    <cellStyle name="Обычный 9 5 2 3 4 4 3" xfId="53798"/>
    <cellStyle name="Обычный 9 5 2 3 4 5" xfId="53799"/>
    <cellStyle name="Обычный 9 5 2 3 4 5 2" xfId="53800"/>
    <cellStyle name="Обычный 9 5 2 3 4 6" xfId="53801"/>
    <cellStyle name="Обычный 9 5 2 3 4 7" xfId="53802"/>
    <cellStyle name="Обычный 9 5 2 3 5" xfId="53803"/>
    <cellStyle name="Обычный 9 5 2 3 5 2" xfId="53804"/>
    <cellStyle name="Обычный 9 5 2 3 5 2 2" xfId="53805"/>
    <cellStyle name="Обычный 9 5 2 3 5 2 3" xfId="53806"/>
    <cellStyle name="Обычный 9 5 2 3 5 3" xfId="53807"/>
    <cellStyle name="Обычный 9 5 2 3 5 3 2" xfId="53808"/>
    <cellStyle name="Обычный 9 5 2 3 5 3 3" xfId="53809"/>
    <cellStyle name="Обычный 9 5 2 3 5 4" xfId="53810"/>
    <cellStyle name="Обычный 9 5 2 3 5 4 2" xfId="53811"/>
    <cellStyle name="Обычный 9 5 2 3 5 5" xfId="53812"/>
    <cellStyle name="Обычный 9 5 2 3 5 6" xfId="53813"/>
    <cellStyle name="Обычный 9 5 2 3 6" xfId="53814"/>
    <cellStyle name="Обычный 9 5 2 3 6 2" xfId="53815"/>
    <cellStyle name="Обычный 9 5 2 3 6 3" xfId="53816"/>
    <cellStyle name="Обычный 9 5 2 3 7" xfId="53817"/>
    <cellStyle name="Обычный 9 5 2 3 7 2" xfId="53818"/>
    <cellStyle name="Обычный 9 5 2 3 7 3" xfId="53819"/>
    <cellStyle name="Обычный 9 5 2 3 8" xfId="53820"/>
    <cellStyle name="Обычный 9 5 2 3 8 2" xfId="53821"/>
    <cellStyle name="Обычный 9 5 2 3 9" xfId="53822"/>
    <cellStyle name="Обычный 9 5 2 4" xfId="53823"/>
    <cellStyle name="Обычный 9 5 2 4 10" xfId="53824"/>
    <cellStyle name="Обычный 9 5 2 4 2" xfId="53825"/>
    <cellStyle name="Обычный 9 5 2 4 2 2" xfId="53826"/>
    <cellStyle name="Обычный 9 5 2 4 2 2 2" xfId="53827"/>
    <cellStyle name="Обычный 9 5 2 4 2 2 2 2" xfId="53828"/>
    <cellStyle name="Обычный 9 5 2 4 2 2 2 2 2" xfId="53829"/>
    <cellStyle name="Обычный 9 5 2 4 2 2 2 2 2 2" xfId="53830"/>
    <cellStyle name="Обычный 9 5 2 4 2 2 2 2 2 3" xfId="53831"/>
    <cellStyle name="Обычный 9 5 2 4 2 2 2 2 3" xfId="53832"/>
    <cellStyle name="Обычный 9 5 2 4 2 2 2 2 3 2" xfId="53833"/>
    <cellStyle name="Обычный 9 5 2 4 2 2 2 2 3 3" xfId="53834"/>
    <cellStyle name="Обычный 9 5 2 4 2 2 2 2 4" xfId="53835"/>
    <cellStyle name="Обычный 9 5 2 4 2 2 2 2 4 2" xfId="53836"/>
    <cellStyle name="Обычный 9 5 2 4 2 2 2 2 5" xfId="53837"/>
    <cellStyle name="Обычный 9 5 2 4 2 2 2 2 6" xfId="53838"/>
    <cellStyle name="Обычный 9 5 2 4 2 2 2 3" xfId="53839"/>
    <cellStyle name="Обычный 9 5 2 4 2 2 2 3 2" xfId="53840"/>
    <cellStyle name="Обычный 9 5 2 4 2 2 2 3 3" xfId="53841"/>
    <cellStyle name="Обычный 9 5 2 4 2 2 2 4" xfId="53842"/>
    <cellStyle name="Обычный 9 5 2 4 2 2 2 4 2" xfId="53843"/>
    <cellStyle name="Обычный 9 5 2 4 2 2 2 4 3" xfId="53844"/>
    <cellStyle name="Обычный 9 5 2 4 2 2 2 5" xfId="53845"/>
    <cellStyle name="Обычный 9 5 2 4 2 2 2 5 2" xfId="53846"/>
    <cellStyle name="Обычный 9 5 2 4 2 2 2 6" xfId="53847"/>
    <cellStyle name="Обычный 9 5 2 4 2 2 2 7" xfId="53848"/>
    <cellStyle name="Обычный 9 5 2 4 2 2 3" xfId="53849"/>
    <cellStyle name="Обычный 9 5 2 4 2 2 3 2" xfId="53850"/>
    <cellStyle name="Обычный 9 5 2 4 2 2 3 2 2" xfId="53851"/>
    <cellStyle name="Обычный 9 5 2 4 2 2 3 2 3" xfId="53852"/>
    <cellStyle name="Обычный 9 5 2 4 2 2 3 3" xfId="53853"/>
    <cellStyle name="Обычный 9 5 2 4 2 2 3 3 2" xfId="53854"/>
    <cellStyle name="Обычный 9 5 2 4 2 2 3 3 3" xfId="53855"/>
    <cellStyle name="Обычный 9 5 2 4 2 2 3 4" xfId="53856"/>
    <cellStyle name="Обычный 9 5 2 4 2 2 3 4 2" xfId="53857"/>
    <cellStyle name="Обычный 9 5 2 4 2 2 3 5" xfId="53858"/>
    <cellStyle name="Обычный 9 5 2 4 2 2 3 6" xfId="53859"/>
    <cellStyle name="Обычный 9 5 2 4 2 2 4" xfId="53860"/>
    <cellStyle name="Обычный 9 5 2 4 2 2 4 2" xfId="53861"/>
    <cellStyle name="Обычный 9 5 2 4 2 2 4 3" xfId="53862"/>
    <cellStyle name="Обычный 9 5 2 4 2 2 5" xfId="53863"/>
    <cellStyle name="Обычный 9 5 2 4 2 2 5 2" xfId="53864"/>
    <cellStyle name="Обычный 9 5 2 4 2 2 5 3" xfId="53865"/>
    <cellStyle name="Обычный 9 5 2 4 2 2 6" xfId="53866"/>
    <cellStyle name="Обычный 9 5 2 4 2 2 6 2" xfId="53867"/>
    <cellStyle name="Обычный 9 5 2 4 2 2 7" xfId="53868"/>
    <cellStyle name="Обычный 9 5 2 4 2 2 8" xfId="53869"/>
    <cellStyle name="Обычный 9 5 2 4 2 3" xfId="53870"/>
    <cellStyle name="Обычный 9 5 2 4 2 3 2" xfId="53871"/>
    <cellStyle name="Обычный 9 5 2 4 2 3 2 2" xfId="53872"/>
    <cellStyle name="Обычный 9 5 2 4 2 3 2 2 2" xfId="53873"/>
    <cellStyle name="Обычный 9 5 2 4 2 3 2 2 3" xfId="53874"/>
    <cellStyle name="Обычный 9 5 2 4 2 3 2 3" xfId="53875"/>
    <cellStyle name="Обычный 9 5 2 4 2 3 2 3 2" xfId="53876"/>
    <cellStyle name="Обычный 9 5 2 4 2 3 2 3 3" xfId="53877"/>
    <cellStyle name="Обычный 9 5 2 4 2 3 2 4" xfId="53878"/>
    <cellStyle name="Обычный 9 5 2 4 2 3 2 4 2" xfId="53879"/>
    <cellStyle name="Обычный 9 5 2 4 2 3 2 5" xfId="53880"/>
    <cellStyle name="Обычный 9 5 2 4 2 3 2 6" xfId="53881"/>
    <cellStyle name="Обычный 9 5 2 4 2 3 3" xfId="53882"/>
    <cellStyle name="Обычный 9 5 2 4 2 3 3 2" xfId="53883"/>
    <cellStyle name="Обычный 9 5 2 4 2 3 3 3" xfId="53884"/>
    <cellStyle name="Обычный 9 5 2 4 2 3 4" xfId="53885"/>
    <cellStyle name="Обычный 9 5 2 4 2 3 4 2" xfId="53886"/>
    <cellStyle name="Обычный 9 5 2 4 2 3 4 3" xfId="53887"/>
    <cellStyle name="Обычный 9 5 2 4 2 3 5" xfId="53888"/>
    <cellStyle name="Обычный 9 5 2 4 2 3 5 2" xfId="53889"/>
    <cellStyle name="Обычный 9 5 2 4 2 3 6" xfId="53890"/>
    <cellStyle name="Обычный 9 5 2 4 2 3 7" xfId="53891"/>
    <cellStyle name="Обычный 9 5 2 4 2 4" xfId="53892"/>
    <cellStyle name="Обычный 9 5 2 4 2 4 2" xfId="53893"/>
    <cellStyle name="Обычный 9 5 2 4 2 4 2 2" xfId="53894"/>
    <cellStyle name="Обычный 9 5 2 4 2 4 2 3" xfId="53895"/>
    <cellStyle name="Обычный 9 5 2 4 2 4 3" xfId="53896"/>
    <cellStyle name="Обычный 9 5 2 4 2 4 3 2" xfId="53897"/>
    <cellStyle name="Обычный 9 5 2 4 2 4 3 3" xfId="53898"/>
    <cellStyle name="Обычный 9 5 2 4 2 4 4" xfId="53899"/>
    <cellStyle name="Обычный 9 5 2 4 2 4 4 2" xfId="53900"/>
    <cellStyle name="Обычный 9 5 2 4 2 4 5" xfId="53901"/>
    <cellStyle name="Обычный 9 5 2 4 2 4 6" xfId="53902"/>
    <cellStyle name="Обычный 9 5 2 4 2 5" xfId="53903"/>
    <cellStyle name="Обычный 9 5 2 4 2 5 2" xfId="53904"/>
    <cellStyle name="Обычный 9 5 2 4 2 5 3" xfId="53905"/>
    <cellStyle name="Обычный 9 5 2 4 2 6" xfId="53906"/>
    <cellStyle name="Обычный 9 5 2 4 2 6 2" xfId="53907"/>
    <cellStyle name="Обычный 9 5 2 4 2 6 3" xfId="53908"/>
    <cellStyle name="Обычный 9 5 2 4 2 7" xfId="53909"/>
    <cellStyle name="Обычный 9 5 2 4 2 7 2" xfId="53910"/>
    <cellStyle name="Обычный 9 5 2 4 2 8" xfId="53911"/>
    <cellStyle name="Обычный 9 5 2 4 2 9" xfId="53912"/>
    <cellStyle name="Обычный 9 5 2 4 3" xfId="53913"/>
    <cellStyle name="Обычный 9 5 2 4 3 2" xfId="53914"/>
    <cellStyle name="Обычный 9 5 2 4 3 2 2" xfId="53915"/>
    <cellStyle name="Обычный 9 5 2 4 3 2 2 2" xfId="53916"/>
    <cellStyle name="Обычный 9 5 2 4 3 2 2 2 2" xfId="53917"/>
    <cellStyle name="Обычный 9 5 2 4 3 2 2 2 3" xfId="53918"/>
    <cellStyle name="Обычный 9 5 2 4 3 2 2 3" xfId="53919"/>
    <cellStyle name="Обычный 9 5 2 4 3 2 2 3 2" xfId="53920"/>
    <cellStyle name="Обычный 9 5 2 4 3 2 2 3 3" xfId="53921"/>
    <cellStyle name="Обычный 9 5 2 4 3 2 2 4" xfId="53922"/>
    <cellStyle name="Обычный 9 5 2 4 3 2 2 4 2" xfId="53923"/>
    <cellStyle name="Обычный 9 5 2 4 3 2 2 5" xfId="53924"/>
    <cellStyle name="Обычный 9 5 2 4 3 2 2 6" xfId="53925"/>
    <cellStyle name="Обычный 9 5 2 4 3 2 3" xfId="53926"/>
    <cellStyle name="Обычный 9 5 2 4 3 2 3 2" xfId="53927"/>
    <cellStyle name="Обычный 9 5 2 4 3 2 3 3" xfId="53928"/>
    <cellStyle name="Обычный 9 5 2 4 3 2 4" xfId="53929"/>
    <cellStyle name="Обычный 9 5 2 4 3 2 4 2" xfId="53930"/>
    <cellStyle name="Обычный 9 5 2 4 3 2 4 3" xfId="53931"/>
    <cellStyle name="Обычный 9 5 2 4 3 2 5" xfId="53932"/>
    <cellStyle name="Обычный 9 5 2 4 3 2 5 2" xfId="53933"/>
    <cellStyle name="Обычный 9 5 2 4 3 2 6" xfId="53934"/>
    <cellStyle name="Обычный 9 5 2 4 3 2 7" xfId="53935"/>
    <cellStyle name="Обычный 9 5 2 4 3 3" xfId="53936"/>
    <cellStyle name="Обычный 9 5 2 4 3 3 2" xfId="53937"/>
    <cellStyle name="Обычный 9 5 2 4 3 3 2 2" xfId="53938"/>
    <cellStyle name="Обычный 9 5 2 4 3 3 2 3" xfId="53939"/>
    <cellStyle name="Обычный 9 5 2 4 3 3 3" xfId="53940"/>
    <cellStyle name="Обычный 9 5 2 4 3 3 3 2" xfId="53941"/>
    <cellStyle name="Обычный 9 5 2 4 3 3 3 3" xfId="53942"/>
    <cellStyle name="Обычный 9 5 2 4 3 3 4" xfId="53943"/>
    <cellStyle name="Обычный 9 5 2 4 3 3 4 2" xfId="53944"/>
    <cellStyle name="Обычный 9 5 2 4 3 3 5" xfId="53945"/>
    <cellStyle name="Обычный 9 5 2 4 3 3 6" xfId="53946"/>
    <cellStyle name="Обычный 9 5 2 4 3 4" xfId="53947"/>
    <cellStyle name="Обычный 9 5 2 4 3 4 2" xfId="53948"/>
    <cellStyle name="Обычный 9 5 2 4 3 4 3" xfId="53949"/>
    <cellStyle name="Обычный 9 5 2 4 3 5" xfId="53950"/>
    <cellStyle name="Обычный 9 5 2 4 3 5 2" xfId="53951"/>
    <cellStyle name="Обычный 9 5 2 4 3 5 3" xfId="53952"/>
    <cellStyle name="Обычный 9 5 2 4 3 6" xfId="53953"/>
    <cellStyle name="Обычный 9 5 2 4 3 6 2" xfId="53954"/>
    <cellStyle name="Обычный 9 5 2 4 3 7" xfId="53955"/>
    <cellStyle name="Обычный 9 5 2 4 3 8" xfId="53956"/>
    <cellStyle name="Обычный 9 5 2 4 4" xfId="53957"/>
    <cellStyle name="Обычный 9 5 2 4 4 2" xfId="53958"/>
    <cellStyle name="Обычный 9 5 2 4 4 2 2" xfId="53959"/>
    <cellStyle name="Обычный 9 5 2 4 4 2 2 2" xfId="53960"/>
    <cellStyle name="Обычный 9 5 2 4 4 2 2 3" xfId="53961"/>
    <cellStyle name="Обычный 9 5 2 4 4 2 3" xfId="53962"/>
    <cellStyle name="Обычный 9 5 2 4 4 2 3 2" xfId="53963"/>
    <cellStyle name="Обычный 9 5 2 4 4 2 3 3" xfId="53964"/>
    <cellStyle name="Обычный 9 5 2 4 4 2 4" xfId="53965"/>
    <cellStyle name="Обычный 9 5 2 4 4 2 4 2" xfId="53966"/>
    <cellStyle name="Обычный 9 5 2 4 4 2 5" xfId="53967"/>
    <cellStyle name="Обычный 9 5 2 4 4 2 6" xfId="53968"/>
    <cellStyle name="Обычный 9 5 2 4 4 3" xfId="53969"/>
    <cellStyle name="Обычный 9 5 2 4 4 3 2" xfId="53970"/>
    <cellStyle name="Обычный 9 5 2 4 4 3 3" xfId="53971"/>
    <cellStyle name="Обычный 9 5 2 4 4 4" xfId="53972"/>
    <cellStyle name="Обычный 9 5 2 4 4 4 2" xfId="53973"/>
    <cellStyle name="Обычный 9 5 2 4 4 4 3" xfId="53974"/>
    <cellStyle name="Обычный 9 5 2 4 4 5" xfId="53975"/>
    <cellStyle name="Обычный 9 5 2 4 4 5 2" xfId="53976"/>
    <cellStyle name="Обычный 9 5 2 4 4 6" xfId="53977"/>
    <cellStyle name="Обычный 9 5 2 4 4 7" xfId="53978"/>
    <cellStyle name="Обычный 9 5 2 4 5" xfId="53979"/>
    <cellStyle name="Обычный 9 5 2 4 5 2" xfId="53980"/>
    <cellStyle name="Обычный 9 5 2 4 5 2 2" xfId="53981"/>
    <cellStyle name="Обычный 9 5 2 4 5 2 3" xfId="53982"/>
    <cellStyle name="Обычный 9 5 2 4 5 3" xfId="53983"/>
    <cellStyle name="Обычный 9 5 2 4 5 3 2" xfId="53984"/>
    <cellStyle name="Обычный 9 5 2 4 5 3 3" xfId="53985"/>
    <cellStyle name="Обычный 9 5 2 4 5 4" xfId="53986"/>
    <cellStyle name="Обычный 9 5 2 4 5 4 2" xfId="53987"/>
    <cellStyle name="Обычный 9 5 2 4 5 5" xfId="53988"/>
    <cellStyle name="Обычный 9 5 2 4 5 6" xfId="53989"/>
    <cellStyle name="Обычный 9 5 2 4 6" xfId="53990"/>
    <cellStyle name="Обычный 9 5 2 4 6 2" xfId="53991"/>
    <cellStyle name="Обычный 9 5 2 4 6 3" xfId="53992"/>
    <cellStyle name="Обычный 9 5 2 4 7" xfId="53993"/>
    <cellStyle name="Обычный 9 5 2 4 7 2" xfId="53994"/>
    <cellStyle name="Обычный 9 5 2 4 7 3" xfId="53995"/>
    <cellStyle name="Обычный 9 5 2 4 8" xfId="53996"/>
    <cellStyle name="Обычный 9 5 2 4 8 2" xfId="53997"/>
    <cellStyle name="Обычный 9 5 2 4 9" xfId="53998"/>
    <cellStyle name="Обычный 9 5 2 5" xfId="53999"/>
    <cellStyle name="Обычный 9 5 2 5 2" xfId="54000"/>
    <cellStyle name="Обычный 9 5 2 5 2 2" xfId="54001"/>
    <cellStyle name="Обычный 9 5 2 5 2 2 2" xfId="54002"/>
    <cellStyle name="Обычный 9 5 2 5 2 2 2 2" xfId="54003"/>
    <cellStyle name="Обычный 9 5 2 5 2 2 2 2 2" xfId="54004"/>
    <cellStyle name="Обычный 9 5 2 5 2 2 2 2 3" xfId="54005"/>
    <cellStyle name="Обычный 9 5 2 5 2 2 2 3" xfId="54006"/>
    <cellStyle name="Обычный 9 5 2 5 2 2 2 3 2" xfId="54007"/>
    <cellStyle name="Обычный 9 5 2 5 2 2 2 3 3" xfId="54008"/>
    <cellStyle name="Обычный 9 5 2 5 2 2 2 4" xfId="54009"/>
    <cellStyle name="Обычный 9 5 2 5 2 2 2 4 2" xfId="54010"/>
    <cellStyle name="Обычный 9 5 2 5 2 2 2 5" xfId="54011"/>
    <cellStyle name="Обычный 9 5 2 5 2 2 2 6" xfId="54012"/>
    <cellStyle name="Обычный 9 5 2 5 2 2 3" xfId="54013"/>
    <cellStyle name="Обычный 9 5 2 5 2 2 3 2" xfId="54014"/>
    <cellStyle name="Обычный 9 5 2 5 2 2 3 3" xfId="54015"/>
    <cellStyle name="Обычный 9 5 2 5 2 2 4" xfId="54016"/>
    <cellStyle name="Обычный 9 5 2 5 2 2 4 2" xfId="54017"/>
    <cellStyle name="Обычный 9 5 2 5 2 2 4 3" xfId="54018"/>
    <cellStyle name="Обычный 9 5 2 5 2 2 5" xfId="54019"/>
    <cellStyle name="Обычный 9 5 2 5 2 2 5 2" xfId="54020"/>
    <cellStyle name="Обычный 9 5 2 5 2 2 6" xfId="54021"/>
    <cellStyle name="Обычный 9 5 2 5 2 2 7" xfId="54022"/>
    <cellStyle name="Обычный 9 5 2 5 2 3" xfId="54023"/>
    <cellStyle name="Обычный 9 5 2 5 2 3 2" xfId="54024"/>
    <cellStyle name="Обычный 9 5 2 5 2 3 2 2" xfId="54025"/>
    <cellStyle name="Обычный 9 5 2 5 2 3 2 3" xfId="54026"/>
    <cellStyle name="Обычный 9 5 2 5 2 3 3" xfId="54027"/>
    <cellStyle name="Обычный 9 5 2 5 2 3 3 2" xfId="54028"/>
    <cellStyle name="Обычный 9 5 2 5 2 3 3 3" xfId="54029"/>
    <cellStyle name="Обычный 9 5 2 5 2 3 4" xfId="54030"/>
    <cellStyle name="Обычный 9 5 2 5 2 3 4 2" xfId="54031"/>
    <cellStyle name="Обычный 9 5 2 5 2 3 5" xfId="54032"/>
    <cellStyle name="Обычный 9 5 2 5 2 3 6" xfId="54033"/>
    <cellStyle name="Обычный 9 5 2 5 2 4" xfId="54034"/>
    <cellStyle name="Обычный 9 5 2 5 2 4 2" xfId="54035"/>
    <cellStyle name="Обычный 9 5 2 5 2 4 3" xfId="54036"/>
    <cellStyle name="Обычный 9 5 2 5 2 5" xfId="54037"/>
    <cellStyle name="Обычный 9 5 2 5 2 5 2" xfId="54038"/>
    <cellStyle name="Обычный 9 5 2 5 2 5 3" xfId="54039"/>
    <cellStyle name="Обычный 9 5 2 5 2 6" xfId="54040"/>
    <cellStyle name="Обычный 9 5 2 5 2 6 2" xfId="54041"/>
    <cellStyle name="Обычный 9 5 2 5 2 7" xfId="54042"/>
    <cellStyle name="Обычный 9 5 2 5 2 8" xfId="54043"/>
    <cellStyle name="Обычный 9 5 2 5 3" xfId="54044"/>
    <cellStyle name="Обычный 9 5 2 5 3 2" xfId="54045"/>
    <cellStyle name="Обычный 9 5 2 5 3 2 2" xfId="54046"/>
    <cellStyle name="Обычный 9 5 2 5 3 2 2 2" xfId="54047"/>
    <cellStyle name="Обычный 9 5 2 5 3 2 2 3" xfId="54048"/>
    <cellStyle name="Обычный 9 5 2 5 3 2 3" xfId="54049"/>
    <cellStyle name="Обычный 9 5 2 5 3 2 3 2" xfId="54050"/>
    <cellStyle name="Обычный 9 5 2 5 3 2 3 3" xfId="54051"/>
    <cellStyle name="Обычный 9 5 2 5 3 2 4" xfId="54052"/>
    <cellStyle name="Обычный 9 5 2 5 3 2 4 2" xfId="54053"/>
    <cellStyle name="Обычный 9 5 2 5 3 2 5" xfId="54054"/>
    <cellStyle name="Обычный 9 5 2 5 3 2 6" xfId="54055"/>
    <cellStyle name="Обычный 9 5 2 5 3 3" xfId="54056"/>
    <cellStyle name="Обычный 9 5 2 5 3 3 2" xfId="54057"/>
    <cellStyle name="Обычный 9 5 2 5 3 3 3" xfId="54058"/>
    <cellStyle name="Обычный 9 5 2 5 3 4" xfId="54059"/>
    <cellStyle name="Обычный 9 5 2 5 3 4 2" xfId="54060"/>
    <cellStyle name="Обычный 9 5 2 5 3 4 3" xfId="54061"/>
    <cellStyle name="Обычный 9 5 2 5 3 5" xfId="54062"/>
    <cellStyle name="Обычный 9 5 2 5 3 5 2" xfId="54063"/>
    <cellStyle name="Обычный 9 5 2 5 3 6" xfId="54064"/>
    <cellStyle name="Обычный 9 5 2 5 3 7" xfId="54065"/>
    <cellStyle name="Обычный 9 5 2 5 4" xfId="54066"/>
    <cellStyle name="Обычный 9 5 2 5 4 2" xfId="54067"/>
    <cellStyle name="Обычный 9 5 2 5 4 2 2" xfId="54068"/>
    <cellStyle name="Обычный 9 5 2 5 4 2 3" xfId="54069"/>
    <cellStyle name="Обычный 9 5 2 5 4 3" xfId="54070"/>
    <cellStyle name="Обычный 9 5 2 5 4 3 2" xfId="54071"/>
    <cellStyle name="Обычный 9 5 2 5 4 3 3" xfId="54072"/>
    <cellStyle name="Обычный 9 5 2 5 4 4" xfId="54073"/>
    <cellStyle name="Обычный 9 5 2 5 4 4 2" xfId="54074"/>
    <cellStyle name="Обычный 9 5 2 5 4 5" xfId="54075"/>
    <cellStyle name="Обычный 9 5 2 5 4 6" xfId="54076"/>
    <cellStyle name="Обычный 9 5 2 5 5" xfId="54077"/>
    <cellStyle name="Обычный 9 5 2 5 5 2" xfId="54078"/>
    <cellStyle name="Обычный 9 5 2 5 5 3" xfId="54079"/>
    <cellStyle name="Обычный 9 5 2 5 6" xfId="54080"/>
    <cellStyle name="Обычный 9 5 2 5 6 2" xfId="54081"/>
    <cellStyle name="Обычный 9 5 2 5 6 3" xfId="54082"/>
    <cellStyle name="Обычный 9 5 2 5 7" xfId="54083"/>
    <cellStyle name="Обычный 9 5 2 5 7 2" xfId="54084"/>
    <cellStyle name="Обычный 9 5 2 5 8" xfId="54085"/>
    <cellStyle name="Обычный 9 5 2 5 9" xfId="54086"/>
    <cellStyle name="Обычный 9 5 2 6" xfId="54087"/>
    <cellStyle name="Обычный 9 5 2 6 2" xfId="54088"/>
    <cellStyle name="Обычный 9 5 2 6 2 2" xfId="54089"/>
    <cellStyle name="Обычный 9 5 2 6 2 2 2" xfId="54090"/>
    <cellStyle name="Обычный 9 5 2 6 2 2 2 2" xfId="54091"/>
    <cellStyle name="Обычный 9 5 2 6 2 2 2 3" xfId="54092"/>
    <cellStyle name="Обычный 9 5 2 6 2 2 3" xfId="54093"/>
    <cellStyle name="Обычный 9 5 2 6 2 2 3 2" xfId="54094"/>
    <cellStyle name="Обычный 9 5 2 6 2 2 3 3" xfId="54095"/>
    <cellStyle name="Обычный 9 5 2 6 2 2 4" xfId="54096"/>
    <cellStyle name="Обычный 9 5 2 6 2 2 4 2" xfId="54097"/>
    <cellStyle name="Обычный 9 5 2 6 2 2 5" xfId="54098"/>
    <cellStyle name="Обычный 9 5 2 6 2 2 6" xfId="54099"/>
    <cellStyle name="Обычный 9 5 2 6 2 3" xfId="54100"/>
    <cellStyle name="Обычный 9 5 2 6 2 3 2" xfId="54101"/>
    <cellStyle name="Обычный 9 5 2 6 2 3 3" xfId="54102"/>
    <cellStyle name="Обычный 9 5 2 6 2 4" xfId="54103"/>
    <cellStyle name="Обычный 9 5 2 6 2 4 2" xfId="54104"/>
    <cellStyle name="Обычный 9 5 2 6 2 4 3" xfId="54105"/>
    <cellStyle name="Обычный 9 5 2 6 2 5" xfId="54106"/>
    <cellStyle name="Обычный 9 5 2 6 2 5 2" xfId="54107"/>
    <cellStyle name="Обычный 9 5 2 6 2 6" xfId="54108"/>
    <cellStyle name="Обычный 9 5 2 6 2 7" xfId="54109"/>
    <cellStyle name="Обычный 9 5 2 6 3" xfId="54110"/>
    <cellStyle name="Обычный 9 5 2 6 3 2" xfId="54111"/>
    <cellStyle name="Обычный 9 5 2 6 3 2 2" xfId="54112"/>
    <cellStyle name="Обычный 9 5 2 6 3 2 3" xfId="54113"/>
    <cellStyle name="Обычный 9 5 2 6 3 3" xfId="54114"/>
    <cellStyle name="Обычный 9 5 2 6 3 3 2" xfId="54115"/>
    <cellStyle name="Обычный 9 5 2 6 3 3 3" xfId="54116"/>
    <cellStyle name="Обычный 9 5 2 6 3 4" xfId="54117"/>
    <cellStyle name="Обычный 9 5 2 6 3 4 2" xfId="54118"/>
    <cellStyle name="Обычный 9 5 2 6 3 5" xfId="54119"/>
    <cellStyle name="Обычный 9 5 2 6 3 6" xfId="54120"/>
    <cellStyle name="Обычный 9 5 2 6 4" xfId="54121"/>
    <cellStyle name="Обычный 9 5 2 6 4 2" xfId="54122"/>
    <cellStyle name="Обычный 9 5 2 6 4 3" xfId="54123"/>
    <cellStyle name="Обычный 9 5 2 6 5" xfId="54124"/>
    <cellStyle name="Обычный 9 5 2 6 5 2" xfId="54125"/>
    <cellStyle name="Обычный 9 5 2 6 5 3" xfId="54126"/>
    <cellStyle name="Обычный 9 5 2 6 6" xfId="54127"/>
    <cellStyle name="Обычный 9 5 2 6 6 2" xfId="54128"/>
    <cellStyle name="Обычный 9 5 2 6 7" xfId="54129"/>
    <cellStyle name="Обычный 9 5 2 6 8" xfId="54130"/>
    <cellStyle name="Обычный 9 5 2 7" xfId="54131"/>
    <cellStyle name="Обычный 9 5 2 7 2" xfId="54132"/>
    <cellStyle name="Обычный 9 5 2 7 2 2" xfId="54133"/>
    <cellStyle name="Обычный 9 5 2 7 2 2 2" xfId="54134"/>
    <cellStyle name="Обычный 9 5 2 7 2 2 3" xfId="54135"/>
    <cellStyle name="Обычный 9 5 2 7 2 3" xfId="54136"/>
    <cellStyle name="Обычный 9 5 2 7 2 3 2" xfId="54137"/>
    <cellStyle name="Обычный 9 5 2 7 2 3 3" xfId="54138"/>
    <cellStyle name="Обычный 9 5 2 7 2 4" xfId="54139"/>
    <cellStyle name="Обычный 9 5 2 7 2 4 2" xfId="54140"/>
    <cellStyle name="Обычный 9 5 2 7 2 5" xfId="54141"/>
    <cellStyle name="Обычный 9 5 2 7 2 6" xfId="54142"/>
    <cellStyle name="Обычный 9 5 2 7 3" xfId="54143"/>
    <cellStyle name="Обычный 9 5 2 7 3 2" xfId="54144"/>
    <cellStyle name="Обычный 9 5 2 7 3 3" xfId="54145"/>
    <cellStyle name="Обычный 9 5 2 7 4" xfId="54146"/>
    <cellStyle name="Обычный 9 5 2 7 4 2" xfId="54147"/>
    <cellStyle name="Обычный 9 5 2 7 4 3" xfId="54148"/>
    <cellStyle name="Обычный 9 5 2 7 5" xfId="54149"/>
    <cellStyle name="Обычный 9 5 2 7 5 2" xfId="54150"/>
    <cellStyle name="Обычный 9 5 2 7 6" xfId="54151"/>
    <cellStyle name="Обычный 9 5 2 7 7" xfId="54152"/>
    <cellStyle name="Обычный 9 5 2 8" xfId="54153"/>
    <cellStyle name="Обычный 9 5 2 8 2" xfId="54154"/>
    <cellStyle name="Обычный 9 5 2 8 2 2" xfId="54155"/>
    <cellStyle name="Обычный 9 5 2 8 2 3" xfId="54156"/>
    <cellStyle name="Обычный 9 5 2 8 3" xfId="54157"/>
    <cellStyle name="Обычный 9 5 2 8 3 2" xfId="54158"/>
    <cellStyle name="Обычный 9 5 2 8 3 3" xfId="54159"/>
    <cellStyle name="Обычный 9 5 2 8 4" xfId="54160"/>
    <cellStyle name="Обычный 9 5 2 8 4 2" xfId="54161"/>
    <cellStyle name="Обычный 9 5 2 8 5" xfId="54162"/>
    <cellStyle name="Обычный 9 5 2 8 6" xfId="54163"/>
    <cellStyle name="Обычный 9 5 2 9" xfId="54164"/>
    <cellStyle name="Обычный 9 5 2 9 2" xfId="54165"/>
    <cellStyle name="Обычный 9 5 2 9 3" xfId="54166"/>
    <cellStyle name="Обычный 9 5 3" xfId="54167"/>
    <cellStyle name="Обычный 9 5 3 10" xfId="54168"/>
    <cellStyle name="Обычный 9 5 3 2" xfId="54169"/>
    <cellStyle name="Обычный 9 5 3 2 2" xfId="54170"/>
    <cellStyle name="Обычный 9 5 3 2 2 2" xfId="54171"/>
    <cellStyle name="Обычный 9 5 3 2 2 2 2" xfId="54172"/>
    <cellStyle name="Обычный 9 5 3 2 2 2 2 2" xfId="54173"/>
    <cellStyle name="Обычный 9 5 3 2 2 2 2 2 2" xfId="54174"/>
    <cellStyle name="Обычный 9 5 3 2 2 2 2 2 3" xfId="54175"/>
    <cellStyle name="Обычный 9 5 3 2 2 2 2 3" xfId="54176"/>
    <cellStyle name="Обычный 9 5 3 2 2 2 2 3 2" xfId="54177"/>
    <cellStyle name="Обычный 9 5 3 2 2 2 2 3 3" xfId="54178"/>
    <cellStyle name="Обычный 9 5 3 2 2 2 2 4" xfId="54179"/>
    <cellStyle name="Обычный 9 5 3 2 2 2 2 4 2" xfId="54180"/>
    <cellStyle name="Обычный 9 5 3 2 2 2 2 5" xfId="54181"/>
    <cellStyle name="Обычный 9 5 3 2 2 2 2 6" xfId="54182"/>
    <cellStyle name="Обычный 9 5 3 2 2 2 3" xfId="54183"/>
    <cellStyle name="Обычный 9 5 3 2 2 2 3 2" xfId="54184"/>
    <cellStyle name="Обычный 9 5 3 2 2 2 3 3" xfId="54185"/>
    <cellStyle name="Обычный 9 5 3 2 2 2 4" xfId="54186"/>
    <cellStyle name="Обычный 9 5 3 2 2 2 4 2" xfId="54187"/>
    <cellStyle name="Обычный 9 5 3 2 2 2 4 3" xfId="54188"/>
    <cellStyle name="Обычный 9 5 3 2 2 2 5" xfId="54189"/>
    <cellStyle name="Обычный 9 5 3 2 2 2 5 2" xfId="54190"/>
    <cellStyle name="Обычный 9 5 3 2 2 2 6" xfId="54191"/>
    <cellStyle name="Обычный 9 5 3 2 2 2 7" xfId="54192"/>
    <cellStyle name="Обычный 9 5 3 2 2 3" xfId="54193"/>
    <cellStyle name="Обычный 9 5 3 2 2 3 2" xfId="54194"/>
    <cellStyle name="Обычный 9 5 3 2 2 3 2 2" xfId="54195"/>
    <cellStyle name="Обычный 9 5 3 2 2 3 2 3" xfId="54196"/>
    <cellStyle name="Обычный 9 5 3 2 2 3 3" xfId="54197"/>
    <cellStyle name="Обычный 9 5 3 2 2 3 3 2" xfId="54198"/>
    <cellStyle name="Обычный 9 5 3 2 2 3 3 3" xfId="54199"/>
    <cellStyle name="Обычный 9 5 3 2 2 3 4" xfId="54200"/>
    <cellStyle name="Обычный 9 5 3 2 2 3 4 2" xfId="54201"/>
    <cellStyle name="Обычный 9 5 3 2 2 3 5" xfId="54202"/>
    <cellStyle name="Обычный 9 5 3 2 2 3 6" xfId="54203"/>
    <cellStyle name="Обычный 9 5 3 2 2 4" xfId="54204"/>
    <cellStyle name="Обычный 9 5 3 2 2 4 2" xfId="54205"/>
    <cellStyle name="Обычный 9 5 3 2 2 4 3" xfId="54206"/>
    <cellStyle name="Обычный 9 5 3 2 2 5" xfId="54207"/>
    <cellStyle name="Обычный 9 5 3 2 2 5 2" xfId="54208"/>
    <cellStyle name="Обычный 9 5 3 2 2 5 3" xfId="54209"/>
    <cellStyle name="Обычный 9 5 3 2 2 6" xfId="54210"/>
    <cellStyle name="Обычный 9 5 3 2 2 6 2" xfId="54211"/>
    <cellStyle name="Обычный 9 5 3 2 2 7" xfId="54212"/>
    <cellStyle name="Обычный 9 5 3 2 2 8" xfId="54213"/>
    <cellStyle name="Обычный 9 5 3 2 3" xfId="54214"/>
    <cellStyle name="Обычный 9 5 3 2 3 2" xfId="54215"/>
    <cellStyle name="Обычный 9 5 3 2 3 2 2" xfId="54216"/>
    <cellStyle name="Обычный 9 5 3 2 3 2 2 2" xfId="54217"/>
    <cellStyle name="Обычный 9 5 3 2 3 2 2 3" xfId="54218"/>
    <cellStyle name="Обычный 9 5 3 2 3 2 3" xfId="54219"/>
    <cellStyle name="Обычный 9 5 3 2 3 2 3 2" xfId="54220"/>
    <cellStyle name="Обычный 9 5 3 2 3 2 3 3" xfId="54221"/>
    <cellStyle name="Обычный 9 5 3 2 3 2 4" xfId="54222"/>
    <cellStyle name="Обычный 9 5 3 2 3 2 4 2" xfId="54223"/>
    <cellStyle name="Обычный 9 5 3 2 3 2 5" xfId="54224"/>
    <cellStyle name="Обычный 9 5 3 2 3 2 6" xfId="54225"/>
    <cellStyle name="Обычный 9 5 3 2 3 3" xfId="54226"/>
    <cellStyle name="Обычный 9 5 3 2 3 3 2" xfId="54227"/>
    <cellStyle name="Обычный 9 5 3 2 3 3 3" xfId="54228"/>
    <cellStyle name="Обычный 9 5 3 2 3 4" xfId="54229"/>
    <cellStyle name="Обычный 9 5 3 2 3 4 2" xfId="54230"/>
    <cellStyle name="Обычный 9 5 3 2 3 4 3" xfId="54231"/>
    <cellStyle name="Обычный 9 5 3 2 3 5" xfId="54232"/>
    <cellStyle name="Обычный 9 5 3 2 3 5 2" xfId="54233"/>
    <cellStyle name="Обычный 9 5 3 2 3 6" xfId="54234"/>
    <cellStyle name="Обычный 9 5 3 2 3 7" xfId="54235"/>
    <cellStyle name="Обычный 9 5 3 2 4" xfId="54236"/>
    <cellStyle name="Обычный 9 5 3 2 4 2" xfId="54237"/>
    <cellStyle name="Обычный 9 5 3 2 4 2 2" xfId="54238"/>
    <cellStyle name="Обычный 9 5 3 2 4 2 3" xfId="54239"/>
    <cellStyle name="Обычный 9 5 3 2 4 3" xfId="54240"/>
    <cellStyle name="Обычный 9 5 3 2 4 3 2" xfId="54241"/>
    <cellStyle name="Обычный 9 5 3 2 4 3 3" xfId="54242"/>
    <cellStyle name="Обычный 9 5 3 2 4 4" xfId="54243"/>
    <cellStyle name="Обычный 9 5 3 2 4 4 2" xfId="54244"/>
    <cellStyle name="Обычный 9 5 3 2 4 5" xfId="54245"/>
    <cellStyle name="Обычный 9 5 3 2 4 6" xfId="54246"/>
    <cellStyle name="Обычный 9 5 3 2 5" xfId="54247"/>
    <cellStyle name="Обычный 9 5 3 2 5 2" xfId="54248"/>
    <cellStyle name="Обычный 9 5 3 2 5 3" xfId="54249"/>
    <cellStyle name="Обычный 9 5 3 2 6" xfId="54250"/>
    <cellStyle name="Обычный 9 5 3 2 6 2" xfId="54251"/>
    <cellStyle name="Обычный 9 5 3 2 6 3" xfId="54252"/>
    <cellStyle name="Обычный 9 5 3 2 7" xfId="54253"/>
    <cellStyle name="Обычный 9 5 3 2 7 2" xfId="54254"/>
    <cellStyle name="Обычный 9 5 3 2 8" xfId="54255"/>
    <cellStyle name="Обычный 9 5 3 2 9" xfId="54256"/>
    <cellStyle name="Обычный 9 5 3 3" xfId="54257"/>
    <cellStyle name="Обычный 9 5 3 3 2" xfId="54258"/>
    <cellStyle name="Обычный 9 5 3 3 2 2" xfId="54259"/>
    <cellStyle name="Обычный 9 5 3 3 2 2 2" xfId="54260"/>
    <cellStyle name="Обычный 9 5 3 3 2 2 2 2" xfId="54261"/>
    <cellStyle name="Обычный 9 5 3 3 2 2 2 3" xfId="54262"/>
    <cellStyle name="Обычный 9 5 3 3 2 2 3" xfId="54263"/>
    <cellStyle name="Обычный 9 5 3 3 2 2 3 2" xfId="54264"/>
    <cellStyle name="Обычный 9 5 3 3 2 2 3 3" xfId="54265"/>
    <cellStyle name="Обычный 9 5 3 3 2 2 4" xfId="54266"/>
    <cellStyle name="Обычный 9 5 3 3 2 2 4 2" xfId="54267"/>
    <cellStyle name="Обычный 9 5 3 3 2 2 5" xfId="54268"/>
    <cellStyle name="Обычный 9 5 3 3 2 2 6" xfId="54269"/>
    <cellStyle name="Обычный 9 5 3 3 2 3" xfId="54270"/>
    <cellStyle name="Обычный 9 5 3 3 2 3 2" xfId="54271"/>
    <cellStyle name="Обычный 9 5 3 3 2 3 3" xfId="54272"/>
    <cellStyle name="Обычный 9 5 3 3 2 4" xfId="54273"/>
    <cellStyle name="Обычный 9 5 3 3 2 4 2" xfId="54274"/>
    <cellStyle name="Обычный 9 5 3 3 2 4 3" xfId="54275"/>
    <cellStyle name="Обычный 9 5 3 3 2 5" xfId="54276"/>
    <cellStyle name="Обычный 9 5 3 3 2 5 2" xfId="54277"/>
    <cellStyle name="Обычный 9 5 3 3 2 6" xfId="54278"/>
    <cellStyle name="Обычный 9 5 3 3 2 7" xfId="54279"/>
    <cellStyle name="Обычный 9 5 3 3 3" xfId="54280"/>
    <cellStyle name="Обычный 9 5 3 3 3 2" xfId="54281"/>
    <cellStyle name="Обычный 9 5 3 3 3 2 2" xfId="54282"/>
    <cellStyle name="Обычный 9 5 3 3 3 2 3" xfId="54283"/>
    <cellStyle name="Обычный 9 5 3 3 3 3" xfId="54284"/>
    <cellStyle name="Обычный 9 5 3 3 3 3 2" xfId="54285"/>
    <cellStyle name="Обычный 9 5 3 3 3 3 3" xfId="54286"/>
    <cellStyle name="Обычный 9 5 3 3 3 4" xfId="54287"/>
    <cellStyle name="Обычный 9 5 3 3 3 4 2" xfId="54288"/>
    <cellStyle name="Обычный 9 5 3 3 3 5" xfId="54289"/>
    <cellStyle name="Обычный 9 5 3 3 3 6" xfId="54290"/>
    <cellStyle name="Обычный 9 5 3 3 4" xfId="54291"/>
    <cellStyle name="Обычный 9 5 3 3 4 2" xfId="54292"/>
    <cellStyle name="Обычный 9 5 3 3 4 3" xfId="54293"/>
    <cellStyle name="Обычный 9 5 3 3 5" xfId="54294"/>
    <cellStyle name="Обычный 9 5 3 3 5 2" xfId="54295"/>
    <cellStyle name="Обычный 9 5 3 3 5 3" xfId="54296"/>
    <cellStyle name="Обычный 9 5 3 3 6" xfId="54297"/>
    <cellStyle name="Обычный 9 5 3 3 6 2" xfId="54298"/>
    <cellStyle name="Обычный 9 5 3 3 7" xfId="54299"/>
    <cellStyle name="Обычный 9 5 3 3 8" xfId="54300"/>
    <cellStyle name="Обычный 9 5 3 4" xfId="54301"/>
    <cellStyle name="Обычный 9 5 3 4 2" xfId="54302"/>
    <cellStyle name="Обычный 9 5 3 4 2 2" xfId="54303"/>
    <cellStyle name="Обычный 9 5 3 4 2 2 2" xfId="54304"/>
    <cellStyle name="Обычный 9 5 3 4 2 2 3" xfId="54305"/>
    <cellStyle name="Обычный 9 5 3 4 2 3" xfId="54306"/>
    <cellStyle name="Обычный 9 5 3 4 2 3 2" xfId="54307"/>
    <cellStyle name="Обычный 9 5 3 4 2 3 3" xfId="54308"/>
    <cellStyle name="Обычный 9 5 3 4 2 4" xfId="54309"/>
    <cellStyle name="Обычный 9 5 3 4 2 4 2" xfId="54310"/>
    <cellStyle name="Обычный 9 5 3 4 2 5" xfId="54311"/>
    <cellStyle name="Обычный 9 5 3 4 2 6" xfId="54312"/>
    <cellStyle name="Обычный 9 5 3 4 3" xfId="54313"/>
    <cellStyle name="Обычный 9 5 3 4 3 2" xfId="54314"/>
    <cellStyle name="Обычный 9 5 3 4 3 3" xfId="54315"/>
    <cellStyle name="Обычный 9 5 3 4 4" xfId="54316"/>
    <cellStyle name="Обычный 9 5 3 4 4 2" xfId="54317"/>
    <cellStyle name="Обычный 9 5 3 4 4 3" xfId="54318"/>
    <cellStyle name="Обычный 9 5 3 4 5" xfId="54319"/>
    <cellStyle name="Обычный 9 5 3 4 5 2" xfId="54320"/>
    <cellStyle name="Обычный 9 5 3 4 6" xfId="54321"/>
    <cellStyle name="Обычный 9 5 3 4 7" xfId="54322"/>
    <cellStyle name="Обычный 9 5 3 5" xfId="54323"/>
    <cellStyle name="Обычный 9 5 3 5 2" xfId="54324"/>
    <cellStyle name="Обычный 9 5 3 5 2 2" xfId="54325"/>
    <cellStyle name="Обычный 9 5 3 5 2 3" xfId="54326"/>
    <cellStyle name="Обычный 9 5 3 5 3" xfId="54327"/>
    <cellStyle name="Обычный 9 5 3 5 3 2" xfId="54328"/>
    <cellStyle name="Обычный 9 5 3 5 3 3" xfId="54329"/>
    <cellStyle name="Обычный 9 5 3 5 4" xfId="54330"/>
    <cellStyle name="Обычный 9 5 3 5 4 2" xfId="54331"/>
    <cellStyle name="Обычный 9 5 3 5 5" xfId="54332"/>
    <cellStyle name="Обычный 9 5 3 5 6" xfId="54333"/>
    <cellStyle name="Обычный 9 5 3 6" xfId="54334"/>
    <cellStyle name="Обычный 9 5 3 6 2" xfId="54335"/>
    <cellStyle name="Обычный 9 5 3 6 3" xfId="54336"/>
    <cellStyle name="Обычный 9 5 3 7" xfId="54337"/>
    <cellStyle name="Обычный 9 5 3 7 2" xfId="54338"/>
    <cellStyle name="Обычный 9 5 3 7 3" xfId="54339"/>
    <cellStyle name="Обычный 9 5 3 8" xfId="54340"/>
    <cellStyle name="Обычный 9 5 3 8 2" xfId="54341"/>
    <cellStyle name="Обычный 9 5 3 9" xfId="54342"/>
    <cellStyle name="Обычный 9 5 4" xfId="54343"/>
    <cellStyle name="Обычный 9 5 4 10" xfId="54344"/>
    <cellStyle name="Обычный 9 5 4 2" xfId="54345"/>
    <cellStyle name="Обычный 9 5 4 2 2" xfId="54346"/>
    <cellStyle name="Обычный 9 5 4 2 2 2" xfId="54347"/>
    <cellStyle name="Обычный 9 5 4 2 2 2 2" xfId="54348"/>
    <cellStyle name="Обычный 9 5 4 2 2 2 2 2" xfId="54349"/>
    <cellStyle name="Обычный 9 5 4 2 2 2 2 2 2" xfId="54350"/>
    <cellStyle name="Обычный 9 5 4 2 2 2 2 2 3" xfId="54351"/>
    <cellStyle name="Обычный 9 5 4 2 2 2 2 3" xfId="54352"/>
    <cellStyle name="Обычный 9 5 4 2 2 2 2 3 2" xfId="54353"/>
    <cellStyle name="Обычный 9 5 4 2 2 2 2 3 3" xfId="54354"/>
    <cellStyle name="Обычный 9 5 4 2 2 2 2 4" xfId="54355"/>
    <cellStyle name="Обычный 9 5 4 2 2 2 2 4 2" xfId="54356"/>
    <cellStyle name="Обычный 9 5 4 2 2 2 2 5" xfId="54357"/>
    <cellStyle name="Обычный 9 5 4 2 2 2 2 6" xfId="54358"/>
    <cellStyle name="Обычный 9 5 4 2 2 2 3" xfId="54359"/>
    <cellStyle name="Обычный 9 5 4 2 2 2 3 2" xfId="54360"/>
    <cellStyle name="Обычный 9 5 4 2 2 2 3 3" xfId="54361"/>
    <cellStyle name="Обычный 9 5 4 2 2 2 4" xfId="54362"/>
    <cellStyle name="Обычный 9 5 4 2 2 2 4 2" xfId="54363"/>
    <cellStyle name="Обычный 9 5 4 2 2 2 4 3" xfId="54364"/>
    <cellStyle name="Обычный 9 5 4 2 2 2 5" xfId="54365"/>
    <cellStyle name="Обычный 9 5 4 2 2 2 5 2" xfId="54366"/>
    <cellStyle name="Обычный 9 5 4 2 2 2 6" xfId="54367"/>
    <cellStyle name="Обычный 9 5 4 2 2 2 7" xfId="54368"/>
    <cellStyle name="Обычный 9 5 4 2 2 3" xfId="54369"/>
    <cellStyle name="Обычный 9 5 4 2 2 3 2" xfId="54370"/>
    <cellStyle name="Обычный 9 5 4 2 2 3 2 2" xfId="54371"/>
    <cellStyle name="Обычный 9 5 4 2 2 3 2 3" xfId="54372"/>
    <cellStyle name="Обычный 9 5 4 2 2 3 3" xfId="54373"/>
    <cellStyle name="Обычный 9 5 4 2 2 3 3 2" xfId="54374"/>
    <cellStyle name="Обычный 9 5 4 2 2 3 3 3" xfId="54375"/>
    <cellStyle name="Обычный 9 5 4 2 2 3 4" xfId="54376"/>
    <cellStyle name="Обычный 9 5 4 2 2 3 4 2" xfId="54377"/>
    <cellStyle name="Обычный 9 5 4 2 2 3 5" xfId="54378"/>
    <cellStyle name="Обычный 9 5 4 2 2 3 6" xfId="54379"/>
    <cellStyle name="Обычный 9 5 4 2 2 4" xfId="54380"/>
    <cellStyle name="Обычный 9 5 4 2 2 4 2" xfId="54381"/>
    <cellStyle name="Обычный 9 5 4 2 2 4 3" xfId="54382"/>
    <cellStyle name="Обычный 9 5 4 2 2 5" xfId="54383"/>
    <cellStyle name="Обычный 9 5 4 2 2 5 2" xfId="54384"/>
    <cellStyle name="Обычный 9 5 4 2 2 5 3" xfId="54385"/>
    <cellStyle name="Обычный 9 5 4 2 2 6" xfId="54386"/>
    <cellStyle name="Обычный 9 5 4 2 2 6 2" xfId="54387"/>
    <cellStyle name="Обычный 9 5 4 2 2 7" xfId="54388"/>
    <cellStyle name="Обычный 9 5 4 2 2 8" xfId="54389"/>
    <cellStyle name="Обычный 9 5 4 2 3" xfId="54390"/>
    <cellStyle name="Обычный 9 5 4 2 3 2" xfId="54391"/>
    <cellStyle name="Обычный 9 5 4 2 3 2 2" xfId="54392"/>
    <cellStyle name="Обычный 9 5 4 2 3 2 2 2" xfId="54393"/>
    <cellStyle name="Обычный 9 5 4 2 3 2 2 3" xfId="54394"/>
    <cellStyle name="Обычный 9 5 4 2 3 2 3" xfId="54395"/>
    <cellStyle name="Обычный 9 5 4 2 3 2 3 2" xfId="54396"/>
    <cellStyle name="Обычный 9 5 4 2 3 2 3 3" xfId="54397"/>
    <cellStyle name="Обычный 9 5 4 2 3 2 4" xfId="54398"/>
    <cellStyle name="Обычный 9 5 4 2 3 2 4 2" xfId="54399"/>
    <cellStyle name="Обычный 9 5 4 2 3 2 5" xfId="54400"/>
    <cellStyle name="Обычный 9 5 4 2 3 2 6" xfId="54401"/>
    <cellStyle name="Обычный 9 5 4 2 3 3" xfId="54402"/>
    <cellStyle name="Обычный 9 5 4 2 3 3 2" xfId="54403"/>
    <cellStyle name="Обычный 9 5 4 2 3 3 3" xfId="54404"/>
    <cellStyle name="Обычный 9 5 4 2 3 4" xfId="54405"/>
    <cellStyle name="Обычный 9 5 4 2 3 4 2" xfId="54406"/>
    <cellStyle name="Обычный 9 5 4 2 3 4 3" xfId="54407"/>
    <cellStyle name="Обычный 9 5 4 2 3 5" xfId="54408"/>
    <cellStyle name="Обычный 9 5 4 2 3 5 2" xfId="54409"/>
    <cellStyle name="Обычный 9 5 4 2 3 6" xfId="54410"/>
    <cellStyle name="Обычный 9 5 4 2 3 7" xfId="54411"/>
    <cellStyle name="Обычный 9 5 4 2 4" xfId="54412"/>
    <cellStyle name="Обычный 9 5 4 2 4 2" xfId="54413"/>
    <cellStyle name="Обычный 9 5 4 2 4 2 2" xfId="54414"/>
    <cellStyle name="Обычный 9 5 4 2 4 2 3" xfId="54415"/>
    <cellStyle name="Обычный 9 5 4 2 4 3" xfId="54416"/>
    <cellStyle name="Обычный 9 5 4 2 4 3 2" xfId="54417"/>
    <cellStyle name="Обычный 9 5 4 2 4 3 3" xfId="54418"/>
    <cellStyle name="Обычный 9 5 4 2 4 4" xfId="54419"/>
    <cellStyle name="Обычный 9 5 4 2 4 4 2" xfId="54420"/>
    <cellStyle name="Обычный 9 5 4 2 4 5" xfId="54421"/>
    <cellStyle name="Обычный 9 5 4 2 4 6" xfId="54422"/>
    <cellStyle name="Обычный 9 5 4 2 5" xfId="54423"/>
    <cellStyle name="Обычный 9 5 4 2 5 2" xfId="54424"/>
    <cellStyle name="Обычный 9 5 4 2 5 3" xfId="54425"/>
    <cellStyle name="Обычный 9 5 4 2 6" xfId="54426"/>
    <cellStyle name="Обычный 9 5 4 2 6 2" xfId="54427"/>
    <cellStyle name="Обычный 9 5 4 2 6 3" xfId="54428"/>
    <cellStyle name="Обычный 9 5 4 2 7" xfId="54429"/>
    <cellStyle name="Обычный 9 5 4 2 7 2" xfId="54430"/>
    <cellStyle name="Обычный 9 5 4 2 8" xfId="54431"/>
    <cellStyle name="Обычный 9 5 4 2 9" xfId="54432"/>
    <cellStyle name="Обычный 9 5 4 3" xfId="54433"/>
    <cellStyle name="Обычный 9 5 4 3 2" xfId="54434"/>
    <cellStyle name="Обычный 9 5 4 3 2 2" xfId="54435"/>
    <cellStyle name="Обычный 9 5 4 3 2 2 2" xfId="54436"/>
    <cellStyle name="Обычный 9 5 4 3 2 2 2 2" xfId="54437"/>
    <cellStyle name="Обычный 9 5 4 3 2 2 2 3" xfId="54438"/>
    <cellStyle name="Обычный 9 5 4 3 2 2 3" xfId="54439"/>
    <cellStyle name="Обычный 9 5 4 3 2 2 3 2" xfId="54440"/>
    <cellStyle name="Обычный 9 5 4 3 2 2 3 3" xfId="54441"/>
    <cellStyle name="Обычный 9 5 4 3 2 2 4" xfId="54442"/>
    <cellStyle name="Обычный 9 5 4 3 2 2 4 2" xfId="54443"/>
    <cellStyle name="Обычный 9 5 4 3 2 2 5" xfId="54444"/>
    <cellStyle name="Обычный 9 5 4 3 2 2 6" xfId="54445"/>
    <cellStyle name="Обычный 9 5 4 3 2 3" xfId="54446"/>
    <cellStyle name="Обычный 9 5 4 3 2 3 2" xfId="54447"/>
    <cellStyle name="Обычный 9 5 4 3 2 3 3" xfId="54448"/>
    <cellStyle name="Обычный 9 5 4 3 2 4" xfId="54449"/>
    <cellStyle name="Обычный 9 5 4 3 2 4 2" xfId="54450"/>
    <cellStyle name="Обычный 9 5 4 3 2 4 3" xfId="54451"/>
    <cellStyle name="Обычный 9 5 4 3 2 5" xfId="54452"/>
    <cellStyle name="Обычный 9 5 4 3 2 5 2" xfId="54453"/>
    <cellStyle name="Обычный 9 5 4 3 2 6" xfId="54454"/>
    <cellStyle name="Обычный 9 5 4 3 2 7" xfId="54455"/>
    <cellStyle name="Обычный 9 5 4 3 3" xfId="54456"/>
    <cellStyle name="Обычный 9 5 4 3 3 2" xfId="54457"/>
    <cellStyle name="Обычный 9 5 4 3 3 2 2" xfId="54458"/>
    <cellStyle name="Обычный 9 5 4 3 3 2 3" xfId="54459"/>
    <cellStyle name="Обычный 9 5 4 3 3 3" xfId="54460"/>
    <cellStyle name="Обычный 9 5 4 3 3 3 2" xfId="54461"/>
    <cellStyle name="Обычный 9 5 4 3 3 3 3" xfId="54462"/>
    <cellStyle name="Обычный 9 5 4 3 3 4" xfId="54463"/>
    <cellStyle name="Обычный 9 5 4 3 3 4 2" xfId="54464"/>
    <cellStyle name="Обычный 9 5 4 3 3 5" xfId="54465"/>
    <cellStyle name="Обычный 9 5 4 3 3 6" xfId="54466"/>
    <cellStyle name="Обычный 9 5 4 3 4" xfId="54467"/>
    <cellStyle name="Обычный 9 5 4 3 4 2" xfId="54468"/>
    <cellStyle name="Обычный 9 5 4 3 4 3" xfId="54469"/>
    <cellStyle name="Обычный 9 5 4 3 5" xfId="54470"/>
    <cellStyle name="Обычный 9 5 4 3 5 2" xfId="54471"/>
    <cellStyle name="Обычный 9 5 4 3 5 3" xfId="54472"/>
    <cellStyle name="Обычный 9 5 4 3 6" xfId="54473"/>
    <cellStyle name="Обычный 9 5 4 3 6 2" xfId="54474"/>
    <cellStyle name="Обычный 9 5 4 3 7" xfId="54475"/>
    <cellStyle name="Обычный 9 5 4 3 8" xfId="54476"/>
    <cellStyle name="Обычный 9 5 4 4" xfId="54477"/>
    <cellStyle name="Обычный 9 5 4 4 2" xfId="54478"/>
    <cellStyle name="Обычный 9 5 4 4 2 2" xfId="54479"/>
    <cellStyle name="Обычный 9 5 4 4 2 2 2" xfId="54480"/>
    <cellStyle name="Обычный 9 5 4 4 2 2 3" xfId="54481"/>
    <cellStyle name="Обычный 9 5 4 4 2 3" xfId="54482"/>
    <cellStyle name="Обычный 9 5 4 4 2 3 2" xfId="54483"/>
    <cellStyle name="Обычный 9 5 4 4 2 3 3" xfId="54484"/>
    <cellStyle name="Обычный 9 5 4 4 2 4" xfId="54485"/>
    <cellStyle name="Обычный 9 5 4 4 2 4 2" xfId="54486"/>
    <cellStyle name="Обычный 9 5 4 4 2 5" xfId="54487"/>
    <cellStyle name="Обычный 9 5 4 4 2 6" xfId="54488"/>
    <cellStyle name="Обычный 9 5 4 4 3" xfId="54489"/>
    <cellStyle name="Обычный 9 5 4 4 3 2" xfId="54490"/>
    <cellStyle name="Обычный 9 5 4 4 3 3" xfId="54491"/>
    <cellStyle name="Обычный 9 5 4 4 4" xfId="54492"/>
    <cellStyle name="Обычный 9 5 4 4 4 2" xfId="54493"/>
    <cellStyle name="Обычный 9 5 4 4 4 3" xfId="54494"/>
    <cellStyle name="Обычный 9 5 4 4 5" xfId="54495"/>
    <cellStyle name="Обычный 9 5 4 4 5 2" xfId="54496"/>
    <cellStyle name="Обычный 9 5 4 4 6" xfId="54497"/>
    <cellStyle name="Обычный 9 5 4 4 7" xfId="54498"/>
    <cellStyle name="Обычный 9 5 4 5" xfId="54499"/>
    <cellStyle name="Обычный 9 5 4 5 2" xfId="54500"/>
    <cellStyle name="Обычный 9 5 4 5 2 2" xfId="54501"/>
    <cellStyle name="Обычный 9 5 4 5 2 3" xfId="54502"/>
    <cellStyle name="Обычный 9 5 4 5 3" xfId="54503"/>
    <cellStyle name="Обычный 9 5 4 5 3 2" xfId="54504"/>
    <cellStyle name="Обычный 9 5 4 5 3 3" xfId="54505"/>
    <cellStyle name="Обычный 9 5 4 5 4" xfId="54506"/>
    <cellStyle name="Обычный 9 5 4 5 4 2" xfId="54507"/>
    <cellStyle name="Обычный 9 5 4 5 5" xfId="54508"/>
    <cellStyle name="Обычный 9 5 4 5 6" xfId="54509"/>
    <cellStyle name="Обычный 9 5 4 6" xfId="54510"/>
    <cellStyle name="Обычный 9 5 4 6 2" xfId="54511"/>
    <cellStyle name="Обычный 9 5 4 6 3" xfId="54512"/>
    <cellStyle name="Обычный 9 5 4 7" xfId="54513"/>
    <cellStyle name="Обычный 9 5 4 7 2" xfId="54514"/>
    <cellStyle name="Обычный 9 5 4 7 3" xfId="54515"/>
    <cellStyle name="Обычный 9 5 4 8" xfId="54516"/>
    <cellStyle name="Обычный 9 5 4 8 2" xfId="54517"/>
    <cellStyle name="Обычный 9 5 4 9" xfId="54518"/>
    <cellStyle name="Обычный 9 5 5" xfId="54519"/>
    <cellStyle name="Обычный 9 5 5 10" xfId="54520"/>
    <cellStyle name="Обычный 9 5 5 2" xfId="54521"/>
    <cellStyle name="Обычный 9 5 5 2 2" xfId="54522"/>
    <cellStyle name="Обычный 9 5 5 2 2 2" xfId="54523"/>
    <cellStyle name="Обычный 9 5 5 2 2 2 2" xfId="54524"/>
    <cellStyle name="Обычный 9 5 5 2 2 2 2 2" xfId="54525"/>
    <cellStyle name="Обычный 9 5 5 2 2 2 2 2 2" xfId="54526"/>
    <cellStyle name="Обычный 9 5 5 2 2 2 2 2 3" xfId="54527"/>
    <cellStyle name="Обычный 9 5 5 2 2 2 2 3" xfId="54528"/>
    <cellStyle name="Обычный 9 5 5 2 2 2 2 3 2" xfId="54529"/>
    <cellStyle name="Обычный 9 5 5 2 2 2 2 3 3" xfId="54530"/>
    <cellStyle name="Обычный 9 5 5 2 2 2 2 4" xfId="54531"/>
    <cellStyle name="Обычный 9 5 5 2 2 2 2 4 2" xfId="54532"/>
    <cellStyle name="Обычный 9 5 5 2 2 2 2 5" xfId="54533"/>
    <cellStyle name="Обычный 9 5 5 2 2 2 2 6" xfId="54534"/>
    <cellStyle name="Обычный 9 5 5 2 2 2 3" xfId="54535"/>
    <cellStyle name="Обычный 9 5 5 2 2 2 3 2" xfId="54536"/>
    <cellStyle name="Обычный 9 5 5 2 2 2 3 3" xfId="54537"/>
    <cellStyle name="Обычный 9 5 5 2 2 2 4" xfId="54538"/>
    <cellStyle name="Обычный 9 5 5 2 2 2 4 2" xfId="54539"/>
    <cellStyle name="Обычный 9 5 5 2 2 2 4 3" xfId="54540"/>
    <cellStyle name="Обычный 9 5 5 2 2 2 5" xfId="54541"/>
    <cellStyle name="Обычный 9 5 5 2 2 2 5 2" xfId="54542"/>
    <cellStyle name="Обычный 9 5 5 2 2 2 6" xfId="54543"/>
    <cellStyle name="Обычный 9 5 5 2 2 2 7" xfId="54544"/>
    <cellStyle name="Обычный 9 5 5 2 2 3" xfId="54545"/>
    <cellStyle name="Обычный 9 5 5 2 2 3 2" xfId="54546"/>
    <cellStyle name="Обычный 9 5 5 2 2 3 2 2" xfId="54547"/>
    <cellStyle name="Обычный 9 5 5 2 2 3 2 3" xfId="54548"/>
    <cellStyle name="Обычный 9 5 5 2 2 3 3" xfId="54549"/>
    <cellStyle name="Обычный 9 5 5 2 2 3 3 2" xfId="54550"/>
    <cellStyle name="Обычный 9 5 5 2 2 3 3 3" xfId="54551"/>
    <cellStyle name="Обычный 9 5 5 2 2 3 4" xfId="54552"/>
    <cellStyle name="Обычный 9 5 5 2 2 3 4 2" xfId="54553"/>
    <cellStyle name="Обычный 9 5 5 2 2 3 5" xfId="54554"/>
    <cellStyle name="Обычный 9 5 5 2 2 3 6" xfId="54555"/>
    <cellStyle name="Обычный 9 5 5 2 2 4" xfId="54556"/>
    <cellStyle name="Обычный 9 5 5 2 2 4 2" xfId="54557"/>
    <cellStyle name="Обычный 9 5 5 2 2 4 3" xfId="54558"/>
    <cellStyle name="Обычный 9 5 5 2 2 5" xfId="54559"/>
    <cellStyle name="Обычный 9 5 5 2 2 5 2" xfId="54560"/>
    <cellStyle name="Обычный 9 5 5 2 2 5 3" xfId="54561"/>
    <cellStyle name="Обычный 9 5 5 2 2 6" xfId="54562"/>
    <cellStyle name="Обычный 9 5 5 2 2 6 2" xfId="54563"/>
    <cellStyle name="Обычный 9 5 5 2 2 7" xfId="54564"/>
    <cellStyle name="Обычный 9 5 5 2 2 8" xfId="54565"/>
    <cellStyle name="Обычный 9 5 5 2 3" xfId="54566"/>
    <cellStyle name="Обычный 9 5 5 2 3 2" xfId="54567"/>
    <cellStyle name="Обычный 9 5 5 2 3 2 2" xfId="54568"/>
    <cellStyle name="Обычный 9 5 5 2 3 2 2 2" xfId="54569"/>
    <cellStyle name="Обычный 9 5 5 2 3 2 2 3" xfId="54570"/>
    <cellStyle name="Обычный 9 5 5 2 3 2 3" xfId="54571"/>
    <cellStyle name="Обычный 9 5 5 2 3 2 3 2" xfId="54572"/>
    <cellStyle name="Обычный 9 5 5 2 3 2 3 3" xfId="54573"/>
    <cellStyle name="Обычный 9 5 5 2 3 2 4" xfId="54574"/>
    <cellStyle name="Обычный 9 5 5 2 3 2 4 2" xfId="54575"/>
    <cellStyle name="Обычный 9 5 5 2 3 2 5" xfId="54576"/>
    <cellStyle name="Обычный 9 5 5 2 3 2 6" xfId="54577"/>
    <cellStyle name="Обычный 9 5 5 2 3 3" xfId="54578"/>
    <cellStyle name="Обычный 9 5 5 2 3 3 2" xfId="54579"/>
    <cellStyle name="Обычный 9 5 5 2 3 3 3" xfId="54580"/>
    <cellStyle name="Обычный 9 5 5 2 3 4" xfId="54581"/>
    <cellStyle name="Обычный 9 5 5 2 3 4 2" xfId="54582"/>
    <cellStyle name="Обычный 9 5 5 2 3 4 3" xfId="54583"/>
    <cellStyle name="Обычный 9 5 5 2 3 5" xfId="54584"/>
    <cellStyle name="Обычный 9 5 5 2 3 5 2" xfId="54585"/>
    <cellStyle name="Обычный 9 5 5 2 3 6" xfId="54586"/>
    <cellStyle name="Обычный 9 5 5 2 3 7" xfId="54587"/>
    <cellStyle name="Обычный 9 5 5 2 4" xfId="54588"/>
    <cellStyle name="Обычный 9 5 5 2 4 2" xfId="54589"/>
    <cellStyle name="Обычный 9 5 5 2 4 2 2" xfId="54590"/>
    <cellStyle name="Обычный 9 5 5 2 4 2 3" xfId="54591"/>
    <cellStyle name="Обычный 9 5 5 2 4 3" xfId="54592"/>
    <cellStyle name="Обычный 9 5 5 2 4 3 2" xfId="54593"/>
    <cellStyle name="Обычный 9 5 5 2 4 3 3" xfId="54594"/>
    <cellStyle name="Обычный 9 5 5 2 4 4" xfId="54595"/>
    <cellStyle name="Обычный 9 5 5 2 4 4 2" xfId="54596"/>
    <cellStyle name="Обычный 9 5 5 2 4 5" xfId="54597"/>
    <cellStyle name="Обычный 9 5 5 2 4 6" xfId="54598"/>
    <cellStyle name="Обычный 9 5 5 2 5" xfId="54599"/>
    <cellStyle name="Обычный 9 5 5 2 5 2" xfId="54600"/>
    <cellStyle name="Обычный 9 5 5 2 5 3" xfId="54601"/>
    <cellStyle name="Обычный 9 5 5 2 6" xfId="54602"/>
    <cellStyle name="Обычный 9 5 5 2 6 2" xfId="54603"/>
    <cellStyle name="Обычный 9 5 5 2 6 3" xfId="54604"/>
    <cellStyle name="Обычный 9 5 5 2 7" xfId="54605"/>
    <cellStyle name="Обычный 9 5 5 2 7 2" xfId="54606"/>
    <cellStyle name="Обычный 9 5 5 2 8" xfId="54607"/>
    <cellStyle name="Обычный 9 5 5 2 9" xfId="54608"/>
    <cellStyle name="Обычный 9 5 5 3" xfId="54609"/>
    <cellStyle name="Обычный 9 5 5 3 2" xfId="54610"/>
    <cellStyle name="Обычный 9 5 5 3 2 2" xfId="54611"/>
    <cellStyle name="Обычный 9 5 5 3 2 2 2" xfId="54612"/>
    <cellStyle name="Обычный 9 5 5 3 2 2 2 2" xfId="54613"/>
    <cellStyle name="Обычный 9 5 5 3 2 2 2 3" xfId="54614"/>
    <cellStyle name="Обычный 9 5 5 3 2 2 3" xfId="54615"/>
    <cellStyle name="Обычный 9 5 5 3 2 2 3 2" xfId="54616"/>
    <cellStyle name="Обычный 9 5 5 3 2 2 3 3" xfId="54617"/>
    <cellStyle name="Обычный 9 5 5 3 2 2 4" xfId="54618"/>
    <cellStyle name="Обычный 9 5 5 3 2 2 4 2" xfId="54619"/>
    <cellStyle name="Обычный 9 5 5 3 2 2 5" xfId="54620"/>
    <cellStyle name="Обычный 9 5 5 3 2 2 6" xfId="54621"/>
    <cellStyle name="Обычный 9 5 5 3 2 3" xfId="54622"/>
    <cellStyle name="Обычный 9 5 5 3 2 3 2" xfId="54623"/>
    <cellStyle name="Обычный 9 5 5 3 2 3 3" xfId="54624"/>
    <cellStyle name="Обычный 9 5 5 3 2 4" xfId="54625"/>
    <cellStyle name="Обычный 9 5 5 3 2 4 2" xfId="54626"/>
    <cellStyle name="Обычный 9 5 5 3 2 4 3" xfId="54627"/>
    <cellStyle name="Обычный 9 5 5 3 2 5" xfId="54628"/>
    <cellStyle name="Обычный 9 5 5 3 2 5 2" xfId="54629"/>
    <cellStyle name="Обычный 9 5 5 3 2 6" xfId="54630"/>
    <cellStyle name="Обычный 9 5 5 3 2 7" xfId="54631"/>
    <cellStyle name="Обычный 9 5 5 3 3" xfId="54632"/>
    <cellStyle name="Обычный 9 5 5 3 3 2" xfId="54633"/>
    <cellStyle name="Обычный 9 5 5 3 3 2 2" xfId="54634"/>
    <cellStyle name="Обычный 9 5 5 3 3 2 3" xfId="54635"/>
    <cellStyle name="Обычный 9 5 5 3 3 3" xfId="54636"/>
    <cellStyle name="Обычный 9 5 5 3 3 3 2" xfId="54637"/>
    <cellStyle name="Обычный 9 5 5 3 3 3 3" xfId="54638"/>
    <cellStyle name="Обычный 9 5 5 3 3 4" xfId="54639"/>
    <cellStyle name="Обычный 9 5 5 3 3 4 2" xfId="54640"/>
    <cellStyle name="Обычный 9 5 5 3 3 5" xfId="54641"/>
    <cellStyle name="Обычный 9 5 5 3 3 6" xfId="54642"/>
    <cellStyle name="Обычный 9 5 5 3 4" xfId="54643"/>
    <cellStyle name="Обычный 9 5 5 3 4 2" xfId="54644"/>
    <cellStyle name="Обычный 9 5 5 3 4 3" xfId="54645"/>
    <cellStyle name="Обычный 9 5 5 3 5" xfId="54646"/>
    <cellStyle name="Обычный 9 5 5 3 5 2" xfId="54647"/>
    <cellStyle name="Обычный 9 5 5 3 5 3" xfId="54648"/>
    <cellStyle name="Обычный 9 5 5 3 6" xfId="54649"/>
    <cellStyle name="Обычный 9 5 5 3 6 2" xfId="54650"/>
    <cellStyle name="Обычный 9 5 5 3 7" xfId="54651"/>
    <cellStyle name="Обычный 9 5 5 3 8" xfId="54652"/>
    <cellStyle name="Обычный 9 5 5 4" xfId="54653"/>
    <cellStyle name="Обычный 9 5 5 4 2" xfId="54654"/>
    <cellStyle name="Обычный 9 5 5 4 2 2" xfId="54655"/>
    <cellStyle name="Обычный 9 5 5 4 2 2 2" xfId="54656"/>
    <cellStyle name="Обычный 9 5 5 4 2 2 3" xfId="54657"/>
    <cellStyle name="Обычный 9 5 5 4 2 3" xfId="54658"/>
    <cellStyle name="Обычный 9 5 5 4 2 3 2" xfId="54659"/>
    <cellStyle name="Обычный 9 5 5 4 2 3 3" xfId="54660"/>
    <cellStyle name="Обычный 9 5 5 4 2 4" xfId="54661"/>
    <cellStyle name="Обычный 9 5 5 4 2 4 2" xfId="54662"/>
    <cellStyle name="Обычный 9 5 5 4 2 5" xfId="54663"/>
    <cellStyle name="Обычный 9 5 5 4 2 6" xfId="54664"/>
    <cellStyle name="Обычный 9 5 5 4 3" xfId="54665"/>
    <cellStyle name="Обычный 9 5 5 4 3 2" xfId="54666"/>
    <cellStyle name="Обычный 9 5 5 4 3 3" xfId="54667"/>
    <cellStyle name="Обычный 9 5 5 4 4" xfId="54668"/>
    <cellStyle name="Обычный 9 5 5 4 4 2" xfId="54669"/>
    <cellStyle name="Обычный 9 5 5 4 4 3" xfId="54670"/>
    <cellStyle name="Обычный 9 5 5 4 5" xfId="54671"/>
    <cellStyle name="Обычный 9 5 5 4 5 2" xfId="54672"/>
    <cellStyle name="Обычный 9 5 5 4 6" xfId="54673"/>
    <cellStyle name="Обычный 9 5 5 4 7" xfId="54674"/>
    <cellStyle name="Обычный 9 5 5 5" xfId="54675"/>
    <cellStyle name="Обычный 9 5 5 5 2" xfId="54676"/>
    <cellStyle name="Обычный 9 5 5 5 2 2" xfId="54677"/>
    <cellStyle name="Обычный 9 5 5 5 2 3" xfId="54678"/>
    <cellStyle name="Обычный 9 5 5 5 3" xfId="54679"/>
    <cellStyle name="Обычный 9 5 5 5 3 2" xfId="54680"/>
    <cellStyle name="Обычный 9 5 5 5 3 3" xfId="54681"/>
    <cellStyle name="Обычный 9 5 5 5 4" xfId="54682"/>
    <cellStyle name="Обычный 9 5 5 5 4 2" xfId="54683"/>
    <cellStyle name="Обычный 9 5 5 5 5" xfId="54684"/>
    <cellStyle name="Обычный 9 5 5 5 6" xfId="54685"/>
    <cellStyle name="Обычный 9 5 5 6" xfId="54686"/>
    <cellStyle name="Обычный 9 5 5 6 2" xfId="54687"/>
    <cellStyle name="Обычный 9 5 5 6 3" xfId="54688"/>
    <cellStyle name="Обычный 9 5 5 7" xfId="54689"/>
    <cellStyle name="Обычный 9 5 5 7 2" xfId="54690"/>
    <cellStyle name="Обычный 9 5 5 7 3" xfId="54691"/>
    <cellStyle name="Обычный 9 5 5 8" xfId="54692"/>
    <cellStyle name="Обычный 9 5 5 8 2" xfId="54693"/>
    <cellStyle name="Обычный 9 5 5 9" xfId="54694"/>
    <cellStyle name="Обычный 9 5 6" xfId="54695"/>
    <cellStyle name="Обычный 9 5 6 2" xfId="54696"/>
    <cellStyle name="Обычный 9 5 6 2 2" xfId="54697"/>
    <cellStyle name="Обычный 9 5 6 2 2 2" xfId="54698"/>
    <cellStyle name="Обычный 9 5 6 2 2 2 2" xfId="54699"/>
    <cellStyle name="Обычный 9 5 6 2 2 2 2 2" xfId="54700"/>
    <cellStyle name="Обычный 9 5 6 2 2 2 2 3" xfId="54701"/>
    <cellStyle name="Обычный 9 5 6 2 2 2 3" xfId="54702"/>
    <cellStyle name="Обычный 9 5 6 2 2 2 3 2" xfId="54703"/>
    <cellStyle name="Обычный 9 5 6 2 2 2 3 3" xfId="54704"/>
    <cellStyle name="Обычный 9 5 6 2 2 2 4" xfId="54705"/>
    <cellStyle name="Обычный 9 5 6 2 2 2 4 2" xfId="54706"/>
    <cellStyle name="Обычный 9 5 6 2 2 2 5" xfId="54707"/>
    <cellStyle name="Обычный 9 5 6 2 2 2 6" xfId="54708"/>
    <cellStyle name="Обычный 9 5 6 2 2 3" xfId="54709"/>
    <cellStyle name="Обычный 9 5 6 2 2 3 2" xfId="54710"/>
    <cellStyle name="Обычный 9 5 6 2 2 3 3" xfId="54711"/>
    <cellStyle name="Обычный 9 5 6 2 2 4" xfId="54712"/>
    <cellStyle name="Обычный 9 5 6 2 2 4 2" xfId="54713"/>
    <cellStyle name="Обычный 9 5 6 2 2 4 3" xfId="54714"/>
    <cellStyle name="Обычный 9 5 6 2 2 5" xfId="54715"/>
    <cellStyle name="Обычный 9 5 6 2 2 5 2" xfId="54716"/>
    <cellStyle name="Обычный 9 5 6 2 2 6" xfId="54717"/>
    <cellStyle name="Обычный 9 5 6 2 2 7" xfId="54718"/>
    <cellStyle name="Обычный 9 5 6 2 3" xfId="54719"/>
    <cellStyle name="Обычный 9 5 6 2 3 2" xfId="54720"/>
    <cellStyle name="Обычный 9 5 6 2 3 2 2" xfId="54721"/>
    <cellStyle name="Обычный 9 5 6 2 3 2 3" xfId="54722"/>
    <cellStyle name="Обычный 9 5 6 2 3 3" xfId="54723"/>
    <cellStyle name="Обычный 9 5 6 2 3 3 2" xfId="54724"/>
    <cellStyle name="Обычный 9 5 6 2 3 3 3" xfId="54725"/>
    <cellStyle name="Обычный 9 5 6 2 3 4" xfId="54726"/>
    <cellStyle name="Обычный 9 5 6 2 3 4 2" xfId="54727"/>
    <cellStyle name="Обычный 9 5 6 2 3 5" xfId="54728"/>
    <cellStyle name="Обычный 9 5 6 2 3 6" xfId="54729"/>
    <cellStyle name="Обычный 9 5 6 2 4" xfId="54730"/>
    <cellStyle name="Обычный 9 5 6 2 4 2" xfId="54731"/>
    <cellStyle name="Обычный 9 5 6 2 4 3" xfId="54732"/>
    <cellStyle name="Обычный 9 5 6 2 5" xfId="54733"/>
    <cellStyle name="Обычный 9 5 6 2 5 2" xfId="54734"/>
    <cellStyle name="Обычный 9 5 6 2 5 3" xfId="54735"/>
    <cellStyle name="Обычный 9 5 6 2 6" xfId="54736"/>
    <cellStyle name="Обычный 9 5 6 2 6 2" xfId="54737"/>
    <cellStyle name="Обычный 9 5 6 2 7" xfId="54738"/>
    <cellStyle name="Обычный 9 5 6 2 8" xfId="54739"/>
    <cellStyle name="Обычный 9 5 6 3" xfId="54740"/>
    <cellStyle name="Обычный 9 5 6 3 2" xfId="54741"/>
    <cellStyle name="Обычный 9 5 6 3 2 2" xfId="54742"/>
    <cellStyle name="Обычный 9 5 6 3 2 2 2" xfId="54743"/>
    <cellStyle name="Обычный 9 5 6 3 2 2 3" xfId="54744"/>
    <cellStyle name="Обычный 9 5 6 3 2 3" xfId="54745"/>
    <cellStyle name="Обычный 9 5 6 3 2 3 2" xfId="54746"/>
    <cellStyle name="Обычный 9 5 6 3 2 3 3" xfId="54747"/>
    <cellStyle name="Обычный 9 5 6 3 2 4" xfId="54748"/>
    <cellStyle name="Обычный 9 5 6 3 2 4 2" xfId="54749"/>
    <cellStyle name="Обычный 9 5 6 3 2 5" xfId="54750"/>
    <cellStyle name="Обычный 9 5 6 3 2 6" xfId="54751"/>
    <cellStyle name="Обычный 9 5 6 3 3" xfId="54752"/>
    <cellStyle name="Обычный 9 5 6 3 3 2" xfId="54753"/>
    <cellStyle name="Обычный 9 5 6 3 3 3" xfId="54754"/>
    <cellStyle name="Обычный 9 5 6 3 4" xfId="54755"/>
    <cellStyle name="Обычный 9 5 6 3 4 2" xfId="54756"/>
    <cellStyle name="Обычный 9 5 6 3 4 3" xfId="54757"/>
    <cellStyle name="Обычный 9 5 6 3 5" xfId="54758"/>
    <cellStyle name="Обычный 9 5 6 3 5 2" xfId="54759"/>
    <cellStyle name="Обычный 9 5 6 3 6" xfId="54760"/>
    <cellStyle name="Обычный 9 5 6 3 7" xfId="54761"/>
    <cellStyle name="Обычный 9 5 6 4" xfId="54762"/>
    <cellStyle name="Обычный 9 5 6 4 2" xfId="54763"/>
    <cellStyle name="Обычный 9 5 6 4 2 2" xfId="54764"/>
    <cellStyle name="Обычный 9 5 6 4 2 3" xfId="54765"/>
    <cellStyle name="Обычный 9 5 6 4 3" xfId="54766"/>
    <cellStyle name="Обычный 9 5 6 4 3 2" xfId="54767"/>
    <cellStyle name="Обычный 9 5 6 4 3 3" xfId="54768"/>
    <cellStyle name="Обычный 9 5 6 4 4" xfId="54769"/>
    <cellStyle name="Обычный 9 5 6 4 4 2" xfId="54770"/>
    <cellStyle name="Обычный 9 5 6 4 5" xfId="54771"/>
    <cellStyle name="Обычный 9 5 6 4 6" xfId="54772"/>
    <cellStyle name="Обычный 9 5 6 5" xfId="54773"/>
    <cellStyle name="Обычный 9 5 6 5 2" xfId="54774"/>
    <cellStyle name="Обычный 9 5 6 5 3" xfId="54775"/>
    <cellStyle name="Обычный 9 5 6 6" xfId="54776"/>
    <cellStyle name="Обычный 9 5 6 6 2" xfId="54777"/>
    <cellStyle name="Обычный 9 5 6 6 3" xfId="54778"/>
    <cellStyle name="Обычный 9 5 6 7" xfId="54779"/>
    <cellStyle name="Обычный 9 5 6 7 2" xfId="54780"/>
    <cellStyle name="Обычный 9 5 6 8" xfId="54781"/>
    <cellStyle name="Обычный 9 5 6 9" xfId="54782"/>
    <cellStyle name="Обычный 9 5 7" xfId="54783"/>
    <cellStyle name="Обычный 9 5 7 2" xfId="54784"/>
    <cellStyle name="Обычный 9 5 7 2 2" xfId="54785"/>
    <cellStyle name="Обычный 9 5 7 2 2 2" xfId="54786"/>
    <cellStyle name="Обычный 9 5 7 2 2 2 2" xfId="54787"/>
    <cellStyle name="Обычный 9 5 7 2 2 2 3" xfId="54788"/>
    <cellStyle name="Обычный 9 5 7 2 2 3" xfId="54789"/>
    <cellStyle name="Обычный 9 5 7 2 2 3 2" xfId="54790"/>
    <cellStyle name="Обычный 9 5 7 2 2 3 3" xfId="54791"/>
    <cellStyle name="Обычный 9 5 7 2 2 4" xfId="54792"/>
    <cellStyle name="Обычный 9 5 7 2 2 4 2" xfId="54793"/>
    <cellStyle name="Обычный 9 5 7 2 2 5" xfId="54794"/>
    <cellStyle name="Обычный 9 5 7 2 2 6" xfId="54795"/>
    <cellStyle name="Обычный 9 5 7 2 3" xfId="54796"/>
    <cellStyle name="Обычный 9 5 7 2 3 2" xfId="54797"/>
    <cellStyle name="Обычный 9 5 7 2 3 3" xfId="54798"/>
    <cellStyle name="Обычный 9 5 7 2 4" xfId="54799"/>
    <cellStyle name="Обычный 9 5 7 2 4 2" xfId="54800"/>
    <cellStyle name="Обычный 9 5 7 2 4 3" xfId="54801"/>
    <cellStyle name="Обычный 9 5 7 2 5" xfId="54802"/>
    <cellStyle name="Обычный 9 5 7 2 5 2" xfId="54803"/>
    <cellStyle name="Обычный 9 5 7 2 6" xfId="54804"/>
    <cellStyle name="Обычный 9 5 7 2 7" xfId="54805"/>
    <cellStyle name="Обычный 9 5 7 3" xfId="54806"/>
    <cellStyle name="Обычный 9 5 7 3 2" xfId="54807"/>
    <cellStyle name="Обычный 9 5 7 3 2 2" xfId="54808"/>
    <cellStyle name="Обычный 9 5 7 3 2 3" xfId="54809"/>
    <cellStyle name="Обычный 9 5 7 3 3" xfId="54810"/>
    <cellStyle name="Обычный 9 5 7 3 3 2" xfId="54811"/>
    <cellStyle name="Обычный 9 5 7 3 3 3" xfId="54812"/>
    <cellStyle name="Обычный 9 5 7 3 4" xfId="54813"/>
    <cellStyle name="Обычный 9 5 7 3 4 2" xfId="54814"/>
    <cellStyle name="Обычный 9 5 7 3 5" xfId="54815"/>
    <cellStyle name="Обычный 9 5 7 3 6" xfId="54816"/>
    <cellStyle name="Обычный 9 5 7 4" xfId="54817"/>
    <cellStyle name="Обычный 9 5 7 4 2" xfId="54818"/>
    <cellStyle name="Обычный 9 5 7 4 3" xfId="54819"/>
    <cellStyle name="Обычный 9 5 7 5" xfId="54820"/>
    <cellStyle name="Обычный 9 5 7 5 2" xfId="54821"/>
    <cellStyle name="Обычный 9 5 7 5 3" xfId="54822"/>
    <cellStyle name="Обычный 9 5 7 6" xfId="54823"/>
    <cellStyle name="Обычный 9 5 7 6 2" xfId="54824"/>
    <cellStyle name="Обычный 9 5 7 7" xfId="54825"/>
    <cellStyle name="Обычный 9 5 7 8" xfId="54826"/>
    <cellStyle name="Обычный 9 5 8" xfId="54827"/>
    <cellStyle name="Обычный 9 5 8 2" xfId="54828"/>
    <cellStyle name="Обычный 9 5 8 2 2" xfId="54829"/>
    <cellStyle name="Обычный 9 5 8 2 2 2" xfId="54830"/>
    <cellStyle name="Обычный 9 5 8 2 2 3" xfId="54831"/>
    <cellStyle name="Обычный 9 5 8 2 3" xfId="54832"/>
    <cellStyle name="Обычный 9 5 8 2 3 2" xfId="54833"/>
    <cellStyle name="Обычный 9 5 8 2 3 3" xfId="54834"/>
    <cellStyle name="Обычный 9 5 8 2 4" xfId="54835"/>
    <cellStyle name="Обычный 9 5 8 2 4 2" xfId="54836"/>
    <cellStyle name="Обычный 9 5 8 2 5" xfId="54837"/>
    <cellStyle name="Обычный 9 5 8 2 6" xfId="54838"/>
    <cellStyle name="Обычный 9 5 8 3" xfId="54839"/>
    <cellStyle name="Обычный 9 5 8 3 2" xfId="54840"/>
    <cellStyle name="Обычный 9 5 8 3 3" xfId="54841"/>
    <cellStyle name="Обычный 9 5 8 4" xfId="54842"/>
    <cellStyle name="Обычный 9 5 8 4 2" xfId="54843"/>
    <cellStyle name="Обычный 9 5 8 4 3" xfId="54844"/>
    <cellStyle name="Обычный 9 5 8 5" xfId="54845"/>
    <cellStyle name="Обычный 9 5 8 5 2" xfId="54846"/>
    <cellStyle name="Обычный 9 5 8 6" xfId="54847"/>
    <cellStyle name="Обычный 9 5 8 7" xfId="54848"/>
    <cellStyle name="Обычный 9 5 9" xfId="54849"/>
    <cellStyle name="Обычный 9 5 9 2" xfId="54850"/>
    <cellStyle name="Обычный 9 5 9 2 2" xfId="54851"/>
    <cellStyle name="Обычный 9 5 9 2 3" xfId="54852"/>
    <cellStyle name="Обычный 9 5 9 3" xfId="54853"/>
    <cellStyle name="Обычный 9 5 9 3 2" xfId="54854"/>
    <cellStyle name="Обычный 9 5 9 3 3" xfId="54855"/>
    <cellStyle name="Обычный 9 5 9 4" xfId="54856"/>
    <cellStyle name="Обычный 9 5 9 4 2" xfId="54857"/>
    <cellStyle name="Обычный 9 5 9 5" xfId="54858"/>
    <cellStyle name="Обычный 9 5 9 6" xfId="54859"/>
    <cellStyle name="Обычный 9 6" xfId="54860"/>
    <cellStyle name="Обычный 9 6 10" xfId="54861"/>
    <cellStyle name="Обычный 9 6 10 2" xfId="54862"/>
    <cellStyle name="Обычный 9 6 10 3" xfId="54863"/>
    <cellStyle name="Обычный 9 6 11" xfId="54864"/>
    <cellStyle name="Обычный 9 6 11 2" xfId="54865"/>
    <cellStyle name="Обычный 9 6 11 3" xfId="54866"/>
    <cellStyle name="Обычный 9 6 12" xfId="54867"/>
    <cellStyle name="Обычный 9 6 12 2" xfId="54868"/>
    <cellStyle name="Обычный 9 6 13" xfId="54869"/>
    <cellStyle name="Обычный 9 6 14" xfId="54870"/>
    <cellStyle name="Обычный 9 6 2" xfId="54871"/>
    <cellStyle name="Обычный 9 6 2 10" xfId="54872"/>
    <cellStyle name="Обычный 9 6 2 10 2" xfId="54873"/>
    <cellStyle name="Обычный 9 6 2 10 3" xfId="54874"/>
    <cellStyle name="Обычный 9 6 2 11" xfId="54875"/>
    <cellStyle name="Обычный 9 6 2 11 2" xfId="54876"/>
    <cellStyle name="Обычный 9 6 2 12" xfId="54877"/>
    <cellStyle name="Обычный 9 6 2 13" xfId="54878"/>
    <cellStyle name="Обычный 9 6 2 2" xfId="54879"/>
    <cellStyle name="Обычный 9 6 2 2 10" xfId="54880"/>
    <cellStyle name="Обычный 9 6 2 2 2" xfId="54881"/>
    <cellStyle name="Обычный 9 6 2 2 2 2" xfId="54882"/>
    <cellStyle name="Обычный 9 6 2 2 2 2 2" xfId="54883"/>
    <cellStyle name="Обычный 9 6 2 2 2 2 2 2" xfId="54884"/>
    <cellStyle name="Обычный 9 6 2 2 2 2 2 2 2" xfId="54885"/>
    <cellStyle name="Обычный 9 6 2 2 2 2 2 2 2 2" xfId="54886"/>
    <cellStyle name="Обычный 9 6 2 2 2 2 2 2 2 3" xfId="54887"/>
    <cellStyle name="Обычный 9 6 2 2 2 2 2 2 3" xfId="54888"/>
    <cellStyle name="Обычный 9 6 2 2 2 2 2 2 3 2" xfId="54889"/>
    <cellStyle name="Обычный 9 6 2 2 2 2 2 2 3 3" xfId="54890"/>
    <cellStyle name="Обычный 9 6 2 2 2 2 2 2 4" xfId="54891"/>
    <cellStyle name="Обычный 9 6 2 2 2 2 2 2 4 2" xfId="54892"/>
    <cellStyle name="Обычный 9 6 2 2 2 2 2 2 5" xfId="54893"/>
    <cellStyle name="Обычный 9 6 2 2 2 2 2 2 6" xfId="54894"/>
    <cellStyle name="Обычный 9 6 2 2 2 2 2 3" xfId="54895"/>
    <cellStyle name="Обычный 9 6 2 2 2 2 2 3 2" xfId="54896"/>
    <cellStyle name="Обычный 9 6 2 2 2 2 2 3 3" xfId="54897"/>
    <cellStyle name="Обычный 9 6 2 2 2 2 2 4" xfId="54898"/>
    <cellStyle name="Обычный 9 6 2 2 2 2 2 4 2" xfId="54899"/>
    <cellStyle name="Обычный 9 6 2 2 2 2 2 4 3" xfId="54900"/>
    <cellStyle name="Обычный 9 6 2 2 2 2 2 5" xfId="54901"/>
    <cellStyle name="Обычный 9 6 2 2 2 2 2 5 2" xfId="54902"/>
    <cellStyle name="Обычный 9 6 2 2 2 2 2 6" xfId="54903"/>
    <cellStyle name="Обычный 9 6 2 2 2 2 2 7" xfId="54904"/>
    <cellStyle name="Обычный 9 6 2 2 2 2 3" xfId="54905"/>
    <cellStyle name="Обычный 9 6 2 2 2 2 3 2" xfId="54906"/>
    <cellStyle name="Обычный 9 6 2 2 2 2 3 2 2" xfId="54907"/>
    <cellStyle name="Обычный 9 6 2 2 2 2 3 2 3" xfId="54908"/>
    <cellStyle name="Обычный 9 6 2 2 2 2 3 3" xfId="54909"/>
    <cellStyle name="Обычный 9 6 2 2 2 2 3 3 2" xfId="54910"/>
    <cellStyle name="Обычный 9 6 2 2 2 2 3 3 3" xfId="54911"/>
    <cellStyle name="Обычный 9 6 2 2 2 2 3 4" xfId="54912"/>
    <cellStyle name="Обычный 9 6 2 2 2 2 3 4 2" xfId="54913"/>
    <cellStyle name="Обычный 9 6 2 2 2 2 3 5" xfId="54914"/>
    <cellStyle name="Обычный 9 6 2 2 2 2 3 6" xfId="54915"/>
    <cellStyle name="Обычный 9 6 2 2 2 2 4" xfId="54916"/>
    <cellStyle name="Обычный 9 6 2 2 2 2 4 2" xfId="54917"/>
    <cellStyle name="Обычный 9 6 2 2 2 2 4 3" xfId="54918"/>
    <cellStyle name="Обычный 9 6 2 2 2 2 5" xfId="54919"/>
    <cellStyle name="Обычный 9 6 2 2 2 2 5 2" xfId="54920"/>
    <cellStyle name="Обычный 9 6 2 2 2 2 5 3" xfId="54921"/>
    <cellStyle name="Обычный 9 6 2 2 2 2 6" xfId="54922"/>
    <cellStyle name="Обычный 9 6 2 2 2 2 6 2" xfId="54923"/>
    <cellStyle name="Обычный 9 6 2 2 2 2 7" xfId="54924"/>
    <cellStyle name="Обычный 9 6 2 2 2 2 8" xfId="54925"/>
    <cellStyle name="Обычный 9 6 2 2 2 3" xfId="54926"/>
    <cellStyle name="Обычный 9 6 2 2 2 3 2" xfId="54927"/>
    <cellStyle name="Обычный 9 6 2 2 2 3 2 2" xfId="54928"/>
    <cellStyle name="Обычный 9 6 2 2 2 3 2 2 2" xfId="54929"/>
    <cellStyle name="Обычный 9 6 2 2 2 3 2 2 3" xfId="54930"/>
    <cellStyle name="Обычный 9 6 2 2 2 3 2 3" xfId="54931"/>
    <cellStyle name="Обычный 9 6 2 2 2 3 2 3 2" xfId="54932"/>
    <cellStyle name="Обычный 9 6 2 2 2 3 2 3 3" xfId="54933"/>
    <cellStyle name="Обычный 9 6 2 2 2 3 2 4" xfId="54934"/>
    <cellStyle name="Обычный 9 6 2 2 2 3 2 4 2" xfId="54935"/>
    <cellStyle name="Обычный 9 6 2 2 2 3 2 5" xfId="54936"/>
    <cellStyle name="Обычный 9 6 2 2 2 3 2 6" xfId="54937"/>
    <cellStyle name="Обычный 9 6 2 2 2 3 3" xfId="54938"/>
    <cellStyle name="Обычный 9 6 2 2 2 3 3 2" xfId="54939"/>
    <cellStyle name="Обычный 9 6 2 2 2 3 3 3" xfId="54940"/>
    <cellStyle name="Обычный 9 6 2 2 2 3 4" xfId="54941"/>
    <cellStyle name="Обычный 9 6 2 2 2 3 4 2" xfId="54942"/>
    <cellStyle name="Обычный 9 6 2 2 2 3 4 3" xfId="54943"/>
    <cellStyle name="Обычный 9 6 2 2 2 3 5" xfId="54944"/>
    <cellStyle name="Обычный 9 6 2 2 2 3 5 2" xfId="54945"/>
    <cellStyle name="Обычный 9 6 2 2 2 3 6" xfId="54946"/>
    <cellStyle name="Обычный 9 6 2 2 2 3 7" xfId="54947"/>
    <cellStyle name="Обычный 9 6 2 2 2 4" xfId="54948"/>
    <cellStyle name="Обычный 9 6 2 2 2 4 2" xfId="54949"/>
    <cellStyle name="Обычный 9 6 2 2 2 4 2 2" xfId="54950"/>
    <cellStyle name="Обычный 9 6 2 2 2 4 2 3" xfId="54951"/>
    <cellStyle name="Обычный 9 6 2 2 2 4 3" xfId="54952"/>
    <cellStyle name="Обычный 9 6 2 2 2 4 3 2" xfId="54953"/>
    <cellStyle name="Обычный 9 6 2 2 2 4 3 3" xfId="54954"/>
    <cellStyle name="Обычный 9 6 2 2 2 4 4" xfId="54955"/>
    <cellStyle name="Обычный 9 6 2 2 2 4 4 2" xfId="54956"/>
    <cellStyle name="Обычный 9 6 2 2 2 4 5" xfId="54957"/>
    <cellStyle name="Обычный 9 6 2 2 2 4 6" xfId="54958"/>
    <cellStyle name="Обычный 9 6 2 2 2 5" xfId="54959"/>
    <cellStyle name="Обычный 9 6 2 2 2 5 2" xfId="54960"/>
    <cellStyle name="Обычный 9 6 2 2 2 5 3" xfId="54961"/>
    <cellStyle name="Обычный 9 6 2 2 2 6" xfId="54962"/>
    <cellStyle name="Обычный 9 6 2 2 2 6 2" xfId="54963"/>
    <cellStyle name="Обычный 9 6 2 2 2 6 3" xfId="54964"/>
    <cellStyle name="Обычный 9 6 2 2 2 7" xfId="54965"/>
    <cellStyle name="Обычный 9 6 2 2 2 7 2" xfId="54966"/>
    <cellStyle name="Обычный 9 6 2 2 2 8" xfId="54967"/>
    <cellStyle name="Обычный 9 6 2 2 2 9" xfId="54968"/>
    <cellStyle name="Обычный 9 6 2 2 3" xfId="54969"/>
    <cellStyle name="Обычный 9 6 2 2 3 2" xfId="54970"/>
    <cellStyle name="Обычный 9 6 2 2 3 2 2" xfId="54971"/>
    <cellStyle name="Обычный 9 6 2 2 3 2 2 2" xfId="54972"/>
    <cellStyle name="Обычный 9 6 2 2 3 2 2 2 2" xfId="54973"/>
    <cellStyle name="Обычный 9 6 2 2 3 2 2 2 3" xfId="54974"/>
    <cellStyle name="Обычный 9 6 2 2 3 2 2 3" xfId="54975"/>
    <cellStyle name="Обычный 9 6 2 2 3 2 2 3 2" xfId="54976"/>
    <cellStyle name="Обычный 9 6 2 2 3 2 2 3 3" xfId="54977"/>
    <cellStyle name="Обычный 9 6 2 2 3 2 2 4" xfId="54978"/>
    <cellStyle name="Обычный 9 6 2 2 3 2 2 4 2" xfId="54979"/>
    <cellStyle name="Обычный 9 6 2 2 3 2 2 5" xfId="54980"/>
    <cellStyle name="Обычный 9 6 2 2 3 2 2 6" xfId="54981"/>
    <cellStyle name="Обычный 9 6 2 2 3 2 3" xfId="54982"/>
    <cellStyle name="Обычный 9 6 2 2 3 2 3 2" xfId="54983"/>
    <cellStyle name="Обычный 9 6 2 2 3 2 3 3" xfId="54984"/>
    <cellStyle name="Обычный 9 6 2 2 3 2 4" xfId="54985"/>
    <cellStyle name="Обычный 9 6 2 2 3 2 4 2" xfId="54986"/>
    <cellStyle name="Обычный 9 6 2 2 3 2 4 3" xfId="54987"/>
    <cellStyle name="Обычный 9 6 2 2 3 2 5" xfId="54988"/>
    <cellStyle name="Обычный 9 6 2 2 3 2 5 2" xfId="54989"/>
    <cellStyle name="Обычный 9 6 2 2 3 2 6" xfId="54990"/>
    <cellStyle name="Обычный 9 6 2 2 3 2 7" xfId="54991"/>
    <cellStyle name="Обычный 9 6 2 2 3 3" xfId="54992"/>
    <cellStyle name="Обычный 9 6 2 2 3 3 2" xfId="54993"/>
    <cellStyle name="Обычный 9 6 2 2 3 3 2 2" xfId="54994"/>
    <cellStyle name="Обычный 9 6 2 2 3 3 2 3" xfId="54995"/>
    <cellStyle name="Обычный 9 6 2 2 3 3 3" xfId="54996"/>
    <cellStyle name="Обычный 9 6 2 2 3 3 3 2" xfId="54997"/>
    <cellStyle name="Обычный 9 6 2 2 3 3 3 3" xfId="54998"/>
    <cellStyle name="Обычный 9 6 2 2 3 3 4" xfId="54999"/>
    <cellStyle name="Обычный 9 6 2 2 3 3 4 2" xfId="55000"/>
    <cellStyle name="Обычный 9 6 2 2 3 3 5" xfId="55001"/>
    <cellStyle name="Обычный 9 6 2 2 3 3 6" xfId="55002"/>
    <cellStyle name="Обычный 9 6 2 2 3 4" xfId="55003"/>
    <cellStyle name="Обычный 9 6 2 2 3 4 2" xfId="55004"/>
    <cellStyle name="Обычный 9 6 2 2 3 4 3" xfId="55005"/>
    <cellStyle name="Обычный 9 6 2 2 3 5" xfId="55006"/>
    <cellStyle name="Обычный 9 6 2 2 3 5 2" xfId="55007"/>
    <cellStyle name="Обычный 9 6 2 2 3 5 3" xfId="55008"/>
    <cellStyle name="Обычный 9 6 2 2 3 6" xfId="55009"/>
    <cellStyle name="Обычный 9 6 2 2 3 6 2" xfId="55010"/>
    <cellStyle name="Обычный 9 6 2 2 3 7" xfId="55011"/>
    <cellStyle name="Обычный 9 6 2 2 3 8" xfId="55012"/>
    <cellStyle name="Обычный 9 6 2 2 4" xfId="55013"/>
    <cellStyle name="Обычный 9 6 2 2 4 2" xfId="55014"/>
    <cellStyle name="Обычный 9 6 2 2 4 2 2" xfId="55015"/>
    <cellStyle name="Обычный 9 6 2 2 4 2 2 2" xfId="55016"/>
    <cellStyle name="Обычный 9 6 2 2 4 2 2 3" xfId="55017"/>
    <cellStyle name="Обычный 9 6 2 2 4 2 3" xfId="55018"/>
    <cellStyle name="Обычный 9 6 2 2 4 2 3 2" xfId="55019"/>
    <cellStyle name="Обычный 9 6 2 2 4 2 3 3" xfId="55020"/>
    <cellStyle name="Обычный 9 6 2 2 4 2 4" xfId="55021"/>
    <cellStyle name="Обычный 9 6 2 2 4 2 4 2" xfId="55022"/>
    <cellStyle name="Обычный 9 6 2 2 4 2 5" xfId="55023"/>
    <cellStyle name="Обычный 9 6 2 2 4 2 6" xfId="55024"/>
    <cellStyle name="Обычный 9 6 2 2 4 3" xfId="55025"/>
    <cellStyle name="Обычный 9 6 2 2 4 3 2" xfId="55026"/>
    <cellStyle name="Обычный 9 6 2 2 4 3 3" xfId="55027"/>
    <cellStyle name="Обычный 9 6 2 2 4 4" xfId="55028"/>
    <cellStyle name="Обычный 9 6 2 2 4 4 2" xfId="55029"/>
    <cellStyle name="Обычный 9 6 2 2 4 4 3" xfId="55030"/>
    <cellStyle name="Обычный 9 6 2 2 4 5" xfId="55031"/>
    <cellStyle name="Обычный 9 6 2 2 4 5 2" xfId="55032"/>
    <cellStyle name="Обычный 9 6 2 2 4 6" xfId="55033"/>
    <cellStyle name="Обычный 9 6 2 2 4 7" xfId="55034"/>
    <cellStyle name="Обычный 9 6 2 2 5" xfId="55035"/>
    <cellStyle name="Обычный 9 6 2 2 5 2" xfId="55036"/>
    <cellStyle name="Обычный 9 6 2 2 5 2 2" xfId="55037"/>
    <cellStyle name="Обычный 9 6 2 2 5 2 3" xfId="55038"/>
    <cellStyle name="Обычный 9 6 2 2 5 3" xfId="55039"/>
    <cellStyle name="Обычный 9 6 2 2 5 3 2" xfId="55040"/>
    <cellStyle name="Обычный 9 6 2 2 5 3 3" xfId="55041"/>
    <cellStyle name="Обычный 9 6 2 2 5 4" xfId="55042"/>
    <cellStyle name="Обычный 9 6 2 2 5 4 2" xfId="55043"/>
    <cellStyle name="Обычный 9 6 2 2 5 5" xfId="55044"/>
    <cellStyle name="Обычный 9 6 2 2 5 6" xfId="55045"/>
    <cellStyle name="Обычный 9 6 2 2 6" xfId="55046"/>
    <cellStyle name="Обычный 9 6 2 2 6 2" xfId="55047"/>
    <cellStyle name="Обычный 9 6 2 2 6 3" xfId="55048"/>
    <cellStyle name="Обычный 9 6 2 2 7" xfId="55049"/>
    <cellStyle name="Обычный 9 6 2 2 7 2" xfId="55050"/>
    <cellStyle name="Обычный 9 6 2 2 7 3" xfId="55051"/>
    <cellStyle name="Обычный 9 6 2 2 8" xfId="55052"/>
    <cellStyle name="Обычный 9 6 2 2 8 2" xfId="55053"/>
    <cellStyle name="Обычный 9 6 2 2 9" xfId="55054"/>
    <cellStyle name="Обычный 9 6 2 3" xfId="55055"/>
    <cellStyle name="Обычный 9 6 2 3 10" xfId="55056"/>
    <cellStyle name="Обычный 9 6 2 3 2" xfId="55057"/>
    <cellStyle name="Обычный 9 6 2 3 2 2" xfId="55058"/>
    <cellStyle name="Обычный 9 6 2 3 2 2 2" xfId="55059"/>
    <cellStyle name="Обычный 9 6 2 3 2 2 2 2" xfId="55060"/>
    <cellStyle name="Обычный 9 6 2 3 2 2 2 2 2" xfId="55061"/>
    <cellStyle name="Обычный 9 6 2 3 2 2 2 2 2 2" xfId="55062"/>
    <cellStyle name="Обычный 9 6 2 3 2 2 2 2 2 3" xfId="55063"/>
    <cellStyle name="Обычный 9 6 2 3 2 2 2 2 3" xfId="55064"/>
    <cellStyle name="Обычный 9 6 2 3 2 2 2 2 3 2" xfId="55065"/>
    <cellStyle name="Обычный 9 6 2 3 2 2 2 2 3 3" xfId="55066"/>
    <cellStyle name="Обычный 9 6 2 3 2 2 2 2 4" xfId="55067"/>
    <cellStyle name="Обычный 9 6 2 3 2 2 2 2 4 2" xfId="55068"/>
    <cellStyle name="Обычный 9 6 2 3 2 2 2 2 5" xfId="55069"/>
    <cellStyle name="Обычный 9 6 2 3 2 2 2 2 6" xfId="55070"/>
    <cellStyle name="Обычный 9 6 2 3 2 2 2 3" xfId="55071"/>
    <cellStyle name="Обычный 9 6 2 3 2 2 2 3 2" xfId="55072"/>
    <cellStyle name="Обычный 9 6 2 3 2 2 2 3 3" xfId="55073"/>
    <cellStyle name="Обычный 9 6 2 3 2 2 2 4" xfId="55074"/>
    <cellStyle name="Обычный 9 6 2 3 2 2 2 4 2" xfId="55075"/>
    <cellStyle name="Обычный 9 6 2 3 2 2 2 4 3" xfId="55076"/>
    <cellStyle name="Обычный 9 6 2 3 2 2 2 5" xfId="55077"/>
    <cellStyle name="Обычный 9 6 2 3 2 2 2 5 2" xfId="55078"/>
    <cellStyle name="Обычный 9 6 2 3 2 2 2 6" xfId="55079"/>
    <cellStyle name="Обычный 9 6 2 3 2 2 2 7" xfId="55080"/>
    <cellStyle name="Обычный 9 6 2 3 2 2 3" xfId="55081"/>
    <cellStyle name="Обычный 9 6 2 3 2 2 3 2" xfId="55082"/>
    <cellStyle name="Обычный 9 6 2 3 2 2 3 2 2" xfId="55083"/>
    <cellStyle name="Обычный 9 6 2 3 2 2 3 2 3" xfId="55084"/>
    <cellStyle name="Обычный 9 6 2 3 2 2 3 3" xfId="55085"/>
    <cellStyle name="Обычный 9 6 2 3 2 2 3 3 2" xfId="55086"/>
    <cellStyle name="Обычный 9 6 2 3 2 2 3 3 3" xfId="55087"/>
    <cellStyle name="Обычный 9 6 2 3 2 2 3 4" xfId="55088"/>
    <cellStyle name="Обычный 9 6 2 3 2 2 3 4 2" xfId="55089"/>
    <cellStyle name="Обычный 9 6 2 3 2 2 3 5" xfId="55090"/>
    <cellStyle name="Обычный 9 6 2 3 2 2 3 6" xfId="55091"/>
    <cellStyle name="Обычный 9 6 2 3 2 2 4" xfId="55092"/>
    <cellStyle name="Обычный 9 6 2 3 2 2 4 2" xfId="55093"/>
    <cellStyle name="Обычный 9 6 2 3 2 2 4 3" xfId="55094"/>
    <cellStyle name="Обычный 9 6 2 3 2 2 5" xfId="55095"/>
    <cellStyle name="Обычный 9 6 2 3 2 2 5 2" xfId="55096"/>
    <cellStyle name="Обычный 9 6 2 3 2 2 5 3" xfId="55097"/>
    <cellStyle name="Обычный 9 6 2 3 2 2 6" xfId="55098"/>
    <cellStyle name="Обычный 9 6 2 3 2 2 6 2" xfId="55099"/>
    <cellStyle name="Обычный 9 6 2 3 2 2 7" xfId="55100"/>
    <cellStyle name="Обычный 9 6 2 3 2 2 8" xfId="55101"/>
    <cellStyle name="Обычный 9 6 2 3 2 3" xfId="55102"/>
    <cellStyle name="Обычный 9 6 2 3 2 3 2" xfId="55103"/>
    <cellStyle name="Обычный 9 6 2 3 2 3 2 2" xfId="55104"/>
    <cellStyle name="Обычный 9 6 2 3 2 3 2 2 2" xfId="55105"/>
    <cellStyle name="Обычный 9 6 2 3 2 3 2 2 3" xfId="55106"/>
    <cellStyle name="Обычный 9 6 2 3 2 3 2 3" xfId="55107"/>
    <cellStyle name="Обычный 9 6 2 3 2 3 2 3 2" xfId="55108"/>
    <cellStyle name="Обычный 9 6 2 3 2 3 2 3 3" xfId="55109"/>
    <cellStyle name="Обычный 9 6 2 3 2 3 2 4" xfId="55110"/>
    <cellStyle name="Обычный 9 6 2 3 2 3 2 4 2" xfId="55111"/>
    <cellStyle name="Обычный 9 6 2 3 2 3 2 5" xfId="55112"/>
    <cellStyle name="Обычный 9 6 2 3 2 3 2 6" xfId="55113"/>
    <cellStyle name="Обычный 9 6 2 3 2 3 3" xfId="55114"/>
    <cellStyle name="Обычный 9 6 2 3 2 3 3 2" xfId="55115"/>
    <cellStyle name="Обычный 9 6 2 3 2 3 3 3" xfId="55116"/>
    <cellStyle name="Обычный 9 6 2 3 2 3 4" xfId="55117"/>
    <cellStyle name="Обычный 9 6 2 3 2 3 4 2" xfId="55118"/>
    <cellStyle name="Обычный 9 6 2 3 2 3 4 3" xfId="55119"/>
    <cellStyle name="Обычный 9 6 2 3 2 3 5" xfId="55120"/>
    <cellStyle name="Обычный 9 6 2 3 2 3 5 2" xfId="55121"/>
    <cellStyle name="Обычный 9 6 2 3 2 3 6" xfId="55122"/>
    <cellStyle name="Обычный 9 6 2 3 2 3 7" xfId="55123"/>
    <cellStyle name="Обычный 9 6 2 3 2 4" xfId="55124"/>
    <cellStyle name="Обычный 9 6 2 3 2 4 2" xfId="55125"/>
    <cellStyle name="Обычный 9 6 2 3 2 4 2 2" xfId="55126"/>
    <cellStyle name="Обычный 9 6 2 3 2 4 2 3" xfId="55127"/>
    <cellStyle name="Обычный 9 6 2 3 2 4 3" xfId="55128"/>
    <cellStyle name="Обычный 9 6 2 3 2 4 3 2" xfId="55129"/>
    <cellStyle name="Обычный 9 6 2 3 2 4 3 3" xfId="55130"/>
    <cellStyle name="Обычный 9 6 2 3 2 4 4" xfId="55131"/>
    <cellStyle name="Обычный 9 6 2 3 2 4 4 2" xfId="55132"/>
    <cellStyle name="Обычный 9 6 2 3 2 4 5" xfId="55133"/>
    <cellStyle name="Обычный 9 6 2 3 2 4 6" xfId="55134"/>
    <cellStyle name="Обычный 9 6 2 3 2 5" xfId="55135"/>
    <cellStyle name="Обычный 9 6 2 3 2 5 2" xfId="55136"/>
    <cellStyle name="Обычный 9 6 2 3 2 5 3" xfId="55137"/>
    <cellStyle name="Обычный 9 6 2 3 2 6" xfId="55138"/>
    <cellStyle name="Обычный 9 6 2 3 2 6 2" xfId="55139"/>
    <cellStyle name="Обычный 9 6 2 3 2 6 3" xfId="55140"/>
    <cellStyle name="Обычный 9 6 2 3 2 7" xfId="55141"/>
    <cellStyle name="Обычный 9 6 2 3 2 7 2" xfId="55142"/>
    <cellStyle name="Обычный 9 6 2 3 2 8" xfId="55143"/>
    <cellStyle name="Обычный 9 6 2 3 2 9" xfId="55144"/>
    <cellStyle name="Обычный 9 6 2 3 3" xfId="55145"/>
    <cellStyle name="Обычный 9 6 2 3 3 2" xfId="55146"/>
    <cellStyle name="Обычный 9 6 2 3 3 2 2" xfId="55147"/>
    <cellStyle name="Обычный 9 6 2 3 3 2 2 2" xfId="55148"/>
    <cellStyle name="Обычный 9 6 2 3 3 2 2 2 2" xfId="55149"/>
    <cellStyle name="Обычный 9 6 2 3 3 2 2 2 3" xfId="55150"/>
    <cellStyle name="Обычный 9 6 2 3 3 2 2 3" xfId="55151"/>
    <cellStyle name="Обычный 9 6 2 3 3 2 2 3 2" xfId="55152"/>
    <cellStyle name="Обычный 9 6 2 3 3 2 2 3 3" xfId="55153"/>
    <cellStyle name="Обычный 9 6 2 3 3 2 2 4" xfId="55154"/>
    <cellStyle name="Обычный 9 6 2 3 3 2 2 4 2" xfId="55155"/>
    <cellStyle name="Обычный 9 6 2 3 3 2 2 5" xfId="55156"/>
    <cellStyle name="Обычный 9 6 2 3 3 2 2 6" xfId="55157"/>
    <cellStyle name="Обычный 9 6 2 3 3 2 3" xfId="55158"/>
    <cellStyle name="Обычный 9 6 2 3 3 2 3 2" xfId="55159"/>
    <cellStyle name="Обычный 9 6 2 3 3 2 3 3" xfId="55160"/>
    <cellStyle name="Обычный 9 6 2 3 3 2 4" xfId="55161"/>
    <cellStyle name="Обычный 9 6 2 3 3 2 4 2" xfId="55162"/>
    <cellStyle name="Обычный 9 6 2 3 3 2 4 3" xfId="55163"/>
    <cellStyle name="Обычный 9 6 2 3 3 2 5" xfId="55164"/>
    <cellStyle name="Обычный 9 6 2 3 3 2 5 2" xfId="55165"/>
    <cellStyle name="Обычный 9 6 2 3 3 2 6" xfId="55166"/>
    <cellStyle name="Обычный 9 6 2 3 3 2 7" xfId="55167"/>
    <cellStyle name="Обычный 9 6 2 3 3 3" xfId="55168"/>
    <cellStyle name="Обычный 9 6 2 3 3 3 2" xfId="55169"/>
    <cellStyle name="Обычный 9 6 2 3 3 3 2 2" xfId="55170"/>
    <cellStyle name="Обычный 9 6 2 3 3 3 2 3" xfId="55171"/>
    <cellStyle name="Обычный 9 6 2 3 3 3 3" xfId="55172"/>
    <cellStyle name="Обычный 9 6 2 3 3 3 3 2" xfId="55173"/>
    <cellStyle name="Обычный 9 6 2 3 3 3 3 3" xfId="55174"/>
    <cellStyle name="Обычный 9 6 2 3 3 3 4" xfId="55175"/>
    <cellStyle name="Обычный 9 6 2 3 3 3 4 2" xfId="55176"/>
    <cellStyle name="Обычный 9 6 2 3 3 3 5" xfId="55177"/>
    <cellStyle name="Обычный 9 6 2 3 3 3 6" xfId="55178"/>
    <cellStyle name="Обычный 9 6 2 3 3 4" xfId="55179"/>
    <cellStyle name="Обычный 9 6 2 3 3 4 2" xfId="55180"/>
    <cellStyle name="Обычный 9 6 2 3 3 4 3" xfId="55181"/>
    <cellStyle name="Обычный 9 6 2 3 3 5" xfId="55182"/>
    <cellStyle name="Обычный 9 6 2 3 3 5 2" xfId="55183"/>
    <cellStyle name="Обычный 9 6 2 3 3 5 3" xfId="55184"/>
    <cellStyle name="Обычный 9 6 2 3 3 6" xfId="55185"/>
    <cellStyle name="Обычный 9 6 2 3 3 6 2" xfId="55186"/>
    <cellStyle name="Обычный 9 6 2 3 3 7" xfId="55187"/>
    <cellStyle name="Обычный 9 6 2 3 3 8" xfId="55188"/>
    <cellStyle name="Обычный 9 6 2 3 4" xfId="55189"/>
    <cellStyle name="Обычный 9 6 2 3 4 2" xfId="55190"/>
    <cellStyle name="Обычный 9 6 2 3 4 2 2" xfId="55191"/>
    <cellStyle name="Обычный 9 6 2 3 4 2 2 2" xfId="55192"/>
    <cellStyle name="Обычный 9 6 2 3 4 2 2 3" xfId="55193"/>
    <cellStyle name="Обычный 9 6 2 3 4 2 3" xfId="55194"/>
    <cellStyle name="Обычный 9 6 2 3 4 2 3 2" xfId="55195"/>
    <cellStyle name="Обычный 9 6 2 3 4 2 3 3" xfId="55196"/>
    <cellStyle name="Обычный 9 6 2 3 4 2 4" xfId="55197"/>
    <cellStyle name="Обычный 9 6 2 3 4 2 4 2" xfId="55198"/>
    <cellStyle name="Обычный 9 6 2 3 4 2 5" xfId="55199"/>
    <cellStyle name="Обычный 9 6 2 3 4 2 6" xfId="55200"/>
    <cellStyle name="Обычный 9 6 2 3 4 3" xfId="55201"/>
    <cellStyle name="Обычный 9 6 2 3 4 3 2" xfId="55202"/>
    <cellStyle name="Обычный 9 6 2 3 4 3 3" xfId="55203"/>
    <cellStyle name="Обычный 9 6 2 3 4 4" xfId="55204"/>
    <cellStyle name="Обычный 9 6 2 3 4 4 2" xfId="55205"/>
    <cellStyle name="Обычный 9 6 2 3 4 4 3" xfId="55206"/>
    <cellStyle name="Обычный 9 6 2 3 4 5" xfId="55207"/>
    <cellStyle name="Обычный 9 6 2 3 4 5 2" xfId="55208"/>
    <cellStyle name="Обычный 9 6 2 3 4 6" xfId="55209"/>
    <cellStyle name="Обычный 9 6 2 3 4 7" xfId="55210"/>
    <cellStyle name="Обычный 9 6 2 3 5" xfId="55211"/>
    <cellStyle name="Обычный 9 6 2 3 5 2" xfId="55212"/>
    <cellStyle name="Обычный 9 6 2 3 5 2 2" xfId="55213"/>
    <cellStyle name="Обычный 9 6 2 3 5 2 3" xfId="55214"/>
    <cellStyle name="Обычный 9 6 2 3 5 3" xfId="55215"/>
    <cellStyle name="Обычный 9 6 2 3 5 3 2" xfId="55216"/>
    <cellStyle name="Обычный 9 6 2 3 5 3 3" xfId="55217"/>
    <cellStyle name="Обычный 9 6 2 3 5 4" xfId="55218"/>
    <cellStyle name="Обычный 9 6 2 3 5 4 2" xfId="55219"/>
    <cellStyle name="Обычный 9 6 2 3 5 5" xfId="55220"/>
    <cellStyle name="Обычный 9 6 2 3 5 6" xfId="55221"/>
    <cellStyle name="Обычный 9 6 2 3 6" xfId="55222"/>
    <cellStyle name="Обычный 9 6 2 3 6 2" xfId="55223"/>
    <cellStyle name="Обычный 9 6 2 3 6 3" xfId="55224"/>
    <cellStyle name="Обычный 9 6 2 3 7" xfId="55225"/>
    <cellStyle name="Обычный 9 6 2 3 7 2" xfId="55226"/>
    <cellStyle name="Обычный 9 6 2 3 7 3" xfId="55227"/>
    <cellStyle name="Обычный 9 6 2 3 8" xfId="55228"/>
    <cellStyle name="Обычный 9 6 2 3 8 2" xfId="55229"/>
    <cellStyle name="Обычный 9 6 2 3 9" xfId="55230"/>
    <cellStyle name="Обычный 9 6 2 4" xfId="55231"/>
    <cellStyle name="Обычный 9 6 2 4 10" xfId="55232"/>
    <cellStyle name="Обычный 9 6 2 4 2" xfId="55233"/>
    <cellStyle name="Обычный 9 6 2 4 2 2" xfId="55234"/>
    <cellStyle name="Обычный 9 6 2 4 2 2 2" xfId="55235"/>
    <cellStyle name="Обычный 9 6 2 4 2 2 2 2" xfId="55236"/>
    <cellStyle name="Обычный 9 6 2 4 2 2 2 2 2" xfId="55237"/>
    <cellStyle name="Обычный 9 6 2 4 2 2 2 2 2 2" xfId="55238"/>
    <cellStyle name="Обычный 9 6 2 4 2 2 2 2 2 3" xfId="55239"/>
    <cellStyle name="Обычный 9 6 2 4 2 2 2 2 3" xfId="55240"/>
    <cellStyle name="Обычный 9 6 2 4 2 2 2 2 3 2" xfId="55241"/>
    <cellStyle name="Обычный 9 6 2 4 2 2 2 2 3 3" xfId="55242"/>
    <cellStyle name="Обычный 9 6 2 4 2 2 2 2 4" xfId="55243"/>
    <cellStyle name="Обычный 9 6 2 4 2 2 2 2 4 2" xfId="55244"/>
    <cellStyle name="Обычный 9 6 2 4 2 2 2 2 5" xfId="55245"/>
    <cellStyle name="Обычный 9 6 2 4 2 2 2 2 6" xfId="55246"/>
    <cellStyle name="Обычный 9 6 2 4 2 2 2 3" xfId="55247"/>
    <cellStyle name="Обычный 9 6 2 4 2 2 2 3 2" xfId="55248"/>
    <cellStyle name="Обычный 9 6 2 4 2 2 2 3 3" xfId="55249"/>
    <cellStyle name="Обычный 9 6 2 4 2 2 2 4" xfId="55250"/>
    <cellStyle name="Обычный 9 6 2 4 2 2 2 4 2" xfId="55251"/>
    <cellStyle name="Обычный 9 6 2 4 2 2 2 4 3" xfId="55252"/>
    <cellStyle name="Обычный 9 6 2 4 2 2 2 5" xfId="55253"/>
    <cellStyle name="Обычный 9 6 2 4 2 2 2 5 2" xfId="55254"/>
    <cellStyle name="Обычный 9 6 2 4 2 2 2 6" xfId="55255"/>
    <cellStyle name="Обычный 9 6 2 4 2 2 2 7" xfId="55256"/>
    <cellStyle name="Обычный 9 6 2 4 2 2 3" xfId="55257"/>
    <cellStyle name="Обычный 9 6 2 4 2 2 3 2" xfId="55258"/>
    <cellStyle name="Обычный 9 6 2 4 2 2 3 2 2" xfId="55259"/>
    <cellStyle name="Обычный 9 6 2 4 2 2 3 2 3" xfId="55260"/>
    <cellStyle name="Обычный 9 6 2 4 2 2 3 3" xfId="55261"/>
    <cellStyle name="Обычный 9 6 2 4 2 2 3 3 2" xfId="55262"/>
    <cellStyle name="Обычный 9 6 2 4 2 2 3 3 3" xfId="55263"/>
    <cellStyle name="Обычный 9 6 2 4 2 2 3 4" xfId="55264"/>
    <cellStyle name="Обычный 9 6 2 4 2 2 3 4 2" xfId="55265"/>
    <cellStyle name="Обычный 9 6 2 4 2 2 3 5" xfId="55266"/>
    <cellStyle name="Обычный 9 6 2 4 2 2 3 6" xfId="55267"/>
    <cellStyle name="Обычный 9 6 2 4 2 2 4" xfId="55268"/>
    <cellStyle name="Обычный 9 6 2 4 2 2 4 2" xfId="55269"/>
    <cellStyle name="Обычный 9 6 2 4 2 2 4 3" xfId="55270"/>
    <cellStyle name="Обычный 9 6 2 4 2 2 5" xfId="55271"/>
    <cellStyle name="Обычный 9 6 2 4 2 2 5 2" xfId="55272"/>
    <cellStyle name="Обычный 9 6 2 4 2 2 5 3" xfId="55273"/>
    <cellStyle name="Обычный 9 6 2 4 2 2 6" xfId="55274"/>
    <cellStyle name="Обычный 9 6 2 4 2 2 6 2" xfId="55275"/>
    <cellStyle name="Обычный 9 6 2 4 2 2 7" xfId="55276"/>
    <cellStyle name="Обычный 9 6 2 4 2 2 8" xfId="55277"/>
    <cellStyle name="Обычный 9 6 2 4 2 3" xfId="55278"/>
    <cellStyle name="Обычный 9 6 2 4 2 3 2" xfId="55279"/>
    <cellStyle name="Обычный 9 6 2 4 2 3 2 2" xfId="55280"/>
    <cellStyle name="Обычный 9 6 2 4 2 3 2 2 2" xfId="55281"/>
    <cellStyle name="Обычный 9 6 2 4 2 3 2 2 3" xfId="55282"/>
    <cellStyle name="Обычный 9 6 2 4 2 3 2 3" xfId="55283"/>
    <cellStyle name="Обычный 9 6 2 4 2 3 2 3 2" xfId="55284"/>
    <cellStyle name="Обычный 9 6 2 4 2 3 2 3 3" xfId="55285"/>
    <cellStyle name="Обычный 9 6 2 4 2 3 2 4" xfId="55286"/>
    <cellStyle name="Обычный 9 6 2 4 2 3 2 4 2" xfId="55287"/>
    <cellStyle name="Обычный 9 6 2 4 2 3 2 5" xfId="55288"/>
    <cellStyle name="Обычный 9 6 2 4 2 3 2 6" xfId="55289"/>
    <cellStyle name="Обычный 9 6 2 4 2 3 3" xfId="55290"/>
    <cellStyle name="Обычный 9 6 2 4 2 3 3 2" xfId="55291"/>
    <cellStyle name="Обычный 9 6 2 4 2 3 3 3" xfId="55292"/>
    <cellStyle name="Обычный 9 6 2 4 2 3 4" xfId="55293"/>
    <cellStyle name="Обычный 9 6 2 4 2 3 4 2" xfId="55294"/>
    <cellStyle name="Обычный 9 6 2 4 2 3 4 3" xfId="55295"/>
    <cellStyle name="Обычный 9 6 2 4 2 3 5" xfId="55296"/>
    <cellStyle name="Обычный 9 6 2 4 2 3 5 2" xfId="55297"/>
    <cellStyle name="Обычный 9 6 2 4 2 3 6" xfId="55298"/>
    <cellStyle name="Обычный 9 6 2 4 2 3 7" xfId="55299"/>
    <cellStyle name="Обычный 9 6 2 4 2 4" xfId="55300"/>
    <cellStyle name="Обычный 9 6 2 4 2 4 2" xfId="55301"/>
    <cellStyle name="Обычный 9 6 2 4 2 4 2 2" xfId="55302"/>
    <cellStyle name="Обычный 9 6 2 4 2 4 2 3" xfId="55303"/>
    <cellStyle name="Обычный 9 6 2 4 2 4 3" xfId="55304"/>
    <cellStyle name="Обычный 9 6 2 4 2 4 3 2" xfId="55305"/>
    <cellStyle name="Обычный 9 6 2 4 2 4 3 3" xfId="55306"/>
    <cellStyle name="Обычный 9 6 2 4 2 4 4" xfId="55307"/>
    <cellStyle name="Обычный 9 6 2 4 2 4 4 2" xfId="55308"/>
    <cellStyle name="Обычный 9 6 2 4 2 4 5" xfId="55309"/>
    <cellStyle name="Обычный 9 6 2 4 2 4 6" xfId="55310"/>
    <cellStyle name="Обычный 9 6 2 4 2 5" xfId="55311"/>
    <cellStyle name="Обычный 9 6 2 4 2 5 2" xfId="55312"/>
    <cellStyle name="Обычный 9 6 2 4 2 5 3" xfId="55313"/>
    <cellStyle name="Обычный 9 6 2 4 2 6" xfId="55314"/>
    <cellStyle name="Обычный 9 6 2 4 2 6 2" xfId="55315"/>
    <cellStyle name="Обычный 9 6 2 4 2 6 3" xfId="55316"/>
    <cellStyle name="Обычный 9 6 2 4 2 7" xfId="55317"/>
    <cellStyle name="Обычный 9 6 2 4 2 7 2" xfId="55318"/>
    <cellStyle name="Обычный 9 6 2 4 2 8" xfId="55319"/>
    <cellStyle name="Обычный 9 6 2 4 2 9" xfId="55320"/>
    <cellStyle name="Обычный 9 6 2 4 3" xfId="55321"/>
    <cellStyle name="Обычный 9 6 2 4 3 2" xfId="55322"/>
    <cellStyle name="Обычный 9 6 2 4 3 2 2" xfId="55323"/>
    <cellStyle name="Обычный 9 6 2 4 3 2 2 2" xfId="55324"/>
    <cellStyle name="Обычный 9 6 2 4 3 2 2 2 2" xfId="55325"/>
    <cellStyle name="Обычный 9 6 2 4 3 2 2 2 3" xfId="55326"/>
    <cellStyle name="Обычный 9 6 2 4 3 2 2 3" xfId="55327"/>
    <cellStyle name="Обычный 9 6 2 4 3 2 2 3 2" xfId="55328"/>
    <cellStyle name="Обычный 9 6 2 4 3 2 2 3 3" xfId="55329"/>
    <cellStyle name="Обычный 9 6 2 4 3 2 2 4" xfId="55330"/>
    <cellStyle name="Обычный 9 6 2 4 3 2 2 4 2" xfId="55331"/>
    <cellStyle name="Обычный 9 6 2 4 3 2 2 5" xfId="55332"/>
    <cellStyle name="Обычный 9 6 2 4 3 2 2 6" xfId="55333"/>
    <cellStyle name="Обычный 9 6 2 4 3 2 3" xfId="55334"/>
    <cellStyle name="Обычный 9 6 2 4 3 2 3 2" xfId="55335"/>
    <cellStyle name="Обычный 9 6 2 4 3 2 3 3" xfId="55336"/>
    <cellStyle name="Обычный 9 6 2 4 3 2 4" xfId="55337"/>
    <cellStyle name="Обычный 9 6 2 4 3 2 4 2" xfId="55338"/>
    <cellStyle name="Обычный 9 6 2 4 3 2 4 3" xfId="55339"/>
    <cellStyle name="Обычный 9 6 2 4 3 2 5" xfId="55340"/>
    <cellStyle name="Обычный 9 6 2 4 3 2 5 2" xfId="55341"/>
    <cellStyle name="Обычный 9 6 2 4 3 2 6" xfId="55342"/>
    <cellStyle name="Обычный 9 6 2 4 3 2 7" xfId="55343"/>
    <cellStyle name="Обычный 9 6 2 4 3 3" xfId="55344"/>
    <cellStyle name="Обычный 9 6 2 4 3 3 2" xfId="55345"/>
    <cellStyle name="Обычный 9 6 2 4 3 3 2 2" xfId="55346"/>
    <cellStyle name="Обычный 9 6 2 4 3 3 2 3" xfId="55347"/>
    <cellStyle name="Обычный 9 6 2 4 3 3 3" xfId="55348"/>
    <cellStyle name="Обычный 9 6 2 4 3 3 3 2" xfId="55349"/>
    <cellStyle name="Обычный 9 6 2 4 3 3 3 3" xfId="55350"/>
    <cellStyle name="Обычный 9 6 2 4 3 3 4" xfId="55351"/>
    <cellStyle name="Обычный 9 6 2 4 3 3 4 2" xfId="55352"/>
    <cellStyle name="Обычный 9 6 2 4 3 3 5" xfId="55353"/>
    <cellStyle name="Обычный 9 6 2 4 3 3 6" xfId="55354"/>
    <cellStyle name="Обычный 9 6 2 4 3 4" xfId="55355"/>
    <cellStyle name="Обычный 9 6 2 4 3 4 2" xfId="55356"/>
    <cellStyle name="Обычный 9 6 2 4 3 4 3" xfId="55357"/>
    <cellStyle name="Обычный 9 6 2 4 3 5" xfId="55358"/>
    <cellStyle name="Обычный 9 6 2 4 3 5 2" xfId="55359"/>
    <cellStyle name="Обычный 9 6 2 4 3 5 3" xfId="55360"/>
    <cellStyle name="Обычный 9 6 2 4 3 6" xfId="55361"/>
    <cellStyle name="Обычный 9 6 2 4 3 6 2" xfId="55362"/>
    <cellStyle name="Обычный 9 6 2 4 3 7" xfId="55363"/>
    <cellStyle name="Обычный 9 6 2 4 3 8" xfId="55364"/>
    <cellStyle name="Обычный 9 6 2 4 4" xfId="55365"/>
    <cellStyle name="Обычный 9 6 2 4 4 2" xfId="55366"/>
    <cellStyle name="Обычный 9 6 2 4 4 2 2" xfId="55367"/>
    <cellStyle name="Обычный 9 6 2 4 4 2 2 2" xfId="55368"/>
    <cellStyle name="Обычный 9 6 2 4 4 2 2 3" xfId="55369"/>
    <cellStyle name="Обычный 9 6 2 4 4 2 3" xfId="55370"/>
    <cellStyle name="Обычный 9 6 2 4 4 2 3 2" xfId="55371"/>
    <cellStyle name="Обычный 9 6 2 4 4 2 3 3" xfId="55372"/>
    <cellStyle name="Обычный 9 6 2 4 4 2 4" xfId="55373"/>
    <cellStyle name="Обычный 9 6 2 4 4 2 4 2" xfId="55374"/>
    <cellStyle name="Обычный 9 6 2 4 4 2 5" xfId="55375"/>
    <cellStyle name="Обычный 9 6 2 4 4 2 6" xfId="55376"/>
    <cellStyle name="Обычный 9 6 2 4 4 3" xfId="55377"/>
    <cellStyle name="Обычный 9 6 2 4 4 3 2" xfId="55378"/>
    <cellStyle name="Обычный 9 6 2 4 4 3 3" xfId="55379"/>
    <cellStyle name="Обычный 9 6 2 4 4 4" xfId="55380"/>
    <cellStyle name="Обычный 9 6 2 4 4 4 2" xfId="55381"/>
    <cellStyle name="Обычный 9 6 2 4 4 4 3" xfId="55382"/>
    <cellStyle name="Обычный 9 6 2 4 4 5" xfId="55383"/>
    <cellStyle name="Обычный 9 6 2 4 4 5 2" xfId="55384"/>
    <cellStyle name="Обычный 9 6 2 4 4 6" xfId="55385"/>
    <cellStyle name="Обычный 9 6 2 4 4 7" xfId="55386"/>
    <cellStyle name="Обычный 9 6 2 4 5" xfId="55387"/>
    <cellStyle name="Обычный 9 6 2 4 5 2" xfId="55388"/>
    <cellStyle name="Обычный 9 6 2 4 5 2 2" xfId="55389"/>
    <cellStyle name="Обычный 9 6 2 4 5 2 3" xfId="55390"/>
    <cellStyle name="Обычный 9 6 2 4 5 3" xfId="55391"/>
    <cellStyle name="Обычный 9 6 2 4 5 3 2" xfId="55392"/>
    <cellStyle name="Обычный 9 6 2 4 5 3 3" xfId="55393"/>
    <cellStyle name="Обычный 9 6 2 4 5 4" xfId="55394"/>
    <cellStyle name="Обычный 9 6 2 4 5 4 2" xfId="55395"/>
    <cellStyle name="Обычный 9 6 2 4 5 5" xfId="55396"/>
    <cellStyle name="Обычный 9 6 2 4 5 6" xfId="55397"/>
    <cellStyle name="Обычный 9 6 2 4 6" xfId="55398"/>
    <cellStyle name="Обычный 9 6 2 4 6 2" xfId="55399"/>
    <cellStyle name="Обычный 9 6 2 4 6 3" xfId="55400"/>
    <cellStyle name="Обычный 9 6 2 4 7" xfId="55401"/>
    <cellStyle name="Обычный 9 6 2 4 7 2" xfId="55402"/>
    <cellStyle name="Обычный 9 6 2 4 7 3" xfId="55403"/>
    <cellStyle name="Обычный 9 6 2 4 8" xfId="55404"/>
    <cellStyle name="Обычный 9 6 2 4 8 2" xfId="55405"/>
    <cellStyle name="Обычный 9 6 2 4 9" xfId="55406"/>
    <cellStyle name="Обычный 9 6 2 5" xfId="55407"/>
    <cellStyle name="Обычный 9 6 2 5 2" xfId="55408"/>
    <cellStyle name="Обычный 9 6 2 5 2 2" xfId="55409"/>
    <cellStyle name="Обычный 9 6 2 5 2 2 2" xfId="55410"/>
    <cellStyle name="Обычный 9 6 2 5 2 2 2 2" xfId="55411"/>
    <cellStyle name="Обычный 9 6 2 5 2 2 2 2 2" xfId="55412"/>
    <cellStyle name="Обычный 9 6 2 5 2 2 2 2 3" xfId="55413"/>
    <cellStyle name="Обычный 9 6 2 5 2 2 2 3" xfId="55414"/>
    <cellStyle name="Обычный 9 6 2 5 2 2 2 3 2" xfId="55415"/>
    <cellStyle name="Обычный 9 6 2 5 2 2 2 3 3" xfId="55416"/>
    <cellStyle name="Обычный 9 6 2 5 2 2 2 4" xfId="55417"/>
    <cellStyle name="Обычный 9 6 2 5 2 2 2 4 2" xfId="55418"/>
    <cellStyle name="Обычный 9 6 2 5 2 2 2 5" xfId="55419"/>
    <cellStyle name="Обычный 9 6 2 5 2 2 2 6" xfId="55420"/>
    <cellStyle name="Обычный 9 6 2 5 2 2 3" xfId="55421"/>
    <cellStyle name="Обычный 9 6 2 5 2 2 3 2" xfId="55422"/>
    <cellStyle name="Обычный 9 6 2 5 2 2 3 3" xfId="55423"/>
    <cellStyle name="Обычный 9 6 2 5 2 2 4" xfId="55424"/>
    <cellStyle name="Обычный 9 6 2 5 2 2 4 2" xfId="55425"/>
    <cellStyle name="Обычный 9 6 2 5 2 2 4 3" xfId="55426"/>
    <cellStyle name="Обычный 9 6 2 5 2 2 5" xfId="55427"/>
    <cellStyle name="Обычный 9 6 2 5 2 2 5 2" xfId="55428"/>
    <cellStyle name="Обычный 9 6 2 5 2 2 6" xfId="55429"/>
    <cellStyle name="Обычный 9 6 2 5 2 2 7" xfId="55430"/>
    <cellStyle name="Обычный 9 6 2 5 2 3" xfId="55431"/>
    <cellStyle name="Обычный 9 6 2 5 2 3 2" xfId="55432"/>
    <cellStyle name="Обычный 9 6 2 5 2 3 2 2" xfId="55433"/>
    <cellStyle name="Обычный 9 6 2 5 2 3 2 3" xfId="55434"/>
    <cellStyle name="Обычный 9 6 2 5 2 3 3" xfId="55435"/>
    <cellStyle name="Обычный 9 6 2 5 2 3 3 2" xfId="55436"/>
    <cellStyle name="Обычный 9 6 2 5 2 3 3 3" xfId="55437"/>
    <cellStyle name="Обычный 9 6 2 5 2 3 4" xfId="55438"/>
    <cellStyle name="Обычный 9 6 2 5 2 3 4 2" xfId="55439"/>
    <cellStyle name="Обычный 9 6 2 5 2 3 5" xfId="55440"/>
    <cellStyle name="Обычный 9 6 2 5 2 3 6" xfId="55441"/>
    <cellStyle name="Обычный 9 6 2 5 2 4" xfId="55442"/>
    <cellStyle name="Обычный 9 6 2 5 2 4 2" xfId="55443"/>
    <cellStyle name="Обычный 9 6 2 5 2 4 3" xfId="55444"/>
    <cellStyle name="Обычный 9 6 2 5 2 5" xfId="55445"/>
    <cellStyle name="Обычный 9 6 2 5 2 5 2" xfId="55446"/>
    <cellStyle name="Обычный 9 6 2 5 2 5 3" xfId="55447"/>
    <cellStyle name="Обычный 9 6 2 5 2 6" xfId="55448"/>
    <cellStyle name="Обычный 9 6 2 5 2 6 2" xfId="55449"/>
    <cellStyle name="Обычный 9 6 2 5 2 7" xfId="55450"/>
    <cellStyle name="Обычный 9 6 2 5 2 8" xfId="55451"/>
    <cellStyle name="Обычный 9 6 2 5 3" xfId="55452"/>
    <cellStyle name="Обычный 9 6 2 5 3 2" xfId="55453"/>
    <cellStyle name="Обычный 9 6 2 5 3 2 2" xfId="55454"/>
    <cellStyle name="Обычный 9 6 2 5 3 2 2 2" xfId="55455"/>
    <cellStyle name="Обычный 9 6 2 5 3 2 2 3" xfId="55456"/>
    <cellStyle name="Обычный 9 6 2 5 3 2 3" xfId="55457"/>
    <cellStyle name="Обычный 9 6 2 5 3 2 3 2" xfId="55458"/>
    <cellStyle name="Обычный 9 6 2 5 3 2 3 3" xfId="55459"/>
    <cellStyle name="Обычный 9 6 2 5 3 2 4" xfId="55460"/>
    <cellStyle name="Обычный 9 6 2 5 3 2 4 2" xfId="55461"/>
    <cellStyle name="Обычный 9 6 2 5 3 2 5" xfId="55462"/>
    <cellStyle name="Обычный 9 6 2 5 3 2 6" xfId="55463"/>
    <cellStyle name="Обычный 9 6 2 5 3 3" xfId="55464"/>
    <cellStyle name="Обычный 9 6 2 5 3 3 2" xfId="55465"/>
    <cellStyle name="Обычный 9 6 2 5 3 3 3" xfId="55466"/>
    <cellStyle name="Обычный 9 6 2 5 3 4" xfId="55467"/>
    <cellStyle name="Обычный 9 6 2 5 3 4 2" xfId="55468"/>
    <cellStyle name="Обычный 9 6 2 5 3 4 3" xfId="55469"/>
    <cellStyle name="Обычный 9 6 2 5 3 5" xfId="55470"/>
    <cellStyle name="Обычный 9 6 2 5 3 5 2" xfId="55471"/>
    <cellStyle name="Обычный 9 6 2 5 3 6" xfId="55472"/>
    <cellStyle name="Обычный 9 6 2 5 3 7" xfId="55473"/>
    <cellStyle name="Обычный 9 6 2 5 4" xfId="55474"/>
    <cellStyle name="Обычный 9 6 2 5 4 2" xfId="55475"/>
    <cellStyle name="Обычный 9 6 2 5 4 2 2" xfId="55476"/>
    <cellStyle name="Обычный 9 6 2 5 4 2 3" xfId="55477"/>
    <cellStyle name="Обычный 9 6 2 5 4 3" xfId="55478"/>
    <cellStyle name="Обычный 9 6 2 5 4 3 2" xfId="55479"/>
    <cellStyle name="Обычный 9 6 2 5 4 3 3" xfId="55480"/>
    <cellStyle name="Обычный 9 6 2 5 4 4" xfId="55481"/>
    <cellStyle name="Обычный 9 6 2 5 4 4 2" xfId="55482"/>
    <cellStyle name="Обычный 9 6 2 5 4 5" xfId="55483"/>
    <cellStyle name="Обычный 9 6 2 5 4 6" xfId="55484"/>
    <cellStyle name="Обычный 9 6 2 5 5" xfId="55485"/>
    <cellStyle name="Обычный 9 6 2 5 5 2" xfId="55486"/>
    <cellStyle name="Обычный 9 6 2 5 5 3" xfId="55487"/>
    <cellStyle name="Обычный 9 6 2 5 6" xfId="55488"/>
    <cellStyle name="Обычный 9 6 2 5 6 2" xfId="55489"/>
    <cellStyle name="Обычный 9 6 2 5 6 3" xfId="55490"/>
    <cellStyle name="Обычный 9 6 2 5 7" xfId="55491"/>
    <cellStyle name="Обычный 9 6 2 5 7 2" xfId="55492"/>
    <cellStyle name="Обычный 9 6 2 5 8" xfId="55493"/>
    <cellStyle name="Обычный 9 6 2 5 9" xfId="55494"/>
    <cellStyle name="Обычный 9 6 2 6" xfId="55495"/>
    <cellStyle name="Обычный 9 6 2 6 2" xfId="55496"/>
    <cellStyle name="Обычный 9 6 2 6 2 2" xfId="55497"/>
    <cellStyle name="Обычный 9 6 2 6 2 2 2" xfId="55498"/>
    <cellStyle name="Обычный 9 6 2 6 2 2 2 2" xfId="55499"/>
    <cellStyle name="Обычный 9 6 2 6 2 2 2 3" xfId="55500"/>
    <cellStyle name="Обычный 9 6 2 6 2 2 3" xfId="55501"/>
    <cellStyle name="Обычный 9 6 2 6 2 2 3 2" xfId="55502"/>
    <cellStyle name="Обычный 9 6 2 6 2 2 3 3" xfId="55503"/>
    <cellStyle name="Обычный 9 6 2 6 2 2 4" xfId="55504"/>
    <cellStyle name="Обычный 9 6 2 6 2 2 4 2" xfId="55505"/>
    <cellStyle name="Обычный 9 6 2 6 2 2 5" xfId="55506"/>
    <cellStyle name="Обычный 9 6 2 6 2 2 6" xfId="55507"/>
    <cellStyle name="Обычный 9 6 2 6 2 3" xfId="55508"/>
    <cellStyle name="Обычный 9 6 2 6 2 3 2" xfId="55509"/>
    <cellStyle name="Обычный 9 6 2 6 2 3 3" xfId="55510"/>
    <cellStyle name="Обычный 9 6 2 6 2 4" xfId="55511"/>
    <cellStyle name="Обычный 9 6 2 6 2 4 2" xfId="55512"/>
    <cellStyle name="Обычный 9 6 2 6 2 4 3" xfId="55513"/>
    <cellStyle name="Обычный 9 6 2 6 2 5" xfId="55514"/>
    <cellStyle name="Обычный 9 6 2 6 2 5 2" xfId="55515"/>
    <cellStyle name="Обычный 9 6 2 6 2 6" xfId="55516"/>
    <cellStyle name="Обычный 9 6 2 6 2 7" xfId="55517"/>
    <cellStyle name="Обычный 9 6 2 6 3" xfId="55518"/>
    <cellStyle name="Обычный 9 6 2 6 3 2" xfId="55519"/>
    <cellStyle name="Обычный 9 6 2 6 3 2 2" xfId="55520"/>
    <cellStyle name="Обычный 9 6 2 6 3 2 3" xfId="55521"/>
    <cellStyle name="Обычный 9 6 2 6 3 3" xfId="55522"/>
    <cellStyle name="Обычный 9 6 2 6 3 3 2" xfId="55523"/>
    <cellStyle name="Обычный 9 6 2 6 3 3 3" xfId="55524"/>
    <cellStyle name="Обычный 9 6 2 6 3 4" xfId="55525"/>
    <cellStyle name="Обычный 9 6 2 6 3 4 2" xfId="55526"/>
    <cellStyle name="Обычный 9 6 2 6 3 5" xfId="55527"/>
    <cellStyle name="Обычный 9 6 2 6 3 6" xfId="55528"/>
    <cellStyle name="Обычный 9 6 2 6 4" xfId="55529"/>
    <cellStyle name="Обычный 9 6 2 6 4 2" xfId="55530"/>
    <cellStyle name="Обычный 9 6 2 6 4 3" xfId="55531"/>
    <cellStyle name="Обычный 9 6 2 6 5" xfId="55532"/>
    <cellStyle name="Обычный 9 6 2 6 5 2" xfId="55533"/>
    <cellStyle name="Обычный 9 6 2 6 5 3" xfId="55534"/>
    <cellStyle name="Обычный 9 6 2 6 6" xfId="55535"/>
    <cellStyle name="Обычный 9 6 2 6 6 2" xfId="55536"/>
    <cellStyle name="Обычный 9 6 2 6 7" xfId="55537"/>
    <cellStyle name="Обычный 9 6 2 6 8" xfId="55538"/>
    <cellStyle name="Обычный 9 6 2 7" xfId="55539"/>
    <cellStyle name="Обычный 9 6 2 7 2" xfId="55540"/>
    <cellStyle name="Обычный 9 6 2 7 2 2" xfId="55541"/>
    <cellStyle name="Обычный 9 6 2 7 2 2 2" xfId="55542"/>
    <cellStyle name="Обычный 9 6 2 7 2 2 3" xfId="55543"/>
    <cellStyle name="Обычный 9 6 2 7 2 3" xfId="55544"/>
    <cellStyle name="Обычный 9 6 2 7 2 3 2" xfId="55545"/>
    <cellStyle name="Обычный 9 6 2 7 2 3 3" xfId="55546"/>
    <cellStyle name="Обычный 9 6 2 7 2 4" xfId="55547"/>
    <cellStyle name="Обычный 9 6 2 7 2 4 2" xfId="55548"/>
    <cellStyle name="Обычный 9 6 2 7 2 5" xfId="55549"/>
    <cellStyle name="Обычный 9 6 2 7 2 6" xfId="55550"/>
    <cellStyle name="Обычный 9 6 2 7 3" xfId="55551"/>
    <cellStyle name="Обычный 9 6 2 7 3 2" xfId="55552"/>
    <cellStyle name="Обычный 9 6 2 7 3 3" xfId="55553"/>
    <cellStyle name="Обычный 9 6 2 7 4" xfId="55554"/>
    <cellStyle name="Обычный 9 6 2 7 4 2" xfId="55555"/>
    <cellStyle name="Обычный 9 6 2 7 4 3" xfId="55556"/>
    <cellStyle name="Обычный 9 6 2 7 5" xfId="55557"/>
    <cellStyle name="Обычный 9 6 2 7 5 2" xfId="55558"/>
    <cellStyle name="Обычный 9 6 2 7 6" xfId="55559"/>
    <cellStyle name="Обычный 9 6 2 7 7" xfId="55560"/>
    <cellStyle name="Обычный 9 6 2 8" xfId="55561"/>
    <cellStyle name="Обычный 9 6 2 8 2" xfId="55562"/>
    <cellStyle name="Обычный 9 6 2 8 2 2" xfId="55563"/>
    <cellStyle name="Обычный 9 6 2 8 2 3" xfId="55564"/>
    <cellStyle name="Обычный 9 6 2 8 3" xfId="55565"/>
    <cellStyle name="Обычный 9 6 2 8 3 2" xfId="55566"/>
    <cellStyle name="Обычный 9 6 2 8 3 3" xfId="55567"/>
    <cellStyle name="Обычный 9 6 2 8 4" xfId="55568"/>
    <cellStyle name="Обычный 9 6 2 8 4 2" xfId="55569"/>
    <cellStyle name="Обычный 9 6 2 8 5" xfId="55570"/>
    <cellStyle name="Обычный 9 6 2 8 6" xfId="55571"/>
    <cellStyle name="Обычный 9 6 2 9" xfId="55572"/>
    <cellStyle name="Обычный 9 6 2 9 2" xfId="55573"/>
    <cellStyle name="Обычный 9 6 2 9 3" xfId="55574"/>
    <cellStyle name="Обычный 9 6 3" xfId="55575"/>
    <cellStyle name="Обычный 9 6 3 10" xfId="55576"/>
    <cellStyle name="Обычный 9 6 3 2" xfId="55577"/>
    <cellStyle name="Обычный 9 6 3 2 2" xfId="55578"/>
    <cellStyle name="Обычный 9 6 3 2 2 2" xfId="55579"/>
    <cellStyle name="Обычный 9 6 3 2 2 2 2" xfId="55580"/>
    <cellStyle name="Обычный 9 6 3 2 2 2 2 2" xfId="55581"/>
    <cellStyle name="Обычный 9 6 3 2 2 2 2 2 2" xfId="55582"/>
    <cellStyle name="Обычный 9 6 3 2 2 2 2 2 3" xfId="55583"/>
    <cellStyle name="Обычный 9 6 3 2 2 2 2 3" xfId="55584"/>
    <cellStyle name="Обычный 9 6 3 2 2 2 2 3 2" xfId="55585"/>
    <cellStyle name="Обычный 9 6 3 2 2 2 2 3 3" xfId="55586"/>
    <cellStyle name="Обычный 9 6 3 2 2 2 2 4" xfId="55587"/>
    <cellStyle name="Обычный 9 6 3 2 2 2 2 4 2" xfId="55588"/>
    <cellStyle name="Обычный 9 6 3 2 2 2 2 5" xfId="55589"/>
    <cellStyle name="Обычный 9 6 3 2 2 2 2 6" xfId="55590"/>
    <cellStyle name="Обычный 9 6 3 2 2 2 3" xfId="55591"/>
    <cellStyle name="Обычный 9 6 3 2 2 2 3 2" xfId="55592"/>
    <cellStyle name="Обычный 9 6 3 2 2 2 3 3" xfId="55593"/>
    <cellStyle name="Обычный 9 6 3 2 2 2 4" xfId="55594"/>
    <cellStyle name="Обычный 9 6 3 2 2 2 4 2" xfId="55595"/>
    <cellStyle name="Обычный 9 6 3 2 2 2 4 3" xfId="55596"/>
    <cellStyle name="Обычный 9 6 3 2 2 2 5" xfId="55597"/>
    <cellStyle name="Обычный 9 6 3 2 2 2 5 2" xfId="55598"/>
    <cellStyle name="Обычный 9 6 3 2 2 2 6" xfId="55599"/>
    <cellStyle name="Обычный 9 6 3 2 2 2 7" xfId="55600"/>
    <cellStyle name="Обычный 9 6 3 2 2 3" xfId="55601"/>
    <cellStyle name="Обычный 9 6 3 2 2 3 2" xfId="55602"/>
    <cellStyle name="Обычный 9 6 3 2 2 3 2 2" xfId="55603"/>
    <cellStyle name="Обычный 9 6 3 2 2 3 2 3" xfId="55604"/>
    <cellStyle name="Обычный 9 6 3 2 2 3 3" xfId="55605"/>
    <cellStyle name="Обычный 9 6 3 2 2 3 3 2" xfId="55606"/>
    <cellStyle name="Обычный 9 6 3 2 2 3 3 3" xfId="55607"/>
    <cellStyle name="Обычный 9 6 3 2 2 3 4" xfId="55608"/>
    <cellStyle name="Обычный 9 6 3 2 2 3 4 2" xfId="55609"/>
    <cellStyle name="Обычный 9 6 3 2 2 3 5" xfId="55610"/>
    <cellStyle name="Обычный 9 6 3 2 2 3 6" xfId="55611"/>
    <cellStyle name="Обычный 9 6 3 2 2 4" xfId="55612"/>
    <cellStyle name="Обычный 9 6 3 2 2 4 2" xfId="55613"/>
    <cellStyle name="Обычный 9 6 3 2 2 4 3" xfId="55614"/>
    <cellStyle name="Обычный 9 6 3 2 2 5" xfId="55615"/>
    <cellStyle name="Обычный 9 6 3 2 2 5 2" xfId="55616"/>
    <cellStyle name="Обычный 9 6 3 2 2 5 3" xfId="55617"/>
    <cellStyle name="Обычный 9 6 3 2 2 6" xfId="55618"/>
    <cellStyle name="Обычный 9 6 3 2 2 6 2" xfId="55619"/>
    <cellStyle name="Обычный 9 6 3 2 2 7" xfId="55620"/>
    <cellStyle name="Обычный 9 6 3 2 2 8" xfId="55621"/>
    <cellStyle name="Обычный 9 6 3 2 3" xfId="55622"/>
    <cellStyle name="Обычный 9 6 3 2 3 2" xfId="55623"/>
    <cellStyle name="Обычный 9 6 3 2 3 2 2" xfId="55624"/>
    <cellStyle name="Обычный 9 6 3 2 3 2 2 2" xfId="55625"/>
    <cellStyle name="Обычный 9 6 3 2 3 2 2 3" xfId="55626"/>
    <cellStyle name="Обычный 9 6 3 2 3 2 3" xfId="55627"/>
    <cellStyle name="Обычный 9 6 3 2 3 2 3 2" xfId="55628"/>
    <cellStyle name="Обычный 9 6 3 2 3 2 3 3" xfId="55629"/>
    <cellStyle name="Обычный 9 6 3 2 3 2 4" xfId="55630"/>
    <cellStyle name="Обычный 9 6 3 2 3 2 4 2" xfId="55631"/>
    <cellStyle name="Обычный 9 6 3 2 3 2 5" xfId="55632"/>
    <cellStyle name="Обычный 9 6 3 2 3 2 6" xfId="55633"/>
    <cellStyle name="Обычный 9 6 3 2 3 3" xfId="55634"/>
    <cellStyle name="Обычный 9 6 3 2 3 3 2" xfId="55635"/>
    <cellStyle name="Обычный 9 6 3 2 3 3 3" xfId="55636"/>
    <cellStyle name="Обычный 9 6 3 2 3 4" xfId="55637"/>
    <cellStyle name="Обычный 9 6 3 2 3 4 2" xfId="55638"/>
    <cellStyle name="Обычный 9 6 3 2 3 4 3" xfId="55639"/>
    <cellStyle name="Обычный 9 6 3 2 3 5" xfId="55640"/>
    <cellStyle name="Обычный 9 6 3 2 3 5 2" xfId="55641"/>
    <cellStyle name="Обычный 9 6 3 2 3 6" xfId="55642"/>
    <cellStyle name="Обычный 9 6 3 2 3 7" xfId="55643"/>
    <cellStyle name="Обычный 9 6 3 2 4" xfId="55644"/>
    <cellStyle name="Обычный 9 6 3 2 4 2" xfId="55645"/>
    <cellStyle name="Обычный 9 6 3 2 4 2 2" xfId="55646"/>
    <cellStyle name="Обычный 9 6 3 2 4 2 3" xfId="55647"/>
    <cellStyle name="Обычный 9 6 3 2 4 3" xfId="55648"/>
    <cellStyle name="Обычный 9 6 3 2 4 3 2" xfId="55649"/>
    <cellStyle name="Обычный 9 6 3 2 4 3 3" xfId="55650"/>
    <cellStyle name="Обычный 9 6 3 2 4 4" xfId="55651"/>
    <cellStyle name="Обычный 9 6 3 2 4 4 2" xfId="55652"/>
    <cellStyle name="Обычный 9 6 3 2 4 5" xfId="55653"/>
    <cellStyle name="Обычный 9 6 3 2 4 6" xfId="55654"/>
    <cellStyle name="Обычный 9 6 3 2 5" xfId="55655"/>
    <cellStyle name="Обычный 9 6 3 2 5 2" xfId="55656"/>
    <cellStyle name="Обычный 9 6 3 2 5 3" xfId="55657"/>
    <cellStyle name="Обычный 9 6 3 2 6" xfId="55658"/>
    <cellStyle name="Обычный 9 6 3 2 6 2" xfId="55659"/>
    <cellStyle name="Обычный 9 6 3 2 6 3" xfId="55660"/>
    <cellStyle name="Обычный 9 6 3 2 7" xfId="55661"/>
    <cellStyle name="Обычный 9 6 3 2 7 2" xfId="55662"/>
    <cellStyle name="Обычный 9 6 3 2 8" xfId="55663"/>
    <cellStyle name="Обычный 9 6 3 2 9" xfId="55664"/>
    <cellStyle name="Обычный 9 6 3 3" xfId="55665"/>
    <cellStyle name="Обычный 9 6 3 3 2" xfId="55666"/>
    <cellStyle name="Обычный 9 6 3 3 2 2" xfId="55667"/>
    <cellStyle name="Обычный 9 6 3 3 2 2 2" xfId="55668"/>
    <cellStyle name="Обычный 9 6 3 3 2 2 2 2" xfId="55669"/>
    <cellStyle name="Обычный 9 6 3 3 2 2 2 3" xfId="55670"/>
    <cellStyle name="Обычный 9 6 3 3 2 2 3" xfId="55671"/>
    <cellStyle name="Обычный 9 6 3 3 2 2 3 2" xfId="55672"/>
    <cellStyle name="Обычный 9 6 3 3 2 2 3 3" xfId="55673"/>
    <cellStyle name="Обычный 9 6 3 3 2 2 4" xfId="55674"/>
    <cellStyle name="Обычный 9 6 3 3 2 2 4 2" xfId="55675"/>
    <cellStyle name="Обычный 9 6 3 3 2 2 5" xfId="55676"/>
    <cellStyle name="Обычный 9 6 3 3 2 2 6" xfId="55677"/>
    <cellStyle name="Обычный 9 6 3 3 2 3" xfId="55678"/>
    <cellStyle name="Обычный 9 6 3 3 2 3 2" xfId="55679"/>
    <cellStyle name="Обычный 9 6 3 3 2 3 3" xfId="55680"/>
    <cellStyle name="Обычный 9 6 3 3 2 4" xfId="55681"/>
    <cellStyle name="Обычный 9 6 3 3 2 4 2" xfId="55682"/>
    <cellStyle name="Обычный 9 6 3 3 2 4 3" xfId="55683"/>
    <cellStyle name="Обычный 9 6 3 3 2 5" xfId="55684"/>
    <cellStyle name="Обычный 9 6 3 3 2 5 2" xfId="55685"/>
    <cellStyle name="Обычный 9 6 3 3 2 6" xfId="55686"/>
    <cellStyle name="Обычный 9 6 3 3 2 7" xfId="55687"/>
    <cellStyle name="Обычный 9 6 3 3 3" xfId="55688"/>
    <cellStyle name="Обычный 9 6 3 3 3 2" xfId="55689"/>
    <cellStyle name="Обычный 9 6 3 3 3 2 2" xfId="55690"/>
    <cellStyle name="Обычный 9 6 3 3 3 2 3" xfId="55691"/>
    <cellStyle name="Обычный 9 6 3 3 3 3" xfId="55692"/>
    <cellStyle name="Обычный 9 6 3 3 3 3 2" xfId="55693"/>
    <cellStyle name="Обычный 9 6 3 3 3 3 3" xfId="55694"/>
    <cellStyle name="Обычный 9 6 3 3 3 4" xfId="55695"/>
    <cellStyle name="Обычный 9 6 3 3 3 4 2" xfId="55696"/>
    <cellStyle name="Обычный 9 6 3 3 3 5" xfId="55697"/>
    <cellStyle name="Обычный 9 6 3 3 3 6" xfId="55698"/>
    <cellStyle name="Обычный 9 6 3 3 4" xfId="55699"/>
    <cellStyle name="Обычный 9 6 3 3 4 2" xfId="55700"/>
    <cellStyle name="Обычный 9 6 3 3 4 3" xfId="55701"/>
    <cellStyle name="Обычный 9 6 3 3 5" xfId="55702"/>
    <cellStyle name="Обычный 9 6 3 3 5 2" xfId="55703"/>
    <cellStyle name="Обычный 9 6 3 3 5 3" xfId="55704"/>
    <cellStyle name="Обычный 9 6 3 3 6" xfId="55705"/>
    <cellStyle name="Обычный 9 6 3 3 6 2" xfId="55706"/>
    <cellStyle name="Обычный 9 6 3 3 7" xfId="55707"/>
    <cellStyle name="Обычный 9 6 3 3 8" xfId="55708"/>
    <cellStyle name="Обычный 9 6 3 4" xfId="55709"/>
    <cellStyle name="Обычный 9 6 3 4 2" xfId="55710"/>
    <cellStyle name="Обычный 9 6 3 4 2 2" xfId="55711"/>
    <cellStyle name="Обычный 9 6 3 4 2 2 2" xfId="55712"/>
    <cellStyle name="Обычный 9 6 3 4 2 2 3" xfId="55713"/>
    <cellStyle name="Обычный 9 6 3 4 2 3" xfId="55714"/>
    <cellStyle name="Обычный 9 6 3 4 2 3 2" xfId="55715"/>
    <cellStyle name="Обычный 9 6 3 4 2 3 3" xfId="55716"/>
    <cellStyle name="Обычный 9 6 3 4 2 4" xfId="55717"/>
    <cellStyle name="Обычный 9 6 3 4 2 4 2" xfId="55718"/>
    <cellStyle name="Обычный 9 6 3 4 2 5" xfId="55719"/>
    <cellStyle name="Обычный 9 6 3 4 2 6" xfId="55720"/>
    <cellStyle name="Обычный 9 6 3 4 3" xfId="55721"/>
    <cellStyle name="Обычный 9 6 3 4 3 2" xfId="55722"/>
    <cellStyle name="Обычный 9 6 3 4 3 3" xfId="55723"/>
    <cellStyle name="Обычный 9 6 3 4 4" xfId="55724"/>
    <cellStyle name="Обычный 9 6 3 4 4 2" xfId="55725"/>
    <cellStyle name="Обычный 9 6 3 4 4 3" xfId="55726"/>
    <cellStyle name="Обычный 9 6 3 4 5" xfId="55727"/>
    <cellStyle name="Обычный 9 6 3 4 5 2" xfId="55728"/>
    <cellStyle name="Обычный 9 6 3 4 6" xfId="55729"/>
    <cellStyle name="Обычный 9 6 3 4 7" xfId="55730"/>
    <cellStyle name="Обычный 9 6 3 5" xfId="55731"/>
    <cellStyle name="Обычный 9 6 3 5 2" xfId="55732"/>
    <cellStyle name="Обычный 9 6 3 5 2 2" xfId="55733"/>
    <cellStyle name="Обычный 9 6 3 5 2 3" xfId="55734"/>
    <cellStyle name="Обычный 9 6 3 5 3" xfId="55735"/>
    <cellStyle name="Обычный 9 6 3 5 3 2" xfId="55736"/>
    <cellStyle name="Обычный 9 6 3 5 3 3" xfId="55737"/>
    <cellStyle name="Обычный 9 6 3 5 4" xfId="55738"/>
    <cellStyle name="Обычный 9 6 3 5 4 2" xfId="55739"/>
    <cellStyle name="Обычный 9 6 3 5 5" xfId="55740"/>
    <cellStyle name="Обычный 9 6 3 5 6" xfId="55741"/>
    <cellStyle name="Обычный 9 6 3 6" xfId="55742"/>
    <cellStyle name="Обычный 9 6 3 6 2" xfId="55743"/>
    <cellStyle name="Обычный 9 6 3 6 3" xfId="55744"/>
    <cellStyle name="Обычный 9 6 3 7" xfId="55745"/>
    <cellStyle name="Обычный 9 6 3 7 2" xfId="55746"/>
    <cellStyle name="Обычный 9 6 3 7 3" xfId="55747"/>
    <cellStyle name="Обычный 9 6 3 8" xfId="55748"/>
    <cellStyle name="Обычный 9 6 3 8 2" xfId="55749"/>
    <cellStyle name="Обычный 9 6 3 9" xfId="55750"/>
    <cellStyle name="Обычный 9 6 4" xfId="55751"/>
    <cellStyle name="Обычный 9 6 4 10" xfId="55752"/>
    <cellStyle name="Обычный 9 6 4 2" xfId="55753"/>
    <cellStyle name="Обычный 9 6 4 2 2" xfId="55754"/>
    <cellStyle name="Обычный 9 6 4 2 2 2" xfId="55755"/>
    <cellStyle name="Обычный 9 6 4 2 2 2 2" xfId="55756"/>
    <cellStyle name="Обычный 9 6 4 2 2 2 2 2" xfId="55757"/>
    <cellStyle name="Обычный 9 6 4 2 2 2 2 2 2" xfId="55758"/>
    <cellStyle name="Обычный 9 6 4 2 2 2 2 2 3" xfId="55759"/>
    <cellStyle name="Обычный 9 6 4 2 2 2 2 3" xfId="55760"/>
    <cellStyle name="Обычный 9 6 4 2 2 2 2 3 2" xfId="55761"/>
    <cellStyle name="Обычный 9 6 4 2 2 2 2 3 3" xfId="55762"/>
    <cellStyle name="Обычный 9 6 4 2 2 2 2 4" xfId="55763"/>
    <cellStyle name="Обычный 9 6 4 2 2 2 2 4 2" xfId="55764"/>
    <cellStyle name="Обычный 9 6 4 2 2 2 2 5" xfId="55765"/>
    <cellStyle name="Обычный 9 6 4 2 2 2 2 6" xfId="55766"/>
    <cellStyle name="Обычный 9 6 4 2 2 2 3" xfId="55767"/>
    <cellStyle name="Обычный 9 6 4 2 2 2 3 2" xfId="55768"/>
    <cellStyle name="Обычный 9 6 4 2 2 2 3 3" xfId="55769"/>
    <cellStyle name="Обычный 9 6 4 2 2 2 4" xfId="55770"/>
    <cellStyle name="Обычный 9 6 4 2 2 2 4 2" xfId="55771"/>
    <cellStyle name="Обычный 9 6 4 2 2 2 4 3" xfId="55772"/>
    <cellStyle name="Обычный 9 6 4 2 2 2 5" xfId="55773"/>
    <cellStyle name="Обычный 9 6 4 2 2 2 5 2" xfId="55774"/>
    <cellStyle name="Обычный 9 6 4 2 2 2 6" xfId="55775"/>
    <cellStyle name="Обычный 9 6 4 2 2 2 7" xfId="55776"/>
    <cellStyle name="Обычный 9 6 4 2 2 3" xfId="55777"/>
    <cellStyle name="Обычный 9 6 4 2 2 3 2" xfId="55778"/>
    <cellStyle name="Обычный 9 6 4 2 2 3 2 2" xfId="55779"/>
    <cellStyle name="Обычный 9 6 4 2 2 3 2 3" xfId="55780"/>
    <cellStyle name="Обычный 9 6 4 2 2 3 3" xfId="55781"/>
    <cellStyle name="Обычный 9 6 4 2 2 3 3 2" xfId="55782"/>
    <cellStyle name="Обычный 9 6 4 2 2 3 3 3" xfId="55783"/>
    <cellStyle name="Обычный 9 6 4 2 2 3 4" xfId="55784"/>
    <cellStyle name="Обычный 9 6 4 2 2 3 4 2" xfId="55785"/>
    <cellStyle name="Обычный 9 6 4 2 2 3 5" xfId="55786"/>
    <cellStyle name="Обычный 9 6 4 2 2 3 6" xfId="55787"/>
    <cellStyle name="Обычный 9 6 4 2 2 4" xfId="55788"/>
    <cellStyle name="Обычный 9 6 4 2 2 4 2" xfId="55789"/>
    <cellStyle name="Обычный 9 6 4 2 2 4 3" xfId="55790"/>
    <cellStyle name="Обычный 9 6 4 2 2 5" xfId="55791"/>
    <cellStyle name="Обычный 9 6 4 2 2 5 2" xfId="55792"/>
    <cellStyle name="Обычный 9 6 4 2 2 5 3" xfId="55793"/>
    <cellStyle name="Обычный 9 6 4 2 2 6" xfId="55794"/>
    <cellStyle name="Обычный 9 6 4 2 2 6 2" xfId="55795"/>
    <cellStyle name="Обычный 9 6 4 2 2 7" xfId="55796"/>
    <cellStyle name="Обычный 9 6 4 2 2 8" xfId="55797"/>
    <cellStyle name="Обычный 9 6 4 2 3" xfId="55798"/>
    <cellStyle name="Обычный 9 6 4 2 3 2" xfId="55799"/>
    <cellStyle name="Обычный 9 6 4 2 3 2 2" xfId="55800"/>
    <cellStyle name="Обычный 9 6 4 2 3 2 2 2" xfId="55801"/>
    <cellStyle name="Обычный 9 6 4 2 3 2 2 3" xfId="55802"/>
    <cellStyle name="Обычный 9 6 4 2 3 2 3" xfId="55803"/>
    <cellStyle name="Обычный 9 6 4 2 3 2 3 2" xfId="55804"/>
    <cellStyle name="Обычный 9 6 4 2 3 2 3 3" xfId="55805"/>
    <cellStyle name="Обычный 9 6 4 2 3 2 4" xfId="55806"/>
    <cellStyle name="Обычный 9 6 4 2 3 2 4 2" xfId="55807"/>
    <cellStyle name="Обычный 9 6 4 2 3 2 5" xfId="55808"/>
    <cellStyle name="Обычный 9 6 4 2 3 2 6" xfId="55809"/>
    <cellStyle name="Обычный 9 6 4 2 3 3" xfId="55810"/>
    <cellStyle name="Обычный 9 6 4 2 3 3 2" xfId="55811"/>
    <cellStyle name="Обычный 9 6 4 2 3 3 3" xfId="55812"/>
    <cellStyle name="Обычный 9 6 4 2 3 4" xfId="55813"/>
    <cellStyle name="Обычный 9 6 4 2 3 4 2" xfId="55814"/>
    <cellStyle name="Обычный 9 6 4 2 3 4 3" xfId="55815"/>
    <cellStyle name="Обычный 9 6 4 2 3 5" xfId="55816"/>
    <cellStyle name="Обычный 9 6 4 2 3 5 2" xfId="55817"/>
    <cellStyle name="Обычный 9 6 4 2 3 6" xfId="55818"/>
    <cellStyle name="Обычный 9 6 4 2 3 7" xfId="55819"/>
    <cellStyle name="Обычный 9 6 4 2 4" xfId="55820"/>
    <cellStyle name="Обычный 9 6 4 2 4 2" xfId="55821"/>
    <cellStyle name="Обычный 9 6 4 2 4 2 2" xfId="55822"/>
    <cellStyle name="Обычный 9 6 4 2 4 2 3" xfId="55823"/>
    <cellStyle name="Обычный 9 6 4 2 4 3" xfId="55824"/>
    <cellStyle name="Обычный 9 6 4 2 4 3 2" xfId="55825"/>
    <cellStyle name="Обычный 9 6 4 2 4 3 3" xfId="55826"/>
    <cellStyle name="Обычный 9 6 4 2 4 4" xfId="55827"/>
    <cellStyle name="Обычный 9 6 4 2 4 4 2" xfId="55828"/>
    <cellStyle name="Обычный 9 6 4 2 4 5" xfId="55829"/>
    <cellStyle name="Обычный 9 6 4 2 4 6" xfId="55830"/>
    <cellStyle name="Обычный 9 6 4 2 5" xfId="55831"/>
    <cellStyle name="Обычный 9 6 4 2 5 2" xfId="55832"/>
    <cellStyle name="Обычный 9 6 4 2 5 3" xfId="55833"/>
    <cellStyle name="Обычный 9 6 4 2 6" xfId="55834"/>
    <cellStyle name="Обычный 9 6 4 2 6 2" xfId="55835"/>
    <cellStyle name="Обычный 9 6 4 2 6 3" xfId="55836"/>
    <cellStyle name="Обычный 9 6 4 2 7" xfId="55837"/>
    <cellStyle name="Обычный 9 6 4 2 7 2" xfId="55838"/>
    <cellStyle name="Обычный 9 6 4 2 8" xfId="55839"/>
    <cellStyle name="Обычный 9 6 4 2 9" xfId="55840"/>
    <cellStyle name="Обычный 9 6 4 3" xfId="55841"/>
    <cellStyle name="Обычный 9 6 4 3 2" xfId="55842"/>
    <cellStyle name="Обычный 9 6 4 3 2 2" xfId="55843"/>
    <cellStyle name="Обычный 9 6 4 3 2 2 2" xfId="55844"/>
    <cellStyle name="Обычный 9 6 4 3 2 2 2 2" xfId="55845"/>
    <cellStyle name="Обычный 9 6 4 3 2 2 2 3" xfId="55846"/>
    <cellStyle name="Обычный 9 6 4 3 2 2 3" xfId="55847"/>
    <cellStyle name="Обычный 9 6 4 3 2 2 3 2" xfId="55848"/>
    <cellStyle name="Обычный 9 6 4 3 2 2 3 3" xfId="55849"/>
    <cellStyle name="Обычный 9 6 4 3 2 2 4" xfId="55850"/>
    <cellStyle name="Обычный 9 6 4 3 2 2 4 2" xfId="55851"/>
    <cellStyle name="Обычный 9 6 4 3 2 2 5" xfId="55852"/>
    <cellStyle name="Обычный 9 6 4 3 2 2 6" xfId="55853"/>
    <cellStyle name="Обычный 9 6 4 3 2 3" xfId="55854"/>
    <cellStyle name="Обычный 9 6 4 3 2 3 2" xfId="55855"/>
    <cellStyle name="Обычный 9 6 4 3 2 3 3" xfId="55856"/>
    <cellStyle name="Обычный 9 6 4 3 2 4" xfId="55857"/>
    <cellStyle name="Обычный 9 6 4 3 2 4 2" xfId="55858"/>
    <cellStyle name="Обычный 9 6 4 3 2 4 3" xfId="55859"/>
    <cellStyle name="Обычный 9 6 4 3 2 5" xfId="55860"/>
    <cellStyle name="Обычный 9 6 4 3 2 5 2" xfId="55861"/>
    <cellStyle name="Обычный 9 6 4 3 2 6" xfId="55862"/>
    <cellStyle name="Обычный 9 6 4 3 2 7" xfId="55863"/>
    <cellStyle name="Обычный 9 6 4 3 3" xfId="55864"/>
    <cellStyle name="Обычный 9 6 4 3 3 2" xfId="55865"/>
    <cellStyle name="Обычный 9 6 4 3 3 2 2" xfId="55866"/>
    <cellStyle name="Обычный 9 6 4 3 3 2 3" xfId="55867"/>
    <cellStyle name="Обычный 9 6 4 3 3 3" xfId="55868"/>
    <cellStyle name="Обычный 9 6 4 3 3 3 2" xfId="55869"/>
    <cellStyle name="Обычный 9 6 4 3 3 3 3" xfId="55870"/>
    <cellStyle name="Обычный 9 6 4 3 3 4" xfId="55871"/>
    <cellStyle name="Обычный 9 6 4 3 3 4 2" xfId="55872"/>
    <cellStyle name="Обычный 9 6 4 3 3 5" xfId="55873"/>
    <cellStyle name="Обычный 9 6 4 3 3 6" xfId="55874"/>
    <cellStyle name="Обычный 9 6 4 3 4" xfId="55875"/>
    <cellStyle name="Обычный 9 6 4 3 4 2" xfId="55876"/>
    <cellStyle name="Обычный 9 6 4 3 4 3" xfId="55877"/>
    <cellStyle name="Обычный 9 6 4 3 5" xfId="55878"/>
    <cellStyle name="Обычный 9 6 4 3 5 2" xfId="55879"/>
    <cellStyle name="Обычный 9 6 4 3 5 3" xfId="55880"/>
    <cellStyle name="Обычный 9 6 4 3 6" xfId="55881"/>
    <cellStyle name="Обычный 9 6 4 3 6 2" xfId="55882"/>
    <cellStyle name="Обычный 9 6 4 3 7" xfId="55883"/>
    <cellStyle name="Обычный 9 6 4 3 8" xfId="55884"/>
    <cellStyle name="Обычный 9 6 4 4" xfId="55885"/>
    <cellStyle name="Обычный 9 6 4 4 2" xfId="55886"/>
    <cellStyle name="Обычный 9 6 4 4 2 2" xfId="55887"/>
    <cellStyle name="Обычный 9 6 4 4 2 2 2" xfId="55888"/>
    <cellStyle name="Обычный 9 6 4 4 2 2 3" xfId="55889"/>
    <cellStyle name="Обычный 9 6 4 4 2 3" xfId="55890"/>
    <cellStyle name="Обычный 9 6 4 4 2 3 2" xfId="55891"/>
    <cellStyle name="Обычный 9 6 4 4 2 3 3" xfId="55892"/>
    <cellStyle name="Обычный 9 6 4 4 2 4" xfId="55893"/>
    <cellStyle name="Обычный 9 6 4 4 2 4 2" xfId="55894"/>
    <cellStyle name="Обычный 9 6 4 4 2 5" xfId="55895"/>
    <cellStyle name="Обычный 9 6 4 4 2 6" xfId="55896"/>
    <cellStyle name="Обычный 9 6 4 4 3" xfId="55897"/>
    <cellStyle name="Обычный 9 6 4 4 3 2" xfId="55898"/>
    <cellStyle name="Обычный 9 6 4 4 3 3" xfId="55899"/>
    <cellStyle name="Обычный 9 6 4 4 4" xfId="55900"/>
    <cellStyle name="Обычный 9 6 4 4 4 2" xfId="55901"/>
    <cellStyle name="Обычный 9 6 4 4 4 3" xfId="55902"/>
    <cellStyle name="Обычный 9 6 4 4 5" xfId="55903"/>
    <cellStyle name="Обычный 9 6 4 4 5 2" xfId="55904"/>
    <cellStyle name="Обычный 9 6 4 4 6" xfId="55905"/>
    <cellStyle name="Обычный 9 6 4 4 7" xfId="55906"/>
    <cellStyle name="Обычный 9 6 4 5" xfId="55907"/>
    <cellStyle name="Обычный 9 6 4 5 2" xfId="55908"/>
    <cellStyle name="Обычный 9 6 4 5 2 2" xfId="55909"/>
    <cellStyle name="Обычный 9 6 4 5 2 3" xfId="55910"/>
    <cellStyle name="Обычный 9 6 4 5 3" xfId="55911"/>
    <cellStyle name="Обычный 9 6 4 5 3 2" xfId="55912"/>
    <cellStyle name="Обычный 9 6 4 5 3 3" xfId="55913"/>
    <cellStyle name="Обычный 9 6 4 5 4" xfId="55914"/>
    <cellStyle name="Обычный 9 6 4 5 4 2" xfId="55915"/>
    <cellStyle name="Обычный 9 6 4 5 5" xfId="55916"/>
    <cellStyle name="Обычный 9 6 4 5 6" xfId="55917"/>
    <cellStyle name="Обычный 9 6 4 6" xfId="55918"/>
    <cellStyle name="Обычный 9 6 4 6 2" xfId="55919"/>
    <cellStyle name="Обычный 9 6 4 6 3" xfId="55920"/>
    <cellStyle name="Обычный 9 6 4 7" xfId="55921"/>
    <cellStyle name="Обычный 9 6 4 7 2" xfId="55922"/>
    <cellStyle name="Обычный 9 6 4 7 3" xfId="55923"/>
    <cellStyle name="Обычный 9 6 4 8" xfId="55924"/>
    <cellStyle name="Обычный 9 6 4 8 2" xfId="55925"/>
    <cellStyle name="Обычный 9 6 4 9" xfId="55926"/>
    <cellStyle name="Обычный 9 6 5" xfId="55927"/>
    <cellStyle name="Обычный 9 6 5 10" xfId="55928"/>
    <cellStyle name="Обычный 9 6 5 2" xfId="55929"/>
    <cellStyle name="Обычный 9 6 5 2 2" xfId="55930"/>
    <cellStyle name="Обычный 9 6 5 2 2 2" xfId="55931"/>
    <cellStyle name="Обычный 9 6 5 2 2 2 2" xfId="55932"/>
    <cellStyle name="Обычный 9 6 5 2 2 2 2 2" xfId="55933"/>
    <cellStyle name="Обычный 9 6 5 2 2 2 2 2 2" xfId="55934"/>
    <cellStyle name="Обычный 9 6 5 2 2 2 2 2 3" xfId="55935"/>
    <cellStyle name="Обычный 9 6 5 2 2 2 2 3" xfId="55936"/>
    <cellStyle name="Обычный 9 6 5 2 2 2 2 3 2" xfId="55937"/>
    <cellStyle name="Обычный 9 6 5 2 2 2 2 3 3" xfId="55938"/>
    <cellStyle name="Обычный 9 6 5 2 2 2 2 4" xfId="55939"/>
    <cellStyle name="Обычный 9 6 5 2 2 2 2 4 2" xfId="55940"/>
    <cellStyle name="Обычный 9 6 5 2 2 2 2 5" xfId="55941"/>
    <cellStyle name="Обычный 9 6 5 2 2 2 2 6" xfId="55942"/>
    <cellStyle name="Обычный 9 6 5 2 2 2 3" xfId="55943"/>
    <cellStyle name="Обычный 9 6 5 2 2 2 3 2" xfId="55944"/>
    <cellStyle name="Обычный 9 6 5 2 2 2 3 3" xfId="55945"/>
    <cellStyle name="Обычный 9 6 5 2 2 2 4" xfId="55946"/>
    <cellStyle name="Обычный 9 6 5 2 2 2 4 2" xfId="55947"/>
    <cellStyle name="Обычный 9 6 5 2 2 2 4 3" xfId="55948"/>
    <cellStyle name="Обычный 9 6 5 2 2 2 5" xfId="55949"/>
    <cellStyle name="Обычный 9 6 5 2 2 2 5 2" xfId="55950"/>
    <cellStyle name="Обычный 9 6 5 2 2 2 6" xfId="55951"/>
    <cellStyle name="Обычный 9 6 5 2 2 2 7" xfId="55952"/>
    <cellStyle name="Обычный 9 6 5 2 2 3" xfId="55953"/>
    <cellStyle name="Обычный 9 6 5 2 2 3 2" xfId="55954"/>
    <cellStyle name="Обычный 9 6 5 2 2 3 2 2" xfId="55955"/>
    <cellStyle name="Обычный 9 6 5 2 2 3 2 3" xfId="55956"/>
    <cellStyle name="Обычный 9 6 5 2 2 3 3" xfId="55957"/>
    <cellStyle name="Обычный 9 6 5 2 2 3 3 2" xfId="55958"/>
    <cellStyle name="Обычный 9 6 5 2 2 3 3 3" xfId="55959"/>
    <cellStyle name="Обычный 9 6 5 2 2 3 4" xfId="55960"/>
    <cellStyle name="Обычный 9 6 5 2 2 3 4 2" xfId="55961"/>
    <cellStyle name="Обычный 9 6 5 2 2 3 5" xfId="55962"/>
    <cellStyle name="Обычный 9 6 5 2 2 3 6" xfId="55963"/>
    <cellStyle name="Обычный 9 6 5 2 2 4" xfId="55964"/>
    <cellStyle name="Обычный 9 6 5 2 2 4 2" xfId="55965"/>
    <cellStyle name="Обычный 9 6 5 2 2 4 3" xfId="55966"/>
    <cellStyle name="Обычный 9 6 5 2 2 5" xfId="55967"/>
    <cellStyle name="Обычный 9 6 5 2 2 5 2" xfId="55968"/>
    <cellStyle name="Обычный 9 6 5 2 2 5 3" xfId="55969"/>
    <cellStyle name="Обычный 9 6 5 2 2 6" xfId="55970"/>
    <cellStyle name="Обычный 9 6 5 2 2 6 2" xfId="55971"/>
    <cellStyle name="Обычный 9 6 5 2 2 7" xfId="55972"/>
    <cellStyle name="Обычный 9 6 5 2 2 8" xfId="55973"/>
    <cellStyle name="Обычный 9 6 5 2 3" xfId="55974"/>
    <cellStyle name="Обычный 9 6 5 2 3 2" xfId="55975"/>
    <cellStyle name="Обычный 9 6 5 2 3 2 2" xfId="55976"/>
    <cellStyle name="Обычный 9 6 5 2 3 2 2 2" xfId="55977"/>
    <cellStyle name="Обычный 9 6 5 2 3 2 2 3" xfId="55978"/>
    <cellStyle name="Обычный 9 6 5 2 3 2 3" xfId="55979"/>
    <cellStyle name="Обычный 9 6 5 2 3 2 3 2" xfId="55980"/>
    <cellStyle name="Обычный 9 6 5 2 3 2 3 3" xfId="55981"/>
    <cellStyle name="Обычный 9 6 5 2 3 2 4" xfId="55982"/>
    <cellStyle name="Обычный 9 6 5 2 3 2 4 2" xfId="55983"/>
    <cellStyle name="Обычный 9 6 5 2 3 2 5" xfId="55984"/>
    <cellStyle name="Обычный 9 6 5 2 3 2 6" xfId="55985"/>
    <cellStyle name="Обычный 9 6 5 2 3 3" xfId="55986"/>
    <cellStyle name="Обычный 9 6 5 2 3 3 2" xfId="55987"/>
    <cellStyle name="Обычный 9 6 5 2 3 3 3" xfId="55988"/>
    <cellStyle name="Обычный 9 6 5 2 3 4" xfId="55989"/>
    <cellStyle name="Обычный 9 6 5 2 3 4 2" xfId="55990"/>
    <cellStyle name="Обычный 9 6 5 2 3 4 3" xfId="55991"/>
    <cellStyle name="Обычный 9 6 5 2 3 5" xfId="55992"/>
    <cellStyle name="Обычный 9 6 5 2 3 5 2" xfId="55993"/>
    <cellStyle name="Обычный 9 6 5 2 3 6" xfId="55994"/>
    <cellStyle name="Обычный 9 6 5 2 3 7" xfId="55995"/>
    <cellStyle name="Обычный 9 6 5 2 4" xfId="55996"/>
    <cellStyle name="Обычный 9 6 5 2 4 2" xfId="55997"/>
    <cellStyle name="Обычный 9 6 5 2 4 2 2" xfId="55998"/>
    <cellStyle name="Обычный 9 6 5 2 4 2 3" xfId="55999"/>
    <cellStyle name="Обычный 9 6 5 2 4 3" xfId="56000"/>
    <cellStyle name="Обычный 9 6 5 2 4 3 2" xfId="56001"/>
    <cellStyle name="Обычный 9 6 5 2 4 3 3" xfId="56002"/>
    <cellStyle name="Обычный 9 6 5 2 4 4" xfId="56003"/>
    <cellStyle name="Обычный 9 6 5 2 4 4 2" xfId="56004"/>
    <cellStyle name="Обычный 9 6 5 2 4 5" xfId="56005"/>
    <cellStyle name="Обычный 9 6 5 2 4 6" xfId="56006"/>
    <cellStyle name="Обычный 9 6 5 2 5" xfId="56007"/>
    <cellStyle name="Обычный 9 6 5 2 5 2" xfId="56008"/>
    <cellStyle name="Обычный 9 6 5 2 5 3" xfId="56009"/>
    <cellStyle name="Обычный 9 6 5 2 6" xfId="56010"/>
    <cellStyle name="Обычный 9 6 5 2 6 2" xfId="56011"/>
    <cellStyle name="Обычный 9 6 5 2 6 3" xfId="56012"/>
    <cellStyle name="Обычный 9 6 5 2 7" xfId="56013"/>
    <cellStyle name="Обычный 9 6 5 2 7 2" xfId="56014"/>
    <cellStyle name="Обычный 9 6 5 2 8" xfId="56015"/>
    <cellStyle name="Обычный 9 6 5 2 9" xfId="56016"/>
    <cellStyle name="Обычный 9 6 5 3" xfId="56017"/>
    <cellStyle name="Обычный 9 6 5 3 2" xfId="56018"/>
    <cellStyle name="Обычный 9 6 5 3 2 2" xfId="56019"/>
    <cellStyle name="Обычный 9 6 5 3 2 2 2" xfId="56020"/>
    <cellStyle name="Обычный 9 6 5 3 2 2 2 2" xfId="56021"/>
    <cellStyle name="Обычный 9 6 5 3 2 2 2 3" xfId="56022"/>
    <cellStyle name="Обычный 9 6 5 3 2 2 3" xfId="56023"/>
    <cellStyle name="Обычный 9 6 5 3 2 2 3 2" xfId="56024"/>
    <cellStyle name="Обычный 9 6 5 3 2 2 3 3" xfId="56025"/>
    <cellStyle name="Обычный 9 6 5 3 2 2 4" xfId="56026"/>
    <cellStyle name="Обычный 9 6 5 3 2 2 4 2" xfId="56027"/>
    <cellStyle name="Обычный 9 6 5 3 2 2 5" xfId="56028"/>
    <cellStyle name="Обычный 9 6 5 3 2 2 6" xfId="56029"/>
    <cellStyle name="Обычный 9 6 5 3 2 3" xfId="56030"/>
    <cellStyle name="Обычный 9 6 5 3 2 3 2" xfId="56031"/>
    <cellStyle name="Обычный 9 6 5 3 2 3 3" xfId="56032"/>
    <cellStyle name="Обычный 9 6 5 3 2 4" xfId="56033"/>
    <cellStyle name="Обычный 9 6 5 3 2 4 2" xfId="56034"/>
    <cellStyle name="Обычный 9 6 5 3 2 4 3" xfId="56035"/>
    <cellStyle name="Обычный 9 6 5 3 2 5" xfId="56036"/>
    <cellStyle name="Обычный 9 6 5 3 2 5 2" xfId="56037"/>
    <cellStyle name="Обычный 9 6 5 3 2 6" xfId="56038"/>
    <cellStyle name="Обычный 9 6 5 3 2 7" xfId="56039"/>
    <cellStyle name="Обычный 9 6 5 3 3" xfId="56040"/>
    <cellStyle name="Обычный 9 6 5 3 3 2" xfId="56041"/>
    <cellStyle name="Обычный 9 6 5 3 3 2 2" xfId="56042"/>
    <cellStyle name="Обычный 9 6 5 3 3 2 3" xfId="56043"/>
    <cellStyle name="Обычный 9 6 5 3 3 3" xfId="56044"/>
    <cellStyle name="Обычный 9 6 5 3 3 3 2" xfId="56045"/>
    <cellStyle name="Обычный 9 6 5 3 3 3 3" xfId="56046"/>
    <cellStyle name="Обычный 9 6 5 3 3 4" xfId="56047"/>
    <cellStyle name="Обычный 9 6 5 3 3 4 2" xfId="56048"/>
    <cellStyle name="Обычный 9 6 5 3 3 5" xfId="56049"/>
    <cellStyle name="Обычный 9 6 5 3 3 6" xfId="56050"/>
    <cellStyle name="Обычный 9 6 5 3 4" xfId="56051"/>
    <cellStyle name="Обычный 9 6 5 3 4 2" xfId="56052"/>
    <cellStyle name="Обычный 9 6 5 3 4 3" xfId="56053"/>
    <cellStyle name="Обычный 9 6 5 3 5" xfId="56054"/>
    <cellStyle name="Обычный 9 6 5 3 5 2" xfId="56055"/>
    <cellStyle name="Обычный 9 6 5 3 5 3" xfId="56056"/>
    <cellStyle name="Обычный 9 6 5 3 6" xfId="56057"/>
    <cellStyle name="Обычный 9 6 5 3 6 2" xfId="56058"/>
    <cellStyle name="Обычный 9 6 5 3 7" xfId="56059"/>
    <cellStyle name="Обычный 9 6 5 3 8" xfId="56060"/>
    <cellStyle name="Обычный 9 6 5 4" xfId="56061"/>
    <cellStyle name="Обычный 9 6 5 4 2" xfId="56062"/>
    <cellStyle name="Обычный 9 6 5 4 2 2" xfId="56063"/>
    <cellStyle name="Обычный 9 6 5 4 2 2 2" xfId="56064"/>
    <cellStyle name="Обычный 9 6 5 4 2 2 3" xfId="56065"/>
    <cellStyle name="Обычный 9 6 5 4 2 3" xfId="56066"/>
    <cellStyle name="Обычный 9 6 5 4 2 3 2" xfId="56067"/>
    <cellStyle name="Обычный 9 6 5 4 2 3 3" xfId="56068"/>
    <cellStyle name="Обычный 9 6 5 4 2 4" xfId="56069"/>
    <cellStyle name="Обычный 9 6 5 4 2 4 2" xfId="56070"/>
    <cellStyle name="Обычный 9 6 5 4 2 5" xfId="56071"/>
    <cellStyle name="Обычный 9 6 5 4 2 6" xfId="56072"/>
    <cellStyle name="Обычный 9 6 5 4 3" xfId="56073"/>
    <cellStyle name="Обычный 9 6 5 4 3 2" xfId="56074"/>
    <cellStyle name="Обычный 9 6 5 4 3 3" xfId="56075"/>
    <cellStyle name="Обычный 9 6 5 4 4" xfId="56076"/>
    <cellStyle name="Обычный 9 6 5 4 4 2" xfId="56077"/>
    <cellStyle name="Обычный 9 6 5 4 4 3" xfId="56078"/>
    <cellStyle name="Обычный 9 6 5 4 5" xfId="56079"/>
    <cellStyle name="Обычный 9 6 5 4 5 2" xfId="56080"/>
    <cellStyle name="Обычный 9 6 5 4 6" xfId="56081"/>
    <cellStyle name="Обычный 9 6 5 4 7" xfId="56082"/>
    <cellStyle name="Обычный 9 6 5 5" xfId="56083"/>
    <cellStyle name="Обычный 9 6 5 5 2" xfId="56084"/>
    <cellStyle name="Обычный 9 6 5 5 2 2" xfId="56085"/>
    <cellStyle name="Обычный 9 6 5 5 2 3" xfId="56086"/>
    <cellStyle name="Обычный 9 6 5 5 3" xfId="56087"/>
    <cellStyle name="Обычный 9 6 5 5 3 2" xfId="56088"/>
    <cellStyle name="Обычный 9 6 5 5 3 3" xfId="56089"/>
    <cellStyle name="Обычный 9 6 5 5 4" xfId="56090"/>
    <cellStyle name="Обычный 9 6 5 5 4 2" xfId="56091"/>
    <cellStyle name="Обычный 9 6 5 5 5" xfId="56092"/>
    <cellStyle name="Обычный 9 6 5 5 6" xfId="56093"/>
    <cellStyle name="Обычный 9 6 5 6" xfId="56094"/>
    <cellStyle name="Обычный 9 6 5 6 2" xfId="56095"/>
    <cellStyle name="Обычный 9 6 5 6 3" xfId="56096"/>
    <cellStyle name="Обычный 9 6 5 7" xfId="56097"/>
    <cellStyle name="Обычный 9 6 5 7 2" xfId="56098"/>
    <cellStyle name="Обычный 9 6 5 7 3" xfId="56099"/>
    <cellStyle name="Обычный 9 6 5 8" xfId="56100"/>
    <cellStyle name="Обычный 9 6 5 8 2" xfId="56101"/>
    <cellStyle name="Обычный 9 6 5 9" xfId="56102"/>
    <cellStyle name="Обычный 9 6 6" xfId="56103"/>
    <cellStyle name="Обычный 9 6 6 2" xfId="56104"/>
    <cellStyle name="Обычный 9 6 6 2 2" xfId="56105"/>
    <cellStyle name="Обычный 9 6 6 2 2 2" xfId="56106"/>
    <cellStyle name="Обычный 9 6 6 2 2 2 2" xfId="56107"/>
    <cellStyle name="Обычный 9 6 6 2 2 2 2 2" xfId="56108"/>
    <cellStyle name="Обычный 9 6 6 2 2 2 2 3" xfId="56109"/>
    <cellStyle name="Обычный 9 6 6 2 2 2 3" xfId="56110"/>
    <cellStyle name="Обычный 9 6 6 2 2 2 3 2" xfId="56111"/>
    <cellStyle name="Обычный 9 6 6 2 2 2 3 3" xfId="56112"/>
    <cellStyle name="Обычный 9 6 6 2 2 2 4" xfId="56113"/>
    <cellStyle name="Обычный 9 6 6 2 2 2 4 2" xfId="56114"/>
    <cellStyle name="Обычный 9 6 6 2 2 2 5" xfId="56115"/>
    <cellStyle name="Обычный 9 6 6 2 2 2 6" xfId="56116"/>
    <cellStyle name="Обычный 9 6 6 2 2 3" xfId="56117"/>
    <cellStyle name="Обычный 9 6 6 2 2 3 2" xfId="56118"/>
    <cellStyle name="Обычный 9 6 6 2 2 3 3" xfId="56119"/>
    <cellStyle name="Обычный 9 6 6 2 2 4" xfId="56120"/>
    <cellStyle name="Обычный 9 6 6 2 2 4 2" xfId="56121"/>
    <cellStyle name="Обычный 9 6 6 2 2 4 3" xfId="56122"/>
    <cellStyle name="Обычный 9 6 6 2 2 5" xfId="56123"/>
    <cellStyle name="Обычный 9 6 6 2 2 5 2" xfId="56124"/>
    <cellStyle name="Обычный 9 6 6 2 2 6" xfId="56125"/>
    <cellStyle name="Обычный 9 6 6 2 2 7" xfId="56126"/>
    <cellStyle name="Обычный 9 6 6 2 3" xfId="56127"/>
    <cellStyle name="Обычный 9 6 6 2 3 2" xfId="56128"/>
    <cellStyle name="Обычный 9 6 6 2 3 2 2" xfId="56129"/>
    <cellStyle name="Обычный 9 6 6 2 3 2 3" xfId="56130"/>
    <cellStyle name="Обычный 9 6 6 2 3 3" xfId="56131"/>
    <cellStyle name="Обычный 9 6 6 2 3 3 2" xfId="56132"/>
    <cellStyle name="Обычный 9 6 6 2 3 3 3" xfId="56133"/>
    <cellStyle name="Обычный 9 6 6 2 3 4" xfId="56134"/>
    <cellStyle name="Обычный 9 6 6 2 3 4 2" xfId="56135"/>
    <cellStyle name="Обычный 9 6 6 2 3 5" xfId="56136"/>
    <cellStyle name="Обычный 9 6 6 2 3 6" xfId="56137"/>
    <cellStyle name="Обычный 9 6 6 2 4" xfId="56138"/>
    <cellStyle name="Обычный 9 6 6 2 4 2" xfId="56139"/>
    <cellStyle name="Обычный 9 6 6 2 4 3" xfId="56140"/>
    <cellStyle name="Обычный 9 6 6 2 5" xfId="56141"/>
    <cellStyle name="Обычный 9 6 6 2 5 2" xfId="56142"/>
    <cellStyle name="Обычный 9 6 6 2 5 3" xfId="56143"/>
    <cellStyle name="Обычный 9 6 6 2 6" xfId="56144"/>
    <cellStyle name="Обычный 9 6 6 2 6 2" xfId="56145"/>
    <cellStyle name="Обычный 9 6 6 2 7" xfId="56146"/>
    <cellStyle name="Обычный 9 6 6 2 8" xfId="56147"/>
    <cellStyle name="Обычный 9 6 6 3" xfId="56148"/>
    <cellStyle name="Обычный 9 6 6 3 2" xfId="56149"/>
    <cellStyle name="Обычный 9 6 6 3 2 2" xfId="56150"/>
    <cellStyle name="Обычный 9 6 6 3 2 2 2" xfId="56151"/>
    <cellStyle name="Обычный 9 6 6 3 2 2 3" xfId="56152"/>
    <cellStyle name="Обычный 9 6 6 3 2 3" xfId="56153"/>
    <cellStyle name="Обычный 9 6 6 3 2 3 2" xfId="56154"/>
    <cellStyle name="Обычный 9 6 6 3 2 3 3" xfId="56155"/>
    <cellStyle name="Обычный 9 6 6 3 2 4" xfId="56156"/>
    <cellStyle name="Обычный 9 6 6 3 2 4 2" xfId="56157"/>
    <cellStyle name="Обычный 9 6 6 3 2 5" xfId="56158"/>
    <cellStyle name="Обычный 9 6 6 3 2 6" xfId="56159"/>
    <cellStyle name="Обычный 9 6 6 3 3" xfId="56160"/>
    <cellStyle name="Обычный 9 6 6 3 3 2" xfId="56161"/>
    <cellStyle name="Обычный 9 6 6 3 3 3" xfId="56162"/>
    <cellStyle name="Обычный 9 6 6 3 4" xfId="56163"/>
    <cellStyle name="Обычный 9 6 6 3 4 2" xfId="56164"/>
    <cellStyle name="Обычный 9 6 6 3 4 3" xfId="56165"/>
    <cellStyle name="Обычный 9 6 6 3 5" xfId="56166"/>
    <cellStyle name="Обычный 9 6 6 3 5 2" xfId="56167"/>
    <cellStyle name="Обычный 9 6 6 3 6" xfId="56168"/>
    <cellStyle name="Обычный 9 6 6 3 7" xfId="56169"/>
    <cellStyle name="Обычный 9 6 6 4" xfId="56170"/>
    <cellStyle name="Обычный 9 6 6 4 2" xfId="56171"/>
    <cellStyle name="Обычный 9 6 6 4 2 2" xfId="56172"/>
    <cellStyle name="Обычный 9 6 6 4 2 3" xfId="56173"/>
    <cellStyle name="Обычный 9 6 6 4 3" xfId="56174"/>
    <cellStyle name="Обычный 9 6 6 4 3 2" xfId="56175"/>
    <cellStyle name="Обычный 9 6 6 4 3 3" xfId="56176"/>
    <cellStyle name="Обычный 9 6 6 4 4" xfId="56177"/>
    <cellStyle name="Обычный 9 6 6 4 4 2" xfId="56178"/>
    <cellStyle name="Обычный 9 6 6 4 5" xfId="56179"/>
    <cellStyle name="Обычный 9 6 6 4 6" xfId="56180"/>
    <cellStyle name="Обычный 9 6 6 5" xfId="56181"/>
    <cellStyle name="Обычный 9 6 6 5 2" xfId="56182"/>
    <cellStyle name="Обычный 9 6 6 5 3" xfId="56183"/>
    <cellStyle name="Обычный 9 6 6 6" xfId="56184"/>
    <cellStyle name="Обычный 9 6 6 6 2" xfId="56185"/>
    <cellStyle name="Обычный 9 6 6 6 3" xfId="56186"/>
    <cellStyle name="Обычный 9 6 6 7" xfId="56187"/>
    <cellStyle name="Обычный 9 6 6 7 2" xfId="56188"/>
    <cellStyle name="Обычный 9 6 6 8" xfId="56189"/>
    <cellStyle name="Обычный 9 6 6 9" xfId="56190"/>
    <cellStyle name="Обычный 9 6 7" xfId="56191"/>
    <cellStyle name="Обычный 9 6 7 2" xfId="56192"/>
    <cellStyle name="Обычный 9 6 7 2 2" xfId="56193"/>
    <cellStyle name="Обычный 9 6 7 2 2 2" xfId="56194"/>
    <cellStyle name="Обычный 9 6 7 2 2 2 2" xfId="56195"/>
    <cellStyle name="Обычный 9 6 7 2 2 2 3" xfId="56196"/>
    <cellStyle name="Обычный 9 6 7 2 2 3" xfId="56197"/>
    <cellStyle name="Обычный 9 6 7 2 2 3 2" xfId="56198"/>
    <cellStyle name="Обычный 9 6 7 2 2 3 3" xfId="56199"/>
    <cellStyle name="Обычный 9 6 7 2 2 4" xfId="56200"/>
    <cellStyle name="Обычный 9 6 7 2 2 4 2" xfId="56201"/>
    <cellStyle name="Обычный 9 6 7 2 2 5" xfId="56202"/>
    <cellStyle name="Обычный 9 6 7 2 2 6" xfId="56203"/>
    <cellStyle name="Обычный 9 6 7 2 3" xfId="56204"/>
    <cellStyle name="Обычный 9 6 7 2 3 2" xfId="56205"/>
    <cellStyle name="Обычный 9 6 7 2 3 3" xfId="56206"/>
    <cellStyle name="Обычный 9 6 7 2 4" xfId="56207"/>
    <cellStyle name="Обычный 9 6 7 2 4 2" xfId="56208"/>
    <cellStyle name="Обычный 9 6 7 2 4 3" xfId="56209"/>
    <cellStyle name="Обычный 9 6 7 2 5" xfId="56210"/>
    <cellStyle name="Обычный 9 6 7 2 5 2" xfId="56211"/>
    <cellStyle name="Обычный 9 6 7 2 6" xfId="56212"/>
    <cellStyle name="Обычный 9 6 7 2 7" xfId="56213"/>
    <cellStyle name="Обычный 9 6 7 3" xfId="56214"/>
    <cellStyle name="Обычный 9 6 7 3 2" xfId="56215"/>
    <cellStyle name="Обычный 9 6 7 3 2 2" xfId="56216"/>
    <cellStyle name="Обычный 9 6 7 3 2 3" xfId="56217"/>
    <cellStyle name="Обычный 9 6 7 3 3" xfId="56218"/>
    <cellStyle name="Обычный 9 6 7 3 3 2" xfId="56219"/>
    <cellStyle name="Обычный 9 6 7 3 3 3" xfId="56220"/>
    <cellStyle name="Обычный 9 6 7 3 4" xfId="56221"/>
    <cellStyle name="Обычный 9 6 7 3 4 2" xfId="56222"/>
    <cellStyle name="Обычный 9 6 7 3 5" xfId="56223"/>
    <cellStyle name="Обычный 9 6 7 3 6" xfId="56224"/>
    <cellStyle name="Обычный 9 6 7 4" xfId="56225"/>
    <cellStyle name="Обычный 9 6 7 4 2" xfId="56226"/>
    <cellStyle name="Обычный 9 6 7 4 3" xfId="56227"/>
    <cellStyle name="Обычный 9 6 7 5" xfId="56228"/>
    <cellStyle name="Обычный 9 6 7 5 2" xfId="56229"/>
    <cellStyle name="Обычный 9 6 7 5 3" xfId="56230"/>
    <cellStyle name="Обычный 9 6 7 6" xfId="56231"/>
    <cellStyle name="Обычный 9 6 7 6 2" xfId="56232"/>
    <cellStyle name="Обычный 9 6 7 7" xfId="56233"/>
    <cellStyle name="Обычный 9 6 7 8" xfId="56234"/>
    <cellStyle name="Обычный 9 6 8" xfId="56235"/>
    <cellStyle name="Обычный 9 6 8 2" xfId="56236"/>
    <cellStyle name="Обычный 9 6 8 2 2" xfId="56237"/>
    <cellStyle name="Обычный 9 6 8 2 2 2" xfId="56238"/>
    <cellStyle name="Обычный 9 6 8 2 2 3" xfId="56239"/>
    <cellStyle name="Обычный 9 6 8 2 3" xfId="56240"/>
    <cellStyle name="Обычный 9 6 8 2 3 2" xfId="56241"/>
    <cellStyle name="Обычный 9 6 8 2 3 3" xfId="56242"/>
    <cellStyle name="Обычный 9 6 8 2 4" xfId="56243"/>
    <cellStyle name="Обычный 9 6 8 2 4 2" xfId="56244"/>
    <cellStyle name="Обычный 9 6 8 2 5" xfId="56245"/>
    <cellStyle name="Обычный 9 6 8 2 6" xfId="56246"/>
    <cellStyle name="Обычный 9 6 8 3" xfId="56247"/>
    <cellStyle name="Обычный 9 6 8 3 2" xfId="56248"/>
    <cellStyle name="Обычный 9 6 8 3 3" xfId="56249"/>
    <cellStyle name="Обычный 9 6 8 4" xfId="56250"/>
    <cellStyle name="Обычный 9 6 8 4 2" xfId="56251"/>
    <cellStyle name="Обычный 9 6 8 4 3" xfId="56252"/>
    <cellStyle name="Обычный 9 6 8 5" xfId="56253"/>
    <cellStyle name="Обычный 9 6 8 5 2" xfId="56254"/>
    <cellStyle name="Обычный 9 6 8 6" xfId="56255"/>
    <cellStyle name="Обычный 9 6 8 7" xfId="56256"/>
    <cellStyle name="Обычный 9 6 9" xfId="56257"/>
    <cellStyle name="Обычный 9 6 9 2" xfId="56258"/>
    <cellStyle name="Обычный 9 6 9 2 2" xfId="56259"/>
    <cellStyle name="Обычный 9 6 9 2 3" xfId="56260"/>
    <cellStyle name="Обычный 9 6 9 3" xfId="56261"/>
    <cellStyle name="Обычный 9 6 9 3 2" xfId="56262"/>
    <cellStyle name="Обычный 9 6 9 3 3" xfId="56263"/>
    <cellStyle name="Обычный 9 6 9 4" xfId="56264"/>
    <cellStyle name="Обычный 9 6 9 4 2" xfId="56265"/>
    <cellStyle name="Обычный 9 6 9 5" xfId="56266"/>
    <cellStyle name="Обычный 9 6 9 6" xfId="56267"/>
    <cellStyle name="Обычный 9 7" xfId="56268"/>
    <cellStyle name="Обычный 9 7 10" xfId="56269"/>
    <cellStyle name="Обычный 9 7 10 2" xfId="56270"/>
    <cellStyle name="Обычный 9 7 10 3" xfId="56271"/>
    <cellStyle name="Обычный 9 7 11" xfId="56272"/>
    <cellStyle name="Обычный 9 7 11 2" xfId="56273"/>
    <cellStyle name="Обычный 9 7 11 3" xfId="56274"/>
    <cellStyle name="Обычный 9 7 12" xfId="56275"/>
    <cellStyle name="Обычный 9 7 12 2" xfId="56276"/>
    <cellStyle name="Обычный 9 7 13" xfId="56277"/>
    <cellStyle name="Обычный 9 7 14" xfId="56278"/>
    <cellStyle name="Обычный 9 7 2" xfId="56279"/>
    <cellStyle name="Обычный 9 7 2 10" xfId="56280"/>
    <cellStyle name="Обычный 9 7 2 10 2" xfId="56281"/>
    <cellStyle name="Обычный 9 7 2 10 3" xfId="56282"/>
    <cellStyle name="Обычный 9 7 2 11" xfId="56283"/>
    <cellStyle name="Обычный 9 7 2 11 2" xfId="56284"/>
    <cellStyle name="Обычный 9 7 2 12" xfId="56285"/>
    <cellStyle name="Обычный 9 7 2 13" xfId="56286"/>
    <cellStyle name="Обычный 9 7 2 2" xfId="56287"/>
    <cellStyle name="Обычный 9 7 2 2 10" xfId="56288"/>
    <cellStyle name="Обычный 9 7 2 2 2" xfId="56289"/>
    <cellStyle name="Обычный 9 7 2 2 2 2" xfId="56290"/>
    <cellStyle name="Обычный 9 7 2 2 2 2 2" xfId="56291"/>
    <cellStyle name="Обычный 9 7 2 2 2 2 2 2" xfId="56292"/>
    <cellStyle name="Обычный 9 7 2 2 2 2 2 2 2" xfId="56293"/>
    <cellStyle name="Обычный 9 7 2 2 2 2 2 2 2 2" xfId="56294"/>
    <cellStyle name="Обычный 9 7 2 2 2 2 2 2 2 3" xfId="56295"/>
    <cellStyle name="Обычный 9 7 2 2 2 2 2 2 3" xfId="56296"/>
    <cellStyle name="Обычный 9 7 2 2 2 2 2 2 3 2" xfId="56297"/>
    <cellStyle name="Обычный 9 7 2 2 2 2 2 2 3 3" xfId="56298"/>
    <cellStyle name="Обычный 9 7 2 2 2 2 2 2 4" xfId="56299"/>
    <cellStyle name="Обычный 9 7 2 2 2 2 2 2 4 2" xfId="56300"/>
    <cellStyle name="Обычный 9 7 2 2 2 2 2 2 5" xfId="56301"/>
    <cellStyle name="Обычный 9 7 2 2 2 2 2 2 6" xfId="56302"/>
    <cellStyle name="Обычный 9 7 2 2 2 2 2 3" xfId="56303"/>
    <cellStyle name="Обычный 9 7 2 2 2 2 2 3 2" xfId="56304"/>
    <cellStyle name="Обычный 9 7 2 2 2 2 2 3 3" xfId="56305"/>
    <cellStyle name="Обычный 9 7 2 2 2 2 2 4" xfId="56306"/>
    <cellStyle name="Обычный 9 7 2 2 2 2 2 4 2" xfId="56307"/>
    <cellStyle name="Обычный 9 7 2 2 2 2 2 4 3" xfId="56308"/>
    <cellStyle name="Обычный 9 7 2 2 2 2 2 5" xfId="56309"/>
    <cellStyle name="Обычный 9 7 2 2 2 2 2 5 2" xfId="56310"/>
    <cellStyle name="Обычный 9 7 2 2 2 2 2 6" xfId="56311"/>
    <cellStyle name="Обычный 9 7 2 2 2 2 2 7" xfId="56312"/>
    <cellStyle name="Обычный 9 7 2 2 2 2 3" xfId="56313"/>
    <cellStyle name="Обычный 9 7 2 2 2 2 3 2" xfId="56314"/>
    <cellStyle name="Обычный 9 7 2 2 2 2 3 2 2" xfId="56315"/>
    <cellStyle name="Обычный 9 7 2 2 2 2 3 2 3" xfId="56316"/>
    <cellStyle name="Обычный 9 7 2 2 2 2 3 3" xfId="56317"/>
    <cellStyle name="Обычный 9 7 2 2 2 2 3 3 2" xfId="56318"/>
    <cellStyle name="Обычный 9 7 2 2 2 2 3 3 3" xfId="56319"/>
    <cellStyle name="Обычный 9 7 2 2 2 2 3 4" xfId="56320"/>
    <cellStyle name="Обычный 9 7 2 2 2 2 3 4 2" xfId="56321"/>
    <cellStyle name="Обычный 9 7 2 2 2 2 3 5" xfId="56322"/>
    <cellStyle name="Обычный 9 7 2 2 2 2 3 6" xfId="56323"/>
    <cellStyle name="Обычный 9 7 2 2 2 2 4" xfId="56324"/>
    <cellStyle name="Обычный 9 7 2 2 2 2 4 2" xfId="56325"/>
    <cellStyle name="Обычный 9 7 2 2 2 2 4 3" xfId="56326"/>
    <cellStyle name="Обычный 9 7 2 2 2 2 5" xfId="56327"/>
    <cellStyle name="Обычный 9 7 2 2 2 2 5 2" xfId="56328"/>
    <cellStyle name="Обычный 9 7 2 2 2 2 5 3" xfId="56329"/>
    <cellStyle name="Обычный 9 7 2 2 2 2 6" xfId="56330"/>
    <cellStyle name="Обычный 9 7 2 2 2 2 6 2" xfId="56331"/>
    <cellStyle name="Обычный 9 7 2 2 2 2 7" xfId="56332"/>
    <cellStyle name="Обычный 9 7 2 2 2 2 8" xfId="56333"/>
    <cellStyle name="Обычный 9 7 2 2 2 3" xfId="56334"/>
    <cellStyle name="Обычный 9 7 2 2 2 3 2" xfId="56335"/>
    <cellStyle name="Обычный 9 7 2 2 2 3 2 2" xfId="56336"/>
    <cellStyle name="Обычный 9 7 2 2 2 3 2 2 2" xfId="56337"/>
    <cellStyle name="Обычный 9 7 2 2 2 3 2 2 3" xfId="56338"/>
    <cellStyle name="Обычный 9 7 2 2 2 3 2 3" xfId="56339"/>
    <cellStyle name="Обычный 9 7 2 2 2 3 2 3 2" xfId="56340"/>
    <cellStyle name="Обычный 9 7 2 2 2 3 2 3 3" xfId="56341"/>
    <cellStyle name="Обычный 9 7 2 2 2 3 2 4" xfId="56342"/>
    <cellStyle name="Обычный 9 7 2 2 2 3 2 4 2" xfId="56343"/>
    <cellStyle name="Обычный 9 7 2 2 2 3 2 5" xfId="56344"/>
    <cellStyle name="Обычный 9 7 2 2 2 3 2 6" xfId="56345"/>
    <cellStyle name="Обычный 9 7 2 2 2 3 3" xfId="56346"/>
    <cellStyle name="Обычный 9 7 2 2 2 3 3 2" xfId="56347"/>
    <cellStyle name="Обычный 9 7 2 2 2 3 3 3" xfId="56348"/>
    <cellStyle name="Обычный 9 7 2 2 2 3 4" xfId="56349"/>
    <cellStyle name="Обычный 9 7 2 2 2 3 4 2" xfId="56350"/>
    <cellStyle name="Обычный 9 7 2 2 2 3 4 3" xfId="56351"/>
    <cellStyle name="Обычный 9 7 2 2 2 3 5" xfId="56352"/>
    <cellStyle name="Обычный 9 7 2 2 2 3 5 2" xfId="56353"/>
    <cellStyle name="Обычный 9 7 2 2 2 3 6" xfId="56354"/>
    <cellStyle name="Обычный 9 7 2 2 2 3 7" xfId="56355"/>
    <cellStyle name="Обычный 9 7 2 2 2 4" xfId="56356"/>
    <cellStyle name="Обычный 9 7 2 2 2 4 2" xfId="56357"/>
    <cellStyle name="Обычный 9 7 2 2 2 4 2 2" xfId="56358"/>
    <cellStyle name="Обычный 9 7 2 2 2 4 2 3" xfId="56359"/>
    <cellStyle name="Обычный 9 7 2 2 2 4 3" xfId="56360"/>
    <cellStyle name="Обычный 9 7 2 2 2 4 3 2" xfId="56361"/>
    <cellStyle name="Обычный 9 7 2 2 2 4 3 3" xfId="56362"/>
    <cellStyle name="Обычный 9 7 2 2 2 4 4" xfId="56363"/>
    <cellStyle name="Обычный 9 7 2 2 2 4 4 2" xfId="56364"/>
    <cellStyle name="Обычный 9 7 2 2 2 4 5" xfId="56365"/>
    <cellStyle name="Обычный 9 7 2 2 2 4 6" xfId="56366"/>
    <cellStyle name="Обычный 9 7 2 2 2 5" xfId="56367"/>
    <cellStyle name="Обычный 9 7 2 2 2 5 2" xfId="56368"/>
    <cellStyle name="Обычный 9 7 2 2 2 5 3" xfId="56369"/>
    <cellStyle name="Обычный 9 7 2 2 2 6" xfId="56370"/>
    <cellStyle name="Обычный 9 7 2 2 2 6 2" xfId="56371"/>
    <cellStyle name="Обычный 9 7 2 2 2 6 3" xfId="56372"/>
    <cellStyle name="Обычный 9 7 2 2 2 7" xfId="56373"/>
    <cellStyle name="Обычный 9 7 2 2 2 7 2" xfId="56374"/>
    <cellStyle name="Обычный 9 7 2 2 2 8" xfId="56375"/>
    <cellStyle name="Обычный 9 7 2 2 2 9" xfId="56376"/>
    <cellStyle name="Обычный 9 7 2 2 3" xfId="56377"/>
    <cellStyle name="Обычный 9 7 2 2 3 2" xfId="56378"/>
    <cellStyle name="Обычный 9 7 2 2 3 2 2" xfId="56379"/>
    <cellStyle name="Обычный 9 7 2 2 3 2 2 2" xfId="56380"/>
    <cellStyle name="Обычный 9 7 2 2 3 2 2 2 2" xfId="56381"/>
    <cellStyle name="Обычный 9 7 2 2 3 2 2 2 3" xfId="56382"/>
    <cellStyle name="Обычный 9 7 2 2 3 2 2 3" xfId="56383"/>
    <cellStyle name="Обычный 9 7 2 2 3 2 2 3 2" xfId="56384"/>
    <cellStyle name="Обычный 9 7 2 2 3 2 2 3 3" xfId="56385"/>
    <cellStyle name="Обычный 9 7 2 2 3 2 2 4" xfId="56386"/>
    <cellStyle name="Обычный 9 7 2 2 3 2 2 4 2" xfId="56387"/>
    <cellStyle name="Обычный 9 7 2 2 3 2 2 5" xfId="56388"/>
    <cellStyle name="Обычный 9 7 2 2 3 2 2 6" xfId="56389"/>
    <cellStyle name="Обычный 9 7 2 2 3 2 3" xfId="56390"/>
    <cellStyle name="Обычный 9 7 2 2 3 2 3 2" xfId="56391"/>
    <cellStyle name="Обычный 9 7 2 2 3 2 3 3" xfId="56392"/>
    <cellStyle name="Обычный 9 7 2 2 3 2 4" xfId="56393"/>
    <cellStyle name="Обычный 9 7 2 2 3 2 4 2" xfId="56394"/>
    <cellStyle name="Обычный 9 7 2 2 3 2 4 3" xfId="56395"/>
    <cellStyle name="Обычный 9 7 2 2 3 2 5" xfId="56396"/>
    <cellStyle name="Обычный 9 7 2 2 3 2 5 2" xfId="56397"/>
    <cellStyle name="Обычный 9 7 2 2 3 2 6" xfId="56398"/>
    <cellStyle name="Обычный 9 7 2 2 3 2 7" xfId="56399"/>
    <cellStyle name="Обычный 9 7 2 2 3 3" xfId="56400"/>
    <cellStyle name="Обычный 9 7 2 2 3 3 2" xfId="56401"/>
    <cellStyle name="Обычный 9 7 2 2 3 3 2 2" xfId="56402"/>
    <cellStyle name="Обычный 9 7 2 2 3 3 2 3" xfId="56403"/>
    <cellStyle name="Обычный 9 7 2 2 3 3 3" xfId="56404"/>
    <cellStyle name="Обычный 9 7 2 2 3 3 3 2" xfId="56405"/>
    <cellStyle name="Обычный 9 7 2 2 3 3 3 3" xfId="56406"/>
    <cellStyle name="Обычный 9 7 2 2 3 3 4" xfId="56407"/>
    <cellStyle name="Обычный 9 7 2 2 3 3 4 2" xfId="56408"/>
    <cellStyle name="Обычный 9 7 2 2 3 3 5" xfId="56409"/>
    <cellStyle name="Обычный 9 7 2 2 3 3 6" xfId="56410"/>
    <cellStyle name="Обычный 9 7 2 2 3 4" xfId="56411"/>
    <cellStyle name="Обычный 9 7 2 2 3 4 2" xfId="56412"/>
    <cellStyle name="Обычный 9 7 2 2 3 4 3" xfId="56413"/>
    <cellStyle name="Обычный 9 7 2 2 3 5" xfId="56414"/>
    <cellStyle name="Обычный 9 7 2 2 3 5 2" xfId="56415"/>
    <cellStyle name="Обычный 9 7 2 2 3 5 3" xfId="56416"/>
    <cellStyle name="Обычный 9 7 2 2 3 6" xfId="56417"/>
    <cellStyle name="Обычный 9 7 2 2 3 6 2" xfId="56418"/>
    <cellStyle name="Обычный 9 7 2 2 3 7" xfId="56419"/>
    <cellStyle name="Обычный 9 7 2 2 3 8" xfId="56420"/>
    <cellStyle name="Обычный 9 7 2 2 4" xfId="56421"/>
    <cellStyle name="Обычный 9 7 2 2 4 2" xfId="56422"/>
    <cellStyle name="Обычный 9 7 2 2 4 2 2" xfId="56423"/>
    <cellStyle name="Обычный 9 7 2 2 4 2 2 2" xfId="56424"/>
    <cellStyle name="Обычный 9 7 2 2 4 2 2 3" xfId="56425"/>
    <cellStyle name="Обычный 9 7 2 2 4 2 3" xfId="56426"/>
    <cellStyle name="Обычный 9 7 2 2 4 2 3 2" xfId="56427"/>
    <cellStyle name="Обычный 9 7 2 2 4 2 3 3" xfId="56428"/>
    <cellStyle name="Обычный 9 7 2 2 4 2 4" xfId="56429"/>
    <cellStyle name="Обычный 9 7 2 2 4 2 4 2" xfId="56430"/>
    <cellStyle name="Обычный 9 7 2 2 4 2 5" xfId="56431"/>
    <cellStyle name="Обычный 9 7 2 2 4 2 6" xfId="56432"/>
    <cellStyle name="Обычный 9 7 2 2 4 3" xfId="56433"/>
    <cellStyle name="Обычный 9 7 2 2 4 3 2" xfId="56434"/>
    <cellStyle name="Обычный 9 7 2 2 4 3 3" xfId="56435"/>
    <cellStyle name="Обычный 9 7 2 2 4 4" xfId="56436"/>
    <cellStyle name="Обычный 9 7 2 2 4 4 2" xfId="56437"/>
    <cellStyle name="Обычный 9 7 2 2 4 4 3" xfId="56438"/>
    <cellStyle name="Обычный 9 7 2 2 4 5" xfId="56439"/>
    <cellStyle name="Обычный 9 7 2 2 4 5 2" xfId="56440"/>
    <cellStyle name="Обычный 9 7 2 2 4 6" xfId="56441"/>
    <cellStyle name="Обычный 9 7 2 2 4 7" xfId="56442"/>
    <cellStyle name="Обычный 9 7 2 2 5" xfId="56443"/>
    <cellStyle name="Обычный 9 7 2 2 5 2" xfId="56444"/>
    <cellStyle name="Обычный 9 7 2 2 5 2 2" xfId="56445"/>
    <cellStyle name="Обычный 9 7 2 2 5 2 3" xfId="56446"/>
    <cellStyle name="Обычный 9 7 2 2 5 3" xfId="56447"/>
    <cellStyle name="Обычный 9 7 2 2 5 3 2" xfId="56448"/>
    <cellStyle name="Обычный 9 7 2 2 5 3 3" xfId="56449"/>
    <cellStyle name="Обычный 9 7 2 2 5 4" xfId="56450"/>
    <cellStyle name="Обычный 9 7 2 2 5 4 2" xfId="56451"/>
    <cellStyle name="Обычный 9 7 2 2 5 5" xfId="56452"/>
    <cellStyle name="Обычный 9 7 2 2 5 6" xfId="56453"/>
    <cellStyle name="Обычный 9 7 2 2 6" xfId="56454"/>
    <cellStyle name="Обычный 9 7 2 2 6 2" xfId="56455"/>
    <cellStyle name="Обычный 9 7 2 2 6 3" xfId="56456"/>
    <cellStyle name="Обычный 9 7 2 2 7" xfId="56457"/>
    <cellStyle name="Обычный 9 7 2 2 7 2" xfId="56458"/>
    <cellStyle name="Обычный 9 7 2 2 7 3" xfId="56459"/>
    <cellStyle name="Обычный 9 7 2 2 8" xfId="56460"/>
    <cellStyle name="Обычный 9 7 2 2 8 2" xfId="56461"/>
    <cellStyle name="Обычный 9 7 2 2 9" xfId="56462"/>
    <cellStyle name="Обычный 9 7 2 3" xfId="56463"/>
    <cellStyle name="Обычный 9 7 2 3 10" xfId="56464"/>
    <cellStyle name="Обычный 9 7 2 3 2" xfId="56465"/>
    <cellStyle name="Обычный 9 7 2 3 2 2" xfId="56466"/>
    <cellStyle name="Обычный 9 7 2 3 2 2 2" xfId="56467"/>
    <cellStyle name="Обычный 9 7 2 3 2 2 2 2" xfId="56468"/>
    <cellStyle name="Обычный 9 7 2 3 2 2 2 2 2" xfId="56469"/>
    <cellStyle name="Обычный 9 7 2 3 2 2 2 2 2 2" xfId="56470"/>
    <cellStyle name="Обычный 9 7 2 3 2 2 2 2 2 3" xfId="56471"/>
    <cellStyle name="Обычный 9 7 2 3 2 2 2 2 3" xfId="56472"/>
    <cellStyle name="Обычный 9 7 2 3 2 2 2 2 3 2" xfId="56473"/>
    <cellStyle name="Обычный 9 7 2 3 2 2 2 2 3 3" xfId="56474"/>
    <cellStyle name="Обычный 9 7 2 3 2 2 2 2 4" xfId="56475"/>
    <cellStyle name="Обычный 9 7 2 3 2 2 2 2 4 2" xfId="56476"/>
    <cellStyle name="Обычный 9 7 2 3 2 2 2 2 5" xfId="56477"/>
    <cellStyle name="Обычный 9 7 2 3 2 2 2 2 6" xfId="56478"/>
    <cellStyle name="Обычный 9 7 2 3 2 2 2 3" xfId="56479"/>
    <cellStyle name="Обычный 9 7 2 3 2 2 2 3 2" xfId="56480"/>
    <cellStyle name="Обычный 9 7 2 3 2 2 2 3 3" xfId="56481"/>
    <cellStyle name="Обычный 9 7 2 3 2 2 2 4" xfId="56482"/>
    <cellStyle name="Обычный 9 7 2 3 2 2 2 4 2" xfId="56483"/>
    <cellStyle name="Обычный 9 7 2 3 2 2 2 4 3" xfId="56484"/>
    <cellStyle name="Обычный 9 7 2 3 2 2 2 5" xfId="56485"/>
    <cellStyle name="Обычный 9 7 2 3 2 2 2 5 2" xfId="56486"/>
    <cellStyle name="Обычный 9 7 2 3 2 2 2 6" xfId="56487"/>
    <cellStyle name="Обычный 9 7 2 3 2 2 2 7" xfId="56488"/>
    <cellStyle name="Обычный 9 7 2 3 2 2 3" xfId="56489"/>
    <cellStyle name="Обычный 9 7 2 3 2 2 3 2" xfId="56490"/>
    <cellStyle name="Обычный 9 7 2 3 2 2 3 2 2" xfId="56491"/>
    <cellStyle name="Обычный 9 7 2 3 2 2 3 2 3" xfId="56492"/>
    <cellStyle name="Обычный 9 7 2 3 2 2 3 3" xfId="56493"/>
    <cellStyle name="Обычный 9 7 2 3 2 2 3 3 2" xfId="56494"/>
    <cellStyle name="Обычный 9 7 2 3 2 2 3 3 3" xfId="56495"/>
    <cellStyle name="Обычный 9 7 2 3 2 2 3 4" xfId="56496"/>
    <cellStyle name="Обычный 9 7 2 3 2 2 3 4 2" xfId="56497"/>
    <cellStyle name="Обычный 9 7 2 3 2 2 3 5" xfId="56498"/>
    <cellStyle name="Обычный 9 7 2 3 2 2 3 6" xfId="56499"/>
    <cellStyle name="Обычный 9 7 2 3 2 2 4" xfId="56500"/>
    <cellStyle name="Обычный 9 7 2 3 2 2 4 2" xfId="56501"/>
    <cellStyle name="Обычный 9 7 2 3 2 2 4 3" xfId="56502"/>
    <cellStyle name="Обычный 9 7 2 3 2 2 5" xfId="56503"/>
    <cellStyle name="Обычный 9 7 2 3 2 2 5 2" xfId="56504"/>
    <cellStyle name="Обычный 9 7 2 3 2 2 5 3" xfId="56505"/>
    <cellStyle name="Обычный 9 7 2 3 2 2 6" xfId="56506"/>
    <cellStyle name="Обычный 9 7 2 3 2 2 6 2" xfId="56507"/>
    <cellStyle name="Обычный 9 7 2 3 2 2 7" xfId="56508"/>
    <cellStyle name="Обычный 9 7 2 3 2 2 8" xfId="56509"/>
    <cellStyle name="Обычный 9 7 2 3 2 3" xfId="56510"/>
    <cellStyle name="Обычный 9 7 2 3 2 3 2" xfId="56511"/>
    <cellStyle name="Обычный 9 7 2 3 2 3 2 2" xfId="56512"/>
    <cellStyle name="Обычный 9 7 2 3 2 3 2 2 2" xfId="56513"/>
    <cellStyle name="Обычный 9 7 2 3 2 3 2 2 3" xfId="56514"/>
    <cellStyle name="Обычный 9 7 2 3 2 3 2 3" xfId="56515"/>
    <cellStyle name="Обычный 9 7 2 3 2 3 2 3 2" xfId="56516"/>
    <cellStyle name="Обычный 9 7 2 3 2 3 2 3 3" xfId="56517"/>
    <cellStyle name="Обычный 9 7 2 3 2 3 2 4" xfId="56518"/>
    <cellStyle name="Обычный 9 7 2 3 2 3 2 4 2" xfId="56519"/>
    <cellStyle name="Обычный 9 7 2 3 2 3 2 5" xfId="56520"/>
    <cellStyle name="Обычный 9 7 2 3 2 3 2 6" xfId="56521"/>
    <cellStyle name="Обычный 9 7 2 3 2 3 3" xfId="56522"/>
    <cellStyle name="Обычный 9 7 2 3 2 3 3 2" xfId="56523"/>
    <cellStyle name="Обычный 9 7 2 3 2 3 3 3" xfId="56524"/>
    <cellStyle name="Обычный 9 7 2 3 2 3 4" xfId="56525"/>
    <cellStyle name="Обычный 9 7 2 3 2 3 4 2" xfId="56526"/>
    <cellStyle name="Обычный 9 7 2 3 2 3 4 3" xfId="56527"/>
    <cellStyle name="Обычный 9 7 2 3 2 3 5" xfId="56528"/>
    <cellStyle name="Обычный 9 7 2 3 2 3 5 2" xfId="56529"/>
    <cellStyle name="Обычный 9 7 2 3 2 3 6" xfId="56530"/>
    <cellStyle name="Обычный 9 7 2 3 2 3 7" xfId="56531"/>
    <cellStyle name="Обычный 9 7 2 3 2 4" xfId="56532"/>
    <cellStyle name="Обычный 9 7 2 3 2 4 2" xfId="56533"/>
    <cellStyle name="Обычный 9 7 2 3 2 4 2 2" xfId="56534"/>
    <cellStyle name="Обычный 9 7 2 3 2 4 2 3" xfId="56535"/>
    <cellStyle name="Обычный 9 7 2 3 2 4 3" xfId="56536"/>
    <cellStyle name="Обычный 9 7 2 3 2 4 3 2" xfId="56537"/>
    <cellStyle name="Обычный 9 7 2 3 2 4 3 3" xfId="56538"/>
    <cellStyle name="Обычный 9 7 2 3 2 4 4" xfId="56539"/>
    <cellStyle name="Обычный 9 7 2 3 2 4 4 2" xfId="56540"/>
    <cellStyle name="Обычный 9 7 2 3 2 4 5" xfId="56541"/>
    <cellStyle name="Обычный 9 7 2 3 2 4 6" xfId="56542"/>
    <cellStyle name="Обычный 9 7 2 3 2 5" xfId="56543"/>
    <cellStyle name="Обычный 9 7 2 3 2 5 2" xfId="56544"/>
    <cellStyle name="Обычный 9 7 2 3 2 5 3" xfId="56545"/>
    <cellStyle name="Обычный 9 7 2 3 2 6" xfId="56546"/>
    <cellStyle name="Обычный 9 7 2 3 2 6 2" xfId="56547"/>
    <cellStyle name="Обычный 9 7 2 3 2 6 3" xfId="56548"/>
    <cellStyle name="Обычный 9 7 2 3 2 7" xfId="56549"/>
    <cellStyle name="Обычный 9 7 2 3 2 7 2" xfId="56550"/>
    <cellStyle name="Обычный 9 7 2 3 2 8" xfId="56551"/>
    <cellStyle name="Обычный 9 7 2 3 2 9" xfId="56552"/>
    <cellStyle name="Обычный 9 7 2 3 3" xfId="56553"/>
    <cellStyle name="Обычный 9 7 2 3 3 2" xfId="56554"/>
    <cellStyle name="Обычный 9 7 2 3 3 2 2" xfId="56555"/>
    <cellStyle name="Обычный 9 7 2 3 3 2 2 2" xfId="56556"/>
    <cellStyle name="Обычный 9 7 2 3 3 2 2 2 2" xfId="56557"/>
    <cellStyle name="Обычный 9 7 2 3 3 2 2 2 3" xfId="56558"/>
    <cellStyle name="Обычный 9 7 2 3 3 2 2 3" xfId="56559"/>
    <cellStyle name="Обычный 9 7 2 3 3 2 2 3 2" xfId="56560"/>
    <cellStyle name="Обычный 9 7 2 3 3 2 2 3 3" xfId="56561"/>
    <cellStyle name="Обычный 9 7 2 3 3 2 2 4" xfId="56562"/>
    <cellStyle name="Обычный 9 7 2 3 3 2 2 4 2" xfId="56563"/>
    <cellStyle name="Обычный 9 7 2 3 3 2 2 5" xfId="56564"/>
    <cellStyle name="Обычный 9 7 2 3 3 2 2 6" xfId="56565"/>
    <cellStyle name="Обычный 9 7 2 3 3 2 3" xfId="56566"/>
    <cellStyle name="Обычный 9 7 2 3 3 2 3 2" xfId="56567"/>
    <cellStyle name="Обычный 9 7 2 3 3 2 3 3" xfId="56568"/>
    <cellStyle name="Обычный 9 7 2 3 3 2 4" xfId="56569"/>
    <cellStyle name="Обычный 9 7 2 3 3 2 4 2" xfId="56570"/>
    <cellStyle name="Обычный 9 7 2 3 3 2 4 3" xfId="56571"/>
    <cellStyle name="Обычный 9 7 2 3 3 2 5" xfId="56572"/>
    <cellStyle name="Обычный 9 7 2 3 3 2 5 2" xfId="56573"/>
    <cellStyle name="Обычный 9 7 2 3 3 2 6" xfId="56574"/>
    <cellStyle name="Обычный 9 7 2 3 3 2 7" xfId="56575"/>
    <cellStyle name="Обычный 9 7 2 3 3 3" xfId="56576"/>
    <cellStyle name="Обычный 9 7 2 3 3 3 2" xfId="56577"/>
    <cellStyle name="Обычный 9 7 2 3 3 3 2 2" xfId="56578"/>
    <cellStyle name="Обычный 9 7 2 3 3 3 2 3" xfId="56579"/>
    <cellStyle name="Обычный 9 7 2 3 3 3 3" xfId="56580"/>
    <cellStyle name="Обычный 9 7 2 3 3 3 3 2" xfId="56581"/>
    <cellStyle name="Обычный 9 7 2 3 3 3 3 3" xfId="56582"/>
    <cellStyle name="Обычный 9 7 2 3 3 3 4" xfId="56583"/>
    <cellStyle name="Обычный 9 7 2 3 3 3 4 2" xfId="56584"/>
    <cellStyle name="Обычный 9 7 2 3 3 3 5" xfId="56585"/>
    <cellStyle name="Обычный 9 7 2 3 3 3 6" xfId="56586"/>
    <cellStyle name="Обычный 9 7 2 3 3 4" xfId="56587"/>
    <cellStyle name="Обычный 9 7 2 3 3 4 2" xfId="56588"/>
    <cellStyle name="Обычный 9 7 2 3 3 4 3" xfId="56589"/>
    <cellStyle name="Обычный 9 7 2 3 3 5" xfId="56590"/>
    <cellStyle name="Обычный 9 7 2 3 3 5 2" xfId="56591"/>
    <cellStyle name="Обычный 9 7 2 3 3 5 3" xfId="56592"/>
    <cellStyle name="Обычный 9 7 2 3 3 6" xfId="56593"/>
    <cellStyle name="Обычный 9 7 2 3 3 6 2" xfId="56594"/>
    <cellStyle name="Обычный 9 7 2 3 3 7" xfId="56595"/>
    <cellStyle name="Обычный 9 7 2 3 3 8" xfId="56596"/>
    <cellStyle name="Обычный 9 7 2 3 4" xfId="56597"/>
    <cellStyle name="Обычный 9 7 2 3 4 2" xfId="56598"/>
    <cellStyle name="Обычный 9 7 2 3 4 2 2" xfId="56599"/>
    <cellStyle name="Обычный 9 7 2 3 4 2 2 2" xfId="56600"/>
    <cellStyle name="Обычный 9 7 2 3 4 2 2 3" xfId="56601"/>
    <cellStyle name="Обычный 9 7 2 3 4 2 3" xfId="56602"/>
    <cellStyle name="Обычный 9 7 2 3 4 2 3 2" xfId="56603"/>
    <cellStyle name="Обычный 9 7 2 3 4 2 3 3" xfId="56604"/>
    <cellStyle name="Обычный 9 7 2 3 4 2 4" xfId="56605"/>
    <cellStyle name="Обычный 9 7 2 3 4 2 4 2" xfId="56606"/>
    <cellStyle name="Обычный 9 7 2 3 4 2 5" xfId="56607"/>
    <cellStyle name="Обычный 9 7 2 3 4 2 6" xfId="56608"/>
    <cellStyle name="Обычный 9 7 2 3 4 3" xfId="56609"/>
    <cellStyle name="Обычный 9 7 2 3 4 3 2" xfId="56610"/>
    <cellStyle name="Обычный 9 7 2 3 4 3 3" xfId="56611"/>
    <cellStyle name="Обычный 9 7 2 3 4 4" xfId="56612"/>
    <cellStyle name="Обычный 9 7 2 3 4 4 2" xfId="56613"/>
    <cellStyle name="Обычный 9 7 2 3 4 4 3" xfId="56614"/>
    <cellStyle name="Обычный 9 7 2 3 4 5" xfId="56615"/>
    <cellStyle name="Обычный 9 7 2 3 4 5 2" xfId="56616"/>
    <cellStyle name="Обычный 9 7 2 3 4 6" xfId="56617"/>
    <cellStyle name="Обычный 9 7 2 3 4 7" xfId="56618"/>
    <cellStyle name="Обычный 9 7 2 3 5" xfId="56619"/>
    <cellStyle name="Обычный 9 7 2 3 5 2" xfId="56620"/>
    <cellStyle name="Обычный 9 7 2 3 5 2 2" xfId="56621"/>
    <cellStyle name="Обычный 9 7 2 3 5 2 3" xfId="56622"/>
    <cellStyle name="Обычный 9 7 2 3 5 3" xfId="56623"/>
    <cellStyle name="Обычный 9 7 2 3 5 3 2" xfId="56624"/>
    <cellStyle name="Обычный 9 7 2 3 5 3 3" xfId="56625"/>
    <cellStyle name="Обычный 9 7 2 3 5 4" xfId="56626"/>
    <cellStyle name="Обычный 9 7 2 3 5 4 2" xfId="56627"/>
    <cellStyle name="Обычный 9 7 2 3 5 5" xfId="56628"/>
    <cellStyle name="Обычный 9 7 2 3 5 6" xfId="56629"/>
    <cellStyle name="Обычный 9 7 2 3 6" xfId="56630"/>
    <cellStyle name="Обычный 9 7 2 3 6 2" xfId="56631"/>
    <cellStyle name="Обычный 9 7 2 3 6 3" xfId="56632"/>
    <cellStyle name="Обычный 9 7 2 3 7" xfId="56633"/>
    <cellStyle name="Обычный 9 7 2 3 7 2" xfId="56634"/>
    <cellStyle name="Обычный 9 7 2 3 7 3" xfId="56635"/>
    <cellStyle name="Обычный 9 7 2 3 8" xfId="56636"/>
    <cellStyle name="Обычный 9 7 2 3 8 2" xfId="56637"/>
    <cellStyle name="Обычный 9 7 2 3 9" xfId="56638"/>
    <cellStyle name="Обычный 9 7 2 4" xfId="56639"/>
    <cellStyle name="Обычный 9 7 2 4 10" xfId="56640"/>
    <cellStyle name="Обычный 9 7 2 4 2" xfId="56641"/>
    <cellStyle name="Обычный 9 7 2 4 2 2" xfId="56642"/>
    <cellStyle name="Обычный 9 7 2 4 2 2 2" xfId="56643"/>
    <cellStyle name="Обычный 9 7 2 4 2 2 2 2" xfId="56644"/>
    <cellStyle name="Обычный 9 7 2 4 2 2 2 2 2" xfId="56645"/>
    <cellStyle name="Обычный 9 7 2 4 2 2 2 2 2 2" xfId="56646"/>
    <cellStyle name="Обычный 9 7 2 4 2 2 2 2 2 3" xfId="56647"/>
    <cellStyle name="Обычный 9 7 2 4 2 2 2 2 3" xfId="56648"/>
    <cellStyle name="Обычный 9 7 2 4 2 2 2 2 3 2" xfId="56649"/>
    <cellStyle name="Обычный 9 7 2 4 2 2 2 2 3 3" xfId="56650"/>
    <cellStyle name="Обычный 9 7 2 4 2 2 2 2 4" xfId="56651"/>
    <cellStyle name="Обычный 9 7 2 4 2 2 2 2 4 2" xfId="56652"/>
    <cellStyle name="Обычный 9 7 2 4 2 2 2 2 5" xfId="56653"/>
    <cellStyle name="Обычный 9 7 2 4 2 2 2 2 6" xfId="56654"/>
    <cellStyle name="Обычный 9 7 2 4 2 2 2 3" xfId="56655"/>
    <cellStyle name="Обычный 9 7 2 4 2 2 2 3 2" xfId="56656"/>
    <cellStyle name="Обычный 9 7 2 4 2 2 2 3 3" xfId="56657"/>
    <cellStyle name="Обычный 9 7 2 4 2 2 2 4" xfId="56658"/>
    <cellStyle name="Обычный 9 7 2 4 2 2 2 4 2" xfId="56659"/>
    <cellStyle name="Обычный 9 7 2 4 2 2 2 4 3" xfId="56660"/>
    <cellStyle name="Обычный 9 7 2 4 2 2 2 5" xfId="56661"/>
    <cellStyle name="Обычный 9 7 2 4 2 2 2 5 2" xfId="56662"/>
    <cellStyle name="Обычный 9 7 2 4 2 2 2 6" xfId="56663"/>
    <cellStyle name="Обычный 9 7 2 4 2 2 2 7" xfId="56664"/>
    <cellStyle name="Обычный 9 7 2 4 2 2 3" xfId="56665"/>
    <cellStyle name="Обычный 9 7 2 4 2 2 3 2" xfId="56666"/>
    <cellStyle name="Обычный 9 7 2 4 2 2 3 2 2" xfId="56667"/>
    <cellStyle name="Обычный 9 7 2 4 2 2 3 2 3" xfId="56668"/>
    <cellStyle name="Обычный 9 7 2 4 2 2 3 3" xfId="56669"/>
    <cellStyle name="Обычный 9 7 2 4 2 2 3 3 2" xfId="56670"/>
    <cellStyle name="Обычный 9 7 2 4 2 2 3 3 3" xfId="56671"/>
    <cellStyle name="Обычный 9 7 2 4 2 2 3 4" xfId="56672"/>
    <cellStyle name="Обычный 9 7 2 4 2 2 3 4 2" xfId="56673"/>
    <cellStyle name="Обычный 9 7 2 4 2 2 3 5" xfId="56674"/>
    <cellStyle name="Обычный 9 7 2 4 2 2 3 6" xfId="56675"/>
    <cellStyle name="Обычный 9 7 2 4 2 2 4" xfId="56676"/>
    <cellStyle name="Обычный 9 7 2 4 2 2 4 2" xfId="56677"/>
    <cellStyle name="Обычный 9 7 2 4 2 2 4 3" xfId="56678"/>
    <cellStyle name="Обычный 9 7 2 4 2 2 5" xfId="56679"/>
    <cellStyle name="Обычный 9 7 2 4 2 2 5 2" xfId="56680"/>
    <cellStyle name="Обычный 9 7 2 4 2 2 5 3" xfId="56681"/>
    <cellStyle name="Обычный 9 7 2 4 2 2 6" xfId="56682"/>
    <cellStyle name="Обычный 9 7 2 4 2 2 6 2" xfId="56683"/>
    <cellStyle name="Обычный 9 7 2 4 2 2 7" xfId="56684"/>
    <cellStyle name="Обычный 9 7 2 4 2 2 8" xfId="56685"/>
    <cellStyle name="Обычный 9 7 2 4 2 3" xfId="56686"/>
    <cellStyle name="Обычный 9 7 2 4 2 3 2" xfId="56687"/>
    <cellStyle name="Обычный 9 7 2 4 2 3 2 2" xfId="56688"/>
    <cellStyle name="Обычный 9 7 2 4 2 3 2 2 2" xfId="56689"/>
    <cellStyle name="Обычный 9 7 2 4 2 3 2 2 3" xfId="56690"/>
    <cellStyle name="Обычный 9 7 2 4 2 3 2 3" xfId="56691"/>
    <cellStyle name="Обычный 9 7 2 4 2 3 2 3 2" xfId="56692"/>
    <cellStyle name="Обычный 9 7 2 4 2 3 2 3 3" xfId="56693"/>
    <cellStyle name="Обычный 9 7 2 4 2 3 2 4" xfId="56694"/>
    <cellStyle name="Обычный 9 7 2 4 2 3 2 4 2" xfId="56695"/>
    <cellStyle name="Обычный 9 7 2 4 2 3 2 5" xfId="56696"/>
    <cellStyle name="Обычный 9 7 2 4 2 3 2 6" xfId="56697"/>
    <cellStyle name="Обычный 9 7 2 4 2 3 3" xfId="56698"/>
    <cellStyle name="Обычный 9 7 2 4 2 3 3 2" xfId="56699"/>
    <cellStyle name="Обычный 9 7 2 4 2 3 3 3" xfId="56700"/>
    <cellStyle name="Обычный 9 7 2 4 2 3 4" xfId="56701"/>
    <cellStyle name="Обычный 9 7 2 4 2 3 4 2" xfId="56702"/>
    <cellStyle name="Обычный 9 7 2 4 2 3 4 3" xfId="56703"/>
    <cellStyle name="Обычный 9 7 2 4 2 3 5" xfId="56704"/>
    <cellStyle name="Обычный 9 7 2 4 2 3 5 2" xfId="56705"/>
    <cellStyle name="Обычный 9 7 2 4 2 3 6" xfId="56706"/>
    <cellStyle name="Обычный 9 7 2 4 2 3 7" xfId="56707"/>
    <cellStyle name="Обычный 9 7 2 4 2 4" xfId="56708"/>
    <cellStyle name="Обычный 9 7 2 4 2 4 2" xfId="56709"/>
    <cellStyle name="Обычный 9 7 2 4 2 4 2 2" xfId="56710"/>
    <cellStyle name="Обычный 9 7 2 4 2 4 2 3" xfId="56711"/>
    <cellStyle name="Обычный 9 7 2 4 2 4 3" xfId="56712"/>
    <cellStyle name="Обычный 9 7 2 4 2 4 3 2" xfId="56713"/>
    <cellStyle name="Обычный 9 7 2 4 2 4 3 3" xfId="56714"/>
    <cellStyle name="Обычный 9 7 2 4 2 4 4" xfId="56715"/>
    <cellStyle name="Обычный 9 7 2 4 2 4 4 2" xfId="56716"/>
    <cellStyle name="Обычный 9 7 2 4 2 4 5" xfId="56717"/>
    <cellStyle name="Обычный 9 7 2 4 2 4 6" xfId="56718"/>
    <cellStyle name="Обычный 9 7 2 4 2 5" xfId="56719"/>
    <cellStyle name="Обычный 9 7 2 4 2 5 2" xfId="56720"/>
    <cellStyle name="Обычный 9 7 2 4 2 5 3" xfId="56721"/>
    <cellStyle name="Обычный 9 7 2 4 2 6" xfId="56722"/>
    <cellStyle name="Обычный 9 7 2 4 2 6 2" xfId="56723"/>
    <cellStyle name="Обычный 9 7 2 4 2 6 3" xfId="56724"/>
    <cellStyle name="Обычный 9 7 2 4 2 7" xfId="56725"/>
    <cellStyle name="Обычный 9 7 2 4 2 7 2" xfId="56726"/>
    <cellStyle name="Обычный 9 7 2 4 2 8" xfId="56727"/>
    <cellStyle name="Обычный 9 7 2 4 2 9" xfId="56728"/>
    <cellStyle name="Обычный 9 7 2 4 3" xfId="56729"/>
    <cellStyle name="Обычный 9 7 2 4 3 2" xfId="56730"/>
    <cellStyle name="Обычный 9 7 2 4 3 2 2" xfId="56731"/>
    <cellStyle name="Обычный 9 7 2 4 3 2 2 2" xfId="56732"/>
    <cellStyle name="Обычный 9 7 2 4 3 2 2 2 2" xfId="56733"/>
    <cellStyle name="Обычный 9 7 2 4 3 2 2 2 3" xfId="56734"/>
    <cellStyle name="Обычный 9 7 2 4 3 2 2 3" xfId="56735"/>
    <cellStyle name="Обычный 9 7 2 4 3 2 2 3 2" xfId="56736"/>
    <cellStyle name="Обычный 9 7 2 4 3 2 2 3 3" xfId="56737"/>
    <cellStyle name="Обычный 9 7 2 4 3 2 2 4" xfId="56738"/>
    <cellStyle name="Обычный 9 7 2 4 3 2 2 4 2" xfId="56739"/>
    <cellStyle name="Обычный 9 7 2 4 3 2 2 5" xfId="56740"/>
    <cellStyle name="Обычный 9 7 2 4 3 2 2 6" xfId="56741"/>
    <cellStyle name="Обычный 9 7 2 4 3 2 3" xfId="56742"/>
    <cellStyle name="Обычный 9 7 2 4 3 2 3 2" xfId="56743"/>
    <cellStyle name="Обычный 9 7 2 4 3 2 3 3" xfId="56744"/>
    <cellStyle name="Обычный 9 7 2 4 3 2 4" xfId="56745"/>
    <cellStyle name="Обычный 9 7 2 4 3 2 4 2" xfId="56746"/>
    <cellStyle name="Обычный 9 7 2 4 3 2 4 3" xfId="56747"/>
    <cellStyle name="Обычный 9 7 2 4 3 2 5" xfId="56748"/>
    <cellStyle name="Обычный 9 7 2 4 3 2 5 2" xfId="56749"/>
    <cellStyle name="Обычный 9 7 2 4 3 2 6" xfId="56750"/>
    <cellStyle name="Обычный 9 7 2 4 3 2 7" xfId="56751"/>
    <cellStyle name="Обычный 9 7 2 4 3 3" xfId="56752"/>
    <cellStyle name="Обычный 9 7 2 4 3 3 2" xfId="56753"/>
    <cellStyle name="Обычный 9 7 2 4 3 3 2 2" xfId="56754"/>
    <cellStyle name="Обычный 9 7 2 4 3 3 2 3" xfId="56755"/>
    <cellStyle name="Обычный 9 7 2 4 3 3 3" xfId="56756"/>
    <cellStyle name="Обычный 9 7 2 4 3 3 3 2" xfId="56757"/>
    <cellStyle name="Обычный 9 7 2 4 3 3 3 3" xfId="56758"/>
    <cellStyle name="Обычный 9 7 2 4 3 3 4" xfId="56759"/>
    <cellStyle name="Обычный 9 7 2 4 3 3 4 2" xfId="56760"/>
    <cellStyle name="Обычный 9 7 2 4 3 3 5" xfId="56761"/>
    <cellStyle name="Обычный 9 7 2 4 3 3 6" xfId="56762"/>
    <cellStyle name="Обычный 9 7 2 4 3 4" xfId="56763"/>
    <cellStyle name="Обычный 9 7 2 4 3 4 2" xfId="56764"/>
    <cellStyle name="Обычный 9 7 2 4 3 4 3" xfId="56765"/>
    <cellStyle name="Обычный 9 7 2 4 3 5" xfId="56766"/>
    <cellStyle name="Обычный 9 7 2 4 3 5 2" xfId="56767"/>
    <cellStyle name="Обычный 9 7 2 4 3 5 3" xfId="56768"/>
    <cellStyle name="Обычный 9 7 2 4 3 6" xfId="56769"/>
    <cellStyle name="Обычный 9 7 2 4 3 6 2" xfId="56770"/>
    <cellStyle name="Обычный 9 7 2 4 3 7" xfId="56771"/>
    <cellStyle name="Обычный 9 7 2 4 3 8" xfId="56772"/>
    <cellStyle name="Обычный 9 7 2 4 4" xfId="56773"/>
    <cellStyle name="Обычный 9 7 2 4 4 2" xfId="56774"/>
    <cellStyle name="Обычный 9 7 2 4 4 2 2" xfId="56775"/>
    <cellStyle name="Обычный 9 7 2 4 4 2 2 2" xfId="56776"/>
    <cellStyle name="Обычный 9 7 2 4 4 2 2 3" xfId="56777"/>
    <cellStyle name="Обычный 9 7 2 4 4 2 3" xfId="56778"/>
    <cellStyle name="Обычный 9 7 2 4 4 2 3 2" xfId="56779"/>
    <cellStyle name="Обычный 9 7 2 4 4 2 3 3" xfId="56780"/>
    <cellStyle name="Обычный 9 7 2 4 4 2 4" xfId="56781"/>
    <cellStyle name="Обычный 9 7 2 4 4 2 4 2" xfId="56782"/>
    <cellStyle name="Обычный 9 7 2 4 4 2 5" xfId="56783"/>
    <cellStyle name="Обычный 9 7 2 4 4 2 6" xfId="56784"/>
    <cellStyle name="Обычный 9 7 2 4 4 3" xfId="56785"/>
    <cellStyle name="Обычный 9 7 2 4 4 3 2" xfId="56786"/>
    <cellStyle name="Обычный 9 7 2 4 4 3 3" xfId="56787"/>
    <cellStyle name="Обычный 9 7 2 4 4 4" xfId="56788"/>
    <cellStyle name="Обычный 9 7 2 4 4 4 2" xfId="56789"/>
    <cellStyle name="Обычный 9 7 2 4 4 4 3" xfId="56790"/>
    <cellStyle name="Обычный 9 7 2 4 4 5" xfId="56791"/>
    <cellStyle name="Обычный 9 7 2 4 4 5 2" xfId="56792"/>
    <cellStyle name="Обычный 9 7 2 4 4 6" xfId="56793"/>
    <cellStyle name="Обычный 9 7 2 4 4 7" xfId="56794"/>
    <cellStyle name="Обычный 9 7 2 4 5" xfId="56795"/>
    <cellStyle name="Обычный 9 7 2 4 5 2" xfId="56796"/>
    <cellStyle name="Обычный 9 7 2 4 5 2 2" xfId="56797"/>
    <cellStyle name="Обычный 9 7 2 4 5 2 3" xfId="56798"/>
    <cellStyle name="Обычный 9 7 2 4 5 3" xfId="56799"/>
    <cellStyle name="Обычный 9 7 2 4 5 3 2" xfId="56800"/>
    <cellStyle name="Обычный 9 7 2 4 5 3 3" xfId="56801"/>
    <cellStyle name="Обычный 9 7 2 4 5 4" xfId="56802"/>
    <cellStyle name="Обычный 9 7 2 4 5 4 2" xfId="56803"/>
    <cellStyle name="Обычный 9 7 2 4 5 5" xfId="56804"/>
    <cellStyle name="Обычный 9 7 2 4 5 6" xfId="56805"/>
    <cellStyle name="Обычный 9 7 2 4 6" xfId="56806"/>
    <cellStyle name="Обычный 9 7 2 4 6 2" xfId="56807"/>
    <cellStyle name="Обычный 9 7 2 4 6 3" xfId="56808"/>
    <cellStyle name="Обычный 9 7 2 4 7" xfId="56809"/>
    <cellStyle name="Обычный 9 7 2 4 7 2" xfId="56810"/>
    <cellStyle name="Обычный 9 7 2 4 7 3" xfId="56811"/>
    <cellStyle name="Обычный 9 7 2 4 8" xfId="56812"/>
    <cellStyle name="Обычный 9 7 2 4 8 2" xfId="56813"/>
    <cellStyle name="Обычный 9 7 2 4 9" xfId="56814"/>
    <cellStyle name="Обычный 9 7 2 5" xfId="56815"/>
    <cellStyle name="Обычный 9 7 2 5 2" xfId="56816"/>
    <cellStyle name="Обычный 9 7 2 5 2 2" xfId="56817"/>
    <cellStyle name="Обычный 9 7 2 5 2 2 2" xfId="56818"/>
    <cellStyle name="Обычный 9 7 2 5 2 2 2 2" xfId="56819"/>
    <cellStyle name="Обычный 9 7 2 5 2 2 2 2 2" xfId="56820"/>
    <cellStyle name="Обычный 9 7 2 5 2 2 2 2 3" xfId="56821"/>
    <cellStyle name="Обычный 9 7 2 5 2 2 2 3" xfId="56822"/>
    <cellStyle name="Обычный 9 7 2 5 2 2 2 3 2" xfId="56823"/>
    <cellStyle name="Обычный 9 7 2 5 2 2 2 3 3" xfId="56824"/>
    <cellStyle name="Обычный 9 7 2 5 2 2 2 4" xfId="56825"/>
    <cellStyle name="Обычный 9 7 2 5 2 2 2 4 2" xfId="56826"/>
    <cellStyle name="Обычный 9 7 2 5 2 2 2 5" xfId="56827"/>
    <cellStyle name="Обычный 9 7 2 5 2 2 2 6" xfId="56828"/>
    <cellStyle name="Обычный 9 7 2 5 2 2 3" xfId="56829"/>
    <cellStyle name="Обычный 9 7 2 5 2 2 3 2" xfId="56830"/>
    <cellStyle name="Обычный 9 7 2 5 2 2 3 3" xfId="56831"/>
    <cellStyle name="Обычный 9 7 2 5 2 2 4" xfId="56832"/>
    <cellStyle name="Обычный 9 7 2 5 2 2 4 2" xfId="56833"/>
    <cellStyle name="Обычный 9 7 2 5 2 2 4 3" xfId="56834"/>
    <cellStyle name="Обычный 9 7 2 5 2 2 5" xfId="56835"/>
    <cellStyle name="Обычный 9 7 2 5 2 2 5 2" xfId="56836"/>
    <cellStyle name="Обычный 9 7 2 5 2 2 6" xfId="56837"/>
    <cellStyle name="Обычный 9 7 2 5 2 2 7" xfId="56838"/>
    <cellStyle name="Обычный 9 7 2 5 2 3" xfId="56839"/>
    <cellStyle name="Обычный 9 7 2 5 2 3 2" xfId="56840"/>
    <cellStyle name="Обычный 9 7 2 5 2 3 2 2" xfId="56841"/>
    <cellStyle name="Обычный 9 7 2 5 2 3 2 3" xfId="56842"/>
    <cellStyle name="Обычный 9 7 2 5 2 3 3" xfId="56843"/>
    <cellStyle name="Обычный 9 7 2 5 2 3 3 2" xfId="56844"/>
    <cellStyle name="Обычный 9 7 2 5 2 3 3 3" xfId="56845"/>
    <cellStyle name="Обычный 9 7 2 5 2 3 4" xfId="56846"/>
    <cellStyle name="Обычный 9 7 2 5 2 3 4 2" xfId="56847"/>
    <cellStyle name="Обычный 9 7 2 5 2 3 5" xfId="56848"/>
    <cellStyle name="Обычный 9 7 2 5 2 3 6" xfId="56849"/>
    <cellStyle name="Обычный 9 7 2 5 2 4" xfId="56850"/>
    <cellStyle name="Обычный 9 7 2 5 2 4 2" xfId="56851"/>
    <cellStyle name="Обычный 9 7 2 5 2 4 3" xfId="56852"/>
    <cellStyle name="Обычный 9 7 2 5 2 5" xfId="56853"/>
    <cellStyle name="Обычный 9 7 2 5 2 5 2" xfId="56854"/>
    <cellStyle name="Обычный 9 7 2 5 2 5 3" xfId="56855"/>
    <cellStyle name="Обычный 9 7 2 5 2 6" xfId="56856"/>
    <cellStyle name="Обычный 9 7 2 5 2 6 2" xfId="56857"/>
    <cellStyle name="Обычный 9 7 2 5 2 7" xfId="56858"/>
    <cellStyle name="Обычный 9 7 2 5 2 8" xfId="56859"/>
    <cellStyle name="Обычный 9 7 2 5 3" xfId="56860"/>
    <cellStyle name="Обычный 9 7 2 5 3 2" xfId="56861"/>
    <cellStyle name="Обычный 9 7 2 5 3 2 2" xfId="56862"/>
    <cellStyle name="Обычный 9 7 2 5 3 2 2 2" xfId="56863"/>
    <cellStyle name="Обычный 9 7 2 5 3 2 2 3" xfId="56864"/>
    <cellStyle name="Обычный 9 7 2 5 3 2 3" xfId="56865"/>
    <cellStyle name="Обычный 9 7 2 5 3 2 3 2" xfId="56866"/>
    <cellStyle name="Обычный 9 7 2 5 3 2 3 3" xfId="56867"/>
    <cellStyle name="Обычный 9 7 2 5 3 2 4" xfId="56868"/>
    <cellStyle name="Обычный 9 7 2 5 3 2 4 2" xfId="56869"/>
    <cellStyle name="Обычный 9 7 2 5 3 2 5" xfId="56870"/>
    <cellStyle name="Обычный 9 7 2 5 3 2 6" xfId="56871"/>
    <cellStyle name="Обычный 9 7 2 5 3 3" xfId="56872"/>
    <cellStyle name="Обычный 9 7 2 5 3 3 2" xfId="56873"/>
    <cellStyle name="Обычный 9 7 2 5 3 3 3" xfId="56874"/>
    <cellStyle name="Обычный 9 7 2 5 3 4" xfId="56875"/>
    <cellStyle name="Обычный 9 7 2 5 3 4 2" xfId="56876"/>
    <cellStyle name="Обычный 9 7 2 5 3 4 3" xfId="56877"/>
    <cellStyle name="Обычный 9 7 2 5 3 5" xfId="56878"/>
    <cellStyle name="Обычный 9 7 2 5 3 5 2" xfId="56879"/>
    <cellStyle name="Обычный 9 7 2 5 3 6" xfId="56880"/>
    <cellStyle name="Обычный 9 7 2 5 3 7" xfId="56881"/>
    <cellStyle name="Обычный 9 7 2 5 4" xfId="56882"/>
    <cellStyle name="Обычный 9 7 2 5 4 2" xfId="56883"/>
    <cellStyle name="Обычный 9 7 2 5 4 2 2" xfId="56884"/>
    <cellStyle name="Обычный 9 7 2 5 4 2 3" xfId="56885"/>
    <cellStyle name="Обычный 9 7 2 5 4 3" xfId="56886"/>
    <cellStyle name="Обычный 9 7 2 5 4 3 2" xfId="56887"/>
    <cellStyle name="Обычный 9 7 2 5 4 3 3" xfId="56888"/>
    <cellStyle name="Обычный 9 7 2 5 4 4" xfId="56889"/>
    <cellStyle name="Обычный 9 7 2 5 4 4 2" xfId="56890"/>
    <cellStyle name="Обычный 9 7 2 5 4 5" xfId="56891"/>
    <cellStyle name="Обычный 9 7 2 5 4 6" xfId="56892"/>
    <cellStyle name="Обычный 9 7 2 5 5" xfId="56893"/>
    <cellStyle name="Обычный 9 7 2 5 5 2" xfId="56894"/>
    <cellStyle name="Обычный 9 7 2 5 5 3" xfId="56895"/>
    <cellStyle name="Обычный 9 7 2 5 6" xfId="56896"/>
    <cellStyle name="Обычный 9 7 2 5 6 2" xfId="56897"/>
    <cellStyle name="Обычный 9 7 2 5 6 3" xfId="56898"/>
    <cellStyle name="Обычный 9 7 2 5 7" xfId="56899"/>
    <cellStyle name="Обычный 9 7 2 5 7 2" xfId="56900"/>
    <cellStyle name="Обычный 9 7 2 5 8" xfId="56901"/>
    <cellStyle name="Обычный 9 7 2 5 9" xfId="56902"/>
    <cellStyle name="Обычный 9 7 2 6" xfId="56903"/>
    <cellStyle name="Обычный 9 7 2 6 2" xfId="56904"/>
    <cellStyle name="Обычный 9 7 2 6 2 2" xfId="56905"/>
    <cellStyle name="Обычный 9 7 2 6 2 2 2" xfId="56906"/>
    <cellStyle name="Обычный 9 7 2 6 2 2 2 2" xfId="56907"/>
    <cellStyle name="Обычный 9 7 2 6 2 2 2 3" xfId="56908"/>
    <cellStyle name="Обычный 9 7 2 6 2 2 3" xfId="56909"/>
    <cellStyle name="Обычный 9 7 2 6 2 2 3 2" xfId="56910"/>
    <cellStyle name="Обычный 9 7 2 6 2 2 3 3" xfId="56911"/>
    <cellStyle name="Обычный 9 7 2 6 2 2 4" xfId="56912"/>
    <cellStyle name="Обычный 9 7 2 6 2 2 4 2" xfId="56913"/>
    <cellStyle name="Обычный 9 7 2 6 2 2 5" xfId="56914"/>
    <cellStyle name="Обычный 9 7 2 6 2 2 6" xfId="56915"/>
    <cellStyle name="Обычный 9 7 2 6 2 3" xfId="56916"/>
    <cellStyle name="Обычный 9 7 2 6 2 3 2" xfId="56917"/>
    <cellStyle name="Обычный 9 7 2 6 2 3 3" xfId="56918"/>
    <cellStyle name="Обычный 9 7 2 6 2 4" xfId="56919"/>
    <cellStyle name="Обычный 9 7 2 6 2 4 2" xfId="56920"/>
    <cellStyle name="Обычный 9 7 2 6 2 4 3" xfId="56921"/>
    <cellStyle name="Обычный 9 7 2 6 2 5" xfId="56922"/>
    <cellStyle name="Обычный 9 7 2 6 2 5 2" xfId="56923"/>
    <cellStyle name="Обычный 9 7 2 6 2 6" xfId="56924"/>
    <cellStyle name="Обычный 9 7 2 6 2 7" xfId="56925"/>
    <cellStyle name="Обычный 9 7 2 6 3" xfId="56926"/>
    <cellStyle name="Обычный 9 7 2 6 3 2" xfId="56927"/>
    <cellStyle name="Обычный 9 7 2 6 3 2 2" xfId="56928"/>
    <cellStyle name="Обычный 9 7 2 6 3 2 3" xfId="56929"/>
    <cellStyle name="Обычный 9 7 2 6 3 3" xfId="56930"/>
    <cellStyle name="Обычный 9 7 2 6 3 3 2" xfId="56931"/>
    <cellStyle name="Обычный 9 7 2 6 3 3 3" xfId="56932"/>
    <cellStyle name="Обычный 9 7 2 6 3 4" xfId="56933"/>
    <cellStyle name="Обычный 9 7 2 6 3 4 2" xfId="56934"/>
    <cellStyle name="Обычный 9 7 2 6 3 5" xfId="56935"/>
    <cellStyle name="Обычный 9 7 2 6 3 6" xfId="56936"/>
    <cellStyle name="Обычный 9 7 2 6 4" xfId="56937"/>
    <cellStyle name="Обычный 9 7 2 6 4 2" xfId="56938"/>
    <cellStyle name="Обычный 9 7 2 6 4 3" xfId="56939"/>
    <cellStyle name="Обычный 9 7 2 6 5" xfId="56940"/>
    <cellStyle name="Обычный 9 7 2 6 5 2" xfId="56941"/>
    <cellStyle name="Обычный 9 7 2 6 5 3" xfId="56942"/>
    <cellStyle name="Обычный 9 7 2 6 6" xfId="56943"/>
    <cellStyle name="Обычный 9 7 2 6 6 2" xfId="56944"/>
    <cellStyle name="Обычный 9 7 2 6 7" xfId="56945"/>
    <cellStyle name="Обычный 9 7 2 6 8" xfId="56946"/>
    <cellStyle name="Обычный 9 7 2 7" xfId="56947"/>
    <cellStyle name="Обычный 9 7 2 7 2" xfId="56948"/>
    <cellStyle name="Обычный 9 7 2 7 2 2" xfId="56949"/>
    <cellStyle name="Обычный 9 7 2 7 2 2 2" xfId="56950"/>
    <cellStyle name="Обычный 9 7 2 7 2 2 3" xfId="56951"/>
    <cellStyle name="Обычный 9 7 2 7 2 3" xfId="56952"/>
    <cellStyle name="Обычный 9 7 2 7 2 3 2" xfId="56953"/>
    <cellStyle name="Обычный 9 7 2 7 2 3 3" xfId="56954"/>
    <cellStyle name="Обычный 9 7 2 7 2 4" xfId="56955"/>
    <cellStyle name="Обычный 9 7 2 7 2 4 2" xfId="56956"/>
    <cellStyle name="Обычный 9 7 2 7 2 5" xfId="56957"/>
    <cellStyle name="Обычный 9 7 2 7 2 6" xfId="56958"/>
    <cellStyle name="Обычный 9 7 2 7 3" xfId="56959"/>
    <cellStyle name="Обычный 9 7 2 7 3 2" xfId="56960"/>
    <cellStyle name="Обычный 9 7 2 7 3 3" xfId="56961"/>
    <cellStyle name="Обычный 9 7 2 7 4" xfId="56962"/>
    <cellStyle name="Обычный 9 7 2 7 4 2" xfId="56963"/>
    <cellStyle name="Обычный 9 7 2 7 4 3" xfId="56964"/>
    <cellStyle name="Обычный 9 7 2 7 5" xfId="56965"/>
    <cellStyle name="Обычный 9 7 2 7 5 2" xfId="56966"/>
    <cellStyle name="Обычный 9 7 2 7 6" xfId="56967"/>
    <cellStyle name="Обычный 9 7 2 7 7" xfId="56968"/>
    <cellStyle name="Обычный 9 7 2 8" xfId="56969"/>
    <cellStyle name="Обычный 9 7 2 8 2" xfId="56970"/>
    <cellStyle name="Обычный 9 7 2 8 2 2" xfId="56971"/>
    <cellStyle name="Обычный 9 7 2 8 2 3" xfId="56972"/>
    <cellStyle name="Обычный 9 7 2 8 3" xfId="56973"/>
    <cellStyle name="Обычный 9 7 2 8 3 2" xfId="56974"/>
    <cellStyle name="Обычный 9 7 2 8 3 3" xfId="56975"/>
    <cellStyle name="Обычный 9 7 2 8 4" xfId="56976"/>
    <cellStyle name="Обычный 9 7 2 8 4 2" xfId="56977"/>
    <cellStyle name="Обычный 9 7 2 8 5" xfId="56978"/>
    <cellStyle name="Обычный 9 7 2 8 6" xfId="56979"/>
    <cellStyle name="Обычный 9 7 2 9" xfId="56980"/>
    <cellStyle name="Обычный 9 7 2 9 2" xfId="56981"/>
    <cellStyle name="Обычный 9 7 2 9 3" xfId="56982"/>
    <cellStyle name="Обычный 9 7 3" xfId="56983"/>
    <cellStyle name="Обычный 9 7 3 10" xfId="56984"/>
    <cellStyle name="Обычный 9 7 3 2" xfId="56985"/>
    <cellStyle name="Обычный 9 7 3 2 2" xfId="56986"/>
    <cellStyle name="Обычный 9 7 3 2 2 2" xfId="56987"/>
    <cellStyle name="Обычный 9 7 3 2 2 2 2" xfId="56988"/>
    <cellStyle name="Обычный 9 7 3 2 2 2 2 2" xfId="56989"/>
    <cellStyle name="Обычный 9 7 3 2 2 2 2 2 2" xfId="56990"/>
    <cellStyle name="Обычный 9 7 3 2 2 2 2 2 3" xfId="56991"/>
    <cellStyle name="Обычный 9 7 3 2 2 2 2 3" xfId="56992"/>
    <cellStyle name="Обычный 9 7 3 2 2 2 2 3 2" xfId="56993"/>
    <cellStyle name="Обычный 9 7 3 2 2 2 2 3 3" xfId="56994"/>
    <cellStyle name="Обычный 9 7 3 2 2 2 2 4" xfId="56995"/>
    <cellStyle name="Обычный 9 7 3 2 2 2 2 4 2" xfId="56996"/>
    <cellStyle name="Обычный 9 7 3 2 2 2 2 5" xfId="56997"/>
    <cellStyle name="Обычный 9 7 3 2 2 2 2 6" xfId="56998"/>
    <cellStyle name="Обычный 9 7 3 2 2 2 3" xfId="56999"/>
    <cellStyle name="Обычный 9 7 3 2 2 2 3 2" xfId="57000"/>
    <cellStyle name="Обычный 9 7 3 2 2 2 3 3" xfId="57001"/>
    <cellStyle name="Обычный 9 7 3 2 2 2 4" xfId="57002"/>
    <cellStyle name="Обычный 9 7 3 2 2 2 4 2" xfId="57003"/>
    <cellStyle name="Обычный 9 7 3 2 2 2 4 3" xfId="57004"/>
    <cellStyle name="Обычный 9 7 3 2 2 2 5" xfId="57005"/>
    <cellStyle name="Обычный 9 7 3 2 2 2 5 2" xfId="57006"/>
    <cellStyle name="Обычный 9 7 3 2 2 2 6" xfId="57007"/>
    <cellStyle name="Обычный 9 7 3 2 2 2 7" xfId="57008"/>
    <cellStyle name="Обычный 9 7 3 2 2 3" xfId="57009"/>
    <cellStyle name="Обычный 9 7 3 2 2 3 2" xfId="57010"/>
    <cellStyle name="Обычный 9 7 3 2 2 3 2 2" xfId="57011"/>
    <cellStyle name="Обычный 9 7 3 2 2 3 2 3" xfId="57012"/>
    <cellStyle name="Обычный 9 7 3 2 2 3 3" xfId="57013"/>
    <cellStyle name="Обычный 9 7 3 2 2 3 3 2" xfId="57014"/>
    <cellStyle name="Обычный 9 7 3 2 2 3 3 3" xfId="57015"/>
    <cellStyle name="Обычный 9 7 3 2 2 3 4" xfId="57016"/>
    <cellStyle name="Обычный 9 7 3 2 2 3 4 2" xfId="57017"/>
    <cellStyle name="Обычный 9 7 3 2 2 3 5" xfId="57018"/>
    <cellStyle name="Обычный 9 7 3 2 2 3 6" xfId="57019"/>
    <cellStyle name="Обычный 9 7 3 2 2 4" xfId="57020"/>
    <cellStyle name="Обычный 9 7 3 2 2 4 2" xfId="57021"/>
    <cellStyle name="Обычный 9 7 3 2 2 4 3" xfId="57022"/>
    <cellStyle name="Обычный 9 7 3 2 2 5" xfId="57023"/>
    <cellStyle name="Обычный 9 7 3 2 2 5 2" xfId="57024"/>
    <cellStyle name="Обычный 9 7 3 2 2 5 3" xfId="57025"/>
    <cellStyle name="Обычный 9 7 3 2 2 6" xfId="57026"/>
    <cellStyle name="Обычный 9 7 3 2 2 6 2" xfId="57027"/>
    <cellStyle name="Обычный 9 7 3 2 2 7" xfId="57028"/>
    <cellStyle name="Обычный 9 7 3 2 2 8" xfId="57029"/>
    <cellStyle name="Обычный 9 7 3 2 3" xfId="57030"/>
    <cellStyle name="Обычный 9 7 3 2 3 2" xfId="57031"/>
    <cellStyle name="Обычный 9 7 3 2 3 2 2" xfId="57032"/>
    <cellStyle name="Обычный 9 7 3 2 3 2 2 2" xfId="57033"/>
    <cellStyle name="Обычный 9 7 3 2 3 2 2 3" xfId="57034"/>
    <cellStyle name="Обычный 9 7 3 2 3 2 3" xfId="57035"/>
    <cellStyle name="Обычный 9 7 3 2 3 2 3 2" xfId="57036"/>
    <cellStyle name="Обычный 9 7 3 2 3 2 3 3" xfId="57037"/>
    <cellStyle name="Обычный 9 7 3 2 3 2 4" xfId="57038"/>
    <cellStyle name="Обычный 9 7 3 2 3 2 4 2" xfId="57039"/>
    <cellStyle name="Обычный 9 7 3 2 3 2 5" xfId="57040"/>
    <cellStyle name="Обычный 9 7 3 2 3 2 6" xfId="57041"/>
    <cellStyle name="Обычный 9 7 3 2 3 3" xfId="57042"/>
    <cellStyle name="Обычный 9 7 3 2 3 3 2" xfId="57043"/>
    <cellStyle name="Обычный 9 7 3 2 3 3 3" xfId="57044"/>
    <cellStyle name="Обычный 9 7 3 2 3 4" xfId="57045"/>
    <cellStyle name="Обычный 9 7 3 2 3 4 2" xfId="57046"/>
    <cellStyle name="Обычный 9 7 3 2 3 4 3" xfId="57047"/>
    <cellStyle name="Обычный 9 7 3 2 3 5" xfId="57048"/>
    <cellStyle name="Обычный 9 7 3 2 3 5 2" xfId="57049"/>
    <cellStyle name="Обычный 9 7 3 2 3 6" xfId="57050"/>
    <cellStyle name="Обычный 9 7 3 2 3 7" xfId="57051"/>
    <cellStyle name="Обычный 9 7 3 2 4" xfId="57052"/>
    <cellStyle name="Обычный 9 7 3 2 4 2" xfId="57053"/>
    <cellStyle name="Обычный 9 7 3 2 4 2 2" xfId="57054"/>
    <cellStyle name="Обычный 9 7 3 2 4 2 3" xfId="57055"/>
    <cellStyle name="Обычный 9 7 3 2 4 3" xfId="57056"/>
    <cellStyle name="Обычный 9 7 3 2 4 3 2" xfId="57057"/>
    <cellStyle name="Обычный 9 7 3 2 4 3 3" xfId="57058"/>
    <cellStyle name="Обычный 9 7 3 2 4 4" xfId="57059"/>
    <cellStyle name="Обычный 9 7 3 2 4 4 2" xfId="57060"/>
    <cellStyle name="Обычный 9 7 3 2 4 5" xfId="57061"/>
    <cellStyle name="Обычный 9 7 3 2 4 6" xfId="57062"/>
    <cellStyle name="Обычный 9 7 3 2 5" xfId="57063"/>
    <cellStyle name="Обычный 9 7 3 2 5 2" xfId="57064"/>
    <cellStyle name="Обычный 9 7 3 2 5 3" xfId="57065"/>
    <cellStyle name="Обычный 9 7 3 2 6" xfId="57066"/>
    <cellStyle name="Обычный 9 7 3 2 6 2" xfId="57067"/>
    <cellStyle name="Обычный 9 7 3 2 6 3" xfId="57068"/>
    <cellStyle name="Обычный 9 7 3 2 7" xfId="57069"/>
    <cellStyle name="Обычный 9 7 3 2 7 2" xfId="57070"/>
    <cellStyle name="Обычный 9 7 3 2 8" xfId="57071"/>
    <cellStyle name="Обычный 9 7 3 2 9" xfId="57072"/>
    <cellStyle name="Обычный 9 7 3 3" xfId="57073"/>
    <cellStyle name="Обычный 9 7 3 3 2" xfId="57074"/>
    <cellStyle name="Обычный 9 7 3 3 2 2" xfId="57075"/>
    <cellStyle name="Обычный 9 7 3 3 2 2 2" xfId="57076"/>
    <cellStyle name="Обычный 9 7 3 3 2 2 2 2" xfId="57077"/>
    <cellStyle name="Обычный 9 7 3 3 2 2 2 3" xfId="57078"/>
    <cellStyle name="Обычный 9 7 3 3 2 2 3" xfId="57079"/>
    <cellStyle name="Обычный 9 7 3 3 2 2 3 2" xfId="57080"/>
    <cellStyle name="Обычный 9 7 3 3 2 2 3 3" xfId="57081"/>
    <cellStyle name="Обычный 9 7 3 3 2 2 4" xfId="57082"/>
    <cellStyle name="Обычный 9 7 3 3 2 2 4 2" xfId="57083"/>
    <cellStyle name="Обычный 9 7 3 3 2 2 5" xfId="57084"/>
    <cellStyle name="Обычный 9 7 3 3 2 2 6" xfId="57085"/>
    <cellStyle name="Обычный 9 7 3 3 2 3" xfId="57086"/>
    <cellStyle name="Обычный 9 7 3 3 2 3 2" xfId="57087"/>
    <cellStyle name="Обычный 9 7 3 3 2 3 3" xfId="57088"/>
    <cellStyle name="Обычный 9 7 3 3 2 4" xfId="57089"/>
    <cellStyle name="Обычный 9 7 3 3 2 4 2" xfId="57090"/>
    <cellStyle name="Обычный 9 7 3 3 2 4 3" xfId="57091"/>
    <cellStyle name="Обычный 9 7 3 3 2 5" xfId="57092"/>
    <cellStyle name="Обычный 9 7 3 3 2 5 2" xfId="57093"/>
    <cellStyle name="Обычный 9 7 3 3 2 6" xfId="57094"/>
    <cellStyle name="Обычный 9 7 3 3 2 7" xfId="57095"/>
    <cellStyle name="Обычный 9 7 3 3 3" xfId="57096"/>
    <cellStyle name="Обычный 9 7 3 3 3 2" xfId="57097"/>
    <cellStyle name="Обычный 9 7 3 3 3 2 2" xfId="57098"/>
    <cellStyle name="Обычный 9 7 3 3 3 2 3" xfId="57099"/>
    <cellStyle name="Обычный 9 7 3 3 3 3" xfId="57100"/>
    <cellStyle name="Обычный 9 7 3 3 3 3 2" xfId="57101"/>
    <cellStyle name="Обычный 9 7 3 3 3 3 3" xfId="57102"/>
    <cellStyle name="Обычный 9 7 3 3 3 4" xfId="57103"/>
    <cellStyle name="Обычный 9 7 3 3 3 4 2" xfId="57104"/>
    <cellStyle name="Обычный 9 7 3 3 3 5" xfId="57105"/>
    <cellStyle name="Обычный 9 7 3 3 3 6" xfId="57106"/>
    <cellStyle name="Обычный 9 7 3 3 4" xfId="57107"/>
    <cellStyle name="Обычный 9 7 3 3 4 2" xfId="57108"/>
    <cellStyle name="Обычный 9 7 3 3 4 3" xfId="57109"/>
    <cellStyle name="Обычный 9 7 3 3 5" xfId="57110"/>
    <cellStyle name="Обычный 9 7 3 3 5 2" xfId="57111"/>
    <cellStyle name="Обычный 9 7 3 3 5 3" xfId="57112"/>
    <cellStyle name="Обычный 9 7 3 3 6" xfId="57113"/>
    <cellStyle name="Обычный 9 7 3 3 6 2" xfId="57114"/>
    <cellStyle name="Обычный 9 7 3 3 7" xfId="57115"/>
    <cellStyle name="Обычный 9 7 3 3 8" xfId="57116"/>
    <cellStyle name="Обычный 9 7 3 4" xfId="57117"/>
    <cellStyle name="Обычный 9 7 3 4 2" xfId="57118"/>
    <cellStyle name="Обычный 9 7 3 4 2 2" xfId="57119"/>
    <cellStyle name="Обычный 9 7 3 4 2 2 2" xfId="57120"/>
    <cellStyle name="Обычный 9 7 3 4 2 2 3" xfId="57121"/>
    <cellStyle name="Обычный 9 7 3 4 2 3" xfId="57122"/>
    <cellStyle name="Обычный 9 7 3 4 2 3 2" xfId="57123"/>
    <cellStyle name="Обычный 9 7 3 4 2 3 3" xfId="57124"/>
    <cellStyle name="Обычный 9 7 3 4 2 4" xfId="57125"/>
    <cellStyle name="Обычный 9 7 3 4 2 4 2" xfId="57126"/>
    <cellStyle name="Обычный 9 7 3 4 2 5" xfId="57127"/>
    <cellStyle name="Обычный 9 7 3 4 2 6" xfId="57128"/>
    <cellStyle name="Обычный 9 7 3 4 3" xfId="57129"/>
    <cellStyle name="Обычный 9 7 3 4 3 2" xfId="57130"/>
    <cellStyle name="Обычный 9 7 3 4 3 3" xfId="57131"/>
    <cellStyle name="Обычный 9 7 3 4 4" xfId="57132"/>
    <cellStyle name="Обычный 9 7 3 4 4 2" xfId="57133"/>
    <cellStyle name="Обычный 9 7 3 4 4 3" xfId="57134"/>
    <cellStyle name="Обычный 9 7 3 4 5" xfId="57135"/>
    <cellStyle name="Обычный 9 7 3 4 5 2" xfId="57136"/>
    <cellStyle name="Обычный 9 7 3 4 6" xfId="57137"/>
    <cellStyle name="Обычный 9 7 3 4 7" xfId="57138"/>
    <cellStyle name="Обычный 9 7 3 5" xfId="57139"/>
    <cellStyle name="Обычный 9 7 3 5 2" xfId="57140"/>
    <cellStyle name="Обычный 9 7 3 5 2 2" xfId="57141"/>
    <cellStyle name="Обычный 9 7 3 5 2 3" xfId="57142"/>
    <cellStyle name="Обычный 9 7 3 5 3" xfId="57143"/>
    <cellStyle name="Обычный 9 7 3 5 3 2" xfId="57144"/>
    <cellStyle name="Обычный 9 7 3 5 3 3" xfId="57145"/>
    <cellStyle name="Обычный 9 7 3 5 4" xfId="57146"/>
    <cellStyle name="Обычный 9 7 3 5 4 2" xfId="57147"/>
    <cellStyle name="Обычный 9 7 3 5 5" xfId="57148"/>
    <cellStyle name="Обычный 9 7 3 5 6" xfId="57149"/>
    <cellStyle name="Обычный 9 7 3 6" xfId="57150"/>
    <cellStyle name="Обычный 9 7 3 6 2" xfId="57151"/>
    <cellStyle name="Обычный 9 7 3 6 3" xfId="57152"/>
    <cellStyle name="Обычный 9 7 3 7" xfId="57153"/>
    <cellStyle name="Обычный 9 7 3 7 2" xfId="57154"/>
    <cellStyle name="Обычный 9 7 3 7 3" xfId="57155"/>
    <cellStyle name="Обычный 9 7 3 8" xfId="57156"/>
    <cellStyle name="Обычный 9 7 3 8 2" xfId="57157"/>
    <cellStyle name="Обычный 9 7 3 9" xfId="57158"/>
    <cellStyle name="Обычный 9 7 4" xfId="57159"/>
    <cellStyle name="Обычный 9 7 4 10" xfId="57160"/>
    <cellStyle name="Обычный 9 7 4 2" xfId="57161"/>
    <cellStyle name="Обычный 9 7 4 2 2" xfId="57162"/>
    <cellStyle name="Обычный 9 7 4 2 2 2" xfId="57163"/>
    <cellStyle name="Обычный 9 7 4 2 2 2 2" xfId="57164"/>
    <cellStyle name="Обычный 9 7 4 2 2 2 2 2" xfId="57165"/>
    <cellStyle name="Обычный 9 7 4 2 2 2 2 2 2" xfId="57166"/>
    <cellStyle name="Обычный 9 7 4 2 2 2 2 2 3" xfId="57167"/>
    <cellStyle name="Обычный 9 7 4 2 2 2 2 3" xfId="57168"/>
    <cellStyle name="Обычный 9 7 4 2 2 2 2 3 2" xfId="57169"/>
    <cellStyle name="Обычный 9 7 4 2 2 2 2 3 3" xfId="57170"/>
    <cellStyle name="Обычный 9 7 4 2 2 2 2 4" xfId="57171"/>
    <cellStyle name="Обычный 9 7 4 2 2 2 2 4 2" xfId="57172"/>
    <cellStyle name="Обычный 9 7 4 2 2 2 2 5" xfId="57173"/>
    <cellStyle name="Обычный 9 7 4 2 2 2 2 6" xfId="57174"/>
    <cellStyle name="Обычный 9 7 4 2 2 2 3" xfId="57175"/>
    <cellStyle name="Обычный 9 7 4 2 2 2 3 2" xfId="57176"/>
    <cellStyle name="Обычный 9 7 4 2 2 2 3 3" xfId="57177"/>
    <cellStyle name="Обычный 9 7 4 2 2 2 4" xfId="57178"/>
    <cellStyle name="Обычный 9 7 4 2 2 2 4 2" xfId="57179"/>
    <cellStyle name="Обычный 9 7 4 2 2 2 4 3" xfId="57180"/>
    <cellStyle name="Обычный 9 7 4 2 2 2 5" xfId="57181"/>
    <cellStyle name="Обычный 9 7 4 2 2 2 5 2" xfId="57182"/>
    <cellStyle name="Обычный 9 7 4 2 2 2 6" xfId="57183"/>
    <cellStyle name="Обычный 9 7 4 2 2 2 7" xfId="57184"/>
    <cellStyle name="Обычный 9 7 4 2 2 3" xfId="57185"/>
    <cellStyle name="Обычный 9 7 4 2 2 3 2" xfId="57186"/>
    <cellStyle name="Обычный 9 7 4 2 2 3 2 2" xfId="57187"/>
    <cellStyle name="Обычный 9 7 4 2 2 3 2 3" xfId="57188"/>
    <cellStyle name="Обычный 9 7 4 2 2 3 3" xfId="57189"/>
    <cellStyle name="Обычный 9 7 4 2 2 3 3 2" xfId="57190"/>
    <cellStyle name="Обычный 9 7 4 2 2 3 3 3" xfId="57191"/>
    <cellStyle name="Обычный 9 7 4 2 2 3 4" xfId="57192"/>
    <cellStyle name="Обычный 9 7 4 2 2 3 4 2" xfId="57193"/>
    <cellStyle name="Обычный 9 7 4 2 2 3 5" xfId="57194"/>
    <cellStyle name="Обычный 9 7 4 2 2 3 6" xfId="57195"/>
    <cellStyle name="Обычный 9 7 4 2 2 4" xfId="57196"/>
    <cellStyle name="Обычный 9 7 4 2 2 4 2" xfId="57197"/>
    <cellStyle name="Обычный 9 7 4 2 2 4 3" xfId="57198"/>
    <cellStyle name="Обычный 9 7 4 2 2 5" xfId="57199"/>
    <cellStyle name="Обычный 9 7 4 2 2 5 2" xfId="57200"/>
    <cellStyle name="Обычный 9 7 4 2 2 5 3" xfId="57201"/>
    <cellStyle name="Обычный 9 7 4 2 2 6" xfId="57202"/>
    <cellStyle name="Обычный 9 7 4 2 2 6 2" xfId="57203"/>
    <cellStyle name="Обычный 9 7 4 2 2 7" xfId="57204"/>
    <cellStyle name="Обычный 9 7 4 2 2 8" xfId="57205"/>
    <cellStyle name="Обычный 9 7 4 2 3" xfId="57206"/>
    <cellStyle name="Обычный 9 7 4 2 3 2" xfId="57207"/>
    <cellStyle name="Обычный 9 7 4 2 3 2 2" xfId="57208"/>
    <cellStyle name="Обычный 9 7 4 2 3 2 2 2" xfId="57209"/>
    <cellStyle name="Обычный 9 7 4 2 3 2 2 3" xfId="57210"/>
    <cellStyle name="Обычный 9 7 4 2 3 2 3" xfId="57211"/>
    <cellStyle name="Обычный 9 7 4 2 3 2 3 2" xfId="57212"/>
    <cellStyle name="Обычный 9 7 4 2 3 2 3 3" xfId="57213"/>
    <cellStyle name="Обычный 9 7 4 2 3 2 4" xfId="57214"/>
    <cellStyle name="Обычный 9 7 4 2 3 2 4 2" xfId="57215"/>
    <cellStyle name="Обычный 9 7 4 2 3 2 5" xfId="57216"/>
    <cellStyle name="Обычный 9 7 4 2 3 2 6" xfId="57217"/>
    <cellStyle name="Обычный 9 7 4 2 3 3" xfId="57218"/>
    <cellStyle name="Обычный 9 7 4 2 3 3 2" xfId="57219"/>
    <cellStyle name="Обычный 9 7 4 2 3 3 3" xfId="57220"/>
    <cellStyle name="Обычный 9 7 4 2 3 4" xfId="57221"/>
    <cellStyle name="Обычный 9 7 4 2 3 4 2" xfId="57222"/>
    <cellStyle name="Обычный 9 7 4 2 3 4 3" xfId="57223"/>
    <cellStyle name="Обычный 9 7 4 2 3 5" xfId="57224"/>
    <cellStyle name="Обычный 9 7 4 2 3 5 2" xfId="57225"/>
    <cellStyle name="Обычный 9 7 4 2 3 6" xfId="57226"/>
    <cellStyle name="Обычный 9 7 4 2 3 7" xfId="57227"/>
    <cellStyle name="Обычный 9 7 4 2 4" xfId="57228"/>
    <cellStyle name="Обычный 9 7 4 2 4 2" xfId="57229"/>
    <cellStyle name="Обычный 9 7 4 2 4 2 2" xfId="57230"/>
    <cellStyle name="Обычный 9 7 4 2 4 2 3" xfId="57231"/>
    <cellStyle name="Обычный 9 7 4 2 4 3" xfId="57232"/>
    <cellStyle name="Обычный 9 7 4 2 4 3 2" xfId="57233"/>
    <cellStyle name="Обычный 9 7 4 2 4 3 3" xfId="57234"/>
    <cellStyle name="Обычный 9 7 4 2 4 4" xfId="57235"/>
    <cellStyle name="Обычный 9 7 4 2 4 4 2" xfId="57236"/>
    <cellStyle name="Обычный 9 7 4 2 4 5" xfId="57237"/>
    <cellStyle name="Обычный 9 7 4 2 4 6" xfId="57238"/>
    <cellStyle name="Обычный 9 7 4 2 5" xfId="57239"/>
    <cellStyle name="Обычный 9 7 4 2 5 2" xfId="57240"/>
    <cellStyle name="Обычный 9 7 4 2 5 3" xfId="57241"/>
    <cellStyle name="Обычный 9 7 4 2 6" xfId="57242"/>
    <cellStyle name="Обычный 9 7 4 2 6 2" xfId="57243"/>
    <cellStyle name="Обычный 9 7 4 2 6 3" xfId="57244"/>
    <cellStyle name="Обычный 9 7 4 2 7" xfId="57245"/>
    <cellStyle name="Обычный 9 7 4 2 7 2" xfId="57246"/>
    <cellStyle name="Обычный 9 7 4 2 8" xfId="57247"/>
    <cellStyle name="Обычный 9 7 4 2 9" xfId="57248"/>
    <cellStyle name="Обычный 9 7 4 3" xfId="57249"/>
    <cellStyle name="Обычный 9 7 4 3 2" xfId="57250"/>
    <cellStyle name="Обычный 9 7 4 3 2 2" xfId="57251"/>
    <cellStyle name="Обычный 9 7 4 3 2 2 2" xfId="57252"/>
    <cellStyle name="Обычный 9 7 4 3 2 2 2 2" xfId="57253"/>
    <cellStyle name="Обычный 9 7 4 3 2 2 2 3" xfId="57254"/>
    <cellStyle name="Обычный 9 7 4 3 2 2 3" xfId="57255"/>
    <cellStyle name="Обычный 9 7 4 3 2 2 3 2" xfId="57256"/>
    <cellStyle name="Обычный 9 7 4 3 2 2 3 3" xfId="57257"/>
    <cellStyle name="Обычный 9 7 4 3 2 2 4" xfId="57258"/>
    <cellStyle name="Обычный 9 7 4 3 2 2 4 2" xfId="57259"/>
    <cellStyle name="Обычный 9 7 4 3 2 2 5" xfId="57260"/>
    <cellStyle name="Обычный 9 7 4 3 2 2 6" xfId="57261"/>
    <cellStyle name="Обычный 9 7 4 3 2 3" xfId="57262"/>
    <cellStyle name="Обычный 9 7 4 3 2 3 2" xfId="57263"/>
    <cellStyle name="Обычный 9 7 4 3 2 3 3" xfId="57264"/>
    <cellStyle name="Обычный 9 7 4 3 2 4" xfId="57265"/>
    <cellStyle name="Обычный 9 7 4 3 2 4 2" xfId="57266"/>
    <cellStyle name="Обычный 9 7 4 3 2 4 3" xfId="57267"/>
    <cellStyle name="Обычный 9 7 4 3 2 5" xfId="57268"/>
    <cellStyle name="Обычный 9 7 4 3 2 5 2" xfId="57269"/>
    <cellStyle name="Обычный 9 7 4 3 2 6" xfId="57270"/>
    <cellStyle name="Обычный 9 7 4 3 2 7" xfId="57271"/>
    <cellStyle name="Обычный 9 7 4 3 3" xfId="57272"/>
    <cellStyle name="Обычный 9 7 4 3 3 2" xfId="57273"/>
    <cellStyle name="Обычный 9 7 4 3 3 2 2" xfId="57274"/>
    <cellStyle name="Обычный 9 7 4 3 3 2 3" xfId="57275"/>
    <cellStyle name="Обычный 9 7 4 3 3 3" xfId="57276"/>
    <cellStyle name="Обычный 9 7 4 3 3 3 2" xfId="57277"/>
    <cellStyle name="Обычный 9 7 4 3 3 3 3" xfId="57278"/>
    <cellStyle name="Обычный 9 7 4 3 3 4" xfId="57279"/>
    <cellStyle name="Обычный 9 7 4 3 3 4 2" xfId="57280"/>
    <cellStyle name="Обычный 9 7 4 3 3 5" xfId="57281"/>
    <cellStyle name="Обычный 9 7 4 3 3 6" xfId="57282"/>
    <cellStyle name="Обычный 9 7 4 3 4" xfId="57283"/>
    <cellStyle name="Обычный 9 7 4 3 4 2" xfId="57284"/>
    <cellStyle name="Обычный 9 7 4 3 4 3" xfId="57285"/>
    <cellStyle name="Обычный 9 7 4 3 5" xfId="57286"/>
    <cellStyle name="Обычный 9 7 4 3 5 2" xfId="57287"/>
    <cellStyle name="Обычный 9 7 4 3 5 3" xfId="57288"/>
    <cellStyle name="Обычный 9 7 4 3 6" xfId="57289"/>
    <cellStyle name="Обычный 9 7 4 3 6 2" xfId="57290"/>
    <cellStyle name="Обычный 9 7 4 3 7" xfId="57291"/>
    <cellStyle name="Обычный 9 7 4 3 8" xfId="57292"/>
    <cellStyle name="Обычный 9 7 4 4" xfId="57293"/>
    <cellStyle name="Обычный 9 7 4 4 2" xfId="57294"/>
    <cellStyle name="Обычный 9 7 4 4 2 2" xfId="57295"/>
    <cellStyle name="Обычный 9 7 4 4 2 2 2" xfId="57296"/>
    <cellStyle name="Обычный 9 7 4 4 2 2 3" xfId="57297"/>
    <cellStyle name="Обычный 9 7 4 4 2 3" xfId="57298"/>
    <cellStyle name="Обычный 9 7 4 4 2 3 2" xfId="57299"/>
    <cellStyle name="Обычный 9 7 4 4 2 3 3" xfId="57300"/>
    <cellStyle name="Обычный 9 7 4 4 2 4" xfId="57301"/>
    <cellStyle name="Обычный 9 7 4 4 2 4 2" xfId="57302"/>
    <cellStyle name="Обычный 9 7 4 4 2 5" xfId="57303"/>
    <cellStyle name="Обычный 9 7 4 4 2 6" xfId="57304"/>
    <cellStyle name="Обычный 9 7 4 4 3" xfId="57305"/>
    <cellStyle name="Обычный 9 7 4 4 3 2" xfId="57306"/>
    <cellStyle name="Обычный 9 7 4 4 3 3" xfId="57307"/>
    <cellStyle name="Обычный 9 7 4 4 4" xfId="57308"/>
    <cellStyle name="Обычный 9 7 4 4 4 2" xfId="57309"/>
    <cellStyle name="Обычный 9 7 4 4 4 3" xfId="57310"/>
    <cellStyle name="Обычный 9 7 4 4 5" xfId="57311"/>
    <cellStyle name="Обычный 9 7 4 4 5 2" xfId="57312"/>
    <cellStyle name="Обычный 9 7 4 4 6" xfId="57313"/>
    <cellStyle name="Обычный 9 7 4 4 7" xfId="57314"/>
    <cellStyle name="Обычный 9 7 4 5" xfId="57315"/>
    <cellStyle name="Обычный 9 7 4 5 2" xfId="57316"/>
    <cellStyle name="Обычный 9 7 4 5 2 2" xfId="57317"/>
    <cellStyle name="Обычный 9 7 4 5 2 3" xfId="57318"/>
    <cellStyle name="Обычный 9 7 4 5 3" xfId="57319"/>
    <cellStyle name="Обычный 9 7 4 5 3 2" xfId="57320"/>
    <cellStyle name="Обычный 9 7 4 5 3 3" xfId="57321"/>
    <cellStyle name="Обычный 9 7 4 5 4" xfId="57322"/>
    <cellStyle name="Обычный 9 7 4 5 4 2" xfId="57323"/>
    <cellStyle name="Обычный 9 7 4 5 5" xfId="57324"/>
    <cellStyle name="Обычный 9 7 4 5 6" xfId="57325"/>
    <cellStyle name="Обычный 9 7 4 6" xfId="57326"/>
    <cellStyle name="Обычный 9 7 4 6 2" xfId="57327"/>
    <cellStyle name="Обычный 9 7 4 6 3" xfId="57328"/>
    <cellStyle name="Обычный 9 7 4 7" xfId="57329"/>
    <cellStyle name="Обычный 9 7 4 7 2" xfId="57330"/>
    <cellStyle name="Обычный 9 7 4 7 3" xfId="57331"/>
    <cellStyle name="Обычный 9 7 4 8" xfId="57332"/>
    <cellStyle name="Обычный 9 7 4 8 2" xfId="57333"/>
    <cellStyle name="Обычный 9 7 4 9" xfId="57334"/>
    <cellStyle name="Обычный 9 7 5" xfId="57335"/>
    <cellStyle name="Обычный 9 7 5 10" xfId="57336"/>
    <cellStyle name="Обычный 9 7 5 2" xfId="57337"/>
    <cellStyle name="Обычный 9 7 5 2 2" xfId="57338"/>
    <cellStyle name="Обычный 9 7 5 2 2 2" xfId="57339"/>
    <cellStyle name="Обычный 9 7 5 2 2 2 2" xfId="57340"/>
    <cellStyle name="Обычный 9 7 5 2 2 2 2 2" xfId="57341"/>
    <cellStyle name="Обычный 9 7 5 2 2 2 2 2 2" xfId="57342"/>
    <cellStyle name="Обычный 9 7 5 2 2 2 2 2 3" xfId="57343"/>
    <cellStyle name="Обычный 9 7 5 2 2 2 2 3" xfId="57344"/>
    <cellStyle name="Обычный 9 7 5 2 2 2 2 3 2" xfId="57345"/>
    <cellStyle name="Обычный 9 7 5 2 2 2 2 3 3" xfId="57346"/>
    <cellStyle name="Обычный 9 7 5 2 2 2 2 4" xfId="57347"/>
    <cellStyle name="Обычный 9 7 5 2 2 2 2 4 2" xfId="57348"/>
    <cellStyle name="Обычный 9 7 5 2 2 2 2 5" xfId="57349"/>
    <cellStyle name="Обычный 9 7 5 2 2 2 2 6" xfId="57350"/>
    <cellStyle name="Обычный 9 7 5 2 2 2 3" xfId="57351"/>
    <cellStyle name="Обычный 9 7 5 2 2 2 3 2" xfId="57352"/>
    <cellStyle name="Обычный 9 7 5 2 2 2 3 3" xfId="57353"/>
    <cellStyle name="Обычный 9 7 5 2 2 2 4" xfId="57354"/>
    <cellStyle name="Обычный 9 7 5 2 2 2 4 2" xfId="57355"/>
    <cellStyle name="Обычный 9 7 5 2 2 2 4 3" xfId="57356"/>
    <cellStyle name="Обычный 9 7 5 2 2 2 5" xfId="57357"/>
    <cellStyle name="Обычный 9 7 5 2 2 2 5 2" xfId="57358"/>
    <cellStyle name="Обычный 9 7 5 2 2 2 6" xfId="57359"/>
    <cellStyle name="Обычный 9 7 5 2 2 2 7" xfId="57360"/>
    <cellStyle name="Обычный 9 7 5 2 2 3" xfId="57361"/>
    <cellStyle name="Обычный 9 7 5 2 2 3 2" xfId="57362"/>
    <cellStyle name="Обычный 9 7 5 2 2 3 2 2" xfId="57363"/>
    <cellStyle name="Обычный 9 7 5 2 2 3 2 3" xfId="57364"/>
    <cellStyle name="Обычный 9 7 5 2 2 3 3" xfId="57365"/>
    <cellStyle name="Обычный 9 7 5 2 2 3 3 2" xfId="57366"/>
    <cellStyle name="Обычный 9 7 5 2 2 3 3 3" xfId="57367"/>
    <cellStyle name="Обычный 9 7 5 2 2 3 4" xfId="57368"/>
    <cellStyle name="Обычный 9 7 5 2 2 3 4 2" xfId="57369"/>
    <cellStyle name="Обычный 9 7 5 2 2 3 5" xfId="57370"/>
    <cellStyle name="Обычный 9 7 5 2 2 3 6" xfId="57371"/>
    <cellStyle name="Обычный 9 7 5 2 2 4" xfId="57372"/>
    <cellStyle name="Обычный 9 7 5 2 2 4 2" xfId="57373"/>
    <cellStyle name="Обычный 9 7 5 2 2 4 3" xfId="57374"/>
    <cellStyle name="Обычный 9 7 5 2 2 5" xfId="57375"/>
    <cellStyle name="Обычный 9 7 5 2 2 5 2" xfId="57376"/>
    <cellStyle name="Обычный 9 7 5 2 2 5 3" xfId="57377"/>
    <cellStyle name="Обычный 9 7 5 2 2 6" xfId="57378"/>
    <cellStyle name="Обычный 9 7 5 2 2 6 2" xfId="57379"/>
    <cellStyle name="Обычный 9 7 5 2 2 7" xfId="57380"/>
    <cellStyle name="Обычный 9 7 5 2 2 8" xfId="57381"/>
    <cellStyle name="Обычный 9 7 5 2 3" xfId="57382"/>
    <cellStyle name="Обычный 9 7 5 2 3 2" xfId="57383"/>
    <cellStyle name="Обычный 9 7 5 2 3 2 2" xfId="57384"/>
    <cellStyle name="Обычный 9 7 5 2 3 2 2 2" xfId="57385"/>
    <cellStyle name="Обычный 9 7 5 2 3 2 2 3" xfId="57386"/>
    <cellStyle name="Обычный 9 7 5 2 3 2 3" xfId="57387"/>
    <cellStyle name="Обычный 9 7 5 2 3 2 3 2" xfId="57388"/>
    <cellStyle name="Обычный 9 7 5 2 3 2 3 3" xfId="57389"/>
    <cellStyle name="Обычный 9 7 5 2 3 2 4" xfId="57390"/>
    <cellStyle name="Обычный 9 7 5 2 3 2 4 2" xfId="57391"/>
    <cellStyle name="Обычный 9 7 5 2 3 2 5" xfId="57392"/>
    <cellStyle name="Обычный 9 7 5 2 3 2 6" xfId="57393"/>
    <cellStyle name="Обычный 9 7 5 2 3 3" xfId="57394"/>
    <cellStyle name="Обычный 9 7 5 2 3 3 2" xfId="57395"/>
    <cellStyle name="Обычный 9 7 5 2 3 3 3" xfId="57396"/>
    <cellStyle name="Обычный 9 7 5 2 3 4" xfId="57397"/>
    <cellStyle name="Обычный 9 7 5 2 3 4 2" xfId="57398"/>
    <cellStyle name="Обычный 9 7 5 2 3 4 3" xfId="57399"/>
    <cellStyle name="Обычный 9 7 5 2 3 5" xfId="57400"/>
    <cellStyle name="Обычный 9 7 5 2 3 5 2" xfId="57401"/>
    <cellStyle name="Обычный 9 7 5 2 3 6" xfId="57402"/>
    <cellStyle name="Обычный 9 7 5 2 3 7" xfId="57403"/>
    <cellStyle name="Обычный 9 7 5 2 4" xfId="57404"/>
    <cellStyle name="Обычный 9 7 5 2 4 2" xfId="57405"/>
    <cellStyle name="Обычный 9 7 5 2 4 2 2" xfId="57406"/>
    <cellStyle name="Обычный 9 7 5 2 4 2 3" xfId="57407"/>
    <cellStyle name="Обычный 9 7 5 2 4 3" xfId="57408"/>
    <cellStyle name="Обычный 9 7 5 2 4 3 2" xfId="57409"/>
    <cellStyle name="Обычный 9 7 5 2 4 3 3" xfId="57410"/>
    <cellStyle name="Обычный 9 7 5 2 4 4" xfId="57411"/>
    <cellStyle name="Обычный 9 7 5 2 4 4 2" xfId="57412"/>
    <cellStyle name="Обычный 9 7 5 2 4 5" xfId="57413"/>
    <cellStyle name="Обычный 9 7 5 2 4 6" xfId="57414"/>
    <cellStyle name="Обычный 9 7 5 2 5" xfId="57415"/>
    <cellStyle name="Обычный 9 7 5 2 5 2" xfId="57416"/>
    <cellStyle name="Обычный 9 7 5 2 5 3" xfId="57417"/>
    <cellStyle name="Обычный 9 7 5 2 6" xfId="57418"/>
    <cellStyle name="Обычный 9 7 5 2 6 2" xfId="57419"/>
    <cellStyle name="Обычный 9 7 5 2 6 3" xfId="57420"/>
    <cellStyle name="Обычный 9 7 5 2 7" xfId="57421"/>
    <cellStyle name="Обычный 9 7 5 2 7 2" xfId="57422"/>
    <cellStyle name="Обычный 9 7 5 2 8" xfId="57423"/>
    <cellStyle name="Обычный 9 7 5 2 9" xfId="57424"/>
    <cellStyle name="Обычный 9 7 5 3" xfId="57425"/>
    <cellStyle name="Обычный 9 7 5 3 2" xfId="57426"/>
    <cellStyle name="Обычный 9 7 5 3 2 2" xfId="57427"/>
    <cellStyle name="Обычный 9 7 5 3 2 2 2" xfId="57428"/>
    <cellStyle name="Обычный 9 7 5 3 2 2 2 2" xfId="57429"/>
    <cellStyle name="Обычный 9 7 5 3 2 2 2 3" xfId="57430"/>
    <cellStyle name="Обычный 9 7 5 3 2 2 3" xfId="57431"/>
    <cellStyle name="Обычный 9 7 5 3 2 2 3 2" xfId="57432"/>
    <cellStyle name="Обычный 9 7 5 3 2 2 3 3" xfId="57433"/>
    <cellStyle name="Обычный 9 7 5 3 2 2 4" xfId="57434"/>
    <cellStyle name="Обычный 9 7 5 3 2 2 4 2" xfId="57435"/>
    <cellStyle name="Обычный 9 7 5 3 2 2 5" xfId="57436"/>
    <cellStyle name="Обычный 9 7 5 3 2 2 6" xfId="57437"/>
    <cellStyle name="Обычный 9 7 5 3 2 3" xfId="57438"/>
    <cellStyle name="Обычный 9 7 5 3 2 3 2" xfId="57439"/>
    <cellStyle name="Обычный 9 7 5 3 2 3 3" xfId="57440"/>
    <cellStyle name="Обычный 9 7 5 3 2 4" xfId="57441"/>
    <cellStyle name="Обычный 9 7 5 3 2 4 2" xfId="57442"/>
    <cellStyle name="Обычный 9 7 5 3 2 4 3" xfId="57443"/>
    <cellStyle name="Обычный 9 7 5 3 2 5" xfId="57444"/>
    <cellStyle name="Обычный 9 7 5 3 2 5 2" xfId="57445"/>
    <cellStyle name="Обычный 9 7 5 3 2 6" xfId="57446"/>
    <cellStyle name="Обычный 9 7 5 3 2 7" xfId="57447"/>
    <cellStyle name="Обычный 9 7 5 3 3" xfId="57448"/>
    <cellStyle name="Обычный 9 7 5 3 3 2" xfId="57449"/>
    <cellStyle name="Обычный 9 7 5 3 3 2 2" xfId="57450"/>
    <cellStyle name="Обычный 9 7 5 3 3 2 3" xfId="57451"/>
    <cellStyle name="Обычный 9 7 5 3 3 3" xfId="57452"/>
    <cellStyle name="Обычный 9 7 5 3 3 3 2" xfId="57453"/>
    <cellStyle name="Обычный 9 7 5 3 3 3 3" xfId="57454"/>
    <cellStyle name="Обычный 9 7 5 3 3 4" xfId="57455"/>
    <cellStyle name="Обычный 9 7 5 3 3 4 2" xfId="57456"/>
    <cellStyle name="Обычный 9 7 5 3 3 5" xfId="57457"/>
    <cellStyle name="Обычный 9 7 5 3 3 6" xfId="57458"/>
    <cellStyle name="Обычный 9 7 5 3 4" xfId="57459"/>
    <cellStyle name="Обычный 9 7 5 3 4 2" xfId="57460"/>
    <cellStyle name="Обычный 9 7 5 3 4 3" xfId="57461"/>
    <cellStyle name="Обычный 9 7 5 3 5" xfId="57462"/>
    <cellStyle name="Обычный 9 7 5 3 5 2" xfId="57463"/>
    <cellStyle name="Обычный 9 7 5 3 5 3" xfId="57464"/>
    <cellStyle name="Обычный 9 7 5 3 6" xfId="57465"/>
    <cellStyle name="Обычный 9 7 5 3 6 2" xfId="57466"/>
    <cellStyle name="Обычный 9 7 5 3 7" xfId="57467"/>
    <cellStyle name="Обычный 9 7 5 3 8" xfId="57468"/>
    <cellStyle name="Обычный 9 7 5 4" xfId="57469"/>
    <cellStyle name="Обычный 9 7 5 4 2" xfId="57470"/>
    <cellStyle name="Обычный 9 7 5 4 2 2" xfId="57471"/>
    <cellStyle name="Обычный 9 7 5 4 2 2 2" xfId="57472"/>
    <cellStyle name="Обычный 9 7 5 4 2 2 3" xfId="57473"/>
    <cellStyle name="Обычный 9 7 5 4 2 3" xfId="57474"/>
    <cellStyle name="Обычный 9 7 5 4 2 3 2" xfId="57475"/>
    <cellStyle name="Обычный 9 7 5 4 2 3 3" xfId="57476"/>
    <cellStyle name="Обычный 9 7 5 4 2 4" xfId="57477"/>
    <cellStyle name="Обычный 9 7 5 4 2 4 2" xfId="57478"/>
    <cellStyle name="Обычный 9 7 5 4 2 5" xfId="57479"/>
    <cellStyle name="Обычный 9 7 5 4 2 6" xfId="57480"/>
    <cellStyle name="Обычный 9 7 5 4 3" xfId="57481"/>
    <cellStyle name="Обычный 9 7 5 4 3 2" xfId="57482"/>
    <cellStyle name="Обычный 9 7 5 4 3 3" xfId="57483"/>
    <cellStyle name="Обычный 9 7 5 4 4" xfId="57484"/>
    <cellStyle name="Обычный 9 7 5 4 4 2" xfId="57485"/>
    <cellStyle name="Обычный 9 7 5 4 4 3" xfId="57486"/>
    <cellStyle name="Обычный 9 7 5 4 5" xfId="57487"/>
    <cellStyle name="Обычный 9 7 5 4 5 2" xfId="57488"/>
    <cellStyle name="Обычный 9 7 5 4 6" xfId="57489"/>
    <cellStyle name="Обычный 9 7 5 4 7" xfId="57490"/>
    <cellStyle name="Обычный 9 7 5 5" xfId="57491"/>
    <cellStyle name="Обычный 9 7 5 5 2" xfId="57492"/>
    <cellStyle name="Обычный 9 7 5 5 2 2" xfId="57493"/>
    <cellStyle name="Обычный 9 7 5 5 2 3" xfId="57494"/>
    <cellStyle name="Обычный 9 7 5 5 3" xfId="57495"/>
    <cellStyle name="Обычный 9 7 5 5 3 2" xfId="57496"/>
    <cellStyle name="Обычный 9 7 5 5 3 3" xfId="57497"/>
    <cellStyle name="Обычный 9 7 5 5 4" xfId="57498"/>
    <cellStyle name="Обычный 9 7 5 5 4 2" xfId="57499"/>
    <cellStyle name="Обычный 9 7 5 5 5" xfId="57500"/>
    <cellStyle name="Обычный 9 7 5 5 6" xfId="57501"/>
    <cellStyle name="Обычный 9 7 5 6" xfId="57502"/>
    <cellStyle name="Обычный 9 7 5 6 2" xfId="57503"/>
    <cellStyle name="Обычный 9 7 5 6 3" xfId="57504"/>
    <cellStyle name="Обычный 9 7 5 7" xfId="57505"/>
    <cellStyle name="Обычный 9 7 5 7 2" xfId="57506"/>
    <cellStyle name="Обычный 9 7 5 7 3" xfId="57507"/>
    <cellStyle name="Обычный 9 7 5 8" xfId="57508"/>
    <cellStyle name="Обычный 9 7 5 8 2" xfId="57509"/>
    <cellStyle name="Обычный 9 7 5 9" xfId="57510"/>
    <cellStyle name="Обычный 9 7 6" xfId="57511"/>
    <cellStyle name="Обычный 9 7 6 2" xfId="57512"/>
    <cellStyle name="Обычный 9 7 6 2 2" xfId="57513"/>
    <cellStyle name="Обычный 9 7 6 2 2 2" xfId="57514"/>
    <cellStyle name="Обычный 9 7 6 2 2 2 2" xfId="57515"/>
    <cellStyle name="Обычный 9 7 6 2 2 2 2 2" xfId="57516"/>
    <cellStyle name="Обычный 9 7 6 2 2 2 2 3" xfId="57517"/>
    <cellStyle name="Обычный 9 7 6 2 2 2 3" xfId="57518"/>
    <cellStyle name="Обычный 9 7 6 2 2 2 3 2" xfId="57519"/>
    <cellStyle name="Обычный 9 7 6 2 2 2 3 3" xfId="57520"/>
    <cellStyle name="Обычный 9 7 6 2 2 2 4" xfId="57521"/>
    <cellStyle name="Обычный 9 7 6 2 2 2 4 2" xfId="57522"/>
    <cellStyle name="Обычный 9 7 6 2 2 2 5" xfId="57523"/>
    <cellStyle name="Обычный 9 7 6 2 2 2 6" xfId="57524"/>
    <cellStyle name="Обычный 9 7 6 2 2 3" xfId="57525"/>
    <cellStyle name="Обычный 9 7 6 2 2 3 2" xfId="57526"/>
    <cellStyle name="Обычный 9 7 6 2 2 3 3" xfId="57527"/>
    <cellStyle name="Обычный 9 7 6 2 2 4" xfId="57528"/>
    <cellStyle name="Обычный 9 7 6 2 2 4 2" xfId="57529"/>
    <cellStyle name="Обычный 9 7 6 2 2 4 3" xfId="57530"/>
    <cellStyle name="Обычный 9 7 6 2 2 5" xfId="57531"/>
    <cellStyle name="Обычный 9 7 6 2 2 5 2" xfId="57532"/>
    <cellStyle name="Обычный 9 7 6 2 2 6" xfId="57533"/>
    <cellStyle name="Обычный 9 7 6 2 2 7" xfId="57534"/>
    <cellStyle name="Обычный 9 7 6 2 3" xfId="57535"/>
    <cellStyle name="Обычный 9 7 6 2 3 2" xfId="57536"/>
    <cellStyle name="Обычный 9 7 6 2 3 2 2" xfId="57537"/>
    <cellStyle name="Обычный 9 7 6 2 3 2 3" xfId="57538"/>
    <cellStyle name="Обычный 9 7 6 2 3 3" xfId="57539"/>
    <cellStyle name="Обычный 9 7 6 2 3 3 2" xfId="57540"/>
    <cellStyle name="Обычный 9 7 6 2 3 3 3" xfId="57541"/>
    <cellStyle name="Обычный 9 7 6 2 3 4" xfId="57542"/>
    <cellStyle name="Обычный 9 7 6 2 3 4 2" xfId="57543"/>
    <cellStyle name="Обычный 9 7 6 2 3 5" xfId="57544"/>
    <cellStyle name="Обычный 9 7 6 2 3 6" xfId="57545"/>
    <cellStyle name="Обычный 9 7 6 2 4" xfId="57546"/>
    <cellStyle name="Обычный 9 7 6 2 4 2" xfId="57547"/>
    <cellStyle name="Обычный 9 7 6 2 4 3" xfId="57548"/>
    <cellStyle name="Обычный 9 7 6 2 5" xfId="57549"/>
    <cellStyle name="Обычный 9 7 6 2 5 2" xfId="57550"/>
    <cellStyle name="Обычный 9 7 6 2 5 3" xfId="57551"/>
    <cellStyle name="Обычный 9 7 6 2 6" xfId="57552"/>
    <cellStyle name="Обычный 9 7 6 2 6 2" xfId="57553"/>
    <cellStyle name="Обычный 9 7 6 2 7" xfId="57554"/>
    <cellStyle name="Обычный 9 7 6 2 8" xfId="57555"/>
    <cellStyle name="Обычный 9 7 6 3" xfId="57556"/>
    <cellStyle name="Обычный 9 7 6 3 2" xfId="57557"/>
    <cellStyle name="Обычный 9 7 6 3 2 2" xfId="57558"/>
    <cellStyle name="Обычный 9 7 6 3 2 2 2" xfId="57559"/>
    <cellStyle name="Обычный 9 7 6 3 2 2 3" xfId="57560"/>
    <cellStyle name="Обычный 9 7 6 3 2 3" xfId="57561"/>
    <cellStyle name="Обычный 9 7 6 3 2 3 2" xfId="57562"/>
    <cellStyle name="Обычный 9 7 6 3 2 3 3" xfId="57563"/>
    <cellStyle name="Обычный 9 7 6 3 2 4" xfId="57564"/>
    <cellStyle name="Обычный 9 7 6 3 2 4 2" xfId="57565"/>
    <cellStyle name="Обычный 9 7 6 3 2 5" xfId="57566"/>
    <cellStyle name="Обычный 9 7 6 3 2 6" xfId="57567"/>
    <cellStyle name="Обычный 9 7 6 3 3" xfId="57568"/>
    <cellStyle name="Обычный 9 7 6 3 3 2" xfId="57569"/>
    <cellStyle name="Обычный 9 7 6 3 3 3" xfId="57570"/>
    <cellStyle name="Обычный 9 7 6 3 4" xfId="57571"/>
    <cellStyle name="Обычный 9 7 6 3 4 2" xfId="57572"/>
    <cellStyle name="Обычный 9 7 6 3 4 3" xfId="57573"/>
    <cellStyle name="Обычный 9 7 6 3 5" xfId="57574"/>
    <cellStyle name="Обычный 9 7 6 3 5 2" xfId="57575"/>
    <cellStyle name="Обычный 9 7 6 3 6" xfId="57576"/>
    <cellStyle name="Обычный 9 7 6 3 7" xfId="57577"/>
    <cellStyle name="Обычный 9 7 6 4" xfId="57578"/>
    <cellStyle name="Обычный 9 7 6 4 2" xfId="57579"/>
    <cellStyle name="Обычный 9 7 6 4 2 2" xfId="57580"/>
    <cellStyle name="Обычный 9 7 6 4 2 3" xfId="57581"/>
    <cellStyle name="Обычный 9 7 6 4 3" xfId="57582"/>
    <cellStyle name="Обычный 9 7 6 4 3 2" xfId="57583"/>
    <cellStyle name="Обычный 9 7 6 4 3 3" xfId="57584"/>
    <cellStyle name="Обычный 9 7 6 4 4" xfId="57585"/>
    <cellStyle name="Обычный 9 7 6 4 4 2" xfId="57586"/>
    <cellStyle name="Обычный 9 7 6 4 5" xfId="57587"/>
    <cellStyle name="Обычный 9 7 6 4 6" xfId="57588"/>
    <cellStyle name="Обычный 9 7 6 5" xfId="57589"/>
    <cellStyle name="Обычный 9 7 6 5 2" xfId="57590"/>
    <cellStyle name="Обычный 9 7 6 5 3" xfId="57591"/>
    <cellStyle name="Обычный 9 7 6 6" xfId="57592"/>
    <cellStyle name="Обычный 9 7 6 6 2" xfId="57593"/>
    <cellStyle name="Обычный 9 7 6 6 3" xfId="57594"/>
    <cellStyle name="Обычный 9 7 6 7" xfId="57595"/>
    <cellStyle name="Обычный 9 7 6 7 2" xfId="57596"/>
    <cellStyle name="Обычный 9 7 6 8" xfId="57597"/>
    <cellStyle name="Обычный 9 7 6 9" xfId="57598"/>
    <cellStyle name="Обычный 9 7 7" xfId="57599"/>
    <cellStyle name="Обычный 9 7 7 2" xfId="57600"/>
    <cellStyle name="Обычный 9 7 7 2 2" xfId="57601"/>
    <cellStyle name="Обычный 9 7 7 2 2 2" xfId="57602"/>
    <cellStyle name="Обычный 9 7 7 2 2 2 2" xfId="57603"/>
    <cellStyle name="Обычный 9 7 7 2 2 2 3" xfId="57604"/>
    <cellStyle name="Обычный 9 7 7 2 2 3" xfId="57605"/>
    <cellStyle name="Обычный 9 7 7 2 2 3 2" xfId="57606"/>
    <cellStyle name="Обычный 9 7 7 2 2 3 3" xfId="57607"/>
    <cellStyle name="Обычный 9 7 7 2 2 4" xfId="57608"/>
    <cellStyle name="Обычный 9 7 7 2 2 4 2" xfId="57609"/>
    <cellStyle name="Обычный 9 7 7 2 2 5" xfId="57610"/>
    <cellStyle name="Обычный 9 7 7 2 2 6" xfId="57611"/>
    <cellStyle name="Обычный 9 7 7 2 3" xfId="57612"/>
    <cellStyle name="Обычный 9 7 7 2 3 2" xfId="57613"/>
    <cellStyle name="Обычный 9 7 7 2 3 3" xfId="57614"/>
    <cellStyle name="Обычный 9 7 7 2 4" xfId="57615"/>
    <cellStyle name="Обычный 9 7 7 2 4 2" xfId="57616"/>
    <cellStyle name="Обычный 9 7 7 2 4 3" xfId="57617"/>
    <cellStyle name="Обычный 9 7 7 2 5" xfId="57618"/>
    <cellStyle name="Обычный 9 7 7 2 5 2" xfId="57619"/>
    <cellStyle name="Обычный 9 7 7 2 6" xfId="57620"/>
    <cellStyle name="Обычный 9 7 7 2 7" xfId="57621"/>
    <cellStyle name="Обычный 9 7 7 3" xfId="57622"/>
    <cellStyle name="Обычный 9 7 7 3 2" xfId="57623"/>
    <cellStyle name="Обычный 9 7 7 3 2 2" xfId="57624"/>
    <cellStyle name="Обычный 9 7 7 3 2 3" xfId="57625"/>
    <cellStyle name="Обычный 9 7 7 3 3" xfId="57626"/>
    <cellStyle name="Обычный 9 7 7 3 3 2" xfId="57627"/>
    <cellStyle name="Обычный 9 7 7 3 3 3" xfId="57628"/>
    <cellStyle name="Обычный 9 7 7 3 4" xfId="57629"/>
    <cellStyle name="Обычный 9 7 7 3 4 2" xfId="57630"/>
    <cellStyle name="Обычный 9 7 7 3 5" xfId="57631"/>
    <cellStyle name="Обычный 9 7 7 3 6" xfId="57632"/>
    <cellStyle name="Обычный 9 7 7 4" xfId="57633"/>
    <cellStyle name="Обычный 9 7 7 4 2" xfId="57634"/>
    <cellStyle name="Обычный 9 7 7 4 3" xfId="57635"/>
    <cellStyle name="Обычный 9 7 7 5" xfId="57636"/>
    <cellStyle name="Обычный 9 7 7 5 2" xfId="57637"/>
    <cellStyle name="Обычный 9 7 7 5 3" xfId="57638"/>
    <cellStyle name="Обычный 9 7 7 6" xfId="57639"/>
    <cellStyle name="Обычный 9 7 7 6 2" xfId="57640"/>
    <cellStyle name="Обычный 9 7 7 7" xfId="57641"/>
    <cellStyle name="Обычный 9 7 7 8" xfId="57642"/>
    <cellStyle name="Обычный 9 7 8" xfId="57643"/>
    <cellStyle name="Обычный 9 7 8 2" xfId="57644"/>
    <cellStyle name="Обычный 9 7 8 2 2" xfId="57645"/>
    <cellStyle name="Обычный 9 7 8 2 2 2" xfId="57646"/>
    <cellStyle name="Обычный 9 7 8 2 2 3" xfId="57647"/>
    <cellStyle name="Обычный 9 7 8 2 3" xfId="57648"/>
    <cellStyle name="Обычный 9 7 8 2 3 2" xfId="57649"/>
    <cellStyle name="Обычный 9 7 8 2 3 3" xfId="57650"/>
    <cellStyle name="Обычный 9 7 8 2 4" xfId="57651"/>
    <cellStyle name="Обычный 9 7 8 2 4 2" xfId="57652"/>
    <cellStyle name="Обычный 9 7 8 2 5" xfId="57653"/>
    <cellStyle name="Обычный 9 7 8 2 6" xfId="57654"/>
    <cellStyle name="Обычный 9 7 8 3" xfId="57655"/>
    <cellStyle name="Обычный 9 7 8 3 2" xfId="57656"/>
    <cellStyle name="Обычный 9 7 8 3 3" xfId="57657"/>
    <cellStyle name="Обычный 9 7 8 4" xfId="57658"/>
    <cellStyle name="Обычный 9 7 8 4 2" xfId="57659"/>
    <cellStyle name="Обычный 9 7 8 4 3" xfId="57660"/>
    <cellStyle name="Обычный 9 7 8 5" xfId="57661"/>
    <cellStyle name="Обычный 9 7 8 5 2" xfId="57662"/>
    <cellStyle name="Обычный 9 7 8 6" xfId="57663"/>
    <cellStyle name="Обычный 9 7 8 7" xfId="57664"/>
    <cellStyle name="Обычный 9 7 9" xfId="57665"/>
    <cellStyle name="Обычный 9 7 9 2" xfId="57666"/>
    <cellStyle name="Обычный 9 7 9 2 2" xfId="57667"/>
    <cellStyle name="Обычный 9 7 9 2 3" xfId="57668"/>
    <cellStyle name="Обычный 9 7 9 3" xfId="57669"/>
    <cellStyle name="Обычный 9 7 9 3 2" xfId="57670"/>
    <cellStyle name="Обычный 9 7 9 3 3" xfId="57671"/>
    <cellStyle name="Обычный 9 7 9 4" xfId="57672"/>
    <cellStyle name="Обычный 9 7 9 4 2" xfId="57673"/>
    <cellStyle name="Обычный 9 7 9 5" xfId="57674"/>
    <cellStyle name="Обычный 9 7 9 6" xfId="57675"/>
    <cellStyle name="Обычный 9 8" xfId="57676"/>
    <cellStyle name="Обычный 9 8 10" xfId="57677"/>
    <cellStyle name="Обычный 9 8 10 2" xfId="57678"/>
    <cellStyle name="Обычный 9 8 10 3" xfId="57679"/>
    <cellStyle name="Обычный 9 8 11" xfId="57680"/>
    <cellStyle name="Обычный 9 8 11 2" xfId="57681"/>
    <cellStyle name="Обычный 9 8 11 3" xfId="57682"/>
    <cellStyle name="Обычный 9 8 12" xfId="57683"/>
    <cellStyle name="Обычный 9 8 12 2" xfId="57684"/>
    <cellStyle name="Обычный 9 8 13" xfId="57685"/>
    <cellStyle name="Обычный 9 8 14" xfId="57686"/>
    <cellStyle name="Обычный 9 8 2" xfId="57687"/>
    <cellStyle name="Обычный 9 8 2 10" xfId="57688"/>
    <cellStyle name="Обычный 9 8 2 10 2" xfId="57689"/>
    <cellStyle name="Обычный 9 8 2 10 3" xfId="57690"/>
    <cellStyle name="Обычный 9 8 2 11" xfId="57691"/>
    <cellStyle name="Обычный 9 8 2 11 2" xfId="57692"/>
    <cellStyle name="Обычный 9 8 2 12" xfId="57693"/>
    <cellStyle name="Обычный 9 8 2 13" xfId="57694"/>
    <cellStyle name="Обычный 9 8 2 2" xfId="57695"/>
    <cellStyle name="Обычный 9 8 2 2 10" xfId="57696"/>
    <cellStyle name="Обычный 9 8 2 2 2" xfId="57697"/>
    <cellStyle name="Обычный 9 8 2 2 2 2" xfId="57698"/>
    <cellStyle name="Обычный 9 8 2 2 2 2 2" xfId="57699"/>
    <cellStyle name="Обычный 9 8 2 2 2 2 2 2" xfId="57700"/>
    <cellStyle name="Обычный 9 8 2 2 2 2 2 2 2" xfId="57701"/>
    <cellStyle name="Обычный 9 8 2 2 2 2 2 2 2 2" xfId="57702"/>
    <cellStyle name="Обычный 9 8 2 2 2 2 2 2 2 3" xfId="57703"/>
    <cellStyle name="Обычный 9 8 2 2 2 2 2 2 3" xfId="57704"/>
    <cellStyle name="Обычный 9 8 2 2 2 2 2 2 3 2" xfId="57705"/>
    <cellStyle name="Обычный 9 8 2 2 2 2 2 2 3 3" xfId="57706"/>
    <cellStyle name="Обычный 9 8 2 2 2 2 2 2 4" xfId="57707"/>
    <cellStyle name="Обычный 9 8 2 2 2 2 2 2 4 2" xfId="57708"/>
    <cellStyle name="Обычный 9 8 2 2 2 2 2 2 5" xfId="57709"/>
    <cellStyle name="Обычный 9 8 2 2 2 2 2 2 6" xfId="57710"/>
    <cellStyle name="Обычный 9 8 2 2 2 2 2 3" xfId="57711"/>
    <cellStyle name="Обычный 9 8 2 2 2 2 2 3 2" xfId="57712"/>
    <cellStyle name="Обычный 9 8 2 2 2 2 2 3 3" xfId="57713"/>
    <cellStyle name="Обычный 9 8 2 2 2 2 2 4" xfId="57714"/>
    <cellStyle name="Обычный 9 8 2 2 2 2 2 4 2" xfId="57715"/>
    <cellStyle name="Обычный 9 8 2 2 2 2 2 4 3" xfId="57716"/>
    <cellStyle name="Обычный 9 8 2 2 2 2 2 5" xfId="57717"/>
    <cellStyle name="Обычный 9 8 2 2 2 2 2 5 2" xfId="57718"/>
    <cellStyle name="Обычный 9 8 2 2 2 2 2 6" xfId="57719"/>
    <cellStyle name="Обычный 9 8 2 2 2 2 2 7" xfId="57720"/>
    <cellStyle name="Обычный 9 8 2 2 2 2 3" xfId="57721"/>
    <cellStyle name="Обычный 9 8 2 2 2 2 3 2" xfId="57722"/>
    <cellStyle name="Обычный 9 8 2 2 2 2 3 2 2" xfId="57723"/>
    <cellStyle name="Обычный 9 8 2 2 2 2 3 2 3" xfId="57724"/>
    <cellStyle name="Обычный 9 8 2 2 2 2 3 3" xfId="57725"/>
    <cellStyle name="Обычный 9 8 2 2 2 2 3 3 2" xfId="57726"/>
    <cellStyle name="Обычный 9 8 2 2 2 2 3 3 3" xfId="57727"/>
    <cellStyle name="Обычный 9 8 2 2 2 2 3 4" xfId="57728"/>
    <cellStyle name="Обычный 9 8 2 2 2 2 3 4 2" xfId="57729"/>
    <cellStyle name="Обычный 9 8 2 2 2 2 3 5" xfId="57730"/>
    <cellStyle name="Обычный 9 8 2 2 2 2 3 6" xfId="57731"/>
    <cellStyle name="Обычный 9 8 2 2 2 2 4" xfId="57732"/>
    <cellStyle name="Обычный 9 8 2 2 2 2 4 2" xfId="57733"/>
    <cellStyle name="Обычный 9 8 2 2 2 2 4 3" xfId="57734"/>
    <cellStyle name="Обычный 9 8 2 2 2 2 5" xfId="57735"/>
    <cellStyle name="Обычный 9 8 2 2 2 2 5 2" xfId="57736"/>
    <cellStyle name="Обычный 9 8 2 2 2 2 5 3" xfId="57737"/>
    <cellStyle name="Обычный 9 8 2 2 2 2 6" xfId="57738"/>
    <cellStyle name="Обычный 9 8 2 2 2 2 6 2" xfId="57739"/>
    <cellStyle name="Обычный 9 8 2 2 2 2 7" xfId="57740"/>
    <cellStyle name="Обычный 9 8 2 2 2 2 8" xfId="57741"/>
    <cellStyle name="Обычный 9 8 2 2 2 3" xfId="57742"/>
    <cellStyle name="Обычный 9 8 2 2 2 3 2" xfId="57743"/>
    <cellStyle name="Обычный 9 8 2 2 2 3 2 2" xfId="57744"/>
    <cellStyle name="Обычный 9 8 2 2 2 3 2 2 2" xfId="57745"/>
    <cellStyle name="Обычный 9 8 2 2 2 3 2 2 3" xfId="57746"/>
    <cellStyle name="Обычный 9 8 2 2 2 3 2 3" xfId="57747"/>
    <cellStyle name="Обычный 9 8 2 2 2 3 2 3 2" xfId="57748"/>
    <cellStyle name="Обычный 9 8 2 2 2 3 2 3 3" xfId="57749"/>
    <cellStyle name="Обычный 9 8 2 2 2 3 2 4" xfId="57750"/>
    <cellStyle name="Обычный 9 8 2 2 2 3 2 4 2" xfId="57751"/>
    <cellStyle name="Обычный 9 8 2 2 2 3 2 5" xfId="57752"/>
    <cellStyle name="Обычный 9 8 2 2 2 3 2 6" xfId="57753"/>
    <cellStyle name="Обычный 9 8 2 2 2 3 3" xfId="57754"/>
    <cellStyle name="Обычный 9 8 2 2 2 3 3 2" xfId="57755"/>
    <cellStyle name="Обычный 9 8 2 2 2 3 3 3" xfId="57756"/>
    <cellStyle name="Обычный 9 8 2 2 2 3 4" xfId="57757"/>
    <cellStyle name="Обычный 9 8 2 2 2 3 4 2" xfId="57758"/>
    <cellStyle name="Обычный 9 8 2 2 2 3 4 3" xfId="57759"/>
    <cellStyle name="Обычный 9 8 2 2 2 3 5" xfId="57760"/>
    <cellStyle name="Обычный 9 8 2 2 2 3 5 2" xfId="57761"/>
    <cellStyle name="Обычный 9 8 2 2 2 3 6" xfId="57762"/>
    <cellStyle name="Обычный 9 8 2 2 2 3 7" xfId="57763"/>
    <cellStyle name="Обычный 9 8 2 2 2 4" xfId="57764"/>
    <cellStyle name="Обычный 9 8 2 2 2 4 2" xfId="57765"/>
    <cellStyle name="Обычный 9 8 2 2 2 4 2 2" xfId="57766"/>
    <cellStyle name="Обычный 9 8 2 2 2 4 2 3" xfId="57767"/>
    <cellStyle name="Обычный 9 8 2 2 2 4 3" xfId="57768"/>
    <cellStyle name="Обычный 9 8 2 2 2 4 3 2" xfId="57769"/>
    <cellStyle name="Обычный 9 8 2 2 2 4 3 3" xfId="57770"/>
    <cellStyle name="Обычный 9 8 2 2 2 4 4" xfId="57771"/>
    <cellStyle name="Обычный 9 8 2 2 2 4 4 2" xfId="57772"/>
    <cellStyle name="Обычный 9 8 2 2 2 4 5" xfId="57773"/>
    <cellStyle name="Обычный 9 8 2 2 2 4 6" xfId="57774"/>
    <cellStyle name="Обычный 9 8 2 2 2 5" xfId="57775"/>
    <cellStyle name="Обычный 9 8 2 2 2 5 2" xfId="57776"/>
    <cellStyle name="Обычный 9 8 2 2 2 5 3" xfId="57777"/>
    <cellStyle name="Обычный 9 8 2 2 2 6" xfId="57778"/>
    <cellStyle name="Обычный 9 8 2 2 2 6 2" xfId="57779"/>
    <cellStyle name="Обычный 9 8 2 2 2 6 3" xfId="57780"/>
    <cellStyle name="Обычный 9 8 2 2 2 7" xfId="57781"/>
    <cellStyle name="Обычный 9 8 2 2 2 7 2" xfId="57782"/>
    <cellStyle name="Обычный 9 8 2 2 2 8" xfId="57783"/>
    <cellStyle name="Обычный 9 8 2 2 2 9" xfId="57784"/>
    <cellStyle name="Обычный 9 8 2 2 3" xfId="57785"/>
    <cellStyle name="Обычный 9 8 2 2 3 2" xfId="57786"/>
    <cellStyle name="Обычный 9 8 2 2 3 2 2" xfId="57787"/>
    <cellStyle name="Обычный 9 8 2 2 3 2 2 2" xfId="57788"/>
    <cellStyle name="Обычный 9 8 2 2 3 2 2 2 2" xfId="57789"/>
    <cellStyle name="Обычный 9 8 2 2 3 2 2 2 3" xfId="57790"/>
    <cellStyle name="Обычный 9 8 2 2 3 2 2 3" xfId="57791"/>
    <cellStyle name="Обычный 9 8 2 2 3 2 2 3 2" xfId="57792"/>
    <cellStyle name="Обычный 9 8 2 2 3 2 2 3 3" xfId="57793"/>
    <cellStyle name="Обычный 9 8 2 2 3 2 2 4" xfId="57794"/>
    <cellStyle name="Обычный 9 8 2 2 3 2 2 4 2" xfId="57795"/>
    <cellStyle name="Обычный 9 8 2 2 3 2 2 5" xfId="57796"/>
    <cellStyle name="Обычный 9 8 2 2 3 2 2 6" xfId="57797"/>
    <cellStyle name="Обычный 9 8 2 2 3 2 3" xfId="57798"/>
    <cellStyle name="Обычный 9 8 2 2 3 2 3 2" xfId="57799"/>
    <cellStyle name="Обычный 9 8 2 2 3 2 3 3" xfId="57800"/>
    <cellStyle name="Обычный 9 8 2 2 3 2 4" xfId="57801"/>
    <cellStyle name="Обычный 9 8 2 2 3 2 4 2" xfId="57802"/>
    <cellStyle name="Обычный 9 8 2 2 3 2 4 3" xfId="57803"/>
    <cellStyle name="Обычный 9 8 2 2 3 2 5" xfId="57804"/>
    <cellStyle name="Обычный 9 8 2 2 3 2 5 2" xfId="57805"/>
    <cellStyle name="Обычный 9 8 2 2 3 2 6" xfId="57806"/>
    <cellStyle name="Обычный 9 8 2 2 3 2 7" xfId="57807"/>
    <cellStyle name="Обычный 9 8 2 2 3 3" xfId="57808"/>
    <cellStyle name="Обычный 9 8 2 2 3 3 2" xfId="57809"/>
    <cellStyle name="Обычный 9 8 2 2 3 3 2 2" xfId="57810"/>
    <cellStyle name="Обычный 9 8 2 2 3 3 2 3" xfId="57811"/>
    <cellStyle name="Обычный 9 8 2 2 3 3 3" xfId="57812"/>
    <cellStyle name="Обычный 9 8 2 2 3 3 3 2" xfId="57813"/>
    <cellStyle name="Обычный 9 8 2 2 3 3 3 3" xfId="57814"/>
    <cellStyle name="Обычный 9 8 2 2 3 3 4" xfId="57815"/>
    <cellStyle name="Обычный 9 8 2 2 3 3 4 2" xfId="57816"/>
    <cellStyle name="Обычный 9 8 2 2 3 3 5" xfId="57817"/>
    <cellStyle name="Обычный 9 8 2 2 3 3 6" xfId="57818"/>
    <cellStyle name="Обычный 9 8 2 2 3 4" xfId="57819"/>
    <cellStyle name="Обычный 9 8 2 2 3 4 2" xfId="57820"/>
    <cellStyle name="Обычный 9 8 2 2 3 4 3" xfId="57821"/>
    <cellStyle name="Обычный 9 8 2 2 3 5" xfId="57822"/>
    <cellStyle name="Обычный 9 8 2 2 3 5 2" xfId="57823"/>
    <cellStyle name="Обычный 9 8 2 2 3 5 3" xfId="57824"/>
    <cellStyle name="Обычный 9 8 2 2 3 6" xfId="57825"/>
    <cellStyle name="Обычный 9 8 2 2 3 6 2" xfId="57826"/>
    <cellStyle name="Обычный 9 8 2 2 3 7" xfId="57827"/>
    <cellStyle name="Обычный 9 8 2 2 3 8" xfId="57828"/>
    <cellStyle name="Обычный 9 8 2 2 4" xfId="57829"/>
    <cellStyle name="Обычный 9 8 2 2 4 2" xfId="57830"/>
    <cellStyle name="Обычный 9 8 2 2 4 2 2" xfId="57831"/>
    <cellStyle name="Обычный 9 8 2 2 4 2 2 2" xfId="57832"/>
    <cellStyle name="Обычный 9 8 2 2 4 2 2 3" xfId="57833"/>
    <cellStyle name="Обычный 9 8 2 2 4 2 3" xfId="57834"/>
    <cellStyle name="Обычный 9 8 2 2 4 2 3 2" xfId="57835"/>
    <cellStyle name="Обычный 9 8 2 2 4 2 3 3" xfId="57836"/>
    <cellStyle name="Обычный 9 8 2 2 4 2 4" xfId="57837"/>
    <cellStyle name="Обычный 9 8 2 2 4 2 4 2" xfId="57838"/>
    <cellStyle name="Обычный 9 8 2 2 4 2 5" xfId="57839"/>
    <cellStyle name="Обычный 9 8 2 2 4 2 6" xfId="57840"/>
    <cellStyle name="Обычный 9 8 2 2 4 3" xfId="57841"/>
    <cellStyle name="Обычный 9 8 2 2 4 3 2" xfId="57842"/>
    <cellStyle name="Обычный 9 8 2 2 4 3 3" xfId="57843"/>
    <cellStyle name="Обычный 9 8 2 2 4 4" xfId="57844"/>
    <cellStyle name="Обычный 9 8 2 2 4 4 2" xfId="57845"/>
    <cellStyle name="Обычный 9 8 2 2 4 4 3" xfId="57846"/>
    <cellStyle name="Обычный 9 8 2 2 4 5" xfId="57847"/>
    <cellStyle name="Обычный 9 8 2 2 4 5 2" xfId="57848"/>
    <cellStyle name="Обычный 9 8 2 2 4 6" xfId="57849"/>
    <cellStyle name="Обычный 9 8 2 2 4 7" xfId="57850"/>
    <cellStyle name="Обычный 9 8 2 2 5" xfId="57851"/>
    <cellStyle name="Обычный 9 8 2 2 5 2" xfId="57852"/>
    <cellStyle name="Обычный 9 8 2 2 5 2 2" xfId="57853"/>
    <cellStyle name="Обычный 9 8 2 2 5 2 3" xfId="57854"/>
    <cellStyle name="Обычный 9 8 2 2 5 3" xfId="57855"/>
    <cellStyle name="Обычный 9 8 2 2 5 3 2" xfId="57856"/>
    <cellStyle name="Обычный 9 8 2 2 5 3 3" xfId="57857"/>
    <cellStyle name="Обычный 9 8 2 2 5 4" xfId="57858"/>
    <cellStyle name="Обычный 9 8 2 2 5 4 2" xfId="57859"/>
    <cellStyle name="Обычный 9 8 2 2 5 5" xfId="57860"/>
    <cellStyle name="Обычный 9 8 2 2 5 6" xfId="57861"/>
    <cellStyle name="Обычный 9 8 2 2 6" xfId="57862"/>
    <cellStyle name="Обычный 9 8 2 2 6 2" xfId="57863"/>
    <cellStyle name="Обычный 9 8 2 2 6 3" xfId="57864"/>
    <cellStyle name="Обычный 9 8 2 2 7" xfId="57865"/>
    <cellStyle name="Обычный 9 8 2 2 7 2" xfId="57866"/>
    <cellStyle name="Обычный 9 8 2 2 7 3" xfId="57867"/>
    <cellStyle name="Обычный 9 8 2 2 8" xfId="57868"/>
    <cellStyle name="Обычный 9 8 2 2 8 2" xfId="57869"/>
    <cellStyle name="Обычный 9 8 2 2 9" xfId="57870"/>
    <cellStyle name="Обычный 9 8 2 3" xfId="57871"/>
    <cellStyle name="Обычный 9 8 2 3 10" xfId="57872"/>
    <cellStyle name="Обычный 9 8 2 3 2" xfId="57873"/>
    <cellStyle name="Обычный 9 8 2 3 2 2" xfId="57874"/>
    <cellStyle name="Обычный 9 8 2 3 2 2 2" xfId="57875"/>
    <cellStyle name="Обычный 9 8 2 3 2 2 2 2" xfId="57876"/>
    <cellStyle name="Обычный 9 8 2 3 2 2 2 2 2" xfId="57877"/>
    <cellStyle name="Обычный 9 8 2 3 2 2 2 2 2 2" xfId="57878"/>
    <cellStyle name="Обычный 9 8 2 3 2 2 2 2 2 3" xfId="57879"/>
    <cellStyle name="Обычный 9 8 2 3 2 2 2 2 3" xfId="57880"/>
    <cellStyle name="Обычный 9 8 2 3 2 2 2 2 3 2" xfId="57881"/>
    <cellStyle name="Обычный 9 8 2 3 2 2 2 2 3 3" xfId="57882"/>
    <cellStyle name="Обычный 9 8 2 3 2 2 2 2 4" xfId="57883"/>
    <cellStyle name="Обычный 9 8 2 3 2 2 2 2 4 2" xfId="57884"/>
    <cellStyle name="Обычный 9 8 2 3 2 2 2 2 5" xfId="57885"/>
    <cellStyle name="Обычный 9 8 2 3 2 2 2 2 6" xfId="57886"/>
    <cellStyle name="Обычный 9 8 2 3 2 2 2 3" xfId="57887"/>
    <cellStyle name="Обычный 9 8 2 3 2 2 2 3 2" xfId="57888"/>
    <cellStyle name="Обычный 9 8 2 3 2 2 2 3 3" xfId="57889"/>
    <cellStyle name="Обычный 9 8 2 3 2 2 2 4" xfId="57890"/>
    <cellStyle name="Обычный 9 8 2 3 2 2 2 4 2" xfId="57891"/>
    <cellStyle name="Обычный 9 8 2 3 2 2 2 4 3" xfId="57892"/>
    <cellStyle name="Обычный 9 8 2 3 2 2 2 5" xfId="57893"/>
    <cellStyle name="Обычный 9 8 2 3 2 2 2 5 2" xfId="57894"/>
    <cellStyle name="Обычный 9 8 2 3 2 2 2 6" xfId="57895"/>
    <cellStyle name="Обычный 9 8 2 3 2 2 2 7" xfId="57896"/>
    <cellStyle name="Обычный 9 8 2 3 2 2 3" xfId="57897"/>
    <cellStyle name="Обычный 9 8 2 3 2 2 3 2" xfId="57898"/>
    <cellStyle name="Обычный 9 8 2 3 2 2 3 2 2" xfId="57899"/>
    <cellStyle name="Обычный 9 8 2 3 2 2 3 2 3" xfId="57900"/>
    <cellStyle name="Обычный 9 8 2 3 2 2 3 3" xfId="57901"/>
    <cellStyle name="Обычный 9 8 2 3 2 2 3 3 2" xfId="57902"/>
    <cellStyle name="Обычный 9 8 2 3 2 2 3 3 3" xfId="57903"/>
    <cellStyle name="Обычный 9 8 2 3 2 2 3 4" xfId="57904"/>
    <cellStyle name="Обычный 9 8 2 3 2 2 3 4 2" xfId="57905"/>
    <cellStyle name="Обычный 9 8 2 3 2 2 3 5" xfId="57906"/>
    <cellStyle name="Обычный 9 8 2 3 2 2 3 6" xfId="57907"/>
    <cellStyle name="Обычный 9 8 2 3 2 2 4" xfId="57908"/>
    <cellStyle name="Обычный 9 8 2 3 2 2 4 2" xfId="57909"/>
    <cellStyle name="Обычный 9 8 2 3 2 2 4 3" xfId="57910"/>
    <cellStyle name="Обычный 9 8 2 3 2 2 5" xfId="57911"/>
    <cellStyle name="Обычный 9 8 2 3 2 2 5 2" xfId="57912"/>
    <cellStyle name="Обычный 9 8 2 3 2 2 5 3" xfId="57913"/>
    <cellStyle name="Обычный 9 8 2 3 2 2 6" xfId="57914"/>
    <cellStyle name="Обычный 9 8 2 3 2 2 6 2" xfId="57915"/>
    <cellStyle name="Обычный 9 8 2 3 2 2 7" xfId="57916"/>
    <cellStyle name="Обычный 9 8 2 3 2 2 8" xfId="57917"/>
    <cellStyle name="Обычный 9 8 2 3 2 3" xfId="57918"/>
    <cellStyle name="Обычный 9 8 2 3 2 3 2" xfId="57919"/>
    <cellStyle name="Обычный 9 8 2 3 2 3 2 2" xfId="57920"/>
    <cellStyle name="Обычный 9 8 2 3 2 3 2 2 2" xfId="57921"/>
    <cellStyle name="Обычный 9 8 2 3 2 3 2 2 3" xfId="57922"/>
    <cellStyle name="Обычный 9 8 2 3 2 3 2 3" xfId="57923"/>
    <cellStyle name="Обычный 9 8 2 3 2 3 2 3 2" xfId="57924"/>
    <cellStyle name="Обычный 9 8 2 3 2 3 2 3 3" xfId="57925"/>
    <cellStyle name="Обычный 9 8 2 3 2 3 2 4" xfId="57926"/>
    <cellStyle name="Обычный 9 8 2 3 2 3 2 4 2" xfId="57927"/>
    <cellStyle name="Обычный 9 8 2 3 2 3 2 5" xfId="57928"/>
    <cellStyle name="Обычный 9 8 2 3 2 3 2 6" xfId="57929"/>
    <cellStyle name="Обычный 9 8 2 3 2 3 3" xfId="57930"/>
    <cellStyle name="Обычный 9 8 2 3 2 3 3 2" xfId="57931"/>
    <cellStyle name="Обычный 9 8 2 3 2 3 3 3" xfId="57932"/>
    <cellStyle name="Обычный 9 8 2 3 2 3 4" xfId="57933"/>
    <cellStyle name="Обычный 9 8 2 3 2 3 4 2" xfId="57934"/>
    <cellStyle name="Обычный 9 8 2 3 2 3 4 3" xfId="57935"/>
    <cellStyle name="Обычный 9 8 2 3 2 3 5" xfId="57936"/>
    <cellStyle name="Обычный 9 8 2 3 2 3 5 2" xfId="57937"/>
    <cellStyle name="Обычный 9 8 2 3 2 3 6" xfId="57938"/>
    <cellStyle name="Обычный 9 8 2 3 2 3 7" xfId="57939"/>
    <cellStyle name="Обычный 9 8 2 3 2 4" xfId="57940"/>
    <cellStyle name="Обычный 9 8 2 3 2 4 2" xfId="57941"/>
    <cellStyle name="Обычный 9 8 2 3 2 4 2 2" xfId="57942"/>
    <cellStyle name="Обычный 9 8 2 3 2 4 2 3" xfId="57943"/>
    <cellStyle name="Обычный 9 8 2 3 2 4 3" xfId="57944"/>
    <cellStyle name="Обычный 9 8 2 3 2 4 3 2" xfId="57945"/>
    <cellStyle name="Обычный 9 8 2 3 2 4 3 3" xfId="57946"/>
    <cellStyle name="Обычный 9 8 2 3 2 4 4" xfId="57947"/>
    <cellStyle name="Обычный 9 8 2 3 2 4 4 2" xfId="57948"/>
    <cellStyle name="Обычный 9 8 2 3 2 4 5" xfId="57949"/>
    <cellStyle name="Обычный 9 8 2 3 2 4 6" xfId="57950"/>
    <cellStyle name="Обычный 9 8 2 3 2 5" xfId="57951"/>
    <cellStyle name="Обычный 9 8 2 3 2 5 2" xfId="57952"/>
    <cellStyle name="Обычный 9 8 2 3 2 5 3" xfId="57953"/>
    <cellStyle name="Обычный 9 8 2 3 2 6" xfId="57954"/>
    <cellStyle name="Обычный 9 8 2 3 2 6 2" xfId="57955"/>
    <cellStyle name="Обычный 9 8 2 3 2 6 3" xfId="57956"/>
    <cellStyle name="Обычный 9 8 2 3 2 7" xfId="57957"/>
    <cellStyle name="Обычный 9 8 2 3 2 7 2" xfId="57958"/>
    <cellStyle name="Обычный 9 8 2 3 2 8" xfId="57959"/>
    <cellStyle name="Обычный 9 8 2 3 2 9" xfId="57960"/>
    <cellStyle name="Обычный 9 8 2 3 3" xfId="57961"/>
    <cellStyle name="Обычный 9 8 2 3 3 2" xfId="57962"/>
    <cellStyle name="Обычный 9 8 2 3 3 2 2" xfId="57963"/>
    <cellStyle name="Обычный 9 8 2 3 3 2 2 2" xfId="57964"/>
    <cellStyle name="Обычный 9 8 2 3 3 2 2 2 2" xfId="57965"/>
    <cellStyle name="Обычный 9 8 2 3 3 2 2 2 3" xfId="57966"/>
    <cellStyle name="Обычный 9 8 2 3 3 2 2 3" xfId="57967"/>
    <cellStyle name="Обычный 9 8 2 3 3 2 2 3 2" xfId="57968"/>
    <cellStyle name="Обычный 9 8 2 3 3 2 2 3 3" xfId="57969"/>
    <cellStyle name="Обычный 9 8 2 3 3 2 2 4" xfId="57970"/>
    <cellStyle name="Обычный 9 8 2 3 3 2 2 4 2" xfId="57971"/>
    <cellStyle name="Обычный 9 8 2 3 3 2 2 5" xfId="57972"/>
    <cellStyle name="Обычный 9 8 2 3 3 2 2 6" xfId="57973"/>
    <cellStyle name="Обычный 9 8 2 3 3 2 3" xfId="57974"/>
    <cellStyle name="Обычный 9 8 2 3 3 2 3 2" xfId="57975"/>
    <cellStyle name="Обычный 9 8 2 3 3 2 3 3" xfId="57976"/>
    <cellStyle name="Обычный 9 8 2 3 3 2 4" xfId="57977"/>
    <cellStyle name="Обычный 9 8 2 3 3 2 4 2" xfId="57978"/>
    <cellStyle name="Обычный 9 8 2 3 3 2 4 3" xfId="57979"/>
    <cellStyle name="Обычный 9 8 2 3 3 2 5" xfId="57980"/>
    <cellStyle name="Обычный 9 8 2 3 3 2 5 2" xfId="57981"/>
    <cellStyle name="Обычный 9 8 2 3 3 2 6" xfId="57982"/>
    <cellStyle name="Обычный 9 8 2 3 3 2 7" xfId="57983"/>
    <cellStyle name="Обычный 9 8 2 3 3 3" xfId="57984"/>
    <cellStyle name="Обычный 9 8 2 3 3 3 2" xfId="57985"/>
    <cellStyle name="Обычный 9 8 2 3 3 3 2 2" xfId="57986"/>
    <cellStyle name="Обычный 9 8 2 3 3 3 2 3" xfId="57987"/>
    <cellStyle name="Обычный 9 8 2 3 3 3 3" xfId="57988"/>
    <cellStyle name="Обычный 9 8 2 3 3 3 3 2" xfId="57989"/>
    <cellStyle name="Обычный 9 8 2 3 3 3 3 3" xfId="57990"/>
    <cellStyle name="Обычный 9 8 2 3 3 3 4" xfId="57991"/>
    <cellStyle name="Обычный 9 8 2 3 3 3 4 2" xfId="57992"/>
    <cellStyle name="Обычный 9 8 2 3 3 3 5" xfId="57993"/>
    <cellStyle name="Обычный 9 8 2 3 3 3 6" xfId="57994"/>
    <cellStyle name="Обычный 9 8 2 3 3 4" xfId="57995"/>
    <cellStyle name="Обычный 9 8 2 3 3 4 2" xfId="57996"/>
    <cellStyle name="Обычный 9 8 2 3 3 4 3" xfId="57997"/>
    <cellStyle name="Обычный 9 8 2 3 3 5" xfId="57998"/>
    <cellStyle name="Обычный 9 8 2 3 3 5 2" xfId="57999"/>
    <cellStyle name="Обычный 9 8 2 3 3 5 3" xfId="58000"/>
    <cellStyle name="Обычный 9 8 2 3 3 6" xfId="58001"/>
    <cellStyle name="Обычный 9 8 2 3 3 6 2" xfId="58002"/>
    <cellStyle name="Обычный 9 8 2 3 3 7" xfId="58003"/>
    <cellStyle name="Обычный 9 8 2 3 3 8" xfId="58004"/>
    <cellStyle name="Обычный 9 8 2 3 4" xfId="58005"/>
    <cellStyle name="Обычный 9 8 2 3 4 2" xfId="58006"/>
    <cellStyle name="Обычный 9 8 2 3 4 2 2" xfId="58007"/>
    <cellStyle name="Обычный 9 8 2 3 4 2 2 2" xfId="58008"/>
    <cellStyle name="Обычный 9 8 2 3 4 2 2 3" xfId="58009"/>
    <cellStyle name="Обычный 9 8 2 3 4 2 3" xfId="58010"/>
    <cellStyle name="Обычный 9 8 2 3 4 2 3 2" xfId="58011"/>
    <cellStyle name="Обычный 9 8 2 3 4 2 3 3" xfId="58012"/>
    <cellStyle name="Обычный 9 8 2 3 4 2 4" xfId="58013"/>
    <cellStyle name="Обычный 9 8 2 3 4 2 4 2" xfId="58014"/>
    <cellStyle name="Обычный 9 8 2 3 4 2 5" xfId="58015"/>
    <cellStyle name="Обычный 9 8 2 3 4 2 6" xfId="58016"/>
    <cellStyle name="Обычный 9 8 2 3 4 3" xfId="58017"/>
    <cellStyle name="Обычный 9 8 2 3 4 3 2" xfId="58018"/>
    <cellStyle name="Обычный 9 8 2 3 4 3 3" xfId="58019"/>
    <cellStyle name="Обычный 9 8 2 3 4 4" xfId="58020"/>
    <cellStyle name="Обычный 9 8 2 3 4 4 2" xfId="58021"/>
    <cellStyle name="Обычный 9 8 2 3 4 4 3" xfId="58022"/>
    <cellStyle name="Обычный 9 8 2 3 4 5" xfId="58023"/>
    <cellStyle name="Обычный 9 8 2 3 4 5 2" xfId="58024"/>
    <cellStyle name="Обычный 9 8 2 3 4 6" xfId="58025"/>
    <cellStyle name="Обычный 9 8 2 3 4 7" xfId="58026"/>
    <cellStyle name="Обычный 9 8 2 3 5" xfId="58027"/>
    <cellStyle name="Обычный 9 8 2 3 5 2" xfId="58028"/>
    <cellStyle name="Обычный 9 8 2 3 5 2 2" xfId="58029"/>
    <cellStyle name="Обычный 9 8 2 3 5 2 3" xfId="58030"/>
    <cellStyle name="Обычный 9 8 2 3 5 3" xfId="58031"/>
    <cellStyle name="Обычный 9 8 2 3 5 3 2" xfId="58032"/>
    <cellStyle name="Обычный 9 8 2 3 5 3 3" xfId="58033"/>
    <cellStyle name="Обычный 9 8 2 3 5 4" xfId="58034"/>
    <cellStyle name="Обычный 9 8 2 3 5 4 2" xfId="58035"/>
    <cellStyle name="Обычный 9 8 2 3 5 5" xfId="58036"/>
    <cellStyle name="Обычный 9 8 2 3 5 6" xfId="58037"/>
    <cellStyle name="Обычный 9 8 2 3 6" xfId="58038"/>
    <cellStyle name="Обычный 9 8 2 3 6 2" xfId="58039"/>
    <cellStyle name="Обычный 9 8 2 3 6 3" xfId="58040"/>
    <cellStyle name="Обычный 9 8 2 3 7" xfId="58041"/>
    <cellStyle name="Обычный 9 8 2 3 7 2" xfId="58042"/>
    <cellStyle name="Обычный 9 8 2 3 7 3" xfId="58043"/>
    <cellStyle name="Обычный 9 8 2 3 8" xfId="58044"/>
    <cellStyle name="Обычный 9 8 2 3 8 2" xfId="58045"/>
    <cellStyle name="Обычный 9 8 2 3 9" xfId="58046"/>
    <cellStyle name="Обычный 9 8 2 4" xfId="58047"/>
    <cellStyle name="Обычный 9 8 2 4 10" xfId="58048"/>
    <cellStyle name="Обычный 9 8 2 4 2" xfId="58049"/>
    <cellStyle name="Обычный 9 8 2 4 2 2" xfId="58050"/>
    <cellStyle name="Обычный 9 8 2 4 2 2 2" xfId="58051"/>
    <cellStyle name="Обычный 9 8 2 4 2 2 2 2" xfId="58052"/>
    <cellStyle name="Обычный 9 8 2 4 2 2 2 2 2" xfId="58053"/>
    <cellStyle name="Обычный 9 8 2 4 2 2 2 2 2 2" xfId="58054"/>
    <cellStyle name="Обычный 9 8 2 4 2 2 2 2 2 3" xfId="58055"/>
    <cellStyle name="Обычный 9 8 2 4 2 2 2 2 3" xfId="58056"/>
    <cellStyle name="Обычный 9 8 2 4 2 2 2 2 3 2" xfId="58057"/>
    <cellStyle name="Обычный 9 8 2 4 2 2 2 2 3 3" xfId="58058"/>
    <cellStyle name="Обычный 9 8 2 4 2 2 2 2 4" xfId="58059"/>
    <cellStyle name="Обычный 9 8 2 4 2 2 2 2 4 2" xfId="58060"/>
    <cellStyle name="Обычный 9 8 2 4 2 2 2 2 5" xfId="58061"/>
    <cellStyle name="Обычный 9 8 2 4 2 2 2 2 6" xfId="58062"/>
    <cellStyle name="Обычный 9 8 2 4 2 2 2 3" xfId="58063"/>
    <cellStyle name="Обычный 9 8 2 4 2 2 2 3 2" xfId="58064"/>
    <cellStyle name="Обычный 9 8 2 4 2 2 2 3 3" xfId="58065"/>
    <cellStyle name="Обычный 9 8 2 4 2 2 2 4" xfId="58066"/>
    <cellStyle name="Обычный 9 8 2 4 2 2 2 4 2" xfId="58067"/>
    <cellStyle name="Обычный 9 8 2 4 2 2 2 4 3" xfId="58068"/>
    <cellStyle name="Обычный 9 8 2 4 2 2 2 5" xfId="58069"/>
    <cellStyle name="Обычный 9 8 2 4 2 2 2 5 2" xfId="58070"/>
    <cellStyle name="Обычный 9 8 2 4 2 2 2 6" xfId="58071"/>
    <cellStyle name="Обычный 9 8 2 4 2 2 2 7" xfId="58072"/>
    <cellStyle name="Обычный 9 8 2 4 2 2 3" xfId="58073"/>
    <cellStyle name="Обычный 9 8 2 4 2 2 3 2" xfId="58074"/>
    <cellStyle name="Обычный 9 8 2 4 2 2 3 2 2" xfId="58075"/>
    <cellStyle name="Обычный 9 8 2 4 2 2 3 2 3" xfId="58076"/>
    <cellStyle name="Обычный 9 8 2 4 2 2 3 3" xfId="58077"/>
    <cellStyle name="Обычный 9 8 2 4 2 2 3 3 2" xfId="58078"/>
    <cellStyle name="Обычный 9 8 2 4 2 2 3 3 3" xfId="58079"/>
    <cellStyle name="Обычный 9 8 2 4 2 2 3 4" xfId="58080"/>
    <cellStyle name="Обычный 9 8 2 4 2 2 3 4 2" xfId="58081"/>
    <cellStyle name="Обычный 9 8 2 4 2 2 3 5" xfId="58082"/>
    <cellStyle name="Обычный 9 8 2 4 2 2 3 6" xfId="58083"/>
    <cellStyle name="Обычный 9 8 2 4 2 2 4" xfId="58084"/>
    <cellStyle name="Обычный 9 8 2 4 2 2 4 2" xfId="58085"/>
    <cellStyle name="Обычный 9 8 2 4 2 2 4 3" xfId="58086"/>
    <cellStyle name="Обычный 9 8 2 4 2 2 5" xfId="58087"/>
    <cellStyle name="Обычный 9 8 2 4 2 2 5 2" xfId="58088"/>
    <cellStyle name="Обычный 9 8 2 4 2 2 5 3" xfId="58089"/>
    <cellStyle name="Обычный 9 8 2 4 2 2 6" xfId="58090"/>
    <cellStyle name="Обычный 9 8 2 4 2 2 6 2" xfId="58091"/>
    <cellStyle name="Обычный 9 8 2 4 2 2 7" xfId="58092"/>
    <cellStyle name="Обычный 9 8 2 4 2 2 8" xfId="58093"/>
    <cellStyle name="Обычный 9 8 2 4 2 3" xfId="58094"/>
    <cellStyle name="Обычный 9 8 2 4 2 3 2" xfId="58095"/>
    <cellStyle name="Обычный 9 8 2 4 2 3 2 2" xfId="58096"/>
    <cellStyle name="Обычный 9 8 2 4 2 3 2 2 2" xfId="58097"/>
    <cellStyle name="Обычный 9 8 2 4 2 3 2 2 3" xfId="58098"/>
    <cellStyle name="Обычный 9 8 2 4 2 3 2 3" xfId="58099"/>
    <cellStyle name="Обычный 9 8 2 4 2 3 2 3 2" xfId="58100"/>
    <cellStyle name="Обычный 9 8 2 4 2 3 2 3 3" xfId="58101"/>
    <cellStyle name="Обычный 9 8 2 4 2 3 2 4" xfId="58102"/>
    <cellStyle name="Обычный 9 8 2 4 2 3 2 4 2" xfId="58103"/>
    <cellStyle name="Обычный 9 8 2 4 2 3 2 5" xfId="58104"/>
    <cellStyle name="Обычный 9 8 2 4 2 3 2 6" xfId="58105"/>
    <cellStyle name="Обычный 9 8 2 4 2 3 3" xfId="58106"/>
    <cellStyle name="Обычный 9 8 2 4 2 3 3 2" xfId="58107"/>
    <cellStyle name="Обычный 9 8 2 4 2 3 3 3" xfId="58108"/>
    <cellStyle name="Обычный 9 8 2 4 2 3 4" xfId="58109"/>
    <cellStyle name="Обычный 9 8 2 4 2 3 4 2" xfId="58110"/>
    <cellStyle name="Обычный 9 8 2 4 2 3 4 3" xfId="58111"/>
    <cellStyle name="Обычный 9 8 2 4 2 3 5" xfId="58112"/>
    <cellStyle name="Обычный 9 8 2 4 2 3 5 2" xfId="58113"/>
    <cellStyle name="Обычный 9 8 2 4 2 3 6" xfId="58114"/>
    <cellStyle name="Обычный 9 8 2 4 2 3 7" xfId="58115"/>
    <cellStyle name="Обычный 9 8 2 4 2 4" xfId="58116"/>
    <cellStyle name="Обычный 9 8 2 4 2 4 2" xfId="58117"/>
    <cellStyle name="Обычный 9 8 2 4 2 4 2 2" xfId="58118"/>
    <cellStyle name="Обычный 9 8 2 4 2 4 2 3" xfId="58119"/>
    <cellStyle name="Обычный 9 8 2 4 2 4 3" xfId="58120"/>
    <cellStyle name="Обычный 9 8 2 4 2 4 3 2" xfId="58121"/>
    <cellStyle name="Обычный 9 8 2 4 2 4 3 3" xfId="58122"/>
    <cellStyle name="Обычный 9 8 2 4 2 4 4" xfId="58123"/>
    <cellStyle name="Обычный 9 8 2 4 2 4 4 2" xfId="58124"/>
    <cellStyle name="Обычный 9 8 2 4 2 4 5" xfId="58125"/>
    <cellStyle name="Обычный 9 8 2 4 2 4 6" xfId="58126"/>
    <cellStyle name="Обычный 9 8 2 4 2 5" xfId="58127"/>
    <cellStyle name="Обычный 9 8 2 4 2 5 2" xfId="58128"/>
    <cellStyle name="Обычный 9 8 2 4 2 5 3" xfId="58129"/>
    <cellStyle name="Обычный 9 8 2 4 2 6" xfId="58130"/>
    <cellStyle name="Обычный 9 8 2 4 2 6 2" xfId="58131"/>
    <cellStyle name="Обычный 9 8 2 4 2 6 3" xfId="58132"/>
    <cellStyle name="Обычный 9 8 2 4 2 7" xfId="58133"/>
    <cellStyle name="Обычный 9 8 2 4 2 7 2" xfId="58134"/>
    <cellStyle name="Обычный 9 8 2 4 2 8" xfId="58135"/>
    <cellStyle name="Обычный 9 8 2 4 2 9" xfId="58136"/>
    <cellStyle name="Обычный 9 8 2 4 3" xfId="58137"/>
    <cellStyle name="Обычный 9 8 2 4 3 2" xfId="58138"/>
    <cellStyle name="Обычный 9 8 2 4 3 2 2" xfId="58139"/>
    <cellStyle name="Обычный 9 8 2 4 3 2 2 2" xfId="58140"/>
    <cellStyle name="Обычный 9 8 2 4 3 2 2 2 2" xfId="58141"/>
    <cellStyle name="Обычный 9 8 2 4 3 2 2 2 3" xfId="58142"/>
    <cellStyle name="Обычный 9 8 2 4 3 2 2 3" xfId="58143"/>
    <cellStyle name="Обычный 9 8 2 4 3 2 2 3 2" xfId="58144"/>
    <cellStyle name="Обычный 9 8 2 4 3 2 2 3 3" xfId="58145"/>
    <cellStyle name="Обычный 9 8 2 4 3 2 2 4" xfId="58146"/>
    <cellStyle name="Обычный 9 8 2 4 3 2 2 4 2" xfId="58147"/>
    <cellStyle name="Обычный 9 8 2 4 3 2 2 5" xfId="58148"/>
    <cellStyle name="Обычный 9 8 2 4 3 2 2 6" xfId="58149"/>
    <cellStyle name="Обычный 9 8 2 4 3 2 3" xfId="58150"/>
    <cellStyle name="Обычный 9 8 2 4 3 2 3 2" xfId="58151"/>
    <cellStyle name="Обычный 9 8 2 4 3 2 3 3" xfId="58152"/>
    <cellStyle name="Обычный 9 8 2 4 3 2 4" xfId="58153"/>
    <cellStyle name="Обычный 9 8 2 4 3 2 4 2" xfId="58154"/>
    <cellStyle name="Обычный 9 8 2 4 3 2 4 3" xfId="58155"/>
    <cellStyle name="Обычный 9 8 2 4 3 2 5" xfId="58156"/>
    <cellStyle name="Обычный 9 8 2 4 3 2 5 2" xfId="58157"/>
    <cellStyle name="Обычный 9 8 2 4 3 2 6" xfId="58158"/>
    <cellStyle name="Обычный 9 8 2 4 3 2 7" xfId="58159"/>
    <cellStyle name="Обычный 9 8 2 4 3 3" xfId="58160"/>
    <cellStyle name="Обычный 9 8 2 4 3 3 2" xfId="58161"/>
    <cellStyle name="Обычный 9 8 2 4 3 3 2 2" xfId="58162"/>
    <cellStyle name="Обычный 9 8 2 4 3 3 2 3" xfId="58163"/>
    <cellStyle name="Обычный 9 8 2 4 3 3 3" xfId="58164"/>
    <cellStyle name="Обычный 9 8 2 4 3 3 3 2" xfId="58165"/>
    <cellStyle name="Обычный 9 8 2 4 3 3 3 3" xfId="58166"/>
    <cellStyle name="Обычный 9 8 2 4 3 3 4" xfId="58167"/>
    <cellStyle name="Обычный 9 8 2 4 3 3 4 2" xfId="58168"/>
    <cellStyle name="Обычный 9 8 2 4 3 3 5" xfId="58169"/>
    <cellStyle name="Обычный 9 8 2 4 3 3 6" xfId="58170"/>
    <cellStyle name="Обычный 9 8 2 4 3 4" xfId="58171"/>
    <cellStyle name="Обычный 9 8 2 4 3 4 2" xfId="58172"/>
    <cellStyle name="Обычный 9 8 2 4 3 4 3" xfId="58173"/>
    <cellStyle name="Обычный 9 8 2 4 3 5" xfId="58174"/>
    <cellStyle name="Обычный 9 8 2 4 3 5 2" xfId="58175"/>
    <cellStyle name="Обычный 9 8 2 4 3 5 3" xfId="58176"/>
    <cellStyle name="Обычный 9 8 2 4 3 6" xfId="58177"/>
    <cellStyle name="Обычный 9 8 2 4 3 6 2" xfId="58178"/>
    <cellStyle name="Обычный 9 8 2 4 3 7" xfId="58179"/>
    <cellStyle name="Обычный 9 8 2 4 3 8" xfId="58180"/>
    <cellStyle name="Обычный 9 8 2 4 4" xfId="58181"/>
    <cellStyle name="Обычный 9 8 2 4 4 2" xfId="58182"/>
    <cellStyle name="Обычный 9 8 2 4 4 2 2" xfId="58183"/>
    <cellStyle name="Обычный 9 8 2 4 4 2 2 2" xfId="58184"/>
    <cellStyle name="Обычный 9 8 2 4 4 2 2 3" xfId="58185"/>
    <cellStyle name="Обычный 9 8 2 4 4 2 3" xfId="58186"/>
    <cellStyle name="Обычный 9 8 2 4 4 2 3 2" xfId="58187"/>
    <cellStyle name="Обычный 9 8 2 4 4 2 3 3" xfId="58188"/>
    <cellStyle name="Обычный 9 8 2 4 4 2 4" xfId="58189"/>
    <cellStyle name="Обычный 9 8 2 4 4 2 4 2" xfId="58190"/>
    <cellStyle name="Обычный 9 8 2 4 4 2 5" xfId="58191"/>
    <cellStyle name="Обычный 9 8 2 4 4 2 6" xfId="58192"/>
    <cellStyle name="Обычный 9 8 2 4 4 3" xfId="58193"/>
    <cellStyle name="Обычный 9 8 2 4 4 3 2" xfId="58194"/>
    <cellStyle name="Обычный 9 8 2 4 4 3 3" xfId="58195"/>
    <cellStyle name="Обычный 9 8 2 4 4 4" xfId="58196"/>
    <cellStyle name="Обычный 9 8 2 4 4 4 2" xfId="58197"/>
    <cellStyle name="Обычный 9 8 2 4 4 4 3" xfId="58198"/>
    <cellStyle name="Обычный 9 8 2 4 4 5" xfId="58199"/>
    <cellStyle name="Обычный 9 8 2 4 4 5 2" xfId="58200"/>
    <cellStyle name="Обычный 9 8 2 4 4 6" xfId="58201"/>
    <cellStyle name="Обычный 9 8 2 4 4 7" xfId="58202"/>
    <cellStyle name="Обычный 9 8 2 4 5" xfId="58203"/>
    <cellStyle name="Обычный 9 8 2 4 5 2" xfId="58204"/>
    <cellStyle name="Обычный 9 8 2 4 5 2 2" xfId="58205"/>
    <cellStyle name="Обычный 9 8 2 4 5 2 3" xfId="58206"/>
    <cellStyle name="Обычный 9 8 2 4 5 3" xfId="58207"/>
    <cellStyle name="Обычный 9 8 2 4 5 3 2" xfId="58208"/>
    <cellStyle name="Обычный 9 8 2 4 5 3 3" xfId="58209"/>
    <cellStyle name="Обычный 9 8 2 4 5 4" xfId="58210"/>
    <cellStyle name="Обычный 9 8 2 4 5 4 2" xfId="58211"/>
    <cellStyle name="Обычный 9 8 2 4 5 5" xfId="58212"/>
    <cellStyle name="Обычный 9 8 2 4 5 6" xfId="58213"/>
    <cellStyle name="Обычный 9 8 2 4 6" xfId="58214"/>
    <cellStyle name="Обычный 9 8 2 4 6 2" xfId="58215"/>
    <cellStyle name="Обычный 9 8 2 4 6 3" xfId="58216"/>
    <cellStyle name="Обычный 9 8 2 4 7" xfId="58217"/>
    <cellStyle name="Обычный 9 8 2 4 7 2" xfId="58218"/>
    <cellStyle name="Обычный 9 8 2 4 7 3" xfId="58219"/>
    <cellStyle name="Обычный 9 8 2 4 8" xfId="58220"/>
    <cellStyle name="Обычный 9 8 2 4 8 2" xfId="58221"/>
    <cellStyle name="Обычный 9 8 2 4 9" xfId="58222"/>
    <cellStyle name="Обычный 9 8 2 5" xfId="58223"/>
    <cellStyle name="Обычный 9 8 2 5 2" xfId="58224"/>
    <cellStyle name="Обычный 9 8 2 5 2 2" xfId="58225"/>
    <cellStyle name="Обычный 9 8 2 5 2 2 2" xfId="58226"/>
    <cellStyle name="Обычный 9 8 2 5 2 2 2 2" xfId="58227"/>
    <cellStyle name="Обычный 9 8 2 5 2 2 2 2 2" xfId="58228"/>
    <cellStyle name="Обычный 9 8 2 5 2 2 2 2 3" xfId="58229"/>
    <cellStyle name="Обычный 9 8 2 5 2 2 2 3" xfId="58230"/>
    <cellStyle name="Обычный 9 8 2 5 2 2 2 3 2" xfId="58231"/>
    <cellStyle name="Обычный 9 8 2 5 2 2 2 3 3" xfId="58232"/>
    <cellStyle name="Обычный 9 8 2 5 2 2 2 4" xfId="58233"/>
    <cellStyle name="Обычный 9 8 2 5 2 2 2 4 2" xfId="58234"/>
    <cellStyle name="Обычный 9 8 2 5 2 2 2 5" xfId="58235"/>
    <cellStyle name="Обычный 9 8 2 5 2 2 2 6" xfId="58236"/>
    <cellStyle name="Обычный 9 8 2 5 2 2 3" xfId="58237"/>
    <cellStyle name="Обычный 9 8 2 5 2 2 3 2" xfId="58238"/>
    <cellStyle name="Обычный 9 8 2 5 2 2 3 3" xfId="58239"/>
    <cellStyle name="Обычный 9 8 2 5 2 2 4" xfId="58240"/>
    <cellStyle name="Обычный 9 8 2 5 2 2 4 2" xfId="58241"/>
    <cellStyle name="Обычный 9 8 2 5 2 2 4 3" xfId="58242"/>
    <cellStyle name="Обычный 9 8 2 5 2 2 5" xfId="58243"/>
    <cellStyle name="Обычный 9 8 2 5 2 2 5 2" xfId="58244"/>
    <cellStyle name="Обычный 9 8 2 5 2 2 6" xfId="58245"/>
    <cellStyle name="Обычный 9 8 2 5 2 2 7" xfId="58246"/>
    <cellStyle name="Обычный 9 8 2 5 2 3" xfId="58247"/>
    <cellStyle name="Обычный 9 8 2 5 2 3 2" xfId="58248"/>
    <cellStyle name="Обычный 9 8 2 5 2 3 2 2" xfId="58249"/>
    <cellStyle name="Обычный 9 8 2 5 2 3 2 3" xfId="58250"/>
    <cellStyle name="Обычный 9 8 2 5 2 3 3" xfId="58251"/>
    <cellStyle name="Обычный 9 8 2 5 2 3 3 2" xfId="58252"/>
    <cellStyle name="Обычный 9 8 2 5 2 3 3 3" xfId="58253"/>
    <cellStyle name="Обычный 9 8 2 5 2 3 4" xfId="58254"/>
    <cellStyle name="Обычный 9 8 2 5 2 3 4 2" xfId="58255"/>
    <cellStyle name="Обычный 9 8 2 5 2 3 5" xfId="58256"/>
    <cellStyle name="Обычный 9 8 2 5 2 3 6" xfId="58257"/>
    <cellStyle name="Обычный 9 8 2 5 2 4" xfId="58258"/>
    <cellStyle name="Обычный 9 8 2 5 2 4 2" xfId="58259"/>
    <cellStyle name="Обычный 9 8 2 5 2 4 3" xfId="58260"/>
    <cellStyle name="Обычный 9 8 2 5 2 5" xfId="58261"/>
    <cellStyle name="Обычный 9 8 2 5 2 5 2" xfId="58262"/>
    <cellStyle name="Обычный 9 8 2 5 2 5 3" xfId="58263"/>
    <cellStyle name="Обычный 9 8 2 5 2 6" xfId="58264"/>
    <cellStyle name="Обычный 9 8 2 5 2 6 2" xfId="58265"/>
    <cellStyle name="Обычный 9 8 2 5 2 7" xfId="58266"/>
    <cellStyle name="Обычный 9 8 2 5 2 8" xfId="58267"/>
    <cellStyle name="Обычный 9 8 2 5 3" xfId="58268"/>
    <cellStyle name="Обычный 9 8 2 5 3 2" xfId="58269"/>
    <cellStyle name="Обычный 9 8 2 5 3 2 2" xfId="58270"/>
    <cellStyle name="Обычный 9 8 2 5 3 2 2 2" xfId="58271"/>
    <cellStyle name="Обычный 9 8 2 5 3 2 2 3" xfId="58272"/>
    <cellStyle name="Обычный 9 8 2 5 3 2 3" xfId="58273"/>
    <cellStyle name="Обычный 9 8 2 5 3 2 3 2" xfId="58274"/>
    <cellStyle name="Обычный 9 8 2 5 3 2 3 3" xfId="58275"/>
    <cellStyle name="Обычный 9 8 2 5 3 2 4" xfId="58276"/>
    <cellStyle name="Обычный 9 8 2 5 3 2 4 2" xfId="58277"/>
    <cellStyle name="Обычный 9 8 2 5 3 2 5" xfId="58278"/>
    <cellStyle name="Обычный 9 8 2 5 3 2 6" xfId="58279"/>
    <cellStyle name="Обычный 9 8 2 5 3 3" xfId="58280"/>
    <cellStyle name="Обычный 9 8 2 5 3 3 2" xfId="58281"/>
    <cellStyle name="Обычный 9 8 2 5 3 3 3" xfId="58282"/>
    <cellStyle name="Обычный 9 8 2 5 3 4" xfId="58283"/>
    <cellStyle name="Обычный 9 8 2 5 3 4 2" xfId="58284"/>
    <cellStyle name="Обычный 9 8 2 5 3 4 3" xfId="58285"/>
    <cellStyle name="Обычный 9 8 2 5 3 5" xfId="58286"/>
    <cellStyle name="Обычный 9 8 2 5 3 5 2" xfId="58287"/>
    <cellStyle name="Обычный 9 8 2 5 3 6" xfId="58288"/>
    <cellStyle name="Обычный 9 8 2 5 3 7" xfId="58289"/>
    <cellStyle name="Обычный 9 8 2 5 4" xfId="58290"/>
    <cellStyle name="Обычный 9 8 2 5 4 2" xfId="58291"/>
    <cellStyle name="Обычный 9 8 2 5 4 2 2" xfId="58292"/>
    <cellStyle name="Обычный 9 8 2 5 4 2 3" xfId="58293"/>
    <cellStyle name="Обычный 9 8 2 5 4 3" xfId="58294"/>
    <cellStyle name="Обычный 9 8 2 5 4 3 2" xfId="58295"/>
    <cellStyle name="Обычный 9 8 2 5 4 3 3" xfId="58296"/>
    <cellStyle name="Обычный 9 8 2 5 4 4" xfId="58297"/>
    <cellStyle name="Обычный 9 8 2 5 4 4 2" xfId="58298"/>
    <cellStyle name="Обычный 9 8 2 5 4 5" xfId="58299"/>
    <cellStyle name="Обычный 9 8 2 5 4 6" xfId="58300"/>
    <cellStyle name="Обычный 9 8 2 5 5" xfId="58301"/>
    <cellStyle name="Обычный 9 8 2 5 5 2" xfId="58302"/>
    <cellStyle name="Обычный 9 8 2 5 5 3" xfId="58303"/>
    <cellStyle name="Обычный 9 8 2 5 6" xfId="58304"/>
    <cellStyle name="Обычный 9 8 2 5 6 2" xfId="58305"/>
    <cellStyle name="Обычный 9 8 2 5 6 3" xfId="58306"/>
    <cellStyle name="Обычный 9 8 2 5 7" xfId="58307"/>
    <cellStyle name="Обычный 9 8 2 5 7 2" xfId="58308"/>
    <cellStyle name="Обычный 9 8 2 5 8" xfId="58309"/>
    <cellStyle name="Обычный 9 8 2 5 9" xfId="58310"/>
    <cellStyle name="Обычный 9 8 2 6" xfId="58311"/>
    <cellStyle name="Обычный 9 8 2 6 2" xfId="58312"/>
    <cellStyle name="Обычный 9 8 2 6 2 2" xfId="58313"/>
    <cellStyle name="Обычный 9 8 2 6 2 2 2" xfId="58314"/>
    <cellStyle name="Обычный 9 8 2 6 2 2 2 2" xfId="58315"/>
    <cellStyle name="Обычный 9 8 2 6 2 2 2 3" xfId="58316"/>
    <cellStyle name="Обычный 9 8 2 6 2 2 3" xfId="58317"/>
    <cellStyle name="Обычный 9 8 2 6 2 2 3 2" xfId="58318"/>
    <cellStyle name="Обычный 9 8 2 6 2 2 3 3" xfId="58319"/>
    <cellStyle name="Обычный 9 8 2 6 2 2 4" xfId="58320"/>
    <cellStyle name="Обычный 9 8 2 6 2 2 4 2" xfId="58321"/>
    <cellStyle name="Обычный 9 8 2 6 2 2 5" xfId="58322"/>
    <cellStyle name="Обычный 9 8 2 6 2 2 6" xfId="58323"/>
    <cellStyle name="Обычный 9 8 2 6 2 3" xfId="58324"/>
    <cellStyle name="Обычный 9 8 2 6 2 3 2" xfId="58325"/>
    <cellStyle name="Обычный 9 8 2 6 2 3 3" xfId="58326"/>
    <cellStyle name="Обычный 9 8 2 6 2 4" xfId="58327"/>
    <cellStyle name="Обычный 9 8 2 6 2 4 2" xfId="58328"/>
    <cellStyle name="Обычный 9 8 2 6 2 4 3" xfId="58329"/>
    <cellStyle name="Обычный 9 8 2 6 2 5" xfId="58330"/>
    <cellStyle name="Обычный 9 8 2 6 2 5 2" xfId="58331"/>
    <cellStyle name="Обычный 9 8 2 6 2 6" xfId="58332"/>
    <cellStyle name="Обычный 9 8 2 6 2 7" xfId="58333"/>
    <cellStyle name="Обычный 9 8 2 6 3" xfId="58334"/>
    <cellStyle name="Обычный 9 8 2 6 3 2" xfId="58335"/>
    <cellStyle name="Обычный 9 8 2 6 3 2 2" xfId="58336"/>
    <cellStyle name="Обычный 9 8 2 6 3 2 3" xfId="58337"/>
    <cellStyle name="Обычный 9 8 2 6 3 3" xfId="58338"/>
    <cellStyle name="Обычный 9 8 2 6 3 3 2" xfId="58339"/>
    <cellStyle name="Обычный 9 8 2 6 3 3 3" xfId="58340"/>
    <cellStyle name="Обычный 9 8 2 6 3 4" xfId="58341"/>
    <cellStyle name="Обычный 9 8 2 6 3 4 2" xfId="58342"/>
    <cellStyle name="Обычный 9 8 2 6 3 5" xfId="58343"/>
    <cellStyle name="Обычный 9 8 2 6 3 6" xfId="58344"/>
    <cellStyle name="Обычный 9 8 2 6 4" xfId="58345"/>
    <cellStyle name="Обычный 9 8 2 6 4 2" xfId="58346"/>
    <cellStyle name="Обычный 9 8 2 6 4 3" xfId="58347"/>
    <cellStyle name="Обычный 9 8 2 6 5" xfId="58348"/>
    <cellStyle name="Обычный 9 8 2 6 5 2" xfId="58349"/>
    <cellStyle name="Обычный 9 8 2 6 5 3" xfId="58350"/>
    <cellStyle name="Обычный 9 8 2 6 6" xfId="58351"/>
    <cellStyle name="Обычный 9 8 2 6 6 2" xfId="58352"/>
    <cellStyle name="Обычный 9 8 2 6 7" xfId="58353"/>
    <cellStyle name="Обычный 9 8 2 6 8" xfId="58354"/>
    <cellStyle name="Обычный 9 8 2 7" xfId="58355"/>
    <cellStyle name="Обычный 9 8 2 7 2" xfId="58356"/>
    <cellStyle name="Обычный 9 8 2 7 2 2" xfId="58357"/>
    <cellStyle name="Обычный 9 8 2 7 2 2 2" xfId="58358"/>
    <cellStyle name="Обычный 9 8 2 7 2 2 3" xfId="58359"/>
    <cellStyle name="Обычный 9 8 2 7 2 3" xfId="58360"/>
    <cellStyle name="Обычный 9 8 2 7 2 3 2" xfId="58361"/>
    <cellStyle name="Обычный 9 8 2 7 2 3 3" xfId="58362"/>
    <cellStyle name="Обычный 9 8 2 7 2 4" xfId="58363"/>
    <cellStyle name="Обычный 9 8 2 7 2 4 2" xfId="58364"/>
    <cellStyle name="Обычный 9 8 2 7 2 5" xfId="58365"/>
    <cellStyle name="Обычный 9 8 2 7 2 6" xfId="58366"/>
    <cellStyle name="Обычный 9 8 2 7 3" xfId="58367"/>
    <cellStyle name="Обычный 9 8 2 7 3 2" xfId="58368"/>
    <cellStyle name="Обычный 9 8 2 7 3 3" xfId="58369"/>
    <cellStyle name="Обычный 9 8 2 7 4" xfId="58370"/>
    <cellStyle name="Обычный 9 8 2 7 4 2" xfId="58371"/>
    <cellStyle name="Обычный 9 8 2 7 4 3" xfId="58372"/>
    <cellStyle name="Обычный 9 8 2 7 5" xfId="58373"/>
    <cellStyle name="Обычный 9 8 2 7 5 2" xfId="58374"/>
    <cellStyle name="Обычный 9 8 2 7 6" xfId="58375"/>
    <cellStyle name="Обычный 9 8 2 7 7" xfId="58376"/>
    <cellStyle name="Обычный 9 8 2 8" xfId="58377"/>
    <cellStyle name="Обычный 9 8 2 8 2" xfId="58378"/>
    <cellStyle name="Обычный 9 8 2 8 2 2" xfId="58379"/>
    <cellStyle name="Обычный 9 8 2 8 2 3" xfId="58380"/>
    <cellStyle name="Обычный 9 8 2 8 3" xfId="58381"/>
    <cellStyle name="Обычный 9 8 2 8 3 2" xfId="58382"/>
    <cellStyle name="Обычный 9 8 2 8 3 3" xfId="58383"/>
    <cellStyle name="Обычный 9 8 2 8 4" xfId="58384"/>
    <cellStyle name="Обычный 9 8 2 8 4 2" xfId="58385"/>
    <cellStyle name="Обычный 9 8 2 8 5" xfId="58386"/>
    <cellStyle name="Обычный 9 8 2 8 6" xfId="58387"/>
    <cellStyle name="Обычный 9 8 2 9" xfId="58388"/>
    <cellStyle name="Обычный 9 8 2 9 2" xfId="58389"/>
    <cellStyle name="Обычный 9 8 2 9 3" xfId="58390"/>
    <cellStyle name="Обычный 9 8 3" xfId="58391"/>
    <cellStyle name="Обычный 9 8 3 10" xfId="58392"/>
    <cellStyle name="Обычный 9 8 3 2" xfId="58393"/>
    <cellStyle name="Обычный 9 8 3 2 2" xfId="58394"/>
    <cellStyle name="Обычный 9 8 3 2 2 2" xfId="58395"/>
    <cellStyle name="Обычный 9 8 3 2 2 2 2" xfId="58396"/>
    <cellStyle name="Обычный 9 8 3 2 2 2 2 2" xfId="58397"/>
    <cellStyle name="Обычный 9 8 3 2 2 2 2 2 2" xfId="58398"/>
    <cellStyle name="Обычный 9 8 3 2 2 2 2 2 3" xfId="58399"/>
    <cellStyle name="Обычный 9 8 3 2 2 2 2 3" xfId="58400"/>
    <cellStyle name="Обычный 9 8 3 2 2 2 2 3 2" xfId="58401"/>
    <cellStyle name="Обычный 9 8 3 2 2 2 2 3 3" xfId="58402"/>
    <cellStyle name="Обычный 9 8 3 2 2 2 2 4" xfId="58403"/>
    <cellStyle name="Обычный 9 8 3 2 2 2 2 4 2" xfId="58404"/>
    <cellStyle name="Обычный 9 8 3 2 2 2 2 5" xfId="58405"/>
    <cellStyle name="Обычный 9 8 3 2 2 2 2 6" xfId="58406"/>
    <cellStyle name="Обычный 9 8 3 2 2 2 3" xfId="58407"/>
    <cellStyle name="Обычный 9 8 3 2 2 2 3 2" xfId="58408"/>
    <cellStyle name="Обычный 9 8 3 2 2 2 3 3" xfId="58409"/>
    <cellStyle name="Обычный 9 8 3 2 2 2 4" xfId="58410"/>
    <cellStyle name="Обычный 9 8 3 2 2 2 4 2" xfId="58411"/>
    <cellStyle name="Обычный 9 8 3 2 2 2 4 3" xfId="58412"/>
    <cellStyle name="Обычный 9 8 3 2 2 2 5" xfId="58413"/>
    <cellStyle name="Обычный 9 8 3 2 2 2 5 2" xfId="58414"/>
    <cellStyle name="Обычный 9 8 3 2 2 2 6" xfId="58415"/>
    <cellStyle name="Обычный 9 8 3 2 2 2 7" xfId="58416"/>
    <cellStyle name="Обычный 9 8 3 2 2 3" xfId="58417"/>
    <cellStyle name="Обычный 9 8 3 2 2 3 2" xfId="58418"/>
    <cellStyle name="Обычный 9 8 3 2 2 3 2 2" xfId="58419"/>
    <cellStyle name="Обычный 9 8 3 2 2 3 2 3" xfId="58420"/>
    <cellStyle name="Обычный 9 8 3 2 2 3 3" xfId="58421"/>
    <cellStyle name="Обычный 9 8 3 2 2 3 3 2" xfId="58422"/>
    <cellStyle name="Обычный 9 8 3 2 2 3 3 3" xfId="58423"/>
    <cellStyle name="Обычный 9 8 3 2 2 3 4" xfId="58424"/>
    <cellStyle name="Обычный 9 8 3 2 2 3 4 2" xfId="58425"/>
    <cellStyle name="Обычный 9 8 3 2 2 3 5" xfId="58426"/>
    <cellStyle name="Обычный 9 8 3 2 2 3 6" xfId="58427"/>
    <cellStyle name="Обычный 9 8 3 2 2 4" xfId="58428"/>
    <cellStyle name="Обычный 9 8 3 2 2 4 2" xfId="58429"/>
    <cellStyle name="Обычный 9 8 3 2 2 4 3" xfId="58430"/>
    <cellStyle name="Обычный 9 8 3 2 2 5" xfId="58431"/>
    <cellStyle name="Обычный 9 8 3 2 2 5 2" xfId="58432"/>
    <cellStyle name="Обычный 9 8 3 2 2 5 3" xfId="58433"/>
    <cellStyle name="Обычный 9 8 3 2 2 6" xfId="58434"/>
    <cellStyle name="Обычный 9 8 3 2 2 6 2" xfId="58435"/>
    <cellStyle name="Обычный 9 8 3 2 2 7" xfId="58436"/>
    <cellStyle name="Обычный 9 8 3 2 2 8" xfId="58437"/>
    <cellStyle name="Обычный 9 8 3 2 3" xfId="58438"/>
    <cellStyle name="Обычный 9 8 3 2 3 2" xfId="58439"/>
    <cellStyle name="Обычный 9 8 3 2 3 2 2" xfId="58440"/>
    <cellStyle name="Обычный 9 8 3 2 3 2 2 2" xfId="58441"/>
    <cellStyle name="Обычный 9 8 3 2 3 2 2 3" xfId="58442"/>
    <cellStyle name="Обычный 9 8 3 2 3 2 3" xfId="58443"/>
    <cellStyle name="Обычный 9 8 3 2 3 2 3 2" xfId="58444"/>
    <cellStyle name="Обычный 9 8 3 2 3 2 3 3" xfId="58445"/>
    <cellStyle name="Обычный 9 8 3 2 3 2 4" xfId="58446"/>
    <cellStyle name="Обычный 9 8 3 2 3 2 4 2" xfId="58447"/>
    <cellStyle name="Обычный 9 8 3 2 3 2 5" xfId="58448"/>
    <cellStyle name="Обычный 9 8 3 2 3 2 6" xfId="58449"/>
    <cellStyle name="Обычный 9 8 3 2 3 3" xfId="58450"/>
    <cellStyle name="Обычный 9 8 3 2 3 3 2" xfId="58451"/>
    <cellStyle name="Обычный 9 8 3 2 3 3 3" xfId="58452"/>
    <cellStyle name="Обычный 9 8 3 2 3 4" xfId="58453"/>
    <cellStyle name="Обычный 9 8 3 2 3 4 2" xfId="58454"/>
    <cellStyle name="Обычный 9 8 3 2 3 4 3" xfId="58455"/>
    <cellStyle name="Обычный 9 8 3 2 3 5" xfId="58456"/>
    <cellStyle name="Обычный 9 8 3 2 3 5 2" xfId="58457"/>
    <cellStyle name="Обычный 9 8 3 2 3 6" xfId="58458"/>
    <cellStyle name="Обычный 9 8 3 2 3 7" xfId="58459"/>
    <cellStyle name="Обычный 9 8 3 2 4" xfId="58460"/>
    <cellStyle name="Обычный 9 8 3 2 4 2" xfId="58461"/>
    <cellStyle name="Обычный 9 8 3 2 4 2 2" xfId="58462"/>
    <cellStyle name="Обычный 9 8 3 2 4 2 3" xfId="58463"/>
    <cellStyle name="Обычный 9 8 3 2 4 3" xfId="58464"/>
    <cellStyle name="Обычный 9 8 3 2 4 3 2" xfId="58465"/>
    <cellStyle name="Обычный 9 8 3 2 4 3 3" xfId="58466"/>
    <cellStyle name="Обычный 9 8 3 2 4 4" xfId="58467"/>
    <cellStyle name="Обычный 9 8 3 2 4 4 2" xfId="58468"/>
    <cellStyle name="Обычный 9 8 3 2 4 5" xfId="58469"/>
    <cellStyle name="Обычный 9 8 3 2 4 6" xfId="58470"/>
    <cellStyle name="Обычный 9 8 3 2 5" xfId="58471"/>
    <cellStyle name="Обычный 9 8 3 2 5 2" xfId="58472"/>
    <cellStyle name="Обычный 9 8 3 2 5 3" xfId="58473"/>
    <cellStyle name="Обычный 9 8 3 2 6" xfId="58474"/>
    <cellStyle name="Обычный 9 8 3 2 6 2" xfId="58475"/>
    <cellStyle name="Обычный 9 8 3 2 6 3" xfId="58476"/>
    <cellStyle name="Обычный 9 8 3 2 7" xfId="58477"/>
    <cellStyle name="Обычный 9 8 3 2 7 2" xfId="58478"/>
    <cellStyle name="Обычный 9 8 3 2 8" xfId="58479"/>
    <cellStyle name="Обычный 9 8 3 2 9" xfId="58480"/>
    <cellStyle name="Обычный 9 8 3 3" xfId="58481"/>
    <cellStyle name="Обычный 9 8 3 3 2" xfId="58482"/>
    <cellStyle name="Обычный 9 8 3 3 2 2" xfId="58483"/>
    <cellStyle name="Обычный 9 8 3 3 2 2 2" xfId="58484"/>
    <cellStyle name="Обычный 9 8 3 3 2 2 2 2" xfId="58485"/>
    <cellStyle name="Обычный 9 8 3 3 2 2 2 3" xfId="58486"/>
    <cellStyle name="Обычный 9 8 3 3 2 2 3" xfId="58487"/>
    <cellStyle name="Обычный 9 8 3 3 2 2 3 2" xfId="58488"/>
    <cellStyle name="Обычный 9 8 3 3 2 2 3 3" xfId="58489"/>
    <cellStyle name="Обычный 9 8 3 3 2 2 4" xfId="58490"/>
    <cellStyle name="Обычный 9 8 3 3 2 2 4 2" xfId="58491"/>
    <cellStyle name="Обычный 9 8 3 3 2 2 5" xfId="58492"/>
    <cellStyle name="Обычный 9 8 3 3 2 2 6" xfId="58493"/>
    <cellStyle name="Обычный 9 8 3 3 2 3" xfId="58494"/>
    <cellStyle name="Обычный 9 8 3 3 2 3 2" xfId="58495"/>
    <cellStyle name="Обычный 9 8 3 3 2 3 3" xfId="58496"/>
    <cellStyle name="Обычный 9 8 3 3 2 4" xfId="58497"/>
    <cellStyle name="Обычный 9 8 3 3 2 4 2" xfId="58498"/>
    <cellStyle name="Обычный 9 8 3 3 2 4 3" xfId="58499"/>
    <cellStyle name="Обычный 9 8 3 3 2 5" xfId="58500"/>
    <cellStyle name="Обычный 9 8 3 3 2 5 2" xfId="58501"/>
    <cellStyle name="Обычный 9 8 3 3 2 6" xfId="58502"/>
    <cellStyle name="Обычный 9 8 3 3 2 7" xfId="58503"/>
    <cellStyle name="Обычный 9 8 3 3 3" xfId="58504"/>
    <cellStyle name="Обычный 9 8 3 3 3 2" xfId="58505"/>
    <cellStyle name="Обычный 9 8 3 3 3 2 2" xfId="58506"/>
    <cellStyle name="Обычный 9 8 3 3 3 2 3" xfId="58507"/>
    <cellStyle name="Обычный 9 8 3 3 3 3" xfId="58508"/>
    <cellStyle name="Обычный 9 8 3 3 3 3 2" xfId="58509"/>
    <cellStyle name="Обычный 9 8 3 3 3 3 3" xfId="58510"/>
    <cellStyle name="Обычный 9 8 3 3 3 4" xfId="58511"/>
    <cellStyle name="Обычный 9 8 3 3 3 4 2" xfId="58512"/>
    <cellStyle name="Обычный 9 8 3 3 3 5" xfId="58513"/>
    <cellStyle name="Обычный 9 8 3 3 3 6" xfId="58514"/>
    <cellStyle name="Обычный 9 8 3 3 4" xfId="58515"/>
    <cellStyle name="Обычный 9 8 3 3 4 2" xfId="58516"/>
    <cellStyle name="Обычный 9 8 3 3 4 3" xfId="58517"/>
    <cellStyle name="Обычный 9 8 3 3 5" xfId="58518"/>
    <cellStyle name="Обычный 9 8 3 3 5 2" xfId="58519"/>
    <cellStyle name="Обычный 9 8 3 3 5 3" xfId="58520"/>
    <cellStyle name="Обычный 9 8 3 3 6" xfId="58521"/>
    <cellStyle name="Обычный 9 8 3 3 6 2" xfId="58522"/>
    <cellStyle name="Обычный 9 8 3 3 7" xfId="58523"/>
    <cellStyle name="Обычный 9 8 3 3 8" xfId="58524"/>
    <cellStyle name="Обычный 9 8 3 4" xfId="58525"/>
    <cellStyle name="Обычный 9 8 3 4 2" xfId="58526"/>
    <cellStyle name="Обычный 9 8 3 4 2 2" xfId="58527"/>
    <cellStyle name="Обычный 9 8 3 4 2 2 2" xfId="58528"/>
    <cellStyle name="Обычный 9 8 3 4 2 2 3" xfId="58529"/>
    <cellStyle name="Обычный 9 8 3 4 2 3" xfId="58530"/>
    <cellStyle name="Обычный 9 8 3 4 2 3 2" xfId="58531"/>
    <cellStyle name="Обычный 9 8 3 4 2 3 3" xfId="58532"/>
    <cellStyle name="Обычный 9 8 3 4 2 4" xfId="58533"/>
    <cellStyle name="Обычный 9 8 3 4 2 4 2" xfId="58534"/>
    <cellStyle name="Обычный 9 8 3 4 2 5" xfId="58535"/>
    <cellStyle name="Обычный 9 8 3 4 2 6" xfId="58536"/>
    <cellStyle name="Обычный 9 8 3 4 3" xfId="58537"/>
    <cellStyle name="Обычный 9 8 3 4 3 2" xfId="58538"/>
    <cellStyle name="Обычный 9 8 3 4 3 3" xfId="58539"/>
    <cellStyle name="Обычный 9 8 3 4 4" xfId="58540"/>
    <cellStyle name="Обычный 9 8 3 4 4 2" xfId="58541"/>
    <cellStyle name="Обычный 9 8 3 4 4 3" xfId="58542"/>
    <cellStyle name="Обычный 9 8 3 4 5" xfId="58543"/>
    <cellStyle name="Обычный 9 8 3 4 5 2" xfId="58544"/>
    <cellStyle name="Обычный 9 8 3 4 6" xfId="58545"/>
    <cellStyle name="Обычный 9 8 3 4 7" xfId="58546"/>
    <cellStyle name="Обычный 9 8 3 5" xfId="58547"/>
    <cellStyle name="Обычный 9 8 3 5 2" xfId="58548"/>
    <cellStyle name="Обычный 9 8 3 5 2 2" xfId="58549"/>
    <cellStyle name="Обычный 9 8 3 5 2 3" xfId="58550"/>
    <cellStyle name="Обычный 9 8 3 5 3" xfId="58551"/>
    <cellStyle name="Обычный 9 8 3 5 3 2" xfId="58552"/>
    <cellStyle name="Обычный 9 8 3 5 3 3" xfId="58553"/>
    <cellStyle name="Обычный 9 8 3 5 4" xfId="58554"/>
    <cellStyle name="Обычный 9 8 3 5 4 2" xfId="58555"/>
    <cellStyle name="Обычный 9 8 3 5 5" xfId="58556"/>
    <cellStyle name="Обычный 9 8 3 5 6" xfId="58557"/>
    <cellStyle name="Обычный 9 8 3 6" xfId="58558"/>
    <cellStyle name="Обычный 9 8 3 6 2" xfId="58559"/>
    <cellStyle name="Обычный 9 8 3 6 3" xfId="58560"/>
    <cellStyle name="Обычный 9 8 3 7" xfId="58561"/>
    <cellStyle name="Обычный 9 8 3 7 2" xfId="58562"/>
    <cellStyle name="Обычный 9 8 3 7 3" xfId="58563"/>
    <cellStyle name="Обычный 9 8 3 8" xfId="58564"/>
    <cellStyle name="Обычный 9 8 3 8 2" xfId="58565"/>
    <cellStyle name="Обычный 9 8 3 9" xfId="58566"/>
    <cellStyle name="Обычный 9 8 4" xfId="58567"/>
    <cellStyle name="Обычный 9 8 4 10" xfId="58568"/>
    <cellStyle name="Обычный 9 8 4 2" xfId="58569"/>
    <cellStyle name="Обычный 9 8 4 2 2" xfId="58570"/>
    <cellStyle name="Обычный 9 8 4 2 2 2" xfId="58571"/>
    <cellStyle name="Обычный 9 8 4 2 2 2 2" xfId="58572"/>
    <cellStyle name="Обычный 9 8 4 2 2 2 2 2" xfId="58573"/>
    <cellStyle name="Обычный 9 8 4 2 2 2 2 2 2" xfId="58574"/>
    <cellStyle name="Обычный 9 8 4 2 2 2 2 2 3" xfId="58575"/>
    <cellStyle name="Обычный 9 8 4 2 2 2 2 3" xfId="58576"/>
    <cellStyle name="Обычный 9 8 4 2 2 2 2 3 2" xfId="58577"/>
    <cellStyle name="Обычный 9 8 4 2 2 2 2 3 3" xfId="58578"/>
    <cellStyle name="Обычный 9 8 4 2 2 2 2 4" xfId="58579"/>
    <cellStyle name="Обычный 9 8 4 2 2 2 2 4 2" xfId="58580"/>
    <cellStyle name="Обычный 9 8 4 2 2 2 2 5" xfId="58581"/>
    <cellStyle name="Обычный 9 8 4 2 2 2 2 6" xfId="58582"/>
    <cellStyle name="Обычный 9 8 4 2 2 2 3" xfId="58583"/>
    <cellStyle name="Обычный 9 8 4 2 2 2 3 2" xfId="58584"/>
    <cellStyle name="Обычный 9 8 4 2 2 2 3 3" xfId="58585"/>
    <cellStyle name="Обычный 9 8 4 2 2 2 4" xfId="58586"/>
    <cellStyle name="Обычный 9 8 4 2 2 2 4 2" xfId="58587"/>
    <cellStyle name="Обычный 9 8 4 2 2 2 4 3" xfId="58588"/>
    <cellStyle name="Обычный 9 8 4 2 2 2 5" xfId="58589"/>
    <cellStyle name="Обычный 9 8 4 2 2 2 5 2" xfId="58590"/>
    <cellStyle name="Обычный 9 8 4 2 2 2 6" xfId="58591"/>
    <cellStyle name="Обычный 9 8 4 2 2 2 7" xfId="58592"/>
    <cellStyle name="Обычный 9 8 4 2 2 3" xfId="58593"/>
    <cellStyle name="Обычный 9 8 4 2 2 3 2" xfId="58594"/>
    <cellStyle name="Обычный 9 8 4 2 2 3 2 2" xfId="58595"/>
    <cellStyle name="Обычный 9 8 4 2 2 3 2 3" xfId="58596"/>
    <cellStyle name="Обычный 9 8 4 2 2 3 3" xfId="58597"/>
    <cellStyle name="Обычный 9 8 4 2 2 3 3 2" xfId="58598"/>
    <cellStyle name="Обычный 9 8 4 2 2 3 3 3" xfId="58599"/>
    <cellStyle name="Обычный 9 8 4 2 2 3 4" xfId="58600"/>
    <cellStyle name="Обычный 9 8 4 2 2 3 4 2" xfId="58601"/>
    <cellStyle name="Обычный 9 8 4 2 2 3 5" xfId="58602"/>
    <cellStyle name="Обычный 9 8 4 2 2 3 6" xfId="58603"/>
    <cellStyle name="Обычный 9 8 4 2 2 4" xfId="58604"/>
    <cellStyle name="Обычный 9 8 4 2 2 4 2" xfId="58605"/>
    <cellStyle name="Обычный 9 8 4 2 2 4 3" xfId="58606"/>
    <cellStyle name="Обычный 9 8 4 2 2 5" xfId="58607"/>
    <cellStyle name="Обычный 9 8 4 2 2 5 2" xfId="58608"/>
    <cellStyle name="Обычный 9 8 4 2 2 5 3" xfId="58609"/>
    <cellStyle name="Обычный 9 8 4 2 2 6" xfId="58610"/>
    <cellStyle name="Обычный 9 8 4 2 2 6 2" xfId="58611"/>
    <cellStyle name="Обычный 9 8 4 2 2 7" xfId="58612"/>
    <cellStyle name="Обычный 9 8 4 2 2 8" xfId="58613"/>
    <cellStyle name="Обычный 9 8 4 2 3" xfId="58614"/>
    <cellStyle name="Обычный 9 8 4 2 3 2" xfId="58615"/>
    <cellStyle name="Обычный 9 8 4 2 3 2 2" xfId="58616"/>
    <cellStyle name="Обычный 9 8 4 2 3 2 2 2" xfId="58617"/>
    <cellStyle name="Обычный 9 8 4 2 3 2 2 3" xfId="58618"/>
    <cellStyle name="Обычный 9 8 4 2 3 2 3" xfId="58619"/>
    <cellStyle name="Обычный 9 8 4 2 3 2 3 2" xfId="58620"/>
    <cellStyle name="Обычный 9 8 4 2 3 2 3 3" xfId="58621"/>
    <cellStyle name="Обычный 9 8 4 2 3 2 4" xfId="58622"/>
    <cellStyle name="Обычный 9 8 4 2 3 2 4 2" xfId="58623"/>
    <cellStyle name="Обычный 9 8 4 2 3 2 5" xfId="58624"/>
    <cellStyle name="Обычный 9 8 4 2 3 2 6" xfId="58625"/>
    <cellStyle name="Обычный 9 8 4 2 3 3" xfId="58626"/>
    <cellStyle name="Обычный 9 8 4 2 3 3 2" xfId="58627"/>
    <cellStyle name="Обычный 9 8 4 2 3 3 3" xfId="58628"/>
    <cellStyle name="Обычный 9 8 4 2 3 4" xfId="58629"/>
    <cellStyle name="Обычный 9 8 4 2 3 4 2" xfId="58630"/>
    <cellStyle name="Обычный 9 8 4 2 3 4 3" xfId="58631"/>
    <cellStyle name="Обычный 9 8 4 2 3 5" xfId="58632"/>
    <cellStyle name="Обычный 9 8 4 2 3 5 2" xfId="58633"/>
    <cellStyle name="Обычный 9 8 4 2 3 6" xfId="58634"/>
    <cellStyle name="Обычный 9 8 4 2 3 7" xfId="58635"/>
    <cellStyle name="Обычный 9 8 4 2 4" xfId="58636"/>
    <cellStyle name="Обычный 9 8 4 2 4 2" xfId="58637"/>
    <cellStyle name="Обычный 9 8 4 2 4 2 2" xfId="58638"/>
    <cellStyle name="Обычный 9 8 4 2 4 2 3" xfId="58639"/>
    <cellStyle name="Обычный 9 8 4 2 4 3" xfId="58640"/>
    <cellStyle name="Обычный 9 8 4 2 4 3 2" xfId="58641"/>
    <cellStyle name="Обычный 9 8 4 2 4 3 3" xfId="58642"/>
    <cellStyle name="Обычный 9 8 4 2 4 4" xfId="58643"/>
    <cellStyle name="Обычный 9 8 4 2 4 4 2" xfId="58644"/>
    <cellStyle name="Обычный 9 8 4 2 4 5" xfId="58645"/>
    <cellStyle name="Обычный 9 8 4 2 4 6" xfId="58646"/>
    <cellStyle name="Обычный 9 8 4 2 5" xfId="58647"/>
    <cellStyle name="Обычный 9 8 4 2 5 2" xfId="58648"/>
    <cellStyle name="Обычный 9 8 4 2 5 3" xfId="58649"/>
    <cellStyle name="Обычный 9 8 4 2 6" xfId="58650"/>
    <cellStyle name="Обычный 9 8 4 2 6 2" xfId="58651"/>
    <cellStyle name="Обычный 9 8 4 2 6 3" xfId="58652"/>
    <cellStyle name="Обычный 9 8 4 2 7" xfId="58653"/>
    <cellStyle name="Обычный 9 8 4 2 7 2" xfId="58654"/>
    <cellStyle name="Обычный 9 8 4 2 8" xfId="58655"/>
    <cellStyle name="Обычный 9 8 4 2 9" xfId="58656"/>
    <cellStyle name="Обычный 9 8 4 3" xfId="58657"/>
    <cellStyle name="Обычный 9 8 4 3 2" xfId="58658"/>
    <cellStyle name="Обычный 9 8 4 3 2 2" xfId="58659"/>
    <cellStyle name="Обычный 9 8 4 3 2 2 2" xfId="58660"/>
    <cellStyle name="Обычный 9 8 4 3 2 2 2 2" xfId="58661"/>
    <cellStyle name="Обычный 9 8 4 3 2 2 2 3" xfId="58662"/>
    <cellStyle name="Обычный 9 8 4 3 2 2 3" xfId="58663"/>
    <cellStyle name="Обычный 9 8 4 3 2 2 3 2" xfId="58664"/>
    <cellStyle name="Обычный 9 8 4 3 2 2 3 3" xfId="58665"/>
    <cellStyle name="Обычный 9 8 4 3 2 2 4" xfId="58666"/>
    <cellStyle name="Обычный 9 8 4 3 2 2 4 2" xfId="58667"/>
    <cellStyle name="Обычный 9 8 4 3 2 2 5" xfId="58668"/>
    <cellStyle name="Обычный 9 8 4 3 2 2 6" xfId="58669"/>
    <cellStyle name="Обычный 9 8 4 3 2 3" xfId="58670"/>
    <cellStyle name="Обычный 9 8 4 3 2 3 2" xfId="58671"/>
    <cellStyle name="Обычный 9 8 4 3 2 3 3" xfId="58672"/>
    <cellStyle name="Обычный 9 8 4 3 2 4" xfId="58673"/>
    <cellStyle name="Обычный 9 8 4 3 2 4 2" xfId="58674"/>
    <cellStyle name="Обычный 9 8 4 3 2 4 3" xfId="58675"/>
    <cellStyle name="Обычный 9 8 4 3 2 5" xfId="58676"/>
    <cellStyle name="Обычный 9 8 4 3 2 5 2" xfId="58677"/>
    <cellStyle name="Обычный 9 8 4 3 2 6" xfId="58678"/>
    <cellStyle name="Обычный 9 8 4 3 2 7" xfId="58679"/>
    <cellStyle name="Обычный 9 8 4 3 3" xfId="58680"/>
    <cellStyle name="Обычный 9 8 4 3 3 2" xfId="58681"/>
    <cellStyle name="Обычный 9 8 4 3 3 2 2" xfId="58682"/>
    <cellStyle name="Обычный 9 8 4 3 3 2 3" xfId="58683"/>
    <cellStyle name="Обычный 9 8 4 3 3 3" xfId="58684"/>
    <cellStyle name="Обычный 9 8 4 3 3 3 2" xfId="58685"/>
    <cellStyle name="Обычный 9 8 4 3 3 3 3" xfId="58686"/>
    <cellStyle name="Обычный 9 8 4 3 3 4" xfId="58687"/>
    <cellStyle name="Обычный 9 8 4 3 3 4 2" xfId="58688"/>
    <cellStyle name="Обычный 9 8 4 3 3 5" xfId="58689"/>
    <cellStyle name="Обычный 9 8 4 3 3 6" xfId="58690"/>
    <cellStyle name="Обычный 9 8 4 3 4" xfId="58691"/>
    <cellStyle name="Обычный 9 8 4 3 4 2" xfId="58692"/>
    <cellStyle name="Обычный 9 8 4 3 4 3" xfId="58693"/>
    <cellStyle name="Обычный 9 8 4 3 5" xfId="58694"/>
    <cellStyle name="Обычный 9 8 4 3 5 2" xfId="58695"/>
    <cellStyle name="Обычный 9 8 4 3 5 3" xfId="58696"/>
    <cellStyle name="Обычный 9 8 4 3 6" xfId="58697"/>
    <cellStyle name="Обычный 9 8 4 3 6 2" xfId="58698"/>
    <cellStyle name="Обычный 9 8 4 3 7" xfId="58699"/>
    <cellStyle name="Обычный 9 8 4 3 8" xfId="58700"/>
    <cellStyle name="Обычный 9 8 4 4" xfId="58701"/>
    <cellStyle name="Обычный 9 8 4 4 2" xfId="58702"/>
    <cellStyle name="Обычный 9 8 4 4 2 2" xfId="58703"/>
    <cellStyle name="Обычный 9 8 4 4 2 2 2" xfId="58704"/>
    <cellStyle name="Обычный 9 8 4 4 2 2 3" xfId="58705"/>
    <cellStyle name="Обычный 9 8 4 4 2 3" xfId="58706"/>
    <cellStyle name="Обычный 9 8 4 4 2 3 2" xfId="58707"/>
    <cellStyle name="Обычный 9 8 4 4 2 3 3" xfId="58708"/>
    <cellStyle name="Обычный 9 8 4 4 2 4" xfId="58709"/>
    <cellStyle name="Обычный 9 8 4 4 2 4 2" xfId="58710"/>
    <cellStyle name="Обычный 9 8 4 4 2 5" xfId="58711"/>
    <cellStyle name="Обычный 9 8 4 4 2 6" xfId="58712"/>
    <cellStyle name="Обычный 9 8 4 4 3" xfId="58713"/>
    <cellStyle name="Обычный 9 8 4 4 3 2" xfId="58714"/>
    <cellStyle name="Обычный 9 8 4 4 3 3" xfId="58715"/>
    <cellStyle name="Обычный 9 8 4 4 4" xfId="58716"/>
    <cellStyle name="Обычный 9 8 4 4 4 2" xfId="58717"/>
    <cellStyle name="Обычный 9 8 4 4 4 3" xfId="58718"/>
    <cellStyle name="Обычный 9 8 4 4 5" xfId="58719"/>
    <cellStyle name="Обычный 9 8 4 4 5 2" xfId="58720"/>
    <cellStyle name="Обычный 9 8 4 4 6" xfId="58721"/>
    <cellStyle name="Обычный 9 8 4 4 7" xfId="58722"/>
    <cellStyle name="Обычный 9 8 4 5" xfId="58723"/>
    <cellStyle name="Обычный 9 8 4 5 2" xfId="58724"/>
    <cellStyle name="Обычный 9 8 4 5 2 2" xfId="58725"/>
    <cellStyle name="Обычный 9 8 4 5 2 3" xfId="58726"/>
    <cellStyle name="Обычный 9 8 4 5 3" xfId="58727"/>
    <cellStyle name="Обычный 9 8 4 5 3 2" xfId="58728"/>
    <cellStyle name="Обычный 9 8 4 5 3 3" xfId="58729"/>
    <cellStyle name="Обычный 9 8 4 5 4" xfId="58730"/>
    <cellStyle name="Обычный 9 8 4 5 4 2" xfId="58731"/>
    <cellStyle name="Обычный 9 8 4 5 5" xfId="58732"/>
    <cellStyle name="Обычный 9 8 4 5 6" xfId="58733"/>
    <cellStyle name="Обычный 9 8 4 6" xfId="58734"/>
    <cellStyle name="Обычный 9 8 4 6 2" xfId="58735"/>
    <cellStyle name="Обычный 9 8 4 6 3" xfId="58736"/>
    <cellStyle name="Обычный 9 8 4 7" xfId="58737"/>
    <cellStyle name="Обычный 9 8 4 7 2" xfId="58738"/>
    <cellStyle name="Обычный 9 8 4 7 3" xfId="58739"/>
    <cellStyle name="Обычный 9 8 4 8" xfId="58740"/>
    <cellStyle name="Обычный 9 8 4 8 2" xfId="58741"/>
    <cellStyle name="Обычный 9 8 4 9" xfId="58742"/>
    <cellStyle name="Обычный 9 8 5" xfId="58743"/>
    <cellStyle name="Обычный 9 8 5 10" xfId="58744"/>
    <cellStyle name="Обычный 9 8 5 2" xfId="58745"/>
    <cellStyle name="Обычный 9 8 5 2 2" xfId="58746"/>
    <cellStyle name="Обычный 9 8 5 2 2 2" xfId="58747"/>
    <cellStyle name="Обычный 9 8 5 2 2 2 2" xfId="58748"/>
    <cellStyle name="Обычный 9 8 5 2 2 2 2 2" xfId="58749"/>
    <cellStyle name="Обычный 9 8 5 2 2 2 2 2 2" xfId="58750"/>
    <cellStyle name="Обычный 9 8 5 2 2 2 2 2 3" xfId="58751"/>
    <cellStyle name="Обычный 9 8 5 2 2 2 2 3" xfId="58752"/>
    <cellStyle name="Обычный 9 8 5 2 2 2 2 3 2" xfId="58753"/>
    <cellStyle name="Обычный 9 8 5 2 2 2 2 3 3" xfId="58754"/>
    <cellStyle name="Обычный 9 8 5 2 2 2 2 4" xfId="58755"/>
    <cellStyle name="Обычный 9 8 5 2 2 2 2 4 2" xfId="58756"/>
    <cellStyle name="Обычный 9 8 5 2 2 2 2 5" xfId="58757"/>
    <cellStyle name="Обычный 9 8 5 2 2 2 2 6" xfId="58758"/>
    <cellStyle name="Обычный 9 8 5 2 2 2 3" xfId="58759"/>
    <cellStyle name="Обычный 9 8 5 2 2 2 3 2" xfId="58760"/>
    <cellStyle name="Обычный 9 8 5 2 2 2 3 3" xfId="58761"/>
    <cellStyle name="Обычный 9 8 5 2 2 2 4" xfId="58762"/>
    <cellStyle name="Обычный 9 8 5 2 2 2 4 2" xfId="58763"/>
    <cellStyle name="Обычный 9 8 5 2 2 2 4 3" xfId="58764"/>
    <cellStyle name="Обычный 9 8 5 2 2 2 5" xfId="58765"/>
    <cellStyle name="Обычный 9 8 5 2 2 2 5 2" xfId="58766"/>
    <cellStyle name="Обычный 9 8 5 2 2 2 6" xfId="58767"/>
    <cellStyle name="Обычный 9 8 5 2 2 2 7" xfId="58768"/>
    <cellStyle name="Обычный 9 8 5 2 2 3" xfId="58769"/>
    <cellStyle name="Обычный 9 8 5 2 2 3 2" xfId="58770"/>
    <cellStyle name="Обычный 9 8 5 2 2 3 2 2" xfId="58771"/>
    <cellStyle name="Обычный 9 8 5 2 2 3 2 3" xfId="58772"/>
    <cellStyle name="Обычный 9 8 5 2 2 3 3" xfId="58773"/>
    <cellStyle name="Обычный 9 8 5 2 2 3 3 2" xfId="58774"/>
    <cellStyle name="Обычный 9 8 5 2 2 3 3 3" xfId="58775"/>
    <cellStyle name="Обычный 9 8 5 2 2 3 4" xfId="58776"/>
    <cellStyle name="Обычный 9 8 5 2 2 3 4 2" xfId="58777"/>
    <cellStyle name="Обычный 9 8 5 2 2 3 5" xfId="58778"/>
    <cellStyle name="Обычный 9 8 5 2 2 3 6" xfId="58779"/>
    <cellStyle name="Обычный 9 8 5 2 2 4" xfId="58780"/>
    <cellStyle name="Обычный 9 8 5 2 2 4 2" xfId="58781"/>
    <cellStyle name="Обычный 9 8 5 2 2 4 3" xfId="58782"/>
    <cellStyle name="Обычный 9 8 5 2 2 5" xfId="58783"/>
    <cellStyle name="Обычный 9 8 5 2 2 5 2" xfId="58784"/>
    <cellStyle name="Обычный 9 8 5 2 2 5 3" xfId="58785"/>
    <cellStyle name="Обычный 9 8 5 2 2 6" xfId="58786"/>
    <cellStyle name="Обычный 9 8 5 2 2 6 2" xfId="58787"/>
    <cellStyle name="Обычный 9 8 5 2 2 7" xfId="58788"/>
    <cellStyle name="Обычный 9 8 5 2 2 8" xfId="58789"/>
    <cellStyle name="Обычный 9 8 5 2 3" xfId="58790"/>
    <cellStyle name="Обычный 9 8 5 2 3 2" xfId="58791"/>
    <cellStyle name="Обычный 9 8 5 2 3 2 2" xfId="58792"/>
    <cellStyle name="Обычный 9 8 5 2 3 2 2 2" xfId="58793"/>
    <cellStyle name="Обычный 9 8 5 2 3 2 2 3" xfId="58794"/>
    <cellStyle name="Обычный 9 8 5 2 3 2 3" xfId="58795"/>
    <cellStyle name="Обычный 9 8 5 2 3 2 3 2" xfId="58796"/>
    <cellStyle name="Обычный 9 8 5 2 3 2 3 3" xfId="58797"/>
    <cellStyle name="Обычный 9 8 5 2 3 2 4" xfId="58798"/>
    <cellStyle name="Обычный 9 8 5 2 3 2 4 2" xfId="58799"/>
    <cellStyle name="Обычный 9 8 5 2 3 2 5" xfId="58800"/>
    <cellStyle name="Обычный 9 8 5 2 3 2 6" xfId="58801"/>
    <cellStyle name="Обычный 9 8 5 2 3 3" xfId="58802"/>
    <cellStyle name="Обычный 9 8 5 2 3 3 2" xfId="58803"/>
    <cellStyle name="Обычный 9 8 5 2 3 3 3" xfId="58804"/>
    <cellStyle name="Обычный 9 8 5 2 3 4" xfId="58805"/>
    <cellStyle name="Обычный 9 8 5 2 3 4 2" xfId="58806"/>
    <cellStyle name="Обычный 9 8 5 2 3 4 3" xfId="58807"/>
    <cellStyle name="Обычный 9 8 5 2 3 5" xfId="58808"/>
    <cellStyle name="Обычный 9 8 5 2 3 5 2" xfId="58809"/>
    <cellStyle name="Обычный 9 8 5 2 3 6" xfId="58810"/>
    <cellStyle name="Обычный 9 8 5 2 3 7" xfId="58811"/>
    <cellStyle name="Обычный 9 8 5 2 4" xfId="58812"/>
    <cellStyle name="Обычный 9 8 5 2 4 2" xfId="58813"/>
    <cellStyle name="Обычный 9 8 5 2 4 2 2" xfId="58814"/>
    <cellStyle name="Обычный 9 8 5 2 4 2 3" xfId="58815"/>
    <cellStyle name="Обычный 9 8 5 2 4 3" xfId="58816"/>
    <cellStyle name="Обычный 9 8 5 2 4 3 2" xfId="58817"/>
    <cellStyle name="Обычный 9 8 5 2 4 3 3" xfId="58818"/>
    <cellStyle name="Обычный 9 8 5 2 4 4" xfId="58819"/>
    <cellStyle name="Обычный 9 8 5 2 4 4 2" xfId="58820"/>
    <cellStyle name="Обычный 9 8 5 2 4 5" xfId="58821"/>
    <cellStyle name="Обычный 9 8 5 2 4 6" xfId="58822"/>
    <cellStyle name="Обычный 9 8 5 2 5" xfId="58823"/>
    <cellStyle name="Обычный 9 8 5 2 5 2" xfId="58824"/>
    <cellStyle name="Обычный 9 8 5 2 5 3" xfId="58825"/>
    <cellStyle name="Обычный 9 8 5 2 6" xfId="58826"/>
    <cellStyle name="Обычный 9 8 5 2 6 2" xfId="58827"/>
    <cellStyle name="Обычный 9 8 5 2 6 3" xfId="58828"/>
    <cellStyle name="Обычный 9 8 5 2 7" xfId="58829"/>
    <cellStyle name="Обычный 9 8 5 2 7 2" xfId="58830"/>
    <cellStyle name="Обычный 9 8 5 2 8" xfId="58831"/>
    <cellStyle name="Обычный 9 8 5 2 9" xfId="58832"/>
    <cellStyle name="Обычный 9 8 5 3" xfId="58833"/>
    <cellStyle name="Обычный 9 8 5 3 2" xfId="58834"/>
    <cellStyle name="Обычный 9 8 5 3 2 2" xfId="58835"/>
    <cellStyle name="Обычный 9 8 5 3 2 2 2" xfId="58836"/>
    <cellStyle name="Обычный 9 8 5 3 2 2 2 2" xfId="58837"/>
    <cellStyle name="Обычный 9 8 5 3 2 2 2 3" xfId="58838"/>
    <cellStyle name="Обычный 9 8 5 3 2 2 3" xfId="58839"/>
    <cellStyle name="Обычный 9 8 5 3 2 2 3 2" xfId="58840"/>
    <cellStyle name="Обычный 9 8 5 3 2 2 3 3" xfId="58841"/>
    <cellStyle name="Обычный 9 8 5 3 2 2 4" xfId="58842"/>
    <cellStyle name="Обычный 9 8 5 3 2 2 4 2" xfId="58843"/>
    <cellStyle name="Обычный 9 8 5 3 2 2 5" xfId="58844"/>
    <cellStyle name="Обычный 9 8 5 3 2 2 6" xfId="58845"/>
    <cellStyle name="Обычный 9 8 5 3 2 3" xfId="58846"/>
    <cellStyle name="Обычный 9 8 5 3 2 3 2" xfId="58847"/>
    <cellStyle name="Обычный 9 8 5 3 2 3 3" xfId="58848"/>
    <cellStyle name="Обычный 9 8 5 3 2 4" xfId="58849"/>
    <cellStyle name="Обычный 9 8 5 3 2 4 2" xfId="58850"/>
    <cellStyle name="Обычный 9 8 5 3 2 4 3" xfId="58851"/>
    <cellStyle name="Обычный 9 8 5 3 2 5" xfId="58852"/>
    <cellStyle name="Обычный 9 8 5 3 2 5 2" xfId="58853"/>
    <cellStyle name="Обычный 9 8 5 3 2 6" xfId="58854"/>
    <cellStyle name="Обычный 9 8 5 3 2 7" xfId="58855"/>
    <cellStyle name="Обычный 9 8 5 3 3" xfId="58856"/>
    <cellStyle name="Обычный 9 8 5 3 3 2" xfId="58857"/>
    <cellStyle name="Обычный 9 8 5 3 3 2 2" xfId="58858"/>
    <cellStyle name="Обычный 9 8 5 3 3 2 3" xfId="58859"/>
    <cellStyle name="Обычный 9 8 5 3 3 3" xfId="58860"/>
    <cellStyle name="Обычный 9 8 5 3 3 3 2" xfId="58861"/>
    <cellStyle name="Обычный 9 8 5 3 3 3 3" xfId="58862"/>
    <cellStyle name="Обычный 9 8 5 3 3 4" xfId="58863"/>
    <cellStyle name="Обычный 9 8 5 3 3 4 2" xfId="58864"/>
    <cellStyle name="Обычный 9 8 5 3 3 5" xfId="58865"/>
    <cellStyle name="Обычный 9 8 5 3 3 6" xfId="58866"/>
    <cellStyle name="Обычный 9 8 5 3 4" xfId="58867"/>
    <cellStyle name="Обычный 9 8 5 3 4 2" xfId="58868"/>
    <cellStyle name="Обычный 9 8 5 3 4 3" xfId="58869"/>
    <cellStyle name="Обычный 9 8 5 3 5" xfId="58870"/>
    <cellStyle name="Обычный 9 8 5 3 5 2" xfId="58871"/>
    <cellStyle name="Обычный 9 8 5 3 5 3" xfId="58872"/>
    <cellStyle name="Обычный 9 8 5 3 6" xfId="58873"/>
    <cellStyle name="Обычный 9 8 5 3 6 2" xfId="58874"/>
    <cellStyle name="Обычный 9 8 5 3 7" xfId="58875"/>
    <cellStyle name="Обычный 9 8 5 3 8" xfId="58876"/>
    <cellStyle name="Обычный 9 8 5 4" xfId="58877"/>
    <cellStyle name="Обычный 9 8 5 4 2" xfId="58878"/>
    <cellStyle name="Обычный 9 8 5 4 2 2" xfId="58879"/>
    <cellStyle name="Обычный 9 8 5 4 2 2 2" xfId="58880"/>
    <cellStyle name="Обычный 9 8 5 4 2 2 3" xfId="58881"/>
    <cellStyle name="Обычный 9 8 5 4 2 3" xfId="58882"/>
    <cellStyle name="Обычный 9 8 5 4 2 3 2" xfId="58883"/>
    <cellStyle name="Обычный 9 8 5 4 2 3 3" xfId="58884"/>
    <cellStyle name="Обычный 9 8 5 4 2 4" xfId="58885"/>
    <cellStyle name="Обычный 9 8 5 4 2 4 2" xfId="58886"/>
    <cellStyle name="Обычный 9 8 5 4 2 5" xfId="58887"/>
    <cellStyle name="Обычный 9 8 5 4 2 6" xfId="58888"/>
    <cellStyle name="Обычный 9 8 5 4 3" xfId="58889"/>
    <cellStyle name="Обычный 9 8 5 4 3 2" xfId="58890"/>
    <cellStyle name="Обычный 9 8 5 4 3 3" xfId="58891"/>
    <cellStyle name="Обычный 9 8 5 4 4" xfId="58892"/>
    <cellStyle name="Обычный 9 8 5 4 4 2" xfId="58893"/>
    <cellStyle name="Обычный 9 8 5 4 4 3" xfId="58894"/>
    <cellStyle name="Обычный 9 8 5 4 5" xfId="58895"/>
    <cellStyle name="Обычный 9 8 5 4 5 2" xfId="58896"/>
    <cellStyle name="Обычный 9 8 5 4 6" xfId="58897"/>
    <cellStyle name="Обычный 9 8 5 4 7" xfId="58898"/>
    <cellStyle name="Обычный 9 8 5 5" xfId="58899"/>
    <cellStyle name="Обычный 9 8 5 5 2" xfId="58900"/>
    <cellStyle name="Обычный 9 8 5 5 2 2" xfId="58901"/>
    <cellStyle name="Обычный 9 8 5 5 2 3" xfId="58902"/>
    <cellStyle name="Обычный 9 8 5 5 3" xfId="58903"/>
    <cellStyle name="Обычный 9 8 5 5 3 2" xfId="58904"/>
    <cellStyle name="Обычный 9 8 5 5 3 3" xfId="58905"/>
    <cellStyle name="Обычный 9 8 5 5 4" xfId="58906"/>
    <cellStyle name="Обычный 9 8 5 5 4 2" xfId="58907"/>
    <cellStyle name="Обычный 9 8 5 5 5" xfId="58908"/>
    <cellStyle name="Обычный 9 8 5 5 6" xfId="58909"/>
    <cellStyle name="Обычный 9 8 5 6" xfId="58910"/>
    <cellStyle name="Обычный 9 8 5 6 2" xfId="58911"/>
    <cellStyle name="Обычный 9 8 5 6 3" xfId="58912"/>
    <cellStyle name="Обычный 9 8 5 7" xfId="58913"/>
    <cellStyle name="Обычный 9 8 5 7 2" xfId="58914"/>
    <cellStyle name="Обычный 9 8 5 7 3" xfId="58915"/>
    <cellStyle name="Обычный 9 8 5 8" xfId="58916"/>
    <cellStyle name="Обычный 9 8 5 8 2" xfId="58917"/>
    <cellStyle name="Обычный 9 8 5 9" xfId="58918"/>
    <cellStyle name="Обычный 9 8 6" xfId="58919"/>
    <cellStyle name="Обычный 9 8 6 2" xfId="58920"/>
    <cellStyle name="Обычный 9 8 6 2 2" xfId="58921"/>
    <cellStyle name="Обычный 9 8 6 2 2 2" xfId="58922"/>
    <cellStyle name="Обычный 9 8 6 2 2 2 2" xfId="58923"/>
    <cellStyle name="Обычный 9 8 6 2 2 2 2 2" xfId="58924"/>
    <cellStyle name="Обычный 9 8 6 2 2 2 2 3" xfId="58925"/>
    <cellStyle name="Обычный 9 8 6 2 2 2 3" xfId="58926"/>
    <cellStyle name="Обычный 9 8 6 2 2 2 3 2" xfId="58927"/>
    <cellStyle name="Обычный 9 8 6 2 2 2 3 3" xfId="58928"/>
    <cellStyle name="Обычный 9 8 6 2 2 2 4" xfId="58929"/>
    <cellStyle name="Обычный 9 8 6 2 2 2 4 2" xfId="58930"/>
    <cellStyle name="Обычный 9 8 6 2 2 2 5" xfId="58931"/>
    <cellStyle name="Обычный 9 8 6 2 2 2 6" xfId="58932"/>
    <cellStyle name="Обычный 9 8 6 2 2 3" xfId="58933"/>
    <cellStyle name="Обычный 9 8 6 2 2 3 2" xfId="58934"/>
    <cellStyle name="Обычный 9 8 6 2 2 3 3" xfId="58935"/>
    <cellStyle name="Обычный 9 8 6 2 2 4" xfId="58936"/>
    <cellStyle name="Обычный 9 8 6 2 2 4 2" xfId="58937"/>
    <cellStyle name="Обычный 9 8 6 2 2 4 3" xfId="58938"/>
    <cellStyle name="Обычный 9 8 6 2 2 5" xfId="58939"/>
    <cellStyle name="Обычный 9 8 6 2 2 5 2" xfId="58940"/>
    <cellStyle name="Обычный 9 8 6 2 2 6" xfId="58941"/>
    <cellStyle name="Обычный 9 8 6 2 2 7" xfId="58942"/>
    <cellStyle name="Обычный 9 8 6 2 3" xfId="58943"/>
    <cellStyle name="Обычный 9 8 6 2 3 2" xfId="58944"/>
    <cellStyle name="Обычный 9 8 6 2 3 2 2" xfId="58945"/>
    <cellStyle name="Обычный 9 8 6 2 3 2 3" xfId="58946"/>
    <cellStyle name="Обычный 9 8 6 2 3 3" xfId="58947"/>
    <cellStyle name="Обычный 9 8 6 2 3 3 2" xfId="58948"/>
    <cellStyle name="Обычный 9 8 6 2 3 3 3" xfId="58949"/>
    <cellStyle name="Обычный 9 8 6 2 3 4" xfId="58950"/>
    <cellStyle name="Обычный 9 8 6 2 3 4 2" xfId="58951"/>
    <cellStyle name="Обычный 9 8 6 2 3 5" xfId="58952"/>
    <cellStyle name="Обычный 9 8 6 2 3 6" xfId="58953"/>
    <cellStyle name="Обычный 9 8 6 2 4" xfId="58954"/>
    <cellStyle name="Обычный 9 8 6 2 4 2" xfId="58955"/>
    <cellStyle name="Обычный 9 8 6 2 4 3" xfId="58956"/>
    <cellStyle name="Обычный 9 8 6 2 5" xfId="58957"/>
    <cellStyle name="Обычный 9 8 6 2 5 2" xfId="58958"/>
    <cellStyle name="Обычный 9 8 6 2 5 3" xfId="58959"/>
    <cellStyle name="Обычный 9 8 6 2 6" xfId="58960"/>
    <cellStyle name="Обычный 9 8 6 2 6 2" xfId="58961"/>
    <cellStyle name="Обычный 9 8 6 2 7" xfId="58962"/>
    <cellStyle name="Обычный 9 8 6 2 8" xfId="58963"/>
    <cellStyle name="Обычный 9 8 6 3" xfId="58964"/>
    <cellStyle name="Обычный 9 8 6 3 2" xfId="58965"/>
    <cellStyle name="Обычный 9 8 6 3 2 2" xfId="58966"/>
    <cellStyle name="Обычный 9 8 6 3 2 2 2" xfId="58967"/>
    <cellStyle name="Обычный 9 8 6 3 2 2 3" xfId="58968"/>
    <cellStyle name="Обычный 9 8 6 3 2 3" xfId="58969"/>
    <cellStyle name="Обычный 9 8 6 3 2 3 2" xfId="58970"/>
    <cellStyle name="Обычный 9 8 6 3 2 3 3" xfId="58971"/>
    <cellStyle name="Обычный 9 8 6 3 2 4" xfId="58972"/>
    <cellStyle name="Обычный 9 8 6 3 2 4 2" xfId="58973"/>
    <cellStyle name="Обычный 9 8 6 3 2 5" xfId="58974"/>
    <cellStyle name="Обычный 9 8 6 3 2 6" xfId="58975"/>
    <cellStyle name="Обычный 9 8 6 3 3" xfId="58976"/>
    <cellStyle name="Обычный 9 8 6 3 3 2" xfId="58977"/>
    <cellStyle name="Обычный 9 8 6 3 3 3" xfId="58978"/>
    <cellStyle name="Обычный 9 8 6 3 4" xfId="58979"/>
    <cellStyle name="Обычный 9 8 6 3 4 2" xfId="58980"/>
    <cellStyle name="Обычный 9 8 6 3 4 3" xfId="58981"/>
    <cellStyle name="Обычный 9 8 6 3 5" xfId="58982"/>
    <cellStyle name="Обычный 9 8 6 3 5 2" xfId="58983"/>
    <cellStyle name="Обычный 9 8 6 3 6" xfId="58984"/>
    <cellStyle name="Обычный 9 8 6 3 7" xfId="58985"/>
    <cellStyle name="Обычный 9 8 6 4" xfId="58986"/>
    <cellStyle name="Обычный 9 8 6 4 2" xfId="58987"/>
    <cellStyle name="Обычный 9 8 6 4 2 2" xfId="58988"/>
    <cellStyle name="Обычный 9 8 6 4 2 3" xfId="58989"/>
    <cellStyle name="Обычный 9 8 6 4 3" xfId="58990"/>
    <cellStyle name="Обычный 9 8 6 4 3 2" xfId="58991"/>
    <cellStyle name="Обычный 9 8 6 4 3 3" xfId="58992"/>
    <cellStyle name="Обычный 9 8 6 4 4" xfId="58993"/>
    <cellStyle name="Обычный 9 8 6 4 4 2" xfId="58994"/>
    <cellStyle name="Обычный 9 8 6 4 5" xfId="58995"/>
    <cellStyle name="Обычный 9 8 6 4 6" xfId="58996"/>
    <cellStyle name="Обычный 9 8 6 5" xfId="58997"/>
    <cellStyle name="Обычный 9 8 6 5 2" xfId="58998"/>
    <cellStyle name="Обычный 9 8 6 5 3" xfId="58999"/>
    <cellStyle name="Обычный 9 8 6 6" xfId="59000"/>
    <cellStyle name="Обычный 9 8 6 6 2" xfId="59001"/>
    <cellStyle name="Обычный 9 8 6 6 3" xfId="59002"/>
    <cellStyle name="Обычный 9 8 6 7" xfId="59003"/>
    <cellStyle name="Обычный 9 8 6 7 2" xfId="59004"/>
    <cellStyle name="Обычный 9 8 6 8" xfId="59005"/>
    <cellStyle name="Обычный 9 8 6 9" xfId="59006"/>
    <cellStyle name="Обычный 9 8 7" xfId="59007"/>
    <cellStyle name="Обычный 9 8 7 2" xfId="59008"/>
    <cellStyle name="Обычный 9 8 7 2 2" xfId="59009"/>
    <cellStyle name="Обычный 9 8 7 2 2 2" xfId="59010"/>
    <cellStyle name="Обычный 9 8 7 2 2 2 2" xfId="59011"/>
    <cellStyle name="Обычный 9 8 7 2 2 2 3" xfId="59012"/>
    <cellStyle name="Обычный 9 8 7 2 2 3" xfId="59013"/>
    <cellStyle name="Обычный 9 8 7 2 2 3 2" xfId="59014"/>
    <cellStyle name="Обычный 9 8 7 2 2 3 3" xfId="59015"/>
    <cellStyle name="Обычный 9 8 7 2 2 4" xfId="59016"/>
    <cellStyle name="Обычный 9 8 7 2 2 4 2" xfId="59017"/>
    <cellStyle name="Обычный 9 8 7 2 2 5" xfId="59018"/>
    <cellStyle name="Обычный 9 8 7 2 2 6" xfId="59019"/>
    <cellStyle name="Обычный 9 8 7 2 3" xfId="59020"/>
    <cellStyle name="Обычный 9 8 7 2 3 2" xfId="59021"/>
    <cellStyle name="Обычный 9 8 7 2 3 3" xfId="59022"/>
    <cellStyle name="Обычный 9 8 7 2 4" xfId="59023"/>
    <cellStyle name="Обычный 9 8 7 2 4 2" xfId="59024"/>
    <cellStyle name="Обычный 9 8 7 2 4 3" xfId="59025"/>
    <cellStyle name="Обычный 9 8 7 2 5" xfId="59026"/>
    <cellStyle name="Обычный 9 8 7 2 5 2" xfId="59027"/>
    <cellStyle name="Обычный 9 8 7 2 6" xfId="59028"/>
    <cellStyle name="Обычный 9 8 7 2 7" xfId="59029"/>
    <cellStyle name="Обычный 9 8 7 3" xfId="59030"/>
    <cellStyle name="Обычный 9 8 7 3 2" xfId="59031"/>
    <cellStyle name="Обычный 9 8 7 3 2 2" xfId="59032"/>
    <cellStyle name="Обычный 9 8 7 3 2 3" xfId="59033"/>
    <cellStyle name="Обычный 9 8 7 3 3" xfId="59034"/>
    <cellStyle name="Обычный 9 8 7 3 3 2" xfId="59035"/>
    <cellStyle name="Обычный 9 8 7 3 3 3" xfId="59036"/>
    <cellStyle name="Обычный 9 8 7 3 4" xfId="59037"/>
    <cellStyle name="Обычный 9 8 7 3 4 2" xfId="59038"/>
    <cellStyle name="Обычный 9 8 7 3 5" xfId="59039"/>
    <cellStyle name="Обычный 9 8 7 3 6" xfId="59040"/>
    <cellStyle name="Обычный 9 8 7 4" xfId="59041"/>
    <cellStyle name="Обычный 9 8 7 4 2" xfId="59042"/>
    <cellStyle name="Обычный 9 8 7 4 3" xfId="59043"/>
    <cellStyle name="Обычный 9 8 7 5" xfId="59044"/>
    <cellStyle name="Обычный 9 8 7 5 2" xfId="59045"/>
    <cellStyle name="Обычный 9 8 7 5 3" xfId="59046"/>
    <cellStyle name="Обычный 9 8 7 6" xfId="59047"/>
    <cellStyle name="Обычный 9 8 7 6 2" xfId="59048"/>
    <cellStyle name="Обычный 9 8 7 7" xfId="59049"/>
    <cellStyle name="Обычный 9 8 7 8" xfId="59050"/>
    <cellStyle name="Обычный 9 8 8" xfId="59051"/>
    <cellStyle name="Обычный 9 8 8 2" xfId="59052"/>
    <cellStyle name="Обычный 9 8 8 2 2" xfId="59053"/>
    <cellStyle name="Обычный 9 8 8 2 2 2" xfId="59054"/>
    <cellStyle name="Обычный 9 8 8 2 2 3" xfId="59055"/>
    <cellStyle name="Обычный 9 8 8 2 3" xfId="59056"/>
    <cellStyle name="Обычный 9 8 8 2 3 2" xfId="59057"/>
    <cellStyle name="Обычный 9 8 8 2 3 3" xfId="59058"/>
    <cellStyle name="Обычный 9 8 8 2 4" xfId="59059"/>
    <cellStyle name="Обычный 9 8 8 2 4 2" xfId="59060"/>
    <cellStyle name="Обычный 9 8 8 2 5" xfId="59061"/>
    <cellStyle name="Обычный 9 8 8 2 6" xfId="59062"/>
    <cellStyle name="Обычный 9 8 8 3" xfId="59063"/>
    <cellStyle name="Обычный 9 8 8 3 2" xfId="59064"/>
    <cellStyle name="Обычный 9 8 8 3 3" xfId="59065"/>
    <cellStyle name="Обычный 9 8 8 4" xfId="59066"/>
    <cellStyle name="Обычный 9 8 8 4 2" xfId="59067"/>
    <cellStyle name="Обычный 9 8 8 4 3" xfId="59068"/>
    <cellStyle name="Обычный 9 8 8 5" xfId="59069"/>
    <cellStyle name="Обычный 9 8 8 5 2" xfId="59070"/>
    <cellStyle name="Обычный 9 8 8 6" xfId="59071"/>
    <cellStyle name="Обычный 9 8 8 7" xfId="59072"/>
    <cellStyle name="Обычный 9 8 9" xfId="59073"/>
    <cellStyle name="Обычный 9 8 9 2" xfId="59074"/>
    <cellStyle name="Обычный 9 8 9 2 2" xfId="59075"/>
    <cellStyle name="Обычный 9 8 9 2 3" xfId="59076"/>
    <cellStyle name="Обычный 9 8 9 3" xfId="59077"/>
    <cellStyle name="Обычный 9 8 9 3 2" xfId="59078"/>
    <cellStyle name="Обычный 9 8 9 3 3" xfId="59079"/>
    <cellStyle name="Обычный 9 8 9 4" xfId="59080"/>
    <cellStyle name="Обычный 9 8 9 4 2" xfId="59081"/>
    <cellStyle name="Обычный 9 8 9 5" xfId="59082"/>
    <cellStyle name="Обычный 9 8 9 6" xfId="59083"/>
    <cellStyle name="Обычный 9 9" xfId="59084"/>
    <cellStyle name="Обычный 9 9 10" xfId="59085"/>
    <cellStyle name="Обычный 9 9 10 2" xfId="59086"/>
    <cellStyle name="Обычный 9 9 10 3" xfId="59087"/>
    <cellStyle name="Обычный 9 9 11" xfId="59088"/>
    <cellStyle name="Обычный 9 9 11 2" xfId="59089"/>
    <cellStyle name="Обычный 9 9 12" xfId="59090"/>
    <cellStyle name="Обычный 9 9 13" xfId="59091"/>
    <cellStyle name="Обычный 9 9 2" xfId="59092"/>
    <cellStyle name="Обычный 9 9 2 10" xfId="59093"/>
    <cellStyle name="Обычный 9 9 2 2" xfId="59094"/>
    <cellStyle name="Обычный 9 9 2 2 2" xfId="59095"/>
    <cellStyle name="Обычный 9 9 2 2 2 2" xfId="59096"/>
    <cellStyle name="Обычный 9 9 2 2 2 2 2" xfId="59097"/>
    <cellStyle name="Обычный 9 9 2 2 2 2 2 2" xfId="59098"/>
    <cellStyle name="Обычный 9 9 2 2 2 2 2 2 2" xfId="59099"/>
    <cellStyle name="Обычный 9 9 2 2 2 2 2 2 3" xfId="59100"/>
    <cellStyle name="Обычный 9 9 2 2 2 2 2 3" xfId="59101"/>
    <cellStyle name="Обычный 9 9 2 2 2 2 2 3 2" xfId="59102"/>
    <cellStyle name="Обычный 9 9 2 2 2 2 2 3 3" xfId="59103"/>
    <cellStyle name="Обычный 9 9 2 2 2 2 2 4" xfId="59104"/>
    <cellStyle name="Обычный 9 9 2 2 2 2 2 4 2" xfId="59105"/>
    <cellStyle name="Обычный 9 9 2 2 2 2 2 5" xfId="59106"/>
    <cellStyle name="Обычный 9 9 2 2 2 2 2 6" xfId="59107"/>
    <cellStyle name="Обычный 9 9 2 2 2 2 3" xfId="59108"/>
    <cellStyle name="Обычный 9 9 2 2 2 2 3 2" xfId="59109"/>
    <cellStyle name="Обычный 9 9 2 2 2 2 3 3" xfId="59110"/>
    <cellStyle name="Обычный 9 9 2 2 2 2 4" xfId="59111"/>
    <cellStyle name="Обычный 9 9 2 2 2 2 4 2" xfId="59112"/>
    <cellStyle name="Обычный 9 9 2 2 2 2 4 3" xfId="59113"/>
    <cellStyle name="Обычный 9 9 2 2 2 2 5" xfId="59114"/>
    <cellStyle name="Обычный 9 9 2 2 2 2 5 2" xfId="59115"/>
    <cellStyle name="Обычный 9 9 2 2 2 2 6" xfId="59116"/>
    <cellStyle name="Обычный 9 9 2 2 2 2 7" xfId="59117"/>
    <cellStyle name="Обычный 9 9 2 2 2 3" xfId="59118"/>
    <cellStyle name="Обычный 9 9 2 2 2 3 2" xfId="59119"/>
    <cellStyle name="Обычный 9 9 2 2 2 3 2 2" xfId="59120"/>
    <cellStyle name="Обычный 9 9 2 2 2 3 2 3" xfId="59121"/>
    <cellStyle name="Обычный 9 9 2 2 2 3 3" xfId="59122"/>
    <cellStyle name="Обычный 9 9 2 2 2 3 3 2" xfId="59123"/>
    <cellStyle name="Обычный 9 9 2 2 2 3 3 3" xfId="59124"/>
    <cellStyle name="Обычный 9 9 2 2 2 3 4" xfId="59125"/>
    <cellStyle name="Обычный 9 9 2 2 2 3 4 2" xfId="59126"/>
    <cellStyle name="Обычный 9 9 2 2 2 3 5" xfId="59127"/>
    <cellStyle name="Обычный 9 9 2 2 2 3 6" xfId="59128"/>
    <cellStyle name="Обычный 9 9 2 2 2 4" xfId="59129"/>
    <cellStyle name="Обычный 9 9 2 2 2 4 2" xfId="59130"/>
    <cellStyle name="Обычный 9 9 2 2 2 4 3" xfId="59131"/>
    <cellStyle name="Обычный 9 9 2 2 2 5" xfId="59132"/>
    <cellStyle name="Обычный 9 9 2 2 2 5 2" xfId="59133"/>
    <cellStyle name="Обычный 9 9 2 2 2 5 3" xfId="59134"/>
    <cellStyle name="Обычный 9 9 2 2 2 6" xfId="59135"/>
    <cellStyle name="Обычный 9 9 2 2 2 6 2" xfId="59136"/>
    <cellStyle name="Обычный 9 9 2 2 2 7" xfId="59137"/>
    <cellStyle name="Обычный 9 9 2 2 2 8" xfId="59138"/>
    <cellStyle name="Обычный 9 9 2 2 3" xfId="59139"/>
    <cellStyle name="Обычный 9 9 2 2 3 2" xfId="59140"/>
    <cellStyle name="Обычный 9 9 2 2 3 2 2" xfId="59141"/>
    <cellStyle name="Обычный 9 9 2 2 3 2 2 2" xfId="59142"/>
    <cellStyle name="Обычный 9 9 2 2 3 2 2 3" xfId="59143"/>
    <cellStyle name="Обычный 9 9 2 2 3 2 3" xfId="59144"/>
    <cellStyle name="Обычный 9 9 2 2 3 2 3 2" xfId="59145"/>
    <cellStyle name="Обычный 9 9 2 2 3 2 3 3" xfId="59146"/>
    <cellStyle name="Обычный 9 9 2 2 3 2 4" xfId="59147"/>
    <cellStyle name="Обычный 9 9 2 2 3 2 4 2" xfId="59148"/>
    <cellStyle name="Обычный 9 9 2 2 3 2 5" xfId="59149"/>
    <cellStyle name="Обычный 9 9 2 2 3 2 6" xfId="59150"/>
    <cellStyle name="Обычный 9 9 2 2 3 3" xfId="59151"/>
    <cellStyle name="Обычный 9 9 2 2 3 3 2" xfId="59152"/>
    <cellStyle name="Обычный 9 9 2 2 3 3 3" xfId="59153"/>
    <cellStyle name="Обычный 9 9 2 2 3 4" xfId="59154"/>
    <cellStyle name="Обычный 9 9 2 2 3 4 2" xfId="59155"/>
    <cellStyle name="Обычный 9 9 2 2 3 4 3" xfId="59156"/>
    <cellStyle name="Обычный 9 9 2 2 3 5" xfId="59157"/>
    <cellStyle name="Обычный 9 9 2 2 3 5 2" xfId="59158"/>
    <cellStyle name="Обычный 9 9 2 2 3 6" xfId="59159"/>
    <cellStyle name="Обычный 9 9 2 2 3 7" xfId="59160"/>
    <cellStyle name="Обычный 9 9 2 2 4" xfId="59161"/>
    <cellStyle name="Обычный 9 9 2 2 4 2" xfId="59162"/>
    <cellStyle name="Обычный 9 9 2 2 4 2 2" xfId="59163"/>
    <cellStyle name="Обычный 9 9 2 2 4 2 3" xfId="59164"/>
    <cellStyle name="Обычный 9 9 2 2 4 3" xfId="59165"/>
    <cellStyle name="Обычный 9 9 2 2 4 3 2" xfId="59166"/>
    <cellStyle name="Обычный 9 9 2 2 4 3 3" xfId="59167"/>
    <cellStyle name="Обычный 9 9 2 2 4 4" xfId="59168"/>
    <cellStyle name="Обычный 9 9 2 2 4 4 2" xfId="59169"/>
    <cellStyle name="Обычный 9 9 2 2 4 5" xfId="59170"/>
    <cellStyle name="Обычный 9 9 2 2 4 6" xfId="59171"/>
    <cellStyle name="Обычный 9 9 2 2 5" xfId="59172"/>
    <cellStyle name="Обычный 9 9 2 2 5 2" xfId="59173"/>
    <cellStyle name="Обычный 9 9 2 2 5 3" xfId="59174"/>
    <cellStyle name="Обычный 9 9 2 2 6" xfId="59175"/>
    <cellStyle name="Обычный 9 9 2 2 6 2" xfId="59176"/>
    <cellStyle name="Обычный 9 9 2 2 6 3" xfId="59177"/>
    <cellStyle name="Обычный 9 9 2 2 7" xfId="59178"/>
    <cellStyle name="Обычный 9 9 2 2 7 2" xfId="59179"/>
    <cellStyle name="Обычный 9 9 2 2 8" xfId="59180"/>
    <cellStyle name="Обычный 9 9 2 2 9" xfId="59181"/>
    <cellStyle name="Обычный 9 9 2 3" xfId="59182"/>
    <cellStyle name="Обычный 9 9 2 3 2" xfId="59183"/>
    <cellStyle name="Обычный 9 9 2 3 2 2" xfId="59184"/>
    <cellStyle name="Обычный 9 9 2 3 2 2 2" xfId="59185"/>
    <cellStyle name="Обычный 9 9 2 3 2 2 2 2" xfId="59186"/>
    <cellStyle name="Обычный 9 9 2 3 2 2 2 3" xfId="59187"/>
    <cellStyle name="Обычный 9 9 2 3 2 2 3" xfId="59188"/>
    <cellStyle name="Обычный 9 9 2 3 2 2 3 2" xfId="59189"/>
    <cellStyle name="Обычный 9 9 2 3 2 2 3 3" xfId="59190"/>
    <cellStyle name="Обычный 9 9 2 3 2 2 4" xfId="59191"/>
    <cellStyle name="Обычный 9 9 2 3 2 2 4 2" xfId="59192"/>
    <cellStyle name="Обычный 9 9 2 3 2 2 5" xfId="59193"/>
    <cellStyle name="Обычный 9 9 2 3 2 2 6" xfId="59194"/>
    <cellStyle name="Обычный 9 9 2 3 2 3" xfId="59195"/>
    <cellStyle name="Обычный 9 9 2 3 2 3 2" xfId="59196"/>
    <cellStyle name="Обычный 9 9 2 3 2 3 3" xfId="59197"/>
    <cellStyle name="Обычный 9 9 2 3 2 4" xfId="59198"/>
    <cellStyle name="Обычный 9 9 2 3 2 4 2" xfId="59199"/>
    <cellStyle name="Обычный 9 9 2 3 2 4 3" xfId="59200"/>
    <cellStyle name="Обычный 9 9 2 3 2 5" xfId="59201"/>
    <cellStyle name="Обычный 9 9 2 3 2 5 2" xfId="59202"/>
    <cellStyle name="Обычный 9 9 2 3 2 6" xfId="59203"/>
    <cellStyle name="Обычный 9 9 2 3 2 7" xfId="59204"/>
    <cellStyle name="Обычный 9 9 2 3 3" xfId="59205"/>
    <cellStyle name="Обычный 9 9 2 3 3 2" xfId="59206"/>
    <cellStyle name="Обычный 9 9 2 3 3 2 2" xfId="59207"/>
    <cellStyle name="Обычный 9 9 2 3 3 2 3" xfId="59208"/>
    <cellStyle name="Обычный 9 9 2 3 3 3" xfId="59209"/>
    <cellStyle name="Обычный 9 9 2 3 3 3 2" xfId="59210"/>
    <cellStyle name="Обычный 9 9 2 3 3 3 3" xfId="59211"/>
    <cellStyle name="Обычный 9 9 2 3 3 4" xfId="59212"/>
    <cellStyle name="Обычный 9 9 2 3 3 4 2" xfId="59213"/>
    <cellStyle name="Обычный 9 9 2 3 3 5" xfId="59214"/>
    <cellStyle name="Обычный 9 9 2 3 3 6" xfId="59215"/>
    <cellStyle name="Обычный 9 9 2 3 4" xfId="59216"/>
    <cellStyle name="Обычный 9 9 2 3 4 2" xfId="59217"/>
    <cellStyle name="Обычный 9 9 2 3 4 3" xfId="59218"/>
    <cellStyle name="Обычный 9 9 2 3 5" xfId="59219"/>
    <cellStyle name="Обычный 9 9 2 3 5 2" xfId="59220"/>
    <cellStyle name="Обычный 9 9 2 3 5 3" xfId="59221"/>
    <cellStyle name="Обычный 9 9 2 3 6" xfId="59222"/>
    <cellStyle name="Обычный 9 9 2 3 6 2" xfId="59223"/>
    <cellStyle name="Обычный 9 9 2 3 7" xfId="59224"/>
    <cellStyle name="Обычный 9 9 2 3 8" xfId="59225"/>
    <cellStyle name="Обычный 9 9 2 4" xfId="59226"/>
    <cellStyle name="Обычный 9 9 2 4 2" xfId="59227"/>
    <cellStyle name="Обычный 9 9 2 4 2 2" xfId="59228"/>
    <cellStyle name="Обычный 9 9 2 4 2 2 2" xfId="59229"/>
    <cellStyle name="Обычный 9 9 2 4 2 2 3" xfId="59230"/>
    <cellStyle name="Обычный 9 9 2 4 2 3" xfId="59231"/>
    <cellStyle name="Обычный 9 9 2 4 2 3 2" xfId="59232"/>
    <cellStyle name="Обычный 9 9 2 4 2 3 3" xfId="59233"/>
    <cellStyle name="Обычный 9 9 2 4 2 4" xfId="59234"/>
    <cellStyle name="Обычный 9 9 2 4 2 4 2" xfId="59235"/>
    <cellStyle name="Обычный 9 9 2 4 2 5" xfId="59236"/>
    <cellStyle name="Обычный 9 9 2 4 2 6" xfId="59237"/>
    <cellStyle name="Обычный 9 9 2 4 3" xfId="59238"/>
    <cellStyle name="Обычный 9 9 2 4 3 2" xfId="59239"/>
    <cellStyle name="Обычный 9 9 2 4 3 3" xfId="59240"/>
    <cellStyle name="Обычный 9 9 2 4 4" xfId="59241"/>
    <cellStyle name="Обычный 9 9 2 4 4 2" xfId="59242"/>
    <cellStyle name="Обычный 9 9 2 4 4 3" xfId="59243"/>
    <cellStyle name="Обычный 9 9 2 4 5" xfId="59244"/>
    <cellStyle name="Обычный 9 9 2 4 5 2" xfId="59245"/>
    <cellStyle name="Обычный 9 9 2 4 6" xfId="59246"/>
    <cellStyle name="Обычный 9 9 2 4 7" xfId="59247"/>
    <cellStyle name="Обычный 9 9 2 5" xfId="59248"/>
    <cellStyle name="Обычный 9 9 2 5 2" xfId="59249"/>
    <cellStyle name="Обычный 9 9 2 5 2 2" xfId="59250"/>
    <cellStyle name="Обычный 9 9 2 5 2 3" xfId="59251"/>
    <cellStyle name="Обычный 9 9 2 5 3" xfId="59252"/>
    <cellStyle name="Обычный 9 9 2 5 3 2" xfId="59253"/>
    <cellStyle name="Обычный 9 9 2 5 3 3" xfId="59254"/>
    <cellStyle name="Обычный 9 9 2 5 4" xfId="59255"/>
    <cellStyle name="Обычный 9 9 2 5 4 2" xfId="59256"/>
    <cellStyle name="Обычный 9 9 2 5 5" xfId="59257"/>
    <cellStyle name="Обычный 9 9 2 5 6" xfId="59258"/>
    <cellStyle name="Обычный 9 9 2 6" xfId="59259"/>
    <cellStyle name="Обычный 9 9 2 6 2" xfId="59260"/>
    <cellStyle name="Обычный 9 9 2 6 3" xfId="59261"/>
    <cellStyle name="Обычный 9 9 2 7" xfId="59262"/>
    <cellStyle name="Обычный 9 9 2 7 2" xfId="59263"/>
    <cellStyle name="Обычный 9 9 2 7 3" xfId="59264"/>
    <cellStyle name="Обычный 9 9 2 8" xfId="59265"/>
    <cellStyle name="Обычный 9 9 2 8 2" xfId="59266"/>
    <cellStyle name="Обычный 9 9 2 9" xfId="59267"/>
    <cellStyle name="Обычный 9 9 3" xfId="59268"/>
    <cellStyle name="Обычный 9 9 3 10" xfId="59269"/>
    <cellStyle name="Обычный 9 9 3 2" xfId="59270"/>
    <cellStyle name="Обычный 9 9 3 2 2" xfId="59271"/>
    <cellStyle name="Обычный 9 9 3 2 2 2" xfId="59272"/>
    <cellStyle name="Обычный 9 9 3 2 2 2 2" xfId="59273"/>
    <cellStyle name="Обычный 9 9 3 2 2 2 2 2" xfId="59274"/>
    <cellStyle name="Обычный 9 9 3 2 2 2 2 2 2" xfId="59275"/>
    <cellStyle name="Обычный 9 9 3 2 2 2 2 2 3" xfId="59276"/>
    <cellStyle name="Обычный 9 9 3 2 2 2 2 3" xfId="59277"/>
    <cellStyle name="Обычный 9 9 3 2 2 2 2 3 2" xfId="59278"/>
    <cellStyle name="Обычный 9 9 3 2 2 2 2 3 3" xfId="59279"/>
    <cellStyle name="Обычный 9 9 3 2 2 2 2 4" xfId="59280"/>
    <cellStyle name="Обычный 9 9 3 2 2 2 2 4 2" xfId="59281"/>
    <cellStyle name="Обычный 9 9 3 2 2 2 2 5" xfId="59282"/>
    <cellStyle name="Обычный 9 9 3 2 2 2 2 6" xfId="59283"/>
    <cellStyle name="Обычный 9 9 3 2 2 2 3" xfId="59284"/>
    <cellStyle name="Обычный 9 9 3 2 2 2 3 2" xfId="59285"/>
    <cellStyle name="Обычный 9 9 3 2 2 2 3 3" xfId="59286"/>
    <cellStyle name="Обычный 9 9 3 2 2 2 4" xfId="59287"/>
    <cellStyle name="Обычный 9 9 3 2 2 2 4 2" xfId="59288"/>
    <cellStyle name="Обычный 9 9 3 2 2 2 4 3" xfId="59289"/>
    <cellStyle name="Обычный 9 9 3 2 2 2 5" xfId="59290"/>
    <cellStyle name="Обычный 9 9 3 2 2 2 5 2" xfId="59291"/>
    <cellStyle name="Обычный 9 9 3 2 2 2 6" xfId="59292"/>
    <cellStyle name="Обычный 9 9 3 2 2 2 7" xfId="59293"/>
    <cellStyle name="Обычный 9 9 3 2 2 3" xfId="59294"/>
    <cellStyle name="Обычный 9 9 3 2 2 3 2" xfId="59295"/>
    <cellStyle name="Обычный 9 9 3 2 2 3 2 2" xfId="59296"/>
    <cellStyle name="Обычный 9 9 3 2 2 3 2 3" xfId="59297"/>
    <cellStyle name="Обычный 9 9 3 2 2 3 3" xfId="59298"/>
    <cellStyle name="Обычный 9 9 3 2 2 3 3 2" xfId="59299"/>
    <cellStyle name="Обычный 9 9 3 2 2 3 3 3" xfId="59300"/>
    <cellStyle name="Обычный 9 9 3 2 2 3 4" xfId="59301"/>
    <cellStyle name="Обычный 9 9 3 2 2 3 4 2" xfId="59302"/>
    <cellStyle name="Обычный 9 9 3 2 2 3 5" xfId="59303"/>
    <cellStyle name="Обычный 9 9 3 2 2 3 6" xfId="59304"/>
    <cellStyle name="Обычный 9 9 3 2 2 4" xfId="59305"/>
    <cellStyle name="Обычный 9 9 3 2 2 4 2" xfId="59306"/>
    <cellStyle name="Обычный 9 9 3 2 2 4 3" xfId="59307"/>
    <cellStyle name="Обычный 9 9 3 2 2 5" xfId="59308"/>
    <cellStyle name="Обычный 9 9 3 2 2 5 2" xfId="59309"/>
    <cellStyle name="Обычный 9 9 3 2 2 5 3" xfId="59310"/>
    <cellStyle name="Обычный 9 9 3 2 2 6" xfId="59311"/>
    <cellStyle name="Обычный 9 9 3 2 2 6 2" xfId="59312"/>
    <cellStyle name="Обычный 9 9 3 2 2 7" xfId="59313"/>
    <cellStyle name="Обычный 9 9 3 2 2 8" xfId="59314"/>
    <cellStyle name="Обычный 9 9 3 2 3" xfId="59315"/>
    <cellStyle name="Обычный 9 9 3 2 3 2" xfId="59316"/>
    <cellStyle name="Обычный 9 9 3 2 3 2 2" xfId="59317"/>
    <cellStyle name="Обычный 9 9 3 2 3 2 2 2" xfId="59318"/>
    <cellStyle name="Обычный 9 9 3 2 3 2 2 3" xfId="59319"/>
    <cellStyle name="Обычный 9 9 3 2 3 2 3" xfId="59320"/>
    <cellStyle name="Обычный 9 9 3 2 3 2 3 2" xfId="59321"/>
    <cellStyle name="Обычный 9 9 3 2 3 2 3 3" xfId="59322"/>
    <cellStyle name="Обычный 9 9 3 2 3 2 4" xfId="59323"/>
    <cellStyle name="Обычный 9 9 3 2 3 2 4 2" xfId="59324"/>
    <cellStyle name="Обычный 9 9 3 2 3 2 5" xfId="59325"/>
    <cellStyle name="Обычный 9 9 3 2 3 2 6" xfId="59326"/>
    <cellStyle name="Обычный 9 9 3 2 3 3" xfId="59327"/>
    <cellStyle name="Обычный 9 9 3 2 3 3 2" xfId="59328"/>
    <cellStyle name="Обычный 9 9 3 2 3 3 3" xfId="59329"/>
    <cellStyle name="Обычный 9 9 3 2 3 4" xfId="59330"/>
    <cellStyle name="Обычный 9 9 3 2 3 4 2" xfId="59331"/>
    <cellStyle name="Обычный 9 9 3 2 3 4 3" xfId="59332"/>
    <cellStyle name="Обычный 9 9 3 2 3 5" xfId="59333"/>
    <cellStyle name="Обычный 9 9 3 2 3 5 2" xfId="59334"/>
    <cellStyle name="Обычный 9 9 3 2 3 6" xfId="59335"/>
    <cellStyle name="Обычный 9 9 3 2 3 7" xfId="59336"/>
    <cellStyle name="Обычный 9 9 3 2 4" xfId="59337"/>
    <cellStyle name="Обычный 9 9 3 2 4 2" xfId="59338"/>
    <cellStyle name="Обычный 9 9 3 2 4 2 2" xfId="59339"/>
    <cellStyle name="Обычный 9 9 3 2 4 2 3" xfId="59340"/>
    <cellStyle name="Обычный 9 9 3 2 4 3" xfId="59341"/>
    <cellStyle name="Обычный 9 9 3 2 4 3 2" xfId="59342"/>
    <cellStyle name="Обычный 9 9 3 2 4 3 3" xfId="59343"/>
    <cellStyle name="Обычный 9 9 3 2 4 4" xfId="59344"/>
    <cellStyle name="Обычный 9 9 3 2 4 4 2" xfId="59345"/>
    <cellStyle name="Обычный 9 9 3 2 4 5" xfId="59346"/>
    <cellStyle name="Обычный 9 9 3 2 4 6" xfId="59347"/>
    <cellStyle name="Обычный 9 9 3 2 5" xfId="59348"/>
    <cellStyle name="Обычный 9 9 3 2 5 2" xfId="59349"/>
    <cellStyle name="Обычный 9 9 3 2 5 3" xfId="59350"/>
    <cellStyle name="Обычный 9 9 3 2 6" xfId="59351"/>
    <cellStyle name="Обычный 9 9 3 2 6 2" xfId="59352"/>
    <cellStyle name="Обычный 9 9 3 2 6 3" xfId="59353"/>
    <cellStyle name="Обычный 9 9 3 2 7" xfId="59354"/>
    <cellStyle name="Обычный 9 9 3 2 7 2" xfId="59355"/>
    <cellStyle name="Обычный 9 9 3 2 8" xfId="59356"/>
    <cellStyle name="Обычный 9 9 3 2 9" xfId="59357"/>
    <cellStyle name="Обычный 9 9 3 3" xfId="59358"/>
    <cellStyle name="Обычный 9 9 3 3 2" xfId="59359"/>
    <cellStyle name="Обычный 9 9 3 3 2 2" xfId="59360"/>
    <cellStyle name="Обычный 9 9 3 3 2 2 2" xfId="59361"/>
    <cellStyle name="Обычный 9 9 3 3 2 2 2 2" xfId="59362"/>
    <cellStyle name="Обычный 9 9 3 3 2 2 2 3" xfId="59363"/>
    <cellStyle name="Обычный 9 9 3 3 2 2 3" xfId="59364"/>
    <cellStyle name="Обычный 9 9 3 3 2 2 3 2" xfId="59365"/>
    <cellStyle name="Обычный 9 9 3 3 2 2 3 3" xfId="59366"/>
    <cellStyle name="Обычный 9 9 3 3 2 2 4" xfId="59367"/>
    <cellStyle name="Обычный 9 9 3 3 2 2 4 2" xfId="59368"/>
    <cellStyle name="Обычный 9 9 3 3 2 2 5" xfId="59369"/>
    <cellStyle name="Обычный 9 9 3 3 2 2 6" xfId="59370"/>
    <cellStyle name="Обычный 9 9 3 3 2 3" xfId="59371"/>
    <cellStyle name="Обычный 9 9 3 3 2 3 2" xfId="59372"/>
    <cellStyle name="Обычный 9 9 3 3 2 3 3" xfId="59373"/>
    <cellStyle name="Обычный 9 9 3 3 2 4" xfId="59374"/>
    <cellStyle name="Обычный 9 9 3 3 2 4 2" xfId="59375"/>
    <cellStyle name="Обычный 9 9 3 3 2 4 3" xfId="59376"/>
    <cellStyle name="Обычный 9 9 3 3 2 5" xfId="59377"/>
    <cellStyle name="Обычный 9 9 3 3 2 5 2" xfId="59378"/>
    <cellStyle name="Обычный 9 9 3 3 2 6" xfId="59379"/>
    <cellStyle name="Обычный 9 9 3 3 2 7" xfId="59380"/>
    <cellStyle name="Обычный 9 9 3 3 3" xfId="59381"/>
    <cellStyle name="Обычный 9 9 3 3 3 2" xfId="59382"/>
    <cellStyle name="Обычный 9 9 3 3 3 2 2" xfId="59383"/>
    <cellStyle name="Обычный 9 9 3 3 3 2 3" xfId="59384"/>
    <cellStyle name="Обычный 9 9 3 3 3 3" xfId="59385"/>
    <cellStyle name="Обычный 9 9 3 3 3 3 2" xfId="59386"/>
    <cellStyle name="Обычный 9 9 3 3 3 3 3" xfId="59387"/>
    <cellStyle name="Обычный 9 9 3 3 3 4" xfId="59388"/>
    <cellStyle name="Обычный 9 9 3 3 3 4 2" xfId="59389"/>
    <cellStyle name="Обычный 9 9 3 3 3 5" xfId="59390"/>
    <cellStyle name="Обычный 9 9 3 3 3 6" xfId="59391"/>
    <cellStyle name="Обычный 9 9 3 3 4" xfId="59392"/>
    <cellStyle name="Обычный 9 9 3 3 4 2" xfId="59393"/>
    <cellStyle name="Обычный 9 9 3 3 4 3" xfId="59394"/>
    <cellStyle name="Обычный 9 9 3 3 5" xfId="59395"/>
    <cellStyle name="Обычный 9 9 3 3 5 2" xfId="59396"/>
    <cellStyle name="Обычный 9 9 3 3 5 3" xfId="59397"/>
    <cellStyle name="Обычный 9 9 3 3 6" xfId="59398"/>
    <cellStyle name="Обычный 9 9 3 3 6 2" xfId="59399"/>
    <cellStyle name="Обычный 9 9 3 3 7" xfId="59400"/>
    <cellStyle name="Обычный 9 9 3 3 8" xfId="59401"/>
    <cellStyle name="Обычный 9 9 3 4" xfId="59402"/>
    <cellStyle name="Обычный 9 9 3 4 2" xfId="59403"/>
    <cellStyle name="Обычный 9 9 3 4 2 2" xfId="59404"/>
    <cellStyle name="Обычный 9 9 3 4 2 2 2" xfId="59405"/>
    <cellStyle name="Обычный 9 9 3 4 2 2 3" xfId="59406"/>
    <cellStyle name="Обычный 9 9 3 4 2 3" xfId="59407"/>
    <cellStyle name="Обычный 9 9 3 4 2 3 2" xfId="59408"/>
    <cellStyle name="Обычный 9 9 3 4 2 3 3" xfId="59409"/>
    <cellStyle name="Обычный 9 9 3 4 2 4" xfId="59410"/>
    <cellStyle name="Обычный 9 9 3 4 2 4 2" xfId="59411"/>
    <cellStyle name="Обычный 9 9 3 4 2 5" xfId="59412"/>
    <cellStyle name="Обычный 9 9 3 4 2 6" xfId="59413"/>
    <cellStyle name="Обычный 9 9 3 4 3" xfId="59414"/>
    <cellStyle name="Обычный 9 9 3 4 3 2" xfId="59415"/>
    <cellStyle name="Обычный 9 9 3 4 3 3" xfId="59416"/>
    <cellStyle name="Обычный 9 9 3 4 4" xfId="59417"/>
    <cellStyle name="Обычный 9 9 3 4 4 2" xfId="59418"/>
    <cellStyle name="Обычный 9 9 3 4 4 3" xfId="59419"/>
    <cellStyle name="Обычный 9 9 3 4 5" xfId="59420"/>
    <cellStyle name="Обычный 9 9 3 4 5 2" xfId="59421"/>
    <cellStyle name="Обычный 9 9 3 4 6" xfId="59422"/>
    <cellStyle name="Обычный 9 9 3 4 7" xfId="59423"/>
    <cellStyle name="Обычный 9 9 3 5" xfId="59424"/>
    <cellStyle name="Обычный 9 9 3 5 2" xfId="59425"/>
    <cellStyle name="Обычный 9 9 3 5 2 2" xfId="59426"/>
    <cellStyle name="Обычный 9 9 3 5 2 3" xfId="59427"/>
    <cellStyle name="Обычный 9 9 3 5 3" xfId="59428"/>
    <cellStyle name="Обычный 9 9 3 5 3 2" xfId="59429"/>
    <cellStyle name="Обычный 9 9 3 5 3 3" xfId="59430"/>
    <cellStyle name="Обычный 9 9 3 5 4" xfId="59431"/>
    <cellStyle name="Обычный 9 9 3 5 4 2" xfId="59432"/>
    <cellStyle name="Обычный 9 9 3 5 5" xfId="59433"/>
    <cellStyle name="Обычный 9 9 3 5 6" xfId="59434"/>
    <cellStyle name="Обычный 9 9 3 6" xfId="59435"/>
    <cellStyle name="Обычный 9 9 3 6 2" xfId="59436"/>
    <cellStyle name="Обычный 9 9 3 6 3" xfId="59437"/>
    <cellStyle name="Обычный 9 9 3 7" xfId="59438"/>
    <cellStyle name="Обычный 9 9 3 7 2" xfId="59439"/>
    <cellStyle name="Обычный 9 9 3 7 3" xfId="59440"/>
    <cellStyle name="Обычный 9 9 3 8" xfId="59441"/>
    <cellStyle name="Обычный 9 9 3 8 2" xfId="59442"/>
    <cellStyle name="Обычный 9 9 3 9" xfId="59443"/>
    <cellStyle name="Обычный 9 9 4" xfId="59444"/>
    <cellStyle name="Обычный 9 9 4 10" xfId="59445"/>
    <cellStyle name="Обычный 9 9 4 2" xfId="59446"/>
    <cellStyle name="Обычный 9 9 4 2 2" xfId="59447"/>
    <cellStyle name="Обычный 9 9 4 2 2 2" xfId="59448"/>
    <cellStyle name="Обычный 9 9 4 2 2 2 2" xfId="59449"/>
    <cellStyle name="Обычный 9 9 4 2 2 2 2 2" xfId="59450"/>
    <cellStyle name="Обычный 9 9 4 2 2 2 2 2 2" xfId="59451"/>
    <cellStyle name="Обычный 9 9 4 2 2 2 2 2 3" xfId="59452"/>
    <cellStyle name="Обычный 9 9 4 2 2 2 2 3" xfId="59453"/>
    <cellStyle name="Обычный 9 9 4 2 2 2 2 3 2" xfId="59454"/>
    <cellStyle name="Обычный 9 9 4 2 2 2 2 3 3" xfId="59455"/>
    <cellStyle name="Обычный 9 9 4 2 2 2 2 4" xfId="59456"/>
    <cellStyle name="Обычный 9 9 4 2 2 2 2 4 2" xfId="59457"/>
    <cellStyle name="Обычный 9 9 4 2 2 2 2 5" xfId="59458"/>
    <cellStyle name="Обычный 9 9 4 2 2 2 2 6" xfId="59459"/>
    <cellStyle name="Обычный 9 9 4 2 2 2 3" xfId="59460"/>
    <cellStyle name="Обычный 9 9 4 2 2 2 3 2" xfId="59461"/>
    <cellStyle name="Обычный 9 9 4 2 2 2 3 3" xfId="59462"/>
    <cellStyle name="Обычный 9 9 4 2 2 2 4" xfId="59463"/>
    <cellStyle name="Обычный 9 9 4 2 2 2 4 2" xfId="59464"/>
    <cellStyle name="Обычный 9 9 4 2 2 2 4 3" xfId="59465"/>
    <cellStyle name="Обычный 9 9 4 2 2 2 5" xfId="59466"/>
    <cellStyle name="Обычный 9 9 4 2 2 2 5 2" xfId="59467"/>
    <cellStyle name="Обычный 9 9 4 2 2 2 6" xfId="59468"/>
    <cellStyle name="Обычный 9 9 4 2 2 2 7" xfId="59469"/>
    <cellStyle name="Обычный 9 9 4 2 2 3" xfId="59470"/>
    <cellStyle name="Обычный 9 9 4 2 2 3 2" xfId="59471"/>
    <cellStyle name="Обычный 9 9 4 2 2 3 2 2" xfId="59472"/>
    <cellStyle name="Обычный 9 9 4 2 2 3 2 3" xfId="59473"/>
    <cellStyle name="Обычный 9 9 4 2 2 3 3" xfId="59474"/>
    <cellStyle name="Обычный 9 9 4 2 2 3 3 2" xfId="59475"/>
    <cellStyle name="Обычный 9 9 4 2 2 3 3 3" xfId="59476"/>
    <cellStyle name="Обычный 9 9 4 2 2 3 4" xfId="59477"/>
    <cellStyle name="Обычный 9 9 4 2 2 3 4 2" xfId="59478"/>
    <cellStyle name="Обычный 9 9 4 2 2 3 5" xfId="59479"/>
    <cellStyle name="Обычный 9 9 4 2 2 3 6" xfId="59480"/>
    <cellStyle name="Обычный 9 9 4 2 2 4" xfId="59481"/>
    <cellStyle name="Обычный 9 9 4 2 2 4 2" xfId="59482"/>
    <cellStyle name="Обычный 9 9 4 2 2 4 3" xfId="59483"/>
    <cellStyle name="Обычный 9 9 4 2 2 5" xfId="59484"/>
    <cellStyle name="Обычный 9 9 4 2 2 5 2" xfId="59485"/>
    <cellStyle name="Обычный 9 9 4 2 2 5 3" xfId="59486"/>
    <cellStyle name="Обычный 9 9 4 2 2 6" xfId="59487"/>
    <cellStyle name="Обычный 9 9 4 2 2 6 2" xfId="59488"/>
    <cellStyle name="Обычный 9 9 4 2 2 7" xfId="59489"/>
    <cellStyle name="Обычный 9 9 4 2 2 8" xfId="59490"/>
    <cellStyle name="Обычный 9 9 4 2 3" xfId="59491"/>
    <cellStyle name="Обычный 9 9 4 2 3 2" xfId="59492"/>
    <cellStyle name="Обычный 9 9 4 2 3 2 2" xfId="59493"/>
    <cellStyle name="Обычный 9 9 4 2 3 2 2 2" xfId="59494"/>
    <cellStyle name="Обычный 9 9 4 2 3 2 2 3" xfId="59495"/>
    <cellStyle name="Обычный 9 9 4 2 3 2 3" xfId="59496"/>
    <cellStyle name="Обычный 9 9 4 2 3 2 3 2" xfId="59497"/>
    <cellStyle name="Обычный 9 9 4 2 3 2 3 3" xfId="59498"/>
    <cellStyle name="Обычный 9 9 4 2 3 2 4" xfId="59499"/>
    <cellStyle name="Обычный 9 9 4 2 3 2 4 2" xfId="59500"/>
    <cellStyle name="Обычный 9 9 4 2 3 2 5" xfId="59501"/>
    <cellStyle name="Обычный 9 9 4 2 3 2 6" xfId="59502"/>
    <cellStyle name="Обычный 9 9 4 2 3 3" xfId="59503"/>
    <cellStyle name="Обычный 9 9 4 2 3 3 2" xfId="59504"/>
    <cellStyle name="Обычный 9 9 4 2 3 3 3" xfId="59505"/>
    <cellStyle name="Обычный 9 9 4 2 3 4" xfId="59506"/>
    <cellStyle name="Обычный 9 9 4 2 3 4 2" xfId="59507"/>
    <cellStyle name="Обычный 9 9 4 2 3 4 3" xfId="59508"/>
    <cellStyle name="Обычный 9 9 4 2 3 5" xfId="59509"/>
    <cellStyle name="Обычный 9 9 4 2 3 5 2" xfId="59510"/>
    <cellStyle name="Обычный 9 9 4 2 3 6" xfId="59511"/>
    <cellStyle name="Обычный 9 9 4 2 3 7" xfId="59512"/>
    <cellStyle name="Обычный 9 9 4 2 4" xfId="59513"/>
    <cellStyle name="Обычный 9 9 4 2 4 2" xfId="59514"/>
    <cellStyle name="Обычный 9 9 4 2 4 2 2" xfId="59515"/>
    <cellStyle name="Обычный 9 9 4 2 4 2 3" xfId="59516"/>
    <cellStyle name="Обычный 9 9 4 2 4 3" xfId="59517"/>
    <cellStyle name="Обычный 9 9 4 2 4 3 2" xfId="59518"/>
    <cellStyle name="Обычный 9 9 4 2 4 3 3" xfId="59519"/>
    <cellStyle name="Обычный 9 9 4 2 4 4" xfId="59520"/>
    <cellStyle name="Обычный 9 9 4 2 4 4 2" xfId="59521"/>
    <cellStyle name="Обычный 9 9 4 2 4 5" xfId="59522"/>
    <cellStyle name="Обычный 9 9 4 2 4 6" xfId="59523"/>
    <cellStyle name="Обычный 9 9 4 2 5" xfId="59524"/>
    <cellStyle name="Обычный 9 9 4 2 5 2" xfId="59525"/>
    <cellStyle name="Обычный 9 9 4 2 5 3" xfId="59526"/>
    <cellStyle name="Обычный 9 9 4 2 6" xfId="59527"/>
    <cellStyle name="Обычный 9 9 4 2 6 2" xfId="59528"/>
    <cellStyle name="Обычный 9 9 4 2 6 3" xfId="59529"/>
    <cellStyle name="Обычный 9 9 4 2 7" xfId="59530"/>
    <cellStyle name="Обычный 9 9 4 2 7 2" xfId="59531"/>
    <cellStyle name="Обычный 9 9 4 2 8" xfId="59532"/>
    <cellStyle name="Обычный 9 9 4 2 9" xfId="59533"/>
    <cellStyle name="Обычный 9 9 4 3" xfId="59534"/>
    <cellStyle name="Обычный 9 9 4 3 2" xfId="59535"/>
    <cellStyle name="Обычный 9 9 4 3 2 2" xfId="59536"/>
    <cellStyle name="Обычный 9 9 4 3 2 2 2" xfId="59537"/>
    <cellStyle name="Обычный 9 9 4 3 2 2 2 2" xfId="59538"/>
    <cellStyle name="Обычный 9 9 4 3 2 2 2 3" xfId="59539"/>
    <cellStyle name="Обычный 9 9 4 3 2 2 3" xfId="59540"/>
    <cellStyle name="Обычный 9 9 4 3 2 2 3 2" xfId="59541"/>
    <cellStyle name="Обычный 9 9 4 3 2 2 3 3" xfId="59542"/>
    <cellStyle name="Обычный 9 9 4 3 2 2 4" xfId="59543"/>
    <cellStyle name="Обычный 9 9 4 3 2 2 4 2" xfId="59544"/>
    <cellStyle name="Обычный 9 9 4 3 2 2 5" xfId="59545"/>
    <cellStyle name="Обычный 9 9 4 3 2 2 6" xfId="59546"/>
    <cellStyle name="Обычный 9 9 4 3 2 3" xfId="59547"/>
    <cellStyle name="Обычный 9 9 4 3 2 3 2" xfId="59548"/>
    <cellStyle name="Обычный 9 9 4 3 2 3 3" xfId="59549"/>
    <cellStyle name="Обычный 9 9 4 3 2 4" xfId="59550"/>
    <cellStyle name="Обычный 9 9 4 3 2 4 2" xfId="59551"/>
    <cellStyle name="Обычный 9 9 4 3 2 4 3" xfId="59552"/>
    <cellStyle name="Обычный 9 9 4 3 2 5" xfId="59553"/>
    <cellStyle name="Обычный 9 9 4 3 2 5 2" xfId="59554"/>
    <cellStyle name="Обычный 9 9 4 3 2 6" xfId="59555"/>
    <cellStyle name="Обычный 9 9 4 3 2 7" xfId="59556"/>
    <cellStyle name="Обычный 9 9 4 3 3" xfId="59557"/>
    <cellStyle name="Обычный 9 9 4 3 3 2" xfId="59558"/>
    <cellStyle name="Обычный 9 9 4 3 3 2 2" xfId="59559"/>
    <cellStyle name="Обычный 9 9 4 3 3 2 3" xfId="59560"/>
    <cellStyle name="Обычный 9 9 4 3 3 3" xfId="59561"/>
    <cellStyle name="Обычный 9 9 4 3 3 3 2" xfId="59562"/>
    <cellStyle name="Обычный 9 9 4 3 3 3 3" xfId="59563"/>
    <cellStyle name="Обычный 9 9 4 3 3 4" xfId="59564"/>
    <cellStyle name="Обычный 9 9 4 3 3 4 2" xfId="59565"/>
    <cellStyle name="Обычный 9 9 4 3 3 5" xfId="59566"/>
    <cellStyle name="Обычный 9 9 4 3 3 6" xfId="59567"/>
    <cellStyle name="Обычный 9 9 4 3 4" xfId="59568"/>
    <cellStyle name="Обычный 9 9 4 3 4 2" xfId="59569"/>
    <cellStyle name="Обычный 9 9 4 3 4 3" xfId="59570"/>
    <cellStyle name="Обычный 9 9 4 3 5" xfId="59571"/>
    <cellStyle name="Обычный 9 9 4 3 5 2" xfId="59572"/>
    <cellStyle name="Обычный 9 9 4 3 5 3" xfId="59573"/>
    <cellStyle name="Обычный 9 9 4 3 6" xfId="59574"/>
    <cellStyle name="Обычный 9 9 4 3 6 2" xfId="59575"/>
    <cellStyle name="Обычный 9 9 4 3 7" xfId="59576"/>
    <cellStyle name="Обычный 9 9 4 3 8" xfId="59577"/>
    <cellStyle name="Обычный 9 9 4 4" xfId="59578"/>
    <cellStyle name="Обычный 9 9 4 4 2" xfId="59579"/>
    <cellStyle name="Обычный 9 9 4 4 2 2" xfId="59580"/>
    <cellStyle name="Обычный 9 9 4 4 2 2 2" xfId="59581"/>
    <cellStyle name="Обычный 9 9 4 4 2 2 3" xfId="59582"/>
    <cellStyle name="Обычный 9 9 4 4 2 3" xfId="59583"/>
    <cellStyle name="Обычный 9 9 4 4 2 3 2" xfId="59584"/>
    <cellStyle name="Обычный 9 9 4 4 2 3 3" xfId="59585"/>
    <cellStyle name="Обычный 9 9 4 4 2 4" xfId="59586"/>
    <cellStyle name="Обычный 9 9 4 4 2 4 2" xfId="59587"/>
    <cellStyle name="Обычный 9 9 4 4 2 5" xfId="59588"/>
    <cellStyle name="Обычный 9 9 4 4 2 6" xfId="59589"/>
    <cellStyle name="Обычный 9 9 4 4 3" xfId="59590"/>
    <cellStyle name="Обычный 9 9 4 4 3 2" xfId="59591"/>
    <cellStyle name="Обычный 9 9 4 4 3 3" xfId="59592"/>
    <cellStyle name="Обычный 9 9 4 4 4" xfId="59593"/>
    <cellStyle name="Обычный 9 9 4 4 4 2" xfId="59594"/>
    <cellStyle name="Обычный 9 9 4 4 4 3" xfId="59595"/>
    <cellStyle name="Обычный 9 9 4 4 5" xfId="59596"/>
    <cellStyle name="Обычный 9 9 4 4 5 2" xfId="59597"/>
    <cellStyle name="Обычный 9 9 4 4 6" xfId="59598"/>
    <cellStyle name="Обычный 9 9 4 4 7" xfId="59599"/>
    <cellStyle name="Обычный 9 9 4 5" xfId="59600"/>
    <cellStyle name="Обычный 9 9 4 5 2" xfId="59601"/>
    <cellStyle name="Обычный 9 9 4 5 2 2" xfId="59602"/>
    <cellStyle name="Обычный 9 9 4 5 2 3" xfId="59603"/>
    <cellStyle name="Обычный 9 9 4 5 3" xfId="59604"/>
    <cellStyle name="Обычный 9 9 4 5 3 2" xfId="59605"/>
    <cellStyle name="Обычный 9 9 4 5 3 3" xfId="59606"/>
    <cellStyle name="Обычный 9 9 4 5 4" xfId="59607"/>
    <cellStyle name="Обычный 9 9 4 5 4 2" xfId="59608"/>
    <cellStyle name="Обычный 9 9 4 5 5" xfId="59609"/>
    <cellStyle name="Обычный 9 9 4 5 6" xfId="59610"/>
    <cellStyle name="Обычный 9 9 4 6" xfId="59611"/>
    <cellStyle name="Обычный 9 9 4 6 2" xfId="59612"/>
    <cellStyle name="Обычный 9 9 4 6 3" xfId="59613"/>
    <cellStyle name="Обычный 9 9 4 7" xfId="59614"/>
    <cellStyle name="Обычный 9 9 4 7 2" xfId="59615"/>
    <cellStyle name="Обычный 9 9 4 7 3" xfId="59616"/>
    <cellStyle name="Обычный 9 9 4 8" xfId="59617"/>
    <cellStyle name="Обычный 9 9 4 8 2" xfId="59618"/>
    <cellStyle name="Обычный 9 9 4 9" xfId="59619"/>
    <cellStyle name="Обычный 9 9 5" xfId="59620"/>
    <cellStyle name="Обычный 9 9 5 2" xfId="59621"/>
    <cellStyle name="Обычный 9 9 5 2 2" xfId="59622"/>
    <cellStyle name="Обычный 9 9 5 2 2 2" xfId="59623"/>
    <cellStyle name="Обычный 9 9 5 2 2 2 2" xfId="59624"/>
    <cellStyle name="Обычный 9 9 5 2 2 2 2 2" xfId="59625"/>
    <cellStyle name="Обычный 9 9 5 2 2 2 2 3" xfId="59626"/>
    <cellStyle name="Обычный 9 9 5 2 2 2 3" xfId="59627"/>
    <cellStyle name="Обычный 9 9 5 2 2 2 3 2" xfId="59628"/>
    <cellStyle name="Обычный 9 9 5 2 2 2 3 3" xfId="59629"/>
    <cellStyle name="Обычный 9 9 5 2 2 2 4" xfId="59630"/>
    <cellStyle name="Обычный 9 9 5 2 2 2 4 2" xfId="59631"/>
    <cellStyle name="Обычный 9 9 5 2 2 2 5" xfId="59632"/>
    <cellStyle name="Обычный 9 9 5 2 2 2 6" xfId="59633"/>
    <cellStyle name="Обычный 9 9 5 2 2 3" xfId="59634"/>
    <cellStyle name="Обычный 9 9 5 2 2 3 2" xfId="59635"/>
    <cellStyle name="Обычный 9 9 5 2 2 3 3" xfId="59636"/>
    <cellStyle name="Обычный 9 9 5 2 2 4" xfId="59637"/>
    <cellStyle name="Обычный 9 9 5 2 2 4 2" xfId="59638"/>
    <cellStyle name="Обычный 9 9 5 2 2 4 3" xfId="59639"/>
    <cellStyle name="Обычный 9 9 5 2 2 5" xfId="59640"/>
    <cellStyle name="Обычный 9 9 5 2 2 5 2" xfId="59641"/>
    <cellStyle name="Обычный 9 9 5 2 2 6" xfId="59642"/>
    <cellStyle name="Обычный 9 9 5 2 2 7" xfId="59643"/>
    <cellStyle name="Обычный 9 9 5 2 3" xfId="59644"/>
    <cellStyle name="Обычный 9 9 5 2 3 2" xfId="59645"/>
    <cellStyle name="Обычный 9 9 5 2 3 2 2" xfId="59646"/>
    <cellStyle name="Обычный 9 9 5 2 3 2 3" xfId="59647"/>
    <cellStyle name="Обычный 9 9 5 2 3 3" xfId="59648"/>
    <cellStyle name="Обычный 9 9 5 2 3 3 2" xfId="59649"/>
    <cellStyle name="Обычный 9 9 5 2 3 3 3" xfId="59650"/>
    <cellStyle name="Обычный 9 9 5 2 3 4" xfId="59651"/>
    <cellStyle name="Обычный 9 9 5 2 3 4 2" xfId="59652"/>
    <cellStyle name="Обычный 9 9 5 2 3 5" xfId="59653"/>
    <cellStyle name="Обычный 9 9 5 2 3 6" xfId="59654"/>
    <cellStyle name="Обычный 9 9 5 2 4" xfId="59655"/>
    <cellStyle name="Обычный 9 9 5 2 4 2" xfId="59656"/>
    <cellStyle name="Обычный 9 9 5 2 4 3" xfId="59657"/>
    <cellStyle name="Обычный 9 9 5 2 5" xfId="59658"/>
    <cellStyle name="Обычный 9 9 5 2 5 2" xfId="59659"/>
    <cellStyle name="Обычный 9 9 5 2 5 3" xfId="59660"/>
    <cellStyle name="Обычный 9 9 5 2 6" xfId="59661"/>
    <cellStyle name="Обычный 9 9 5 2 6 2" xfId="59662"/>
    <cellStyle name="Обычный 9 9 5 2 7" xfId="59663"/>
    <cellStyle name="Обычный 9 9 5 2 8" xfId="59664"/>
    <cellStyle name="Обычный 9 9 5 3" xfId="59665"/>
    <cellStyle name="Обычный 9 9 5 3 2" xfId="59666"/>
    <cellStyle name="Обычный 9 9 5 3 2 2" xfId="59667"/>
    <cellStyle name="Обычный 9 9 5 3 2 2 2" xfId="59668"/>
    <cellStyle name="Обычный 9 9 5 3 2 2 3" xfId="59669"/>
    <cellStyle name="Обычный 9 9 5 3 2 3" xfId="59670"/>
    <cellStyle name="Обычный 9 9 5 3 2 3 2" xfId="59671"/>
    <cellStyle name="Обычный 9 9 5 3 2 3 3" xfId="59672"/>
    <cellStyle name="Обычный 9 9 5 3 2 4" xfId="59673"/>
    <cellStyle name="Обычный 9 9 5 3 2 4 2" xfId="59674"/>
    <cellStyle name="Обычный 9 9 5 3 2 5" xfId="59675"/>
    <cellStyle name="Обычный 9 9 5 3 2 6" xfId="59676"/>
    <cellStyle name="Обычный 9 9 5 3 3" xfId="59677"/>
    <cellStyle name="Обычный 9 9 5 3 3 2" xfId="59678"/>
    <cellStyle name="Обычный 9 9 5 3 3 3" xfId="59679"/>
    <cellStyle name="Обычный 9 9 5 3 4" xfId="59680"/>
    <cellStyle name="Обычный 9 9 5 3 4 2" xfId="59681"/>
    <cellStyle name="Обычный 9 9 5 3 4 3" xfId="59682"/>
    <cellStyle name="Обычный 9 9 5 3 5" xfId="59683"/>
    <cellStyle name="Обычный 9 9 5 3 5 2" xfId="59684"/>
    <cellStyle name="Обычный 9 9 5 3 6" xfId="59685"/>
    <cellStyle name="Обычный 9 9 5 3 7" xfId="59686"/>
    <cellStyle name="Обычный 9 9 5 4" xfId="59687"/>
    <cellStyle name="Обычный 9 9 5 4 2" xfId="59688"/>
    <cellStyle name="Обычный 9 9 5 4 2 2" xfId="59689"/>
    <cellStyle name="Обычный 9 9 5 4 2 3" xfId="59690"/>
    <cellStyle name="Обычный 9 9 5 4 3" xfId="59691"/>
    <cellStyle name="Обычный 9 9 5 4 3 2" xfId="59692"/>
    <cellStyle name="Обычный 9 9 5 4 3 3" xfId="59693"/>
    <cellStyle name="Обычный 9 9 5 4 4" xfId="59694"/>
    <cellStyle name="Обычный 9 9 5 4 4 2" xfId="59695"/>
    <cellStyle name="Обычный 9 9 5 4 5" xfId="59696"/>
    <cellStyle name="Обычный 9 9 5 4 6" xfId="59697"/>
    <cellStyle name="Обычный 9 9 5 5" xfId="59698"/>
    <cellStyle name="Обычный 9 9 5 5 2" xfId="59699"/>
    <cellStyle name="Обычный 9 9 5 5 3" xfId="59700"/>
    <cellStyle name="Обычный 9 9 5 6" xfId="59701"/>
    <cellStyle name="Обычный 9 9 5 6 2" xfId="59702"/>
    <cellStyle name="Обычный 9 9 5 6 3" xfId="59703"/>
    <cellStyle name="Обычный 9 9 5 7" xfId="59704"/>
    <cellStyle name="Обычный 9 9 5 7 2" xfId="59705"/>
    <cellStyle name="Обычный 9 9 5 8" xfId="59706"/>
    <cellStyle name="Обычный 9 9 5 9" xfId="59707"/>
    <cellStyle name="Обычный 9 9 6" xfId="59708"/>
    <cellStyle name="Обычный 9 9 6 2" xfId="59709"/>
    <cellStyle name="Обычный 9 9 6 2 2" xfId="59710"/>
    <cellStyle name="Обычный 9 9 6 2 2 2" xfId="59711"/>
    <cellStyle name="Обычный 9 9 6 2 2 2 2" xfId="59712"/>
    <cellStyle name="Обычный 9 9 6 2 2 2 3" xfId="59713"/>
    <cellStyle name="Обычный 9 9 6 2 2 3" xfId="59714"/>
    <cellStyle name="Обычный 9 9 6 2 2 3 2" xfId="59715"/>
    <cellStyle name="Обычный 9 9 6 2 2 3 3" xfId="59716"/>
    <cellStyle name="Обычный 9 9 6 2 2 4" xfId="59717"/>
    <cellStyle name="Обычный 9 9 6 2 2 4 2" xfId="59718"/>
    <cellStyle name="Обычный 9 9 6 2 2 5" xfId="59719"/>
    <cellStyle name="Обычный 9 9 6 2 2 6" xfId="59720"/>
    <cellStyle name="Обычный 9 9 6 2 3" xfId="59721"/>
    <cellStyle name="Обычный 9 9 6 2 3 2" xfId="59722"/>
    <cellStyle name="Обычный 9 9 6 2 3 3" xfId="59723"/>
    <cellStyle name="Обычный 9 9 6 2 4" xfId="59724"/>
    <cellStyle name="Обычный 9 9 6 2 4 2" xfId="59725"/>
    <cellStyle name="Обычный 9 9 6 2 4 3" xfId="59726"/>
    <cellStyle name="Обычный 9 9 6 2 5" xfId="59727"/>
    <cellStyle name="Обычный 9 9 6 2 5 2" xfId="59728"/>
    <cellStyle name="Обычный 9 9 6 2 6" xfId="59729"/>
    <cellStyle name="Обычный 9 9 6 2 7" xfId="59730"/>
    <cellStyle name="Обычный 9 9 6 3" xfId="59731"/>
    <cellStyle name="Обычный 9 9 6 3 2" xfId="59732"/>
    <cellStyle name="Обычный 9 9 6 3 2 2" xfId="59733"/>
    <cellStyle name="Обычный 9 9 6 3 2 3" xfId="59734"/>
    <cellStyle name="Обычный 9 9 6 3 3" xfId="59735"/>
    <cellStyle name="Обычный 9 9 6 3 3 2" xfId="59736"/>
    <cellStyle name="Обычный 9 9 6 3 3 3" xfId="59737"/>
    <cellStyle name="Обычный 9 9 6 3 4" xfId="59738"/>
    <cellStyle name="Обычный 9 9 6 3 4 2" xfId="59739"/>
    <cellStyle name="Обычный 9 9 6 3 5" xfId="59740"/>
    <cellStyle name="Обычный 9 9 6 3 6" xfId="59741"/>
    <cellStyle name="Обычный 9 9 6 4" xfId="59742"/>
    <cellStyle name="Обычный 9 9 6 4 2" xfId="59743"/>
    <cellStyle name="Обычный 9 9 6 4 3" xfId="59744"/>
    <cellStyle name="Обычный 9 9 6 5" xfId="59745"/>
    <cellStyle name="Обычный 9 9 6 5 2" xfId="59746"/>
    <cellStyle name="Обычный 9 9 6 5 3" xfId="59747"/>
    <cellStyle name="Обычный 9 9 6 6" xfId="59748"/>
    <cellStyle name="Обычный 9 9 6 6 2" xfId="59749"/>
    <cellStyle name="Обычный 9 9 6 7" xfId="59750"/>
    <cellStyle name="Обычный 9 9 6 8" xfId="59751"/>
    <cellStyle name="Обычный 9 9 7" xfId="59752"/>
    <cellStyle name="Обычный 9 9 7 2" xfId="59753"/>
    <cellStyle name="Обычный 9 9 7 2 2" xfId="59754"/>
    <cellStyle name="Обычный 9 9 7 2 2 2" xfId="59755"/>
    <cellStyle name="Обычный 9 9 7 2 2 3" xfId="59756"/>
    <cellStyle name="Обычный 9 9 7 2 3" xfId="59757"/>
    <cellStyle name="Обычный 9 9 7 2 3 2" xfId="59758"/>
    <cellStyle name="Обычный 9 9 7 2 3 3" xfId="59759"/>
    <cellStyle name="Обычный 9 9 7 2 4" xfId="59760"/>
    <cellStyle name="Обычный 9 9 7 2 4 2" xfId="59761"/>
    <cellStyle name="Обычный 9 9 7 2 5" xfId="59762"/>
    <cellStyle name="Обычный 9 9 7 2 6" xfId="59763"/>
    <cellStyle name="Обычный 9 9 7 3" xfId="59764"/>
    <cellStyle name="Обычный 9 9 7 3 2" xfId="59765"/>
    <cellStyle name="Обычный 9 9 7 3 3" xfId="59766"/>
    <cellStyle name="Обычный 9 9 7 4" xfId="59767"/>
    <cellStyle name="Обычный 9 9 7 4 2" xfId="59768"/>
    <cellStyle name="Обычный 9 9 7 4 3" xfId="59769"/>
    <cellStyle name="Обычный 9 9 7 5" xfId="59770"/>
    <cellStyle name="Обычный 9 9 7 5 2" xfId="59771"/>
    <cellStyle name="Обычный 9 9 7 6" xfId="59772"/>
    <cellStyle name="Обычный 9 9 7 7" xfId="59773"/>
    <cellStyle name="Обычный 9 9 8" xfId="59774"/>
    <cellStyle name="Обычный 9 9 8 2" xfId="59775"/>
    <cellStyle name="Обычный 9 9 8 2 2" xfId="59776"/>
    <cellStyle name="Обычный 9 9 8 2 3" xfId="59777"/>
    <cellStyle name="Обычный 9 9 8 3" xfId="59778"/>
    <cellStyle name="Обычный 9 9 8 3 2" xfId="59779"/>
    <cellStyle name="Обычный 9 9 8 3 3" xfId="59780"/>
    <cellStyle name="Обычный 9 9 8 4" xfId="59781"/>
    <cellStyle name="Обычный 9 9 8 4 2" xfId="59782"/>
    <cellStyle name="Обычный 9 9 8 5" xfId="59783"/>
    <cellStyle name="Обычный 9 9 8 6" xfId="59784"/>
    <cellStyle name="Обычный 9 9 9" xfId="59785"/>
    <cellStyle name="Обычный 9 9 9 2" xfId="59786"/>
    <cellStyle name="Обычный 9 9 9 3" xfId="59787"/>
    <cellStyle name="Плохой 2" xfId="59788"/>
    <cellStyle name="Плохой 3" xfId="59789"/>
    <cellStyle name="Пояснение 2" xfId="59790"/>
    <cellStyle name="Пояснение 3" xfId="59791"/>
    <cellStyle name="Примечание 2" xfId="59792"/>
    <cellStyle name="Примечание 2 2" xfId="59793"/>
    <cellStyle name="Примечание 2 3" xfId="59794"/>
    <cellStyle name="Примечание 3" xfId="59795"/>
    <cellStyle name="Процентный 2" xfId="59796"/>
    <cellStyle name="Связанная ячейка 2" xfId="59797"/>
    <cellStyle name="Связанная ячейка 3" xfId="59798"/>
    <cellStyle name="Стиль 1" xfId="59799"/>
    <cellStyle name="Текст предупреждения 2" xfId="59800"/>
    <cellStyle name="Текст предупреждения 3" xfId="59801"/>
    <cellStyle name="Тысячи [0]_17PRIL-3" xfId="59802"/>
    <cellStyle name="Тысячи_17PRIL-3" xfId="59803"/>
    <cellStyle name="Финансовый 2" xfId="59804"/>
    <cellStyle name="Финансовый 3" xfId="59805"/>
    <cellStyle name="Хороший 2" xfId="59806"/>
    <cellStyle name="Хороший 3" xfId="59807"/>
  </cellStyles>
  <dxfs count="29">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medium">
          <color auto="1"/>
        </left>
        <right style="thin">
          <color auto="1"/>
        </right>
        <top style="medium">
          <color auto="1"/>
        </top>
        <bottom style="none"/>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thin">
          <color auto="1"/>
        </top>
        <bottom style="thin">
          <color auto="1"/>
        </bottom>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thin">
          <color auto="1"/>
        </top>
        <bottom style="thin">
          <color auto="1"/>
        </bottom>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style="none"/>
      </border>
    </dxf>
    <dxf>
      <font>
        <b val="0"/>
        <i val="0"/>
        <strike val="0"/>
        <u val="none"/>
        <vertAlign val="baseline"/>
        <sz val="10.000000"/>
        <name val="Calibri"/>
        <scheme val="minor"/>
      </font>
      <numFmt numFmtId="0" formatCode="General"/>
      <fill>
        <patternFill patternType="solid">
          <fgColor indexed="65"/>
          <bgColor indexed="65"/>
        </patternFill>
      </fill>
      <alignment horizontal="left" indent="0" relativeIndent="0" shrinkToFit="0" textRotation="0" vertical="top" wrapText="0"/>
      <border>
        <left style="thin">
          <color auto="1"/>
        </left>
        <right style="thin">
          <color auto="1"/>
        </right>
        <top style="medium">
          <color auto="1"/>
        </top>
        <bottom style="none"/>
        <diagonal style="none"/>
      </border>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strike val="0"/>
        <u val="none"/>
        <vertAlign val="baseline"/>
        <sz val="10.000000"/>
      </font>
      <alignment horizontal="left" indent="0" relativeIndent="0" shrinkToFit="0" textRotation="0" vertical="top" wrapText="0"/>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medium">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thin">
          <color auto="1"/>
        </top>
        <bottom style="thin">
          <color auto="1"/>
        </bottom>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thin">
          <color auto="1"/>
        </top>
        <bottom style="thin">
          <color auto="1"/>
        </bottom>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thin">
          <color auto="1"/>
        </right>
        <top style="medium">
          <color auto="1"/>
        </top>
        <bottom style="none"/>
        <diagonal style="none"/>
      </border>
    </dxf>
    <dxf>
      <font>
        <b val="0"/>
        <i val="0"/>
        <strike val="0"/>
        <u val="none"/>
        <vertAlign val="baseline"/>
        <sz val="10.000000"/>
        <name val="Calibri"/>
        <scheme val="minor"/>
      </font>
      <fill>
        <patternFill patternType="solid">
          <fgColor indexed="65"/>
          <bgColor indexed="65"/>
        </patternFill>
      </fill>
      <alignment horizontal="left" indent="0" relativeIndent="0" shrinkToFit="0" textRotation="0" vertical="top" wrapText="1"/>
      <border>
        <left style="thin">
          <color auto="1"/>
        </left>
        <right style="medium">
          <color auto="1"/>
        </right>
        <top style="medium">
          <color auto="1"/>
        </top>
        <bottom style="none"/>
        <diagonal style="none"/>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style="none"/>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style="none"/>
      </border>
    </dxf>
    <dxf>
      <font>
        <b val="0"/>
        <i val="0"/>
        <strike val="0"/>
        <u val="none"/>
        <vertAlign val="baseline"/>
        <sz val="8.000000"/>
        <name val="Calibri"/>
        <scheme val="minor"/>
      </font>
      <alignment indent="0" relativeIndent="0" shrinkToFit="0" textRotation="0" vertical="bottom" wrapText="1"/>
      <border>
        <left style="thin">
          <color auto="1"/>
        </left>
        <right style="thin">
          <color auto="1"/>
        </right>
        <top style="thin">
          <color auto="1"/>
        </top>
        <bottom style="thin">
          <color auto="1"/>
        </bottom>
        <diagonal style="none"/>
      </border>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dxf>
    <dxf>
      <font>
        <b val="0"/>
        <i val="0"/>
        <strike val="0"/>
        <u val="none"/>
        <vertAlign val="baseline"/>
        <sz val="10.000000"/>
        <name val="Calibri"/>
        <scheme val="minor"/>
      </font>
      <alignment indent="0" relativeIndent="0" shrinkToFit="0" textRotation="0" vertical="bottom" wrapText="0"/>
      <border>
        <left style="thin">
          <color auto="1"/>
        </left>
        <right style="thin">
          <color auto="1"/>
        </right>
        <top style="thin">
          <color auto="1"/>
        </top>
        <bottom style="thin">
          <color auto="1"/>
        </bottom>
        <diagonal style="none"/>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3" Type="http://schemas.openxmlformats.org/officeDocument/2006/relationships/theme" Target="theme/theme1.xml"/><Relationship  Id="rId11" Type="http://schemas.openxmlformats.org/officeDocument/2006/relationships/worksheet" Target="worksheets/sheet8.xml"/><Relationship  Id="rId10" Type="http://schemas.openxmlformats.org/officeDocument/2006/relationships/worksheet" Target="worksheets/sheet7.xml"/><Relationship  Id="rId15" Type="http://schemas.openxmlformats.org/officeDocument/2006/relationships/styles" Target="styles.xml"/><Relationship  Id="rId9" Type="http://schemas.openxmlformats.org/officeDocument/2006/relationships/worksheet" Target="worksheets/sheet6.xml"/><Relationship  Id="rId8" Type="http://schemas.openxmlformats.org/officeDocument/2006/relationships/worksheet" Target="worksheets/sheet5.xml"/><Relationship  Id="rId7" Type="http://schemas.openxmlformats.org/officeDocument/2006/relationships/worksheet" Target="worksheets/sheet4.xml"/><Relationship  Id="rId14" Type="http://schemas.openxmlformats.org/officeDocument/2006/relationships/sharedStrings" Target="sharedStrings.xml"/><Relationship  Id="rId6" Type="http://schemas.openxmlformats.org/officeDocument/2006/relationships/worksheet" Target="worksheets/sheet3.xml"/><Relationship  Id="rId5" Type="http://schemas.openxmlformats.org/officeDocument/2006/relationships/worksheet" Target="worksheets/sheet2.xml"/><Relationship  Id="rId4" Type="http://schemas.openxmlformats.org/officeDocument/2006/relationships/worksheet" Target="worksheets/sheet1.xml"/><Relationship  Id="rId12" Type="http://schemas.openxmlformats.org/officeDocument/2006/relationships/worksheet" Target="worksheets/sheet9.xml"/><Relationship  Id="rId3" Type="http://schemas.openxmlformats.org/officeDocument/2006/relationships/customXml" Target="../customXml/item1.xml"/><Relationship  Id="rId2" Type="http://schemas.openxmlformats.org/officeDocument/2006/relationships/externalLink" Target="externalLinks/externalLink2.xml"/><Relationship  Id="rId1" Type="http://schemas.openxmlformats.org/officeDocument/2006/relationships/externalLink" Target="externalLinks/externalLink1.xml"/></Relationships>
</file>

<file path=xl/drawings/_rels/drawing1.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2.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3.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4.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5.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6.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7.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8.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_rels/drawing9.xml.rels><?xml version="1.0" encoding="UTF-8" standalone="yes"?><Relationships xmlns="http://schemas.openxmlformats.org/package/2006/relationships"><Relationship Id="rId1" Type="http://schemas.openxmlformats.org/officeDocument/2006/relationships/image" Target="http://34A6A828668DF1797B29974D94233332.dms.sberbank.ru/34A6A828668DF1797B29974D94233332-FE7D073B0DBDD02EA001718B97A623F4-EDF88E30EA673FC7DD726407BADEECC4/1.png"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14" name="Рисунок 13" descr="http://34A6A828668DF1797B29974D94233332.dms.sberbank.ru/34A6A828668DF1797B29974D94233332-FE7D073B0DBDD02EA001718B97A623F4-EDF88E30EA673FC7DD726407BADEECC4/1.png"/>
        <xdr:cNvPicPr/>
      </xdr:nvPicPr>
      <xdr:blipFill>
        <a:blip r:link="rId1"/>
        <a:stretch/>
      </xdr:blipFill>
      <xdr:spPr bwMode="auto">
        <a:xfrm>
          <a:off x="0" y="0"/>
          <a:ext cx="1587" cy="1587"/>
        </a:xfrm>
        <a:prstGeom prst="rect">
          <a:avLst/>
        </a:prstGeom>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Users/17243159/Desktop/S2T_029_000001_v1.33.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Users/Bogoslovskiy-NY/Documents/&#1059;&#1042;&#1044;&#1054;-3/S2T_029_000001_20190525_v0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itle"/>
      <sheetName val="S2T"/>
      <sheetName val="Source columns"/>
      <sheetName val="Target tables"/>
      <sheetName val="Target columns"/>
      <sheetName val="Additional objects"/>
      <sheetName val="Dict"/>
      <sheetName val="Алгоритмы УВДО"/>
      <sheetName val="Глоссарий"/>
    </sheetNames>
    <sheetDataSet>
      <sheetData sheetId="0"/>
      <sheetData sheetId="1"/>
      <sheetData sheetId="2"/>
      <sheetData sheetId="3"/>
      <sheetData sheetId="4">
        <row r="1">
          <cell r="D1">
            <v>4</v>
          </cell>
          <cell r="H1">
            <v>8</v>
          </cell>
        </row>
      </sheetData>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itle"/>
      <sheetName val="S2T"/>
      <sheetName val="Source columns"/>
      <sheetName val="Target tables"/>
      <sheetName val="Target columns"/>
      <sheetName val="Additional objects"/>
      <sheetName val="Глоссарий"/>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source_columns" ref="A2:G111">
  <autoFilter ref="A2:G111"/>
  <tableColumns count="7">
    <tableColumn id="1" name="Seek" dataDxfId="0"/>
    <tableColumn id="2" name="Название таблицы STAGE" dataDxfId="1"/>
    <tableColumn id="3" name="Название поля" dataDxfId="2"/>
    <tableColumn id="4" name="Тип поля" dataDxfId="3"/>
    <tableColumn id="5" name="Первичный ключ" dataDxfId="4"/>
    <tableColumn id="6" name="NULL?" dataDxfId="5"/>
    <tableColumn id="7" name="Описание поля" dataDxfId="6"/>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rget_tables" ref="A2:E25">
  <autoFilter ref="A2:E25"/>
  <tableColumns count="5">
    <tableColumn id="1" name="Table Name" dataDxfId="7"/>
    <tableColumn id="2" name="Table Entity Definition" dataDxfId="8"/>
    <tableColumn id="3" name="Table Entity Note" dataDxfId="9"/>
    <tableColumn id="4" name="Table Is In Subject Area Name" dataDxfId="10"/>
    <tableColumn id="5" name="Суффикс N-таблицы" dataDxfId="11"/>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rget_columns" ref="A2:J249">
  <autoFilter ref="A2:J249"/>
  <tableColumns count="10">
    <tableColumn id="1" name="Seek" dataDxfId="12"/>
    <tableColumn id="2" name="Column Table Name" dataDxfId="13"/>
    <tableColumn id="3" name="ColumnName" dataDxfId="14"/>
    <tableColumn id="4" name="Column Datatype" dataDxfId="15"/>
    <tableColumn id="5" name="Column Null Option" dataDxfId="16"/>
    <tableColumn id="6" name="Column Physical Only" dataDxfId="17"/>
    <tableColumn id="7" name="Column Is PK" dataDxfId="18"/>
    <tableColumn id="8" name="Column Is FK" dataDxfId="19"/>
    <tableColumn id="9" name="Column Attribute Definition" dataDxfId="20"/>
    <tableColumn id="10" name="Column Attribute Note" dataDxfId="21"/>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Таблица119" ref="A2:G49">
  <autoFilter ref="A2:G49"/>
  <tableColumns count="7">
    <tableColumn id="1" name="Название объекта" dataDxfId="22"/>
    <tableColumn id="2" name="Тип объекта" dataDxfId="23"/>
    <tableColumn id="3" name="SQL" dataDxfId="24"/>
    <tableColumn id="4" name="СОД" dataDxfId="25"/>
    <tableColumn id="5" name="Словесное описание" dataDxfId="26"/>
    <tableColumn id="6" name="Комментарий" dataDxfId="27"/>
    <tableColumn id="7" name="Дата " dataDxfId="28"/>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Роль_в_истории" ref="C1:C7">
  <autoFilter ref="C1:C7"/>
  <tableColumns count="1">
    <tableColumn id="1" name="Роль в истории"/>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СОД" ref="A1:A6">
  <autoFilter ref="A1:A6"/>
  <tableColumns count="1">
    <tableColumn id="1" name="СОД"/>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Буль" ref="E1:E3">
  <autoFilter ref="E1:E3"/>
  <tableColumns count="1">
    <tableColumn id="1" name="Буль"/>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Valid_from_workaround" ref="G1:G4">
  <autoFilter ref="G1:G4"/>
  <tableColumns count="1">
    <tableColumn id="1" name="Valid from workaround"/>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S2T_Type" ref="K1:K3">
  <autoFilter ref="K1:K3"/>
  <tableColumns count="1">
    <tableColumn id="1" name="Тип S2T"/>
  </tableColumns>
  <tableStyleInfo name="TableStyleMedium2"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8.xml"/></Relationships>
</file>

<file path=xl/worksheets/_rels/sheet9.xml.rels><?xml version="1.0" encoding="UTF-8" standalone="yes"?><Relationships xmlns="http://schemas.openxmlformats.org/package/2006/relationships"><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90" workbookViewId="0">
      <selection activeCell="E2" activeCellId="0" sqref="E2"/>
    </sheetView>
  </sheetViews>
  <sheetFormatPr defaultColWidth="8.7109375" defaultRowHeight="14.25"/>
  <cols>
    <col bestFit="1" customWidth="1" min="1" max="1" style="1" width="7.5703125"/>
    <col customWidth="1" min="2" max="2" style="1" width="9.7109375"/>
    <col bestFit="1" customWidth="1" min="3" max="3" style="1" width="27.28515625"/>
    <col customWidth="1" min="4" max="4" style="1" width="62"/>
    <col customWidth="1" min="5" max="5" style="1" width="21.28515625"/>
    <col customWidth="1" min="6" max="6" style="1" width="39.42578125"/>
    <col min="7" max="16384" style="1" width="8.7109375"/>
  </cols>
  <sheetData>
    <row r="1" ht="25.5">
      <c r="A1" s="2" t="s">
        <v>0</v>
      </c>
      <c r="B1" s="2" t="s">
        <v>1</v>
      </c>
      <c r="C1" s="2" t="s">
        <v>2</v>
      </c>
      <c r="D1" s="2" t="s">
        <v>3</v>
      </c>
      <c r="E1" s="2" t="s">
        <v>4</v>
      </c>
      <c r="F1" s="2" t="s">
        <v>5</v>
      </c>
    </row>
    <row r="2" s="3" customFormat="1" ht="12">
      <c r="A2" s="4">
        <v>1</v>
      </c>
      <c r="B2" s="5">
        <v>45628</v>
      </c>
      <c r="C2" s="5"/>
      <c r="D2" s="4" t="s">
        <v>6</v>
      </c>
      <c r="E2" s="4" t="s">
        <v>7</v>
      </c>
      <c r="F2" s="4"/>
    </row>
    <row r="3" s="3" customFormat="1" ht="12">
      <c r="A3" s="4"/>
      <c r="B3" s="5"/>
      <c r="C3" s="5"/>
      <c r="D3" s="4"/>
      <c r="E3" s="4"/>
      <c r="F3" s="4"/>
    </row>
    <row r="4" s="3" customFormat="1" ht="12">
      <c r="A4" s="4"/>
      <c r="B4" s="5"/>
      <c r="C4" s="5"/>
      <c r="D4" s="4"/>
      <c r="E4" s="4"/>
      <c r="F4" s="4"/>
    </row>
    <row r="5" s="3" customFormat="1" ht="12">
      <c r="A5" s="4"/>
      <c r="B5" s="5"/>
      <c r="C5" s="5"/>
      <c r="D5" s="4"/>
      <c r="E5" s="4"/>
      <c r="F5" s="4"/>
    </row>
    <row r="6" s="3" customFormat="1" ht="12">
      <c r="A6" s="4"/>
      <c r="B6" s="5"/>
      <c r="C6" s="5"/>
      <c r="D6" s="4"/>
      <c r="E6" s="4"/>
      <c r="F6" s="4"/>
    </row>
    <row r="7" s="3" customFormat="1" ht="12">
      <c r="A7" s="4"/>
      <c r="B7" s="5"/>
      <c r="C7" s="5"/>
      <c r="D7" s="4"/>
      <c r="E7" s="4"/>
      <c r="F7" s="4"/>
    </row>
    <row r="8" s="3" customFormat="1" ht="12">
      <c r="A8" s="4"/>
      <c r="B8" s="5"/>
      <c r="C8" s="5"/>
      <c r="D8" s="4"/>
      <c r="E8" s="4"/>
      <c r="F8" s="4"/>
    </row>
    <row r="9" s="3" customFormat="1" ht="12">
      <c r="A9" s="4"/>
      <c r="B9" s="5"/>
      <c r="C9" s="5"/>
      <c r="D9" s="4"/>
      <c r="E9" s="4"/>
      <c r="F9" s="4"/>
    </row>
    <row r="10" s="3" customFormat="1" ht="12">
      <c r="A10" s="4"/>
      <c r="B10" s="5"/>
      <c r="C10" s="5"/>
      <c r="D10" s="4"/>
      <c r="E10" s="4"/>
      <c r="F10" s="4"/>
    </row>
    <row r="11" s="3" customFormat="1" ht="12">
      <c r="A11" s="4"/>
      <c r="B11" s="5"/>
      <c r="C11" s="5"/>
      <c r="D11" s="4"/>
      <c r="E11" s="4"/>
      <c r="F11" s="4"/>
    </row>
    <row r="12" s="3" customFormat="1" ht="12">
      <c r="A12" s="4"/>
      <c r="B12" s="5"/>
      <c r="C12" s="5"/>
      <c r="D12" s="4"/>
      <c r="E12" s="4"/>
      <c r="F12" s="4"/>
    </row>
    <row r="13" s="3" customFormat="1" ht="12">
      <c r="A13" s="4"/>
      <c r="B13" s="5"/>
      <c r="C13" s="5"/>
      <c r="D13" s="4"/>
      <c r="E13" s="4"/>
      <c r="F13" s="4"/>
    </row>
    <row r="14" s="3" customFormat="1" ht="12">
      <c r="A14" s="4"/>
      <c r="B14" s="5"/>
      <c r="C14" s="5"/>
      <c r="D14" s="4"/>
      <c r="E14" s="4"/>
      <c r="F14" s="4"/>
    </row>
    <row r="15" s="3" customFormat="1" ht="12">
      <c r="A15" s="4"/>
      <c r="B15" s="5"/>
      <c r="C15" s="5"/>
      <c r="D15" s="4"/>
      <c r="E15" s="4"/>
      <c r="F15" s="4"/>
    </row>
    <row r="16" s="3" customFormat="1" ht="12">
      <c r="A16" s="4"/>
      <c r="B16" s="5"/>
      <c r="C16" s="5"/>
      <c r="D16" s="4"/>
      <c r="E16" s="4"/>
      <c r="F16" s="4"/>
    </row>
    <row r="17" s="3" customFormat="1" ht="12">
      <c r="A17" s="4"/>
      <c r="B17" s="5"/>
      <c r="C17" s="5"/>
      <c r="D17" s="4"/>
      <c r="E17" s="4"/>
      <c r="F17" s="4"/>
    </row>
    <row r="18" s="3" customFormat="1" ht="12">
      <c r="A18" s="4"/>
      <c r="B18" s="5"/>
      <c r="C18" s="5"/>
      <c r="D18" s="4"/>
      <c r="E18" s="4"/>
      <c r="F18" s="4"/>
    </row>
    <row r="19" s="3" customFormat="1" ht="12">
      <c r="A19" s="4"/>
      <c r="B19" s="5"/>
      <c r="C19" s="5"/>
      <c r="D19" s="4"/>
      <c r="E19" s="4"/>
      <c r="F19" s="4"/>
    </row>
    <row r="20" s="3" customFormat="1" ht="12">
      <c r="A20" s="4"/>
      <c r="B20" s="5"/>
      <c r="C20" s="5"/>
      <c r="D20" s="4"/>
      <c r="E20" s="4"/>
      <c r="F20" s="4"/>
    </row>
    <row r="21" s="3" customFormat="1" ht="12">
      <c r="A21" s="4"/>
      <c r="B21" s="5"/>
      <c r="C21" s="5"/>
      <c r="D21" s="4"/>
      <c r="E21" s="4"/>
      <c r="F21" s="4"/>
    </row>
    <row r="22" s="3" customFormat="1" ht="12">
      <c r="A22" s="4"/>
      <c r="B22" s="5"/>
      <c r="C22" s="5"/>
      <c r="D22" s="4"/>
      <c r="E22" s="4"/>
      <c r="F22" s="4"/>
    </row>
    <row r="23" s="3" customFormat="1" ht="12">
      <c r="A23" s="4"/>
      <c r="B23" s="5"/>
      <c r="C23" s="5"/>
      <c r="D23" s="4"/>
      <c r="E23" s="4"/>
      <c r="F23" s="4"/>
    </row>
    <row r="24" s="6" customFormat="1" ht="12">
      <c r="A24" s="7"/>
      <c r="B24" s="8"/>
      <c r="C24" s="8"/>
      <c r="D24" s="9"/>
      <c r="E24" s="7"/>
      <c r="F24" s="9"/>
    </row>
    <row r="25" s="6" customFormat="1" ht="12">
      <c r="A25" s="7"/>
      <c r="B25" s="8"/>
      <c r="C25" s="9"/>
      <c r="D25" s="9"/>
      <c r="E25" s="7"/>
      <c r="F25" s="9"/>
    </row>
    <row r="26" s="3" customFormat="1" ht="12"/>
    <row r="27" s="3" customFormat="1" ht="12"/>
    <row r="28" s="3" customFormat="1" ht="12"/>
    <row r="29" s="3" customFormat="1" ht="12"/>
    <row r="30" s="3" customFormat="1" ht="12"/>
    <row r="31" s="3" customFormat="1" ht="12"/>
    <row r="32" s="3" customFormat="1" ht="12"/>
    <row r="33" s="3" customFormat="1" ht="12"/>
    <row r="34" s="3" customFormat="1" ht="12"/>
    <row r="35" s="3" customFormat="1" ht="12"/>
    <row r="36" s="3" customFormat="1" ht="12"/>
    <row r="37" s="3" customFormat="1" ht="12"/>
    <row r="38" s="3" customFormat="1" ht="12"/>
    <row r="39" s="3" customFormat="1" ht="12"/>
    <row r="40" s="3" customFormat="1" ht="12"/>
    <row r="41" s="3" customFormat="1" ht="12"/>
    <row r="42" s="3" customFormat="1" ht="12"/>
    <row r="43" s="3" customFormat="1" ht="12"/>
    <row r="44" s="3" customFormat="1" ht="12"/>
    <row r="45" s="3" customFormat="1" ht="12"/>
    <row r="46" s="3" customFormat="1" ht="12"/>
    <row r="47" s="3" customFormat="1" ht="12"/>
    <row r="48" s="3" customFormat="1" ht="12"/>
    <row r="49" s="3" customFormat="1" ht="12"/>
    <row r="50" s="3" customFormat="1" ht="12"/>
    <row r="51" s="3" customFormat="1" ht="12"/>
    <row r="52" s="3" customFormat="1" ht="12"/>
    <row r="53" s="3" customFormat="1" ht="12"/>
    <row r="54" s="3" customFormat="1" ht="12"/>
    <row r="55" s="3" customFormat="1" ht="12"/>
    <row r="56" s="3" customFormat="1" ht="12"/>
    <row r="57" s="3" customFormat="1" ht="12"/>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1">
    <outlinePr applyStyles="0" summaryBelow="1" summaryRight="1" showOutlineSymbols="1"/>
    <pageSetUpPr autoPageBreaks="1" fitToPage="0"/>
  </sheetPr>
  <sheetViews>
    <sheetView showRuler="1" zoomScale="115" workbookViewId="0">
      <pane xSplit="4" ySplit="2" topLeftCell="E3" activePane="bottomRight" state="frozen"/>
      <selection activeCell="K14" activeCellId="0" sqref="K14"/>
    </sheetView>
  </sheetViews>
  <sheetFormatPr defaultColWidth="20.7109375" defaultRowHeight="15" customHeight="1" outlineLevelCol="1"/>
  <cols>
    <col customWidth="1" min="1" max="1" style="11" width="7.7109375"/>
    <col customWidth="1" hidden="1" min="2" max="3" outlineLevel="1" style="10" width="6"/>
    <col collapsed="1" customWidth="1" min="4" max="4" style="12" width="18.7109375"/>
    <col customWidth="1" min="5" max="5" outlineLevel="1" style="10" width="8.5703125"/>
    <col customWidth="1" min="6" max="6" outlineLevel="1" style="10" width="10.28515625"/>
    <col customWidth="1" min="7" max="7" outlineLevel="1" style="10" width="8.28515625"/>
    <col customWidth="1" min="8" max="8" outlineLevel="1" style="10" width="13"/>
    <col customWidth="1" min="9" max="9" outlineLevel="1" style="10" width="26.28515625"/>
    <col customWidth="1" min="10" max="10" style="10" width="25.28515625"/>
    <col customWidth="1" min="11" max="11" style="10" width="28.42578125"/>
    <col customWidth="1" min="12" max="12" outlineLevel="1" style="10" width="12.5703125"/>
    <col customWidth="1" min="13" max="13" outlineLevel="1" style="13" width="12.5703125"/>
    <col customWidth="1" min="14" max="14" style="13" width="27.28515625"/>
    <col customWidth="1" min="15" max="15" style="10" width="26.28515625"/>
    <col customWidth="1" min="16" max="16" style="10" width="45.42578125"/>
    <col customWidth="1" min="17" max="17" style="10" width="38.42578125"/>
    <col customWidth="1" min="18" max="18" style="10" width="15.28515625"/>
    <col customWidth="1" min="19" max="19" style="13" width="19.7109375"/>
    <col customWidth="1" min="20" max="20" style="11" width="36.7109375"/>
    <col customWidth="1" min="21" max="21" style="14" width="12.5703125"/>
    <col customWidth="1" min="22" max="22" style="10" width="36.7109375"/>
    <col min="23" max="16384" style="10" width="20.7109375"/>
  </cols>
  <sheetData>
    <row r="1" ht="15" customHeight="1"/>
    <row r="2" s="15" customFormat="1" ht="39.75" customHeight="1">
      <c r="A2" s="16" t="s">
        <v>8</v>
      </c>
      <c r="B2" s="16" t="s">
        <v>9</v>
      </c>
      <c r="C2" s="17" t="s">
        <v>10</v>
      </c>
      <c r="D2" s="18" t="s">
        <v>11</v>
      </c>
      <c r="E2" s="16" t="s">
        <v>12</v>
      </c>
      <c r="F2" s="16" t="s">
        <v>13</v>
      </c>
      <c r="G2" s="16" t="s">
        <v>14</v>
      </c>
      <c r="H2" s="16" t="s">
        <v>15</v>
      </c>
      <c r="I2" s="17" t="s">
        <v>16</v>
      </c>
      <c r="J2" s="19" t="s">
        <v>17</v>
      </c>
      <c r="K2" s="20" t="s">
        <v>18</v>
      </c>
      <c r="L2" s="20" t="s">
        <v>19</v>
      </c>
      <c r="M2" s="20" t="s">
        <v>20</v>
      </c>
      <c r="N2" s="21" t="s">
        <v>21</v>
      </c>
      <c r="O2" s="21" t="s">
        <v>22</v>
      </c>
      <c r="P2" s="20" t="s">
        <v>23</v>
      </c>
      <c r="Q2" s="20" t="s">
        <v>24</v>
      </c>
      <c r="R2" s="22" t="s">
        <v>25</v>
      </c>
      <c r="S2" s="22" t="s">
        <v>26</v>
      </c>
      <c r="T2" s="23" t="s">
        <v>27</v>
      </c>
      <c r="U2" s="24" t="s">
        <v>1</v>
      </c>
      <c r="V2" s="23" t="s">
        <v>28</v>
      </c>
    </row>
    <row r="3" ht="15" customHeight="1">
      <c r="A3" s="25">
        <v>10</v>
      </c>
      <c r="B3" s="26"/>
      <c r="C3" s="26"/>
      <c r="D3" s="27" t="s">
        <v>29</v>
      </c>
      <c r="E3" s="28" t="str">
        <f>IFERROR(VLOOKUP($D3&amp;$J3, target_columns[], 4, 0),"")</f>
        <v>UUID</v>
      </c>
      <c r="F3" s="28" t="str">
        <f>IFERROR(VLOOKUP($D3&amp;$J3, target_columns[], 7, 0),"")</f>
        <v>Yes</v>
      </c>
      <c r="G3" s="28" t="str">
        <f>IFERROR(VLOOKUP($D3&amp;$J3, target_columns[], 8, 0),"")</f>
        <v>No</v>
      </c>
      <c r="H3" s="28" t="str">
        <f>IFERROR(VLOOKUP($D3&amp;$J3, target_columns[], 5, 0),"")</f>
        <v xml:space="preserve">NOT NULL</v>
      </c>
      <c r="I3" s="28" t="str">
        <f>IFERROR(VLOOKUP($D3&amp;$J3, target_columns[], 10, 0),"")</f>
        <v xml:space="preserve">Уникальный идентификатор учетного документа</v>
      </c>
      <c r="J3" s="29" t="s">
        <v>30</v>
      </c>
      <c r="K3" s="26" t="s">
        <v>31</v>
      </c>
      <c r="L3" s="28" t="str">
        <f>IFERROR(VLOOKUP(UPPER(K3&amp;N3), source_columns[], 4,0),"")</f>
        <v>uuid</v>
      </c>
      <c r="M3" s="28" t="str">
        <f>IFERROR(VLOOKUP(UPPER(K3&amp;N3), source_columns[], 7,0),"")</f>
        <v xml:space="preserve">Прикладной ID объекта</v>
      </c>
      <c r="N3" s="26" t="s">
        <v>32</v>
      </c>
      <c r="O3" s="30" t="s">
        <v>33</v>
      </c>
      <c r="P3" s="31" t="s">
        <v>34</v>
      </c>
      <c r="Q3" s="28" t="str">
        <f>"n314314001_"&amp;IFERROR(VLOOKUP(D3, target_tables[], 5, 0),"&lt;not found&gt;")</f>
        <v>n314314001_pymnt_doc</v>
      </c>
      <c r="R3" s="26" t="s">
        <v>35</v>
      </c>
      <c r="S3" s="32" t="s">
        <v>36</v>
      </c>
      <c r="T3" s="26" t="s">
        <v>7</v>
      </c>
      <c r="U3" s="33">
        <v>45565</v>
      </c>
      <c r="V3" s="26"/>
    </row>
    <row r="4" ht="15" customHeight="1">
      <c r="A4" s="34">
        <v>20</v>
      </c>
      <c r="B4" s="26"/>
      <c r="C4" s="26"/>
      <c r="D4" s="27" t="s">
        <v>29</v>
      </c>
      <c r="E4" s="28" t="str">
        <f>IFERROR(VLOOKUP($D4&amp;$J4,target_columns[],4,0),"")</f>
        <v>TEXT</v>
      </c>
      <c r="F4" s="28" t="str">
        <f>IFERROR(VLOOKUP($D4&amp;$J4,target_columns[],7,0),"")</f>
        <v>No</v>
      </c>
      <c r="G4" s="28" t="str">
        <f>IFERROR(VLOOKUP($D4&amp;$J4,target_columns[],8,0),"")</f>
        <v>No</v>
      </c>
      <c r="H4" s="28" t="str">
        <f>IFERROR(VLOOKUP($D4&amp;$J4,target_columns[],5,0),"")</f>
        <v>NULL</v>
      </c>
      <c r="I4" s="28" t="str">
        <f>IFERROR(VLOOKUP($D4&amp;$J4,target_columns[],10,0),"")</f>
        <v xml:space="preserve">Уникальный идентификатор учетного документа в системе-источнике</v>
      </c>
      <c r="J4" s="29" t="s">
        <v>37</v>
      </c>
      <c r="K4" s="26" t="s">
        <v>31</v>
      </c>
      <c r="L4" s="35" t="str">
        <f>IFERROR(VLOOKUP(UPPER(K4&amp;N4),source_columns[],4,0),"")</f>
        <v>text</v>
      </c>
      <c r="M4" s="28" t="str">
        <f>IFERROR(VLOOKUP(UPPER(K4&amp;N4),source_columns[],7,0),"")</f>
        <v xml:space="preserve">Прикладной ID объекта</v>
      </c>
      <c r="N4" s="13" t="s">
        <v>38</v>
      </c>
      <c r="O4" s="26" t="s">
        <v>39</v>
      </c>
      <c r="P4" s="36"/>
      <c r="Q4" s="28" t="str">
        <f>"n314314001_"&amp;IFERROR(VLOOKUP(D4,target_tables[],5,0),"&lt;not found&gt;")</f>
        <v>n314314001_pymnt_doc</v>
      </c>
      <c r="R4" s="26" t="s">
        <v>35</v>
      </c>
      <c r="S4" s="37"/>
      <c r="T4" s="26" t="s">
        <v>7</v>
      </c>
      <c r="U4" s="33">
        <v>45565</v>
      </c>
      <c r="V4" s="26"/>
    </row>
    <row r="5" ht="15" customHeight="1">
      <c r="A5" s="34">
        <v>30</v>
      </c>
      <c r="B5" s="26"/>
      <c r="C5" s="26"/>
      <c r="D5" s="27" t="s">
        <v>29</v>
      </c>
      <c r="E5" s="28" t="str">
        <f>IFERROR(VLOOKUP($D5&amp;$J5,target_columns[],4,0),"")</f>
        <v>DATE</v>
      </c>
      <c r="F5" s="28" t="str">
        <f>IFERROR(VLOOKUP($D5&amp;$J5,target_columns[],7,0),"")</f>
        <v>No</v>
      </c>
      <c r="G5" s="28" t="str">
        <f>IFERROR(VLOOKUP($D5&amp;$J5,target_columns[],8,0),"")</f>
        <v>No</v>
      </c>
      <c r="H5" s="28" t="str">
        <f>IFERROR(VLOOKUP($D5&amp;$J5,target_columns[],5,0),"")</f>
        <v xml:space="preserve">NOT NULL</v>
      </c>
      <c r="I5" s="28" t="str">
        <f>IFERROR(VLOOKUP($D5&amp;$J5,target_columns[],10,0),"")</f>
        <v xml:space="preserve">Дата документа</v>
      </c>
      <c r="J5" s="29" t="s">
        <v>40</v>
      </c>
      <c r="K5" s="26" t="s">
        <v>31</v>
      </c>
      <c r="L5" s="28" t="str">
        <f>IFERROR(VLOOKUP(UPPER(K5&amp;N5),source_columns[],4,0),"")</f>
        <v/>
      </c>
      <c r="M5" s="28" t="str">
        <f>IFERROR(VLOOKUP(UPPER(K5&amp;N5),source_columns[],7,0),"")</f>
        <v/>
      </c>
      <c r="N5" s="26" t="s">
        <v>41</v>
      </c>
      <c r="O5" s="26"/>
      <c r="P5" s="36"/>
      <c r="Q5" s="28" t="str">
        <f>"n314314001_"&amp;IFERROR(VLOOKUP(D5,target_tables[],5,0),"&lt;not found&gt;")</f>
        <v>n314314001_pymnt_doc</v>
      </c>
      <c r="R5" s="26" t="s">
        <v>35</v>
      </c>
      <c r="S5" s="37"/>
      <c r="T5" s="26" t="s">
        <v>7</v>
      </c>
      <c r="U5" s="33">
        <v>45565</v>
      </c>
      <c r="V5" s="26"/>
    </row>
    <row r="6" ht="15" customHeight="1">
      <c r="A6" s="34">
        <v>40</v>
      </c>
      <c r="B6" s="26"/>
      <c r="C6" s="26"/>
      <c r="D6" s="27" t="s">
        <v>29</v>
      </c>
      <c r="E6" s="28" t="str">
        <f>IFERROR(VLOOKUP($D6&amp;$J6,target_columns[],4,0),"")</f>
        <v>text</v>
      </c>
      <c r="F6" s="28" t="str">
        <f>IFERROR(VLOOKUP($D6&amp;$J6,target_columns[],7,0),"")</f>
        <v>No</v>
      </c>
      <c r="G6" s="28" t="str">
        <f>IFERROR(VLOOKUP($D6&amp;$J6,target_columns[],8,0),"")</f>
        <v>No</v>
      </c>
      <c r="H6" s="28" t="str">
        <f>IFERROR(VLOOKUP($D6&amp;$J6,target_columns[],5,0),"")</f>
        <v>NULL</v>
      </c>
      <c r="I6" s="28" t="str">
        <f>IFERROR(VLOOKUP($D6&amp;$J6,target_columns[],10,0),"")</f>
        <v xml:space="preserve">Идентификатор документа, присвоенный АС-источником</v>
      </c>
      <c r="J6" s="29" t="s">
        <v>42</v>
      </c>
      <c r="K6" s="26" t="s">
        <v>31</v>
      </c>
      <c r="L6" s="28" t="s">
        <v>43</v>
      </c>
      <c r="M6" s="28" t="str">
        <f>IFERROR(VLOOKUP(UPPER(K6&amp;N7), source_columns[], 7,0),"")</f>
        <v/>
      </c>
      <c r="N6" s="38" t="s">
        <v>44</v>
      </c>
      <c r="O6" s="26"/>
      <c r="P6" s="36"/>
      <c r="Q6" s="28" t="str">
        <f>"n314314001_"&amp;IFERROR(VLOOKUP(D6,target_tables[],5,0),"&lt;not found&gt;")</f>
        <v>n314314001_pymnt_doc</v>
      </c>
      <c r="R6" s="26" t="s">
        <v>35</v>
      </c>
      <c r="S6" s="37"/>
      <c r="T6" s="26" t="s">
        <v>7</v>
      </c>
      <c r="U6" s="33">
        <v>45565</v>
      </c>
      <c r="V6" s="26"/>
    </row>
    <row r="7" ht="15" customHeight="1">
      <c r="A7" s="34">
        <v>50</v>
      </c>
      <c r="B7" s="26"/>
      <c r="C7" s="26"/>
      <c r="D7" s="27" t="s">
        <v>29</v>
      </c>
      <c r="E7" s="28" t="str">
        <f>IFERROR(VLOOKUP($D7&amp;$J7,target_columns[],4,0),"")</f>
        <v>UUID</v>
      </c>
      <c r="F7" s="28" t="str">
        <f>IFERROR(VLOOKUP($D7&amp;$J7,target_columns[],7,0),"")</f>
        <v>No</v>
      </c>
      <c r="G7" s="28" t="str">
        <f>IFERROR(VLOOKUP($D7&amp;$J7,target_columns[],8,0),"")</f>
        <v>Yes</v>
      </c>
      <c r="H7" s="28" t="str">
        <f>IFERROR(VLOOKUP($D7&amp;$J7,target_columns[],5,0),"")</f>
        <v>NULL</v>
      </c>
      <c r="I7" s="28" t="str">
        <f>IFERROR(VLOOKUP($D7&amp;$J7,target_columns[],10,0),"")</f>
        <v xml:space="preserve">Уникальный идентфиикатор бизнес-сервиса</v>
      </c>
      <c r="J7" s="29" t="s">
        <v>45</v>
      </c>
      <c r="K7" s="26" t="s">
        <v>31</v>
      </c>
      <c r="L7" s="28" t="s">
        <v>46</v>
      </c>
      <c r="M7" s="28" t="str">
        <f>IFERROR(VLOOKUP(UPPER(K7&amp;N6), source_columns[], 7,0),"")</f>
        <v/>
      </c>
      <c r="N7" s="39" t="s">
        <v>47</v>
      </c>
      <c r="P7" s="36"/>
      <c r="Q7" s="28" t="str">
        <f>"n314314001_"&amp;IFERROR(VLOOKUP(D7,target_tables[],5,0),"&lt;not found&gt;")</f>
        <v>n314314001_pymnt_doc</v>
      </c>
      <c r="R7" s="26" t="s">
        <v>35</v>
      </c>
      <c r="S7" s="37"/>
      <c r="T7" s="26" t="s">
        <v>7</v>
      </c>
      <c r="U7" s="33">
        <v>45565</v>
      </c>
      <c r="V7" s="26"/>
    </row>
    <row r="8" ht="15" customHeight="1">
      <c r="A8" s="40">
        <v>60</v>
      </c>
      <c r="B8" s="41"/>
      <c r="C8" s="41"/>
      <c r="D8" s="42" t="s">
        <v>29</v>
      </c>
      <c r="E8" s="43" t="str">
        <f>IFERROR(VLOOKUP($D8&amp;$J8,target_columns[],4,0),"")</f>
        <v>uuid</v>
      </c>
      <c r="F8" s="43" t="str">
        <f>IFERROR(VLOOKUP($D8&amp;$J8,target_columns[],7,0),"")</f>
        <v>No</v>
      </c>
      <c r="G8" s="43" t="str">
        <f>IFERROR(VLOOKUP($D8&amp;$J8,target_columns[],8,0),"")</f>
        <v>Yes</v>
      </c>
      <c r="H8" s="43" t="str">
        <f>IFERROR(VLOOKUP($D8&amp;$J8,target_columns[],5,0),"")</f>
        <v>NULL</v>
      </c>
      <c r="I8" s="43" t="str">
        <f>IFERROR(VLOOKUP($D8&amp;$J8,target_columns[],10,0),"")</f>
        <v xml:space="preserve">Идентификатор внешней системы</v>
      </c>
      <c r="J8" s="29" t="s">
        <v>48</v>
      </c>
      <c r="K8" s="41" t="s">
        <v>31</v>
      </c>
      <c r="L8" s="43" t="str">
        <f>IFERROR(VLOOKUP(UPPER(K8&amp;N8),source_columns[],4,0),"")</f>
        <v/>
      </c>
      <c r="M8" s="43" t="str">
        <f>IFERROR(VLOOKUP(UPPER(K8&amp;N8), source_columns[], 7,0),"")</f>
        <v/>
      </c>
      <c r="N8" s="38" t="s">
        <v>49</v>
      </c>
      <c r="O8" s="41"/>
      <c r="P8" s="44"/>
      <c r="Q8" s="43" t="str">
        <f>"n314314001_"&amp;IFERROR(VLOOKUP(D8,target_tables[],5,0),"&lt;not found&gt;")</f>
        <v>n314314001_pymnt_doc</v>
      </c>
      <c r="R8" s="41" t="s">
        <v>35</v>
      </c>
      <c r="S8" s="37"/>
      <c r="T8" s="41" t="s">
        <v>7</v>
      </c>
      <c r="U8" s="45">
        <v>45565</v>
      </c>
      <c r="V8" s="41"/>
    </row>
    <row r="9" s="46" customFormat="1" ht="15" customHeight="1">
      <c r="A9" s="47">
        <v>70</v>
      </c>
      <c r="B9" s="48"/>
      <c r="C9" s="48"/>
      <c r="D9" s="49" t="s">
        <v>50</v>
      </c>
      <c r="E9" s="50" t="str">
        <f>IFERROR(VLOOKUP($D9&amp;$J9,target_columns[],4,0),"")</f>
        <v>uuid</v>
      </c>
      <c r="F9" s="50" t="str">
        <f>IFERROR(VLOOKUP($D9&amp;$J9,target_columns[],7,0),"")</f>
        <v>Yes</v>
      </c>
      <c r="G9" s="50" t="str">
        <f>IFERROR(VLOOKUP($D9&amp;$J9,target_columns[],8,0),"")</f>
        <v>No</v>
      </c>
      <c r="H9" s="50" t="str">
        <f>IFERROR(VLOOKUP($D9&amp;$J9,target_columns[],5,0),"")</f>
        <v xml:space="preserve">NOT NULL</v>
      </c>
      <c r="I9" s="50" t="str">
        <f>IFERROR(VLOOKUP($D9&amp;$J9,target_columns[],10,0),"")</f>
        <v xml:space="preserve">идентификатор внешней системы</v>
      </c>
      <c r="J9" s="49" t="s">
        <v>48</v>
      </c>
      <c r="K9" s="51" t="s">
        <v>31</v>
      </c>
      <c r="L9" s="50" t="str">
        <f>IFERROR(VLOOKUP(UPPER(K9&amp;N9),source_columns[],4,0),"")</f>
        <v/>
      </c>
      <c r="M9" s="50" t="str">
        <f>IFERROR(VLOOKUP(UPPER(K9&amp;N9),source_columns[],7,0),"")</f>
        <v/>
      </c>
      <c r="N9" s="52" t="s">
        <v>49</v>
      </c>
      <c r="O9" s="48"/>
      <c r="P9" s="53" t="s">
        <v>51</v>
      </c>
      <c r="Q9" s="43" t="str">
        <f>"n314314002_"&amp;IFERROR(VLOOKUP(D9, target_tables[], 5, 0),"&lt;not found&gt;")</f>
        <v>n314314002_src_system_type</v>
      </c>
      <c r="R9" s="54"/>
      <c r="S9" s="55" t="s">
        <v>36</v>
      </c>
      <c r="T9" s="41" t="s">
        <v>7</v>
      </c>
      <c r="U9" s="45">
        <v>45565</v>
      </c>
      <c r="V9" s="54"/>
    </row>
    <row r="10" ht="15" customHeight="1">
      <c r="A10" s="34">
        <v>80</v>
      </c>
      <c r="B10" s="26"/>
      <c r="C10" s="26"/>
      <c r="D10" s="56" t="s">
        <v>50</v>
      </c>
      <c r="E10" s="28" t="str">
        <f>IFERROR(VLOOKUP($D10&amp;$J10, target_columns[], 4, 0),"")</f>
        <v>text</v>
      </c>
      <c r="F10" s="28" t="str">
        <f>IFERROR(VLOOKUP($D10&amp;$J10, target_columns[], 7, 0),"")</f>
        <v>No</v>
      </c>
      <c r="G10" s="28" t="str">
        <f>IFERROR(VLOOKUP($D10&amp;$J10, target_columns[], 8, 0),"")</f>
        <v>No</v>
      </c>
      <c r="H10" s="28" t="str">
        <f>IFERROR(VLOOKUP($D10&amp;$J10, target_columns[], 5, 0),"")</f>
        <v>NULL</v>
      </c>
      <c r="I10" s="28" t="str">
        <f>IFERROR(VLOOKUP($D10&amp;$J10, target_columns[], 10, 0),"")</f>
        <v xml:space="preserve">код внешней системы</v>
      </c>
      <c r="J10" s="27" t="s">
        <v>52</v>
      </c>
      <c r="K10" s="26" t="s">
        <v>31</v>
      </c>
      <c r="L10" s="28" t="str">
        <f>IFERROR(VLOOKUP(UPPER(K10&amp;N10), source_columns[], 4,0),"")</f>
        <v/>
      </c>
      <c r="M10" s="28" t="str">
        <f>IFERROR(VLOOKUP(UPPER(K10&amp;N10), source_columns[], 7,0),"")</f>
        <v/>
      </c>
      <c r="N10" s="57" t="s">
        <v>53</v>
      </c>
      <c r="O10" s="26"/>
      <c r="P10" s="58"/>
      <c r="Q10" s="43" t="str">
        <f>"n314314002_"&amp;IFERROR(VLOOKUP(D10, target_tables[], 5, 0),"&lt;not found&gt;")</f>
        <v>n314314002_src_system_type</v>
      </c>
      <c r="R10" s="26"/>
      <c r="S10" s="37"/>
      <c r="T10" s="41" t="s">
        <v>7</v>
      </c>
      <c r="U10" s="45">
        <v>45565</v>
      </c>
      <c r="V10" s="26"/>
    </row>
    <row r="11" ht="15" customHeight="1">
      <c r="A11" s="34"/>
      <c r="B11" s="26"/>
      <c r="C11" s="26"/>
      <c r="D11" s="56"/>
      <c r="E11" s="28"/>
      <c r="F11" s="28"/>
      <c r="G11" s="28"/>
      <c r="H11" s="28"/>
      <c r="I11" s="28"/>
      <c r="J11" s="27"/>
      <c r="K11" s="26"/>
      <c r="L11" s="28"/>
      <c r="M11" s="28"/>
      <c r="N11" s="26"/>
      <c r="O11" s="59"/>
      <c r="P11" s="58"/>
      <c r="Q11" s="28"/>
      <c r="R11" s="26"/>
      <c r="S11" s="37"/>
      <c r="T11" s="26"/>
      <c r="U11" s="33"/>
      <c r="V11" s="26"/>
    </row>
    <row r="12" s="60" customFormat="1" ht="15" customHeight="1">
      <c r="A12" s="61"/>
      <c r="B12" s="59"/>
      <c r="C12" s="59"/>
      <c r="D12" s="62"/>
      <c r="E12" s="63"/>
      <c r="F12" s="63"/>
      <c r="G12" s="63"/>
      <c r="H12" s="63"/>
      <c r="I12" s="63"/>
      <c r="J12" s="64"/>
      <c r="K12" s="59"/>
      <c r="L12" s="63"/>
      <c r="M12" s="63"/>
      <c r="N12" s="65"/>
      <c r="O12" s="59"/>
      <c r="P12" s="66"/>
      <c r="Q12" s="63"/>
      <c r="R12" s="59"/>
      <c r="S12" s="67"/>
      <c r="T12" s="59"/>
      <c r="U12" s="68"/>
      <c r="V12" s="59"/>
    </row>
    <row r="13" ht="15" customHeight="1">
      <c r="A13" s="69"/>
      <c r="B13" s="70"/>
      <c r="C13" s="70"/>
      <c r="D13" s="27"/>
      <c r="E13" s="71"/>
      <c r="F13" s="71"/>
      <c r="G13" s="71"/>
      <c r="H13" s="71"/>
      <c r="I13" s="71"/>
      <c r="J13" s="56"/>
      <c r="K13" s="70"/>
      <c r="L13" s="28"/>
      <c r="M13" s="28"/>
      <c r="N13" s="70"/>
      <c r="O13" s="26"/>
      <c r="P13" s="53"/>
      <c r="Q13" s="71"/>
      <c r="R13" s="70"/>
      <c r="S13" s="55"/>
      <c r="T13" s="70"/>
      <c r="U13" s="33"/>
      <c r="V13" s="70"/>
    </row>
    <row r="14" ht="15" customHeight="1">
      <c r="A14" s="34"/>
      <c r="B14" s="26"/>
      <c r="C14" s="26"/>
      <c r="D14" s="27"/>
      <c r="E14" s="28"/>
      <c r="F14" s="28"/>
      <c r="G14" s="28"/>
      <c r="H14" s="28"/>
      <c r="I14" s="28"/>
      <c r="J14" s="27"/>
      <c r="K14" s="26"/>
      <c r="L14" s="28"/>
      <c r="M14" s="28"/>
      <c r="N14" s="26"/>
      <c r="O14" s="26"/>
      <c r="P14" s="72"/>
      <c r="Q14" s="28"/>
      <c r="R14" s="26"/>
      <c r="S14" s="37"/>
      <c r="T14" s="26"/>
      <c r="U14" s="33"/>
      <c r="V14" s="26"/>
    </row>
    <row r="15" ht="15" customHeight="1">
      <c r="A15" s="34"/>
      <c r="B15" s="26"/>
      <c r="C15" s="26"/>
      <c r="D15" s="29"/>
      <c r="E15" s="28"/>
      <c r="F15" s="28"/>
      <c r="G15" s="28"/>
      <c r="H15" s="28"/>
      <c r="I15" s="28"/>
      <c r="J15" s="29"/>
      <c r="K15" s="26"/>
      <c r="L15" s="28"/>
      <c r="M15" s="28"/>
      <c r="N15" s="26"/>
      <c r="O15" s="59"/>
      <c r="P15" s="72"/>
      <c r="Q15" s="28"/>
      <c r="R15" s="26"/>
      <c r="S15" s="37"/>
      <c r="T15" s="26"/>
      <c r="U15" s="33"/>
      <c r="V15" s="26"/>
    </row>
    <row r="16" ht="15" customHeight="1">
      <c r="A16" s="73"/>
      <c r="B16" s="59"/>
      <c r="C16" s="59"/>
      <c r="D16" s="74"/>
      <c r="E16" s="63"/>
      <c r="F16" s="63"/>
      <c r="G16" s="63"/>
      <c r="H16" s="63"/>
      <c r="I16" s="63"/>
      <c r="J16" s="64"/>
      <c r="K16" s="59"/>
      <c r="L16" s="63"/>
      <c r="M16" s="63"/>
      <c r="N16" s="59"/>
      <c r="O16" s="59"/>
      <c r="P16" s="75"/>
      <c r="Q16" s="63"/>
      <c r="R16" s="59"/>
      <c r="S16" s="67"/>
      <c r="T16" s="59"/>
      <c r="U16" s="33"/>
      <c r="V16" s="59"/>
    </row>
    <row r="17" ht="15" customHeight="1">
      <c r="A17" s="69"/>
      <c r="B17" s="70"/>
      <c r="C17" s="70"/>
      <c r="D17" s="27"/>
      <c r="E17" s="71"/>
      <c r="F17" s="71"/>
      <c r="G17" s="71"/>
      <c r="H17" s="71"/>
      <c r="I17" s="71"/>
      <c r="J17" s="26"/>
      <c r="K17" s="70"/>
      <c r="L17" s="28"/>
      <c r="M17" s="28"/>
      <c r="N17" s="70"/>
      <c r="O17" s="26"/>
      <c r="P17" s="53"/>
      <c r="Q17" s="71"/>
      <c r="R17" s="70"/>
      <c r="S17" s="55"/>
      <c r="T17" s="70"/>
      <c r="U17" s="33"/>
      <c r="V17" s="70"/>
    </row>
    <row r="18" ht="15" customHeight="1">
      <c r="A18" s="34"/>
      <c r="B18" s="26"/>
      <c r="C18" s="26"/>
      <c r="D18" s="27"/>
      <c r="E18" s="28"/>
      <c r="F18" s="28"/>
      <c r="G18" s="28"/>
      <c r="H18" s="28"/>
      <c r="I18" s="28"/>
      <c r="J18" s="26"/>
      <c r="K18" s="26"/>
      <c r="L18" s="28"/>
      <c r="M18" s="28"/>
      <c r="N18" s="26"/>
      <c r="O18" s="26"/>
      <c r="P18" s="72"/>
      <c r="Q18" s="28"/>
      <c r="R18" s="26"/>
      <c r="S18" s="37"/>
      <c r="T18" s="26"/>
      <c r="U18" s="33"/>
      <c r="V18" s="26"/>
    </row>
    <row r="19" ht="15" customHeight="1">
      <c r="A19" s="34"/>
      <c r="B19" s="26"/>
      <c r="C19" s="26"/>
      <c r="D19" s="27"/>
      <c r="E19" s="28"/>
      <c r="F19" s="28"/>
      <c r="G19" s="28"/>
      <c r="H19" s="28"/>
      <c r="I19" s="28"/>
      <c r="J19" s="26"/>
      <c r="K19" s="26"/>
      <c r="L19" s="28"/>
      <c r="M19" s="28"/>
      <c r="N19" s="26"/>
      <c r="O19" s="26"/>
      <c r="P19" s="72"/>
      <c r="Q19" s="28"/>
      <c r="R19" s="26"/>
      <c r="S19" s="37"/>
      <c r="T19" s="26"/>
      <c r="U19" s="33"/>
      <c r="V19" s="26"/>
    </row>
    <row r="20" s="60" customFormat="1" ht="15" customHeight="1">
      <c r="A20" s="73"/>
      <c r="B20" s="59"/>
      <c r="C20" s="59"/>
      <c r="D20" s="64"/>
      <c r="E20" s="63"/>
      <c r="F20" s="63"/>
      <c r="G20" s="63"/>
      <c r="H20" s="63"/>
      <c r="I20" s="63"/>
      <c r="J20" s="76"/>
      <c r="K20" s="77"/>
      <c r="L20" s="63"/>
      <c r="M20" s="63"/>
      <c r="N20" s="65"/>
      <c r="O20" s="59"/>
      <c r="P20" s="75"/>
      <c r="Q20" s="63"/>
      <c r="R20" s="59"/>
      <c r="S20" s="67"/>
      <c r="T20" s="59"/>
      <c r="U20" s="68"/>
      <c r="V20" s="59"/>
    </row>
    <row r="21" ht="15" customHeight="1">
      <c r="A21" s="69"/>
      <c r="B21" s="70"/>
      <c r="C21" s="70"/>
      <c r="D21" s="56"/>
      <c r="E21" s="71"/>
      <c r="F21" s="71"/>
      <c r="G21" s="71"/>
      <c r="H21" s="71"/>
      <c r="I21" s="71"/>
      <c r="J21" s="56"/>
      <c r="K21" s="70"/>
      <c r="L21" s="71"/>
      <c r="M21" s="71"/>
      <c r="N21" s="78"/>
      <c r="O21" s="70"/>
      <c r="P21" s="79"/>
      <c r="Q21" s="71"/>
      <c r="R21" s="70"/>
      <c r="S21" s="55"/>
      <c r="T21" s="70"/>
      <c r="U21" s="80"/>
      <c r="V21" s="70"/>
    </row>
    <row r="22" ht="15" customHeight="1">
      <c r="A22" s="34"/>
      <c r="B22" s="26"/>
      <c r="C22" s="26"/>
      <c r="D22" s="27"/>
      <c r="E22" s="28"/>
      <c r="F22" s="28"/>
      <c r="G22" s="28"/>
      <c r="H22" s="28"/>
      <c r="I22" s="28"/>
      <c r="J22" s="27"/>
      <c r="K22" s="26"/>
      <c r="L22" s="28"/>
      <c r="M22" s="28"/>
      <c r="N22" s="39"/>
      <c r="O22" s="26"/>
      <c r="P22" s="81"/>
      <c r="Q22" s="28"/>
      <c r="R22" s="26"/>
      <c r="S22" s="37"/>
      <c r="T22" s="26"/>
      <c r="U22" s="33"/>
      <c r="V22" s="26"/>
    </row>
    <row r="23" ht="15" customHeight="1">
      <c r="A23" s="34"/>
      <c r="B23" s="26"/>
      <c r="C23" s="26"/>
      <c r="D23" s="27"/>
      <c r="E23" s="28"/>
      <c r="F23" s="28"/>
      <c r="G23" s="28"/>
      <c r="H23" s="28"/>
      <c r="I23" s="28"/>
      <c r="J23" s="27"/>
      <c r="K23" s="26"/>
      <c r="L23" s="28"/>
      <c r="M23" s="28"/>
      <c r="N23" s="39"/>
      <c r="O23" s="26"/>
      <c r="P23" s="81"/>
      <c r="Q23" s="28"/>
      <c r="R23" s="26"/>
      <c r="S23" s="37"/>
      <c r="T23" s="26"/>
      <c r="U23" s="33"/>
      <c r="V23" s="26"/>
    </row>
    <row r="24" ht="15" customHeight="1">
      <c r="A24" s="34"/>
      <c r="B24" s="26"/>
      <c r="C24" s="26"/>
      <c r="D24" s="27"/>
      <c r="E24" s="28"/>
      <c r="F24" s="28"/>
      <c r="G24" s="28"/>
      <c r="H24" s="28"/>
      <c r="I24" s="28"/>
      <c r="J24" s="27"/>
      <c r="K24" s="26"/>
      <c r="L24" s="28"/>
      <c r="M24" s="28"/>
      <c r="N24" s="39"/>
      <c r="O24" s="26"/>
      <c r="P24" s="81"/>
      <c r="Q24" s="28"/>
      <c r="R24" s="26"/>
      <c r="S24" s="37"/>
      <c r="T24" s="26"/>
      <c r="U24" s="33"/>
      <c r="V24" s="26"/>
    </row>
    <row r="25" ht="15" customHeight="1">
      <c r="A25" s="34"/>
      <c r="B25" s="26"/>
      <c r="C25" s="26"/>
      <c r="D25" s="27"/>
      <c r="E25" s="28"/>
      <c r="F25" s="28"/>
      <c r="G25" s="28"/>
      <c r="H25" s="28"/>
      <c r="I25" s="28"/>
      <c r="J25" s="27"/>
      <c r="K25" s="26"/>
      <c r="L25" s="28"/>
      <c r="M25" s="28"/>
      <c r="N25" s="39"/>
      <c r="O25" s="26"/>
      <c r="P25" s="81"/>
      <c r="Q25" s="28"/>
      <c r="R25" s="26"/>
      <c r="S25" s="37"/>
      <c r="T25" s="26"/>
      <c r="U25" s="33"/>
      <c r="V25" s="26"/>
    </row>
    <row r="26" ht="15" customHeight="1">
      <c r="A26" s="34"/>
      <c r="B26" s="26"/>
      <c r="C26" s="26"/>
      <c r="D26" s="27"/>
      <c r="E26" s="28"/>
      <c r="F26" s="28"/>
      <c r="G26" s="28"/>
      <c r="H26" s="28"/>
      <c r="I26" s="28"/>
      <c r="J26" s="27"/>
      <c r="K26" s="26"/>
      <c r="L26" s="28"/>
      <c r="M26" s="28"/>
      <c r="N26" s="38"/>
      <c r="O26" s="26"/>
      <c r="P26" s="81"/>
      <c r="Q26" s="28"/>
      <c r="R26" s="26"/>
      <c r="S26" s="37"/>
      <c r="T26" s="26"/>
      <c r="U26" s="33"/>
      <c r="V26" s="26"/>
    </row>
    <row r="27" ht="15" customHeight="1">
      <c r="A27" s="34"/>
      <c r="B27" s="26"/>
      <c r="C27" s="26"/>
      <c r="D27" s="27"/>
      <c r="E27" s="28"/>
      <c r="F27" s="28"/>
      <c r="G27" s="28"/>
      <c r="H27" s="28"/>
      <c r="I27" s="28"/>
      <c r="J27" s="27"/>
      <c r="K27" s="26"/>
      <c r="L27" s="28"/>
      <c r="M27" s="28"/>
      <c r="N27" s="39"/>
      <c r="O27" s="26"/>
      <c r="P27" s="36"/>
      <c r="Q27" s="28"/>
      <c r="R27" s="26"/>
      <c r="S27" s="37"/>
      <c r="T27" s="26"/>
      <c r="U27" s="33"/>
      <c r="V27" s="26"/>
    </row>
    <row r="28" s="60" customFormat="1" ht="15" customHeight="1">
      <c r="A28" s="73"/>
      <c r="B28" s="59"/>
      <c r="C28" s="59"/>
      <c r="D28" s="64"/>
      <c r="E28" s="63"/>
      <c r="F28" s="63"/>
      <c r="G28" s="63"/>
      <c r="H28" s="63"/>
      <c r="I28" s="63"/>
      <c r="J28" s="64"/>
      <c r="K28" s="59"/>
      <c r="L28" s="63"/>
      <c r="M28" s="63"/>
      <c r="N28" s="65"/>
      <c r="O28" s="59"/>
      <c r="P28" s="44"/>
      <c r="Q28" s="63"/>
      <c r="R28" s="59"/>
      <c r="S28" s="67"/>
      <c r="T28" s="59"/>
      <c r="U28" s="68"/>
      <c r="V28" s="59"/>
    </row>
    <row r="29" ht="15" customHeight="1">
      <c r="A29" s="69"/>
      <c r="B29" s="70"/>
      <c r="C29" s="70"/>
      <c r="D29" s="27"/>
      <c r="E29" s="71"/>
      <c r="F29" s="71"/>
      <c r="G29" s="71"/>
      <c r="H29" s="71"/>
      <c r="I29" s="71"/>
      <c r="J29" s="56"/>
      <c r="K29" s="70"/>
      <c r="L29" s="28"/>
      <c r="M29" s="28"/>
      <c r="N29" s="70"/>
      <c r="O29" s="26"/>
      <c r="P29" s="53"/>
      <c r="Q29" s="71"/>
      <c r="R29" s="70"/>
      <c r="S29" s="55"/>
      <c r="T29" s="70"/>
      <c r="U29" s="33"/>
      <c r="V29" s="70"/>
    </row>
    <row r="30" ht="15" customHeight="1">
      <c r="A30" s="34"/>
      <c r="B30" s="26"/>
      <c r="C30" s="26"/>
      <c r="D30" s="27"/>
      <c r="E30" s="28"/>
      <c r="F30" s="28"/>
      <c r="G30" s="28"/>
      <c r="H30" s="28"/>
      <c r="I30" s="28"/>
      <c r="J30" s="26"/>
      <c r="K30" s="26"/>
      <c r="L30" s="28"/>
      <c r="M30" s="28"/>
      <c r="N30" s="26"/>
      <c r="O30" s="26"/>
      <c r="P30" s="72"/>
      <c r="Q30" s="28"/>
      <c r="R30" s="26"/>
      <c r="S30" s="37"/>
      <c r="T30" s="26"/>
      <c r="U30" s="33"/>
      <c r="V30" s="26"/>
    </row>
    <row r="31" ht="15" customHeight="1">
      <c r="A31" s="34"/>
      <c r="B31" s="26"/>
      <c r="C31" s="26"/>
      <c r="D31" s="27"/>
      <c r="E31" s="28"/>
      <c r="F31" s="28"/>
      <c r="G31" s="28"/>
      <c r="H31" s="28"/>
      <c r="I31" s="28"/>
      <c r="J31" s="26"/>
      <c r="K31" s="26"/>
      <c r="L31" s="28"/>
      <c r="M31" s="28"/>
      <c r="N31" s="26"/>
      <c r="O31" s="26"/>
      <c r="P31" s="72"/>
      <c r="Q31" s="28"/>
      <c r="R31" s="26"/>
      <c r="S31" s="37"/>
      <c r="T31" s="26"/>
      <c r="U31" s="33"/>
      <c r="V31" s="26"/>
    </row>
    <row r="32" s="60" customFormat="1" ht="15" customHeight="1">
      <c r="A32" s="73"/>
      <c r="B32" s="59"/>
      <c r="C32" s="59"/>
      <c r="D32" s="64"/>
      <c r="E32" s="63"/>
      <c r="F32" s="63"/>
      <c r="G32" s="63"/>
      <c r="H32" s="63"/>
      <c r="I32" s="63"/>
      <c r="J32" s="76"/>
      <c r="K32" s="59"/>
      <c r="L32" s="63"/>
      <c r="M32" s="63"/>
      <c r="N32" s="65"/>
      <c r="O32" s="59"/>
      <c r="P32" s="75"/>
      <c r="Q32" s="63"/>
      <c r="R32" s="59"/>
      <c r="S32" s="67"/>
      <c r="T32" s="59"/>
      <c r="U32" s="68"/>
      <c r="V32" s="59"/>
    </row>
    <row r="33" ht="15" customHeight="1">
      <c r="A33" s="69"/>
      <c r="B33" s="70"/>
      <c r="C33" s="70"/>
      <c r="D33" s="27"/>
      <c r="E33" s="71"/>
      <c r="F33" s="71"/>
      <c r="G33" s="71"/>
      <c r="H33" s="71"/>
      <c r="I33" s="71"/>
      <c r="J33" s="27"/>
      <c r="K33" s="26"/>
      <c r="L33" s="28"/>
      <c r="M33" s="28"/>
      <c r="N33" s="39"/>
      <c r="O33" s="26"/>
      <c r="P33" s="53"/>
      <c r="Q33" s="28"/>
      <c r="R33" s="70"/>
      <c r="S33" s="55"/>
      <c r="T33" s="70"/>
      <c r="U33" s="33"/>
      <c r="V33" s="70"/>
    </row>
    <row r="34" ht="15" customHeight="1">
      <c r="A34" s="69"/>
      <c r="B34" s="70"/>
      <c r="C34" s="70"/>
      <c r="D34" s="27"/>
      <c r="E34" s="71"/>
      <c r="F34" s="71"/>
      <c r="G34" s="71"/>
      <c r="H34" s="71"/>
      <c r="I34" s="71"/>
      <c r="J34" s="27"/>
      <c r="K34" s="26"/>
      <c r="L34" s="28"/>
      <c r="M34" s="28"/>
      <c r="N34" s="39"/>
      <c r="O34" s="26"/>
      <c r="P34" s="58"/>
      <c r="Q34" s="28"/>
      <c r="R34" s="70"/>
      <c r="S34" s="37"/>
      <c r="T34" s="70"/>
      <c r="U34" s="33"/>
      <c r="V34" s="70"/>
    </row>
    <row r="35" ht="15" customHeight="1">
      <c r="A35" s="73"/>
      <c r="B35" s="59"/>
      <c r="C35" s="59"/>
      <c r="D35" s="64"/>
      <c r="E35" s="63"/>
      <c r="F35" s="63"/>
      <c r="G35" s="63"/>
      <c r="H35" s="63"/>
      <c r="I35" s="63"/>
      <c r="J35" s="64"/>
      <c r="K35" s="59"/>
      <c r="L35" s="63"/>
      <c r="M35" s="63"/>
      <c r="N35" s="82"/>
      <c r="O35" s="59"/>
      <c r="P35" s="75"/>
      <c r="Q35" s="63"/>
      <c r="R35" s="59"/>
      <c r="S35" s="67"/>
      <c r="T35" s="59"/>
      <c r="U35" s="33"/>
      <c r="V35" s="59"/>
    </row>
    <row r="36" ht="15" customHeight="1">
      <c r="A36" s="69"/>
      <c r="B36" s="70"/>
      <c r="C36" s="70"/>
      <c r="D36" s="27"/>
      <c r="E36" s="71"/>
      <c r="F36" s="71"/>
      <c r="G36" s="71"/>
      <c r="H36" s="71"/>
      <c r="I36" s="71"/>
      <c r="J36" s="27"/>
      <c r="K36" s="26"/>
      <c r="L36" s="28"/>
      <c r="M36" s="28"/>
      <c r="N36" s="26"/>
      <c r="O36" s="26"/>
      <c r="P36" s="53"/>
      <c r="Q36" s="71"/>
      <c r="R36" s="70"/>
      <c r="S36" s="55"/>
      <c r="T36" s="70"/>
      <c r="U36" s="33"/>
      <c r="V36" s="70"/>
    </row>
    <row r="37" ht="15" customHeight="1">
      <c r="A37" s="69"/>
      <c r="B37" s="70"/>
      <c r="C37" s="70"/>
      <c r="D37" s="27"/>
      <c r="E37" s="71"/>
      <c r="F37" s="71"/>
      <c r="G37" s="71"/>
      <c r="H37" s="71"/>
      <c r="I37" s="71"/>
      <c r="J37" s="29"/>
      <c r="K37" s="26"/>
      <c r="L37" s="28"/>
      <c r="M37" s="28"/>
      <c r="N37" s="26"/>
      <c r="O37" s="26"/>
      <c r="P37" s="72"/>
      <c r="Q37" s="71"/>
      <c r="R37" s="70"/>
      <c r="S37" s="83"/>
      <c r="T37" s="70"/>
      <c r="U37" s="33"/>
      <c r="V37" s="70"/>
    </row>
    <row r="38" ht="15" customHeight="1">
      <c r="A38" s="69"/>
      <c r="B38" s="70"/>
      <c r="C38" s="70"/>
      <c r="D38" s="27"/>
      <c r="E38" s="71"/>
      <c r="F38" s="71"/>
      <c r="G38" s="71"/>
      <c r="H38" s="71"/>
      <c r="I38" s="71"/>
      <c r="J38" s="26"/>
      <c r="K38" s="26"/>
      <c r="L38" s="28"/>
      <c r="M38" s="28"/>
      <c r="N38" s="26"/>
      <c r="O38" s="26"/>
      <c r="P38" s="72"/>
      <c r="Q38" s="71"/>
      <c r="R38" s="70"/>
      <c r="S38" s="83"/>
      <c r="T38" s="70"/>
      <c r="U38" s="33"/>
      <c r="V38" s="70"/>
    </row>
    <row r="39" ht="15" customHeight="1">
      <c r="A39" s="69"/>
      <c r="B39" s="70"/>
      <c r="C39" s="70"/>
      <c r="D39" s="27"/>
      <c r="E39" s="71"/>
      <c r="F39" s="71"/>
      <c r="G39" s="71"/>
      <c r="H39" s="71"/>
      <c r="I39" s="71"/>
      <c r="J39" s="26"/>
      <c r="K39" s="26"/>
      <c r="L39" s="28"/>
      <c r="M39" s="28"/>
      <c r="N39" s="26"/>
      <c r="O39" s="26"/>
      <c r="P39" s="72"/>
      <c r="Q39" s="71"/>
      <c r="R39" s="70"/>
      <c r="S39" s="83"/>
      <c r="T39" s="70"/>
      <c r="U39" s="33"/>
      <c r="V39" s="70"/>
    </row>
    <row r="40" ht="15" customHeight="1">
      <c r="A40" s="69"/>
      <c r="B40" s="70"/>
      <c r="C40" s="70"/>
      <c r="D40" s="27"/>
      <c r="E40" s="71"/>
      <c r="F40" s="71"/>
      <c r="G40" s="71"/>
      <c r="H40" s="71"/>
      <c r="I40" s="71"/>
      <c r="J40" s="26"/>
      <c r="K40" s="57"/>
      <c r="L40" s="28"/>
      <c r="M40" s="28"/>
      <c r="N40" s="26"/>
      <c r="O40" s="26"/>
      <c r="P40" s="72"/>
      <c r="Q40" s="71"/>
      <c r="R40" s="70"/>
      <c r="S40" s="83"/>
      <c r="T40" s="70"/>
      <c r="U40" s="33"/>
      <c r="V40" s="70"/>
    </row>
    <row r="41" ht="15" customHeight="1">
      <c r="A41" s="69"/>
      <c r="B41" s="70"/>
      <c r="C41" s="70"/>
      <c r="D41" s="27"/>
      <c r="E41" s="71"/>
      <c r="F41" s="71"/>
      <c r="G41" s="71"/>
      <c r="H41" s="71"/>
      <c r="I41" s="71"/>
      <c r="J41" s="26"/>
      <c r="K41" s="26"/>
      <c r="L41" s="28"/>
      <c r="M41" s="28"/>
      <c r="N41" s="26"/>
      <c r="O41" s="26"/>
      <c r="P41" s="72"/>
      <c r="Q41" s="71"/>
      <c r="R41" s="70"/>
      <c r="S41" s="83"/>
      <c r="T41" s="70"/>
      <c r="U41" s="33"/>
      <c r="V41" s="70"/>
    </row>
    <row r="42" ht="15" customHeight="1">
      <c r="A42" s="69"/>
      <c r="B42" s="70"/>
      <c r="C42" s="70"/>
      <c r="D42" s="27"/>
      <c r="E42" s="71"/>
      <c r="F42" s="71"/>
      <c r="G42" s="71"/>
      <c r="H42" s="71"/>
      <c r="I42" s="71"/>
      <c r="J42" s="26"/>
      <c r="K42" s="26"/>
      <c r="L42" s="28"/>
      <c r="M42" s="28"/>
      <c r="N42" s="26"/>
      <c r="O42" s="26"/>
      <c r="P42" s="72"/>
      <c r="Q42" s="71"/>
      <c r="R42" s="70"/>
      <c r="S42" s="83"/>
      <c r="T42" s="70"/>
      <c r="U42" s="33"/>
      <c r="V42" s="70"/>
    </row>
    <row r="43" ht="15" customHeight="1">
      <c r="A43" s="69"/>
      <c r="B43" s="70"/>
      <c r="C43" s="70"/>
      <c r="D43" s="27"/>
      <c r="E43" s="71"/>
      <c r="F43" s="71"/>
      <c r="G43" s="71"/>
      <c r="H43" s="71"/>
      <c r="I43" s="71"/>
      <c r="J43" s="26"/>
      <c r="K43" s="26"/>
      <c r="L43" s="28"/>
      <c r="M43" s="28"/>
      <c r="N43" s="26"/>
      <c r="O43" s="26"/>
      <c r="P43" s="72"/>
      <c r="Q43" s="71"/>
      <c r="R43" s="70"/>
      <c r="S43" s="83"/>
      <c r="T43" s="70"/>
      <c r="U43" s="33"/>
      <c r="V43" s="70"/>
    </row>
    <row r="44" ht="15" customHeight="1">
      <c r="A44" s="69"/>
      <c r="B44" s="70"/>
      <c r="C44" s="70"/>
      <c r="D44" s="27"/>
      <c r="E44" s="71"/>
      <c r="F44" s="71"/>
      <c r="G44" s="71"/>
      <c r="H44" s="71"/>
      <c r="I44" s="71"/>
      <c r="J44" s="26"/>
      <c r="K44" s="26"/>
      <c r="L44" s="28"/>
      <c r="M44" s="28"/>
      <c r="N44" s="26"/>
      <c r="O44" s="26"/>
      <c r="P44" s="72"/>
      <c r="Q44" s="71"/>
      <c r="R44" s="70"/>
      <c r="S44" s="83"/>
      <c r="T44" s="70"/>
      <c r="U44" s="33"/>
      <c r="V44" s="70"/>
    </row>
    <row r="45" ht="15" customHeight="1">
      <c r="A45" s="69"/>
      <c r="B45" s="70"/>
      <c r="C45" s="70"/>
      <c r="D45" s="27"/>
      <c r="E45" s="71"/>
      <c r="F45" s="71"/>
      <c r="G45" s="71"/>
      <c r="H45" s="71"/>
      <c r="I45" s="71"/>
      <c r="J45" s="26"/>
      <c r="K45" s="26"/>
      <c r="L45" s="28"/>
      <c r="M45" s="28"/>
      <c r="N45" s="26"/>
      <c r="O45" s="26"/>
      <c r="P45" s="72"/>
      <c r="Q45" s="71"/>
      <c r="R45" s="70"/>
      <c r="S45" s="83"/>
      <c r="T45" s="70"/>
      <c r="U45" s="33"/>
      <c r="V45" s="70"/>
    </row>
    <row r="46" s="60" customFormat="1" ht="15" customHeight="1">
      <c r="A46" s="84"/>
      <c r="B46" s="77"/>
      <c r="C46" s="77"/>
      <c r="D46" s="64"/>
      <c r="E46" s="85"/>
      <c r="F46" s="85"/>
      <c r="G46" s="85"/>
      <c r="H46" s="85"/>
      <c r="I46" s="85"/>
      <c r="J46" s="59"/>
      <c r="K46" s="59"/>
      <c r="L46" s="63"/>
      <c r="M46" s="63"/>
      <c r="N46" s="59"/>
      <c r="O46" s="59"/>
      <c r="P46" s="75"/>
      <c r="Q46" s="85"/>
      <c r="R46" s="70"/>
      <c r="S46" s="86"/>
      <c r="T46" s="77"/>
      <c r="U46" s="68"/>
      <c r="V46" s="77"/>
    </row>
    <row r="47" ht="15" customHeight="1">
      <c r="A47" s="69"/>
      <c r="B47" s="70"/>
      <c r="C47" s="70"/>
      <c r="D47" s="56"/>
      <c r="E47" s="71"/>
      <c r="F47" s="71"/>
      <c r="G47" s="71"/>
      <c r="H47" s="71"/>
      <c r="I47" s="71"/>
      <c r="J47" s="56"/>
      <c r="K47" s="26"/>
      <c r="L47" s="71"/>
      <c r="M47" s="71"/>
      <c r="N47" s="70"/>
      <c r="O47" s="70"/>
      <c r="P47" s="53"/>
      <c r="Q47" s="71"/>
      <c r="R47" s="70"/>
      <c r="S47" s="55"/>
      <c r="T47" s="70"/>
      <c r="U47" s="80"/>
      <c r="V47" s="70"/>
    </row>
    <row r="48" ht="15" customHeight="1">
      <c r="A48" s="69"/>
      <c r="B48" s="70"/>
      <c r="C48" s="70"/>
      <c r="D48" s="56"/>
      <c r="E48" s="71"/>
      <c r="F48" s="71"/>
      <c r="G48" s="71"/>
      <c r="H48" s="71"/>
      <c r="I48" s="71"/>
      <c r="J48" s="56"/>
      <c r="K48" s="26"/>
      <c r="L48" s="71"/>
      <c r="M48" s="71"/>
      <c r="N48" s="71"/>
      <c r="O48" s="70"/>
      <c r="P48" s="72"/>
      <c r="Q48" s="71"/>
      <c r="R48" s="70"/>
      <c r="S48" s="83"/>
      <c r="T48" s="70"/>
      <c r="U48" s="80"/>
      <c r="V48" s="70"/>
    </row>
    <row r="49" ht="15" customHeight="1">
      <c r="A49" s="69"/>
      <c r="B49" s="70"/>
      <c r="C49" s="70"/>
      <c r="D49" s="56"/>
      <c r="E49" s="71"/>
      <c r="F49" s="71"/>
      <c r="G49" s="71"/>
      <c r="H49" s="71"/>
      <c r="I49" s="71"/>
      <c r="J49" s="56"/>
      <c r="K49" s="26"/>
      <c r="L49" s="71"/>
      <c r="M49" s="71"/>
      <c r="N49" s="26"/>
      <c r="O49" s="26"/>
      <c r="P49" s="72"/>
      <c r="Q49" s="71"/>
      <c r="R49" s="70"/>
      <c r="S49" s="83"/>
      <c r="T49" s="70"/>
      <c r="U49" s="80"/>
      <c r="V49" s="70"/>
    </row>
    <row r="50" ht="15" customHeight="1">
      <c r="A50" s="69"/>
      <c r="B50" s="70"/>
      <c r="C50" s="70"/>
      <c r="D50" s="56"/>
      <c r="E50" s="71"/>
      <c r="F50" s="71"/>
      <c r="G50" s="71"/>
      <c r="H50" s="71"/>
      <c r="I50" s="71"/>
      <c r="J50" s="56"/>
      <c r="K50" s="26"/>
      <c r="L50" s="71"/>
      <c r="M50" s="71"/>
      <c r="N50" s="26"/>
      <c r="O50" s="26"/>
      <c r="P50" s="72"/>
      <c r="Q50" s="71"/>
      <c r="R50" s="70"/>
      <c r="S50" s="83"/>
      <c r="T50" s="70"/>
      <c r="U50" s="80"/>
      <c r="V50" s="70"/>
    </row>
    <row r="51" s="60" customFormat="1" ht="15" customHeight="1">
      <c r="A51" s="84"/>
      <c r="B51" s="77"/>
      <c r="C51" s="77"/>
      <c r="D51" s="62"/>
      <c r="E51" s="85"/>
      <c r="F51" s="85"/>
      <c r="G51" s="85"/>
      <c r="H51" s="85"/>
      <c r="I51" s="85"/>
      <c r="J51" s="62"/>
      <c r="K51" s="77"/>
      <c r="L51" s="85"/>
      <c r="M51" s="85"/>
      <c r="N51" s="87"/>
      <c r="O51" s="87"/>
      <c r="P51" s="72"/>
      <c r="Q51" s="85"/>
      <c r="R51" s="77"/>
      <c r="S51" s="83"/>
      <c r="T51" s="77"/>
      <c r="U51" s="88"/>
      <c r="V51" s="77"/>
    </row>
    <row r="52" ht="15" customHeight="1">
      <c r="A52" s="69"/>
      <c r="B52" s="70"/>
      <c r="C52" s="70"/>
      <c r="D52" s="56"/>
      <c r="E52" s="71"/>
      <c r="F52" s="71"/>
      <c r="G52" s="71"/>
      <c r="H52" s="71"/>
      <c r="I52" s="71"/>
      <c r="J52" s="56"/>
      <c r="K52" s="70"/>
      <c r="L52" s="71"/>
      <c r="M52" s="71"/>
      <c r="N52" s="70"/>
      <c r="O52" s="70"/>
      <c r="P52" s="58"/>
      <c r="Q52" s="71"/>
      <c r="R52" s="70"/>
      <c r="S52" s="37"/>
      <c r="T52" s="70"/>
      <c r="U52" s="80"/>
      <c r="V52" s="70"/>
    </row>
    <row r="53" ht="15" customHeight="1">
      <c r="A53" s="69"/>
      <c r="B53" s="70"/>
      <c r="C53" s="70"/>
      <c r="D53" s="56"/>
      <c r="E53" s="71"/>
      <c r="F53" s="71"/>
      <c r="G53" s="71"/>
      <c r="H53" s="71"/>
      <c r="I53" s="71"/>
      <c r="J53" s="56"/>
      <c r="K53" s="70"/>
      <c r="L53" s="71"/>
      <c r="M53" s="71"/>
      <c r="N53" s="70"/>
      <c r="O53" s="70"/>
      <c r="P53" s="72"/>
      <c r="Q53" s="71"/>
      <c r="R53" s="70"/>
      <c r="S53" s="83"/>
      <c r="T53" s="70"/>
      <c r="U53" s="80"/>
      <c r="V53" s="70"/>
    </row>
    <row r="54" ht="15" customHeight="1">
      <c r="A54" s="69"/>
      <c r="B54" s="70"/>
      <c r="C54" s="70"/>
      <c r="D54" s="56"/>
      <c r="E54" s="71"/>
      <c r="F54" s="71"/>
      <c r="G54" s="71"/>
      <c r="H54" s="71"/>
      <c r="I54" s="71"/>
      <c r="J54" s="56"/>
      <c r="K54" s="70"/>
      <c r="L54" s="71"/>
      <c r="M54" s="71"/>
      <c r="N54" s="70"/>
      <c r="O54" s="70"/>
      <c r="P54" s="72"/>
      <c r="Q54" s="71"/>
      <c r="R54" s="70"/>
      <c r="S54" s="83"/>
      <c r="T54" s="70"/>
      <c r="U54" s="80"/>
      <c r="V54" s="70"/>
    </row>
    <row r="55" ht="15" customHeight="1">
      <c r="A55" s="69"/>
      <c r="B55" s="70"/>
      <c r="C55" s="70"/>
      <c r="D55" s="56"/>
      <c r="E55" s="71"/>
      <c r="F55" s="71"/>
      <c r="G55" s="71"/>
      <c r="H55" s="71"/>
      <c r="I55" s="71"/>
      <c r="J55" s="56"/>
      <c r="K55" s="70"/>
      <c r="L55" s="71"/>
      <c r="M55" s="71"/>
      <c r="N55" s="70"/>
      <c r="O55" s="70"/>
      <c r="P55" s="72"/>
      <c r="Q55" s="71"/>
      <c r="R55" s="70"/>
      <c r="S55" s="83"/>
      <c r="T55" s="70"/>
      <c r="U55" s="80"/>
      <c r="V55" s="70"/>
    </row>
    <row r="56" ht="15" customHeight="1">
      <c r="A56" s="69"/>
      <c r="B56" s="70"/>
      <c r="C56" s="70"/>
      <c r="D56" s="56"/>
      <c r="E56" s="71"/>
      <c r="F56" s="71"/>
      <c r="G56" s="71"/>
      <c r="H56" s="71"/>
      <c r="I56" s="71"/>
      <c r="J56" s="56"/>
      <c r="K56" s="70"/>
      <c r="L56" s="71"/>
      <c r="M56" s="71"/>
      <c r="N56" s="70"/>
      <c r="O56" s="70"/>
      <c r="P56" s="72"/>
      <c r="Q56" s="71"/>
      <c r="R56" s="70"/>
      <c r="S56" s="83"/>
      <c r="T56" s="70"/>
      <c r="U56" s="80"/>
      <c r="V56" s="70"/>
    </row>
    <row r="57" ht="15" customHeight="1">
      <c r="A57" s="69"/>
      <c r="B57" s="70"/>
      <c r="C57" s="70"/>
      <c r="D57" s="56"/>
      <c r="E57" s="71"/>
      <c r="F57" s="71"/>
      <c r="G57" s="71"/>
      <c r="H57" s="71"/>
      <c r="I57" s="71"/>
      <c r="J57" s="56"/>
      <c r="K57" s="70"/>
      <c r="L57" s="71"/>
      <c r="M57" s="71"/>
      <c r="N57" s="70"/>
      <c r="O57" s="70"/>
      <c r="P57" s="72"/>
      <c r="Q57" s="71"/>
      <c r="R57" s="70"/>
      <c r="S57" s="83"/>
      <c r="T57" s="70"/>
      <c r="U57" s="80"/>
      <c r="V57" s="70"/>
    </row>
    <row r="58" ht="15" customHeight="1">
      <c r="A58" s="69"/>
      <c r="B58" s="70"/>
      <c r="C58" s="70"/>
      <c r="D58" s="56"/>
      <c r="E58" s="71"/>
      <c r="F58" s="71"/>
      <c r="G58" s="71"/>
      <c r="H58" s="71"/>
      <c r="I58" s="71"/>
      <c r="J58" s="56"/>
      <c r="K58" s="70"/>
      <c r="L58" s="71"/>
      <c r="M58" s="71"/>
      <c r="N58" s="70"/>
      <c r="O58" s="70"/>
      <c r="P58" s="72"/>
      <c r="Q58" s="71"/>
      <c r="R58" s="70"/>
      <c r="S58" s="83"/>
      <c r="T58" s="70"/>
      <c r="U58" s="80"/>
      <c r="V58" s="70"/>
    </row>
    <row r="59" ht="15" customHeight="1">
      <c r="A59" s="69"/>
      <c r="B59" s="70"/>
      <c r="C59" s="70"/>
      <c r="D59" s="56"/>
      <c r="E59" s="71"/>
      <c r="F59" s="71"/>
      <c r="G59" s="71"/>
      <c r="H59" s="71"/>
      <c r="I59" s="71"/>
      <c r="J59" s="56"/>
      <c r="K59" s="70"/>
      <c r="L59" s="71"/>
      <c r="M59" s="71"/>
      <c r="N59" s="70"/>
      <c r="O59" s="70"/>
      <c r="P59" s="72"/>
      <c r="Q59" s="71"/>
      <c r="R59" s="70"/>
      <c r="S59" s="83"/>
      <c r="T59" s="70"/>
      <c r="U59" s="80"/>
      <c r="V59" s="70"/>
    </row>
    <row r="60" ht="15" customHeight="1">
      <c r="A60" s="69"/>
      <c r="B60" s="70"/>
      <c r="C60" s="70"/>
      <c r="D60" s="56"/>
      <c r="E60" s="71"/>
      <c r="F60" s="71"/>
      <c r="G60" s="71"/>
      <c r="H60" s="71"/>
      <c r="I60" s="71"/>
      <c r="J60" s="56"/>
      <c r="K60" s="70"/>
      <c r="L60" s="71"/>
      <c r="M60" s="71"/>
      <c r="N60" s="70"/>
      <c r="O60" s="70"/>
      <c r="P60" s="72"/>
      <c r="Q60" s="71"/>
      <c r="R60" s="70"/>
      <c r="S60" s="83"/>
      <c r="T60" s="70"/>
      <c r="U60" s="80"/>
      <c r="V60" s="70"/>
    </row>
    <row r="61" ht="15" customHeight="1">
      <c r="A61" s="69"/>
      <c r="B61" s="70"/>
      <c r="C61" s="70"/>
      <c r="D61" s="56"/>
      <c r="E61" s="71"/>
      <c r="F61" s="71"/>
      <c r="G61" s="71"/>
      <c r="H61" s="71"/>
      <c r="I61" s="71"/>
      <c r="J61" s="56"/>
      <c r="K61" s="70"/>
      <c r="L61" s="71"/>
      <c r="M61" s="71"/>
      <c r="N61" s="70"/>
      <c r="O61" s="70"/>
      <c r="P61" s="72"/>
      <c r="Q61" s="71"/>
      <c r="R61" s="70"/>
      <c r="S61" s="83"/>
      <c r="T61" s="70"/>
      <c r="U61" s="80"/>
      <c r="V61" s="70"/>
    </row>
    <row r="62" ht="15" customHeight="1">
      <c r="A62" s="69"/>
      <c r="B62" s="70"/>
      <c r="C62" s="70"/>
      <c r="D62" s="56"/>
      <c r="E62" s="71"/>
      <c r="F62" s="71"/>
      <c r="G62" s="71"/>
      <c r="H62" s="71"/>
      <c r="I62" s="71"/>
      <c r="J62" s="56"/>
      <c r="K62" s="70"/>
      <c r="L62" s="71"/>
      <c r="M62" s="71"/>
      <c r="N62" s="70"/>
      <c r="O62" s="70"/>
      <c r="P62" s="72"/>
      <c r="Q62" s="71"/>
      <c r="R62" s="70"/>
      <c r="S62" s="83"/>
      <c r="T62" s="70"/>
      <c r="U62" s="80"/>
      <c r="V62" s="70"/>
    </row>
    <row r="63" s="60" customFormat="1" ht="15" customHeight="1">
      <c r="A63" s="84"/>
      <c r="B63" s="77"/>
      <c r="C63" s="77"/>
      <c r="D63" s="62"/>
      <c r="E63" s="85"/>
      <c r="F63" s="85"/>
      <c r="G63" s="85"/>
      <c r="H63" s="85"/>
      <c r="I63" s="85"/>
      <c r="J63" s="62"/>
      <c r="K63" s="77"/>
      <c r="L63" s="85"/>
      <c r="M63" s="85"/>
      <c r="N63" s="77"/>
      <c r="O63" s="77"/>
      <c r="P63" s="72"/>
      <c r="Q63" s="85"/>
      <c r="R63" s="77"/>
      <c r="S63" s="83"/>
      <c r="T63" s="77"/>
      <c r="U63" s="88"/>
      <c r="V63" s="77"/>
    </row>
    <row r="64" ht="15" customHeight="1">
      <c r="A64" s="69"/>
      <c r="B64" s="70"/>
      <c r="C64" s="70"/>
      <c r="D64" s="56"/>
      <c r="E64" s="71"/>
      <c r="F64" s="71"/>
      <c r="G64" s="71"/>
      <c r="H64" s="71"/>
      <c r="I64" s="71"/>
      <c r="J64" s="56"/>
      <c r="K64" s="70"/>
      <c r="L64" s="71"/>
      <c r="M64" s="71"/>
      <c r="N64" s="70"/>
      <c r="O64" s="70"/>
      <c r="P64" s="58"/>
      <c r="Q64" s="71"/>
      <c r="R64" s="70"/>
      <c r="S64" s="37"/>
      <c r="T64" s="70"/>
      <c r="U64" s="80"/>
      <c r="V64" s="70"/>
    </row>
    <row r="65" ht="15" customHeight="1">
      <c r="A65" s="69"/>
      <c r="B65" s="70"/>
      <c r="C65" s="70"/>
      <c r="D65" s="56"/>
      <c r="E65" s="71"/>
      <c r="F65" s="71"/>
      <c r="G65" s="71"/>
      <c r="H65" s="71"/>
      <c r="I65" s="71"/>
      <c r="J65" s="56"/>
      <c r="K65" s="70"/>
      <c r="L65" s="71"/>
      <c r="M65" s="71"/>
      <c r="N65" s="70"/>
      <c r="O65" s="70"/>
      <c r="P65" s="72"/>
      <c r="Q65" s="71"/>
      <c r="R65" s="70"/>
      <c r="S65" s="83"/>
      <c r="T65" s="70"/>
      <c r="U65" s="80"/>
      <c r="V65" s="70"/>
    </row>
    <row r="66" s="60" customFormat="1" ht="15" customHeight="1">
      <c r="A66" s="73"/>
      <c r="B66" s="77"/>
      <c r="C66" s="77"/>
      <c r="D66" s="62"/>
      <c r="E66" s="85"/>
      <c r="F66" s="85"/>
      <c r="G66" s="85"/>
      <c r="H66" s="85"/>
      <c r="I66" s="85"/>
      <c r="J66" s="62"/>
      <c r="K66" s="77"/>
      <c r="L66" s="85"/>
      <c r="M66" s="85"/>
      <c r="N66" s="77"/>
      <c r="O66" s="77"/>
      <c r="P66" s="72"/>
      <c r="Q66" s="85"/>
      <c r="R66" s="77"/>
      <c r="S66" s="83"/>
      <c r="T66" s="77"/>
      <c r="U66" s="88"/>
      <c r="V66" s="77"/>
    </row>
    <row r="67" ht="15" customHeight="1">
      <c r="A67" s="69"/>
      <c r="B67" s="70"/>
      <c r="C67" s="70"/>
      <c r="D67" s="56"/>
      <c r="E67" s="71"/>
      <c r="F67" s="71"/>
      <c r="G67" s="71"/>
      <c r="H67" s="71"/>
      <c r="I67" s="71"/>
      <c r="J67" s="56"/>
      <c r="K67" s="70"/>
      <c r="L67" s="71"/>
      <c r="M67" s="71"/>
      <c r="N67" s="70"/>
      <c r="O67" s="70"/>
      <c r="P67" s="58"/>
      <c r="Q67" s="71"/>
      <c r="R67" s="70"/>
      <c r="S67" s="37"/>
      <c r="T67" s="70"/>
      <c r="U67" s="80"/>
      <c r="V67" s="70"/>
    </row>
    <row r="68" ht="15" customHeight="1">
      <c r="A68" s="69"/>
      <c r="B68" s="70"/>
      <c r="C68" s="70"/>
      <c r="D68" s="56"/>
      <c r="E68" s="71"/>
      <c r="F68" s="71"/>
      <c r="G68" s="71"/>
      <c r="H68" s="71"/>
      <c r="I68" s="71"/>
      <c r="J68" s="56"/>
      <c r="K68" s="70"/>
      <c r="L68" s="71"/>
      <c r="M68" s="71"/>
      <c r="N68" s="70"/>
      <c r="O68" s="70"/>
      <c r="P68" s="72"/>
      <c r="Q68" s="71"/>
      <c r="R68" s="70"/>
      <c r="S68" s="83"/>
      <c r="T68" s="70"/>
      <c r="U68" s="80"/>
      <c r="V68" s="70"/>
    </row>
    <row r="69" s="60" customFormat="1" ht="15" customHeight="1">
      <c r="A69" s="84"/>
      <c r="B69" s="77"/>
      <c r="C69" s="77"/>
      <c r="D69" s="62"/>
      <c r="E69" s="85"/>
      <c r="F69" s="85"/>
      <c r="G69" s="85"/>
      <c r="H69" s="85"/>
      <c r="I69" s="85"/>
      <c r="J69" s="62"/>
      <c r="K69" s="77"/>
      <c r="L69" s="85"/>
      <c r="M69" s="85"/>
      <c r="N69" s="77"/>
      <c r="O69" s="77"/>
      <c r="P69" s="89"/>
      <c r="Q69" s="85"/>
      <c r="R69" s="77"/>
      <c r="S69" s="83"/>
      <c r="T69" s="77"/>
      <c r="U69" s="88"/>
      <c r="V69" s="77"/>
    </row>
    <row r="70" ht="15" customHeight="1">
      <c r="A70" s="69"/>
      <c r="B70" s="70"/>
      <c r="C70" s="70"/>
      <c r="D70" s="56"/>
      <c r="E70" s="71"/>
      <c r="F70" s="71"/>
      <c r="G70" s="71"/>
      <c r="H70" s="71"/>
      <c r="I70" s="71"/>
      <c r="J70" s="56"/>
      <c r="K70" s="70"/>
      <c r="L70" s="71"/>
      <c r="M70" s="71"/>
      <c r="N70" s="70"/>
      <c r="O70" s="70"/>
      <c r="P70" s="31"/>
      <c r="Q70" s="71"/>
      <c r="R70" s="70"/>
      <c r="S70" s="31"/>
      <c r="T70" s="70"/>
      <c r="U70" s="80"/>
      <c r="V70" s="70"/>
    </row>
    <row r="71" s="60" customFormat="1" ht="15" customHeight="1">
      <c r="A71" s="84"/>
      <c r="B71" s="77"/>
      <c r="C71" s="77"/>
      <c r="D71" s="62"/>
      <c r="E71" s="85"/>
      <c r="F71" s="85"/>
      <c r="G71" s="85"/>
      <c r="H71" s="85"/>
      <c r="I71" s="85"/>
      <c r="J71" s="62"/>
      <c r="K71" s="59"/>
      <c r="L71" s="85"/>
      <c r="M71" s="85"/>
      <c r="N71" s="59"/>
      <c r="O71" s="77"/>
      <c r="P71" s="89"/>
      <c r="Q71" s="85"/>
      <c r="R71" s="77"/>
      <c r="S71" s="89"/>
      <c r="T71" s="77"/>
      <c r="U71" s="88"/>
      <c r="V71" s="77"/>
    </row>
    <row r="72" ht="15" customHeight="1">
      <c r="A72" s="69"/>
      <c r="B72" s="70"/>
      <c r="C72" s="70"/>
      <c r="D72" s="56"/>
      <c r="E72" s="71"/>
      <c r="F72" s="71"/>
      <c r="G72" s="71"/>
      <c r="H72" s="71"/>
      <c r="I72" s="71"/>
      <c r="J72" s="56"/>
      <c r="K72" s="70"/>
      <c r="L72" s="71"/>
      <c r="M72" s="71"/>
      <c r="N72" s="70"/>
      <c r="O72" s="70"/>
      <c r="P72" s="31"/>
      <c r="Q72" s="71"/>
      <c r="R72" s="70"/>
      <c r="S72" s="31"/>
      <c r="T72" s="70"/>
      <c r="U72" s="80"/>
      <c r="V72" s="70"/>
    </row>
    <row r="73" s="60" customFormat="1" ht="15" customHeight="1">
      <c r="A73" s="84"/>
      <c r="B73" s="77"/>
      <c r="C73" s="77"/>
      <c r="D73" s="62"/>
      <c r="E73" s="85"/>
      <c r="F73" s="85"/>
      <c r="G73" s="85"/>
      <c r="H73" s="85"/>
      <c r="I73" s="85"/>
      <c r="J73" s="62"/>
      <c r="K73" s="59"/>
      <c r="L73" s="85"/>
      <c r="M73" s="85"/>
      <c r="N73" s="59"/>
      <c r="O73" s="77"/>
      <c r="P73" s="89"/>
      <c r="Q73" s="85"/>
      <c r="R73" s="77"/>
      <c r="S73" s="89"/>
      <c r="T73" s="77"/>
      <c r="U73" s="88"/>
      <c r="V73" s="77"/>
    </row>
    <row r="74" ht="15" customHeight="1">
      <c r="A74" s="69"/>
      <c r="B74" s="70"/>
      <c r="C74" s="70"/>
      <c r="D74" s="56"/>
      <c r="E74" s="71"/>
      <c r="F74" s="71"/>
      <c r="G74" s="71"/>
      <c r="H74" s="71"/>
      <c r="I74" s="71"/>
      <c r="J74" s="56"/>
      <c r="K74" s="70"/>
      <c r="L74" s="71"/>
      <c r="M74" s="71"/>
      <c r="N74" s="70"/>
      <c r="O74" s="70"/>
      <c r="P74" s="31"/>
      <c r="Q74" s="71"/>
      <c r="R74" s="70"/>
      <c r="S74" s="31"/>
      <c r="T74" s="70"/>
      <c r="U74" s="80"/>
      <c r="V74" s="70"/>
    </row>
    <row r="75" s="60" customFormat="1" ht="15" customHeight="1">
      <c r="A75" s="84"/>
      <c r="B75" s="77"/>
      <c r="C75" s="77"/>
      <c r="D75" s="62"/>
      <c r="E75" s="85"/>
      <c r="F75" s="85"/>
      <c r="G75" s="85"/>
      <c r="H75" s="85"/>
      <c r="I75" s="85"/>
      <c r="J75" s="62"/>
      <c r="K75" s="59"/>
      <c r="L75" s="85"/>
      <c r="M75" s="85"/>
      <c r="N75" s="59"/>
      <c r="O75" s="77"/>
      <c r="P75" s="89"/>
      <c r="Q75" s="85"/>
      <c r="R75" s="77"/>
      <c r="S75" s="89"/>
      <c r="T75" s="77"/>
      <c r="U75" s="88"/>
      <c r="V75" s="77"/>
    </row>
    <row r="76" ht="15" customHeight="1">
      <c r="A76" s="69"/>
      <c r="B76" s="70"/>
      <c r="C76" s="70"/>
      <c r="D76" s="56"/>
      <c r="E76" s="71"/>
      <c r="F76" s="71"/>
      <c r="G76" s="71"/>
      <c r="H76" s="71"/>
      <c r="I76" s="71"/>
      <c r="J76" s="56"/>
      <c r="K76" s="70"/>
      <c r="L76" s="71"/>
      <c r="M76" s="71"/>
      <c r="N76" s="70"/>
      <c r="O76" s="70"/>
      <c r="P76" s="31"/>
      <c r="Q76" s="71"/>
      <c r="R76" s="70"/>
      <c r="S76" s="31"/>
      <c r="T76" s="70"/>
      <c r="U76" s="80"/>
      <c r="V76" s="70"/>
    </row>
    <row r="77" ht="15" customHeight="1">
      <c r="A77" s="69"/>
      <c r="B77" s="70"/>
      <c r="C77" s="70"/>
      <c r="D77" s="56"/>
      <c r="E77" s="71"/>
      <c r="F77" s="71"/>
      <c r="G77" s="71"/>
      <c r="H77" s="71"/>
      <c r="I77" s="71"/>
      <c r="J77" s="56"/>
      <c r="K77" s="26"/>
      <c r="L77" s="71"/>
      <c r="M77" s="71"/>
      <c r="N77" s="26"/>
      <c r="O77" s="70"/>
      <c r="P77" s="72"/>
      <c r="Q77" s="71"/>
      <c r="R77" s="70"/>
      <c r="S77" s="72"/>
      <c r="T77" s="70"/>
      <c r="U77" s="80"/>
      <c r="V77" s="70"/>
    </row>
    <row r="78" ht="15" customHeight="1">
      <c r="A78" s="69"/>
      <c r="B78" s="70"/>
      <c r="C78" s="70"/>
      <c r="D78" s="56"/>
      <c r="E78" s="71"/>
      <c r="F78" s="71"/>
      <c r="G78" s="71"/>
      <c r="H78" s="71"/>
      <c r="I78" s="71"/>
      <c r="J78" s="56"/>
      <c r="K78" s="26"/>
      <c r="L78" s="71"/>
      <c r="M78" s="71"/>
      <c r="N78" s="26"/>
      <c r="O78" s="70"/>
      <c r="P78" s="36"/>
      <c r="Q78" s="71"/>
      <c r="R78" s="70"/>
      <c r="S78" s="72"/>
      <c r="T78" s="70"/>
      <c r="U78" s="80"/>
      <c r="V78" s="70"/>
    </row>
    <row r="79" s="60" customFormat="1" ht="15" customHeight="1">
      <c r="A79" s="84"/>
      <c r="B79" s="77"/>
      <c r="C79" s="77"/>
      <c r="D79" s="62"/>
      <c r="E79" s="85"/>
      <c r="F79" s="85"/>
      <c r="G79" s="85"/>
      <c r="H79" s="85"/>
      <c r="I79" s="85"/>
      <c r="J79" s="62"/>
      <c r="K79" s="59"/>
      <c r="L79" s="85"/>
      <c r="M79" s="85"/>
      <c r="N79" s="59"/>
      <c r="O79" s="77"/>
      <c r="P79" s="90"/>
      <c r="Q79" s="85"/>
      <c r="R79" s="77"/>
      <c r="S79" s="89"/>
      <c r="T79" s="77"/>
      <c r="U79" s="88"/>
      <c r="V79" s="77"/>
    </row>
    <row r="80" ht="15" customHeight="1">
      <c r="A80" s="69"/>
      <c r="B80" s="70"/>
      <c r="C80" s="70"/>
      <c r="D80" s="56"/>
      <c r="E80" s="71"/>
      <c r="F80" s="71"/>
      <c r="G80" s="71"/>
      <c r="H80" s="71"/>
      <c r="I80" s="71"/>
      <c r="J80" s="56"/>
      <c r="K80" s="70"/>
      <c r="L80" s="71"/>
      <c r="M80" s="71"/>
      <c r="N80" s="70"/>
      <c r="O80" s="70"/>
      <c r="P80" s="41"/>
      <c r="Q80" s="71"/>
      <c r="R80" s="70"/>
      <c r="S80" s="31"/>
      <c r="T80" s="70"/>
      <c r="U80" s="80"/>
      <c r="V80" s="70"/>
    </row>
    <row r="81" ht="15" customHeight="1">
      <c r="A81" s="69"/>
      <c r="B81" s="70"/>
      <c r="C81" s="70"/>
      <c r="D81" s="56"/>
      <c r="E81" s="71"/>
      <c r="F81" s="71"/>
      <c r="G81" s="71"/>
      <c r="H81" s="71"/>
      <c r="I81" s="71"/>
      <c r="J81" s="56"/>
      <c r="K81" s="70"/>
      <c r="L81" s="71"/>
      <c r="M81" s="71"/>
      <c r="N81" s="70"/>
      <c r="O81" s="70"/>
      <c r="P81" s="36"/>
      <c r="Q81" s="71"/>
      <c r="R81" s="70"/>
      <c r="S81" s="72"/>
      <c r="T81" s="70"/>
      <c r="U81" s="80"/>
      <c r="V81" s="70"/>
    </row>
    <row r="82" s="60" customFormat="1" ht="15" customHeight="1">
      <c r="A82" s="84"/>
      <c r="B82" s="77"/>
      <c r="C82" s="77"/>
      <c r="D82" s="62"/>
      <c r="E82" s="85"/>
      <c r="F82" s="85"/>
      <c r="G82" s="85"/>
      <c r="H82" s="85"/>
      <c r="I82" s="85"/>
      <c r="J82" s="62"/>
      <c r="K82" s="77"/>
      <c r="L82" s="85"/>
      <c r="M82" s="85"/>
      <c r="N82" s="59"/>
      <c r="O82" s="77"/>
      <c r="P82" s="90"/>
      <c r="Q82" s="85"/>
      <c r="R82" s="77"/>
      <c r="S82" s="89"/>
      <c r="T82" s="77"/>
      <c r="U82" s="88"/>
      <c r="V82" s="77"/>
    </row>
    <row r="83" ht="15" customHeight="1">
      <c r="A83" s="69"/>
      <c r="B83" s="70"/>
      <c r="C83" s="70"/>
      <c r="D83" s="56"/>
      <c r="E83" s="71"/>
      <c r="F83" s="71"/>
      <c r="G83" s="71"/>
      <c r="H83" s="71"/>
      <c r="I83" s="71"/>
      <c r="J83" s="56"/>
      <c r="K83" s="70"/>
      <c r="L83" s="71"/>
      <c r="M83" s="71"/>
      <c r="N83" s="70"/>
      <c r="O83" s="70"/>
      <c r="P83" s="41"/>
      <c r="Q83" s="71"/>
      <c r="R83" s="70"/>
      <c r="S83" s="31"/>
      <c r="T83" s="70"/>
      <c r="U83" s="80"/>
      <c r="V83" s="70"/>
    </row>
    <row r="84" ht="15" customHeight="1">
      <c r="A84" s="69"/>
      <c r="B84" s="70"/>
      <c r="C84" s="70"/>
      <c r="D84" s="56"/>
      <c r="E84" s="71"/>
      <c r="F84" s="71"/>
      <c r="G84" s="71"/>
      <c r="H84" s="71"/>
      <c r="I84" s="71"/>
      <c r="J84" s="56"/>
      <c r="K84" s="70"/>
      <c r="L84" s="71"/>
      <c r="M84" s="71"/>
      <c r="N84" s="70"/>
      <c r="O84" s="70"/>
      <c r="P84" s="36"/>
      <c r="Q84" s="71"/>
      <c r="R84" s="70"/>
      <c r="S84" s="72"/>
      <c r="T84" s="70"/>
      <c r="U84" s="80"/>
      <c r="V84" s="70"/>
    </row>
    <row r="85" s="60" customFormat="1" ht="15" customHeight="1">
      <c r="A85" s="84"/>
      <c r="B85" s="77"/>
      <c r="C85" s="77"/>
      <c r="D85" s="62"/>
      <c r="E85" s="85"/>
      <c r="F85" s="85"/>
      <c r="G85" s="85"/>
      <c r="H85" s="85"/>
      <c r="I85" s="85"/>
      <c r="J85" s="62"/>
      <c r="K85" s="77"/>
      <c r="L85" s="85"/>
      <c r="M85" s="85"/>
      <c r="N85" s="59"/>
      <c r="O85" s="77"/>
      <c r="P85" s="44"/>
      <c r="Q85" s="85"/>
      <c r="R85" s="77"/>
      <c r="S85" s="89"/>
      <c r="T85" s="77"/>
      <c r="U85" s="88"/>
      <c r="V85" s="77"/>
    </row>
    <row r="86" ht="15" customHeight="1">
      <c r="A86" s="69"/>
      <c r="B86" s="70"/>
      <c r="C86" s="70"/>
      <c r="D86" s="56"/>
      <c r="E86" s="71"/>
      <c r="F86" s="71"/>
      <c r="G86" s="71"/>
      <c r="H86" s="71"/>
      <c r="I86" s="71"/>
      <c r="J86" s="56"/>
      <c r="K86" s="70"/>
      <c r="L86" s="71"/>
      <c r="M86" s="71"/>
      <c r="N86" s="70"/>
      <c r="O86" s="70"/>
      <c r="P86" s="81"/>
      <c r="Q86" s="71"/>
      <c r="R86" s="70"/>
      <c r="S86" s="31"/>
      <c r="T86" s="70"/>
      <c r="U86" s="80"/>
      <c r="V86" s="70"/>
    </row>
    <row r="87" ht="15" customHeight="1">
      <c r="A87" s="69"/>
      <c r="B87" s="70"/>
      <c r="C87" s="70"/>
      <c r="D87" s="56"/>
      <c r="E87" s="71"/>
      <c r="F87" s="71"/>
      <c r="G87" s="71"/>
      <c r="H87" s="71"/>
      <c r="I87" s="71"/>
      <c r="J87" s="56"/>
      <c r="K87" s="70"/>
      <c r="L87" s="71"/>
      <c r="M87" s="71"/>
      <c r="N87" s="70"/>
      <c r="O87" s="70"/>
      <c r="P87" s="36"/>
      <c r="Q87" s="71"/>
      <c r="R87" s="70"/>
      <c r="S87" s="72"/>
      <c r="T87" s="70"/>
      <c r="U87" s="80"/>
      <c r="V87" s="70"/>
    </row>
    <row r="88" ht="15" customHeight="1">
      <c r="A88" s="69"/>
      <c r="B88" s="70"/>
      <c r="C88" s="70"/>
      <c r="D88" s="56"/>
      <c r="E88" s="71"/>
      <c r="F88" s="71"/>
      <c r="G88" s="71"/>
      <c r="H88" s="71"/>
      <c r="I88" s="71"/>
      <c r="J88" s="56"/>
      <c r="K88" s="70"/>
      <c r="L88" s="71"/>
      <c r="M88" s="71"/>
      <c r="N88" s="70"/>
      <c r="O88" s="70"/>
      <c r="P88" s="36"/>
      <c r="Q88" s="71"/>
      <c r="R88" s="70"/>
      <c r="S88" s="72"/>
      <c r="T88" s="70"/>
      <c r="U88" s="80"/>
      <c r="V88" s="70"/>
    </row>
    <row r="89" s="60" customFormat="1" ht="15" customHeight="1">
      <c r="A89" s="84"/>
      <c r="B89" s="77"/>
      <c r="C89" s="77"/>
      <c r="D89" s="62"/>
      <c r="E89" s="85"/>
      <c r="F89" s="85"/>
      <c r="G89" s="85"/>
      <c r="H89" s="85"/>
      <c r="I89" s="85"/>
      <c r="J89" s="62"/>
      <c r="K89" s="77"/>
      <c r="L89" s="85"/>
      <c r="M89" s="85"/>
      <c r="N89" s="77"/>
      <c r="O89" s="77"/>
      <c r="P89" s="44"/>
      <c r="Q89" s="85"/>
      <c r="R89" s="77"/>
      <c r="S89" s="89"/>
      <c r="T89" s="77"/>
      <c r="U89" s="88"/>
      <c r="V89" s="77"/>
    </row>
    <row r="90" ht="15" customHeight="1">
      <c r="A90" s="69"/>
      <c r="B90" s="70"/>
      <c r="C90" s="70"/>
      <c r="D90" s="56"/>
      <c r="E90" s="71"/>
      <c r="F90" s="71"/>
      <c r="G90" s="71"/>
      <c r="H90" s="71"/>
      <c r="I90" s="71"/>
      <c r="J90" s="56"/>
      <c r="K90" s="70"/>
      <c r="L90" s="71"/>
      <c r="M90" s="71"/>
      <c r="N90" s="70"/>
      <c r="O90" s="70"/>
      <c r="P90" s="58"/>
      <c r="Q90" s="71"/>
      <c r="R90" s="70"/>
      <c r="S90" s="31"/>
      <c r="T90" s="70"/>
      <c r="U90" s="80"/>
      <c r="V90" s="70"/>
    </row>
    <row r="91" ht="15" customHeight="1">
      <c r="A91" s="73"/>
      <c r="B91" s="59"/>
      <c r="C91" s="59"/>
      <c r="D91" s="64"/>
      <c r="E91" s="63"/>
      <c r="F91" s="63"/>
      <c r="G91" s="63"/>
      <c r="H91" s="63"/>
      <c r="I91" s="63"/>
      <c r="J91" s="64"/>
      <c r="K91" s="59"/>
      <c r="L91" s="63"/>
      <c r="M91" s="63"/>
      <c r="N91" s="59"/>
      <c r="O91" s="59"/>
      <c r="P91" s="89"/>
      <c r="Q91" s="63"/>
      <c r="R91" s="59"/>
      <c r="S91" s="75"/>
      <c r="T91" s="59"/>
      <c r="U91" s="68"/>
      <c r="V91" s="59"/>
    </row>
    <row r="92" ht="15" customHeight="1">
      <c r="A92" s="69"/>
      <c r="B92" s="70"/>
      <c r="C92" s="70"/>
      <c r="D92" s="70"/>
      <c r="E92" s="71"/>
      <c r="F92" s="71"/>
      <c r="G92" s="71"/>
      <c r="H92" s="71"/>
      <c r="I92" s="71"/>
      <c r="J92" s="70"/>
      <c r="K92" s="70"/>
      <c r="L92" s="71"/>
      <c r="M92" s="71"/>
      <c r="N92" s="70"/>
      <c r="O92" s="70"/>
      <c r="P92" s="41"/>
      <c r="Q92" s="71"/>
      <c r="R92" s="70"/>
      <c r="S92" s="53"/>
      <c r="T92" s="70"/>
      <c r="U92" s="80"/>
      <c r="V92" s="70"/>
    </row>
    <row r="93" ht="15" customHeight="1">
      <c r="A93" s="69"/>
      <c r="B93" s="70"/>
      <c r="C93" s="70"/>
      <c r="D93" s="70"/>
      <c r="E93" s="71"/>
      <c r="F93" s="71"/>
      <c r="G93" s="71"/>
      <c r="H93" s="71"/>
      <c r="I93" s="71"/>
      <c r="J93" s="70"/>
      <c r="K93" s="70"/>
      <c r="L93" s="71"/>
      <c r="M93" s="71"/>
      <c r="N93" s="70"/>
      <c r="O93" s="70"/>
      <c r="P93" s="36"/>
      <c r="Q93" s="71"/>
      <c r="R93" s="70"/>
      <c r="S93" s="72"/>
      <c r="T93" s="70"/>
      <c r="U93" s="80"/>
      <c r="V93" s="70"/>
    </row>
    <row r="94" ht="15" customHeight="1">
      <c r="A94" s="69"/>
      <c r="B94" s="70"/>
      <c r="C94" s="70"/>
      <c r="D94" s="70"/>
      <c r="E94" s="71"/>
      <c r="F94" s="71"/>
      <c r="G94" s="71"/>
      <c r="H94" s="71"/>
      <c r="I94" s="71"/>
      <c r="J94" s="70"/>
      <c r="K94" s="70"/>
      <c r="L94" s="71"/>
      <c r="M94" s="71"/>
      <c r="N94" s="70"/>
      <c r="O94" s="70"/>
      <c r="P94" s="36"/>
      <c r="Q94" s="71"/>
      <c r="R94" s="70"/>
      <c r="S94" s="72"/>
      <c r="T94" s="70"/>
      <c r="U94" s="80"/>
      <c r="V94" s="70"/>
    </row>
    <row r="95" ht="15" customHeight="1">
      <c r="A95" s="73"/>
      <c r="B95" s="59"/>
      <c r="C95" s="59"/>
      <c r="D95" s="59"/>
      <c r="E95" s="63"/>
      <c r="F95" s="63"/>
      <c r="G95" s="63"/>
      <c r="H95" s="63"/>
      <c r="I95" s="63"/>
      <c r="J95" s="59"/>
      <c r="K95" s="59"/>
      <c r="L95" s="63"/>
      <c r="M95" s="63"/>
      <c r="N95" s="59"/>
      <c r="O95" s="59"/>
      <c r="P95" s="44"/>
      <c r="Q95" s="71"/>
      <c r="R95" s="70"/>
      <c r="S95" s="89"/>
      <c r="T95" s="70"/>
      <c r="U95" s="80"/>
      <c r="V95" s="70"/>
    </row>
    <row r="96" ht="15" customHeight="1">
      <c r="A96" s="69"/>
      <c r="B96" s="70"/>
      <c r="C96" s="70"/>
      <c r="D96" s="70"/>
      <c r="E96" s="71"/>
      <c r="F96" s="71"/>
      <c r="G96" s="71"/>
      <c r="H96" s="71"/>
      <c r="I96" s="71"/>
      <c r="J96" s="70"/>
      <c r="K96" s="70"/>
      <c r="L96" s="71"/>
      <c r="M96" s="71"/>
      <c r="N96" s="70"/>
      <c r="O96" s="70"/>
      <c r="P96" s="70"/>
      <c r="Q96" s="28"/>
      <c r="R96" s="26"/>
      <c r="S96" s="30"/>
      <c r="T96" s="26"/>
      <c r="U96" s="33"/>
      <c r="V96" s="91"/>
    </row>
    <row r="97" ht="15" customHeight="1">
      <c r="A97" s="34"/>
      <c r="B97" s="26"/>
      <c r="C97" s="26"/>
      <c r="D97" s="26"/>
      <c r="E97" s="28"/>
      <c r="F97" s="28"/>
      <c r="G97" s="28"/>
      <c r="H97" s="28"/>
      <c r="I97" s="28"/>
      <c r="J97" s="26"/>
      <c r="K97" s="26"/>
      <c r="L97" s="28"/>
      <c r="M97" s="28"/>
      <c r="N97" s="26"/>
      <c r="O97" s="26"/>
      <c r="P97" s="26"/>
      <c r="Q97" s="28"/>
      <c r="R97" s="26"/>
      <c r="S97" s="30"/>
      <c r="T97" s="26"/>
      <c r="U97" s="33"/>
      <c r="V97" s="91"/>
    </row>
    <row r="98" ht="15" customHeight="1">
      <c r="A98" s="34"/>
      <c r="B98" s="26"/>
      <c r="C98" s="26"/>
      <c r="D98" s="26"/>
      <c r="E98" s="28"/>
      <c r="F98" s="28"/>
      <c r="G98" s="28"/>
      <c r="H98" s="28"/>
      <c r="I98" s="28"/>
      <c r="J98" s="26"/>
      <c r="K98" s="26"/>
      <c r="L98" s="28"/>
      <c r="M98" s="28"/>
      <c r="N98" s="26"/>
      <c r="O98" s="26"/>
      <c r="P98" s="26"/>
      <c r="Q98" s="28"/>
      <c r="R98" s="26"/>
      <c r="S98" s="30"/>
      <c r="T98" s="26"/>
      <c r="U98" s="33"/>
      <c r="V98" s="91"/>
    </row>
    <row r="99" ht="15" customHeight="1">
      <c r="A99" s="34"/>
      <c r="B99" s="26"/>
      <c r="C99" s="26"/>
      <c r="D99" s="26"/>
      <c r="E99" s="28"/>
      <c r="F99" s="28"/>
      <c r="G99" s="28"/>
      <c r="H99" s="28"/>
      <c r="I99" s="28"/>
      <c r="J99" s="26"/>
      <c r="K99" s="26"/>
      <c r="L99" s="28"/>
      <c r="M99" s="28"/>
      <c r="N99" s="26"/>
      <c r="O99" s="26"/>
      <c r="P99" s="26"/>
      <c r="Q99" s="28"/>
      <c r="R99" s="26"/>
      <c r="S99" s="30"/>
      <c r="T99" s="26"/>
      <c r="U99" s="33"/>
      <c r="V99" s="91"/>
    </row>
    <row r="100" ht="15" customHeight="1">
      <c r="A100" s="34"/>
      <c r="B100" s="26"/>
      <c r="C100" s="26"/>
      <c r="D100" s="26"/>
      <c r="E100" s="28"/>
      <c r="F100" s="28"/>
      <c r="G100" s="28"/>
      <c r="H100" s="28"/>
      <c r="I100" s="28"/>
      <c r="J100" s="26"/>
      <c r="K100" s="26"/>
      <c r="L100" s="28"/>
      <c r="M100" s="28"/>
      <c r="N100" s="26"/>
      <c r="O100" s="26"/>
      <c r="P100" s="26"/>
      <c r="Q100" s="28"/>
      <c r="R100" s="26"/>
      <c r="S100" s="30"/>
      <c r="T100" s="26"/>
      <c r="U100" s="33"/>
      <c r="V100" s="91"/>
    </row>
    <row r="101" ht="15" customHeight="1">
      <c r="A101" s="34"/>
      <c r="B101" s="26"/>
      <c r="C101" s="26"/>
      <c r="D101" s="26"/>
      <c r="E101" s="28"/>
      <c r="F101" s="28"/>
      <c r="G101" s="28"/>
      <c r="H101" s="28"/>
      <c r="I101" s="28"/>
      <c r="J101" s="26"/>
      <c r="K101" s="26"/>
      <c r="L101" s="28"/>
      <c r="M101" s="28"/>
      <c r="N101" s="26"/>
      <c r="O101" s="26"/>
      <c r="P101" s="26"/>
      <c r="Q101" s="28"/>
      <c r="R101" s="26"/>
      <c r="S101" s="30"/>
      <c r="T101" s="26"/>
      <c r="U101" s="33"/>
      <c r="V101" s="91"/>
    </row>
    <row r="102" ht="15" customHeight="1">
      <c r="A102" s="34"/>
      <c r="B102" s="26"/>
      <c r="C102" s="26"/>
      <c r="D102" s="26"/>
      <c r="E102" s="28"/>
      <c r="F102" s="28"/>
      <c r="G102" s="28"/>
      <c r="H102" s="28"/>
      <c r="I102" s="28"/>
      <c r="J102" s="26"/>
      <c r="K102" s="26"/>
      <c r="L102" s="28"/>
      <c r="M102" s="28"/>
      <c r="N102" s="26"/>
      <c r="O102" s="26"/>
      <c r="P102" s="26"/>
      <c r="Q102" s="28"/>
      <c r="R102" s="26"/>
      <c r="S102" s="30"/>
      <c r="T102" s="26"/>
      <c r="U102" s="33"/>
      <c r="V102" s="91"/>
    </row>
    <row r="103" ht="15" customHeight="1">
      <c r="A103" s="34"/>
      <c r="B103" s="26"/>
      <c r="C103" s="26"/>
      <c r="D103" s="26"/>
      <c r="E103" s="28"/>
      <c r="F103" s="28"/>
      <c r="G103" s="28"/>
      <c r="H103" s="28"/>
      <c r="I103" s="28"/>
      <c r="J103" s="26"/>
      <c r="K103" s="26"/>
      <c r="L103" s="28"/>
      <c r="M103" s="28"/>
      <c r="N103" s="26"/>
      <c r="O103" s="26"/>
      <c r="P103" s="26"/>
      <c r="Q103" s="28"/>
      <c r="R103" s="26"/>
      <c r="S103" s="30"/>
      <c r="T103" s="26"/>
      <c r="U103" s="33"/>
      <c r="V103" s="91"/>
    </row>
    <row r="104" ht="15" customHeight="1">
      <c r="A104" s="34"/>
      <c r="B104" s="26"/>
      <c r="C104" s="26"/>
      <c r="D104" s="26"/>
      <c r="E104" s="28"/>
      <c r="F104" s="28"/>
      <c r="G104" s="28"/>
      <c r="H104" s="28"/>
      <c r="I104" s="28"/>
      <c r="J104" s="26"/>
      <c r="K104" s="26"/>
      <c r="L104" s="28"/>
      <c r="M104" s="28"/>
      <c r="N104" s="26"/>
      <c r="O104" s="26"/>
      <c r="P104" s="26"/>
      <c r="Q104" s="28"/>
      <c r="R104" s="26"/>
      <c r="S104" s="30"/>
      <c r="T104" s="26"/>
      <c r="U104" s="33"/>
      <c r="V104" s="91"/>
    </row>
    <row r="105" ht="15" customHeight="1">
      <c r="A105" s="34"/>
      <c r="B105" s="26"/>
      <c r="C105" s="26"/>
      <c r="D105" s="26"/>
      <c r="E105" s="28"/>
      <c r="F105" s="28"/>
      <c r="G105" s="28"/>
      <c r="H105" s="28"/>
      <c r="I105" s="28"/>
      <c r="J105" s="26"/>
      <c r="K105" s="26"/>
      <c r="L105" s="28"/>
      <c r="M105" s="28"/>
      <c r="N105" s="26"/>
      <c r="O105" s="26"/>
      <c r="P105" s="26"/>
      <c r="Q105" s="28"/>
      <c r="R105" s="26"/>
      <c r="S105" s="30"/>
      <c r="T105" s="26"/>
      <c r="U105" s="33"/>
      <c r="V105" s="91"/>
    </row>
    <row r="106" ht="15" customHeight="1">
      <c r="A106" s="34"/>
      <c r="B106" s="26"/>
      <c r="C106" s="26"/>
      <c r="D106" s="26"/>
      <c r="E106" s="28"/>
      <c r="F106" s="28"/>
      <c r="G106" s="28"/>
      <c r="H106" s="28"/>
      <c r="I106" s="28"/>
      <c r="J106" s="26"/>
      <c r="K106" s="26"/>
      <c r="L106" s="28"/>
      <c r="M106" s="28"/>
      <c r="N106" s="26"/>
      <c r="O106" s="26"/>
      <c r="P106" s="26"/>
      <c r="Q106" s="28"/>
      <c r="R106" s="26"/>
      <c r="S106" s="30"/>
      <c r="T106" s="26"/>
      <c r="U106" s="33"/>
      <c r="V106" s="91"/>
    </row>
    <row r="107" ht="15" customHeight="1">
      <c r="A107" s="34"/>
      <c r="B107" s="26"/>
      <c r="C107" s="26"/>
      <c r="D107" s="26"/>
      <c r="E107" s="28"/>
      <c r="F107" s="28"/>
      <c r="G107" s="28"/>
      <c r="H107" s="28"/>
      <c r="I107" s="28"/>
      <c r="J107" s="26"/>
      <c r="K107" s="26"/>
      <c r="L107" s="28"/>
      <c r="M107" s="28"/>
      <c r="N107" s="26"/>
      <c r="O107" s="26"/>
      <c r="P107" s="26"/>
      <c r="Q107" s="28"/>
      <c r="R107" s="26"/>
      <c r="S107" s="30"/>
      <c r="T107" s="26"/>
      <c r="U107" s="33"/>
      <c r="V107" s="91"/>
    </row>
    <row r="108" ht="15" customHeight="1">
      <c r="A108" s="34"/>
      <c r="B108" s="26"/>
      <c r="C108" s="26"/>
      <c r="D108" s="26"/>
      <c r="E108" s="28"/>
      <c r="F108" s="28"/>
      <c r="G108" s="28"/>
      <c r="H108" s="28"/>
      <c r="I108" s="28"/>
      <c r="J108" s="26"/>
      <c r="K108" s="26"/>
      <c r="L108" s="28"/>
      <c r="M108" s="28"/>
      <c r="N108" s="26"/>
      <c r="O108" s="26"/>
      <c r="P108" s="26"/>
      <c r="Q108" s="28"/>
      <c r="R108" s="26"/>
      <c r="S108" s="30"/>
      <c r="T108" s="26"/>
      <c r="U108" s="33"/>
      <c r="V108" s="26"/>
    </row>
    <row r="109" ht="15" customHeight="1">
      <c r="A109" s="34"/>
      <c r="B109" s="26"/>
      <c r="C109" s="26"/>
      <c r="D109" s="26"/>
      <c r="E109" s="28"/>
      <c r="F109" s="28"/>
      <c r="G109" s="28"/>
      <c r="H109" s="28"/>
      <c r="I109" s="28"/>
      <c r="J109" s="26"/>
      <c r="K109" s="26"/>
      <c r="L109" s="28"/>
      <c r="M109" s="28"/>
      <c r="N109" s="26"/>
      <c r="O109" s="26"/>
      <c r="P109" s="26"/>
      <c r="Q109" s="28"/>
      <c r="R109" s="26"/>
      <c r="S109" s="30"/>
      <c r="T109" s="26"/>
      <c r="U109" s="33"/>
      <c r="V109" s="91"/>
    </row>
    <row r="110" ht="15" customHeight="1">
      <c r="A110" s="34"/>
      <c r="B110" s="26"/>
      <c r="C110" s="26"/>
      <c r="D110" s="26"/>
      <c r="E110" s="28"/>
      <c r="F110" s="28"/>
      <c r="G110" s="28"/>
      <c r="H110" s="28"/>
      <c r="I110" s="28"/>
      <c r="J110" s="26"/>
      <c r="K110" s="26"/>
      <c r="L110" s="28"/>
      <c r="M110" s="28"/>
      <c r="N110" s="26"/>
      <c r="O110" s="26"/>
      <c r="P110" s="26"/>
      <c r="Q110" s="28"/>
      <c r="R110" s="26"/>
      <c r="S110" s="30"/>
      <c r="T110" s="26"/>
      <c r="U110" s="33"/>
      <c r="V110" s="26"/>
    </row>
    <row r="111" ht="15" customHeight="1">
      <c r="A111" s="34"/>
      <c r="B111" s="26"/>
      <c r="C111" s="26"/>
      <c r="D111" s="26"/>
      <c r="E111" s="28"/>
      <c r="F111" s="28"/>
      <c r="G111" s="28"/>
      <c r="H111" s="28"/>
      <c r="I111" s="28"/>
      <c r="J111" s="26"/>
      <c r="K111" s="26"/>
      <c r="L111" s="28"/>
      <c r="M111" s="28"/>
      <c r="N111" s="26"/>
      <c r="O111" s="26"/>
      <c r="P111" s="26"/>
      <c r="Q111" s="28"/>
      <c r="R111" s="26"/>
      <c r="S111" s="30"/>
      <c r="T111" s="26"/>
      <c r="U111" s="33"/>
      <c r="V111" s="26"/>
    </row>
    <row r="112" ht="15" customHeight="1">
      <c r="A112" s="34"/>
      <c r="B112" s="26"/>
      <c r="C112" s="26"/>
      <c r="D112" s="26"/>
      <c r="E112" s="28"/>
      <c r="F112" s="28"/>
      <c r="G112" s="28"/>
      <c r="H112" s="28"/>
      <c r="I112" s="28"/>
      <c r="J112" s="26"/>
      <c r="K112" s="26"/>
      <c r="L112" s="28"/>
      <c r="M112" s="28"/>
      <c r="N112" s="26"/>
      <c r="O112" s="26"/>
      <c r="P112" s="26"/>
      <c r="Q112" s="28"/>
      <c r="R112" s="26"/>
      <c r="S112" s="30"/>
      <c r="T112" s="26"/>
      <c r="U112" s="33"/>
      <c r="V112" s="26"/>
    </row>
    <row r="113" ht="15" customHeight="1">
      <c r="A113" s="34"/>
      <c r="B113" s="26"/>
      <c r="C113" s="26"/>
      <c r="D113" s="26"/>
      <c r="E113" s="28"/>
      <c r="F113" s="28"/>
      <c r="G113" s="28"/>
      <c r="H113" s="28"/>
      <c r="I113" s="28"/>
      <c r="J113" s="26"/>
      <c r="K113" s="26"/>
      <c r="L113" s="28"/>
      <c r="M113" s="28"/>
      <c r="N113" s="26"/>
      <c r="O113" s="26"/>
      <c r="P113" s="26"/>
      <c r="Q113" s="28"/>
      <c r="R113" s="26"/>
      <c r="S113" s="30"/>
      <c r="T113" s="26"/>
      <c r="U113" s="33"/>
      <c r="V113" s="26"/>
    </row>
    <row r="114" ht="15" customHeight="1">
      <c r="A114" s="34"/>
      <c r="B114" s="26"/>
      <c r="C114" s="26"/>
      <c r="D114" s="26"/>
      <c r="E114" s="28"/>
      <c r="F114" s="28"/>
      <c r="G114" s="28"/>
      <c r="H114" s="28"/>
      <c r="I114" s="28"/>
      <c r="J114" s="26"/>
      <c r="K114" s="26"/>
      <c r="L114" s="28"/>
      <c r="M114" s="28"/>
      <c r="N114" s="26"/>
      <c r="O114" s="26"/>
      <c r="P114" s="26"/>
      <c r="Q114" s="28"/>
      <c r="R114" s="26"/>
      <c r="S114" s="30"/>
      <c r="T114" s="26"/>
      <c r="U114" s="33"/>
      <c r="V114" s="26"/>
    </row>
    <row r="115" ht="15" customHeight="1">
      <c r="A115" s="34"/>
      <c r="B115" s="26"/>
      <c r="C115" s="26"/>
      <c r="D115" s="26"/>
      <c r="E115" s="28"/>
      <c r="F115" s="28"/>
      <c r="G115" s="28"/>
      <c r="H115" s="28"/>
      <c r="I115" s="28"/>
      <c r="J115" s="26"/>
      <c r="K115" s="26"/>
      <c r="L115" s="28"/>
      <c r="M115" s="28"/>
      <c r="N115" s="26"/>
      <c r="O115" s="26"/>
      <c r="P115" s="26"/>
      <c r="Q115" s="28"/>
      <c r="R115" s="26"/>
      <c r="S115" s="30"/>
      <c r="T115" s="26"/>
      <c r="U115" s="33"/>
      <c r="V115" s="26"/>
    </row>
    <row r="116" ht="15" customHeight="1">
      <c r="A116" s="34"/>
      <c r="B116" s="26"/>
      <c r="C116" s="26"/>
      <c r="D116" s="26"/>
      <c r="E116" s="28"/>
      <c r="F116" s="28"/>
      <c r="G116" s="28"/>
      <c r="H116" s="28"/>
      <c r="I116" s="28"/>
      <c r="J116" s="26"/>
      <c r="K116" s="26"/>
      <c r="L116" s="28"/>
      <c r="M116" s="28"/>
      <c r="N116" s="26"/>
      <c r="O116" s="26"/>
      <c r="P116" s="26"/>
      <c r="Q116" s="28"/>
      <c r="R116" s="26"/>
      <c r="S116" s="30"/>
      <c r="T116" s="26"/>
      <c r="U116" s="33"/>
      <c r="V116" s="26"/>
    </row>
    <row r="117" ht="15" customHeight="1">
      <c r="A117" s="34"/>
      <c r="B117" s="26"/>
      <c r="C117" s="26"/>
      <c r="D117" s="26"/>
      <c r="E117" s="28"/>
      <c r="F117" s="28"/>
      <c r="G117" s="28"/>
      <c r="H117" s="28"/>
      <c r="I117" s="28"/>
      <c r="J117" s="26"/>
      <c r="K117" s="26"/>
      <c r="L117" s="28"/>
      <c r="M117" s="28"/>
      <c r="N117" s="26"/>
      <c r="O117" s="26"/>
      <c r="P117" s="26"/>
      <c r="Q117" s="28"/>
      <c r="R117" s="26"/>
      <c r="S117" s="30"/>
      <c r="T117" s="26"/>
      <c r="U117" s="33"/>
      <c r="V117" s="26"/>
    </row>
    <row r="118" ht="15" customHeight="1">
      <c r="A118" s="34"/>
      <c r="B118" s="26"/>
      <c r="C118" s="26"/>
      <c r="D118" s="26"/>
      <c r="E118" s="28"/>
      <c r="F118" s="28"/>
      <c r="G118" s="28"/>
      <c r="H118" s="28"/>
      <c r="I118" s="28"/>
      <c r="J118" s="26"/>
      <c r="K118" s="26"/>
      <c r="L118" s="28"/>
      <c r="M118" s="28"/>
      <c r="N118" s="26"/>
      <c r="O118" s="26"/>
      <c r="P118" s="26"/>
      <c r="Q118" s="28"/>
      <c r="R118" s="26"/>
      <c r="S118" s="30"/>
      <c r="T118" s="26"/>
      <c r="U118" s="33"/>
      <c r="V118" s="26"/>
    </row>
    <row r="119" ht="15" customHeight="1">
      <c r="A119" s="34"/>
      <c r="B119" s="26"/>
      <c r="C119" s="26"/>
      <c r="D119" s="27"/>
      <c r="E119" s="28"/>
      <c r="F119" s="28"/>
      <c r="G119" s="28"/>
      <c r="H119" s="28"/>
      <c r="I119" s="28"/>
      <c r="J119" s="26"/>
      <c r="K119" s="26"/>
      <c r="L119" s="28"/>
      <c r="M119" s="28"/>
      <c r="N119" s="26"/>
      <c r="O119" s="26"/>
      <c r="P119" s="26"/>
      <c r="Q119" s="28"/>
      <c r="R119" s="26"/>
      <c r="S119" s="30"/>
      <c r="T119" s="26"/>
      <c r="U119" s="33"/>
      <c r="V119" s="26"/>
    </row>
    <row r="120" ht="15" customHeight="1">
      <c r="A120" s="34"/>
      <c r="B120" s="26"/>
      <c r="C120" s="26"/>
      <c r="D120" s="27"/>
      <c r="E120" s="28"/>
      <c r="F120" s="28"/>
      <c r="G120" s="28"/>
      <c r="H120" s="28"/>
      <c r="I120" s="28"/>
      <c r="J120" s="26"/>
      <c r="K120" s="26"/>
      <c r="L120" s="28"/>
      <c r="M120" s="28"/>
      <c r="N120" s="26"/>
      <c r="O120" s="26"/>
      <c r="P120" s="26"/>
      <c r="Q120" s="28"/>
      <c r="R120" s="26"/>
      <c r="S120" s="30"/>
      <c r="T120" s="26"/>
      <c r="U120" s="33"/>
      <c r="V120" s="26"/>
    </row>
    <row r="121" ht="15" customHeight="1">
      <c r="A121" s="34"/>
      <c r="B121" s="26"/>
      <c r="C121" s="26"/>
      <c r="D121" s="27"/>
      <c r="E121" s="28"/>
      <c r="F121" s="28"/>
      <c r="G121" s="28"/>
      <c r="H121" s="28"/>
      <c r="I121" s="28"/>
      <c r="J121" s="26"/>
      <c r="K121" s="26"/>
      <c r="L121" s="28"/>
      <c r="M121" s="28"/>
      <c r="N121" s="26"/>
      <c r="O121" s="26"/>
      <c r="P121" s="26"/>
      <c r="Q121" s="28"/>
      <c r="R121" s="26"/>
      <c r="S121" s="30"/>
      <c r="T121" s="26"/>
      <c r="U121" s="33"/>
      <c r="V121" s="26"/>
    </row>
    <row r="122" ht="15" customHeight="1">
      <c r="A122" s="34"/>
      <c r="B122" s="26"/>
      <c r="C122" s="26"/>
      <c r="D122" s="27"/>
      <c r="E122" s="28"/>
      <c r="F122" s="28"/>
      <c r="G122" s="28"/>
      <c r="H122" s="28"/>
      <c r="I122" s="28"/>
      <c r="J122" s="26"/>
      <c r="K122" s="26"/>
      <c r="L122" s="28"/>
      <c r="M122" s="28"/>
      <c r="N122" s="26"/>
      <c r="O122" s="26"/>
      <c r="P122" s="26"/>
      <c r="Q122" s="28"/>
      <c r="R122" s="26"/>
      <c r="S122" s="30"/>
      <c r="T122" s="26"/>
      <c r="U122" s="33"/>
      <c r="V122" s="26"/>
    </row>
    <row r="123" ht="15" customHeight="1">
      <c r="A123" s="34"/>
      <c r="B123" s="26"/>
      <c r="C123" s="26"/>
      <c r="D123" s="27"/>
      <c r="E123" s="28"/>
      <c r="F123" s="28"/>
      <c r="G123" s="28"/>
      <c r="H123" s="28"/>
      <c r="I123" s="28"/>
      <c r="J123" s="26"/>
      <c r="K123" s="26"/>
      <c r="L123" s="28"/>
      <c r="M123" s="28"/>
      <c r="N123" s="26"/>
      <c r="O123" s="26"/>
      <c r="P123" s="26"/>
      <c r="Q123" s="28"/>
      <c r="R123" s="26"/>
      <c r="S123" s="30"/>
      <c r="T123" s="26"/>
      <c r="U123" s="33"/>
      <c r="V123" s="26"/>
    </row>
    <row r="124" ht="15" customHeight="1">
      <c r="A124" s="34"/>
      <c r="B124" s="26"/>
      <c r="C124" s="26"/>
      <c r="D124" s="27"/>
      <c r="E124" s="28"/>
      <c r="F124" s="28"/>
      <c r="G124" s="28"/>
      <c r="H124" s="28"/>
      <c r="I124" s="28"/>
      <c r="J124" s="26"/>
      <c r="K124" s="26"/>
      <c r="L124" s="28"/>
      <c r="M124" s="28"/>
      <c r="N124" s="26"/>
      <c r="O124" s="26"/>
      <c r="P124" s="26"/>
      <c r="Q124" s="28"/>
      <c r="R124" s="26"/>
      <c r="S124" s="30"/>
      <c r="T124" s="26"/>
      <c r="U124" s="33"/>
      <c r="V124" s="26"/>
    </row>
    <row r="125" ht="15" customHeight="1">
      <c r="A125" s="34"/>
      <c r="B125" s="26"/>
      <c r="C125" s="26"/>
      <c r="D125" s="27"/>
      <c r="E125" s="28"/>
      <c r="F125" s="28"/>
      <c r="G125" s="28"/>
      <c r="H125" s="28"/>
      <c r="I125" s="28"/>
      <c r="J125" s="26"/>
      <c r="K125" s="26"/>
      <c r="L125" s="28"/>
      <c r="M125" s="28"/>
      <c r="N125" s="26"/>
      <c r="O125" s="26"/>
      <c r="P125" s="26"/>
      <c r="Q125" s="28"/>
      <c r="R125" s="26"/>
      <c r="S125" s="30"/>
      <c r="T125" s="26"/>
      <c r="U125" s="33"/>
      <c r="V125" s="26"/>
    </row>
    <row r="126" ht="15" customHeight="1">
      <c r="A126" s="34"/>
      <c r="B126" s="26"/>
      <c r="C126" s="26"/>
      <c r="D126" s="92"/>
      <c r="E126" s="28"/>
      <c r="F126" s="28"/>
      <c r="G126" s="28"/>
      <c r="H126" s="28"/>
      <c r="I126" s="28"/>
      <c r="J126" s="26"/>
      <c r="K126" s="26"/>
      <c r="L126" s="28"/>
      <c r="M126" s="28"/>
      <c r="N126" s="26"/>
      <c r="O126" s="26"/>
      <c r="P126" s="26"/>
      <c r="Q126" s="28"/>
      <c r="R126" s="26"/>
      <c r="S126" s="30"/>
      <c r="T126" s="26"/>
      <c r="U126" s="33"/>
      <c r="V126" s="26"/>
    </row>
    <row r="127" ht="15" customHeight="1">
      <c r="A127" s="34"/>
      <c r="B127" s="26"/>
      <c r="C127" s="26"/>
      <c r="D127" s="92"/>
      <c r="E127" s="28"/>
      <c r="F127" s="28"/>
      <c r="G127" s="28"/>
      <c r="H127" s="28"/>
      <c r="I127" s="28"/>
      <c r="J127" s="26"/>
      <c r="K127" s="26"/>
      <c r="L127" s="28"/>
      <c r="M127" s="28"/>
      <c r="N127" s="26"/>
      <c r="O127" s="26"/>
      <c r="P127" s="26"/>
      <c r="Q127" s="28"/>
      <c r="R127" s="26"/>
      <c r="S127" s="30"/>
      <c r="T127" s="26"/>
      <c r="U127" s="33"/>
      <c r="V127" s="26"/>
    </row>
    <row r="128" ht="15" customHeight="1">
      <c r="A128" s="34"/>
      <c r="B128" s="26"/>
      <c r="C128" s="26"/>
      <c r="D128" s="92"/>
      <c r="E128" s="28"/>
      <c r="F128" s="28"/>
      <c r="G128" s="28"/>
      <c r="H128" s="28"/>
      <c r="I128" s="28"/>
      <c r="J128" s="26"/>
      <c r="K128" s="26"/>
      <c r="L128" s="28"/>
      <c r="M128" s="28"/>
      <c r="N128" s="26"/>
      <c r="O128" s="26"/>
      <c r="P128" s="26"/>
      <c r="Q128" s="28"/>
      <c r="R128" s="26"/>
      <c r="S128" s="30"/>
      <c r="T128" s="26"/>
      <c r="U128" s="33"/>
      <c r="V128" s="91"/>
    </row>
    <row r="129" ht="15" customHeight="1">
      <c r="A129" s="34"/>
      <c r="B129" s="26"/>
      <c r="C129" s="26"/>
      <c r="D129" s="27"/>
      <c r="E129" s="28"/>
      <c r="F129" s="28"/>
      <c r="G129" s="28"/>
      <c r="H129" s="28"/>
      <c r="I129" s="28"/>
      <c r="J129" s="26"/>
      <c r="K129" s="26"/>
      <c r="L129" s="28"/>
      <c r="M129" s="28"/>
      <c r="N129" s="26"/>
      <c r="O129" s="26"/>
      <c r="P129" s="26"/>
      <c r="Q129" s="28"/>
      <c r="R129" s="26"/>
      <c r="S129" s="30"/>
      <c r="T129" s="26"/>
      <c r="U129" s="33"/>
      <c r="V129" s="26"/>
    </row>
    <row r="130" ht="15" customHeight="1">
      <c r="A130" s="34"/>
      <c r="B130" s="26"/>
      <c r="C130" s="26"/>
      <c r="D130" s="27"/>
      <c r="E130" s="28"/>
      <c r="F130" s="28"/>
      <c r="G130" s="28"/>
      <c r="H130" s="28"/>
      <c r="I130" s="28"/>
      <c r="J130" s="26"/>
      <c r="K130" s="26"/>
      <c r="L130" s="28"/>
      <c r="M130" s="28"/>
      <c r="N130" s="26"/>
      <c r="O130" s="26"/>
      <c r="P130" s="26"/>
      <c r="Q130" s="28"/>
      <c r="R130" s="26"/>
      <c r="S130" s="30"/>
      <c r="T130" s="26"/>
      <c r="U130" s="33"/>
      <c r="V130" s="26"/>
    </row>
    <row r="131" ht="15" customHeight="1">
      <c r="A131" s="34"/>
      <c r="B131" s="26"/>
      <c r="C131" s="26"/>
      <c r="D131" s="27"/>
      <c r="E131" s="28"/>
      <c r="F131" s="28"/>
      <c r="G131" s="28"/>
      <c r="H131" s="28"/>
      <c r="I131" s="28"/>
      <c r="J131" s="26"/>
      <c r="K131" s="26"/>
      <c r="L131" s="28"/>
      <c r="M131" s="28"/>
      <c r="N131" s="26"/>
      <c r="O131" s="26"/>
      <c r="P131" s="26"/>
      <c r="Q131" s="28"/>
      <c r="R131" s="26"/>
      <c r="S131" s="30"/>
      <c r="T131" s="26"/>
      <c r="U131" s="33"/>
      <c r="V131" s="26"/>
    </row>
    <row r="132" ht="15" customHeight="1">
      <c r="A132" s="34"/>
      <c r="B132" s="26"/>
      <c r="C132" s="26"/>
      <c r="D132" s="27"/>
      <c r="E132" s="28"/>
      <c r="F132" s="28"/>
      <c r="G132" s="28"/>
      <c r="H132" s="28"/>
      <c r="I132" s="28"/>
      <c r="J132" s="26"/>
      <c r="K132" s="26"/>
      <c r="L132" s="28"/>
      <c r="M132" s="28"/>
      <c r="N132" s="26"/>
      <c r="O132" s="26"/>
      <c r="P132" s="26"/>
      <c r="Q132" s="28"/>
      <c r="R132" s="26"/>
      <c r="S132" s="30"/>
      <c r="T132" s="26"/>
      <c r="U132" s="33"/>
      <c r="V132" s="26"/>
    </row>
    <row r="133" ht="15" customHeight="1">
      <c r="A133" s="34"/>
      <c r="B133" s="26"/>
      <c r="C133" s="26"/>
      <c r="D133" s="27"/>
      <c r="E133" s="28"/>
      <c r="F133" s="28"/>
      <c r="G133" s="28"/>
      <c r="H133" s="28"/>
      <c r="I133" s="28"/>
      <c r="J133" s="26"/>
      <c r="K133" s="26"/>
      <c r="L133" s="28"/>
      <c r="M133" s="28"/>
      <c r="N133" s="26"/>
      <c r="O133" s="26"/>
      <c r="P133" s="26"/>
      <c r="Q133" s="28"/>
      <c r="R133" s="26"/>
      <c r="S133" s="30"/>
      <c r="T133" s="26"/>
      <c r="U133" s="33"/>
      <c r="V133" s="26"/>
    </row>
    <row r="134" ht="15" customHeight="1">
      <c r="A134" s="34"/>
      <c r="B134" s="26"/>
      <c r="C134" s="26"/>
      <c r="D134" s="27"/>
      <c r="E134" s="28"/>
      <c r="F134" s="28"/>
      <c r="G134" s="28"/>
      <c r="H134" s="28"/>
      <c r="I134" s="28"/>
      <c r="J134" s="26"/>
      <c r="K134" s="26"/>
      <c r="L134" s="28"/>
      <c r="M134" s="28"/>
      <c r="N134" s="26"/>
      <c r="O134" s="26"/>
      <c r="P134" s="26"/>
      <c r="Q134" s="28"/>
      <c r="R134" s="26"/>
      <c r="S134" s="30"/>
      <c r="T134" s="26"/>
      <c r="U134" s="33"/>
      <c r="V134" s="26"/>
    </row>
    <row r="135" ht="15" customHeight="1">
      <c r="A135" s="34"/>
      <c r="B135" s="26"/>
      <c r="C135" s="26"/>
      <c r="D135" s="27"/>
      <c r="E135" s="28"/>
      <c r="F135" s="28"/>
      <c r="G135" s="28"/>
      <c r="H135" s="28"/>
      <c r="I135" s="28"/>
      <c r="J135" s="26"/>
      <c r="K135" s="26"/>
      <c r="L135" s="28"/>
      <c r="M135" s="28"/>
      <c r="N135" s="26"/>
      <c r="O135" s="26"/>
      <c r="P135" s="26"/>
      <c r="Q135" s="28"/>
      <c r="R135" s="26"/>
      <c r="S135" s="30"/>
      <c r="T135" s="26"/>
      <c r="U135" s="33"/>
      <c r="V135" s="26"/>
    </row>
    <row r="136" ht="15" customHeight="1">
      <c r="A136" s="34"/>
      <c r="B136" s="26"/>
      <c r="C136" s="26"/>
      <c r="D136" s="27"/>
      <c r="E136" s="28"/>
      <c r="F136" s="28"/>
      <c r="G136" s="28"/>
      <c r="H136" s="28"/>
      <c r="I136" s="28"/>
      <c r="J136" s="26"/>
      <c r="K136" s="26"/>
      <c r="L136" s="28"/>
      <c r="M136" s="28"/>
      <c r="N136" s="26"/>
      <c r="O136" s="26"/>
      <c r="P136" s="26"/>
      <c r="Q136" s="28"/>
      <c r="R136" s="26"/>
      <c r="S136" s="30"/>
      <c r="T136" s="26"/>
      <c r="U136" s="33"/>
      <c r="V136" s="26"/>
    </row>
    <row r="137" ht="15" customHeight="1">
      <c r="A137" s="34"/>
      <c r="B137" s="26"/>
      <c r="C137" s="26"/>
      <c r="D137" s="27"/>
      <c r="E137" s="28"/>
      <c r="F137" s="28"/>
      <c r="G137" s="28"/>
      <c r="H137" s="28"/>
      <c r="I137" s="28"/>
      <c r="J137" s="26"/>
      <c r="K137" s="26"/>
      <c r="L137" s="28"/>
      <c r="M137" s="28"/>
      <c r="N137" s="26"/>
      <c r="O137" s="26"/>
      <c r="P137" s="26"/>
      <c r="Q137" s="28"/>
      <c r="R137" s="26"/>
      <c r="S137" s="30"/>
      <c r="T137" s="26"/>
      <c r="U137" s="33"/>
      <c r="V137" s="26"/>
    </row>
    <row r="138" ht="15" customHeight="1">
      <c r="A138" s="34"/>
      <c r="B138" s="26"/>
      <c r="C138" s="26"/>
      <c r="D138" s="27"/>
      <c r="E138" s="28"/>
      <c r="F138" s="28"/>
      <c r="G138" s="28"/>
      <c r="H138" s="28"/>
      <c r="I138" s="28"/>
      <c r="J138" s="26"/>
      <c r="K138" s="26"/>
      <c r="L138" s="28"/>
      <c r="M138" s="28"/>
      <c r="N138" s="26"/>
      <c r="O138" s="26"/>
      <c r="P138" s="26"/>
      <c r="Q138" s="28"/>
      <c r="R138" s="26"/>
      <c r="S138" s="30"/>
      <c r="T138" s="26"/>
      <c r="U138" s="33"/>
      <c r="V138" s="26"/>
    </row>
    <row r="139" ht="15" customHeight="1">
      <c r="A139" s="34"/>
      <c r="B139" s="26"/>
      <c r="C139" s="26"/>
      <c r="D139" s="27"/>
      <c r="E139" s="28"/>
      <c r="F139" s="28"/>
      <c r="G139" s="28"/>
      <c r="H139" s="28"/>
      <c r="I139" s="28"/>
      <c r="J139" s="26"/>
      <c r="K139" s="26"/>
      <c r="L139" s="28"/>
      <c r="M139" s="28"/>
      <c r="N139" s="26"/>
      <c r="O139" s="26"/>
      <c r="P139" s="26"/>
      <c r="Q139" s="28"/>
      <c r="R139" s="26"/>
      <c r="S139" s="30"/>
      <c r="T139" s="26"/>
      <c r="U139" s="33"/>
      <c r="V139" s="93"/>
    </row>
    <row r="140" ht="15" customHeight="1">
      <c r="A140" s="34"/>
      <c r="B140" s="26"/>
      <c r="C140" s="26"/>
      <c r="D140" s="27"/>
      <c r="E140" s="28"/>
      <c r="F140" s="28"/>
      <c r="G140" s="28"/>
      <c r="H140" s="28"/>
      <c r="I140" s="28"/>
      <c r="J140" s="26"/>
      <c r="K140" s="26"/>
      <c r="L140" s="28"/>
      <c r="M140" s="28"/>
      <c r="N140" s="26"/>
      <c r="O140" s="26"/>
      <c r="P140" s="26"/>
      <c r="Q140" s="28"/>
      <c r="R140" s="26"/>
      <c r="S140" s="30"/>
      <c r="T140" s="26"/>
      <c r="U140" s="33"/>
      <c r="V140" s="26"/>
    </row>
    <row r="141" ht="15" customHeight="1">
      <c r="A141" s="34"/>
      <c r="B141" s="26"/>
      <c r="C141" s="26"/>
      <c r="D141" s="27"/>
      <c r="E141" s="28"/>
      <c r="F141" s="28"/>
      <c r="G141" s="28"/>
      <c r="H141" s="28"/>
      <c r="I141" s="28"/>
      <c r="J141" s="26"/>
      <c r="K141" s="26"/>
      <c r="L141" s="28"/>
      <c r="M141" s="28"/>
      <c r="N141" s="26"/>
      <c r="O141" s="26"/>
      <c r="P141" s="26"/>
      <c r="Q141" s="28"/>
      <c r="R141" s="26"/>
      <c r="S141" s="30"/>
      <c r="T141" s="26"/>
      <c r="U141" s="33"/>
      <c r="V141" s="26"/>
    </row>
    <row r="142" ht="15" customHeight="1">
      <c r="A142" s="34"/>
      <c r="B142" s="26"/>
      <c r="C142" s="26"/>
      <c r="D142" s="27"/>
      <c r="E142" s="28"/>
      <c r="F142" s="28"/>
      <c r="G142" s="28"/>
      <c r="H142" s="28"/>
      <c r="I142" s="28"/>
      <c r="J142" s="26"/>
      <c r="K142" s="26"/>
      <c r="L142" s="28"/>
      <c r="M142" s="28"/>
      <c r="N142" s="26"/>
      <c r="O142" s="26"/>
      <c r="P142" s="26"/>
      <c r="Q142" s="28"/>
      <c r="R142" s="26"/>
      <c r="S142" s="30"/>
      <c r="T142" s="26"/>
      <c r="U142" s="33"/>
      <c r="V142" s="26"/>
    </row>
    <row r="143" ht="15" customHeight="1">
      <c r="A143" s="34"/>
      <c r="B143" s="26"/>
      <c r="C143" s="26"/>
      <c r="D143" s="27"/>
      <c r="E143" s="28"/>
      <c r="F143" s="28"/>
      <c r="G143" s="28"/>
      <c r="H143" s="28"/>
      <c r="I143" s="28"/>
      <c r="J143" s="26"/>
      <c r="K143" s="26"/>
      <c r="L143" s="28"/>
      <c r="M143" s="28"/>
      <c r="N143" s="26"/>
      <c r="O143" s="26"/>
      <c r="P143" s="26"/>
      <c r="Q143" s="28"/>
      <c r="R143" s="26"/>
      <c r="S143" s="30"/>
      <c r="T143" s="26"/>
      <c r="U143" s="33"/>
      <c r="V143" s="26"/>
    </row>
    <row r="144" ht="15" customHeight="1">
      <c r="A144" s="34"/>
      <c r="B144" s="26"/>
      <c r="C144" s="26"/>
      <c r="D144" s="27"/>
      <c r="E144" s="28"/>
      <c r="F144" s="28"/>
      <c r="G144" s="28"/>
      <c r="H144" s="28"/>
      <c r="I144" s="28"/>
      <c r="J144" s="26"/>
      <c r="K144" s="26"/>
      <c r="L144" s="28"/>
      <c r="M144" s="28"/>
      <c r="N144" s="26"/>
      <c r="O144" s="26"/>
      <c r="P144" s="26"/>
      <c r="Q144" s="28"/>
      <c r="R144" s="26"/>
      <c r="S144" s="30"/>
      <c r="T144" s="26"/>
      <c r="U144" s="33"/>
      <c r="V144" s="93"/>
    </row>
    <row r="145" ht="15" customHeight="1">
      <c r="A145" s="34"/>
      <c r="B145" s="26"/>
      <c r="C145" s="26"/>
      <c r="D145" s="27"/>
      <c r="E145" s="28"/>
      <c r="F145" s="28"/>
      <c r="G145" s="28"/>
      <c r="H145" s="28"/>
      <c r="I145" s="28"/>
      <c r="J145" s="26"/>
      <c r="K145" s="26"/>
      <c r="L145" s="28"/>
      <c r="M145" s="28"/>
      <c r="N145" s="26"/>
      <c r="O145" s="26"/>
      <c r="P145" s="26"/>
      <c r="Q145" s="28"/>
      <c r="R145" s="26"/>
      <c r="S145" s="30"/>
      <c r="T145" s="26"/>
      <c r="U145" s="33"/>
      <c r="V145" s="26"/>
    </row>
    <row r="146" ht="15" customHeight="1">
      <c r="A146" s="34"/>
      <c r="B146" s="26"/>
      <c r="C146" s="26"/>
      <c r="D146" s="27"/>
      <c r="E146" s="28"/>
      <c r="F146" s="28"/>
      <c r="G146" s="28"/>
      <c r="H146" s="28"/>
      <c r="I146" s="28"/>
      <c r="J146" s="26"/>
      <c r="K146" s="26"/>
      <c r="L146" s="28"/>
      <c r="M146" s="28"/>
      <c r="N146" s="26"/>
      <c r="O146" s="26"/>
      <c r="P146" s="26"/>
      <c r="Q146" s="28"/>
      <c r="R146" s="26"/>
      <c r="S146" s="30"/>
      <c r="T146" s="26"/>
      <c r="U146" s="33"/>
      <c r="V146" s="26"/>
    </row>
    <row r="147" ht="15" customHeight="1">
      <c r="A147" s="34"/>
      <c r="B147" s="26"/>
      <c r="C147" s="26"/>
      <c r="D147" s="27"/>
      <c r="E147" s="28"/>
      <c r="F147" s="28"/>
      <c r="G147" s="28"/>
      <c r="H147" s="28"/>
      <c r="I147" s="28"/>
      <c r="J147" s="26"/>
      <c r="K147" s="26"/>
      <c r="L147" s="28"/>
      <c r="M147" s="28"/>
      <c r="N147" s="26"/>
      <c r="O147" s="26"/>
      <c r="P147" s="26"/>
      <c r="Q147" s="28"/>
      <c r="R147" s="26"/>
      <c r="S147" s="30"/>
      <c r="T147" s="26"/>
      <c r="U147" s="33"/>
      <c r="V147" s="26"/>
    </row>
    <row r="148" ht="15" customHeight="1">
      <c r="A148" s="34"/>
      <c r="B148" s="26"/>
      <c r="C148" s="26"/>
      <c r="D148" s="27"/>
      <c r="E148" s="28"/>
      <c r="F148" s="28"/>
      <c r="G148" s="28"/>
      <c r="H148" s="28"/>
      <c r="I148" s="28"/>
      <c r="J148" s="26"/>
      <c r="K148" s="26"/>
      <c r="L148" s="28"/>
      <c r="M148" s="28"/>
      <c r="N148" s="26"/>
      <c r="O148" s="26"/>
      <c r="P148" s="26"/>
      <c r="Q148" s="28"/>
      <c r="R148" s="26"/>
      <c r="S148" s="30"/>
      <c r="T148" s="26"/>
      <c r="U148" s="33"/>
      <c r="V148" s="26"/>
    </row>
    <row r="149" ht="15" customHeight="1">
      <c r="A149" s="34"/>
      <c r="B149" s="26"/>
      <c r="C149" s="26"/>
      <c r="D149" s="27"/>
      <c r="E149" s="28"/>
      <c r="F149" s="28"/>
      <c r="G149" s="28"/>
      <c r="H149" s="28"/>
      <c r="I149" s="28"/>
      <c r="J149" s="26"/>
      <c r="K149" s="26"/>
      <c r="L149" s="28"/>
      <c r="M149" s="28"/>
      <c r="N149" s="26"/>
      <c r="O149" s="26"/>
      <c r="P149" s="26"/>
      <c r="Q149" s="28"/>
      <c r="R149" s="26"/>
      <c r="S149" s="30"/>
      <c r="T149" s="26"/>
      <c r="U149" s="33"/>
      <c r="V149" s="91"/>
    </row>
    <row r="150" ht="15" customHeight="1">
      <c r="A150" s="34"/>
      <c r="B150" s="26"/>
      <c r="C150" s="26"/>
      <c r="D150" s="27"/>
      <c r="E150" s="28"/>
      <c r="F150" s="28"/>
      <c r="G150" s="28"/>
      <c r="H150" s="28"/>
      <c r="I150" s="28"/>
      <c r="J150" s="26"/>
      <c r="K150" s="26"/>
      <c r="L150" s="28"/>
      <c r="M150" s="28"/>
      <c r="N150" s="26"/>
      <c r="O150" s="26"/>
      <c r="P150" s="26"/>
      <c r="Q150" s="28"/>
      <c r="R150" s="26"/>
      <c r="S150" s="30"/>
      <c r="T150" s="26"/>
      <c r="U150" s="33"/>
      <c r="V150" s="26"/>
    </row>
    <row r="151" ht="15" customHeight="1">
      <c r="A151" s="34"/>
      <c r="B151" s="26"/>
      <c r="C151" s="26"/>
      <c r="D151" s="27"/>
      <c r="E151" s="28"/>
      <c r="F151" s="28"/>
      <c r="G151" s="28"/>
      <c r="H151" s="28"/>
      <c r="I151" s="28"/>
      <c r="J151" s="26"/>
      <c r="K151" s="26"/>
      <c r="L151" s="28"/>
      <c r="M151" s="28"/>
      <c r="N151" s="26"/>
      <c r="O151" s="26"/>
      <c r="P151" s="26"/>
      <c r="Q151" s="28"/>
      <c r="R151" s="26"/>
      <c r="S151" s="30"/>
      <c r="T151" s="26"/>
      <c r="U151" s="33"/>
      <c r="V151" s="26"/>
    </row>
    <row r="152" ht="15" customHeight="1">
      <c r="A152" s="34"/>
      <c r="B152" s="26"/>
      <c r="C152" s="26"/>
      <c r="D152" s="27"/>
      <c r="E152" s="28"/>
      <c r="F152" s="28"/>
      <c r="G152" s="28"/>
      <c r="H152" s="28"/>
      <c r="I152" s="28"/>
      <c r="J152" s="26"/>
      <c r="K152" s="26"/>
      <c r="L152" s="28"/>
      <c r="M152" s="28"/>
      <c r="N152" s="26"/>
      <c r="O152" s="26"/>
      <c r="P152" s="26"/>
      <c r="Q152" s="28"/>
      <c r="R152" s="26"/>
      <c r="S152" s="30"/>
      <c r="T152" s="26"/>
      <c r="U152" s="33"/>
      <c r="V152" s="26"/>
    </row>
    <row r="153" ht="15" customHeight="1">
      <c r="A153" s="34"/>
      <c r="B153" s="26"/>
      <c r="C153" s="26"/>
      <c r="D153" s="27"/>
      <c r="E153" s="28"/>
      <c r="F153" s="28"/>
      <c r="G153" s="28"/>
      <c r="H153" s="28"/>
      <c r="I153" s="28"/>
      <c r="J153" s="26"/>
      <c r="K153" s="26"/>
      <c r="L153" s="28"/>
      <c r="M153" s="28"/>
      <c r="N153" s="26"/>
      <c r="O153" s="26"/>
      <c r="P153" s="26"/>
      <c r="Q153" s="28"/>
      <c r="R153" s="26"/>
      <c r="S153" s="30"/>
      <c r="T153" s="26"/>
      <c r="U153" s="33"/>
      <c r="V153" s="26"/>
    </row>
    <row r="154" ht="15" customHeight="1">
      <c r="A154" s="34"/>
      <c r="B154" s="26"/>
      <c r="C154" s="26"/>
      <c r="D154" s="27"/>
      <c r="E154" s="28"/>
      <c r="F154" s="28"/>
      <c r="G154" s="28"/>
      <c r="H154" s="28"/>
      <c r="I154" s="28"/>
      <c r="J154" s="26"/>
      <c r="K154" s="26"/>
      <c r="L154" s="28"/>
      <c r="M154" s="28"/>
      <c r="N154" s="26"/>
      <c r="O154" s="26"/>
      <c r="P154" s="26"/>
      <c r="Q154" s="28"/>
      <c r="R154" s="26"/>
      <c r="S154" s="30"/>
      <c r="T154" s="26"/>
      <c r="U154" s="33"/>
      <c r="V154" s="91"/>
    </row>
    <row r="155" ht="15" customHeight="1">
      <c r="A155" s="34"/>
      <c r="B155" s="26"/>
      <c r="C155" s="26"/>
      <c r="D155" s="27"/>
      <c r="E155" s="28"/>
      <c r="F155" s="28"/>
      <c r="G155" s="28"/>
      <c r="H155" s="28"/>
      <c r="I155" s="28"/>
      <c r="J155" s="26"/>
      <c r="K155" s="26"/>
      <c r="L155" s="28"/>
      <c r="M155" s="28"/>
      <c r="N155" s="26"/>
      <c r="O155" s="26"/>
      <c r="P155" s="26"/>
      <c r="Q155" s="28"/>
      <c r="R155" s="26"/>
      <c r="S155" s="30"/>
      <c r="T155" s="26"/>
      <c r="U155" s="33"/>
      <c r="V155" s="26"/>
    </row>
    <row r="156" ht="15" customHeight="1">
      <c r="A156" s="34"/>
      <c r="B156" s="26"/>
      <c r="C156" s="26"/>
      <c r="D156" s="27"/>
      <c r="E156" s="28"/>
      <c r="F156" s="28"/>
      <c r="G156" s="28"/>
      <c r="H156" s="28"/>
      <c r="I156" s="28"/>
      <c r="J156" s="26"/>
      <c r="K156" s="26"/>
      <c r="L156" s="28"/>
      <c r="M156" s="28"/>
      <c r="N156" s="26"/>
      <c r="O156" s="26"/>
      <c r="P156" s="26"/>
      <c r="Q156" s="28"/>
      <c r="R156" s="26"/>
      <c r="S156" s="30"/>
      <c r="T156" s="26"/>
      <c r="U156" s="33"/>
      <c r="V156" s="26"/>
    </row>
    <row r="157" ht="15" customHeight="1">
      <c r="A157" s="34"/>
      <c r="B157" s="26"/>
      <c r="C157" s="26"/>
      <c r="D157" s="27"/>
      <c r="E157" s="28"/>
      <c r="F157" s="28"/>
      <c r="G157" s="28"/>
      <c r="H157" s="28"/>
      <c r="I157" s="28"/>
      <c r="J157" s="26"/>
      <c r="K157" s="26"/>
      <c r="L157" s="28"/>
      <c r="M157" s="28"/>
      <c r="N157" s="26"/>
      <c r="O157" s="26"/>
      <c r="P157" s="26"/>
      <c r="Q157" s="28"/>
      <c r="R157" s="26"/>
      <c r="S157" s="30"/>
      <c r="T157" s="26"/>
      <c r="U157" s="33"/>
      <c r="V157" s="26"/>
    </row>
    <row r="158" ht="15" customHeight="1">
      <c r="A158" s="34"/>
      <c r="B158" s="26"/>
      <c r="C158" s="26"/>
      <c r="D158" s="27"/>
      <c r="E158" s="28"/>
      <c r="F158" s="28"/>
      <c r="G158" s="28"/>
      <c r="H158" s="28"/>
      <c r="I158" s="28"/>
      <c r="J158" s="26"/>
      <c r="K158" s="26"/>
      <c r="L158" s="28"/>
      <c r="M158" s="28"/>
      <c r="N158" s="26"/>
      <c r="O158" s="26"/>
      <c r="P158" s="26"/>
      <c r="Q158" s="28"/>
      <c r="R158" s="26"/>
      <c r="S158" s="30"/>
      <c r="T158" s="26"/>
      <c r="U158" s="33"/>
      <c r="V158" s="26"/>
    </row>
    <row r="159" ht="15" customHeight="1">
      <c r="A159" s="34"/>
      <c r="B159" s="26"/>
      <c r="C159" s="26"/>
      <c r="D159" s="27"/>
      <c r="E159" s="28"/>
      <c r="F159" s="28"/>
      <c r="G159" s="28"/>
      <c r="H159" s="28"/>
      <c r="I159" s="28"/>
      <c r="J159" s="26"/>
      <c r="K159" s="26"/>
      <c r="L159" s="28"/>
      <c r="M159" s="28"/>
      <c r="N159" s="26"/>
      <c r="O159" s="26"/>
      <c r="P159" s="26"/>
      <c r="Q159" s="28"/>
      <c r="R159" s="26"/>
      <c r="S159" s="30"/>
      <c r="T159" s="26"/>
      <c r="U159" s="33"/>
      <c r="V159" s="91"/>
    </row>
    <row r="160" ht="15" customHeight="1">
      <c r="A160" s="34"/>
      <c r="B160" s="26"/>
      <c r="C160" s="26"/>
      <c r="D160" s="27"/>
      <c r="E160" s="28"/>
      <c r="F160" s="28"/>
      <c r="G160" s="28"/>
      <c r="H160" s="28"/>
      <c r="I160" s="28"/>
      <c r="J160" s="26"/>
      <c r="K160" s="26"/>
      <c r="L160" s="28"/>
      <c r="M160" s="28"/>
      <c r="N160" s="26"/>
      <c r="O160" s="26"/>
      <c r="P160" s="26"/>
      <c r="Q160" s="28"/>
      <c r="R160" s="26"/>
      <c r="S160" s="30"/>
      <c r="T160" s="26"/>
      <c r="U160" s="33"/>
      <c r="V160" s="26"/>
    </row>
    <row r="161" ht="15" customHeight="1">
      <c r="A161" s="34"/>
      <c r="B161" s="26"/>
      <c r="C161" s="26"/>
      <c r="D161" s="27"/>
      <c r="E161" s="28"/>
      <c r="F161" s="28"/>
      <c r="G161" s="28"/>
      <c r="H161" s="28"/>
      <c r="I161" s="28"/>
      <c r="J161" s="26"/>
      <c r="K161" s="26"/>
      <c r="L161" s="28"/>
      <c r="M161" s="28"/>
      <c r="N161" s="26"/>
      <c r="O161" s="26"/>
      <c r="P161" s="26"/>
      <c r="Q161" s="28"/>
      <c r="R161" s="26"/>
      <c r="S161" s="30"/>
      <c r="T161" s="26"/>
      <c r="U161" s="33"/>
      <c r="V161" s="26"/>
    </row>
    <row r="162" ht="15" customHeight="1">
      <c r="A162" s="34"/>
      <c r="B162" s="26"/>
      <c r="C162" s="26"/>
      <c r="D162" s="92"/>
      <c r="E162" s="28"/>
      <c r="F162" s="28"/>
      <c r="G162" s="28"/>
      <c r="H162" s="28"/>
      <c r="I162" s="28"/>
      <c r="J162" s="26"/>
      <c r="K162" s="26"/>
      <c r="L162" s="28"/>
      <c r="M162" s="28"/>
      <c r="N162" s="26"/>
      <c r="O162" s="26"/>
      <c r="P162" s="26"/>
      <c r="Q162" s="28"/>
      <c r="R162" s="26"/>
      <c r="S162" s="30"/>
      <c r="T162" s="26"/>
      <c r="U162" s="33"/>
      <c r="V162" s="26"/>
    </row>
    <row r="163" ht="15" customHeight="1">
      <c r="A163" s="34"/>
      <c r="B163" s="26"/>
      <c r="C163" s="26"/>
      <c r="D163" s="92"/>
      <c r="E163" s="28"/>
      <c r="F163" s="28"/>
      <c r="G163" s="28"/>
      <c r="H163" s="28"/>
      <c r="I163" s="28"/>
      <c r="J163" s="26"/>
      <c r="K163" s="26"/>
      <c r="L163" s="28"/>
      <c r="M163" s="28"/>
      <c r="N163" s="26"/>
      <c r="O163" s="26"/>
      <c r="P163" s="26"/>
      <c r="Q163" s="28"/>
      <c r="R163" s="26"/>
      <c r="S163" s="30"/>
      <c r="T163" s="26"/>
      <c r="U163" s="33"/>
      <c r="V163" s="26"/>
    </row>
    <row r="164" s="26" customFormat="1" ht="15" customHeight="1">
      <c r="A164" s="34"/>
      <c r="B164" s="26"/>
      <c r="C164" s="26"/>
      <c r="D164" s="92"/>
      <c r="E164" s="28"/>
      <c r="F164" s="28"/>
      <c r="G164" s="28"/>
      <c r="H164" s="28"/>
      <c r="I164" s="28"/>
      <c r="J164" s="26"/>
      <c r="K164" s="26"/>
      <c r="L164" s="28"/>
      <c r="M164" s="28"/>
      <c r="N164" s="26"/>
      <c r="O164" s="26"/>
      <c r="P164" s="26"/>
      <c r="Q164" s="28"/>
      <c r="R164" s="26"/>
      <c r="S164" s="30"/>
      <c r="T164" s="26"/>
      <c r="U164" s="33"/>
      <c r="V164" s="91"/>
      <c r="W164" s="94"/>
    </row>
    <row r="165" ht="15" customHeight="1">
      <c r="A165" s="34"/>
      <c r="B165" s="26"/>
      <c r="C165" s="26"/>
      <c r="D165" s="92"/>
      <c r="E165" s="28"/>
      <c r="F165" s="28"/>
      <c r="G165" s="28"/>
      <c r="H165" s="28"/>
      <c r="I165" s="28"/>
      <c r="J165" s="26"/>
      <c r="K165" s="26"/>
      <c r="L165" s="28"/>
      <c r="M165" s="28"/>
      <c r="N165" s="26"/>
      <c r="O165" s="26"/>
      <c r="P165" s="26"/>
      <c r="Q165" s="28"/>
      <c r="R165" s="26"/>
      <c r="S165" s="30"/>
      <c r="T165" s="26"/>
      <c r="U165" s="33"/>
      <c r="V165" s="91"/>
    </row>
    <row r="166" ht="15" customHeight="1">
      <c r="A166" s="34"/>
      <c r="B166" s="26"/>
      <c r="C166" s="26"/>
      <c r="D166" s="27"/>
      <c r="E166" s="28"/>
      <c r="F166" s="28"/>
      <c r="G166" s="28"/>
      <c r="H166" s="28"/>
      <c r="I166" s="28"/>
      <c r="J166" s="26"/>
      <c r="K166" s="26"/>
      <c r="L166" s="28"/>
      <c r="M166" s="28"/>
      <c r="N166" s="26"/>
      <c r="O166" s="26"/>
      <c r="P166" s="26"/>
      <c r="Q166" s="28"/>
      <c r="R166" s="26"/>
      <c r="S166" s="30"/>
      <c r="T166" s="26"/>
      <c r="U166" s="33"/>
      <c r="V166" s="26"/>
    </row>
    <row r="167" ht="15" customHeight="1">
      <c r="A167" s="34"/>
      <c r="B167" s="26"/>
      <c r="C167" s="26"/>
      <c r="D167" s="27"/>
      <c r="E167" s="28"/>
      <c r="F167" s="28"/>
      <c r="G167" s="28"/>
      <c r="H167" s="28"/>
      <c r="I167" s="28"/>
      <c r="J167" s="26"/>
      <c r="K167" s="26"/>
      <c r="L167" s="28"/>
      <c r="M167" s="28"/>
      <c r="N167" s="26"/>
      <c r="O167" s="26"/>
      <c r="P167" s="26"/>
      <c r="Q167" s="28"/>
      <c r="R167" s="26"/>
      <c r="S167" s="30"/>
      <c r="T167" s="26"/>
      <c r="U167" s="33"/>
      <c r="V167" s="26"/>
    </row>
    <row r="168" ht="15" customHeight="1">
      <c r="A168" s="34"/>
      <c r="B168" s="26"/>
      <c r="C168" s="26"/>
      <c r="D168" s="27"/>
      <c r="E168" s="28"/>
      <c r="F168" s="28"/>
      <c r="G168" s="28"/>
      <c r="H168" s="28"/>
      <c r="I168" s="28"/>
      <c r="J168" s="26"/>
      <c r="K168" s="26"/>
      <c r="L168" s="28"/>
      <c r="M168" s="28"/>
      <c r="N168" s="26"/>
      <c r="O168" s="26"/>
      <c r="P168" s="26"/>
      <c r="Q168" s="28"/>
      <c r="R168" s="26"/>
      <c r="S168" s="30"/>
      <c r="T168" s="26"/>
      <c r="U168" s="33"/>
      <c r="V168" s="93"/>
    </row>
    <row r="169" ht="15" customHeight="1">
      <c r="A169" s="34"/>
      <c r="B169" s="26"/>
      <c r="C169" s="26"/>
      <c r="D169" s="27"/>
      <c r="E169" s="28"/>
      <c r="F169" s="28"/>
      <c r="G169" s="28"/>
      <c r="H169" s="28"/>
      <c r="I169" s="28"/>
      <c r="J169" s="26"/>
      <c r="K169" s="26"/>
      <c r="L169" s="28"/>
      <c r="M169" s="28"/>
      <c r="N169" s="26"/>
      <c r="O169" s="26"/>
      <c r="P169" s="26"/>
      <c r="Q169" s="28"/>
      <c r="R169" s="26"/>
      <c r="S169" s="30"/>
      <c r="T169" s="26"/>
      <c r="U169" s="33"/>
      <c r="V169" s="26"/>
    </row>
    <row r="170" ht="15" customHeight="1">
      <c r="A170" s="34"/>
      <c r="B170" s="26"/>
      <c r="C170" s="26"/>
      <c r="D170" s="27"/>
      <c r="E170" s="28"/>
      <c r="F170" s="28"/>
      <c r="G170" s="28"/>
      <c r="H170" s="28"/>
      <c r="I170" s="28"/>
      <c r="J170" s="26"/>
      <c r="K170" s="26"/>
      <c r="L170" s="28"/>
      <c r="M170" s="28"/>
      <c r="N170" s="26"/>
      <c r="O170" s="26"/>
      <c r="P170" s="26"/>
      <c r="Q170" s="28"/>
      <c r="R170" s="26"/>
      <c r="S170" s="30"/>
      <c r="T170" s="26"/>
      <c r="U170" s="33"/>
      <c r="V170" s="26"/>
    </row>
    <row r="171" ht="15" customHeight="1">
      <c r="A171" s="34"/>
      <c r="B171" s="26"/>
      <c r="C171" s="26"/>
      <c r="D171" s="27"/>
      <c r="E171" s="28"/>
      <c r="F171" s="28"/>
      <c r="G171" s="28"/>
      <c r="H171" s="28"/>
      <c r="I171" s="28"/>
      <c r="J171" s="26"/>
      <c r="K171" s="26"/>
      <c r="L171" s="28"/>
      <c r="M171" s="28"/>
      <c r="N171" s="26"/>
      <c r="O171" s="26"/>
      <c r="P171" s="26"/>
      <c r="Q171" s="28"/>
      <c r="R171" s="26"/>
      <c r="S171" s="30"/>
      <c r="T171" s="26"/>
      <c r="U171" s="33"/>
      <c r="V171" s="26"/>
    </row>
    <row r="172" ht="15" customHeight="1">
      <c r="A172" s="34"/>
      <c r="B172" s="26"/>
      <c r="C172" s="26"/>
      <c r="D172" s="27"/>
      <c r="E172" s="28"/>
      <c r="F172" s="28"/>
      <c r="G172" s="28"/>
      <c r="H172" s="28"/>
      <c r="I172" s="28"/>
      <c r="J172" s="26"/>
      <c r="K172" s="26"/>
      <c r="L172" s="28"/>
      <c r="M172" s="28"/>
      <c r="N172" s="26"/>
      <c r="O172" s="26"/>
      <c r="P172" s="26"/>
      <c r="Q172" s="28"/>
      <c r="R172" s="26"/>
      <c r="S172" s="30"/>
      <c r="T172" s="26"/>
      <c r="U172" s="33"/>
      <c r="V172" s="26"/>
    </row>
    <row r="173" ht="15" customHeight="1">
      <c r="A173" s="34"/>
      <c r="B173" s="26"/>
      <c r="C173" s="26"/>
      <c r="D173" s="27"/>
      <c r="E173" s="28"/>
      <c r="F173" s="28"/>
      <c r="G173" s="28"/>
      <c r="H173" s="28"/>
      <c r="I173" s="28"/>
      <c r="J173" s="26"/>
      <c r="K173" s="26"/>
      <c r="L173" s="28"/>
      <c r="M173" s="28"/>
      <c r="N173" s="26"/>
      <c r="O173" s="26"/>
      <c r="P173" s="26"/>
      <c r="Q173" s="28"/>
      <c r="R173" s="26"/>
      <c r="S173" s="30"/>
      <c r="T173" s="26"/>
      <c r="U173" s="33"/>
      <c r="V173" s="93"/>
    </row>
    <row r="174" ht="15" customHeight="1">
      <c r="A174" s="34"/>
      <c r="B174" s="26"/>
      <c r="C174" s="26"/>
      <c r="D174" s="27"/>
      <c r="E174" s="28"/>
      <c r="F174" s="28"/>
      <c r="G174" s="28"/>
      <c r="H174" s="28"/>
      <c r="I174" s="28"/>
      <c r="J174" s="26"/>
      <c r="K174" s="26"/>
      <c r="L174" s="28"/>
      <c r="M174" s="28"/>
      <c r="N174" s="26"/>
      <c r="O174" s="26"/>
      <c r="P174" s="26"/>
      <c r="Q174" s="28"/>
      <c r="R174" s="26"/>
      <c r="S174" s="30"/>
      <c r="T174" s="26"/>
      <c r="U174" s="33"/>
      <c r="V174" s="26"/>
    </row>
    <row r="175" ht="15" customHeight="1">
      <c r="A175" s="34"/>
      <c r="B175" s="26"/>
      <c r="C175" s="26"/>
      <c r="D175" s="27"/>
      <c r="E175" s="28"/>
      <c r="F175" s="28"/>
      <c r="G175" s="28"/>
      <c r="H175" s="28"/>
      <c r="I175" s="28"/>
      <c r="J175" s="26"/>
      <c r="K175" s="26"/>
      <c r="L175" s="28"/>
      <c r="M175" s="28"/>
      <c r="N175" s="26"/>
      <c r="O175" s="26"/>
      <c r="P175" s="26"/>
      <c r="Q175" s="28"/>
      <c r="R175" s="26"/>
      <c r="S175" s="30"/>
      <c r="T175" s="26"/>
      <c r="U175" s="33"/>
      <c r="V175" s="26"/>
    </row>
    <row r="176" ht="15" customHeight="1">
      <c r="A176" s="34"/>
      <c r="B176" s="26"/>
      <c r="C176" s="26"/>
      <c r="D176" s="92"/>
      <c r="E176" s="28"/>
      <c r="F176" s="28"/>
      <c r="G176" s="28"/>
      <c r="H176" s="28"/>
      <c r="I176" s="28"/>
      <c r="J176" s="26"/>
      <c r="K176" s="26"/>
      <c r="L176" s="28"/>
      <c r="M176" s="28"/>
      <c r="N176" s="26"/>
      <c r="O176" s="26"/>
      <c r="P176" s="26"/>
      <c r="Q176" s="28"/>
      <c r="R176" s="26"/>
      <c r="S176" s="30"/>
      <c r="T176" s="26"/>
      <c r="U176" s="33"/>
      <c r="V176" s="26"/>
    </row>
    <row r="177" ht="15" customHeight="1">
      <c r="A177" s="34"/>
      <c r="B177" s="26"/>
      <c r="C177" s="26"/>
      <c r="D177" s="92"/>
      <c r="E177" s="28"/>
      <c r="F177" s="28"/>
      <c r="G177" s="28"/>
      <c r="H177" s="28"/>
      <c r="I177" s="28"/>
      <c r="J177" s="26"/>
      <c r="K177" s="26"/>
      <c r="L177" s="28"/>
      <c r="M177" s="28"/>
      <c r="N177" s="26"/>
      <c r="O177" s="26"/>
      <c r="P177" s="26"/>
      <c r="Q177" s="28"/>
      <c r="R177" s="26"/>
      <c r="S177" s="30"/>
      <c r="T177" s="26"/>
      <c r="U177" s="33"/>
      <c r="V177" s="26"/>
    </row>
    <row r="178" ht="15" customHeight="1">
      <c r="A178" s="34"/>
      <c r="B178" s="26"/>
      <c r="C178" s="26"/>
      <c r="D178" s="92"/>
      <c r="E178" s="28"/>
      <c r="F178" s="28"/>
      <c r="G178" s="28"/>
      <c r="H178" s="28"/>
      <c r="I178" s="28"/>
      <c r="J178" s="26"/>
      <c r="K178" s="26"/>
      <c r="L178" s="28"/>
      <c r="M178" s="28"/>
      <c r="N178" s="26"/>
      <c r="O178" s="26"/>
      <c r="P178" s="26"/>
      <c r="Q178" s="28"/>
      <c r="R178" s="26"/>
      <c r="S178" s="30"/>
      <c r="T178" s="26"/>
      <c r="U178" s="33"/>
      <c r="V178" s="91"/>
    </row>
    <row r="179" ht="15" customHeight="1">
      <c r="A179" s="34"/>
      <c r="B179" s="26"/>
      <c r="C179" s="26"/>
      <c r="D179" s="92"/>
      <c r="E179" s="28"/>
      <c r="F179" s="28"/>
      <c r="G179" s="28"/>
      <c r="H179" s="28"/>
      <c r="I179" s="28"/>
      <c r="J179" s="26"/>
      <c r="K179" s="26"/>
      <c r="L179" s="28"/>
      <c r="M179" s="28"/>
      <c r="N179" s="26"/>
      <c r="O179" s="26"/>
      <c r="P179" s="26"/>
      <c r="Q179" s="28"/>
      <c r="R179" s="26"/>
      <c r="S179" s="30"/>
      <c r="T179" s="26"/>
      <c r="U179" s="33"/>
      <c r="V179" s="26"/>
    </row>
    <row r="180" ht="15" customHeight="1">
      <c r="A180" s="34"/>
      <c r="B180" s="26"/>
      <c r="C180" s="26"/>
      <c r="D180" s="26"/>
      <c r="E180" s="28"/>
      <c r="F180" s="28"/>
      <c r="G180" s="28"/>
      <c r="H180" s="28"/>
      <c r="I180" s="28"/>
      <c r="J180" s="26"/>
      <c r="K180" s="26"/>
      <c r="L180" s="28"/>
      <c r="M180" s="28"/>
      <c r="N180" s="26"/>
      <c r="O180" s="26"/>
      <c r="P180" s="26"/>
      <c r="Q180" s="28"/>
      <c r="R180" s="26"/>
      <c r="S180" s="30"/>
      <c r="T180" s="26"/>
      <c r="U180" s="33"/>
      <c r="V180" s="91"/>
    </row>
    <row r="181" ht="15" customHeight="1">
      <c r="A181" s="34"/>
      <c r="B181" s="26"/>
      <c r="C181" s="26"/>
      <c r="D181" s="92"/>
      <c r="E181" s="28"/>
      <c r="F181" s="28"/>
      <c r="G181" s="28"/>
      <c r="H181" s="28"/>
      <c r="I181" s="28"/>
      <c r="J181" s="26"/>
      <c r="K181" s="26"/>
      <c r="L181" s="28"/>
      <c r="M181" s="28"/>
      <c r="N181" s="26"/>
      <c r="O181" s="26"/>
      <c r="P181" s="26"/>
      <c r="Q181" s="28"/>
      <c r="R181" s="26"/>
      <c r="S181" s="30"/>
      <c r="T181" s="26"/>
      <c r="U181" s="33"/>
      <c r="V181" s="26"/>
    </row>
    <row r="182" ht="15" customHeight="1">
      <c r="A182" s="34"/>
      <c r="B182" s="26"/>
      <c r="C182" s="26"/>
      <c r="D182" s="26"/>
      <c r="E182" s="28"/>
      <c r="F182" s="28"/>
      <c r="G182" s="28"/>
      <c r="H182" s="28"/>
      <c r="I182" s="28"/>
      <c r="J182" s="26"/>
      <c r="K182" s="26"/>
      <c r="L182" s="28"/>
      <c r="M182" s="28"/>
      <c r="N182" s="26"/>
      <c r="O182" s="26"/>
      <c r="P182" s="26"/>
      <c r="Q182" s="28"/>
      <c r="R182" s="26"/>
      <c r="S182" s="30"/>
      <c r="T182" s="26"/>
      <c r="U182" s="33"/>
      <c r="V182" s="91"/>
    </row>
    <row r="183" ht="15" customHeight="1">
      <c r="A183" s="34"/>
      <c r="B183" s="26"/>
      <c r="C183" s="26"/>
      <c r="D183" s="27"/>
      <c r="E183" s="28"/>
      <c r="F183" s="28"/>
      <c r="G183" s="28"/>
      <c r="H183" s="28"/>
      <c r="I183" s="28"/>
      <c r="J183" s="26"/>
      <c r="K183" s="26"/>
      <c r="L183" s="28"/>
      <c r="M183" s="28"/>
      <c r="N183" s="26"/>
      <c r="O183" s="26"/>
      <c r="P183" s="26"/>
      <c r="Q183" s="28"/>
      <c r="R183" s="26"/>
      <c r="S183" s="30"/>
      <c r="T183" s="26"/>
      <c r="U183" s="33"/>
      <c r="V183" s="26"/>
    </row>
    <row r="184" ht="15" customHeight="1">
      <c r="A184" s="34"/>
      <c r="B184" s="26"/>
      <c r="C184" s="26"/>
      <c r="D184" s="27"/>
      <c r="E184" s="28"/>
      <c r="F184" s="28"/>
      <c r="G184" s="28"/>
      <c r="H184" s="28"/>
      <c r="I184" s="28"/>
      <c r="J184" s="26"/>
      <c r="K184" s="26"/>
      <c r="L184" s="28"/>
      <c r="M184" s="28"/>
      <c r="N184" s="26"/>
      <c r="O184" s="26"/>
      <c r="P184" s="26"/>
      <c r="Q184" s="28"/>
      <c r="R184" s="26"/>
      <c r="S184" s="30"/>
      <c r="T184" s="26"/>
      <c r="U184" s="33"/>
      <c r="V184" s="91"/>
    </row>
    <row r="185" ht="15" customHeight="1">
      <c r="A185" s="34"/>
      <c r="B185" s="26"/>
      <c r="C185" s="26"/>
      <c r="D185" s="27"/>
      <c r="E185" s="28"/>
      <c r="F185" s="28"/>
      <c r="G185" s="28"/>
      <c r="H185" s="28"/>
      <c r="I185" s="28"/>
      <c r="J185" s="26"/>
      <c r="K185" s="26"/>
      <c r="L185" s="28"/>
      <c r="M185" s="28"/>
      <c r="N185" s="26"/>
      <c r="O185" s="26"/>
      <c r="P185" s="26"/>
      <c r="Q185" s="28"/>
      <c r="R185" s="26"/>
      <c r="S185" s="30"/>
      <c r="T185" s="26"/>
      <c r="U185" s="33"/>
      <c r="V185" s="26"/>
    </row>
    <row r="186" ht="15" customHeight="1">
      <c r="A186" s="34"/>
      <c r="B186" s="26"/>
      <c r="C186" s="26"/>
      <c r="D186" s="27"/>
      <c r="E186" s="28"/>
      <c r="F186" s="28"/>
      <c r="G186" s="28"/>
      <c r="H186" s="28"/>
      <c r="I186" s="28"/>
      <c r="J186" s="26"/>
      <c r="K186" s="26"/>
      <c r="L186" s="28"/>
      <c r="M186" s="28"/>
      <c r="N186" s="26"/>
      <c r="O186" s="26"/>
      <c r="P186" s="26"/>
      <c r="Q186" s="28"/>
      <c r="R186" s="26"/>
      <c r="S186" s="30"/>
      <c r="T186" s="26"/>
      <c r="U186" s="33"/>
      <c r="V186" s="26"/>
    </row>
    <row r="187" ht="15" customHeight="1">
      <c r="A187" s="34"/>
      <c r="B187" s="26"/>
      <c r="C187" s="26"/>
      <c r="D187" s="27"/>
      <c r="E187" s="28"/>
      <c r="F187" s="28"/>
      <c r="G187" s="28"/>
      <c r="H187" s="28"/>
      <c r="I187" s="28"/>
      <c r="J187" s="26"/>
      <c r="K187" s="26"/>
      <c r="L187" s="28"/>
      <c r="M187" s="28"/>
      <c r="N187" s="26"/>
      <c r="O187" s="26"/>
      <c r="P187" s="26"/>
      <c r="Q187" s="28"/>
      <c r="R187" s="26"/>
      <c r="S187" s="30"/>
      <c r="T187" s="26"/>
      <c r="U187" s="33"/>
      <c r="V187" s="26"/>
    </row>
    <row r="188" ht="15" customHeight="1">
      <c r="A188" s="34"/>
      <c r="B188" s="26"/>
      <c r="C188" s="26"/>
      <c r="D188" s="27"/>
      <c r="E188" s="28"/>
      <c r="F188" s="28"/>
      <c r="G188" s="28"/>
      <c r="H188" s="28"/>
      <c r="I188" s="28"/>
      <c r="J188" s="26"/>
      <c r="K188" s="26"/>
      <c r="L188" s="28"/>
      <c r="M188" s="28"/>
      <c r="N188" s="26"/>
      <c r="O188" s="26"/>
      <c r="P188" s="26"/>
      <c r="Q188" s="28"/>
      <c r="R188" s="26"/>
      <c r="S188" s="30"/>
      <c r="T188" s="26"/>
      <c r="U188" s="33"/>
      <c r="V188" s="26"/>
    </row>
    <row r="189" ht="15" customHeight="1">
      <c r="A189" s="34"/>
      <c r="B189" s="26"/>
      <c r="C189" s="26"/>
      <c r="D189" s="27"/>
      <c r="E189" s="28"/>
      <c r="F189" s="28"/>
      <c r="G189" s="28"/>
      <c r="H189" s="28"/>
      <c r="I189" s="28"/>
      <c r="J189" s="26"/>
      <c r="K189" s="26"/>
      <c r="L189" s="28"/>
      <c r="M189" s="28"/>
      <c r="N189" s="26"/>
      <c r="O189" s="26"/>
      <c r="P189" s="26"/>
      <c r="Q189" s="28"/>
      <c r="R189" s="26"/>
      <c r="S189" s="30"/>
      <c r="T189" s="26"/>
      <c r="U189" s="33"/>
      <c r="V189" s="26"/>
    </row>
    <row r="190" ht="15" customHeight="1">
      <c r="A190" s="34"/>
      <c r="B190" s="26"/>
      <c r="C190" s="26"/>
      <c r="D190" s="27"/>
      <c r="E190" s="28"/>
      <c r="F190" s="28"/>
      <c r="G190" s="28"/>
      <c r="H190" s="28"/>
      <c r="I190" s="28"/>
      <c r="J190" s="26"/>
      <c r="K190" s="26"/>
      <c r="L190" s="28"/>
      <c r="M190" s="28"/>
      <c r="N190" s="26"/>
      <c r="O190" s="26"/>
      <c r="P190" s="26"/>
      <c r="Q190" s="28"/>
      <c r="R190" s="26"/>
      <c r="S190" s="30"/>
      <c r="T190" s="26"/>
      <c r="U190" s="33"/>
      <c r="V190" s="26"/>
    </row>
    <row r="191" ht="15" customHeight="1">
      <c r="A191" s="34"/>
      <c r="B191" s="26"/>
      <c r="C191" s="26"/>
      <c r="D191" s="30"/>
      <c r="E191" s="28"/>
      <c r="F191" s="28"/>
      <c r="G191" s="28"/>
      <c r="H191" s="28"/>
      <c r="I191" s="28"/>
      <c r="J191" s="26"/>
      <c r="K191" s="26"/>
      <c r="L191" s="28"/>
      <c r="M191" s="28"/>
      <c r="N191" s="26"/>
      <c r="O191" s="26"/>
      <c r="P191" s="26"/>
      <c r="Q191" s="28"/>
      <c r="R191" s="26"/>
      <c r="S191" s="30"/>
      <c r="T191" s="26"/>
      <c r="U191" s="33"/>
      <c r="V191" s="26"/>
    </row>
    <row r="192" ht="15" customHeight="1">
      <c r="A192" s="34"/>
      <c r="B192" s="26"/>
      <c r="C192" s="26"/>
      <c r="D192" s="30"/>
      <c r="E192" s="28"/>
      <c r="F192" s="28"/>
      <c r="G192" s="28"/>
      <c r="H192" s="28"/>
      <c r="I192" s="28"/>
      <c r="J192" s="26"/>
      <c r="K192" s="26"/>
      <c r="L192" s="28"/>
      <c r="M192" s="28"/>
      <c r="N192" s="26"/>
      <c r="O192" s="26"/>
      <c r="P192" s="26"/>
      <c r="Q192" s="28"/>
      <c r="R192" s="26"/>
      <c r="S192" s="30"/>
      <c r="T192" s="26"/>
      <c r="U192" s="33"/>
      <c r="V192" s="26"/>
    </row>
    <row r="193" ht="15" customHeight="1">
      <c r="A193" s="34"/>
      <c r="B193" s="26"/>
      <c r="C193" s="26"/>
      <c r="D193" s="30"/>
      <c r="E193" s="28"/>
      <c r="F193" s="28"/>
      <c r="G193" s="28"/>
      <c r="H193" s="28"/>
      <c r="I193" s="28"/>
      <c r="J193" s="26"/>
      <c r="K193" s="26"/>
      <c r="L193" s="28"/>
      <c r="M193" s="28"/>
      <c r="N193" s="26"/>
      <c r="O193" s="26"/>
      <c r="P193" s="26"/>
      <c r="Q193" s="28"/>
      <c r="R193" s="26"/>
      <c r="S193" s="30"/>
      <c r="T193" s="26"/>
      <c r="U193" s="33"/>
      <c r="V193" s="26"/>
    </row>
    <row r="194" ht="15" customHeight="1">
      <c r="A194" s="34"/>
      <c r="B194" s="26"/>
      <c r="C194" s="26"/>
      <c r="D194" s="30"/>
      <c r="E194" s="28"/>
      <c r="F194" s="28"/>
      <c r="G194" s="28"/>
      <c r="H194" s="28"/>
      <c r="I194" s="28"/>
      <c r="J194" s="26"/>
      <c r="K194" s="26"/>
      <c r="L194" s="28"/>
      <c r="M194" s="28"/>
      <c r="N194" s="26"/>
      <c r="O194" s="26"/>
      <c r="P194" s="26"/>
      <c r="Q194" s="28"/>
      <c r="R194" s="26"/>
      <c r="S194" s="30"/>
      <c r="T194" s="26"/>
      <c r="U194" s="33"/>
      <c r="V194" s="26"/>
    </row>
    <row r="195" ht="15" customHeight="1">
      <c r="A195" s="34"/>
      <c r="B195" s="26"/>
      <c r="C195" s="26"/>
      <c r="D195" s="30"/>
      <c r="E195" s="28"/>
      <c r="F195" s="28"/>
      <c r="G195" s="28"/>
      <c r="H195" s="28"/>
      <c r="I195" s="28"/>
      <c r="J195" s="26"/>
      <c r="K195" s="26"/>
      <c r="L195" s="28"/>
      <c r="M195" s="28"/>
      <c r="N195" s="26"/>
      <c r="O195" s="26"/>
      <c r="P195" s="26"/>
      <c r="Q195" s="28"/>
      <c r="R195" s="26"/>
      <c r="S195" s="30"/>
      <c r="T195" s="26"/>
      <c r="U195" s="33"/>
      <c r="V195" s="26"/>
    </row>
    <row r="196" ht="15" customHeight="1">
      <c r="A196" s="34"/>
      <c r="B196" s="26"/>
      <c r="C196" s="26"/>
      <c r="D196" s="30"/>
      <c r="E196" s="28"/>
      <c r="F196" s="28"/>
      <c r="G196" s="28"/>
      <c r="H196" s="28"/>
      <c r="I196" s="28"/>
      <c r="J196" s="26"/>
      <c r="K196" s="26"/>
      <c r="L196" s="28"/>
      <c r="M196" s="28"/>
      <c r="N196" s="26"/>
      <c r="O196" s="26"/>
      <c r="P196" s="26"/>
      <c r="Q196" s="28"/>
      <c r="R196" s="26"/>
      <c r="S196" s="30"/>
      <c r="T196" s="26"/>
      <c r="U196" s="33"/>
      <c r="V196" s="26"/>
    </row>
    <row r="197" ht="15" customHeight="1">
      <c r="A197" s="34"/>
      <c r="B197" s="26"/>
      <c r="C197" s="26"/>
      <c r="D197" s="30"/>
      <c r="E197" s="28"/>
      <c r="F197" s="28"/>
      <c r="G197" s="28"/>
      <c r="H197" s="28"/>
      <c r="I197" s="28"/>
      <c r="J197" s="26"/>
      <c r="K197" s="26"/>
      <c r="L197" s="28"/>
      <c r="M197" s="28"/>
      <c r="N197" s="26"/>
      <c r="O197" s="26"/>
      <c r="P197" s="26"/>
      <c r="Q197" s="28"/>
      <c r="R197" s="26"/>
      <c r="S197" s="30"/>
      <c r="T197" s="26"/>
      <c r="U197" s="33"/>
      <c r="V197" s="26"/>
    </row>
    <row r="198" ht="15" customHeight="1">
      <c r="A198" s="34"/>
      <c r="B198" s="26"/>
      <c r="C198" s="26"/>
      <c r="D198" s="27"/>
      <c r="E198" s="28"/>
      <c r="F198" s="28"/>
      <c r="G198" s="28"/>
      <c r="H198" s="28"/>
      <c r="I198" s="28"/>
      <c r="J198" s="26"/>
      <c r="K198" s="26"/>
      <c r="L198" s="28"/>
      <c r="M198" s="28"/>
      <c r="N198" s="26"/>
      <c r="O198" s="26"/>
      <c r="P198" s="26"/>
      <c r="Q198" s="28"/>
      <c r="R198" s="26"/>
      <c r="S198" s="30"/>
      <c r="T198" s="26"/>
      <c r="U198" s="33"/>
      <c r="V198" s="26"/>
    </row>
    <row r="199" ht="15" customHeight="1">
      <c r="A199" s="34"/>
      <c r="B199" s="26"/>
      <c r="C199" s="26"/>
      <c r="D199" s="27"/>
      <c r="E199" s="28"/>
      <c r="F199" s="28"/>
      <c r="G199" s="28"/>
      <c r="H199" s="28"/>
      <c r="I199" s="28"/>
      <c r="J199" s="26"/>
      <c r="K199" s="26"/>
      <c r="L199" s="28"/>
      <c r="M199" s="28"/>
      <c r="N199" s="26"/>
      <c r="O199" s="26"/>
      <c r="P199" s="26"/>
      <c r="Q199" s="28"/>
      <c r="R199" s="26"/>
      <c r="S199" s="30"/>
      <c r="T199" s="26"/>
      <c r="U199" s="33"/>
      <c r="V199" s="26"/>
    </row>
    <row r="200" ht="15" customHeight="1">
      <c r="A200" s="34"/>
      <c r="B200" s="26"/>
      <c r="C200" s="26"/>
      <c r="D200" s="27"/>
      <c r="E200" s="28"/>
      <c r="F200" s="28"/>
      <c r="G200" s="28"/>
      <c r="H200" s="28"/>
      <c r="I200" s="28"/>
      <c r="J200" s="26"/>
      <c r="K200" s="26"/>
      <c r="L200" s="28"/>
      <c r="M200" s="28"/>
      <c r="N200" s="26"/>
      <c r="O200" s="26"/>
      <c r="P200" s="26"/>
      <c r="Q200" s="28"/>
      <c r="R200" s="26"/>
      <c r="S200" s="30"/>
      <c r="T200" s="26"/>
      <c r="U200" s="33"/>
      <c r="V200" s="26"/>
    </row>
    <row r="201" ht="15" customHeight="1">
      <c r="A201" s="34"/>
      <c r="B201" s="26"/>
      <c r="C201" s="26"/>
      <c r="D201" s="27"/>
      <c r="E201" s="28"/>
      <c r="F201" s="28"/>
      <c r="G201" s="28"/>
      <c r="H201" s="28"/>
      <c r="I201" s="28"/>
      <c r="J201" s="26"/>
      <c r="K201" s="26"/>
      <c r="L201" s="28"/>
      <c r="M201" s="28"/>
      <c r="N201" s="26"/>
      <c r="O201" s="26"/>
      <c r="P201" s="26"/>
      <c r="Q201" s="28"/>
      <c r="R201" s="26"/>
      <c r="S201" s="30"/>
      <c r="T201" s="26"/>
      <c r="U201" s="33"/>
      <c r="V201" s="26"/>
    </row>
    <row r="202" ht="15" customHeight="1">
      <c r="A202" s="34"/>
      <c r="B202" s="26"/>
      <c r="C202" s="26"/>
      <c r="D202" s="27"/>
      <c r="E202" s="28"/>
      <c r="F202" s="28"/>
      <c r="G202" s="28"/>
      <c r="H202" s="28"/>
      <c r="I202" s="28"/>
      <c r="J202" s="26"/>
      <c r="K202" s="26"/>
      <c r="L202" s="28"/>
      <c r="M202" s="28"/>
      <c r="N202" s="26"/>
      <c r="O202" s="26"/>
      <c r="P202" s="26"/>
      <c r="Q202" s="28"/>
      <c r="R202" s="26"/>
      <c r="S202" s="30"/>
      <c r="T202" s="26"/>
      <c r="U202" s="33"/>
      <c r="V202" s="26"/>
    </row>
    <row r="203" ht="15" customHeight="1">
      <c r="A203" s="34"/>
      <c r="B203" s="26"/>
      <c r="C203" s="26"/>
      <c r="D203" s="27"/>
      <c r="E203" s="28"/>
      <c r="F203" s="28"/>
      <c r="G203" s="28"/>
      <c r="H203" s="28"/>
      <c r="I203" s="28"/>
      <c r="J203" s="26"/>
      <c r="K203" s="26"/>
      <c r="L203" s="28"/>
      <c r="M203" s="28"/>
      <c r="N203" s="26"/>
      <c r="O203" s="26"/>
      <c r="P203" s="26"/>
      <c r="Q203" s="28"/>
      <c r="R203" s="26"/>
      <c r="S203" s="30"/>
      <c r="T203" s="26"/>
      <c r="U203" s="33"/>
      <c r="V203" s="26"/>
    </row>
    <row r="204" ht="15" customHeight="1">
      <c r="A204" s="34"/>
      <c r="B204" s="26"/>
      <c r="C204" s="26"/>
      <c r="D204" s="27"/>
      <c r="E204" s="28"/>
      <c r="F204" s="28"/>
      <c r="G204" s="28"/>
      <c r="H204" s="28"/>
      <c r="I204" s="28"/>
      <c r="J204" s="26"/>
      <c r="K204" s="26"/>
      <c r="L204" s="28"/>
      <c r="M204" s="28"/>
      <c r="N204" s="26"/>
      <c r="O204" s="26"/>
      <c r="P204" s="26"/>
      <c r="Q204" s="28"/>
      <c r="R204" s="26"/>
      <c r="S204" s="30"/>
      <c r="T204" s="26"/>
      <c r="U204" s="33"/>
      <c r="V204" s="26"/>
    </row>
    <row r="205" ht="15" customHeight="1">
      <c r="A205" s="34"/>
      <c r="B205" s="26"/>
      <c r="C205" s="26"/>
      <c r="D205" s="27"/>
      <c r="E205" s="28"/>
      <c r="F205" s="28"/>
      <c r="G205" s="28"/>
      <c r="H205" s="28"/>
      <c r="I205" s="28"/>
      <c r="J205" s="26"/>
      <c r="K205" s="26"/>
      <c r="L205" s="28"/>
      <c r="M205" s="28"/>
      <c r="N205" s="26"/>
      <c r="O205" s="26"/>
      <c r="P205" s="26"/>
      <c r="Q205" s="28"/>
      <c r="R205" s="26"/>
      <c r="S205" s="30"/>
      <c r="T205" s="26"/>
      <c r="U205" s="33"/>
      <c r="V205" s="26"/>
    </row>
    <row r="206" ht="15" customHeight="1">
      <c r="A206" s="34"/>
      <c r="B206" s="26"/>
      <c r="C206" s="26"/>
      <c r="D206" s="30"/>
      <c r="E206" s="28"/>
      <c r="F206" s="28"/>
      <c r="G206" s="28"/>
      <c r="H206" s="28"/>
      <c r="I206" s="28"/>
      <c r="J206" s="26"/>
      <c r="K206" s="26"/>
      <c r="L206" s="28"/>
      <c r="M206" s="28"/>
      <c r="N206" s="26"/>
      <c r="O206" s="26"/>
      <c r="P206" s="26"/>
      <c r="Q206" s="28"/>
      <c r="R206" s="26"/>
      <c r="S206" s="30"/>
      <c r="T206" s="26"/>
      <c r="U206" s="33"/>
      <c r="V206" s="26"/>
    </row>
    <row r="207" ht="15" customHeight="1">
      <c r="A207" s="34"/>
      <c r="B207" s="26"/>
      <c r="C207" s="26"/>
      <c r="D207" s="30"/>
      <c r="E207" s="28"/>
      <c r="F207" s="28"/>
      <c r="G207" s="28"/>
      <c r="H207" s="28"/>
      <c r="I207" s="28"/>
      <c r="J207" s="26"/>
      <c r="K207" s="26"/>
      <c r="L207" s="28"/>
      <c r="M207" s="28"/>
      <c r="N207" s="26"/>
      <c r="O207" s="26"/>
      <c r="P207" s="26"/>
      <c r="Q207" s="28"/>
      <c r="R207" s="26"/>
      <c r="S207" s="30"/>
      <c r="T207" s="26"/>
      <c r="U207" s="33"/>
      <c r="V207" s="26"/>
    </row>
    <row r="208" ht="15" customHeight="1">
      <c r="A208" s="34"/>
      <c r="B208" s="26"/>
      <c r="C208" s="26"/>
      <c r="D208" s="30"/>
      <c r="E208" s="28"/>
      <c r="F208" s="28"/>
      <c r="G208" s="28"/>
      <c r="H208" s="28"/>
      <c r="I208" s="28"/>
      <c r="J208" s="26"/>
      <c r="K208" s="26"/>
      <c r="L208" s="28"/>
      <c r="M208" s="28"/>
      <c r="N208" s="26"/>
      <c r="O208" s="26"/>
      <c r="P208" s="26"/>
      <c r="Q208" s="28"/>
      <c r="R208" s="26"/>
      <c r="S208" s="30"/>
      <c r="T208" s="26"/>
      <c r="U208" s="33"/>
      <c r="V208" s="26"/>
    </row>
    <row r="209" ht="15" customHeight="1">
      <c r="A209" s="34"/>
      <c r="B209" s="26"/>
      <c r="C209" s="26"/>
      <c r="D209" s="30"/>
      <c r="E209" s="28"/>
      <c r="F209" s="28"/>
      <c r="G209" s="28"/>
      <c r="H209" s="28"/>
      <c r="I209" s="28"/>
      <c r="J209" s="26"/>
      <c r="K209" s="26"/>
      <c r="L209" s="28"/>
      <c r="M209" s="28"/>
      <c r="N209" s="26"/>
      <c r="O209" s="26"/>
      <c r="P209" s="26"/>
      <c r="Q209" s="28"/>
      <c r="R209" s="26"/>
      <c r="S209" s="30"/>
      <c r="T209" s="26"/>
      <c r="U209" s="33"/>
      <c r="V209" s="26"/>
    </row>
    <row r="210" ht="15" customHeight="1">
      <c r="A210" s="34"/>
      <c r="B210" s="26"/>
      <c r="C210" s="26"/>
      <c r="D210" s="30"/>
      <c r="E210" s="28"/>
      <c r="F210" s="28"/>
      <c r="G210" s="28"/>
      <c r="H210" s="28"/>
      <c r="I210" s="28"/>
      <c r="J210" s="26"/>
      <c r="K210" s="26"/>
      <c r="L210" s="28"/>
      <c r="M210" s="28"/>
      <c r="N210" s="26"/>
      <c r="O210" s="26"/>
      <c r="P210" s="26"/>
      <c r="Q210" s="28"/>
      <c r="R210" s="26"/>
      <c r="S210" s="30"/>
      <c r="T210" s="26"/>
      <c r="U210" s="33"/>
      <c r="V210" s="26"/>
    </row>
    <row r="211" ht="15" customHeight="1">
      <c r="A211" s="34"/>
      <c r="B211" s="26"/>
      <c r="C211" s="26"/>
      <c r="D211" s="30"/>
      <c r="E211" s="28"/>
      <c r="F211" s="28"/>
      <c r="G211" s="28"/>
      <c r="H211" s="28"/>
      <c r="I211" s="28"/>
      <c r="J211" s="26"/>
      <c r="K211" s="26"/>
      <c r="L211" s="28"/>
      <c r="M211" s="28"/>
      <c r="N211" s="26"/>
      <c r="O211" s="26"/>
      <c r="P211" s="26"/>
      <c r="Q211" s="28"/>
      <c r="R211" s="26"/>
      <c r="S211" s="30"/>
      <c r="T211" s="26"/>
      <c r="U211" s="33"/>
      <c r="V211" s="26"/>
    </row>
    <row r="212" ht="15" customHeight="1">
      <c r="A212" s="34"/>
      <c r="B212" s="26"/>
      <c r="C212" s="26"/>
      <c r="D212" s="27"/>
      <c r="E212" s="28"/>
      <c r="F212" s="28"/>
      <c r="G212" s="28"/>
      <c r="H212" s="28"/>
      <c r="I212" s="28"/>
      <c r="J212" s="26"/>
      <c r="K212" s="26"/>
      <c r="L212" s="28"/>
      <c r="M212" s="28"/>
      <c r="N212" s="26"/>
      <c r="O212" s="26"/>
      <c r="P212" s="26"/>
      <c r="Q212" s="28"/>
      <c r="R212" s="26"/>
      <c r="S212" s="30"/>
      <c r="T212" s="26"/>
      <c r="U212" s="33"/>
      <c r="V212" s="26"/>
    </row>
    <row r="213" ht="15" customHeight="1">
      <c r="A213" s="34"/>
      <c r="B213" s="26"/>
      <c r="C213" s="26"/>
      <c r="D213" s="30"/>
      <c r="E213" s="28"/>
      <c r="F213" s="28"/>
      <c r="G213" s="28"/>
      <c r="H213" s="28"/>
      <c r="I213" s="28"/>
      <c r="J213" s="26"/>
      <c r="K213" s="26"/>
      <c r="L213" s="28"/>
      <c r="M213" s="28"/>
      <c r="N213" s="26"/>
      <c r="O213" s="26"/>
      <c r="P213" s="26"/>
      <c r="Q213" s="28"/>
      <c r="R213" s="26"/>
      <c r="S213" s="30"/>
      <c r="T213" s="26"/>
      <c r="U213" s="33"/>
      <c r="V213" s="26"/>
    </row>
    <row r="214" ht="15" customHeight="1">
      <c r="A214" s="34"/>
      <c r="B214" s="26"/>
      <c r="C214" s="26"/>
      <c r="D214" s="27"/>
      <c r="E214" s="28"/>
      <c r="F214" s="28"/>
      <c r="G214" s="28"/>
      <c r="H214" s="28"/>
      <c r="I214" s="28"/>
      <c r="J214" s="26"/>
      <c r="K214" s="26"/>
      <c r="L214" s="28"/>
      <c r="M214" s="28"/>
      <c r="N214" s="26"/>
      <c r="O214" s="26"/>
      <c r="P214" s="26"/>
      <c r="Q214" s="28"/>
      <c r="R214" s="26"/>
      <c r="S214" s="30"/>
      <c r="T214" s="26"/>
      <c r="U214" s="33"/>
      <c r="V214" s="26"/>
    </row>
    <row r="215" ht="15" customHeight="1">
      <c r="A215" s="34"/>
      <c r="B215" s="26"/>
      <c r="C215" s="26"/>
      <c r="D215" s="27"/>
      <c r="E215" s="28"/>
      <c r="F215" s="28"/>
      <c r="G215" s="28"/>
      <c r="H215" s="28"/>
      <c r="I215" s="28"/>
      <c r="J215" s="26"/>
      <c r="K215" s="26"/>
      <c r="L215" s="28"/>
      <c r="M215" s="28"/>
      <c r="N215" s="26"/>
      <c r="O215" s="26"/>
      <c r="P215" s="26"/>
      <c r="Q215" s="28"/>
      <c r="R215" s="26"/>
      <c r="S215" s="30"/>
      <c r="T215" s="26"/>
      <c r="U215" s="33"/>
      <c r="V215" s="91"/>
    </row>
    <row r="216" ht="15" customHeight="1">
      <c r="A216" s="34"/>
      <c r="B216" s="26"/>
      <c r="C216" s="26"/>
      <c r="D216" s="27"/>
      <c r="E216" s="28"/>
      <c r="F216" s="28"/>
      <c r="G216" s="28"/>
      <c r="H216" s="28"/>
      <c r="I216" s="28"/>
      <c r="J216" s="26"/>
      <c r="K216" s="26"/>
      <c r="L216" s="28"/>
      <c r="M216" s="28"/>
      <c r="N216" s="26"/>
      <c r="O216" s="26"/>
      <c r="P216" s="26"/>
      <c r="Q216" s="28"/>
      <c r="R216" s="26"/>
      <c r="S216" s="30"/>
      <c r="T216" s="26"/>
      <c r="U216" s="33"/>
      <c r="V216" s="26"/>
    </row>
    <row r="217" ht="15" customHeight="1">
      <c r="A217" s="34"/>
      <c r="B217" s="26"/>
      <c r="C217" s="26"/>
      <c r="D217" s="27"/>
      <c r="E217" s="28"/>
      <c r="F217" s="28"/>
      <c r="G217" s="28"/>
      <c r="H217" s="28"/>
      <c r="I217" s="28"/>
      <c r="J217" s="26"/>
      <c r="K217" s="26"/>
      <c r="L217" s="28"/>
      <c r="M217" s="28"/>
      <c r="N217" s="26"/>
      <c r="O217" s="26"/>
      <c r="P217" s="26"/>
      <c r="Q217" s="28"/>
      <c r="R217" s="26"/>
      <c r="S217" s="30"/>
      <c r="T217" s="26"/>
      <c r="U217" s="33"/>
      <c r="V217" s="26"/>
    </row>
    <row r="218" ht="15" customHeight="1">
      <c r="A218" s="34"/>
      <c r="B218" s="26"/>
      <c r="C218" s="26"/>
      <c r="D218" s="27"/>
      <c r="E218" s="28"/>
      <c r="F218" s="28"/>
      <c r="G218" s="28"/>
      <c r="H218" s="28"/>
      <c r="I218" s="28"/>
      <c r="J218" s="26"/>
      <c r="K218" s="26"/>
      <c r="L218" s="28"/>
      <c r="M218" s="28"/>
      <c r="N218" s="26"/>
      <c r="O218" s="26"/>
      <c r="P218" s="26"/>
      <c r="Q218" s="28"/>
      <c r="R218" s="26"/>
      <c r="S218" s="30"/>
      <c r="T218" s="26"/>
      <c r="U218" s="33"/>
      <c r="V218" s="26"/>
    </row>
    <row r="219" ht="15" customHeight="1">
      <c r="A219" s="34"/>
      <c r="B219" s="26"/>
      <c r="C219" s="26"/>
      <c r="D219" s="27"/>
      <c r="E219" s="28"/>
      <c r="F219" s="28"/>
      <c r="G219" s="28"/>
      <c r="H219" s="28"/>
      <c r="I219" s="28"/>
      <c r="J219" s="26"/>
      <c r="K219" s="26"/>
      <c r="L219" s="28"/>
      <c r="M219" s="28"/>
      <c r="N219" s="26"/>
      <c r="O219" s="26"/>
      <c r="P219" s="26"/>
      <c r="Q219" s="28"/>
      <c r="R219" s="26"/>
      <c r="S219" s="30"/>
      <c r="T219" s="26"/>
      <c r="U219" s="33"/>
      <c r="V219" s="26"/>
    </row>
    <row r="220" ht="15" customHeight="1">
      <c r="A220" s="34"/>
      <c r="B220" s="26"/>
      <c r="C220" s="26"/>
      <c r="D220" s="27"/>
      <c r="E220" s="28"/>
      <c r="F220" s="28"/>
      <c r="G220" s="28"/>
      <c r="H220" s="28"/>
      <c r="I220" s="28"/>
      <c r="J220" s="26"/>
      <c r="K220" s="26"/>
      <c r="L220" s="28"/>
      <c r="M220" s="28"/>
      <c r="N220" s="26"/>
      <c r="O220" s="26"/>
      <c r="P220" s="26"/>
      <c r="Q220" s="28"/>
      <c r="R220" s="26"/>
      <c r="S220" s="30"/>
      <c r="T220" s="26"/>
      <c r="U220" s="33"/>
      <c r="V220" s="26"/>
    </row>
    <row r="221" ht="15" customHeight="1">
      <c r="A221" s="34"/>
      <c r="B221" s="26"/>
      <c r="C221" s="26"/>
      <c r="D221" s="27"/>
      <c r="E221" s="28"/>
      <c r="F221" s="28"/>
      <c r="G221" s="28"/>
      <c r="H221" s="28"/>
      <c r="I221" s="28"/>
      <c r="J221" s="26"/>
      <c r="K221" s="26"/>
      <c r="L221" s="28"/>
      <c r="M221" s="28"/>
      <c r="N221" s="26"/>
      <c r="O221" s="26"/>
      <c r="P221" s="26"/>
      <c r="Q221" s="28"/>
      <c r="R221" s="26"/>
      <c r="S221" s="30"/>
      <c r="T221" s="26"/>
      <c r="U221" s="33"/>
      <c r="V221" s="26"/>
    </row>
    <row r="222" ht="15" customHeight="1">
      <c r="A222" s="34"/>
      <c r="B222" s="26"/>
      <c r="C222" s="26"/>
      <c r="D222" s="30"/>
      <c r="E222" s="28"/>
      <c r="F222" s="28"/>
      <c r="G222" s="28"/>
      <c r="H222" s="28"/>
      <c r="I222" s="28"/>
      <c r="J222" s="26"/>
      <c r="K222" s="26"/>
      <c r="L222" s="28"/>
      <c r="M222" s="28"/>
      <c r="N222" s="26"/>
      <c r="O222" s="26"/>
      <c r="P222" s="26"/>
      <c r="Q222" s="28"/>
      <c r="R222" s="26"/>
      <c r="S222" s="30"/>
      <c r="T222" s="26"/>
      <c r="U222" s="33"/>
      <c r="V222" s="26"/>
    </row>
    <row r="223" ht="15" customHeight="1">
      <c r="A223" s="34"/>
      <c r="B223" s="26"/>
      <c r="C223" s="26"/>
      <c r="D223" s="30"/>
      <c r="E223" s="28"/>
      <c r="F223" s="28"/>
      <c r="G223" s="28"/>
      <c r="H223" s="28"/>
      <c r="I223" s="28"/>
      <c r="J223" s="26"/>
      <c r="K223" s="26"/>
      <c r="L223" s="28"/>
      <c r="M223" s="28"/>
      <c r="N223" s="26"/>
      <c r="O223" s="26"/>
      <c r="P223" s="26"/>
      <c r="Q223" s="28"/>
      <c r="R223" s="26"/>
      <c r="S223" s="30"/>
      <c r="T223" s="26"/>
      <c r="U223" s="33"/>
      <c r="V223" s="26"/>
    </row>
    <row r="224" ht="15" customHeight="1">
      <c r="A224" s="34"/>
      <c r="B224" s="26"/>
      <c r="C224" s="26"/>
      <c r="D224" s="30"/>
      <c r="E224" s="28"/>
      <c r="F224" s="28"/>
      <c r="G224" s="28"/>
      <c r="H224" s="28"/>
      <c r="I224" s="28"/>
      <c r="J224" s="26"/>
      <c r="K224" s="26"/>
      <c r="L224" s="28"/>
      <c r="M224" s="28"/>
      <c r="N224" s="26"/>
      <c r="O224" s="26"/>
      <c r="P224" s="26"/>
      <c r="Q224" s="28"/>
      <c r="R224" s="26"/>
      <c r="S224" s="30"/>
      <c r="T224" s="26"/>
      <c r="U224" s="33"/>
      <c r="V224" s="26"/>
    </row>
    <row r="225" ht="15" customHeight="1">
      <c r="A225" s="34"/>
      <c r="B225" s="26"/>
      <c r="C225" s="26"/>
      <c r="D225" s="30"/>
      <c r="E225" s="28"/>
      <c r="F225" s="28"/>
      <c r="G225" s="28"/>
      <c r="H225" s="28"/>
      <c r="I225" s="28"/>
      <c r="J225" s="26"/>
      <c r="K225" s="26"/>
      <c r="L225" s="28"/>
      <c r="M225" s="28"/>
      <c r="N225" s="26"/>
      <c r="O225" s="26"/>
      <c r="P225" s="26"/>
      <c r="Q225" s="28"/>
      <c r="R225" s="26"/>
      <c r="S225" s="30"/>
      <c r="T225" s="26"/>
      <c r="U225" s="33"/>
      <c r="V225" s="26"/>
    </row>
    <row r="226" ht="15" customHeight="1">
      <c r="A226" s="34"/>
      <c r="B226" s="26"/>
      <c r="C226" s="26"/>
      <c r="D226" s="30"/>
      <c r="E226" s="28"/>
      <c r="F226" s="28"/>
      <c r="G226" s="28"/>
      <c r="H226" s="28"/>
      <c r="I226" s="28"/>
      <c r="J226" s="26"/>
      <c r="K226" s="26"/>
      <c r="L226" s="28"/>
      <c r="M226" s="28"/>
      <c r="N226" s="26"/>
      <c r="O226" s="26"/>
      <c r="P226" s="26"/>
      <c r="Q226" s="28"/>
      <c r="R226" s="26"/>
      <c r="S226" s="30"/>
      <c r="T226" s="26"/>
      <c r="U226" s="33"/>
      <c r="V226" s="26"/>
    </row>
    <row r="227" ht="15" customHeight="1">
      <c r="A227" s="34"/>
      <c r="B227" s="26"/>
      <c r="C227" s="26"/>
      <c r="D227" s="30"/>
      <c r="E227" s="28"/>
      <c r="F227" s="28"/>
      <c r="G227" s="28"/>
      <c r="H227" s="28"/>
      <c r="I227" s="28"/>
      <c r="J227" s="26"/>
      <c r="K227" s="26"/>
      <c r="L227" s="28"/>
      <c r="M227" s="28"/>
      <c r="N227" s="26"/>
      <c r="O227" s="26"/>
      <c r="P227" s="26"/>
      <c r="Q227" s="28"/>
      <c r="R227" s="26"/>
      <c r="S227" s="30"/>
      <c r="T227" s="26"/>
      <c r="U227" s="33"/>
      <c r="V227" s="26"/>
    </row>
    <row r="228" ht="15" customHeight="1">
      <c r="A228" s="34"/>
      <c r="B228" s="26"/>
      <c r="C228" s="26"/>
      <c r="D228" s="30"/>
      <c r="E228" s="28"/>
      <c r="F228" s="28"/>
      <c r="G228" s="28"/>
      <c r="H228" s="28"/>
      <c r="I228" s="28"/>
      <c r="J228" s="26"/>
      <c r="K228" s="26"/>
      <c r="L228" s="28"/>
      <c r="M228" s="28"/>
      <c r="N228" s="26"/>
      <c r="O228" s="26"/>
      <c r="P228" s="26"/>
      <c r="Q228" s="28"/>
      <c r="R228" s="26"/>
      <c r="S228" s="30"/>
      <c r="T228" s="26"/>
      <c r="U228" s="33"/>
      <c r="V228" s="26"/>
    </row>
    <row r="229" ht="15" customHeight="1">
      <c r="A229" s="34"/>
      <c r="B229" s="26"/>
      <c r="C229" s="26"/>
      <c r="D229" s="27"/>
      <c r="E229" s="28"/>
      <c r="F229" s="28"/>
      <c r="G229" s="28"/>
      <c r="H229" s="28"/>
      <c r="I229" s="28"/>
      <c r="J229" s="26"/>
      <c r="K229" s="26"/>
      <c r="L229" s="28"/>
      <c r="M229" s="28"/>
      <c r="N229" s="26"/>
      <c r="O229" s="26"/>
      <c r="P229" s="26"/>
      <c r="Q229" s="28"/>
      <c r="R229" s="26"/>
      <c r="S229" s="30"/>
      <c r="T229" s="26"/>
      <c r="U229" s="33"/>
      <c r="V229" s="26"/>
    </row>
    <row r="230" ht="15" customHeight="1">
      <c r="A230" s="34"/>
      <c r="B230" s="26"/>
      <c r="C230" s="26"/>
      <c r="D230" s="27"/>
      <c r="E230" s="28"/>
      <c r="F230" s="28"/>
      <c r="G230" s="28"/>
      <c r="H230" s="28"/>
      <c r="I230" s="28"/>
      <c r="J230" s="26"/>
      <c r="K230" s="26"/>
      <c r="L230" s="28"/>
      <c r="M230" s="28"/>
      <c r="N230" s="26"/>
      <c r="O230" s="26"/>
      <c r="P230" s="26"/>
      <c r="Q230" s="28"/>
      <c r="R230" s="26"/>
      <c r="S230" s="30"/>
      <c r="T230" s="26"/>
      <c r="U230" s="33"/>
      <c r="V230" s="26"/>
    </row>
    <row r="231" ht="15" customHeight="1">
      <c r="A231" s="34"/>
      <c r="B231" s="26"/>
      <c r="C231" s="26"/>
      <c r="D231" s="27"/>
      <c r="E231" s="28"/>
      <c r="F231" s="28"/>
      <c r="G231" s="28"/>
      <c r="H231" s="28"/>
      <c r="I231" s="28"/>
      <c r="J231" s="26"/>
      <c r="K231" s="26"/>
      <c r="L231" s="28"/>
      <c r="M231" s="28"/>
      <c r="N231" s="26"/>
      <c r="O231" s="26"/>
      <c r="P231" s="26"/>
      <c r="Q231" s="28"/>
      <c r="R231" s="26"/>
      <c r="S231" s="30"/>
      <c r="T231" s="26"/>
      <c r="U231" s="33"/>
      <c r="V231" s="26"/>
    </row>
    <row r="232" ht="15" customHeight="1">
      <c r="A232" s="34"/>
      <c r="B232" s="26"/>
      <c r="C232" s="26"/>
      <c r="D232" s="27"/>
      <c r="E232" s="28"/>
      <c r="F232" s="28"/>
      <c r="G232" s="28"/>
      <c r="H232" s="28"/>
      <c r="I232" s="28"/>
      <c r="J232" s="26"/>
      <c r="K232" s="26"/>
      <c r="L232" s="28"/>
      <c r="M232" s="28"/>
      <c r="N232" s="26"/>
      <c r="O232" s="26"/>
      <c r="P232" s="26"/>
      <c r="Q232" s="28"/>
      <c r="R232" s="26"/>
      <c r="S232" s="30"/>
      <c r="T232" s="26"/>
      <c r="U232" s="33"/>
      <c r="V232" s="26"/>
    </row>
    <row r="233" ht="15" customHeight="1">
      <c r="A233" s="34"/>
      <c r="B233" s="26"/>
      <c r="C233" s="26"/>
      <c r="D233" s="27"/>
      <c r="E233" s="28"/>
      <c r="F233" s="28"/>
      <c r="G233" s="28"/>
      <c r="H233" s="28"/>
      <c r="I233" s="28"/>
      <c r="J233" s="26"/>
      <c r="K233" s="26"/>
      <c r="L233" s="28"/>
      <c r="M233" s="28"/>
      <c r="N233" s="26"/>
      <c r="O233" s="26"/>
      <c r="P233" s="26"/>
      <c r="Q233" s="28"/>
      <c r="R233" s="26"/>
      <c r="S233" s="30"/>
      <c r="T233" s="26"/>
      <c r="U233" s="33"/>
      <c r="V233" s="26"/>
    </row>
    <row r="234" ht="15" customHeight="1">
      <c r="A234" s="34"/>
      <c r="B234" s="26"/>
      <c r="C234" s="26"/>
      <c r="D234" s="27"/>
      <c r="E234" s="28"/>
      <c r="F234" s="28"/>
      <c r="G234" s="28"/>
      <c r="H234" s="28"/>
      <c r="I234" s="28"/>
      <c r="J234" s="26"/>
      <c r="K234" s="26"/>
      <c r="L234" s="28"/>
      <c r="M234" s="28"/>
      <c r="N234" s="26"/>
      <c r="O234" s="26"/>
      <c r="P234" s="26"/>
      <c r="Q234" s="28"/>
      <c r="R234" s="26"/>
      <c r="S234" s="30"/>
      <c r="T234" s="26"/>
      <c r="U234" s="33"/>
      <c r="V234" s="26"/>
    </row>
    <row r="235" ht="15" customHeight="1">
      <c r="A235" s="34"/>
      <c r="B235" s="26"/>
      <c r="C235" s="26"/>
      <c r="D235" s="27"/>
      <c r="E235" s="28"/>
      <c r="F235" s="28"/>
      <c r="G235" s="28"/>
      <c r="H235" s="28"/>
      <c r="I235" s="28"/>
      <c r="J235" s="26"/>
      <c r="K235" s="26"/>
      <c r="L235" s="28"/>
      <c r="M235" s="28"/>
      <c r="N235" s="26"/>
      <c r="O235" s="26"/>
      <c r="P235" s="26"/>
      <c r="Q235" s="28"/>
      <c r="R235" s="26"/>
      <c r="S235" s="30"/>
      <c r="T235" s="26"/>
      <c r="U235" s="33"/>
      <c r="V235" s="26"/>
    </row>
    <row r="236" ht="15" customHeight="1">
      <c r="A236" s="34"/>
      <c r="B236" s="26"/>
      <c r="C236" s="26"/>
      <c r="D236" s="27"/>
      <c r="E236" s="28"/>
      <c r="F236" s="28"/>
      <c r="G236" s="28"/>
      <c r="H236" s="28"/>
      <c r="I236" s="28"/>
      <c r="J236" s="26"/>
      <c r="K236" s="26"/>
      <c r="L236" s="28"/>
      <c r="M236" s="28"/>
      <c r="N236" s="26"/>
      <c r="O236" s="26"/>
      <c r="P236" s="26"/>
      <c r="Q236" s="28"/>
      <c r="R236" s="26"/>
      <c r="S236" s="30"/>
      <c r="T236" s="26"/>
      <c r="U236" s="33"/>
      <c r="V236" s="26"/>
    </row>
    <row r="237" ht="15" customHeight="1">
      <c r="A237" s="34"/>
      <c r="B237" s="26"/>
      <c r="C237" s="26"/>
      <c r="D237" s="30"/>
      <c r="E237" s="28"/>
      <c r="F237" s="28"/>
      <c r="G237" s="28"/>
      <c r="H237" s="28"/>
      <c r="I237" s="28"/>
      <c r="J237" s="26"/>
      <c r="K237" s="26"/>
      <c r="L237" s="28"/>
      <c r="M237" s="28"/>
      <c r="N237" s="26"/>
      <c r="O237" s="26"/>
      <c r="P237" s="26"/>
      <c r="Q237" s="28"/>
      <c r="R237" s="26"/>
      <c r="S237" s="30"/>
      <c r="T237" s="26"/>
      <c r="U237" s="33"/>
      <c r="V237" s="26"/>
    </row>
    <row r="238" ht="15" customHeight="1">
      <c r="A238" s="34"/>
      <c r="B238" s="26"/>
      <c r="C238" s="26"/>
      <c r="D238" s="30"/>
      <c r="E238" s="28"/>
      <c r="F238" s="28"/>
      <c r="G238" s="28"/>
      <c r="H238" s="28"/>
      <c r="I238" s="28"/>
      <c r="J238" s="26"/>
      <c r="K238" s="26"/>
      <c r="L238" s="28"/>
      <c r="M238" s="28"/>
      <c r="N238" s="26"/>
      <c r="O238" s="26"/>
      <c r="P238" s="26"/>
      <c r="Q238" s="28"/>
      <c r="R238" s="26"/>
      <c r="S238" s="30"/>
      <c r="T238" s="26"/>
      <c r="U238" s="33"/>
      <c r="V238" s="26"/>
    </row>
    <row r="239" ht="15" customHeight="1">
      <c r="A239" s="34"/>
      <c r="B239" s="26"/>
      <c r="C239" s="26"/>
      <c r="D239" s="30"/>
      <c r="E239" s="28"/>
      <c r="F239" s="28"/>
      <c r="G239" s="28"/>
      <c r="H239" s="28"/>
      <c r="I239" s="28"/>
      <c r="J239" s="26"/>
      <c r="K239" s="26"/>
      <c r="L239" s="28"/>
      <c r="M239" s="28"/>
      <c r="N239" s="26"/>
      <c r="O239" s="26"/>
      <c r="P239" s="26"/>
      <c r="Q239" s="28"/>
      <c r="R239" s="26"/>
      <c r="S239" s="30"/>
      <c r="T239" s="26"/>
      <c r="U239" s="33"/>
      <c r="V239" s="26"/>
    </row>
    <row r="240" ht="15" customHeight="1">
      <c r="A240" s="34"/>
      <c r="B240" s="26"/>
      <c r="C240" s="26"/>
      <c r="D240" s="30"/>
      <c r="E240" s="28"/>
      <c r="F240" s="28"/>
      <c r="G240" s="28"/>
      <c r="H240" s="28"/>
      <c r="I240" s="28"/>
      <c r="J240" s="26"/>
      <c r="K240" s="26"/>
      <c r="L240" s="28"/>
      <c r="M240" s="28"/>
      <c r="N240" s="26"/>
      <c r="O240" s="26"/>
      <c r="P240" s="26"/>
      <c r="Q240" s="28"/>
      <c r="R240" s="26"/>
      <c r="S240" s="30"/>
      <c r="T240" s="26"/>
      <c r="U240" s="33"/>
      <c r="V240" s="26"/>
    </row>
    <row r="241" ht="15" customHeight="1">
      <c r="A241" s="34"/>
      <c r="B241" s="26"/>
      <c r="C241" s="26"/>
      <c r="D241" s="30"/>
      <c r="E241" s="28"/>
      <c r="F241" s="28"/>
      <c r="G241" s="28"/>
      <c r="H241" s="28"/>
      <c r="I241" s="28"/>
      <c r="J241" s="26"/>
      <c r="K241" s="26"/>
      <c r="L241" s="28"/>
      <c r="M241" s="28"/>
      <c r="N241" s="26"/>
      <c r="O241" s="26"/>
      <c r="P241" s="26"/>
      <c r="Q241" s="28"/>
      <c r="R241" s="26"/>
      <c r="S241" s="30"/>
      <c r="T241" s="26"/>
      <c r="U241" s="33"/>
      <c r="V241" s="26"/>
    </row>
    <row r="242" ht="15" customHeight="1">
      <c r="A242" s="34"/>
      <c r="B242" s="26"/>
      <c r="C242" s="26"/>
      <c r="D242" s="30"/>
      <c r="E242" s="28"/>
      <c r="F242" s="28"/>
      <c r="G242" s="28"/>
      <c r="H242" s="28"/>
      <c r="I242" s="28"/>
      <c r="J242" s="26"/>
      <c r="K242" s="26"/>
      <c r="L242" s="28"/>
      <c r="M242" s="28"/>
      <c r="N242" s="26"/>
      <c r="O242" s="26"/>
      <c r="P242" s="26"/>
      <c r="Q242" s="28"/>
      <c r="R242" s="26"/>
      <c r="S242" s="30"/>
      <c r="T242" s="26"/>
      <c r="U242" s="33"/>
      <c r="V242" s="26"/>
    </row>
    <row r="243" ht="15" customHeight="1">
      <c r="A243" s="34"/>
      <c r="B243" s="26"/>
      <c r="C243" s="26"/>
      <c r="D243" s="27"/>
      <c r="E243" s="28"/>
      <c r="F243" s="28"/>
      <c r="G243" s="28"/>
      <c r="H243" s="28"/>
      <c r="I243" s="28"/>
      <c r="J243" s="26"/>
      <c r="K243" s="26"/>
      <c r="L243" s="28"/>
      <c r="M243" s="28"/>
      <c r="N243" s="26"/>
      <c r="O243" s="26"/>
      <c r="P243" s="26"/>
      <c r="Q243" s="28"/>
      <c r="R243" s="26"/>
      <c r="S243" s="30"/>
      <c r="T243" s="26"/>
      <c r="U243" s="33"/>
      <c r="V243" s="26"/>
    </row>
    <row r="244" ht="15" customHeight="1">
      <c r="A244" s="34"/>
      <c r="B244" s="26"/>
      <c r="C244" s="26"/>
      <c r="D244" s="30"/>
      <c r="E244" s="28"/>
      <c r="F244" s="28"/>
      <c r="G244" s="28"/>
      <c r="H244" s="28"/>
      <c r="I244" s="28"/>
      <c r="J244" s="26"/>
      <c r="K244" s="26"/>
      <c r="L244" s="28"/>
      <c r="M244" s="28"/>
      <c r="N244" s="26"/>
      <c r="O244" s="26"/>
      <c r="P244" s="26"/>
      <c r="Q244" s="28"/>
      <c r="R244" s="26"/>
      <c r="S244" s="30"/>
      <c r="T244" s="26"/>
      <c r="U244" s="33"/>
      <c r="V244" s="26"/>
    </row>
    <row r="245" ht="15" customHeight="1">
      <c r="A245" s="34"/>
      <c r="B245" s="26"/>
      <c r="C245" s="26"/>
      <c r="D245" s="27"/>
      <c r="E245" s="28"/>
      <c r="F245" s="28"/>
      <c r="G245" s="28"/>
      <c r="H245" s="28"/>
      <c r="I245" s="28"/>
      <c r="J245" s="26"/>
      <c r="K245" s="26"/>
      <c r="L245" s="28"/>
      <c r="M245" s="28"/>
      <c r="N245" s="26"/>
      <c r="O245" s="26"/>
      <c r="P245" s="26"/>
      <c r="Q245" s="28"/>
      <c r="R245" s="26"/>
      <c r="S245" s="30"/>
      <c r="T245" s="26"/>
      <c r="U245" s="33"/>
      <c r="V245" s="26"/>
    </row>
    <row r="246" ht="15" customHeight="1">
      <c r="A246" s="34"/>
      <c r="B246" s="26"/>
      <c r="C246" s="26"/>
      <c r="D246" s="27"/>
      <c r="E246" s="28"/>
      <c r="F246" s="28"/>
      <c r="G246" s="28"/>
      <c r="H246" s="28"/>
      <c r="I246" s="28"/>
      <c r="J246" s="26"/>
      <c r="K246" s="26"/>
      <c r="L246" s="28"/>
      <c r="M246" s="28"/>
      <c r="N246" s="26"/>
      <c r="O246" s="26"/>
      <c r="P246" s="26"/>
      <c r="Q246" s="28"/>
      <c r="R246" s="26"/>
      <c r="S246" s="30"/>
      <c r="T246" s="26"/>
      <c r="U246" s="33"/>
      <c r="V246" s="91"/>
    </row>
    <row r="247" ht="15" customHeight="1">
      <c r="A247" s="34"/>
      <c r="B247" s="26"/>
      <c r="C247" s="26"/>
      <c r="D247" s="27"/>
      <c r="E247" s="28"/>
      <c r="F247" s="28"/>
      <c r="G247" s="28"/>
      <c r="H247" s="28"/>
      <c r="I247" s="28"/>
      <c r="J247" s="26"/>
      <c r="K247" s="26"/>
      <c r="L247" s="28"/>
      <c r="M247" s="28"/>
      <c r="N247" s="26"/>
      <c r="O247" s="26"/>
      <c r="P247" s="26"/>
      <c r="Q247" s="28"/>
      <c r="R247" s="26"/>
      <c r="S247" s="30"/>
      <c r="T247" s="26"/>
      <c r="U247" s="33"/>
      <c r="V247" s="26"/>
    </row>
    <row r="248" ht="15" customHeight="1">
      <c r="A248" s="34"/>
      <c r="B248" s="26"/>
      <c r="C248" s="26"/>
      <c r="D248" s="27"/>
      <c r="E248" s="28"/>
      <c r="F248" s="28"/>
      <c r="G248" s="28"/>
      <c r="H248" s="28"/>
      <c r="I248" s="28"/>
      <c r="J248" s="26"/>
      <c r="K248" s="26"/>
      <c r="L248" s="28"/>
      <c r="M248" s="28"/>
      <c r="N248" s="26"/>
      <c r="O248" s="26"/>
      <c r="P248" s="26"/>
      <c r="Q248" s="28"/>
      <c r="R248" s="26"/>
      <c r="S248" s="30"/>
      <c r="T248" s="26"/>
      <c r="U248" s="33"/>
      <c r="V248" s="26"/>
    </row>
    <row r="249" ht="15" customHeight="1">
      <c r="A249" s="34"/>
      <c r="B249" s="26"/>
      <c r="C249" s="26"/>
      <c r="D249" s="27"/>
      <c r="E249" s="28"/>
      <c r="F249" s="28"/>
      <c r="G249" s="28"/>
      <c r="H249" s="28"/>
      <c r="I249" s="28"/>
      <c r="J249" s="26"/>
      <c r="K249" s="26"/>
      <c r="L249" s="28"/>
      <c r="M249" s="28"/>
      <c r="N249" s="26"/>
      <c r="O249" s="26"/>
      <c r="P249" s="26"/>
      <c r="Q249" s="28"/>
      <c r="R249" s="26"/>
      <c r="S249" s="30"/>
      <c r="T249" s="26"/>
      <c r="U249" s="33"/>
      <c r="V249" s="26"/>
    </row>
    <row r="250" ht="15" customHeight="1">
      <c r="A250" s="34"/>
      <c r="B250" s="26"/>
      <c r="C250" s="26"/>
      <c r="D250" s="27"/>
      <c r="E250" s="28"/>
      <c r="F250" s="28"/>
      <c r="G250" s="28"/>
      <c r="H250" s="28"/>
      <c r="I250" s="28"/>
      <c r="J250" s="26"/>
      <c r="K250" s="26"/>
      <c r="L250" s="28"/>
      <c r="M250" s="28"/>
      <c r="N250" s="26"/>
      <c r="O250" s="26"/>
      <c r="P250" s="26"/>
      <c r="Q250" s="28"/>
      <c r="R250" s="26"/>
      <c r="S250" s="30"/>
      <c r="T250" s="26"/>
      <c r="U250" s="33"/>
      <c r="V250" s="26"/>
    </row>
    <row r="251" ht="15" customHeight="1">
      <c r="A251" s="34"/>
      <c r="B251" s="26"/>
      <c r="C251" s="26"/>
      <c r="D251" s="27"/>
      <c r="E251" s="28"/>
      <c r="F251" s="28"/>
      <c r="G251" s="28"/>
      <c r="H251" s="28"/>
      <c r="I251" s="28"/>
      <c r="J251" s="26"/>
      <c r="K251" s="26"/>
      <c r="L251" s="28"/>
      <c r="M251" s="28"/>
      <c r="N251" s="26"/>
      <c r="O251" s="26"/>
      <c r="P251" s="26"/>
      <c r="Q251" s="28"/>
      <c r="R251" s="26"/>
      <c r="S251" s="30"/>
      <c r="T251" s="26"/>
      <c r="U251" s="33"/>
      <c r="V251" s="26"/>
    </row>
    <row r="252" ht="15" customHeight="1">
      <c r="A252" s="34"/>
      <c r="B252" s="26"/>
      <c r="C252" s="26"/>
      <c r="D252" s="27"/>
      <c r="E252" s="28"/>
      <c r="F252" s="28"/>
      <c r="G252" s="28"/>
      <c r="H252" s="28"/>
      <c r="I252" s="28"/>
      <c r="J252" s="26"/>
      <c r="K252" s="26"/>
      <c r="L252" s="28"/>
      <c r="M252" s="28"/>
      <c r="N252" s="26"/>
      <c r="O252" s="26"/>
      <c r="P252" s="26"/>
      <c r="Q252" s="28"/>
      <c r="R252" s="26"/>
      <c r="S252" s="30"/>
      <c r="T252" s="26"/>
      <c r="U252" s="33"/>
      <c r="V252" s="26"/>
    </row>
    <row r="253" ht="15" customHeight="1">
      <c r="A253" s="34"/>
      <c r="B253" s="26"/>
      <c r="C253" s="26"/>
      <c r="D253" s="30"/>
      <c r="E253" s="28"/>
      <c r="F253" s="28"/>
      <c r="G253" s="28"/>
      <c r="H253" s="28"/>
      <c r="I253" s="28"/>
      <c r="J253" s="26"/>
      <c r="K253" s="26"/>
      <c r="L253" s="28"/>
      <c r="M253" s="28"/>
      <c r="N253" s="26"/>
      <c r="O253" s="26"/>
      <c r="P253" s="26"/>
      <c r="Q253" s="28"/>
      <c r="R253" s="26"/>
      <c r="S253" s="30"/>
      <c r="T253" s="26"/>
      <c r="U253" s="33"/>
      <c r="V253" s="26"/>
    </row>
    <row r="254" ht="15" customHeight="1">
      <c r="A254" s="34"/>
      <c r="B254" s="26"/>
      <c r="C254" s="26"/>
      <c r="D254" s="30"/>
      <c r="E254" s="28"/>
      <c r="F254" s="28"/>
      <c r="G254" s="28"/>
      <c r="H254" s="28"/>
      <c r="I254" s="28"/>
      <c r="J254" s="26"/>
      <c r="K254" s="26"/>
      <c r="L254" s="28"/>
      <c r="M254" s="28"/>
      <c r="N254" s="26"/>
      <c r="O254" s="26"/>
      <c r="P254" s="26"/>
      <c r="Q254" s="28"/>
      <c r="R254" s="26"/>
      <c r="S254" s="30"/>
      <c r="T254" s="26"/>
      <c r="U254" s="33"/>
      <c r="V254" s="26"/>
    </row>
    <row r="255" ht="15" customHeight="1">
      <c r="A255" s="34"/>
      <c r="B255" s="26"/>
      <c r="C255" s="26"/>
      <c r="D255" s="30"/>
      <c r="E255" s="28"/>
      <c r="F255" s="28"/>
      <c r="G255" s="28"/>
      <c r="H255" s="28"/>
      <c r="I255" s="28"/>
      <c r="J255" s="26"/>
      <c r="K255" s="26"/>
      <c r="L255" s="28"/>
      <c r="M255" s="28"/>
      <c r="N255" s="26"/>
      <c r="O255" s="26"/>
      <c r="P255" s="26"/>
      <c r="Q255" s="28"/>
      <c r="R255" s="26"/>
      <c r="S255" s="30"/>
      <c r="T255" s="26"/>
      <c r="U255" s="33"/>
      <c r="V255" s="26"/>
    </row>
    <row r="256" ht="15" customHeight="1">
      <c r="A256" s="34"/>
      <c r="B256" s="26"/>
      <c r="C256" s="26"/>
      <c r="D256" s="30"/>
      <c r="E256" s="28"/>
      <c r="F256" s="28"/>
      <c r="G256" s="28"/>
      <c r="H256" s="28"/>
      <c r="I256" s="28"/>
      <c r="J256" s="26"/>
      <c r="K256" s="26"/>
      <c r="L256" s="28"/>
      <c r="M256" s="28"/>
      <c r="N256" s="26"/>
      <c r="O256" s="26"/>
      <c r="P256" s="26"/>
      <c r="Q256" s="28"/>
      <c r="R256" s="26"/>
      <c r="S256" s="30"/>
      <c r="T256" s="26"/>
      <c r="U256" s="33"/>
      <c r="V256" s="26"/>
    </row>
    <row r="257" ht="15" customHeight="1">
      <c r="A257" s="34"/>
      <c r="B257" s="26"/>
      <c r="C257" s="26"/>
      <c r="D257" s="30"/>
      <c r="E257" s="28"/>
      <c r="F257" s="28"/>
      <c r="G257" s="28"/>
      <c r="H257" s="28"/>
      <c r="I257" s="28"/>
      <c r="J257" s="26"/>
      <c r="K257" s="26"/>
      <c r="L257" s="28"/>
      <c r="M257" s="28"/>
      <c r="N257" s="26"/>
      <c r="O257" s="26"/>
      <c r="P257" s="26"/>
      <c r="Q257" s="28"/>
      <c r="R257" s="26"/>
      <c r="S257" s="30"/>
      <c r="T257" s="26"/>
      <c r="U257" s="33"/>
      <c r="V257" s="26"/>
    </row>
    <row r="258" ht="15" customHeight="1">
      <c r="A258" s="34"/>
      <c r="B258" s="26"/>
      <c r="C258" s="26"/>
      <c r="D258" s="30"/>
      <c r="E258" s="28"/>
      <c r="F258" s="28"/>
      <c r="G258" s="28"/>
      <c r="H258" s="28"/>
      <c r="I258" s="28"/>
      <c r="J258" s="26"/>
      <c r="K258" s="26"/>
      <c r="L258" s="28"/>
      <c r="M258" s="28"/>
      <c r="N258" s="26"/>
      <c r="O258" s="26"/>
      <c r="P258" s="26"/>
      <c r="Q258" s="28"/>
      <c r="R258" s="26"/>
      <c r="S258" s="30"/>
      <c r="T258" s="26"/>
      <c r="U258" s="33"/>
      <c r="V258" s="26"/>
    </row>
    <row r="259" ht="15" customHeight="1">
      <c r="A259" s="34"/>
      <c r="B259" s="26"/>
      <c r="C259" s="26"/>
      <c r="D259" s="30"/>
      <c r="E259" s="28"/>
      <c r="F259" s="28"/>
      <c r="G259" s="28"/>
      <c r="H259" s="28"/>
      <c r="I259" s="28"/>
      <c r="J259" s="26"/>
      <c r="K259" s="26"/>
      <c r="L259" s="28"/>
      <c r="M259" s="28"/>
      <c r="N259" s="26"/>
      <c r="O259" s="26"/>
      <c r="P259" s="26"/>
      <c r="Q259" s="28"/>
      <c r="R259" s="26"/>
      <c r="S259" s="30"/>
      <c r="T259" s="26"/>
      <c r="U259" s="33"/>
      <c r="V259" s="26"/>
    </row>
    <row r="260" ht="15" customHeight="1">
      <c r="A260" s="34"/>
      <c r="B260" s="26"/>
      <c r="C260" s="26"/>
      <c r="D260" s="27"/>
      <c r="E260" s="28"/>
      <c r="F260" s="28"/>
      <c r="G260" s="28"/>
      <c r="H260" s="28"/>
      <c r="I260" s="28"/>
      <c r="J260" s="26"/>
      <c r="K260" s="26"/>
      <c r="L260" s="28"/>
      <c r="M260" s="28"/>
      <c r="N260" s="26"/>
      <c r="O260" s="26"/>
      <c r="P260" s="26"/>
      <c r="Q260" s="28"/>
      <c r="R260" s="26"/>
      <c r="S260" s="30"/>
      <c r="T260" s="26"/>
      <c r="U260" s="33"/>
      <c r="V260" s="26"/>
    </row>
    <row r="261" ht="15" customHeight="1">
      <c r="A261" s="34"/>
      <c r="B261" s="26"/>
      <c r="C261" s="26"/>
      <c r="D261" s="27"/>
      <c r="E261" s="28"/>
      <c r="F261" s="28"/>
      <c r="G261" s="28"/>
      <c r="H261" s="28"/>
      <c r="I261" s="28"/>
      <c r="J261" s="26"/>
      <c r="K261" s="26"/>
      <c r="L261" s="28"/>
      <c r="M261" s="28"/>
      <c r="N261" s="26"/>
      <c r="O261" s="26"/>
      <c r="P261" s="26"/>
      <c r="Q261" s="28"/>
      <c r="R261" s="26"/>
      <c r="S261" s="30"/>
      <c r="T261" s="26"/>
      <c r="U261" s="33"/>
      <c r="V261" s="26"/>
    </row>
    <row r="262" ht="15" customHeight="1">
      <c r="A262" s="34"/>
      <c r="B262" s="26"/>
      <c r="C262" s="26"/>
      <c r="D262" s="27"/>
      <c r="E262" s="28"/>
      <c r="F262" s="28"/>
      <c r="G262" s="28"/>
      <c r="H262" s="28"/>
      <c r="I262" s="28"/>
      <c r="J262" s="26"/>
      <c r="K262" s="26"/>
      <c r="L262" s="28"/>
      <c r="M262" s="28"/>
      <c r="N262" s="26"/>
      <c r="O262" s="26"/>
      <c r="P262" s="26"/>
      <c r="Q262" s="28"/>
      <c r="R262" s="26"/>
      <c r="S262" s="30"/>
      <c r="T262" s="26"/>
      <c r="U262" s="33"/>
      <c r="V262" s="26"/>
    </row>
    <row r="263" ht="15" customHeight="1">
      <c r="A263" s="34"/>
      <c r="B263" s="26"/>
      <c r="C263" s="26"/>
      <c r="D263" s="27"/>
      <c r="E263" s="28"/>
      <c r="F263" s="28"/>
      <c r="G263" s="28"/>
      <c r="H263" s="28"/>
      <c r="I263" s="28"/>
      <c r="J263" s="26"/>
      <c r="K263" s="26"/>
      <c r="L263" s="28"/>
      <c r="M263" s="28"/>
      <c r="N263" s="26"/>
      <c r="O263" s="26"/>
      <c r="P263" s="26"/>
      <c r="Q263" s="28"/>
      <c r="R263" s="26"/>
      <c r="S263" s="30"/>
      <c r="T263" s="26"/>
      <c r="U263" s="33"/>
      <c r="V263" s="26"/>
    </row>
    <row r="264" ht="15" customHeight="1">
      <c r="A264" s="34"/>
      <c r="B264" s="26"/>
      <c r="C264" s="26"/>
      <c r="D264" s="27"/>
      <c r="E264" s="28"/>
      <c r="F264" s="28"/>
      <c r="G264" s="28"/>
      <c r="H264" s="28"/>
      <c r="I264" s="28"/>
      <c r="J264" s="26"/>
      <c r="K264" s="26"/>
      <c r="L264" s="28"/>
      <c r="M264" s="28"/>
      <c r="N264" s="26"/>
      <c r="O264" s="26"/>
      <c r="P264" s="26"/>
      <c r="Q264" s="28"/>
      <c r="R264" s="26"/>
      <c r="S264" s="30"/>
      <c r="T264" s="26"/>
      <c r="U264" s="33"/>
      <c r="V264" s="26"/>
    </row>
    <row r="265" ht="15" customHeight="1">
      <c r="A265" s="34"/>
      <c r="B265" s="26"/>
      <c r="C265" s="26"/>
      <c r="D265" s="27"/>
      <c r="E265" s="28"/>
      <c r="F265" s="28"/>
      <c r="G265" s="28"/>
      <c r="H265" s="28"/>
      <c r="I265" s="28"/>
      <c r="J265" s="26"/>
      <c r="K265" s="26"/>
      <c r="L265" s="28"/>
      <c r="M265" s="28"/>
      <c r="N265" s="26"/>
      <c r="O265" s="26"/>
      <c r="P265" s="26"/>
      <c r="Q265" s="28"/>
      <c r="R265" s="26"/>
      <c r="S265" s="30"/>
      <c r="T265" s="26"/>
      <c r="U265" s="33"/>
      <c r="V265" s="26"/>
    </row>
    <row r="266" ht="15" customHeight="1">
      <c r="A266" s="34"/>
      <c r="B266" s="26"/>
      <c r="C266" s="26"/>
      <c r="D266" s="27"/>
      <c r="E266" s="28"/>
      <c r="F266" s="28"/>
      <c r="G266" s="28"/>
      <c r="H266" s="28"/>
      <c r="I266" s="28"/>
      <c r="J266" s="26"/>
      <c r="K266" s="26"/>
      <c r="L266" s="28"/>
      <c r="M266" s="28"/>
      <c r="N266" s="26"/>
      <c r="O266" s="26"/>
      <c r="P266" s="26"/>
      <c r="Q266" s="28"/>
      <c r="R266" s="26"/>
      <c r="S266" s="30"/>
      <c r="T266" s="26"/>
      <c r="U266" s="33"/>
      <c r="V266" s="26"/>
    </row>
    <row r="267" ht="15" customHeight="1">
      <c r="A267" s="34"/>
      <c r="B267" s="26"/>
      <c r="C267" s="26"/>
      <c r="D267" s="27"/>
      <c r="E267" s="28"/>
      <c r="F267" s="28"/>
      <c r="G267" s="28"/>
      <c r="H267" s="28"/>
      <c r="I267" s="28"/>
      <c r="J267" s="26"/>
      <c r="K267" s="26"/>
      <c r="L267" s="28"/>
      <c r="M267" s="28"/>
      <c r="N267" s="26"/>
      <c r="O267" s="26"/>
      <c r="P267" s="26"/>
      <c r="Q267" s="28"/>
      <c r="R267" s="26"/>
      <c r="S267" s="30"/>
      <c r="T267" s="26"/>
      <c r="U267" s="33"/>
      <c r="V267" s="26"/>
    </row>
    <row r="268" ht="15" customHeight="1">
      <c r="A268" s="34"/>
      <c r="B268" s="26"/>
      <c r="C268" s="26"/>
      <c r="D268" s="30"/>
      <c r="E268" s="28"/>
      <c r="F268" s="28"/>
      <c r="G268" s="28"/>
      <c r="H268" s="28"/>
      <c r="I268" s="28"/>
      <c r="J268" s="26"/>
      <c r="K268" s="26"/>
      <c r="L268" s="28"/>
      <c r="M268" s="28"/>
      <c r="N268" s="26"/>
      <c r="O268" s="26"/>
      <c r="P268" s="26"/>
      <c r="Q268" s="28"/>
      <c r="R268" s="26"/>
      <c r="S268" s="30"/>
      <c r="T268" s="26"/>
      <c r="U268" s="33"/>
      <c r="V268" s="26"/>
    </row>
    <row r="269" ht="15" customHeight="1">
      <c r="A269" s="34"/>
      <c r="B269" s="26"/>
      <c r="C269" s="26"/>
      <c r="D269" s="30"/>
      <c r="E269" s="28"/>
      <c r="F269" s="28"/>
      <c r="G269" s="28"/>
      <c r="H269" s="28"/>
      <c r="I269" s="28"/>
      <c r="J269" s="26"/>
      <c r="K269" s="26"/>
      <c r="L269" s="28"/>
      <c r="M269" s="28"/>
      <c r="N269" s="26"/>
      <c r="O269" s="26"/>
      <c r="P269" s="26"/>
      <c r="Q269" s="28"/>
      <c r="R269" s="26"/>
      <c r="S269" s="30"/>
      <c r="T269" s="26"/>
      <c r="U269" s="33"/>
      <c r="V269" s="26"/>
    </row>
    <row r="270" ht="15" customHeight="1">
      <c r="A270" s="34"/>
      <c r="B270" s="26"/>
      <c r="C270" s="26"/>
      <c r="D270" s="30"/>
      <c r="E270" s="28"/>
      <c r="F270" s="28"/>
      <c r="G270" s="28"/>
      <c r="H270" s="28"/>
      <c r="I270" s="28"/>
      <c r="J270" s="26"/>
      <c r="K270" s="26"/>
      <c r="L270" s="28"/>
      <c r="M270" s="28"/>
      <c r="N270" s="26"/>
      <c r="O270" s="26"/>
      <c r="P270" s="26"/>
      <c r="Q270" s="28"/>
      <c r="R270" s="26"/>
      <c r="S270" s="30"/>
      <c r="T270" s="26"/>
      <c r="U270" s="33"/>
      <c r="V270" s="26"/>
    </row>
    <row r="271" ht="15" customHeight="1">
      <c r="A271" s="34"/>
      <c r="B271" s="26"/>
      <c r="C271" s="26"/>
      <c r="D271" s="30"/>
      <c r="E271" s="28"/>
      <c r="F271" s="28"/>
      <c r="G271" s="28"/>
      <c r="H271" s="28"/>
      <c r="I271" s="28"/>
      <c r="J271" s="26"/>
      <c r="K271" s="26"/>
      <c r="L271" s="28"/>
      <c r="M271" s="28"/>
      <c r="N271" s="26"/>
      <c r="O271" s="26"/>
      <c r="P271" s="26"/>
      <c r="Q271" s="28"/>
      <c r="R271" s="26"/>
      <c r="S271" s="30"/>
      <c r="T271" s="26"/>
      <c r="U271" s="33"/>
      <c r="V271" s="26"/>
    </row>
    <row r="272" ht="15" customHeight="1">
      <c r="A272" s="34"/>
      <c r="B272" s="26"/>
      <c r="C272" s="26"/>
      <c r="D272" s="30"/>
      <c r="E272" s="28"/>
      <c r="F272" s="28"/>
      <c r="G272" s="28"/>
      <c r="H272" s="28"/>
      <c r="I272" s="28"/>
      <c r="J272" s="26"/>
      <c r="K272" s="26"/>
      <c r="L272" s="28"/>
      <c r="M272" s="28"/>
      <c r="N272" s="26"/>
      <c r="O272" s="26"/>
      <c r="P272" s="26"/>
      <c r="Q272" s="28"/>
      <c r="R272" s="26"/>
      <c r="S272" s="30"/>
      <c r="T272" s="26"/>
      <c r="U272" s="33"/>
      <c r="V272" s="26"/>
    </row>
    <row r="273" ht="15" customHeight="1">
      <c r="A273" s="34"/>
      <c r="B273" s="26"/>
      <c r="C273" s="26"/>
      <c r="D273" s="30"/>
      <c r="E273" s="28"/>
      <c r="F273" s="28"/>
      <c r="G273" s="28"/>
      <c r="H273" s="28"/>
      <c r="I273" s="28"/>
      <c r="J273" s="26"/>
      <c r="K273" s="26"/>
      <c r="L273" s="28"/>
      <c r="M273" s="28"/>
      <c r="N273" s="26"/>
      <c r="O273" s="26"/>
      <c r="P273" s="26"/>
      <c r="Q273" s="28"/>
      <c r="R273" s="26"/>
      <c r="S273" s="30"/>
      <c r="T273" s="26"/>
      <c r="U273" s="33"/>
      <c r="V273" s="26"/>
    </row>
    <row r="274" ht="15" customHeight="1">
      <c r="A274" s="34"/>
      <c r="B274" s="26"/>
      <c r="C274" s="26"/>
      <c r="D274" s="27"/>
      <c r="E274" s="28"/>
      <c r="F274" s="28"/>
      <c r="G274" s="28"/>
      <c r="H274" s="28"/>
      <c r="I274" s="28"/>
      <c r="J274" s="26"/>
      <c r="K274" s="26"/>
      <c r="L274" s="28"/>
      <c r="M274" s="28"/>
      <c r="N274" s="26"/>
      <c r="O274" s="26"/>
      <c r="P274" s="26"/>
      <c r="Q274" s="28"/>
      <c r="R274" s="26"/>
      <c r="S274" s="30"/>
      <c r="T274" s="26"/>
      <c r="U274" s="33"/>
      <c r="V274" s="26"/>
    </row>
    <row r="275" ht="15" customHeight="1">
      <c r="A275" s="34"/>
      <c r="B275" s="26"/>
      <c r="C275" s="26"/>
      <c r="D275" s="30"/>
      <c r="E275" s="28"/>
      <c r="F275" s="28"/>
      <c r="G275" s="28"/>
      <c r="H275" s="28"/>
      <c r="I275" s="28"/>
      <c r="J275" s="26"/>
      <c r="K275" s="26"/>
      <c r="L275" s="28"/>
      <c r="M275" s="28"/>
      <c r="N275" s="26"/>
      <c r="O275" s="26"/>
      <c r="P275" s="26"/>
      <c r="Q275" s="28"/>
      <c r="R275" s="26"/>
      <c r="S275" s="30"/>
      <c r="T275" s="26"/>
      <c r="U275" s="33"/>
      <c r="V275" s="26"/>
    </row>
    <row r="276" ht="15" customHeight="1">
      <c r="A276" s="34"/>
      <c r="B276" s="26"/>
      <c r="C276" s="26"/>
      <c r="D276" s="92"/>
      <c r="E276" s="28"/>
      <c r="F276" s="28"/>
      <c r="G276" s="28"/>
      <c r="H276" s="28"/>
      <c r="I276" s="28"/>
      <c r="J276" s="26"/>
      <c r="K276" s="26"/>
      <c r="L276" s="28"/>
      <c r="M276" s="28"/>
      <c r="N276" s="26"/>
      <c r="O276" s="26"/>
      <c r="P276" s="26"/>
      <c r="Q276" s="28"/>
      <c r="R276" s="26"/>
      <c r="S276" s="30"/>
      <c r="T276" s="26"/>
      <c r="U276" s="33"/>
      <c r="V276" s="26"/>
    </row>
    <row r="277" ht="15" customHeight="1">
      <c r="A277" s="34"/>
      <c r="B277" s="26"/>
      <c r="C277" s="26"/>
      <c r="D277" s="92"/>
      <c r="E277" s="28"/>
      <c r="F277" s="28"/>
      <c r="G277" s="28"/>
      <c r="H277" s="28"/>
      <c r="I277" s="28"/>
      <c r="J277" s="26"/>
      <c r="K277" s="26"/>
      <c r="L277" s="28"/>
      <c r="M277" s="28"/>
      <c r="N277" s="26"/>
      <c r="O277" s="26"/>
      <c r="P277" s="26"/>
      <c r="Q277" s="28"/>
      <c r="R277" s="26"/>
      <c r="S277" s="30"/>
      <c r="T277" s="26"/>
      <c r="U277" s="33"/>
      <c r="V277" s="26"/>
    </row>
    <row r="278" ht="15" customHeight="1">
      <c r="A278" s="34"/>
      <c r="B278" s="26"/>
      <c r="C278" s="26"/>
      <c r="D278" s="92"/>
      <c r="E278" s="28"/>
      <c r="F278" s="28"/>
      <c r="G278" s="28"/>
      <c r="H278" s="28"/>
      <c r="I278" s="28"/>
      <c r="J278" s="26"/>
      <c r="K278" s="26"/>
      <c r="L278" s="28"/>
      <c r="M278" s="28"/>
      <c r="N278" s="26"/>
      <c r="O278" s="26"/>
      <c r="P278" s="26"/>
      <c r="Q278" s="28"/>
      <c r="R278" s="26"/>
      <c r="S278" s="30"/>
      <c r="T278" s="26"/>
      <c r="U278" s="33"/>
      <c r="V278" s="91"/>
    </row>
    <row r="279" ht="15" customHeight="1">
      <c r="A279" s="34"/>
      <c r="B279" s="26"/>
      <c r="C279" s="26"/>
      <c r="D279" s="92"/>
      <c r="E279" s="28"/>
      <c r="F279" s="28"/>
      <c r="G279" s="28"/>
      <c r="H279" s="28"/>
      <c r="I279" s="28"/>
      <c r="J279" s="26"/>
      <c r="K279" s="26"/>
      <c r="L279" s="28"/>
      <c r="M279" s="28"/>
      <c r="N279" s="26"/>
      <c r="O279" s="26"/>
      <c r="P279" s="26"/>
      <c r="Q279" s="28"/>
      <c r="R279" s="26"/>
      <c r="S279" s="30"/>
      <c r="T279" s="26"/>
      <c r="U279" s="33"/>
      <c r="V279" s="26"/>
    </row>
    <row r="280" ht="15" customHeight="1">
      <c r="A280" s="34"/>
      <c r="B280" s="26"/>
      <c r="C280" s="26"/>
      <c r="D280" s="92"/>
      <c r="E280" s="28"/>
      <c r="F280" s="28"/>
      <c r="G280" s="28"/>
      <c r="H280" s="28"/>
      <c r="I280" s="28"/>
      <c r="J280" s="26"/>
      <c r="K280" s="26"/>
      <c r="L280" s="28"/>
      <c r="M280" s="28"/>
      <c r="N280" s="26"/>
      <c r="O280" s="26"/>
      <c r="P280" s="26"/>
      <c r="Q280" s="28"/>
      <c r="R280" s="26"/>
      <c r="S280" s="30"/>
      <c r="T280" s="26"/>
      <c r="U280" s="33"/>
      <c r="V280" s="26"/>
    </row>
    <row r="281" ht="15" customHeight="1">
      <c r="A281" s="34"/>
      <c r="B281" s="26"/>
      <c r="C281" s="26"/>
      <c r="D281" s="92"/>
      <c r="E281" s="28"/>
      <c r="F281" s="28"/>
      <c r="G281" s="28"/>
      <c r="H281" s="28"/>
      <c r="I281" s="28"/>
      <c r="J281" s="26"/>
      <c r="K281" s="26"/>
      <c r="L281" s="28"/>
      <c r="M281" s="28"/>
      <c r="N281" s="26"/>
      <c r="O281" s="26"/>
      <c r="P281" s="26"/>
      <c r="Q281" s="28"/>
      <c r="R281" s="26"/>
      <c r="S281" s="30"/>
      <c r="T281" s="26"/>
      <c r="U281" s="33"/>
      <c r="V281" s="91"/>
    </row>
    <row r="282" ht="15" customHeight="1">
      <c r="A282" s="34"/>
      <c r="B282" s="26"/>
      <c r="C282" s="26"/>
      <c r="D282" s="92"/>
      <c r="E282" s="28"/>
      <c r="F282" s="28"/>
      <c r="G282" s="28"/>
      <c r="H282" s="28"/>
      <c r="I282" s="28"/>
      <c r="J282" s="26"/>
      <c r="K282" s="26"/>
      <c r="L282" s="28"/>
      <c r="M282" s="28"/>
      <c r="N282" s="26"/>
      <c r="O282" s="26"/>
      <c r="P282" s="26"/>
      <c r="Q282" s="28"/>
      <c r="R282" s="26"/>
      <c r="S282" s="30"/>
      <c r="T282" s="26"/>
      <c r="U282" s="33"/>
      <c r="V282" s="26"/>
    </row>
    <row r="283" ht="15" customHeight="1">
      <c r="A283" s="34"/>
      <c r="B283" s="26"/>
      <c r="C283" s="26"/>
      <c r="D283" s="92"/>
      <c r="E283" s="28"/>
      <c r="F283" s="28"/>
      <c r="G283" s="28"/>
      <c r="H283" s="28"/>
      <c r="I283" s="28"/>
      <c r="J283" s="26"/>
      <c r="K283" s="26"/>
      <c r="L283" s="28"/>
      <c r="M283" s="28"/>
      <c r="N283" s="26"/>
      <c r="O283" s="26"/>
      <c r="P283" s="26"/>
      <c r="Q283" s="28"/>
      <c r="R283" s="26"/>
      <c r="S283" s="30"/>
      <c r="T283" s="26"/>
      <c r="U283" s="33"/>
      <c r="V283" s="26"/>
    </row>
    <row r="284" ht="15" customHeight="1">
      <c r="A284" s="34"/>
      <c r="B284" s="26"/>
      <c r="C284" s="26"/>
      <c r="D284" s="92"/>
      <c r="E284" s="28"/>
      <c r="F284" s="28"/>
      <c r="G284" s="28"/>
      <c r="H284" s="28"/>
      <c r="I284" s="28"/>
      <c r="J284" s="26"/>
      <c r="K284" s="26"/>
      <c r="L284" s="28"/>
      <c r="M284" s="28"/>
      <c r="N284" s="26"/>
      <c r="O284" s="26"/>
      <c r="P284" s="26"/>
      <c r="Q284" s="28"/>
      <c r="R284" s="26"/>
      <c r="S284" s="30"/>
      <c r="T284" s="26"/>
      <c r="U284" s="33"/>
      <c r="V284" s="91"/>
    </row>
    <row r="285" ht="15" customHeight="1">
      <c r="A285" s="34"/>
      <c r="B285" s="26"/>
      <c r="C285" s="26"/>
      <c r="D285" s="27"/>
      <c r="E285" s="28"/>
      <c r="F285" s="28"/>
      <c r="G285" s="28"/>
      <c r="H285" s="28"/>
      <c r="I285" s="28"/>
      <c r="J285" s="26"/>
      <c r="K285" s="26"/>
      <c r="L285" s="28"/>
      <c r="M285" s="28"/>
      <c r="N285" s="26"/>
      <c r="O285" s="26"/>
      <c r="P285" s="26"/>
      <c r="Q285" s="28"/>
      <c r="R285" s="26"/>
      <c r="S285" s="30"/>
      <c r="T285" s="26"/>
      <c r="U285" s="33"/>
      <c r="V285" s="26"/>
    </row>
    <row r="286" ht="15" customHeight="1">
      <c r="A286" s="34"/>
      <c r="B286" s="26"/>
      <c r="C286" s="26"/>
      <c r="D286" s="27"/>
      <c r="E286" s="28"/>
      <c r="F286" s="28"/>
      <c r="G286" s="28"/>
      <c r="H286" s="28"/>
      <c r="I286" s="28"/>
      <c r="J286" s="26"/>
      <c r="K286" s="26"/>
      <c r="L286" s="28"/>
      <c r="M286" s="28"/>
      <c r="N286" s="26"/>
      <c r="O286" s="26"/>
      <c r="P286" s="26"/>
      <c r="Q286" s="28"/>
      <c r="R286" s="26"/>
      <c r="S286" s="30"/>
      <c r="T286" s="26"/>
      <c r="U286" s="33"/>
      <c r="V286" s="91"/>
    </row>
    <row r="287" ht="15" customHeight="1">
      <c r="A287" s="34"/>
      <c r="B287" s="26"/>
      <c r="C287" s="26"/>
      <c r="D287" s="27"/>
      <c r="E287" s="28"/>
      <c r="F287" s="28"/>
      <c r="G287" s="28"/>
      <c r="H287" s="28"/>
      <c r="I287" s="28"/>
      <c r="J287" s="26"/>
      <c r="K287" s="26"/>
      <c r="L287" s="28"/>
      <c r="M287" s="28"/>
      <c r="N287" s="26"/>
      <c r="O287" s="26"/>
      <c r="P287" s="26"/>
      <c r="Q287" s="28"/>
      <c r="R287" s="26"/>
      <c r="S287" s="30"/>
      <c r="T287" s="26"/>
      <c r="U287" s="33"/>
      <c r="V287" s="26"/>
    </row>
    <row r="288" ht="15" customHeight="1">
      <c r="A288" s="34"/>
      <c r="B288" s="26"/>
      <c r="C288" s="26"/>
      <c r="D288" s="27"/>
      <c r="E288" s="28"/>
      <c r="F288" s="28"/>
      <c r="G288" s="28"/>
      <c r="H288" s="28"/>
      <c r="I288" s="28"/>
      <c r="J288" s="26"/>
      <c r="K288" s="26"/>
      <c r="L288" s="28"/>
      <c r="M288" s="28"/>
      <c r="N288" s="26"/>
      <c r="O288" s="26"/>
      <c r="P288" s="26"/>
      <c r="Q288" s="28"/>
      <c r="R288" s="26"/>
      <c r="S288" s="30"/>
      <c r="T288" s="26"/>
      <c r="U288" s="33"/>
      <c r="V288" s="26"/>
    </row>
    <row r="289" ht="15" customHeight="1">
      <c r="A289" s="34"/>
      <c r="B289" s="26"/>
      <c r="C289" s="26"/>
      <c r="D289" s="27"/>
      <c r="E289" s="28"/>
      <c r="F289" s="28"/>
      <c r="G289" s="28"/>
      <c r="H289" s="28"/>
      <c r="I289" s="28"/>
      <c r="J289" s="26"/>
      <c r="K289" s="26"/>
      <c r="L289" s="28"/>
      <c r="M289" s="28"/>
      <c r="N289" s="26"/>
      <c r="O289" s="26"/>
      <c r="P289" s="26"/>
      <c r="Q289" s="28"/>
      <c r="R289" s="26"/>
      <c r="S289" s="30"/>
      <c r="T289" s="26"/>
      <c r="U289" s="33"/>
      <c r="V289" s="26"/>
    </row>
    <row r="290" ht="15" customHeight="1">
      <c r="A290" s="34"/>
      <c r="B290" s="26"/>
      <c r="C290" s="26"/>
      <c r="D290" s="27"/>
      <c r="E290" s="28"/>
      <c r="F290" s="28"/>
      <c r="G290" s="28"/>
      <c r="H290" s="28"/>
      <c r="I290" s="28"/>
      <c r="J290" s="26"/>
      <c r="K290" s="26"/>
      <c r="L290" s="28"/>
      <c r="M290" s="28"/>
      <c r="N290" s="26"/>
      <c r="O290" s="26"/>
      <c r="P290" s="26"/>
      <c r="Q290" s="28"/>
      <c r="R290" s="26"/>
      <c r="S290" s="30"/>
      <c r="T290" s="26"/>
      <c r="U290" s="33"/>
      <c r="V290" s="26"/>
    </row>
    <row r="291" ht="15" customHeight="1">
      <c r="A291" s="34"/>
      <c r="B291" s="26"/>
      <c r="C291" s="26"/>
      <c r="D291" s="27"/>
      <c r="E291" s="28"/>
      <c r="F291" s="28"/>
      <c r="G291" s="28"/>
      <c r="H291" s="28"/>
      <c r="I291" s="28"/>
      <c r="J291" s="26"/>
      <c r="K291" s="26"/>
      <c r="L291" s="28"/>
      <c r="M291" s="28"/>
      <c r="N291" s="26"/>
      <c r="O291" s="26"/>
      <c r="P291" s="26"/>
      <c r="Q291" s="28"/>
      <c r="R291" s="26"/>
      <c r="S291" s="30"/>
      <c r="T291" s="26"/>
      <c r="U291" s="33"/>
      <c r="V291" s="26"/>
    </row>
    <row r="292" ht="15" customHeight="1">
      <c r="A292" s="34"/>
      <c r="B292" s="26"/>
      <c r="C292" s="26"/>
      <c r="D292" s="26"/>
      <c r="E292" s="28"/>
      <c r="F292" s="28"/>
      <c r="G292" s="28"/>
      <c r="H292" s="28"/>
      <c r="I292" s="28"/>
      <c r="J292" s="26"/>
      <c r="K292" s="26"/>
      <c r="L292" s="28"/>
      <c r="M292" s="28"/>
      <c r="N292" s="26"/>
      <c r="O292" s="26"/>
      <c r="P292" s="26"/>
      <c r="Q292" s="28"/>
      <c r="R292" s="26"/>
      <c r="S292" s="30"/>
      <c r="T292" s="26"/>
      <c r="U292" s="33"/>
      <c r="V292" s="26"/>
    </row>
    <row r="293" ht="15" customHeight="1">
      <c r="A293" s="34"/>
      <c r="B293" s="26"/>
      <c r="C293" s="26"/>
      <c r="D293" s="26"/>
      <c r="E293" s="28"/>
      <c r="F293" s="28"/>
      <c r="G293" s="28"/>
      <c r="H293" s="28"/>
      <c r="I293" s="28"/>
      <c r="J293" s="26"/>
      <c r="K293" s="26"/>
      <c r="L293" s="28"/>
      <c r="M293" s="28"/>
      <c r="N293" s="26"/>
      <c r="O293" s="26"/>
      <c r="P293" s="26"/>
      <c r="Q293" s="28"/>
      <c r="R293" s="26"/>
      <c r="S293" s="30"/>
      <c r="T293" s="26"/>
      <c r="U293" s="33"/>
      <c r="V293" s="91"/>
    </row>
    <row r="294" ht="15" customHeight="1">
      <c r="A294" s="34"/>
      <c r="B294" s="26"/>
      <c r="C294" s="26"/>
      <c r="D294" s="26"/>
      <c r="E294" s="28"/>
      <c r="F294" s="28"/>
      <c r="G294" s="28"/>
      <c r="H294" s="28"/>
      <c r="I294" s="28"/>
      <c r="J294" s="26"/>
      <c r="K294" s="26"/>
      <c r="L294" s="28"/>
      <c r="M294" s="28"/>
      <c r="N294" s="26"/>
      <c r="O294" s="26"/>
      <c r="P294" s="26"/>
      <c r="Q294" s="28"/>
      <c r="R294" s="26"/>
      <c r="S294" s="30"/>
      <c r="T294" s="26"/>
      <c r="U294" s="33"/>
      <c r="V294" s="26"/>
    </row>
    <row r="295" ht="15" customHeight="1">
      <c r="A295" s="34"/>
      <c r="B295" s="26"/>
      <c r="C295" s="26"/>
      <c r="D295" s="26"/>
      <c r="E295" s="28"/>
      <c r="F295" s="28"/>
      <c r="G295" s="28"/>
      <c r="H295" s="28"/>
      <c r="I295" s="28"/>
      <c r="J295" s="26"/>
      <c r="K295" s="26"/>
      <c r="L295" s="28"/>
      <c r="M295" s="28"/>
      <c r="N295" s="26"/>
      <c r="O295" s="26"/>
      <c r="P295" s="26"/>
      <c r="Q295" s="28"/>
      <c r="R295" s="26"/>
      <c r="S295" s="30"/>
      <c r="T295" s="26"/>
      <c r="U295" s="33"/>
      <c r="V295" s="26"/>
    </row>
    <row r="296" ht="15" customHeight="1">
      <c r="A296" s="34"/>
      <c r="B296" s="26"/>
      <c r="C296" s="26"/>
      <c r="D296" s="26"/>
      <c r="E296" s="28"/>
      <c r="F296" s="28"/>
      <c r="G296" s="28"/>
      <c r="H296" s="28"/>
      <c r="I296" s="28"/>
      <c r="J296" s="26"/>
      <c r="K296" s="26"/>
      <c r="L296" s="28"/>
      <c r="M296" s="28"/>
      <c r="N296" s="26"/>
      <c r="O296" s="26"/>
      <c r="P296" s="26"/>
      <c r="Q296" s="28"/>
      <c r="R296" s="26"/>
      <c r="S296" s="30"/>
      <c r="T296" s="26"/>
      <c r="U296" s="33"/>
      <c r="V296" s="26"/>
    </row>
    <row r="297" ht="15" customHeight="1">
      <c r="A297" s="34"/>
      <c r="B297" s="26"/>
      <c r="C297" s="26"/>
      <c r="D297" s="26"/>
      <c r="E297" s="28"/>
      <c r="F297" s="28"/>
      <c r="G297" s="28"/>
      <c r="H297" s="28"/>
      <c r="I297" s="28"/>
      <c r="J297" s="26"/>
      <c r="K297" s="26"/>
      <c r="L297" s="28"/>
      <c r="M297" s="28"/>
      <c r="N297" s="26"/>
      <c r="O297" s="26"/>
      <c r="P297" s="26"/>
      <c r="Q297" s="28"/>
      <c r="R297" s="26"/>
      <c r="S297" s="30"/>
      <c r="T297" s="26"/>
      <c r="U297" s="33"/>
      <c r="V297" s="26"/>
    </row>
    <row r="298" ht="15" customHeight="1">
      <c r="A298" s="34"/>
      <c r="B298" s="26"/>
      <c r="C298" s="26"/>
      <c r="D298" s="26"/>
      <c r="E298" s="28"/>
      <c r="F298" s="28"/>
      <c r="G298" s="28"/>
      <c r="H298" s="28"/>
      <c r="I298" s="28"/>
      <c r="J298" s="26"/>
      <c r="K298" s="26"/>
      <c r="L298" s="28"/>
      <c r="M298" s="28"/>
      <c r="N298" s="26"/>
      <c r="O298" s="26"/>
      <c r="P298" s="26"/>
      <c r="Q298" s="28"/>
      <c r="R298" s="26"/>
      <c r="S298" s="30"/>
      <c r="T298" s="26"/>
      <c r="U298" s="33"/>
      <c r="V298" s="26"/>
    </row>
    <row r="299" ht="15" customHeight="1">
      <c r="A299" s="34"/>
      <c r="B299" s="26"/>
      <c r="C299" s="26"/>
      <c r="D299" s="26"/>
      <c r="E299" s="28"/>
      <c r="F299" s="28"/>
      <c r="G299" s="28"/>
      <c r="H299" s="28"/>
      <c r="I299" s="28"/>
      <c r="J299" s="26"/>
      <c r="K299" s="26"/>
      <c r="L299" s="28"/>
      <c r="M299" s="28"/>
      <c r="N299" s="26"/>
      <c r="O299" s="26"/>
      <c r="P299" s="26"/>
      <c r="Q299" s="28"/>
      <c r="R299" s="26"/>
      <c r="S299" s="30"/>
      <c r="T299" s="26"/>
      <c r="U299" s="33"/>
      <c r="V299" s="26"/>
    </row>
    <row r="300" ht="15" customHeight="1">
      <c r="A300" s="34"/>
      <c r="B300" s="26"/>
      <c r="C300" s="26"/>
      <c r="D300" s="26"/>
      <c r="E300" s="28"/>
      <c r="F300" s="28"/>
      <c r="G300" s="28"/>
      <c r="H300" s="28"/>
      <c r="I300" s="28"/>
      <c r="J300" s="26"/>
      <c r="K300" s="26"/>
      <c r="L300" s="28"/>
      <c r="M300" s="28"/>
      <c r="N300" s="26"/>
      <c r="O300" s="26"/>
      <c r="P300" s="26"/>
      <c r="Q300" s="28"/>
      <c r="R300" s="26"/>
      <c r="S300" s="30"/>
      <c r="T300" s="26"/>
      <c r="U300" s="33"/>
      <c r="V300" s="26"/>
    </row>
    <row r="301" ht="15" customHeight="1">
      <c r="A301" s="34"/>
      <c r="B301" s="26"/>
      <c r="C301" s="26"/>
      <c r="D301" s="26"/>
      <c r="E301" s="28"/>
      <c r="F301" s="28"/>
      <c r="G301" s="28"/>
      <c r="H301" s="28"/>
      <c r="I301" s="28"/>
      <c r="J301" s="26"/>
      <c r="K301" s="26"/>
      <c r="L301" s="28"/>
      <c r="M301" s="28"/>
      <c r="N301" s="26"/>
      <c r="O301" s="26"/>
      <c r="P301" s="26"/>
      <c r="Q301" s="28"/>
      <c r="R301" s="26"/>
      <c r="S301" s="30"/>
      <c r="T301" s="26"/>
      <c r="U301" s="33"/>
      <c r="V301" s="26"/>
    </row>
    <row r="302" ht="15" customHeight="1">
      <c r="A302" s="34"/>
      <c r="B302" s="26"/>
      <c r="C302" s="26"/>
      <c r="D302" s="26"/>
      <c r="E302" s="28"/>
      <c r="F302" s="28"/>
      <c r="G302" s="28"/>
      <c r="H302" s="28"/>
      <c r="I302" s="28"/>
      <c r="J302" s="26"/>
      <c r="K302" s="26"/>
      <c r="L302" s="28"/>
      <c r="M302" s="28"/>
      <c r="N302" s="26"/>
      <c r="O302" s="26"/>
      <c r="P302" s="26"/>
      <c r="Q302" s="28"/>
      <c r="R302" s="26"/>
      <c r="S302" s="30"/>
      <c r="T302" s="26"/>
      <c r="U302" s="33"/>
      <c r="V302" s="26"/>
    </row>
    <row r="303" ht="15" customHeight="1">
      <c r="A303" s="34"/>
      <c r="B303" s="26"/>
      <c r="C303" s="26"/>
      <c r="D303" s="26"/>
      <c r="E303" s="28"/>
      <c r="F303" s="28"/>
      <c r="G303" s="28"/>
      <c r="H303" s="28"/>
      <c r="I303" s="28"/>
      <c r="J303" s="26"/>
      <c r="K303" s="26"/>
      <c r="L303" s="28"/>
      <c r="M303" s="28"/>
      <c r="N303" s="26"/>
      <c r="O303" s="26"/>
      <c r="P303" s="26"/>
      <c r="Q303" s="28"/>
      <c r="R303" s="26"/>
      <c r="S303" s="30"/>
      <c r="T303" s="26"/>
      <c r="U303" s="33"/>
      <c r="V303" s="26"/>
    </row>
    <row r="304" ht="15" customHeight="1">
      <c r="A304" s="34"/>
      <c r="B304" s="26"/>
      <c r="C304" s="26"/>
      <c r="D304" s="26"/>
      <c r="E304" s="28"/>
      <c r="F304" s="28"/>
      <c r="G304" s="28"/>
      <c r="H304" s="28"/>
      <c r="I304" s="28"/>
      <c r="J304" s="26"/>
      <c r="K304" s="26"/>
      <c r="L304" s="28"/>
      <c r="M304" s="28"/>
      <c r="N304" s="26"/>
      <c r="O304" s="26"/>
      <c r="P304" s="26"/>
      <c r="Q304" s="28"/>
      <c r="R304" s="26"/>
      <c r="S304" s="30"/>
      <c r="T304" s="26"/>
      <c r="U304" s="33"/>
      <c r="V304" s="91"/>
    </row>
    <row r="305" ht="15" customHeight="1">
      <c r="A305" s="34"/>
      <c r="B305" s="26"/>
      <c r="C305" s="26"/>
      <c r="D305" s="26"/>
      <c r="E305" s="28"/>
      <c r="F305" s="28"/>
      <c r="G305" s="28"/>
      <c r="H305" s="28"/>
      <c r="I305" s="28"/>
      <c r="J305" s="26"/>
      <c r="K305" s="26"/>
      <c r="L305" s="28"/>
      <c r="M305" s="28"/>
      <c r="N305" s="26"/>
      <c r="O305" s="26"/>
      <c r="P305" s="26"/>
      <c r="Q305" s="28"/>
      <c r="R305" s="26"/>
      <c r="S305" s="30"/>
      <c r="T305" s="26"/>
      <c r="U305" s="33"/>
      <c r="V305" s="26"/>
    </row>
    <row r="306" ht="15" customHeight="1">
      <c r="A306" s="34"/>
      <c r="B306" s="26"/>
      <c r="C306" s="26"/>
      <c r="D306" s="26"/>
      <c r="E306" s="28"/>
      <c r="F306" s="28"/>
      <c r="G306" s="28"/>
      <c r="H306" s="28"/>
      <c r="I306" s="28"/>
      <c r="J306" s="26"/>
      <c r="K306" s="26"/>
      <c r="L306" s="28"/>
      <c r="M306" s="28"/>
      <c r="N306" s="26"/>
      <c r="O306" s="26"/>
      <c r="P306" s="26"/>
      <c r="Q306" s="28"/>
      <c r="R306" s="26"/>
      <c r="S306" s="30"/>
      <c r="T306" s="26"/>
      <c r="U306" s="33"/>
      <c r="V306" s="26"/>
    </row>
    <row r="307" ht="15" customHeight="1">
      <c r="A307" s="34"/>
      <c r="B307" s="26"/>
      <c r="C307" s="26"/>
      <c r="D307" s="26"/>
      <c r="E307" s="28"/>
      <c r="F307" s="28"/>
      <c r="G307" s="28"/>
      <c r="H307" s="28"/>
      <c r="I307" s="28"/>
      <c r="J307" s="26"/>
      <c r="K307" s="26"/>
      <c r="L307" s="28"/>
      <c r="M307" s="28"/>
      <c r="N307" s="26"/>
      <c r="O307" s="26"/>
      <c r="P307" s="26"/>
      <c r="Q307" s="28"/>
      <c r="R307" s="26"/>
      <c r="S307" s="30"/>
      <c r="T307" s="26"/>
      <c r="U307" s="33"/>
      <c r="V307" s="26"/>
    </row>
    <row r="308" ht="15" customHeight="1">
      <c r="A308" s="34"/>
      <c r="B308" s="26"/>
      <c r="C308" s="26"/>
      <c r="D308" s="26"/>
      <c r="E308" s="28"/>
      <c r="F308" s="28"/>
      <c r="G308" s="28"/>
      <c r="H308" s="28"/>
      <c r="I308" s="28"/>
      <c r="J308" s="26"/>
      <c r="K308" s="26"/>
      <c r="L308" s="28"/>
      <c r="M308" s="28"/>
      <c r="N308" s="26"/>
      <c r="O308" s="26"/>
      <c r="P308" s="26"/>
      <c r="Q308" s="28"/>
      <c r="R308" s="26"/>
      <c r="S308" s="30"/>
      <c r="T308" s="26"/>
      <c r="U308" s="33"/>
      <c r="V308" s="26"/>
    </row>
    <row r="309" ht="15" customHeight="1">
      <c r="A309" s="34"/>
      <c r="B309" s="26"/>
      <c r="C309" s="26"/>
      <c r="D309" s="26"/>
      <c r="E309" s="28"/>
      <c r="F309" s="28"/>
      <c r="G309" s="28"/>
      <c r="H309" s="28"/>
      <c r="I309" s="28"/>
      <c r="J309" s="26"/>
      <c r="K309" s="26"/>
      <c r="L309" s="28"/>
      <c r="M309" s="28"/>
      <c r="N309" s="26"/>
      <c r="O309" s="26"/>
      <c r="P309" s="26"/>
      <c r="Q309" s="28"/>
      <c r="R309" s="26"/>
      <c r="S309" s="30"/>
      <c r="T309" s="26"/>
      <c r="U309" s="33"/>
      <c r="V309" s="26"/>
    </row>
    <row r="310" ht="15" customHeight="1">
      <c r="A310" s="34"/>
      <c r="B310" s="26"/>
      <c r="C310" s="26"/>
      <c r="D310" s="26"/>
      <c r="E310" s="28"/>
      <c r="F310" s="28"/>
      <c r="G310" s="28"/>
      <c r="H310" s="28"/>
      <c r="I310" s="28"/>
      <c r="J310" s="26"/>
      <c r="K310" s="26"/>
      <c r="L310" s="28"/>
      <c r="M310" s="28"/>
      <c r="N310" s="26"/>
      <c r="O310" s="26"/>
      <c r="P310" s="26"/>
      <c r="Q310" s="28"/>
      <c r="R310" s="26"/>
      <c r="S310" s="30"/>
      <c r="T310" s="26"/>
      <c r="U310" s="33"/>
      <c r="V310" s="26"/>
    </row>
    <row r="311" ht="15" customHeight="1">
      <c r="A311" s="34"/>
      <c r="B311" s="26"/>
      <c r="C311" s="26"/>
      <c r="D311" s="26"/>
      <c r="E311" s="28"/>
      <c r="F311" s="28"/>
      <c r="G311" s="28"/>
      <c r="H311" s="28"/>
      <c r="I311" s="28"/>
      <c r="J311" s="26"/>
      <c r="K311" s="26"/>
      <c r="L311" s="28"/>
      <c r="M311" s="28"/>
      <c r="N311" s="26"/>
      <c r="O311" s="26"/>
      <c r="P311" s="26"/>
      <c r="Q311" s="28"/>
      <c r="R311" s="26"/>
      <c r="S311" s="30"/>
      <c r="T311" s="26"/>
      <c r="U311" s="33"/>
      <c r="V311" s="26"/>
    </row>
    <row r="312" ht="15" customHeight="1">
      <c r="A312" s="34"/>
      <c r="B312" s="26"/>
      <c r="C312" s="26"/>
      <c r="D312" s="26"/>
      <c r="E312" s="28"/>
      <c r="F312" s="28"/>
      <c r="G312" s="28"/>
      <c r="H312" s="28"/>
      <c r="I312" s="28"/>
      <c r="J312" s="26"/>
      <c r="K312" s="26"/>
      <c r="L312" s="28"/>
      <c r="M312" s="28"/>
      <c r="N312" s="26"/>
      <c r="O312" s="26"/>
      <c r="P312" s="26"/>
      <c r="Q312" s="28"/>
      <c r="R312" s="26"/>
      <c r="S312" s="30"/>
      <c r="T312" s="26"/>
      <c r="U312" s="33"/>
      <c r="V312" s="26"/>
    </row>
    <row r="313" ht="15" customHeight="1">
      <c r="A313" s="34"/>
      <c r="B313" s="26"/>
      <c r="C313" s="26"/>
      <c r="D313" s="26"/>
      <c r="E313" s="28"/>
      <c r="F313" s="28"/>
      <c r="G313" s="28"/>
      <c r="H313" s="28"/>
      <c r="I313" s="28"/>
      <c r="J313" s="26"/>
      <c r="K313" s="26"/>
      <c r="L313" s="28"/>
      <c r="M313" s="28"/>
      <c r="N313" s="26"/>
      <c r="O313" s="26"/>
      <c r="P313" s="26"/>
      <c r="Q313" s="28"/>
      <c r="R313" s="26"/>
      <c r="S313" s="30"/>
      <c r="T313" s="26"/>
      <c r="U313" s="33"/>
      <c r="V313" s="26"/>
    </row>
    <row r="314" ht="15" customHeight="1">
      <c r="A314" s="34"/>
      <c r="B314" s="26"/>
      <c r="C314" s="26"/>
      <c r="D314" s="26"/>
      <c r="E314" s="28"/>
      <c r="F314" s="28"/>
      <c r="G314" s="28"/>
      <c r="H314" s="28"/>
      <c r="I314" s="28"/>
      <c r="J314" s="26"/>
      <c r="K314" s="26"/>
      <c r="L314" s="28"/>
      <c r="M314" s="28"/>
      <c r="N314" s="26"/>
      <c r="O314" s="26"/>
      <c r="P314" s="26"/>
      <c r="Q314" s="28"/>
      <c r="R314" s="26"/>
      <c r="S314" s="30"/>
      <c r="T314" s="26"/>
      <c r="U314" s="33"/>
      <c r="V314" s="26"/>
    </row>
    <row r="315" ht="15" customHeight="1">
      <c r="A315" s="34"/>
      <c r="B315" s="26"/>
      <c r="C315" s="26"/>
      <c r="D315" s="26"/>
      <c r="E315" s="28"/>
      <c r="F315" s="28"/>
      <c r="G315" s="28"/>
      <c r="H315" s="28"/>
      <c r="I315" s="28"/>
      <c r="J315" s="26"/>
      <c r="K315" s="26"/>
      <c r="L315" s="28"/>
      <c r="M315" s="28"/>
      <c r="N315" s="26"/>
      <c r="O315" s="26"/>
      <c r="P315" s="26"/>
      <c r="Q315" s="28"/>
      <c r="R315" s="26"/>
      <c r="S315" s="30"/>
      <c r="T315" s="26"/>
      <c r="U315" s="33"/>
      <c r="V315" s="91"/>
    </row>
    <row r="316" ht="15" customHeight="1">
      <c r="A316" s="34"/>
      <c r="B316" s="26"/>
      <c r="C316" s="26"/>
      <c r="D316" s="26"/>
      <c r="E316" s="28"/>
      <c r="F316" s="28"/>
      <c r="G316" s="28"/>
      <c r="H316" s="28"/>
      <c r="I316" s="28"/>
      <c r="J316" s="26"/>
      <c r="K316" s="26"/>
      <c r="L316" s="28"/>
      <c r="M316" s="28"/>
      <c r="N316" s="26"/>
      <c r="O316" s="26"/>
      <c r="P316" s="26"/>
      <c r="Q316" s="28"/>
      <c r="R316" s="26"/>
      <c r="S316" s="30"/>
      <c r="T316" s="26"/>
      <c r="U316" s="33"/>
      <c r="V316" s="26"/>
    </row>
    <row r="317" ht="15" customHeight="1">
      <c r="A317" s="34"/>
      <c r="B317" s="26"/>
      <c r="C317" s="26"/>
      <c r="D317" s="26"/>
      <c r="E317" s="28"/>
      <c r="F317" s="28"/>
      <c r="G317" s="28"/>
      <c r="H317" s="28"/>
      <c r="I317" s="28"/>
      <c r="J317" s="26"/>
      <c r="K317" s="26"/>
      <c r="L317" s="28"/>
      <c r="M317" s="28"/>
      <c r="N317" s="26"/>
      <c r="O317" s="26"/>
      <c r="P317" s="26"/>
      <c r="Q317" s="28"/>
      <c r="R317" s="26"/>
      <c r="S317" s="30"/>
      <c r="T317" s="26"/>
      <c r="U317" s="33"/>
      <c r="V317" s="26"/>
    </row>
    <row r="318" ht="15" customHeight="1">
      <c r="A318" s="34"/>
      <c r="B318" s="26"/>
      <c r="C318" s="26"/>
      <c r="D318" s="26"/>
      <c r="E318" s="28"/>
      <c r="F318" s="28"/>
      <c r="G318" s="28"/>
      <c r="H318" s="28"/>
      <c r="I318" s="28"/>
      <c r="J318" s="26"/>
      <c r="K318" s="26"/>
      <c r="L318" s="28"/>
      <c r="M318" s="28"/>
      <c r="N318" s="26"/>
      <c r="O318" s="26"/>
      <c r="P318" s="26"/>
      <c r="Q318" s="28"/>
      <c r="R318" s="26"/>
      <c r="S318" s="30"/>
      <c r="T318" s="26"/>
      <c r="U318" s="33"/>
      <c r="V318" s="26"/>
    </row>
    <row r="319" ht="15" customHeight="1">
      <c r="A319" s="34"/>
      <c r="B319" s="26"/>
      <c r="C319" s="26"/>
      <c r="D319" s="26"/>
      <c r="E319" s="28"/>
      <c r="F319" s="28"/>
      <c r="G319" s="28"/>
      <c r="H319" s="28"/>
      <c r="I319" s="28"/>
      <c r="J319" s="26"/>
      <c r="K319" s="26"/>
      <c r="L319" s="28"/>
      <c r="M319" s="28"/>
      <c r="N319" s="26"/>
      <c r="O319" s="26"/>
      <c r="P319" s="26"/>
      <c r="Q319" s="28"/>
      <c r="R319" s="26"/>
      <c r="S319" s="30"/>
      <c r="T319" s="26"/>
      <c r="U319" s="33"/>
      <c r="V319" s="26"/>
    </row>
    <row r="320" ht="15" customHeight="1">
      <c r="A320" s="34"/>
      <c r="B320" s="26"/>
      <c r="C320" s="26"/>
      <c r="D320" s="26"/>
      <c r="E320" s="28"/>
      <c r="F320" s="28"/>
      <c r="G320" s="28"/>
      <c r="H320" s="28"/>
      <c r="I320" s="28"/>
      <c r="J320" s="26"/>
      <c r="K320" s="26"/>
      <c r="L320" s="28"/>
      <c r="M320" s="28"/>
      <c r="N320" s="26"/>
      <c r="O320" s="26"/>
      <c r="P320" s="26"/>
      <c r="Q320" s="28"/>
      <c r="R320" s="26"/>
      <c r="S320" s="30"/>
      <c r="T320" s="26"/>
      <c r="U320" s="33"/>
      <c r="V320" s="26"/>
    </row>
    <row r="321" ht="15" customHeight="1">
      <c r="A321" s="34"/>
      <c r="B321" s="26"/>
      <c r="C321" s="26"/>
      <c r="D321" s="26"/>
      <c r="E321" s="28"/>
      <c r="F321" s="28"/>
      <c r="G321" s="28"/>
      <c r="H321" s="28"/>
      <c r="I321" s="28"/>
      <c r="J321" s="26"/>
      <c r="K321" s="26"/>
      <c r="L321" s="28"/>
      <c r="M321" s="28"/>
      <c r="N321" s="26"/>
      <c r="O321" s="26"/>
      <c r="P321" s="26"/>
      <c r="Q321" s="28"/>
      <c r="R321" s="26"/>
      <c r="S321" s="30"/>
      <c r="T321" s="26"/>
      <c r="U321" s="33"/>
      <c r="V321" s="26"/>
    </row>
    <row r="322" ht="15" customHeight="1">
      <c r="A322" s="34"/>
      <c r="B322" s="26"/>
      <c r="C322" s="26"/>
      <c r="D322" s="26"/>
      <c r="E322" s="28"/>
      <c r="F322" s="28"/>
      <c r="G322" s="28"/>
      <c r="H322" s="28"/>
      <c r="I322" s="28"/>
      <c r="J322" s="26"/>
      <c r="K322" s="26"/>
      <c r="L322" s="28"/>
      <c r="M322" s="28"/>
      <c r="N322" s="26"/>
      <c r="O322" s="26"/>
      <c r="P322" s="26"/>
      <c r="Q322" s="28"/>
      <c r="R322" s="26"/>
      <c r="S322" s="30"/>
      <c r="T322" s="26"/>
      <c r="U322" s="33"/>
      <c r="V322" s="26"/>
    </row>
    <row r="323" ht="15" customHeight="1">
      <c r="A323" s="34"/>
      <c r="B323" s="26"/>
      <c r="C323" s="26"/>
      <c r="D323" s="26"/>
      <c r="E323" s="28"/>
      <c r="F323" s="28"/>
      <c r="G323" s="28"/>
      <c r="H323" s="28"/>
      <c r="I323" s="28"/>
      <c r="J323" s="26"/>
      <c r="K323" s="26"/>
      <c r="L323" s="28"/>
      <c r="M323" s="28"/>
      <c r="N323" s="26"/>
      <c r="O323" s="26"/>
      <c r="P323" s="26"/>
      <c r="Q323" s="28"/>
      <c r="R323" s="26"/>
      <c r="S323" s="30"/>
      <c r="T323" s="26"/>
      <c r="U323" s="33"/>
      <c r="V323" s="26"/>
    </row>
    <row r="324" ht="15" customHeight="1">
      <c r="A324" s="34"/>
      <c r="B324" s="26"/>
      <c r="C324" s="26"/>
      <c r="D324" s="26"/>
      <c r="E324" s="28"/>
      <c r="F324" s="28"/>
      <c r="G324" s="28"/>
      <c r="H324" s="28"/>
      <c r="I324" s="28"/>
      <c r="J324" s="26"/>
      <c r="K324" s="26"/>
      <c r="L324" s="28"/>
      <c r="M324" s="28"/>
      <c r="N324" s="26"/>
      <c r="O324" s="26"/>
      <c r="P324" s="26"/>
      <c r="Q324" s="28"/>
      <c r="R324" s="26"/>
      <c r="S324" s="30"/>
      <c r="T324" s="26"/>
      <c r="U324" s="33"/>
      <c r="V324" s="26"/>
    </row>
    <row r="325" ht="15" customHeight="1">
      <c r="A325" s="34"/>
      <c r="B325" s="26"/>
      <c r="C325" s="26"/>
      <c r="D325" s="27"/>
      <c r="E325" s="28"/>
      <c r="F325" s="28"/>
      <c r="G325" s="28"/>
      <c r="H325" s="28"/>
      <c r="I325" s="28"/>
      <c r="J325" s="26"/>
      <c r="K325" s="26"/>
      <c r="L325" s="28"/>
      <c r="M325" s="28"/>
      <c r="N325" s="26"/>
      <c r="O325" s="26"/>
      <c r="P325" s="26"/>
      <c r="Q325" s="28"/>
      <c r="R325" s="26"/>
      <c r="S325" s="30"/>
      <c r="T325" s="26"/>
      <c r="U325" s="33"/>
      <c r="V325" s="26"/>
    </row>
    <row r="326" ht="15" customHeight="1">
      <c r="A326" s="34"/>
      <c r="B326" s="26"/>
      <c r="C326" s="26"/>
      <c r="D326" s="27"/>
      <c r="E326" s="28"/>
      <c r="F326" s="28"/>
      <c r="G326" s="28"/>
      <c r="H326" s="28"/>
      <c r="I326" s="28"/>
      <c r="J326" s="26"/>
      <c r="K326" s="26"/>
      <c r="L326" s="28"/>
      <c r="M326" s="28"/>
      <c r="N326" s="26"/>
      <c r="O326" s="26"/>
      <c r="P326" s="26"/>
      <c r="Q326" s="28"/>
      <c r="R326" s="26"/>
      <c r="S326" s="30"/>
      <c r="T326" s="26"/>
      <c r="U326" s="33"/>
      <c r="V326" s="26"/>
    </row>
    <row r="327" ht="15" customHeight="1">
      <c r="A327" s="34"/>
      <c r="B327" s="26"/>
      <c r="C327" s="26"/>
      <c r="D327" s="27"/>
      <c r="E327" s="28"/>
      <c r="F327" s="28"/>
      <c r="G327" s="28"/>
      <c r="H327" s="28"/>
      <c r="I327" s="28"/>
      <c r="J327" s="26"/>
      <c r="K327" s="26"/>
      <c r="L327" s="28"/>
      <c r="M327" s="28"/>
      <c r="N327" s="26"/>
      <c r="O327" s="26"/>
      <c r="P327" s="26"/>
      <c r="Q327" s="28"/>
      <c r="R327" s="26"/>
      <c r="S327" s="30"/>
      <c r="T327" s="26"/>
      <c r="U327" s="33"/>
      <c r="V327" s="91"/>
    </row>
    <row r="328" ht="15" customHeight="1">
      <c r="A328" s="34"/>
      <c r="B328" s="26"/>
      <c r="C328" s="26"/>
      <c r="D328" s="27"/>
      <c r="E328" s="28"/>
      <c r="F328" s="28"/>
      <c r="G328" s="28"/>
      <c r="H328" s="28"/>
      <c r="I328" s="28"/>
      <c r="J328" s="26"/>
      <c r="K328" s="26"/>
      <c r="L328" s="28"/>
      <c r="M328" s="28"/>
      <c r="N328" s="26"/>
      <c r="O328" s="26"/>
      <c r="P328" s="26"/>
      <c r="Q328" s="28"/>
      <c r="R328" s="26"/>
      <c r="S328" s="30"/>
      <c r="T328" s="26"/>
      <c r="U328" s="33"/>
      <c r="V328" s="26"/>
    </row>
    <row r="329" ht="15" customHeight="1">
      <c r="A329" s="34"/>
      <c r="B329" s="26"/>
      <c r="C329" s="26"/>
      <c r="D329" s="27"/>
      <c r="E329" s="28"/>
      <c r="F329" s="28"/>
      <c r="G329" s="28"/>
      <c r="H329" s="28"/>
      <c r="I329" s="28"/>
      <c r="J329" s="26"/>
      <c r="K329" s="26"/>
      <c r="L329" s="28"/>
      <c r="M329" s="28"/>
      <c r="N329" s="26"/>
      <c r="O329" s="26"/>
      <c r="P329" s="26"/>
      <c r="Q329" s="28"/>
      <c r="R329" s="26"/>
      <c r="S329" s="30"/>
      <c r="T329" s="26"/>
      <c r="U329" s="33"/>
      <c r="V329" s="26"/>
    </row>
    <row r="330" ht="15" customHeight="1">
      <c r="A330" s="34"/>
      <c r="B330" s="26"/>
      <c r="C330" s="26"/>
      <c r="D330" s="27"/>
      <c r="E330" s="28"/>
      <c r="F330" s="28"/>
      <c r="G330" s="28"/>
      <c r="H330" s="28"/>
      <c r="I330" s="28"/>
      <c r="J330" s="26"/>
      <c r="K330" s="26"/>
      <c r="L330" s="28"/>
      <c r="M330" s="28"/>
      <c r="N330" s="26"/>
      <c r="O330" s="26"/>
      <c r="P330" s="26"/>
      <c r="Q330" s="28"/>
      <c r="R330" s="26"/>
      <c r="S330" s="30"/>
      <c r="T330" s="26"/>
      <c r="U330" s="33"/>
      <c r="V330" s="26"/>
    </row>
    <row r="331" ht="15" customHeight="1">
      <c r="A331" s="34"/>
      <c r="B331" s="26"/>
      <c r="C331" s="26"/>
      <c r="D331" s="27"/>
      <c r="E331" s="28"/>
      <c r="F331" s="28"/>
      <c r="G331" s="28"/>
      <c r="H331" s="28"/>
      <c r="I331" s="28"/>
      <c r="J331" s="26"/>
      <c r="K331" s="26"/>
      <c r="L331" s="28"/>
      <c r="M331" s="28"/>
      <c r="N331" s="26"/>
      <c r="O331" s="26"/>
      <c r="P331" s="26"/>
      <c r="Q331" s="28"/>
      <c r="R331" s="26"/>
      <c r="S331" s="30"/>
      <c r="T331" s="26"/>
      <c r="U331" s="33"/>
      <c r="V331" s="26"/>
    </row>
    <row r="332" ht="15" customHeight="1">
      <c r="A332" s="34"/>
      <c r="B332" s="26"/>
      <c r="C332" s="26"/>
      <c r="D332" s="27"/>
      <c r="E332" s="28"/>
      <c r="F332" s="28"/>
      <c r="G332" s="28"/>
      <c r="H332" s="28"/>
      <c r="I332" s="28"/>
      <c r="J332" s="26"/>
      <c r="K332" s="26"/>
      <c r="L332" s="28"/>
      <c r="M332" s="28"/>
      <c r="N332" s="26"/>
      <c r="O332" s="26"/>
      <c r="P332" s="26"/>
      <c r="Q332" s="28"/>
      <c r="R332" s="26"/>
      <c r="S332" s="30"/>
      <c r="T332" s="26"/>
      <c r="U332" s="33"/>
      <c r="V332" s="91"/>
    </row>
    <row r="333" ht="15" customHeight="1">
      <c r="A333" s="34"/>
      <c r="B333" s="26"/>
      <c r="C333" s="26"/>
      <c r="D333" s="27"/>
      <c r="E333" s="28"/>
      <c r="F333" s="28"/>
      <c r="G333" s="28"/>
      <c r="H333" s="28"/>
      <c r="I333" s="28"/>
      <c r="J333" s="26"/>
      <c r="K333" s="26"/>
      <c r="L333" s="28"/>
      <c r="M333" s="28"/>
      <c r="N333" s="26"/>
      <c r="O333" s="26"/>
      <c r="P333" s="26"/>
      <c r="Q333" s="28"/>
      <c r="R333" s="26"/>
      <c r="S333" s="30"/>
      <c r="T333" s="26"/>
      <c r="U333" s="33"/>
      <c r="V333" s="26"/>
    </row>
    <row r="334" ht="15" customHeight="1">
      <c r="A334" s="34"/>
      <c r="B334" s="26"/>
      <c r="C334" s="26"/>
      <c r="D334" s="27"/>
      <c r="E334" s="28"/>
      <c r="F334" s="28"/>
      <c r="G334" s="28"/>
      <c r="H334" s="28"/>
      <c r="I334" s="28"/>
      <c r="J334" s="26"/>
      <c r="K334" s="26"/>
      <c r="L334" s="28"/>
      <c r="M334" s="28"/>
      <c r="N334" s="26"/>
      <c r="O334" s="26"/>
      <c r="P334" s="26"/>
      <c r="Q334" s="28"/>
      <c r="R334" s="26"/>
      <c r="S334" s="30"/>
      <c r="T334" s="26"/>
      <c r="U334" s="33"/>
      <c r="V334" s="26"/>
    </row>
    <row r="335" ht="15" customHeight="1">
      <c r="A335" s="34"/>
      <c r="B335" s="26"/>
      <c r="C335" s="26"/>
      <c r="D335" s="27"/>
      <c r="E335" s="28"/>
      <c r="F335" s="28"/>
      <c r="G335" s="28"/>
      <c r="H335" s="28"/>
      <c r="I335" s="28"/>
      <c r="J335" s="26"/>
      <c r="K335" s="26"/>
      <c r="L335" s="28"/>
      <c r="M335" s="28"/>
      <c r="N335" s="26"/>
      <c r="O335" s="26"/>
      <c r="P335" s="26"/>
      <c r="Q335" s="28"/>
      <c r="R335" s="26"/>
      <c r="S335" s="30"/>
      <c r="T335" s="26"/>
      <c r="U335" s="33"/>
      <c r="V335" s="26"/>
    </row>
    <row r="336" ht="15" customHeight="1">
      <c r="A336" s="34"/>
      <c r="B336" s="26"/>
      <c r="C336" s="26"/>
      <c r="D336" s="27"/>
      <c r="E336" s="28"/>
      <c r="F336" s="28"/>
      <c r="G336" s="28"/>
      <c r="H336" s="28"/>
      <c r="I336" s="28"/>
      <c r="J336" s="26"/>
      <c r="K336" s="26"/>
      <c r="L336" s="28"/>
      <c r="M336" s="28"/>
      <c r="N336" s="26"/>
      <c r="O336" s="26"/>
      <c r="P336" s="26"/>
      <c r="Q336" s="28"/>
      <c r="R336" s="26"/>
      <c r="S336" s="30"/>
      <c r="T336" s="26"/>
      <c r="U336" s="33"/>
      <c r="V336" s="26"/>
    </row>
    <row r="337" ht="15" customHeight="1">
      <c r="A337" s="34"/>
      <c r="B337" s="26"/>
      <c r="C337" s="26"/>
      <c r="D337" s="27"/>
      <c r="E337" s="28"/>
      <c r="F337" s="28"/>
      <c r="G337" s="28"/>
      <c r="H337" s="28"/>
      <c r="I337" s="28"/>
      <c r="J337" s="26"/>
      <c r="K337" s="26"/>
      <c r="L337" s="28"/>
      <c r="M337" s="28"/>
      <c r="N337" s="26"/>
      <c r="O337" s="26"/>
      <c r="P337" s="26"/>
      <c r="Q337" s="28"/>
      <c r="R337" s="26"/>
      <c r="S337" s="30"/>
      <c r="T337" s="26"/>
      <c r="U337" s="33"/>
      <c r="V337" s="91"/>
    </row>
    <row r="338" ht="15" customHeight="1">
      <c r="A338" s="34"/>
      <c r="B338" s="26"/>
      <c r="C338" s="26"/>
      <c r="D338" s="27"/>
      <c r="E338" s="28"/>
      <c r="F338" s="28"/>
      <c r="G338" s="28"/>
      <c r="H338" s="28"/>
      <c r="I338" s="28"/>
      <c r="J338" s="26"/>
      <c r="K338" s="26"/>
      <c r="L338" s="28"/>
      <c r="M338" s="28"/>
      <c r="N338" s="26"/>
      <c r="O338" s="26"/>
      <c r="P338" s="26"/>
      <c r="Q338" s="28"/>
      <c r="R338" s="26"/>
      <c r="S338" s="30"/>
      <c r="T338" s="26"/>
      <c r="U338" s="33"/>
      <c r="V338" s="26"/>
    </row>
    <row r="339" ht="15" customHeight="1">
      <c r="A339" s="34"/>
      <c r="B339" s="26"/>
      <c r="C339" s="26"/>
      <c r="D339" s="27"/>
      <c r="E339" s="28"/>
      <c r="F339" s="28"/>
      <c r="G339" s="28"/>
      <c r="H339" s="28"/>
      <c r="I339" s="28"/>
      <c r="J339" s="26"/>
      <c r="K339" s="26"/>
      <c r="L339" s="28"/>
      <c r="M339" s="28"/>
      <c r="N339" s="26"/>
      <c r="O339" s="26"/>
      <c r="P339" s="26"/>
      <c r="Q339" s="28"/>
      <c r="R339" s="26"/>
      <c r="S339" s="30"/>
      <c r="T339" s="26"/>
      <c r="U339" s="33"/>
      <c r="V339" s="26"/>
    </row>
    <row r="340" ht="15" customHeight="1">
      <c r="A340" s="34"/>
      <c r="B340" s="26"/>
      <c r="C340" s="26"/>
      <c r="D340" s="92"/>
      <c r="E340" s="28"/>
      <c r="F340" s="28"/>
      <c r="G340" s="28"/>
      <c r="H340" s="28"/>
      <c r="I340" s="28"/>
      <c r="J340" s="26"/>
      <c r="K340" s="26"/>
      <c r="L340" s="28"/>
      <c r="M340" s="28"/>
      <c r="N340" s="26"/>
      <c r="O340" s="26"/>
      <c r="P340" s="26"/>
      <c r="Q340" s="28"/>
      <c r="R340" s="26"/>
      <c r="S340" s="30"/>
      <c r="T340" s="26"/>
      <c r="U340" s="33"/>
      <c r="V340" s="26"/>
    </row>
    <row r="341" ht="15" customHeight="1">
      <c r="A341" s="34"/>
      <c r="B341" s="26"/>
      <c r="C341" s="26"/>
      <c r="D341" s="92"/>
      <c r="E341" s="28"/>
      <c r="F341" s="28"/>
      <c r="G341" s="28"/>
      <c r="H341" s="28"/>
      <c r="I341" s="28"/>
      <c r="J341" s="26"/>
      <c r="K341" s="26"/>
      <c r="L341" s="28"/>
      <c r="M341" s="28"/>
      <c r="N341" s="26"/>
      <c r="O341" s="26"/>
      <c r="P341" s="26"/>
      <c r="Q341" s="28"/>
      <c r="R341" s="26"/>
      <c r="S341" s="30"/>
      <c r="T341" s="26"/>
      <c r="U341" s="33"/>
      <c r="V341" s="26"/>
    </row>
    <row r="342" ht="15" customHeight="1">
      <c r="A342" s="34"/>
      <c r="B342" s="26"/>
      <c r="C342" s="26"/>
      <c r="D342" s="92"/>
      <c r="E342" s="28"/>
      <c r="F342" s="28"/>
      <c r="G342" s="28"/>
      <c r="H342" s="28"/>
      <c r="I342" s="28"/>
      <c r="J342" s="26"/>
      <c r="K342" s="26"/>
      <c r="L342" s="28"/>
      <c r="M342" s="28"/>
      <c r="N342" s="26"/>
      <c r="O342" s="26"/>
      <c r="P342" s="26"/>
      <c r="Q342" s="28"/>
      <c r="R342" s="26"/>
      <c r="S342" s="30"/>
      <c r="T342" s="26"/>
      <c r="U342" s="33"/>
      <c r="V342" s="91"/>
    </row>
    <row r="343" ht="15" customHeight="1">
      <c r="A343" s="34"/>
      <c r="B343" s="26"/>
      <c r="C343" s="26"/>
      <c r="D343" s="27"/>
      <c r="E343" s="28"/>
      <c r="F343" s="28"/>
      <c r="G343" s="28"/>
      <c r="H343" s="28"/>
      <c r="I343" s="28"/>
      <c r="J343" s="26"/>
      <c r="K343" s="26"/>
      <c r="L343" s="28"/>
      <c r="M343" s="28"/>
      <c r="N343" s="26"/>
      <c r="O343" s="26"/>
      <c r="P343" s="26"/>
      <c r="Q343" s="28"/>
      <c r="R343" s="26"/>
      <c r="S343" s="30"/>
      <c r="T343" s="26"/>
      <c r="U343" s="33"/>
      <c r="V343" s="26"/>
    </row>
    <row r="344" ht="15" customHeight="1">
      <c r="A344" s="34"/>
      <c r="B344" s="26"/>
      <c r="C344" s="26"/>
      <c r="D344" s="27"/>
      <c r="E344" s="28"/>
      <c r="F344" s="28"/>
      <c r="G344" s="28"/>
      <c r="H344" s="28"/>
      <c r="I344" s="28"/>
      <c r="J344" s="26"/>
      <c r="K344" s="26"/>
      <c r="L344" s="28"/>
      <c r="M344" s="28"/>
      <c r="N344" s="26"/>
      <c r="O344" s="26"/>
      <c r="P344" s="26"/>
      <c r="Q344" s="28"/>
      <c r="R344" s="26"/>
      <c r="S344" s="30"/>
      <c r="T344" s="26"/>
      <c r="U344" s="33"/>
      <c r="V344" s="26"/>
    </row>
    <row r="345" ht="15" customHeight="1">
      <c r="A345" s="34"/>
      <c r="B345" s="26"/>
      <c r="C345" s="26"/>
      <c r="D345" s="27"/>
      <c r="E345" s="28"/>
      <c r="F345" s="28"/>
      <c r="G345" s="28"/>
      <c r="H345" s="28"/>
      <c r="I345" s="28"/>
      <c r="J345" s="26"/>
      <c r="K345" s="26"/>
      <c r="L345" s="28"/>
      <c r="M345" s="28"/>
      <c r="N345" s="26"/>
      <c r="O345" s="26"/>
      <c r="P345" s="26"/>
      <c r="Q345" s="28"/>
      <c r="R345" s="26"/>
      <c r="S345" s="30"/>
      <c r="T345" s="26"/>
      <c r="U345" s="33"/>
      <c r="V345" s="26"/>
    </row>
    <row r="346" ht="15" customHeight="1">
      <c r="A346" s="34"/>
      <c r="B346" s="26"/>
      <c r="C346" s="26"/>
      <c r="D346" s="27"/>
      <c r="E346" s="28"/>
      <c r="F346" s="28"/>
      <c r="G346" s="28"/>
      <c r="H346" s="28"/>
      <c r="I346" s="28"/>
      <c r="J346" s="26"/>
      <c r="K346" s="26"/>
      <c r="L346" s="28"/>
      <c r="M346" s="28"/>
      <c r="N346" s="26"/>
      <c r="O346" s="26"/>
      <c r="P346" s="26"/>
      <c r="Q346" s="28"/>
      <c r="R346" s="26"/>
      <c r="S346" s="30"/>
      <c r="T346" s="26"/>
      <c r="U346" s="33"/>
      <c r="V346" s="26"/>
    </row>
    <row r="347" ht="15" customHeight="1">
      <c r="A347" s="34"/>
      <c r="B347" s="26"/>
      <c r="C347" s="26"/>
      <c r="D347" s="27"/>
      <c r="E347" s="28"/>
      <c r="F347" s="28"/>
      <c r="G347" s="28"/>
      <c r="H347" s="28"/>
      <c r="I347" s="28"/>
      <c r="J347" s="26"/>
      <c r="K347" s="26"/>
      <c r="L347" s="28"/>
      <c r="M347" s="28"/>
      <c r="N347" s="26"/>
      <c r="O347" s="26"/>
      <c r="P347" s="26"/>
      <c r="Q347" s="28"/>
      <c r="R347" s="26"/>
      <c r="S347" s="30"/>
      <c r="T347" s="26"/>
      <c r="U347" s="33"/>
      <c r="V347" s="26"/>
    </row>
    <row r="348" ht="15" customHeight="1">
      <c r="A348" s="34"/>
      <c r="B348" s="26"/>
      <c r="C348" s="26"/>
      <c r="D348" s="27"/>
      <c r="E348" s="28"/>
      <c r="F348" s="28"/>
      <c r="G348" s="28"/>
      <c r="H348" s="28"/>
      <c r="I348" s="28"/>
      <c r="J348" s="26"/>
      <c r="K348" s="26"/>
      <c r="L348" s="28"/>
      <c r="M348" s="28"/>
      <c r="N348" s="26"/>
      <c r="O348" s="26"/>
      <c r="P348" s="26"/>
      <c r="Q348" s="28"/>
      <c r="R348" s="26"/>
      <c r="S348" s="30"/>
      <c r="T348" s="26"/>
      <c r="U348" s="33"/>
      <c r="V348" s="26"/>
    </row>
    <row r="349" ht="15" customHeight="1">
      <c r="A349" s="34"/>
      <c r="B349" s="26"/>
      <c r="C349" s="26"/>
      <c r="D349" s="27"/>
      <c r="E349" s="28"/>
      <c r="F349" s="28"/>
      <c r="G349" s="28"/>
      <c r="H349" s="28"/>
      <c r="I349" s="28"/>
      <c r="J349" s="26"/>
      <c r="K349" s="26"/>
      <c r="L349" s="28"/>
      <c r="M349" s="28"/>
      <c r="N349" s="26"/>
      <c r="O349" s="26"/>
      <c r="P349" s="26"/>
      <c r="Q349" s="28"/>
      <c r="R349" s="26"/>
      <c r="S349" s="30"/>
      <c r="T349" s="26"/>
      <c r="U349" s="33"/>
      <c r="V349" s="26"/>
    </row>
    <row r="350" ht="15" customHeight="1">
      <c r="A350" s="34"/>
      <c r="B350" s="26"/>
      <c r="C350" s="26"/>
      <c r="D350" s="27"/>
      <c r="E350" s="28"/>
      <c r="F350" s="28"/>
      <c r="G350" s="28"/>
      <c r="H350" s="28"/>
      <c r="I350" s="28"/>
      <c r="J350" s="26"/>
      <c r="K350" s="26"/>
      <c r="L350" s="28"/>
      <c r="M350" s="28"/>
      <c r="N350" s="26"/>
      <c r="O350" s="26"/>
      <c r="P350" s="26"/>
      <c r="Q350" s="28"/>
      <c r="R350" s="26"/>
      <c r="S350" s="30"/>
      <c r="T350" s="26"/>
      <c r="U350" s="33"/>
      <c r="V350" s="26"/>
    </row>
    <row r="351" ht="15" customHeight="1">
      <c r="A351" s="34"/>
      <c r="B351" s="26"/>
      <c r="C351" s="26"/>
      <c r="D351" s="27"/>
      <c r="E351" s="28"/>
      <c r="F351" s="28"/>
      <c r="G351" s="28"/>
      <c r="H351" s="28"/>
      <c r="I351" s="28"/>
      <c r="J351" s="26"/>
      <c r="K351" s="26"/>
      <c r="L351" s="28"/>
      <c r="M351" s="28"/>
      <c r="N351" s="26"/>
      <c r="O351" s="26"/>
      <c r="P351" s="26"/>
      <c r="Q351" s="28"/>
      <c r="R351" s="26"/>
      <c r="S351" s="30"/>
      <c r="T351" s="26"/>
      <c r="U351" s="33"/>
      <c r="V351" s="26"/>
    </row>
    <row r="352" ht="15" customHeight="1">
      <c r="A352" s="34"/>
      <c r="B352" s="26"/>
      <c r="C352" s="26"/>
      <c r="D352" s="27"/>
      <c r="E352" s="28"/>
      <c r="F352" s="28"/>
      <c r="G352" s="28"/>
      <c r="H352" s="28"/>
      <c r="I352" s="28"/>
      <c r="J352" s="26"/>
      <c r="K352" s="26"/>
      <c r="L352" s="28"/>
      <c r="M352" s="28"/>
      <c r="N352" s="26"/>
      <c r="O352" s="26"/>
      <c r="P352" s="26"/>
      <c r="Q352" s="28"/>
      <c r="R352" s="26"/>
      <c r="S352" s="30"/>
      <c r="T352" s="26"/>
      <c r="U352" s="33"/>
      <c r="V352" s="26"/>
    </row>
    <row r="353" ht="15" customHeight="1">
      <c r="A353" s="34"/>
      <c r="B353" s="26"/>
      <c r="C353" s="26"/>
      <c r="D353" s="27"/>
      <c r="E353" s="28"/>
      <c r="F353" s="28"/>
      <c r="G353" s="28"/>
      <c r="H353" s="28"/>
      <c r="I353" s="28"/>
      <c r="J353" s="26"/>
      <c r="K353" s="26"/>
      <c r="L353" s="28"/>
      <c r="M353" s="28"/>
      <c r="N353" s="26"/>
      <c r="O353" s="26"/>
      <c r="P353" s="26"/>
      <c r="Q353" s="28"/>
      <c r="R353" s="26"/>
      <c r="S353" s="30"/>
      <c r="T353" s="26"/>
      <c r="U353" s="33"/>
      <c r="V353" s="26"/>
    </row>
    <row r="354" ht="15" customHeight="1">
      <c r="A354" s="34"/>
      <c r="B354" s="26"/>
      <c r="C354" s="26"/>
      <c r="D354" s="27"/>
      <c r="E354" s="28"/>
      <c r="F354" s="28"/>
      <c r="G354" s="28"/>
      <c r="H354" s="28"/>
      <c r="I354" s="28"/>
      <c r="J354" s="26"/>
      <c r="K354" s="26"/>
      <c r="L354" s="28"/>
      <c r="M354" s="28"/>
      <c r="N354" s="26"/>
      <c r="O354" s="26"/>
      <c r="P354" s="26"/>
      <c r="Q354" s="28"/>
      <c r="R354" s="26"/>
      <c r="S354" s="30"/>
      <c r="T354" s="26"/>
      <c r="U354" s="33"/>
      <c r="V354" s="26"/>
    </row>
    <row r="355" ht="15" customHeight="1">
      <c r="A355" s="34"/>
      <c r="B355" s="26"/>
      <c r="C355" s="26"/>
      <c r="D355" s="27"/>
      <c r="E355" s="28"/>
      <c r="F355" s="28"/>
      <c r="G355" s="28"/>
      <c r="H355" s="28"/>
      <c r="I355" s="28"/>
      <c r="J355" s="26"/>
      <c r="K355" s="26"/>
      <c r="L355" s="28"/>
      <c r="M355" s="28"/>
      <c r="N355" s="26"/>
      <c r="O355" s="26"/>
      <c r="P355" s="26"/>
      <c r="Q355" s="28"/>
      <c r="R355" s="26"/>
      <c r="S355" s="30"/>
      <c r="T355" s="26"/>
      <c r="U355" s="33"/>
      <c r="V355" s="26"/>
    </row>
    <row r="356" ht="15" customHeight="1">
      <c r="A356" s="34"/>
      <c r="B356" s="26"/>
      <c r="C356" s="26"/>
      <c r="D356" s="27"/>
      <c r="E356" s="28"/>
      <c r="F356" s="28"/>
      <c r="G356" s="28"/>
      <c r="H356" s="28"/>
      <c r="I356" s="28"/>
      <c r="J356" s="26"/>
      <c r="K356" s="26"/>
      <c r="L356" s="28"/>
      <c r="M356" s="28"/>
      <c r="N356" s="26"/>
      <c r="O356" s="26"/>
      <c r="P356" s="26"/>
      <c r="Q356" s="28"/>
      <c r="R356" s="26"/>
      <c r="S356" s="30"/>
      <c r="T356" s="26"/>
      <c r="U356" s="33"/>
      <c r="V356" s="26"/>
    </row>
    <row r="357" ht="15" customHeight="1">
      <c r="A357" s="34"/>
      <c r="B357" s="26"/>
      <c r="C357" s="26"/>
      <c r="D357" s="27"/>
      <c r="E357" s="28"/>
      <c r="F357" s="28"/>
      <c r="G357" s="28"/>
      <c r="H357" s="28"/>
      <c r="I357" s="28"/>
      <c r="J357" s="26"/>
      <c r="K357" s="26"/>
      <c r="L357" s="28"/>
      <c r="M357" s="28"/>
      <c r="N357" s="26"/>
      <c r="O357" s="26"/>
      <c r="P357" s="26"/>
      <c r="Q357" s="28"/>
      <c r="R357" s="26"/>
      <c r="S357" s="30"/>
      <c r="T357" s="26"/>
      <c r="U357" s="33"/>
      <c r="V357" s="26"/>
    </row>
    <row r="358" ht="15" customHeight="1">
      <c r="A358" s="34"/>
      <c r="B358" s="26"/>
      <c r="C358" s="26"/>
      <c r="D358" s="27"/>
      <c r="E358" s="28"/>
      <c r="F358" s="28"/>
      <c r="G358" s="28"/>
      <c r="H358" s="28"/>
      <c r="I358" s="28"/>
      <c r="J358" s="26"/>
      <c r="K358" s="26"/>
      <c r="L358" s="28"/>
      <c r="M358" s="28"/>
      <c r="N358" s="26"/>
      <c r="O358" s="26"/>
      <c r="P358" s="26"/>
      <c r="Q358" s="28"/>
      <c r="R358" s="26"/>
      <c r="S358" s="30"/>
      <c r="T358" s="26"/>
      <c r="U358" s="33"/>
      <c r="V358" s="26"/>
    </row>
    <row r="359" ht="15" customHeight="1">
      <c r="A359" s="34"/>
      <c r="B359" s="26"/>
      <c r="C359" s="26"/>
      <c r="D359" s="27"/>
      <c r="E359" s="28"/>
      <c r="F359" s="28"/>
      <c r="G359" s="28"/>
      <c r="H359" s="28"/>
      <c r="I359" s="28"/>
      <c r="J359" s="26"/>
      <c r="K359" s="26"/>
      <c r="L359" s="28"/>
      <c r="M359" s="28"/>
      <c r="N359" s="26"/>
      <c r="O359" s="26"/>
      <c r="P359" s="26"/>
      <c r="Q359" s="28"/>
      <c r="R359" s="26"/>
      <c r="S359" s="30"/>
      <c r="T359" s="26"/>
      <c r="U359" s="33"/>
      <c r="V359" s="26"/>
    </row>
    <row r="360" ht="15" customHeight="1">
      <c r="A360" s="34"/>
      <c r="B360" s="26"/>
      <c r="C360" s="26"/>
      <c r="D360" s="27"/>
      <c r="E360" s="28"/>
      <c r="F360" s="28"/>
      <c r="G360" s="28"/>
      <c r="H360" s="28"/>
      <c r="I360" s="28"/>
      <c r="J360" s="26"/>
      <c r="K360" s="26"/>
      <c r="L360" s="28"/>
      <c r="M360" s="28"/>
      <c r="N360" s="26"/>
      <c r="O360" s="26"/>
      <c r="P360" s="26"/>
      <c r="Q360" s="28"/>
      <c r="R360" s="26"/>
      <c r="S360" s="30"/>
      <c r="T360" s="26"/>
      <c r="U360" s="33"/>
      <c r="V360" s="26"/>
    </row>
    <row r="361" ht="15" customHeight="1">
      <c r="A361" s="34"/>
      <c r="B361" s="26"/>
      <c r="C361" s="26"/>
      <c r="D361" s="27"/>
      <c r="E361" s="28"/>
      <c r="F361" s="28"/>
      <c r="G361" s="28"/>
      <c r="H361" s="28"/>
      <c r="I361" s="28"/>
      <c r="J361" s="26"/>
      <c r="K361" s="26"/>
      <c r="L361" s="28"/>
      <c r="M361" s="28"/>
      <c r="N361" s="26"/>
      <c r="O361" s="26"/>
      <c r="P361" s="26"/>
      <c r="Q361" s="28"/>
      <c r="R361" s="26"/>
      <c r="S361" s="30"/>
      <c r="T361" s="26"/>
      <c r="U361" s="33"/>
      <c r="V361" s="26"/>
    </row>
    <row r="362" ht="15" customHeight="1">
      <c r="A362" s="34"/>
      <c r="B362" s="26"/>
      <c r="C362" s="26"/>
      <c r="D362" s="27"/>
      <c r="E362" s="28"/>
      <c r="F362" s="28"/>
      <c r="G362" s="28"/>
      <c r="H362" s="28"/>
      <c r="I362" s="28"/>
      <c r="J362" s="26"/>
      <c r="K362" s="26"/>
      <c r="L362" s="28"/>
      <c r="M362" s="28"/>
      <c r="N362" s="26"/>
      <c r="O362" s="26"/>
      <c r="P362" s="26"/>
      <c r="Q362" s="28"/>
      <c r="R362" s="26"/>
      <c r="S362" s="30"/>
      <c r="T362" s="26"/>
      <c r="U362" s="33"/>
      <c r="V362" s="26"/>
    </row>
    <row r="363" ht="15" customHeight="1">
      <c r="A363" s="34"/>
      <c r="B363" s="26"/>
      <c r="C363" s="26"/>
      <c r="D363" s="27"/>
      <c r="E363" s="28"/>
      <c r="F363" s="28"/>
      <c r="G363" s="28"/>
      <c r="H363" s="28"/>
      <c r="I363" s="28"/>
      <c r="J363" s="26"/>
      <c r="K363" s="26"/>
      <c r="L363" s="28"/>
      <c r="M363" s="28"/>
      <c r="N363" s="26"/>
      <c r="O363" s="26"/>
      <c r="P363" s="26"/>
      <c r="Q363" s="28"/>
      <c r="R363" s="26"/>
      <c r="S363" s="30"/>
      <c r="T363" s="26"/>
      <c r="U363" s="33"/>
      <c r="V363" s="26"/>
    </row>
    <row r="364" ht="15" customHeight="1">
      <c r="A364" s="34"/>
      <c r="B364" s="26"/>
      <c r="C364" s="26"/>
      <c r="D364" s="27"/>
      <c r="E364" s="28"/>
      <c r="F364" s="28"/>
      <c r="G364" s="28"/>
      <c r="H364" s="28"/>
      <c r="I364" s="28"/>
      <c r="J364" s="26"/>
      <c r="K364" s="26"/>
      <c r="L364" s="28"/>
      <c r="M364" s="28"/>
      <c r="N364" s="26"/>
      <c r="O364" s="26"/>
      <c r="P364" s="26"/>
      <c r="Q364" s="28"/>
      <c r="R364" s="26"/>
      <c r="S364" s="30"/>
      <c r="T364" s="26"/>
      <c r="U364" s="33"/>
      <c r="V364" s="26"/>
    </row>
    <row r="365" ht="15" customHeight="1">
      <c r="A365" s="34"/>
      <c r="B365" s="26"/>
      <c r="C365" s="26"/>
      <c r="D365" s="27"/>
      <c r="E365" s="28"/>
      <c r="F365" s="28"/>
      <c r="G365" s="28"/>
      <c r="H365" s="28"/>
      <c r="I365" s="28"/>
      <c r="J365" s="26"/>
      <c r="K365" s="26"/>
      <c r="L365" s="28"/>
      <c r="M365" s="28"/>
      <c r="N365" s="26"/>
      <c r="O365" s="26"/>
      <c r="P365" s="26"/>
      <c r="Q365" s="28"/>
      <c r="R365" s="26"/>
      <c r="S365" s="30"/>
      <c r="T365" s="26"/>
      <c r="U365" s="33"/>
      <c r="V365" s="26"/>
    </row>
    <row r="366" ht="15" customHeight="1">
      <c r="A366" s="34"/>
      <c r="B366" s="26"/>
      <c r="C366" s="26"/>
      <c r="D366" s="27"/>
      <c r="E366" s="28"/>
      <c r="F366" s="28"/>
      <c r="G366" s="28"/>
      <c r="H366" s="28"/>
      <c r="I366" s="28"/>
      <c r="J366" s="26"/>
      <c r="K366" s="26"/>
      <c r="L366" s="28"/>
      <c r="M366" s="28"/>
      <c r="N366" s="26"/>
      <c r="O366" s="26"/>
      <c r="P366" s="26"/>
      <c r="Q366" s="28"/>
      <c r="R366" s="26"/>
      <c r="S366" s="30"/>
      <c r="T366" s="26"/>
      <c r="U366" s="33"/>
      <c r="V366" s="26"/>
    </row>
    <row r="367" ht="15" customHeight="1">
      <c r="A367" s="34"/>
      <c r="B367" s="26"/>
      <c r="C367" s="26"/>
      <c r="D367" s="27"/>
      <c r="E367" s="28"/>
      <c r="F367" s="28"/>
      <c r="G367" s="28"/>
      <c r="H367" s="28"/>
      <c r="I367" s="28"/>
      <c r="J367" s="26"/>
      <c r="K367" s="26"/>
      <c r="L367" s="28"/>
      <c r="M367" s="28"/>
      <c r="N367" s="26"/>
      <c r="O367" s="26"/>
      <c r="P367" s="26"/>
      <c r="Q367" s="28"/>
      <c r="R367" s="26"/>
      <c r="S367" s="30"/>
      <c r="T367" s="26"/>
      <c r="U367" s="33"/>
      <c r="V367" s="26"/>
    </row>
    <row r="368" ht="15" customHeight="1">
      <c r="A368" s="34"/>
      <c r="B368" s="26"/>
      <c r="C368" s="26"/>
      <c r="D368" s="27"/>
      <c r="E368" s="28"/>
      <c r="F368" s="28"/>
      <c r="G368" s="28"/>
      <c r="H368" s="28"/>
      <c r="I368" s="28"/>
      <c r="J368" s="26"/>
      <c r="K368" s="26"/>
      <c r="L368" s="28"/>
      <c r="M368" s="28"/>
      <c r="N368" s="26"/>
      <c r="O368" s="26"/>
      <c r="P368" s="26"/>
      <c r="Q368" s="28"/>
      <c r="R368" s="26"/>
      <c r="S368" s="30"/>
      <c r="T368" s="26"/>
      <c r="U368" s="33"/>
      <c r="V368" s="26"/>
    </row>
    <row r="369" ht="15" customHeight="1">
      <c r="A369" s="34"/>
      <c r="B369" s="26"/>
      <c r="C369" s="26"/>
      <c r="D369" s="27"/>
      <c r="E369" s="28"/>
      <c r="F369" s="28"/>
      <c r="G369" s="28"/>
      <c r="H369" s="28"/>
      <c r="I369" s="28"/>
      <c r="J369" s="26"/>
      <c r="K369" s="26"/>
      <c r="L369" s="28"/>
      <c r="M369" s="28"/>
      <c r="N369" s="26"/>
      <c r="O369" s="26"/>
      <c r="P369" s="26"/>
      <c r="Q369" s="28"/>
      <c r="R369" s="26"/>
      <c r="S369" s="30"/>
      <c r="T369" s="26"/>
      <c r="U369" s="33"/>
      <c r="V369" s="26"/>
    </row>
    <row r="370" ht="15" customHeight="1">
      <c r="A370" s="34"/>
      <c r="B370" s="26"/>
      <c r="C370" s="26"/>
      <c r="D370" s="27"/>
      <c r="E370" s="28"/>
      <c r="F370" s="28"/>
      <c r="G370" s="28"/>
      <c r="H370" s="28"/>
      <c r="I370" s="28"/>
      <c r="J370" s="26"/>
      <c r="K370" s="26"/>
      <c r="L370" s="28"/>
      <c r="M370" s="28"/>
      <c r="N370" s="26"/>
      <c r="O370" s="26"/>
      <c r="P370" s="26"/>
      <c r="Q370" s="28"/>
      <c r="R370" s="26"/>
      <c r="S370" s="30"/>
      <c r="T370" s="26"/>
      <c r="U370" s="33"/>
      <c r="V370" s="26"/>
    </row>
    <row r="371" ht="15" customHeight="1">
      <c r="A371" s="34"/>
      <c r="B371" s="26"/>
      <c r="C371" s="26"/>
      <c r="D371" s="92"/>
      <c r="E371" s="28"/>
      <c r="F371" s="28"/>
      <c r="G371" s="28"/>
      <c r="H371" s="28"/>
      <c r="I371" s="28"/>
      <c r="J371" s="26"/>
      <c r="K371" s="26"/>
      <c r="L371" s="28"/>
      <c r="M371" s="28"/>
      <c r="N371" s="26"/>
      <c r="O371" s="26"/>
      <c r="P371" s="26"/>
      <c r="Q371" s="28"/>
      <c r="R371" s="26"/>
      <c r="S371" s="30"/>
      <c r="T371" s="26"/>
      <c r="U371" s="33"/>
      <c r="V371" s="26"/>
    </row>
    <row r="372" ht="15" customHeight="1">
      <c r="A372" s="34"/>
      <c r="B372" s="26"/>
      <c r="C372" s="26"/>
      <c r="D372" s="92"/>
      <c r="E372" s="28"/>
      <c r="F372" s="28"/>
      <c r="G372" s="28"/>
      <c r="H372" s="28"/>
      <c r="I372" s="28"/>
      <c r="J372" s="26"/>
      <c r="K372" s="26"/>
      <c r="L372" s="28"/>
      <c r="M372" s="28"/>
      <c r="N372" s="26"/>
      <c r="O372" s="26"/>
      <c r="P372" s="26"/>
      <c r="Q372" s="28"/>
      <c r="R372" s="26"/>
      <c r="S372" s="30"/>
      <c r="T372" s="26"/>
      <c r="U372" s="33"/>
      <c r="V372" s="91"/>
    </row>
    <row r="373" ht="15" customHeight="1">
      <c r="A373" s="34"/>
      <c r="B373" s="26"/>
      <c r="C373" s="26"/>
      <c r="D373" s="27"/>
      <c r="E373" s="28"/>
      <c r="F373" s="28"/>
      <c r="G373" s="28"/>
      <c r="H373" s="28"/>
      <c r="I373" s="28"/>
      <c r="J373" s="26"/>
      <c r="K373" s="26"/>
      <c r="L373" s="28"/>
      <c r="M373" s="28"/>
      <c r="N373" s="26"/>
      <c r="O373" s="26"/>
      <c r="P373" s="26"/>
      <c r="Q373" s="28"/>
      <c r="R373" s="26"/>
      <c r="S373" s="30"/>
      <c r="T373" s="26"/>
      <c r="U373" s="33"/>
      <c r="V373" s="26"/>
    </row>
    <row r="374" ht="15" customHeight="1">
      <c r="A374" s="34"/>
      <c r="B374" s="26"/>
      <c r="C374" s="26"/>
      <c r="D374" s="27"/>
      <c r="E374" s="28"/>
      <c r="F374" s="28"/>
      <c r="G374" s="28"/>
      <c r="H374" s="28"/>
      <c r="I374" s="28"/>
      <c r="J374" s="26"/>
      <c r="K374" s="26"/>
      <c r="L374" s="28"/>
      <c r="M374" s="28"/>
      <c r="N374" s="26"/>
      <c r="O374" s="26"/>
      <c r="P374" s="26"/>
      <c r="Q374" s="28"/>
      <c r="R374" s="26"/>
      <c r="S374" s="30"/>
      <c r="T374" s="26"/>
      <c r="U374" s="33"/>
      <c r="V374" s="26"/>
    </row>
    <row r="375" ht="15" customHeight="1">
      <c r="A375" s="34"/>
      <c r="B375" s="26"/>
      <c r="C375" s="26"/>
      <c r="D375" s="27"/>
      <c r="E375" s="28"/>
      <c r="F375" s="28"/>
      <c r="G375" s="28"/>
      <c r="H375" s="28"/>
      <c r="I375" s="28"/>
      <c r="J375" s="26"/>
      <c r="K375" s="26"/>
      <c r="L375" s="28"/>
      <c r="M375" s="28"/>
      <c r="N375" s="26"/>
      <c r="O375" s="26"/>
      <c r="P375" s="26"/>
      <c r="Q375" s="28"/>
      <c r="R375" s="26"/>
      <c r="S375" s="30"/>
      <c r="T375" s="26"/>
      <c r="U375" s="33"/>
      <c r="V375" s="91"/>
    </row>
    <row r="376" ht="15" customHeight="1">
      <c r="A376" s="34"/>
      <c r="B376" s="26"/>
      <c r="C376" s="26"/>
      <c r="D376" s="27"/>
      <c r="E376" s="28"/>
      <c r="F376" s="28"/>
      <c r="G376" s="28"/>
      <c r="H376" s="28"/>
      <c r="I376" s="28"/>
      <c r="J376" s="26"/>
      <c r="K376" s="26"/>
      <c r="L376" s="28"/>
      <c r="M376" s="28"/>
      <c r="N376" s="26"/>
      <c r="O376" s="26"/>
      <c r="P376" s="26"/>
      <c r="Q376" s="28"/>
      <c r="R376" s="26"/>
      <c r="S376" s="30"/>
      <c r="T376" s="26"/>
      <c r="U376" s="33"/>
      <c r="V376" s="26"/>
    </row>
    <row r="377" ht="15" customHeight="1">
      <c r="A377" s="34"/>
      <c r="B377" s="26"/>
      <c r="C377" s="26"/>
      <c r="D377" s="27"/>
      <c r="E377" s="28"/>
      <c r="F377" s="28"/>
      <c r="G377" s="28"/>
      <c r="H377" s="28"/>
      <c r="I377" s="28"/>
      <c r="J377" s="26"/>
      <c r="K377" s="26"/>
      <c r="L377" s="28"/>
      <c r="M377" s="28"/>
      <c r="N377" s="26"/>
      <c r="O377" s="26"/>
      <c r="P377" s="26"/>
      <c r="Q377" s="28"/>
      <c r="R377" s="26"/>
      <c r="S377" s="30"/>
      <c r="T377" s="26"/>
      <c r="U377" s="33"/>
      <c r="V377" s="26"/>
    </row>
    <row r="378" ht="15" customHeight="1">
      <c r="A378" s="34"/>
      <c r="B378" s="26"/>
      <c r="C378" s="26"/>
      <c r="D378" s="27"/>
      <c r="E378" s="28"/>
      <c r="F378" s="28"/>
      <c r="G378" s="28"/>
      <c r="H378" s="28"/>
      <c r="I378" s="28"/>
      <c r="J378" s="26"/>
      <c r="K378" s="26"/>
      <c r="L378" s="28"/>
      <c r="M378" s="28"/>
      <c r="N378" s="26"/>
      <c r="O378" s="26"/>
      <c r="P378" s="26"/>
      <c r="Q378" s="28"/>
      <c r="R378" s="26"/>
      <c r="S378" s="30"/>
      <c r="T378" s="26"/>
      <c r="U378" s="33"/>
      <c r="V378" s="26"/>
    </row>
    <row r="379" ht="15" customHeight="1">
      <c r="A379" s="34"/>
      <c r="B379" s="26"/>
      <c r="C379" s="26"/>
      <c r="D379" s="27"/>
      <c r="E379" s="28"/>
      <c r="F379" s="28"/>
      <c r="G379" s="28"/>
      <c r="H379" s="28"/>
      <c r="I379" s="28"/>
      <c r="J379" s="26"/>
      <c r="K379" s="26"/>
      <c r="L379" s="28"/>
      <c r="M379" s="28"/>
      <c r="N379" s="26"/>
      <c r="O379" s="26"/>
      <c r="P379" s="26"/>
      <c r="Q379" s="28"/>
      <c r="R379" s="26"/>
      <c r="S379" s="30"/>
      <c r="T379" s="26"/>
      <c r="U379" s="33"/>
      <c r="V379" s="91"/>
    </row>
    <row r="380" ht="15" customHeight="1">
      <c r="A380" s="34"/>
      <c r="B380" s="26"/>
      <c r="C380" s="26"/>
      <c r="D380" s="27"/>
      <c r="E380" s="28"/>
      <c r="F380" s="28"/>
      <c r="G380" s="28"/>
      <c r="H380" s="28"/>
      <c r="I380" s="28"/>
      <c r="J380" s="26"/>
      <c r="K380" s="26"/>
      <c r="L380" s="28"/>
      <c r="M380" s="28"/>
      <c r="N380" s="26"/>
      <c r="O380" s="26"/>
      <c r="P380" s="26"/>
      <c r="Q380" s="28"/>
      <c r="R380" s="26"/>
      <c r="S380" s="30"/>
      <c r="T380" s="26"/>
      <c r="U380" s="33"/>
      <c r="V380" s="26"/>
    </row>
    <row r="381" ht="15" customHeight="1">
      <c r="A381" s="34"/>
      <c r="B381" s="26"/>
      <c r="C381" s="26"/>
      <c r="D381" s="27"/>
      <c r="E381" s="28"/>
      <c r="F381" s="28"/>
      <c r="G381" s="28"/>
      <c r="H381" s="28"/>
      <c r="I381" s="28"/>
      <c r="J381" s="26"/>
      <c r="K381" s="26"/>
      <c r="L381" s="28"/>
      <c r="M381" s="28"/>
      <c r="N381" s="26"/>
      <c r="O381" s="26"/>
      <c r="P381" s="26"/>
      <c r="Q381" s="28"/>
      <c r="R381" s="26"/>
      <c r="S381" s="30"/>
      <c r="T381" s="26"/>
      <c r="U381" s="33"/>
      <c r="V381" s="26"/>
    </row>
    <row r="382" ht="15" customHeight="1">
      <c r="A382" s="34"/>
      <c r="B382" s="26"/>
      <c r="C382" s="26"/>
      <c r="D382" s="27"/>
      <c r="E382" s="28"/>
      <c r="F382" s="28"/>
      <c r="G382" s="28"/>
      <c r="H382" s="28"/>
      <c r="I382" s="28"/>
      <c r="J382" s="26"/>
      <c r="K382" s="26"/>
      <c r="L382" s="28"/>
      <c r="M382" s="28"/>
      <c r="N382" s="26"/>
      <c r="O382" s="26"/>
      <c r="P382" s="26"/>
      <c r="Q382" s="28"/>
      <c r="R382" s="26"/>
      <c r="S382" s="30"/>
      <c r="T382" s="26"/>
      <c r="U382" s="33"/>
      <c r="V382" s="91"/>
    </row>
    <row r="383" ht="15" customHeight="1">
      <c r="A383" s="34"/>
      <c r="B383" s="26"/>
      <c r="C383" s="26"/>
      <c r="D383" s="27"/>
      <c r="E383" s="28"/>
      <c r="F383" s="28"/>
      <c r="G383" s="28"/>
      <c r="H383" s="28"/>
      <c r="I383" s="28"/>
      <c r="J383" s="26"/>
      <c r="K383" s="26"/>
      <c r="L383" s="28"/>
      <c r="M383" s="28"/>
      <c r="N383" s="26"/>
      <c r="O383" s="26"/>
      <c r="P383" s="26"/>
      <c r="Q383" s="28"/>
      <c r="R383" s="26"/>
      <c r="S383" s="30"/>
      <c r="T383" s="26"/>
      <c r="U383" s="33"/>
      <c r="V383" s="26"/>
    </row>
    <row r="384" ht="15" customHeight="1">
      <c r="A384" s="34"/>
      <c r="B384" s="26"/>
      <c r="C384" s="26"/>
      <c r="D384" s="27"/>
      <c r="E384" s="28"/>
      <c r="F384" s="28"/>
      <c r="G384" s="28"/>
      <c r="H384" s="28"/>
      <c r="I384" s="28"/>
      <c r="J384" s="26"/>
      <c r="K384" s="26"/>
      <c r="L384" s="28"/>
      <c r="M384" s="28"/>
      <c r="N384" s="26"/>
      <c r="O384" s="26"/>
      <c r="P384" s="26"/>
      <c r="Q384" s="28"/>
      <c r="R384" s="26"/>
      <c r="S384" s="30"/>
      <c r="T384" s="26"/>
      <c r="U384" s="33"/>
      <c r="V384" s="26"/>
    </row>
    <row r="385" ht="15" customHeight="1">
      <c r="A385" s="34"/>
      <c r="B385" s="26"/>
      <c r="C385" s="26"/>
      <c r="D385" s="27"/>
      <c r="E385" s="28"/>
      <c r="F385" s="28"/>
      <c r="G385" s="28"/>
      <c r="H385" s="28"/>
      <c r="I385" s="28"/>
      <c r="J385" s="26"/>
      <c r="K385" s="26"/>
      <c r="L385" s="28"/>
      <c r="M385" s="28"/>
      <c r="N385" s="26"/>
      <c r="O385" s="26"/>
      <c r="P385" s="26"/>
      <c r="Q385" s="28"/>
      <c r="R385" s="26"/>
      <c r="S385" s="30"/>
      <c r="T385" s="26"/>
      <c r="U385" s="33"/>
      <c r="V385" s="26"/>
    </row>
    <row r="386" ht="15" customHeight="1">
      <c r="A386" s="34"/>
      <c r="B386" s="26"/>
      <c r="C386" s="26"/>
      <c r="D386" s="27"/>
      <c r="E386" s="28"/>
      <c r="F386" s="28"/>
      <c r="G386" s="28"/>
      <c r="H386" s="28"/>
      <c r="I386" s="28"/>
      <c r="J386" s="26"/>
      <c r="K386" s="26"/>
      <c r="L386" s="28"/>
      <c r="M386" s="28"/>
      <c r="N386" s="26"/>
      <c r="O386" s="26"/>
      <c r="P386" s="26"/>
      <c r="Q386" s="28"/>
      <c r="R386" s="26"/>
      <c r="S386" s="30"/>
      <c r="T386" s="26"/>
      <c r="U386" s="33"/>
      <c r="V386" s="91"/>
    </row>
    <row r="387" ht="15" customHeight="1">
      <c r="A387" s="34"/>
      <c r="B387" s="26"/>
      <c r="C387" s="26"/>
      <c r="D387" s="27"/>
      <c r="E387" s="28"/>
      <c r="F387" s="28"/>
      <c r="G387" s="28"/>
      <c r="H387" s="28"/>
      <c r="I387" s="28"/>
      <c r="J387" s="26"/>
      <c r="K387" s="26"/>
      <c r="L387" s="28"/>
      <c r="M387" s="28"/>
      <c r="N387" s="26"/>
      <c r="O387" s="26"/>
      <c r="P387" s="26"/>
      <c r="Q387" s="28"/>
      <c r="R387" s="26"/>
      <c r="S387" s="30"/>
      <c r="T387" s="26"/>
      <c r="U387" s="33"/>
      <c r="V387" s="26"/>
    </row>
    <row r="388" ht="15" customHeight="1">
      <c r="A388" s="34"/>
      <c r="B388" s="26"/>
      <c r="C388" s="26"/>
      <c r="D388" s="27"/>
      <c r="E388" s="28"/>
      <c r="F388" s="28"/>
      <c r="G388" s="28"/>
      <c r="H388" s="28"/>
      <c r="I388" s="28"/>
      <c r="J388" s="26"/>
      <c r="K388" s="26"/>
      <c r="L388" s="28"/>
      <c r="M388" s="28"/>
      <c r="N388" s="26"/>
      <c r="O388" s="26"/>
      <c r="P388" s="26"/>
      <c r="Q388" s="28"/>
      <c r="R388" s="26"/>
      <c r="S388" s="30"/>
      <c r="T388" s="26"/>
      <c r="U388" s="33"/>
      <c r="V388" s="26"/>
    </row>
    <row r="389" ht="15" customHeight="1">
      <c r="A389" s="34"/>
      <c r="B389" s="26"/>
      <c r="C389" s="26"/>
      <c r="D389" s="27"/>
      <c r="E389" s="28"/>
      <c r="F389" s="28"/>
      <c r="G389" s="28"/>
      <c r="H389" s="28"/>
      <c r="I389" s="28"/>
      <c r="J389" s="26"/>
      <c r="K389" s="26"/>
      <c r="L389" s="28"/>
      <c r="M389" s="28"/>
      <c r="N389" s="26"/>
      <c r="O389" s="26"/>
      <c r="P389" s="26"/>
      <c r="Q389" s="28"/>
      <c r="R389" s="26"/>
      <c r="S389" s="30"/>
      <c r="T389" s="26"/>
      <c r="U389" s="33"/>
      <c r="V389" s="91"/>
    </row>
    <row r="390" ht="15" customHeight="1">
      <c r="A390" s="34"/>
      <c r="B390" s="26"/>
      <c r="C390" s="26"/>
      <c r="D390" s="27"/>
      <c r="E390" s="28"/>
      <c r="F390" s="28"/>
      <c r="G390" s="28"/>
      <c r="H390" s="28"/>
      <c r="I390" s="28"/>
      <c r="J390" s="26"/>
      <c r="K390" s="26"/>
      <c r="L390" s="28"/>
      <c r="M390" s="28"/>
      <c r="N390" s="26"/>
      <c r="O390" s="26"/>
      <c r="P390" s="26"/>
      <c r="Q390" s="28"/>
      <c r="R390" s="26"/>
      <c r="S390" s="30"/>
      <c r="T390" s="26"/>
      <c r="U390" s="33"/>
      <c r="V390" s="26"/>
    </row>
    <row r="391" ht="15" customHeight="1">
      <c r="A391" s="34"/>
      <c r="B391" s="26"/>
      <c r="C391" s="26"/>
      <c r="D391" s="27"/>
      <c r="E391" s="28"/>
      <c r="F391" s="28"/>
      <c r="G391" s="28"/>
      <c r="H391" s="28"/>
      <c r="I391" s="28"/>
      <c r="J391" s="26"/>
      <c r="K391" s="26"/>
      <c r="L391" s="28"/>
      <c r="M391" s="28"/>
      <c r="N391" s="26"/>
      <c r="O391" s="26"/>
      <c r="P391" s="26"/>
      <c r="Q391" s="28"/>
      <c r="R391" s="26"/>
      <c r="S391" s="30"/>
      <c r="T391" s="26"/>
      <c r="U391" s="33"/>
      <c r="V391" s="26"/>
    </row>
    <row r="392" ht="15" customHeight="1">
      <c r="A392" s="34"/>
      <c r="B392" s="26"/>
      <c r="C392" s="26"/>
      <c r="D392" s="27"/>
      <c r="E392" s="28"/>
      <c r="F392" s="28"/>
      <c r="G392" s="28"/>
      <c r="H392" s="28"/>
      <c r="I392" s="28"/>
      <c r="J392" s="26"/>
      <c r="K392" s="26"/>
      <c r="L392" s="28"/>
      <c r="M392" s="28"/>
      <c r="N392" s="26"/>
      <c r="O392" s="26"/>
      <c r="P392" s="26"/>
      <c r="Q392" s="28"/>
      <c r="R392" s="26"/>
      <c r="S392" s="30"/>
      <c r="T392" s="26"/>
      <c r="U392" s="33"/>
      <c r="V392" s="26"/>
    </row>
    <row r="393" ht="15" customHeight="1">
      <c r="A393" s="34"/>
      <c r="B393" s="26"/>
      <c r="C393" s="26"/>
      <c r="D393" s="27"/>
      <c r="E393" s="28"/>
      <c r="F393" s="28"/>
      <c r="G393" s="28"/>
      <c r="H393" s="28"/>
      <c r="I393" s="28"/>
      <c r="J393" s="26"/>
      <c r="K393" s="26"/>
      <c r="L393" s="28"/>
      <c r="M393" s="28"/>
      <c r="N393" s="26"/>
      <c r="O393" s="26"/>
      <c r="P393" s="26"/>
      <c r="Q393" s="28"/>
      <c r="R393" s="26"/>
      <c r="S393" s="30"/>
      <c r="T393" s="26"/>
      <c r="U393" s="33"/>
      <c r="V393" s="91"/>
    </row>
    <row r="394" ht="15" customHeight="1">
      <c r="A394" s="34"/>
      <c r="B394" s="26"/>
      <c r="C394" s="26"/>
      <c r="D394" s="27"/>
      <c r="E394" s="28"/>
      <c r="F394" s="28"/>
      <c r="G394" s="28"/>
      <c r="H394" s="28"/>
      <c r="I394" s="28"/>
      <c r="J394" s="26"/>
      <c r="K394" s="26"/>
      <c r="L394" s="28"/>
      <c r="M394" s="28"/>
      <c r="N394" s="26"/>
      <c r="O394" s="26"/>
      <c r="P394" s="26"/>
      <c r="Q394" s="28"/>
      <c r="R394" s="26"/>
      <c r="S394" s="30"/>
      <c r="T394" s="26"/>
      <c r="U394" s="33"/>
      <c r="V394" s="26"/>
    </row>
    <row r="395" ht="15" customHeight="1">
      <c r="A395" s="34"/>
      <c r="B395" s="26"/>
      <c r="C395" s="26"/>
      <c r="D395" s="27"/>
      <c r="E395" s="28"/>
      <c r="F395" s="28"/>
      <c r="G395" s="28"/>
      <c r="H395" s="28"/>
      <c r="I395" s="28"/>
      <c r="J395" s="26"/>
      <c r="K395" s="26"/>
      <c r="L395" s="28"/>
      <c r="M395" s="28"/>
      <c r="N395" s="26"/>
      <c r="O395" s="26"/>
      <c r="P395" s="26"/>
      <c r="Q395" s="28"/>
      <c r="R395" s="26"/>
      <c r="S395" s="30"/>
      <c r="T395" s="26"/>
      <c r="U395" s="33"/>
      <c r="V395" s="26"/>
    </row>
    <row r="396" ht="15" customHeight="1">
      <c r="A396" s="34"/>
      <c r="B396" s="26"/>
      <c r="C396" s="26"/>
      <c r="D396" s="27"/>
      <c r="E396" s="28"/>
      <c r="F396" s="28"/>
      <c r="G396" s="28"/>
      <c r="H396" s="28"/>
      <c r="I396" s="28"/>
      <c r="J396" s="26"/>
      <c r="K396" s="26"/>
      <c r="L396" s="28"/>
      <c r="M396" s="28"/>
      <c r="N396" s="26"/>
      <c r="O396" s="26"/>
      <c r="P396" s="26"/>
      <c r="Q396" s="28"/>
      <c r="R396" s="26"/>
      <c r="S396" s="30"/>
      <c r="T396" s="26"/>
      <c r="U396" s="33"/>
      <c r="V396" s="26"/>
    </row>
    <row r="397" ht="15" customHeight="1">
      <c r="A397" s="34"/>
      <c r="B397" s="26"/>
      <c r="C397" s="26"/>
      <c r="D397" s="27"/>
      <c r="E397" s="28"/>
      <c r="F397" s="28"/>
      <c r="G397" s="28"/>
      <c r="H397" s="28"/>
      <c r="I397" s="28"/>
      <c r="J397" s="26"/>
      <c r="K397" s="26"/>
      <c r="L397" s="28"/>
      <c r="M397" s="28"/>
      <c r="N397" s="26"/>
      <c r="O397" s="26"/>
      <c r="P397" s="26"/>
      <c r="Q397" s="28"/>
      <c r="R397" s="26"/>
      <c r="S397" s="30"/>
      <c r="T397" s="26"/>
      <c r="U397" s="33"/>
      <c r="V397" s="26"/>
    </row>
    <row r="398" ht="15" customHeight="1">
      <c r="A398" s="34"/>
      <c r="B398" s="26"/>
      <c r="C398" s="26"/>
      <c r="D398" s="27"/>
      <c r="E398" s="28"/>
      <c r="F398" s="28"/>
      <c r="G398" s="28"/>
      <c r="H398" s="28"/>
      <c r="I398" s="28"/>
      <c r="J398" s="26"/>
      <c r="K398" s="26"/>
      <c r="L398" s="28"/>
      <c r="M398" s="28"/>
      <c r="N398" s="26"/>
      <c r="O398" s="26"/>
      <c r="P398" s="26"/>
      <c r="Q398" s="28"/>
      <c r="R398" s="26"/>
      <c r="S398" s="30"/>
      <c r="T398" s="26"/>
      <c r="U398" s="33"/>
      <c r="V398" s="26"/>
    </row>
    <row r="399" ht="15" customHeight="1">
      <c r="A399" s="34"/>
      <c r="B399" s="26"/>
      <c r="C399" s="26"/>
      <c r="D399" s="27"/>
      <c r="E399" s="28"/>
      <c r="F399" s="28"/>
      <c r="G399" s="28"/>
      <c r="H399" s="28"/>
      <c r="I399" s="28"/>
      <c r="J399" s="26"/>
      <c r="K399" s="26"/>
      <c r="L399" s="28"/>
      <c r="M399" s="28"/>
      <c r="N399" s="26"/>
      <c r="O399" s="26"/>
      <c r="P399" s="26"/>
      <c r="Q399" s="28"/>
      <c r="R399" s="26"/>
      <c r="S399" s="30"/>
      <c r="T399" s="26"/>
      <c r="U399" s="33"/>
      <c r="V399" s="26"/>
    </row>
    <row r="400" ht="15" customHeight="1">
      <c r="A400" s="34"/>
      <c r="B400" s="26"/>
      <c r="C400" s="26"/>
      <c r="D400" s="27"/>
      <c r="E400" s="28"/>
      <c r="F400" s="28"/>
      <c r="G400" s="28"/>
      <c r="H400" s="28"/>
      <c r="I400" s="28"/>
      <c r="J400" s="26"/>
      <c r="K400" s="26"/>
      <c r="L400" s="28"/>
      <c r="M400" s="28"/>
      <c r="N400" s="26"/>
      <c r="O400" s="26"/>
      <c r="P400" s="26"/>
      <c r="Q400" s="28"/>
      <c r="R400" s="26"/>
      <c r="S400" s="30"/>
      <c r="T400" s="26"/>
      <c r="U400" s="33"/>
      <c r="V400" s="91"/>
    </row>
    <row r="401" ht="15" customHeight="1">
      <c r="A401" s="34"/>
      <c r="B401" s="26"/>
      <c r="C401" s="26"/>
      <c r="D401" s="27"/>
      <c r="E401" s="28"/>
      <c r="F401" s="28"/>
      <c r="G401" s="28"/>
      <c r="H401" s="28"/>
      <c r="I401" s="28"/>
      <c r="J401" s="26"/>
      <c r="K401" s="26"/>
      <c r="L401" s="28"/>
      <c r="M401" s="28"/>
      <c r="N401" s="26"/>
      <c r="O401" s="26"/>
      <c r="P401" s="26"/>
      <c r="Q401" s="28"/>
      <c r="R401" s="26"/>
      <c r="S401" s="30"/>
      <c r="T401" s="26"/>
      <c r="U401" s="33"/>
      <c r="V401" s="26"/>
    </row>
    <row r="402" ht="15" customHeight="1">
      <c r="A402" s="34"/>
      <c r="B402" s="26"/>
      <c r="C402" s="26"/>
      <c r="D402" s="27"/>
      <c r="E402" s="28"/>
      <c r="F402" s="28"/>
      <c r="G402" s="28"/>
      <c r="H402" s="28"/>
      <c r="I402" s="28"/>
      <c r="J402" s="26"/>
      <c r="K402" s="26"/>
      <c r="L402" s="28"/>
      <c r="M402" s="28"/>
      <c r="N402" s="26"/>
      <c r="O402" s="26"/>
      <c r="P402" s="26"/>
      <c r="Q402" s="28"/>
      <c r="R402" s="26"/>
      <c r="S402" s="30"/>
      <c r="T402" s="26"/>
      <c r="U402" s="33"/>
      <c r="V402" s="91"/>
    </row>
    <row r="403" ht="15" customHeight="1">
      <c r="A403" s="34"/>
      <c r="B403" s="26"/>
      <c r="C403" s="26"/>
      <c r="D403" s="27"/>
      <c r="E403" s="28"/>
      <c r="F403" s="28"/>
      <c r="G403" s="28"/>
      <c r="H403" s="28"/>
      <c r="I403" s="28"/>
      <c r="J403" s="26"/>
      <c r="K403" s="26"/>
      <c r="L403" s="28"/>
      <c r="M403" s="28"/>
      <c r="N403" s="26"/>
      <c r="O403" s="26"/>
      <c r="P403" s="26"/>
      <c r="Q403" s="28"/>
      <c r="R403" s="26"/>
      <c r="S403" s="30"/>
      <c r="T403" s="26"/>
      <c r="U403" s="33"/>
      <c r="V403" s="91"/>
    </row>
    <row r="404" ht="15" customHeight="1">
      <c r="A404" s="34"/>
      <c r="B404" s="26"/>
      <c r="C404" s="26"/>
      <c r="D404" s="27"/>
      <c r="E404" s="28"/>
      <c r="F404" s="28"/>
      <c r="G404" s="28"/>
      <c r="H404" s="28"/>
      <c r="I404" s="28"/>
      <c r="J404" s="26"/>
      <c r="K404" s="26"/>
      <c r="L404" s="28"/>
      <c r="M404" s="28"/>
      <c r="N404" s="26"/>
      <c r="O404" s="26"/>
      <c r="P404" s="26"/>
      <c r="Q404" s="28"/>
      <c r="R404" s="26"/>
      <c r="S404" s="30"/>
      <c r="T404" s="26"/>
      <c r="U404" s="33"/>
      <c r="V404" s="26"/>
    </row>
    <row r="405" ht="15" customHeight="1">
      <c r="A405" s="34"/>
      <c r="B405" s="26"/>
      <c r="C405" s="26"/>
      <c r="D405" s="27"/>
      <c r="E405" s="28"/>
      <c r="F405" s="28"/>
      <c r="G405" s="28"/>
      <c r="H405" s="28"/>
      <c r="I405" s="28"/>
      <c r="J405" s="26"/>
      <c r="K405" s="26"/>
      <c r="L405" s="28"/>
      <c r="M405" s="28"/>
      <c r="N405" s="26"/>
      <c r="O405" s="26"/>
      <c r="P405" s="26"/>
      <c r="Q405" s="28"/>
      <c r="R405" s="26"/>
      <c r="S405" s="30"/>
      <c r="T405" s="26"/>
      <c r="U405" s="33"/>
      <c r="V405" s="26"/>
    </row>
    <row r="406" ht="15" customHeight="1">
      <c r="A406" s="34"/>
      <c r="B406" s="26"/>
      <c r="C406" s="26"/>
      <c r="D406" s="27"/>
      <c r="E406" s="28"/>
      <c r="F406" s="28"/>
      <c r="G406" s="28"/>
      <c r="H406" s="28"/>
      <c r="I406" s="28"/>
      <c r="J406" s="26"/>
      <c r="K406" s="26"/>
      <c r="L406" s="28"/>
      <c r="M406" s="28"/>
      <c r="N406" s="26"/>
      <c r="O406" s="26"/>
      <c r="P406" s="26"/>
      <c r="Q406" s="28"/>
      <c r="R406" s="26"/>
      <c r="S406" s="30"/>
      <c r="T406" s="26"/>
      <c r="U406" s="33"/>
      <c r="V406" s="26"/>
    </row>
    <row r="407" ht="15" customHeight="1">
      <c r="A407" s="34"/>
      <c r="B407" s="26"/>
      <c r="C407" s="26"/>
      <c r="D407" s="27"/>
      <c r="E407" s="28"/>
      <c r="F407" s="28"/>
      <c r="G407" s="28"/>
      <c r="H407" s="28"/>
      <c r="I407" s="28"/>
      <c r="J407" s="26"/>
      <c r="K407" s="26"/>
      <c r="L407" s="28"/>
      <c r="M407" s="28"/>
      <c r="N407" s="26"/>
      <c r="O407" s="26"/>
      <c r="P407" s="26"/>
      <c r="Q407" s="28"/>
      <c r="R407" s="26"/>
      <c r="S407" s="30"/>
      <c r="T407" s="26"/>
      <c r="U407" s="33"/>
      <c r="V407" s="91"/>
    </row>
    <row r="408" ht="15" customHeight="1">
      <c r="A408" s="34"/>
      <c r="B408" s="26"/>
      <c r="C408" s="26"/>
      <c r="D408" s="27"/>
      <c r="E408" s="28"/>
      <c r="F408" s="28"/>
      <c r="G408" s="28"/>
      <c r="H408" s="28"/>
      <c r="I408" s="28"/>
      <c r="J408" s="26"/>
      <c r="K408" s="26"/>
      <c r="L408" s="28"/>
      <c r="M408" s="28"/>
      <c r="N408" s="26"/>
      <c r="O408" s="26"/>
      <c r="P408" s="26"/>
      <c r="Q408" s="28"/>
      <c r="R408" s="26"/>
      <c r="S408" s="30"/>
      <c r="T408" s="26"/>
      <c r="U408" s="33"/>
      <c r="V408" s="26"/>
    </row>
    <row r="409" ht="15" customHeight="1">
      <c r="A409" s="34"/>
      <c r="B409" s="26"/>
      <c r="C409" s="26"/>
      <c r="D409" s="27"/>
      <c r="E409" s="28"/>
      <c r="F409" s="28"/>
      <c r="G409" s="28"/>
      <c r="H409" s="28"/>
      <c r="I409" s="28"/>
      <c r="J409" s="26"/>
      <c r="K409" s="26"/>
      <c r="L409" s="28"/>
      <c r="M409" s="28"/>
      <c r="N409" s="26"/>
      <c r="O409" s="26"/>
      <c r="P409" s="26"/>
      <c r="Q409" s="28"/>
      <c r="R409" s="26"/>
      <c r="S409" s="30"/>
      <c r="T409" s="26"/>
      <c r="U409" s="33"/>
      <c r="V409" s="91"/>
    </row>
    <row r="410" ht="15" customHeight="1">
      <c r="A410" s="34"/>
      <c r="B410" s="26"/>
      <c r="C410" s="26"/>
      <c r="D410" s="27"/>
      <c r="E410" s="28"/>
      <c r="F410" s="28"/>
      <c r="G410" s="28"/>
      <c r="H410" s="28"/>
      <c r="I410" s="28"/>
      <c r="J410" s="26"/>
      <c r="K410" s="26"/>
      <c r="L410" s="28"/>
      <c r="M410" s="28"/>
      <c r="N410" s="26"/>
      <c r="O410" s="26"/>
      <c r="P410" s="26"/>
      <c r="Q410" s="28"/>
      <c r="R410" s="26"/>
      <c r="S410" s="30"/>
      <c r="T410" s="26"/>
      <c r="U410" s="33"/>
      <c r="V410" s="26"/>
    </row>
    <row r="411" ht="15" customHeight="1">
      <c r="A411" s="34"/>
      <c r="B411" s="26"/>
      <c r="C411" s="26"/>
      <c r="D411" s="27"/>
      <c r="E411" s="28"/>
      <c r="F411" s="28"/>
      <c r="G411" s="28"/>
      <c r="H411" s="28"/>
      <c r="I411" s="28"/>
      <c r="J411" s="26"/>
      <c r="K411" s="26"/>
      <c r="L411" s="28"/>
      <c r="M411" s="28"/>
      <c r="N411" s="26"/>
      <c r="O411" s="26"/>
      <c r="P411" s="26"/>
      <c r="Q411" s="28"/>
      <c r="R411" s="26"/>
      <c r="S411" s="30"/>
      <c r="T411" s="26"/>
      <c r="U411" s="33"/>
      <c r="V411" s="26"/>
    </row>
    <row r="412" ht="15" customHeight="1">
      <c r="A412" s="34"/>
      <c r="B412" s="26"/>
      <c r="C412" s="26"/>
      <c r="D412" s="27"/>
      <c r="E412" s="28"/>
      <c r="F412" s="28"/>
      <c r="G412" s="28"/>
      <c r="H412" s="28"/>
      <c r="I412" s="28"/>
      <c r="J412" s="26"/>
      <c r="K412" s="26"/>
      <c r="L412" s="28"/>
      <c r="M412" s="28"/>
      <c r="N412" s="26"/>
      <c r="O412" s="26"/>
      <c r="P412" s="26"/>
      <c r="Q412" s="28"/>
      <c r="R412" s="26"/>
      <c r="S412" s="30"/>
      <c r="T412" s="26"/>
      <c r="U412" s="33"/>
      <c r="V412" s="26"/>
    </row>
    <row r="413" ht="15" customHeight="1">
      <c r="A413" s="34"/>
      <c r="B413" s="26"/>
      <c r="C413" s="26"/>
      <c r="D413" s="27"/>
      <c r="E413" s="28"/>
      <c r="F413" s="28"/>
      <c r="G413" s="28"/>
      <c r="H413" s="28"/>
      <c r="I413" s="28"/>
      <c r="J413" s="26"/>
      <c r="K413" s="26"/>
      <c r="L413" s="28"/>
      <c r="M413" s="28"/>
      <c r="N413" s="26"/>
      <c r="O413" s="26"/>
      <c r="P413" s="26"/>
      <c r="Q413" s="28"/>
      <c r="R413" s="26"/>
      <c r="S413" s="30"/>
      <c r="T413" s="26"/>
      <c r="U413" s="33"/>
      <c r="V413" s="26"/>
    </row>
    <row r="414" ht="15" customHeight="1">
      <c r="A414" s="34"/>
      <c r="B414" s="26"/>
      <c r="C414" s="26"/>
      <c r="D414" s="27"/>
      <c r="E414" s="28"/>
      <c r="F414" s="28"/>
      <c r="G414" s="28"/>
      <c r="H414" s="28"/>
      <c r="I414" s="28"/>
      <c r="J414" s="26"/>
      <c r="K414" s="26"/>
      <c r="L414" s="28"/>
      <c r="M414" s="28"/>
      <c r="N414" s="26"/>
      <c r="O414" s="26"/>
      <c r="P414" s="26"/>
      <c r="Q414" s="28"/>
      <c r="R414" s="26"/>
      <c r="S414" s="30"/>
      <c r="T414" s="26"/>
      <c r="U414" s="33"/>
      <c r="V414" s="91"/>
    </row>
    <row r="415" ht="15" customHeight="1">
      <c r="A415" s="34"/>
      <c r="B415" s="26"/>
      <c r="C415" s="26"/>
      <c r="D415" s="27"/>
      <c r="E415" s="28"/>
      <c r="F415" s="28"/>
      <c r="G415" s="28"/>
      <c r="H415" s="28"/>
      <c r="I415" s="28"/>
      <c r="J415" s="26"/>
      <c r="K415" s="26"/>
      <c r="L415" s="28"/>
      <c r="M415" s="28"/>
      <c r="N415" s="26"/>
      <c r="O415" s="26"/>
      <c r="P415" s="26"/>
      <c r="Q415" s="28"/>
      <c r="R415" s="26"/>
      <c r="S415" s="30"/>
      <c r="T415" s="26"/>
      <c r="U415" s="33"/>
      <c r="V415" s="26"/>
    </row>
    <row r="416" ht="15" customHeight="1">
      <c r="A416" s="34"/>
      <c r="B416" s="26"/>
      <c r="C416" s="26"/>
      <c r="D416" s="27"/>
      <c r="E416" s="28"/>
      <c r="F416" s="28"/>
      <c r="G416" s="28"/>
      <c r="H416" s="28"/>
      <c r="I416" s="28"/>
      <c r="J416" s="26"/>
      <c r="K416" s="26"/>
      <c r="L416" s="28"/>
      <c r="M416" s="28"/>
      <c r="N416" s="26"/>
      <c r="O416" s="26"/>
      <c r="P416" s="26"/>
      <c r="Q416" s="28"/>
      <c r="R416" s="26"/>
      <c r="S416" s="30"/>
      <c r="T416" s="26"/>
      <c r="U416" s="33"/>
      <c r="V416" s="26"/>
    </row>
    <row r="417" ht="15" customHeight="1">
      <c r="A417" s="34"/>
      <c r="B417" s="26"/>
      <c r="C417" s="26"/>
      <c r="D417" s="27"/>
      <c r="E417" s="28"/>
      <c r="F417" s="28"/>
      <c r="G417" s="28"/>
      <c r="H417" s="28"/>
      <c r="I417" s="28"/>
      <c r="J417" s="26"/>
      <c r="K417" s="26"/>
      <c r="L417" s="28"/>
      <c r="M417" s="28"/>
      <c r="N417" s="26"/>
      <c r="O417" s="26"/>
      <c r="P417" s="26"/>
      <c r="Q417" s="28"/>
      <c r="R417" s="26"/>
      <c r="S417" s="30"/>
      <c r="T417" s="26"/>
      <c r="U417" s="33"/>
      <c r="V417" s="26"/>
    </row>
    <row r="418" ht="15" customHeight="1">
      <c r="A418" s="34"/>
      <c r="B418" s="26"/>
      <c r="C418" s="26"/>
      <c r="D418" s="27"/>
      <c r="E418" s="28"/>
      <c r="F418" s="28"/>
      <c r="G418" s="28"/>
      <c r="H418" s="28"/>
      <c r="I418" s="28"/>
      <c r="J418" s="26"/>
      <c r="K418" s="26"/>
      <c r="L418" s="28"/>
      <c r="M418" s="28"/>
      <c r="N418" s="26"/>
      <c r="O418" s="26"/>
      <c r="P418" s="26"/>
      <c r="Q418" s="28"/>
      <c r="R418" s="26"/>
      <c r="S418" s="30"/>
      <c r="T418" s="26"/>
      <c r="U418" s="33"/>
      <c r="V418" s="26"/>
    </row>
    <row r="419" ht="15" customHeight="1">
      <c r="A419" s="34"/>
      <c r="B419" s="26"/>
      <c r="C419" s="26"/>
      <c r="D419" s="27"/>
      <c r="E419" s="28"/>
      <c r="F419" s="28"/>
      <c r="G419" s="28"/>
      <c r="H419" s="28"/>
      <c r="I419" s="28"/>
      <c r="J419" s="26"/>
      <c r="K419" s="26"/>
      <c r="L419" s="28"/>
      <c r="M419" s="28"/>
      <c r="N419" s="26"/>
      <c r="O419" s="26"/>
      <c r="P419" s="26"/>
      <c r="Q419" s="28"/>
      <c r="R419" s="26"/>
      <c r="S419" s="30"/>
      <c r="T419" s="26"/>
      <c r="U419" s="33"/>
      <c r="V419" s="26"/>
    </row>
    <row r="420" ht="15" customHeight="1">
      <c r="A420" s="34"/>
      <c r="B420" s="26"/>
      <c r="C420" s="26"/>
      <c r="D420" s="27"/>
      <c r="E420" s="28"/>
      <c r="F420" s="28"/>
      <c r="G420" s="28"/>
      <c r="H420" s="28"/>
      <c r="I420" s="28"/>
      <c r="J420" s="26"/>
      <c r="K420" s="26"/>
      <c r="L420" s="28"/>
      <c r="M420" s="28"/>
      <c r="N420" s="26"/>
      <c r="O420" s="26"/>
      <c r="P420" s="26"/>
      <c r="Q420" s="28"/>
      <c r="R420" s="26"/>
      <c r="S420" s="30"/>
      <c r="T420" s="26"/>
      <c r="U420" s="33"/>
      <c r="V420" s="26"/>
    </row>
    <row r="421" ht="15" customHeight="1">
      <c r="A421" s="34"/>
      <c r="B421" s="26"/>
      <c r="C421" s="26"/>
      <c r="D421" s="27"/>
      <c r="E421" s="28"/>
      <c r="F421" s="28"/>
      <c r="G421" s="28"/>
      <c r="H421" s="28"/>
      <c r="I421" s="28"/>
      <c r="J421" s="26"/>
      <c r="K421" s="26"/>
      <c r="L421" s="28"/>
      <c r="M421" s="28"/>
      <c r="N421" s="26"/>
      <c r="O421" s="26"/>
      <c r="P421" s="26"/>
      <c r="Q421" s="28"/>
      <c r="R421" s="26"/>
      <c r="S421" s="30"/>
      <c r="T421" s="26"/>
      <c r="U421" s="33"/>
      <c r="V421" s="91"/>
    </row>
    <row r="422" ht="15" customHeight="1">
      <c r="A422" s="34"/>
      <c r="B422" s="26"/>
      <c r="C422" s="26"/>
      <c r="D422" s="27"/>
      <c r="E422" s="28"/>
      <c r="F422" s="28"/>
      <c r="G422" s="28"/>
      <c r="H422" s="28"/>
      <c r="I422" s="28"/>
      <c r="J422" s="26"/>
      <c r="K422" s="26"/>
      <c r="L422" s="28"/>
      <c r="M422" s="28"/>
      <c r="N422" s="26"/>
      <c r="O422" s="26"/>
      <c r="P422" s="26"/>
      <c r="Q422" s="28"/>
      <c r="R422" s="26"/>
      <c r="S422" s="30"/>
      <c r="T422" s="26"/>
      <c r="U422" s="33"/>
      <c r="V422" s="26"/>
    </row>
    <row r="423" ht="15" customHeight="1">
      <c r="A423" s="34"/>
      <c r="B423" s="26"/>
      <c r="C423" s="26"/>
      <c r="D423" s="27"/>
      <c r="E423" s="28"/>
      <c r="F423" s="28"/>
      <c r="G423" s="28"/>
      <c r="H423" s="28"/>
      <c r="I423" s="28"/>
      <c r="J423" s="26"/>
      <c r="K423" s="26"/>
      <c r="L423" s="28"/>
      <c r="M423" s="28"/>
      <c r="N423" s="26"/>
      <c r="O423" s="26"/>
      <c r="P423" s="26"/>
      <c r="Q423" s="28"/>
      <c r="R423" s="26"/>
      <c r="S423" s="30"/>
      <c r="T423" s="26"/>
      <c r="U423" s="33"/>
      <c r="V423" s="26"/>
    </row>
    <row r="424" ht="15" customHeight="1">
      <c r="A424" s="34"/>
      <c r="B424" s="26"/>
      <c r="C424" s="26"/>
      <c r="D424" s="27"/>
      <c r="E424" s="28"/>
      <c r="F424" s="28"/>
      <c r="G424" s="28"/>
      <c r="H424" s="28"/>
      <c r="I424" s="28"/>
      <c r="J424" s="26"/>
      <c r="K424" s="26"/>
      <c r="L424" s="28"/>
      <c r="M424" s="28"/>
      <c r="N424" s="26"/>
      <c r="O424" s="26"/>
      <c r="P424" s="26"/>
      <c r="Q424" s="28"/>
      <c r="R424" s="26"/>
      <c r="S424" s="30"/>
      <c r="T424" s="26"/>
      <c r="U424" s="33"/>
      <c r="V424" s="91"/>
    </row>
    <row r="425" ht="15" customHeight="1">
      <c r="A425" s="34"/>
      <c r="B425" s="26"/>
      <c r="C425" s="26"/>
      <c r="D425" s="27"/>
      <c r="E425" s="28"/>
      <c r="F425" s="28"/>
      <c r="G425" s="28"/>
      <c r="H425" s="28"/>
      <c r="I425" s="28"/>
      <c r="J425" s="26"/>
      <c r="K425" s="26"/>
      <c r="L425" s="28"/>
      <c r="M425" s="28"/>
      <c r="N425" s="26"/>
      <c r="O425" s="26"/>
      <c r="P425" s="26"/>
      <c r="Q425" s="28"/>
      <c r="R425" s="26"/>
      <c r="S425" s="30"/>
      <c r="T425" s="26"/>
      <c r="U425" s="33"/>
      <c r="V425" s="26"/>
    </row>
    <row r="426" ht="15" customHeight="1">
      <c r="A426" s="34"/>
      <c r="B426" s="26"/>
      <c r="C426" s="26"/>
      <c r="D426" s="27"/>
      <c r="E426" s="28"/>
      <c r="F426" s="28"/>
      <c r="G426" s="28"/>
      <c r="H426" s="28"/>
      <c r="I426" s="28"/>
      <c r="J426" s="26"/>
      <c r="K426" s="26"/>
      <c r="L426" s="28"/>
      <c r="M426" s="28"/>
      <c r="N426" s="26"/>
      <c r="O426" s="26"/>
      <c r="P426" s="26"/>
      <c r="Q426" s="28"/>
      <c r="R426" s="26"/>
      <c r="S426" s="30"/>
      <c r="T426" s="26"/>
      <c r="U426" s="33"/>
      <c r="V426" s="26"/>
    </row>
    <row r="427" ht="15" customHeight="1">
      <c r="A427" s="34"/>
      <c r="B427" s="26"/>
      <c r="C427" s="26"/>
      <c r="D427" s="27"/>
      <c r="E427" s="28"/>
      <c r="F427" s="28"/>
      <c r="G427" s="28"/>
      <c r="H427" s="28"/>
      <c r="I427" s="28"/>
      <c r="J427" s="26"/>
      <c r="K427" s="26"/>
      <c r="L427" s="28"/>
      <c r="M427" s="28"/>
      <c r="N427" s="26"/>
      <c r="O427" s="26"/>
      <c r="P427" s="26"/>
      <c r="Q427" s="28"/>
      <c r="R427" s="26"/>
      <c r="S427" s="30"/>
      <c r="T427" s="26"/>
      <c r="U427" s="33"/>
      <c r="V427" s="26"/>
    </row>
    <row r="428" ht="15" customHeight="1">
      <c r="A428" s="34"/>
      <c r="B428" s="26"/>
      <c r="C428" s="26"/>
      <c r="D428" s="27"/>
      <c r="E428" s="28"/>
      <c r="F428" s="28"/>
      <c r="G428" s="28"/>
      <c r="H428" s="28"/>
      <c r="I428" s="28"/>
      <c r="J428" s="26"/>
      <c r="K428" s="26"/>
      <c r="L428" s="28"/>
      <c r="M428" s="28"/>
      <c r="N428" s="26"/>
      <c r="O428" s="26"/>
      <c r="P428" s="26"/>
      <c r="Q428" s="28"/>
      <c r="R428" s="26"/>
      <c r="S428" s="30"/>
      <c r="T428" s="26"/>
      <c r="U428" s="33"/>
      <c r="V428" s="91"/>
    </row>
    <row r="429" ht="15" customHeight="1">
      <c r="A429" s="34"/>
      <c r="B429" s="26"/>
      <c r="C429" s="26"/>
      <c r="D429" s="27"/>
      <c r="E429" s="28"/>
      <c r="F429" s="28"/>
      <c r="G429" s="28"/>
      <c r="H429" s="28"/>
      <c r="I429" s="28"/>
      <c r="J429" s="26"/>
      <c r="K429" s="26"/>
      <c r="L429" s="28"/>
      <c r="M429" s="28"/>
      <c r="N429" s="26"/>
      <c r="O429" s="26"/>
      <c r="P429" s="26"/>
      <c r="Q429" s="28"/>
      <c r="R429" s="26"/>
      <c r="S429" s="30"/>
      <c r="T429" s="26"/>
      <c r="U429" s="33"/>
      <c r="V429" s="26"/>
    </row>
    <row r="430" ht="15" customHeight="1">
      <c r="A430" s="34"/>
      <c r="B430" s="26"/>
      <c r="C430" s="26"/>
      <c r="D430" s="27"/>
      <c r="E430" s="28"/>
      <c r="F430" s="28"/>
      <c r="G430" s="28"/>
      <c r="H430" s="28"/>
      <c r="I430" s="28"/>
      <c r="J430" s="26"/>
      <c r="K430" s="26"/>
      <c r="L430" s="28"/>
      <c r="M430" s="28"/>
      <c r="N430" s="26"/>
      <c r="O430" s="26"/>
      <c r="P430" s="26"/>
      <c r="Q430" s="28"/>
      <c r="R430" s="26"/>
      <c r="S430" s="30"/>
      <c r="T430" s="26"/>
      <c r="U430" s="33"/>
      <c r="V430" s="26"/>
    </row>
    <row r="431" ht="15" customHeight="1">
      <c r="A431" s="34"/>
      <c r="B431" s="26"/>
      <c r="C431" s="26"/>
      <c r="D431" s="27"/>
      <c r="E431" s="28"/>
      <c r="F431" s="28"/>
      <c r="G431" s="28"/>
      <c r="H431" s="28"/>
      <c r="I431" s="28"/>
      <c r="J431" s="26"/>
      <c r="K431" s="26"/>
      <c r="L431" s="28"/>
      <c r="M431" s="28"/>
      <c r="N431" s="26"/>
      <c r="O431" s="26"/>
      <c r="P431" s="26"/>
      <c r="Q431" s="28"/>
      <c r="R431" s="26"/>
      <c r="S431" s="30"/>
      <c r="T431" s="26"/>
      <c r="U431" s="33"/>
      <c r="V431" s="91"/>
    </row>
    <row r="432" ht="15" customHeight="1">
      <c r="A432" s="34"/>
      <c r="B432" s="26"/>
      <c r="C432" s="26"/>
      <c r="D432" s="27"/>
      <c r="E432" s="28"/>
      <c r="F432" s="28"/>
      <c r="G432" s="28"/>
      <c r="H432" s="28"/>
      <c r="I432" s="28"/>
      <c r="J432" s="26"/>
      <c r="K432" s="26"/>
      <c r="L432" s="28"/>
      <c r="M432" s="28"/>
      <c r="N432" s="26"/>
      <c r="O432" s="26"/>
      <c r="P432" s="26"/>
      <c r="Q432" s="28"/>
      <c r="R432" s="26"/>
      <c r="S432" s="30"/>
      <c r="T432" s="26"/>
      <c r="U432" s="33"/>
      <c r="V432" s="26"/>
    </row>
    <row r="433" ht="15" customHeight="1">
      <c r="A433" s="34"/>
      <c r="B433" s="26"/>
      <c r="C433" s="26"/>
      <c r="D433" s="27"/>
      <c r="E433" s="28"/>
      <c r="F433" s="28"/>
      <c r="G433" s="28"/>
      <c r="H433" s="28"/>
      <c r="I433" s="28"/>
      <c r="J433" s="26"/>
      <c r="K433" s="26"/>
      <c r="L433" s="28"/>
      <c r="M433" s="28"/>
      <c r="N433" s="26"/>
      <c r="O433" s="26"/>
      <c r="P433" s="26"/>
      <c r="Q433" s="28"/>
      <c r="R433" s="26"/>
      <c r="S433" s="30"/>
      <c r="T433" s="26"/>
      <c r="U433" s="33"/>
      <c r="V433" s="26"/>
    </row>
    <row r="434" ht="15" customHeight="1">
      <c r="A434" s="34"/>
      <c r="B434" s="26"/>
      <c r="C434" s="26"/>
      <c r="D434" s="27"/>
      <c r="E434" s="28"/>
      <c r="F434" s="28"/>
      <c r="G434" s="28"/>
      <c r="H434" s="28"/>
      <c r="I434" s="28"/>
      <c r="J434" s="26"/>
      <c r="K434" s="26"/>
      <c r="L434" s="28"/>
      <c r="M434" s="28"/>
      <c r="N434" s="26"/>
      <c r="O434" s="26"/>
      <c r="P434" s="26"/>
      <c r="Q434" s="28"/>
      <c r="R434" s="26"/>
      <c r="S434" s="30"/>
      <c r="T434" s="26"/>
      <c r="U434" s="33"/>
      <c r="V434" s="26"/>
    </row>
    <row r="435" ht="15" customHeight="1">
      <c r="A435" s="34"/>
      <c r="B435" s="26"/>
      <c r="C435" s="26"/>
      <c r="D435" s="27"/>
      <c r="E435" s="28"/>
      <c r="F435" s="28"/>
      <c r="G435" s="28"/>
      <c r="H435" s="28"/>
      <c r="I435" s="28"/>
      <c r="J435" s="26"/>
      <c r="K435" s="26"/>
      <c r="L435" s="28"/>
      <c r="M435" s="28"/>
      <c r="N435" s="26"/>
      <c r="O435" s="26"/>
      <c r="P435" s="26"/>
      <c r="Q435" s="28"/>
      <c r="R435" s="26"/>
      <c r="S435" s="30"/>
      <c r="T435" s="26"/>
      <c r="U435" s="33"/>
      <c r="V435" s="91"/>
    </row>
    <row r="436" ht="15" customHeight="1">
      <c r="A436" s="34"/>
      <c r="B436" s="26"/>
      <c r="C436" s="26"/>
      <c r="D436" s="27"/>
      <c r="E436" s="28"/>
      <c r="F436" s="28"/>
      <c r="G436" s="28"/>
      <c r="H436" s="28"/>
      <c r="I436" s="28"/>
      <c r="J436" s="26"/>
      <c r="K436" s="26"/>
      <c r="L436" s="28"/>
      <c r="M436" s="28"/>
      <c r="N436" s="26"/>
      <c r="O436" s="26"/>
      <c r="P436" s="26"/>
      <c r="Q436" s="28"/>
      <c r="R436" s="26"/>
      <c r="S436" s="30"/>
      <c r="T436" s="26"/>
      <c r="U436" s="33"/>
      <c r="V436" s="26"/>
    </row>
    <row r="437" ht="15" customHeight="1">
      <c r="A437" s="34"/>
      <c r="B437" s="26"/>
      <c r="C437" s="26"/>
      <c r="D437" s="27"/>
      <c r="E437" s="28"/>
      <c r="F437" s="28"/>
      <c r="G437" s="28"/>
      <c r="H437" s="28"/>
      <c r="I437" s="28"/>
      <c r="J437" s="26"/>
      <c r="K437" s="26"/>
      <c r="L437" s="28"/>
      <c r="M437" s="28"/>
      <c r="N437" s="26"/>
      <c r="O437" s="26"/>
      <c r="P437" s="26"/>
      <c r="Q437" s="28"/>
      <c r="R437" s="26"/>
      <c r="S437" s="30"/>
      <c r="T437" s="26"/>
      <c r="U437" s="33"/>
      <c r="V437" s="26"/>
    </row>
    <row r="438" ht="15" customHeight="1">
      <c r="A438" s="34"/>
      <c r="B438" s="26"/>
      <c r="C438" s="26"/>
      <c r="D438" s="27"/>
      <c r="E438" s="28"/>
      <c r="F438" s="28"/>
      <c r="G438" s="28"/>
      <c r="H438" s="28"/>
      <c r="I438" s="28"/>
      <c r="J438" s="26"/>
      <c r="K438" s="26"/>
      <c r="L438" s="28"/>
      <c r="M438" s="28"/>
      <c r="N438" s="26"/>
      <c r="O438" s="26"/>
      <c r="P438" s="26"/>
      <c r="Q438" s="28"/>
      <c r="R438" s="26"/>
      <c r="S438" s="30"/>
      <c r="T438" s="26"/>
      <c r="U438" s="33"/>
      <c r="V438" s="30"/>
    </row>
    <row r="439" ht="15" customHeight="1">
      <c r="A439" s="34"/>
      <c r="B439" s="26"/>
      <c r="C439" s="26"/>
      <c r="D439" s="27"/>
      <c r="E439" s="28"/>
      <c r="F439" s="28"/>
      <c r="G439" s="28"/>
      <c r="H439" s="28"/>
      <c r="I439" s="28"/>
      <c r="J439" s="26"/>
      <c r="K439" s="26"/>
      <c r="L439" s="28"/>
      <c r="M439" s="28"/>
      <c r="N439" s="26"/>
      <c r="O439" s="26"/>
      <c r="P439" s="26"/>
      <c r="Q439" s="28"/>
      <c r="R439" s="26"/>
      <c r="S439" s="30"/>
      <c r="T439" s="26"/>
      <c r="U439" s="33"/>
      <c r="V439" s="30"/>
    </row>
    <row r="440" ht="15" customHeight="1">
      <c r="A440" s="34"/>
      <c r="B440" s="26"/>
      <c r="C440" s="26"/>
      <c r="D440" s="27"/>
      <c r="E440" s="28"/>
      <c r="F440" s="28"/>
      <c r="G440" s="28"/>
      <c r="H440" s="28"/>
      <c r="I440" s="28"/>
      <c r="J440" s="26"/>
      <c r="K440" s="26"/>
      <c r="L440" s="28"/>
      <c r="M440" s="28"/>
      <c r="N440" s="26"/>
      <c r="O440" s="26"/>
      <c r="P440" s="26"/>
      <c r="Q440" s="28"/>
      <c r="R440" s="26"/>
      <c r="S440" s="30"/>
      <c r="T440" s="26"/>
      <c r="U440" s="33"/>
      <c r="V440" s="30"/>
    </row>
    <row r="441" ht="15" customHeight="1">
      <c r="A441" s="34"/>
      <c r="B441" s="26"/>
      <c r="C441" s="26"/>
      <c r="D441" s="27"/>
      <c r="E441" s="28"/>
      <c r="F441" s="28"/>
      <c r="G441" s="28"/>
      <c r="H441" s="28"/>
      <c r="I441" s="28"/>
      <c r="J441" s="26"/>
      <c r="K441" s="26"/>
      <c r="L441" s="28"/>
      <c r="M441" s="28"/>
      <c r="N441" s="26"/>
      <c r="O441" s="26"/>
      <c r="P441" s="26"/>
      <c r="Q441" s="28"/>
      <c r="R441" s="26"/>
      <c r="S441" s="30"/>
      <c r="T441" s="26"/>
      <c r="U441" s="33"/>
      <c r="V441" s="30"/>
    </row>
    <row r="442" ht="15" customHeight="1">
      <c r="A442" s="34"/>
      <c r="B442" s="26"/>
      <c r="C442" s="26"/>
      <c r="D442" s="27"/>
      <c r="E442" s="28"/>
      <c r="F442" s="28"/>
      <c r="G442" s="28"/>
      <c r="H442" s="28"/>
      <c r="I442" s="28"/>
      <c r="J442" s="26"/>
      <c r="K442" s="26"/>
      <c r="L442" s="28"/>
      <c r="M442" s="28"/>
      <c r="N442" s="26"/>
      <c r="O442" s="26"/>
      <c r="P442" s="26"/>
      <c r="Q442" s="28"/>
      <c r="R442" s="26"/>
      <c r="S442" s="30"/>
      <c r="T442" s="26"/>
      <c r="U442" s="33"/>
      <c r="V442" s="30"/>
    </row>
    <row r="443" ht="15" customHeight="1">
      <c r="A443" s="34"/>
      <c r="B443" s="26"/>
      <c r="C443" s="26"/>
      <c r="D443" s="27"/>
      <c r="E443" s="28"/>
      <c r="F443" s="28"/>
      <c r="G443" s="28"/>
      <c r="H443" s="28"/>
      <c r="I443" s="28"/>
      <c r="J443" s="26"/>
      <c r="K443" s="26"/>
      <c r="L443" s="28"/>
      <c r="M443" s="28"/>
      <c r="N443" s="26"/>
      <c r="O443" s="26"/>
      <c r="P443" s="26"/>
      <c r="Q443" s="28"/>
      <c r="R443" s="26"/>
      <c r="S443" s="30"/>
      <c r="T443" s="27"/>
      <c r="U443" s="33"/>
      <c r="V443" s="30"/>
    </row>
    <row r="444" ht="15" customHeight="1">
      <c r="A444" s="34"/>
      <c r="B444" s="26"/>
      <c r="C444" s="26"/>
      <c r="D444" s="27"/>
      <c r="E444" s="28"/>
      <c r="F444" s="28"/>
      <c r="G444" s="28"/>
      <c r="H444" s="28"/>
      <c r="I444" s="28"/>
      <c r="J444" s="26"/>
      <c r="K444" s="26"/>
      <c r="L444" s="28"/>
      <c r="M444" s="28"/>
      <c r="N444" s="26"/>
      <c r="O444" s="26"/>
      <c r="P444" s="26"/>
      <c r="Q444" s="28"/>
      <c r="R444" s="26"/>
      <c r="S444" s="30"/>
      <c r="T444" s="26"/>
      <c r="U444" s="33"/>
      <c r="V444" s="26"/>
    </row>
    <row r="445" ht="15" customHeight="1">
      <c r="A445" s="34"/>
      <c r="B445" s="26"/>
      <c r="C445" s="26"/>
      <c r="D445" s="27"/>
      <c r="E445" s="28"/>
      <c r="F445" s="28"/>
      <c r="G445" s="28"/>
      <c r="H445" s="28"/>
      <c r="I445" s="28"/>
      <c r="J445" s="26"/>
      <c r="K445" s="26"/>
      <c r="L445" s="28"/>
      <c r="M445" s="28"/>
      <c r="N445" s="26"/>
      <c r="O445" s="26"/>
      <c r="P445" s="26"/>
      <c r="Q445" s="28"/>
      <c r="R445" s="26"/>
      <c r="S445" s="30"/>
      <c r="T445" s="26"/>
      <c r="U445" s="33"/>
      <c r="V445" s="26"/>
    </row>
    <row r="446" ht="15" customHeight="1">
      <c r="A446" s="34"/>
      <c r="B446" s="26"/>
      <c r="C446" s="26"/>
      <c r="D446" s="27"/>
      <c r="E446" s="28"/>
      <c r="F446" s="28"/>
      <c r="G446" s="28"/>
      <c r="H446" s="28"/>
      <c r="I446" s="28"/>
      <c r="J446" s="26"/>
      <c r="K446" s="26"/>
      <c r="L446" s="28"/>
      <c r="M446" s="28"/>
      <c r="N446" s="26"/>
      <c r="O446" s="26"/>
      <c r="P446" s="26"/>
      <c r="Q446" s="28"/>
      <c r="R446" s="26"/>
      <c r="S446" s="30"/>
      <c r="T446" s="26"/>
      <c r="U446" s="33"/>
      <c r="V446" s="26"/>
    </row>
    <row r="447" ht="15" customHeight="1">
      <c r="A447" s="34"/>
      <c r="B447" s="26"/>
      <c r="C447" s="26"/>
      <c r="D447" s="27"/>
      <c r="E447" s="28"/>
      <c r="F447" s="28"/>
      <c r="G447" s="28"/>
      <c r="H447" s="28"/>
      <c r="I447" s="28"/>
      <c r="J447" s="26"/>
      <c r="K447" s="26"/>
      <c r="L447" s="28"/>
      <c r="M447" s="28"/>
      <c r="N447" s="26"/>
      <c r="O447" s="26"/>
      <c r="P447" s="26"/>
      <c r="Q447" s="28"/>
      <c r="R447" s="26"/>
      <c r="S447" s="30"/>
      <c r="T447" s="26"/>
      <c r="U447" s="33"/>
      <c r="V447" s="26"/>
    </row>
    <row r="448" ht="15" customHeight="1">
      <c r="A448" s="34"/>
      <c r="B448" s="26"/>
      <c r="C448" s="26"/>
      <c r="D448" s="27"/>
      <c r="E448" s="28"/>
      <c r="F448" s="28"/>
      <c r="G448" s="28"/>
      <c r="H448" s="28"/>
      <c r="I448" s="28"/>
      <c r="J448" s="26"/>
      <c r="K448" s="26"/>
      <c r="L448" s="28"/>
      <c r="M448" s="28"/>
      <c r="N448" s="26"/>
      <c r="O448" s="26"/>
      <c r="P448" s="26"/>
      <c r="Q448" s="28"/>
      <c r="R448" s="26"/>
      <c r="S448" s="30"/>
      <c r="T448" s="27"/>
      <c r="U448" s="33"/>
      <c r="V448" s="27"/>
    </row>
    <row r="449" ht="15" customHeight="1">
      <c r="A449" s="34"/>
      <c r="B449" s="26"/>
      <c r="C449" s="26"/>
      <c r="D449" s="26"/>
      <c r="E449" s="28"/>
      <c r="F449" s="28"/>
      <c r="G449" s="28"/>
      <c r="H449" s="28"/>
      <c r="I449" s="28"/>
      <c r="J449" s="26"/>
      <c r="K449" s="26"/>
      <c r="L449" s="28"/>
      <c r="M449" s="28"/>
      <c r="N449" s="26"/>
      <c r="O449" s="26"/>
      <c r="P449" s="26"/>
      <c r="Q449" s="28"/>
      <c r="R449" s="26"/>
      <c r="S449" s="30"/>
      <c r="T449" s="26"/>
      <c r="U449" s="33"/>
      <c r="V449" s="26"/>
    </row>
    <row r="450" ht="15" customHeight="1">
      <c r="A450" s="34"/>
      <c r="B450" s="26"/>
      <c r="C450" s="26"/>
      <c r="D450" s="26"/>
      <c r="E450" s="28"/>
      <c r="F450" s="28"/>
      <c r="G450" s="28"/>
      <c r="H450" s="28"/>
      <c r="I450" s="28"/>
      <c r="J450" s="26"/>
      <c r="K450" s="26"/>
      <c r="L450" s="28"/>
      <c r="M450" s="28"/>
      <c r="N450" s="26"/>
      <c r="O450" s="26"/>
      <c r="P450" s="26"/>
      <c r="Q450" s="28"/>
      <c r="R450" s="26"/>
      <c r="S450" s="30"/>
      <c r="T450" s="26"/>
      <c r="U450" s="33"/>
      <c r="V450" s="26"/>
    </row>
    <row r="451" ht="15" customHeight="1">
      <c r="A451" s="34"/>
      <c r="B451" s="26"/>
      <c r="C451" s="26"/>
      <c r="D451" s="26"/>
      <c r="E451" s="28"/>
      <c r="F451" s="28"/>
      <c r="G451" s="28"/>
      <c r="H451" s="28"/>
      <c r="I451" s="28"/>
      <c r="J451" s="26"/>
      <c r="K451" s="26"/>
      <c r="L451" s="28"/>
      <c r="M451" s="28"/>
      <c r="N451" s="26"/>
      <c r="O451" s="26"/>
      <c r="P451" s="26"/>
      <c r="Q451" s="28"/>
      <c r="R451" s="26"/>
      <c r="S451" s="30"/>
      <c r="T451" s="26"/>
      <c r="U451" s="33"/>
      <c r="V451" s="26"/>
    </row>
    <row r="452" ht="15" customHeight="1">
      <c r="A452" s="34"/>
      <c r="B452" s="26"/>
      <c r="C452" s="26"/>
      <c r="D452" s="27"/>
      <c r="E452" s="28"/>
      <c r="F452" s="28"/>
      <c r="G452" s="28"/>
      <c r="H452" s="28"/>
      <c r="I452" s="28"/>
      <c r="J452" s="26"/>
      <c r="K452" s="26"/>
      <c r="L452" s="28"/>
      <c r="M452" s="28"/>
      <c r="N452" s="26"/>
      <c r="O452" s="26"/>
      <c r="P452" s="26"/>
      <c r="Q452" s="28"/>
      <c r="R452" s="26"/>
      <c r="S452" s="30"/>
      <c r="T452" s="26"/>
      <c r="U452" s="33"/>
      <c r="V452" s="95"/>
    </row>
    <row r="453" ht="15" customHeight="1">
      <c r="A453" s="34"/>
      <c r="B453" s="26"/>
      <c r="C453" s="26"/>
      <c r="D453" s="27"/>
      <c r="E453" s="28"/>
      <c r="F453" s="28"/>
      <c r="G453" s="28"/>
      <c r="H453" s="28"/>
      <c r="I453" s="28"/>
      <c r="J453" s="26"/>
      <c r="K453" s="26"/>
      <c r="L453" s="28"/>
      <c r="M453" s="28"/>
      <c r="N453" s="26"/>
      <c r="O453" s="26"/>
      <c r="P453" s="26"/>
      <c r="Q453" s="28"/>
      <c r="R453" s="26"/>
      <c r="S453" s="30"/>
      <c r="T453" s="26"/>
      <c r="U453" s="33"/>
      <c r="V453" s="26"/>
    </row>
    <row r="454" ht="15" customHeight="1">
      <c r="A454" s="34"/>
      <c r="B454" s="26"/>
      <c r="C454" s="26"/>
      <c r="D454" s="27"/>
      <c r="E454" s="28"/>
      <c r="F454" s="28"/>
      <c r="G454" s="28"/>
      <c r="H454" s="28"/>
      <c r="I454" s="28"/>
      <c r="J454" s="26"/>
      <c r="K454" s="26"/>
      <c r="L454" s="28"/>
      <c r="M454" s="28"/>
      <c r="N454" s="26"/>
      <c r="O454" s="26"/>
      <c r="P454" s="26"/>
      <c r="Q454" s="28"/>
      <c r="R454" s="26"/>
      <c r="S454" s="30"/>
      <c r="T454" s="26"/>
      <c r="U454" s="33"/>
      <c r="V454" s="26"/>
    </row>
    <row r="455" ht="15" customHeight="1">
      <c r="A455" s="34"/>
      <c r="B455" s="26"/>
      <c r="C455" s="26"/>
      <c r="D455" s="27"/>
      <c r="E455" s="28"/>
      <c r="F455" s="28"/>
      <c r="G455" s="28"/>
      <c r="H455" s="28"/>
      <c r="I455" s="28"/>
      <c r="J455" s="26"/>
      <c r="K455" s="26"/>
      <c r="L455" s="28"/>
      <c r="M455" s="28"/>
      <c r="N455" s="26"/>
      <c r="O455" s="26"/>
      <c r="P455" s="26"/>
      <c r="Q455" s="28"/>
      <c r="R455" s="26"/>
      <c r="S455" s="30"/>
      <c r="T455" s="26"/>
      <c r="U455" s="33"/>
      <c r="V455" s="96"/>
    </row>
  </sheetData>
  <autoFilter ref="A2:V455"/>
  <mergeCells count="42">
    <mergeCell ref="P3:P8"/>
    <mergeCell ref="S3:S8"/>
    <mergeCell ref="P9:P12"/>
    <mergeCell ref="S9:S12"/>
    <mergeCell ref="P13:P16"/>
    <mergeCell ref="S13:S16"/>
    <mergeCell ref="P17:P20"/>
    <mergeCell ref="S17:S20"/>
    <mergeCell ref="P21:P28"/>
    <mergeCell ref="S21:S28"/>
    <mergeCell ref="P29:P32"/>
    <mergeCell ref="S29:S32"/>
    <mergeCell ref="P33:P35"/>
    <mergeCell ref="S33:S35"/>
    <mergeCell ref="P36:P46"/>
    <mergeCell ref="S36:S46"/>
    <mergeCell ref="P47:P51"/>
    <mergeCell ref="S47:S51"/>
    <mergeCell ref="P52:P63"/>
    <mergeCell ref="S52:S63"/>
    <mergeCell ref="P64:P66"/>
    <mergeCell ref="S64:S66"/>
    <mergeCell ref="P67:P69"/>
    <mergeCell ref="S67:S69"/>
    <mergeCell ref="P70:P71"/>
    <mergeCell ref="S70:S71"/>
    <mergeCell ref="P72:P73"/>
    <mergeCell ref="S72:S73"/>
    <mergeCell ref="P74:P75"/>
    <mergeCell ref="S74:S75"/>
    <mergeCell ref="P76:P79"/>
    <mergeCell ref="S76:S79"/>
    <mergeCell ref="P80:P82"/>
    <mergeCell ref="S80:S82"/>
    <mergeCell ref="P83:P85"/>
    <mergeCell ref="S83:S85"/>
    <mergeCell ref="P86:P89"/>
    <mergeCell ref="S86:S89"/>
    <mergeCell ref="P90:P91"/>
    <mergeCell ref="S90:S91"/>
    <mergeCell ref="P92:P95"/>
    <mergeCell ref="S92:S95"/>
  </mergeCells>
  <dataValidations count="3" disablePrompts="0">
    <dataValidation sqref="S285 S108 S3 S183 S292 S314 S245 S214 S303" type="list" allowBlank="1" errorStyle="stop" imeMode="noControl" operator="between" showDropDown="0" showErrorMessage="1" showInputMessage="1">
      <formula1>Глоссарий!$A$4:$A$6</formula1>
    </dataValidation>
    <dataValidation sqref="S452 S119:S120 S438 S444 S166 S449 S456:S1048576 S142 S347 S129 S406 S420 S399 S392 S162 S357 S361 S137 S427 S171 S147 S152 S413 S133 S385 S434 S378 S373 S126 S371 S157 S176 S179 S181 S276 S279 S282 S325 S330 S335 S340 S343" type="list" allowBlank="1" errorStyle="stop" imeMode="noControl" operator="between" showDropDown="0" showErrorMessage="1" showInputMessage="1">
      <formula1>Глоссарий!$A$2:$A$6</formula1>
    </dataValidation>
    <dataValidation sqref="S105 S96" type="list" allowBlank="1" errorStyle="stop" imeMode="noControl" operator="between" showDropDown="0" showErrorMessage="1" showInputMessage="1">
      <formula1>'C:\Users\Bogoslovskiy-NY\Documents\УВДО-3\[S2T_029_000001_20190525_v09.xlsx]Глоссарий'!#REF!</formula1>
    </dataValidation>
  </dataValidation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2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569" id="{00CF0059-00FE-46CA-8BC6-00F900A50013}">
            <xm:f>$B7&lt;&gt;#REF!</xm:f>
            <x14:dxf>
              <border>
                <left style="none"/>
                <right style="none"/>
                <top style="none"/>
                <bottom style="thin">
                  <color auto="1"/>
                </bottom>
                <diagonal style="none"/>
                <vertical style="none"/>
                <horizontal style="none"/>
              </border>
            </x14:dxf>
          </x14:cfRule>
          <xm:sqref>J7</xm:sqref>
        </x14:conditionalFormatting>
        <x14:conditionalFormatting xmlns:xm="http://schemas.microsoft.com/office/excel/2006/main">
          <x14:cfRule type="expression" priority="567" id="{00710095-003D-41B4-904D-00A200F80016}">
            <xm:f>$B8&lt;&gt;#REF!</xm:f>
            <x14:dxf>
              <border>
                <left style="none"/>
                <right style="none"/>
                <top style="none"/>
                <bottom style="thin">
                  <color auto="1"/>
                </bottom>
                <diagonal style="none"/>
                <vertical style="none"/>
                <horizontal style="none"/>
              </border>
            </x14:dxf>
          </x14:cfRule>
          <xm:sqref>J8</xm:sqref>
        </x14:conditionalFormatting>
        <x14:conditionalFormatting xmlns:xm="http://schemas.microsoft.com/office/excel/2006/main">
          <x14:cfRule type="expression" priority="387" id="{007900AE-0057-4AC5-8DCA-006D0060007D}">
            <xm:f>$B12&lt;&gt;#REF!</xm:f>
            <x14:dxf>
              <border>
                <left style="none"/>
                <right style="none"/>
                <top style="none"/>
                <bottom style="thin">
                  <color auto="1"/>
                </bottom>
                <diagonal style="none"/>
                <vertical style="none"/>
                <horizontal style="none"/>
              </border>
            </x14:dxf>
          </x14:cfRule>
          <xm:sqref>N12</xm:sqref>
        </x14:conditionalFormatting>
        <x14:conditionalFormatting xmlns:xm="http://schemas.microsoft.com/office/excel/2006/main">
          <x14:cfRule type="expression" priority="64" id="{0086002D-003C-4572-8592-007900390076}">
            <xm:f>$B16&lt;&gt;#REF!</xm:f>
            <x14:dxf>
              <border>
                <left style="none"/>
                <right style="none"/>
                <top style="none"/>
                <bottom style="thin">
                  <color auto="1"/>
                </bottom>
                <diagonal style="none"/>
                <vertical style="none"/>
                <horizontal style="none"/>
              </border>
            </x14:dxf>
          </x14:cfRule>
          <xm:sqref>J16</xm:sqref>
        </x14:conditionalFormatting>
        <x14:conditionalFormatting xmlns:xm="http://schemas.microsoft.com/office/excel/2006/main">
          <x14:cfRule type="expression" priority="63" id="{003B007A-0089-4125-85CC-0030002700E1}">
            <xm:f>$B15&lt;&gt;#REF!</xm:f>
            <x14:dxf>
              <border>
                <left style="none"/>
                <right style="none"/>
                <top style="none"/>
                <bottom style="thin">
                  <color auto="1"/>
                </bottom>
                <diagonal style="none"/>
                <vertical style="none"/>
                <horizontal style="none"/>
              </border>
            </x14:dxf>
          </x14:cfRule>
          <xm:sqref>D15</xm:sqref>
        </x14:conditionalFormatting>
        <x14:conditionalFormatting xmlns:xm="http://schemas.microsoft.com/office/excel/2006/main">
          <x14:cfRule type="expression" priority="62" id="{00D800A7-00E0-475A-B105-004B001D0081}">
            <xm:f>$B15&lt;&gt;$B16</xm:f>
            <x14:dxf>
              <border>
                <left style="none"/>
                <right style="none"/>
                <top style="none"/>
                <bottom style="thin">
                  <color auto="1"/>
                </bottom>
                <diagonal style="none"/>
                <vertical style="none"/>
                <horizontal style="none"/>
              </border>
            </x14:dxf>
          </x14:cfRule>
          <xm:sqref>J15</xm:sqref>
        </x14:conditionalFormatting>
        <x14:conditionalFormatting xmlns:xm="http://schemas.microsoft.com/office/excel/2006/main">
          <x14:cfRule type="expression" priority="39" id="{00E20080-00B2-4B6C-94A5-000300140041}">
            <xm:f>$B6&lt;&gt;$B7</xm:f>
            <x14:dxf>
              <border>
                <left style="none"/>
                <right style="none"/>
                <top style="none"/>
                <bottom style="thin">
                  <color auto="1"/>
                </bottom>
                <diagonal style="none"/>
                <vertical style="none"/>
                <horizontal style="none"/>
              </border>
            </x14:dxf>
          </x14:cfRule>
          <xm:sqref>N6</xm:sqref>
        </x14:conditionalFormatting>
        <x14:conditionalFormatting xmlns:xm="http://schemas.microsoft.com/office/excel/2006/main">
          <x14:cfRule type="expression" priority="34" id="{001600E3-00F6-4735-A646-00C900F900EB}">
            <xm:f>$B7&lt;&gt;$B8</xm:f>
            <x14:dxf>
              <border>
                <left style="none"/>
                <right style="none"/>
                <top style="none"/>
                <bottom style="thin">
                  <color auto="1"/>
                </bottom>
                <diagonal style="none"/>
                <vertical style="none"/>
                <horizontal style="none"/>
              </border>
            </x14:dxf>
          </x14:cfRule>
          <xm:sqref>N8:N10</xm:sqref>
        </x14:conditionalFormatting>
        <x14:conditionalFormatting xmlns:xm="http://schemas.microsoft.com/office/excel/2006/main">
          <x14:cfRule type="expression" priority="33" id="{001D007E-003C-4A9C-B93C-00C20013001D}">
            <xm:f>$B20&lt;&gt;$B21</xm:f>
            <x14:dxf>
              <border>
                <left style="none"/>
                <right style="none"/>
                <top style="none"/>
                <bottom style="thin">
                  <color auto="1"/>
                </bottom>
                <diagonal style="none"/>
                <vertical style="none"/>
                <horizontal style="none"/>
              </border>
            </x14:dxf>
          </x14:cfRule>
          <xm:sqref>N20</xm:sqref>
        </x14:conditionalFormatting>
        <x14:conditionalFormatting xmlns:xm="http://schemas.microsoft.com/office/excel/2006/main">
          <x14:cfRule type="expression" priority="32" id="{00EA008C-00FA-41A9-8356-005300C90059}">
            <xm:f>$B20&lt;&gt;$B21</xm:f>
            <x14:dxf>
              <border>
                <left style="none"/>
                <right style="none"/>
                <top style="none"/>
                <bottom style="thin">
                  <color auto="1"/>
                </bottom>
                <diagonal style="none"/>
                <vertical style="none"/>
                <horizontal style="none"/>
              </border>
            </x14:dxf>
          </x14:cfRule>
          <xm:sqref>N20</xm:sqref>
        </x14:conditionalFormatting>
        <x14:conditionalFormatting xmlns:xm="http://schemas.microsoft.com/office/excel/2006/main">
          <x14:cfRule type="expression" priority="31" id="{002C005D-0071-4341-8117-00F1008F000E}">
            <xm:f>$B26&lt;&gt;$B27</xm:f>
            <x14:dxf>
              <border>
                <left style="none"/>
                <right style="none"/>
                <top style="none"/>
                <bottom style="thin">
                  <color auto="1"/>
                </bottom>
                <diagonal style="none"/>
                <vertical style="none"/>
                <horizontal style="none"/>
              </border>
            </x14:dxf>
          </x14:cfRule>
          <xm:sqref>N26</xm:sqref>
        </x14:conditionalFormatting>
        <x14:conditionalFormatting xmlns:xm="http://schemas.microsoft.com/office/excel/2006/main">
          <x14:cfRule type="expression" priority="30" id="{003A00B5-006D-481C-87E4-008A0026006A}">
            <xm:f>$B26&lt;&gt;$B27</xm:f>
            <x14:dxf>
              <border>
                <left style="none"/>
                <right style="none"/>
                <top style="none"/>
                <bottom style="thin">
                  <color auto="1"/>
                </bottom>
                <diagonal style="none"/>
                <vertical style="none"/>
                <horizontal style="none"/>
              </border>
            </x14:dxf>
          </x14:cfRule>
          <xm:sqref>N26</xm:sqref>
        </x14:conditionalFormatting>
        <x14:conditionalFormatting xmlns:xm="http://schemas.microsoft.com/office/excel/2006/main">
          <x14:cfRule type="expression" priority="29" id="{000D003B-00FA-4FB4-8198-007C00770081}">
            <xm:f>$B28&lt;&gt;$B29</xm:f>
            <x14:dxf>
              <border>
                <left style="none"/>
                <right style="none"/>
                <top style="none"/>
                <bottom style="thin">
                  <color auto="1"/>
                </bottom>
                <diagonal style="none"/>
                <vertical style="none"/>
                <horizontal style="none"/>
              </border>
            </x14:dxf>
          </x14:cfRule>
          <xm:sqref>N28</xm:sqref>
        </x14:conditionalFormatting>
        <x14:conditionalFormatting xmlns:xm="http://schemas.microsoft.com/office/excel/2006/main">
          <x14:cfRule type="expression" priority="28" id="{00960057-004D-4F88-8010-00C1008E00C3}">
            <xm:f>$B28&lt;&gt;$B29</xm:f>
            <x14:dxf>
              <border>
                <left style="none"/>
                <right style="none"/>
                <top style="none"/>
                <bottom style="thin">
                  <color auto="1"/>
                </bottom>
                <diagonal style="none"/>
                <vertical style="none"/>
                <horizontal style="none"/>
              </border>
            </x14:dxf>
          </x14:cfRule>
          <xm:sqref>N28</xm:sqref>
        </x14:conditionalFormatting>
        <x14:conditionalFormatting xmlns:xm="http://schemas.microsoft.com/office/excel/2006/main">
          <x14:cfRule type="expression" priority="27" id="{0023004B-006E-45B9-9D28-0011004800DD}">
            <xm:f>$B20&lt;&gt;#REF!</xm:f>
            <x14:dxf>
              <border>
                <left style="none"/>
                <right style="none"/>
                <top style="none"/>
                <bottom style="thin">
                  <color auto="1"/>
                </bottom>
                <diagonal style="none"/>
                <vertical style="none"/>
                <horizontal style="none"/>
              </border>
            </x14:dxf>
          </x14:cfRule>
          <xm:sqref>J20</xm:sqref>
        </x14:conditionalFormatting>
        <x14:conditionalFormatting xmlns:xm="http://schemas.microsoft.com/office/excel/2006/main">
          <x14:cfRule type="expression" priority="25" id="{00C300EA-0078-4A42-B23F-00C200D50094}">
            <xm:f>$B32&lt;&gt;$B33</xm:f>
            <x14:dxf>
              <border>
                <left style="none"/>
                <right style="none"/>
                <top style="none"/>
                <bottom style="thin">
                  <color auto="1"/>
                </bottom>
                <diagonal style="none"/>
                <vertical style="none"/>
                <horizontal style="none"/>
              </border>
            </x14:dxf>
          </x14:cfRule>
          <xm:sqref>N32</xm:sqref>
        </x14:conditionalFormatting>
        <x14:conditionalFormatting xmlns:xm="http://schemas.microsoft.com/office/excel/2006/main">
          <x14:cfRule type="expression" priority="24" id="{002500B1-001C-4D61-942E-00E1006700EF}">
            <xm:f>$B32&lt;&gt;$B33</xm:f>
            <x14:dxf>
              <border>
                <left style="none"/>
                <right style="none"/>
                <top style="none"/>
                <bottom style="thin">
                  <color auto="1"/>
                </bottom>
                <diagonal style="none"/>
                <vertical style="none"/>
                <horizontal style="none"/>
              </border>
            </x14:dxf>
          </x14:cfRule>
          <xm:sqref>N32</xm:sqref>
        </x14:conditionalFormatting>
        <x14:conditionalFormatting xmlns:xm="http://schemas.microsoft.com/office/excel/2006/main">
          <x14:cfRule type="expression" priority="23" id="{009D00C8-00E9-4EC0-8AB6-0092007200AA}">
            <xm:f>$B32&lt;&gt;#REF!</xm:f>
            <x14:dxf>
              <border>
                <left style="none"/>
                <right style="none"/>
                <top style="none"/>
                <bottom style="thin">
                  <color auto="1"/>
                </bottom>
                <diagonal style="none"/>
                <vertical style="none"/>
                <horizontal style="none"/>
              </border>
            </x14:dxf>
          </x14:cfRule>
          <xm:sqref>J32</xm:sqref>
        </x14:conditionalFormatting>
        <x14:conditionalFormatting xmlns:xm="http://schemas.microsoft.com/office/excel/2006/main">
          <x14:cfRule type="expression" priority="21" id="{00DB000F-0006-4347-AE11-00BB00D90032}">
            <xm:f>$B37&lt;&gt;$B38</xm:f>
            <x14:dxf>
              <border>
                <left style="none"/>
                <right style="none"/>
                <top style="none"/>
                <bottom style="thin">
                  <color auto="1"/>
                </bottom>
                <diagonal style="none"/>
                <vertical style="none"/>
                <horizontal style="none"/>
              </border>
            </x14:dxf>
          </x14:cfRule>
          <xm:sqref>J37</xm:sqref>
        </x14:conditionalFormatting>
        <x14:conditionalFormatting xmlns:xm="http://schemas.microsoft.com/office/excel/2006/main">
          <x14:cfRule type="expression" priority="8" id="{003900E1-0076-4049-BDCA-008C00D100DB}">
            <xm:f>$B40&lt;&gt;$B41</xm:f>
            <x14:dxf>
              <border>
                <left style="none"/>
                <right style="none"/>
                <top style="none"/>
                <bottom style="thin">
                  <color auto="1"/>
                </bottom>
                <diagonal style="none"/>
                <vertical style="none"/>
                <horizontal style="none"/>
              </border>
            </x14:dxf>
          </x14:cfRule>
          <xm:sqref>K40</xm:sqref>
        </x14:conditionalFormatting>
        <x14:conditionalFormatting xmlns:xm="http://schemas.microsoft.com/office/excel/2006/main">
          <x14:cfRule type="expression" priority="2" id="{00880064-008D-49DE-8CC6-00DC00C200DD}">
            <xm:f>$B6&lt;&gt;$B8</xm:f>
            <x14:dxf>
              <border>
                <left style="none"/>
                <right style="none"/>
                <top style="none"/>
                <bottom style="thin">
                  <color auto="1"/>
                </bottom>
                <diagonal style="none"/>
                <vertical style="none"/>
                <horizontal style="none"/>
              </border>
            </x14:dxf>
          </x14:cfRule>
          <xm:sqref>J6</xm:sqref>
        </x14:conditionalFormatting>
        <x14:conditionalFormatting xmlns:xm="http://schemas.microsoft.com/office/excel/2006/main">
          <x14:cfRule type="expression" priority="1" id="{0011005D-0083-42DF-99EC-00BA00F60000}">
            <xm:f>$B3&lt;&gt;$B4</xm:f>
            <x14:dxf>
              <border>
                <left style="none"/>
                <right style="none"/>
                <top style="none"/>
                <bottom style="thin">
                  <color auto="1"/>
                </bottom>
                <diagonal style="none"/>
                <vertical style="none"/>
                <horizontal style="none"/>
              </border>
            </x14:dxf>
          </x14:cfRule>
          <xm:sqref>J3:J5</xm:sqref>
        </x14:conditionalFormatting>
      </x14:conditionalFormattings>
    </ext>
    <ext xmlns:x14="http://schemas.microsoft.com/office/spreadsheetml/2009/9/main" uri="{CCE6A557-97BC-4b89-ADB6-D9C93CAAB3DF}">
      <x14:dataValidations xmlns:xm="http://schemas.microsoft.com/office/excel/2006/main" count="2" disablePrompts="0">
        <x14:dataValidation xr:uid="{00FA007F-000C-4B1F-A87E-00FD0018005C}" type="list" allowBlank="1" errorStyle="stop" imeMode="noControl" operator="between" showDropDown="0" showErrorMessage="1" showInputMessage="1">
          <x14:formula1>
            <xm:f>LOV_hist_role</xm:f>
          </x14:formula1>
          <xm:sqref>R63246:R128780 IJ63245:IJ128779 SF63245:SF128779 ACB63245:ACB128779 ALX63245:ALX128779 AVT63245:AVT128779 BFP63245:BFP128779 BPL63245:BPL128779 BZH63245:BZH128779 CJD63245:CJD128779 CSZ63245:CSZ128779 DCV63245:DCV128779 DMR63245:DMR128779 DWN63245:DWN128779 EGJ63245:EGJ128779 EQF63245:EQF128779 FAB63245:FAB128779 FJX63245:FJX128779 FTT63245:FTT128779 GDP63245:GDP128779 GNL63245:GNL128779 GXH63245:GXH128779 HHD63245:HHD128779 HQZ63245:HQZ128779 IAV63245:IAV128779 IKR63245:IKR128779 IUN63245:IUN128779 JEJ63245:JEJ128779 JOF63245:JOF128779 JYB63245:JYB128779 KHX63245:KHX128779 KRT63245:KRT128779 LBP63245:LBP128779 LLL63245:LLL128779 LVH63245:LVH128779 MFD63245:MFD128779 MOZ63245:MOZ128779 MYV63245:MYV128779 NIR63245:NIR128779 NSN63245:NSN128779 OCJ63245:OCJ128779 OMF63245:OMF128779 OWB63245:OWB128779 PFX63245:PFX128779 PPT63245:PPT128779 PZP63245:PZP128779 QJL63245:QJL128779 QTH63245:QTH128779 RDD63245:RDD128779 RMZ63245:RMZ128779 RWV63245:RWV128779 SGR63245:SGR128779 SQN63245:SQN128779 TAJ63245:TAJ128779 TKF63245:TKF128779 TUB63245:TUB128779 UDX63245:UDX128779 UNT63245:UNT128779 UXP63245:UXP128779 VHL63245:VHL128779 VRH63245:VRH128779 WBD63245:WBD128779 WKZ63245:WKZ128779 WUV63245:WUV128779 R980750:R1048576 IJ128781:IJ194315 SF128781:SF194315 ACB128781:ACB194315 ALX128781:ALX194315 AVT128781:AVT194315 BFP128781:BFP194315 BPL128781:BPL194315 BZH128781:BZH194315 CJD128781:CJD194315 CSZ128781:CSZ194315 DCV128781:DCV194315 DMR128781:DMR194315 DWN128781:DWN194315 EGJ128781:EGJ194315 EQF128781:EQF194315 FAB128781:FAB194315 FJX128781:FJX194315 FTT128781:FTT194315 GDP128781:GDP194315 GNL128781:GNL194315 GXH128781:GXH194315 HHD128781:HHD194315 HQZ128781:HQZ194315 IAV128781:IAV194315 IKR128781:IKR194315 IUN128781:IUN194315 JEJ128781:JEJ194315 JOF128781:JOF194315 JYB128781:JYB194315 KHX128781:KHX194315 KRT128781:KRT194315 LBP128781:LBP194315 LLL128781:LLL194315 LVH128781:LVH194315 MFD128781:MFD194315 MOZ128781:MOZ194315 MYV128781:MYV194315 NIR128781:NIR194315 NSN128781:NSN194315 OCJ128781:OCJ194315 OMF128781:OMF194315 OWB128781:OWB194315 PFX128781:PFX194315 PPT128781:PPT194315 PZP128781:PZP194315 QJL128781:QJL194315 QTH128781:QTH194315 RDD128781:RDD194315 RMZ128781:RMZ194315 RWV128781:RWV194315 SGR128781:SGR194315 SQN128781:SQN194315 TAJ128781:TAJ194315 TKF128781:TKF194315 TUB128781:TUB194315 UDX128781:UDX194315 UNT128781:UNT194315 UXP128781:UXP194315 VHL128781:VHL194315 VRH128781:VRH194315 WBD128781:WBD194315 WKZ128781:WKZ194315 WUV128781:WUV194315 R915214:R980748 IJ194317:IJ259851 SF194317:SF259851 ACB194317:ACB259851 ALX194317:ALX259851 AVT194317:AVT259851 BFP194317:BFP259851 BPL194317:BPL259851 BZH194317:BZH259851 CJD194317:CJD259851 CSZ194317:CSZ259851 DCV194317:DCV259851 DMR194317:DMR259851 DWN194317:DWN259851 EGJ194317:EGJ259851 EQF194317:EQF259851 FAB194317:FAB259851 FJX194317:FJX259851 FTT194317:FTT259851 GDP194317:GDP259851 GNL194317:GNL259851 GXH194317:GXH259851 HHD194317:HHD259851 HQZ194317:HQZ259851 IAV194317:IAV259851 IKR194317:IKR259851 IUN194317:IUN259851 JEJ194317:JEJ259851 JOF194317:JOF259851 JYB194317:JYB259851 KHX194317:KHX259851 KRT194317:KRT259851 LBP194317:LBP259851 LLL194317:LLL259851 LVH194317:LVH259851 MFD194317:MFD259851 MOZ194317:MOZ259851 MYV194317:MYV259851 NIR194317:NIR259851 NSN194317:NSN259851 OCJ194317:OCJ259851 OMF194317:OMF259851 OWB194317:OWB259851 PFX194317:PFX259851 PPT194317:PPT259851 PZP194317:PZP259851 QJL194317:QJL259851 QTH194317:QTH259851 RDD194317:RDD259851 RMZ194317:RMZ259851 RWV194317:RWV259851 SGR194317:SGR259851 SQN194317:SQN259851 TAJ194317:TAJ259851 TKF194317:TKF259851 TUB194317:TUB259851 UDX194317:UDX259851 UNT194317:UNT259851 UXP194317:UXP259851 VHL194317:VHL259851 VRH194317:VRH259851 WBD194317:WBD259851 WKZ194317:WKZ259851 WUV194317:WUV259851 R849678:R915212 IJ259853:IJ325387 SF259853:SF325387 ACB259853:ACB325387 ALX259853:ALX325387 AVT259853:AVT325387 BFP259853:BFP325387 BPL259853:BPL325387 BZH259853:BZH325387 CJD259853:CJD325387 CSZ259853:CSZ325387 DCV259853:DCV325387 DMR259853:DMR325387 DWN259853:DWN325387 EGJ259853:EGJ325387 EQF259853:EQF325387 FAB259853:FAB325387 FJX259853:FJX325387 FTT259853:FTT325387 GDP259853:GDP325387 GNL259853:GNL325387 GXH259853:GXH325387 HHD259853:HHD325387 HQZ259853:HQZ325387 IAV259853:IAV325387 IKR259853:IKR325387 IUN259853:IUN325387 JEJ259853:JEJ325387 JOF259853:JOF325387 JYB259853:JYB325387 KHX259853:KHX325387 KRT259853:KRT325387 LBP259853:LBP325387 LLL259853:LLL325387 LVH259853:LVH325387 MFD259853:MFD325387 MOZ259853:MOZ325387 MYV259853:MYV325387 NIR259853:NIR325387 NSN259853:NSN325387 OCJ259853:OCJ325387 OMF259853:OMF325387 OWB259853:OWB325387 PFX259853:PFX325387 PPT259853:PPT325387 PZP259853:PZP325387 QJL259853:QJL325387 QTH259853:QTH325387 RDD259853:RDD325387 RMZ259853:RMZ325387 RWV259853:RWV325387 SGR259853:SGR325387 SQN259853:SQN325387 TAJ259853:TAJ325387 TKF259853:TKF325387 TUB259853:TUB325387 UDX259853:UDX325387 UNT259853:UNT325387 UXP259853:UXP325387 VHL259853:VHL325387 VRH259853:VRH325387 WBD259853:WBD325387 WKZ259853:WKZ325387 WUV259853:WUV325387 R784142:R849676 IJ325389:IJ390923 SF325389:SF390923 ACB325389:ACB390923 ALX325389:ALX390923 AVT325389:AVT390923 BFP325389:BFP390923 BPL325389:BPL390923 BZH325389:BZH390923 CJD325389:CJD390923 CSZ325389:CSZ390923 DCV325389:DCV390923 DMR325389:DMR390923 DWN325389:DWN390923 EGJ325389:EGJ390923 EQF325389:EQF390923 FAB325389:FAB390923 FJX325389:FJX390923 FTT325389:FTT390923 GDP325389:GDP390923 GNL325389:GNL390923 GXH325389:GXH390923 HHD325389:HHD390923 HQZ325389:HQZ390923 IAV325389:IAV390923 IKR325389:IKR390923 IUN325389:IUN390923 JEJ325389:JEJ390923 JOF325389:JOF390923 JYB325389:JYB390923 KHX325389:KHX390923 KRT325389:KRT390923 LBP325389:LBP390923 LLL325389:LLL390923 LVH325389:LVH390923 MFD325389:MFD390923 MOZ325389:MOZ390923 MYV325389:MYV390923 NIR325389:NIR390923 NSN325389:NSN390923 OCJ325389:OCJ390923 OMF325389:OMF390923 OWB325389:OWB390923 PFX325389:PFX390923 PPT325389:PPT390923 PZP325389:PZP390923 QJL325389:QJL390923 QTH325389:QTH390923 RDD325389:RDD390923 RMZ325389:RMZ390923 RWV325389:RWV390923 SGR325389:SGR390923 SQN325389:SQN390923 TAJ325389:TAJ390923 TKF325389:TKF390923 TUB325389:TUB390923 UDX325389:UDX390923 UNT325389:UNT390923 UXP325389:UXP390923 VHL325389:VHL390923 VRH325389:VRH390923 WBD325389:WBD390923 WKZ325389:WKZ390923 WUV325389:WUV390923 R718606:R784140 IJ390925:IJ456459 SF390925:SF456459 ACB390925:ACB456459 ALX390925:ALX456459 AVT390925:AVT456459 BFP390925:BFP456459 BPL390925:BPL456459 BZH390925:BZH456459 CJD390925:CJD456459 CSZ390925:CSZ456459 DCV390925:DCV456459 DMR390925:DMR456459 DWN390925:DWN456459 EGJ390925:EGJ456459 EQF390925:EQF456459 FAB390925:FAB456459 FJX390925:FJX456459 FTT390925:FTT456459 GDP390925:GDP456459 GNL390925:GNL456459 GXH390925:GXH456459 HHD390925:HHD456459 HQZ390925:HQZ456459 IAV390925:IAV456459 IKR390925:IKR456459 IUN390925:IUN456459 JEJ390925:JEJ456459 JOF390925:JOF456459 JYB390925:JYB456459 KHX390925:KHX456459 KRT390925:KRT456459 LBP390925:LBP456459 LLL390925:LLL456459 LVH390925:LVH456459 MFD390925:MFD456459 MOZ390925:MOZ456459 MYV390925:MYV456459 NIR390925:NIR456459 NSN390925:NSN456459 OCJ390925:OCJ456459 OMF390925:OMF456459 OWB390925:OWB456459 PFX390925:PFX456459 PPT390925:PPT456459 PZP390925:PZP456459 QJL390925:QJL456459 QTH390925:QTH456459 RDD390925:RDD456459 RMZ390925:RMZ456459 RWV390925:RWV456459 SGR390925:SGR456459 SQN390925:SQN456459 TAJ390925:TAJ456459 TKF390925:TKF456459 TUB390925:TUB456459 UDX390925:UDX456459 UNT390925:UNT456459 UXP390925:UXP456459 VHL390925:VHL456459 VRH390925:VRH456459 WBD390925:WBD456459 WKZ390925:WKZ456459 WUV390925:WUV456459 R653070:R718604 IJ456461:IJ521995 SF456461:SF521995 ACB456461:ACB521995 ALX456461:ALX521995 AVT456461:AVT521995 BFP456461:BFP521995 BPL456461:BPL521995 BZH456461:BZH521995 CJD456461:CJD521995 CSZ456461:CSZ521995 DCV456461:DCV521995 DMR456461:DMR521995 DWN456461:DWN521995 EGJ456461:EGJ521995 EQF456461:EQF521995 FAB456461:FAB521995 FJX456461:FJX521995 FTT456461:FTT521995 GDP456461:GDP521995 GNL456461:GNL521995 GXH456461:GXH521995 HHD456461:HHD521995 HQZ456461:HQZ521995 IAV456461:IAV521995 IKR456461:IKR521995 IUN456461:IUN521995 JEJ456461:JEJ521995 JOF456461:JOF521995 JYB456461:JYB521995 KHX456461:KHX521995 KRT456461:KRT521995 LBP456461:LBP521995 LLL456461:LLL521995 LVH456461:LVH521995 MFD456461:MFD521995 MOZ456461:MOZ521995 MYV456461:MYV521995 NIR456461:NIR521995 NSN456461:NSN521995 OCJ456461:OCJ521995 OMF456461:OMF521995 OWB456461:OWB521995 PFX456461:PFX521995 PPT456461:PPT521995 PZP456461:PZP521995 QJL456461:QJL521995 QTH456461:QTH521995 RDD456461:RDD521995 RMZ456461:RMZ521995 RWV456461:RWV521995 SGR456461:SGR521995 SQN456461:SQN521995 TAJ456461:TAJ521995 TKF456461:TKF521995 TUB456461:TUB521995 UDX456461:UDX521995 UNT456461:UNT521995 UXP456461:UXP521995 VHL456461:VHL521995 VRH456461:VRH521995 WBD456461:WBD521995 WKZ456461:WKZ521995 WUV456461:WUV521995 R587534:R653068 IJ521997:IJ587531 SF521997:SF587531 ACB521997:ACB587531 ALX521997:ALX587531 AVT521997:AVT587531 BFP521997:BFP587531 BPL521997:BPL587531 BZH521997:BZH587531 CJD521997:CJD587531 CSZ521997:CSZ587531 DCV521997:DCV587531 DMR521997:DMR587531 DWN521997:DWN587531 EGJ521997:EGJ587531 EQF521997:EQF587531 FAB521997:FAB587531 FJX521997:FJX587531 FTT521997:FTT587531 GDP521997:GDP587531 GNL521997:GNL587531 GXH521997:GXH587531 HHD521997:HHD587531 HQZ521997:HQZ587531 IAV521997:IAV587531 IKR521997:IKR587531 IUN521997:IUN587531 JEJ521997:JEJ587531 JOF521997:JOF587531 JYB521997:JYB587531 KHX521997:KHX587531 KRT521997:KRT587531 LBP521997:LBP587531 LLL521997:LLL587531 LVH521997:LVH587531 MFD521997:MFD587531 MOZ521997:MOZ587531 MYV521997:MYV587531 NIR521997:NIR587531 NSN521997:NSN587531 OCJ521997:OCJ587531 OMF521997:OMF587531 OWB521997:OWB587531 PFX521997:PFX587531 PPT521997:PPT587531 PZP521997:PZP587531 QJL521997:QJL587531 QTH521997:QTH587531 RDD521997:RDD587531 RMZ521997:RMZ587531 RWV521997:RWV587531 SGR521997:SGR587531 SQN521997:SQN587531 TAJ521997:TAJ587531 TKF521997:TKF587531 TUB521997:TUB587531 UDX521997:UDX587531 UNT521997:UNT587531 UXP521997:UXP587531 VHL521997:VHL587531 VRH521997:VRH587531 WBD521997:WBD587531 WKZ521997:WKZ587531 WUV521997:WUV587531 R521998:R587532 IJ587533:IJ653067 SF587533:SF653067 ACB587533:ACB653067 ALX587533:ALX653067 AVT587533:AVT653067 BFP587533:BFP653067 BPL587533:BPL653067 BZH587533:BZH653067 CJD587533:CJD653067 CSZ587533:CSZ653067 DCV587533:DCV653067 DMR587533:DMR653067 DWN587533:DWN653067 EGJ587533:EGJ653067 EQF587533:EQF653067 FAB587533:FAB653067 FJX587533:FJX653067 FTT587533:FTT653067 GDP587533:GDP653067 GNL587533:GNL653067 GXH587533:GXH653067 HHD587533:HHD653067 HQZ587533:HQZ653067 IAV587533:IAV653067 IKR587533:IKR653067 IUN587533:IUN653067 JEJ587533:JEJ653067 JOF587533:JOF653067 JYB587533:JYB653067 KHX587533:KHX653067 KRT587533:KRT653067 LBP587533:LBP653067 LLL587533:LLL653067 LVH587533:LVH653067 MFD587533:MFD653067 MOZ587533:MOZ653067 MYV587533:MYV653067 NIR587533:NIR653067 NSN587533:NSN653067 OCJ587533:OCJ653067 OMF587533:OMF653067 OWB587533:OWB653067 PFX587533:PFX653067 PPT587533:PPT653067 PZP587533:PZP653067 QJL587533:QJL653067 QTH587533:QTH653067 RDD587533:RDD653067 RMZ587533:RMZ653067 RWV587533:RWV653067 SGR587533:SGR653067 SQN587533:SQN653067 TAJ587533:TAJ653067 TKF587533:TKF653067 TUB587533:TUB653067 UDX587533:UDX653067 UNT587533:UNT653067 UXP587533:UXP653067 VHL587533:VHL653067 VRH587533:VRH653067 WBD587533:WBD653067 WKZ587533:WKZ653067 WUV587533:WUV653067 R456462:R521996 IJ653069:IJ718603 SF653069:SF718603 ACB653069:ACB718603 ALX653069:ALX718603 AVT653069:AVT718603 BFP653069:BFP718603 BPL653069:BPL718603 BZH653069:BZH718603 CJD653069:CJD718603 CSZ653069:CSZ718603 DCV653069:DCV718603 DMR653069:DMR718603 DWN653069:DWN718603 EGJ653069:EGJ718603 EQF653069:EQF718603 FAB653069:FAB718603 FJX653069:FJX718603 FTT653069:FTT718603 GDP653069:GDP718603 GNL653069:GNL718603 GXH653069:GXH718603 HHD653069:HHD718603 HQZ653069:HQZ718603 IAV653069:IAV718603 IKR653069:IKR718603 IUN653069:IUN718603 JEJ653069:JEJ718603 JOF653069:JOF718603 JYB653069:JYB718603 KHX653069:KHX718603 KRT653069:KRT718603 LBP653069:LBP718603 LLL653069:LLL718603 LVH653069:LVH718603 MFD653069:MFD718603 MOZ653069:MOZ718603 MYV653069:MYV718603 NIR653069:NIR718603 NSN653069:NSN718603 OCJ653069:OCJ718603 OMF653069:OMF718603 OWB653069:OWB718603 PFX653069:PFX718603 PPT653069:PPT718603 PZP653069:PZP718603 QJL653069:QJL718603 QTH653069:QTH718603 RDD653069:RDD718603 RMZ653069:RMZ718603 RWV653069:RWV718603 SGR653069:SGR718603 SQN653069:SQN718603 TAJ653069:TAJ718603 TKF653069:TKF718603 TUB653069:TUB718603 UDX653069:UDX718603 UNT653069:UNT718603 UXP653069:UXP718603 VHL653069:VHL718603 VRH653069:VRH718603 WBD653069:WBD718603 WKZ653069:WKZ718603 WUV653069:WUV718603 R390926:R456460 IJ718605:IJ784139 SF718605:SF784139 ACB718605:ACB784139 ALX718605:ALX784139 AVT718605:AVT784139 BFP718605:BFP784139 BPL718605:BPL784139 BZH718605:BZH784139 CJD718605:CJD784139 CSZ718605:CSZ784139 DCV718605:DCV784139 DMR718605:DMR784139 DWN718605:DWN784139 EGJ718605:EGJ784139 EQF718605:EQF784139 FAB718605:FAB784139 FJX718605:FJX784139 FTT718605:FTT784139 GDP718605:GDP784139 GNL718605:GNL784139 GXH718605:GXH784139 HHD718605:HHD784139 HQZ718605:HQZ784139 IAV718605:IAV784139 IKR718605:IKR784139 IUN718605:IUN784139 JEJ718605:JEJ784139 JOF718605:JOF784139 JYB718605:JYB784139 KHX718605:KHX784139 KRT718605:KRT784139 LBP718605:LBP784139 LLL718605:LLL784139 LVH718605:LVH784139 MFD718605:MFD784139 MOZ718605:MOZ784139 MYV718605:MYV784139 NIR718605:NIR784139 NSN718605:NSN784139 OCJ718605:OCJ784139 OMF718605:OMF784139 OWB718605:OWB784139 PFX718605:PFX784139 PPT718605:PPT784139 PZP718605:PZP784139 QJL718605:QJL784139 QTH718605:QTH784139 RDD718605:RDD784139 RMZ718605:RMZ784139 RWV718605:RWV784139 SGR718605:SGR784139 SQN718605:SQN784139 TAJ718605:TAJ784139 TKF718605:TKF784139 TUB718605:TUB784139 UDX718605:UDX784139 UNT718605:UNT784139 UXP718605:UXP784139 VHL718605:VHL784139 VRH718605:VRH784139 WBD718605:WBD784139 WKZ718605:WKZ784139 WUV718605:WUV784139 R325390:R390924 IJ784141:IJ849675 SF784141:SF849675 ACB784141:ACB849675 ALX784141:ALX849675 AVT784141:AVT849675 BFP784141:BFP849675 BPL784141:BPL849675 BZH784141:BZH849675 CJD784141:CJD849675 CSZ784141:CSZ849675 DCV784141:DCV849675 DMR784141:DMR849675 DWN784141:DWN849675 EGJ784141:EGJ849675 EQF784141:EQF849675 FAB784141:FAB849675 FJX784141:FJX849675 FTT784141:FTT849675 GDP784141:GDP849675 GNL784141:GNL849675 GXH784141:GXH849675 HHD784141:HHD849675 HQZ784141:HQZ849675 IAV784141:IAV849675 IKR784141:IKR849675 IUN784141:IUN849675 JEJ784141:JEJ849675 JOF784141:JOF849675 JYB784141:JYB849675 KHX784141:KHX849675 KRT784141:KRT849675 LBP784141:LBP849675 LLL784141:LLL849675 LVH784141:LVH849675 MFD784141:MFD849675 MOZ784141:MOZ849675 MYV784141:MYV849675 NIR784141:NIR849675 NSN784141:NSN849675 OCJ784141:OCJ849675 OMF784141:OMF849675 OWB784141:OWB849675 PFX784141:PFX849675 PPT784141:PPT849675 PZP784141:PZP849675 QJL784141:QJL849675 QTH784141:QTH849675 RDD784141:RDD849675 RMZ784141:RMZ849675 RWV784141:RWV849675 SGR784141:SGR849675 SQN784141:SQN849675 TAJ784141:TAJ849675 TKF784141:TKF849675 TUB784141:TUB849675 UDX784141:UDX849675 UNT784141:UNT849675 UXP784141:UXP849675 VHL784141:VHL849675 VRH784141:VRH849675 WBD784141:WBD849675 WKZ784141:WKZ849675 WUV784141:WUV849675 R259854:R325388 IJ849677:IJ915211 SF849677:SF915211 ACB849677:ACB915211 ALX849677:ALX915211 AVT849677:AVT915211 BFP849677:BFP915211 BPL849677:BPL915211 BZH849677:BZH915211 CJD849677:CJD915211 CSZ849677:CSZ915211 DCV849677:DCV915211 DMR849677:DMR915211 DWN849677:DWN915211 EGJ849677:EGJ915211 EQF849677:EQF915211 FAB849677:FAB915211 FJX849677:FJX915211 FTT849677:FTT915211 GDP849677:GDP915211 GNL849677:GNL915211 GXH849677:GXH915211 HHD849677:HHD915211 HQZ849677:HQZ915211 IAV849677:IAV915211 IKR849677:IKR915211 IUN849677:IUN915211 JEJ849677:JEJ915211 JOF849677:JOF915211 JYB849677:JYB915211 KHX849677:KHX915211 KRT849677:KRT915211 LBP849677:LBP915211 LLL849677:LLL915211 LVH849677:LVH915211 MFD849677:MFD915211 MOZ849677:MOZ915211 MYV849677:MYV915211 NIR849677:NIR915211 NSN849677:NSN915211 OCJ849677:OCJ915211 OMF849677:OMF915211 OWB849677:OWB915211 PFX849677:PFX915211 PPT849677:PPT915211 PZP849677:PZP915211 QJL849677:QJL915211 QTH849677:QTH915211 RDD849677:RDD915211 RMZ849677:RMZ915211 RWV849677:RWV915211 SGR849677:SGR915211 SQN849677:SQN915211 TAJ849677:TAJ915211 TKF849677:TKF915211 TUB849677:TUB915211 UDX849677:UDX915211 UNT849677:UNT915211 UXP849677:UXP915211 VHL849677:VHL915211 VRH849677:VRH915211 WBD849677:WBD915211 WKZ849677:WKZ915211 WUV849677:WUV915211 R194318:R259852 IJ915213:IJ980747 SF915213:SF980747 ACB915213:ACB980747 ALX915213:ALX980747 AVT915213:AVT980747 BFP915213:BFP980747 BPL915213:BPL980747 BZH915213:BZH980747 CJD915213:CJD980747 CSZ915213:CSZ980747 DCV915213:DCV980747 DMR915213:DMR980747 DWN915213:DWN980747 EGJ915213:EGJ980747 EQF915213:EQF980747 FAB915213:FAB980747 FJX915213:FJX980747 FTT915213:FTT980747 GDP915213:GDP980747 GNL915213:GNL980747 GXH915213:GXH980747 HHD915213:HHD980747 HQZ915213:HQZ980747 IAV915213:IAV980747 IKR915213:IKR980747 IUN915213:IUN980747 JEJ915213:JEJ980747 JOF915213:JOF980747 JYB915213:JYB980747 KHX915213:KHX980747 KRT915213:KRT980747 LBP915213:LBP980747 LLL915213:LLL980747 LVH915213:LVH980747 MFD915213:MFD980747 MOZ915213:MOZ980747 MYV915213:MYV980747 NIR915213:NIR980747 NSN915213:NSN980747 OCJ915213:OCJ980747 OMF915213:OMF980747 OWB915213:OWB980747 PFX915213:PFX980747 PPT915213:PPT980747 PZP915213:PZP980747 QJL915213:QJL980747 QTH915213:QTH980747 RDD915213:RDD980747 RMZ915213:RMZ980747 RWV915213:RWV980747 SGR915213:SGR980747 SQN915213:SQN980747 TAJ915213:TAJ980747 TKF915213:TKF980747 TUB915213:TUB980747 UDX915213:UDX980747 UNT915213:UNT980747 UXP915213:UXP980747 VHL915213:VHL980747 VRH915213:VRH980747 WBD915213:WBD980747 WKZ915213:WKZ980747 WUV915213:WUV980747 R128782:R194316 IJ980749:IJ1048576 SF980749:SF1048576 ACB980749:ACB1048576 ALX980749:ALX1048576 AVT980749:AVT1048576 BFP980749:BFP1048576 BPL980749:BPL1048576 BZH980749:BZH1048576 CJD980749:CJD1048576 CSZ980749:CSZ1048576 DCV980749:DCV1048576 DMR980749:DMR1048576 DWN980749:DWN1048576 EGJ980749:EGJ1048576 EQF980749:EQF1048576 FAB980749:FAB1048576 FJX980749:FJX1048576 FTT980749:FTT1048576 GDP980749:GDP1048576 GNL980749:GNL1048576 GXH980749:GXH1048576 HHD980749:HHD1048576 HQZ980749:HQZ1048576 IAV980749:IAV1048576 IKR980749:IKR1048576 IUN980749:IUN1048576 JEJ980749:JEJ1048576 JOF980749:JOF1048576 JYB980749:JYB1048576 KHX980749:KHX1048576 KRT980749:KRT1048576 LBP980749:LBP1048576 LLL980749:LLL1048576 LVH980749:LVH1048576 MFD980749:MFD1048576 MOZ980749:MOZ1048576 MYV980749:MYV1048576 NIR980749:NIR1048576 NSN980749:NSN1048576 OCJ980749:OCJ1048576 OMF980749:OMF1048576 OWB980749:OWB1048576 PFX980749:PFX1048576 PPT980749:PPT1048576 PZP980749:PZP1048576 QJL980749:QJL1048576 QTH980749:QTH1048576 RDD980749:RDD1048576 RMZ980749:RMZ1048576 RWV980749:RWV1048576 SGR980749:SGR1048576 SQN980749:SQN1048576 TAJ980749:TAJ1048576 TKF980749:TKF1048576 TUB980749:TUB1048576 UDX980749:UDX1048576 UNT980749:UNT1048576 UXP980749:UXP1048576 VHL980749:VHL1048576 VRH980749:VRH1048576 WBD980749:WBD1048576 WKZ980749:WKZ1048576 WUV980749:WUV1048576 R456:R63244 R96:R107 BPL2:BPL63243 BFP2:BFP63243 AVT2:AVT63243 PZP2:PZP63243 VHL2:VHL63243 QJL2:QJL63243 PPT2:PPT63243 ALX2:ALX63243 PFX2:PFX63243 VRH2:VRH63243 OWB2:OWB63243 UXP2:UXP63243 OMF2:OMF63243 IJ2:IJ63243 OCJ2:OCJ63243 NSN2:NSN63243 UNT2:UNT63243 NIR2:NIR63243 WUV2:WUV63243 MYV2:MYV63243 MOZ2:MOZ63243 UDX2:UDX63243 MFD2:MFD63243 LVH2:LVH63243 LLL2:LLL63243 TUB2:TUB63243 LBP2:LBP63243 SF2:SF63243 KRT2:KRT63243 KHX2:KHX63243 TKF2:TKF63243 JYB2:JYB63243 WKZ2:WKZ63243 JOF2:JOF63243 JEJ2:JEJ63243 TAJ2:TAJ63243 IUN2:IUN63243 IKR2:IKR63243 IAV2:IAV63243 SQN2:SQN63243 HQZ2:HQZ63243 HHD2:HHD63243 GXH2:GXH63243 SGR2:SGR63243 GNL2:GNL63243 WBD2:WBD63243 GDP2:GDP63243 FTT2:FTT63243 RWV2:RWV63243 FJX2:FJX63243 ACB2:ACB63243 FAB2:FAB63243 EQF2:EQF63243 RMZ2:RMZ63243 EGJ2:EGJ63243 DWN2:DWN63243 DMR2:DMR63243 RDD2:RDD63243 DCV2:DCV63243 CSZ2:CSZ63243 CJD2:CJD63243 QTH2:QTH63243 BZH2:BZH63243</xm:sqref>
        </x14:dataValidation>
        <x14:dataValidation xr:uid="{005F0060-00FA-4782-8096-0018000B00DD}" type="list" allowBlank="1" errorStyle="stop" imeMode="noControl" operator="between" showDropDown="0" showErrorMessage="1" showInputMessage="1">
          <x14:formula1>
            <xm:f>"Ключ,Начало,Конец,-"</xm:f>
          </x14:formula1>
          <xm:sqref>R108:R455 R3:R95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topLeftCell="A1" zoomScale="130" workbookViewId="0">
      <pane ySplit="2" topLeftCell="A3" activePane="bottomLeft" state="frozen"/>
      <selection activeCell="C15" activeCellId="0" sqref="C15"/>
    </sheetView>
  </sheetViews>
  <sheetFormatPr defaultColWidth="20.28515625" defaultRowHeight="15" customHeight="1" outlineLevelCol="1"/>
  <cols>
    <col customWidth="1" min="1" max="1" style="97" width="5.85546875"/>
    <col customWidth="1" min="2" max="2" style="98" width="31.140625"/>
    <col customWidth="1" min="3" max="3" style="98" width="31"/>
    <col customWidth="1" min="4" max="4" style="98" width="11"/>
    <col customWidth="1" min="5" max="5" style="98" width="8.140625"/>
    <col customWidth="1" min="6" max="6" style="97" width="8.42578125"/>
    <col customWidth="1" min="7" max="7" style="97" width="36.7109375"/>
    <col customWidth="1" min="8" max="8" style="97" width="15.42578125"/>
    <col customWidth="1" hidden="1" min="9" max="9" outlineLevel="1" style="97" width="32.42578125"/>
    <col customWidth="1" hidden="1" min="10" max="10" outlineLevel="1" style="97" width="24.7109375"/>
    <col collapsed="1" customWidth="1" min="11" max="11" style="97" width="32.7109375"/>
    <col min="12" max="16384" style="97" width="20.28515625"/>
  </cols>
  <sheetData>
    <row r="1" ht="15" customHeight="1">
      <c r="D1" s="99">
        <f>COLUMN()</f>
        <v>4</v>
      </c>
      <c r="E1" s="99">
        <f>COLUMN()</f>
        <v>5</v>
      </c>
      <c r="F1" s="99">
        <f>COLUMN()</f>
        <v>6</v>
      </c>
      <c r="G1" s="99">
        <f>COLUMN()</f>
        <v>7</v>
      </c>
      <c r="I1" s="100" t="s">
        <v>54</v>
      </c>
      <c r="J1" s="101"/>
      <c r="K1" s="102"/>
    </row>
    <row r="2" s="103" customFormat="1" ht="30" customHeight="1">
      <c r="A2" s="104" t="s">
        <v>55</v>
      </c>
      <c r="B2" s="104" t="s">
        <v>56</v>
      </c>
      <c r="C2" s="104" t="s">
        <v>57</v>
      </c>
      <c r="D2" s="104" t="s">
        <v>58</v>
      </c>
      <c r="E2" s="104" t="s">
        <v>59</v>
      </c>
      <c r="F2" s="104" t="s">
        <v>15</v>
      </c>
      <c r="G2" s="104" t="s">
        <v>60</v>
      </c>
      <c r="H2" s="105" t="s">
        <v>61</v>
      </c>
      <c r="I2" s="104" t="s">
        <v>55</v>
      </c>
      <c r="J2" s="104" t="s">
        <v>58</v>
      </c>
      <c r="K2" s="104" t="s">
        <v>62</v>
      </c>
    </row>
    <row r="3" s="106" customFormat="1" ht="15" customHeight="1">
      <c r="A3" s="107" t="str">
        <f>source_columns[[#This Row],[Название таблицы STAGE]]&amp;source_columns[[#This Row],[Название поля]]</f>
        <v>b3143140010001_docdataObjectID</v>
      </c>
      <c r="B3" s="107" t="s">
        <v>31</v>
      </c>
      <c r="C3" s="107" t="s">
        <v>38</v>
      </c>
      <c r="D3" s="107" t="s">
        <v>43</v>
      </c>
      <c r="E3" s="107" t="s">
        <v>63</v>
      </c>
      <c r="F3" s="107" t="s">
        <v>64</v>
      </c>
      <c r="G3" s="107" t="s">
        <v>65</v>
      </c>
      <c r="H3" s="107" t="s">
        <v>66</v>
      </c>
      <c r="I3" s="107"/>
      <c r="J3" s="107"/>
      <c r="K3" s="108" t="str">
        <f>IF(I3="","",IF(ISNA(VLOOKUP(I3,$A$3:$D$111,4,FALSE)),"Ошибка. Seek не найден",IF(VLOOKUP(I3,$A$3:$D$111,4,FALSE)=J3,"ОК","Ошибка. Тип данных в S2T: "&amp;VLOOKUP(I3,$A$3:$D$111,4,FALSE))))</f>
        <v/>
      </c>
    </row>
    <row r="4" ht="15" customHeight="1">
      <c r="A4" s="107" t="str">
        <f>source_columns[[#This Row],[Название таблицы STAGE]]&amp;source_columns[[#This Row],[Название поля]]</f>
        <v>b3143140010001_docdataObjectID_uid</v>
      </c>
      <c r="B4" s="107" t="s">
        <v>31</v>
      </c>
      <c r="C4" s="107" t="s">
        <v>32</v>
      </c>
      <c r="D4" s="107" t="s">
        <v>46</v>
      </c>
      <c r="E4" s="107" t="s">
        <v>67</v>
      </c>
      <c r="F4" s="107" t="s">
        <v>68</v>
      </c>
      <c r="G4" s="107" t="s">
        <v>65</v>
      </c>
      <c r="H4" s="107"/>
      <c r="I4" s="107"/>
      <c r="J4" s="107"/>
      <c r="K4" s="108" t="str">
        <f>IF(I4="","",IF(ISNA(VLOOKUP(I4,$A$3:$D$111,4,FALSE)),"Ошибка. Seek не найден",IF(VLOOKUP(I4,$A$3:$D$111,4,FALSE)=J4,"ОК","Ошибка. Тип данных в S2T: "&amp;VLOOKUP(I4,$A$3:$D$111,4,FALSE))))</f>
        <v/>
      </c>
    </row>
    <row r="5" ht="15" customHeight="1">
      <c r="A5" s="107" t="str">
        <f>source_columns[[#This Row],[Название таблицы STAGE]]&amp;source_columns[[#This Row],[Название поля]]</f>
        <v>b3143140010001_docdatacctransactionid</v>
      </c>
      <c r="B5" s="107" t="s">
        <v>31</v>
      </c>
      <c r="C5" s="92" t="s">
        <v>69</v>
      </c>
      <c r="D5" s="107" t="s">
        <v>43</v>
      </c>
      <c r="E5" s="107" t="s">
        <v>67</v>
      </c>
      <c r="F5" s="107" t="s">
        <v>68</v>
      </c>
      <c r="G5" s="107" t="s">
        <v>70</v>
      </c>
      <c r="H5" s="107"/>
      <c r="I5" s="107"/>
      <c r="J5" s="107"/>
      <c r="K5" s="108" t="str">
        <f>IF(I5="","",IF(ISNA(VLOOKUP(I5,$A$3:$D$111,4,FALSE)),"Ошибка. Seek не найден",IF(VLOOKUP(I5,$A$3:$D$111,4,FALSE)=J5,"ОК","Ошибка. Тип данных в S2T: "&amp;VLOOKUP(I5,$A$3:$D$111,4,FALSE))))</f>
        <v/>
      </c>
    </row>
    <row r="6" ht="15" customHeight="1">
      <c r="A6" s="107" t="str">
        <f>source_columns[[#This Row],[Название таблицы STAGE]]&amp;source_columns[[#This Row],[Название поля]]</f>
        <v>b3143140010001_docdatacctransactionid_uid</v>
      </c>
      <c r="B6" s="107" t="s">
        <v>31</v>
      </c>
      <c r="C6" s="92" t="s">
        <v>47</v>
      </c>
      <c r="D6" s="107" t="s">
        <v>46</v>
      </c>
      <c r="E6" s="107" t="s">
        <v>67</v>
      </c>
      <c r="F6" s="107" t="s">
        <v>68</v>
      </c>
      <c r="G6" s="107" t="s">
        <v>70</v>
      </c>
      <c r="H6" s="107"/>
      <c r="I6" s="107"/>
      <c r="J6" s="107"/>
      <c r="K6" s="108" t="str">
        <f>IF(I6="","",IF(ISNA(VLOOKUP(I6,$A$3:$D$111,4,FALSE)),"Ошибка. Seek не найден",IF(VLOOKUP(I6,$A$3:$D$111,4,FALSE)=J6,"ОК","Ошибка. Тип данных в S2T: "&amp;VLOOKUP(I6,$A$3:$D$111,4,FALSE))))</f>
        <v/>
      </c>
    </row>
    <row r="7" ht="15" customHeight="1">
      <c r="A7" s="107" t="str">
        <f>source_columns[[#This Row],[Название таблицы STAGE]]&amp;source_columns[[#This Row],[Название поля]]</f>
        <v>b3143140010001_docdataccexternalid</v>
      </c>
      <c r="B7" s="107" t="s">
        <v>31</v>
      </c>
      <c r="C7" s="92" t="s">
        <v>44</v>
      </c>
      <c r="D7" s="107" t="s">
        <v>43</v>
      </c>
      <c r="E7" s="107" t="s">
        <v>67</v>
      </c>
      <c r="F7" s="107" t="s">
        <v>68</v>
      </c>
      <c r="G7" s="107" t="s">
        <v>71</v>
      </c>
      <c r="H7" s="107"/>
      <c r="I7" s="107"/>
      <c r="J7" s="107"/>
      <c r="K7" s="108" t="str">
        <f>IF(I7="","",IF(ISNA(VLOOKUP(I7,$A$3:$D$111,4,FALSE)),"Ошибка. Seek не найден",IF(VLOOKUP(I7,$A$3:$D$111,4,FALSE)=J7,"ОК","Ошибка. Тип данных в S2T: "&amp;VLOOKUP(I7,$A$3:$D$111,4,FALSE))))</f>
        <v/>
      </c>
    </row>
    <row r="8" ht="15" customHeight="1">
      <c r="A8" s="107" t="str">
        <f>source_columns[[#This Row],[Название таблицы STAGE]]&amp;source_columns[[#This Row],[Название поля]]</f>
        <v>b3143140010001_docdataccdoctypecode</v>
      </c>
      <c r="B8" s="107" t="s">
        <v>31</v>
      </c>
      <c r="C8" s="92" t="s">
        <v>53</v>
      </c>
      <c r="D8" s="107" t="s">
        <v>43</v>
      </c>
      <c r="E8" s="107" t="s">
        <v>67</v>
      </c>
      <c r="F8" s="107" t="s">
        <v>68</v>
      </c>
      <c r="G8" s="107" t="s">
        <v>72</v>
      </c>
      <c r="H8" s="107"/>
      <c r="I8" s="107"/>
      <c r="J8" s="107"/>
      <c r="K8" s="108" t="str">
        <f>IF(I8="","",IF(ISNA(VLOOKUP(I8,$A$3:$D$111,4,FALSE)),"Ошибка. Seek не найден",IF(VLOOKUP(I8,$A$3:$D$111,4,FALSE)=J8,"ОК","Ошибка. Тип данных в S2T: "&amp;VLOOKUP(I8,$A$3:$D$111,4,FALSE))))</f>
        <v/>
      </c>
    </row>
    <row r="9" ht="15" customHeight="1">
      <c r="A9" s="107" t="str">
        <f>source_columns[[#This Row],[Название таблицы STAGE]]&amp;source_columns[[#This Row],[Название поля]]</f>
        <v>b3143140010001_docdataccdoctypecode_uid</v>
      </c>
      <c r="B9" s="107" t="s">
        <v>31</v>
      </c>
      <c r="C9" s="92" t="s">
        <v>49</v>
      </c>
      <c r="D9" s="107" t="s">
        <v>46</v>
      </c>
      <c r="E9" s="107" t="s">
        <v>67</v>
      </c>
      <c r="F9" s="107" t="s">
        <v>68</v>
      </c>
      <c r="G9" s="107" t="s">
        <v>72</v>
      </c>
      <c r="H9" s="107"/>
      <c r="I9" s="107"/>
      <c r="J9" s="107"/>
      <c r="K9" s="108" t="str">
        <f>IF(I9="","",IF(ISNA(VLOOKUP(I9,$A$3:$D$111,4,FALSE)),"Ошибка. Seek не найден",IF(VLOOKUP(I9,$A$3:$D$111,4,FALSE)=J9,"ОК","Ошибка. Тип данных в S2T: "&amp;VLOOKUP(I9,$A$3:$D$111,4,FALSE))))</f>
        <v/>
      </c>
    </row>
    <row r="10" ht="15" customHeight="1">
      <c r="A10" s="107" t="str">
        <f>source_columns[[#This Row],[Название таблицы STAGE]]&amp;source_columns[[#This Row],[Название поля]]</f>
        <v>b3143140010001_docdataccreceiptdate</v>
      </c>
      <c r="B10" s="107" t="s">
        <v>31</v>
      </c>
      <c r="C10" s="109" t="s">
        <v>41</v>
      </c>
      <c r="D10" s="107" t="s">
        <v>73</v>
      </c>
      <c r="E10" s="107" t="s">
        <v>67</v>
      </c>
      <c r="F10" s="107" t="s">
        <v>68</v>
      </c>
      <c r="G10" s="107" t="s">
        <v>74</v>
      </c>
      <c r="H10" s="107"/>
      <c r="I10" s="107"/>
      <c r="J10" s="107"/>
      <c r="K10" s="108"/>
    </row>
    <row r="11" ht="15" customHeight="1">
      <c r="A11" s="107"/>
      <c r="B11" s="107"/>
      <c r="C11" s="107"/>
      <c r="D11" s="107"/>
      <c r="E11" s="107"/>
      <c r="F11" s="107"/>
      <c r="G11" s="107"/>
      <c r="H11" s="107"/>
      <c r="I11" s="107"/>
      <c r="J11" s="107"/>
      <c r="K11" s="108"/>
    </row>
    <row r="12" ht="15" customHeight="1">
      <c r="A12" s="107"/>
      <c r="B12" s="107"/>
      <c r="C12" s="107"/>
      <c r="D12" s="107"/>
      <c r="E12" s="107"/>
      <c r="F12" s="107"/>
      <c r="G12" s="107"/>
      <c r="H12" s="107"/>
      <c r="I12" s="107"/>
      <c r="J12" s="107"/>
      <c r="K12" s="107"/>
    </row>
    <row r="13" ht="15" customHeight="1">
      <c r="A13" s="107"/>
      <c r="B13" s="107"/>
      <c r="C13" s="107"/>
      <c r="D13" s="107"/>
      <c r="E13" s="107"/>
      <c r="F13" s="107"/>
      <c r="G13" s="107"/>
      <c r="H13" s="107"/>
      <c r="I13" s="107"/>
      <c r="J13" s="107"/>
      <c r="K13" s="108"/>
    </row>
    <row r="14" ht="15" customHeight="1">
      <c r="A14" s="107"/>
      <c r="B14" s="107"/>
      <c r="C14" s="107"/>
      <c r="D14" s="107"/>
      <c r="E14" s="107"/>
      <c r="F14" s="107"/>
      <c r="G14" s="107"/>
      <c r="H14" s="107"/>
      <c r="I14" s="107"/>
      <c r="J14" s="107"/>
      <c r="K14" s="107"/>
    </row>
    <row r="15" ht="15" customHeight="1">
      <c r="A15" s="107"/>
      <c r="B15" s="107"/>
      <c r="C15" s="107"/>
      <c r="D15" s="107"/>
      <c r="E15" s="107"/>
      <c r="F15" s="107"/>
      <c r="G15" s="107"/>
      <c r="H15" s="107"/>
      <c r="I15" s="107"/>
      <c r="J15" s="107"/>
      <c r="K15" s="107"/>
    </row>
    <row r="16" ht="15" customHeight="1">
      <c r="A16" s="107"/>
      <c r="B16" s="107"/>
      <c r="C16" s="107"/>
      <c r="D16" s="107"/>
      <c r="E16" s="107"/>
      <c r="F16" s="107"/>
      <c r="G16" s="107"/>
      <c r="H16" s="107"/>
      <c r="I16" s="107"/>
      <c r="J16" s="107"/>
      <c r="K16" s="108"/>
    </row>
    <row r="17" ht="15" customHeight="1">
      <c r="A17" s="107"/>
      <c r="B17" s="107"/>
      <c r="C17" s="107"/>
      <c r="D17" s="107"/>
      <c r="E17" s="107"/>
      <c r="F17" s="107"/>
      <c r="G17" s="107"/>
      <c r="H17" s="107"/>
      <c r="I17" s="107"/>
      <c r="J17" s="107"/>
      <c r="K17" s="108"/>
    </row>
    <row r="18" ht="15" customHeight="1">
      <c r="A18" s="107"/>
      <c r="B18" s="107"/>
      <c r="C18" s="107"/>
      <c r="D18" s="107"/>
      <c r="E18" s="107"/>
      <c r="F18" s="107"/>
      <c r="G18" s="107"/>
      <c r="H18" s="107"/>
      <c r="I18" s="107"/>
      <c r="J18" s="107"/>
      <c r="K18" s="108"/>
    </row>
    <row r="19" ht="15" customHeight="1">
      <c r="A19" s="107"/>
      <c r="B19" s="107"/>
      <c r="C19" s="107"/>
      <c r="D19" s="107"/>
      <c r="E19" s="107"/>
      <c r="F19" s="107"/>
      <c r="G19" s="107"/>
      <c r="H19" s="107"/>
      <c r="I19" s="107"/>
      <c r="J19" s="107"/>
      <c r="K19" s="108"/>
    </row>
    <row r="20" ht="15" customHeight="1">
      <c r="A20" s="107"/>
      <c r="B20" s="107"/>
      <c r="C20" s="107"/>
      <c r="D20" s="107"/>
      <c r="E20" s="107"/>
      <c r="F20" s="107"/>
      <c r="G20" s="107"/>
      <c r="H20" s="107"/>
      <c r="I20" s="107"/>
      <c r="J20" s="107"/>
      <c r="K20" s="108"/>
    </row>
    <row r="21" ht="15" customHeight="1">
      <c r="A21" s="107"/>
      <c r="B21" s="107"/>
      <c r="C21" s="107"/>
      <c r="D21" s="107"/>
      <c r="E21" s="107"/>
      <c r="F21" s="107"/>
      <c r="G21" s="107"/>
      <c r="H21" s="107"/>
      <c r="I21" s="107"/>
      <c r="J21" s="107"/>
      <c r="K21" s="108"/>
    </row>
    <row r="22" ht="15" customHeight="1">
      <c r="A22" s="107"/>
      <c r="B22" s="107"/>
      <c r="C22" s="110"/>
      <c r="D22" s="107"/>
      <c r="E22" s="107"/>
      <c r="F22" s="107"/>
      <c r="G22" s="107"/>
      <c r="H22" s="107"/>
      <c r="I22" s="107"/>
      <c r="J22" s="107"/>
      <c r="K22" s="108"/>
    </row>
    <row r="23" ht="15" customHeight="1">
      <c r="A23" s="107"/>
      <c r="B23" s="107"/>
      <c r="C23" s="110"/>
      <c r="D23" s="107"/>
      <c r="E23" s="107"/>
      <c r="F23" s="107"/>
      <c r="G23" s="107"/>
      <c r="H23" s="107"/>
      <c r="I23" s="107"/>
      <c r="J23" s="107"/>
      <c r="K23" s="108"/>
    </row>
    <row r="24" ht="15" customHeight="1">
      <c r="A24" s="107"/>
      <c r="B24" s="107"/>
      <c r="C24" s="107"/>
      <c r="D24" s="107"/>
      <c r="E24" s="107"/>
      <c r="F24" s="107"/>
      <c r="G24" s="107"/>
      <c r="H24" s="107"/>
      <c r="I24" s="107"/>
      <c r="J24" s="107"/>
      <c r="K24" s="108"/>
    </row>
    <row r="25" ht="15" customHeight="1">
      <c r="A25" s="107"/>
      <c r="B25" s="107"/>
      <c r="C25" s="107"/>
      <c r="D25" s="107"/>
      <c r="E25" s="107"/>
      <c r="F25" s="107"/>
      <c r="G25" s="107"/>
      <c r="H25" s="107"/>
      <c r="I25" s="107"/>
      <c r="J25" s="107"/>
      <c r="K25" s="108"/>
    </row>
    <row r="26" ht="15" customHeight="1">
      <c r="A26" s="107"/>
      <c r="B26" s="107"/>
      <c r="C26" s="107"/>
      <c r="D26" s="107"/>
      <c r="E26" s="107"/>
      <c r="F26" s="107"/>
      <c r="G26" s="107"/>
      <c r="H26" s="107"/>
      <c r="I26" s="107"/>
      <c r="J26" s="107"/>
      <c r="K26" s="108"/>
    </row>
    <row r="27" ht="15" customHeight="1">
      <c r="A27" s="107"/>
      <c r="B27" s="107"/>
      <c r="C27" s="107"/>
      <c r="D27" s="107"/>
      <c r="E27" s="107"/>
      <c r="F27" s="107"/>
      <c r="G27" s="107"/>
      <c r="H27" s="107"/>
      <c r="I27" s="107"/>
      <c r="J27" s="107"/>
      <c r="K27" s="107"/>
    </row>
    <row r="28" ht="15" customHeight="1">
      <c r="A28" s="107"/>
      <c r="B28" s="107"/>
      <c r="C28" s="107"/>
      <c r="D28" s="107"/>
      <c r="E28" s="107"/>
      <c r="F28" s="107"/>
      <c r="G28" s="107"/>
      <c r="H28" s="107"/>
      <c r="I28" s="107"/>
      <c r="J28" s="107"/>
      <c r="K28" s="107"/>
    </row>
    <row r="29" ht="15" customHeight="1">
      <c r="A29" s="107"/>
      <c r="B29" s="107"/>
      <c r="C29" s="107"/>
      <c r="D29" s="107"/>
      <c r="E29" s="107"/>
      <c r="F29" s="107"/>
      <c r="G29" s="107"/>
      <c r="H29" s="107"/>
      <c r="I29" s="107"/>
      <c r="J29" s="107"/>
      <c r="K29" s="108"/>
    </row>
    <row r="30" ht="15" customHeight="1">
      <c r="A30" s="107"/>
      <c r="B30" s="107"/>
      <c r="C30" s="107"/>
      <c r="D30" s="107"/>
      <c r="E30" s="107"/>
      <c r="F30" s="107"/>
      <c r="G30" s="107"/>
      <c r="H30" s="107"/>
      <c r="I30" s="107"/>
      <c r="J30" s="107"/>
      <c r="K30" s="108"/>
    </row>
    <row r="31" ht="15" customHeight="1">
      <c r="A31" s="107"/>
      <c r="B31" s="107"/>
      <c r="C31" s="107"/>
      <c r="D31" s="107"/>
      <c r="E31" s="107"/>
      <c r="F31" s="107"/>
      <c r="G31" s="107"/>
      <c r="H31" s="107"/>
      <c r="I31" s="107"/>
      <c r="J31" s="107"/>
      <c r="K31" s="108"/>
    </row>
    <row r="32" ht="15" customHeight="1">
      <c r="A32" s="107"/>
      <c r="B32" s="107"/>
      <c r="C32" s="107"/>
      <c r="D32" s="107"/>
      <c r="E32" s="107"/>
      <c r="F32" s="107"/>
      <c r="G32" s="107"/>
      <c r="H32" s="107"/>
      <c r="I32" s="107"/>
      <c r="J32" s="107"/>
      <c r="K32" s="108"/>
    </row>
    <row r="33" ht="15" customHeight="1">
      <c r="A33" s="107"/>
      <c r="B33" s="107"/>
      <c r="C33" s="107"/>
      <c r="D33" s="107"/>
      <c r="E33" s="107"/>
      <c r="F33" s="107"/>
      <c r="G33" s="107"/>
      <c r="H33" s="107"/>
      <c r="I33" s="107"/>
      <c r="J33" s="107"/>
      <c r="K33" s="108"/>
    </row>
    <row r="34" ht="15" customHeight="1">
      <c r="A34" s="107"/>
      <c r="B34" s="107"/>
      <c r="C34" s="107"/>
      <c r="D34" s="107"/>
      <c r="E34" s="107"/>
      <c r="F34" s="107"/>
      <c r="G34" s="107"/>
      <c r="H34" s="107"/>
      <c r="I34" s="107"/>
      <c r="J34" s="107"/>
      <c r="K34" s="108"/>
    </row>
    <row r="35" ht="15" customHeight="1">
      <c r="A35" s="107"/>
      <c r="B35" s="107"/>
      <c r="C35" s="107"/>
      <c r="D35" s="107"/>
      <c r="E35" s="107"/>
      <c r="F35" s="107"/>
      <c r="G35" s="107"/>
      <c r="H35" s="107"/>
      <c r="I35" s="107"/>
      <c r="J35" s="107"/>
      <c r="K35" s="108"/>
    </row>
    <row r="36" ht="15" customHeight="1">
      <c r="A36" s="107"/>
      <c r="B36" s="107"/>
      <c r="C36" s="107"/>
      <c r="D36" s="107"/>
      <c r="E36" s="107"/>
      <c r="F36" s="107"/>
      <c r="G36" s="107"/>
      <c r="H36" s="107"/>
      <c r="I36" s="107"/>
      <c r="J36" s="107"/>
      <c r="K36" s="108"/>
    </row>
    <row r="37" ht="15" customHeight="1">
      <c r="A37" s="107"/>
      <c r="B37" s="107"/>
      <c r="C37" s="107"/>
      <c r="D37" s="107"/>
      <c r="E37" s="107"/>
      <c r="F37" s="107"/>
      <c r="G37" s="107"/>
      <c r="H37" s="107"/>
      <c r="I37" s="107"/>
      <c r="J37" s="107"/>
      <c r="K37" s="108"/>
    </row>
    <row r="38" ht="15" customHeight="1">
      <c r="A38" s="107"/>
      <c r="B38" s="107"/>
      <c r="C38" s="107"/>
      <c r="D38" s="107"/>
      <c r="E38" s="107"/>
      <c r="F38" s="107"/>
      <c r="G38" s="107"/>
      <c r="H38" s="107"/>
      <c r="I38" s="107"/>
      <c r="J38" s="107"/>
      <c r="K38" s="107"/>
    </row>
    <row r="39" ht="15" customHeight="1">
      <c r="A39" s="107"/>
      <c r="B39" s="107"/>
      <c r="C39" s="107"/>
      <c r="D39" s="107"/>
      <c r="E39" s="107"/>
      <c r="F39" s="107"/>
      <c r="G39" s="107"/>
      <c r="H39" s="107"/>
      <c r="I39" s="107"/>
      <c r="J39" s="107"/>
      <c r="K39" s="107"/>
    </row>
    <row r="40" ht="15" customHeight="1">
      <c r="A40" s="107"/>
      <c r="B40" s="107"/>
      <c r="C40" s="107"/>
      <c r="D40" s="107"/>
      <c r="E40" s="107"/>
      <c r="F40" s="107"/>
      <c r="G40" s="107"/>
      <c r="H40" s="107"/>
      <c r="I40" s="107"/>
      <c r="J40" s="107"/>
      <c r="K40" s="107"/>
    </row>
    <row r="41" s="97" customFormat="1" ht="15" customHeight="1">
      <c r="A41" s="107"/>
      <c r="B41" s="107"/>
      <c r="C41" s="107"/>
      <c r="D41" s="107"/>
      <c r="E41" s="107"/>
      <c r="F41" s="107"/>
      <c r="G41" s="107"/>
      <c r="H41" s="107"/>
      <c r="I41" s="107"/>
      <c r="J41" s="107"/>
      <c r="K41" s="108"/>
    </row>
    <row r="42" s="97" customFormat="1" ht="15" customHeight="1">
      <c r="A42" s="107"/>
      <c r="B42" s="107"/>
      <c r="C42" s="107"/>
      <c r="D42" s="107"/>
      <c r="E42" s="107"/>
      <c r="F42" s="107"/>
      <c r="G42" s="107"/>
      <c r="H42" s="107"/>
      <c r="I42" s="107"/>
      <c r="J42" s="107"/>
      <c r="K42" s="108"/>
    </row>
    <row r="43" s="97" customFormat="1" ht="15" customHeight="1">
      <c r="A43" s="107"/>
      <c r="B43" s="107"/>
      <c r="C43" s="107"/>
      <c r="D43" s="107"/>
      <c r="E43" s="107"/>
      <c r="F43" s="107"/>
      <c r="G43" s="107"/>
      <c r="H43" s="107"/>
      <c r="I43" s="107"/>
      <c r="J43" s="107"/>
      <c r="K43" s="108"/>
    </row>
    <row r="44" s="97" customFormat="1" ht="15" customHeight="1">
      <c r="A44" s="107"/>
      <c r="B44" s="107"/>
      <c r="C44" s="107"/>
      <c r="D44" s="107"/>
      <c r="E44" s="107"/>
      <c r="F44" s="107"/>
      <c r="G44" s="107"/>
      <c r="H44" s="107"/>
      <c r="I44" s="107"/>
      <c r="J44" s="107"/>
      <c r="K44" s="108"/>
    </row>
    <row r="45" s="97" customFormat="1" ht="15" customHeight="1">
      <c r="A45" s="107"/>
      <c r="B45" s="107"/>
      <c r="C45" s="107"/>
      <c r="D45" s="107"/>
      <c r="E45" s="107"/>
      <c r="F45" s="107"/>
      <c r="G45" s="107"/>
      <c r="H45" s="107"/>
      <c r="I45" s="107"/>
      <c r="J45" s="107"/>
      <c r="K45" s="108"/>
    </row>
    <row r="46" s="97" customFormat="1" ht="15" customHeight="1">
      <c r="A46" s="107"/>
      <c r="B46" s="107"/>
      <c r="C46" s="107"/>
      <c r="D46" s="107"/>
      <c r="E46" s="107"/>
      <c r="F46" s="107"/>
      <c r="G46" s="107"/>
      <c r="H46" s="107"/>
      <c r="I46" s="107"/>
      <c r="J46" s="107"/>
      <c r="K46" s="108"/>
    </row>
    <row r="47" s="97" customFormat="1" ht="15" customHeight="1">
      <c r="A47" s="107"/>
      <c r="B47" s="107"/>
      <c r="C47" s="107"/>
      <c r="D47" s="107"/>
      <c r="E47" s="107"/>
      <c r="F47" s="107"/>
      <c r="G47" s="107"/>
      <c r="H47" s="107"/>
      <c r="I47" s="107"/>
      <c r="J47" s="107"/>
      <c r="K47" s="108"/>
    </row>
    <row r="48" s="97" customFormat="1" ht="15" customHeight="1">
      <c r="A48" s="107"/>
      <c r="B48" s="107"/>
      <c r="C48" s="107"/>
      <c r="D48" s="107"/>
      <c r="E48" s="107"/>
      <c r="F48" s="107"/>
      <c r="G48" s="107"/>
      <c r="H48" s="107"/>
      <c r="I48" s="107"/>
      <c r="J48" s="107"/>
      <c r="K48" s="108"/>
    </row>
    <row r="49" s="97" customFormat="1" ht="15" customHeight="1">
      <c r="A49" s="107"/>
      <c r="B49" s="107"/>
      <c r="C49" s="107"/>
      <c r="D49" s="107"/>
      <c r="E49" s="107"/>
      <c r="F49" s="107"/>
      <c r="G49" s="107"/>
      <c r="H49" s="107"/>
      <c r="I49" s="107"/>
      <c r="J49" s="107"/>
      <c r="K49" s="108"/>
    </row>
    <row r="50" s="97" customFormat="1" ht="15" customHeight="1">
      <c r="A50" s="107"/>
      <c r="B50" s="107"/>
      <c r="C50" s="107"/>
      <c r="D50" s="107"/>
      <c r="E50" s="107"/>
      <c r="F50" s="107"/>
      <c r="G50" s="107"/>
      <c r="H50" s="107"/>
      <c r="I50" s="107"/>
      <c r="J50" s="107"/>
      <c r="K50" s="107"/>
    </row>
    <row r="51" s="97" customFormat="1" ht="15" customHeight="1">
      <c r="A51" s="107"/>
      <c r="B51" s="107"/>
      <c r="C51" s="107"/>
      <c r="D51" s="107"/>
      <c r="E51" s="107"/>
      <c r="F51" s="107"/>
      <c r="G51" s="107"/>
      <c r="H51" s="107"/>
      <c r="I51" s="107"/>
      <c r="J51" s="107"/>
      <c r="K51" s="107"/>
    </row>
    <row r="52" s="97" customFormat="1" ht="15" customHeight="1">
      <c r="A52" s="107"/>
      <c r="B52" s="107"/>
      <c r="C52" s="107"/>
      <c r="D52" s="107"/>
      <c r="E52" s="107"/>
      <c r="F52" s="107"/>
      <c r="G52" s="107"/>
      <c r="H52" s="107"/>
      <c r="I52" s="107"/>
      <c r="J52" s="107"/>
      <c r="K52" s="107"/>
    </row>
    <row r="53" s="97" customFormat="1" ht="15" customHeight="1">
      <c r="A53" s="107"/>
      <c r="B53" s="107"/>
      <c r="C53" s="107"/>
      <c r="D53" s="107"/>
      <c r="E53" s="107"/>
      <c r="F53" s="107"/>
      <c r="G53" s="107"/>
      <c r="H53" s="107"/>
      <c r="I53" s="107"/>
      <c r="J53" s="107"/>
      <c r="K53" s="107"/>
    </row>
    <row r="54" s="97" customFormat="1" ht="15" customHeight="1">
      <c r="A54" s="107"/>
      <c r="B54" s="107"/>
      <c r="C54" s="107"/>
      <c r="D54" s="107"/>
      <c r="E54" s="107"/>
      <c r="F54" s="107"/>
      <c r="G54" s="107"/>
      <c r="H54" s="107"/>
      <c r="I54" s="107"/>
      <c r="J54" s="107"/>
      <c r="K54" s="107"/>
    </row>
    <row r="55" s="97" customFormat="1" ht="15" customHeight="1">
      <c r="A55" s="107"/>
      <c r="B55" s="107"/>
      <c r="C55" s="107"/>
      <c r="D55" s="107"/>
      <c r="E55" s="107"/>
      <c r="F55" s="107"/>
      <c r="G55" s="107"/>
      <c r="H55" s="107"/>
      <c r="I55" s="107"/>
      <c r="J55" s="107"/>
      <c r="K55" s="108"/>
    </row>
    <row r="56" ht="15" customHeight="1">
      <c r="A56" s="107"/>
      <c r="B56" s="107"/>
      <c r="C56" s="107"/>
      <c r="D56" s="107"/>
      <c r="E56" s="107"/>
      <c r="F56" s="107"/>
      <c r="G56" s="107"/>
      <c r="H56" s="107"/>
    </row>
    <row r="57" ht="15" customHeight="1">
      <c r="A57" s="107"/>
      <c r="B57" s="107"/>
      <c r="C57" s="107"/>
      <c r="D57" s="107"/>
      <c r="E57" s="107"/>
      <c r="F57" s="107"/>
      <c r="G57" s="107"/>
      <c r="H57" s="107"/>
    </row>
    <row r="58" ht="15" customHeight="1">
      <c r="A58" s="107"/>
      <c r="B58" s="107"/>
      <c r="C58" s="107"/>
      <c r="D58" s="107"/>
      <c r="E58" s="107"/>
      <c r="F58" s="107"/>
      <c r="G58" s="107"/>
      <c r="H58" s="107"/>
    </row>
    <row r="59" ht="15" customHeight="1">
      <c r="A59" s="107"/>
      <c r="B59" s="107"/>
      <c r="C59" s="107"/>
      <c r="D59" s="107"/>
      <c r="E59" s="107"/>
      <c r="F59" s="107"/>
      <c r="G59" s="107"/>
      <c r="H59" s="107"/>
    </row>
    <row r="60" ht="15" customHeight="1">
      <c r="A60" s="107"/>
      <c r="B60" s="107"/>
      <c r="C60" s="107"/>
      <c r="D60" s="107"/>
      <c r="E60" s="107"/>
      <c r="F60" s="107"/>
      <c r="G60" s="107"/>
      <c r="H60" s="107"/>
    </row>
    <row r="61" ht="15" customHeight="1">
      <c r="A61" s="107"/>
      <c r="B61" s="107"/>
      <c r="C61" s="107"/>
      <c r="D61" s="107"/>
      <c r="E61" s="107"/>
      <c r="F61" s="107"/>
      <c r="G61" s="107"/>
      <c r="H61" s="107"/>
    </row>
    <row r="62" ht="15" customHeight="1">
      <c r="A62" s="107"/>
      <c r="B62" s="107"/>
      <c r="C62" s="107"/>
      <c r="D62" s="107"/>
      <c r="E62" s="107"/>
      <c r="F62" s="107"/>
      <c r="G62" s="107"/>
      <c r="H62" s="107"/>
    </row>
    <row r="63" ht="15" customHeight="1">
      <c r="A63" s="107"/>
      <c r="B63" s="107"/>
      <c r="C63" s="107"/>
      <c r="D63" s="107"/>
      <c r="E63" s="107"/>
      <c r="F63" s="107"/>
      <c r="G63" s="107"/>
      <c r="H63" s="107"/>
    </row>
    <row r="64" ht="15" customHeight="1">
      <c r="A64" s="107"/>
      <c r="B64" s="107"/>
      <c r="C64" s="107"/>
      <c r="D64" s="107"/>
      <c r="E64" s="107"/>
      <c r="F64" s="107"/>
      <c r="G64" s="107"/>
      <c r="H64" s="107"/>
    </row>
    <row r="65" ht="15" customHeight="1">
      <c r="A65" s="107"/>
      <c r="B65" s="107"/>
      <c r="C65" s="107"/>
      <c r="D65" s="107"/>
      <c r="E65" s="107"/>
      <c r="F65" s="107"/>
      <c r="G65" s="107"/>
      <c r="H65" s="107"/>
    </row>
    <row r="66" ht="15" customHeight="1">
      <c r="A66" s="111"/>
      <c r="B66" s="111"/>
      <c r="C66" s="111"/>
      <c r="D66" s="111"/>
      <c r="E66" s="111"/>
      <c r="F66" s="111"/>
      <c r="G66" s="107"/>
      <c r="H66" s="107"/>
    </row>
    <row r="67" ht="15" customHeight="1">
      <c r="A67" s="107"/>
      <c r="B67" s="107"/>
      <c r="C67" s="107"/>
      <c r="D67" s="107"/>
      <c r="E67" s="107"/>
      <c r="F67" s="107"/>
      <c r="G67" s="107"/>
      <c r="H67" s="107"/>
    </row>
    <row r="68" ht="15" customHeight="1">
      <c r="A68" s="107"/>
      <c r="B68" s="107"/>
      <c r="C68" s="107"/>
      <c r="D68" s="107"/>
      <c r="E68" s="107"/>
      <c r="F68" s="107"/>
      <c r="G68" s="107"/>
      <c r="H68" s="107"/>
    </row>
    <row r="69" ht="15" customHeight="1">
      <c r="A69" s="107"/>
      <c r="B69" s="107"/>
      <c r="C69" s="107"/>
      <c r="D69" s="107"/>
      <c r="E69" s="107"/>
      <c r="F69" s="107"/>
      <c r="G69" s="107"/>
      <c r="H69" s="107"/>
    </row>
    <row r="70" ht="15" customHeight="1">
      <c r="A70" s="107"/>
      <c r="B70" s="107"/>
      <c r="C70" s="107"/>
      <c r="D70" s="107"/>
      <c r="E70" s="107"/>
      <c r="F70" s="107"/>
      <c r="G70" s="107"/>
      <c r="H70" s="107"/>
    </row>
    <row r="71" ht="15" customHeight="1">
      <c r="A71" s="107"/>
      <c r="B71" s="107"/>
      <c r="C71" s="107"/>
      <c r="D71" s="107"/>
      <c r="E71" s="107"/>
      <c r="F71" s="107"/>
      <c r="G71" s="107"/>
      <c r="H71" s="107"/>
    </row>
    <row r="72" ht="15" customHeight="1">
      <c r="A72" s="107"/>
      <c r="B72" s="107"/>
      <c r="C72" s="107"/>
      <c r="D72" s="107"/>
      <c r="E72" s="107"/>
      <c r="F72" s="107"/>
      <c r="G72" s="107"/>
      <c r="H72" s="107"/>
    </row>
    <row r="73" ht="15" customHeight="1">
      <c r="A73" s="107"/>
      <c r="B73" s="107"/>
      <c r="C73" s="107"/>
      <c r="D73" s="107"/>
      <c r="E73" s="107"/>
      <c r="F73" s="107"/>
      <c r="G73" s="107"/>
      <c r="H73" s="107"/>
    </row>
    <row r="74" ht="15" customHeight="1">
      <c r="A74" s="107"/>
      <c r="B74" s="107"/>
      <c r="C74" s="107"/>
      <c r="D74" s="107"/>
      <c r="E74" s="107"/>
      <c r="F74" s="107"/>
      <c r="G74" s="107"/>
      <c r="H74" s="107"/>
    </row>
    <row r="75" ht="15" customHeight="1">
      <c r="A75" s="107"/>
      <c r="B75" s="107"/>
      <c r="C75" s="107"/>
      <c r="D75" s="107"/>
      <c r="E75" s="107"/>
      <c r="F75" s="107"/>
      <c r="G75" s="107"/>
      <c r="H75" s="107"/>
    </row>
    <row r="76" ht="15" customHeight="1">
      <c r="A76" s="107"/>
      <c r="B76" s="107"/>
      <c r="C76" s="107"/>
      <c r="D76" s="107"/>
      <c r="E76" s="107"/>
      <c r="F76" s="107"/>
      <c r="G76" s="107"/>
      <c r="H76" s="107"/>
    </row>
    <row r="77" ht="15" customHeight="1">
      <c r="A77" s="107"/>
      <c r="B77" s="107"/>
      <c r="C77" s="107"/>
      <c r="D77" s="107"/>
      <c r="E77" s="107"/>
      <c r="F77" s="107"/>
      <c r="G77" s="107"/>
      <c r="H77" s="107"/>
    </row>
    <row r="78" ht="15" customHeight="1">
      <c r="A78" s="107"/>
      <c r="B78" s="107"/>
      <c r="C78" s="107"/>
      <c r="D78" s="107"/>
      <c r="E78" s="107"/>
      <c r="F78" s="107"/>
      <c r="G78" s="107"/>
      <c r="H78" s="107"/>
    </row>
    <row r="79" ht="15" customHeight="1">
      <c r="A79" s="107"/>
      <c r="B79" s="107"/>
      <c r="C79" s="107"/>
      <c r="D79" s="107"/>
      <c r="E79" s="107"/>
      <c r="F79" s="107"/>
      <c r="G79" s="107"/>
      <c r="H79" s="107"/>
    </row>
    <row r="80" ht="15" customHeight="1">
      <c r="A80" s="107"/>
      <c r="B80" s="107"/>
      <c r="C80" s="107"/>
      <c r="D80" s="107"/>
      <c r="E80" s="107"/>
      <c r="F80" s="107"/>
      <c r="G80" s="107"/>
      <c r="H80" s="107"/>
    </row>
    <row r="81" ht="15" customHeight="1">
      <c r="A81" s="107"/>
      <c r="B81" s="107"/>
      <c r="C81" s="107"/>
      <c r="D81" s="107"/>
      <c r="E81" s="107"/>
      <c r="F81" s="107"/>
      <c r="G81" s="107"/>
      <c r="H81" s="107"/>
    </row>
    <row r="82" ht="15" customHeight="1">
      <c r="A82" s="107"/>
      <c r="B82" s="107"/>
      <c r="C82" s="107"/>
      <c r="D82" s="107"/>
      <c r="E82" s="107"/>
      <c r="F82" s="107"/>
      <c r="G82" s="107"/>
      <c r="H82" s="107"/>
    </row>
    <row r="83" ht="15" customHeight="1">
      <c r="A83" s="107"/>
      <c r="B83" s="107"/>
      <c r="C83" s="107"/>
      <c r="D83" s="107"/>
      <c r="E83" s="107"/>
      <c r="F83" s="107"/>
      <c r="G83" s="107"/>
      <c r="H83" s="107"/>
    </row>
    <row r="84" ht="15" customHeight="1">
      <c r="A84" s="107"/>
      <c r="B84" s="107"/>
      <c r="C84" s="107"/>
      <c r="D84" s="107"/>
      <c r="E84" s="107"/>
      <c r="F84" s="107"/>
      <c r="G84" s="107"/>
      <c r="H84" s="107"/>
    </row>
    <row r="85" ht="15" customHeight="1">
      <c r="A85" s="107"/>
      <c r="B85" s="107"/>
      <c r="C85" s="107"/>
      <c r="D85" s="107"/>
      <c r="E85" s="107"/>
      <c r="F85" s="107"/>
      <c r="G85" s="107"/>
      <c r="H85" s="107"/>
    </row>
    <row r="86" ht="15" customHeight="1">
      <c r="A86" s="107"/>
      <c r="B86" s="107"/>
      <c r="C86" s="107"/>
      <c r="D86" s="107"/>
      <c r="E86" s="107"/>
      <c r="F86" s="107"/>
      <c r="G86" s="107"/>
      <c r="H86" s="107"/>
    </row>
    <row r="87" ht="15" customHeight="1">
      <c r="A87" s="107"/>
      <c r="B87" s="107"/>
      <c r="C87" s="107"/>
      <c r="D87" s="107"/>
      <c r="E87" s="107"/>
      <c r="F87" s="107"/>
      <c r="G87" s="107"/>
      <c r="H87" s="107"/>
    </row>
    <row r="88" ht="15" customHeight="1">
      <c r="A88" s="107"/>
      <c r="B88" s="107"/>
      <c r="C88" s="107"/>
      <c r="D88" s="107"/>
      <c r="E88" s="107"/>
      <c r="F88" s="107"/>
      <c r="G88" s="107"/>
      <c r="H88" s="107"/>
    </row>
    <row r="89" ht="15" customHeight="1">
      <c r="A89" s="107"/>
      <c r="B89" s="107"/>
      <c r="C89" s="107"/>
      <c r="D89" s="107"/>
      <c r="E89" s="107"/>
      <c r="F89" s="107"/>
      <c r="G89" s="107"/>
      <c r="H89" s="107"/>
    </row>
    <row r="90" ht="15" customHeight="1">
      <c r="A90" s="107"/>
      <c r="B90" s="107"/>
      <c r="C90" s="107"/>
      <c r="D90" s="107"/>
      <c r="E90" s="107"/>
      <c r="F90" s="107"/>
      <c r="G90" s="107"/>
      <c r="H90" s="112"/>
    </row>
    <row r="91" ht="15" customHeight="1">
      <c r="A91" s="107"/>
      <c r="B91" s="107"/>
      <c r="C91" s="107"/>
      <c r="D91" s="107"/>
      <c r="E91" s="107"/>
      <c r="F91" s="107"/>
      <c r="G91" s="107"/>
      <c r="H91" s="112"/>
    </row>
    <row r="92" ht="15" customHeight="1">
      <c r="A92" s="107"/>
      <c r="B92" s="107"/>
      <c r="C92" s="107"/>
      <c r="D92" s="107"/>
      <c r="E92" s="107"/>
      <c r="F92" s="107"/>
      <c r="G92" s="107"/>
      <c r="H92" s="112"/>
    </row>
    <row r="93" ht="15" customHeight="1">
      <c r="A93" s="107"/>
      <c r="B93" s="107"/>
      <c r="C93" s="107"/>
      <c r="D93" s="107"/>
      <c r="E93" s="107"/>
      <c r="F93" s="107"/>
      <c r="G93" s="107"/>
      <c r="H93" s="107"/>
    </row>
    <row r="94" ht="15" customHeight="1">
      <c r="A94" s="107"/>
      <c r="B94" s="107"/>
      <c r="C94" s="107"/>
      <c r="D94" s="107"/>
      <c r="E94" s="107"/>
      <c r="F94" s="107"/>
      <c r="G94" s="107"/>
      <c r="H94" s="112"/>
    </row>
    <row r="95" ht="15" customHeight="1">
      <c r="A95" s="107"/>
      <c r="B95" s="107"/>
      <c r="C95" s="107"/>
      <c r="D95" s="107"/>
      <c r="E95" s="107"/>
      <c r="F95" s="107"/>
      <c r="G95" s="107"/>
      <c r="H95" s="112"/>
    </row>
    <row r="96" ht="15" customHeight="1">
      <c r="A96" s="107"/>
      <c r="B96" s="107"/>
      <c r="C96" s="107"/>
      <c r="D96" s="107"/>
      <c r="E96" s="107"/>
      <c r="F96" s="107"/>
      <c r="G96" s="107"/>
      <c r="H96" s="112"/>
    </row>
    <row r="97" ht="15" customHeight="1">
      <c r="A97" s="107"/>
      <c r="B97" s="107"/>
      <c r="C97" s="107"/>
      <c r="D97" s="107"/>
      <c r="E97" s="107"/>
      <c r="F97" s="107"/>
      <c r="G97" s="107"/>
      <c r="H97" s="107"/>
    </row>
    <row r="98" ht="15" customHeight="1">
      <c r="A98" s="107"/>
      <c r="B98" s="107"/>
      <c r="C98" s="107"/>
      <c r="D98" s="107"/>
      <c r="E98" s="107"/>
      <c r="F98" s="107"/>
      <c r="G98" s="107"/>
      <c r="H98" s="112"/>
    </row>
    <row r="99" ht="15" customHeight="1">
      <c r="A99" s="107"/>
      <c r="B99" s="107"/>
      <c r="C99" s="107"/>
      <c r="D99" s="107"/>
      <c r="E99" s="107"/>
      <c r="F99" s="107"/>
      <c r="G99" s="107"/>
      <c r="H99" s="112"/>
    </row>
    <row r="100" ht="15" customHeight="1">
      <c r="A100" s="107"/>
      <c r="B100" s="107"/>
      <c r="C100" s="107"/>
      <c r="D100" s="107"/>
      <c r="E100" s="107"/>
      <c r="F100" s="107"/>
      <c r="G100" s="107"/>
      <c r="H100" s="112"/>
    </row>
    <row r="101" ht="15" customHeight="1">
      <c r="A101" s="107"/>
      <c r="B101" s="107"/>
      <c r="C101" s="107"/>
      <c r="D101" s="107"/>
      <c r="E101" s="107"/>
      <c r="F101" s="107"/>
      <c r="G101" s="107"/>
      <c r="H101" s="112"/>
    </row>
    <row r="102" ht="15" customHeight="1">
      <c r="A102" s="107"/>
      <c r="B102" s="107"/>
      <c r="C102" s="107"/>
      <c r="D102" s="107"/>
      <c r="E102" s="107"/>
      <c r="F102" s="107"/>
      <c r="G102" s="107"/>
      <c r="H102" s="112"/>
    </row>
    <row r="103" ht="15" customHeight="1">
      <c r="A103" s="107"/>
      <c r="B103" s="107"/>
      <c r="C103" s="107"/>
      <c r="D103" s="107"/>
      <c r="E103" s="107"/>
      <c r="F103" s="107"/>
      <c r="G103" s="107"/>
      <c r="H103" s="112"/>
    </row>
    <row r="104" ht="15" customHeight="1">
      <c r="A104" s="107"/>
      <c r="B104" s="107"/>
      <c r="C104" s="107"/>
      <c r="D104" s="107"/>
      <c r="E104" s="107"/>
      <c r="F104" s="107"/>
      <c r="G104" s="107"/>
      <c r="H104" s="112"/>
    </row>
    <row r="105" ht="15" customHeight="1">
      <c r="A105" s="107"/>
      <c r="B105" s="107"/>
      <c r="C105" s="107"/>
      <c r="D105" s="107"/>
      <c r="E105" s="107"/>
      <c r="F105" s="107"/>
      <c r="G105" s="107"/>
      <c r="H105" s="112"/>
    </row>
    <row r="106" ht="15" customHeight="1">
      <c r="A106" s="107"/>
      <c r="B106" s="107"/>
      <c r="C106" s="107"/>
      <c r="D106" s="107"/>
      <c r="E106" s="107"/>
      <c r="F106" s="107"/>
      <c r="G106" s="107"/>
      <c r="H106" s="112"/>
    </row>
    <row r="107" ht="15" customHeight="1">
      <c r="A107" s="107"/>
      <c r="B107" s="107"/>
      <c r="C107" s="107"/>
      <c r="D107" s="107"/>
      <c r="E107" s="107"/>
      <c r="F107" s="107"/>
      <c r="G107" s="107"/>
      <c r="H107" s="112"/>
    </row>
    <row r="108" ht="15" customHeight="1">
      <c r="A108" s="107"/>
      <c r="B108" s="107"/>
      <c r="C108" s="107"/>
      <c r="D108" s="107"/>
      <c r="E108" s="107"/>
      <c r="F108" s="107"/>
      <c r="G108" s="107"/>
      <c r="H108" s="112"/>
    </row>
    <row r="109" ht="15" customHeight="1">
      <c r="A109" s="107"/>
      <c r="B109" s="107"/>
      <c r="C109" s="107"/>
      <c r="D109" s="107"/>
      <c r="E109" s="107"/>
      <c r="F109" s="107"/>
      <c r="G109" s="107"/>
      <c r="H109" s="112"/>
    </row>
    <row r="110" ht="15" customHeight="1">
      <c r="A110" s="107"/>
      <c r="B110" s="107"/>
      <c r="C110" s="107"/>
      <c r="D110" s="107"/>
      <c r="E110" s="107"/>
      <c r="F110" s="107"/>
      <c r="G110" s="107"/>
      <c r="H110" s="112"/>
    </row>
    <row r="111" ht="15" customHeight="1">
      <c r="A111" s="107"/>
      <c r="B111" s="107"/>
      <c r="C111" s="107"/>
      <c r="D111" s="107"/>
      <c r="E111" s="107"/>
      <c r="F111" s="107"/>
      <c r="G111" s="107"/>
      <c r="H111" s="112"/>
    </row>
    <row r="112" ht="15" customHeight="1">
      <c r="A112" s="112"/>
      <c r="B112" s="112"/>
      <c r="C112" s="112"/>
      <c r="D112" s="112"/>
      <c r="E112" s="112"/>
      <c r="F112" s="112"/>
      <c r="G112" s="112"/>
      <c r="H112" s="112"/>
    </row>
    <row r="113" ht="15" customHeight="1">
      <c r="A113" s="112"/>
      <c r="B113" s="112"/>
      <c r="C113" s="112"/>
      <c r="D113" s="112"/>
      <c r="E113" s="112"/>
      <c r="F113" s="112"/>
      <c r="G113" s="112"/>
      <c r="H113" s="112"/>
    </row>
    <row r="114" ht="15" customHeight="1">
      <c r="A114" s="112"/>
      <c r="B114" s="112"/>
      <c r="C114" s="112"/>
      <c r="D114" s="112"/>
      <c r="E114" s="112"/>
      <c r="F114" s="112"/>
      <c r="G114" s="112"/>
      <c r="H114" s="112"/>
    </row>
    <row r="115" ht="15" customHeight="1">
      <c r="A115" s="112"/>
      <c r="B115" s="112"/>
      <c r="C115" s="112"/>
      <c r="D115" s="112"/>
      <c r="E115" s="112"/>
      <c r="F115" s="112"/>
      <c r="G115" s="112"/>
      <c r="H115" s="112"/>
    </row>
    <row r="116" ht="15" customHeight="1">
      <c r="A116" s="112"/>
      <c r="B116" s="112"/>
      <c r="C116" s="112"/>
      <c r="D116" s="112"/>
      <c r="E116" s="112"/>
      <c r="F116" s="112"/>
      <c r="G116" s="112"/>
      <c r="H116" s="112"/>
    </row>
    <row r="117" ht="15" customHeight="1">
      <c r="A117" s="112"/>
      <c r="B117" s="112"/>
      <c r="C117" s="112"/>
      <c r="D117" s="112"/>
      <c r="E117" s="112"/>
      <c r="F117" s="112"/>
      <c r="G117" s="112"/>
      <c r="H117" s="112"/>
    </row>
    <row r="118" ht="15" customHeight="1">
      <c r="A118" s="112"/>
      <c r="B118" s="112"/>
      <c r="C118" s="112"/>
      <c r="D118" s="112"/>
      <c r="E118" s="112"/>
      <c r="F118" s="112"/>
      <c r="G118" s="112"/>
      <c r="H118" s="112"/>
    </row>
    <row r="119" ht="15" customHeight="1">
      <c r="A119" s="112"/>
      <c r="B119" s="112"/>
      <c r="C119" s="112"/>
      <c r="D119" s="112"/>
      <c r="E119" s="112"/>
      <c r="F119" s="112"/>
      <c r="G119" s="112"/>
      <c r="H119" s="112"/>
    </row>
    <row r="120" ht="15" customHeight="1">
      <c r="A120" s="112"/>
      <c r="B120" s="112"/>
      <c r="C120" s="112"/>
      <c r="D120" s="112"/>
      <c r="E120" s="112"/>
      <c r="F120" s="112"/>
      <c r="G120" s="112"/>
      <c r="H120" s="112"/>
    </row>
    <row r="121" ht="15" customHeight="1">
      <c r="A121" s="112"/>
      <c r="B121" s="112"/>
      <c r="C121" s="112"/>
      <c r="D121" s="112"/>
      <c r="E121" s="112"/>
      <c r="F121" s="112"/>
      <c r="G121" s="112"/>
      <c r="H121" s="112"/>
    </row>
    <row r="122" ht="15" customHeight="1">
      <c r="A122" s="112"/>
      <c r="B122" s="112"/>
      <c r="C122" s="112"/>
      <c r="D122" s="112"/>
      <c r="E122" s="112"/>
      <c r="F122" s="112"/>
      <c r="G122" s="112"/>
      <c r="H122" s="112"/>
    </row>
    <row r="123" ht="15" customHeight="1">
      <c r="A123" s="112"/>
      <c r="B123" s="112"/>
      <c r="C123" s="112"/>
      <c r="D123" s="112"/>
      <c r="E123" s="112"/>
      <c r="F123" s="112"/>
      <c r="G123" s="112"/>
      <c r="H123" s="112"/>
    </row>
    <row r="124" ht="15" customHeight="1">
      <c r="A124" s="112"/>
      <c r="B124" s="112"/>
      <c r="C124" s="112"/>
      <c r="D124" s="112"/>
      <c r="E124" s="112"/>
      <c r="F124" s="112"/>
      <c r="G124" s="112"/>
      <c r="H124" s="112"/>
    </row>
    <row r="125" ht="15" customHeight="1">
      <c r="A125" s="112"/>
      <c r="B125" s="112"/>
      <c r="C125" s="112"/>
      <c r="D125" s="112"/>
      <c r="E125" s="112"/>
      <c r="F125" s="112"/>
      <c r="G125" s="112"/>
      <c r="H125" s="112"/>
    </row>
    <row r="126" ht="15" customHeight="1">
      <c r="A126" s="112"/>
      <c r="B126" s="112"/>
      <c r="C126" s="112"/>
      <c r="D126" s="112"/>
      <c r="E126" s="112"/>
      <c r="F126" s="112"/>
      <c r="G126" s="112"/>
      <c r="H126" s="112"/>
    </row>
    <row r="127" ht="15" customHeight="1">
      <c r="A127" s="112"/>
      <c r="B127" s="112"/>
      <c r="C127" s="112"/>
      <c r="D127" s="112"/>
      <c r="E127" s="112"/>
      <c r="F127" s="112"/>
      <c r="G127" s="112"/>
      <c r="H127" s="112"/>
    </row>
    <row r="128" ht="15" customHeight="1">
      <c r="A128" s="112"/>
      <c r="B128" s="112"/>
      <c r="C128" s="112"/>
      <c r="D128" s="112"/>
      <c r="E128" s="112"/>
      <c r="F128" s="112"/>
      <c r="G128" s="112"/>
      <c r="H128" s="112"/>
    </row>
    <row r="129" ht="15" customHeight="1">
      <c r="A129" s="112"/>
      <c r="B129" s="112"/>
      <c r="C129" s="112"/>
      <c r="D129" s="112"/>
      <c r="E129" s="112"/>
      <c r="F129" s="112"/>
      <c r="G129" s="112"/>
      <c r="H129" s="112"/>
    </row>
    <row r="130" ht="15" customHeight="1">
      <c r="A130" s="112"/>
      <c r="B130" s="112"/>
      <c r="C130" s="112"/>
      <c r="D130" s="112"/>
      <c r="E130" s="112"/>
      <c r="F130" s="112"/>
      <c r="G130" s="112"/>
      <c r="H130" s="112"/>
    </row>
    <row r="131" ht="15" customHeight="1">
      <c r="A131" s="112"/>
      <c r="B131" s="112"/>
      <c r="C131" s="112"/>
      <c r="D131" s="112"/>
      <c r="E131" s="112"/>
      <c r="F131" s="112"/>
      <c r="G131" s="112"/>
      <c r="H131" s="112"/>
    </row>
    <row r="132" ht="15" customHeight="1">
      <c r="A132" s="112"/>
      <c r="B132" s="112"/>
      <c r="C132" s="112"/>
      <c r="D132" s="112"/>
      <c r="E132" s="112"/>
      <c r="F132" s="112"/>
      <c r="G132" s="112"/>
      <c r="H132" s="112"/>
    </row>
    <row r="133" ht="15" customHeight="1">
      <c r="A133" s="112"/>
      <c r="B133" s="112"/>
      <c r="C133" s="112"/>
      <c r="D133" s="112"/>
      <c r="E133" s="112"/>
      <c r="F133" s="112"/>
      <c r="G133" s="112"/>
      <c r="H133" s="112"/>
    </row>
    <row r="134" ht="15" customHeight="1">
      <c r="A134" s="112"/>
      <c r="B134" s="112"/>
      <c r="C134" s="112"/>
      <c r="D134" s="112"/>
      <c r="E134" s="112"/>
      <c r="F134" s="112"/>
      <c r="G134" s="112"/>
      <c r="H134" s="112"/>
    </row>
    <row r="135" ht="15" customHeight="1">
      <c r="A135" s="112"/>
      <c r="B135" s="112"/>
      <c r="C135" s="112"/>
      <c r="D135" s="112"/>
      <c r="E135" s="112"/>
      <c r="F135" s="112"/>
      <c r="G135" s="112"/>
      <c r="H135" s="112"/>
    </row>
    <row r="136" ht="15" customHeight="1">
      <c r="A136" s="112"/>
      <c r="B136" s="112"/>
      <c r="C136" s="112"/>
      <c r="D136" s="112"/>
      <c r="E136" s="112"/>
      <c r="F136" s="112"/>
      <c r="G136" s="112"/>
      <c r="H136" s="112"/>
    </row>
    <row r="137" ht="15" customHeight="1">
      <c r="A137" s="112"/>
      <c r="B137" s="112"/>
      <c r="C137" s="112"/>
      <c r="D137" s="112"/>
      <c r="E137" s="112"/>
      <c r="F137" s="112"/>
      <c r="G137" s="112"/>
      <c r="H137" s="112"/>
    </row>
    <row r="138" ht="15" customHeight="1">
      <c r="A138" s="112"/>
      <c r="B138" s="112"/>
      <c r="C138" s="112"/>
      <c r="D138" s="112"/>
      <c r="E138" s="112"/>
      <c r="F138" s="112"/>
      <c r="G138" s="112"/>
      <c r="H138" s="112"/>
    </row>
    <row r="139" ht="15" customHeight="1">
      <c r="A139" s="112"/>
      <c r="B139" s="112"/>
      <c r="C139" s="112"/>
      <c r="D139" s="112"/>
      <c r="E139" s="112"/>
      <c r="F139" s="112"/>
      <c r="G139" s="112"/>
      <c r="H139" s="112"/>
    </row>
    <row r="140" ht="15" customHeight="1">
      <c r="A140" s="112"/>
      <c r="B140" s="112"/>
      <c r="C140" s="112"/>
      <c r="D140" s="112"/>
      <c r="E140" s="112"/>
      <c r="F140" s="112"/>
      <c r="G140" s="112"/>
      <c r="H140" s="112"/>
    </row>
    <row r="141" ht="15" customHeight="1">
      <c r="A141" s="112"/>
      <c r="B141" s="112"/>
      <c r="C141" s="112"/>
      <c r="D141" s="112"/>
      <c r="E141" s="112"/>
      <c r="F141" s="112"/>
      <c r="G141" s="112"/>
      <c r="H141" s="112"/>
    </row>
    <row r="142" ht="15" customHeight="1">
      <c r="A142" s="112"/>
      <c r="B142" s="112"/>
      <c r="C142" s="112"/>
      <c r="D142" s="112"/>
      <c r="E142" s="112"/>
      <c r="F142" s="112"/>
      <c r="G142" s="112"/>
      <c r="H142" s="112"/>
    </row>
    <row r="143" ht="15" customHeight="1">
      <c r="A143" s="112"/>
      <c r="B143" s="112"/>
      <c r="C143" s="112"/>
      <c r="D143" s="112"/>
      <c r="E143" s="112"/>
      <c r="F143" s="112"/>
      <c r="G143" s="112"/>
      <c r="H143" s="112"/>
    </row>
    <row r="144" ht="15" customHeight="1">
      <c r="A144" s="112"/>
      <c r="B144" s="112"/>
      <c r="C144" s="112"/>
      <c r="D144" s="112"/>
      <c r="E144" s="112"/>
      <c r="F144" s="112"/>
      <c r="G144" s="112"/>
      <c r="H144" s="112"/>
    </row>
    <row r="145" ht="15" customHeight="1">
      <c r="A145" s="112"/>
      <c r="B145" s="112"/>
      <c r="C145" s="112"/>
      <c r="D145" s="112"/>
      <c r="E145" s="112"/>
      <c r="F145" s="112"/>
      <c r="G145" s="112"/>
      <c r="H145" s="112"/>
    </row>
    <row r="146" ht="15" customHeight="1">
      <c r="A146" s="112"/>
      <c r="B146" s="112"/>
      <c r="C146" s="112"/>
      <c r="D146" s="112"/>
      <c r="E146" s="112"/>
      <c r="F146" s="112"/>
      <c r="G146" s="112"/>
      <c r="H146" s="112"/>
    </row>
    <row r="147" ht="15" customHeight="1">
      <c r="A147" s="112"/>
      <c r="B147" s="112"/>
      <c r="C147" s="112"/>
      <c r="D147" s="112"/>
      <c r="E147" s="112"/>
      <c r="F147" s="112"/>
      <c r="G147" s="112"/>
      <c r="H147" s="112"/>
    </row>
    <row r="148" ht="15" customHeight="1">
      <c r="A148" s="112"/>
      <c r="B148" s="112"/>
      <c r="C148" s="112"/>
      <c r="D148" s="112"/>
      <c r="E148" s="112"/>
      <c r="F148" s="112"/>
      <c r="G148" s="112"/>
      <c r="H148" s="112"/>
    </row>
    <row r="149" ht="15" customHeight="1">
      <c r="A149" s="112"/>
      <c r="B149" s="112"/>
      <c r="C149" s="112"/>
      <c r="D149" s="112"/>
      <c r="E149" s="112"/>
      <c r="F149" s="112"/>
      <c r="G149" s="112"/>
      <c r="H149" s="112"/>
    </row>
    <row r="150" ht="15" customHeight="1">
      <c r="A150" s="112"/>
      <c r="B150" s="112"/>
      <c r="C150" s="112"/>
      <c r="D150" s="112"/>
      <c r="E150" s="112"/>
      <c r="F150" s="112"/>
      <c r="G150" s="112"/>
      <c r="H150" s="112"/>
    </row>
    <row r="151" ht="15" customHeight="1">
      <c r="A151" s="112"/>
      <c r="B151" s="112"/>
      <c r="C151" s="112"/>
      <c r="D151" s="112"/>
      <c r="E151" s="112"/>
      <c r="F151" s="112"/>
      <c r="G151" s="112"/>
      <c r="H151" s="112"/>
    </row>
    <row r="152" ht="15" customHeight="1">
      <c r="A152" s="112"/>
      <c r="B152" s="112"/>
      <c r="C152" s="112"/>
      <c r="D152" s="112"/>
      <c r="E152" s="112"/>
      <c r="F152" s="112"/>
      <c r="G152" s="112"/>
      <c r="H152" s="112"/>
    </row>
    <row r="153" ht="15" customHeight="1">
      <c r="A153" s="112"/>
      <c r="B153" s="112"/>
      <c r="C153" s="112"/>
      <c r="D153" s="112"/>
      <c r="E153" s="112"/>
      <c r="F153" s="112"/>
      <c r="G153" s="112"/>
      <c r="H153" s="112"/>
    </row>
    <row r="154" ht="15" customHeight="1">
      <c r="A154" s="112"/>
      <c r="B154" s="112"/>
      <c r="C154" s="112"/>
      <c r="D154" s="112"/>
      <c r="E154" s="112"/>
      <c r="F154" s="112"/>
      <c r="G154" s="112"/>
      <c r="H154" s="112"/>
    </row>
    <row r="155" ht="15" customHeight="1">
      <c r="A155" s="112"/>
      <c r="B155" s="112"/>
      <c r="C155" s="112"/>
      <c r="D155" s="112"/>
      <c r="E155" s="112"/>
      <c r="F155" s="112"/>
      <c r="G155" s="112"/>
      <c r="H155" s="112"/>
    </row>
    <row r="156" ht="15" customHeight="1">
      <c r="A156" s="112"/>
      <c r="B156" s="112"/>
      <c r="C156" s="112"/>
      <c r="D156" s="112"/>
      <c r="E156" s="112"/>
      <c r="F156" s="112"/>
      <c r="G156" s="112"/>
      <c r="H156" s="112"/>
    </row>
    <row r="157" ht="15" customHeight="1">
      <c r="A157" s="112"/>
      <c r="B157" s="112"/>
      <c r="C157" s="112"/>
      <c r="D157" s="112"/>
      <c r="E157" s="112"/>
      <c r="F157" s="112"/>
      <c r="G157" s="112"/>
      <c r="H157" s="112"/>
    </row>
    <row r="158" ht="15" customHeight="1">
      <c r="A158" s="112"/>
      <c r="B158" s="112"/>
      <c r="C158" s="112"/>
      <c r="D158" s="112"/>
      <c r="E158" s="112"/>
      <c r="F158" s="112"/>
      <c r="G158" s="112"/>
      <c r="H158" s="112"/>
    </row>
    <row r="159" ht="15" customHeight="1">
      <c r="A159" s="112"/>
      <c r="B159" s="112"/>
      <c r="C159" s="112"/>
      <c r="D159" s="112"/>
      <c r="E159" s="112"/>
      <c r="F159" s="112"/>
      <c r="G159" s="112"/>
      <c r="H159" s="112"/>
    </row>
    <row r="160" ht="15" customHeight="1">
      <c r="A160" s="112"/>
      <c r="B160" s="112"/>
      <c r="C160" s="112"/>
      <c r="D160" s="112"/>
      <c r="E160" s="112"/>
      <c r="F160" s="112"/>
      <c r="G160" s="112"/>
      <c r="H160" s="112"/>
    </row>
    <row r="161" ht="15" customHeight="1">
      <c r="A161" s="112"/>
      <c r="B161" s="112"/>
      <c r="C161" s="112"/>
      <c r="D161" s="112"/>
      <c r="E161" s="112"/>
      <c r="F161" s="112"/>
      <c r="G161" s="112"/>
      <c r="H161" s="112"/>
    </row>
    <row r="162" ht="15" customHeight="1">
      <c r="A162" s="112"/>
      <c r="B162" s="112"/>
      <c r="C162" s="112"/>
      <c r="D162" s="112"/>
      <c r="E162" s="112"/>
      <c r="F162" s="112"/>
      <c r="G162" s="112"/>
      <c r="H162" s="112"/>
    </row>
    <row r="163" ht="15" customHeight="1">
      <c r="A163" s="112"/>
      <c r="B163" s="112"/>
      <c r="C163" s="112"/>
      <c r="D163" s="112"/>
      <c r="E163" s="112"/>
      <c r="F163" s="112"/>
      <c r="G163" s="112"/>
      <c r="H163" s="112"/>
    </row>
    <row r="164" ht="15" customHeight="1">
      <c r="A164" s="112"/>
      <c r="B164" s="112"/>
      <c r="C164" s="112"/>
      <c r="D164" s="112"/>
      <c r="E164" s="112"/>
      <c r="F164" s="112"/>
      <c r="G164" s="112"/>
      <c r="H164" s="112"/>
    </row>
    <row r="165" ht="15" customHeight="1">
      <c r="A165" s="112"/>
      <c r="B165" s="112"/>
      <c r="C165" s="112"/>
      <c r="D165" s="112"/>
      <c r="E165" s="112"/>
      <c r="F165" s="112"/>
      <c r="G165" s="112"/>
      <c r="H165" s="112"/>
    </row>
    <row r="166" ht="15" customHeight="1">
      <c r="A166" s="112"/>
      <c r="B166" s="112"/>
      <c r="C166" s="112"/>
      <c r="D166" s="112"/>
      <c r="E166" s="112"/>
      <c r="F166" s="112"/>
      <c r="G166" s="112"/>
      <c r="H166" s="112"/>
    </row>
    <row r="167" ht="15" customHeight="1">
      <c r="A167" s="112"/>
      <c r="B167" s="112"/>
      <c r="C167" s="112"/>
      <c r="D167" s="112"/>
      <c r="E167" s="112"/>
      <c r="F167" s="112"/>
      <c r="G167" s="112"/>
      <c r="H167" s="112"/>
    </row>
    <row r="168" ht="15" customHeight="1">
      <c r="A168" s="112"/>
      <c r="B168" s="112"/>
      <c r="C168" s="112"/>
      <c r="D168" s="112"/>
      <c r="E168" s="112"/>
      <c r="F168" s="112"/>
      <c r="G168" s="112"/>
      <c r="H168" s="112"/>
    </row>
    <row r="169" ht="15" customHeight="1">
      <c r="A169" s="112"/>
      <c r="B169" s="112"/>
      <c r="C169" s="112"/>
      <c r="D169" s="112"/>
      <c r="E169" s="112"/>
      <c r="F169" s="112"/>
      <c r="G169" s="112"/>
      <c r="H169" s="112"/>
    </row>
    <row r="170" ht="15" customHeight="1">
      <c r="A170" s="112"/>
      <c r="B170" s="112"/>
      <c r="C170" s="112"/>
      <c r="D170" s="112"/>
      <c r="E170" s="112"/>
      <c r="F170" s="112"/>
      <c r="G170" s="112"/>
      <c r="H170" s="112"/>
    </row>
    <row r="171" ht="15" customHeight="1">
      <c r="A171" s="112"/>
      <c r="B171" s="112"/>
      <c r="C171" s="112"/>
      <c r="D171" s="112"/>
      <c r="E171" s="112"/>
      <c r="F171" s="112"/>
      <c r="G171" s="112"/>
      <c r="H171" s="112"/>
    </row>
    <row r="172" ht="15" customHeight="1">
      <c r="A172" s="112"/>
      <c r="B172" s="112"/>
      <c r="C172" s="112"/>
      <c r="D172" s="112"/>
      <c r="E172" s="112"/>
      <c r="F172" s="112"/>
      <c r="G172" s="112"/>
      <c r="H172" s="112"/>
    </row>
    <row r="173" ht="15" customHeight="1">
      <c r="A173" s="112"/>
      <c r="B173" s="112"/>
      <c r="C173" s="112"/>
      <c r="D173" s="112"/>
      <c r="E173" s="112"/>
      <c r="F173" s="112"/>
      <c r="G173" s="112"/>
      <c r="H173" s="112"/>
    </row>
    <row r="174" ht="15" customHeight="1">
      <c r="A174" s="112"/>
      <c r="B174" s="112"/>
      <c r="C174" s="112"/>
      <c r="D174" s="112"/>
      <c r="E174" s="112"/>
      <c r="F174" s="112"/>
      <c r="G174" s="112"/>
      <c r="H174" s="112"/>
    </row>
    <row r="175" ht="15" customHeight="1">
      <c r="A175" s="112"/>
      <c r="B175" s="112"/>
      <c r="C175" s="112"/>
      <c r="D175" s="112"/>
      <c r="E175" s="112"/>
      <c r="F175" s="112"/>
      <c r="G175" s="112"/>
      <c r="H175" s="112"/>
    </row>
    <row r="176" ht="15" customHeight="1">
      <c r="A176" s="112"/>
      <c r="B176" s="112"/>
      <c r="C176" s="112"/>
      <c r="D176" s="112"/>
      <c r="E176" s="112"/>
      <c r="F176" s="112"/>
      <c r="G176" s="112"/>
      <c r="H176" s="112"/>
    </row>
    <row r="177" ht="15" customHeight="1">
      <c r="A177" s="112"/>
      <c r="B177" s="112"/>
      <c r="C177" s="112"/>
      <c r="D177" s="112"/>
      <c r="E177" s="112"/>
      <c r="F177" s="112"/>
      <c r="G177" s="112"/>
      <c r="H177" s="112"/>
    </row>
    <row r="178" ht="15" customHeight="1">
      <c r="A178" s="112"/>
      <c r="B178" s="112"/>
      <c r="C178" s="112"/>
      <c r="D178" s="112"/>
      <c r="E178" s="112"/>
      <c r="F178" s="112"/>
      <c r="G178" s="112"/>
      <c r="H178" s="112"/>
    </row>
    <row r="179" ht="15" customHeight="1">
      <c r="A179" s="112"/>
      <c r="B179" s="112"/>
      <c r="C179" s="112"/>
      <c r="D179" s="112"/>
      <c r="E179" s="112"/>
      <c r="F179" s="112"/>
      <c r="G179" s="112"/>
      <c r="H179" s="112"/>
    </row>
    <row r="180" ht="15" customHeight="1">
      <c r="A180" s="112"/>
      <c r="B180" s="112"/>
      <c r="C180" s="112"/>
      <c r="D180" s="112"/>
      <c r="E180" s="112"/>
      <c r="F180" s="112"/>
      <c r="G180" s="112"/>
      <c r="H180" s="112"/>
    </row>
    <row r="181" ht="15" customHeight="1">
      <c r="A181" s="112"/>
      <c r="B181" s="112"/>
      <c r="C181" s="112"/>
      <c r="D181" s="112"/>
      <c r="E181" s="112"/>
      <c r="F181" s="112"/>
      <c r="G181" s="112"/>
      <c r="H181" s="112"/>
    </row>
    <row r="182" ht="15" customHeight="1">
      <c r="A182" s="112"/>
      <c r="B182" s="112"/>
      <c r="C182" s="112"/>
      <c r="D182" s="112"/>
      <c r="E182" s="112"/>
      <c r="F182" s="112"/>
      <c r="G182" s="112"/>
      <c r="H182" s="112"/>
    </row>
    <row r="183" ht="15" customHeight="1">
      <c r="A183" s="112"/>
      <c r="B183" s="112"/>
      <c r="C183" s="112"/>
      <c r="D183" s="112"/>
      <c r="E183" s="112"/>
      <c r="F183" s="112"/>
      <c r="G183" s="112"/>
      <c r="H183" s="112"/>
    </row>
    <row r="184" ht="15" customHeight="1">
      <c r="A184" s="112"/>
      <c r="B184" s="112"/>
      <c r="C184" s="112"/>
      <c r="D184" s="112"/>
      <c r="E184" s="112"/>
      <c r="F184" s="112"/>
      <c r="G184" s="112"/>
      <c r="H184" s="112"/>
    </row>
    <row r="185" ht="15" customHeight="1">
      <c r="A185" s="112"/>
      <c r="B185" s="112"/>
      <c r="C185" s="112"/>
      <c r="D185" s="112"/>
      <c r="E185" s="112"/>
      <c r="F185" s="112"/>
      <c r="G185" s="112"/>
      <c r="H185" s="112"/>
    </row>
    <row r="186" ht="15" customHeight="1">
      <c r="A186" s="112"/>
      <c r="B186" s="112"/>
      <c r="C186" s="112"/>
      <c r="D186" s="112"/>
      <c r="E186" s="112"/>
      <c r="F186" s="112"/>
      <c r="G186" s="112"/>
      <c r="H186" s="112"/>
    </row>
    <row r="187" ht="15" customHeight="1">
      <c r="A187" s="112"/>
      <c r="B187" s="112"/>
      <c r="C187" s="112"/>
      <c r="D187" s="112"/>
      <c r="E187" s="112"/>
      <c r="F187" s="112"/>
      <c r="G187" s="112"/>
      <c r="H187" s="112"/>
    </row>
    <row r="188" ht="15" customHeight="1">
      <c r="A188" s="112"/>
      <c r="B188" s="112"/>
      <c r="C188" s="112"/>
      <c r="D188" s="112"/>
      <c r="E188" s="112"/>
      <c r="F188" s="112"/>
      <c r="G188" s="112"/>
      <c r="H188" s="112"/>
    </row>
    <row r="189" ht="15" customHeight="1">
      <c r="A189" s="112"/>
      <c r="B189" s="112"/>
      <c r="C189" s="112"/>
      <c r="D189" s="112"/>
      <c r="E189" s="112"/>
      <c r="F189" s="112"/>
      <c r="G189" s="112"/>
      <c r="H189" s="112"/>
    </row>
    <row r="190" ht="15" customHeight="1">
      <c r="A190" s="112"/>
      <c r="B190" s="112"/>
      <c r="C190" s="112"/>
      <c r="D190" s="112"/>
      <c r="E190" s="112"/>
      <c r="F190" s="112"/>
      <c r="G190" s="112"/>
      <c r="H190" s="112"/>
    </row>
    <row r="191" ht="15" customHeight="1">
      <c r="A191" s="112"/>
      <c r="B191" s="112"/>
      <c r="C191" s="112"/>
      <c r="D191" s="112"/>
      <c r="E191" s="112"/>
      <c r="F191" s="112"/>
      <c r="G191" s="112"/>
      <c r="H191" s="112"/>
    </row>
    <row r="192" ht="15" customHeight="1">
      <c r="A192" s="112"/>
      <c r="B192" s="112"/>
      <c r="C192" s="112"/>
      <c r="D192" s="112"/>
      <c r="E192" s="112"/>
      <c r="F192" s="112"/>
      <c r="G192" s="112"/>
      <c r="H192" s="112"/>
    </row>
    <row r="193" ht="15" customHeight="1">
      <c r="A193" s="112"/>
      <c r="B193" s="112"/>
      <c r="C193" s="112"/>
      <c r="D193" s="112"/>
      <c r="E193" s="112"/>
      <c r="F193" s="112"/>
      <c r="G193" s="112"/>
      <c r="H193" s="112"/>
    </row>
    <row r="194" ht="15" customHeight="1">
      <c r="A194" s="112"/>
      <c r="B194" s="112"/>
      <c r="C194" s="112"/>
      <c r="D194" s="112"/>
      <c r="E194" s="112"/>
      <c r="F194" s="112"/>
      <c r="G194" s="112"/>
      <c r="H194" s="112"/>
    </row>
    <row r="195" ht="15" customHeight="1">
      <c r="A195" s="112"/>
      <c r="B195" s="112"/>
      <c r="C195" s="112"/>
      <c r="D195" s="112"/>
      <c r="E195" s="112"/>
      <c r="F195" s="112"/>
      <c r="G195" s="112"/>
      <c r="H195" s="112"/>
    </row>
    <row r="196" ht="15" customHeight="1">
      <c r="A196" s="112"/>
      <c r="B196" s="112"/>
      <c r="C196" s="112"/>
      <c r="D196" s="112"/>
      <c r="E196" s="112"/>
      <c r="F196" s="112"/>
      <c r="G196" s="112"/>
      <c r="H196" s="112"/>
    </row>
    <row r="197" ht="15" customHeight="1">
      <c r="A197" s="112"/>
      <c r="B197" s="112"/>
      <c r="C197" s="112"/>
      <c r="D197" s="112"/>
      <c r="E197" s="112"/>
      <c r="F197" s="112"/>
      <c r="G197" s="112"/>
      <c r="H197" s="112"/>
    </row>
    <row r="198" ht="15" customHeight="1">
      <c r="A198" s="112"/>
      <c r="B198" s="112"/>
      <c r="C198" s="112"/>
      <c r="D198" s="112"/>
      <c r="E198" s="112"/>
      <c r="F198" s="112"/>
      <c r="G198" s="112"/>
      <c r="H198" s="112"/>
    </row>
    <row r="199" ht="15" customHeight="1">
      <c r="A199" s="112"/>
      <c r="B199" s="112"/>
      <c r="C199" s="112"/>
      <c r="D199" s="112"/>
      <c r="E199" s="112"/>
      <c r="F199" s="112"/>
      <c r="G199" s="112"/>
      <c r="H199" s="112"/>
    </row>
    <row r="200" ht="15" customHeight="1">
      <c r="A200" s="112"/>
      <c r="B200" s="112"/>
      <c r="C200" s="112"/>
      <c r="D200" s="112"/>
      <c r="E200" s="112"/>
      <c r="F200" s="112"/>
      <c r="G200" s="112"/>
      <c r="H200" s="112"/>
    </row>
    <row r="201" ht="15" customHeight="1">
      <c r="A201" s="112"/>
      <c r="B201" s="112"/>
      <c r="C201" s="112"/>
      <c r="D201" s="112"/>
      <c r="E201" s="112"/>
      <c r="F201" s="112"/>
      <c r="G201" s="112"/>
      <c r="H201" s="112"/>
    </row>
    <row r="202" ht="15" customHeight="1">
      <c r="A202" s="112"/>
      <c r="B202" s="112"/>
      <c r="C202" s="112"/>
      <c r="D202" s="112"/>
      <c r="E202" s="112"/>
      <c r="F202" s="112"/>
      <c r="G202" s="112"/>
      <c r="H202" s="112"/>
    </row>
    <row r="203" ht="15" customHeight="1">
      <c r="A203" s="112"/>
      <c r="B203" s="112"/>
      <c r="C203" s="112"/>
      <c r="D203" s="112"/>
      <c r="E203" s="112"/>
      <c r="F203" s="112"/>
      <c r="G203" s="112"/>
      <c r="H203" s="112"/>
    </row>
    <row r="204" ht="15" customHeight="1">
      <c r="A204" s="112"/>
      <c r="B204" s="112"/>
      <c r="C204" s="112"/>
      <c r="D204" s="112"/>
      <c r="E204" s="112"/>
      <c r="F204" s="112"/>
      <c r="G204" s="112"/>
      <c r="H204" s="112"/>
    </row>
    <row r="205" ht="15" customHeight="1">
      <c r="A205" s="112"/>
      <c r="B205" s="112"/>
      <c r="C205" s="112"/>
      <c r="D205" s="112"/>
      <c r="E205" s="112"/>
      <c r="F205" s="112"/>
      <c r="G205" s="112"/>
      <c r="H205" s="112"/>
    </row>
    <row r="206" ht="15" customHeight="1">
      <c r="A206" s="112"/>
      <c r="B206" s="112"/>
      <c r="C206" s="112"/>
      <c r="D206" s="112"/>
      <c r="E206" s="112"/>
      <c r="F206" s="112"/>
      <c r="G206" s="112"/>
      <c r="H206" s="112"/>
    </row>
    <row r="207" ht="15" customHeight="1">
      <c r="A207" s="112"/>
      <c r="B207" s="112"/>
      <c r="C207" s="112"/>
      <c r="D207" s="112"/>
      <c r="E207" s="112"/>
      <c r="F207" s="112"/>
      <c r="G207" s="112"/>
      <c r="H207" s="112"/>
    </row>
    <row r="208" ht="15" customHeight="1">
      <c r="A208" s="112"/>
      <c r="B208" s="112"/>
      <c r="C208" s="112"/>
      <c r="D208" s="112"/>
      <c r="E208" s="112"/>
      <c r="F208" s="112"/>
      <c r="G208" s="112"/>
      <c r="H208" s="112"/>
    </row>
    <row r="209" ht="15" customHeight="1">
      <c r="A209" s="112"/>
      <c r="B209" s="112"/>
      <c r="C209" s="112"/>
      <c r="D209" s="112"/>
      <c r="E209" s="112"/>
      <c r="F209" s="112"/>
      <c r="G209" s="112"/>
      <c r="H209" s="112"/>
    </row>
    <row r="210" ht="15" customHeight="1">
      <c r="A210" s="112"/>
      <c r="B210" s="112"/>
      <c r="C210" s="112"/>
      <c r="D210" s="112"/>
      <c r="E210" s="112"/>
      <c r="F210" s="112"/>
      <c r="G210" s="112"/>
      <c r="H210" s="112"/>
    </row>
    <row r="211" ht="15" customHeight="1">
      <c r="A211" s="112"/>
      <c r="B211" s="112"/>
      <c r="C211" s="112"/>
      <c r="D211" s="112"/>
      <c r="E211" s="112"/>
      <c r="F211" s="112"/>
      <c r="G211" s="112"/>
      <c r="H211" s="112"/>
    </row>
    <row r="212" ht="15" customHeight="1">
      <c r="A212" s="112"/>
      <c r="B212" s="112"/>
      <c r="C212" s="112"/>
      <c r="D212" s="112"/>
      <c r="E212" s="112"/>
      <c r="F212" s="112"/>
      <c r="G212" s="112"/>
      <c r="H212" s="112"/>
    </row>
    <row r="213" ht="15" customHeight="1">
      <c r="A213" s="112"/>
      <c r="B213" s="112"/>
      <c r="C213" s="112"/>
      <c r="D213" s="112"/>
      <c r="E213" s="112"/>
      <c r="F213" s="112"/>
      <c r="G213" s="112"/>
      <c r="H213" s="112"/>
    </row>
    <row r="214" ht="15" customHeight="1">
      <c r="A214" s="112"/>
      <c r="B214" s="112"/>
      <c r="C214" s="112"/>
      <c r="D214" s="112"/>
      <c r="E214" s="112"/>
      <c r="F214" s="112"/>
      <c r="G214" s="112"/>
      <c r="H214" s="112"/>
    </row>
    <row r="215" ht="15" customHeight="1">
      <c r="A215" s="112"/>
      <c r="B215" s="112"/>
      <c r="C215" s="112"/>
      <c r="D215" s="112"/>
      <c r="E215" s="112"/>
      <c r="F215" s="112"/>
      <c r="G215" s="112"/>
      <c r="H215" s="112"/>
    </row>
    <row r="216" ht="15" customHeight="1">
      <c r="A216" s="112"/>
      <c r="B216" s="112"/>
      <c r="C216" s="112"/>
      <c r="D216" s="112"/>
      <c r="E216" s="112"/>
      <c r="F216" s="112"/>
      <c r="G216" s="112"/>
      <c r="H216" s="112"/>
    </row>
    <row r="217" ht="15" customHeight="1">
      <c r="A217" s="112"/>
      <c r="B217" s="112"/>
      <c r="C217" s="112"/>
      <c r="D217" s="112"/>
      <c r="E217" s="112"/>
      <c r="F217" s="112"/>
      <c r="G217" s="112"/>
      <c r="H217" s="112"/>
    </row>
    <row r="218" ht="15" customHeight="1">
      <c r="A218" s="112"/>
      <c r="B218" s="112"/>
      <c r="C218" s="112"/>
      <c r="D218" s="112"/>
      <c r="E218" s="112"/>
      <c r="F218" s="112"/>
      <c r="G218" s="112"/>
      <c r="H218" s="112"/>
    </row>
    <row r="219" ht="15" customHeight="1">
      <c r="A219" s="112"/>
      <c r="B219" s="112"/>
      <c r="C219" s="112"/>
      <c r="D219" s="112"/>
      <c r="E219" s="112"/>
      <c r="F219" s="112"/>
      <c r="G219" s="112"/>
      <c r="H219" s="112"/>
    </row>
    <row r="220" ht="15" customHeight="1">
      <c r="A220" s="112"/>
      <c r="B220" s="112"/>
      <c r="C220" s="112"/>
      <c r="D220" s="112"/>
      <c r="E220" s="112"/>
      <c r="F220" s="112"/>
      <c r="G220" s="112"/>
      <c r="H220" s="112"/>
    </row>
    <row r="221" ht="15" customHeight="1">
      <c r="A221" s="112"/>
      <c r="B221" s="112"/>
      <c r="C221" s="112"/>
      <c r="D221" s="112"/>
      <c r="E221" s="112"/>
      <c r="F221" s="112"/>
      <c r="G221" s="112"/>
      <c r="H221" s="112"/>
    </row>
    <row r="222" ht="15" customHeight="1">
      <c r="A222" s="112"/>
      <c r="B222" s="112"/>
      <c r="C222" s="112"/>
      <c r="D222" s="112"/>
      <c r="E222" s="112"/>
      <c r="F222" s="112"/>
      <c r="G222" s="112"/>
      <c r="H222" s="112"/>
    </row>
    <row r="223" ht="15" customHeight="1">
      <c r="A223" s="112"/>
      <c r="B223" s="112"/>
      <c r="C223" s="112"/>
      <c r="D223" s="112"/>
      <c r="E223" s="112"/>
      <c r="F223" s="112"/>
      <c r="G223" s="112"/>
      <c r="H223" s="112"/>
    </row>
    <row r="224" ht="15" customHeight="1">
      <c r="A224" s="112"/>
      <c r="B224" s="112"/>
      <c r="C224" s="112"/>
      <c r="D224" s="112"/>
      <c r="E224" s="112"/>
      <c r="F224" s="112"/>
      <c r="G224" s="112"/>
      <c r="H224" s="112"/>
    </row>
    <row r="225" ht="15" customHeight="1">
      <c r="A225" s="112"/>
      <c r="B225" s="112"/>
      <c r="C225" s="112"/>
      <c r="D225" s="112"/>
      <c r="E225" s="112"/>
      <c r="F225" s="112"/>
      <c r="G225" s="112"/>
      <c r="H225" s="112"/>
    </row>
    <row r="226" ht="15" customHeight="1">
      <c r="A226" s="112"/>
      <c r="B226" s="112"/>
      <c r="C226" s="112"/>
      <c r="D226" s="112"/>
      <c r="E226" s="112"/>
      <c r="F226" s="112"/>
      <c r="G226" s="112"/>
      <c r="H226" s="112"/>
    </row>
    <row r="227" ht="15" customHeight="1">
      <c r="A227" s="112"/>
      <c r="B227" s="112"/>
      <c r="C227" s="112"/>
      <c r="D227" s="112"/>
      <c r="E227" s="112"/>
      <c r="F227" s="112"/>
      <c r="G227" s="112"/>
      <c r="H227" s="112"/>
    </row>
    <row r="228" ht="15" customHeight="1">
      <c r="A228" s="112"/>
      <c r="B228" s="112"/>
      <c r="C228" s="112"/>
      <c r="D228" s="112"/>
      <c r="E228" s="112"/>
      <c r="F228" s="112"/>
      <c r="G228" s="112"/>
      <c r="H228" s="112"/>
    </row>
    <row r="229" ht="15" customHeight="1">
      <c r="A229" s="112"/>
      <c r="B229" s="112"/>
      <c r="C229" s="112"/>
      <c r="D229" s="112"/>
      <c r="E229" s="112"/>
      <c r="F229" s="112"/>
      <c r="G229" s="112"/>
      <c r="H229" s="112"/>
    </row>
    <row r="230" ht="15" customHeight="1">
      <c r="A230" s="112"/>
      <c r="B230" s="112"/>
      <c r="C230" s="112"/>
      <c r="D230" s="112"/>
      <c r="E230" s="112"/>
      <c r="F230" s="112"/>
      <c r="G230" s="112"/>
      <c r="H230" s="112"/>
    </row>
    <row r="231" ht="15" customHeight="1">
      <c r="A231" s="112"/>
      <c r="B231" s="112"/>
      <c r="C231" s="112"/>
      <c r="D231" s="112"/>
      <c r="E231" s="112"/>
      <c r="F231" s="112"/>
      <c r="G231" s="112"/>
      <c r="H231" s="112"/>
    </row>
    <row r="232" ht="15" customHeight="1">
      <c r="A232" s="112"/>
      <c r="B232" s="112"/>
      <c r="C232" s="112"/>
      <c r="D232" s="112"/>
      <c r="E232" s="112"/>
      <c r="F232" s="112"/>
      <c r="G232" s="112"/>
      <c r="H232" s="112"/>
    </row>
    <row r="233" ht="15" customHeight="1">
      <c r="A233" s="112"/>
      <c r="B233" s="112"/>
      <c r="C233" s="112"/>
      <c r="D233" s="112"/>
      <c r="E233" s="112"/>
      <c r="F233" s="112"/>
      <c r="G233" s="112"/>
      <c r="H233" s="112"/>
    </row>
    <row r="234" ht="15" customHeight="1">
      <c r="A234" s="112"/>
      <c r="B234" s="112"/>
      <c r="C234" s="112"/>
      <c r="D234" s="112"/>
      <c r="E234" s="112"/>
      <c r="F234" s="112"/>
      <c r="G234" s="112"/>
      <c r="H234" s="112"/>
    </row>
    <row r="235" ht="15" customHeight="1">
      <c r="A235" s="112"/>
      <c r="B235" s="112"/>
      <c r="C235" s="112"/>
      <c r="D235" s="112"/>
      <c r="E235" s="112"/>
      <c r="F235" s="112"/>
      <c r="G235" s="112"/>
    </row>
    <row r="236" ht="15" customHeight="1">
      <c r="A236" s="112"/>
      <c r="B236" s="112"/>
      <c r="C236" s="112"/>
      <c r="D236" s="112"/>
      <c r="E236" s="112"/>
      <c r="F236" s="112"/>
      <c r="G236" s="112"/>
    </row>
    <row r="237" ht="15" customHeight="1">
      <c r="A237" s="112"/>
      <c r="B237" s="112"/>
      <c r="C237" s="112"/>
      <c r="D237" s="112"/>
      <c r="E237" s="112"/>
      <c r="F237" s="112"/>
      <c r="G237" s="112"/>
    </row>
    <row r="238" ht="15" customHeight="1">
      <c r="A238" s="112"/>
      <c r="B238" s="112"/>
      <c r="C238" s="112"/>
      <c r="D238" s="112"/>
      <c r="E238" s="112"/>
      <c r="F238" s="112"/>
      <c r="G238" s="112"/>
    </row>
    <row r="239" ht="15" customHeight="1">
      <c r="A239" s="112"/>
      <c r="B239" s="112"/>
      <c r="C239" s="112"/>
      <c r="D239" s="112"/>
      <c r="E239" s="112"/>
      <c r="F239" s="112"/>
      <c r="G239" s="112"/>
    </row>
  </sheetData>
  <mergeCells count="1">
    <mergeCell ref="I1:K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566" id="{00CA0023-0002-49CA-B0B1-009E003C00BC}">
            <xm:f>$B112&lt;&gt;#REF!</xm:f>
            <x14:dxf>
              <border>
                <left style="none"/>
                <right style="none"/>
                <top style="none"/>
                <bottom style="thin">
                  <color auto="1"/>
                </bottom>
                <diagonal style="none"/>
                <vertical style="none"/>
                <horizontal style="none"/>
              </border>
            </x14:dxf>
          </x14:cfRule>
          <xm:sqref>A111:G111</xm:sqref>
        </x14:conditionalFormatting>
        <x14:conditionalFormatting xmlns:xm="http://schemas.microsoft.com/office/excel/2006/main">
          <x14:cfRule type="expression" priority="563" id="{00BD00E9-00E7-4761-AC22-008A00DE00F8}">
            <xm:f>$B112&lt;&gt;#REF!</xm:f>
            <x14:dxf>
              <border>
                <left style="none"/>
                <right style="none"/>
                <top style="none"/>
                <bottom style="thin">
                  <color auto="1"/>
                </bottom>
                <diagonal style="none"/>
                <vertical style="none"/>
                <horizontal style="none"/>
              </border>
            </x14:dxf>
          </x14:cfRule>
          <xm:sqref>H106</xm:sqref>
        </x14:conditionalFormatting>
        <x14:conditionalFormatting xmlns:xm="http://schemas.microsoft.com/office/excel/2006/main">
          <x14:cfRule type="expression" priority="562" id="{00D00019-00E1-48F2-AA78-006100E600FF}">
            <xm:f>#REF!&lt;&gt;$B113</xm:f>
            <x14:dxf>
              <border>
                <left style="none"/>
                <right style="none"/>
                <top style="none"/>
                <bottom style="thin">
                  <color auto="1"/>
                </bottom>
                <diagonal style="none"/>
                <vertical style="none"/>
                <horizontal style="none"/>
              </border>
            </x14:dxf>
          </x14:cfRule>
          <xm:sqref>H107</xm:sqref>
        </x14:conditionalFormatting>
        <x14:conditionalFormatting xmlns:xm="http://schemas.microsoft.com/office/excel/2006/main">
          <x14:cfRule type="expression" priority="558" id="{00E800CE-0057-4D2B-BCF0-00F7003100EC}">
            <xm:f>#REF!&lt;&gt;#REF!</xm:f>
            <x14:dxf>
              <border>
                <left style="none"/>
                <right style="none"/>
                <top style="none"/>
                <bottom style="thin">
                  <color auto="1"/>
                </bottom>
                <diagonal style="none"/>
                <vertical style="none"/>
                <horizontal style="none"/>
              </border>
            </x14:dxf>
          </x14:cfRule>
          <xm:sqref>H100</xm:sqref>
        </x14:conditionalFormatting>
        <x14:conditionalFormatting xmlns:xm="http://schemas.microsoft.com/office/excel/2006/main">
          <x14:cfRule type="expression" priority="557" id="{00670027-00A6-406F-BF3D-0083006C0093}">
            <xm:f>#REF!&lt;&gt;$B103</xm:f>
            <x14:dxf>
              <border>
                <left style="none"/>
                <right style="none"/>
                <top style="none"/>
                <bottom style="thin">
                  <color auto="1"/>
                </bottom>
                <diagonal style="none"/>
                <vertical style="none"/>
                <horizontal style="none"/>
              </border>
            </x14:dxf>
          </x14:cfRule>
          <xm:sqref>H101</xm:sqref>
        </x14:conditionalFormatting>
        <x14:conditionalFormatting xmlns:xm="http://schemas.microsoft.com/office/excel/2006/main">
          <x14:cfRule type="expression" priority="554" id="{009800A3-0029-4198-8EB6-003F00B10084}">
            <xm:f>$B102&lt;&gt;#REF!</xm:f>
            <x14:dxf>
              <border>
                <left style="none"/>
                <right style="none"/>
                <top style="none"/>
                <bottom style="thin">
                  <color auto="1"/>
                </bottom>
                <diagonal style="none"/>
                <vertical style="none"/>
                <horizontal style="none"/>
              </border>
            </x14:dxf>
          </x14:cfRule>
          <xm:sqref>A101:G101</xm:sqref>
        </x14:conditionalFormatting>
        <x14:conditionalFormatting xmlns:xm="http://schemas.microsoft.com/office/excel/2006/main">
          <x14:cfRule type="expression" priority="550" id="{00D200D2-00CF-4EE5-A74F-00B60004000F}">
            <xm:f>$B102&lt;&gt;#REF!</xm:f>
            <x14:dxf>
              <border>
                <left style="none"/>
                <right style="none"/>
                <top style="none"/>
                <bottom style="thin">
                  <color auto="1"/>
                </bottom>
                <diagonal style="none"/>
                <vertical style="none"/>
                <horizontal style="none"/>
              </border>
            </x14:dxf>
          </x14:cfRule>
          <xm:sqref>H96</xm:sqref>
        </x14:conditionalFormatting>
        <x14:conditionalFormatting xmlns:xm="http://schemas.microsoft.com/office/excel/2006/main">
          <x14:cfRule type="expression" priority="549" id="{00B30014-000E-4B20-BB1C-004000C90001}">
            <xm:f>#REF!&lt;&gt;#REF!</xm:f>
            <x14:dxf>
              <border>
                <left style="none"/>
                <right style="none"/>
                <top style="none"/>
                <bottom style="thin">
                  <color auto="1"/>
                </bottom>
                <diagonal style="none"/>
                <vertical style="none"/>
                <horizontal style="none"/>
              </border>
            </x14:dxf>
          </x14:cfRule>
          <xm:sqref>H97:H99</xm:sqref>
        </x14:conditionalFormatting>
        <x14:conditionalFormatting xmlns:xm="http://schemas.microsoft.com/office/excel/2006/main">
          <x14:cfRule type="expression" priority="545" id="{00C20051-0038-423E-92EB-00110097007B}">
            <xm:f>$B9&lt;&gt;$B19</xm:f>
            <x14:dxf>
              <border>
                <left style="none"/>
                <right style="none"/>
                <top style="none"/>
                <bottom style="thin">
                  <color auto="1"/>
                </bottom>
                <diagonal style="none"/>
                <vertical style="none"/>
                <horizontal style="none"/>
              </border>
            </x14:dxf>
          </x14:cfRule>
          <xm:sqref>I8:K8</xm:sqref>
        </x14:conditionalFormatting>
        <x14:conditionalFormatting xmlns:xm="http://schemas.microsoft.com/office/excel/2006/main">
          <x14:cfRule type="expression" priority="538" id="{00C9001A-004B-4FBA-A761-00A8009100EA}">
            <xm:f>$B89&lt;&gt;#REF!</xm:f>
            <x14:dxf>
              <border>
                <left style="none"/>
                <right style="none"/>
                <top style="none"/>
                <bottom style="thin">
                  <color auto="1"/>
                </bottom>
                <diagonal style="none"/>
                <vertical style="none"/>
                <horizontal style="none"/>
              </border>
            </x14:dxf>
          </x14:cfRule>
          <xm:sqref>H82</xm:sqref>
        </x14:conditionalFormatting>
        <x14:conditionalFormatting xmlns:xm="http://schemas.microsoft.com/office/excel/2006/main">
          <x14:cfRule type="expression" priority="535" id="{00A10007-009D-4AA0-B34A-00CB00D1004F}">
            <xm:f>#REF!&lt;&gt;$B90</xm:f>
            <x14:dxf>
              <border>
                <left style="none"/>
                <right style="none"/>
                <top style="none"/>
                <bottom style="thin">
                  <color auto="1"/>
                </bottom>
                <diagonal style="none"/>
                <vertical style="none"/>
                <horizontal style="none"/>
              </border>
            </x14:dxf>
          </x14:cfRule>
          <xm:sqref>H84</xm:sqref>
        </x14:conditionalFormatting>
        <x14:conditionalFormatting xmlns:xm="http://schemas.microsoft.com/office/excel/2006/main">
          <x14:cfRule type="expression" priority="534" id="{00D1003A-00E2-4C56-9C3E-00CE00470066}">
            <xm:f>$B89&lt;&gt;#REF!</xm:f>
            <x14:dxf>
              <border>
                <left style="none"/>
                <right style="none"/>
                <top style="none"/>
                <bottom style="thin">
                  <color auto="1"/>
                </bottom>
                <diagonal style="none"/>
                <vertical style="none"/>
                <horizontal style="none"/>
              </border>
            </x14:dxf>
          </x14:cfRule>
          <xm:sqref>A88 C88:H88</xm:sqref>
        </x14:conditionalFormatting>
        <x14:conditionalFormatting xmlns:xm="http://schemas.microsoft.com/office/excel/2006/main">
          <x14:cfRule type="expression" priority="532" id="{006D007A-000C-4D83-B934-00BB004B007A}">
            <xm:f>$B85&lt;&gt;$B86</xm:f>
            <x14:dxf>
              <border>
                <left style="none"/>
                <right style="none"/>
                <top style="none"/>
                <bottom style="thin">
                  <color auto="1"/>
                </bottom>
                <diagonal style="none"/>
                <vertical style="none"/>
                <horizontal style="none"/>
              </border>
            </x14:dxf>
          </x14:cfRule>
          <xm:sqref>H77:H80</xm:sqref>
        </x14:conditionalFormatting>
        <x14:conditionalFormatting xmlns:xm="http://schemas.microsoft.com/office/excel/2006/main">
          <x14:cfRule type="expression" priority="526" id="{00BD0021-000A-4B6D-98B7-00F00022009D}">
            <xm:f>$B81&lt;&gt;$B83</xm:f>
            <x14:dxf>
              <border>
                <left style="none"/>
                <right style="none"/>
                <top style="none"/>
                <bottom style="thin">
                  <color auto="1"/>
                </bottom>
                <diagonal style="none"/>
                <vertical style="none"/>
                <horizontal style="none"/>
              </border>
            </x14:dxf>
          </x14:cfRule>
          <xm:sqref>H74 H76</xm:sqref>
        </x14:conditionalFormatting>
        <x14:conditionalFormatting xmlns:xm="http://schemas.microsoft.com/office/excel/2006/main">
          <x14:cfRule type="expression" priority="519" id="{00F0001D-00F9-418A-BAD4-00F200EC00DB}">
            <xm:f>$B67&lt;&gt;$B68</xm:f>
            <x14:dxf>
              <border>
                <left style="none"/>
                <right style="none"/>
                <top style="none"/>
                <bottom style="thin">
                  <color auto="1"/>
                </bottom>
                <diagonal style="none"/>
                <vertical style="none"/>
                <horizontal style="none"/>
              </border>
            </x14:dxf>
          </x14:cfRule>
          <xm:sqref>H60:H65 H70:H73</xm:sqref>
        </x14:conditionalFormatting>
        <x14:conditionalFormatting xmlns:xm="http://schemas.microsoft.com/office/excel/2006/main">
          <x14:cfRule type="expression" priority="518" id="{00480067-00B1-49CE-A31F-007700EB0040}">
            <xm:f>$B65&lt;&gt;$B67</xm:f>
            <x14:dxf>
              <border>
                <left style="none"/>
                <right style="none"/>
                <top style="none"/>
                <bottom style="thin">
                  <color auto="1"/>
                </bottom>
                <diagonal style="none"/>
                <vertical style="none"/>
                <horizontal style="none"/>
              </border>
            </x14:dxf>
          </x14:cfRule>
          <xm:sqref>H59 H69</xm:sqref>
        </x14:conditionalFormatting>
        <x14:conditionalFormatting xmlns:xm="http://schemas.microsoft.com/office/excel/2006/main">
          <x14:cfRule type="expression" priority="508" id="{00CC00ED-007A-4F2F-8D63-0000002200FC}">
            <xm:f>$B10&lt;&gt;$B19</xm:f>
            <x14:dxf>
              <border>
                <left style="none"/>
                <right style="none"/>
                <top style="none"/>
                <bottom style="thin">
                  <color auto="1"/>
                </bottom>
                <diagonal style="none"/>
                <vertical style="none"/>
                <horizontal style="none"/>
              </border>
            </x14:dxf>
          </x14:cfRule>
          <xm:sqref>I9:K10</xm:sqref>
        </x14:conditionalFormatting>
        <x14:conditionalFormatting xmlns:xm="http://schemas.microsoft.com/office/excel/2006/main">
          <x14:cfRule type="expression" priority="475" id="{00C300C7-0045-40E7-8805-002400DD009D}">
            <xm:f>$B94&lt;&gt;$B95</xm:f>
            <x14:dxf>
              <border>
                <left style="none"/>
                <right style="none"/>
                <top style="none"/>
                <bottom style="thin">
                  <color auto="1"/>
                </bottom>
                <diagonal style="none"/>
                <vertical style="none"/>
                <horizontal style="none"/>
              </border>
            </x14:dxf>
          </x14:cfRule>
          <xm:sqref>H91:H92</xm:sqref>
        </x14:conditionalFormatting>
        <x14:conditionalFormatting xmlns:xm="http://schemas.microsoft.com/office/excel/2006/main">
          <x14:cfRule type="expression" priority="473" id="{00F300AC-005C-4AB2-AFB9-003F00B90031}">
            <xm:f>#REF!&lt;&gt;$B94</xm:f>
            <x14:dxf>
              <border>
                <left style="none"/>
                <right style="none"/>
                <top style="none"/>
                <bottom style="thin">
                  <color auto="1"/>
                </bottom>
                <diagonal style="none"/>
                <vertical style="none"/>
                <horizontal style="none"/>
              </border>
            </x14:dxf>
          </x14:cfRule>
          <xm:sqref>H90</xm:sqref>
        </x14:conditionalFormatting>
        <x14:conditionalFormatting xmlns:xm="http://schemas.microsoft.com/office/excel/2006/main">
          <x14:cfRule type="expression" priority="467" id="{00D0005E-00F1-49D4-A871-008900230048}">
            <xm:f>$B90&lt;&gt;#REF!</xm:f>
            <x14:dxf>
              <border>
                <left style="none"/>
                <right style="none"/>
                <top style="none"/>
                <bottom style="thin">
                  <color auto="1"/>
                </bottom>
                <diagonal style="none"/>
                <vertical style="none"/>
                <horizontal style="none"/>
              </border>
            </x14:dxf>
          </x14:cfRule>
          <xm:sqref>H85</xm:sqref>
        </x14:conditionalFormatting>
        <x14:conditionalFormatting xmlns:xm="http://schemas.microsoft.com/office/excel/2006/main">
          <x14:cfRule type="expression" priority="466" id="{0075000F-003C-4DD8-A5BC-004F005E0013}">
            <xm:f>#REF!&lt;&gt;#REF!</xm:f>
            <x14:dxf>
              <border>
                <left style="none"/>
                <right style="none"/>
                <top style="none"/>
                <bottom style="thin">
                  <color auto="1"/>
                </bottom>
                <diagonal style="none"/>
                <vertical style="none"/>
                <horizontal style="none"/>
              </border>
            </x14:dxf>
          </x14:cfRule>
          <xm:sqref>H86:H89</xm:sqref>
        </x14:conditionalFormatting>
        <x14:conditionalFormatting xmlns:xm="http://schemas.microsoft.com/office/excel/2006/main">
          <x14:cfRule type="expression" priority="464" id="{00A900C4-0047-4D78-957B-008000330019}">
            <xm:f>$B90&lt;&gt;#REF!</xm:f>
            <x14:dxf>
              <border>
                <left style="none"/>
                <right style="none"/>
                <top style="none"/>
                <bottom style="thin">
                  <color auto="1"/>
                </bottom>
                <diagonal style="none"/>
                <vertical style="none"/>
                <horizontal style="none"/>
              </border>
            </x14:dxf>
          </x14:cfRule>
          <xm:sqref>A89 C89:H89</xm:sqref>
        </x14:conditionalFormatting>
        <x14:conditionalFormatting xmlns:xm="http://schemas.microsoft.com/office/excel/2006/main">
          <x14:cfRule type="expression" priority="462" id="{00A700A6-0011-475F-861F-006500030001}">
            <xm:f>$B38&lt;&gt;$B42</xm:f>
            <x14:dxf>
              <border>
                <left style="none"/>
                <right style="none"/>
                <top style="none"/>
                <bottom style="thin">
                  <color auto="1"/>
                </bottom>
                <diagonal style="none"/>
                <vertical style="none"/>
                <horizontal style="none"/>
              </border>
            </x14:dxf>
          </x14:cfRule>
          <xm:sqref>A37 D37:F37 I37:K37</xm:sqref>
        </x14:conditionalFormatting>
        <x14:conditionalFormatting xmlns:xm="http://schemas.microsoft.com/office/excel/2006/main">
          <x14:cfRule type="expression" priority="454" id="{003400D8-001B-4121-9FEB-00BD00300034}">
            <xm:f>$B63&lt;&gt;$B65</xm:f>
            <x14:dxf>
              <border>
                <left style="none"/>
                <right style="none"/>
                <top style="none"/>
                <bottom style="thin">
                  <color auto="1"/>
                </bottom>
                <diagonal style="none"/>
                <vertical style="none"/>
                <horizontal style="none"/>
              </border>
            </x14:dxf>
          </x14:cfRule>
          <xm:sqref>H58</xm:sqref>
        </x14:conditionalFormatting>
        <x14:conditionalFormatting xmlns:xm="http://schemas.microsoft.com/office/excel/2006/main">
          <x14:cfRule type="expression" priority="453" id="{007D00C7-0086-4C64-A1BB-007700270079}">
            <xm:f>$B72&lt;&gt;$B73</xm:f>
            <x14:dxf>
              <border>
                <left style="none"/>
                <right style="none"/>
                <top style="none"/>
                <bottom style="thin">
                  <color auto="1"/>
                </bottom>
                <diagonal style="none"/>
                <vertical style="none"/>
                <horizontal style="none"/>
              </border>
            </x14:dxf>
          </x14:cfRule>
          <xm:sqref>H66:H68 H93:H95 H102:H105 H112:H234</xm:sqref>
        </x14:conditionalFormatting>
        <x14:conditionalFormatting xmlns:xm="http://schemas.microsoft.com/office/excel/2006/main">
          <x14:cfRule type="expression" priority="449" id="{009000DA-0042-4D8F-9C62-007E004700B9}">
            <xm:f>$B62&lt;&gt;$B63</xm:f>
            <x14:dxf>
              <border>
                <left style="none"/>
                <right style="none"/>
                <top style="none"/>
                <bottom style="thin">
                  <color auto="1"/>
                </bottom>
                <diagonal style="none"/>
                <vertical style="none"/>
                <horizontal style="none"/>
              </border>
            </x14:dxf>
          </x14:cfRule>
          <xm:sqref>H57 H108:H111</xm:sqref>
        </x14:conditionalFormatting>
        <x14:conditionalFormatting xmlns:xm="http://schemas.microsoft.com/office/excel/2006/main">
          <x14:cfRule type="expression" priority="448" id="{0084004C-00EA-4750-ACB1-0043003F0045}">
            <xm:f>$B50&lt;&gt;$B56</xm:f>
            <x14:dxf>
              <border>
                <left style="none"/>
                <right style="none"/>
                <top style="none"/>
                <bottom style="thin">
                  <color auto="1"/>
                </bottom>
                <diagonal style="none"/>
                <vertical style="none"/>
                <horizontal style="none"/>
              </border>
            </x14:dxf>
          </x14:cfRule>
          <xm:sqref>I49:K50</xm:sqref>
        </x14:conditionalFormatting>
        <x14:conditionalFormatting xmlns:xm="http://schemas.microsoft.com/office/excel/2006/main">
          <x14:cfRule type="expression" priority="444" id="{009F006F-0064-4725-984B-008C000A001A}">
            <xm:f>$B15&lt;&gt;$B20</xm:f>
            <x14:dxf>
              <border>
                <left style="none"/>
                <right style="none"/>
                <top style="none"/>
                <bottom style="thin">
                  <color auto="1"/>
                </bottom>
                <diagonal style="none"/>
                <vertical style="none"/>
                <horizontal style="none"/>
              </border>
            </x14:dxf>
          </x14:cfRule>
          <xm:sqref>H56 G27:G28 G34:G35 I39:K39 A39 D39:G39 B43:C43 E43:G43 G44 I14:K15 D15:G15 A15</xm:sqref>
        </x14:conditionalFormatting>
        <x14:conditionalFormatting xmlns:xm="http://schemas.microsoft.com/office/excel/2006/main">
          <x14:cfRule type="expression" priority="442" id="{0025006D-00B8-406C-8E0F-00F100E6008C}">
            <xm:f>$B55&lt;&gt;#REF!</xm:f>
            <x14:dxf>
              <border>
                <left style="none"/>
                <right style="none"/>
                <top style="none"/>
                <bottom style="thin">
                  <color auto="1"/>
                </bottom>
                <diagonal style="none"/>
                <vertical style="none"/>
                <horizontal style="none"/>
              </border>
            </x14:dxf>
          </x14:cfRule>
          <xm:sqref>I54:K54</xm:sqref>
        </x14:conditionalFormatting>
        <x14:conditionalFormatting xmlns:xm="http://schemas.microsoft.com/office/excel/2006/main">
          <x14:cfRule type="expression" priority="439" id="{0074001F-0031-402E-9D8D-005600EC0000}">
            <xm:f>$B56&lt;&gt;#REF!</xm:f>
            <x14:dxf>
              <border>
                <left style="none"/>
                <right style="none"/>
                <top style="none"/>
                <bottom style="thin">
                  <color auto="1"/>
                </bottom>
                <diagonal style="none"/>
                <vertical style="none"/>
                <horizontal style="none"/>
              </border>
            </x14:dxf>
          </x14:cfRule>
          <xm:sqref>I55:K55</xm:sqref>
        </x14:conditionalFormatting>
        <x14:conditionalFormatting xmlns:xm="http://schemas.microsoft.com/office/excel/2006/main">
          <x14:cfRule type="expression" priority="385" id="{00660045-0065-424C-99C3-001900620070}">
            <xm:f>$B3&lt;&gt;$B5</xm:f>
            <x14:dxf>
              <border>
                <left style="none"/>
                <right style="none"/>
                <top style="none"/>
                <bottom style="thin">
                  <color auto="1"/>
                </bottom>
                <diagonal style="none"/>
                <vertical style="none"/>
                <horizontal style="none"/>
              </border>
            </x14:dxf>
          </x14:cfRule>
          <xm:sqref>A37:H37 D8 A3:K3 A28:H28 A30:C30 A35:K35 A44:K44 A74 A80 A82 A46:K46 A64:A65 C64:H65 C82:H82 C80:H80 C74:H74 H8 H30:K30 F30 B4:B14</xm:sqref>
        </x14:conditionalFormatting>
        <x14:conditionalFormatting xmlns:xm="http://schemas.microsoft.com/office/excel/2006/main">
          <x14:cfRule type="expression" priority="385" id="{00C20034-0011-4A36-8626-00A100D2006F}">
            <xm:f>$B3&lt;&gt;$B5</xm:f>
            <x14:dxf>
              <border>
                <left style="none"/>
                <right style="none"/>
                <top style="none"/>
                <bottom style="thin">
                  <color auto="1"/>
                </bottom>
                <diagonal style="none"/>
                <vertical style="none"/>
                <horizontal style="none"/>
              </border>
            </x14:dxf>
          </x14:cfRule>
          <xm:sqref>B10</xm:sqref>
        </x14:conditionalFormatting>
        <x14:conditionalFormatting xmlns:xm="http://schemas.microsoft.com/office/excel/2006/main">
          <x14:cfRule type="expression" priority="382" id="{00DD0089-0020-43DD-A870-00B2002500F7}">
            <xm:f>$B19&lt;&gt;#REF!</xm:f>
            <x14:dxf>
              <border>
                <left style="none"/>
                <right style="none"/>
                <top style="none"/>
                <bottom style="thin">
                  <color auto="1"/>
                </bottom>
                <diagonal style="none"/>
                <vertical style="none"/>
                <horizontal style="none"/>
              </border>
            </x14:dxf>
          </x14:cfRule>
          <xm:sqref>I18:K18 A18 D18:F18 D18:D20 D27:D28</xm:sqref>
        </x14:conditionalFormatting>
        <x14:conditionalFormatting xmlns:xm="http://schemas.microsoft.com/office/excel/2006/main">
          <x14:cfRule type="expression" priority="364" id="{008100AE-008B-4211-9370-006C00E0000C}">
            <xm:f>$B5&lt;&gt;$B6</xm:f>
            <x14:dxf>
              <border>
                <left style="none"/>
                <right style="none"/>
                <top style="none"/>
                <bottom style="thin">
                  <color auto="1"/>
                </bottom>
                <diagonal style="none"/>
                <vertical style="none"/>
                <horizontal style="none"/>
              </border>
            </x14:dxf>
          </x14:cfRule>
          <xm:sqref>A39:H40 I19:K19 A18:F19 A7 A5 C13:D14 B27:H27 A33:K34 G40:G43 A45:K45 A76:A79 D84:H84 I48:K48 A86:H86 A66:H70 A71:A73 C71:H73 A84:A85 C85:H85 C76:H79 B71:B85 A87 C87:H87 B87:B89 A90:G100 A112:G239 H13:H14 A48:H63 A105:G110 A32:C32 H32:K32 B26:C26 H26 F32 H18:H19 D5:K7 E5:K5</xm:sqref>
        </x14:conditionalFormatting>
        <x14:conditionalFormatting xmlns:xm="http://schemas.microsoft.com/office/excel/2006/main">
          <x14:cfRule type="expression" priority="358" id="{009C00A1-0088-4D2D-BC6F-004200C700EE}">
            <xm:f>$B9&lt;&gt;#REF!</xm:f>
            <x14:dxf>
              <border>
                <left style="none"/>
                <right style="none"/>
                <top style="none"/>
                <bottom style="thin">
                  <color auto="1"/>
                </bottom>
                <diagonal style="none"/>
                <vertical style="none"/>
                <horizontal style="none"/>
              </border>
            </x14:dxf>
          </x14:cfRule>
          <xm:sqref>D8 D14</xm:sqref>
        </x14:conditionalFormatting>
        <x14:conditionalFormatting xmlns:xm="http://schemas.microsoft.com/office/excel/2006/main">
          <x14:cfRule type="expression" priority="356" id="{004B0053-0065-4853-B0C5-00310042005A}">
            <xm:f>$B6&lt;&gt;#REF!</xm:f>
            <x14:dxf>
              <border>
                <left style="none"/>
                <right style="none"/>
                <top style="none"/>
                <bottom style="thin">
                  <color auto="1"/>
                </bottom>
                <diagonal style="none"/>
                <vertical style="none"/>
                <horizontal style="none"/>
              </border>
            </x14:dxf>
          </x14:cfRule>
          <xm:sqref>D5</xm:sqref>
        </x14:conditionalFormatting>
        <x14:conditionalFormatting xmlns:xm="http://schemas.microsoft.com/office/excel/2006/main">
          <x14:cfRule type="expression" priority="353" id="{00310045-0038-4025-BC0B-00AF0005008A}">
            <xm:f>$B16&lt;&gt;$B19</xm:f>
            <x14:dxf>
              <border>
                <left style="none"/>
                <right style="none"/>
                <top style="none"/>
                <bottom style="thin">
                  <color auto="1"/>
                </bottom>
                <diagonal style="none"/>
                <vertical style="none"/>
                <horizontal style="none"/>
              </border>
            </x14:dxf>
          </x14:cfRule>
          <xm:sqref>A41:K41 G43:K43 A43 D43 G48:G49 A15:H15</xm:sqref>
        </x14:conditionalFormatting>
        <x14:conditionalFormatting xmlns:xm="http://schemas.microsoft.com/office/excel/2006/main">
          <x14:cfRule type="expression" priority="350" id="{002B00AB-001A-403D-A8A9-006C00B20018}">
            <xm:f>$B5&lt;&gt;$B8</xm:f>
            <x14:dxf>
              <border>
                <left style="none"/>
                <right style="none"/>
                <top style="none"/>
                <bottom style="thin">
                  <color auto="1"/>
                </bottom>
                <diagonal style="none"/>
                <vertical style="none"/>
                <horizontal style="none"/>
              </border>
            </x14:dxf>
          </x14:cfRule>
          <xm:sqref>I53:K53 G5 D10 E27:F27 H10</xm:sqref>
        </x14:conditionalFormatting>
        <x14:conditionalFormatting xmlns:xm="http://schemas.microsoft.com/office/excel/2006/main">
          <x14:cfRule type="expression" priority="349" id="{00CF00AB-0007-4775-8A0B-006600ED00E2}">
            <xm:f>$B3&lt;&gt;$B7</xm:f>
            <x14:dxf>
              <border>
                <left style="none"/>
                <right style="none"/>
                <top style="none"/>
                <bottom style="thin">
                  <color auto="1"/>
                </bottom>
                <diagonal style="none"/>
                <vertical style="none"/>
                <horizontal style="none"/>
              </border>
            </x14:dxf>
          </x14:cfRule>
          <xm:sqref>G3 I26:K26 I28:K28 A28 D28:F28 G33 G37 A42:K42 G45:G46</xm:sqref>
        </x14:conditionalFormatting>
        <x14:conditionalFormatting xmlns:xm="http://schemas.microsoft.com/office/excel/2006/main">
          <x14:cfRule type="expression" priority="348" id="{00CD00E8-00B3-4942-96DD-006000DD0049}">
            <xm:f>$B8&lt;&gt;$B14</xm:f>
            <x14:dxf>
              <border>
                <left style="none"/>
                <right style="none"/>
                <top style="none"/>
                <bottom style="thin">
                  <color auto="1"/>
                </bottom>
                <diagonal style="none"/>
                <vertical style="none"/>
                <horizontal style="none"/>
              </border>
            </x14:dxf>
          </x14:cfRule>
          <xm:sqref>G7 A40 I40:K40 G45:G46 G43 D40:G40 A20:F21 H20:K21</xm:sqref>
        </x14:conditionalFormatting>
        <x14:conditionalFormatting xmlns:xm="http://schemas.microsoft.com/office/excel/2006/main">
          <x14:cfRule type="expression" priority="347" id="{00E8000F-007A-46CF-A968-0035009700B8}">
            <xm:f>$B11&lt;&gt;#REF!</xm:f>
            <x14:dxf>
              <border>
                <left style="none"/>
                <right style="none"/>
                <top style="none"/>
                <bottom style="thin">
                  <color auto="1"/>
                </bottom>
                <diagonal style="none"/>
                <vertical style="none"/>
                <horizontal style="none"/>
              </border>
            </x14:dxf>
          </x14:cfRule>
          <xm:sqref>D10</xm:sqref>
        </x14:conditionalFormatting>
        <x14:conditionalFormatting xmlns:xm="http://schemas.microsoft.com/office/excel/2006/main">
          <x14:cfRule type="expression" priority="345" id="{00780095-00BC-4296-9BA7-0011007B002C}">
            <xm:f>$B14&lt;&gt;$B21</xm:f>
            <x14:dxf>
              <border>
                <left style="none"/>
                <right style="none"/>
                <top style="none"/>
                <bottom style="thin">
                  <color auto="1"/>
                </bottom>
                <diagonal style="none"/>
                <vertical style="none"/>
                <horizontal style="none"/>
              </border>
            </x14:dxf>
          </x14:cfRule>
          <xm:sqref>I13:K13</xm:sqref>
        </x14:conditionalFormatting>
        <x14:conditionalFormatting xmlns:xm="http://schemas.microsoft.com/office/excel/2006/main">
          <x14:cfRule type="expression" priority="344" id="{004C00EF-0032-4102-8FDB-008700FB00AA}">
            <xm:f>$B14&lt;&gt;#REF!</xm:f>
            <x14:dxf>
              <border>
                <left style="none"/>
                <right style="none"/>
                <top style="none"/>
                <bottom style="thin">
                  <color auto="1"/>
                </bottom>
                <diagonal style="none"/>
                <vertical style="none"/>
                <horizontal style="none"/>
              </border>
            </x14:dxf>
          </x14:cfRule>
          <xm:sqref>D13</xm:sqref>
        </x14:conditionalFormatting>
        <x14:conditionalFormatting xmlns:xm="http://schemas.microsoft.com/office/excel/2006/main">
          <x14:cfRule type="expression" priority="343" id="{00BA001F-00D1-4E02-8098-00E9004F000F}">
            <xm:f>$B53&lt;&gt;$B56</xm:f>
            <x14:dxf>
              <border>
                <left style="none"/>
                <right style="none"/>
                <top style="none"/>
                <bottom style="thin">
                  <color auto="1"/>
                </bottom>
                <diagonal style="none"/>
                <vertical style="none"/>
                <horizontal style="none"/>
              </border>
            </x14:dxf>
          </x14:cfRule>
          <xm:sqref>I52:K52</xm:sqref>
        </x14:conditionalFormatting>
        <x14:conditionalFormatting xmlns:xm="http://schemas.microsoft.com/office/excel/2006/main">
          <x14:cfRule type="expression" priority="342" id="{00FB001F-00A8-45CE-B79C-009800540068}">
            <xm:f>$B52&lt;&gt;$B55</xm:f>
            <x14:dxf>
              <border>
                <left style="none"/>
                <right style="none"/>
                <top style="none"/>
                <bottom style="thin">
                  <color auto="1"/>
                </bottom>
                <diagonal style="none"/>
                <vertical style="none"/>
                <horizontal style="none"/>
              </border>
            </x14:dxf>
          </x14:cfRule>
          <xm:sqref>I51:K51</xm:sqref>
        </x14:conditionalFormatting>
        <x14:conditionalFormatting xmlns:xm="http://schemas.microsoft.com/office/excel/2006/main">
          <x14:cfRule type="expression" priority="340" id="{00970031-00FA-44ED-AC90-006500310023}">
            <xm:f>$B28&lt;&gt;$B31</xm:f>
            <x14:dxf>
              <border>
                <left style="none"/>
                <right style="none"/>
                <top style="none"/>
                <bottom style="thin">
                  <color auto="1"/>
                </bottom>
                <diagonal style="none"/>
                <vertical style="none"/>
                <horizontal style="none"/>
              </border>
            </x14:dxf>
          </x14:cfRule>
          <xm:sqref>I27:K27</xm:sqref>
        </x14:conditionalFormatting>
        <x14:conditionalFormatting xmlns:xm="http://schemas.microsoft.com/office/excel/2006/main">
          <x14:cfRule type="expression" priority="338" id="{00FA0044-00A6-48EB-8CD9-00B700B800F6}">
            <xm:f>$B28&lt;&gt;$B33</xm:f>
            <x14:dxf>
              <border>
                <left style="none"/>
                <right style="none"/>
                <top style="none"/>
                <bottom style="thin">
                  <color auto="1"/>
                </bottom>
                <diagonal style="none"/>
                <vertical style="none"/>
                <horizontal style="none"/>
              </border>
            </x14:dxf>
          </x14:cfRule>
          <xm:sqref>D27</xm:sqref>
        </x14:conditionalFormatting>
        <x14:conditionalFormatting xmlns:xm="http://schemas.microsoft.com/office/excel/2006/main">
          <x14:cfRule type="expression" priority="331" id="{006600B1-006B-47FE-81EF-004C002D00F5}">
            <xm:f>$B16&lt;&gt;$B19</xm:f>
            <x14:dxf>
              <border>
                <left style="none"/>
                <right style="none"/>
                <top style="none"/>
                <bottom style="thin">
                  <color auto="1"/>
                </bottom>
                <diagonal style="none"/>
                <vertical style="none"/>
                <horizontal style="none"/>
              </border>
            </x14:dxf>
          </x14:cfRule>
          <xm:sqref>B15</xm:sqref>
        </x14:conditionalFormatting>
        <x14:conditionalFormatting xmlns:xm="http://schemas.microsoft.com/office/excel/2006/main">
          <x14:cfRule type="expression" priority="328" id="{00150089-00BD-44F2-8F68-009E004A00BF}">
            <xm:f>$B19&lt;&gt;$B20</xm:f>
            <x14:dxf>
              <border>
                <left style="none"/>
                <right style="none"/>
                <top style="none"/>
                <bottom style="thin">
                  <color auto="1"/>
                </bottom>
                <diagonal style="none"/>
                <vertical style="none"/>
                <horizontal style="none"/>
              </border>
            </x14:dxf>
          </x14:cfRule>
          <xm:sqref>B18</xm:sqref>
        </x14:conditionalFormatting>
        <x14:conditionalFormatting xmlns:xm="http://schemas.microsoft.com/office/excel/2006/main">
          <x14:cfRule type="expression" priority="327" id="{00DE0073-0000-4FE8-A42C-00CF00EE00EE}">
            <xm:f>$B20&lt;&gt;$B21</xm:f>
            <x14:dxf>
              <border>
                <left style="none"/>
                <right style="none"/>
                <top style="none"/>
                <bottom style="thin">
                  <color auto="1"/>
                </bottom>
                <diagonal style="none"/>
                <vertical style="none"/>
                <horizontal style="none"/>
              </border>
            </x14:dxf>
          </x14:cfRule>
          <xm:sqref>B19</xm:sqref>
        </x14:conditionalFormatting>
        <x14:conditionalFormatting xmlns:xm="http://schemas.microsoft.com/office/excel/2006/main">
          <x14:cfRule type="expression" priority="326" id="{00C5009E-001B-48D0-BB36-00D7002A00B9}">
            <xm:f>$B21&lt;&gt;$B27</xm:f>
            <x14:dxf>
              <border>
                <left style="none"/>
                <right style="none"/>
                <top style="none"/>
                <bottom style="thin">
                  <color auto="1"/>
                </bottom>
                <diagonal style="none"/>
                <vertical style="none"/>
                <horizontal style="none"/>
              </border>
            </x14:dxf>
          </x14:cfRule>
          <xm:sqref>B20</xm:sqref>
        </x14:conditionalFormatting>
        <x14:conditionalFormatting xmlns:xm="http://schemas.microsoft.com/office/excel/2006/main">
          <x14:cfRule type="expression" priority="325" id="{001600AE-006E-4C56-AD64-00BC00EB0049}">
            <xm:f>$B27&lt;&gt;$B28</xm:f>
            <x14:dxf>
              <border>
                <left style="none"/>
                <right style="none"/>
                <top style="none"/>
                <bottom style="thin">
                  <color auto="1"/>
                </bottom>
                <diagonal style="none"/>
                <vertical style="none"/>
                <horizontal style="none"/>
              </border>
            </x14:dxf>
          </x14:cfRule>
          <xm:sqref>B26</xm:sqref>
        </x14:conditionalFormatting>
        <x14:conditionalFormatting xmlns:xm="http://schemas.microsoft.com/office/excel/2006/main">
          <x14:cfRule type="expression" priority="324" id="{00F800BF-002D-4009-80F7-00A4004C00B8}">
            <xm:f>$B28&lt;&gt;$B29</xm:f>
            <x14:dxf>
              <border>
                <left style="none"/>
                <right style="none"/>
                <top style="none"/>
                <bottom style="thin">
                  <color auto="1"/>
                </bottom>
                <diagonal style="none"/>
                <vertical style="none"/>
                <horizontal style="none"/>
              </border>
            </x14:dxf>
          </x14:cfRule>
          <xm:sqref>B27</xm:sqref>
        </x14:conditionalFormatting>
        <x14:conditionalFormatting xmlns:xm="http://schemas.microsoft.com/office/excel/2006/main">
          <x14:cfRule type="expression" priority="323" id="{004800E2-0047-448F-8955-00D4008E001B}">
            <xm:f>$B29&lt;&gt;$B31</xm:f>
            <x14:dxf>
              <border>
                <left style="none"/>
                <right style="none"/>
                <top style="none"/>
                <bottom style="thin">
                  <color auto="1"/>
                </bottom>
                <diagonal style="none"/>
                <vertical style="none"/>
                <horizontal style="none"/>
              </border>
            </x14:dxf>
          </x14:cfRule>
          <xm:sqref>B28</xm:sqref>
        </x14:conditionalFormatting>
        <x14:conditionalFormatting xmlns:xm="http://schemas.microsoft.com/office/excel/2006/main">
          <x14:cfRule type="expression" priority="315" id="{001D0008-008A-45D4-9BBC-00EC00B90072}">
            <xm:f>$B31&lt;&gt;$B33</xm:f>
            <x14:dxf>
              <border>
                <left style="none"/>
                <right style="none"/>
                <top style="none"/>
                <bottom style="thin">
                  <color auto="1"/>
                </bottom>
                <diagonal style="none"/>
                <vertical style="none"/>
                <horizontal style="none"/>
              </border>
            </x14:dxf>
          </x14:cfRule>
          <xm:sqref>B30</xm:sqref>
        </x14:conditionalFormatting>
        <x14:conditionalFormatting xmlns:xm="http://schemas.microsoft.com/office/excel/2006/main">
          <x14:cfRule type="expression" priority="314" id="{00EA00E2-0013-4332-B24F-006500C40075}">
            <xm:f>$B33&lt;&gt;$B34</xm:f>
            <x14:dxf>
              <border>
                <left style="none"/>
                <right style="none"/>
                <top style="none"/>
                <bottom style="thin">
                  <color auto="1"/>
                </bottom>
                <diagonal style="none"/>
                <vertical style="none"/>
                <horizontal style="none"/>
              </border>
            </x14:dxf>
          </x14:cfRule>
          <xm:sqref>B32</xm:sqref>
        </x14:conditionalFormatting>
        <x14:conditionalFormatting xmlns:xm="http://schemas.microsoft.com/office/excel/2006/main">
          <x14:cfRule type="expression" priority="313" id="{00CE0060-0054-47B3-8173-00940086005F}">
            <xm:f>$B34&lt;&gt;$B35</xm:f>
            <x14:dxf>
              <border>
                <left style="none"/>
                <right style="none"/>
                <top style="none"/>
                <bottom style="thin">
                  <color auto="1"/>
                </bottom>
                <diagonal style="none"/>
                <vertical style="none"/>
                <horizontal style="none"/>
              </border>
            </x14:dxf>
          </x14:cfRule>
          <xm:sqref>B33</xm:sqref>
        </x14:conditionalFormatting>
        <x14:conditionalFormatting xmlns:xm="http://schemas.microsoft.com/office/excel/2006/main">
          <x14:cfRule type="expression" priority="304" id="{00EE00B9-00B3-457C-975C-00D1003400E2}">
            <xm:f>$B34&lt;&gt;$B38</xm:f>
            <x14:dxf>
              <border>
                <left style="none"/>
                <right style="none"/>
                <top style="none"/>
                <bottom style="thin">
                  <color auto="1"/>
                </bottom>
                <diagonal style="none"/>
                <vertical style="none"/>
                <horizontal style="none"/>
              </border>
            </x14:dxf>
          </x14:cfRule>
          <xm:sqref>D33:F33</xm:sqref>
        </x14:conditionalFormatting>
        <x14:conditionalFormatting xmlns:xm="http://schemas.microsoft.com/office/excel/2006/main">
          <x14:cfRule type="expression" priority="301" id="{00A5005E-0038-4D30-B247-003000A5006C}">
            <xm:f>$B35&lt;&gt;$B36</xm:f>
            <x14:dxf>
              <border>
                <left style="none"/>
                <right style="none"/>
                <top style="none"/>
                <bottom style="thin">
                  <color auto="1"/>
                </bottom>
                <diagonal style="none"/>
                <vertical style="none"/>
                <horizontal style="none"/>
              </border>
            </x14:dxf>
          </x14:cfRule>
          <xm:sqref>B34</xm:sqref>
        </x14:conditionalFormatting>
        <x14:conditionalFormatting xmlns:xm="http://schemas.microsoft.com/office/excel/2006/main">
          <x14:cfRule type="expression" priority="300" id="{0035001A-0053-4BD6-8815-007100C300FD}">
            <xm:f>$B36&lt;&gt;$B38</xm:f>
            <x14:dxf>
              <border>
                <left style="none"/>
                <right style="none"/>
                <top style="none"/>
                <bottom style="thin">
                  <color auto="1"/>
                </bottom>
                <diagonal style="none"/>
                <vertical style="none"/>
                <horizontal style="none"/>
              </border>
            </x14:dxf>
          </x14:cfRule>
          <xm:sqref>B35</xm:sqref>
        </x14:conditionalFormatting>
        <x14:conditionalFormatting xmlns:xm="http://schemas.microsoft.com/office/excel/2006/main">
          <x14:cfRule type="expression" priority="299" id="{00E5005A-00FE-4702-A8FE-009E00AE00D9}">
            <xm:f>$B38&lt;&gt;$B40</xm:f>
            <x14:dxf>
              <border>
                <left style="none"/>
                <right style="none"/>
                <top style="none"/>
                <bottom style="thin">
                  <color auto="1"/>
                </bottom>
                <diagonal style="none"/>
                <vertical style="none"/>
                <horizontal style="none"/>
              </border>
            </x14:dxf>
          </x14:cfRule>
          <xm:sqref>B37</xm:sqref>
        </x14:conditionalFormatting>
        <x14:conditionalFormatting xmlns:xm="http://schemas.microsoft.com/office/excel/2006/main">
          <x14:cfRule type="expression" priority="297" id="{004C009D-0010-4CDF-AE3E-0056002C0033}">
            <xm:f>$B41&lt;&gt;$B42</xm:f>
            <x14:dxf>
              <border>
                <left style="none"/>
                <right style="none"/>
                <top style="none"/>
                <bottom style="thin">
                  <color auto="1"/>
                </bottom>
                <diagonal style="none"/>
                <vertical style="none"/>
                <horizontal style="none"/>
              </border>
            </x14:dxf>
          </x14:cfRule>
          <xm:sqref>B40</xm:sqref>
        </x14:conditionalFormatting>
        <x14:conditionalFormatting xmlns:xm="http://schemas.microsoft.com/office/excel/2006/main">
          <x14:cfRule type="expression" priority="293" id="{0003008B-00EB-4806-81E0-008D00CD00B5}">
            <xm:f>$B47&lt;&gt;$B49</xm:f>
            <x14:dxf>
              <border>
                <left style="none"/>
                <right style="none"/>
                <top style="none"/>
                <bottom style="thin">
                  <color auto="1"/>
                </bottom>
                <diagonal style="none"/>
                <vertical style="none"/>
                <horizontal style="none"/>
              </border>
            </x14:dxf>
          </x14:cfRule>
          <xm:sqref>B46</xm:sqref>
        </x14:conditionalFormatting>
        <x14:conditionalFormatting xmlns:xm="http://schemas.microsoft.com/office/excel/2006/main">
          <x14:cfRule type="expression" priority="262" id="{002900BB-004C-4550-9B0D-003200FC00AF}">
            <xm:f>$B49&lt;&gt;$B50</xm:f>
            <x14:dxf>
              <border>
                <left style="none"/>
                <right style="none"/>
                <top style="none"/>
                <bottom style="thin">
                  <color auto="1"/>
                </bottom>
                <diagonal style="none"/>
                <vertical style="none"/>
                <horizontal style="none"/>
              </border>
            </x14:dxf>
          </x14:cfRule>
          <xm:sqref>B48:B61</xm:sqref>
        </x14:conditionalFormatting>
        <x14:conditionalFormatting xmlns:xm="http://schemas.microsoft.com/office/excel/2006/main">
          <x14:cfRule type="expression" priority="261" id="{008A00E2-0010-4B57-8108-00B6005900FB}">
            <xm:f>$B49&lt;&gt;$B50</xm:f>
            <x14:dxf>
              <border>
                <left style="none"/>
                <right style="none"/>
                <top style="none"/>
                <bottom style="thin">
                  <color auto="1"/>
                </bottom>
                <diagonal style="none"/>
                <vertical style="none"/>
                <horizontal style="none"/>
              </border>
            </x14:dxf>
          </x14:cfRule>
          <xm:sqref>A48:A61</xm:sqref>
        </x14:conditionalFormatting>
        <x14:conditionalFormatting xmlns:xm="http://schemas.microsoft.com/office/excel/2006/main">
          <x14:cfRule type="expression" priority="257" id="{00FE0068-00D6-4849-B543-00390039003C}">
            <xm:f>$B50&lt;&gt;$B51</xm:f>
            <x14:dxf>
              <border>
                <left style="none"/>
                <right style="none"/>
                <top style="none"/>
                <bottom style="thin">
                  <color auto="1"/>
                </bottom>
                <diagonal style="none"/>
                <vertical style="none"/>
                <horizontal style="none"/>
              </border>
            </x14:dxf>
          </x14:cfRule>
          <xm:sqref>F50:G61 F49</xm:sqref>
        </x14:conditionalFormatting>
        <x14:conditionalFormatting xmlns:xm="http://schemas.microsoft.com/office/excel/2006/main">
          <x14:cfRule type="expression" priority="127" id="{008F00AD-006F-4FE0-AF5F-00E400F500A4}">
            <xm:f>$B39&lt;&gt;$B44</xm:f>
            <x14:dxf>
              <border>
                <left style="none"/>
                <right style="none"/>
                <top style="none"/>
                <bottom style="thin">
                  <color auto="1"/>
                </bottom>
                <diagonal style="none"/>
                <vertical style="none"/>
                <horizontal style="none"/>
              </border>
            </x14:dxf>
          </x14:cfRule>
          <xm:sqref>I38:K38 A38 D38:G38</xm:sqref>
        </x14:conditionalFormatting>
        <x14:conditionalFormatting xmlns:xm="http://schemas.microsoft.com/office/excel/2006/main">
          <x14:cfRule type="expression" priority="126" id="{002700E5-00D0-4C2C-A1C4-001500DF006B}">
            <xm:f>$B39&lt;&gt;$B40</xm:f>
            <x14:dxf>
              <border>
                <left style="none"/>
                <right style="none"/>
                <top style="none"/>
                <bottom style="thin">
                  <color auto="1"/>
                </bottom>
                <diagonal style="none"/>
                <vertical style="none"/>
                <horizontal style="none"/>
              </border>
            </x14:dxf>
          </x14:cfRule>
          <xm:sqref>A38:H38</xm:sqref>
        </x14:conditionalFormatting>
        <x14:conditionalFormatting xmlns:xm="http://schemas.microsoft.com/office/excel/2006/main">
          <x14:cfRule type="expression" priority="124" id="{00E8000B-0007-4EAB-AA93-0024009B0029}">
            <xm:f>$B25&lt;&gt;$B28</xm:f>
            <x14:dxf>
              <border>
                <left style="none"/>
                <right style="none"/>
                <top style="none"/>
                <bottom style="thin">
                  <color auto="1"/>
                </bottom>
                <diagonal style="none"/>
                <vertical style="none"/>
                <horizontal style="none"/>
              </border>
            </x14:dxf>
          </x14:cfRule>
          <xm:sqref>A24:C24 H24:K24</xm:sqref>
        </x14:conditionalFormatting>
        <x14:conditionalFormatting xmlns:xm="http://schemas.microsoft.com/office/excel/2006/main">
          <x14:cfRule type="expression" priority="122" id="{00BF0087-006C-4B1B-AF9C-000400440040}">
            <xm:f>$B25&lt;&gt;$B28</xm:f>
            <x14:dxf>
              <border>
                <left style="none"/>
                <right style="none"/>
                <top style="none"/>
                <bottom style="thin">
                  <color auto="1"/>
                </bottom>
                <diagonal style="none"/>
                <vertical style="none"/>
                <horizontal style="none"/>
              </border>
            </x14:dxf>
          </x14:cfRule>
          <xm:sqref>B24</xm:sqref>
        </x14:conditionalFormatting>
        <x14:conditionalFormatting xmlns:xm="http://schemas.microsoft.com/office/excel/2006/main">
          <x14:cfRule type="expression" priority="121" id="{004600D1-0016-4CDA-952D-0069006B0061}">
            <xm:f>$B18&lt;&gt;$B25</xm:f>
            <x14:dxf>
              <border>
                <left style="none"/>
                <right style="none"/>
                <top style="none"/>
                <bottom style="thin">
                  <color auto="1"/>
                </bottom>
                <diagonal style="none"/>
                <vertical style="none"/>
                <horizontal style="none"/>
              </border>
            </x14:dxf>
          </x14:cfRule>
          <xm:sqref>G17</xm:sqref>
        </x14:conditionalFormatting>
        <x14:conditionalFormatting xmlns:xm="http://schemas.microsoft.com/office/excel/2006/main">
          <x14:cfRule type="expression" priority="120" id="{00DF0048-00E6-42B6-B51D-000100E600F5}">
            <xm:f>$B18&lt;&gt;#REF!</xm:f>
            <x14:dxf>
              <border>
                <left style="none"/>
                <right style="none"/>
                <top style="none"/>
                <bottom style="thin">
                  <color auto="1"/>
                </bottom>
                <diagonal style="none"/>
                <vertical style="none"/>
                <horizontal style="none"/>
              </border>
            </x14:dxf>
          </x14:cfRule>
          <xm:sqref>I17:K17 A17 D17:F17</xm:sqref>
        </x14:conditionalFormatting>
        <x14:conditionalFormatting xmlns:xm="http://schemas.microsoft.com/office/excel/2006/main">
          <x14:cfRule type="expression" priority="119" id="{00B40015-006A-4674-89B9-005F006D0081}">
            <xm:f>$B18&lt;&gt;$B19</xm:f>
            <x14:dxf>
              <border>
                <left style="none"/>
                <right style="none"/>
                <top style="none"/>
                <bottom style="thin">
                  <color auto="1"/>
                </bottom>
                <diagonal style="none"/>
                <vertical style="none"/>
                <horizontal style="none"/>
              </border>
            </x14:dxf>
          </x14:cfRule>
          <xm:sqref>A17:H17</xm:sqref>
        </x14:conditionalFormatting>
        <x14:conditionalFormatting xmlns:xm="http://schemas.microsoft.com/office/excel/2006/main">
          <x14:cfRule type="expression" priority="118" id="{00E60089-00C4-4385-B73B-003D001900AF}">
            <xm:f>$B18&lt;&gt;$B19</xm:f>
            <x14:dxf>
              <border>
                <left style="none"/>
                <right style="none"/>
                <top style="none"/>
                <bottom style="thin">
                  <color auto="1"/>
                </bottom>
                <diagonal style="none"/>
                <vertical style="none"/>
                <horizontal style="none"/>
              </border>
            </x14:dxf>
          </x14:cfRule>
          <xm:sqref>B17</xm:sqref>
        </x14:conditionalFormatting>
        <x14:conditionalFormatting xmlns:xm="http://schemas.microsoft.com/office/excel/2006/main">
          <x14:cfRule type="expression" priority="116" id="{00FD0050-00F8-4A08-9CCF-002700F20030}">
            <xm:f>$B26&lt;&gt;$B27</xm:f>
            <x14:dxf>
              <border>
                <left style="none"/>
                <right style="none"/>
                <top style="none"/>
                <bottom style="thin">
                  <color auto="1"/>
                </bottom>
                <diagonal style="none"/>
                <vertical style="none"/>
                <horizontal style="none"/>
              </border>
            </x14:dxf>
          </x14:cfRule>
          <xm:sqref>B25:C25 H25</xm:sqref>
        </x14:conditionalFormatting>
        <x14:conditionalFormatting xmlns:xm="http://schemas.microsoft.com/office/excel/2006/main">
          <x14:cfRule type="expression" priority="115" id="{00BA0073-0067-4A38-A5BE-001F005200DE}">
            <xm:f>$B26&lt;&gt;$B29</xm:f>
            <x14:dxf>
              <border>
                <left style="none"/>
                <right style="none"/>
                <top style="none"/>
                <bottom style="thin">
                  <color auto="1"/>
                </bottom>
                <diagonal style="none"/>
                <vertical style="none"/>
                <horizontal style="none"/>
              </border>
            </x14:dxf>
          </x14:cfRule>
          <xm:sqref>I25:K25</xm:sqref>
        </x14:conditionalFormatting>
        <x14:conditionalFormatting xmlns:xm="http://schemas.microsoft.com/office/excel/2006/main">
          <x14:cfRule type="expression" priority="114" id="{00EC00FC-00FC-403D-83EA-00E700D300D4}">
            <xm:f>$B26&lt;&gt;$B27</xm:f>
            <x14:dxf>
              <border>
                <left style="none"/>
                <right style="none"/>
                <top style="none"/>
                <bottom style="thin">
                  <color auto="1"/>
                </bottom>
                <diagonal style="none"/>
                <vertical style="none"/>
                <horizontal style="none"/>
              </border>
            </x14:dxf>
          </x14:cfRule>
          <xm:sqref>B25</xm:sqref>
        </x14:conditionalFormatting>
        <x14:conditionalFormatting xmlns:xm="http://schemas.microsoft.com/office/excel/2006/main">
          <x14:cfRule type="expression" priority="111" id="{002E0080-003F-4FFE-AAC9-00B600390015}">
            <xm:f>$B22&lt;&gt;#REF!</xm:f>
            <x14:dxf>
              <border>
                <left style="none"/>
                <right style="none"/>
                <top style="none"/>
                <bottom style="thin">
                  <color auto="1"/>
                </bottom>
                <diagonal style="none"/>
                <vertical style="none"/>
                <horizontal style="none"/>
              </border>
            </x14:dxf>
          </x14:cfRule>
          <xm:sqref>D21</xm:sqref>
        </x14:conditionalFormatting>
        <x14:conditionalFormatting xmlns:xm="http://schemas.microsoft.com/office/excel/2006/main">
          <x14:cfRule type="expression" priority="109" id="{007E0037-0089-48A0-9866-003800A70031}">
            <xm:f>$B42&lt;&gt;$B49</xm:f>
            <x14:dxf>
              <border>
                <left style="none"/>
                <right style="none"/>
                <top style="none"/>
                <bottom style="thin">
                  <color auto="1"/>
                </bottom>
                <diagonal style="none"/>
                <vertical style="none"/>
                <horizontal style="none"/>
              </border>
            </x14:dxf>
          </x14:cfRule>
          <xm:sqref>G41:G44</xm:sqref>
        </x14:conditionalFormatting>
        <x14:conditionalFormatting xmlns:xm="http://schemas.microsoft.com/office/excel/2006/main">
          <x14:cfRule type="expression" priority="107" id="{009200CD-0086-4DBD-8B83-0013005600DB}">
            <xm:f>$B7&lt;&gt;$B8</xm:f>
            <x14:dxf>
              <border>
                <left style="none"/>
                <right style="none"/>
                <top style="none"/>
                <bottom style="thin">
                  <color auto="1"/>
                </bottom>
                <diagonal style="none"/>
                <vertical style="none"/>
                <horizontal style="none"/>
              </border>
            </x14:dxf>
          </x14:cfRule>
          <xm:sqref>A6</xm:sqref>
        </x14:conditionalFormatting>
        <x14:conditionalFormatting xmlns:xm="http://schemas.microsoft.com/office/excel/2006/main">
          <x14:cfRule type="expression" priority="106" id="{00C50083-00D7-44B0-990E-00DA00B40059}">
            <xm:f>$B7&lt;&gt;#REF!</xm:f>
            <x14:dxf>
              <border>
                <left style="none"/>
                <right style="none"/>
                <top style="none"/>
                <bottom style="thin">
                  <color auto="1"/>
                </bottom>
                <diagonal style="none"/>
                <vertical style="none"/>
                <horizontal style="none"/>
              </border>
            </x14:dxf>
          </x14:cfRule>
          <xm:sqref>D6</xm:sqref>
        </x14:conditionalFormatting>
        <x14:conditionalFormatting xmlns:xm="http://schemas.microsoft.com/office/excel/2006/main">
          <x14:cfRule type="expression" priority="105" id="{00AB003C-00DF-4F79-83BE-005F003A0010}">
            <xm:f>$B7&lt;&gt;$B11</xm:f>
            <x14:dxf>
              <border>
                <left style="none"/>
                <right style="none"/>
                <top style="none"/>
                <bottom style="thin">
                  <color auto="1"/>
                </bottom>
                <diagonal style="none"/>
                <vertical style="none"/>
                <horizontal style="none"/>
              </border>
            </x14:dxf>
          </x14:cfRule>
          <xm:sqref>G6</xm:sqref>
        </x14:conditionalFormatting>
        <x14:conditionalFormatting xmlns:xm="http://schemas.microsoft.com/office/excel/2006/main">
          <x14:cfRule type="expression" priority="104" id="{00D900A5-001B-43FE-87F8-00E400750087}">
            <xm:f>$B6&lt;&gt;$B7</xm:f>
            <x14:dxf>
              <border>
                <left style="none"/>
                <right style="none"/>
                <top style="none"/>
                <bottom style="thin">
                  <color auto="1"/>
                </bottom>
                <diagonal style="none"/>
                <vertical style="none"/>
                <horizontal style="none"/>
              </border>
            </x14:dxf>
          </x14:cfRule>
          <xm:sqref>C7:C8</xm:sqref>
        </x14:conditionalFormatting>
        <x14:conditionalFormatting xmlns:xm="http://schemas.microsoft.com/office/excel/2006/main">
          <x14:cfRule type="expression" priority="103" id="{009800C1-00BA-413F-A4F7-00EC00B80071}">
            <xm:f>$B10&lt;&gt;$B11</xm:f>
            <x14:dxf>
              <border>
                <left style="none"/>
                <right style="none"/>
                <top style="none"/>
                <bottom style="thin">
                  <color auto="1"/>
                </bottom>
                <diagonal style="none"/>
                <vertical style="none"/>
                <horizontal style="none"/>
              </border>
            </x14:dxf>
          </x14:cfRule>
          <xm:sqref>H9</xm:sqref>
        </x14:conditionalFormatting>
        <x14:conditionalFormatting xmlns:xm="http://schemas.microsoft.com/office/excel/2006/main">
          <x14:cfRule type="expression" priority="98" id="{008300E4-00B3-4A72-AA24-002F009B006E}">
            <xm:f>$B4&lt;&gt;$B5</xm:f>
            <x14:dxf>
              <border>
                <left style="none"/>
                <right style="none"/>
                <top style="none"/>
                <bottom style="thin">
                  <color auto="1"/>
                </bottom>
                <diagonal style="none"/>
                <vertical style="none"/>
                <horizontal style="none"/>
              </border>
            </x14:dxf>
          </x14:cfRule>
          <xm:sqref>A4 E4:K4</xm:sqref>
        </x14:conditionalFormatting>
        <x14:conditionalFormatting xmlns:xm="http://schemas.microsoft.com/office/excel/2006/main">
          <x14:cfRule type="expression" priority="96" id="{00AA0011-00CE-4723-9508-0091004400ED}">
            <xm:f>$B4&lt;&gt;$B7</xm:f>
            <x14:dxf>
              <border>
                <left style="none"/>
                <right style="none"/>
                <top style="none"/>
                <bottom style="thin">
                  <color auto="1"/>
                </bottom>
                <diagonal style="none"/>
                <vertical style="none"/>
                <horizontal style="none"/>
              </border>
            </x14:dxf>
          </x14:cfRule>
          <xm:sqref>G4</xm:sqref>
        </x14:conditionalFormatting>
        <x14:conditionalFormatting xmlns:xm="http://schemas.microsoft.com/office/excel/2006/main">
          <x14:cfRule type="expression" priority="95" id="{0083001A-0077-4211-A213-00D100F60043}">
            <xm:f>$B12&lt;&gt;$B14</xm:f>
            <x14:dxf>
              <border>
                <left style="none"/>
                <right style="none"/>
                <top style="none"/>
                <bottom style="thin">
                  <color auto="1"/>
                </bottom>
                <diagonal style="none"/>
                <vertical style="none"/>
                <horizontal style="none"/>
              </border>
            </x14:dxf>
          </x14:cfRule>
          <xm:sqref>C11:D11 H11</xm:sqref>
        </x14:conditionalFormatting>
        <x14:conditionalFormatting xmlns:xm="http://schemas.microsoft.com/office/excel/2006/main">
          <x14:cfRule type="expression" priority="91" id="{002F0007-0073-4BC0-80DE-00B20006002F}">
            <xm:f>$B12&lt;&gt;$B20</xm:f>
            <x14:dxf>
              <border>
                <left style="none"/>
                <right style="none"/>
                <top style="none"/>
                <bottom style="thin">
                  <color auto="1"/>
                </bottom>
                <diagonal style="none"/>
                <vertical style="none"/>
                <horizontal style="none"/>
              </border>
            </x14:dxf>
          </x14:cfRule>
          <xm:sqref>I11:K11</xm:sqref>
        </x14:conditionalFormatting>
        <x14:conditionalFormatting xmlns:xm="http://schemas.microsoft.com/office/excel/2006/main">
          <x14:cfRule type="expression" priority="90" id="{00D60004-0032-48E9-8C77-004E0036000E}">
            <xm:f>$B12&lt;&gt;#REF!</xm:f>
            <x14:dxf>
              <border>
                <left style="none"/>
                <right style="none"/>
                <top style="none"/>
                <bottom style="thin">
                  <color auto="1"/>
                </bottom>
                <diagonal style="none"/>
                <vertical style="none"/>
                <horizontal style="none"/>
              </border>
            </x14:dxf>
          </x14:cfRule>
          <xm:sqref>D11</xm:sqref>
        </x14:conditionalFormatting>
        <x14:conditionalFormatting xmlns:xm="http://schemas.microsoft.com/office/excel/2006/main">
          <x14:cfRule type="expression" priority="88" id="{00A60044-004E-4163-B2DE-003D00950076}">
            <xm:f>$B13&lt;&gt;$B14</xm:f>
            <x14:dxf>
              <border>
                <left style="none"/>
                <right style="none"/>
                <top style="none"/>
                <bottom style="thin">
                  <color auto="1"/>
                </bottom>
                <diagonal style="none"/>
                <vertical style="none"/>
                <horizontal style="none"/>
              </border>
            </x14:dxf>
          </x14:cfRule>
          <xm:sqref>C12:D12 H12</xm:sqref>
        </x14:conditionalFormatting>
        <x14:conditionalFormatting xmlns:xm="http://schemas.microsoft.com/office/excel/2006/main">
          <x14:cfRule type="expression" priority="87" id="{00BC00D9-0001-488D-9DF8-00E700160044}">
            <xm:f>$B13&lt;&gt;#REF!</xm:f>
            <x14:dxf>
              <border>
                <left style="none"/>
                <right style="none"/>
                <top style="none"/>
                <bottom style="thin">
                  <color auto="1"/>
                </bottom>
                <diagonal style="none"/>
                <vertical style="none"/>
                <horizontal style="none"/>
              </border>
            </x14:dxf>
          </x14:cfRule>
          <xm:sqref>D12</xm:sqref>
        </x14:conditionalFormatting>
        <x14:conditionalFormatting xmlns:xm="http://schemas.microsoft.com/office/excel/2006/main">
          <x14:cfRule type="expression" priority="86" id="{000C00F7-0032-4BFE-B8C8-002B008B0008}">
            <xm:f>$B13&lt;&gt;$B18</xm:f>
            <x14:dxf>
              <border>
                <left style="none"/>
                <right style="none"/>
                <top style="none"/>
                <bottom style="thin">
                  <color auto="1"/>
                </bottom>
                <diagonal style="none"/>
                <vertical style="none"/>
                <horizontal style="none"/>
              </border>
            </x14:dxf>
          </x14:cfRule>
          <xm:sqref>I12:K12</xm:sqref>
        </x14:conditionalFormatting>
        <x14:conditionalFormatting xmlns:xm="http://schemas.microsoft.com/office/excel/2006/main">
          <x14:cfRule type="expression" priority="84" id="{00EE0028-0091-4478-8876-008D00450068}">
            <xm:f>$B9&lt;&gt;$B10</xm:f>
            <x14:dxf>
              <border>
                <left style="none"/>
                <right style="none"/>
                <top style="none"/>
                <bottom style="thin">
                  <color auto="1"/>
                </bottom>
                <diagonal style="none"/>
                <vertical style="none"/>
                <horizontal style="none"/>
              </border>
            </x14:dxf>
          </x14:cfRule>
          <xm:sqref>A8:A14</xm:sqref>
        </x14:conditionalFormatting>
        <x14:conditionalFormatting xmlns:xm="http://schemas.microsoft.com/office/excel/2006/main">
          <x14:cfRule type="expression" priority="84" id="{00F80031-00CD-43B4-A68C-008800650027}">
            <xm:f>$B9&lt;&gt;$B10</xm:f>
            <x14:dxf>
              <border>
                <left style="none"/>
                <right style="none"/>
                <top style="none"/>
                <bottom style="thin">
                  <color auto="1"/>
                </bottom>
                <diagonal style="none"/>
                <vertical style="none"/>
                <horizontal style="none"/>
              </border>
            </x14:dxf>
          </x14:cfRule>
          <xm:sqref>A9</xm:sqref>
        </x14:conditionalFormatting>
        <x14:conditionalFormatting xmlns:xm="http://schemas.microsoft.com/office/excel/2006/main">
          <x14:cfRule type="expression" priority="84" id="{0022002C-0027-4F1A-ADDE-004E001800E3}">
            <xm:f>$B9&lt;&gt;$B10</xm:f>
            <x14:dxf>
              <border>
                <left style="none"/>
                <right style="none"/>
                <top style="none"/>
                <bottom style="thin">
                  <color auto="1"/>
                </bottom>
                <diagonal style="none"/>
                <vertical style="none"/>
                <horizontal style="none"/>
              </border>
            </x14:dxf>
          </x14:cfRule>
          <xm:sqref>A10</xm:sqref>
        </x14:conditionalFormatting>
        <x14:conditionalFormatting xmlns:xm="http://schemas.microsoft.com/office/excel/2006/main">
          <x14:cfRule type="expression" priority="82" id="{00F200BD-00E2-4A89-8A93-00EA005700B2}">
            <xm:f>$B30&lt;&gt;$B31</xm:f>
            <x14:dxf>
              <border>
                <left style="none"/>
                <right style="none"/>
                <top style="none"/>
                <bottom style="thin">
                  <color auto="1"/>
                </bottom>
                <diagonal style="none"/>
                <vertical style="none"/>
                <horizontal style="none"/>
              </border>
            </x14:dxf>
          </x14:cfRule>
          <xm:sqref>A29:C29 H29:K29 F29</xm:sqref>
        </x14:conditionalFormatting>
        <x14:conditionalFormatting xmlns:xm="http://schemas.microsoft.com/office/excel/2006/main">
          <x14:cfRule type="expression" priority="79" id="{0003008E-006C-4FDC-88F4-0044004A0027}">
            <xm:f>$B30&lt;&gt;$B31</xm:f>
            <x14:dxf>
              <border>
                <left style="none"/>
                <right style="none"/>
                <top style="none"/>
                <bottom style="thin">
                  <color auto="1"/>
                </bottom>
                <diagonal style="none"/>
                <vertical style="none"/>
                <horizontal style="none"/>
              </border>
            </x14:dxf>
          </x14:cfRule>
          <xm:sqref>B29</xm:sqref>
        </x14:conditionalFormatting>
        <x14:conditionalFormatting xmlns:xm="http://schemas.microsoft.com/office/excel/2006/main">
          <x14:cfRule type="expression" priority="77" id="{00C6007E-00BE-4AE3-BEF2-008D001600D2}">
            <xm:f>$B32&lt;&gt;$B33</xm:f>
            <x14:dxf>
              <border>
                <left style="none"/>
                <right style="none"/>
                <top style="none"/>
                <bottom style="thin">
                  <color auto="1"/>
                </bottom>
                <diagonal style="none"/>
                <vertical style="none"/>
                <horizontal style="none"/>
              </border>
            </x14:dxf>
          </x14:cfRule>
          <xm:sqref>A31:C31 H31:K31 F31</xm:sqref>
        </x14:conditionalFormatting>
        <x14:conditionalFormatting xmlns:xm="http://schemas.microsoft.com/office/excel/2006/main">
          <x14:cfRule type="expression" priority="74" id="{00A70013-0063-45F4-A260-003600CD00D7}">
            <xm:f>$B32&lt;&gt;$B33</xm:f>
            <x14:dxf>
              <border>
                <left style="none"/>
                <right style="none"/>
                <top style="none"/>
                <bottom style="thin">
                  <color auto="1"/>
                </bottom>
                <diagonal style="none"/>
                <vertical style="none"/>
                <horizontal style="none"/>
              </border>
            </x14:dxf>
          </x14:cfRule>
          <xm:sqref>B31</xm:sqref>
        </x14:conditionalFormatting>
        <x14:conditionalFormatting xmlns:xm="http://schemas.microsoft.com/office/excel/2006/main">
          <x14:cfRule type="expression" priority="73" id="{00070036-0014-4EDF-B69B-005700FD00BA}">
            <xm:f>$B37&lt;&gt;$B41</xm:f>
            <x14:dxf>
              <border>
                <left style="none"/>
                <right style="none"/>
                <top style="none"/>
                <bottom style="thin">
                  <color auto="1"/>
                </bottom>
                <diagonal style="none"/>
                <vertical style="none"/>
                <horizontal style="none"/>
              </border>
            </x14:dxf>
          </x14:cfRule>
          <xm:sqref>A36 D36:F36 I36:K36</xm:sqref>
        </x14:conditionalFormatting>
        <x14:conditionalFormatting xmlns:xm="http://schemas.microsoft.com/office/excel/2006/main">
          <x14:cfRule type="expression" priority="72" id="{00B8003E-0034-45E6-BCF7-00A6007A005F}">
            <xm:f>$B37&lt;&gt;$B39</xm:f>
            <x14:dxf>
              <border>
                <left style="none"/>
                <right style="none"/>
                <top style="none"/>
                <bottom style="thin">
                  <color auto="1"/>
                </bottom>
                <diagonal style="none"/>
                <vertical style="none"/>
                <horizontal style="none"/>
              </border>
            </x14:dxf>
          </x14:cfRule>
          <xm:sqref>A36:H36</xm:sqref>
        </x14:conditionalFormatting>
        <x14:conditionalFormatting xmlns:xm="http://schemas.microsoft.com/office/excel/2006/main">
          <x14:cfRule type="expression" priority="71" id="{006100F5-00BD-4B8A-8471-003E00CB004B}">
            <xm:f>$B37&lt;&gt;$B41</xm:f>
            <x14:dxf>
              <border>
                <left style="none"/>
                <right style="none"/>
                <top style="none"/>
                <bottom style="thin">
                  <color auto="1"/>
                </bottom>
                <diagonal style="none"/>
                <vertical style="none"/>
                <horizontal style="none"/>
              </border>
            </x14:dxf>
          </x14:cfRule>
          <xm:sqref>G36</xm:sqref>
        </x14:conditionalFormatting>
        <x14:conditionalFormatting xmlns:xm="http://schemas.microsoft.com/office/excel/2006/main">
          <x14:cfRule type="expression" priority="70" id="{00490025-0065-438E-8DA6-0052002B008A}">
            <xm:f>$B37&lt;&gt;$B39</xm:f>
            <x14:dxf>
              <border>
                <left style="none"/>
                <right style="none"/>
                <top style="none"/>
                <bottom style="thin">
                  <color auto="1"/>
                </bottom>
                <diagonal style="none"/>
                <vertical style="none"/>
                <horizontal style="none"/>
              </border>
            </x14:dxf>
          </x14:cfRule>
          <xm:sqref>B36</xm:sqref>
        </x14:conditionalFormatting>
        <x14:conditionalFormatting xmlns:xm="http://schemas.microsoft.com/office/excel/2006/main">
          <x14:cfRule type="expression" priority="60" id="{00F00049-00C3-4291-A422-008D007D0062}">
            <xm:f>$B81&lt;&gt;$B83</xm:f>
            <x14:dxf>
              <border>
                <left style="none"/>
                <right style="none"/>
                <top style="none"/>
                <bottom style="thin">
                  <color auto="1"/>
                </bottom>
                <diagonal style="none"/>
                <vertical style="none"/>
                <horizontal style="none"/>
              </border>
            </x14:dxf>
          </x14:cfRule>
          <xm:sqref>H75</xm:sqref>
        </x14:conditionalFormatting>
        <x14:conditionalFormatting xmlns:xm="http://schemas.microsoft.com/office/excel/2006/main">
          <x14:cfRule type="expression" priority="59" id="{006F00DC-0069-4124-9DA7-002B00EF003D}">
            <xm:f>$B76&lt;&gt;$B77</xm:f>
            <x14:dxf>
              <border>
                <left style="none"/>
                <right style="none"/>
                <top style="none"/>
                <bottom style="thin">
                  <color auto="1"/>
                </bottom>
                <diagonal style="none"/>
                <vertical style="none"/>
                <horizontal style="none"/>
              </border>
            </x14:dxf>
          </x14:cfRule>
          <xm:sqref>A75 C75:H75</xm:sqref>
        </x14:conditionalFormatting>
        <x14:conditionalFormatting xmlns:xm="http://schemas.microsoft.com/office/excel/2006/main">
          <x14:cfRule type="expression" priority="58" id="{00610020-0092-47D7-9801-009D001A0035}">
            <xm:f>$B88&lt;&gt;$B89</xm:f>
            <x14:dxf>
              <border>
                <left style="none"/>
                <right style="none"/>
                <top style="none"/>
                <bottom style="thin">
                  <color auto="1"/>
                </bottom>
                <diagonal style="none"/>
                <vertical style="none"/>
                <horizontal style="none"/>
              </border>
            </x14:dxf>
          </x14:cfRule>
          <xm:sqref>H81</xm:sqref>
        </x14:conditionalFormatting>
        <x14:conditionalFormatting xmlns:xm="http://schemas.microsoft.com/office/excel/2006/main">
          <x14:cfRule type="expression" priority="57" id="{00390095-0005-4AD7-8991-00E0007200BE}">
            <xm:f>$B82&lt;&gt;$B83</xm:f>
            <x14:dxf>
              <border>
                <left style="none"/>
                <right style="none"/>
                <top style="none"/>
                <bottom style="thin">
                  <color auto="1"/>
                </bottom>
                <diagonal style="none"/>
                <vertical style="none"/>
                <horizontal style="none"/>
              </border>
            </x14:dxf>
          </x14:cfRule>
          <xm:sqref>A81 C81:H81</xm:sqref>
        </x14:conditionalFormatting>
        <x14:conditionalFormatting xmlns:xm="http://schemas.microsoft.com/office/excel/2006/main">
          <x14:cfRule type="expression" priority="56" id="{00220004-00C4-44E5-871E-007B00220082}">
            <xm:f>$B89&lt;&gt;#REF!</xm:f>
            <x14:dxf>
              <border>
                <left style="none"/>
                <right style="none"/>
                <top style="none"/>
                <bottom style="thin">
                  <color auto="1"/>
                </bottom>
                <diagonal style="none"/>
                <vertical style="none"/>
                <horizontal style="none"/>
              </border>
            </x14:dxf>
          </x14:cfRule>
          <xm:sqref>H83</xm:sqref>
        </x14:conditionalFormatting>
        <x14:conditionalFormatting xmlns:xm="http://schemas.microsoft.com/office/excel/2006/main">
          <x14:cfRule type="expression" priority="55" id="{00CE0047-0022-4199-8E00-0046003000B4}">
            <xm:f>$B84&lt;&gt;$B85</xm:f>
            <x14:dxf>
              <border>
                <left style="none"/>
                <right style="none"/>
                <top style="none"/>
                <bottom style="thin">
                  <color auto="1"/>
                </bottom>
                <diagonal style="none"/>
                <vertical style="none"/>
                <horizontal style="none"/>
              </border>
            </x14:dxf>
          </x14:cfRule>
          <xm:sqref>A83 C83:H83</xm:sqref>
        </x14:conditionalFormatting>
        <x14:conditionalFormatting xmlns:xm="http://schemas.microsoft.com/office/excel/2006/main">
          <x14:cfRule type="expression" priority="54" id="{00350075-00AD-4677-8AE2-008D00E4003C}">
            <xm:f>$B48&lt;&gt;$B49</xm:f>
            <x14:dxf>
              <border>
                <left style="none"/>
                <right style="none"/>
                <top style="none"/>
                <bottom style="thin">
                  <color auto="1"/>
                </bottom>
                <diagonal style="none"/>
                <vertical style="none"/>
                <horizontal style="none"/>
              </border>
            </x14:dxf>
          </x14:cfRule>
          <xm:sqref>A47:K47</xm:sqref>
        </x14:conditionalFormatting>
        <x14:conditionalFormatting xmlns:xm="http://schemas.microsoft.com/office/excel/2006/main">
          <x14:cfRule type="expression" priority="53" id="{00DD0030-0017-475B-90A9-00810055001F}">
            <xm:f>$B48&lt;&gt;$B51</xm:f>
            <x14:dxf>
              <border>
                <left style="none"/>
                <right style="none"/>
                <top style="none"/>
                <bottom style="thin">
                  <color auto="1"/>
                </bottom>
                <diagonal style="none"/>
                <vertical style="none"/>
                <horizontal style="none"/>
              </border>
            </x14:dxf>
          </x14:cfRule>
          <xm:sqref>G47</xm:sqref>
        </x14:conditionalFormatting>
        <x14:conditionalFormatting xmlns:xm="http://schemas.microsoft.com/office/excel/2006/main">
          <x14:cfRule type="expression" priority="52" id="{00240041-00F6-4170-A60A-00F100AB0039}">
            <xm:f>$B48&lt;&gt;$B49</xm:f>
            <x14:dxf>
              <border>
                <left style="none"/>
                <right style="none"/>
                <top style="none"/>
                <bottom style="thin">
                  <color auto="1"/>
                </bottom>
                <diagonal style="none"/>
                <vertical style="none"/>
                <horizontal style="none"/>
              </border>
            </x14:dxf>
          </x14:cfRule>
          <xm:sqref>B47</xm:sqref>
        </x14:conditionalFormatting>
        <x14:conditionalFormatting xmlns:xm="http://schemas.microsoft.com/office/excel/2006/main">
          <x14:cfRule type="expression" priority="51" id="{00E6008E-0043-49A9-8617-00FC00870026}">
            <xm:f>$B48&lt;&gt;$B49</xm:f>
            <x14:dxf>
              <border>
                <left style="none"/>
                <right style="none"/>
                <top style="none"/>
                <bottom style="thin">
                  <color auto="1"/>
                </bottom>
                <diagonal style="none"/>
                <vertical style="none"/>
                <horizontal style="none"/>
              </border>
            </x14:dxf>
          </x14:cfRule>
          <xm:sqref>A47</xm:sqref>
        </x14:conditionalFormatting>
        <x14:conditionalFormatting xmlns:xm="http://schemas.microsoft.com/office/excel/2006/main">
          <x14:cfRule type="expression" priority="50" id="{00E800D3-006F-43C9-85BE-00FA001B0027}">
            <xm:f>$B85&lt;&gt;$B87</xm:f>
            <x14:dxf>
              <border>
                <left style="none"/>
                <right style="none"/>
                <top style="none"/>
                <bottom style="thin">
                  <color auto="1"/>
                </bottom>
                <diagonal style="none"/>
                <vertical style="none"/>
                <horizontal style="none"/>
              </border>
            </x14:dxf>
          </x14:cfRule>
          <xm:sqref>C84</xm:sqref>
        </x14:conditionalFormatting>
        <x14:conditionalFormatting xmlns:xm="http://schemas.microsoft.com/office/excel/2006/main">
          <x14:cfRule type="expression" priority="48" id="{00A500FD-000F-4D6C-9A29-00DF005500C5}">
            <xm:f>$B23&lt;&gt;$B29</xm:f>
            <x14:dxf>
              <border>
                <left style="none"/>
                <right style="none"/>
                <top style="none"/>
                <bottom style="thin">
                  <color auto="1"/>
                </bottom>
                <diagonal style="none"/>
                <vertical style="none"/>
                <horizontal style="none"/>
              </border>
            </x14:dxf>
          </x14:cfRule>
          <xm:sqref>A22 H22:K22</xm:sqref>
        </x14:conditionalFormatting>
        <x14:conditionalFormatting xmlns:xm="http://schemas.microsoft.com/office/excel/2006/main">
          <x14:cfRule type="expression" priority="45" id="{000B004E-0006-47E5-A166-00C400EF00BA}">
            <xm:f>$B24&lt;&gt;$B30</xm:f>
            <x14:dxf>
              <border>
                <left style="none"/>
                <right style="none"/>
                <top style="none"/>
                <bottom style="thin">
                  <color auto="1"/>
                </bottom>
                <diagonal style="none"/>
                <vertical style="none"/>
                <horizontal style="none"/>
              </border>
            </x14:dxf>
          </x14:cfRule>
          <xm:sqref>A23 H23:K23</xm:sqref>
        </x14:conditionalFormatting>
        <x14:conditionalFormatting xmlns:xm="http://schemas.microsoft.com/office/excel/2006/main">
          <x14:cfRule type="expression" priority="43" id="{00B5001D-0058-4B8D-B7D3-00CA004A008D}">
            <xm:f>$B65&lt;&gt;$B66</xm:f>
            <x14:dxf>
              <border>
                <left style="none"/>
                <right style="none"/>
                <top style="none"/>
                <bottom style="thin">
                  <color auto="1"/>
                </bottom>
                <diagonal style="none"/>
                <vertical style="none"/>
                <horizontal style="none"/>
              </border>
            </x14:dxf>
          </x14:cfRule>
          <xm:sqref>B64</xm:sqref>
        </x14:conditionalFormatting>
        <x14:conditionalFormatting xmlns:xm="http://schemas.microsoft.com/office/excel/2006/main">
          <x14:cfRule type="expression" priority="42" id="{004B0025-0027-4C86-A40F-005300170074}">
            <xm:f>$B66&lt;&gt;$B67</xm:f>
            <x14:dxf>
              <border>
                <left style="none"/>
                <right style="none"/>
                <top style="none"/>
                <bottom style="thin">
                  <color auto="1"/>
                </bottom>
                <diagonal style="none"/>
                <vertical style="none"/>
                <horizontal style="none"/>
              </border>
            </x14:dxf>
          </x14:cfRule>
          <xm:sqref>B65</xm:sqref>
        </x14:conditionalFormatting>
        <x14:conditionalFormatting xmlns:xm="http://schemas.microsoft.com/office/excel/2006/main">
          <x14:cfRule type="expression" priority="41" id="{00CE008D-0069-4B13-87BD-006B0004007C}">
            <xm:f>$B17&lt;&gt;$B24</xm:f>
            <x14:dxf>
              <border>
                <left style="none"/>
                <right style="none"/>
                <top style="none"/>
                <bottom style="thin">
                  <color auto="1"/>
                </bottom>
                <diagonal style="none"/>
                <vertical style="none"/>
                <horizontal style="none"/>
              </border>
            </x14:dxf>
          </x14:cfRule>
          <xm:sqref>G16</xm:sqref>
        </x14:conditionalFormatting>
        <x14:conditionalFormatting xmlns:xm="http://schemas.microsoft.com/office/excel/2006/main">
          <x14:cfRule type="expression" priority="40" id="{00E50048-0047-4858-8A90-00F800520058}">
            <xm:f>$B17&lt;&gt;#REF!</xm:f>
            <x14:dxf>
              <border>
                <left style="none"/>
                <right style="none"/>
                <top style="none"/>
                <bottom style="thin">
                  <color auto="1"/>
                </bottom>
                <diagonal style="none"/>
                <vertical style="none"/>
                <horizontal style="none"/>
              </border>
            </x14:dxf>
          </x14:cfRule>
          <xm:sqref>I16:K16 A16 D16:F16</xm:sqref>
        </x14:conditionalFormatting>
        <x14:conditionalFormatting xmlns:xm="http://schemas.microsoft.com/office/excel/2006/main">
          <x14:cfRule type="expression" priority="39" id="{00DF00D4-0039-4C6B-8426-001C00120091}">
            <xm:f>$B17&lt;&gt;$B18</xm:f>
            <x14:dxf>
              <border>
                <left style="none"/>
                <right style="none"/>
                <top style="none"/>
                <bottom style="thin">
                  <color auto="1"/>
                </bottom>
                <diagonal style="none"/>
                <vertical style="none"/>
                <horizontal style="none"/>
              </border>
            </x14:dxf>
          </x14:cfRule>
          <xm:sqref>A16:H16</xm:sqref>
        </x14:conditionalFormatting>
        <x14:conditionalFormatting xmlns:xm="http://schemas.microsoft.com/office/excel/2006/main">
          <x14:cfRule type="expression" priority="38" id="{00CA0022-0041-494E-991F-001C00270050}">
            <xm:f>$B17&lt;&gt;$B18</xm:f>
            <x14:dxf>
              <border>
                <left style="none"/>
                <right style="none"/>
                <top style="none"/>
                <bottom style="thin">
                  <color auto="1"/>
                </bottom>
                <diagonal style="none"/>
                <vertical style="none"/>
                <horizontal style="none"/>
              </border>
            </x14:dxf>
          </x14:cfRule>
          <xm:sqref>B16</xm:sqref>
        </x14:conditionalFormatting>
        <x14:conditionalFormatting xmlns:xm="http://schemas.microsoft.com/office/excel/2006/main">
          <x14:cfRule type="expression" priority="32" id="{004F0027-0040-43F7-96D3-00B2008E0046}">
            <xm:f>$B103&lt;&gt;$B104</xm:f>
            <x14:dxf>
              <border>
                <left style="none"/>
                <right style="none"/>
                <top style="none"/>
                <bottom style="thin">
                  <color auto="1"/>
                </bottom>
                <diagonal style="none"/>
                <vertical style="none"/>
                <horizontal style="none"/>
              </border>
            </x14:dxf>
          </x14:cfRule>
          <xm:sqref>B102:B104</xm:sqref>
        </x14:conditionalFormatting>
        <x14:conditionalFormatting xmlns:xm="http://schemas.microsoft.com/office/excel/2006/main">
          <x14:cfRule type="expression" priority="31" id="{00F800CF-00D4-4B67-829A-008C00200092}">
            <xm:f>$B103&lt;&gt;$B104</xm:f>
            <x14:dxf>
              <border>
                <left style="none"/>
                <right style="none"/>
                <top style="none"/>
                <bottom style="thin">
                  <color auto="1"/>
                </bottom>
                <diagonal style="none"/>
                <vertical style="none"/>
                <horizontal style="none"/>
              </border>
            </x14:dxf>
          </x14:cfRule>
          <xm:sqref>A102:A104</xm:sqref>
        </x14:conditionalFormatting>
        <x14:conditionalFormatting xmlns:xm="http://schemas.microsoft.com/office/excel/2006/main">
          <x14:cfRule type="expression" priority="30" id="{00760030-00EB-4D25-92E9-001700EC00E6}">
            <xm:f>$B103&lt;&gt;$B104</xm:f>
            <x14:dxf>
              <border>
                <left style="none"/>
                <right style="none"/>
                <top style="none"/>
                <bottom style="thin">
                  <color auto="1"/>
                </bottom>
                <diagonal style="none"/>
                <vertical style="none"/>
                <horizontal style="none"/>
              </border>
            </x14:dxf>
          </x14:cfRule>
          <xm:sqref>C102:G104</xm:sqref>
        </x14:conditionalFormatting>
        <x14:conditionalFormatting xmlns:xm="http://schemas.microsoft.com/office/excel/2006/main">
          <x14:cfRule type="expression" priority="29" id="{00D4002C-006F-408E-9006-004D004C0013}">
            <xm:f>$B9&lt;&gt;$B12</xm:f>
            <x14:dxf>
              <border>
                <left style="none"/>
                <right style="none"/>
                <top style="none"/>
                <bottom style="thin">
                  <color auto="1"/>
                </bottom>
                <diagonal style="none"/>
                <vertical style="none"/>
                <horizontal style="none"/>
              </border>
            </x14:dxf>
          </x14:cfRule>
          <xm:sqref>E8:G14</xm:sqref>
        </x14:conditionalFormatting>
        <x14:conditionalFormatting xmlns:xm="http://schemas.microsoft.com/office/excel/2006/main">
          <x14:cfRule type="expression" priority="18" id="{00B00043-0055-461E-929E-002D00DE00FD}">
            <xm:f>$B31&lt;&gt;$B32</xm:f>
            <x14:dxf>
              <border>
                <left style="none"/>
                <right style="none"/>
                <top style="none"/>
                <bottom style="thin">
                  <color auto="1"/>
                </bottom>
                <diagonal style="none"/>
                <vertical style="none"/>
                <horizontal style="none"/>
              </border>
            </x14:dxf>
          </x14:cfRule>
          <xm:sqref>G30:G32</xm:sqref>
        </x14:conditionalFormatting>
        <x14:conditionalFormatting xmlns:xm="http://schemas.microsoft.com/office/excel/2006/main">
          <x14:cfRule type="expression" priority="17" id="{008A00D4-006A-4BA3-A0F7-009A00CF0075}">
            <xm:f>$B31&lt;&gt;$B32</xm:f>
            <x14:dxf>
              <border>
                <left style="none"/>
                <right style="none"/>
                <top style="none"/>
                <bottom style="thin">
                  <color auto="1"/>
                </bottom>
                <diagonal style="none"/>
                <vertical style="none"/>
                <horizontal style="none"/>
              </border>
            </x14:dxf>
          </x14:cfRule>
          <xm:sqref>G30:G32</xm:sqref>
        </x14:conditionalFormatting>
        <x14:conditionalFormatting xmlns:xm="http://schemas.microsoft.com/office/excel/2006/main">
          <x14:cfRule type="expression" priority="16" id="{00EA00F1-000C-4AD7-B0EB-00DB00EC0056}">
            <xm:f>$B30&lt;&gt;$B31</xm:f>
            <x14:dxf>
              <border>
                <left style="none"/>
                <right style="none"/>
                <top style="none"/>
                <bottom style="thin">
                  <color auto="1"/>
                </bottom>
                <diagonal style="none"/>
                <vertical style="none"/>
                <horizontal style="none"/>
              </border>
            </x14:dxf>
          </x14:cfRule>
          <xm:sqref>G29</xm:sqref>
        </x14:conditionalFormatting>
        <x14:conditionalFormatting xmlns:xm="http://schemas.microsoft.com/office/excel/2006/main">
          <x14:cfRule type="expression" priority="15" id="{00AB00BA-0078-42AE-86B9-004C003E0058}">
            <xm:f>$B25&lt;&gt;$B26</xm:f>
            <x14:dxf>
              <border>
                <left style="none"/>
                <right style="none"/>
                <top style="none"/>
                <bottom style="thin">
                  <color auto="1"/>
                </bottom>
                <diagonal style="none"/>
                <vertical style="none"/>
                <horizontal style="none"/>
              </border>
            </x14:dxf>
          </x14:cfRule>
          <xm:sqref>D25:G26 D24:F24</xm:sqref>
        </x14:conditionalFormatting>
        <x14:conditionalFormatting xmlns:xm="http://schemas.microsoft.com/office/excel/2006/main">
          <x14:cfRule type="expression" priority="14" id="{00B20025-00E3-413D-814B-00A000E80056}">
            <xm:f>$B25&lt;&gt;$B26</xm:f>
            <x14:dxf>
              <border>
                <left style="none"/>
                <right style="none"/>
                <top style="none"/>
                <bottom style="thin">
                  <color auto="1"/>
                </bottom>
                <diagonal style="none"/>
                <vertical style="none"/>
                <horizontal style="none"/>
              </border>
            </x14:dxf>
          </x14:cfRule>
          <xm:sqref>D25:G26 D24:F24</xm:sqref>
        </x14:conditionalFormatting>
        <x14:conditionalFormatting xmlns:xm="http://schemas.microsoft.com/office/excel/2006/main">
          <x14:cfRule type="expression" priority="13" id="{008000E0-0062-4C2A-B30D-008E00C000B3}">
            <xm:f>$B26&lt;&gt;$B27</xm:f>
            <x14:dxf>
              <border>
                <left style="none"/>
                <right style="none"/>
                <top style="none"/>
                <bottom style="thin">
                  <color auto="1"/>
                </bottom>
                <diagonal style="none"/>
                <vertical style="none"/>
                <horizontal style="none"/>
              </border>
            </x14:dxf>
          </x14:cfRule>
          <xm:sqref>A25:A27</xm:sqref>
        </x14:conditionalFormatting>
        <x14:conditionalFormatting xmlns:xm="http://schemas.microsoft.com/office/excel/2006/main">
          <x14:cfRule type="expression" priority="12" id="{00200010-00ED-47C8-A8E9-00FB00BC004E}">
            <xm:f>$B30&lt;&gt;$B31</xm:f>
            <x14:dxf>
              <border>
                <left style="none"/>
                <right style="none"/>
                <top style="none"/>
                <bottom style="thin">
                  <color auto="1"/>
                </bottom>
                <diagonal style="none"/>
                <vertical style="none"/>
                <horizontal style="none"/>
              </border>
            </x14:dxf>
          </x14:cfRule>
          <xm:sqref>D29:E32</xm:sqref>
        </x14:conditionalFormatting>
        <x14:conditionalFormatting xmlns:xm="http://schemas.microsoft.com/office/excel/2006/main">
          <x14:cfRule type="expression" priority="11" id="{002B0085-00C1-43D4-B81C-0007005C002B}">
            <xm:f>$B23&lt;&gt;$B26</xm:f>
            <x14:dxf>
              <border>
                <left style="none"/>
                <right style="none"/>
                <top style="none"/>
                <bottom style="thin">
                  <color auto="1"/>
                </bottom>
                <diagonal style="none"/>
                <vertical style="none"/>
                <horizontal style="none"/>
              </border>
            </x14:dxf>
          </x14:cfRule>
          <xm:sqref>B22:F23</xm:sqref>
        </x14:conditionalFormatting>
        <x14:conditionalFormatting xmlns:xm="http://schemas.microsoft.com/office/excel/2006/main">
          <x14:cfRule type="expression" priority="10" id="{00BB0098-00C5-4D08-8D8B-00A0002500A9}">
            <xm:f>$B19&lt;&gt;$B20</xm:f>
            <x14:dxf>
              <border>
                <left style="none"/>
                <right style="none"/>
                <top style="none"/>
                <bottom style="thin">
                  <color auto="1"/>
                </bottom>
                <diagonal style="none"/>
                <vertical style="none"/>
                <horizontal style="none"/>
              </border>
            </x14:dxf>
          </x14:cfRule>
          <xm:sqref>G18:G24</xm:sqref>
        </x14:conditionalFormatting>
        <x14:conditionalFormatting xmlns:xm="http://schemas.microsoft.com/office/excel/2006/main">
          <x14:cfRule type="expression" priority="9" id="{00D7002F-00F2-4889-BBBA-001200260085}">
            <xm:f>$B8&lt;&gt;$B10</xm:f>
            <x14:dxf>
              <border>
                <left style="none"/>
                <right style="none"/>
                <top style="none"/>
                <bottom style="thin">
                  <color auto="1"/>
                </bottom>
                <diagonal style="none"/>
                <vertical style="none"/>
                <horizontal style="none"/>
              </border>
            </x14:dxf>
          </x14:cfRule>
          <xm:sqref>C4</xm:sqref>
        </x14:conditionalFormatting>
        <x14:conditionalFormatting xmlns:xm="http://schemas.microsoft.com/office/excel/2006/main">
          <x14:cfRule type="expression" priority="8" id="{00430097-000E-4918-9C26-00FD002B00AE}">
            <xm:f>$B4&lt;&gt;$B5</xm:f>
            <x14:dxf>
              <border>
                <left style="none"/>
                <right style="none"/>
                <top style="none"/>
                <bottom style="thin">
                  <color auto="1"/>
                </bottom>
                <diagonal style="none"/>
                <vertical style="none"/>
                <horizontal style="none"/>
              </border>
            </x14:dxf>
          </x14:cfRule>
          <xm:sqref>D4</xm:sqref>
        </x14:conditionalFormatting>
        <x14:conditionalFormatting xmlns:xm="http://schemas.microsoft.com/office/excel/2006/main">
          <x14:cfRule type="expression" priority="7" id="{0009006A-00A2-475F-9C94-001D009E006A}">
            <xm:f>$B4&lt;&gt;#REF!</xm:f>
            <x14:dxf>
              <border>
                <left style="none"/>
                <right style="none"/>
                <top style="none"/>
                <bottom style="thin">
                  <color auto="1"/>
                </bottom>
                <diagonal style="none"/>
                <vertical style="none"/>
                <horizontal style="none"/>
              </border>
            </x14:dxf>
          </x14:cfRule>
          <xm:sqref>D4</xm:sqref>
        </x14:conditionalFormatting>
        <x14:conditionalFormatting xmlns:xm="http://schemas.microsoft.com/office/excel/2006/main">
          <x14:cfRule type="expression" priority="6" id="{0055008B-0088-43CF-8300-00EF000A00C7}">
            <xm:f>$B4&lt;&gt;$B5</xm:f>
            <x14:dxf>
              <border>
                <left style="none"/>
                <right style="none"/>
                <top style="none"/>
                <bottom style="thin">
                  <color auto="1"/>
                </bottom>
                <diagonal style="none"/>
                <vertical style="none"/>
                <horizontal style="none"/>
              </border>
            </x14:dxf>
          </x14:cfRule>
          <xm:sqref>C5:C6</xm:sqref>
        </x14:conditionalFormatting>
        <x14:conditionalFormatting xmlns:xm="http://schemas.microsoft.com/office/excel/2006/main">
          <x14:cfRule type="expression" priority="5" id="{003E000F-0034-4D8F-865D-0004009D00AE}">
            <xm:f>$B8&lt;&gt;$B9</xm:f>
            <x14:dxf>
              <border>
                <left style="none"/>
                <right style="none"/>
                <top style="none"/>
                <bottom style="thin">
                  <color auto="1"/>
                </bottom>
                <diagonal style="none"/>
                <vertical style="none"/>
                <horizontal style="none"/>
              </border>
            </x14:dxf>
          </x14:cfRule>
          <xm:sqref>C9</xm:sqref>
        </x14:conditionalFormatting>
        <x14:conditionalFormatting xmlns:xm="http://schemas.microsoft.com/office/excel/2006/main">
          <x14:cfRule type="expression" priority="4" id="{008500BA-004B-4A1A-B77C-00B4000C005F}">
            <xm:f>$B10&lt;&gt;$B12</xm:f>
            <x14:dxf>
              <border>
                <left style="none"/>
                <right style="none"/>
                <top style="none"/>
                <bottom style="thin">
                  <color auto="1"/>
                </bottom>
                <diagonal style="none"/>
                <vertical style="none"/>
                <horizontal style="none"/>
              </border>
            </x14:dxf>
          </x14:cfRule>
          <xm:sqref>D9</xm:sqref>
        </x14:conditionalFormatting>
        <x14:conditionalFormatting xmlns:xm="http://schemas.microsoft.com/office/excel/2006/main">
          <x14:cfRule type="expression" priority="3" id="{00400052-002E-4579-BF69-00C400D700E9}">
            <xm:f>$B10&lt;&gt;#REF!</xm:f>
            <x14:dxf>
              <border>
                <left style="none"/>
                <right style="none"/>
                <top style="none"/>
                <bottom style="thin">
                  <color auto="1"/>
                </bottom>
                <diagonal style="none"/>
                <vertical style="none"/>
                <horizontal style="none"/>
              </border>
            </x14:dxf>
          </x14:cfRule>
          <xm:sqref>D9</xm:sqref>
        </x14:conditionalFormatting>
        <x14:conditionalFormatting xmlns:xm="http://schemas.microsoft.com/office/excel/2006/main">
          <x14:cfRule type="expression" priority="1" id="{0078005C-009B-4BC9-B870-001000410038}">
            <xm:f>$B5&lt;&gt;#REF!</xm:f>
            <x14:dxf>
              <border>
                <left style="none"/>
                <right style="none"/>
                <top style="none"/>
                <bottom style="thin">
                  <color auto="1"/>
                </bottom>
                <diagonal style="none"/>
                <vertical style="none"/>
                <horizontal style="none"/>
              </border>
            </x14:dxf>
          </x14:cfRule>
          <xm:sqref>D5</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zoomScale="100" workbookViewId="0">
      <pane ySplit="2" topLeftCell="A3" activePane="bottomLeft" state="frozen"/>
      <selection activeCell="B9" activeCellId="0" sqref="B9"/>
    </sheetView>
  </sheetViews>
  <sheetFormatPr defaultColWidth="9.28515625" defaultRowHeight="15" customHeight="1"/>
  <cols>
    <col bestFit="1" customWidth="1" min="1" max="1" style="113" width="30.5703125"/>
    <col customWidth="1" min="2" max="2" style="113" width="46.5703125"/>
    <col customWidth="1" min="3" max="3" style="113" width="17"/>
    <col customWidth="1" min="4" max="4" style="113" width="48.28515625"/>
    <col customWidth="1" min="5" max="5" style="113" width="27.5703125"/>
    <col min="6" max="16384" style="113" width="9.28515625"/>
  </cols>
  <sheetData>
    <row r="1" ht="15" customHeight="1">
      <c r="D1" s="114">
        <f>COLUMN()</f>
        <v>4</v>
      </c>
      <c r="E1" s="114">
        <f>COLUMN()</f>
        <v>5</v>
      </c>
    </row>
    <row r="2" ht="15" customHeight="1">
      <c r="A2" s="115" t="s">
        <v>75</v>
      </c>
      <c r="B2" s="115" t="s">
        <v>76</v>
      </c>
      <c r="C2" s="115" t="s">
        <v>77</v>
      </c>
      <c r="D2" s="115" t="s">
        <v>78</v>
      </c>
      <c r="E2" s="115" t="s">
        <v>79</v>
      </c>
    </row>
    <row r="3" ht="15" customHeight="1">
      <c r="A3" s="116" t="s">
        <v>29</v>
      </c>
      <c r="B3" s="117" t="s">
        <v>80</v>
      </c>
      <c r="C3" s="117"/>
      <c r="D3" s="117"/>
      <c r="E3" s="116" t="s">
        <v>81</v>
      </c>
    </row>
    <row r="4" ht="15" customHeight="1">
      <c r="A4" s="116" t="s">
        <v>50</v>
      </c>
      <c r="B4" s="116" t="s">
        <v>82</v>
      </c>
      <c r="C4" s="116"/>
      <c r="D4" s="116"/>
      <c r="E4" s="116" t="s">
        <v>83</v>
      </c>
    </row>
    <row r="5" ht="15" customHeight="1">
      <c r="A5" s="116"/>
      <c r="B5" s="116"/>
      <c r="C5" s="116"/>
      <c r="D5" s="116"/>
      <c r="E5" s="116"/>
    </row>
    <row r="6" ht="15" customHeight="1">
      <c r="A6" s="116"/>
      <c r="B6" s="116"/>
      <c r="C6" s="116"/>
      <c r="D6" s="116"/>
      <c r="E6" s="116"/>
    </row>
    <row r="7" ht="15" customHeight="1">
      <c r="A7" s="116"/>
      <c r="B7" s="116"/>
      <c r="C7" s="116"/>
      <c r="D7" s="116"/>
      <c r="E7" s="116"/>
    </row>
    <row r="8" ht="15" customHeight="1">
      <c r="A8" s="116"/>
      <c r="B8" s="116"/>
      <c r="C8" s="116"/>
      <c r="D8" s="116"/>
      <c r="E8" s="116"/>
    </row>
    <row r="9" s="118" customFormat="1" ht="15" customHeight="1">
      <c r="A9" s="116"/>
      <c r="B9" s="116"/>
      <c r="C9" s="116"/>
      <c r="D9" s="116"/>
      <c r="E9" s="116"/>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c r="BM9" s="113"/>
      <c r="BN9" s="113"/>
      <c r="BO9" s="113"/>
      <c r="BP9" s="113"/>
      <c r="BQ9" s="113"/>
      <c r="BR9" s="113"/>
      <c r="BS9" s="113"/>
      <c r="BT9" s="113"/>
      <c r="BU9" s="113"/>
      <c r="BV9" s="113"/>
      <c r="BW9" s="113"/>
      <c r="BX9" s="113"/>
      <c r="BY9" s="113"/>
      <c r="BZ9" s="113"/>
      <c r="CA9" s="113"/>
      <c r="CB9" s="113"/>
      <c r="CC9" s="113"/>
      <c r="CD9" s="113"/>
      <c r="CE9" s="113"/>
      <c r="CF9" s="113"/>
      <c r="CG9" s="113"/>
      <c r="CH9" s="113"/>
      <c r="CI9" s="113"/>
      <c r="CJ9" s="113"/>
      <c r="CK9" s="113"/>
      <c r="CL9" s="113"/>
      <c r="CM9" s="113"/>
      <c r="CN9" s="113"/>
      <c r="CO9" s="113"/>
      <c r="CP9" s="113"/>
      <c r="CQ9" s="113"/>
      <c r="CR9" s="113"/>
      <c r="CS9" s="113"/>
      <c r="CT9" s="113"/>
      <c r="CU9" s="113"/>
      <c r="CV9" s="113"/>
      <c r="CW9" s="113"/>
      <c r="CX9" s="113"/>
      <c r="CY9" s="113"/>
      <c r="CZ9" s="113"/>
      <c r="DA9" s="113"/>
      <c r="DB9" s="113"/>
      <c r="DC9" s="113"/>
      <c r="DD9" s="113"/>
      <c r="DE9" s="113"/>
      <c r="DF9" s="113"/>
      <c r="DG9" s="113"/>
      <c r="DH9" s="113"/>
      <c r="DI9" s="113"/>
      <c r="DJ9" s="113"/>
      <c r="DK9" s="113"/>
      <c r="DL9" s="113"/>
      <c r="DM9" s="113"/>
      <c r="DN9" s="113"/>
      <c r="DO9" s="113"/>
      <c r="DP9" s="113"/>
      <c r="DQ9" s="113"/>
      <c r="DR9" s="113"/>
      <c r="DS9" s="113"/>
      <c r="DT9" s="113"/>
      <c r="DU9" s="113"/>
      <c r="DV9" s="113"/>
      <c r="DW9" s="113"/>
      <c r="DX9" s="113"/>
      <c r="DY9" s="113"/>
      <c r="DZ9" s="113"/>
      <c r="EA9" s="113"/>
      <c r="EB9" s="113"/>
      <c r="EC9" s="113"/>
      <c r="ED9" s="113"/>
      <c r="EE9" s="113"/>
      <c r="EF9" s="113"/>
      <c r="EG9" s="113"/>
      <c r="EH9" s="113"/>
      <c r="EI9" s="113"/>
      <c r="EJ9" s="113"/>
      <c r="EK9" s="113"/>
      <c r="EL9" s="113"/>
      <c r="EM9" s="113"/>
      <c r="EN9" s="113"/>
      <c r="EO9" s="113"/>
      <c r="EP9" s="113"/>
      <c r="EQ9" s="113"/>
      <c r="ER9" s="113"/>
      <c r="ES9" s="113"/>
      <c r="ET9" s="113"/>
      <c r="EU9" s="113"/>
      <c r="EV9" s="113"/>
      <c r="EW9" s="113"/>
      <c r="EX9" s="113"/>
      <c r="EY9" s="113"/>
      <c r="EZ9" s="113"/>
      <c r="FA9" s="113"/>
      <c r="FB9" s="113"/>
      <c r="FC9" s="113"/>
      <c r="FD9" s="113"/>
      <c r="FE9" s="113"/>
      <c r="FF9" s="113"/>
      <c r="FG9" s="113"/>
      <c r="FH9" s="113"/>
      <c r="FI9" s="113"/>
      <c r="FJ9" s="113"/>
      <c r="FK9" s="113"/>
      <c r="FL9" s="113"/>
      <c r="FM9" s="113"/>
      <c r="FN9" s="113"/>
      <c r="FO9" s="113"/>
      <c r="FP9" s="113"/>
      <c r="FQ9" s="113"/>
      <c r="FR9" s="113"/>
      <c r="FS9" s="113"/>
      <c r="FT9" s="113"/>
      <c r="FU9" s="113"/>
      <c r="FV9" s="113"/>
      <c r="FW9" s="113"/>
      <c r="FX9" s="113"/>
      <c r="FY9" s="113"/>
      <c r="FZ9" s="113"/>
      <c r="GA9" s="113"/>
      <c r="GB9" s="113"/>
      <c r="GC9" s="113"/>
      <c r="GD9" s="113"/>
      <c r="GE9" s="113"/>
      <c r="GF9" s="113"/>
      <c r="GG9" s="113"/>
      <c r="GH9" s="113"/>
      <c r="GI9" s="113"/>
      <c r="GJ9" s="113"/>
      <c r="GK9" s="113"/>
      <c r="GL9" s="113"/>
      <c r="GM9" s="113"/>
      <c r="GN9" s="113"/>
      <c r="GO9" s="113"/>
      <c r="GP9" s="113"/>
      <c r="GQ9" s="113"/>
      <c r="GR9" s="113"/>
      <c r="GS9" s="113"/>
      <c r="GT9" s="113"/>
      <c r="GU9" s="113"/>
      <c r="GV9" s="113"/>
      <c r="GW9" s="113"/>
      <c r="GX9" s="113"/>
      <c r="GY9" s="113"/>
      <c r="GZ9" s="113"/>
      <c r="HA9" s="113"/>
      <c r="HB9" s="113"/>
      <c r="HC9" s="113"/>
      <c r="HD9" s="113"/>
      <c r="HE9" s="113"/>
      <c r="HF9" s="113"/>
      <c r="HG9" s="113"/>
      <c r="HH9" s="113"/>
      <c r="HI9" s="113"/>
      <c r="HJ9" s="113"/>
      <c r="HK9" s="113"/>
      <c r="HL9" s="113"/>
      <c r="HM9" s="113"/>
      <c r="HN9" s="113"/>
      <c r="HO9" s="113"/>
      <c r="HP9" s="113"/>
      <c r="HQ9" s="113"/>
      <c r="HR9" s="113"/>
      <c r="HS9" s="113"/>
      <c r="HT9" s="113"/>
      <c r="HU9" s="113"/>
      <c r="HV9" s="113"/>
      <c r="HW9" s="113"/>
      <c r="HX9" s="113"/>
      <c r="HY9" s="113"/>
      <c r="HZ9" s="113"/>
      <c r="IA9" s="113"/>
      <c r="IB9" s="113"/>
      <c r="IC9" s="113"/>
      <c r="ID9" s="113"/>
      <c r="IE9" s="113"/>
      <c r="IF9" s="113"/>
      <c r="IG9" s="113"/>
      <c r="IH9" s="113"/>
      <c r="II9" s="113"/>
      <c r="IJ9" s="113"/>
      <c r="IK9" s="113"/>
      <c r="IL9" s="113"/>
      <c r="IM9" s="113"/>
      <c r="IN9" s="113"/>
      <c r="IO9" s="113"/>
      <c r="IP9" s="113"/>
      <c r="IQ9" s="113"/>
      <c r="IR9" s="113"/>
      <c r="IS9" s="113"/>
      <c r="IT9" s="113"/>
      <c r="IU9" s="113"/>
      <c r="IV9" s="113"/>
      <c r="IW9" s="113"/>
      <c r="IX9" s="113"/>
      <c r="IY9" s="113"/>
      <c r="IZ9" s="113"/>
      <c r="JA9" s="113"/>
      <c r="JB9" s="113"/>
      <c r="JC9" s="113"/>
      <c r="JD9" s="113"/>
      <c r="JE9" s="113"/>
      <c r="JF9" s="113"/>
      <c r="JG9" s="113"/>
      <c r="JH9" s="113"/>
      <c r="JI9" s="113"/>
      <c r="JJ9" s="113"/>
      <c r="JK9" s="113"/>
      <c r="JL9" s="113"/>
      <c r="JM9" s="113"/>
      <c r="JN9" s="113"/>
      <c r="JO9" s="113"/>
      <c r="JP9" s="113"/>
      <c r="JQ9" s="113"/>
      <c r="JR9" s="113"/>
      <c r="JS9" s="113"/>
      <c r="JT9" s="113"/>
      <c r="JU9" s="113"/>
      <c r="JV9" s="113"/>
      <c r="JW9" s="113"/>
      <c r="JX9" s="113"/>
      <c r="JY9" s="113"/>
      <c r="JZ9" s="113"/>
      <c r="KA9" s="113"/>
      <c r="KB9" s="113"/>
      <c r="KC9" s="113"/>
      <c r="KD9" s="113"/>
      <c r="KE9" s="113"/>
      <c r="KF9" s="113"/>
      <c r="KG9" s="113"/>
      <c r="KH9" s="113"/>
      <c r="KI9" s="113"/>
      <c r="KJ9" s="113"/>
      <c r="KK9" s="113"/>
      <c r="KL9" s="113"/>
      <c r="KM9" s="113"/>
      <c r="KN9" s="113"/>
      <c r="KO9" s="113"/>
      <c r="KP9" s="113"/>
      <c r="KQ9" s="113"/>
      <c r="KR9" s="113"/>
      <c r="KS9" s="113"/>
      <c r="KT9" s="113"/>
      <c r="KU9" s="113"/>
      <c r="KV9" s="113"/>
      <c r="KW9" s="113"/>
      <c r="KX9" s="113"/>
      <c r="KY9" s="113"/>
      <c r="KZ9" s="113"/>
      <c r="LA9" s="113"/>
      <c r="LB9" s="113"/>
      <c r="LC9" s="113"/>
      <c r="LD9" s="113"/>
      <c r="LE9" s="113"/>
      <c r="LF9" s="113"/>
      <c r="LG9" s="113"/>
      <c r="LH9" s="113"/>
      <c r="LI9" s="113"/>
      <c r="LJ9" s="113"/>
      <c r="LK9" s="113"/>
      <c r="LL9" s="113"/>
      <c r="LM9" s="113"/>
      <c r="LN9" s="113"/>
      <c r="LO9" s="113"/>
      <c r="LP9" s="113"/>
      <c r="LQ9" s="113"/>
      <c r="LR9" s="113"/>
      <c r="LS9" s="113"/>
      <c r="LT9" s="113"/>
      <c r="LU9" s="113"/>
      <c r="LV9" s="113"/>
      <c r="LW9" s="113"/>
      <c r="LX9" s="113"/>
      <c r="LY9" s="113"/>
      <c r="LZ9" s="113"/>
      <c r="MA9" s="113"/>
      <c r="MB9" s="113"/>
      <c r="MC9" s="113"/>
      <c r="MD9" s="113"/>
      <c r="ME9" s="113"/>
      <c r="MF9" s="113"/>
      <c r="MG9" s="113"/>
      <c r="MH9" s="113"/>
      <c r="MI9" s="113"/>
      <c r="MJ9" s="113"/>
      <c r="MK9" s="113"/>
      <c r="ML9" s="113"/>
      <c r="MM9" s="113"/>
      <c r="MN9" s="113"/>
      <c r="MO9" s="113"/>
      <c r="MP9" s="113"/>
      <c r="MQ9" s="113"/>
      <c r="MR9" s="113"/>
      <c r="MS9" s="113"/>
      <c r="MT9" s="113"/>
      <c r="MU9" s="113"/>
      <c r="MV9" s="113"/>
      <c r="MW9" s="113"/>
      <c r="MX9" s="113"/>
      <c r="MY9" s="113"/>
      <c r="MZ9" s="113"/>
      <c r="NA9" s="113"/>
      <c r="NB9" s="113"/>
      <c r="NC9" s="113"/>
      <c r="ND9" s="113"/>
      <c r="NE9" s="113"/>
      <c r="NF9" s="113"/>
      <c r="NG9" s="113"/>
      <c r="NH9" s="113"/>
      <c r="NI9" s="113"/>
      <c r="NJ9" s="113"/>
      <c r="NK9" s="113"/>
      <c r="NL9" s="113"/>
      <c r="NM9" s="113"/>
      <c r="NN9" s="113"/>
      <c r="NO9" s="113"/>
      <c r="NP9" s="113"/>
      <c r="NQ9" s="113"/>
      <c r="NR9" s="113"/>
      <c r="NS9" s="113"/>
      <c r="NT9" s="113"/>
      <c r="NU9" s="113"/>
      <c r="NV9" s="113"/>
      <c r="NW9" s="113"/>
      <c r="NX9" s="113"/>
      <c r="NY9" s="113"/>
      <c r="NZ9" s="113"/>
      <c r="OA9" s="113"/>
      <c r="OB9" s="113"/>
      <c r="OC9" s="113"/>
      <c r="OD9" s="113"/>
      <c r="OE9" s="113"/>
      <c r="OF9" s="113"/>
      <c r="OG9" s="113"/>
      <c r="OH9" s="113"/>
      <c r="OI9" s="113"/>
      <c r="OJ9" s="113"/>
      <c r="OK9" s="113"/>
      <c r="OL9" s="113"/>
      <c r="OM9" s="113"/>
      <c r="ON9" s="113"/>
      <c r="OO9" s="113"/>
      <c r="OP9" s="113"/>
      <c r="OQ9" s="113"/>
      <c r="OR9" s="113"/>
      <c r="OS9" s="113"/>
      <c r="OT9" s="113"/>
      <c r="OU9" s="113"/>
      <c r="OV9" s="113"/>
      <c r="OW9" s="113"/>
      <c r="OX9" s="113"/>
      <c r="OY9" s="113"/>
      <c r="OZ9" s="113"/>
      <c r="PA9" s="113"/>
      <c r="PB9" s="113"/>
      <c r="PC9" s="113"/>
      <c r="PD9" s="113"/>
      <c r="PE9" s="113"/>
      <c r="PF9" s="113"/>
      <c r="PG9" s="113"/>
      <c r="PH9" s="113"/>
      <c r="PI9" s="113"/>
      <c r="PJ9" s="113"/>
      <c r="PK9" s="113"/>
      <c r="PL9" s="113"/>
      <c r="PM9" s="113"/>
      <c r="PN9" s="113"/>
      <c r="PO9" s="113"/>
      <c r="PP9" s="113"/>
      <c r="PQ9" s="113"/>
      <c r="PR9" s="113"/>
      <c r="PS9" s="113"/>
      <c r="PT9" s="113"/>
      <c r="PU9" s="113"/>
      <c r="PV9" s="113"/>
      <c r="PW9" s="113"/>
      <c r="PX9" s="113"/>
      <c r="PY9" s="113"/>
      <c r="PZ9" s="113"/>
      <c r="QA9" s="113"/>
      <c r="QB9" s="113"/>
      <c r="QC9" s="113"/>
      <c r="QD9" s="113"/>
      <c r="QE9" s="113"/>
      <c r="QF9" s="113"/>
      <c r="QG9" s="113"/>
      <c r="QH9" s="113"/>
      <c r="QI9" s="113"/>
      <c r="QJ9" s="113"/>
      <c r="QK9" s="113"/>
      <c r="QL9" s="113"/>
      <c r="QM9" s="113"/>
      <c r="QN9" s="113"/>
      <c r="QO9" s="113"/>
      <c r="QP9" s="113"/>
      <c r="QQ9" s="113"/>
      <c r="QR9" s="113"/>
      <c r="QS9" s="113"/>
      <c r="QT9" s="113"/>
      <c r="QU9" s="113"/>
      <c r="QV9" s="113"/>
      <c r="QW9" s="113"/>
      <c r="QX9" s="113"/>
      <c r="QY9" s="113"/>
      <c r="QZ9" s="113"/>
      <c r="RA9" s="113"/>
      <c r="RB9" s="113"/>
      <c r="RC9" s="113"/>
      <c r="RD9" s="113"/>
      <c r="RE9" s="113"/>
      <c r="RF9" s="113"/>
      <c r="RG9" s="113"/>
      <c r="RH9" s="113"/>
      <c r="RI9" s="113"/>
      <c r="RJ9" s="113"/>
      <c r="RK9" s="113"/>
      <c r="RL9" s="113"/>
      <c r="RM9" s="113"/>
      <c r="RN9" s="113"/>
      <c r="RO9" s="113"/>
      <c r="RP9" s="113"/>
      <c r="RQ9" s="113"/>
      <c r="RR9" s="113"/>
      <c r="RS9" s="113"/>
      <c r="RT9" s="113"/>
      <c r="RU9" s="113"/>
      <c r="RV9" s="113"/>
      <c r="RW9" s="113"/>
      <c r="RX9" s="113"/>
      <c r="RY9" s="113"/>
      <c r="RZ9" s="113"/>
      <c r="SA9" s="113"/>
      <c r="SB9" s="113"/>
      <c r="SC9" s="113"/>
      <c r="SD9" s="113"/>
      <c r="SE9" s="113"/>
      <c r="SF9" s="113"/>
      <c r="SG9" s="113"/>
      <c r="SH9" s="113"/>
      <c r="SI9" s="113"/>
      <c r="SJ9" s="113"/>
      <c r="SK9" s="113"/>
      <c r="SL9" s="113"/>
      <c r="SM9" s="113"/>
      <c r="SN9" s="113"/>
      <c r="SO9" s="113"/>
      <c r="SP9" s="113"/>
      <c r="SQ9" s="113"/>
      <c r="SR9" s="113"/>
      <c r="SS9" s="113"/>
      <c r="ST9" s="113"/>
      <c r="SU9" s="113"/>
      <c r="SV9" s="113"/>
      <c r="SW9" s="113"/>
      <c r="SX9" s="113"/>
      <c r="SY9" s="113"/>
      <c r="SZ9" s="113"/>
      <c r="TA9" s="113"/>
      <c r="TB9" s="113"/>
      <c r="TC9" s="113"/>
      <c r="TD9" s="113"/>
      <c r="TE9" s="113"/>
      <c r="TF9" s="113"/>
      <c r="TG9" s="113"/>
      <c r="TH9" s="113"/>
      <c r="TI9" s="113"/>
      <c r="TJ9" s="113"/>
      <c r="TK9" s="113"/>
      <c r="TL9" s="113"/>
      <c r="TM9" s="113"/>
      <c r="TN9" s="113"/>
      <c r="TO9" s="113"/>
      <c r="TP9" s="113"/>
      <c r="TQ9" s="113"/>
      <c r="TR9" s="113"/>
      <c r="TS9" s="113"/>
      <c r="TT9" s="113"/>
      <c r="TU9" s="113"/>
      <c r="TV9" s="113"/>
      <c r="TW9" s="113"/>
      <c r="TX9" s="113"/>
      <c r="TY9" s="113"/>
      <c r="TZ9" s="113"/>
      <c r="UA9" s="113"/>
      <c r="UB9" s="113"/>
      <c r="UC9" s="113"/>
      <c r="UD9" s="113"/>
      <c r="UE9" s="113"/>
      <c r="UF9" s="113"/>
      <c r="UG9" s="113"/>
      <c r="UH9" s="113"/>
      <c r="UI9" s="113"/>
      <c r="UJ9" s="113"/>
      <c r="UK9" s="113"/>
      <c r="UL9" s="113"/>
      <c r="UM9" s="113"/>
      <c r="UN9" s="113"/>
      <c r="UO9" s="113"/>
      <c r="UP9" s="113"/>
      <c r="UQ9" s="113"/>
      <c r="UR9" s="113"/>
      <c r="US9" s="113"/>
      <c r="UT9" s="113"/>
      <c r="UU9" s="113"/>
      <c r="UV9" s="113"/>
      <c r="UW9" s="113"/>
      <c r="UX9" s="113"/>
      <c r="UY9" s="113"/>
      <c r="UZ9" s="113"/>
      <c r="VA9" s="113"/>
      <c r="VB9" s="113"/>
      <c r="VC9" s="113"/>
      <c r="VD9" s="113"/>
      <c r="VE9" s="113"/>
      <c r="VF9" s="113"/>
      <c r="VG9" s="113"/>
      <c r="VH9" s="113"/>
      <c r="VI9" s="113"/>
      <c r="VJ9" s="113"/>
      <c r="VK9" s="113"/>
      <c r="VL9" s="113"/>
      <c r="VM9" s="113"/>
      <c r="VN9" s="113"/>
      <c r="VO9" s="113"/>
      <c r="VP9" s="113"/>
      <c r="VQ9" s="113"/>
      <c r="VR9" s="113"/>
      <c r="VS9" s="113"/>
      <c r="VT9" s="113"/>
      <c r="VU9" s="113"/>
      <c r="VV9" s="113"/>
      <c r="VW9" s="113"/>
      <c r="VX9" s="113"/>
      <c r="VY9" s="113"/>
      <c r="VZ9" s="113"/>
      <c r="WA9" s="113"/>
      <c r="WB9" s="113"/>
      <c r="WC9" s="113"/>
      <c r="WD9" s="113"/>
      <c r="WE9" s="113"/>
      <c r="WF9" s="113"/>
      <c r="WG9" s="113"/>
      <c r="WH9" s="113"/>
      <c r="WI9" s="113"/>
      <c r="WJ9" s="113"/>
      <c r="WK9" s="113"/>
      <c r="WL9" s="113"/>
      <c r="WM9" s="113"/>
      <c r="WN9" s="113"/>
      <c r="WO9" s="113"/>
      <c r="WP9" s="113"/>
      <c r="WQ9" s="113"/>
      <c r="WR9" s="113"/>
      <c r="WS9" s="113"/>
      <c r="WT9" s="113"/>
      <c r="WU9" s="113"/>
      <c r="WV9" s="113"/>
      <c r="WW9" s="113"/>
      <c r="WX9" s="113"/>
      <c r="WY9" s="113"/>
      <c r="WZ9" s="113"/>
      <c r="XA9" s="113"/>
      <c r="XB9" s="113"/>
      <c r="XC9" s="113"/>
      <c r="XD9" s="113"/>
      <c r="XE9" s="113"/>
      <c r="XF9" s="113"/>
      <c r="XG9" s="113"/>
      <c r="XH9" s="113"/>
      <c r="XI9" s="113"/>
      <c r="XJ9" s="113"/>
      <c r="XK9" s="113"/>
      <c r="XL9" s="113"/>
      <c r="XM9" s="113"/>
      <c r="XN9" s="113"/>
      <c r="XO9" s="113"/>
      <c r="XP9" s="113"/>
      <c r="XQ9" s="113"/>
      <c r="XR9" s="113"/>
      <c r="XS9" s="113"/>
      <c r="XT9" s="113"/>
      <c r="XU9" s="113"/>
      <c r="XV9" s="113"/>
      <c r="XW9" s="113"/>
      <c r="XX9" s="113"/>
      <c r="XY9" s="113"/>
      <c r="XZ9" s="113"/>
      <c r="YA9" s="113"/>
      <c r="YB9" s="113"/>
      <c r="YC9" s="113"/>
      <c r="YD9" s="113"/>
      <c r="YE9" s="113"/>
      <c r="YF9" s="113"/>
      <c r="YG9" s="113"/>
      <c r="YH9" s="113"/>
      <c r="YI9" s="113"/>
      <c r="YJ9" s="113"/>
      <c r="YK9" s="113"/>
      <c r="YL9" s="113"/>
      <c r="YM9" s="113"/>
      <c r="YN9" s="113"/>
      <c r="YO9" s="113"/>
      <c r="YP9" s="113"/>
      <c r="YQ9" s="113"/>
      <c r="YR9" s="113"/>
      <c r="YS9" s="113"/>
      <c r="YT9" s="113"/>
      <c r="YU9" s="113"/>
      <c r="YV9" s="113"/>
      <c r="YW9" s="113"/>
      <c r="YX9" s="113"/>
      <c r="YY9" s="113"/>
      <c r="YZ9" s="113"/>
      <c r="ZA9" s="113"/>
      <c r="ZB9" s="113"/>
      <c r="ZC9" s="113"/>
      <c r="ZD9" s="113"/>
      <c r="ZE9" s="113"/>
      <c r="ZF9" s="113"/>
      <c r="ZG9" s="113"/>
      <c r="ZH9" s="113"/>
      <c r="ZI9" s="113"/>
      <c r="ZJ9" s="113"/>
      <c r="ZK9" s="113"/>
      <c r="ZL9" s="113"/>
      <c r="ZM9" s="113"/>
      <c r="ZN9" s="113"/>
      <c r="ZO9" s="113"/>
      <c r="ZP9" s="113"/>
      <c r="ZQ9" s="113"/>
      <c r="ZR9" s="113"/>
      <c r="ZS9" s="113"/>
      <c r="ZT9" s="113"/>
      <c r="ZU9" s="113"/>
      <c r="ZV9" s="113"/>
      <c r="ZW9" s="113"/>
      <c r="ZX9" s="113"/>
      <c r="ZY9" s="113"/>
      <c r="ZZ9" s="113"/>
      <c r="AAA9" s="113"/>
      <c r="AAB9" s="113"/>
      <c r="AAC9" s="113"/>
      <c r="AAD9" s="113"/>
      <c r="AAE9" s="113"/>
      <c r="AAF9" s="113"/>
      <c r="AAG9" s="113"/>
      <c r="AAH9" s="113"/>
      <c r="AAI9" s="113"/>
      <c r="AAJ9" s="113"/>
      <c r="AAK9" s="113"/>
      <c r="AAL9" s="113"/>
      <c r="AAM9" s="113"/>
      <c r="AAN9" s="113"/>
      <c r="AAO9" s="113"/>
      <c r="AAP9" s="113"/>
      <c r="AAQ9" s="113"/>
      <c r="AAR9" s="113"/>
      <c r="AAS9" s="113"/>
      <c r="AAT9" s="113"/>
      <c r="AAU9" s="113"/>
      <c r="AAV9" s="113"/>
      <c r="AAW9" s="113"/>
      <c r="AAX9" s="113"/>
      <c r="AAY9" s="113"/>
      <c r="AAZ9" s="113"/>
      <c r="ABA9" s="113"/>
      <c r="ABB9" s="113"/>
      <c r="ABC9" s="113"/>
      <c r="ABD9" s="113"/>
      <c r="ABE9" s="113"/>
      <c r="ABF9" s="113"/>
      <c r="ABG9" s="113"/>
      <c r="ABH9" s="113"/>
      <c r="ABI9" s="113"/>
      <c r="ABJ9" s="113"/>
      <c r="ABK9" s="113"/>
      <c r="ABL9" s="113"/>
      <c r="ABM9" s="113"/>
      <c r="ABN9" s="113"/>
      <c r="ABO9" s="113"/>
      <c r="ABP9" s="113"/>
      <c r="ABQ9" s="113"/>
      <c r="ABR9" s="113"/>
      <c r="ABS9" s="113"/>
      <c r="ABT9" s="113"/>
      <c r="ABU9" s="113"/>
      <c r="ABV9" s="113"/>
      <c r="ABW9" s="113"/>
      <c r="ABX9" s="113"/>
      <c r="ABY9" s="113"/>
      <c r="ABZ9" s="113"/>
      <c r="ACA9" s="113"/>
      <c r="ACB9" s="113"/>
      <c r="ACC9" s="113"/>
      <c r="ACD9" s="113"/>
      <c r="ACE9" s="113"/>
      <c r="ACF9" s="113"/>
      <c r="ACG9" s="113"/>
      <c r="ACH9" s="113"/>
      <c r="ACI9" s="113"/>
      <c r="ACJ9" s="113"/>
      <c r="ACK9" s="113"/>
      <c r="ACL9" s="113"/>
      <c r="ACM9" s="113"/>
      <c r="ACN9" s="113"/>
      <c r="ACO9" s="113"/>
      <c r="ACP9" s="113"/>
      <c r="ACQ9" s="113"/>
      <c r="ACR9" s="113"/>
      <c r="ACS9" s="113"/>
      <c r="ACT9" s="113"/>
      <c r="ACU9" s="113"/>
      <c r="ACV9" s="113"/>
      <c r="ACW9" s="113"/>
      <c r="ACX9" s="113"/>
      <c r="ACY9" s="113"/>
      <c r="ACZ9" s="113"/>
      <c r="ADA9" s="113"/>
      <c r="ADB9" s="113"/>
      <c r="ADC9" s="113"/>
      <c r="ADD9" s="113"/>
      <c r="ADE9" s="113"/>
      <c r="ADF9" s="113"/>
      <c r="ADG9" s="113"/>
      <c r="ADH9" s="113"/>
      <c r="ADI9" s="113"/>
      <c r="ADJ9" s="113"/>
      <c r="ADK9" s="113"/>
      <c r="ADL9" s="113"/>
      <c r="ADM9" s="113"/>
      <c r="ADN9" s="113"/>
      <c r="ADO9" s="113"/>
      <c r="ADP9" s="113"/>
      <c r="ADQ9" s="113"/>
      <c r="ADR9" s="113"/>
      <c r="ADS9" s="113"/>
      <c r="ADT9" s="113"/>
      <c r="ADU9" s="113"/>
      <c r="ADV9" s="113"/>
      <c r="ADW9" s="113"/>
      <c r="ADX9" s="113"/>
      <c r="ADY9" s="113"/>
      <c r="ADZ9" s="113"/>
      <c r="AEA9" s="113"/>
      <c r="AEB9" s="113"/>
      <c r="AEC9" s="113"/>
      <c r="AED9" s="113"/>
      <c r="AEE9" s="113"/>
      <c r="AEF9" s="113"/>
      <c r="AEG9" s="113"/>
      <c r="AEH9" s="113"/>
      <c r="AEI9" s="113"/>
      <c r="AEJ9" s="113"/>
      <c r="AEK9" s="113"/>
      <c r="AEL9" s="113"/>
      <c r="AEM9" s="113"/>
      <c r="AEN9" s="113"/>
      <c r="AEO9" s="113"/>
      <c r="AEP9" s="113"/>
      <c r="AEQ9" s="113"/>
      <c r="AER9" s="113"/>
      <c r="AES9" s="113"/>
      <c r="AET9" s="113"/>
      <c r="AEU9" s="113"/>
      <c r="AEV9" s="113"/>
      <c r="AEW9" s="113"/>
      <c r="AEX9" s="113"/>
      <c r="AEY9" s="113"/>
      <c r="AEZ9" s="113"/>
      <c r="AFA9" s="113"/>
      <c r="AFB9" s="113"/>
      <c r="AFC9" s="113"/>
      <c r="AFD9" s="113"/>
      <c r="AFE9" s="113"/>
      <c r="AFF9" s="113"/>
      <c r="AFG9" s="113"/>
      <c r="AFH9" s="113"/>
      <c r="AFI9" s="113"/>
      <c r="AFJ9" s="113"/>
      <c r="AFK9" s="113"/>
      <c r="AFL9" s="113"/>
      <c r="AFM9" s="113"/>
      <c r="AFN9" s="113"/>
      <c r="AFO9" s="113"/>
      <c r="AFP9" s="113"/>
      <c r="AFQ9" s="113"/>
      <c r="AFR9" s="113"/>
      <c r="AFS9" s="113"/>
      <c r="AFT9" s="113"/>
      <c r="AFU9" s="113"/>
      <c r="AFV9" s="113"/>
      <c r="AFW9" s="113"/>
      <c r="AFX9" s="113"/>
      <c r="AFY9" s="113"/>
      <c r="AFZ9" s="113"/>
      <c r="AGA9" s="113"/>
      <c r="AGB9" s="113"/>
      <c r="AGC9" s="113"/>
      <c r="AGD9" s="113"/>
      <c r="AGE9" s="113"/>
      <c r="AGF9" s="113"/>
      <c r="AGG9" s="113"/>
      <c r="AGH9" s="113"/>
      <c r="AGI9" s="113"/>
      <c r="AGJ9" s="113"/>
      <c r="AGK9" s="113"/>
      <c r="AGL9" s="113"/>
      <c r="AGM9" s="113"/>
      <c r="AGN9" s="113"/>
      <c r="AGO9" s="113"/>
      <c r="AGP9" s="113"/>
      <c r="AGQ9" s="113"/>
      <c r="AGR9" s="113"/>
      <c r="AGS9" s="113"/>
      <c r="AGT9" s="113"/>
      <c r="AGU9" s="113"/>
      <c r="AGV9" s="113"/>
      <c r="AGW9" s="113"/>
      <c r="AGX9" s="113"/>
      <c r="AGY9" s="113"/>
      <c r="AGZ9" s="113"/>
      <c r="AHA9" s="113"/>
      <c r="AHB9" s="113"/>
      <c r="AHC9" s="113"/>
      <c r="AHD9" s="113"/>
      <c r="AHE9" s="113"/>
      <c r="AHF9" s="113"/>
      <c r="AHG9" s="113"/>
      <c r="AHH9" s="113"/>
      <c r="AHI9" s="113"/>
      <c r="AHJ9" s="113"/>
      <c r="AHK9" s="113"/>
      <c r="AHL9" s="113"/>
      <c r="AHM9" s="113"/>
      <c r="AHN9" s="113"/>
      <c r="AHO9" s="113"/>
      <c r="AHP9" s="113"/>
      <c r="AHQ9" s="113"/>
      <c r="AHR9" s="113"/>
      <c r="AHS9" s="113"/>
      <c r="AHT9" s="113"/>
      <c r="AHU9" s="113"/>
      <c r="AHV9" s="113"/>
      <c r="AHW9" s="113"/>
      <c r="AHX9" s="113"/>
      <c r="AHY9" s="113"/>
      <c r="AHZ9" s="113"/>
      <c r="AIA9" s="113"/>
      <c r="AIB9" s="113"/>
      <c r="AIC9" s="113"/>
      <c r="AID9" s="113"/>
      <c r="AIE9" s="113"/>
      <c r="AIF9" s="113"/>
      <c r="AIG9" s="113"/>
      <c r="AIH9" s="113"/>
      <c r="AII9" s="113"/>
      <c r="AIJ9" s="113"/>
      <c r="AIK9" s="113"/>
      <c r="AIL9" s="113"/>
      <c r="AIM9" s="113"/>
      <c r="AIN9" s="113"/>
      <c r="AIO9" s="113"/>
      <c r="AIP9" s="113"/>
      <c r="AIQ9" s="113"/>
      <c r="AIR9" s="113"/>
      <c r="AIS9" s="113"/>
      <c r="AIT9" s="113"/>
      <c r="AIU9" s="113"/>
      <c r="AIV9" s="113"/>
      <c r="AIW9" s="113"/>
      <c r="AIX9" s="113"/>
      <c r="AIY9" s="113"/>
      <c r="AIZ9" s="113"/>
      <c r="AJA9" s="113"/>
      <c r="AJB9" s="113"/>
      <c r="AJC9" s="113"/>
      <c r="AJD9" s="113"/>
      <c r="AJE9" s="113"/>
      <c r="AJF9" s="113"/>
      <c r="AJG9" s="113"/>
      <c r="AJH9" s="113"/>
      <c r="AJI9" s="113"/>
      <c r="AJJ9" s="113"/>
      <c r="AJK9" s="113"/>
      <c r="AJL9" s="113"/>
      <c r="AJM9" s="113"/>
      <c r="AJN9" s="113"/>
      <c r="AJO9" s="113"/>
      <c r="AJP9" s="113"/>
      <c r="AJQ9" s="113"/>
      <c r="AJR9" s="113"/>
      <c r="AJS9" s="113"/>
      <c r="AJT9" s="113"/>
      <c r="AJU9" s="113"/>
      <c r="AJV9" s="113"/>
      <c r="AJW9" s="113"/>
      <c r="AJX9" s="113"/>
      <c r="AJY9" s="113"/>
      <c r="AJZ9" s="113"/>
      <c r="AKA9" s="113"/>
      <c r="AKB9" s="113"/>
      <c r="AKC9" s="113"/>
      <c r="AKD9" s="113"/>
      <c r="AKE9" s="113"/>
      <c r="AKF9" s="113"/>
      <c r="AKG9" s="113"/>
      <c r="AKH9" s="113"/>
      <c r="AKI9" s="113"/>
      <c r="AKJ9" s="113"/>
      <c r="AKK9" s="113"/>
      <c r="AKL9" s="113"/>
      <c r="AKM9" s="113"/>
      <c r="AKN9" s="113"/>
      <c r="AKO9" s="113"/>
      <c r="AKP9" s="113"/>
      <c r="AKQ9" s="113"/>
      <c r="AKR9" s="113"/>
      <c r="AKS9" s="113"/>
      <c r="AKT9" s="113"/>
      <c r="AKU9" s="113"/>
      <c r="AKV9" s="113"/>
      <c r="AKW9" s="113"/>
      <c r="AKX9" s="113"/>
      <c r="AKY9" s="113"/>
      <c r="AKZ9" s="113"/>
      <c r="ALA9" s="113"/>
      <c r="ALB9" s="113"/>
      <c r="ALC9" s="113"/>
      <c r="ALD9" s="113"/>
      <c r="ALE9" s="113"/>
      <c r="ALF9" s="113"/>
      <c r="ALG9" s="113"/>
      <c r="ALH9" s="113"/>
      <c r="ALI9" s="113"/>
      <c r="ALJ9" s="113"/>
      <c r="ALK9" s="113"/>
      <c r="ALL9" s="113"/>
      <c r="ALM9" s="113"/>
      <c r="ALN9" s="113"/>
      <c r="ALO9" s="113"/>
      <c r="ALP9" s="113"/>
      <c r="ALQ9" s="113"/>
      <c r="ALR9" s="113"/>
      <c r="ALS9" s="113"/>
      <c r="ALT9" s="113"/>
      <c r="ALU9" s="113"/>
      <c r="ALV9" s="113"/>
      <c r="ALW9" s="113"/>
      <c r="ALX9" s="113"/>
      <c r="ALY9" s="113"/>
      <c r="ALZ9" s="113"/>
      <c r="AMA9" s="113"/>
      <c r="AMB9" s="113"/>
      <c r="AMC9" s="113"/>
      <c r="AMD9" s="113"/>
      <c r="AME9" s="113"/>
      <c r="AMF9" s="113"/>
      <c r="AMG9" s="113"/>
      <c r="AMH9" s="113"/>
      <c r="AMI9" s="113"/>
      <c r="AMJ9" s="113"/>
      <c r="AMK9" s="113"/>
      <c r="AML9" s="113"/>
      <c r="AMM9" s="113"/>
      <c r="AMN9" s="113"/>
      <c r="AMO9" s="113"/>
      <c r="AMP9" s="113"/>
      <c r="AMQ9" s="113"/>
      <c r="AMR9" s="113"/>
      <c r="AMS9" s="113"/>
      <c r="AMT9" s="113"/>
      <c r="AMU9" s="113"/>
      <c r="AMV9" s="113"/>
      <c r="AMW9" s="113"/>
      <c r="AMX9" s="113"/>
      <c r="AMY9" s="113"/>
      <c r="AMZ9" s="113"/>
      <c r="ANA9" s="113"/>
      <c r="ANB9" s="113"/>
      <c r="ANC9" s="113"/>
      <c r="AND9" s="113"/>
      <c r="ANE9" s="113"/>
      <c r="ANF9" s="113"/>
      <c r="ANG9" s="113"/>
      <c r="ANH9" s="113"/>
      <c r="ANI9" s="113"/>
      <c r="ANJ9" s="113"/>
      <c r="ANK9" s="113"/>
      <c r="ANL9" s="113"/>
      <c r="ANM9" s="113"/>
      <c r="ANN9" s="113"/>
      <c r="ANO9" s="113"/>
      <c r="ANP9" s="113"/>
      <c r="ANQ9" s="113"/>
      <c r="ANR9" s="113"/>
      <c r="ANS9" s="113"/>
      <c r="ANT9" s="113"/>
      <c r="ANU9" s="113"/>
      <c r="ANV9" s="113"/>
      <c r="ANW9" s="113"/>
      <c r="ANX9" s="113"/>
      <c r="ANY9" s="113"/>
      <c r="ANZ9" s="113"/>
      <c r="AOA9" s="113"/>
      <c r="AOB9" s="113"/>
      <c r="AOC9" s="113"/>
      <c r="AOD9" s="113"/>
      <c r="AOE9" s="113"/>
      <c r="AOF9" s="113"/>
      <c r="AOG9" s="113"/>
      <c r="AOH9" s="113"/>
      <c r="AOI9" s="113"/>
      <c r="AOJ9" s="113"/>
      <c r="AOK9" s="113"/>
      <c r="AOL9" s="113"/>
      <c r="AOM9" s="113"/>
      <c r="AON9" s="113"/>
      <c r="AOO9" s="113"/>
      <c r="AOP9" s="113"/>
      <c r="AOQ9" s="113"/>
      <c r="AOR9" s="113"/>
      <c r="AOS9" s="113"/>
      <c r="AOT9" s="113"/>
      <c r="AOU9" s="113"/>
      <c r="AOV9" s="113"/>
      <c r="AOW9" s="113"/>
      <c r="AOX9" s="113"/>
      <c r="AOY9" s="113"/>
      <c r="AOZ9" s="113"/>
      <c r="APA9" s="113"/>
      <c r="APB9" s="113"/>
      <c r="APC9" s="113"/>
      <c r="APD9" s="113"/>
      <c r="APE9" s="113"/>
      <c r="APF9" s="113"/>
      <c r="APG9" s="113"/>
      <c r="APH9" s="113"/>
      <c r="API9" s="113"/>
      <c r="APJ9" s="113"/>
      <c r="APK9" s="113"/>
      <c r="APL9" s="113"/>
      <c r="APM9" s="113"/>
      <c r="APN9" s="113"/>
      <c r="APO9" s="113"/>
      <c r="APP9" s="113"/>
      <c r="APQ9" s="113"/>
      <c r="APR9" s="113"/>
      <c r="APS9" s="113"/>
      <c r="APT9" s="113"/>
      <c r="APU9" s="113"/>
      <c r="APV9" s="113"/>
      <c r="APW9" s="113"/>
      <c r="APX9" s="113"/>
      <c r="APY9" s="113"/>
      <c r="APZ9" s="113"/>
      <c r="AQA9" s="113"/>
      <c r="AQB9" s="113"/>
      <c r="AQC9" s="113"/>
      <c r="AQD9" s="113"/>
      <c r="AQE9" s="113"/>
      <c r="AQF9" s="113"/>
      <c r="AQG9" s="113"/>
      <c r="AQH9" s="113"/>
      <c r="AQI9" s="113"/>
      <c r="AQJ9" s="113"/>
      <c r="AQK9" s="113"/>
      <c r="AQL9" s="113"/>
      <c r="AQM9" s="113"/>
      <c r="AQN9" s="113"/>
      <c r="AQO9" s="113"/>
      <c r="AQP9" s="113"/>
      <c r="AQQ9" s="113"/>
      <c r="AQR9" s="113"/>
      <c r="AQS9" s="113"/>
      <c r="AQT9" s="113"/>
      <c r="AQU9" s="113"/>
      <c r="AQV9" s="113"/>
      <c r="AQW9" s="113"/>
      <c r="AQX9" s="113"/>
      <c r="AQY9" s="113"/>
      <c r="AQZ9" s="113"/>
      <c r="ARA9" s="113"/>
      <c r="ARB9" s="113"/>
      <c r="ARC9" s="113"/>
      <c r="ARD9" s="113"/>
      <c r="ARE9" s="113"/>
      <c r="ARF9" s="113"/>
      <c r="ARG9" s="113"/>
      <c r="ARH9" s="113"/>
      <c r="ARI9" s="113"/>
      <c r="ARJ9" s="113"/>
      <c r="ARK9" s="113"/>
      <c r="ARL9" s="113"/>
      <c r="ARM9" s="113"/>
      <c r="ARN9" s="113"/>
      <c r="ARO9" s="113"/>
      <c r="ARP9" s="113"/>
      <c r="ARQ9" s="113"/>
      <c r="ARR9" s="113"/>
      <c r="ARS9" s="113"/>
      <c r="ART9" s="113"/>
      <c r="ARU9" s="113"/>
      <c r="ARV9" s="113"/>
      <c r="ARW9" s="113"/>
      <c r="ARX9" s="113"/>
      <c r="ARY9" s="113"/>
      <c r="ARZ9" s="113"/>
      <c r="ASA9" s="113"/>
      <c r="ASB9" s="113"/>
      <c r="ASC9" s="113"/>
      <c r="ASD9" s="113"/>
      <c r="ASE9" s="113"/>
      <c r="ASF9" s="113"/>
      <c r="ASG9" s="113"/>
      <c r="ASH9" s="113"/>
      <c r="ASI9" s="113"/>
      <c r="ASJ9" s="113"/>
      <c r="ASK9" s="113"/>
      <c r="ASL9" s="113"/>
      <c r="ASM9" s="113"/>
      <c r="ASN9" s="113"/>
      <c r="ASO9" s="113"/>
      <c r="ASP9" s="113"/>
      <c r="ASQ9" s="113"/>
      <c r="ASR9" s="113"/>
      <c r="ASS9" s="113"/>
      <c r="AST9" s="113"/>
      <c r="ASU9" s="113"/>
      <c r="ASV9" s="113"/>
      <c r="ASW9" s="113"/>
      <c r="ASX9" s="113"/>
      <c r="ASY9" s="113"/>
      <c r="ASZ9" s="113"/>
      <c r="ATA9" s="113"/>
      <c r="ATB9" s="113"/>
      <c r="ATC9" s="113"/>
      <c r="ATD9" s="113"/>
      <c r="ATE9" s="113"/>
      <c r="ATF9" s="113"/>
      <c r="ATG9" s="113"/>
      <c r="ATH9" s="113"/>
      <c r="ATI9" s="113"/>
      <c r="ATJ9" s="113"/>
      <c r="ATK9" s="113"/>
      <c r="ATL9" s="113"/>
      <c r="ATM9" s="113"/>
      <c r="ATN9" s="113"/>
      <c r="ATO9" s="113"/>
      <c r="ATP9" s="113"/>
      <c r="ATQ9" s="113"/>
      <c r="ATR9" s="113"/>
      <c r="ATS9" s="113"/>
      <c r="ATT9" s="113"/>
      <c r="ATU9" s="113"/>
      <c r="ATV9" s="113"/>
      <c r="ATW9" s="113"/>
      <c r="ATX9" s="113"/>
      <c r="ATY9" s="113"/>
      <c r="ATZ9" s="113"/>
      <c r="AUA9" s="113"/>
      <c r="AUB9" s="113"/>
      <c r="AUC9" s="113"/>
      <c r="AUD9" s="113"/>
      <c r="AUE9" s="113"/>
      <c r="AUF9" s="113"/>
      <c r="AUG9" s="113"/>
      <c r="AUH9" s="113"/>
      <c r="AUI9" s="113"/>
      <c r="AUJ9" s="113"/>
      <c r="AUK9" s="113"/>
      <c r="AUL9" s="113"/>
      <c r="AUM9" s="113"/>
      <c r="AUN9" s="113"/>
      <c r="AUO9" s="113"/>
      <c r="AUP9" s="113"/>
      <c r="AUQ9" s="113"/>
      <c r="AUR9" s="113"/>
      <c r="AUS9" s="113"/>
      <c r="AUT9" s="113"/>
      <c r="AUU9" s="113"/>
      <c r="AUV9" s="113"/>
      <c r="AUW9" s="113"/>
      <c r="AUX9" s="113"/>
      <c r="AUY9" s="113"/>
      <c r="AUZ9" s="113"/>
      <c r="AVA9" s="113"/>
      <c r="AVB9" s="113"/>
      <c r="AVC9" s="113"/>
      <c r="AVD9" s="113"/>
      <c r="AVE9" s="113"/>
      <c r="AVF9" s="113"/>
      <c r="AVG9" s="113"/>
      <c r="AVH9" s="113"/>
      <c r="AVI9" s="113"/>
      <c r="AVJ9" s="113"/>
      <c r="AVK9" s="113"/>
      <c r="AVL9" s="113"/>
      <c r="AVM9" s="113"/>
      <c r="AVN9" s="113"/>
      <c r="AVO9" s="113"/>
      <c r="AVP9" s="113"/>
      <c r="AVQ9" s="113"/>
      <c r="AVR9" s="113"/>
      <c r="AVS9" s="113"/>
      <c r="AVT9" s="113"/>
      <c r="AVU9" s="113"/>
      <c r="AVV9" s="113"/>
      <c r="AVW9" s="113"/>
      <c r="AVX9" s="113"/>
      <c r="AVY9" s="113"/>
      <c r="AVZ9" s="113"/>
      <c r="AWA9" s="113"/>
      <c r="AWB9" s="113"/>
      <c r="AWC9" s="113"/>
      <c r="AWD9" s="113"/>
      <c r="AWE9" s="113"/>
      <c r="AWF9" s="113"/>
      <c r="AWG9" s="113"/>
      <c r="AWH9" s="113"/>
      <c r="AWI9" s="113"/>
      <c r="AWJ9" s="113"/>
      <c r="AWK9" s="113"/>
      <c r="AWL9" s="113"/>
      <c r="AWM9" s="113"/>
      <c r="AWN9" s="113"/>
      <c r="AWO9" s="113"/>
      <c r="AWP9" s="113"/>
      <c r="AWQ9" s="113"/>
      <c r="AWR9" s="113"/>
      <c r="AWS9" s="113"/>
      <c r="AWT9" s="113"/>
      <c r="AWU9" s="113"/>
      <c r="AWV9" s="113"/>
      <c r="AWW9" s="113"/>
      <c r="AWX9" s="113"/>
      <c r="AWY9" s="113"/>
      <c r="AWZ9" s="113"/>
      <c r="AXA9" s="113"/>
      <c r="AXB9" s="113"/>
      <c r="AXC9" s="113"/>
      <c r="AXD9" s="113"/>
      <c r="AXE9" s="113"/>
      <c r="AXF9" s="113"/>
      <c r="AXG9" s="113"/>
      <c r="AXH9" s="113"/>
      <c r="AXI9" s="113"/>
      <c r="AXJ9" s="113"/>
      <c r="AXK9" s="113"/>
      <c r="AXL9" s="113"/>
      <c r="AXM9" s="113"/>
      <c r="AXN9" s="113"/>
      <c r="AXO9" s="113"/>
      <c r="AXP9" s="113"/>
      <c r="AXQ9" s="113"/>
      <c r="AXR9" s="113"/>
      <c r="AXS9" s="113"/>
      <c r="AXT9" s="113"/>
      <c r="AXU9" s="113"/>
      <c r="AXV9" s="113"/>
      <c r="AXW9" s="113"/>
      <c r="AXX9" s="113"/>
      <c r="AXY9" s="113"/>
      <c r="AXZ9" s="113"/>
      <c r="AYA9" s="113"/>
      <c r="AYB9" s="113"/>
      <c r="AYC9" s="113"/>
      <c r="AYD9" s="113"/>
      <c r="AYE9" s="113"/>
      <c r="AYF9" s="113"/>
      <c r="AYG9" s="113"/>
      <c r="AYH9" s="113"/>
      <c r="AYI9" s="113"/>
      <c r="AYJ9" s="113"/>
      <c r="AYK9" s="113"/>
      <c r="AYL9" s="113"/>
      <c r="AYM9" s="113"/>
      <c r="AYN9" s="113"/>
      <c r="AYO9" s="113"/>
      <c r="AYP9" s="113"/>
      <c r="AYQ9" s="113"/>
      <c r="AYR9" s="113"/>
      <c r="AYS9" s="113"/>
      <c r="AYT9" s="113"/>
      <c r="AYU9" s="113"/>
      <c r="AYV9" s="113"/>
      <c r="AYW9" s="113"/>
      <c r="AYX9" s="113"/>
      <c r="AYY9" s="113"/>
      <c r="AYZ9" s="113"/>
      <c r="AZA9" s="113"/>
      <c r="AZB9" s="113"/>
      <c r="AZC9" s="113"/>
      <c r="AZD9" s="113"/>
      <c r="AZE9" s="113"/>
      <c r="AZF9" s="113"/>
      <c r="AZG9" s="113"/>
      <c r="AZH9" s="113"/>
      <c r="AZI9" s="113"/>
      <c r="AZJ9" s="113"/>
      <c r="AZK9" s="113"/>
      <c r="AZL9" s="113"/>
      <c r="AZM9" s="113"/>
      <c r="AZN9" s="113"/>
      <c r="AZO9" s="113"/>
      <c r="AZP9" s="113"/>
      <c r="AZQ9" s="113"/>
      <c r="AZR9" s="113"/>
      <c r="AZS9" s="113"/>
      <c r="AZT9" s="113"/>
      <c r="AZU9" s="113"/>
      <c r="AZV9" s="113"/>
      <c r="AZW9" s="113"/>
      <c r="AZX9" s="113"/>
      <c r="AZY9" s="113"/>
      <c r="AZZ9" s="113"/>
      <c r="BAA9" s="113"/>
      <c r="BAB9" s="113"/>
      <c r="BAC9" s="113"/>
      <c r="BAD9" s="113"/>
      <c r="BAE9" s="113"/>
      <c r="BAF9" s="113"/>
      <c r="BAG9" s="113"/>
      <c r="BAH9" s="113"/>
      <c r="BAI9" s="113"/>
      <c r="BAJ9" s="113"/>
      <c r="BAK9" s="113"/>
      <c r="BAL9" s="113"/>
      <c r="BAM9" s="113"/>
      <c r="BAN9" s="113"/>
      <c r="BAO9" s="113"/>
      <c r="BAP9" s="113"/>
      <c r="BAQ9" s="113"/>
      <c r="BAR9" s="113"/>
      <c r="BAS9" s="113"/>
      <c r="BAT9" s="113"/>
      <c r="BAU9" s="113"/>
      <c r="BAV9" s="113"/>
      <c r="BAW9" s="113"/>
      <c r="BAX9" s="113"/>
      <c r="BAY9" s="113"/>
      <c r="BAZ9" s="113"/>
      <c r="BBA9" s="113"/>
      <c r="BBB9" s="113"/>
      <c r="BBC9" s="113"/>
      <c r="BBD9" s="113"/>
      <c r="BBE9" s="113"/>
      <c r="BBF9" s="113"/>
      <c r="BBG9" s="113"/>
      <c r="BBH9" s="113"/>
      <c r="BBI9" s="113"/>
      <c r="BBJ9" s="113"/>
      <c r="BBK9" s="113"/>
      <c r="BBL9" s="113"/>
      <c r="BBM9" s="113"/>
      <c r="BBN9" s="113"/>
      <c r="BBO9" s="113"/>
      <c r="BBP9" s="113"/>
      <c r="BBQ9" s="113"/>
      <c r="BBR9" s="113"/>
      <c r="BBS9" s="113"/>
      <c r="BBT9" s="113"/>
      <c r="BBU9" s="113"/>
      <c r="BBV9" s="113"/>
      <c r="BBW9" s="113"/>
      <c r="BBX9" s="113"/>
      <c r="BBY9" s="113"/>
      <c r="BBZ9" s="113"/>
      <c r="BCA9" s="113"/>
      <c r="BCB9" s="113"/>
      <c r="BCC9" s="113"/>
      <c r="BCD9" s="113"/>
      <c r="BCE9" s="113"/>
      <c r="BCF9" s="113"/>
      <c r="BCG9" s="113"/>
      <c r="BCH9" s="113"/>
      <c r="BCI9" s="113"/>
      <c r="BCJ9" s="113"/>
      <c r="BCK9" s="113"/>
      <c r="BCL9" s="113"/>
      <c r="BCM9" s="113"/>
      <c r="BCN9" s="113"/>
      <c r="BCO9" s="113"/>
      <c r="BCP9" s="113"/>
      <c r="BCQ9" s="113"/>
      <c r="BCR9" s="113"/>
      <c r="BCS9" s="113"/>
      <c r="BCT9" s="113"/>
      <c r="BCU9" s="113"/>
      <c r="BCV9" s="113"/>
      <c r="BCW9" s="113"/>
      <c r="BCX9" s="113"/>
      <c r="BCY9" s="113"/>
      <c r="BCZ9" s="113"/>
      <c r="BDA9" s="113"/>
      <c r="BDB9" s="113"/>
      <c r="BDC9" s="113"/>
      <c r="BDD9" s="113"/>
      <c r="BDE9" s="113"/>
      <c r="BDF9" s="113"/>
      <c r="BDG9" s="113"/>
      <c r="BDH9" s="113"/>
      <c r="BDI9" s="113"/>
      <c r="BDJ9" s="113"/>
      <c r="BDK9" s="113"/>
      <c r="BDL9" s="113"/>
      <c r="BDM9" s="113"/>
      <c r="BDN9" s="113"/>
      <c r="BDO9" s="113"/>
      <c r="BDP9" s="113"/>
      <c r="BDQ9" s="113"/>
      <c r="BDR9" s="113"/>
      <c r="BDS9" s="113"/>
      <c r="BDT9" s="113"/>
      <c r="BDU9" s="113"/>
      <c r="BDV9" s="113"/>
      <c r="BDW9" s="113"/>
      <c r="BDX9" s="113"/>
      <c r="BDY9" s="113"/>
      <c r="BDZ9" s="113"/>
      <c r="BEA9" s="113"/>
      <c r="BEB9" s="113"/>
      <c r="BEC9" s="113"/>
      <c r="BED9" s="113"/>
      <c r="BEE9" s="113"/>
      <c r="BEF9" s="113"/>
      <c r="BEG9" s="113"/>
      <c r="BEH9" s="113"/>
      <c r="BEI9" s="113"/>
      <c r="BEJ9" s="113"/>
      <c r="BEK9" s="113"/>
      <c r="BEL9" s="113"/>
      <c r="BEM9" s="113"/>
      <c r="BEN9" s="113"/>
      <c r="BEO9" s="113"/>
      <c r="BEP9" s="113"/>
      <c r="BEQ9" s="113"/>
      <c r="BER9" s="113"/>
      <c r="BES9" s="113"/>
      <c r="BET9" s="113"/>
      <c r="BEU9" s="113"/>
      <c r="BEV9" s="113"/>
      <c r="BEW9" s="113"/>
      <c r="BEX9" s="113"/>
      <c r="BEY9" s="113"/>
      <c r="BEZ9" s="113"/>
      <c r="BFA9" s="113"/>
      <c r="BFB9" s="113"/>
      <c r="BFC9" s="113"/>
      <c r="BFD9" s="113"/>
      <c r="BFE9" s="113"/>
      <c r="BFF9" s="113"/>
      <c r="BFG9" s="113"/>
      <c r="BFH9" s="113"/>
      <c r="BFI9" s="113"/>
      <c r="BFJ9" s="113"/>
      <c r="BFK9" s="113"/>
      <c r="BFL9" s="113"/>
      <c r="BFM9" s="113"/>
      <c r="BFN9" s="113"/>
      <c r="BFO9" s="113"/>
      <c r="BFP9" s="113"/>
      <c r="BFQ9" s="113"/>
      <c r="BFR9" s="113"/>
      <c r="BFS9" s="113"/>
      <c r="BFT9" s="113"/>
      <c r="BFU9" s="113"/>
      <c r="BFV9" s="113"/>
      <c r="BFW9" s="113"/>
      <c r="BFX9" s="113"/>
      <c r="BFY9" s="113"/>
      <c r="BFZ9" s="113"/>
      <c r="BGA9" s="113"/>
      <c r="BGB9" s="113"/>
      <c r="BGC9" s="113"/>
      <c r="BGD9" s="113"/>
      <c r="BGE9" s="113"/>
      <c r="BGF9" s="113"/>
      <c r="BGG9" s="113"/>
      <c r="BGH9" s="113"/>
      <c r="BGI9" s="113"/>
      <c r="BGJ9" s="113"/>
      <c r="BGK9" s="113"/>
      <c r="BGL9" s="113"/>
      <c r="BGM9" s="113"/>
      <c r="BGN9" s="113"/>
      <c r="BGO9" s="113"/>
      <c r="BGP9" s="113"/>
      <c r="BGQ9" s="113"/>
      <c r="BGR9" s="113"/>
      <c r="BGS9" s="113"/>
      <c r="BGT9" s="113"/>
      <c r="BGU9" s="113"/>
      <c r="BGV9" s="113"/>
      <c r="BGW9" s="113"/>
      <c r="BGX9" s="113"/>
      <c r="BGY9" s="113"/>
      <c r="BGZ9" s="113"/>
      <c r="BHA9" s="113"/>
      <c r="BHB9" s="113"/>
      <c r="BHC9" s="113"/>
      <c r="BHD9" s="113"/>
      <c r="BHE9" s="113"/>
      <c r="BHF9" s="113"/>
      <c r="BHG9" s="113"/>
      <c r="BHH9" s="113"/>
      <c r="BHI9" s="113"/>
      <c r="BHJ9" s="113"/>
      <c r="BHK9" s="113"/>
      <c r="BHL9" s="113"/>
      <c r="BHM9" s="113"/>
      <c r="BHN9" s="113"/>
      <c r="BHO9" s="113"/>
      <c r="BHP9" s="113"/>
      <c r="BHQ9" s="113"/>
      <c r="BHR9" s="113"/>
      <c r="BHS9" s="113"/>
      <c r="BHT9" s="113"/>
      <c r="BHU9" s="113"/>
      <c r="BHV9" s="113"/>
      <c r="BHW9" s="113"/>
      <c r="BHX9" s="113"/>
      <c r="BHY9" s="113"/>
      <c r="BHZ9" s="113"/>
      <c r="BIA9" s="113"/>
      <c r="BIB9" s="113"/>
      <c r="BIC9" s="113"/>
      <c r="BID9" s="113"/>
      <c r="BIE9" s="113"/>
      <c r="BIF9" s="113"/>
      <c r="BIG9" s="113"/>
      <c r="BIH9" s="113"/>
      <c r="BII9" s="113"/>
      <c r="BIJ9" s="113"/>
      <c r="BIK9" s="113"/>
      <c r="BIL9" s="113"/>
      <c r="BIM9" s="113"/>
      <c r="BIN9" s="113"/>
      <c r="BIO9" s="113"/>
      <c r="BIP9" s="113"/>
      <c r="BIQ9" s="113"/>
      <c r="BIR9" s="113"/>
      <c r="BIS9" s="113"/>
      <c r="BIT9" s="113"/>
      <c r="BIU9" s="113"/>
      <c r="BIV9" s="113"/>
      <c r="BIW9" s="113"/>
      <c r="BIX9" s="113"/>
      <c r="BIY9" s="113"/>
      <c r="BIZ9" s="113"/>
      <c r="BJA9" s="113"/>
      <c r="BJB9" s="113"/>
      <c r="BJC9" s="113"/>
      <c r="BJD9" s="113"/>
      <c r="BJE9" s="113"/>
      <c r="BJF9" s="113"/>
      <c r="BJG9" s="113"/>
      <c r="BJH9" s="113"/>
      <c r="BJI9" s="113"/>
      <c r="BJJ9" s="113"/>
      <c r="BJK9" s="113"/>
      <c r="BJL9" s="113"/>
      <c r="BJM9" s="113"/>
      <c r="BJN9" s="113"/>
      <c r="BJO9" s="113"/>
      <c r="BJP9" s="113"/>
      <c r="BJQ9" s="113"/>
      <c r="BJR9" s="113"/>
      <c r="BJS9" s="113"/>
      <c r="BJT9" s="113"/>
      <c r="BJU9" s="113"/>
      <c r="BJV9" s="113"/>
      <c r="BJW9" s="113"/>
      <c r="BJX9" s="113"/>
      <c r="BJY9" s="113"/>
      <c r="BJZ9" s="113"/>
      <c r="BKA9" s="113"/>
      <c r="BKB9" s="113"/>
      <c r="BKC9" s="113"/>
      <c r="BKD9" s="113"/>
      <c r="BKE9" s="113"/>
      <c r="BKF9" s="113"/>
      <c r="BKG9" s="113"/>
      <c r="BKH9" s="113"/>
      <c r="BKI9" s="113"/>
      <c r="BKJ9" s="113"/>
      <c r="BKK9" s="113"/>
      <c r="BKL9" s="113"/>
      <c r="BKM9" s="113"/>
      <c r="BKN9" s="113"/>
      <c r="BKO9" s="113"/>
      <c r="BKP9" s="113"/>
      <c r="BKQ9" s="113"/>
      <c r="BKR9" s="113"/>
      <c r="BKS9" s="113"/>
      <c r="BKT9" s="113"/>
      <c r="BKU9" s="113"/>
      <c r="BKV9" s="113"/>
      <c r="BKW9" s="113"/>
      <c r="BKX9" s="113"/>
      <c r="BKY9" s="113"/>
      <c r="BKZ9" s="113"/>
      <c r="BLA9" s="113"/>
      <c r="BLB9" s="113"/>
      <c r="BLC9" s="113"/>
      <c r="BLD9" s="113"/>
      <c r="BLE9" s="113"/>
      <c r="BLF9" s="113"/>
      <c r="BLG9" s="113"/>
      <c r="BLH9" s="113"/>
      <c r="BLI9" s="113"/>
      <c r="BLJ9" s="113"/>
      <c r="BLK9" s="113"/>
      <c r="BLL9" s="113"/>
      <c r="BLM9" s="113"/>
      <c r="BLN9" s="113"/>
      <c r="BLO9" s="113"/>
      <c r="BLP9" s="113"/>
      <c r="BLQ9" s="113"/>
      <c r="BLR9" s="113"/>
      <c r="BLS9" s="113"/>
      <c r="BLT9" s="113"/>
      <c r="BLU9" s="113"/>
      <c r="BLV9" s="113"/>
      <c r="BLW9" s="113"/>
      <c r="BLX9" s="113"/>
      <c r="BLY9" s="113"/>
      <c r="BLZ9" s="113"/>
      <c r="BMA9" s="113"/>
      <c r="BMB9" s="113"/>
      <c r="BMC9" s="113"/>
      <c r="BMD9" s="113"/>
      <c r="BME9" s="113"/>
      <c r="BMF9" s="113"/>
      <c r="BMG9" s="113"/>
      <c r="BMH9" s="113"/>
      <c r="BMI9" s="113"/>
      <c r="BMJ9" s="113"/>
      <c r="BMK9" s="113"/>
      <c r="BML9" s="113"/>
      <c r="BMM9" s="113"/>
      <c r="BMN9" s="113"/>
      <c r="BMO9" s="113"/>
      <c r="BMP9" s="113"/>
      <c r="BMQ9" s="113"/>
      <c r="BMR9" s="113"/>
      <c r="BMS9" s="113"/>
      <c r="BMT9" s="113"/>
      <c r="BMU9" s="113"/>
      <c r="BMV9" s="113"/>
      <c r="BMW9" s="113"/>
      <c r="BMX9" s="113"/>
      <c r="BMY9" s="113"/>
      <c r="BMZ9" s="113"/>
      <c r="BNA9" s="113"/>
      <c r="BNB9" s="113"/>
      <c r="BNC9" s="113"/>
      <c r="BND9" s="113"/>
      <c r="BNE9" s="113"/>
      <c r="BNF9" s="113"/>
      <c r="BNG9" s="113"/>
      <c r="BNH9" s="113"/>
      <c r="BNI9" s="113"/>
      <c r="BNJ9" s="113"/>
      <c r="BNK9" s="113"/>
      <c r="BNL9" s="113"/>
      <c r="BNM9" s="113"/>
      <c r="BNN9" s="113"/>
      <c r="BNO9" s="113"/>
      <c r="BNP9" s="113"/>
      <c r="BNQ9" s="113"/>
      <c r="BNR9" s="113"/>
      <c r="BNS9" s="113"/>
      <c r="BNT9" s="113"/>
      <c r="BNU9" s="113"/>
      <c r="BNV9" s="113"/>
      <c r="BNW9" s="113"/>
      <c r="BNX9" s="113"/>
      <c r="BNY9" s="113"/>
      <c r="BNZ9" s="113"/>
      <c r="BOA9" s="113"/>
      <c r="BOB9" s="113"/>
      <c r="BOC9" s="113"/>
      <c r="BOD9" s="113"/>
      <c r="BOE9" s="113"/>
      <c r="BOF9" s="113"/>
      <c r="BOG9" s="113"/>
      <c r="BOH9" s="113"/>
      <c r="BOI9" s="113"/>
      <c r="BOJ9" s="113"/>
      <c r="BOK9" s="113"/>
      <c r="BOL9" s="113"/>
      <c r="BOM9" s="113"/>
      <c r="BON9" s="113"/>
      <c r="BOO9" s="113"/>
      <c r="BOP9" s="113"/>
      <c r="BOQ9" s="113"/>
      <c r="BOR9" s="113"/>
      <c r="BOS9" s="113"/>
      <c r="BOT9" s="113"/>
      <c r="BOU9" s="113"/>
      <c r="BOV9" s="113"/>
      <c r="BOW9" s="113"/>
      <c r="BOX9" s="113"/>
      <c r="BOY9" s="113"/>
      <c r="BOZ9" s="113"/>
      <c r="BPA9" s="113"/>
      <c r="BPB9" s="113"/>
      <c r="BPC9" s="113"/>
      <c r="BPD9" s="113"/>
      <c r="BPE9" s="113"/>
      <c r="BPF9" s="113"/>
      <c r="BPG9" s="113"/>
      <c r="BPH9" s="113"/>
      <c r="BPI9" s="113"/>
      <c r="BPJ9" s="113"/>
      <c r="BPK9" s="113"/>
      <c r="BPL9" s="113"/>
      <c r="BPM9" s="113"/>
      <c r="BPN9" s="113"/>
      <c r="BPO9" s="113"/>
      <c r="BPP9" s="113"/>
      <c r="BPQ9" s="113"/>
      <c r="BPR9" s="113"/>
      <c r="BPS9" s="113"/>
      <c r="BPT9" s="113"/>
      <c r="BPU9" s="113"/>
      <c r="BPV9" s="113"/>
      <c r="BPW9" s="113"/>
      <c r="BPX9" s="113"/>
      <c r="BPY9" s="113"/>
      <c r="BPZ9" s="113"/>
      <c r="BQA9" s="113"/>
      <c r="BQB9" s="113"/>
      <c r="BQC9" s="113"/>
      <c r="BQD9" s="113"/>
      <c r="BQE9" s="113"/>
      <c r="BQF9" s="113"/>
      <c r="BQG9" s="113"/>
      <c r="BQH9" s="113"/>
      <c r="BQI9" s="113"/>
      <c r="BQJ9" s="113"/>
      <c r="BQK9" s="113"/>
      <c r="BQL9" s="113"/>
      <c r="BQM9" s="113"/>
      <c r="BQN9" s="113"/>
      <c r="BQO9" s="113"/>
      <c r="BQP9" s="113"/>
      <c r="BQQ9" s="113"/>
      <c r="BQR9" s="113"/>
      <c r="BQS9" s="113"/>
      <c r="BQT9" s="113"/>
      <c r="BQU9" s="113"/>
      <c r="BQV9" s="113"/>
      <c r="BQW9" s="113"/>
      <c r="BQX9" s="113"/>
      <c r="BQY9" s="113"/>
      <c r="BQZ9" s="113"/>
      <c r="BRA9" s="113"/>
      <c r="BRB9" s="113"/>
      <c r="BRC9" s="113"/>
      <c r="BRD9" s="113"/>
      <c r="BRE9" s="113"/>
      <c r="BRF9" s="113"/>
      <c r="BRG9" s="113"/>
      <c r="BRH9" s="113"/>
      <c r="BRI9" s="113"/>
      <c r="BRJ9" s="113"/>
      <c r="BRK9" s="113"/>
      <c r="BRL9" s="113"/>
      <c r="BRM9" s="113"/>
      <c r="BRN9" s="113"/>
      <c r="BRO9" s="113"/>
      <c r="BRP9" s="113"/>
      <c r="BRQ9" s="113"/>
      <c r="BRR9" s="113"/>
      <c r="BRS9" s="113"/>
      <c r="BRT9" s="113"/>
      <c r="BRU9" s="113"/>
      <c r="BRV9" s="113"/>
      <c r="BRW9" s="113"/>
      <c r="BRX9" s="113"/>
      <c r="BRY9" s="113"/>
      <c r="BRZ9" s="113"/>
      <c r="BSA9" s="113"/>
      <c r="BSB9" s="113"/>
      <c r="BSC9" s="113"/>
      <c r="BSD9" s="113"/>
      <c r="BSE9" s="113"/>
      <c r="BSF9" s="113"/>
      <c r="BSG9" s="113"/>
      <c r="BSH9" s="113"/>
      <c r="BSI9" s="113"/>
      <c r="BSJ9" s="113"/>
      <c r="BSK9" s="113"/>
      <c r="BSL9" s="113"/>
      <c r="BSM9" s="113"/>
      <c r="BSN9" s="113"/>
      <c r="BSO9" s="113"/>
      <c r="BSP9" s="113"/>
      <c r="BSQ9" s="113"/>
      <c r="BSR9" s="113"/>
      <c r="BSS9" s="113"/>
      <c r="BST9" s="113"/>
      <c r="BSU9" s="113"/>
      <c r="BSV9" s="113"/>
      <c r="BSW9" s="113"/>
      <c r="BSX9" s="113"/>
      <c r="BSY9" s="113"/>
      <c r="BSZ9" s="113"/>
      <c r="BTA9" s="113"/>
      <c r="BTB9" s="113"/>
      <c r="BTC9" s="113"/>
      <c r="BTD9" s="113"/>
      <c r="BTE9" s="113"/>
      <c r="BTF9" s="113"/>
      <c r="BTG9" s="113"/>
      <c r="BTH9" s="113"/>
      <c r="BTI9" s="113"/>
      <c r="BTJ9" s="113"/>
      <c r="BTK9" s="113"/>
      <c r="BTL9" s="113"/>
      <c r="BTM9" s="113"/>
      <c r="BTN9" s="113"/>
      <c r="BTO9" s="113"/>
      <c r="BTP9" s="113"/>
      <c r="BTQ9" s="113"/>
      <c r="BTR9" s="113"/>
      <c r="BTS9" s="113"/>
      <c r="BTT9" s="113"/>
      <c r="BTU9" s="113"/>
      <c r="BTV9" s="113"/>
      <c r="BTW9" s="113"/>
      <c r="BTX9" s="113"/>
      <c r="BTY9" s="113"/>
      <c r="BTZ9" s="113"/>
      <c r="BUA9" s="113"/>
      <c r="BUB9" s="113"/>
      <c r="BUC9" s="113"/>
      <c r="BUD9" s="113"/>
      <c r="BUE9" s="113"/>
      <c r="BUF9" s="113"/>
      <c r="BUG9" s="113"/>
      <c r="BUH9" s="113"/>
      <c r="BUI9" s="113"/>
      <c r="BUJ9" s="113"/>
      <c r="BUK9" s="113"/>
      <c r="BUL9" s="113"/>
      <c r="BUM9" s="113"/>
      <c r="BUN9" s="113"/>
      <c r="BUO9" s="113"/>
      <c r="BUP9" s="113"/>
      <c r="BUQ9" s="113"/>
      <c r="BUR9" s="113"/>
      <c r="BUS9" s="113"/>
      <c r="BUT9" s="113"/>
      <c r="BUU9" s="113"/>
      <c r="BUV9" s="113"/>
      <c r="BUW9" s="113"/>
      <c r="BUX9" s="113"/>
      <c r="BUY9" s="113"/>
      <c r="BUZ9" s="113"/>
      <c r="BVA9" s="113"/>
      <c r="BVB9" s="113"/>
      <c r="BVC9" s="113"/>
      <c r="BVD9" s="113"/>
      <c r="BVE9" s="113"/>
      <c r="BVF9" s="113"/>
      <c r="BVG9" s="113"/>
      <c r="BVH9" s="113"/>
      <c r="BVI9" s="113"/>
      <c r="BVJ9" s="113"/>
      <c r="BVK9" s="113"/>
      <c r="BVL9" s="113"/>
      <c r="BVM9" s="113"/>
      <c r="BVN9" s="113"/>
      <c r="BVO9" s="113"/>
      <c r="BVP9" s="113"/>
      <c r="BVQ9" s="113"/>
      <c r="BVR9" s="113"/>
      <c r="BVS9" s="113"/>
      <c r="BVT9" s="113"/>
      <c r="BVU9" s="113"/>
      <c r="BVV9" s="113"/>
      <c r="BVW9" s="113"/>
      <c r="BVX9" s="113"/>
      <c r="BVY9" s="113"/>
      <c r="BVZ9" s="113"/>
      <c r="BWA9" s="113"/>
      <c r="BWB9" s="113"/>
      <c r="BWC9" s="113"/>
      <c r="BWD9" s="113"/>
      <c r="BWE9" s="113"/>
      <c r="BWF9" s="113"/>
      <c r="BWG9" s="113"/>
      <c r="BWH9" s="113"/>
      <c r="BWI9" s="113"/>
      <c r="BWJ9" s="113"/>
      <c r="BWK9" s="113"/>
      <c r="BWL9" s="113"/>
      <c r="BWM9" s="113"/>
      <c r="BWN9" s="113"/>
      <c r="BWO9" s="113"/>
      <c r="BWP9" s="113"/>
      <c r="BWQ9" s="113"/>
      <c r="BWR9" s="113"/>
      <c r="BWS9" s="113"/>
      <c r="BWT9" s="113"/>
      <c r="BWU9" s="113"/>
      <c r="BWV9" s="113"/>
      <c r="BWW9" s="113"/>
      <c r="BWX9" s="113"/>
      <c r="BWY9" s="113"/>
      <c r="BWZ9" s="113"/>
      <c r="BXA9" s="113"/>
      <c r="BXB9" s="113"/>
      <c r="BXC9" s="113"/>
      <c r="BXD9" s="113"/>
      <c r="BXE9" s="113"/>
      <c r="BXF9" s="113"/>
      <c r="BXG9" s="113"/>
      <c r="BXH9" s="113"/>
      <c r="BXI9" s="113"/>
      <c r="BXJ9" s="113"/>
      <c r="BXK9" s="113"/>
      <c r="BXL9" s="113"/>
      <c r="BXM9" s="113"/>
      <c r="BXN9" s="113"/>
      <c r="BXO9" s="113"/>
      <c r="BXP9" s="113"/>
      <c r="BXQ9" s="113"/>
      <c r="BXR9" s="113"/>
      <c r="BXS9" s="113"/>
      <c r="BXT9" s="113"/>
      <c r="BXU9" s="113"/>
      <c r="BXV9" s="113"/>
      <c r="BXW9" s="113"/>
      <c r="BXX9" s="113"/>
      <c r="BXY9" s="113"/>
      <c r="BXZ9" s="113"/>
      <c r="BYA9" s="113"/>
      <c r="BYB9" s="113"/>
      <c r="BYC9" s="113"/>
      <c r="BYD9" s="113"/>
      <c r="BYE9" s="113"/>
      <c r="BYF9" s="113"/>
      <c r="BYG9" s="113"/>
      <c r="BYH9" s="113"/>
      <c r="BYI9" s="113"/>
      <c r="BYJ9" s="113"/>
      <c r="BYK9" s="113"/>
      <c r="BYL9" s="113"/>
      <c r="BYM9" s="113"/>
      <c r="BYN9" s="113"/>
      <c r="BYO9" s="113"/>
      <c r="BYP9" s="113"/>
      <c r="BYQ9" s="113"/>
      <c r="BYR9" s="113"/>
      <c r="BYS9" s="113"/>
      <c r="BYT9" s="113"/>
      <c r="BYU9" s="113"/>
      <c r="BYV9" s="113"/>
      <c r="BYW9" s="113"/>
      <c r="BYX9" s="113"/>
      <c r="BYY9" s="113"/>
      <c r="BYZ9" s="113"/>
      <c r="BZA9" s="113"/>
      <c r="BZB9" s="113"/>
      <c r="BZC9" s="113"/>
      <c r="BZD9" s="113"/>
      <c r="BZE9" s="113"/>
      <c r="BZF9" s="113"/>
      <c r="BZG9" s="113"/>
      <c r="BZH9" s="113"/>
      <c r="BZI9" s="113"/>
      <c r="BZJ9" s="113"/>
      <c r="BZK9" s="113"/>
      <c r="BZL9" s="113"/>
      <c r="BZM9" s="113"/>
      <c r="BZN9" s="113"/>
      <c r="BZO9" s="113"/>
      <c r="BZP9" s="113"/>
      <c r="BZQ9" s="113"/>
      <c r="BZR9" s="113"/>
      <c r="BZS9" s="113"/>
      <c r="BZT9" s="113"/>
      <c r="BZU9" s="113"/>
      <c r="BZV9" s="113"/>
      <c r="BZW9" s="113"/>
      <c r="BZX9" s="113"/>
      <c r="BZY9" s="113"/>
      <c r="BZZ9" s="113"/>
      <c r="CAA9" s="113"/>
      <c r="CAB9" s="113"/>
      <c r="CAC9" s="113"/>
      <c r="CAD9" s="113"/>
      <c r="CAE9" s="113"/>
      <c r="CAF9" s="113"/>
      <c r="CAG9" s="113"/>
      <c r="CAH9" s="113"/>
      <c r="CAI9" s="113"/>
      <c r="CAJ9" s="113"/>
      <c r="CAK9" s="113"/>
      <c r="CAL9" s="113"/>
      <c r="CAM9" s="113"/>
      <c r="CAN9" s="113"/>
      <c r="CAO9" s="113"/>
      <c r="CAP9" s="113"/>
      <c r="CAQ9" s="113"/>
      <c r="CAR9" s="113"/>
      <c r="CAS9" s="113"/>
      <c r="CAT9" s="113"/>
      <c r="CAU9" s="113"/>
      <c r="CAV9" s="113"/>
      <c r="CAW9" s="113"/>
      <c r="CAX9" s="113"/>
      <c r="CAY9" s="113"/>
      <c r="CAZ9" s="113"/>
      <c r="CBA9" s="113"/>
      <c r="CBB9" s="113"/>
      <c r="CBC9" s="113"/>
      <c r="CBD9" s="113"/>
      <c r="CBE9" s="113"/>
      <c r="CBF9" s="113"/>
      <c r="CBG9" s="113"/>
      <c r="CBH9" s="113"/>
      <c r="CBI9" s="113"/>
      <c r="CBJ9" s="113"/>
      <c r="CBK9" s="113"/>
      <c r="CBL9" s="113"/>
      <c r="CBM9" s="113"/>
      <c r="CBN9" s="113"/>
      <c r="CBO9" s="113"/>
      <c r="CBP9" s="113"/>
      <c r="CBQ9" s="113"/>
      <c r="CBR9" s="113"/>
      <c r="CBS9" s="113"/>
      <c r="CBT9" s="113"/>
      <c r="CBU9" s="113"/>
      <c r="CBV9" s="113"/>
      <c r="CBW9" s="113"/>
      <c r="CBX9" s="113"/>
      <c r="CBY9" s="113"/>
      <c r="CBZ9" s="113"/>
      <c r="CCA9" s="113"/>
      <c r="CCB9" s="113"/>
      <c r="CCC9" s="113"/>
      <c r="CCD9" s="113"/>
      <c r="CCE9" s="113"/>
      <c r="CCF9" s="113"/>
      <c r="CCG9" s="113"/>
      <c r="CCH9" s="113"/>
      <c r="CCI9" s="113"/>
      <c r="CCJ9" s="113"/>
      <c r="CCK9" s="113"/>
      <c r="CCL9" s="113"/>
      <c r="CCM9" s="113"/>
      <c r="CCN9" s="113"/>
      <c r="CCO9" s="113"/>
      <c r="CCP9" s="113"/>
      <c r="CCQ9" s="113"/>
      <c r="CCR9" s="113"/>
      <c r="CCS9" s="113"/>
      <c r="CCT9" s="113"/>
      <c r="CCU9" s="113"/>
      <c r="CCV9" s="113"/>
      <c r="CCW9" s="113"/>
      <c r="CCX9" s="113"/>
      <c r="CCY9" s="113"/>
      <c r="CCZ9" s="113"/>
      <c r="CDA9" s="113"/>
      <c r="CDB9" s="113"/>
      <c r="CDC9" s="113"/>
      <c r="CDD9" s="113"/>
      <c r="CDE9" s="113"/>
      <c r="CDF9" s="113"/>
      <c r="CDG9" s="113"/>
      <c r="CDH9" s="113"/>
      <c r="CDI9" s="113"/>
      <c r="CDJ9" s="113"/>
      <c r="CDK9" s="113"/>
      <c r="CDL9" s="113"/>
      <c r="CDM9" s="113"/>
      <c r="CDN9" s="113"/>
      <c r="CDO9" s="113"/>
      <c r="CDP9" s="113"/>
      <c r="CDQ9" s="113"/>
      <c r="CDR9" s="113"/>
      <c r="CDS9" s="113"/>
      <c r="CDT9" s="113"/>
      <c r="CDU9" s="113"/>
      <c r="CDV9" s="113"/>
      <c r="CDW9" s="113"/>
      <c r="CDX9" s="113"/>
      <c r="CDY9" s="113"/>
      <c r="CDZ9" s="113"/>
      <c r="CEA9" s="113"/>
      <c r="CEB9" s="113"/>
      <c r="CEC9" s="113"/>
      <c r="CED9" s="113"/>
      <c r="CEE9" s="113"/>
      <c r="CEF9" s="113"/>
      <c r="CEG9" s="113"/>
      <c r="CEH9" s="113"/>
      <c r="CEI9" s="113"/>
      <c r="CEJ9" s="113"/>
      <c r="CEK9" s="113"/>
      <c r="CEL9" s="113"/>
      <c r="CEM9" s="113"/>
      <c r="CEN9" s="113"/>
      <c r="CEO9" s="113"/>
      <c r="CEP9" s="113"/>
      <c r="CEQ9" s="113"/>
      <c r="CER9" s="113"/>
      <c r="CES9" s="113"/>
      <c r="CET9" s="113"/>
      <c r="CEU9" s="113"/>
      <c r="CEV9" s="113"/>
      <c r="CEW9" s="113"/>
      <c r="CEX9" s="113"/>
      <c r="CEY9" s="113"/>
      <c r="CEZ9" s="113"/>
      <c r="CFA9" s="113"/>
      <c r="CFB9" s="113"/>
      <c r="CFC9" s="113"/>
      <c r="CFD9" s="113"/>
      <c r="CFE9" s="113"/>
      <c r="CFF9" s="113"/>
      <c r="CFG9" s="113"/>
      <c r="CFH9" s="113"/>
      <c r="CFI9" s="113"/>
      <c r="CFJ9" s="113"/>
      <c r="CFK9" s="113"/>
      <c r="CFL9" s="113"/>
      <c r="CFM9" s="113"/>
      <c r="CFN9" s="113"/>
      <c r="CFO9" s="113"/>
      <c r="CFP9" s="113"/>
      <c r="CFQ9" s="113"/>
      <c r="CFR9" s="113"/>
      <c r="CFS9" s="113"/>
      <c r="CFT9" s="113"/>
      <c r="CFU9" s="113"/>
      <c r="CFV9" s="113"/>
      <c r="CFW9" s="113"/>
      <c r="CFX9" s="113"/>
      <c r="CFY9" s="113"/>
      <c r="CFZ9" s="113"/>
      <c r="CGA9" s="113"/>
      <c r="CGB9" s="113"/>
      <c r="CGC9" s="113"/>
      <c r="CGD9" s="113"/>
      <c r="CGE9" s="113"/>
      <c r="CGF9" s="113"/>
      <c r="CGG9" s="113"/>
      <c r="CGH9" s="113"/>
      <c r="CGI9" s="113"/>
      <c r="CGJ9" s="113"/>
      <c r="CGK9" s="113"/>
      <c r="CGL9" s="113"/>
      <c r="CGM9" s="113"/>
      <c r="CGN9" s="113"/>
      <c r="CGO9" s="113"/>
      <c r="CGP9" s="113"/>
      <c r="CGQ9" s="113"/>
      <c r="CGR9" s="113"/>
      <c r="CGS9" s="113"/>
      <c r="CGT9" s="113"/>
      <c r="CGU9" s="113"/>
      <c r="CGV9" s="113"/>
      <c r="CGW9" s="113"/>
      <c r="CGX9" s="113"/>
      <c r="CGY9" s="113"/>
      <c r="CGZ9" s="113"/>
      <c r="CHA9" s="113"/>
      <c r="CHB9" s="113"/>
      <c r="CHC9" s="113"/>
      <c r="CHD9" s="113"/>
      <c r="CHE9" s="113"/>
      <c r="CHF9" s="113"/>
      <c r="CHG9" s="113"/>
      <c r="CHH9" s="113"/>
      <c r="CHI9" s="113"/>
      <c r="CHJ9" s="113"/>
      <c r="CHK9" s="113"/>
      <c r="CHL9" s="113"/>
      <c r="CHM9" s="113"/>
      <c r="CHN9" s="113"/>
      <c r="CHO9" s="113"/>
      <c r="CHP9" s="113"/>
      <c r="CHQ9" s="113"/>
      <c r="CHR9" s="113"/>
      <c r="CHS9" s="113"/>
      <c r="CHT9" s="113"/>
      <c r="CHU9" s="113"/>
      <c r="CHV9" s="113"/>
      <c r="CHW9" s="113"/>
      <c r="CHX9" s="113"/>
      <c r="CHY9" s="113"/>
      <c r="CHZ9" s="113"/>
      <c r="CIA9" s="113"/>
      <c r="CIB9" s="113"/>
      <c r="CIC9" s="113"/>
      <c r="CID9" s="113"/>
      <c r="CIE9" s="113"/>
      <c r="CIF9" s="113"/>
      <c r="CIG9" s="113"/>
      <c r="CIH9" s="113"/>
      <c r="CII9" s="113"/>
      <c r="CIJ9" s="113"/>
      <c r="CIK9" s="113"/>
      <c r="CIL9" s="113"/>
      <c r="CIM9" s="113"/>
      <c r="CIN9" s="113"/>
      <c r="CIO9" s="113"/>
      <c r="CIP9" s="113"/>
      <c r="CIQ9" s="113"/>
      <c r="CIR9" s="113"/>
      <c r="CIS9" s="113"/>
      <c r="CIT9" s="113"/>
      <c r="CIU9" s="113"/>
      <c r="CIV9" s="113"/>
      <c r="CIW9" s="113"/>
      <c r="CIX9" s="113"/>
      <c r="CIY9" s="113"/>
      <c r="CIZ9" s="113"/>
      <c r="CJA9" s="113"/>
      <c r="CJB9" s="113"/>
      <c r="CJC9" s="113"/>
      <c r="CJD9" s="113"/>
      <c r="CJE9" s="113"/>
      <c r="CJF9" s="113"/>
      <c r="CJG9" s="113"/>
      <c r="CJH9" s="113"/>
      <c r="CJI9" s="113"/>
      <c r="CJJ9" s="113"/>
      <c r="CJK9" s="113"/>
      <c r="CJL9" s="113"/>
      <c r="CJM9" s="113"/>
      <c r="CJN9" s="113"/>
      <c r="CJO9" s="113"/>
      <c r="CJP9" s="113"/>
      <c r="CJQ9" s="113"/>
      <c r="CJR9" s="113"/>
      <c r="CJS9" s="113"/>
      <c r="CJT9" s="113"/>
      <c r="CJU9" s="113"/>
      <c r="CJV9" s="113"/>
      <c r="CJW9" s="113"/>
      <c r="CJX9" s="113"/>
      <c r="CJY9" s="113"/>
      <c r="CJZ9" s="113"/>
      <c r="CKA9" s="113"/>
      <c r="CKB9" s="113"/>
      <c r="CKC9" s="113"/>
      <c r="CKD9" s="113"/>
      <c r="CKE9" s="113"/>
      <c r="CKF9" s="113"/>
      <c r="CKG9" s="113"/>
      <c r="CKH9" s="113"/>
      <c r="CKI9" s="113"/>
      <c r="CKJ9" s="113"/>
      <c r="CKK9" s="113"/>
      <c r="CKL9" s="113"/>
      <c r="CKM9" s="113"/>
      <c r="CKN9" s="113"/>
      <c r="CKO9" s="113"/>
      <c r="CKP9" s="113"/>
      <c r="CKQ9" s="113"/>
      <c r="CKR9" s="113"/>
      <c r="CKS9" s="113"/>
      <c r="CKT9" s="113"/>
      <c r="CKU9" s="113"/>
      <c r="CKV9" s="113"/>
      <c r="CKW9" s="113"/>
      <c r="CKX9" s="113"/>
      <c r="CKY9" s="113"/>
      <c r="CKZ9" s="113"/>
      <c r="CLA9" s="113"/>
      <c r="CLB9" s="113"/>
      <c r="CLC9" s="113"/>
      <c r="CLD9" s="113"/>
      <c r="CLE9" s="113"/>
      <c r="CLF9" s="113"/>
      <c r="CLG9" s="113"/>
      <c r="CLH9" s="113"/>
      <c r="CLI9" s="113"/>
      <c r="CLJ9" s="113"/>
      <c r="CLK9" s="113"/>
      <c r="CLL9" s="113"/>
      <c r="CLM9" s="113"/>
      <c r="CLN9" s="113"/>
      <c r="CLO9" s="113"/>
      <c r="CLP9" s="113"/>
      <c r="CLQ9" s="113"/>
      <c r="CLR9" s="113"/>
      <c r="CLS9" s="113"/>
      <c r="CLT9" s="113"/>
      <c r="CLU9" s="113"/>
      <c r="CLV9" s="113"/>
      <c r="CLW9" s="113"/>
      <c r="CLX9" s="113"/>
      <c r="CLY9" s="113"/>
      <c r="CLZ9" s="113"/>
      <c r="CMA9" s="113"/>
      <c r="CMB9" s="113"/>
      <c r="CMC9" s="113"/>
      <c r="CMD9" s="113"/>
      <c r="CME9" s="113"/>
      <c r="CMF9" s="113"/>
      <c r="CMG9" s="113"/>
      <c r="CMH9" s="113"/>
      <c r="CMI9" s="113"/>
      <c r="CMJ9" s="113"/>
      <c r="CMK9" s="113"/>
      <c r="CML9" s="113"/>
      <c r="CMM9" s="113"/>
      <c r="CMN9" s="113"/>
      <c r="CMO9" s="113"/>
      <c r="CMP9" s="113"/>
      <c r="CMQ9" s="113"/>
      <c r="CMR9" s="113"/>
      <c r="CMS9" s="113"/>
      <c r="CMT9" s="113"/>
      <c r="CMU9" s="113"/>
      <c r="CMV9" s="113"/>
      <c r="CMW9" s="113"/>
      <c r="CMX9" s="113"/>
      <c r="CMY9" s="113"/>
      <c r="CMZ9" s="113"/>
      <c r="CNA9" s="113"/>
      <c r="CNB9" s="113"/>
      <c r="CNC9" s="113"/>
      <c r="CND9" s="113"/>
      <c r="CNE9" s="113"/>
      <c r="CNF9" s="113"/>
      <c r="CNG9" s="113"/>
      <c r="CNH9" s="113"/>
      <c r="CNI9" s="113"/>
      <c r="CNJ9" s="113"/>
      <c r="CNK9" s="113"/>
      <c r="CNL9" s="113"/>
      <c r="CNM9" s="113"/>
      <c r="CNN9" s="113"/>
      <c r="CNO9" s="113"/>
      <c r="CNP9" s="113"/>
      <c r="CNQ9" s="113"/>
      <c r="CNR9" s="113"/>
      <c r="CNS9" s="113"/>
      <c r="CNT9" s="113"/>
      <c r="CNU9" s="113"/>
      <c r="CNV9" s="113"/>
      <c r="CNW9" s="113"/>
      <c r="CNX9" s="113"/>
      <c r="CNY9" s="113"/>
      <c r="CNZ9" s="113"/>
      <c r="COA9" s="113"/>
      <c r="COB9" s="113"/>
      <c r="COC9" s="113"/>
      <c r="COD9" s="113"/>
      <c r="COE9" s="113"/>
      <c r="COF9" s="113"/>
      <c r="COG9" s="113"/>
      <c r="COH9" s="113"/>
      <c r="COI9" s="113"/>
      <c r="COJ9" s="113"/>
      <c r="COK9" s="113"/>
      <c r="COL9" s="113"/>
      <c r="COM9" s="113"/>
      <c r="CON9" s="113"/>
      <c r="COO9" s="113"/>
      <c r="COP9" s="113"/>
      <c r="COQ9" s="113"/>
      <c r="COR9" s="113"/>
      <c r="COS9" s="113"/>
      <c r="COT9" s="113"/>
      <c r="COU9" s="113"/>
      <c r="COV9" s="113"/>
      <c r="COW9" s="113"/>
      <c r="COX9" s="113"/>
      <c r="COY9" s="113"/>
      <c r="COZ9" s="113"/>
      <c r="CPA9" s="113"/>
      <c r="CPB9" s="113"/>
      <c r="CPC9" s="113"/>
      <c r="CPD9" s="113"/>
      <c r="CPE9" s="113"/>
      <c r="CPF9" s="113"/>
      <c r="CPG9" s="113"/>
      <c r="CPH9" s="113"/>
      <c r="CPI9" s="113"/>
      <c r="CPJ9" s="113"/>
      <c r="CPK9" s="113"/>
      <c r="CPL9" s="113"/>
      <c r="CPM9" s="113"/>
      <c r="CPN9" s="113"/>
      <c r="CPO9" s="113"/>
      <c r="CPP9" s="113"/>
      <c r="CPQ9" s="113"/>
      <c r="CPR9" s="113"/>
      <c r="CPS9" s="113"/>
      <c r="CPT9" s="113"/>
      <c r="CPU9" s="113"/>
      <c r="CPV9" s="113"/>
      <c r="CPW9" s="113"/>
      <c r="CPX9" s="113"/>
      <c r="CPY9" s="113"/>
      <c r="CPZ9" s="113"/>
      <c r="CQA9" s="113"/>
      <c r="CQB9" s="113"/>
      <c r="CQC9" s="113"/>
      <c r="CQD9" s="113"/>
      <c r="CQE9" s="113"/>
      <c r="CQF9" s="113"/>
      <c r="CQG9" s="113"/>
      <c r="CQH9" s="113"/>
      <c r="CQI9" s="113"/>
      <c r="CQJ9" s="113"/>
      <c r="CQK9" s="113"/>
      <c r="CQL9" s="113"/>
      <c r="CQM9" s="113"/>
      <c r="CQN9" s="113"/>
      <c r="CQO9" s="113"/>
      <c r="CQP9" s="113"/>
      <c r="CQQ9" s="113"/>
      <c r="CQR9" s="113"/>
      <c r="CQS9" s="113"/>
      <c r="CQT9" s="113"/>
      <c r="CQU9" s="113"/>
      <c r="CQV9" s="113"/>
      <c r="CQW9" s="113"/>
      <c r="CQX9" s="113"/>
      <c r="CQY9" s="113"/>
      <c r="CQZ9" s="113"/>
      <c r="CRA9" s="113"/>
      <c r="CRB9" s="113"/>
      <c r="CRC9" s="113"/>
      <c r="CRD9" s="113"/>
      <c r="CRE9" s="113"/>
      <c r="CRF9" s="113"/>
      <c r="CRG9" s="113"/>
      <c r="CRH9" s="113"/>
      <c r="CRI9" s="113"/>
      <c r="CRJ9" s="113"/>
      <c r="CRK9" s="113"/>
      <c r="CRL9" s="113"/>
      <c r="CRM9" s="113"/>
      <c r="CRN9" s="113"/>
      <c r="CRO9" s="113"/>
      <c r="CRP9" s="113"/>
      <c r="CRQ9" s="113"/>
      <c r="CRR9" s="113"/>
      <c r="CRS9" s="113"/>
      <c r="CRT9" s="113"/>
      <c r="CRU9" s="113"/>
      <c r="CRV9" s="113"/>
      <c r="CRW9" s="113"/>
      <c r="CRX9" s="113"/>
      <c r="CRY9" s="113"/>
      <c r="CRZ9" s="113"/>
      <c r="CSA9" s="113"/>
      <c r="CSB9" s="113"/>
      <c r="CSC9" s="113"/>
      <c r="CSD9" s="113"/>
      <c r="CSE9" s="113"/>
      <c r="CSF9" s="113"/>
      <c r="CSG9" s="113"/>
      <c r="CSH9" s="113"/>
      <c r="CSI9" s="113"/>
      <c r="CSJ9" s="113"/>
      <c r="CSK9" s="113"/>
      <c r="CSL9" s="113"/>
      <c r="CSM9" s="113"/>
      <c r="CSN9" s="113"/>
      <c r="CSO9" s="113"/>
      <c r="CSP9" s="113"/>
      <c r="CSQ9" s="113"/>
      <c r="CSR9" s="113"/>
      <c r="CSS9" s="113"/>
      <c r="CST9" s="113"/>
      <c r="CSU9" s="113"/>
      <c r="CSV9" s="113"/>
      <c r="CSW9" s="113"/>
      <c r="CSX9" s="113"/>
      <c r="CSY9" s="113"/>
      <c r="CSZ9" s="113"/>
      <c r="CTA9" s="113"/>
      <c r="CTB9" s="113"/>
      <c r="CTC9" s="113"/>
      <c r="CTD9" s="113"/>
      <c r="CTE9" s="113"/>
      <c r="CTF9" s="113"/>
      <c r="CTG9" s="113"/>
      <c r="CTH9" s="113"/>
      <c r="CTI9" s="113"/>
      <c r="CTJ9" s="113"/>
      <c r="CTK9" s="113"/>
      <c r="CTL9" s="113"/>
      <c r="CTM9" s="113"/>
      <c r="CTN9" s="113"/>
      <c r="CTO9" s="113"/>
      <c r="CTP9" s="113"/>
      <c r="CTQ9" s="113"/>
      <c r="CTR9" s="113"/>
      <c r="CTS9" s="113"/>
      <c r="CTT9" s="113"/>
      <c r="CTU9" s="113"/>
      <c r="CTV9" s="113"/>
      <c r="CTW9" s="113"/>
      <c r="CTX9" s="113"/>
      <c r="CTY9" s="113"/>
      <c r="CTZ9" s="113"/>
      <c r="CUA9" s="113"/>
      <c r="CUB9" s="113"/>
      <c r="CUC9" s="113"/>
      <c r="CUD9" s="113"/>
      <c r="CUE9" s="113"/>
      <c r="CUF9" s="113"/>
      <c r="CUG9" s="113"/>
      <c r="CUH9" s="113"/>
      <c r="CUI9" s="113"/>
      <c r="CUJ9" s="113"/>
      <c r="CUK9" s="113"/>
      <c r="CUL9" s="113"/>
      <c r="CUM9" s="113"/>
      <c r="CUN9" s="113"/>
      <c r="CUO9" s="113"/>
      <c r="CUP9" s="113"/>
      <c r="CUQ9" s="113"/>
      <c r="CUR9" s="113"/>
      <c r="CUS9" s="113"/>
      <c r="CUT9" s="113"/>
      <c r="CUU9" s="113"/>
      <c r="CUV9" s="113"/>
      <c r="CUW9" s="113"/>
      <c r="CUX9" s="113"/>
      <c r="CUY9" s="113"/>
      <c r="CUZ9" s="113"/>
      <c r="CVA9" s="113"/>
      <c r="CVB9" s="113"/>
      <c r="CVC9" s="113"/>
      <c r="CVD9" s="113"/>
      <c r="CVE9" s="113"/>
      <c r="CVF9" s="113"/>
      <c r="CVG9" s="113"/>
      <c r="CVH9" s="113"/>
      <c r="CVI9" s="113"/>
      <c r="CVJ9" s="113"/>
      <c r="CVK9" s="113"/>
      <c r="CVL9" s="113"/>
      <c r="CVM9" s="113"/>
      <c r="CVN9" s="113"/>
      <c r="CVO9" s="113"/>
      <c r="CVP9" s="113"/>
      <c r="CVQ9" s="113"/>
      <c r="CVR9" s="113"/>
      <c r="CVS9" s="113"/>
      <c r="CVT9" s="113"/>
      <c r="CVU9" s="113"/>
      <c r="CVV9" s="113"/>
      <c r="CVW9" s="113"/>
      <c r="CVX9" s="113"/>
      <c r="CVY9" s="113"/>
      <c r="CVZ9" s="113"/>
      <c r="CWA9" s="113"/>
      <c r="CWB9" s="113"/>
      <c r="CWC9" s="113"/>
      <c r="CWD9" s="113"/>
      <c r="CWE9" s="113"/>
      <c r="CWF9" s="113"/>
      <c r="CWG9" s="113"/>
      <c r="CWH9" s="113"/>
      <c r="CWI9" s="113"/>
      <c r="CWJ9" s="113"/>
      <c r="CWK9" s="113"/>
      <c r="CWL9" s="113"/>
      <c r="CWM9" s="113"/>
      <c r="CWN9" s="113"/>
      <c r="CWO9" s="113"/>
      <c r="CWP9" s="113"/>
      <c r="CWQ9" s="113"/>
      <c r="CWR9" s="113"/>
      <c r="CWS9" s="113"/>
      <c r="CWT9" s="113"/>
      <c r="CWU9" s="113"/>
      <c r="CWV9" s="113"/>
      <c r="CWW9" s="113"/>
      <c r="CWX9" s="113"/>
      <c r="CWY9" s="113"/>
      <c r="CWZ9" s="113"/>
      <c r="CXA9" s="113"/>
      <c r="CXB9" s="113"/>
      <c r="CXC9" s="113"/>
      <c r="CXD9" s="113"/>
      <c r="CXE9" s="113"/>
      <c r="CXF9" s="113"/>
      <c r="CXG9" s="113"/>
      <c r="CXH9" s="113"/>
      <c r="CXI9" s="113"/>
      <c r="CXJ9" s="113"/>
      <c r="CXK9" s="113"/>
      <c r="CXL9" s="113"/>
      <c r="CXM9" s="113"/>
      <c r="CXN9" s="113"/>
      <c r="CXO9" s="113"/>
      <c r="CXP9" s="113"/>
      <c r="CXQ9" s="113"/>
      <c r="CXR9" s="113"/>
      <c r="CXS9" s="113"/>
      <c r="CXT9" s="113"/>
      <c r="CXU9" s="113"/>
      <c r="CXV9" s="113"/>
      <c r="CXW9" s="113"/>
      <c r="CXX9" s="113"/>
      <c r="CXY9" s="113"/>
      <c r="CXZ9" s="113"/>
      <c r="CYA9" s="113"/>
      <c r="CYB9" s="113"/>
      <c r="CYC9" s="113"/>
      <c r="CYD9" s="113"/>
      <c r="CYE9" s="113"/>
      <c r="CYF9" s="113"/>
      <c r="CYG9" s="113"/>
      <c r="CYH9" s="113"/>
      <c r="CYI9" s="113"/>
      <c r="CYJ9" s="113"/>
      <c r="CYK9" s="113"/>
      <c r="CYL9" s="113"/>
      <c r="CYM9" s="113"/>
      <c r="CYN9" s="113"/>
      <c r="CYO9" s="113"/>
      <c r="CYP9" s="113"/>
      <c r="CYQ9" s="113"/>
      <c r="CYR9" s="113"/>
      <c r="CYS9" s="113"/>
      <c r="CYT9" s="113"/>
      <c r="CYU9" s="113"/>
      <c r="CYV9" s="113"/>
      <c r="CYW9" s="113"/>
      <c r="CYX9" s="113"/>
      <c r="CYY9" s="113"/>
      <c r="CYZ9" s="113"/>
      <c r="CZA9" s="113"/>
      <c r="CZB9" s="113"/>
      <c r="CZC9" s="113"/>
      <c r="CZD9" s="113"/>
      <c r="CZE9" s="113"/>
      <c r="CZF9" s="113"/>
      <c r="CZG9" s="113"/>
      <c r="CZH9" s="113"/>
      <c r="CZI9" s="113"/>
      <c r="CZJ9" s="113"/>
      <c r="CZK9" s="113"/>
      <c r="CZL9" s="113"/>
      <c r="CZM9" s="113"/>
      <c r="CZN9" s="113"/>
      <c r="CZO9" s="113"/>
      <c r="CZP9" s="113"/>
      <c r="CZQ9" s="113"/>
      <c r="CZR9" s="113"/>
      <c r="CZS9" s="113"/>
      <c r="CZT9" s="113"/>
      <c r="CZU9" s="113"/>
      <c r="CZV9" s="113"/>
      <c r="CZW9" s="113"/>
      <c r="CZX9" s="113"/>
      <c r="CZY9" s="113"/>
      <c r="CZZ9" s="113"/>
      <c r="DAA9" s="113"/>
      <c r="DAB9" s="113"/>
      <c r="DAC9" s="113"/>
      <c r="DAD9" s="113"/>
      <c r="DAE9" s="113"/>
      <c r="DAF9" s="113"/>
      <c r="DAG9" s="113"/>
      <c r="DAH9" s="113"/>
      <c r="DAI9" s="113"/>
      <c r="DAJ9" s="113"/>
      <c r="DAK9" s="113"/>
      <c r="DAL9" s="113"/>
      <c r="DAM9" s="113"/>
      <c r="DAN9" s="113"/>
      <c r="DAO9" s="113"/>
      <c r="DAP9" s="113"/>
      <c r="DAQ9" s="113"/>
      <c r="DAR9" s="113"/>
      <c r="DAS9" s="113"/>
      <c r="DAT9" s="113"/>
      <c r="DAU9" s="113"/>
      <c r="DAV9" s="113"/>
      <c r="DAW9" s="113"/>
      <c r="DAX9" s="113"/>
      <c r="DAY9" s="113"/>
      <c r="DAZ9" s="113"/>
      <c r="DBA9" s="113"/>
      <c r="DBB9" s="113"/>
      <c r="DBC9" s="113"/>
      <c r="DBD9" s="113"/>
      <c r="DBE9" s="113"/>
      <c r="DBF9" s="113"/>
      <c r="DBG9" s="113"/>
      <c r="DBH9" s="113"/>
      <c r="DBI9" s="113"/>
      <c r="DBJ9" s="113"/>
      <c r="DBK9" s="113"/>
      <c r="DBL9" s="113"/>
      <c r="DBM9" s="113"/>
      <c r="DBN9" s="113"/>
      <c r="DBO9" s="113"/>
      <c r="DBP9" s="113"/>
      <c r="DBQ9" s="113"/>
      <c r="DBR9" s="113"/>
      <c r="DBS9" s="113"/>
      <c r="DBT9" s="113"/>
      <c r="DBU9" s="113"/>
      <c r="DBV9" s="113"/>
      <c r="DBW9" s="113"/>
      <c r="DBX9" s="113"/>
      <c r="DBY9" s="113"/>
      <c r="DBZ9" s="113"/>
      <c r="DCA9" s="113"/>
      <c r="DCB9" s="113"/>
      <c r="DCC9" s="113"/>
      <c r="DCD9" s="113"/>
      <c r="DCE9" s="113"/>
      <c r="DCF9" s="113"/>
      <c r="DCG9" s="113"/>
      <c r="DCH9" s="113"/>
      <c r="DCI9" s="113"/>
      <c r="DCJ9" s="113"/>
      <c r="DCK9" s="113"/>
      <c r="DCL9" s="113"/>
      <c r="DCM9" s="113"/>
      <c r="DCN9" s="113"/>
      <c r="DCO9" s="113"/>
      <c r="DCP9" s="113"/>
      <c r="DCQ9" s="113"/>
      <c r="DCR9" s="113"/>
      <c r="DCS9" s="113"/>
      <c r="DCT9" s="113"/>
      <c r="DCU9" s="113"/>
      <c r="DCV9" s="113"/>
      <c r="DCW9" s="113"/>
      <c r="DCX9" s="113"/>
      <c r="DCY9" s="113"/>
      <c r="DCZ9" s="113"/>
      <c r="DDA9" s="113"/>
      <c r="DDB9" s="113"/>
      <c r="DDC9" s="113"/>
      <c r="DDD9" s="113"/>
      <c r="DDE9" s="113"/>
      <c r="DDF9" s="113"/>
      <c r="DDG9" s="113"/>
      <c r="DDH9" s="113"/>
      <c r="DDI9" s="113"/>
      <c r="DDJ9" s="113"/>
      <c r="DDK9" s="113"/>
      <c r="DDL9" s="113"/>
      <c r="DDM9" s="113"/>
      <c r="DDN9" s="113"/>
      <c r="DDO9" s="113"/>
      <c r="DDP9" s="113"/>
      <c r="DDQ9" s="113"/>
      <c r="DDR9" s="113"/>
      <c r="DDS9" s="113"/>
      <c r="DDT9" s="113"/>
      <c r="DDU9" s="113"/>
      <c r="DDV9" s="113"/>
      <c r="DDW9" s="113"/>
      <c r="DDX9" s="113"/>
      <c r="DDY9" s="113"/>
      <c r="DDZ9" s="113"/>
      <c r="DEA9" s="113"/>
      <c r="DEB9" s="113"/>
      <c r="DEC9" s="113"/>
      <c r="DED9" s="113"/>
      <c r="DEE9" s="113"/>
      <c r="DEF9" s="113"/>
      <c r="DEG9" s="113"/>
      <c r="DEH9" s="113"/>
      <c r="DEI9" s="113"/>
      <c r="DEJ9" s="113"/>
      <c r="DEK9" s="113"/>
      <c r="DEL9" s="113"/>
      <c r="DEM9" s="113"/>
      <c r="DEN9" s="113"/>
      <c r="DEO9" s="113"/>
      <c r="DEP9" s="113"/>
      <c r="DEQ9" s="113"/>
      <c r="DER9" s="113"/>
      <c r="DES9" s="113"/>
      <c r="DET9" s="113"/>
      <c r="DEU9" s="113"/>
      <c r="DEV9" s="113"/>
      <c r="DEW9" s="113"/>
      <c r="DEX9" s="113"/>
      <c r="DEY9" s="113"/>
      <c r="DEZ9" s="113"/>
      <c r="DFA9" s="113"/>
      <c r="DFB9" s="113"/>
      <c r="DFC9" s="113"/>
      <c r="DFD9" s="113"/>
      <c r="DFE9" s="113"/>
      <c r="DFF9" s="113"/>
      <c r="DFG9" s="113"/>
      <c r="DFH9" s="113"/>
      <c r="DFI9" s="113"/>
      <c r="DFJ9" s="113"/>
      <c r="DFK9" s="113"/>
      <c r="DFL9" s="113"/>
      <c r="DFM9" s="113"/>
      <c r="DFN9" s="113"/>
      <c r="DFO9" s="113"/>
      <c r="DFP9" s="113"/>
      <c r="DFQ9" s="113"/>
      <c r="DFR9" s="113"/>
      <c r="DFS9" s="113"/>
      <c r="DFT9" s="113"/>
      <c r="DFU9" s="113"/>
      <c r="DFV9" s="113"/>
      <c r="DFW9" s="113"/>
      <c r="DFX9" s="113"/>
      <c r="DFY9" s="113"/>
      <c r="DFZ9" s="113"/>
      <c r="DGA9" s="113"/>
      <c r="DGB9" s="113"/>
      <c r="DGC9" s="113"/>
      <c r="DGD9" s="113"/>
      <c r="DGE9" s="113"/>
      <c r="DGF9" s="113"/>
      <c r="DGG9" s="113"/>
      <c r="DGH9" s="113"/>
      <c r="DGI9" s="113"/>
      <c r="DGJ9" s="113"/>
      <c r="DGK9" s="113"/>
      <c r="DGL9" s="113"/>
      <c r="DGM9" s="113"/>
      <c r="DGN9" s="113"/>
      <c r="DGO9" s="113"/>
      <c r="DGP9" s="113"/>
      <c r="DGQ9" s="113"/>
      <c r="DGR9" s="113"/>
      <c r="DGS9" s="113"/>
      <c r="DGT9" s="113"/>
      <c r="DGU9" s="113"/>
      <c r="DGV9" s="113"/>
      <c r="DGW9" s="113"/>
      <c r="DGX9" s="113"/>
      <c r="DGY9" s="113"/>
      <c r="DGZ9" s="113"/>
      <c r="DHA9" s="113"/>
      <c r="DHB9" s="113"/>
      <c r="DHC9" s="113"/>
      <c r="DHD9" s="113"/>
      <c r="DHE9" s="113"/>
      <c r="DHF9" s="113"/>
      <c r="DHG9" s="113"/>
      <c r="DHH9" s="113"/>
      <c r="DHI9" s="113"/>
      <c r="DHJ9" s="113"/>
      <c r="DHK9" s="113"/>
      <c r="DHL9" s="113"/>
      <c r="DHM9" s="113"/>
      <c r="DHN9" s="113"/>
      <c r="DHO9" s="113"/>
      <c r="DHP9" s="113"/>
      <c r="DHQ9" s="113"/>
      <c r="DHR9" s="113"/>
      <c r="DHS9" s="113"/>
      <c r="DHT9" s="113"/>
      <c r="DHU9" s="113"/>
      <c r="DHV9" s="113"/>
      <c r="DHW9" s="113"/>
      <c r="DHX9" s="113"/>
      <c r="DHY9" s="113"/>
      <c r="DHZ9" s="113"/>
      <c r="DIA9" s="113"/>
      <c r="DIB9" s="113"/>
      <c r="DIC9" s="113"/>
      <c r="DID9" s="113"/>
      <c r="DIE9" s="113"/>
      <c r="DIF9" s="113"/>
      <c r="DIG9" s="113"/>
      <c r="DIH9" s="113"/>
      <c r="DII9" s="113"/>
      <c r="DIJ9" s="113"/>
      <c r="DIK9" s="113"/>
      <c r="DIL9" s="113"/>
      <c r="DIM9" s="113"/>
      <c r="DIN9" s="113"/>
      <c r="DIO9" s="113"/>
      <c r="DIP9" s="113"/>
      <c r="DIQ9" s="113"/>
      <c r="DIR9" s="113"/>
      <c r="DIS9" s="113"/>
      <c r="DIT9" s="113"/>
      <c r="DIU9" s="113"/>
      <c r="DIV9" s="113"/>
      <c r="DIW9" s="113"/>
      <c r="DIX9" s="113"/>
      <c r="DIY9" s="113"/>
      <c r="DIZ9" s="113"/>
      <c r="DJA9" s="113"/>
      <c r="DJB9" s="113"/>
      <c r="DJC9" s="113"/>
      <c r="DJD9" s="113"/>
      <c r="DJE9" s="113"/>
      <c r="DJF9" s="113"/>
      <c r="DJG9" s="113"/>
      <c r="DJH9" s="113"/>
      <c r="DJI9" s="113"/>
      <c r="DJJ9" s="113"/>
      <c r="DJK9" s="113"/>
      <c r="DJL9" s="113"/>
      <c r="DJM9" s="113"/>
      <c r="DJN9" s="113"/>
      <c r="DJO9" s="113"/>
      <c r="DJP9" s="113"/>
      <c r="DJQ9" s="113"/>
      <c r="DJR9" s="113"/>
      <c r="DJS9" s="113"/>
      <c r="DJT9" s="113"/>
      <c r="DJU9" s="113"/>
      <c r="DJV9" s="113"/>
      <c r="DJW9" s="113"/>
      <c r="DJX9" s="113"/>
      <c r="DJY9" s="113"/>
      <c r="DJZ9" s="113"/>
      <c r="DKA9" s="113"/>
      <c r="DKB9" s="113"/>
      <c r="DKC9" s="113"/>
      <c r="DKD9" s="113"/>
      <c r="DKE9" s="113"/>
      <c r="DKF9" s="113"/>
      <c r="DKG9" s="113"/>
      <c r="DKH9" s="113"/>
      <c r="DKI9" s="113"/>
      <c r="DKJ9" s="113"/>
      <c r="DKK9" s="113"/>
      <c r="DKL9" s="113"/>
      <c r="DKM9" s="113"/>
      <c r="DKN9" s="113"/>
      <c r="DKO9" s="113"/>
      <c r="DKP9" s="113"/>
      <c r="DKQ9" s="113"/>
      <c r="DKR9" s="113"/>
      <c r="DKS9" s="113"/>
      <c r="DKT9" s="113"/>
      <c r="DKU9" s="113"/>
      <c r="DKV9" s="113"/>
      <c r="DKW9" s="113"/>
      <c r="DKX9" s="113"/>
      <c r="DKY9" s="113"/>
      <c r="DKZ9" s="113"/>
      <c r="DLA9" s="113"/>
      <c r="DLB9" s="113"/>
      <c r="DLC9" s="113"/>
      <c r="DLD9" s="113"/>
      <c r="DLE9" s="113"/>
      <c r="DLF9" s="113"/>
      <c r="DLG9" s="113"/>
      <c r="DLH9" s="113"/>
      <c r="DLI9" s="113"/>
      <c r="DLJ9" s="113"/>
      <c r="DLK9" s="113"/>
      <c r="DLL9" s="113"/>
      <c r="DLM9" s="113"/>
      <c r="DLN9" s="113"/>
      <c r="DLO9" s="113"/>
      <c r="DLP9" s="113"/>
      <c r="DLQ9" s="113"/>
      <c r="DLR9" s="113"/>
      <c r="DLS9" s="113"/>
      <c r="DLT9" s="113"/>
      <c r="DLU9" s="113"/>
      <c r="DLV9" s="113"/>
      <c r="DLW9" s="113"/>
      <c r="DLX9" s="113"/>
      <c r="DLY9" s="113"/>
      <c r="DLZ9" s="113"/>
      <c r="DMA9" s="113"/>
      <c r="DMB9" s="113"/>
      <c r="DMC9" s="113"/>
      <c r="DMD9" s="113"/>
      <c r="DME9" s="113"/>
      <c r="DMF9" s="113"/>
      <c r="DMG9" s="113"/>
      <c r="DMH9" s="113"/>
      <c r="DMI9" s="113"/>
      <c r="DMJ9" s="113"/>
      <c r="DMK9" s="113"/>
      <c r="DML9" s="113"/>
      <c r="DMM9" s="113"/>
      <c r="DMN9" s="113"/>
      <c r="DMO9" s="113"/>
      <c r="DMP9" s="113"/>
      <c r="DMQ9" s="113"/>
      <c r="DMR9" s="113"/>
      <c r="DMS9" s="113"/>
      <c r="DMT9" s="113"/>
      <c r="DMU9" s="113"/>
      <c r="DMV9" s="113"/>
      <c r="DMW9" s="113"/>
      <c r="DMX9" s="113"/>
      <c r="DMY9" s="113"/>
      <c r="DMZ9" s="113"/>
      <c r="DNA9" s="113"/>
      <c r="DNB9" s="113"/>
      <c r="DNC9" s="113"/>
      <c r="DND9" s="113"/>
      <c r="DNE9" s="113"/>
      <c r="DNF9" s="113"/>
      <c r="DNG9" s="113"/>
      <c r="DNH9" s="113"/>
      <c r="DNI9" s="113"/>
      <c r="DNJ9" s="113"/>
      <c r="DNK9" s="113"/>
      <c r="DNL9" s="113"/>
      <c r="DNM9" s="113"/>
      <c r="DNN9" s="113"/>
      <c r="DNO9" s="113"/>
      <c r="DNP9" s="113"/>
      <c r="DNQ9" s="113"/>
      <c r="DNR9" s="113"/>
      <c r="DNS9" s="113"/>
      <c r="DNT9" s="113"/>
      <c r="DNU9" s="113"/>
      <c r="DNV9" s="113"/>
      <c r="DNW9" s="113"/>
      <c r="DNX9" s="113"/>
      <c r="DNY9" s="113"/>
      <c r="DNZ9" s="113"/>
      <c r="DOA9" s="113"/>
      <c r="DOB9" s="113"/>
      <c r="DOC9" s="113"/>
      <c r="DOD9" s="113"/>
      <c r="DOE9" s="113"/>
      <c r="DOF9" s="113"/>
      <c r="DOG9" s="113"/>
      <c r="DOH9" s="113"/>
      <c r="DOI9" s="113"/>
      <c r="DOJ9" s="113"/>
      <c r="DOK9" s="113"/>
      <c r="DOL9" s="113"/>
      <c r="DOM9" s="113"/>
      <c r="DON9" s="113"/>
      <c r="DOO9" s="113"/>
      <c r="DOP9" s="113"/>
      <c r="DOQ9" s="113"/>
      <c r="DOR9" s="113"/>
      <c r="DOS9" s="113"/>
      <c r="DOT9" s="113"/>
      <c r="DOU9" s="113"/>
      <c r="DOV9" s="113"/>
      <c r="DOW9" s="113"/>
      <c r="DOX9" s="113"/>
      <c r="DOY9" s="113"/>
      <c r="DOZ9" s="113"/>
      <c r="DPA9" s="113"/>
      <c r="DPB9" s="113"/>
      <c r="DPC9" s="113"/>
      <c r="DPD9" s="113"/>
      <c r="DPE9" s="113"/>
      <c r="DPF9" s="113"/>
      <c r="DPG9" s="113"/>
      <c r="DPH9" s="113"/>
      <c r="DPI9" s="113"/>
      <c r="DPJ9" s="113"/>
      <c r="DPK9" s="113"/>
      <c r="DPL9" s="113"/>
      <c r="DPM9" s="113"/>
      <c r="DPN9" s="113"/>
      <c r="DPO9" s="113"/>
      <c r="DPP9" s="113"/>
      <c r="DPQ9" s="113"/>
      <c r="DPR9" s="113"/>
      <c r="DPS9" s="113"/>
      <c r="DPT9" s="113"/>
      <c r="DPU9" s="113"/>
      <c r="DPV9" s="113"/>
      <c r="DPW9" s="113"/>
      <c r="DPX9" s="113"/>
      <c r="DPY9" s="113"/>
      <c r="DPZ9" s="113"/>
      <c r="DQA9" s="113"/>
      <c r="DQB9" s="113"/>
      <c r="DQC9" s="113"/>
      <c r="DQD9" s="113"/>
      <c r="DQE9" s="113"/>
      <c r="DQF9" s="113"/>
      <c r="DQG9" s="113"/>
      <c r="DQH9" s="113"/>
      <c r="DQI9" s="113"/>
      <c r="DQJ9" s="113"/>
      <c r="DQK9" s="113"/>
      <c r="DQL9" s="113"/>
      <c r="DQM9" s="113"/>
      <c r="DQN9" s="113"/>
      <c r="DQO9" s="113"/>
      <c r="DQP9" s="113"/>
      <c r="DQQ9" s="113"/>
      <c r="DQR9" s="113"/>
      <c r="DQS9" s="113"/>
      <c r="DQT9" s="113"/>
      <c r="DQU9" s="113"/>
      <c r="DQV9" s="113"/>
      <c r="DQW9" s="113"/>
      <c r="DQX9" s="113"/>
      <c r="DQY9" s="113"/>
      <c r="DQZ9" s="113"/>
      <c r="DRA9" s="113"/>
      <c r="DRB9" s="113"/>
      <c r="DRC9" s="113"/>
      <c r="DRD9" s="113"/>
      <c r="DRE9" s="113"/>
      <c r="DRF9" s="113"/>
      <c r="DRG9" s="113"/>
      <c r="DRH9" s="113"/>
      <c r="DRI9" s="113"/>
      <c r="DRJ9" s="113"/>
      <c r="DRK9" s="113"/>
      <c r="DRL9" s="113"/>
      <c r="DRM9" s="113"/>
      <c r="DRN9" s="113"/>
      <c r="DRO9" s="113"/>
      <c r="DRP9" s="113"/>
      <c r="DRQ9" s="113"/>
      <c r="DRR9" s="113"/>
      <c r="DRS9" s="113"/>
      <c r="DRT9" s="113"/>
      <c r="DRU9" s="113"/>
      <c r="DRV9" s="113"/>
      <c r="DRW9" s="113"/>
      <c r="DRX9" s="113"/>
      <c r="DRY9" s="113"/>
      <c r="DRZ9" s="113"/>
      <c r="DSA9" s="113"/>
      <c r="DSB9" s="113"/>
      <c r="DSC9" s="113"/>
      <c r="DSD9" s="113"/>
      <c r="DSE9" s="113"/>
      <c r="DSF9" s="113"/>
      <c r="DSG9" s="113"/>
      <c r="DSH9" s="113"/>
      <c r="DSI9" s="113"/>
      <c r="DSJ9" s="113"/>
      <c r="DSK9" s="113"/>
      <c r="DSL9" s="113"/>
      <c r="DSM9" s="113"/>
      <c r="DSN9" s="113"/>
      <c r="DSO9" s="113"/>
      <c r="DSP9" s="113"/>
      <c r="DSQ9" s="113"/>
      <c r="DSR9" s="113"/>
      <c r="DSS9" s="113"/>
      <c r="DST9" s="113"/>
      <c r="DSU9" s="113"/>
      <c r="DSV9" s="113"/>
      <c r="DSW9" s="113"/>
      <c r="DSX9" s="113"/>
      <c r="DSY9" s="113"/>
      <c r="DSZ9" s="113"/>
      <c r="DTA9" s="113"/>
      <c r="DTB9" s="113"/>
      <c r="DTC9" s="113"/>
      <c r="DTD9" s="113"/>
      <c r="DTE9" s="113"/>
      <c r="DTF9" s="113"/>
      <c r="DTG9" s="113"/>
      <c r="DTH9" s="113"/>
      <c r="DTI9" s="113"/>
      <c r="DTJ9" s="113"/>
      <c r="DTK9" s="113"/>
      <c r="DTL9" s="113"/>
      <c r="DTM9" s="113"/>
      <c r="DTN9" s="113"/>
      <c r="DTO9" s="113"/>
      <c r="DTP9" s="113"/>
      <c r="DTQ9" s="113"/>
      <c r="DTR9" s="113"/>
      <c r="DTS9" s="113"/>
      <c r="DTT9" s="113"/>
      <c r="DTU9" s="113"/>
      <c r="DTV9" s="113"/>
      <c r="DTW9" s="113"/>
      <c r="DTX9" s="113"/>
      <c r="DTY9" s="113"/>
      <c r="DTZ9" s="113"/>
      <c r="DUA9" s="113"/>
      <c r="DUB9" s="113"/>
      <c r="DUC9" s="113"/>
      <c r="DUD9" s="113"/>
      <c r="DUE9" s="113"/>
      <c r="DUF9" s="113"/>
      <c r="DUG9" s="113"/>
      <c r="DUH9" s="113"/>
      <c r="DUI9" s="113"/>
      <c r="DUJ9" s="113"/>
      <c r="DUK9" s="113"/>
      <c r="DUL9" s="113"/>
      <c r="DUM9" s="113"/>
      <c r="DUN9" s="113"/>
      <c r="DUO9" s="113"/>
      <c r="DUP9" s="113"/>
      <c r="DUQ9" s="113"/>
      <c r="DUR9" s="113"/>
      <c r="DUS9" s="113"/>
      <c r="DUT9" s="113"/>
      <c r="DUU9" s="113"/>
      <c r="DUV9" s="113"/>
      <c r="DUW9" s="113"/>
      <c r="DUX9" s="113"/>
      <c r="DUY9" s="113"/>
      <c r="DUZ9" s="113"/>
      <c r="DVA9" s="113"/>
      <c r="DVB9" s="113"/>
      <c r="DVC9" s="113"/>
      <c r="DVD9" s="113"/>
      <c r="DVE9" s="113"/>
      <c r="DVF9" s="113"/>
      <c r="DVG9" s="113"/>
      <c r="DVH9" s="113"/>
      <c r="DVI9" s="113"/>
      <c r="DVJ9" s="113"/>
      <c r="DVK9" s="113"/>
      <c r="DVL9" s="113"/>
      <c r="DVM9" s="113"/>
      <c r="DVN9" s="113"/>
      <c r="DVO9" s="113"/>
      <c r="DVP9" s="113"/>
      <c r="DVQ9" s="113"/>
      <c r="DVR9" s="113"/>
      <c r="DVS9" s="113"/>
      <c r="DVT9" s="113"/>
      <c r="DVU9" s="113"/>
      <c r="DVV9" s="113"/>
      <c r="DVW9" s="113"/>
      <c r="DVX9" s="113"/>
      <c r="DVY9" s="113"/>
      <c r="DVZ9" s="113"/>
      <c r="DWA9" s="113"/>
      <c r="DWB9" s="113"/>
      <c r="DWC9" s="113"/>
      <c r="DWD9" s="113"/>
      <c r="DWE9" s="113"/>
      <c r="DWF9" s="113"/>
      <c r="DWG9" s="113"/>
      <c r="DWH9" s="113"/>
      <c r="DWI9" s="113"/>
      <c r="DWJ9" s="113"/>
      <c r="DWK9" s="113"/>
      <c r="DWL9" s="113"/>
      <c r="DWM9" s="113"/>
      <c r="DWN9" s="113"/>
      <c r="DWO9" s="113"/>
      <c r="DWP9" s="113"/>
      <c r="DWQ9" s="113"/>
      <c r="DWR9" s="113"/>
      <c r="DWS9" s="113"/>
      <c r="DWT9" s="113"/>
      <c r="DWU9" s="113"/>
      <c r="DWV9" s="113"/>
      <c r="DWW9" s="113"/>
      <c r="DWX9" s="113"/>
      <c r="DWY9" s="113"/>
      <c r="DWZ9" s="113"/>
      <c r="DXA9" s="113"/>
      <c r="DXB9" s="113"/>
      <c r="DXC9" s="113"/>
      <c r="DXD9" s="113"/>
      <c r="DXE9" s="113"/>
      <c r="DXF9" s="113"/>
      <c r="DXG9" s="113"/>
      <c r="DXH9" s="113"/>
      <c r="DXI9" s="113"/>
      <c r="DXJ9" s="113"/>
      <c r="DXK9" s="113"/>
      <c r="DXL9" s="113"/>
      <c r="DXM9" s="113"/>
      <c r="DXN9" s="113"/>
      <c r="DXO9" s="113"/>
      <c r="DXP9" s="113"/>
      <c r="DXQ9" s="113"/>
      <c r="DXR9" s="113"/>
      <c r="DXS9" s="113"/>
      <c r="DXT9" s="113"/>
      <c r="DXU9" s="113"/>
      <c r="DXV9" s="113"/>
      <c r="DXW9" s="113"/>
      <c r="DXX9" s="113"/>
      <c r="DXY9" s="113"/>
      <c r="DXZ9" s="113"/>
      <c r="DYA9" s="113"/>
      <c r="DYB9" s="113"/>
      <c r="DYC9" s="113"/>
      <c r="DYD9" s="113"/>
      <c r="DYE9" s="113"/>
      <c r="DYF9" s="113"/>
      <c r="DYG9" s="113"/>
      <c r="DYH9" s="113"/>
      <c r="DYI9" s="113"/>
      <c r="DYJ9" s="113"/>
      <c r="DYK9" s="113"/>
      <c r="DYL9" s="113"/>
      <c r="DYM9" s="113"/>
      <c r="DYN9" s="113"/>
      <c r="DYO9" s="113"/>
      <c r="DYP9" s="113"/>
      <c r="DYQ9" s="113"/>
      <c r="DYR9" s="113"/>
      <c r="DYS9" s="113"/>
      <c r="DYT9" s="113"/>
      <c r="DYU9" s="113"/>
      <c r="DYV9" s="113"/>
      <c r="DYW9" s="113"/>
      <c r="DYX9" s="113"/>
      <c r="DYY9" s="113"/>
      <c r="DYZ9" s="113"/>
      <c r="DZA9" s="113"/>
      <c r="DZB9" s="113"/>
      <c r="DZC9" s="113"/>
      <c r="DZD9" s="113"/>
      <c r="DZE9" s="113"/>
      <c r="DZF9" s="113"/>
      <c r="DZG9" s="113"/>
      <c r="DZH9" s="113"/>
      <c r="DZI9" s="113"/>
      <c r="DZJ9" s="113"/>
      <c r="DZK9" s="113"/>
      <c r="DZL9" s="113"/>
      <c r="DZM9" s="113"/>
      <c r="DZN9" s="113"/>
      <c r="DZO9" s="113"/>
      <c r="DZP9" s="113"/>
      <c r="DZQ9" s="113"/>
      <c r="DZR9" s="113"/>
      <c r="DZS9" s="113"/>
      <c r="DZT9" s="113"/>
      <c r="DZU9" s="113"/>
      <c r="DZV9" s="113"/>
      <c r="DZW9" s="113"/>
      <c r="DZX9" s="113"/>
      <c r="DZY9" s="113"/>
      <c r="DZZ9" s="113"/>
      <c r="EAA9" s="113"/>
      <c r="EAB9" s="113"/>
      <c r="EAC9" s="113"/>
      <c r="EAD9" s="113"/>
      <c r="EAE9" s="113"/>
      <c r="EAF9" s="113"/>
      <c r="EAG9" s="113"/>
      <c r="EAH9" s="113"/>
      <c r="EAI9" s="113"/>
      <c r="EAJ9" s="113"/>
      <c r="EAK9" s="113"/>
      <c r="EAL9" s="113"/>
      <c r="EAM9" s="113"/>
      <c r="EAN9" s="113"/>
      <c r="EAO9" s="113"/>
      <c r="EAP9" s="113"/>
      <c r="EAQ9" s="113"/>
      <c r="EAR9" s="113"/>
      <c r="EAS9" s="113"/>
      <c r="EAT9" s="113"/>
      <c r="EAU9" s="113"/>
      <c r="EAV9" s="113"/>
      <c r="EAW9" s="113"/>
      <c r="EAX9" s="113"/>
      <c r="EAY9" s="113"/>
      <c r="EAZ9" s="113"/>
      <c r="EBA9" s="113"/>
      <c r="EBB9" s="113"/>
      <c r="EBC9" s="113"/>
      <c r="EBD9" s="113"/>
      <c r="EBE9" s="113"/>
      <c r="EBF9" s="113"/>
      <c r="EBG9" s="113"/>
      <c r="EBH9" s="113"/>
      <c r="EBI9" s="113"/>
      <c r="EBJ9" s="113"/>
      <c r="EBK9" s="113"/>
      <c r="EBL9" s="113"/>
      <c r="EBM9" s="113"/>
      <c r="EBN9" s="113"/>
      <c r="EBO9" s="113"/>
      <c r="EBP9" s="113"/>
      <c r="EBQ9" s="113"/>
      <c r="EBR9" s="113"/>
      <c r="EBS9" s="113"/>
      <c r="EBT9" s="113"/>
      <c r="EBU9" s="113"/>
      <c r="EBV9" s="113"/>
      <c r="EBW9" s="113"/>
      <c r="EBX9" s="113"/>
      <c r="EBY9" s="113"/>
      <c r="EBZ9" s="113"/>
      <c r="ECA9" s="113"/>
      <c r="ECB9" s="113"/>
      <c r="ECC9" s="113"/>
      <c r="ECD9" s="113"/>
      <c r="ECE9" s="113"/>
      <c r="ECF9" s="113"/>
      <c r="ECG9" s="113"/>
      <c r="ECH9" s="113"/>
      <c r="ECI9" s="113"/>
      <c r="ECJ9" s="113"/>
      <c r="ECK9" s="113"/>
      <c r="ECL9" s="113"/>
      <c r="ECM9" s="113"/>
      <c r="ECN9" s="113"/>
      <c r="ECO9" s="113"/>
      <c r="ECP9" s="113"/>
      <c r="ECQ9" s="113"/>
      <c r="ECR9" s="113"/>
      <c r="ECS9" s="113"/>
      <c r="ECT9" s="113"/>
      <c r="ECU9" s="113"/>
      <c r="ECV9" s="113"/>
      <c r="ECW9" s="113"/>
      <c r="ECX9" s="113"/>
      <c r="ECY9" s="113"/>
      <c r="ECZ9" s="113"/>
      <c r="EDA9" s="113"/>
      <c r="EDB9" s="113"/>
      <c r="EDC9" s="113"/>
      <c r="EDD9" s="113"/>
      <c r="EDE9" s="113"/>
      <c r="EDF9" s="113"/>
      <c r="EDG9" s="113"/>
      <c r="EDH9" s="113"/>
      <c r="EDI9" s="113"/>
      <c r="EDJ9" s="113"/>
      <c r="EDK9" s="113"/>
      <c r="EDL9" s="113"/>
      <c r="EDM9" s="113"/>
      <c r="EDN9" s="113"/>
      <c r="EDO9" s="113"/>
      <c r="EDP9" s="113"/>
      <c r="EDQ9" s="113"/>
      <c r="EDR9" s="113"/>
      <c r="EDS9" s="113"/>
      <c r="EDT9" s="113"/>
      <c r="EDU9" s="113"/>
      <c r="EDV9" s="113"/>
      <c r="EDW9" s="113"/>
      <c r="EDX9" s="113"/>
      <c r="EDY9" s="113"/>
      <c r="EDZ9" s="113"/>
      <c r="EEA9" s="113"/>
      <c r="EEB9" s="113"/>
      <c r="EEC9" s="113"/>
      <c r="EED9" s="113"/>
      <c r="EEE9" s="113"/>
      <c r="EEF9" s="113"/>
      <c r="EEG9" s="113"/>
      <c r="EEH9" s="113"/>
      <c r="EEI9" s="113"/>
      <c r="EEJ9" s="113"/>
      <c r="EEK9" s="113"/>
      <c r="EEL9" s="113"/>
      <c r="EEM9" s="113"/>
      <c r="EEN9" s="113"/>
      <c r="EEO9" s="113"/>
      <c r="EEP9" s="113"/>
      <c r="EEQ9" s="113"/>
      <c r="EER9" s="113"/>
      <c r="EES9" s="113"/>
      <c r="EET9" s="113"/>
      <c r="EEU9" s="113"/>
      <c r="EEV9" s="113"/>
      <c r="EEW9" s="113"/>
      <c r="EEX9" s="113"/>
      <c r="EEY9" s="113"/>
      <c r="EEZ9" s="113"/>
      <c r="EFA9" s="113"/>
      <c r="EFB9" s="113"/>
      <c r="EFC9" s="113"/>
      <c r="EFD9" s="113"/>
      <c r="EFE9" s="113"/>
      <c r="EFF9" s="113"/>
      <c r="EFG9" s="113"/>
      <c r="EFH9" s="113"/>
      <c r="EFI9" s="113"/>
      <c r="EFJ9" s="113"/>
      <c r="EFK9" s="113"/>
      <c r="EFL9" s="113"/>
      <c r="EFM9" s="113"/>
      <c r="EFN9" s="113"/>
      <c r="EFO9" s="113"/>
      <c r="EFP9" s="113"/>
      <c r="EFQ9" s="113"/>
      <c r="EFR9" s="113"/>
      <c r="EFS9" s="113"/>
      <c r="EFT9" s="113"/>
      <c r="EFU9" s="113"/>
      <c r="EFV9" s="113"/>
      <c r="EFW9" s="113"/>
      <c r="EFX9" s="113"/>
      <c r="EFY9" s="113"/>
      <c r="EFZ9" s="113"/>
      <c r="EGA9" s="113"/>
      <c r="EGB9" s="113"/>
      <c r="EGC9" s="113"/>
      <c r="EGD9" s="113"/>
      <c r="EGE9" s="113"/>
      <c r="EGF9" s="113"/>
      <c r="EGG9" s="113"/>
      <c r="EGH9" s="113"/>
      <c r="EGI9" s="113"/>
      <c r="EGJ9" s="113"/>
      <c r="EGK9" s="113"/>
      <c r="EGL9" s="113"/>
      <c r="EGM9" s="113"/>
      <c r="EGN9" s="113"/>
      <c r="EGO9" s="113"/>
      <c r="EGP9" s="113"/>
      <c r="EGQ9" s="113"/>
      <c r="EGR9" s="113"/>
      <c r="EGS9" s="113"/>
      <c r="EGT9" s="113"/>
      <c r="EGU9" s="113"/>
      <c r="EGV9" s="113"/>
      <c r="EGW9" s="113"/>
      <c r="EGX9" s="113"/>
      <c r="EGY9" s="113"/>
      <c r="EGZ9" s="113"/>
      <c r="EHA9" s="113"/>
      <c r="EHB9" s="113"/>
      <c r="EHC9" s="113"/>
      <c r="EHD9" s="113"/>
      <c r="EHE9" s="113"/>
      <c r="EHF9" s="113"/>
      <c r="EHG9" s="113"/>
      <c r="EHH9" s="113"/>
      <c r="EHI9" s="113"/>
      <c r="EHJ9" s="113"/>
      <c r="EHK9" s="113"/>
      <c r="EHL9" s="113"/>
      <c r="EHM9" s="113"/>
      <c r="EHN9" s="113"/>
      <c r="EHO9" s="113"/>
      <c r="EHP9" s="113"/>
      <c r="EHQ9" s="113"/>
      <c r="EHR9" s="113"/>
      <c r="EHS9" s="113"/>
      <c r="EHT9" s="113"/>
      <c r="EHU9" s="113"/>
      <c r="EHV9" s="113"/>
      <c r="EHW9" s="113"/>
      <c r="EHX9" s="113"/>
      <c r="EHY9" s="113"/>
      <c r="EHZ9" s="113"/>
      <c r="EIA9" s="113"/>
      <c r="EIB9" s="113"/>
      <c r="EIC9" s="113"/>
      <c r="EID9" s="113"/>
      <c r="EIE9" s="113"/>
      <c r="EIF9" s="113"/>
      <c r="EIG9" s="113"/>
      <c r="EIH9" s="113"/>
      <c r="EII9" s="113"/>
      <c r="EIJ9" s="113"/>
      <c r="EIK9" s="113"/>
      <c r="EIL9" s="113"/>
      <c r="EIM9" s="113"/>
      <c r="EIN9" s="113"/>
      <c r="EIO9" s="113"/>
      <c r="EIP9" s="113"/>
      <c r="EIQ9" s="113"/>
      <c r="EIR9" s="113"/>
      <c r="EIS9" s="113"/>
      <c r="EIT9" s="113"/>
      <c r="EIU9" s="113"/>
      <c r="EIV9" s="113"/>
      <c r="EIW9" s="113"/>
      <c r="EIX9" s="113"/>
      <c r="EIY9" s="113"/>
      <c r="EIZ9" s="113"/>
      <c r="EJA9" s="113"/>
      <c r="EJB9" s="113"/>
      <c r="EJC9" s="113"/>
      <c r="EJD9" s="113"/>
      <c r="EJE9" s="113"/>
      <c r="EJF9" s="113"/>
      <c r="EJG9" s="113"/>
      <c r="EJH9" s="113"/>
      <c r="EJI9" s="113"/>
      <c r="EJJ9" s="113"/>
      <c r="EJK9" s="113"/>
      <c r="EJL9" s="113"/>
      <c r="EJM9" s="113"/>
      <c r="EJN9" s="113"/>
      <c r="EJO9" s="113"/>
      <c r="EJP9" s="113"/>
      <c r="EJQ9" s="113"/>
      <c r="EJR9" s="113"/>
      <c r="EJS9" s="113"/>
      <c r="EJT9" s="113"/>
      <c r="EJU9" s="113"/>
      <c r="EJV9" s="113"/>
      <c r="EJW9" s="113"/>
      <c r="EJX9" s="113"/>
      <c r="EJY9" s="113"/>
      <c r="EJZ9" s="113"/>
      <c r="EKA9" s="113"/>
      <c r="EKB9" s="113"/>
      <c r="EKC9" s="113"/>
      <c r="EKD9" s="113"/>
      <c r="EKE9" s="113"/>
      <c r="EKF9" s="113"/>
      <c r="EKG9" s="113"/>
      <c r="EKH9" s="113"/>
      <c r="EKI9" s="113"/>
      <c r="EKJ9" s="113"/>
      <c r="EKK9" s="113"/>
      <c r="EKL9" s="113"/>
      <c r="EKM9" s="113"/>
      <c r="EKN9" s="113"/>
      <c r="EKO9" s="113"/>
      <c r="EKP9" s="113"/>
      <c r="EKQ9" s="113"/>
      <c r="EKR9" s="113"/>
      <c r="EKS9" s="113"/>
      <c r="EKT9" s="113"/>
      <c r="EKU9" s="113"/>
      <c r="EKV9" s="113"/>
      <c r="EKW9" s="113"/>
      <c r="EKX9" s="113"/>
      <c r="EKY9" s="113"/>
      <c r="EKZ9" s="113"/>
      <c r="ELA9" s="113"/>
      <c r="ELB9" s="113"/>
      <c r="ELC9" s="113"/>
      <c r="ELD9" s="113"/>
      <c r="ELE9" s="113"/>
      <c r="ELF9" s="113"/>
      <c r="ELG9" s="113"/>
      <c r="ELH9" s="113"/>
      <c r="ELI9" s="113"/>
      <c r="ELJ9" s="113"/>
      <c r="ELK9" s="113"/>
      <c r="ELL9" s="113"/>
      <c r="ELM9" s="113"/>
      <c r="ELN9" s="113"/>
      <c r="ELO9" s="113"/>
      <c r="ELP9" s="113"/>
      <c r="ELQ9" s="113"/>
      <c r="ELR9" s="113"/>
      <c r="ELS9" s="113"/>
      <c r="ELT9" s="113"/>
      <c r="ELU9" s="113"/>
      <c r="ELV9" s="113"/>
      <c r="ELW9" s="113"/>
      <c r="ELX9" s="113"/>
      <c r="ELY9" s="113"/>
      <c r="ELZ9" s="113"/>
      <c r="EMA9" s="113"/>
      <c r="EMB9" s="113"/>
      <c r="EMC9" s="113"/>
      <c r="EMD9" s="113"/>
      <c r="EME9" s="113"/>
      <c r="EMF9" s="113"/>
      <c r="EMG9" s="113"/>
      <c r="EMH9" s="113"/>
      <c r="EMI9" s="113"/>
      <c r="EMJ9" s="113"/>
      <c r="EMK9" s="113"/>
      <c r="EML9" s="113"/>
      <c r="EMM9" s="113"/>
      <c r="EMN9" s="113"/>
      <c r="EMO9" s="113"/>
      <c r="EMP9" s="113"/>
      <c r="EMQ9" s="113"/>
      <c r="EMR9" s="113"/>
      <c r="EMS9" s="113"/>
      <c r="EMT9" s="113"/>
      <c r="EMU9" s="113"/>
      <c r="EMV9" s="113"/>
      <c r="EMW9" s="113"/>
      <c r="EMX9" s="113"/>
      <c r="EMY9" s="113"/>
      <c r="EMZ9" s="113"/>
      <c r="ENA9" s="113"/>
      <c r="ENB9" s="113"/>
      <c r="ENC9" s="113"/>
      <c r="END9" s="113"/>
      <c r="ENE9" s="113"/>
      <c r="ENF9" s="113"/>
      <c r="ENG9" s="113"/>
      <c r="ENH9" s="113"/>
      <c r="ENI9" s="113"/>
      <c r="ENJ9" s="113"/>
      <c r="ENK9" s="113"/>
      <c r="ENL9" s="113"/>
      <c r="ENM9" s="113"/>
      <c r="ENN9" s="113"/>
      <c r="ENO9" s="113"/>
      <c r="ENP9" s="113"/>
      <c r="ENQ9" s="113"/>
      <c r="ENR9" s="113"/>
      <c r="ENS9" s="113"/>
      <c r="ENT9" s="113"/>
      <c r="ENU9" s="113"/>
      <c r="ENV9" s="113"/>
      <c r="ENW9" s="113"/>
      <c r="ENX9" s="113"/>
      <c r="ENY9" s="113"/>
      <c r="ENZ9" s="113"/>
      <c r="EOA9" s="113"/>
      <c r="EOB9" s="113"/>
      <c r="EOC9" s="113"/>
      <c r="EOD9" s="113"/>
      <c r="EOE9" s="113"/>
      <c r="EOF9" s="113"/>
      <c r="EOG9" s="113"/>
      <c r="EOH9" s="113"/>
      <c r="EOI9" s="113"/>
      <c r="EOJ9" s="113"/>
      <c r="EOK9" s="113"/>
      <c r="EOL9" s="113"/>
      <c r="EOM9" s="113"/>
      <c r="EON9" s="113"/>
      <c r="EOO9" s="113"/>
      <c r="EOP9" s="113"/>
      <c r="EOQ9" s="113"/>
      <c r="EOR9" s="113"/>
      <c r="EOS9" s="113"/>
      <c r="EOT9" s="113"/>
      <c r="EOU9" s="113"/>
      <c r="EOV9" s="113"/>
      <c r="EOW9" s="113"/>
      <c r="EOX9" s="113"/>
      <c r="EOY9" s="113"/>
      <c r="EOZ9" s="113"/>
      <c r="EPA9" s="113"/>
      <c r="EPB9" s="113"/>
      <c r="EPC9" s="113"/>
      <c r="EPD9" s="113"/>
      <c r="EPE9" s="113"/>
      <c r="EPF9" s="113"/>
      <c r="EPG9" s="113"/>
      <c r="EPH9" s="113"/>
      <c r="EPI9" s="113"/>
      <c r="EPJ9" s="113"/>
      <c r="EPK9" s="113"/>
      <c r="EPL9" s="113"/>
      <c r="EPM9" s="113"/>
      <c r="EPN9" s="113"/>
      <c r="EPO9" s="113"/>
      <c r="EPP9" s="113"/>
      <c r="EPQ9" s="113"/>
      <c r="EPR9" s="113"/>
      <c r="EPS9" s="113"/>
      <c r="EPT9" s="113"/>
      <c r="EPU9" s="113"/>
      <c r="EPV9" s="113"/>
      <c r="EPW9" s="113"/>
      <c r="EPX9" s="113"/>
      <c r="EPY9" s="113"/>
      <c r="EPZ9" s="113"/>
      <c r="EQA9" s="113"/>
      <c r="EQB9" s="113"/>
      <c r="EQC9" s="113"/>
      <c r="EQD9" s="113"/>
      <c r="EQE9" s="113"/>
      <c r="EQF9" s="113"/>
      <c r="EQG9" s="113"/>
      <c r="EQH9" s="113"/>
      <c r="EQI9" s="113"/>
      <c r="EQJ9" s="113"/>
      <c r="EQK9" s="113"/>
      <c r="EQL9" s="113"/>
      <c r="EQM9" s="113"/>
      <c r="EQN9" s="113"/>
      <c r="EQO9" s="113"/>
      <c r="EQP9" s="113"/>
      <c r="EQQ9" s="113"/>
      <c r="EQR9" s="113"/>
      <c r="EQS9" s="113"/>
      <c r="EQT9" s="113"/>
      <c r="EQU9" s="113"/>
      <c r="EQV9" s="113"/>
      <c r="EQW9" s="113"/>
      <c r="EQX9" s="113"/>
      <c r="EQY9" s="113"/>
      <c r="EQZ9" s="113"/>
      <c r="ERA9" s="113"/>
      <c r="ERB9" s="113"/>
      <c r="ERC9" s="113"/>
      <c r="ERD9" s="113"/>
      <c r="ERE9" s="113"/>
      <c r="ERF9" s="113"/>
      <c r="ERG9" s="113"/>
      <c r="ERH9" s="113"/>
      <c r="ERI9" s="113"/>
      <c r="ERJ9" s="113"/>
      <c r="ERK9" s="113"/>
      <c r="ERL9" s="113"/>
      <c r="ERM9" s="113"/>
      <c r="ERN9" s="113"/>
      <c r="ERO9" s="113"/>
      <c r="ERP9" s="113"/>
      <c r="ERQ9" s="113"/>
      <c r="ERR9" s="113"/>
      <c r="ERS9" s="113"/>
      <c r="ERT9" s="113"/>
      <c r="ERU9" s="113"/>
      <c r="ERV9" s="113"/>
      <c r="ERW9" s="113"/>
      <c r="ERX9" s="113"/>
      <c r="ERY9" s="113"/>
      <c r="ERZ9" s="113"/>
      <c r="ESA9" s="113"/>
      <c r="ESB9" s="113"/>
      <c r="ESC9" s="113"/>
      <c r="ESD9" s="113"/>
      <c r="ESE9" s="113"/>
      <c r="ESF9" s="113"/>
      <c r="ESG9" s="113"/>
      <c r="ESH9" s="113"/>
      <c r="ESI9" s="113"/>
      <c r="ESJ9" s="113"/>
      <c r="ESK9" s="113"/>
      <c r="ESL9" s="113"/>
      <c r="ESM9" s="113"/>
      <c r="ESN9" s="113"/>
      <c r="ESO9" s="113"/>
      <c r="ESP9" s="113"/>
      <c r="ESQ9" s="113"/>
      <c r="ESR9" s="113"/>
      <c r="ESS9" s="113"/>
      <c r="EST9" s="113"/>
      <c r="ESU9" s="113"/>
      <c r="ESV9" s="113"/>
      <c r="ESW9" s="113"/>
      <c r="ESX9" s="113"/>
      <c r="ESY9" s="113"/>
      <c r="ESZ9" s="113"/>
      <c r="ETA9" s="113"/>
      <c r="ETB9" s="113"/>
      <c r="ETC9" s="113"/>
      <c r="ETD9" s="113"/>
      <c r="ETE9" s="113"/>
      <c r="ETF9" s="113"/>
      <c r="ETG9" s="113"/>
      <c r="ETH9" s="113"/>
      <c r="ETI9" s="113"/>
      <c r="ETJ9" s="113"/>
      <c r="ETK9" s="113"/>
      <c r="ETL9" s="113"/>
      <c r="ETM9" s="113"/>
      <c r="ETN9" s="113"/>
      <c r="ETO9" s="113"/>
      <c r="ETP9" s="113"/>
      <c r="ETQ9" s="113"/>
      <c r="ETR9" s="113"/>
      <c r="ETS9" s="113"/>
      <c r="ETT9" s="113"/>
      <c r="ETU9" s="113"/>
      <c r="ETV9" s="113"/>
      <c r="ETW9" s="113"/>
      <c r="ETX9" s="113"/>
      <c r="ETY9" s="113"/>
      <c r="ETZ9" s="113"/>
      <c r="EUA9" s="113"/>
      <c r="EUB9" s="113"/>
      <c r="EUC9" s="113"/>
      <c r="EUD9" s="113"/>
      <c r="EUE9" s="113"/>
      <c r="EUF9" s="113"/>
      <c r="EUG9" s="113"/>
      <c r="EUH9" s="113"/>
      <c r="EUI9" s="113"/>
      <c r="EUJ9" s="113"/>
      <c r="EUK9" s="113"/>
      <c r="EUL9" s="113"/>
      <c r="EUM9" s="113"/>
      <c r="EUN9" s="113"/>
      <c r="EUO9" s="113"/>
      <c r="EUP9" s="113"/>
      <c r="EUQ9" s="113"/>
      <c r="EUR9" s="113"/>
      <c r="EUS9" s="113"/>
      <c r="EUT9" s="113"/>
      <c r="EUU9" s="113"/>
      <c r="EUV9" s="113"/>
      <c r="EUW9" s="113"/>
      <c r="EUX9" s="113"/>
      <c r="EUY9" s="113"/>
      <c r="EUZ9" s="113"/>
      <c r="EVA9" s="113"/>
      <c r="EVB9" s="113"/>
      <c r="EVC9" s="113"/>
      <c r="EVD9" s="113"/>
      <c r="EVE9" s="113"/>
      <c r="EVF9" s="113"/>
      <c r="EVG9" s="113"/>
      <c r="EVH9" s="113"/>
      <c r="EVI9" s="113"/>
      <c r="EVJ9" s="113"/>
      <c r="EVK9" s="113"/>
      <c r="EVL9" s="113"/>
      <c r="EVM9" s="113"/>
      <c r="EVN9" s="113"/>
      <c r="EVO9" s="113"/>
      <c r="EVP9" s="113"/>
      <c r="EVQ9" s="113"/>
      <c r="EVR9" s="113"/>
      <c r="EVS9" s="113"/>
      <c r="EVT9" s="113"/>
      <c r="EVU9" s="113"/>
      <c r="EVV9" s="113"/>
      <c r="EVW9" s="113"/>
      <c r="EVX9" s="113"/>
      <c r="EVY9" s="113"/>
      <c r="EVZ9" s="113"/>
      <c r="EWA9" s="113"/>
      <c r="EWB9" s="113"/>
      <c r="EWC9" s="113"/>
      <c r="EWD9" s="113"/>
      <c r="EWE9" s="113"/>
      <c r="EWF9" s="113"/>
      <c r="EWG9" s="113"/>
      <c r="EWH9" s="113"/>
      <c r="EWI9" s="113"/>
      <c r="EWJ9" s="113"/>
      <c r="EWK9" s="113"/>
      <c r="EWL9" s="113"/>
      <c r="EWM9" s="113"/>
      <c r="EWN9" s="113"/>
      <c r="EWO9" s="113"/>
      <c r="EWP9" s="113"/>
      <c r="EWQ9" s="113"/>
      <c r="EWR9" s="113"/>
      <c r="EWS9" s="113"/>
      <c r="EWT9" s="113"/>
      <c r="EWU9" s="113"/>
      <c r="EWV9" s="113"/>
      <c r="EWW9" s="113"/>
      <c r="EWX9" s="113"/>
      <c r="EWY9" s="113"/>
      <c r="EWZ9" s="113"/>
      <c r="EXA9" s="113"/>
      <c r="EXB9" s="113"/>
      <c r="EXC9" s="113"/>
      <c r="EXD9" s="113"/>
      <c r="EXE9" s="113"/>
      <c r="EXF9" s="113"/>
      <c r="EXG9" s="113"/>
      <c r="EXH9" s="113"/>
      <c r="EXI9" s="113"/>
      <c r="EXJ9" s="113"/>
      <c r="EXK9" s="113"/>
      <c r="EXL9" s="113"/>
      <c r="EXM9" s="113"/>
      <c r="EXN9" s="113"/>
      <c r="EXO9" s="113"/>
      <c r="EXP9" s="113"/>
      <c r="EXQ9" s="113"/>
      <c r="EXR9" s="113"/>
      <c r="EXS9" s="113"/>
      <c r="EXT9" s="113"/>
      <c r="EXU9" s="113"/>
      <c r="EXV9" s="113"/>
      <c r="EXW9" s="113"/>
      <c r="EXX9" s="113"/>
      <c r="EXY9" s="113"/>
      <c r="EXZ9" s="113"/>
      <c r="EYA9" s="113"/>
      <c r="EYB9" s="113"/>
      <c r="EYC9" s="113"/>
      <c r="EYD9" s="113"/>
      <c r="EYE9" s="113"/>
      <c r="EYF9" s="113"/>
      <c r="EYG9" s="113"/>
      <c r="EYH9" s="113"/>
      <c r="EYI9" s="113"/>
      <c r="EYJ9" s="113"/>
      <c r="EYK9" s="113"/>
      <c r="EYL9" s="113"/>
      <c r="EYM9" s="113"/>
      <c r="EYN9" s="113"/>
      <c r="EYO9" s="113"/>
      <c r="EYP9" s="113"/>
      <c r="EYQ9" s="113"/>
      <c r="EYR9" s="113"/>
      <c r="EYS9" s="113"/>
      <c r="EYT9" s="113"/>
      <c r="EYU9" s="113"/>
      <c r="EYV9" s="113"/>
      <c r="EYW9" s="113"/>
      <c r="EYX9" s="113"/>
      <c r="EYY9" s="113"/>
      <c r="EYZ9" s="113"/>
      <c r="EZA9" s="113"/>
      <c r="EZB9" s="113"/>
      <c r="EZC9" s="113"/>
      <c r="EZD9" s="113"/>
      <c r="EZE9" s="113"/>
      <c r="EZF9" s="113"/>
      <c r="EZG9" s="113"/>
      <c r="EZH9" s="113"/>
      <c r="EZI9" s="113"/>
      <c r="EZJ9" s="113"/>
      <c r="EZK9" s="113"/>
      <c r="EZL9" s="113"/>
      <c r="EZM9" s="113"/>
      <c r="EZN9" s="113"/>
      <c r="EZO9" s="113"/>
      <c r="EZP9" s="113"/>
      <c r="EZQ9" s="113"/>
      <c r="EZR9" s="113"/>
      <c r="EZS9" s="113"/>
      <c r="EZT9" s="113"/>
      <c r="EZU9" s="113"/>
      <c r="EZV9" s="113"/>
      <c r="EZW9" s="113"/>
      <c r="EZX9" s="113"/>
      <c r="EZY9" s="113"/>
      <c r="EZZ9" s="113"/>
      <c r="FAA9" s="113"/>
      <c r="FAB9" s="113"/>
      <c r="FAC9" s="113"/>
      <c r="FAD9" s="113"/>
      <c r="FAE9" s="113"/>
      <c r="FAF9" s="113"/>
      <c r="FAG9" s="113"/>
      <c r="FAH9" s="113"/>
      <c r="FAI9" s="113"/>
      <c r="FAJ9" s="113"/>
      <c r="FAK9" s="113"/>
      <c r="FAL9" s="113"/>
      <c r="FAM9" s="113"/>
      <c r="FAN9" s="113"/>
      <c r="FAO9" s="113"/>
      <c r="FAP9" s="113"/>
      <c r="FAQ9" s="113"/>
      <c r="FAR9" s="113"/>
      <c r="FAS9" s="113"/>
      <c r="FAT9" s="113"/>
      <c r="FAU9" s="113"/>
      <c r="FAV9" s="113"/>
      <c r="FAW9" s="113"/>
      <c r="FAX9" s="113"/>
      <c r="FAY9" s="113"/>
      <c r="FAZ9" s="113"/>
      <c r="FBA9" s="113"/>
      <c r="FBB9" s="113"/>
      <c r="FBC9" s="113"/>
      <c r="FBD9" s="113"/>
      <c r="FBE9" s="113"/>
      <c r="FBF9" s="113"/>
      <c r="FBG9" s="113"/>
      <c r="FBH9" s="113"/>
      <c r="FBI9" s="113"/>
      <c r="FBJ9" s="113"/>
      <c r="FBK9" s="113"/>
      <c r="FBL9" s="113"/>
      <c r="FBM9" s="113"/>
      <c r="FBN9" s="113"/>
      <c r="FBO9" s="113"/>
      <c r="FBP9" s="113"/>
      <c r="FBQ9" s="113"/>
      <c r="FBR9" s="113"/>
      <c r="FBS9" s="113"/>
      <c r="FBT9" s="113"/>
      <c r="FBU9" s="113"/>
      <c r="FBV9" s="113"/>
      <c r="FBW9" s="113"/>
      <c r="FBX9" s="113"/>
      <c r="FBY9" s="113"/>
      <c r="FBZ9" s="113"/>
      <c r="FCA9" s="113"/>
      <c r="FCB9" s="113"/>
      <c r="FCC9" s="113"/>
      <c r="FCD9" s="113"/>
      <c r="FCE9" s="113"/>
      <c r="FCF9" s="113"/>
      <c r="FCG9" s="113"/>
      <c r="FCH9" s="113"/>
      <c r="FCI9" s="113"/>
      <c r="FCJ9" s="113"/>
      <c r="FCK9" s="113"/>
      <c r="FCL9" s="113"/>
      <c r="FCM9" s="113"/>
      <c r="FCN9" s="113"/>
      <c r="FCO9" s="113"/>
      <c r="FCP9" s="113"/>
      <c r="FCQ9" s="113"/>
      <c r="FCR9" s="113"/>
      <c r="FCS9" s="113"/>
      <c r="FCT9" s="113"/>
      <c r="FCU9" s="113"/>
      <c r="FCV9" s="113"/>
      <c r="FCW9" s="113"/>
      <c r="FCX9" s="113"/>
      <c r="FCY9" s="113"/>
      <c r="FCZ9" s="113"/>
      <c r="FDA9" s="113"/>
      <c r="FDB9" s="113"/>
      <c r="FDC9" s="113"/>
      <c r="FDD9" s="113"/>
      <c r="FDE9" s="113"/>
      <c r="FDF9" s="113"/>
      <c r="FDG9" s="113"/>
      <c r="FDH9" s="113"/>
      <c r="FDI9" s="113"/>
      <c r="FDJ9" s="113"/>
      <c r="FDK9" s="113"/>
      <c r="FDL9" s="113"/>
      <c r="FDM9" s="113"/>
      <c r="FDN9" s="113"/>
      <c r="FDO9" s="113"/>
      <c r="FDP9" s="113"/>
      <c r="FDQ9" s="113"/>
      <c r="FDR9" s="113"/>
      <c r="FDS9" s="113"/>
      <c r="FDT9" s="113"/>
      <c r="FDU9" s="113"/>
      <c r="FDV9" s="113"/>
      <c r="FDW9" s="113"/>
      <c r="FDX9" s="113"/>
      <c r="FDY9" s="113"/>
      <c r="FDZ9" s="113"/>
      <c r="FEA9" s="113"/>
      <c r="FEB9" s="113"/>
      <c r="FEC9" s="113"/>
      <c r="FED9" s="113"/>
      <c r="FEE9" s="113"/>
      <c r="FEF9" s="113"/>
      <c r="FEG9" s="113"/>
      <c r="FEH9" s="113"/>
      <c r="FEI9" s="113"/>
      <c r="FEJ9" s="113"/>
      <c r="FEK9" s="113"/>
      <c r="FEL9" s="113"/>
      <c r="FEM9" s="113"/>
      <c r="FEN9" s="113"/>
      <c r="FEO9" s="113"/>
      <c r="FEP9" s="113"/>
      <c r="FEQ9" s="113"/>
      <c r="FER9" s="113"/>
      <c r="FES9" s="113"/>
      <c r="FET9" s="113"/>
      <c r="FEU9" s="113"/>
      <c r="FEV9" s="113"/>
      <c r="FEW9" s="113"/>
      <c r="FEX9" s="113"/>
      <c r="FEY9" s="113"/>
      <c r="FEZ9" s="113"/>
      <c r="FFA9" s="113"/>
      <c r="FFB9" s="113"/>
      <c r="FFC9" s="113"/>
      <c r="FFD9" s="113"/>
      <c r="FFE9" s="113"/>
      <c r="FFF9" s="113"/>
      <c r="FFG9" s="113"/>
      <c r="FFH9" s="113"/>
      <c r="FFI9" s="113"/>
      <c r="FFJ9" s="113"/>
      <c r="FFK9" s="113"/>
      <c r="FFL9" s="113"/>
      <c r="FFM9" s="113"/>
      <c r="FFN9" s="113"/>
      <c r="FFO9" s="113"/>
      <c r="FFP9" s="113"/>
      <c r="FFQ9" s="113"/>
      <c r="FFR9" s="113"/>
      <c r="FFS9" s="113"/>
      <c r="FFT9" s="113"/>
      <c r="FFU9" s="113"/>
      <c r="FFV9" s="113"/>
      <c r="FFW9" s="113"/>
      <c r="FFX9" s="113"/>
      <c r="FFY9" s="113"/>
      <c r="FFZ9" s="113"/>
      <c r="FGA9" s="113"/>
      <c r="FGB9" s="113"/>
      <c r="FGC9" s="113"/>
      <c r="FGD9" s="113"/>
      <c r="FGE9" s="113"/>
      <c r="FGF9" s="113"/>
      <c r="FGG9" s="113"/>
      <c r="FGH9" s="113"/>
      <c r="FGI9" s="113"/>
      <c r="FGJ9" s="113"/>
      <c r="FGK9" s="113"/>
      <c r="FGL9" s="113"/>
      <c r="FGM9" s="113"/>
      <c r="FGN9" s="113"/>
      <c r="FGO9" s="113"/>
      <c r="FGP9" s="113"/>
      <c r="FGQ9" s="113"/>
      <c r="FGR9" s="113"/>
      <c r="FGS9" s="113"/>
      <c r="FGT9" s="113"/>
      <c r="FGU9" s="113"/>
      <c r="FGV9" s="113"/>
      <c r="FGW9" s="113"/>
      <c r="FGX9" s="113"/>
      <c r="FGY9" s="113"/>
      <c r="FGZ9" s="113"/>
      <c r="FHA9" s="113"/>
      <c r="FHB9" s="113"/>
      <c r="FHC9" s="113"/>
      <c r="FHD9" s="113"/>
      <c r="FHE9" s="113"/>
      <c r="FHF9" s="113"/>
      <c r="FHG9" s="113"/>
      <c r="FHH9" s="113"/>
      <c r="FHI9" s="113"/>
      <c r="FHJ9" s="113"/>
      <c r="FHK9" s="113"/>
      <c r="FHL9" s="113"/>
      <c r="FHM9" s="113"/>
      <c r="FHN9" s="113"/>
      <c r="FHO9" s="113"/>
      <c r="FHP9" s="113"/>
      <c r="FHQ9" s="113"/>
      <c r="FHR9" s="113"/>
      <c r="FHS9" s="113"/>
      <c r="FHT9" s="113"/>
      <c r="FHU9" s="113"/>
      <c r="FHV9" s="113"/>
      <c r="FHW9" s="113"/>
      <c r="FHX9" s="113"/>
      <c r="FHY9" s="113"/>
      <c r="FHZ9" s="113"/>
      <c r="FIA9" s="113"/>
      <c r="FIB9" s="113"/>
      <c r="FIC9" s="113"/>
      <c r="FID9" s="113"/>
      <c r="FIE9" s="113"/>
      <c r="FIF9" s="113"/>
      <c r="FIG9" s="113"/>
      <c r="FIH9" s="113"/>
      <c r="FII9" s="113"/>
      <c r="FIJ9" s="113"/>
      <c r="FIK9" s="113"/>
      <c r="FIL9" s="113"/>
      <c r="FIM9" s="113"/>
      <c r="FIN9" s="113"/>
      <c r="FIO9" s="113"/>
      <c r="FIP9" s="113"/>
      <c r="FIQ9" s="113"/>
      <c r="FIR9" s="113"/>
      <c r="FIS9" s="113"/>
      <c r="FIT9" s="113"/>
      <c r="FIU9" s="113"/>
      <c r="FIV9" s="113"/>
      <c r="FIW9" s="113"/>
      <c r="FIX9" s="113"/>
      <c r="FIY9" s="113"/>
      <c r="FIZ9" s="113"/>
      <c r="FJA9" s="113"/>
      <c r="FJB9" s="113"/>
      <c r="FJC9" s="113"/>
      <c r="FJD9" s="113"/>
      <c r="FJE9" s="113"/>
      <c r="FJF9" s="113"/>
      <c r="FJG9" s="113"/>
      <c r="FJH9" s="113"/>
      <c r="FJI9" s="113"/>
      <c r="FJJ9" s="113"/>
      <c r="FJK9" s="113"/>
      <c r="FJL9" s="113"/>
      <c r="FJM9" s="113"/>
      <c r="FJN9" s="113"/>
      <c r="FJO9" s="113"/>
      <c r="FJP9" s="113"/>
      <c r="FJQ9" s="113"/>
      <c r="FJR9" s="113"/>
      <c r="FJS9" s="113"/>
      <c r="FJT9" s="113"/>
      <c r="FJU9" s="113"/>
      <c r="FJV9" s="113"/>
      <c r="FJW9" s="113"/>
      <c r="FJX9" s="113"/>
      <c r="FJY9" s="113"/>
      <c r="FJZ9" s="113"/>
      <c r="FKA9" s="113"/>
      <c r="FKB9" s="113"/>
      <c r="FKC9" s="113"/>
      <c r="FKD9" s="113"/>
      <c r="FKE9" s="113"/>
      <c r="FKF9" s="113"/>
      <c r="FKG9" s="113"/>
      <c r="FKH9" s="113"/>
      <c r="FKI9" s="113"/>
      <c r="FKJ9" s="113"/>
      <c r="FKK9" s="113"/>
      <c r="FKL9" s="113"/>
      <c r="FKM9" s="113"/>
      <c r="FKN9" s="113"/>
      <c r="FKO9" s="113"/>
      <c r="FKP9" s="113"/>
      <c r="FKQ9" s="113"/>
      <c r="FKR9" s="113"/>
      <c r="FKS9" s="113"/>
      <c r="FKT9" s="113"/>
      <c r="FKU9" s="113"/>
      <c r="FKV9" s="113"/>
      <c r="FKW9" s="113"/>
      <c r="FKX9" s="113"/>
      <c r="FKY9" s="113"/>
      <c r="FKZ9" s="113"/>
      <c r="FLA9" s="113"/>
      <c r="FLB9" s="113"/>
      <c r="FLC9" s="113"/>
      <c r="FLD9" s="113"/>
      <c r="FLE9" s="113"/>
      <c r="FLF9" s="113"/>
      <c r="FLG9" s="113"/>
      <c r="FLH9" s="113"/>
      <c r="FLI9" s="113"/>
      <c r="FLJ9" s="113"/>
      <c r="FLK9" s="113"/>
      <c r="FLL9" s="113"/>
      <c r="FLM9" s="113"/>
      <c r="FLN9" s="113"/>
      <c r="FLO9" s="113"/>
      <c r="FLP9" s="113"/>
      <c r="FLQ9" s="113"/>
      <c r="FLR9" s="113"/>
      <c r="FLS9" s="113"/>
      <c r="FLT9" s="113"/>
      <c r="FLU9" s="113"/>
      <c r="FLV9" s="113"/>
      <c r="FLW9" s="113"/>
      <c r="FLX9" s="113"/>
      <c r="FLY9" s="113"/>
      <c r="FLZ9" s="113"/>
      <c r="FMA9" s="113"/>
      <c r="FMB9" s="113"/>
      <c r="FMC9" s="113"/>
      <c r="FMD9" s="113"/>
      <c r="FME9" s="113"/>
      <c r="FMF9" s="113"/>
      <c r="FMG9" s="113"/>
      <c r="FMH9" s="113"/>
      <c r="FMI9" s="113"/>
      <c r="FMJ9" s="113"/>
      <c r="FMK9" s="113"/>
      <c r="FML9" s="113"/>
      <c r="FMM9" s="113"/>
      <c r="FMN9" s="113"/>
      <c r="FMO9" s="113"/>
      <c r="FMP9" s="113"/>
      <c r="FMQ9" s="113"/>
      <c r="FMR9" s="113"/>
      <c r="FMS9" s="113"/>
      <c r="FMT9" s="113"/>
      <c r="FMU9" s="113"/>
      <c r="FMV9" s="113"/>
      <c r="FMW9" s="113"/>
      <c r="FMX9" s="113"/>
      <c r="FMY9" s="113"/>
      <c r="FMZ9" s="113"/>
      <c r="FNA9" s="113"/>
      <c r="FNB9" s="113"/>
      <c r="FNC9" s="113"/>
      <c r="FND9" s="113"/>
      <c r="FNE9" s="113"/>
      <c r="FNF9" s="113"/>
      <c r="FNG9" s="113"/>
      <c r="FNH9" s="113"/>
      <c r="FNI9" s="113"/>
      <c r="FNJ9" s="113"/>
      <c r="FNK9" s="113"/>
      <c r="FNL9" s="113"/>
      <c r="FNM9" s="113"/>
      <c r="FNN9" s="113"/>
      <c r="FNO9" s="113"/>
      <c r="FNP9" s="113"/>
      <c r="FNQ9" s="113"/>
      <c r="FNR9" s="113"/>
      <c r="FNS9" s="113"/>
      <c r="FNT9" s="113"/>
      <c r="FNU9" s="113"/>
      <c r="FNV9" s="113"/>
      <c r="FNW9" s="113"/>
      <c r="FNX9" s="113"/>
      <c r="FNY9" s="113"/>
      <c r="FNZ9" s="113"/>
      <c r="FOA9" s="113"/>
      <c r="FOB9" s="113"/>
      <c r="FOC9" s="113"/>
      <c r="FOD9" s="113"/>
      <c r="FOE9" s="113"/>
      <c r="FOF9" s="113"/>
      <c r="FOG9" s="113"/>
      <c r="FOH9" s="113"/>
      <c r="FOI9" s="113"/>
      <c r="FOJ9" s="113"/>
      <c r="FOK9" s="113"/>
      <c r="FOL9" s="113"/>
      <c r="FOM9" s="113"/>
      <c r="FON9" s="113"/>
      <c r="FOO9" s="113"/>
      <c r="FOP9" s="113"/>
      <c r="FOQ9" s="113"/>
      <c r="FOR9" s="113"/>
      <c r="FOS9" s="113"/>
      <c r="FOT9" s="113"/>
      <c r="FOU9" s="113"/>
      <c r="FOV9" s="113"/>
      <c r="FOW9" s="113"/>
      <c r="FOX9" s="113"/>
      <c r="FOY9" s="113"/>
      <c r="FOZ9" s="113"/>
      <c r="FPA9" s="113"/>
      <c r="FPB9" s="113"/>
      <c r="FPC9" s="113"/>
      <c r="FPD9" s="113"/>
      <c r="FPE9" s="113"/>
      <c r="FPF9" s="113"/>
      <c r="FPG9" s="113"/>
      <c r="FPH9" s="113"/>
      <c r="FPI9" s="113"/>
      <c r="FPJ9" s="113"/>
      <c r="FPK9" s="113"/>
      <c r="FPL9" s="113"/>
      <c r="FPM9" s="113"/>
      <c r="FPN9" s="113"/>
      <c r="FPO9" s="113"/>
      <c r="FPP9" s="113"/>
      <c r="FPQ9" s="113"/>
      <c r="FPR9" s="113"/>
      <c r="FPS9" s="113"/>
      <c r="FPT9" s="113"/>
      <c r="FPU9" s="113"/>
      <c r="FPV9" s="113"/>
      <c r="FPW9" s="113"/>
      <c r="FPX9" s="113"/>
      <c r="FPY9" s="113"/>
      <c r="FPZ9" s="113"/>
      <c r="FQA9" s="113"/>
      <c r="FQB9" s="113"/>
      <c r="FQC9" s="113"/>
      <c r="FQD9" s="113"/>
      <c r="FQE9" s="113"/>
      <c r="FQF9" s="113"/>
      <c r="FQG9" s="113"/>
      <c r="FQH9" s="113"/>
      <c r="FQI9" s="113"/>
      <c r="FQJ9" s="113"/>
      <c r="FQK9" s="113"/>
      <c r="FQL9" s="113"/>
      <c r="FQM9" s="113"/>
      <c r="FQN9" s="113"/>
      <c r="FQO9" s="113"/>
      <c r="FQP9" s="113"/>
      <c r="FQQ9" s="113"/>
      <c r="FQR9" s="113"/>
      <c r="FQS9" s="113"/>
      <c r="FQT9" s="113"/>
      <c r="FQU9" s="113"/>
      <c r="FQV9" s="113"/>
      <c r="FQW9" s="113"/>
      <c r="FQX9" s="113"/>
      <c r="FQY9" s="113"/>
      <c r="FQZ9" s="113"/>
      <c r="FRA9" s="113"/>
      <c r="FRB9" s="113"/>
      <c r="FRC9" s="113"/>
      <c r="FRD9" s="113"/>
      <c r="FRE9" s="113"/>
      <c r="FRF9" s="113"/>
      <c r="FRG9" s="113"/>
      <c r="FRH9" s="113"/>
      <c r="FRI9" s="113"/>
      <c r="FRJ9" s="113"/>
      <c r="FRK9" s="113"/>
      <c r="FRL9" s="113"/>
      <c r="FRM9" s="113"/>
      <c r="FRN9" s="113"/>
      <c r="FRO9" s="113"/>
      <c r="FRP9" s="113"/>
      <c r="FRQ9" s="113"/>
      <c r="FRR9" s="113"/>
      <c r="FRS9" s="113"/>
      <c r="FRT9" s="113"/>
      <c r="FRU9" s="113"/>
      <c r="FRV9" s="113"/>
      <c r="FRW9" s="113"/>
      <c r="FRX9" s="113"/>
      <c r="FRY9" s="113"/>
      <c r="FRZ9" s="113"/>
      <c r="FSA9" s="113"/>
      <c r="FSB9" s="113"/>
      <c r="FSC9" s="113"/>
      <c r="FSD9" s="113"/>
      <c r="FSE9" s="113"/>
      <c r="FSF9" s="113"/>
      <c r="FSG9" s="113"/>
      <c r="FSH9" s="113"/>
      <c r="FSI9" s="113"/>
      <c r="FSJ9" s="113"/>
      <c r="FSK9" s="113"/>
      <c r="FSL9" s="113"/>
      <c r="FSM9" s="113"/>
      <c r="FSN9" s="113"/>
      <c r="FSO9" s="113"/>
      <c r="FSP9" s="113"/>
      <c r="FSQ9" s="113"/>
      <c r="FSR9" s="113"/>
      <c r="FSS9" s="113"/>
      <c r="FST9" s="113"/>
      <c r="FSU9" s="113"/>
      <c r="FSV9" s="113"/>
      <c r="FSW9" s="113"/>
      <c r="FSX9" s="113"/>
      <c r="FSY9" s="113"/>
      <c r="FSZ9" s="113"/>
      <c r="FTA9" s="113"/>
      <c r="FTB9" s="113"/>
      <c r="FTC9" s="113"/>
      <c r="FTD9" s="113"/>
      <c r="FTE9" s="113"/>
      <c r="FTF9" s="113"/>
      <c r="FTG9" s="113"/>
      <c r="FTH9" s="113"/>
      <c r="FTI9" s="113"/>
      <c r="FTJ9" s="113"/>
      <c r="FTK9" s="113"/>
      <c r="FTL9" s="113"/>
      <c r="FTM9" s="113"/>
      <c r="FTN9" s="113"/>
      <c r="FTO9" s="113"/>
      <c r="FTP9" s="113"/>
      <c r="FTQ9" s="113"/>
      <c r="FTR9" s="113"/>
      <c r="FTS9" s="113"/>
      <c r="FTT9" s="113"/>
      <c r="FTU9" s="113"/>
      <c r="FTV9" s="113"/>
      <c r="FTW9" s="113"/>
      <c r="FTX9" s="113"/>
      <c r="FTY9" s="113"/>
      <c r="FTZ9" s="113"/>
      <c r="FUA9" s="113"/>
      <c r="FUB9" s="113"/>
      <c r="FUC9" s="113"/>
      <c r="FUD9" s="113"/>
      <c r="FUE9" s="113"/>
      <c r="FUF9" s="113"/>
      <c r="FUG9" s="113"/>
      <c r="FUH9" s="113"/>
      <c r="FUI9" s="113"/>
      <c r="FUJ9" s="113"/>
      <c r="FUK9" s="113"/>
      <c r="FUL9" s="113"/>
      <c r="FUM9" s="113"/>
      <c r="FUN9" s="113"/>
      <c r="FUO9" s="113"/>
      <c r="FUP9" s="113"/>
      <c r="FUQ9" s="113"/>
      <c r="FUR9" s="113"/>
      <c r="FUS9" s="113"/>
      <c r="FUT9" s="113"/>
      <c r="FUU9" s="113"/>
      <c r="FUV9" s="113"/>
      <c r="FUW9" s="113"/>
      <c r="FUX9" s="113"/>
      <c r="FUY9" s="113"/>
      <c r="FUZ9" s="113"/>
      <c r="FVA9" s="113"/>
      <c r="FVB9" s="113"/>
      <c r="FVC9" s="113"/>
      <c r="FVD9" s="113"/>
      <c r="FVE9" s="113"/>
      <c r="FVF9" s="113"/>
      <c r="FVG9" s="113"/>
      <c r="FVH9" s="113"/>
      <c r="FVI9" s="113"/>
      <c r="FVJ9" s="113"/>
      <c r="FVK9" s="113"/>
      <c r="FVL9" s="113"/>
      <c r="FVM9" s="113"/>
      <c r="FVN9" s="113"/>
      <c r="FVO9" s="113"/>
      <c r="FVP9" s="113"/>
      <c r="FVQ9" s="113"/>
      <c r="FVR9" s="113"/>
      <c r="FVS9" s="113"/>
      <c r="FVT9" s="113"/>
      <c r="FVU9" s="113"/>
      <c r="FVV9" s="113"/>
      <c r="FVW9" s="113"/>
      <c r="FVX9" s="113"/>
      <c r="FVY9" s="113"/>
      <c r="FVZ9" s="113"/>
      <c r="FWA9" s="113"/>
      <c r="FWB9" s="113"/>
      <c r="FWC9" s="113"/>
      <c r="FWD9" s="113"/>
      <c r="FWE9" s="113"/>
      <c r="FWF9" s="113"/>
      <c r="FWG9" s="113"/>
      <c r="FWH9" s="113"/>
      <c r="FWI9" s="113"/>
      <c r="FWJ9" s="113"/>
      <c r="FWK9" s="113"/>
      <c r="FWL9" s="113"/>
      <c r="FWM9" s="113"/>
      <c r="FWN9" s="113"/>
      <c r="FWO9" s="113"/>
      <c r="FWP9" s="113"/>
      <c r="FWQ9" s="113"/>
      <c r="FWR9" s="113"/>
      <c r="FWS9" s="113"/>
      <c r="FWT9" s="113"/>
      <c r="FWU9" s="113"/>
      <c r="FWV9" s="113"/>
      <c r="FWW9" s="113"/>
      <c r="FWX9" s="113"/>
      <c r="FWY9" s="113"/>
      <c r="FWZ9" s="113"/>
      <c r="FXA9" s="113"/>
      <c r="FXB9" s="113"/>
      <c r="FXC9" s="113"/>
      <c r="FXD9" s="113"/>
      <c r="FXE9" s="113"/>
      <c r="FXF9" s="113"/>
      <c r="FXG9" s="113"/>
      <c r="FXH9" s="113"/>
      <c r="FXI9" s="113"/>
      <c r="FXJ9" s="113"/>
      <c r="FXK9" s="113"/>
      <c r="FXL9" s="113"/>
      <c r="FXM9" s="113"/>
      <c r="FXN9" s="113"/>
      <c r="FXO9" s="113"/>
      <c r="FXP9" s="113"/>
      <c r="FXQ9" s="113"/>
      <c r="FXR9" s="113"/>
      <c r="FXS9" s="113"/>
      <c r="FXT9" s="113"/>
      <c r="FXU9" s="113"/>
      <c r="FXV9" s="113"/>
      <c r="FXW9" s="113"/>
      <c r="FXX9" s="113"/>
      <c r="FXY9" s="113"/>
      <c r="FXZ9" s="113"/>
      <c r="FYA9" s="113"/>
      <c r="FYB9" s="113"/>
      <c r="FYC9" s="113"/>
      <c r="FYD9" s="113"/>
      <c r="FYE9" s="113"/>
      <c r="FYF9" s="113"/>
      <c r="FYG9" s="113"/>
      <c r="FYH9" s="113"/>
      <c r="FYI9" s="113"/>
      <c r="FYJ9" s="113"/>
      <c r="FYK9" s="113"/>
      <c r="FYL9" s="113"/>
      <c r="FYM9" s="113"/>
      <c r="FYN9" s="113"/>
      <c r="FYO9" s="113"/>
      <c r="FYP9" s="113"/>
      <c r="FYQ9" s="113"/>
      <c r="FYR9" s="113"/>
      <c r="FYS9" s="113"/>
      <c r="FYT9" s="113"/>
      <c r="FYU9" s="113"/>
      <c r="FYV9" s="113"/>
      <c r="FYW9" s="113"/>
      <c r="FYX9" s="113"/>
      <c r="FYY9" s="113"/>
      <c r="FYZ9" s="113"/>
      <c r="FZA9" s="113"/>
      <c r="FZB9" s="113"/>
      <c r="FZC9" s="113"/>
      <c r="FZD9" s="113"/>
      <c r="FZE9" s="113"/>
      <c r="FZF9" s="113"/>
      <c r="FZG9" s="113"/>
      <c r="FZH9" s="113"/>
      <c r="FZI9" s="113"/>
      <c r="FZJ9" s="113"/>
      <c r="FZK9" s="113"/>
      <c r="FZL9" s="113"/>
      <c r="FZM9" s="113"/>
      <c r="FZN9" s="113"/>
      <c r="FZO9" s="113"/>
      <c r="FZP9" s="113"/>
      <c r="FZQ9" s="113"/>
      <c r="FZR9" s="113"/>
      <c r="FZS9" s="113"/>
      <c r="FZT9" s="113"/>
      <c r="FZU9" s="113"/>
      <c r="FZV9" s="113"/>
      <c r="FZW9" s="113"/>
      <c r="FZX9" s="113"/>
      <c r="FZY9" s="113"/>
      <c r="FZZ9" s="113"/>
      <c r="GAA9" s="113"/>
      <c r="GAB9" s="113"/>
      <c r="GAC9" s="113"/>
      <c r="GAD9" s="113"/>
      <c r="GAE9" s="113"/>
      <c r="GAF9" s="113"/>
      <c r="GAG9" s="113"/>
      <c r="GAH9" s="113"/>
      <c r="GAI9" s="113"/>
      <c r="GAJ9" s="113"/>
      <c r="GAK9" s="113"/>
      <c r="GAL9" s="113"/>
      <c r="GAM9" s="113"/>
      <c r="GAN9" s="113"/>
      <c r="GAO9" s="113"/>
      <c r="GAP9" s="113"/>
      <c r="GAQ9" s="113"/>
      <c r="GAR9" s="113"/>
      <c r="GAS9" s="113"/>
      <c r="GAT9" s="113"/>
      <c r="GAU9" s="113"/>
      <c r="GAV9" s="113"/>
      <c r="GAW9" s="113"/>
      <c r="GAX9" s="113"/>
      <c r="GAY9" s="113"/>
      <c r="GAZ9" s="113"/>
      <c r="GBA9" s="113"/>
      <c r="GBB9" s="113"/>
      <c r="GBC9" s="113"/>
      <c r="GBD9" s="113"/>
      <c r="GBE9" s="113"/>
      <c r="GBF9" s="113"/>
      <c r="GBG9" s="113"/>
      <c r="GBH9" s="113"/>
      <c r="GBI9" s="113"/>
      <c r="GBJ9" s="113"/>
      <c r="GBK9" s="113"/>
      <c r="GBL9" s="113"/>
      <c r="GBM9" s="113"/>
      <c r="GBN9" s="113"/>
      <c r="GBO9" s="113"/>
      <c r="GBP9" s="113"/>
      <c r="GBQ9" s="113"/>
      <c r="GBR9" s="113"/>
      <c r="GBS9" s="113"/>
      <c r="GBT9" s="113"/>
      <c r="GBU9" s="113"/>
      <c r="GBV9" s="113"/>
      <c r="GBW9" s="113"/>
      <c r="GBX9" s="113"/>
      <c r="GBY9" s="113"/>
      <c r="GBZ9" s="113"/>
      <c r="GCA9" s="113"/>
      <c r="GCB9" s="113"/>
      <c r="GCC9" s="113"/>
      <c r="GCD9" s="113"/>
      <c r="GCE9" s="113"/>
      <c r="GCF9" s="113"/>
      <c r="GCG9" s="113"/>
      <c r="GCH9" s="113"/>
      <c r="GCI9" s="113"/>
      <c r="GCJ9" s="113"/>
      <c r="GCK9" s="113"/>
      <c r="GCL9" s="113"/>
      <c r="GCM9" s="113"/>
      <c r="GCN9" s="113"/>
      <c r="GCO9" s="113"/>
      <c r="GCP9" s="113"/>
      <c r="GCQ9" s="113"/>
      <c r="GCR9" s="113"/>
      <c r="GCS9" s="113"/>
      <c r="GCT9" s="113"/>
      <c r="GCU9" s="113"/>
      <c r="GCV9" s="113"/>
      <c r="GCW9" s="113"/>
      <c r="GCX9" s="113"/>
      <c r="GCY9" s="113"/>
      <c r="GCZ9" s="113"/>
      <c r="GDA9" s="113"/>
      <c r="GDB9" s="113"/>
      <c r="GDC9" s="113"/>
      <c r="GDD9" s="113"/>
      <c r="GDE9" s="113"/>
      <c r="GDF9" s="113"/>
      <c r="GDG9" s="113"/>
      <c r="GDH9" s="113"/>
      <c r="GDI9" s="113"/>
      <c r="GDJ9" s="113"/>
      <c r="GDK9" s="113"/>
      <c r="GDL9" s="113"/>
      <c r="GDM9" s="113"/>
      <c r="GDN9" s="113"/>
      <c r="GDO9" s="113"/>
      <c r="GDP9" s="113"/>
      <c r="GDQ9" s="113"/>
      <c r="GDR9" s="113"/>
      <c r="GDS9" s="113"/>
      <c r="GDT9" s="113"/>
      <c r="GDU9" s="113"/>
      <c r="GDV9" s="113"/>
      <c r="GDW9" s="113"/>
      <c r="GDX9" s="113"/>
      <c r="GDY9" s="113"/>
      <c r="GDZ9" s="113"/>
      <c r="GEA9" s="113"/>
      <c r="GEB9" s="113"/>
      <c r="GEC9" s="113"/>
      <c r="GED9" s="113"/>
      <c r="GEE9" s="113"/>
      <c r="GEF9" s="113"/>
      <c r="GEG9" s="113"/>
      <c r="GEH9" s="113"/>
      <c r="GEI9" s="113"/>
      <c r="GEJ9" s="113"/>
      <c r="GEK9" s="113"/>
      <c r="GEL9" s="113"/>
      <c r="GEM9" s="113"/>
      <c r="GEN9" s="113"/>
      <c r="GEO9" s="113"/>
      <c r="GEP9" s="113"/>
      <c r="GEQ9" s="113"/>
      <c r="GER9" s="113"/>
      <c r="GES9" s="113"/>
      <c r="GET9" s="113"/>
      <c r="GEU9" s="113"/>
      <c r="GEV9" s="113"/>
      <c r="GEW9" s="113"/>
      <c r="GEX9" s="113"/>
      <c r="GEY9" s="113"/>
      <c r="GEZ9" s="113"/>
      <c r="GFA9" s="113"/>
      <c r="GFB9" s="113"/>
      <c r="GFC9" s="113"/>
      <c r="GFD9" s="113"/>
      <c r="GFE9" s="113"/>
      <c r="GFF9" s="113"/>
      <c r="GFG9" s="113"/>
      <c r="GFH9" s="113"/>
      <c r="GFI9" s="113"/>
      <c r="GFJ9" s="113"/>
      <c r="GFK9" s="113"/>
      <c r="GFL9" s="113"/>
      <c r="GFM9" s="113"/>
      <c r="GFN9" s="113"/>
      <c r="GFO9" s="113"/>
      <c r="GFP9" s="113"/>
      <c r="GFQ9" s="113"/>
      <c r="GFR9" s="113"/>
      <c r="GFS9" s="113"/>
      <c r="GFT9" s="113"/>
      <c r="GFU9" s="113"/>
      <c r="GFV9" s="113"/>
      <c r="GFW9" s="113"/>
      <c r="GFX9" s="113"/>
      <c r="GFY9" s="113"/>
      <c r="GFZ9" s="113"/>
      <c r="GGA9" s="113"/>
      <c r="GGB9" s="113"/>
      <c r="GGC9" s="113"/>
      <c r="GGD9" s="113"/>
      <c r="GGE9" s="113"/>
      <c r="GGF9" s="113"/>
      <c r="GGG9" s="113"/>
      <c r="GGH9" s="113"/>
      <c r="GGI9" s="113"/>
      <c r="GGJ9" s="113"/>
      <c r="GGK9" s="113"/>
      <c r="GGL9" s="113"/>
      <c r="GGM9" s="113"/>
      <c r="GGN9" s="113"/>
      <c r="GGO9" s="113"/>
      <c r="GGP9" s="113"/>
      <c r="GGQ9" s="113"/>
      <c r="GGR9" s="113"/>
      <c r="GGS9" s="113"/>
      <c r="GGT9" s="113"/>
      <c r="GGU9" s="113"/>
      <c r="GGV9" s="113"/>
      <c r="GGW9" s="113"/>
      <c r="GGX9" s="113"/>
      <c r="GGY9" s="113"/>
      <c r="GGZ9" s="113"/>
      <c r="GHA9" s="113"/>
      <c r="GHB9" s="113"/>
      <c r="GHC9" s="113"/>
      <c r="GHD9" s="113"/>
      <c r="GHE9" s="113"/>
      <c r="GHF9" s="113"/>
      <c r="GHG9" s="113"/>
      <c r="GHH9" s="113"/>
      <c r="GHI9" s="113"/>
      <c r="GHJ9" s="113"/>
      <c r="GHK9" s="113"/>
      <c r="GHL9" s="113"/>
      <c r="GHM9" s="113"/>
      <c r="GHN9" s="113"/>
      <c r="GHO9" s="113"/>
      <c r="GHP9" s="113"/>
      <c r="GHQ9" s="113"/>
      <c r="GHR9" s="113"/>
      <c r="GHS9" s="113"/>
      <c r="GHT9" s="113"/>
      <c r="GHU9" s="113"/>
      <c r="GHV9" s="113"/>
      <c r="GHW9" s="113"/>
      <c r="GHX9" s="113"/>
      <c r="GHY9" s="113"/>
      <c r="GHZ9" s="113"/>
      <c r="GIA9" s="113"/>
      <c r="GIB9" s="113"/>
      <c r="GIC9" s="113"/>
      <c r="GID9" s="113"/>
      <c r="GIE9" s="113"/>
      <c r="GIF9" s="113"/>
      <c r="GIG9" s="113"/>
      <c r="GIH9" s="113"/>
      <c r="GII9" s="113"/>
      <c r="GIJ9" s="113"/>
      <c r="GIK9" s="113"/>
      <c r="GIL9" s="113"/>
      <c r="GIM9" s="113"/>
      <c r="GIN9" s="113"/>
      <c r="GIO9" s="113"/>
      <c r="GIP9" s="113"/>
      <c r="GIQ9" s="113"/>
      <c r="GIR9" s="113"/>
      <c r="GIS9" s="113"/>
      <c r="GIT9" s="113"/>
      <c r="GIU9" s="113"/>
      <c r="GIV9" s="113"/>
      <c r="GIW9" s="113"/>
      <c r="GIX9" s="113"/>
      <c r="GIY9" s="113"/>
      <c r="GIZ9" s="113"/>
      <c r="GJA9" s="113"/>
      <c r="GJB9" s="113"/>
      <c r="GJC9" s="113"/>
      <c r="GJD9" s="113"/>
      <c r="GJE9" s="113"/>
      <c r="GJF9" s="113"/>
      <c r="GJG9" s="113"/>
      <c r="GJH9" s="113"/>
      <c r="GJI9" s="113"/>
      <c r="GJJ9" s="113"/>
      <c r="GJK9" s="113"/>
      <c r="GJL9" s="113"/>
      <c r="GJM9" s="113"/>
      <c r="GJN9" s="113"/>
      <c r="GJO9" s="113"/>
      <c r="GJP9" s="113"/>
      <c r="GJQ9" s="113"/>
      <c r="GJR9" s="113"/>
      <c r="GJS9" s="113"/>
      <c r="GJT9" s="113"/>
      <c r="GJU9" s="113"/>
      <c r="GJV9" s="113"/>
      <c r="GJW9" s="113"/>
      <c r="GJX9" s="113"/>
      <c r="GJY9" s="113"/>
      <c r="GJZ9" s="113"/>
      <c r="GKA9" s="113"/>
      <c r="GKB9" s="113"/>
      <c r="GKC9" s="113"/>
      <c r="GKD9" s="113"/>
      <c r="GKE9" s="113"/>
      <c r="GKF9" s="113"/>
      <c r="GKG9" s="113"/>
      <c r="GKH9" s="113"/>
      <c r="GKI9" s="113"/>
      <c r="GKJ9" s="113"/>
      <c r="GKK9" s="113"/>
      <c r="GKL9" s="113"/>
      <c r="GKM9" s="113"/>
      <c r="GKN9" s="113"/>
      <c r="GKO9" s="113"/>
      <c r="GKP9" s="113"/>
      <c r="GKQ9" s="113"/>
      <c r="GKR9" s="113"/>
      <c r="GKS9" s="113"/>
      <c r="GKT9" s="113"/>
      <c r="GKU9" s="113"/>
      <c r="GKV9" s="113"/>
      <c r="GKW9" s="113"/>
      <c r="GKX9" s="113"/>
      <c r="GKY9" s="113"/>
      <c r="GKZ9" s="113"/>
      <c r="GLA9" s="113"/>
      <c r="GLB9" s="113"/>
      <c r="GLC9" s="113"/>
      <c r="GLD9" s="113"/>
      <c r="GLE9" s="113"/>
      <c r="GLF9" s="113"/>
      <c r="GLG9" s="113"/>
      <c r="GLH9" s="113"/>
      <c r="GLI9" s="113"/>
      <c r="GLJ9" s="113"/>
      <c r="GLK9" s="113"/>
      <c r="GLL9" s="113"/>
      <c r="GLM9" s="113"/>
      <c r="GLN9" s="113"/>
      <c r="GLO9" s="113"/>
      <c r="GLP9" s="113"/>
      <c r="GLQ9" s="113"/>
      <c r="GLR9" s="113"/>
      <c r="GLS9" s="113"/>
      <c r="GLT9" s="113"/>
      <c r="GLU9" s="113"/>
      <c r="GLV9" s="113"/>
      <c r="GLW9" s="113"/>
      <c r="GLX9" s="113"/>
      <c r="GLY9" s="113"/>
      <c r="GLZ9" s="113"/>
      <c r="GMA9" s="113"/>
      <c r="GMB9" s="113"/>
      <c r="GMC9" s="113"/>
      <c r="GMD9" s="113"/>
      <c r="GME9" s="113"/>
      <c r="GMF9" s="113"/>
      <c r="GMG9" s="113"/>
      <c r="GMH9" s="113"/>
      <c r="GMI9" s="113"/>
      <c r="GMJ9" s="113"/>
      <c r="GMK9" s="113"/>
      <c r="GML9" s="113"/>
      <c r="GMM9" s="113"/>
      <c r="GMN9" s="113"/>
      <c r="GMO9" s="113"/>
      <c r="GMP9" s="113"/>
      <c r="GMQ9" s="113"/>
      <c r="GMR9" s="113"/>
      <c r="GMS9" s="113"/>
      <c r="GMT9" s="113"/>
      <c r="GMU9" s="113"/>
      <c r="GMV9" s="113"/>
      <c r="GMW9" s="113"/>
      <c r="GMX9" s="113"/>
      <c r="GMY9" s="113"/>
      <c r="GMZ9" s="113"/>
      <c r="GNA9" s="113"/>
      <c r="GNB9" s="113"/>
      <c r="GNC9" s="113"/>
      <c r="GND9" s="113"/>
      <c r="GNE9" s="113"/>
      <c r="GNF9" s="113"/>
      <c r="GNG9" s="113"/>
      <c r="GNH9" s="113"/>
      <c r="GNI9" s="113"/>
      <c r="GNJ9" s="113"/>
      <c r="GNK9" s="113"/>
      <c r="GNL9" s="113"/>
      <c r="GNM9" s="113"/>
      <c r="GNN9" s="113"/>
      <c r="GNO9" s="113"/>
      <c r="GNP9" s="113"/>
      <c r="GNQ9" s="113"/>
      <c r="GNR9" s="113"/>
      <c r="GNS9" s="113"/>
      <c r="GNT9" s="113"/>
      <c r="GNU9" s="113"/>
      <c r="GNV9" s="113"/>
      <c r="GNW9" s="113"/>
      <c r="GNX9" s="113"/>
      <c r="GNY9" s="113"/>
      <c r="GNZ9" s="113"/>
      <c r="GOA9" s="113"/>
      <c r="GOB9" s="113"/>
      <c r="GOC9" s="113"/>
      <c r="GOD9" s="113"/>
      <c r="GOE9" s="113"/>
      <c r="GOF9" s="113"/>
      <c r="GOG9" s="113"/>
      <c r="GOH9" s="113"/>
      <c r="GOI9" s="113"/>
      <c r="GOJ9" s="113"/>
      <c r="GOK9" s="113"/>
      <c r="GOL9" s="113"/>
      <c r="GOM9" s="113"/>
      <c r="GON9" s="113"/>
      <c r="GOO9" s="113"/>
      <c r="GOP9" s="113"/>
      <c r="GOQ9" s="113"/>
      <c r="GOR9" s="113"/>
      <c r="GOS9" s="113"/>
      <c r="GOT9" s="113"/>
      <c r="GOU9" s="113"/>
      <c r="GOV9" s="113"/>
      <c r="GOW9" s="113"/>
      <c r="GOX9" s="113"/>
      <c r="GOY9" s="113"/>
      <c r="GOZ9" s="113"/>
      <c r="GPA9" s="113"/>
      <c r="GPB9" s="113"/>
      <c r="GPC9" s="113"/>
      <c r="GPD9" s="113"/>
      <c r="GPE9" s="113"/>
      <c r="GPF9" s="113"/>
      <c r="GPG9" s="113"/>
      <c r="GPH9" s="113"/>
      <c r="GPI9" s="113"/>
      <c r="GPJ9" s="113"/>
      <c r="GPK9" s="113"/>
      <c r="GPL9" s="113"/>
      <c r="GPM9" s="113"/>
      <c r="GPN9" s="113"/>
      <c r="GPO9" s="113"/>
      <c r="GPP9" s="113"/>
      <c r="GPQ9" s="113"/>
      <c r="GPR9" s="113"/>
      <c r="GPS9" s="113"/>
      <c r="GPT9" s="113"/>
      <c r="GPU9" s="113"/>
      <c r="GPV9" s="113"/>
      <c r="GPW9" s="113"/>
      <c r="GPX9" s="113"/>
      <c r="GPY9" s="113"/>
      <c r="GPZ9" s="113"/>
      <c r="GQA9" s="113"/>
      <c r="GQB9" s="113"/>
      <c r="GQC9" s="113"/>
      <c r="GQD9" s="113"/>
      <c r="GQE9" s="113"/>
      <c r="GQF9" s="113"/>
      <c r="GQG9" s="113"/>
      <c r="GQH9" s="113"/>
      <c r="GQI9" s="113"/>
      <c r="GQJ9" s="113"/>
      <c r="GQK9" s="113"/>
      <c r="GQL9" s="113"/>
      <c r="GQM9" s="113"/>
      <c r="GQN9" s="113"/>
      <c r="GQO9" s="113"/>
      <c r="GQP9" s="113"/>
      <c r="GQQ9" s="113"/>
      <c r="GQR9" s="113"/>
      <c r="GQS9" s="113"/>
      <c r="GQT9" s="113"/>
      <c r="GQU9" s="113"/>
      <c r="GQV9" s="113"/>
      <c r="GQW9" s="113"/>
      <c r="GQX9" s="113"/>
      <c r="GQY9" s="113"/>
      <c r="GQZ9" s="113"/>
      <c r="GRA9" s="113"/>
      <c r="GRB9" s="113"/>
      <c r="GRC9" s="113"/>
      <c r="GRD9" s="113"/>
      <c r="GRE9" s="113"/>
      <c r="GRF9" s="113"/>
      <c r="GRG9" s="113"/>
      <c r="GRH9" s="113"/>
      <c r="GRI9" s="113"/>
      <c r="GRJ9" s="113"/>
      <c r="GRK9" s="113"/>
      <c r="GRL9" s="113"/>
      <c r="GRM9" s="113"/>
      <c r="GRN9" s="113"/>
      <c r="GRO9" s="113"/>
      <c r="GRP9" s="113"/>
      <c r="GRQ9" s="113"/>
      <c r="GRR9" s="113"/>
      <c r="GRS9" s="113"/>
      <c r="GRT9" s="113"/>
      <c r="GRU9" s="113"/>
      <c r="GRV9" s="113"/>
      <c r="GRW9" s="113"/>
      <c r="GRX9" s="113"/>
      <c r="GRY9" s="113"/>
      <c r="GRZ9" s="113"/>
      <c r="GSA9" s="113"/>
      <c r="GSB9" s="113"/>
      <c r="GSC9" s="113"/>
      <c r="GSD9" s="113"/>
      <c r="GSE9" s="113"/>
      <c r="GSF9" s="113"/>
      <c r="GSG9" s="113"/>
      <c r="GSH9" s="113"/>
      <c r="GSI9" s="113"/>
      <c r="GSJ9" s="113"/>
      <c r="GSK9" s="113"/>
      <c r="GSL9" s="113"/>
      <c r="GSM9" s="113"/>
      <c r="GSN9" s="113"/>
      <c r="GSO9" s="113"/>
      <c r="GSP9" s="113"/>
      <c r="GSQ9" s="113"/>
      <c r="GSR9" s="113"/>
      <c r="GSS9" s="113"/>
      <c r="GST9" s="113"/>
      <c r="GSU9" s="113"/>
      <c r="GSV9" s="113"/>
      <c r="GSW9" s="113"/>
      <c r="GSX9" s="113"/>
      <c r="GSY9" s="113"/>
      <c r="GSZ9" s="113"/>
      <c r="GTA9" s="113"/>
      <c r="GTB9" s="113"/>
      <c r="GTC9" s="113"/>
      <c r="GTD9" s="113"/>
      <c r="GTE9" s="113"/>
      <c r="GTF9" s="113"/>
      <c r="GTG9" s="113"/>
      <c r="GTH9" s="113"/>
      <c r="GTI9" s="113"/>
      <c r="GTJ9" s="113"/>
      <c r="GTK9" s="113"/>
      <c r="GTL9" s="113"/>
      <c r="GTM9" s="113"/>
      <c r="GTN9" s="113"/>
      <c r="GTO9" s="113"/>
      <c r="GTP9" s="113"/>
      <c r="GTQ9" s="113"/>
      <c r="GTR9" s="113"/>
      <c r="GTS9" s="113"/>
      <c r="GTT9" s="113"/>
      <c r="GTU9" s="113"/>
      <c r="GTV9" s="113"/>
      <c r="GTW9" s="113"/>
      <c r="GTX9" s="113"/>
      <c r="GTY9" s="113"/>
      <c r="GTZ9" s="113"/>
      <c r="GUA9" s="113"/>
      <c r="GUB9" s="113"/>
      <c r="GUC9" s="113"/>
      <c r="GUD9" s="113"/>
      <c r="GUE9" s="113"/>
      <c r="GUF9" s="113"/>
      <c r="GUG9" s="113"/>
      <c r="GUH9" s="113"/>
      <c r="GUI9" s="113"/>
      <c r="GUJ9" s="113"/>
      <c r="GUK9" s="113"/>
      <c r="GUL9" s="113"/>
      <c r="GUM9" s="113"/>
      <c r="GUN9" s="113"/>
      <c r="GUO9" s="113"/>
      <c r="GUP9" s="113"/>
      <c r="GUQ9" s="113"/>
      <c r="GUR9" s="113"/>
      <c r="GUS9" s="113"/>
      <c r="GUT9" s="113"/>
      <c r="GUU9" s="113"/>
      <c r="GUV9" s="113"/>
      <c r="GUW9" s="113"/>
      <c r="GUX9" s="113"/>
      <c r="GUY9" s="113"/>
      <c r="GUZ9" s="113"/>
      <c r="GVA9" s="113"/>
      <c r="GVB9" s="113"/>
      <c r="GVC9" s="113"/>
      <c r="GVD9" s="113"/>
      <c r="GVE9" s="113"/>
      <c r="GVF9" s="113"/>
      <c r="GVG9" s="113"/>
      <c r="GVH9" s="113"/>
      <c r="GVI9" s="113"/>
      <c r="GVJ9" s="113"/>
      <c r="GVK9" s="113"/>
      <c r="GVL9" s="113"/>
      <c r="GVM9" s="113"/>
      <c r="GVN9" s="113"/>
      <c r="GVO9" s="113"/>
      <c r="GVP9" s="113"/>
      <c r="GVQ9" s="113"/>
      <c r="GVR9" s="113"/>
      <c r="GVS9" s="113"/>
      <c r="GVT9" s="113"/>
      <c r="GVU9" s="113"/>
      <c r="GVV9" s="113"/>
      <c r="GVW9" s="113"/>
      <c r="GVX9" s="113"/>
      <c r="GVY9" s="113"/>
      <c r="GVZ9" s="113"/>
      <c r="GWA9" s="113"/>
      <c r="GWB9" s="113"/>
      <c r="GWC9" s="113"/>
      <c r="GWD9" s="113"/>
      <c r="GWE9" s="113"/>
      <c r="GWF9" s="113"/>
      <c r="GWG9" s="113"/>
      <c r="GWH9" s="113"/>
      <c r="GWI9" s="113"/>
      <c r="GWJ9" s="113"/>
      <c r="GWK9" s="113"/>
      <c r="GWL9" s="113"/>
      <c r="GWM9" s="113"/>
      <c r="GWN9" s="113"/>
      <c r="GWO9" s="113"/>
      <c r="GWP9" s="113"/>
      <c r="GWQ9" s="113"/>
      <c r="GWR9" s="113"/>
      <c r="GWS9" s="113"/>
      <c r="GWT9" s="113"/>
      <c r="GWU9" s="113"/>
      <c r="GWV9" s="113"/>
      <c r="GWW9" s="113"/>
      <c r="GWX9" s="113"/>
      <c r="GWY9" s="113"/>
      <c r="GWZ9" s="113"/>
      <c r="GXA9" s="113"/>
      <c r="GXB9" s="113"/>
      <c r="GXC9" s="113"/>
      <c r="GXD9" s="113"/>
      <c r="GXE9" s="113"/>
      <c r="GXF9" s="113"/>
      <c r="GXG9" s="113"/>
      <c r="GXH9" s="113"/>
      <c r="GXI9" s="113"/>
      <c r="GXJ9" s="113"/>
      <c r="GXK9" s="113"/>
      <c r="GXL9" s="113"/>
      <c r="GXM9" s="113"/>
      <c r="GXN9" s="113"/>
      <c r="GXO9" s="113"/>
      <c r="GXP9" s="113"/>
      <c r="GXQ9" s="113"/>
      <c r="GXR9" s="113"/>
      <c r="GXS9" s="113"/>
      <c r="GXT9" s="113"/>
      <c r="GXU9" s="113"/>
      <c r="GXV9" s="113"/>
      <c r="GXW9" s="113"/>
      <c r="GXX9" s="113"/>
      <c r="GXY9" s="113"/>
      <c r="GXZ9" s="113"/>
      <c r="GYA9" s="113"/>
      <c r="GYB9" s="113"/>
      <c r="GYC9" s="113"/>
      <c r="GYD9" s="113"/>
      <c r="GYE9" s="113"/>
      <c r="GYF9" s="113"/>
      <c r="GYG9" s="113"/>
      <c r="GYH9" s="113"/>
      <c r="GYI9" s="113"/>
      <c r="GYJ9" s="113"/>
      <c r="GYK9" s="113"/>
      <c r="GYL9" s="113"/>
      <c r="GYM9" s="113"/>
      <c r="GYN9" s="113"/>
      <c r="GYO9" s="113"/>
      <c r="GYP9" s="113"/>
      <c r="GYQ9" s="113"/>
      <c r="GYR9" s="113"/>
      <c r="GYS9" s="113"/>
      <c r="GYT9" s="113"/>
      <c r="GYU9" s="113"/>
      <c r="GYV9" s="113"/>
      <c r="GYW9" s="113"/>
      <c r="GYX9" s="113"/>
      <c r="GYY9" s="113"/>
      <c r="GYZ9" s="113"/>
      <c r="GZA9" s="113"/>
      <c r="GZB9" s="113"/>
      <c r="GZC9" s="113"/>
      <c r="GZD9" s="113"/>
      <c r="GZE9" s="113"/>
      <c r="GZF9" s="113"/>
      <c r="GZG9" s="113"/>
      <c r="GZH9" s="113"/>
      <c r="GZI9" s="113"/>
      <c r="GZJ9" s="113"/>
      <c r="GZK9" s="113"/>
      <c r="GZL9" s="113"/>
      <c r="GZM9" s="113"/>
      <c r="GZN9" s="113"/>
      <c r="GZO9" s="113"/>
      <c r="GZP9" s="113"/>
      <c r="GZQ9" s="113"/>
      <c r="GZR9" s="113"/>
      <c r="GZS9" s="113"/>
      <c r="GZT9" s="113"/>
      <c r="GZU9" s="113"/>
      <c r="GZV9" s="113"/>
      <c r="GZW9" s="113"/>
      <c r="GZX9" s="113"/>
      <c r="GZY9" s="113"/>
      <c r="GZZ9" s="113"/>
      <c r="HAA9" s="113"/>
      <c r="HAB9" s="113"/>
      <c r="HAC9" s="113"/>
      <c r="HAD9" s="113"/>
      <c r="HAE9" s="113"/>
      <c r="HAF9" s="113"/>
      <c r="HAG9" s="113"/>
      <c r="HAH9" s="113"/>
      <c r="HAI9" s="113"/>
      <c r="HAJ9" s="113"/>
      <c r="HAK9" s="113"/>
      <c r="HAL9" s="113"/>
      <c r="HAM9" s="113"/>
      <c r="HAN9" s="113"/>
      <c r="HAO9" s="113"/>
      <c r="HAP9" s="113"/>
      <c r="HAQ9" s="113"/>
      <c r="HAR9" s="113"/>
      <c r="HAS9" s="113"/>
      <c r="HAT9" s="113"/>
      <c r="HAU9" s="113"/>
      <c r="HAV9" s="113"/>
      <c r="HAW9" s="113"/>
      <c r="HAX9" s="113"/>
      <c r="HAY9" s="113"/>
      <c r="HAZ9" s="113"/>
      <c r="HBA9" s="113"/>
      <c r="HBB9" s="113"/>
      <c r="HBC9" s="113"/>
      <c r="HBD9" s="113"/>
      <c r="HBE9" s="113"/>
      <c r="HBF9" s="113"/>
      <c r="HBG9" s="113"/>
      <c r="HBH9" s="113"/>
      <c r="HBI9" s="113"/>
      <c r="HBJ9" s="113"/>
      <c r="HBK9" s="113"/>
      <c r="HBL9" s="113"/>
      <c r="HBM9" s="113"/>
      <c r="HBN9" s="113"/>
      <c r="HBO9" s="113"/>
      <c r="HBP9" s="113"/>
      <c r="HBQ9" s="113"/>
      <c r="HBR9" s="113"/>
      <c r="HBS9" s="113"/>
      <c r="HBT9" s="113"/>
      <c r="HBU9" s="113"/>
      <c r="HBV9" s="113"/>
      <c r="HBW9" s="113"/>
      <c r="HBX9" s="113"/>
      <c r="HBY9" s="113"/>
      <c r="HBZ9" s="113"/>
      <c r="HCA9" s="113"/>
      <c r="HCB9" s="113"/>
      <c r="HCC9" s="113"/>
      <c r="HCD9" s="113"/>
      <c r="HCE9" s="113"/>
      <c r="HCF9" s="113"/>
      <c r="HCG9" s="113"/>
      <c r="HCH9" s="113"/>
      <c r="HCI9" s="113"/>
      <c r="HCJ9" s="113"/>
      <c r="HCK9" s="113"/>
      <c r="HCL9" s="113"/>
      <c r="HCM9" s="113"/>
      <c r="HCN9" s="113"/>
      <c r="HCO9" s="113"/>
      <c r="HCP9" s="113"/>
      <c r="HCQ9" s="113"/>
      <c r="HCR9" s="113"/>
      <c r="HCS9" s="113"/>
      <c r="HCT9" s="113"/>
      <c r="HCU9" s="113"/>
      <c r="HCV9" s="113"/>
      <c r="HCW9" s="113"/>
      <c r="HCX9" s="113"/>
      <c r="HCY9" s="113"/>
      <c r="HCZ9" s="113"/>
      <c r="HDA9" s="113"/>
      <c r="HDB9" s="113"/>
      <c r="HDC9" s="113"/>
      <c r="HDD9" s="113"/>
      <c r="HDE9" s="113"/>
      <c r="HDF9" s="113"/>
      <c r="HDG9" s="113"/>
      <c r="HDH9" s="113"/>
      <c r="HDI9" s="113"/>
      <c r="HDJ9" s="113"/>
      <c r="HDK9" s="113"/>
      <c r="HDL9" s="113"/>
      <c r="HDM9" s="113"/>
      <c r="HDN9" s="113"/>
      <c r="HDO9" s="113"/>
      <c r="HDP9" s="113"/>
      <c r="HDQ9" s="113"/>
      <c r="HDR9" s="113"/>
      <c r="HDS9" s="113"/>
      <c r="HDT9" s="113"/>
      <c r="HDU9" s="113"/>
      <c r="HDV9" s="113"/>
      <c r="HDW9" s="113"/>
      <c r="HDX9" s="113"/>
      <c r="HDY9" s="113"/>
      <c r="HDZ9" s="113"/>
      <c r="HEA9" s="113"/>
      <c r="HEB9" s="113"/>
      <c r="HEC9" s="113"/>
      <c r="HED9" s="113"/>
      <c r="HEE9" s="113"/>
      <c r="HEF9" s="113"/>
      <c r="HEG9" s="113"/>
      <c r="HEH9" s="113"/>
      <c r="HEI9" s="113"/>
      <c r="HEJ9" s="113"/>
      <c r="HEK9" s="113"/>
      <c r="HEL9" s="113"/>
      <c r="HEM9" s="113"/>
      <c r="HEN9" s="113"/>
      <c r="HEO9" s="113"/>
      <c r="HEP9" s="113"/>
      <c r="HEQ9" s="113"/>
      <c r="HER9" s="113"/>
      <c r="HES9" s="113"/>
      <c r="HET9" s="113"/>
      <c r="HEU9" s="113"/>
      <c r="HEV9" s="113"/>
      <c r="HEW9" s="113"/>
      <c r="HEX9" s="113"/>
      <c r="HEY9" s="113"/>
      <c r="HEZ9" s="113"/>
      <c r="HFA9" s="113"/>
      <c r="HFB9" s="113"/>
      <c r="HFC9" s="113"/>
      <c r="HFD9" s="113"/>
      <c r="HFE9" s="113"/>
      <c r="HFF9" s="113"/>
      <c r="HFG9" s="113"/>
      <c r="HFH9" s="113"/>
      <c r="HFI9" s="113"/>
      <c r="HFJ9" s="113"/>
      <c r="HFK9" s="113"/>
      <c r="HFL9" s="113"/>
      <c r="HFM9" s="113"/>
      <c r="HFN9" s="113"/>
      <c r="HFO9" s="113"/>
      <c r="HFP9" s="113"/>
      <c r="HFQ9" s="113"/>
      <c r="HFR9" s="113"/>
      <c r="HFS9" s="113"/>
      <c r="HFT9" s="113"/>
      <c r="HFU9" s="113"/>
      <c r="HFV9" s="113"/>
      <c r="HFW9" s="113"/>
      <c r="HFX9" s="113"/>
      <c r="HFY9" s="113"/>
      <c r="HFZ9" s="113"/>
      <c r="HGA9" s="113"/>
      <c r="HGB9" s="113"/>
      <c r="HGC9" s="113"/>
      <c r="HGD9" s="113"/>
      <c r="HGE9" s="113"/>
      <c r="HGF9" s="113"/>
      <c r="HGG9" s="113"/>
      <c r="HGH9" s="113"/>
      <c r="HGI9" s="113"/>
      <c r="HGJ9" s="113"/>
      <c r="HGK9" s="113"/>
      <c r="HGL9" s="113"/>
      <c r="HGM9" s="113"/>
      <c r="HGN9" s="113"/>
      <c r="HGO9" s="113"/>
      <c r="HGP9" s="113"/>
      <c r="HGQ9" s="113"/>
      <c r="HGR9" s="113"/>
      <c r="HGS9" s="113"/>
      <c r="HGT9" s="113"/>
      <c r="HGU9" s="113"/>
      <c r="HGV9" s="113"/>
      <c r="HGW9" s="113"/>
      <c r="HGX9" s="113"/>
      <c r="HGY9" s="113"/>
      <c r="HGZ9" s="113"/>
      <c r="HHA9" s="113"/>
      <c r="HHB9" s="113"/>
      <c r="HHC9" s="113"/>
      <c r="HHD9" s="113"/>
      <c r="HHE9" s="113"/>
      <c r="HHF9" s="113"/>
      <c r="HHG9" s="113"/>
      <c r="HHH9" s="113"/>
      <c r="HHI9" s="113"/>
      <c r="HHJ9" s="113"/>
      <c r="HHK9" s="113"/>
      <c r="HHL9" s="113"/>
      <c r="HHM9" s="113"/>
      <c r="HHN9" s="113"/>
      <c r="HHO9" s="113"/>
      <c r="HHP9" s="113"/>
      <c r="HHQ9" s="113"/>
      <c r="HHR9" s="113"/>
      <c r="HHS9" s="113"/>
      <c r="HHT9" s="113"/>
      <c r="HHU9" s="113"/>
      <c r="HHV9" s="113"/>
      <c r="HHW9" s="113"/>
      <c r="HHX9" s="113"/>
      <c r="HHY9" s="113"/>
      <c r="HHZ9" s="113"/>
      <c r="HIA9" s="113"/>
      <c r="HIB9" s="113"/>
      <c r="HIC9" s="113"/>
      <c r="HID9" s="113"/>
      <c r="HIE9" s="113"/>
      <c r="HIF9" s="113"/>
      <c r="HIG9" s="113"/>
      <c r="HIH9" s="113"/>
      <c r="HII9" s="113"/>
      <c r="HIJ9" s="113"/>
      <c r="HIK9" s="113"/>
      <c r="HIL9" s="113"/>
      <c r="HIM9" s="113"/>
      <c r="HIN9" s="113"/>
      <c r="HIO9" s="113"/>
      <c r="HIP9" s="113"/>
      <c r="HIQ9" s="113"/>
      <c r="HIR9" s="113"/>
      <c r="HIS9" s="113"/>
      <c r="HIT9" s="113"/>
      <c r="HIU9" s="113"/>
      <c r="HIV9" s="113"/>
      <c r="HIW9" s="113"/>
      <c r="HIX9" s="113"/>
      <c r="HIY9" s="113"/>
      <c r="HIZ9" s="113"/>
      <c r="HJA9" s="113"/>
      <c r="HJB9" s="113"/>
      <c r="HJC9" s="113"/>
      <c r="HJD9" s="113"/>
      <c r="HJE9" s="113"/>
      <c r="HJF9" s="113"/>
      <c r="HJG9" s="113"/>
      <c r="HJH9" s="113"/>
      <c r="HJI9" s="113"/>
      <c r="HJJ9" s="113"/>
      <c r="HJK9" s="113"/>
      <c r="HJL9" s="113"/>
      <c r="HJM9" s="113"/>
      <c r="HJN9" s="113"/>
      <c r="HJO9" s="113"/>
      <c r="HJP9" s="113"/>
      <c r="HJQ9" s="113"/>
      <c r="HJR9" s="113"/>
      <c r="HJS9" s="113"/>
      <c r="HJT9" s="113"/>
      <c r="HJU9" s="113"/>
      <c r="HJV9" s="113"/>
      <c r="HJW9" s="113"/>
      <c r="HJX9" s="113"/>
      <c r="HJY9" s="113"/>
      <c r="HJZ9" s="113"/>
      <c r="HKA9" s="113"/>
      <c r="HKB9" s="113"/>
      <c r="HKC9" s="113"/>
      <c r="HKD9" s="113"/>
      <c r="HKE9" s="113"/>
      <c r="HKF9" s="113"/>
      <c r="HKG9" s="113"/>
      <c r="HKH9" s="113"/>
      <c r="HKI9" s="113"/>
      <c r="HKJ9" s="113"/>
      <c r="HKK9" s="113"/>
      <c r="HKL9" s="113"/>
      <c r="HKM9" s="113"/>
      <c r="HKN9" s="113"/>
      <c r="HKO9" s="113"/>
      <c r="HKP9" s="113"/>
      <c r="HKQ9" s="113"/>
      <c r="HKR9" s="113"/>
      <c r="HKS9" s="113"/>
      <c r="HKT9" s="113"/>
      <c r="HKU9" s="113"/>
      <c r="HKV9" s="113"/>
      <c r="HKW9" s="113"/>
      <c r="HKX9" s="113"/>
      <c r="HKY9" s="113"/>
      <c r="HKZ9" s="113"/>
      <c r="HLA9" s="113"/>
      <c r="HLB9" s="113"/>
      <c r="HLC9" s="113"/>
      <c r="HLD9" s="113"/>
      <c r="HLE9" s="113"/>
      <c r="HLF9" s="113"/>
      <c r="HLG9" s="113"/>
      <c r="HLH9" s="113"/>
      <c r="HLI9" s="113"/>
      <c r="HLJ9" s="113"/>
      <c r="HLK9" s="113"/>
      <c r="HLL9" s="113"/>
      <c r="HLM9" s="113"/>
      <c r="HLN9" s="113"/>
      <c r="HLO9" s="113"/>
      <c r="HLP9" s="113"/>
      <c r="HLQ9" s="113"/>
      <c r="HLR9" s="113"/>
      <c r="HLS9" s="113"/>
      <c r="HLT9" s="113"/>
      <c r="HLU9" s="113"/>
      <c r="HLV9" s="113"/>
      <c r="HLW9" s="113"/>
      <c r="HLX9" s="113"/>
      <c r="HLY9" s="113"/>
      <c r="HLZ9" s="113"/>
      <c r="HMA9" s="113"/>
      <c r="HMB9" s="113"/>
      <c r="HMC9" s="113"/>
      <c r="HMD9" s="113"/>
      <c r="HME9" s="113"/>
      <c r="HMF9" s="113"/>
      <c r="HMG9" s="113"/>
      <c r="HMH9" s="113"/>
      <c r="HMI9" s="113"/>
      <c r="HMJ9" s="113"/>
      <c r="HMK9" s="113"/>
      <c r="HML9" s="113"/>
      <c r="HMM9" s="113"/>
      <c r="HMN9" s="113"/>
      <c r="HMO9" s="113"/>
      <c r="HMP9" s="113"/>
      <c r="HMQ9" s="113"/>
      <c r="HMR9" s="113"/>
      <c r="HMS9" s="113"/>
      <c r="HMT9" s="113"/>
      <c r="HMU9" s="113"/>
      <c r="HMV9" s="113"/>
      <c r="HMW9" s="113"/>
      <c r="HMX9" s="113"/>
      <c r="HMY9" s="113"/>
      <c r="HMZ9" s="113"/>
      <c r="HNA9" s="113"/>
      <c r="HNB9" s="113"/>
      <c r="HNC9" s="113"/>
      <c r="HND9" s="113"/>
      <c r="HNE9" s="113"/>
      <c r="HNF9" s="113"/>
      <c r="HNG9" s="113"/>
      <c r="HNH9" s="113"/>
      <c r="HNI9" s="113"/>
      <c r="HNJ9" s="113"/>
      <c r="HNK9" s="113"/>
      <c r="HNL9" s="113"/>
      <c r="HNM9" s="113"/>
      <c r="HNN9" s="113"/>
      <c r="HNO9" s="113"/>
      <c r="HNP9" s="113"/>
      <c r="HNQ9" s="113"/>
      <c r="HNR9" s="113"/>
      <c r="HNS9" s="113"/>
      <c r="HNT9" s="113"/>
      <c r="HNU9" s="113"/>
      <c r="HNV9" s="113"/>
      <c r="HNW9" s="113"/>
      <c r="HNX9" s="113"/>
      <c r="HNY9" s="113"/>
      <c r="HNZ9" s="113"/>
      <c r="HOA9" s="113"/>
      <c r="HOB9" s="113"/>
      <c r="HOC9" s="113"/>
      <c r="HOD9" s="113"/>
      <c r="HOE9" s="113"/>
      <c r="HOF9" s="113"/>
      <c r="HOG9" s="113"/>
      <c r="HOH9" s="113"/>
      <c r="HOI9" s="113"/>
      <c r="HOJ9" s="113"/>
      <c r="HOK9" s="113"/>
      <c r="HOL9" s="113"/>
      <c r="HOM9" s="113"/>
      <c r="HON9" s="113"/>
      <c r="HOO9" s="113"/>
      <c r="HOP9" s="113"/>
      <c r="HOQ9" s="113"/>
      <c r="HOR9" s="113"/>
      <c r="HOS9" s="113"/>
      <c r="HOT9" s="113"/>
      <c r="HOU9" s="113"/>
      <c r="HOV9" s="113"/>
      <c r="HOW9" s="113"/>
      <c r="HOX9" s="113"/>
      <c r="HOY9" s="113"/>
      <c r="HOZ9" s="113"/>
      <c r="HPA9" s="113"/>
      <c r="HPB9" s="113"/>
      <c r="HPC9" s="113"/>
      <c r="HPD9" s="113"/>
      <c r="HPE9" s="113"/>
      <c r="HPF9" s="113"/>
      <c r="HPG9" s="113"/>
      <c r="HPH9" s="113"/>
      <c r="HPI9" s="113"/>
      <c r="HPJ9" s="113"/>
      <c r="HPK9" s="113"/>
      <c r="HPL9" s="113"/>
      <c r="HPM9" s="113"/>
      <c r="HPN9" s="113"/>
      <c r="HPO9" s="113"/>
      <c r="HPP9" s="113"/>
      <c r="HPQ9" s="113"/>
      <c r="HPR9" s="113"/>
      <c r="HPS9" s="113"/>
      <c r="HPT9" s="113"/>
      <c r="HPU9" s="113"/>
      <c r="HPV9" s="113"/>
      <c r="HPW9" s="113"/>
      <c r="HPX9" s="113"/>
      <c r="HPY9" s="113"/>
      <c r="HPZ9" s="113"/>
      <c r="HQA9" s="113"/>
      <c r="HQB9" s="113"/>
      <c r="HQC9" s="113"/>
      <c r="HQD9" s="113"/>
      <c r="HQE9" s="113"/>
      <c r="HQF9" s="113"/>
      <c r="HQG9" s="113"/>
      <c r="HQH9" s="113"/>
      <c r="HQI9" s="113"/>
      <c r="HQJ9" s="113"/>
      <c r="HQK9" s="113"/>
      <c r="HQL9" s="113"/>
      <c r="HQM9" s="113"/>
      <c r="HQN9" s="113"/>
      <c r="HQO9" s="113"/>
      <c r="HQP9" s="113"/>
      <c r="HQQ9" s="113"/>
      <c r="HQR9" s="113"/>
      <c r="HQS9" s="113"/>
      <c r="HQT9" s="113"/>
      <c r="HQU9" s="113"/>
      <c r="HQV9" s="113"/>
      <c r="HQW9" s="113"/>
      <c r="HQX9" s="113"/>
      <c r="HQY9" s="113"/>
      <c r="HQZ9" s="113"/>
      <c r="HRA9" s="113"/>
      <c r="HRB9" s="113"/>
      <c r="HRC9" s="113"/>
      <c r="HRD9" s="113"/>
      <c r="HRE9" s="113"/>
      <c r="HRF9" s="113"/>
      <c r="HRG9" s="113"/>
      <c r="HRH9" s="113"/>
      <c r="HRI9" s="113"/>
      <c r="HRJ9" s="113"/>
      <c r="HRK9" s="113"/>
      <c r="HRL9" s="113"/>
      <c r="HRM9" s="113"/>
      <c r="HRN9" s="113"/>
      <c r="HRO9" s="113"/>
      <c r="HRP9" s="113"/>
      <c r="HRQ9" s="113"/>
      <c r="HRR9" s="113"/>
      <c r="HRS9" s="113"/>
      <c r="HRT9" s="113"/>
      <c r="HRU9" s="113"/>
      <c r="HRV9" s="113"/>
      <c r="HRW9" s="113"/>
      <c r="HRX9" s="113"/>
      <c r="HRY9" s="113"/>
      <c r="HRZ9" s="113"/>
      <c r="HSA9" s="113"/>
      <c r="HSB9" s="113"/>
      <c r="HSC9" s="113"/>
      <c r="HSD9" s="113"/>
      <c r="HSE9" s="113"/>
      <c r="HSF9" s="113"/>
      <c r="HSG9" s="113"/>
      <c r="HSH9" s="113"/>
      <c r="HSI9" s="113"/>
      <c r="HSJ9" s="113"/>
      <c r="HSK9" s="113"/>
      <c r="HSL9" s="113"/>
      <c r="HSM9" s="113"/>
      <c r="HSN9" s="113"/>
      <c r="HSO9" s="113"/>
      <c r="HSP9" s="113"/>
      <c r="HSQ9" s="113"/>
      <c r="HSR9" s="113"/>
      <c r="HSS9" s="113"/>
      <c r="HST9" s="113"/>
      <c r="HSU9" s="113"/>
      <c r="HSV9" s="113"/>
      <c r="HSW9" s="113"/>
      <c r="HSX9" s="113"/>
      <c r="HSY9" s="113"/>
      <c r="HSZ9" s="113"/>
      <c r="HTA9" s="113"/>
      <c r="HTB9" s="113"/>
      <c r="HTC9" s="113"/>
      <c r="HTD9" s="113"/>
      <c r="HTE9" s="113"/>
      <c r="HTF9" s="113"/>
      <c r="HTG9" s="113"/>
      <c r="HTH9" s="113"/>
      <c r="HTI9" s="113"/>
      <c r="HTJ9" s="113"/>
      <c r="HTK9" s="113"/>
      <c r="HTL9" s="113"/>
      <c r="HTM9" s="113"/>
      <c r="HTN9" s="113"/>
      <c r="HTO9" s="113"/>
      <c r="HTP9" s="113"/>
      <c r="HTQ9" s="113"/>
      <c r="HTR9" s="113"/>
      <c r="HTS9" s="113"/>
      <c r="HTT9" s="113"/>
      <c r="HTU9" s="113"/>
      <c r="HTV9" s="113"/>
      <c r="HTW9" s="113"/>
      <c r="HTX9" s="113"/>
      <c r="HTY9" s="113"/>
      <c r="HTZ9" s="113"/>
      <c r="HUA9" s="113"/>
      <c r="HUB9" s="113"/>
      <c r="HUC9" s="113"/>
      <c r="HUD9" s="113"/>
      <c r="HUE9" s="113"/>
      <c r="HUF9" s="113"/>
      <c r="HUG9" s="113"/>
      <c r="HUH9" s="113"/>
      <c r="HUI9" s="113"/>
      <c r="HUJ9" s="113"/>
      <c r="HUK9" s="113"/>
      <c r="HUL9" s="113"/>
      <c r="HUM9" s="113"/>
      <c r="HUN9" s="113"/>
      <c r="HUO9" s="113"/>
      <c r="HUP9" s="113"/>
      <c r="HUQ9" s="113"/>
      <c r="HUR9" s="113"/>
      <c r="HUS9" s="113"/>
      <c r="HUT9" s="113"/>
      <c r="HUU9" s="113"/>
      <c r="HUV9" s="113"/>
      <c r="HUW9" s="113"/>
      <c r="HUX9" s="113"/>
      <c r="HUY9" s="113"/>
      <c r="HUZ9" s="113"/>
      <c r="HVA9" s="113"/>
      <c r="HVB9" s="113"/>
      <c r="HVC9" s="113"/>
      <c r="HVD9" s="113"/>
      <c r="HVE9" s="113"/>
      <c r="HVF9" s="113"/>
      <c r="HVG9" s="113"/>
      <c r="HVH9" s="113"/>
      <c r="HVI9" s="113"/>
      <c r="HVJ9" s="113"/>
      <c r="HVK9" s="113"/>
      <c r="HVL9" s="113"/>
      <c r="HVM9" s="113"/>
      <c r="HVN9" s="113"/>
      <c r="HVO9" s="113"/>
      <c r="HVP9" s="113"/>
      <c r="HVQ9" s="113"/>
      <c r="HVR9" s="113"/>
      <c r="HVS9" s="113"/>
      <c r="HVT9" s="113"/>
      <c r="HVU9" s="113"/>
      <c r="HVV9" s="113"/>
      <c r="HVW9" s="113"/>
      <c r="HVX9" s="113"/>
      <c r="HVY9" s="113"/>
      <c r="HVZ9" s="113"/>
      <c r="HWA9" s="113"/>
      <c r="HWB9" s="113"/>
      <c r="HWC9" s="113"/>
      <c r="HWD9" s="113"/>
      <c r="HWE9" s="113"/>
      <c r="HWF9" s="113"/>
      <c r="HWG9" s="113"/>
      <c r="HWH9" s="113"/>
      <c r="HWI9" s="113"/>
      <c r="HWJ9" s="113"/>
      <c r="HWK9" s="113"/>
      <c r="HWL9" s="113"/>
      <c r="HWM9" s="113"/>
      <c r="HWN9" s="113"/>
      <c r="HWO9" s="113"/>
      <c r="HWP9" s="113"/>
      <c r="HWQ9" s="113"/>
      <c r="HWR9" s="113"/>
      <c r="HWS9" s="113"/>
      <c r="HWT9" s="113"/>
      <c r="HWU9" s="113"/>
      <c r="HWV9" s="113"/>
      <c r="HWW9" s="113"/>
      <c r="HWX9" s="113"/>
      <c r="HWY9" s="113"/>
      <c r="HWZ9" s="113"/>
      <c r="HXA9" s="113"/>
      <c r="HXB9" s="113"/>
      <c r="HXC9" s="113"/>
      <c r="HXD9" s="113"/>
      <c r="HXE9" s="113"/>
      <c r="HXF9" s="113"/>
      <c r="HXG9" s="113"/>
      <c r="HXH9" s="113"/>
      <c r="HXI9" s="113"/>
      <c r="HXJ9" s="113"/>
      <c r="HXK9" s="113"/>
      <c r="HXL9" s="113"/>
      <c r="HXM9" s="113"/>
      <c r="HXN9" s="113"/>
      <c r="HXO9" s="113"/>
      <c r="HXP9" s="113"/>
      <c r="HXQ9" s="113"/>
      <c r="HXR9" s="113"/>
      <c r="HXS9" s="113"/>
      <c r="HXT9" s="113"/>
      <c r="HXU9" s="113"/>
      <c r="HXV9" s="113"/>
      <c r="HXW9" s="113"/>
      <c r="HXX9" s="113"/>
      <c r="HXY9" s="113"/>
      <c r="HXZ9" s="113"/>
      <c r="HYA9" s="113"/>
      <c r="HYB9" s="113"/>
      <c r="HYC9" s="113"/>
      <c r="HYD9" s="113"/>
      <c r="HYE9" s="113"/>
      <c r="HYF9" s="113"/>
      <c r="HYG9" s="113"/>
      <c r="HYH9" s="113"/>
      <c r="HYI9" s="113"/>
      <c r="HYJ9" s="113"/>
      <c r="HYK9" s="113"/>
      <c r="HYL9" s="113"/>
      <c r="HYM9" s="113"/>
      <c r="HYN9" s="113"/>
      <c r="HYO9" s="113"/>
      <c r="HYP9" s="113"/>
      <c r="HYQ9" s="113"/>
      <c r="HYR9" s="113"/>
      <c r="HYS9" s="113"/>
      <c r="HYT9" s="113"/>
      <c r="HYU9" s="113"/>
      <c r="HYV9" s="113"/>
      <c r="HYW9" s="113"/>
      <c r="HYX9" s="113"/>
      <c r="HYY9" s="113"/>
      <c r="HYZ9" s="113"/>
      <c r="HZA9" s="113"/>
      <c r="HZB9" s="113"/>
      <c r="HZC9" s="113"/>
      <c r="HZD9" s="113"/>
      <c r="HZE9" s="113"/>
      <c r="HZF9" s="113"/>
      <c r="HZG9" s="113"/>
      <c r="HZH9" s="113"/>
      <c r="HZI9" s="113"/>
      <c r="HZJ9" s="113"/>
      <c r="HZK9" s="113"/>
      <c r="HZL9" s="113"/>
      <c r="HZM9" s="113"/>
      <c r="HZN9" s="113"/>
      <c r="HZO9" s="113"/>
      <c r="HZP9" s="113"/>
      <c r="HZQ9" s="113"/>
      <c r="HZR9" s="113"/>
      <c r="HZS9" s="113"/>
      <c r="HZT9" s="113"/>
      <c r="HZU9" s="113"/>
      <c r="HZV9" s="113"/>
      <c r="HZW9" s="113"/>
      <c r="HZX9" s="113"/>
      <c r="HZY9" s="113"/>
      <c r="HZZ9" s="113"/>
      <c r="IAA9" s="113"/>
      <c r="IAB9" s="113"/>
      <c r="IAC9" s="113"/>
      <c r="IAD9" s="113"/>
      <c r="IAE9" s="113"/>
      <c r="IAF9" s="113"/>
      <c r="IAG9" s="113"/>
      <c r="IAH9" s="113"/>
      <c r="IAI9" s="113"/>
      <c r="IAJ9" s="113"/>
      <c r="IAK9" s="113"/>
      <c r="IAL9" s="113"/>
      <c r="IAM9" s="113"/>
      <c r="IAN9" s="113"/>
      <c r="IAO9" s="113"/>
      <c r="IAP9" s="113"/>
      <c r="IAQ9" s="113"/>
      <c r="IAR9" s="113"/>
      <c r="IAS9" s="113"/>
      <c r="IAT9" s="113"/>
      <c r="IAU9" s="113"/>
      <c r="IAV9" s="113"/>
      <c r="IAW9" s="113"/>
      <c r="IAX9" s="113"/>
      <c r="IAY9" s="113"/>
      <c r="IAZ9" s="113"/>
      <c r="IBA9" s="113"/>
      <c r="IBB9" s="113"/>
      <c r="IBC9" s="113"/>
      <c r="IBD9" s="113"/>
      <c r="IBE9" s="113"/>
      <c r="IBF9" s="113"/>
      <c r="IBG9" s="113"/>
      <c r="IBH9" s="113"/>
      <c r="IBI9" s="113"/>
      <c r="IBJ9" s="113"/>
      <c r="IBK9" s="113"/>
      <c r="IBL9" s="113"/>
      <c r="IBM9" s="113"/>
      <c r="IBN9" s="113"/>
      <c r="IBO9" s="113"/>
      <c r="IBP9" s="113"/>
      <c r="IBQ9" s="113"/>
      <c r="IBR9" s="113"/>
      <c r="IBS9" s="113"/>
      <c r="IBT9" s="113"/>
      <c r="IBU9" s="113"/>
      <c r="IBV9" s="113"/>
      <c r="IBW9" s="113"/>
      <c r="IBX9" s="113"/>
      <c r="IBY9" s="113"/>
      <c r="IBZ9" s="113"/>
      <c r="ICA9" s="113"/>
      <c r="ICB9" s="113"/>
      <c r="ICC9" s="113"/>
      <c r="ICD9" s="113"/>
      <c r="ICE9" s="113"/>
      <c r="ICF9" s="113"/>
      <c r="ICG9" s="113"/>
      <c r="ICH9" s="113"/>
      <c r="ICI9" s="113"/>
      <c r="ICJ9" s="113"/>
      <c r="ICK9" s="113"/>
      <c r="ICL9" s="113"/>
      <c r="ICM9" s="113"/>
      <c r="ICN9" s="113"/>
      <c r="ICO9" s="113"/>
      <c r="ICP9" s="113"/>
      <c r="ICQ9" s="113"/>
      <c r="ICR9" s="113"/>
      <c r="ICS9" s="113"/>
      <c r="ICT9" s="113"/>
      <c r="ICU9" s="113"/>
      <c r="ICV9" s="113"/>
      <c r="ICW9" s="113"/>
      <c r="ICX9" s="113"/>
      <c r="ICY9" s="113"/>
      <c r="ICZ9" s="113"/>
      <c r="IDA9" s="113"/>
      <c r="IDB9" s="113"/>
      <c r="IDC9" s="113"/>
      <c r="IDD9" s="113"/>
      <c r="IDE9" s="113"/>
      <c r="IDF9" s="113"/>
      <c r="IDG9" s="113"/>
      <c r="IDH9" s="113"/>
      <c r="IDI9" s="113"/>
      <c r="IDJ9" s="113"/>
      <c r="IDK9" s="113"/>
      <c r="IDL9" s="113"/>
      <c r="IDM9" s="113"/>
      <c r="IDN9" s="113"/>
      <c r="IDO9" s="113"/>
      <c r="IDP9" s="113"/>
      <c r="IDQ9" s="113"/>
      <c r="IDR9" s="113"/>
      <c r="IDS9" s="113"/>
      <c r="IDT9" s="113"/>
      <c r="IDU9" s="113"/>
      <c r="IDV9" s="113"/>
      <c r="IDW9" s="113"/>
      <c r="IDX9" s="113"/>
      <c r="IDY9" s="113"/>
      <c r="IDZ9" s="113"/>
      <c r="IEA9" s="113"/>
      <c r="IEB9" s="113"/>
      <c r="IEC9" s="113"/>
      <c r="IED9" s="113"/>
      <c r="IEE9" s="113"/>
      <c r="IEF9" s="113"/>
      <c r="IEG9" s="113"/>
      <c r="IEH9" s="113"/>
      <c r="IEI9" s="113"/>
      <c r="IEJ9" s="113"/>
      <c r="IEK9" s="113"/>
      <c r="IEL9" s="113"/>
      <c r="IEM9" s="113"/>
      <c r="IEN9" s="113"/>
      <c r="IEO9" s="113"/>
      <c r="IEP9" s="113"/>
      <c r="IEQ9" s="113"/>
      <c r="IER9" s="113"/>
      <c r="IES9" s="113"/>
      <c r="IET9" s="113"/>
      <c r="IEU9" s="113"/>
      <c r="IEV9" s="113"/>
      <c r="IEW9" s="113"/>
      <c r="IEX9" s="113"/>
      <c r="IEY9" s="113"/>
      <c r="IEZ9" s="113"/>
      <c r="IFA9" s="113"/>
      <c r="IFB9" s="113"/>
      <c r="IFC9" s="113"/>
      <c r="IFD9" s="113"/>
      <c r="IFE9" s="113"/>
      <c r="IFF9" s="113"/>
      <c r="IFG9" s="113"/>
      <c r="IFH9" s="113"/>
      <c r="IFI9" s="113"/>
      <c r="IFJ9" s="113"/>
      <c r="IFK9" s="113"/>
      <c r="IFL9" s="113"/>
      <c r="IFM9" s="113"/>
      <c r="IFN9" s="113"/>
      <c r="IFO9" s="113"/>
      <c r="IFP9" s="113"/>
      <c r="IFQ9" s="113"/>
      <c r="IFR9" s="113"/>
      <c r="IFS9" s="113"/>
      <c r="IFT9" s="113"/>
      <c r="IFU9" s="113"/>
      <c r="IFV9" s="113"/>
      <c r="IFW9" s="113"/>
      <c r="IFX9" s="113"/>
      <c r="IFY9" s="113"/>
      <c r="IFZ9" s="113"/>
      <c r="IGA9" s="113"/>
      <c r="IGB9" s="113"/>
      <c r="IGC9" s="113"/>
      <c r="IGD9" s="113"/>
      <c r="IGE9" s="113"/>
      <c r="IGF9" s="113"/>
      <c r="IGG9" s="113"/>
      <c r="IGH9" s="113"/>
      <c r="IGI9" s="113"/>
      <c r="IGJ9" s="113"/>
      <c r="IGK9" s="113"/>
      <c r="IGL9" s="113"/>
      <c r="IGM9" s="113"/>
      <c r="IGN9" s="113"/>
      <c r="IGO9" s="113"/>
      <c r="IGP9" s="113"/>
      <c r="IGQ9" s="113"/>
      <c r="IGR9" s="113"/>
      <c r="IGS9" s="113"/>
      <c r="IGT9" s="113"/>
      <c r="IGU9" s="113"/>
      <c r="IGV9" s="113"/>
      <c r="IGW9" s="113"/>
      <c r="IGX9" s="113"/>
      <c r="IGY9" s="113"/>
      <c r="IGZ9" s="113"/>
      <c r="IHA9" s="113"/>
      <c r="IHB9" s="113"/>
      <c r="IHC9" s="113"/>
      <c r="IHD9" s="113"/>
      <c r="IHE9" s="113"/>
      <c r="IHF9" s="113"/>
      <c r="IHG9" s="113"/>
      <c r="IHH9" s="113"/>
      <c r="IHI9" s="113"/>
      <c r="IHJ9" s="113"/>
      <c r="IHK9" s="113"/>
      <c r="IHL9" s="113"/>
      <c r="IHM9" s="113"/>
      <c r="IHN9" s="113"/>
      <c r="IHO9" s="113"/>
      <c r="IHP9" s="113"/>
      <c r="IHQ9" s="113"/>
      <c r="IHR9" s="113"/>
      <c r="IHS9" s="113"/>
      <c r="IHT9" s="113"/>
      <c r="IHU9" s="113"/>
      <c r="IHV9" s="113"/>
      <c r="IHW9" s="113"/>
      <c r="IHX9" s="113"/>
      <c r="IHY9" s="113"/>
      <c r="IHZ9" s="113"/>
      <c r="IIA9" s="113"/>
      <c r="IIB9" s="113"/>
      <c r="IIC9" s="113"/>
      <c r="IID9" s="113"/>
      <c r="IIE9" s="113"/>
      <c r="IIF9" s="113"/>
      <c r="IIG9" s="113"/>
      <c r="IIH9" s="113"/>
      <c r="III9" s="113"/>
      <c r="IIJ9" s="113"/>
      <c r="IIK9" s="113"/>
      <c r="IIL9" s="113"/>
      <c r="IIM9" s="113"/>
      <c r="IIN9" s="113"/>
      <c r="IIO9" s="113"/>
      <c r="IIP9" s="113"/>
      <c r="IIQ9" s="113"/>
      <c r="IIR9" s="113"/>
      <c r="IIS9" s="113"/>
      <c r="IIT9" s="113"/>
      <c r="IIU9" s="113"/>
      <c r="IIV9" s="113"/>
      <c r="IIW9" s="113"/>
      <c r="IIX9" s="113"/>
      <c r="IIY9" s="113"/>
      <c r="IIZ9" s="113"/>
      <c r="IJA9" s="113"/>
      <c r="IJB9" s="113"/>
      <c r="IJC9" s="113"/>
      <c r="IJD9" s="113"/>
      <c r="IJE9" s="113"/>
      <c r="IJF9" s="113"/>
      <c r="IJG9" s="113"/>
      <c r="IJH9" s="113"/>
      <c r="IJI9" s="113"/>
      <c r="IJJ9" s="113"/>
      <c r="IJK9" s="113"/>
      <c r="IJL9" s="113"/>
      <c r="IJM9" s="113"/>
      <c r="IJN9" s="113"/>
      <c r="IJO9" s="113"/>
      <c r="IJP9" s="113"/>
      <c r="IJQ9" s="113"/>
      <c r="IJR9" s="113"/>
      <c r="IJS9" s="113"/>
      <c r="IJT9" s="113"/>
      <c r="IJU9" s="113"/>
      <c r="IJV9" s="113"/>
      <c r="IJW9" s="113"/>
      <c r="IJX9" s="113"/>
      <c r="IJY9" s="113"/>
      <c r="IJZ9" s="113"/>
      <c r="IKA9" s="113"/>
      <c r="IKB9" s="113"/>
      <c r="IKC9" s="113"/>
      <c r="IKD9" s="113"/>
      <c r="IKE9" s="113"/>
      <c r="IKF9" s="113"/>
      <c r="IKG9" s="113"/>
      <c r="IKH9" s="113"/>
      <c r="IKI9" s="113"/>
      <c r="IKJ9" s="113"/>
      <c r="IKK9" s="113"/>
      <c r="IKL9" s="113"/>
      <c r="IKM9" s="113"/>
      <c r="IKN9" s="113"/>
      <c r="IKO9" s="113"/>
      <c r="IKP9" s="113"/>
      <c r="IKQ9" s="113"/>
      <c r="IKR9" s="113"/>
      <c r="IKS9" s="113"/>
      <c r="IKT9" s="113"/>
      <c r="IKU9" s="113"/>
      <c r="IKV9" s="113"/>
      <c r="IKW9" s="113"/>
      <c r="IKX9" s="113"/>
      <c r="IKY9" s="113"/>
      <c r="IKZ9" s="113"/>
      <c r="ILA9" s="113"/>
      <c r="ILB9" s="113"/>
      <c r="ILC9" s="113"/>
      <c r="ILD9" s="113"/>
      <c r="ILE9" s="113"/>
      <c r="ILF9" s="113"/>
      <c r="ILG9" s="113"/>
      <c r="ILH9" s="113"/>
      <c r="ILI9" s="113"/>
      <c r="ILJ9" s="113"/>
      <c r="ILK9" s="113"/>
      <c r="ILL9" s="113"/>
      <c r="ILM9" s="113"/>
      <c r="ILN9" s="113"/>
      <c r="ILO9" s="113"/>
      <c r="ILP9" s="113"/>
      <c r="ILQ9" s="113"/>
      <c r="ILR9" s="113"/>
      <c r="ILS9" s="113"/>
      <c r="ILT9" s="113"/>
      <c r="ILU9" s="113"/>
      <c r="ILV9" s="113"/>
      <c r="ILW9" s="113"/>
      <c r="ILX9" s="113"/>
      <c r="ILY9" s="113"/>
      <c r="ILZ9" s="113"/>
      <c r="IMA9" s="113"/>
      <c r="IMB9" s="113"/>
      <c r="IMC9" s="113"/>
      <c r="IMD9" s="113"/>
      <c r="IME9" s="113"/>
      <c r="IMF9" s="113"/>
      <c r="IMG9" s="113"/>
      <c r="IMH9" s="113"/>
      <c r="IMI9" s="113"/>
      <c r="IMJ9" s="113"/>
      <c r="IMK9" s="113"/>
      <c r="IML9" s="113"/>
      <c r="IMM9" s="113"/>
      <c r="IMN9" s="113"/>
      <c r="IMO9" s="113"/>
      <c r="IMP9" s="113"/>
      <c r="IMQ9" s="113"/>
      <c r="IMR9" s="113"/>
      <c r="IMS9" s="113"/>
      <c r="IMT9" s="113"/>
      <c r="IMU9" s="113"/>
      <c r="IMV9" s="113"/>
      <c r="IMW9" s="113"/>
      <c r="IMX9" s="113"/>
      <c r="IMY9" s="113"/>
      <c r="IMZ9" s="113"/>
      <c r="INA9" s="113"/>
      <c r="INB9" s="113"/>
      <c r="INC9" s="113"/>
      <c r="IND9" s="113"/>
      <c r="INE9" s="113"/>
      <c r="INF9" s="113"/>
      <c r="ING9" s="113"/>
      <c r="INH9" s="113"/>
      <c r="INI9" s="113"/>
      <c r="INJ9" s="113"/>
      <c r="INK9" s="113"/>
      <c r="INL9" s="113"/>
      <c r="INM9" s="113"/>
      <c r="INN9" s="113"/>
      <c r="INO9" s="113"/>
      <c r="INP9" s="113"/>
      <c r="INQ9" s="113"/>
      <c r="INR9" s="113"/>
      <c r="INS9" s="113"/>
      <c r="INT9" s="113"/>
      <c r="INU9" s="113"/>
      <c r="INV9" s="113"/>
      <c r="INW9" s="113"/>
      <c r="INX9" s="113"/>
      <c r="INY9" s="113"/>
      <c r="INZ9" s="113"/>
      <c r="IOA9" s="113"/>
      <c r="IOB9" s="113"/>
      <c r="IOC9" s="113"/>
      <c r="IOD9" s="113"/>
      <c r="IOE9" s="113"/>
      <c r="IOF9" s="113"/>
      <c r="IOG9" s="113"/>
      <c r="IOH9" s="113"/>
      <c r="IOI9" s="113"/>
      <c r="IOJ9" s="113"/>
      <c r="IOK9" s="113"/>
      <c r="IOL9" s="113"/>
      <c r="IOM9" s="113"/>
      <c r="ION9" s="113"/>
      <c r="IOO9" s="113"/>
      <c r="IOP9" s="113"/>
      <c r="IOQ9" s="113"/>
      <c r="IOR9" s="113"/>
      <c r="IOS9" s="113"/>
      <c r="IOT9" s="113"/>
      <c r="IOU9" s="113"/>
      <c r="IOV9" s="113"/>
      <c r="IOW9" s="113"/>
      <c r="IOX9" s="113"/>
      <c r="IOY9" s="113"/>
      <c r="IOZ9" s="113"/>
      <c r="IPA9" s="113"/>
      <c r="IPB9" s="113"/>
      <c r="IPC9" s="113"/>
      <c r="IPD9" s="113"/>
      <c r="IPE9" s="113"/>
      <c r="IPF9" s="113"/>
      <c r="IPG9" s="113"/>
      <c r="IPH9" s="113"/>
      <c r="IPI9" s="113"/>
      <c r="IPJ9" s="113"/>
      <c r="IPK9" s="113"/>
      <c r="IPL9" s="113"/>
      <c r="IPM9" s="113"/>
      <c r="IPN9" s="113"/>
      <c r="IPO9" s="113"/>
      <c r="IPP9" s="113"/>
      <c r="IPQ9" s="113"/>
      <c r="IPR9" s="113"/>
      <c r="IPS9" s="113"/>
      <c r="IPT9" s="113"/>
      <c r="IPU9" s="113"/>
      <c r="IPV9" s="113"/>
      <c r="IPW9" s="113"/>
      <c r="IPX9" s="113"/>
      <c r="IPY9" s="113"/>
      <c r="IPZ9" s="113"/>
      <c r="IQA9" s="113"/>
      <c r="IQB9" s="113"/>
      <c r="IQC9" s="113"/>
      <c r="IQD9" s="113"/>
      <c r="IQE9" s="113"/>
      <c r="IQF9" s="113"/>
      <c r="IQG9" s="113"/>
      <c r="IQH9" s="113"/>
      <c r="IQI9" s="113"/>
      <c r="IQJ9" s="113"/>
      <c r="IQK9" s="113"/>
      <c r="IQL9" s="113"/>
      <c r="IQM9" s="113"/>
      <c r="IQN9" s="113"/>
      <c r="IQO9" s="113"/>
      <c r="IQP9" s="113"/>
      <c r="IQQ9" s="113"/>
      <c r="IQR9" s="113"/>
      <c r="IQS9" s="113"/>
      <c r="IQT9" s="113"/>
      <c r="IQU9" s="113"/>
      <c r="IQV9" s="113"/>
      <c r="IQW9" s="113"/>
      <c r="IQX9" s="113"/>
      <c r="IQY9" s="113"/>
      <c r="IQZ9" s="113"/>
      <c r="IRA9" s="113"/>
      <c r="IRB9" s="113"/>
      <c r="IRC9" s="113"/>
      <c r="IRD9" s="113"/>
      <c r="IRE9" s="113"/>
      <c r="IRF9" s="113"/>
      <c r="IRG9" s="113"/>
      <c r="IRH9" s="113"/>
      <c r="IRI9" s="113"/>
      <c r="IRJ9" s="113"/>
      <c r="IRK9" s="113"/>
      <c r="IRL9" s="113"/>
      <c r="IRM9" s="113"/>
      <c r="IRN9" s="113"/>
      <c r="IRO9" s="113"/>
      <c r="IRP9" s="113"/>
      <c r="IRQ9" s="113"/>
      <c r="IRR9" s="113"/>
      <c r="IRS9" s="113"/>
      <c r="IRT9" s="113"/>
      <c r="IRU9" s="113"/>
      <c r="IRV9" s="113"/>
      <c r="IRW9" s="113"/>
      <c r="IRX9" s="113"/>
      <c r="IRY9" s="113"/>
      <c r="IRZ9" s="113"/>
      <c r="ISA9" s="113"/>
      <c r="ISB9" s="113"/>
      <c r="ISC9" s="113"/>
      <c r="ISD9" s="113"/>
      <c r="ISE9" s="113"/>
      <c r="ISF9" s="113"/>
      <c r="ISG9" s="113"/>
      <c r="ISH9" s="113"/>
      <c r="ISI9" s="113"/>
      <c r="ISJ9" s="113"/>
      <c r="ISK9" s="113"/>
      <c r="ISL9" s="113"/>
      <c r="ISM9" s="113"/>
      <c r="ISN9" s="113"/>
      <c r="ISO9" s="113"/>
      <c r="ISP9" s="113"/>
      <c r="ISQ9" s="113"/>
      <c r="ISR9" s="113"/>
      <c r="ISS9" s="113"/>
      <c r="IST9" s="113"/>
      <c r="ISU9" s="113"/>
      <c r="ISV9" s="113"/>
      <c r="ISW9" s="113"/>
      <c r="ISX9" s="113"/>
      <c r="ISY9" s="113"/>
      <c r="ISZ9" s="113"/>
      <c r="ITA9" s="113"/>
      <c r="ITB9" s="113"/>
      <c r="ITC9" s="113"/>
      <c r="ITD9" s="113"/>
      <c r="ITE9" s="113"/>
      <c r="ITF9" s="113"/>
      <c r="ITG9" s="113"/>
      <c r="ITH9" s="113"/>
      <c r="ITI9" s="113"/>
      <c r="ITJ9" s="113"/>
      <c r="ITK9" s="113"/>
      <c r="ITL9" s="113"/>
      <c r="ITM9" s="113"/>
      <c r="ITN9" s="113"/>
      <c r="ITO9" s="113"/>
      <c r="ITP9" s="113"/>
      <c r="ITQ9" s="113"/>
      <c r="ITR9" s="113"/>
      <c r="ITS9" s="113"/>
      <c r="ITT9" s="113"/>
      <c r="ITU9" s="113"/>
      <c r="ITV9" s="113"/>
      <c r="ITW9" s="113"/>
      <c r="ITX9" s="113"/>
      <c r="ITY9" s="113"/>
      <c r="ITZ9" s="113"/>
      <c r="IUA9" s="113"/>
      <c r="IUB9" s="113"/>
      <c r="IUC9" s="113"/>
      <c r="IUD9" s="113"/>
      <c r="IUE9" s="113"/>
      <c r="IUF9" s="113"/>
      <c r="IUG9" s="113"/>
      <c r="IUH9" s="113"/>
      <c r="IUI9" s="113"/>
      <c r="IUJ9" s="113"/>
      <c r="IUK9" s="113"/>
      <c r="IUL9" s="113"/>
      <c r="IUM9" s="113"/>
      <c r="IUN9" s="113"/>
      <c r="IUO9" s="113"/>
      <c r="IUP9" s="113"/>
      <c r="IUQ9" s="113"/>
      <c r="IUR9" s="113"/>
      <c r="IUS9" s="113"/>
      <c r="IUT9" s="113"/>
      <c r="IUU9" s="113"/>
      <c r="IUV9" s="113"/>
      <c r="IUW9" s="113"/>
      <c r="IUX9" s="113"/>
      <c r="IUY9" s="113"/>
      <c r="IUZ9" s="113"/>
      <c r="IVA9" s="113"/>
      <c r="IVB9" s="113"/>
      <c r="IVC9" s="113"/>
      <c r="IVD9" s="113"/>
      <c r="IVE9" s="113"/>
      <c r="IVF9" s="113"/>
      <c r="IVG9" s="113"/>
      <c r="IVH9" s="113"/>
      <c r="IVI9" s="113"/>
      <c r="IVJ9" s="113"/>
      <c r="IVK9" s="113"/>
      <c r="IVL9" s="113"/>
      <c r="IVM9" s="113"/>
      <c r="IVN9" s="113"/>
      <c r="IVO9" s="113"/>
      <c r="IVP9" s="113"/>
      <c r="IVQ9" s="113"/>
      <c r="IVR9" s="113"/>
      <c r="IVS9" s="113"/>
      <c r="IVT9" s="113"/>
      <c r="IVU9" s="113"/>
      <c r="IVV9" s="113"/>
      <c r="IVW9" s="113"/>
      <c r="IVX9" s="113"/>
      <c r="IVY9" s="113"/>
      <c r="IVZ9" s="113"/>
      <c r="IWA9" s="113"/>
      <c r="IWB9" s="113"/>
      <c r="IWC9" s="113"/>
      <c r="IWD9" s="113"/>
      <c r="IWE9" s="113"/>
      <c r="IWF9" s="113"/>
      <c r="IWG9" s="113"/>
      <c r="IWH9" s="113"/>
      <c r="IWI9" s="113"/>
      <c r="IWJ9" s="113"/>
      <c r="IWK9" s="113"/>
      <c r="IWL9" s="113"/>
      <c r="IWM9" s="113"/>
      <c r="IWN9" s="113"/>
      <c r="IWO9" s="113"/>
      <c r="IWP9" s="113"/>
      <c r="IWQ9" s="113"/>
      <c r="IWR9" s="113"/>
      <c r="IWS9" s="113"/>
      <c r="IWT9" s="113"/>
      <c r="IWU9" s="113"/>
      <c r="IWV9" s="113"/>
      <c r="IWW9" s="113"/>
      <c r="IWX9" s="113"/>
      <c r="IWY9" s="113"/>
      <c r="IWZ9" s="113"/>
      <c r="IXA9" s="113"/>
      <c r="IXB9" s="113"/>
      <c r="IXC9" s="113"/>
      <c r="IXD9" s="113"/>
      <c r="IXE9" s="113"/>
      <c r="IXF9" s="113"/>
      <c r="IXG9" s="113"/>
      <c r="IXH9" s="113"/>
      <c r="IXI9" s="113"/>
      <c r="IXJ9" s="113"/>
      <c r="IXK9" s="113"/>
      <c r="IXL9" s="113"/>
      <c r="IXM9" s="113"/>
      <c r="IXN9" s="113"/>
      <c r="IXO9" s="113"/>
      <c r="IXP9" s="113"/>
      <c r="IXQ9" s="113"/>
      <c r="IXR9" s="113"/>
      <c r="IXS9" s="113"/>
      <c r="IXT9" s="113"/>
      <c r="IXU9" s="113"/>
      <c r="IXV9" s="113"/>
      <c r="IXW9" s="113"/>
      <c r="IXX9" s="113"/>
      <c r="IXY9" s="113"/>
      <c r="IXZ9" s="113"/>
      <c r="IYA9" s="113"/>
      <c r="IYB9" s="113"/>
      <c r="IYC9" s="113"/>
      <c r="IYD9" s="113"/>
      <c r="IYE9" s="113"/>
      <c r="IYF9" s="113"/>
      <c r="IYG9" s="113"/>
      <c r="IYH9" s="113"/>
      <c r="IYI9" s="113"/>
      <c r="IYJ9" s="113"/>
      <c r="IYK9" s="113"/>
      <c r="IYL9" s="113"/>
      <c r="IYM9" s="113"/>
      <c r="IYN9" s="113"/>
      <c r="IYO9" s="113"/>
      <c r="IYP9" s="113"/>
      <c r="IYQ9" s="113"/>
      <c r="IYR9" s="113"/>
      <c r="IYS9" s="113"/>
      <c r="IYT9" s="113"/>
      <c r="IYU9" s="113"/>
      <c r="IYV9" s="113"/>
      <c r="IYW9" s="113"/>
      <c r="IYX9" s="113"/>
      <c r="IYY9" s="113"/>
      <c r="IYZ9" s="113"/>
      <c r="IZA9" s="113"/>
      <c r="IZB9" s="113"/>
      <c r="IZC9" s="113"/>
      <c r="IZD9" s="113"/>
      <c r="IZE9" s="113"/>
      <c r="IZF9" s="113"/>
      <c r="IZG9" s="113"/>
      <c r="IZH9" s="113"/>
      <c r="IZI9" s="113"/>
      <c r="IZJ9" s="113"/>
      <c r="IZK9" s="113"/>
      <c r="IZL9" s="113"/>
      <c r="IZM9" s="113"/>
      <c r="IZN9" s="113"/>
      <c r="IZO9" s="113"/>
      <c r="IZP9" s="113"/>
      <c r="IZQ9" s="113"/>
      <c r="IZR9" s="113"/>
      <c r="IZS9" s="113"/>
      <c r="IZT9" s="113"/>
      <c r="IZU9" s="113"/>
      <c r="IZV9" s="113"/>
      <c r="IZW9" s="113"/>
      <c r="IZX9" s="113"/>
      <c r="IZY9" s="113"/>
      <c r="IZZ9" s="113"/>
      <c r="JAA9" s="113"/>
      <c r="JAB9" s="113"/>
      <c r="JAC9" s="113"/>
      <c r="JAD9" s="113"/>
      <c r="JAE9" s="113"/>
      <c r="JAF9" s="113"/>
      <c r="JAG9" s="113"/>
      <c r="JAH9" s="113"/>
      <c r="JAI9" s="113"/>
      <c r="JAJ9" s="113"/>
      <c r="JAK9" s="113"/>
      <c r="JAL9" s="113"/>
      <c r="JAM9" s="113"/>
      <c r="JAN9" s="113"/>
      <c r="JAO9" s="113"/>
      <c r="JAP9" s="113"/>
      <c r="JAQ9" s="113"/>
      <c r="JAR9" s="113"/>
      <c r="JAS9" s="113"/>
      <c r="JAT9" s="113"/>
      <c r="JAU9" s="113"/>
      <c r="JAV9" s="113"/>
      <c r="JAW9" s="113"/>
      <c r="JAX9" s="113"/>
      <c r="JAY9" s="113"/>
      <c r="JAZ9" s="113"/>
      <c r="JBA9" s="113"/>
      <c r="JBB9" s="113"/>
      <c r="JBC9" s="113"/>
      <c r="JBD9" s="113"/>
      <c r="JBE9" s="113"/>
      <c r="JBF9" s="113"/>
      <c r="JBG9" s="113"/>
      <c r="JBH9" s="113"/>
      <c r="JBI9" s="113"/>
      <c r="JBJ9" s="113"/>
      <c r="JBK9" s="113"/>
      <c r="JBL9" s="113"/>
      <c r="JBM9" s="113"/>
      <c r="JBN9" s="113"/>
      <c r="JBO9" s="113"/>
      <c r="JBP9" s="113"/>
      <c r="JBQ9" s="113"/>
      <c r="JBR9" s="113"/>
      <c r="JBS9" s="113"/>
      <c r="JBT9" s="113"/>
      <c r="JBU9" s="113"/>
      <c r="JBV9" s="113"/>
      <c r="JBW9" s="113"/>
      <c r="JBX9" s="113"/>
      <c r="JBY9" s="113"/>
      <c r="JBZ9" s="113"/>
      <c r="JCA9" s="113"/>
      <c r="JCB9" s="113"/>
      <c r="JCC9" s="113"/>
      <c r="JCD9" s="113"/>
      <c r="JCE9" s="113"/>
      <c r="JCF9" s="113"/>
      <c r="JCG9" s="113"/>
      <c r="JCH9" s="113"/>
      <c r="JCI9" s="113"/>
      <c r="JCJ9" s="113"/>
      <c r="JCK9" s="113"/>
      <c r="JCL9" s="113"/>
      <c r="JCM9" s="113"/>
      <c r="JCN9" s="113"/>
      <c r="JCO9" s="113"/>
      <c r="JCP9" s="113"/>
      <c r="JCQ9" s="113"/>
      <c r="JCR9" s="113"/>
      <c r="JCS9" s="113"/>
      <c r="JCT9" s="113"/>
      <c r="JCU9" s="113"/>
      <c r="JCV9" s="113"/>
      <c r="JCW9" s="113"/>
      <c r="JCX9" s="113"/>
      <c r="JCY9" s="113"/>
      <c r="JCZ9" s="113"/>
      <c r="JDA9" s="113"/>
      <c r="JDB9" s="113"/>
      <c r="JDC9" s="113"/>
      <c r="JDD9" s="113"/>
      <c r="JDE9" s="113"/>
      <c r="JDF9" s="113"/>
      <c r="JDG9" s="113"/>
      <c r="JDH9" s="113"/>
      <c r="JDI9" s="113"/>
      <c r="JDJ9" s="113"/>
      <c r="JDK9" s="113"/>
      <c r="JDL9" s="113"/>
      <c r="JDM9" s="113"/>
      <c r="JDN9" s="113"/>
      <c r="JDO9" s="113"/>
      <c r="JDP9" s="113"/>
      <c r="JDQ9" s="113"/>
      <c r="JDR9" s="113"/>
      <c r="JDS9" s="113"/>
      <c r="JDT9" s="113"/>
      <c r="JDU9" s="113"/>
      <c r="JDV9" s="113"/>
      <c r="JDW9" s="113"/>
      <c r="JDX9" s="113"/>
      <c r="JDY9" s="113"/>
      <c r="JDZ9" s="113"/>
      <c r="JEA9" s="113"/>
      <c r="JEB9" s="113"/>
      <c r="JEC9" s="113"/>
      <c r="JED9" s="113"/>
      <c r="JEE9" s="113"/>
      <c r="JEF9" s="113"/>
      <c r="JEG9" s="113"/>
      <c r="JEH9" s="113"/>
      <c r="JEI9" s="113"/>
      <c r="JEJ9" s="113"/>
      <c r="JEK9" s="113"/>
      <c r="JEL9" s="113"/>
      <c r="JEM9" s="113"/>
      <c r="JEN9" s="113"/>
      <c r="JEO9" s="113"/>
      <c r="JEP9" s="113"/>
      <c r="JEQ9" s="113"/>
      <c r="JER9" s="113"/>
      <c r="JES9" s="113"/>
      <c r="JET9" s="113"/>
      <c r="JEU9" s="113"/>
      <c r="JEV9" s="113"/>
      <c r="JEW9" s="113"/>
      <c r="JEX9" s="113"/>
      <c r="JEY9" s="113"/>
      <c r="JEZ9" s="113"/>
      <c r="JFA9" s="113"/>
      <c r="JFB9" s="113"/>
      <c r="JFC9" s="113"/>
      <c r="JFD9" s="113"/>
      <c r="JFE9" s="113"/>
      <c r="JFF9" s="113"/>
      <c r="JFG9" s="113"/>
      <c r="JFH9" s="113"/>
      <c r="JFI9" s="113"/>
      <c r="JFJ9" s="113"/>
      <c r="JFK9" s="113"/>
      <c r="JFL9" s="113"/>
      <c r="JFM9" s="113"/>
      <c r="JFN9" s="113"/>
      <c r="JFO9" s="113"/>
      <c r="JFP9" s="113"/>
      <c r="JFQ9" s="113"/>
      <c r="JFR9" s="113"/>
      <c r="JFS9" s="113"/>
      <c r="JFT9" s="113"/>
      <c r="JFU9" s="113"/>
      <c r="JFV9" s="113"/>
      <c r="JFW9" s="113"/>
      <c r="JFX9" s="113"/>
      <c r="JFY9" s="113"/>
      <c r="JFZ9" s="113"/>
      <c r="JGA9" s="113"/>
      <c r="JGB9" s="113"/>
      <c r="JGC9" s="113"/>
      <c r="JGD9" s="113"/>
      <c r="JGE9" s="113"/>
      <c r="JGF9" s="113"/>
      <c r="JGG9" s="113"/>
      <c r="JGH9" s="113"/>
      <c r="JGI9" s="113"/>
      <c r="JGJ9" s="113"/>
      <c r="JGK9" s="113"/>
      <c r="JGL9" s="113"/>
      <c r="JGM9" s="113"/>
      <c r="JGN9" s="113"/>
      <c r="JGO9" s="113"/>
      <c r="JGP9" s="113"/>
      <c r="JGQ9" s="113"/>
      <c r="JGR9" s="113"/>
      <c r="JGS9" s="113"/>
      <c r="JGT9" s="113"/>
      <c r="JGU9" s="113"/>
      <c r="JGV9" s="113"/>
      <c r="JGW9" s="113"/>
      <c r="JGX9" s="113"/>
      <c r="JGY9" s="113"/>
      <c r="JGZ9" s="113"/>
      <c r="JHA9" s="113"/>
      <c r="JHB9" s="113"/>
      <c r="JHC9" s="113"/>
      <c r="JHD9" s="113"/>
      <c r="JHE9" s="113"/>
      <c r="JHF9" s="113"/>
      <c r="JHG9" s="113"/>
      <c r="JHH9" s="113"/>
      <c r="JHI9" s="113"/>
      <c r="JHJ9" s="113"/>
      <c r="JHK9" s="113"/>
      <c r="JHL9" s="113"/>
      <c r="JHM9" s="113"/>
      <c r="JHN9" s="113"/>
      <c r="JHO9" s="113"/>
      <c r="JHP9" s="113"/>
      <c r="JHQ9" s="113"/>
      <c r="JHR9" s="113"/>
      <c r="JHS9" s="113"/>
      <c r="JHT9" s="113"/>
      <c r="JHU9" s="113"/>
      <c r="JHV9" s="113"/>
      <c r="JHW9" s="113"/>
      <c r="JHX9" s="113"/>
      <c r="JHY9" s="113"/>
      <c r="JHZ9" s="113"/>
      <c r="JIA9" s="113"/>
      <c r="JIB9" s="113"/>
      <c r="JIC9" s="113"/>
      <c r="JID9" s="113"/>
      <c r="JIE9" s="113"/>
      <c r="JIF9" s="113"/>
      <c r="JIG9" s="113"/>
      <c r="JIH9" s="113"/>
      <c r="JII9" s="113"/>
      <c r="JIJ9" s="113"/>
      <c r="JIK9" s="113"/>
      <c r="JIL9" s="113"/>
      <c r="JIM9" s="113"/>
      <c r="JIN9" s="113"/>
      <c r="JIO9" s="113"/>
      <c r="JIP9" s="113"/>
      <c r="JIQ9" s="113"/>
      <c r="JIR9" s="113"/>
      <c r="JIS9" s="113"/>
      <c r="JIT9" s="113"/>
      <c r="JIU9" s="113"/>
      <c r="JIV9" s="113"/>
      <c r="JIW9" s="113"/>
      <c r="JIX9" s="113"/>
      <c r="JIY9" s="113"/>
      <c r="JIZ9" s="113"/>
      <c r="JJA9" s="113"/>
      <c r="JJB9" s="113"/>
      <c r="JJC9" s="113"/>
      <c r="JJD9" s="113"/>
      <c r="JJE9" s="113"/>
      <c r="JJF9" s="113"/>
      <c r="JJG9" s="113"/>
      <c r="JJH9" s="113"/>
      <c r="JJI9" s="113"/>
      <c r="JJJ9" s="113"/>
      <c r="JJK9" s="113"/>
      <c r="JJL9" s="113"/>
      <c r="JJM9" s="113"/>
      <c r="JJN9" s="113"/>
      <c r="JJO9" s="113"/>
      <c r="JJP9" s="113"/>
      <c r="JJQ9" s="113"/>
      <c r="JJR9" s="113"/>
      <c r="JJS9" s="113"/>
      <c r="JJT9" s="113"/>
      <c r="JJU9" s="113"/>
      <c r="JJV9" s="113"/>
      <c r="JJW9" s="113"/>
      <c r="JJX9" s="113"/>
      <c r="JJY9" s="113"/>
      <c r="JJZ9" s="113"/>
      <c r="JKA9" s="113"/>
      <c r="JKB9" s="113"/>
      <c r="JKC9" s="113"/>
      <c r="JKD9" s="113"/>
      <c r="JKE9" s="113"/>
      <c r="JKF9" s="113"/>
      <c r="JKG9" s="113"/>
      <c r="JKH9" s="113"/>
      <c r="JKI9" s="113"/>
      <c r="JKJ9" s="113"/>
      <c r="JKK9" s="113"/>
      <c r="JKL9" s="113"/>
      <c r="JKM9" s="113"/>
      <c r="JKN9" s="113"/>
      <c r="JKO9" s="113"/>
      <c r="JKP9" s="113"/>
      <c r="JKQ9" s="113"/>
      <c r="JKR9" s="113"/>
      <c r="JKS9" s="113"/>
      <c r="JKT9" s="113"/>
      <c r="JKU9" s="113"/>
      <c r="JKV9" s="113"/>
      <c r="JKW9" s="113"/>
      <c r="JKX9" s="113"/>
      <c r="JKY9" s="113"/>
      <c r="JKZ9" s="113"/>
      <c r="JLA9" s="113"/>
      <c r="JLB9" s="113"/>
      <c r="JLC9" s="113"/>
      <c r="JLD9" s="113"/>
      <c r="JLE9" s="113"/>
      <c r="JLF9" s="113"/>
      <c r="JLG9" s="113"/>
      <c r="JLH9" s="113"/>
      <c r="JLI9" s="113"/>
      <c r="JLJ9" s="113"/>
      <c r="JLK9" s="113"/>
      <c r="JLL9" s="113"/>
      <c r="JLM9" s="113"/>
      <c r="JLN9" s="113"/>
      <c r="JLO9" s="113"/>
      <c r="JLP9" s="113"/>
      <c r="JLQ9" s="113"/>
      <c r="JLR9" s="113"/>
      <c r="JLS9" s="113"/>
      <c r="JLT9" s="113"/>
      <c r="JLU9" s="113"/>
      <c r="JLV9" s="113"/>
      <c r="JLW9" s="113"/>
      <c r="JLX9" s="113"/>
      <c r="JLY9" s="113"/>
      <c r="JLZ9" s="113"/>
      <c r="JMA9" s="113"/>
      <c r="JMB9" s="113"/>
      <c r="JMC9" s="113"/>
      <c r="JMD9" s="113"/>
      <c r="JME9" s="113"/>
      <c r="JMF9" s="113"/>
      <c r="JMG9" s="113"/>
      <c r="JMH9" s="113"/>
      <c r="JMI9" s="113"/>
      <c r="JMJ9" s="113"/>
      <c r="JMK9" s="113"/>
      <c r="JML9" s="113"/>
      <c r="JMM9" s="113"/>
      <c r="JMN9" s="113"/>
      <c r="JMO9" s="113"/>
      <c r="JMP9" s="113"/>
      <c r="JMQ9" s="113"/>
      <c r="JMR9" s="113"/>
      <c r="JMS9" s="113"/>
      <c r="JMT9" s="113"/>
      <c r="JMU9" s="113"/>
      <c r="JMV9" s="113"/>
      <c r="JMW9" s="113"/>
      <c r="JMX9" s="113"/>
      <c r="JMY9" s="113"/>
      <c r="JMZ9" s="113"/>
      <c r="JNA9" s="113"/>
      <c r="JNB9" s="113"/>
      <c r="JNC9" s="113"/>
      <c r="JND9" s="113"/>
      <c r="JNE9" s="113"/>
      <c r="JNF9" s="113"/>
      <c r="JNG9" s="113"/>
      <c r="JNH9" s="113"/>
      <c r="JNI9" s="113"/>
      <c r="JNJ9" s="113"/>
      <c r="JNK9" s="113"/>
      <c r="JNL9" s="113"/>
      <c r="JNM9" s="113"/>
      <c r="JNN9" s="113"/>
      <c r="JNO9" s="113"/>
      <c r="JNP9" s="113"/>
      <c r="JNQ9" s="113"/>
      <c r="JNR9" s="113"/>
      <c r="JNS9" s="113"/>
      <c r="JNT9" s="113"/>
      <c r="JNU9" s="113"/>
      <c r="JNV9" s="113"/>
      <c r="JNW9" s="113"/>
      <c r="JNX9" s="113"/>
      <c r="JNY9" s="113"/>
      <c r="JNZ9" s="113"/>
      <c r="JOA9" s="113"/>
      <c r="JOB9" s="113"/>
      <c r="JOC9" s="113"/>
      <c r="JOD9" s="113"/>
      <c r="JOE9" s="113"/>
      <c r="JOF9" s="113"/>
      <c r="JOG9" s="113"/>
      <c r="JOH9" s="113"/>
      <c r="JOI9" s="113"/>
      <c r="JOJ9" s="113"/>
      <c r="JOK9" s="113"/>
      <c r="JOL9" s="113"/>
      <c r="JOM9" s="113"/>
      <c r="JON9" s="113"/>
      <c r="JOO9" s="113"/>
      <c r="JOP9" s="113"/>
      <c r="JOQ9" s="113"/>
      <c r="JOR9" s="113"/>
      <c r="JOS9" s="113"/>
      <c r="JOT9" s="113"/>
      <c r="JOU9" s="113"/>
      <c r="JOV9" s="113"/>
      <c r="JOW9" s="113"/>
      <c r="JOX9" s="113"/>
      <c r="JOY9" s="113"/>
      <c r="JOZ9" s="113"/>
      <c r="JPA9" s="113"/>
      <c r="JPB9" s="113"/>
      <c r="JPC9" s="113"/>
      <c r="JPD9" s="113"/>
      <c r="JPE9" s="113"/>
      <c r="JPF9" s="113"/>
      <c r="JPG9" s="113"/>
      <c r="JPH9" s="113"/>
      <c r="JPI9" s="113"/>
      <c r="JPJ9" s="113"/>
      <c r="JPK9" s="113"/>
      <c r="JPL9" s="113"/>
      <c r="JPM9" s="113"/>
      <c r="JPN9" s="113"/>
      <c r="JPO9" s="113"/>
      <c r="JPP9" s="113"/>
      <c r="JPQ9" s="113"/>
      <c r="JPR9" s="113"/>
      <c r="JPS9" s="113"/>
      <c r="JPT9" s="113"/>
      <c r="JPU9" s="113"/>
      <c r="JPV9" s="113"/>
      <c r="JPW9" s="113"/>
      <c r="JPX9" s="113"/>
      <c r="JPY9" s="113"/>
      <c r="JPZ9" s="113"/>
      <c r="JQA9" s="113"/>
      <c r="JQB9" s="113"/>
      <c r="JQC9" s="113"/>
      <c r="JQD9" s="113"/>
      <c r="JQE9" s="113"/>
      <c r="JQF9" s="113"/>
      <c r="JQG9" s="113"/>
      <c r="JQH9" s="113"/>
      <c r="JQI9" s="113"/>
      <c r="JQJ9" s="113"/>
      <c r="JQK9" s="113"/>
      <c r="JQL9" s="113"/>
      <c r="JQM9" s="113"/>
      <c r="JQN9" s="113"/>
      <c r="JQO9" s="113"/>
      <c r="JQP9" s="113"/>
      <c r="JQQ9" s="113"/>
      <c r="JQR9" s="113"/>
      <c r="JQS9" s="113"/>
      <c r="JQT9" s="113"/>
      <c r="JQU9" s="113"/>
      <c r="JQV9" s="113"/>
      <c r="JQW9" s="113"/>
      <c r="JQX9" s="113"/>
      <c r="JQY9" s="113"/>
      <c r="JQZ9" s="113"/>
      <c r="JRA9" s="113"/>
      <c r="JRB9" s="113"/>
      <c r="JRC9" s="113"/>
      <c r="JRD9" s="113"/>
      <c r="JRE9" s="113"/>
      <c r="JRF9" s="113"/>
      <c r="JRG9" s="113"/>
      <c r="JRH9" s="113"/>
      <c r="JRI9" s="113"/>
      <c r="JRJ9" s="113"/>
      <c r="JRK9" s="113"/>
      <c r="JRL9" s="113"/>
      <c r="JRM9" s="113"/>
      <c r="JRN9" s="113"/>
      <c r="JRO9" s="113"/>
      <c r="JRP9" s="113"/>
      <c r="JRQ9" s="113"/>
      <c r="JRR9" s="113"/>
      <c r="JRS9" s="113"/>
      <c r="JRT9" s="113"/>
      <c r="JRU9" s="113"/>
      <c r="JRV9" s="113"/>
      <c r="JRW9" s="113"/>
      <c r="JRX9" s="113"/>
      <c r="JRY9" s="113"/>
      <c r="JRZ9" s="113"/>
      <c r="JSA9" s="113"/>
      <c r="JSB9" s="113"/>
      <c r="JSC9" s="113"/>
      <c r="JSD9" s="113"/>
      <c r="JSE9" s="113"/>
      <c r="JSF9" s="113"/>
      <c r="JSG9" s="113"/>
      <c r="JSH9" s="113"/>
      <c r="JSI9" s="113"/>
      <c r="JSJ9" s="113"/>
      <c r="JSK9" s="113"/>
      <c r="JSL9" s="113"/>
      <c r="JSM9" s="113"/>
      <c r="JSN9" s="113"/>
      <c r="JSO9" s="113"/>
      <c r="JSP9" s="113"/>
      <c r="JSQ9" s="113"/>
      <c r="JSR9" s="113"/>
      <c r="JSS9" s="113"/>
      <c r="JST9" s="113"/>
      <c r="JSU9" s="113"/>
      <c r="JSV9" s="113"/>
      <c r="JSW9" s="113"/>
      <c r="JSX9" s="113"/>
      <c r="JSY9" s="113"/>
      <c r="JSZ9" s="113"/>
      <c r="JTA9" s="113"/>
      <c r="JTB9" s="113"/>
      <c r="JTC9" s="113"/>
      <c r="JTD9" s="113"/>
      <c r="JTE9" s="113"/>
      <c r="JTF9" s="113"/>
      <c r="JTG9" s="113"/>
      <c r="JTH9" s="113"/>
      <c r="JTI9" s="113"/>
      <c r="JTJ9" s="113"/>
      <c r="JTK9" s="113"/>
      <c r="JTL9" s="113"/>
      <c r="JTM9" s="113"/>
      <c r="JTN9" s="113"/>
      <c r="JTO9" s="113"/>
      <c r="JTP9" s="113"/>
      <c r="JTQ9" s="113"/>
      <c r="JTR9" s="113"/>
      <c r="JTS9" s="113"/>
      <c r="JTT9" s="113"/>
      <c r="JTU9" s="113"/>
      <c r="JTV9" s="113"/>
      <c r="JTW9" s="113"/>
      <c r="JTX9" s="113"/>
      <c r="JTY9" s="113"/>
      <c r="JTZ9" s="113"/>
      <c r="JUA9" s="113"/>
      <c r="JUB9" s="113"/>
      <c r="JUC9" s="113"/>
      <c r="JUD9" s="113"/>
      <c r="JUE9" s="113"/>
      <c r="JUF9" s="113"/>
      <c r="JUG9" s="113"/>
      <c r="JUH9" s="113"/>
      <c r="JUI9" s="113"/>
      <c r="JUJ9" s="113"/>
      <c r="JUK9" s="113"/>
      <c r="JUL9" s="113"/>
      <c r="JUM9" s="113"/>
      <c r="JUN9" s="113"/>
      <c r="JUO9" s="113"/>
      <c r="JUP9" s="113"/>
      <c r="JUQ9" s="113"/>
      <c r="JUR9" s="113"/>
      <c r="JUS9" s="113"/>
      <c r="JUT9" s="113"/>
      <c r="JUU9" s="113"/>
      <c r="JUV9" s="113"/>
      <c r="JUW9" s="113"/>
      <c r="JUX9" s="113"/>
      <c r="JUY9" s="113"/>
      <c r="JUZ9" s="113"/>
      <c r="JVA9" s="113"/>
      <c r="JVB9" s="113"/>
      <c r="JVC9" s="113"/>
      <c r="JVD9" s="113"/>
      <c r="JVE9" s="113"/>
      <c r="JVF9" s="113"/>
      <c r="JVG9" s="113"/>
      <c r="JVH9" s="113"/>
      <c r="JVI9" s="113"/>
      <c r="JVJ9" s="113"/>
      <c r="JVK9" s="113"/>
      <c r="JVL9" s="113"/>
      <c r="JVM9" s="113"/>
      <c r="JVN9" s="113"/>
      <c r="JVO9" s="113"/>
      <c r="JVP9" s="113"/>
      <c r="JVQ9" s="113"/>
      <c r="JVR9" s="113"/>
      <c r="JVS9" s="113"/>
      <c r="JVT9" s="113"/>
      <c r="JVU9" s="113"/>
      <c r="JVV9" s="113"/>
      <c r="JVW9" s="113"/>
      <c r="JVX9" s="113"/>
      <c r="JVY9" s="113"/>
      <c r="JVZ9" s="113"/>
      <c r="JWA9" s="113"/>
      <c r="JWB9" s="113"/>
      <c r="JWC9" s="113"/>
      <c r="JWD9" s="113"/>
      <c r="JWE9" s="113"/>
      <c r="JWF9" s="113"/>
      <c r="JWG9" s="113"/>
      <c r="JWH9" s="113"/>
      <c r="JWI9" s="113"/>
      <c r="JWJ9" s="113"/>
      <c r="JWK9" s="113"/>
      <c r="JWL9" s="113"/>
      <c r="JWM9" s="113"/>
      <c r="JWN9" s="113"/>
      <c r="JWO9" s="113"/>
      <c r="JWP9" s="113"/>
      <c r="JWQ9" s="113"/>
      <c r="JWR9" s="113"/>
      <c r="JWS9" s="113"/>
      <c r="JWT9" s="113"/>
      <c r="JWU9" s="113"/>
      <c r="JWV9" s="113"/>
      <c r="JWW9" s="113"/>
      <c r="JWX9" s="113"/>
      <c r="JWY9" s="113"/>
      <c r="JWZ9" s="113"/>
      <c r="JXA9" s="113"/>
      <c r="JXB9" s="113"/>
      <c r="JXC9" s="113"/>
      <c r="JXD9" s="113"/>
      <c r="JXE9" s="113"/>
      <c r="JXF9" s="113"/>
      <c r="JXG9" s="113"/>
      <c r="JXH9" s="113"/>
      <c r="JXI9" s="113"/>
      <c r="JXJ9" s="113"/>
      <c r="JXK9" s="113"/>
      <c r="JXL9" s="113"/>
      <c r="JXM9" s="113"/>
      <c r="JXN9" s="113"/>
      <c r="JXO9" s="113"/>
      <c r="JXP9" s="113"/>
      <c r="JXQ9" s="113"/>
      <c r="JXR9" s="113"/>
      <c r="JXS9" s="113"/>
      <c r="JXT9" s="113"/>
      <c r="JXU9" s="113"/>
      <c r="JXV9" s="113"/>
      <c r="JXW9" s="113"/>
      <c r="JXX9" s="113"/>
      <c r="JXY9" s="113"/>
      <c r="JXZ9" s="113"/>
      <c r="JYA9" s="113"/>
      <c r="JYB9" s="113"/>
      <c r="JYC9" s="113"/>
      <c r="JYD9" s="113"/>
      <c r="JYE9" s="113"/>
      <c r="JYF9" s="113"/>
      <c r="JYG9" s="113"/>
      <c r="JYH9" s="113"/>
      <c r="JYI9" s="113"/>
      <c r="JYJ9" s="113"/>
      <c r="JYK9" s="113"/>
      <c r="JYL9" s="113"/>
      <c r="JYM9" s="113"/>
      <c r="JYN9" s="113"/>
      <c r="JYO9" s="113"/>
      <c r="JYP9" s="113"/>
      <c r="JYQ9" s="113"/>
      <c r="JYR9" s="113"/>
      <c r="JYS9" s="113"/>
      <c r="JYT9" s="113"/>
      <c r="JYU9" s="113"/>
      <c r="JYV9" s="113"/>
      <c r="JYW9" s="113"/>
      <c r="JYX9" s="113"/>
      <c r="JYY9" s="113"/>
      <c r="JYZ9" s="113"/>
      <c r="JZA9" s="113"/>
      <c r="JZB9" s="113"/>
      <c r="JZC9" s="113"/>
      <c r="JZD9" s="113"/>
      <c r="JZE9" s="113"/>
      <c r="JZF9" s="113"/>
      <c r="JZG9" s="113"/>
      <c r="JZH9" s="113"/>
      <c r="JZI9" s="113"/>
      <c r="JZJ9" s="113"/>
      <c r="JZK9" s="113"/>
      <c r="JZL9" s="113"/>
      <c r="JZM9" s="113"/>
      <c r="JZN9" s="113"/>
      <c r="JZO9" s="113"/>
      <c r="JZP9" s="113"/>
      <c r="JZQ9" s="113"/>
      <c r="JZR9" s="113"/>
      <c r="JZS9" s="113"/>
      <c r="JZT9" s="113"/>
      <c r="JZU9" s="113"/>
      <c r="JZV9" s="113"/>
      <c r="JZW9" s="113"/>
      <c r="JZX9" s="113"/>
      <c r="JZY9" s="113"/>
      <c r="JZZ9" s="113"/>
      <c r="KAA9" s="113"/>
      <c r="KAB9" s="113"/>
      <c r="KAC9" s="113"/>
      <c r="KAD9" s="113"/>
      <c r="KAE9" s="113"/>
      <c r="KAF9" s="113"/>
      <c r="KAG9" s="113"/>
      <c r="KAH9" s="113"/>
      <c r="KAI9" s="113"/>
      <c r="KAJ9" s="113"/>
      <c r="KAK9" s="113"/>
      <c r="KAL9" s="113"/>
      <c r="KAM9" s="113"/>
      <c r="KAN9" s="113"/>
      <c r="KAO9" s="113"/>
      <c r="KAP9" s="113"/>
      <c r="KAQ9" s="113"/>
      <c r="KAR9" s="113"/>
      <c r="KAS9" s="113"/>
      <c r="KAT9" s="113"/>
      <c r="KAU9" s="113"/>
      <c r="KAV9" s="113"/>
      <c r="KAW9" s="113"/>
      <c r="KAX9" s="113"/>
      <c r="KAY9" s="113"/>
      <c r="KAZ9" s="113"/>
      <c r="KBA9" s="113"/>
      <c r="KBB9" s="113"/>
      <c r="KBC9" s="113"/>
      <c r="KBD9" s="113"/>
      <c r="KBE9" s="113"/>
      <c r="KBF9" s="113"/>
      <c r="KBG9" s="113"/>
      <c r="KBH9" s="113"/>
      <c r="KBI9" s="113"/>
      <c r="KBJ9" s="113"/>
      <c r="KBK9" s="113"/>
      <c r="KBL9" s="113"/>
      <c r="KBM9" s="113"/>
      <c r="KBN9" s="113"/>
      <c r="KBO9" s="113"/>
      <c r="KBP9" s="113"/>
      <c r="KBQ9" s="113"/>
      <c r="KBR9" s="113"/>
      <c r="KBS9" s="113"/>
      <c r="KBT9" s="113"/>
      <c r="KBU9" s="113"/>
      <c r="KBV9" s="113"/>
      <c r="KBW9" s="113"/>
      <c r="KBX9" s="113"/>
      <c r="KBY9" s="113"/>
      <c r="KBZ9" s="113"/>
      <c r="KCA9" s="113"/>
      <c r="KCB9" s="113"/>
      <c r="KCC9" s="113"/>
      <c r="KCD9" s="113"/>
      <c r="KCE9" s="113"/>
      <c r="KCF9" s="113"/>
      <c r="KCG9" s="113"/>
      <c r="KCH9" s="113"/>
      <c r="KCI9" s="113"/>
      <c r="KCJ9" s="113"/>
      <c r="KCK9" s="113"/>
      <c r="KCL9" s="113"/>
      <c r="KCM9" s="113"/>
      <c r="KCN9" s="113"/>
      <c r="KCO9" s="113"/>
      <c r="KCP9" s="113"/>
      <c r="KCQ9" s="113"/>
      <c r="KCR9" s="113"/>
      <c r="KCS9" s="113"/>
      <c r="KCT9" s="113"/>
      <c r="KCU9" s="113"/>
      <c r="KCV9" s="113"/>
      <c r="KCW9" s="113"/>
      <c r="KCX9" s="113"/>
      <c r="KCY9" s="113"/>
      <c r="KCZ9" s="113"/>
      <c r="KDA9" s="113"/>
      <c r="KDB9" s="113"/>
      <c r="KDC9" s="113"/>
      <c r="KDD9" s="113"/>
      <c r="KDE9" s="113"/>
      <c r="KDF9" s="113"/>
      <c r="KDG9" s="113"/>
      <c r="KDH9" s="113"/>
      <c r="KDI9" s="113"/>
      <c r="KDJ9" s="113"/>
      <c r="KDK9" s="113"/>
      <c r="KDL9" s="113"/>
      <c r="KDM9" s="113"/>
      <c r="KDN9" s="113"/>
      <c r="KDO9" s="113"/>
      <c r="KDP9" s="113"/>
      <c r="KDQ9" s="113"/>
      <c r="KDR9" s="113"/>
      <c r="KDS9" s="113"/>
      <c r="KDT9" s="113"/>
      <c r="KDU9" s="113"/>
      <c r="KDV9" s="113"/>
      <c r="KDW9" s="113"/>
      <c r="KDX9" s="113"/>
      <c r="KDY9" s="113"/>
      <c r="KDZ9" s="113"/>
      <c r="KEA9" s="113"/>
      <c r="KEB9" s="113"/>
      <c r="KEC9" s="113"/>
      <c r="KED9" s="113"/>
      <c r="KEE9" s="113"/>
      <c r="KEF9" s="113"/>
      <c r="KEG9" s="113"/>
      <c r="KEH9" s="113"/>
      <c r="KEI9" s="113"/>
      <c r="KEJ9" s="113"/>
      <c r="KEK9" s="113"/>
      <c r="KEL9" s="113"/>
      <c r="KEM9" s="113"/>
      <c r="KEN9" s="113"/>
      <c r="KEO9" s="113"/>
      <c r="KEP9" s="113"/>
      <c r="KEQ9" s="113"/>
      <c r="KER9" s="113"/>
      <c r="KES9" s="113"/>
      <c r="KET9" s="113"/>
      <c r="KEU9" s="113"/>
      <c r="KEV9" s="113"/>
      <c r="KEW9" s="113"/>
      <c r="KEX9" s="113"/>
      <c r="KEY9" s="113"/>
      <c r="KEZ9" s="113"/>
      <c r="KFA9" s="113"/>
      <c r="KFB9" s="113"/>
      <c r="KFC9" s="113"/>
      <c r="KFD9" s="113"/>
      <c r="KFE9" s="113"/>
      <c r="KFF9" s="113"/>
      <c r="KFG9" s="113"/>
      <c r="KFH9" s="113"/>
      <c r="KFI9" s="113"/>
      <c r="KFJ9" s="113"/>
      <c r="KFK9" s="113"/>
      <c r="KFL9" s="113"/>
      <c r="KFM9" s="113"/>
      <c r="KFN9" s="113"/>
      <c r="KFO9" s="113"/>
      <c r="KFP9" s="113"/>
      <c r="KFQ9" s="113"/>
      <c r="KFR9" s="113"/>
      <c r="KFS9" s="113"/>
      <c r="KFT9" s="113"/>
      <c r="KFU9" s="113"/>
      <c r="KFV9" s="113"/>
      <c r="KFW9" s="113"/>
      <c r="KFX9" s="113"/>
      <c r="KFY9" s="113"/>
      <c r="KFZ9" s="113"/>
      <c r="KGA9" s="113"/>
      <c r="KGB9" s="113"/>
      <c r="KGC9" s="113"/>
      <c r="KGD9" s="113"/>
      <c r="KGE9" s="113"/>
      <c r="KGF9" s="113"/>
      <c r="KGG9" s="113"/>
      <c r="KGH9" s="113"/>
      <c r="KGI9" s="113"/>
      <c r="KGJ9" s="113"/>
      <c r="KGK9" s="113"/>
      <c r="KGL9" s="113"/>
      <c r="KGM9" s="113"/>
      <c r="KGN9" s="113"/>
      <c r="KGO9" s="113"/>
      <c r="KGP9" s="113"/>
      <c r="KGQ9" s="113"/>
      <c r="KGR9" s="113"/>
      <c r="KGS9" s="113"/>
      <c r="KGT9" s="113"/>
      <c r="KGU9" s="113"/>
      <c r="KGV9" s="113"/>
      <c r="KGW9" s="113"/>
      <c r="KGX9" s="113"/>
      <c r="KGY9" s="113"/>
      <c r="KGZ9" s="113"/>
      <c r="KHA9" s="113"/>
      <c r="KHB9" s="113"/>
      <c r="KHC9" s="113"/>
      <c r="KHD9" s="113"/>
      <c r="KHE9" s="113"/>
      <c r="KHF9" s="113"/>
      <c r="KHG9" s="113"/>
      <c r="KHH9" s="113"/>
      <c r="KHI9" s="113"/>
      <c r="KHJ9" s="113"/>
      <c r="KHK9" s="113"/>
      <c r="KHL9" s="113"/>
      <c r="KHM9" s="113"/>
      <c r="KHN9" s="113"/>
      <c r="KHO9" s="113"/>
      <c r="KHP9" s="113"/>
      <c r="KHQ9" s="113"/>
      <c r="KHR9" s="113"/>
      <c r="KHS9" s="113"/>
      <c r="KHT9" s="113"/>
      <c r="KHU9" s="113"/>
      <c r="KHV9" s="113"/>
      <c r="KHW9" s="113"/>
      <c r="KHX9" s="113"/>
      <c r="KHY9" s="113"/>
      <c r="KHZ9" s="113"/>
      <c r="KIA9" s="113"/>
      <c r="KIB9" s="113"/>
      <c r="KIC9" s="113"/>
      <c r="KID9" s="113"/>
      <c r="KIE9" s="113"/>
      <c r="KIF9" s="113"/>
      <c r="KIG9" s="113"/>
      <c r="KIH9" s="113"/>
      <c r="KII9" s="113"/>
      <c r="KIJ9" s="113"/>
      <c r="KIK9" s="113"/>
      <c r="KIL9" s="113"/>
      <c r="KIM9" s="113"/>
      <c r="KIN9" s="113"/>
      <c r="KIO9" s="113"/>
      <c r="KIP9" s="113"/>
      <c r="KIQ9" s="113"/>
      <c r="KIR9" s="113"/>
      <c r="KIS9" s="113"/>
      <c r="KIT9" s="113"/>
      <c r="KIU9" s="113"/>
      <c r="KIV9" s="113"/>
      <c r="KIW9" s="113"/>
      <c r="KIX9" s="113"/>
      <c r="KIY9" s="113"/>
      <c r="KIZ9" s="113"/>
      <c r="KJA9" s="113"/>
      <c r="KJB9" s="113"/>
      <c r="KJC9" s="113"/>
      <c r="KJD9" s="113"/>
      <c r="KJE9" s="113"/>
      <c r="KJF9" s="113"/>
      <c r="KJG9" s="113"/>
      <c r="KJH9" s="113"/>
      <c r="KJI9" s="113"/>
      <c r="KJJ9" s="113"/>
      <c r="KJK9" s="113"/>
      <c r="KJL9" s="113"/>
      <c r="KJM9" s="113"/>
      <c r="KJN9" s="113"/>
      <c r="KJO9" s="113"/>
      <c r="KJP9" s="113"/>
      <c r="KJQ9" s="113"/>
      <c r="KJR9" s="113"/>
      <c r="KJS9" s="113"/>
      <c r="KJT9" s="113"/>
      <c r="KJU9" s="113"/>
      <c r="KJV9" s="113"/>
      <c r="KJW9" s="113"/>
      <c r="KJX9" s="113"/>
      <c r="KJY9" s="113"/>
      <c r="KJZ9" s="113"/>
      <c r="KKA9" s="113"/>
      <c r="KKB9" s="113"/>
      <c r="KKC9" s="113"/>
      <c r="KKD9" s="113"/>
      <c r="KKE9" s="113"/>
      <c r="KKF9" s="113"/>
      <c r="KKG9" s="113"/>
      <c r="KKH9" s="113"/>
      <c r="KKI9" s="113"/>
      <c r="KKJ9" s="113"/>
      <c r="KKK9" s="113"/>
      <c r="KKL9" s="113"/>
      <c r="KKM9" s="113"/>
      <c r="KKN9" s="113"/>
      <c r="KKO9" s="113"/>
      <c r="KKP9" s="113"/>
      <c r="KKQ9" s="113"/>
      <c r="KKR9" s="113"/>
      <c r="KKS9" s="113"/>
      <c r="KKT9" s="113"/>
      <c r="KKU9" s="113"/>
      <c r="KKV9" s="113"/>
      <c r="KKW9" s="113"/>
      <c r="KKX9" s="113"/>
      <c r="KKY9" s="113"/>
      <c r="KKZ9" s="113"/>
      <c r="KLA9" s="113"/>
      <c r="KLB9" s="113"/>
      <c r="KLC9" s="113"/>
      <c r="KLD9" s="113"/>
      <c r="KLE9" s="113"/>
      <c r="KLF9" s="113"/>
      <c r="KLG9" s="113"/>
      <c r="KLH9" s="113"/>
      <c r="KLI9" s="113"/>
      <c r="KLJ9" s="113"/>
      <c r="KLK9" s="113"/>
      <c r="KLL9" s="113"/>
      <c r="KLM9" s="113"/>
      <c r="KLN9" s="113"/>
      <c r="KLO9" s="113"/>
      <c r="KLP9" s="113"/>
      <c r="KLQ9" s="113"/>
      <c r="KLR9" s="113"/>
      <c r="KLS9" s="113"/>
      <c r="KLT9" s="113"/>
      <c r="KLU9" s="113"/>
      <c r="KLV9" s="113"/>
      <c r="KLW9" s="113"/>
      <c r="KLX9" s="113"/>
      <c r="KLY9" s="113"/>
      <c r="KLZ9" s="113"/>
      <c r="KMA9" s="113"/>
      <c r="KMB9" s="113"/>
      <c r="KMC9" s="113"/>
      <c r="KMD9" s="113"/>
      <c r="KME9" s="113"/>
      <c r="KMF9" s="113"/>
      <c r="KMG9" s="113"/>
      <c r="KMH9" s="113"/>
      <c r="KMI9" s="113"/>
      <c r="KMJ9" s="113"/>
      <c r="KMK9" s="113"/>
      <c r="KML9" s="113"/>
      <c r="KMM9" s="113"/>
      <c r="KMN9" s="113"/>
      <c r="KMO9" s="113"/>
      <c r="KMP9" s="113"/>
      <c r="KMQ9" s="113"/>
      <c r="KMR9" s="113"/>
      <c r="KMS9" s="113"/>
      <c r="KMT9" s="113"/>
      <c r="KMU9" s="113"/>
      <c r="KMV9" s="113"/>
      <c r="KMW9" s="113"/>
      <c r="KMX9" s="113"/>
      <c r="KMY9" s="113"/>
      <c r="KMZ9" s="113"/>
      <c r="KNA9" s="113"/>
      <c r="KNB9" s="113"/>
      <c r="KNC9" s="113"/>
      <c r="KND9" s="113"/>
      <c r="KNE9" s="113"/>
      <c r="KNF9" s="113"/>
      <c r="KNG9" s="113"/>
      <c r="KNH9" s="113"/>
      <c r="KNI9" s="113"/>
      <c r="KNJ9" s="113"/>
      <c r="KNK9" s="113"/>
      <c r="KNL9" s="113"/>
      <c r="KNM9" s="113"/>
      <c r="KNN9" s="113"/>
      <c r="KNO9" s="113"/>
      <c r="KNP9" s="113"/>
      <c r="KNQ9" s="113"/>
      <c r="KNR9" s="113"/>
      <c r="KNS9" s="113"/>
      <c r="KNT9" s="113"/>
      <c r="KNU9" s="113"/>
      <c r="KNV9" s="113"/>
      <c r="KNW9" s="113"/>
      <c r="KNX9" s="113"/>
      <c r="KNY9" s="113"/>
      <c r="KNZ9" s="113"/>
      <c r="KOA9" s="113"/>
      <c r="KOB9" s="113"/>
      <c r="KOC9" s="113"/>
      <c r="KOD9" s="113"/>
      <c r="KOE9" s="113"/>
      <c r="KOF9" s="113"/>
      <c r="KOG9" s="113"/>
      <c r="KOH9" s="113"/>
      <c r="KOI9" s="113"/>
      <c r="KOJ9" s="113"/>
      <c r="KOK9" s="113"/>
      <c r="KOL9" s="113"/>
      <c r="KOM9" s="113"/>
      <c r="KON9" s="113"/>
      <c r="KOO9" s="113"/>
      <c r="KOP9" s="113"/>
      <c r="KOQ9" s="113"/>
      <c r="KOR9" s="113"/>
      <c r="KOS9" s="113"/>
      <c r="KOT9" s="113"/>
      <c r="KOU9" s="113"/>
      <c r="KOV9" s="113"/>
      <c r="KOW9" s="113"/>
      <c r="KOX9" s="113"/>
      <c r="KOY9" s="113"/>
      <c r="KOZ9" s="113"/>
      <c r="KPA9" s="113"/>
      <c r="KPB9" s="113"/>
      <c r="KPC9" s="113"/>
      <c r="KPD9" s="113"/>
      <c r="KPE9" s="113"/>
      <c r="KPF9" s="113"/>
      <c r="KPG9" s="113"/>
      <c r="KPH9" s="113"/>
      <c r="KPI9" s="113"/>
      <c r="KPJ9" s="113"/>
      <c r="KPK9" s="113"/>
      <c r="KPL9" s="113"/>
      <c r="KPM9" s="113"/>
      <c r="KPN9" s="113"/>
      <c r="KPO9" s="113"/>
      <c r="KPP9" s="113"/>
      <c r="KPQ9" s="113"/>
      <c r="KPR9" s="113"/>
      <c r="KPS9" s="113"/>
      <c r="KPT9" s="113"/>
      <c r="KPU9" s="113"/>
      <c r="KPV9" s="113"/>
      <c r="KPW9" s="113"/>
      <c r="KPX9" s="113"/>
      <c r="KPY9" s="113"/>
      <c r="KPZ9" s="113"/>
      <c r="KQA9" s="113"/>
      <c r="KQB9" s="113"/>
      <c r="KQC9" s="113"/>
      <c r="KQD9" s="113"/>
      <c r="KQE9" s="113"/>
      <c r="KQF9" s="113"/>
      <c r="KQG9" s="113"/>
      <c r="KQH9" s="113"/>
      <c r="KQI9" s="113"/>
      <c r="KQJ9" s="113"/>
      <c r="KQK9" s="113"/>
      <c r="KQL9" s="113"/>
      <c r="KQM9" s="113"/>
      <c r="KQN9" s="113"/>
      <c r="KQO9" s="113"/>
      <c r="KQP9" s="113"/>
      <c r="KQQ9" s="113"/>
      <c r="KQR9" s="113"/>
      <c r="KQS9" s="113"/>
      <c r="KQT9" s="113"/>
      <c r="KQU9" s="113"/>
      <c r="KQV9" s="113"/>
      <c r="KQW9" s="113"/>
      <c r="KQX9" s="113"/>
      <c r="KQY9" s="113"/>
      <c r="KQZ9" s="113"/>
      <c r="KRA9" s="113"/>
      <c r="KRB9" s="113"/>
      <c r="KRC9" s="113"/>
      <c r="KRD9" s="113"/>
      <c r="KRE9" s="113"/>
      <c r="KRF9" s="113"/>
      <c r="KRG9" s="113"/>
      <c r="KRH9" s="113"/>
      <c r="KRI9" s="113"/>
      <c r="KRJ9" s="113"/>
      <c r="KRK9" s="113"/>
      <c r="KRL9" s="113"/>
      <c r="KRM9" s="113"/>
      <c r="KRN9" s="113"/>
      <c r="KRO9" s="113"/>
      <c r="KRP9" s="113"/>
      <c r="KRQ9" s="113"/>
      <c r="KRR9" s="113"/>
      <c r="KRS9" s="113"/>
      <c r="KRT9" s="113"/>
      <c r="KRU9" s="113"/>
      <c r="KRV9" s="113"/>
      <c r="KRW9" s="113"/>
      <c r="KRX9" s="113"/>
      <c r="KRY9" s="113"/>
      <c r="KRZ9" s="113"/>
      <c r="KSA9" s="113"/>
      <c r="KSB9" s="113"/>
      <c r="KSC9" s="113"/>
      <c r="KSD9" s="113"/>
      <c r="KSE9" s="113"/>
      <c r="KSF9" s="113"/>
      <c r="KSG9" s="113"/>
      <c r="KSH9" s="113"/>
      <c r="KSI9" s="113"/>
      <c r="KSJ9" s="113"/>
      <c r="KSK9" s="113"/>
      <c r="KSL9" s="113"/>
      <c r="KSM9" s="113"/>
      <c r="KSN9" s="113"/>
      <c r="KSO9" s="113"/>
      <c r="KSP9" s="113"/>
      <c r="KSQ9" s="113"/>
      <c r="KSR9" s="113"/>
      <c r="KSS9" s="113"/>
      <c r="KST9" s="113"/>
      <c r="KSU9" s="113"/>
      <c r="KSV9" s="113"/>
      <c r="KSW9" s="113"/>
      <c r="KSX9" s="113"/>
      <c r="KSY9" s="113"/>
      <c r="KSZ9" s="113"/>
      <c r="KTA9" s="113"/>
      <c r="KTB9" s="113"/>
      <c r="KTC9" s="113"/>
      <c r="KTD9" s="113"/>
      <c r="KTE9" s="113"/>
      <c r="KTF9" s="113"/>
      <c r="KTG9" s="113"/>
      <c r="KTH9" s="113"/>
      <c r="KTI9" s="113"/>
      <c r="KTJ9" s="113"/>
      <c r="KTK9" s="113"/>
      <c r="KTL9" s="113"/>
      <c r="KTM9" s="113"/>
      <c r="KTN9" s="113"/>
      <c r="KTO9" s="113"/>
      <c r="KTP9" s="113"/>
      <c r="KTQ9" s="113"/>
      <c r="KTR9" s="113"/>
      <c r="KTS9" s="113"/>
      <c r="KTT9" s="113"/>
      <c r="KTU9" s="113"/>
      <c r="KTV9" s="113"/>
      <c r="KTW9" s="113"/>
      <c r="KTX9" s="113"/>
      <c r="KTY9" s="113"/>
      <c r="KTZ9" s="113"/>
      <c r="KUA9" s="113"/>
      <c r="KUB9" s="113"/>
      <c r="KUC9" s="113"/>
      <c r="KUD9" s="113"/>
      <c r="KUE9" s="113"/>
      <c r="KUF9" s="113"/>
      <c r="KUG9" s="113"/>
      <c r="KUH9" s="113"/>
      <c r="KUI9" s="113"/>
      <c r="KUJ9" s="113"/>
      <c r="KUK9" s="113"/>
      <c r="KUL9" s="113"/>
      <c r="KUM9" s="113"/>
      <c r="KUN9" s="113"/>
      <c r="KUO9" s="113"/>
      <c r="KUP9" s="113"/>
      <c r="KUQ9" s="113"/>
      <c r="KUR9" s="113"/>
      <c r="KUS9" s="113"/>
      <c r="KUT9" s="113"/>
      <c r="KUU9" s="113"/>
      <c r="KUV9" s="113"/>
      <c r="KUW9" s="113"/>
      <c r="KUX9" s="113"/>
      <c r="KUY9" s="113"/>
      <c r="KUZ9" s="113"/>
      <c r="KVA9" s="113"/>
      <c r="KVB9" s="113"/>
      <c r="KVC9" s="113"/>
      <c r="KVD9" s="113"/>
      <c r="KVE9" s="113"/>
      <c r="KVF9" s="113"/>
      <c r="KVG9" s="113"/>
      <c r="KVH9" s="113"/>
      <c r="KVI9" s="113"/>
      <c r="KVJ9" s="113"/>
      <c r="KVK9" s="113"/>
      <c r="KVL9" s="113"/>
      <c r="KVM9" s="113"/>
      <c r="KVN9" s="113"/>
      <c r="KVO9" s="113"/>
      <c r="KVP9" s="113"/>
      <c r="KVQ9" s="113"/>
      <c r="KVR9" s="113"/>
      <c r="KVS9" s="113"/>
      <c r="KVT9" s="113"/>
      <c r="KVU9" s="113"/>
      <c r="KVV9" s="113"/>
      <c r="KVW9" s="113"/>
      <c r="KVX9" s="113"/>
      <c r="KVY9" s="113"/>
      <c r="KVZ9" s="113"/>
      <c r="KWA9" s="113"/>
      <c r="KWB9" s="113"/>
      <c r="KWC9" s="113"/>
      <c r="KWD9" s="113"/>
      <c r="KWE9" s="113"/>
      <c r="KWF9" s="113"/>
      <c r="KWG9" s="113"/>
      <c r="KWH9" s="113"/>
      <c r="KWI9" s="113"/>
      <c r="KWJ9" s="113"/>
      <c r="KWK9" s="113"/>
      <c r="KWL9" s="113"/>
      <c r="KWM9" s="113"/>
      <c r="KWN9" s="113"/>
      <c r="KWO9" s="113"/>
      <c r="KWP9" s="113"/>
      <c r="KWQ9" s="113"/>
      <c r="KWR9" s="113"/>
      <c r="KWS9" s="113"/>
      <c r="KWT9" s="113"/>
      <c r="KWU9" s="113"/>
      <c r="KWV9" s="113"/>
      <c r="KWW9" s="113"/>
      <c r="KWX9" s="113"/>
      <c r="KWY9" s="113"/>
      <c r="KWZ9" s="113"/>
      <c r="KXA9" s="113"/>
      <c r="KXB9" s="113"/>
      <c r="KXC9" s="113"/>
      <c r="KXD9" s="113"/>
      <c r="KXE9" s="113"/>
      <c r="KXF9" s="113"/>
      <c r="KXG9" s="113"/>
      <c r="KXH9" s="113"/>
      <c r="KXI9" s="113"/>
      <c r="KXJ9" s="113"/>
      <c r="KXK9" s="113"/>
      <c r="KXL9" s="113"/>
      <c r="KXM9" s="113"/>
      <c r="KXN9" s="113"/>
      <c r="KXO9" s="113"/>
      <c r="KXP9" s="113"/>
      <c r="KXQ9" s="113"/>
      <c r="KXR9" s="113"/>
      <c r="KXS9" s="113"/>
      <c r="KXT9" s="113"/>
      <c r="KXU9" s="113"/>
      <c r="KXV9" s="113"/>
      <c r="KXW9" s="113"/>
      <c r="KXX9" s="113"/>
      <c r="KXY9" s="113"/>
      <c r="KXZ9" s="113"/>
      <c r="KYA9" s="113"/>
      <c r="KYB9" s="113"/>
      <c r="KYC9" s="113"/>
      <c r="KYD9" s="113"/>
      <c r="KYE9" s="113"/>
      <c r="KYF9" s="113"/>
      <c r="KYG9" s="113"/>
      <c r="KYH9" s="113"/>
      <c r="KYI9" s="113"/>
      <c r="KYJ9" s="113"/>
      <c r="KYK9" s="113"/>
      <c r="KYL9" s="113"/>
      <c r="KYM9" s="113"/>
      <c r="KYN9" s="113"/>
      <c r="KYO9" s="113"/>
      <c r="KYP9" s="113"/>
      <c r="KYQ9" s="113"/>
      <c r="KYR9" s="113"/>
      <c r="KYS9" s="113"/>
      <c r="KYT9" s="113"/>
      <c r="KYU9" s="113"/>
      <c r="KYV9" s="113"/>
      <c r="KYW9" s="113"/>
      <c r="KYX9" s="113"/>
      <c r="KYY9" s="113"/>
      <c r="KYZ9" s="113"/>
      <c r="KZA9" s="113"/>
      <c r="KZB9" s="113"/>
      <c r="KZC9" s="113"/>
      <c r="KZD9" s="113"/>
      <c r="KZE9" s="113"/>
      <c r="KZF9" s="113"/>
      <c r="KZG9" s="113"/>
      <c r="KZH9" s="113"/>
      <c r="KZI9" s="113"/>
      <c r="KZJ9" s="113"/>
      <c r="KZK9" s="113"/>
      <c r="KZL9" s="113"/>
      <c r="KZM9" s="113"/>
      <c r="KZN9" s="113"/>
      <c r="KZO9" s="113"/>
      <c r="KZP9" s="113"/>
      <c r="KZQ9" s="113"/>
      <c r="KZR9" s="113"/>
      <c r="KZS9" s="113"/>
      <c r="KZT9" s="113"/>
      <c r="KZU9" s="113"/>
      <c r="KZV9" s="113"/>
      <c r="KZW9" s="113"/>
      <c r="KZX9" s="113"/>
      <c r="KZY9" s="113"/>
      <c r="KZZ9" s="113"/>
      <c r="LAA9" s="113"/>
      <c r="LAB9" s="113"/>
      <c r="LAC9" s="113"/>
      <c r="LAD9" s="113"/>
      <c r="LAE9" s="113"/>
      <c r="LAF9" s="113"/>
      <c r="LAG9" s="113"/>
      <c r="LAH9" s="113"/>
      <c r="LAI9" s="113"/>
      <c r="LAJ9" s="113"/>
      <c r="LAK9" s="113"/>
      <c r="LAL9" s="113"/>
      <c r="LAM9" s="113"/>
      <c r="LAN9" s="113"/>
      <c r="LAO9" s="113"/>
      <c r="LAP9" s="113"/>
      <c r="LAQ9" s="113"/>
      <c r="LAR9" s="113"/>
      <c r="LAS9" s="113"/>
      <c r="LAT9" s="113"/>
      <c r="LAU9" s="113"/>
      <c r="LAV9" s="113"/>
      <c r="LAW9" s="113"/>
      <c r="LAX9" s="113"/>
      <c r="LAY9" s="113"/>
      <c r="LAZ9" s="113"/>
      <c r="LBA9" s="113"/>
      <c r="LBB9" s="113"/>
      <c r="LBC9" s="113"/>
      <c r="LBD9" s="113"/>
      <c r="LBE9" s="113"/>
      <c r="LBF9" s="113"/>
      <c r="LBG9" s="113"/>
      <c r="LBH9" s="113"/>
      <c r="LBI9" s="113"/>
      <c r="LBJ9" s="113"/>
      <c r="LBK9" s="113"/>
      <c r="LBL9" s="113"/>
      <c r="LBM9" s="113"/>
      <c r="LBN9" s="113"/>
      <c r="LBO9" s="113"/>
      <c r="LBP9" s="113"/>
      <c r="LBQ9" s="113"/>
      <c r="LBR9" s="113"/>
      <c r="LBS9" s="113"/>
      <c r="LBT9" s="113"/>
      <c r="LBU9" s="113"/>
      <c r="LBV9" s="113"/>
      <c r="LBW9" s="113"/>
      <c r="LBX9" s="113"/>
      <c r="LBY9" s="113"/>
      <c r="LBZ9" s="113"/>
      <c r="LCA9" s="113"/>
      <c r="LCB9" s="113"/>
      <c r="LCC9" s="113"/>
      <c r="LCD9" s="113"/>
      <c r="LCE9" s="113"/>
      <c r="LCF9" s="113"/>
      <c r="LCG9" s="113"/>
      <c r="LCH9" s="113"/>
      <c r="LCI9" s="113"/>
      <c r="LCJ9" s="113"/>
      <c r="LCK9" s="113"/>
      <c r="LCL9" s="113"/>
      <c r="LCM9" s="113"/>
      <c r="LCN9" s="113"/>
      <c r="LCO9" s="113"/>
      <c r="LCP9" s="113"/>
      <c r="LCQ9" s="113"/>
      <c r="LCR9" s="113"/>
      <c r="LCS9" s="113"/>
      <c r="LCT9" s="113"/>
      <c r="LCU9" s="113"/>
      <c r="LCV9" s="113"/>
      <c r="LCW9" s="113"/>
      <c r="LCX9" s="113"/>
      <c r="LCY9" s="113"/>
      <c r="LCZ9" s="113"/>
      <c r="LDA9" s="113"/>
      <c r="LDB9" s="113"/>
      <c r="LDC9" s="113"/>
      <c r="LDD9" s="113"/>
      <c r="LDE9" s="113"/>
      <c r="LDF9" s="113"/>
      <c r="LDG9" s="113"/>
      <c r="LDH9" s="113"/>
      <c r="LDI9" s="113"/>
      <c r="LDJ9" s="113"/>
      <c r="LDK9" s="113"/>
      <c r="LDL9" s="113"/>
      <c r="LDM9" s="113"/>
      <c r="LDN9" s="113"/>
      <c r="LDO9" s="113"/>
      <c r="LDP9" s="113"/>
      <c r="LDQ9" s="113"/>
      <c r="LDR9" s="113"/>
      <c r="LDS9" s="113"/>
      <c r="LDT9" s="113"/>
      <c r="LDU9" s="113"/>
      <c r="LDV9" s="113"/>
      <c r="LDW9" s="113"/>
      <c r="LDX9" s="113"/>
      <c r="LDY9" s="113"/>
      <c r="LDZ9" s="113"/>
      <c r="LEA9" s="113"/>
      <c r="LEB9" s="113"/>
      <c r="LEC9" s="113"/>
      <c r="LED9" s="113"/>
      <c r="LEE9" s="113"/>
      <c r="LEF9" s="113"/>
      <c r="LEG9" s="113"/>
      <c r="LEH9" s="113"/>
      <c r="LEI9" s="113"/>
      <c r="LEJ9" s="113"/>
      <c r="LEK9" s="113"/>
      <c r="LEL9" s="113"/>
      <c r="LEM9" s="113"/>
      <c r="LEN9" s="113"/>
      <c r="LEO9" s="113"/>
      <c r="LEP9" s="113"/>
      <c r="LEQ9" s="113"/>
      <c r="LER9" s="113"/>
      <c r="LES9" s="113"/>
      <c r="LET9" s="113"/>
      <c r="LEU9" s="113"/>
      <c r="LEV9" s="113"/>
      <c r="LEW9" s="113"/>
      <c r="LEX9" s="113"/>
      <c r="LEY9" s="113"/>
      <c r="LEZ9" s="113"/>
      <c r="LFA9" s="113"/>
      <c r="LFB9" s="113"/>
      <c r="LFC9" s="113"/>
      <c r="LFD9" s="113"/>
      <c r="LFE9" s="113"/>
      <c r="LFF9" s="113"/>
      <c r="LFG9" s="113"/>
      <c r="LFH9" s="113"/>
      <c r="LFI9" s="113"/>
      <c r="LFJ9" s="113"/>
      <c r="LFK9" s="113"/>
      <c r="LFL9" s="113"/>
      <c r="LFM9" s="113"/>
      <c r="LFN9" s="113"/>
      <c r="LFO9" s="113"/>
      <c r="LFP9" s="113"/>
      <c r="LFQ9" s="113"/>
      <c r="LFR9" s="113"/>
      <c r="LFS9" s="113"/>
      <c r="LFT9" s="113"/>
      <c r="LFU9" s="113"/>
      <c r="LFV9" s="113"/>
      <c r="LFW9" s="113"/>
      <c r="LFX9" s="113"/>
      <c r="LFY9" s="113"/>
      <c r="LFZ9" s="113"/>
      <c r="LGA9" s="113"/>
      <c r="LGB9" s="113"/>
      <c r="LGC9" s="113"/>
      <c r="LGD9" s="113"/>
      <c r="LGE9" s="113"/>
      <c r="LGF9" s="113"/>
      <c r="LGG9" s="113"/>
      <c r="LGH9" s="113"/>
      <c r="LGI9" s="113"/>
      <c r="LGJ9" s="113"/>
      <c r="LGK9" s="113"/>
      <c r="LGL9" s="113"/>
      <c r="LGM9" s="113"/>
      <c r="LGN9" s="113"/>
      <c r="LGO9" s="113"/>
      <c r="LGP9" s="113"/>
      <c r="LGQ9" s="113"/>
      <c r="LGR9" s="113"/>
      <c r="LGS9" s="113"/>
      <c r="LGT9" s="113"/>
      <c r="LGU9" s="113"/>
      <c r="LGV9" s="113"/>
      <c r="LGW9" s="113"/>
      <c r="LGX9" s="113"/>
      <c r="LGY9" s="113"/>
      <c r="LGZ9" s="113"/>
      <c r="LHA9" s="113"/>
      <c r="LHB9" s="113"/>
      <c r="LHC9" s="113"/>
      <c r="LHD9" s="113"/>
      <c r="LHE9" s="113"/>
      <c r="LHF9" s="113"/>
      <c r="LHG9" s="113"/>
      <c r="LHH9" s="113"/>
      <c r="LHI9" s="113"/>
      <c r="LHJ9" s="113"/>
      <c r="LHK9" s="113"/>
      <c r="LHL9" s="113"/>
      <c r="LHM9" s="113"/>
      <c r="LHN9" s="113"/>
      <c r="LHO9" s="113"/>
      <c r="LHP9" s="113"/>
      <c r="LHQ9" s="113"/>
      <c r="LHR9" s="113"/>
      <c r="LHS9" s="113"/>
      <c r="LHT9" s="113"/>
      <c r="LHU9" s="113"/>
      <c r="LHV9" s="113"/>
      <c r="LHW9" s="113"/>
      <c r="LHX9" s="113"/>
      <c r="LHY9" s="113"/>
      <c r="LHZ9" s="113"/>
      <c r="LIA9" s="113"/>
      <c r="LIB9" s="113"/>
      <c r="LIC9" s="113"/>
      <c r="LID9" s="113"/>
      <c r="LIE9" s="113"/>
      <c r="LIF9" s="113"/>
      <c r="LIG9" s="113"/>
      <c r="LIH9" s="113"/>
      <c r="LII9" s="113"/>
      <c r="LIJ9" s="113"/>
      <c r="LIK9" s="113"/>
      <c r="LIL9" s="113"/>
      <c r="LIM9" s="113"/>
      <c r="LIN9" s="113"/>
      <c r="LIO9" s="113"/>
      <c r="LIP9" s="113"/>
      <c r="LIQ9" s="113"/>
      <c r="LIR9" s="113"/>
      <c r="LIS9" s="113"/>
      <c r="LIT9" s="113"/>
      <c r="LIU9" s="113"/>
      <c r="LIV9" s="113"/>
      <c r="LIW9" s="113"/>
      <c r="LIX9" s="113"/>
      <c r="LIY9" s="113"/>
      <c r="LIZ9" s="113"/>
      <c r="LJA9" s="113"/>
      <c r="LJB9" s="113"/>
      <c r="LJC9" s="113"/>
      <c r="LJD9" s="113"/>
      <c r="LJE9" s="113"/>
      <c r="LJF9" s="113"/>
      <c r="LJG9" s="113"/>
      <c r="LJH9" s="113"/>
      <c r="LJI9" s="113"/>
      <c r="LJJ9" s="113"/>
      <c r="LJK9" s="113"/>
      <c r="LJL9" s="113"/>
      <c r="LJM9" s="113"/>
      <c r="LJN9" s="113"/>
      <c r="LJO9" s="113"/>
      <c r="LJP9" s="113"/>
      <c r="LJQ9" s="113"/>
      <c r="LJR9" s="113"/>
      <c r="LJS9" s="113"/>
      <c r="LJT9" s="113"/>
      <c r="LJU9" s="113"/>
      <c r="LJV9" s="113"/>
      <c r="LJW9" s="113"/>
      <c r="LJX9" s="113"/>
      <c r="LJY9" s="113"/>
      <c r="LJZ9" s="113"/>
      <c r="LKA9" s="113"/>
      <c r="LKB9" s="113"/>
      <c r="LKC9" s="113"/>
      <c r="LKD9" s="113"/>
      <c r="LKE9" s="113"/>
      <c r="LKF9" s="113"/>
      <c r="LKG9" s="113"/>
      <c r="LKH9" s="113"/>
      <c r="LKI9" s="113"/>
      <c r="LKJ9" s="113"/>
      <c r="LKK9" s="113"/>
      <c r="LKL9" s="113"/>
      <c r="LKM9" s="113"/>
      <c r="LKN9" s="113"/>
      <c r="LKO9" s="113"/>
      <c r="LKP9" s="113"/>
      <c r="LKQ9" s="113"/>
      <c r="LKR9" s="113"/>
      <c r="LKS9" s="113"/>
      <c r="LKT9" s="113"/>
      <c r="LKU9" s="113"/>
      <c r="LKV9" s="113"/>
      <c r="LKW9" s="113"/>
      <c r="LKX9" s="113"/>
      <c r="LKY9" s="113"/>
      <c r="LKZ9" s="113"/>
      <c r="LLA9" s="113"/>
      <c r="LLB9" s="113"/>
      <c r="LLC9" s="113"/>
      <c r="LLD9" s="113"/>
      <c r="LLE9" s="113"/>
      <c r="LLF9" s="113"/>
      <c r="LLG9" s="113"/>
      <c r="LLH9" s="113"/>
      <c r="LLI9" s="113"/>
      <c r="LLJ9" s="113"/>
      <c r="LLK9" s="113"/>
      <c r="LLL9" s="113"/>
      <c r="LLM9" s="113"/>
      <c r="LLN9" s="113"/>
      <c r="LLO9" s="113"/>
      <c r="LLP9" s="113"/>
      <c r="LLQ9" s="113"/>
      <c r="LLR9" s="113"/>
      <c r="LLS9" s="113"/>
      <c r="LLT9" s="113"/>
      <c r="LLU9" s="113"/>
      <c r="LLV9" s="113"/>
      <c r="LLW9" s="113"/>
      <c r="LLX9" s="113"/>
      <c r="LLY9" s="113"/>
      <c r="LLZ9" s="113"/>
      <c r="LMA9" s="113"/>
      <c r="LMB9" s="113"/>
      <c r="LMC9" s="113"/>
      <c r="LMD9" s="113"/>
      <c r="LME9" s="113"/>
      <c r="LMF9" s="113"/>
      <c r="LMG9" s="113"/>
      <c r="LMH9" s="113"/>
      <c r="LMI9" s="113"/>
      <c r="LMJ9" s="113"/>
      <c r="LMK9" s="113"/>
      <c r="LML9" s="113"/>
      <c r="LMM9" s="113"/>
      <c r="LMN9" s="113"/>
      <c r="LMO9" s="113"/>
      <c r="LMP9" s="113"/>
      <c r="LMQ9" s="113"/>
      <c r="LMR9" s="113"/>
      <c r="LMS9" s="113"/>
      <c r="LMT9" s="113"/>
      <c r="LMU9" s="113"/>
      <c r="LMV9" s="113"/>
      <c r="LMW9" s="113"/>
      <c r="LMX9" s="113"/>
      <c r="LMY9" s="113"/>
      <c r="LMZ9" s="113"/>
      <c r="LNA9" s="113"/>
      <c r="LNB9" s="113"/>
      <c r="LNC9" s="113"/>
      <c r="LND9" s="113"/>
      <c r="LNE9" s="113"/>
      <c r="LNF9" s="113"/>
      <c r="LNG9" s="113"/>
      <c r="LNH9" s="113"/>
      <c r="LNI9" s="113"/>
      <c r="LNJ9" s="113"/>
      <c r="LNK9" s="113"/>
      <c r="LNL9" s="113"/>
      <c r="LNM9" s="113"/>
      <c r="LNN9" s="113"/>
      <c r="LNO9" s="113"/>
      <c r="LNP9" s="113"/>
      <c r="LNQ9" s="113"/>
      <c r="LNR9" s="113"/>
      <c r="LNS9" s="113"/>
      <c r="LNT9" s="113"/>
      <c r="LNU9" s="113"/>
      <c r="LNV9" s="113"/>
      <c r="LNW9" s="113"/>
      <c r="LNX9" s="113"/>
      <c r="LNY9" s="113"/>
      <c r="LNZ9" s="113"/>
      <c r="LOA9" s="113"/>
      <c r="LOB9" s="113"/>
      <c r="LOC9" s="113"/>
      <c r="LOD9" s="113"/>
      <c r="LOE9" s="113"/>
      <c r="LOF9" s="113"/>
      <c r="LOG9" s="113"/>
      <c r="LOH9" s="113"/>
      <c r="LOI9" s="113"/>
      <c r="LOJ9" s="113"/>
      <c r="LOK9" s="113"/>
      <c r="LOL9" s="113"/>
      <c r="LOM9" s="113"/>
      <c r="LON9" s="113"/>
      <c r="LOO9" s="113"/>
      <c r="LOP9" s="113"/>
      <c r="LOQ9" s="113"/>
      <c r="LOR9" s="113"/>
      <c r="LOS9" s="113"/>
      <c r="LOT9" s="113"/>
      <c r="LOU9" s="113"/>
      <c r="LOV9" s="113"/>
      <c r="LOW9" s="113"/>
      <c r="LOX9" s="113"/>
      <c r="LOY9" s="113"/>
      <c r="LOZ9" s="113"/>
      <c r="LPA9" s="113"/>
      <c r="LPB9" s="113"/>
      <c r="LPC9" s="113"/>
      <c r="LPD9" s="113"/>
      <c r="LPE9" s="113"/>
      <c r="LPF9" s="113"/>
      <c r="LPG9" s="113"/>
      <c r="LPH9" s="113"/>
      <c r="LPI9" s="113"/>
      <c r="LPJ9" s="113"/>
      <c r="LPK9" s="113"/>
      <c r="LPL9" s="113"/>
      <c r="LPM9" s="113"/>
      <c r="LPN9" s="113"/>
      <c r="LPO9" s="113"/>
      <c r="LPP9" s="113"/>
      <c r="LPQ9" s="113"/>
      <c r="LPR9" s="113"/>
      <c r="LPS9" s="113"/>
      <c r="LPT9" s="113"/>
      <c r="LPU9" s="113"/>
      <c r="LPV9" s="113"/>
      <c r="LPW9" s="113"/>
      <c r="LPX9" s="113"/>
      <c r="LPY9" s="113"/>
      <c r="LPZ9" s="113"/>
      <c r="LQA9" s="113"/>
      <c r="LQB9" s="113"/>
      <c r="LQC9" s="113"/>
      <c r="LQD9" s="113"/>
      <c r="LQE9" s="113"/>
      <c r="LQF9" s="113"/>
      <c r="LQG9" s="113"/>
      <c r="LQH9" s="113"/>
      <c r="LQI9" s="113"/>
      <c r="LQJ9" s="113"/>
      <c r="LQK9" s="113"/>
      <c r="LQL9" s="113"/>
      <c r="LQM9" s="113"/>
      <c r="LQN9" s="113"/>
      <c r="LQO9" s="113"/>
      <c r="LQP9" s="113"/>
      <c r="LQQ9" s="113"/>
      <c r="LQR9" s="113"/>
      <c r="LQS9" s="113"/>
      <c r="LQT9" s="113"/>
      <c r="LQU9" s="113"/>
      <c r="LQV9" s="113"/>
      <c r="LQW9" s="113"/>
      <c r="LQX9" s="113"/>
      <c r="LQY9" s="113"/>
      <c r="LQZ9" s="113"/>
      <c r="LRA9" s="113"/>
      <c r="LRB9" s="113"/>
      <c r="LRC9" s="113"/>
      <c r="LRD9" s="113"/>
      <c r="LRE9" s="113"/>
      <c r="LRF9" s="113"/>
      <c r="LRG9" s="113"/>
      <c r="LRH9" s="113"/>
      <c r="LRI9" s="113"/>
      <c r="LRJ9" s="113"/>
      <c r="LRK9" s="113"/>
      <c r="LRL9" s="113"/>
      <c r="LRM9" s="113"/>
      <c r="LRN9" s="113"/>
      <c r="LRO9" s="113"/>
      <c r="LRP9" s="113"/>
      <c r="LRQ9" s="113"/>
      <c r="LRR9" s="113"/>
      <c r="LRS9" s="113"/>
      <c r="LRT9" s="113"/>
      <c r="LRU9" s="113"/>
      <c r="LRV9" s="113"/>
      <c r="LRW9" s="113"/>
      <c r="LRX9" s="113"/>
      <c r="LRY9" s="113"/>
      <c r="LRZ9" s="113"/>
      <c r="LSA9" s="113"/>
      <c r="LSB9" s="113"/>
      <c r="LSC9" s="113"/>
      <c r="LSD9" s="113"/>
      <c r="LSE9" s="113"/>
      <c r="LSF9" s="113"/>
      <c r="LSG9" s="113"/>
      <c r="LSH9" s="113"/>
      <c r="LSI9" s="113"/>
      <c r="LSJ9" s="113"/>
      <c r="LSK9" s="113"/>
      <c r="LSL9" s="113"/>
      <c r="LSM9" s="113"/>
      <c r="LSN9" s="113"/>
      <c r="LSO9" s="113"/>
      <c r="LSP9" s="113"/>
      <c r="LSQ9" s="113"/>
      <c r="LSR9" s="113"/>
      <c r="LSS9" s="113"/>
      <c r="LST9" s="113"/>
      <c r="LSU9" s="113"/>
      <c r="LSV9" s="113"/>
      <c r="LSW9" s="113"/>
      <c r="LSX9" s="113"/>
      <c r="LSY9" s="113"/>
      <c r="LSZ9" s="113"/>
      <c r="LTA9" s="113"/>
      <c r="LTB9" s="113"/>
      <c r="LTC9" s="113"/>
      <c r="LTD9" s="113"/>
      <c r="LTE9" s="113"/>
      <c r="LTF9" s="113"/>
      <c r="LTG9" s="113"/>
      <c r="LTH9" s="113"/>
      <c r="LTI9" s="113"/>
      <c r="LTJ9" s="113"/>
      <c r="LTK9" s="113"/>
      <c r="LTL9" s="113"/>
      <c r="LTM9" s="113"/>
      <c r="LTN9" s="113"/>
      <c r="LTO9" s="113"/>
      <c r="LTP9" s="113"/>
      <c r="LTQ9" s="113"/>
      <c r="LTR9" s="113"/>
      <c r="LTS9" s="113"/>
      <c r="LTT9" s="113"/>
      <c r="LTU9" s="113"/>
      <c r="LTV9" s="113"/>
      <c r="LTW9" s="113"/>
      <c r="LTX9" s="113"/>
      <c r="LTY9" s="113"/>
      <c r="LTZ9" s="113"/>
      <c r="LUA9" s="113"/>
      <c r="LUB9" s="113"/>
      <c r="LUC9" s="113"/>
      <c r="LUD9" s="113"/>
      <c r="LUE9" s="113"/>
      <c r="LUF9" s="113"/>
      <c r="LUG9" s="113"/>
      <c r="LUH9" s="113"/>
      <c r="LUI9" s="113"/>
      <c r="LUJ9" s="113"/>
      <c r="LUK9" s="113"/>
      <c r="LUL9" s="113"/>
      <c r="LUM9" s="113"/>
      <c r="LUN9" s="113"/>
      <c r="LUO9" s="113"/>
      <c r="LUP9" s="113"/>
      <c r="LUQ9" s="113"/>
      <c r="LUR9" s="113"/>
      <c r="LUS9" s="113"/>
      <c r="LUT9" s="113"/>
      <c r="LUU9" s="113"/>
      <c r="LUV9" s="113"/>
      <c r="LUW9" s="113"/>
      <c r="LUX9" s="113"/>
      <c r="LUY9" s="113"/>
      <c r="LUZ9" s="113"/>
      <c r="LVA9" s="113"/>
      <c r="LVB9" s="113"/>
      <c r="LVC9" s="113"/>
      <c r="LVD9" s="113"/>
      <c r="LVE9" s="113"/>
      <c r="LVF9" s="113"/>
      <c r="LVG9" s="113"/>
      <c r="LVH9" s="113"/>
      <c r="LVI9" s="113"/>
      <c r="LVJ9" s="113"/>
      <c r="LVK9" s="113"/>
      <c r="LVL9" s="113"/>
      <c r="LVM9" s="113"/>
      <c r="LVN9" s="113"/>
      <c r="LVO9" s="113"/>
      <c r="LVP9" s="113"/>
      <c r="LVQ9" s="113"/>
      <c r="LVR9" s="113"/>
      <c r="LVS9" s="113"/>
      <c r="LVT9" s="113"/>
      <c r="LVU9" s="113"/>
      <c r="LVV9" s="113"/>
      <c r="LVW9" s="113"/>
      <c r="LVX9" s="113"/>
      <c r="LVY9" s="113"/>
      <c r="LVZ9" s="113"/>
      <c r="LWA9" s="113"/>
      <c r="LWB9" s="113"/>
      <c r="LWC9" s="113"/>
      <c r="LWD9" s="113"/>
      <c r="LWE9" s="113"/>
      <c r="LWF9" s="113"/>
      <c r="LWG9" s="113"/>
      <c r="LWH9" s="113"/>
      <c r="LWI9" s="113"/>
      <c r="LWJ9" s="113"/>
      <c r="LWK9" s="113"/>
      <c r="LWL9" s="113"/>
      <c r="LWM9" s="113"/>
      <c r="LWN9" s="113"/>
      <c r="LWO9" s="113"/>
      <c r="LWP9" s="113"/>
      <c r="LWQ9" s="113"/>
      <c r="LWR9" s="113"/>
      <c r="LWS9" s="113"/>
      <c r="LWT9" s="113"/>
      <c r="LWU9" s="113"/>
      <c r="LWV9" s="113"/>
      <c r="LWW9" s="113"/>
      <c r="LWX9" s="113"/>
      <c r="LWY9" s="113"/>
      <c r="LWZ9" s="113"/>
      <c r="LXA9" s="113"/>
      <c r="LXB9" s="113"/>
      <c r="LXC9" s="113"/>
      <c r="LXD9" s="113"/>
      <c r="LXE9" s="113"/>
      <c r="LXF9" s="113"/>
      <c r="LXG9" s="113"/>
      <c r="LXH9" s="113"/>
      <c r="LXI9" s="113"/>
      <c r="LXJ9" s="113"/>
      <c r="LXK9" s="113"/>
      <c r="LXL9" s="113"/>
      <c r="LXM9" s="113"/>
      <c r="LXN9" s="113"/>
      <c r="LXO9" s="113"/>
      <c r="LXP9" s="113"/>
      <c r="LXQ9" s="113"/>
      <c r="LXR9" s="113"/>
      <c r="LXS9" s="113"/>
      <c r="LXT9" s="113"/>
      <c r="LXU9" s="113"/>
      <c r="LXV9" s="113"/>
      <c r="LXW9" s="113"/>
      <c r="LXX9" s="113"/>
      <c r="LXY9" s="113"/>
      <c r="LXZ9" s="113"/>
      <c r="LYA9" s="113"/>
      <c r="LYB9" s="113"/>
      <c r="LYC9" s="113"/>
      <c r="LYD9" s="113"/>
      <c r="LYE9" s="113"/>
      <c r="LYF9" s="113"/>
      <c r="LYG9" s="113"/>
      <c r="LYH9" s="113"/>
      <c r="LYI9" s="113"/>
      <c r="LYJ9" s="113"/>
      <c r="LYK9" s="113"/>
      <c r="LYL9" s="113"/>
      <c r="LYM9" s="113"/>
      <c r="LYN9" s="113"/>
      <c r="LYO9" s="113"/>
      <c r="LYP9" s="113"/>
      <c r="LYQ9" s="113"/>
      <c r="LYR9" s="113"/>
      <c r="LYS9" s="113"/>
      <c r="LYT9" s="113"/>
      <c r="LYU9" s="113"/>
      <c r="LYV9" s="113"/>
      <c r="LYW9" s="113"/>
      <c r="LYX9" s="113"/>
      <c r="LYY9" s="113"/>
      <c r="LYZ9" s="113"/>
      <c r="LZA9" s="113"/>
      <c r="LZB9" s="113"/>
      <c r="LZC9" s="113"/>
      <c r="LZD9" s="113"/>
      <c r="LZE9" s="113"/>
      <c r="LZF9" s="113"/>
      <c r="LZG9" s="113"/>
      <c r="LZH9" s="113"/>
      <c r="LZI9" s="113"/>
      <c r="LZJ9" s="113"/>
      <c r="LZK9" s="113"/>
      <c r="LZL9" s="113"/>
      <c r="LZM9" s="113"/>
      <c r="LZN9" s="113"/>
      <c r="LZO9" s="113"/>
      <c r="LZP9" s="113"/>
      <c r="LZQ9" s="113"/>
      <c r="LZR9" s="113"/>
      <c r="LZS9" s="113"/>
      <c r="LZT9" s="113"/>
      <c r="LZU9" s="113"/>
      <c r="LZV9" s="113"/>
      <c r="LZW9" s="113"/>
      <c r="LZX9" s="113"/>
      <c r="LZY9" s="113"/>
      <c r="LZZ9" s="113"/>
      <c r="MAA9" s="113"/>
      <c r="MAB9" s="113"/>
      <c r="MAC9" s="113"/>
      <c r="MAD9" s="113"/>
      <c r="MAE9" s="113"/>
      <c r="MAF9" s="113"/>
      <c r="MAG9" s="113"/>
      <c r="MAH9" s="113"/>
      <c r="MAI9" s="113"/>
      <c r="MAJ9" s="113"/>
      <c r="MAK9" s="113"/>
      <c r="MAL9" s="113"/>
      <c r="MAM9" s="113"/>
      <c r="MAN9" s="113"/>
      <c r="MAO9" s="113"/>
      <c r="MAP9" s="113"/>
      <c r="MAQ9" s="113"/>
      <c r="MAR9" s="113"/>
      <c r="MAS9" s="113"/>
      <c r="MAT9" s="113"/>
      <c r="MAU9" s="113"/>
      <c r="MAV9" s="113"/>
      <c r="MAW9" s="113"/>
      <c r="MAX9" s="113"/>
      <c r="MAY9" s="113"/>
      <c r="MAZ9" s="113"/>
      <c r="MBA9" s="113"/>
      <c r="MBB9" s="113"/>
      <c r="MBC9" s="113"/>
      <c r="MBD9" s="113"/>
      <c r="MBE9" s="113"/>
      <c r="MBF9" s="113"/>
      <c r="MBG9" s="113"/>
      <c r="MBH9" s="113"/>
      <c r="MBI9" s="113"/>
      <c r="MBJ9" s="113"/>
      <c r="MBK9" s="113"/>
      <c r="MBL9" s="113"/>
      <c r="MBM9" s="113"/>
      <c r="MBN9" s="113"/>
      <c r="MBO9" s="113"/>
      <c r="MBP9" s="113"/>
      <c r="MBQ9" s="113"/>
      <c r="MBR9" s="113"/>
      <c r="MBS9" s="113"/>
      <c r="MBT9" s="113"/>
      <c r="MBU9" s="113"/>
      <c r="MBV9" s="113"/>
      <c r="MBW9" s="113"/>
      <c r="MBX9" s="113"/>
      <c r="MBY9" s="113"/>
      <c r="MBZ9" s="113"/>
      <c r="MCA9" s="113"/>
      <c r="MCB9" s="113"/>
      <c r="MCC9" s="113"/>
      <c r="MCD9" s="113"/>
      <c r="MCE9" s="113"/>
      <c r="MCF9" s="113"/>
      <c r="MCG9" s="113"/>
      <c r="MCH9" s="113"/>
      <c r="MCI9" s="113"/>
      <c r="MCJ9" s="113"/>
      <c r="MCK9" s="113"/>
      <c r="MCL9" s="113"/>
      <c r="MCM9" s="113"/>
      <c r="MCN9" s="113"/>
      <c r="MCO9" s="113"/>
      <c r="MCP9" s="113"/>
      <c r="MCQ9" s="113"/>
      <c r="MCR9" s="113"/>
      <c r="MCS9" s="113"/>
      <c r="MCT9" s="113"/>
      <c r="MCU9" s="113"/>
      <c r="MCV9" s="113"/>
      <c r="MCW9" s="113"/>
      <c r="MCX9" s="113"/>
      <c r="MCY9" s="113"/>
      <c r="MCZ9" s="113"/>
      <c r="MDA9" s="113"/>
      <c r="MDB9" s="113"/>
      <c r="MDC9" s="113"/>
      <c r="MDD9" s="113"/>
      <c r="MDE9" s="113"/>
      <c r="MDF9" s="113"/>
      <c r="MDG9" s="113"/>
      <c r="MDH9" s="113"/>
      <c r="MDI9" s="113"/>
      <c r="MDJ9" s="113"/>
      <c r="MDK9" s="113"/>
      <c r="MDL9" s="113"/>
      <c r="MDM9" s="113"/>
      <c r="MDN9" s="113"/>
      <c r="MDO9" s="113"/>
      <c r="MDP9" s="113"/>
      <c r="MDQ9" s="113"/>
      <c r="MDR9" s="113"/>
      <c r="MDS9" s="113"/>
      <c r="MDT9" s="113"/>
      <c r="MDU9" s="113"/>
      <c r="MDV9" s="113"/>
      <c r="MDW9" s="113"/>
      <c r="MDX9" s="113"/>
      <c r="MDY9" s="113"/>
      <c r="MDZ9" s="113"/>
      <c r="MEA9" s="113"/>
      <c r="MEB9" s="113"/>
      <c r="MEC9" s="113"/>
      <c r="MED9" s="113"/>
      <c r="MEE9" s="113"/>
      <c r="MEF9" s="113"/>
      <c r="MEG9" s="113"/>
      <c r="MEH9" s="113"/>
      <c r="MEI9" s="113"/>
      <c r="MEJ9" s="113"/>
      <c r="MEK9" s="113"/>
      <c r="MEL9" s="113"/>
      <c r="MEM9" s="113"/>
      <c r="MEN9" s="113"/>
      <c r="MEO9" s="113"/>
      <c r="MEP9" s="113"/>
      <c r="MEQ9" s="113"/>
      <c r="MER9" s="113"/>
      <c r="MES9" s="113"/>
      <c r="MET9" s="113"/>
      <c r="MEU9" s="113"/>
      <c r="MEV9" s="113"/>
      <c r="MEW9" s="113"/>
      <c r="MEX9" s="113"/>
      <c r="MEY9" s="113"/>
      <c r="MEZ9" s="113"/>
      <c r="MFA9" s="113"/>
      <c r="MFB9" s="113"/>
      <c r="MFC9" s="113"/>
      <c r="MFD9" s="113"/>
      <c r="MFE9" s="113"/>
      <c r="MFF9" s="113"/>
      <c r="MFG9" s="113"/>
      <c r="MFH9" s="113"/>
      <c r="MFI9" s="113"/>
      <c r="MFJ9" s="113"/>
      <c r="MFK9" s="113"/>
      <c r="MFL9" s="113"/>
      <c r="MFM9" s="113"/>
      <c r="MFN9" s="113"/>
      <c r="MFO9" s="113"/>
      <c r="MFP9" s="113"/>
      <c r="MFQ9" s="113"/>
      <c r="MFR9" s="113"/>
      <c r="MFS9" s="113"/>
      <c r="MFT9" s="113"/>
      <c r="MFU9" s="113"/>
      <c r="MFV9" s="113"/>
      <c r="MFW9" s="113"/>
      <c r="MFX9" s="113"/>
      <c r="MFY9" s="113"/>
      <c r="MFZ9" s="113"/>
      <c r="MGA9" s="113"/>
      <c r="MGB9" s="113"/>
      <c r="MGC9" s="113"/>
      <c r="MGD9" s="113"/>
      <c r="MGE9" s="113"/>
      <c r="MGF9" s="113"/>
      <c r="MGG9" s="113"/>
      <c r="MGH9" s="113"/>
      <c r="MGI9" s="113"/>
      <c r="MGJ9" s="113"/>
      <c r="MGK9" s="113"/>
      <c r="MGL9" s="113"/>
      <c r="MGM9" s="113"/>
      <c r="MGN9" s="113"/>
      <c r="MGO9" s="113"/>
      <c r="MGP9" s="113"/>
      <c r="MGQ9" s="113"/>
      <c r="MGR9" s="113"/>
      <c r="MGS9" s="113"/>
      <c r="MGT9" s="113"/>
      <c r="MGU9" s="113"/>
      <c r="MGV9" s="113"/>
      <c r="MGW9" s="113"/>
      <c r="MGX9" s="113"/>
      <c r="MGY9" s="113"/>
      <c r="MGZ9" s="113"/>
      <c r="MHA9" s="113"/>
      <c r="MHB9" s="113"/>
      <c r="MHC9" s="113"/>
      <c r="MHD9" s="113"/>
      <c r="MHE9" s="113"/>
      <c r="MHF9" s="113"/>
      <c r="MHG9" s="113"/>
      <c r="MHH9" s="113"/>
      <c r="MHI9" s="113"/>
      <c r="MHJ9" s="113"/>
      <c r="MHK9" s="113"/>
      <c r="MHL9" s="113"/>
      <c r="MHM9" s="113"/>
      <c r="MHN9" s="113"/>
      <c r="MHO9" s="113"/>
      <c r="MHP9" s="113"/>
      <c r="MHQ9" s="113"/>
      <c r="MHR9" s="113"/>
      <c r="MHS9" s="113"/>
      <c r="MHT9" s="113"/>
      <c r="MHU9" s="113"/>
      <c r="MHV9" s="113"/>
      <c r="MHW9" s="113"/>
      <c r="MHX9" s="113"/>
      <c r="MHY9" s="113"/>
      <c r="MHZ9" s="113"/>
      <c r="MIA9" s="113"/>
      <c r="MIB9" s="113"/>
      <c r="MIC9" s="113"/>
      <c r="MID9" s="113"/>
      <c r="MIE9" s="113"/>
      <c r="MIF9" s="113"/>
      <c r="MIG9" s="113"/>
      <c r="MIH9" s="113"/>
      <c r="MII9" s="113"/>
      <c r="MIJ9" s="113"/>
      <c r="MIK9" s="113"/>
      <c r="MIL9" s="113"/>
      <c r="MIM9" s="113"/>
      <c r="MIN9" s="113"/>
      <c r="MIO9" s="113"/>
      <c r="MIP9" s="113"/>
      <c r="MIQ9" s="113"/>
      <c r="MIR9" s="113"/>
      <c r="MIS9" s="113"/>
      <c r="MIT9" s="113"/>
      <c r="MIU9" s="113"/>
      <c r="MIV9" s="113"/>
      <c r="MIW9" s="113"/>
      <c r="MIX9" s="113"/>
      <c r="MIY9" s="113"/>
      <c r="MIZ9" s="113"/>
      <c r="MJA9" s="113"/>
      <c r="MJB9" s="113"/>
      <c r="MJC9" s="113"/>
      <c r="MJD9" s="113"/>
      <c r="MJE9" s="113"/>
      <c r="MJF9" s="113"/>
      <c r="MJG9" s="113"/>
      <c r="MJH9" s="113"/>
      <c r="MJI9" s="113"/>
      <c r="MJJ9" s="113"/>
      <c r="MJK9" s="113"/>
      <c r="MJL9" s="113"/>
      <c r="MJM9" s="113"/>
      <c r="MJN9" s="113"/>
      <c r="MJO9" s="113"/>
      <c r="MJP9" s="113"/>
      <c r="MJQ9" s="113"/>
      <c r="MJR9" s="113"/>
      <c r="MJS9" s="113"/>
      <c r="MJT9" s="113"/>
      <c r="MJU9" s="113"/>
      <c r="MJV9" s="113"/>
      <c r="MJW9" s="113"/>
      <c r="MJX9" s="113"/>
      <c r="MJY9" s="113"/>
      <c r="MJZ9" s="113"/>
      <c r="MKA9" s="113"/>
      <c r="MKB9" s="113"/>
      <c r="MKC9" s="113"/>
      <c r="MKD9" s="113"/>
      <c r="MKE9" s="113"/>
      <c r="MKF9" s="113"/>
      <c r="MKG9" s="113"/>
      <c r="MKH9" s="113"/>
      <c r="MKI9" s="113"/>
      <c r="MKJ9" s="113"/>
      <c r="MKK9" s="113"/>
      <c r="MKL9" s="113"/>
      <c r="MKM9" s="113"/>
      <c r="MKN9" s="113"/>
      <c r="MKO9" s="113"/>
      <c r="MKP9" s="113"/>
      <c r="MKQ9" s="113"/>
      <c r="MKR9" s="113"/>
      <c r="MKS9" s="113"/>
      <c r="MKT9" s="113"/>
      <c r="MKU9" s="113"/>
      <c r="MKV9" s="113"/>
      <c r="MKW9" s="113"/>
      <c r="MKX9" s="113"/>
      <c r="MKY9" s="113"/>
      <c r="MKZ9" s="113"/>
      <c r="MLA9" s="113"/>
      <c r="MLB9" s="113"/>
      <c r="MLC9" s="113"/>
      <c r="MLD9" s="113"/>
      <c r="MLE9" s="113"/>
      <c r="MLF9" s="113"/>
      <c r="MLG9" s="113"/>
      <c r="MLH9" s="113"/>
      <c r="MLI9" s="113"/>
      <c r="MLJ9" s="113"/>
      <c r="MLK9" s="113"/>
      <c r="MLL9" s="113"/>
      <c r="MLM9" s="113"/>
      <c r="MLN9" s="113"/>
      <c r="MLO9" s="113"/>
      <c r="MLP9" s="113"/>
      <c r="MLQ9" s="113"/>
      <c r="MLR9" s="113"/>
      <c r="MLS9" s="113"/>
      <c r="MLT9" s="113"/>
      <c r="MLU9" s="113"/>
      <c r="MLV9" s="113"/>
      <c r="MLW9" s="113"/>
      <c r="MLX9" s="113"/>
      <c r="MLY9" s="113"/>
      <c r="MLZ9" s="113"/>
      <c r="MMA9" s="113"/>
      <c r="MMB9" s="113"/>
      <c r="MMC9" s="113"/>
      <c r="MMD9" s="113"/>
      <c r="MME9" s="113"/>
      <c r="MMF9" s="113"/>
      <c r="MMG9" s="113"/>
      <c r="MMH9" s="113"/>
      <c r="MMI9" s="113"/>
      <c r="MMJ9" s="113"/>
      <c r="MMK9" s="113"/>
      <c r="MML9" s="113"/>
      <c r="MMM9" s="113"/>
      <c r="MMN9" s="113"/>
      <c r="MMO9" s="113"/>
      <c r="MMP9" s="113"/>
      <c r="MMQ9" s="113"/>
      <c r="MMR9" s="113"/>
      <c r="MMS9" s="113"/>
      <c r="MMT9" s="113"/>
      <c r="MMU9" s="113"/>
      <c r="MMV9" s="113"/>
      <c r="MMW9" s="113"/>
      <c r="MMX9" s="113"/>
      <c r="MMY9" s="113"/>
      <c r="MMZ9" s="113"/>
      <c r="MNA9" s="113"/>
      <c r="MNB9" s="113"/>
      <c r="MNC9" s="113"/>
      <c r="MND9" s="113"/>
      <c r="MNE9" s="113"/>
      <c r="MNF9" s="113"/>
      <c r="MNG9" s="113"/>
      <c r="MNH9" s="113"/>
      <c r="MNI9" s="113"/>
      <c r="MNJ9" s="113"/>
      <c r="MNK9" s="113"/>
      <c r="MNL9" s="113"/>
      <c r="MNM9" s="113"/>
      <c r="MNN9" s="113"/>
      <c r="MNO9" s="113"/>
      <c r="MNP9" s="113"/>
      <c r="MNQ9" s="113"/>
      <c r="MNR9" s="113"/>
      <c r="MNS9" s="113"/>
      <c r="MNT9" s="113"/>
      <c r="MNU9" s="113"/>
      <c r="MNV9" s="113"/>
      <c r="MNW9" s="113"/>
      <c r="MNX9" s="113"/>
      <c r="MNY9" s="113"/>
      <c r="MNZ9" s="113"/>
      <c r="MOA9" s="113"/>
      <c r="MOB9" s="113"/>
      <c r="MOC9" s="113"/>
      <c r="MOD9" s="113"/>
      <c r="MOE9" s="113"/>
      <c r="MOF9" s="113"/>
      <c r="MOG9" s="113"/>
      <c r="MOH9" s="113"/>
      <c r="MOI9" s="113"/>
      <c r="MOJ9" s="113"/>
      <c r="MOK9" s="113"/>
      <c r="MOL9" s="113"/>
      <c r="MOM9" s="113"/>
      <c r="MON9" s="113"/>
      <c r="MOO9" s="113"/>
      <c r="MOP9" s="113"/>
      <c r="MOQ9" s="113"/>
      <c r="MOR9" s="113"/>
      <c r="MOS9" s="113"/>
      <c r="MOT9" s="113"/>
      <c r="MOU9" s="113"/>
      <c r="MOV9" s="113"/>
      <c r="MOW9" s="113"/>
      <c r="MOX9" s="113"/>
      <c r="MOY9" s="113"/>
      <c r="MOZ9" s="113"/>
      <c r="MPA9" s="113"/>
      <c r="MPB9" s="113"/>
      <c r="MPC9" s="113"/>
      <c r="MPD9" s="113"/>
      <c r="MPE9" s="113"/>
      <c r="MPF9" s="113"/>
      <c r="MPG9" s="113"/>
      <c r="MPH9" s="113"/>
      <c r="MPI9" s="113"/>
      <c r="MPJ9" s="113"/>
      <c r="MPK9" s="113"/>
      <c r="MPL9" s="113"/>
      <c r="MPM9" s="113"/>
      <c r="MPN9" s="113"/>
      <c r="MPO9" s="113"/>
      <c r="MPP9" s="113"/>
      <c r="MPQ9" s="113"/>
      <c r="MPR9" s="113"/>
      <c r="MPS9" s="113"/>
      <c r="MPT9" s="113"/>
      <c r="MPU9" s="113"/>
      <c r="MPV9" s="113"/>
      <c r="MPW9" s="113"/>
      <c r="MPX9" s="113"/>
      <c r="MPY9" s="113"/>
      <c r="MPZ9" s="113"/>
      <c r="MQA9" s="113"/>
      <c r="MQB9" s="113"/>
      <c r="MQC9" s="113"/>
      <c r="MQD9" s="113"/>
      <c r="MQE9" s="113"/>
      <c r="MQF9" s="113"/>
      <c r="MQG9" s="113"/>
      <c r="MQH9" s="113"/>
      <c r="MQI9" s="113"/>
      <c r="MQJ9" s="113"/>
      <c r="MQK9" s="113"/>
      <c r="MQL9" s="113"/>
      <c r="MQM9" s="113"/>
      <c r="MQN9" s="113"/>
      <c r="MQO9" s="113"/>
      <c r="MQP9" s="113"/>
      <c r="MQQ9" s="113"/>
      <c r="MQR9" s="113"/>
      <c r="MQS9" s="113"/>
      <c r="MQT9" s="113"/>
      <c r="MQU9" s="113"/>
      <c r="MQV9" s="113"/>
      <c r="MQW9" s="113"/>
      <c r="MQX9" s="113"/>
      <c r="MQY9" s="113"/>
      <c r="MQZ9" s="113"/>
      <c r="MRA9" s="113"/>
      <c r="MRB9" s="113"/>
      <c r="MRC9" s="113"/>
      <c r="MRD9" s="113"/>
      <c r="MRE9" s="113"/>
      <c r="MRF9" s="113"/>
      <c r="MRG9" s="113"/>
      <c r="MRH9" s="113"/>
      <c r="MRI9" s="113"/>
      <c r="MRJ9" s="113"/>
      <c r="MRK9" s="113"/>
      <c r="MRL9" s="113"/>
      <c r="MRM9" s="113"/>
      <c r="MRN9" s="113"/>
      <c r="MRO9" s="113"/>
      <c r="MRP9" s="113"/>
      <c r="MRQ9" s="113"/>
      <c r="MRR9" s="113"/>
      <c r="MRS9" s="113"/>
      <c r="MRT9" s="113"/>
      <c r="MRU9" s="113"/>
      <c r="MRV9" s="113"/>
      <c r="MRW9" s="113"/>
      <c r="MRX9" s="113"/>
      <c r="MRY9" s="113"/>
      <c r="MRZ9" s="113"/>
      <c r="MSA9" s="113"/>
      <c r="MSB9" s="113"/>
      <c r="MSC9" s="113"/>
      <c r="MSD9" s="113"/>
      <c r="MSE9" s="113"/>
      <c r="MSF9" s="113"/>
      <c r="MSG9" s="113"/>
      <c r="MSH9" s="113"/>
      <c r="MSI9" s="113"/>
      <c r="MSJ9" s="113"/>
      <c r="MSK9" s="113"/>
      <c r="MSL9" s="113"/>
      <c r="MSM9" s="113"/>
      <c r="MSN9" s="113"/>
      <c r="MSO9" s="113"/>
      <c r="MSP9" s="113"/>
      <c r="MSQ9" s="113"/>
      <c r="MSR9" s="113"/>
      <c r="MSS9" s="113"/>
      <c r="MST9" s="113"/>
      <c r="MSU9" s="113"/>
      <c r="MSV9" s="113"/>
      <c r="MSW9" s="113"/>
      <c r="MSX9" s="113"/>
      <c r="MSY9" s="113"/>
      <c r="MSZ9" s="113"/>
      <c r="MTA9" s="113"/>
      <c r="MTB9" s="113"/>
      <c r="MTC9" s="113"/>
      <c r="MTD9" s="113"/>
      <c r="MTE9" s="113"/>
      <c r="MTF9" s="113"/>
      <c r="MTG9" s="113"/>
      <c r="MTH9" s="113"/>
      <c r="MTI9" s="113"/>
      <c r="MTJ9" s="113"/>
      <c r="MTK9" s="113"/>
      <c r="MTL9" s="113"/>
      <c r="MTM9" s="113"/>
      <c r="MTN9" s="113"/>
      <c r="MTO9" s="113"/>
      <c r="MTP9" s="113"/>
      <c r="MTQ9" s="113"/>
      <c r="MTR9" s="113"/>
      <c r="MTS9" s="113"/>
      <c r="MTT9" s="113"/>
      <c r="MTU9" s="113"/>
      <c r="MTV9" s="113"/>
      <c r="MTW9" s="113"/>
      <c r="MTX9" s="113"/>
      <c r="MTY9" s="113"/>
      <c r="MTZ9" s="113"/>
      <c r="MUA9" s="113"/>
      <c r="MUB9" s="113"/>
      <c r="MUC9" s="113"/>
      <c r="MUD9" s="113"/>
      <c r="MUE9" s="113"/>
      <c r="MUF9" s="113"/>
      <c r="MUG9" s="113"/>
      <c r="MUH9" s="113"/>
      <c r="MUI9" s="113"/>
      <c r="MUJ9" s="113"/>
      <c r="MUK9" s="113"/>
      <c r="MUL9" s="113"/>
      <c r="MUM9" s="113"/>
      <c r="MUN9" s="113"/>
      <c r="MUO9" s="113"/>
      <c r="MUP9" s="113"/>
      <c r="MUQ9" s="113"/>
      <c r="MUR9" s="113"/>
      <c r="MUS9" s="113"/>
      <c r="MUT9" s="113"/>
      <c r="MUU9" s="113"/>
      <c r="MUV9" s="113"/>
      <c r="MUW9" s="113"/>
      <c r="MUX9" s="113"/>
      <c r="MUY9" s="113"/>
      <c r="MUZ9" s="113"/>
      <c r="MVA9" s="113"/>
      <c r="MVB9" s="113"/>
      <c r="MVC9" s="113"/>
      <c r="MVD9" s="113"/>
      <c r="MVE9" s="113"/>
      <c r="MVF9" s="113"/>
      <c r="MVG9" s="113"/>
      <c r="MVH9" s="113"/>
      <c r="MVI9" s="113"/>
      <c r="MVJ9" s="113"/>
      <c r="MVK9" s="113"/>
      <c r="MVL9" s="113"/>
      <c r="MVM9" s="113"/>
      <c r="MVN9" s="113"/>
      <c r="MVO9" s="113"/>
      <c r="MVP9" s="113"/>
      <c r="MVQ9" s="113"/>
      <c r="MVR9" s="113"/>
      <c r="MVS9" s="113"/>
      <c r="MVT9" s="113"/>
      <c r="MVU9" s="113"/>
      <c r="MVV9" s="113"/>
      <c r="MVW9" s="113"/>
      <c r="MVX9" s="113"/>
      <c r="MVY9" s="113"/>
      <c r="MVZ9" s="113"/>
      <c r="MWA9" s="113"/>
      <c r="MWB9" s="113"/>
      <c r="MWC9" s="113"/>
      <c r="MWD9" s="113"/>
      <c r="MWE9" s="113"/>
      <c r="MWF9" s="113"/>
      <c r="MWG9" s="113"/>
      <c r="MWH9" s="113"/>
      <c r="MWI9" s="113"/>
      <c r="MWJ9" s="113"/>
      <c r="MWK9" s="113"/>
      <c r="MWL9" s="113"/>
      <c r="MWM9" s="113"/>
      <c r="MWN9" s="113"/>
      <c r="MWO9" s="113"/>
      <c r="MWP9" s="113"/>
      <c r="MWQ9" s="113"/>
      <c r="MWR9" s="113"/>
      <c r="MWS9" s="113"/>
      <c r="MWT9" s="113"/>
      <c r="MWU9" s="113"/>
      <c r="MWV9" s="113"/>
      <c r="MWW9" s="113"/>
      <c r="MWX9" s="113"/>
      <c r="MWY9" s="113"/>
      <c r="MWZ9" s="113"/>
      <c r="MXA9" s="113"/>
      <c r="MXB9" s="113"/>
      <c r="MXC9" s="113"/>
      <c r="MXD9" s="113"/>
      <c r="MXE9" s="113"/>
      <c r="MXF9" s="113"/>
      <c r="MXG9" s="113"/>
      <c r="MXH9" s="113"/>
      <c r="MXI9" s="113"/>
      <c r="MXJ9" s="113"/>
      <c r="MXK9" s="113"/>
      <c r="MXL9" s="113"/>
      <c r="MXM9" s="113"/>
      <c r="MXN9" s="113"/>
      <c r="MXO9" s="113"/>
      <c r="MXP9" s="113"/>
      <c r="MXQ9" s="113"/>
      <c r="MXR9" s="113"/>
      <c r="MXS9" s="113"/>
      <c r="MXT9" s="113"/>
      <c r="MXU9" s="113"/>
      <c r="MXV9" s="113"/>
      <c r="MXW9" s="113"/>
      <c r="MXX9" s="113"/>
      <c r="MXY9" s="113"/>
      <c r="MXZ9" s="113"/>
      <c r="MYA9" s="113"/>
      <c r="MYB9" s="113"/>
      <c r="MYC9" s="113"/>
      <c r="MYD9" s="113"/>
      <c r="MYE9" s="113"/>
      <c r="MYF9" s="113"/>
      <c r="MYG9" s="113"/>
      <c r="MYH9" s="113"/>
      <c r="MYI9" s="113"/>
      <c r="MYJ9" s="113"/>
      <c r="MYK9" s="113"/>
      <c r="MYL9" s="113"/>
      <c r="MYM9" s="113"/>
      <c r="MYN9" s="113"/>
      <c r="MYO9" s="113"/>
      <c r="MYP9" s="113"/>
      <c r="MYQ9" s="113"/>
      <c r="MYR9" s="113"/>
      <c r="MYS9" s="113"/>
      <c r="MYT9" s="113"/>
      <c r="MYU9" s="113"/>
      <c r="MYV9" s="113"/>
      <c r="MYW9" s="113"/>
      <c r="MYX9" s="113"/>
      <c r="MYY9" s="113"/>
      <c r="MYZ9" s="113"/>
      <c r="MZA9" s="113"/>
      <c r="MZB9" s="113"/>
      <c r="MZC9" s="113"/>
      <c r="MZD9" s="113"/>
      <c r="MZE9" s="113"/>
      <c r="MZF9" s="113"/>
      <c r="MZG9" s="113"/>
      <c r="MZH9" s="113"/>
      <c r="MZI9" s="113"/>
      <c r="MZJ9" s="113"/>
      <c r="MZK9" s="113"/>
      <c r="MZL9" s="113"/>
      <c r="MZM9" s="113"/>
      <c r="MZN9" s="113"/>
      <c r="MZO9" s="113"/>
      <c r="MZP9" s="113"/>
      <c r="MZQ9" s="113"/>
      <c r="MZR9" s="113"/>
      <c r="MZS9" s="113"/>
      <c r="MZT9" s="113"/>
      <c r="MZU9" s="113"/>
      <c r="MZV9" s="113"/>
      <c r="MZW9" s="113"/>
      <c r="MZX9" s="113"/>
      <c r="MZY9" s="113"/>
      <c r="MZZ9" s="113"/>
      <c r="NAA9" s="113"/>
      <c r="NAB9" s="113"/>
      <c r="NAC9" s="113"/>
      <c r="NAD9" s="113"/>
      <c r="NAE9" s="113"/>
      <c r="NAF9" s="113"/>
      <c r="NAG9" s="113"/>
      <c r="NAH9" s="113"/>
      <c r="NAI9" s="113"/>
      <c r="NAJ9" s="113"/>
      <c r="NAK9" s="113"/>
      <c r="NAL9" s="113"/>
      <c r="NAM9" s="113"/>
      <c r="NAN9" s="113"/>
      <c r="NAO9" s="113"/>
      <c r="NAP9" s="113"/>
      <c r="NAQ9" s="113"/>
      <c r="NAR9" s="113"/>
      <c r="NAS9" s="113"/>
      <c r="NAT9" s="113"/>
      <c r="NAU9" s="113"/>
      <c r="NAV9" s="113"/>
      <c r="NAW9" s="113"/>
      <c r="NAX9" s="113"/>
      <c r="NAY9" s="113"/>
      <c r="NAZ9" s="113"/>
      <c r="NBA9" s="113"/>
      <c r="NBB9" s="113"/>
      <c r="NBC9" s="113"/>
      <c r="NBD9" s="113"/>
      <c r="NBE9" s="113"/>
      <c r="NBF9" s="113"/>
      <c r="NBG9" s="113"/>
      <c r="NBH9" s="113"/>
      <c r="NBI9" s="113"/>
      <c r="NBJ9" s="113"/>
      <c r="NBK9" s="113"/>
      <c r="NBL9" s="113"/>
      <c r="NBM9" s="113"/>
      <c r="NBN9" s="113"/>
      <c r="NBO9" s="113"/>
      <c r="NBP9" s="113"/>
      <c r="NBQ9" s="113"/>
      <c r="NBR9" s="113"/>
      <c r="NBS9" s="113"/>
      <c r="NBT9" s="113"/>
      <c r="NBU9" s="113"/>
      <c r="NBV9" s="113"/>
      <c r="NBW9" s="113"/>
      <c r="NBX9" s="113"/>
      <c r="NBY9" s="113"/>
      <c r="NBZ9" s="113"/>
      <c r="NCA9" s="113"/>
      <c r="NCB9" s="113"/>
      <c r="NCC9" s="113"/>
      <c r="NCD9" s="113"/>
      <c r="NCE9" s="113"/>
      <c r="NCF9" s="113"/>
      <c r="NCG9" s="113"/>
      <c r="NCH9" s="113"/>
      <c r="NCI9" s="113"/>
      <c r="NCJ9" s="113"/>
      <c r="NCK9" s="113"/>
      <c r="NCL9" s="113"/>
      <c r="NCM9" s="113"/>
      <c r="NCN9" s="113"/>
      <c r="NCO9" s="113"/>
      <c r="NCP9" s="113"/>
      <c r="NCQ9" s="113"/>
      <c r="NCR9" s="113"/>
      <c r="NCS9" s="113"/>
      <c r="NCT9" s="113"/>
      <c r="NCU9" s="113"/>
      <c r="NCV9" s="113"/>
      <c r="NCW9" s="113"/>
      <c r="NCX9" s="113"/>
      <c r="NCY9" s="113"/>
      <c r="NCZ9" s="113"/>
      <c r="NDA9" s="113"/>
      <c r="NDB9" s="113"/>
      <c r="NDC9" s="113"/>
      <c r="NDD9" s="113"/>
      <c r="NDE9" s="113"/>
      <c r="NDF9" s="113"/>
      <c r="NDG9" s="113"/>
      <c r="NDH9" s="113"/>
      <c r="NDI9" s="113"/>
      <c r="NDJ9" s="113"/>
      <c r="NDK9" s="113"/>
      <c r="NDL9" s="113"/>
      <c r="NDM9" s="113"/>
      <c r="NDN9" s="113"/>
      <c r="NDO9" s="113"/>
      <c r="NDP9" s="113"/>
      <c r="NDQ9" s="113"/>
      <c r="NDR9" s="113"/>
      <c r="NDS9" s="113"/>
      <c r="NDT9" s="113"/>
      <c r="NDU9" s="113"/>
      <c r="NDV9" s="113"/>
      <c r="NDW9" s="113"/>
      <c r="NDX9" s="113"/>
      <c r="NDY9" s="113"/>
      <c r="NDZ9" s="113"/>
      <c r="NEA9" s="113"/>
      <c r="NEB9" s="113"/>
      <c r="NEC9" s="113"/>
      <c r="NED9" s="113"/>
      <c r="NEE9" s="113"/>
      <c r="NEF9" s="113"/>
      <c r="NEG9" s="113"/>
      <c r="NEH9" s="113"/>
      <c r="NEI9" s="113"/>
      <c r="NEJ9" s="113"/>
      <c r="NEK9" s="113"/>
      <c r="NEL9" s="113"/>
      <c r="NEM9" s="113"/>
      <c r="NEN9" s="113"/>
      <c r="NEO9" s="113"/>
      <c r="NEP9" s="113"/>
      <c r="NEQ9" s="113"/>
      <c r="NER9" s="113"/>
      <c r="NES9" s="113"/>
      <c r="NET9" s="113"/>
      <c r="NEU9" s="113"/>
      <c r="NEV9" s="113"/>
      <c r="NEW9" s="113"/>
      <c r="NEX9" s="113"/>
      <c r="NEY9" s="113"/>
      <c r="NEZ9" s="113"/>
      <c r="NFA9" s="113"/>
      <c r="NFB9" s="113"/>
      <c r="NFC9" s="113"/>
      <c r="NFD9" s="113"/>
      <c r="NFE9" s="113"/>
      <c r="NFF9" s="113"/>
      <c r="NFG9" s="113"/>
      <c r="NFH9" s="113"/>
      <c r="NFI9" s="113"/>
      <c r="NFJ9" s="113"/>
      <c r="NFK9" s="113"/>
      <c r="NFL9" s="113"/>
      <c r="NFM9" s="113"/>
      <c r="NFN9" s="113"/>
      <c r="NFO9" s="113"/>
      <c r="NFP9" s="113"/>
      <c r="NFQ9" s="113"/>
      <c r="NFR9" s="113"/>
      <c r="NFS9" s="113"/>
      <c r="NFT9" s="113"/>
      <c r="NFU9" s="113"/>
      <c r="NFV9" s="113"/>
      <c r="NFW9" s="113"/>
      <c r="NFX9" s="113"/>
      <c r="NFY9" s="113"/>
      <c r="NFZ9" s="113"/>
      <c r="NGA9" s="113"/>
      <c r="NGB9" s="113"/>
      <c r="NGC9" s="113"/>
      <c r="NGD9" s="113"/>
      <c r="NGE9" s="113"/>
      <c r="NGF9" s="113"/>
      <c r="NGG9" s="113"/>
      <c r="NGH9" s="113"/>
      <c r="NGI9" s="113"/>
      <c r="NGJ9" s="113"/>
      <c r="NGK9" s="113"/>
      <c r="NGL9" s="113"/>
      <c r="NGM9" s="113"/>
      <c r="NGN9" s="113"/>
      <c r="NGO9" s="113"/>
      <c r="NGP9" s="113"/>
      <c r="NGQ9" s="113"/>
      <c r="NGR9" s="113"/>
      <c r="NGS9" s="113"/>
      <c r="NGT9" s="113"/>
      <c r="NGU9" s="113"/>
      <c r="NGV9" s="113"/>
      <c r="NGW9" s="113"/>
      <c r="NGX9" s="113"/>
      <c r="NGY9" s="113"/>
      <c r="NGZ9" s="113"/>
      <c r="NHA9" s="113"/>
      <c r="NHB9" s="113"/>
      <c r="NHC9" s="113"/>
      <c r="NHD9" s="113"/>
      <c r="NHE9" s="113"/>
      <c r="NHF9" s="113"/>
      <c r="NHG9" s="113"/>
      <c r="NHH9" s="113"/>
      <c r="NHI9" s="113"/>
      <c r="NHJ9" s="113"/>
      <c r="NHK9" s="113"/>
      <c r="NHL9" s="113"/>
      <c r="NHM9" s="113"/>
      <c r="NHN9" s="113"/>
      <c r="NHO9" s="113"/>
      <c r="NHP9" s="113"/>
      <c r="NHQ9" s="113"/>
      <c r="NHR9" s="113"/>
      <c r="NHS9" s="113"/>
      <c r="NHT9" s="113"/>
      <c r="NHU9" s="113"/>
      <c r="NHV9" s="113"/>
      <c r="NHW9" s="113"/>
      <c r="NHX9" s="113"/>
      <c r="NHY9" s="113"/>
      <c r="NHZ9" s="113"/>
      <c r="NIA9" s="113"/>
      <c r="NIB9" s="113"/>
      <c r="NIC9" s="113"/>
      <c r="NID9" s="113"/>
      <c r="NIE9" s="113"/>
      <c r="NIF9" s="113"/>
      <c r="NIG9" s="113"/>
      <c r="NIH9" s="113"/>
      <c r="NII9" s="113"/>
      <c r="NIJ9" s="113"/>
      <c r="NIK9" s="113"/>
      <c r="NIL9" s="113"/>
      <c r="NIM9" s="113"/>
      <c r="NIN9" s="113"/>
      <c r="NIO9" s="113"/>
      <c r="NIP9" s="113"/>
      <c r="NIQ9" s="113"/>
      <c r="NIR9" s="113"/>
      <c r="NIS9" s="113"/>
      <c r="NIT9" s="113"/>
      <c r="NIU9" s="113"/>
      <c r="NIV9" s="113"/>
      <c r="NIW9" s="113"/>
      <c r="NIX9" s="113"/>
      <c r="NIY9" s="113"/>
      <c r="NIZ9" s="113"/>
      <c r="NJA9" s="113"/>
      <c r="NJB9" s="113"/>
      <c r="NJC9" s="113"/>
      <c r="NJD9" s="113"/>
      <c r="NJE9" s="113"/>
      <c r="NJF9" s="113"/>
      <c r="NJG9" s="113"/>
      <c r="NJH9" s="113"/>
      <c r="NJI9" s="113"/>
      <c r="NJJ9" s="113"/>
      <c r="NJK9" s="113"/>
      <c r="NJL9" s="113"/>
      <c r="NJM9" s="113"/>
      <c r="NJN9" s="113"/>
      <c r="NJO9" s="113"/>
      <c r="NJP9" s="113"/>
      <c r="NJQ9" s="113"/>
      <c r="NJR9" s="113"/>
      <c r="NJS9" s="113"/>
      <c r="NJT9" s="113"/>
      <c r="NJU9" s="113"/>
      <c r="NJV9" s="113"/>
      <c r="NJW9" s="113"/>
      <c r="NJX9" s="113"/>
      <c r="NJY9" s="113"/>
      <c r="NJZ9" s="113"/>
      <c r="NKA9" s="113"/>
      <c r="NKB9" s="113"/>
      <c r="NKC9" s="113"/>
      <c r="NKD9" s="113"/>
      <c r="NKE9" s="113"/>
      <c r="NKF9" s="113"/>
      <c r="NKG9" s="113"/>
      <c r="NKH9" s="113"/>
      <c r="NKI9" s="113"/>
      <c r="NKJ9" s="113"/>
      <c r="NKK9" s="113"/>
      <c r="NKL9" s="113"/>
      <c r="NKM9" s="113"/>
      <c r="NKN9" s="113"/>
      <c r="NKO9" s="113"/>
      <c r="NKP9" s="113"/>
      <c r="NKQ9" s="113"/>
      <c r="NKR9" s="113"/>
      <c r="NKS9" s="113"/>
      <c r="NKT9" s="113"/>
      <c r="NKU9" s="113"/>
      <c r="NKV9" s="113"/>
      <c r="NKW9" s="113"/>
      <c r="NKX9" s="113"/>
      <c r="NKY9" s="113"/>
      <c r="NKZ9" s="113"/>
      <c r="NLA9" s="113"/>
      <c r="NLB9" s="113"/>
      <c r="NLC9" s="113"/>
      <c r="NLD9" s="113"/>
      <c r="NLE9" s="113"/>
      <c r="NLF9" s="113"/>
      <c r="NLG9" s="113"/>
      <c r="NLH9" s="113"/>
      <c r="NLI9" s="113"/>
      <c r="NLJ9" s="113"/>
      <c r="NLK9" s="113"/>
      <c r="NLL9" s="113"/>
      <c r="NLM9" s="113"/>
      <c r="NLN9" s="113"/>
      <c r="NLO9" s="113"/>
      <c r="NLP9" s="113"/>
      <c r="NLQ9" s="113"/>
      <c r="NLR9" s="113"/>
      <c r="NLS9" s="113"/>
      <c r="NLT9" s="113"/>
      <c r="NLU9" s="113"/>
      <c r="NLV9" s="113"/>
      <c r="NLW9" s="113"/>
      <c r="NLX9" s="113"/>
      <c r="NLY9" s="113"/>
      <c r="NLZ9" s="113"/>
      <c r="NMA9" s="113"/>
      <c r="NMB9" s="113"/>
      <c r="NMC9" s="113"/>
      <c r="NMD9" s="113"/>
      <c r="NME9" s="113"/>
      <c r="NMF9" s="113"/>
      <c r="NMG9" s="113"/>
      <c r="NMH9" s="113"/>
      <c r="NMI9" s="113"/>
      <c r="NMJ9" s="113"/>
      <c r="NMK9" s="113"/>
      <c r="NML9" s="113"/>
      <c r="NMM9" s="113"/>
      <c r="NMN9" s="113"/>
      <c r="NMO9" s="113"/>
      <c r="NMP9" s="113"/>
      <c r="NMQ9" s="113"/>
      <c r="NMR9" s="113"/>
      <c r="NMS9" s="113"/>
      <c r="NMT9" s="113"/>
      <c r="NMU9" s="113"/>
      <c r="NMV9" s="113"/>
      <c r="NMW9" s="113"/>
      <c r="NMX9" s="113"/>
      <c r="NMY9" s="113"/>
      <c r="NMZ9" s="113"/>
      <c r="NNA9" s="113"/>
      <c r="NNB9" s="113"/>
      <c r="NNC9" s="113"/>
      <c r="NND9" s="113"/>
      <c r="NNE9" s="113"/>
      <c r="NNF9" s="113"/>
      <c r="NNG9" s="113"/>
      <c r="NNH9" s="113"/>
      <c r="NNI9" s="113"/>
      <c r="NNJ9" s="113"/>
      <c r="NNK9" s="113"/>
      <c r="NNL9" s="113"/>
      <c r="NNM9" s="113"/>
      <c r="NNN9" s="113"/>
      <c r="NNO9" s="113"/>
      <c r="NNP9" s="113"/>
      <c r="NNQ9" s="113"/>
      <c r="NNR9" s="113"/>
      <c r="NNS9" s="113"/>
      <c r="NNT9" s="113"/>
      <c r="NNU9" s="113"/>
      <c r="NNV9" s="113"/>
      <c r="NNW9" s="113"/>
      <c r="NNX9" s="113"/>
      <c r="NNY9" s="113"/>
      <c r="NNZ9" s="113"/>
      <c r="NOA9" s="113"/>
      <c r="NOB9" s="113"/>
      <c r="NOC9" s="113"/>
      <c r="NOD9" s="113"/>
      <c r="NOE9" s="113"/>
      <c r="NOF9" s="113"/>
      <c r="NOG9" s="113"/>
      <c r="NOH9" s="113"/>
      <c r="NOI9" s="113"/>
      <c r="NOJ9" s="113"/>
      <c r="NOK9" s="113"/>
      <c r="NOL9" s="113"/>
      <c r="NOM9" s="113"/>
      <c r="NON9" s="113"/>
      <c r="NOO9" s="113"/>
      <c r="NOP9" s="113"/>
      <c r="NOQ9" s="113"/>
      <c r="NOR9" s="113"/>
      <c r="NOS9" s="113"/>
      <c r="NOT9" s="113"/>
      <c r="NOU9" s="113"/>
      <c r="NOV9" s="113"/>
      <c r="NOW9" s="113"/>
      <c r="NOX9" s="113"/>
      <c r="NOY9" s="113"/>
      <c r="NOZ9" s="113"/>
      <c r="NPA9" s="113"/>
      <c r="NPB9" s="113"/>
      <c r="NPC9" s="113"/>
      <c r="NPD9" s="113"/>
      <c r="NPE9" s="113"/>
      <c r="NPF9" s="113"/>
      <c r="NPG9" s="113"/>
      <c r="NPH9" s="113"/>
      <c r="NPI9" s="113"/>
      <c r="NPJ9" s="113"/>
      <c r="NPK9" s="113"/>
      <c r="NPL9" s="113"/>
      <c r="NPM9" s="113"/>
      <c r="NPN9" s="113"/>
      <c r="NPO9" s="113"/>
      <c r="NPP9" s="113"/>
      <c r="NPQ9" s="113"/>
      <c r="NPR9" s="113"/>
      <c r="NPS9" s="113"/>
      <c r="NPT9" s="113"/>
      <c r="NPU9" s="113"/>
      <c r="NPV9" s="113"/>
      <c r="NPW9" s="113"/>
      <c r="NPX9" s="113"/>
      <c r="NPY9" s="113"/>
      <c r="NPZ9" s="113"/>
      <c r="NQA9" s="113"/>
      <c r="NQB9" s="113"/>
      <c r="NQC9" s="113"/>
      <c r="NQD9" s="113"/>
      <c r="NQE9" s="113"/>
      <c r="NQF9" s="113"/>
      <c r="NQG9" s="113"/>
      <c r="NQH9" s="113"/>
      <c r="NQI9" s="113"/>
      <c r="NQJ9" s="113"/>
      <c r="NQK9" s="113"/>
      <c r="NQL9" s="113"/>
      <c r="NQM9" s="113"/>
      <c r="NQN9" s="113"/>
      <c r="NQO9" s="113"/>
      <c r="NQP9" s="113"/>
      <c r="NQQ9" s="113"/>
      <c r="NQR9" s="113"/>
      <c r="NQS9" s="113"/>
      <c r="NQT9" s="113"/>
      <c r="NQU9" s="113"/>
      <c r="NQV9" s="113"/>
      <c r="NQW9" s="113"/>
      <c r="NQX9" s="113"/>
      <c r="NQY9" s="113"/>
      <c r="NQZ9" s="113"/>
      <c r="NRA9" s="113"/>
      <c r="NRB9" s="113"/>
      <c r="NRC9" s="113"/>
      <c r="NRD9" s="113"/>
      <c r="NRE9" s="113"/>
      <c r="NRF9" s="113"/>
      <c r="NRG9" s="113"/>
      <c r="NRH9" s="113"/>
      <c r="NRI9" s="113"/>
      <c r="NRJ9" s="113"/>
      <c r="NRK9" s="113"/>
      <c r="NRL9" s="113"/>
      <c r="NRM9" s="113"/>
      <c r="NRN9" s="113"/>
      <c r="NRO9" s="113"/>
      <c r="NRP9" s="113"/>
      <c r="NRQ9" s="113"/>
      <c r="NRR9" s="113"/>
      <c r="NRS9" s="113"/>
      <c r="NRT9" s="113"/>
      <c r="NRU9" s="113"/>
      <c r="NRV9" s="113"/>
      <c r="NRW9" s="113"/>
      <c r="NRX9" s="113"/>
      <c r="NRY9" s="113"/>
      <c r="NRZ9" s="113"/>
      <c r="NSA9" s="113"/>
      <c r="NSB9" s="113"/>
      <c r="NSC9" s="113"/>
      <c r="NSD9" s="113"/>
      <c r="NSE9" s="113"/>
      <c r="NSF9" s="113"/>
      <c r="NSG9" s="113"/>
      <c r="NSH9" s="113"/>
      <c r="NSI9" s="113"/>
      <c r="NSJ9" s="113"/>
      <c r="NSK9" s="113"/>
      <c r="NSL9" s="113"/>
      <c r="NSM9" s="113"/>
      <c r="NSN9" s="113"/>
      <c r="NSO9" s="113"/>
      <c r="NSP9" s="113"/>
      <c r="NSQ9" s="113"/>
      <c r="NSR9" s="113"/>
      <c r="NSS9" s="113"/>
      <c r="NST9" s="113"/>
      <c r="NSU9" s="113"/>
      <c r="NSV9" s="113"/>
      <c r="NSW9" s="113"/>
      <c r="NSX9" s="113"/>
      <c r="NSY9" s="113"/>
      <c r="NSZ9" s="113"/>
      <c r="NTA9" s="113"/>
      <c r="NTB9" s="113"/>
      <c r="NTC9" s="113"/>
      <c r="NTD9" s="113"/>
      <c r="NTE9" s="113"/>
      <c r="NTF9" s="113"/>
      <c r="NTG9" s="113"/>
      <c r="NTH9" s="113"/>
      <c r="NTI9" s="113"/>
      <c r="NTJ9" s="113"/>
      <c r="NTK9" s="113"/>
      <c r="NTL9" s="113"/>
      <c r="NTM9" s="113"/>
      <c r="NTN9" s="113"/>
      <c r="NTO9" s="113"/>
      <c r="NTP9" s="113"/>
      <c r="NTQ9" s="113"/>
      <c r="NTR9" s="113"/>
      <c r="NTS9" s="113"/>
      <c r="NTT9" s="113"/>
      <c r="NTU9" s="113"/>
      <c r="NTV9" s="113"/>
      <c r="NTW9" s="113"/>
      <c r="NTX9" s="113"/>
      <c r="NTY9" s="113"/>
      <c r="NTZ9" s="113"/>
      <c r="NUA9" s="113"/>
      <c r="NUB9" s="113"/>
      <c r="NUC9" s="113"/>
      <c r="NUD9" s="113"/>
      <c r="NUE9" s="113"/>
      <c r="NUF9" s="113"/>
      <c r="NUG9" s="113"/>
      <c r="NUH9" s="113"/>
      <c r="NUI9" s="113"/>
      <c r="NUJ9" s="113"/>
      <c r="NUK9" s="113"/>
      <c r="NUL9" s="113"/>
      <c r="NUM9" s="113"/>
      <c r="NUN9" s="113"/>
      <c r="NUO9" s="113"/>
      <c r="NUP9" s="113"/>
      <c r="NUQ9" s="113"/>
      <c r="NUR9" s="113"/>
      <c r="NUS9" s="113"/>
      <c r="NUT9" s="113"/>
      <c r="NUU9" s="113"/>
      <c r="NUV9" s="113"/>
      <c r="NUW9" s="113"/>
      <c r="NUX9" s="113"/>
      <c r="NUY9" s="113"/>
      <c r="NUZ9" s="113"/>
      <c r="NVA9" s="113"/>
      <c r="NVB9" s="113"/>
      <c r="NVC9" s="113"/>
      <c r="NVD9" s="113"/>
      <c r="NVE9" s="113"/>
      <c r="NVF9" s="113"/>
      <c r="NVG9" s="113"/>
      <c r="NVH9" s="113"/>
      <c r="NVI9" s="113"/>
      <c r="NVJ9" s="113"/>
      <c r="NVK9" s="113"/>
      <c r="NVL9" s="113"/>
      <c r="NVM9" s="113"/>
      <c r="NVN9" s="113"/>
      <c r="NVO9" s="113"/>
      <c r="NVP9" s="113"/>
      <c r="NVQ9" s="113"/>
      <c r="NVR9" s="113"/>
      <c r="NVS9" s="113"/>
      <c r="NVT9" s="113"/>
      <c r="NVU9" s="113"/>
      <c r="NVV9" s="113"/>
      <c r="NVW9" s="113"/>
      <c r="NVX9" s="113"/>
      <c r="NVY9" s="113"/>
      <c r="NVZ9" s="113"/>
      <c r="NWA9" s="113"/>
      <c r="NWB9" s="113"/>
      <c r="NWC9" s="113"/>
      <c r="NWD9" s="113"/>
      <c r="NWE9" s="113"/>
      <c r="NWF9" s="113"/>
      <c r="NWG9" s="113"/>
      <c r="NWH9" s="113"/>
      <c r="NWI9" s="113"/>
      <c r="NWJ9" s="113"/>
      <c r="NWK9" s="113"/>
      <c r="NWL9" s="113"/>
      <c r="NWM9" s="113"/>
      <c r="NWN9" s="113"/>
      <c r="NWO9" s="113"/>
      <c r="NWP9" s="113"/>
      <c r="NWQ9" s="113"/>
      <c r="NWR9" s="113"/>
      <c r="NWS9" s="113"/>
      <c r="NWT9" s="113"/>
      <c r="NWU9" s="113"/>
      <c r="NWV9" s="113"/>
      <c r="NWW9" s="113"/>
      <c r="NWX9" s="113"/>
      <c r="NWY9" s="113"/>
      <c r="NWZ9" s="113"/>
      <c r="NXA9" s="113"/>
      <c r="NXB9" s="113"/>
      <c r="NXC9" s="113"/>
      <c r="NXD9" s="113"/>
      <c r="NXE9" s="113"/>
      <c r="NXF9" s="113"/>
      <c r="NXG9" s="113"/>
      <c r="NXH9" s="113"/>
      <c r="NXI9" s="113"/>
      <c r="NXJ9" s="113"/>
      <c r="NXK9" s="113"/>
      <c r="NXL9" s="113"/>
      <c r="NXM9" s="113"/>
      <c r="NXN9" s="113"/>
      <c r="NXO9" s="113"/>
      <c r="NXP9" s="113"/>
      <c r="NXQ9" s="113"/>
      <c r="NXR9" s="113"/>
      <c r="NXS9" s="113"/>
      <c r="NXT9" s="113"/>
      <c r="NXU9" s="113"/>
      <c r="NXV9" s="113"/>
      <c r="NXW9" s="113"/>
      <c r="NXX9" s="113"/>
      <c r="NXY9" s="113"/>
      <c r="NXZ9" s="113"/>
      <c r="NYA9" s="113"/>
      <c r="NYB9" s="113"/>
      <c r="NYC9" s="113"/>
      <c r="NYD9" s="113"/>
      <c r="NYE9" s="113"/>
      <c r="NYF9" s="113"/>
      <c r="NYG9" s="113"/>
      <c r="NYH9" s="113"/>
      <c r="NYI9" s="113"/>
      <c r="NYJ9" s="113"/>
      <c r="NYK9" s="113"/>
      <c r="NYL9" s="113"/>
      <c r="NYM9" s="113"/>
      <c r="NYN9" s="113"/>
      <c r="NYO9" s="113"/>
      <c r="NYP9" s="113"/>
      <c r="NYQ9" s="113"/>
      <c r="NYR9" s="113"/>
      <c r="NYS9" s="113"/>
      <c r="NYT9" s="113"/>
      <c r="NYU9" s="113"/>
      <c r="NYV9" s="113"/>
      <c r="NYW9" s="113"/>
      <c r="NYX9" s="113"/>
      <c r="NYY9" s="113"/>
      <c r="NYZ9" s="113"/>
      <c r="NZA9" s="113"/>
      <c r="NZB9" s="113"/>
      <c r="NZC9" s="113"/>
      <c r="NZD9" s="113"/>
      <c r="NZE9" s="113"/>
      <c r="NZF9" s="113"/>
      <c r="NZG9" s="113"/>
      <c r="NZH9" s="113"/>
      <c r="NZI9" s="113"/>
      <c r="NZJ9" s="113"/>
      <c r="NZK9" s="113"/>
      <c r="NZL9" s="113"/>
      <c r="NZM9" s="113"/>
      <c r="NZN9" s="113"/>
      <c r="NZO9" s="113"/>
      <c r="NZP9" s="113"/>
      <c r="NZQ9" s="113"/>
      <c r="NZR9" s="113"/>
      <c r="NZS9" s="113"/>
      <c r="NZT9" s="113"/>
      <c r="NZU9" s="113"/>
      <c r="NZV9" s="113"/>
      <c r="NZW9" s="113"/>
      <c r="NZX9" s="113"/>
      <c r="NZY9" s="113"/>
      <c r="NZZ9" s="113"/>
      <c r="OAA9" s="113"/>
      <c r="OAB9" s="113"/>
      <c r="OAC9" s="113"/>
      <c r="OAD9" s="113"/>
      <c r="OAE9" s="113"/>
      <c r="OAF9" s="113"/>
      <c r="OAG9" s="113"/>
      <c r="OAH9" s="113"/>
      <c r="OAI9" s="113"/>
      <c r="OAJ9" s="113"/>
      <c r="OAK9" s="113"/>
      <c r="OAL9" s="113"/>
      <c r="OAM9" s="113"/>
      <c r="OAN9" s="113"/>
      <c r="OAO9" s="113"/>
      <c r="OAP9" s="113"/>
      <c r="OAQ9" s="113"/>
      <c r="OAR9" s="113"/>
      <c r="OAS9" s="113"/>
      <c r="OAT9" s="113"/>
      <c r="OAU9" s="113"/>
      <c r="OAV9" s="113"/>
      <c r="OAW9" s="113"/>
      <c r="OAX9" s="113"/>
      <c r="OAY9" s="113"/>
      <c r="OAZ9" s="113"/>
      <c r="OBA9" s="113"/>
      <c r="OBB9" s="113"/>
      <c r="OBC9" s="113"/>
      <c r="OBD9" s="113"/>
      <c r="OBE9" s="113"/>
      <c r="OBF9" s="113"/>
      <c r="OBG9" s="113"/>
      <c r="OBH9" s="113"/>
      <c r="OBI9" s="113"/>
      <c r="OBJ9" s="113"/>
      <c r="OBK9" s="113"/>
      <c r="OBL9" s="113"/>
      <c r="OBM9" s="113"/>
      <c r="OBN9" s="113"/>
      <c r="OBO9" s="113"/>
      <c r="OBP9" s="113"/>
      <c r="OBQ9" s="113"/>
      <c r="OBR9" s="113"/>
      <c r="OBS9" s="113"/>
      <c r="OBT9" s="113"/>
      <c r="OBU9" s="113"/>
      <c r="OBV9" s="113"/>
      <c r="OBW9" s="113"/>
      <c r="OBX9" s="113"/>
      <c r="OBY9" s="113"/>
      <c r="OBZ9" s="113"/>
      <c r="OCA9" s="113"/>
      <c r="OCB9" s="113"/>
      <c r="OCC9" s="113"/>
      <c r="OCD9" s="113"/>
      <c r="OCE9" s="113"/>
      <c r="OCF9" s="113"/>
      <c r="OCG9" s="113"/>
      <c r="OCH9" s="113"/>
      <c r="OCI9" s="113"/>
      <c r="OCJ9" s="113"/>
      <c r="OCK9" s="113"/>
      <c r="OCL9" s="113"/>
      <c r="OCM9" s="113"/>
      <c r="OCN9" s="113"/>
      <c r="OCO9" s="113"/>
      <c r="OCP9" s="113"/>
      <c r="OCQ9" s="113"/>
      <c r="OCR9" s="113"/>
      <c r="OCS9" s="113"/>
      <c r="OCT9" s="113"/>
      <c r="OCU9" s="113"/>
      <c r="OCV9" s="113"/>
      <c r="OCW9" s="113"/>
      <c r="OCX9" s="113"/>
      <c r="OCY9" s="113"/>
      <c r="OCZ9" s="113"/>
      <c r="ODA9" s="113"/>
      <c r="ODB9" s="113"/>
      <c r="ODC9" s="113"/>
      <c r="ODD9" s="113"/>
      <c r="ODE9" s="113"/>
      <c r="ODF9" s="113"/>
      <c r="ODG9" s="113"/>
      <c r="ODH9" s="113"/>
      <c r="ODI9" s="113"/>
      <c r="ODJ9" s="113"/>
      <c r="ODK9" s="113"/>
      <c r="ODL9" s="113"/>
      <c r="ODM9" s="113"/>
      <c r="ODN9" s="113"/>
      <c r="ODO9" s="113"/>
      <c r="ODP9" s="113"/>
      <c r="ODQ9" s="113"/>
      <c r="ODR9" s="113"/>
      <c r="ODS9" s="113"/>
      <c r="ODT9" s="113"/>
      <c r="ODU9" s="113"/>
      <c r="ODV9" s="113"/>
      <c r="ODW9" s="113"/>
      <c r="ODX9" s="113"/>
      <c r="ODY9" s="113"/>
      <c r="ODZ9" s="113"/>
      <c r="OEA9" s="113"/>
      <c r="OEB9" s="113"/>
      <c r="OEC9" s="113"/>
      <c r="OED9" s="113"/>
      <c r="OEE9" s="113"/>
      <c r="OEF9" s="113"/>
      <c r="OEG9" s="113"/>
      <c r="OEH9" s="113"/>
      <c r="OEI9" s="113"/>
      <c r="OEJ9" s="113"/>
      <c r="OEK9" s="113"/>
      <c r="OEL9" s="113"/>
      <c r="OEM9" s="113"/>
      <c r="OEN9" s="113"/>
      <c r="OEO9" s="113"/>
      <c r="OEP9" s="113"/>
      <c r="OEQ9" s="113"/>
      <c r="OER9" s="113"/>
      <c r="OES9" s="113"/>
      <c r="OET9" s="113"/>
      <c r="OEU9" s="113"/>
      <c r="OEV9" s="113"/>
      <c r="OEW9" s="113"/>
      <c r="OEX9" s="113"/>
      <c r="OEY9" s="113"/>
      <c r="OEZ9" s="113"/>
      <c r="OFA9" s="113"/>
      <c r="OFB9" s="113"/>
      <c r="OFC9" s="113"/>
      <c r="OFD9" s="113"/>
      <c r="OFE9" s="113"/>
      <c r="OFF9" s="113"/>
      <c r="OFG9" s="113"/>
      <c r="OFH9" s="113"/>
      <c r="OFI9" s="113"/>
      <c r="OFJ9" s="113"/>
      <c r="OFK9" s="113"/>
      <c r="OFL9" s="113"/>
      <c r="OFM9" s="113"/>
      <c r="OFN9" s="113"/>
      <c r="OFO9" s="113"/>
      <c r="OFP9" s="113"/>
      <c r="OFQ9" s="113"/>
      <c r="OFR9" s="113"/>
      <c r="OFS9" s="113"/>
      <c r="OFT9" s="113"/>
      <c r="OFU9" s="113"/>
      <c r="OFV9" s="113"/>
      <c r="OFW9" s="113"/>
      <c r="OFX9" s="113"/>
      <c r="OFY9" s="113"/>
      <c r="OFZ9" s="113"/>
      <c r="OGA9" s="113"/>
      <c r="OGB9" s="113"/>
      <c r="OGC9" s="113"/>
      <c r="OGD9" s="113"/>
      <c r="OGE9" s="113"/>
      <c r="OGF9" s="113"/>
      <c r="OGG9" s="113"/>
      <c r="OGH9" s="113"/>
      <c r="OGI9" s="113"/>
      <c r="OGJ9" s="113"/>
      <c r="OGK9" s="113"/>
      <c r="OGL9" s="113"/>
      <c r="OGM9" s="113"/>
      <c r="OGN9" s="113"/>
      <c r="OGO9" s="113"/>
      <c r="OGP9" s="113"/>
      <c r="OGQ9" s="113"/>
      <c r="OGR9" s="113"/>
      <c r="OGS9" s="113"/>
      <c r="OGT9" s="113"/>
      <c r="OGU9" s="113"/>
      <c r="OGV9" s="113"/>
      <c r="OGW9" s="113"/>
      <c r="OGX9" s="113"/>
      <c r="OGY9" s="113"/>
      <c r="OGZ9" s="113"/>
      <c r="OHA9" s="113"/>
      <c r="OHB9" s="113"/>
      <c r="OHC9" s="113"/>
      <c r="OHD9" s="113"/>
      <c r="OHE9" s="113"/>
      <c r="OHF9" s="113"/>
      <c r="OHG9" s="113"/>
      <c r="OHH9" s="113"/>
      <c r="OHI9" s="113"/>
      <c r="OHJ9" s="113"/>
      <c r="OHK9" s="113"/>
      <c r="OHL9" s="113"/>
      <c r="OHM9" s="113"/>
      <c r="OHN9" s="113"/>
      <c r="OHO9" s="113"/>
      <c r="OHP9" s="113"/>
      <c r="OHQ9" s="113"/>
      <c r="OHR9" s="113"/>
      <c r="OHS9" s="113"/>
      <c r="OHT9" s="113"/>
      <c r="OHU9" s="113"/>
      <c r="OHV9" s="113"/>
      <c r="OHW9" s="113"/>
      <c r="OHX9" s="113"/>
      <c r="OHY9" s="113"/>
      <c r="OHZ9" s="113"/>
      <c r="OIA9" s="113"/>
      <c r="OIB9" s="113"/>
      <c r="OIC9" s="113"/>
      <c r="OID9" s="113"/>
      <c r="OIE9" s="113"/>
      <c r="OIF9" s="113"/>
      <c r="OIG9" s="113"/>
      <c r="OIH9" s="113"/>
      <c r="OII9" s="113"/>
      <c r="OIJ9" s="113"/>
      <c r="OIK9" s="113"/>
      <c r="OIL9" s="113"/>
      <c r="OIM9" s="113"/>
      <c r="OIN9" s="113"/>
      <c r="OIO9" s="113"/>
      <c r="OIP9" s="113"/>
      <c r="OIQ9" s="113"/>
      <c r="OIR9" s="113"/>
      <c r="OIS9" s="113"/>
      <c r="OIT9" s="113"/>
      <c r="OIU9" s="113"/>
      <c r="OIV9" s="113"/>
      <c r="OIW9" s="113"/>
      <c r="OIX9" s="113"/>
      <c r="OIY9" s="113"/>
      <c r="OIZ9" s="113"/>
      <c r="OJA9" s="113"/>
      <c r="OJB9" s="113"/>
      <c r="OJC9" s="113"/>
      <c r="OJD9" s="113"/>
      <c r="OJE9" s="113"/>
      <c r="OJF9" s="113"/>
      <c r="OJG9" s="113"/>
      <c r="OJH9" s="113"/>
      <c r="OJI9" s="113"/>
      <c r="OJJ9" s="113"/>
      <c r="OJK9" s="113"/>
      <c r="OJL9" s="113"/>
      <c r="OJM9" s="113"/>
      <c r="OJN9" s="113"/>
      <c r="OJO9" s="113"/>
      <c r="OJP9" s="113"/>
      <c r="OJQ9" s="113"/>
      <c r="OJR9" s="113"/>
      <c r="OJS9" s="113"/>
      <c r="OJT9" s="113"/>
      <c r="OJU9" s="113"/>
      <c r="OJV9" s="113"/>
      <c r="OJW9" s="113"/>
      <c r="OJX9" s="113"/>
      <c r="OJY9" s="113"/>
      <c r="OJZ9" s="113"/>
      <c r="OKA9" s="113"/>
      <c r="OKB9" s="113"/>
      <c r="OKC9" s="113"/>
      <c r="OKD9" s="113"/>
      <c r="OKE9" s="113"/>
      <c r="OKF9" s="113"/>
      <c r="OKG9" s="113"/>
      <c r="OKH9" s="113"/>
      <c r="OKI9" s="113"/>
      <c r="OKJ9" s="113"/>
      <c r="OKK9" s="113"/>
      <c r="OKL9" s="113"/>
      <c r="OKM9" s="113"/>
      <c r="OKN9" s="113"/>
      <c r="OKO9" s="113"/>
      <c r="OKP9" s="113"/>
      <c r="OKQ9" s="113"/>
      <c r="OKR9" s="113"/>
      <c r="OKS9" s="113"/>
      <c r="OKT9" s="113"/>
      <c r="OKU9" s="113"/>
      <c r="OKV9" s="113"/>
      <c r="OKW9" s="113"/>
      <c r="OKX9" s="113"/>
      <c r="OKY9" s="113"/>
      <c r="OKZ9" s="113"/>
      <c r="OLA9" s="113"/>
      <c r="OLB9" s="113"/>
      <c r="OLC9" s="113"/>
      <c r="OLD9" s="113"/>
      <c r="OLE9" s="113"/>
      <c r="OLF9" s="113"/>
      <c r="OLG9" s="113"/>
      <c r="OLH9" s="113"/>
      <c r="OLI9" s="113"/>
      <c r="OLJ9" s="113"/>
      <c r="OLK9" s="113"/>
      <c r="OLL9" s="113"/>
      <c r="OLM9" s="113"/>
      <c r="OLN9" s="113"/>
      <c r="OLO9" s="113"/>
      <c r="OLP9" s="113"/>
      <c r="OLQ9" s="113"/>
      <c r="OLR9" s="113"/>
      <c r="OLS9" s="113"/>
      <c r="OLT9" s="113"/>
      <c r="OLU9" s="113"/>
      <c r="OLV9" s="113"/>
      <c r="OLW9" s="113"/>
      <c r="OLX9" s="113"/>
      <c r="OLY9" s="113"/>
      <c r="OLZ9" s="113"/>
      <c r="OMA9" s="113"/>
      <c r="OMB9" s="113"/>
      <c r="OMC9" s="113"/>
      <c r="OMD9" s="113"/>
      <c r="OME9" s="113"/>
      <c r="OMF9" s="113"/>
      <c r="OMG9" s="113"/>
      <c r="OMH9" s="113"/>
      <c r="OMI9" s="113"/>
      <c r="OMJ9" s="113"/>
      <c r="OMK9" s="113"/>
      <c r="OML9" s="113"/>
      <c r="OMM9" s="113"/>
      <c r="OMN9" s="113"/>
      <c r="OMO9" s="113"/>
      <c r="OMP9" s="113"/>
      <c r="OMQ9" s="113"/>
      <c r="OMR9" s="113"/>
      <c r="OMS9" s="113"/>
      <c r="OMT9" s="113"/>
      <c r="OMU9" s="113"/>
      <c r="OMV9" s="113"/>
      <c r="OMW9" s="113"/>
      <c r="OMX9" s="113"/>
      <c r="OMY9" s="113"/>
      <c r="OMZ9" s="113"/>
      <c r="ONA9" s="113"/>
      <c r="ONB9" s="113"/>
      <c r="ONC9" s="113"/>
      <c r="OND9" s="113"/>
      <c r="ONE9" s="113"/>
      <c r="ONF9" s="113"/>
      <c r="ONG9" s="113"/>
      <c r="ONH9" s="113"/>
      <c r="ONI9" s="113"/>
      <c r="ONJ9" s="113"/>
      <c r="ONK9" s="113"/>
      <c r="ONL9" s="113"/>
      <c r="ONM9" s="113"/>
      <c r="ONN9" s="113"/>
      <c r="ONO9" s="113"/>
      <c r="ONP9" s="113"/>
      <c r="ONQ9" s="113"/>
      <c r="ONR9" s="113"/>
      <c r="ONS9" s="113"/>
      <c r="ONT9" s="113"/>
      <c r="ONU9" s="113"/>
      <c r="ONV9" s="113"/>
      <c r="ONW9" s="113"/>
      <c r="ONX9" s="113"/>
      <c r="ONY9" s="113"/>
      <c r="ONZ9" s="113"/>
      <c r="OOA9" s="113"/>
      <c r="OOB9" s="113"/>
      <c r="OOC9" s="113"/>
      <c r="OOD9" s="113"/>
      <c r="OOE9" s="113"/>
      <c r="OOF9" s="113"/>
      <c r="OOG9" s="113"/>
      <c r="OOH9" s="113"/>
      <c r="OOI9" s="113"/>
      <c r="OOJ9" s="113"/>
      <c r="OOK9" s="113"/>
      <c r="OOL9" s="113"/>
      <c r="OOM9" s="113"/>
      <c r="OON9" s="113"/>
      <c r="OOO9" s="113"/>
      <c r="OOP9" s="113"/>
      <c r="OOQ9" s="113"/>
      <c r="OOR9" s="113"/>
      <c r="OOS9" s="113"/>
      <c r="OOT9" s="113"/>
      <c r="OOU9" s="113"/>
      <c r="OOV9" s="113"/>
      <c r="OOW9" s="113"/>
      <c r="OOX9" s="113"/>
      <c r="OOY9" s="113"/>
      <c r="OOZ9" s="113"/>
      <c r="OPA9" s="113"/>
      <c r="OPB9" s="113"/>
      <c r="OPC9" s="113"/>
      <c r="OPD9" s="113"/>
      <c r="OPE9" s="113"/>
      <c r="OPF9" s="113"/>
      <c r="OPG9" s="113"/>
      <c r="OPH9" s="113"/>
      <c r="OPI9" s="113"/>
      <c r="OPJ9" s="113"/>
      <c r="OPK9" s="113"/>
      <c r="OPL9" s="113"/>
      <c r="OPM9" s="113"/>
      <c r="OPN9" s="113"/>
      <c r="OPO9" s="113"/>
      <c r="OPP9" s="113"/>
      <c r="OPQ9" s="113"/>
      <c r="OPR9" s="113"/>
      <c r="OPS9" s="113"/>
      <c r="OPT9" s="113"/>
      <c r="OPU9" s="113"/>
      <c r="OPV9" s="113"/>
      <c r="OPW9" s="113"/>
      <c r="OPX9" s="113"/>
      <c r="OPY9" s="113"/>
      <c r="OPZ9" s="113"/>
      <c r="OQA9" s="113"/>
      <c r="OQB9" s="113"/>
      <c r="OQC9" s="113"/>
      <c r="OQD9" s="113"/>
      <c r="OQE9" s="113"/>
      <c r="OQF9" s="113"/>
      <c r="OQG9" s="113"/>
      <c r="OQH9" s="113"/>
      <c r="OQI9" s="113"/>
      <c r="OQJ9" s="113"/>
      <c r="OQK9" s="113"/>
      <c r="OQL9" s="113"/>
      <c r="OQM9" s="113"/>
      <c r="OQN9" s="113"/>
      <c r="OQO9" s="113"/>
      <c r="OQP9" s="113"/>
      <c r="OQQ9" s="113"/>
      <c r="OQR9" s="113"/>
      <c r="OQS9" s="113"/>
      <c r="OQT9" s="113"/>
      <c r="OQU9" s="113"/>
      <c r="OQV9" s="113"/>
      <c r="OQW9" s="113"/>
      <c r="OQX9" s="113"/>
      <c r="OQY9" s="113"/>
      <c r="OQZ9" s="113"/>
      <c r="ORA9" s="113"/>
      <c r="ORB9" s="113"/>
      <c r="ORC9" s="113"/>
      <c r="ORD9" s="113"/>
      <c r="ORE9" s="113"/>
      <c r="ORF9" s="113"/>
      <c r="ORG9" s="113"/>
      <c r="ORH9" s="113"/>
      <c r="ORI9" s="113"/>
      <c r="ORJ9" s="113"/>
      <c r="ORK9" s="113"/>
      <c r="ORL9" s="113"/>
      <c r="ORM9" s="113"/>
      <c r="ORN9" s="113"/>
      <c r="ORO9" s="113"/>
      <c r="ORP9" s="113"/>
      <c r="ORQ9" s="113"/>
      <c r="ORR9" s="113"/>
      <c r="ORS9" s="113"/>
      <c r="ORT9" s="113"/>
      <c r="ORU9" s="113"/>
      <c r="ORV9" s="113"/>
      <c r="ORW9" s="113"/>
      <c r="ORX9" s="113"/>
      <c r="ORY9" s="113"/>
      <c r="ORZ9" s="113"/>
      <c r="OSA9" s="113"/>
      <c r="OSB9" s="113"/>
      <c r="OSC9" s="113"/>
      <c r="OSD9" s="113"/>
      <c r="OSE9" s="113"/>
      <c r="OSF9" s="113"/>
      <c r="OSG9" s="113"/>
      <c r="OSH9" s="113"/>
      <c r="OSI9" s="113"/>
      <c r="OSJ9" s="113"/>
      <c r="OSK9" s="113"/>
      <c r="OSL9" s="113"/>
      <c r="OSM9" s="113"/>
      <c r="OSN9" s="113"/>
      <c r="OSO9" s="113"/>
      <c r="OSP9" s="113"/>
      <c r="OSQ9" s="113"/>
      <c r="OSR9" s="113"/>
      <c r="OSS9" s="113"/>
      <c r="OST9" s="113"/>
      <c r="OSU9" s="113"/>
      <c r="OSV9" s="113"/>
      <c r="OSW9" s="113"/>
      <c r="OSX9" s="113"/>
      <c r="OSY9" s="113"/>
      <c r="OSZ9" s="113"/>
      <c r="OTA9" s="113"/>
      <c r="OTB9" s="113"/>
      <c r="OTC9" s="113"/>
      <c r="OTD9" s="113"/>
      <c r="OTE9" s="113"/>
      <c r="OTF9" s="113"/>
      <c r="OTG9" s="113"/>
      <c r="OTH9" s="113"/>
      <c r="OTI9" s="113"/>
      <c r="OTJ9" s="113"/>
      <c r="OTK9" s="113"/>
      <c r="OTL9" s="113"/>
      <c r="OTM9" s="113"/>
      <c r="OTN9" s="113"/>
      <c r="OTO9" s="113"/>
      <c r="OTP9" s="113"/>
      <c r="OTQ9" s="113"/>
      <c r="OTR9" s="113"/>
      <c r="OTS9" s="113"/>
      <c r="OTT9" s="113"/>
      <c r="OTU9" s="113"/>
      <c r="OTV9" s="113"/>
      <c r="OTW9" s="113"/>
      <c r="OTX9" s="113"/>
      <c r="OTY9" s="113"/>
      <c r="OTZ9" s="113"/>
      <c r="OUA9" s="113"/>
      <c r="OUB9" s="113"/>
      <c r="OUC9" s="113"/>
      <c r="OUD9" s="113"/>
      <c r="OUE9" s="113"/>
      <c r="OUF9" s="113"/>
      <c r="OUG9" s="113"/>
      <c r="OUH9" s="113"/>
      <c r="OUI9" s="113"/>
      <c r="OUJ9" s="113"/>
      <c r="OUK9" s="113"/>
      <c r="OUL9" s="113"/>
      <c r="OUM9" s="113"/>
      <c r="OUN9" s="113"/>
      <c r="OUO9" s="113"/>
      <c r="OUP9" s="113"/>
      <c r="OUQ9" s="113"/>
      <c r="OUR9" s="113"/>
      <c r="OUS9" s="113"/>
      <c r="OUT9" s="113"/>
      <c r="OUU9" s="113"/>
      <c r="OUV9" s="113"/>
      <c r="OUW9" s="113"/>
      <c r="OUX9" s="113"/>
      <c r="OUY9" s="113"/>
      <c r="OUZ9" s="113"/>
      <c r="OVA9" s="113"/>
      <c r="OVB9" s="113"/>
      <c r="OVC9" s="113"/>
      <c r="OVD9" s="113"/>
      <c r="OVE9" s="113"/>
      <c r="OVF9" s="113"/>
      <c r="OVG9" s="113"/>
      <c r="OVH9" s="113"/>
      <c r="OVI9" s="113"/>
      <c r="OVJ9" s="113"/>
      <c r="OVK9" s="113"/>
      <c r="OVL9" s="113"/>
      <c r="OVM9" s="113"/>
      <c r="OVN9" s="113"/>
      <c r="OVO9" s="113"/>
      <c r="OVP9" s="113"/>
      <c r="OVQ9" s="113"/>
      <c r="OVR9" s="113"/>
      <c r="OVS9" s="113"/>
      <c r="OVT9" s="113"/>
      <c r="OVU9" s="113"/>
      <c r="OVV9" s="113"/>
      <c r="OVW9" s="113"/>
      <c r="OVX9" s="113"/>
      <c r="OVY9" s="113"/>
      <c r="OVZ9" s="113"/>
      <c r="OWA9" s="113"/>
      <c r="OWB9" s="113"/>
      <c r="OWC9" s="113"/>
      <c r="OWD9" s="113"/>
      <c r="OWE9" s="113"/>
      <c r="OWF9" s="113"/>
      <c r="OWG9" s="113"/>
      <c r="OWH9" s="113"/>
      <c r="OWI9" s="113"/>
      <c r="OWJ9" s="113"/>
      <c r="OWK9" s="113"/>
      <c r="OWL9" s="113"/>
      <c r="OWM9" s="113"/>
      <c r="OWN9" s="113"/>
      <c r="OWO9" s="113"/>
      <c r="OWP9" s="113"/>
      <c r="OWQ9" s="113"/>
      <c r="OWR9" s="113"/>
      <c r="OWS9" s="113"/>
      <c r="OWT9" s="113"/>
      <c r="OWU9" s="113"/>
      <c r="OWV9" s="113"/>
      <c r="OWW9" s="113"/>
      <c r="OWX9" s="113"/>
      <c r="OWY9" s="113"/>
      <c r="OWZ9" s="113"/>
      <c r="OXA9" s="113"/>
      <c r="OXB9" s="113"/>
      <c r="OXC9" s="113"/>
      <c r="OXD9" s="113"/>
      <c r="OXE9" s="113"/>
      <c r="OXF9" s="113"/>
      <c r="OXG9" s="113"/>
      <c r="OXH9" s="113"/>
      <c r="OXI9" s="113"/>
      <c r="OXJ9" s="113"/>
      <c r="OXK9" s="113"/>
      <c r="OXL9" s="113"/>
      <c r="OXM9" s="113"/>
      <c r="OXN9" s="113"/>
      <c r="OXO9" s="113"/>
      <c r="OXP9" s="113"/>
      <c r="OXQ9" s="113"/>
      <c r="OXR9" s="113"/>
      <c r="OXS9" s="113"/>
      <c r="OXT9" s="113"/>
      <c r="OXU9" s="113"/>
      <c r="OXV9" s="113"/>
      <c r="OXW9" s="113"/>
      <c r="OXX9" s="113"/>
      <c r="OXY9" s="113"/>
      <c r="OXZ9" s="113"/>
      <c r="OYA9" s="113"/>
      <c r="OYB9" s="113"/>
      <c r="OYC9" s="113"/>
      <c r="OYD9" s="113"/>
      <c r="OYE9" s="113"/>
      <c r="OYF9" s="113"/>
      <c r="OYG9" s="113"/>
      <c r="OYH9" s="113"/>
      <c r="OYI9" s="113"/>
      <c r="OYJ9" s="113"/>
      <c r="OYK9" s="113"/>
      <c r="OYL9" s="113"/>
      <c r="OYM9" s="113"/>
      <c r="OYN9" s="113"/>
      <c r="OYO9" s="113"/>
      <c r="OYP9" s="113"/>
      <c r="OYQ9" s="113"/>
      <c r="OYR9" s="113"/>
      <c r="OYS9" s="113"/>
      <c r="OYT9" s="113"/>
      <c r="OYU9" s="113"/>
      <c r="OYV9" s="113"/>
      <c r="OYW9" s="113"/>
      <c r="OYX9" s="113"/>
      <c r="OYY9" s="113"/>
      <c r="OYZ9" s="113"/>
      <c r="OZA9" s="113"/>
      <c r="OZB9" s="113"/>
      <c r="OZC9" s="113"/>
      <c r="OZD9" s="113"/>
      <c r="OZE9" s="113"/>
      <c r="OZF9" s="113"/>
      <c r="OZG9" s="113"/>
      <c r="OZH9" s="113"/>
      <c r="OZI9" s="113"/>
      <c r="OZJ9" s="113"/>
      <c r="OZK9" s="113"/>
      <c r="OZL9" s="113"/>
      <c r="OZM9" s="113"/>
      <c r="OZN9" s="113"/>
      <c r="OZO9" s="113"/>
      <c r="OZP9" s="113"/>
      <c r="OZQ9" s="113"/>
      <c r="OZR9" s="113"/>
      <c r="OZS9" s="113"/>
      <c r="OZT9" s="113"/>
      <c r="OZU9" s="113"/>
      <c r="OZV9" s="113"/>
      <c r="OZW9" s="113"/>
      <c r="OZX9" s="113"/>
      <c r="OZY9" s="113"/>
      <c r="OZZ9" s="113"/>
      <c r="PAA9" s="113"/>
      <c r="PAB9" s="113"/>
      <c r="PAC9" s="113"/>
      <c r="PAD9" s="113"/>
      <c r="PAE9" s="113"/>
      <c r="PAF9" s="113"/>
      <c r="PAG9" s="113"/>
      <c r="PAH9" s="113"/>
      <c r="PAI9" s="113"/>
      <c r="PAJ9" s="113"/>
      <c r="PAK9" s="113"/>
      <c r="PAL9" s="113"/>
      <c r="PAM9" s="113"/>
      <c r="PAN9" s="113"/>
      <c r="PAO9" s="113"/>
      <c r="PAP9" s="113"/>
      <c r="PAQ9" s="113"/>
      <c r="PAR9" s="113"/>
      <c r="PAS9" s="113"/>
      <c r="PAT9" s="113"/>
      <c r="PAU9" s="113"/>
      <c r="PAV9" s="113"/>
      <c r="PAW9" s="113"/>
      <c r="PAX9" s="113"/>
      <c r="PAY9" s="113"/>
      <c r="PAZ9" s="113"/>
      <c r="PBA9" s="113"/>
      <c r="PBB9" s="113"/>
      <c r="PBC9" s="113"/>
      <c r="PBD9" s="113"/>
      <c r="PBE9" s="113"/>
      <c r="PBF9" s="113"/>
      <c r="PBG9" s="113"/>
      <c r="PBH9" s="113"/>
      <c r="PBI9" s="113"/>
      <c r="PBJ9" s="113"/>
      <c r="PBK9" s="113"/>
      <c r="PBL9" s="113"/>
      <c r="PBM9" s="113"/>
      <c r="PBN9" s="113"/>
      <c r="PBO9" s="113"/>
      <c r="PBP9" s="113"/>
      <c r="PBQ9" s="113"/>
      <c r="PBR9" s="113"/>
      <c r="PBS9" s="113"/>
      <c r="PBT9" s="113"/>
      <c r="PBU9" s="113"/>
      <c r="PBV9" s="113"/>
      <c r="PBW9" s="113"/>
      <c r="PBX9" s="113"/>
      <c r="PBY9" s="113"/>
      <c r="PBZ9" s="113"/>
      <c r="PCA9" s="113"/>
      <c r="PCB9" s="113"/>
      <c r="PCC9" s="113"/>
      <c r="PCD9" s="113"/>
      <c r="PCE9" s="113"/>
      <c r="PCF9" s="113"/>
      <c r="PCG9" s="113"/>
      <c r="PCH9" s="113"/>
      <c r="PCI9" s="113"/>
      <c r="PCJ9" s="113"/>
      <c r="PCK9" s="113"/>
      <c r="PCL9" s="113"/>
      <c r="PCM9" s="113"/>
      <c r="PCN9" s="113"/>
      <c r="PCO9" s="113"/>
      <c r="PCP9" s="113"/>
      <c r="PCQ9" s="113"/>
      <c r="PCR9" s="113"/>
      <c r="PCS9" s="113"/>
      <c r="PCT9" s="113"/>
      <c r="PCU9" s="113"/>
      <c r="PCV9" s="113"/>
      <c r="PCW9" s="113"/>
      <c r="PCX9" s="113"/>
      <c r="PCY9" s="113"/>
      <c r="PCZ9" s="113"/>
      <c r="PDA9" s="113"/>
      <c r="PDB9" s="113"/>
      <c r="PDC9" s="113"/>
      <c r="PDD9" s="113"/>
      <c r="PDE9" s="113"/>
      <c r="PDF9" s="113"/>
      <c r="PDG9" s="113"/>
      <c r="PDH9" s="113"/>
      <c r="PDI9" s="113"/>
      <c r="PDJ9" s="113"/>
      <c r="PDK9" s="113"/>
      <c r="PDL9" s="113"/>
      <c r="PDM9" s="113"/>
      <c r="PDN9" s="113"/>
      <c r="PDO9" s="113"/>
      <c r="PDP9" s="113"/>
      <c r="PDQ9" s="113"/>
      <c r="PDR9" s="113"/>
      <c r="PDS9" s="113"/>
      <c r="PDT9" s="113"/>
      <c r="PDU9" s="113"/>
      <c r="PDV9" s="113"/>
      <c r="PDW9" s="113"/>
      <c r="PDX9" s="113"/>
      <c r="PDY9" s="113"/>
      <c r="PDZ9" s="113"/>
      <c r="PEA9" s="113"/>
      <c r="PEB9" s="113"/>
      <c r="PEC9" s="113"/>
      <c r="PED9" s="113"/>
      <c r="PEE9" s="113"/>
      <c r="PEF9" s="113"/>
      <c r="PEG9" s="113"/>
      <c r="PEH9" s="113"/>
      <c r="PEI9" s="113"/>
      <c r="PEJ9" s="113"/>
      <c r="PEK9" s="113"/>
      <c r="PEL9" s="113"/>
      <c r="PEM9" s="113"/>
      <c r="PEN9" s="113"/>
      <c r="PEO9" s="113"/>
      <c r="PEP9" s="113"/>
      <c r="PEQ9" s="113"/>
      <c r="PER9" s="113"/>
      <c r="PES9" s="113"/>
      <c r="PET9" s="113"/>
      <c r="PEU9" s="113"/>
      <c r="PEV9" s="113"/>
      <c r="PEW9" s="113"/>
      <c r="PEX9" s="113"/>
      <c r="PEY9" s="113"/>
      <c r="PEZ9" s="113"/>
      <c r="PFA9" s="113"/>
      <c r="PFB9" s="113"/>
      <c r="PFC9" s="113"/>
      <c r="PFD9" s="113"/>
      <c r="PFE9" s="113"/>
      <c r="PFF9" s="113"/>
      <c r="PFG9" s="113"/>
      <c r="PFH9" s="113"/>
      <c r="PFI9" s="113"/>
      <c r="PFJ9" s="113"/>
      <c r="PFK9" s="113"/>
      <c r="PFL9" s="113"/>
      <c r="PFM9" s="113"/>
      <c r="PFN9" s="113"/>
      <c r="PFO9" s="113"/>
      <c r="PFP9" s="113"/>
      <c r="PFQ9" s="113"/>
      <c r="PFR9" s="113"/>
      <c r="PFS9" s="113"/>
      <c r="PFT9" s="113"/>
      <c r="PFU9" s="113"/>
      <c r="PFV9" s="113"/>
      <c r="PFW9" s="113"/>
      <c r="PFX9" s="113"/>
      <c r="PFY9" s="113"/>
      <c r="PFZ9" s="113"/>
      <c r="PGA9" s="113"/>
      <c r="PGB9" s="113"/>
      <c r="PGC9" s="113"/>
      <c r="PGD9" s="113"/>
      <c r="PGE9" s="113"/>
      <c r="PGF9" s="113"/>
      <c r="PGG9" s="113"/>
      <c r="PGH9" s="113"/>
      <c r="PGI9" s="113"/>
      <c r="PGJ9" s="113"/>
      <c r="PGK9" s="113"/>
      <c r="PGL9" s="113"/>
      <c r="PGM9" s="113"/>
      <c r="PGN9" s="113"/>
      <c r="PGO9" s="113"/>
      <c r="PGP9" s="113"/>
      <c r="PGQ9" s="113"/>
      <c r="PGR9" s="113"/>
      <c r="PGS9" s="113"/>
      <c r="PGT9" s="113"/>
      <c r="PGU9" s="113"/>
      <c r="PGV9" s="113"/>
      <c r="PGW9" s="113"/>
      <c r="PGX9" s="113"/>
      <c r="PGY9" s="113"/>
      <c r="PGZ9" s="113"/>
      <c r="PHA9" s="113"/>
      <c r="PHB9" s="113"/>
      <c r="PHC9" s="113"/>
      <c r="PHD9" s="113"/>
      <c r="PHE9" s="113"/>
      <c r="PHF9" s="113"/>
      <c r="PHG9" s="113"/>
      <c r="PHH9" s="113"/>
      <c r="PHI9" s="113"/>
      <c r="PHJ9" s="113"/>
      <c r="PHK9" s="113"/>
      <c r="PHL9" s="113"/>
      <c r="PHM9" s="113"/>
      <c r="PHN9" s="113"/>
      <c r="PHO9" s="113"/>
      <c r="PHP9" s="113"/>
      <c r="PHQ9" s="113"/>
      <c r="PHR9" s="113"/>
      <c r="PHS9" s="113"/>
      <c r="PHT9" s="113"/>
      <c r="PHU9" s="113"/>
      <c r="PHV9" s="113"/>
      <c r="PHW9" s="113"/>
      <c r="PHX9" s="113"/>
      <c r="PHY9" s="113"/>
      <c r="PHZ9" s="113"/>
      <c r="PIA9" s="113"/>
      <c r="PIB9" s="113"/>
      <c r="PIC9" s="113"/>
      <c r="PID9" s="113"/>
      <c r="PIE9" s="113"/>
      <c r="PIF9" s="113"/>
      <c r="PIG9" s="113"/>
      <c r="PIH9" s="113"/>
      <c r="PII9" s="113"/>
      <c r="PIJ9" s="113"/>
      <c r="PIK9" s="113"/>
      <c r="PIL9" s="113"/>
      <c r="PIM9" s="113"/>
      <c r="PIN9" s="113"/>
      <c r="PIO9" s="113"/>
      <c r="PIP9" s="113"/>
      <c r="PIQ9" s="113"/>
      <c r="PIR9" s="113"/>
      <c r="PIS9" s="113"/>
      <c r="PIT9" s="113"/>
      <c r="PIU9" s="113"/>
      <c r="PIV9" s="113"/>
      <c r="PIW9" s="113"/>
      <c r="PIX9" s="113"/>
      <c r="PIY9" s="113"/>
      <c r="PIZ9" s="113"/>
      <c r="PJA9" s="113"/>
      <c r="PJB9" s="113"/>
      <c r="PJC9" s="113"/>
      <c r="PJD9" s="113"/>
      <c r="PJE9" s="113"/>
      <c r="PJF9" s="113"/>
      <c r="PJG9" s="113"/>
      <c r="PJH9" s="113"/>
      <c r="PJI9" s="113"/>
      <c r="PJJ9" s="113"/>
      <c r="PJK9" s="113"/>
      <c r="PJL9" s="113"/>
      <c r="PJM9" s="113"/>
      <c r="PJN9" s="113"/>
      <c r="PJO9" s="113"/>
      <c r="PJP9" s="113"/>
      <c r="PJQ9" s="113"/>
      <c r="PJR9" s="113"/>
      <c r="PJS9" s="113"/>
      <c r="PJT9" s="113"/>
      <c r="PJU9" s="113"/>
      <c r="PJV9" s="113"/>
      <c r="PJW9" s="113"/>
      <c r="PJX9" s="113"/>
      <c r="PJY9" s="113"/>
      <c r="PJZ9" s="113"/>
      <c r="PKA9" s="113"/>
      <c r="PKB9" s="113"/>
      <c r="PKC9" s="113"/>
      <c r="PKD9" s="113"/>
      <c r="PKE9" s="113"/>
      <c r="PKF9" s="113"/>
      <c r="PKG9" s="113"/>
      <c r="PKH9" s="113"/>
      <c r="PKI9" s="113"/>
      <c r="PKJ9" s="113"/>
      <c r="PKK9" s="113"/>
      <c r="PKL9" s="113"/>
      <c r="PKM9" s="113"/>
      <c r="PKN9" s="113"/>
      <c r="PKO9" s="113"/>
      <c r="PKP9" s="113"/>
      <c r="PKQ9" s="113"/>
      <c r="PKR9" s="113"/>
      <c r="PKS9" s="113"/>
      <c r="PKT9" s="113"/>
      <c r="PKU9" s="113"/>
      <c r="PKV9" s="113"/>
      <c r="PKW9" s="113"/>
      <c r="PKX9" s="113"/>
      <c r="PKY9" s="113"/>
      <c r="PKZ9" s="113"/>
      <c r="PLA9" s="113"/>
      <c r="PLB9" s="113"/>
      <c r="PLC9" s="113"/>
      <c r="PLD9" s="113"/>
      <c r="PLE9" s="113"/>
      <c r="PLF9" s="113"/>
      <c r="PLG9" s="113"/>
      <c r="PLH9" s="113"/>
      <c r="PLI9" s="113"/>
      <c r="PLJ9" s="113"/>
      <c r="PLK9" s="113"/>
      <c r="PLL9" s="113"/>
      <c r="PLM9" s="113"/>
      <c r="PLN9" s="113"/>
      <c r="PLO9" s="113"/>
      <c r="PLP9" s="113"/>
      <c r="PLQ9" s="113"/>
      <c r="PLR9" s="113"/>
      <c r="PLS9" s="113"/>
      <c r="PLT9" s="113"/>
      <c r="PLU9" s="113"/>
      <c r="PLV9" s="113"/>
      <c r="PLW9" s="113"/>
      <c r="PLX9" s="113"/>
      <c r="PLY9" s="113"/>
      <c r="PLZ9" s="113"/>
      <c r="PMA9" s="113"/>
      <c r="PMB9" s="113"/>
      <c r="PMC9" s="113"/>
      <c r="PMD9" s="113"/>
      <c r="PME9" s="113"/>
      <c r="PMF9" s="113"/>
      <c r="PMG9" s="113"/>
      <c r="PMH9" s="113"/>
      <c r="PMI9" s="113"/>
      <c r="PMJ9" s="113"/>
      <c r="PMK9" s="113"/>
      <c r="PML9" s="113"/>
      <c r="PMM9" s="113"/>
      <c r="PMN9" s="113"/>
      <c r="PMO9" s="113"/>
      <c r="PMP9" s="113"/>
      <c r="PMQ9" s="113"/>
      <c r="PMR9" s="113"/>
      <c r="PMS9" s="113"/>
      <c r="PMT9" s="113"/>
      <c r="PMU9" s="113"/>
      <c r="PMV9" s="113"/>
      <c r="PMW9" s="113"/>
      <c r="PMX9" s="113"/>
      <c r="PMY9" s="113"/>
      <c r="PMZ9" s="113"/>
      <c r="PNA9" s="113"/>
      <c r="PNB9" s="113"/>
      <c r="PNC9" s="113"/>
      <c r="PND9" s="113"/>
      <c r="PNE9" s="113"/>
      <c r="PNF9" s="113"/>
      <c r="PNG9" s="113"/>
      <c r="PNH9" s="113"/>
      <c r="PNI9" s="113"/>
      <c r="PNJ9" s="113"/>
      <c r="PNK9" s="113"/>
      <c r="PNL9" s="113"/>
      <c r="PNM9" s="113"/>
      <c r="PNN9" s="113"/>
      <c r="PNO9" s="113"/>
      <c r="PNP9" s="113"/>
      <c r="PNQ9" s="113"/>
      <c r="PNR9" s="113"/>
      <c r="PNS9" s="113"/>
      <c r="PNT9" s="113"/>
      <c r="PNU9" s="113"/>
      <c r="PNV9" s="113"/>
      <c r="PNW9" s="113"/>
      <c r="PNX9" s="113"/>
      <c r="PNY9" s="113"/>
      <c r="PNZ9" s="113"/>
      <c r="POA9" s="113"/>
      <c r="POB9" s="113"/>
      <c r="POC9" s="113"/>
      <c r="POD9" s="113"/>
      <c r="POE9" s="113"/>
      <c r="POF9" s="113"/>
      <c r="POG9" s="113"/>
      <c r="POH9" s="113"/>
      <c r="POI9" s="113"/>
      <c r="POJ9" s="113"/>
      <c r="POK9" s="113"/>
      <c r="POL9" s="113"/>
      <c r="POM9" s="113"/>
      <c r="PON9" s="113"/>
      <c r="POO9" s="113"/>
      <c r="POP9" s="113"/>
      <c r="POQ9" s="113"/>
      <c r="POR9" s="113"/>
      <c r="POS9" s="113"/>
      <c r="POT9" s="113"/>
      <c r="POU9" s="113"/>
      <c r="POV9" s="113"/>
      <c r="POW9" s="113"/>
      <c r="POX9" s="113"/>
      <c r="POY9" s="113"/>
      <c r="POZ9" s="113"/>
      <c r="PPA9" s="113"/>
      <c r="PPB9" s="113"/>
      <c r="PPC9" s="113"/>
      <c r="PPD9" s="113"/>
      <c r="PPE9" s="113"/>
      <c r="PPF9" s="113"/>
      <c r="PPG9" s="113"/>
      <c r="PPH9" s="113"/>
      <c r="PPI9" s="113"/>
      <c r="PPJ9" s="113"/>
      <c r="PPK9" s="113"/>
      <c r="PPL9" s="113"/>
      <c r="PPM9" s="113"/>
      <c r="PPN9" s="113"/>
      <c r="PPO9" s="113"/>
      <c r="PPP9" s="113"/>
      <c r="PPQ9" s="113"/>
      <c r="PPR9" s="113"/>
      <c r="PPS9" s="113"/>
      <c r="PPT9" s="113"/>
      <c r="PPU9" s="113"/>
      <c r="PPV9" s="113"/>
      <c r="PPW9" s="113"/>
      <c r="PPX9" s="113"/>
      <c r="PPY9" s="113"/>
      <c r="PPZ9" s="113"/>
      <c r="PQA9" s="113"/>
      <c r="PQB9" s="113"/>
      <c r="PQC9" s="113"/>
      <c r="PQD9" s="113"/>
      <c r="PQE9" s="113"/>
      <c r="PQF9" s="113"/>
      <c r="PQG9" s="113"/>
      <c r="PQH9" s="113"/>
      <c r="PQI9" s="113"/>
      <c r="PQJ9" s="113"/>
      <c r="PQK9" s="113"/>
      <c r="PQL9" s="113"/>
      <c r="PQM9" s="113"/>
      <c r="PQN9" s="113"/>
      <c r="PQO9" s="113"/>
      <c r="PQP9" s="113"/>
      <c r="PQQ9" s="113"/>
      <c r="PQR9" s="113"/>
      <c r="PQS9" s="113"/>
      <c r="PQT9" s="113"/>
      <c r="PQU9" s="113"/>
      <c r="PQV9" s="113"/>
      <c r="PQW9" s="113"/>
      <c r="PQX9" s="113"/>
      <c r="PQY9" s="113"/>
      <c r="PQZ9" s="113"/>
      <c r="PRA9" s="113"/>
      <c r="PRB9" s="113"/>
      <c r="PRC9" s="113"/>
      <c r="PRD9" s="113"/>
      <c r="PRE9" s="113"/>
      <c r="PRF9" s="113"/>
      <c r="PRG9" s="113"/>
      <c r="PRH9" s="113"/>
      <c r="PRI9" s="113"/>
      <c r="PRJ9" s="113"/>
      <c r="PRK9" s="113"/>
      <c r="PRL9" s="113"/>
      <c r="PRM9" s="113"/>
      <c r="PRN9" s="113"/>
      <c r="PRO9" s="113"/>
      <c r="PRP9" s="113"/>
      <c r="PRQ9" s="113"/>
      <c r="PRR9" s="113"/>
      <c r="PRS9" s="113"/>
      <c r="PRT9" s="113"/>
      <c r="PRU9" s="113"/>
      <c r="PRV9" s="113"/>
      <c r="PRW9" s="113"/>
      <c r="PRX9" s="113"/>
      <c r="PRY9" s="113"/>
      <c r="PRZ9" s="113"/>
      <c r="PSA9" s="113"/>
      <c r="PSB9" s="113"/>
      <c r="PSC9" s="113"/>
      <c r="PSD9" s="113"/>
      <c r="PSE9" s="113"/>
      <c r="PSF9" s="113"/>
      <c r="PSG9" s="113"/>
      <c r="PSH9" s="113"/>
      <c r="PSI9" s="113"/>
      <c r="PSJ9" s="113"/>
      <c r="PSK9" s="113"/>
      <c r="PSL9" s="113"/>
      <c r="PSM9" s="113"/>
      <c r="PSN9" s="113"/>
      <c r="PSO9" s="113"/>
      <c r="PSP9" s="113"/>
      <c r="PSQ9" s="113"/>
      <c r="PSR9" s="113"/>
      <c r="PSS9" s="113"/>
      <c r="PST9" s="113"/>
      <c r="PSU9" s="113"/>
      <c r="PSV9" s="113"/>
      <c r="PSW9" s="113"/>
      <c r="PSX9" s="113"/>
      <c r="PSY9" s="113"/>
      <c r="PSZ9" s="113"/>
      <c r="PTA9" s="113"/>
      <c r="PTB9" s="113"/>
      <c r="PTC9" s="113"/>
      <c r="PTD9" s="113"/>
      <c r="PTE9" s="113"/>
      <c r="PTF9" s="113"/>
      <c r="PTG9" s="113"/>
      <c r="PTH9" s="113"/>
      <c r="PTI9" s="113"/>
      <c r="PTJ9" s="113"/>
      <c r="PTK9" s="113"/>
      <c r="PTL9" s="113"/>
      <c r="PTM9" s="113"/>
      <c r="PTN9" s="113"/>
      <c r="PTO9" s="113"/>
      <c r="PTP9" s="113"/>
      <c r="PTQ9" s="113"/>
      <c r="PTR9" s="113"/>
      <c r="PTS9" s="113"/>
      <c r="PTT9" s="113"/>
      <c r="PTU9" s="113"/>
      <c r="PTV9" s="113"/>
      <c r="PTW9" s="113"/>
      <c r="PTX9" s="113"/>
      <c r="PTY9" s="113"/>
      <c r="PTZ9" s="113"/>
      <c r="PUA9" s="113"/>
      <c r="PUB9" s="113"/>
      <c r="PUC9" s="113"/>
      <c r="PUD9" s="113"/>
      <c r="PUE9" s="113"/>
      <c r="PUF9" s="113"/>
      <c r="PUG9" s="113"/>
      <c r="PUH9" s="113"/>
      <c r="PUI9" s="113"/>
      <c r="PUJ9" s="113"/>
      <c r="PUK9" s="113"/>
      <c r="PUL9" s="113"/>
      <c r="PUM9" s="113"/>
      <c r="PUN9" s="113"/>
      <c r="PUO9" s="113"/>
      <c r="PUP9" s="113"/>
      <c r="PUQ9" s="113"/>
      <c r="PUR9" s="113"/>
      <c r="PUS9" s="113"/>
      <c r="PUT9" s="113"/>
      <c r="PUU9" s="113"/>
      <c r="PUV9" s="113"/>
      <c r="PUW9" s="113"/>
      <c r="PUX9" s="113"/>
      <c r="PUY9" s="113"/>
      <c r="PUZ9" s="113"/>
      <c r="PVA9" s="113"/>
      <c r="PVB9" s="113"/>
      <c r="PVC9" s="113"/>
      <c r="PVD9" s="113"/>
      <c r="PVE9" s="113"/>
      <c r="PVF9" s="113"/>
      <c r="PVG9" s="113"/>
      <c r="PVH9" s="113"/>
      <c r="PVI9" s="113"/>
      <c r="PVJ9" s="113"/>
      <c r="PVK9" s="113"/>
      <c r="PVL9" s="113"/>
      <c r="PVM9" s="113"/>
      <c r="PVN9" s="113"/>
      <c r="PVO9" s="113"/>
      <c r="PVP9" s="113"/>
      <c r="PVQ9" s="113"/>
      <c r="PVR9" s="113"/>
      <c r="PVS9" s="113"/>
      <c r="PVT9" s="113"/>
      <c r="PVU9" s="113"/>
      <c r="PVV9" s="113"/>
      <c r="PVW9" s="113"/>
      <c r="PVX9" s="113"/>
      <c r="PVY9" s="113"/>
      <c r="PVZ9" s="113"/>
      <c r="PWA9" s="113"/>
      <c r="PWB9" s="113"/>
      <c r="PWC9" s="113"/>
      <c r="PWD9" s="113"/>
      <c r="PWE9" s="113"/>
      <c r="PWF9" s="113"/>
      <c r="PWG9" s="113"/>
      <c r="PWH9" s="113"/>
      <c r="PWI9" s="113"/>
      <c r="PWJ9" s="113"/>
      <c r="PWK9" s="113"/>
      <c r="PWL9" s="113"/>
      <c r="PWM9" s="113"/>
      <c r="PWN9" s="113"/>
      <c r="PWO9" s="113"/>
      <c r="PWP9" s="113"/>
      <c r="PWQ9" s="113"/>
      <c r="PWR9" s="113"/>
      <c r="PWS9" s="113"/>
      <c r="PWT9" s="113"/>
      <c r="PWU9" s="113"/>
      <c r="PWV9" s="113"/>
      <c r="PWW9" s="113"/>
      <c r="PWX9" s="113"/>
      <c r="PWY9" s="113"/>
      <c r="PWZ9" s="113"/>
      <c r="PXA9" s="113"/>
      <c r="PXB9" s="113"/>
      <c r="PXC9" s="113"/>
      <c r="PXD9" s="113"/>
      <c r="PXE9" s="113"/>
      <c r="PXF9" s="113"/>
      <c r="PXG9" s="113"/>
      <c r="PXH9" s="113"/>
      <c r="PXI9" s="113"/>
      <c r="PXJ9" s="113"/>
      <c r="PXK9" s="113"/>
      <c r="PXL9" s="113"/>
      <c r="PXM9" s="113"/>
      <c r="PXN9" s="113"/>
      <c r="PXO9" s="113"/>
      <c r="PXP9" s="113"/>
      <c r="PXQ9" s="113"/>
      <c r="PXR9" s="113"/>
      <c r="PXS9" s="113"/>
      <c r="PXT9" s="113"/>
      <c r="PXU9" s="113"/>
      <c r="PXV9" s="113"/>
      <c r="PXW9" s="113"/>
      <c r="PXX9" s="113"/>
      <c r="PXY9" s="113"/>
      <c r="PXZ9" s="113"/>
      <c r="PYA9" s="113"/>
      <c r="PYB9" s="113"/>
      <c r="PYC9" s="113"/>
      <c r="PYD9" s="113"/>
      <c r="PYE9" s="113"/>
      <c r="PYF9" s="113"/>
      <c r="PYG9" s="113"/>
      <c r="PYH9" s="113"/>
      <c r="PYI9" s="113"/>
      <c r="PYJ9" s="113"/>
      <c r="PYK9" s="113"/>
      <c r="PYL9" s="113"/>
      <c r="PYM9" s="113"/>
      <c r="PYN9" s="113"/>
      <c r="PYO9" s="113"/>
      <c r="PYP9" s="113"/>
      <c r="PYQ9" s="113"/>
      <c r="PYR9" s="113"/>
      <c r="PYS9" s="113"/>
      <c r="PYT9" s="113"/>
      <c r="PYU9" s="113"/>
      <c r="PYV9" s="113"/>
      <c r="PYW9" s="113"/>
      <c r="PYX9" s="113"/>
      <c r="PYY9" s="113"/>
      <c r="PYZ9" s="113"/>
      <c r="PZA9" s="113"/>
      <c r="PZB9" s="113"/>
      <c r="PZC9" s="113"/>
      <c r="PZD9" s="113"/>
      <c r="PZE9" s="113"/>
      <c r="PZF9" s="113"/>
      <c r="PZG9" s="113"/>
      <c r="PZH9" s="113"/>
      <c r="PZI9" s="113"/>
      <c r="PZJ9" s="113"/>
      <c r="PZK9" s="113"/>
      <c r="PZL9" s="113"/>
      <c r="PZM9" s="113"/>
      <c r="PZN9" s="113"/>
      <c r="PZO9" s="113"/>
      <c r="PZP9" s="113"/>
      <c r="PZQ9" s="113"/>
      <c r="PZR9" s="113"/>
      <c r="PZS9" s="113"/>
      <c r="PZT9" s="113"/>
      <c r="PZU9" s="113"/>
      <c r="PZV9" s="113"/>
      <c r="PZW9" s="113"/>
      <c r="PZX9" s="113"/>
      <c r="PZY9" s="113"/>
      <c r="PZZ9" s="113"/>
      <c r="QAA9" s="113"/>
      <c r="QAB9" s="113"/>
      <c r="QAC9" s="113"/>
      <c r="QAD9" s="113"/>
      <c r="QAE9" s="113"/>
      <c r="QAF9" s="113"/>
      <c r="QAG9" s="113"/>
      <c r="QAH9" s="113"/>
      <c r="QAI9" s="113"/>
      <c r="QAJ9" s="113"/>
      <c r="QAK9" s="113"/>
      <c r="QAL9" s="113"/>
      <c r="QAM9" s="113"/>
      <c r="QAN9" s="113"/>
      <c r="QAO9" s="113"/>
      <c r="QAP9" s="113"/>
      <c r="QAQ9" s="113"/>
      <c r="QAR9" s="113"/>
      <c r="QAS9" s="113"/>
      <c r="QAT9" s="113"/>
      <c r="QAU9" s="113"/>
      <c r="QAV9" s="113"/>
      <c r="QAW9" s="113"/>
      <c r="QAX9" s="113"/>
      <c r="QAY9" s="113"/>
      <c r="QAZ9" s="113"/>
      <c r="QBA9" s="113"/>
      <c r="QBB9" s="113"/>
      <c r="QBC9" s="113"/>
      <c r="QBD9" s="113"/>
      <c r="QBE9" s="113"/>
      <c r="QBF9" s="113"/>
      <c r="QBG9" s="113"/>
      <c r="QBH9" s="113"/>
      <c r="QBI9" s="113"/>
      <c r="QBJ9" s="113"/>
      <c r="QBK9" s="113"/>
      <c r="QBL9" s="113"/>
      <c r="QBM9" s="113"/>
      <c r="QBN9" s="113"/>
      <c r="QBO9" s="113"/>
      <c r="QBP9" s="113"/>
      <c r="QBQ9" s="113"/>
      <c r="QBR9" s="113"/>
      <c r="QBS9" s="113"/>
      <c r="QBT9" s="113"/>
      <c r="QBU9" s="113"/>
      <c r="QBV9" s="113"/>
      <c r="QBW9" s="113"/>
      <c r="QBX9" s="113"/>
      <c r="QBY9" s="113"/>
      <c r="QBZ9" s="113"/>
      <c r="QCA9" s="113"/>
      <c r="QCB9" s="113"/>
      <c r="QCC9" s="113"/>
      <c r="QCD9" s="113"/>
      <c r="QCE9" s="113"/>
      <c r="QCF9" s="113"/>
      <c r="QCG9" s="113"/>
      <c r="QCH9" s="113"/>
      <c r="QCI9" s="113"/>
      <c r="QCJ9" s="113"/>
      <c r="QCK9" s="113"/>
      <c r="QCL9" s="113"/>
      <c r="QCM9" s="113"/>
      <c r="QCN9" s="113"/>
      <c r="QCO9" s="113"/>
      <c r="QCP9" s="113"/>
      <c r="QCQ9" s="113"/>
      <c r="QCR9" s="113"/>
      <c r="QCS9" s="113"/>
      <c r="QCT9" s="113"/>
      <c r="QCU9" s="113"/>
      <c r="QCV9" s="113"/>
      <c r="QCW9" s="113"/>
      <c r="QCX9" s="113"/>
      <c r="QCY9" s="113"/>
      <c r="QCZ9" s="113"/>
      <c r="QDA9" s="113"/>
      <c r="QDB9" s="113"/>
      <c r="QDC9" s="113"/>
      <c r="QDD9" s="113"/>
      <c r="QDE9" s="113"/>
      <c r="QDF9" s="113"/>
      <c r="QDG9" s="113"/>
      <c r="QDH9" s="113"/>
      <c r="QDI9" s="113"/>
      <c r="QDJ9" s="113"/>
      <c r="QDK9" s="113"/>
      <c r="QDL9" s="113"/>
      <c r="QDM9" s="113"/>
      <c r="QDN9" s="113"/>
      <c r="QDO9" s="113"/>
      <c r="QDP9" s="113"/>
      <c r="QDQ9" s="113"/>
      <c r="QDR9" s="113"/>
      <c r="QDS9" s="113"/>
      <c r="QDT9" s="113"/>
      <c r="QDU9" s="113"/>
      <c r="QDV9" s="113"/>
      <c r="QDW9" s="113"/>
      <c r="QDX9" s="113"/>
      <c r="QDY9" s="113"/>
      <c r="QDZ9" s="113"/>
      <c r="QEA9" s="113"/>
      <c r="QEB9" s="113"/>
      <c r="QEC9" s="113"/>
      <c r="QED9" s="113"/>
      <c r="QEE9" s="113"/>
      <c r="QEF9" s="113"/>
      <c r="QEG9" s="113"/>
      <c r="QEH9" s="113"/>
      <c r="QEI9" s="113"/>
      <c r="QEJ9" s="113"/>
      <c r="QEK9" s="113"/>
      <c r="QEL9" s="113"/>
      <c r="QEM9" s="113"/>
      <c r="QEN9" s="113"/>
      <c r="QEO9" s="113"/>
      <c r="QEP9" s="113"/>
      <c r="QEQ9" s="113"/>
      <c r="QER9" s="113"/>
      <c r="QES9" s="113"/>
      <c r="QET9" s="113"/>
      <c r="QEU9" s="113"/>
      <c r="QEV9" s="113"/>
      <c r="QEW9" s="113"/>
      <c r="QEX9" s="113"/>
      <c r="QEY9" s="113"/>
      <c r="QEZ9" s="113"/>
      <c r="QFA9" s="113"/>
      <c r="QFB9" s="113"/>
      <c r="QFC9" s="113"/>
      <c r="QFD9" s="113"/>
      <c r="QFE9" s="113"/>
      <c r="QFF9" s="113"/>
      <c r="QFG9" s="113"/>
      <c r="QFH9" s="113"/>
      <c r="QFI9" s="113"/>
      <c r="QFJ9" s="113"/>
      <c r="QFK9" s="113"/>
      <c r="QFL9" s="113"/>
      <c r="QFM9" s="113"/>
      <c r="QFN9" s="113"/>
      <c r="QFO9" s="113"/>
      <c r="QFP9" s="113"/>
      <c r="QFQ9" s="113"/>
      <c r="QFR9" s="113"/>
      <c r="QFS9" s="113"/>
      <c r="QFT9" s="113"/>
      <c r="QFU9" s="113"/>
      <c r="QFV9" s="113"/>
      <c r="QFW9" s="113"/>
      <c r="QFX9" s="113"/>
      <c r="QFY9" s="113"/>
      <c r="QFZ9" s="113"/>
      <c r="QGA9" s="113"/>
      <c r="QGB9" s="113"/>
      <c r="QGC9" s="113"/>
      <c r="QGD9" s="113"/>
      <c r="QGE9" s="113"/>
      <c r="QGF9" s="113"/>
      <c r="QGG9" s="113"/>
      <c r="QGH9" s="113"/>
      <c r="QGI9" s="113"/>
      <c r="QGJ9" s="113"/>
      <c r="QGK9" s="113"/>
      <c r="QGL9" s="113"/>
      <c r="QGM9" s="113"/>
      <c r="QGN9" s="113"/>
      <c r="QGO9" s="113"/>
      <c r="QGP9" s="113"/>
      <c r="QGQ9" s="113"/>
      <c r="QGR9" s="113"/>
      <c r="QGS9" s="113"/>
      <c r="QGT9" s="113"/>
      <c r="QGU9" s="113"/>
      <c r="QGV9" s="113"/>
      <c r="QGW9" s="113"/>
      <c r="QGX9" s="113"/>
      <c r="QGY9" s="113"/>
      <c r="QGZ9" s="113"/>
      <c r="QHA9" s="113"/>
      <c r="QHB9" s="113"/>
      <c r="QHC9" s="113"/>
      <c r="QHD9" s="113"/>
      <c r="QHE9" s="113"/>
      <c r="QHF9" s="113"/>
      <c r="QHG9" s="113"/>
      <c r="QHH9" s="113"/>
      <c r="QHI9" s="113"/>
      <c r="QHJ9" s="113"/>
      <c r="QHK9" s="113"/>
      <c r="QHL9" s="113"/>
      <c r="QHM9" s="113"/>
      <c r="QHN9" s="113"/>
      <c r="QHO9" s="113"/>
      <c r="QHP9" s="113"/>
      <c r="QHQ9" s="113"/>
      <c r="QHR9" s="113"/>
      <c r="QHS9" s="113"/>
      <c r="QHT9" s="113"/>
      <c r="QHU9" s="113"/>
      <c r="QHV9" s="113"/>
      <c r="QHW9" s="113"/>
      <c r="QHX9" s="113"/>
      <c r="QHY9" s="113"/>
      <c r="QHZ9" s="113"/>
      <c r="QIA9" s="113"/>
      <c r="QIB9" s="113"/>
      <c r="QIC9" s="113"/>
      <c r="QID9" s="113"/>
      <c r="QIE9" s="113"/>
      <c r="QIF9" s="113"/>
      <c r="QIG9" s="113"/>
      <c r="QIH9" s="113"/>
      <c r="QII9" s="113"/>
      <c r="QIJ9" s="113"/>
      <c r="QIK9" s="113"/>
      <c r="QIL9" s="113"/>
      <c r="QIM9" s="113"/>
      <c r="QIN9" s="113"/>
      <c r="QIO9" s="113"/>
      <c r="QIP9" s="113"/>
      <c r="QIQ9" s="113"/>
      <c r="QIR9" s="113"/>
      <c r="QIS9" s="113"/>
      <c r="QIT9" s="113"/>
      <c r="QIU9" s="113"/>
      <c r="QIV9" s="113"/>
      <c r="QIW9" s="113"/>
      <c r="QIX9" s="113"/>
      <c r="QIY9" s="113"/>
      <c r="QIZ9" s="113"/>
      <c r="QJA9" s="113"/>
      <c r="QJB9" s="113"/>
      <c r="QJC9" s="113"/>
      <c r="QJD9" s="113"/>
      <c r="QJE9" s="113"/>
      <c r="QJF9" s="113"/>
      <c r="QJG9" s="113"/>
      <c r="QJH9" s="113"/>
      <c r="QJI9" s="113"/>
      <c r="QJJ9" s="113"/>
      <c r="QJK9" s="113"/>
      <c r="QJL9" s="113"/>
      <c r="QJM9" s="113"/>
      <c r="QJN9" s="113"/>
      <c r="QJO9" s="113"/>
      <c r="QJP9" s="113"/>
      <c r="QJQ9" s="113"/>
      <c r="QJR9" s="113"/>
      <c r="QJS9" s="113"/>
      <c r="QJT9" s="113"/>
      <c r="QJU9" s="113"/>
      <c r="QJV9" s="113"/>
      <c r="QJW9" s="113"/>
      <c r="QJX9" s="113"/>
      <c r="QJY9" s="113"/>
      <c r="QJZ9" s="113"/>
      <c r="QKA9" s="113"/>
      <c r="QKB9" s="113"/>
      <c r="QKC9" s="113"/>
      <c r="QKD9" s="113"/>
      <c r="QKE9" s="113"/>
      <c r="QKF9" s="113"/>
      <c r="QKG9" s="113"/>
      <c r="QKH9" s="113"/>
      <c r="QKI9" s="113"/>
      <c r="QKJ9" s="113"/>
      <c r="QKK9" s="113"/>
      <c r="QKL9" s="113"/>
      <c r="QKM9" s="113"/>
      <c r="QKN9" s="113"/>
      <c r="QKO9" s="113"/>
      <c r="QKP9" s="113"/>
      <c r="QKQ9" s="113"/>
      <c r="QKR9" s="113"/>
      <c r="QKS9" s="113"/>
      <c r="QKT9" s="113"/>
      <c r="QKU9" s="113"/>
      <c r="QKV9" s="113"/>
      <c r="QKW9" s="113"/>
      <c r="QKX9" s="113"/>
      <c r="QKY9" s="113"/>
      <c r="QKZ9" s="113"/>
      <c r="QLA9" s="113"/>
      <c r="QLB9" s="113"/>
      <c r="QLC9" s="113"/>
      <c r="QLD9" s="113"/>
      <c r="QLE9" s="113"/>
      <c r="QLF9" s="113"/>
      <c r="QLG9" s="113"/>
      <c r="QLH9" s="113"/>
      <c r="QLI9" s="113"/>
      <c r="QLJ9" s="113"/>
      <c r="QLK9" s="113"/>
      <c r="QLL9" s="113"/>
      <c r="QLM9" s="113"/>
      <c r="QLN9" s="113"/>
      <c r="QLO9" s="113"/>
      <c r="QLP9" s="113"/>
      <c r="QLQ9" s="113"/>
      <c r="QLR9" s="113"/>
      <c r="QLS9" s="113"/>
      <c r="QLT9" s="113"/>
      <c r="QLU9" s="113"/>
      <c r="QLV9" s="113"/>
      <c r="QLW9" s="113"/>
      <c r="QLX9" s="113"/>
      <c r="QLY9" s="113"/>
      <c r="QLZ9" s="113"/>
      <c r="QMA9" s="113"/>
      <c r="QMB9" s="113"/>
      <c r="QMC9" s="113"/>
      <c r="QMD9" s="113"/>
      <c r="QME9" s="113"/>
      <c r="QMF9" s="113"/>
      <c r="QMG9" s="113"/>
      <c r="QMH9" s="113"/>
      <c r="QMI9" s="113"/>
      <c r="QMJ9" s="113"/>
      <c r="QMK9" s="113"/>
      <c r="QML9" s="113"/>
      <c r="QMM9" s="113"/>
      <c r="QMN9" s="113"/>
      <c r="QMO9" s="113"/>
      <c r="QMP9" s="113"/>
      <c r="QMQ9" s="113"/>
      <c r="QMR9" s="113"/>
      <c r="QMS9" s="113"/>
      <c r="QMT9" s="113"/>
      <c r="QMU9" s="113"/>
      <c r="QMV9" s="113"/>
      <c r="QMW9" s="113"/>
      <c r="QMX9" s="113"/>
      <c r="QMY9" s="113"/>
      <c r="QMZ9" s="113"/>
      <c r="QNA9" s="113"/>
      <c r="QNB9" s="113"/>
      <c r="QNC9" s="113"/>
      <c r="QND9" s="113"/>
      <c r="QNE9" s="113"/>
      <c r="QNF9" s="113"/>
      <c r="QNG9" s="113"/>
      <c r="QNH9" s="113"/>
      <c r="QNI9" s="113"/>
      <c r="QNJ9" s="113"/>
      <c r="QNK9" s="113"/>
      <c r="QNL9" s="113"/>
      <c r="QNM9" s="113"/>
      <c r="QNN9" s="113"/>
      <c r="QNO9" s="113"/>
      <c r="QNP9" s="113"/>
      <c r="QNQ9" s="113"/>
      <c r="QNR9" s="113"/>
      <c r="QNS9" s="113"/>
      <c r="QNT9" s="113"/>
      <c r="QNU9" s="113"/>
      <c r="QNV9" s="113"/>
      <c r="QNW9" s="113"/>
      <c r="QNX9" s="113"/>
      <c r="QNY9" s="113"/>
      <c r="QNZ9" s="113"/>
      <c r="QOA9" s="113"/>
      <c r="QOB9" s="113"/>
      <c r="QOC9" s="113"/>
      <c r="QOD9" s="113"/>
      <c r="QOE9" s="113"/>
      <c r="QOF9" s="113"/>
      <c r="QOG9" s="113"/>
      <c r="QOH9" s="113"/>
      <c r="QOI9" s="113"/>
      <c r="QOJ9" s="113"/>
      <c r="QOK9" s="113"/>
      <c r="QOL9" s="113"/>
      <c r="QOM9" s="113"/>
      <c r="QON9" s="113"/>
      <c r="QOO9" s="113"/>
      <c r="QOP9" s="113"/>
      <c r="QOQ9" s="113"/>
      <c r="QOR9" s="113"/>
      <c r="QOS9" s="113"/>
      <c r="QOT9" s="113"/>
      <c r="QOU9" s="113"/>
      <c r="QOV9" s="113"/>
      <c r="QOW9" s="113"/>
      <c r="QOX9" s="113"/>
      <c r="QOY9" s="113"/>
      <c r="QOZ9" s="113"/>
      <c r="QPA9" s="113"/>
      <c r="QPB9" s="113"/>
      <c r="QPC9" s="113"/>
      <c r="QPD9" s="113"/>
      <c r="QPE9" s="113"/>
      <c r="QPF9" s="113"/>
      <c r="QPG9" s="113"/>
      <c r="QPH9" s="113"/>
      <c r="QPI9" s="113"/>
      <c r="QPJ9" s="113"/>
      <c r="QPK9" s="113"/>
      <c r="QPL9" s="113"/>
      <c r="QPM9" s="113"/>
      <c r="QPN9" s="113"/>
      <c r="QPO9" s="113"/>
      <c r="QPP9" s="113"/>
      <c r="QPQ9" s="113"/>
      <c r="QPR9" s="113"/>
      <c r="QPS9" s="113"/>
      <c r="QPT9" s="113"/>
      <c r="QPU9" s="113"/>
      <c r="QPV9" s="113"/>
      <c r="QPW9" s="113"/>
      <c r="QPX9" s="113"/>
      <c r="QPY9" s="113"/>
      <c r="QPZ9" s="113"/>
      <c r="QQA9" s="113"/>
      <c r="QQB9" s="113"/>
      <c r="QQC9" s="113"/>
      <c r="QQD9" s="113"/>
      <c r="QQE9" s="113"/>
      <c r="QQF9" s="113"/>
      <c r="QQG9" s="113"/>
      <c r="QQH9" s="113"/>
      <c r="QQI9" s="113"/>
      <c r="QQJ9" s="113"/>
      <c r="QQK9" s="113"/>
      <c r="QQL9" s="113"/>
      <c r="QQM9" s="113"/>
      <c r="QQN9" s="113"/>
      <c r="QQO9" s="113"/>
      <c r="QQP9" s="113"/>
      <c r="QQQ9" s="113"/>
      <c r="QQR9" s="113"/>
      <c r="QQS9" s="113"/>
      <c r="QQT9" s="113"/>
      <c r="QQU9" s="113"/>
      <c r="QQV9" s="113"/>
      <c r="QQW9" s="113"/>
      <c r="QQX9" s="113"/>
      <c r="QQY9" s="113"/>
      <c r="QQZ9" s="113"/>
      <c r="QRA9" s="113"/>
      <c r="QRB9" s="113"/>
      <c r="QRC9" s="113"/>
      <c r="QRD9" s="113"/>
      <c r="QRE9" s="113"/>
      <c r="QRF9" s="113"/>
      <c r="QRG9" s="113"/>
      <c r="QRH9" s="113"/>
      <c r="QRI9" s="113"/>
      <c r="QRJ9" s="113"/>
      <c r="QRK9" s="113"/>
      <c r="QRL9" s="113"/>
      <c r="QRM9" s="113"/>
      <c r="QRN9" s="113"/>
      <c r="QRO9" s="113"/>
      <c r="QRP9" s="113"/>
      <c r="QRQ9" s="113"/>
      <c r="QRR9" s="113"/>
      <c r="QRS9" s="113"/>
      <c r="QRT9" s="113"/>
      <c r="QRU9" s="113"/>
      <c r="QRV9" s="113"/>
      <c r="QRW9" s="113"/>
      <c r="QRX9" s="113"/>
      <c r="QRY9" s="113"/>
      <c r="QRZ9" s="113"/>
      <c r="QSA9" s="113"/>
      <c r="QSB9" s="113"/>
      <c r="QSC9" s="113"/>
      <c r="QSD9" s="113"/>
      <c r="QSE9" s="113"/>
      <c r="QSF9" s="113"/>
      <c r="QSG9" s="113"/>
      <c r="QSH9" s="113"/>
      <c r="QSI9" s="113"/>
      <c r="QSJ9" s="113"/>
      <c r="QSK9" s="113"/>
      <c r="QSL9" s="113"/>
      <c r="QSM9" s="113"/>
      <c r="QSN9" s="113"/>
      <c r="QSO9" s="113"/>
      <c r="QSP9" s="113"/>
      <c r="QSQ9" s="113"/>
      <c r="QSR9" s="113"/>
      <c r="QSS9" s="113"/>
      <c r="QST9" s="113"/>
      <c r="QSU9" s="113"/>
      <c r="QSV9" s="113"/>
      <c r="QSW9" s="113"/>
      <c r="QSX9" s="113"/>
      <c r="QSY9" s="113"/>
      <c r="QSZ9" s="113"/>
      <c r="QTA9" s="113"/>
      <c r="QTB9" s="113"/>
      <c r="QTC9" s="113"/>
      <c r="QTD9" s="113"/>
      <c r="QTE9" s="113"/>
      <c r="QTF9" s="113"/>
      <c r="QTG9" s="113"/>
      <c r="QTH9" s="113"/>
      <c r="QTI9" s="113"/>
      <c r="QTJ9" s="113"/>
      <c r="QTK9" s="113"/>
      <c r="QTL9" s="113"/>
      <c r="QTM9" s="113"/>
      <c r="QTN9" s="113"/>
      <c r="QTO9" s="113"/>
      <c r="QTP9" s="113"/>
      <c r="QTQ9" s="113"/>
      <c r="QTR9" s="113"/>
      <c r="QTS9" s="113"/>
      <c r="QTT9" s="113"/>
      <c r="QTU9" s="113"/>
      <c r="QTV9" s="113"/>
      <c r="QTW9" s="113"/>
      <c r="QTX9" s="113"/>
      <c r="QTY9" s="113"/>
      <c r="QTZ9" s="113"/>
      <c r="QUA9" s="113"/>
      <c r="QUB9" s="113"/>
      <c r="QUC9" s="113"/>
      <c r="QUD9" s="113"/>
      <c r="QUE9" s="113"/>
      <c r="QUF9" s="113"/>
      <c r="QUG9" s="113"/>
      <c r="QUH9" s="113"/>
      <c r="QUI9" s="113"/>
      <c r="QUJ9" s="113"/>
      <c r="QUK9" s="113"/>
      <c r="QUL9" s="113"/>
      <c r="QUM9" s="113"/>
      <c r="QUN9" s="113"/>
      <c r="QUO9" s="113"/>
      <c r="QUP9" s="113"/>
      <c r="QUQ9" s="113"/>
      <c r="QUR9" s="113"/>
      <c r="QUS9" s="113"/>
      <c r="QUT9" s="113"/>
      <c r="QUU9" s="113"/>
      <c r="QUV9" s="113"/>
      <c r="QUW9" s="113"/>
      <c r="QUX9" s="113"/>
      <c r="QUY9" s="113"/>
      <c r="QUZ9" s="113"/>
      <c r="QVA9" s="113"/>
      <c r="QVB9" s="113"/>
      <c r="QVC9" s="113"/>
      <c r="QVD9" s="113"/>
      <c r="QVE9" s="113"/>
      <c r="QVF9" s="113"/>
      <c r="QVG9" s="113"/>
      <c r="QVH9" s="113"/>
      <c r="QVI9" s="113"/>
      <c r="QVJ9" s="113"/>
      <c r="QVK9" s="113"/>
      <c r="QVL9" s="113"/>
      <c r="QVM9" s="113"/>
      <c r="QVN9" s="113"/>
      <c r="QVO9" s="113"/>
      <c r="QVP9" s="113"/>
      <c r="QVQ9" s="113"/>
      <c r="QVR9" s="113"/>
      <c r="QVS9" s="113"/>
      <c r="QVT9" s="113"/>
      <c r="QVU9" s="113"/>
      <c r="QVV9" s="113"/>
      <c r="QVW9" s="113"/>
      <c r="QVX9" s="113"/>
      <c r="QVY9" s="113"/>
      <c r="QVZ9" s="113"/>
      <c r="QWA9" s="113"/>
      <c r="QWB9" s="113"/>
      <c r="QWC9" s="113"/>
      <c r="QWD9" s="113"/>
      <c r="QWE9" s="113"/>
      <c r="QWF9" s="113"/>
      <c r="QWG9" s="113"/>
      <c r="QWH9" s="113"/>
      <c r="QWI9" s="113"/>
      <c r="QWJ9" s="113"/>
      <c r="QWK9" s="113"/>
      <c r="QWL9" s="113"/>
      <c r="QWM9" s="113"/>
      <c r="QWN9" s="113"/>
      <c r="QWO9" s="113"/>
      <c r="QWP9" s="113"/>
      <c r="QWQ9" s="113"/>
      <c r="QWR9" s="113"/>
      <c r="QWS9" s="113"/>
      <c r="QWT9" s="113"/>
      <c r="QWU9" s="113"/>
      <c r="QWV9" s="113"/>
      <c r="QWW9" s="113"/>
      <c r="QWX9" s="113"/>
      <c r="QWY9" s="113"/>
      <c r="QWZ9" s="113"/>
      <c r="QXA9" s="113"/>
      <c r="QXB9" s="113"/>
      <c r="QXC9" s="113"/>
      <c r="QXD9" s="113"/>
      <c r="QXE9" s="113"/>
      <c r="QXF9" s="113"/>
      <c r="QXG9" s="113"/>
      <c r="QXH9" s="113"/>
      <c r="QXI9" s="113"/>
      <c r="QXJ9" s="113"/>
      <c r="QXK9" s="113"/>
      <c r="QXL9" s="113"/>
      <c r="QXM9" s="113"/>
      <c r="QXN9" s="113"/>
      <c r="QXO9" s="113"/>
      <c r="QXP9" s="113"/>
      <c r="QXQ9" s="113"/>
      <c r="QXR9" s="113"/>
      <c r="QXS9" s="113"/>
      <c r="QXT9" s="113"/>
      <c r="QXU9" s="113"/>
      <c r="QXV9" s="113"/>
      <c r="QXW9" s="113"/>
      <c r="QXX9" s="113"/>
      <c r="QXY9" s="113"/>
      <c r="QXZ9" s="113"/>
      <c r="QYA9" s="113"/>
      <c r="QYB9" s="113"/>
      <c r="QYC9" s="113"/>
      <c r="QYD9" s="113"/>
      <c r="QYE9" s="113"/>
      <c r="QYF9" s="113"/>
      <c r="QYG9" s="113"/>
      <c r="QYH9" s="113"/>
      <c r="QYI9" s="113"/>
      <c r="QYJ9" s="113"/>
      <c r="QYK9" s="113"/>
      <c r="QYL9" s="113"/>
      <c r="QYM9" s="113"/>
      <c r="QYN9" s="113"/>
      <c r="QYO9" s="113"/>
      <c r="QYP9" s="113"/>
      <c r="QYQ9" s="113"/>
      <c r="QYR9" s="113"/>
      <c r="QYS9" s="113"/>
      <c r="QYT9" s="113"/>
      <c r="QYU9" s="113"/>
      <c r="QYV9" s="113"/>
      <c r="QYW9" s="113"/>
      <c r="QYX9" s="113"/>
      <c r="QYY9" s="113"/>
      <c r="QYZ9" s="113"/>
      <c r="QZA9" s="113"/>
      <c r="QZB9" s="113"/>
      <c r="QZC9" s="113"/>
      <c r="QZD9" s="113"/>
      <c r="QZE9" s="113"/>
      <c r="QZF9" s="113"/>
      <c r="QZG9" s="113"/>
      <c r="QZH9" s="113"/>
      <c r="QZI9" s="113"/>
      <c r="QZJ9" s="113"/>
      <c r="QZK9" s="113"/>
      <c r="QZL9" s="113"/>
      <c r="QZM9" s="113"/>
      <c r="QZN9" s="113"/>
      <c r="QZO9" s="113"/>
      <c r="QZP9" s="113"/>
      <c r="QZQ9" s="113"/>
      <c r="QZR9" s="113"/>
      <c r="QZS9" s="113"/>
      <c r="QZT9" s="113"/>
      <c r="QZU9" s="113"/>
      <c r="QZV9" s="113"/>
      <c r="QZW9" s="113"/>
      <c r="QZX9" s="113"/>
      <c r="QZY9" s="113"/>
      <c r="QZZ9" s="113"/>
      <c r="RAA9" s="113"/>
      <c r="RAB9" s="113"/>
      <c r="RAC9" s="113"/>
      <c r="RAD9" s="113"/>
      <c r="RAE9" s="113"/>
      <c r="RAF9" s="113"/>
      <c r="RAG9" s="113"/>
      <c r="RAH9" s="113"/>
      <c r="RAI9" s="113"/>
      <c r="RAJ9" s="113"/>
      <c r="RAK9" s="113"/>
      <c r="RAL9" s="113"/>
      <c r="RAM9" s="113"/>
      <c r="RAN9" s="113"/>
      <c r="RAO9" s="113"/>
      <c r="RAP9" s="113"/>
      <c r="RAQ9" s="113"/>
      <c r="RAR9" s="113"/>
      <c r="RAS9" s="113"/>
      <c r="RAT9" s="113"/>
      <c r="RAU9" s="113"/>
      <c r="RAV9" s="113"/>
      <c r="RAW9" s="113"/>
      <c r="RAX9" s="113"/>
      <c r="RAY9" s="113"/>
      <c r="RAZ9" s="113"/>
      <c r="RBA9" s="113"/>
      <c r="RBB9" s="113"/>
      <c r="RBC9" s="113"/>
      <c r="RBD9" s="113"/>
      <c r="RBE9" s="113"/>
      <c r="RBF9" s="113"/>
      <c r="RBG9" s="113"/>
      <c r="RBH9" s="113"/>
      <c r="RBI9" s="113"/>
      <c r="RBJ9" s="113"/>
      <c r="RBK9" s="113"/>
      <c r="RBL9" s="113"/>
      <c r="RBM9" s="113"/>
      <c r="RBN9" s="113"/>
      <c r="RBO9" s="113"/>
      <c r="RBP9" s="113"/>
      <c r="RBQ9" s="113"/>
      <c r="RBR9" s="113"/>
      <c r="RBS9" s="113"/>
      <c r="RBT9" s="113"/>
      <c r="RBU9" s="113"/>
      <c r="RBV9" s="113"/>
      <c r="RBW9" s="113"/>
      <c r="RBX9" s="113"/>
      <c r="RBY9" s="113"/>
      <c r="RBZ9" s="113"/>
      <c r="RCA9" s="113"/>
      <c r="RCB9" s="113"/>
      <c r="RCC9" s="113"/>
      <c r="RCD9" s="113"/>
      <c r="RCE9" s="113"/>
      <c r="RCF9" s="113"/>
      <c r="RCG9" s="113"/>
      <c r="RCH9" s="113"/>
      <c r="RCI9" s="113"/>
      <c r="RCJ9" s="113"/>
      <c r="RCK9" s="113"/>
      <c r="RCL9" s="113"/>
      <c r="RCM9" s="113"/>
      <c r="RCN9" s="113"/>
      <c r="RCO9" s="113"/>
      <c r="RCP9" s="113"/>
      <c r="RCQ9" s="113"/>
      <c r="RCR9" s="113"/>
      <c r="RCS9" s="113"/>
      <c r="RCT9" s="113"/>
      <c r="RCU9" s="113"/>
      <c r="RCV9" s="113"/>
      <c r="RCW9" s="113"/>
      <c r="RCX9" s="113"/>
      <c r="RCY9" s="113"/>
      <c r="RCZ9" s="113"/>
      <c r="RDA9" s="113"/>
      <c r="RDB9" s="113"/>
      <c r="RDC9" s="113"/>
      <c r="RDD9" s="113"/>
      <c r="RDE9" s="113"/>
      <c r="RDF9" s="113"/>
      <c r="RDG9" s="113"/>
      <c r="RDH9" s="113"/>
      <c r="RDI9" s="113"/>
      <c r="RDJ9" s="113"/>
      <c r="RDK9" s="113"/>
      <c r="RDL9" s="113"/>
      <c r="RDM9" s="113"/>
      <c r="RDN9" s="113"/>
      <c r="RDO9" s="113"/>
      <c r="RDP9" s="113"/>
      <c r="RDQ9" s="113"/>
      <c r="RDR9" s="113"/>
      <c r="RDS9" s="113"/>
      <c r="RDT9" s="113"/>
      <c r="RDU9" s="113"/>
      <c r="RDV9" s="113"/>
      <c r="RDW9" s="113"/>
      <c r="RDX9" s="113"/>
      <c r="RDY9" s="113"/>
      <c r="RDZ9" s="113"/>
      <c r="REA9" s="113"/>
      <c r="REB9" s="113"/>
      <c r="REC9" s="113"/>
      <c r="RED9" s="113"/>
      <c r="REE9" s="113"/>
      <c r="REF9" s="113"/>
      <c r="REG9" s="113"/>
      <c r="REH9" s="113"/>
      <c r="REI9" s="113"/>
      <c r="REJ9" s="113"/>
      <c r="REK9" s="113"/>
      <c r="REL9" s="113"/>
      <c r="REM9" s="113"/>
      <c r="REN9" s="113"/>
      <c r="REO9" s="113"/>
      <c r="REP9" s="113"/>
      <c r="REQ9" s="113"/>
      <c r="RER9" s="113"/>
      <c r="RES9" s="113"/>
      <c r="RET9" s="113"/>
      <c r="REU9" s="113"/>
      <c r="REV9" s="113"/>
      <c r="REW9" s="113"/>
      <c r="REX9" s="113"/>
      <c r="REY9" s="113"/>
      <c r="REZ9" s="113"/>
      <c r="RFA9" s="113"/>
      <c r="RFB9" s="113"/>
      <c r="RFC9" s="113"/>
      <c r="RFD9" s="113"/>
      <c r="RFE9" s="113"/>
      <c r="RFF9" s="113"/>
      <c r="RFG9" s="113"/>
      <c r="RFH9" s="113"/>
      <c r="RFI9" s="113"/>
      <c r="RFJ9" s="113"/>
      <c r="RFK9" s="113"/>
      <c r="RFL9" s="113"/>
      <c r="RFM9" s="113"/>
      <c r="RFN9" s="113"/>
      <c r="RFO9" s="113"/>
      <c r="RFP9" s="113"/>
      <c r="RFQ9" s="113"/>
      <c r="RFR9" s="113"/>
      <c r="RFS9" s="113"/>
      <c r="RFT9" s="113"/>
      <c r="RFU9" s="113"/>
      <c r="RFV9" s="113"/>
      <c r="RFW9" s="113"/>
      <c r="RFX9" s="113"/>
      <c r="RFY9" s="113"/>
      <c r="RFZ9" s="113"/>
      <c r="RGA9" s="113"/>
      <c r="RGB9" s="113"/>
      <c r="RGC9" s="113"/>
      <c r="RGD9" s="113"/>
      <c r="RGE9" s="113"/>
      <c r="RGF9" s="113"/>
      <c r="RGG9" s="113"/>
      <c r="RGH9" s="113"/>
      <c r="RGI9" s="113"/>
      <c r="RGJ9" s="113"/>
      <c r="RGK9" s="113"/>
      <c r="RGL9" s="113"/>
      <c r="RGM9" s="113"/>
      <c r="RGN9" s="113"/>
      <c r="RGO9" s="113"/>
      <c r="RGP9" s="113"/>
      <c r="RGQ9" s="113"/>
      <c r="RGR9" s="113"/>
      <c r="RGS9" s="113"/>
      <c r="RGT9" s="113"/>
      <c r="RGU9" s="113"/>
      <c r="RGV9" s="113"/>
      <c r="RGW9" s="113"/>
      <c r="RGX9" s="113"/>
      <c r="RGY9" s="113"/>
      <c r="RGZ9" s="113"/>
      <c r="RHA9" s="113"/>
      <c r="RHB9" s="113"/>
      <c r="RHC9" s="113"/>
      <c r="RHD9" s="113"/>
      <c r="RHE9" s="113"/>
      <c r="RHF9" s="113"/>
      <c r="RHG9" s="113"/>
      <c r="RHH9" s="113"/>
      <c r="RHI9" s="113"/>
      <c r="RHJ9" s="113"/>
      <c r="RHK9" s="113"/>
      <c r="RHL9" s="113"/>
      <c r="RHM9" s="113"/>
      <c r="RHN9" s="113"/>
      <c r="RHO9" s="113"/>
      <c r="RHP9" s="113"/>
      <c r="RHQ9" s="113"/>
      <c r="RHR9" s="113"/>
      <c r="RHS9" s="113"/>
      <c r="RHT9" s="113"/>
      <c r="RHU9" s="113"/>
      <c r="RHV9" s="113"/>
      <c r="RHW9" s="113"/>
      <c r="RHX9" s="113"/>
      <c r="RHY9" s="113"/>
      <c r="RHZ9" s="113"/>
      <c r="RIA9" s="113"/>
      <c r="RIB9" s="113"/>
      <c r="RIC9" s="113"/>
      <c r="RID9" s="113"/>
      <c r="RIE9" s="113"/>
      <c r="RIF9" s="113"/>
      <c r="RIG9" s="113"/>
      <c r="RIH9" s="113"/>
      <c r="RII9" s="113"/>
      <c r="RIJ9" s="113"/>
      <c r="RIK9" s="113"/>
      <c r="RIL9" s="113"/>
      <c r="RIM9" s="113"/>
      <c r="RIN9" s="113"/>
      <c r="RIO9" s="113"/>
      <c r="RIP9" s="113"/>
      <c r="RIQ9" s="113"/>
      <c r="RIR9" s="113"/>
      <c r="RIS9" s="113"/>
      <c r="RIT9" s="113"/>
      <c r="RIU9" s="113"/>
      <c r="RIV9" s="113"/>
      <c r="RIW9" s="113"/>
      <c r="RIX9" s="113"/>
      <c r="RIY9" s="113"/>
      <c r="RIZ9" s="113"/>
      <c r="RJA9" s="113"/>
      <c r="RJB9" s="113"/>
      <c r="RJC9" s="113"/>
      <c r="RJD9" s="113"/>
      <c r="RJE9" s="113"/>
      <c r="RJF9" s="113"/>
      <c r="RJG9" s="113"/>
      <c r="RJH9" s="113"/>
      <c r="RJI9" s="113"/>
      <c r="RJJ9" s="113"/>
      <c r="RJK9" s="113"/>
      <c r="RJL9" s="113"/>
      <c r="RJM9" s="113"/>
      <c r="RJN9" s="113"/>
      <c r="RJO9" s="113"/>
      <c r="RJP9" s="113"/>
      <c r="RJQ9" s="113"/>
      <c r="RJR9" s="113"/>
      <c r="RJS9" s="113"/>
      <c r="RJT9" s="113"/>
      <c r="RJU9" s="113"/>
      <c r="RJV9" s="113"/>
      <c r="RJW9" s="113"/>
      <c r="RJX9" s="113"/>
      <c r="RJY9" s="113"/>
      <c r="RJZ9" s="113"/>
      <c r="RKA9" s="113"/>
      <c r="RKB9" s="113"/>
      <c r="RKC9" s="113"/>
      <c r="RKD9" s="113"/>
      <c r="RKE9" s="113"/>
      <c r="RKF9" s="113"/>
      <c r="RKG9" s="113"/>
      <c r="RKH9" s="113"/>
      <c r="RKI9" s="113"/>
      <c r="RKJ9" s="113"/>
      <c r="RKK9" s="113"/>
      <c r="RKL9" s="113"/>
      <c r="RKM9" s="113"/>
      <c r="RKN9" s="113"/>
      <c r="RKO9" s="113"/>
      <c r="RKP9" s="113"/>
      <c r="RKQ9" s="113"/>
      <c r="RKR9" s="113"/>
      <c r="RKS9" s="113"/>
      <c r="RKT9" s="113"/>
      <c r="RKU9" s="113"/>
      <c r="RKV9" s="113"/>
      <c r="RKW9" s="113"/>
      <c r="RKX9" s="113"/>
      <c r="RKY9" s="113"/>
      <c r="RKZ9" s="113"/>
      <c r="RLA9" s="113"/>
      <c r="RLB9" s="113"/>
      <c r="RLC9" s="113"/>
      <c r="RLD9" s="113"/>
      <c r="RLE9" s="113"/>
      <c r="RLF9" s="113"/>
      <c r="RLG9" s="113"/>
      <c r="RLH9" s="113"/>
      <c r="RLI9" s="113"/>
      <c r="RLJ9" s="113"/>
      <c r="RLK9" s="113"/>
      <c r="RLL9" s="113"/>
      <c r="RLM9" s="113"/>
      <c r="RLN9" s="113"/>
      <c r="RLO9" s="113"/>
      <c r="RLP9" s="113"/>
      <c r="RLQ9" s="113"/>
      <c r="RLR9" s="113"/>
      <c r="RLS9" s="113"/>
      <c r="RLT9" s="113"/>
      <c r="RLU9" s="113"/>
      <c r="RLV9" s="113"/>
      <c r="RLW9" s="113"/>
      <c r="RLX9" s="113"/>
      <c r="RLY9" s="113"/>
      <c r="RLZ9" s="113"/>
      <c r="RMA9" s="113"/>
      <c r="RMB9" s="113"/>
      <c r="RMC9" s="113"/>
      <c r="RMD9" s="113"/>
      <c r="RME9" s="113"/>
      <c r="RMF9" s="113"/>
      <c r="RMG9" s="113"/>
      <c r="RMH9" s="113"/>
      <c r="RMI9" s="113"/>
      <c r="RMJ9" s="113"/>
      <c r="RMK9" s="113"/>
      <c r="RML9" s="113"/>
      <c r="RMM9" s="113"/>
      <c r="RMN9" s="113"/>
      <c r="RMO9" s="113"/>
      <c r="RMP9" s="113"/>
      <c r="RMQ9" s="113"/>
      <c r="RMR9" s="113"/>
      <c r="RMS9" s="113"/>
      <c r="RMT9" s="113"/>
      <c r="RMU9" s="113"/>
      <c r="RMV9" s="113"/>
      <c r="RMW9" s="113"/>
      <c r="RMX9" s="113"/>
      <c r="RMY9" s="113"/>
      <c r="RMZ9" s="113"/>
      <c r="RNA9" s="113"/>
      <c r="RNB9" s="113"/>
      <c r="RNC9" s="113"/>
      <c r="RND9" s="113"/>
      <c r="RNE9" s="113"/>
      <c r="RNF9" s="113"/>
      <c r="RNG9" s="113"/>
      <c r="RNH9" s="113"/>
      <c r="RNI9" s="113"/>
      <c r="RNJ9" s="113"/>
      <c r="RNK9" s="113"/>
      <c r="RNL9" s="113"/>
      <c r="RNM9" s="113"/>
      <c r="RNN9" s="113"/>
      <c r="RNO9" s="113"/>
      <c r="RNP9" s="113"/>
      <c r="RNQ9" s="113"/>
      <c r="RNR9" s="113"/>
      <c r="RNS9" s="113"/>
      <c r="RNT9" s="113"/>
      <c r="RNU9" s="113"/>
      <c r="RNV9" s="113"/>
      <c r="RNW9" s="113"/>
      <c r="RNX9" s="113"/>
      <c r="RNY9" s="113"/>
      <c r="RNZ9" s="113"/>
      <c r="ROA9" s="113"/>
      <c r="ROB9" s="113"/>
      <c r="ROC9" s="113"/>
      <c r="ROD9" s="113"/>
      <c r="ROE9" s="113"/>
      <c r="ROF9" s="113"/>
      <c r="ROG9" s="113"/>
      <c r="ROH9" s="113"/>
      <c r="ROI9" s="113"/>
      <c r="ROJ9" s="113"/>
      <c r="ROK9" s="113"/>
      <c r="ROL9" s="113"/>
      <c r="ROM9" s="113"/>
      <c r="RON9" s="113"/>
      <c r="ROO9" s="113"/>
      <c r="ROP9" s="113"/>
      <c r="ROQ9" s="113"/>
      <c r="ROR9" s="113"/>
      <c r="ROS9" s="113"/>
      <c r="ROT9" s="113"/>
      <c r="ROU9" s="113"/>
      <c r="ROV9" s="113"/>
      <c r="ROW9" s="113"/>
      <c r="ROX9" s="113"/>
      <c r="ROY9" s="113"/>
      <c r="ROZ9" s="113"/>
      <c r="RPA9" s="113"/>
      <c r="RPB9" s="113"/>
      <c r="RPC9" s="113"/>
      <c r="RPD9" s="113"/>
      <c r="RPE9" s="113"/>
      <c r="RPF9" s="113"/>
      <c r="RPG9" s="113"/>
      <c r="RPH9" s="113"/>
      <c r="RPI9" s="113"/>
      <c r="RPJ9" s="113"/>
      <c r="RPK9" s="113"/>
      <c r="RPL9" s="113"/>
      <c r="RPM9" s="113"/>
      <c r="RPN9" s="113"/>
      <c r="RPO9" s="113"/>
      <c r="RPP9" s="113"/>
      <c r="RPQ9" s="113"/>
      <c r="RPR9" s="113"/>
      <c r="RPS9" s="113"/>
      <c r="RPT9" s="113"/>
      <c r="RPU9" s="113"/>
      <c r="RPV9" s="113"/>
      <c r="RPW9" s="113"/>
      <c r="RPX9" s="113"/>
      <c r="RPY9" s="113"/>
      <c r="RPZ9" s="113"/>
      <c r="RQA9" s="113"/>
      <c r="RQB9" s="113"/>
      <c r="RQC9" s="113"/>
      <c r="RQD9" s="113"/>
      <c r="RQE9" s="113"/>
      <c r="RQF9" s="113"/>
      <c r="RQG9" s="113"/>
      <c r="RQH9" s="113"/>
      <c r="RQI9" s="113"/>
      <c r="RQJ9" s="113"/>
      <c r="RQK9" s="113"/>
      <c r="RQL9" s="113"/>
      <c r="RQM9" s="113"/>
      <c r="RQN9" s="113"/>
      <c r="RQO9" s="113"/>
      <c r="RQP9" s="113"/>
      <c r="RQQ9" s="113"/>
      <c r="RQR9" s="113"/>
      <c r="RQS9" s="113"/>
      <c r="RQT9" s="113"/>
      <c r="RQU9" s="113"/>
      <c r="RQV9" s="113"/>
      <c r="RQW9" s="113"/>
      <c r="RQX9" s="113"/>
      <c r="RQY9" s="113"/>
      <c r="RQZ9" s="113"/>
      <c r="RRA9" s="113"/>
      <c r="RRB9" s="113"/>
      <c r="RRC9" s="113"/>
      <c r="RRD9" s="113"/>
      <c r="RRE9" s="113"/>
      <c r="RRF9" s="113"/>
      <c r="RRG9" s="113"/>
      <c r="RRH9" s="113"/>
      <c r="RRI9" s="113"/>
      <c r="RRJ9" s="113"/>
      <c r="RRK9" s="113"/>
      <c r="RRL9" s="113"/>
      <c r="RRM9" s="113"/>
      <c r="RRN9" s="113"/>
      <c r="RRO9" s="113"/>
      <c r="RRP9" s="113"/>
      <c r="RRQ9" s="113"/>
      <c r="RRR9" s="113"/>
      <c r="RRS9" s="113"/>
      <c r="RRT9" s="113"/>
      <c r="RRU9" s="113"/>
      <c r="RRV9" s="113"/>
      <c r="RRW9" s="113"/>
      <c r="RRX9" s="113"/>
      <c r="RRY9" s="113"/>
      <c r="RRZ9" s="113"/>
      <c r="RSA9" s="113"/>
      <c r="RSB9" s="113"/>
      <c r="RSC9" s="113"/>
      <c r="RSD9" s="113"/>
      <c r="RSE9" s="113"/>
      <c r="RSF9" s="113"/>
      <c r="RSG9" s="113"/>
      <c r="RSH9" s="113"/>
      <c r="RSI9" s="113"/>
      <c r="RSJ9" s="113"/>
      <c r="RSK9" s="113"/>
      <c r="RSL9" s="113"/>
      <c r="RSM9" s="113"/>
      <c r="RSN9" s="113"/>
      <c r="RSO9" s="113"/>
      <c r="RSP9" s="113"/>
      <c r="RSQ9" s="113"/>
      <c r="RSR9" s="113"/>
      <c r="RSS9" s="113"/>
      <c r="RST9" s="113"/>
      <c r="RSU9" s="113"/>
      <c r="RSV9" s="113"/>
      <c r="RSW9" s="113"/>
      <c r="RSX9" s="113"/>
      <c r="RSY9" s="113"/>
      <c r="RSZ9" s="113"/>
      <c r="RTA9" s="113"/>
      <c r="RTB9" s="113"/>
      <c r="RTC9" s="113"/>
      <c r="RTD9" s="113"/>
      <c r="RTE9" s="113"/>
      <c r="RTF9" s="113"/>
      <c r="RTG9" s="113"/>
      <c r="RTH9" s="113"/>
      <c r="RTI9" s="113"/>
      <c r="RTJ9" s="113"/>
      <c r="RTK9" s="113"/>
      <c r="RTL9" s="113"/>
      <c r="RTM9" s="113"/>
      <c r="RTN9" s="113"/>
      <c r="RTO9" s="113"/>
      <c r="RTP9" s="113"/>
      <c r="RTQ9" s="113"/>
      <c r="RTR9" s="113"/>
      <c r="RTS9" s="113"/>
      <c r="RTT9" s="113"/>
      <c r="RTU9" s="113"/>
      <c r="RTV9" s="113"/>
      <c r="RTW9" s="113"/>
      <c r="RTX9" s="113"/>
      <c r="RTY9" s="113"/>
      <c r="RTZ9" s="113"/>
      <c r="RUA9" s="113"/>
      <c r="RUB9" s="113"/>
      <c r="RUC9" s="113"/>
      <c r="RUD9" s="113"/>
      <c r="RUE9" s="113"/>
      <c r="RUF9" s="113"/>
      <c r="RUG9" s="113"/>
      <c r="RUH9" s="113"/>
      <c r="RUI9" s="113"/>
      <c r="RUJ9" s="113"/>
      <c r="RUK9" s="113"/>
      <c r="RUL9" s="113"/>
      <c r="RUM9" s="113"/>
      <c r="RUN9" s="113"/>
      <c r="RUO9" s="113"/>
      <c r="RUP9" s="113"/>
      <c r="RUQ9" s="113"/>
      <c r="RUR9" s="113"/>
      <c r="RUS9" s="113"/>
      <c r="RUT9" s="113"/>
      <c r="RUU9" s="113"/>
      <c r="RUV9" s="113"/>
      <c r="RUW9" s="113"/>
      <c r="RUX9" s="113"/>
      <c r="RUY9" s="113"/>
      <c r="RUZ9" s="113"/>
      <c r="RVA9" s="113"/>
      <c r="RVB9" s="113"/>
      <c r="RVC9" s="113"/>
      <c r="RVD9" s="113"/>
      <c r="RVE9" s="113"/>
      <c r="RVF9" s="113"/>
      <c r="RVG9" s="113"/>
      <c r="RVH9" s="113"/>
      <c r="RVI9" s="113"/>
      <c r="RVJ9" s="113"/>
      <c r="RVK9" s="113"/>
      <c r="RVL9" s="113"/>
      <c r="RVM9" s="113"/>
      <c r="RVN9" s="113"/>
      <c r="RVO9" s="113"/>
      <c r="RVP9" s="113"/>
      <c r="RVQ9" s="113"/>
      <c r="RVR9" s="113"/>
      <c r="RVS9" s="113"/>
      <c r="RVT9" s="113"/>
      <c r="RVU9" s="113"/>
      <c r="RVV9" s="113"/>
      <c r="RVW9" s="113"/>
      <c r="RVX9" s="113"/>
      <c r="RVY9" s="113"/>
      <c r="RVZ9" s="113"/>
      <c r="RWA9" s="113"/>
      <c r="RWB9" s="113"/>
      <c r="RWC9" s="113"/>
      <c r="RWD9" s="113"/>
      <c r="RWE9" s="113"/>
      <c r="RWF9" s="113"/>
      <c r="RWG9" s="113"/>
      <c r="RWH9" s="113"/>
      <c r="RWI9" s="113"/>
      <c r="RWJ9" s="113"/>
      <c r="RWK9" s="113"/>
      <c r="RWL9" s="113"/>
      <c r="RWM9" s="113"/>
      <c r="RWN9" s="113"/>
      <c r="RWO9" s="113"/>
      <c r="RWP9" s="113"/>
      <c r="RWQ9" s="113"/>
      <c r="RWR9" s="113"/>
      <c r="RWS9" s="113"/>
      <c r="RWT9" s="113"/>
      <c r="RWU9" s="113"/>
      <c r="RWV9" s="113"/>
      <c r="RWW9" s="113"/>
      <c r="RWX9" s="113"/>
      <c r="RWY9" s="113"/>
      <c r="RWZ9" s="113"/>
      <c r="RXA9" s="113"/>
      <c r="RXB9" s="113"/>
      <c r="RXC9" s="113"/>
      <c r="RXD9" s="113"/>
      <c r="RXE9" s="113"/>
      <c r="RXF9" s="113"/>
      <c r="RXG9" s="113"/>
      <c r="RXH9" s="113"/>
      <c r="RXI9" s="113"/>
      <c r="RXJ9" s="113"/>
      <c r="RXK9" s="113"/>
      <c r="RXL9" s="113"/>
      <c r="RXM9" s="113"/>
      <c r="RXN9" s="113"/>
      <c r="RXO9" s="113"/>
      <c r="RXP9" s="113"/>
      <c r="RXQ9" s="113"/>
      <c r="RXR9" s="113"/>
      <c r="RXS9" s="113"/>
      <c r="RXT9" s="113"/>
      <c r="RXU9" s="113"/>
      <c r="RXV9" s="113"/>
      <c r="RXW9" s="113"/>
      <c r="RXX9" s="113"/>
      <c r="RXY9" s="113"/>
      <c r="RXZ9" s="113"/>
      <c r="RYA9" s="113"/>
      <c r="RYB9" s="113"/>
      <c r="RYC9" s="113"/>
      <c r="RYD9" s="113"/>
      <c r="RYE9" s="113"/>
      <c r="RYF9" s="113"/>
      <c r="RYG9" s="113"/>
      <c r="RYH9" s="113"/>
      <c r="RYI9" s="113"/>
      <c r="RYJ9" s="113"/>
      <c r="RYK9" s="113"/>
      <c r="RYL9" s="113"/>
      <c r="RYM9" s="113"/>
      <c r="RYN9" s="113"/>
      <c r="RYO9" s="113"/>
      <c r="RYP9" s="113"/>
      <c r="RYQ9" s="113"/>
      <c r="RYR9" s="113"/>
      <c r="RYS9" s="113"/>
      <c r="RYT9" s="113"/>
      <c r="RYU9" s="113"/>
      <c r="RYV9" s="113"/>
      <c r="RYW9" s="113"/>
      <c r="RYX9" s="113"/>
      <c r="RYY9" s="113"/>
      <c r="RYZ9" s="113"/>
      <c r="RZA9" s="113"/>
      <c r="RZB9" s="113"/>
      <c r="RZC9" s="113"/>
      <c r="RZD9" s="113"/>
      <c r="RZE9" s="113"/>
      <c r="RZF9" s="113"/>
      <c r="RZG9" s="113"/>
      <c r="RZH9" s="113"/>
      <c r="RZI9" s="113"/>
      <c r="RZJ9" s="113"/>
      <c r="RZK9" s="113"/>
      <c r="RZL9" s="113"/>
      <c r="RZM9" s="113"/>
      <c r="RZN9" s="113"/>
      <c r="RZO9" s="113"/>
      <c r="RZP9" s="113"/>
      <c r="RZQ9" s="113"/>
      <c r="RZR9" s="113"/>
      <c r="RZS9" s="113"/>
      <c r="RZT9" s="113"/>
      <c r="RZU9" s="113"/>
      <c r="RZV9" s="113"/>
      <c r="RZW9" s="113"/>
      <c r="RZX9" s="113"/>
      <c r="RZY9" s="113"/>
      <c r="RZZ9" s="113"/>
      <c r="SAA9" s="113"/>
      <c r="SAB9" s="113"/>
      <c r="SAC9" s="113"/>
      <c r="SAD9" s="113"/>
      <c r="SAE9" s="113"/>
      <c r="SAF9" s="113"/>
      <c r="SAG9" s="113"/>
      <c r="SAH9" s="113"/>
      <c r="SAI9" s="113"/>
      <c r="SAJ9" s="113"/>
      <c r="SAK9" s="113"/>
      <c r="SAL9" s="113"/>
      <c r="SAM9" s="113"/>
      <c r="SAN9" s="113"/>
      <c r="SAO9" s="113"/>
      <c r="SAP9" s="113"/>
      <c r="SAQ9" s="113"/>
      <c r="SAR9" s="113"/>
      <c r="SAS9" s="113"/>
      <c r="SAT9" s="113"/>
      <c r="SAU9" s="113"/>
      <c r="SAV9" s="113"/>
      <c r="SAW9" s="113"/>
      <c r="SAX9" s="113"/>
      <c r="SAY9" s="113"/>
      <c r="SAZ9" s="113"/>
      <c r="SBA9" s="113"/>
      <c r="SBB9" s="113"/>
      <c r="SBC9" s="113"/>
      <c r="SBD9" s="113"/>
      <c r="SBE9" s="113"/>
      <c r="SBF9" s="113"/>
      <c r="SBG9" s="113"/>
      <c r="SBH9" s="113"/>
      <c r="SBI9" s="113"/>
      <c r="SBJ9" s="113"/>
      <c r="SBK9" s="113"/>
      <c r="SBL9" s="113"/>
      <c r="SBM9" s="113"/>
      <c r="SBN9" s="113"/>
      <c r="SBO9" s="113"/>
      <c r="SBP9" s="113"/>
      <c r="SBQ9" s="113"/>
      <c r="SBR9" s="113"/>
      <c r="SBS9" s="113"/>
      <c r="SBT9" s="113"/>
      <c r="SBU9" s="113"/>
      <c r="SBV9" s="113"/>
      <c r="SBW9" s="113"/>
      <c r="SBX9" s="113"/>
      <c r="SBY9" s="113"/>
      <c r="SBZ9" s="113"/>
      <c r="SCA9" s="113"/>
      <c r="SCB9" s="113"/>
      <c r="SCC9" s="113"/>
      <c r="SCD9" s="113"/>
      <c r="SCE9" s="113"/>
      <c r="SCF9" s="113"/>
      <c r="SCG9" s="113"/>
      <c r="SCH9" s="113"/>
      <c r="SCI9" s="113"/>
      <c r="SCJ9" s="113"/>
      <c r="SCK9" s="113"/>
      <c r="SCL9" s="113"/>
      <c r="SCM9" s="113"/>
      <c r="SCN9" s="113"/>
      <c r="SCO9" s="113"/>
      <c r="SCP9" s="113"/>
      <c r="SCQ9" s="113"/>
      <c r="SCR9" s="113"/>
      <c r="SCS9" s="113"/>
      <c r="SCT9" s="113"/>
      <c r="SCU9" s="113"/>
      <c r="SCV9" s="113"/>
      <c r="SCW9" s="113"/>
      <c r="SCX9" s="113"/>
      <c r="SCY9" s="113"/>
      <c r="SCZ9" s="113"/>
      <c r="SDA9" s="113"/>
      <c r="SDB9" s="113"/>
      <c r="SDC9" s="113"/>
      <c r="SDD9" s="113"/>
      <c r="SDE9" s="113"/>
      <c r="SDF9" s="113"/>
      <c r="SDG9" s="113"/>
      <c r="SDH9" s="113"/>
      <c r="SDI9" s="113"/>
      <c r="SDJ9" s="113"/>
      <c r="SDK9" s="113"/>
      <c r="SDL9" s="113"/>
      <c r="SDM9" s="113"/>
      <c r="SDN9" s="113"/>
      <c r="SDO9" s="113"/>
      <c r="SDP9" s="113"/>
      <c r="SDQ9" s="113"/>
      <c r="SDR9" s="113"/>
      <c r="SDS9" s="113"/>
      <c r="SDT9" s="113"/>
      <c r="SDU9" s="113"/>
      <c r="SDV9" s="113"/>
      <c r="SDW9" s="113"/>
      <c r="SDX9" s="113"/>
      <c r="SDY9" s="113"/>
      <c r="SDZ9" s="113"/>
      <c r="SEA9" s="113"/>
      <c r="SEB9" s="113"/>
      <c r="SEC9" s="113"/>
      <c r="SED9" s="113"/>
      <c r="SEE9" s="113"/>
      <c r="SEF9" s="113"/>
      <c r="SEG9" s="113"/>
      <c r="SEH9" s="113"/>
      <c r="SEI9" s="113"/>
      <c r="SEJ9" s="113"/>
      <c r="SEK9" s="113"/>
      <c r="SEL9" s="113"/>
      <c r="SEM9" s="113"/>
      <c r="SEN9" s="113"/>
      <c r="SEO9" s="113"/>
      <c r="SEP9" s="113"/>
      <c r="SEQ9" s="113"/>
      <c r="SER9" s="113"/>
      <c r="SES9" s="113"/>
      <c r="SET9" s="113"/>
      <c r="SEU9" s="113"/>
      <c r="SEV9" s="113"/>
      <c r="SEW9" s="113"/>
      <c r="SEX9" s="113"/>
      <c r="SEY9" s="113"/>
      <c r="SEZ9" s="113"/>
      <c r="SFA9" s="113"/>
      <c r="SFB9" s="113"/>
      <c r="SFC9" s="113"/>
      <c r="SFD9" s="113"/>
      <c r="SFE9" s="113"/>
      <c r="SFF9" s="113"/>
      <c r="SFG9" s="113"/>
      <c r="SFH9" s="113"/>
      <c r="SFI9" s="113"/>
      <c r="SFJ9" s="113"/>
      <c r="SFK9" s="113"/>
      <c r="SFL9" s="113"/>
      <c r="SFM9" s="113"/>
      <c r="SFN9" s="113"/>
      <c r="SFO9" s="113"/>
      <c r="SFP9" s="113"/>
      <c r="SFQ9" s="113"/>
      <c r="SFR9" s="113"/>
      <c r="SFS9" s="113"/>
      <c r="SFT9" s="113"/>
      <c r="SFU9" s="113"/>
      <c r="SFV9" s="113"/>
      <c r="SFW9" s="113"/>
      <c r="SFX9" s="113"/>
      <c r="SFY9" s="113"/>
      <c r="SFZ9" s="113"/>
      <c r="SGA9" s="113"/>
      <c r="SGB9" s="113"/>
      <c r="SGC9" s="113"/>
      <c r="SGD9" s="113"/>
      <c r="SGE9" s="113"/>
      <c r="SGF9" s="113"/>
      <c r="SGG9" s="113"/>
      <c r="SGH9" s="113"/>
      <c r="SGI9" s="113"/>
      <c r="SGJ9" s="113"/>
      <c r="SGK9" s="113"/>
      <c r="SGL9" s="113"/>
      <c r="SGM9" s="113"/>
      <c r="SGN9" s="113"/>
      <c r="SGO9" s="113"/>
      <c r="SGP9" s="113"/>
      <c r="SGQ9" s="113"/>
      <c r="SGR9" s="113"/>
      <c r="SGS9" s="113"/>
      <c r="SGT9" s="113"/>
      <c r="SGU9" s="113"/>
      <c r="SGV9" s="113"/>
      <c r="SGW9" s="113"/>
      <c r="SGX9" s="113"/>
      <c r="SGY9" s="113"/>
      <c r="SGZ9" s="113"/>
      <c r="SHA9" s="113"/>
      <c r="SHB9" s="113"/>
      <c r="SHC9" s="113"/>
      <c r="SHD9" s="113"/>
      <c r="SHE9" s="113"/>
      <c r="SHF9" s="113"/>
      <c r="SHG9" s="113"/>
      <c r="SHH9" s="113"/>
      <c r="SHI9" s="113"/>
      <c r="SHJ9" s="113"/>
      <c r="SHK9" s="113"/>
      <c r="SHL9" s="113"/>
      <c r="SHM9" s="113"/>
      <c r="SHN9" s="113"/>
      <c r="SHO9" s="113"/>
      <c r="SHP9" s="113"/>
      <c r="SHQ9" s="113"/>
      <c r="SHR9" s="113"/>
      <c r="SHS9" s="113"/>
      <c r="SHT9" s="113"/>
      <c r="SHU9" s="113"/>
      <c r="SHV9" s="113"/>
      <c r="SHW9" s="113"/>
      <c r="SHX9" s="113"/>
      <c r="SHY9" s="113"/>
      <c r="SHZ9" s="113"/>
      <c r="SIA9" s="113"/>
      <c r="SIB9" s="113"/>
      <c r="SIC9" s="113"/>
      <c r="SID9" s="113"/>
      <c r="SIE9" s="113"/>
      <c r="SIF9" s="113"/>
      <c r="SIG9" s="113"/>
      <c r="SIH9" s="113"/>
      <c r="SII9" s="113"/>
      <c r="SIJ9" s="113"/>
      <c r="SIK9" s="113"/>
      <c r="SIL9" s="113"/>
      <c r="SIM9" s="113"/>
      <c r="SIN9" s="113"/>
      <c r="SIO9" s="113"/>
      <c r="SIP9" s="113"/>
      <c r="SIQ9" s="113"/>
      <c r="SIR9" s="113"/>
      <c r="SIS9" s="113"/>
      <c r="SIT9" s="113"/>
      <c r="SIU9" s="113"/>
      <c r="SIV9" s="113"/>
      <c r="SIW9" s="113"/>
      <c r="SIX9" s="113"/>
      <c r="SIY9" s="113"/>
      <c r="SIZ9" s="113"/>
      <c r="SJA9" s="113"/>
      <c r="SJB9" s="113"/>
      <c r="SJC9" s="113"/>
      <c r="SJD9" s="113"/>
      <c r="SJE9" s="113"/>
      <c r="SJF9" s="113"/>
      <c r="SJG9" s="113"/>
      <c r="SJH9" s="113"/>
      <c r="SJI9" s="113"/>
      <c r="SJJ9" s="113"/>
      <c r="SJK9" s="113"/>
      <c r="SJL9" s="113"/>
      <c r="SJM9" s="113"/>
      <c r="SJN9" s="113"/>
      <c r="SJO9" s="113"/>
      <c r="SJP9" s="113"/>
      <c r="SJQ9" s="113"/>
      <c r="SJR9" s="113"/>
      <c r="SJS9" s="113"/>
      <c r="SJT9" s="113"/>
      <c r="SJU9" s="113"/>
      <c r="SJV9" s="113"/>
      <c r="SJW9" s="113"/>
      <c r="SJX9" s="113"/>
      <c r="SJY9" s="113"/>
      <c r="SJZ9" s="113"/>
      <c r="SKA9" s="113"/>
      <c r="SKB9" s="113"/>
      <c r="SKC9" s="113"/>
      <c r="SKD9" s="113"/>
      <c r="SKE9" s="113"/>
      <c r="SKF9" s="113"/>
      <c r="SKG9" s="113"/>
      <c r="SKH9" s="113"/>
      <c r="SKI9" s="113"/>
      <c r="SKJ9" s="113"/>
      <c r="SKK9" s="113"/>
      <c r="SKL9" s="113"/>
      <c r="SKM9" s="113"/>
      <c r="SKN9" s="113"/>
      <c r="SKO9" s="113"/>
      <c r="SKP9" s="113"/>
      <c r="SKQ9" s="113"/>
      <c r="SKR9" s="113"/>
      <c r="SKS9" s="113"/>
      <c r="SKT9" s="113"/>
      <c r="SKU9" s="113"/>
      <c r="SKV9" s="113"/>
      <c r="SKW9" s="113"/>
      <c r="SKX9" s="113"/>
      <c r="SKY9" s="113"/>
      <c r="SKZ9" s="113"/>
      <c r="SLA9" s="113"/>
      <c r="SLB9" s="113"/>
      <c r="SLC9" s="113"/>
      <c r="SLD9" s="113"/>
      <c r="SLE9" s="113"/>
      <c r="SLF9" s="113"/>
      <c r="SLG9" s="113"/>
      <c r="SLH9" s="113"/>
      <c r="SLI9" s="113"/>
      <c r="SLJ9" s="113"/>
      <c r="SLK9" s="113"/>
      <c r="SLL9" s="113"/>
      <c r="SLM9" s="113"/>
      <c r="SLN9" s="113"/>
      <c r="SLO9" s="113"/>
      <c r="SLP9" s="113"/>
      <c r="SLQ9" s="113"/>
      <c r="SLR9" s="113"/>
      <c r="SLS9" s="113"/>
      <c r="SLT9" s="113"/>
      <c r="SLU9" s="113"/>
      <c r="SLV9" s="113"/>
      <c r="SLW9" s="113"/>
      <c r="SLX9" s="113"/>
      <c r="SLY9" s="113"/>
      <c r="SLZ9" s="113"/>
      <c r="SMA9" s="113"/>
      <c r="SMB9" s="113"/>
      <c r="SMC9" s="113"/>
      <c r="SMD9" s="113"/>
      <c r="SME9" s="113"/>
      <c r="SMF9" s="113"/>
      <c r="SMG9" s="113"/>
      <c r="SMH9" s="113"/>
      <c r="SMI9" s="113"/>
      <c r="SMJ9" s="113"/>
      <c r="SMK9" s="113"/>
      <c r="SML9" s="113"/>
      <c r="SMM9" s="113"/>
      <c r="SMN9" s="113"/>
      <c r="SMO9" s="113"/>
      <c r="SMP9" s="113"/>
      <c r="SMQ9" s="113"/>
      <c r="SMR9" s="113"/>
      <c r="SMS9" s="113"/>
      <c r="SMT9" s="113"/>
      <c r="SMU9" s="113"/>
      <c r="SMV9" s="113"/>
      <c r="SMW9" s="113"/>
      <c r="SMX9" s="113"/>
      <c r="SMY9" s="113"/>
      <c r="SMZ9" s="113"/>
      <c r="SNA9" s="113"/>
      <c r="SNB9" s="113"/>
      <c r="SNC9" s="113"/>
      <c r="SND9" s="113"/>
      <c r="SNE9" s="113"/>
      <c r="SNF9" s="113"/>
      <c r="SNG9" s="113"/>
      <c r="SNH9" s="113"/>
      <c r="SNI9" s="113"/>
      <c r="SNJ9" s="113"/>
      <c r="SNK9" s="113"/>
      <c r="SNL9" s="113"/>
      <c r="SNM9" s="113"/>
      <c r="SNN9" s="113"/>
      <c r="SNO9" s="113"/>
      <c r="SNP9" s="113"/>
      <c r="SNQ9" s="113"/>
      <c r="SNR9" s="113"/>
      <c r="SNS9" s="113"/>
      <c r="SNT9" s="113"/>
      <c r="SNU9" s="113"/>
      <c r="SNV9" s="113"/>
      <c r="SNW9" s="113"/>
      <c r="SNX9" s="113"/>
      <c r="SNY9" s="113"/>
      <c r="SNZ9" s="113"/>
      <c r="SOA9" s="113"/>
      <c r="SOB9" s="113"/>
      <c r="SOC9" s="113"/>
      <c r="SOD9" s="113"/>
      <c r="SOE9" s="113"/>
      <c r="SOF9" s="113"/>
      <c r="SOG9" s="113"/>
      <c r="SOH9" s="113"/>
      <c r="SOI9" s="113"/>
      <c r="SOJ9" s="113"/>
      <c r="SOK9" s="113"/>
      <c r="SOL9" s="113"/>
      <c r="SOM9" s="113"/>
      <c r="SON9" s="113"/>
      <c r="SOO9" s="113"/>
      <c r="SOP9" s="113"/>
      <c r="SOQ9" s="113"/>
      <c r="SOR9" s="113"/>
      <c r="SOS9" s="113"/>
      <c r="SOT9" s="113"/>
      <c r="SOU9" s="113"/>
      <c r="SOV9" s="113"/>
      <c r="SOW9" s="113"/>
      <c r="SOX9" s="113"/>
      <c r="SOY9" s="113"/>
      <c r="SOZ9" s="113"/>
      <c r="SPA9" s="113"/>
      <c r="SPB9" s="113"/>
      <c r="SPC9" s="113"/>
      <c r="SPD9" s="113"/>
      <c r="SPE9" s="113"/>
      <c r="SPF9" s="113"/>
      <c r="SPG9" s="113"/>
      <c r="SPH9" s="113"/>
      <c r="SPI9" s="113"/>
      <c r="SPJ9" s="113"/>
      <c r="SPK9" s="113"/>
      <c r="SPL9" s="113"/>
      <c r="SPM9" s="113"/>
      <c r="SPN9" s="113"/>
      <c r="SPO9" s="113"/>
      <c r="SPP9" s="113"/>
      <c r="SPQ9" s="113"/>
      <c r="SPR9" s="113"/>
      <c r="SPS9" s="113"/>
      <c r="SPT9" s="113"/>
      <c r="SPU9" s="113"/>
      <c r="SPV9" s="113"/>
      <c r="SPW9" s="113"/>
      <c r="SPX9" s="113"/>
      <c r="SPY9" s="113"/>
      <c r="SPZ9" s="113"/>
      <c r="SQA9" s="113"/>
      <c r="SQB9" s="113"/>
      <c r="SQC9" s="113"/>
      <c r="SQD9" s="113"/>
      <c r="SQE9" s="113"/>
      <c r="SQF9" s="113"/>
      <c r="SQG9" s="113"/>
      <c r="SQH9" s="113"/>
      <c r="SQI9" s="113"/>
      <c r="SQJ9" s="113"/>
      <c r="SQK9" s="113"/>
      <c r="SQL9" s="113"/>
      <c r="SQM9" s="113"/>
      <c r="SQN9" s="113"/>
      <c r="SQO9" s="113"/>
      <c r="SQP9" s="113"/>
      <c r="SQQ9" s="113"/>
      <c r="SQR9" s="113"/>
      <c r="SQS9" s="113"/>
      <c r="SQT9" s="113"/>
      <c r="SQU9" s="113"/>
      <c r="SQV9" s="113"/>
      <c r="SQW9" s="113"/>
      <c r="SQX9" s="113"/>
      <c r="SQY9" s="113"/>
      <c r="SQZ9" s="113"/>
      <c r="SRA9" s="113"/>
      <c r="SRB9" s="113"/>
      <c r="SRC9" s="113"/>
      <c r="SRD9" s="113"/>
      <c r="SRE9" s="113"/>
      <c r="SRF9" s="113"/>
      <c r="SRG9" s="113"/>
      <c r="SRH9" s="113"/>
      <c r="SRI9" s="113"/>
      <c r="SRJ9" s="113"/>
      <c r="SRK9" s="113"/>
      <c r="SRL9" s="113"/>
      <c r="SRM9" s="113"/>
      <c r="SRN9" s="113"/>
      <c r="SRO9" s="113"/>
      <c r="SRP9" s="113"/>
      <c r="SRQ9" s="113"/>
      <c r="SRR9" s="113"/>
      <c r="SRS9" s="113"/>
      <c r="SRT9" s="113"/>
      <c r="SRU9" s="113"/>
      <c r="SRV9" s="113"/>
      <c r="SRW9" s="113"/>
      <c r="SRX9" s="113"/>
      <c r="SRY9" s="113"/>
      <c r="SRZ9" s="113"/>
      <c r="SSA9" s="113"/>
      <c r="SSB9" s="113"/>
      <c r="SSC9" s="113"/>
      <c r="SSD9" s="113"/>
      <c r="SSE9" s="113"/>
      <c r="SSF9" s="113"/>
      <c r="SSG9" s="113"/>
      <c r="SSH9" s="113"/>
      <c r="SSI9" s="113"/>
      <c r="SSJ9" s="113"/>
      <c r="SSK9" s="113"/>
      <c r="SSL9" s="113"/>
      <c r="SSM9" s="113"/>
      <c r="SSN9" s="113"/>
      <c r="SSO9" s="113"/>
      <c r="SSP9" s="113"/>
      <c r="SSQ9" s="113"/>
      <c r="SSR9" s="113"/>
      <c r="SSS9" s="113"/>
      <c r="SST9" s="113"/>
      <c r="SSU9" s="113"/>
      <c r="SSV9" s="113"/>
      <c r="SSW9" s="113"/>
      <c r="SSX9" s="113"/>
      <c r="SSY9" s="113"/>
      <c r="SSZ9" s="113"/>
      <c r="STA9" s="113"/>
      <c r="STB9" s="113"/>
      <c r="STC9" s="113"/>
      <c r="STD9" s="113"/>
      <c r="STE9" s="113"/>
      <c r="STF9" s="113"/>
      <c r="STG9" s="113"/>
      <c r="STH9" s="113"/>
      <c r="STI9" s="113"/>
      <c r="STJ9" s="113"/>
      <c r="STK9" s="113"/>
      <c r="STL9" s="113"/>
      <c r="STM9" s="113"/>
      <c r="STN9" s="113"/>
      <c r="STO9" s="113"/>
      <c r="STP9" s="113"/>
      <c r="STQ9" s="113"/>
      <c r="STR9" s="113"/>
      <c r="STS9" s="113"/>
      <c r="STT9" s="113"/>
      <c r="STU9" s="113"/>
      <c r="STV9" s="113"/>
      <c r="STW9" s="113"/>
      <c r="STX9" s="113"/>
      <c r="STY9" s="113"/>
      <c r="STZ9" s="113"/>
      <c r="SUA9" s="113"/>
      <c r="SUB9" s="113"/>
      <c r="SUC9" s="113"/>
      <c r="SUD9" s="113"/>
      <c r="SUE9" s="113"/>
      <c r="SUF9" s="113"/>
      <c r="SUG9" s="113"/>
      <c r="SUH9" s="113"/>
      <c r="SUI9" s="113"/>
      <c r="SUJ9" s="113"/>
      <c r="SUK9" s="113"/>
      <c r="SUL9" s="113"/>
      <c r="SUM9" s="113"/>
      <c r="SUN9" s="113"/>
      <c r="SUO9" s="113"/>
      <c r="SUP9" s="113"/>
      <c r="SUQ9" s="113"/>
      <c r="SUR9" s="113"/>
      <c r="SUS9" s="113"/>
      <c r="SUT9" s="113"/>
      <c r="SUU9" s="113"/>
      <c r="SUV9" s="113"/>
      <c r="SUW9" s="113"/>
      <c r="SUX9" s="113"/>
      <c r="SUY9" s="113"/>
      <c r="SUZ9" s="113"/>
      <c r="SVA9" s="113"/>
      <c r="SVB9" s="113"/>
      <c r="SVC9" s="113"/>
      <c r="SVD9" s="113"/>
      <c r="SVE9" s="113"/>
      <c r="SVF9" s="113"/>
      <c r="SVG9" s="113"/>
      <c r="SVH9" s="113"/>
      <c r="SVI9" s="113"/>
      <c r="SVJ9" s="113"/>
      <c r="SVK9" s="113"/>
      <c r="SVL9" s="113"/>
      <c r="SVM9" s="113"/>
      <c r="SVN9" s="113"/>
      <c r="SVO9" s="113"/>
      <c r="SVP9" s="113"/>
      <c r="SVQ9" s="113"/>
      <c r="SVR9" s="113"/>
      <c r="SVS9" s="113"/>
      <c r="SVT9" s="113"/>
      <c r="SVU9" s="113"/>
      <c r="SVV9" s="113"/>
      <c r="SVW9" s="113"/>
      <c r="SVX9" s="113"/>
      <c r="SVY9" s="113"/>
      <c r="SVZ9" s="113"/>
      <c r="SWA9" s="113"/>
      <c r="SWB9" s="113"/>
      <c r="SWC9" s="113"/>
      <c r="SWD9" s="113"/>
      <c r="SWE9" s="113"/>
      <c r="SWF9" s="113"/>
      <c r="SWG9" s="113"/>
      <c r="SWH9" s="113"/>
      <c r="SWI9" s="113"/>
      <c r="SWJ9" s="113"/>
      <c r="SWK9" s="113"/>
      <c r="SWL9" s="113"/>
      <c r="SWM9" s="113"/>
      <c r="SWN9" s="113"/>
      <c r="SWO9" s="113"/>
      <c r="SWP9" s="113"/>
      <c r="SWQ9" s="113"/>
      <c r="SWR9" s="113"/>
      <c r="SWS9" s="113"/>
      <c r="SWT9" s="113"/>
      <c r="SWU9" s="113"/>
      <c r="SWV9" s="113"/>
      <c r="SWW9" s="113"/>
      <c r="SWX9" s="113"/>
      <c r="SWY9" s="113"/>
      <c r="SWZ9" s="113"/>
      <c r="SXA9" s="113"/>
      <c r="SXB9" s="113"/>
      <c r="SXC9" s="113"/>
      <c r="SXD9" s="113"/>
      <c r="SXE9" s="113"/>
      <c r="SXF9" s="113"/>
      <c r="SXG9" s="113"/>
      <c r="SXH9" s="113"/>
      <c r="SXI9" s="113"/>
      <c r="SXJ9" s="113"/>
      <c r="SXK9" s="113"/>
      <c r="SXL9" s="113"/>
      <c r="SXM9" s="113"/>
      <c r="SXN9" s="113"/>
      <c r="SXO9" s="113"/>
      <c r="SXP9" s="113"/>
      <c r="SXQ9" s="113"/>
      <c r="SXR9" s="113"/>
      <c r="SXS9" s="113"/>
      <c r="SXT9" s="113"/>
      <c r="SXU9" s="113"/>
      <c r="SXV9" s="113"/>
      <c r="SXW9" s="113"/>
      <c r="SXX9" s="113"/>
      <c r="SXY9" s="113"/>
      <c r="SXZ9" s="113"/>
      <c r="SYA9" s="113"/>
      <c r="SYB9" s="113"/>
      <c r="SYC9" s="113"/>
      <c r="SYD9" s="113"/>
      <c r="SYE9" s="113"/>
      <c r="SYF9" s="113"/>
      <c r="SYG9" s="113"/>
      <c r="SYH9" s="113"/>
      <c r="SYI9" s="113"/>
      <c r="SYJ9" s="113"/>
      <c r="SYK9" s="113"/>
      <c r="SYL9" s="113"/>
      <c r="SYM9" s="113"/>
      <c r="SYN9" s="113"/>
      <c r="SYO9" s="113"/>
      <c r="SYP9" s="113"/>
      <c r="SYQ9" s="113"/>
      <c r="SYR9" s="113"/>
      <c r="SYS9" s="113"/>
      <c r="SYT9" s="113"/>
      <c r="SYU9" s="113"/>
      <c r="SYV9" s="113"/>
      <c r="SYW9" s="113"/>
      <c r="SYX9" s="113"/>
      <c r="SYY9" s="113"/>
      <c r="SYZ9" s="113"/>
      <c r="SZA9" s="113"/>
      <c r="SZB9" s="113"/>
      <c r="SZC9" s="113"/>
      <c r="SZD9" s="113"/>
      <c r="SZE9" s="113"/>
      <c r="SZF9" s="113"/>
      <c r="SZG9" s="113"/>
      <c r="SZH9" s="113"/>
      <c r="SZI9" s="113"/>
      <c r="SZJ9" s="113"/>
      <c r="SZK9" s="113"/>
      <c r="SZL9" s="113"/>
      <c r="SZM9" s="113"/>
      <c r="SZN9" s="113"/>
      <c r="SZO9" s="113"/>
      <c r="SZP9" s="113"/>
      <c r="SZQ9" s="113"/>
      <c r="SZR9" s="113"/>
      <c r="SZS9" s="113"/>
      <c r="SZT9" s="113"/>
      <c r="SZU9" s="113"/>
      <c r="SZV9" s="113"/>
      <c r="SZW9" s="113"/>
      <c r="SZX9" s="113"/>
      <c r="SZY9" s="113"/>
      <c r="SZZ9" s="113"/>
      <c r="TAA9" s="113"/>
      <c r="TAB9" s="113"/>
      <c r="TAC9" s="113"/>
      <c r="TAD9" s="113"/>
      <c r="TAE9" s="113"/>
      <c r="TAF9" s="113"/>
      <c r="TAG9" s="113"/>
      <c r="TAH9" s="113"/>
      <c r="TAI9" s="113"/>
      <c r="TAJ9" s="113"/>
      <c r="TAK9" s="113"/>
      <c r="TAL9" s="113"/>
      <c r="TAM9" s="113"/>
      <c r="TAN9" s="113"/>
      <c r="TAO9" s="113"/>
      <c r="TAP9" s="113"/>
      <c r="TAQ9" s="113"/>
      <c r="TAR9" s="113"/>
      <c r="TAS9" s="113"/>
      <c r="TAT9" s="113"/>
      <c r="TAU9" s="113"/>
      <c r="TAV9" s="113"/>
      <c r="TAW9" s="113"/>
      <c r="TAX9" s="113"/>
      <c r="TAY9" s="113"/>
      <c r="TAZ9" s="113"/>
      <c r="TBA9" s="113"/>
      <c r="TBB9" s="113"/>
      <c r="TBC9" s="113"/>
      <c r="TBD9" s="113"/>
      <c r="TBE9" s="113"/>
      <c r="TBF9" s="113"/>
      <c r="TBG9" s="113"/>
      <c r="TBH9" s="113"/>
      <c r="TBI9" s="113"/>
      <c r="TBJ9" s="113"/>
      <c r="TBK9" s="113"/>
      <c r="TBL9" s="113"/>
      <c r="TBM9" s="113"/>
      <c r="TBN9" s="113"/>
      <c r="TBO9" s="113"/>
      <c r="TBP9" s="113"/>
      <c r="TBQ9" s="113"/>
      <c r="TBR9" s="113"/>
      <c r="TBS9" s="113"/>
      <c r="TBT9" s="113"/>
      <c r="TBU9" s="113"/>
      <c r="TBV9" s="113"/>
      <c r="TBW9" s="113"/>
      <c r="TBX9" s="113"/>
      <c r="TBY9" s="113"/>
      <c r="TBZ9" s="113"/>
      <c r="TCA9" s="113"/>
      <c r="TCB9" s="113"/>
      <c r="TCC9" s="113"/>
      <c r="TCD9" s="113"/>
      <c r="TCE9" s="113"/>
      <c r="TCF9" s="113"/>
      <c r="TCG9" s="113"/>
      <c r="TCH9" s="113"/>
      <c r="TCI9" s="113"/>
      <c r="TCJ9" s="113"/>
      <c r="TCK9" s="113"/>
      <c r="TCL9" s="113"/>
      <c r="TCM9" s="113"/>
      <c r="TCN9" s="113"/>
      <c r="TCO9" s="113"/>
      <c r="TCP9" s="113"/>
      <c r="TCQ9" s="113"/>
      <c r="TCR9" s="113"/>
      <c r="TCS9" s="113"/>
      <c r="TCT9" s="113"/>
      <c r="TCU9" s="113"/>
      <c r="TCV9" s="113"/>
      <c r="TCW9" s="113"/>
      <c r="TCX9" s="113"/>
      <c r="TCY9" s="113"/>
      <c r="TCZ9" s="113"/>
      <c r="TDA9" s="113"/>
      <c r="TDB9" s="113"/>
      <c r="TDC9" s="113"/>
      <c r="TDD9" s="113"/>
      <c r="TDE9" s="113"/>
      <c r="TDF9" s="113"/>
      <c r="TDG9" s="113"/>
      <c r="TDH9" s="113"/>
      <c r="TDI9" s="113"/>
      <c r="TDJ9" s="113"/>
      <c r="TDK9" s="113"/>
      <c r="TDL9" s="113"/>
      <c r="TDM9" s="113"/>
      <c r="TDN9" s="113"/>
      <c r="TDO9" s="113"/>
      <c r="TDP9" s="113"/>
      <c r="TDQ9" s="113"/>
      <c r="TDR9" s="113"/>
      <c r="TDS9" s="113"/>
      <c r="TDT9" s="113"/>
      <c r="TDU9" s="113"/>
      <c r="TDV9" s="113"/>
      <c r="TDW9" s="113"/>
      <c r="TDX9" s="113"/>
      <c r="TDY9" s="113"/>
      <c r="TDZ9" s="113"/>
      <c r="TEA9" s="113"/>
      <c r="TEB9" s="113"/>
      <c r="TEC9" s="113"/>
      <c r="TED9" s="113"/>
      <c r="TEE9" s="113"/>
      <c r="TEF9" s="113"/>
      <c r="TEG9" s="113"/>
      <c r="TEH9" s="113"/>
      <c r="TEI9" s="113"/>
      <c r="TEJ9" s="113"/>
      <c r="TEK9" s="113"/>
      <c r="TEL9" s="113"/>
      <c r="TEM9" s="113"/>
      <c r="TEN9" s="113"/>
      <c r="TEO9" s="113"/>
      <c r="TEP9" s="113"/>
      <c r="TEQ9" s="113"/>
      <c r="TER9" s="113"/>
      <c r="TES9" s="113"/>
      <c r="TET9" s="113"/>
      <c r="TEU9" s="113"/>
      <c r="TEV9" s="113"/>
      <c r="TEW9" s="113"/>
      <c r="TEX9" s="113"/>
      <c r="TEY9" s="113"/>
      <c r="TEZ9" s="113"/>
      <c r="TFA9" s="113"/>
      <c r="TFB9" s="113"/>
      <c r="TFC9" s="113"/>
      <c r="TFD9" s="113"/>
      <c r="TFE9" s="113"/>
      <c r="TFF9" s="113"/>
      <c r="TFG9" s="113"/>
      <c r="TFH9" s="113"/>
      <c r="TFI9" s="113"/>
      <c r="TFJ9" s="113"/>
      <c r="TFK9" s="113"/>
      <c r="TFL9" s="113"/>
      <c r="TFM9" s="113"/>
      <c r="TFN9" s="113"/>
      <c r="TFO9" s="113"/>
      <c r="TFP9" s="113"/>
      <c r="TFQ9" s="113"/>
      <c r="TFR9" s="113"/>
      <c r="TFS9" s="113"/>
      <c r="TFT9" s="113"/>
      <c r="TFU9" s="113"/>
      <c r="TFV9" s="113"/>
      <c r="TFW9" s="113"/>
      <c r="TFX9" s="113"/>
      <c r="TFY9" s="113"/>
      <c r="TFZ9" s="113"/>
      <c r="TGA9" s="113"/>
      <c r="TGB9" s="113"/>
      <c r="TGC9" s="113"/>
      <c r="TGD9" s="113"/>
      <c r="TGE9" s="113"/>
      <c r="TGF9" s="113"/>
      <c r="TGG9" s="113"/>
      <c r="TGH9" s="113"/>
      <c r="TGI9" s="113"/>
      <c r="TGJ9" s="113"/>
      <c r="TGK9" s="113"/>
      <c r="TGL9" s="113"/>
      <c r="TGM9" s="113"/>
      <c r="TGN9" s="113"/>
      <c r="TGO9" s="113"/>
      <c r="TGP9" s="113"/>
      <c r="TGQ9" s="113"/>
      <c r="TGR9" s="113"/>
      <c r="TGS9" s="113"/>
      <c r="TGT9" s="113"/>
      <c r="TGU9" s="113"/>
      <c r="TGV9" s="113"/>
      <c r="TGW9" s="113"/>
      <c r="TGX9" s="113"/>
      <c r="TGY9" s="113"/>
      <c r="TGZ9" s="113"/>
      <c r="THA9" s="113"/>
      <c r="THB9" s="113"/>
      <c r="THC9" s="113"/>
      <c r="THD9" s="113"/>
      <c r="THE9" s="113"/>
      <c r="THF9" s="113"/>
      <c r="THG9" s="113"/>
      <c r="THH9" s="113"/>
      <c r="THI9" s="113"/>
      <c r="THJ9" s="113"/>
      <c r="THK9" s="113"/>
      <c r="THL9" s="113"/>
      <c r="THM9" s="113"/>
      <c r="THN9" s="113"/>
      <c r="THO9" s="113"/>
      <c r="THP9" s="113"/>
      <c r="THQ9" s="113"/>
      <c r="THR9" s="113"/>
      <c r="THS9" s="113"/>
      <c r="THT9" s="113"/>
      <c r="THU9" s="113"/>
      <c r="THV9" s="113"/>
      <c r="THW9" s="113"/>
      <c r="THX9" s="113"/>
      <c r="THY9" s="113"/>
      <c r="THZ9" s="113"/>
      <c r="TIA9" s="113"/>
      <c r="TIB9" s="113"/>
      <c r="TIC9" s="113"/>
      <c r="TID9" s="113"/>
      <c r="TIE9" s="113"/>
      <c r="TIF9" s="113"/>
      <c r="TIG9" s="113"/>
      <c r="TIH9" s="113"/>
      <c r="TII9" s="113"/>
      <c r="TIJ9" s="113"/>
      <c r="TIK9" s="113"/>
      <c r="TIL9" s="113"/>
      <c r="TIM9" s="113"/>
      <c r="TIN9" s="113"/>
      <c r="TIO9" s="113"/>
      <c r="TIP9" s="113"/>
      <c r="TIQ9" s="113"/>
      <c r="TIR9" s="113"/>
      <c r="TIS9" s="113"/>
      <c r="TIT9" s="113"/>
      <c r="TIU9" s="113"/>
      <c r="TIV9" s="113"/>
      <c r="TIW9" s="113"/>
      <c r="TIX9" s="113"/>
      <c r="TIY9" s="113"/>
      <c r="TIZ9" s="113"/>
      <c r="TJA9" s="113"/>
      <c r="TJB9" s="113"/>
      <c r="TJC9" s="113"/>
      <c r="TJD9" s="113"/>
      <c r="TJE9" s="113"/>
      <c r="TJF9" s="113"/>
      <c r="TJG9" s="113"/>
      <c r="TJH9" s="113"/>
      <c r="TJI9" s="113"/>
      <c r="TJJ9" s="113"/>
      <c r="TJK9" s="113"/>
      <c r="TJL9" s="113"/>
      <c r="TJM9" s="113"/>
      <c r="TJN9" s="113"/>
      <c r="TJO9" s="113"/>
      <c r="TJP9" s="113"/>
      <c r="TJQ9" s="113"/>
      <c r="TJR9" s="113"/>
      <c r="TJS9" s="113"/>
      <c r="TJT9" s="113"/>
      <c r="TJU9" s="113"/>
      <c r="TJV9" s="113"/>
      <c r="TJW9" s="113"/>
      <c r="TJX9" s="113"/>
      <c r="TJY9" s="113"/>
      <c r="TJZ9" s="113"/>
      <c r="TKA9" s="113"/>
      <c r="TKB9" s="113"/>
      <c r="TKC9" s="113"/>
      <c r="TKD9" s="113"/>
      <c r="TKE9" s="113"/>
      <c r="TKF9" s="113"/>
      <c r="TKG9" s="113"/>
      <c r="TKH9" s="113"/>
      <c r="TKI9" s="113"/>
      <c r="TKJ9" s="113"/>
      <c r="TKK9" s="113"/>
      <c r="TKL9" s="113"/>
      <c r="TKM9" s="113"/>
      <c r="TKN9" s="113"/>
      <c r="TKO9" s="113"/>
      <c r="TKP9" s="113"/>
      <c r="TKQ9" s="113"/>
      <c r="TKR9" s="113"/>
      <c r="TKS9" s="113"/>
      <c r="TKT9" s="113"/>
      <c r="TKU9" s="113"/>
      <c r="TKV9" s="113"/>
      <c r="TKW9" s="113"/>
      <c r="TKX9" s="113"/>
      <c r="TKY9" s="113"/>
      <c r="TKZ9" s="113"/>
      <c r="TLA9" s="113"/>
      <c r="TLB9" s="113"/>
      <c r="TLC9" s="113"/>
      <c r="TLD9" s="113"/>
      <c r="TLE9" s="113"/>
      <c r="TLF9" s="113"/>
      <c r="TLG9" s="113"/>
      <c r="TLH9" s="113"/>
      <c r="TLI9" s="113"/>
      <c r="TLJ9" s="113"/>
      <c r="TLK9" s="113"/>
      <c r="TLL9" s="113"/>
      <c r="TLM9" s="113"/>
      <c r="TLN9" s="113"/>
      <c r="TLO9" s="113"/>
      <c r="TLP9" s="113"/>
      <c r="TLQ9" s="113"/>
      <c r="TLR9" s="113"/>
      <c r="TLS9" s="113"/>
      <c r="TLT9" s="113"/>
      <c r="TLU9" s="113"/>
      <c r="TLV9" s="113"/>
      <c r="TLW9" s="113"/>
      <c r="TLX9" s="113"/>
      <c r="TLY9" s="113"/>
      <c r="TLZ9" s="113"/>
      <c r="TMA9" s="113"/>
      <c r="TMB9" s="113"/>
      <c r="TMC9" s="113"/>
      <c r="TMD9" s="113"/>
      <c r="TME9" s="113"/>
      <c r="TMF9" s="113"/>
      <c r="TMG9" s="113"/>
      <c r="TMH9" s="113"/>
      <c r="TMI9" s="113"/>
      <c r="TMJ9" s="113"/>
      <c r="TMK9" s="113"/>
      <c r="TML9" s="113"/>
      <c r="TMM9" s="113"/>
      <c r="TMN9" s="113"/>
      <c r="TMO9" s="113"/>
      <c r="TMP9" s="113"/>
      <c r="TMQ9" s="113"/>
      <c r="TMR9" s="113"/>
      <c r="TMS9" s="113"/>
      <c r="TMT9" s="113"/>
      <c r="TMU9" s="113"/>
      <c r="TMV9" s="113"/>
      <c r="TMW9" s="113"/>
      <c r="TMX9" s="113"/>
      <c r="TMY9" s="113"/>
      <c r="TMZ9" s="113"/>
      <c r="TNA9" s="113"/>
      <c r="TNB9" s="113"/>
      <c r="TNC9" s="113"/>
      <c r="TND9" s="113"/>
      <c r="TNE9" s="113"/>
      <c r="TNF9" s="113"/>
      <c r="TNG9" s="113"/>
      <c r="TNH9" s="113"/>
      <c r="TNI9" s="113"/>
      <c r="TNJ9" s="113"/>
      <c r="TNK9" s="113"/>
      <c r="TNL9" s="113"/>
      <c r="TNM9" s="113"/>
      <c r="TNN9" s="113"/>
      <c r="TNO9" s="113"/>
      <c r="TNP9" s="113"/>
      <c r="TNQ9" s="113"/>
      <c r="TNR9" s="113"/>
      <c r="TNS9" s="113"/>
      <c r="TNT9" s="113"/>
      <c r="TNU9" s="113"/>
      <c r="TNV9" s="113"/>
      <c r="TNW9" s="113"/>
      <c r="TNX9" s="113"/>
      <c r="TNY9" s="113"/>
      <c r="TNZ9" s="113"/>
      <c r="TOA9" s="113"/>
      <c r="TOB9" s="113"/>
      <c r="TOC9" s="113"/>
      <c r="TOD9" s="113"/>
      <c r="TOE9" s="113"/>
      <c r="TOF9" s="113"/>
      <c r="TOG9" s="113"/>
      <c r="TOH9" s="113"/>
      <c r="TOI9" s="113"/>
      <c r="TOJ9" s="113"/>
      <c r="TOK9" s="113"/>
      <c r="TOL9" s="113"/>
      <c r="TOM9" s="113"/>
      <c r="TON9" s="113"/>
      <c r="TOO9" s="113"/>
      <c r="TOP9" s="113"/>
      <c r="TOQ9" s="113"/>
      <c r="TOR9" s="113"/>
      <c r="TOS9" s="113"/>
      <c r="TOT9" s="113"/>
      <c r="TOU9" s="113"/>
      <c r="TOV9" s="113"/>
      <c r="TOW9" s="113"/>
      <c r="TOX9" s="113"/>
      <c r="TOY9" s="113"/>
      <c r="TOZ9" s="113"/>
      <c r="TPA9" s="113"/>
      <c r="TPB9" s="113"/>
      <c r="TPC9" s="113"/>
      <c r="TPD9" s="113"/>
      <c r="TPE9" s="113"/>
      <c r="TPF9" s="113"/>
      <c r="TPG9" s="113"/>
      <c r="TPH9" s="113"/>
      <c r="TPI9" s="113"/>
      <c r="TPJ9" s="113"/>
      <c r="TPK9" s="113"/>
      <c r="TPL9" s="113"/>
      <c r="TPM9" s="113"/>
      <c r="TPN9" s="113"/>
      <c r="TPO9" s="113"/>
      <c r="TPP9" s="113"/>
      <c r="TPQ9" s="113"/>
      <c r="TPR9" s="113"/>
      <c r="TPS9" s="113"/>
      <c r="TPT9" s="113"/>
      <c r="TPU9" s="113"/>
      <c r="TPV9" s="113"/>
      <c r="TPW9" s="113"/>
      <c r="TPX9" s="113"/>
      <c r="TPY9" s="113"/>
      <c r="TPZ9" s="113"/>
      <c r="TQA9" s="113"/>
      <c r="TQB9" s="113"/>
      <c r="TQC9" s="113"/>
      <c r="TQD9" s="113"/>
      <c r="TQE9" s="113"/>
      <c r="TQF9" s="113"/>
      <c r="TQG9" s="113"/>
      <c r="TQH9" s="113"/>
      <c r="TQI9" s="113"/>
      <c r="TQJ9" s="113"/>
      <c r="TQK9" s="113"/>
      <c r="TQL9" s="113"/>
      <c r="TQM9" s="113"/>
      <c r="TQN9" s="113"/>
      <c r="TQO9" s="113"/>
      <c r="TQP9" s="113"/>
      <c r="TQQ9" s="113"/>
      <c r="TQR9" s="113"/>
      <c r="TQS9" s="113"/>
      <c r="TQT9" s="113"/>
      <c r="TQU9" s="113"/>
      <c r="TQV9" s="113"/>
      <c r="TQW9" s="113"/>
      <c r="TQX9" s="113"/>
      <c r="TQY9" s="113"/>
      <c r="TQZ9" s="113"/>
      <c r="TRA9" s="113"/>
      <c r="TRB9" s="113"/>
      <c r="TRC9" s="113"/>
      <c r="TRD9" s="113"/>
      <c r="TRE9" s="113"/>
      <c r="TRF9" s="113"/>
      <c r="TRG9" s="113"/>
      <c r="TRH9" s="113"/>
      <c r="TRI9" s="113"/>
      <c r="TRJ9" s="113"/>
      <c r="TRK9" s="113"/>
      <c r="TRL9" s="113"/>
      <c r="TRM9" s="113"/>
      <c r="TRN9" s="113"/>
      <c r="TRO9" s="113"/>
      <c r="TRP9" s="113"/>
      <c r="TRQ9" s="113"/>
      <c r="TRR9" s="113"/>
      <c r="TRS9" s="113"/>
      <c r="TRT9" s="113"/>
      <c r="TRU9" s="113"/>
      <c r="TRV9" s="113"/>
      <c r="TRW9" s="113"/>
      <c r="TRX9" s="113"/>
      <c r="TRY9" s="113"/>
      <c r="TRZ9" s="113"/>
      <c r="TSA9" s="113"/>
      <c r="TSB9" s="113"/>
      <c r="TSC9" s="113"/>
      <c r="TSD9" s="113"/>
      <c r="TSE9" s="113"/>
      <c r="TSF9" s="113"/>
      <c r="TSG9" s="113"/>
      <c r="TSH9" s="113"/>
      <c r="TSI9" s="113"/>
      <c r="TSJ9" s="113"/>
      <c r="TSK9" s="113"/>
      <c r="TSL9" s="113"/>
      <c r="TSM9" s="113"/>
      <c r="TSN9" s="113"/>
      <c r="TSO9" s="113"/>
      <c r="TSP9" s="113"/>
      <c r="TSQ9" s="113"/>
      <c r="TSR9" s="113"/>
      <c r="TSS9" s="113"/>
      <c r="TST9" s="113"/>
      <c r="TSU9" s="113"/>
      <c r="TSV9" s="113"/>
      <c r="TSW9" s="113"/>
      <c r="TSX9" s="113"/>
      <c r="TSY9" s="113"/>
      <c r="TSZ9" s="113"/>
      <c r="TTA9" s="113"/>
      <c r="TTB9" s="113"/>
      <c r="TTC9" s="113"/>
      <c r="TTD9" s="113"/>
      <c r="TTE9" s="113"/>
      <c r="TTF9" s="113"/>
      <c r="TTG9" s="113"/>
      <c r="TTH9" s="113"/>
      <c r="TTI9" s="113"/>
      <c r="TTJ9" s="113"/>
      <c r="TTK9" s="113"/>
      <c r="TTL9" s="113"/>
      <c r="TTM9" s="113"/>
      <c r="TTN9" s="113"/>
      <c r="TTO9" s="113"/>
      <c r="TTP9" s="113"/>
      <c r="TTQ9" s="113"/>
      <c r="TTR9" s="113"/>
      <c r="TTS9" s="113"/>
      <c r="TTT9" s="113"/>
      <c r="TTU9" s="113"/>
      <c r="TTV9" s="113"/>
      <c r="TTW9" s="113"/>
      <c r="TTX9" s="113"/>
      <c r="TTY9" s="113"/>
      <c r="TTZ9" s="113"/>
      <c r="TUA9" s="113"/>
      <c r="TUB9" s="113"/>
      <c r="TUC9" s="113"/>
      <c r="TUD9" s="113"/>
      <c r="TUE9" s="113"/>
      <c r="TUF9" s="113"/>
      <c r="TUG9" s="113"/>
      <c r="TUH9" s="113"/>
      <c r="TUI9" s="113"/>
      <c r="TUJ9" s="113"/>
      <c r="TUK9" s="113"/>
      <c r="TUL9" s="113"/>
      <c r="TUM9" s="113"/>
      <c r="TUN9" s="113"/>
      <c r="TUO9" s="113"/>
      <c r="TUP9" s="113"/>
      <c r="TUQ9" s="113"/>
      <c r="TUR9" s="113"/>
      <c r="TUS9" s="113"/>
      <c r="TUT9" s="113"/>
      <c r="TUU9" s="113"/>
      <c r="TUV9" s="113"/>
      <c r="TUW9" s="113"/>
      <c r="TUX9" s="113"/>
      <c r="TUY9" s="113"/>
      <c r="TUZ9" s="113"/>
      <c r="TVA9" s="113"/>
      <c r="TVB9" s="113"/>
      <c r="TVC9" s="113"/>
      <c r="TVD9" s="113"/>
      <c r="TVE9" s="113"/>
      <c r="TVF9" s="113"/>
      <c r="TVG9" s="113"/>
      <c r="TVH9" s="113"/>
      <c r="TVI9" s="113"/>
      <c r="TVJ9" s="113"/>
      <c r="TVK9" s="113"/>
      <c r="TVL9" s="113"/>
      <c r="TVM9" s="113"/>
      <c r="TVN9" s="113"/>
      <c r="TVO9" s="113"/>
      <c r="TVP9" s="113"/>
      <c r="TVQ9" s="113"/>
      <c r="TVR9" s="113"/>
      <c r="TVS9" s="113"/>
      <c r="TVT9" s="113"/>
      <c r="TVU9" s="113"/>
      <c r="TVV9" s="113"/>
      <c r="TVW9" s="113"/>
      <c r="TVX9" s="113"/>
      <c r="TVY9" s="113"/>
      <c r="TVZ9" s="113"/>
      <c r="TWA9" s="113"/>
      <c r="TWB9" s="113"/>
      <c r="TWC9" s="113"/>
      <c r="TWD9" s="113"/>
      <c r="TWE9" s="113"/>
      <c r="TWF9" s="113"/>
      <c r="TWG9" s="113"/>
      <c r="TWH9" s="113"/>
      <c r="TWI9" s="113"/>
      <c r="TWJ9" s="113"/>
      <c r="TWK9" s="113"/>
      <c r="TWL9" s="113"/>
      <c r="TWM9" s="113"/>
      <c r="TWN9" s="113"/>
      <c r="TWO9" s="113"/>
      <c r="TWP9" s="113"/>
      <c r="TWQ9" s="113"/>
      <c r="TWR9" s="113"/>
      <c r="TWS9" s="113"/>
      <c r="TWT9" s="113"/>
      <c r="TWU9" s="113"/>
      <c r="TWV9" s="113"/>
      <c r="TWW9" s="113"/>
      <c r="TWX9" s="113"/>
      <c r="TWY9" s="113"/>
      <c r="TWZ9" s="113"/>
      <c r="TXA9" s="113"/>
      <c r="TXB9" s="113"/>
      <c r="TXC9" s="113"/>
      <c r="TXD9" s="113"/>
      <c r="TXE9" s="113"/>
      <c r="TXF9" s="113"/>
      <c r="TXG9" s="113"/>
      <c r="TXH9" s="113"/>
      <c r="TXI9" s="113"/>
      <c r="TXJ9" s="113"/>
      <c r="TXK9" s="113"/>
      <c r="TXL9" s="113"/>
      <c r="TXM9" s="113"/>
      <c r="TXN9" s="113"/>
      <c r="TXO9" s="113"/>
      <c r="TXP9" s="113"/>
      <c r="TXQ9" s="113"/>
      <c r="TXR9" s="113"/>
      <c r="TXS9" s="113"/>
      <c r="TXT9" s="113"/>
      <c r="TXU9" s="113"/>
      <c r="TXV9" s="113"/>
      <c r="TXW9" s="113"/>
      <c r="TXX9" s="113"/>
      <c r="TXY9" s="113"/>
      <c r="TXZ9" s="113"/>
      <c r="TYA9" s="113"/>
      <c r="TYB9" s="113"/>
      <c r="TYC9" s="113"/>
      <c r="TYD9" s="113"/>
      <c r="TYE9" s="113"/>
      <c r="TYF9" s="113"/>
      <c r="TYG9" s="113"/>
      <c r="TYH9" s="113"/>
      <c r="TYI9" s="113"/>
      <c r="TYJ9" s="113"/>
      <c r="TYK9" s="113"/>
      <c r="TYL9" s="113"/>
      <c r="TYM9" s="113"/>
      <c r="TYN9" s="113"/>
      <c r="TYO9" s="113"/>
      <c r="TYP9" s="113"/>
      <c r="TYQ9" s="113"/>
      <c r="TYR9" s="113"/>
      <c r="TYS9" s="113"/>
      <c r="TYT9" s="113"/>
      <c r="TYU9" s="113"/>
      <c r="TYV9" s="113"/>
      <c r="TYW9" s="113"/>
      <c r="TYX9" s="113"/>
      <c r="TYY9" s="113"/>
      <c r="TYZ9" s="113"/>
      <c r="TZA9" s="113"/>
      <c r="TZB9" s="113"/>
      <c r="TZC9" s="113"/>
      <c r="TZD9" s="113"/>
      <c r="TZE9" s="113"/>
      <c r="TZF9" s="113"/>
      <c r="TZG9" s="113"/>
      <c r="TZH9" s="113"/>
      <c r="TZI9" s="113"/>
      <c r="TZJ9" s="113"/>
      <c r="TZK9" s="113"/>
      <c r="TZL9" s="113"/>
      <c r="TZM9" s="113"/>
      <c r="TZN9" s="113"/>
      <c r="TZO9" s="113"/>
      <c r="TZP9" s="113"/>
      <c r="TZQ9" s="113"/>
      <c r="TZR9" s="113"/>
      <c r="TZS9" s="113"/>
      <c r="TZT9" s="113"/>
      <c r="TZU9" s="113"/>
      <c r="TZV9" s="113"/>
      <c r="TZW9" s="113"/>
      <c r="TZX9" s="113"/>
      <c r="TZY9" s="113"/>
      <c r="TZZ9" s="113"/>
      <c r="UAA9" s="113"/>
      <c r="UAB9" s="113"/>
      <c r="UAC9" s="113"/>
      <c r="UAD9" s="113"/>
      <c r="UAE9" s="113"/>
      <c r="UAF9" s="113"/>
      <c r="UAG9" s="113"/>
      <c r="UAH9" s="113"/>
      <c r="UAI9" s="113"/>
      <c r="UAJ9" s="113"/>
      <c r="UAK9" s="113"/>
      <c r="UAL9" s="113"/>
      <c r="UAM9" s="113"/>
      <c r="UAN9" s="113"/>
      <c r="UAO9" s="113"/>
      <c r="UAP9" s="113"/>
      <c r="UAQ9" s="113"/>
      <c r="UAR9" s="113"/>
      <c r="UAS9" s="113"/>
      <c r="UAT9" s="113"/>
      <c r="UAU9" s="113"/>
      <c r="UAV9" s="113"/>
      <c r="UAW9" s="113"/>
      <c r="UAX9" s="113"/>
      <c r="UAY9" s="113"/>
      <c r="UAZ9" s="113"/>
      <c r="UBA9" s="113"/>
      <c r="UBB9" s="113"/>
      <c r="UBC9" s="113"/>
      <c r="UBD9" s="113"/>
      <c r="UBE9" s="113"/>
      <c r="UBF9" s="113"/>
      <c r="UBG9" s="113"/>
      <c r="UBH9" s="113"/>
      <c r="UBI9" s="113"/>
      <c r="UBJ9" s="113"/>
      <c r="UBK9" s="113"/>
      <c r="UBL9" s="113"/>
      <c r="UBM9" s="113"/>
      <c r="UBN9" s="113"/>
      <c r="UBO9" s="113"/>
      <c r="UBP9" s="113"/>
      <c r="UBQ9" s="113"/>
      <c r="UBR9" s="113"/>
      <c r="UBS9" s="113"/>
      <c r="UBT9" s="113"/>
      <c r="UBU9" s="113"/>
      <c r="UBV9" s="113"/>
      <c r="UBW9" s="113"/>
      <c r="UBX9" s="113"/>
      <c r="UBY9" s="113"/>
      <c r="UBZ9" s="113"/>
      <c r="UCA9" s="113"/>
      <c r="UCB9" s="113"/>
      <c r="UCC9" s="113"/>
      <c r="UCD9" s="113"/>
      <c r="UCE9" s="113"/>
      <c r="UCF9" s="113"/>
      <c r="UCG9" s="113"/>
      <c r="UCH9" s="113"/>
      <c r="UCI9" s="113"/>
      <c r="UCJ9" s="113"/>
      <c r="UCK9" s="113"/>
      <c r="UCL9" s="113"/>
      <c r="UCM9" s="113"/>
      <c r="UCN9" s="113"/>
      <c r="UCO9" s="113"/>
      <c r="UCP9" s="113"/>
      <c r="UCQ9" s="113"/>
      <c r="UCR9" s="113"/>
      <c r="UCS9" s="113"/>
      <c r="UCT9" s="113"/>
      <c r="UCU9" s="113"/>
      <c r="UCV9" s="113"/>
      <c r="UCW9" s="113"/>
      <c r="UCX9" s="113"/>
      <c r="UCY9" s="113"/>
      <c r="UCZ9" s="113"/>
      <c r="UDA9" s="113"/>
      <c r="UDB9" s="113"/>
      <c r="UDC9" s="113"/>
      <c r="UDD9" s="113"/>
      <c r="UDE9" s="113"/>
      <c r="UDF9" s="113"/>
      <c r="UDG9" s="113"/>
      <c r="UDH9" s="113"/>
      <c r="UDI9" s="113"/>
      <c r="UDJ9" s="113"/>
      <c r="UDK9" s="113"/>
      <c r="UDL9" s="113"/>
      <c r="UDM9" s="113"/>
      <c r="UDN9" s="113"/>
      <c r="UDO9" s="113"/>
      <c r="UDP9" s="113"/>
      <c r="UDQ9" s="113"/>
      <c r="UDR9" s="113"/>
      <c r="UDS9" s="113"/>
      <c r="UDT9" s="113"/>
      <c r="UDU9" s="113"/>
      <c r="UDV9" s="113"/>
      <c r="UDW9" s="113"/>
      <c r="UDX9" s="113"/>
      <c r="UDY9" s="113"/>
      <c r="UDZ9" s="113"/>
      <c r="UEA9" s="113"/>
      <c r="UEB9" s="113"/>
      <c r="UEC9" s="113"/>
      <c r="UED9" s="113"/>
      <c r="UEE9" s="113"/>
      <c r="UEF9" s="113"/>
      <c r="UEG9" s="113"/>
      <c r="UEH9" s="113"/>
      <c r="UEI9" s="113"/>
      <c r="UEJ9" s="113"/>
      <c r="UEK9" s="113"/>
      <c r="UEL9" s="113"/>
      <c r="UEM9" s="113"/>
      <c r="UEN9" s="113"/>
      <c r="UEO9" s="113"/>
      <c r="UEP9" s="113"/>
      <c r="UEQ9" s="113"/>
      <c r="UER9" s="113"/>
      <c r="UES9" s="113"/>
      <c r="UET9" s="113"/>
      <c r="UEU9" s="113"/>
      <c r="UEV9" s="113"/>
      <c r="UEW9" s="113"/>
      <c r="UEX9" s="113"/>
      <c r="UEY9" s="113"/>
      <c r="UEZ9" s="113"/>
      <c r="UFA9" s="113"/>
      <c r="UFB9" s="113"/>
      <c r="UFC9" s="113"/>
      <c r="UFD9" s="113"/>
      <c r="UFE9" s="113"/>
      <c r="UFF9" s="113"/>
      <c r="UFG9" s="113"/>
      <c r="UFH9" s="113"/>
      <c r="UFI9" s="113"/>
      <c r="UFJ9" s="113"/>
      <c r="UFK9" s="113"/>
      <c r="UFL9" s="113"/>
      <c r="UFM9" s="113"/>
      <c r="UFN9" s="113"/>
      <c r="UFO9" s="113"/>
      <c r="UFP9" s="113"/>
      <c r="UFQ9" s="113"/>
      <c r="UFR9" s="113"/>
      <c r="UFS9" s="113"/>
      <c r="UFT9" s="113"/>
      <c r="UFU9" s="113"/>
      <c r="UFV9" s="113"/>
      <c r="UFW9" s="113"/>
      <c r="UFX9" s="113"/>
      <c r="UFY9" s="113"/>
      <c r="UFZ9" s="113"/>
      <c r="UGA9" s="113"/>
      <c r="UGB9" s="113"/>
      <c r="UGC9" s="113"/>
      <c r="UGD9" s="113"/>
      <c r="UGE9" s="113"/>
      <c r="UGF9" s="113"/>
      <c r="UGG9" s="113"/>
      <c r="UGH9" s="113"/>
      <c r="UGI9" s="113"/>
      <c r="UGJ9" s="113"/>
      <c r="UGK9" s="113"/>
      <c r="UGL9" s="113"/>
      <c r="UGM9" s="113"/>
      <c r="UGN9" s="113"/>
      <c r="UGO9" s="113"/>
      <c r="UGP9" s="113"/>
      <c r="UGQ9" s="113"/>
      <c r="UGR9" s="113"/>
      <c r="UGS9" s="113"/>
      <c r="UGT9" s="113"/>
      <c r="UGU9" s="113"/>
      <c r="UGV9" s="113"/>
      <c r="UGW9" s="113"/>
      <c r="UGX9" s="113"/>
      <c r="UGY9" s="113"/>
      <c r="UGZ9" s="113"/>
      <c r="UHA9" s="113"/>
      <c r="UHB9" s="113"/>
      <c r="UHC9" s="113"/>
      <c r="UHD9" s="113"/>
      <c r="UHE9" s="113"/>
      <c r="UHF9" s="113"/>
      <c r="UHG9" s="113"/>
      <c r="UHH9" s="113"/>
      <c r="UHI9" s="113"/>
      <c r="UHJ9" s="113"/>
      <c r="UHK9" s="113"/>
      <c r="UHL9" s="113"/>
      <c r="UHM9" s="113"/>
      <c r="UHN9" s="113"/>
      <c r="UHO9" s="113"/>
      <c r="UHP9" s="113"/>
      <c r="UHQ9" s="113"/>
      <c r="UHR9" s="113"/>
      <c r="UHS9" s="113"/>
      <c r="UHT9" s="113"/>
      <c r="UHU9" s="113"/>
      <c r="UHV9" s="113"/>
      <c r="UHW9" s="113"/>
      <c r="UHX9" s="113"/>
      <c r="UHY9" s="113"/>
      <c r="UHZ9" s="113"/>
      <c r="UIA9" s="113"/>
      <c r="UIB9" s="113"/>
      <c r="UIC9" s="113"/>
      <c r="UID9" s="113"/>
      <c r="UIE9" s="113"/>
      <c r="UIF9" s="113"/>
      <c r="UIG9" s="113"/>
      <c r="UIH9" s="113"/>
      <c r="UII9" s="113"/>
      <c r="UIJ9" s="113"/>
      <c r="UIK9" s="113"/>
      <c r="UIL9" s="113"/>
      <c r="UIM9" s="113"/>
      <c r="UIN9" s="113"/>
      <c r="UIO9" s="113"/>
      <c r="UIP9" s="113"/>
      <c r="UIQ9" s="113"/>
      <c r="UIR9" s="113"/>
      <c r="UIS9" s="113"/>
      <c r="UIT9" s="113"/>
      <c r="UIU9" s="113"/>
      <c r="UIV9" s="113"/>
      <c r="UIW9" s="113"/>
      <c r="UIX9" s="113"/>
      <c r="UIY9" s="113"/>
      <c r="UIZ9" s="113"/>
      <c r="UJA9" s="113"/>
      <c r="UJB9" s="113"/>
      <c r="UJC9" s="113"/>
      <c r="UJD9" s="113"/>
      <c r="UJE9" s="113"/>
      <c r="UJF9" s="113"/>
      <c r="UJG9" s="113"/>
      <c r="UJH9" s="113"/>
      <c r="UJI9" s="113"/>
      <c r="UJJ9" s="113"/>
      <c r="UJK9" s="113"/>
      <c r="UJL9" s="113"/>
      <c r="UJM9" s="113"/>
      <c r="UJN9" s="113"/>
      <c r="UJO9" s="113"/>
      <c r="UJP9" s="113"/>
      <c r="UJQ9" s="113"/>
      <c r="UJR9" s="113"/>
      <c r="UJS9" s="113"/>
      <c r="UJT9" s="113"/>
      <c r="UJU9" s="113"/>
      <c r="UJV9" s="113"/>
      <c r="UJW9" s="113"/>
      <c r="UJX9" s="113"/>
      <c r="UJY9" s="113"/>
      <c r="UJZ9" s="113"/>
      <c r="UKA9" s="113"/>
      <c r="UKB9" s="113"/>
      <c r="UKC9" s="113"/>
      <c r="UKD9" s="113"/>
      <c r="UKE9" s="113"/>
      <c r="UKF9" s="113"/>
      <c r="UKG9" s="113"/>
      <c r="UKH9" s="113"/>
      <c r="UKI9" s="113"/>
      <c r="UKJ9" s="113"/>
      <c r="UKK9" s="113"/>
      <c r="UKL9" s="113"/>
      <c r="UKM9" s="113"/>
      <c r="UKN9" s="113"/>
      <c r="UKO9" s="113"/>
      <c r="UKP9" s="113"/>
      <c r="UKQ9" s="113"/>
      <c r="UKR9" s="113"/>
      <c r="UKS9" s="113"/>
      <c r="UKT9" s="113"/>
      <c r="UKU9" s="113"/>
      <c r="UKV9" s="113"/>
      <c r="UKW9" s="113"/>
      <c r="UKX9" s="113"/>
      <c r="UKY9" s="113"/>
      <c r="UKZ9" s="113"/>
      <c r="ULA9" s="113"/>
      <c r="ULB9" s="113"/>
      <c r="ULC9" s="113"/>
      <c r="ULD9" s="113"/>
      <c r="ULE9" s="113"/>
      <c r="ULF9" s="113"/>
      <c r="ULG9" s="113"/>
      <c r="ULH9" s="113"/>
      <c r="ULI9" s="113"/>
      <c r="ULJ9" s="113"/>
      <c r="ULK9" s="113"/>
      <c r="ULL9" s="113"/>
      <c r="ULM9" s="113"/>
      <c r="ULN9" s="113"/>
      <c r="ULO9" s="113"/>
      <c r="ULP9" s="113"/>
      <c r="ULQ9" s="113"/>
      <c r="ULR9" s="113"/>
      <c r="ULS9" s="113"/>
      <c r="ULT9" s="113"/>
      <c r="ULU9" s="113"/>
      <c r="ULV9" s="113"/>
      <c r="ULW9" s="113"/>
      <c r="ULX9" s="113"/>
      <c r="ULY9" s="113"/>
      <c r="ULZ9" s="113"/>
      <c r="UMA9" s="113"/>
      <c r="UMB9" s="113"/>
      <c r="UMC9" s="113"/>
      <c r="UMD9" s="113"/>
      <c r="UME9" s="113"/>
      <c r="UMF9" s="113"/>
      <c r="UMG9" s="113"/>
      <c r="UMH9" s="113"/>
      <c r="UMI9" s="113"/>
      <c r="UMJ9" s="113"/>
      <c r="UMK9" s="113"/>
      <c r="UML9" s="113"/>
      <c r="UMM9" s="113"/>
      <c r="UMN9" s="113"/>
      <c r="UMO9" s="113"/>
      <c r="UMP9" s="113"/>
      <c r="UMQ9" s="113"/>
      <c r="UMR9" s="113"/>
      <c r="UMS9" s="113"/>
      <c r="UMT9" s="113"/>
      <c r="UMU9" s="113"/>
      <c r="UMV9" s="113"/>
      <c r="UMW9" s="113"/>
      <c r="UMX9" s="113"/>
      <c r="UMY9" s="113"/>
      <c r="UMZ9" s="113"/>
      <c r="UNA9" s="113"/>
      <c r="UNB9" s="113"/>
      <c r="UNC9" s="113"/>
      <c r="UND9" s="113"/>
      <c r="UNE9" s="113"/>
      <c r="UNF9" s="113"/>
      <c r="UNG9" s="113"/>
      <c r="UNH9" s="113"/>
      <c r="UNI9" s="113"/>
      <c r="UNJ9" s="113"/>
      <c r="UNK9" s="113"/>
      <c r="UNL9" s="113"/>
      <c r="UNM9" s="113"/>
      <c r="UNN9" s="113"/>
      <c r="UNO9" s="113"/>
      <c r="UNP9" s="113"/>
      <c r="UNQ9" s="113"/>
      <c r="UNR9" s="113"/>
      <c r="UNS9" s="113"/>
      <c r="UNT9" s="113"/>
      <c r="UNU9" s="113"/>
      <c r="UNV9" s="113"/>
      <c r="UNW9" s="113"/>
      <c r="UNX9" s="113"/>
      <c r="UNY9" s="113"/>
      <c r="UNZ9" s="113"/>
      <c r="UOA9" s="113"/>
      <c r="UOB9" s="113"/>
      <c r="UOC9" s="113"/>
      <c r="UOD9" s="113"/>
      <c r="UOE9" s="113"/>
      <c r="UOF9" s="113"/>
      <c r="UOG9" s="113"/>
      <c r="UOH9" s="113"/>
      <c r="UOI9" s="113"/>
      <c r="UOJ9" s="113"/>
      <c r="UOK9" s="113"/>
      <c r="UOL9" s="113"/>
      <c r="UOM9" s="113"/>
      <c r="UON9" s="113"/>
      <c r="UOO9" s="113"/>
      <c r="UOP9" s="113"/>
      <c r="UOQ9" s="113"/>
      <c r="UOR9" s="113"/>
      <c r="UOS9" s="113"/>
      <c r="UOT9" s="113"/>
      <c r="UOU9" s="113"/>
      <c r="UOV9" s="113"/>
      <c r="UOW9" s="113"/>
      <c r="UOX9" s="113"/>
      <c r="UOY9" s="113"/>
      <c r="UOZ9" s="113"/>
      <c r="UPA9" s="113"/>
      <c r="UPB9" s="113"/>
      <c r="UPC9" s="113"/>
      <c r="UPD9" s="113"/>
      <c r="UPE9" s="113"/>
      <c r="UPF9" s="113"/>
      <c r="UPG9" s="113"/>
      <c r="UPH9" s="113"/>
      <c r="UPI9" s="113"/>
      <c r="UPJ9" s="113"/>
      <c r="UPK9" s="113"/>
      <c r="UPL9" s="113"/>
      <c r="UPM9" s="113"/>
      <c r="UPN9" s="113"/>
      <c r="UPO9" s="113"/>
      <c r="UPP9" s="113"/>
      <c r="UPQ9" s="113"/>
      <c r="UPR9" s="113"/>
      <c r="UPS9" s="113"/>
      <c r="UPT9" s="113"/>
      <c r="UPU9" s="113"/>
      <c r="UPV9" s="113"/>
      <c r="UPW9" s="113"/>
      <c r="UPX9" s="113"/>
      <c r="UPY9" s="113"/>
      <c r="UPZ9" s="113"/>
      <c r="UQA9" s="113"/>
      <c r="UQB9" s="113"/>
      <c r="UQC9" s="113"/>
      <c r="UQD9" s="113"/>
      <c r="UQE9" s="113"/>
      <c r="UQF9" s="113"/>
      <c r="UQG9" s="113"/>
      <c r="UQH9" s="113"/>
      <c r="UQI9" s="113"/>
      <c r="UQJ9" s="113"/>
      <c r="UQK9" s="113"/>
      <c r="UQL9" s="113"/>
      <c r="UQM9" s="113"/>
      <c r="UQN9" s="113"/>
      <c r="UQO9" s="113"/>
      <c r="UQP9" s="113"/>
      <c r="UQQ9" s="113"/>
      <c r="UQR9" s="113"/>
      <c r="UQS9" s="113"/>
      <c r="UQT9" s="113"/>
      <c r="UQU9" s="113"/>
      <c r="UQV9" s="113"/>
      <c r="UQW9" s="113"/>
      <c r="UQX9" s="113"/>
      <c r="UQY9" s="113"/>
      <c r="UQZ9" s="113"/>
      <c r="URA9" s="113"/>
      <c r="URB9" s="113"/>
      <c r="URC9" s="113"/>
      <c r="URD9" s="113"/>
      <c r="URE9" s="113"/>
      <c r="URF9" s="113"/>
      <c r="URG9" s="113"/>
      <c r="URH9" s="113"/>
      <c r="URI9" s="113"/>
      <c r="URJ9" s="113"/>
      <c r="URK9" s="113"/>
      <c r="URL9" s="113"/>
      <c r="URM9" s="113"/>
      <c r="URN9" s="113"/>
      <c r="URO9" s="113"/>
      <c r="URP9" s="113"/>
      <c r="URQ9" s="113"/>
      <c r="URR9" s="113"/>
      <c r="URS9" s="113"/>
      <c r="URT9" s="113"/>
      <c r="URU9" s="113"/>
      <c r="URV9" s="113"/>
      <c r="URW9" s="113"/>
      <c r="URX9" s="113"/>
      <c r="URY9" s="113"/>
      <c r="URZ9" s="113"/>
      <c r="USA9" s="113"/>
      <c r="USB9" s="113"/>
      <c r="USC9" s="113"/>
      <c r="USD9" s="113"/>
      <c r="USE9" s="113"/>
      <c r="USF9" s="113"/>
      <c r="USG9" s="113"/>
      <c r="USH9" s="113"/>
      <c r="USI9" s="113"/>
      <c r="USJ9" s="113"/>
      <c r="USK9" s="113"/>
      <c r="USL9" s="113"/>
      <c r="USM9" s="113"/>
      <c r="USN9" s="113"/>
      <c r="USO9" s="113"/>
      <c r="USP9" s="113"/>
      <c r="USQ9" s="113"/>
      <c r="USR9" s="113"/>
      <c r="USS9" s="113"/>
      <c r="UST9" s="113"/>
      <c r="USU9" s="113"/>
      <c r="USV9" s="113"/>
      <c r="USW9" s="113"/>
      <c r="USX9" s="113"/>
      <c r="USY9" s="113"/>
      <c r="USZ9" s="113"/>
      <c r="UTA9" s="113"/>
      <c r="UTB9" s="113"/>
      <c r="UTC9" s="113"/>
      <c r="UTD9" s="113"/>
      <c r="UTE9" s="113"/>
      <c r="UTF9" s="113"/>
      <c r="UTG9" s="113"/>
      <c r="UTH9" s="113"/>
      <c r="UTI9" s="113"/>
      <c r="UTJ9" s="113"/>
      <c r="UTK9" s="113"/>
      <c r="UTL9" s="113"/>
      <c r="UTM9" s="113"/>
      <c r="UTN9" s="113"/>
      <c r="UTO9" s="113"/>
      <c r="UTP9" s="113"/>
      <c r="UTQ9" s="113"/>
      <c r="UTR9" s="113"/>
      <c r="UTS9" s="113"/>
      <c r="UTT9" s="113"/>
      <c r="UTU9" s="113"/>
      <c r="UTV9" s="113"/>
      <c r="UTW9" s="113"/>
      <c r="UTX9" s="113"/>
      <c r="UTY9" s="113"/>
      <c r="UTZ9" s="113"/>
      <c r="UUA9" s="113"/>
      <c r="UUB9" s="113"/>
      <c r="UUC9" s="113"/>
      <c r="UUD9" s="113"/>
      <c r="UUE9" s="113"/>
      <c r="UUF9" s="113"/>
      <c r="UUG9" s="113"/>
      <c r="UUH9" s="113"/>
      <c r="UUI9" s="113"/>
      <c r="UUJ9" s="113"/>
      <c r="UUK9" s="113"/>
      <c r="UUL9" s="113"/>
      <c r="UUM9" s="113"/>
      <c r="UUN9" s="113"/>
      <c r="UUO9" s="113"/>
      <c r="UUP9" s="113"/>
      <c r="UUQ9" s="113"/>
      <c r="UUR9" s="113"/>
      <c r="UUS9" s="113"/>
      <c r="UUT9" s="113"/>
      <c r="UUU9" s="113"/>
      <c r="UUV9" s="113"/>
      <c r="UUW9" s="113"/>
      <c r="UUX9" s="113"/>
      <c r="UUY9" s="113"/>
      <c r="UUZ9" s="113"/>
      <c r="UVA9" s="113"/>
      <c r="UVB9" s="113"/>
      <c r="UVC9" s="113"/>
      <c r="UVD9" s="113"/>
      <c r="UVE9" s="113"/>
      <c r="UVF9" s="113"/>
      <c r="UVG9" s="113"/>
      <c r="UVH9" s="113"/>
      <c r="UVI9" s="113"/>
      <c r="UVJ9" s="113"/>
      <c r="UVK9" s="113"/>
      <c r="UVL9" s="113"/>
      <c r="UVM9" s="113"/>
      <c r="UVN9" s="113"/>
      <c r="UVO9" s="113"/>
      <c r="UVP9" s="113"/>
      <c r="UVQ9" s="113"/>
      <c r="UVR9" s="113"/>
      <c r="UVS9" s="113"/>
      <c r="UVT9" s="113"/>
      <c r="UVU9" s="113"/>
      <c r="UVV9" s="113"/>
      <c r="UVW9" s="113"/>
      <c r="UVX9" s="113"/>
      <c r="UVY9" s="113"/>
      <c r="UVZ9" s="113"/>
      <c r="UWA9" s="113"/>
      <c r="UWB9" s="113"/>
      <c r="UWC9" s="113"/>
      <c r="UWD9" s="113"/>
      <c r="UWE9" s="113"/>
      <c r="UWF9" s="113"/>
      <c r="UWG9" s="113"/>
      <c r="UWH9" s="113"/>
      <c r="UWI9" s="113"/>
      <c r="UWJ9" s="113"/>
      <c r="UWK9" s="113"/>
      <c r="UWL9" s="113"/>
      <c r="UWM9" s="113"/>
      <c r="UWN9" s="113"/>
      <c r="UWO9" s="113"/>
      <c r="UWP9" s="113"/>
      <c r="UWQ9" s="113"/>
      <c r="UWR9" s="113"/>
      <c r="UWS9" s="113"/>
      <c r="UWT9" s="113"/>
      <c r="UWU9" s="113"/>
      <c r="UWV9" s="113"/>
      <c r="UWW9" s="113"/>
      <c r="UWX9" s="113"/>
      <c r="UWY9" s="113"/>
      <c r="UWZ9" s="113"/>
      <c r="UXA9" s="113"/>
      <c r="UXB9" s="113"/>
      <c r="UXC9" s="113"/>
      <c r="UXD9" s="113"/>
      <c r="UXE9" s="113"/>
      <c r="UXF9" s="113"/>
      <c r="UXG9" s="113"/>
      <c r="UXH9" s="113"/>
      <c r="UXI9" s="113"/>
      <c r="UXJ9" s="113"/>
      <c r="UXK9" s="113"/>
      <c r="UXL9" s="113"/>
      <c r="UXM9" s="113"/>
      <c r="UXN9" s="113"/>
      <c r="UXO9" s="113"/>
      <c r="UXP9" s="113"/>
      <c r="UXQ9" s="113"/>
      <c r="UXR9" s="113"/>
      <c r="UXS9" s="113"/>
      <c r="UXT9" s="113"/>
      <c r="UXU9" s="113"/>
      <c r="UXV9" s="113"/>
      <c r="UXW9" s="113"/>
      <c r="UXX9" s="113"/>
      <c r="UXY9" s="113"/>
      <c r="UXZ9" s="113"/>
      <c r="UYA9" s="113"/>
      <c r="UYB9" s="113"/>
      <c r="UYC9" s="113"/>
      <c r="UYD9" s="113"/>
      <c r="UYE9" s="113"/>
      <c r="UYF9" s="113"/>
      <c r="UYG9" s="113"/>
      <c r="UYH9" s="113"/>
      <c r="UYI9" s="113"/>
      <c r="UYJ9" s="113"/>
      <c r="UYK9" s="113"/>
      <c r="UYL9" s="113"/>
      <c r="UYM9" s="113"/>
      <c r="UYN9" s="113"/>
      <c r="UYO9" s="113"/>
      <c r="UYP9" s="113"/>
      <c r="UYQ9" s="113"/>
      <c r="UYR9" s="113"/>
      <c r="UYS9" s="113"/>
      <c r="UYT9" s="113"/>
      <c r="UYU9" s="113"/>
      <c r="UYV9" s="113"/>
      <c r="UYW9" s="113"/>
      <c r="UYX9" s="113"/>
      <c r="UYY9" s="113"/>
      <c r="UYZ9" s="113"/>
      <c r="UZA9" s="113"/>
      <c r="UZB9" s="113"/>
      <c r="UZC9" s="113"/>
      <c r="UZD9" s="113"/>
      <c r="UZE9" s="113"/>
      <c r="UZF9" s="113"/>
      <c r="UZG9" s="113"/>
      <c r="UZH9" s="113"/>
      <c r="UZI9" s="113"/>
      <c r="UZJ9" s="113"/>
      <c r="UZK9" s="113"/>
      <c r="UZL9" s="113"/>
      <c r="UZM9" s="113"/>
      <c r="UZN9" s="113"/>
      <c r="UZO9" s="113"/>
      <c r="UZP9" s="113"/>
      <c r="UZQ9" s="113"/>
      <c r="UZR9" s="113"/>
      <c r="UZS9" s="113"/>
      <c r="UZT9" s="113"/>
      <c r="UZU9" s="113"/>
      <c r="UZV9" s="113"/>
      <c r="UZW9" s="113"/>
      <c r="UZX9" s="113"/>
      <c r="UZY9" s="113"/>
      <c r="UZZ9" s="113"/>
      <c r="VAA9" s="113"/>
      <c r="VAB9" s="113"/>
      <c r="VAC9" s="113"/>
      <c r="VAD9" s="113"/>
      <c r="VAE9" s="113"/>
      <c r="VAF9" s="113"/>
      <c r="VAG9" s="113"/>
      <c r="VAH9" s="113"/>
      <c r="VAI9" s="113"/>
      <c r="VAJ9" s="113"/>
      <c r="VAK9" s="113"/>
      <c r="VAL9" s="113"/>
      <c r="VAM9" s="113"/>
      <c r="VAN9" s="113"/>
      <c r="VAO9" s="113"/>
      <c r="VAP9" s="113"/>
      <c r="VAQ9" s="113"/>
      <c r="VAR9" s="113"/>
      <c r="VAS9" s="113"/>
      <c r="VAT9" s="113"/>
      <c r="VAU9" s="113"/>
      <c r="VAV9" s="113"/>
      <c r="VAW9" s="113"/>
      <c r="VAX9" s="113"/>
      <c r="VAY9" s="113"/>
      <c r="VAZ9" s="113"/>
      <c r="VBA9" s="113"/>
      <c r="VBB9" s="113"/>
      <c r="VBC9" s="113"/>
      <c r="VBD9" s="113"/>
      <c r="VBE9" s="113"/>
      <c r="VBF9" s="113"/>
      <c r="VBG9" s="113"/>
      <c r="VBH9" s="113"/>
      <c r="VBI9" s="113"/>
      <c r="VBJ9" s="113"/>
      <c r="VBK9" s="113"/>
      <c r="VBL9" s="113"/>
      <c r="VBM9" s="113"/>
      <c r="VBN9" s="113"/>
      <c r="VBO9" s="113"/>
      <c r="VBP9" s="113"/>
      <c r="VBQ9" s="113"/>
      <c r="VBR9" s="113"/>
      <c r="VBS9" s="113"/>
      <c r="VBT9" s="113"/>
      <c r="VBU9" s="113"/>
      <c r="VBV9" s="113"/>
      <c r="VBW9" s="113"/>
      <c r="VBX9" s="113"/>
      <c r="VBY9" s="113"/>
      <c r="VBZ9" s="113"/>
      <c r="VCA9" s="113"/>
      <c r="VCB9" s="113"/>
      <c r="VCC9" s="113"/>
      <c r="VCD9" s="113"/>
      <c r="VCE9" s="113"/>
      <c r="VCF9" s="113"/>
      <c r="VCG9" s="113"/>
      <c r="VCH9" s="113"/>
      <c r="VCI9" s="113"/>
      <c r="VCJ9" s="113"/>
      <c r="VCK9" s="113"/>
      <c r="VCL9" s="113"/>
      <c r="VCM9" s="113"/>
      <c r="VCN9" s="113"/>
      <c r="VCO9" s="113"/>
      <c r="VCP9" s="113"/>
      <c r="VCQ9" s="113"/>
      <c r="VCR9" s="113"/>
      <c r="VCS9" s="113"/>
      <c r="VCT9" s="113"/>
      <c r="VCU9" s="113"/>
      <c r="VCV9" s="113"/>
      <c r="VCW9" s="113"/>
      <c r="VCX9" s="113"/>
      <c r="VCY9" s="113"/>
      <c r="VCZ9" s="113"/>
      <c r="VDA9" s="113"/>
      <c r="VDB9" s="113"/>
      <c r="VDC9" s="113"/>
      <c r="VDD9" s="113"/>
      <c r="VDE9" s="113"/>
      <c r="VDF9" s="113"/>
      <c r="VDG9" s="113"/>
      <c r="VDH9" s="113"/>
      <c r="VDI9" s="113"/>
      <c r="VDJ9" s="113"/>
      <c r="VDK9" s="113"/>
      <c r="VDL9" s="113"/>
      <c r="VDM9" s="113"/>
      <c r="VDN9" s="113"/>
      <c r="VDO9" s="113"/>
      <c r="VDP9" s="113"/>
      <c r="VDQ9" s="113"/>
      <c r="VDR9" s="113"/>
      <c r="VDS9" s="113"/>
      <c r="VDT9" s="113"/>
      <c r="VDU9" s="113"/>
      <c r="VDV9" s="113"/>
      <c r="VDW9" s="113"/>
      <c r="VDX9" s="113"/>
      <c r="VDY9" s="113"/>
      <c r="VDZ9" s="113"/>
      <c r="VEA9" s="113"/>
      <c r="VEB9" s="113"/>
      <c r="VEC9" s="113"/>
      <c r="VED9" s="113"/>
      <c r="VEE9" s="113"/>
      <c r="VEF9" s="113"/>
      <c r="VEG9" s="113"/>
      <c r="VEH9" s="113"/>
      <c r="VEI9" s="113"/>
      <c r="VEJ9" s="113"/>
      <c r="VEK9" s="113"/>
      <c r="VEL9" s="113"/>
      <c r="VEM9" s="113"/>
      <c r="VEN9" s="113"/>
      <c r="VEO9" s="113"/>
      <c r="VEP9" s="113"/>
      <c r="VEQ9" s="113"/>
      <c r="VER9" s="113"/>
      <c r="VES9" s="113"/>
      <c r="VET9" s="113"/>
      <c r="VEU9" s="113"/>
      <c r="VEV9" s="113"/>
      <c r="VEW9" s="113"/>
      <c r="VEX9" s="113"/>
      <c r="VEY9" s="113"/>
      <c r="VEZ9" s="113"/>
      <c r="VFA9" s="113"/>
      <c r="VFB9" s="113"/>
      <c r="VFC9" s="113"/>
      <c r="VFD9" s="113"/>
      <c r="VFE9" s="113"/>
      <c r="VFF9" s="113"/>
      <c r="VFG9" s="113"/>
      <c r="VFH9" s="113"/>
      <c r="VFI9" s="113"/>
      <c r="VFJ9" s="113"/>
      <c r="VFK9" s="113"/>
      <c r="VFL9" s="113"/>
      <c r="VFM9" s="113"/>
      <c r="VFN9" s="113"/>
      <c r="VFO9" s="113"/>
      <c r="VFP9" s="113"/>
      <c r="VFQ9" s="113"/>
      <c r="VFR9" s="113"/>
      <c r="VFS9" s="113"/>
      <c r="VFT9" s="113"/>
      <c r="VFU9" s="113"/>
      <c r="VFV9" s="113"/>
      <c r="VFW9" s="113"/>
      <c r="VFX9" s="113"/>
      <c r="VFY9" s="113"/>
      <c r="VFZ9" s="113"/>
      <c r="VGA9" s="113"/>
      <c r="VGB9" s="113"/>
      <c r="VGC9" s="113"/>
      <c r="VGD9" s="113"/>
      <c r="VGE9" s="113"/>
      <c r="VGF9" s="113"/>
      <c r="VGG9" s="113"/>
      <c r="VGH9" s="113"/>
      <c r="VGI9" s="113"/>
      <c r="VGJ9" s="113"/>
      <c r="VGK9" s="113"/>
      <c r="VGL9" s="113"/>
      <c r="VGM9" s="113"/>
      <c r="VGN9" s="113"/>
      <c r="VGO9" s="113"/>
      <c r="VGP9" s="113"/>
      <c r="VGQ9" s="113"/>
      <c r="VGR9" s="113"/>
      <c r="VGS9" s="113"/>
      <c r="VGT9" s="113"/>
      <c r="VGU9" s="113"/>
      <c r="VGV9" s="113"/>
      <c r="VGW9" s="113"/>
      <c r="VGX9" s="113"/>
      <c r="VGY9" s="113"/>
      <c r="VGZ9" s="113"/>
      <c r="VHA9" s="113"/>
      <c r="VHB9" s="113"/>
      <c r="VHC9" s="113"/>
      <c r="VHD9" s="113"/>
      <c r="VHE9" s="113"/>
      <c r="VHF9" s="113"/>
      <c r="VHG9" s="113"/>
      <c r="VHH9" s="113"/>
      <c r="VHI9" s="113"/>
      <c r="VHJ9" s="113"/>
      <c r="VHK9" s="113"/>
      <c r="VHL9" s="113"/>
      <c r="VHM9" s="113"/>
      <c r="VHN9" s="113"/>
      <c r="VHO9" s="113"/>
      <c r="VHP9" s="113"/>
      <c r="VHQ9" s="113"/>
      <c r="VHR9" s="113"/>
      <c r="VHS9" s="113"/>
      <c r="VHT9" s="113"/>
      <c r="VHU9" s="113"/>
      <c r="VHV9" s="113"/>
      <c r="VHW9" s="113"/>
      <c r="VHX9" s="113"/>
      <c r="VHY9" s="113"/>
      <c r="VHZ9" s="113"/>
      <c r="VIA9" s="113"/>
      <c r="VIB9" s="113"/>
      <c r="VIC9" s="113"/>
      <c r="VID9" s="113"/>
      <c r="VIE9" s="113"/>
      <c r="VIF9" s="113"/>
      <c r="VIG9" s="113"/>
      <c r="VIH9" s="113"/>
      <c r="VII9" s="113"/>
      <c r="VIJ9" s="113"/>
      <c r="VIK9" s="113"/>
      <c r="VIL9" s="113"/>
      <c r="VIM9" s="113"/>
      <c r="VIN9" s="113"/>
      <c r="VIO9" s="113"/>
      <c r="VIP9" s="113"/>
      <c r="VIQ9" s="113"/>
      <c r="VIR9" s="113"/>
      <c r="VIS9" s="113"/>
      <c r="VIT9" s="113"/>
      <c r="VIU9" s="113"/>
      <c r="VIV9" s="113"/>
      <c r="VIW9" s="113"/>
      <c r="VIX9" s="113"/>
      <c r="VIY9" s="113"/>
      <c r="VIZ9" s="113"/>
      <c r="VJA9" s="113"/>
      <c r="VJB9" s="113"/>
      <c r="VJC9" s="113"/>
      <c r="VJD9" s="113"/>
      <c r="VJE9" s="113"/>
      <c r="VJF9" s="113"/>
      <c r="VJG9" s="113"/>
      <c r="VJH9" s="113"/>
      <c r="VJI9" s="113"/>
      <c r="VJJ9" s="113"/>
      <c r="VJK9" s="113"/>
      <c r="VJL9" s="113"/>
      <c r="VJM9" s="113"/>
      <c r="VJN9" s="113"/>
      <c r="VJO9" s="113"/>
      <c r="VJP9" s="113"/>
      <c r="VJQ9" s="113"/>
      <c r="VJR9" s="113"/>
      <c r="VJS9" s="113"/>
      <c r="VJT9" s="113"/>
      <c r="VJU9" s="113"/>
      <c r="VJV9" s="113"/>
      <c r="VJW9" s="113"/>
      <c r="VJX9" s="113"/>
      <c r="VJY9" s="113"/>
      <c r="VJZ9" s="113"/>
      <c r="VKA9" s="113"/>
      <c r="VKB9" s="113"/>
      <c r="VKC9" s="113"/>
      <c r="VKD9" s="113"/>
      <c r="VKE9" s="113"/>
      <c r="VKF9" s="113"/>
      <c r="VKG9" s="113"/>
      <c r="VKH9" s="113"/>
      <c r="VKI9" s="113"/>
      <c r="VKJ9" s="113"/>
      <c r="VKK9" s="113"/>
      <c r="VKL9" s="113"/>
      <c r="VKM9" s="113"/>
      <c r="VKN9" s="113"/>
      <c r="VKO9" s="113"/>
      <c r="VKP9" s="113"/>
      <c r="VKQ9" s="113"/>
      <c r="VKR9" s="113"/>
      <c r="VKS9" s="113"/>
      <c r="VKT9" s="113"/>
      <c r="VKU9" s="113"/>
      <c r="VKV9" s="113"/>
      <c r="VKW9" s="113"/>
      <c r="VKX9" s="113"/>
      <c r="VKY9" s="113"/>
      <c r="VKZ9" s="113"/>
      <c r="VLA9" s="113"/>
      <c r="VLB9" s="113"/>
      <c r="VLC9" s="113"/>
      <c r="VLD9" s="113"/>
      <c r="VLE9" s="113"/>
      <c r="VLF9" s="113"/>
      <c r="VLG9" s="113"/>
      <c r="VLH9" s="113"/>
      <c r="VLI9" s="113"/>
      <c r="VLJ9" s="113"/>
      <c r="VLK9" s="113"/>
      <c r="VLL9" s="113"/>
      <c r="VLM9" s="113"/>
      <c r="VLN9" s="113"/>
      <c r="VLO9" s="113"/>
      <c r="VLP9" s="113"/>
      <c r="VLQ9" s="113"/>
      <c r="VLR9" s="113"/>
      <c r="VLS9" s="113"/>
      <c r="VLT9" s="113"/>
      <c r="VLU9" s="113"/>
      <c r="VLV9" s="113"/>
      <c r="VLW9" s="113"/>
      <c r="VLX9" s="113"/>
      <c r="VLY9" s="113"/>
      <c r="VLZ9" s="113"/>
      <c r="VMA9" s="113"/>
      <c r="VMB9" s="113"/>
      <c r="VMC9" s="113"/>
      <c r="VMD9" s="113"/>
      <c r="VME9" s="113"/>
      <c r="VMF9" s="113"/>
      <c r="VMG9" s="113"/>
      <c r="VMH9" s="113"/>
      <c r="VMI9" s="113"/>
      <c r="VMJ9" s="113"/>
      <c r="VMK9" s="113"/>
      <c r="VML9" s="113"/>
      <c r="VMM9" s="113"/>
      <c r="VMN9" s="113"/>
      <c r="VMO9" s="113"/>
      <c r="VMP9" s="113"/>
      <c r="VMQ9" s="113"/>
      <c r="VMR9" s="113"/>
      <c r="VMS9" s="113"/>
      <c r="VMT9" s="113"/>
      <c r="VMU9" s="113"/>
      <c r="VMV9" s="113"/>
      <c r="VMW9" s="113"/>
      <c r="VMX9" s="113"/>
      <c r="VMY9" s="113"/>
      <c r="VMZ9" s="113"/>
      <c r="VNA9" s="113"/>
      <c r="VNB9" s="113"/>
      <c r="VNC9" s="113"/>
      <c r="VND9" s="113"/>
      <c r="VNE9" s="113"/>
      <c r="VNF9" s="113"/>
      <c r="VNG9" s="113"/>
      <c r="VNH9" s="113"/>
      <c r="VNI9" s="113"/>
      <c r="VNJ9" s="113"/>
      <c r="VNK9" s="113"/>
      <c r="VNL9" s="113"/>
      <c r="VNM9" s="113"/>
      <c r="VNN9" s="113"/>
      <c r="VNO9" s="113"/>
      <c r="VNP9" s="113"/>
      <c r="VNQ9" s="113"/>
      <c r="VNR9" s="113"/>
      <c r="VNS9" s="113"/>
      <c r="VNT9" s="113"/>
      <c r="VNU9" s="113"/>
      <c r="VNV9" s="113"/>
      <c r="VNW9" s="113"/>
      <c r="VNX9" s="113"/>
      <c r="VNY9" s="113"/>
      <c r="VNZ9" s="113"/>
      <c r="VOA9" s="113"/>
      <c r="VOB9" s="113"/>
      <c r="VOC9" s="113"/>
      <c r="VOD9" s="113"/>
      <c r="VOE9" s="113"/>
      <c r="VOF9" s="113"/>
      <c r="VOG9" s="113"/>
      <c r="VOH9" s="113"/>
      <c r="VOI9" s="113"/>
      <c r="VOJ9" s="113"/>
      <c r="VOK9" s="113"/>
      <c r="VOL9" s="113"/>
      <c r="VOM9" s="113"/>
      <c r="VON9" s="113"/>
      <c r="VOO9" s="113"/>
      <c r="VOP9" s="113"/>
      <c r="VOQ9" s="113"/>
      <c r="VOR9" s="113"/>
      <c r="VOS9" s="113"/>
      <c r="VOT9" s="113"/>
      <c r="VOU9" s="113"/>
      <c r="VOV9" s="113"/>
      <c r="VOW9" s="113"/>
      <c r="VOX9" s="113"/>
      <c r="VOY9" s="113"/>
      <c r="VOZ9" s="113"/>
      <c r="VPA9" s="113"/>
      <c r="VPB9" s="113"/>
      <c r="VPC9" s="113"/>
      <c r="VPD9" s="113"/>
      <c r="VPE9" s="113"/>
      <c r="VPF9" s="113"/>
      <c r="VPG9" s="113"/>
      <c r="VPH9" s="113"/>
      <c r="VPI9" s="113"/>
      <c r="VPJ9" s="113"/>
      <c r="VPK9" s="113"/>
      <c r="VPL9" s="113"/>
      <c r="VPM9" s="113"/>
      <c r="VPN9" s="113"/>
      <c r="VPO9" s="113"/>
      <c r="VPP9" s="113"/>
      <c r="VPQ9" s="113"/>
      <c r="VPR9" s="113"/>
      <c r="VPS9" s="113"/>
      <c r="VPT9" s="113"/>
      <c r="VPU9" s="113"/>
      <c r="VPV9" s="113"/>
      <c r="VPW9" s="113"/>
      <c r="VPX9" s="113"/>
      <c r="VPY9" s="113"/>
      <c r="VPZ9" s="113"/>
      <c r="VQA9" s="113"/>
      <c r="VQB9" s="113"/>
      <c r="VQC9" s="113"/>
      <c r="VQD9" s="113"/>
      <c r="VQE9" s="113"/>
      <c r="VQF9" s="113"/>
      <c r="VQG9" s="113"/>
      <c r="VQH9" s="113"/>
      <c r="VQI9" s="113"/>
      <c r="VQJ9" s="113"/>
      <c r="VQK9" s="113"/>
      <c r="VQL9" s="113"/>
      <c r="VQM9" s="113"/>
      <c r="VQN9" s="113"/>
      <c r="VQO9" s="113"/>
      <c r="VQP9" s="113"/>
      <c r="VQQ9" s="113"/>
      <c r="VQR9" s="113"/>
      <c r="VQS9" s="113"/>
      <c r="VQT9" s="113"/>
      <c r="VQU9" s="113"/>
      <c r="VQV9" s="113"/>
      <c r="VQW9" s="113"/>
      <c r="VQX9" s="113"/>
      <c r="VQY9" s="113"/>
      <c r="VQZ9" s="113"/>
      <c r="VRA9" s="113"/>
      <c r="VRB9" s="113"/>
      <c r="VRC9" s="113"/>
      <c r="VRD9" s="113"/>
      <c r="VRE9" s="113"/>
      <c r="VRF9" s="113"/>
      <c r="VRG9" s="113"/>
      <c r="VRH9" s="113"/>
      <c r="VRI9" s="113"/>
      <c r="VRJ9" s="113"/>
      <c r="VRK9" s="113"/>
      <c r="VRL9" s="113"/>
      <c r="VRM9" s="113"/>
      <c r="VRN9" s="113"/>
      <c r="VRO9" s="113"/>
      <c r="VRP9" s="113"/>
      <c r="VRQ9" s="113"/>
      <c r="VRR9" s="113"/>
      <c r="VRS9" s="113"/>
      <c r="VRT9" s="113"/>
      <c r="VRU9" s="113"/>
      <c r="VRV9" s="113"/>
      <c r="VRW9" s="113"/>
      <c r="VRX9" s="113"/>
      <c r="VRY9" s="113"/>
      <c r="VRZ9" s="113"/>
      <c r="VSA9" s="113"/>
      <c r="VSB9" s="113"/>
      <c r="VSC9" s="113"/>
      <c r="VSD9" s="113"/>
      <c r="VSE9" s="113"/>
      <c r="VSF9" s="113"/>
      <c r="VSG9" s="113"/>
      <c r="VSH9" s="113"/>
      <c r="VSI9" s="113"/>
      <c r="VSJ9" s="113"/>
      <c r="VSK9" s="113"/>
      <c r="VSL9" s="113"/>
      <c r="VSM9" s="113"/>
      <c r="VSN9" s="113"/>
      <c r="VSO9" s="113"/>
      <c r="VSP9" s="113"/>
      <c r="VSQ9" s="113"/>
      <c r="VSR9" s="113"/>
      <c r="VSS9" s="113"/>
      <c r="VST9" s="113"/>
      <c r="VSU9" s="113"/>
      <c r="VSV9" s="113"/>
      <c r="VSW9" s="113"/>
      <c r="VSX9" s="113"/>
      <c r="VSY9" s="113"/>
      <c r="VSZ9" s="113"/>
      <c r="VTA9" s="113"/>
      <c r="VTB9" s="113"/>
      <c r="VTC9" s="113"/>
      <c r="VTD9" s="113"/>
      <c r="VTE9" s="113"/>
      <c r="VTF9" s="113"/>
      <c r="VTG9" s="113"/>
      <c r="VTH9" s="113"/>
      <c r="VTI9" s="113"/>
      <c r="VTJ9" s="113"/>
      <c r="VTK9" s="113"/>
      <c r="VTL9" s="113"/>
      <c r="VTM9" s="113"/>
      <c r="VTN9" s="113"/>
      <c r="VTO9" s="113"/>
      <c r="VTP9" s="113"/>
      <c r="VTQ9" s="113"/>
      <c r="VTR9" s="113"/>
      <c r="VTS9" s="113"/>
      <c r="VTT9" s="113"/>
      <c r="VTU9" s="113"/>
      <c r="VTV9" s="113"/>
      <c r="VTW9" s="113"/>
      <c r="VTX9" s="113"/>
      <c r="VTY9" s="113"/>
      <c r="VTZ9" s="113"/>
      <c r="VUA9" s="113"/>
      <c r="VUB9" s="113"/>
      <c r="VUC9" s="113"/>
      <c r="VUD9" s="113"/>
      <c r="VUE9" s="113"/>
      <c r="VUF9" s="113"/>
      <c r="VUG9" s="113"/>
      <c r="VUH9" s="113"/>
      <c r="VUI9" s="113"/>
      <c r="VUJ9" s="113"/>
      <c r="VUK9" s="113"/>
      <c r="VUL9" s="113"/>
      <c r="VUM9" s="113"/>
      <c r="VUN9" s="113"/>
      <c r="VUO9" s="113"/>
      <c r="VUP9" s="113"/>
      <c r="VUQ9" s="113"/>
      <c r="VUR9" s="113"/>
      <c r="VUS9" s="113"/>
      <c r="VUT9" s="113"/>
      <c r="VUU9" s="113"/>
      <c r="VUV9" s="113"/>
      <c r="VUW9" s="113"/>
      <c r="VUX9" s="113"/>
      <c r="VUY9" s="113"/>
      <c r="VUZ9" s="113"/>
      <c r="VVA9" s="113"/>
      <c r="VVB9" s="113"/>
      <c r="VVC9" s="113"/>
      <c r="VVD9" s="113"/>
      <c r="VVE9" s="113"/>
      <c r="VVF9" s="113"/>
      <c r="VVG9" s="113"/>
      <c r="VVH9" s="113"/>
      <c r="VVI9" s="113"/>
      <c r="VVJ9" s="113"/>
      <c r="VVK9" s="113"/>
      <c r="VVL9" s="113"/>
      <c r="VVM9" s="113"/>
      <c r="VVN9" s="113"/>
      <c r="VVO9" s="113"/>
      <c r="VVP9" s="113"/>
      <c r="VVQ9" s="113"/>
      <c r="VVR9" s="113"/>
      <c r="VVS9" s="113"/>
      <c r="VVT9" s="113"/>
      <c r="VVU9" s="113"/>
      <c r="VVV9" s="113"/>
      <c r="VVW9" s="113"/>
      <c r="VVX9" s="113"/>
      <c r="VVY9" s="113"/>
      <c r="VVZ9" s="113"/>
      <c r="VWA9" s="113"/>
      <c r="VWB9" s="113"/>
      <c r="VWC9" s="113"/>
      <c r="VWD9" s="113"/>
      <c r="VWE9" s="113"/>
      <c r="VWF9" s="113"/>
      <c r="VWG9" s="113"/>
      <c r="VWH9" s="113"/>
      <c r="VWI9" s="113"/>
      <c r="VWJ9" s="113"/>
      <c r="VWK9" s="113"/>
      <c r="VWL9" s="113"/>
      <c r="VWM9" s="113"/>
      <c r="VWN9" s="113"/>
      <c r="VWO9" s="113"/>
      <c r="VWP9" s="113"/>
      <c r="VWQ9" s="113"/>
      <c r="VWR9" s="113"/>
      <c r="VWS9" s="113"/>
      <c r="VWT9" s="113"/>
      <c r="VWU9" s="113"/>
      <c r="VWV9" s="113"/>
      <c r="VWW9" s="113"/>
      <c r="VWX9" s="113"/>
      <c r="VWY9" s="113"/>
      <c r="VWZ9" s="113"/>
      <c r="VXA9" s="113"/>
      <c r="VXB9" s="113"/>
      <c r="VXC9" s="113"/>
      <c r="VXD9" s="113"/>
      <c r="VXE9" s="113"/>
      <c r="VXF9" s="113"/>
      <c r="VXG9" s="113"/>
      <c r="VXH9" s="113"/>
      <c r="VXI9" s="113"/>
      <c r="VXJ9" s="113"/>
      <c r="VXK9" s="113"/>
      <c r="VXL9" s="113"/>
      <c r="VXM9" s="113"/>
      <c r="VXN9" s="113"/>
      <c r="VXO9" s="113"/>
      <c r="VXP9" s="113"/>
      <c r="VXQ9" s="113"/>
      <c r="VXR9" s="113"/>
      <c r="VXS9" s="113"/>
      <c r="VXT9" s="113"/>
      <c r="VXU9" s="113"/>
      <c r="VXV9" s="113"/>
      <c r="VXW9" s="113"/>
      <c r="VXX9" s="113"/>
      <c r="VXY9" s="113"/>
      <c r="VXZ9" s="113"/>
      <c r="VYA9" s="113"/>
      <c r="VYB9" s="113"/>
      <c r="VYC9" s="113"/>
      <c r="VYD9" s="113"/>
      <c r="VYE9" s="113"/>
      <c r="VYF9" s="113"/>
      <c r="VYG9" s="113"/>
      <c r="VYH9" s="113"/>
      <c r="VYI9" s="113"/>
      <c r="VYJ9" s="113"/>
      <c r="VYK9" s="113"/>
      <c r="VYL9" s="113"/>
      <c r="VYM9" s="113"/>
      <c r="VYN9" s="113"/>
      <c r="VYO9" s="113"/>
      <c r="VYP9" s="113"/>
      <c r="VYQ9" s="113"/>
      <c r="VYR9" s="113"/>
      <c r="VYS9" s="113"/>
      <c r="VYT9" s="113"/>
      <c r="VYU9" s="113"/>
      <c r="VYV9" s="113"/>
      <c r="VYW9" s="113"/>
      <c r="VYX9" s="113"/>
      <c r="VYY9" s="113"/>
      <c r="VYZ9" s="113"/>
      <c r="VZA9" s="113"/>
      <c r="VZB9" s="113"/>
      <c r="VZC9" s="113"/>
      <c r="VZD9" s="113"/>
      <c r="VZE9" s="113"/>
      <c r="VZF9" s="113"/>
      <c r="VZG9" s="113"/>
      <c r="VZH9" s="113"/>
      <c r="VZI9" s="113"/>
      <c r="VZJ9" s="113"/>
      <c r="VZK9" s="113"/>
      <c r="VZL9" s="113"/>
      <c r="VZM9" s="113"/>
      <c r="VZN9" s="113"/>
      <c r="VZO9" s="113"/>
      <c r="VZP9" s="113"/>
      <c r="VZQ9" s="113"/>
      <c r="VZR9" s="113"/>
      <c r="VZS9" s="113"/>
      <c r="VZT9" s="113"/>
      <c r="VZU9" s="113"/>
      <c r="VZV9" s="113"/>
      <c r="VZW9" s="113"/>
      <c r="VZX9" s="113"/>
      <c r="VZY9" s="113"/>
      <c r="VZZ9" s="113"/>
      <c r="WAA9" s="113"/>
      <c r="WAB9" s="113"/>
      <c r="WAC9" s="113"/>
      <c r="WAD9" s="113"/>
      <c r="WAE9" s="113"/>
      <c r="WAF9" s="113"/>
      <c r="WAG9" s="113"/>
      <c r="WAH9" s="113"/>
      <c r="WAI9" s="113"/>
      <c r="WAJ9" s="113"/>
      <c r="WAK9" s="113"/>
      <c r="WAL9" s="113"/>
      <c r="WAM9" s="113"/>
      <c r="WAN9" s="113"/>
      <c r="WAO9" s="113"/>
      <c r="WAP9" s="113"/>
      <c r="WAQ9" s="113"/>
      <c r="WAR9" s="113"/>
      <c r="WAS9" s="113"/>
      <c r="WAT9" s="113"/>
      <c r="WAU9" s="113"/>
      <c r="WAV9" s="113"/>
      <c r="WAW9" s="113"/>
      <c r="WAX9" s="113"/>
      <c r="WAY9" s="113"/>
      <c r="WAZ9" s="113"/>
      <c r="WBA9" s="113"/>
      <c r="WBB9" s="113"/>
      <c r="WBC9" s="113"/>
      <c r="WBD9" s="113"/>
      <c r="WBE9" s="113"/>
      <c r="WBF9" s="113"/>
      <c r="WBG9" s="113"/>
      <c r="WBH9" s="113"/>
      <c r="WBI9" s="113"/>
      <c r="WBJ9" s="113"/>
      <c r="WBK9" s="113"/>
      <c r="WBL9" s="113"/>
      <c r="WBM9" s="113"/>
      <c r="WBN9" s="113"/>
      <c r="WBO9" s="113"/>
      <c r="WBP9" s="113"/>
      <c r="WBQ9" s="113"/>
      <c r="WBR9" s="113"/>
      <c r="WBS9" s="113"/>
      <c r="WBT9" s="113"/>
      <c r="WBU9" s="113"/>
      <c r="WBV9" s="113"/>
      <c r="WBW9" s="113"/>
      <c r="WBX9" s="113"/>
      <c r="WBY9" s="113"/>
      <c r="WBZ9" s="113"/>
      <c r="WCA9" s="113"/>
      <c r="WCB9" s="113"/>
      <c r="WCC9" s="113"/>
      <c r="WCD9" s="113"/>
      <c r="WCE9" s="113"/>
      <c r="WCF9" s="113"/>
      <c r="WCG9" s="113"/>
      <c r="WCH9" s="113"/>
      <c r="WCI9" s="113"/>
      <c r="WCJ9" s="113"/>
      <c r="WCK9" s="113"/>
      <c r="WCL9" s="113"/>
      <c r="WCM9" s="113"/>
      <c r="WCN9" s="113"/>
      <c r="WCO9" s="113"/>
      <c r="WCP9" s="113"/>
      <c r="WCQ9" s="113"/>
      <c r="WCR9" s="113"/>
      <c r="WCS9" s="113"/>
      <c r="WCT9" s="113"/>
      <c r="WCU9" s="113"/>
      <c r="WCV9" s="113"/>
      <c r="WCW9" s="113"/>
      <c r="WCX9" s="113"/>
      <c r="WCY9" s="113"/>
      <c r="WCZ9" s="113"/>
      <c r="WDA9" s="113"/>
      <c r="WDB9" s="113"/>
      <c r="WDC9" s="113"/>
      <c r="WDD9" s="113"/>
      <c r="WDE9" s="113"/>
      <c r="WDF9" s="113"/>
      <c r="WDG9" s="113"/>
      <c r="WDH9" s="113"/>
      <c r="WDI9" s="113"/>
      <c r="WDJ9" s="113"/>
      <c r="WDK9" s="113"/>
      <c r="WDL9" s="113"/>
      <c r="WDM9" s="113"/>
      <c r="WDN9" s="113"/>
      <c r="WDO9" s="113"/>
      <c r="WDP9" s="113"/>
      <c r="WDQ9" s="113"/>
      <c r="WDR9" s="113"/>
      <c r="WDS9" s="113"/>
      <c r="WDT9" s="113"/>
      <c r="WDU9" s="113"/>
      <c r="WDV9" s="113"/>
      <c r="WDW9" s="113"/>
      <c r="WDX9" s="113"/>
      <c r="WDY9" s="113"/>
      <c r="WDZ9" s="113"/>
      <c r="WEA9" s="113"/>
      <c r="WEB9" s="113"/>
      <c r="WEC9" s="113"/>
      <c r="WED9" s="113"/>
      <c r="WEE9" s="113"/>
      <c r="WEF9" s="113"/>
      <c r="WEG9" s="113"/>
      <c r="WEH9" s="113"/>
      <c r="WEI9" s="113"/>
      <c r="WEJ9" s="113"/>
      <c r="WEK9" s="113"/>
      <c r="WEL9" s="113"/>
      <c r="WEM9" s="113"/>
      <c r="WEN9" s="113"/>
      <c r="WEO9" s="113"/>
      <c r="WEP9" s="113"/>
      <c r="WEQ9" s="113"/>
      <c r="WER9" s="113"/>
      <c r="WES9" s="113"/>
      <c r="WET9" s="113"/>
      <c r="WEU9" s="113"/>
      <c r="WEV9" s="113"/>
      <c r="WEW9" s="113"/>
      <c r="WEX9" s="113"/>
      <c r="WEY9" s="113"/>
      <c r="WEZ9" s="113"/>
      <c r="WFA9" s="113"/>
      <c r="WFB9" s="113"/>
      <c r="WFC9" s="113"/>
      <c r="WFD9" s="113"/>
      <c r="WFE9" s="113"/>
      <c r="WFF9" s="113"/>
      <c r="WFG9" s="113"/>
      <c r="WFH9" s="113"/>
      <c r="WFI9" s="113"/>
      <c r="WFJ9" s="113"/>
      <c r="WFK9" s="113"/>
      <c r="WFL9" s="113"/>
      <c r="WFM9" s="113"/>
      <c r="WFN9" s="113"/>
      <c r="WFO9" s="113"/>
      <c r="WFP9" s="113"/>
      <c r="WFQ9" s="113"/>
      <c r="WFR9" s="113"/>
      <c r="WFS9" s="113"/>
      <c r="WFT9" s="113"/>
      <c r="WFU9" s="113"/>
      <c r="WFV9" s="113"/>
      <c r="WFW9" s="113"/>
      <c r="WFX9" s="113"/>
      <c r="WFY9" s="113"/>
      <c r="WFZ9" s="113"/>
      <c r="WGA9" s="113"/>
      <c r="WGB9" s="113"/>
      <c r="WGC9" s="113"/>
      <c r="WGD9" s="113"/>
      <c r="WGE9" s="113"/>
      <c r="WGF9" s="113"/>
      <c r="WGG9" s="113"/>
      <c r="WGH9" s="113"/>
      <c r="WGI9" s="113"/>
      <c r="WGJ9" s="113"/>
      <c r="WGK9" s="113"/>
      <c r="WGL9" s="113"/>
      <c r="WGM9" s="113"/>
      <c r="WGN9" s="113"/>
      <c r="WGO9" s="113"/>
      <c r="WGP9" s="113"/>
      <c r="WGQ9" s="113"/>
      <c r="WGR9" s="113"/>
      <c r="WGS9" s="113"/>
      <c r="WGT9" s="113"/>
      <c r="WGU9" s="113"/>
      <c r="WGV9" s="113"/>
      <c r="WGW9" s="113"/>
      <c r="WGX9" s="113"/>
      <c r="WGY9" s="113"/>
      <c r="WGZ9" s="113"/>
      <c r="WHA9" s="113"/>
      <c r="WHB9" s="113"/>
      <c r="WHC9" s="113"/>
      <c r="WHD9" s="113"/>
      <c r="WHE9" s="113"/>
      <c r="WHF9" s="113"/>
      <c r="WHG9" s="113"/>
      <c r="WHH9" s="113"/>
      <c r="WHI9" s="113"/>
      <c r="WHJ9" s="113"/>
      <c r="WHK9" s="113"/>
      <c r="WHL9" s="113"/>
      <c r="WHM9" s="113"/>
      <c r="WHN9" s="113"/>
      <c r="WHO9" s="113"/>
      <c r="WHP9" s="113"/>
      <c r="WHQ9" s="113"/>
      <c r="WHR9" s="113"/>
      <c r="WHS9" s="113"/>
      <c r="WHT9" s="113"/>
      <c r="WHU9" s="113"/>
      <c r="WHV9" s="113"/>
      <c r="WHW9" s="113"/>
      <c r="WHX9" s="113"/>
      <c r="WHY9" s="113"/>
      <c r="WHZ9" s="113"/>
      <c r="WIA9" s="113"/>
      <c r="WIB9" s="113"/>
      <c r="WIC9" s="113"/>
      <c r="WID9" s="113"/>
      <c r="WIE9" s="113"/>
      <c r="WIF9" s="113"/>
      <c r="WIG9" s="113"/>
      <c r="WIH9" s="113"/>
      <c r="WII9" s="113"/>
      <c r="WIJ9" s="113"/>
      <c r="WIK9" s="113"/>
      <c r="WIL9" s="113"/>
      <c r="WIM9" s="113"/>
      <c r="WIN9" s="113"/>
      <c r="WIO9" s="113"/>
      <c r="WIP9" s="113"/>
      <c r="WIQ9" s="113"/>
      <c r="WIR9" s="113"/>
      <c r="WIS9" s="113"/>
      <c r="WIT9" s="113"/>
      <c r="WIU9" s="113"/>
      <c r="WIV9" s="113"/>
      <c r="WIW9" s="113"/>
      <c r="WIX9" s="113"/>
      <c r="WIY9" s="113"/>
      <c r="WIZ9" s="113"/>
      <c r="WJA9" s="113"/>
      <c r="WJB9" s="113"/>
      <c r="WJC9" s="113"/>
      <c r="WJD9" s="113"/>
      <c r="WJE9" s="113"/>
      <c r="WJF9" s="113"/>
      <c r="WJG9" s="113"/>
      <c r="WJH9" s="113"/>
      <c r="WJI9" s="113"/>
      <c r="WJJ9" s="113"/>
      <c r="WJK9" s="113"/>
      <c r="WJL9" s="113"/>
      <c r="WJM9" s="113"/>
      <c r="WJN9" s="113"/>
      <c r="WJO9" s="113"/>
      <c r="WJP9" s="113"/>
      <c r="WJQ9" s="113"/>
      <c r="WJR9" s="113"/>
      <c r="WJS9" s="113"/>
      <c r="WJT9" s="113"/>
      <c r="WJU9" s="113"/>
      <c r="WJV9" s="113"/>
      <c r="WJW9" s="113"/>
      <c r="WJX9" s="113"/>
      <c r="WJY9" s="113"/>
      <c r="WJZ9" s="113"/>
      <c r="WKA9" s="113"/>
      <c r="WKB9" s="113"/>
      <c r="WKC9" s="113"/>
      <c r="WKD9" s="113"/>
      <c r="WKE9" s="113"/>
      <c r="WKF9" s="113"/>
      <c r="WKG9" s="113"/>
      <c r="WKH9" s="113"/>
      <c r="WKI9" s="113"/>
      <c r="WKJ9" s="113"/>
      <c r="WKK9" s="113"/>
      <c r="WKL9" s="113"/>
      <c r="WKM9" s="113"/>
      <c r="WKN9" s="113"/>
      <c r="WKO9" s="113"/>
      <c r="WKP9" s="113"/>
      <c r="WKQ9" s="113"/>
      <c r="WKR9" s="113"/>
      <c r="WKS9" s="113"/>
      <c r="WKT9" s="113"/>
      <c r="WKU9" s="113"/>
      <c r="WKV9" s="113"/>
      <c r="WKW9" s="113"/>
      <c r="WKX9" s="113"/>
      <c r="WKY9" s="113"/>
      <c r="WKZ9" s="113"/>
      <c r="WLA9" s="113"/>
      <c r="WLB9" s="113"/>
      <c r="WLC9" s="113"/>
      <c r="WLD9" s="113"/>
      <c r="WLE9" s="113"/>
      <c r="WLF9" s="113"/>
      <c r="WLG9" s="113"/>
      <c r="WLH9" s="113"/>
      <c r="WLI9" s="113"/>
      <c r="WLJ9" s="113"/>
      <c r="WLK9" s="113"/>
      <c r="WLL9" s="113"/>
      <c r="WLM9" s="113"/>
      <c r="WLN9" s="113"/>
      <c r="WLO9" s="113"/>
      <c r="WLP9" s="113"/>
      <c r="WLQ9" s="113"/>
      <c r="WLR9" s="113"/>
      <c r="WLS9" s="113"/>
      <c r="WLT9" s="113"/>
      <c r="WLU9" s="113"/>
      <c r="WLV9" s="113"/>
      <c r="WLW9" s="113"/>
      <c r="WLX9" s="113"/>
      <c r="WLY9" s="113"/>
      <c r="WLZ9" s="113"/>
      <c r="WMA9" s="113"/>
      <c r="WMB9" s="113"/>
      <c r="WMC9" s="113"/>
      <c r="WMD9" s="113"/>
      <c r="WME9" s="113"/>
      <c r="WMF9" s="113"/>
      <c r="WMG9" s="113"/>
      <c r="WMH9" s="113"/>
      <c r="WMI9" s="113"/>
      <c r="WMJ9" s="113"/>
      <c r="WMK9" s="113"/>
      <c r="WML9" s="113"/>
      <c r="WMM9" s="113"/>
      <c r="WMN9" s="113"/>
      <c r="WMO9" s="113"/>
      <c r="WMP9" s="113"/>
      <c r="WMQ9" s="113"/>
      <c r="WMR9" s="113"/>
      <c r="WMS9" s="113"/>
      <c r="WMT9" s="113"/>
      <c r="WMU9" s="113"/>
      <c r="WMV9" s="113"/>
      <c r="WMW9" s="113"/>
      <c r="WMX9" s="113"/>
      <c r="WMY9" s="113"/>
      <c r="WMZ9" s="113"/>
      <c r="WNA9" s="113"/>
      <c r="WNB9" s="113"/>
      <c r="WNC9" s="113"/>
      <c r="WND9" s="113"/>
      <c r="WNE9" s="113"/>
      <c r="WNF9" s="113"/>
      <c r="WNG9" s="113"/>
      <c r="WNH9" s="113"/>
      <c r="WNI9" s="113"/>
      <c r="WNJ9" s="113"/>
      <c r="WNK9" s="113"/>
      <c r="WNL9" s="113"/>
      <c r="WNM9" s="113"/>
      <c r="WNN9" s="113"/>
      <c r="WNO9" s="113"/>
      <c r="WNP9" s="113"/>
      <c r="WNQ9" s="113"/>
      <c r="WNR9" s="113"/>
      <c r="WNS9" s="113"/>
      <c r="WNT9" s="113"/>
      <c r="WNU9" s="113"/>
      <c r="WNV9" s="113"/>
      <c r="WNW9" s="113"/>
      <c r="WNX9" s="113"/>
      <c r="WNY9" s="113"/>
      <c r="WNZ9" s="113"/>
      <c r="WOA9" s="113"/>
      <c r="WOB9" s="113"/>
      <c r="WOC9" s="113"/>
      <c r="WOD9" s="113"/>
      <c r="WOE9" s="113"/>
      <c r="WOF9" s="113"/>
      <c r="WOG9" s="113"/>
      <c r="WOH9" s="113"/>
      <c r="WOI9" s="113"/>
      <c r="WOJ9" s="113"/>
      <c r="WOK9" s="113"/>
      <c r="WOL9" s="113"/>
      <c r="WOM9" s="113"/>
      <c r="WON9" s="113"/>
      <c r="WOO9" s="113"/>
      <c r="WOP9" s="113"/>
      <c r="WOQ9" s="113"/>
      <c r="WOR9" s="113"/>
      <c r="WOS9" s="113"/>
      <c r="WOT9" s="113"/>
      <c r="WOU9" s="113"/>
      <c r="WOV9" s="113"/>
      <c r="WOW9" s="113"/>
      <c r="WOX9" s="113"/>
      <c r="WOY9" s="113"/>
      <c r="WOZ9" s="113"/>
      <c r="WPA9" s="113"/>
      <c r="WPB9" s="113"/>
      <c r="WPC9" s="113"/>
      <c r="WPD9" s="113"/>
      <c r="WPE9" s="113"/>
      <c r="WPF9" s="113"/>
      <c r="WPG9" s="113"/>
      <c r="WPH9" s="113"/>
      <c r="WPI9" s="113"/>
      <c r="WPJ9" s="113"/>
      <c r="WPK9" s="113"/>
      <c r="WPL9" s="113"/>
      <c r="WPM9" s="113"/>
      <c r="WPN9" s="113"/>
      <c r="WPO9" s="113"/>
      <c r="WPP9" s="113"/>
      <c r="WPQ9" s="113"/>
      <c r="WPR9" s="113"/>
      <c r="WPS9" s="113"/>
      <c r="WPT9" s="113"/>
      <c r="WPU9" s="113"/>
      <c r="WPV9" s="113"/>
      <c r="WPW9" s="113"/>
      <c r="WPX9" s="113"/>
      <c r="WPY9" s="113"/>
      <c r="WPZ9" s="113"/>
      <c r="WQA9" s="113"/>
      <c r="WQB9" s="113"/>
      <c r="WQC9" s="113"/>
      <c r="WQD9" s="113"/>
      <c r="WQE9" s="113"/>
      <c r="WQF9" s="113"/>
      <c r="WQG9" s="113"/>
      <c r="WQH9" s="113"/>
      <c r="WQI9" s="113"/>
      <c r="WQJ9" s="113"/>
      <c r="WQK9" s="113"/>
      <c r="WQL9" s="113"/>
      <c r="WQM9" s="113"/>
      <c r="WQN9" s="113"/>
      <c r="WQO9" s="113"/>
      <c r="WQP9" s="113"/>
      <c r="WQQ9" s="113"/>
      <c r="WQR9" s="113"/>
      <c r="WQS9" s="113"/>
      <c r="WQT9" s="113"/>
      <c r="WQU9" s="113"/>
      <c r="WQV9" s="113"/>
      <c r="WQW9" s="113"/>
      <c r="WQX9" s="113"/>
      <c r="WQY9" s="113"/>
      <c r="WQZ9" s="113"/>
      <c r="WRA9" s="113"/>
      <c r="WRB9" s="113"/>
      <c r="WRC9" s="113"/>
      <c r="WRD9" s="113"/>
      <c r="WRE9" s="113"/>
      <c r="WRF9" s="113"/>
      <c r="WRG9" s="113"/>
      <c r="WRH9" s="113"/>
      <c r="WRI9" s="113"/>
      <c r="WRJ9" s="113"/>
      <c r="WRK9" s="113"/>
      <c r="WRL9" s="113"/>
      <c r="WRM9" s="113"/>
      <c r="WRN9" s="113"/>
      <c r="WRO9" s="113"/>
      <c r="WRP9" s="113"/>
      <c r="WRQ9" s="113"/>
      <c r="WRR9" s="113"/>
      <c r="WRS9" s="113"/>
      <c r="WRT9" s="113"/>
      <c r="WRU9" s="113"/>
      <c r="WRV9" s="113"/>
      <c r="WRW9" s="113"/>
      <c r="WRX9" s="113"/>
      <c r="WRY9" s="113"/>
      <c r="WRZ9" s="113"/>
      <c r="WSA9" s="113"/>
      <c r="WSB9" s="113"/>
      <c r="WSC9" s="113"/>
      <c r="WSD9" s="113"/>
      <c r="WSE9" s="113"/>
      <c r="WSF9" s="113"/>
      <c r="WSG9" s="113"/>
      <c r="WSH9" s="113"/>
      <c r="WSI9" s="113"/>
      <c r="WSJ9" s="113"/>
      <c r="WSK9" s="113"/>
      <c r="WSL9" s="113"/>
      <c r="WSM9" s="113"/>
      <c r="WSN9" s="113"/>
      <c r="WSO9" s="113"/>
      <c r="WSP9" s="113"/>
      <c r="WSQ9" s="113"/>
      <c r="WSR9" s="113"/>
      <c r="WSS9" s="113"/>
      <c r="WST9" s="113"/>
      <c r="WSU9" s="113"/>
      <c r="WSV9" s="113"/>
      <c r="WSW9" s="113"/>
      <c r="WSX9" s="113"/>
      <c r="WSY9" s="113"/>
      <c r="WSZ9" s="113"/>
      <c r="WTA9" s="113"/>
      <c r="WTB9" s="113"/>
      <c r="WTC9" s="113"/>
      <c r="WTD9" s="113"/>
      <c r="WTE9" s="113"/>
      <c r="WTF9" s="113"/>
      <c r="WTG9" s="113"/>
      <c r="WTH9" s="113"/>
      <c r="WTI9" s="113"/>
      <c r="WTJ9" s="113"/>
      <c r="WTK9" s="113"/>
      <c r="WTL9" s="113"/>
      <c r="WTM9" s="113"/>
      <c r="WTN9" s="113"/>
      <c r="WTO9" s="113"/>
      <c r="WTP9" s="113"/>
      <c r="WTQ9" s="113"/>
      <c r="WTR9" s="113"/>
      <c r="WTS9" s="113"/>
      <c r="WTT9" s="113"/>
      <c r="WTU9" s="113"/>
      <c r="WTV9" s="113"/>
      <c r="WTW9" s="113"/>
      <c r="WTX9" s="113"/>
      <c r="WTY9" s="113"/>
      <c r="WTZ9" s="113"/>
      <c r="WUA9" s="113"/>
      <c r="WUB9" s="113"/>
      <c r="WUC9" s="113"/>
      <c r="WUD9" s="113"/>
      <c r="WUE9" s="113"/>
      <c r="WUF9" s="113"/>
      <c r="WUG9" s="113"/>
      <c r="WUH9" s="113"/>
      <c r="WUI9" s="113"/>
      <c r="WUJ9" s="113"/>
      <c r="WUK9" s="113"/>
      <c r="WUL9" s="113"/>
      <c r="WUM9" s="113"/>
      <c r="WUN9" s="113"/>
      <c r="WUO9" s="113"/>
      <c r="WUP9" s="113"/>
      <c r="WUQ9" s="113"/>
      <c r="WUR9" s="113"/>
      <c r="WUS9" s="113"/>
      <c r="WUT9" s="113"/>
      <c r="WUU9" s="113"/>
      <c r="WUV9" s="113"/>
      <c r="WUW9" s="113"/>
      <c r="WUX9" s="113"/>
      <c r="WUY9" s="113"/>
      <c r="WUZ9" s="113"/>
      <c r="WVA9" s="113"/>
      <c r="WVB9" s="113"/>
      <c r="WVC9" s="113"/>
      <c r="WVD9" s="113"/>
      <c r="WVE9" s="113"/>
      <c r="WVF9" s="113"/>
      <c r="WVG9" s="113"/>
      <c r="WVH9" s="113"/>
      <c r="WVI9" s="113"/>
      <c r="WVJ9" s="113"/>
      <c r="WVK9" s="113"/>
      <c r="WVL9" s="113"/>
      <c r="WVM9" s="113"/>
      <c r="WVN9" s="113"/>
      <c r="WVO9" s="113"/>
      <c r="WVP9" s="113"/>
      <c r="WVQ9" s="113"/>
      <c r="WVR9" s="113"/>
      <c r="WVS9" s="113"/>
      <c r="WVT9" s="113"/>
      <c r="WVU9" s="113"/>
      <c r="WVV9" s="113"/>
      <c r="WVW9" s="113"/>
      <c r="WVX9" s="113"/>
      <c r="WVY9" s="113"/>
      <c r="WVZ9" s="113"/>
      <c r="WWA9" s="113"/>
      <c r="WWB9" s="113"/>
      <c r="WWC9" s="113"/>
      <c r="WWD9" s="113"/>
      <c r="WWE9" s="113"/>
      <c r="WWF9" s="113"/>
      <c r="WWG9" s="113"/>
      <c r="WWH9" s="113"/>
      <c r="WWI9" s="113"/>
      <c r="WWJ9" s="113"/>
      <c r="WWK9" s="113"/>
      <c r="WWL9" s="113"/>
      <c r="WWM9" s="113"/>
      <c r="WWN9" s="113"/>
      <c r="WWO9" s="113"/>
      <c r="WWP9" s="113"/>
      <c r="WWQ9" s="113"/>
      <c r="WWR9" s="113"/>
      <c r="WWS9" s="113"/>
      <c r="WWT9" s="113"/>
      <c r="WWU9" s="113"/>
      <c r="WWV9" s="113"/>
      <c r="WWW9" s="113"/>
      <c r="WWX9" s="113"/>
      <c r="WWY9" s="113"/>
      <c r="WWZ9" s="113"/>
      <c r="WXA9" s="113"/>
      <c r="WXB9" s="113"/>
      <c r="WXC9" s="113"/>
      <c r="WXD9" s="113"/>
      <c r="WXE9" s="113"/>
      <c r="WXF9" s="113"/>
      <c r="WXG9" s="113"/>
      <c r="WXH9" s="113"/>
      <c r="WXI9" s="113"/>
      <c r="WXJ9" s="113"/>
      <c r="WXK9" s="113"/>
      <c r="WXL9" s="113"/>
      <c r="WXM9" s="113"/>
      <c r="WXN9" s="113"/>
      <c r="WXO9" s="113"/>
      <c r="WXP9" s="113"/>
      <c r="WXQ9" s="113"/>
      <c r="WXR9" s="113"/>
      <c r="WXS9" s="113"/>
      <c r="WXT9" s="113"/>
      <c r="WXU9" s="113"/>
      <c r="WXV9" s="113"/>
      <c r="WXW9" s="113"/>
      <c r="WXX9" s="113"/>
      <c r="WXY9" s="113"/>
      <c r="WXZ9" s="113"/>
      <c r="WYA9" s="113"/>
      <c r="WYB9" s="113"/>
      <c r="WYC9" s="113"/>
      <c r="WYD9" s="113"/>
      <c r="WYE9" s="113"/>
      <c r="WYF9" s="113"/>
      <c r="WYG9" s="113"/>
      <c r="WYH9" s="113"/>
      <c r="WYI9" s="113"/>
      <c r="WYJ9" s="113"/>
      <c r="WYK9" s="113"/>
      <c r="WYL9" s="113"/>
      <c r="WYM9" s="113"/>
      <c r="WYN9" s="113"/>
      <c r="WYO9" s="113"/>
      <c r="WYP9" s="113"/>
      <c r="WYQ9" s="113"/>
      <c r="WYR9" s="113"/>
      <c r="WYS9" s="113"/>
      <c r="WYT9" s="113"/>
      <c r="WYU9" s="113"/>
      <c r="WYV9" s="113"/>
      <c r="WYW9" s="113"/>
      <c r="WYX9" s="113"/>
      <c r="WYY9" s="113"/>
      <c r="WYZ9" s="113"/>
      <c r="WZA9" s="113"/>
      <c r="WZB9" s="113"/>
      <c r="WZC9" s="113"/>
      <c r="WZD9" s="113"/>
      <c r="WZE9" s="113"/>
      <c r="WZF9" s="113"/>
      <c r="WZG9" s="113"/>
      <c r="WZH9" s="113"/>
      <c r="WZI9" s="113"/>
      <c r="WZJ9" s="113"/>
      <c r="WZK9" s="113"/>
      <c r="WZL9" s="113"/>
      <c r="WZM9" s="113"/>
      <c r="WZN9" s="113"/>
      <c r="WZO9" s="113"/>
      <c r="WZP9" s="113"/>
      <c r="WZQ9" s="113"/>
      <c r="WZR9" s="113"/>
      <c r="WZS9" s="113"/>
      <c r="WZT9" s="113"/>
      <c r="WZU9" s="113"/>
      <c r="WZV9" s="113"/>
      <c r="WZW9" s="113"/>
      <c r="WZX9" s="113"/>
      <c r="WZY9" s="113"/>
      <c r="WZZ9" s="113"/>
      <c r="XAA9" s="113"/>
      <c r="XAB9" s="113"/>
      <c r="XAC9" s="113"/>
      <c r="XAD9" s="113"/>
      <c r="XAE9" s="113"/>
      <c r="XAF9" s="113"/>
      <c r="XAG9" s="113"/>
      <c r="XAH9" s="113"/>
      <c r="XAI9" s="113"/>
      <c r="XAJ9" s="113"/>
      <c r="XAK9" s="113"/>
      <c r="XAL9" s="113"/>
      <c r="XAM9" s="113"/>
      <c r="XAN9" s="113"/>
      <c r="XAO9" s="113"/>
      <c r="XAP9" s="113"/>
      <c r="XAQ9" s="113"/>
      <c r="XAR9" s="113"/>
      <c r="XAS9" s="113"/>
      <c r="XAT9" s="113"/>
      <c r="XAU9" s="113"/>
      <c r="XAV9" s="113"/>
      <c r="XAW9" s="113"/>
      <c r="XAX9" s="113"/>
      <c r="XAY9" s="113"/>
      <c r="XAZ9" s="113"/>
      <c r="XBA9" s="113"/>
      <c r="XBB9" s="113"/>
      <c r="XBC9" s="113"/>
      <c r="XBD9" s="113"/>
      <c r="XBE9" s="113"/>
      <c r="XBF9" s="113"/>
      <c r="XBG9" s="113"/>
      <c r="XBH9" s="113"/>
      <c r="XBI9" s="113"/>
      <c r="XBJ9" s="113"/>
      <c r="XBK9" s="113"/>
      <c r="XBL9" s="113"/>
      <c r="XBM9" s="113"/>
      <c r="XBN9" s="113"/>
      <c r="XBO9" s="113"/>
      <c r="XBP9" s="113"/>
      <c r="XBQ9" s="113"/>
      <c r="XBR9" s="113"/>
      <c r="XBS9" s="113"/>
      <c r="XBT9" s="113"/>
      <c r="XBU9" s="113"/>
      <c r="XBV9" s="113"/>
      <c r="XBW9" s="113"/>
      <c r="XBX9" s="113"/>
      <c r="XBY9" s="113"/>
      <c r="XBZ9" s="113"/>
      <c r="XCA9" s="113"/>
      <c r="XCB9" s="113"/>
      <c r="XCC9" s="113"/>
      <c r="XCD9" s="113"/>
      <c r="XCE9" s="113"/>
      <c r="XCF9" s="113"/>
      <c r="XCG9" s="113"/>
      <c r="XCH9" s="113"/>
      <c r="XCI9" s="113"/>
      <c r="XCJ9" s="113"/>
      <c r="XCK9" s="113"/>
      <c r="XCL9" s="113"/>
      <c r="XCM9" s="113"/>
      <c r="XCN9" s="113"/>
      <c r="XCO9" s="113"/>
      <c r="XCP9" s="113"/>
      <c r="XCQ9" s="113"/>
      <c r="XCR9" s="113"/>
      <c r="XCS9" s="113"/>
      <c r="XCT9" s="113"/>
      <c r="XCU9" s="113"/>
      <c r="XCV9" s="113"/>
      <c r="XCW9" s="113"/>
      <c r="XCX9" s="113"/>
      <c r="XCY9" s="113"/>
      <c r="XCZ9" s="113"/>
      <c r="XDA9" s="113"/>
      <c r="XDB9" s="113"/>
      <c r="XDC9" s="113"/>
      <c r="XDD9" s="113"/>
      <c r="XDE9" s="113"/>
      <c r="XDF9" s="113"/>
      <c r="XDG9" s="113"/>
      <c r="XDH9" s="113"/>
      <c r="XDI9" s="113"/>
      <c r="XDJ9" s="113"/>
      <c r="XDK9" s="113"/>
      <c r="XDL9" s="113"/>
      <c r="XDM9" s="113"/>
      <c r="XDN9" s="113"/>
      <c r="XDO9" s="113"/>
      <c r="XDP9" s="113"/>
      <c r="XDQ9" s="113"/>
      <c r="XDR9" s="113"/>
      <c r="XDS9" s="113"/>
      <c r="XDT9" s="113"/>
      <c r="XDU9" s="113"/>
      <c r="XDV9" s="113"/>
      <c r="XDW9" s="113"/>
      <c r="XDX9" s="113"/>
      <c r="XDY9" s="113"/>
      <c r="XDZ9" s="113"/>
      <c r="XEA9" s="113"/>
      <c r="XEB9" s="113"/>
      <c r="XEC9" s="113"/>
      <c r="XED9" s="113"/>
      <c r="XEE9" s="113"/>
      <c r="XEF9" s="113"/>
      <c r="XEG9" s="113"/>
      <c r="XEH9" s="113"/>
      <c r="XEI9" s="113"/>
      <c r="XEJ9" s="113"/>
      <c r="XEK9" s="113"/>
      <c r="XEL9" s="113"/>
      <c r="XEM9" s="113"/>
      <c r="XEN9" s="113"/>
      <c r="XEO9" s="113"/>
      <c r="XEP9" s="113"/>
      <c r="XEQ9" s="113"/>
      <c r="XER9" s="113"/>
      <c r="XES9" s="113"/>
      <c r="XET9" s="113"/>
      <c r="XEU9" s="113"/>
      <c r="XEV9" s="113"/>
      <c r="XEW9" s="113"/>
      <c r="XEX9" s="113"/>
      <c r="XEY9" s="113"/>
      <c r="XEZ9" s="113"/>
      <c r="XFA9" s="113"/>
      <c r="XFB9" s="113"/>
      <c r="XFC9" s="113"/>
      <c r="XFD9" s="113"/>
    </row>
    <row r="10" ht="15" customHeight="1">
      <c r="A10" s="116"/>
      <c r="B10" s="116"/>
      <c r="C10" s="116"/>
      <c r="D10" s="116"/>
      <c r="E10" s="116"/>
    </row>
    <row r="11" ht="15" customHeight="1">
      <c r="A11" s="116"/>
      <c r="B11" s="116"/>
      <c r="C11" s="116"/>
      <c r="D11" s="116"/>
      <c r="E11" s="116"/>
    </row>
    <row r="12" ht="15" customHeight="1">
      <c r="A12" s="116"/>
      <c r="B12" s="116"/>
      <c r="C12" s="116"/>
      <c r="D12" s="116"/>
      <c r="E12" s="116"/>
    </row>
    <row r="13" ht="15" customHeight="1">
      <c r="A13" s="116"/>
      <c r="B13" s="116"/>
      <c r="C13" s="116"/>
      <c r="D13" s="116"/>
      <c r="E13" s="116"/>
    </row>
    <row r="14" ht="15" customHeight="1">
      <c r="A14" s="116"/>
      <c r="B14" s="116"/>
      <c r="C14" s="116"/>
      <c r="D14" s="116"/>
      <c r="E14" s="116"/>
    </row>
    <row r="15" ht="15" customHeight="1">
      <c r="A15" s="116"/>
      <c r="B15" s="116"/>
      <c r="C15" s="116"/>
      <c r="D15" s="116"/>
      <c r="E15" s="116"/>
    </row>
    <row r="16" ht="15" customHeight="1">
      <c r="A16" s="116"/>
      <c r="B16" s="116"/>
      <c r="C16" s="116"/>
      <c r="D16" s="116"/>
      <c r="E16" s="116"/>
    </row>
    <row r="17" ht="15" customHeight="1">
      <c r="A17" s="116"/>
      <c r="B17" s="116"/>
      <c r="C17" s="116"/>
      <c r="D17" s="116"/>
      <c r="E17" s="116"/>
    </row>
    <row r="18" ht="15" customHeight="1">
      <c r="A18" s="116"/>
      <c r="B18" s="116"/>
      <c r="C18" s="116"/>
      <c r="D18" s="116"/>
      <c r="E18" s="116"/>
    </row>
    <row r="19" ht="15" customHeight="1">
      <c r="A19" s="116"/>
      <c r="B19" s="116"/>
      <c r="C19" s="116"/>
      <c r="D19" s="116"/>
      <c r="E19" s="116"/>
    </row>
    <row r="20" ht="15" customHeight="1">
      <c r="A20" s="116"/>
      <c r="B20" s="116"/>
      <c r="C20" s="116"/>
      <c r="D20" s="116"/>
      <c r="E20" s="116"/>
    </row>
    <row r="21" ht="15" customHeight="1">
      <c r="A21" s="116"/>
      <c r="B21" s="116"/>
      <c r="C21" s="116"/>
      <c r="D21" s="116"/>
      <c r="E21" s="116"/>
    </row>
    <row r="22" ht="15" customHeight="1">
      <c r="A22" s="116"/>
      <c r="B22" s="116"/>
      <c r="C22" s="116"/>
      <c r="D22" s="116"/>
      <c r="E22" s="116"/>
    </row>
    <row r="23" ht="15" customHeight="1">
      <c r="A23" s="116"/>
      <c r="B23" s="117"/>
      <c r="C23" s="117"/>
      <c r="D23" s="117"/>
      <c r="E23" s="116"/>
    </row>
    <row r="24" ht="15" customHeight="1">
      <c r="A24" s="117"/>
      <c r="B24" s="117"/>
      <c r="C24" s="117"/>
      <c r="D24" s="117"/>
      <c r="E24" s="117"/>
    </row>
    <row r="25" ht="15" customHeight="1">
      <c r="A25" s="117"/>
      <c r="B25" s="117"/>
      <c r="C25" s="117"/>
      <c r="D25" s="117"/>
      <c r="E25" s="117"/>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indexed="5"/>
    <outlinePr applyStyles="0" summaryBelow="1" summaryRight="1" showOutlineSymbols="1"/>
    <pageSetUpPr autoPageBreaks="1" fitToPage="0"/>
  </sheetPr>
  <sheetViews>
    <sheetView showRuler="1" zoomScale="115" workbookViewId="0">
      <pane ySplit="2" topLeftCell="A3" activePane="bottomLeft" state="frozen"/>
      <selection activeCell="B17" activeCellId="0" sqref="B17"/>
    </sheetView>
  </sheetViews>
  <sheetFormatPr defaultColWidth="20.28515625" defaultRowHeight="15" customHeight="1" outlineLevelCol="1"/>
  <cols>
    <col customWidth="1" min="1" max="1" style="97" width="29.42578125"/>
    <col customWidth="1" min="2" max="2" style="98" width="17"/>
    <col customWidth="1" min="3" max="3" style="98" width="24"/>
    <col customWidth="1" min="4" max="4" style="98" width="9.85546875"/>
    <col customWidth="1" min="5" max="5" style="98" width="11.5703125"/>
    <col customWidth="1" min="6" max="6" style="97" width="5.28515625"/>
    <col customWidth="1" min="7" max="7" style="97" width="4.85546875"/>
    <col customWidth="1" min="8" max="8" style="97" width="5.7109375"/>
    <col customWidth="1" min="9" max="9" style="97" width="7.140625"/>
    <col customWidth="1" min="10" max="10" style="97" width="71"/>
    <col customWidth="1" min="11" max="11" outlineLevel="1" style="97" width="28.7109375"/>
    <col customWidth="1" min="12" max="12" outlineLevel="1" style="97" width="14.28515625"/>
    <col customWidth="1" min="13" max="13" style="97" width="29.42578125"/>
    <col min="14" max="16384" style="97" width="20.28515625"/>
  </cols>
  <sheetData>
    <row r="1" ht="15" customHeight="1">
      <c r="D1" s="99">
        <f>COLUMN()</f>
        <v>4</v>
      </c>
      <c r="E1" s="99">
        <f>COLUMN()</f>
        <v>5</v>
      </c>
      <c r="F1" s="99">
        <f>COLUMN()</f>
        <v>6</v>
      </c>
      <c r="G1" s="99">
        <f>COLUMN()</f>
        <v>7</v>
      </c>
      <c r="H1" s="99">
        <f>COLUMN()</f>
        <v>8</v>
      </c>
      <c r="I1" s="99">
        <f>COLUMN()</f>
        <v>9</v>
      </c>
      <c r="J1" s="99">
        <f>COLUMN()</f>
        <v>10</v>
      </c>
      <c r="K1" s="100" t="s">
        <v>54</v>
      </c>
      <c r="L1" s="101"/>
      <c r="M1" s="102"/>
    </row>
    <row r="2" s="103" customFormat="1" ht="30" customHeight="1">
      <c r="A2" s="104" t="s">
        <v>55</v>
      </c>
      <c r="B2" s="104" t="s">
        <v>84</v>
      </c>
      <c r="C2" s="104" t="s">
        <v>85</v>
      </c>
      <c r="D2" s="104" t="s">
        <v>86</v>
      </c>
      <c r="E2" s="104" t="s">
        <v>87</v>
      </c>
      <c r="F2" s="104" t="s">
        <v>88</v>
      </c>
      <c r="G2" s="104" t="s">
        <v>89</v>
      </c>
      <c r="H2" s="104" t="s">
        <v>90</v>
      </c>
      <c r="I2" s="104" t="s">
        <v>91</v>
      </c>
      <c r="J2" s="104" t="s">
        <v>92</v>
      </c>
      <c r="K2" s="104" t="s">
        <v>55</v>
      </c>
      <c r="L2" s="104" t="s">
        <v>58</v>
      </c>
      <c r="M2" s="104" t="s">
        <v>62</v>
      </c>
    </row>
    <row r="3" s="106" customFormat="1" ht="15" customHeight="1">
      <c r="A3" s="112" t="str">
        <f>target_columns[[#This Row],[Column Table Name]]&amp;target_columns[[#This Row],[ColumnName]]</f>
        <v>t_pymnt_docpymnt_doc_id</v>
      </c>
      <c r="B3" s="112" t="s">
        <v>29</v>
      </c>
      <c r="C3" s="112" t="s">
        <v>30</v>
      </c>
      <c r="D3" s="112" t="s">
        <v>93</v>
      </c>
      <c r="E3" s="112" t="s">
        <v>64</v>
      </c>
      <c r="F3" s="112" t="s">
        <v>94</v>
      </c>
      <c r="G3" s="112" t="s">
        <v>63</v>
      </c>
      <c r="H3" s="112" t="s">
        <v>67</v>
      </c>
      <c r="I3" s="112"/>
      <c r="J3" s="112" t="s">
        <v>95</v>
      </c>
      <c r="K3" s="107"/>
      <c r="L3" s="107"/>
      <c r="M3" s="107" t="str">
        <f t="shared" ref="M3:M8" si="0">IF(K3 = "", "",
IF(ISNA(VLOOKUP(K3,$A$3:$D$55,4,FALSE)),
"Данное поле не внесено в S2T",
 IF(VLOOKUP(K3,$A$3:$D$55,4,FALSE) = L3, "ОК", "Ошибка. Тип данных в S2T: " &amp; VLOOKUP(K3,$A$3:$D$55,4,FALSE))
)
)</f>
        <v/>
      </c>
    </row>
    <row r="4" ht="15" customHeight="1">
      <c r="A4" s="112" t="str">
        <f>target_columns[[#This Row],[Column Table Name]]&amp;target_columns[[#This Row],[ColumnName]]</f>
        <v>t_pymnt_dochost_pymnt_doc_id</v>
      </c>
      <c r="B4" s="112" t="s">
        <v>29</v>
      </c>
      <c r="C4" s="112" t="s">
        <v>37</v>
      </c>
      <c r="D4" s="112" t="s">
        <v>96</v>
      </c>
      <c r="E4" s="112" t="s">
        <v>68</v>
      </c>
      <c r="F4" s="112" t="s">
        <v>94</v>
      </c>
      <c r="G4" s="112" t="s">
        <v>67</v>
      </c>
      <c r="H4" s="112" t="s">
        <v>67</v>
      </c>
      <c r="I4" s="112"/>
      <c r="J4" s="112" t="s">
        <v>97</v>
      </c>
      <c r="K4" s="107"/>
      <c r="L4" s="107"/>
      <c r="M4" s="107" t="str">
        <f t="shared" si="0"/>
        <v/>
      </c>
      <c r="O4" s="106"/>
    </row>
    <row r="5" ht="15" customHeight="1">
      <c r="A5" s="112" t="str">
        <f>target_columns[[#This Row],[Column Table Name]]&amp;target_columns[[#This Row],[ColumnName]]</f>
        <v>t_pymnt_docpymnt_doc_dt</v>
      </c>
      <c r="B5" s="112" t="s">
        <v>29</v>
      </c>
      <c r="C5" s="112" t="s">
        <v>40</v>
      </c>
      <c r="D5" s="112" t="s">
        <v>98</v>
      </c>
      <c r="E5" s="112" t="s">
        <v>64</v>
      </c>
      <c r="F5" s="112" t="s">
        <v>94</v>
      </c>
      <c r="G5" s="112" t="s">
        <v>67</v>
      </c>
      <c r="H5" s="112" t="s">
        <v>67</v>
      </c>
      <c r="I5" s="112"/>
      <c r="J5" s="112" t="s">
        <v>99</v>
      </c>
      <c r="K5" s="107"/>
      <c r="L5" s="107"/>
      <c r="M5" s="107" t="str">
        <f t="shared" si="0"/>
        <v/>
      </c>
      <c r="O5" s="106"/>
    </row>
    <row r="6" ht="15" customHeight="1">
      <c r="A6" s="112" t="str">
        <f>target_columns[[#This Row],[Column Table Name]]&amp;target_columns[[#This Row],[ColumnName]]</f>
        <v>t_pymnt_dochost_external_doc_id</v>
      </c>
      <c r="B6" s="112" t="s">
        <v>29</v>
      </c>
      <c r="C6" s="112" t="s">
        <v>42</v>
      </c>
      <c r="D6" s="112" t="s">
        <v>43</v>
      </c>
      <c r="E6" s="112" t="s">
        <v>68</v>
      </c>
      <c r="F6" s="112" t="s">
        <v>94</v>
      </c>
      <c r="G6" s="112" t="s">
        <v>67</v>
      </c>
      <c r="H6" s="112" t="s">
        <v>67</v>
      </c>
      <c r="I6" s="112"/>
      <c r="J6" s="112" t="s">
        <v>100</v>
      </c>
      <c r="K6" s="107"/>
      <c r="L6" s="107"/>
      <c r="M6" s="107" t="str">
        <f t="shared" si="0"/>
        <v/>
      </c>
      <c r="O6" s="106"/>
    </row>
    <row r="7" ht="15" customHeight="1">
      <c r="A7" s="112" t="str">
        <f>B7&amp;C7</f>
        <v>t_pymnt_docbus_srv_id</v>
      </c>
      <c r="B7" s="112" t="s">
        <v>29</v>
      </c>
      <c r="C7" s="112" t="s">
        <v>45</v>
      </c>
      <c r="D7" s="112" t="s">
        <v>93</v>
      </c>
      <c r="E7" s="112" t="s">
        <v>68</v>
      </c>
      <c r="F7" s="112"/>
      <c r="G7" s="112" t="s">
        <v>67</v>
      </c>
      <c r="H7" s="112" t="s">
        <v>63</v>
      </c>
      <c r="I7" s="112"/>
      <c r="J7" s="112" t="s">
        <v>101</v>
      </c>
      <c r="K7" s="107"/>
      <c r="L7" s="107"/>
      <c r="M7" s="107"/>
      <c r="O7" s="106"/>
    </row>
    <row r="8" s="97" customFormat="1" ht="13.5">
      <c r="A8" s="112" t="str">
        <f>target_columns[[#This Row],[Column Table Name]]&amp;target_columns[[#This Row],[ColumnName]]</f>
        <v>t_pymnt_docsrc_system_type_id</v>
      </c>
      <c r="B8" s="112" t="s">
        <v>29</v>
      </c>
      <c r="C8" s="112" t="s">
        <v>48</v>
      </c>
      <c r="D8" s="112" t="s">
        <v>46</v>
      </c>
      <c r="E8" s="112" t="s">
        <v>68</v>
      </c>
      <c r="F8" s="112" t="s">
        <v>94</v>
      </c>
      <c r="G8" s="112" t="s">
        <v>67</v>
      </c>
      <c r="H8" s="112" t="s">
        <v>63</v>
      </c>
      <c r="I8" s="112"/>
      <c r="J8" s="112" t="s">
        <v>102</v>
      </c>
      <c r="K8" s="107"/>
      <c r="L8" s="107"/>
      <c r="M8" s="107" t="str">
        <f t="shared" si="0"/>
        <v/>
      </c>
      <c r="O8" s="106"/>
    </row>
    <row r="9" s="97" customFormat="1" ht="15" customHeight="1">
      <c r="A9" s="119" t="str">
        <f>target_columns[[#This Row],[Column Table Name]]&amp;target_columns[[#This Row],[ColumnName]]</f>
        <v>t_src_system_typesrc_system_type_id</v>
      </c>
      <c r="B9" s="119" t="s">
        <v>50</v>
      </c>
      <c r="C9" s="119" t="s">
        <v>48</v>
      </c>
      <c r="D9" s="119" t="s">
        <v>46</v>
      </c>
      <c r="E9" s="119" t="s">
        <v>64</v>
      </c>
      <c r="F9" s="120"/>
      <c r="G9" s="120" t="s">
        <v>63</v>
      </c>
      <c r="H9" s="119" t="s">
        <v>67</v>
      </c>
      <c r="I9" s="119"/>
      <c r="J9" s="119" t="s">
        <v>103</v>
      </c>
      <c r="K9" s="107"/>
      <c r="L9" s="107"/>
      <c r="M9" s="107"/>
      <c r="O9" s="106"/>
    </row>
    <row r="10" s="97" customFormat="1" ht="15" customHeight="1">
      <c r="A10" s="112" t="str">
        <f>target_columns[[#This Row],[Column Table Name]]&amp;target_columns[[#This Row],[ColumnName]]</f>
        <v>t_src_system_typesrc_system_type_cd</v>
      </c>
      <c r="B10" s="112" t="s">
        <v>50</v>
      </c>
      <c r="C10" s="112" t="s">
        <v>52</v>
      </c>
      <c r="D10" s="112" t="s">
        <v>43</v>
      </c>
      <c r="E10" s="112" t="s">
        <v>68</v>
      </c>
      <c r="F10" s="121"/>
      <c r="G10" s="121" t="s">
        <v>67</v>
      </c>
      <c r="H10" s="112" t="s">
        <v>67</v>
      </c>
      <c r="I10" s="112"/>
      <c r="J10" s="112" t="s">
        <v>104</v>
      </c>
      <c r="K10" s="107"/>
      <c r="L10" s="107"/>
      <c r="M10" s="107"/>
      <c r="O10" s="106"/>
    </row>
    <row r="11" ht="15" customHeight="1">
      <c r="A11" s="112" t="str">
        <f>target_columns[[#This Row],[Column Table Name]]&amp;target_columns[[#This Row],[ColumnName]]</f>
        <v/>
      </c>
      <c r="B11" s="112"/>
      <c r="C11" s="112"/>
      <c r="D11" s="112"/>
      <c r="E11" s="112"/>
      <c r="F11" s="112"/>
      <c r="G11" s="112"/>
      <c r="H11" s="112"/>
      <c r="I11" s="112"/>
      <c r="J11" s="112"/>
      <c r="K11" s="107"/>
      <c r="L11" s="107"/>
      <c r="M11" s="107"/>
      <c r="O11" s="106"/>
    </row>
    <row r="12" ht="15" customHeight="1">
      <c r="A12" s="112" t="str">
        <f>target_columns[[#This Row],[Column Table Name]]&amp;target_columns[[#This Row],[ColumnName]]</f>
        <v/>
      </c>
      <c r="B12" s="112"/>
      <c r="C12" s="112"/>
      <c r="D12" s="112"/>
      <c r="E12" s="112"/>
      <c r="F12" s="112"/>
      <c r="G12" s="112"/>
      <c r="H12" s="112"/>
      <c r="I12" s="112"/>
      <c r="J12" s="112"/>
      <c r="K12" s="107"/>
      <c r="L12" s="107"/>
      <c r="M12" s="107"/>
      <c r="O12" s="106"/>
    </row>
    <row r="13" s="122" customFormat="1" ht="15" customHeight="1">
      <c r="A13" s="112" t="str">
        <f>target_columns[[#This Row],[Column Table Name]]&amp;target_columns[[#This Row],[ColumnName]]</f>
        <v/>
      </c>
      <c r="B13" s="123"/>
      <c r="C13" s="123"/>
      <c r="D13" s="123"/>
      <c r="E13" s="123"/>
      <c r="F13" s="123"/>
      <c r="G13" s="123"/>
      <c r="H13" s="123"/>
      <c r="I13" s="123"/>
      <c r="J13" s="112"/>
      <c r="K13" s="124"/>
      <c r="L13" s="124"/>
      <c r="M13" s="124"/>
      <c r="O13" s="125"/>
    </row>
    <row r="14" ht="15" customHeight="1">
      <c r="A14" s="112" t="str">
        <f>target_columns[[#This Row],[Column Table Name]]&amp;target_columns[[#This Row],[ColumnName]]</f>
        <v/>
      </c>
      <c r="B14" s="112"/>
      <c r="C14" s="112"/>
      <c r="D14" s="112"/>
      <c r="E14" s="112"/>
      <c r="F14" s="112"/>
      <c r="G14" s="112"/>
      <c r="H14" s="112"/>
      <c r="I14" s="112"/>
      <c r="J14" s="112"/>
      <c r="K14" s="107"/>
      <c r="L14" s="107"/>
      <c r="M14" s="107"/>
      <c r="O14" s="106"/>
    </row>
    <row r="15" ht="15" customHeight="1">
      <c r="A15" s="112" t="str">
        <f>target_columns[[#This Row],[Column Table Name]]&amp;target_columns[[#This Row],[ColumnName]]</f>
        <v/>
      </c>
      <c r="B15" s="112"/>
      <c r="C15" s="112"/>
      <c r="D15" s="112"/>
      <c r="E15" s="112"/>
      <c r="F15" s="112"/>
      <c r="G15" s="112"/>
      <c r="H15" s="112"/>
      <c r="I15" s="112"/>
      <c r="J15" s="112"/>
      <c r="K15" s="107"/>
      <c r="L15" s="107"/>
      <c r="M15" s="107"/>
      <c r="O15" s="106"/>
    </row>
    <row r="16" ht="15" customHeight="1">
      <c r="A16" s="112" t="str">
        <f>target_columns[[#This Row],[Column Table Name]]&amp;target_columns[[#This Row],[ColumnName]]</f>
        <v/>
      </c>
      <c r="B16" s="112"/>
      <c r="C16" s="112"/>
      <c r="D16" s="112"/>
      <c r="E16" s="112"/>
      <c r="F16" s="112"/>
      <c r="G16" s="112"/>
      <c r="H16" s="112"/>
      <c r="I16" s="112"/>
      <c r="J16" s="112"/>
      <c r="K16" s="107"/>
      <c r="L16" s="107"/>
      <c r="M16" s="107"/>
      <c r="O16" s="106"/>
    </row>
    <row r="17" s="122" customFormat="1" ht="15" customHeight="1">
      <c r="A17" s="112" t="str">
        <f>target_columns[[#This Row],[Column Table Name]]&amp;target_columns[[#This Row],[ColumnName]]</f>
        <v/>
      </c>
      <c r="B17" s="123"/>
      <c r="C17" s="123"/>
      <c r="D17" s="123"/>
      <c r="E17" s="123"/>
      <c r="F17" s="123"/>
      <c r="G17" s="123"/>
      <c r="H17" s="123"/>
      <c r="I17" s="123"/>
      <c r="J17" s="123"/>
      <c r="K17" s="124"/>
      <c r="L17" s="124"/>
      <c r="M17" s="124"/>
      <c r="O17" s="125"/>
    </row>
    <row r="18" ht="15" customHeight="1">
      <c r="A18" s="112" t="str">
        <f>target_columns[[#This Row],[Column Table Name]]&amp;target_columns[[#This Row],[ColumnName]]</f>
        <v/>
      </c>
    </row>
    <row r="19" s="97" customFormat="1" ht="15" customHeight="1">
      <c r="A19" s="112" t="str">
        <f>target_columns[[#This Row],[Column Table Name]]&amp;target_columns[[#This Row],[ColumnName]]</f>
        <v/>
      </c>
      <c r="B19" s="112"/>
      <c r="C19" s="112"/>
      <c r="D19" s="112"/>
      <c r="E19" s="112"/>
      <c r="F19" s="112"/>
      <c r="G19" s="112"/>
      <c r="H19" s="112"/>
      <c r="I19" s="112"/>
      <c r="J19" s="112"/>
      <c r="K19" s="107"/>
      <c r="L19" s="107"/>
      <c r="M19" s="107"/>
      <c r="O19" s="106"/>
    </row>
    <row r="20" s="97" customFormat="1" ht="15" customHeight="1">
      <c r="A20" s="112" t="str">
        <f>target_columns[[#This Row],[Column Table Name]]&amp;target_columns[[#This Row],[ColumnName]]</f>
        <v/>
      </c>
      <c r="B20" s="112"/>
      <c r="C20" s="112"/>
      <c r="D20" s="112"/>
      <c r="E20" s="112"/>
      <c r="F20" s="112"/>
      <c r="G20" s="112"/>
      <c r="H20" s="112"/>
      <c r="I20" s="112"/>
      <c r="J20" s="112"/>
      <c r="K20" s="107"/>
      <c r="L20" s="107"/>
      <c r="M20" s="107"/>
      <c r="O20" s="106"/>
    </row>
    <row r="21" s="122" customFormat="1" ht="15" customHeight="1">
      <c r="A21" s="112" t="str">
        <f>target_columns[[#This Row],[Column Table Name]]&amp;target_columns[[#This Row],[ColumnName]]</f>
        <v/>
      </c>
      <c r="B21" s="123"/>
      <c r="C21" s="123"/>
      <c r="D21" s="123"/>
      <c r="E21" s="123"/>
      <c r="F21" s="123"/>
      <c r="G21" s="123"/>
      <c r="H21" s="123"/>
      <c r="I21" s="123"/>
      <c r="J21" s="123"/>
      <c r="K21" s="124"/>
      <c r="L21" s="124"/>
      <c r="M21" s="124"/>
      <c r="O21" s="125"/>
    </row>
    <row r="22" s="97" customFormat="1" ht="15" customHeight="1">
      <c r="A22" s="112" t="str">
        <f>target_columns[[#This Row],[Column Table Name]]&amp;target_columns[[#This Row],[ColumnName]]</f>
        <v/>
      </c>
      <c r="B22" s="112"/>
      <c r="C22" s="112"/>
      <c r="D22" s="112"/>
      <c r="E22" s="112"/>
      <c r="F22" s="112"/>
      <c r="G22" s="112"/>
      <c r="H22" s="112"/>
      <c r="I22" s="112"/>
      <c r="J22" s="112"/>
      <c r="K22" s="107"/>
      <c r="L22" s="107"/>
      <c r="M22" s="107"/>
      <c r="O22" s="106"/>
    </row>
    <row r="23" s="97" customFormat="1" ht="15" customHeight="1">
      <c r="A23" s="112" t="str">
        <f>target_columns[[#This Row],[Column Table Name]]&amp;target_columns[[#This Row],[ColumnName]]</f>
        <v/>
      </c>
      <c r="B23" s="112"/>
      <c r="C23" s="112"/>
      <c r="D23" s="112"/>
      <c r="E23" s="112"/>
      <c r="F23" s="112"/>
      <c r="G23" s="112"/>
      <c r="H23" s="112"/>
      <c r="I23" s="112"/>
      <c r="J23" s="112"/>
      <c r="K23" s="107"/>
      <c r="L23" s="107"/>
      <c r="M23" s="107"/>
      <c r="O23" s="106"/>
    </row>
    <row r="24" s="97" customFormat="1" ht="15" customHeight="1">
      <c r="A24" s="112" t="str">
        <f>target_columns[[#This Row],[Column Table Name]]&amp;target_columns[[#This Row],[ColumnName]]</f>
        <v/>
      </c>
      <c r="B24" s="112"/>
      <c r="C24" s="112"/>
      <c r="D24" s="126"/>
      <c r="E24" s="112"/>
      <c r="F24" s="112"/>
      <c r="G24" s="112"/>
      <c r="H24" s="112"/>
      <c r="I24" s="112"/>
      <c r="J24" s="112"/>
      <c r="K24" s="107"/>
      <c r="L24" s="107"/>
      <c r="M24" s="107"/>
      <c r="O24" s="106"/>
    </row>
    <row r="25" s="97" customFormat="1" ht="15" customHeight="1">
      <c r="A25" s="112" t="str">
        <f>target_columns[[#This Row],[Column Table Name]]&amp;target_columns[[#This Row],[ColumnName]]</f>
        <v/>
      </c>
      <c r="B25" s="112"/>
      <c r="C25" s="112"/>
      <c r="D25" s="112"/>
      <c r="E25" s="112"/>
      <c r="F25" s="112"/>
      <c r="G25" s="112"/>
      <c r="H25" s="112"/>
      <c r="I25" s="112"/>
      <c r="J25" s="112"/>
      <c r="K25" s="107"/>
      <c r="L25" s="107"/>
      <c r="M25" s="107"/>
      <c r="O25" s="106"/>
    </row>
    <row r="26" s="97" customFormat="1" ht="15" customHeight="1">
      <c r="A26" s="112" t="str">
        <f>target_columns[[#This Row],[Column Table Name]]&amp;target_columns[[#This Row],[ColumnName]]</f>
        <v/>
      </c>
      <c r="B26" s="112"/>
      <c r="C26" s="112"/>
      <c r="D26" s="112"/>
      <c r="E26" s="112"/>
      <c r="F26" s="112"/>
      <c r="G26" s="112"/>
      <c r="H26" s="112"/>
      <c r="I26" s="112"/>
      <c r="J26" s="112"/>
      <c r="K26" s="107"/>
      <c r="L26" s="107"/>
      <c r="M26" s="107"/>
      <c r="O26" s="106"/>
    </row>
    <row r="27" s="97" customFormat="1" ht="15" customHeight="1">
      <c r="A27" s="112" t="str">
        <f>target_columns[[#This Row],[Column Table Name]]&amp;target_columns[[#This Row],[ColumnName]]</f>
        <v/>
      </c>
      <c r="B27" s="112"/>
      <c r="C27" s="112"/>
      <c r="D27" s="112"/>
      <c r="E27" s="112"/>
      <c r="F27" s="112"/>
      <c r="G27" s="112"/>
      <c r="H27" s="112"/>
      <c r="I27" s="112"/>
      <c r="J27" s="112"/>
      <c r="K27" s="107"/>
      <c r="L27" s="107"/>
      <c r="M27" s="107"/>
      <c r="O27" s="106"/>
    </row>
    <row r="28" s="97" customFormat="1" ht="15" customHeight="1">
      <c r="A28" s="112" t="str">
        <f>target_columns[[#This Row],[Column Table Name]]&amp;target_columns[[#This Row],[ColumnName]]</f>
        <v/>
      </c>
      <c r="B28" s="112"/>
      <c r="C28" s="112"/>
      <c r="D28" s="112"/>
      <c r="E28" s="112"/>
      <c r="F28" s="112"/>
      <c r="G28" s="112"/>
      <c r="H28" s="112"/>
      <c r="I28" s="112"/>
      <c r="J28" s="112"/>
      <c r="K28" s="107"/>
      <c r="L28" s="107"/>
      <c r="M28" s="107"/>
      <c r="O28" s="106"/>
    </row>
    <row r="29" s="97" customFormat="1" ht="15" customHeight="1">
      <c r="A29" s="112" t="str">
        <f>target_columns[[#This Row],[Column Table Name]]&amp;target_columns[[#This Row],[ColumnName]]</f>
        <v/>
      </c>
      <c r="B29" s="112"/>
      <c r="C29" s="112"/>
      <c r="D29" s="112"/>
      <c r="E29" s="112"/>
      <c r="F29" s="112"/>
      <c r="G29" s="112"/>
      <c r="H29" s="112"/>
      <c r="I29" s="112"/>
      <c r="J29" s="112"/>
      <c r="K29" s="107"/>
      <c r="L29" s="107"/>
      <c r="M29" s="107"/>
      <c r="O29" s="106"/>
    </row>
    <row r="30" ht="15" customHeight="1">
      <c r="A30" s="112" t="str">
        <f>target_columns[[#This Row],[Column Table Name]]&amp;target_columns[[#This Row],[ColumnName]]</f>
        <v/>
      </c>
      <c r="B30" s="112"/>
      <c r="C30" s="112"/>
      <c r="D30" s="112"/>
      <c r="E30" s="112"/>
      <c r="F30" s="112"/>
      <c r="G30" s="112"/>
      <c r="H30" s="112"/>
      <c r="I30" s="112"/>
      <c r="J30" s="112"/>
      <c r="K30" s="107"/>
      <c r="L30" s="107"/>
      <c r="M30" s="107"/>
      <c r="O30" s="106"/>
    </row>
    <row r="31" ht="15" customHeight="1">
      <c r="A31" s="112" t="str">
        <f>target_columns[[#This Row],[Column Table Name]]&amp;target_columns[[#This Row],[ColumnName]]</f>
        <v/>
      </c>
      <c r="B31" s="112"/>
      <c r="C31" s="112"/>
      <c r="D31" s="112"/>
      <c r="E31" s="112"/>
      <c r="F31" s="112"/>
      <c r="G31" s="112"/>
      <c r="H31" s="112"/>
      <c r="I31" s="112"/>
      <c r="J31" s="112"/>
      <c r="K31" s="107"/>
      <c r="L31" s="107"/>
      <c r="M31" s="107"/>
      <c r="O31" s="106"/>
    </row>
    <row r="32" s="97" customFormat="1" ht="15" customHeight="1">
      <c r="A32" s="112" t="str">
        <f>target_columns[[#This Row],[Column Table Name]]&amp;target_columns[[#This Row],[ColumnName]]</f>
        <v/>
      </c>
      <c r="B32" s="112"/>
      <c r="C32" s="112"/>
      <c r="D32" s="112"/>
      <c r="E32" s="112"/>
      <c r="F32" s="112"/>
      <c r="G32" s="112"/>
      <c r="H32" s="112"/>
      <c r="I32" s="112"/>
      <c r="J32" s="112"/>
      <c r="K32" s="107"/>
      <c r="L32" s="107"/>
      <c r="M32" s="107"/>
      <c r="O32" s="106"/>
    </row>
    <row r="33" s="97" customFormat="1" ht="15" customHeight="1">
      <c r="A33" s="112"/>
      <c r="B33" s="112"/>
      <c r="C33" s="112"/>
      <c r="D33" s="112"/>
      <c r="E33" s="112"/>
      <c r="F33" s="112"/>
      <c r="G33" s="112"/>
      <c r="H33" s="112"/>
      <c r="I33" s="112"/>
      <c r="J33" s="112"/>
      <c r="K33" s="107"/>
      <c r="L33" s="107"/>
      <c r="M33" s="107"/>
      <c r="O33" s="106"/>
    </row>
    <row r="34" ht="15" customHeight="1">
      <c r="A34" s="112"/>
      <c r="B34" s="112"/>
      <c r="C34" s="112"/>
      <c r="D34" s="112"/>
      <c r="E34" s="112"/>
      <c r="F34" s="112"/>
      <c r="G34" s="112"/>
      <c r="H34" s="112"/>
      <c r="I34" s="112"/>
      <c r="J34" s="112"/>
      <c r="K34" s="107"/>
      <c r="L34" s="107"/>
      <c r="M34" s="107"/>
      <c r="O34" s="106"/>
    </row>
    <row r="35" ht="15" customHeight="1">
      <c r="A35" s="112"/>
      <c r="B35" s="112"/>
      <c r="C35" s="112"/>
      <c r="D35" s="112"/>
      <c r="E35" s="112"/>
      <c r="F35" s="112"/>
      <c r="G35" s="112"/>
      <c r="H35" s="112"/>
      <c r="I35" s="112"/>
      <c r="J35" s="112"/>
      <c r="K35" s="107"/>
      <c r="L35" s="107"/>
      <c r="M35" s="107"/>
      <c r="O35" s="106"/>
    </row>
    <row r="36" ht="15" customHeight="1">
      <c r="A36" s="112"/>
      <c r="B36" s="112"/>
      <c r="C36" s="112"/>
      <c r="D36" s="112"/>
      <c r="E36" s="112"/>
      <c r="F36" s="112"/>
      <c r="G36" s="112"/>
      <c r="H36" s="112"/>
      <c r="I36" s="112"/>
      <c r="J36" s="112"/>
      <c r="K36" s="107"/>
      <c r="L36" s="107"/>
      <c r="M36" s="107"/>
      <c r="O36" s="106"/>
    </row>
    <row r="37" ht="15" customHeight="1">
      <c r="A37" s="112"/>
      <c r="B37" s="112"/>
      <c r="C37" s="112"/>
      <c r="D37" s="112"/>
      <c r="E37" s="112"/>
      <c r="F37" s="112"/>
      <c r="G37" s="112"/>
      <c r="H37" s="112"/>
      <c r="I37" s="112"/>
      <c r="J37" s="112"/>
      <c r="K37" s="107"/>
      <c r="L37" s="107"/>
      <c r="M37" s="107"/>
      <c r="O37" s="106"/>
    </row>
    <row r="38" ht="15" customHeight="1">
      <c r="A38" s="112"/>
      <c r="B38" s="112"/>
      <c r="C38" s="112"/>
      <c r="D38" s="112"/>
      <c r="E38" s="112"/>
      <c r="F38" s="112"/>
      <c r="G38" s="112"/>
      <c r="H38" s="112"/>
      <c r="I38" s="112"/>
      <c r="J38" s="112"/>
      <c r="K38" s="107"/>
      <c r="L38" s="107"/>
      <c r="M38" s="107"/>
      <c r="O38" s="106"/>
    </row>
    <row r="39" ht="15" customHeight="1">
      <c r="A39" s="112"/>
      <c r="B39" s="112"/>
      <c r="C39" s="112"/>
      <c r="D39" s="112"/>
      <c r="E39" s="112"/>
      <c r="F39" s="112"/>
      <c r="G39" s="112"/>
      <c r="H39" s="112"/>
      <c r="I39" s="112"/>
      <c r="J39" s="112"/>
    </row>
    <row r="40" ht="15" customHeight="1">
      <c r="A40" s="112"/>
      <c r="B40" s="112"/>
      <c r="C40" s="112"/>
      <c r="D40" s="112"/>
      <c r="E40" s="112"/>
      <c r="F40" s="112"/>
      <c r="G40" s="112"/>
      <c r="H40" s="112"/>
      <c r="I40" s="112"/>
      <c r="J40" s="112"/>
    </row>
    <row r="41" ht="15" customHeight="1">
      <c r="A41" s="112"/>
      <c r="B41" s="112"/>
      <c r="C41" s="112"/>
      <c r="D41" s="112"/>
      <c r="E41" s="112"/>
      <c r="F41" s="112"/>
      <c r="G41" s="112"/>
      <c r="H41" s="112"/>
      <c r="I41" s="112"/>
      <c r="J41" s="112"/>
    </row>
    <row r="42" ht="15" customHeight="1">
      <c r="A42" s="112"/>
      <c r="B42" s="112"/>
      <c r="C42" s="112"/>
      <c r="D42" s="112"/>
      <c r="E42" s="123"/>
      <c r="F42" s="123"/>
      <c r="G42" s="123"/>
      <c r="H42" s="123"/>
      <c r="I42" s="112"/>
      <c r="J42" s="112"/>
    </row>
    <row r="43" ht="15" customHeight="1">
      <c r="A43" s="112"/>
      <c r="B43" s="112"/>
      <c r="C43" s="112"/>
      <c r="D43" s="112"/>
      <c r="E43" s="112"/>
      <c r="F43" s="112"/>
      <c r="G43" s="112"/>
      <c r="H43" s="112"/>
      <c r="I43" s="112"/>
      <c r="J43" s="112"/>
    </row>
    <row r="44" ht="15" customHeight="1">
      <c r="A44" s="112"/>
      <c r="B44" s="112"/>
      <c r="C44" s="112"/>
      <c r="D44" s="112"/>
      <c r="E44" s="112"/>
      <c r="F44" s="112"/>
      <c r="G44" s="112"/>
      <c r="H44" s="112"/>
      <c r="I44" s="112"/>
      <c r="J44" s="112"/>
    </row>
    <row r="45" ht="15" customHeight="1">
      <c r="A45" s="112"/>
      <c r="B45" s="112"/>
      <c r="C45" s="112"/>
      <c r="D45" s="112"/>
      <c r="E45" s="112"/>
      <c r="F45" s="112"/>
      <c r="G45" s="112"/>
      <c r="H45" s="112"/>
      <c r="I45" s="112"/>
      <c r="J45" s="112"/>
    </row>
    <row r="46" ht="15" customHeight="1">
      <c r="A46" s="112"/>
      <c r="B46" s="112"/>
      <c r="C46" s="112"/>
      <c r="D46" s="112"/>
      <c r="E46" s="112"/>
      <c r="F46" s="112"/>
      <c r="G46" s="112"/>
      <c r="H46" s="112"/>
      <c r="I46" s="112"/>
      <c r="J46" s="112"/>
    </row>
    <row r="47" ht="15" customHeight="1">
      <c r="A47" s="112"/>
      <c r="B47" s="112"/>
      <c r="C47" s="112"/>
      <c r="D47" s="112"/>
      <c r="E47" s="112"/>
      <c r="F47" s="112"/>
      <c r="G47" s="112"/>
      <c r="H47" s="112"/>
      <c r="I47" s="112"/>
      <c r="J47" s="112"/>
    </row>
    <row r="48" ht="15" customHeight="1">
      <c r="A48" s="112"/>
      <c r="B48" s="112"/>
      <c r="C48" s="112"/>
      <c r="D48" s="112"/>
      <c r="E48" s="112"/>
      <c r="F48" s="112"/>
      <c r="G48" s="112"/>
      <c r="H48" s="112"/>
      <c r="I48" s="112"/>
      <c r="J48" s="112"/>
    </row>
    <row r="49" ht="15" customHeight="1">
      <c r="A49" s="112"/>
      <c r="B49" s="112"/>
      <c r="C49" s="112"/>
      <c r="D49" s="112"/>
      <c r="E49" s="112"/>
      <c r="F49" s="112"/>
      <c r="G49" s="112"/>
      <c r="H49" s="112"/>
      <c r="I49" s="112"/>
      <c r="J49" s="112"/>
    </row>
    <row r="50" ht="15" customHeight="1">
      <c r="A50" s="112"/>
      <c r="B50" s="112"/>
      <c r="C50" s="112"/>
      <c r="D50" s="112"/>
      <c r="E50" s="112"/>
      <c r="F50" s="112"/>
      <c r="G50" s="112"/>
      <c r="H50" s="112"/>
      <c r="I50" s="112"/>
      <c r="J50" s="112"/>
    </row>
    <row r="51" ht="15" customHeight="1">
      <c r="A51" s="112"/>
      <c r="B51" s="112"/>
      <c r="C51" s="112"/>
      <c r="D51" s="112"/>
      <c r="E51" s="112"/>
      <c r="F51" s="112"/>
      <c r="G51" s="112"/>
      <c r="H51" s="112"/>
      <c r="I51" s="112"/>
      <c r="J51" s="112"/>
    </row>
    <row r="52" ht="15" customHeight="1">
      <c r="A52" s="112"/>
      <c r="B52" s="112"/>
      <c r="C52" s="112"/>
      <c r="D52" s="112"/>
      <c r="E52" s="112"/>
      <c r="F52" s="112"/>
      <c r="G52" s="112"/>
      <c r="H52" s="112"/>
      <c r="I52" s="112"/>
      <c r="J52" s="112"/>
    </row>
    <row r="53" ht="15" customHeight="1">
      <c r="A53" s="112"/>
      <c r="B53" s="112"/>
      <c r="C53" s="112"/>
      <c r="D53" s="112"/>
      <c r="E53" s="112"/>
      <c r="F53" s="112"/>
      <c r="G53" s="112"/>
      <c r="H53" s="112"/>
      <c r="I53" s="112"/>
      <c r="J53" s="112"/>
    </row>
    <row r="54" ht="15" customHeight="1">
      <c r="A54" s="112"/>
      <c r="B54" s="112"/>
      <c r="C54" s="112"/>
      <c r="D54" s="112"/>
      <c r="E54" s="112"/>
      <c r="F54" s="112"/>
      <c r="G54" s="112"/>
      <c r="H54" s="112"/>
      <c r="I54" s="112"/>
      <c r="J54" s="112"/>
    </row>
    <row r="55" ht="15" customHeight="1">
      <c r="A55" s="112"/>
      <c r="B55" s="112"/>
      <c r="C55" s="112"/>
      <c r="D55" s="112"/>
      <c r="E55" s="112"/>
      <c r="F55" s="112"/>
      <c r="G55" s="112"/>
      <c r="H55" s="112"/>
      <c r="I55" s="112"/>
      <c r="J55" s="112"/>
    </row>
    <row r="56" ht="15" customHeight="1">
      <c r="A56" s="112"/>
      <c r="B56" s="112"/>
      <c r="C56" s="112"/>
      <c r="D56" s="112"/>
      <c r="E56" s="112"/>
      <c r="F56" s="112"/>
      <c r="G56" s="112"/>
      <c r="H56" s="112"/>
      <c r="I56" s="112"/>
      <c r="J56" s="112"/>
    </row>
    <row r="57" ht="15" customHeight="1">
      <c r="A57" s="112"/>
      <c r="B57" s="112"/>
      <c r="C57" s="112"/>
      <c r="D57" s="112"/>
      <c r="E57" s="112"/>
      <c r="F57" s="112"/>
      <c r="G57" s="112"/>
      <c r="H57" s="112"/>
      <c r="I57" s="112"/>
      <c r="J57" s="112"/>
    </row>
    <row r="58" ht="15" customHeight="1">
      <c r="A58" s="112"/>
      <c r="B58" s="112"/>
      <c r="C58" s="112"/>
      <c r="D58" s="112"/>
      <c r="E58" s="112"/>
      <c r="F58" s="112"/>
      <c r="G58" s="112"/>
      <c r="H58" s="112"/>
      <c r="I58" s="112"/>
      <c r="J58" s="112"/>
    </row>
    <row r="59" ht="15" customHeight="1">
      <c r="A59" s="112"/>
      <c r="B59" s="112"/>
      <c r="C59" s="112"/>
      <c r="D59" s="112"/>
      <c r="E59" s="112"/>
      <c r="F59" s="112"/>
      <c r="G59" s="112"/>
      <c r="H59" s="112"/>
      <c r="I59" s="112"/>
      <c r="J59" s="112"/>
    </row>
    <row r="60" ht="15" customHeight="1">
      <c r="A60" s="112"/>
      <c r="B60" s="112"/>
      <c r="C60" s="112"/>
      <c r="D60" s="112"/>
      <c r="E60" s="112"/>
      <c r="F60" s="112"/>
      <c r="G60" s="112"/>
      <c r="H60" s="112"/>
      <c r="I60" s="112"/>
      <c r="J60" s="112"/>
    </row>
    <row r="61" ht="15" customHeight="1">
      <c r="A61" s="112"/>
      <c r="B61" s="112"/>
      <c r="C61" s="112"/>
      <c r="D61" s="112"/>
      <c r="E61" s="112"/>
      <c r="F61" s="112"/>
      <c r="G61" s="112"/>
      <c r="H61" s="112"/>
      <c r="I61" s="112"/>
      <c r="J61" s="112"/>
    </row>
    <row r="62" ht="15" customHeight="1">
      <c r="A62" s="112"/>
      <c r="B62" s="112"/>
      <c r="C62" s="112"/>
      <c r="D62" s="112"/>
      <c r="E62" s="112"/>
      <c r="F62" s="112"/>
      <c r="G62" s="112"/>
      <c r="H62" s="112"/>
      <c r="I62" s="112"/>
      <c r="J62" s="112"/>
    </row>
    <row r="63" ht="15" customHeight="1">
      <c r="A63" s="112"/>
      <c r="B63" s="112"/>
      <c r="C63" s="112"/>
      <c r="D63" s="112"/>
      <c r="E63" s="112"/>
      <c r="F63" s="112"/>
      <c r="G63" s="112"/>
      <c r="H63" s="112"/>
      <c r="I63" s="112"/>
      <c r="J63" s="112"/>
    </row>
    <row r="64" ht="15" customHeight="1">
      <c r="A64" s="112"/>
      <c r="B64" s="112"/>
      <c r="C64" s="112"/>
      <c r="D64" s="112"/>
      <c r="E64" s="112"/>
      <c r="F64" s="112"/>
      <c r="G64" s="112"/>
      <c r="H64" s="112"/>
      <c r="I64" s="112"/>
      <c r="J64" s="112"/>
    </row>
    <row r="65" ht="15" customHeight="1">
      <c r="A65" s="112"/>
      <c r="B65" s="112"/>
      <c r="C65" s="112"/>
      <c r="D65" s="112"/>
      <c r="E65" s="112"/>
      <c r="F65" s="112"/>
      <c r="G65" s="112"/>
      <c r="H65" s="112"/>
      <c r="I65" s="112"/>
      <c r="J65" s="112"/>
    </row>
    <row r="66" ht="15" customHeight="1">
      <c r="A66" s="112"/>
      <c r="B66" s="112"/>
      <c r="C66" s="112"/>
      <c r="D66" s="112"/>
      <c r="E66" s="112"/>
      <c r="F66" s="112"/>
      <c r="G66" s="112"/>
      <c r="H66" s="112"/>
      <c r="I66" s="112"/>
      <c r="J66" s="112"/>
    </row>
    <row r="67" ht="15" customHeight="1">
      <c r="A67" s="112"/>
      <c r="B67" s="112"/>
      <c r="C67" s="112"/>
      <c r="D67" s="112"/>
      <c r="E67" s="112"/>
      <c r="F67" s="112"/>
      <c r="G67" s="112"/>
      <c r="H67" s="112"/>
      <c r="I67" s="112"/>
      <c r="J67" s="112"/>
    </row>
    <row r="68" ht="15" customHeight="1">
      <c r="A68" s="112"/>
      <c r="B68" s="112"/>
      <c r="C68" s="112"/>
      <c r="D68" s="112"/>
      <c r="E68" s="112"/>
      <c r="F68" s="112"/>
      <c r="G68" s="112"/>
      <c r="H68" s="112"/>
      <c r="I68" s="112"/>
      <c r="J68" s="112"/>
    </row>
    <row r="69" ht="15" customHeight="1">
      <c r="A69" s="112"/>
      <c r="B69" s="112"/>
      <c r="C69" s="112"/>
      <c r="D69" s="112"/>
      <c r="E69" s="112"/>
      <c r="F69" s="112"/>
      <c r="G69" s="112"/>
      <c r="H69" s="112"/>
      <c r="I69" s="112"/>
      <c r="J69" s="112"/>
    </row>
    <row r="70" ht="15" customHeight="1">
      <c r="A70" s="112"/>
      <c r="B70" s="112"/>
      <c r="C70" s="112"/>
      <c r="D70" s="112"/>
      <c r="E70" s="112"/>
      <c r="F70" s="112"/>
      <c r="G70" s="112"/>
      <c r="H70" s="112"/>
      <c r="I70" s="112"/>
      <c r="J70" s="112"/>
    </row>
    <row r="71" ht="15" customHeight="1">
      <c r="A71" s="112"/>
      <c r="B71" s="112"/>
      <c r="C71" s="112"/>
      <c r="D71" s="112"/>
      <c r="E71" s="112"/>
      <c r="F71" s="112"/>
      <c r="G71" s="112"/>
      <c r="H71" s="112"/>
      <c r="I71" s="112"/>
      <c r="J71" s="112"/>
    </row>
    <row r="72" ht="15" customHeight="1">
      <c r="A72" s="112"/>
      <c r="B72" s="112"/>
      <c r="C72" s="112"/>
      <c r="D72" s="112"/>
      <c r="E72" s="112"/>
      <c r="F72" s="112"/>
      <c r="G72" s="112"/>
      <c r="H72" s="112"/>
      <c r="I72" s="112"/>
      <c r="J72" s="112"/>
    </row>
    <row r="73" ht="15" customHeight="1">
      <c r="A73" s="112"/>
      <c r="B73" s="112"/>
      <c r="C73" s="112"/>
      <c r="D73" s="112"/>
      <c r="E73" s="112"/>
      <c r="F73" s="112"/>
      <c r="G73" s="112"/>
      <c r="H73" s="112"/>
      <c r="I73" s="112"/>
      <c r="J73" s="112"/>
    </row>
    <row r="74" ht="15" customHeight="1">
      <c r="A74" s="112"/>
      <c r="B74" s="112"/>
      <c r="C74" s="112"/>
      <c r="D74" s="112"/>
      <c r="E74" s="112"/>
      <c r="F74" s="112"/>
      <c r="G74" s="112"/>
      <c r="H74" s="112"/>
      <c r="I74" s="112"/>
      <c r="J74" s="112"/>
    </row>
    <row r="75" ht="15" customHeight="1">
      <c r="A75" s="112"/>
      <c r="B75" s="112"/>
      <c r="C75" s="112"/>
      <c r="D75" s="112"/>
      <c r="E75" s="112"/>
      <c r="F75" s="112"/>
      <c r="G75" s="112"/>
      <c r="H75" s="112"/>
      <c r="I75" s="112"/>
      <c r="J75" s="112"/>
    </row>
    <row r="76" ht="15" customHeight="1">
      <c r="A76" s="112"/>
      <c r="B76" s="112"/>
      <c r="C76" s="112"/>
      <c r="D76" s="112"/>
      <c r="E76" s="112"/>
      <c r="F76" s="112"/>
      <c r="G76" s="112"/>
      <c r="H76" s="112"/>
      <c r="I76" s="112"/>
      <c r="J76" s="112"/>
    </row>
    <row r="77" ht="15" customHeight="1">
      <c r="A77" s="112"/>
      <c r="B77" s="112"/>
      <c r="C77" s="112"/>
      <c r="D77" s="112"/>
      <c r="E77" s="112"/>
      <c r="F77" s="112"/>
      <c r="G77" s="112"/>
      <c r="H77" s="112"/>
      <c r="I77" s="112"/>
      <c r="J77" s="112"/>
    </row>
    <row r="78" ht="15" customHeight="1">
      <c r="A78" s="112"/>
      <c r="B78" s="112"/>
      <c r="C78" s="112"/>
      <c r="D78" s="112"/>
      <c r="E78" s="112"/>
      <c r="F78" s="112"/>
      <c r="G78" s="112"/>
      <c r="H78" s="112"/>
      <c r="I78" s="112"/>
      <c r="J78" s="112"/>
    </row>
    <row r="79" ht="15" customHeight="1">
      <c r="A79" s="112"/>
      <c r="B79" s="112"/>
      <c r="C79" s="112"/>
      <c r="D79" s="112"/>
      <c r="E79" s="112"/>
      <c r="F79" s="112"/>
      <c r="G79" s="112"/>
      <c r="H79" s="112"/>
      <c r="I79" s="112"/>
      <c r="J79" s="112"/>
    </row>
    <row r="80" ht="15" customHeight="1">
      <c r="A80" s="112"/>
      <c r="B80" s="112"/>
      <c r="C80" s="112"/>
      <c r="D80" s="112"/>
      <c r="E80" s="112"/>
      <c r="F80" s="112"/>
      <c r="G80" s="112"/>
      <c r="H80" s="112"/>
      <c r="I80" s="112"/>
      <c r="J80" s="112"/>
    </row>
    <row r="81" ht="15" customHeight="1">
      <c r="A81" s="112"/>
      <c r="B81" s="112"/>
      <c r="C81" s="112"/>
      <c r="D81" s="112"/>
      <c r="E81" s="112"/>
      <c r="F81" s="112"/>
      <c r="G81" s="112"/>
      <c r="H81" s="112"/>
      <c r="I81" s="112"/>
      <c r="J81" s="112"/>
    </row>
    <row r="82" ht="15" customHeight="1">
      <c r="A82" s="112"/>
      <c r="B82" s="112"/>
      <c r="C82" s="112"/>
      <c r="D82" s="112"/>
      <c r="E82" s="112"/>
      <c r="F82" s="112"/>
      <c r="G82" s="112"/>
      <c r="H82" s="112"/>
      <c r="I82" s="112"/>
      <c r="J82" s="112"/>
    </row>
    <row r="83" ht="15" customHeight="1">
      <c r="A83" s="112"/>
      <c r="B83" s="112"/>
      <c r="C83" s="112"/>
      <c r="D83" s="112"/>
      <c r="E83" s="112"/>
      <c r="F83" s="112"/>
      <c r="G83" s="112"/>
      <c r="H83" s="112"/>
      <c r="I83" s="112"/>
      <c r="J83" s="112"/>
    </row>
    <row r="84" ht="15" customHeight="1">
      <c r="A84" s="112"/>
      <c r="B84" s="112"/>
      <c r="C84" s="112"/>
      <c r="D84" s="112"/>
      <c r="E84" s="112"/>
      <c r="F84" s="112"/>
      <c r="G84" s="112"/>
      <c r="H84" s="112"/>
      <c r="I84" s="112"/>
      <c r="J84" s="112"/>
    </row>
    <row r="85" ht="15" customHeight="1">
      <c r="A85" s="112"/>
      <c r="B85" s="112"/>
      <c r="C85" s="112"/>
      <c r="D85" s="112"/>
      <c r="E85" s="112"/>
      <c r="F85" s="112"/>
      <c r="G85" s="112"/>
      <c r="H85" s="112"/>
      <c r="I85" s="112"/>
      <c r="J85" s="112"/>
    </row>
    <row r="86" ht="15" customHeight="1">
      <c r="A86" s="112"/>
      <c r="B86" s="112"/>
      <c r="C86" s="112"/>
      <c r="D86" s="112"/>
      <c r="E86" s="112"/>
      <c r="F86" s="112"/>
      <c r="G86" s="112"/>
      <c r="H86" s="112"/>
      <c r="I86" s="112"/>
      <c r="J86" s="112"/>
    </row>
    <row r="87" ht="15" customHeight="1">
      <c r="A87" s="112"/>
      <c r="B87" s="112"/>
      <c r="C87" s="112"/>
      <c r="D87" s="112"/>
      <c r="E87" s="112"/>
      <c r="F87" s="112"/>
      <c r="G87" s="112"/>
      <c r="H87" s="112"/>
      <c r="I87" s="112"/>
      <c r="J87" s="112"/>
    </row>
    <row r="88" ht="15" customHeight="1">
      <c r="A88" s="112"/>
      <c r="B88" s="112"/>
      <c r="C88" s="112"/>
      <c r="D88" s="112"/>
      <c r="E88" s="112"/>
      <c r="F88" s="112"/>
      <c r="G88" s="112"/>
      <c r="H88" s="112"/>
      <c r="I88" s="112"/>
      <c r="J88" s="112"/>
    </row>
    <row r="89" ht="15" customHeight="1">
      <c r="A89" s="112"/>
      <c r="B89" s="112"/>
      <c r="C89" s="112"/>
      <c r="D89" s="112"/>
      <c r="E89" s="112"/>
      <c r="F89" s="112"/>
      <c r="G89" s="112"/>
      <c r="H89" s="112"/>
      <c r="I89" s="112"/>
      <c r="J89" s="112"/>
    </row>
    <row r="90" ht="15" customHeight="1">
      <c r="A90" s="112"/>
      <c r="B90" s="112"/>
      <c r="C90" s="112"/>
      <c r="D90" s="112"/>
      <c r="E90" s="112"/>
      <c r="F90" s="112"/>
      <c r="G90" s="112"/>
      <c r="H90" s="112"/>
      <c r="I90" s="112"/>
      <c r="J90" s="112"/>
    </row>
    <row r="91" ht="15" customHeight="1">
      <c r="A91" s="112"/>
      <c r="B91" s="112"/>
      <c r="C91" s="112"/>
      <c r="D91" s="112"/>
      <c r="E91" s="112"/>
      <c r="F91" s="112"/>
      <c r="G91" s="112"/>
      <c r="H91" s="112"/>
      <c r="I91" s="112"/>
      <c r="J91" s="112"/>
    </row>
    <row r="92" ht="15" customHeight="1">
      <c r="A92" s="112"/>
      <c r="B92" s="112"/>
      <c r="C92" s="112"/>
      <c r="D92" s="112"/>
      <c r="E92" s="112"/>
      <c r="F92" s="112"/>
      <c r="G92" s="112"/>
      <c r="H92" s="112"/>
      <c r="I92" s="112"/>
      <c r="J92" s="112"/>
    </row>
    <row r="93" ht="15" customHeight="1">
      <c r="A93" s="112"/>
      <c r="B93" s="112"/>
      <c r="C93" s="112"/>
      <c r="D93" s="112"/>
      <c r="E93" s="112"/>
      <c r="F93" s="112"/>
      <c r="G93" s="112"/>
      <c r="H93" s="112"/>
      <c r="I93" s="112"/>
      <c r="J93" s="112"/>
    </row>
    <row r="94" ht="15" customHeight="1">
      <c r="A94" s="112"/>
      <c r="B94" s="112"/>
      <c r="C94" s="112"/>
      <c r="D94" s="112"/>
      <c r="E94" s="112"/>
      <c r="F94" s="112"/>
      <c r="G94" s="112"/>
      <c r="H94" s="112"/>
      <c r="I94" s="112"/>
      <c r="J94" s="112"/>
    </row>
    <row r="95" ht="15" customHeight="1">
      <c r="A95" s="112"/>
      <c r="B95" s="112"/>
      <c r="C95" s="112"/>
      <c r="D95" s="112"/>
      <c r="E95" s="112"/>
      <c r="F95" s="112"/>
      <c r="G95" s="112"/>
      <c r="H95" s="112"/>
      <c r="I95" s="112"/>
      <c r="J95" s="112"/>
    </row>
    <row r="96" ht="15" customHeight="1">
      <c r="A96" s="112"/>
      <c r="B96" s="112"/>
      <c r="C96" s="112"/>
      <c r="D96" s="112"/>
      <c r="E96" s="112"/>
      <c r="F96" s="112"/>
      <c r="G96" s="112"/>
      <c r="H96" s="112"/>
      <c r="I96" s="112"/>
      <c r="J96" s="112"/>
    </row>
    <row r="97" ht="15" customHeight="1">
      <c r="A97" s="112"/>
      <c r="B97" s="112"/>
      <c r="C97" s="112"/>
      <c r="D97" s="112"/>
      <c r="E97" s="112"/>
      <c r="F97" s="112"/>
      <c r="G97" s="112"/>
      <c r="H97" s="112"/>
      <c r="I97" s="112"/>
      <c r="J97" s="112"/>
    </row>
    <row r="98" ht="15" customHeight="1">
      <c r="A98" s="112"/>
      <c r="B98" s="112"/>
      <c r="C98" s="112"/>
      <c r="D98" s="112"/>
      <c r="E98" s="112"/>
      <c r="F98" s="112"/>
      <c r="G98" s="112"/>
      <c r="H98" s="112"/>
      <c r="I98" s="112"/>
      <c r="J98" s="112"/>
    </row>
    <row r="99" ht="15" customHeight="1">
      <c r="A99" s="112"/>
      <c r="B99" s="112"/>
      <c r="C99" s="112"/>
      <c r="D99" s="112"/>
      <c r="E99" s="112"/>
      <c r="F99" s="112"/>
      <c r="G99" s="112"/>
      <c r="H99" s="112"/>
      <c r="I99" s="112"/>
      <c r="J99" s="112"/>
    </row>
    <row r="100" ht="15" customHeight="1">
      <c r="A100" s="112"/>
      <c r="B100" s="112"/>
      <c r="C100" s="112"/>
      <c r="D100" s="112"/>
      <c r="E100" s="112"/>
      <c r="F100" s="112"/>
      <c r="G100" s="112"/>
      <c r="H100" s="112"/>
      <c r="I100" s="112"/>
      <c r="J100" s="112"/>
    </row>
    <row r="101" ht="15" customHeight="1">
      <c r="A101" s="112"/>
      <c r="B101" s="112"/>
      <c r="C101" s="112"/>
      <c r="D101" s="112"/>
      <c r="E101" s="112"/>
      <c r="F101" s="112"/>
      <c r="G101" s="112"/>
      <c r="H101" s="112"/>
      <c r="I101" s="112"/>
      <c r="J101" s="112"/>
    </row>
    <row r="102" ht="15" customHeight="1">
      <c r="A102" s="112"/>
      <c r="B102" s="112"/>
      <c r="C102" s="112"/>
      <c r="D102" s="112"/>
      <c r="E102" s="112"/>
      <c r="F102" s="112"/>
      <c r="G102" s="112"/>
      <c r="H102" s="112"/>
      <c r="I102" s="112"/>
      <c r="J102" s="112"/>
    </row>
    <row r="103" ht="15" customHeight="1">
      <c r="A103" s="112"/>
      <c r="B103" s="112"/>
      <c r="C103" s="112"/>
      <c r="D103" s="112"/>
      <c r="E103" s="112"/>
      <c r="F103" s="112"/>
      <c r="G103" s="112"/>
      <c r="H103" s="112"/>
      <c r="I103" s="112"/>
      <c r="J103" s="112"/>
    </row>
    <row r="104" ht="15" customHeight="1">
      <c r="A104" s="112"/>
      <c r="B104" s="112"/>
      <c r="C104" s="112"/>
      <c r="D104" s="112"/>
      <c r="E104" s="112"/>
      <c r="F104" s="112"/>
      <c r="G104" s="112"/>
      <c r="H104" s="112"/>
      <c r="I104" s="112"/>
      <c r="J104" s="112"/>
    </row>
    <row r="105" ht="15" customHeight="1">
      <c r="A105" s="112"/>
      <c r="B105" s="112"/>
      <c r="C105" s="112"/>
      <c r="D105" s="112"/>
      <c r="E105" s="112"/>
      <c r="F105" s="112"/>
      <c r="G105" s="112"/>
      <c r="H105" s="112"/>
      <c r="I105" s="112"/>
      <c r="J105" s="112"/>
    </row>
    <row r="106" ht="15" customHeight="1">
      <c r="A106" s="112"/>
      <c r="B106" s="112"/>
      <c r="C106" s="112"/>
      <c r="D106" s="112"/>
      <c r="E106" s="112"/>
      <c r="F106" s="112"/>
      <c r="G106" s="112"/>
      <c r="H106" s="112"/>
      <c r="I106" s="112"/>
      <c r="J106" s="112"/>
    </row>
    <row r="107" ht="15" customHeight="1">
      <c r="A107" s="112"/>
      <c r="B107" s="112"/>
      <c r="C107" s="112"/>
      <c r="D107" s="112"/>
      <c r="E107" s="112"/>
      <c r="F107" s="112"/>
      <c r="G107" s="112"/>
      <c r="H107" s="112"/>
      <c r="I107" s="112"/>
      <c r="J107" s="112"/>
    </row>
    <row r="108" ht="15" customHeight="1">
      <c r="A108" s="112"/>
      <c r="B108" s="112"/>
      <c r="C108" s="112"/>
      <c r="D108" s="112"/>
      <c r="E108" s="112"/>
      <c r="F108" s="112"/>
      <c r="G108" s="112"/>
      <c r="H108" s="112"/>
      <c r="I108" s="112"/>
      <c r="J108" s="112"/>
    </row>
    <row r="109" ht="15" customHeight="1">
      <c r="A109" s="112"/>
      <c r="B109" s="112"/>
      <c r="C109" s="112"/>
      <c r="D109" s="112"/>
      <c r="E109" s="112"/>
      <c r="F109" s="112"/>
      <c r="G109" s="112"/>
      <c r="H109" s="112"/>
      <c r="I109" s="112"/>
      <c r="J109" s="112"/>
    </row>
    <row r="110" ht="15" customHeight="1">
      <c r="A110" s="112"/>
      <c r="B110" s="112"/>
      <c r="C110" s="112"/>
      <c r="D110" s="112"/>
      <c r="E110" s="112"/>
      <c r="F110" s="112"/>
      <c r="G110" s="112"/>
      <c r="H110" s="112"/>
      <c r="I110" s="112"/>
      <c r="J110" s="112"/>
    </row>
    <row r="111" ht="15" customHeight="1">
      <c r="A111" s="112"/>
      <c r="B111" s="112"/>
      <c r="C111" s="112"/>
      <c r="D111" s="112"/>
      <c r="E111" s="112"/>
      <c r="F111" s="112"/>
      <c r="G111" s="112"/>
      <c r="H111" s="112"/>
      <c r="I111" s="112"/>
      <c r="J111" s="112"/>
    </row>
    <row r="112" ht="15" customHeight="1">
      <c r="A112" s="112"/>
      <c r="B112" s="112"/>
      <c r="C112" s="112"/>
      <c r="D112" s="112"/>
      <c r="E112" s="112"/>
      <c r="F112" s="112"/>
      <c r="G112" s="112"/>
      <c r="H112" s="112"/>
      <c r="I112" s="112"/>
      <c r="J112" s="112"/>
    </row>
    <row r="113" ht="15" customHeight="1">
      <c r="A113" s="112"/>
      <c r="B113" s="112"/>
      <c r="C113" s="112"/>
      <c r="D113" s="112"/>
      <c r="E113" s="112"/>
      <c r="F113" s="112"/>
      <c r="G113" s="112"/>
      <c r="H113" s="112"/>
      <c r="I113" s="112"/>
      <c r="J113" s="112"/>
    </row>
    <row r="114" ht="15" customHeight="1">
      <c r="A114" s="112"/>
      <c r="B114" s="112"/>
      <c r="C114" s="112"/>
      <c r="D114" s="112"/>
      <c r="E114" s="112"/>
      <c r="F114" s="112"/>
      <c r="G114" s="112"/>
      <c r="H114" s="112"/>
      <c r="I114" s="112"/>
      <c r="J114" s="112"/>
    </row>
    <row r="115" ht="15" customHeight="1">
      <c r="A115" s="112"/>
      <c r="B115" s="112"/>
      <c r="C115" s="112"/>
      <c r="D115" s="112"/>
      <c r="E115" s="112"/>
      <c r="F115" s="112"/>
      <c r="G115" s="112"/>
      <c r="H115" s="112"/>
      <c r="I115" s="112"/>
      <c r="J115" s="112"/>
    </row>
    <row r="116" ht="15" customHeight="1">
      <c r="A116" s="112"/>
      <c r="B116" s="112"/>
      <c r="C116" s="112"/>
      <c r="D116" s="112"/>
      <c r="E116" s="112"/>
      <c r="F116" s="112"/>
      <c r="G116" s="112"/>
      <c r="H116" s="112"/>
      <c r="I116" s="112"/>
      <c r="J116" s="112"/>
    </row>
    <row r="117" ht="15" customHeight="1">
      <c r="A117" s="112"/>
      <c r="B117" s="112"/>
      <c r="C117" s="112"/>
      <c r="D117" s="112"/>
      <c r="E117" s="112"/>
      <c r="F117" s="112"/>
      <c r="G117" s="112"/>
      <c r="H117" s="112"/>
      <c r="I117" s="112"/>
      <c r="J117" s="112"/>
    </row>
    <row r="118" ht="15" customHeight="1">
      <c r="A118" s="112"/>
      <c r="B118" s="112"/>
      <c r="C118" s="112"/>
      <c r="D118" s="112"/>
      <c r="E118" s="112"/>
      <c r="F118" s="112"/>
      <c r="G118" s="112"/>
      <c r="H118" s="112"/>
      <c r="I118" s="112"/>
      <c r="J118" s="112"/>
    </row>
    <row r="119" ht="15" customHeight="1">
      <c r="A119" s="112"/>
      <c r="B119" s="112"/>
      <c r="C119" s="112"/>
      <c r="D119" s="112"/>
      <c r="E119" s="112"/>
      <c r="F119" s="112"/>
      <c r="G119" s="112"/>
      <c r="H119" s="112"/>
      <c r="I119" s="112"/>
      <c r="J119" s="112"/>
    </row>
    <row r="120" ht="15" customHeight="1">
      <c r="A120" s="112"/>
      <c r="B120" s="112"/>
      <c r="C120" s="112"/>
      <c r="D120" s="112"/>
      <c r="E120" s="112"/>
      <c r="F120" s="112"/>
      <c r="G120" s="112"/>
      <c r="H120" s="112"/>
      <c r="I120" s="112"/>
      <c r="J120" s="112"/>
    </row>
    <row r="121" ht="15" customHeight="1">
      <c r="A121" s="112"/>
      <c r="B121" s="112"/>
      <c r="C121" s="112"/>
      <c r="D121" s="112"/>
      <c r="E121" s="112"/>
      <c r="F121" s="112"/>
      <c r="G121" s="112"/>
      <c r="H121" s="112"/>
      <c r="I121" s="112"/>
      <c r="J121" s="112"/>
    </row>
    <row r="122" ht="15" customHeight="1">
      <c r="A122" s="112"/>
      <c r="B122" s="112"/>
      <c r="C122" s="112"/>
      <c r="D122" s="112"/>
      <c r="E122" s="112"/>
      <c r="F122" s="112"/>
      <c r="G122" s="112"/>
      <c r="H122" s="112"/>
      <c r="I122" s="112"/>
      <c r="J122" s="112"/>
    </row>
    <row r="123" ht="15" customHeight="1">
      <c r="A123" s="112"/>
      <c r="B123" s="112"/>
      <c r="C123" s="112"/>
      <c r="D123" s="112"/>
      <c r="E123" s="112"/>
      <c r="F123" s="112"/>
      <c r="G123" s="112"/>
      <c r="H123" s="112"/>
      <c r="I123" s="112"/>
      <c r="J123" s="112"/>
    </row>
    <row r="124" ht="15" customHeight="1">
      <c r="A124" s="112"/>
      <c r="B124" s="112"/>
      <c r="C124" s="112"/>
      <c r="D124" s="112"/>
      <c r="E124" s="112"/>
      <c r="F124" s="112"/>
      <c r="G124" s="112"/>
      <c r="H124" s="112"/>
      <c r="I124" s="112"/>
      <c r="J124" s="112"/>
    </row>
    <row r="125" ht="15" customHeight="1">
      <c r="A125" s="112"/>
      <c r="B125" s="112"/>
      <c r="C125" s="112"/>
      <c r="D125" s="112"/>
      <c r="E125" s="112"/>
      <c r="F125" s="112"/>
      <c r="G125" s="112"/>
      <c r="H125" s="112"/>
      <c r="I125" s="112"/>
      <c r="J125" s="112"/>
    </row>
    <row r="126" ht="15" customHeight="1">
      <c r="A126" s="112"/>
      <c r="B126" s="112"/>
      <c r="C126" s="112"/>
      <c r="D126" s="112"/>
      <c r="E126" s="112"/>
      <c r="F126" s="112"/>
      <c r="G126" s="112"/>
      <c r="H126" s="112"/>
      <c r="I126" s="112"/>
      <c r="J126" s="112"/>
    </row>
    <row r="127" ht="15" customHeight="1">
      <c r="A127" s="112"/>
      <c r="B127" s="112"/>
      <c r="C127" s="112"/>
      <c r="D127" s="112"/>
      <c r="E127" s="112"/>
      <c r="F127" s="112"/>
      <c r="G127" s="112"/>
      <c r="H127" s="112"/>
      <c r="I127" s="112"/>
      <c r="J127" s="112"/>
    </row>
    <row r="128" ht="15" customHeight="1">
      <c r="A128" s="112"/>
      <c r="B128" s="112"/>
      <c r="C128" s="112"/>
      <c r="D128" s="112"/>
      <c r="E128" s="112"/>
      <c r="F128" s="112"/>
      <c r="G128" s="112"/>
      <c r="H128" s="112"/>
      <c r="I128" s="112"/>
      <c r="J128" s="112"/>
    </row>
    <row r="129" ht="15" customHeight="1">
      <c r="A129" s="112"/>
      <c r="B129" s="112"/>
      <c r="C129" s="112"/>
      <c r="D129" s="112"/>
      <c r="E129" s="112"/>
      <c r="F129" s="112"/>
      <c r="G129" s="112"/>
      <c r="H129" s="112"/>
      <c r="I129" s="112"/>
      <c r="J129" s="112"/>
    </row>
    <row r="130" ht="15" customHeight="1">
      <c r="A130" s="112"/>
      <c r="B130" s="112"/>
      <c r="C130" s="112"/>
      <c r="D130" s="112"/>
      <c r="E130" s="112"/>
      <c r="F130" s="112"/>
      <c r="G130" s="112"/>
      <c r="H130" s="112"/>
      <c r="I130" s="112"/>
      <c r="J130" s="112"/>
    </row>
    <row r="131" ht="15" customHeight="1">
      <c r="A131" s="112"/>
      <c r="B131" s="112"/>
      <c r="C131" s="112"/>
      <c r="D131" s="112"/>
      <c r="E131" s="112"/>
      <c r="F131" s="112"/>
      <c r="G131" s="112"/>
      <c r="H131" s="112"/>
      <c r="I131" s="112"/>
      <c r="J131" s="112"/>
    </row>
    <row r="132" ht="15" customHeight="1">
      <c r="A132" s="112"/>
      <c r="B132" s="112"/>
      <c r="C132" s="112"/>
      <c r="D132" s="112"/>
      <c r="E132" s="112"/>
      <c r="F132" s="112"/>
      <c r="G132" s="112"/>
      <c r="H132" s="112"/>
      <c r="I132" s="112"/>
      <c r="J132" s="112"/>
    </row>
    <row r="133" ht="15" customHeight="1">
      <c r="A133" s="112"/>
      <c r="B133" s="112"/>
      <c r="C133" s="112"/>
      <c r="D133" s="112"/>
      <c r="E133" s="112"/>
      <c r="F133" s="112"/>
      <c r="G133" s="112"/>
      <c r="H133" s="112"/>
      <c r="I133" s="112"/>
      <c r="J133" s="112"/>
    </row>
    <row r="134" ht="15" customHeight="1">
      <c r="A134" s="112"/>
      <c r="B134" s="112"/>
      <c r="C134" s="112"/>
      <c r="D134" s="112"/>
      <c r="E134" s="112"/>
      <c r="F134" s="112"/>
      <c r="G134" s="112"/>
      <c r="H134" s="112"/>
      <c r="I134" s="112"/>
      <c r="J134" s="112"/>
    </row>
    <row r="135" ht="15" customHeight="1">
      <c r="A135" s="112"/>
      <c r="B135" s="112"/>
      <c r="C135" s="112"/>
      <c r="D135" s="112"/>
      <c r="E135" s="112"/>
      <c r="F135" s="112"/>
      <c r="G135" s="112"/>
      <c r="H135" s="112"/>
      <c r="I135" s="112"/>
      <c r="J135" s="112"/>
    </row>
    <row r="136" ht="15" customHeight="1">
      <c r="A136" s="112"/>
      <c r="B136" s="112"/>
      <c r="C136" s="112"/>
      <c r="D136" s="112"/>
      <c r="E136" s="112"/>
      <c r="F136" s="112"/>
      <c r="G136" s="112"/>
      <c r="H136" s="112"/>
      <c r="I136" s="112"/>
      <c r="J136" s="112"/>
    </row>
    <row r="137" ht="15" customHeight="1">
      <c r="A137" s="112"/>
      <c r="B137" s="112"/>
      <c r="C137" s="112"/>
      <c r="D137" s="112"/>
      <c r="E137" s="112"/>
      <c r="F137" s="112"/>
      <c r="G137" s="112"/>
      <c r="H137" s="112"/>
      <c r="I137" s="112"/>
      <c r="J137" s="112"/>
    </row>
    <row r="138" ht="15" customHeight="1">
      <c r="A138" s="112"/>
      <c r="B138" s="112"/>
      <c r="C138" s="112"/>
      <c r="D138" s="112"/>
      <c r="E138" s="112"/>
      <c r="F138" s="112"/>
      <c r="G138" s="112"/>
      <c r="H138" s="112"/>
      <c r="I138" s="112"/>
      <c r="J138" s="112"/>
    </row>
    <row r="139" ht="15" customHeight="1">
      <c r="A139" s="112"/>
      <c r="B139" s="112"/>
      <c r="C139" s="112"/>
      <c r="D139" s="112"/>
      <c r="E139" s="112"/>
      <c r="F139" s="112"/>
      <c r="G139" s="112"/>
      <c r="H139" s="112"/>
      <c r="I139" s="112"/>
      <c r="J139" s="112"/>
    </row>
    <row r="140" ht="15" customHeight="1">
      <c r="A140" s="112"/>
      <c r="B140" s="112"/>
      <c r="C140" s="112"/>
      <c r="D140" s="112"/>
      <c r="E140" s="112"/>
      <c r="F140" s="112"/>
      <c r="G140" s="112"/>
      <c r="H140" s="112"/>
      <c r="I140" s="112"/>
      <c r="J140" s="112"/>
    </row>
    <row r="141" ht="15" customHeight="1">
      <c r="A141" s="112"/>
      <c r="B141" s="112"/>
      <c r="C141" s="112"/>
      <c r="D141" s="112"/>
      <c r="E141" s="112"/>
      <c r="F141" s="112"/>
      <c r="G141" s="112"/>
      <c r="H141" s="112"/>
      <c r="I141" s="112"/>
      <c r="J141" s="112"/>
    </row>
    <row r="142" ht="15" customHeight="1">
      <c r="A142" s="112"/>
      <c r="B142" s="112"/>
      <c r="C142" s="112"/>
      <c r="D142" s="112"/>
      <c r="E142" s="112"/>
      <c r="F142" s="112"/>
      <c r="G142" s="112"/>
      <c r="H142" s="112"/>
      <c r="I142" s="112"/>
      <c r="J142" s="112"/>
    </row>
    <row r="143" ht="15" customHeight="1">
      <c r="A143" s="112"/>
      <c r="B143" s="112"/>
      <c r="C143" s="112"/>
      <c r="D143" s="112"/>
      <c r="E143" s="112"/>
      <c r="F143" s="112"/>
      <c r="G143" s="112"/>
      <c r="H143" s="112"/>
      <c r="I143" s="112"/>
      <c r="J143" s="112"/>
    </row>
    <row r="144" ht="15" customHeight="1">
      <c r="A144" s="112"/>
      <c r="B144" s="112"/>
      <c r="C144" s="112"/>
      <c r="D144" s="112"/>
      <c r="E144" s="112"/>
      <c r="F144" s="112"/>
      <c r="G144" s="112"/>
      <c r="H144" s="112"/>
      <c r="I144" s="112"/>
      <c r="J144" s="112"/>
    </row>
    <row r="145" ht="15" customHeight="1">
      <c r="A145" s="112"/>
      <c r="B145" s="112"/>
      <c r="C145" s="112"/>
      <c r="D145" s="112"/>
      <c r="E145" s="112"/>
      <c r="F145" s="112"/>
      <c r="G145" s="112"/>
      <c r="H145" s="112"/>
      <c r="I145" s="112"/>
      <c r="J145" s="112"/>
    </row>
    <row r="146" ht="15" customHeight="1">
      <c r="A146" s="112"/>
      <c r="B146" s="112"/>
      <c r="C146" s="112"/>
      <c r="D146" s="112"/>
      <c r="E146" s="112"/>
      <c r="F146" s="112"/>
      <c r="G146" s="112"/>
      <c r="H146" s="112"/>
      <c r="I146" s="112"/>
      <c r="J146" s="112"/>
    </row>
    <row r="147" ht="15" customHeight="1">
      <c r="A147" s="112"/>
      <c r="B147" s="112"/>
      <c r="C147" s="112"/>
      <c r="D147" s="112"/>
      <c r="E147" s="112"/>
      <c r="F147" s="112"/>
      <c r="G147" s="112"/>
      <c r="H147" s="112"/>
      <c r="I147" s="112"/>
      <c r="J147" s="112"/>
    </row>
    <row r="148" ht="15" customHeight="1">
      <c r="A148" s="112"/>
      <c r="B148" s="112"/>
      <c r="C148" s="112"/>
      <c r="D148" s="112"/>
      <c r="E148" s="112"/>
      <c r="F148" s="112"/>
      <c r="G148" s="112"/>
      <c r="H148" s="112"/>
      <c r="I148" s="112"/>
      <c r="J148" s="112"/>
    </row>
    <row r="149" ht="15" customHeight="1">
      <c r="A149" s="112"/>
      <c r="B149" s="112"/>
      <c r="C149" s="112"/>
      <c r="D149" s="112"/>
      <c r="E149" s="112"/>
      <c r="F149" s="112"/>
      <c r="G149" s="112"/>
      <c r="H149" s="112"/>
      <c r="I149" s="112"/>
      <c r="J149" s="112"/>
    </row>
    <row r="150" ht="15" customHeight="1">
      <c r="A150" s="112"/>
      <c r="B150" s="112"/>
      <c r="C150" s="112"/>
      <c r="D150" s="112"/>
      <c r="E150" s="112"/>
      <c r="F150" s="112"/>
      <c r="G150" s="112"/>
      <c r="H150" s="112"/>
      <c r="I150" s="112"/>
      <c r="J150" s="112"/>
    </row>
    <row r="151" ht="15" customHeight="1">
      <c r="A151" s="112"/>
      <c r="B151" s="112"/>
      <c r="C151" s="112"/>
      <c r="D151" s="112"/>
      <c r="E151" s="112"/>
      <c r="F151" s="112"/>
      <c r="G151" s="112"/>
      <c r="H151" s="112"/>
      <c r="I151" s="112"/>
      <c r="J151" s="112"/>
    </row>
    <row r="152" ht="15" customHeight="1">
      <c r="A152" s="112"/>
      <c r="B152" s="112"/>
      <c r="C152" s="112"/>
      <c r="D152" s="112"/>
      <c r="E152" s="112"/>
      <c r="F152" s="112"/>
      <c r="G152" s="112"/>
      <c r="H152" s="112"/>
      <c r="I152" s="112"/>
      <c r="J152" s="112"/>
    </row>
    <row r="153" ht="15" customHeight="1">
      <c r="A153" s="112"/>
      <c r="B153" s="112"/>
      <c r="C153" s="112"/>
      <c r="D153" s="112"/>
      <c r="E153" s="112"/>
      <c r="F153" s="112"/>
      <c r="G153" s="112"/>
      <c r="H153" s="112"/>
      <c r="I153" s="112"/>
      <c r="J153" s="112"/>
    </row>
    <row r="154" ht="15" customHeight="1">
      <c r="A154" s="112"/>
      <c r="B154" s="112"/>
      <c r="C154" s="112"/>
      <c r="D154" s="112"/>
      <c r="E154" s="112"/>
      <c r="F154" s="112"/>
      <c r="G154" s="112"/>
      <c r="H154" s="112"/>
      <c r="I154" s="112"/>
      <c r="J154" s="112"/>
    </row>
    <row r="155" ht="15" customHeight="1">
      <c r="A155" s="112"/>
      <c r="B155" s="112"/>
      <c r="C155" s="112"/>
      <c r="D155" s="112"/>
      <c r="E155" s="112"/>
      <c r="F155" s="112"/>
      <c r="G155" s="112"/>
      <c r="H155" s="112"/>
      <c r="I155" s="112"/>
      <c r="J155" s="112"/>
    </row>
    <row r="156" ht="15" customHeight="1">
      <c r="A156" s="112"/>
      <c r="B156" s="112"/>
      <c r="C156" s="112"/>
      <c r="D156" s="112"/>
      <c r="E156" s="112"/>
      <c r="F156" s="112"/>
      <c r="G156" s="112"/>
      <c r="H156" s="112"/>
      <c r="I156" s="112"/>
      <c r="J156" s="112"/>
    </row>
    <row r="157" ht="15" customHeight="1">
      <c r="A157" s="112"/>
      <c r="B157" s="112"/>
      <c r="C157" s="112"/>
      <c r="D157" s="112"/>
      <c r="E157" s="112"/>
      <c r="F157" s="112"/>
      <c r="G157" s="112"/>
      <c r="H157" s="112"/>
      <c r="I157" s="112"/>
      <c r="J157" s="112"/>
    </row>
    <row r="158" ht="15" customHeight="1">
      <c r="A158" s="112"/>
      <c r="B158" s="112"/>
      <c r="C158" s="112"/>
      <c r="D158" s="112"/>
      <c r="E158" s="112"/>
      <c r="F158" s="112"/>
      <c r="G158" s="112"/>
      <c r="H158" s="112"/>
      <c r="I158" s="112"/>
      <c r="J158" s="112"/>
    </row>
    <row r="159" ht="15" customHeight="1">
      <c r="A159" s="112"/>
      <c r="B159" s="112"/>
      <c r="C159" s="112"/>
      <c r="D159" s="112"/>
      <c r="E159" s="112"/>
      <c r="F159" s="112"/>
      <c r="G159" s="112"/>
      <c r="H159" s="112"/>
      <c r="I159" s="112"/>
      <c r="J159" s="112"/>
    </row>
    <row r="160" ht="15" customHeight="1">
      <c r="A160" s="112"/>
      <c r="B160" s="112"/>
      <c r="C160" s="112"/>
      <c r="D160" s="112"/>
      <c r="E160" s="112"/>
      <c r="F160" s="112"/>
      <c r="G160" s="112"/>
      <c r="H160" s="112"/>
      <c r="I160" s="112"/>
      <c r="J160" s="112"/>
    </row>
    <row r="161" ht="15" customHeight="1">
      <c r="A161" s="112"/>
      <c r="B161" s="112"/>
      <c r="C161" s="112"/>
      <c r="D161" s="112"/>
      <c r="E161" s="112"/>
      <c r="F161" s="112"/>
      <c r="G161" s="112"/>
      <c r="H161" s="112"/>
      <c r="I161" s="112"/>
      <c r="J161" s="112"/>
    </row>
    <row r="162" ht="15" customHeight="1">
      <c r="A162" s="112"/>
      <c r="B162" s="112"/>
      <c r="C162" s="112"/>
      <c r="D162" s="112"/>
      <c r="E162" s="112"/>
      <c r="F162" s="112"/>
      <c r="G162" s="112"/>
      <c r="H162" s="112"/>
      <c r="I162" s="112"/>
      <c r="J162" s="112"/>
    </row>
    <row r="163" ht="15" customHeight="1">
      <c r="A163" s="112"/>
      <c r="B163" s="112"/>
      <c r="C163" s="112"/>
      <c r="D163" s="112"/>
      <c r="E163" s="112"/>
      <c r="F163" s="112"/>
      <c r="G163" s="112"/>
      <c r="H163" s="112"/>
      <c r="I163" s="112"/>
      <c r="J163" s="112"/>
    </row>
    <row r="164" ht="15" customHeight="1">
      <c r="A164" s="112"/>
      <c r="B164" s="112"/>
      <c r="C164" s="112"/>
      <c r="D164" s="112"/>
      <c r="E164" s="112"/>
      <c r="F164" s="112"/>
      <c r="G164" s="112"/>
      <c r="H164" s="112"/>
      <c r="I164" s="112"/>
      <c r="J164" s="112"/>
    </row>
    <row r="165" ht="15" customHeight="1">
      <c r="A165" s="112"/>
      <c r="B165" s="112"/>
      <c r="C165" s="112"/>
      <c r="D165" s="112"/>
      <c r="E165" s="112"/>
      <c r="F165" s="112"/>
      <c r="G165" s="112"/>
      <c r="H165" s="112"/>
      <c r="I165" s="112"/>
      <c r="J165" s="112"/>
    </row>
    <row r="166" ht="15" customHeight="1">
      <c r="A166" s="112"/>
      <c r="B166" s="112"/>
      <c r="C166" s="112"/>
      <c r="D166" s="112"/>
      <c r="E166" s="112"/>
      <c r="F166" s="112"/>
      <c r="G166" s="112"/>
      <c r="H166" s="112"/>
      <c r="I166" s="112"/>
      <c r="J166" s="112"/>
    </row>
    <row r="167" ht="15" customHeight="1">
      <c r="A167" s="112"/>
      <c r="B167" s="112"/>
      <c r="C167" s="112"/>
      <c r="D167" s="112"/>
      <c r="E167" s="112"/>
      <c r="F167" s="112"/>
      <c r="G167" s="112"/>
      <c r="H167" s="112"/>
      <c r="I167" s="112"/>
      <c r="J167" s="112"/>
    </row>
    <row r="168" ht="15" customHeight="1">
      <c r="A168" s="112"/>
      <c r="B168" s="112"/>
      <c r="C168" s="112"/>
      <c r="D168" s="112"/>
      <c r="E168" s="112"/>
      <c r="F168" s="112"/>
      <c r="G168" s="112"/>
      <c r="H168" s="112"/>
      <c r="I168" s="112"/>
      <c r="J168" s="112"/>
    </row>
    <row r="169" ht="15" customHeight="1">
      <c r="A169" s="112"/>
      <c r="B169" s="112"/>
      <c r="C169" s="112"/>
      <c r="D169" s="112"/>
      <c r="E169" s="112"/>
      <c r="F169" s="112"/>
      <c r="G169" s="112"/>
      <c r="H169" s="112"/>
      <c r="I169" s="112"/>
      <c r="J169" s="112"/>
    </row>
    <row r="170" ht="15" customHeight="1">
      <c r="A170" s="112"/>
      <c r="B170" s="112"/>
      <c r="C170" s="112"/>
      <c r="D170" s="112"/>
      <c r="E170" s="112"/>
      <c r="F170" s="112"/>
      <c r="G170" s="112"/>
      <c r="H170" s="112"/>
      <c r="I170" s="112"/>
      <c r="J170" s="112"/>
    </row>
    <row r="171" ht="15" customHeight="1">
      <c r="A171" s="112"/>
      <c r="B171" s="112"/>
      <c r="C171" s="112"/>
      <c r="D171" s="112"/>
      <c r="E171" s="112"/>
      <c r="F171" s="112"/>
      <c r="G171" s="112"/>
      <c r="H171" s="112"/>
      <c r="I171" s="112"/>
      <c r="J171" s="112"/>
    </row>
    <row r="172" ht="15" customHeight="1">
      <c r="A172" s="112"/>
      <c r="B172" s="112"/>
      <c r="C172" s="112"/>
      <c r="D172" s="112"/>
      <c r="E172" s="112"/>
      <c r="F172" s="112"/>
      <c r="G172" s="112"/>
      <c r="H172" s="112"/>
      <c r="I172" s="112"/>
      <c r="J172" s="112"/>
    </row>
    <row r="173" ht="15" customHeight="1">
      <c r="A173" s="112"/>
      <c r="B173" s="112"/>
      <c r="C173" s="112"/>
      <c r="D173" s="112"/>
      <c r="E173" s="112"/>
      <c r="F173" s="112"/>
      <c r="G173" s="112"/>
      <c r="H173" s="112"/>
      <c r="I173" s="112"/>
      <c r="J173" s="112"/>
    </row>
    <row r="174" ht="15" customHeight="1">
      <c r="A174" s="112"/>
      <c r="B174" s="112"/>
      <c r="C174" s="112"/>
      <c r="D174" s="112"/>
      <c r="E174" s="112"/>
      <c r="F174" s="112"/>
      <c r="G174" s="112"/>
      <c r="H174" s="112"/>
      <c r="I174" s="112"/>
      <c r="J174" s="112"/>
    </row>
    <row r="175" ht="15" customHeight="1">
      <c r="A175" s="112"/>
      <c r="B175" s="112"/>
      <c r="C175" s="112"/>
      <c r="D175" s="112"/>
      <c r="E175" s="112"/>
      <c r="F175" s="112"/>
      <c r="G175" s="112"/>
      <c r="H175" s="112"/>
      <c r="I175" s="112"/>
      <c r="J175" s="112"/>
    </row>
    <row r="176" ht="15" customHeight="1">
      <c r="A176" s="112"/>
      <c r="B176" s="112"/>
      <c r="C176" s="112"/>
      <c r="D176" s="112"/>
      <c r="E176" s="112"/>
      <c r="F176" s="112"/>
      <c r="G176" s="112"/>
      <c r="H176" s="112"/>
      <c r="I176" s="112"/>
      <c r="J176" s="112"/>
    </row>
    <row r="177" ht="15" customHeight="1">
      <c r="A177" s="112"/>
      <c r="B177" s="112"/>
      <c r="C177" s="112"/>
      <c r="D177" s="112"/>
      <c r="E177" s="112"/>
      <c r="F177" s="112"/>
      <c r="G177" s="112"/>
      <c r="H177" s="112"/>
      <c r="I177" s="112"/>
      <c r="J177" s="112"/>
    </row>
    <row r="178" ht="15" customHeight="1">
      <c r="A178" s="112"/>
      <c r="B178" s="112"/>
      <c r="C178" s="112"/>
      <c r="D178" s="112"/>
      <c r="E178" s="112"/>
      <c r="F178" s="112"/>
      <c r="G178" s="112"/>
      <c r="H178" s="112"/>
      <c r="I178" s="112"/>
      <c r="J178" s="112"/>
    </row>
    <row r="179" ht="15" customHeight="1">
      <c r="A179" s="112"/>
      <c r="B179" s="112"/>
      <c r="C179" s="112"/>
      <c r="D179" s="112"/>
      <c r="E179" s="112"/>
      <c r="F179" s="112"/>
      <c r="G179" s="112"/>
      <c r="H179" s="112"/>
      <c r="I179" s="112"/>
      <c r="J179" s="112"/>
    </row>
    <row r="180" ht="15" customHeight="1">
      <c r="A180" s="112"/>
      <c r="B180" s="112"/>
      <c r="C180" s="112"/>
      <c r="D180" s="112"/>
      <c r="E180" s="112"/>
      <c r="F180" s="112"/>
      <c r="G180" s="112"/>
      <c r="H180" s="112"/>
      <c r="I180" s="112"/>
      <c r="J180" s="112"/>
    </row>
    <row r="181" ht="15" customHeight="1">
      <c r="A181" s="112"/>
      <c r="B181" s="112"/>
      <c r="C181" s="112"/>
      <c r="D181" s="112"/>
      <c r="E181" s="112"/>
      <c r="F181" s="112"/>
      <c r="G181" s="112"/>
      <c r="H181" s="112"/>
      <c r="I181" s="112"/>
      <c r="J181" s="112"/>
    </row>
    <row r="182" ht="15" customHeight="1">
      <c r="A182" s="112"/>
      <c r="B182" s="112"/>
      <c r="C182" s="112"/>
      <c r="D182" s="112"/>
      <c r="E182" s="112"/>
      <c r="F182" s="112"/>
      <c r="G182" s="112"/>
      <c r="H182" s="112"/>
      <c r="I182" s="112"/>
      <c r="J182" s="112"/>
    </row>
    <row r="183" ht="15" customHeight="1">
      <c r="A183" s="112"/>
      <c r="B183" s="112"/>
      <c r="C183" s="112"/>
      <c r="D183" s="112"/>
      <c r="E183" s="112"/>
      <c r="F183" s="112"/>
      <c r="G183" s="112"/>
      <c r="H183" s="112"/>
      <c r="I183" s="112"/>
      <c r="J183" s="112"/>
    </row>
    <row r="184" ht="15" customHeight="1">
      <c r="A184" s="112"/>
      <c r="B184" s="112"/>
      <c r="C184" s="112"/>
      <c r="D184" s="112"/>
      <c r="E184" s="112"/>
      <c r="F184" s="112"/>
      <c r="G184" s="112"/>
      <c r="H184" s="112"/>
      <c r="I184" s="112"/>
      <c r="J184" s="112"/>
    </row>
    <row r="185" ht="15" customHeight="1">
      <c r="A185" s="112"/>
      <c r="B185" s="112"/>
      <c r="C185" s="112"/>
      <c r="D185" s="112"/>
      <c r="E185" s="112"/>
      <c r="F185" s="112"/>
      <c r="G185" s="112"/>
      <c r="H185" s="112"/>
      <c r="I185" s="112"/>
      <c r="J185" s="112"/>
    </row>
    <row r="186" ht="15" customHeight="1">
      <c r="A186" s="112"/>
      <c r="B186" s="112"/>
      <c r="C186" s="112"/>
      <c r="D186" s="112"/>
      <c r="E186" s="112"/>
      <c r="F186" s="112"/>
      <c r="G186" s="112"/>
      <c r="H186" s="112"/>
      <c r="I186" s="112"/>
      <c r="J186" s="112"/>
    </row>
    <row r="187" ht="15" customHeight="1">
      <c r="A187" s="112"/>
      <c r="B187" s="112"/>
      <c r="C187" s="112"/>
      <c r="D187" s="112"/>
      <c r="E187" s="112"/>
      <c r="F187" s="112"/>
      <c r="G187" s="112"/>
      <c r="H187" s="112"/>
      <c r="I187" s="112"/>
      <c r="J187" s="112"/>
    </row>
    <row r="188" ht="15" customHeight="1">
      <c r="A188" s="112"/>
      <c r="B188" s="112"/>
      <c r="C188" s="112"/>
      <c r="D188" s="112"/>
      <c r="E188" s="112"/>
      <c r="F188" s="112"/>
      <c r="G188" s="112"/>
      <c r="H188" s="112"/>
      <c r="I188" s="112"/>
      <c r="J188" s="112"/>
    </row>
    <row r="189" ht="15" customHeight="1">
      <c r="A189" s="112"/>
      <c r="B189" s="112"/>
      <c r="C189" s="112"/>
      <c r="D189" s="112"/>
      <c r="E189" s="112"/>
      <c r="F189" s="112"/>
      <c r="G189" s="112"/>
      <c r="H189" s="112"/>
      <c r="I189" s="112"/>
      <c r="J189" s="112"/>
    </row>
    <row r="190" ht="15" customHeight="1">
      <c r="A190" s="112"/>
      <c r="B190" s="112"/>
      <c r="C190" s="112"/>
      <c r="D190" s="112"/>
      <c r="E190" s="112"/>
      <c r="F190" s="112"/>
      <c r="G190" s="112"/>
      <c r="H190" s="112"/>
      <c r="I190" s="112"/>
      <c r="J190" s="112"/>
    </row>
    <row r="191" ht="15" customHeight="1">
      <c r="A191" s="112"/>
      <c r="B191" s="112"/>
      <c r="C191" s="112"/>
      <c r="D191" s="112"/>
      <c r="E191" s="112"/>
      <c r="F191" s="112"/>
      <c r="G191" s="112"/>
      <c r="H191" s="112"/>
      <c r="I191" s="112"/>
      <c r="J191" s="112"/>
    </row>
    <row r="192" ht="15" customHeight="1">
      <c r="A192" s="112"/>
      <c r="B192" s="112"/>
      <c r="C192" s="112"/>
      <c r="D192" s="112"/>
      <c r="E192" s="112"/>
      <c r="F192" s="112"/>
      <c r="G192" s="112"/>
      <c r="H192" s="112"/>
      <c r="I192" s="112"/>
      <c r="J192" s="112"/>
    </row>
    <row r="193" ht="15" customHeight="1">
      <c r="A193" s="112"/>
      <c r="B193" s="112"/>
      <c r="C193" s="112"/>
      <c r="D193" s="112"/>
      <c r="E193" s="112"/>
      <c r="F193" s="112"/>
      <c r="G193" s="112"/>
      <c r="H193" s="112"/>
      <c r="I193" s="112"/>
      <c r="J193" s="112"/>
    </row>
    <row r="194" ht="15" customHeight="1">
      <c r="A194" s="112"/>
      <c r="B194" s="112"/>
      <c r="C194" s="112"/>
      <c r="D194" s="112"/>
      <c r="E194" s="112"/>
      <c r="F194" s="112"/>
      <c r="G194" s="112"/>
      <c r="H194" s="112"/>
      <c r="I194" s="112"/>
      <c r="J194" s="112"/>
    </row>
    <row r="195" ht="15" customHeight="1">
      <c r="A195" s="112"/>
      <c r="B195" s="112"/>
      <c r="C195" s="112"/>
      <c r="D195" s="112"/>
      <c r="E195" s="112"/>
      <c r="F195" s="112"/>
      <c r="G195" s="112"/>
      <c r="H195" s="112"/>
      <c r="I195" s="112"/>
      <c r="J195" s="112"/>
    </row>
    <row r="196" ht="15" customHeight="1">
      <c r="A196" s="112"/>
      <c r="B196" s="112"/>
      <c r="C196" s="112"/>
      <c r="D196" s="112"/>
      <c r="E196" s="112"/>
      <c r="F196" s="112"/>
      <c r="G196" s="112"/>
      <c r="H196" s="112"/>
      <c r="I196" s="112"/>
      <c r="J196" s="112"/>
    </row>
    <row r="197" ht="15" customHeight="1">
      <c r="A197" s="112"/>
      <c r="B197" s="112"/>
      <c r="C197" s="112"/>
      <c r="D197" s="112"/>
      <c r="E197" s="112"/>
      <c r="F197" s="112"/>
      <c r="G197" s="112"/>
      <c r="H197" s="112"/>
      <c r="I197" s="112"/>
      <c r="J197" s="112"/>
    </row>
    <row r="198" ht="15" customHeight="1">
      <c r="A198" s="112"/>
      <c r="B198" s="112"/>
      <c r="C198" s="112"/>
      <c r="D198" s="112"/>
      <c r="E198" s="112"/>
      <c r="F198" s="112"/>
      <c r="G198" s="112"/>
      <c r="H198" s="112"/>
      <c r="I198" s="112"/>
      <c r="J198" s="112"/>
    </row>
    <row r="199" ht="15" customHeight="1">
      <c r="A199" s="112"/>
      <c r="B199" s="112"/>
      <c r="C199" s="112"/>
      <c r="D199" s="112"/>
      <c r="E199" s="112"/>
      <c r="F199" s="112"/>
      <c r="G199" s="112"/>
      <c r="H199" s="112"/>
      <c r="I199" s="112"/>
      <c r="J199" s="112"/>
    </row>
    <row r="200" ht="15" customHeight="1">
      <c r="A200" s="112"/>
      <c r="B200" s="112"/>
      <c r="C200" s="112"/>
      <c r="D200" s="112"/>
      <c r="E200" s="112"/>
      <c r="F200" s="112"/>
      <c r="G200" s="112"/>
      <c r="H200" s="112"/>
      <c r="I200" s="112"/>
      <c r="J200" s="112"/>
    </row>
    <row r="201" ht="15" customHeight="1">
      <c r="A201" s="112"/>
      <c r="B201" s="112"/>
      <c r="C201" s="112"/>
      <c r="D201" s="112"/>
      <c r="E201" s="112"/>
      <c r="F201" s="112"/>
      <c r="G201" s="112"/>
      <c r="H201" s="112"/>
      <c r="I201" s="112"/>
      <c r="J201" s="112"/>
    </row>
    <row r="202" ht="15" customHeight="1">
      <c r="A202" s="112"/>
      <c r="B202" s="112"/>
      <c r="C202" s="112"/>
      <c r="D202" s="112"/>
      <c r="E202" s="112"/>
      <c r="F202" s="112"/>
      <c r="G202" s="112"/>
      <c r="H202" s="112"/>
      <c r="I202" s="112"/>
      <c r="J202" s="112"/>
    </row>
    <row r="203" ht="15" customHeight="1">
      <c r="A203" s="112"/>
      <c r="B203" s="112"/>
      <c r="C203" s="112"/>
      <c r="D203" s="112"/>
      <c r="E203" s="112"/>
      <c r="F203" s="112"/>
      <c r="G203" s="112"/>
      <c r="H203" s="112"/>
      <c r="I203" s="112"/>
      <c r="J203" s="112"/>
    </row>
    <row r="204" ht="15" customHeight="1">
      <c r="A204" s="112"/>
      <c r="B204" s="112"/>
      <c r="C204" s="112"/>
      <c r="D204" s="112"/>
      <c r="E204" s="112"/>
      <c r="F204" s="112"/>
      <c r="G204" s="112"/>
      <c r="H204" s="112"/>
      <c r="I204" s="112"/>
      <c r="J204" s="112"/>
    </row>
    <row r="205" ht="15" customHeight="1">
      <c r="A205" s="112"/>
      <c r="B205" s="112"/>
      <c r="C205" s="112"/>
      <c r="D205" s="112"/>
      <c r="E205" s="112"/>
      <c r="F205" s="112"/>
      <c r="G205" s="112"/>
      <c r="H205" s="112"/>
      <c r="I205" s="112"/>
      <c r="J205" s="112"/>
    </row>
    <row r="206" ht="15" customHeight="1">
      <c r="A206" s="112"/>
      <c r="B206" s="112"/>
      <c r="C206" s="112"/>
      <c r="D206" s="112"/>
      <c r="E206" s="112"/>
      <c r="F206" s="112"/>
      <c r="G206" s="112"/>
      <c r="H206" s="112"/>
      <c r="I206" s="112"/>
      <c r="J206" s="112"/>
    </row>
    <row r="207" ht="15" customHeight="1">
      <c r="A207" s="112"/>
      <c r="B207" s="112"/>
      <c r="C207" s="112"/>
      <c r="D207" s="112"/>
      <c r="E207" s="112"/>
      <c r="F207" s="112"/>
      <c r="G207" s="112"/>
      <c r="H207" s="112"/>
      <c r="I207" s="112"/>
      <c r="J207" s="112"/>
    </row>
    <row r="208" ht="15" customHeight="1">
      <c r="A208" s="112"/>
      <c r="B208" s="112"/>
      <c r="C208" s="112"/>
      <c r="D208" s="112"/>
      <c r="E208" s="112"/>
      <c r="F208" s="112"/>
      <c r="G208" s="112"/>
      <c r="H208" s="112"/>
      <c r="I208" s="112"/>
      <c r="J208" s="112"/>
    </row>
    <row r="209" ht="15" customHeight="1">
      <c r="A209" s="112"/>
      <c r="B209" s="112"/>
      <c r="C209" s="112"/>
      <c r="D209" s="112"/>
      <c r="E209" s="112"/>
      <c r="F209" s="112"/>
      <c r="G209" s="112"/>
      <c r="H209" s="112"/>
      <c r="I209" s="112"/>
      <c r="J209" s="112"/>
    </row>
    <row r="210" ht="15" customHeight="1">
      <c r="A210" s="112"/>
      <c r="B210" s="112"/>
      <c r="C210" s="112"/>
      <c r="D210" s="112"/>
      <c r="E210" s="112"/>
      <c r="F210" s="112"/>
      <c r="G210" s="112"/>
      <c r="H210" s="112"/>
      <c r="I210" s="112"/>
      <c r="J210" s="112"/>
    </row>
    <row r="211" ht="15" customHeight="1">
      <c r="A211" s="112"/>
      <c r="B211" s="112"/>
      <c r="C211" s="112"/>
      <c r="D211" s="112"/>
      <c r="E211" s="112"/>
      <c r="F211" s="112"/>
      <c r="G211" s="112"/>
      <c r="H211" s="112"/>
      <c r="I211" s="112"/>
      <c r="J211" s="112"/>
    </row>
    <row r="212" ht="15" customHeight="1">
      <c r="A212" s="112"/>
      <c r="B212" s="112"/>
      <c r="C212" s="112"/>
      <c r="D212" s="112"/>
      <c r="E212" s="112"/>
      <c r="F212" s="112"/>
      <c r="G212" s="112"/>
      <c r="H212" s="112"/>
      <c r="I212" s="112"/>
      <c r="J212" s="112"/>
    </row>
    <row r="213" ht="15" customHeight="1">
      <c r="A213" s="112"/>
      <c r="B213" s="112"/>
      <c r="C213" s="112"/>
      <c r="D213" s="112"/>
      <c r="E213" s="112"/>
      <c r="F213" s="112"/>
      <c r="G213" s="112"/>
      <c r="H213" s="112"/>
      <c r="I213" s="112"/>
      <c r="J213" s="112"/>
    </row>
    <row r="214" ht="15" customHeight="1">
      <c r="A214" s="112"/>
      <c r="B214" s="112"/>
      <c r="C214" s="112"/>
      <c r="D214" s="112"/>
      <c r="E214" s="112"/>
      <c r="F214" s="112"/>
      <c r="G214" s="112"/>
      <c r="H214" s="112"/>
      <c r="I214" s="112"/>
      <c r="J214" s="112"/>
    </row>
    <row r="215" ht="15" customHeight="1">
      <c r="A215" s="112"/>
      <c r="B215" s="112"/>
      <c r="C215" s="112"/>
      <c r="D215" s="112"/>
      <c r="E215" s="112"/>
      <c r="F215" s="112"/>
      <c r="G215" s="112"/>
      <c r="H215" s="112"/>
      <c r="I215" s="112"/>
      <c r="J215" s="112"/>
    </row>
    <row r="216" ht="15" customHeight="1">
      <c r="A216" s="112"/>
      <c r="B216" s="112"/>
      <c r="C216" s="112"/>
      <c r="D216" s="112"/>
      <c r="E216" s="112"/>
      <c r="F216" s="112"/>
      <c r="G216" s="112"/>
      <c r="H216" s="112"/>
      <c r="I216" s="112"/>
      <c r="J216" s="112"/>
    </row>
    <row r="217" ht="15" customHeight="1">
      <c r="A217" s="112"/>
      <c r="B217" s="112"/>
      <c r="C217" s="112"/>
      <c r="D217" s="112"/>
      <c r="E217" s="112"/>
      <c r="F217" s="112"/>
      <c r="G217" s="112"/>
      <c r="H217" s="112"/>
      <c r="I217" s="112"/>
      <c r="J217" s="112"/>
    </row>
    <row r="218" ht="15" customHeight="1">
      <c r="A218" s="112"/>
      <c r="B218" s="112"/>
      <c r="C218" s="112"/>
      <c r="D218" s="112"/>
      <c r="E218" s="112"/>
      <c r="F218" s="112"/>
      <c r="G218" s="112"/>
      <c r="H218" s="112"/>
      <c r="I218" s="112"/>
      <c r="J218" s="112"/>
    </row>
    <row r="219" ht="15" customHeight="1">
      <c r="A219" s="112"/>
      <c r="B219" s="112"/>
      <c r="C219" s="112"/>
      <c r="D219" s="112"/>
      <c r="E219" s="112"/>
      <c r="F219" s="112"/>
      <c r="G219" s="112"/>
      <c r="H219" s="112"/>
      <c r="I219" s="112"/>
      <c r="J219" s="112"/>
    </row>
    <row r="220" ht="15" customHeight="1">
      <c r="A220" s="112"/>
      <c r="B220" s="112"/>
      <c r="C220" s="112"/>
      <c r="D220" s="112"/>
      <c r="E220" s="112"/>
      <c r="F220" s="112"/>
      <c r="G220" s="112"/>
      <c r="H220" s="112"/>
      <c r="I220" s="112"/>
      <c r="J220" s="112"/>
    </row>
    <row r="221" ht="15" customHeight="1">
      <c r="A221" s="112"/>
      <c r="B221" s="112"/>
      <c r="C221" s="112"/>
      <c r="D221" s="112"/>
      <c r="E221" s="112"/>
      <c r="F221" s="112"/>
      <c r="G221" s="112"/>
      <c r="H221" s="112"/>
      <c r="I221" s="112"/>
      <c r="J221" s="112"/>
    </row>
    <row r="222" ht="15" customHeight="1">
      <c r="A222" s="112"/>
      <c r="B222" s="112"/>
      <c r="C222" s="112"/>
      <c r="D222" s="112"/>
      <c r="E222" s="112"/>
      <c r="F222" s="112"/>
      <c r="G222" s="112"/>
      <c r="H222" s="112"/>
      <c r="I222" s="112"/>
      <c r="J222" s="112"/>
    </row>
    <row r="223" ht="15" customHeight="1">
      <c r="A223" s="112"/>
      <c r="B223" s="112"/>
      <c r="C223" s="112"/>
      <c r="D223" s="112"/>
      <c r="E223" s="112"/>
      <c r="F223" s="112"/>
      <c r="G223" s="112"/>
      <c r="H223" s="112"/>
      <c r="I223" s="112"/>
      <c r="J223" s="112"/>
    </row>
    <row r="224" ht="15" customHeight="1">
      <c r="A224" s="112"/>
      <c r="B224" s="112"/>
      <c r="C224" s="112"/>
      <c r="D224" s="112"/>
      <c r="E224" s="112"/>
      <c r="F224" s="112"/>
      <c r="G224" s="112"/>
      <c r="H224" s="112"/>
      <c r="I224" s="112"/>
      <c r="J224" s="112"/>
    </row>
    <row r="225" ht="15" customHeight="1">
      <c r="A225" s="112"/>
      <c r="B225" s="112"/>
      <c r="C225" s="112"/>
      <c r="D225" s="112"/>
      <c r="E225" s="112"/>
      <c r="F225" s="112"/>
      <c r="G225" s="112"/>
      <c r="H225" s="112"/>
      <c r="I225" s="112"/>
      <c r="J225" s="112"/>
    </row>
    <row r="226" ht="15" customHeight="1">
      <c r="A226" s="112"/>
      <c r="B226" s="112"/>
      <c r="C226" s="112"/>
      <c r="D226" s="112"/>
      <c r="E226" s="112"/>
      <c r="F226" s="112"/>
      <c r="G226" s="112"/>
      <c r="H226" s="112"/>
      <c r="I226" s="112"/>
      <c r="J226" s="112"/>
    </row>
    <row r="227" ht="15" customHeight="1">
      <c r="A227" s="112"/>
      <c r="B227" s="112"/>
      <c r="C227" s="112"/>
      <c r="D227" s="112"/>
      <c r="E227" s="112"/>
      <c r="F227" s="112"/>
      <c r="G227" s="112"/>
      <c r="H227" s="112"/>
      <c r="I227" s="112"/>
      <c r="J227" s="112"/>
    </row>
    <row r="228" ht="15" customHeight="1">
      <c r="A228" s="112" t="str">
        <f t="shared" ref="A228:A249" si="1">B228&amp;C228</f>
        <v/>
      </c>
      <c r="B228" s="112"/>
      <c r="C228" s="112"/>
      <c r="D228" s="112"/>
      <c r="E228" s="112"/>
      <c r="F228" s="112"/>
      <c r="G228" s="112"/>
      <c r="H228" s="112"/>
      <c r="I228" s="112"/>
      <c r="J228" s="112"/>
    </row>
    <row r="229" ht="15" customHeight="1">
      <c r="A229" s="112" t="str">
        <f t="shared" si="1"/>
        <v/>
      </c>
      <c r="B229" s="112"/>
      <c r="C229" s="112"/>
      <c r="D229" s="112"/>
      <c r="E229" s="112"/>
      <c r="F229" s="112"/>
      <c r="G229" s="112"/>
      <c r="H229" s="112"/>
      <c r="I229" s="112"/>
      <c r="J229" s="112"/>
    </row>
    <row r="230" ht="15" customHeight="1">
      <c r="A230" s="112" t="str">
        <f t="shared" si="1"/>
        <v/>
      </c>
      <c r="B230" s="112"/>
      <c r="C230" s="112"/>
      <c r="D230" s="112"/>
      <c r="E230" s="112"/>
      <c r="F230" s="112"/>
      <c r="G230" s="112"/>
      <c r="H230" s="112"/>
      <c r="I230" s="112"/>
      <c r="J230" s="112"/>
    </row>
    <row r="231" ht="15" customHeight="1">
      <c r="A231" s="112" t="str">
        <f t="shared" si="1"/>
        <v/>
      </c>
      <c r="B231" s="112"/>
      <c r="C231" s="112"/>
      <c r="D231" s="112"/>
      <c r="E231" s="112"/>
      <c r="F231" s="112"/>
      <c r="G231" s="112"/>
      <c r="H231" s="112"/>
      <c r="I231" s="112"/>
      <c r="J231" s="112"/>
    </row>
    <row r="232" ht="15" customHeight="1">
      <c r="A232" s="112" t="str">
        <f t="shared" si="1"/>
        <v/>
      </c>
      <c r="B232" s="112"/>
      <c r="C232" s="112"/>
      <c r="D232" s="112"/>
      <c r="E232" s="112"/>
      <c r="F232" s="112"/>
      <c r="G232" s="112"/>
      <c r="H232" s="112"/>
      <c r="I232" s="112"/>
      <c r="J232" s="112"/>
    </row>
    <row r="233" ht="15" customHeight="1">
      <c r="A233" s="112" t="str">
        <f t="shared" si="1"/>
        <v/>
      </c>
      <c r="B233" s="112"/>
      <c r="C233" s="112"/>
      <c r="D233" s="112"/>
      <c r="E233" s="112"/>
      <c r="F233" s="112"/>
      <c r="G233" s="112"/>
      <c r="H233" s="112"/>
      <c r="I233" s="112"/>
      <c r="J233" s="112"/>
    </row>
    <row r="234" ht="15" customHeight="1">
      <c r="A234" s="112" t="str">
        <f t="shared" si="1"/>
        <v/>
      </c>
      <c r="B234" s="112"/>
      <c r="C234" s="112"/>
      <c r="D234" s="112"/>
      <c r="E234" s="112"/>
      <c r="F234" s="112"/>
      <c r="G234" s="112"/>
      <c r="H234" s="112"/>
      <c r="I234" s="112"/>
      <c r="J234" s="112"/>
    </row>
    <row r="235" ht="15" customHeight="1">
      <c r="A235" s="112" t="str">
        <f t="shared" si="1"/>
        <v/>
      </c>
      <c r="B235" s="112"/>
      <c r="C235" s="112"/>
      <c r="D235" s="112"/>
      <c r="E235" s="112"/>
      <c r="F235" s="112"/>
      <c r="G235" s="112"/>
      <c r="H235" s="112"/>
      <c r="I235" s="112"/>
      <c r="J235" s="112"/>
    </row>
    <row r="236" ht="15" customHeight="1">
      <c r="A236" s="112" t="str">
        <f t="shared" si="1"/>
        <v/>
      </c>
      <c r="B236" s="112"/>
      <c r="C236" s="112"/>
      <c r="D236" s="112"/>
      <c r="E236" s="112"/>
      <c r="F236" s="112"/>
      <c r="G236" s="112"/>
      <c r="H236" s="112"/>
      <c r="I236" s="112"/>
      <c r="J236" s="112"/>
    </row>
    <row r="237" ht="15" customHeight="1">
      <c r="A237" s="112" t="str">
        <f t="shared" si="1"/>
        <v/>
      </c>
      <c r="B237" s="112"/>
      <c r="C237" s="112"/>
      <c r="D237" s="112"/>
      <c r="E237" s="112"/>
      <c r="F237" s="112"/>
      <c r="G237" s="112"/>
      <c r="H237" s="112"/>
      <c r="I237" s="112"/>
      <c r="J237" s="112"/>
    </row>
    <row r="238" ht="15" customHeight="1">
      <c r="A238" s="112" t="str">
        <f t="shared" si="1"/>
        <v/>
      </c>
      <c r="B238" s="112"/>
      <c r="C238" s="112"/>
      <c r="D238" s="112"/>
      <c r="E238" s="112"/>
      <c r="F238" s="112"/>
      <c r="G238" s="112"/>
      <c r="H238" s="112"/>
      <c r="I238" s="112"/>
      <c r="J238" s="112"/>
    </row>
    <row r="239" ht="15" customHeight="1">
      <c r="A239" s="121" t="str">
        <f t="shared" si="1"/>
        <v/>
      </c>
      <c r="B239" s="98"/>
      <c r="C239" s="98"/>
      <c r="D239" s="127"/>
      <c r="E239" s="127"/>
      <c r="F239" s="121"/>
      <c r="G239" s="121"/>
      <c r="H239" s="121"/>
      <c r="I239" s="121"/>
      <c r="J239" s="13"/>
    </row>
    <row r="240" ht="15" customHeight="1">
      <c r="A240" s="121" t="str">
        <f t="shared" si="1"/>
        <v/>
      </c>
      <c r="B240" s="98"/>
      <c r="C240" s="98"/>
      <c r="D240" s="127"/>
      <c r="E240" s="127"/>
      <c r="F240" s="121"/>
      <c r="G240" s="121"/>
      <c r="H240" s="121"/>
      <c r="I240" s="121"/>
      <c r="J240" s="13"/>
    </row>
    <row r="241" ht="15" customHeight="1">
      <c r="A241" s="121" t="str">
        <f t="shared" si="1"/>
        <v/>
      </c>
      <c r="B241" s="98"/>
      <c r="C241" s="98"/>
      <c r="D241" s="127"/>
      <c r="E241" s="127"/>
      <c r="F241" s="121"/>
      <c r="G241" s="121"/>
      <c r="H241" s="121"/>
      <c r="I241" s="121"/>
      <c r="J241" s="13"/>
    </row>
    <row r="242" ht="15" customHeight="1">
      <c r="A242" s="121" t="str">
        <f t="shared" si="1"/>
        <v/>
      </c>
      <c r="B242" s="98"/>
      <c r="C242" s="98"/>
      <c r="D242" s="127"/>
      <c r="E242" s="127"/>
      <c r="F242" s="121"/>
      <c r="G242" s="121"/>
      <c r="H242" s="121"/>
      <c r="I242" s="121"/>
      <c r="J242" s="13"/>
    </row>
    <row r="243" ht="15" customHeight="1">
      <c r="A243" s="121" t="str">
        <f t="shared" si="1"/>
        <v/>
      </c>
      <c r="B243" s="98"/>
      <c r="C243" s="98"/>
      <c r="D243" s="127"/>
      <c r="E243" s="127"/>
      <c r="F243" s="121"/>
      <c r="G243" s="121"/>
      <c r="H243" s="121"/>
      <c r="I243" s="121"/>
      <c r="J243" s="13"/>
    </row>
    <row r="244" ht="15" customHeight="1">
      <c r="A244" s="121" t="str">
        <f t="shared" si="1"/>
        <v/>
      </c>
      <c r="B244" s="98"/>
      <c r="C244" s="98"/>
      <c r="D244" s="127"/>
      <c r="E244" s="127"/>
      <c r="F244" s="121"/>
      <c r="G244" s="121"/>
      <c r="H244" s="121"/>
      <c r="I244" s="121"/>
      <c r="J244" s="13"/>
    </row>
    <row r="245" ht="15" customHeight="1">
      <c r="A245" s="121" t="str">
        <f t="shared" si="1"/>
        <v/>
      </c>
      <c r="B245" s="98"/>
      <c r="C245" s="98"/>
      <c r="D245" s="127"/>
      <c r="E245" s="127"/>
      <c r="F245" s="121"/>
      <c r="G245" s="121"/>
      <c r="H245" s="121"/>
      <c r="I245" s="121"/>
      <c r="J245" s="13"/>
    </row>
    <row r="246" ht="15" customHeight="1">
      <c r="A246" s="121" t="str">
        <f t="shared" si="1"/>
        <v/>
      </c>
      <c r="B246" s="98"/>
      <c r="C246" s="98"/>
      <c r="D246" s="127"/>
      <c r="E246" s="127"/>
      <c r="F246" s="121"/>
      <c r="G246" s="121"/>
      <c r="H246" s="121"/>
      <c r="I246" s="121"/>
      <c r="J246" s="13"/>
    </row>
    <row r="247" ht="15" customHeight="1">
      <c r="A247" s="121" t="str">
        <f t="shared" si="1"/>
        <v/>
      </c>
      <c r="B247" s="98"/>
      <c r="C247" s="98"/>
      <c r="D247" s="127"/>
      <c r="E247" s="127"/>
      <c r="F247" s="121"/>
      <c r="G247" s="121"/>
      <c r="H247" s="121"/>
      <c r="I247" s="121"/>
      <c r="J247" s="13"/>
    </row>
    <row r="248" ht="15" customHeight="1">
      <c r="A248" s="121" t="str">
        <f t="shared" si="1"/>
        <v/>
      </c>
      <c r="B248" s="98"/>
      <c r="C248" s="98"/>
      <c r="D248" s="127"/>
      <c r="E248" s="127"/>
      <c r="F248" s="121"/>
      <c r="G248" s="121"/>
      <c r="H248" s="121"/>
      <c r="I248" s="121"/>
      <c r="J248" s="13"/>
    </row>
    <row r="249" ht="15" customHeight="1">
      <c r="A249" s="121" t="str">
        <f t="shared" si="1"/>
        <v/>
      </c>
      <c r="B249" s="98"/>
      <c r="C249" s="98"/>
      <c r="D249" s="127"/>
      <c r="E249" s="127"/>
      <c r="F249" s="121"/>
      <c r="G249" s="121"/>
      <c r="H249" s="121"/>
      <c r="I249" s="121"/>
      <c r="J249" s="13"/>
    </row>
  </sheetData>
  <mergeCells count="1">
    <mergeCell ref="K1:M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597" id="{00F40005-00BE-4795-9315-00AF00610038}">
            <xm:f>#REF!&lt;&gt;#REF!</xm:f>
            <x14:dxf>
              <border>
                <left style="none"/>
                <right style="none"/>
                <top style="none"/>
                <bottom style="thin">
                  <color auto="1"/>
                </bottom>
                <diagonal style="none"/>
                <vertical style="none"/>
                <horizontal style="none"/>
              </border>
            </x14:dxf>
          </x14:cfRule>
          <xm:sqref>K9:L9</xm:sqref>
        </x14:conditionalFormatting>
        <x14:conditionalFormatting xmlns:xm="http://schemas.microsoft.com/office/excel/2006/main">
          <x14:cfRule type="expression" priority="596" id="{00EF006A-0025-4405-BE57-006B00BA00CB}">
            <xm:f>$B24&lt;&gt;$B28</xm:f>
            <x14:dxf>
              <border>
                <left style="none"/>
                <right style="none"/>
                <top style="none"/>
                <bottom style="thin">
                  <color auto="1"/>
                </bottom>
                <diagonal style="none"/>
                <vertical style="none"/>
                <horizontal style="none"/>
              </border>
            </x14:dxf>
          </x14:cfRule>
          <xm:sqref>B9:D9 B10 I9:J9</xm:sqref>
        </x14:conditionalFormatting>
        <x14:conditionalFormatting xmlns:xm="http://schemas.microsoft.com/office/excel/2006/main">
          <x14:cfRule type="expression" priority="594" id="{009400B7-008A-425C-A132-0038002E00FD}">
            <xm:f>#REF!&lt;&gt;#REF!</xm:f>
            <x14:dxf>
              <border>
                <left style="none"/>
                <right style="none"/>
                <top style="none"/>
                <bottom style="thin">
                  <color auto="1"/>
                </bottom>
                <diagonal style="none"/>
                <vertical style="none"/>
                <horizontal style="none"/>
              </border>
            </x14:dxf>
          </x14:cfRule>
          <xm:sqref>M9</xm:sqref>
        </x14:conditionalFormatting>
        <x14:conditionalFormatting xmlns:xm="http://schemas.microsoft.com/office/excel/2006/main">
          <x14:cfRule type="expression" priority="591" id="{009A000D-00F8-4F62-B850-009C00C700CB}">
            <xm:f>$B7&lt;&gt;#REF!</xm:f>
            <x14:dxf>
              <border>
                <left style="none"/>
                <right style="none"/>
                <top style="none"/>
                <bottom style="thin">
                  <color auto="1"/>
                </bottom>
                <diagonal style="none"/>
                <vertical style="none"/>
                <horizontal style="none"/>
              </border>
            </x14:dxf>
          </x14:cfRule>
          <xm:sqref>A7 C7:M7</xm:sqref>
        </x14:conditionalFormatting>
        <x14:conditionalFormatting xmlns:xm="http://schemas.microsoft.com/office/excel/2006/main">
          <x14:cfRule type="expression" priority="585" id="{004600E2-0067-4E7B-A25A-006100BC0059}">
            <xm:f>$B8&lt;&gt;#REF!</xm:f>
            <x14:dxf>
              <border>
                <left style="none"/>
                <right style="none"/>
                <top style="none"/>
                <bottom style="thin">
                  <color auto="1"/>
                </bottom>
                <diagonal style="none"/>
                <vertical style="none"/>
                <horizontal style="none"/>
              </border>
            </x14:dxf>
          </x14:cfRule>
          <xm:sqref>A8:M8 A9:A24</xm:sqref>
        </x14:conditionalFormatting>
        <x14:conditionalFormatting xmlns:xm="http://schemas.microsoft.com/office/excel/2006/main">
          <x14:cfRule type="expression" priority="579" id="{00700015-0096-4973-99A4-002B004D0021}">
            <xm:f>$B17&lt;&gt;$B10</xm:f>
            <x14:dxf>
              <border>
                <left style="none"/>
                <right style="none"/>
                <top style="none"/>
                <bottom style="thin">
                  <color auto="1"/>
                </bottom>
                <diagonal style="none"/>
                <vertical style="none"/>
                <horizontal style="none"/>
              </border>
            </x14:dxf>
          </x14:cfRule>
          <xm:sqref>J17</xm:sqref>
        </x14:conditionalFormatting>
        <x14:conditionalFormatting xmlns:xm="http://schemas.microsoft.com/office/excel/2006/main">
          <x14:cfRule type="expression" priority="574" id="{00A300B5-009D-4BD7-B325-00E6004D00C4}">
            <xm:f>$B10&lt;&gt;$B19</xm:f>
            <x14:dxf>
              <border>
                <left style="none"/>
                <right style="none"/>
                <top style="none"/>
                <bottom style="thin">
                  <color auto="1"/>
                </bottom>
                <diagonal style="none"/>
                <vertical style="none"/>
                <horizontal style="none"/>
              </border>
            </x14:dxf>
          </x14:cfRule>
          <xm:sqref>C10:D10 I10:M10</xm:sqref>
        </x14:conditionalFormatting>
        <x14:conditionalFormatting xmlns:xm="http://schemas.microsoft.com/office/excel/2006/main">
          <x14:cfRule type="expression" priority="547" id="{00A30060-0045-4E4A-B680-003800510064}">
            <xm:f>$B92&lt;&gt;#REF!</xm:f>
            <x14:dxf>
              <border>
                <left style="none"/>
                <right style="none"/>
                <top style="none"/>
                <bottom style="thin">
                  <color auto="1"/>
                </bottom>
                <diagonal style="none"/>
                <vertical style="none"/>
                <horizontal style="none"/>
              </border>
            </x14:dxf>
          </x14:cfRule>
          <xm:sqref>A92:J92</xm:sqref>
        </x14:conditionalFormatting>
        <x14:conditionalFormatting xmlns:xm="http://schemas.microsoft.com/office/excel/2006/main">
          <x14:cfRule type="expression" priority="482" id="{004A00C2-0074-4729-A2CE-009200C20001}">
            <xm:f>$B22&lt;&gt;$B27</xm:f>
            <x14:dxf>
              <border>
                <left style="none"/>
                <right style="none"/>
                <top style="none"/>
                <bottom style="thin">
                  <color auto="1"/>
                </bottom>
                <diagonal style="none"/>
                <vertical style="none"/>
                <horizontal style="none"/>
              </border>
            </x14:dxf>
          </x14:cfRule>
          <xm:sqref>B22:I22 B23 D23 F23 I23 C23:C24 K22:M23</xm:sqref>
        </x14:conditionalFormatting>
        <x14:conditionalFormatting xmlns:xm="http://schemas.microsoft.com/office/excel/2006/main">
          <x14:cfRule type="expression" priority="479" id="{004800A5-0086-4284-9B9A-007000EE00C2}">
            <xm:f>$B24&lt;&gt;$B28</xm:f>
            <x14:dxf>
              <border>
                <left style="none"/>
                <right style="none"/>
                <top style="none"/>
                <bottom style="thin">
                  <color auto="1"/>
                </bottom>
                <diagonal style="none"/>
                <vertical style="none"/>
                <horizontal style="none"/>
              </border>
            </x14:dxf>
          </x14:cfRule>
          <xm:sqref>F24:F25 I24:I25 B24:B25 K24:M25 D25</xm:sqref>
        </x14:conditionalFormatting>
        <x14:conditionalFormatting xmlns:xm="http://schemas.microsoft.com/office/excel/2006/main">
          <x14:cfRule type="expression" priority="478" id="{008D004E-001F-4729-9718-0069008B00D3}">
            <xm:f>$B8&lt;&gt;#REF!</xm:f>
            <x14:dxf>
              <border>
                <left style="none"/>
                <right style="none"/>
                <top style="none"/>
                <bottom style="thin">
                  <color auto="1"/>
                </bottom>
                <diagonal style="none"/>
                <vertical style="none"/>
                <horizontal style="none"/>
              </border>
            </x14:dxf>
          </x14:cfRule>
          <xm:sqref>J8 C13:I13 C17:I17 E24:E25 G24:H25 K13:M13</xm:sqref>
        </x14:conditionalFormatting>
        <x14:conditionalFormatting xmlns:xm="http://schemas.microsoft.com/office/excel/2006/main">
          <x14:cfRule type="expression" priority="476" id="{00CC005E-00B4-46CB-AEC6-005400860070}">
            <xm:f>$B13&lt;&gt;#REF!</xm:f>
            <x14:dxf>
              <border>
                <left style="none"/>
                <right style="none"/>
                <top style="none"/>
                <bottom style="thin">
                  <color auto="1"/>
                </bottom>
                <diagonal style="none"/>
                <vertical style="none"/>
                <horizontal style="none"/>
              </border>
            </x14:dxf>
          </x14:cfRule>
          <xm:sqref>B13 B17 J17:M17 A51:J51</xm:sqref>
        </x14:conditionalFormatting>
        <x14:conditionalFormatting xmlns:xm="http://schemas.microsoft.com/office/excel/2006/main">
          <x14:cfRule type="expression" priority="228" id="{002600E9-000B-4B64-BBEA-004900F00076}">
            <xm:f>$B36&lt;&gt;#REF!</xm:f>
            <x14:dxf>
              <border>
                <left style="none"/>
                <right style="none"/>
                <top style="none"/>
                <bottom style="thin">
                  <color auto="1"/>
                </bottom>
                <diagonal style="none"/>
                <vertical style="none"/>
                <horizontal style="none"/>
              </border>
            </x14:dxf>
          </x14:cfRule>
          <xm:sqref>A36:M36</xm:sqref>
        </x14:conditionalFormatting>
        <x14:conditionalFormatting xmlns:xm="http://schemas.microsoft.com/office/excel/2006/main">
          <x14:cfRule type="expression" priority="222" id="{00B300C6-0000-45E0-916A-005B005A00F9}">
            <xm:f>$B21&lt;&gt;#REF!</xm:f>
            <x14:dxf>
              <border>
                <left style="none"/>
                <right style="none"/>
                <top style="none"/>
                <bottom style="thin">
                  <color auto="1"/>
                </bottom>
                <diagonal style="none"/>
                <vertical style="none"/>
                <horizontal style="none"/>
              </border>
            </x14:dxf>
          </x14:cfRule>
          <xm:sqref>C21:J21</xm:sqref>
        </x14:conditionalFormatting>
        <x14:conditionalFormatting xmlns:xm="http://schemas.microsoft.com/office/excel/2006/main">
          <x14:cfRule type="expression" priority="219" id="{00BF0042-00AC-474E-8AB5-005E002F008C}">
            <xm:f>$B21&lt;&gt;#REF!</xm:f>
            <x14:dxf>
              <border>
                <left style="none"/>
                <right style="none"/>
                <top style="none"/>
                <bottom style="thin">
                  <color auto="1"/>
                </bottom>
                <diagonal style="none"/>
                <vertical style="none"/>
                <horizontal style="none"/>
              </border>
            </x14:dxf>
          </x14:cfRule>
          <xm:sqref>B21 K21:M21</xm:sqref>
        </x14:conditionalFormatting>
        <x14:conditionalFormatting xmlns:xm="http://schemas.microsoft.com/office/excel/2006/main">
          <x14:cfRule type="expression" priority="217" id="{00C100CA-00D7-424B-B79D-007900960032}">
            <xm:f>$B6&lt;&gt;$B8</xm:f>
            <x14:dxf>
              <border>
                <left style="none"/>
                <right style="none"/>
                <top style="none"/>
                <bottom style="thin">
                  <color auto="1"/>
                </bottom>
                <diagonal style="none"/>
                <vertical style="none"/>
                <horizontal style="none"/>
              </border>
            </x14:dxf>
          </x14:cfRule>
          <xm:sqref>C26:D26 F26 I26 K26:M26 K34:M35 A34:A35 F34:I34 I35 A47:J48 A44:J44 A6 C6:M6</xm:sqref>
        </x14:conditionalFormatting>
        <x14:conditionalFormatting xmlns:xm="http://schemas.microsoft.com/office/excel/2006/main">
          <x14:cfRule type="expression" priority="209" id="{00180052-004A-401E-A24C-0061001300C7}">
            <xm:f>$B3&lt;&gt;$B4</xm:f>
            <x14:dxf>
              <border>
                <left style="none"/>
                <right style="none"/>
                <top style="none"/>
                <bottom style="thin">
                  <color auto="1"/>
                </bottom>
                <diagonal style="none"/>
                <vertical style="none"/>
                <horizontal style="none"/>
              </border>
            </x14:dxf>
          </x14:cfRule>
          <xm:sqref>B28:I28 K14:M15 B14:B16 E26 G26:H26 C27:I27 K27:M28 B39:B42 D39:D42 I39:J42 A52:J58 A59:D70 F59:F70 H59:J70 A71:J71 A72:D74 F72:F74 A75:F75 I72:J75 A76:J76 A77:C78 I77:J78 B81:C86 I81:J86 A97:J238 A49:J50 A43:J43 A46:J46 B90:C91 I90:J91 B11:M11 B12:I12 K12:M12 A93:A96 C94:J96 A4:A5 C4:M5 A3:M3 J19:J21 A25:A32 B19:M20 B4:B7</xm:sqref>
        </x14:conditionalFormatting>
        <x14:conditionalFormatting xmlns:xm="http://schemas.microsoft.com/office/excel/2006/main">
          <x14:cfRule type="expression" priority="206" id="{003A0038-005B-40AE-A582-009500AE00A4}">
            <xm:f>$B16&lt;&gt;$B17</xm:f>
            <x14:dxf>
              <border>
                <left style="none"/>
                <right style="none"/>
                <top style="none"/>
                <bottom style="thin">
                  <color auto="1"/>
                </bottom>
                <diagonal style="none"/>
                <vertical style="none"/>
                <horizontal style="none"/>
              </border>
            </x14:dxf>
          </x14:cfRule>
          <xm:sqref>K16:M16</xm:sqref>
        </x14:conditionalFormatting>
        <x14:conditionalFormatting xmlns:xm="http://schemas.microsoft.com/office/excel/2006/main">
          <x14:cfRule type="expression" priority="187" id="{00750098-0032-4F43-95E2-00EF0096008B}">
            <xm:f>$B14&lt;&gt;$B15</xm:f>
            <x14:dxf>
              <border>
                <left style="none"/>
                <right style="none"/>
                <top style="none"/>
                <bottom style="thin">
                  <color auto="1"/>
                </bottom>
                <diagonal style="none"/>
                <vertical style="none"/>
                <horizontal style="none"/>
              </border>
            </x14:dxf>
          </x14:cfRule>
          <xm:sqref>C14:J15 C16:I16</xm:sqref>
        </x14:conditionalFormatting>
        <x14:conditionalFormatting xmlns:xm="http://schemas.microsoft.com/office/excel/2006/main">
          <x14:cfRule type="expression" priority="170" id="{00B100D5-003D-4DE9-AB4C-0073001200C8}">
            <xm:f>$B29&lt;&gt;#REF!</xm:f>
            <x14:dxf>
              <border>
                <left style="none"/>
                <right style="none"/>
                <top style="none"/>
                <bottom style="thin">
                  <color auto="1"/>
                </bottom>
                <diagonal style="none"/>
                <vertical style="none"/>
                <horizontal style="none"/>
              </border>
            </x14:dxf>
          </x14:cfRule>
          <xm:sqref>K29:M29</xm:sqref>
        </x14:conditionalFormatting>
        <x14:conditionalFormatting xmlns:xm="http://schemas.microsoft.com/office/excel/2006/main">
          <x14:cfRule type="expression" priority="165" id="{00250086-002F-4D80-BD84-00DD00360050}">
            <xm:f>$B29&lt;&gt;$B30</xm:f>
            <x14:dxf>
              <border>
                <left style="none"/>
                <right style="none"/>
                <top style="none"/>
                <bottom style="thin">
                  <color auto="1"/>
                </bottom>
                <diagonal style="none"/>
                <vertical style="none"/>
                <horizontal style="none"/>
              </border>
            </x14:dxf>
          </x14:cfRule>
          <xm:sqref>F29:I29</xm:sqref>
        </x14:conditionalFormatting>
        <x14:conditionalFormatting xmlns:xm="http://schemas.microsoft.com/office/excel/2006/main">
          <x14:cfRule type="expression" priority="164" id="{000200C6-00E1-4B77-B201-00A9001C00DD}">
            <xm:f>$B29&lt;&gt;$B31</xm:f>
            <x14:dxf>
              <border>
                <left style="none"/>
                <right style="none"/>
                <top style="none"/>
                <bottom style="thin">
                  <color auto="1"/>
                </bottom>
                <diagonal style="none"/>
                <vertical style="none"/>
                <horizontal style="none"/>
              </border>
            </x14:dxf>
          </x14:cfRule>
          <xm:sqref>C29:E29</xm:sqref>
        </x14:conditionalFormatting>
        <x14:conditionalFormatting xmlns:xm="http://schemas.microsoft.com/office/excel/2006/main">
          <x14:cfRule type="expression" priority="162" id="{00B00030-0074-4EE8-8A04-00DC00B60078}">
            <xm:f>$B29&lt;&gt;$B30</xm:f>
            <x14:dxf>
              <border>
                <left style="none"/>
                <right style="none"/>
                <top style="none"/>
                <bottom style="thin">
                  <color auto="1"/>
                </bottom>
                <diagonal style="none"/>
                <vertical style="none"/>
                <horizontal style="none"/>
              </border>
            </x14:dxf>
          </x14:cfRule>
          <xm:sqref>B29</xm:sqref>
        </x14:conditionalFormatting>
        <x14:conditionalFormatting xmlns:xm="http://schemas.microsoft.com/office/excel/2006/main">
          <x14:cfRule type="expression" priority="161" id="{00300021-0099-46E0-A9B3-00C400A30086}">
            <xm:f>$B30&lt;&gt;$B31</xm:f>
            <x14:dxf>
              <border>
                <left style="none"/>
                <right style="none"/>
                <top style="none"/>
                <bottom style="thin">
                  <color auto="1"/>
                </bottom>
                <diagonal style="none"/>
                <vertical style="none"/>
                <horizontal style="none"/>
              </border>
            </x14:dxf>
          </x14:cfRule>
          <xm:sqref>A33 K30:M33</xm:sqref>
        </x14:conditionalFormatting>
        <x14:conditionalFormatting xmlns:xm="http://schemas.microsoft.com/office/excel/2006/main">
          <x14:cfRule type="expression" priority="160" id="{000B0074-0025-492D-9771-009F00FE00CF}">
            <xm:f>$B31&lt;&gt;$B32</xm:f>
            <x14:dxf>
              <border>
                <left style="none"/>
                <right style="none"/>
                <top style="none"/>
                <bottom style="thin">
                  <color auto="1"/>
                </bottom>
                <diagonal style="none"/>
                <vertical style="none"/>
                <horizontal style="none"/>
              </border>
            </x14:dxf>
          </x14:cfRule>
          <xm:sqref>C31:J31 F32:J32 F33:I33</xm:sqref>
        </x14:conditionalFormatting>
        <x14:conditionalFormatting xmlns:xm="http://schemas.microsoft.com/office/excel/2006/main">
          <x14:cfRule type="expression" priority="159" id="{007700BB-005D-42FF-96B1-0097001E0041}">
            <xm:f>$B30&lt;&gt;$B31</xm:f>
            <x14:dxf>
              <border>
                <left style="none"/>
                <right style="none"/>
                <top style="none"/>
                <bottom style="thin">
                  <color auto="1"/>
                </bottom>
                <diagonal style="none"/>
                <vertical style="none"/>
                <horizontal style="none"/>
              </border>
            </x14:dxf>
          </x14:cfRule>
          <xm:sqref>B30 F30:I30</xm:sqref>
        </x14:conditionalFormatting>
        <x14:conditionalFormatting xmlns:xm="http://schemas.microsoft.com/office/excel/2006/main">
          <x14:cfRule type="expression" priority="158" id="{009200AC-0063-460C-A9CB-003200970013}">
            <xm:f>$B30&lt;&gt;$B31</xm:f>
            <x14:dxf>
              <border>
                <left style="none"/>
                <right style="none"/>
                <top style="none"/>
                <bottom style="thin">
                  <color auto="1"/>
                </bottom>
                <diagonal style="none"/>
                <vertical style="none"/>
                <horizontal style="none"/>
              </border>
            </x14:dxf>
          </x14:cfRule>
          <xm:sqref>C30:E30</xm:sqref>
        </x14:conditionalFormatting>
        <x14:conditionalFormatting xmlns:xm="http://schemas.microsoft.com/office/excel/2006/main">
          <x14:cfRule type="expression" priority="157" id="{00D80017-0023-4B09-BE2D-000200700006}">
            <xm:f>$B33&lt;&gt;$B36</xm:f>
            <x14:dxf>
              <border>
                <left style="none"/>
                <right style="none"/>
                <top style="none"/>
                <bottom style="thin">
                  <color auto="1"/>
                </bottom>
                <diagonal style="none"/>
                <vertical style="none"/>
                <horizontal style="none"/>
              </border>
            </x14:dxf>
          </x14:cfRule>
          <xm:sqref>C33:E33</xm:sqref>
        </x14:conditionalFormatting>
        <x14:conditionalFormatting xmlns:xm="http://schemas.microsoft.com/office/excel/2006/main">
          <x14:cfRule type="expression" priority="156" id="{001D005A-009C-46DC-A5A3-002700B60021}">
            <xm:f>$B32&lt;&gt;$B33</xm:f>
            <x14:dxf>
              <border>
                <left style="none"/>
                <right style="none"/>
                <top style="none"/>
                <bottom style="thin">
                  <color auto="1"/>
                </bottom>
                <diagonal style="none"/>
                <vertical style="none"/>
                <horizontal style="none"/>
              </border>
            </x14:dxf>
          </x14:cfRule>
          <xm:sqref>C32:E32</xm:sqref>
        </x14:conditionalFormatting>
        <x14:conditionalFormatting xmlns:xm="http://schemas.microsoft.com/office/excel/2006/main">
          <x14:cfRule type="expression" priority="155" id="{00620031-0092-414E-A451-00D600F100BA}">
            <xm:f>$B30&lt;&gt;$B31</xm:f>
            <x14:dxf>
              <border>
                <left style="none"/>
                <right style="none"/>
                <top style="none"/>
                <bottom style="thin">
                  <color auto="1"/>
                </bottom>
                <diagonal style="none"/>
                <vertical style="none"/>
                <horizontal style="none"/>
              </border>
            </x14:dxf>
          </x14:cfRule>
          <xm:sqref>J30</xm:sqref>
        </x14:conditionalFormatting>
        <x14:conditionalFormatting xmlns:xm="http://schemas.microsoft.com/office/excel/2006/main">
          <x14:cfRule type="expression" priority="154" id="{00CD00C8-0009-46C6-80E4-005D00630029}">
            <xm:f>$B33&lt;&gt;$B36</xm:f>
            <x14:dxf>
              <border>
                <left style="none"/>
                <right style="none"/>
                <top style="none"/>
                <bottom style="thin">
                  <color auto="1"/>
                </bottom>
                <diagonal style="none"/>
                <vertical style="none"/>
                <horizontal style="none"/>
              </border>
            </x14:dxf>
          </x14:cfRule>
          <xm:sqref>J33</xm:sqref>
        </x14:conditionalFormatting>
        <x14:conditionalFormatting xmlns:xm="http://schemas.microsoft.com/office/excel/2006/main">
          <x14:cfRule type="expression" priority="150" id="{000F005A-00CB-42EE-BF8D-00B400CA0079}">
            <xm:f>$B31&lt;&gt;$B32</xm:f>
            <x14:dxf>
              <border>
                <left style="none"/>
                <right style="none"/>
                <top style="none"/>
                <bottom style="thin">
                  <color auto="1"/>
                </bottom>
                <diagonal style="none"/>
                <vertical style="none"/>
                <horizontal style="none"/>
              </border>
            </x14:dxf>
          </x14:cfRule>
          <xm:sqref>B31</xm:sqref>
        </x14:conditionalFormatting>
        <x14:conditionalFormatting xmlns:xm="http://schemas.microsoft.com/office/excel/2006/main">
          <x14:cfRule type="expression" priority="149" id="{00D8007B-00B8-4F1E-9A97-005E00820082}">
            <xm:f>$B32&lt;&gt;$B33</xm:f>
            <x14:dxf>
              <border>
                <left style="none"/>
                <right style="none"/>
                <top style="none"/>
                <bottom style="thin">
                  <color auto="1"/>
                </bottom>
                <diagonal style="none"/>
                <vertical style="none"/>
                <horizontal style="none"/>
              </border>
            </x14:dxf>
          </x14:cfRule>
          <xm:sqref>B32</xm:sqref>
        </x14:conditionalFormatting>
        <x14:conditionalFormatting xmlns:xm="http://schemas.microsoft.com/office/excel/2006/main">
          <x14:cfRule type="expression" priority="148" id="{000D005A-00C2-46E4-97B5-0091005200A9}">
            <xm:f>$B33&lt;&gt;$B34</xm:f>
            <x14:dxf>
              <border>
                <left style="none"/>
                <right style="none"/>
                <top style="none"/>
                <bottom style="thin">
                  <color auto="1"/>
                </bottom>
                <diagonal style="none"/>
                <vertical style="none"/>
                <horizontal style="none"/>
              </border>
            </x14:dxf>
          </x14:cfRule>
          <xm:sqref>B33</xm:sqref>
        </x14:conditionalFormatting>
        <x14:conditionalFormatting xmlns:xm="http://schemas.microsoft.com/office/excel/2006/main">
          <x14:cfRule type="expression" priority="145" id="{003A00B9-000B-46C1-9142-004300B70026}">
            <xm:f>$B34&lt;&gt;$B36</xm:f>
            <x14:dxf>
              <border>
                <left style="none"/>
                <right style="none"/>
                <top style="none"/>
                <bottom style="thin">
                  <color auto="1"/>
                </bottom>
                <diagonal style="none"/>
                <vertical style="none"/>
                <horizontal style="none"/>
              </border>
            </x14:dxf>
          </x14:cfRule>
          <xm:sqref>B34:B35</xm:sqref>
        </x14:conditionalFormatting>
        <x14:conditionalFormatting xmlns:xm="http://schemas.microsoft.com/office/excel/2006/main">
          <x14:cfRule type="expression" priority="144" id="{00BB00D3-0017-4F39-BEB1-00BD006D00D5}">
            <xm:f>$B34&lt;&gt;$B36</xm:f>
            <x14:dxf>
              <border>
                <left style="none"/>
                <right style="none"/>
                <top style="none"/>
                <bottom style="thin">
                  <color auto="1"/>
                </bottom>
                <diagonal style="none"/>
                <vertical style="none"/>
                <horizontal style="none"/>
              </border>
            </x14:dxf>
          </x14:cfRule>
          <xm:sqref>C34:E34 D35</xm:sqref>
        </x14:conditionalFormatting>
        <x14:conditionalFormatting xmlns:xm="http://schemas.microsoft.com/office/excel/2006/main">
          <x14:cfRule type="expression" priority="141" id="{0093008F-0094-4EEA-9615-001900310099}">
            <xm:f>$B34&lt;&gt;$B36</xm:f>
            <x14:dxf>
              <border>
                <left style="none"/>
                <right style="none"/>
                <top style="none"/>
                <bottom style="thin">
                  <color auto="1"/>
                </bottom>
                <diagonal style="none"/>
                <vertical style="none"/>
                <horizontal style="none"/>
              </border>
            </x14:dxf>
          </x14:cfRule>
          <xm:sqref>J34:J35</xm:sqref>
        </x14:conditionalFormatting>
        <x14:conditionalFormatting xmlns:xm="http://schemas.microsoft.com/office/excel/2006/main">
          <x14:cfRule type="expression" priority="133" id="{000900D8-00E5-40E3-815C-008B002100E6}">
            <xm:f>$B38&lt;&gt;#REF!</xm:f>
            <x14:dxf>
              <border>
                <left style="none"/>
                <right style="none"/>
                <top style="none"/>
                <bottom style="thin">
                  <color auto="1"/>
                </bottom>
                <diagonal style="none"/>
                <vertical style="none"/>
                <horizontal style="none"/>
              </border>
            </x14:dxf>
          </x14:cfRule>
          <xm:sqref>A38 C38:M38</xm:sqref>
        </x14:conditionalFormatting>
        <x14:conditionalFormatting xmlns:xm="http://schemas.microsoft.com/office/excel/2006/main">
          <x14:cfRule type="expression" priority="132" id="{00FB0098-00AF-4126-ABD7-00F6001B009D}">
            <xm:f>$B37&lt;&gt;$B38</xm:f>
            <x14:dxf>
              <border>
                <left style="none"/>
                <right style="none"/>
                <top style="none"/>
                <bottom style="thin">
                  <color auto="1"/>
                </bottom>
                <diagonal style="none"/>
                <vertical style="none"/>
                <horizontal style="none"/>
              </border>
            </x14:dxf>
          </x14:cfRule>
          <xm:sqref>A37 K37:M37</xm:sqref>
        </x14:conditionalFormatting>
        <x14:conditionalFormatting xmlns:xm="http://schemas.microsoft.com/office/excel/2006/main">
          <x14:cfRule type="expression" priority="131" id="{00060011-0092-4F6D-8092-00BF0055001D}">
            <xm:f>$B37&lt;&gt;$B38</xm:f>
            <x14:dxf>
              <border>
                <left style="none"/>
                <right style="none"/>
                <top style="none"/>
                <bottom style="thin">
                  <color auto="1"/>
                </bottom>
                <diagonal style="none"/>
                <vertical style="none"/>
                <horizontal style="none"/>
              </border>
            </x14:dxf>
          </x14:cfRule>
          <xm:sqref>B37 F37:I37</xm:sqref>
        </x14:conditionalFormatting>
        <x14:conditionalFormatting xmlns:xm="http://schemas.microsoft.com/office/excel/2006/main">
          <x14:cfRule type="expression" priority="130" id="{00A50041-004D-41BE-ACC8-00BE002A00C3}">
            <xm:f>$B37&lt;&gt;$B38</xm:f>
            <x14:dxf>
              <border>
                <left style="none"/>
                <right style="none"/>
                <top style="none"/>
                <bottom style="thin">
                  <color auto="1"/>
                </bottom>
                <diagonal style="none"/>
                <vertical style="none"/>
                <horizontal style="none"/>
              </border>
            </x14:dxf>
          </x14:cfRule>
          <xm:sqref>C37:E37</xm:sqref>
        </x14:conditionalFormatting>
        <x14:conditionalFormatting xmlns:xm="http://schemas.microsoft.com/office/excel/2006/main">
          <x14:cfRule type="expression" priority="129" id="{004F005B-0047-42B2-8E6C-006F00CC006E}">
            <xm:f>$B37&lt;&gt;$B38</xm:f>
            <x14:dxf>
              <border>
                <left style="none"/>
                <right style="none"/>
                <top style="none"/>
                <bottom style="thin">
                  <color auto="1"/>
                </bottom>
                <diagonal style="none"/>
                <vertical style="none"/>
                <horizontal style="none"/>
              </border>
            </x14:dxf>
          </x14:cfRule>
          <xm:sqref>J37</xm:sqref>
        </x14:conditionalFormatting>
        <x14:conditionalFormatting xmlns:xm="http://schemas.microsoft.com/office/excel/2006/main">
          <x14:cfRule type="expression" priority="128" id="{001E0084-0045-4C01-8798-00AD00510062}">
            <xm:f>$B38&lt;&gt;$B39</xm:f>
            <x14:dxf>
              <border>
                <left style="none"/>
                <right style="none"/>
                <top style="none"/>
                <bottom style="thin">
                  <color auto="1"/>
                </bottom>
                <diagonal style="none"/>
                <vertical style="none"/>
                <horizontal style="none"/>
              </border>
            </x14:dxf>
          </x14:cfRule>
          <xm:sqref>B38</xm:sqref>
        </x14:conditionalFormatting>
        <x14:conditionalFormatting xmlns:xm="http://schemas.microsoft.com/office/excel/2006/main">
          <x14:cfRule type="expression" priority="123" id="{0098000E-0085-4ED5-B25C-00740043009B}">
            <xm:f>$B16&lt;&gt;#REF!</xm:f>
            <x14:dxf>
              <border>
                <left style="none"/>
                <right style="none"/>
                <top style="none"/>
                <bottom style="thin">
                  <color auto="1"/>
                </bottom>
                <diagonal style="none"/>
                <vertical style="none"/>
                <horizontal style="none"/>
              </border>
            </x14:dxf>
          </x14:cfRule>
          <xm:sqref>J16</xm:sqref>
        </x14:conditionalFormatting>
        <x14:conditionalFormatting xmlns:xm="http://schemas.microsoft.com/office/excel/2006/main">
          <x14:cfRule type="expression" priority="117" id="{00880012-0087-4E1A-B2F4-004600CC00AF}">
            <xm:f>$B23&lt;&gt;$B26</xm:f>
            <x14:dxf>
              <border>
                <left style="none"/>
                <right style="none"/>
                <top style="none"/>
                <bottom style="thin">
                  <color auto="1"/>
                </bottom>
                <diagonal style="none"/>
                <vertical style="none"/>
                <horizontal style="none"/>
              </border>
            </x14:dxf>
          </x14:cfRule>
          <xm:sqref>E23 B26</xm:sqref>
        </x14:conditionalFormatting>
        <x14:conditionalFormatting xmlns:xm="http://schemas.microsoft.com/office/excel/2006/main">
          <x14:cfRule type="expression" priority="114" id="{002C0054-0036-46C9-952E-00DA00820053}">
            <xm:f>$B23&lt;&gt;$B26</xm:f>
            <x14:dxf>
              <border>
                <left style="none"/>
                <right style="none"/>
                <top style="none"/>
                <bottom style="thin">
                  <color auto="1"/>
                </bottom>
                <diagonal style="none"/>
                <vertical style="none"/>
                <horizontal style="none"/>
              </border>
            </x14:dxf>
          </x14:cfRule>
          <xm:sqref>G23:H23</xm:sqref>
        </x14:conditionalFormatting>
        <x14:conditionalFormatting xmlns:xm="http://schemas.microsoft.com/office/excel/2006/main">
          <x14:cfRule type="expression" priority="111" id="{00E200A6-0038-4D47-80D7-00B400010087}">
            <xm:f>$B27&lt;&gt;$B31</xm:f>
            <x14:dxf>
              <border>
                <left style="none"/>
                <right style="none"/>
                <top style="none"/>
                <bottom style="thin">
                  <color auto="1"/>
                </bottom>
                <diagonal style="none"/>
                <vertical style="none"/>
                <horizontal style="none"/>
              </border>
            </x14:dxf>
          </x14:cfRule>
          <xm:sqref>B27</xm:sqref>
        </x14:conditionalFormatting>
        <x14:conditionalFormatting xmlns:xm="http://schemas.microsoft.com/office/excel/2006/main">
          <x14:cfRule type="expression" priority="110" id="{004E00E9-00F8-419F-A07C-00EA001A007B}">
            <xm:f>$B25&lt;&gt;$B29</xm:f>
            <x14:dxf>
              <border>
                <left style="none"/>
                <right style="none"/>
                <top style="none"/>
                <bottom style="thin">
                  <color auto="1"/>
                </bottom>
                <diagonal style="none"/>
                <vertical style="none"/>
                <horizontal style="none"/>
              </border>
            </x14:dxf>
          </x14:cfRule>
          <xm:sqref>C25</xm:sqref>
        </x14:conditionalFormatting>
        <x14:conditionalFormatting xmlns:xm="http://schemas.microsoft.com/office/excel/2006/main">
          <x14:cfRule type="expression" priority="109" id="{00090067-00CE-4DB6-AE0F-00BC002F00C5}">
            <xm:f>$B22&lt;&gt;#REF!</xm:f>
            <x14:dxf>
              <border>
                <left style="none"/>
                <right style="none"/>
                <top style="none"/>
                <bottom style="thin">
                  <color auto="1"/>
                </bottom>
                <diagonal style="none"/>
                <vertical style="none"/>
                <horizontal style="none"/>
              </border>
            </x14:dxf>
          </x14:cfRule>
          <xm:sqref>J22:J29</xm:sqref>
        </x14:conditionalFormatting>
        <x14:conditionalFormatting xmlns:xm="http://schemas.microsoft.com/office/excel/2006/main">
          <x14:cfRule type="expression" priority="108" id="{00FF0046-0063-4578-BB7F-000F00420050}">
            <xm:f>$B39&lt;&gt;#REF!</xm:f>
            <x14:dxf>
              <border>
                <left style="none"/>
                <right style="none"/>
                <top style="none"/>
                <bottom style="thin">
                  <color auto="1"/>
                </bottom>
                <diagonal style="none"/>
                <vertical style="none"/>
                <horizontal style="none"/>
              </border>
            </x14:dxf>
          </x14:cfRule>
          <xm:sqref>A39</xm:sqref>
        </x14:conditionalFormatting>
        <x14:conditionalFormatting xmlns:xm="http://schemas.microsoft.com/office/excel/2006/main">
          <x14:cfRule type="expression" priority="107" id="{00AE008E-002E-4933-87A1-008800FA0065}">
            <xm:f>$B40&lt;&gt;#REF!</xm:f>
            <x14:dxf>
              <border>
                <left style="none"/>
                <right style="none"/>
                <top style="none"/>
                <bottom style="thin">
                  <color auto="1"/>
                </bottom>
                <diagonal style="none"/>
                <vertical style="none"/>
                <horizontal style="none"/>
              </border>
            </x14:dxf>
          </x14:cfRule>
          <xm:sqref>A40</xm:sqref>
        </x14:conditionalFormatting>
        <x14:conditionalFormatting xmlns:xm="http://schemas.microsoft.com/office/excel/2006/main">
          <x14:cfRule type="expression" priority="106" id="{00350037-00E8-4270-AC08-00FF00780049}">
            <xm:f>$B41&lt;&gt;#REF!</xm:f>
            <x14:dxf>
              <border>
                <left style="none"/>
                <right style="none"/>
                <top style="none"/>
                <bottom style="thin">
                  <color auto="1"/>
                </bottom>
                <diagonal style="none"/>
                <vertical style="none"/>
                <horizontal style="none"/>
              </border>
            </x14:dxf>
          </x14:cfRule>
          <xm:sqref>A41</xm:sqref>
        </x14:conditionalFormatting>
        <x14:conditionalFormatting xmlns:xm="http://schemas.microsoft.com/office/excel/2006/main">
          <x14:cfRule type="expression" priority="105" id="{001200D6-007C-4BC1-9AC1-001400F30017}">
            <xm:f>$B42&lt;&gt;#REF!</xm:f>
            <x14:dxf>
              <border>
                <left style="none"/>
                <right style="none"/>
                <top style="none"/>
                <bottom style="thin">
                  <color auto="1"/>
                </bottom>
                <diagonal style="none"/>
                <vertical style="none"/>
                <horizontal style="none"/>
              </border>
            </x14:dxf>
          </x14:cfRule>
          <xm:sqref>A42</xm:sqref>
        </x14:conditionalFormatting>
        <x14:conditionalFormatting xmlns:xm="http://schemas.microsoft.com/office/excel/2006/main">
          <x14:cfRule type="expression" priority="104" id="{00AE0035-0072-4449-9EF4-002C00E500BE}">
            <xm:f>$B39&lt;&gt;$B40</xm:f>
            <x14:dxf>
              <border>
                <left style="none"/>
                <right style="none"/>
                <top style="none"/>
                <bottom style="thin">
                  <color auto="1"/>
                </bottom>
                <diagonal style="none"/>
                <vertical style="none"/>
                <horizontal style="none"/>
              </border>
            </x14:dxf>
          </x14:cfRule>
          <xm:sqref>C39:C42</xm:sqref>
        </x14:conditionalFormatting>
        <x14:conditionalFormatting xmlns:xm="http://schemas.microsoft.com/office/excel/2006/main">
          <x14:cfRule type="expression" priority="103" id="{0035004E-00E8-46EC-A754-005A00BD006C}">
            <xm:f>$B42&lt;&gt;#REF!</xm:f>
            <x14:dxf>
              <border>
                <left style="none"/>
                <right style="none"/>
                <top style="none"/>
                <bottom style="thin">
                  <color auto="1"/>
                </bottom>
                <diagonal style="none"/>
                <vertical style="none"/>
                <horizontal style="none"/>
              </border>
            </x14:dxf>
          </x14:cfRule>
          <xm:sqref>E42:H42</xm:sqref>
        </x14:conditionalFormatting>
        <x14:conditionalFormatting xmlns:xm="http://schemas.microsoft.com/office/excel/2006/main">
          <x14:cfRule type="expression" priority="102" id="{004C0006-0054-4535-B5DA-001D004D0060}">
            <xm:f>$B39&lt;&gt;$B40</xm:f>
            <x14:dxf>
              <border>
                <left style="none"/>
                <right style="none"/>
                <top style="none"/>
                <bottom style="thin">
                  <color auto="1"/>
                </bottom>
                <diagonal style="none"/>
                <vertical style="none"/>
                <horizontal style="none"/>
              </border>
            </x14:dxf>
          </x14:cfRule>
          <xm:sqref>E39:H41</xm:sqref>
        </x14:conditionalFormatting>
        <x14:conditionalFormatting xmlns:xm="http://schemas.microsoft.com/office/excel/2006/main">
          <x14:cfRule type="expression" priority="101" id="{0054001B-00EF-4696-8312-0019001A0047}">
            <xm:f>$B35&lt;&gt;#REF!</xm:f>
            <x14:dxf>
              <border>
                <left style="none"/>
                <right style="none"/>
                <top style="none"/>
                <bottom style="thin">
                  <color auto="1"/>
                </bottom>
                <diagonal style="none"/>
                <vertical style="none"/>
                <horizontal style="none"/>
              </border>
            </x14:dxf>
          </x14:cfRule>
          <xm:sqref>C35</xm:sqref>
        </x14:conditionalFormatting>
        <x14:conditionalFormatting xmlns:xm="http://schemas.microsoft.com/office/excel/2006/main">
          <x14:cfRule type="expression" priority="100" id="{002500CC-00C0-49B9-BC70-008A004700D5}">
            <xm:f>$B35&lt;&gt;#REF!</xm:f>
            <x14:dxf>
              <border>
                <left style="none"/>
                <right style="none"/>
                <top style="none"/>
                <bottom style="thin">
                  <color auto="1"/>
                </bottom>
                <diagonal style="none"/>
                <vertical style="none"/>
                <horizontal style="none"/>
              </border>
            </x14:dxf>
          </x14:cfRule>
          <xm:sqref>E35:H35</xm:sqref>
        </x14:conditionalFormatting>
        <x14:conditionalFormatting xmlns:xm="http://schemas.microsoft.com/office/excel/2006/main">
          <x14:cfRule type="expression" priority="99" id="{006E009E-0013-4B0E-8B38-00C50026007D}">
            <xm:f>$B65&lt;&gt;#REF!</xm:f>
            <x14:dxf>
              <border>
                <left style="none"/>
                <right style="none"/>
                <top style="none"/>
                <bottom style="thin">
                  <color auto="1"/>
                </bottom>
                <diagonal style="none"/>
                <vertical style="none"/>
                <horizontal style="none"/>
              </border>
            </x14:dxf>
          </x14:cfRule>
          <xm:sqref>E65</xm:sqref>
        </x14:conditionalFormatting>
        <x14:conditionalFormatting xmlns:xm="http://schemas.microsoft.com/office/excel/2006/main">
          <x14:cfRule type="expression" priority="98" id="{005800E1-0044-4710-ABD0-003E00BC0060}">
            <xm:f>$B59&lt;&gt;$B60</xm:f>
            <x14:dxf>
              <border>
                <left style="none"/>
                <right style="none"/>
                <top style="none"/>
                <bottom style="thin">
                  <color auto="1"/>
                </bottom>
                <diagonal style="none"/>
                <vertical style="none"/>
                <horizontal style="none"/>
              </border>
            </x14:dxf>
          </x14:cfRule>
          <xm:sqref>E59:E64 E66:E70</xm:sqref>
        </x14:conditionalFormatting>
        <x14:conditionalFormatting xmlns:xm="http://schemas.microsoft.com/office/excel/2006/main">
          <x14:cfRule type="expression" priority="97" id="{00BE004A-007C-4AE9-B733-006100FA005F}">
            <xm:f>$B65&lt;&gt;#REF!</xm:f>
            <x14:dxf>
              <border>
                <left style="none"/>
                <right style="none"/>
                <top style="none"/>
                <bottom style="thin">
                  <color auto="1"/>
                </bottom>
                <diagonal style="none"/>
                <vertical style="none"/>
                <horizontal style="none"/>
              </border>
            </x14:dxf>
          </x14:cfRule>
          <xm:sqref>G65</xm:sqref>
        </x14:conditionalFormatting>
        <x14:conditionalFormatting xmlns:xm="http://schemas.microsoft.com/office/excel/2006/main">
          <x14:cfRule type="expression" priority="96" id="{001200A1-00A8-4994-BC8D-00DC00D400C3}">
            <xm:f>$B59&lt;&gt;$B60</xm:f>
            <x14:dxf>
              <border>
                <left style="none"/>
                <right style="none"/>
                <top style="none"/>
                <bottom style="thin">
                  <color auto="1"/>
                </bottom>
                <diagonal style="none"/>
                <vertical style="none"/>
                <horizontal style="none"/>
              </border>
            </x14:dxf>
          </x14:cfRule>
          <xm:sqref>G59:G64 G66:G70</xm:sqref>
        </x14:conditionalFormatting>
        <x14:conditionalFormatting xmlns:xm="http://schemas.microsoft.com/office/excel/2006/main">
          <x14:cfRule type="expression" priority="95" id="{00D9004A-001A-4679-B063-007B006600CE}">
            <xm:f>$B72&lt;&gt;$B73</xm:f>
            <x14:dxf>
              <border>
                <left style="none"/>
                <right style="none"/>
                <top style="none"/>
                <bottom style="thin">
                  <color auto="1"/>
                </bottom>
                <diagonal style="none"/>
                <vertical style="none"/>
                <horizontal style="none"/>
              </border>
            </x14:dxf>
          </x14:cfRule>
          <xm:sqref>E72:E74</xm:sqref>
        </x14:conditionalFormatting>
        <x14:conditionalFormatting xmlns:xm="http://schemas.microsoft.com/office/excel/2006/main">
          <x14:cfRule type="expression" priority="94" id="{002C003E-004F-46CD-92C5-006E008900D6}">
            <xm:f>$B72&lt;&gt;$B73</xm:f>
            <x14:dxf>
              <border>
                <left style="none"/>
                <right style="none"/>
                <top style="none"/>
                <bottom style="thin">
                  <color auto="1"/>
                </bottom>
                <diagonal style="none"/>
                <vertical style="none"/>
                <horizontal style="none"/>
              </border>
            </x14:dxf>
          </x14:cfRule>
          <xm:sqref>H72:H73</xm:sqref>
        </x14:conditionalFormatting>
        <x14:conditionalFormatting xmlns:xm="http://schemas.microsoft.com/office/excel/2006/main">
          <x14:cfRule type="expression" priority="93" id="{00DE00F1-006C-4E1B-BB28-0022009F0049}">
            <xm:f>$B72&lt;&gt;$B73</xm:f>
            <x14:dxf>
              <border>
                <left style="none"/>
                <right style="none"/>
                <top style="none"/>
                <bottom style="thin">
                  <color auto="1"/>
                </bottom>
                <diagonal style="none"/>
                <vertical style="none"/>
                <horizontal style="none"/>
              </border>
            </x14:dxf>
          </x14:cfRule>
          <xm:sqref>G72:G73</xm:sqref>
        </x14:conditionalFormatting>
        <x14:conditionalFormatting xmlns:xm="http://schemas.microsoft.com/office/excel/2006/main">
          <x14:cfRule type="expression" priority="92" id="{004500E7-00FC-4976-B60D-005A00CE0040}">
            <xm:f>$B74&lt;&gt;$B75</xm:f>
            <x14:dxf>
              <border>
                <left style="none"/>
                <right style="none"/>
                <top style="none"/>
                <bottom style="thin">
                  <color auto="1"/>
                </bottom>
                <diagonal style="none"/>
                <vertical style="none"/>
                <horizontal style="none"/>
              </border>
            </x14:dxf>
          </x14:cfRule>
          <xm:sqref>H74:H75</xm:sqref>
        </x14:conditionalFormatting>
        <x14:conditionalFormatting xmlns:xm="http://schemas.microsoft.com/office/excel/2006/main">
          <x14:cfRule type="expression" priority="91" id="{005200B5-006C-407C-AA95-002100620062}">
            <xm:f>$B74&lt;&gt;$B75</xm:f>
            <x14:dxf>
              <border>
                <left style="none"/>
                <right style="none"/>
                <top style="none"/>
                <bottom style="thin">
                  <color auto="1"/>
                </bottom>
                <diagonal style="none"/>
                <vertical style="none"/>
                <horizontal style="none"/>
              </border>
            </x14:dxf>
          </x14:cfRule>
          <xm:sqref>G74:G75</xm:sqref>
        </x14:conditionalFormatting>
        <x14:conditionalFormatting xmlns:xm="http://schemas.microsoft.com/office/excel/2006/main">
          <x14:cfRule type="expression" priority="90" id="{00BD00EF-0077-4F73-B55A-0039002400F5}">
            <xm:f>$B77&lt;&gt;$B78</xm:f>
            <x14:dxf>
              <border>
                <left style="none"/>
                <right style="none"/>
                <top style="none"/>
                <bottom style="thin">
                  <color auto="1"/>
                </bottom>
                <diagonal style="none"/>
                <vertical style="none"/>
                <horizontal style="none"/>
              </border>
            </x14:dxf>
          </x14:cfRule>
          <xm:sqref>D77 F77 D78:F78</xm:sqref>
        </x14:conditionalFormatting>
        <x14:conditionalFormatting xmlns:xm="http://schemas.microsoft.com/office/excel/2006/main">
          <x14:cfRule type="expression" priority="89" id="{00BD0011-00E1-4F7D-B587-00F000110017}">
            <xm:f>$B77&lt;&gt;$B78</xm:f>
            <x14:dxf>
              <border>
                <left style="none"/>
                <right style="none"/>
                <top style="none"/>
                <bottom style="thin">
                  <color auto="1"/>
                </bottom>
                <diagonal style="none"/>
                <vertical style="none"/>
                <horizontal style="none"/>
              </border>
            </x14:dxf>
          </x14:cfRule>
          <xm:sqref>E77</xm:sqref>
        </x14:conditionalFormatting>
        <x14:conditionalFormatting xmlns:xm="http://schemas.microsoft.com/office/excel/2006/main">
          <x14:cfRule type="expression" priority="88" id="{00CA006B-0079-4F67-AF76-0092006B00AF}">
            <xm:f>$B77&lt;&gt;$B78</xm:f>
            <x14:dxf>
              <border>
                <left style="none"/>
                <right style="none"/>
                <top style="none"/>
                <bottom style="thin">
                  <color auto="1"/>
                </bottom>
                <diagonal style="none"/>
                <vertical style="none"/>
                <horizontal style="none"/>
              </border>
            </x14:dxf>
          </x14:cfRule>
          <xm:sqref>H77:H78</xm:sqref>
        </x14:conditionalFormatting>
        <x14:conditionalFormatting xmlns:xm="http://schemas.microsoft.com/office/excel/2006/main">
          <x14:cfRule type="expression" priority="87" id="{00ED00AB-005B-4BF8-9984-00A6008C00DC}">
            <xm:f>$B77&lt;&gt;$B78</xm:f>
            <x14:dxf>
              <border>
                <left style="none"/>
                <right style="none"/>
                <top style="none"/>
                <bottom style="thin">
                  <color auto="1"/>
                </bottom>
                <diagonal style="none"/>
                <vertical style="none"/>
                <horizontal style="none"/>
              </border>
            </x14:dxf>
          </x14:cfRule>
          <xm:sqref>G77:G78</xm:sqref>
        </x14:conditionalFormatting>
        <x14:conditionalFormatting xmlns:xm="http://schemas.microsoft.com/office/excel/2006/main">
          <x14:cfRule type="expression" priority="86" id="{007200B0-009F-4A5B-8CDF-00B000E4007F}">
            <xm:f>$B79&lt;&gt;$B80</xm:f>
            <x14:dxf>
              <border>
                <left style="none"/>
                <right style="none"/>
                <top style="none"/>
                <bottom style="thin">
                  <color auto="1"/>
                </bottom>
                <diagonal style="none"/>
                <vertical style="none"/>
                <horizontal style="none"/>
              </border>
            </x14:dxf>
          </x14:cfRule>
          <xm:sqref>I79:J80 A79:C80</xm:sqref>
        </x14:conditionalFormatting>
        <x14:conditionalFormatting xmlns:xm="http://schemas.microsoft.com/office/excel/2006/main">
          <x14:cfRule type="expression" priority="85" id="{003100EA-00B6-4381-AB64-00A500A000B0}">
            <xm:f>$B79&lt;&gt;$B80</xm:f>
            <x14:dxf>
              <border>
                <left style="none"/>
                <right style="none"/>
                <top style="none"/>
                <bottom style="thin">
                  <color auto="1"/>
                </bottom>
                <diagonal style="none"/>
                <vertical style="none"/>
                <horizontal style="none"/>
              </border>
            </x14:dxf>
          </x14:cfRule>
          <xm:sqref>D79 F79 D80:F80</xm:sqref>
        </x14:conditionalFormatting>
        <x14:conditionalFormatting xmlns:xm="http://schemas.microsoft.com/office/excel/2006/main">
          <x14:cfRule type="expression" priority="84" id="{00D20053-00C2-46F6-8AF5-0057007D0021}">
            <xm:f>$B79&lt;&gt;$B80</xm:f>
            <x14:dxf>
              <border>
                <left style="none"/>
                <right style="none"/>
                <top style="none"/>
                <bottom style="thin">
                  <color auto="1"/>
                </bottom>
                <diagonal style="none"/>
                <vertical style="none"/>
                <horizontal style="none"/>
              </border>
            </x14:dxf>
          </x14:cfRule>
          <xm:sqref>E79</xm:sqref>
        </x14:conditionalFormatting>
        <x14:conditionalFormatting xmlns:xm="http://schemas.microsoft.com/office/excel/2006/main">
          <x14:cfRule type="expression" priority="83" id="{00D40034-00D6-4554-9D71-002B00F9004E}">
            <xm:f>$B79&lt;&gt;$B80</xm:f>
            <x14:dxf>
              <border>
                <left style="none"/>
                <right style="none"/>
                <top style="none"/>
                <bottom style="thin">
                  <color auto="1"/>
                </bottom>
                <diagonal style="none"/>
                <vertical style="none"/>
                <horizontal style="none"/>
              </border>
            </x14:dxf>
          </x14:cfRule>
          <xm:sqref>H79:H80</xm:sqref>
        </x14:conditionalFormatting>
        <x14:conditionalFormatting xmlns:xm="http://schemas.microsoft.com/office/excel/2006/main">
          <x14:cfRule type="expression" priority="82" id="{00330088-0077-4A83-BB7E-00C700E400BA}">
            <xm:f>$B79&lt;&gt;$B80</xm:f>
            <x14:dxf>
              <border>
                <left style="none"/>
                <right style="none"/>
                <top style="none"/>
                <bottom style="thin">
                  <color auto="1"/>
                </bottom>
                <diagonal style="none"/>
                <vertical style="none"/>
                <horizontal style="none"/>
              </border>
            </x14:dxf>
          </x14:cfRule>
          <xm:sqref>G79:G80</xm:sqref>
        </x14:conditionalFormatting>
        <x14:conditionalFormatting xmlns:xm="http://schemas.microsoft.com/office/excel/2006/main">
          <x14:cfRule type="expression" priority="81" id="{000400C9-004B-4AE3-91BC-0060002D0017}">
            <xm:f>$B81&lt;&gt;$B82</xm:f>
            <x14:dxf>
              <border>
                <left style="none"/>
                <right style="none"/>
                <top style="none"/>
                <bottom style="thin">
                  <color auto="1"/>
                </bottom>
                <diagonal style="none"/>
                <vertical style="none"/>
                <horizontal style="none"/>
              </border>
            </x14:dxf>
          </x14:cfRule>
          <xm:sqref>A81</xm:sqref>
        </x14:conditionalFormatting>
        <x14:conditionalFormatting xmlns:xm="http://schemas.microsoft.com/office/excel/2006/main">
          <x14:cfRule type="expression" priority="80" id="{00310091-00E0-4CE2-A3F7-008D002000C8}">
            <xm:f>$B82&lt;&gt;$B83</xm:f>
            <x14:dxf>
              <border>
                <left style="none"/>
                <right style="none"/>
                <top style="none"/>
                <bottom style="thin">
                  <color auto="1"/>
                </bottom>
                <diagonal style="none"/>
                <vertical style="none"/>
                <horizontal style="none"/>
              </border>
            </x14:dxf>
          </x14:cfRule>
          <xm:sqref>A82</xm:sqref>
        </x14:conditionalFormatting>
        <x14:conditionalFormatting xmlns:xm="http://schemas.microsoft.com/office/excel/2006/main">
          <x14:cfRule type="expression" priority="79" id="{004C0002-00AC-4792-BFF8-007800BC00D9}">
            <xm:f>$B81&lt;&gt;$B82</xm:f>
            <x14:dxf>
              <border>
                <left style="none"/>
                <right style="none"/>
                <top style="none"/>
                <bottom style="thin">
                  <color auto="1"/>
                </bottom>
                <diagonal style="none"/>
                <vertical style="none"/>
                <horizontal style="none"/>
              </border>
            </x14:dxf>
          </x14:cfRule>
          <xm:sqref>D81 F81 D82:F82</xm:sqref>
        </x14:conditionalFormatting>
        <x14:conditionalFormatting xmlns:xm="http://schemas.microsoft.com/office/excel/2006/main">
          <x14:cfRule type="expression" priority="78" id="{00570048-00E9-4340-A31B-006100C90091}">
            <xm:f>$B81&lt;&gt;$B82</xm:f>
            <x14:dxf>
              <border>
                <left style="none"/>
                <right style="none"/>
                <top style="none"/>
                <bottom style="thin">
                  <color auto="1"/>
                </bottom>
                <diagonal style="none"/>
                <vertical style="none"/>
                <horizontal style="none"/>
              </border>
            </x14:dxf>
          </x14:cfRule>
          <xm:sqref>E81</xm:sqref>
        </x14:conditionalFormatting>
        <x14:conditionalFormatting xmlns:xm="http://schemas.microsoft.com/office/excel/2006/main">
          <x14:cfRule type="expression" priority="77" id="{00BB00FE-00B9-40F3-A58C-00EF00A80016}">
            <xm:f>$B81&lt;&gt;$B82</xm:f>
            <x14:dxf>
              <border>
                <left style="none"/>
                <right style="none"/>
                <top style="none"/>
                <bottom style="thin">
                  <color auto="1"/>
                </bottom>
                <diagonal style="none"/>
                <vertical style="none"/>
                <horizontal style="none"/>
              </border>
            </x14:dxf>
          </x14:cfRule>
          <xm:sqref>H81:H82</xm:sqref>
        </x14:conditionalFormatting>
        <x14:conditionalFormatting xmlns:xm="http://schemas.microsoft.com/office/excel/2006/main">
          <x14:cfRule type="expression" priority="76" id="{004500ED-000B-476C-8E7B-007A008B00D9}">
            <xm:f>$B81&lt;&gt;$B82</xm:f>
            <x14:dxf>
              <border>
                <left style="none"/>
                <right style="none"/>
                <top style="none"/>
                <bottom style="thin">
                  <color auto="1"/>
                </bottom>
                <diagonal style="none"/>
                <vertical style="none"/>
                <horizontal style="none"/>
              </border>
            </x14:dxf>
          </x14:cfRule>
          <xm:sqref>G81:G82</xm:sqref>
        </x14:conditionalFormatting>
        <x14:conditionalFormatting xmlns:xm="http://schemas.microsoft.com/office/excel/2006/main">
          <x14:cfRule type="expression" priority="75" id="{00A200A5-0075-4B11-A4B2-0073006500C7}">
            <xm:f>$B83&lt;&gt;$B84</xm:f>
            <x14:dxf>
              <border>
                <left style="none"/>
                <right style="none"/>
                <top style="none"/>
                <bottom style="thin">
                  <color auto="1"/>
                </bottom>
                <diagonal style="none"/>
                <vertical style="none"/>
                <horizontal style="none"/>
              </border>
            </x14:dxf>
          </x14:cfRule>
          <xm:sqref>A83</xm:sqref>
        </x14:conditionalFormatting>
        <x14:conditionalFormatting xmlns:xm="http://schemas.microsoft.com/office/excel/2006/main">
          <x14:cfRule type="expression" priority="74" id="{000600D5-00FF-46F0-8B4A-00B70006003E}">
            <xm:f>$B84&lt;&gt;$B85</xm:f>
            <x14:dxf>
              <border>
                <left style="none"/>
                <right style="none"/>
                <top style="none"/>
                <bottom style="thin">
                  <color auto="1"/>
                </bottom>
                <diagonal style="none"/>
                <vertical style="none"/>
                <horizontal style="none"/>
              </border>
            </x14:dxf>
          </x14:cfRule>
          <xm:sqref>A84</xm:sqref>
        </x14:conditionalFormatting>
        <x14:conditionalFormatting xmlns:xm="http://schemas.microsoft.com/office/excel/2006/main">
          <x14:cfRule type="expression" priority="73" id="{00570056-00FE-4D7E-8EDA-000000C500A7}">
            <xm:f>$B85&lt;&gt;$B86</xm:f>
            <x14:dxf>
              <border>
                <left style="none"/>
                <right style="none"/>
                <top style="none"/>
                <bottom style="thin">
                  <color auto="1"/>
                </bottom>
                <diagonal style="none"/>
                <vertical style="none"/>
                <horizontal style="none"/>
              </border>
            </x14:dxf>
          </x14:cfRule>
          <xm:sqref>A85</xm:sqref>
        </x14:conditionalFormatting>
        <x14:conditionalFormatting xmlns:xm="http://schemas.microsoft.com/office/excel/2006/main">
          <x14:cfRule type="expression" priority="72" id="{00A2003B-0000-4DDB-B0B5-001300D00089}">
            <xm:f>$B86&lt;&gt;$B87</xm:f>
            <x14:dxf>
              <border>
                <left style="none"/>
                <right style="none"/>
                <top style="none"/>
                <bottom style="thin">
                  <color auto="1"/>
                </bottom>
                <diagonal style="none"/>
                <vertical style="none"/>
                <horizontal style="none"/>
              </border>
            </x14:dxf>
          </x14:cfRule>
          <xm:sqref>A86</xm:sqref>
        </x14:conditionalFormatting>
        <x14:conditionalFormatting xmlns:xm="http://schemas.microsoft.com/office/excel/2006/main">
          <x14:cfRule type="expression" priority="71" id="{00620019-00A0-4924-B467-00FB00AE0065}">
            <xm:f>$B83&lt;&gt;$B84</xm:f>
            <x14:dxf>
              <border>
                <left style="none"/>
                <right style="none"/>
                <top style="none"/>
                <bottom style="thin">
                  <color auto="1"/>
                </bottom>
                <diagonal style="none"/>
                <vertical style="none"/>
                <horizontal style="none"/>
              </border>
            </x14:dxf>
          </x14:cfRule>
          <xm:sqref>D83 F83</xm:sqref>
        </x14:conditionalFormatting>
        <x14:conditionalFormatting xmlns:xm="http://schemas.microsoft.com/office/excel/2006/main">
          <x14:cfRule type="expression" priority="70" id="{0077009D-00B6-49CF-919A-00E100D000A7}">
            <xm:f>$B83&lt;&gt;$B84</xm:f>
            <x14:dxf>
              <border>
                <left style="none"/>
                <right style="none"/>
                <top style="none"/>
                <bottom style="thin">
                  <color auto="1"/>
                </bottom>
                <diagonal style="none"/>
                <vertical style="none"/>
                <horizontal style="none"/>
              </border>
            </x14:dxf>
          </x14:cfRule>
          <xm:sqref>E83</xm:sqref>
        </x14:conditionalFormatting>
        <x14:conditionalFormatting xmlns:xm="http://schemas.microsoft.com/office/excel/2006/main">
          <x14:cfRule type="expression" priority="69" id="{00250051-0068-4D9B-B5ED-0012009D007B}">
            <xm:f>$B83&lt;&gt;$B84</xm:f>
            <x14:dxf>
              <border>
                <left style="none"/>
                <right style="none"/>
                <top style="none"/>
                <bottom style="thin">
                  <color auto="1"/>
                </bottom>
                <diagonal style="none"/>
                <vertical style="none"/>
                <horizontal style="none"/>
              </border>
            </x14:dxf>
          </x14:cfRule>
          <xm:sqref>H83</xm:sqref>
        </x14:conditionalFormatting>
        <x14:conditionalFormatting xmlns:xm="http://schemas.microsoft.com/office/excel/2006/main">
          <x14:cfRule type="expression" priority="68" id="{00CA00B7-0055-4965-B5B6-001A00640039}">
            <xm:f>$B83&lt;&gt;$B84</xm:f>
            <x14:dxf>
              <border>
                <left style="none"/>
                <right style="none"/>
                <top style="none"/>
                <bottom style="thin">
                  <color auto="1"/>
                </bottom>
                <diagonal style="none"/>
                <vertical style="none"/>
                <horizontal style="none"/>
              </border>
            </x14:dxf>
          </x14:cfRule>
          <xm:sqref>G83</xm:sqref>
        </x14:conditionalFormatting>
        <x14:conditionalFormatting xmlns:xm="http://schemas.microsoft.com/office/excel/2006/main">
          <x14:cfRule type="expression" priority="67" id="{00FA008A-005B-4053-8409-004100B20004}">
            <xm:f>$B84&lt;&gt;$B85</xm:f>
            <x14:dxf>
              <border>
                <left style="none"/>
                <right style="none"/>
                <top style="none"/>
                <bottom style="thin">
                  <color auto="1"/>
                </bottom>
                <diagonal style="none"/>
                <vertical style="none"/>
                <horizontal style="none"/>
              </border>
            </x14:dxf>
          </x14:cfRule>
          <xm:sqref>D84:F84</xm:sqref>
        </x14:conditionalFormatting>
        <x14:conditionalFormatting xmlns:xm="http://schemas.microsoft.com/office/excel/2006/main">
          <x14:cfRule type="expression" priority="66" id="{009D0072-002E-4022-8A70-0091006B002B}">
            <xm:f>$B84&lt;&gt;$B85</xm:f>
            <x14:dxf>
              <border>
                <left style="none"/>
                <right style="none"/>
                <top style="none"/>
                <bottom style="thin">
                  <color auto="1"/>
                </bottom>
                <diagonal style="none"/>
                <vertical style="none"/>
                <horizontal style="none"/>
              </border>
            </x14:dxf>
          </x14:cfRule>
          <xm:sqref>H84</xm:sqref>
        </x14:conditionalFormatting>
        <x14:conditionalFormatting xmlns:xm="http://schemas.microsoft.com/office/excel/2006/main">
          <x14:cfRule type="expression" priority="65" id="{0025008C-00E8-4DEC-A770-0097008400CC}">
            <xm:f>$B84&lt;&gt;$B85</xm:f>
            <x14:dxf>
              <border>
                <left style="none"/>
                <right style="none"/>
                <top style="none"/>
                <bottom style="thin">
                  <color auto="1"/>
                </bottom>
                <diagonal style="none"/>
                <vertical style="none"/>
                <horizontal style="none"/>
              </border>
            </x14:dxf>
          </x14:cfRule>
          <xm:sqref>G84</xm:sqref>
        </x14:conditionalFormatting>
        <x14:conditionalFormatting xmlns:xm="http://schemas.microsoft.com/office/excel/2006/main">
          <x14:cfRule type="expression" priority="64" id="{0000007C-00F1-46FC-96F8-003A00A7004C}">
            <xm:f>$B85&lt;&gt;$B86</xm:f>
            <x14:dxf>
              <border>
                <left style="none"/>
                <right style="none"/>
                <top style="none"/>
                <bottom style="thin">
                  <color auto="1"/>
                </bottom>
                <diagonal style="none"/>
                <vertical style="none"/>
                <horizontal style="none"/>
              </border>
            </x14:dxf>
          </x14:cfRule>
          <xm:sqref>D85:F85</xm:sqref>
        </x14:conditionalFormatting>
        <x14:conditionalFormatting xmlns:xm="http://schemas.microsoft.com/office/excel/2006/main">
          <x14:cfRule type="expression" priority="63" id="{004400F0-00B3-4218-A670-002800BD00A3}">
            <xm:f>$B85&lt;&gt;$B86</xm:f>
            <x14:dxf>
              <border>
                <left style="none"/>
                <right style="none"/>
                <top style="none"/>
                <bottom style="thin">
                  <color auto="1"/>
                </bottom>
                <diagonal style="none"/>
                <vertical style="none"/>
                <horizontal style="none"/>
              </border>
            </x14:dxf>
          </x14:cfRule>
          <xm:sqref>H85</xm:sqref>
        </x14:conditionalFormatting>
        <x14:conditionalFormatting xmlns:xm="http://schemas.microsoft.com/office/excel/2006/main">
          <x14:cfRule type="expression" priority="62" id="{007C00DE-00B1-42B0-A68F-003F0081001E}">
            <xm:f>$B85&lt;&gt;$B86</xm:f>
            <x14:dxf>
              <border>
                <left style="none"/>
                <right style="none"/>
                <top style="none"/>
                <bottom style="thin">
                  <color auto="1"/>
                </bottom>
                <diagonal style="none"/>
                <vertical style="none"/>
                <horizontal style="none"/>
              </border>
            </x14:dxf>
          </x14:cfRule>
          <xm:sqref>G85</xm:sqref>
        </x14:conditionalFormatting>
        <x14:conditionalFormatting xmlns:xm="http://schemas.microsoft.com/office/excel/2006/main">
          <x14:cfRule type="expression" priority="61" id="{00A90047-0070-4E5D-AAA7-00E300750035}">
            <xm:f>$B86&lt;&gt;$B87</xm:f>
            <x14:dxf>
              <border>
                <left style="none"/>
                <right style="none"/>
                <top style="none"/>
                <bottom style="thin">
                  <color auto="1"/>
                </bottom>
                <diagonal style="none"/>
                <vertical style="none"/>
                <horizontal style="none"/>
              </border>
            </x14:dxf>
          </x14:cfRule>
          <xm:sqref>D86:F86</xm:sqref>
        </x14:conditionalFormatting>
        <x14:conditionalFormatting xmlns:xm="http://schemas.microsoft.com/office/excel/2006/main">
          <x14:cfRule type="expression" priority="60" id="{00150014-00D7-4372-811A-005B00810017}">
            <xm:f>$B86&lt;&gt;$B87</xm:f>
            <x14:dxf>
              <border>
                <left style="none"/>
                <right style="none"/>
                <top style="none"/>
                <bottom style="thin">
                  <color auto="1"/>
                </bottom>
                <diagonal style="none"/>
                <vertical style="none"/>
                <horizontal style="none"/>
              </border>
            </x14:dxf>
          </x14:cfRule>
          <xm:sqref>H86</xm:sqref>
        </x14:conditionalFormatting>
        <x14:conditionalFormatting xmlns:xm="http://schemas.microsoft.com/office/excel/2006/main">
          <x14:cfRule type="expression" priority="59" id="{000E00F1-00FC-43EF-802D-000C003C0094}">
            <xm:f>$B86&lt;&gt;$B87</xm:f>
            <x14:dxf>
              <border>
                <left style="none"/>
                <right style="none"/>
                <top style="none"/>
                <bottom style="thin">
                  <color auto="1"/>
                </bottom>
                <diagonal style="none"/>
                <vertical style="none"/>
                <horizontal style="none"/>
              </border>
            </x14:dxf>
          </x14:cfRule>
          <xm:sqref>G86</xm:sqref>
        </x14:conditionalFormatting>
        <x14:conditionalFormatting xmlns:xm="http://schemas.microsoft.com/office/excel/2006/main">
          <x14:cfRule type="expression" priority="58" id="{001600AA-002C-4FE1-B79F-004E0030007E}">
            <xm:f>$B87&lt;&gt;$B88</xm:f>
            <x14:dxf>
              <border>
                <left style="none"/>
                <right style="none"/>
                <top style="none"/>
                <bottom style="thin">
                  <color auto="1"/>
                </bottom>
                <diagonal style="none"/>
                <vertical style="none"/>
                <horizontal style="none"/>
              </border>
            </x14:dxf>
          </x14:cfRule>
          <xm:sqref>I87:J89 B87:C89</xm:sqref>
        </x14:conditionalFormatting>
        <x14:conditionalFormatting xmlns:xm="http://schemas.microsoft.com/office/excel/2006/main">
          <x14:cfRule type="expression" priority="57" id="{001400A8-007E-41FD-811D-0037008D00A1}">
            <xm:f>$B87&lt;&gt;$B88</xm:f>
            <x14:dxf>
              <border>
                <left style="none"/>
                <right style="none"/>
                <top style="none"/>
                <bottom style="thin">
                  <color auto="1"/>
                </bottom>
                <diagonal style="none"/>
                <vertical style="none"/>
                <horizontal style="none"/>
              </border>
            </x14:dxf>
          </x14:cfRule>
          <xm:sqref>A87</xm:sqref>
        </x14:conditionalFormatting>
        <x14:conditionalFormatting xmlns:xm="http://schemas.microsoft.com/office/excel/2006/main">
          <x14:cfRule type="expression" priority="56" id="{006E0087-003C-4ADA-BC21-0028000300FF}">
            <xm:f>$B88&lt;&gt;$B89</xm:f>
            <x14:dxf>
              <border>
                <left style="none"/>
                <right style="none"/>
                <top style="none"/>
                <bottom style="thin">
                  <color auto="1"/>
                </bottom>
                <diagonal style="none"/>
                <vertical style="none"/>
                <horizontal style="none"/>
              </border>
            </x14:dxf>
          </x14:cfRule>
          <xm:sqref>A88</xm:sqref>
        </x14:conditionalFormatting>
        <x14:conditionalFormatting xmlns:xm="http://schemas.microsoft.com/office/excel/2006/main">
          <x14:cfRule type="expression" priority="55" id="{000D0076-000C-458F-B408-001B00930078}">
            <xm:f>$B89&lt;&gt;$B90</xm:f>
            <x14:dxf>
              <border>
                <left style="none"/>
                <right style="none"/>
                <top style="none"/>
                <bottom style="thin">
                  <color auto="1"/>
                </bottom>
                <diagonal style="none"/>
                <vertical style="none"/>
                <horizontal style="none"/>
              </border>
            </x14:dxf>
          </x14:cfRule>
          <xm:sqref>A89</xm:sqref>
        </x14:conditionalFormatting>
        <x14:conditionalFormatting xmlns:xm="http://schemas.microsoft.com/office/excel/2006/main">
          <x14:cfRule type="expression" priority="54" id="{00920033-00E5-43F1-932E-003B00C4003C}">
            <xm:f>$B87&lt;&gt;$B88</xm:f>
            <x14:dxf>
              <border>
                <left style="none"/>
                <right style="none"/>
                <top style="none"/>
                <bottom style="thin">
                  <color auto="1"/>
                </bottom>
                <diagonal style="none"/>
                <vertical style="none"/>
                <horizontal style="none"/>
              </border>
            </x14:dxf>
          </x14:cfRule>
          <xm:sqref>D87 F87</xm:sqref>
        </x14:conditionalFormatting>
        <x14:conditionalFormatting xmlns:xm="http://schemas.microsoft.com/office/excel/2006/main">
          <x14:cfRule type="expression" priority="53" id="{00E90085-0039-4EE9-B903-0091006B0073}">
            <xm:f>$B87&lt;&gt;$B88</xm:f>
            <x14:dxf>
              <border>
                <left style="none"/>
                <right style="none"/>
                <top style="none"/>
                <bottom style="thin">
                  <color auto="1"/>
                </bottom>
                <diagonal style="none"/>
                <vertical style="none"/>
                <horizontal style="none"/>
              </border>
            </x14:dxf>
          </x14:cfRule>
          <xm:sqref>E87</xm:sqref>
        </x14:conditionalFormatting>
        <x14:conditionalFormatting xmlns:xm="http://schemas.microsoft.com/office/excel/2006/main">
          <x14:cfRule type="expression" priority="52" id="{00610084-00E1-4BE9-817E-005A00AD003C}">
            <xm:f>$B87&lt;&gt;$B88</xm:f>
            <x14:dxf>
              <border>
                <left style="none"/>
                <right style="none"/>
                <top style="none"/>
                <bottom style="thin">
                  <color auto="1"/>
                </bottom>
                <diagonal style="none"/>
                <vertical style="none"/>
                <horizontal style="none"/>
              </border>
            </x14:dxf>
          </x14:cfRule>
          <xm:sqref>H87</xm:sqref>
        </x14:conditionalFormatting>
        <x14:conditionalFormatting xmlns:xm="http://schemas.microsoft.com/office/excel/2006/main">
          <x14:cfRule type="expression" priority="51" id="{00E90011-003F-48AC-A803-00C900A00074}">
            <xm:f>$B87&lt;&gt;$B88</xm:f>
            <x14:dxf>
              <border>
                <left style="none"/>
                <right style="none"/>
                <top style="none"/>
                <bottom style="thin">
                  <color auto="1"/>
                </bottom>
                <diagonal style="none"/>
                <vertical style="none"/>
                <horizontal style="none"/>
              </border>
            </x14:dxf>
          </x14:cfRule>
          <xm:sqref>G87</xm:sqref>
        </x14:conditionalFormatting>
        <x14:conditionalFormatting xmlns:xm="http://schemas.microsoft.com/office/excel/2006/main">
          <x14:cfRule type="expression" priority="50" id="{00A50087-003A-4432-860A-0006004D0004}">
            <xm:f>$B88&lt;&gt;$B89</xm:f>
            <x14:dxf>
              <border>
                <left style="none"/>
                <right style="none"/>
                <top style="none"/>
                <bottom style="thin">
                  <color auto="1"/>
                </bottom>
                <diagonal style="none"/>
                <vertical style="none"/>
                <horizontal style="none"/>
              </border>
            </x14:dxf>
          </x14:cfRule>
          <xm:sqref>D88:F88</xm:sqref>
        </x14:conditionalFormatting>
        <x14:conditionalFormatting xmlns:xm="http://schemas.microsoft.com/office/excel/2006/main">
          <x14:cfRule type="expression" priority="49" id="{008D0077-009B-4651-9671-0016001800A5}">
            <xm:f>$B88&lt;&gt;$B89</xm:f>
            <x14:dxf>
              <border>
                <left style="none"/>
                <right style="none"/>
                <top style="none"/>
                <bottom style="thin">
                  <color auto="1"/>
                </bottom>
                <diagonal style="none"/>
                <vertical style="none"/>
                <horizontal style="none"/>
              </border>
            </x14:dxf>
          </x14:cfRule>
          <xm:sqref>H88</xm:sqref>
        </x14:conditionalFormatting>
        <x14:conditionalFormatting xmlns:xm="http://schemas.microsoft.com/office/excel/2006/main">
          <x14:cfRule type="expression" priority="48" id="{00280092-0028-4FB3-83D2-00A300D20048}">
            <xm:f>$B88&lt;&gt;$B89</xm:f>
            <x14:dxf>
              <border>
                <left style="none"/>
                <right style="none"/>
                <top style="none"/>
                <bottom style="thin">
                  <color auto="1"/>
                </bottom>
                <diagonal style="none"/>
                <vertical style="none"/>
                <horizontal style="none"/>
              </border>
            </x14:dxf>
          </x14:cfRule>
          <xm:sqref>G88</xm:sqref>
        </x14:conditionalFormatting>
        <x14:conditionalFormatting xmlns:xm="http://schemas.microsoft.com/office/excel/2006/main">
          <x14:cfRule type="expression" priority="47" id="{009F005D-003D-439B-AA25-002C005C00C8}">
            <xm:f>$B89&lt;&gt;$B90</xm:f>
            <x14:dxf>
              <border>
                <left style="none"/>
                <right style="none"/>
                <top style="none"/>
                <bottom style="thin">
                  <color auto="1"/>
                </bottom>
                <diagonal style="none"/>
                <vertical style="none"/>
                <horizontal style="none"/>
              </border>
            </x14:dxf>
          </x14:cfRule>
          <xm:sqref>D89:F89</xm:sqref>
        </x14:conditionalFormatting>
        <x14:conditionalFormatting xmlns:xm="http://schemas.microsoft.com/office/excel/2006/main">
          <x14:cfRule type="expression" priority="46" id="{00430062-001C-459E-A8AE-00940064008A}">
            <xm:f>$B89&lt;&gt;$B90</xm:f>
            <x14:dxf>
              <border>
                <left style="none"/>
                <right style="none"/>
                <top style="none"/>
                <bottom style="thin">
                  <color auto="1"/>
                </bottom>
                <diagonal style="none"/>
                <vertical style="none"/>
                <horizontal style="none"/>
              </border>
            </x14:dxf>
          </x14:cfRule>
          <xm:sqref>H89</xm:sqref>
        </x14:conditionalFormatting>
        <x14:conditionalFormatting xmlns:xm="http://schemas.microsoft.com/office/excel/2006/main">
          <x14:cfRule type="expression" priority="45" id="{005B0013-0049-4C13-8AB6-00D100780034}">
            <xm:f>$B89&lt;&gt;$B90</xm:f>
            <x14:dxf>
              <border>
                <left style="none"/>
                <right style="none"/>
                <top style="none"/>
                <bottom style="thin">
                  <color auto="1"/>
                </bottom>
                <diagonal style="none"/>
                <vertical style="none"/>
                <horizontal style="none"/>
              </border>
            </x14:dxf>
          </x14:cfRule>
          <xm:sqref>G89</xm:sqref>
        </x14:conditionalFormatting>
        <x14:conditionalFormatting xmlns:xm="http://schemas.microsoft.com/office/excel/2006/main">
          <x14:cfRule type="expression" priority="43" id="{00A700F6-001F-48DF-BFAA-008C00B7001B}">
            <xm:f>$B90&lt;&gt;$B91</xm:f>
            <x14:dxf>
              <border>
                <left style="none"/>
                <right style="none"/>
                <top style="none"/>
                <bottom style="thin">
                  <color auto="1"/>
                </bottom>
                <diagonal style="none"/>
                <vertical style="none"/>
                <horizontal style="none"/>
              </border>
            </x14:dxf>
          </x14:cfRule>
          <xm:sqref>A90</xm:sqref>
        </x14:conditionalFormatting>
        <x14:conditionalFormatting xmlns:xm="http://schemas.microsoft.com/office/excel/2006/main">
          <x14:cfRule type="expression" priority="42" id="{00EA00B6-0079-4E60-84E9-001B0022007B}">
            <xm:f>$B91&lt;&gt;$B92</xm:f>
            <x14:dxf>
              <border>
                <left style="none"/>
                <right style="none"/>
                <top style="none"/>
                <bottom style="thin">
                  <color auto="1"/>
                </bottom>
                <diagonal style="none"/>
                <vertical style="none"/>
                <horizontal style="none"/>
              </border>
            </x14:dxf>
          </x14:cfRule>
          <xm:sqref>A91</xm:sqref>
        </x14:conditionalFormatting>
        <x14:conditionalFormatting xmlns:xm="http://schemas.microsoft.com/office/excel/2006/main">
          <x14:cfRule type="expression" priority="40" id="{009B00BE-000A-4D66-9525-00A7004A00DD}">
            <xm:f>$B90&lt;&gt;$B91</xm:f>
            <x14:dxf>
              <border>
                <left style="none"/>
                <right style="none"/>
                <top style="none"/>
                <bottom style="thin">
                  <color auto="1"/>
                </bottom>
                <diagonal style="none"/>
                <vertical style="none"/>
                <horizontal style="none"/>
              </border>
            </x14:dxf>
          </x14:cfRule>
          <xm:sqref>D90 F90</xm:sqref>
        </x14:conditionalFormatting>
        <x14:conditionalFormatting xmlns:xm="http://schemas.microsoft.com/office/excel/2006/main">
          <x14:cfRule type="expression" priority="39" id="{00F300F1-0034-4FD8-8DB6-0021008F0082}">
            <xm:f>$B90&lt;&gt;$B91</xm:f>
            <x14:dxf>
              <border>
                <left style="none"/>
                <right style="none"/>
                <top style="none"/>
                <bottom style="thin">
                  <color auto="1"/>
                </bottom>
                <diagonal style="none"/>
                <vertical style="none"/>
                <horizontal style="none"/>
              </border>
            </x14:dxf>
          </x14:cfRule>
          <xm:sqref>E90</xm:sqref>
        </x14:conditionalFormatting>
        <x14:conditionalFormatting xmlns:xm="http://schemas.microsoft.com/office/excel/2006/main">
          <x14:cfRule type="expression" priority="38" id="{00180071-00B8-469D-AD67-00C2007E00EB}">
            <xm:f>$B90&lt;&gt;$B91</xm:f>
            <x14:dxf>
              <border>
                <left style="none"/>
                <right style="none"/>
                <top style="none"/>
                <bottom style="thin">
                  <color auto="1"/>
                </bottom>
                <diagonal style="none"/>
                <vertical style="none"/>
                <horizontal style="none"/>
              </border>
            </x14:dxf>
          </x14:cfRule>
          <xm:sqref>H90</xm:sqref>
        </x14:conditionalFormatting>
        <x14:conditionalFormatting xmlns:xm="http://schemas.microsoft.com/office/excel/2006/main">
          <x14:cfRule type="expression" priority="37" id="{00E30025-00E4-4306-997B-002E008D00DB}">
            <xm:f>$B90&lt;&gt;$B91</xm:f>
            <x14:dxf>
              <border>
                <left style="none"/>
                <right style="none"/>
                <top style="none"/>
                <bottom style="thin">
                  <color auto="1"/>
                </bottom>
                <diagonal style="none"/>
                <vertical style="none"/>
                <horizontal style="none"/>
              </border>
            </x14:dxf>
          </x14:cfRule>
          <xm:sqref>G90</xm:sqref>
        </x14:conditionalFormatting>
        <x14:conditionalFormatting xmlns:xm="http://schemas.microsoft.com/office/excel/2006/main">
          <x14:cfRule type="expression" priority="36" id="{00590030-001C-49D7-A9B5-005E00CD002F}">
            <xm:f>$B91&lt;&gt;$B92</xm:f>
            <x14:dxf>
              <border>
                <left style="none"/>
                <right style="none"/>
                <top style="none"/>
                <bottom style="thin">
                  <color auto="1"/>
                </bottom>
                <diagonal style="none"/>
                <vertical style="none"/>
                <horizontal style="none"/>
              </border>
            </x14:dxf>
          </x14:cfRule>
          <xm:sqref>D91:F91</xm:sqref>
        </x14:conditionalFormatting>
        <x14:conditionalFormatting xmlns:xm="http://schemas.microsoft.com/office/excel/2006/main">
          <x14:cfRule type="expression" priority="35" id="{00710077-00E1-4D86-9F88-00EF005100AB}">
            <xm:f>$B91&lt;&gt;$B92</xm:f>
            <x14:dxf>
              <border>
                <left style="none"/>
                <right style="none"/>
                <top style="none"/>
                <bottom style="thin">
                  <color auto="1"/>
                </bottom>
                <diagonal style="none"/>
                <vertical style="none"/>
                <horizontal style="none"/>
              </border>
            </x14:dxf>
          </x14:cfRule>
          <xm:sqref>H91</xm:sqref>
        </x14:conditionalFormatting>
        <x14:conditionalFormatting xmlns:xm="http://schemas.microsoft.com/office/excel/2006/main">
          <x14:cfRule type="expression" priority="34" id="{00CD0014-00AD-44F2-989C-003C0039005F}">
            <xm:f>$B91&lt;&gt;$B92</xm:f>
            <x14:dxf>
              <border>
                <left style="none"/>
                <right style="none"/>
                <top style="none"/>
                <bottom style="thin">
                  <color auto="1"/>
                </bottom>
                <diagonal style="none"/>
                <vertical style="none"/>
                <horizontal style="none"/>
              </border>
            </x14:dxf>
          </x14:cfRule>
          <xm:sqref>G91</xm:sqref>
        </x14:conditionalFormatting>
        <x14:conditionalFormatting xmlns:xm="http://schemas.microsoft.com/office/excel/2006/main">
          <x14:cfRule type="expression" priority="17" id="{00560023-002D-4327-8DC0-00080042003A}">
            <xm:f>$B45&lt;&gt;$B46</xm:f>
            <x14:dxf>
              <border>
                <left style="none"/>
                <right style="none"/>
                <top style="none"/>
                <bottom style="thin">
                  <color auto="1"/>
                </bottom>
                <diagonal style="none"/>
                <vertical style="none"/>
                <horizontal style="none"/>
              </border>
            </x14:dxf>
          </x14:cfRule>
          <xm:sqref>A45:J45</xm:sqref>
        </x14:conditionalFormatting>
        <x14:conditionalFormatting xmlns:xm="http://schemas.microsoft.com/office/excel/2006/main">
          <x14:cfRule type="expression" priority="16" id="{0049002B-001C-419D-AAE9-00EB008100FA}">
            <xm:f>$B13&lt;&gt;$B14</xm:f>
            <x14:dxf>
              <border>
                <left style="none"/>
                <right style="none"/>
                <top style="none"/>
                <bottom style="thin">
                  <color auto="1"/>
                </bottom>
                <diagonal style="none"/>
                <vertical style="none"/>
                <horizontal style="none"/>
              </border>
            </x14:dxf>
          </x14:cfRule>
          <xm:sqref>J13</xm:sqref>
        </x14:conditionalFormatting>
        <x14:conditionalFormatting xmlns:xm="http://schemas.microsoft.com/office/excel/2006/main">
          <x14:cfRule type="expression" priority="15" id="{005A0065-0044-42FB-9ECF-00CD001A006D}">
            <xm:f>$B12&lt;&gt;#REF!</xm:f>
            <x14:dxf>
              <border>
                <left style="none"/>
                <right style="none"/>
                <top style="none"/>
                <bottom style="thin">
                  <color auto="1"/>
                </bottom>
                <diagonal style="none"/>
                <vertical style="none"/>
                <horizontal style="none"/>
              </border>
            </x14:dxf>
          </x14:cfRule>
          <xm:sqref>J12</xm:sqref>
        </x14:conditionalFormatting>
        <x14:conditionalFormatting xmlns:xm="http://schemas.microsoft.com/office/excel/2006/main">
          <x14:cfRule type="expression" priority="14" id="{0089003D-006A-4D4E-AF35-005600A1007E}">
            <xm:f>$B93&lt;&gt;#REF!</xm:f>
            <x14:dxf>
              <border>
                <left style="none"/>
                <right style="none"/>
                <top style="none"/>
                <bottom style="thin">
                  <color auto="1"/>
                </bottom>
                <diagonal style="none"/>
                <vertical style="none"/>
                <horizontal style="none"/>
              </border>
            </x14:dxf>
          </x14:cfRule>
          <xm:sqref>B93</xm:sqref>
        </x14:conditionalFormatting>
        <x14:conditionalFormatting xmlns:xm="http://schemas.microsoft.com/office/excel/2006/main">
          <x14:cfRule type="expression" priority="13" id="{006D002A-00ED-4772-8D5A-00C9004500AD}">
            <xm:f>$B93&lt;&gt;$B94</xm:f>
            <x14:dxf>
              <border>
                <left style="none"/>
                <right style="none"/>
                <top style="none"/>
                <bottom style="thin">
                  <color auto="1"/>
                </bottom>
                <diagonal style="none"/>
                <vertical style="none"/>
                <horizontal style="none"/>
              </border>
            </x14:dxf>
          </x14:cfRule>
          <xm:sqref>C93:D93 F93 H93:J93</xm:sqref>
        </x14:conditionalFormatting>
        <x14:conditionalFormatting xmlns:xm="http://schemas.microsoft.com/office/excel/2006/main">
          <x14:cfRule type="expression" priority="12" id="{009F0055-0069-4131-9B01-003E0015006E}">
            <xm:f>$B93&lt;&gt;$B94</xm:f>
            <x14:dxf>
              <border>
                <left style="none"/>
                <right style="none"/>
                <top style="none"/>
                <bottom style="thin">
                  <color auto="1"/>
                </bottom>
                <diagonal style="none"/>
                <vertical style="none"/>
                <horizontal style="none"/>
              </border>
            </x14:dxf>
          </x14:cfRule>
          <xm:sqref>E93</xm:sqref>
        </x14:conditionalFormatting>
        <x14:conditionalFormatting xmlns:xm="http://schemas.microsoft.com/office/excel/2006/main">
          <x14:cfRule type="expression" priority="11" id="{00E400DA-00F7-4666-9F1B-009200220084}">
            <xm:f>$B93&lt;&gt;$B94</xm:f>
            <x14:dxf>
              <border>
                <left style="none"/>
                <right style="none"/>
                <top style="none"/>
                <bottom style="thin">
                  <color auto="1"/>
                </bottom>
                <diagonal style="none"/>
                <vertical style="none"/>
                <horizontal style="none"/>
              </border>
            </x14:dxf>
          </x14:cfRule>
          <xm:sqref>G93</xm:sqref>
        </x14:conditionalFormatting>
        <x14:conditionalFormatting xmlns:xm="http://schemas.microsoft.com/office/excel/2006/main">
          <x14:cfRule type="expression" priority="10" id="{00480070-0091-499B-8295-005400300098}">
            <xm:f>$B94&lt;&gt;#REF!</xm:f>
            <x14:dxf>
              <border>
                <left style="none"/>
                <right style="none"/>
                <top style="none"/>
                <bottom style="thin">
                  <color auto="1"/>
                </bottom>
                <diagonal style="none"/>
                <vertical style="none"/>
                <horizontal style="none"/>
              </border>
            </x14:dxf>
          </x14:cfRule>
          <xm:sqref>B94</xm:sqref>
        </x14:conditionalFormatting>
        <x14:conditionalFormatting xmlns:xm="http://schemas.microsoft.com/office/excel/2006/main">
          <x14:cfRule type="expression" priority="9" id="{009500B6-0046-4026-B7D6-001C003900D6}">
            <xm:f>$B95&lt;&gt;#REF!</xm:f>
            <x14:dxf>
              <border>
                <left style="none"/>
                <right style="none"/>
                <top style="none"/>
                <bottom style="thin">
                  <color auto="1"/>
                </bottom>
                <diagonal style="none"/>
                <vertical style="none"/>
                <horizontal style="none"/>
              </border>
            </x14:dxf>
          </x14:cfRule>
          <xm:sqref>B95</xm:sqref>
        </x14:conditionalFormatting>
        <x14:conditionalFormatting xmlns:xm="http://schemas.microsoft.com/office/excel/2006/main">
          <x14:cfRule type="expression" priority="8" id="{00E2002C-00F6-445E-BB6B-00A100F4005B}">
            <xm:f>$B96&lt;&gt;#REF!</xm:f>
            <x14:dxf>
              <border>
                <left style="none"/>
                <right style="none"/>
                <top style="none"/>
                <bottom style="thin">
                  <color auto="1"/>
                </bottom>
                <diagonal style="none"/>
                <vertical style="none"/>
                <horizontal style="none"/>
              </border>
            </x14:dxf>
          </x14:cfRule>
          <xm:sqref>B96</xm:sqref>
        </x14:conditionalFormatting>
        <x14:conditionalFormatting xmlns:xm="http://schemas.microsoft.com/office/excel/2006/main">
          <x14:cfRule type="expression" priority="3" id="{004E0063-003B-44B6-8124-006100BE0018}">
            <xm:f>$B9&lt;&gt;$B10</xm:f>
            <x14:dxf>
              <border>
                <left style="none"/>
                <right style="none"/>
                <top style="none"/>
                <bottom style="thin">
                  <color auto="1"/>
                </bottom>
                <diagonal style="none"/>
                <vertical style="none"/>
                <horizontal style="none"/>
              </border>
            </x14:dxf>
          </x14:cfRule>
          <xm:sqref>E9</xm:sqref>
        </x14:conditionalFormatting>
        <x14:conditionalFormatting xmlns:xm="http://schemas.microsoft.com/office/excel/2006/main">
          <x14:cfRule type="expression" priority="2" id="{001F004F-00A5-4A49-80D7-003500B7006C}">
            <xm:f>$B10&lt;&gt;$B11</xm:f>
            <x14:dxf>
              <border>
                <left style="none"/>
                <right style="none"/>
                <top style="none"/>
                <bottom style="thin">
                  <color auto="1"/>
                </bottom>
                <diagonal style="none"/>
                <vertical style="none"/>
                <horizontal style="none"/>
              </border>
            </x14:dxf>
          </x14:cfRule>
          <xm:sqref>E10</xm:sqref>
        </x14:conditionalFormatting>
        <x14:conditionalFormatting xmlns:xm="http://schemas.microsoft.com/office/excel/2006/main">
          <x14:cfRule type="expression" priority="1" id="{000C009A-001E-4BB1-BD90-0068006B00DF}">
            <xm:f>$B9&lt;&gt;$B10</xm:f>
            <x14:dxf>
              <border>
                <left style="none"/>
                <right style="none"/>
                <top style="none"/>
                <bottom style="thin">
                  <color auto="1"/>
                </bottom>
                <diagonal style="none"/>
                <vertical style="none"/>
                <horizontal style="none"/>
              </border>
            </x14:dxf>
          </x14:cfRule>
          <xm:sqref>G9:H10</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15" workbookViewId="0">
      <selection activeCell="A2" activeCellId="0" sqref="A2:A3"/>
    </sheetView>
  </sheetViews>
  <sheetFormatPr defaultRowHeight="14.25"/>
  <cols>
    <col customWidth="1" min="1" max="1" width="37.28515625"/>
    <col customWidth="1" min="2" max="2" width="42.7109375"/>
    <col customWidth="1" min="3" max="3" width="65"/>
    <col customWidth="1" min="4" max="4" width="18.5703125"/>
    <col customWidth="1" min="6" max="6" width="39.5703125"/>
  </cols>
  <sheetData>
    <row r="1" ht="27">
      <c r="A1" s="128" t="s">
        <v>105</v>
      </c>
      <c r="B1" s="129" t="s">
        <v>106</v>
      </c>
      <c r="C1" s="129" t="s">
        <v>107</v>
      </c>
      <c r="D1" s="130" t="s">
        <v>26</v>
      </c>
      <c r="E1" s="131"/>
      <c r="F1" s="131"/>
      <c r="G1" s="131"/>
      <c r="H1" s="131"/>
      <c r="I1" s="131"/>
      <c r="J1" s="131"/>
      <c r="K1" s="131"/>
      <c r="L1" s="131"/>
      <c r="M1" s="131"/>
      <c r="N1" s="131"/>
    </row>
    <row r="2">
      <c r="A2" s="132" t="s">
        <v>108</v>
      </c>
      <c r="B2" s="133" t="s">
        <v>109</v>
      </c>
      <c r="C2" s="134" t="s">
        <v>110</v>
      </c>
      <c r="D2" s="135" t="s">
        <v>36</v>
      </c>
      <c r="E2" s="131"/>
      <c r="F2" s="131"/>
      <c r="G2" s="131"/>
      <c r="H2" s="131"/>
      <c r="I2" s="131"/>
      <c r="J2" s="131"/>
      <c r="K2" s="131"/>
      <c r="L2" s="131"/>
      <c r="M2" s="131"/>
      <c r="N2" s="131"/>
    </row>
    <row r="3">
      <c r="A3" s="132"/>
      <c r="B3" s="133" t="s">
        <v>111</v>
      </c>
      <c r="C3" s="134" t="s">
        <v>112</v>
      </c>
      <c r="D3" s="135"/>
      <c r="E3" s="131"/>
      <c r="F3" s="131"/>
      <c r="G3" s="131"/>
      <c r="H3" s="131"/>
      <c r="I3" s="131"/>
      <c r="J3" s="131"/>
      <c r="K3" s="131"/>
      <c r="L3" s="131"/>
      <c r="M3" s="131"/>
      <c r="N3" s="131"/>
    </row>
    <row r="4" hidden="1">
      <c r="A4" s="132"/>
      <c r="B4" s="133"/>
      <c r="C4" s="134"/>
      <c r="D4" s="135"/>
      <c r="E4" s="131"/>
      <c r="F4" s="131"/>
      <c r="G4" s="131"/>
      <c r="H4" s="131"/>
      <c r="I4" s="131"/>
      <c r="J4" s="131"/>
      <c r="K4" s="131"/>
      <c r="L4" s="131"/>
      <c r="M4" s="131"/>
      <c r="N4" s="131"/>
    </row>
    <row r="5">
      <c r="A5" s="132"/>
      <c r="B5" s="133"/>
      <c r="C5" s="134"/>
      <c r="D5" s="135"/>
      <c r="E5" s="131"/>
      <c r="F5" s="131"/>
      <c r="G5" s="131"/>
      <c r="H5" s="131"/>
      <c r="I5" s="131"/>
      <c r="J5" s="131"/>
      <c r="K5" s="131"/>
      <c r="L5" s="131"/>
      <c r="M5" s="131"/>
      <c r="N5" s="131"/>
    </row>
    <row r="6">
      <c r="A6" s="132"/>
      <c r="B6" s="133"/>
      <c r="C6" s="134"/>
      <c r="D6" s="135"/>
      <c r="E6" s="131"/>
      <c r="F6" s="131"/>
      <c r="G6" s="131"/>
      <c r="H6" s="131"/>
      <c r="I6" s="131"/>
      <c r="J6" s="131"/>
      <c r="K6" s="131"/>
      <c r="L6" s="131"/>
      <c r="M6" s="131"/>
      <c r="N6" s="131"/>
    </row>
    <row r="7">
      <c r="A7" s="132"/>
      <c r="B7" s="133"/>
      <c r="C7" s="134"/>
      <c r="D7" s="135"/>
      <c r="E7" s="131"/>
      <c r="F7" s="131"/>
      <c r="G7" s="131"/>
      <c r="H7" s="131"/>
      <c r="I7" s="131"/>
      <c r="J7" s="131"/>
      <c r="K7" s="131"/>
      <c r="L7" s="131"/>
      <c r="M7" s="131"/>
      <c r="N7" s="131"/>
    </row>
    <row r="8">
      <c r="A8" s="132"/>
      <c r="B8" s="133"/>
      <c r="C8" s="134"/>
      <c r="D8" s="135"/>
      <c r="E8" s="131"/>
      <c r="F8" s="131"/>
      <c r="G8" s="131"/>
      <c r="H8" s="131"/>
      <c r="I8" s="131"/>
      <c r="J8" s="131"/>
      <c r="K8" s="131"/>
      <c r="L8" s="131"/>
      <c r="M8" s="131"/>
      <c r="N8" s="131"/>
    </row>
    <row r="9">
      <c r="A9" s="132"/>
      <c r="B9" s="133"/>
      <c r="C9" s="134"/>
      <c r="D9" s="135"/>
      <c r="E9" s="131"/>
      <c r="F9" s="131"/>
      <c r="G9" s="131"/>
      <c r="H9" s="131"/>
      <c r="I9" s="131"/>
      <c r="J9" s="131"/>
      <c r="K9" s="131"/>
      <c r="L9" s="131"/>
      <c r="M9" s="131"/>
      <c r="N9" s="131"/>
    </row>
    <row r="10">
      <c r="A10" s="132"/>
      <c r="B10" s="133"/>
      <c r="C10" s="134"/>
      <c r="D10" s="135"/>
      <c r="E10" s="131"/>
      <c r="F10" s="131"/>
      <c r="G10" s="131"/>
      <c r="H10" s="131"/>
      <c r="I10" s="131"/>
      <c r="J10" s="131"/>
      <c r="K10" s="131"/>
      <c r="L10" s="131"/>
      <c r="M10" s="131"/>
      <c r="N10" s="131"/>
    </row>
    <row r="11">
      <c r="A11" s="132"/>
      <c r="B11" s="133"/>
      <c r="C11" s="134"/>
      <c r="D11" s="135"/>
      <c r="E11" s="131"/>
      <c r="F11" s="131"/>
      <c r="G11" s="131"/>
      <c r="H11" s="131"/>
      <c r="I11" s="131"/>
      <c r="J11" s="131"/>
      <c r="K11" s="131"/>
      <c r="L11" s="131"/>
      <c r="M11" s="131"/>
      <c r="N11" s="131"/>
    </row>
    <row r="12">
      <c r="A12" s="132"/>
      <c r="B12" s="133"/>
      <c r="C12" s="134"/>
      <c r="D12" s="135"/>
      <c r="E12" s="131"/>
      <c r="F12" s="131"/>
      <c r="G12" s="131"/>
      <c r="H12" s="131"/>
      <c r="I12" s="131"/>
      <c r="J12" s="131"/>
      <c r="K12" s="131"/>
      <c r="L12" s="131"/>
      <c r="M12" s="131"/>
      <c r="N12" s="131"/>
    </row>
    <row r="13">
      <c r="A13" s="132"/>
      <c r="B13" s="133"/>
      <c r="C13" s="134"/>
      <c r="D13" s="135"/>
      <c r="E13" s="131"/>
      <c r="F13" s="131"/>
      <c r="G13" s="131"/>
      <c r="H13" s="131"/>
      <c r="I13" s="131"/>
      <c r="J13" s="131"/>
      <c r="K13" s="131"/>
      <c r="L13" s="131"/>
      <c r="M13" s="131"/>
      <c r="N13" s="131"/>
    </row>
    <row r="14">
      <c r="A14" s="132"/>
      <c r="B14" s="133"/>
      <c r="C14" s="134"/>
      <c r="D14" s="135"/>
      <c r="E14" s="131"/>
      <c r="F14" s="131"/>
      <c r="G14" s="131"/>
      <c r="H14" s="131"/>
      <c r="I14" s="131"/>
      <c r="J14" s="131"/>
      <c r="K14" s="131"/>
      <c r="L14" s="131"/>
      <c r="M14" s="131"/>
      <c r="N14" s="131"/>
    </row>
    <row r="15">
      <c r="A15" s="132"/>
      <c r="B15" s="133"/>
      <c r="C15" s="134"/>
      <c r="D15" s="135"/>
      <c r="E15" s="131"/>
      <c r="F15" s="131"/>
      <c r="G15" s="131"/>
      <c r="H15" s="131"/>
      <c r="I15" s="131"/>
      <c r="J15" s="131"/>
      <c r="K15" s="131"/>
      <c r="L15" s="131"/>
      <c r="M15" s="131"/>
      <c r="N15" s="131"/>
    </row>
    <row r="16">
      <c r="A16" s="132"/>
      <c r="B16" s="133"/>
      <c r="C16" s="134"/>
      <c r="D16" s="135"/>
      <c r="E16" s="131"/>
      <c r="F16" s="131"/>
      <c r="G16" s="131"/>
      <c r="H16" s="131"/>
      <c r="I16" s="131"/>
      <c r="J16" s="131"/>
      <c r="K16" s="131"/>
      <c r="L16" s="131"/>
      <c r="M16" s="131"/>
      <c r="N16" s="131"/>
    </row>
    <row r="17">
      <c r="A17" s="132"/>
      <c r="B17" s="133"/>
      <c r="C17" s="134"/>
      <c r="D17" s="135"/>
      <c r="E17" s="131"/>
      <c r="F17" s="131"/>
      <c r="G17" s="131"/>
      <c r="H17" s="131"/>
      <c r="I17" s="131"/>
      <c r="J17" s="131"/>
      <c r="K17" s="131"/>
      <c r="L17" s="131"/>
      <c r="M17" s="131"/>
      <c r="N17" s="131"/>
    </row>
    <row r="18">
      <c r="A18" s="132"/>
      <c r="B18" s="133"/>
      <c r="C18" s="134"/>
      <c r="D18" s="135"/>
      <c r="E18" s="131"/>
      <c r="F18" s="131"/>
      <c r="G18" s="131"/>
      <c r="H18" s="131"/>
      <c r="I18" s="131"/>
      <c r="J18" s="131"/>
      <c r="K18" s="131"/>
      <c r="L18" s="131"/>
      <c r="M18" s="131"/>
      <c r="N18" s="131"/>
    </row>
    <row r="19">
      <c r="A19" s="132"/>
      <c r="B19" s="133"/>
      <c r="C19" s="134"/>
      <c r="D19" s="135"/>
      <c r="E19" s="131"/>
      <c r="F19" s="131"/>
      <c r="G19" s="131"/>
      <c r="H19" s="131"/>
      <c r="I19" s="131"/>
      <c r="J19" s="131"/>
      <c r="K19" s="131"/>
      <c r="L19" s="131"/>
      <c r="M19" s="131"/>
      <c r="N19" s="131"/>
    </row>
    <row r="20">
      <c r="A20" s="132"/>
      <c r="B20" s="133"/>
      <c r="C20" s="134"/>
      <c r="D20" s="135"/>
      <c r="E20" s="131"/>
      <c r="F20" s="131"/>
      <c r="G20" s="131"/>
      <c r="H20" s="131"/>
      <c r="I20" s="131"/>
      <c r="J20" s="131"/>
      <c r="K20" s="131"/>
      <c r="L20" s="131"/>
      <c r="M20" s="131"/>
      <c r="N20" s="131"/>
    </row>
    <row r="21">
      <c r="A21" s="132"/>
      <c r="B21" s="133"/>
      <c r="C21" s="134"/>
      <c r="D21" s="135"/>
      <c r="E21" s="131"/>
      <c r="F21" s="131"/>
      <c r="G21" s="131"/>
      <c r="H21" s="131"/>
      <c r="I21" s="131"/>
      <c r="J21" s="131"/>
      <c r="K21" s="131"/>
      <c r="L21" s="131"/>
      <c r="M21" s="131"/>
      <c r="N21" s="131"/>
    </row>
    <row r="22">
      <c r="A22" s="132"/>
      <c r="B22" s="133"/>
      <c r="C22" s="134"/>
      <c r="D22" s="135"/>
      <c r="E22" s="131"/>
      <c r="F22" s="131"/>
      <c r="G22" s="131"/>
      <c r="H22" s="131"/>
      <c r="I22" s="131"/>
      <c r="J22" s="131"/>
      <c r="K22" s="131"/>
      <c r="L22" s="131"/>
      <c r="M22" s="131"/>
      <c r="N22" s="131"/>
    </row>
    <row r="23">
      <c r="A23" s="132"/>
      <c r="B23" s="133"/>
      <c r="C23" s="134"/>
      <c r="D23" s="135"/>
      <c r="E23" s="131"/>
      <c r="F23" s="131"/>
      <c r="G23" s="131"/>
      <c r="H23" s="131"/>
      <c r="I23" s="131"/>
      <c r="J23" s="131"/>
      <c r="K23" s="131"/>
      <c r="L23" s="131"/>
      <c r="M23" s="131"/>
      <c r="N23" s="131"/>
    </row>
    <row r="24">
      <c r="A24" s="132"/>
      <c r="B24" s="133"/>
      <c r="C24" s="134"/>
      <c r="D24" s="135"/>
      <c r="E24" s="131"/>
      <c r="F24" s="131"/>
      <c r="G24" s="131"/>
      <c r="H24" s="131"/>
      <c r="I24" s="131"/>
      <c r="J24" s="131"/>
      <c r="K24" s="131"/>
      <c r="L24" s="131"/>
      <c r="M24" s="131"/>
      <c r="N24" s="131"/>
    </row>
    <row r="25">
      <c r="A25" s="132"/>
      <c r="B25" s="133"/>
      <c r="C25" s="134"/>
      <c r="D25" s="135"/>
      <c r="E25" s="131"/>
      <c r="F25" s="131"/>
      <c r="G25" s="131"/>
      <c r="H25" s="131"/>
      <c r="I25" s="131"/>
      <c r="J25" s="131"/>
      <c r="K25" s="131"/>
      <c r="L25" s="131"/>
      <c r="M25" s="131"/>
      <c r="N25" s="131"/>
    </row>
    <row r="26">
      <c r="A26" s="132"/>
      <c r="B26" s="133"/>
      <c r="C26" s="134"/>
      <c r="D26" s="135"/>
      <c r="E26" s="131"/>
      <c r="F26" s="131"/>
      <c r="G26" s="131"/>
      <c r="H26" s="131"/>
      <c r="I26" s="131"/>
      <c r="J26" s="131"/>
      <c r="K26" s="131"/>
      <c r="L26" s="131"/>
      <c r="M26" s="131"/>
      <c r="N26" s="131"/>
    </row>
    <row r="27">
      <c r="A27" s="132"/>
      <c r="B27" s="133"/>
      <c r="C27" s="134"/>
      <c r="D27" s="135"/>
      <c r="E27" s="131"/>
      <c r="F27" s="131"/>
      <c r="G27" s="131"/>
      <c r="H27" s="131"/>
      <c r="I27" s="131"/>
      <c r="J27" s="131"/>
      <c r="K27" s="131"/>
      <c r="L27" s="131"/>
      <c r="M27" s="131"/>
      <c r="N27" s="131"/>
    </row>
    <row r="28">
      <c r="A28" s="132"/>
      <c r="B28" s="133"/>
      <c r="C28" s="134"/>
      <c r="D28" s="135"/>
      <c r="E28" s="131"/>
      <c r="F28" s="131"/>
      <c r="G28" s="131"/>
      <c r="H28" s="131"/>
      <c r="I28" s="131"/>
      <c r="J28" s="131"/>
      <c r="K28" s="131"/>
      <c r="L28" s="131"/>
      <c r="M28" s="131"/>
      <c r="N28" s="131"/>
    </row>
    <row r="29">
      <c r="A29" s="132"/>
      <c r="B29" s="133"/>
      <c r="C29" s="134"/>
      <c r="D29" s="135"/>
      <c r="E29" s="131"/>
      <c r="F29" s="131"/>
      <c r="G29" s="131"/>
      <c r="H29" s="131"/>
      <c r="I29" s="131"/>
      <c r="J29" s="131"/>
      <c r="K29" s="131"/>
      <c r="L29" s="131"/>
      <c r="M29" s="131"/>
      <c r="N29" s="131"/>
    </row>
    <row r="30">
      <c r="A30" s="132"/>
      <c r="B30" s="133"/>
      <c r="C30" s="134"/>
      <c r="D30" s="135"/>
      <c r="E30" s="131"/>
      <c r="F30" s="131"/>
      <c r="G30" s="131"/>
      <c r="H30" s="131"/>
      <c r="I30" s="131"/>
      <c r="J30" s="131"/>
      <c r="K30" s="131"/>
      <c r="L30" s="131"/>
      <c r="M30" s="131"/>
      <c r="N30" s="131"/>
    </row>
    <row r="31">
      <c r="A31" s="132"/>
      <c r="B31" s="133"/>
      <c r="C31" s="134"/>
      <c r="D31" s="135"/>
      <c r="E31" s="131"/>
      <c r="F31" s="131"/>
      <c r="G31" s="131"/>
      <c r="H31" s="131"/>
      <c r="I31" s="131"/>
      <c r="J31" s="131"/>
      <c r="K31" s="131"/>
      <c r="L31" s="131"/>
      <c r="M31" s="131"/>
      <c r="N31" s="131"/>
    </row>
  </sheetData>
  <mergeCells count="30">
    <mergeCell ref="A2:A3"/>
    <mergeCell ref="D2:D3"/>
    <mergeCell ref="A4:A5"/>
    <mergeCell ref="D4:D5"/>
    <mergeCell ref="A6:A7"/>
    <mergeCell ref="D6:D7"/>
    <mergeCell ref="A8:A9"/>
    <mergeCell ref="D8:D9"/>
    <mergeCell ref="A10:A11"/>
    <mergeCell ref="D10:D11"/>
    <mergeCell ref="A12:A13"/>
    <mergeCell ref="D12:D13"/>
    <mergeCell ref="A14:A15"/>
    <mergeCell ref="D14:D15"/>
    <mergeCell ref="A16:A17"/>
    <mergeCell ref="D16:D17"/>
    <mergeCell ref="A18:A19"/>
    <mergeCell ref="D18:D19"/>
    <mergeCell ref="A20:A21"/>
    <mergeCell ref="D20:D21"/>
    <mergeCell ref="A22:A23"/>
    <mergeCell ref="D22:D23"/>
    <mergeCell ref="A24:A25"/>
    <mergeCell ref="D24:D25"/>
    <mergeCell ref="A26:A27"/>
    <mergeCell ref="D26:D27"/>
    <mergeCell ref="A28:A29"/>
    <mergeCell ref="D28:D29"/>
    <mergeCell ref="A30:A31"/>
    <mergeCell ref="D30:D3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pane ySplit="2" topLeftCell="A3" activePane="bottomLeft" state="frozen"/>
      <selection activeCell="C18" activeCellId="0" sqref="C18"/>
    </sheetView>
  </sheetViews>
  <sheetFormatPr defaultRowHeight="14.25"/>
  <cols>
    <col customWidth="1" min="1" max="1" style="98" width="34.7109375"/>
    <col customWidth="1" min="2" max="2" width="33.7109375"/>
    <col customWidth="1" min="3" max="3" width="22.7109375"/>
  </cols>
  <sheetData>
    <row r="1">
      <c r="A1" s="136" t="s">
        <v>113</v>
      </c>
      <c r="B1" s="136"/>
    </row>
    <row r="2">
      <c r="A2" s="137" t="s">
        <v>114</v>
      </c>
      <c r="B2" s="138" t="s">
        <v>115</v>
      </c>
      <c r="C2" s="138" t="s">
        <v>26</v>
      </c>
    </row>
    <row r="3">
      <c r="A3" s="139" t="str">
        <f>'PXF-&gt;A'!A2</f>
        <v>a_314001_docdata</v>
      </c>
      <c r="B3" s="139" t="str">
        <f>source_columns[[#This Row],[Название таблицы STAGE]]</f>
        <v>b3143140010001_docdata</v>
      </c>
      <c r="C3" s="133" t="s">
        <v>36</v>
      </c>
    </row>
    <row r="4">
      <c r="A4" s="139"/>
      <c r="B4" s="139"/>
      <c r="C4" s="133"/>
    </row>
    <row r="5">
      <c r="A5" s="139"/>
      <c r="B5" s="139"/>
      <c r="C5" s="133"/>
    </row>
    <row r="6">
      <c r="A6" s="139"/>
      <c r="B6" s="139"/>
      <c r="C6" s="133"/>
    </row>
    <row r="7">
      <c r="A7" s="139"/>
      <c r="B7" s="139"/>
      <c r="C7" s="133"/>
    </row>
    <row r="8">
      <c r="A8" s="139"/>
      <c r="B8" s="139"/>
      <c r="C8" s="133"/>
    </row>
    <row r="9">
      <c r="A9" s="139"/>
      <c r="B9" s="139"/>
      <c r="C9" s="133"/>
    </row>
    <row r="10">
      <c r="A10" s="139"/>
      <c r="B10" s="139"/>
      <c r="C10" s="133"/>
    </row>
    <row r="11">
      <c r="A11" s="139"/>
      <c r="B11" s="139"/>
      <c r="C11" s="133"/>
    </row>
    <row r="12">
      <c r="A12" s="139"/>
      <c r="B12" s="139"/>
      <c r="C12" s="133"/>
    </row>
    <row r="13">
      <c r="A13" s="139"/>
      <c r="B13" s="139"/>
      <c r="C13" s="133"/>
    </row>
    <row r="14">
      <c r="A14" s="139"/>
      <c r="B14" s="139"/>
      <c r="C14" s="133"/>
    </row>
    <row r="15">
      <c r="A15" s="139"/>
      <c r="B15" s="139"/>
      <c r="C15" s="133"/>
    </row>
    <row r="16">
      <c r="A16" s="139"/>
      <c r="B16" s="139"/>
      <c r="C16" s="133"/>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26" id="{00490053-00C5-4831-893C-0099003B0013}">
            <xm:f>#REF!&lt;&gt;#REF!</xm:f>
            <x14:dxf>
              <border>
                <left style="none"/>
                <right style="none"/>
                <top style="none"/>
                <bottom style="thin">
                  <color auto="1"/>
                </bottom>
                <diagonal style="none"/>
                <vertical style="none"/>
                <horizontal style="none"/>
              </border>
            </x14:dxf>
          </x14:cfRule>
          <xm:sqref>A3:A5</xm:sqref>
        </x14:conditionalFormatting>
        <x14:conditionalFormatting xmlns:xm="http://schemas.microsoft.com/office/excel/2006/main">
          <x14:cfRule type="expression" priority="25" id="{005C0088-002B-4DF0-ADEF-00C800B40084}">
            <xm:f>#REF!&lt;&gt;#REF!</xm:f>
            <x14:dxf>
              <border>
                <left style="none"/>
                <right style="none"/>
                <top style="none"/>
                <bottom style="thin">
                  <color auto="1"/>
                </bottom>
                <diagonal style="none"/>
                <vertical style="none"/>
                <horizontal style="none"/>
              </border>
            </x14:dxf>
          </x14:cfRule>
          <xm:sqref>B3:C5</xm:sqref>
        </x14:conditionalFormatting>
        <x14:conditionalFormatting xmlns:xm="http://schemas.microsoft.com/office/excel/2006/main">
          <x14:cfRule type="expression" priority="22" id="{0042004B-00B2-4D63-BA8D-006300BE00E2}">
            <xm:f>#REF!&lt;&gt;#REF!</xm:f>
            <x14:dxf>
              <border>
                <left style="none"/>
                <right style="none"/>
                <top style="none"/>
                <bottom style="thin">
                  <color auto="1"/>
                </bottom>
                <diagonal style="none"/>
                <vertical style="none"/>
                <horizontal style="none"/>
              </border>
            </x14:dxf>
          </x14:cfRule>
          <xm:sqref>A6</xm:sqref>
        </x14:conditionalFormatting>
        <x14:conditionalFormatting xmlns:xm="http://schemas.microsoft.com/office/excel/2006/main">
          <x14:cfRule type="expression" priority="21" id="{00E500DA-00E2-44D2-842C-004800B3001D}">
            <xm:f>#REF!&lt;&gt;#REF!</xm:f>
            <x14:dxf>
              <border>
                <left style="none"/>
                <right style="none"/>
                <top style="none"/>
                <bottom style="thin">
                  <color auto="1"/>
                </bottom>
                <diagonal style="none"/>
                <vertical style="none"/>
                <horizontal style="none"/>
              </border>
            </x14:dxf>
          </x14:cfRule>
          <xm:sqref>B6:C6</xm:sqref>
        </x14:conditionalFormatting>
        <x14:conditionalFormatting xmlns:xm="http://schemas.microsoft.com/office/excel/2006/main">
          <x14:cfRule type="expression" priority="20" id="{00BD0099-00A9-4239-BC6A-00560074001E}">
            <xm:f>#REF!&lt;&gt;#REF!</xm:f>
            <x14:dxf>
              <border>
                <left style="none"/>
                <right style="none"/>
                <top style="none"/>
                <bottom style="thin">
                  <color auto="1"/>
                </bottom>
                <diagonal style="none"/>
                <vertical style="none"/>
                <horizontal style="none"/>
              </border>
            </x14:dxf>
          </x14:cfRule>
          <xm:sqref>A7</xm:sqref>
        </x14:conditionalFormatting>
        <x14:conditionalFormatting xmlns:xm="http://schemas.microsoft.com/office/excel/2006/main">
          <x14:cfRule type="expression" priority="19" id="{006E00A9-0080-4B8C-ABE9-00F70061005D}">
            <xm:f>#REF!&lt;&gt;#REF!</xm:f>
            <x14:dxf>
              <border>
                <left style="none"/>
                <right style="none"/>
                <top style="none"/>
                <bottom style="thin">
                  <color auto="1"/>
                </bottom>
                <diagonal style="none"/>
                <vertical style="none"/>
                <horizontal style="none"/>
              </border>
            </x14:dxf>
          </x14:cfRule>
          <xm:sqref>B7:C7</xm:sqref>
        </x14:conditionalFormatting>
        <x14:conditionalFormatting xmlns:xm="http://schemas.microsoft.com/office/excel/2006/main">
          <x14:cfRule type="expression" priority="18" id="{00DB00E4-00E5-4ABE-87AF-009A000C003E}">
            <xm:f>#REF!&lt;&gt;#REF!</xm:f>
            <x14:dxf>
              <border>
                <left style="none"/>
                <right style="none"/>
                <top style="none"/>
                <bottom style="thin">
                  <color auto="1"/>
                </bottom>
                <diagonal style="none"/>
                <vertical style="none"/>
                <horizontal style="none"/>
              </border>
            </x14:dxf>
          </x14:cfRule>
          <xm:sqref>A8</xm:sqref>
        </x14:conditionalFormatting>
        <x14:conditionalFormatting xmlns:xm="http://schemas.microsoft.com/office/excel/2006/main">
          <x14:cfRule type="expression" priority="17" id="{002C004F-0084-450E-A8DE-00A9002C0098}">
            <xm:f>#REF!&lt;&gt;#REF!</xm:f>
            <x14:dxf>
              <border>
                <left style="none"/>
                <right style="none"/>
                <top style="none"/>
                <bottom style="thin">
                  <color auto="1"/>
                </bottom>
                <diagonal style="none"/>
                <vertical style="none"/>
                <horizontal style="none"/>
              </border>
            </x14:dxf>
          </x14:cfRule>
          <xm:sqref>B8:C8</xm:sqref>
        </x14:conditionalFormatting>
        <x14:conditionalFormatting xmlns:xm="http://schemas.microsoft.com/office/excel/2006/main">
          <x14:cfRule type="expression" priority="16" id="{00AC00EF-0015-4D4E-9920-007C00A500F8}">
            <xm:f>#REF!&lt;&gt;#REF!</xm:f>
            <x14:dxf>
              <border>
                <left style="none"/>
                <right style="none"/>
                <top style="none"/>
                <bottom style="thin">
                  <color auto="1"/>
                </bottom>
                <diagonal style="none"/>
                <vertical style="none"/>
                <horizontal style="none"/>
              </border>
            </x14:dxf>
          </x14:cfRule>
          <xm:sqref>A9</xm:sqref>
        </x14:conditionalFormatting>
        <x14:conditionalFormatting xmlns:xm="http://schemas.microsoft.com/office/excel/2006/main">
          <x14:cfRule type="expression" priority="15" id="{00A40070-00A3-4D66-A113-00F900E60076}">
            <xm:f>#REF!&lt;&gt;#REF!</xm:f>
            <x14:dxf>
              <border>
                <left style="none"/>
                <right style="none"/>
                <top style="none"/>
                <bottom style="thin">
                  <color auto="1"/>
                </bottom>
                <diagonal style="none"/>
                <vertical style="none"/>
                <horizontal style="none"/>
              </border>
            </x14:dxf>
          </x14:cfRule>
          <xm:sqref>B9:C9</xm:sqref>
        </x14:conditionalFormatting>
        <x14:conditionalFormatting xmlns:xm="http://schemas.microsoft.com/office/excel/2006/main">
          <x14:cfRule type="expression" priority="14" id="{00880049-002A-43EF-86D0-0046000A00AF}">
            <xm:f>#REF!&lt;&gt;#REF!</xm:f>
            <x14:dxf>
              <border>
                <left style="none"/>
                <right style="none"/>
                <top style="none"/>
                <bottom style="thin">
                  <color auto="1"/>
                </bottom>
                <diagonal style="none"/>
                <vertical style="none"/>
                <horizontal style="none"/>
              </border>
            </x14:dxf>
          </x14:cfRule>
          <xm:sqref>A10</xm:sqref>
        </x14:conditionalFormatting>
        <x14:conditionalFormatting xmlns:xm="http://schemas.microsoft.com/office/excel/2006/main">
          <x14:cfRule type="expression" priority="13" id="{006F0091-0042-4377-B902-00F200F30056}">
            <xm:f>#REF!&lt;&gt;#REF!</xm:f>
            <x14:dxf>
              <border>
                <left style="none"/>
                <right style="none"/>
                <top style="none"/>
                <bottom style="thin">
                  <color auto="1"/>
                </bottom>
                <diagonal style="none"/>
                <vertical style="none"/>
                <horizontal style="none"/>
              </border>
            </x14:dxf>
          </x14:cfRule>
          <xm:sqref>B10:C10</xm:sqref>
        </x14:conditionalFormatting>
        <x14:conditionalFormatting xmlns:xm="http://schemas.microsoft.com/office/excel/2006/main">
          <x14:cfRule type="expression" priority="12" id="{009800E2-008F-4C22-B8A2-00A0000D00E7}">
            <xm:f>#REF!&lt;&gt;#REF!</xm:f>
            <x14:dxf>
              <border>
                <left style="none"/>
                <right style="none"/>
                <top style="none"/>
                <bottom style="thin">
                  <color auto="1"/>
                </bottom>
                <diagonal style="none"/>
                <vertical style="none"/>
                <horizontal style="none"/>
              </border>
            </x14:dxf>
          </x14:cfRule>
          <xm:sqref>A11</xm:sqref>
        </x14:conditionalFormatting>
        <x14:conditionalFormatting xmlns:xm="http://schemas.microsoft.com/office/excel/2006/main">
          <x14:cfRule type="expression" priority="11" id="{002E0081-000A-4F7E-8514-009A00DB0076}">
            <xm:f>#REF!&lt;&gt;#REF!</xm:f>
            <x14:dxf>
              <border>
                <left style="none"/>
                <right style="none"/>
                <top style="none"/>
                <bottom style="thin">
                  <color auto="1"/>
                </bottom>
                <diagonal style="none"/>
                <vertical style="none"/>
                <horizontal style="none"/>
              </border>
            </x14:dxf>
          </x14:cfRule>
          <xm:sqref>B11:C11</xm:sqref>
        </x14:conditionalFormatting>
        <x14:conditionalFormatting xmlns:xm="http://schemas.microsoft.com/office/excel/2006/main">
          <x14:cfRule type="expression" priority="10" id="{0047008C-00E5-4AF1-87B4-009C00C70015}">
            <xm:f>#REF!&lt;&gt;#REF!</xm:f>
            <x14:dxf>
              <border>
                <left style="none"/>
                <right style="none"/>
                <top style="none"/>
                <bottom style="thin">
                  <color auto="1"/>
                </bottom>
                <diagonal style="none"/>
                <vertical style="none"/>
                <horizontal style="none"/>
              </border>
            </x14:dxf>
          </x14:cfRule>
          <xm:sqref>A12</xm:sqref>
        </x14:conditionalFormatting>
        <x14:conditionalFormatting xmlns:xm="http://schemas.microsoft.com/office/excel/2006/main">
          <x14:cfRule type="expression" priority="9" id="{00A800BE-003C-4DC1-99EA-00AB007F00D8}">
            <xm:f>#REF!&lt;&gt;#REF!</xm:f>
            <x14:dxf>
              <border>
                <left style="none"/>
                <right style="none"/>
                <top style="none"/>
                <bottom style="thin">
                  <color auto="1"/>
                </bottom>
                <diagonal style="none"/>
                <vertical style="none"/>
                <horizontal style="none"/>
              </border>
            </x14:dxf>
          </x14:cfRule>
          <xm:sqref>B12:C12</xm:sqref>
        </x14:conditionalFormatting>
        <x14:conditionalFormatting xmlns:xm="http://schemas.microsoft.com/office/excel/2006/main">
          <x14:cfRule type="expression" priority="8" id="{00640003-00C0-40EE-B677-00DE005F0049}">
            <xm:f>#REF!&lt;&gt;#REF!</xm:f>
            <x14:dxf>
              <border>
                <left style="none"/>
                <right style="none"/>
                <top style="none"/>
                <bottom style="thin">
                  <color auto="1"/>
                </bottom>
                <diagonal style="none"/>
                <vertical style="none"/>
                <horizontal style="none"/>
              </border>
            </x14:dxf>
          </x14:cfRule>
          <xm:sqref>A13</xm:sqref>
        </x14:conditionalFormatting>
        <x14:conditionalFormatting xmlns:xm="http://schemas.microsoft.com/office/excel/2006/main">
          <x14:cfRule type="expression" priority="7" id="{00BD0048-00C2-40A8-9BD5-0041009D009C}">
            <xm:f>#REF!&lt;&gt;#REF!</xm:f>
            <x14:dxf>
              <border>
                <left style="none"/>
                <right style="none"/>
                <top style="none"/>
                <bottom style="thin">
                  <color auto="1"/>
                </bottom>
                <diagonal style="none"/>
                <vertical style="none"/>
                <horizontal style="none"/>
              </border>
            </x14:dxf>
          </x14:cfRule>
          <xm:sqref>B13:C13</xm:sqref>
        </x14:conditionalFormatting>
        <x14:conditionalFormatting xmlns:xm="http://schemas.microsoft.com/office/excel/2006/main">
          <x14:cfRule type="expression" priority="6" id="{00A200C1-004E-4ACA-B273-00C100E40089}">
            <xm:f>#REF!&lt;&gt;#REF!</xm:f>
            <x14:dxf>
              <border>
                <left style="none"/>
                <right style="none"/>
                <top style="none"/>
                <bottom style="thin">
                  <color auto="1"/>
                </bottom>
                <diagonal style="none"/>
                <vertical style="none"/>
                <horizontal style="none"/>
              </border>
            </x14:dxf>
          </x14:cfRule>
          <xm:sqref>A14</xm:sqref>
        </x14:conditionalFormatting>
        <x14:conditionalFormatting xmlns:xm="http://schemas.microsoft.com/office/excel/2006/main">
          <x14:cfRule type="expression" priority="5" id="{00F20036-00B0-4CA9-A185-00F2006C00CD}">
            <xm:f>#REF!&lt;&gt;#REF!</xm:f>
            <x14:dxf>
              <border>
                <left style="none"/>
                <right style="none"/>
                <top style="none"/>
                <bottom style="thin">
                  <color auto="1"/>
                </bottom>
                <diagonal style="none"/>
                <vertical style="none"/>
                <horizontal style="none"/>
              </border>
            </x14:dxf>
          </x14:cfRule>
          <xm:sqref>B14:C14</xm:sqref>
        </x14:conditionalFormatting>
        <x14:conditionalFormatting xmlns:xm="http://schemas.microsoft.com/office/excel/2006/main">
          <x14:cfRule type="expression" priority="4" id="{00710062-0061-47D5-A2F4-005E0015000F}">
            <xm:f>#REF!&lt;&gt;#REF!</xm:f>
            <x14:dxf>
              <border>
                <left style="none"/>
                <right style="none"/>
                <top style="none"/>
                <bottom style="thin">
                  <color auto="1"/>
                </bottom>
                <diagonal style="none"/>
                <vertical style="none"/>
                <horizontal style="none"/>
              </border>
            </x14:dxf>
          </x14:cfRule>
          <xm:sqref>A15</xm:sqref>
        </x14:conditionalFormatting>
        <x14:conditionalFormatting xmlns:xm="http://schemas.microsoft.com/office/excel/2006/main">
          <x14:cfRule type="expression" priority="3" id="{00EE0064-00D4-4765-9FCD-008C00A300FF}">
            <xm:f>#REF!&lt;&gt;#REF!</xm:f>
            <x14:dxf>
              <border>
                <left style="none"/>
                <right style="none"/>
                <top style="none"/>
                <bottom style="thin">
                  <color auto="1"/>
                </bottom>
                <diagonal style="none"/>
                <vertical style="none"/>
                <horizontal style="none"/>
              </border>
            </x14:dxf>
          </x14:cfRule>
          <xm:sqref>B15:C15</xm:sqref>
        </x14:conditionalFormatting>
        <x14:conditionalFormatting xmlns:xm="http://schemas.microsoft.com/office/excel/2006/main">
          <x14:cfRule type="expression" priority="2" id="{00400025-0029-4473-A58D-0068002500B9}">
            <xm:f>#REF!&lt;&gt;#REF!</xm:f>
            <x14:dxf>
              <border>
                <left style="none"/>
                <right style="none"/>
                <top style="none"/>
                <bottom style="thin">
                  <color auto="1"/>
                </bottom>
                <diagonal style="none"/>
                <vertical style="none"/>
                <horizontal style="none"/>
              </border>
            </x14:dxf>
          </x14:cfRule>
          <xm:sqref>A16</xm:sqref>
        </x14:conditionalFormatting>
        <x14:conditionalFormatting xmlns:xm="http://schemas.microsoft.com/office/excel/2006/main">
          <x14:cfRule type="expression" priority="1" id="{00D70031-0005-4EC8-BCDC-00CE00170096}">
            <xm:f>#REF!&lt;&gt;#REF!</xm:f>
            <x14:dxf>
              <border>
                <left style="none"/>
                <right style="none"/>
                <top style="none"/>
                <bottom style="thin">
                  <color auto="1"/>
                </bottom>
                <diagonal style="none"/>
                <vertical style="none"/>
                <horizontal style="none"/>
              </border>
            </x14:dxf>
          </x14:cfRule>
          <xm:sqref>B16:C16</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Ruler="1" zoomScale="100" workbookViewId="0">
      <pane ySplit="2" topLeftCell="A3" activePane="bottomLeft" state="frozen"/>
      <selection activeCell="D33" activeCellId="0" sqref="D33"/>
    </sheetView>
  </sheetViews>
  <sheetFormatPr defaultColWidth="31.5703125" defaultRowHeight="15" customHeight="1"/>
  <cols>
    <col customWidth="1" min="1" max="1" style="140" width="24.28515625"/>
    <col customWidth="1" min="2" max="2" style="140" width="16"/>
    <col customWidth="1" min="3" max="3" style="141" width="58.7109375"/>
    <col customWidth="1" min="4" max="4" style="140" width="22.7109375"/>
    <col min="5" max="5" style="140" width="31.5703125"/>
    <col customWidth="1" min="6" max="6" style="140" width="15.7109375"/>
    <col customWidth="1" min="7" max="7" style="140" width="14.42578125"/>
    <col min="8" max="16384" style="140" width="31.5703125"/>
  </cols>
  <sheetData>
    <row r="1" ht="15" customHeight="1">
      <c r="B1" s="113" t="s">
        <v>116</v>
      </c>
      <c r="C1" s="140"/>
    </row>
    <row r="2" s="142" customFormat="1" ht="15" customHeight="1">
      <c r="A2" s="143" t="s">
        <v>117</v>
      </c>
      <c r="B2" s="143" t="s">
        <v>118</v>
      </c>
      <c r="C2" s="144" t="s">
        <v>119</v>
      </c>
      <c r="D2" s="144" t="s">
        <v>26</v>
      </c>
      <c r="E2" s="144" t="s">
        <v>120</v>
      </c>
      <c r="F2" s="145" t="s">
        <v>5</v>
      </c>
      <c r="G2" s="146" t="s">
        <v>121</v>
      </c>
    </row>
    <row r="3" ht="12" customHeight="1">
      <c r="A3" s="147"/>
      <c r="B3" s="147"/>
      <c r="C3" s="147"/>
      <c r="G3" s="148"/>
    </row>
    <row r="4" ht="13.5" customHeight="1">
      <c r="A4" s="147"/>
      <c r="B4" s="147"/>
      <c r="C4" s="147"/>
      <c r="G4" s="148"/>
    </row>
    <row r="5" ht="13.5" customHeight="1">
      <c r="A5" s="147"/>
      <c r="B5" s="147"/>
      <c r="C5" s="147"/>
      <c r="G5" s="148"/>
    </row>
    <row r="6" ht="13.5" customHeight="1">
      <c r="A6" s="147"/>
      <c r="B6" s="147"/>
      <c r="C6" s="147"/>
      <c r="G6" s="148"/>
    </row>
    <row r="7" ht="12" customHeight="1">
      <c r="A7" s="147"/>
      <c r="B7" s="147"/>
      <c r="C7" s="147"/>
      <c r="G7" s="148"/>
    </row>
    <row r="8" ht="12" customHeight="1">
      <c r="A8" s="147"/>
      <c r="B8" s="147"/>
      <c r="C8" s="147"/>
      <c r="G8" s="148"/>
    </row>
    <row r="9" ht="12" customHeight="1">
      <c r="A9" s="147"/>
      <c r="B9" s="147"/>
      <c r="C9" s="147"/>
      <c r="G9" s="148"/>
    </row>
    <row r="10" ht="12" customHeight="1">
      <c r="A10" s="147"/>
      <c r="B10" s="147"/>
      <c r="C10" s="147"/>
      <c r="G10" s="148"/>
    </row>
    <row r="11" ht="12" customHeight="1">
      <c r="A11" s="147"/>
      <c r="B11" s="147"/>
      <c r="C11" s="147"/>
      <c r="G11" s="148"/>
    </row>
    <row r="12" ht="12" customHeight="1">
      <c r="A12" s="147"/>
      <c r="B12" s="147"/>
      <c r="C12" s="147"/>
      <c r="G12" s="148"/>
    </row>
    <row r="13" ht="12" customHeight="1">
      <c r="A13" s="147"/>
      <c r="B13" s="147"/>
      <c r="C13" s="147"/>
      <c r="G13" s="148"/>
    </row>
    <row r="14" ht="12" customHeight="1">
      <c r="A14" s="147"/>
      <c r="B14" s="147"/>
      <c r="C14" s="147"/>
      <c r="G14" s="148"/>
    </row>
    <row r="15" ht="12" customHeight="1">
      <c r="A15" s="147"/>
      <c r="B15" s="147"/>
      <c r="C15" s="147"/>
      <c r="G15" s="148"/>
    </row>
    <row r="16" ht="12" customHeight="1">
      <c r="A16" s="147"/>
      <c r="B16" s="147"/>
      <c r="C16" s="147"/>
      <c r="G16" s="148"/>
    </row>
    <row r="17" ht="12" customHeight="1">
      <c r="A17" s="147"/>
      <c r="B17" s="147"/>
      <c r="C17" s="147"/>
      <c r="G17" s="148"/>
    </row>
    <row r="18" ht="12" customHeight="1">
      <c r="A18" s="149"/>
      <c r="B18" s="149"/>
      <c r="C18" s="150"/>
      <c r="D18" s="140"/>
      <c r="E18" s="140"/>
      <c r="F18" s="140"/>
      <c r="G18" s="151"/>
    </row>
    <row r="19" ht="12" customHeight="1">
      <c r="A19" s="147"/>
      <c r="B19" s="149"/>
      <c r="C19" s="152"/>
      <c r="G19" s="148"/>
    </row>
    <row r="20" ht="12" customHeight="1">
      <c r="A20" s="147"/>
      <c r="B20" s="149"/>
      <c r="C20" s="152"/>
      <c r="G20" s="148"/>
    </row>
    <row r="21" ht="12" customHeight="1">
      <c r="A21" s="149"/>
      <c r="B21" s="149"/>
      <c r="C21" s="150"/>
      <c r="D21" s="140"/>
      <c r="E21" s="140"/>
      <c r="F21" s="140"/>
      <c r="G21" s="148"/>
    </row>
    <row r="22" ht="12" customHeight="1">
      <c r="A22" s="149"/>
      <c r="B22" s="149"/>
      <c r="C22" s="150"/>
      <c r="D22" s="140"/>
      <c r="E22" s="140"/>
      <c r="F22" s="140"/>
      <c r="G22" s="148"/>
    </row>
    <row r="23" s="140" customFormat="1" ht="12.75" customHeight="1">
      <c r="A23" s="149"/>
      <c r="B23" s="149"/>
      <c r="C23" s="153"/>
      <c r="D23" s="140"/>
      <c r="E23" s="140"/>
      <c r="F23" s="140"/>
      <c r="G23" s="151"/>
    </row>
    <row r="24" ht="12" customHeight="1">
      <c r="A24" s="147"/>
      <c r="B24" s="147"/>
      <c r="C24" s="152"/>
      <c r="G24" s="148"/>
    </row>
    <row r="25" ht="12" customHeight="1">
      <c r="A25" s="147"/>
      <c r="B25" s="147"/>
      <c r="C25" s="152"/>
      <c r="G25" s="148"/>
    </row>
    <row r="26" ht="12" customHeight="1">
      <c r="A26" s="147"/>
      <c r="B26" s="147"/>
      <c r="C26" s="152"/>
      <c r="G26" s="148"/>
    </row>
    <row r="27" ht="12" customHeight="1">
      <c r="A27" s="147"/>
      <c r="B27" s="147"/>
      <c r="C27" s="152"/>
      <c r="G27" s="148"/>
    </row>
    <row r="28" ht="12" customHeight="1">
      <c r="A28" s="147"/>
      <c r="B28" s="147"/>
      <c r="C28" s="154"/>
      <c r="G28" s="148"/>
    </row>
    <row r="29" ht="12" customHeight="1">
      <c r="A29" s="147"/>
      <c r="B29" s="147"/>
      <c r="C29" s="152"/>
      <c r="G29" s="148"/>
    </row>
    <row r="30" ht="11.25" customHeight="1">
      <c r="A30" s="149"/>
      <c r="B30" s="149"/>
      <c r="C30" s="150"/>
      <c r="D30" s="140"/>
      <c r="E30" s="141"/>
      <c r="F30" s="141"/>
      <c r="G30" s="148"/>
    </row>
    <row r="31" ht="11.25" customHeight="1">
      <c r="A31" s="149"/>
      <c r="B31" s="149"/>
      <c r="C31" s="152"/>
      <c r="D31" s="140"/>
      <c r="E31" s="141"/>
      <c r="F31" s="141"/>
      <c r="G31" s="148"/>
    </row>
    <row r="32" ht="12.75" customHeight="1">
      <c r="A32" s="149"/>
      <c r="B32" s="149"/>
      <c r="D32" s="140"/>
      <c r="E32" s="140"/>
      <c r="F32" s="140"/>
      <c r="G32" s="151"/>
    </row>
    <row r="33" ht="12" customHeight="1">
      <c r="A33" s="149"/>
      <c r="B33" s="149"/>
      <c r="C33" s="152"/>
      <c r="D33" s="140"/>
      <c r="E33" s="140"/>
      <c r="F33" s="140"/>
      <c r="G33" s="148"/>
    </row>
    <row r="34" ht="11.25" customHeight="1">
      <c r="A34" s="149"/>
      <c r="B34" s="149"/>
      <c r="C34" s="155"/>
      <c r="D34" s="140"/>
      <c r="E34" s="140"/>
      <c r="F34" s="140"/>
      <c r="G34" s="151"/>
    </row>
    <row r="35" ht="12" customHeight="1">
      <c r="A35" s="149"/>
      <c r="B35" s="149"/>
      <c r="C35" s="156"/>
      <c r="D35" s="140"/>
      <c r="E35" s="140"/>
      <c r="F35" s="140"/>
      <c r="G35" s="148"/>
    </row>
    <row r="36" ht="12.75" customHeight="1">
      <c r="A36" s="147"/>
      <c r="B36" s="149"/>
      <c r="C36" s="154"/>
      <c r="G36" s="157"/>
    </row>
    <row r="37" ht="12.75" customHeight="1">
      <c r="A37" s="149"/>
      <c r="B37" s="149"/>
      <c r="C37" s="156"/>
      <c r="D37" s="140"/>
      <c r="E37" s="140"/>
      <c r="F37" s="140"/>
      <c r="G37" s="158"/>
    </row>
    <row r="38" ht="12.75" customHeight="1">
      <c r="A38" s="149"/>
      <c r="B38" s="149"/>
      <c r="C38" s="156"/>
      <c r="D38" s="140"/>
      <c r="E38" s="140"/>
      <c r="F38" s="140"/>
      <c r="G38" s="158"/>
    </row>
    <row r="39" ht="12.75" customHeight="1">
      <c r="A39" s="149"/>
      <c r="B39" s="149"/>
      <c r="C39" s="156"/>
      <c r="D39" s="140"/>
      <c r="E39" s="140"/>
      <c r="F39" s="140"/>
      <c r="G39" s="158"/>
    </row>
    <row r="40" ht="12.75" customHeight="1">
      <c r="A40" s="149"/>
      <c r="B40" s="149"/>
      <c r="C40" s="156"/>
      <c r="D40" s="140"/>
      <c r="E40" s="140"/>
      <c r="F40" s="140"/>
      <c r="G40" s="158"/>
    </row>
    <row r="41" ht="15" customHeight="1">
      <c r="A41" s="149"/>
      <c r="B41" s="149"/>
      <c r="C41" s="156"/>
      <c r="D41" s="140"/>
      <c r="E41" s="140"/>
      <c r="F41" s="140"/>
      <c r="G41" s="158"/>
    </row>
    <row r="42" ht="15" customHeight="1">
      <c r="A42" s="149"/>
      <c r="B42" s="149"/>
      <c r="C42" s="156"/>
      <c r="D42" s="140"/>
      <c r="E42" s="140"/>
      <c r="F42" s="140"/>
      <c r="G42" s="158"/>
    </row>
    <row r="43" ht="15" customHeight="1">
      <c r="A43" s="149"/>
      <c r="B43" s="149"/>
      <c r="C43" s="156"/>
      <c r="D43" s="140"/>
      <c r="E43" s="140"/>
      <c r="F43" s="140"/>
      <c r="G43" s="158"/>
    </row>
    <row r="44" ht="15" customHeight="1">
      <c r="A44" s="149"/>
      <c r="B44" s="149"/>
      <c r="C44" s="156"/>
      <c r="D44" s="140"/>
      <c r="E44" s="140"/>
      <c r="F44" s="140"/>
      <c r="G44" s="158"/>
    </row>
    <row r="45" ht="15" customHeight="1">
      <c r="A45" s="149"/>
      <c r="B45" s="149"/>
      <c r="C45" s="149"/>
      <c r="D45" s="140"/>
      <c r="E45" s="140"/>
      <c r="F45" s="140"/>
      <c r="G45" s="158"/>
    </row>
    <row r="46" ht="15" customHeight="1">
      <c r="A46" s="149"/>
      <c r="B46" s="149"/>
      <c r="C46" s="149"/>
      <c r="D46" s="140"/>
      <c r="E46" s="140"/>
      <c r="F46" s="140"/>
      <c r="G46" s="158"/>
    </row>
    <row r="47" ht="15" customHeight="1">
      <c r="A47" s="149"/>
      <c r="B47" s="149"/>
      <c r="C47" s="156"/>
      <c r="D47" s="140"/>
      <c r="E47" s="140"/>
      <c r="F47" s="140"/>
      <c r="G47" s="158"/>
    </row>
    <row r="48" ht="15" customHeight="1">
      <c r="A48" s="149"/>
      <c r="B48" s="149"/>
      <c r="C48" s="159"/>
      <c r="D48" s="140"/>
      <c r="E48" s="140"/>
      <c r="F48" s="140"/>
      <c r="G48" s="158"/>
    </row>
    <row r="49" ht="15" customHeight="1">
      <c r="A49" s="149"/>
      <c r="B49" s="149"/>
      <c r="C49" s="156"/>
      <c r="D49" s="140"/>
      <c r="E49" s="140"/>
      <c r="F49" s="140"/>
      <c r="G49" s="15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codeName="Лист9">
    <outlinePr applyStyles="0" summaryBelow="1" summaryRight="1" showOutlineSymbols="1"/>
    <pageSetUpPr autoPageBreaks="1" fitToPage="0"/>
  </sheetPr>
  <sheetViews>
    <sheetView showRuler="1" zoomScale="100" workbookViewId="0">
      <selection activeCell="G19" activeCellId="0" sqref="G19"/>
    </sheetView>
  </sheetViews>
  <sheetFormatPr defaultRowHeight="14.25"/>
  <cols>
    <col bestFit="1" customWidth="1" min="1" max="1" width="16.7109375"/>
    <col bestFit="1" customWidth="1" min="3" max="3" width="17.28515625"/>
    <col customWidth="1" min="7" max="7" width="23.5703125"/>
    <col customWidth="1" min="9" max="9" width="11.28515625"/>
    <col customWidth="1" min="11" max="11" width="11.7109375"/>
  </cols>
  <sheetData>
    <row r="1" ht="15.75">
      <c r="A1" t="s">
        <v>26</v>
      </c>
      <c r="C1" t="s">
        <v>25</v>
      </c>
      <c r="E1" t="s">
        <v>122</v>
      </c>
      <c r="G1" t="s">
        <v>123</v>
      </c>
      <c r="I1" s="160" t="s">
        <v>124</v>
      </c>
      <c r="K1" t="s">
        <v>125</v>
      </c>
    </row>
    <row r="2">
      <c r="A2" t="s">
        <v>126</v>
      </c>
      <c r="C2" t="s">
        <v>127</v>
      </c>
      <c r="E2" t="s">
        <v>128</v>
      </c>
      <c r="G2" t="s">
        <v>129</v>
      </c>
      <c r="I2" s="161">
        <v>1</v>
      </c>
      <c r="K2" t="s">
        <v>130</v>
      </c>
    </row>
    <row r="3">
      <c r="A3" t="s">
        <v>131</v>
      </c>
      <c r="C3" t="s">
        <v>132</v>
      </c>
      <c r="E3" t="s">
        <v>133</v>
      </c>
      <c r="G3" t="s">
        <v>134</v>
      </c>
      <c r="I3" s="162" t="s">
        <v>135</v>
      </c>
      <c r="K3" t="s">
        <v>136</v>
      </c>
    </row>
    <row r="4">
      <c r="A4" t="s">
        <v>36</v>
      </c>
      <c r="C4" t="s">
        <v>137</v>
      </c>
      <c r="G4" t="s">
        <v>138</v>
      </c>
    </row>
    <row r="5">
      <c r="A5" t="s">
        <v>139</v>
      </c>
      <c r="C5" t="s">
        <v>35</v>
      </c>
    </row>
    <row r="6">
      <c r="A6" t="s">
        <v>140</v>
      </c>
      <c r="C6" t="s">
        <v>141</v>
      </c>
    </row>
    <row r="7">
      <c r="C7" t="s">
        <v>142</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tableParts count="5">
    <tablePart r:id="rId2"/>
    <tablePart r:id="rId3"/>
    <tablePart r:id="rId4"/>
    <tablePart r:id="rId5"/>
    <tablePart r:id="rId6"/>
  </tableParts>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FE1403-5CD5-4BC6-A43E-B32683D323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Р7-Офис/2025.4.1.1673</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Черкашин Владимир Алексеевич</dc:creator>
  <cp:lastModifiedBy>16703791@sigma.sbrf.ru</cp:lastModifiedBy>
  <cp:revision>2</cp:revision>
  <dcterms:created xsi:type="dcterms:W3CDTF">2015-06-19T08:04:17Z</dcterms:created>
  <dcterms:modified xsi:type="dcterms:W3CDTF">2026-04-08T12:17:35Z</dcterms:modified>
</cp:coreProperties>
</file>

<file path=docProps/custom.xml><?xml version="1.0" encoding="utf-8"?>
<Properties xmlns="http://schemas.openxmlformats.org/officeDocument/2006/custom-properties" xmlns:vt="http://schemas.openxmlformats.org/officeDocument/2006/docPropsVTypes"/>
</file>