
<file path=[Content_Types].xml><?xml version="1.0" encoding="utf-8"?>
<Types xmlns="http://schemas.openxmlformats.org/package/2006/content-types">
  <Default Extension="jpeg" ContentType="image/jpeg"/>
  <Default Extension="png" ContentType="image/png"/>
  <Default Extension="xml" ContentType="application/xml"/>
  <Default Extension="wmf" ContentType="image/x-wmf"/>
  <Default Extension="jpg" ContentType="image/jpeg"/>
  <Default Extension="rels" ContentType="application/vnd.openxmlformats-package.relationships+xml"/>
  <Default Extension="bin" ContentType="application/vnd.openxmlformats-officedocument.oleObject"/>
  <Override PartName="/xl/drawings/drawing4.xml" ContentType="application/vnd.openxmlformats-officedocument.drawing+xml"/>
  <Override PartName="/xl/drawings/drawing1.xml" ContentType="application/vnd.openxmlformats-officedocument.drawing+xml"/>
  <Override PartName="/xl/tables/table1.xml" ContentType="application/vnd.openxmlformats-officedocument.spreadsheetml.table+xml"/>
  <Override PartName="/xl/workbook.xml" ContentType="application/vnd.openxmlformats-officedocument.spreadsheetml.sheet.main+xml"/>
  <Override PartName="/xl/styles.xml" ContentType="application/vnd.openxmlformats-officedocument.spreadsheetml.styles+xml"/>
  <Override PartName="/xl/tables/table2.xml" ContentType="application/vnd.openxmlformats-officedocument.spreadsheetml.table+xml"/>
  <Override PartName="/customXml/itemProps1.xml" ContentType="application/vnd.openxmlformats-officedocument.customXmlProperties+xml"/>
  <Override PartName="/xl/tables/table9.xml" ContentType="application/vnd.openxmlformats-officedocument.spreadsheetml.table+xml"/>
  <Override PartName="/xl/drawings/drawing5.xml" ContentType="application/vnd.openxmlformats-officedocument.drawing+xml"/>
  <Override PartName="/xl/worksheets/sheet3.xml" ContentType="application/vnd.openxmlformats-officedocument.spreadsheetml.worksheet+xml"/>
  <Override PartName="/xl/worksheets/sheet8.xml" ContentType="application/vnd.openxmlformats-officedocument.spreadsheetml.worksheet+xml"/>
  <Override PartName="/xl/worksheets/sheet2.xml" ContentType="application/vnd.openxmlformats-officedocument.spreadsheetml.worksheet+xml"/>
  <Override PartName="/xl/tables/table3.xml" ContentType="application/vnd.openxmlformats-officedocument.spreadsheetml.table+xml"/>
  <Override PartName="/xl/drawings/drawing3.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heme/theme1.xml" ContentType="application/vnd.openxmlformats-officedocument.theme+xml"/>
  <Override PartName="/xl/tables/table6.xml" ContentType="application/vnd.openxmlformats-officedocument.spreadsheetml.table+xml"/>
  <Override PartName="/xl/worksheets/sheet6.xml" ContentType="application/vnd.openxmlformats-officedocument.spreadsheetml.worksheet+xml"/>
  <Override PartName="/xl/drawings/drawing7.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docProps/core.xml" ContentType="application/vnd.openxmlformats-package.core-properties+xml"/>
  <Override PartName="/xl/tables/table7.xml" ContentType="application/vnd.openxmlformats-officedocument.spreadsheetml.table+xml"/>
  <Override PartName="/xl/tables/table4.xml" ContentType="application/vnd.openxmlformats-officedocument.spreadsheetml.table+xml"/>
  <Override PartName="/xl/drawings/drawing9.xml" ContentType="application/vnd.openxmlformats-officedocument.drawing+xml"/>
  <Override PartName="/xl/drawings/drawing2.xml" ContentType="application/vnd.openxmlformats-officedocument.drawing+xml"/>
  <Override PartName="/xl/externalLinks/externalLink2.xml" ContentType="application/vnd.openxmlformats-officedocument.spreadsheetml.externalLink+xml"/>
  <Override PartName="/xl/sharedStrings.xml" ContentType="application/vnd.openxmlformats-officedocument.spreadsheetml.sharedStrings+xml"/>
  <Override PartName="/xl/tables/table8.xml" ContentType="application/vnd.openxmlformats-officedocument.spreadsheetml.table+xml"/>
  <Override PartName="/xl/drawings/drawing8.xml" ContentType="application/vnd.openxmlformats-officedocument.drawing+xml"/>
  <Override PartName="/docProps/app.xml" ContentType="application/vnd.openxmlformats-officedocument.extended-properties+xml"/>
  <Override PartName="/xl/externalLinks/externalLink1.xml" ContentType="application/vnd.openxmlformats-officedocument.spreadsheetml.externalLink+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1"/>
  </bookViews>
  <sheets>
    <sheet name="Список изменений" sheetId="1" state="visible" r:id="rId4"/>
    <sheet name="S2T" sheetId="2" state="visible" r:id="rId5"/>
    <sheet name="Source columns" sheetId="3" state="visible" r:id="rId6"/>
    <sheet name="Target tables" sheetId="4" state="visible" r:id="rId7"/>
    <sheet name="Target columns" sheetId="5" state="visible" r:id="rId8"/>
    <sheet name="PXF-&gt;A" sheetId="6" state="visible" r:id="rId9"/>
    <sheet name="А-слой-&gt;В-слой" sheetId="7" state="visible" r:id="rId10"/>
    <sheet name="Additional objects" sheetId="8" state="visible" r:id="rId11"/>
    <sheet name="Глоссарий" sheetId="9" state="hidden" r:id="rId12"/>
  </sheets>
  <externalReferences>
    <externalReference r:id="rId1"/>
    <externalReference r:id="rId2"/>
  </externalReferences>
  <definedNames>
    <definedName name="_xlnm._FilterDatabase" localSheetId="1" hidden="1">S2T!$A$2:$V$454</definedName>
    <definedName name="_xlnm._FilterDatabase" localSheetId="2" hidden="1">'Source columns'!$A$2:$H$237</definedName>
    <definedName name="anchor_tgt_columns_def" localSheetId="2">'Source columns'!#REF!</definedName>
    <definedName name="anchor_tgt_columns_fk" localSheetId="2">'Source columns'!$H$1</definedName>
    <definedName name="anchor_tgt_columns_note" localSheetId="2">'Source columns'!$I$1</definedName>
    <definedName name="anchor_tgt_columns_null" localSheetId="2">'Source columns'!$E$1</definedName>
    <definedName name="anchor_tgt_columns_pk" localSheetId="2">'Source columns'!$G$1</definedName>
    <definedName name="anchor_tgt_columns_po" localSheetId="2">'Source columns'!$F$1</definedName>
    <definedName name="anchor_tgt_columns_type" localSheetId="2">'Source columns'!$D$1</definedName>
    <definedName name="lst_tgt_columns" localSheetId="2">'Source columns'!$A:$I</definedName>
    <definedName name="_xlnm._FilterDatabase" localSheetId="3" hidden="1">'Target tables'!$A$2:$E$2</definedName>
    <definedName name="anchor_tgt_tables_ntab" localSheetId="3">'Target tables'!$E$1</definedName>
    <definedName name="anchor_tgt_tables_sa" localSheetId="3">'Target tables'!$D$1</definedName>
    <definedName name="lst_tgt_tables" localSheetId="3">'Target tables'!$A:$E</definedName>
    <definedName name="_xlnm._FilterDatabase" localSheetId="4" hidden="1">'Target columns'!$A$2:$J$249</definedName>
    <definedName name="anchor_tgt_columns_def" localSheetId="4">'Target columns'!$I$1</definedName>
    <definedName name="anchor_tgt_columns_fk" localSheetId="4">'Target columns'!$H$1</definedName>
    <definedName name="anchor_tgt_columns_note" localSheetId="4">'Target columns'!$J$1</definedName>
    <definedName name="anchor_tgt_columns_null" localSheetId="4">'Target columns'!$E$1</definedName>
    <definedName name="anchor_tgt_columns_pk" localSheetId="4">'Target columns'!$G$1</definedName>
    <definedName name="anchor_tgt_columns_po" localSheetId="4">'Target columns'!$F$1</definedName>
    <definedName name="anchor_tgt_columns_type" localSheetId="4">'Target columns'!$D$1</definedName>
    <definedName name="lst_tgt_columns" localSheetId="4">'Target columns'!$A:$J</definedName>
    <definedName name="anchor_src_columns_note" localSheetId="7">#REF!</definedName>
    <definedName name="anchor_src_columns_null" localSheetId="7">#REF!</definedName>
    <definedName name="anchor_src_columns_pk" localSheetId="7">#REF!</definedName>
    <definedName name="anchor_src_columns_type" localSheetId="7">#REF!</definedName>
    <definedName name="anchor_tgt_columns_def" localSheetId="7">#REF!</definedName>
    <definedName name="anchor_tgt_columns_fk" localSheetId="7">#REF!</definedName>
    <definedName name="anchor_tgt_columns_note" localSheetId="7">#REF!</definedName>
    <definedName name="anchor_tgt_columns_null" localSheetId="7">#REF!</definedName>
    <definedName name="anchor_tgt_columns_pk" localSheetId="7">#REF!</definedName>
    <definedName name="anchor_tgt_columns_po" localSheetId="7">#REF!</definedName>
    <definedName name="anchor_tgt_columns_type" localSheetId="7">#REF!</definedName>
    <definedName name="anchor_tgt_tables_ntab" localSheetId="7">#REF!</definedName>
    <definedName name="anchor_tgt_tables_sa" localSheetId="7">#REF!</definedName>
    <definedName name="lst_src_columns" localSheetId="7">#REF!</definedName>
    <definedName name="lst_tgt_columns" localSheetId="7">#REF!</definedName>
    <definedName name="lst_tgt_tables" localSheetId="7">#REF!</definedName>
    <definedName name="anchor_src_columns_note">#REF!</definedName>
    <definedName name="anchor_src_columns_null">#REF!</definedName>
    <definedName name="anchor_src_columns_pk">#REF!</definedName>
    <definedName name="anchor_src_columns_type">#REF!</definedName>
    <definedName name="anchor_tgt_columns_def">#REF!</definedName>
    <definedName name="anchor_tgt_columns_fk">#REF!</definedName>
    <definedName name="anchor_tgt_columns_note">#REF!</definedName>
    <definedName name="anchor_tgt_columns_null">#REF!</definedName>
    <definedName name="anchor_tgt_columns_pk">#REF!</definedName>
    <definedName name="anchor_tgt_columns_po">#REF!</definedName>
    <definedName name="anchor_tgt_columns_type">#REF!</definedName>
    <definedName name="anchor_tgt_tables_ntab">#REF!</definedName>
    <definedName name="anchor_tgt_tables_sa">#REF!</definedName>
    <definedName name="d">'[1]Target columns'!$D$1</definedName>
    <definedName name="first_value">Глоссарий!$I$1:$I$3</definedName>
    <definedName name="lst_src_columns">#REF!</definedName>
    <definedName name="lst_tgt_columns">#REF!</definedName>
    <definedName name="lst_tgt_tables">#REF!</definedName>
    <definedName name="sff">'[1]Target columns'!$H$1</definedName>
    <definedName name="_xlnm._FilterDatabase" localSheetId="1" hidden="1">S2T!$A$2:$V$454</definedName>
  </definedNames>
  <calcPr/>
</workbook>
</file>

<file path=xl/sharedStrings.xml><?xml version="1.0" encoding="utf-8"?>
<sst xmlns="http://schemas.openxmlformats.org/spreadsheetml/2006/main" count="587" uniqueCount="587">
  <si>
    <t>Версия</t>
  </si>
  <si>
    <t>Дата</t>
  </si>
  <si>
    <t xml:space="preserve">Измененный объект</t>
  </si>
  <si>
    <t>Изменение</t>
  </si>
  <si>
    <t>Автор</t>
  </si>
  <si>
    <t>Комментарий</t>
  </si>
  <si>
    <t xml:space="preserve">№ ПП</t>
  </si>
  <si>
    <t xml:space="preserve">Предметная область</t>
  </si>
  <si>
    <t xml:space="preserve">Описание целевой таблицы</t>
  </si>
  <si>
    <t>Таблица-приемник</t>
  </si>
  <si>
    <t xml:space="preserve">Тип данных поля приемника</t>
  </si>
  <si>
    <t xml:space="preserve">Первичный ключ?</t>
  </si>
  <si>
    <t xml:space="preserve">Внешний ключ?</t>
  </si>
  <si>
    <t>NULL?</t>
  </si>
  <si>
    <t xml:space="preserve">Описание поля приемника</t>
  </si>
  <si>
    <t xml:space="preserve">Поле приемника</t>
  </si>
  <si>
    <t>Таблица-источник</t>
  </si>
  <si>
    <t xml:space="preserve">Тип данных поля источника</t>
  </si>
  <si>
    <t xml:space="preserve">Описание поля источника</t>
  </si>
  <si>
    <t xml:space="preserve">Поле источника</t>
  </si>
  <si>
    <t xml:space="preserve">Трансформация поля источника</t>
  </si>
  <si>
    <t xml:space="preserve">Трансформации табличного уровня (SQL, пояснения)</t>
  </si>
  <si>
    <t xml:space="preserve">Название N-таблицы</t>
  </si>
  <si>
    <t xml:space="preserve">Роль в истории</t>
  </si>
  <si>
    <t>СОД</t>
  </si>
  <si>
    <t xml:space="preserve">Кто менял</t>
  </si>
  <si>
    <t>Комментарии</t>
  </si>
  <si>
    <t>t_agr_rko</t>
  </si>
  <si>
    <t>open_dt</t>
  </si>
  <si>
    <t>b3060000410004_product</t>
  </si>
  <si>
    <t>begindate</t>
  </si>
  <si>
    <t>-</t>
  </si>
  <si>
    <t>Снимок-снимок</t>
  </si>
  <si>
    <t xml:space="preserve">Сорокин М. Б.</t>
  </si>
  <si>
    <t>close_dt</t>
  </si>
  <si>
    <t>closedate</t>
  </si>
  <si>
    <t>agr_rko_num</t>
  </si>
  <si>
    <t>num</t>
  </si>
  <si>
    <t>host_agr_rko_id</t>
  </si>
  <si>
    <t>objectid</t>
  </si>
  <si>
    <t>crncy_id</t>
  </si>
  <si>
    <t>currency_short_foreign_key_uid</t>
  </si>
  <si>
    <t>rko_purpose_type_id</t>
  </si>
  <si>
    <t>Target_short_foreign_key_uid</t>
  </si>
  <si>
    <t>agr_rko_id</t>
  </si>
  <si>
    <t>ObjectID_uid</t>
  </si>
  <si>
    <t>Ключ</t>
  </si>
  <si>
    <t>t_agr_rko_cust</t>
  </si>
  <si>
    <t>Снимок-история</t>
  </si>
  <si>
    <t>start_dt</t>
  </si>
  <si>
    <t>ETL</t>
  </si>
  <si>
    <t>ctl_validfrom</t>
  </si>
  <si>
    <t xml:space="preserve">Заполняется в соответствии с СОД Снимок-История. Первая запись в истории должна иметь значение MinDate</t>
  </si>
  <si>
    <t>Начало</t>
  </si>
  <si>
    <t>end_dt</t>
  </si>
  <si>
    <t xml:space="preserve">Заполняется в соответствии с СОД Снимок-История</t>
  </si>
  <si>
    <t>Конец</t>
  </si>
  <si>
    <t>cust_id</t>
  </si>
  <si>
    <t>ownerEpkId_entityId_uid</t>
  </si>
  <si>
    <t>t_agr_rko_int_org</t>
  </si>
  <si>
    <t>int_org_id</t>
  </si>
  <si>
    <t>divisionId_uid</t>
  </si>
  <si>
    <t>t_agr_rko_stts</t>
  </si>
  <si>
    <t>agr_rko_stts_type_id</t>
  </si>
  <si>
    <t>statusCode_short_foreign_key_uid</t>
  </si>
  <si>
    <t>t_registry</t>
  </si>
  <si>
    <t>registry_id</t>
  </si>
  <si>
    <t>b3060000410001_register</t>
  </si>
  <si>
    <t>Objectid_uid</t>
  </si>
  <si>
    <t xml:space="preserve">Снимок-снимок с накоплением</t>
  </si>
  <si>
    <t>enddate</t>
  </si>
  <si>
    <t>agr_id</t>
  </si>
  <si>
    <t>product_short_foreign_key_uid</t>
  </si>
  <si>
    <t>coa_num</t>
  </si>
  <si>
    <t>number</t>
  </si>
  <si>
    <t>host_registry_id</t>
  </si>
  <si>
    <t>objectID</t>
  </si>
  <si>
    <t>registry_type_id</t>
  </si>
  <si>
    <t>registerType_short_foreign_key_uid</t>
  </si>
  <si>
    <t>T_REGISTRY_STTS</t>
  </si>
  <si>
    <t>REGISTRY_STTS_TYPE_ID</t>
  </si>
  <si>
    <t>status_short_foreign_key_uid</t>
  </si>
  <si>
    <t>t_registry_type</t>
  </si>
  <si>
    <t>b3060000410006_registertype</t>
  </si>
  <si>
    <t>registry_type_name</t>
  </si>
  <si>
    <t>name</t>
  </si>
  <si>
    <t>registry_type_cd</t>
  </si>
  <si>
    <t>t_appl</t>
  </si>
  <si>
    <t>appl_id</t>
  </si>
  <si>
    <t>b3060000410002_createrkoext</t>
  </si>
  <si>
    <t xml:space="preserve">from s_createrkoext t1
left join s_createrkoextresult t2
on t2.createrkoext_short_foreign_key=t1.objectID
left join s_party t3
on t3.createrkoext_short_foreign_key=t1.objectID
left join s_optionalparam t4
on t4.createrkoext_short_foreign_key=t1.objectID
left join s_depart t5 on t2.createrkoext_short_foreign_key=t1.objectID
where t1.inc_flag=1 or t2.inc_flag=1 or t3.inc_flag=1 or t4.inc_flag=1 or t5.inc_flag=1
Источник для всех полей этого блока - S таблицы выше</t>
  </si>
  <si>
    <t>appl_type_id</t>
  </si>
  <si>
    <t>operationType_uid</t>
  </si>
  <si>
    <t>src_system_type_id</t>
  </si>
  <si>
    <t>spName_uid</t>
  </si>
  <si>
    <t>error_txt</t>
  </si>
  <si>
    <t>errcode</t>
  </si>
  <si>
    <t>agr_dbo_num</t>
  </si>
  <si>
    <t>b3060000410014_optionalParam</t>
  </si>
  <si>
    <t>sbbolnumdog</t>
  </si>
  <si>
    <t>open_int_org_id</t>
  </si>
  <si>
    <t>b3060000410016_depart</t>
  </si>
  <si>
    <t>subdivisioncode_uid</t>
  </si>
  <si>
    <t>chnl_type_id</t>
  </si>
  <si>
    <t>channel_uid</t>
  </si>
  <si>
    <t>b3060000410008_createrkoextresult</t>
  </si>
  <si>
    <t>productPartyID_uid</t>
  </si>
  <si>
    <t>accountId_uid</t>
  </si>
  <si>
    <t>appl_received_dt</t>
  </si>
  <si>
    <t>rqtm</t>
  </si>
  <si>
    <t>trunc(rqtm)</t>
  </si>
  <si>
    <t>b3060000410003_party</t>
  </si>
  <si>
    <t>epkID_uuid</t>
  </si>
  <si>
    <t>host_appl_id</t>
  </si>
  <si>
    <t>ObjectID</t>
  </si>
  <si>
    <t>t_appl_stts</t>
  </si>
  <si>
    <t>appl_stts_type_id</t>
  </si>
  <si>
    <t>statusForRko_short_foreign_key_uid</t>
  </si>
  <si>
    <t>appl_stts_role_type_id</t>
  </si>
  <si>
    <t>'00000000-0000-0000-0000-0000fffffc17'::uuid</t>
  </si>
  <si>
    <t xml:space="preserve">-1001^Основной статус</t>
  </si>
  <si>
    <t>t_arg_rko_limit</t>
  </si>
  <si>
    <t>agr_rko_limit_id</t>
  </si>
  <si>
    <t>b3060000410009_RestrictionProduct</t>
  </si>
  <si>
    <t>agr_rko_limit_host_id</t>
  </si>
  <si>
    <t>agr_rko_limit_type_id</t>
  </si>
  <si>
    <t>restrictionType_short_foreign_key_uuid</t>
  </si>
  <si>
    <t>start_dttm</t>
  </si>
  <si>
    <t>datebegin</t>
  </si>
  <si>
    <t>end_dttm</t>
  </si>
  <si>
    <t>dateend</t>
  </si>
  <si>
    <t>limit_amt</t>
  </si>
  <si>
    <t>restrictionSumLimit</t>
  </si>
  <si>
    <t>limit_open_txt</t>
  </si>
  <si>
    <t>reasonOpen</t>
  </si>
  <si>
    <t>restrictionSumCurrency_short_foreign_key_uid</t>
  </si>
  <si>
    <t>limit_dt</t>
  </si>
  <si>
    <t>reasonDocDate</t>
  </si>
  <si>
    <t>active_flag</t>
  </si>
  <si>
    <t>inactive</t>
  </si>
  <si>
    <t xml:space="preserve">case when inactive then 'N' else 'Y' end</t>
  </si>
  <si>
    <t>limit_close_txt</t>
  </si>
  <si>
    <t>reasonClose</t>
  </si>
  <si>
    <t>t_rko_purpose_type</t>
  </si>
  <si>
    <t>b3060000410012_producttarget</t>
  </si>
  <si>
    <t>rko_purpose_type_cd</t>
  </si>
  <si>
    <t>rko_purpose_type_name</t>
  </si>
  <si>
    <t>T_REGISTRY_STTS_TYPE</t>
  </si>
  <si>
    <t>b3060000410011_RegisterStatus</t>
  </si>
  <si>
    <t>REGISTRY_STTS_TYPE_CD</t>
  </si>
  <si>
    <t>REGISTRY_STTS_TYPE_NAME</t>
  </si>
  <si>
    <t>T_APPL_TYPE</t>
  </si>
  <si>
    <t>APPL_TYPE_ID</t>
  </si>
  <si>
    <t xml:space="preserve">SELECT DISTINCT operationtype,operationtype_uid FROM b3060000410002_createrkoext where operationtype is not null</t>
  </si>
  <si>
    <t>APPL_TYPE_CD</t>
  </si>
  <si>
    <t>operationType</t>
  </si>
  <si>
    <t>T_SRC_SYSTEM_TYPE</t>
  </si>
  <si>
    <t>SRC_SYSTEM_TYPE_ID</t>
  </si>
  <si>
    <t xml:space="preserve">SELECT DISTINCT spname,spname_uid FROM b3060000410002_createrkoext where spname is not null</t>
  </si>
  <si>
    <t>SRC_SYSTEM_TYPE_CD</t>
  </si>
  <si>
    <t>spName</t>
  </si>
  <si>
    <t>T_CHNL_TYPE</t>
  </si>
  <si>
    <t>CHNL_TYPE_ID</t>
  </si>
  <si>
    <t xml:space="preserve">SELECT DISTINCT channel_uid,channel FROM b3060000410002_createrkoext where channel is not null</t>
  </si>
  <si>
    <t>CHNL_TYPE_CD</t>
  </si>
  <si>
    <t>channel</t>
  </si>
  <si>
    <t>T_APPL_STTS_TYPE</t>
  </si>
  <si>
    <t>APPL_STTS_TYPE_ID</t>
  </si>
  <si>
    <t>b3060000410013_Status</t>
  </si>
  <si>
    <t>APPL_STTS_TYPE_CD</t>
  </si>
  <si>
    <t>code</t>
  </si>
  <si>
    <t>APPL_STTS_TYPE_NAME</t>
  </si>
  <si>
    <t>HOST_APPL_STTS_TYPE_ID</t>
  </si>
  <si>
    <t>T_AGR_RKO_STTS_TYPE</t>
  </si>
  <si>
    <t>AGR_RKO_STTS_TYPE_ID</t>
  </si>
  <si>
    <t>b3060000410005_productstatus</t>
  </si>
  <si>
    <t>AGR_RKO_STTS_TYPE_CD</t>
  </si>
  <si>
    <t>AGR_RKO_STTS_TYPE_NAME</t>
  </si>
  <si>
    <t>t_agr_rko_limit_type</t>
  </si>
  <si>
    <t>b3060000410010_RestrictionProductType</t>
  </si>
  <si>
    <t>agr_rko_limit_type_cd</t>
  </si>
  <si>
    <t>agr_rko_limit_type_name</t>
  </si>
  <si>
    <t>t_crncy</t>
  </si>
  <si>
    <t>CRNCY_ID</t>
  </si>
  <si>
    <t>b3060000410007_currency</t>
  </si>
  <si>
    <t>CRNCY_ISO_CD</t>
  </si>
  <si>
    <t>CRNCY_NAME</t>
  </si>
  <si>
    <t>CRNCY_CD</t>
  </si>
  <si>
    <t>t_int_org</t>
  </si>
  <si>
    <t xml:space="preserve">select dividionid_uid,divisionid, max(ctl_action) ctl_action, max(workflow_run_id) workflow_run_id
from (
select dividionid_uid,divisionid, ctl_action, workflow_run_id
b3060000410004_product where divisionid is not null and ctl_action&lt;&gt;'D'
union all
select subdivisioncode_uid dividionid_uid, subdivisioncode divisionid, ctl_action, workflow_run_id
from b3060000410016_depart where subdivisioncode is not null and ctl_action&lt;&gt;'D') b
group by dividionid_uid,divisionid</t>
  </si>
  <si>
    <t>int_org_num</t>
  </si>
  <si>
    <t>divisionId</t>
  </si>
  <si>
    <t>t_agr_rko_limit_stts</t>
  </si>
  <si>
    <t>agr_rko_limit_stts_type_id</t>
  </si>
  <si>
    <t xml:space="preserve">case when inactive then '00000000-0000-0000-0000-0000fffffc17'::uuid else '00000000-0000-0000-0000-0000fffffc16'::uuid end</t>
  </si>
  <si>
    <t>t_agr_rko_idfn</t>
  </si>
  <si>
    <t xml:space="preserve">Масальцева Э.М.</t>
  </si>
  <si>
    <t xml:space="preserve">Проверка соответствия типов S2T</t>
  </si>
  <si>
    <t>Seek</t>
  </si>
  <si>
    <t xml:space="preserve">Название таблицы STAGE</t>
  </si>
  <si>
    <t xml:space="preserve">Название поля</t>
  </si>
  <si>
    <t xml:space="preserve">Тип поля</t>
  </si>
  <si>
    <t xml:space="preserve">Первичный ключ</t>
  </si>
  <si>
    <t xml:space="preserve">Описание поля</t>
  </si>
  <si>
    <t xml:space="preserve">Описание таблицы</t>
  </si>
  <si>
    <t>Результат</t>
  </si>
  <si>
    <t>bigint</t>
  </si>
  <si>
    <t>Yes</t>
  </si>
  <si>
    <t xml:space="preserve">NOT NULL</t>
  </si>
  <si>
    <t xml:space="preserve">Уникальный  идентификатор</t>
  </si>
  <si>
    <t>Регистры</t>
  </si>
  <si>
    <t>beginDate</t>
  </si>
  <si>
    <t>timestamp</t>
  </si>
  <si>
    <t>No</t>
  </si>
  <si>
    <t>NULL</t>
  </si>
  <si>
    <t xml:space="preserve">Дата открытия</t>
  </si>
  <si>
    <t>endDate</t>
  </si>
  <si>
    <t xml:space="preserve">Дата закрытия</t>
  </si>
  <si>
    <t>uuid</t>
  </si>
  <si>
    <t>Валюта</t>
  </si>
  <si>
    <t>currency_short_foreign_key</t>
  </si>
  <si>
    <t>text</t>
  </si>
  <si>
    <t xml:space="preserve">Номер счета</t>
  </si>
  <si>
    <t>product_short_foreign_key</t>
  </si>
  <si>
    <t>Договор</t>
  </si>
  <si>
    <t>registerType_short_foreign_key</t>
  </si>
  <si>
    <t xml:space="preserve">Тип регистра</t>
  </si>
  <si>
    <t xml:space="preserve">Статус регистра</t>
  </si>
  <si>
    <t>status_short_foreign_key</t>
  </si>
  <si>
    <t xml:space="preserve">Заявки на РКО</t>
  </si>
  <si>
    <t>errCode</t>
  </si>
  <si>
    <t xml:space="preserve">Код ошибки</t>
  </si>
  <si>
    <t xml:space="preserve">Наименование канала</t>
  </si>
  <si>
    <t>createdProduct_entityId</t>
  </si>
  <si>
    <t xml:space="preserve">Тип операции</t>
  </si>
  <si>
    <t xml:space="preserve">Дата заявки</t>
  </si>
  <si>
    <t>statusForRko_short_foreign_key</t>
  </si>
  <si>
    <t xml:space="preserve">Статус заявки</t>
  </si>
  <si>
    <t xml:space="preserve">Идентификатор системы, которая сформировала сообщение</t>
  </si>
  <si>
    <t>Клиенты</t>
  </si>
  <si>
    <t>epkID</t>
  </si>
  <si>
    <t xml:space="preserve">ID карточки клиента (Организации/ИП) в ЕПК</t>
  </si>
  <si>
    <t>createRkoExt_short_foreign_key</t>
  </si>
  <si>
    <t xml:space="preserve">ID заявки</t>
  </si>
  <si>
    <t>createRkoExt_short_foreign_key_uid</t>
  </si>
  <si>
    <t xml:space="preserve">Договоры РКО</t>
  </si>
  <si>
    <t>closeDate</t>
  </si>
  <si>
    <t xml:space="preserve">Валюта договора РКО</t>
  </si>
  <si>
    <t xml:space="preserve">Подразделение договора</t>
  </si>
  <si>
    <t xml:space="preserve">Дата окончания</t>
  </si>
  <si>
    <t xml:space="preserve">Номер договора РКО</t>
  </si>
  <si>
    <t>Target_short_foreign_key</t>
  </si>
  <si>
    <t xml:space="preserve">Целевое назначение счета</t>
  </si>
  <si>
    <t>ownerEpkId_entityId</t>
  </si>
  <si>
    <t xml:space="preserve">ЕПК ID клиента</t>
  </si>
  <si>
    <t xml:space="preserve">Статус договора РКО</t>
  </si>
  <si>
    <t>statusCode_short_foreign_key</t>
  </si>
  <si>
    <t xml:space="preserve">Статус договора</t>
  </si>
  <si>
    <t>Наименование</t>
  </si>
  <si>
    <t xml:space="preserve">Наименование регистра</t>
  </si>
  <si>
    <t>internationalName</t>
  </si>
  <si>
    <t xml:space="preserve">Интернациональное наименование из EkpId</t>
  </si>
  <si>
    <t>Валюты</t>
  </si>
  <si>
    <t>measureCode</t>
  </si>
  <si>
    <t xml:space="preserve">Цифровой код валюты из EkpId </t>
  </si>
  <si>
    <t>measureName</t>
  </si>
  <si>
    <t xml:space="preserve">Русскоязычное наименование валюты из EkpId </t>
  </si>
  <si>
    <t xml:space="preserve">Русскоязычное наименование валюты</t>
  </si>
  <si>
    <t xml:space="preserve">Цифровой код валюты из общероссийского классификатора валют</t>
  </si>
  <si>
    <t>objectId</t>
  </si>
  <si>
    <t xml:space="preserve">Прикладной ID объекта</t>
  </si>
  <si>
    <t>objectId_uid</t>
  </si>
  <si>
    <t>accountId</t>
  </si>
  <si>
    <t>Регистр</t>
  </si>
  <si>
    <t xml:space="preserve">Результат исполнения заявки</t>
  </si>
  <si>
    <t>accountNum</t>
  </si>
  <si>
    <t xml:space="preserve">Номер счета (расчетный или текущий)</t>
  </si>
  <si>
    <t>createrkoext_short_foreign_key</t>
  </si>
  <si>
    <t>productPartyID</t>
  </si>
  <si>
    <t xml:space="preserve">ID продукта в ФСКК</t>
  </si>
  <si>
    <t xml:space="preserve">Ограничения на РКО</t>
  </si>
  <si>
    <t>dateBegin</t>
  </si>
  <si>
    <t xml:space="preserve">Дата начала действия ограничения</t>
  </si>
  <si>
    <t>dateEnd</t>
  </si>
  <si>
    <t xml:space="preserve">Дата окончания действия ограничения</t>
  </si>
  <si>
    <t>boolean</t>
  </si>
  <si>
    <t xml:space="preserve">Признак удаления ограничения</t>
  </si>
  <si>
    <t xml:space="preserve">Продукт-владелец ограничения</t>
  </si>
  <si>
    <t xml:space="preserve">Основание закрытия ограничения</t>
  </si>
  <si>
    <t xml:space="preserve">Дата документа основания установки ограничения</t>
  </si>
  <si>
    <t>reasonDocNum</t>
  </si>
  <si>
    <t xml:space="preserve">Номер документа основания</t>
  </si>
  <si>
    <t xml:space="preserve">Основание открытия ограничения</t>
  </si>
  <si>
    <t>restrictionSumCurrency_short_foreign_key</t>
  </si>
  <si>
    <t xml:space="preserve">Валюта суммы ограничения</t>
  </si>
  <si>
    <t>restrictionType_short_foreign_key</t>
  </si>
  <si>
    <t xml:space="preserve">Тип ограничения</t>
  </si>
  <si>
    <t>numeric</t>
  </si>
  <si>
    <t xml:space="preserve">Сумма ограничения</t>
  </si>
  <si>
    <t xml:space="preserve">Тип ограничений</t>
  </si>
  <si>
    <t xml:space="preserve">Код ограничения</t>
  </si>
  <si>
    <t xml:space="preserve">Наименование ограничения</t>
  </si>
  <si>
    <t xml:space="preserve">Наименование элемента справочника</t>
  </si>
  <si>
    <t xml:space="preserve">Справочник целевого назначения счета</t>
  </si>
  <si>
    <t>description</t>
  </si>
  <si>
    <t xml:space="preserve">Справочник статусов</t>
  </si>
  <si>
    <t xml:space="preserve">Название статуса</t>
  </si>
  <si>
    <t xml:space="preserve">Код статуса</t>
  </si>
  <si>
    <t xml:space="preserve">Описание статуса</t>
  </si>
  <si>
    <t xml:space="preserve">Параметры заявки</t>
  </si>
  <si>
    <t xml:space="preserve">ID заявки на РКО</t>
  </si>
  <si>
    <t xml:space="preserve">Номер договора СББОЛ</t>
  </si>
  <si>
    <t>b3060000410015_MigrateEntityMapProduct</t>
  </si>
  <si>
    <t>divisionEksCode</t>
  </si>
  <si>
    <t xml:space="preserve">Код отделения Банка в ЕКС</t>
  </si>
  <si>
    <t xml:space="preserve">Связь ЕКС-ППРБ</t>
  </si>
  <si>
    <t>divisionEksId</t>
  </si>
  <si>
    <t xml:space="preserve">Идентификатор отделения банка в ЕКС</t>
  </si>
  <si>
    <t>eksId</t>
  </si>
  <si>
    <t xml:space="preserve">Идентификатор объекта в системе ЕКС</t>
  </si>
  <si>
    <t>eksScn</t>
  </si>
  <si>
    <t>int</t>
  </si>
  <si>
    <t xml:space="preserve">Инкремент изменений объекта в системе ЕКС</t>
  </si>
  <si>
    <t>ownerEksId</t>
  </si>
  <si>
    <t xml:space="preserve">Идентификатор владельца договора РКО в ЕКС</t>
  </si>
  <si>
    <t>product_entityId</t>
  </si>
  <si>
    <t xml:space="preserve">ID Договора в ППРБ</t>
  </si>
  <si>
    <t xml:space="preserve">Связь заявка-подразделение</t>
  </si>
  <si>
    <t>businessportcode</t>
  </si>
  <si>
    <t>subdivisioncode</t>
  </si>
  <si>
    <t xml:space="preserve">Table Name</t>
  </si>
  <si>
    <t xml:space="preserve">Table Entity Definition</t>
  </si>
  <si>
    <t xml:space="preserve">Table Entity Note</t>
  </si>
  <si>
    <t xml:space="preserve">Table Is In Subject Area Name</t>
  </si>
  <si>
    <t xml:space="preserve">Суффикс N-таблицы</t>
  </si>
  <si>
    <t xml:space="preserve">Договор РКО</t>
  </si>
  <si>
    <t>agr_rko</t>
  </si>
  <si>
    <t xml:space="preserve">Клиент договора РКО</t>
  </si>
  <si>
    <t>agr_rko_cust</t>
  </si>
  <si>
    <t>agr_rko_stts</t>
  </si>
  <si>
    <t xml:space="preserve">Подразделение договора РКО</t>
  </si>
  <si>
    <t>agr_rko_int_org</t>
  </si>
  <si>
    <t>registry</t>
  </si>
  <si>
    <t>crncy</t>
  </si>
  <si>
    <t>registry_type</t>
  </si>
  <si>
    <t xml:space="preserve">Подразделения СБ РФ</t>
  </si>
  <si>
    <t>int_org</t>
  </si>
  <si>
    <t>REGISTRY_STTS</t>
  </si>
  <si>
    <t xml:space="preserve">Заявка на РКО</t>
  </si>
  <si>
    <t>appl</t>
  </si>
  <si>
    <t>appl_stts</t>
  </si>
  <si>
    <t>agr_rko_limit</t>
  </si>
  <si>
    <t xml:space="preserve">Целевое назначение договора РКО</t>
  </si>
  <si>
    <t>rko_purpose_type</t>
  </si>
  <si>
    <t xml:space="preserve">Тип статус регистра</t>
  </si>
  <si>
    <t>REGISTRY_STTS_TYPE</t>
  </si>
  <si>
    <t xml:space="preserve">Тип заявки</t>
  </si>
  <si>
    <t>APPL_TYPE</t>
  </si>
  <si>
    <t xml:space="preserve">Справочник систем, которые являются источником  данных</t>
  </si>
  <si>
    <t>SRC_SYSTEM_TYPE</t>
  </si>
  <si>
    <t xml:space="preserve">Виды каналов</t>
  </si>
  <si>
    <t>CHNL_TYPE</t>
  </si>
  <si>
    <t xml:space="preserve">Данная сущность описывает тип статуса заявки. Например, статус "открыта", "отложена" и др.</t>
  </si>
  <si>
    <t>APPL_STTS_TYPE</t>
  </si>
  <si>
    <t xml:space="preserve">Тип статуса договора</t>
  </si>
  <si>
    <t>AGR_RKO_STTS_TYPE</t>
  </si>
  <si>
    <t xml:space="preserve">Тип ограничения на РКО</t>
  </si>
  <si>
    <t>agr_rko_limit_type</t>
  </si>
  <si>
    <t xml:space="preserve">Статус ограничения на РКО</t>
  </si>
  <si>
    <t>arg_rko_limit_stts</t>
  </si>
  <si>
    <t xml:space="preserve">Идентификационные характеристики договора </t>
  </si>
  <si>
    <t>agr_rko_idfn</t>
  </si>
  <si>
    <t xml:space="preserve">Column Table Name</t>
  </si>
  <si>
    <t>ColumnName</t>
  </si>
  <si>
    <t xml:space="preserve">Column Datatype</t>
  </si>
  <si>
    <t xml:space="preserve">Column Null Option</t>
  </si>
  <si>
    <t xml:space="preserve">Column Physical Only</t>
  </si>
  <si>
    <t xml:space="preserve">Column Is PK</t>
  </si>
  <si>
    <t xml:space="preserve">Column Is FK</t>
  </si>
  <si>
    <t xml:space="preserve">Column Attribute Definition</t>
  </si>
  <si>
    <t xml:space="preserve">Column Attribute Note</t>
  </si>
  <si>
    <t>date</t>
  </si>
  <si>
    <t/>
  </si>
  <si>
    <t xml:space="preserve">Номер договора</t>
  </si>
  <si>
    <t xml:space="preserve">Уникальный идентификатор договора в системе-источнике</t>
  </si>
  <si>
    <t xml:space="preserve">Валюта договора</t>
  </si>
  <si>
    <t xml:space="preserve">Целевое назначение договора (счета)</t>
  </si>
  <si>
    <t xml:space="preserve">Уникальный идентификатор договора</t>
  </si>
  <si>
    <t xml:space="preserve">Дата начала действия связи</t>
  </si>
  <si>
    <t xml:space="preserve">Дата окончания действия связи</t>
  </si>
  <si>
    <t xml:space="preserve">Клиент по договору</t>
  </si>
  <si>
    <t xml:space="preserve">Подразделение сопровождения договора</t>
  </si>
  <si>
    <t xml:space="preserve">Уникальный идентификатор регистра</t>
  </si>
  <si>
    <t xml:space="preserve">Дата опердня, в которую был открыт регистр</t>
  </si>
  <si>
    <t xml:space="preserve">Дата опердня, в которую был закрыт регистр</t>
  </si>
  <si>
    <t xml:space="preserve">Лицевой счет</t>
  </si>
  <si>
    <t xml:space="preserve">Уникальный идентификатор валюты</t>
  </si>
  <si>
    <t xml:space="preserve">Уникальный идентификатор регистра в источнике</t>
  </si>
  <si>
    <t>crncy_cd</t>
  </si>
  <si>
    <t xml:space="preserve">Цифровой код валюты</t>
  </si>
  <si>
    <t>crncy_iso_cd</t>
  </si>
  <si>
    <t xml:space="preserve">ISO код валюты</t>
  </si>
  <si>
    <t>crncy_name</t>
  </si>
  <si>
    <t xml:space="preserve">Наименование валюты</t>
  </si>
  <si>
    <t xml:space="preserve">Уникальный идентификатор типа регистра</t>
  </si>
  <si>
    <t xml:space="preserve">Наименование типа регистра</t>
  </si>
  <si>
    <t xml:space="preserve">Код регистра</t>
  </si>
  <si>
    <t xml:space="preserve">идентификатор подразделения</t>
  </si>
  <si>
    <t xml:space="preserve">внутренний номер огранизации, такой как номер филиала или номер рабочей группы</t>
  </si>
  <si>
    <t>REGISTRY_ID</t>
  </si>
  <si>
    <t>UUID</t>
  </si>
  <si>
    <t xml:space="preserve">Идентификатор продуктового регистра</t>
  </si>
  <si>
    <t>START_DT</t>
  </si>
  <si>
    <t>DATE</t>
  </si>
  <si>
    <t xml:space="preserve">Дата начала действия статуса регистра</t>
  </si>
  <si>
    <t>END_DT</t>
  </si>
  <si>
    <t xml:space="preserve">Дата окончания действия статуса регистра</t>
  </si>
  <si>
    <t xml:space="preserve">Идентификатор типа статуса регистра</t>
  </si>
  <si>
    <t xml:space="preserve">Идентификатор заявки</t>
  </si>
  <si>
    <t xml:space="preserve">Система-источник заявки</t>
  </si>
  <si>
    <t xml:space="preserve">Номер договора ДБО</t>
  </si>
  <si>
    <t xml:space="preserve">Подразделение оформления заявки</t>
  </si>
  <si>
    <t xml:space="preserve">Канал поступления заявки</t>
  </si>
  <si>
    <t xml:space="preserve">Текст ошибки</t>
  </si>
  <si>
    <t xml:space="preserve">Договор, открытый по заявке</t>
  </si>
  <si>
    <t xml:space="preserve">Регистр, открытый по заявке</t>
  </si>
  <si>
    <t xml:space="preserve">Дата поступления заявки</t>
  </si>
  <si>
    <t xml:space="preserve">Клиент по заявке</t>
  </si>
  <si>
    <t xml:space="preserve">Идентификатор заявки в системе-источнике</t>
  </si>
  <si>
    <t xml:space="preserve">Уникальный идентификатор заявки</t>
  </si>
  <si>
    <t xml:space="preserve">Дата начала</t>
  </si>
  <si>
    <t xml:space="preserve">Роль статуса заявки</t>
  </si>
  <si>
    <t xml:space="preserve">Уникальный идентификатор ограничения</t>
  </si>
  <si>
    <t xml:space="preserve">Уникальный идентификатор ограничения в системе-источнике</t>
  </si>
  <si>
    <t xml:space="preserve">Основание введения ограничения</t>
  </si>
  <si>
    <t xml:space="preserve">Дата решения об оганичении</t>
  </si>
  <si>
    <t xml:space="preserve">Признак действующего ограничения</t>
  </si>
  <si>
    <t xml:space="preserve">Основание снятия ограничения</t>
  </si>
  <si>
    <t xml:space="preserve">Договор РКО, на который действует ограничение</t>
  </si>
  <si>
    <t xml:space="preserve">Уникальный идентификатор целевого назначения договора</t>
  </si>
  <si>
    <t xml:space="preserve">Код целевого назначения договора</t>
  </si>
  <si>
    <t xml:space="preserve">Наименование целевого назначения договора</t>
  </si>
  <si>
    <t xml:space="preserve">Код типа статуса регистра</t>
  </si>
  <si>
    <t xml:space="preserve">Наименование типа статуса регистра</t>
  </si>
  <si>
    <t xml:space="preserve">Идентификатор типа заявки</t>
  </si>
  <si>
    <t xml:space="preserve">Код типа заявки</t>
  </si>
  <si>
    <t xml:space="preserve">Идентификатор внешней системы</t>
  </si>
  <si>
    <t xml:space="preserve">Код внешней системы </t>
  </si>
  <si>
    <t xml:space="preserve">Уникальный идентификатор вида канала</t>
  </si>
  <si>
    <t xml:space="preserve">Код вида канала</t>
  </si>
  <si>
    <t xml:space="preserve">Идентификатор статуса заявки события</t>
  </si>
  <si>
    <t xml:space="preserve">Код статуса заявки события</t>
  </si>
  <si>
    <t xml:space="preserve">Наименование статуса заявки события</t>
  </si>
  <si>
    <t xml:space="preserve">Идентификатор статуса заявки события в системе-источнике</t>
  </si>
  <si>
    <t xml:space="preserve">Идентификатор типа ограничения</t>
  </si>
  <si>
    <t xml:space="preserve">Код типа ограничения</t>
  </si>
  <si>
    <t xml:space="preserve">Наименование типа ограничения</t>
  </si>
  <si>
    <t xml:space="preserve">Статус ограничения</t>
  </si>
  <si>
    <t xml:space="preserve">Дата начала статус</t>
  </si>
  <si>
    <t xml:space="preserve">Дата окончания статуса</t>
  </si>
  <si>
    <t xml:space="preserve">Идентификатор договора</t>
  </si>
  <si>
    <t xml:space="preserve">Идентификатор назначения договора</t>
  </si>
  <si>
    <t xml:space="preserve">Дата начала действия</t>
  </si>
  <si>
    <t xml:space="preserve">Дата окончания действия</t>
  </si>
  <si>
    <r>
      <t xml:space="preserve">Название материализованной A-таблицы 
</t>
    </r>
    <r>
      <rPr>
        <b/>
        <sz val="10"/>
        <color rgb="FF7030A0"/>
        <rFont val="Calibri"/>
        <scheme val="minor"/>
      </rPr>
      <t xml:space="preserve"> кластер «ПРОМ SDP sklsdppprb»</t>
    </r>
  </si>
  <si>
    <t xml:space="preserve">Название внешней A-таблицы</t>
  </si>
  <si>
    <t xml:space="preserve">Название таблицы реплики</t>
  </si>
  <si>
    <t>a_000041_register</t>
  </si>
  <si>
    <t>a_000041_register_diff_ext</t>
  </si>
  <si>
    <t>platform_rko_delta.ru_sber_rkoul_model_jpa_Register_delta</t>
  </si>
  <si>
    <t>a_000041_register_snp_ext</t>
  </si>
  <si>
    <t>platform_rko.ru_sber_rkoul_model_jpa_Register</t>
  </si>
  <si>
    <t>a_000041_createrkoext</t>
  </si>
  <si>
    <t>a_000041_createrkoext_diff_ext</t>
  </si>
  <si>
    <t>platform_rko_delta.ru_sber_rkoul_model_jpa_CreateRkoExt_delta</t>
  </si>
  <si>
    <t>a_000041_createrkoext_snp_ext</t>
  </si>
  <si>
    <t>platform_rko.ru_sber_rkoul_model_jpa_CreateRkoExt</t>
  </si>
  <si>
    <t>a_000041_party</t>
  </si>
  <si>
    <t>a_000041_party_diff_ext</t>
  </si>
  <si>
    <t>platform_rko_delta.ru_sber_rkoul_model_jpa_party_delta</t>
  </si>
  <si>
    <t>a_000041_party_snp_ext</t>
  </si>
  <si>
    <t>platform_rko.ru_sber_rkoul_model_jpa_party</t>
  </si>
  <si>
    <t>a_000041_product</t>
  </si>
  <si>
    <t>a_000041_product_diff_ext</t>
  </si>
  <si>
    <t>platform_rko_delta.ru_sber_rkoul_model_jpa_Product_delta</t>
  </si>
  <si>
    <t>a_000041_product_snp_ext</t>
  </si>
  <si>
    <t>platform_rko.ru_sber_rkoul_model_jpa_Product</t>
  </si>
  <si>
    <t>a_000041_productstatus</t>
  </si>
  <si>
    <t>a_000041_productstatus_diff_ext</t>
  </si>
  <si>
    <t>platform_rko_delta.ru_sber_rkoul_model_jpa_ProductStatus_delta</t>
  </si>
  <si>
    <t>a_000041_productstatus_snp_ext</t>
  </si>
  <si>
    <t>platform_rko.ru_sber_rkoul_model_jpa_ProductStatus</t>
  </si>
  <si>
    <t>a_000041_RestrictionProduct</t>
  </si>
  <si>
    <t>a_000041_RestrictionProduct_diff_ext</t>
  </si>
  <si>
    <t>platform_rko_delta.ru_sber_rkoul_model_jpa_RestrictionProduct_delta</t>
  </si>
  <si>
    <t>a_000041_RestrictionProduct_snp_ext</t>
  </si>
  <si>
    <t>platform_rko.ru_sber_rkoul_model_jpa_RestrictionProduct</t>
  </si>
  <si>
    <t>a_000041_registertype</t>
  </si>
  <si>
    <t>a_000041_registertype_diff_ext</t>
  </si>
  <si>
    <t>platform_rko_delta.ru_sber_rkoul_model_jpa_RegisterType_delta</t>
  </si>
  <si>
    <t>a_000041_registertype_snp_ext</t>
  </si>
  <si>
    <t>platform_rko.ru_sber_rkoul_model_jpa_RegisterType</t>
  </si>
  <si>
    <t>a_000041_currency</t>
  </si>
  <si>
    <t>a_000041_currency_diff_ext</t>
  </si>
  <si>
    <t>platform_rko_delta.ru_sber_rkoul_model_jpa_Currency_delta</t>
  </si>
  <si>
    <t>a_000041_currency_snp_ext</t>
  </si>
  <si>
    <t>platform_rko.ru_sber_rkoul_model_jpa_Currency</t>
  </si>
  <si>
    <t>a_000041_createrkoextresult</t>
  </si>
  <si>
    <t>a_000041_createrkoextresult_diff_ext</t>
  </si>
  <si>
    <t>platform_rko_delta.ru_sber_rkoul_model_jpa_CreateRkoExtResult_delta</t>
  </si>
  <si>
    <t>a_000041_createrkoextresult_snp_ext</t>
  </si>
  <si>
    <t>platform_rko.ru_sber_rkoul_model_jpa_CreateRkoExtResult</t>
  </si>
  <si>
    <t>a_000041_RestrictionProductType</t>
  </si>
  <si>
    <t>a_000041_RestrictionProductType_diff_ext</t>
  </si>
  <si>
    <t>platform_rko_delta.ru_sber_rkoul_model_jpa_RestrictionProductType_delta</t>
  </si>
  <si>
    <t>a_000041_RestrictionProductType_snp_ext</t>
  </si>
  <si>
    <t>platform_rko.ru_sber_rkoul_model_jpa_RestrictionProductType</t>
  </si>
  <si>
    <t>a_000041_ProductTarget</t>
  </si>
  <si>
    <t>a_000041_ProductTarget_diff_ext</t>
  </si>
  <si>
    <t>platform_rko_delta.ru_sber_rkoul_model_jpa_ProductTarget_delta</t>
  </si>
  <si>
    <t>a_000041_ProductTarget_snp_ext</t>
  </si>
  <si>
    <t>platform_rko.ru_sber_rkoul_model_jpa_ProductTarget</t>
  </si>
  <si>
    <t>a_000041_RegisterStatus</t>
  </si>
  <si>
    <t>a_000041_RegisterStatus_diff_ext</t>
  </si>
  <si>
    <t>platform_rko_delta.ru_sber_rkoul_model_jpa_RegisterStatus_delta</t>
  </si>
  <si>
    <t>a_000041_RegisterStatus_snp_ext</t>
  </si>
  <si>
    <t>platform_rko.ru_sber_rkoul_model_jpa_RegisterStatus</t>
  </si>
  <si>
    <t>a_000041_Status</t>
  </si>
  <si>
    <t>a_000041_Status_diff_ext</t>
  </si>
  <si>
    <t>platform_rko_delta.ru_sber_rkoul_model_jpa_Status_delta</t>
  </si>
  <si>
    <t>a_000041_Status_snp_ext</t>
  </si>
  <si>
    <t>platform_rko.ru_sber_rkoul_model_jpa_Status</t>
  </si>
  <si>
    <t>a_000041_optionalparam</t>
  </si>
  <si>
    <t>a_000041_optionalparam_diff_ext</t>
  </si>
  <si>
    <t>platform_rko_delta.ru_sber_rkoul_model_jpa_optionalparam_delta</t>
  </si>
  <si>
    <t>a_000041_optionalparam_snp_ext</t>
  </si>
  <si>
    <t>platform_rko.ru_sber_rkoul_model_jpa_optionalparam</t>
  </si>
  <si>
    <t>a_000041_MigrateEntityMapProduct</t>
  </si>
  <si>
    <t>a_000041_MigrateEntityMapProduct_diff_ext</t>
  </si>
  <si>
    <t>platform_rko_delta.MigrateEntityMapProduct_delta</t>
  </si>
  <si>
    <t>a_000041_MigrateEntityMapProduct_snp_ext</t>
  </si>
  <si>
    <t>platform_rko.ru_sber_rkoul_model_jpa_MigrateEntityMapProduct</t>
  </si>
  <si>
    <t>a_000041_depart</t>
  </si>
  <si>
    <t>a_000041_depart_diff_ext</t>
  </si>
  <si>
    <t>platform_rko_delta.ru_sber_rkoul_model_jpa_depart_delta</t>
  </si>
  <si>
    <t>a_000041_depart_snp_ext</t>
  </si>
  <si>
    <t>platform_rko.ru_sber_rkoul_model_jpa_depart</t>
  </si>
  <si>
    <t xml:space="preserve">Название объектов STAGE</t>
  </si>
  <si>
    <t>А-слой</t>
  </si>
  <si>
    <t>В-слой</t>
  </si>
  <si>
    <t xml:space="preserve">При изменении S таблицы не удаляйте ее, БЕЗ сохранения бэкапа</t>
  </si>
  <si>
    <t xml:space="preserve">Название объекта</t>
  </si>
  <si>
    <t xml:space="preserve">Тип объекта</t>
  </si>
  <si>
    <t>SQL</t>
  </si>
  <si>
    <t xml:space="preserve">Словесное описание</t>
  </si>
  <si>
    <t xml:space="preserve">Дата </t>
  </si>
  <si>
    <t>s_createrkoextresult</t>
  </si>
  <si>
    <t xml:space="preserve">S Таблица</t>
  </si>
  <si>
    <t xml:space="preserve">Все поля из b3060000410008_createrkoextresult</t>
  </si>
  <si>
    <t xml:space="preserve">Снимок-Снимок с накоплением</t>
  </si>
  <si>
    <t>s_createrkoext</t>
  </si>
  <si>
    <t xml:space="preserve">Все поля из b3060000410002_createrkoext</t>
  </si>
  <si>
    <t>s_party</t>
  </si>
  <si>
    <t xml:space="preserve">Все поля из b3060000410003_party</t>
  </si>
  <si>
    <t>s_optionalparam</t>
  </si>
  <si>
    <t xml:space="preserve">Все поля из b3060000410014_optionalParam</t>
  </si>
  <si>
    <t>s_MigrateEntityMapProduct</t>
  </si>
  <si>
    <t xml:space="preserve">Все поля из b3060000410015_MigrateEntityMapProduct</t>
  </si>
  <si>
    <t>s_depart</t>
  </si>
  <si>
    <t xml:space="preserve">Все поля из b3060000410016_depart</t>
  </si>
  <si>
    <t>Буль</t>
  </si>
  <si>
    <t xml:space="preserve">Valid from workaround</t>
  </si>
  <si>
    <t xml:space="preserve">First value</t>
  </si>
  <si>
    <t xml:space="preserve">Тип S2T</t>
  </si>
  <si>
    <t>Блок-снимок</t>
  </si>
  <si>
    <t>Да</t>
  </si>
  <si>
    <t xml:space="preserve">D first</t>
  </si>
  <si>
    <t>DWH</t>
  </si>
  <si>
    <t>Блок-история</t>
  </si>
  <si>
    <t>Нет</t>
  </si>
  <si>
    <t xml:space="preserve">D last</t>
  </si>
  <si>
    <t>n</t>
  </si>
  <si>
    <t>MART</t>
  </si>
  <si>
    <t>off</t>
  </si>
  <si>
    <t>История-история</t>
  </si>
  <si>
    <t xml:space="preserve">Бизнес начало</t>
  </si>
  <si>
    <t xml:space="preserve">Бизнес конец</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</si>
</sst>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5">
    <numFmt numFmtId="160" formatCode="#,##0_);[Red]\(#,##0\)"/>
    <numFmt numFmtId="161" formatCode="_-* #,##0\ _р_._-;\-* #,##0\ _р_._-;_-* &quot;-&quot;\ _р_._-;_-@_-"/>
    <numFmt numFmtId="162" formatCode="_-* #,##0.00\ _р_._-;\-* #,##0.00\ _р_._-;_-* &quot;-&quot;??\ _р_._-;_-@_-"/>
    <numFmt numFmtId="163" formatCode="_-* #,##0.00_р_._-;\-* #,##0.00_р_._-;_-* &quot;-&quot;??_р_._-;_-@_-"/>
    <numFmt numFmtId="164" formatCode="dd/mm/yy;@"/>
  </numFmts>
  <fonts count="69">
    <font>
      <sz val="11.000000"/>
      <color theme="1"/>
      <name val="Calibri"/>
      <scheme val="minor"/>
    </font>
    <font>
      <sz val="10.000000"/>
      <name val="Helv"/>
    </font>
    <font>
      <sz val="10.000000"/>
      <name val="Arial"/>
    </font>
    <font>
      <sz val="11.000000"/>
      <name val="Calibri"/>
    </font>
    <font>
      <sz val="11.000000"/>
      <color theme="0"/>
      <name val="Calibri"/>
      <scheme val="minor"/>
    </font>
    <font>
      <sz val="10.000000"/>
      <color indexed="65"/>
      <name val="Arial"/>
    </font>
    <font>
      <sz val="11.000000"/>
      <color indexed="65"/>
      <name val="Calibri"/>
    </font>
    <font>
      <sz val="11.000000"/>
      <color rgb="FF9C0006"/>
      <name val="Calibri"/>
      <scheme val="minor"/>
    </font>
    <font>
      <sz val="10.000000"/>
      <color indexed="20"/>
      <name val="Arial"/>
    </font>
    <font>
      <b/>
      <sz val="11.000000"/>
      <color rgb="FFFA7D00"/>
      <name val="Calibri"/>
      <scheme val="minor"/>
    </font>
    <font>
      <b/>
      <sz val="10.000000"/>
      <color indexed="52"/>
      <name val="Arial"/>
    </font>
    <font>
      <b/>
      <sz val="11.000000"/>
      <color theme="0"/>
      <name val="Calibri"/>
      <scheme val="minor"/>
    </font>
    <font>
      <b/>
      <sz val="10.000000"/>
      <color indexed="65"/>
      <name val="Arial"/>
    </font>
    <font>
      <i/>
      <sz val="11.000000"/>
      <color rgb="FF7F7F7F"/>
      <name val="Calibri"/>
      <scheme val="minor"/>
    </font>
    <font>
      <i/>
      <sz val="10.000000"/>
      <color indexed="23"/>
      <name val="Arial"/>
    </font>
    <font>
      <sz val="11.000000"/>
      <color rgb="FF006100"/>
      <name val="Calibri"/>
      <scheme val="minor"/>
    </font>
    <font>
      <sz val="10.000000"/>
      <color indexed="17"/>
      <name val="Arial"/>
    </font>
    <font>
      <b/>
      <sz val="15.000000"/>
      <color theme="3"/>
      <name val="Calibri"/>
      <scheme val="minor"/>
    </font>
    <font>
      <b/>
      <sz val="15.000000"/>
      <color indexed="56"/>
      <name val="Arial"/>
    </font>
    <font>
      <b/>
      <sz val="13.000000"/>
      <color theme="3"/>
      <name val="Calibri"/>
      <scheme val="minor"/>
    </font>
    <font>
      <b/>
      <sz val="13.000000"/>
      <color indexed="56"/>
      <name val="Arial"/>
    </font>
    <font>
      <b/>
      <sz val="11.000000"/>
      <color theme="3"/>
      <name val="Calibri"/>
      <scheme val="minor"/>
    </font>
    <font>
      <b/>
      <sz val="11.000000"/>
      <color indexed="56"/>
      <name val="Arial"/>
    </font>
    <font>
      <sz val="10.000000"/>
      <name val="Arial Cyr"/>
    </font>
    <font>
      <sz val="11.000000"/>
      <color rgb="FF3F3F76"/>
      <name val="Calibri"/>
      <scheme val="minor"/>
    </font>
    <font>
      <sz val="10.000000"/>
      <color indexed="62"/>
      <name val="Arial"/>
    </font>
    <font>
      <sz val="11.000000"/>
      <color rgb="FFFA7D00"/>
      <name val="Calibri"/>
      <scheme val="minor"/>
    </font>
    <font>
      <sz val="10.000000"/>
      <color indexed="52"/>
      <name val="Arial"/>
    </font>
    <font>
      <sz val="11.000000"/>
      <color rgb="FF9C6500"/>
      <name val="Calibri"/>
      <scheme val="minor"/>
    </font>
    <font>
      <sz val="10.000000"/>
      <color indexed="60"/>
      <name val="Arial"/>
    </font>
    <font>
      <b/>
      <sz val="11.000000"/>
      <color rgb="FF3F3F3F"/>
      <name val="Calibri"/>
      <scheme val="minor"/>
    </font>
    <font>
      <b/>
      <sz val="10.000000"/>
      <color indexed="63"/>
      <name val="Arial"/>
    </font>
    <font>
      <sz val="8.000000"/>
      <name val="Arial"/>
    </font>
    <font>
      <b/>
      <sz val="18.000000"/>
      <color theme="3"/>
      <name val="Calibri Light"/>
      <scheme val="major"/>
    </font>
    <font>
      <b/>
      <sz val="18.000000"/>
      <color indexed="56"/>
      <name val="Cambria"/>
    </font>
    <font>
      <b/>
      <sz val="11.000000"/>
      <color theme="1"/>
      <name val="Calibri"/>
      <scheme val="minor"/>
    </font>
    <font>
      <b/>
      <sz val="10.000000"/>
      <name val="Arial"/>
    </font>
    <font>
      <sz val="11.000000"/>
      <color indexed="2"/>
      <name val="Calibri"/>
      <scheme val="minor"/>
    </font>
    <font>
      <sz val="10.000000"/>
      <color indexed="2"/>
      <name val="Arial"/>
    </font>
    <font>
      <sz val="11.000000"/>
      <color indexed="62"/>
      <name val="Calibri"/>
    </font>
    <font>
      <b/>
      <sz val="11.000000"/>
      <color indexed="63"/>
      <name val="Calibri"/>
    </font>
    <font>
      <b/>
      <sz val="11.000000"/>
      <color indexed="52"/>
      <name val="Calibri"/>
    </font>
    <font>
      <u/>
      <sz val="8.800000"/>
      <color indexed="4"/>
      <name val="Calibri"/>
    </font>
    <font>
      <b/>
      <sz val="15.000000"/>
      <color indexed="56"/>
      <name val="Calibri"/>
    </font>
    <font>
      <b/>
      <sz val="13.000000"/>
      <color indexed="56"/>
      <name val="Calibri"/>
    </font>
    <font>
      <b/>
      <sz val="11.000000"/>
      <color indexed="56"/>
      <name val="Calibri"/>
    </font>
    <font>
      <b/>
      <sz val="11.000000"/>
      <name val="Calibri"/>
    </font>
    <font>
      <b/>
      <sz val="11.000000"/>
      <color indexed="65"/>
      <name val="Calibri"/>
    </font>
    <font>
      <sz val="11.000000"/>
      <color indexed="60"/>
      <name val="Calibri"/>
    </font>
    <font>
      <sz val="11.000000"/>
      <name val="Calibri"/>
      <scheme val="minor"/>
    </font>
    <font>
      <sz val="10.000000"/>
      <name val="Times New Roman"/>
    </font>
    <font>
      <sz val="11.000000"/>
      <color indexed="20"/>
      <name val="Calibri"/>
    </font>
    <font>
      <i/>
      <sz val="11.000000"/>
      <color indexed="23"/>
      <name val="Calibri"/>
    </font>
    <font>
      <sz val="11.000000"/>
      <color indexed="52"/>
      <name val="Calibri"/>
    </font>
    <font>
      <sz val="11.000000"/>
      <color indexed="2"/>
      <name val="Calibri"/>
    </font>
    <font>
      <sz val="11.000000"/>
      <color indexed="17"/>
      <name val="Calibri"/>
    </font>
    <font>
      <sz val="9.000000"/>
      <name val="Calibri"/>
      <scheme val="minor"/>
    </font>
    <font>
      <sz val="9.000000"/>
      <color rgb="FFC00000"/>
      <name val="Calibri"/>
      <scheme val="minor"/>
    </font>
    <font>
      <sz val="10.000000"/>
      <name val="Calibri"/>
      <scheme val="minor"/>
    </font>
    <font>
      <b/>
      <sz val="10.000000"/>
      <name val="Calibri"/>
      <scheme val="minor"/>
    </font>
    <font>
      <sz val="10.000000"/>
      <color theme="1"/>
      <name val="Calibri"/>
      <scheme val="minor"/>
    </font>
    <font>
      <sz val="10.000000"/>
      <color rgb="FFC00000"/>
      <name val="Calibri"/>
      <scheme val="minor"/>
    </font>
    <font>
      <strike/>
      <sz val="10.000000"/>
      <name val="Calibri"/>
      <scheme val="minor"/>
    </font>
    <font>
      <b val="0"/>
      <i val="0"/>
      <strike val="0"/>
      <u val="none"/>
      <sz val="10.000000"/>
      <color indexed="64"/>
      <name val="Times New Roman"/>
    </font>
    <font>
      <sz val="11.000000"/>
      <name val="Arial"/>
    </font>
    <font>
      <b/>
      <sz val="10.000000"/>
      <color theme="1"/>
      <name val="Calibri"/>
      <scheme val="minor"/>
    </font>
    <font>
      <sz val="10.000000"/>
      <name val="Calibri"/>
    </font>
    <font>
      <sz val="8.000000"/>
      <name val="Calibri"/>
      <scheme val="minor"/>
    </font>
    <font>
      <strike/>
      <sz val="8.000000"/>
      <name val="Calibri"/>
      <scheme val="minor"/>
    </font>
  </fonts>
  <fills count="60">
    <fill>
      <patternFill patternType="none"/>
    </fill>
    <fill>
      <patternFill patternType="gray125"/>
    </fill>
    <fill>
      <patternFill patternType="solid">
        <fgColor theme="4" tint="0.79998168889431442"/>
        <bgColor indexed="65"/>
      </patternFill>
    </fill>
    <fill>
      <patternFill patternType="solid">
        <fgColor indexed="31"/>
        <bgColor indexed="31"/>
      </patternFill>
    </fill>
    <fill>
      <patternFill patternType="solid">
        <fgColor theme="5" tint="0.79998168889431442"/>
        <bgColor indexed="65"/>
      </patternFill>
    </fill>
    <fill>
      <patternFill patternType="solid">
        <fgColor indexed="45"/>
        <bgColor indexed="45"/>
      </patternFill>
    </fill>
    <fill>
      <patternFill patternType="solid">
        <fgColor theme="6" tint="0.79998168889431442"/>
        <bgColor indexed="65"/>
      </patternFill>
    </fill>
    <fill>
      <patternFill patternType="solid">
        <fgColor indexed="42"/>
        <bgColor indexed="42"/>
      </patternFill>
    </fill>
    <fill>
      <patternFill patternType="solid">
        <fgColor theme="7" tint="0.79998168889431442"/>
        <bgColor indexed="65"/>
      </patternFill>
    </fill>
    <fill>
      <patternFill patternType="solid">
        <fgColor indexed="46"/>
        <bgColor indexed="46"/>
      </patternFill>
    </fill>
    <fill>
      <patternFill patternType="solid">
        <fgColor theme="8" tint="0.79998168889431442"/>
        <bgColor indexed="65"/>
      </patternFill>
    </fill>
    <fill>
      <patternFill patternType="solid">
        <fgColor indexed="27"/>
        <bgColor indexed="27"/>
      </patternFill>
    </fill>
    <fill>
      <patternFill patternType="solid">
        <fgColor theme="9" tint="0.79998168889431442"/>
        <bgColor indexed="65"/>
      </patternFill>
    </fill>
    <fill>
      <patternFill patternType="solid">
        <fgColor indexed="47"/>
        <bgColor indexed="47"/>
      </patternFill>
    </fill>
    <fill>
      <patternFill patternType="solid">
        <fgColor theme="4" tint="0.59999389629810485"/>
        <bgColor indexed="65"/>
      </patternFill>
    </fill>
    <fill>
      <patternFill patternType="solid">
        <fgColor indexed="44"/>
        <bgColor indexed="44"/>
      </patternFill>
    </fill>
    <fill>
      <patternFill patternType="solid">
        <fgColor theme="5" tint="0.59999389629810485"/>
        <bgColor indexed="65"/>
      </patternFill>
    </fill>
    <fill>
      <patternFill patternType="solid">
        <fgColor indexed="29"/>
        <bgColor indexed="29"/>
      </patternFill>
    </fill>
    <fill>
      <patternFill patternType="solid">
        <fgColor theme="6" tint="0.59999389629810485"/>
        <bgColor indexed="65"/>
      </patternFill>
    </fill>
    <fill>
      <patternFill patternType="solid">
        <fgColor indexed="3"/>
        <bgColor indexed="3"/>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indexed="51"/>
        <bgColor indexed="51"/>
      </patternFill>
    </fill>
    <fill>
      <patternFill patternType="solid">
        <fgColor theme="4" tint="0.39997558519241921"/>
        <bgColor indexed="65"/>
      </patternFill>
    </fill>
    <fill>
      <patternFill patternType="solid">
        <fgColor indexed="30"/>
        <bgColor indexed="30"/>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indexed="20"/>
        <bgColor indexed="20"/>
      </patternFill>
    </fill>
    <fill>
      <patternFill patternType="solid">
        <fgColor theme="8" tint="0.39997558519241921"/>
        <bgColor indexed="65"/>
      </patternFill>
    </fill>
    <fill>
      <patternFill patternType="solid">
        <fgColor indexed="49"/>
        <bgColor indexed="49"/>
      </patternFill>
    </fill>
    <fill>
      <patternFill patternType="solid">
        <fgColor theme="9" tint="0.39997558519241921"/>
        <bgColor indexed="65"/>
      </patternFill>
    </fill>
    <fill>
      <patternFill patternType="solid">
        <fgColor indexed="52"/>
        <bgColor indexed="52"/>
      </patternFill>
    </fill>
    <fill>
      <patternFill patternType="solid">
        <fgColor theme="4"/>
        <bgColor theme="4"/>
      </patternFill>
    </fill>
    <fill>
      <patternFill patternType="solid">
        <fgColor indexed="62"/>
        <bgColor indexed="62"/>
      </patternFill>
    </fill>
    <fill>
      <patternFill patternType="solid">
        <fgColor theme="5"/>
        <bgColor theme="5"/>
      </patternFill>
    </fill>
    <fill>
      <patternFill patternType="solid">
        <fgColor indexed="2"/>
        <bgColor indexed="2"/>
      </patternFill>
    </fill>
    <fill>
      <patternFill patternType="solid">
        <fgColor theme="6"/>
        <bgColor theme="6"/>
      </patternFill>
    </fill>
    <fill>
      <patternFill patternType="solid">
        <fgColor indexed="57"/>
        <bgColor indexed="57"/>
      </patternFill>
    </fill>
    <fill>
      <patternFill patternType="solid">
        <fgColor theme="7"/>
        <bgColor theme="7"/>
      </patternFill>
    </fill>
    <fill>
      <patternFill patternType="solid">
        <fgColor theme="8"/>
        <bgColor theme="8"/>
      </patternFill>
    </fill>
    <fill>
      <patternFill patternType="solid">
        <fgColor theme="9"/>
        <bgColor theme="9"/>
      </patternFill>
    </fill>
    <fill>
      <patternFill patternType="solid">
        <fgColor indexed="53"/>
        <bgColor indexed="53"/>
      </patternFill>
    </fill>
    <fill>
      <patternFill patternType="solid">
        <fgColor rgb="FFFFC7CE"/>
        <bgColor rgb="FFFFC7CE"/>
      </patternFill>
    </fill>
    <fill>
      <patternFill patternType="solid">
        <fgColor rgb="FFF2F2F2"/>
        <bgColor rgb="FFF2F2F2"/>
      </patternFill>
    </fill>
    <fill>
      <patternFill patternType="solid">
        <fgColor indexed="22"/>
        <bgColor indexed="22"/>
      </patternFill>
    </fill>
    <fill>
      <patternFill patternType="solid">
        <fgColor rgb="FFA5A5A5"/>
        <bgColor rgb="FFA5A5A5"/>
      </patternFill>
    </fill>
    <fill>
      <patternFill patternType="solid">
        <fgColor indexed="55"/>
        <bgColor indexed="55"/>
      </patternFill>
    </fill>
    <fill>
      <patternFill patternType="solid">
        <fgColor rgb="FFC6EFCE"/>
        <bgColor rgb="FFC6EFCE"/>
      </patternFill>
    </fill>
    <fill>
      <patternFill patternType="solid">
        <fgColor rgb="FFFFEB9C"/>
        <bgColor rgb="FFFFEB9C"/>
      </patternFill>
    </fill>
    <fill>
      <patternFill patternType="solid">
        <fgColor indexed="43"/>
        <bgColor indexed="43"/>
      </patternFill>
    </fill>
    <fill>
      <patternFill patternType="solid">
        <fgColor indexed="26"/>
        <bgColor indexed="26"/>
      </patternFill>
    </fill>
    <fill>
      <patternFill patternType="solid">
        <fgColor theme="0" tint="-0.14999847407452621"/>
        <bgColor theme="0" tint="-0.14999847407452621"/>
      </patternFill>
    </fill>
    <fill>
      <patternFill patternType="solid">
        <fgColor theme="7" tint="0.59999389629810485"/>
        <bgColor theme="7" tint="0.59999389629810485"/>
      </patternFill>
    </fill>
    <fill>
      <patternFill patternType="solid">
        <fgColor theme="9" tint="0.59999389629810485"/>
        <bgColor theme="9" tint="0.59999389629810485"/>
      </patternFill>
    </fill>
    <fill>
      <patternFill patternType="solid">
        <fgColor theme="8" tint="0.39997558519241921"/>
        <bgColor theme="8" tint="0.39997558519241921"/>
      </patternFill>
    </fill>
    <fill>
      <patternFill patternType="solid">
        <fgColor indexed="5"/>
        <bgColor indexed="5"/>
      </patternFill>
    </fill>
    <fill>
      <patternFill patternType="solid">
        <fgColor rgb="FF92D050"/>
        <bgColor rgb="FF92D050"/>
      </patternFill>
    </fill>
    <fill>
      <patternFill patternType="solid">
        <fgColor theme="1"/>
        <bgColor theme="1"/>
      </patternFill>
    </fill>
  </fills>
  <borders count="39">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thin">
        <color indexed="23"/>
      </left>
      <right style="thin">
        <color indexed="23"/>
      </right>
      <top style="thin">
        <color indexed="23"/>
      </top>
      <bottom style="thin">
        <color indexed="23"/>
      </bottom>
      <diagonal style="none"/>
    </border>
    <border>
      <left style="double">
        <color rgb="FF3F3F3F"/>
      </left>
      <right style="double">
        <color rgb="FF3F3F3F"/>
      </right>
      <top style="double">
        <color rgb="FF3F3F3F"/>
      </top>
      <bottom style="double">
        <color rgb="FF3F3F3F"/>
      </bottom>
      <diagonal style="none"/>
    </border>
    <border>
      <left style="double">
        <color indexed="63"/>
      </left>
      <right style="double">
        <color indexed="63"/>
      </right>
      <top style="double">
        <color indexed="63"/>
      </top>
      <bottom style="double">
        <color indexed="63"/>
      </bottom>
      <diagonal style="none"/>
    </border>
    <border>
      <left style="none"/>
      <right style="none"/>
      <top style="none"/>
      <bottom style="thick">
        <color theme="4"/>
      </bottom>
      <diagonal style="none"/>
    </border>
    <border>
      <left style="none"/>
      <right style="none"/>
      <top style="none"/>
      <bottom style="thick">
        <color indexed="62"/>
      </bottom>
      <diagonal style="none"/>
    </border>
    <border>
      <left style="none"/>
      <right style="none"/>
      <top style="none"/>
      <bottom style="thick">
        <color theme="4" tint="0.499984740745262"/>
      </bottom>
      <diagonal style="none"/>
    </border>
    <border>
      <left style="none"/>
      <right style="none"/>
      <top style="none"/>
      <bottom style="thick">
        <color indexed="22"/>
      </bottom>
      <diagonal style="none"/>
    </border>
    <border>
      <left style="none"/>
      <right style="none"/>
      <top style="none"/>
      <bottom style="medium">
        <color theme="4" tint="0.39997558519241921"/>
      </bottom>
      <diagonal style="none"/>
    </border>
    <border>
      <left style="none"/>
      <right style="none"/>
      <top style="none"/>
      <bottom style="medium">
        <color indexed="30"/>
      </bottom>
      <diagonal style="none"/>
    </border>
    <border>
      <left style="none"/>
      <right style="none"/>
      <top style="none"/>
      <bottom style="double">
        <color rgb="FFFF8001"/>
      </bottom>
      <diagonal style="none"/>
    </border>
    <border>
      <left style="none"/>
      <right style="none"/>
      <top style="none"/>
      <bottom style="double">
        <color indexed="52"/>
      </bottom>
      <diagonal style="none"/>
    </border>
    <border>
      <left style="thin">
        <color indexed="22"/>
      </left>
      <right style="thin">
        <color indexed="22"/>
      </right>
      <top style="thin">
        <color indexed="22"/>
      </top>
      <bottom style="thin">
        <color indexed="22"/>
      </bottom>
      <diagonal style="none"/>
    </border>
    <border>
      <left style="thin">
        <color rgb="FF3F3F3F"/>
      </left>
      <right style="thin">
        <color rgb="FF3F3F3F"/>
      </right>
      <top style="thin">
        <color rgb="FF3F3F3F"/>
      </top>
      <bottom style="thin">
        <color rgb="FF3F3F3F"/>
      </bottom>
      <diagonal style="none"/>
    </border>
    <border>
      <left style="thin">
        <color indexed="63"/>
      </left>
      <right style="thin">
        <color indexed="63"/>
      </right>
      <top style="thin">
        <color indexed="63"/>
      </top>
      <bottom style="thin">
        <color indexed="63"/>
      </bottom>
      <diagonal style="none"/>
    </border>
    <border>
      <left style="none"/>
      <right style="none"/>
      <top style="thin">
        <color theme="4"/>
      </top>
      <bottom style="double">
        <color theme="4"/>
      </bottom>
      <diagonal style="none"/>
    </border>
    <border>
      <left style="none"/>
      <right style="none"/>
      <top style="thin">
        <color indexed="62"/>
      </top>
      <bottom style="double">
        <color indexed="62"/>
      </bottom>
      <diagonal style="none"/>
    </border>
    <border>
      <left style="thin">
        <color rgb="FFB2B2B2"/>
      </left>
      <right style="thin">
        <color rgb="FFB2B2B2"/>
      </right>
      <top style="thin">
        <color rgb="FFB2B2B2"/>
      </top>
      <bottom style="thin">
        <color rgb="FFB2B2B2"/>
      </bottom>
      <diagonal style="none"/>
    </border>
    <border>
      <left style="thin">
        <color auto="1"/>
      </left>
      <right style="thin">
        <color auto="1"/>
      </right>
      <top style="thin">
        <color auto="1"/>
      </top>
      <bottom style="thin">
        <color auto="1"/>
      </bottom>
      <diagonal style="none"/>
    </border>
    <border>
      <left style="thin">
        <color auto="1"/>
      </left>
      <right style="none"/>
      <top style="medium">
        <color auto="1"/>
      </top>
      <bottom style="none"/>
      <diagonal style="none"/>
    </border>
    <border>
      <left style="medium">
        <color auto="1"/>
      </left>
      <right style="none"/>
      <top style="medium">
        <color auto="1"/>
      </top>
      <bottom style="none"/>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none"/>
      <right style="none"/>
      <top style="thin">
        <color theme="7"/>
      </top>
      <bottom style="none"/>
      <diagonal style="none"/>
    </border>
    <border>
      <left style="none"/>
      <right style="none"/>
      <top style="none"/>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thin">
        <color auto="1"/>
      </right>
      <top style="none"/>
      <bottom style="medium">
        <color auto="1"/>
      </bottom>
      <diagonal style="none"/>
    </border>
    <border>
      <left style="thin">
        <color auto="1"/>
      </left>
      <right style="thin">
        <color auto="1"/>
      </right>
      <top style="none"/>
      <bottom style="thin">
        <color auto="1"/>
      </bottom>
      <diagonal style="none"/>
    </border>
    <border>
      <left style="thin">
        <color auto="1"/>
      </left>
      <right style="thin">
        <color auto="1"/>
      </right>
      <top style="medium">
        <color auto="1"/>
      </top>
      <bottom style="none"/>
      <diagonal style="none"/>
    </border>
    <border>
      <left style="medium">
        <color auto="1"/>
      </left>
      <right style="thin">
        <color auto="1"/>
      </right>
      <top style="thin">
        <color auto="1"/>
      </top>
      <bottom style="medium">
        <color auto="1"/>
      </bottom>
      <diagonal style="none"/>
    </border>
    <border>
      <left style="none"/>
      <right style="none"/>
      <top style="thin">
        <color theme="7"/>
      </top>
      <bottom style="medium">
        <color auto="1"/>
      </bottom>
      <diagonal style="none"/>
    </border>
    <border>
      <left style="none"/>
      <right style="none"/>
      <top style="thin">
        <color theme="7"/>
      </top>
      <bottom style="thin">
        <color auto="1"/>
      </bottom>
      <diagonal style="none"/>
    </border>
    <border>
      <left style="none"/>
      <right style="thin">
        <color auto="1"/>
      </right>
      <top style="thin">
        <color auto="1"/>
      </top>
      <bottom style="thin">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thin">
        <color theme="1"/>
      </left>
      <right style="thin">
        <color theme="1"/>
      </right>
      <top style="medium">
        <color theme="1"/>
      </top>
      <bottom style="medium">
        <color theme="1"/>
      </bottom>
      <diagonal style="none"/>
    </border>
    <border>
      <left style="thin">
        <color theme="1"/>
      </left>
      <right style="thin">
        <color theme="1"/>
      </right>
      <top style="thin">
        <color theme="1"/>
      </top>
      <bottom style="thin">
        <color theme="1"/>
      </bottom>
      <diagonal style="none"/>
    </border>
  </borders>
  <cellStyleXfs count="59808">
    <xf fontId="0" fillId="0" borderId="0" numFmtId="0" applyNumberFormat="1" applyFont="1" applyFill="1" applyBorder="1"/>
    <xf fontId="1" fillId="0" borderId="0" numFmtId="0" applyNumberFormat="1" applyFont="1" applyFill="1" applyBorder="1"/>
    <xf fontId="1" fillId="0" borderId="0" numFmtId="0" applyNumberFormat="1" applyFont="1" applyFill="1" applyBorder="1"/>
    <xf fontId="1" fillId="0" borderId="0" numFmtId="0" applyNumberFormat="1" applyFont="1" applyFill="1" applyBorder="1"/>
    <xf fontId="2" fillId="0" borderId="0" numFmtId="0" applyNumberFormat="1" applyFont="1" applyFill="1" applyBorder="1"/>
    <xf fontId="1"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1" fillId="0" borderId="0" numFmtId="0" applyNumberFormat="1" applyFont="1" applyFill="1" applyBorder="1"/>
    <xf fontId="0" fillId="2" borderId="0" numFmtId="0" applyNumberFormat="0" applyFont="1" applyFill="1" applyBorder="0" applyProtection="0"/>
    <xf fontId="2" fillId="3" borderId="0" numFmtId="0" applyNumberFormat="0" applyFont="1" applyFill="1" applyBorder="0" applyProtection="0"/>
    <xf fontId="2" fillId="3" borderId="0" numFmtId="0" applyNumberFormat="0" applyFont="1" applyFill="1" applyBorder="0" applyProtection="0"/>
    <xf fontId="0" fillId="4" borderId="0" numFmtId="0" applyNumberFormat="0" applyFont="1" applyFill="1" applyBorder="0" applyProtection="0"/>
    <xf fontId="2" fillId="5" borderId="0" numFmtId="0" applyNumberFormat="0" applyFont="1" applyFill="1" applyBorder="0" applyProtection="0"/>
    <xf fontId="2" fillId="5" borderId="0" numFmtId="0" applyNumberFormat="0" applyFont="1" applyFill="1" applyBorder="0" applyProtection="0"/>
    <xf fontId="0" fillId="6" borderId="0" numFmtId="0" applyNumberFormat="0" applyFont="1" applyFill="1" applyBorder="0" applyProtection="0"/>
    <xf fontId="2" fillId="7" borderId="0" numFmtId="0" applyNumberFormat="0" applyFont="1" applyFill="1" applyBorder="0" applyProtection="0"/>
    <xf fontId="2" fillId="7" borderId="0" numFmtId="0" applyNumberFormat="0" applyFont="1" applyFill="1" applyBorder="0" applyProtection="0"/>
    <xf fontId="0" fillId="8" borderId="0" numFmtId="0" applyNumberFormat="0" applyFont="1" applyFill="1" applyBorder="0" applyProtection="0"/>
    <xf fontId="2" fillId="9" borderId="0" numFmtId="0" applyNumberFormat="0" applyFont="1" applyFill="1" applyBorder="0" applyProtection="0"/>
    <xf fontId="2" fillId="9" borderId="0" numFmtId="0" applyNumberFormat="0" applyFont="1" applyFill="1" applyBorder="0" applyProtection="0"/>
    <xf fontId="0" fillId="10" borderId="0" numFmtId="0" applyNumberFormat="0" applyFont="1" applyFill="1" applyBorder="0" applyProtection="0"/>
    <xf fontId="2" fillId="11" borderId="0" numFmtId="0" applyNumberFormat="0" applyFont="1" applyFill="1" applyBorder="0" applyProtection="0"/>
    <xf fontId="2" fillId="11" borderId="0" numFmtId="0" applyNumberFormat="0" applyFont="1" applyFill="1" applyBorder="0" applyProtection="0"/>
    <xf fontId="0" fillId="12" borderId="0" numFmtId="0" applyNumberFormat="0" applyFont="1" applyFill="1" applyBorder="0" applyProtection="0"/>
    <xf fontId="2" fillId="13" borderId="0" numFmtId="0" applyNumberFormat="0" applyFont="1" applyFill="1" applyBorder="0" applyProtection="0"/>
    <xf fontId="2" fillId="13" borderId="0" numFmtId="0" applyNumberFormat="0" applyFont="1" applyFill="1" applyBorder="0" applyProtection="0"/>
    <xf fontId="3" fillId="3" borderId="0" numFmtId="0" applyNumberFormat="0" applyFont="1" applyFill="1" applyBorder="0" applyProtection="0"/>
    <xf fontId="0" fillId="2" borderId="0" numFmtId="0" applyNumberFormat="0" applyFont="1" applyFill="1" applyBorder="0" applyProtection="0"/>
    <xf fontId="3" fillId="3" borderId="0" numFmtId="0" applyNumberFormat="0" applyFont="1" applyFill="1" applyBorder="0" applyProtection="0"/>
    <xf fontId="3" fillId="5" borderId="0" numFmtId="0" applyNumberFormat="0" applyFont="1" applyFill="1" applyBorder="0" applyProtection="0"/>
    <xf fontId="0" fillId="4" borderId="0" numFmtId="0" applyNumberFormat="0" applyFont="1" applyFill="1" applyBorder="0" applyProtection="0"/>
    <xf fontId="3" fillId="5" borderId="0" numFmtId="0" applyNumberFormat="0" applyFont="1" applyFill="1" applyBorder="0" applyProtection="0"/>
    <xf fontId="3" fillId="7" borderId="0" numFmtId="0" applyNumberFormat="0" applyFont="1" applyFill="1" applyBorder="0" applyProtection="0"/>
    <xf fontId="0" fillId="6" borderId="0" numFmtId="0" applyNumberFormat="0" applyFont="1" applyFill="1" applyBorder="0" applyProtection="0"/>
    <xf fontId="3" fillId="7" borderId="0" numFmtId="0" applyNumberFormat="0" applyFont="1" applyFill="1" applyBorder="0" applyProtection="0"/>
    <xf fontId="3" fillId="9" borderId="0" numFmtId="0" applyNumberFormat="0" applyFont="1" applyFill="1" applyBorder="0" applyProtection="0"/>
    <xf fontId="0" fillId="8" borderId="0" numFmtId="0" applyNumberFormat="0" applyFont="1" applyFill="1" applyBorder="0" applyProtection="0"/>
    <xf fontId="3" fillId="9" borderId="0" numFmtId="0" applyNumberFormat="0" applyFont="1" applyFill="1" applyBorder="0" applyProtection="0"/>
    <xf fontId="3" fillId="11" borderId="0" numFmtId="0" applyNumberFormat="0" applyFont="1" applyFill="1" applyBorder="0" applyProtection="0"/>
    <xf fontId="0" fillId="10" borderId="0" numFmtId="0" applyNumberFormat="0" applyFont="1" applyFill="1" applyBorder="0" applyProtection="0"/>
    <xf fontId="3" fillId="11" borderId="0" numFmtId="0" applyNumberFormat="0" applyFont="1" applyFill="1" applyBorder="0" applyProtection="0"/>
    <xf fontId="3" fillId="13" borderId="0" numFmtId="0" applyNumberFormat="0" applyFont="1" applyFill="1" applyBorder="0" applyProtection="0"/>
    <xf fontId="0" fillId="12" borderId="0" numFmtId="0" applyNumberFormat="0" applyFont="1" applyFill="1" applyBorder="0" applyProtection="0"/>
    <xf fontId="3" fillId="13" borderId="0" numFmtId="0" applyNumberFormat="0" applyFont="1" applyFill="1" applyBorder="0" applyProtection="0"/>
    <xf fontId="0" fillId="14" borderId="0" numFmtId="0" applyNumberFormat="0" applyFont="1" applyFill="1" applyBorder="0" applyProtection="0"/>
    <xf fontId="2" fillId="15" borderId="0" numFmtId="0" applyNumberFormat="0" applyFont="1" applyFill="1" applyBorder="0" applyProtection="0"/>
    <xf fontId="2" fillId="15" borderId="0" numFmtId="0" applyNumberFormat="0" applyFont="1" applyFill="1" applyBorder="0" applyProtection="0"/>
    <xf fontId="0" fillId="16" borderId="0" numFmtId="0" applyNumberFormat="0" applyFont="1" applyFill="1" applyBorder="0" applyProtection="0"/>
    <xf fontId="2" fillId="17" borderId="0" numFmtId="0" applyNumberFormat="0" applyFont="1" applyFill="1" applyBorder="0" applyProtection="0"/>
    <xf fontId="2" fillId="17" borderId="0" numFmtId="0" applyNumberFormat="0" applyFont="1" applyFill="1" applyBorder="0" applyProtection="0"/>
    <xf fontId="0" fillId="18" borderId="0" numFmtId="0" applyNumberFormat="0" applyFont="1" applyFill="1" applyBorder="0" applyProtection="0"/>
    <xf fontId="2" fillId="19" borderId="0" numFmtId="0" applyNumberFormat="0" applyFont="1" applyFill="1" applyBorder="0" applyProtection="0"/>
    <xf fontId="2" fillId="19" borderId="0" numFmtId="0" applyNumberFormat="0" applyFont="1" applyFill="1" applyBorder="0" applyProtection="0"/>
    <xf fontId="0" fillId="20" borderId="0" numFmtId="0" applyNumberFormat="0" applyFont="1" applyFill="1" applyBorder="0" applyProtection="0"/>
    <xf fontId="2" fillId="9" borderId="0" numFmtId="0" applyNumberFormat="0" applyFont="1" applyFill="1" applyBorder="0" applyProtection="0"/>
    <xf fontId="2" fillId="9" borderId="0" numFmtId="0" applyNumberFormat="0" applyFont="1" applyFill="1" applyBorder="0" applyProtection="0"/>
    <xf fontId="0" fillId="21" borderId="0" numFmtId="0" applyNumberFormat="0" applyFont="1" applyFill="1" applyBorder="0" applyProtection="0"/>
    <xf fontId="2" fillId="15" borderId="0" numFmtId="0" applyNumberFormat="0" applyFont="1" applyFill="1" applyBorder="0" applyProtection="0"/>
    <xf fontId="2" fillId="15" borderId="0" numFmtId="0" applyNumberFormat="0" applyFont="1" applyFill="1" applyBorder="0" applyProtection="0"/>
    <xf fontId="0" fillId="22" borderId="0" numFmtId="0" applyNumberFormat="0" applyFont="1" applyFill="1" applyBorder="0" applyProtection="0"/>
    <xf fontId="2" fillId="23" borderId="0" numFmtId="0" applyNumberFormat="0" applyFont="1" applyFill="1" applyBorder="0" applyProtection="0"/>
    <xf fontId="2" fillId="23" borderId="0" numFmtId="0" applyNumberFormat="0" applyFont="1" applyFill="1" applyBorder="0" applyProtection="0"/>
    <xf fontId="3" fillId="15" borderId="0" numFmtId="0" applyNumberFormat="0" applyFont="1" applyFill="1" applyBorder="0" applyProtection="0"/>
    <xf fontId="0" fillId="14" borderId="0" numFmtId="0" applyNumberFormat="0" applyFont="1" applyFill="1" applyBorder="0" applyProtection="0"/>
    <xf fontId="3" fillId="15" borderId="0" numFmtId="0" applyNumberFormat="0" applyFont="1" applyFill="1" applyBorder="0" applyProtection="0"/>
    <xf fontId="3" fillId="17" borderId="0" numFmtId="0" applyNumberFormat="0" applyFont="1" applyFill="1" applyBorder="0" applyProtection="0"/>
    <xf fontId="0" fillId="16" borderId="0" numFmtId="0" applyNumberFormat="0" applyFont="1" applyFill="1" applyBorder="0" applyProtection="0"/>
    <xf fontId="3" fillId="17" borderId="0" numFmtId="0" applyNumberFormat="0" applyFont="1" applyFill="1" applyBorder="0" applyProtection="0"/>
    <xf fontId="3" fillId="19" borderId="0" numFmtId="0" applyNumberFormat="0" applyFont="1" applyFill="1" applyBorder="0" applyProtection="0"/>
    <xf fontId="0" fillId="18" borderId="0" numFmtId="0" applyNumberFormat="0" applyFont="1" applyFill="1" applyBorder="0" applyProtection="0"/>
    <xf fontId="3" fillId="19" borderId="0" numFmtId="0" applyNumberFormat="0" applyFont="1" applyFill="1" applyBorder="0" applyProtection="0"/>
    <xf fontId="3" fillId="9" borderId="0" numFmtId="0" applyNumberFormat="0" applyFont="1" applyFill="1" applyBorder="0" applyProtection="0"/>
    <xf fontId="0" fillId="20" borderId="0" numFmtId="0" applyNumberFormat="0" applyFont="1" applyFill="1" applyBorder="0" applyProtection="0"/>
    <xf fontId="3" fillId="9" borderId="0" numFmtId="0" applyNumberFormat="0" applyFont="1" applyFill="1" applyBorder="0" applyProtection="0"/>
    <xf fontId="3" fillId="15" borderId="0" numFmtId="0" applyNumberFormat="0" applyFont="1" applyFill="1" applyBorder="0" applyProtection="0"/>
    <xf fontId="0" fillId="21" borderId="0" numFmtId="0" applyNumberFormat="0" applyFont="1" applyFill="1" applyBorder="0" applyProtection="0"/>
    <xf fontId="3" fillId="15" borderId="0" numFmtId="0" applyNumberFormat="0" applyFont="1" applyFill="1" applyBorder="0" applyProtection="0"/>
    <xf fontId="3" fillId="23" borderId="0" numFmtId="0" applyNumberFormat="0" applyFont="1" applyFill="1" applyBorder="0" applyProtection="0"/>
    <xf fontId="0" fillId="22" borderId="0" numFmtId="0" applyNumberFormat="0" applyFont="1" applyFill="1" applyBorder="0" applyProtection="0"/>
    <xf fontId="3" fillId="23" borderId="0" numFmtId="0" applyNumberFormat="0" applyFont="1" applyFill="1" applyBorder="0" applyProtection="0"/>
    <xf fontId="4" fillId="24" borderId="0" numFmtId="0" applyNumberFormat="0" applyFont="1" applyFill="1" applyBorder="0" applyProtection="0"/>
    <xf fontId="5" fillId="25" borderId="0" numFmtId="0" applyNumberFormat="0" applyFont="1" applyFill="1" applyBorder="0" applyProtection="0"/>
    <xf fontId="5" fillId="25" borderId="0" numFmtId="0" applyNumberFormat="0" applyFont="1" applyFill="1" applyBorder="0" applyProtection="0"/>
    <xf fontId="4" fillId="26" borderId="0" numFmtId="0" applyNumberFormat="0" applyFont="1" applyFill="1" applyBorder="0" applyProtection="0"/>
    <xf fontId="5" fillId="17" borderId="0" numFmtId="0" applyNumberFormat="0" applyFont="1" applyFill="1" applyBorder="0" applyProtection="0"/>
    <xf fontId="5" fillId="17" borderId="0" numFmtId="0" applyNumberFormat="0" applyFont="1" applyFill="1" applyBorder="0" applyProtection="0"/>
    <xf fontId="4" fillId="27" borderId="0" numFmtId="0" applyNumberFormat="0" applyFont="1" applyFill="1" applyBorder="0" applyProtection="0"/>
    <xf fontId="5" fillId="19" borderId="0" numFmtId="0" applyNumberFormat="0" applyFont="1" applyFill="1" applyBorder="0" applyProtection="0"/>
    <xf fontId="5" fillId="19" borderId="0" numFmtId="0" applyNumberFormat="0" applyFont="1" applyFill="1" applyBorder="0" applyProtection="0"/>
    <xf fontId="4" fillId="28" borderId="0" numFmtId="0" applyNumberFormat="0" applyFont="1" applyFill="1" applyBorder="0" applyProtection="0"/>
    <xf fontId="5" fillId="29" borderId="0" numFmtId="0" applyNumberFormat="0" applyFont="1" applyFill="1" applyBorder="0" applyProtection="0"/>
    <xf fontId="5" fillId="29" borderId="0" numFmtId="0" applyNumberFormat="0" applyFont="1" applyFill="1" applyBorder="0" applyProtection="0"/>
    <xf fontId="4" fillId="30" borderId="0" numFmtId="0" applyNumberFormat="0" applyFont="1" applyFill="1" applyBorder="0" applyProtection="0"/>
    <xf fontId="5" fillId="31" borderId="0" numFmtId="0" applyNumberFormat="0" applyFont="1" applyFill="1" applyBorder="0" applyProtection="0"/>
    <xf fontId="5" fillId="31" borderId="0" numFmtId="0" applyNumberFormat="0" applyFont="1" applyFill="1" applyBorder="0" applyProtection="0"/>
    <xf fontId="4" fillId="32" borderId="0" numFmtId="0" applyNumberFormat="0" applyFont="1" applyFill="1" applyBorder="0" applyProtection="0"/>
    <xf fontId="5" fillId="33" borderId="0" numFmtId="0" applyNumberFormat="0" applyFont="1" applyFill="1" applyBorder="0" applyProtection="0"/>
    <xf fontId="5" fillId="33" borderId="0" numFmtId="0" applyNumberFormat="0" applyFont="1" applyFill="1" applyBorder="0" applyProtection="0"/>
    <xf fontId="6" fillId="25" borderId="0" numFmtId="0" applyNumberFormat="0" applyFont="1" applyFill="1" applyBorder="0" applyProtection="0"/>
    <xf fontId="6" fillId="25" borderId="0" numFmtId="0" applyNumberFormat="0" applyFont="1" applyFill="1" applyBorder="0" applyProtection="0"/>
    <xf fontId="6" fillId="17" borderId="0" numFmtId="0" applyNumberFormat="0" applyFont="1" applyFill="1" applyBorder="0" applyProtection="0"/>
    <xf fontId="6" fillId="17" borderId="0" numFmtId="0" applyNumberFormat="0" applyFont="1" applyFill="1" applyBorder="0" applyProtection="0"/>
    <xf fontId="6" fillId="19" borderId="0" numFmtId="0" applyNumberFormat="0" applyFont="1" applyFill="1" applyBorder="0" applyProtection="0"/>
    <xf fontId="6" fillId="19" borderId="0" numFmtId="0" applyNumberFormat="0" applyFont="1" applyFill="1" applyBorder="0" applyProtection="0"/>
    <xf fontId="6" fillId="29" borderId="0" numFmtId="0" applyNumberFormat="0" applyFont="1" applyFill="1" applyBorder="0" applyProtection="0"/>
    <xf fontId="6" fillId="29" borderId="0" numFmtId="0" applyNumberFormat="0" applyFont="1" applyFill="1" applyBorder="0" applyProtection="0"/>
    <xf fontId="6" fillId="31" borderId="0" numFmtId="0" applyNumberFormat="0" applyFont="1" applyFill="1" applyBorder="0" applyProtection="0"/>
    <xf fontId="6" fillId="31" borderId="0" numFmtId="0" applyNumberFormat="0" applyFont="1" applyFill="1" applyBorder="0" applyProtection="0"/>
    <xf fontId="6" fillId="33" borderId="0" numFmtId="0" applyNumberFormat="0" applyFont="1" applyFill="1" applyBorder="0" applyProtection="0"/>
    <xf fontId="6" fillId="33" borderId="0" numFmtId="0" applyNumberFormat="0" applyFont="1" applyFill="1" applyBorder="0" applyProtection="0"/>
    <xf fontId="4" fillId="34" borderId="0" numFmtId="0" applyNumberFormat="0" applyFont="1" applyFill="1" applyBorder="0" applyProtection="0"/>
    <xf fontId="5" fillId="35" borderId="0" numFmtId="0" applyNumberFormat="0" applyFont="1" applyFill="1" applyBorder="0" applyProtection="0"/>
    <xf fontId="5" fillId="35" borderId="0" numFmtId="0" applyNumberFormat="0" applyFont="1" applyFill="1" applyBorder="0" applyProtection="0"/>
    <xf fontId="4" fillId="36" borderId="0" numFmtId="0" applyNumberFormat="0" applyFont="1" applyFill="1" applyBorder="0" applyProtection="0"/>
    <xf fontId="5" fillId="37" borderId="0" numFmtId="0" applyNumberFormat="0" applyFont="1" applyFill="1" applyBorder="0" applyProtection="0"/>
    <xf fontId="5" fillId="37" borderId="0" numFmtId="0" applyNumberFormat="0" applyFont="1" applyFill="1" applyBorder="0" applyProtection="0"/>
    <xf fontId="4" fillId="38" borderId="0" numFmtId="0" applyNumberFormat="0" applyFont="1" applyFill="1" applyBorder="0" applyProtection="0"/>
    <xf fontId="5" fillId="39" borderId="0" numFmtId="0" applyNumberFormat="0" applyFont="1" applyFill="1" applyBorder="0" applyProtection="0"/>
    <xf fontId="5" fillId="39" borderId="0" numFmtId="0" applyNumberFormat="0" applyFont="1" applyFill="1" applyBorder="0" applyProtection="0"/>
    <xf fontId="4" fillId="40" borderId="0" numFmtId="0" applyNumberFormat="0" applyFont="1" applyFill="1" applyBorder="0" applyProtection="0"/>
    <xf fontId="5" fillId="29" borderId="0" numFmtId="0" applyNumberFormat="0" applyFont="1" applyFill="1" applyBorder="0" applyProtection="0"/>
    <xf fontId="5" fillId="29" borderId="0" numFmtId="0" applyNumberFormat="0" applyFont="1" applyFill="1" applyBorder="0" applyProtection="0"/>
    <xf fontId="4" fillId="41" borderId="0" numFmtId="0" applyNumberFormat="0" applyFont="1" applyFill="1" applyBorder="0" applyProtection="0"/>
    <xf fontId="5" fillId="31" borderId="0" numFmtId="0" applyNumberFormat="0" applyFont="1" applyFill="1" applyBorder="0" applyProtection="0"/>
    <xf fontId="5" fillId="31" borderId="0" numFmtId="0" applyNumberFormat="0" applyFont="1" applyFill="1" applyBorder="0" applyProtection="0"/>
    <xf fontId="4" fillId="42" borderId="0" numFmtId="0" applyNumberFormat="0" applyFont="1" applyFill="1" applyBorder="0" applyProtection="0"/>
    <xf fontId="5" fillId="43" borderId="0" numFmtId="0" applyNumberFormat="0" applyFont="1" applyFill="1" applyBorder="0" applyProtection="0"/>
    <xf fontId="5" fillId="43" borderId="0" numFmtId="0" applyNumberFormat="0" applyFont="1" applyFill="1" applyBorder="0" applyProtection="0"/>
    <xf fontId="7" fillId="44" borderId="0" numFmtId="0" applyNumberFormat="0" applyFont="1" applyFill="1" applyBorder="0" applyProtection="0"/>
    <xf fontId="8" fillId="5" borderId="0" numFmtId="0" applyNumberFormat="0" applyFont="1" applyFill="1" applyBorder="0" applyProtection="0"/>
    <xf fontId="8" fillId="5" borderId="0" numFmtId="0" applyNumberFormat="0" applyFont="1" applyFill="1" applyBorder="0" applyProtection="0"/>
    <xf fontId="9" fillId="45" borderId="1" numFmtId="0" applyNumberFormat="0" applyFont="1" applyFill="1" applyBorder="1" applyProtection="0"/>
    <xf fontId="10" fillId="46" borderId="2" numFmtId="0" applyNumberFormat="0" applyFont="1" applyFill="1" applyBorder="1" applyProtection="0"/>
    <xf fontId="10" fillId="46" borderId="2" numFmtId="0" applyNumberFormat="0" applyFont="1" applyFill="1" applyBorder="1" applyProtection="0"/>
    <xf fontId="11" fillId="47" borderId="3" numFmtId="0" applyNumberFormat="0" applyFont="1" applyFill="1" applyBorder="1" applyProtection="0"/>
    <xf fontId="12" fillId="48" borderId="4" numFmtId="0" applyNumberFormat="0" applyFont="1" applyFill="1" applyBorder="1" applyProtection="0"/>
    <xf fontId="12" fillId="48" borderId="4" numFmtId="0" applyNumberFormat="0" applyFont="1" applyFill="1" applyBorder="1" applyProtection="0"/>
    <xf fontId="13" fillId="0" borderId="0" numFmtId="0" applyNumberFormat="0" applyFont="1" applyFill="0" applyBorder="0" applyProtection="0"/>
    <xf fontId="14" fillId="0" borderId="0" numFmtId="0" applyNumberFormat="0" applyFont="1" applyFill="0" applyBorder="0" applyProtection="0"/>
    <xf fontId="14" fillId="0" borderId="0" numFmtId="0" applyNumberFormat="0" applyFont="1" applyFill="0" applyBorder="0" applyProtection="0"/>
    <xf fontId="15" fillId="49" borderId="0" numFmtId="0" applyNumberFormat="0" applyFont="1" applyFill="1" applyBorder="0" applyProtection="0"/>
    <xf fontId="16" fillId="7" borderId="0" numFmtId="0" applyNumberFormat="0" applyFont="1" applyFill="1" applyBorder="0" applyProtection="0"/>
    <xf fontId="16" fillId="7" borderId="0" numFmtId="0" applyNumberFormat="0" applyFont="1" applyFill="1" applyBorder="0" applyProtection="0"/>
    <xf fontId="17" fillId="0" borderId="5" numFmtId="0" applyNumberFormat="0" applyFont="1" applyFill="0" applyBorder="1" applyProtection="0"/>
    <xf fontId="18" fillId="0" borderId="6" numFmtId="0" applyNumberFormat="0" applyFont="1" applyFill="0" applyBorder="1" applyProtection="0"/>
    <xf fontId="18" fillId="0" borderId="6" numFmtId="0" applyNumberFormat="0" applyFont="1" applyFill="0" applyBorder="1" applyProtection="0"/>
    <xf fontId="19" fillId="0" borderId="7" numFmtId="0" applyNumberFormat="0" applyFont="1" applyFill="0" applyBorder="1" applyProtection="0"/>
    <xf fontId="20" fillId="0" borderId="8" numFmtId="0" applyNumberFormat="0" applyFont="1" applyFill="0" applyBorder="1" applyProtection="0"/>
    <xf fontId="20" fillId="0" borderId="8" numFmtId="0" applyNumberFormat="0" applyFont="1" applyFill="0" applyBorder="1" applyProtection="0"/>
    <xf fontId="21" fillId="0" borderId="9" numFmtId="0" applyNumberFormat="0" applyFont="1" applyFill="0" applyBorder="1" applyProtection="0"/>
    <xf fontId="22" fillId="0" borderId="10" numFmtId="0" applyNumberFormat="0" applyFont="1" applyFill="0" applyBorder="1" applyProtection="0"/>
    <xf fontId="22" fillId="0" borderId="10" numFmtId="0" applyNumberFormat="0" applyFont="1" applyFill="0" applyBorder="1" applyProtection="0"/>
    <xf fontId="21" fillId="0" borderId="0" numFmtId="0" applyNumberFormat="0" applyFont="1" applyFill="0" applyBorder="0" applyProtection="0"/>
    <xf fontId="22" fillId="0" borderId="0" numFmtId="0" applyNumberFormat="0" applyFont="1" applyFill="0" applyBorder="0" applyProtection="0"/>
    <xf fontId="22" fillId="0" borderId="0" numFmtId="0" applyNumberFormat="0" applyFont="1" applyFill="0" applyBorder="0" applyProtection="0"/>
    <xf fontId="23" fillId="0" borderId="0" numFmtId="0" applyNumberFormat="1" applyFont="1" applyFill="1" applyBorder="1"/>
    <xf fontId="24" fillId="13" borderId="1" numFmtId="0" applyNumberFormat="0" applyFont="1" applyFill="1" applyBorder="1" applyProtection="0"/>
    <xf fontId="25" fillId="13" borderId="2" numFmtId="0" applyNumberFormat="0" applyFont="1" applyFill="1" applyBorder="1" applyProtection="0"/>
    <xf fontId="25" fillId="13" borderId="2" numFmtId="0" applyNumberFormat="0" applyFont="1" applyFill="1" applyBorder="1" applyProtection="0"/>
    <xf fontId="26" fillId="0" borderId="11" numFmtId="0" applyNumberFormat="0" applyFont="1" applyFill="0" applyBorder="1" applyProtection="0"/>
    <xf fontId="27" fillId="0" borderId="12" numFmtId="0" applyNumberFormat="0" applyFont="1" applyFill="0" applyBorder="1" applyProtection="0"/>
    <xf fontId="27" fillId="0" borderId="12" numFmtId="0" applyNumberFormat="0" applyFont="1" applyFill="0" applyBorder="1" applyProtection="0"/>
    <xf fontId="23" fillId="7" borderId="0" numFmtId="160" applyNumberFormat="1" applyFont="1" applyFill="0" applyBorder="1" applyProtection="0"/>
    <xf fontId="23" fillId="7" borderId="0" numFmtId="38" applyNumberFormat="1" applyFont="1" applyFill="0" applyBorder="1" applyProtection="0"/>
    <xf fontId="28" fillId="50" borderId="0" numFmtId="0" applyNumberFormat="0" applyFont="1" applyFill="1" applyBorder="0" applyProtection="0"/>
    <xf fontId="29" fillId="51" borderId="0" numFmtId="0" applyNumberFormat="0" applyFont="1" applyFill="1" applyBorder="0" applyProtection="0"/>
    <xf fontId="29" fillId="51" borderId="0" numFmtId="0" applyNumberFormat="0" applyFont="1" applyFill="1" applyBorder="0" applyProtection="0"/>
    <xf fontId="2"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52" borderId="13" numFmtId="0" applyNumberFormat="0" applyFont="0" applyFill="1" applyBorder="1" applyProtection="0"/>
    <xf fontId="2" fillId="52" borderId="13" numFmtId="0" applyNumberFormat="0" applyFont="0" applyFill="1" applyBorder="1" applyProtection="0"/>
    <xf fontId="2" fillId="52" borderId="13" numFmtId="0" applyNumberFormat="0" applyFont="0" applyFill="1" applyBorder="1" applyProtection="0"/>
    <xf fontId="30" fillId="45" borderId="14" numFmtId="0" applyNumberFormat="0" applyFont="1" applyFill="1" applyBorder="1" applyProtection="0"/>
    <xf fontId="31" fillId="46" borderId="15" numFmtId="0" applyNumberFormat="0" applyFont="1" applyFill="1" applyBorder="1" applyProtection="0"/>
    <xf fontId="31" fillId="46" borderId="15" numFmtId="0" applyNumberFormat="0" applyFont="1" applyFill="1" applyBorder="1" applyProtection="0"/>
    <xf fontId="32" fillId="7" borderId="0" numFmtId="0" applyNumberFormat="1" applyFont="1" applyFill="1" applyBorder="1">
      <alignment horizontal="center" vertical="center"/>
    </xf>
    <xf fontId="32" fillId="52" borderId="0" numFmtId="0" applyNumberFormat="1" applyFont="1" applyFill="1" applyBorder="1">
      <alignment horizontal="center" vertical="center"/>
    </xf>
    <xf fontId="32" fillId="0" borderId="0" numFmtId="0" applyNumberFormat="1" applyFont="1" applyFill="1" applyBorder="1">
      <alignment horizontal="center" vertical="center"/>
    </xf>
    <xf fontId="32" fillId="0" borderId="0" numFmtId="0" applyNumberFormat="1" applyFont="1" applyFill="1" applyBorder="1">
      <alignment horizontal="left" vertical="center"/>
    </xf>
    <xf fontId="32" fillId="0" borderId="0" numFmtId="0" applyNumberFormat="1" applyFont="1" applyFill="1" applyBorder="1">
      <alignment horizontal="right" vertical="center"/>
    </xf>
    <xf fontId="32" fillId="0" borderId="0" numFmtId="0" applyNumberFormat="1" applyFont="1" applyFill="1" applyBorder="1">
      <alignment horizontal="right" vertical="center"/>
    </xf>
    <xf fontId="33" fillId="0" borderId="0" numFmtId="0" applyNumberFormat="0" applyFont="1" applyFill="0" applyBorder="0" applyProtection="0"/>
    <xf fontId="34" fillId="0" borderId="0" numFmtId="0" applyNumberFormat="0" applyFont="1" applyFill="0" applyBorder="0" applyProtection="0"/>
    <xf fontId="34" fillId="0" borderId="0" numFmtId="0" applyNumberFormat="0" applyFont="1" applyFill="0" applyBorder="0" applyProtection="0"/>
    <xf fontId="35" fillId="0" borderId="16" numFmtId="0" applyNumberFormat="0" applyFont="1" applyFill="0" applyBorder="1" applyProtection="0"/>
    <xf fontId="36" fillId="0" borderId="17" numFmtId="0" applyNumberFormat="0" applyFont="1" applyFill="0" applyBorder="1" applyProtection="0"/>
    <xf fontId="36" fillId="0" borderId="17" numFmtId="0" applyNumberFormat="0" applyFont="1" applyFill="0" applyBorder="1" applyProtection="0"/>
    <xf fontId="37" fillId="0" borderId="0" numFmtId="0" applyNumberFormat="0" applyFont="1" applyFill="0" applyBorder="0" applyProtection="0"/>
    <xf fontId="38" fillId="0" borderId="0" numFmtId="0" applyNumberFormat="0" applyFont="1" applyFill="0" applyBorder="0" applyProtection="0"/>
    <xf fontId="38" fillId="0" borderId="0" numFmtId="0" applyNumberFormat="0" applyFont="1" applyFill="0" applyBorder="0" applyProtection="0"/>
    <xf fontId="6" fillId="35" borderId="0" numFmtId="0" applyNumberFormat="0" applyFont="1" applyFill="1" applyBorder="0" applyProtection="0"/>
    <xf fontId="6" fillId="35" borderId="0" numFmtId="0" applyNumberFormat="0" applyFont="1" applyFill="1" applyBorder="0" applyProtection="0"/>
    <xf fontId="6" fillId="37" borderId="0" numFmtId="0" applyNumberFormat="0" applyFont="1" applyFill="1" applyBorder="0" applyProtection="0"/>
    <xf fontId="6" fillId="37" borderId="0" numFmtId="0" applyNumberFormat="0" applyFont="1" applyFill="1" applyBorder="0" applyProtection="0"/>
    <xf fontId="6" fillId="39" borderId="0" numFmtId="0" applyNumberFormat="0" applyFont="1" applyFill="1" applyBorder="0" applyProtection="0"/>
    <xf fontId="6" fillId="39" borderId="0" numFmtId="0" applyNumberFormat="0" applyFont="1" applyFill="1" applyBorder="0" applyProtection="0"/>
    <xf fontId="6" fillId="29" borderId="0" numFmtId="0" applyNumberFormat="0" applyFont="1" applyFill="1" applyBorder="0" applyProtection="0"/>
    <xf fontId="6" fillId="29" borderId="0" numFmtId="0" applyNumberFormat="0" applyFont="1" applyFill="1" applyBorder="0" applyProtection="0"/>
    <xf fontId="6" fillId="31" borderId="0" numFmtId="0" applyNumberFormat="0" applyFont="1" applyFill="1" applyBorder="0" applyProtection="0"/>
    <xf fontId="6" fillId="31" borderId="0" numFmtId="0" applyNumberFormat="0" applyFont="1" applyFill="1" applyBorder="0" applyProtection="0"/>
    <xf fontId="6" fillId="43" borderId="0" numFmtId="0" applyNumberFormat="0" applyFont="1" applyFill="1" applyBorder="0" applyProtection="0"/>
    <xf fontId="6" fillId="43" borderId="0" numFmtId="0" applyNumberFormat="0" applyFont="1" applyFill="1" applyBorder="0" applyProtection="0"/>
    <xf fontId="39" fillId="13" borderId="2" numFmtId="0" applyNumberFormat="0" applyFont="1" applyFill="1" applyBorder="1" applyProtection="0"/>
    <xf fontId="39" fillId="13" borderId="2" numFmtId="0" applyNumberFormat="0" applyFont="1" applyFill="1" applyBorder="1" applyProtection="0"/>
    <xf fontId="40" fillId="46" borderId="15" numFmtId="0" applyNumberFormat="0" applyFont="1" applyFill="1" applyBorder="1" applyProtection="0"/>
    <xf fontId="40" fillId="46" borderId="15" numFmtId="0" applyNumberFormat="0" applyFont="1" applyFill="1" applyBorder="1" applyProtection="0"/>
    <xf fontId="41" fillId="46" borderId="2" numFmtId="0" applyNumberFormat="0" applyFont="1" applyFill="1" applyBorder="1" applyProtection="0"/>
    <xf fontId="41" fillId="46" borderId="2" numFmtId="0" applyNumberFormat="0" applyFont="1" applyFill="1" applyBorder="1" applyProtection="0"/>
    <xf fontId="42" fillId="0" borderId="0" numFmtId="0" applyNumberFormat="0" applyFont="1" applyFill="0" applyBorder="0" applyProtection="0"/>
    <xf fontId="42" fillId="0" borderId="0" numFmtId="0" applyNumberFormat="0" applyFont="1" applyFill="0" applyBorder="0" applyProtection="0"/>
    <xf fontId="42" fillId="0" borderId="0" numFmtId="0" applyNumberFormat="0" applyFont="1" applyFill="0" applyBorder="0" applyProtection="0">
      <alignment vertical="top"/>
      <protection locked="0"/>
    </xf>
    <xf fontId="23" fillId="0" borderId="0" numFmtId="0" applyNumberFormat="1" applyFont="1" applyFill="1" applyBorder="1"/>
    <xf fontId="43" fillId="0" borderId="6" numFmtId="0" applyNumberFormat="0" applyFont="1" applyFill="0" applyBorder="1" applyProtection="0"/>
    <xf fontId="43" fillId="0" borderId="6" numFmtId="0" applyNumberFormat="0" applyFont="1" applyFill="0" applyBorder="1" applyProtection="0"/>
    <xf fontId="44" fillId="0" borderId="8" numFmtId="0" applyNumberFormat="0" applyFont="1" applyFill="0" applyBorder="1" applyProtection="0"/>
    <xf fontId="44" fillId="0" borderId="8" numFmtId="0" applyNumberFormat="0" applyFont="1" applyFill="0" applyBorder="1" applyProtection="0"/>
    <xf fontId="45" fillId="0" borderId="10" numFmtId="0" applyNumberFormat="0" applyFont="1" applyFill="0" applyBorder="1" applyProtection="0"/>
    <xf fontId="45" fillId="0" borderId="10" numFmtId="0" applyNumberFormat="0" applyFont="1" applyFill="0" applyBorder="1" applyProtection="0"/>
    <xf fontId="45" fillId="0" borderId="0" numFmtId="0" applyNumberFormat="0" applyFont="1" applyFill="0" applyBorder="0" applyProtection="0"/>
    <xf fontId="45" fillId="0" borderId="0" numFmtId="0" applyNumberFormat="0" applyFont="1" applyFill="0" applyBorder="0" applyProtection="0"/>
    <xf fontId="46" fillId="0" borderId="17" numFmtId="0" applyNumberFormat="0" applyFont="1" applyFill="0" applyBorder="1" applyProtection="0"/>
    <xf fontId="46" fillId="0" borderId="17" numFmtId="0" applyNumberFormat="0" applyFont="1" applyFill="0" applyBorder="1" applyProtection="0"/>
    <xf fontId="47" fillId="48" borderId="4" numFmtId="0" applyNumberFormat="0" applyFont="1" applyFill="1" applyBorder="1" applyProtection="0"/>
    <xf fontId="47" fillId="48" borderId="4" numFmtId="0" applyNumberFormat="0" applyFont="1" applyFill="1" applyBorder="1" applyProtection="0"/>
    <xf fontId="34" fillId="0" borderId="0" numFmtId="0" applyNumberFormat="0" applyFont="1" applyFill="0" applyBorder="0" applyProtection="0"/>
    <xf fontId="34" fillId="0" borderId="0" numFmtId="0" applyNumberFormat="0" applyFont="1" applyFill="0" applyBorder="0" applyProtection="0"/>
    <xf fontId="48" fillId="51" borderId="0" numFmtId="0" applyNumberFormat="0" applyFont="1" applyFill="1" applyBorder="0" applyProtection="0"/>
    <xf fontId="48" fillId="51" borderId="0" numFmtId="0" applyNumberFormat="0" applyFont="1" applyFill="1" applyBorder="0" applyProtection="0"/>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0" fillId="0" borderId="0" numFmtId="0" applyNumberFormat="1" applyFont="1" applyFill="1" applyBorder="1"/>
    <xf fontId="2" fillId="0" borderId="0" numFmtId="0" applyNumberFormat="1" applyFont="1" applyFill="1" applyBorder="1"/>
    <xf fontId="49" fillId="0" borderId="0" numFmtId="0" applyNumberFormat="1" applyFont="1" applyFill="1" applyBorder="1"/>
    <xf fontId="3" fillId="0" borderId="0" numFmtId="0" applyNumberFormat="1" applyFont="1" applyFill="1" applyBorder="1"/>
    <xf fontId="2" fillId="0" borderId="0" numFmtId="0" applyNumberFormat="1" applyFont="1" applyFill="1" applyBorder="1"/>
    <xf fontId="3"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3" fillId="0" borderId="0" numFmtId="0" applyNumberFormat="1" applyFont="1" applyFill="1" applyBorder="1"/>
    <xf fontId="3" fillId="0" borderId="0" numFmtId="0" applyNumberFormat="1" applyFont="1" applyFill="1" applyBorder="1"/>
    <xf fontId="2" fillId="0" borderId="0" numFmtId="0" applyNumberFormat="1" applyFont="1" applyFill="1" applyBorder="1"/>
    <xf fontId="3" fillId="0" borderId="0" numFmtId="0" applyNumberFormat="1" applyFont="1" applyFill="1" applyBorder="1"/>
    <xf fontId="3" fillId="0" borderId="0" numFmtId="0" applyNumberFormat="1" applyFont="1" applyFill="1" applyBorder="1"/>
    <xf fontId="0" fillId="0" borderId="0" numFmtId="0" applyNumberFormat="1" applyFont="1" applyFill="1" applyBorder="1"/>
    <xf fontId="3" fillId="0" borderId="0" numFmtId="0" applyNumberFormat="1" applyFont="1" applyFill="1" applyBorder="1"/>
    <xf fontId="3" fillId="0" borderId="0" numFmtId="0" applyNumberFormat="1" applyFont="1" applyFill="1" applyBorder="1"/>
    <xf fontId="3" fillId="0" borderId="0" numFmtId="0" applyNumberFormat="1" applyFont="1" applyFill="1" applyBorder="1"/>
    <xf fontId="3" fillId="0" borderId="0" numFmtId="0" applyNumberFormat="1" applyFont="1" applyFill="1" applyBorder="1"/>
    <xf fontId="2"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50" fillId="0" borderId="0" numFmtId="0" applyNumberFormat="1" applyFont="1" applyFill="1" applyBorder="1"/>
    <xf fontId="3" fillId="0" borderId="0" numFmtId="0" applyNumberFormat="1" applyFont="1" applyFill="1" applyBorder="1"/>
    <xf fontId="3" fillId="0" borderId="0" numFmtId="0" applyNumberFormat="1" applyFont="1" applyFill="1" applyBorder="1"/>
    <xf fontId="50" fillId="0" borderId="0" numFmtId="0" applyNumberFormat="1" applyFont="1" applyFill="1" applyBorder="1"/>
    <xf fontId="3"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51" fillId="5" borderId="0" numFmtId="0" applyNumberFormat="0" applyFont="1" applyFill="1" applyBorder="0" applyProtection="0"/>
    <xf fontId="51" fillId="5" borderId="0" numFmtId="0" applyNumberFormat="0" applyFont="1" applyFill="1" applyBorder="0" applyProtection="0"/>
    <xf fontId="52" fillId="0" borderId="0" numFmtId="0" applyNumberFormat="0" applyFont="1" applyFill="0" applyBorder="0" applyProtection="0"/>
    <xf fontId="52" fillId="0" borderId="0" numFmtId="0" applyNumberFormat="0" applyFont="1" applyFill="0" applyBorder="0" applyProtection="0"/>
    <xf fontId="2" fillId="52" borderId="13" numFmtId="0" applyNumberFormat="0" applyFont="0" applyFill="1" applyBorder="1" applyProtection="0"/>
    <xf fontId="0" fillId="52" borderId="18" numFmtId="0" applyNumberFormat="0" applyFont="0" applyFill="1" applyBorder="1" applyProtection="0"/>
    <xf fontId="0" fillId="52" borderId="18" numFmtId="0" applyNumberFormat="0" applyFont="0" applyFill="1" applyBorder="1" applyProtection="0"/>
    <xf fontId="2" fillId="52" borderId="13" numFmtId="0" applyNumberFormat="0" applyFont="0" applyFill="1" applyBorder="1" applyProtection="0"/>
    <xf fontId="23" fillId="0" borderId="0" numFmtId="9" applyNumberFormat="1" applyFont="0" applyFill="0" applyBorder="0" applyProtection="0"/>
    <xf fontId="53" fillId="0" borderId="12" numFmtId="0" applyNumberFormat="0" applyFont="1" applyFill="0" applyBorder="1" applyProtection="0"/>
    <xf fontId="53" fillId="0" borderId="12" numFmtId="0" applyNumberFormat="0" applyFont="1" applyFill="0" applyBorder="1" applyProtection="0"/>
    <xf fontId="1" fillId="0" borderId="0" numFmtId="0" applyNumberFormat="1" applyFont="1" applyFill="1" applyBorder="1"/>
    <xf fontId="54" fillId="0" borderId="0" numFmtId="0" applyNumberFormat="0" applyFont="1" applyFill="0" applyBorder="0" applyProtection="0"/>
    <xf fontId="54" fillId="0" borderId="0" numFmtId="0" applyNumberFormat="0" applyFont="1" applyFill="0" applyBorder="0" applyProtection="0"/>
    <xf fontId="23" fillId="0" borderId="0" numFmtId="161" applyNumberFormat="1" applyFont="0" applyFill="0" applyBorder="0" applyProtection="0"/>
    <xf fontId="23" fillId="0" borderId="0" numFmtId="162" applyNumberFormat="1" applyFont="0" applyFill="0" applyBorder="0" applyProtection="0"/>
    <xf fontId="23" fillId="0" borderId="0" numFmtId="163" applyNumberFormat="1" applyFont="0" applyFill="0" applyBorder="0" applyProtection="0"/>
    <xf fontId="2" fillId="0" borderId="0" numFmtId="163" applyNumberFormat="1" applyFont="0" applyFill="0" applyBorder="0" applyProtection="0"/>
    <xf fontId="55" fillId="7" borderId="0" numFmtId="0" applyNumberFormat="0" applyFont="1" applyFill="1" applyBorder="0" applyProtection="0"/>
    <xf fontId="55" fillId="7" borderId="0" numFmtId="0" applyNumberFormat="0" applyFont="1" applyFill="1" applyBorder="0" applyProtection="0"/>
  </cellStyleXfs>
  <cellXfs count="154">
    <xf fontId="0" fillId="0" borderId="0" numFmtId="0" xfId="0"/>
    <xf fontId="49" fillId="0" borderId="0" numFmtId="0" xfId="0" applyFont="1"/>
    <xf fontId="36" fillId="53" borderId="19" numFmtId="0" xfId="0" applyFont="1" applyFill="1" applyBorder="1" applyAlignment="1">
      <alignment vertical="top" wrapText="1"/>
    </xf>
    <xf fontId="56" fillId="0" borderId="0" numFmtId="0" xfId="0" applyFont="1"/>
    <xf fontId="56" fillId="0" borderId="19" numFmtId="0" xfId="0" applyFont="1" applyBorder="1" applyAlignment="1">
      <alignment horizontal="left" vertical="top" wrapText="1"/>
    </xf>
    <xf fontId="56" fillId="0" borderId="19" numFmtId="14" xfId="0" applyNumberFormat="1" applyFont="1" applyBorder="1" applyAlignment="1">
      <alignment horizontal="left" vertical="top" wrapText="1"/>
    </xf>
    <xf fontId="57" fillId="0" borderId="0" numFmtId="0" xfId="0" applyFont="1"/>
    <xf fontId="57" fillId="0" borderId="19" numFmtId="0" xfId="0" applyFont="1" applyBorder="1" applyAlignment="1">
      <alignment horizontal="left" vertical="top" wrapText="1"/>
    </xf>
    <xf fontId="57" fillId="0" borderId="19" numFmtId="14" xfId="0" applyNumberFormat="1" applyFont="1" applyBorder="1" applyAlignment="1">
      <alignment horizontal="left" vertical="top" wrapText="1"/>
    </xf>
    <xf fontId="57" fillId="0" borderId="19" numFmtId="0" xfId="0" applyFont="1" applyBorder="1"/>
    <xf fontId="58" fillId="0" borderId="0" numFmtId="0" xfId="260" applyFont="1" applyAlignment="1">
      <alignment horizontal="left" vertical="top"/>
    </xf>
    <xf fontId="58" fillId="0" borderId="0" numFmtId="0" xfId="260" applyFont="1" applyAlignment="1">
      <alignment horizontal="center" vertical="top"/>
    </xf>
    <xf fontId="58" fillId="0" borderId="0" numFmtId="0" xfId="260" applyFont="1" applyAlignment="1">
      <alignment vertical="top"/>
    </xf>
    <xf fontId="58" fillId="0" borderId="0" numFmtId="0" xfId="260" applyFont="1" applyAlignment="1">
      <alignment horizontal="left" vertical="top" wrapText="1"/>
    </xf>
    <xf fontId="58" fillId="0" borderId="0" numFmtId="164" xfId="260" applyNumberFormat="1" applyFont="1" applyAlignment="1">
      <alignment horizontal="center" vertical="center"/>
    </xf>
    <xf fontId="59" fillId="0" borderId="0" numFmtId="0" xfId="260" applyFont="1" applyAlignment="1">
      <alignment horizontal="center" vertical="center"/>
    </xf>
    <xf fontId="59" fillId="23" borderId="20" numFmtId="0" xfId="260" applyFont="1" applyFill="1" applyBorder="1" applyAlignment="1">
      <alignment horizontal="center" vertical="center" wrapText="1"/>
    </xf>
    <xf fontId="59" fillId="23" borderId="20" numFmtId="0" xfId="260" applyFont="1" applyFill="1" applyBorder="1" applyAlignment="1">
      <alignment horizontal="center" vertical="center"/>
    </xf>
    <xf fontId="59" fillId="23" borderId="20" numFmtId="0" xfId="260" applyFont="1" applyFill="1" applyBorder="1" applyAlignment="1">
      <alignment vertical="top"/>
    </xf>
    <xf fontId="59" fillId="23" borderId="20" numFmtId="0" xfId="259" applyFont="1" applyFill="1" applyBorder="1" applyAlignment="1">
      <alignment horizontal="center" vertical="center" wrapText="1"/>
    </xf>
    <xf fontId="59" fillId="54" borderId="20" numFmtId="0" xfId="260" applyFont="1" applyFill="1" applyBorder="1" applyAlignment="1">
      <alignment horizontal="center" vertical="center" wrapText="1"/>
    </xf>
    <xf fontId="59" fillId="41" borderId="20" numFmtId="0" xfId="260" applyFont="1" applyFill="1" applyBorder="1" applyAlignment="1">
      <alignment horizontal="center" vertical="center" wrapText="1"/>
    </xf>
    <xf fontId="59" fillId="55" borderId="20" numFmtId="0" xfId="260" applyFont="1" applyFill="1" applyBorder="1" applyAlignment="1">
      <alignment horizontal="center" vertical="center" wrapText="1"/>
    </xf>
    <xf fontId="59" fillId="56" borderId="20" numFmtId="0" xfId="260" applyFont="1" applyFill="1" applyBorder="1" applyAlignment="1">
      <alignment horizontal="center" vertical="center" wrapText="1"/>
    </xf>
    <xf fontId="59" fillId="56" borderId="20" numFmtId="164" xfId="260" applyNumberFormat="1" applyFont="1" applyFill="1" applyBorder="1" applyAlignment="1">
      <alignment horizontal="center" vertical="center" wrapText="1"/>
    </xf>
    <xf fontId="58" fillId="0" borderId="21" numFmtId="0" xfId="260" applyFont="1" applyBorder="1" applyAlignment="1">
      <alignment horizontal="center" vertical="top"/>
    </xf>
    <xf fontId="58" fillId="0" borderId="19" numFmtId="0" xfId="260" applyFont="1" applyBorder="1" applyAlignment="1">
      <alignment horizontal="left" vertical="top"/>
    </xf>
    <xf fontId="58" fillId="0" borderId="19" numFmtId="0" xfId="0" applyFont="1" applyBorder="1" applyAlignment="1">
      <alignment horizontal="left" vertical="top" wrapText="1"/>
    </xf>
    <xf fontId="58" fillId="57" borderId="19" numFmtId="0" xfId="260" applyFont="1" applyFill="1" applyBorder="1" applyAlignment="1">
      <alignment horizontal="left" vertical="top"/>
    </xf>
    <xf fontId="58" fillId="0" borderId="22" numFmtId="0" xfId="260" applyFont="1" applyBorder="1" applyAlignment="1">
      <alignment horizontal="left" vertical="top" wrapText="1"/>
    </xf>
    <xf fontId="58" fillId="0" borderId="22" numFmtId="0" xfId="260" applyFont="1" applyBorder="1" applyAlignment="1">
      <alignment horizontal="center" vertical="center" wrapText="1"/>
    </xf>
    <xf fontId="58" fillId="0" borderId="19" numFmtId="164" xfId="260" applyNumberFormat="1" applyFont="1" applyBorder="1" applyAlignment="1">
      <alignment horizontal="left" vertical="top"/>
    </xf>
    <xf fontId="58" fillId="0" borderId="19" numFmtId="0" xfId="260" applyFont="1" applyBorder="1" applyAlignment="1">
      <alignment horizontal="center" vertical="top"/>
    </xf>
    <xf fontId="0" fillId="0" borderId="23" numFmtId="0" xfId="0" applyBorder="1" applyAlignment="1">
      <alignment horizontal="left" vertical="top"/>
    </xf>
    <xf fontId="58" fillId="0" borderId="23" numFmtId="0" xfId="260" applyFont="1" applyBorder="1" applyAlignment="1">
      <alignment horizontal="center" vertical="center" wrapText="1"/>
    </xf>
    <xf fontId="60" fillId="0" borderId="19" numFmtId="0" xfId="0" applyFont="1" applyBorder="1"/>
    <xf fontId="58" fillId="0" borderId="24" numFmtId="0" xfId="0" applyFont="1" applyBorder="1" applyAlignment="1">
      <alignment horizontal="left" vertical="top"/>
    </xf>
    <xf fontId="58" fillId="0" borderId="25" numFmtId="0" xfId="260" applyFont="1" applyBorder="1" applyAlignment="1">
      <alignment horizontal="left" vertical="top"/>
    </xf>
    <xf fontId="58" fillId="0" borderId="26" numFmtId="0" xfId="260" applyFont="1" applyBorder="1" applyAlignment="1">
      <alignment horizontal="center" vertical="top"/>
    </xf>
    <xf fontId="58" fillId="0" borderId="26" numFmtId="0" xfId="260" applyFont="1" applyBorder="1" applyAlignment="1">
      <alignment horizontal="left" vertical="top"/>
    </xf>
    <xf fontId="58" fillId="0" borderId="26" numFmtId="0" xfId="0" applyFont="1" applyBorder="1" applyAlignment="1">
      <alignment horizontal="left" vertical="top" wrapText="1"/>
    </xf>
    <xf fontId="58" fillId="57" borderId="26" numFmtId="0" xfId="260" applyFont="1" applyFill="1" applyBorder="1" applyAlignment="1">
      <alignment horizontal="left" vertical="top"/>
    </xf>
    <xf fontId="0" fillId="0" borderId="27" numFmtId="0" xfId="0" applyBorder="1" applyAlignment="1">
      <alignment horizontal="left" vertical="top"/>
    </xf>
    <xf fontId="58" fillId="0" borderId="26" numFmtId="164" xfId="260" applyNumberFormat="1" applyFont="1" applyBorder="1" applyAlignment="1">
      <alignment horizontal="left" vertical="top"/>
    </xf>
    <xf fontId="58" fillId="0" borderId="28" numFmtId="0" xfId="260" applyFont="1" applyBorder="1" applyAlignment="1">
      <alignment horizontal="center" vertical="top"/>
    </xf>
    <xf fontId="58" fillId="0" borderId="28" numFmtId="0" xfId="260" applyFont="1" applyBorder="1" applyAlignment="1">
      <alignment horizontal="left" vertical="top"/>
    </xf>
    <xf fontId="58" fillId="0" borderId="28" numFmtId="0" xfId="0" applyFont="1" applyBorder="1" applyAlignment="1">
      <alignment horizontal="left" vertical="top" wrapText="1"/>
    </xf>
    <xf fontId="58" fillId="57" borderId="28" numFmtId="0" xfId="260" applyFont="1" applyFill="1" applyBorder="1" applyAlignment="1">
      <alignment horizontal="left" vertical="top"/>
    </xf>
    <xf fontId="58" fillId="0" borderId="29" numFmtId="0" xfId="260" applyFont="1" applyBorder="1" applyAlignment="1">
      <alignment horizontal="center" vertical="center" wrapText="1"/>
    </xf>
    <xf fontId="58" fillId="0" borderId="28" numFmtId="164" xfId="260" applyNumberFormat="1" applyFont="1" applyBorder="1" applyAlignment="1">
      <alignment horizontal="left" vertical="top"/>
    </xf>
    <xf fontId="58" fillId="0" borderId="30" numFmtId="0" xfId="260" applyFont="1" applyBorder="1" applyAlignment="1">
      <alignment horizontal="center" vertical="top"/>
    </xf>
    <xf fontId="58" fillId="0" borderId="27" numFmtId="0" xfId="0" applyFont="1" applyBorder="1" applyAlignment="1">
      <alignment horizontal="left" vertical="top" wrapText="1"/>
    </xf>
    <xf fontId="58" fillId="0" borderId="31" numFmtId="0" xfId="0" applyFont="1" applyBorder="1" applyAlignment="1">
      <alignment horizontal="left" vertical="top"/>
    </xf>
    <xf fontId="58" fillId="0" borderId="27" numFmtId="0" xfId="260" applyFont="1" applyBorder="1" applyAlignment="1">
      <alignment horizontal="center" vertical="center" wrapText="1"/>
    </xf>
    <xf fontId="58" fillId="0" borderId="29" numFmtId="0" xfId="260" applyFont="1" applyBorder="1" applyAlignment="1">
      <alignment horizontal="left" vertical="top" wrapText="1"/>
    </xf>
    <xf fontId="0" fillId="0" borderId="23" numFmtId="0" xfId="0" applyBorder="1" applyAlignment="1">
      <alignment horizontal="left" vertical="top" wrapText="1"/>
    </xf>
    <xf fontId="58" fillId="0" borderId="24" numFmtId="0" xfId="0" applyFont="1" applyBorder="1" applyAlignment="1">
      <alignment horizontal="left" vertical="top" wrapText="1"/>
    </xf>
    <xf fontId="58" fillId="0" borderId="26" numFmtId="0" xfId="260" applyFont="1" applyBorder="1" applyAlignment="1">
      <alignment horizontal="left" vertical="top" wrapText="1"/>
    </xf>
    <xf fontId="0" fillId="0" borderId="27" numFmtId="0" xfId="0" applyBorder="1" applyAlignment="1">
      <alignment horizontal="left" vertical="top" wrapText="1"/>
    </xf>
    <xf fontId="58" fillId="0" borderId="31" numFmtId="0" xfId="0" applyFont="1" applyBorder="1" applyAlignment="1">
      <alignment horizontal="left" vertical="top" wrapText="1"/>
    </xf>
    <xf fontId="58" fillId="0" borderId="27" numFmtId="0" xfId="260" applyFont="1" applyBorder="1" applyAlignment="1">
      <alignment horizontal="left" vertical="top"/>
    </xf>
    <xf fontId="60" fillId="0" borderId="28" numFmtId="0" xfId="0" applyFont="1" applyBorder="1"/>
    <xf fontId="58" fillId="0" borderId="29" numFmtId="0" xfId="260" applyFont="1" applyBorder="1" applyAlignment="1">
      <alignment horizontal="left" vertical="top"/>
    </xf>
    <xf fontId="58" fillId="0" borderId="23" numFmtId="0" xfId="260" applyFont="1" applyBorder="1" applyAlignment="1">
      <alignment horizontal="left" vertical="top"/>
    </xf>
    <xf fontId="58" fillId="0" borderId="23" numFmtId="0" xfId="260" applyFont="1" applyBorder="1" applyAlignment="1">
      <alignment horizontal="left" vertical="top" wrapText="1"/>
    </xf>
    <xf fontId="60" fillId="0" borderId="26" numFmtId="0" xfId="0" applyFont="1" applyBorder="1"/>
    <xf fontId="58" fillId="0" borderId="29" numFmtId="0" xfId="260" applyFont="1" applyBorder="1" applyAlignment="1" quotePrefix="1">
      <alignment horizontal="left" vertical="top" wrapText="1"/>
    </xf>
    <xf fontId="0" fillId="0" borderId="23" numFmtId="0" xfId="0" applyBorder="1" applyAlignment="1">
      <alignment horizontal="center" vertical="center" wrapText="1"/>
    </xf>
    <xf fontId="58" fillId="0" borderId="32" numFmtId="0" xfId="0" applyFont="1" applyBorder="1" applyAlignment="1">
      <alignment horizontal="left" vertical="top"/>
    </xf>
    <xf fontId="58" fillId="0" borderId="27" numFmtId="0" xfId="260" applyFont="1" applyBorder="1" applyAlignment="1">
      <alignment horizontal="center" vertical="top"/>
    </xf>
    <xf fontId="58" fillId="57" borderId="27" numFmtId="0" xfId="260" applyFont="1" applyFill="1" applyBorder="1" applyAlignment="1">
      <alignment horizontal="left" vertical="top"/>
    </xf>
    <xf fontId="0" fillId="0" borderId="27" numFmtId="0" xfId="0" applyBorder="1" applyAlignment="1">
      <alignment horizontal="center" vertical="center" wrapText="1"/>
    </xf>
    <xf fontId="58" fillId="0" borderId="27" numFmtId="0" xfId="260" applyFont="1" applyBorder="1" applyAlignment="1" quotePrefix="1">
      <alignment horizontal="left" vertical="top"/>
    </xf>
    <xf fontId="58" fillId="0" borderId="27" numFmtId="164" xfId="260" applyNumberFormat="1" applyFont="1" applyBorder="1" applyAlignment="1">
      <alignment horizontal="left" vertical="top"/>
    </xf>
    <xf fontId="0" fillId="0" borderId="28" numFmtId="0" xfId="0" applyBorder="1" applyAlignment="1">
      <alignment horizontal="left" vertical="top" wrapText="1"/>
    </xf>
    <xf fontId="0" fillId="0" borderId="28" numFmtId="0" xfId="0" applyBorder="1" applyAlignment="1">
      <alignment horizontal="left" vertical="top"/>
    </xf>
    <xf fontId="58" fillId="0" borderId="22" numFmtId="0" xfId="260" applyFont="1" applyBorder="1" applyAlignment="1">
      <alignment horizontal="left" vertical="top"/>
    </xf>
    <xf fontId="58" fillId="0" borderId="23" numFmtId="0" xfId="260" applyFont="1" applyBorder="1" applyAlignment="1" quotePrefix="1">
      <alignment horizontal="left" vertical="top" wrapText="1"/>
    </xf>
    <xf fontId="61" fillId="0" borderId="28" numFmtId="0" xfId="260" applyFont="1" applyBorder="1" applyAlignment="1">
      <alignment horizontal="center" vertical="top"/>
    </xf>
    <xf fontId="58" fillId="0" borderId="19" numFmtId="0" xfId="260" applyFont="1" applyBorder="1" applyAlignment="1">
      <alignment horizontal="left" vertical="top" wrapText="1"/>
    </xf>
    <xf fontId="58" fillId="0" borderId="19" numFmtId="0" xfId="260" applyFont="1" applyBorder="1" applyAlignment="1" quotePrefix="1">
      <alignment horizontal="left" vertical="top"/>
    </xf>
    <xf fontId="58" fillId="0" borderId="19" numFmtId="0" xfId="0" applyFont="1" applyBorder="1" applyAlignment="1">
      <alignment horizontal="left" vertical="top"/>
    </xf>
    <xf fontId="3" fillId="0" borderId="19" numFmtId="0" xfId="11585" applyFont="1" applyBorder="1" applyAlignment="1" quotePrefix="1">
      <alignment horizontal="left" vertical="top"/>
    </xf>
    <xf fontId="58" fillId="0" borderId="33" numFmtId="0" xfId="260" applyFont="1" applyBorder="1" applyAlignment="1">
      <alignment horizontal="left" vertical="top"/>
    </xf>
    <xf fontId="49" fillId="0" borderId="19" numFmtId="0" xfId="0" applyFont="1" applyBorder="1" applyAlignment="1">
      <alignment horizontal="left" vertical="top"/>
    </xf>
    <xf fontId="3" fillId="0" borderId="19" numFmtId="0" xfId="0" applyFont="1" applyBorder="1" applyAlignment="1" quotePrefix="1">
      <alignment horizontal="left" vertical="top"/>
    </xf>
    <xf fontId="58" fillId="0" borderId="0" numFmtId="0" xfId="14677" applyFont="1"/>
    <xf fontId="58" fillId="0" borderId="0" numFmtId="0" xfId="14677" applyFont="1" applyAlignment="1">
      <alignment horizontal="left" vertical="top" wrapText="1"/>
    </xf>
    <xf fontId="58" fillId="58" borderId="0" numFmtId="0" xfId="14677" applyFont="1" applyFill="1" applyAlignment="1">
      <alignment horizontal="center" vertical="center"/>
    </xf>
    <xf fontId="59" fillId="53" borderId="34" numFmtId="0" xfId="14677" applyFont="1" applyFill="1" applyBorder="1" applyAlignment="1">
      <alignment horizontal="center" vertical="center" wrapText="1"/>
    </xf>
    <xf fontId="59" fillId="53" borderId="35" numFmtId="0" xfId="14677" applyFont="1" applyFill="1" applyBorder="1" applyAlignment="1">
      <alignment horizontal="center" vertical="center" wrapText="1"/>
    </xf>
    <xf fontId="59" fillId="53" borderId="36" numFmtId="0" xfId="14677" applyFont="1" applyFill="1" applyBorder="1" applyAlignment="1">
      <alignment horizontal="center" vertical="center" wrapText="1"/>
    </xf>
    <xf fontId="58" fillId="0" borderId="0" numFmtId="0" xfId="14677" applyFont="1" applyAlignment="1">
      <alignment horizontal="center" vertical="center" wrapText="1"/>
    </xf>
    <xf fontId="59" fillId="53" borderId="23" numFmtId="0" xfId="14677" applyFont="1" applyFill="1" applyBorder="1" applyAlignment="1">
      <alignment horizontal="center" vertical="center" wrapText="1"/>
    </xf>
    <xf fontId="59" fillId="53" borderId="22" numFmtId="0" xfId="14677" applyFont="1" applyFill="1" applyBorder="1" applyAlignment="1">
      <alignment horizontal="center" vertical="center" wrapText="1"/>
    </xf>
    <xf fontId="58" fillId="0" borderId="0" numFmtId="0" xfId="14680" applyFont="1"/>
    <xf fontId="58" fillId="0" borderId="0" numFmtId="0" xfId="0" applyFont="1" applyAlignment="1">
      <alignment horizontal="left" vertical="top"/>
    </xf>
    <xf fontId="0" fillId="0" borderId="0" numFmtId="0" xfId="0" applyAlignment="1">
      <alignment horizontal="left" vertical="top"/>
    </xf>
    <xf fontId="58" fillId="57" borderId="0" numFmtId="0" xfId="0" applyFont="1" applyFill="1" applyAlignment="1">
      <alignment horizontal="left" vertical="top"/>
    </xf>
    <xf fontId="62" fillId="57" borderId="0" numFmtId="0" xfId="0" applyFont="1" applyFill="1" applyAlignment="1">
      <alignment horizontal="left" vertical="top"/>
    </xf>
    <xf fontId="58" fillId="0" borderId="0" numFmtId="0" xfId="0" applyFont="1" applyAlignment="1">
      <alignment horizontal="left" vertical="top" wrapText="1"/>
    </xf>
    <xf fontId="62" fillId="0" borderId="0" numFmtId="0" xfId="0" applyFont="1" applyAlignment="1">
      <alignment horizontal="left" vertical="top"/>
    </xf>
    <xf fontId="63" fillId="0" borderId="0" numFmtId="0" xfId="0" applyFont="1" applyAlignment="1">
      <alignment horizontal="left" vertical="top"/>
    </xf>
    <xf fontId="2" fillId="0" borderId="0" numFmtId="0" xfId="14677" applyFont="1"/>
    <xf fontId="2" fillId="58" borderId="0" numFmtId="0" xfId="14677" applyFont="1" applyFill="1" applyAlignment="1">
      <alignment horizontal="center" vertical="center"/>
    </xf>
    <xf fontId="59" fillId="53" borderId="28" numFmtId="0" xfId="14677" applyFont="1" applyFill="1" applyBorder="1" applyAlignment="1">
      <alignment horizontal="center" vertical="center" wrapText="1"/>
    </xf>
    <xf fontId="49" fillId="0" borderId="0" numFmtId="0" xfId="0" applyFont="1" applyAlignment="1">
      <alignment horizontal="left" vertical="top"/>
    </xf>
    <xf fontId="2" fillId="0" borderId="0" numFmtId="0" xfId="14677" applyFont="1" applyAlignment="1">
      <alignment horizontal="left" vertical="top"/>
    </xf>
    <xf fontId="0" fillId="0" borderId="19" numFmtId="0" xfId="0" applyBorder="1"/>
    <xf fontId="64" fillId="0" borderId="0" numFmtId="0" xfId="14677" applyFont="1" applyAlignment="1">
      <alignment horizontal="left" vertical="top"/>
    </xf>
    <xf fontId="58" fillId="0" borderId="25" numFmtId="0" xfId="14677" applyFont="1" applyBorder="1"/>
    <xf fontId="58" fillId="0" borderId="25" numFmtId="0" xfId="0" applyFont="1" applyBorder="1" applyAlignment="1">
      <alignment horizontal="left" vertical="top" wrapText="1"/>
    </xf>
    <xf fontId="58" fillId="0" borderId="25" numFmtId="0" xfId="0" applyFont="1" applyBorder="1" applyAlignment="1">
      <alignment horizontal="left" vertical="top"/>
    </xf>
    <xf fontId="58" fillId="0" borderId="25" numFmtId="0" xfId="14680" applyFont="1" applyBorder="1"/>
    <xf fontId="58" fillId="0" borderId="35" numFmtId="0" xfId="0" applyFont="1" applyBorder="1" applyAlignment="1">
      <alignment horizontal="left" vertical="top" wrapText="1"/>
    </xf>
    <xf fontId="58" fillId="0" borderId="0" numFmtId="0" xfId="14680" applyFont="1" applyAlignment="1">
      <alignment horizontal="left" vertical="top" wrapText="1"/>
    </xf>
    <xf fontId="58" fillId="0" borderId="0" numFmtId="0" xfId="13188" applyFont="1" applyAlignment="1">
      <alignment horizontal="left" vertical="top" wrapText="1"/>
    </xf>
    <xf fontId="65" fillId="0" borderId="19" numFmtId="0" xfId="0" applyFont="1" applyBorder="1" applyAlignment="1">
      <alignment horizontal="center" vertical="top" wrapText="1"/>
    </xf>
    <xf fontId="65" fillId="0" borderId="19" numFmtId="0" xfId="0" applyFont="1" applyBorder="1" applyAlignment="1">
      <alignment horizontal="center" vertical="top"/>
    </xf>
    <xf fontId="65" fillId="0" borderId="19" numFmtId="0" xfId="0" applyFont="1" applyBorder="1" applyAlignment="1">
      <alignment horizontal="center"/>
    </xf>
    <xf fontId="60" fillId="0" borderId="0" numFmtId="0" xfId="0" applyFont="1"/>
    <xf fontId="60" fillId="0" borderId="19" numFmtId="0" xfId="0" applyFont="1" applyBorder="1" applyAlignment="1">
      <alignment horizontal="left" vertical="center"/>
    </xf>
    <xf fontId="60" fillId="0" borderId="19" numFmtId="0" xfId="0" applyFont="1" applyBorder="1" applyAlignment="1">
      <alignment horizontal="left" vertical="top"/>
    </xf>
    <xf fontId="66" fillId="0" borderId="19" numFmtId="0" xfId="0" applyFont="1" applyBorder="1" applyAlignment="1">
      <alignment vertical="center" wrapText="1"/>
    </xf>
    <xf fontId="60" fillId="0" borderId="19" numFmtId="0" xfId="0" applyFont="1" applyBorder="1" applyAlignment="1">
      <alignment horizontal="center" vertical="center"/>
    </xf>
    <xf fontId="59" fillId="53" borderId="19" numFmtId="0" xfId="14677" applyFont="1" applyFill="1" applyBorder="1" applyAlignment="1">
      <alignment horizontal="center" vertical="center" wrapText="1"/>
    </xf>
    <xf fontId="59" fillId="53" borderId="19" numFmtId="0" xfId="14677" applyFont="1" applyFill="1" applyBorder="1" applyAlignment="1">
      <alignment horizontal="left" vertical="top" wrapText="1"/>
    </xf>
    <xf fontId="35" fillId="53" borderId="19" numFmtId="0" xfId="0" applyFont="1" applyFill="1" applyBorder="1"/>
    <xf fontId="60" fillId="57" borderId="19" numFmtId="0" xfId="0" applyFont="1" applyFill="1" applyBorder="1" applyAlignment="1">
      <alignment horizontal="left" vertical="top"/>
    </xf>
    <xf fontId="58" fillId="0" borderId="0" numFmtId="0" xfId="0" applyFont="1" applyProtection="1">
      <protection locked="0"/>
    </xf>
    <xf fontId="58" fillId="0" borderId="0" numFmtId="0" xfId="0" applyFont="1" applyAlignment="1" applyProtection="1">
      <alignment wrapText="1"/>
      <protection locked="0"/>
    </xf>
    <xf fontId="58" fillId="0" borderId="0" numFmtId="0" xfId="0" applyFont="1" applyAlignment="1" applyProtection="1">
      <alignment vertical="center"/>
      <protection locked="0"/>
    </xf>
    <xf fontId="58" fillId="56" borderId="19" numFmtId="0" xfId="0" applyFont="1" applyFill="1" applyBorder="1" applyAlignment="1" applyProtection="1">
      <alignment horizontal="center" vertical="center"/>
      <protection locked="0"/>
    </xf>
    <xf fontId="58" fillId="56" borderId="19" numFmtId="0" xfId="0" applyFont="1" applyFill="1" applyBorder="1" applyAlignment="1" applyProtection="1">
      <alignment horizontal="center" vertical="center" wrapText="1"/>
      <protection locked="0"/>
    </xf>
    <xf fontId="58" fillId="56" borderId="23" numFmtId="0" xfId="0" applyFont="1" applyFill="1" applyBorder="1" applyAlignment="1" applyProtection="1">
      <alignment horizontal="center" vertical="center" wrapText="1"/>
      <protection locked="0"/>
    </xf>
    <xf fontId="58" fillId="56" borderId="23" numFmtId="0" xfId="0" applyFont="1" applyFill="1" applyBorder="1" applyAlignment="1" applyProtection="1">
      <alignment horizontal="center" vertical="center"/>
      <protection locked="0"/>
    </xf>
    <xf fontId="67" fillId="0" borderId="19" numFmtId="0" xfId="0" applyFont="1" applyBorder="1" applyAlignment="1" applyProtection="1">
      <alignment wrapText="1"/>
      <protection locked="0"/>
    </xf>
    <xf fontId="58" fillId="0" borderId="19" numFmtId="0" xfId="0" applyFont="1" applyBorder="1" applyProtection="1">
      <protection locked="0"/>
    </xf>
    <xf fontId="68" fillId="0" borderId="19" numFmtId="0" xfId="0" applyFont="1" applyBorder="1" applyAlignment="1" applyProtection="1">
      <alignment wrapText="1"/>
      <protection locked="0"/>
    </xf>
    <xf fontId="62" fillId="0" borderId="0" numFmtId="0" xfId="0" applyFont="1" applyProtection="1">
      <protection locked="0"/>
    </xf>
    <xf fontId="67" fillId="0" borderId="22" numFmtId="0" xfId="0" applyFont="1" applyBorder="1" applyAlignment="1" applyProtection="1">
      <alignment wrapText="1"/>
      <protection locked="0"/>
    </xf>
    <xf fontId="67" fillId="0" borderId="22" numFmtId="0" xfId="0" applyFont="1" applyBorder="1" applyAlignment="1" applyProtection="1">
      <alignment horizontal="left" vertical="top" wrapText="1"/>
      <protection locked="0"/>
    </xf>
    <xf fontId="58" fillId="0" borderId="19" numFmtId="14" xfId="0" applyNumberFormat="1" applyFont="1" applyBorder="1" applyProtection="1">
      <protection locked="0"/>
    </xf>
    <xf fontId="67" fillId="0" borderId="19" numFmtId="0" xfId="0" applyFont="1" applyBorder="1" applyAlignment="1" applyProtection="1">
      <alignment horizontal="left" vertical="top" wrapText="1"/>
      <protection locked="0"/>
    </xf>
    <xf fontId="67" fillId="0" borderId="22" numFmtId="0" xfId="0" applyFont="1" applyBorder="1" applyAlignment="1" applyProtection="1" quotePrefix="1">
      <alignment horizontal="left" vertical="top" wrapText="1"/>
      <protection locked="0"/>
    </xf>
    <xf fontId="67" fillId="0" borderId="19" numFmtId="0" xfId="0" applyFont="1" applyBorder="1" applyAlignment="1" applyProtection="1">
      <alignment vertical="top" wrapText="1"/>
      <protection locked="0"/>
    </xf>
    <xf fontId="67" fillId="0" borderId="22" numFmtId="0" xfId="0" applyFont="1" applyBorder="1" applyAlignment="1" applyProtection="1" quotePrefix="1">
      <alignment wrapText="1"/>
      <protection locked="0"/>
    </xf>
    <xf fontId="67" fillId="0" borderId="22" numFmtId="0" xfId="0" applyFont="1" applyBorder="1" applyAlignment="1" applyProtection="1">
      <alignment vertical="top" wrapText="1"/>
      <protection locked="0"/>
    </xf>
    <xf fontId="58" fillId="0" borderId="22" numFmtId="14" xfId="0" applyNumberFormat="1" applyFont="1" applyBorder="1" applyProtection="1">
      <protection locked="0"/>
    </xf>
    <xf fontId="58" fillId="0" borderId="22" numFmtId="0" xfId="0" applyFont="1" applyBorder="1" applyProtection="1">
      <protection locked="0"/>
    </xf>
    <xf fontId="67" fillId="0" borderId="22" numFmtId="0" xfId="0" applyFont="1" applyBorder="1" applyAlignment="1" applyProtection="1" quotePrefix="1">
      <alignment vertical="top" wrapText="1"/>
      <protection locked="0"/>
    </xf>
    <xf fontId="11" fillId="59" borderId="37" numFmtId="0" xfId="0" applyFont="1" applyFill="1" applyBorder="1"/>
    <xf fontId="0" fillId="53" borderId="38" numFmtId="0" xfId="0" applyFill="1" applyBorder="1" applyAlignment="1">
      <alignment horizontal="left"/>
    </xf>
    <xf fontId="0" fillId="0" borderId="38" numFmtId="0" xfId="0" applyBorder="1"/>
  </cellXfs>
  <cellStyles count="59808">
    <cellStyle name="_12-8" xfId="1"/>
    <cellStyle name="_344_4_26" xfId="2"/>
    <cellStyle name="_344_4_37" xfId="3"/>
    <cellStyle name="_344_4_38" xfId="4"/>
    <cellStyle name="_Раздел 12" xfId="5"/>
    <cellStyle name="_Таблица для УРФ" xfId="6"/>
    <cellStyle name="_Таблица для УРФ_fMSFO" xfId="7"/>
    <cellStyle name="_Таблица для УРФ_form_07-5043" xfId="8"/>
    <cellStyle name="_Таблица для УРФ_tab3" xfId="9"/>
    <cellStyle name="_Таблица для УРФ_tab4" xfId="10"/>
    <cellStyle name="_Таблица для УРФ_tab5" xfId="11"/>
    <cellStyle name="_Таблица для УРФ_tab6" xfId="12"/>
    <cellStyle name="_Таблица для УРФ_tab7" xfId="13"/>
    <cellStyle name="_Таблица для УРФ_Книга2" xfId="14"/>
    <cellStyle name="_Таблица для УРФ_отчет по труду" xfId="15"/>
    <cellStyle name="_Таблица для УРФ_Страхование 11 6" xfId="16"/>
    <cellStyle name="_Таблица для УРФ_Форма 7.43 (март 2009)" xfId="17"/>
    <cellStyle name="_ф.7.79" xfId="18"/>
    <cellStyle name="_ф.7.79_fMSFO" xfId="19"/>
    <cellStyle name="_ф.7.79_form_07-5043" xfId="20"/>
    <cellStyle name="_ф.7.79_tab3" xfId="21"/>
    <cellStyle name="_ф.7.79_tab4" xfId="22"/>
    <cellStyle name="_ф.7.79_tab5" xfId="23"/>
    <cellStyle name="_ф.7.79_tab6" xfId="24"/>
    <cellStyle name="_ф.7.79_tab7" xfId="25"/>
    <cellStyle name="_ф.7.79_Книга2" xfId="26"/>
    <cellStyle name="_ф.7.79_отчет по труду" xfId="27"/>
    <cellStyle name="_ф.7.79_Страхование 11 6" xfId="28"/>
    <cellStyle name="_ф.7.79_Форма 7 30 (3)" xfId="29"/>
    <cellStyle name="_ф.7.79_Форма 7.43 (март 2009)" xfId="30"/>
    <cellStyle name="_ф.7.797.807.817.82" xfId="31"/>
    <cellStyle name="_ф.7.797.807.817.82_fMSFO" xfId="32"/>
    <cellStyle name="_ф.7.797.807.817.82_form_07-5043" xfId="33"/>
    <cellStyle name="_ф.7.797.807.817.82_tab3" xfId="34"/>
    <cellStyle name="_ф.7.797.807.817.82_tab4" xfId="35"/>
    <cellStyle name="_ф.7.797.807.817.82_tab5" xfId="36"/>
    <cellStyle name="_ф.7.797.807.817.82_tab6" xfId="37"/>
    <cellStyle name="_ф.7.797.807.817.82_tab7" xfId="38"/>
    <cellStyle name="_ф.7.797.807.817.82_Книга2" xfId="39"/>
    <cellStyle name="_ф.7.797.807.817.82_отчет по труду" xfId="40"/>
    <cellStyle name="_ф.7.797.807.817.82_Страхование 11 6" xfId="41"/>
    <cellStyle name="_ф.7.797.807.817.82_Форма 7 30 (3)" xfId="42"/>
    <cellStyle name="_ф.7.797.807.817.82_Форма 7.43 (март 2009)" xfId="43"/>
    <cellStyle name="_Формы для 7 стандарта 9" xfId="44"/>
    <cellStyle name="_Формы для 7 стандарта 9_344_4_34" xfId="45"/>
    <cellStyle name="_Формы для 7 стандарта 9_344_4_36" xfId="46"/>
    <cellStyle name="_Формы для 7 стандарта 9_fMSFO" xfId="47"/>
    <cellStyle name="_Формы для 7 стандарта 9_form_07-5043" xfId="48"/>
    <cellStyle name="_Формы для 7 стандарта 9_tab3" xfId="49"/>
    <cellStyle name="_Формы для 7 стандарта 9_tab4" xfId="50"/>
    <cellStyle name="_Формы для 7 стандарта 9_tab5" xfId="51"/>
    <cellStyle name="_Формы для 7 стандарта 9_tab6" xfId="52"/>
    <cellStyle name="_Формы для 7 стандарта 9_tab7" xfId="53"/>
    <cellStyle name="_Формы для 7 стандарта 9_Книга2" xfId="54"/>
    <cellStyle name="_Формы для 7 стандарта 9_Макеты формы на 2009" xfId="55"/>
    <cellStyle name="_Формы для 7 стандарта 9_Макеты формы на 2010 печать А3" xfId="56"/>
    <cellStyle name="_Формы для 7 стандарта 9_отчет по труду" xfId="57"/>
    <cellStyle name="_Шаблон 01.07.08" xfId="58"/>
    <cellStyle name="_Шаблон01-12-07" xfId="59"/>
    <cellStyle name="20% - Accent1" xfId="60"/>
    <cellStyle name="20% - Accent1 2" xfId="61"/>
    <cellStyle name="20% - Accent1 3" xfId="62"/>
    <cellStyle name="20% - Accent2" xfId="63"/>
    <cellStyle name="20% - Accent2 2" xfId="64"/>
    <cellStyle name="20% - Accent2 3" xfId="65"/>
    <cellStyle name="20% - Accent3" xfId="66"/>
    <cellStyle name="20% - Accent3 2" xfId="67"/>
    <cellStyle name="20% - Accent3 3" xfId="68"/>
    <cellStyle name="20% - Accent4" xfId="69"/>
    <cellStyle name="20% - Accent4 2" xfId="70"/>
    <cellStyle name="20% - Accent4 3" xfId="71"/>
    <cellStyle name="20% - Accent5" xfId="72"/>
    <cellStyle name="20% - Accent5 2" xfId="73"/>
    <cellStyle name="20% - Accent5 3" xfId="74"/>
    <cellStyle name="20% - Accent6" xfId="75"/>
    <cellStyle name="20% - Accent6 2" xfId="76"/>
    <cellStyle name="20% - Accent6 3" xfId="77"/>
    <cellStyle name="20% - Акцент1 2" xfId="78"/>
    <cellStyle name="20% - Акцент1 2 2" xfId="79"/>
    <cellStyle name="20% - Акцент1 3" xfId="80"/>
    <cellStyle name="20% - Акцент2 2" xfId="81"/>
    <cellStyle name="20% - Акцент2 2 2" xfId="82"/>
    <cellStyle name="20% - Акцент2 3" xfId="83"/>
    <cellStyle name="20% - Акцент3 2" xfId="84"/>
    <cellStyle name="20% - Акцент3 2 2" xfId="85"/>
    <cellStyle name="20% - Акцент3 3" xfId="86"/>
    <cellStyle name="20% - Акцент4 2" xfId="87"/>
    <cellStyle name="20% - Акцент4 2 2" xfId="88"/>
    <cellStyle name="20% - Акцент4 3" xfId="89"/>
    <cellStyle name="20% - Акцент5 2" xfId="90"/>
    <cellStyle name="20% - Акцент5 2 2" xfId="91"/>
    <cellStyle name="20% - Акцент5 3" xfId="92"/>
    <cellStyle name="20% - Акцент6 2" xfId="93"/>
    <cellStyle name="20% - Акцент6 2 2" xfId="94"/>
    <cellStyle name="20% - Акцент6 3" xfId="95"/>
    <cellStyle name="40% - Accent1" xfId="96"/>
    <cellStyle name="40% - Accent1 2" xfId="97"/>
    <cellStyle name="40% - Accent1 3" xfId="98"/>
    <cellStyle name="40% - Accent2" xfId="99"/>
    <cellStyle name="40% - Accent2 2" xfId="100"/>
    <cellStyle name="40% - Accent2 3" xfId="101"/>
    <cellStyle name="40% - Accent3" xfId="102"/>
    <cellStyle name="40% - Accent3 2" xfId="103"/>
    <cellStyle name="40% - Accent3 3" xfId="104"/>
    <cellStyle name="40% - Accent4" xfId="105"/>
    <cellStyle name="40% - Accent4 2" xfId="106"/>
    <cellStyle name="40% - Accent4 3" xfId="107"/>
    <cellStyle name="40% - Accent5" xfId="108"/>
    <cellStyle name="40% - Accent5 2" xfId="109"/>
    <cellStyle name="40% - Accent5 3" xfId="110"/>
    <cellStyle name="40% - Accent6" xfId="111"/>
    <cellStyle name="40% - Accent6 2" xfId="112"/>
    <cellStyle name="40% - Accent6 3" xfId="113"/>
    <cellStyle name="40% - Акцент1 2" xfId="114"/>
    <cellStyle name="40% - Акцент1 2 2" xfId="115"/>
    <cellStyle name="40% - Акцент1 3" xfId="116"/>
    <cellStyle name="40% - Акцент2 2" xfId="117"/>
    <cellStyle name="40% - Акцент2 2 2" xfId="118"/>
    <cellStyle name="40% - Акцент2 3" xfId="119"/>
    <cellStyle name="40% - Акцент3 2" xfId="120"/>
    <cellStyle name="40% - Акцент3 2 2" xfId="121"/>
    <cellStyle name="40% - Акцент3 3" xfId="122"/>
    <cellStyle name="40% - Акцент4 2" xfId="123"/>
    <cellStyle name="40% - Акцент4 2 2" xfId="124"/>
    <cellStyle name="40% - Акцент4 3" xfId="125"/>
    <cellStyle name="40% - Акцент5 2" xfId="126"/>
    <cellStyle name="40% - Акцент5 2 2" xfId="127"/>
    <cellStyle name="40% - Акцент5 3" xfId="128"/>
    <cellStyle name="40% - Акцент6 2" xfId="129"/>
    <cellStyle name="40% - Акцент6 2 2" xfId="130"/>
    <cellStyle name="40% - Акцент6 3" xfId="131"/>
    <cellStyle name="60% - Accent1" xfId="132"/>
    <cellStyle name="60% - Accent1 2" xfId="133"/>
    <cellStyle name="60% - Accent1 3" xfId="134"/>
    <cellStyle name="60% - Accent2" xfId="135"/>
    <cellStyle name="60% - Accent2 2" xfId="136"/>
    <cellStyle name="60% - Accent2 3" xfId="137"/>
    <cellStyle name="60% - Accent3" xfId="138"/>
    <cellStyle name="60% - Accent3 2" xfId="139"/>
    <cellStyle name="60% - Accent3 3" xfId="140"/>
    <cellStyle name="60% - Accent4" xfId="141"/>
    <cellStyle name="60% - Accent4 2" xfId="142"/>
    <cellStyle name="60% - Accent4 3" xfId="143"/>
    <cellStyle name="60% - Accent5" xfId="144"/>
    <cellStyle name="60% - Accent5 2" xfId="145"/>
    <cellStyle name="60% - Accent5 3" xfId="146"/>
    <cellStyle name="60% - Accent6" xfId="147"/>
    <cellStyle name="60% - Accent6 2" xfId="148"/>
    <cellStyle name="60% - Accent6 3" xfId="149"/>
    <cellStyle name="60% - Акцент1 2" xfId="150"/>
    <cellStyle name="60% - Акцент1 3" xfId="151"/>
    <cellStyle name="60% - Акцент2 2" xfId="152"/>
    <cellStyle name="60% - Акцент2 3" xfId="153"/>
    <cellStyle name="60% - Акцент3 2" xfId="154"/>
    <cellStyle name="60% - Акцент3 3" xfId="155"/>
    <cellStyle name="60% - Акцент4 2" xfId="156"/>
    <cellStyle name="60% - Акцент4 3" xfId="157"/>
    <cellStyle name="60% - Акцент5 2" xfId="158"/>
    <cellStyle name="60% - Акцент5 3" xfId="159"/>
    <cellStyle name="60% - Акцент6 2" xfId="160"/>
    <cellStyle name="60% - Акцент6 3" xfId="161"/>
    <cellStyle name="Accent1" xfId="162"/>
    <cellStyle name="Accent1 2" xfId="163"/>
    <cellStyle name="Accent1 3" xfId="164"/>
    <cellStyle name="Accent2" xfId="165"/>
    <cellStyle name="Accent2 2" xfId="166"/>
    <cellStyle name="Accent2 3" xfId="167"/>
    <cellStyle name="Accent3" xfId="168"/>
    <cellStyle name="Accent3 2" xfId="169"/>
    <cellStyle name="Accent3 3" xfId="170"/>
    <cellStyle name="Accent4" xfId="171"/>
    <cellStyle name="Accent4 2" xfId="172"/>
    <cellStyle name="Accent4 3" xfId="173"/>
    <cellStyle name="Accent5" xfId="174"/>
    <cellStyle name="Accent5 2" xfId="175"/>
    <cellStyle name="Accent5 3" xfId="176"/>
    <cellStyle name="Accent6" xfId="177"/>
    <cellStyle name="Accent6 2" xfId="178"/>
    <cellStyle name="Accent6 3" xfId="179"/>
    <cellStyle name="Bad" xfId="180"/>
    <cellStyle name="Bad 2" xfId="181"/>
    <cellStyle name="Bad 3" xfId="182"/>
    <cellStyle name="Calculation" xfId="183"/>
    <cellStyle name="Calculation 2" xfId="184"/>
    <cellStyle name="Calculation 3" xfId="185"/>
    <cellStyle name="Check Cell" xfId="186"/>
    <cellStyle name="Check Cell 2" xfId="187"/>
    <cellStyle name="Check Cell 3" xfId="188"/>
    <cellStyle name="Explanatory Text" xfId="189"/>
    <cellStyle name="Explanatory Text 2" xfId="190"/>
    <cellStyle name="Explanatory Text 3" xfId="191"/>
    <cellStyle name="Good" xfId="192"/>
    <cellStyle name="Good 2" xfId="193"/>
    <cellStyle name="Good 3" xfId="194"/>
    <cellStyle name="Heading 1" xfId="195"/>
    <cellStyle name="Heading 1 2" xfId="196"/>
    <cellStyle name="Heading 1 3" xfId="197"/>
    <cellStyle name="Heading 2" xfId="198"/>
    <cellStyle name="Heading 2 2" xfId="199"/>
    <cellStyle name="Heading 2 3" xfId="200"/>
    <cellStyle name="Heading 3" xfId="201"/>
    <cellStyle name="Heading 3 2" xfId="202"/>
    <cellStyle name="Heading 3 3" xfId="203"/>
    <cellStyle name="Heading 4" xfId="204"/>
    <cellStyle name="Heading 4 2" xfId="205"/>
    <cellStyle name="Heading 4 3" xfId="206"/>
    <cellStyle name="Iau?iue_Aretniil odd. (doa.)" xfId="207"/>
    <cellStyle name="Input" xfId="208"/>
    <cellStyle name="Input 2" xfId="209"/>
    <cellStyle name="Input 3" xfId="210"/>
    <cellStyle name="Linked Cell" xfId="211"/>
    <cellStyle name="Linked Cell 2" xfId="212"/>
    <cellStyle name="Linked Cell 3" xfId="213"/>
    <cellStyle name="Money" xfId="214"/>
    <cellStyle name="Money 2" xfId="215"/>
    <cellStyle name="Neutral" xfId="216"/>
    <cellStyle name="Neutral 2" xfId="217"/>
    <cellStyle name="Neutral 3" xfId="218"/>
    <cellStyle name="Normal 2" xfId="219"/>
    <cellStyle name="Normal 2 2" xfId="220"/>
    <cellStyle name="Normal 3" xfId="221"/>
    <cellStyle name="Normal 3 2" xfId="222"/>
    <cellStyle name="Normal 3 2 2" xfId="223"/>
    <cellStyle name="Normal 3 2 2 2" xfId="224"/>
    <cellStyle name="Normal 3 2 2 3" xfId="225"/>
    <cellStyle name="Normal 3 2 2 4" xfId="226"/>
    <cellStyle name="Normal 3 2 3" xfId="227"/>
    <cellStyle name="Normal 3 2 3 2" xfId="228"/>
    <cellStyle name="Normal 3 2 3 3" xfId="229"/>
    <cellStyle name="Normal 3 2 4" xfId="230"/>
    <cellStyle name="Normal 3 2 4 2" xfId="231"/>
    <cellStyle name="Normal 3 2 4 3" xfId="232"/>
    <cellStyle name="Normal 3 2 5" xfId="233"/>
    <cellStyle name="Normal 3 2 6" xfId="234"/>
    <cellStyle name="Normal 3 2 7" xfId="235"/>
    <cellStyle name="Normal 3 3" xfId="236"/>
    <cellStyle name="Normal 3 3 2" xfId="237"/>
    <cellStyle name="Normal 3 3 3" xfId="238"/>
    <cellStyle name="Normal 3 3 4" xfId="239"/>
    <cellStyle name="Normal 3 4" xfId="240"/>
    <cellStyle name="Normal 3 4 2" xfId="241"/>
    <cellStyle name="Normal 3 4 3" xfId="242"/>
    <cellStyle name="Normal 3 5" xfId="243"/>
    <cellStyle name="Normal 3 5 2" xfId="244"/>
    <cellStyle name="Normal 3 5 3" xfId="245"/>
    <cellStyle name="Normal 3 6" xfId="246"/>
    <cellStyle name="Normal 3 7" xfId="247"/>
    <cellStyle name="Normal 3 8" xfId="248"/>
    <cellStyle name="Normal 4" xfId="249"/>
    <cellStyle name="Normal 4 2" xfId="250"/>
    <cellStyle name="Normal 4 3" xfId="251"/>
    <cellStyle name="Normal 5" xfId="252"/>
    <cellStyle name="Normal 6" xfId="253"/>
    <cellStyle name="Normal 6 2" xfId="254"/>
    <cellStyle name="Normal 6 3" xfId="255"/>
    <cellStyle name="Normal 7" xfId="256"/>
    <cellStyle name="Normal 8" xfId="257"/>
    <cellStyle name="Normal 9" xfId="258"/>
    <cellStyle name="Normal_DW_Pilot_STM_Agreement_Party_and_Product_00.02.00" xfId="259"/>
    <cellStyle name="Normal_DW_Pilot_STM_ss185206_00.00.00" xfId="260"/>
    <cellStyle name="Note" xfId="261"/>
    <cellStyle name="Note 2" xfId="262"/>
    <cellStyle name="Note 3" xfId="263"/>
    <cellStyle name="Output" xfId="264"/>
    <cellStyle name="Output 2" xfId="265"/>
    <cellStyle name="Output 3" xfId="266"/>
    <cellStyle name="S1" xfId="267"/>
    <cellStyle name="S2" xfId="268"/>
    <cellStyle name="S3" xfId="269"/>
    <cellStyle name="S4" xfId="270"/>
    <cellStyle name="S5" xfId="271"/>
    <cellStyle name="S6" xfId="272"/>
    <cellStyle name="Title" xfId="273"/>
    <cellStyle name="Title 2" xfId="274"/>
    <cellStyle name="Title 3" xfId="275"/>
    <cellStyle name="Total" xfId="276"/>
    <cellStyle name="Total 2" xfId="277"/>
    <cellStyle name="Total 3" xfId="278"/>
    <cellStyle name="Warning Text" xfId="279"/>
    <cellStyle name="Warning Text 2" xfId="280"/>
    <cellStyle name="Warning Text 3" xfId="281"/>
    <cellStyle name="Акцент1 2" xfId="282"/>
    <cellStyle name="Акцент1 3" xfId="283"/>
    <cellStyle name="Акцент2 2" xfId="284"/>
    <cellStyle name="Акцент2 3" xfId="285"/>
    <cellStyle name="Акцент3 2" xfId="286"/>
    <cellStyle name="Акцент3 3" xfId="287"/>
    <cellStyle name="Акцент4 2" xfId="288"/>
    <cellStyle name="Акцент4 3" xfId="289"/>
    <cellStyle name="Акцент5 2" xfId="290"/>
    <cellStyle name="Акцент5 3" xfId="291"/>
    <cellStyle name="Акцент6 2" xfId="292"/>
    <cellStyle name="Акцент6 3" xfId="293"/>
    <cellStyle name="Ввод  2" xfId="294"/>
    <cellStyle name="Ввод  3" xfId="295"/>
    <cellStyle name="Вывод 2" xfId="296"/>
    <cellStyle name="Вывод 3" xfId="297"/>
    <cellStyle name="Вычисление 2" xfId="298"/>
    <cellStyle name="Вычисление 3" xfId="299"/>
    <cellStyle name="Гиперссылка 2" xfId="300"/>
    <cellStyle name="Гиперссылка 2 2" xfId="301"/>
    <cellStyle name="Гиперссылка 3" xfId="302"/>
    <cellStyle name="Ђ_x0005_" xfId="303"/>
    <cellStyle name="Заголовок 1 2" xfId="304"/>
    <cellStyle name="Заголовок 1 3" xfId="305"/>
    <cellStyle name="Заголовок 2 2" xfId="306"/>
    <cellStyle name="Заголовок 2 3" xfId="307"/>
    <cellStyle name="Заголовок 3 2" xfId="308"/>
    <cellStyle name="Заголовок 3 3" xfId="309"/>
    <cellStyle name="Заголовок 4 2" xfId="310"/>
    <cellStyle name="Заголовок 4 3" xfId="311"/>
    <cellStyle name="Итог 2" xfId="312"/>
    <cellStyle name="Итог 3" xfId="313"/>
    <cellStyle name="Контрольная ячейка 2" xfId="314"/>
    <cellStyle name="Контрольная ячейка 3" xfId="315"/>
    <cellStyle name="Название 2" xfId="316"/>
    <cellStyle name="Название 3" xfId="317"/>
    <cellStyle name="Нейтральный 2" xfId="318"/>
    <cellStyle name="Нейтральный 3" xfId="319"/>
    <cellStyle name="Обычный" xfId="0" builtinId="0"/>
    <cellStyle name="Обычный 10" xfId="320"/>
    <cellStyle name="Обычный 10 10" xfId="321"/>
    <cellStyle name="Обычный 10 10 10" xfId="322"/>
    <cellStyle name="Обычный 10 10 2" xfId="323"/>
    <cellStyle name="Обычный 10 10 2 2" xfId="324"/>
    <cellStyle name="Обычный 10 10 2 2 2" xfId="325"/>
    <cellStyle name="Обычный 10 10 2 2 2 2" xfId="326"/>
    <cellStyle name="Обычный 10 10 2 2 2 2 2" xfId="327"/>
    <cellStyle name="Обычный 10 10 2 2 2 2 2 2" xfId="328"/>
    <cellStyle name="Обычный 10 10 2 2 2 2 2 3" xfId="329"/>
    <cellStyle name="Обычный 10 10 2 2 2 2 3" xfId="330"/>
    <cellStyle name="Обычный 10 10 2 2 2 2 3 2" xfId="331"/>
    <cellStyle name="Обычный 10 10 2 2 2 2 3 3" xfId="332"/>
    <cellStyle name="Обычный 10 10 2 2 2 2 4" xfId="333"/>
    <cellStyle name="Обычный 10 10 2 2 2 2 4 2" xfId="334"/>
    <cellStyle name="Обычный 10 10 2 2 2 2 5" xfId="335"/>
    <cellStyle name="Обычный 10 10 2 2 2 2 6" xfId="336"/>
    <cellStyle name="Обычный 10 10 2 2 2 3" xfId="337"/>
    <cellStyle name="Обычный 10 10 2 2 2 3 2" xfId="338"/>
    <cellStyle name="Обычный 10 10 2 2 2 3 3" xfId="339"/>
    <cellStyle name="Обычный 10 10 2 2 2 4" xfId="340"/>
    <cellStyle name="Обычный 10 10 2 2 2 4 2" xfId="341"/>
    <cellStyle name="Обычный 10 10 2 2 2 4 3" xfId="342"/>
    <cellStyle name="Обычный 10 10 2 2 2 5" xfId="343"/>
    <cellStyle name="Обычный 10 10 2 2 2 5 2" xfId="344"/>
    <cellStyle name="Обычный 10 10 2 2 2 6" xfId="345"/>
    <cellStyle name="Обычный 10 10 2 2 2 7" xfId="346"/>
    <cellStyle name="Обычный 10 10 2 2 3" xfId="347"/>
    <cellStyle name="Обычный 10 10 2 2 3 2" xfId="348"/>
    <cellStyle name="Обычный 10 10 2 2 3 2 2" xfId="349"/>
    <cellStyle name="Обычный 10 10 2 2 3 2 3" xfId="350"/>
    <cellStyle name="Обычный 10 10 2 2 3 3" xfId="351"/>
    <cellStyle name="Обычный 10 10 2 2 3 3 2" xfId="352"/>
    <cellStyle name="Обычный 10 10 2 2 3 3 3" xfId="353"/>
    <cellStyle name="Обычный 10 10 2 2 3 4" xfId="354"/>
    <cellStyle name="Обычный 10 10 2 2 3 4 2" xfId="355"/>
    <cellStyle name="Обычный 10 10 2 2 3 5" xfId="356"/>
    <cellStyle name="Обычный 10 10 2 2 3 6" xfId="357"/>
    <cellStyle name="Обычный 10 10 2 2 4" xfId="358"/>
    <cellStyle name="Обычный 10 10 2 2 4 2" xfId="359"/>
    <cellStyle name="Обычный 10 10 2 2 4 3" xfId="360"/>
    <cellStyle name="Обычный 10 10 2 2 5" xfId="361"/>
    <cellStyle name="Обычный 10 10 2 2 5 2" xfId="362"/>
    <cellStyle name="Обычный 10 10 2 2 5 3" xfId="363"/>
    <cellStyle name="Обычный 10 10 2 2 6" xfId="364"/>
    <cellStyle name="Обычный 10 10 2 2 6 2" xfId="365"/>
    <cellStyle name="Обычный 10 10 2 2 7" xfId="366"/>
    <cellStyle name="Обычный 10 10 2 2 8" xfId="367"/>
    <cellStyle name="Обычный 10 10 2 3" xfId="368"/>
    <cellStyle name="Обычный 10 10 2 3 2" xfId="369"/>
    <cellStyle name="Обычный 10 10 2 3 2 2" xfId="370"/>
    <cellStyle name="Обычный 10 10 2 3 2 2 2" xfId="371"/>
    <cellStyle name="Обычный 10 10 2 3 2 2 3" xfId="372"/>
    <cellStyle name="Обычный 10 10 2 3 2 3" xfId="373"/>
    <cellStyle name="Обычный 10 10 2 3 2 3 2" xfId="374"/>
    <cellStyle name="Обычный 10 10 2 3 2 3 3" xfId="375"/>
    <cellStyle name="Обычный 10 10 2 3 2 4" xfId="376"/>
    <cellStyle name="Обычный 10 10 2 3 2 4 2" xfId="377"/>
    <cellStyle name="Обычный 10 10 2 3 2 5" xfId="378"/>
    <cellStyle name="Обычный 10 10 2 3 2 6" xfId="379"/>
    <cellStyle name="Обычный 10 10 2 3 3" xfId="380"/>
    <cellStyle name="Обычный 10 10 2 3 3 2" xfId="381"/>
    <cellStyle name="Обычный 10 10 2 3 3 3" xfId="382"/>
    <cellStyle name="Обычный 10 10 2 3 4" xfId="383"/>
    <cellStyle name="Обычный 10 10 2 3 4 2" xfId="384"/>
    <cellStyle name="Обычный 10 10 2 3 4 3" xfId="385"/>
    <cellStyle name="Обычный 10 10 2 3 5" xfId="386"/>
    <cellStyle name="Обычный 10 10 2 3 5 2" xfId="387"/>
    <cellStyle name="Обычный 10 10 2 3 6" xfId="388"/>
    <cellStyle name="Обычный 10 10 2 3 7" xfId="389"/>
    <cellStyle name="Обычный 10 10 2 4" xfId="390"/>
    <cellStyle name="Обычный 10 10 2 4 2" xfId="391"/>
    <cellStyle name="Обычный 10 10 2 4 2 2" xfId="392"/>
    <cellStyle name="Обычный 10 10 2 4 2 3" xfId="393"/>
    <cellStyle name="Обычный 10 10 2 4 3" xfId="394"/>
    <cellStyle name="Обычный 10 10 2 4 3 2" xfId="395"/>
    <cellStyle name="Обычный 10 10 2 4 3 3" xfId="396"/>
    <cellStyle name="Обычный 10 10 2 4 4" xfId="397"/>
    <cellStyle name="Обычный 10 10 2 4 4 2" xfId="398"/>
    <cellStyle name="Обычный 10 10 2 4 5" xfId="399"/>
    <cellStyle name="Обычный 10 10 2 4 6" xfId="400"/>
    <cellStyle name="Обычный 10 10 2 5" xfId="401"/>
    <cellStyle name="Обычный 10 10 2 5 2" xfId="402"/>
    <cellStyle name="Обычный 10 10 2 5 3" xfId="403"/>
    <cellStyle name="Обычный 10 10 2 6" xfId="404"/>
    <cellStyle name="Обычный 10 10 2 6 2" xfId="405"/>
    <cellStyle name="Обычный 10 10 2 6 3" xfId="406"/>
    <cellStyle name="Обычный 10 10 2 7" xfId="407"/>
    <cellStyle name="Обычный 10 10 2 7 2" xfId="408"/>
    <cellStyle name="Обычный 10 10 2 8" xfId="409"/>
    <cellStyle name="Обычный 10 10 2 9" xfId="410"/>
    <cellStyle name="Обычный 10 10 3" xfId="411"/>
    <cellStyle name="Обычный 10 10 3 2" xfId="412"/>
    <cellStyle name="Обычный 10 10 3 2 2" xfId="413"/>
    <cellStyle name="Обычный 10 10 3 2 2 2" xfId="414"/>
    <cellStyle name="Обычный 10 10 3 2 2 2 2" xfId="415"/>
    <cellStyle name="Обычный 10 10 3 2 2 2 3" xfId="416"/>
    <cellStyle name="Обычный 10 10 3 2 2 3" xfId="417"/>
    <cellStyle name="Обычный 10 10 3 2 2 3 2" xfId="418"/>
    <cellStyle name="Обычный 10 10 3 2 2 3 3" xfId="419"/>
    <cellStyle name="Обычный 10 10 3 2 2 4" xfId="420"/>
    <cellStyle name="Обычный 10 10 3 2 2 4 2" xfId="421"/>
    <cellStyle name="Обычный 10 10 3 2 2 5" xfId="422"/>
    <cellStyle name="Обычный 10 10 3 2 2 6" xfId="423"/>
    <cellStyle name="Обычный 10 10 3 2 3" xfId="424"/>
    <cellStyle name="Обычный 10 10 3 2 3 2" xfId="425"/>
    <cellStyle name="Обычный 10 10 3 2 3 3" xfId="426"/>
    <cellStyle name="Обычный 10 10 3 2 4" xfId="427"/>
    <cellStyle name="Обычный 10 10 3 2 4 2" xfId="428"/>
    <cellStyle name="Обычный 10 10 3 2 4 3" xfId="429"/>
    <cellStyle name="Обычный 10 10 3 2 5" xfId="430"/>
    <cellStyle name="Обычный 10 10 3 2 5 2" xfId="431"/>
    <cellStyle name="Обычный 10 10 3 2 6" xfId="432"/>
    <cellStyle name="Обычный 10 10 3 2 7" xfId="433"/>
    <cellStyle name="Обычный 10 10 3 3" xfId="434"/>
    <cellStyle name="Обычный 10 10 3 3 2" xfId="435"/>
    <cellStyle name="Обычный 10 10 3 3 2 2" xfId="436"/>
    <cellStyle name="Обычный 10 10 3 3 2 3" xfId="437"/>
    <cellStyle name="Обычный 10 10 3 3 3" xfId="438"/>
    <cellStyle name="Обычный 10 10 3 3 3 2" xfId="439"/>
    <cellStyle name="Обычный 10 10 3 3 3 3" xfId="440"/>
    <cellStyle name="Обычный 10 10 3 3 4" xfId="441"/>
    <cellStyle name="Обычный 10 10 3 3 4 2" xfId="442"/>
    <cellStyle name="Обычный 10 10 3 3 5" xfId="443"/>
    <cellStyle name="Обычный 10 10 3 3 6" xfId="444"/>
    <cellStyle name="Обычный 10 10 3 4" xfId="445"/>
    <cellStyle name="Обычный 10 10 3 4 2" xfId="446"/>
    <cellStyle name="Обычный 10 10 3 4 3" xfId="447"/>
    <cellStyle name="Обычный 10 10 3 5" xfId="448"/>
    <cellStyle name="Обычный 10 10 3 5 2" xfId="449"/>
    <cellStyle name="Обычный 10 10 3 5 3" xfId="450"/>
    <cellStyle name="Обычный 10 10 3 6" xfId="451"/>
    <cellStyle name="Обычный 10 10 3 6 2" xfId="452"/>
    <cellStyle name="Обычный 10 10 3 7" xfId="453"/>
    <cellStyle name="Обычный 10 10 3 8" xfId="454"/>
    <cellStyle name="Обычный 10 10 4" xfId="455"/>
    <cellStyle name="Обычный 10 10 4 2" xfId="456"/>
    <cellStyle name="Обычный 10 10 4 2 2" xfId="457"/>
    <cellStyle name="Обычный 10 10 4 2 2 2" xfId="458"/>
    <cellStyle name="Обычный 10 10 4 2 2 3" xfId="459"/>
    <cellStyle name="Обычный 10 10 4 2 3" xfId="460"/>
    <cellStyle name="Обычный 10 10 4 2 3 2" xfId="461"/>
    <cellStyle name="Обычный 10 10 4 2 3 3" xfId="462"/>
    <cellStyle name="Обычный 10 10 4 2 4" xfId="463"/>
    <cellStyle name="Обычный 10 10 4 2 4 2" xfId="464"/>
    <cellStyle name="Обычный 10 10 4 2 5" xfId="465"/>
    <cellStyle name="Обычный 10 10 4 2 6" xfId="466"/>
    <cellStyle name="Обычный 10 10 4 3" xfId="467"/>
    <cellStyle name="Обычный 10 10 4 3 2" xfId="468"/>
    <cellStyle name="Обычный 10 10 4 3 3" xfId="469"/>
    <cellStyle name="Обычный 10 10 4 4" xfId="470"/>
    <cellStyle name="Обычный 10 10 4 4 2" xfId="471"/>
    <cellStyle name="Обычный 10 10 4 4 3" xfId="472"/>
    <cellStyle name="Обычный 10 10 4 5" xfId="473"/>
    <cellStyle name="Обычный 10 10 4 5 2" xfId="474"/>
    <cellStyle name="Обычный 10 10 4 6" xfId="475"/>
    <cellStyle name="Обычный 10 10 4 7" xfId="476"/>
    <cellStyle name="Обычный 10 10 5" xfId="477"/>
    <cellStyle name="Обычный 10 10 5 2" xfId="478"/>
    <cellStyle name="Обычный 10 10 5 2 2" xfId="479"/>
    <cellStyle name="Обычный 10 10 5 2 3" xfId="480"/>
    <cellStyle name="Обычный 10 10 5 3" xfId="481"/>
    <cellStyle name="Обычный 10 10 5 3 2" xfId="482"/>
    <cellStyle name="Обычный 10 10 5 3 3" xfId="483"/>
    <cellStyle name="Обычный 10 10 5 4" xfId="484"/>
    <cellStyle name="Обычный 10 10 5 4 2" xfId="485"/>
    <cellStyle name="Обычный 10 10 5 5" xfId="486"/>
    <cellStyle name="Обычный 10 10 5 6" xfId="487"/>
    <cellStyle name="Обычный 10 10 6" xfId="488"/>
    <cellStyle name="Обычный 10 10 6 2" xfId="489"/>
    <cellStyle name="Обычный 10 10 6 3" xfId="490"/>
    <cellStyle name="Обычный 10 10 7" xfId="491"/>
    <cellStyle name="Обычный 10 10 7 2" xfId="492"/>
    <cellStyle name="Обычный 10 10 7 3" xfId="493"/>
    <cellStyle name="Обычный 10 10 8" xfId="494"/>
    <cellStyle name="Обычный 10 10 8 2" xfId="495"/>
    <cellStyle name="Обычный 10 10 9" xfId="496"/>
    <cellStyle name="Обычный 10 11" xfId="497"/>
    <cellStyle name="Обычный 10 11 10" xfId="498"/>
    <cellStyle name="Обычный 10 11 2" xfId="499"/>
    <cellStyle name="Обычный 10 11 2 2" xfId="500"/>
    <cellStyle name="Обычный 10 11 2 2 2" xfId="501"/>
    <cellStyle name="Обычный 10 11 2 2 2 2" xfId="502"/>
    <cellStyle name="Обычный 10 11 2 2 2 2 2" xfId="503"/>
    <cellStyle name="Обычный 10 11 2 2 2 2 2 2" xfId="504"/>
    <cellStyle name="Обычный 10 11 2 2 2 2 2 3" xfId="505"/>
    <cellStyle name="Обычный 10 11 2 2 2 2 3" xfId="506"/>
    <cellStyle name="Обычный 10 11 2 2 2 2 3 2" xfId="507"/>
    <cellStyle name="Обычный 10 11 2 2 2 2 3 3" xfId="508"/>
    <cellStyle name="Обычный 10 11 2 2 2 2 4" xfId="509"/>
    <cellStyle name="Обычный 10 11 2 2 2 2 4 2" xfId="510"/>
    <cellStyle name="Обычный 10 11 2 2 2 2 5" xfId="511"/>
    <cellStyle name="Обычный 10 11 2 2 2 2 6" xfId="512"/>
    <cellStyle name="Обычный 10 11 2 2 2 3" xfId="513"/>
    <cellStyle name="Обычный 10 11 2 2 2 3 2" xfId="514"/>
    <cellStyle name="Обычный 10 11 2 2 2 3 3" xfId="515"/>
    <cellStyle name="Обычный 10 11 2 2 2 4" xfId="516"/>
    <cellStyle name="Обычный 10 11 2 2 2 4 2" xfId="517"/>
    <cellStyle name="Обычный 10 11 2 2 2 4 3" xfId="518"/>
    <cellStyle name="Обычный 10 11 2 2 2 5" xfId="519"/>
    <cellStyle name="Обычный 10 11 2 2 2 5 2" xfId="520"/>
    <cellStyle name="Обычный 10 11 2 2 2 6" xfId="521"/>
    <cellStyle name="Обычный 10 11 2 2 2 7" xfId="522"/>
    <cellStyle name="Обычный 10 11 2 2 3" xfId="523"/>
    <cellStyle name="Обычный 10 11 2 2 3 2" xfId="524"/>
    <cellStyle name="Обычный 10 11 2 2 3 2 2" xfId="525"/>
    <cellStyle name="Обычный 10 11 2 2 3 2 3" xfId="526"/>
    <cellStyle name="Обычный 10 11 2 2 3 3" xfId="527"/>
    <cellStyle name="Обычный 10 11 2 2 3 3 2" xfId="528"/>
    <cellStyle name="Обычный 10 11 2 2 3 3 3" xfId="529"/>
    <cellStyle name="Обычный 10 11 2 2 3 4" xfId="530"/>
    <cellStyle name="Обычный 10 11 2 2 3 4 2" xfId="531"/>
    <cellStyle name="Обычный 10 11 2 2 3 5" xfId="532"/>
    <cellStyle name="Обычный 10 11 2 2 3 6" xfId="533"/>
    <cellStyle name="Обычный 10 11 2 2 4" xfId="534"/>
    <cellStyle name="Обычный 10 11 2 2 4 2" xfId="535"/>
    <cellStyle name="Обычный 10 11 2 2 4 3" xfId="536"/>
    <cellStyle name="Обычный 10 11 2 2 5" xfId="537"/>
    <cellStyle name="Обычный 10 11 2 2 5 2" xfId="538"/>
    <cellStyle name="Обычный 10 11 2 2 5 3" xfId="539"/>
    <cellStyle name="Обычный 10 11 2 2 6" xfId="540"/>
    <cellStyle name="Обычный 10 11 2 2 6 2" xfId="541"/>
    <cellStyle name="Обычный 10 11 2 2 7" xfId="542"/>
    <cellStyle name="Обычный 10 11 2 2 8" xfId="543"/>
    <cellStyle name="Обычный 10 11 2 3" xfId="544"/>
    <cellStyle name="Обычный 10 11 2 3 2" xfId="545"/>
    <cellStyle name="Обычный 10 11 2 3 2 2" xfId="546"/>
    <cellStyle name="Обычный 10 11 2 3 2 2 2" xfId="547"/>
    <cellStyle name="Обычный 10 11 2 3 2 2 3" xfId="548"/>
    <cellStyle name="Обычный 10 11 2 3 2 3" xfId="549"/>
    <cellStyle name="Обычный 10 11 2 3 2 3 2" xfId="550"/>
    <cellStyle name="Обычный 10 11 2 3 2 3 3" xfId="551"/>
    <cellStyle name="Обычный 10 11 2 3 2 4" xfId="552"/>
    <cellStyle name="Обычный 10 11 2 3 2 4 2" xfId="553"/>
    <cellStyle name="Обычный 10 11 2 3 2 5" xfId="554"/>
    <cellStyle name="Обычный 10 11 2 3 2 6" xfId="555"/>
    <cellStyle name="Обычный 10 11 2 3 3" xfId="556"/>
    <cellStyle name="Обычный 10 11 2 3 3 2" xfId="557"/>
    <cellStyle name="Обычный 10 11 2 3 3 3" xfId="558"/>
    <cellStyle name="Обычный 10 11 2 3 4" xfId="559"/>
    <cellStyle name="Обычный 10 11 2 3 4 2" xfId="560"/>
    <cellStyle name="Обычный 10 11 2 3 4 3" xfId="561"/>
    <cellStyle name="Обычный 10 11 2 3 5" xfId="562"/>
    <cellStyle name="Обычный 10 11 2 3 5 2" xfId="563"/>
    <cellStyle name="Обычный 10 11 2 3 6" xfId="564"/>
    <cellStyle name="Обычный 10 11 2 3 7" xfId="565"/>
    <cellStyle name="Обычный 10 11 2 4" xfId="566"/>
    <cellStyle name="Обычный 10 11 2 4 2" xfId="567"/>
    <cellStyle name="Обычный 10 11 2 4 2 2" xfId="568"/>
    <cellStyle name="Обычный 10 11 2 4 2 3" xfId="569"/>
    <cellStyle name="Обычный 10 11 2 4 3" xfId="570"/>
    <cellStyle name="Обычный 10 11 2 4 3 2" xfId="571"/>
    <cellStyle name="Обычный 10 11 2 4 3 3" xfId="572"/>
    <cellStyle name="Обычный 10 11 2 4 4" xfId="573"/>
    <cellStyle name="Обычный 10 11 2 4 4 2" xfId="574"/>
    <cellStyle name="Обычный 10 11 2 4 5" xfId="575"/>
    <cellStyle name="Обычный 10 11 2 4 6" xfId="576"/>
    <cellStyle name="Обычный 10 11 2 5" xfId="577"/>
    <cellStyle name="Обычный 10 11 2 5 2" xfId="578"/>
    <cellStyle name="Обычный 10 11 2 5 3" xfId="579"/>
    <cellStyle name="Обычный 10 11 2 6" xfId="580"/>
    <cellStyle name="Обычный 10 11 2 6 2" xfId="581"/>
    <cellStyle name="Обычный 10 11 2 6 3" xfId="582"/>
    <cellStyle name="Обычный 10 11 2 7" xfId="583"/>
    <cellStyle name="Обычный 10 11 2 7 2" xfId="584"/>
    <cellStyle name="Обычный 10 11 2 8" xfId="585"/>
    <cellStyle name="Обычный 10 11 2 9" xfId="586"/>
    <cellStyle name="Обычный 10 11 3" xfId="587"/>
    <cellStyle name="Обычный 10 11 3 2" xfId="588"/>
    <cellStyle name="Обычный 10 11 3 2 2" xfId="589"/>
    <cellStyle name="Обычный 10 11 3 2 2 2" xfId="590"/>
    <cellStyle name="Обычный 10 11 3 2 2 2 2" xfId="591"/>
    <cellStyle name="Обычный 10 11 3 2 2 2 3" xfId="592"/>
    <cellStyle name="Обычный 10 11 3 2 2 3" xfId="593"/>
    <cellStyle name="Обычный 10 11 3 2 2 3 2" xfId="594"/>
    <cellStyle name="Обычный 10 11 3 2 2 3 3" xfId="595"/>
    <cellStyle name="Обычный 10 11 3 2 2 4" xfId="596"/>
    <cellStyle name="Обычный 10 11 3 2 2 4 2" xfId="597"/>
    <cellStyle name="Обычный 10 11 3 2 2 5" xfId="598"/>
    <cellStyle name="Обычный 10 11 3 2 2 6" xfId="599"/>
    <cellStyle name="Обычный 10 11 3 2 3" xfId="600"/>
    <cellStyle name="Обычный 10 11 3 2 3 2" xfId="601"/>
    <cellStyle name="Обычный 10 11 3 2 3 3" xfId="602"/>
    <cellStyle name="Обычный 10 11 3 2 4" xfId="603"/>
    <cellStyle name="Обычный 10 11 3 2 4 2" xfId="604"/>
    <cellStyle name="Обычный 10 11 3 2 4 3" xfId="605"/>
    <cellStyle name="Обычный 10 11 3 2 5" xfId="606"/>
    <cellStyle name="Обычный 10 11 3 2 5 2" xfId="607"/>
    <cellStyle name="Обычный 10 11 3 2 6" xfId="608"/>
    <cellStyle name="Обычный 10 11 3 2 7" xfId="609"/>
    <cellStyle name="Обычный 10 11 3 3" xfId="610"/>
    <cellStyle name="Обычный 10 11 3 3 2" xfId="611"/>
    <cellStyle name="Обычный 10 11 3 3 2 2" xfId="612"/>
    <cellStyle name="Обычный 10 11 3 3 2 3" xfId="613"/>
    <cellStyle name="Обычный 10 11 3 3 3" xfId="614"/>
    <cellStyle name="Обычный 10 11 3 3 3 2" xfId="615"/>
    <cellStyle name="Обычный 10 11 3 3 3 3" xfId="616"/>
    <cellStyle name="Обычный 10 11 3 3 4" xfId="617"/>
    <cellStyle name="Обычный 10 11 3 3 4 2" xfId="618"/>
    <cellStyle name="Обычный 10 11 3 3 5" xfId="619"/>
    <cellStyle name="Обычный 10 11 3 3 6" xfId="620"/>
    <cellStyle name="Обычный 10 11 3 4" xfId="621"/>
    <cellStyle name="Обычный 10 11 3 4 2" xfId="622"/>
    <cellStyle name="Обычный 10 11 3 4 3" xfId="623"/>
    <cellStyle name="Обычный 10 11 3 5" xfId="624"/>
    <cellStyle name="Обычный 10 11 3 5 2" xfId="625"/>
    <cellStyle name="Обычный 10 11 3 5 3" xfId="626"/>
    <cellStyle name="Обычный 10 11 3 6" xfId="627"/>
    <cellStyle name="Обычный 10 11 3 6 2" xfId="628"/>
    <cellStyle name="Обычный 10 11 3 7" xfId="629"/>
    <cellStyle name="Обычный 10 11 3 8" xfId="630"/>
    <cellStyle name="Обычный 10 11 4" xfId="631"/>
    <cellStyle name="Обычный 10 11 4 2" xfId="632"/>
    <cellStyle name="Обычный 10 11 4 2 2" xfId="633"/>
    <cellStyle name="Обычный 10 11 4 2 2 2" xfId="634"/>
    <cellStyle name="Обычный 10 11 4 2 2 3" xfId="635"/>
    <cellStyle name="Обычный 10 11 4 2 3" xfId="636"/>
    <cellStyle name="Обычный 10 11 4 2 3 2" xfId="637"/>
    <cellStyle name="Обычный 10 11 4 2 3 3" xfId="638"/>
    <cellStyle name="Обычный 10 11 4 2 4" xfId="639"/>
    <cellStyle name="Обычный 10 11 4 2 4 2" xfId="640"/>
    <cellStyle name="Обычный 10 11 4 2 5" xfId="641"/>
    <cellStyle name="Обычный 10 11 4 2 6" xfId="642"/>
    <cellStyle name="Обычный 10 11 4 3" xfId="643"/>
    <cellStyle name="Обычный 10 11 4 3 2" xfId="644"/>
    <cellStyle name="Обычный 10 11 4 3 3" xfId="645"/>
    <cellStyle name="Обычный 10 11 4 4" xfId="646"/>
    <cellStyle name="Обычный 10 11 4 4 2" xfId="647"/>
    <cellStyle name="Обычный 10 11 4 4 3" xfId="648"/>
    <cellStyle name="Обычный 10 11 4 5" xfId="649"/>
    <cellStyle name="Обычный 10 11 4 5 2" xfId="650"/>
    <cellStyle name="Обычный 10 11 4 6" xfId="651"/>
    <cellStyle name="Обычный 10 11 4 7" xfId="652"/>
    <cellStyle name="Обычный 10 11 5" xfId="653"/>
    <cellStyle name="Обычный 10 11 5 2" xfId="654"/>
    <cellStyle name="Обычный 10 11 5 2 2" xfId="655"/>
    <cellStyle name="Обычный 10 11 5 2 3" xfId="656"/>
    <cellStyle name="Обычный 10 11 5 3" xfId="657"/>
    <cellStyle name="Обычный 10 11 5 3 2" xfId="658"/>
    <cellStyle name="Обычный 10 11 5 3 3" xfId="659"/>
    <cellStyle name="Обычный 10 11 5 4" xfId="660"/>
    <cellStyle name="Обычный 10 11 5 4 2" xfId="661"/>
    <cellStyle name="Обычный 10 11 5 5" xfId="662"/>
    <cellStyle name="Обычный 10 11 5 6" xfId="663"/>
    <cellStyle name="Обычный 10 11 6" xfId="664"/>
    <cellStyle name="Обычный 10 11 6 2" xfId="665"/>
    <cellStyle name="Обычный 10 11 6 3" xfId="666"/>
    <cellStyle name="Обычный 10 11 7" xfId="667"/>
    <cellStyle name="Обычный 10 11 7 2" xfId="668"/>
    <cellStyle name="Обычный 10 11 7 3" xfId="669"/>
    <cellStyle name="Обычный 10 11 8" xfId="670"/>
    <cellStyle name="Обычный 10 11 8 2" xfId="671"/>
    <cellStyle name="Обычный 10 11 9" xfId="672"/>
    <cellStyle name="Обычный 10 12" xfId="673"/>
    <cellStyle name="Обычный 10 12 10" xfId="674"/>
    <cellStyle name="Обычный 10 12 2" xfId="675"/>
    <cellStyle name="Обычный 10 12 2 2" xfId="676"/>
    <cellStyle name="Обычный 10 12 2 2 2" xfId="677"/>
    <cellStyle name="Обычный 10 12 2 2 2 2" xfId="678"/>
    <cellStyle name="Обычный 10 12 2 2 2 2 2" xfId="679"/>
    <cellStyle name="Обычный 10 12 2 2 2 2 2 2" xfId="680"/>
    <cellStyle name="Обычный 10 12 2 2 2 2 2 3" xfId="681"/>
    <cellStyle name="Обычный 10 12 2 2 2 2 3" xfId="682"/>
    <cellStyle name="Обычный 10 12 2 2 2 2 3 2" xfId="683"/>
    <cellStyle name="Обычный 10 12 2 2 2 2 3 3" xfId="684"/>
    <cellStyle name="Обычный 10 12 2 2 2 2 4" xfId="685"/>
    <cellStyle name="Обычный 10 12 2 2 2 2 4 2" xfId="686"/>
    <cellStyle name="Обычный 10 12 2 2 2 2 5" xfId="687"/>
    <cellStyle name="Обычный 10 12 2 2 2 2 6" xfId="688"/>
    <cellStyle name="Обычный 10 12 2 2 2 3" xfId="689"/>
    <cellStyle name="Обычный 10 12 2 2 2 3 2" xfId="690"/>
    <cellStyle name="Обычный 10 12 2 2 2 3 3" xfId="691"/>
    <cellStyle name="Обычный 10 12 2 2 2 4" xfId="692"/>
    <cellStyle name="Обычный 10 12 2 2 2 4 2" xfId="693"/>
    <cellStyle name="Обычный 10 12 2 2 2 4 3" xfId="694"/>
    <cellStyle name="Обычный 10 12 2 2 2 5" xfId="695"/>
    <cellStyle name="Обычный 10 12 2 2 2 5 2" xfId="696"/>
    <cellStyle name="Обычный 10 12 2 2 2 6" xfId="697"/>
    <cellStyle name="Обычный 10 12 2 2 2 7" xfId="698"/>
    <cellStyle name="Обычный 10 12 2 2 3" xfId="699"/>
    <cellStyle name="Обычный 10 12 2 2 3 2" xfId="700"/>
    <cellStyle name="Обычный 10 12 2 2 3 2 2" xfId="701"/>
    <cellStyle name="Обычный 10 12 2 2 3 2 3" xfId="702"/>
    <cellStyle name="Обычный 10 12 2 2 3 3" xfId="703"/>
    <cellStyle name="Обычный 10 12 2 2 3 3 2" xfId="704"/>
    <cellStyle name="Обычный 10 12 2 2 3 3 3" xfId="705"/>
    <cellStyle name="Обычный 10 12 2 2 3 4" xfId="706"/>
    <cellStyle name="Обычный 10 12 2 2 3 4 2" xfId="707"/>
    <cellStyle name="Обычный 10 12 2 2 3 5" xfId="708"/>
    <cellStyle name="Обычный 10 12 2 2 3 6" xfId="709"/>
    <cellStyle name="Обычный 10 12 2 2 4" xfId="710"/>
    <cellStyle name="Обычный 10 12 2 2 4 2" xfId="711"/>
    <cellStyle name="Обычный 10 12 2 2 4 3" xfId="712"/>
    <cellStyle name="Обычный 10 12 2 2 5" xfId="713"/>
    <cellStyle name="Обычный 10 12 2 2 5 2" xfId="714"/>
    <cellStyle name="Обычный 10 12 2 2 5 3" xfId="715"/>
    <cellStyle name="Обычный 10 12 2 2 6" xfId="716"/>
    <cellStyle name="Обычный 10 12 2 2 6 2" xfId="717"/>
    <cellStyle name="Обычный 10 12 2 2 7" xfId="718"/>
    <cellStyle name="Обычный 10 12 2 2 8" xfId="719"/>
    <cellStyle name="Обычный 10 12 2 3" xfId="720"/>
    <cellStyle name="Обычный 10 12 2 3 2" xfId="721"/>
    <cellStyle name="Обычный 10 12 2 3 2 2" xfId="722"/>
    <cellStyle name="Обычный 10 12 2 3 2 2 2" xfId="723"/>
    <cellStyle name="Обычный 10 12 2 3 2 2 3" xfId="724"/>
    <cellStyle name="Обычный 10 12 2 3 2 3" xfId="725"/>
    <cellStyle name="Обычный 10 12 2 3 2 3 2" xfId="726"/>
    <cellStyle name="Обычный 10 12 2 3 2 3 3" xfId="727"/>
    <cellStyle name="Обычный 10 12 2 3 2 4" xfId="728"/>
    <cellStyle name="Обычный 10 12 2 3 2 4 2" xfId="729"/>
    <cellStyle name="Обычный 10 12 2 3 2 5" xfId="730"/>
    <cellStyle name="Обычный 10 12 2 3 2 6" xfId="731"/>
    <cellStyle name="Обычный 10 12 2 3 3" xfId="732"/>
    <cellStyle name="Обычный 10 12 2 3 3 2" xfId="733"/>
    <cellStyle name="Обычный 10 12 2 3 3 3" xfId="734"/>
    <cellStyle name="Обычный 10 12 2 3 4" xfId="735"/>
    <cellStyle name="Обычный 10 12 2 3 4 2" xfId="736"/>
    <cellStyle name="Обычный 10 12 2 3 4 3" xfId="737"/>
    <cellStyle name="Обычный 10 12 2 3 5" xfId="738"/>
    <cellStyle name="Обычный 10 12 2 3 5 2" xfId="739"/>
    <cellStyle name="Обычный 10 12 2 3 6" xfId="740"/>
    <cellStyle name="Обычный 10 12 2 3 7" xfId="741"/>
    <cellStyle name="Обычный 10 12 2 4" xfId="742"/>
    <cellStyle name="Обычный 10 12 2 4 2" xfId="743"/>
    <cellStyle name="Обычный 10 12 2 4 2 2" xfId="744"/>
    <cellStyle name="Обычный 10 12 2 4 2 3" xfId="745"/>
    <cellStyle name="Обычный 10 12 2 4 3" xfId="746"/>
    <cellStyle name="Обычный 10 12 2 4 3 2" xfId="747"/>
    <cellStyle name="Обычный 10 12 2 4 3 3" xfId="748"/>
    <cellStyle name="Обычный 10 12 2 4 4" xfId="749"/>
    <cellStyle name="Обычный 10 12 2 4 4 2" xfId="750"/>
    <cellStyle name="Обычный 10 12 2 4 5" xfId="751"/>
    <cellStyle name="Обычный 10 12 2 4 6" xfId="752"/>
    <cellStyle name="Обычный 10 12 2 5" xfId="753"/>
    <cellStyle name="Обычный 10 12 2 5 2" xfId="754"/>
    <cellStyle name="Обычный 10 12 2 5 3" xfId="755"/>
    <cellStyle name="Обычный 10 12 2 6" xfId="756"/>
    <cellStyle name="Обычный 10 12 2 6 2" xfId="757"/>
    <cellStyle name="Обычный 10 12 2 6 3" xfId="758"/>
    <cellStyle name="Обычный 10 12 2 7" xfId="759"/>
    <cellStyle name="Обычный 10 12 2 7 2" xfId="760"/>
    <cellStyle name="Обычный 10 12 2 8" xfId="761"/>
    <cellStyle name="Обычный 10 12 2 9" xfId="762"/>
    <cellStyle name="Обычный 10 12 3" xfId="763"/>
    <cellStyle name="Обычный 10 12 3 2" xfId="764"/>
    <cellStyle name="Обычный 10 12 3 2 2" xfId="765"/>
    <cellStyle name="Обычный 10 12 3 2 2 2" xfId="766"/>
    <cellStyle name="Обычный 10 12 3 2 2 2 2" xfId="767"/>
    <cellStyle name="Обычный 10 12 3 2 2 2 3" xfId="768"/>
    <cellStyle name="Обычный 10 12 3 2 2 3" xfId="769"/>
    <cellStyle name="Обычный 10 12 3 2 2 3 2" xfId="770"/>
    <cellStyle name="Обычный 10 12 3 2 2 3 3" xfId="771"/>
    <cellStyle name="Обычный 10 12 3 2 2 4" xfId="772"/>
    <cellStyle name="Обычный 10 12 3 2 2 4 2" xfId="773"/>
    <cellStyle name="Обычный 10 12 3 2 2 5" xfId="774"/>
    <cellStyle name="Обычный 10 12 3 2 2 6" xfId="775"/>
    <cellStyle name="Обычный 10 12 3 2 3" xfId="776"/>
    <cellStyle name="Обычный 10 12 3 2 3 2" xfId="777"/>
    <cellStyle name="Обычный 10 12 3 2 3 3" xfId="778"/>
    <cellStyle name="Обычный 10 12 3 2 4" xfId="779"/>
    <cellStyle name="Обычный 10 12 3 2 4 2" xfId="780"/>
    <cellStyle name="Обычный 10 12 3 2 4 3" xfId="781"/>
    <cellStyle name="Обычный 10 12 3 2 5" xfId="782"/>
    <cellStyle name="Обычный 10 12 3 2 5 2" xfId="783"/>
    <cellStyle name="Обычный 10 12 3 2 6" xfId="784"/>
    <cellStyle name="Обычный 10 12 3 2 7" xfId="785"/>
    <cellStyle name="Обычный 10 12 3 3" xfId="786"/>
    <cellStyle name="Обычный 10 12 3 3 2" xfId="787"/>
    <cellStyle name="Обычный 10 12 3 3 2 2" xfId="788"/>
    <cellStyle name="Обычный 10 12 3 3 2 3" xfId="789"/>
    <cellStyle name="Обычный 10 12 3 3 3" xfId="790"/>
    <cellStyle name="Обычный 10 12 3 3 3 2" xfId="791"/>
    <cellStyle name="Обычный 10 12 3 3 3 3" xfId="792"/>
    <cellStyle name="Обычный 10 12 3 3 4" xfId="793"/>
    <cellStyle name="Обычный 10 12 3 3 4 2" xfId="794"/>
    <cellStyle name="Обычный 10 12 3 3 5" xfId="795"/>
    <cellStyle name="Обычный 10 12 3 3 6" xfId="796"/>
    <cellStyle name="Обычный 10 12 3 4" xfId="797"/>
    <cellStyle name="Обычный 10 12 3 4 2" xfId="798"/>
    <cellStyle name="Обычный 10 12 3 4 3" xfId="799"/>
    <cellStyle name="Обычный 10 12 3 5" xfId="800"/>
    <cellStyle name="Обычный 10 12 3 5 2" xfId="801"/>
    <cellStyle name="Обычный 10 12 3 5 3" xfId="802"/>
    <cellStyle name="Обычный 10 12 3 6" xfId="803"/>
    <cellStyle name="Обычный 10 12 3 6 2" xfId="804"/>
    <cellStyle name="Обычный 10 12 3 7" xfId="805"/>
    <cellStyle name="Обычный 10 12 3 8" xfId="806"/>
    <cellStyle name="Обычный 10 12 4" xfId="807"/>
    <cellStyle name="Обычный 10 12 4 2" xfId="808"/>
    <cellStyle name="Обычный 10 12 4 2 2" xfId="809"/>
    <cellStyle name="Обычный 10 12 4 2 2 2" xfId="810"/>
    <cellStyle name="Обычный 10 12 4 2 2 3" xfId="811"/>
    <cellStyle name="Обычный 10 12 4 2 3" xfId="812"/>
    <cellStyle name="Обычный 10 12 4 2 3 2" xfId="813"/>
    <cellStyle name="Обычный 10 12 4 2 3 3" xfId="814"/>
    <cellStyle name="Обычный 10 12 4 2 4" xfId="815"/>
    <cellStyle name="Обычный 10 12 4 2 4 2" xfId="816"/>
    <cellStyle name="Обычный 10 12 4 2 5" xfId="817"/>
    <cellStyle name="Обычный 10 12 4 2 6" xfId="818"/>
    <cellStyle name="Обычный 10 12 4 3" xfId="819"/>
    <cellStyle name="Обычный 10 12 4 3 2" xfId="820"/>
    <cellStyle name="Обычный 10 12 4 3 3" xfId="821"/>
    <cellStyle name="Обычный 10 12 4 4" xfId="822"/>
    <cellStyle name="Обычный 10 12 4 4 2" xfId="823"/>
    <cellStyle name="Обычный 10 12 4 4 3" xfId="824"/>
    <cellStyle name="Обычный 10 12 4 5" xfId="825"/>
    <cellStyle name="Обычный 10 12 4 5 2" xfId="826"/>
    <cellStyle name="Обычный 10 12 4 6" xfId="827"/>
    <cellStyle name="Обычный 10 12 4 7" xfId="828"/>
    <cellStyle name="Обычный 10 12 5" xfId="829"/>
    <cellStyle name="Обычный 10 12 5 2" xfId="830"/>
    <cellStyle name="Обычный 10 12 5 2 2" xfId="831"/>
    <cellStyle name="Обычный 10 12 5 2 3" xfId="832"/>
    <cellStyle name="Обычный 10 12 5 3" xfId="833"/>
    <cellStyle name="Обычный 10 12 5 3 2" xfId="834"/>
    <cellStyle name="Обычный 10 12 5 3 3" xfId="835"/>
    <cellStyle name="Обычный 10 12 5 4" xfId="836"/>
    <cellStyle name="Обычный 10 12 5 4 2" xfId="837"/>
    <cellStyle name="Обычный 10 12 5 5" xfId="838"/>
    <cellStyle name="Обычный 10 12 5 6" xfId="839"/>
    <cellStyle name="Обычный 10 12 6" xfId="840"/>
    <cellStyle name="Обычный 10 12 6 2" xfId="841"/>
    <cellStyle name="Обычный 10 12 6 3" xfId="842"/>
    <cellStyle name="Обычный 10 12 7" xfId="843"/>
    <cellStyle name="Обычный 10 12 7 2" xfId="844"/>
    <cellStyle name="Обычный 10 12 7 3" xfId="845"/>
    <cellStyle name="Обычный 10 12 8" xfId="846"/>
    <cellStyle name="Обычный 10 12 8 2" xfId="847"/>
    <cellStyle name="Обычный 10 12 9" xfId="848"/>
    <cellStyle name="Обычный 10 13" xfId="849"/>
    <cellStyle name="Обычный 10 13 2" xfId="850"/>
    <cellStyle name="Обычный 10 13 2 2" xfId="851"/>
    <cellStyle name="Обычный 10 13 2 2 2" xfId="852"/>
    <cellStyle name="Обычный 10 13 2 2 2 2" xfId="853"/>
    <cellStyle name="Обычный 10 13 2 2 2 2 2" xfId="854"/>
    <cellStyle name="Обычный 10 13 2 2 2 2 3" xfId="855"/>
    <cellStyle name="Обычный 10 13 2 2 2 3" xfId="856"/>
    <cellStyle name="Обычный 10 13 2 2 2 3 2" xfId="857"/>
    <cellStyle name="Обычный 10 13 2 2 2 3 3" xfId="858"/>
    <cellStyle name="Обычный 10 13 2 2 2 4" xfId="859"/>
    <cellStyle name="Обычный 10 13 2 2 2 4 2" xfId="860"/>
    <cellStyle name="Обычный 10 13 2 2 2 5" xfId="861"/>
    <cellStyle name="Обычный 10 13 2 2 2 6" xfId="862"/>
    <cellStyle name="Обычный 10 13 2 2 3" xfId="863"/>
    <cellStyle name="Обычный 10 13 2 2 3 2" xfId="864"/>
    <cellStyle name="Обычный 10 13 2 2 3 3" xfId="865"/>
    <cellStyle name="Обычный 10 13 2 2 4" xfId="866"/>
    <cellStyle name="Обычный 10 13 2 2 4 2" xfId="867"/>
    <cellStyle name="Обычный 10 13 2 2 4 3" xfId="868"/>
    <cellStyle name="Обычный 10 13 2 2 5" xfId="869"/>
    <cellStyle name="Обычный 10 13 2 2 5 2" xfId="870"/>
    <cellStyle name="Обычный 10 13 2 2 6" xfId="871"/>
    <cellStyle name="Обычный 10 13 2 2 7" xfId="872"/>
    <cellStyle name="Обычный 10 13 2 3" xfId="873"/>
    <cellStyle name="Обычный 10 13 2 3 2" xfId="874"/>
    <cellStyle name="Обычный 10 13 2 3 2 2" xfId="875"/>
    <cellStyle name="Обычный 10 13 2 3 2 3" xfId="876"/>
    <cellStyle name="Обычный 10 13 2 3 3" xfId="877"/>
    <cellStyle name="Обычный 10 13 2 3 3 2" xfId="878"/>
    <cellStyle name="Обычный 10 13 2 3 3 3" xfId="879"/>
    <cellStyle name="Обычный 10 13 2 3 4" xfId="880"/>
    <cellStyle name="Обычный 10 13 2 3 4 2" xfId="881"/>
    <cellStyle name="Обычный 10 13 2 3 5" xfId="882"/>
    <cellStyle name="Обычный 10 13 2 3 6" xfId="883"/>
    <cellStyle name="Обычный 10 13 2 4" xfId="884"/>
    <cellStyle name="Обычный 10 13 2 4 2" xfId="885"/>
    <cellStyle name="Обычный 10 13 2 4 3" xfId="886"/>
    <cellStyle name="Обычный 10 13 2 5" xfId="887"/>
    <cellStyle name="Обычный 10 13 2 5 2" xfId="888"/>
    <cellStyle name="Обычный 10 13 2 5 3" xfId="889"/>
    <cellStyle name="Обычный 10 13 2 6" xfId="890"/>
    <cellStyle name="Обычный 10 13 2 6 2" xfId="891"/>
    <cellStyle name="Обычный 10 13 2 7" xfId="892"/>
    <cellStyle name="Обычный 10 13 2 8" xfId="893"/>
    <cellStyle name="Обычный 10 13 3" xfId="894"/>
    <cellStyle name="Обычный 10 13 3 2" xfId="895"/>
    <cellStyle name="Обычный 10 13 3 2 2" xfId="896"/>
    <cellStyle name="Обычный 10 13 3 2 2 2" xfId="897"/>
    <cellStyle name="Обычный 10 13 3 2 2 3" xfId="898"/>
    <cellStyle name="Обычный 10 13 3 2 3" xfId="899"/>
    <cellStyle name="Обычный 10 13 3 2 3 2" xfId="900"/>
    <cellStyle name="Обычный 10 13 3 2 3 3" xfId="901"/>
    <cellStyle name="Обычный 10 13 3 2 4" xfId="902"/>
    <cellStyle name="Обычный 10 13 3 2 4 2" xfId="903"/>
    <cellStyle name="Обычный 10 13 3 2 5" xfId="904"/>
    <cellStyle name="Обычный 10 13 3 2 6" xfId="905"/>
    <cellStyle name="Обычный 10 13 3 3" xfId="906"/>
    <cellStyle name="Обычный 10 13 3 3 2" xfId="907"/>
    <cellStyle name="Обычный 10 13 3 3 3" xfId="908"/>
    <cellStyle name="Обычный 10 13 3 4" xfId="909"/>
    <cellStyle name="Обычный 10 13 3 4 2" xfId="910"/>
    <cellStyle name="Обычный 10 13 3 4 3" xfId="911"/>
    <cellStyle name="Обычный 10 13 3 5" xfId="912"/>
    <cellStyle name="Обычный 10 13 3 5 2" xfId="913"/>
    <cellStyle name="Обычный 10 13 3 6" xfId="914"/>
    <cellStyle name="Обычный 10 13 3 7" xfId="915"/>
    <cellStyle name="Обычный 10 13 4" xfId="916"/>
    <cellStyle name="Обычный 10 13 4 2" xfId="917"/>
    <cellStyle name="Обычный 10 13 4 2 2" xfId="918"/>
    <cellStyle name="Обычный 10 13 4 2 3" xfId="919"/>
    <cellStyle name="Обычный 10 13 4 3" xfId="920"/>
    <cellStyle name="Обычный 10 13 4 3 2" xfId="921"/>
    <cellStyle name="Обычный 10 13 4 3 3" xfId="922"/>
    <cellStyle name="Обычный 10 13 4 4" xfId="923"/>
    <cellStyle name="Обычный 10 13 4 4 2" xfId="924"/>
    <cellStyle name="Обычный 10 13 4 5" xfId="925"/>
    <cellStyle name="Обычный 10 13 4 6" xfId="926"/>
    <cellStyle name="Обычный 10 13 5" xfId="927"/>
    <cellStyle name="Обычный 10 13 5 2" xfId="928"/>
    <cellStyle name="Обычный 10 13 5 3" xfId="929"/>
    <cellStyle name="Обычный 10 13 6" xfId="930"/>
    <cellStyle name="Обычный 10 13 6 2" xfId="931"/>
    <cellStyle name="Обычный 10 13 6 3" xfId="932"/>
    <cellStyle name="Обычный 10 13 7" xfId="933"/>
    <cellStyle name="Обычный 10 13 7 2" xfId="934"/>
    <cellStyle name="Обычный 10 13 8" xfId="935"/>
    <cellStyle name="Обычный 10 13 9" xfId="936"/>
    <cellStyle name="Обычный 10 14" xfId="937"/>
    <cellStyle name="Обычный 10 14 2" xfId="938"/>
    <cellStyle name="Обычный 10 14 2 2" xfId="939"/>
    <cellStyle name="Обычный 10 14 2 2 2" xfId="940"/>
    <cellStyle name="Обычный 10 14 2 2 2 2" xfId="941"/>
    <cellStyle name="Обычный 10 14 2 2 2 3" xfId="942"/>
    <cellStyle name="Обычный 10 14 2 2 3" xfId="943"/>
    <cellStyle name="Обычный 10 14 2 2 3 2" xfId="944"/>
    <cellStyle name="Обычный 10 14 2 2 3 3" xfId="945"/>
    <cellStyle name="Обычный 10 14 2 2 4" xfId="946"/>
    <cellStyle name="Обычный 10 14 2 2 4 2" xfId="947"/>
    <cellStyle name="Обычный 10 14 2 2 5" xfId="948"/>
    <cellStyle name="Обычный 10 14 2 2 6" xfId="949"/>
    <cellStyle name="Обычный 10 14 2 3" xfId="950"/>
    <cellStyle name="Обычный 10 14 2 3 3" xfId="951"/>
    <cellStyle name="Обычный 10 14 2 4" xfId="952"/>
    <cellStyle name="Обычный 10 14 2 4 2" xfId="953"/>
    <cellStyle name="Обычный 10 14 2 4 3" xfId="954"/>
    <cellStyle name="Обычный 10 14 2 5" xfId="955"/>
    <cellStyle name="Обычный 10 14 2 5 2" xfId="956"/>
    <cellStyle name="Обычный 10 14 2 6" xfId="957"/>
    <cellStyle name="Обычный 10 14 2 7" xfId="958"/>
    <cellStyle name="Обычный 10 14 3" xfId="959"/>
    <cellStyle name="Обычный 10 14 3 2" xfId="960"/>
    <cellStyle name="Обычный 10 14 3 2 2" xfId="961"/>
    <cellStyle name="Обычный 10 14 3 2 3" xfId="962"/>
    <cellStyle name="Обычный 10 14 3 3" xfId="963"/>
    <cellStyle name="Обычный 10 14 3 3 2" xfId="964"/>
    <cellStyle name="Обычный 10 14 3 3 3" xfId="965"/>
    <cellStyle name="Обычный 10 14 3 4" xfId="966"/>
    <cellStyle name="Обычный 10 14 3 4 2" xfId="967"/>
    <cellStyle name="Обычный 10 14 3 5" xfId="968"/>
    <cellStyle name="Обычный 10 14 3 6" xfId="969"/>
    <cellStyle name="Обычный 10 14 4" xfId="970"/>
    <cellStyle name="Обычный 10 14 4 2" xfId="971"/>
    <cellStyle name="Обычный 10 14 4 3" xfId="972"/>
    <cellStyle name="Обычный 10 14 5" xfId="973"/>
    <cellStyle name="Обычный 10 14 5 2" xfId="974"/>
    <cellStyle name="Обычный 10 14 5 3" xfId="975"/>
    <cellStyle name="Обычный 10 14 6" xfId="976"/>
    <cellStyle name="Обычный 10 14 6 2" xfId="977"/>
    <cellStyle name="Обычный 10 14 7" xfId="978"/>
    <cellStyle name="Обычный 10 14 8" xfId="979"/>
    <cellStyle name="Обычный 10 15" xfId="980"/>
    <cellStyle name="Обычный 10 15 2" xfId="981"/>
    <cellStyle name="Обычный 10 15 2 2" xfId="982"/>
    <cellStyle name="Обычный 10 15 2 2 2" xfId="983"/>
    <cellStyle name="Обычный 10 15 2 2 3" xfId="984"/>
    <cellStyle name="Обычный 10 15 2 3" xfId="985"/>
    <cellStyle name="Обычный 10 15 2 3 2" xfId="986"/>
    <cellStyle name="Обычный 10 15 2 3 3" xfId="987"/>
    <cellStyle name="Обычный 10 15 2 4" xfId="988"/>
    <cellStyle name="Обычный 10 15 2 4 2" xfId="989"/>
    <cellStyle name="Обычный 10 15 2 5" xfId="990"/>
    <cellStyle name="Обычный 10 15 2 6" xfId="991"/>
    <cellStyle name="Обычный 10 15 3" xfId="992"/>
    <cellStyle name="Обычный 10 15 3 2" xfId="993"/>
    <cellStyle name="Обычный 10 15 3 3" xfId="994"/>
    <cellStyle name="Обычный 10 15 4" xfId="995"/>
    <cellStyle name="Обычный 10 15 4 2" xfId="996"/>
    <cellStyle name="Обычный 10 15 4 3" xfId="997"/>
    <cellStyle name="Обычный 10 15 5" xfId="998"/>
    <cellStyle name="Обычный 10 15 5 2" xfId="999"/>
    <cellStyle name="Обычный 10 15 6" xfId="1000"/>
    <cellStyle name="Обычный 10 15 7" xfId="1001"/>
    <cellStyle name="Обычный 10 16" xfId="1002"/>
    <cellStyle name="Обычный 10 16 2" xfId="1003"/>
    <cellStyle name="Обычный 10 16 2 2" xfId="1004"/>
    <cellStyle name="Обычный 10 16 2 3" xfId="1005"/>
    <cellStyle name="Обычный 10 16 3" xfId="1006"/>
    <cellStyle name="Обычный 10 16 3 2" xfId="1007"/>
    <cellStyle name="Обычный 10 16 3 3" xfId="1008"/>
    <cellStyle name="Обычный 10 16 4" xfId="1009"/>
    <cellStyle name="Обычный 10 16 4 2" xfId="1010"/>
    <cellStyle name="Обычный 10 16 5" xfId="1011"/>
    <cellStyle name="Обычный 10 16 6" xfId="1012"/>
    <cellStyle name="Обычный 10 17" xfId="1013"/>
    <cellStyle name="Обычный 10 17 2" xfId="1014"/>
    <cellStyle name="Обычный 10 17 3" xfId="1015"/>
    <cellStyle name="Обычный 10 18" xfId="1016"/>
    <cellStyle name="Обычный 10 18 2" xfId="1017"/>
    <cellStyle name="Обычный 10 18 3" xfId="1018"/>
    <cellStyle name="Обычный 10 19" xfId="1019"/>
    <cellStyle name="Обычный 10 19 2" xfId="1020"/>
    <cellStyle name="Обычный 10 2" xfId="1021"/>
    <cellStyle name="Обычный 10 2 10" xfId="1022"/>
    <cellStyle name="Обычный 10 2 10 2" xfId="1023"/>
    <cellStyle name="Обычный 10 2 10 3" xfId="1024"/>
    <cellStyle name="Обычный 10 2 11" xfId="1025"/>
    <cellStyle name="Обычный 10 2 11 2" xfId="1026"/>
    <cellStyle name="Обычный 10 2 11 3" xfId="1027"/>
    <cellStyle name="Обычный 10 2 12" xfId="1028"/>
    <cellStyle name="Обычный 10 2 12 2" xfId="1029"/>
    <cellStyle name="Обычный 10 2 13" xfId="1030"/>
    <cellStyle name="Обычный 10 2 14" xfId="1031"/>
    <cellStyle name="Обычный 10 2 2" xfId="1032"/>
    <cellStyle name="Обычный 10 2 2 10" xfId="1033"/>
    <cellStyle name="Обычный 10 2 2 10 2" xfId="1034"/>
    <cellStyle name="Обычный 10 2 2 10 3" xfId="1035"/>
    <cellStyle name="Обычный 10 2 2 11" xfId="1036"/>
    <cellStyle name="Обычный 10 2 2 11 2" xfId="1037"/>
    <cellStyle name="Обычный 10 2 2 12" xfId="1038"/>
    <cellStyle name="Обычный 10 2 2 13" xfId="1039"/>
    <cellStyle name="Обычный 10 2 2 2" xfId="1040"/>
    <cellStyle name="Обычный 10 2 2 2 10" xfId="1041"/>
    <cellStyle name="Обычный 10 2 2 2 2" xfId="1042"/>
    <cellStyle name="Обычный 10 2 2 2 2 2" xfId="1043"/>
    <cellStyle name="Обычный 10 2 2 2 2 2 2" xfId="1044"/>
    <cellStyle name="Обычный 10 2 2 2 2 2 2 2" xfId="1045"/>
    <cellStyle name="Обычный 10 2 2 2 2 2 2 2 2" xfId="1046"/>
    <cellStyle name="Обычный 10 2 2 2 2 2 2 2 2 2" xfId="1047"/>
    <cellStyle name="Обычный 10 2 2 2 2 2 2 2 2 3" xfId="1048"/>
    <cellStyle name="Обычный 10 2 2 2 2 2 2 2 3" xfId="1049"/>
    <cellStyle name="Обычный 10 2 2 2 2 2 2 2 3 2" xfId="1050"/>
    <cellStyle name="Обычный 10 2 2 2 2 2 2 2 3 3" xfId="1051"/>
    <cellStyle name="Обычный 10 2 2 2 2 2 2 2 4" xfId="1052"/>
    <cellStyle name="Обычный 10 2 2 2 2 2 2 2 4 2" xfId="1053"/>
    <cellStyle name="Обычный 10 2 2 2 2 2 2 2 5" xfId="1054"/>
    <cellStyle name="Обычный 10 2 2 2 2 2 2 2 6" xfId="1055"/>
    <cellStyle name="Обычный 10 2 2 2 2 2 2 3" xfId="1056"/>
    <cellStyle name="Обычный 10 2 2 2 2 2 2 3 2" xfId="1057"/>
    <cellStyle name="Обычный 10 2 2 2 2 2 2 3 3" xfId="1058"/>
    <cellStyle name="Обычный 10 2 2 2 2 2 2 4" xfId="1059"/>
    <cellStyle name="Обычный 10 2 2 2 2 2 2 4 2" xfId="1060"/>
    <cellStyle name="Обычный 10 2 2 2 2 2 2 4 3" xfId="1061"/>
    <cellStyle name="Обычный 10 2 2 2 2 2 2 5" xfId="1062"/>
    <cellStyle name="Обычный 10 2 2 2 2 2 2 5 2" xfId="1063"/>
    <cellStyle name="Обычный 10 2 2 2 2 2 2 6" xfId="1064"/>
    <cellStyle name="Обычный 10 2 2 2 2 2 2 7" xfId="1065"/>
    <cellStyle name="Обычный 10 2 2 2 2 2 3" xfId="1066"/>
    <cellStyle name="Обычный 10 2 2 2 2 2 3 2" xfId="1067"/>
    <cellStyle name="Обычный 10 2 2 2 2 2 3 2 2" xfId="1068"/>
    <cellStyle name="Обычный 10 2 2 2 2 2 3 2 3" xfId="1069"/>
    <cellStyle name="Обычный 10 2 2 2 2 2 3 3" xfId="1070"/>
    <cellStyle name="Обычный 10 2 2 2 2 2 3 3 2" xfId="1071"/>
    <cellStyle name="Обычный 10 2 2 2 2 2 3 3 3" xfId="1072"/>
    <cellStyle name="Обычный 10 2 2 2 2 2 3 4" xfId="1073"/>
    <cellStyle name="Обычный 10 2 2 2 2 2 3 4 2" xfId="1074"/>
    <cellStyle name="Обычный 10 2 2 2 2 2 3 5" xfId="1075"/>
    <cellStyle name="Обычный 10 2 2 2 2 2 3 6" xfId="1076"/>
    <cellStyle name="Обычный 10 2 2 2 2 2 4" xfId="1077"/>
    <cellStyle name="Обычный 10 2 2 2 2 2 4 2" xfId="1078"/>
    <cellStyle name="Обычный 10 2 2 2 2 2 4 3" xfId="1079"/>
    <cellStyle name="Обычный 10 2 2 2 2 2 5" xfId="1080"/>
    <cellStyle name="Обычный 10 2 2 2 2 2 5 2" xfId="1081"/>
    <cellStyle name="Обычный 10 2 2 2 2 2 5 3" xfId="1082"/>
    <cellStyle name="Обычный 10 2 2 2 2 2 6" xfId="1083"/>
    <cellStyle name="Обычный 10 2 2 2 2 2 6 2" xfId="1084"/>
    <cellStyle name="Обычный 10 2 2 2 2 2 7" xfId="1085"/>
    <cellStyle name="Обычный 10 2 2 2 2 2 8" xfId="1086"/>
    <cellStyle name="Обычный 10 2 2 2 2 3" xfId="1087"/>
    <cellStyle name="Обычный 10 2 2 2 2 3 2" xfId="1088"/>
    <cellStyle name="Обычный 10 2 2 2 2 3 2 2" xfId="1089"/>
    <cellStyle name="Обычный 10 2 2 2 2 3 2 2 2" xfId="1090"/>
    <cellStyle name="Обычный 10 2 2 2 2 3 2 2 3" xfId="1091"/>
    <cellStyle name="Обычный 10 2 2 2 2 3 2 3" xfId="1092"/>
    <cellStyle name="Обычный 10 2 2 2 2 3 2 3 2" xfId="1093"/>
    <cellStyle name="Обычный 10 2 2 2 2 3 2 3 3" xfId="1094"/>
    <cellStyle name="Обычный 10 2 2 2 2 3 2 4" xfId="1095"/>
    <cellStyle name="Обычный 10 2 2 2 2 3 2 4 2" xfId="1096"/>
    <cellStyle name="Обычный 10 2 2 2 2 3 2 5" xfId="1097"/>
    <cellStyle name="Обычный 10 2 2 2 2 3 2 6" xfId="1098"/>
    <cellStyle name="Обычный 10 2 2 2 2 3 3" xfId="1099"/>
    <cellStyle name="Обычный 10 2 2 2 2 3 3 2" xfId="1100"/>
    <cellStyle name="Обычный 10 2 2 2 2 3 3 3" xfId="1101"/>
    <cellStyle name="Обычный 10 2 2 2 2 3 4" xfId="1102"/>
    <cellStyle name="Обычный 10 2 2 2 2 3 4 2" xfId="1103"/>
    <cellStyle name="Обычный 10 2 2 2 2 3 4 3" xfId="1104"/>
    <cellStyle name="Обычный 10 2 2 2 2 3 5" xfId="1105"/>
    <cellStyle name="Обычный 10 2 2 2 2 3 5 2" xfId="1106"/>
    <cellStyle name="Обычный 10 2 2 2 2 3 6" xfId="1107"/>
    <cellStyle name="Обычный 10 2 2 2 2 3 7" xfId="1108"/>
    <cellStyle name="Обычный 10 2 2 2 2 4" xfId="1109"/>
    <cellStyle name="Обычный 10 2 2 2 2 4 2" xfId="1110"/>
    <cellStyle name="Обычный 10 2 2 2 2 4 2 2" xfId="1111"/>
    <cellStyle name="Обычный 10 2 2 2 2 4 2 3" xfId="1112"/>
    <cellStyle name="Обычный 10 2 2 2 2 4 3" xfId="1113"/>
    <cellStyle name="Обычный 10 2 2 2 2 4 3 2" xfId="1114"/>
    <cellStyle name="Обычный 10 2 2 2 2 4 3 3" xfId="1115"/>
    <cellStyle name="Обычный 10 2 2 2 2 4 4" xfId="1116"/>
    <cellStyle name="Обычный 10 2 2 2 2 4 4 2" xfId="1117"/>
    <cellStyle name="Обычный 10 2 2 2 2 4 5" xfId="1118"/>
    <cellStyle name="Обычный 10 2 2 2 2 4 6" xfId="1119"/>
    <cellStyle name="Обычный 10 2 2 2 2 5" xfId="1120"/>
    <cellStyle name="Обычный 10 2 2 2 2 5 2" xfId="1121"/>
    <cellStyle name="Обычный 10 2 2 2 2 5 3" xfId="1122"/>
    <cellStyle name="Обычный 10 2 2 2 2 6" xfId="1123"/>
    <cellStyle name="Обычный 10 2 2 2 2 6 2" xfId="1124"/>
    <cellStyle name="Обычный 10 2 2 2 2 6 3" xfId="1125"/>
    <cellStyle name="Обычный 10 2 2 2 2 7" xfId="1126"/>
    <cellStyle name="Обычный 10 2 2 2 2 7 2" xfId="1127"/>
    <cellStyle name="Обычный 10 2 2 2 2 8" xfId="1128"/>
    <cellStyle name="Обычный 10 2 2 2 2 9" xfId="1129"/>
    <cellStyle name="Обычный 10 2 2 2 3" xfId="1130"/>
    <cellStyle name="Обычный 10 2 2 2 3 2" xfId="1131"/>
    <cellStyle name="Обычный 10 2 2 2 3 2 2" xfId="1132"/>
    <cellStyle name="Обычный 10 2 2 2 3 2 2 2" xfId="1133"/>
    <cellStyle name="Обычный 10 2 2 2 3 2 2 2 2" xfId="1134"/>
    <cellStyle name="Обычный 10 2 2 2 3 2 2 2 3" xfId="1135"/>
    <cellStyle name="Обычный 10 2 2 2 3 2 2 3" xfId="1136"/>
    <cellStyle name="Обычный 10 2 2 2 3 2 2 3 2" xfId="1137"/>
    <cellStyle name="Обычный 10 2 2 2 3 2 2 3 3" xfId="1138"/>
    <cellStyle name="Обычный 10 2 2 2 3 2 2 4" xfId="1139"/>
    <cellStyle name="Обычный 10 2 2 2 3 2 2 4 2" xfId="1140"/>
    <cellStyle name="Обычный 10 2 2 2 3 2 2 5" xfId="1141"/>
    <cellStyle name="Обычный 10 2 2 2 3 2 2 6" xfId="1142"/>
    <cellStyle name="Обычный 10 2 2 2 3 2 3" xfId="1143"/>
    <cellStyle name="Обычный 10 2 2 2 3 2 3 2" xfId="1144"/>
    <cellStyle name="Обычный 10 2 2 2 3 2 3 3" xfId="1145"/>
    <cellStyle name="Обычный 10 2 2 2 3 2 4" xfId="1146"/>
    <cellStyle name="Обычный 10 2 2 2 3 2 4 2" xfId="1147"/>
    <cellStyle name="Обычный 10 2 2 2 3 2 4 3" xfId="1148"/>
    <cellStyle name="Обычный 10 2 2 2 3 2 5" xfId="1149"/>
    <cellStyle name="Обычный 10 2 2 2 3 2 5 2" xfId="1150"/>
    <cellStyle name="Обычный 10 2 2 2 3 2 6" xfId="1151"/>
    <cellStyle name="Обычный 10 2 2 2 3 2 7" xfId="1152"/>
    <cellStyle name="Обычный 10 2 2 2 3 3" xfId="1153"/>
    <cellStyle name="Обычный 10 2 2 2 3 3 2" xfId="1154"/>
    <cellStyle name="Обычный 10 2 2 2 3 3 2 2" xfId="1155"/>
    <cellStyle name="Обычный 10 2 2 2 3 3 2 3" xfId="1156"/>
    <cellStyle name="Обычный 10 2 2 2 3 3 3" xfId="1157"/>
    <cellStyle name="Обычный 10 2 2 2 3 3 3 2" xfId="1158"/>
    <cellStyle name="Обычный 10 2 2 2 3 3 3 3" xfId="1159"/>
    <cellStyle name="Обычный 10 2 2 2 3 3 4" xfId="1160"/>
    <cellStyle name="Обычный 10 2 2 2 3 3 4 2" xfId="1161"/>
    <cellStyle name="Обычный 10 2 2 2 3 3 5" xfId="1162"/>
    <cellStyle name="Обычный 10 2 2 2 3 3 6" xfId="1163"/>
    <cellStyle name="Обычный 10 2 2 2 3 4" xfId="1164"/>
    <cellStyle name="Обычный 10 2 2 2 3 4 2" xfId="1165"/>
    <cellStyle name="Обычный 10 2 2 2 3 4 3" xfId="1166"/>
    <cellStyle name="Обычный 10 2 2 2 3 5" xfId="1167"/>
    <cellStyle name="Обычный 10 2 2 2 3 5 2" xfId="1168"/>
    <cellStyle name="Обычный 10 2 2 2 3 5 3" xfId="1169"/>
    <cellStyle name="Обычный 10 2 2 2 3 6" xfId="1170"/>
    <cellStyle name="Обычный 10 2 2 2 3 6 2" xfId="1171"/>
    <cellStyle name="Обычный 10 2 2 2 3 7" xfId="1172"/>
    <cellStyle name="Обычный 10 2 2 2 3 8" xfId="1173"/>
    <cellStyle name="Обычный 10 2 2 2 4" xfId="1174"/>
    <cellStyle name="Обычный 10 2 2 2 4 2" xfId="1175"/>
    <cellStyle name="Обычный 10 2 2 2 4 2 2" xfId="1176"/>
    <cellStyle name="Обычный 10 2 2 2 4 2 2 2" xfId="1177"/>
    <cellStyle name="Обычный 10 2 2 2 4 2 2 3" xfId="1178"/>
    <cellStyle name="Обычный 10 2 2 2 4 2 3" xfId="1179"/>
    <cellStyle name="Обычный 10 2 2 2 4 2 3 2" xfId="1180"/>
    <cellStyle name="Обычный 10 2 2 2 4 2 3 3" xfId="1181"/>
    <cellStyle name="Обычный 10 2 2 2 4 2 4" xfId="1182"/>
    <cellStyle name="Обычный 10 2 2 2 4 2 4 2" xfId="1183"/>
    <cellStyle name="Обычный 10 2 2 2 4 2 5" xfId="1184"/>
    <cellStyle name="Обычный 10 2 2 2 4 2 6" xfId="1185"/>
    <cellStyle name="Обычный 10 2 2 2 4 3" xfId="1186"/>
    <cellStyle name="Обычный 10 2 2 2 4 3 2" xfId="1187"/>
    <cellStyle name="Обычный 10 2 2 2 4 3 3" xfId="1188"/>
    <cellStyle name="Обычный 10 2 2 2 4 4" xfId="1189"/>
    <cellStyle name="Обычный 10 2 2 2 4 4 2" xfId="1190"/>
    <cellStyle name="Обычный 10 2 2 2 4 4 3" xfId="1191"/>
    <cellStyle name="Обычный 10 2 2 2 4 5" xfId="1192"/>
    <cellStyle name="Обычный 10 2 2 2 4 5 2" xfId="1193"/>
    <cellStyle name="Обычный 10 2 2 2 4 6" xfId="1194"/>
    <cellStyle name="Обычный 10 2 2 2 4 7" xfId="1195"/>
    <cellStyle name="Обычный 10 2 2 2 5" xfId="1196"/>
    <cellStyle name="Обычный 10 2 2 2 5 2" xfId="1197"/>
    <cellStyle name="Обычный 10 2 2 2 5 2 2" xfId="1198"/>
    <cellStyle name="Обычный 10 2 2 2 5 2 3" xfId="1199"/>
    <cellStyle name="Обычный 10 2 2 2 5 3" xfId="1200"/>
    <cellStyle name="Обычный 10 2 2 2 5 3 2" xfId="1201"/>
    <cellStyle name="Обычный 10 2 2 2 5 3 3" xfId="1202"/>
    <cellStyle name="Обычный 10 2 2 2 5 4" xfId="1203"/>
    <cellStyle name="Обычный 10 2 2 2 5 4 2" xfId="1204"/>
    <cellStyle name="Обычный 10 2 2 2 5 5" xfId="1205"/>
    <cellStyle name="Обычный 10 2 2 2 5 6" xfId="1206"/>
    <cellStyle name="Обычный 10 2 2 2 6" xfId="1207"/>
    <cellStyle name="Обычный 10 2 2 2 6 2" xfId="1208"/>
    <cellStyle name="Обычный 10 2 2 2 6 3" xfId="1209"/>
    <cellStyle name="Обычный 10 2 2 2 7" xfId="1210"/>
    <cellStyle name="Обычный 10 2 2 2 7 2" xfId="1211"/>
    <cellStyle name="Обычный 10 2 2 2 7 3" xfId="1212"/>
    <cellStyle name="Обычный 10 2 2 2 8" xfId="1213"/>
    <cellStyle name="Обычный 10 2 2 2 8 2" xfId="1214"/>
    <cellStyle name="Обычный 10 2 2 2 9" xfId="1215"/>
    <cellStyle name="Обычный 10 2 2 3" xfId="1216"/>
    <cellStyle name="Обычный 10 2 2 3 10" xfId="1217"/>
    <cellStyle name="Обычный 10 2 2 3 2" xfId="1218"/>
    <cellStyle name="Обычный 10 2 2 3 2 2" xfId="1219"/>
    <cellStyle name="Обычный 10 2 2 3 2 2 2" xfId="1220"/>
    <cellStyle name="Обычный 10 2 2 3 2 2 2 2" xfId="1221"/>
    <cellStyle name="Обычный 10 2 2 3 2 2 2 2 2" xfId="1222"/>
    <cellStyle name="Обычный 10 2 2 3 2 2 2 2 2 2" xfId="1223"/>
    <cellStyle name="Обычный 10 2 2 3 2 2 2 2 2 3" xfId="1224"/>
    <cellStyle name="Обычный 10 2 2 3 2 2 2 2 3" xfId="1225"/>
    <cellStyle name="Обычный 10 2 2 3 2 2 2 2 3 2" xfId="1226"/>
    <cellStyle name="Обычный 10 2 2 3 2 2 2 2 3 3" xfId="1227"/>
    <cellStyle name="Обычный 10 2 2 3 2 2 2 2 4" xfId="1228"/>
    <cellStyle name="Обычный 10 2 2 3 2 2 2 2 4 2" xfId="1229"/>
    <cellStyle name="Обычный 10 2 2 3 2 2 2 2 5" xfId="1230"/>
    <cellStyle name="Обычный 10 2 2 3 2 2 2 2 6" xfId="1231"/>
    <cellStyle name="Обычный 10 2 2 3 2 2 2 3" xfId="1232"/>
    <cellStyle name="Обычный 10 2 2 3 2 2 2 3 2" xfId="1233"/>
    <cellStyle name="Обычный 10 2 2 3 2 2 2 3 3" xfId="1234"/>
    <cellStyle name="Обычный 10 2 2 3 2 2 2 4" xfId="1235"/>
    <cellStyle name="Обычный 10 2 2 3 2 2 2 4 2" xfId="1236"/>
    <cellStyle name="Обычный 10 2 2 3 2 2 2 4 3" xfId="1237"/>
    <cellStyle name="Обычный 10 2 2 3 2 2 2 5" xfId="1238"/>
    <cellStyle name="Обычный 10 2 2 3 2 2 2 5 2" xfId="1239"/>
    <cellStyle name="Обычный 10 2 2 3 2 2 2 6" xfId="1240"/>
    <cellStyle name="Обычный 10 2 2 3 2 2 2 7" xfId="1241"/>
    <cellStyle name="Обычный 10 2 2 3 2 2 3" xfId="1242"/>
    <cellStyle name="Обычный 10 2 2 3 2 2 3 2" xfId="1243"/>
    <cellStyle name="Обычный 10 2 2 3 2 2 3 2 2" xfId="1244"/>
    <cellStyle name="Обычный 10 2 2 3 2 2 3 2 3" xfId="1245"/>
    <cellStyle name="Обычный 10 2 2 3 2 2 3 3" xfId="1246"/>
    <cellStyle name="Обычный 10 2 2 3 2 2 3 3 2" xfId="1247"/>
    <cellStyle name="Обычный 10 2 2 3 2 2 3 3 3" xfId="1248"/>
    <cellStyle name="Обычный 10 2 2 3 2 2 3 4" xfId="1249"/>
    <cellStyle name="Обычный 10 2 2 3 2 2 3 4 2" xfId="1250"/>
    <cellStyle name="Обычный 10 2 2 3 2 2 3 5" xfId="1251"/>
    <cellStyle name="Обычный 10 2 2 3 2 2 3 6" xfId="1252"/>
    <cellStyle name="Обычный 10 2 2 3 2 2 4" xfId="1253"/>
    <cellStyle name="Обычный 10 2 2 3 2 2 4 2" xfId="1254"/>
    <cellStyle name="Обычный 10 2 2 3 2 2 4 3" xfId="1255"/>
    <cellStyle name="Обычный 10 2 2 3 2 2 5" xfId="1256"/>
    <cellStyle name="Обычный 10 2 2 3 2 2 5 2" xfId="1257"/>
    <cellStyle name="Обычный 10 2 2 3 2 2 5 3" xfId="1258"/>
    <cellStyle name="Обычный 10 2 2 3 2 2 6" xfId="1259"/>
    <cellStyle name="Обычный 10 2 2 3 2 2 6 2" xfId="1260"/>
    <cellStyle name="Обычный 10 2 2 3 2 2 7" xfId="1261"/>
    <cellStyle name="Обычный 10 2 2 3 2 2 8" xfId="1262"/>
    <cellStyle name="Обычный 10 2 2 3 2 3" xfId="1263"/>
    <cellStyle name="Обычный 10 2 2 3 2 3 2" xfId="1264"/>
    <cellStyle name="Обычный 10 2 2 3 2 3 2 2" xfId="1265"/>
    <cellStyle name="Обычный 10 2 2 3 2 3 2 2 2" xfId="1266"/>
    <cellStyle name="Обычный 10 2 2 3 2 3 2 2 3" xfId="1267"/>
    <cellStyle name="Обычный 10 2 2 3 2 3 2 3" xfId="1268"/>
    <cellStyle name="Обычный 10 2 2 3 2 3 2 3 2" xfId="1269"/>
    <cellStyle name="Обычный 10 2 2 3 2 3 2 3 3" xfId="1270"/>
    <cellStyle name="Обычный 10 2 2 3 2 3 2 4" xfId="1271"/>
    <cellStyle name="Обычный 10 2 2 3 2 3 2 4 2" xfId="1272"/>
    <cellStyle name="Обычный 10 2 2 3 2 3 2 5" xfId="1273"/>
    <cellStyle name="Обычный 10 2 2 3 2 3 2 6" xfId="1274"/>
    <cellStyle name="Обычный 10 2 2 3 2 3 3" xfId="1275"/>
    <cellStyle name="Обычный 10 2 2 3 2 3 3 2" xfId="1276"/>
    <cellStyle name="Обычный 10 2 2 3 2 3 3 3" xfId="1277"/>
    <cellStyle name="Обычный 10 2 2 3 2 3 4" xfId="1278"/>
    <cellStyle name="Обычный 10 2 2 3 2 3 4 2" xfId="1279"/>
    <cellStyle name="Обычный 10 2 2 3 2 3 4 3" xfId="1280"/>
    <cellStyle name="Обычный 10 2 2 3 2 3 5" xfId="1281"/>
    <cellStyle name="Обычный 10 2 2 3 2 3 5 2" xfId="1282"/>
    <cellStyle name="Обычный 10 2 2 3 2 3 6" xfId="1283"/>
    <cellStyle name="Обычный 10 2 2 3 2 3 7" xfId="1284"/>
    <cellStyle name="Обычный 10 2 2 3 2 4" xfId="1285"/>
    <cellStyle name="Обычный 10 2 2 3 2 4 2" xfId="1286"/>
    <cellStyle name="Обычный 10 2 2 3 2 4 2 2" xfId="1287"/>
    <cellStyle name="Обычный 10 2 2 3 2 4 2 3" xfId="1288"/>
    <cellStyle name="Обычный 10 2 2 3 2 4 3" xfId="1289"/>
    <cellStyle name="Обычный 10 2 2 3 2 4 3 2" xfId="1290"/>
    <cellStyle name="Обычный 10 2 2 3 2 4 3 3" xfId="1291"/>
    <cellStyle name="Обычный 10 2 2 3 2 4 4" xfId="1292"/>
    <cellStyle name="Обычный 10 2 2 3 2 4 4 2" xfId="1293"/>
    <cellStyle name="Обычный 10 2 2 3 2 4 5" xfId="1294"/>
    <cellStyle name="Обычный 10 2 2 3 2 4 6" xfId="1295"/>
    <cellStyle name="Обычный 10 2 2 3 2 5" xfId="1296"/>
    <cellStyle name="Обычный 10 2 2 3 2 5 2" xfId="1297"/>
    <cellStyle name="Обычный 10 2 2 3 2 5 3" xfId="1298"/>
    <cellStyle name="Обычный 10 2 2 3 2 6" xfId="1299"/>
    <cellStyle name="Обычный 10 2 2 3 2 6 2" xfId="1300"/>
    <cellStyle name="Обычный 10 2 2 3 2 6 3" xfId="1301"/>
    <cellStyle name="Обычный 10 2 2 3 2 7" xfId="1302"/>
    <cellStyle name="Обычный 10 2 2 3 2 7 2" xfId="1303"/>
    <cellStyle name="Обычный 10 2 2 3 2 8" xfId="1304"/>
    <cellStyle name="Обычный 10 2 2 3 2 9" xfId="1305"/>
    <cellStyle name="Обычный 10 2 2 3 3" xfId="1306"/>
    <cellStyle name="Обычный 10 2 2 3 3 2" xfId="1307"/>
    <cellStyle name="Обычный 10 2 2 3 3 2 2" xfId="1308"/>
    <cellStyle name="Обычный 10 2 2 3 3 2 2 2" xfId="1309"/>
    <cellStyle name="Обычный 10 2 2 3 3 2 2 2 2" xfId="1310"/>
    <cellStyle name="Обычный 10 2 2 3 3 2 2 2 3" xfId="1311"/>
    <cellStyle name="Обычный 10 2 2 3 3 2 2 3" xfId="1312"/>
    <cellStyle name="Обычный 10 2 2 3 3 2 2 3 2" xfId="1313"/>
    <cellStyle name="Обычный 10 2 2 3 3 2 2 3 3" xfId="1314"/>
    <cellStyle name="Обычный 10 2 2 3 3 2 2 4" xfId="1315"/>
    <cellStyle name="Обычный 10 2 2 3 3 2 2 4 2" xfId="1316"/>
    <cellStyle name="Обычный 10 2 2 3 3 2 2 5" xfId="1317"/>
    <cellStyle name="Обычный 10 2 2 3 3 2 2 6" xfId="1318"/>
    <cellStyle name="Обычный 10 2 2 3 3 2 3" xfId="1319"/>
    <cellStyle name="Обычный 10 2 2 3 3 2 3 2" xfId="1320"/>
    <cellStyle name="Обычный 10 2 2 3 3 2 3 3" xfId="1321"/>
    <cellStyle name="Обычный 10 2 2 3 3 2 4" xfId="1322"/>
    <cellStyle name="Обычный 10 2 2 3 3 2 4 2" xfId="1323"/>
    <cellStyle name="Обычный 10 2 2 3 3 2 4 3" xfId="1324"/>
    <cellStyle name="Обычный 10 2 2 3 3 2 5" xfId="1325"/>
    <cellStyle name="Обычный 10 2 2 3 3 2 5 2" xfId="1326"/>
    <cellStyle name="Обычный 10 2 2 3 3 2 6" xfId="1327"/>
    <cellStyle name="Обычный 10 2 2 3 3 2 7" xfId="1328"/>
    <cellStyle name="Обычный 10 2 2 3 3 3" xfId="1329"/>
    <cellStyle name="Обычный 10 2 2 3 3 3 2" xfId="1330"/>
    <cellStyle name="Обычный 10 2 2 3 3 3 2 2" xfId="1331"/>
    <cellStyle name="Обычный 10 2 2 3 3 3 2 3" xfId="1332"/>
    <cellStyle name="Обычный 10 2 2 3 3 3 3" xfId="1333"/>
    <cellStyle name="Обычный 10 2 2 3 3 3 3 2" xfId="1334"/>
    <cellStyle name="Обычный 10 2 2 3 3 3 3 3" xfId="1335"/>
    <cellStyle name="Обычный 10 2 2 3 3 3 4" xfId="1336"/>
    <cellStyle name="Обычный 10 2 2 3 3 3 4 2" xfId="1337"/>
    <cellStyle name="Обычный 10 2 2 3 3 3 5" xfId="1338"/>
    <cellStyle name="Обычный 10 2 2 3 3 3 6" xfId="1339"/>
    <cellStyle name="Обычный 10 2 2 3 3 4" xfId="1340"/>
    <cellStyle name="Обычный 10 2 2 3 3 4 2" xfId="1341"/>
    <cellStyle name="Обычный 10 2 2 3 3 4 3" xfId="1342"/>
    <cellStyle name="Обычный 10 2 2 3 3 5" xfId="1343"/>
    <cellStyle name="Обычный 10 2 2 3 3 5 2" xfId="1344"/>
    <cellStyle name="Обычный 10 2 2 3 3 5 3" xfId="1345"/>
    <cellStyle name="Обычный 10 2 2 3 3 6" xfId="1346"/>
    <cellStyle name="Обычный 10 2 2 3 3 6 2" xfId="1347"/>
    <cellStyle name="Обычный 10 2 2 3 3 7" xfId="1348"/>
    <cellStyle name="Обычный 10 2 2 3 3 8" xfId="1349"/>
    <cellStyle name="Обычный 10 2 2 3 4" xfId="1350"/>
    <cellStyle name="Обычный 10 2 2 3 4 2" xfId="1351"/>
    <cellStyle name="Обычный 10 2 2 3 4 2 2" xfId="1352"/>
    <cellStyle name="Обычный 10 2 2 3 4 2 2 2" xfId="1353"/>
    <cellStyle name="Обычный 10 2 2 3 4 2 2 3" xfId="1354"/>
    <cellStyle name="Обычный 10 2 2 3 4 2 3" xfId="1355"/>
    <cellStyle name="Обычный 10 2 2 3 4 2 3 2" xfId="1356"/>
    <cellStyle name="Обычный 10 2 2 3 4 2 3 3" xfId="1357"/>
    <cellStyle name="Обычный 10 2 2 3 4 2 4" xfId="1358"/>
    <cellStyle name="Обычный 10 2 2 3 4 2 4 2" xfId="1359"/>
    <cellStyle name="Обычный 10 2 2 3 4 2 5" xfId="1360"/>
    <cellStyle name="Обычный 10 2 2 3 4 2 6" xfId="1361"/>
    <cellStyle name="Обычный 10 2 2 3 4 3" xfId="1362"/>
    <cellStyle name="Обычный 10 2 2 3 4 3 2" xfId="1363"/>
    <cellStyle name="Обычный 10 2 2 3 4 3 3" xfId="1364"/>
    <cellStyle name="Обычный 10 2 2 3 4 4" xfId="1365"/>
    <cellStyle name="Обычный 10 2 2 3 4 4 2" xfId="1366"/>
    <cellStyle name="Обычный 10 2 2 3 4 4 3" xfId="1367"/>
    <cellStyle name="Обычный 10 2 2 3 4 5" xfId="1368"/>
    <cellStyle name="Обычный 10 2 2 3 4 5 2" xfId="1369"/>
    <cellStyle name="Обычный 10 2 2 3 4 6" xfId="1370"/>
    <cellStyle name="Обычный 10 2 2 3 4 7" xfId="1371"/>
    <cellStyle name="Обычный 10 2 2 3 5" xfId="1372"/>
    <cellStyle name="Обычный 10 2 2 3 5 2" xfId="1373"/>
    <cellStyle name="Обычный 10 2 2 3 5 2 2" xfId="1374"/>
    <cellStyle name="Обычный 10 2 2 3 5 2 3" xfId="1375"/>
    <cellStyle name="Обычный 10 2 2 3 5 3" xfId="1376"/>
    <cellStyle name="Обычный 10 2 2 3 5 3 2" xfId="1377"/>
    <cellStyle name="Обычный 10 2 2 3 5 3 3" xfId="1378"/>
    <cellStyle name="Обычный 10 2 2 3 5 4" xfId="1379"/>
    <cellStyle name="Обычный 10 2 2 3 5 4 2" xfId="1380"/>
    <cellStyle name="Обычный 10 2 2 3 5 5" xfId="1381"/>
    <cellStyle name="Обычный 10 2 2 3 5 6" xfId="1382"/>
    <cellStyle name="Обычный 10 2 2 3 6" xfId="1383"/>
    <cellStyle name="Обычный 10 2 2 3 6 2" xfId="1384"/>
    <cellStyle name="Обычный 10 2 2 3 6 3" xfId="1385"/>
    <cellStyle name="Обычный 10 2 2 3 7" xfId="1386"/>
    <cellStyle name="Обычный 10 2 2 3 7 2" xfId="1387"/>
    <cellStyle name="Обычный 10 2 2 3 7 3" xfId="1388"/>
    <cellStyle name="Обычный 10 2 2 3 8" xfId="1389"/>
    <cellStyle name="Обычный 10 2 2 3 8 2" xfId="1390"/>
    <cellStyle name="Обычный 10 2 2 3 9" xfId="1391"/>
    <cellStyle name="Обычный 10 2 2 4" xfId="1392"/>
    <cellStyle name="Обычный 10 2 2 4 10" xfId="1393"/>
    <cellStyle name="Обычный 10 2 2 4 2" xfId="1394"/>
    <cellStyle name="Обычный 10 2 2 4 2 2" xfId="1395"/>
    <cellStyle name="Обычный 10 2 2 4 2 2 2" xfId="1396"/>
    <cellStyle name="Обычный 10 2 2 4 2 2 2 2" xfId="1397"/>
    <cellStyle name="Обычный 10 2 2 4 2 2 2 2 2" xfId="1398"/>
    <cellStyle name="Обычный 10 2 2 4 2 2 2 2 2 2" xfId="1399"/>
    <cellStyle name="Обычный 10 2 2 4 2 2 2 2 2 3" xfId="1400"/>
    <cellStyle name="Обычный 10 2 2 4 2 2 2 2 3" xfId="1401"/>
    <cellStyle name="Обычный 10 2 2 4 2 2 2 2 3 2" xfId="1402"/>
    <cellStyle name="Обычный 10 2 2 4 2 2 2 2 3 3" xfId="1403"/>
    <cellStyle name="Обычный 10 2 2 4 2 2 2 2 4" xfId="1404"/>
    <cellStyle name="Обычный 10 2 2 4 2 2 2 2 4 2" xfId="1405"/>
    <cellStyle name="Обычный 10 2 2 4 2 2 2 2 5" xfId="1406"/>
    <cellStyle name="Обычный 10 2 2 4 2 2 2 2 6" xfId="1407"/>
    <cellStyle name="Обычный 10 2 2 4 2 2 2 3" xfId="1408"/>
    <cellStyle name="Обычный 10 2 2 4 2 2 2 3 2" xfId="1409"/>
    <cellStyle name="Обычный 10 2 2 4 2 2 2 3 3" xfId="1410"/>
    <cellStyle name="Обычный 10 2 2 4 2 2 2 4" xfId="1411"/>
    <cellStyle name="Обычный 10 2 2 4 2 2 2 4 2" xfId="1412"/>
    <cellStyle name="Обычный 10 2 2 4 2 2 2 4 3" xfId="1413"/>
    <cellStyle name="Обычный 10 2 2 4 2 2 2 5" xfId="1414"/>
    <cellStyle name="Обычный 10 2 2 4 2 2 2 5 2" xfId="1415"/>
    <cellStyle name="Обычный 10 2 2 4 2 2 2 6" xfId="1416"/>
    <cellStyle name="Обычный 10 2 2 4 2 2 2 7" xfId="1417"/>
    <cellStyle name="Обычный 10 2 2 4 2 2 3" xfId="1418"/>
    <cellStyle name="Обычный 10 2 2 4 2 2 3 2" xfId="1419"/>
    <cellStyle name="Обычный 10 2 2 4 2 2 3 2 2" xfId="1420"/>
    <cellStyle name="Обычный 10 2 2 4 2 2 3 2 3" xfId="1421"/>
    <cellStyle name="Обычный 10 2 2 4 2 2 3 3" xfId="1422"/>
    <cellStyle name="Обычный 10 2 2 4 2 2 3 3 2" xfId="1423"/>
    <cellStyle name="Обычный 10 2 2 4 2 2 3 3 3" xfId="1424"/>
    <cellStyle name="Обычный 10 2 2 4 2 2 3 4" xfId="1425"/>
    <cellStyle name="Обычный 10 2 2 4 2 2 3 4 2" xfId="1426"/>
    <cellStyle name="Обычный 10 2 2 4 2 2 3 5" xfId="1427"/>
    <cellStyle name="Обычный 10 2 2 4 2 2 3 6" xfId="1428"/>
    <cellStyle name="Обычный 10 2 2 4 2 2 4" xfId="1429"/>
    <cellStyle name="Обычный 10 2 2 4 2 2 4 2" xfId="1430"/>
    <cellStyle name="Обычный 10 2 2 4 2 2 4 3" xfId="1431"/>
    <cellStyle name="Обычный 10 2 2 4 2 2 5" xfId="1432"/>
    <cellStyle name="Обычный 10 2 2 4 2 2 5 2" xfId="1433"/>
    <cellStyle name="Обычный 10 2 2 4 2 2 5 3" xfId="1434"/>
    <cellStyle name="Обычный 10 2 2 4 2 2 6" xfId="1435"/>
    <cellStyle name="Обычный 10 2 2 4 2 2 6 2" xfId="1436"/>
    <cellStyle name="Обычный 10 2 2 4 2 2 7" xfId="1437"/>
    <cellStyle name="Обычный 10 2 2 4 2 2 8" xfId="1438"/>
    <cellStyle name="Обычный 10 2 2 4 2 3" xfId="1439"/>
    <cellStyle name="Обычный 10 2 2 4 2 3 2" xfId="1440"/>
    <cellStyle name="Обычный 10 2 2 4 2 3 2 2" xfId="1441"/>
    <cellStyle name="Обычный 10 2 2 4 2 3 2 2 2" xfId="1442"/>
    <cellStyle name="Обычный 10 2 2 4 2 3 2 2 3" xfId="1443"/>
    <cellStyle name="Обычный 10 2 2 4 2 3 2 3" xfId="1444"/>
    <cellStyle name="Обычный 10 2 2 4 2 3 2 3 2" xfId="1445"/>
    <cellStyle name="Обычный 10 2 2 4 2 3 2 3 3" xfId="1446"/>
    <cellStyle name="Обычный 10 2 2 4 2 3 2 4" xfId="1447"/>
    <cellStyle name="Обычный 10 2 2 4 2 3 2 4 2" xfId="1448"/>
    <cellStyle name="Обычный 10 2 2 4 2 3 2 5" xfId="1449"/>
    <cellStyle name="Обычный 10 2 2 4 2 3 2 6" xfId="1450"/>
    <cellStyle name="Обычный 10 2 2 4 2 3 3" xfId="1451"/>
    <cellStyle name="Обычный 10 2 2 4 2 3 3 2" xfId="1452"/>
    <cellStyle name="Обычный 10 2 2 4 2 3 3 3" xfId="1453"/>
    <cellStyle name="Обычный 10 2 2 4 2 3 4" xfId="1454"/>
    <cellStyle name="Обычный 10 2 2 4 2 3 4 2" xfId="1455"/>
    <cellStyle name="Обычный 10 2 2 4 2 3 4 3" xfId="1456"/>
    <cellStyle name="Обычный 10 2 2 4 2 3 5" xfId="1457"/>
    <cellStyle name="Обычный 10 2 2 4 2 3 5 2" xfId="1458"/>
    <cellStyle name="Обычный 10 2 2 4 2 3 6" xfId="1459"/>
    <cellStyle name="Обычный 10 2 2 4 2 3 7" xfId="1460"/>
    <cellStyle name="Обычный 10 2 2 4 2 4" xfId="1461"/>
    <cellStyle name="Обычный 10 2 2 4 2 4 2" xfId="1462"/>
    <cellStyle name="Обычный 10 2 2 4 2 4 2 2" xfId="1463"/>
    <cellStyle name="Обычный 10 2 2 4 2 4 2 3" xfId="1464"/>
    <cellStyle name="Обычный 10 2 2 4 2 4 3" xfId="1465"/>
    <cellStyle name="Обычный 10 2 2 4 2 4 3 2" xfId="1466"/>
    <cellStyle name="Обычный 10 2 2 4 2 4 3 3" xfId="1467"/>
    <cellStyle name="Обычный 10 2 2 4 2 4 4" xfId="1468"/>
    <cellStyle name="Обычный 10 2 2 4 2 4 4 2" xfId="1469"/>
    <cellStyle name="Обычный 10 2 2 4 2 4 5" xfId="1470"/>
    <cellStyle name="Обычный 10 2 2 4 2 4 6" xfId="1471"/>
    <cellStyle name="Обычный 10 2 2 4 2 5" xfId="1472"/>
    <cellStyle name="Обычный 10 2 2 4 2 5 2" xfId="1473"/>
    <cellStyle name="Обычный 10 2 2 4 2 5 3" xfId="1474"/>
    <cellStyle name="Обычный 10 2 2 4 2 6" xfId="1475"/>
    <cellStyle name="Обычный 10 2 2 4 2 6 2" xfId="1476"/>
    <cellStyle name="Обычный 10 2 2 4 2 6 3" xfId="1477"/>
    <cellStyle name="Обычный 10 2 2 4 2 7" xfId="1478"/>
    <cellStyle name="Обычный 10 2 2 4 2 7 2" xfId="1479"/>
    <cellStyle name="Обычный 10 2 2 4 2 8" xfId="1480"/>
    <cellStyle name="Обычный 10 2 2 4 2 9" xfId="1481"/>
    <cellStyle name="Обычный 10 2 2 4 3" xfId="1482"/>
    <cellStyle name="Обычный 10 2 2 4 3 2" xfId="1483"/>
    <cellStyle name="Обычный 10 2 2 4 3 2 2" xfId="1484"/>
    <cellStyle name="Обычный 10 2 2 4 3 2 2 2" xfId="1485"/>
    <cellStyle name="Обычный 10 2 2 4 3 2 2 2 2" xfId="1486"/>
    <cellStyle name="Обычный 10 2 2 4 3 2 2 2 3" xfId="1487"/>
    <cellStyle name="Обычный 10 2 2 4 3 2 2 3" xfId="1488"/>
    <cellStyle name="Обычный 10 2 2 4 3 2 2 3 2" xfId="1489"/>
    <cellStyle name="Обычный 10 2 2 4 3 2 2 3 3" xfId="1490"/>
    <cellStyle name="Обычный 10 2 2 4 3 2 2 4" xfId="1491"/>
    <cellStyle name="Обычный 10 2 2 4 3 2 2 4 2" xfId="1492"/>
    <cellStyle name="Обычный 10 2 2 4 3 2 2 5" xfId="1493"/>
    <cellStyle name="Обычный 10 2 2 4 3 2 2 6" xfId="1494"/>
    <cellStyle name="Обычный 10 2 2 4 3 2 3" xfId="1495"/>
    <cellStyle name="Обычный 10 2 2 4 3 2 3 2" xfId="1496"/>
    <cellStyle name="Обычный 10 2 2 4 3 2 3 3" xfId="1497"/>
    <cellStyle name="Обычный 10 2 2 4 3 2 4" xfId="1498"/>
    <cellStyle name="Обычный 10 2 2 4 3 2 4 2" xfId="1499"/>
    <cellStyle name="Обычный 10 2 2 4 3 2 4 3" xfId="1500"/>
    <cellStyle name="Обычный 10 2 2 4 3 2 5" xfId="1501"/>
    <cellStyle name="Обычный 10 2 2 4 3 2 5 2" xfId="1502"/>
    <cellStyle name="Обычный 10 2 2 4 3 2 6" xfId="1503"/>
    <cellStyle name="Обычный 10 2 2 4 3 2 7" xfId="1504"/>
    <cellStyle name="Обычный 10 2 2 4 3 3" xfId="1505"/>
    <cellStyle name="Обычный 10 2 2 4 3 3 2" xfId="1506"/>
    <cellStyle name="Обычный 10 2 2 4 3 3 2 2" xfId="1507"/>
    <cellStyle name="Обычный 10 2 2 4 3 3 2 3" xfId="1508"/>
    <cellStyle name="Обычный 10 2 2 4 3 3 3" xfId="1509"/>
    <cellStyle name="Обычный 10 2 2 4 3 3 3 2" xfId="1510"/>
    <cellStyle name="Обычный 10 2 2 4 3 3 3 3" xfId="1511"/>
    <cellStyle name="Обычный 10 2 2 4 3 3 4" xfId="1512"/>
    <cellStyle name="Обычный 10 2 2 4 3 3 4 2" xfId="1513"/>
    <cellStyle name="Обычный 10 2 2 4 3 3 5" xfId="1514"/>
    <cellStyle name="Обычный 10 2 2 4 3 3 6" xfId="1515"/>
    <cellStyle name="Обычный 10 2 2 4 3 4" xfId="1516"/>
    <cellStyle name="Обычный 10 2 2 4 3 4 2" xfId="1517"/>
    <cellStyle name="Обычный 10 2 2 4 3 4 3" xfId="1518"/>
    <cellStyle name="Обычный 10 2 2 4 3 5" xfId="1519"/>
    <cellStyle name="Обычный 10 2 2 4 3 5 2" xfId="1520"/>
    <cellStyle name="Обычный 10 2 2 4 3 5 3" xfId="1521"/>
    <cellStyle name="Обычный 10 2 2 4 3 6" xfId="1522"/>
    <cellStyle name="Обычный 10 2 2 4 3 6 2" xfId="1523"/>
    <cellStyle name="Обычный 10 2 2 4 3 7" xfId="1524"/>
    <cellStyle name="Обычный 10 2 2 4 3 8" xfId="1525"/>
    <cellStyle name="Обычный 10 2 2 4 4" xfId="1526"/>
    <cellStyle name="Обычный 10 2 2 4 4 2" xfId="1527"/>
    <cellStyle name="Обычный 10 2 2 4 4 2 2" xfId="1528"/>
    <cellStyle name="Обычный 10 2 2 4 4 2 2 2" xfId="1529"/>
    <cellStyle name="Обычный 10 2 2 4 4 2 2 3" xfId="1530"/>
    <cellStyle name="Обычный 10 2 2 4 4 2 3" xfId="1531"/>
    <cellStyle name="Обычный 10 2 2 4 4 2 3 2" xfId="1532"/>
    <cellStyle name="Обычный 10 2 2 4 4 2 3 3" xfId="1533"/>
    <cellStyle name="Обычный 10 2 2 4 4 2 4" xfId="1534"/>
    <cellStyle name="Обычный 10 2 2 4 4 2 4 2" xfId="1535"/>
    <cellStyle name="Обычный 10 2 2 4 4 2 5" xfId="1536"/>
    <cellStyle name="Обычный 10 2 2 4 4 2 6" xfId="1537"/>
    <cellStyle name="Обычный 10 2 2 4 4 3" xfId="1538"/>
    <cellStyle name="Обычный 10 2 2 4 4 3 2" xfId="1539"/>
    <cellStyle name="Обычный 10 2 2 4 4 3 3" xfId="1540"/>
    <cellStyle name="Обычный 10 2 2 4 4 4" xfId="1541"/>
    <cellStyle name="Обычный 10 2 2 4 4 4 2" xfId="1542"/>
    <cellStyle name="Обычный 10 2 2 4 4 4 3" xfId="1543"/>
    <cellStyle name="Обычный 10 2 2 4 4 5" xfId="1544"/>
    <cellStyle name="Обычный 10 2 2 4 4 5 2" xfId="1545"/>
    <cellStyle name="Обычный 10 2 2 4 4 6" xfId="1546"/>
    <cellStyle name="Обычный 10 2 2 4 4 7" xfId="1547"/>
    <cellStyle name="Обычный 10 2 2 4 5" xfId="1548"/>
    <cellStyle name="Обычный 10 2 2 4 5 2" xfId="1549"/>
    <cellStyle name="Обычный 10 2 2 4 5 2 2" xfId="1550"/>
    <cellStyle name="Обычный 10 2 2 4 5 2 3" xfId="1551"/>
    <cellStyle name="Обычный 10 2 2 4 5 3" xfId="1552"/>
    <cellStyle name="Обычный 10 2 2 4 5 3 2" xfId="1553"/>
    <cellStyle name="Обычный 10 2 2 4 5 3 3" xfId="1554"/>
    <cellStyle name="Обычный 10 2 2 4 5 4" xfId="1555"/>
    <cellStyle name="Обычный 10 2 2 4 5 4 2" xfId="1556"/>
    <cellStyle name="Обычный 10 2 2 4 5 5" xfId="1557"/>
    <cellStyle name="Обычный 10 2 2 4 5 6" xfId="1558"/>
    <cellStyle name="Обычный 10 2 2 4 6" xfId="1559"/>
    <cellStyle name="Обычный 10 2 2 4 6 2" xfId="1560"/>
    <cellStyle name="Обычный 10 2 2 4 6 3" xfId="1561"/>
    <cellStyle name="Обычный 10 2 2 4 7" xfId="1562"/>
    <cellStyle name="Обычный 10 2 2 4 7 2" xfId="1563"/>
    <cellStyle name="Обычный 10 2 2 4 7 3" xfId="1564"/>
    <cellStyle name="Обычный 10 2 2 4 8" xfId="1565"/>
    <cellStyle name="Обычный 10 2 2 4 8 2" xfId="1566"/>
    <cellStyle name="Обычный 10 2 2 4 9" xfId="1567"/>
    <cellStyle name="Обычный 10 2 2 5" xfId="1568"/>
    <cellStyle name="Обычный 10 2 2 5 2" xfId="1569"/>
    <cellStyle name="Обычный 10 2 2 5 2 2" xfId="1570"/>
    <cellStyle name="Обычный 10 2 2 5 2 2 2" xfId="1571"/>
    <cellStyle name="Обычный 10 2 2 5 2 2 2 2" xfId="1572"/>
    <cellStyle name="Обычный 10 2 2 5 2 2 2 2 2" xfId="1573"/>
    <cellStyle name="Обычный 10 2 2 5 2 2 2 2 3" xfId="1574"/>
    <cellStyle name="Обычный 10 2 2 5 2 2 2 3" xfId="1575"/>
    <cellStyle name="Обычный 10 2 2 5 2 2 2 3 2" xfId="1576"/>
    <cellStyle name="Обычный 10 2 2 5 2 2 2 3 3" xfId="1577"/>
    <cellStyle name="Обычный 10 2 2 5 2 2 2 4" xfId="1578"/>
    <cellStyle name="Обычный 10 2 2 5 2 2 2 4 2" xfId="1579"/>
    <cellStyle name="Обычный 10 2 2 5 2 2 2 5" xfId="1580"/>
    <cellStyle name="Обычный 10 2 2 5 2 2 2 6" xfId="1581"/>
    <cellStyle name="Обычный 10 2 2 5 2 2 3" xfId="1582"/>
    <cellStyle name="Обычный 10 2 2 5 2 2 3 2" xfId="1583"/>
    <cellStyle name="Обычный 10 2 2 5 2 2 3 3" xfId="1584"/>
    <cellStyle name="Обычный 10 2 2 5 2 2 4" xfId="1585"/>
    <cellStyle name="Обычный 10 2 2 5 2 2 4 2" xfId="1586"/>
    <cellStyle name="Обычный 10 2 2 5 2 2 4 3" xfId="1587"/>
    <cellStyle name="Обычный 10 2 2 5 2 2 5" xfId="1588"/>
    <cellStyle name="Обычный 10 2 2 5 2 2 5 2" xfId="1589"/>
    <cellStyle name="Обычный 10 2 2 5 2 2 6" xfId="1590"/>
    <cellStyle name="Обычный 10 2 2 5 2 2 7" xfId="1591"/>
    <cellStyle name="Обычный 10 2 2 5 2 3" xfId="1592"/>
    <cellStyle name="Обычный 10 2 2 5 2 3 2" xfId="1593"/>
    <cellStyle name="Обычный 10 2 2 5 2 3 2 2" xfId="1594"/>
    <cellStyle name="Обычный 10 2 2 5 2 3 2 3" xfId="1595"/>
    <cellStyle name="Обычный 10 2 2 5 2 3 3" xfId="1596"/>
    <cellStyle name="Обычный 10 2 2 5 2 3 3 2" xfId="1597"/>
    <cellStyle name="Обычный 10 2 2 5 2 3 3 3" xfId="1598"/>
    <cellStyle name="Обычный 10 2 2 5 2 3 4" xfId="1599"/>
    <cellStyle name="Обычный 10 2 2 5 2 3 4 2" xfId="1600"/>
    <cellStyle name="Обычный 10 2 2 5 2 3 5" xfId="1601"/>
    <cellStyle name="Обычный 10 2 2 5 2 3 6" xfId="1602"/>
    <cellStyle name="Обычный 10 2 2 5 2 4" xfId="1603"/>
    <cellStyle name="Обычный 10 2 2 5 2 4 2" xfId="1604"/>
    <cellStyle name="Обычный 10 2 2 5 2 4 3" xfId="1605"/>
    <cellStyle name="Обычный 10 2 2 5 2 5" xfId="1606"/>
    <cellStyle name="Обычный 10 2 2 5 2 5 2" xfId="1607"/>
    <cellStyle name="Обычный 10 2 2 5 2 5 3" xfId="1608"/>
    <cellStyle name="Обычный 10 2 2 5 2 6" xfId="1609"/>
    <cellStyle name="Обычный 10 2 2 5 2 6 2" xfId="1610"/>
    <cellStyle name="Обычный 10 2 2 5 2 7" xfId="1611"/>
    <cellStyle name="Обычный 10 2 2 5 2 8" xfId="1612"/>
    <cellStyle name="Обычный 10 2 2 5 3" xfId="1613"/>
    <cellStyle name="Обычный 10 2 2 5 3 2" xfId="1614"/>
    <cellStyle name="Обычный 10 2 2 5 3 2 2" xfId="1615"/>
    <cellStyle name="Обычный 10 2 2 5 3 2 2 2" xfId="1616"/>
    <cellStyle name="Обычный 10 2 2 5 3 2 2 3" xfId="1617"/>
    <cellStyle name="Обычный 10 2 2 5 3 2 3" xfId="1618"/>
    <cellStyle name="Обычный 10 2 2 5 3 2 3 2" xfId="1619"/>
    <cellStyle name="Обычный 10 2 2 5 3 2 3 3" xfId="1620"/>
    <cellStyle name="Обычный 10 2 2 5 3 2 4" xfId="1621"/>
    <cellStyle name="Обычный 10 2 2 5 3 2 4 2" xfId="1622"/>
    <cellStyle name="Обычный 10 2 2 5 3 2 5" xfId="1623"/>
    <cellStyle name="Обычный 10 2 2 5 3 2 6" xfId="1624"/>
    <cellStyle name="Обычный 10 2 2 5 3 3" xfId="1625"/>
    <cellStyle name="Обычный 10 2 2 5 3 3 2" xfId="1626"/>
    <cellStyle name="Обычный 10 2 2 5 3 3 3" xfId="1627"/>
    <cellStyle name="Обычный 10 2 2 5 3 4" xfId="1628"/>
    <cellStyle name="Обычный 10 2 2 5 3 4 2" xfId="1629"/>
    <cellStyle name="Обычный 10 2 2 5 3 4 3" xfId="1630"/>
    <cellStyle name="Обычный 10 2 2 5 3 5" xfId="1631"/>
    <cellStyle name="Обычный 10 2 2 5 3 5 2" xfId="1632"/>
    <cellStyle name="Обычный 10 2 2 5 3 6" xfId="1633"/>
    <cellStyle name="Обычный 10 2 2 5 3 7" xfId="1634"/>
    <cellStyle name="Обычный 10 2 2 5 4" xfId="1635"/>
    <cellStyle name="Обычный 10 2 2 5 4 2" xfId="1636"/>
    <cellStyle name="Обычный 10 2 2 5 4 2 2" xfId="1637"/>
    <cellStyle name="Обычный 10 2 2 5 4 2 3" xfId="1638"/>
    <cellStyle name="Обычный 10 2 2 5 4 3" xfId="1639"/>
    <cellStyle name="Обычный 10 2 2 5 4 3 2" xfId="1640"/>
    <cellStyle name="Обычный 10 2 2 5 4 3 3" xfId="1641"/>
    <cellStyle name="Обычный 10 2 2 5 4 4" xfId="1642"/>
    <cellStyle name="Обычный 10 2 2 5 4 4 2" xfId="1643"/>
    <cellStyle name="Обычный 10 2 2 5 4 5" xfId="1644"/>
    <cellStyle name="Обычный 10 2 2 5 4 6" xfId="1645"/>
    <cellStyle name="Обычный 10 2 2 5 5" xfId="1646"/>
    <cellStyle name="Обычный 10 2 2 5 5 2" xfId="1647"/>
    <cellStyle name="Обычный 10 2 2 5 5 3" xfId="1648"/>
    <cellStyle name="Обычный 10 2 2 5 6" xfId="1649"/>
    <cellStyle name="Обычный 10 2 2 5 6 2" xfId="1650"/>
    <cellStyle name="Обычный 10 2 2 5 6 3" xfId="1651"/>
    <cellStyle name="Обычный 10 2 2 5 7" xfId="1652"/>
    <cellStyle name="Обычный 10 2 2 5 7 2" xfId="1653"/>
    <cellStyle name="Обычный 10 2 2 5 8" xfId="1654"/>
    <cellStyle name="Обычный 10 2 2 5 9" xfId="1655"/>
    <cellStyle name="Обычный 10 2 2 6" xfId="1656"/>
    <cellStyle name="Обычный 10 2 2 6 2" xfId="1657"/>
    <cellStyle name="Обычный 10 2 2 6 2 2" xfId="1658"/>
    <cellStyle name="Обычный 10 2 2 6 2 2 2" xfId="1659"/>
    <cellStyle name="Обычный 10 2 2 6 2 2 2 2" xfId="1660"/>
    <cellStyle name="Обычный 10 2 2 6 2 2 2 3" xfId="1661"/>
    <cellStyle name="Обычный 10 2 2 6 2 2 3" xfId="1662"/>
    <cellStyle name="Обычный 10 2 2 6 2 2 3 2" xfId="1663"/>
    <cellStyle name="Обычный 10 2 2 6 2 2 3 3" xfId="1664"/>
    <cellStyle name="Обычный 10 2 2 6 2 2 4" xfId="1665"/>
    <cellStyle name="Обычный 10 2 2 6 2 2 4 2" xfId="1666"/>
    <cellStyle name="Обычный 10 2 2 6 2 2 5" xfId="1667"/>
    <cellStyle name="Обычный 10 2 2 6 2 2 6" xfId="1668"/>
    <cellStyle name="Обычный 10 2 2 6 2 3" xfId="1669"/>
    <cellStyle name="Обычный 10 2 2 6 2 3 2" xfId="1670"/>
    <cellStyle name="Обычный 10 2 2 6 2 3 3" xfId="1671"/>
    <cellStyle name="Обычный 10 2 2 6 2 4" xfId="1672"/>
    <cellStyle name="Обычный 10 2 2 6 2 4 2" xfId="1673"/>
    <cellStyle name="Обычный 10 2 2 6 2 4 3" xfId="1674"/>
    <cellStyle name="Обычный 10 2 2 6 2 5" xfId="1675"/>
    <cellStyle name="Обычный 10 2 2 6 2 5 2" xfId="1676"/>
    <cellStyle name="Обычный 10 2 2 6 2 6" xfId="1677"/>
    <cellStyle name="Обычный 10 2 2 6 2 7" xfId="1678"/>
    <cellStyle name="Обычный 10 2 2 6 3" xfId="1679"/>
    <cellStyle name="Обычный 10 2 2 6 3 2" xfId="1680"/>
    <cellStyle name="Обычный 10 2 2 6 3 2 2" xfId="1681"/>
    <cellStyle name="Обычный 10 2 2 6 3 2 3" xfId="1682"/>
    <cellStyle name="Обычный 10 2 2 6 3 3" xfId="1683"/>
    <cellStyle name="Обычный 10 2 2 6 3 3 2" xfId="1684"/>
    <cellStyle name="Обычный 10 2 2 6 3 3 3" xfId="1685"/>
    <cellStyle name="Обычный 10 2 2 6 3 4" xfId="1686"/>
    <cellStyle name="Обычный 10 2 2 6 3 4 2" xfId="1687"/>
    <cellStyle name="Обычный 10 2 2 6 3 5" xfId="1688"/>
    <cellStyle name="Обычный 10 2 2 6 3 6" xfId="1689"/>
    <cellStyle name="Обычный 10 2 2 6 4" xfId="1690"/>
    <cellStyle name="Обычный 10 2 2 6 4 2" xfId="1691"/>
    <cellStyle name="Обычный 10 2 2 6 4 3" xfId="1692"/>
    <cellStyle name="Обычный 10 2 2 6 5" xfId="1693"/>
    <cellStyle name="Обычный 10 2 2 6 5 2" xfId="1694"/>
    <cellStyle name="Обычный 10 2 2 6 5 3" xfId="1695"/>
    <cellStyle name="Обычный 10 2 2 6 6" xfId="1696"/>
    <cellStyle name="Обычный 10 2 2 6 6 2" xfId="1697"/>
    <cellStyle name="Обычный 10 2 2 6 7" xfId="1698"/>
    <cellStyle name="Обычный 10 2 2 6 8" xfId="1699"/>
    <cellStyle name="Обычный 10 2 2 7" xfId="1700"/>
    <cellStyle name="Обычный 10 2 2 7 2" xfId="1701"/>
    <cellStyle name="Обычный 10 2 2 7 2 2" xfId="1702"/>
    <cellStyle name="Обычный 10 2 2 7 2 2 2" xfId="1703"/>
    <cellStyle name="Обычный 10 2 2 7 2 2 3" xfId="1704"/>
    <cellStyle name="Обычный 10 2 2 7 2 3" xfId="1705"/>
    <cellStyle name="Обычный 10 2 2 7 2 3 2" xfId="1706"/>
    <cellStyle name="Обычный 10 2 2 7 2 3 3" xfId="1707"/>
    <cellStyle name="Обычный 10 2 2 7 2 4" xfId="1708"/>
    <cellStyle name="Обычный 10 2 2 7 2 4 2" xfId="1709"/>
    <cellStyle name="Обычный 10 2 2 7 2 5" xfId="1710"/>
    <cellStyle name="Обычный 10 2 2 7 2 6" xfId="1711"/>
    <cellStyle name="Обычный 10 2 2 7 3" xfId="1712"/>
    <cellStyle name="Обычный 10 2 2 7 3 2" xfId="1713"/>
    <cellStyle name="Обычный 10 2 2 7 3 3" xfId="1714"/>
    <cellStyle name="Обычный 10 2 2 7 4" xfId="1715"/>
    <cellStyle name="Обычный 10 2 2 7 4 2" xfId="1716"/>
    <cellStyle name="Обычный 10 2 2 7 4 3" xfId="1717"/>
    <cellStyle name="Обычный 10 2 2 7 5" xfId="1718"/>
    <cellStyle name="Обычный 10 2 2 7 5 2" xfId="1719"/>
    <cellStyle name="Обычный 10 2 2 7 6" xfId="1720"/>
    <cellStyle name="Обычный 10 2 2 7 7" xfId="1721"/>
    <cellStyle name="Обычный 10 2 2 8" xfId="1722"/>
    <cellStyle name="Обычный 10 2 2 8 2" xfId="1723"/>
    <cellStyle name="Обычный 10 2 2 8 2 2" xfId="1724"/>
    <cellStyle name="Обычный 10 2 2 8 2 3" xfId="1725"/>
    <cellStyle name="Обычный 10 2 2 8 3" xfId="1726"/>
    <cellStyle name="Обычный 10 2 2 8 3 2" xfId="1727"/>
    <cellStyle name="Обычный 10 2 2 8 3 3" xfId="1728"/>
    <cellStyle name="Обычный 10 2 2 8 4" xfId="1729"/>
    <cellStyle name="Обычный 10 2 2 8 4 2" xfId="1730"/>
    <cellStyle name="Обычный 10 2 2 8 5" xfId="1731"/>
    <cellStyle name="Обычный 10 2 2 8 6" xfId="1732"/>
    <cellStyle name="Обычный 10 2 2 9" xfId="1733"/>
    <cellStyle name="Обычный 10 2 2 9 2" xfId="1734"/>
    <cellStyle name="Обычный 10 2 2 9 3" xfId="1735"/>
    <cellStyle name="Обычный 10 2 3" xfId="1736"/>
    <cellStyle name="Обычный 10 2 3 10" xfId="1737"/>
    <cellStyle name="Обычный 10 2 3 2" xfId="1738"/>
    <cellStyle name="Обычный 10 2 3 2 2" xfId="1739"/>
    <cellStyle name="Обычный 10 2 3 2 2 2" xfId="1740"/>
    <cellStyle name="Обычный 10 2 3 2 2 2 2" xfId="1741"/>
    <cellStyle name="Обычный 10 2 3 2 2 2 2 2" xfId="1742"/>
    <cellStyle name="Обычный 10 2 3 2 2 2 2 2 2" xfId="1743"/>
    <cellStyle name="Обычный 10 2 3 2 2 2 2 2 3" xfId="1744"/>
    <cellStyle name="Обычный 10 2 3 2 2 2 2 3" xfId="1745"/>
    <cellStyle name="Обычный 10 2 3 2 2 2 2 3 2" xfId="1746"/>
    <cellStyle name="Обычный 10 2 3 2 2 2 2 3 3" xfId="1747"/>
    <cellStyle name="Обычный 10 2 3 2 2 2 2 4" xfId="1748"/>
    <cellStyle name="Обычный 10 2 3 2 2 2 2 4 2" xfId="1749"/>
    <cellStyle name="Обычный 10 2 3 2 2 2 2 5" xfId="1750"/>
    <cellStyle name="Обычный 10 2 3 2 2 2 2 6" xfId="1751"/>
    <cellStyle name="Обычный 10 2 3 2 2 2 3" xfId="1752"/>
    <cellStyle name="Обычный 10 2 3 2 2 2 3 2" xfId="1753"/>
    <cellStyle name="Обычный 10 2 3 2 2 2 3 3" xfId="1754"/>
    <cellStyle name="Обычный 10 2 3 2 2 2 4" xfId="1755"/>
    <cellStyle name="Обычный 10 2 3 2 2 2 4 2" xfId="1756"/>
    <cellStyle name="Обычный 10 2 3 2 2 2 4 3" xfId="1757"/>
    <cellStyle name="Обычный 10 2 3 2 2 2 5" xfId="1758"/>
    <cellStyle name="Обычный 10 2 3 2 2 2 5 2" xfId="1759"/>
    <cellStyle name="Обычный 10 2 3 2 2 2 6" xfId="1760"/>
    <cellStyle name="Обычный 10 2 3 2 2 2 7" xfId="1761"/>
    <cellStyle name="Обычный 10 2 3 2 2 3" xfId="1762"/>
    <cellStyle name="Обычный 10 2 3 2 2 3 2" xfId="1763"/>
    <cellStyle name="Обычный 10 2 3 2 2 3 2 2" xfId="1764"/>
    <cellStyle name="Обычный 10 2 3 2 2 3 2 3" xfId="1765"/>
    <cellStyle name="Обычный 10 2 3 2 2 3 3" xfId="1766"/>
    <cellStyle name="Обычный 10 2 3 2 2 3 3 2" xfId="1767"/>
    <cellStyle name="Обычный 10 2 3 2 2 3 3 3" xfId="1768"/>
    <cellStyle name="Обычный 10 2 3 2 2 3 4" xfId="1769"/>
    <cellStyle name="Обычный 10 2 3 2 2 3 4 2" xfId="1770"/>
    <cellStyle name="Обычный 10 2 3 2 2 3 5" xfId="1771"/>
    <cellStyle name="Обычный 10 2 3 2 2 3 6" xfId="1772"/>
    <cellStyle name="Обычный 10 2 3 2 2 4" xfId="1773"/>
    <cellStyle name="Обычный 10 2 3 2 2 4 2" xfId="1774"/>
    <cellStyle name="Обычный 10 2 3 2 2 4 3" xfId="1775"/>
    <cellStyle name="Обычный 10 2 3 2 2 5" xfId="1776"/>
    <cellStyle name="Обычный 10 2 3 2 2 5 2" xfId="1777"/>
    <cellStyle name="Обычный 10 2 3 2 2 5 3" xfId="1778"/>
    <cellStyle name="Обычный 10 2 3 2 2 6" xfId="1779"/>
    <cellStyle name="Обычный 10 2 3 2 2 6 2" xfId="1780"/>
    <cellStyle name="Обычный 10 2 3 2 2 7" xfId="1781"/>
    <cellStyle name="Обычный 10 2 3 2 2 8" xfId="1782"/>
    <cellStyle name="Обычный 10 2 3 2 3" xfId="1783"/>
    <cellStyle name="Обычный 10 2 3 2 3 2" xfId="1784"/>
    <cellStyle name="Обычный 10 2 3 2 3 2 2" xfId="1785"/>
    <cellStyle name="Обычный 10 2 3 2 3 2 2 2" xfId="1786"/>
    <cellStyle name="Обычный 10 2 3 2 3 2 2 3" xfId="1787"/>
    <cellStyle name="Обычный 10 2 3 2 3 2 3" xfId="1788"/>
    <cellStyle name="Обычный 10 2 3 2 3 2 3 2" xfId="1789"/>
    <cellStyle name="Обычный 10 2 3 2 3 2 3 3" xfId="1790"/>
    <cellStyle name="Обычный 10 2 3 2 3 2 4" xfId="1791"/>
    <cellStyle name="Обычный 10 2 3 2 3 2 4 2" xfId="1792"/>
    <cellStyle name="Обычный 10 2 3 2 3 2 5" xfId="1793"/>
    <cellStyle name="Обычный 10 2 3 2 3 2 6" xfId="1794"/>
    <cellStyle name="Обычный 10 2 3 2 3 3" xfId="1795"/>
    <cellStyle name="Обычный 10 2 3 2 3 3 2" xfId="1796"/>
    <cellStyle name="Обычный 10 2 3 2 3 3 3" xfId="1797"/>
    <cellStyle name="Обычный 10 2 3 2 3 4" xfId="1798"/>
    <cellStyle name="Обычный 10 2 3 2 3 4 2" xfId="1799"/>
    <cellStyle name="Обычный 10 2 3 2 3 4 3" xfId="1800"/>
    <cellStyle name="Обычный 10 2 3 2 3 5" xfId="1801"/>
    <cellStyle name="Обычный 10 2 3 2 3 5 2" xfId="1802"/>
    <cellStyle name="Обычный 10 2 3 2 3 6" xfId="1803"/>
    <cellStyle name="Обычный 10 2 3 2 3 7" xfId="1804"/>
    <cellStyle name="Обычный 10 2 3 2 4" xfId="1805"/>
    <cellStyle name="Обычный 10 2 3 2 4 2" xfId="1806"/>
    <cellStyle name="Обычный 10 2 3 2 4 2 2" xfId="1807"/>
    <cellStyle name="Обычный 10 2 3 2 4 2 3" xfId="1808"/>
    <cellStyle name="Обычный 10 2 3 2 4 3" xfId="1809"/>
    <cellStyle name="Обычный 10 2 3 2 4 3 2" xfId="1810"/>
    <cellStyle name="Обычный 10 2 3 2 4 3 3" xfId="1811"/>
    <cellStyle name="Обычный 10 2 3 2 4 4" xfId="1812"/>
    <cellStyle name="Обычный 10 2 3 2 4 4 2" xfId="1813"/>
    <cellStyle name="Обычный 10 2 3 2 4 5" xfId="1814"/>
    <cellStyle name="Обычный 10 2 3 2 4 6" xfId="1815"/>
    <cellStyle name="Обычный 10 2 3 2 5" xfId="1816"/>
    <cellStyle name="Обычный 10 2 3 2 5 2" xfId="1817"/>
    <cellStyle name="Обычный 10 2 3 2 5 3" xfId="1818"/>
    <cellStyle name="Обычный 10 2 3 2 6" xfId="1819"/>
    <cellStyle name="Обычный 10 2 3 2 6 2" xfId="1820"/>
    <cellStyle name="Обычный 10 2 3 2 6 3" xfId="1821"/>
    <cellStyle name="Обычный 10 2 3 2 7" xfId="1822"/>
    <cellStyle name="Обычный 10 2 3 2 7 2" xfId="1823"/>
    <cellStyle name="Обычный 10 2 3 2 8" xfId="1824"/>
    <cellStyle name="Обычный 10 2 3 2 9" xfId="1825"/>
    <cellStyle name="Обычный 10 2 3 3" xfId="1826"/>
    <cellStyle name="Обычный 10 2 3 3 2" xfId="1827"/>
    <cellStyle name="Обычный 10 2 3 3 2 2" xfId="1828"/>
    <cellStyle name="Обычный 10 2 3 3 2 2 2" xfId="1829"/>
    <cellStyle name="Обычный 10 2 3 3 2 2 2 2" xfId="1830"/>
    <cellStyle name="Обычный 10 2 3 3 2 2 2 3" xfId="1831"/>
    <cellStyle name="Обычный 10 2 3 3 2 2 3" xfId="1832"/>
    <cellStyle name="Обычный 10 2 3 3 2 2 3 2" xfId="1833"/>
    <cellStyle name="Обычный 10 2 3 3 2 2 3 3" xfId="1834"/>
    <cellStyle name="Обычный 10 2 3 3 2 2 4" xfId="1835"/>
    <cellStyle name="Обычный 10 2 3 3 2 2 4 2" xfId="1836"/>
    <cellStyle name="Обычный 10 2 3 3 2 2 5" xfId="1837"/>
    <cellStyle name="Обычный 10 2 3 3 2 2 6" xfId="1838"/>
    <cellStyle name="Обычный 10 2 3 3 2 3" xfId="1839"/>
    <cellStyle name="Обычный 10 2 3 3 2 3 2" xfId="1840"/>
    <cellStyle name="Обычный 10 2 3 3 2 3 3" xfId="1841"/>
    <cellStyle name="Обычный 10 2 3 3 2 4" xfId="1842"/>
    <cellStyle name="Обычный 10 2 3 3 2 4 2" xfId="1843"/>
    <cellStyle name="Обычный 10 2 3 3 2 4 3" xfId="1844"/>
    <cellStyle name="Обычный 10 2 3 3 2 5" xfId="1845"/>
    <cellStyle name="Обычный 10 2 3 3 2 5 2" xfId="1846"/>
    <cellStyle name="Обычный 10 2 3 3 2 6" xfId="1847"/>
    <cellStyle name="Обычный 10 2 3 3 2 7" xfId="1848"/>
    <cellStyle name="Обычный 10 2 3 3 3" xfId="1849"/>
    <cellStyle name="Обычный 10 2 3 3 3 2" xfId="1850"/>
    <cellStyle name="Обычный 10 2 3 3 3 2 2" xfId="1851"/>
    <cellStyle name="Обычный 10 2 3 3 3 2 3" xfId="1852"/>
    <cellStyle name="Обычный 10 2 3 3 3 3" xfId="1853"/>
    <cellStyle name="Обычный 10 2 3 3 3 3 2" xfId="1854"/>
    <cellStyle name="Обычный 10 2 3 3 3 3 3" xfId="1855"/>
    <cellStyle name="Обычный 10 2 3 3 3 4" xfId="1856"/>
    <cellStyle name="Обычный 10 2 3 3 3 4 2" xfId="1857"/>
    <cellStyle name="Обычный 10 2 3 3 3 5" xfId="1858"/>
    <cellStyle name="Обычный 10 2 3 3 3 6" xfId="1859"/>
    <cellStyle name="Обычный 10 2 3 3 4" xfId="1860"/>
    <cellStyle name="Обычный 10 2 3 3 4 2" xfId="1861"/>
    <cellStyle name="Обычный 10 2 3 3 4 3" xfId="1862"/>
    <cellStyle name="Обычный 10 2 3 3 5" xfId="1863"/>
    <cellStyle name="Обычный 10 2 3 3 5 2" xfId="1864"/>
    <cellStyle name="Обычный 10 2 3 3 5 3" xfId="1865"/>
    <cellStyle name="Обычный 10 2 3 3 6" xfId="1866"/>
    <cellStyle name="Обычный 10 2 3 3 6 2" xfId="1867"/>
    <cellStyle name="Обычный 10 2 3 3 7" xfId="1868"/>
    <cellStyle name="Обычный 10 2 3 3 8" xfId="1869"/>
    <cellStyle name="Обычный 10 2 3 4" xfId="1870"/>
    <cellStyle name="Обычный 10 2 3 4 2" xfId="1871"/>
    <cellStyle name="Обычный 10 2 3 4 2 2" xfId="1872"/>
    <cellStyle name="Обычный 10 2 3 4 2 2 2" xfId="1873"/>
    <cellStyle name="Обычный 10 2 3 4 2 2 3" xfId="1874"/>
    <cellStyle name="Обычный 10 2 3 4 2 3" xfId="1875"/>
    <cellStyle name="Обычный 10 2 3 4 2 3 2" xfId="1876"/>
    <cellStyle name="Обычный 10 2 3 4 2 3 3" xfId="1877"/>
    <cellStyle name="Обычный 10 2 3 4 2 4" xfId="1878"/>
    <cellStyle name="Обычный 10 2 3 4 2 4 2" xfId="1879"/>
    <cellStyle name="Обычный 10 2 3 4 2 5" xfId="1880"/>
    <cellStyle name="Обычный 10 2 3 4 2 6" xfId="1881"/>
    <cellStyle name="Обычный 10 2 3 4 3" xfId="1882"/>
    <cellStyle name="Обычный 10 2 3 4 3 2" xfId="1883"/>
    <cellStyle name="Обычный 10 2 3 4 3 3" xfId="1884"/>
    <cellStyle name="Обычный 10 2 3 4 4" xfId="1885"/>
    <cellStyle name="Обычный 10 2 3 4 4 2" xfId="1886"/>
    <cellStyle name="Обычный 10 2 3 4 4 3" xfId="1887"/>
    <cellStyle name="Обычный 10 2 3 4 5" xfId="1888"/>
    <cellStyle name="Обычный 10 2 3 4 5 2" xfId="1889"/>
    <cellStyle name="Обычный 10 2 3 4 6" xfId="1890"/>
    <cellStyle name="Обычный 10 2 3 4 7" xfId="1891"/>
    <cellStyle name="Обычный 10 2 3 5" xfId="1892"/>
    <cellStyle name="Обычный 10 2 3 5 2" xfId="1893"/>
    <cellStyle name="Обычный 10 2 3 5 2 2" xfId="1894"/>
    <cellStyle name="Обычный 10 2 3 5 2 3" xfId="1895"/>
    <cellStyle name="Обычный 10 2 3 5 3" xfId="1896"/>
    <cellStyle name="Обычный 10 2 3 5 3 2" xfId="1897"/>
    <cellStyle name="Обычный 10 2 3 5 3 3" xfId="1898"/>
    <cellStyle name="Обычный 10 2 3 5 4" xfId="1899"/>
    <cellStyle name="Обычный 10 2 3 5 4 2" xfId="1900"/>
    <cellStyle name="Обычный 10 2 3 5 5" xfId="1901"/>
    <cellStyle name="Обычный 10 2 3 5 6" xfId="1902"/>
    <cellStyle name="Обычный 10 2 3 6" xfId="1903"/>
    <cellStyle name="Обычный 10 2 3 6 2" xfId="1904"/>
    <cellStyle name="Обычный 10 2 3 6 3" xfId="1905"/>
    <cellStyle name="Обычный 10 2 3 7" xfId="1906"/>
    <cellStyle name="Обычный 10 2 3 7 2" xfId="1907"/>
    <cellStyle name="Обычный 10 2 3 7 3" xfId="1908"/>
    <cellStyle name="Обычный 10 2 3 8" xfId="1909"/>
    <cellStyle name="Обычный 10 2 3 8 2" xfId="1910"/>
    <cellStyle name="Обычный 10 2 3 9" xfId="1911"/>
    <cellStyle name="Обычный 10 2 4" xfId="1912"/>
    <cellStyle name="Обычный 10 2 4 10" xfId="1913"/>
    <cellStyle name="Обычный 10 2 4 2" xfId="1914"/>
    <cellStyle name="Обычный 10 2 4 2 2" xfId="1915"/>
    <cellStyle name="Обычный 10 2 4 2 2 2" xfId="1916"/>
    <cellStyle name="Обычный 10 2 4 2 2 2 2" xfId="1917"/>
    <cellStyle name="Обычный 10 2 4 2 2 2 2 2" xfId="1918"/>
    <cellStyle name="Обычный 10 2 4 2 2 2 2 2 2" xfId="1919"/>
    <cellStyle name="Обычный 10 2 4 2 2 2 2 2 3" xfId="1920"/>
    <cellStyle name="Обычный 10 2 4 2 2 2 2 3" xfId="1921"/>
    <cellStyle name="Обычный 10 2 4 2 2 2 2 3 2" xfId="1922"/>
    <cellStyle name="Обычный 10 2 4 2 2 2 2 3 3" xfId="1923"/>
    <cellStyle name="Обычный 10 2 4 2 2 2 2 4" xfId="1924"/>
    <cellStyle name="Обычный 10 2 4 2 2 2 2 4 2" xfId="1925"/>
    <cellStyle name="Обычный 10 2 4 2 2 2 2 5" xfId="1926"/>
    <cellStyle name="Обычный 10 2 4 2 2 2 2 6" xfId="1927"/>
    <cellStyle name="Обычный 10 2 4 2 2 2 3" xfId="1928"/>
    <cellStyle name="Обычный 10 2 4 2 2 2 3 2" xfId="1929"/>
    <cellStyle name="Обычный 10 2 4 2 2 2 3 3" xfId="1930"/>
    <cellStyle name="Обычный 10 2 4 2 2 2 4" xfId="1931"/>
    <cellStyle name="Обычный 10 2 4 2 2 2 4 2" xfId="1932"/>
    <cellStyle name="Обычный 10 2 4 2 2 2 4 3" xfId="1933"/>
    <cellStyle name="Обычный 10 2 4 2 2 2 5" xfId="1934"/>
    <cellStyle name="Обычный 10 2 4 2 2 2 5 2" xfId="1935"/>
    <cellStyle name="Обычный 10 2 4 2 2 2 6" xfId="1936"/>
    <cellStyle name="Обычный 10 2 4 2 2 2 7" xfId="1937"/>
    <cellStyle name="Обычный 10 2 4 2 2 3" xfId="1938"/>
    <cellStyle name="Обычный 10 2 4 2 2 3 2" xfId="1939"/>
    <cellStyle name="Обычный 10 2 4 2 2 3 2 2" xfId="1940"/>
    <cellStyle name="Обычный 10 2 4 2 2 3 2 3" xfId="1941"/>
    <cellStyle name="Обычный 10 2 4 2 2 3 3" xfId="1942"/>
    <cellStyle name="Обычный 10 2 4 2 2 3 3 2" xfId="1943"/>
    <cellStyle name="Обычный 10 2 4 2 2 3 3 3" xfId="1944"/>
    <cellStyle name="Обычный 10 2 4 2 2 3 4" xfId="1945"/>
    <cellStyle name="Обычный 10 2 4 2 2 3 4 2" xfId="1946"/>
    <cellStyle name="Обычный 10 2 4 2 2 3 5" xfId="1947"/>
    <cellStyle name="Обычный 10 2 4 2 2 3 6" xfId="1948"/>
    <cellStyle name="Обычный 10 2 4 2 2 4" xfId="1949"/>
    <cellStyle name="Обычный 10 2 4 2 2 4 2" xfId="1950"/>
    <cellStyle name="Обычный 10 2 4 2 2 4 3" xfId="1951"/>
    <cellStyle name="Обычный 10 2 4 2 2 5" xfId="1952"/>
    <cellStyle name="Обычный 10 2 4 2 2 5 2" xfId="1953"/>
    <cellStyle name="Обычный 10 2 4 2 2 5 3" xfId="1954"/>
    <cellStyle name="Обычный 10 2 4 2 2 6" xfId="1955"/>
    <cellStyle name="Обычный 10 2 4 2 2 6 2" xfId="1956"/>
    <cellStyle name="Обычный 10 2 4 2 2 7" xfId="1957"/>
    <cellStyle name="Обычный 10 2 4 2 2 8" xfId="1958"/>
    <cellStyle name="Обычный 10 2 4 2 3" xfId="1959"/>
    <cellStyle name="Обычный 10 2 4 2 3 2" xfId="1960"/>
    <cellStyle name="Обычный 10 2 4 2 3 2 2" xfId="1961"/>
    <cellStyle name="Обычный 10 2 4 2 3 2 2 2" xfId="1962"/>
    <cellStyle name="Обычный 10 2 4 2 3 2 2 3" xfId="1963"/>
    <cellStyle name="Обычный 10 2 4 2 3 2 3" xfId="1964"/>
    <cellStyle name="Обычный 10 2 4 2 3 2 3 2" xfId="1965"/>
    <cellStyle name="Обычный 10 2 4 2 3 2 3 3" xfId="1966"/>
    <cellStyle name="Обычный 10 2 4 2 3 2 4" xfId="1967"/>
    <cellStyle name="Обычный 10 2 4 2 3 2 4 2" xfId="1968"/>
    <cellStyle name="Обычный 10 2 4 2 3 2 5" xfId="1969"/>
    <cellStyle name="Обычный 10 2 4 2 3 2 6" xfId="1970"/>
    <cellStyle name="Обычный 10 2 4 2 3 3" xfId="1971"/>
    <cellStyle name="Обычный 10 2 4 2 3 3 2" xfId="1972"/>
    <cellStyle name="Обычный 10 2 4 2 3 3 3" xfId="1973"/>
    <cellStyle name="Обычный 10 2 4 2 3 4" xfId="1974"/>
    <cellStyle name="Обычный 10 2 4 2 3 4 2" xfId="1975"/>
    <cellStyle name="Обычный 10 2 4 2 3 4 3" xfId="1976"/>
    <cellStyle name="Обычный 10 2 4 2 3 5" xfId="1977"/>
    <cellStyle name="Обычный 10 2 4 2 3 5 2" xfId="1978"/>
    <cellStyle name="Обычный 10 2 4 2 3 6" xfId="1979"/>
    <cellStyle name="Обычный 10 2 4 2 3 7" xfId="1980"/>
    <cellStyle name="Обычный 10 2 4 2 4" xfId="1981"/>
    <cellStyle name="Обычный 10 2 4 2 4 2" xfId="1982"/>
    <cellStyle name="Обычный 10 2 4 2 4 2 2" xfId="1983"/>
    <cellStyle name="Обычный 10 2 4 2 4 2 3" xfId="1984"/>
    <cellStyle name="Обычный 10 2 4 2 4 3" xfId="1985"/>
    <cellStyle name="Обычный 10 2 4 2 4 3 2" xfId="1986"/>
    <cellStyle name="Обычный 10 2 4 2 4 3 3" xfId="1987"/>
    <cellStyle name="Обычный 10 2 4 2 4 4" xfId="1988"/>
    <cellStyle name="Обычный 10 2 4 2 4 4 2" xfId="1989"/>
    <cellStyle name="Обычный 10 2 4 2 4 5" xfId="1990"/>
    <cellStyle name="Обычный 10 2 4 2 4 6" xfId="1991"/>
    <cellStyle name="Обычный 10 2 4 2 5" xfId="1992"/>
    <cellStyle name="Обычный 10 2 4 2 5 2" xfId="1993"/>
    <cellStyle name="Обычный 10 2 4 2 5 3" xfId="1994"/>
    <cellStyle name="Обычный 10 2 4 2 6" xfId="1995"/>
    <cellStyle name="Обычный 10 2 4 2 6 2" xfId="1996"/>
    <cellStyle name="Обычный 10 2 4 2 6 3" xfId="1997"/>
    <cellStyle name="Обычный 10 2 4 2 7" xfId="1998"/>
    <cellStyle name="Обычный 10 2 4 2 7 2" xfId="1999"/>
    <cellStyle name="Обычный 10 2 4 2 8" xfId="2000"/>
    <cellStyle name="Обычный 10 2 4 2 9" xfId="2001"/>
    <cellStyle name="Обычный 10 2 4 3" xfId="2002"/>
    <cellStyle name="Обычный 10 2 4 3 2" xfId="2003"/>
    <cellStyle name="Обычный 10 2 4 3 2 2" xfId="2004"/>
    <cellStyle name="Обычный 10 2 4 3 2 2 2" xfId="2005"/>
    <cellStyle name="Обычный 10 2 4 3 2 2 2 2" xfId="2006"/>
    <cellStyle name="Обычный 10 2 4 3 2 2 2 3" xfId="2007"/>
    <cellStyle name="Обычный 10 2 4 3 2 2 3" xfId="2008"/>
    <cellStyle name="Обычный 10 2 4 3 2 2 3 2" xfId="2009"/>
    <cellStyle name="Обычный 10 2 4 3 2 2 3 3" xfId="2010"/>
    <cellStyle name="Обычный 10 2 4 3 2 2 4" xfId="2011"/>
    <cellStyle name="Обычный 10 2 4 3 2 2 4 2" xfId="2012"/>
    <cellStyle name="Обычный 10 2 4 3 2 2 5" xfId="2013"/>
    <cellStyle name="Обычный 10 2 4 3 2 2 6" xfId="2014"/>
    <cellStyle name="Обычный 10 2 4 3 2 3" xfId="2015"/>
    <cellStyle name="Обычный 10 2 4 3 2 3 2" xfId="2016"/>
    <cellStyle name="Обычный 10 2 4 3 2 3 3" xfId="2017"/>
    <cellStyle name="Обычный 10 2 4 3 2 4" xfId="2018"/>
    <cellStyle name="Обычный 10 2 4 3 2 4 2" xfId="2019"/>
    <cellStyle name="Обычный 10 2 4 3 2 4 3" xfId="2020"/>
    <cellStyle name="Обычный 10 2 4 3 2 5" xfId="2021"/>
    <cellStyle name="Обычный 10 2 4 3 2 5 2" xfId="2022"/>
    <cellStyle name="Обычный 10 2 4 3 2 6" xfId="2023"/>
    <cellStyle name="Обычный 10 2 4 3 2 7" xfId="2024"/>
    <cellStyle name="Обычный 10 2 4 3 3" xfId="2025"/>
    <cellStyle name="Обычный 10 2 4 3 3 2" xfId="2026"/>
    <cellStyle name="Обычный 10 2 4 3 3 2 2" xfId="2027"/>
    <cellStyle name="Обычный 10 2 4 3 3 2 3" xfId="2028"/>
    <cellStyle name="Обычный 10 2 4 3 3 3" xfId="2029"/>
    <cellStyle name="Обычный 10 2 4 3 3 3 2" xfId="2030"/>
    <cellStyle name="Обычный 10 2 4 3 3 3 3" xfId="2031"/>
    <cellStyle name="Обычный 10 2 4 3 3 4" xfId="2032"/>
    <cellStyle name="Обычный 10 2 4 3 3 4 2" xfId="2033"/>
    <cellStyle name="Обычный 10 2 4 3 3 5" xfId="2034"/>
    <cellStyle name="Обычный 10 2 4 3 3 6" xfId="2035"/>
    <cellStyle name="Обычный 10 2 4 3 4" xfId="2036"/>
    <cellStyle name="Обычный 10 2 4 3 4 2" xfId="2037"/>
    <cellStyle name="Обычный 10 2 4 3 4 3" xfId="2038"/>
    <cellStyle name="Обычный 10 2 4 3 5" xfId="2039"/>
    <cellStyle name="Обычный 10 2 4 3 5 2" xfId="2040"/>
    <cellStyle name="Обычный 10 2 4 3 5 3" xfId="2041"/>
    <cellStyle name="Обычный 10 2 4 3 6" xfId="2042"/>
    <cellStyle name="Обычный 10 2 4 3 6 2" xfId="2043"/>
    <cellStyle name="Обычный 10 2 4 3 7" xfId="2044"/>
    <cellStyle name="Обычный 10 2 4 3 8" xfId="2045"/>
    <cellStyle name="Обычный 10 2 4 4" xfId="2046"/>
    <cellStyle name="Обычный 10 2 4 4 2" xfId="2047"/>
    <cellStyle name="Обычный 10 2 4 4 2 2" xfId="2048"/>
    <cellStyle name="Обычный 10 2 4 4 2 2 2" xfId="2049"/>
    <cellStyle name="Обычный 10 2 4 4 2 2 3" xfId="2050"/>
    <cellStyle name="Обычный 10 2 4 4 2 3" xfId="2051"/>
    <cellStyle name="Обычный 10 2 4 4 2 3 2" xfId="2052"/>
    <cellStyle name="Обычный 10 2 4 4 2 3 3" xfId="2053"/>
    <cellStyle name="Обычный 10 2 4 4 2 4" xfId="2054"/>
    <cellStyle name="Обычный 10 2 4 4 2 4 2" xfId="2055"/>
    <cellStyle name="Обычный 10 2 4 4 2 5" xfId="2056"/>
    <cellStyle name="Обычный 10 2 4 4 2 6" xfId="2057"/>
    <cellStyle name="Обычный 10 2 4 4 3" xfId="2058"/>
    <cellStyle name="Обычный 10 2 4 4 3 2" xfId="2059"/>
    <cellStyle name="Обычный 10 2 4 4 3 3" xfId="2060"/>
    <cellStyle name="Обычный 10 2 4 4 4" xfId="2061"/>
    <cellStyle name="Обычный 10 2 4 4 4 2" xfId="2062"/>
    <cellStyle name="Обычный 10 2 4 4 4 3" xfId="2063"/>
    <cellStyle name="Обычный 10 2 4 4 5" xfId="2064"/>
    <cellStyle name="Обычный 10 2 4 4 5 2" xfId="2065"/>
    <cellStyle name="Обычный 10 2 4 4 6" xfId="2066"/>
    <cellStyle name="Обычный 10 2 4 4 7" xfId="2067"/>
    <cellStyle name="Обычный 10 2 4 5" xfId="2068"/>
    <cellStyle name="Обычный 10 2 4 5 2" xfId="2069"/>
    <cellStyle name="Обычный 10 2 4 5 2 2" xfId="2070"/>
    <cellStyle name="Обычный 10 2 4 5 2 3" xfId="2071"/>
    <cellStyle name="Обычный 10 2 4 5 3" xfId="2072"/>
    <cellStyle name="Обычный 10 2 4 5 3 2" xfId="2073"/>
    <cellStyle name="Обычный 10 2 4 5 3 3" xfId="2074"/>
    <cellStyle name="Обычный 10 2 4 5 4" xfId="2075"/>
    <cellStyle name="Обычный 10 2 4 5 4 2" xfId="2076"/>
    <cellStyle name="Обычный 10 2 4 5 5" xfId="2077"/>
    <cellStyle name="Обычный 10 2 4 5 6" xfId="2078"/>
    <cellStyle name="Обычный 10 2 4 6" xfId="2079"/>
    <cellStyle name="Обычный 10 2 4 6 2" xfId="2080"/>
    <cellStyle name="Обычный 10 2 4 6 3" xfId="2081"/>
    <cellStyle name="Обычный 10 2 4 7" xfId="2082"/>
    <cellStyle name="Обычный 10 2 4 7 2" xfId="2083"/>
    <cellStyle name="Обычный 10 2 4 7 3" xfId="2084"/>
    <cellStyle name="Обычный 10 2 4 8" xfId="2085"/>
    <cellStyle name="Обычный 10 2 4 8 2" xfId="2086"/>
    <cellStyle name="Обычный 10 2 4 9" xfId="2087"/>
    <cellStyle name="Обычный 10 2 5" xfId="2088"/>
    <cellStyle name="Обычный 10 2 5 10" xfId="2089"/>
    <cellStyle name="Обычный 10 2 5 2" xfId="2090"/>
    <cellStyle name="Обычный 10 2 5 2 2" xfId="2091"/>
    <cellStyle name="Обычный 10 2 5 2 2 2" xfId="2092"/>
    <cellStyle name="Обычный 10 2 5 2 2 2 2" xfId="2093"/>
    <cellStyle name="Обычный 10 2 5 2 2 2 2 2" xfId="2094"/>
    <cellStyle name="Обычный 10 2 5 2 2 2 2 2 2" xfId="2095"/>
    <cellStyle name="Обычный 10 2 5 2 2 2 2 2 3" xfId="2096"/>
    <cellStyle name="Обычный 10 2 5 2 2 2 2 3" xfId="2097"/>
    <cellStyle name="Обычный 10 2 5 2 2 2 2 3 2" xfId="2098"/>
    <cellStyle name="Обычный 10 2 5 2 2 2 2 3 3" xfId="2099"/>
    <cellStyle name="Обычный 10 2 5 2 2 2 2 4" xfId="2100"/>
    <cellStyle name="Обычный 10 2 5 2 2 2 2 4 2" xfId="2101"/>
    <cellStyle name="Обычный 10 2 5 2 2 2 2 5" xfId="2102"/>
    <cellStyle name="Обычный 10 2 5 2 2 2 2 6" xfId="2103"/>
    <cellStyle name="Обычный 10 2 5 2 2 2 3" xfId="2104"/>
    <cellStyle name="Обычный 10 2 5 2 2 2 3 2" xfId="2105"/>
    <cellStyle name="Обычный 10 2 5 2 2 2 3 3" xfId="2106"/>
    <cellStyle name="Обычный 10 2 5 2 2 2 4" xfId="2107"/>
    <cellStyle name="Обычный 10 2 5 2 2 2 4 2" xfId="2108"/>
    <cellStyle name="Обычный 10 2 5 2 2 2 4 3" xfId="2109"/>
    <cellStyle name="Обычный 10 2 5 2 2 2 5" xfId="2110"/>
    <cellStyle name="Обычный 10 2 5 2 2 2 5 2" xfId="2111"/>
    <cellStyle name="Обычный 10 2 5 2 2 2 6" xfId="2112"/>
    <cellStyle name="Обычный 10 2 5 2 2 2 7" xfId="2113"/>
    <cellStyle name="Обычный 10 2 5 2 2 3" xfId="2114"/>
    <cellStyle name="Обычный 10 2 5 2 2 3 2" xfId="2115"/>
    <cellStyle name="Обычный 10 2 5 2 2 3 2 2" xfId="2116"/>
    <cellStyle name="Обычный 10 2 5 2 2 3 2 3" xfId="2117"/>
    <cellStyle name="Обычный 10 2 5 2 2 3 3" xfId="2118"/>
    <cellStyle name="Обычный 10 2 5 2 2 3 3 2" xfId="2119"/>
    <cellStyle name="Обычный 10 2 5 2 2 3 3 3" xfId="2120"/>
    <cellStyle name="Обычный 10 2 5 2 2 3 4" xfId="2121"/>
    <cellStyle name="Обычный 10 2 5 2 2 3 4 2" xfId="2122"/>
    <cellStyle name="Обычный 10 2 5 2 2 3 5" xfId="2123"/>
    <cellStyle name="Обычный 10 2 5 2 2 3 6" xfId="2124"/>
    <cellStyle name="Обычный 10 2 5 2 2 4" xfId="2125"/>
    <cellStyle name="Обычный 10 2 5 2 2 4 2" xfId="2126"/>
    <cellStyle name="Обычный 10 2 5 2 2 4 3" xfId="2127"/>
    <cellStyle name="Обычный 10 2 5 2 2 5" xfId="2128"/>
    <cellStyle name="Обычный 10 2 5 2 2 5 2" xfId="2129"/>
    <cellStyle name="Обычный 10 2 5 2 2 5 3" xfId="2130"/>
    <cellStyle name="Обычный 10 2 5 2 2 6" xfId="2131"/>
    <cellStyle name="Обычный 10 2 5 2 2 6 2" xfId="2132"/>
    <cellStyle name="Обычный 10 2 5 2 2 7" xfId="2133"/>
    <cellStyle name="Обычный 10 2 5 2 2 8" xfId="2134"/>
    <cellStyle name="Обычный 10 2 5 2 3" xfId="2135"/>
    <cellStyle name="Обычный 10 2 5 2 3 2" xfId="2136"/>
    <cellStyle name="Обычный 10 2 5 2 3 2 2" xfId="2137"/>
    <cellStyle name="Обычный 10 2 5 2 3 2 2 2" xfId="2138"/>
    <cellStyle name="Обычный 10 2 5 2 3 2 2 3" xfId="2139"/>
    <cellStyle name="Обычный 10 2 5 2 3 2 3" xfId="2140"/>
    <cellStyle name="Обычный 10 2 5 2 3 2 3 2" xfId="2141"/>
    <cellStyle name="Обычный 10 2 5 2 3 2 3 3" xfId="2142"/>
    <cellStyle name="Обычный 10 2 5 2 3 2 4" xfId="2143"/>
    <cellStyle name="Обычный 10 2 5 2 3 2 4 2" xfId="2144"/>
    <cellStyle name="Обычный 10 2 5 2 3 2 5" xfId="2145"/>
    <cellStyle name="Обычный 10 2 5 2 3 2 6" xfId="2146"/>
    <cellStyle name="Обычный 10 2 5 2 3 3" xfId="2147"/>
    <cellStyle name="Обычный 10 2 5 2 3 3 2" xfId="2148"/>
    <cellStyle name="Обычный 10 2 5 2 3 3 3" xfId="2149"/>
    <cellStyle name="Обычный 10 2 5 2 3 4" xfId="2150"/>
    <cellStyle name="Обычный 10 2 5 2 3 4 2" xfId="2151"/>
    <cellStyle name="Обычный 10 2 5 2 3 4 3" xfId="2152"/>
    <cellStyle name="Обычный 10 2 5 2 3 5" xfId="2153"/>
    <cellStyle name="Обычный 10 2 5 2 3 5 2" xfId="2154"/>
    <cellStyle name="Обычный 10 2 5 2 3 6" xfId="2155"/>
    <cellStyle name="Обычный 10 2 5 2 3 7" xfId="2156"/>
    <cellStyle name="Обычный 10 2 5 2 4" xfId="2157"/>
    <cellStyle name="Обычный 10 2 5 2 4 2" xfId="2158"/>
    <cellStyle name="Обычный 10 2 5 2 4 2 2" xfId="2159"/>
    <cellStyle name="Обычный 10 2 5 2 4 2 3" xfId="2160"/>
    <cellStyle name="Обычный 10 2 5 2 4 3" xfId="2161"/>
    <cellStyle name="Обычный 10 2 5 2 4 3 2" xfId="2162"/>
    <cellStyle name="Обычный 10 2 5 2 4 3 3" xfId="2163"/>
    <cellStyle name="Обычный 10 2 5 2 4 4" xfId="2164"/>
    <cellStyle name="Обычный 10 2 5 2 4 4 2" xfId="2165"/>
    <cellStyle name="Обычный 10 2 5 2 4 5" xfId="2166"/>
    <cellStyle name="Обычный 10 2 5 2 4 6" xfId="2167"/>
    <cellStyle name="Обычный 10 2 5 2 5" xfId="2168"/>
    <cellStyle name="Обычный 10 2 5 2 5 2" xfId="2169"/>
    <cellStyle name="Обычный 10 2 5 2 5 3" xfId="2170"/>
    <cellStyle name="Обычный 10 2 5 2 6" xfId="2171"/>
    <cellStyle name="Обычный 10 2 5 2 6 2" xfId="2172"/>
    <cellStyle name="Обычный 10 2 5 2 6 3" xfId="2173"/>
    <cellStyle name="Обычный 10 2 5 2 7" xfId="2174"/>
    <cellStyle name="Обычный 10 2 5 2 7 2" xfId="2175"/>
    <cellStyle name="Обычный 10 2 5 2 8" xfId="2176"/>
    <cellStyle name="Обычный 10 2 5 2 9" xfId="2177"/>
    <cellStyle name="Обычный 10 2 5 3" xfId="2178"/>
    <cellStyle name="Обычный 10 2 5 3 2" xfId="2179"/>
    <cellStyle name="Обычный 10 2 5 3 2 2" xfId="2180"/>
    <cellStyle name="Обычный 10 2 5 3 2 2 2" xfId="2181"/>
    <cellStyle name="Обычный 10 2 5 3 2 2 2 2" xfId="2182"/>
    <cellStyle name="Обычный 10 2 5 3 2 2 2 3" xfId="2183"/>
    <cellStyle name="Обычный 10 2 5 3 2 2 3" xfId="2184"/>
    <cellStyle name="Обычный 10 2 5 3 2 2 3 2" xfId="2185"/>
    <cellStyle name="Обычный 10 2 5 3 2 2 3 3" xfId="2186"/>
    <cellStyle name="Обычный 10 2 5 3 2 2 4" xfId="2187"/>
    <cellStyle name="Обычный 10 2 5 3 2 2 4 2" xfId="2188"/>
    <cellStyle name="Обычный 10 2 5 3 2 2 5" xfId="2189"/>
    <cellStyle name="Обычный 10 2 5 3 2 2 6" xfId="2190"/>
    <cellStyle name="Обычный 10 2 5 3 2 3" xfId="2191"/>
    <cellStyle name="Обычный 10 2 5 3 2 3 2" xfId="2192"/>
    <cellStyle name="Обычный 10 2 5 3 2 3 3" xfId="2193"/>
    <cellStyle name="Обычный 10 2 5 3 2 4" xfId="2194"/>
    <cellStyle name="Обычный 10 2 5 3 2 4 2" xfId="2195"/>
    <cellStyle name="Обычный 10 2 5 3 2 4 3" xfId="2196"/>
    <cellStyle name="Обычный 10 2 5 3 2 5" xfId="2197"/>
    <cellStyle name="Обычный 10 2 5 3 2 5 2" xfId="2198"/>
    <cellStyle name="Обычный 10 2 5 3 2 6" xfId="2199"/>
    <cellStyle name="Обычный 10 2 5 3 2 7" xfId="2200"/>
    <cellStyle name="Обычный 10 2 5 3 3" xfId="2201"/>
    <cellStyle name="Обычный 10 2 5 3 3 2" xfId="2202"/>
    <cellStyle name="Обычный 10 2 5 3 3 2 2" xfId="2203"/>
    <cellStyle name="Обычный 10 2 5 3 3 2 3" xfId="2204"/>
    <cellStyle name="Обычный 10 2 5 3 3 3" xfId="2205"/>
    <cellStyle name="Обычный 10 2 5 3 3 3 2" xfId="2206"/>
    <cellStyle name="Обычный 10 2 5 3 3 3 3" xfId="2207"/>
    <cellStyle name="Обычный 10 2 5 3 3 4" xfId="2208"/>
    <cellStyle name="Обычный 10 2 5 3 3 4 2" xfId="2209"/>
    <cellStyle name="Обычный 10 2 5 3 3 5" xfId="2210"/>
    <cellStyle name="Обычный 10 2 5 3 3 6" xfId="2211"/>
    <cellStyle name="Обычный 10 2 5 3 4" xfId="2212"/>
    <cellStyle name="Обычный 10 2 5 3 4 2" xfId="2213"/>
    <cellStyle name="Обычный 10 2 5 3 4 3" xfId="2214"/>
    <cellStyle name="Обычный 10 2 5 3 5" xfId="2215"/>
    <cellStyle name="Обычный 10 2 5 3 5 2" xfId="2216"/>
    <cellStyle name="Обычный 10 2 5 3 5 3" xfId="2217"/>
    <cellStyle name="Обычный 10 2 5 3 6" xfId="2218"/>
    <cellStyle name="Обычный 10 2 5 3 6 2" xfId="2219"/>
    <cellStyle name="Обычный 10 2 5 3 7" xfId="2220"/>
    <cellStyle name="Обычный 10 2 5 3 8" xfId="2221"/>
    <cellStyle name="Обычный 10 2 5 4" xfId="2222"/>
    <cellStyle name="Обычный 10 2 5 4 2" xfId="2223"/>
    <cellStyle name="Обычный 10 2 5 4 2 2" xfId="2224"/>
    <cellStyle name="Обычный 10 2 5 4 2 2 2" xfId="2225"/>
    <cellStyle name="Обычный 10 2 5 4 2 2 3" xfId="2226"/>
    <cellStyle name="Обычный 10 2 5 4 2 3" xfId="2227"/>
    <cellStyle name="Обычный 10 2 5 4 2 3 2" xfId="2228"/>
    <cellStyle name="Обычный 10 2 5 4 2 3 3" xfId="2229"/>
    <cellStyle name="Обычный 10 2 5 4 2 4" xfId="2230"/>
    <cellStyle name="Обычный 10 2 5 4 2 4 2" xfId="2231"/>
    <cellStyle name="Обычный 10 2 5 4 2 5" xfId="2232"/>
    <cellStyle name="Обычный 10 2 5 4 2 6" xfId="2233"/>
    <cellStyle name="Обычный 10 2 5 4 3" xfId="2234"/>
    <cellStyle name="Обычный 10 2 5 4 3 2" xfId="2235"/>
    <cellStyle name="Обычный 10 2 5 4 3 3" xfId="2236"/>
    <cellStyle name="Обычный 10 2 5 4 4" xfId="2237"/>
    <cellStyle name="Обычный 10 2 5 4 4 2" xfId="2238"/>
    <cellStyle name="Обычный 10 2 5 4 4 3" xfId="2239"/>
    <cellStyle name="Обычный 10 2 5 4 5" xfId="2240"/>
    <cellStyle name="Обычный 10 2 5 4 5 2" xfId="2241"/>
    <cellStyle name="Обычный 10 2 5 4 6" xfId="2242"/>
    <cellStyle name="Обычный 10 2 5 4 7" xfId="2243"/>
    <cellStyle name="Обычный 10 2 5 5" xfId="2244"/>
    <cellStyle name="Обычный 10 2 5 5 2" xfId="2245"/>
    <cellStyle name="Обычный 10 2 5 5 2 2" xfId="2246"/>
    <cellStyle name="Обычный 10 2 5 5 2 3" xfId="2247"/>
    <cellStyle name="Обычный 10 2 5 5 3" xfId="2248"/>
    <cellStyle name="Обычный 10 2 5 5 3 2" xfId="2249"/>
    <cellStyle name="Обычный 10 2 5 5 3 3" xfId="2250"/>
    <cellStyle name="Обычный 10 2 5 5 4" xfId="2251"/>
    <cellStyle name="Обычный 10 2 5 5 4 2" xfId="2252"/>
    <cellStyle name="Обычный 10 2 5 5 5" xfId="2253"/>
    <cellStyle name="Обычный 10 2 5 5 6" xfId="2254"/>
    <cellStyle name="Обычный 10 2 5 6" xfId="2255"/>
    <cellStyle name="Обычный 10 2 5 6 2" xfId="2256"/>
    <cellStyle name="Обычный 10 2 5 6 3" xfId="2257"/>
    <cellStyle name="Обычный 10 2 5 7" xfId="2258"/>
    <cellStyle name="Обычный 10 2 5 7 2" xfId="2259"/>
    <cellStyle name="Обычный 10 2 5 7 3" xfId="2260"/>
    <cellStyle name="Обычный 10 2 5 8" xfId="2261"/>
    <cellStyle name="Обычный 10 2 5 8 2" xfId="2262"/>
    <cellStyle name="Обычный 10 2 5 9" xfId="2263"/>
    <cellStyle name="Обычный 10 2 6" xfId="2264"/>
    <cellStyle name="Обычный 10 2 6 2" xfId="2265"/>
    <cellStyle name="Обычный 10 2 6 2 2" xfId="2266"/>
    <cellStyle name="Обычный 10 2 6 2 2 2" xfId="2267"/>
    <cellStyle name="Обычный 10 2 6 2 2 2 2" xfId="2268"/>
    <cellStyle name="Обычный 10 2 6 2 2 2 2 2" xfId="2269"/>
    <cellStyle name="Обычный 10 2 6 2 2 2 2 3" xfId="2270"/>
    <cellStyle name="Обычный 10 2 6 2 2 2 3" xfId="2271"/>
    <cellStyle name="Обычный 10 2 6 2 2 2 3 2" xfId="2272"/>
    <cellStyle name="Обычный 10 2 6 2 2 2 3 3" xfId="2273"/>
    <cellStyle name="Обычный 10 2 6 2 2 2 4" xfId="2274"/>
    <cellStyle name="Обычный 10 2 6 2 2 2 4 2" xfId="2275"/>
    <cellStyle name="Обычный 10 2 6 2 2 2 5" xfId="2276"/>
    <cellStyle name="Обычный 10 2 6 2 2 2 6" xfId="2277"/>
    <cellStyle name="Обычный 10 2 6 2 2 3" xfId="2278"/>
    <cellStyle name="Обычный 10 2 6 2 2 3 2" xfId="2279"/>
    <cellStyle name="Обычный 10 2 6 2 2 3 3" xfId="2280"/>
    <cellStyle name="Обычный 10 2 6 2 2 4" xfId="2281"/>
    <cellStyle name="Обычный 10 2 6 2 2 4 2" xfId="2282"/>
    <cellStyle name="Обычный 10 2 6 2 2 4 3" xfId="2283"/>
    <cellStyle name="Обычный 10 2 6 2 2 5" xfId="2284"/>
    <cellStyle name="Обычный 10 2 6 2 2 5 2" xfId="2285"/>
    <cellStyle name="Обычный 10 2 6 2 2 6" xfId="2286"/>
    <cellStyle name="Обычный 10 2 6 2 2 7" xfId="2287"/>
    <cellStyle name="Обычный 10 2 6 2 3" xfId="2288"/>
    <cellStyle name="Обычный 10 2 6 2 3 2" xfId="2289"/>
    <cellStyle name="Обычный 10 2 6 2 3 2 2" xfId="2290"/>
    <cellStyle name="Обычный 10 2 6 2 3 2 3" xfId="2291"/>
    <cellStyle name="Обычный 10 2 6 2 3 3" xfId="2292"/>
    <cellStyle name="Обычный 10 2 6 2 3 3 2" xfId="2293"/>
    <cellStyle name="Обычный 10 2 6 2 3 3 3" xfId="2294"/>
    <cellStyle name="Обычный 10 2 6 2 3 4" xfId="2295"/>
    <cellStyle name="Обычный 10 2 6 2 3 4 2" xfId="2296"/>
    <cellStyle name="Обычный 10 2 6 2 3 5" xfId="2297"/>
    <cellStyle name="Обычный 10 2 6 2 3 6" xfId="2298"/>
    <cellStyle name="Обычный 10 2 6 2 4" xfId="2299"/>
    <cellStyle name="Обычный 10 2 6 2 4 2" xfId="2300"/>
    <cellStyle name="Обычный 10 2 6 2 4 3" xfId="2301"/>
    <cellStyle name="Обычный 10 2 6 2 5" xfId="2302"/>
    <cellStyle name="Обычный 10 2 6 2 5 2" xfId="2303"/>
    <cellStyle name="Обычный 10 2 6 2 5 3" xfId="2304"/>
    <cellStyle name="Обычный 10 2 6 2 6" xfId="2305"/>
    <cellStyle name="Обычный 10 2 6 2 6 2" xfId="2306"/>
    <cellStyle name="Обычный 10 2 6 2 7" xfId="2307"/>
    <cellStyle name="Обычный 10 2 6 2 8" xfId="2308"/>
    <cellStyle name="Обычный 10 2 6 3" xfId="2309"/>
    <cellStyle name="Обычный 10 2 6 3 2" xfId="2310"/>
    <cellStyle name="Обычный 10 2 6 3 2 2" xfId="2311"/>
    <cellStyle name="Обычный 10 2 6 3 2 2 2" xfId="2312"/>
    <cellStyle name="Обычный 10 2 6 3 2 2 3" xfId="2313"/>
    <cellStyle name="Обычный 10 2 6 3 2 3" xfId="2314"/>
    <cellStyle name="Обычный 10 2 6 3 2 3 2" xfId="2315"/>
    <cellStyle name="Обычный 10 2 6 3 2 3 3" xfId="2316"/>
    <cellStyle name="Обычный 10 2 6 3 2 4" xfId="2317"/>
    <cellStyle name="Обычный 10 2 6 3 2 4 2" xfId="2318"/>
    <cellStyle name="Обычный 10 2 6 3 2 5" xfId="2319"/>
    <cellStyle name="Обычный 10 2 6 3 2 6" xfId="2320"/>
    <cellStyle name="Обычный 10 2 6 3 3" xfId="2321"/>
    <cellStyle name="Обычный 10 2 6 3 3 2" xfId="2322"/>
    <cellStyle name="Обычный 10 2 6 3 3 3" xfId="2323"/>
    <cellStyle name="Обычный 10 2 6 3 4" xfId="2324"/>
    <cellStyle name="Обычный 10 2 6 3 4 2" xfId="2325"/>
    <cellStyle name="Обычный 10 2 6 3 4 3" xfId="2326"/>
    <cellStyle name="Обычный 10 2 6 3 5" xfId="2327"/>
    <cellStyle name="Обычный 10 2 6 3 5 2" xfId="2328"/>
    <cellStyle name="Обычный 10 2 6 3 6" xfId="2329"/>
    <cellStyle name="Обычный 10 2 6 3 7" xfId="2330"/>
    <cellStyle name="Обычный 10 2 6 4" xfId="2331"/>
    <cellStyle name="Обычный 10 2 6 4 2" xfId="2332"/>
    <cellStyle name="Обычный 10 2 6 4 2 2" xfId="2333"/>
    <cellStyle name="Обычный 10 2 6 4 2 3" xfId="2334"/>
    <cellStyle name="Обычный 10 2 6 4 3" xfId="2335"/>
    <cellStyle name="Обычный 10 2 6 4 3 2" xfId="2336"/>
    <cellStyle name="Обычный 10 2 6 4 3 3" xfId="2337"/>
    <cellStyle name="Обычный 10 2 6 4 4" xfId="2338"/>
    <cellStyle name="Обычный 10 2 6 4 4 2" xfId="2339"/>
    <cellStyle name="Обычный 10 2 6 4 5" xfId="2340"/>
    <cellStyle name="Обычный 10 2 6 4 6" xfId="2341"/>
    <cellStyle name="Обычный 10 2 6 5" xfId="2342"/>
    <cellStyle name="Обычный 10 2 6 5 2" xfId="2343"/>
    <cellStyle name="Обычный 10 2 6 5 3" xfId="2344"/>
    <cellStyle name="Обычный 10 2 6 6" xfId="2345"/>
    <cellStyle name="Обычный 10 2 6 6 2" xfId="2346"/>
    <cellStyle name="Обычный 10 2 6 6 3" xfId="2347"/>
    <cellStyle name="Обычный 10 2 6 7" xfId="2348"/>
    <cellStyle name="Обычный 10 2 6 7 2" xfId="2349"/>
    <cellStyle name="Обычный 10 2 6 8" xfId="2350"/>
    <cellStyle name="Обычный 10 2 6 9" xfId="2351"/>
    <cellStyle name="Обычный 10 2 7" xfId="2352"/>
    <cellStyle name="Обычный 10 2 7 2" xfId="2353"/>
    <cellStyle name="Обычный 10 2 7 2 2" xfId="2354"/>
    <cellStyle name="Обычный 10 2 7 2 2 2" xfId="2355"/>
    <cellStyle name="Обычный 10 2 7 2 2 2 2" xfId="2356"/>
    <cellStyle name="Обычный 10 2 7 2 2 2 3" xfId="2357"/>
    <cellStyle name="Обычный 10 2 7 2 2 3" xfId="2358"/>
    <cellStyle name="Обычный 10 2 7 2 2 3 2" xfId="2359"/>
    <cellStyle name="Обычный 10 2 7 2 2 3 3" xfId="2360"/>
    <cellStyle name="Обычный 10 2 7 2 2 4" xfId="2361"/>
    <cellStyle name="Обычный 10 2 7 2 2 4 2" xfId="2362"/>
    <cellStyle name="Обычный 10 2 7 2 2 5" xfId="2363"/>
    <cellStyle name="Обычный 10 2 7 2 2 6" xfId="2364"/>
    <cellStyle name="Обычный 10 2 7 2 3" xfId="2365"/>
    <cellStyle name="Обычный 10 2 7 2 3 2" xfId="2366"/>
    <cellStyle name="Обычный 10 2 7 2 3 3" xfId="2367"/>
    <cellStyle name="Обычный 10 2 7 2 4" xfId="2368"/>
    <cellStyle name="Обычный 10 2 7 2 4 2" xfId="2369"/>
    <cellStyle name="Обычный 10 2 7 2 4 3" xfId="2370"/>
    <cellStyle name="Обычный 10 2 7 2 5" xfId="2371"/>
    <cellStyle name="Обычный 10 2 7 2 5 2" xfId="2372"/>
    <cellStyle name="Обычный 10 2 7 2 6" xfId="2373"/>
    <cellStyle name="Обычный 10 2 7 2 7" xfId="2374"/>
    <cellStyle name="Обычный 10 2 7 3" xfId="2375"/>
    <cellStyle name="Обычный 10 2 7 3 2" xfId="2376"/>
    <cellStyle name="Обычный 10 2 7 3 2 2" xfId="2377"/>
    <cellStyle name="Обычный 10 2 7 3 2 3" xfId="2378"/>
    <cellStyle name="Обычный 10 2 7 3 3" xfId="2379"/>
    <cellStyle name="Обычный 10 2 7 3 3 2" xfId="2380"/>
    <cellStyle name="Обычный 10 2 7 3 3 3" xfId="2381"/>
    <cellStyle name="Обычный 10 2 7 3 4" xfId="2382"/>
    <cellStyle name="Обычный 10 2 7 3 4 2" xfId="2383"/>
    <cellStyle name="Обычный 10 2 7 3 5" xfId="2384"/>
    <cellStyle name="Обычный 10 2 7 3 6" xfId="2385"/>
    <cellStyle name="Обычный 10 2 7 4" xfId="2386"/>
    <cellStyle name="Обычный 10 2 7 4 2" xfId="2387"/>
    <cellStyle name="Обычный 10 2 7 4 3" xfId="2388"/>
    <cellStyle name="Обычный 10 2 7 5" xfId="2389"/>
    <cellStyle name="Обычный 10 2 7 5 2" xfId="2390"/>
    <cellStyle name="Обычный 10 2 7 5 3" xfId="2391"/>
    <cellStyle name="Обычный 10 2 7 6" xfId="2392"/>
    <cellStyle name="Обычный 10 2 7 6 2" xfId="2393"/>
    <cellStyle name="Обычный 10 2 7 7" xfId="2394"/>
    <cellStyle name="Обычный 10 2 7 8" xfId="2395"/>
    <cellStyle name="Обычный 10 2 8" xfId="2396"/>
    <cellStyle name="Обычный 10 2 8 2" xfId="2397"/>
    <cellStyle name="Обычный 10 2 8 2 2" xfId="2398"/>
    <cellStyle name="Обычный 10 2 8 2 2 2" xfId="2399"/>
    <cellStyle name="Обычный 10 2 8 2 2 3" xfId="2400"/>
    <cellStyle name="Обычный 10 2 8 2 3" xfId="2401"/>
    <cellStyle name="Обычный 10 2 8 2 3 2" xfId="2402"/>
    <cellStyle name="Обычный 10 2 8 2 3 3" xfId="2403"/>
    <cellStyle name="Обычный 10 2 8 2 4" xfId="2404"/>
    <cellStyle name="Обычный 10 2 8 2 4 2" xfId="2405"/>
    <cellStyle name="Обычный 10 2 8 2 5" xfId="2406"/>
    <cellStyle name="Обычный 10 2 8 2 6" xfId="2407"/>
    <cellStyle name="Обычный 10 2 8 3" xfId="2408"/>
    <cellStyle name="Обычный 10 2 8 3 2" xfId="2409"/>
    <cellStyle name="Обычный 10 2 8 3 3" xfId="2410"/>
    <cellStyle name="Обычный 10 2 8 4" xfId="2411"/>
    <cellStyle name="Обычный 10 2 8 4 2" xfId="2412"/>
    <cellStyle name="Обычный 10 2 8 4 3" xfId="2413"/>
    <cellStyle name="Обычный 10 2 8 5" xfId="2414"/>
    <cellStyle name="Обычный 10 2 8 5 2" xfId="2415"/>
    <cellStyle name="Обычный 10 2 8 6" xfId="2416"/>
    <cellStyle name="Обычный 10 2 8 7" xfId="2417"/>
    <cellStyle name="Обычный 10 2 9" xfId="2418"/>
    <cellStyle name="Обычный 10 2 9 2" xfId="2419"/>
    <cellStyle name="Обычный 10 2 9 2 2" xfId="2420"/>
    <cellStyle name="Обычный 10 2 9 2 3" xfId="2421"/>
    <cellStyle name="Обычный 10 2 9 3" xfId="2422"/>
    <cellStyle name="Обычный 10 2 9 3 2" xfId="2423"/>
    <cellStyle name="Обычный 10 2 9 3 3" xfId="2424"/>
    <cellStyle name="Обычный 10 2 9 4" xfId="2425"/>
    <cellStyle name="Обычный 10 2 9 4 2" xfId="2426"/>
    <cellStyle name="Обычный 10 2 9 5" xfId="2427"/>
    <cellStyle name="Обычный 10 2 9 6" xfId="2428"/>
    <cellStyle name="Обычный 10 20" xfId="2429"/>
    <cellStyle name="Обычный 10 21" xfId="2430"/>
    <cellStyle name="Обычный 10 3" xfId="2431"/>
    <cellStyle name="Обычный 10 3 10" xfId="2432"/>
    <cellStyle name="Обычный 10 3 10 2" xfId="2433"/>
    <cellStyle name="Обычный 10 3 10 3" xfId="2434"/>
    <cellStyle name="Обычный 10 3 11" xfId="2435"/>
    <cellStyle name="Обычный 10 3 11 2" xfId="2436"/>
    <cellStyle name="Обычный 10 3 11 3" xfId="2437"/>
    <cellStyle name="Обычный 10 3 12" xfId="2438"/>
    <cellStyle name="Обычный 10 3 12 2" xfId="2439"/>
    <cellStyle name="Обычный 10 3 13" xfId="2440"/>
    <cellStyle name="Обычный 10 3 14" xfId="2441"/>
    <cellStyle name="Обычный 10 3 2" xfId="2442"/>
    <cellStyle name="Обычный 10 3 2 10" xfId="2443"/>
    <cellStyle name="Обычный 10 3 2 10 2" xfId="2444"/>
    <cellStyle name="Обычный 10 3 2 10 3" xfId="2445"/>
    <cellStyle name="Обычный 10 3 2 11" xfId="2446"/>
    <cellStyle name="Обычный 10 3 2 11 2" xfId="2447"/>
    <cellStyle name="Обычный 10 3 2 12" xfId="2448"/>
    <cellStyle name="Обычный 10 3 2 13" xfId="2449"/>
    <cellStyle name="Обычный 10 3 2 2" xfId="2450"/>
    <cellStyle name="Обычный 10 3 2 2 10" xfId="2451"/>
    <cellStyle name="Обычный 10 3 2 2 2" xfId="2452"/>
    <cellStyle name="Обычный 10 3 2 2 2 2" xfId="2453"/>
    <cellStyle name="Обычный 10 3 2 2 2 2 2" xfId="2454"/>
    <cellStyle name="Обычный 10 3 2 2 2 2 2 2" xfId="2455"/>
    <cellStyle name="Обычный 10 3 2 2 2 2 2 2 2" xfId="2456"/>
    <cellStyle name="Обычный 10 3 2 2 2 2 2 2 2 2" xfId="2457"/>
    <cellStyle name="Обычный 10 3 2 2 2 2 2 2 2 3" xfId="2458"/>
    <cellStyle name="Обычный 10 3 2 2 2 2 2 2 3" xfId="2459"/>
    <cellStyle name="Обычный 10 3 2 2 2 2 2 2 3 2" xfId="2460"/>
    <cellStyle name="Обычный 10 3 2 2 2 2 2 2 3 3" xfId="2461"/>
    <cellStyle name="Обычный 10 3 2 2 2 2 2 2 4" xfId="2462"/>
    <cellStyle name="Обычный 10 3 2 2 2 2 2 2 4 2" xfId="2463"/>
    <cellStyle name="Обычный 10 3 2 2 2 2 2 2 5" xfId="2464"/>
    <cellStyle name="Обычный 10 3 2 2 2 2 2 2 6" xfId="2465"/>
    <cellStyle name="Обычный 10 3 2 2 2 2 2 3" xfId="2466"/>
    <cellStyle name="Обычный 10 3 2 2 2 2 2 3 2" xfId="2467"/>
    <cellStyle name="Обычный 10 3 2 2 2 2 2 3 3" xfId="2468"/>
    <cellStyle name="Обычный 10 3 2 2 2 2 2 4" xfId="2469"/>
    <cellStyle name="Обычный 10 3 2 2 2 2 2 4 2" xfId="2470"/>
    <cellStyle name="Обычный 10 3 2 2 2 2 2 4 3" xfId="2471"/>
    <cellStyle name="Обычный 10 3 2 2 2 2 2 5" xfId="2472"/>
    <cellStyle name="Обычный 10 3 2 2 2 2 2 5 2" xfId="2473"/>
    <cellStyle name="Обычный 10 3 2 2 2 2 2 6" xfId="2474"/>
    <cellStyle name="Обычный 10 3 2 2 2 2 2 7" xfId="2475"/>
    <cellStyle name="Обычный 10 3 2 2 2 2 3" xfId="2476"/>
    <cellStyle name="Обычный 10 3 2 2 2 2 3 2" xfId="2477"/>
    <cellStyle name="Обычный 10 3 2 2 2 2 3 2 2" xfId="2478"/>
    <cellStyle name="Обычный 10 3 2 2 2 2 3 2 3" xfId="2479"/>
    <cellStyle name="Обычный 10 3 2 2 2 2 3 3" xfId="2480"/>
    <cellStyle name="Обычный 10 3 2 2 2 2 3 3 2" xfId="2481"/>
    <cellStyle name="Обычный 10 3 2 2 2 2 3 3 3" xfId="2482"/>
    <cellStyle name="Обычный 10 3 2 2 2 2 3 4" xfId="2483"/>
    <cellStyle name="Обычный 10 3 2 2 2 2 3 4 2" xfId="2484"/>
    <cellStyle name="Обычный 10 3 2 2 2 2 3 5" xfId="2485"/>
    <cellStyle name="Обычный 10 3 2 2 2 2 3 6" xfId="2486"/>
    <cellStyle name="Обычный 10 3 2 2 2 2 4" xfId="2487"/>
    <cellStyle name="Обычный 10 3 2 2 2 2 4 2" xfId="2488"/>
    <cellStyle name="Обычный 10 3 2 2 2 2 4 3" xfId="2489"/>
    <cellStyle name="Обычный 10 3 2 2 2 2 5" xfId="2490"/>
    <cellStyle name="Обычный 10 3 2 2 2 2 5 2" xfId="2491"/>
    <cellStyle name="Обычный 10 3 2 2 2 2 5 3" xfId="2492"/>
    <cellStyle name="Обычный 10 3 2 2 2 2 6" xfId="2493"/>
    <cellStyle name="Обычный 10 3 2 2 2 2 6 2" xfId="2494"/>
    <cellStyle name="Обычный 10 3 2 2 2 2 7" xfId="2495"/>
    <cellStyle name="Обычный 10 3 2 2 2 2 8" xfId="2496"/>
    <cellStyle name="Обычный 10 3 2 2 2 3" xfId="2497"/>
    <cellStyle name="Обычный 10 3 2 2 2 3 2" xfId="2498"/>
    <cellStyle name="Обычный 10 3 2 2 2 3 2 2" xfId="2499"/>
    <cellStyle name="Обычный 10 3 2 2 2 3 2 2 2" xfId="2500"/>
    <cellStyle name="Обычный 10 3 2 2 2 3 2 2 3" xfId="2501"/>
    <cellStyle name="Обычный 10 3 2 2 2 3 2 3" xfId="2502"/>
    <cellStyle name="Обычный 10 3 2 2 2 3 2 3 2" xfId="2503"/>
    <cellStyle name="Обычный 10 3 2 2 2 3 2 3 3" xfId="2504"/>
    <cellStyle name="Обычный 10 3 2 2 2 3 2 4" xfId="2505"/>
    <cellStyle name="Обычный 10 3 2 2 2 3 2 4 2" xfId="2506"/>
    <cellStyle name="Обычный 10 3 2 2 2 3 2 5" xfId="2507"/>
    <cellStyle name="Обычный 10 3 2 2 2 3 2 6" xfId="2508"/>
    <cellStyle name="Обычный 10 3 2 2 2 3 3" xfId="2509"/>
    <cellStyle name="Обычный 10 3 2 2 2 3 3 2" xfId="2510"/>
    <cellStyle name="Обычный 10 3 2 2 2 3 3 3" xfId="2511"/>
    <cellStyle name="Обычный 10 3 2 2 2 3 4" xfId="2512"/>
    <cellStyle name="Обычный 10 3 2 2 2 3 4 2" xfId="2513"/>
    <cellStyle name="Обычный 10 3 2 2 2 3 4 3" xfId="2514"/>
    <cellStyle name="Обычный 10 3 2 2 2 3 5" xfId="2515"/>
    <cellStyle name="Обычный 10 3 2 2 2 3 5 2" xfId="2516"/>
    <cellStyle name="Обычный 10 3 2 2 2 3 6" xfId="2517"/>
    <cellStyle name="Обычный 10 3 2 2 2 3 7" xfId="2518"/>
    <cellStyle name="Обычный 10 3 2 2 2 4" xfId="2519"/>
    <cellStyle name="Обычный 10 3 2 2 2 4 2" xfId="2520"/>
    <cellStyle name="Обычный 10 3 2 2 2 4 2 2" xfId="2521"/>
    <cellStyle name="Обычный 10 3 2 2 2 4 2 3" xfId="2522"/>
    <cellStyle name="Обычный 10 3 2 2 2 4 3" xfId="2523"/>
    <cellStyle name="Обычный 10 3 2 2 2 4 3 2" xfId="2524"/>
    <cellStyle name="Обычный 10 3 2 2 2 4 3 3" xfId="2525"/>
    <cellStyle name="Обычный 10 3 2 2 2 4 4" xfId="2526"/>
    <cellStyle name="Обычный 10 3 2 2 2 4 4 2" xfId="2527"/>
    <cellStyle name="Обычный 10 3 2 2 2 4 5" xfId="2528"/>
    <cellStyle name="Обычный 10 3 2 2 2 4 6" xfId="2529"/>
    <cellStyle name="Обычный 10 3 2 2 2 5" xfId="2530"/>
    <cellStyle name="Обычный 10 3 2 2 2 5 2" xfId="2531"/>
    <cellStyle name="Обычный 10 3 2 2 2 5 3" xfId="2532"/>
    <cellStyle name="Обычный 10 3 2 2 2 6" xfId="2533"/>
    <cellStyle name="Обычный 10 3 2 2 2 6 2" xfId="2534"/>
    <cellStyle name="Обычный 10 3 2 2 2 6 3" xfId="2535"/>
    <cellStyle name="Обычный 10 3 2 2 2 7" xfId="2536"/>
    <cellStyle name="Обычный 10 3 2 2 2 7 2" xfId="2537"/>
    <cellStyle name="Обычный 10 3 2 2 2 8" xfId="2538"/>
    <cellStyle name="Обычный 10 3 2 2 2 9" xfId="2539"/>
    <cellStyle name="Обычный 10 3 2 2 3" xfId="2540"/>
    <cellStyle name="Обычный 10 3 2 2 3 2" xfId="2541"/>
    <cellStyle name="Обычный 10 3 2 2 3 2 2" xfId="2542"/>
    <cellStyle name="Обычный 10 3 2 2 3 2 2 2" xfId="2543"/>
    <cellStyle name="Обычный 10 3 2 2 3 2 2 2 2" xfId="2544"/>
    <cellStyle name="Обычный 10 3 2 2 3 2 2 2 3" xfId="2545"/>
    <cellStyle name="Обычный 10 3 2 2 3 2 2 3" xfId="2546"/>
    <cellStyle name="Обычный 10 3 2 2 3 2 2 3 2" xfId="2547"/>
    <cellStyle name="Обычный 10 3 2 2 3 2 2 3 3" xfId="2548"/>
    <cellStyle name="Обычный 10 3 2 2 3 2 2 4" xfId="2549"/>
    <cellStyle name="Обычный 10 3 2 2 3 2 2 4 2" xfId="2550"/>
    <cellStyle name="Обычный 10 3 2 2 3 2 2 5" xfId="2551"/>
    <cellStyle name="Обычный 10 3 2 2 3 2 2 6" xfId="2552"/>
    <cellStyle name="Обычный 10 3 2 2 3 2 3" xfId="2553"/>
    <cellStyle name="Обычный 10 3 2 2 3 2 3 2" xfId="2554"/>
    <cellStyle name="Обычный 10 3 2 2 3 2 3 3" xfId="2555"/>
    <cellStyle name="Обычный 10 3 2 2 3 2 4" xfId="2556"/>
    <cellStyle name="Обычный 10 3 2 2 3 2 4 2" xfId="2557"/>
    <cellStyle name="Обычный 10 3 2 2 3 2 4 3" xfId="2558"/>
    <cellStyle name="Обычный 10 3 2 2 3 2 5" xfId="2559"/>
    <cellStyle name="Обычный 10 3 2 2 3 2 5 2" xfId="2560"/>
    <cellStyle name="Обычный 10 3 2 2 3 2 6" xfId="2561"/>
    <cellStyle name="Обычный 10 3 2 2 3 2 7" xfId="2562"/>
    <cellStyle name="Обычный 10 3 2 2 3 3" xfId="2563"/>
    <cellStyle name="Обычный 10 3 2 2 3 3 2" xfId="2564"/>
    <cellStyle name="Обычный 10 3 2 2 3 3 2 2" xfId="2565"/>
    <cellStyle name="Обычный 10 3 2 2 3 3 2 3" xfId="2566"/>
    <cellStyle name="Обычный 10 3 2 2 3 3 3" xfId="2567"/>
    <cellStyle name="Обычный 10 3 2 2 3 3 3 2" xfId="2568"/>
    <cellStyle name="Обычный 10 3 2 2 3 3 3 3" xfId="2569"/>
    <cellStyle name="Обычный 10 3 2 2 3 3 4" xfId="2570"/>
    <cellStyle name="Обычный 10 3 2 2 3 3 4 2" xfId="2571"/>
    <cellStyle name="Обычный 10 3 2 2 3 3 5" xfId="2572"/>
    <cellStyle name="Обычный 10 3 2 2 3 3 6" xfId="2573"/>
    <cellStyle name="Обычный 10 3 2 2 3 4" xfId="2574"/>
    <cellStyle name="Обычный 10 3 2 2 3 4 2" xfId="2575"/>
    <cellStyle name="Обычный 10 3 2 2 3 4 3" xfId="2576"/>
    <cellStyle name="Обычный 10 3 2 2 3 5" xfId="2577"/>
    <cellStyle name="Обычный 10 3 2 2 3 5 2" xfId="2578"/>
    <cellStyle name="Обычный 10 3 2 2 3 5 3" xfId="2579"/>
    <cellStyle name="Обычный 10 3 2 2 3 6" xfId="2580"/>
    <cellStyle name="Обычный 10 3 2 2 3 6 2" xfId="2581"/>
    <cellStyle name="Обычный 10 3 2 2 3 7" xfId="2582"/>
    <cellStyle name="Обычный 10 3 2 2 3 8" xfId="2583"/>
    <cellStyle name="Обычный 10 3 2 2 4" xfId="2584"/>
    <cellStyle name="Обычный 10 3 2 2 4 2" xfId="2585"/>
    <cellStyle name="Обычный 10 3 2 2 4 2 2" xfId="2586"/>
    <cellStyle name="Обычный 10 3 2 2 4 2 2 2" xfId="2587"/>
    <cellStyle name="Обычный 10 3 2 2 4 2 2 3" xfId="2588"/>
    <cellStyle name="Обычный 10 3 2 2 4 2 3" xfId="2589"/>
    <cellStyle name="Обычный 10 3 2 2 4 2 3 2" xfId="2590"/>
    <cellStyle name="Обычный 10 3 2 2 4 2 3 3" xfId="2591"/>
    <cellStyle name="Обычный 10 3 2 2 4 2 4" xfId="2592"/>
    <cellStyle name="Обычный 10 3 2 2 4 2 4 2" xfId="2593"/>
    <cellStyle name="Обычный 10 3 2 2 4 2 5" xfId="2594"/>
    <cellStyle name="Обычный 10 3 2 2 4 2 6" xfId="2595"/>
    <cellStyle name="Обычный 10 3 2 2 4 3" xfId="2596"/>
    <cellStyle name="Обычный 10 3 2 2 4 3 2" xfId="2597"/>
    <cellStyle name="Обычный 10 3 2 2 4 3 3" xfId="2598"/>
    <cellStyle name="Обычный 10 3 2 2 4 4" xfId="2599"/>
    <cellStyle name="Обычный 10 3 2 2 4 4 2" xfId="2600"/>
    <cellStyle name="Обычный 10 3 2 2 4 4 3" xfId="2601"/>
    <cellStyle name="Обычный 10 3 2 2 4 5" xfId="2602"/>
    <cellStyle name="Обычный 10 3 2 2 4 5 2" xfId="2603"/>
    <cellStyle name="Обычный 10 3 2 2 4 6" xfId="2604"/>
    <cellStyle name="Обычный 10 3 2 2 4 7" xfId="2605"/>
    <cellStyle name="Обычный 10 3 2 2 5" xfId="2606"/>
    <cellStyle name="Обычный 10 3 2 2 5 2" xfId="2607"/>
    <cellStyle name="Обычный 10 3 2 2 5 2 2" xfId="2608"/>
    <cellStyle name="Обычный 10 3 2 2 5 2 3" xfId="2609"/>
    <cellStyle name="Обычный 10 3 2 2 5 3" xfId="2610"/>
    <cellStyle name="Обычный 10 3 2 2 5 3 2" xfId="2611"/>
    <cellStyle name="Обычный 10 3 2 2 5 3 3" xfId="2612"/>
    <cellStyle name="Обычный 10 3 2 2 5 4" xfId="2613"/>
    <cellStyle name="Обычный 10 3 2 2 5 4 2" xfId="2614"/>
    <cellStyle name="Обычный 10 3 2 2 5 5" xfId="2615"/>
    <cellStyle name="Обычный 10 3 2 2 5 6" xfId="2616"/>
    <cellStyle name="Обычный 10 3 2 2 6" xfId="2617"/>
    <cellStyle name="Обычный 10 3 2 2 6 2" xfId="2618"/>
    <cellStyle name="Обычный 10 3 2 2 6 3" xfId="2619"/>
    <cellStyle name="Обычный 10 3 2 2 7" xfId="2620"/>
    <cellStyle name="Обычный 10 3 2 2 7 2" xfId="2621"/>
    <cellStyle name="Обычный 10 3 2 2 7 3" xfId="2622"/>
    <cellStyle name="Обычный 10 3 2 2 8" xfId="2623"/>
    <cellStyle name="Обычный 10 3 2 2 8 2" xfId="2624"/>
    <cellStyle name="Обычный 10 3 2 2 9" xfId="2625"/>
    <cellStyle name="Обычный 10 3 2 3" xfId="2626"/>
    <cellStyle name="Обычный 10 3 2 3 10" xfId="2627"/>
    <cellStyle name="Обычный 10 3 2 3 2" xfId="2628"/>
    <cellStyle name="Обычный 10 3 2 3 2 2" xfId="2629"/>
    <cellStyle name="Обычный 10 3 2 3 2 2 2" xfId="2630"/>
    <cellStyle name="Обычный 10 3 2 3 2 2 2 2" xfId="2631"/>
    <cellStyle name="Обычный 10 3 2 3 2 2 2 2 2" xfId="2632"/>
    <cellStyle name="Обычный 10 3 2 3 2 2 2 2 2 2" xfId="2633"/>
    <cellStyle name="Обычный 10 3 2 3 2 2 2 2 2 3" xfId="2634"/>
    <cellStyle name="Обычный 10 3 2 3 2 2 2 2 3" xfId="2635"/>
    <cellStyle name="Обычный 10 3 2 3 2 2 2 2 3 2" xfId="2636"/>
    <cellStyle name="Обычный 10 3 2 3 2 2 2 2 3 3" xfId="2637"/>
    <cellStyle name="Обычный 10 3 2 3 2 2 2 2 4" xfId="2638"/>
    <cellStyle name="Обычный 10 3 2 3 2 2 2 2 4 2" xfId="2639"/>
    <cellStyle name="Обычный 10 3 2 3 2 2 2 2 5" xfId="2640"/>
    <cellStyle name="Обычный 10 3 2 3 2 2 2 2 6" xfId="2641"/>
    <cellStyle name="Обычный 10 3 2 3 2 2 2 3" xfId="2642"/>
    <cellStyle name="Обычный 10 3 2 3 2 2 2 3 2" xfId="2643"/>
    <cellStyle name="Обычный 10 3 2 3 2 2 2 3 3" xfId="2644"/>
    <cellStyle name="Обычный 10 3 2 3 2 2 2 4" xfId="2645"/>
    <cellStyle name="Обычный 10 3 2 3 2 2 2 4 2" xfId="2646"/>
    <cellStyle name="Обычный 10 3 2 3 2 2 2 4 3" xfId="2647"/>
    <cellStyle name="Обычный 10 3 2 3 2 2 2 5" xfId="2648"/>
    <cellStyle name="Обычный 10 3 2 3 2 2 2 5 2" xfId="2649"/>
    <cellStyle name="Обычный 10 3 2 3 2 2 2 6" xfId="2650"/>
    <cellStyle name="Обычный 10 3 2 3 2 2 2 7" xfId="2651"/>
    <cellStyle name="Обычный 10 3 2 3 2 2 3" xfId="2652"/>
    <cellStyle name="Обычный 10 3 2 3 2 2 3 2" xfId="2653"/>
    <cellStyle name="Обычный 10 3 2 3 2 2 3 2 2" xfId="2654"/>
    <cellStyle name="Обычный 10 3 2 3 2 2 3 2 3" xfId="2655"/>
    <cellStyle name="Обычный 10 3 2 3 2 2 3 3" xfId="2656"/>
    <cellStyle name="Обычный 10 3 2 3 2 2 3 3 2" xfId="2657"/>
    <cellStyle name="Обычный 10 3 2 3 2 2 3 3 3" xfId="2658"/>
    <cellStyle name="Обычный 10 3 2 3 2 2 3 4" xfId="2659"/>
    <cellStyle name="Обычный 10 3 2 3 2 2 3 4 2" xfId="2660"/>
    <cellStyle name="Обычный 10 3 2 3 2 2 3 5" xfId="2661"/>
    <cellStyle name="Обычный 10 3 2 3 2 2 3 6" xfId="2662"/>
    <cellStyle name="Обычный 10 3 2 3 2 2 4" xfId="2663"/>
    <cellStyle name="Обычный 10 3 2 3 2 2 4 2" xfId="2664"/>
    <cellStyle name="Обычный 10 3 2 3 2 2 4 3" xfId="2665"/>
    <cellStyle name="Обычный 10 3 2 3 2 2 5" xfId="2666"/>
    <cellStyle name="Обычный 10 3 2 3 2 2 5 2" xfId="2667"/>
    <cellStyle name="Обычный 10 3 2 3 2 2 5 3" xfId="2668"/>
    <cellStyle name="Обычный 10 3 2 3 2 2 6" xfId="2669"/>
    <cellStyle name="Обычный 10 3 2 3 2 2 6 2" xfId="2670"/>
    <cellStyle name="Обычный 10 3 2 3 2 2 7" xfId="2671"/>
    <cellStyle name="Обычный 10 3 2 3 2 2 8" xfId="2672"/>
    <cellStyle name="Обычный 10 3 2 3 2 3" xfId="2673"/>
    <cellStyle name="Обычный 10 3 2 3 2 3 2" xfId="2674"/>
    <cellStyle name="Обычный 10 3 2 3 2 3 2 2" xfId="2675"/>
    <cellStyle name="Обычный 10 3 2 3 2 3 2 2 2" xfId="2676"/>
    <cellStyle name="Обычный 10 3 2 3 2 3 2 2 3" xfId="2677"/>
    <cellStyle name="Обычный 10 3 2 3 2 3 2 3" xfId="2678"/>
    <cellStyle name="Обычный 10 3 2 3 2 3 2 3 2" xfId="2679"/>
    <cellStyle name="Обычный 10 3 2 3 2 3 2 3 3" xfId="2680"/>
    <cellStyle name="Обычный 10 3 2 3 2 3 2 4" xfId="2681"/>
    <cellStyle name="Обычный 10 3 2 3 2 3 2 4 2" xfId="2682"/>
    <cellStyle name="Обычный 10 3 2 3 2 3 2 5" xfId="2683"/>
    <cellStyle name="Обычный 10 3 2 3 2 3 2 6" xfId="2684"/>
    <cellStyle name="Обычный 10 3 2 3 2 3 3" xfId="2685"/>
    <cellStyle name="Обычный 10 3 2 3 2 3 3 2" xfId="2686"/>
    <cellStyle name="Обычный 10 3 2 3 2 3 3 3" xfId="2687"/>
    <cellStyle name="Обычный 10 3 2 3 2 3 4" xfId="2688"/>
    <cellStyle name="Обычный 10 3 2 3 2 3 4 2" xfId="2689"/>
    <cellStyle name="Обычный 10 3 2 3 2 3 4 3" xfId="2690"/>
    <cellStyle name="Обычный 10 3 2 3 2 3 5" xfId="2691"/>
    <cellStyle name="Обычный 10 3 2 3 2 3 5 2" xfId="2692"/>
    <cellStyle name="Обычный 10 3 2 3 2 3 6" xfId="2693"/>
    <cellStyle name="Обычный 10 3 2 3 2 3 7" xfId="2694"/>
    <cellStyle name="Обычный 10 3 2 3 2 4" xfId="2695"/>
    <cellStyle name="Обычный 10 3 2 3 2 4 2" xfId="2696"/>
    <cellStyle name="Обычный 10 3 2 3 2 4 2 2" xfId="2697"/>
    <cellStyle name="Обычный 10 3 2 3 2 4 2 3" xfId="2698"/>
    <cellStyle name="Обычный 10 3 2 3 2 4 3" xfId="2699"/>
    <cellStyle name="Обычный 10 3 2 3 2 4 3 2" xfId="2700"/>
    <cellStyle name="Обычный 10 3 2 3 2 4 3 3" xfId="2701"/>
    <cellStyle name="Обычный 10 3 2 3 2 4 4" xfId="2702"/>
    <cellStyle name="Обычный 10 3 2 3 2 4 4 2" xfId="2703"/>
    <cellStyle name="Обычный 10 3 2 3 2 4 5" xfId="2704"/>
    <cellStyle name="Обычный 10 3 2 3 2 4 6" xfId="2705"/>
    <cellStyle name="Обычный 10 3 2 3 2 5" xfId="2706"/>
    <cellStyle name="Обычный 10 3 2 3 2 5 2" xfId="2707"/>
    <cellStyle name="Обычный 10 3 2 3 2 5 3" xfId="2708"/>
    <cellStyle name="Обычный 10 3 2 3 2 6" xfId="2709"/>
    <cellStyle name="Обычный 10 3 2 3 2 6 2" xfId="2710"/>
    <cellStyle name="Обычный 10 3 2 3 2 6 3" xfId="2711"/>
    <cellStyle name="Обычный 10 3 2 3 2 7" xfId="2712"/>
    <cellStyle name="Обычный 10 3 2 3 2 7 2" xfId="2713"/>
    <cellStyle name="Обычный 10 3 2 3 2 8" xfId="2714"/>
    <cellStyle name="Обычный 10 3 2 3 2 9" xfId="2715"/>
    <cellStyle name="Обычный 10 3 2 3 3" xfId="2716"/>
    <cellStyle name="Обычный 10 3 2 3 3 2" xfId="2717"/>
    <cellStyle name="Обычный 10 3 2 3 3 2 2" xfId="2718"/>
    <cellStyle name="Обычный 10 3 2 3 3 2 2 2" xfId="2719"/>
    <cellStyle name="Обычный 10 3 2 3 3 2 2 2 2" xfId="2720"/>
    <cellStyle name="Обычный 10 3 2 3 3 2 2 2 3" xfId="2721"/>
    <cellStyle name="Обычный 10 3 2 3 3 2 2 3" xfId="2722"/>
    <cellStyle name="Обычный 10 3 2 3 3 2 2 3 2" xfId="2723"/>
    <cellStyle name="Обычный 10 3 2 3 3 2 2 3 3" xfId="2724"/>
    <cellStyle name="Обычный 10 3 2 3 3 2 2 4" xfId="2725"/>
    <cellStyle name="Обычный 10 3 2 3 3 2 2 4 2" xfId="2726"/>
    <cellStyle name="Обычный 10 3 2 3 3 2 2 5" xfId="2727"/>
    <cellStyle name="Обычный 10 3 2 3 3 2 2 6" xfId="2728"/>
    <cellStyle name="Обычный 10 3 2 3 3 2 3" xfId="2729"/>
    <cellStyle name="Обычный 10 3 2 3 3 2 3 2" xfId="2730"/>
    <cellStyle name="Обычный 10 3 2 3 3 2 3 3" xfId="2731"/>
    <cellStyle name="Обычный 10 3 2 3 3 2 4" xfId="2732"/>
    <cellStyle name="Обычный 10 3 2 3 3 2 4 2" xfId="2733"/>
    <cellStyle name="Обычный 10 3 2 3 3 2 4 3" xfId="2734"/>
    <cellStyle name="Обычный 10 3 2 3 3 2 5" xfId="2735"/>
    <cellStyle name="Обычный 10 3 2 3 3 2 5 2" xfId="2736"/>
    <cellStyle name="Обычный 10 3 2 3 3 2 6" xfId="2737"/>
    <cellStyle name="Обычный 10 3 2 3 3 2 7" xfId="2738"/>
    <cellStyle name="Обычный 10 3 2 3 3 3" xfId="2739"/>
    <cellStyle name="Обычный 10 3 2 3 3 3 2" xfId="2740"/>
    <cellStyle name="Обычный 10 3 2 3 3 3 2 2" xfId="2741"/>
    <cellStyle name="Обычный 10 3 2 3 3 3 2 3" xfId="2742"/>
    <cellStyle name="Обычный 10 3 2 3 3 3 3" xfId="2743"/>
    <cellStyle name="Обычный 10 3 2 3 3 3 3 2" xfId="2744"/>
    <cellStyle name="Обычный 10 3 2 3 3 3 3 3" xfId="2745"/>
    <cellStyle name="Обычный 10 3 2 3 3 3 4" xfId="2746"/>
    <cellStyle name="Обычный 10 3 2 3 3 3 4 2" xfId="2747"/>
    <cellStyle name="Обычный 10 3 2 3 3 3 5" xfId="2748"/>
    <cellStyle name="Обычный 10 3 2 3 3 3 6" xfId="2749"/>
    <cellStyle name="Обычный 10 3 2 3 3 4" xfId="2750"/>
    <cellStyle name="Обычный 10 3 2 3 3 4 2" xfId="2751"/>
    <cellStyle name="Обычный 10 3 2 3 3 4 3" xfId="2752"/>
    <cellStyle name="Обычный 10 3 2 3 3 5" xfId="2753"/>
    <cellStyle name="Обычный 10 3 2 3 3 5 2" xfId="2754"/>
    <cellStyle name="Обычный 10 3 2 3 3 5 3" xfId="2755"/>
    <cellStyle name="Обычный 10 3 2 3 3 6" xfId="2756"/>
    <cellStyle name="Обычный 10 3 2 3 3 6 2" xfId="2757"/>
    <cellStyle name="Обычный 10 3 2 3 3 7" xfId="2758"/>
    <cellStyle name="Обычный 10 3 2 3 3 8" xfId="2759"/>
    <cellStyle name="Обычный 10 3 2 3 4" xfId="2760"/>
    <cellStyle name="Обычный 10 3 2 3 4 2" xfId="2761"/>
    <cellStyle name="Обычный 10 3 2 3 4 2 2" xfId="2762"/>
    <cellStyle name="Обычный 10 3 2 3 4 2 2 2" xfId="2763"/>
    <cellStyle name="Обычный 10 3 2 3 4 2 2 3" xfId="2764"/>
    <cellStyle name="Обычный 10 3 2 3 4 2 3" xfId="2765"/>
    <cellStyle name="Обычный 10 3 2 3 4 2 3 2" xfId="2766"/>
    <cellStyle name="Обычный 10 3 2 3 4 2 3 3" xfId="2767"/>
    <cellStyle name="Обычный 10 3 2 3 4 2 4" xfId="2768"/>
    <cellStyle name="Обычный 10 3 2 3 4 2 4 2" xfId="2769"/>
    <cellStyle name="Обычный 10 3 2 3 4 2 5" xfId="2770"/>
    <cellStyle name="Обычный 10 3 2 3 4 2 6" xfId="2771"/>
    <cellStyle name="Обычный 10 3 2 3 4 3" xfId="2772"/>
    <cellStyle name="Обычный 10 3 2 3 4 3 2" xfId="2773"/>
    <cellStyle name="Обычный 10 3 2 3 4 3 3" xfId="2774"/>
    <cellStyle name="Обычный 10 3 2 3 4 4" xfId="2775"/>
    <cellStyle name="Обычный 10 3 2 3 4 4 2" xfId="2776"/>
    <cellStyle name="Обычный 10 3 2 3 4 4 3" xfId="2777"/>
    <cellStyle name="Обычный 10 3 2 3 4 5" xfId="2778"/>
    <cellStyle name="Обычный 10 3 2 3 4 5 2" xfId="2779"/>
    <cellStyle name="Обычный 10 3 2 3 4 6" xfId="2780"/>
    <cellStyle name="Обычный 10 3 2 3 4 7" xfId="2781"/>
    <cellStyle name="Обычный 10 3 2 3 5" xfId="2782"/>
    <cellStyle name="Обычный 10 3 2 3 5 2" xfId="2783"/>
    <cellStyle name="Обычный 10 3 2 3 5 2 2" xfId="2784"/>
    <cellStyle name="Обычный 10 3 2 3 5 2 3" xfId="2785"/>
    <cellStyle name="Обычный 10 3 2 3 5 3" xfId="2786"/>
    <cellStyle name="Обычный 10 3 2 3 5 3 2" xfId="2787"/>
    <cellStyle name="Обычный 10 3 2 3 5 3 3" xfId="2788"/>
    <cellStyle name="Обычный 10 3 2 3 5 4" xfId="2789"/>
    <cellStyle name="Обычный 10 3 2 3 5 4 2" xfId="2790"/>
    <cellStyle name="Обычный 10 3 2 3 5 5" xfId="2791"/>
    <cellStyle name="Обычный 10 3 2 3 5 6" xfId="2792"/>
    <cellStyle name="Обычный 10 3 2 3 6" xfId="2793"/>
    <cellStyle name="Обычный 10 3 2 3 6 2" xfId="2794"/>
    <cellStyle name="Обычный 10 3 2 3 6 3" xfId="2795"/>
    <cellStyle name="Обычный 10 3 2 3 7" xfId="2796"/>
    <cellStyle name="Обычный 10 3 2 3 7 2" xfId="2797"/>
    <cellStyle name="Обычный 10 3 2 3 7 3" xfId="2798"/>
    <cellStyle name="Обычный 10 3 2 3 8" xfId="2799"/>
    <cellStyle name="Обычный 10 3 2 3 8 2" xfId="2800"/>
    <cellStyle name="Обычный 10 3 2 3 9" xfId="2801"/>
    <cellStyle name="Обычный 10 3 2 4" xfId="2802"/>
    <cellStyle name="Обычный 10 3 2 4 10" xfId="2803"/>
    <cellStyle name="Обычный 10 3 2 4 2" xfId="2804"/>
    <cellStyle name="Обычный 10 3 2 4 2 2" xfId="2805"/>
    <cellStyle name="Обычный 10 3 2 4 2 2 2" xfId="2806"/>
    <cellStyle name="Обычный 10 3 2 4 2 2 2 2" xfId="2807"/>
    <cellStyle name="Обычный 10 3 2 4 2 2 2 2 2" xfId="2808"/>
    <cellStyle name="Обычный 10 3 2 4 2 2 2 2 2 2" xfId="2809"/>
    <cellStyle name="Обычный 10 3 2 4 2 2 2 2 2 3" xfId="2810"/>
    <cellStyle name="Обычный 10 3 2 4 2 2 2 2 3" xfId="2811"/>
    <cellStyle name="Обычный 10 3 2 4 2 2 2 2 3 2" xfId="2812"/>
    <cellStyle name="Обычный 10 3 2 4 2 2 2 2 3 3" xfId="2813"/>
    <cellStyle name="Обычный 10 3 2 4 2 2 2 2 4" xfId="2814"/>
    <cellStyle name="Обычный 10 3 2 4 2 2 2 2 4 2" xfId="2815"/>
    <cellStyle name="Обычный 10 3 2 4 2 2 2 2 5" xfId="2816"/>
    <cellStyle name="Обычный 10 3 2 4 2 2 2 2 6" xfId="2817"/>
    <cellStyle name="Обычный 10 3 2 4 2 2 2 3" xfId="2818"/>
    <cellStyle name="Обычный 10 3 2 4 2 2 2 3 2" xfId="2819"/>
    <cellStyle name="Обычный 10 3 2 4 2 2 2 3 3" xfId="2820"/>
    <cellStyle name="Обычный 10 3 2 4 2 2 2 4" xfId="2821"/>
    <cellStyle name="Обычный 10 3 2 4 2 2 2 4 2" xfId="2822"/>
    <cellStyle name="Обычный 10 3 2 4 2 2 2 4 3" xfId="2823"/>
    <cellStyle name="Обычный 10 3 2 4 2 2 2 5" xfId="2824"/>
    <cellStyle name="Обычный 10 3 2 4 2 2 2 5 2" xfId="2825"/>
    <cellStyle name="Обычный 10 3 2 4 2 2 2 6" xfId="2826"/>
    <cellStyle name="Обычный 10 3 2 4 2 2 2 7" xfId="2827"/>
    <cellStyle name="Обычный 10 3 2 4 2 2 3" xfId="2828"/>
    <cellStyle name="Обычный 10 3 2 4 2 2 3 2" xfId="2829"/>
    <cellStyle name="Обычный 10 3 2 4 2 2 3 2 2" xfId="2830"/>
    <cellStyle name="Обычный 10 3 2 4 2 2 3 2 3" xfId="2831"/>
    <cellStyle name="Обычный 10 3 2 4 2 2 3 3" xfId="2832"/>
    <cellStyle name="Обычный 10 3 2 4 2 2 3 3 2" xfId="2833"/>
    <cellStyle name="Обычный 10 3 2 4 2 2 3 3 3" xfId="2834"/>
    <cellStyle name="Обычный 10 3 2 4 2 2 3 4" xfId="2835"/>
    <cellStyle name="Обычный 10 3 2 4 2 2 3 4 2" xfId="2836"/>
    <cellStyle name="Обычный 10 3 2 4 2 2 3 5" xfId="2837"/>
    <cellStyle name="Обычный 10 3 2 4 2 2 3 6" xfId="2838"/>
    <cellStyle name="Обычный 10 3 2 4 2 2 4" xfId="2839"/>
    <cellStyle name="Обычный 10 3 2 4 2 2 4 2" xfId="2840"/>
    <cellStyle name="Обычный 10 3 2 4 2 2 4 3" xfId="2841"/>
    <cellStyle name="Обычный 10 3 2 4 2 2 5" xfId="2842"/>
    <cellStyle name="Обычный 10 3 2 4 2 2 5 2" xfId="2843"/>
    <cellStyle name="Обычный 10 3 2 4 2 2 5 3" xfId="2844"/>
    <cellStyle name="Обычный 10 3 2 4 2 2 6" xfId="2845"/>
    <cellStyle name="Обычный 10 3 2 4 2 2 6 2" xfId="2846"/>
    <cellStyle name="Обычный 10 3 2 4 2 2 7" xfId="2847"/>
    <cellStyle name="Обычный 10 3 2 4 2 2 8" xfId="2848"/>
    <cellStyle name="Обычный 10 3 2 4 2 3" xfId="2849"/>
    <cellStyle name="Обычный 10 3 2 4 2 3 2" xfId="2850"/>
    <cellStyle name="Обычный 10 3 2 4 2 3 2 2" xfId="2851"/>
    <cellStyle name="Обычный 10 3 2 4 2 3 2 2 2" xfId="2852"/>
    <cellStyle name="Обычный 10 3 2 4 2 3 2 2 3" xfId="2853"/>
    <cellStyle name="Обычный 10 3 2 4 2 3 2 3" xfId="2854"/>
    <cellStyle name="Обычный 10 3 2 4 2 3 2 3 2" xfId="2855"/>
    <cellStyle name="Обычный 10 3 2 4 2 3 2 3 3" xfId="2856"/>
    <cellStyle name="Обычный 10 3 2 4 2 3 2 4" xfId="2857"/>
    <cellStyle name="Обычный 10 3 2 4 2 3 2 4 2" xfId="2858"/>
    <cellStyle name="Обычный 10 3 2 4 2 3 2 5" xfId="2859"/>
    <cellStyle name="Обычный 10 3 2 4 2 3 2 6" xfId="2860"/>
    <cellStyle name="Обычный 10 3 2 4 2 3 3" xfId="2861"/>
    <cellStyle name="Обычный 10 3 2 4 2 3 3 2" xfId="2862"/>
    <cellStyle name="Обычный 10 3 2 4 2 3 3 3" xfId="2863"/>
    <cellStyle name="Обычный 10 3 2 4 2 3 4" xfId="2864"/>
    <cellStyle name="Обычный 10 3 2 4 2 3 4 2" xfId="2865"/>
    <cellStyle name="Обычный 10 3 2 4 2 3 4 3" xfId="2866"/>
    <cellStyle name="Обычный 10 3 2 4 2 3 5" xfId="2867"/>
    <cellStyle name="Обычный 10 3 2 4 2 3 5 2" xfId="2868"/>
    <cellStyle name="Обычный 10 3 2 4 2 3 6" xfId="2869"/>
    <cellStyle name="Обычный 10 3 2 4 2 3 7" xfId="2870"/>
    <cellStyle name="Обычный 10 3 2 4 2 4" xfId="2871"/>
    <cellStyle name="Обычный 10 3 2 4 2 4 2" xfId="2872"/>
    <cellStyle name="Обычный 10 3 2 4 2 4 2 2" xfId="2873"/>
    <cellStyle name="Обычный 10 3 2 4 2 4 2 3" xfId="2874"/>
    <cellStyle name="Обычный 10 3 2 4 2 4 3" xfId="2875"/>
    <cellStyle name="Обычный 10 3 2 4 2 4 3 2" xfId="2876"/>
    <cellStyle name="Обычный 10 3 2 4 2 4 3 3" xfId="2877"/>
    <cellStyle name="Обычный 10 3 2 4 2 4 4" xfId="2878"/>
    <cellStyle name="Обычный 10 3 2 4 2 4 4 2" xfId="2879"/>
    <cellStyle name="Обычный 10 3 2 4 2 4 5" xfId="2880"/>
    <cellStyle name="Обычный 10 3 2 4 2 4 6" xfId="2881"/>
    <cellStyle name="Обычный 10 3 2 4 2 5" xfId="2882"/>
    <cellStyle name="Обычный 10 3 2 4 2 5 2" xfId="2883"/>
    <cellStyle name="Обычный 10 3 2 4 2 5 3" xfId="2884"/>
    <cellStyle name="Обычный 10 3 2 4 2 6" xfId="2885"/>
    <cellStyle name="Обычный 10 3 2 4 2 6 2" xfId="2886"/>
    <cellStyle name="Обычный 10 3 2 4 2 6 3" xfId="2887"/>
    <cellStyle name="Обычный 10 3 2 4 2 7" xfId="2888"/>
    <cellStyle name="Обычный 10 3 2 4 2 7 2" xfId="2889"/>
    <cellStyle name="Обычный 10 3 2 4 2 8" xfId="2890"/>
    <cellStyle name="Обычный 10 3 2 4 2 9" xfId="2891"/>
    <cellStyle name="Обычный 10 3 2 4 3" xfId="2892"/>
    <cellStyle name="Обычный 10 3 2 4 3 2" xfId="2893"/>
    <cellStyle name="Обычный 10 3 2 4 3 2 2" xfId="2894"/>
    <cellStyle name="Обычный 10 3 2 4 3 2 2 2" xfId="2895"/>
    <cellStyle name="Обычный 10 3 2 4 3 2 2 2 2" xfId="2896"/>
    <cellStyle name="Обычный 10 3 2 4 3 2 2 2 3" xfId="2897"/>
    <cellStyle name="Обычный 10 3 2 4 3 2 2 3" xfId="2898"/>
    <cellStyle name="Обычный 10 3 2 4 3 2 2 3 2" xfId="2899"/>
    <cellStyle name="Обычный 10 3 2 4 3 2 2 3 3" xfId="2900"/>
    <cellStyle name="Обычный 10 3 2 4 3 2 2 4" xfId="2901"/>
    <cellStyle name="Обычный 10 3 2 4 3 2 2 4 2" xfId="2902"/>
    <cellStyle name="Обычный 10 3 2 4 3 2 2 5" xfId="2903"/>
    <cellStyle name="Обычный 10 3 2 4 3 2 2 6" xfId="2904"/>
    <cellStyle name="Обычный 10 3 2 4 3 2 3" xfId="2905"/>
    <cellStyle name="Обычный 10 3 2 4 3 2 3 2" xfId="2906"/>
    <cellStyle name="Обычный 10 3 2 4 3 2 3 3" xfId="2907"/>
    <cellStyle name="Обычный 10 3 2 4 3 2 4" xfId="2908"/>
    <cellStyle name="Обычный 10 3 2 4 3 2 4 2" xfId="2909"/>
    <cellStyle name="Обычный 10 3 2 4 3 2 4 3" xfId="2910"/>
    <cellStyle name="Обычный 10 3 2 4 3 2 5" xfId="2911"/>
    <cellStyle name="Обычный 10 3 2 4 3 2 5 2" xfId="2912"/>
    <cellStyle name="Обычный 10 3 2 4 3 2 6" xfId="2913"/>
    <cellStyle name="Обычный 10 3 2 4 3 2 7" xfId="2914"/>
    <cellStyle name="Обычный 10 3 2 4 3 3" xfId="2915"/>
    <cellStyle name="Обычный 10 3 2 4 3 3 2" xfId="2916"/>
    <cellStyle name="Обычный 10 3 2 4 3 3 2 2" xfId="2917"/>
    <cellStyle name="Обычный 10 3 2 4 3 3 2 3" xfId="2918"/>
    <cellStyle name="Обычный 10 3 2 4 3 3 3" xfId="2919"/>
    <cellStyle name="Обычный 10 3 2 4 3 3 3 2" xfId="2920"/>
    <cellStyle name="Обычный 10 3 2 4 3 3 3 3" xfId="2921"/>
    <cellStyle name="Обычный 10 3 2 4 3 3 4" xfId="2922"/>
    <cellStyle name="Обычный 10 3 2 4 3 3 4 2" xfId="2923"/>
    <cellStyle name="Обычный 10 3 2 4 3 3 5" xfId="2924"/>
    <cellStyle name="Обычный 10 3 2 4 3 3 6" xfId="2925"/>
    <cellStyle name="Обычный 10 3 2 4 3 4" xfId="2926"/>
    <cellStyle name="Обычный 10 3 2 4 3 4 2" xfId="2927"/>
    <cellStyle name="Обычный 10 3 2 4 3 4 3" xfId="2928"/>
    <cellStyle name="Обычный 10 3 2 4 3 5" xfId="2929"/>
    <cellStyle name="Обычный 10 3 2 4 3 5 2" xfId="2930"/>
    <cellStyle name="Обычный 10 3 2 4 3 5 3" xfId="2931"/>
    <cellStyle name="Обычный 10 3 2 4 3 6" xfId="2932"/>
    <cellStyle name="Обычный 10 3 2 4 3 6 2" xfId="2933"/>
    <cellStyle name="Обычный 10 3 2 4 3 7" xfId="2934"/>
    <cellStyle name="Обычный 10 3 2 4 3 8" xfId="2935"/>
    <cellStyle name="Обычный 10 3 2 4 4" xfId="2936"/>
    <cellStyle name="Обычный 10 3 2 4 4 2" xfId="2937"/>
    <cellStyle name="Обычный 10 3 2 4 4 2 2" xfId="2938"/>
    <cellStyle name="Обычный 10 3 2 4 4 2 2 2" xfId="2939"/>
    <cellStyle name="Обычный 10 3 2 4 4 2 2 3" xfId="2940"/>
    <cellStyle name="Обычный 10 3 2 4 4 2 3" xfId="2941"/>
    <cellStyle name="Обычный 10 3 2 4 4 2 3 2" xfId="2942"/>
    <cellStyle name="Обычный 10 3 2 4 4 2 3 3" xfId="2943"/>
    <cellStyle name="Обычный 10 3 2 4 4 2 4" xfId="2944"/>
    <cellStyle name="Обычный 10 3 2 4 4 2 4 2" xfId="2945"/>
    <cellStyle name="Обычный 10 3 2 4 4 2 5" xfId="2946"/>
    <cellStyle name="Обычный 10 3 2 4 4 2 6" xfId="2947"/>
    <cellStyle name="Обычный 10 3 2 4 4 3" xfId="2948"/>
    <cellStyle name="Обычный 10 3 2 4 4 3 2" xfId="2949"/>
    <cellStyle name="Обычный 10 3 2 4 4 3 3" xfId="2950"/>
    <cellStyle name="Обычный 10 3 2 4 4 4" xfId="2951"/>
    <cellStyle name="Обычный 10 3 2 4 4 4 2" xfId="2952"/>
    <cellStyle name="Обычный 10 3 2 4 4 4 3" xfId="2953"/>
    <cellStyle name="Обычный 10 3 2 4 4 5" xfId="2954"/>
    <cellStyle name="Обычный 10 3 2 4 4 5 2" xfId="2955"/>
    <cellStyle name="Обычный 10 3 2 4 4 6" xfId="2956"/>
    <cellStyle name="Обычный 10 3 2 4 4 7" xfId="2957"/>
    <cellStyle name="Обычный 10 3 2 4 5" xfId="2958"/>
    <cellStyle name="Обычный 10 3 2 4 5 2" xfId="2959"/>
    <cellStyle name="Обычный 10 3 2 4 5 2 2" xfId="2960"/>
    <cellStyle name="Обычный 10 3 2 4 5 2 3" xfId="2961"/>
    <cellStyle name="Обычный 10 3 2 4 5 3" xfId="2962"/>
    <cellStyle name="Обычный 10 3 2 4 5 3 2" xfId="2963"/>
    <cellStyle name="Обычный 10 3 2 4 5 3 3" xfId="2964"/>
    <cellStyle name="Обычный 10 3 2 4 5 4" xfId="2965"/>
    <cellStyle name="Обычный 10 3 2 4 5 4 2" xfId="2966"/>
    <cellStyle name="Обычный 10 3 2 4 5 5" xfId="2967"/>
    <cellStyle name="Обычный 10 3 2 4 5 6" xfId="2968"/>
    <cellStyle name="Обычный 10 3 2 4 6" xfId="2969"/>
    <cellStyle name="Обычный 10 3 2 4 6 2" xfId="2970"/>
    <cellStyle name="Обычный 10 3 2 4 6 3" xfId="2971"/>
    <cellStyle name="Обычный 10 3 2 4 7" xfId="2972"/>
    <cellStyle name="Обычный 10 3 2 4 7 2" xfId="2973"/>
    <cellStyle name="Обычный 10 3 2 4 7 3" xfId="2974"/>
    <cellStyle name="Обычный 10 3 2 4 8" xfId="2975"/>
    <cellStyle name="Обычный 10 3 2 4 8 2" xfId="2976"/>
    <cellStyle name="Обычный 10 3 2 4 9" xfId="2977"/>
    <cellStyle name="Обычный 10 3 2 5" xfId="2978"/>
    <cellStyle name="Обычный 10 3 2 5 2" xfId="2979"/>
    <cellStyle name="Обычный 10 3 2 5 2 2" xfId="2980"/>
    <cellStyle name="Обычный 10 3 2 5 2 2 2" xfId="2981"/>
    <cellStyle name="Обычный 10 3 2 5 2 2 2 2" xfId="2982"/>
    <cellStyle name="Обычный 10 3 2 5 2 2 2 2 2" xfId="2983"/>
    <cellStyle name="Обычный 10 3 2 5 2 2 2 2 3" xfId="2984"/>
    <cellStyle name="Обычный 10 3 2 5 2 2 2 3" xfId="2985"/>
    <cellStyle name="Обычный 10 3 2 5 2 2 2 3 2" xfId="2986"/>
    <cellStyle name="Обычный 10 3 2 5 2 2 2 3 3" xfId="2987"/>
    <cellStyle name="Обычный 10 3 2 5 2 2 2 4" xfId="2988"/>
    <cellStyle name="Обычный 10 3 2 5 2 2 2 4 2" xfId="2989"/>
    <cellStyle name="Обычный 10 3 2 5 2 2 2 5" xfId="2990"/>
    <cellStyle name="Обычный 10 3 2 5 2 2 2 6" xfId="2991"/>
    <cellStyle name="Обычный 10 3 2 5 2 2 3" xfId="2992"/>
    <cellStyle name="Обычный 10 3 2 5 2 2 3 2" xfId="2993"/>
    <cellStyle name="Обычный 10 3 2 5 2 2 3 3" xfId="2994"/>
    <cellStyle name="Обычный 10 3 2 5 2 2 4" xfId="2995"/>
    <cellStyle name="Обычный 10 3 2 5 2 2 4 2" xfId="2996"/>
    <cellStyle name="Обычный 10 3 2 5 2 2 4 3" xfId="2997"/>
    <cellStyle name="Обычный 10 3 2 5 2 2 5" xfId="2998"/>
    <cellStyle name="Обычный 10 3 2 5 2 2 5 2" xfId="2999"/>
    <cellStyle name="Обычный 10 3 2 5 2 2 6" xfId="3000"/>
    <cellStyle name="Обычный 10 3 2 5 2 2 7" xfId="3001"/>
    <cellStyle name="Обычный 10 3 2 5 2 3" xfId="3002"/>
    <cellStyle name="Обычный 10 3 2 5 2 3 2" xfId="3003"/>
    <cellStyle name="Обычный 10 3 2 5 2 3 2 2" xfId="3004"/>
    <cellStyle name="Обычный 10 3 2 5 2 3 2 3" xfId="3005"/>
    <cellStyle name="Обычный 10 3 2 5 2 3 3" xfId="3006"/>
    <cellStyle name="Обычный 10 3 2 5 2 3 3 2" xfId="3007"/>
    <cellStyle name="Обычный 10 3 2 5 2 3 3 3" xfId="3008"/>
    <cellStyle name="Обычный 10 3 2 5 2 3 4" xfId="3009"/>
    <cellStyle name="Обычный 10 3 2 5 2 3 4 2" xfId="3010"/>
    <cellStyle name="Обычный 10 3 2 5 2 3 5" xfId="3011"/>
    <cellStyle name="Обычный 10 3 2 5 2 3 6" xfId="3012"/>
    <cellStyle name="Обычный 10 3 2 5 2 4" xfId="3013"/>
    <cellStyle name="Обычный 10 3 2 5 2 4 2" xfId="3014"/>
    <cellStyle name="Обычный 10 3 2 5 2 4 3" xfId="3015"/>
    <cellStyle name="Обычный 10 3 2 5 2 5" xfId="3016"/>
    <cellStyle name="Обычный 10 3 2 5 2 5 2" xfId="3017"/>
    <cellStyle name="Обычный 10 3 2 5 2 5 3" xfId="3018"/>
    <cellStyle name="Обычный 10 3 2 5 2 6" xfId="3019"/>
    <cellStyle name="Обычный 10 3 2 5 2 6 2" xfId="3020"/>
    <cellStyle name="Обычный 10 3 2 5 2 7" xfId="3021"/>
    <cellStyle name="Обычный 10 3 2 5 2 8" xfId="3022"/>
    <cellStyle name="Обычный 10 3 2 5 3" xfId="3023"/>
    <cellStyle name="Обычный 10 3 2 5 3 2" xfId="3024"/>
    <cellStyle name="Обычный 10 3 2 5 3 2 2" xfId="3025"/>
    <cellStyle name="Обычный 10 3 2 5 3 2 2 2" xfId="3026"/>
    <cellStyle name="Обычный 10 3 2 5 3 2 2 3" xfId="3027"/>
    <cellStyle name="Обычный 10 3 2 5 3 2 3" xfId="3028"/>
    <cellStyle name="Обычный 10 3 2 5 3 2 3 2" xfId="3029"/>
    <cellStyle name="Обычный 10 3 2 5 3 2 3 3" xfId="3030"/>
    <cellStyle name="Обычный 10 3 2 5 3 2 4" xfId="3031"/>
    <cellStyle name="Обычный 10 3 2 5 3 2 4 2" xfId="3032"/>
    <cellStyle name="Обычный 10 3 2 5 3 2 5" xfId="3033"/>
    <cellStyle name="Обычный 10 3 2 5 3 2 6" xfId="3034"/>
    <cellStyle name="Обычный 10 3 2 5 3 3" xfId="3035"/>
    <cellStyle name="Обычный 10 3 2 5 3 3 2" xfId="3036"/>
    <cellStyle name="Обычный 10 3 2 5 3 3 3" xfId="3037"/>
    <cellStyle name="Обычный 10 3 2 5 3 4" xfId="3038"/>
    <cellStyle name="Обычный 10 3 2 5 3 4 2" xfId="3039"/>
    <cellStyle name="Обычный 10 3 2 5 3 4 3" xfId="3040"/>
    <cellStyle name="Обычный 10 3 2 5 3 5" xfId="3041"/>
    <cellStyle name="Обычный 10 3 2 5 3 5 2" xfId="3042"/>
    <cellStyle name="Обычный 10 3 2 5 3 6" xfId="3043"/>
    <cellStyle name="Обычный 10 3 2 5 3 7" xfId="3044"/>
    <cellStyle name="Обычный 10 3 2 5 4" xfId="3045"/>
    <cellStyle name="Обычный 10 3 2 5 4 2" xfId="3046"/>
    <cellStyle name="Обычный 10 3 2 5 4 2 2" xfId="3047"/>
    <cellStyle name="Обычный 10 3 2 5 4 2 3" xfId="3048"/>
    <cellStyle name="Обычный 10 3 2 5 4 3" xfId="3049"/>
    <cellStyle name="Обычный 10 3 2 5 4 3 2" xfId="3050"/>
    <cellStyle name="Обычный 10 3 2 5 4 3 3" xfId="3051"/>
    <cellStyle name="Обычный 10 3 2 5 4 4" xfId="3052"/>
    <cellStyle name="Обычный 10 3 2 5 4 4 2" xfId="3053"/>
    <cellStyle name="Обычный 10 3 2 5 4 5" xfId="3054"/>
    <cellStyle name="Обычный 10 3 2 5 4 6" xfId="3055"/>
    <cellStyle name="Обычный 10 3 2 5 5" xfId="3056"/>
    <cellStyle name="Обычный 10 3 2 5 5 2" xfId="3057"/>
    <cellStyle name="Обычный 10 3 2 5 5 3" xfId="3058"/>
    <cellStyle name="Обычный 10 3 2 5 6" xfId="3059"/>
    <cellStyle name="Обычный 10 3 2 5 6 2" xfId="3060"/>
    <cellStyle name="Обычный 10 3 2 5 6 3" xfId="3061"/>
    <cellStyle name="Обычный 10 3 2 5 7" xfId="3062"/>
    <cellStyle name="Обычный 10 3 2 5 7 2" xfId="3063"/>
    <cellStyle name="Обычный 10 3 2 5 8" xfId="3064"/>
    <cellStyle name="Обычный 10 3 2 5 9" xfId="3065"/>
    <cellStyle name="Обычный 10 3 2 6" xfId="3066"/>
    <cellStyle name="Обычный 10 3 2 6 2" xfId="3067"/>
    <cellStyle name="Обычный 10 3 2 6 2 2" xfId="3068"/>
    <cellStyle name="Обычный 10 3 2 6 2 2 2" xfId="3069"/>
    <cellStyle name="Обычный 10 3 2 6 2 2 2 2" xfId="3070"/>
    <cellStyle name="Обычный 10 3 2 6 2 2 2 3" xfId="3071"/>
    <cellStyle name="Обычный 10 3 2 6 2 2 3" xfId="3072"/>
    <cellStyle name="Обычный 10 3 2 6 2 2 3 2" xfId="3073"/>
    <cellStyle name="Обычный 10 3 2 6 2 2 3 3" xfId="3074"/>
    <cellStyle name="Обычный 10 3 2 6 2 2 4" xfId="3075"/>
    <cellStyle name="Обычный 10 3 2 6 2 2 4 2" xfId="3076"/>
    <cellStyle name="Обычный 10 3 2 6 2 2 5" xfId="3077"/>
    <cellStyle name="Обычный 10 3 2 6 2 2 6" xfId="3078"/>
    <cellStyle name="Обычный 10 3 2 6 2 3" xfId="3079"/>
    <cellStyle name="Обычный 10 3 2 6 2 3 2" xfId="3080"/>
    <cellStyle name="Обычный 10 3 2 6 2 3 3" xfId="3081"/>
    <cellStyle name="Обычный 10 3 2 6 2 4" xfId="3082"/>
    <cellStyle name="Обычный 10 3 2 6 2 4 2" xfId="3083"/>
    <cellStyle name="Обычный 10 3 2 6 2 4 3" xfId="3084"/>
    <cellStyle name="Обычный 10 3 2 6 2 5" xfId="3085"/>
    <cellStyle name="Обычный 10 3 2 6 2 5 2" xfId="3086"/>
    <cellStyle name="Обычный 10 3 2 6 2 6" xfId="3087"/>
    <cellStyle name="Обычный 10 3 2 6 2 7" xfId="3088"/>
    <cellStyle name="Обычный 10 3 2 6 3" xfId="3089"/>
    <cellStyle name="Обычный 10 3 2 6 3 2" xfId="3090"/>
    <cellStyle name="Обычный 10 3 2 6 3 2 2" xfId="3091"/>
    <cellStyle name="Обычный 10 3 2 6 3 2 3" xfId="3092"/>
    <cellStyle name="Обычный 10 3 2 6 3 3" xfId="3093"/>
    <cellStyle name="Обычный 10 3 2 6 3 3 2" xfId="3094"/>
    <cellStyle name="Обычный 10 3 2 6 3 3 3" xfId="3095"/>
    <cellStyle name="Обычный 10 3 2 6 3 4" xfId="3096"/>
    <cellStyle name="Обычный 10 3 2 6 3 4 2" xfId="3097"/>
    <cellStyle name="Обычный 10 3 2 6 3 5" xfId="3098"/>
    <cellStyle name="Обычный 10 3 2 6 3 6" xfId="3099"/>
    <cellStyle name="Обычный 10 3 2 6 4" xfId="3100"/>
    <cellStyle name="Обычный 10 3 2 6 4 2" xfId="3101"/>
    <cellStyle name="Обычный 10 3 2 6 4 3" xfId="3102"/>
    <cellStyle name="Обычный 10 3 2 6 5" xfId="3103"/>
    <cellStyle name="Обычный 10 3 2 6 5 2" xfId="3104"/>
    <cellStyle name="Обычный 10 3 2 6 5 3" xfId="3105"/>
    <cellStyle name="Обычный 10 3 2 6 6" xfId="3106"/>
    <cellStyle name="Обычный 10 3 2 6 6 2" xfId="3107"/>
    <cellStyle name="Обычный 10 3 2 6 7" xfId="3108"/>
    <cellStyle name="Обычный 10 3 2 6 8" xfId="3109"/>
    <cellStyle name="Обычный 10 3 2 7" xfId="3110"/>
    <cellStyle name="Обычный 10 3 2 7 2" xfId="3111"/>
    <cellStyle name="Обычный 10 3 2 7 2 2" xfId="3112"/>
    <cellStyle name="Обычный 10 3 2 7 2 2 2" xfId="3113"/>
    <cellStyle name="Обычный 10 3 2 7 2 2 3" xfId="3114"/>
    <cellStyle name="Обычный 10 3 2 7 2 3" xfId="3115"/>
    <cellStyle name="Обычный 10 3 2 7 2 3 2" xfId="3116"/>
    <cellStyle name="Обычный 10 3 2 7 2 3 3" xfId="3117"/>
    <cellStyle name="Обычный 10 3 2 7 2 4" xfId="3118"/>
    <cellStyle name="Обычный 10 3 2 7 2 4 2" xfId="3119"/>
    <cellStyle name="Обычный 10 3 2 7 2 5" xfId="3120"/>
    <cellStyle name="Обычный 10 3 2 7 2 6" xfId="3121"/>
    <cellStyle name="Обычный 10 3 2 7 3" xfId="3122"/>
    <cellStyle name="Обычный 10 3 2 7 3 2" xfId="3123"/>
    <cellStyle name="Обычный 10 3 2 7 3 3" xfId="3124"/>
    <cellStyle name="Обычный 10 3 2 7 4" xfId="3125"/>
    <cellStyle name="Обычный 10 3 2 7 4 2" xfId="3126"/>
    <cellStyle name="Обычный 10 3 2 7 4 3" xfId="3127"/>
    <cellStyle name="Обычный 10 3 2 7 5" xfId="3128"/>
    <cellStyle name="Обычный 10 3 2 7 5 2" xfId="3129"/>
    <cellStyle name="Обычный 10 3 2 7 6" xfId="3130"/>
    <cellStyle name="Обычный 10 3 2 7 7" xfId="3131"/>
    <cellStyle name="Обычный 10 3 2 8" xfId="3132"/>
    <cellStyle name="Обычный 10 3 2 8 2" xfId="3133"/>
    <cellStyle name="Обычный 10 3 2 8 2 2" xfId="3134"/>
    <cellStyle name="Обычный 10 3 2 8 2 3" xfId="3135"/>
    <cellStyle name="Обычный 10 3 2 8 3" xfId="3136"/>
    <cellStyle name="Обычный 10 3 2 8 3 2" xfId="3137"/>
    <cellStyle name="Обычный 10 3 2 8 3 3" xfId="3138"/>
    <cellStyle name="Обычный 10 3 2 8 4" xfId="3139"/>
    <cellStyle name="Обычный 10 3 2 8 4 2" xfId="3140"/>
    <cellStyle name="Обычный 10 3 2 8 5" xfId="3141"/>
    <cellStyle name="Обычный 10 3 2 8 6" xfId="3142"/>
    <cellStyle name="Обычный 10 3 2 9" xfId="3143"/>
    <cellStyle name="Обычный 10 3 2 9 2" xfId="3144"/>
    <cellStyle name="Обычный 10 3 2 9 3" xfId="3145"/>
    <cellStyle name="Обычный 10 3 3" xfId="3146"/>
    <cellStyle name="Обычный 10 3 3 10" xfId="3147"/>
    <cellStyle name="Обычный 10 3 3 2" xfId="3148"/>
    <cellStyle name="Обычный 10 3 3 2 2" xfId="3149"/>
    <cellStyle name="Обычный 10 3 3 2 2 2" xfId="3150"/>
    <cellStyle name="Обычный 10 3 3 2 2 2 2" xfId="3151"/>
    <cellStyle name="Обычный 10 3 3 2 2 2 2 2" xfId="3152"/>
    <cellStyle name="Обычный 10 3 3 2 2 2 2 2 2" xfId="3153"/>
    <cellStyle name="Обычный 10 3 3 2 2 2 2 2 3" xfId="3154"/>
    <cellStyle name="Обычный 10 3 3 2 2 2 2 3" xfId="3155"/>
    <cellStyle name="Обычный 10 3 3 2 2 2 2 3 2" xfId="3156"/>
    <cellStyle name="Обычный 10 3 3 2 2 2 2 3 3" xfId="3157"/>
    <cellStyle name="Обычный 10 3 3 2 2 2 2 4" xfId="3158"/>
    <cellStyle name="Обычный 10 3 3 2 2 2 2 4 2" xfId="3159"/>
    <cellStyle name="Обычный 10 3 3 2 2 2 2 5" xfId="3160"/>
    <cellStyle name="Обычный 10 3 3 2 2 2 2 6" xfId="3161"/>
    <cellStyle name="Обычный 10 3 3 2 2 2 3" xfId="3162"/>
    <cellStyle name="Обычный 10 3 3 2 2 2 3 2" xfId="3163"/>
    <cellStyle name="Обычный 10 3 3 2 2 2 3 3" xfId="3164"/>
    <cellStyle name="Обычный 10 3 3 2 2 2 4" xfId="3165"/>
    <cellStyle name="Обычный 10 3 3 2 2 2 4 2" xfId="3166"/>
    <cellStyle name="Обычный 10 3 3 2 2 2 4 3" xfId="3167"/>
    <cellStyle name="Обычный 10 3 3 2 2 2 5" xfId="3168"/>
    <cellStyle name="Обычный 10 3 3 2 2 2 5 2" xfId="3169"/>
    <cellStyle name="Обычный 10 3 3 2 2 2 6" xfId="3170"/>
    <cellStyle name="Обычный 10 3 3 2 2 2 7" xfId="3171"/>
    <cellStyle name="Обычный 10 3 3 2 2 3" xfId="3172"/>
    <cellStyle name="Обычный 10 3 3 2 2 3 2" xfId="3173"/>
    <cellStyle name="Обычный 10 3 3 2 2 3 2 2" xfId="3174"/>
    <cellStyle name="Обычный 10 3 3 2 2 3 2 3" xfId="3175"/>
    <cellStyle name="Обычный 10 3 3 2 2 3 3" xfId="3176"/>
    <cellStyle name="Обычный 10 3 3 2 2 3 3 2" xfId="3177"/>
    <cellStyle name="Обычный 10 3 3 2 2 3 3 3" xfId="3178"/>
    <cellStyle name="Обычный 10 3 3 2 2 3 4" xfId="3179"/>
    <cellStyle name="Обычный 10 3 3 2 2 3 4 2" xfId="3180"/>
    <cellStyle name="Обычный 10 3 3 2 2 3 5" xfId="3181"/>
    <cellStyle name="Обычный 10 3 3 2 2 3 6" xfId="3182"/>
    <cellStyle name="Обычный 10 3 3 2 2 4" xfId="3183"/>
    <cellStyle name="Обычный 10 3 3 2 2 4 2" xfId="3184"/>
    <cellStyle name="Обычный 10 3 3 2 2 4 3" xfId="3185"/>
    <cellStyle name="Обычный 10 3 3 2 2 5" xfId="3186"/>
    <cellStyle name="Обычный 10 3 3 2 2 5 2" xfId="3187"/>
    <cellStyle name="Обычный 10 3 3 2 2 5 3" xfId="3188"/>
    <cellStyle name="Обычный 10 3 3 2 2 6" xfId="3189"/>
    <cellStyle name="Обычный 10 3 3 2 2 6 2" xfId="3190"/>
    <cellStyle name="Обычный 10 3 3 2 2 7" xfId="3191"/>
    <cellStyle name="Обычный 10 3 3 2 2 8" xfId="3192"/>
    <cellStyle name="Обычный 10 3 3 2 3" xfId="3193"/>
    <cellStyle name="Обычный 10 3 3 2 3 2" xfId="3194"/>
    <cellStyle name="Обычный 10 3 3 2 3 2 2" xfId="3195"/>
    <cellStyle name="Обычный 10 3 3 2 3 2 2 2" xfId="3196"/>
    <cellStyle name="Обычный 10 3 3 2 3 2 2 3" xfId="3197"/>
    <cellStyle name="Обычный 10 3 3 2 3 2 3" xfId="3198"/>
    <cellStyle name="Обычный 10 3 3 2 3 2 3 2" xfId="3199"/>
    <cellStyle name="Обычный 10 3 3 2 3 2 3 3" xfId="3200"/>
    <cellStyle name="Обычный 10 3 3 2 3 2 4" xfId="3201"/>
    <cellStyle name="Обычный 10 3 3 2 3 2 4 2" xfId="3202"/>
    <cellStyle name="Обычный 10 3 3 2 3 2 5" xfId="3203"/>
    <cellStyle name="Обычный 10 3 3 2 3 2 6" xfId="3204"/>
    <cellStyle name="Обычный 10 3 3 2 3 3" xfId="3205"/>
    <cellStyle name="Обычный 10 3 3 2 3 3 2" xfId="3206"/>
    <cellStyle name="Обычный 10 3 3 2 3 3 3" xfId="3207"/>
    <cellStyle name="Обычный 10 3 3 2 3 4" xfId="3208"/>
    <cellStyle name="Обычный 10 3 3 2 3 4 2" xfId="3209"/>
    <cellStyle name="Обычный 10 3 3 2 3 4 3" xfId="3210"/>
    <cellStyle name="Обычный 10 3 3 2 3 5" xfId="3211"/>
    <cellStyle name="Обычный 10 3 3 2 3 5 2" xfId="3212"/>
    <cellStyle name="Обычный 10 3 3 2 3 6" xfId="3213"/>
    <cellStyle name="Обычный 10 3 3 2 3 7" xfId="3214"/>
    <cellStyle name="Обычный 10 3 3 2 4" xfId="3215"/>
    <cellStyle name="Обычный 10 3 3 2 4 2" xfId="3216"/>
    <cellStyle name="Обычный 10 3 3 2 4 2 2" xfId="3217"/>
    <cellStyle name="Обычный 10 3 3 2 4 2 3" xfId="3218"/>
    <cellStyle name="Обычный 10 3 3 2 4 3" xfId="3219"/>
    <cellStyle name="Обычный 10 3 3 2 4 3 2" xfId="3220"/>
    <cellStyle name="Обычный 10 3 3 2 4 3 3" xfId="3221"/>
    <cellStyle name="Обычный 10 3 3 2 4 4" xfId="3222"/>
    <cellStyle name="Обычный 10 3 3 2 4 4 2" xfId="3223"/>
    <cellStyle name="Обычный 10 3 3 2 4 5" xfId="3224"/>
    <cellStyle name="Обычный 10 3 3 2 4 6" xfId="3225"/>
    <cellStyle name="Обычный 10 3 3 2 5" xfId="3226"/>
    <cellStyle name="Обычный 10 3 3 2 5 2" xfId="3227"/>
    <cellStyle name="Обычный 10 3 3 2 5 3" xfId="3228"/>
    <cellStyle name="Обычный 10 3 3 2 6" xfId="3229"/>
    <cellStyle name="Обычный 10 3 3 2 6 2" xfId="3230"/>
    <cellStyle name="Обычный 10 3 3 2 6 3" xfId="3231"/>
    <cellStyle name="Обычный 10 3 3 2 7" xfId="3232"/>
    <cellStyle name="Обычный 10 3 3 2 7 2" xfId="3233"/>
    <cellStyle name="Обычный 10 3 3 2 8" xfId="3234"/>
    <cellStyle name="Обычный 10 3 3 2 9" xfId="3235"/>
    <cellStyle name="Обычный 10 3 3 3" xfId="3236"/>
    <cellStyle name="Обычный 10 3 3 3 2" xfId="3237"/>
    <cellStyle name="Обычный 10 3 3 3 2 2" xfId="3238"/>
    <cellStyle name="Обычный 10 3 3 3 2 2 2" xfId="3239"/>
    <cellStyle name="Обычный 10 3 3 3 2 2 2 2" xfId="3240"/>
    <cellStyle name="Обычный 10 3 3 3 2 2 2 3" xfId="3241"/>
    <cellStyle name="Обычный 10 3 3 3 2 2 3" xfId="3242"/>
    <cellStyle name="Обычный 10 3 3 3 2 2 3 2" xfId="3243"/>
    <cellStyle name="Обычный 10 3 3 3 2 2 3 3" xfId="3244"/>
    <cellStyle name="Обычный 10 3 3 3 2 2 4" xfId="3245"/>
    <cellStyle name="Обычный 10 3 3 3 2 2 4 2" xfId="3246"/>
    <cellStyle name="Обычный 10 3 3 3 2 2 5" xfId="3247"/>
    <cellStyle name="Обычный 10 3 3 3 2 2 6" xfId="3248"/>
    <cellStyle name="Обычный 10 3 3 3 2 3" xfId="3249"/>
    <cellStyle name="Обычный 10 3 3 3 2 3 2" xfId="3250"/>
    <cellStyle name="Обычный 10 3 3 3 2 3 3" xfId="3251"/>
    <cellStyle name="Обычный 10 3 3 3 2 4" xfId="3252"/>
    <cellStyle name="Обычный 10 3 3 3 2 4 2" xfId="3253"/>
    <cellStyle name="Обычный 10 3 3 3 2 4 3" xfId="3254"/>
    <cellStyle name="Обычный 10 3 3 3 2 5" xfId="3255"/>
    <cellStyle name="Обычный 10 3 3 3 2 5 2" xfId="3256"/>
    <cellStyle name="Обычный 10 3 3 3 2 6" xfId="3257"/>
    <cellStyle name="Обычный 10 3 3 3 2 7" xfId="3258"/>
    <cellStyle name="Обычный 10 3 3 3 3" xfId="3259"/>
    <cellStyle name="Обычный 10 3 3 3 3 2" xfId="3260"/>
    <cellStyle name="Обычный 10 3 3 3 3 2 2" xfId="3261"/>
    <cellStyle name="Обычный 10 3 3 3 3 2 3" xfId="3262"/>
    <cellStyle name="Обычный 10 3 3 3 3 3" xfId="3263"/>
    <cellStyle name="Обычный 10 3 3 3 3 3 2" xfId="3264"/>
    <cellStyle name="Обычный 10 3 3 3 3 3 3" xfId="3265"/>
    <cellStyle name="Обычный 10 3 3 3 3 4" xfId="3266"/>
    <cellStyle name="Обычный 10 3 3 3 3 4 2" xfId="3267"/>
    <cellStyle name="Обычный 10 3 3 3 3 5" xfId="3268"/>
    <cellStyle name="Обычный 10 3 3 3 3 6" xfId="3269"/>
    <cellStyle name="Обычный 10 3 3 3 4" xfId="3270"/>
    <cellStyle name="Обычный 10 3 3 3 4 2" xfId="3271"/>
    <cellStyle name="Обычный 10 3 3 3 4 3" xfId="3272"/>
    <cellStyle name="Обычный 10 3 3 3 5" xfId="3273"/>
    <cellStyle name="Обычный 10 3 3 3 5 2" xfId="3274"/>
    <cellStyle name="Обычный 10 3 3 3 5 3" xfId="3275"/>
    <cellStyle name="Обычный 10 3 3 3 6" xfId="3276"/>
    <cellStyle name="Обычный 10 3 3 3 6 2" xfId="3277"/>
    <cellStyle name="Обычный 10 3 3 3 7" xfId="3278"/>
    <cellStyle name="Обычный 10 3 3 3 8" xfId="3279"/>
    <cellStyle name="Обычный 10 3 3 4" xfId="3280"/>
    <cellStyle name="Обычный 10 3 3 4 2" xfId="3281"/>
    <cellStyle name="Обычный 10 3 3 4 2 2" xfId="3282"/>
    <cellStyle name="Обычный 10 3 3 4 2 2 2" xfId="3283"/>
    <cellStyle name="Обычный 10 3 3 4 2 2 3" xfId="3284"/>
    <cellStyle name="Обычный 10 3 3 4 2 3" xfId="3285"/>
    <cellStyle name="Обычный 10 3 3 4 2 3 2" xfId="3286"/>
    <cellStyle name="Обычный 10 3 3 4 2 3 3" xfId="3287"/>
    <cellStyle name="Обычный 10 3 3 4 2 4" xfId="3288"/>
    <cellStyle name="Обычный 10 3 3 4 2 4 2" xfId="3289"/>
    <cellStyle name="Обычный 10 3 3 4 2 5" xfId="3290"/>
    <cellStyle name="Обычный 10 3 3 4 2 6" xfId="3291"/>
    <cellStyle name="Обычный 10 3 3 4 3" xfId="3292"/>
    <cellStyle name="Обычный 10 3 3 4 3 2" xfId="3293"/>
    <cellStyle name="Обычный 10 3 3 4 3 3" xfId="3294"/>
    <cellStyle name="Обычный 10 3 3 4 4" xfId="3295"/>
    <cellStyle name="Обычный 10 3 3 4 4 2" xfId="3296"/>
    <cellStyle name="Обычный 10 3 3 4 4 3" xfId="3297"/>
    <cellStyle name="Обычный 10 3 3 4 5" xfId="3298"/>
    <cellStyle name="Обычный 10 3 3 4 5 2" xfId="3299"/>
    <cellStyle name="Обычный 10 3 3 4 6" xfId="3300"/>
    <cellStyle name="Обычный 10 3 3 4 7" xfId="3301"/>
    <cellStyle name="Обычный 10 3 3 5" xfId="3302"/>
    <cellStyle name="Обычный 10 3 3 5 2" xfId="3303"/>
    <cellStyle name="Обычный 10 3 3 5 2 2" xfId="3304"/>
    <cellStyle name="Обычный 10 3 3 5 2 3" xfId="3305"/>
    <cellStyle name="Обычный 10 3 3 5 3" xfId="3306"/>
    <cellStyle name="Обычный 10 3 3 5 3 2" xfId="3307"/>
    <cellStyle name="Обычный 10 3 3 5 3 3" xfId="3308"/>
    <cellStyle name="Обычный 10 3 3 5 4" xfId="3309"/>
    <cellStyle name="Обычный 10 3 3 5 4 2" xfId="3310"/>
    <cellStyle name="Обычный 10 3 3 5 5" xfId="3311"/>
    <cellStyle name="Обычный 10 3 3 5 6" xfId="3312"/>
    <cellStyle name="Обычный 10 3 3 6" xfId="3313"/>
    <cellStyle name="Обычный 10 3 3 6 2" xfId="3314"/>
    <cellStyle name="Обычный 10 3 3 6 3" xfId="3315"/>
    <cellStyle name="Обычный 10 3 3 7" xfId="3316"/>
    <cellStyle name="Обычный 10 3 3 7 2" xfId="3317"/>
    <cellStyle name="Обычный 10 3 3 7 3" xfId="3318"/>
    <cellStyle name="Обычный 10 3 3 8" xfId="3319"/>
    <cellStyle name="Обычный 10 3 3 8 2" xfId="3320"/>
    <cellStyle name="Обычный 10 3 3 9" xfId="3321"/>
    <cellStyle name="Обычный 10 3 4" xfId="3322"/>
    <cellStyle name="Обычный 10 3 4 10" xfId="3323"/>
    <cellStyle name="Обычный 10 3 4 2" xfId="3324"/>
    <cellStyle name="Обычный 10 3 4 2 2" xfId="3325"/>
    <cellStyle name="Обычный 10 3 4 2 2 2" xfId="3326"/>
    <cellStyle name="Обычный 10 3 4 2 2 2 2" xfId="3327"/>
    <cellStyle name="Обычный 10 3 4 2 2 2 2 2" xfId="3328"/>
    <cellStyle name="Обычный 10 3 4 2 2 2 2 2 2" xfId="3329"/>
    <cellStyle name="Обычный 10 3 4 2 2 2 2 2 3" xfId="3330"/>
    <cellStyle name="Обычный 10 3 4 2 2 2 2 3" xfId="3331"/>
    <cellStyle name="Обычный 10 3 4 2 2 2 2 3 2" xfId="3332"/>
    <cellStyle name="Обычный 10 3 4 2 2 2 2 3 3" xfId="3333"/>
    <cellStyle name="Обычный 10 3 4 2 2 2 2 4" xfId="3334"/>
    <cellStyle name="Обычный 10 3 4 2 2 2 2 4 2" xfId="3335"/>
    <cellStyle name="Обычный 10 3 4 2 2 2 2 5" xfId="3336"/>
    <cellStyle name="Обычный 10 3 4 2 2 2 2 6" xfId="3337"/>
    <cellStyle name="Обычный 10 3 4 2 2 2 3" xfId="3338"/>
    <cellStyle name="Обычный 10 3 4 2 2 2 3 2" xfId="3339"/>
    <cellStyle name="Обычный 10 3 4 2 2 2 3 3" xfId="3340"/>
    <cellStyle name="Обычный 10 3 4 2 2 2 4" xfId="3341"/>
    <cellStyle name="Обычный 10 3 4 2 2 2 4 2" xfId="3342"/>
    <cellStyle name="Обычный 10 3 4 2 2 2 4 3" xfId="3343"/>
    <cellStyle name="Обычный 10 3 4 2 2 2 5" xfId="3344"/>
    <cellStyle name="Обычный 10 3 4 2 2 2 5 2" xfId="3345"/>
    <cellStyle name="Обычный 10 3 4 2 2 2 6" xfId="3346"/>
    <cellStyle name="Обычный 10 3 4 2 2 2 7" xfId="3347"/>
    <cellStyle name="Обычный 10 3 4 2 2 3" xfId="3348"/>
    <cellStyle name="Обычный 10 3 4 2 2 3 2" xfId="3349"/>
    <cellStyle name="Обычный 10 3 4 2 2 3 2 2" xfId="3350"/>
    <cellStyle name="Обычный 10 3 4 2 2 3 2 3" xfId="3351"/>
    <cellStyle name="Обычный 10 3 4 2 2 3 3" xfId="3352"/>
    <cellStyle name="Обычный 10 3 4 2 2 3 3 2" xfId="3353"/>
    <cellStyle name="Обычный 10 3 4 2 2 3 3 3" xfId="3354"/>
    <cellStyle name="Обычный 10 3 4 2 2 3 4" xfId="3355"/>
    <cellStyle name="Обычный 10 3 4 2 2 3 4 2" xfId="3356"/>
    <cellStyle name="Обычный 10 3 4 2 2 3 5" xfId="3357"/>
    <cellStyle name="Обычный 10 3 4 2 2 3 6" xfId="3358"/>
    <cellStyle name="Обычный 10 3 4 2 2 4" xfId="3359"/>
    <cellStyle name="Обычный 10 3 4 2 2 4 2" xfId="3360"/>
    <cellStyle name="Обычный 10 3 4 2 2 4 3" xfId="3361"/>
    <cellStyle name="Обычный 10 3 4 2 2 5" xfId="3362"/>
    <cellStyle name="Обычный 10 3 4 2 2 5 2" xfId="3363"/>
    <cellStyle name="Обычный 10 3 4 2 2 5 3" xfId="3364"/>
    <cellStyle name="Обычный 10 3 4 2 2 6" xfId="3365"/>
    <cellStyle name="Обычный 10 3 4 2 2 6 2" xfId="3366"/>
    <cellStyle name="Обычный 10 3 4 2 2 7" xfId="3367"/>
    <cellStyle name="Обычный 10 3 4 2 2 8" xfId="3368"/>
    <cellStyle name="Обычный 10 3 4 2 3" xfId="3369"/>
    <cellStyle name="Обычный 10 3 4 2 3 2" xfId="3370"/>
    <cellStyle name="Обычный 10 3 4 2 3 2 2" xfId="3371"/>
    <cellStyle name="Обычный 10 3 4 2 3 2 2 2" xfId="3372"/>
    <cellStyle name="Обычный 10 3 4 2 3 2 2 3" xfId="3373"/>
    <cellStyle name="Обычный 10 3 4 2 3 2 3" xfId="3374"/>
    <cellStyle name="Обычный 10 3 4 2 3 2 3 2" xfId="3375"/>
    <cellStyle name="Обычный 10 3 4 2 3 2 3 3" xfId="3376"/>
    <cellStyle name="Обычный 10 3 4 2 3 2 4" xfId="3377"/>
    <cellStyle name="Обычный 10 3 4 2 3 2 4 2" xfId="3378"/>
    <cellStyle name="Обычный 10 3 4 2 3 2 5" xfId="3379"/>
    <cellStyle name="Обычный 10 3 4 2 3 2 6" xfId="3380"/>
    <cellStyle name="Обычный 10 3 4 2 3 3" xfId="3381"/>
    <cellStyle name="Обычный 10 3 4 2 3 3 2" xfId="3382"/>
    <cellStyle name="Обычный 10 3 4 2 3 3 3" xfId="3383"/>
    <cellStyle name="Обычный 10 3 4 2 3 4" xfId="3384"/>
    <cellStyle name="Обычный 10 3 4 2 3 4 2" xfId="3385"/>
    <cellStyle name="Обычный 10 3 4 2 3 4 3" xfId="3386"/>
    <cellStyle name="Обычный 10 3 4 2 3 5" xfId="3387"/>
    <cellStyle name="Обычный 10 3 4 2 3 5 2" xfId="3388"/>
    <cellStyle name="Обычный 10 3 4 2 3 6" xfId="3389"/>
    <cellStyle name="Обычный 10 3 4 2 3 7" xfId="3390"/>
    <cellStyle name="Обычный 10 3 4 2 4" xfId="3391"/>
    <cellStyle name="Обычный 10 3 4 2 4 2" xfId="3392"/>
    <cellStyle name="Обычный 10 3 4 2 4 2 2" xfId="3393"/>
    <cellStyle name="Обычный 10 3 4 2 4 2 3" xfId="3394"/>
    <cellStyle name="Обычный 10 3 4 2 4 3" xfId="3395"/>
    <cellStyle name="Обычный 10 3 4 2 4 3 2" xfId="3396"/>
    <cellStyle name="Обычный 10 3 4 2 4 3 3" xfId="3397"/>
    <cellStyle name="Обычный 10 3 4 2 4 4" xfId="3398"/>
    <cellStyle name="Обычный 10 3 4 2 4 4 2" xfId="3399"/>
    <cellStyle name="Обычный 10 3 4 2 4 5" xfId="3400"/>
    <cellStyle name="Обычный 10 3 4 2 4 6" xfId="3401"/>
    <cellStyle name="Обычный 10 3 4 2 5" xfId="3402"/>
    <cellStyle name="Обычный 10 3 4 2 5 2" xfId="3403"/>
    <cellStyle name="Обычный 10 3 4 2 5 3" xfId="3404"/>
    <cellStyle name="Обычный 10 3 4 2 6" xfId="3405"/>
    <cellStyle name="Обычный 10 3 4 2 6 2" xfId="3406"/>
    <cellStyle name="Обычный 10 3 4 2 6 3" xfId="3407"/>
    <cellStyle name="Обычный 10 3 4 2 7" xfId="3408"/>
    <cellStyle name="Обычный 10 3 4 2 7 2" xfId="3409"/>
    <cellStyle name="Обычный 10 3 4 2 8" xfId="3410"/>
    <cellStyle name="Обычный 10 3 4 2 9" xfId="3411"/>
    <cellStyle name="Обычный 10 3 4 3" xfId="3412"/>
    <cellStyle name="Обычный 10 3 4 3 2" xfId="3413"/>
    <cellStyle name="Обычный 10 3 4 3 2 2" xfId="3414"/>
    <cellStyle name="Обычный 10 3 4 3 2 2 2" xfId="3415"/>
    <cellStyle name="Обычный 10 3 4 3 2 2 2 2" xfId="3416"/>
    <cellStyle name="Обычный 10 3 4 3 2 2 2 3" xfId="3417"/>
    <cellStyle name="Обычный 10 3 4 3 2 2 3" xfId="3418"/>
    <cellStyle name="Обычный 10 3 4 3 2 2 3 2" xfId="3419"/>
    <cellStyle name="Обычный 10 3 4 3 2 2 3 3" xfId="3420"/>
    <cellStyle name="Обычный 10 3 4 3 2 2 4" xfId="3421"/>
    <cellStyle name="Обычный 10 3 4 3 2 2 4 2" xfId="3422"/>
    <cellStyle name="Обычный 10 3 4 3 2 2 5" xfId="3423"/>
    <cellStyle name="Обычный 10 3 4 3 2 2 6" xfId="3424"/>
    <cellStyle name="Обычный 10 3 4 3 2 3" xfId="3425"/>
    <cellStyle name="Обычный 10 3 4 3 2 3 2" xfId="3426"/>
    <cellStyle name="Обычный 10 3 4 3 2 3 3" xfId="3427"/>
    <cellStyle name="Обычный 10 3 4 3 2 4" xfId="3428"/>
    <cellStyle name="Обычный 10 3 4 3 2 4 2" xfId="3429"/>
    <cellStyle name="Обычный 10 3 4 3 2 4 3" xfId="3430"/>
    <cellStyle name="Обычный 10 3 4 3 2 5" xfId="3431"/>
    <cellStyle name="Обычный 10 3 4 3 2 5 2" xfId="3432"/>
    <cellStyle name="Обычный 10 3 4 3 2 6" xfId="3433"/>
    <cellStyle name="Обычный 10 3 4 3 2 7" xfId="3434"/>
    <cellStyle name="Обычный 10 3 4 3 3" xfId="3435"/>
    <cellStyle name="Обычный 10 3 4 3 3 2" xfId="3436"/>
    <cellStyle name="Обычный 10 3 4 3 3 2 2" xfId="3437"/>
    <cellStyle name="Обычный 10 3 4 3 3 2 3" xfId="3438"/>
    <cellStyle name="Обычный 10 3 4 3 3 3" xfId="3439"/>
    <cellStyle name="Обычный 10 3 4 3 3 3 2" xfId="3440"/>
    <cellStyle name="Обычный 10 3 4 3 3 3 3" xfId="3441"/>
    <cellStyle name="Обычный 10 3 4 3 3 4" xfId="3442"/>
    <cellStyle name="Обычный 10 3 4 3 3 4 2" xfId="3443"/>
    <cellStyle name="Обычный 10 3 4 3 3 5" xfId="3444"/>
    <cellStyle name="Обычный 10 3 4 3 3 6" xfId="3445"/>
    <cellStyle name="Обычный 10 3 4 3 4" xfId="3446"/>
    <cellStyle name="Обычный 10 3 4 3 4 2" xfId="3447"/>
    <cellStyle name="Обычный 10 3 4 3 4 3" xfId="3448"/>
    <cellStyle name="Обычный 10 3 4 3 5" xfId="3449"/>
    <cellStyle name="Обычный 10 3 4 3 5 2" xfId="3450"/>
    <cellStyle name="Обычный 10 3 4 3 5 3" xfId="3451"/>
    <cellStyle name="Обычный 10 3 4 3 6" xfId="3452"/>
    <cellStyle name="Обычный 10 3 4 3 6 2" xfId="3453"/>
    <cellStyle name="Обычный 10 3 4 3 7" xfId="3454"/>
    <cellStyle name="Обычный 10 3 4 3 8" xfId="3455"/>
    <cellStyle name="Обычный 10 3 4 4" xfId="3456"/>
    <cellStyle name="Обычный 10 3 4 4 2" xfId="3457"/>
    <cellStyle name="Обычный 10 3 4 4 2 2" xfId="3458"/>
    <cellStyle name="Обычный 10 3 4 4 2 2 2" xfId="3459"/>
    <cellStyle name="Обычный 10 3 4 4 2 2 3" xfId="3460"/>
    <cellStyle name="Обычный 10 3 4 4 2 3" xfId="3461"/>
    <cellStyle name="Обычный 10 3 4 4 2 3 2" xfId="3462"/>
    <cellStyle name="Обычный 10 3 4 4 2 3 3" xfId="3463"/>
    <cellStyle name="Обычный 10 3 4 4 2 4" xfId="3464"/>
    <cellStyle name="Обычный 10 3 4 4 2 4 2" xfId="3465"/>
    <cellStyle name="Обычный 10 3 4 4 2 5" xfId="3466"/>
    <cellStyle name="Обычный 10 3 4 4 2 6" xfId="3467"/>
    <cellStyle name="Обычный 10 3 4 4 3" xfId="3468"/>
    <cellStyle name="Обычный 10 3 4 4 3 2" xfId="3469"/>
    <cellStyle name="Обычный 10 3 4 4 3 3" xfId="3470"/>
    <cellStyle name="Обычный 10 3 4 4 4" xfId="3471"/>
    <cellStyle name="Обычный 10 3 4 4 4 2" xfId="3472"/>
    <cellStyle name="Обычный 10 3 4 4 4 3" xfId="3473"/>
    <cellStyle name="Обычный 10 3 4 4 5" xfId="3474"/>
    <cellStyle name="Обычный 10 3 4 4 5 2" xfId="3475"/>
    <cellStyle name="Обычный 10 3 4 4 6" xfId="3476"/>
    <cellStyle name="Обычный 10 3 4 4 7" xfId="3477"/>
    <cellStyle name="Обычный 10 3 4 5" xfId="3478"/>
    <cellStyle name="Обычный 10 3 4 5 2" xfId="3479"/>
    <cellStyle name="Обычный 10 3 4 5 2 2" xfId="3480"/>
    <cellStyle name="Обычный 10 3 4 5 2 3" xfId="3481"/>
    <cellStyle name="Обычный 10 3 4 5 3" xfId="3482"/>
    <cellStyle name="Обычный 10 3 4 5 3 2" xfId="3483"/>
    <cellStyle name="Обычный 10 3 4 5 3 3" xfId="3484"/>
    <cellStyle name="Обычный 10 3 4 5 4" xfId="3485"/>
    <cellStyle name="Обычный 10 3 4 5 4 2" xfId="3486"/>
    <cellStyle name="Обычный 10 3 4 5 5" xfId="3487"/>
    <cellStyle name="Обычный 10 3 4 5 6" xfId="3488"/>
    <cellStyle name="Обычный 10 3 4 6" xfId="3489"/>
    <cellStyle name="Обычный 10 3 4 6 2" xfId="3490"/>
    <cellStyle name="Обычный 10 3 4 6 3" xfId="3491"/>
    <cellStyle name="Обычный 10 3 4 7" xfId="3492"/>
    <cellStyle name="Обычный 10 3 4 7 2" xfId="3493"/>
    <cellStyle name="Обычный 10 3 4 7 3" xfId="3494"/>
    <cellStyle name="Обычный 10 3 4 8" xfId="3495"/>
    <cellStyle name="Обычный 10 3 4 8 2" xfId="3496"/>
    <cellStyle name="Обычный 10 3 4 9" xfId="3497"/>
    <cellStyle name="Обычный 10 3 5" xfId="3498"/>
    <cellStyle name="Обычный 10 3 5 10" xfId="3499"/>
    <cellStyle name="Обычный 10 3 5 2" xfId="3500"/>
    <cellStyle name="Обычный 10 3 5 2 2" xfId="3501"/>
    <cellStyle name="Обычный 10 3 5 2 2 2" xfId="3502"/>
    <cellStyle name="Обычный 10 3 5 2 2 2 2" xfId="3503"/>
    <cellStyle name="Обычный 10 3 5 2 2 2 2 2" xfId="3504"/>
    <cellStyle name="Обычный 10 3 5 2 2 2 2 2 2" xfId="3505"/>
    <cellStyle name="Обычный 10 3 5 2 2 2 2 2 3" xfId="3506"/>
    <cellStyle name="Обычный 10 3 5 2 2 2 2 3" xfId="3507"/>
    <cellStyle name="Обычный 10 3 5 2 2 2 2 3 2" xfId="3508"/>
    <cellStyle name="Обычный 10 3 5 2 2 2 2 3 3" xfId="3509"/>
    <cellStyle name="Обычный 10 3 5 2 2 2 2 4" xfId="3510"/>
    <cellStyle name="Обычный 10 3 5 2 2 2 2 4 2" xfId="3511"/>
    <cellStyle name="Обычный 10 3 5 2 2 2 2 5" xfId="3512"/>
    <cellStyle name="Обычный 10 3 5 2 2 2 2 6" xfId="3513"/>
    <cellStyle name="Обычный 10 3 5 2 2 2 3" xfId="3514"/>
    <cellStyle name="Обычный 10 3 5 2 2 2 3 2" xfId="3515"/>
    <cellStyle name="Обычный 10 3 5 2 2 2 3 3" xfId="3516"/>
    <cellStyle name="Обычный 10 3 5 2 2 2 4" xfId="3517"/>
    <cellStyle name="Обычный 10 3 5 2 2 2 4 2" xfId="3518"/>
    <cellStyle name="Обычный 10 3 5 2 2 2 4 3" xfId="3519"/>
    <cellStyle name="Обычный 10 3 5 2 2 2 5" xfId="3520"/>
    <cellStyle name="Обычный 10 3 5 2 2 2 5 2" xfId="3521"/>
    <cellStyle name="Обычный 10 3 5 2 2 2 6" xfId="3522"/>
    <cellStyle name="Обычный 10 3 5 2 2 2 7" xfId="3523"/>
    <cellStyle name="Обычный 10 3 5 2 2 3" xfId="3524"/>
    <cellStyle name="Обычный 10 3 5 2 2 3 2" xfId="3525"/>
    <cellStyle name="Обычный 10 3 5 2 2 3 2 2" xfId="3526"/>
    <cellStyle name="Обычный 10 3 5 2 2 3 2 3" xfId="3527"/>
    <cellStyle name="Обычный 10 3 5 2 2 3 3" xfId="3528"/>
    <cellStyle name="Обычный 10 3 5 2 2 3 3 2" xfId="3529"/>
    <cellStyle name="Обычный 10 3 5 2 2 3 3 3" xfId="3530"/>
    <cellStyle name="Обычный 10 3 5 2 2 3 4" xfId="3531"/>
    <cellStyle name="Обычный 10 3 5 2 2 3 4 2" xfId="3532"/>
    <cellStyle name="Обычный 10 3 5 2 2 3 5" xfId="3533"/>
    <cellStyle name="Обычный 10 3 5 2 2 3 6" xfId="3534"/>
    <cellStyle name="Обычный 10 3 5 2 2 4" xfId="3535"/>
    <cellStyle name="Обычный 10 3 5 2 2 4 2" xfId="3536"/>
    <cellStyle name="Обычный 10 3 5 2 2 4 3" xfId="3537"/>
    <cellStyle name="Обычный 10 3 5 2 2 5" xfId="3538"/>
    <cellStyle name="Обычный 10 3 5 2 2 5 2" xfId="3539"/>
    <cellStyle name="Обычный 10 3 5 2 2 5 3" xfId="3540"/>
    <cellStyle name="Обычный 10 3 5 2 2 6" xfId="3541"/>
    <cellStyle name="Обычный 10 3 5 2 2 6 2" xfId="3542"/>
    <cellStyle name="Обычный 10 3 5 2 2 7" xfId="3543"/>
    <cellStyle name="Обычный 10 3 5 2 2 8" xfId="3544"/>
    <cellStyle name="Обычный 10 3 5 2 3" xfId="3545"/>
    <cellStyle name="Обычный 10 3 5 2 3 2" xfId="3546"/>
    <cellStyle name="Обычный 10 3 5 2 3 2 2" xfId="3547"/>
    <cellStyle name="Обычный 10 3 5 2 3 2 2 2" xfId="3548"/>
    <cellStyle name="Обычный 10 3 5 2 3 2 2 3" xfId="3549"/>
    <cellStyle name="Обычный 10 3 5 2 3 2 3" xfId="3550"/>
    <cellStyle name="Обычный 10 3 5 2 3 2 3 2" xfId="3551"/>
    <cellStyle name="Обычный 10 3 5 2 3 2 3 3" xfId="3552"/>
    <cellStyle name="Обычный 10 3 5 2 3 2 4" xfId="3553"/>
    <cellStyle name="Обычный 10 3 5 2 3 2 4 2" xfId="3554"/>
    <cellStyle name="Обычный 10 3 5 2 3 2 5" xfId="3555"/>
    <cellStyle name="Обычный 10 3 5 2 3 2 6" xfId="3556"/>
    <cellStyle name="Обычный 10 3 5 2 3 3" xfId="3557"/>
    <cellStyle name="Обычный 10 3 5 2 3 3 2" xfId="3558"/>
    <cellStyle name="Обычный 10 3 5 2 3 3 3" xfId="3559"/>
    <cellStyle name="Обычный 10 3 5 2 3 4" xfId="3560"/>
    <cellStyle name="Обычный 10 3 5 2 3 4 2" xfId="3561"/>
    <cellStyle name="Обычный 10 3 5 2 3 4 3" xfId="3562"/>
    <cellStyle name="Обычный 10 3 5 2 3 5" xfId="3563"/>
    <cellStyle name="Обычный 10 3 5 2 3 5 2" xfId="3564"/>
    <cellStyle name="Обычный 10 3 5 2 3 6" xfId="3565"/>
    <cellStyle name="Обычный 10 3 5 2 3 7" xfId="3566"/>
    <cellStyle name="Обычный 10 3 5 2 4" xfId="3567"/>
    <cellStyle name="Обычный 10 3 5 2 4 2" xfId="3568"/>
    <cellStyle name="Обычный 10 3 5 2 4 2 2" xfId="3569"/>
    <cellStyle name="Обычный 10 3 5 2 4 2 3" xfId="3570"/>
    <cellStyle name="Обычный 10 3 5 2 4 3" xfId="3571"/>
    <cellStyle name="Обычный 10 3 5 2 4 3 2" xfId="3572"/>
    <cellStyle name="Обычный 10 3 5 2 4 3 3" xfId="3573"/>
    <cellStyle name="Обычный 10 3 5 2 4 4" xfId="3574"/>
    <cellStyle name="Обычный 10 3 5 2 4 4 2" xfId="3575"/>
    <cellStyle name="Обычный 10 3 5 2 4 5" xfId="3576"/>
    <cellStyle name="Обычный 10 3 5 2 4 6" xfId="3577"/>
    <cellStyle name="Обычный 10 3 5 2 5" xfId="3578"/>
    <cellStyle name="Обычный 10 3 5 2 5 2" xfId="3579"/>
    <cellStyle name="Обычный 10 3 5 2 5 3" xfId="3580"/>
    <cellStyle name="Обычный 10 3 5 2 6" xfId="3581"/>
    <cellStyle name="Обычный 10 3 5 2 6 2" xfId="3582"/>
    <cellStyle name="Обычный 10 3 5 2 6 3" xfId="3583"/>
    <cellStyle name="Обычный 10 3 5 2 7" xfId="3584"/>
    <cellStyle name="Обычный 10 3 5 2 7 2" xfId="3585"/>
    <cellStyle name="Обычный 10 3 5 2 8" xfId="3586"/>
    <cellStyle name="Обычный 10 3 5 2 9" xfId="3587"/>
    <cellStyle name="Обычный 10 3 5 3" xfId="3588"/>
    <cellStyle name="Обычный 10 3 5 3 2" xfId="3589"/>
    <cellStyle name="Обычный 10 3 5 3 2 2" xfId="3590"/>
    <cellStyle name="Обычный 10 3 5 3 2 2 2" xfId="3591"/>
    <cellStyle name="Обычный 10 3 5 3 2 2 2 2" xfId="3592"/>
    <cellStyle name="Обычный 10 3 5 3 2 2 2 3" xfId="3593"/>
    <cellStyle name="Обычный 10 3 5 3 2 2 3" xfId="3594"/>
    <cellStyle name="Обычный 10 3 5 3 2 2 3 2" xfId="3595"/>
    <cellStyle name="Обычный 10 3 5 3 2 2 3 3" xfId="3596"/>
    <cellStyle name="Обычный 10 3 5 3 2 2 4" xfId="3597"/>
    <cellStyle name="Обычный 10 3 5 3 2 2 4 2" xfId="3598"/>
    <cellStyle name="Обычный 10 3 5 3 2 2 5" xfId="3599"/>
    <cellStyle name="Обычный 10 3 5 3 2 2 6" xfId="3600"/>
    <cellStyle name="Обычный 10 3 5 3 2 3" xfId="3601"/>
    <cellStyle name="Обычный 10 3 5 3 2 3 2" xfId="3602"/>
    <cellStyle name="Обычный 10 3 5 3 2 3 3" xfId="3603"/>
    <cellStyle name="Обычный 10 3 5 3 2 4" xfId="3604"/>
    <cellStyle name="Обычный 10 3 5 3 2 4 2" xfId="3605"/>
    <cellStyle name="Обычный 10 3 5 3 2 4 3" xfId="3606"/>
    <cellStyle name="Обычный 10 3 5 3 2 5" xfId="3607"/>
    <cellStyle name="Обычный 10 3 5 3 2 5 2" xfId="3608"/>
    <cellStyle name="Обычный 10 3 5 3 2 6" xfId="3609"/>
    <cellStyle name="Обычный 10 3 5 3 2 7" xfId="3610"/>
    <cellStyle name="Обычный 10 3 5 3 3" xfId="3611"/>
    <cellStyle name="Обычный 10 3 5 3 3 2" xfId="3612"/>
    <cellStyle name="Обычный 10 3 5 3 3 2 2" xfId="3613"/>
    <cellStyle name="Обычный 10 3 5 3 3 2 3" xfId="3614"/>
    <cellStyle name="Обычный 10 3 5 3 3 3" xfId="3615"/>
    <cellStyle name="Обычный 10 3 5 3 3 3 2" xfId="3616"/>
    <cellStyle name="Обычный 10 3 5 3 3 3 3" xfId="3617"/>
    <cellStyle name="Обычный 10 3 5 3 3 4" xfId="3618"/>
    <cellStyle name="Обычный 10 3 5 3 3 4 2" xfId="3619"/>
    <cellStyle name="Обычный 10 3 5 3 3 5" xfId="3620"/>
    <cellStyle name="Обычный 10 3 5 3 3 6" xfId="3621"/>
    <cellStyle name="Обычный 10 3 5 3 4" xfId="3622"/>
    <cellStyle name="Обычный 10 3 5 3 4 2" xfId="3623"/>
    <cellStyle name="Обычный 10 3 5 3 4 3" xfId="3624"/>
    <cellStyle name="Обычный 10 3 5 3 5" xfId="3625"/>
    <cellStyle name="Обычный 10 3 5 3 5 2" xfId="3626"/>
    <cellStyle name="Обычный 10 3 5 3 5 3" xfId="3627"/>
    <cellStyle name="Обычный 10 3 5 3 6" xfId="3628"/>
    <cellStyle name="Обычный 10 3 5 3 6 2" xfId="3629"/>
    <cellStyle name="Обычный 10 3 5 3 7" xfId="3630"/>
    <cellStyle name="Обычный 10 3 5 3 8" xfId="3631"/>
    <cellStyle name="Обычный 10 3 5 4" xfId="3632"/>
    <cellStyle name="Обычный 10 3 5 4 2" xfId="3633"/>
    <cellStyle name="Обычный 10 3 5 4 2 2" xfId="3634"/>
    <cellStyle name="Обычный 10 3 5 4 2 2 2" xfId="3635"/>
    <cellStyle name="Обычный 10 3 5 4 2 2 3" xfId="3636"/>
    <cellStyle name="Обычный 10 3 5 4 2 3" xfId="3637"/>
    <cellStyle name="Обычный 10 3 5 4 2 3 2" xfId="3638"/>
    <cellStyle name="Обычный 10 3 5 4 2 3 3" xfId="3639"/>
    <cellStyle name="Обычный 10 3 5 4 2 4" xfId="3640"/>
    <cellStyle name="Обычный 10 3 5 4 2 4 2" xfId="3641"/>
    <cellStyle name="Обычный 10 3 5 4 2 5" xfId="3642"/>
    <cellStyle name="Обычный 10 3 5 4 2 6" xfId="3643"/>
    <cellStyle name="Обычный 10 3 5 4 3" xfId="3644"/>
    <cellStyle name="Обычный 10 3 5 4 3 2" xfId="3645"/>
    <cellStyle name="Обычный 10 3 5 4 3 3" xfId="3646"/>
    <cellStyle name="Обычный 10 3 5 4 4" xfId="3647"/>
    <cellStyle name="Обычный 10 3 5 4 4 2" xfId="3648"/>
    <cellStyle name="Обычный 10 3 5 4 4 3" xfId="3649"/>
    <cellStyle name="Обычный 10 3 5 4 5" xfId="3650"/>
    <cellStyle name="Обычный 10 3 5 4 5 2" xfId="3651"/>
    <cellStyle name="Обычный 10 3 5 4 6" xfId="3652"/>
    <cellStyle name="Обычный 10 3 5 4 7" xfId="3653"/>
    <cellStyle name="Обычный 10 3 5 5" xfId="3654"/>
    <cellStyle name="Обычный 10 3 5 5 2" xfId="3655"/>
    <cellStyle name="Обычный 10 3 5 5 2 2" xfId="3656"/>
    <cellStyle name="Обычный 10 3 5 5 2 3" xfId="3657"/>
    <cellStyle name="Обычный 10 3 5 5 3" xfId="3658"/>
    <cellStyle name="Обычный 10 3 5 5 3 2" xfId="3659"/>
    <cellStyle name="Обычный 10 3 5 5 3 3" xfId="3660"/>
    <cellStyle name="Обычный 10 3 5 5 4" xfId="3661"/>
    <cellStyle name="Обычный 10 3 5 5 4 2" xfId="3662"/>
    <cellStyle name="Обычный 10 3 5 5 5" xfId="3663"/>
    <cellStyle name="Обычный 10 3 5 5 6" xfId="3664"/>
    <cellStyle name="Обычный 10 3 5 6" xfId="3665"/>
    <cellStyle name="Обычный 10 3 5 6 2" xfId="3666"/>
    <cellStyle name="Обычный 10 3 5 6 3" xfId="3667"/>
    <cellStyle name="Обычный 10 3 5 7" xfId="3668"/>
    <cellStyle name="Обычный 10 3 5 7 2" xfId="3669"/>
    <cellStyle name="Обычный 10 3 5 7 3" xfId="3670"/>
    <cellStyle name="Обычный 10 3 5 8" xfId="3671"/>
    <cellStyle name="Обычный 10 3 5 8 2" xfId="3672"/>
    <cellStyle name="Обычный 10 3 5 9" xfId="3673"/>
    <cellStyle name="Обычный 10 3 6" xfId="3674"/>
    <cellStyle name="Обычный 10 3 6 2" xfId="3675"/>
    <cellStyle name="Обычный 10 3 6 2 2" xfId="3676"/>
    <cellStyle name="Обычный 10 3 6 2 2 2" xfId="3677"/>
    <cellStyle name="Обычный 10 3 6 2 2 2 2" xfId="3678"/>
    <cellStyle name="Обычный 10 3 6 2 2 2 2 2" xfId="3679"/>
    <cellStyle name="Обычный 10 3 6 2 2 2 2 3" xfId="3680"/>
    <cellStyle name="Обычный 10 3 6 2 2 2 3" xfId="3681"/>
    <cellStyle name="Обычный 10 3 6 2 2 2 3 2" xfId="3682"/>
    <cellStyle name="Обычный 10 3 6 2 2 2 3 3" xfId="3683"/>
    <cellStyle name="Обычный 10 3 6 2 2 2 4" xfId="3684"/>
    <cellStyle name="Обычный 10 3 6 2 2 2 4 2" xfId="3685"/>
    <cellStyle name="Обычный 10 3 6 2 2 2 5" xfId="3686"/>
    <cellStyle name="Обычный 10 3 6 2 2 2 6" xfId="3687"/>
    <cellStyle name="Обычный 10 3 6 2 2 3" xfId="3688"/>
    <cellStyle name="Обычный 10 3 6 2 2 3 2" xfId="3689"/>
    <cellStyle name="Обычный 10 3 6 2 2 3 3" xfId="3690"/>
    <cellStyle name="Обычный 10 3 6 2 2 4" xfId="3691"/>
    <cellStyle name="Обычный 10 3 6 2 2 4 2" xfId="3692"/>
    <cellStyle name="Обычный 10 3 6 2 2 4 3" xfId="3693"/>
    <cellStyle name="Обычный 10 3 6 2 2 5" xfId="3694"/>
    <cellStyle name="Обычный 10 3 6 2 2 5 2" xfId="3695"/>
    <cellStyle name="Обычный 10 3 6 2 2 6" xfId="3696"/>
    <cellStyle name="Обычный 10 3 6 2 2 7" xfId="3697"/>
    <cellStyle name="Обычный 10 3 6 2 3" xfId="3698"/>
    <cellStyle name="Обычный 10 3 6 2 3 2" xfId="3699"/>
    <cellStyle name="Обычный 10 3 6 2 3 2 2" xfId="3700"/>
    <cellStyle name="Обычный 10 3 6 2 3 2 3" xfId="3701"/>
    <cellStyle name="Обычный 10 3 6 2 3 3" xfId="3702"/>
    <cellStyle name="Обычный 10 3 6 2 3 3 2" xfId="3703"/>
    <cellStyle name="Обычный 10 3 6 2 3 3 3" xfId="3704"/>
    <cellStyle name="Обычный 10 3 6 2 3 4" xfId="3705"/>
    <cellStyle name="Обычный 10 3 6 2 3 4 2" xfId="3706"/>
    <cellStyle name="Обычный 10 3 6 2 3 5" xfId="3707"/>
    <cellStyle name="Обычный 10 3 6 2 3 6" xfId="3708"/>
    <cellStyle name="Обычный 10 3 6 2 4" xfId="3709"/>
    <cellStyle name="Обычный 10 3 6 2 4 2" xfId="3710"/>
    <cellStyle name="Обычный 10 3 6 2 4 3" xfId="3711"/>
    <cellStyle name="Обычный 10 3 6 2 5" xfId="3712"/>
    <cellStyle name="Обычный 10 3 6 2 5 2" xfId="3713"/>
    <cellStyle name="Обычный 10 3 6 2 5 3" xfId="3714"/>
    <cellStyle name="Обычный 10 3 6 2 6" xfId="3715"/>
    <cellStyle name="Обычный 10 3 6 2 6 2" xfId="3716"/>
    <cellStyle name="Обычный 10 3 6 2 7" xfId="3717"/>
    <cellStyle name="Обычный 10 3 6 2 8" xfId="3718"/>
    <cellStyle name="Обычный 10 3 6 3" xfId="3719"/>
    <cellStyle name="Обычный 10 3 6 3 2" xfId="3720"/>
    <cellStyle name="Обычный 10 3 6 3 2 2" xfId="3721"/>
    <cellStyle name="Обычный 10 3 6 3 2 2 2" xfId="3722"/>
    <cellStyle name="Обычный 10 3 6 3 2 2 3" xfId="3723"/>
    <cellStyle name="Обычный 10 3 6 3 2 3" xfId="3724"/>
    <cellStyle name="Обычный 10 3 6 3 2 3 2" xfId="3725"/>
    <cellStyle name="Обычный 10 3 6 3 2 3 3" xfId="3726"/>
    <cellStyle name="Обычный 10 3 6 3 2 4" xfId="3727"/>
    <cellStyle name="Обычный 10 3 6 3 2 4 2" xfId="3728"/>
    <cellStyle name="Обычный 10 3 6 3 2 5" xfId="3729"/>
    <cellStyle name="Обычный 10 3 6 3 2 6" xfId="3730"/>
    <cellStyle name="Обычный 10 3 6 3 3" xfId="3731"/>
    <cellStyle name="Обычный 10 3 6 3 3 2" xfId="3732"/>
    <cellStyle name="Обычный 10 3 6 3 3 3" xfId="3733"/>
    <cellStyle name="Обычный 10 3 6 3 4" xfId="3734"/>
    <cellStyle name="Обычный 10 3 6 3 4 2" xfId="3735"/>
    <cellStyle name="Обычный 10 3 6 3 4 3" xfId="3736"/>
    <cellStyle name="Обычный 10 3 6 3 5" xfId="3737"/>
    <cellStyle name="Обычный 10 3 6 3 5 2" xfId="3738"/>
    <cellStyle name="Обычный 10 3 6 3 6" xfId="3739"/>
    <cellStyle name="Обычный 10 3 6 3 7" xfId="3740"/>
    <cellStyle name="Обычный 10 3 6 4" xfId="3741"/>
    <cellStyle name="Обычный 10 3 6 4 2" xfId="3742"/>
    <cellStyle name="Обычный 10 3 6 4 2 2" xfId="3743"/>
    <cellStyle name="Обычный 10 3 6 4 2 3" xfId="3744"/>
    <cellStyle name="Обычный 10 3 6 4 3" xfId="3745"/>
    <cellStyle name="Обычный 10 3 6 4 3 2" xfId="3746"/>
    <cellStyle name="Обычный 10 3 6 4 3 3" xfId="3747"/>
    <cellStyle name="Обычный 10 3 6 4 4" xfId="3748"/>
    <cellStyle name="Обычный 10 3 6 4 4 2" xfId="3749"/>
    <cellStyle name="Обычный 10 3 6 4 5" xfId="3750"/>
    <cellStyle name="Обычный 10 3 6 4 6" xfId="3751"/>
    <cellStyle name="Обычный 10 3 6 5" xfId="3752"/>
    <cellStyle name="Обычный 10 3 6 5 2" xfId="3753"/>
    <cellStyle name="Обычный 10 3 6 5 3" xfId="3754"/>
    <cellStyle name="Обычный 10 3 6 6" xfId="3755"/>
    <cellStyle name="Обычный 10 3 6 6 2" xfId="3756"/>
    <cellStyle name="Обычный 10 3 6 6 3" xfId="3757"/>
    <cellStyle name="Обычный 10 3 6 7" xfId="3758"/>
    <cellStyle name="Обычный 10 3 6 7 2" xfId="3759"/>
    <cellStyle name="Обычный 10 3 6 8" xfId="3760"/>
    <cellStyle name="Обычный 10 3 6 9" xfId="3761"/>
    <cellStyle name="Обычный 10 3 7" xfId="3762"/>
    <cellStyle name="Обычный 10 3 7 2" xfId="3763"/>
    <cellStyle name="Обычный 10 3 7 2 2" xfId="3764"/>
    <cellStyle name="Обычный 10 3 7 2 2 2" xfId="3765"/>
    <cellStyle name="Обычный 10 3 7 2 2 2 2" xfId="3766"/>
    <cellStyle name="Обычный 10 3 7 2 2 2 3" xfId="3767"/>
    <cellStyle name="Обычный 10 3 7 2 2 3" xfId="3768"/>
    <cellStyle name="Обычный 10 3 7 2 2 3 2" xfId="3769"/>
    <cellStyle name="Обычный 10 3 7 2 2 3 3" xfId="3770"/>
    <cellStyle name="Обычный 10 3 7 2 2 4" xfId="3771"/>
    <cellStyle name="Обычный 10 3 7 2 2 4 2" xfId="3772"/>
    <cellStyle name="Обычный 10 3 7 2 2 5" xfId="3773"/>
    <cellStyle name="Обычный 10 3 7 2 2 6" xfId="3774"/>
    <cellStyle name="Обычный 10 3 7 2 3" xfId="3775"/>
    <cellStyle name="Обычный 10 3 7 2 3 2" xfId="3776"/>
    <cellStyle name="Обычный 10 3 7 2 3 3" xfId="3777"/>
    <cellStyle name="Обычный 10 3 7 2 4" xfId="3778"/>
    <cellStyle name="Обычный 10 3 7 2 4 2" xfId="3779"/>
    <cellStyle name="Обычный 10 3 7 2 4 3" xfId="3780"/>
    <cellStyle name="Обычный 10 3 7 2 5" xfId="3781"/>
    <cellStyle name="Обычный 10 3 7 2 5 2" xfId="3782"/>
    <cellStyle name="Обычный 10 3 7 2 6" xfId="3783"/>
    <cellStyle name="Обычный 10 3 7 2 7" xfId="3784"/>
    <cellStyle name="Обычный 10 3 7 3" xfId="3785"/>
    <cellStyle name="Обычный 10 3 7 3 2" xfId="3786"/>
    <cellStyle name="Обычный 10 3 7 3 2 2" xfId="3787"/>
    <cellStyle name="Обычный 10 3 7 3 2 3" xfId="3788"/>
    <cellStyle name="Обычный 10 3 7 3 3" xfId="3789"/>
    <cellStyle name="Обычный 10 3 7 3 3 2" xfId="3790"/>
    <cellStyle name="Обычный 10 3 7 3 3 3" xfId="3791"/>
    <cellStyle name="Обычный 10 3 7 3 4" xfId="3792"/>
    <cellStyle name="Обычный 10 3 7 3 4 2" xfId="3793"/>
    <cellStyle name="Обычный 10 3 7 3 5" xfId="3794"/>
    <cellStyle name="Обычный 10 3 7 3 6" xfId="3795"/>
    <cellStyle name="Обычный 10 3 7 4" xfId="3796"/>
    <cellStyle name="Обычный 10 3 7 4 2" xfId="3797"/>
    <cellStyle name="Обычный 10 3 7 4 3" xfId="3798"/>
    <cellStyle name="Обычный 10 3 7 5" xfId="3799"/>
    <cellStyle name="Обычный 10 3 7 5 2" xfId="3800"/>
    <cellStyle name="Обычный 10 3 7 5 3" xfId="3801"/>
    <cellStyle name="Обычный 10 3 7 6" xfId="3802"/>
    <cellStyle name="Обычный 10 3 7 6 2" xfId="3803"/>
    <cellStyle name="Обычный 10 3 7 7" xfId="3804"/>
    <cellStyle name="Обычный 10 3 7 8" xfId="3805"/>
    <cellStyle name="Обычный 10 3 8" xfId="3806"/>
    <cellStyle name="Обычный 10 3 8 2" xfId="3807"/>
    <cellStyle name="Обычный 10 3 8 2 2" xfId="3808"/>
    <cellStyle name="Обычный 10 3 8 2 2 2" xfId="3809"/>
    <cellStyle name="Обычный 10 3 8 2 2 3" xfId="3810"/>
    <cellStyle name="Обычный 10 3 8 2 3" xfId="3811"/>
    <cellStyle name="Обычный 10 3 8 2 3 2" xfId="3812"/>
    <cellStyle name="Обычный 10 3 8 2 3 3" xfId="3813"/>
    <cellStyle name="Обычный 10 3 8 2 4" xfId="3814"/>
    <cellStyle name="Обычный 10 3 8 2 4 2" xfId="3815"/>
    <cellStyle name="Обычный 10 3 8 2 5" xfId="3816"/>
    <cellStyle name="Обычный 10 3 8 2 6" xfId="3817"/>
    <cellStyle name="Обычный 10 3 8 3" xfId="3818"/>
    <cellStyle name="Обычный 10 3 8 3 2" xfId="3819"/>
    <cellStyle name="Обычный 10 3 8 3 3" xfId="3820"/>
    <cellStyle name="Обычный 10 3 8 4" xfId="3821"/>
    <cellStyle name="Обычный 10 3 8 4 2" xfId="3822"/>
    <cellStyle name="Обычный 10 3 8 4 3" xfId="3823"/>
    <cellStyle name="Обычный 10 3 8 5" xfId="3824"/>
    <cellStyle name="Обычный 10 3 8 5 2" xfId="3825"/>
    <cellStyle name="Обычный 10 3 8 6" xfId="3826"/>
    <cellStyle name="Обычный 10 3 8 7" xfId="3827"/>
    <cellStyle name="Обычный 10 3 9" xfId="3828"/>
    <cellStyle name="Обычный 10 3 9 2" xfId="3829"/>
    <cellStyle name="Обычный 10 3 9 2 2" xfId="3830"/>
    <cellStyle name="Обычный 10 3 9 2 3" xfId="3831"/>
    <cellStyle name="Обычный 10 3 9 3" xfId="3832"/>
    <cellStyle name="Обычный 10 3 9 3 2" xfId="3833"/>
    <cellStyle name="Обычный 10 3 9 3 3" xfId="3834"/>
    <cellStyle name="Обычный 10 3 9 4" xfId="3835"/>
    <cellStyle name="Обычный 10 3 9 4 2" xfId="3836"/>
    <cellStyle name="Обычный 10 3 9 5" xfId="3837"/>
    <cellStyle name="Обычный 10 3 9 6" xfId="3838"/>
    <cellStyle name="Обычный 10 4" xfId="3839"/>
    <cellStyle name="Обычный 10 4 10" xfId="3840"/>
    <cellStyle name="Обычный 10 4 10 2" xfId="3841"/>
    <cellStyle name="Обычный 10 4 10 3" xfId="3842"/>
    <cellStyle name="Обычный 10 4 11" xfId="3843"/>
    <cellStyle name="Обычный 10 4 11 2" xfId="3844"/>
    <cellStyle name="Обычный 10 4 11 3" xfId="3845"/>
    <cellStyle name="Обычный 10 4 12" xfId="3846"/>
    <cellStyle name="Обычный 10 4 12 2" xfId="3847"/>
    <cellStyle name="Обычный 10 4 13" xfId="3848"/>
    <cellStyle name="Обычный 10 4 14" xfId="3849"/>
    <cellStyle name="Обычный 10 4 2" xfId="3850"/>
    <cellStyle name="Обычный 10 4 2 10" xfId="3851"/>
    <cellStyle name="Обычный 10 4 2 10 2" xfId="3852"/>
    <cellStyle name="Обычный 10 4 2 10 3" xfId="3853"/>
    <cellStyle name="Обычный 10 4 2 11" xfId="3854"/>
    <cellStyle name="Обычный 10 4 2 11 2" xfId="3855"/>
    <cellStyle name="Обычный 10 4 2 12" xfId="3856"/>
    <cellStyle name="Обычный 10 4 2 13" xfId="3857"/>
    <cellStyle name="Обычный 10 4 2 2" xfId="3858"/>
    <cellStyle name="Обычный 10 4 2 2 10" xfId="3859"/>
    <cellStyle name="Обычный 10 4 2 2 2" xfId="3860"/>
    <cellStyle name="Обычный 10 4 2 2 2 2" xfId="3861"/>
    <cellStyle name="Обычный 10 4 2 2 2 2 2" xfId="3862"/>
    <cellStyle name="Обычный 10 4 2 2 2 2 2 2" xfId="3863"/>
    <cellStyle name="Обычный 10 4 2 2 2 2 2 2 2" xfId="3864"/>
    <cellStyle name="Обычный 10 4 2 2 2 2 2 2 2 2" xfId="3865"/>
    <cellStyle name="Обычный 10 4 2 2 2 2 2 2 2 3" xfId="3866"/>
    <cellStyle name="Обычный 10 4 2 2 2 2 2 2 3" xfId="3867"/>
    <cellStyle name="Обычный 10 4 2 2 2 2 2 2 3 2" xfId="3868"/>
    <cellStyle name="Обычный 10 4 2 2 2 2 2 2 3 3" xfId="3869"/>
    <cellStyle name="Обычный 10 4 2 2 2 2 2 2 4" xfId="3870"/>
    <cellStyle name="Обычный 10 4 2 2 2 2 2 2 4 2" xfId="3871"/>
    <cellStyle name="Обычный 10 4 2 2 2 2 2 2 5" xfId="3872"/>
    <cellStyle name="Обычный 10 4 2 2 2 2 2 2 6" xfId="3873"/>
    <cellStyle name="Обычный 10 4 2 2 2 2 2 3" xfId="3874"/>
    <cellStyle name="Обычный 10 4 2 2 2 2 2 3 2" xfId="3875"/>
    <cellStyle name="Обычный 10 4 2 2 2 2 2 3 3" xfId="3876"/>
    <cellStyle name="Обычный 10 4 2 2 2 2 2 4" xfId="3877"/>
    <cellStyle name="Обычный 10 4 2 2 2 2 2 4 2" xfId="3878"/>
    <cellStyle name="Обычный 10 4 2 2 2 2 2 4 3" xfId="3879"/>
    <cellStyle name="Обычный 10 4 2 2 2 2 2 5" xfId="3880"/>
    <cellStyle name="Обычный 10 4 2 2 2 2 2 5 2" xfId="3881"/>
    <cellStyle name="Обычный 10 4 2 2 2 2 2 6" xfId="3882"/>
    <cellStyle name="Обычный 10 4 2 2 2 2 2 7" xfId="3883"/>
    <cellStyle name="Обычный 10 4 2 2 2 2 3" xfId="3884"/>
    <cellStyle name="Обычный 10 4 2 2 2 2 3 2" xfId="3885"/>
    <cellStyle name="Обычный 10 4 2 2 2 2 3 2 2" xfId="3886"/>
    <cellStyle name="Обычный 10 4 2 2 2 2 3 2 3" xfId="3887"/>
    <cellStyle name="Обычный 10 4 2 2 2 2 3 3" xfId="3888"/>
    <cellStyle name="Обычный 10 4 2 2 2 2 3 3 2" xfId="3889"/>
    <cellStyle name="Обычный 10 4 2 2 2 2 3 3 3" xfId="3890"/>
    <cellStyle name="Обычный 10 4 2 2 2 2 3 4" xfId="3891"/>
    <cellStyle name="Обычный 10 4 2 2 2 2 3 4 2" xfId="3892"/>
    <cellStyle name="Обычный 10 4 2 2 2 2 3 5" xfId="3893"/>
    <cellStyle name="Обычный 10 4 2 2 2 2 3 6" xfId="3894"/>
    <cellStyle name="Обычный 10 4 2 2 2 2 4" xfId="3895"/>
    <cellStyle name="Обычный 10 4 2 2 2 2 4 2" xfId="3896"/>
    <cellStyle name="Обычный 10 4 2 2 2 2 4 3" xfId="3897"/>
    <cellStyle name="Обычный 10 4 2 2 2 2 5" xfId="3898"/>
    <cellStyle name="Обычный 10 4 2 2 2 2 5 2" xfId="3899"/>
    <cellStyle name="Обычный 10 4 2 2 2 2 5 3" xfId="3900"/>
    <cellStyle name="Обычный 10 4 2 2 2 2 6" xfId="3901"/>
    <cellStyle name="Обычный 10 4 2 2 2 2 6 2" xfId="3902"/>
    <cellStyle name="Обычный 10 4 2 2 2 2 7" xfId="3903"/>
    <cellStyle name="Обычный 10 4 2 2 2 2 8" xfId="3904"/>
    <cellStyle name="Обычный 10 4 2 2 2 3" xfId="3905"/>
    <cellStyle name="Обычный 10 4 2 2 2 3 2" xfId="3906"/>
    <cellStyle name="Обычный 10 4 2 2 2 3 2 2" xfId="3907"/>
    <cellStyle name="Обычный 10 4 2 2 2 3 2 2 2" xfId="3908"/>
    <cellStyle name="Обычный 10 4 2 2 2 3 2 2 3" xfId="3909"/>
    <cellStyle name="Обычный 10 4 2 2 2 3 2 3" xfId="3910"/>
    <cellStyle name="Обычный 10 4 2 2 2 3 2 3 2" xfId="3911"/>
    <cellStyle name="Обычный 10 4 2 2 2 3 2 3 3" xfId="3912"/>
    <cellStyle name="Обычный 10 4 2 2 2 3 2 4" xfId="3913"/>
    <cellStyle name="Обычный 10 4 2 2 2 3 2 4 2" xfId="3914"/>
    <cellStyle name="Обычный 10 4 2 2 2 3 2 5" xfId="3915"/>
    <cellStyle name="Обычный 10 4 2 2 2 3 2 6" xfId="3916"/>
    <cellStyle name="Обычный 10 4 2 2 2 3 3" xfId="3917"/>
    <cellStyle name="Обычный 10 4 2 2 2 3 3 2" xfId="3918"/>
    <cellStyle name="Обычный 10 4 2 2 2 3 3 3" xfId="3919"/>
    <cellStyle name="Обычный 10 4 2 2 2 3 4" xfId="3920"/>
    <cellStyle name="Обычный 10 4 2 2 2 3 4 2" xfId="3921"/>
    <cellStyle name="Обычный 10 4 2 2 2 3 4 3" xfId="3922"/>
    <cellStyle name="Обычный 10 4 2 2 2 3 5" xfId="3923"/>
    <cellStyle name="Обычный 10 4 2 2 2 3 5 2" xfId="3924"/>
    <cellStyle name="Обычный 10 4 2 2 2 3 6" xfId="3925"/>
    <cellStyle name="Обычный 10 4 2 2 2 3 7" xfId="3926"/>
    <cellStyle name="Обычный 10 4 2 2 2 4" xfId="3927"/>
    <cellStyle name="Обычный 10 4 2 2 2 4 2" xfId="3928"/>
    <cellStyle name="Обычный 10 4 2 2 2 4 2 2" xfId="3929"/>
    <cellStyle name="Обычный 10 4 2 2 2 4 2 3" xfId="3930"/>
    <cellStyle name="Обычный 10 4 2 2 2 4 3" xfId="3931"/>
    <cellStyle name="Обычный 10 4 2 2 2 4 3 2" xfId="3932"/>
    <cellStyle name="Обычный 10 4 2 2 2 4 3 3" xfId="3933"/>
    <cellStyle name="Обычный 10 4 2 2 2 4 4" xfId="3934"/>
    <cellStyle name="Обычный 10 4 2 2 2 4 4 2" xfId="3935"/>
    <cellStyle name="Обычный 10 4 2 2 2 4 5" xfId="3936"/>
    <cellStyle name="Обычный 10 4 2 2 2 4 6" xfId="3937"/>
    <cellStyle name="Обычный 10 4 2 2 2 5" xfId="3938"/>
    <cellStyle name="Обычный 10 4 2 2 2 5 2" xfId="3939"/>
    <cellStyle name="Обычный 10 4 2 2 2 5 3" xfId="3940"/>
    <cellStyle name="Обычный 10 4 2 2 2 6" xfId="3941"/>
    <cellStyle name="Обычный 10 4 2 2 2 6 2" xfId="3942"/>
    <cellStyle name="Обычный 10 4 2 2 2 6 3" xfId="3943"/>
    <cellStyle name="Обычный 10 4 2 2 2 7" xfId="3944"/>
    <cellStyle name="Обычный 10 4 2 2 2 7 2" xfId="3945"/>
    <cellStyle name="Обычный 10 4 2 2 2 8" xfId="3946"/>
    <cellStyle name="Обычный 10 4 2 2 2 9" xfId="3947"/>
    <cellStyle name="Обычный 10 4 2 2 3" xfId="3948"/>
    <cellStyle name="Обычный 10 4 2 2 3 2" xfId="3949"/>
    <cellStyle name="Обычный 10 4 2 2 3 2 2" xfId="3950"/>
    <cellStyle name="Обычный 10 4 2 2 3 2 2 2" xfId="3951"/>
    <cellStyle name="Обычный 10 4 2 2 3 2 2 2 2" xfId="3952"/>
    <cellStyle name="Обычный 10 4 2 2 3 2 2 2 3" xfId="3953"/>
    <cellStyle name="Обычный 10 4 2 2 3 2 2 3" xfId="3954"/>
    <cellStyle name="Обычный 10 4 2 2 3 2 2 3 2" xfId="3955"/>
    <cellStyle name="Обычный 10 4 2 2 3 2 2 3 3" xfId="3956"/>
    <cellStyle name="Обычный 10 4 2 2 3 2 2 4" xfId="3957"/>
    <cellStyle name="Обычный 10 4 2 2 3 2 2 4 2" xfId="3958"/>
    <cellStyle name="Обычный 10 4 2 2 3 2 2 5" xfId="3959"/>
    <cellStyle name="Обычный 10 4 2 2 3 2 2 6" xfId="3960"/>
    <cellStyle name="Обычный 10 4 2 2 3 2 3" xfId="3961"/>
    <cellStyle name="Обычный 10 4 2 2 3 2 3 2" xfId="3962"/>
    <cellStyle name="Обычный 10 4 2 2 3 2 3 3" xfId="3963"/>
    <cellStyle name="Обычный 10 4 2 2 3 2 4" xfId="3964"/>
    <cellStyle name="Обычный 10 4 2 2 3 2 4 2" xfId="3965"/>
    <cellStyle name="Обычный 10 4 2 2 3 2 4 3" xfId="3966"/>
    <cellStyle name="Обычный 10 4 2 2 3 2 5" xfId="3967"/>
    <cellStyle name="Обычный 10 4 2 2 3 2 5 2" xfId="3968"/>
    <cellStyle name="Обычный 10 4 2 2 3 2 6" xfId="3969"/>
    <cellStyle name="Обычный 10 4 2 2 3 2 7" xfId="3970"/>
    <cellStyle name="Обычный 10 4 2 2 3 3" xfId="3971"/>
    <cellStyle name="Обычный 10 4 2 2 3 3 2" xfId="3972"/>
    <cellStyle name="Обычный 10 4 2 2 3 3 2 2" xfId="3973"/>
    <cellStyle name="Обычный 10 4 2 2 3 3 2 3" xfId="3974"/>
    <cellStyle name="Обычный 10 4 2 2 3 3 3" xfId="3975"/>
    <cellStyle name="Обычный 10 4 2 2 3 3 3 2" xfId="3976"/>
    <cellStyle name="Обычный 10 4 2 2 3 3 3 3" xfId="3977"/>
    <cellStyle name="Обычный 10 4 2 2 3 3 4" xfId="3978"/>
    <cellStyle name="Обычный 10 4 2 2 3 3 4 2" xfId="3979"/>
    <cellStyle name="Обычный 10 4 2 2 3 3 5" xfId="3980"/>
    <cellStyle name="Обычный 10 4 2 2 3 3 6" xfId="3981"/>
    <cellStyle name="Обычный 10 4 2 2 3 4" xfId="3982"/>
    <cellStyle name="Обычный 10 4 2 2 3 4 2" xfId="3983"/>
    <cellStyle name="Обычный 10 4 2 2 3 4 3" xfId="3984"/>
    <cellStyle name="Обычный 10 4 2 2 3 5" xfId="3985"/>
    <cellStyle name="Обычный 10 4 2 2 3 5 2" xfId="3986"/>
    <cellStyle name="Обычный 10 4 2 2 3 5 3" xfId="3987"/>
    <cellStyle name="Обычный 10 4 2 2 3 6" xfId="3988"/>
    <cellStyle name="Обычный 10 4 2 2 3 6 2" xfId="3989"/>
    <cellStyle name="Обычный 10 4 2 2 3 7" xfId="3990"/>
    <cellStyle name="Обычный 10 4 2 2 3 8" xfId="3991"/>
    <cellStyle name="Обычный 10 4 2 2 4" xfId="3992"/>
    <cellStyle name="Обычный 10 4 2 2 4 2" xfId="3993"/>
    <cellStyle name="Обычный 10 4 2 2 4 2 2" xfId="3994"/>
    <cellStyle name="Обычный 10 4 2 2 4 2 2 2" xfId="3995"/>
    <cellStyle name="Обычный 10 4 2 2 4 2 2 3" xfId="3996"/>
    <cellStyle name="Обычный 10 4 2 2 4 2 3" xfId="3997"/>
    <cellStyle name="Обычный 10 4 2 2 4 2 3 2" xfId="3998"/>
    <cellStyle name="Обычный 10 4 2 2 4 2 3 3" xfId="3999"/>
    <cellStyle name="Обычный 10 4 2 2 4 2 4" xfId="4000"/>
    <cellStyle name="Обычный 10 4 2 2 4 2 4 2" xfId="4001"/>
    <cellStyle name="Обычный 10 4 2 2 4 2 5" xfId="4002"/>
    <cellStyle name="Обычный 10 4 2 2 4 2 6" xfId="4003"/>
    <cellStyle name="Обычный 10 4 2 2 4 3" xfId="4004"/>
    <cellStyle name="Обычный 10 4 2 2 4 3 2" xfId="4005"/>
    <cellStyle name="Обычный 10 4 2 2 4 3 3" xfId="4006"/>
    <cellStyle name="Обычный 10 4 2 2 4 4" xfId="4007"/>
    <cellStyle name="Обычный 10 4 2 2 4 4 2" xfId="4008"/>
    <cellStyle name="Обычный 10 4 2 2 4 4 3" xfId="4009"/>
    <cellStyle name="Обычный 10 4 2 2 4 5" xfId="4010"/>
    <cellStyle name="Обычный 10 4 2 2 4 5 2" xfId="4011"/>
    <cellStyle name="Обычный 10 4 2 2 4 6" xfId="4012"/>
    <cellStyle name="Обычный 10 4 2 2 4 7" xfId="4013"/>
    <cellStyle name="Обычный 10 4 2 2 5" xfId="4014"/>
    <cellStyle name="Обычный 10 4 2 2 5 2" xfId="4015"/>
    <cellStyle name="Обычный 10 4 2 2 5 2 2" xfId="4016"/>
    <cellStyle name="Обычный 10 4 2 2 5 2 3" xfId="4017"/>
    <cellStyle name="Обычный 10 4 2 2 5 3" xfId="4018"/>
    <cellStyle name="Обычный 10 4 2 2 5 3 2" xfId="4019"/>
    <cellStyle name="Обычный 10 4 2 2 5 3 3" xfId="4020"/>
    <cellStyle name="Обычный 10 4 2 2 5 4" xfId="4021"/>
    <cellStyle name="Обычный 10 4 2 2 5 4 2" xfId="4022"/>
    <cellStyle name="Обычный 10 4 2 2 5 5" xfId="4023"/>
    <cellStyle name="Обычный 10 4 2 2 5 6" xfId="4024"/>
    <cellStyle name="Обычный 10 4 2 2 6" xfId="4025"/>
    <cellStyle name="Обычный 10 4 2 2 6 2" xfId="4026"/>
    <cellStyle name="Обычный 10 4 2 2 6 3" xfId="4027"/>
    <cellStyle name="Обычный 10 4 2 2 7" xfId="4028"/>
    <cellStyle name="Обычный 10 4 2 2 7 2" xfId="4029"/>
    <cellStyle name="Обычный 10 4 2 2 7 3" xfId="4030"/>
    <cellStyle name="Обычный 10 4 2 2 8" xfId="4031"/>
    <cellStyle name="Обычный 10 4 2 2 8 2" xfId="4032"/>
    <cellStyle name="Обычный 10 4 2 2 9" xfId="4033"/>
    <cellStyle name="Обычный 10 4 2 3" xfId="4034"/>
    <cellStyle name="Обычный 10 4 2 3 10" xfId="4035"/>
    <cellStyle name="Обычный 10 4 2 3 2" xfId="4036"/>
    <cellStyle name="Обычный 10 4 2 3 2 2" xfId="4037"/>
    <cellStyle name="Обычный 10 4 2 3 2 2 2" xfId="4038"/>
    <cellStyle name="Обычный 10 4 2 3 2 2 2 2" xfId="4039"/>
    <cellStyle name="Обычный 10 4 2 3 2 2 2 2 2" xfId="4040"/>
    <cellStyle name="Обычный 10 4 2 3 2 2 2 2 2 2" xfId="4041"/>
    <cellStyle name="Обычный 10 4 2 3 2 2 2 2 2 3" xfId="4042"/>
    <cellStyle name="Обычный 10 4 2 3 2 2 2 2 3" xfId="4043"/>
    <cellStyle name="Обычный 10 4 2 3 2 2 2 2 3 2" xfId="4044"/>
    <cellStyle name="Обычный 10 4 2 3 2 2 2 2 3 3" xfId="4045"/>
    <cellStyle name="Обычный 10 4 2 3 2 2 2 2 4" xfId="4046"/>
    <cellStyle name="Обычный 10 4 2 3 2 2 2 2 4 2" xfId="4047"/>
    <cellStyle name="Обычный 10 4 2 3 2 2 2 2 5" xfId="4048"/>
    <cellStyle name="Обычный 10 4 2 3 2 2 2 2 6" xfId="4049"/>
    <cellStyle name="Обычный 10 4 2 3 2 2 2 3" xfId="4050"/>
    <cellStyle name="Обычный 10 4 2 3 2 2 2 3 2" xfId="4051"/>
    <cellStyle name="Обычный 10 4 2 3 2 2 2 3 3" xfId="4052"/>
    <cellStyle name="Обычный 10 4 2 3 2 2 2 4" xfId="4053"/>
    <cellStyle name="Обычный 10 4 2 3 2 2 2 4 2" xfId="4054"/>
    <cellStyle name="Обычный 10 4 2 3 2 2 2 4 3" xfId="4055"/>
    <cellStyle name="Обычный 10 4 2 3 2 2 2 5" xfId="4056"/>
    <cellStyle name="Обычный 10 4 2 3 2 2 2 5 2" xfId="4057"/>
    <cellStyle name="Обычный 10 4 2 3 2 2 2 6" xfId="4058"/>
    <cellStyle name="Обычный 10 4 2 3 2 2 2 7" xfId="4059"/>
    <cellStyle name="Обычный 10 4 2 3 2 2 3" xfId="4060"/>
    <cellStyle name="Обычный 10 4 2 3 2 2 3 2" xfId="4061"/>
    <cellStyle name="Обычный 10 4 2 3 2 2 3 2 2" xfId="4062"/>
    <cellStyle name="Обычный 10 4 2 3 2 2 3 2 3" xfId="4063"/>
    <cellStyle name="Обычный 10 4 2 3 2 2 3 3" xfId="4064"/>
    <cellStyle name="Обычный 10 4 2 3 2 2 3 3 2" xfId="4065"/>
    <cellStyle name="Обычный 10 4 2 3 2 2 3 3 3" xfId="4066"/>
    <cellStyle name="Обычный 10 4 2 3 2 2 3 4" xfId="4067"/>
    <cellStyle name="Обычный 10 4 2 3 2 2 3 4 2" xfId="4068"/>
    <cellStyle name="Обычный 10 4 2 3 2 2 3 5" xfId="4069"/>
    <cellStyle name="Обычный 10 4 2 3 2 2 3 6" xfId="4070"/>
    <cellStyle name="Обычный 10 4 2 3 2 2 4" xfId="4071"/>
    <cellStyle name="Обычный 10 4 2 3 2 2 4 2" xfId="4072"/>
    <cellStyle name="Обычный 10 4 2 3 2 2 4 3" xfId="4073"/>
    <cellStyle name="Обычный 10 4 2 3 2 2 5" xfId="4074"/>
    <cellStyle name="Обычный 10 4 2 3 2 2 5 2" xfId="4075"/>
    <cellStyle name="Обычный 10 4 2 3 2 2 5 3" xfId="4076"/>
    <cellStyle name="Обычный 10 4 2 3 2 2 6" xfId="4077"/>
    <cellStyle name="Обычный 10 4 2 3 2 2 6 2" xfId="4078"/>
    <cellStyle name="Обычный 10 4 2 3 2 2 7" xfId="4079"/>
    <cellStyle name="Обычный 10 4 2 3 2 2 8" xfId="4080"/>
    <cellStyle name="Обычный 10 4 2 3 2 3" xfId="4081"/>
    <cellStyle name="Обычный 10 4 2 3 2 3 2" xfId="4082"/>
    <cellStyle name="Обычный 10 4 2 3 2 3 2 2" xfId="4083"/>
    <cellStyle name="Обычный 10 4 2 3 2 3 2 2 2" xfId="4084"/>
    <cellStyle name="Обычный 10 4 2 3 2 3 2 2 3" xfId="4085"/>
    <cellStyle name="Обычный 10 4 2 3 2 3 2 3" xfId="4086"/>
    <cellStyle name="Обычный 10 4 2 3 2 3 2 3 2" xfId="4087"/>
    <cellStyle name="Обычный 10 4 2 3 2 3 2 3 3" xfId="4088"/>
    <cellStyle name="Обычный 10 4 2 3 2 3 2 4" xfId="4089"/>
    <cellStyle name="Обычный 10 4 2 3 2 3 2 4 2" xfId="4090"/>
    <cellStyle name="Обычный 10 4 2 3 2 3 2 5" xfId="4091"/>
    <cellStyle name="Обычный 10 4 2 3 2 3 2 6" xfId="4092"/>
    <cellStyle name="Обычный 10 4 2 3 2 3 3" xfId="4093"/>
    <cellStyle name="Обычный 10 4 2 3 2 3 3 2" xfId="4094"/>
    <cellStyle name="Обычный 10 4 2 3 2 3 3 3" xfId="4095"/>
    <cellStyle name="Обычный 10 4 2 3 2 3 4" xfId="4096"/>
    <cellStyle name="Обычный 10 4 2 3 2 3 4 2" xfId="4097"/>
    <cellStyle name="Обычный 10 4 2 3 2 3 4 3" xfId="4098"/>
    <cellStyle name="Обычный 10 4 2 3 2 3 5" xfId="4099"/>
    <cellStyle name="Обычный 10 4 2 3 2 3 5 2" xfId="4100"/>
    <cellStyle name="Обычный 10 4 2 3 2 3 6" xfId="4101"/>
    <cellStyle name="Обычный 10 4 2 3 2 3 7" xfId="4102"/>
    <cellStyle name="Обычный 10 4 2 3 2 4" xfId="4103"/>
    <cellStyle name="Обычный 10 4 2 3 2 4 2" xfId="4104"/>
    <cellStyle name="Обычный 10 4 2 3 2 4 2 2" xfId="4105"/>
    <cellStyle name="Обычный 10 4 2 3 2 4 2 3" xfId="4106"/>
    <cellStyle name="Обычный 10 4 2 3 2 4 3" xfId="4107"/>
    <cellStyle name="Обычный 10 4 2 3 2 4 3 2" xfId="4108"/>
    <cellStyle name="Обычный 10 4 2 3 2 4 3 3" xfId="4109"/>
    <cellStyle name="Обычный 10 4 2 3 2 4 4" xfId="4110"/>
    <cellStyle name="Обычный 10 4 2 3 2 4 4 2" xfId="4111"/>
    <cellStyle name="Обычный 10 4 2 3 2 4 5" xfId="4112"/>
    <cellStyle name="Обычный 10 4 2 3 2 4 6" xfId="4113"/>
    <cellStyle name="Обычный 10 4 2 3 2 5" xfId="4114"/>
    <cellStyle name="Обычный 10 4 2 3 2 5 2" xfId="4115"/>
    <cellStyle name="Обычный 10 4 2 3 2 5 3" xfId="4116"/>
    <cellStyle name="Обычный 10 4 2 3 2 6" xfId="4117"/>
    <cellStyle name="Обычный 10 4 2 3 2 6 2" xfId="4118"/>
    <cellStyle name="Обычный 10 4 2 3 2 6 3" xfId="4119"/>
    <cellStyle name="Обычный 10 4 2 3 2 7" xfId="4120"/>
    <cellStyle name="Обычный 10 4 2 3 2 7 2" xfId="4121"/>
    <cellStyle name="Обычный 10 4 2 3 2 8" xfId="4122"/>
    <cellStyle name="Обычный 10 4 2 3 2 9" xfId="4123"/>
    <cellStyle name="Обычный 10 4 2 3 3" xfId="4124"/>
    <cellStyle name="Обычный 10 4 2 3 3 2" xfId="4125"/>
    <cellStyle name="Обычный 10 4 2 3 3 2 2" xfId="4126"/>
    <cellStyle name="Обычный 10 4 2 3 3 2 2 2" xfId="4127"/>
    <cellStyle name="Обычный 10 4 2 3 3 2 2 2 2" xfId="4128"/>
    <cellStyle name="Обычный 10 4 2 3 3 2 2 2 3" xfId="4129"/>
    <cellStyle name="Обычный 10 4 2 3 3 2 2 3" xfId="4130"/>
    <cellStyle name="Обычный 10 4 2 3 3 2 2 3 2" xfId="4131"/>
    <cellStyle name="Обычный 10 4 2 3 3 2 2 3 3" xfId="4132"/>
    <cellStyle name="Обычный 10 4 2 3 3 2 2 4" xfId="4133"/>
    <cellStyle name="Обычный 10 4 2 3 3 2 2 4 2" xfId="4134"/>
    <cellStyle name="Обычный 10 4 2 3 3 2 2 5" xfId="4135"/>
    <cellStyle name="Обычный 10 4 2 3 3 2 2 6" xfId="4136"/>
    <cellStyle name="Обычный 10 4 2 3 3 2 3" xfId="4137"/>
    <cellStyle name="Обычный 10 4 2 3 3 2 3 2" xfId="4138"/>
    <cellStyle name="Обычный 10 4 2 3 3 2 3 3" xfId="4139"/>
    <cellStyle name="Обычный 10 4 2 3 3 2 4" xfId="4140"/>
    <cellStyle name="Обычный 10 4 2 3 3 2 4 2" xfId="4141"/>
    <cellStyle name="Обычный 10 4 2 3 3 2 4 3" xfId="4142"/>
    <cellStyle name="Обычный 10 4 2 3 3 2 5" xfId="4143"/>
    <cellStyle name="Обычный 10 4 2 3 3 2 5 2" xfId="4144"/>
    <cellStyle name="Обычный 10 4 2 3 3 2 6" xfId="4145"/>
    <cellStyle name="Обычный 10 4 2 3 3 2 7" xfId="4146"/>
    <cellStyle name="Обычный 10 4 2 3 3 3" xfId="4147"/>
    <cellStyle name="Обычный 10 4 2 3 3 3 2" xfId="4148"/>
    <cellStyle name="Обычный 10 4 2 3 3 3 2 2" xfId="4149"/>
    <cellStyle name="Обычный 10 4 2 3 3 3 2 3" xfId="4150"/>
    <cellStyle name="Обычный 10 4 2 3 3 3 3" xfId="4151"/>
    <cellStyle name="Обычный 10 4 2 3 3 3 3 2" xfId="4152"/>
    <cellStyle name="Обычный 10 4 2 3 3 3 3 3" xfId="4153"/>
    <cellStyle name="Обычный 10 4 2 3 3 3 4" xfId="4154"/>
    <cellStyle name="Обычный 10 4 2 3 3 3 4 2" xfId="4155"/>
    <cellStyle name="Обычный 10 4 2 3 3 3 5" xfId="4156"/>
    <cellStyle name="Обычный 10 4 2 3 3 3 6" xfId="4157"/>
    <cellStyle name="Обычный 10 4 2 3 3 4" xfId="4158"/>
    <cellStyle name="Обычный 10 4 2 3 3 4 2" xfId="4159"/>
    <cellStyle name="Обычный 10 4 2 3 3 4 3" xfId="4160"/>
    <cellStyle name="Обычный 10 4 2 3 3 5" xfId="4161"/>
    <cellStyle name="Обычный 10 4 2 3 3 5 2" xfId="4162"/>
    <cellStyle name="Обычный 10 4 2 3 3 5 3" xfId="4163"/>
    <cellStyle name="Обычный 10 4 2 3 3 6" xfId="4164"/>
    <cellStyle name="Обычный 10 4 2 3 3 6 2" xfId="4165"/>
    <cellStyle name="Обычный 10 4 2 3 3 7" xfId="4166"/>
    <cellStyle name="Обычный 10 4 2 3 3 8" xfId="4167"/>
    <cellStyle name="Обычный 10 4 2 3 4" xfId="4168"/>
    <cellStyle name="Обычный 10 4 2 3 4 2" xfId="4169"/>
    <cellStyle name="Обычный 10 4 2 3 4 2 2" xfId="4170"/>
    <cellStyle name="Обычный 10 4 2 3 4 2 2 2" xfId="4171"/>
    <cellStyle name="Обычный 10 4 2 3 4 2 2 3" xfId="4172"/>
    <cellStyle name="Обычный 10 4 2 3 4 2 3" xfId="4173"/>
    <cellStyle name="Обычный 10 4 2 3 4 2 3 2" xfId="4174"/>
    <cellStyle name="Обычный 10 4 2 3 4 2 3 3" xfId="4175"/>
    <cellStyle name="Обычный 10 4 2 3 4 2 4" xfId="4176"/>
    <cellStyle name="Обычный 10 4 2 3 4 2 4 2" xfId="4177"/>
    <cellStyle name="Обычный 10 4 2 3 4 2 5" xfId="4178"/>
    <cellStyle name="Обычный 10 4 2 3 4 2 6" xfId="4179"/>
    <cellStyle name="Обычный 10 4 2 3 4 3" xfId="4180"/>
    <cellStyle name="Обычный 10 4 2 3 4 3 2" xfId="4181"/>
    <cellStyle name="Обычный 10 4 2 3 4 3 3" xfId="4182"/>
    <cellStyle name="Обычный 10 4 2 3 4 4" xfId="4183"/>
    <cellStyle name="Обычный 10 4 2 3 4 4 2" xfId="4184"/>
    <cellStyle name="Обычный 10 4 2 3 4 4 3" xfId="4185"/>
    <cellStyle name="Обычный 10 4 2 3 4 5" xfId="4186"/>
    <cellStyle name="Обычный 10 4 2 3 4 5 2" xfId="4187"/>
    <cellStyle name="Обычный 10 4 2 3 4 6" xfId="4188"/>
    <cellStyle name="Обычный 10 4 2 3 4 7" xfId="4189"/>
    <cellStyle name="Обычный 10 4 2 3 5" xfId="4190"/>
    <cellStyle name="Обычный 10 4 2 3 5 2" xfId="4191"/>
    <cellStyle name="Обычный 10 4 2 3 5 2 2" xfId="4192"/>
    <cellStyle name="Обычный 10 4 2 3 5 2 3" xfId="4193"/>
    <cellStyle name="Обычный 10 4 2 3 5 3" xfId="4194"/>
    <cellStyle name="Обычный 10 4 2 3 5 3 2" xfId="4195"/>
    <cellStyle name="Обычный 10 4 2 3 5 3 3" xfId="4196"/>
    <cellStyle name="Обычный 10 4 2 3 5 4" xfId="4197"/>
    <cellStyle name="Обычный 10 4 2 3 5 4 2" xfId="4198"/>
    <cellStyle name="Обычный 10 4 2 3 5 5" xfId="4199"/>
    <cellStyle name="Обычный 10 4 2 3 5 6" xfId="4200"/>
    <cellStyle name="Обычный 10 4 2 3 6" xfId="4201"/>
    <cellStyle name="Обычный 10 4 2 3 6 2" xfId="4202"/>
    <cellStyle name="Обычный 10 4 2 3 6 3" xfId="4203"/>
    <cellStyle name="Обычный 10 4 2 3 7" xfId="4204"/>
    <cellStyle name="Обычный 10 4 2 3 7 2" xfId="4205"/>
    <cellStyle name="Обычный 10 4 2 3 7 3" xfId="4206"/>
    <cellStyle name="Обычный 10 4 2 3 8" xfId="4207"/>
    <cellStyle name="Обычный 10 4 2 3 8 2" xfId="4208"/>
    <cellStyle name="Обычный 10 4 2 3 9" xfId="4209"/>
    <cellStyle name="Обычный 10 4 2 4" xfId="4210"/>
    <cellStyle name="Обычный 10 4 2 4 10" xfId="4211"/>
    <cellStyle name="Обычный 10 4 2 4 2" xfId="4212"/>
    <cellStyle name="Обычный 10 4 2 4 2 2" xfId="4213"/>
    <cellStyle name="Обычный 10 4 2 4 2 2 2" xfId="4214"/>
    <cellStyle name="Обычный 10 4 2 4 2 2 2 2" xfId="4215"/>
    <cellStyle name="Обычный 10 4 2 4 2 2 2 2 2" xfId="4216"/>
    <cellStyle name="Обычный 10 4 2 4 2 2 2 2 2 2" xfId="4217"/>
    <cellStyle name="Обычный 10 4 2 4 2 2 2 2 2 3" xfId="4218"/>
    <cellStyle name="Обычный 10 4 2 4 2 2 2 2 3" xfId="4219"/>
    <cellStyle name="Обычный 10 4 2 4 2 2 2 2 3 2" xfId="4220"/>
    <cellStyle name="Обычный 10 4 2 4 2 2 2 2 3 3" xfId="4221"/>
    <cellStyle name="Обычный 10 4 2 4 2 2 2 2 4" xfId="4222"/>
    <cellStyle name="Обычный 10 4 2 4 2 2 2 2 4 2" xfId="4223"/>
    <cellStyle name="Обычный 10 4 2 4 2 2 2 2 5" xfId="4224"/>
    <cellStyle name="Обычный 10 4 2 4 2 2 2 2 6" xfId="4225"/>
    <cellStyle name="Обычный 10 4 2 4 2 2 2 3" xfId="4226"/>
    <cellStyle name="Обычный 10 4 2 4 2 2 2 3 2" xfId="4227"/>
    <cellStyle name="Обычный 10 4 2 4 2 2 2 3 3" xfId="4228"/>
    <cellStyle name="Обычный 10 4 2 4 2 2 2 4" xfId="4229"/>
    <cellStyle name="Обычный 10 4 2 4 2 2 2 4 2" xfId="4230"/>
    <cellStyle name="Обычный 10 4 2 4 2 2 2 4 3" xfId="4231"/>
    <cellStyle name="Обычный 10 4 2 4 2 2 2 5" xfId="4232"/>
    <cellStyle name="Обычный 10 4 2 4 2 2 2 5 2" xfId="4233"/>
    <cellStyle name="Обычный 10 4 2 4 2 2 2 6" xfId="4234"/>
    <cellStyle name="Обычный 10 4 2 4 2 2 2 7" xfId="4235"/>
    <cellStyle name="Обычный 10 4 2 4 2 2 3" xfId="4236"/>
    <cellStyle name="Обычный 10 4 2 4 2 2 3 2" xfId="4237"/>
    <cellStyle name="Обычный 10 4 2 4 2 2 3 2 2" xfId="4238"/>
    <cellStyle name="Обычный 10 4 2 4 2 2 3 2 3" xfId="4239"/>
    <cellStyle name="Обычный 10 4 2 4 2 2 3 3" xfId="4240"/>
    <cellStyle name="Обычный 10 4 2 4 2 2 3 3 2" xfId="4241"/>
    <cellStyle name="Обычный 10 4 2 4 2 2 3 3 3" xfId="4242"/>
    <cellStyle name="Обычный 10 4 2 4 2 2 3 4" xfId="4243"/>
    <cellStyle name="Обычный 10 4 2 4 2 2 3 4 2" xfId="4244"/>
    <cellStyle name="Обычный 10 4 2 4 2 2 3 5" xfId="4245"/>
    <cellStyle name="Обычный 10 4 2 4 2 2 3 6" xfId="4246"/>
    <cellStyle name="Обычный 10 4 2 4 2 2 4" xfId="4247"/>
    <cellStyle name="Обычный 10 4 2 4 2 2 4 2" xfId="4248"/>
    <cellStyle name="Обычный 10 4 2 4 2 2 4 3" xfId="4249"/>
    <cellStyle name="Обычный 10 4 2 4 2 2 5" xfId="4250"/>
    <cellStyle name="Обычный 10 4 2 4 2 2 5 2" xfId="4251"/>
    <cellStyle name="Обычный 10 4 2 4 2 2 5 3" xfId="4252"/>
    <cellStyle name="Обычный 10 4 2 4 2 2 6" xfId="4253"/>
    <cellStyle name="Обычный 10 4 2 4 2 2 6 2" xfId="4254"/>
    <cellStyle name="Обычный 10 4 2 4 2 2 7" xfId="4255"/>
    <cellStyle name="Обычный 10 4 2 4 2 2 8" xfId="4256"/>
    <cellStyle name="Обычный 10 4 2 4 2 3" xfId="4257"/>
    <cellStyle name="Обычный 10 4 2 4 2 3 2" xfId="4258"/>
    <cellStyle name="Обычный 10 4 2 4 2 3 2 2" xfId="4259"/>
    <cellStyle name="Обычный 10 4 2 4 2 3 2 2 2" xfId="4260"/>
    <cellStyle name="Обычный 10 4 2 4 2 3 2 2 3" xfId="4261"/>
    <cellStyle name="Обычный 10 4 2 4 2 3 2 3" xfId="4262"/>
    <cellStyle name="Обычный 10 4 2 4 2 3 2 3 2" xfId="4263"/>
    <cellStyle name="Обычный 10 4 2 4 2 3 2 3 3" xfId="4264"/>
    <cellStyle name="Обычный 10 4 2 4 2 3 2 4" xfId="4265"/>
    <cellStyle name="Обычный 10 4 2 4 2 3 2 4 2" xfId="4266"/>
    <cellStyle name="Обычный 10 4 2 4 2 3 2 5" xfId="4267"/>
    <cellStyle name="Обычный 10 4 2 4 2 3 2 6" xfId="4268"/>
    <cellStyle name="Обычный 10 4 2 4 2 3 3" xfId="4269"/>
    <cellStyle name="Обычный 10 4 2 4 2 3 3 2" xfId="4270"/>
    <cellStyle name="Обычный 10 4 2 4 2 3 3 3" xfId="4271"/>
    <cellStyle name="Обычный 10 4 2 4 2 3 4" xfId="4272"/>
    <cellStyle name="Обычный 10 4 2 4 2 3 4 2" xfId="4273"/>
    <cellStyle name="Обычный 10 4 2 4 2 3 4 3" xfId="4274"/>
    <cellStyle name="Обычный 10 4 2 4 2 3 5" xfId="4275"/>
    <cellStyle name="Обычный 10 4 2 4 2 3 5 2" xfId="4276"/>
    <cellStyle name="Обычный 10 4 2 4 2 3 6" xfId="4277"/>
    <cellStyle name="Обычный 10 4 2 4 2 3 7" xfId="4278"/>
    <cellStyle name="Обычный 10 4 2 4 2 4" xfId="4279"/>
    <cellStyle name="Обычный 10 4 2 4 2 4 2" xfId="4280"/>
    <cellStyle name="Обычный 10 4 2 4 2 4 2 2" xfId="4281"/>
    <cellStyle name="Обычный 10 4 2 4 2 4 2 3" xfId="4282"/>
    <cellStyle name="Обычный 10 4 2 4 2 4 3" xfId="4283"/>
    <cellStyle name="Обычный 10 4 2 4 2 4 3 2" xfId="4284"/>
    <cellStyle name="Обычный 10 4 2 4 2 4 3 3" xfId="4285"/>
    <cellStyle name="Обычный 10 4 2 4 2 4 4" xfId="4286"/>
    <cellStyle name="Обычный 10 4 2 4 2 4 4 2" xfId="4287"/>
    <cellStyle name="Обычный 10 4 2 4 2 4 5" xfId="4288"/>
    <cellStyle name="Обычный 10 4 2 4 2 4 6" xfId="4289"/>
    <cellStyle name="Обычный 10 4 2 4 2 5" xfId="4290"/>
    <cellStyle name="Обычный 10 4 2 4 2 5 2" xfId="4291"/>
    <cellStyle name="Обычный 10 4 2 4 2 5 3" xfId="4292"/>
    <cellStyle name="Обычный 10 4 2 4 2 6" xfId="4293"/>
    <cellStyle name="Обычный 10 4 2 4 2 6 2" xfId="4294"/>
    <cellStyle name="Обычный 10 4 2 4 2 6 3" xfId="4295"/>
    <cellStyle name="Обычный 10 4 2 4 2 7" xfId="4296"/>
    <cellStyle name="Обычный 10 4 2 4 2 7 2" xfId="4297"/>
    <cellStyle name="Обычный 10 4 2 4 2 8" xfId="4298"/>
    <cellStyle name="Обычный 10 4 2 4 2 9" xfId="4299"/>
    <cellStyle name="Обычный 10 4 2 4 3" xfId="4300"/>
    <cellStyle name="Обычный 10 4 2 4 3 2" xfId="4301"/>
    <cellStyle name="Обычный 10 4 2 4 3 2 2" xfId="4302"/>
    <cellStyle name="Обычный 10 4 2 4 3 2 2 2" xfId="4303"/>
    <cellStyle name="Обычный 10 4 2 4 3 2 2 2 2" xfId="4304"/>
    <cellStyle name="Обычный 10 4 2 4 3 2 2 2 3" xfId="4305"/>
    <cellStyle name="Обычный 10 4 2 4 3 2 2 3" xfId="4306"/>
    <cellStyle name="Обычный 10 4 2 4 3 2 2 3 2" xfId="4307"/>
    <cellStyle name="Обычный 10 4 2 4 3 2 2 3 3" xfId="4308"/>
    <cellStyle name="Обычный 10 4 2 4 3 2 2 4" xfId="4309"/>
    <cellStyle name="Обычный 10 4 2 4 3 2 2 4 2" xfId="4310"/>
    <cellStyle name="Обычный 10 4 2 4 3 2 2 5" xfId="4311"/>
    <cellStyle name="Обычный 10 4 2 4 3 2 2 6" xfId="4312"/>
    <cellStyle name="Обычный 10 4 2 4 3 2 3" xfId="4313"/>
    <cellStyle name="Обычный 10 4 2 4 3 2 3 2" xfId="4314"/>
    <cellStyle name="Обычный 10 4 2 4 3 2 3 3" xfId="4315"/>
    <cellStyle name="Обычный 10 4 2 4 3 2 4" xfId="4316"/>
    <cellStyle name="Обычный 10 4 2 4 3 2 4 2" xfId="4317"/>
    <cellStyle name="Обычный 10 4 2 4 3 2 4 3" xfId="4318"/>
    <cellStyle name="Обычный 10 4 2 4 3 2 5" xfId="4319"/>
    <cellStyle name="Обычный 10 4 2 4 3 2 5 2" xfId="4320"/>
    <cellStyle name="Обычный 10 4 2 4 3 2 6" xfId="4321"/>
    <cellStyle name="Обычный 10 4 2 4 3 2 7" xfId="4322"/>
    <cellStyle name="Обычный 10 4 2 4 3 3" xfId="4323"/>
    <cellStyle name="Обычный 10 4 2 4 3 3 2" xfId="4324"/>
    <cellStyle name="Обычный 10 4 2 4 3 3 2 2" xfId="4325"/>
    <cellStyle name="Обычный 10 4 2 4 3 3 2 3" xfId="4326"/>
    <cellStyle name="Обычный 10 4 2 4 3 3 3" xfId="4327"/>
    <cellStyle name="Обычный 10 4 2 4 3 3 3 2" xfId="4328"/>
    <cellStyle name="Обычный 10 4 2 4 3 3 3 3" xfId="4329"/>
    <cellStyle name="Обычный 10 4 2 4 3 3 4" xfId="4330"/>
    <cellStyle name="Обычный 10 4 2 4 3 3 4 2" xfId="4331"/>
    <cellStyle name="Обычный 10 4 2 4 3 3 5" xfId="4332"/>
    <cellStyle name="Обычный 10 4 2 4 3 3 6" xfId="4333"/>
    <cellStyle name="Обычный 10 4 2 4 3 4" xfId="4334"/>
    <cellStyle name="Обычный 10 4 2 4 3 4 2" xfId="4335"/>
    <cellStyle name="Обычный 10 4 2 4 3 4 3" xfId="4336"/>
    <cellStyle name="Обычный 10 4 2 4 3 5" xfId="4337"/>
    <cellStyle name="Обычный 10 4 2 4 3 5 2" xfId="4338"/>
    <cellStyle name="Обычный 10 4 2 4 3 5 3" xfId="4339"/>
    <cellStyle name="Обычный 10 4 2 4 3 6" xfId="4340"/>
    <cellStyle name="Обычный 10 4 2 4 3 6 2" xfId="4341"/>
    <cellStyle name="Обычный 10 4 2 4 3 7" xfId="4342"/>
    <cellStyle name="Обычный 10 4 2 4 3 8" xfId="4343"/>
    <cellStyle name="Обычный 10 4 2 4 4" xfId="4344"/>
    <cellStyle name="Обычный 10 4 2 4 4 2" xfId="4345"/>
    <cellStyle name="Обычный 10 4 2 4 4 2 2" xfId="4346"/>
    <cellStyle name="Обычный 10 4 2 4 4 2 2 2" xfId="4347"/>
    <cellStyle name="Обычный 10 4 2 4 4 2 2 3" xfId="4348"/>
    <cellStyle name="Обычный 10 4 2 4 4 2 3" xfId="4349"/>
    <cellStyle name="Обычный 10 4 2 4 4 2 3 2" xfId="4350"/>
    <cellStyle name="Обычный 10 4 2 4 4 2 3 3" xfId="4351"/>
    <cellStyle name="Обычный 10 4 2 4 4 2 4" xfId="4352"/>
    <cellStyle name="Обычный 10 4 2 4 4 2 4 2" xfId="4353"/>
    <cellStyle name="Обычный 10 4 2 4 4 2 5" xfId="4354"/>
    <cellStyle name="Обычный 10 4 2 4 4 2 6" xfId="4355"/>
    <cellStyle name="Обычный 10 4 2 4 4 3" xfId="4356"/>
    <cellStyle name="Обычный 10 4 2 4 4 3 2" xfId="4357"/>
    <cellStyle name="Обычный 10 4 2 4 4 3 3" xfId="4358"/>
    <cellStyle name="Обычный 10 4 2 4 4 4" xfId="4359"/>
    <cellStyle name="Обычный 10 4 2 4 4 4 2" xfId="4360"/>
    <cellStyle name="Обычный 10 4 2 4 4 4 3" xfId="4361"/>
    <cellStyle name="Обычный 10 4 2 4 4 5" xfId="4362"/>
    <cellStyle name="Обычный 10 4 2 4 4 5 2" xfId="4363"/>
    <cellStyle name="Обычный 10 4 2 4 4 6" xfId="4364"/>
    <cellStyle name="Обычный 10 4 2 4 4 7" xfId="4365"/>
    <cellStyle name="Обычный 10 4 2 4 5" xfId="4366"/>
    <cellStyle name="Обычный 10 4 2 4 5 2" xfId="4367"/>
    <cellStyle name="Обычный 10 4 2 4 5 2 2" xfId="4368"/>
    <cellStyle name="Обычный 10 4 2 4 5 2 3" xfId="4369"/>
    <cellStyle name="Обычный 10 4 2 4 5 3" xfId="4370"/>
    <cellStyle name="Обычный 10 4 2 4 5 3 2" xfId="4371"/>
    <cellStyle name="Обычный 10 4 2 4 5 3 3" xfId="4372"/>
    <cellStyle name="Обычный 10 4 2 4 5 4" xfId="4373"/>
    <cellStyle name="Обычный 10 4 2 4 5 4 2" xfId="4374"/>
    <cellStyle name="Обычный 10 4 2 4 5 5" xfId="4375"/>
    <cellStyle name="Обычный 10 4 2 4 5 6" xfId="4376"/>
    <cellStyle name="Обычный 10 4 2 4 6" xfId="4377"/>
    <cellStyle name="Обычный 10 4 2 4 6 2" xfId="4378"/>
    <cellStyle name="Обычный 10 4 2 4 6 3" xfId="4379"/>
    <cellStyle name="Обычный 10 4 2 4 7" xfId="4380"/>
    <cellStyle name="Обычный 10 4 2 4 7 2" xfId="4381"/>
    <cellStyle name="Обычный 10 4 2 4 7 3" xfId="4382"/>
    <cellStyle name="Обычный 10 4 2 4 8" xfId="4383"/>
    <cellStyle name="Обычный 10 4 2 4 8 2" xfId="4384"/>
    <cellStyle name="Обычный 10 4 2 4 9" xfId="4385"/>
    <cellStyle name="Обычный 10 4 2 5" xfId="4386"/>
    <cellStyle name="Обычный 10 4 2 5 2" xfId="4387"/>
    <cellStyle name="Обычный 10 4 2 5 2 2" xfId="4388"/>
    <cellStyle name="Обычный 10 4 2 5 2 2 2" xfId="4389"/>
    <cellStyle name="Обычный 10 4 2 5 2 2 2 2" xfId="4390"/>
    <cellStyle name="Обычный 10 4 2 5 2 2 2 2 2" xfId="4391"/>
    <cellStyle name="Обычный 10 4 2 5 2 2 2 2 3" xfId="4392"/>
    <cellStyle name="Обычный 10 4 2 5 2 2 2 3" xfId="4393"/>
    <cellStyle name="Обычный 10 4 2 5 2 2 2 3 2" xfId="4394"/>
    <cellStyle name="Обычный 10 4 2 5 2 2 2 3 3" xfId="4395"/>
    <cellStyle name="Обычный 10 4 2 5 2 2 2 4" xfId="4396"/>
    <cellStyle name="Обычный 10 4 2 5 2 2 2 4 2" xfId="4397"/>
    <cellStyle name="Обычный 10 4 2 5 2 2 2 5" xfId="4398"/>
    <cellStyle name="Обычный 10 4 2 5 2 2 2 6" xfId="4399"/>
    <cellStyle name="Обычный 10 4 2 5 2 2 3" xfId="4400"/>
    <cellStyle name="Обычный 10 4 2 5 2 2 3 2" xfId="4401"/>
    <cellStyle name="Обычный 10 4 2 5 2 2 3 3" xfId="4402"/>
    <cellStyle name="Обычный 10 4 2 5 2 2 4" xfId="4403"/>
    <cellStyle name="Обычный 10 4 2 5 2 2 4 2" xfId="4404"/>
    <cellStyle name="Обычный 10 4 2 5 2 2 4 3" xfId="4405"/>
    <cellStyle name="Обычный 10 4 2 5 2 2 5" xfId="4406"/>
    <cellStyle name="Обычный 10 4 2 5 2 2 5 2" xfId="4407"/>
    <cellStyle name="Обычный 10 4 2 5 2 2 6" xfId="4408"/>
    <cellStyle name="Обычный 10 4 2 5 2 2 7" xfId="4409"/>
    <cellStyle name="Обычный 10 4 2 5 2 3" xfId="4410"/>
    <cellStyle name="Обычный 10 4 2 5 2 3 2" xfId="4411"/>
    <cellStyle name="Обычный 10 4 2 5 2 3 2 2" xfId="4412"/>
    <cellStyle name="Обычный 10 4 2 5 2 3 2 3" xfId="4413"/>
    <cellStyle name="Обычный 10 4 2 5 2 3 3" xfId="4414"/>
    <cellStyle name="Обычный 10 4 2 5 2 3 3 2" xfId="4415"/>
    <cellStyle name="Обычный 10 4 2 5 2 3 3 3" xfId="4416"/>
    <cellStyle name="Обычный 10 4 2 5 2 3 4" xfId="4417"/>
    <cellStyle name="Обычный 10 4 2 5 2 3 4 2" xfId="4418"/>
    <cellStyle name="Обычный 10 4 2 5 2 3 5" xfId="4419"/>
    <cellStyle name="Обычный 10 4 2 5 2 3 6" xfId="4420"/>
    <cellStyle name="Обычный 10 4 2 5 2 4" xfId="4421"/>
    <cellStyle name="Обычный 10 4 2 5 2 4 2" xfId="4422"/>
    <cellStyle name="Обычный 10 4 2 5 2 4 3" xfId="4423"/>
    <cellStyle name="Обычный 10 4 2 5 2 5" xfId="4424"/>
    <cellStyle name="Обычный 10 4 2 5 2 5 2" xfId="4425"/>
    <cellStyle name="Обычный 10 4 2 5 2 5 3" xfId="4426"/>
    <cellStyle name="Обычный 10 4 2 5 2 6" xfId="4427"/>
    <cellStyle name="Обычный 10 4 2 5 2 6 2" xfId="4428"/>
    <cellStyle name="Обычный 10 4 2 5 2 7" xfId="4429"/>
    <cellStyle name="Обычный 10 4 2 5 2 8" xfId="4430"/>
    <cellStyle name="Обычный 10 4 2 5 3" xfId="4431"/>
    <cellStyle name="Обычный 10 4 2 5 3 2" xfId="4432"/>
    <cellStyle name="Обычный 10 4 2 5 3 2 2" xfId="4433"/>
    <cellStyle name="Обычный 10 4 2 5 3 2 2 2" xfId="4434"/>
    <cellStyle name="Обычный 10 4 2 5 3 2 2 3" xfId="4435"/>
    <cellStyle name="Обычный 10 4 2 5 3 2 3" xfId="4436"/>
    <cellStyle name="Обычный 10 4 2 5 3 2 3 2" xfId="4437"/>
    <cellStyle name="Обычный 10 4 2 5 3 2 3 3" xfId="4438"/>
    <cellStyle name="Обычный 10 4 2 5 3 2 4" xfId="4439"/>
    <cellStyle name="Обычный 10 4 2 5 3 2 4 2" xfId="4440"/>
    <cellStyle name="Обычный 10 4 2 5 3 2 5" xfId="4441"/>
    <cellStyle name="Обычный 10 4 2 5 3 2 6" xfId="4442"/>
    <cellStyle name="Обычный 10 4 2 5 3 3" xfId="4443"/>
    <cellStyle name="Обычный 10 4 2 5 3 3 2" xfId="4444"/>
    <cellStyle name="Обычный 10 4 2 5 3 3 3" xfId="4445"/>
    <cellStyle name="Обычный 10 4 2 5 3 4" xfId="4446"/>
    <cellStyle name="Обычный 10 4 2 5 3 4 2" xfId="4447"/>
    <cellStyle name="Обычный 10 4 2 5 3 4 3" xfId="4448"/>
    <cellStyle name="Обычный 10 4 2 5 3 5" xfId="4449"/>
    <cellStyle name="Обычный 10 4 2 5 3 5 2" xfId="4450"/>
    <cellStyle name="Обычный 10 4 2 5 3 6" xfId="4451"/>
    <cellStyle name="Обычный 10 4 2 5 3 7" xfId="4452"/>
    <cellStyle name="Обычный 10 4 2 5 4" xfId="4453"/>
    <cellStyle name="Обычный 10 4 2 5 4 2" xfId="4454"/>
    <cellStyle name="Обычный 10 4 2 5 4 2 2" xfId="4455"/>
    <cellStyle name="Обычный 10 4 2 5 4 2 3" xfId="4456"/>
    <cellStyle name="Обычный 10 4 2 5 4 3" xfId="4457"/>
    <cellStyle name="Обычный 10 4 2 5 4 3 2" xfId="4458"/>
    <cellStyle name="Обычный 10 4 2 5 4 3 3" xfId="4459"/>
    <cellStyle name="Обычный 10 4 2 5 4 4" xfId="4460"/>
    <cellStyle name="Обычный 10 4 2 5 4 4 2" xfId="4461"/>
    <cellStyle name="Обычный 10 4 2 5 4 5" xfId="4462"/>
    <cellStyle name="Обычный 10 4 2 5 4 6" xfId="4463"/>
    <cellStyle name="Обычный 10 4 2 5 5" xfId="4464"/>
    <cellStyle name="Обычный 10 4 2 5 5 2" xfId="4465"/>
    <cellStyle name="Обычный 10 4 2 5 5 3" xfId="4466"/>
    <cellStyle name="Обычный 10 4 2 5 6" xfId="4467"/>
    <cellStyle name="Обычный 10 4 2 5 6 2" xfId="4468"/>
    <cellStyle name="Обычный 10 4 2 5 6 3" xfId="4469"/>
    <cellStyle name="Обычный 10 4 2 5 7" xfId="4470"/>
    <cellStyle name="Обычный 10 4 2 5 7 2" xfId="4471"/>
    <cellStyle name="Обычный 10 4 2 5 8" xfId="4472"/>
    <cellStyle name="Обычный 10 4 2 5 9" xfId="4473"/>
    <cellStyle name="Обычный 10 4 2 6" xfId="4474"/>
    <cellStyle name="Обычный 10 4 2 6 2" xfId="4475"/>
    <cellStyle name="Обычный 10 4 2 6 2 2" xfId="4476"/>
    <cellStyle name="Обычный 10 4 2 6 2 2 2" xfId="4477"/>
    <cellStyle name="Обычный 10 4 2 6 2 2 2 2" xfId="4478"/>
    <cellStyle name="Обычный 10 4 2 6 2 2 2 3" xfId="4479"/>
    <cellStyle name="Обычный 10 4 2 6 2 2 3" xfId="4480"/>
    <cellStyle name="Обычный 10 4 2 6 2 2 3 2" xfId="4481"/>
    <cellStyle name="Обычный 10 4 2 6 2 2 3 3" xfId="4482"/>
    <cellStyle name="Обычный 10 4 2 6 2 2 4" xfId="4483"/>
    <cellStyle name="Обычный 10 4 2 6 2 2 4 2" xfId="4484"/>
    <cellStyle name="Обычный 10 4 2 6 2 2 5" xfId="4485"/>
    <cellStyle name="Обычный 10 4 2 6 2 2 6" xfId="4486"/>
    <cellStyle name="Обычный 10 4 2 6 2 3" xfId="4487"/>
    <cellStyle name="Обычный 10 4 2 6 2 3 2" xfId="4488"/>
    <cellStyle name="Обычный 10 4 2 6 2 3 3" xfId="4489"/>
    <cellStyle name="Обычный 10 4 2 6 2 4" xfId="4490"/>
    <cellStyle name="Обычный 10 4 2 6 2 4 2" xfId="4491"/>
    <cellStyle name="Обычный 10 4 2 6 2 4 3" xfId="4492"/>
    <cellStyle name="Обычный 10 4 2 6 2 5" xfId="4493"/>
    <cellStyle name="Обычный 10 4 2 6 2 5 2" xfId="4494"/>
    <cellStyle name="Обычный 10 4 2 6 2 6" xfId="4495"/>
    <cellStyle name="Обычный 10 4 2 6 2 7" xfId="4496"/>
    <cellStyle name="Обычный 10 4 2 6 3" xfId="4497"/>
    <cellStyle name="Обычный 10 4 2 6 3 2" xfId="4498"/>
    <cellStyle name="Обычный 10 4 2 6 3 2 2" xfId="4499"/>
    <cellStyle name="Обычный 10 4 2 6 3 2 3" xfId="4500"/>
    <cellStyle name="Обычный 10 4 2 6 3 3" xfId="4501"/>
    <cellStyle name="Обычный 10 4 2 6 3 3 2" xfId="4502"/>
    <cellStyle name="Обычный 10 4 2 6 3 3 3" xfId="4503"/>
    <cellStyle name="Обычный 10 4 2 6 3 4" xfId="4504"/>
    <cellStyle name="Обычный 10 4 2 6 3 4 2" xfId="4505"/>
    <cellStyle name="Обычный 10 4 2 6 3 5" xfId="4506"/>
    <cellStyle name="Обычный 10 4 2 6 3 6" xfId="4507"/>
    <cellStyle name="Обычный 10 4 2 6 4" xfId="4508"/>
    <cellStyle name="Обычный 10 4 2 6 4 2" xfId="4509"/>
    <cellStyle name="Обычный 10 4 2 6 4 3" xfId="4510"/>
    <cellStyle name="Обычный 10 4 2 6 5" xfId="4511"/>
    <cellStyle name="Обычный 10 4 2 6 5 2" xfId="4512"/>
    <cellStyle name="Обычный 10 4 2 6 5 3" xfId="4513"/>
    <cellStyle name="Обычный 10 4 2 6 6" xfId="4514"/>
    <cellStyle name="Обычный 10 4 2 6 6 2" xfId="4515"/>
    <cellStyle name="Обычный 10 4 2 6 7" xfId="4516"/>
    <cellStyle name="Обычный 10 4 2 6 8" xfId="4517"/>
    <cellStyle name="Обычный 10 4 2 7" xfId="4518"/>
    <cellStyle name="Обычный 10 4 2 7 2" xfId="4519"/>
    <cellStyle name="Обычный 10 4 2 7 2 2" xfId="4520"/>
    <cellStyle name="Обычный 10 4 2 7 2 2 2" xfId="4521"/>
    <cellStyle name="Обычный 10 4 2 7 2 2 3" xfId="4522"/>
    <cellStyle name="Обычный 10 4 2 7 2 3" xfId="4523"/>
    <cellStyle name="Обычный 10 4 2 7 2 3 2" xfId="4524"/>
    <cellStyle name="Обычный 10 4 2 7 2 3 3" xfId="4525"/>
    <cellStyle name="Обычный 10 4 2 7 2 4" xfId="4526"/>
    <cellStyle name="Обычный 10 4 2 7 2 4 2" xfId="4527"/>
    <cellStyle name="Обычный 10 4 2 7 2 5" xfId="4528"/>
    <cellStyle name="Обычный 10 4 2 7 2 6" xfId="4529"/>
    <cellStyle name="Обычный 10 4 2 7 3" xfId="4530"/>
    <cellStyle name="Обычный 10 4 2 7 3 2" xfId="4531"/>
    <cellStyle name="Обычный 10 4 2 7 3 3" xfId="4532"/>
    <cellStyle name="Обычный 10 4 2 7 4" xfId="4533"/>
    <cellStyle name="Обычный 10 4 2 7 4 2" xfId="4534"/>
    <cellStyle name="Обычный 10 4 2 7 4 3" xfId="4535"/>
    <cellStyle name="Обычный 10 4 2 7 5" xfId="4536"/>
    <cellStyle name="Обычный 10 4 2 7 5 2" xfId="4537"/>
    <cellStyle name="Обычный 10 4 2 7 6" xfId="4538"/>
    <cellStyle name="Обычный 10 4 2 7 7" xfId="4539"/>
    <cellStyle name="Обычный 10 4 2 8" xfId="4540"/>
    <cellStyle name="Обычный 10 4 2 8 2" xfId="4541"/>
    <cellStyle name="Обычный 10 4 2 8 2 2" xfId="4542"/>
    <cellStyle name="Обычный 10 4 2 8 2 3" xfId="4543"/>
    <cellStyle name="Обычный 10 4 2 8 3" xfId="4544"/>
    <cellStyle name="Обычный 10 4 2 8 3 2" xfId="4545"/>
    <cellStyle name="Обычный 10 4 2 8 3 3" xfId="4546"/>
    <cellStyle name="Обычный 10 4 2 8 4" xfId="4547"/>
    <cellStyle name="Обычный 10 4 2 8 4 2" xfId="4548"/>
    <cellStyle name="Обычный 10 4 2 8 5" xfId="4549"/>
    <cellStyle name="Обычный 10 4 2 8 6" xfId="4550"/>
    <cellStyle name="Обычный 10 4 2 9" xfId="4551"/>
    <cellStyle name="Обычный 10 4 2 9 2" xfId="4552"/>
    <cellStyle name="Обычный 10 4 2 9 3" xfId="4553"/>
    <cellStyle name="Обычный 10 4 3" xfId="4554"/>
    <cellStyle name="Обычный 10 4 3 10" xfId="4555"/>
    <cellStyle name="Обычный 10 4 3 2" xfId="4556"/>
    <cellStyle name="Обычный 10 4 3 2 2" xfId="4557"/>
    <cellStyle name="Обычный 10 4 3 2 2 2" xfId="4558"/>
    <cellStyle name="Обычный 10 4 3 2 2 2 2" xfId="4559"/>
    <cellStyle name="Обычный 10 4 3 2 2 2 2 2" xfId="4560"/>
    <cellStyle name="Обычный 10 4 3 2 2 2 2 2 2" xfId="4561"/>
    <cellStyle name="Обычный 10 4 3 2 2 2 2 2 3" xfId="4562"/>
    <cellStyle name="Обычный 10 4 3 2 2 2 2 3" xfId="4563"/>
    <cellStyle name="Обычный 10 4 3 2 2 2 2 3 2" xfId="4564"/>
    <cellStyle name="Обычный 10 4 3 2 2 2 2 3 3" xfId="4565"/>
    <cellStyle name="Обычный 10 4 3 2 2 2 2 4" xfId="4566"/>
    <cellStyle name="Обычный 10 4 3 2 2 2 2 4 2" xfId="4567"/>
    <cellStyle name="Обычный 10 4 3 2 2 2 2 5" xfId="4568"/>
    <cellStyle name="Обычный 10 4 3 2 2 2 2 6" xfId="4569"/>
    <cellStyle name="Обычный 10 4 3 2 2 2 3" xfId="4570"/>
    <cellStyle name="Обычный 10 4 3 2 2 2 3 2" xfId="4571"/>
    <cellStyle name="Обычный 10 4 3 2 2 2 3 3" xfId="4572"/>
    <cellStyle name="Обычный 10 4 3 2 2 2 4" xfId="4573"/>
    <cellStyle name="Обычный 10 4 3 2 2 2 4 2" xfId="4574"/>
    <cellStyle name="Обычный 10 4 3 2 2 2 4 3" xfId="4575"/>
    <cellStyle name="Обычный 10 4 3 2 2 2 5" xfId="4576"/>
    <cellStyle name="Обычный 10 4 3 2 2 2 5 2" xfId="4577"/>
    <cellStyle name="Обычный 10 4 3 2 2 2 6" xfId="4578"/>
    <cellStyle name="Обычный 10 4 3 2 2 2 7" xfId="4579"/>
    <cellStyle name="Обычный 10 4 3 2 2 3" xfId="4580"/>
    <cellStyle name="Обычный 10 4 3 2 2 3 2" xfId="4581"/>
    <cellStyle name="Обычный 10 4 3 2 2 3 2 2" xfId="4582"/>
    <cellStyle name="Обычный 10 4 3 2 2 3 2 3" xfId="4583"/>
    <cellStyle name="Обычный 10 4 3 2 2 3 3" xfId="4584"/>
    <cellStyle name="Обычный 10 4 3 2 2 3 3 2" xfId="4585"/>
    <cellStyle name="Обычный 10 4 3 2 2 3 3 3" xfId="4586"/>
    <cellStyle name="Обычный 10 4 3 2 2 3 4" xfId="4587"/>
    <cellStyle name="Обычный 10 4 3 2 2 3 4 2" xfId="4588"/>
    <cellStyle name="Обычный 10 4 3 2 2 3 5" xfId="4589"/>
    <cellStyle name="Обычный 10 4 3 2 2 3 6" xfId="4590"/>
    <cellStyle name="Обычный 10 4 3 2 2 4" xfId="4591"/>
    <cellStyle name="Обычный 10 4 3 2 2 4 2" xfId="4592"/>
    <cellStyle name="Обычный 10 4 3 2 2 4 3" xfId="4593"/>
    <cellStyle name="Обычный 10 4 3 2 2 5" xfId="4594"/>
    <cellStyle name="Обычный 10 4 3 2 2 5 2" xfId="4595"/>
    <cellStyle name="Обычный 10 4 3 2 2 5 3" xfId="4596"/>
    <cellStyle name="Обычный 10 4 3 2 2 6" xfId="4597"/>
    <cellStyle name="Обычный 10 4 3 2 2 6 2" xfId="4598"/>
    <cellStyle name="Обычный 10 4 3 2 2 7" xfId="4599"/>
    <cellStyle name="Обычный 10 4 3 2 2 8" xfId="4600"/>
    <cellStyle name="Обычный 10 4 3 2 3" xfId="4601"/>
    <cellStyle name="Обычный 10 4 3 2 3 2" xfId="4602"/>
    <cellStyle name="Обычный 10 4 3 2 3 2 2" xfId="4603"/>
    <cellStyle name="Обычный 10 4 3 2 3 2 2 2" xfId="4604"/>
    <cellStyle name="Обычный 10 4 3 2 3 2 2 3" xfId="4605"/>
    <cellStyle name="Обычный 10 4 3 2 3 2 3" xfId="4606"/>
    <cellStyle name="Обычный 10 4 3 2 3 2 3 2" xfId="4607"/>
    <cellStyle name="Обычный 10 4 3 2 3 2 3 3" xfId="4608"/>
    <cellStyle name="Обычный 10 4 3 2 3 2 4" xfId="4609"/>
    <cellStyle name="Обычный 10 4 3 2 3 2 4 2" xfId="4610"/>
    <cellStyle name="Обычный 10 4 3 2 3 2 5" xfId="4611"/>
    <cellStyle name="Обычный 10 4 3 2 3 2 6" xfId="4612"/>
    <cellStyle name="Обычный 10 4 3 2 3 3" xfId="4613"/>
    <cellStyle name="Обычный 10 4 3 2 3 3 2" xfId="4614"/>
    <cellStyle name="Обычный 10 4 3 2 3 3 3" xfId="4615"/>
    <cellStyle name="Обычный 10 4 3 2 3 4" xfId="4616"/>
    <cellStyle name="Обычный 10 4 3 2 3 4 2" xfId="4617"/>
    <cellStyle name="Обычный 10 4 3 2 3 4 3" xfId="4618"/>
    <cellStyle name="Обычный 10 4 3 2 3 5" xfId="4619"/>
    <cellStyle name="Обычный 10 4 3 2 3 5 2" xfId="4620"/>
    <cellStyle name="Обычный 10 4 3 2 3 6" xfId="4621"/>
    <cellStyle name="Обычный 10 4 3 2 3 7" xfId="4622"/>
    <cellStyle name="Обычный 10 4 3 2 4" xfId="4623"/>
    <cellStyle name="Обычный 10 4 3 2 4 2" xfId="4624"/>
    <cellStyle name="Обычный 10 4 3 2 4 2 2" xfId="4625"/>
    <cellStyle name="Обычный 10 4 3 2 4 2 3" xfId="4626"/>
    <cellStyle name="Обычный 10 4 3 2 4 3" xfId="4627"/>
    <cellStyle name="Обычный 10 4 3 2 4 3 2" xfId="4628"/>
    <cellStyle name="Обычный 10 4 3 2 4 3 3" xfId="4629"/>
    <cellStyle name="Обычный 10 4 3 2 4 4" xfId="4630"/>
    <cellStyle name="Обычный 10 4 3 2 4 4 2" xfId="4631"/>
    <cellStyle name="Обычный 10 4 3 2 4 5" xfId="4632"/>
    <cellStyle name="Обычный 10 4 3 2 4 6" xfId="4633"/>
    <cellStyle name="Обычный 10 4 3 2 5" xfId="4634"/>
    <cellStyle name="Обычный 10 4 3 2 5 2" xfId="4635"/>
    <cellStyle name="Обычный 10 4 3 2 5 3" xfId="4636"/>
    <cellStyle name="Обычный 10 4 3 2 6" xfId="4637"/>
    <cellStyle name="Обычный 10 4 3 2 6 2" xfId="4638"/>
    <cellStyle name="Обычный 10 4 3 2 6 3" xfId="4639"/>
    <cellStyle name="Обычный 10 4 3 2 7" xfId="4640"/>
    <cellStyle name="Обычный 10 4 3 2 7 2" xfId="4641"/>
    <cellStyle name="Обычный 10 4 3 2 8" xfId="4642"/>
    <cellStyle name="Обычный 10 4 3 2 9" xfId="4643"/>
    <cellStyle name="Обычный 10 4 3 3" xfId="4644"/>
    <cellStyle name="Обычный 10 4 3 3 2" xfId="4645"/>
    <cellStyle name="Обычный 10 4 3 3 2 2" xfId="4646"/>
    <cellStyle name="Обычный 10 4 3 3 2 2 2" xfId="4647"/>
    <cellStyle name="Обычный 10 4 3 3 2 2 2 2" xfId="4648"/>
    <cellStyle name="Обычный 10 4 3 3 2 2 2 3" xfId="4649"/>
    <cellStyle name="Обычный 10 4 3 3 2 2 3" xfId="4650"/>
    <cellStyle name="Обычный 10 4 3 3 2 2 3 2" xfId="4651"/>
    <cellStyle name="Обычный 10 4 3 3 2 2 3 3" xfId="4652"/>
    <cellStyle name="Обычный 10 4 3 3 2 2 4" xfId="4653"/>
    <cellStyle name="Обычный 10 4 3 3 2 2 4 2" xfId="4654"/>
    <cellStyle name="Обычный 10 4 3 3 2 2 5" xfId="4655"/>
    <cellStyle name="Обычный 10 4 3 3 2 2 6" xfId="4656"/>
    <cellStyle name="Обычный 10 4 3 3 2 3" xfId="4657"/>
    <cellStyle name="Обычный 10 4 3 3 2 3 2" xfId="4658"/>
    <cellStyle name="Обычный 10 4 3 3 2 3 3" xfId="4659"/>
    <cellStyle name="Обычный 10 4 3 3 2 4" xfId="4660"/>
    <cellStyle name="Обычный 10 4 3 3 2 4 2" xfId="4661"/>
    <cellStyle name="Обычный 10 4 3 3 2 4 3" xfId="4662"/>
    <cellStyle name="Обычный 10 4 3 3 2 5" xfId="4663"/>
    <cellStyle name="Обычный 10 4 3 3 2 5 2" xfId="4664"/>
    <cellStyle name="Обычный 10 4 3 3 2 6" xfId="4665"/>
    <cellStyle name="Обычный 10 4 3 3 2 7" xfId="4666"/>
    <cellStyle name="Обычный 10 4 3 3 3" xfId="4667"/>
    <cellStyle name="Обычный 10 4 3 3 3 2" xfId="4668"/>
    <cellStyle name="Обычный 10 4 3 3 3 2 2" xfId="4669"/>
    <cellStyle name="Обычный 10 4 3 3 3 2 3" xfId="4670"/>
    <cellStyle name="Обычный 10 4 3 3 3 3" xfId="4671"/>
    <cellStyle name="Обычный 10 4 3 3 3 3 2" xfId="4672"/>
    <cellStyle name="Обычный 10 4 3 3 3 3 3" xfId="4673"/>
    <cellStyle name="Обычный 10 4 3 3 3 4" xfId="4674"/>
    <cellStyle name="Обычный 10 4 3 3 3 4 2" xfId="4675"/>
    <cellStyle name="Обычный 10 4 3 3 3 5" xfId="4676"/>
    <cellStyle name="Обычный 10 4 3 3 3 6" xfId="4677"/>
    <cellStyle name="Обычный 10 4 3 3 4" xfId="4678"/>
    <cellStyle name="Обычный 10 4 3 3 4 2" xfId="4679"/>
    <cellStyle name="Обычный 10 4 3 3 4 3" xfId="4680"/>
    <cellStyle name="Обычный 10 4 3 3 5" xfId="4681"/>
    <cellStyle name="Обычный 10 4 3 3 5 2" xfId="4682"/>
    <cellStyle name="Обычный 10 4 3 3 5 3" xfId="4683"/>
    <cellStyle name="Обычный 10 4 3 3 6" xfId="4684"/>
    <cellStyle name="Обычный 10 4 3 3 6 2" xfId="4685"/>
    <cellStyle name="Обычный 10 4 3 3 7" xfId="4686"/>
    <cellStyle name="Обычный 10 4 3 3 8" xfId="4687"/>
    <cellStyle name="Обычный 10 4 3 4" xfId="4688"/>
    <cellStyle name="Обычный 10 4 3 4 2" xfId="4689"/>
    <cellStyle name="Обычный 10 4 3 4 2 2" xfId="4690"/>
    <cellStyle name="Обычный 10 4 3 4 2 2 2" xfId="4691"/>
    <cellStyle name="Обычный 10 4 3 4 2 2 3" xfId="4692"/>
    <cellStyle name="Обычный 10 4 3 4 2 3" xfId="4693"/>
    <cellStyle name="Обычный 10 4 3 4 2 3 2" xfId="4694"/>
    <cellStyle name="Обычный 10 4 3 4 2 3 3" xfId="4695"/>
    <cellStyle name="Обычный 10 4 3 4 2 4" xfId="4696"/>
    <cellStyle name="Обычный 10 4 3 4 2 4 2" xfId="4697"/>
    <cellStyle name="Обычный 10 4 3 4 2 5" xfId="4698"/>
    <cellStyle name="Обычный 10 4 3 4 2 6" xfId="4699"/>
    <cellStyle name="Обычный 10 4 3 4 3" xfId="4700"/>
    <cellStyle name="Обычный 10 4 3 4 3 2" xfId="4701"/>
    <cellStyle name="Обычный 10 4 3 4 3 3" xfId="4702"/>
    <cellStyle name="Обычный 10 4 3 4 4" xfId="4703"/>
    <cellStyle name="Обычный 10 4 3 4 4 2" xfId="4704"/>
    <cellStyle name="Обычный 10 4 3 4 4 3" xfId="4705"/>
    <cellStyle name="Обычный 10 4 3 4 5" xfId="4706"/>
    <cellStyle name="Обычный 10 4 3 4 5 2" xfId="4707"/>
    <cellStyle name="Обычный 10 4 3 4 6" xfId="4708"/>
    <cellStyle name="Обычный 10 4 3 4 7" xfId="4709"/>
    <cellStyle name="Обычный 10 4 3 5" xfId="4710"/>
    <cellStyle name="Обычный 10 4 3 5 2" xfId="4711"/>
    <cellStyle name="Обычный 10 4 3 5 2 2" xfId="4712"/>
    <cellStyle name="Обычный 10 4 3 5 2 3" xfId="4713"/>
    <cellStyle name="Обычный 10 4 3 5 3" xfId="4714"/>
    <cellStyle name="Обычный 10 4 3 5 3 2" xfId="4715"/>
    <cellStyle name="Обычный 10 4 3 5 3 3" xfId="4716"/>
    <cellStyle name="Обычный 10 4 3 5 4" xfId="4717"/>
    <cellStyle name="Обычный 10 4 3 5 4 2" xfId="4718"/>
    <cellStyle name="Обычный 10 4 3 5 5" xfId="4719"/>
    <cellStyle name="Обычный 10 4 3 5 6" xfId="4720"/>
    <cellStyle name="Обычный 10 4 3 6" xfId="4721"/>
    <cellStyle name="Обычный 10 4 3 6 2" xfId="4722"/>
    <cellStyle name="Обычный 10 4 3 6 3" xfId="4723"/>
    <cellStyle name="Обычный 10 4 3 7" xfId="4724"/>
    <cellStyle name="Обычный 10 4 3 7 2" xfId="4725"/>
    <cellStyle name="Обычный 10 4 3 7 3" xfId="4726"/>
    <cellStyle name="Обычный 10 4 3 8" xfId="4727"/>
    <cellStyle name="Обычный 10 4 3 8 2" xfId="4728"/>
    <cellStyle name="Обычный 10 4 3 9" xfId="4729"/>
    <cellStyle name="Обычный 10 4 4" xfId="4730"/>
    <cellStyle name="Обычный 10 4 4 10" xfId="4731"/>
    <cellStyle name="Обычный 10 4 4 2" xfId="4732"/>
    <cellStyle name="Обычный 10 4 4 2 2" xfId="4733"/>
    <cellStyle name="Обычный 10 4 4 2 2 2" xfId="4734"/>
    <cellStyle name="Обычный 10 4 4 2 2 2 2" xfId="4735"/>
    <cellStyle name="Обычный 10 4 4 2 2 2 2 2" xfId="4736"/>
    <cellStyle name="Обычный 10 4 4 2 2 2 2 2 2" xfId="4737"/>
    <cellStyle name="Обычный 10 4 4 2 2 2 2 2 3" xfId="4738"/>
    <cellStyle name="Обычный 10 4 4 2 2 2 2 3" xfId="4739"/>
    <cellStyle name="Обычный 10 4 4 2 2 2 2 3 2" xfId="4740"/>
    <cellStyle name="Обычный 10 4 4 2 2 2 2 3 3" xfId="4741"/>
    <cellStyle name="Обычный 10 4 4 2 2 2 2 4" xfId="4742"/>
    <cellStyle name="Обычный 10 4 4 2 2 2 2 4 2" xfId="4743"/>
    <cellStyle name="Обычный 10 4 4 2 2 2 2 5" xfId="4744"/>
    <cellStyle name="Обычный 10 4 4 2 2 2 2 6" xfId="4745"/>
    <cellStyle name="Обычный 10 4 4 2 2 2 3" xfId="4746"/>
    <cellStyle name="Обычный 10 4 4 2 2 2 3 2" xfId="4747"/>
    <cellStyle name="Обычный 10 4 4 2 2 2 3 3" xfId="4748"/>
    <cellStyle name="Обычный 10 4 4 2 2 2 4" xfId="4749"/>
    <cellStyle name="Обычный 10 4 4 2 2 2 4 2" xfId="4750"/>
    <cellStyle name="Обычный 10 4 4 2 2 2 4 3" xfId="4751"/>
    <cellStyle name="Обычный 10 4 4 2 2 2 5" xfId="4752"/>
    <cellStyle name="Обычный 10 4 4 2 2 2 5 2" xfId="4753"/>
    <cellStyle name="Обычный 10 4 4 2 2 2 6" xfId="4754"/>
    <cellStyle name="Обычный 10 4 4 2 2 2 7" xfId="4755"/>
    <cellStyle name="Обычный 10 4 4 2 2 3" xfId="4756"/>
    <cellStyle name="Обычный 10 4 4 2 2 3 2" xfId="4757"/>
    <cellStyle name="Обычный 10 4 4 2 2 3 2 2" xfId="4758"/>
    <cellStyle name="Обычный 10 4 4 2 2 3 2 3" xfId="4759"/>
    <cellStyle name="Обычный 10 4 4 2 2 3 3" xfId="4760"/>
    <cellStyle name="Обычный 10 4 4 2 2 3 3 2" xfId="4761"/>
    <cellStyle name="Обычный 10 4 4 2 2 3 3 3" xfId="4762"/>
    <cellStyle name="Обычный 10 4 4 2 2 3 4" xfId="4763"/>
    <cellStyle name="Обычный 10 4 4 2 2 3 4 2" xfId="4764"/>
    <cellStyle name="Обычный 10 4 4 2 2 3 5" xfId="4765"/>
    <cellStyle name="Обычный 10 4 4 2 2 3 6" xfId="4766"/>
    <cellStyle name="Обычный 10 4 4 2 2 4" xfId="4767"/>
    <cellStyle name="Обычный 10 4 4 2 2 4 2" xfId="4768"/>
    <cellStyle name="Обычный 10 4 4 2 2 4 3" xfId="4769"/>
    <cellStyle name="Обычный 10 4 4 2 2 5" xfId="4770"/>
    <cellStyle name="Обычный 10 4 4 2 2 5 2" xfId="4771"/>
    <cellStyle name="Обычный 10 4 4 2 2 5 3" xfId="4772"/>
    <cellStyle name="Обычный 10 4 4 2 2 6" xfId="4773"/>
    <cellStyle name="Обычный 10 4 4 2 2 6 2" xfId="4774"/>
    <cellStyle name="Обычный 10 4 4 2 2 7" xfId="4775"/>
    <cellStyle name="Обычный 10 4 4 2 2 8" xfId="4776"/>
    <cellStyle name="Обычный 10 4 4 2 3" xfId="4777"/>
    <cellStyle name="Обычный 10 4 4 2 3 2" xfId="4778"/>
    <cellStyle name="Обычный 10 4 4 2 3 2 2" xfId="4779"/>
    <cellStyle name="Обычный 10 4 4 2 3 2 2 2" xfId="4780"/>
    <cellStyle name="Обычный 10 4 4 2 3 2 2 3" xfId="4781"/>
    <cellStyle name="Обычный 10 4 4 2 3 2 3" xfId="4782"/>
    <cellStyle name="Обычный 10 4 4 2 3 2 3 2" xfId="4783"/>
    <cellStyle name="Обычный 10 4 4 2 3 2 3 3" xfId="4784"/>
    <cellStyle name="Обычный 10 4 4 2 3 2 4" xfId="4785"/>
    <cellStyle name="Обычный 10 4 4 2 3 2 4 2" xfId="4786"/>
    <cellStyle name="Обычный 10 4 4 2 3 2 5" xfId="4787"/>
    <cellStyle name="Обычный 10 4 4 2 3 2 6" xfId="4788"/>
    <cellStyle name="Обычный 10 4 4 2 3 3" xfId="4789"/>
    <cellStyle name="Обычный 10 4 4 2 3 3 2" xfId="4790"/>
    <cellStyle name="Обычный 10 4 4 2 3 3 3" xfId="4791"/>
    <cellStyle name="Обычный 10 4 4 2 3 4" xfId="4792"/>
    <cellStyle name="Обычный 10 4 4 2 3 4 2" xfId="4793"/>
    <cellStyle name="Обычный 10 4 4 2 3 4 3" xfId="4794"/>
    <cellStyle name="Обычный 10 4 4 2 3 5" xfId="4795"/>
    <cellStyle name="Обычный 10 4 4 2 3 5 2" xfId="4796"/>
    <cellStyle name="Обычный 10 4 4 2 3 6" xfId="4797"/>
    <cellStyle name="Обычный 10 4 4 2 3 7" xfId="4798"/>
    <cellStyle name="Обычный 10 4 4 2 4" xfId="4799"/>
    <cellStyle name="Обычный 10 4 4 2 4 2" xfId="4800"/>
    <cellStyle name="Обычный 10 4 4 2 4 2 2" xfId="4801"/>
    <cellStyle name="Обычный 10 4 4 2 4 2 3" xfId="4802"/>
    <cellStyle name="Обычный 10 4 4 2 4 3" xfId="4803"/>
    <cellStyle name="Обычный 10 4 4 2 4 3 2" xfId="4804"/>
    <cellStyle name="Обычный 10 4 4 2 4 3 3" xfId="4805"/>
    <cellStyle name="Обычный 10 4 4 2 4 4" xfId="4806"/>
    <cellStyle name="Обычный 10 4 4 2 4 4 2" xfId="4807"/>
    <cellStyle name="Обычный 10 4 4 2 4 5" xfId="4808"/>
    <cellStyle name="Обычный 10 4 4 2 4 6" xfId="4809"/>
    <cellStyle name="Обычный 10 4 4 2 5" xfId="4810"/>
    <cellStyle name="Обычный 10 4 4 2 5 2" xfId="4811"/>
    <cellStyle name="Обычный 10 4 4 2 5 3" xfId="4812"/>
    <cellStyle name="Обычный 10 4 4 2 6" xfId="4813"/>
    <cellStyle name="Обычный 10 4 4 2 6 2" xfId="4814"/>
    <cellStyle name="Обычный 10 4 4 2 6 3" xfId="4815"/>
    <cellStyle name="Обычный 10 4 4 2 7" xfId="4816"/>
    <cellStyle name="Обычный 10 4 4 2 7 2" xfId="4817"/>
    <cellStyle name="Обычный 10 4 4 2 8" xfId="4818"/>
    <cellStyle name="Обычный 10 4 4 2 9" xfId="4819"/>
    <cellStyle name="Обычный 10 4 4 3" xfId="4820"/>
    <cellStyle name="Обычный 10 4 4 3 2" xfId="4821"/>
    <cellStyle name="Обычный 10 4 4 3 2 2" xfId="4822"/>
    <cellStyle name="Обычный 10 4 4 3 2 2 2" xfId="4823"/>
    <cellStyle name="Обычный 10 4 4 3 2 2 2 2" xfId="4824"/>
    <cellStyle name="Обычный 10 4 4 3 2 2 2 3" xfId="4825"/>
    <cellStyle name="Обычный 10 4 4 3 2 2 3" xfId="4826"/>
    <cellStyle name="Обычный 10 4 4 3 2 2 3 2" xfId="4827"/>
    <cellStyle name="Обычный 10 4 4 3 2 2 3 3" xfId="4828"/>
    <cellStyle name="Обычный 10 4 4 3 2 2 4" xfId="4829"/>
    <cellStyle name="Обычный 10 4 4 3 2 2 4 2" xfId="4830"/>
    <cellStyle name="Обычный 10 4 4 3 2 2 5" xfId="4831"/>
    <cellStyle name="Обычный 10 4 4 3 2 2 6" xfId="4832"/>
    <cellStyle name="Обычный 10 4 4 3 2 3" xfId="4833"/>
    <cellStyle name="Обычный 10 4 4 3 2 3 2" xfId="4834"/>
    <cellStyle name="Обычный 10 4 4 3 2 3 3" xfId="4835"/>
    <cellStyle name="Обычный 10 4 4 3 2 4" xfId="4836"/>
    <cellStyle name="Обычный 10 4 4 3 2 4 2" xfId="4837"/>
    <cellStyle name="Обычный 10 4 4 3 2 4 3" xfId="4838"/>
    <cellStyle name="Обычный 10 4 4 3 2 5" xfId="4839"/>
    <cellStyle name="Обычный 10 4 4 3 2 5 2" xfId="4840"/>
    <cellStyle name="Обычный 10 4 4 3 2 6" xfId="4841"/>
    <cellStyle name="Обычный 10 4 4 3 2 7" xfId="4842"/>
    <cellStyle name="Обычный 10 4 4 3 3" xfId="4843"/>
    <cellStyle name="Обычный 10 4 4 3 3 2" xfId="4844"/>
    <cellStyle name="Обычный 10 4 4 3 3 2 2" xfId="4845"/>
    <cellStyle name="Обычный 10 4 4 3 3 2 3" xfId="4846"/>
    <cellStyle name="Обычный 10 4 4 3 3 3" xfId="4847"/>
    <cellStyle name="Обычный 10 4 4 3 3 3 2" xfId="4848"/>
    <cellStyle name="Обычный 10 4 4 3 3 3 3" xfId="4849"/>
    <cellStyle name="Обычный 10 4 4 3 3 4" xfId="4850"/>
    <cellStyle name="Обычный 10 4 4 3 3 4 2" xfId="4851"/>
    <cellStyle name="Обычный 10 4 4 3 3 5" xfId="4852"/>
    <cellStyle name="Обычный 10 4 4 3 3 6" xfId="4853"/>
    <cellStyle name="Обычный 10 4 4 3 4" xfId="4854"/>
    <cellStyle name="Обычный 10 4 4 3 4 2" xfId="4855"/>
    <cellStyle name="Обычный 10 4 4 3 4 3" xfId="4856"/>
    <cellStyle name="Обычный 10 4 4 3 5" xfId="4857"/>
    <cellStyle name="Обычный 10 4 4 3 5 2" xfId="4858"/>
    <cellStyle name="Обычный 10 4 4 3 5 3" xfId="4859"/>
    <cellStyle name="Обычный 10 4 4 3 6" xfId="4860"/>
    <cellStyle name="Обычный 10 4 4 3 6 2" xfId="4861"/>
    <cellStyle name="Обычный 10 4 4 3 7" xfId="4862"/>
    <cellStyle name="Обычный 10 4 4 3 8" xfId="4863"/>
    <cellStyle name="Обычный 10 4 4 4" xfId="4864"/>
    <cellStyle name="Обычный 10 4 4 4 2" xfId="4865"/>
    <cellStyle name="Обычный 10 4 4 4 2 2" xfId="4866"/>
    <cellStyle name="Обычный 10 4 4 4 2 2 2" xfId="4867"/>
    <cellStyle name="Обычный 10 4 4 4 2 2 3" xfId="4868"/>
    <cellStyle name="Обычный 10 4 4 4 2 3" xfId="4869"/>
    <cellStyle name="Обычный 10 4 4 4 2 3 2" xfId="4870"/>
    <cellStyle name="Обычный 10 4 4 4 2 3 3" xfId="4871"/>
    <cellStyle name="Обычный 10 4 4 4 2 4" xfId="4872"/>
    <cellStyle name="Обычный 10 4 4 4 2 4 2" xfId="4873"/>
    <cellStyle name="Обычный 10 4 4 4 2 5" xfId="4874"/>
    <cellStyle name="Обычный 10 4 4 4 2 6" xfId="4875"/>
    <cellStyle name="Обычный 10 4 4 4 3" xfId="4876"/>
    <cellStyle name="Обычный 10 4 4 4 3 2" xfId="4877"/>
    <cellStyle name="Обычный 10 4 4 4 3 3" xfId="4878"/>
    <cellStyle name="Обычный 10 4 4 4 4" xfId="4879"/>
    <cellStyle name="Обычный 10 4 4 4 4 2" xfId="4880"/>
    <cellStyle name="Обычный 10 4 4 4 4 3" xfId="4881"/>
    <cellStyle name="Обычный 10 4 4 4 5" xfId="4882"/>
    <cellStyle name="Обычный 10 4 4 4 5 2" xfId="4883"/>
    <cellStyle name="Обычный 10 4 4 4 6" xfId="4884"/>
    <cellStyle name="Обычный 10 4 4 4 7" xfId="4885"/>
    <cellStyle name="Обычный 10 4 4 5" xfId="4886"/>
    <cellStyle name="Обычный 10 4 4 5 2" xfId="4887"/>
    <cellStyle name="Обычный 10 4 4 5 2 2" xfId="4888"/>
    <cellStyle name="Обычный 10 4 4 5 2 3" xfId="4889"/>
    <cellStyle name="Обычный 10 4 4 5 3" xfId="4890"/>
    <cellStyle name="Обычный 10 4 4 5 3 2" xfId="4891"/>
    <cellStyle name="Обычный 10 4 4 5 3 3" xfId="4892"/>
    <cellStyle name="Обычный 10 4 4 5 4" xfId="4893"/>
    <cellStyle name="Обычный 10 4 4 5 4 2" xfId="4894"/>
    <cellStyle name="Обычный 10 4 4 5 5" xfId="4895"/>
    <cellStyle name="Обычный 10 4 4 5 6" xfId="4896"/>
    <cellStyle name="Обычный 10 4 4 6" xfId="4897"/>
    <cellStyle name="Обычный 10 4 4 6 2" xfId="4898"/>
    <cellStyle name="Обычный 10 4 4 6 3" xfId="4899"/>
    <cellStyle name="Обычный 10 4 4 7" xfId="4900"/>
    <cellStyle name="Обычный 10 4 4 7 2" xfId="4901"/>
    <cellStyle name="Обычный 10 4 4 7 3" xfId="4902"/>
    <cellStyle name="Обычный 10 4 4 8" xfId="4903"/>
    <cellStyle name="Обычный 10 4 4 8 2" xfId="4904"/>
    <cellStyle name="Обычный 10 4 4 9" xfId="4905"/>
    <cellStyle name="Обычный 10 4 5" xfId="4906"/>
    <cellStyle name="Обычный 10 4 5 10" xfId="4907"/>
    <cellStyle name="Обычный 10 4 5 2" xfId="4908"/>
    <cellStyle name="Обычный 10 4 5 2 2" xfId="4909"/>
    <cellStyle name="Обычный 10 4 5 2 2 2" xfId="4910"/>
    <cellStyle name="Обычный 10 4 5 2 2 2 2" xfId="4911"/>
    <cellStyle name="Обычный 10 4 5 2 2 2 2 2" xfId="4912"/>
    <cellStyle name="Обычный 10 4 5 2 2 2 2 2 2" xfId="4913"/>
    <cellStyle name="Обычный 10 4 5 2 2 2 2 2 3" xfId="4914"/>
    <cellStyle name="Обычный 10 4 5 2 2 2 2 3" xfId="4915"/>
    <cellStyle name="Обычный 10 4 5 2 2 2 2 3 2" xfId="4916"/>
    <cellStyle name="Обычный 10 4 5 2 2 2 2 3 3" xfId="4917"/>
    <cellStyle name="Обычный 10 4 5 2 2 2 2 4" xfId="4918"/>
    <cellStyle name="Обычный 10 4 5 2 2 2 2 4 2" xfId="4919"/>
    <cellStyle name="Обычный 10 4 5 2 2 2 2 5" xfId="4920"/>
    <cellStyle name="Обычный 10 4 5 2 2 2 2 6" xfId="4921"/>
    <cellStyle name="Обычный 10 4 5 2 2 2 3" xfId="4922"/>
    <cellStyle name="Обычный 10 4 5 2 2 2 3 2" xfId="4923"/>
    <cellStyle name="Обычный 10 4 5 2 2 2 3 3" xfId="4924"/>
    <cellStyle name="Обычный 10 4 5 2 2 2 4" xfId="4925"/>
    <cellStyle name="Обычный 10 4 5 2 2 2 4 2" xfId="4926"/>
    <cellStyle name="Обычный 10 4 5 2 2 2 4 3" xfId="4927"/>
    <cellStyle name="Обычный 10 4 5 2 2 2 5" xfId="4928"/>
    <cellStyle name="Обычный 10 4 5 2 2 2 5 2" xfId="4929"/>
    <cellStyle name="Обычный 10 4 5 2 2 2 6" xfId="4930"/>
    <cellStyle name="Обычный 10 4 5 2 2 2 7" xfId="4931"/>
    <cellStyle name="Обычный 10 4 5 2 2 3" xfId="4932"/>
    <cellStyle name="Обычный 10 4 5 2 2 3 2" xfId="4933"/>
    <cellStyle name="Обычный 10 4 5 2 2 3 2 2" xfId="4934"/>
    <cellStyle name="Обычный 10 4 5 2 2 3 2 3" xfId="4935"/>
    <cellStyle name="Обычный 10 4 5 2 2 3 3" xfId="4936"/>
    <cellStyle name="Обычный 10 4 5 2 2 3 3 2" xfId="4937"/>
    <cellStyle name="Обычный 10 4 5 2 2 3 3 3" xfId="4938"/>
    <cellStyle name="Обычный 10 4 5 2 2 3 4" xfId="4939"/>
    <cellStyle name="Обычный 10 4 5 2 2 3 4 2" xfId="4940"/>
    <cellStyle name="Обычный 10 4 5 2 2 3 5" xfId="4941"/>
    <cellStyle name="Обычный 10 4 5 2 2 3 6" xfId="4942"/>
    <cellStyle name="Обычный 10 4 5 2 2 4" xfId="4943"/>
    <cellStyle name="Обычный 10 4 5 2 2 4 2" xfId="4944"/>
    <cellStyle name="Обычный 10 4 5 2 2 4 3" xfId="4945"/>
    <cellStyle name="Обычный 10 4 5 2 2 5" xfId="4946"/>
    <cellStyle name="Обычный 10 4 5 2 2 5 2" xfId="4947"/>
    <cellStyle name="Обычный 10 4 5 2 2 5 3" xfId="4948"/>
    <cellStyle name="Обычный 10 4 5 2 2 6" xfId="4949"/>
    <cellStyle name="Обычный 10 4 5 2 2 6 2" xfId="4950"/>
    <cellStyle name="Обычный 10 4 5 2 2 7" xfId="4951"/>
    <cellStyle name="Обычный 10 4 5 2 2 8" xfId="4952"/>
    <cellStyle name="Обычный 10 4 5 2 3" xfId="4953"/>
    <cellStyle name="Обычный 10 4 5 2 3 2" xfId="4954"/>
    <cellStyle name="Обычный 10 4 5 2 3 2 2" xfId="4955"/>
    <cellStyle name="Обычный 10 4 5 2 3 2 2 2" xfId="4956"/>
    <cellStyle name="Обычный 10 4 5 2 3 2 2 3" xfId="4957"/>
    <cellStyle name="Обычный 10 4 5 2 3 2 3" xfId="4958"/>
    <cellStyle name="Обычный 10 4 5 2 3 2 3 2" xfId="4959"/>
    <cellStyle name="Обычный 10 4 5 2 3 2 3 3" xfId="4960"/>
    <cellStyle name="Обычный 10 4 5 2 3 2 4" xfId="4961"/>
    <cellStyle name="Обычный 10 4 5 2 3 2 4 2" xfId="4962"/>
    <cellStyle name="Обычный 10 4 5 2 3 2 5" xfId="4963"/>
    <cellStyle name="Обычный 10 4 5 2 3 2 6" xfId="4964"/>
    <cellStyle name="Обычный 10 4 5 2 3 3" xfId="4965"/>
    <cellStyle name="Обычный 10 4 5 2 3 3 2" xfId="4966"/>
    <cellStyle name="Обычный 10 4 5 2 3 3 3" xfId="4967"/>
    <cellStyle name="Обычный 10 4 5 2 3 4" xfId="4968"/>
    <cellStyle name="Обычный 10 4 5 2 3 4 2" xfId="4969"/>
    <cellStyle name="Обычный 10 4 5 2 3 4 3" xfId="4970"/>
    <cellStyle name="Обычный 10 4 5 2 3 5" xfId="4971"/>
    <cellStyle name="Обычный 10 4 5 2 3 5 2" xfId="4972"/>
    <cellStyle name="Обычный 10 4 5 2 3 6" xfId="4973"/>
    <cellStyle name="Обычный 10 4 5 2 3 7" xfId="4974"/>
    <cellStyle name="Обычный 10 4 5 2 4" xfId="4975"/>
    <cellStyle name="Обычный 10 4 5 2 4 2" xfId="4976"/>
    <cellStyle name="Обычный 10 4 5 2 4 2 2" xfId="4977"/>
    <cellStyle name="Обычный 10 4 5 2 4 2 3" xfId="4978"/>
    <cellStyle name="Обычный 10 4 5 2 4 3" xfId="4979"/>
    <cellStyle name="Обычный 10 4 5 2 4 3 2" xfId="4980"/>
    <cellStyle name="Обычный 10 4 5 2 4 3 3" xfId="4981"/>
    <cellStyle name="Обычный 10 4 5 2 4 4" xfId="4982"/>
    <cellStyle name="Обычный 10 4 5 2 4 4 2" xfId="4983"/>
    <cellStyle name="Обычный 10 4 5 2 4 5" xfId="4984"/>
    <cellStyle name="Обычный 10 4 5 2 4 6" xfId="4985"/>
    <cellStyle name="Обычный 10 4 5 2 5" xfId="4986"/>
    <cellStyle name="Обычный 10 4 5 2 5 2" xfId="4987"/>
    <cellStyle name="Обычный 10 4 5 2 5 3" xfId="4988"/>
    <cellStyle name="Обычный 10 4 5 2 6" xfId="4989"/>
    <cellStyle name="Обычный 10 4 5 2 6 2" xfId="4990"/>
    <cellStyle name="Обычный 10 4 5 2 6 3" xfId="4991"/>
    <cellStyle name="Обычный 10 4 5 2 7" xfId="4992"/>
    <cellStyle name="Обычный 10 4 5 2 7 2" xfId="4993"/>
    <cellStyle name="Обычный 10 4 5 2 8" xfId="4994"/>
    <cellStyle name="Обычный 10 4 5 2 9" xfId="4995"/>
    <cellStyle name="Обычный 10 4 5 3" xfId="4996"/>
    <cellStyle name="Обычный 10 4 5 3 2" xfId="4997"/>
    <cellStyle name="Обычный 10 4 5 3 2 2" xfId="4998"/>
    <cellStyle name="Обычный 10 4 5 3 2 2 2" xfId="4999"/>
    <cellStyle name="Обычный 10 4 5 3 2 2 2 2" xfId="5000"/>
    <cellStyle name="Обычный 10 4 5 3 2 2 2 3" xfId="5001"/>
    <cellStyle name="Обычный 10 4 5 3 2 2 3" xfId="5002"/>
    <cellStyle name="Обычный 10 4 5 3 2 2 3 2" xfId="5003"/>
    <cellStyle name="Обычный 10 4 5 3 2 2 3 3" xfId="5004"/>
    <cellStyle name="Обычный 10 4 5 3 2 2 4" xfId="5005"/>
    <cellStyle name="Обычный 10 4 5 3 2 2 4 2" xfId="5006"/>
    <cellStyle name="Обычный 10 4 5 3 2 2 5" xfId="5007"/>
    <cellStyle name="Обычный 10 4 5 3 2 2 6" xfId="5008"/>
    <cellStyle name="Обычный 10 4 5 3 2 3" xfId="5009"/>
    <cellStyle name="Обычный 10 4 5 3 2 3 2" xfId="5010"/>
    <cellStyle name="Обычный 10 4 5 3 2 3 3" xfId="5011"/>
    <cellStyle name="Обычный 10 4 5 3 2 4" xfId="5012"/>
    <cellStyle name="Обычный 10 4 5 3 2 4 2" xfId="5013"/>
    <cellStyle name="Обычный 10 4 5 3 2 4 3" xfId="5014"/>
    <cellStyle name="Обычный 10 4 5 3 2 5" xfId="5015"/>
    <cellStyle name="Обычный 10 4 5 3 2 5 2" xfId="5016"/>
    <cellStyle name="Обычный 10 4 5 3 2 6" xfId="5017"/>
    <cellStyle name="Обычный 10 4 5 3 2 7" xfId="5018"/>
    <cellStyle name="Обычный 10 4 5 3 3" xfId="5019"/>
    <cellStyle name="Обычный 10 4 5 3 3 2" xfId="5020"/>
    <cellStyle name="Обычный 10 4 5 3 3 2 2" xfId="5021"/>
    <cellStyle name="Обычный 10 4 5 3 3 2 3" xfId="5022"/>
    <cellStyle name="Обычный 10 4 5 3 3 3" xfId="5023"/>
    <cellStyle name="Обычный 10 4 5 3 3 3 2" xfId="5024"/>
    <cellStyle name="Обычный 10 4 5 3 3 3 3" xfId="5025"/>
    <cellStyle name="Обычный 10 4 5 3 3 4" xfId="5026"/>
    <cellStyle name="Обычный 10 4 5 3 3 4 2" xfId="5027"/>
    <cellStyle name="Обычный 10 4 5 3 3 5" xfId="5028"/>
    <cellStyle name="Обычный 10 4 5 3 3 6" xfId="5029"/>
    <cellStyle name="Обычный 10 4 5 3 4" xfId="5030"/>
    <cellStyle name="Обычный 10 4 5 3 4 2" xfId="5031"/>
    <cellStyle name="Обычный 10 4 5 3 4 3" xfId="5032"/>
    <cellStyle name="Обычный 10 4 5 3 5" xfId="5033"/>
    <cellStyle name="Обычный 10 4 5 3 5 2" xfId="5034"/>
    <cellStyle name="Обычный 10 4 5 3 5 3" xfId="5035"/>
    <cellStyle name="Обычный 10 4 5 3 6" xfId="5036"/>
    <cellStyle name="Обычный 10 4 5 3 6 2" xfId="5037"/>
    <cellStyle name="Обычный 10 4 5 3 7" xfId="5038"/>
    <cellStyle name="Обычный 10 4 5 3 8" xfId="5039"/>
    <cellStyle name="Обычный 10 4 5 4" xfId="5040"/>
    <cellStyle name="Обычный 10 4 5 4 2" xfId="5041"/>
    <cellStyle name="Обычный 10 4 5 4 2 2" xfId="5042"/>
    <cellStyle name="Обычный 10 4 5 4 2 2 2" xfId="5043"/>
    <cellStyle name="Обычный 10 4 5 4 2 2 3" xfId="5044"/>
    <cellStyle name="Обычный 10 4 5 4 2 3" xfId="5045"/>
    <cellStyle name="Обычный 10 4 5 4 2 3 2" xfId="5046"/>
    <cellStyle name="Обычный 10 4 5 4 2 3 3" xfId="5047"/>
    <cellStyle name="Обычный 10 4 5 4 2 4" xfId="5048"/>
    <cellStyle name="Обычный 10 4 5 4 2 4 2" xfId="5049"/>
    <cellStyle name="Обычный 10 4 5 4 2 5" xfId="5050"/>
    <cellStyle name="Обычный 10 4 5 4 2 6" xfId="5051"/>
    <cellStyle name="Обычный 10 4 5 4 3" xfId="5052"/>
    <cellStyle name="Обычный 10 4 5 4 3 2" xfId="5053"/>
    <cellStyle name="Обычный 10 4 5 4 3 3" xfId="5054"/>
    <cellStyle name="Обычный 10 4 5 4 4" xfId="5055"/>
    <cellStyle name="Обычный 10 4 5 4 4 2" xfId="5056"/>
    <cellStyle name="Обычный 10 4 5 4 4 3" xfId="5057"/>
    <cellStyle name="Обычный 10 4 5 4 5" xfId="5058"/>
    <cellStyle name="Обычный 10 4 5 4 5 2" xfId="5059"/>
    <cellStyle name="Обычный 10 4 5 4 6" xfId="5060"/>
    <cellStyle name="Обычный 10 4 5 4 7" xfId="5061"/>
    <cellStyle name="Обычный 10 4 5 5" xfId="5062"/>
    <cellStyle name="Обычный 10 4 5 5 2" xfId="5063"/>
    <cellStyle name="Обычный 10 4 5 5 2 2" xfId="5064"/>
    <cellStyle name="Обычный 10 4 5 5 2 3" xfId="5065"/>
    <cellStyle name="Обычный 10 4 5 5 3" xfId="5066"/>
    <cellStyle name="Обычный 10 4 5 5 3 2" xfId="5067"/>
    <cellStyle name="Обычный 10 4 5 5 3 3" xfId="5068"/>
    <cellStyle name="Обычный 10 4 5 5 4" xfId="5069"/>
    <cellStyle name="Обычный 10 4 5 5 4 2" xfId="5070"/>
    <cellStyle name="Обычный 10 4 5 5 5" xfId="5071"/>
    <cellStyle name="Обычный 10 4 5 5 6" xfId="5072"/>
    <cellStyle name="Обычный 10 4 5 6" xfId="5073"/>
    <cellStyle name="Обычный 10 4 5 6 2" xfId="5074"/>
    <cellStyle name="Обычный 10 4 5 6 3" xfId="5075"/>
    <cellStyle name="Обычный 10 4 5 7" xfId="5076"/>
    <cellStyle name="Обычный 10 4 5 7 2" xfId="5077"/>
    <cellStyle name="Обычный 10 4 5 7 3" xfId="5078"/>
    <cellStyle name="Обычный 10 4 5 8" xfId="5079"/>
    <cellStyle name="Обычный 10 4 5 8 2" xfId="5080"/>
    <cellStyle name="Обычный 10 4 5 9" xfId="5081"/>
    <cellStyle name="Обычный 10 4 6" xfId="5082"/>
    <cellStyle name="Обычный 10 4 6 2" xfId="5083"/>
    <cellStyle name="Обычный 10 4 6 2 2" xfId="5084"/>
    <cellStyle name="Обычный 10 4 6 2 2 2" xfId="5085"/>
    <cellStyle name="Обычный 10 4 6 2 2 2 2" xfId="5086"/>
    <cellStyle name="Обычный 10 4 6 2 2 2 2 2" xfId="5087"/>
    <cellStyle name="Обычный 10 4 6 2 2 2 2 3" xfId="5088"/>
    <cellStyle name="Обычный 10 4 6 2 2 2 3" xfId="5089"/>
    <cellStyle name="Обычный 10 4 6 2 2 2 3 2" xfId="5090"/>
    <cellStyle name="Обычный 10 4 6 2 2 2 3 3" xfId="5091"/>
    <cellStyle name="Обычный 10 4 6 2 2 2 4" xfId="5092"/>
    <cellStyle name="Обычный 10 4 6 2 2 2 4 2" xfId="5093"/>
    <cellStyle name="Обычный 10 4 6 2 2 2 5" xfId="5094"/>
    <cellStyle name="Обычный 10 4 6 2 2 2 6" xfId="5095"/>
    <cellStyle name="Обычный 10 4 6 2 2 3" xfId="5096"/>
    <cellStyle name="Обычный 10 4 6 2 2 3 2" xfId="5097"/>
    <cellStyle name="Обычный 10 4 6 2 2 3 3" xfId="5098"/>
    <cellStyle name="Обычный 10 4 6 2 2 4" xfId="5099"/>
    <cellStyle name="Обычный 10 4 6 2 2 4 2" xfId="5100"/>
    <cellStyle name="Обычный 10 4 6 2 2 4 3" xfId="5101"/>
    <cellStyle name="Обычный 10 4 6 2 2 5" xfId="5102"/>
    <cellStyle name="Обычный 10 4 6 2 2 5 2" xfId="5103"/>
    <cellStyle name="Обычный 10 4 6 2 2 6" xfId="5104"/>
    <cellStyle name="Обычный 10 4 6 2 2 7" xfId="5105"/>
    <cellStyle name="Обычный 10 4 6 2 3" xfId="5106"/>
    <cellStyle name="Обычный 10 4 6 2 3 2" xfId="5107"/>
    <cellStyle name="Обычный 10 4 6 2 3 2 2" xfId="5108"/>
    <cellStyle name="Обычный 10 4 6 2 3 2 3" xfId="5109"/>
    <cellStyle name="Обычный 10 4 6 2 3 3" xfId="5110"/>
    <cellStyle name="Обычный 10 4 6 2 3 3 2" xfId="5111"/>
    <cellStyle name="Обычный 10 4 6 2 3 3 3" xfId="5112"/>
    <cellStyle name="Обычный 10 4 6 2 3 4" xfId="5113"/>
    <cellStyle name="Обычный 10 4 6 2 3 4 2" xfId="5114"/>
    <cellStyle name="Обычный 10 4 6 2 3 5" xfId="5115"/>
    <cellStyle name="Обычный 10 4 6 2 3 6" xfId="5116"/>
    <cellStyle name="Обычный 10 4 6 2 4" xfId="5117"/>
    <cellStyle name="Обычный 10 4 6 2 4 2" xfId="5118"/>
    <cellStyle name="Обычный 10 4 6 2 4 3" xfId="5119"/>
    <cellStyle name="Обычный 10 4 6 2 5" xfId="5120"/>
    <cellStyle name="Обычный 10 4 6 2 5 2" xfId="5121"/>
    <cellStyle name="Обычный 10 4 6 2 5 3" xfId="5122"/>
    <cellStyle name="Обычный 10 4 6 2 6" xfId="5123"/>
    <cellStyle name="Обычный 10 4 6 2 6 2" xfId="5124"/>
    <cellStyle name="Обычный 10 4 6 2 7" xfId="5125"/>
    <cellStyle name="Обычный 10 4 6 2 8" xfId="5126"/>
    <cellStyle name="Обычный 10 4 6 3" xfId="5127"/>
    <cellStyle name="Обычный 10 4 6 3 2" xfId="5128"/>
    <cellStyle name="Обычный 10 4 6 3 2 2" xfId="5129"/>
    <cellStyle name="Обычный 10 4 6 3 2 2 2" xfId="5130"/>
    <cellStyle name="Обычный 10 4 6 3 2 2 3" xfId="5131"/>
    <cellStyle name="Обычный 10 4 6 3 2 3" xfId="5132"/>
    <cellStyle name="Обычный 10 4 6 3 2 3 2" xfId="5133"/>
    <cellStyle name="Обычный 10 4 6 3 2 3 3" xfId="5134"/>
    <cellStyle name="Обычный 10 4 6 3 2 4" xfId="5135"/>
    <cellStyle name="Обычный 10 4 6 3 2 4 2" xfId="5136"/>
    <cellStyle name="Обычный 10 4 6 3 2 5" xfId="5137"/>
    <cellStyle name="Обычный 10 4 6 3 2 6" xfId="5138"/>
    <cellStyle name="Обычный 10 4 6 3 3" xfId="5139"/>
    <cellStyle name="Обычный 10 4 6 3 3 2" xfId="5140"/>
    <cellStyle name="Обычный 10 4 6 3 3 3" xfId="5141"/>
    <cellStyle name="Обычный 10 4 6 3 4" xfId="5142"/>
    <cellStyle name="Обычный 10 4 6 3 4 2" xfId="5143"/>
    <cellStyle name="Обычный 10 4 6 3 4 3" xfId="5144"/>
    <cellStyle name="Обычный 10 4 6 3 5" xfId="5145"/>
    <cellStyle name="Обычный 10 4 6 3 5 2" xfId="5146"/>
    <cellStyle name="Обычный 10 4 6 3 6" xfId="5147"/>
    <cellStyle name="Обычный 10 4 6 3 7" xfId="5148"/>
    <cellStyle name="Обычный 10 4 6 4" xfId="5149"/>
    <cellStyle name="Обычный 10 4 6 4 2" xfId="5150"/>
    <cellStyle name="Обычный 10 4 6 4 2 2" xfId="5151"/>
    <cellStyle name="Обычный 10 4 6 4 2 3" xfId="5152"/>
    <cellStyle name="Обычный 10 4 6 4 3" xfId="5153"/>
    <cellStyle name="Обычный 10 4 6 4 3 2" xfId="5154"/>
    <cellStyle name="Обычный 10 4 6 4 3 3" xfId="5155"/>
    <cellStyle name="Обычный 10 4 6 4 4" xfId="5156"/>
    <cellStyle name="Обычный 10 4 6 4 4 2" xfId="5157"/>
    <cellStyle name="Обычный 10 4 6 4 5" xfId="5158"/>
    <cellStyle name="Обычный 10 4 6 4 6" xfId="5159"/>
    <cellStyle name="Обычный 10 4 6 5" xfId="5160"/>
    <cellStyle name="Обычный 10 4 6 5 2" xfId="5161"/>
    <cellStyle name="Обычный 10 4 6 5 3" xfId="5162"/>
    <cellStyle name="Обычный 10 4 6 6" xfId="5163"/>
    <cellStyle name="Обычный 10 4 6 6 2" xfId="5164"/>
    <cellStyle name="Обычный 10 4 6 6 3" xfId="5165"/>
    <cellStyle name="Обычный 10 4 6 7" xfId="5166"/>
    <cellStyle name="Обычный 10 4 6 7 2" xfId="5167"/>
    <cellStyle name="Обычный 10 4 6 8" xfId="5168"/>
    <cellStyle name="Обычный 10 4 6 9" xfId="5169"/>
    <cellStyle name="Обычный 10 4 7" xfId="5170"/>
    <cellStyle name="Обычный 10 4 7 2" xfId="5171"/>
    <cellStyle name="Обычный 10 4 7 2 2" xfId="5172"/>
    <cellStyle name="Обычный 10 4 7 2 2 2" xfId="5173"/>
    <cellStyle name="Обычный 10 4 7 2 2 2 2" xfId="5174"/>
    <cellStyle name="Обычный 10 4 7 2 2 2 3" xfId="5175"/>
    <cellStyle name="Обычный 10 4 7 2 2 3" xfId="5176"/>
    <cellStyle name="Обычный 10 4 7 2 2 3 2" xfId="5177"/>
    <cellStyle name="Обычный 10 4 7 2 2 3 3" xfId="5178"/>
    <cellStyle name="Обычный 10 4 7 2 2 4" xfId="5179"/>
    <cellStyle name="Обычный 10 4 7 2 2 4 2" xfId="5180"/>
    <cellStyle name="Обычный 10 4 7 2 2 5" xfId="5181"/>
    <cellStyle name="Обычный 10 4 7 2 2 6" xfId="5182"/>
    <cellStyle name="Обычный 10 4 7 2 3" xfId="5183"/>
    <cellStyle name="Обычный 10 4 7 2 3 2" xfId="5184"/>
    <cellStyle name="Обычный 10 4 7 2 3 3" xfId="5185"/>
    <cellStyle name="Обычный 10 4 7 2 4" xfId="5186"/>
    <cellStyle name="Обычный 10 4 7 2 4 2" xfId="5187"/>
    <cellStyle name="Обычный 10 4 7 2 4 3" xfId="5188"/>
    <cellStyle name="Обычный 10 4 7 2 5" xfId="5189"/>
    <cellStyle name="Обычный 10 4 7 2 5 2" xfId="5190"/>
    <cellStyle name="Обычный 10 4 7 2 6" xfId="5191"/>
    <cellStyle name="Обычный 10 4 7 2 7" xfId="5192"/>
    <cellStyle name="Обычный 10 4 7 3" xfId="5193"/>
    <cellStyle name="Обычный 10 4 7 3 2" xfId="5194"/>
    <cellStyle name="Обычный 10 4 7 3 2 2" xfId="5195"/>
    <cellStyle name="Обычный 10 4 7 3 2 3" xfId="5196"/>
    <cellStyle name="Обычный 10 4 7 3 3" xfId="5197"/>
    <cellStyle name="Обычный 10 4 7 3 3 2" xfId="5198"/>
    <cellStyle name="Обычный 10 4 7 3 3 3" xfId="5199"/>
    <cellStyle name="Обычный 10 4 7 3 4" xfId="5200"/>
    <cellStyle name="Обычный 10 4 7 3 4 2" xfId="5201"/>
    <cellStyle name="Обычный 10 4 7 3 5" xfId="5202"/>
    <cellStyle name="Обычный 10 4 7 3 6" xfId="5203"/>
    <cellStyle name="Обычный 10 4 7 4" xfId="5204"/>
    <cellStyle name="Обычный 10 4 7 4 2" xfId="5205"/>
    <cellStyle name="Обычный 10 4 7 4 3" xfId="5206"/>
    <cellStyle name="Обычный 10 4 7 5" xfId="5207"/>
    <cellStyle name="Обычный 10 4 7 5 2" xfId="5208"/>
    <cellStyle name="Обычный 10 4 7 5 3" xfId="5209"/>
    <cellStyle name="Обычный 10 4 7 6" xfId="5210"/>
    <cellStyle name="Обычный 10 4 7 6 2" xfId="5211"/>
    <cellStyle name="Обычный 10 4 7 7" xfId="5212"/>
    <cellStyle name="Обычный 10 4 7 8" xfId="5213"/>
    <cellStyle name="Обычный 10 4 8" xfId="5214"/>
    <cellStyle name="Обычный 10 4 8 2" xfId="5215"/>
    <cellStyle name="Обычный 10 4 8 2 2" xfId="5216"/>
    <cellStyle name="Обычный 10 4 8 2 2 2" xfId="5217"/>
    <cellStyle name="Обычный 10 4 8 2 2 3" xfId="5218"/>
    <cellStyle name="Обычный 10 4 8 2 3" xfId="5219"/>
    <cellStyle name="Обычный 10 4 8 2 3 2" xfId="5220"/>
    <cellStyle name="Обычный 10 4 8 2 3 3" xfId="5221"/>
    <cellStyle name="Обычный 10 4 8 2 4" xfId="5222"/>
    <cellStyle name="Обычный 10 4 8 2 4 2" xfId="5223"/>
    <cellStyle name="Обычный 10 4 8 2 5" xfId="5224"/>
    <cellStyle name="Обычный 10 4 8 2 6" xfId="5225"/>
    <cellStyle name="Обычный 10 4 8 3" xfId="5226"/>
    <cellStyle name="Обычный 10 4 8 3 2" xfId="5227"/>
    <cellStyle name="Обычный 10 4 8 3 3" xfId="5228"/>
    <cellStyle name="Обычный 10 4 8 4" xfId="5229"/>
    <cellStyle name="Обычный 10 4 8 4 2" xfId="5230"/>
    <cellStyle name="Обычный 10 4 8 4 3" xfId="5231"/>
    <cellStyle name="Обычный 10 4 8 5" xfId="5232"/>
    <cellStyle name="Обычный 10 4 8 5 2" xfId="5233"/>
    <cellStyle name="Обычный 10 4 8 6" xfId="5234"/>
    <cellStyle name="Обычный 10 4 8 7" xfId="5235"/>
    <cellStyle name="Обычный 10 4 9" xfId="5236"/>
    <cellStyle name="Обычный 10 4 9 2" xfId="5237"/>
    <cellStyle name="Обычный 10 4 9 2 2" xfId="5238"/>
    <cellStyle name="Обычный 10 4 9 2 3" xfId="5239"/>
    <cellStyle name="Обычный 10 4 9 3" xfId="5240"/>
    <cellStyle name="Обычный 10 4 9 3 2" xfId="5241"/>
    <cellStyle name="Обычный 10 4 9 3 3" xfId="5242"/>
    <cellStyle name="Обычный 10 4 9 4" xfId="5243"/>
    <cellStyle name="Обычный 10 4 9 4 2" xfId="5244"/>
    <cellStyle name="Обычный 10 4 9 5" xfId="5245"/>
    <cellStyle name="Обычный 10 4 9 6" xfId="5246"/>
    <cellStyle name="Обычный 10 5" xfId="5247"/>
    <cellStyle name="Обычный 10 5 10" xfId="5248"/>
    <cellStyle name="Обычный 10 5 10 2" xfId="5249"/>
    <cellStyle name="Обычный 10 5 10 3" xfId="5250"/>
    <cellStyle name="Обычный 10 5 11" xfId="5251"/>
    <cellStyle name="Обычный 10 5 11 2" xfId="5252"/>
    <cellStyle name="Обычный 10 5 11 3" xfId="5253"/>
    <cellStyle name="Обычный 10 5 12" xfId="5254"/>
    <cellStyle name="Обычный 10 5 12 2" xfId="5255"/>
    <cellStyle name="Обычный 10 5 13" xfId="5256"/>
    <cellStyle name="Обычный 10 5 14" xfId="5257"/>
    <cellStyle name="Обычный 10 5 2" xfId="5258"/>
    <cellStyle name="Обычный 10 5 2 10" xfId="5259"/>
    <cellStyle name="Обычный 10 5 2 10 2" xfId="5260"/>
    <cellStyle name="Обычный 10 5 2 10 3" xfId="5261"/>
    <cellStyle name="Обычный 10 5 2 11" xfId="5262"/>
    <cellStyle name="Обычный 10 5 2 11 2" xfId="5263"/>
    <cellStyle name="Обычный 10 5 2 12" xfId="5264"/>
    <cellStyle name="Обычный 10 5 2 13" xfId="5265"/>
    <cellStyle name="Обычный 10 5 2 2" xfId="5266"/>
    <cellStyle name="Обычный 10 5 2 2 10" xfId="5267"/>
    <cellStyle name="Обычный 10 5 2 2 2" xfId="5268"/>
    <cellStyle name="Обычный 10 5 2 2 2 2" xfId="5269"/>
    <cellStyle name="Обычный 10 5 2 2 2 2 2" xfId="5270"/>
    <cellStyle name="Обычный 10 5 2 2 2 2 2 2" xfId="5271"/>
    <cellStyle name="Обычный 10 5 2 2 2 2 2 2 2" xfId="5272"/>
    <cellStyle name="Обычный 10 5 2 2 2 2 2 2 2 2" xfId="5273"/>
    <cellStyle name="Обычный 10 5 2 2 2 2 2 2 2 3" xfId="5274"/>
    <cellStyle name="Обычный 10 5 2 2 2 2 2 2 3" xfId="5275"/>
    <cellStyle name="Обычный 10 5 2 2 2 2 2 2 3 2" xfId="5276"/>
    <cellStyle name="Обычный 10 5 2 2 2 2 2 2 3 3" xfId="5277"/>
    <cellStyle name="Обычный 10 5 2 2 2 2 2 2 4" xfId="5278"/>
    <cellStyle name="Обычный 10 5 2 2 2 2 2 2 4 2" xfId="5279"/>
    <cellStyle name="Обычный 10 5 2 2 2 2 2 2 5" xfId="5280"/>
    <cellStyle name="Обычный 10 5 2 2 2 2 2 2 6" xfId="5281"/>
    <cellStyle name="Обычный 10 5 2 2 2 2 2 3" xfId="5282"/>
    <cellStyle name="Обычный 10 5 2 2 2 2 2 3 2" xfId="5283"/>
    <cellStyle name="Обычный 10 5 2 2 2 2 2 3 3" xfId="5284"/>
    <cellStyle name="Обычный 10 5 2 2 2 2 2 4" xfId="5285"/>
    <cellStyle name="Обычный 10 5 2 2 2 2 2 4 2" xfId="5286"/>
    <cellStyle name="Обычный 10 5 2 2 2 2 2 4 3" xfId="5287"/>
    <cellStyle name="Обычный 10 5 2 2 2 2 2 5" xfId="5288"/>
    <cellStyle name="Обычный 10 5 2 2 2 2 2 5 2" xfId="5289"/>
    <cellStyle name="Обычный 10 5 2 2 2 2 2 6" xfId="5290"/>
    <cellStyle name="Обычный 10 5 2 2 2 2 2 7" xfId="5291"/>
    <cellStyle name="Обычный 10 5 2 2 2 2 3" xfId="5292"/>
    <cellStyle name="Обычный 10 5 2 2 2 2 3 2" xfId="5293"/>
    <cellStyle name="Обычный 10 5 2 2 2 2 3 2 2" xfId="5294"/>
    <cellStyle name="Обычный 10 5 2 2 2 2 3 2 3" xfId="5295"/>
    <cellStyle name="Обычный 10 5 2 2 2 2 3 3" xfId="5296"/>
    <cellStyle name="Обычный 10 5 2 2 2 2 3 3 2" xfId="5297"/>
    <cellStyle name="Обычный 10 5 2 2 2 2 3 3 3" xfId="5298"/>
    <cellStyle name="Обычный 10 5 2 2 2 2 3 4" xfId="5299"/>
    <cellStyle name="Обычный 10 5 2 2 2 2 3 4 2" xfId="5300"/>
    <cellStyle name="Обычный 10 5 2 2 2 2 3 5" xfId="5301"/>
    <cellStyle name="Обычный 10 5 2 2 2 2 3 6" xfId="5302"/>
    <cellStyle name="Обычный 10 5 2 2 2 2 4" xfId="5303"/>
    <cellStyle name="Обычный 10 5 2 2 2 2 4 2" xfId="5304"/>
    <cellStyle name="Обычный 10 5 2 2 2 2 4 3" xfId="5305"/>
    <cellStyle name="Обычный 10 5 2 2 2 2 5" xfId="5306"/>
    <cellStyle name="Обычный 10 5 2 2 2 2 5 2" xfId="5307"/>
    <cellStyle name="Обычный 10 5 2 2 2 2 5 3" xfId="5308"/>
    <cellStyle name="Обычный 10 5 2 2 2 2 6" xfId="5309"/>
    <cellStyle name="Обычный 10 5 2 2 2 2 6 2" xfId="5310"/>
    <cellStyle name="Обычный 10 5 2 2 2 2 7" xfId="5311"/>
    <cellStyle name="Обычный 10 5 2 2 2 2 8" xfId="5312"/>
    <cellStyle name="Обычный 10 5 2 2 2 3" xfId="5313"/>
    <cellStyle name="Обычный 10 5 2 2 2 3 2" xfId="5314"/>
    <cellStyle name="Обычный 10 5 2 2 2 3 2 2" xfId="5315"/>
    <cellStyle name="Обычный 10 5 2 2 2 3 2 2 2" xfId="5316"/>
    <cellStyle name="Обычный 10 5 2 2 2 3 2 2 3" xfId="5317"/>
    <cellStyle name="Обычный 10 5 2 2 2 3 2 3" xfId="5318"/>
    <cellStyle name="Обычный 10 5 2 2 2 3 2 3 2" xfId="5319"/>
    <cellStyle name="Обычный 10 5 2 2 2 3 2 3 3" xfId="5320"/>
    <cellStyle name="Обычный 10 5 2 2 2 3 2 4" xfId="5321"/>
    <cellStyle name="Обычный 10 5 2 2 2 3 2 4 2" xfId="5322"/>
    <cellStyle name="Обычный 10 5 2 2 2 3 2 5" xfId="5323"/>
    <cellStyle name="Обычный 10 5 2 2 2 3 2 6" xfId="5324"/>
    <cellStyle name="Обычный 10 5 2 2 2 3 3" xfId="5325"/>
    <cellStyle name="Обычный 10 5 2 2 2 3 3 2" xfId="5326"/>
    <cellStyle name="Обычный 10 5 2 2 2 3 3 3" xfId="5327"/>
    <cellStyle name="Обычный 10 5 2 2 2 3 4" xfId="5328"/>
    <cellStyle name="Обычный 10 5 2 2 2 3 4 2" xfId="5329"/>
    <cellStyle name="Обычный 10 5 2 2 2 3 4 3" xfId="5330"/>
    <cellStyle name="Обычный 10 5 2 2 2 3 5" xfId="5331"/>
    <cellStyle name="Обычный 10 5 2 2 2 3 5 2" xfId="5332"/>
    <cellStyle name="Обычный 10 5 2 2 2 3 6" xfId="5333"/>
    <cellStyle name="Обычный 10 5 2 2 2 3 7" xfId="5334"/>
    <cellStyle name="Обычный 10 5 2 2 2 4" xfId="5335"/>
    <cellStyle name="Обычный 10 5 2 2 2 4 2" xfId="5336"/>
    <cellStyle name="Обычный 10 5 2 2 2 4 2 2" xfId="5337"/>
    <cellStyle name="Обычный 10 5 2 2 2 4 2 3" xfId="5338"/>
    <cellStyle name="Обычный 10 5 2 2 2 4 3" xfId="5339"/>
    <cellStyle name="Обычный 10 5 2 2 2 4 3 2" xfId="5340"/>
    <cellStyle name="Обычный 10 5 2 2 2 4 3 3" xfId="5341"/>
    <cellStyle name="Обычный 10 5 2 2 2 4 4" xfId="5342"/>
    <cellStyle name="Обычный 10 5 2 2 2 4 4 2" xfId="5343"/>
    <cellStyle name="Обычный 10 5 2 2 2 4 5" xfId="5344"/>
    <cellStyle name="Обычный 10 5 2 2 2 4 6" xfId="5345"/>
    <cellStyle name="Обычный 10 5 2 2 2 5" xfId="5346"/>
    <cellStyle name="Обычный 10 5 2 2 2 5 2" xfId="5347"/>
    <cellStyle name="Обычный 10 5 2 2 2 5 3" xfId="5348"/>
    <cellStyle name="Обычный 10 5 2 2 2 6" xfId="5349"/>
    <cellStyle name="Обычный 10 5 2 2 2 6 2" xfId="5350"/>
    <cellStyle name="Обычный 10 5 2 2 2 6 3" xfId="5351"/>
    <cellStyle name="Обычный 10 5 2 2 2 7" xfId="5352"/>
    <cellStyle name="Обычный 10 5 2 2 2 7 2" xfId="5353"/>
    <cellStyle name="Обычный 10 5 2 2 2 8" xfId="5354"/>
    <cellStyle name="Обычный 10 5 2 2 2 9" xfId="5355"/>
    <cellStyle name="Обычный 10 5 2 2 3" xfId="5356"/>
    <cellStyle name="Обычный 10 5 2 2 3 2" xfId="5357"/>
    <cellStyle name="Обычный 10 5 2 2 3 2 2" xfId="5358"/>
    <cellStyle name="Обычный 10 5 2 2 3 2 2 2" xfId="5359"/>
    <cellStyle name="Обычный 10 5 2 2 3 2 2 2 2" xfId="5360"/>
    <cellStyle name="Обычный 10 5 2 2 3 2 2 2 3" xfId="5361"/>
    <cellStyle name="Обычный 10 5 2 2 3 2 2 3" xfId="5362"/>
    <cellStyle name="Обычный 10 5 2 2 3 2 2 3 2" xfId="5363"/>
    <cellStyle name="Обычный 10 5 2 2 3 2 2 3 3" xfId="5364"/>
    <cellStyle name="Обычный 10 5 2 2 3 2 2 4" xfId="5365"/>
    <cellStyle name="Обычный 10 5 2 2 3 2 2 4 2" xfId="5366"/>
    <cellStyle name="Обычный 10 5 2 2 3 2 2 5" xfId="5367"/>
    <cellStyle name="Обычный 10 5 2 2 3 2 2 6" xfId="5368"/>
    <cellStyle name="Обычный 10 5 2 2 3 2 3" xfId="5369"/>
    <cellStyle name="Обычный 10 5 2 2 3 2 3 2" xfId="5370"/>
    <cellStyle name="Обычный 10 5 2 2 3 2 3 3" xfId="5371"/>
    <cellStyle name="Обычный 10 5 2 2 3 2 4" xfId="5372"/>
    <cellStyle name="Обычный 10 5 2 2 3 2 4 2" xfId="5373"/>
    <cellStyle name="Обычный 10 5 2 2 3 2 4 3" xfId="5374"/>
    <cellStyle name="Обычный 10 5 2 2 3 2 5" xfId="5375"/>
    <cellStyle name="Обычный 10 5 2 2 3 2 5 2" xfId="5376"/>
    <cellStyle name="Обычный 10 5 2 2 3 2 6" xfId="5377"/>
    <cellStyle name="Обычный 10 5 2 2 3 2 7" xfId="5378"/>
    <cellStyle name="Обычный 10 5 2 2 3 3" xfId="5379"/>
    <cellStyle name="Обычный 10 5 2 2 3 3 2" xfId="5380"/>
    <cellStyle name="Обычный 10 5 2 2 3 3 2 2" xfId="5381"/>
    <cellStyle name="Обычный 10 5 2 2 3 3 2 3" xfId="5382"/>
    <cellStyle name="Обычный 10 5 2 2 3 3 3" xfId="5383"/>
    <cellStyle name="Обычный 10 5 2 2 3 3 3 2" xfId="5384"/>
    <cellStyle name="Обычный 10 5 2 2 3 3 3 3" xfId="5385"/>
    <cellStyle name="Обычный 10 5 2 2 3 3 4" xfId="5386"/>
    <cellStyle name="Обычный 10 5 2 2 3 3 4 2" xfId="5387"/>
    <cellStyle name="Обычный 10 5 2 2 3 3 5" xfId="5388"/>
    <cellStyle name="Обычный 10 5 2 2 3 3 6" xfId="5389"/>
    <cellStyle name="Обычный 10 5 2 2 3 4" xfId="5390"/>
    <cellStyle name="Обычный 10 5 2 2 3 4 2" xfId="5391"/>
    <cellStyle name="Обычный 10 5 2 2 3 4 3" xfId="5392"/>
    <cellStyle name="Обычный 10 5 2 2 3 5" xfId="5393"/>
    <cellStyle name="Обычный 10 5 2 2 3 5 2" xfId="5394"/>
    <cellStyle name="Обычный 10 5 2 2 3 5 3" xfId="5395"/>
    <cellStyle name="Обычный 10 5 2 2 3 6" xfId="5396"/>
    <cellStyle name="Обычный 10 5 2 2 3 6 2" xfId="5397"/>
    <cellStyle name="Обычный 10 5 2 2 3 7" xfId="5398"/>
    <cellStyle name="Обычный 10 5 2 2 3 8" xfId="5399"/>
    <cellStyle name="Обычный 10 5 2 2 4" xfId="5400"/>
    <cellStyle name="Обычный 10 5 2 2 4 2" xfId="5401"/>
    <cellStyle name="Обычный 10 5 2 2 4 2 2" xfId="5402"/>
    <cellStyle name="Обычный 10 5 2 2 4 2 2 2" xfId="5403"/>
    <cellStyle name="Обычный 10 5 2 2 4 2 2 3" xfId="5404"/>
    <cellStyle name="Обычный 10 5 2 2 4 2 3" xfId="5405"/>
    <cellStyle name="Обычный 10 5 2 2 4 2 3 2" xfId="5406"/>
    <cellStyle name="Обычный 10 5 2 2 4 2 3 3" xfId="5407"/>
    <cellStyle name="Обычный 10 5 2 2 4 2 4" xfId="5408"/>
    <cellStyle name="Обычный 10 5 2 2 4 2 4 2" xfId="5409"/>
    <cellStyle name="Обычный 10 5 2 2 4 2 5" xfId="5410"/>
    <cellStyle name="Обычный 10 5 2 2 4 2 6" xfId="5411"/>
    <cellStyle name="Обычный 10 5 2 2 4 3" xfId="5412"/>
    <cellStyle name="Обычный 10 5 2 2 4 3 2" xfId="5413"/>
    <cellStyle name="Обычный 10 5 2 2 4 3 3" xfId="5414"/>
    <cellStyle name="Обычный 10 5 2 2 4 4" xfId="5415"/>
    <cellStyle name="Обычный 10 5 2 2 4 4 2" xfId="5416"/>
    <cellStyle name="Обычный 10 5 2 2 4 4 3" xfId="5417"/>
    <cellStyle name="Обычный 10 5 2 2 4 5" xfId="5418"/>
    <cellStyle name="Обычный 10 5 2 2 4 5 2" xfId="5419"/>
    <cellStyle name="Обычный 10 5 2 2 4 6" xfId="5420"/>
    <cellStyle name="Обычный 10 5 2 2 4 7" xfId="5421"/>
    <cellStyle name="Обычный 10 5 2 2 5" xfId="5422"/>
    <cellStyle name="Обычный 10 5 2 2 5 2" xfId="5423"/>
    <cellStyle name="Обычный 10 5 2 2 5 2 2" xfId="5424"/>
    <cellStyle name="Обычный 10 5 2 2 5 2 3" xfId="5425"/>
    <cellStyle name="Обычный 10 5 2 2 5 3" xfId="5426"/>
    <cellStyle name="Обычный 10 5 2 2 5 3 2" xfId="5427"/>
    <cellStyle name="Обычный 10 5 2 2 5 3 3" xfId="5428"/>
    <cellStyle name="Обычный 10 5 2 2 5 4" xfId="5429"/>
    <cellStyle name="Обычный 10 5 2 2 5 4 2" xfId="5430"/>
    <cellStyle name="Обычный 10 5 2 2 5 5" xfId="5431"/>
    <cellStyle name="Обычный 10 5 2 2 5 6" xfId="5432"/>
    <cellStyle name="Обычный 10 5 2 2 6" xfId="5433"/>
    <cellStyle name="Обычный 10 5 2 2 6 2" xfId="5434"/>
    <cellStyle name="Обычный 10 5 2 2 6 3" xfId="5435"/>
    <cellStyle name="Обычный 10 5 2 2 7" xfId="5436"/>
    <cellStyle name="Обычный 10 5 2 2 7 2" xfId="5437"/>
    <cellStyle name="Обычный 10 5 2 2 7 3" xfId="5438"/>
    <cellStyle name="Обычный 10 5 2 2 8" xfId="5439"/>
    <cellStyle name="Обычный 10 5 2 2 8 2" xfId="5440"/>
    <cellStyle name="Обычный 10 5 2 2 9" xfId="5441"/>
    <cellStyle name="Обычный 10 5 2 3" xfId="5442"/>
    <cellStyle name="Обычный 10 5 2 3 10" xfId="5443"/>
    <cellStyle name="Обычный 10 5 2 3 2" xfId="5444"/>
    <cellStyle name="Обычный 10 5 2 3 2 2" xfId="5445"/>
    <cellStyle name="Обычный 10 5 2 3 2 2 2" xfId="5446"/>
    <cellStyle name="Обычный 10 5 2 3 2 2 2 2" xfId="5447"/>
    <cellStyle name="Обычный 10 5 2 3 2 2 2 2 2" xfId="5448"/>
    <cellStyle name="Обычный 10 5 2 3 2 2 2 2 2 2" xfId="5449"/>
    <cellStyle name="Обычный 10 5 2 3 2 2 2 2 2 3" xfId="5450"/>
    <cellStyle name="Обычный 10 5 2 3 2 2 2 2 3" xfId="5451"/>
    <cellStyle name="Обычный 10 5 2 3 2 2 2 2 3 2" xfId="5452"/>
    <cellStyle name="Обычный 10 5 2 3 2 2 2 2 3 3" xfId="5453"/>
    <cellStyle name="Обычный 10 5 2 3 2 2 2 2 4" xfId="5454"/>
    <cellStyle name="Обычный 10 5 2 3 2 2 2 2 4 2" xfId="5455"/>
    <cellStyle name="Обычный 10 5 2 3 2 2 2 2 5" xfId="5456"/>
    <cellStyle name="Обычный 10 5 2 3 2 2 2 2 6" xfId="5457"/>
    <cellStyle name="Обычный 10 5 2 3 2 2 2 3" xfId="5458"/>
    <cellStyle name="Обычный 10 5 2 3 2 2 2 3 2" xfId="5459"/>
    <cellStyle name="Обычный 10 5 2 3 2 2 2 3 3" xfId="5460"/>
    <cellStyle name="Обычный 10 5 2 3 2 2 2 4" xfId="5461"/>
    <cellStyle name="Обычный 10 5 2 3 2 2 2 4 2" xfId="5462"/>
    <cellStyle name="Обычный 10 5 2 3 2 2 2 4 3" xfId="5463"/>
    <cellStyle name="Обычный 10 5 2 3 2 2 2 5" xfId="5464"/>
    <cellStyle name="Обычный 10 5 2 3 2 2 2 5 2" xfId="5465"/>
    <cellStyle name="Обычный 10 5 2 3 2 2 2 6" xfId="5466"/>
    <cellStyle name="Обычный 10 5 2 3 2 2 2 7" xfId="5467"/>
    <cellStyle name="Обычный 10 5 2 3 2 2 3" xfId="5468"/>
    <cellStyle name="Обычный 10 5 2 3 2 2 3 2" xfId="5469"/>
    <cellStyle name="Обычный 10 5 2 3 2 2 3 2 2" xfId="5470"/>
    <cellStyle name="Обычный 10 5 2 3 2 2 3 2 3" xfId="5471"/>
    <cellStyle name="Обычный 10 5 2 3 2 2 3 3" xfId="5472"/>
    <cellStyle name="Обычный 10 5 2 3 2 2 3 3 2" xfId="5473"/>
    <cellStyle name="Обычный 10 5 2 3 2 2 3 3 3" xfId="5474"/>
    <cellStyle name="Обычный 10 5 2 3 2 2 3 4" xfId="5475"/>
    <cellStyle name="Обычный 10 5 2 3 2 2 3 4 2" xfId="5476"/>
    <cellStyle name="Обычный 10 5 2 3 2 2 3 5" xfId="5477"/>
    <cellStyle name="Обычный 10 5 2 3 2 2 3 6" xfId="5478"/>
    <cellStyle name="Обычный 10 5 2 3 2 2 4" xfId="5479"/>
    <cellStyle name="Обычный 10 5 2 3 2 2 4 2" xfId="5480"/>
    <cellStyle name="Обычный 10 5 2 3 2 2 4 3" xfId="5481"/>
    <cellStyle name="Обычный 10 5 2 3 2 2 5" xfId="5482"/>
    <cellStyle name="Обычный 10 5 2 3 2 2 5 2" xfId="5483"/>
    <cellStyle name="Обычный 10 5 2 3 2 2 5 3" xfId="5484"/>
    <cellStyle name="Обычный 10 5 2 3 2 2 6" xfId="5485"/>
    <cellStyle name="Обычный 10 5 2 3 2 2 6 2" xfId="5486"/>
    <cellStyle name="Обычный 10 5 2 3 2 2 7" xfId="5487"/>
    <cellStyle name="Обычный 10 5 2 3 2 2 8" xfId="5488"/>
    <cellStyle name="Обычный 10 5 2 3 2 3" xfId="5489"/>
    <cellStyle name="Обычный 10 5 2 3 2 3 2" xfId="5490"/>
    <cellStyle name="Обычный 10 5 2 3 2 3 2 2" xfId="5491"/>
    <cellStyle name="Обычный 10 5 2 3 2 3 2 2 2" xfId="5492"/>
    <cellStyle name="Обычный 10 5 2 3 2 3 2 2 3" xfId="5493"/>
    <cellStyle name="Обычный 10 5 2 3 2 3 2 3" xfId="5494"/>
    <cellStyle name="Обычный 10 5 2 3 2 3 2 3 2" xfId="5495"/>
    <cellStyle name="Обычный 10 5 2 3 2 3 2 3 3" xfId="5496"/>
    <cellStyle name="Обычный 10 5 2 3 2 3 2 4" xfId="5497"/>
    <cellStyle name="Обычный 10 5 2 3 2 3 2 4 2" xfId="5498"/>
    <cellStyle name="Обычный 10 5 2 3 2 3 2 5" xfId="5499"/>
    <cellStyle name="Обычный 10 5 2 3 2 3 2 6" xfId="5500"/>
    <cellStyle name="Обычный 10 5 2 3 2 3 3" xfId="5501"/>
    <cellStyle name="Обычный 10 5 2 3 2 3 3 2" xfId="5502"/>
    <cellStyle name="Обычный 10 5 2 3 2 3 3 3" xfId="5503"/>
    <cellStyle name="Обычный 10 5 2 3 2 3 4" xfId="5504"/>
    <cellStyle name="Обычный 10 5 2 3 2 3 4 2" xfId="5505"/>
    <cellStyle name="Обычный 10 5 2 3 2 3 4 3" xfId="5506"/>
    <cellStyle name="Обычный 10 5 2 3 2 3 5" xfId="5507"/>
    <cellStyle name="Обычный 10 5 2 3 2 3 5 2" xfId="5508"/>
    <cellStyle name="Обычный 10 5 2 3 2 3 6" xfId="5509"/>
    <cellStyle name="Обычный 10 5 2 3 2 3 7" xfId="5510"/>
    <cellStyle name="Обычный 10 5 2 3 2 4" xfId="5511"/>
    <cellStyle name="Обычный 10 5 2 3 2 4 2" xfId="5512"/>
    <cellStyle name="Обычный 10 5 2 3 2 4 2 2" xfId="5513"/>
    <cellStyle name="Обычный 10 5 2 3 2 4 2 3" xfId="5514"/>
    <cellStyle name="Обычный 10 5 2 3 2 4 3" xfId="5515"/>
    <cellStyle name="Обычный 10 5 2 3 2 4 3 2" xfId="5516"/>
    <cellStyle name="Обычный 10 5 2 3 2 4 3 3" xfId="5517"/>
    <cellStyle name="Обычный 10 5 2 3 2 4 4" xfId="5518"/>
    <cellStyle name="Обычный 10 5 2 3 2 4 4 2" xfId="5519"/>
    <cellStyle name="Обычный 10 5 2 3 2 4 5" xfId="5520"/>
    <cellStyle name="Обычный 10 5 2 3 2 4 6" xfId="5521"/>
    <cellStyle name="Обычный 10 5 2 3 2 5" xfId="5522"/>
    <cellStyle name="Обычный 10 5 2 3 2 5 2" xfId="5523"/>
    <cellStyle name="Обычный 10 5 2 3 2 5 3" xfId="5524"/>
    <cellStyle name="Обычный 10 5 2 3 2 6" xfId="5525"/>
    <cellStyle name="Обычный 10 5 2 3 2 6 2" xfId="5526"/>
    <cellStyle name="Обычный 10 5 2 3 2 6 3" xfId="5527"/>
    <cellStyle name="Обычный 10 5 2 3 2 7" xfId="5528"/>
    <cellStyle name="Обычный 10 5 2 3 2 7 2" xfId="5529"/>
    <cellStyle name="Обычный 10 5 2 3 2 8" xfId="5530"/>
    <cellStyle name="Обычный 10 5 2 3 2 9" xfId="5531"/>
    <cellStyle name="Обычный 10 5 2 3 3" xfId="5532"/>
    <cellStyle name="Обычный 10 5 2 3 3 2" xfId="5533"/>
    <cellStyle name="Обычный 10 5 2 3 3 2 2" xfId="5534"/>
    <cellStyle name="Обычный 10 5 2 3 3 2 2 2" xfId="5535"/>
    <cellStyle name="Обычный 10 5 2 3 3 2 2 2 2" xfId="5536"/>
    <cellStyle name="Обычный 10 5 2 3 3 2 2 2 3" xfId="5537"/>
    <cellStyle name="Обычный 10 5 2 3 3 2 2 3" xfId="5538"/>
    <cellStyle name="Обычный 10 5 2 3 3 2 2 3 2" xfId="5539"/>
    <cellStyle name="Обычный 10 5 2 3 3 2 2 3 3" xfId="5540"/>
    <cellStyle name="Обычный 10 5 2 3 3 2 2 4" xfId="5541"/>
    <cellStyle name="Обычный 10 5 2 3 3 2 2 4 2" xfId="5542"/>
    <cellStyle name="Обычный 10 5 2 3 3 2 2 5" xfId="5543"/>
    <cellStyle name="Обычный 10 5 2 3 3 2 2 6" xfId="5544"/>
    <cellStyle name="Обычный 10 5 2 3 3 2 3" xfId="5545"/>
    <cellStyle name="Обычный 10 5 2 3 3 2 3 2" xfId="5546"/>
    <cellStyle name="Обычный 10 5 2 3 3 2 3 3" xfId="5547"/>
    <cellStyle name="Обычный 10 5 2 3 3 2 4" xfId="5548"/>
    <cellStyle name="Обычный 10 5 2 3 3 2 4 2" xfId="5549"/>
    <cellStyle name="Обычный 10 5 2 3 3 2 4 3" xfId="5550"/>
    <cellStyle name="Обычный 10 5 2 3 3 2 5" xfId="5551"/>
    <cellStyle name="Обычный 10 5 2 3 3 2 5 2" xfId="5552"/>
    <cellStyle name="Обычный 10 5 2 3 3 2 6" xfId="5553"/>
    <cellStyle name="Обычный 10 5 2 3 3 2 7" xfId="5554"/>
    <cellStyle name="Обычный 10 5 2 3 3 3" xfId="5555"/>
    <cellStyle name="Обычный 10 5 2 3 3 3 2" xfId="5556"/>
    <cellStyle name="Обычный 10 5 2 3 3 3 2 2" xfId="5557"/>
    <cellStyle name="Обычный 10 5 2 3 3 3 2 3" xfId="5558"/>
    <cellStyle name="Обычный 10 5 2 3 3 3 3" xfId="5559"/>
    <cellStyle name="Обычный 10 5 2 3 3 3 3 2" xfId="5560"/>
    <cellStyle name="Обычный 10 5 2 3 3 3 3 3" xfId="5561"/>
    <cellStyle name="Обычный 10 5 2 3 3 3 4" xfId="5562"/>
    <cellStyle name="Обычный 10 5 2 3 3 3 4 2" xfId="5563"/>
    <cellStyle name="Обычный 10 5 2 3 3 3 5" xfId="5564"/>
    <cellStyle name="Обычный 10 5 2 3 3 3 6" xfId="5565"/>
    <cellStyle name="Обычный 10 5 2 3 3 4" xfId="5566"/>
    <cellStyle name="Обычный 10 5 2 3 3 4 2" xfId="5567"/>
    <cellStyle name="Обычный 10 5 2 3 3 4 3" xfId="5568"/>
    <cellStyle name="Обычный 10 5 2 3 3 5" xfId="5569"/>
    <cellStyle name="Обычный 10 5 2 3 3 5 2" xfId="5570"/>
    <cellStyle name="Обычный 10 5 2 3 3 5 3" xfId="5571"/>
    <cellStyle name="Обычный 10 5 2 3 3 6" xfId="5572"/>
    <cellStyle name="Обычный 10 5 2 3 3 6 2" xfId="5573"/>
    <cellStyle name="Обычный 10 5 2 3 3 7" xfId="5574"/>
    <cellStyle name="Обычный 10 5 2 3 3 8" xfId="5575"/>
    <cellStyle name="Обычный 10 5 2 3 4" xfId="5576"/>
    <cellStyle name="Обычный 10 5 2 3 4 2" xfId="5577"/>
    <cellStyle name="Обычный 10 5 2 3 4 2 2" xfId="5578"/>
    <cellStyle name="Обычный 10 5 2 3 4 2 2 2" xfId="5579"/>
    <cellStyle name="Обычный 10 5 2 3 4 2 2 3" xfId="5580"/>
    <cellStyle name="Обычный 10 5 2 3 4 2 3" xfId="5581"/>
    <cellStyle name="Обычный 10 5 2 3 4 2 3 2" xfId="5582"/>
    <cellStyle name="Обычный 10 5 2 3 4 2 3 3" xfId="5583"/>
    <cellStyle name="Обычный 10 5 2 3 4 2 4" xfId="5584"/>
    <cellStyle name="Обычный 10 5 2 3 4 2 4 2" xfId="5585"/>
    <cellStyle name="Обычный 10 5 2 3 4 2 5" xfId="5586"/>
    <cellStyle name="Обычный 10 5 2 3 4 2 6" xfId="5587"/>
    <cellStyle name="Обычный 10 5 2 3 4 3" xfId="5588"/>
    <cellStyle name="Обычный 10 5 2 3 4 3 2" xfId="5589"/>
    <cellStyle name="Обычный 10 5 2 3 4 3 3" xfId="5590"/>
    <cellStyle name="Обычный 10 5 2 3 4 4" xfId="5591"/>
    <cellStyle name="Обычный 10 5 2 3 4 4 2" xfId="5592"/>
    <cellStyle name="Обычный 10 5 2 3 4 4 3" xfId="5593"/>
    <cellStyle name="Обычный 10 5 2 3 4 5" xfId="5594"/>
    <cellStyle name="Обычный 10 5 2 3 4 5 2" xfId="5595"/>
    <cellStyle name="Обычный 10 5 2 3 4 6" xfId="5596"/>
    <cellStyle name="Обычный 10 5 2 3 4 7" xfId="5597"/>
    <cellStyle name="Обычный 10 5 2 3 5" xfId="5598"/>
    <cellStyle name="Обычный 10 5 2 3 5 2" xfId="5599"/>
    <cellStyle name="Обычный 10 5 2 3 5 2 2" xfId="5600"/>
    <cellStyle name="Обычный 10 5 2 3 5 2 3" xfId="5601"/>
    <cellStyle name="Обычный 10 5 2 3 5 3" xfId="5602"/>
    <cellStyle name="Обычный 10 5 2 3 5 3 2" xfId="5603"/>
    <cellStyle name="Обычный 10 5 2 3 5 3 3" xfId="5604"/>
    <cellStyle name="Обычный 10 5 2 3 5 4" xfId="5605"/>
    <cellStyle name="Обычный 10 5 2 3 5 4 2" xfId="5606"/>
    <cellStyle name="Обычный 10 5 2 3 5 5" xfId="5607"/>
    <cellStyle name="Обычный 10 5 2 3 5 6" xfId="5608"/>
    <cellStyle name="Обычный 10 5 2 3 6" xfId="5609"/>
    <cellStyle name="Обычный 10 5 2 3 6 2" xfId="5610"/>
    <cellStyle name="Обычный 10 5 2 3 6 3" xfId="5611"/>
    <cellStyle name="Обычный 10 5 2 3 7" xfId="5612"/>
    <cellStyle name="Обычный 10 5 2 3 7 2" xfId="5613"/>
    <cellStyle name="Обычный 10 5 2 3 7 3" xfId="5614"/>
    <cellStyle name="Обычный 10 5 2 3 8" xfId="5615"/>
    <cellStyle name="Обычный 10 5 2 3 8 2" xfId="5616"/>
    <cellStyle name="Обычный 10 5 2 3 9" xfId="5617"/>
    <cellStyle name="Обычный 10 5 2 4" xfId="5618"/>
    <cellStyle name="Обычный 10 5 2 4 10" xfId="5619"/>
    <cellStyle name="Обычный 10 5 2 4 2" xfId="5620"/>
    <cellStyle name="Обычный 10 5 2 4 2 2" xfId="5621"/>
    <cellStyle name="Обычный 10 5 2 4 2 2 2" xfId="5622"/>
    <cellStyle name="Обычный 10 5 2 4 2 2 2 2" xfId="5623"/>
    <cellStyle name="Обычный 10 5 2 4 2 2 2 2 2" xfId="5624"/>
    <cellStyle name="Обычный 10 5 2 4 2 2 2 2 2 2" xfId="5625"/>
    <cellStyle name="Обычный 10 5 2 4 2 2 2 2 2 3" xfId="5626"/>
    <cellStyle name="Обычный 10 5 2 4 2 2 2 2 3" xfId="5627"/>
    <cellStyle name="Обычный 10 5 2 4 2 2 2 2 3 2" xfId="5628"/>
    <cellStyle name="Обычный 10 5 2 4 2 2 2 2 3 3" xfId="5629"/>
    <cellStyle name="Обычный 10 5 2 4 2 2 2 2 4" xfId="5630"/>
    <cellStyle name="Обычный 10 5 2 4 2 2 2 2 4 2" xfId="5631"/>
    <cellStyle name="Обычный 10 5 2 4 2 2 2 2 5" xfId="5632"/>
    <cellStyle name="Обычный 10 5 2 4 2 2 2 2 6" xfId="5633"/>
    <cellStyle name="Обычный 10 5 2 4 2 2 2 3" xfId="5634"/>
    <cellStyle name="Обычный 10 5 2 4 2 2 2 3 2" xfId="5635"/>
    <cellStyle name="Обычный 10 5 2 4 2 2 2 3 3" xfId="5636"/>
    <cellStyle name="Обычный 10 5 2 4 2 2 2 4" xfId="5637"/>
    <cellStyle name="Обычный 10 5 2 4 2 2 2 4 2" xfId="5638"/>
    <cellStyle name="Обычный 10 5 2 4 2 2 2 4 3" xfId="5639"/>
    <cellStyle name="Обычный 10 5 2 4 2 2 2 5" xfId="5640"/>
    <cellStyle name="Обычный 10 5 2 4 2 2 2 5 2" xfId="5641"/>
    <cellStyle name="Обычный 10 5 2 4 2 2 2 6" xfId="5642"/>
    <cellStyle name="Обычный 10 5 2 4 2 2 2 7" xfId="5643"/>
    <cellStyle name="Обычный 10 5 2 4 2 2 3" xfId="5644"/>
    <cellStyle name="Обычный 10 5 2 4 2 2 3 2" xfId="5645"/>
    <cellStyle name="Обычный 10 5 2 4 2 2 3 2 2" xfId="5646"/>
    <cellStyle name="Обычный 10 5 2 4 2 2 3 2 3" xfId="5647"/>
    <cellStyle name="Обычный 10 5 2 4 2 2 3 3" xfId="5648"/>
    <cellStyle name="Обычный 10 5 2 4 2 2 3 3 2" xfId="5649"/>
    <cellStyle name="Обычный 10 5 2 4 2 2 3 3 3" xfId="5650"/>
    <cellStyle name="Обычный 10 5 2 4 2 2 3 4" xfId="5651"/>
    <cellStyle name="Обычный 10 5 2 4 2 2 3 4 2" xfId="5652"/>
    <cellStyle name="Обычный 10 5 2 4 2 2 3 5" xfId="5653"/>
    <cellStyle name="Обычный 10 5 2 4 2 2 3 6" xfId="5654"/>
    <cellStyle name="Обычный 10 5 2 4 2 2 4" xfId="5655"/>
    <cellStyle name="Обычный 10 5 2 4 2 2 4 2" xfId="5656"/>
    <cellStyle name="Обычный 10 5 2 4 2 2 4 3" xfId="5657"/>
    <cellStyle name="Обычный 10 5 2 4 2 2 5" xfId="5658"/>
    <cellStyle name="Обычный 10 5 2 4 2 2 5 2" xfId="5659"/>
    <cellStyle name="Обычный 10 5 2 4 2 2 5 3" xfId="5660"/>
    <cellStyle name="Обычный 10 5 2 4 2 2 6" xfId="5661"/>
    <cellStyle name="Обычный 10 5 2 4 2 2 6 2" xfId="5662"/>
    <cellStyle name="Обычный 10 5 2 4 2 2 7" xfId="5663"/>
    <cellStyle name="Обычный 10 5 2 4 2 2 8" xfId="5664"/>
    <cellStyle name="Обычный 10 5 2 4 2 3" xfId="5665"/>
    <cellStyle name="Обычный 10 5 2 4 2 3 2" xfId="5666"/>
    <cellStyle name="Обычный 10 5 2 4 2 3 2 2" xfId="5667"/>
    <cellStyle name="Обычный 10 5 2 4 2 3 2 2 2" xfId="5668"/>
    <cellStyle name="Обычный 10 5 2 4 2 3 2 2 3" xfId="5669"/>
    <cellStyle name="Обычный 10 5 2 4 2 3 2 3" xfId="5670"/>
    <cellStyle name="Обычный 10 5 2 4 2 3 2 3 2" xfId="5671"/>
    <cellStyle name="Обычный 10 5 2 4 2 3 2 3 3" xfId="5672"/>
    <cellStyle name="Обычный 10 5 2 4 2 3 2 4" xfId="5673"/>
    <cellStyle name="Обычный 10 5 2 4 2 3 2 4 2" xfId="5674"/>
    <cellStyle name="Обычный 10 5 2 4 2 3 2 5" xfId="5675"/>
    <cellStyle name="Обычный 10 5 2 4 2 3 2 6" xfId="5676"/>
    <cellStyle name="Обычный 10 5 2 4 2 3 3" xfId="5677"/>
    <cellStyle name="Обычный 10 5 2 4 2 3 3 2" xfId="5678"/>
    <cellStyle name="Обычный 10 5 2 4 2 3 3 3" xfId="5679"/>
    <cellStyle name="Обычный 10 5 2 4 2 3 4" xfId="5680"/>
    <cellStyle name="Обычный 10 5 2 4 2 3 4 2" xfId="5681"/>
    <cellStyle name="Обычный 10 5 2 4 2 3 4 3" xfId="5682"/>
    <cellStyle name="Обычный 10 5 2 4 2 3 5" xfId="5683"/>
    <cellStyle name="Обычный 10 5 2 4 2 3 5 2" xfId="5684"/>
    <cellStyle name="Обычный 10 5 2 4 2 3 6" xfId="5685"/>
    <cellStyle name="Обычный 10 5 2 4 2 3 7" xfId="5686"/>
    <cellStyle name="Обычный 10 5 2 4 2 4" xfId="5687"/>
    <cellStyle name="Обычный 10 5 2 4 2 4 2" xfId="5688"/>
    <cellStyle name="Обычный 10 5 2 4 2 4 2 2" xfId="5689"/>
    <cellStyle name="Обычный 10 5 2 4 2 4 2 3" xfId="5690"/>
    <cellStyle name="Обычный 10 5 2 4 2 4 3" xfId="5691"/>
    <cellStyle name="Обычный 10 5 2 4 2 4 3 2" xfId="5692"/>
    <cellStyle name="Обычный 10 5 2 4 2 4 3 3" xfId="5693"/>
    <cellStyle name="Обычный 10 5 2 4 2 4 4" xfId="5694"/>
    <cellStyle name="Обычный 10 5 2 4 2 4 4 2" xfId="5695"/>
    <cellStyle name="Обычный 10 5 2 4 2 4 5" xfId="5696"/>
    <cellStyle name="Обычный 10 5 2 4 2 4 6" xfId="5697"/>
    <cellStyle name="Обычный 10 5 2 4 2 5" xfId="5698"/>
    <cellStyle name="Обычный 10 5 2 4 2 5 2" xfId="5699"/>
    <cellStyle name="Обычный 10 5 2 4 2 5 3" xfId="5700"/>
    <cellStyle name="Обычный 10 5 2 4 2 6" xfId="5701"/>
    <cellStyle name="Обычный 10 5 2 4 2 6 2" xfId="5702"/>
    <cellStyle name="Обычный 10 5 2 4 2 6 3" xfId="5703"/>
    <cellStyle name="Обычный 10 5 2 4 2 7" xfId="5704"/>
    <cellStyle name="Обычный 10 5 2 4 2 7 2" xfId="5705"/>
    <cellStyle name="Обычный 10 5 2 4 2 8" xfId="5706"/>
    <cellStyle name="Обычный 10 5 2 4 2 9" xfId="5707"/>
    <cellStyle name="Обычный 10 5 2 4 3" xfId="5708"/>
    <cellStyle name="Обычный 10 5 2 4 3 2" xfId="5709"/>
    <cellStyle name="Обычный 10 5 2 4 3 2 2" xfId="5710"/>
    <cellStyle name="Обычный 10 5 2 4 3 2 2 2" xfId="5711"/>
    <cellStyle name="Обычный 10 5 2 4 3 2 2 2 2" xfId="5712"/>
    <cellStyle name="Обычный 10 5 2 4 3 2 2 2 3" xfId="5713"/>
    <cellStyle name="Обычный 10 5 2 4 3 2 2 3" xfId="5714"/>
    <cellStyle name="Обычный 10 5 2 4 3 2 2 3 2" xfId="5715"/>
    <cellStyle name="Обычный 10 5 2 4 3 2 2 3 3" xfId="5716"/>
    <cellStyle name="Обычный 10 5 2 4 3 2 2 4" xfId="5717"/>
    <cellStyle name="Обычный 10 5 2 4 3 2 2 4 2" xfId="5718"/>
    <cellStyle name="Обычный 10 5 2 4 3 2 2 5" xfId="5719"/>
    <cellStyle name="Обычный 10 5 2 4 3 2 2 6" xfId="5720"/>
    <cellStyle name="Обычный 10 5 2 4 3 2 3" xfId="5721"/>
    <cellStyle name="Обычный 10 5 2 4 3 2 3 2" xfId="5722"/>
    <cellStyle name="Обычный 10 5 2 4 3 2 3 3" xfId="5723"/>
    <cellStyle name="Обычный 10 5 2 4 3 2 4" xfId="5724"/>
    <cellStyle name="Обычный 10 5 2 4 3 2 4 2" xfId="5725"/>
    <cellStyle name="Обычный 10 5 2 4 3 2 4 3" xfId="5726"/>
    <cellStyle name="Обычный 10 5 2 4 3 2 5" xfId="5727"/>
    <cellStyle name="Обычный 10 5 2 4 3 2 5 2" xfId="5728"/>
    <cellStyle name="Обычный 10 5 2 4 3 2 6" xfId="5729"/>
    <cellStyle name="Обычный 10 5 2 4 3 2 7" xfId="5730"/>
    <cellStyle name="Обычный 10 5 2 4 3 3" xfId="5731"/>
    <cellStyle name="Обычный 10 5 2 4 3 3 2" xfId="5732"/>
    <cellStyle name="Обычный 10 5 2 4 3 3 2 2" xfId="5733"/>
    <cellStyle name="Обычный 10 5 2 4 3 3 2 3" xfId="5734"/>
    <cellStyle name="Обычный 10 5 2 4 3 3 3" xfId="5735"/>
    <cellStyle name="Обычный 10 5 2 4 3 3 3 2" xfId="5736"/>
    <cellStyle name="Обычный 10 5 2 4 3 3 3 3" xfId="5737"/>
    <cellStyle name="Обычный 10 5 2 4 3 3 4" xfId="5738"/>
    <cellStyle name="Обычный 10 5 2 4 3 3 4 2" xfId="5739"/>
    <cellStyle name="Обычный 10 5 2 4 3 3 5" xfId="5740"/>
    <cellStyle name="Обычный 10 5 2 4 3 3 6" xfId="5741"/>
    <cellStyle name="Обычный 10 5 2 4 3 4" xfId="5742"/>
    <cellStyle name="Обычный 10 5 2 4 3 4 2" xfId="5743"/>
    <cellStyle name="Обычный 10 5 2 4 3 4 3" xfId="5744"/>
    <cellStyle name="Обычный 10 5 2 4 3 5" xfId="5745"/>
    <cellStyle name="Обычный 10 5 2 4 3 5 2" xfId="5746"/>
    <cellStyle name="Обычный 10 5 2 4 3 5 3" xfId="5747"/>
    <cellStyle name="Обычный 10 5 2 4 3 6" xfId="5748"/>
    <cellStyle name="Обычный 10 5 2 4 3 6 2" xfId="5749"/>
    <cellStyle name="Обычный 10 5 2 4 3 7" xfId="5750"/>
    <cellStyle name="Обычный 10 5 2 4 3 8" xfId="5751"/>
    <cellStyle name="Обычный 10 5 2 4 4" xfId="5752"/>
    <cellStyle name="Обычный 10 5 2 4 4 2" xfId="5753"/>
    <cellStyle name="Обычный 10 5 2 4 4 2 2" xfId="5754"/>
    <cellStyle name="Обычный 10 5 2 4 4 2 2 2" xfId="5755"/>
    <cellStyle name="Обычный 10 5 2 4 4 2 2 3" xfId="5756"/>
    <cellStyle name="Обычный 10 5 2 4 4 2 3" xfId="5757"/>
    <cellStyle name="Обычный 10 5 2 4 4 2 3 2" xfId="5758"/>
    <cellStyle name="Обычный 10 5 2 4 4 2 3 3" xfId="5759"/>
    <cellStyle name="Обычный 10 5 2 4 4 2 4" xfId="5760"/>
    <cellStyle name="Обычный 10 5 2 4 4 2 4 2" xfId="5761"/>
    <cellStyle name="Обычный 10 5 2 4 4 2 5" xfId="5762"/>
    <cellStyle name="Обычный 10 5 2 4 4 2 6" xfId="5763"/>
    <cellStyle name="Обычный 10 5 2 4 4 3" xfId="5764"/>
    <cellStyle name="Обычный 10 5 2 4 4 3 2" xfId="5765"/>
    <cellStyle name="Обычный 10 5 2 4 4 3 3" xfId="5766"/>
    <cellStyle name="Обычный 10 5 2 4 4 4" xfId="5767"/>
    <cellStyle name="Обычный 10 5 2 4 4 4 2" xfId="5768"/>
    <cellStyle name="Обычный 10 5 2 4 4 4 3" xfId="5769"/>
    <cellStyle name="Обычный 10 5 2 4 4 5" xfId="5770"/>
    <cellStyle name="Обычный 10 5 2 4 4 5 2" xfId="5771"/>
    <cellStyle name="Обычный 10 5 2 4 4 6" xfId="5772"/>
    <cellStyle name="Обычный 10 5 2 4 4 7" xfId="5773"/>
    <cellStyle name="Обычный 10 5 2 4 5" xfId="5774"/>
    <cellStyle name="Обычный 10 5 2 4 5 2" xfId="5775"/>
    <cellStyle name="Обычный 10 5 2 4 5 2 2" xfId="5776"/>
    <cellStyle name="Обычный 10 5 2 4 5 2 3" xfId="5777"/>
    <cellStyle name="Обычный 10 5 2 4 5 3" xfId="5778"/>
    <cellStyle name="Обычный 10 5 2 4 5 3 2" xfId="5779"/>
    <cellStyle name="Обычный 10 5 2 4 5 3 3" xfId="5780"/>
    <cellStyle name="Обычный 10 5 2 4 5 4" xfId="5781"/>
    <cellStyle name="Обычный 10 5 2 4 5 4 2" xfId="5782"/>
    <cellStyle name="Обычный 10 5 2 4 5 5" xfId="5783"/>
    <cellStyle name="Обычный 10 5 2 4 5 6" xfId="5784"/>
    <cellStyle name="Обычный 10 5 2 4 6" xfId="5785"/>
    <cellStyle name="Обычный 10 5 2 4 6 2" xfId="5786"/>
    <cellStyle name="Обычный 10 5 2 4 6 3" xfId="5787"/>
    <cellStyle name="Обычный 10 5 2 4 7" xfId="5788"/>
    <cellStyle name="Обычный 10 5 2 4 7 2" xfId="5789"/>
    <cellStyle name="Обычный 10 5 2 4 7 3" xfId="5790"/>
    <cellStyle name="Обычный 10 5 2 4 8" xfId="5791"/>
    <cellStyle name="Обычный 10 5 2 4 8 2" xfId="5792"/>
    <cellStyle name="Обычный 10 5 2 4 9" xfId="5793"/>
    <cellStyle name="Обычный 10 5 2 5" xfId="5794"/>
    <cellStyle name="Обычный 10 5 2 5 2" xfId="5795"/>
    <cellStyle name="Обычный 10 5 2 5 2 2" xfId="5796"/>
    <cellStyle name="Обычный 10 5 2 5 2 2 2" xfId="5797"/>
    <cellStyle name="Обычный 10 5 2 5 2 2 2 2" xfId="5798"/>
    <cellStyle name="Обычный 10 5 2 5 2 2 2 2 2" xfId="5799"/>
    <cellStyle name="Обычный 10 5 2 5 2 2 2 2 3" xfId="5800"/>
    <cellStyle name="Обычный 10 5 2 5 2 2 2 3" xfId="5801"/>
    <cellStyle name="Обычный 10 5 2 5 2 2 2 3 2" xfId="5802"/>
    <cellStyle name="Обычный 10 5 2 5 2 2 2 3 3" xfId="5803"/>
    <cellStyle name="Обычный 10 5 2 5 2 2 2 4" xfId="5804"/>
    <cellStyle name="Обычный 10 5 2 5 2 2 2 4 2" xfId="5805"/>
    <cellStyle name="Обычный 10 5 2 5 2 2 2 5" xfId="5806"/>
    <cellStyle name="Обычный 10 5 2 5 2 2 2 6" xfId="5807"/>
    <cellStyle name="Обычный 10 5 2 5 2 2 3" xfId="5808"/>
    <cellStyle name="Обычный 10 5 2 5 2 2 3 2" xfId="5809"/>
    <cellStyle name="Обычный 10 5 2 5 2 2 3 3" xfId="5810"/>
    <cellStyle name="Обычный 10 5 2 5 2 2 4" xfId="5811"/>
    <cellStyle name="Обычный 10 5 2 5 2 2 4 2" xfId="5812"/>
    <cellStyle name="Обычный 10 5 2 5 2 2 4 3" xfId="5813"/>
    <cellStyle name="Обычный 10 5 2 5 2 2 5" xfId="5814"/>
    <cellStyle name="Обычный 10 5 2 5 2 2 5 2" xfId="5815"/>
    <cellStyle name="Обычный 10 5 2 5 2 2 6" xfId="5816"/>
    <cellStyle name="Обычный 10 5 2 5 2 2 7" xfId="5817"/>
    <cellStyle name="Обычный 10 5 2 5 2 3" xfId="5818"/>
    <cellStyle name="Обычный 10 5 2 5 2 3 2" xfId="5819"/>
    <cellStyle name="Обычный 10 5 2 5 2 3 2 2" xfId="5820"/>
    <cellStyle name="Обычный 10 5 2 5 2 3 2 3" xfId="5821"/>
    <cellStyle name="Обычный 10 5 2 5 2 3 3" xfId="5822"/>
    <cellStyle name="Обычный 10 5 2 5 2 3 3 2" xfId="5823"/>
    <cellStyle name="Обычный 10 5 2 5 2 3 3 3" xfId="5824"/>
    <cellStyle name="Обычный 10 5 2 5 2 3 4" xfId="5825"/>
    <cellStyle name="Обычный 10 5 2 5 2 3 4 2" xfId="5826"/>
    <cellStyle name="Обычный 10 5 2 5 2 3 5" xfId="5827"/>
    <cellStyle name="Обычный 10 5 2 5 2 3 6" xfId="5828"/>
    <cellStyle name="Обычный 10 5 2 5 2 4" xfId="5829"/>
    <cellStyle name="Обычный 10 5 2 5 2 4 2" xfId="5830"/>
    <cellStyle name="Обычный 10 5 2 5 2 4 3" xfId="5831"/>
    <cellStyle name="Обычный 10 5 2 5 2 5" xfId="5832"/>
    <cellStyle name="Обычный 10 5 2 5 2 5 2" xfId="5833"/>
    <cellStyle name="Обычный 10 5 2 5 2 5 3" xfId="5834"/>
    <cellStyle name="Обычный 10 5 2 5 2 6" xfId="5835"/>
    <cellStyle name="Обычный 10 5 2 5 2 6 2" xfId="5836"/>
    <cellStyle name="Обычный 10 5 2 5 2 7" xfId="5837"/>
    <cellStyle name="Обычный 10 5 2 5 2 8" xfId="5838"/>
    <cellStyle name="Обычный 10 5 2 5 3" xfId="5839"/>
    <cellStyle name="Обычный 10 5 2 5 3 2" xfId="5840"/>
    <cellStyle name="Обычный 10 5 2 5 3 2 2" xfId="5841"/>
    <cellStyle name="Обычный 10 5 2 5 3 2 2 2" xfId="5842"/>
    <cellStyle name="Обычный 10 5 2 5 3 2 2 3" xfId="5843"/>
    <cellStyle name="Обычный 10 5 2 5 3 2 3" xfId="5844"/>
    <cellStyle name="Обычный 10 5 2 5 3 2 3 2" xfId="5845"/>
    <cellStyle name="Обычный 10 5 2 5 3 2 3 3" xfId="5846"/>
    <cellStyle name="Обычный 10 5 2 5 3 2 4" xfId="5847"/>
    <cellStyle name="Обычный 10 5 2 5 3 2 4 2" xfId="5848"/>
    <cellStyle name="Обычный 10 5 2 5 3 2 5" xfId="5849"/>
    <cellStyle name="Обычный 10 5 2 5 3 2 6" xfId="5850"/>
    <cellStyle name="Обычный 10 5 2 5 3 3" xfId="5851"/>
    <cellStyle name="Обычный 10 5 2 5 3 3 2" xfId="5852"/>
    <cellStyle name="Обычный 10 5 2 5 3 3 3" xfId="5853"/>
    <cellStyle name="Обычный 10 5 2 5 3 4" xfId="5854"/>
    <cellStyle name="Обычный 10 5 2 5 3 4 2" xfId="5855"/>
    <cellStyle name="Обычный 10 5 2 5 3 4 3" xfId="5856"/>
    <cellStyle name="Обычный 10 5 2 5 3 5" xfId="5857"/>
    <cellStyle name="Обычный 10 5 2 5 3 5 2" xfId="5858"/>
    <cellStyle name="Обычный 10 5 2 5 3 6" xfId="5859"/>
    <cellStyle name="Обычный 10 5 2 5 3 7" xfId="5860"/>
    <cellStyle name="Обычный 10 5 2 5 4" xfId="5861"/>
    <cellStyle name="Обычный 10 5 2 5 4 2" xfId="5862"/>
    <cellStyle name="Обычный 10 5 2 5 4 2 2" xfId="5863"/>
    <cellStyle name="Обычный 10 5 2 5 4 2 3" xfId="5864"/>
    <cellStyle name="Обычный 10 5 2 5 4 3" xfId="5865"/>
    <cellStyle name="Обычный 10 5 2 5 4 3 2" xfId="5866"/>
    <cellStyle name="Обычный 10 5 2 5 4 3 3" xfId="5867"/>
    <cellStyle name="Обычный 10 5 2 5 4 4" xfId="5868"/>
    <cellStyle name="Обычный 10 5 2 5 4 4 2" xfId="5869"/>
    <cellStyle name="Обычный 10 5 2 5 4 5" xfId="5870"/>
    <cellStyle name="Обычный 10 5 2 5 4 6" xfId="5871"/>
    <cellStyle name="Обычный 10 5 2 5 5" xfId="5872"/>
    <cellStyle name="Обычный 10 5 2 5 5 2" xfId="5873"/>
    <cellStyle name="Обычный 10 5 2 5 5 3" xfId="5874"/>
    <cellStyle name="Обычный 10 5 2 5 6" xfId="5875"/>
    <cellStyle name="Обычный 10 5 2 5 6 2" xfId="5876"/>
    <cellStyle name="Обычный 10 5 2 5 6 3" xfId="5877"/>
    <cellStyle name="Обычный 10 5 2 5 7" xfId="5878"/>
    <cellStyle name="Обычный 10 5 2 5 7 2" xfId="5879"/>
    <cellStyle name="Обычный 10 5 2 5 8" xfId="5880"/>
    <cellStyle name="Обычный 10 5 2 5 9" xfId="5881"/>
    <cellStyle name="Обычный 10 5 2 6" xfId="5882"/>
    <cellStyle name="Обычный 10 5 2 6 2" xfId="5883"/>
    <cellStyle name="Обычный 10 5 2 6 2 2" xfId="5884"/>
    <cellStyle name="Обычный 10 5 2 6 2 2 2" xfId="5885"/>
    <cellStyle name="Обычный 10 5 2 6 2 2 2 2" xfId="5886"/>
    <cellStyle name="Обычный 10 5 2 6 2 2 2 3" xfId="5887"/>
    <cellStyle name="Обычный 10 5 2 6 2 2 3" xfId="5888"/>
    <cellStyle name="Обычный 10 5 2 6 2 2 3 2" xfId="5889"/>
    <cellStyle name="Обычный 10 5 2 6 2 2 3 3" xfId="5890"/>
    <cellStyle name="Обычный 10 5 2 6 2 2 4" xfId="5891"/>
    <cellStyle name="Обычный 10 5 2 6 2 2 4 2" xfId="5892"/>
    <cellStyle name="Обычный 10 5 2 6 2 2 5" xfId="5893"/>
    <cellStyle name="Обычный 10 5 2 6 2 2 6" xfId="5894"/>
    <cellStyle name="Обычный 10 5 2 6 2 3" xfId="5895"/>
    <cellStyle name="Обычный 10 5 2 6 2 3 2" xfId="5896"/>
    <cellStyle name="Обычный 10 5 2 6 2 3 3" xfId="5897"/>
    <cellStyle name="Обычный 10 5 2 6 2 4" xfId="5898"/>
    <cellStyle name="Обычный 10 5 2 6 2 4 2" xfId="5899"/>
    <cellStyle name="Обычный 10 5 2 6 2 4 3" xfId="5900"/>
    <cellStyle name="Обычный 10 5 2 6 2 5" xfId="5901"/>
    <cellStyle name="Обычный 10 5 2 6 2 5 2" xfId="5902"/>
    <cellStyle name="Обычный 10 5 2 6 2 6" xfId="5903"/>
    <cellStyle name="Обычный 10 5 2 6 2 7" xfId="5904"/>
    <cellStyle name="Обычный 10 5 2 6 3" xfId="5905"/>
    <cellStyle name="Обычный 10 5 2 6 3 2" xfId="5906"/>
    <cellStyle name="Обычный 10 5 2 6 3 2 2" xfId="5907"/>
    <cellStyle name="Обычный 10 5 2 6 3 2 3" xfId="5908"/>
    <cellStyle name="Обычный 10 5 2 6 3 3" xfId="5909"/>
    <cellStyle name="Обычный 10 5 2 6 3 3 2" xfId="5910"/>
    <cellStyle name="Обычный 10 5 2 6 3 3 3" xfId="5911"/>
    <cellStyle name="Обычный 10 5 2 6 3 4" xfId="5912"/>
    <cellStyle name="Обычный 10 5 2 6 3 4 2" xfId="5913"/>
    <cellStyle name="Обычный 10 5 2 6 3 5" xfId="5914"/>
    <cellStyle name="Обычный 10 5 2 6 3 6" xfId="5915"/>
    <cellStyle name="Обычный 10 5 2 6 4" xfId="5916"/>
    <cellStyle name="Обычный 10 5 2 6 4 2" xfId="5917"/>
    <cellStyle name="Обычный 10 5 2 6 4 3" xfId="5918"/>
    <cellStyle name="Обычный 10 5 2 6 5" xfId="5919"/>
    <cellStyle name="Обычный 10 5 2 6 5 2" xfId="5920"/>
    <cellStyle name="Обычный 10 5 2 6 5 3" xfId="5921"/>
    <cellStyle name="Обычный 10 5 2 6 6" xfId="5922"/>
    <cellStyle name="Обычный 10 5 2 6 6 2" xfId="5923"/>
    <cellStyle name="Обычный 10 5 2 6 7" xfId="5924"/>
    <cellStyle name="Обычный 10 5 2 6 8" xfId="5925"/>
    <cellStyle name="Обычный 10 5 2 7" xfId="5926"/>
    <cellStyle name="Обычный 10 5 2 7 2" xfId="5927"/>
    <cellStyle name="Обычный 10 5 2 7 2 2" xfId="5928"/>
    <cellStyle name="Обычный 10 5 2 7 2 2 2" xfId="5929"/>
    <cellStyle name="Обычный 10 5 2 7 2 2 3" xfId="5930"/>
    <cellStyle name="Обычный 10 5 2 7 2 3" xfId="5931"/>
    <cellStyle name="Обычный 10 5 2 7 2 3 2" xfId="5932"/>
    <cellStyle name="Обычный 10 5 2 7 2 3 3" xfId="5933"/>
    <cellStyle name="Обычный 10 5 2 7 2 4" xfId="5934"/>
    <cellStyle name="Обычный 10 5 2 7 2 4 2" xfId="5935"/>
    <cellStyle name="Обычный 10 5 2 7 2 5" xfId="5936"/>
    <cellStyle name="Обычный 10 5 2 7 2 6" xfId="5937"/>
    <cellStyle name="Обычный 10 5 2 7 3" xfId="5938"/>
    <cellStyle name="Обычный 10 5 2 7 3 2" xfId="5939"/>
    <cellStyle name="Обычный 10 5 2 7 3 3" xfId="5940"/>
    <cellStyle name="Обычный 10 5 2 7 4" xfId="5941"/>
    <cellStyle name="Обычный 10 5 2 7 4 2" xfId="5942"/>
    <cellStyle name="Обычный 10 5 2 7 4 3" xfId="5943"/>
    <cellStyle name="Обычный 10 5 2 7 5" xfId="5944"/>
    <cellStyle name="Обычный 10 5 2 7 5 2" xfId="5945"/>
    <cellStyle name="Обычный 10 5 2 7 6" xfId="5946"/>
    <cellStyle name="Обычный 10 5 2 7 7" xfId="5947"/>
    <cellStyle name="Обычный 10 5 2 8" xfId="5948"/>
    <cellStyle name="Обычный 10 5 2 8 2" xfId="5949"/>
    <cellStyle name="Обычный 10 5 2 8 2 2" xfId="5950"/>
    <cellStyle name="Обычный 10 5 2 8 2 3" xfId="5951"/>
    <cellStyle name="Обычный 10 5 2 8 3" xfId="5952"/>
    <cellStyle name="Обычный 10 5 2 8 3 2" xfId="5953"/>
    <cellStyle name="Обычный 10 5 2 8 3 3" xfId="5954"/>
    <cellStyle name="Обычный 10 5 2 8 4" xfId="5955"/>
    <cellStyle name="Обычный 10 5 2 8 4 2" xfId="5956"/>
    <cellStyle name="Обычный 10 5 2 8 5" xfId="5957"/>
    <cellStyle name="Обычный 10 5 2 8 6" xfId="5958"/>
    <cellStyle name="Обычный 10 5 2 9" xfId="5959"/>
    <cellStyle name="Обычный 10 5 2 9 2" xfId="5960"/>
    <cellStyle name="Обычный 10 5 2 9 3" xfId="5961"/>
    <cellStyle name="Обычный 10 5 3" xfId="5962"/>
    <cellStyle name="Обычный 10 5 3 10" xfId="5963"/>
    <cellStyle name="Обычный 10 5 3 2" xfId="5964"/>
    <cellStyle name="Обычный 10 5 3 2 2" xfId="5965"/>
    <cellStyle name="Обычный 10 5 3 2 2 2" xfId="5966"/>
    <cellStyle name="Обычный 10 5 3 2 2 2 2" xfId="5967"/>
    <cellStyle name="Обычный 10 5 3 2 2 2 2 2" xfId="5968"/>
    <cellStyle name="Обычный 10 5 3 2 2 2 2 2 2" xfId="5969"/>
    <cellStyle name="Обычный 10 5 3 2 2 2 2 2 3" xfId="5970"/>
    <cellStyle name="Обычный 10 5 3 2 2 2 2 3" xfId="5971"/>
    <cellStyle name="Обычный 10 5 3 2 2 2 2 3 2" xfId="5972"/>
    <cellStyle name="Обычный 10 5 3 2 2 2 2 3 3" xfId="5973"/>
    <cellStyle name="Обычный 10 5 3 2 2 2 2 4" xfId="5974"/>
    <cellStyle name="Обычный 10 5 3 2 2 2 2 4 2" xfId="5975"/>
    <cellStyle name="Обычный 10 5 3 2 2 2 2 5" xfId="5976"/>
    <cellStyle name="Обычный 10 5 3 2 2 2 2 6" xfId="5977"/>
    <cellStyle name="Обычный 10 5 3 2 2 2 3" xfId="5978"/>
    <cellStyle name="Обычный 10 5 3 2 2 2 3 2" xfId="5979"/>
    <cellStyle name="Обычный 10 5 3 2 2 2 3 3" xfId="5980"/>
    <cellStyle name="Обычный 10 5 3 2 2 2 4" xfId="5981"/>
    <cellStyle name="Обычный 10 5 3 2 2 2 4 2" xfId="5982"/>
    <cellStyle name="Обычный 10 5 3 2 2 2 4 3" xfId="5983"/>
    <cellStyle name="Обычный 10 5 3 2 2 2 5" xfId="5984"/>
    <cellStyle name="Обычный 10 5 3 2 2 2 5 2" xfId="5985"/>
    <cellStyle name="Обычный 10 5 3 2 2 2 6" xfId="5986"/>
    <cellStyle name="Обычный 10 5 3 2 2 2 7" xfId="5987"/>
    <cellStyle name="Обычный 10 5 3 2 2 3" xfId="5988"/>
    <cellStyle name="Обычный 10 5 3 2 2 3 2" xfId="5989"/>
    <cellStyle name="Обычный 10 5 3 2 2 3 2 2" xfId="5990"/>
    <cellStyle name="Обычный 10 5 3 2 2 3 2 3" xfId="5991"/>
    <cellStyle name="Обычный 10 5 3 2 2 3 3" xfId="5992"/>
    <cellStyle name="Обычный 10 5 3 2 2 3 3 2" xfId="5993"/>
    <cellStyle name="Обычный 10 5 3 2 2 3 3 3" xfId="5994"/>
    <cellStyle name="Обычный 10 5 3 2 2 3 4" xfId="5995"/>
    <cellStyle name="Обычный 10 5 3 2 2 3 4 2" xfId="5996"/>
    <cellStyle name="Обычный 10 5 3 2 2 3 5" xfId="5997"/>
    <cellStyle name="Обычный 10 5 3 2 2 3 6" xfId="5998"/>
    <cellStyle name="Обычный 10 5 3 2 2 4" xfId="5999"/>
    <cellStyle name="Обычный 10 5 3 2 2 4 2" xfId="6000"/>
    <cellStyle name="Обычный 10 5 3 2 2 4 3" xfId="6001"/>
    <cellStyle name="Обычный 10 5 3 2 2 5" xfId="6002"/>
    <cellStyle name="Обычный 10 5 3 2 2 5 2" xfId="6003"/>
    <cellStyle name="Обычный 10 5 3 2 2 5 3" xfId="6004"/>
    <cellStyle name="Обычный 10 5 3 2 2 6" xfId="6005"/>
    <cellStyle name="Обычный 10 5 3 2 2 6 2" xfId="6006"/>
    <cellStyle name="Обычный 10 5 3 2 2 7" xfId="6007"/>
    <cellStyle name="Обычный 10 5 3 2 2 8" xfId="6008"/>
    <cellStyle name="Обычный 10 5 3 2 3" xfId="6009"/>
    <cellStyle name="Обычный 10 5 3 2 3 2" xfId="6010"/>
    <cellStyle name="Обычный 10 5 3 2 3 2 2" xfId="6011"/>
    <cellStyle name="Обычный 10 5 3 2 3 2 2 2" xfId="6012"/>
    <cellStyle name="Обычный 10 5 3 2 3 2 2 3" xfId="6013"/>
    <cellStyle name="Обычный 10 5 3 2 3 2 3" xfId="6014"/>
    <cellStyle name="Обычный 10 5 3 2 3 2 3 2" xfId="6015"/>
    <cellStyle name="Обычный 10 5 3 2 3 2 3 3" xfId="6016"/>
    <cellStyle name="Обычный 10 5 3 2 3 2 4" xfId="6017"/>
    <cellStyle name="Обычный 10 5 3 2 3 2 4 2" xfId="6018"/>
    <cellStyle name="Обычный 10 5 3 2 3 2 5" xfId="6019"/>
    <cellStyle name="Обычный 10 5 3 2 3 2 6" xfId="6020"/>
    <cellStyle name="Обычный 10 5 3 2 3 3" xfId="6021"/>
    <cellStyle name="Обычный 10 5 3 2 3 3 2" xfId="6022"/>
    <cellStyle name="Обычный 10 5 3 2 3 3 3" xfId="6023"/>
    <cellStyle name="Обычный 10 5 3 2 3 4" xfId="6024"/>
    <cellStyle name="Обычный 10 5 3 2 3 4 2" xfId="6025"/>
    <cellStyle name="Обычный 10 5 3 2 3 4 3" xfId="6026"/>
    <cellStyle name="Обычный 10 5 3 2 3 5" xfId="6027"/>
    <cellStyle name="Обычный 10 5 3 2 3 5 2" xfId="6028"/>
    <cellStyle name="Обычный 10 5 3 2 3 6" xfId="6029"/>
    <cellStyle name="Обычный 10 5 3 2 3 7" xfId="6030"/>
    <cellStyle name="Обычный 10 5 3 2 4" xfId="6031"/>
    <cellStyle name="Обычный 10 5 3 2 4 2" xfId="6032"/>
    <cellStyle name="Обычный 10 5 3 2 4 2 2" xfId="6033"/>
    <cellStyle name="Обычный 10 5 3 2 4 2 3" xfId="6034"/>
    <cellStyle name="Обычный 10 5 3 2 4 3" xfId="6035"/>
    <cellStyle name="Обычный 10 5 3 2 4 3 2" xfId="6036"/>
    <cellStyle name="Обычный 10 5 3 2 4 3 3" xfId="6037"/>
    <cellStyle name="Обычный 10 5 3 2 4 4" xfId="6038"/>
    <cellStyle name="Обычный 10 5 3 2 4 4 2" xfId="6039"/>
    <cellStyle name="Обычный 10 5 3 2 4 5" xfId="6040"/>
    <cellStyle name="Обычный 10 5 3 2 4 6" xfId="6041"/>
    <cellStyle name="Обычный 10 5 3 2 5" xfId="6042"/>
    <cellStyle name="Обычный 10 5 3 2 5 2" xfId="6043"/>
    <cellStyle name="Обычный 10 5 3 2 5 3" xfId="6044"/>
    <cellStyle name="Обычный 10 5 3 2 6" xfId="6045"/>
    <cellStyle name="Обычный 10 5 3 2 6 2" xfId="6046"/>
    <cellStyle name="Обычный 10 5 3 2 6 3" xfId="6047"/>
    <cellStyle name="Обычный 10 5 3 2 7" xfId="6048"/>
    <cellStyle name="Обычный 10 5 3 2 7 2" xfId="6049"/>
    <cellStyle name="Обычный 10 5 3 2 8" xfId="6050"/>
    <cellStyle name="Обычный 10 5 3 2 9" xfId="6051"/>
    <cellStyle name="Обычный 10 5 3 3" xfId="6052"/>
    <cellStyle name="Обычный 10 5 3 3 2" xfId="6053"/>
    <cellStyle name="Обычный 10 5 3 3 2 2" xfId="6054"/>
    <cellStyle name="Обычный 10 5 3 3 2 2 2" xfId="6055"/>
    <cellStyle name="Обычный 10 5 3 3 2 2 2 2" xfId="6056"/>
    <cellStyle name="Обычный 10 5 3 3 2 2 2 3" xfId="6057"/>
    <cellStyle name="Обычный 10 5 3 3 2 2 3" xfId="6058"/>
    <cellStyle name="Обычный 10 5 3 3 2 2 3 2" xfId="6059"/>
    <cellStyle name="Обычный 10 5 3 3 2 2 3 3" xfId="6060"/>
    <cellStyle name="Обычный 10 5 3 3 2 2 4" xfId="6061"/>
    <cellStyle name="Обычный 10 5 3 3 2 2 4 2" xfId="6062"/>
    <cellStyle name="Обычный 10 5 3 3 2 2 5" xfId="6063"/>
    <cellStyle name="Обычный 10 5 3 3 2 2 6" xfId="6064"/>
    <cellStyle name="Обычный 10 5 3 3 2 3" xfId="6065"/>
    <cellStyle name="Обычный 10 5 3 3 2 3 2" xfId="6066"/>
    <cellStyle name="Обычный 10 5 3 3 2 3 3" xfId="6067"/>
    <cellStyle name="Обычный 10 5 3 3 2 4" xfId="6068"/>
    <cellStyle name="Обычный 10 5 3 3 2 4 2" xfId="6069"/>
    <cellStyle name="Обычный 10 5 3 3 2 4 3" xfId="6070"/>
    <cellStyle name="Обычный 10 5 3 3 2 5" xfId="6071"/>
    <cellStyle name="Обычный 10 5 3 3 2 5 2" xfId="6072"/>
    <cellStyle name="Обычный 10 5 3 3 2 6" xfId="6073"/>
    <cellStyle name="Обычный 10 5 3 3 2 7" xfId="6074"/>
    <cellStyle name="Обычный 10 5 3 3 3" xfId="6075"/>
    <cellStyle name="Обычный 10 5 3 3 3 2" xfId="6076"/>
    <cellStyle name="Обычный 10 5 3 3 3 2 2" xfId="6077"/>
    <cellStyle name="Обычный 10 5 3 3 3 2 3" xfId="6078"/>
    <cellStyle name="Обычный 10 5 3 3 3 3" xfId="6079"/>
    <cellStyle name="Обычный 10 5 3 3 3 3 2" xfId="6080"/>
    <cellStyle name="Обычный 10 5 3 3 3 3 3" xfId="6081"/>
    <cellStyle name="Обычный 10 5 3 3 3 4" xfId="6082"/>
    <cellStyle name="Обычный 10 5 3 3 3 4 2" xfId="6083"/>
    <cellStyle name="Обычный 10 5 3 3 3 5" xfId="6084"/>
    <cellStyle name="Обычный 10 5 3 3 3 6" xfId="6085"/>
    <cellStyle name="Обычный 10 5 3 3 4" xfId="6086"/>
    <cellStyle name="Обычный 10 5 3 3 4 2" xfId="6087"/>
    <cellStyle name="Обычный 10 5 3 3 4 3" xfId="6088"/>
    <cellStyle name="Обычный 10 5 3 3 5" xfId="6089"/>
    <cellStyle name="Обычный 10 5 3 3 5 2" xfId="6090"/>
    <cellStyle name="Обычный 10 5 3 3 5 3" xfId="6091"/>
    <cellStyle name="Обычный 10 5 3 3 6" xfId="6092"/>
    <cellStyle name="Обычный 10 5 3 3 6 2" xfId="6093"/>
    <cellStyle name="Обычный 10 5 3 3 7" xfId="6094"/>
    <cellStyle name="Обычный 10 5 3 3 8" xfId="6095"/>
    <cellStyle name="Обычный 10 5 3 4" xfId="6096"/>
    <cellStyle name="Обычный 10 5 3 4 2" xfId="6097"/>
    <cellStyle name="Обычный 10 5 3 4 2 2" xfId="6098"/>
    <cellStyle name="Обычный 10 5 3 4 2 2 2" xfId="6099"/>
    <cellStyle name="Обычный 10 5 3 4 2 2 3" xfId="6100"/>
    <cellStyle name="Обычный 10 5 3 4 2 3" xfId="6101"/>
    <cellStyle name="Обычный 10 5 3 4 2 3 2" xfId="6102"/>
    <cellStyle name="Обычный 10 5 3 4 2 3 3" xfId="6103"/>
    <cellStyle name="Обычный 10 5 3 4 2 4" xfId="6104"/>
    <cellStyle name="Обычный 10 5 3 4 2 4 2" xfId="6105"/>
    <cellStyle name="Обычный 10 5 3 4 2 5" xfId="6106"/>
    <cellStyle name="Обычный 10 5 3 4 2 6" xfId="6107"/>
    <cellStyle name="Обычный 10 5 3 4 3" xfId="6108"/>
    <cellStyle name="Обычный 10 5 3 4 3 2" xfId="6109"/>
    <cellStyle name="Обычный 10 5 3 4 3 3" xfId="6110"/>
    <cellStyle name="Обычный 10 5 3 4 4" xfId="6111"/>
    <cellStyle name="Обычный 10 5 3 4 4 2" xfId="6112"/>
    <cellStyle name="Обычный 10 5 3 4 4 3" xfId="6113"/>
    <cellStyle name="Обычный 10 5 3 4 5" xfId="6114"/>
    <cellStyle name="Обычный 10 5 3 4 5 2" xfId="6115"/>
    <cellStyle name="Обычный 10 5 3 4 6" xfId="6116"/>
    <cellStyle name="Обычный 10 5 3 4 7" xfId="6117"/>
    <cellStyle name="Обычный 10 5 3 5" xfId="6118"/>
    <cellStyle name="Обычный 10 5 3 5 2" xfId="6119"/>
    <cellStyle name="Обычный 10 5 3 5 2 2" xfId="6120"/>
    <cellStyle name="Обычный 10 5 3 5 2 3" xfId="6121"/>
    <cellStyle name="Обычный 10 5 3 5 3" xfId="6122"/>
    <cellStyle name="Обычный 10 5 3 5 3 2" xfId="6123"/>
    <cellStyle name="Обычный 10 5 3 5 3 3" xfId="6124"/>
    <cellStyle name="Обычный 10 5 3 5 4" xfId="6125"/>
    <cellStyle name="Обычный 10 5 3 5 4 2" xfId="6126"/>
    <cellStyle name="Обычный 10 5 3 5 5" xfId="6127"/>
    <cellStyle name="Обычный 10 5 3 5 6" xfId="6128"/>
    <cellStyle name="Обычный 10 5 3 6" xfId="6129"/>
    <cellStyle name="Обычный 10 5 3 6 2" xfId="6130"/>
    <cellStyle name="Обычный 10 5 3 6 3" xfId="6131"/>
    <cellStyle name="Обычный 10 5 3 7" xfId="6132"/>
    <cellStyle name="Обычный 10 5 3 7 2" xfId="6133"/>
    <cellStyle name="Обычный 10 5 3 7 3" xfId="6134"/>
    <cellStyle name="Обычный 10 5 3 8" xfId="6135"/>
    <cellStyle name="Обычный 10 5 3 8 2" xfId="6136"/>
    <cellStyle name="Обычный 10 5 3 9" xfId="6137"/>
    <cellStyle name="Обычный 10 5 4" xfId="6138"/>
    <cellStyle name="Обычный 10 5 4 10" xfId="6139"/>
    <cellStyle name="Обычный 10 5 4 2" xfId="6140"/>
    <cellStyle name="Обычный 10 5 4 2 2" xfId="6141"/>
    <cellStyle name="Обычный 10 5 4 2 2 2" xfId="6142"/>
    <cellStyle name="Обычный 10 5 4 2 2 2 2" xfId="6143"/>
    <cellStyle name="Обычный 10 5 4 2 2 2 2 2" xfId="6144"/>
    <cellStyle name="Обычный 10 5 4 2 2 2 2 2 2" xfId="6145"/>
    <cellStyle name="Обычный 10 5 4 2 2 2 2 2 3" xfId="6146"/>
    <cellStyle name="Обычный 10 5 4 2 2 2 2 3" xfId="6147"/>
    <cellStyle name="Обычный 10 5 4 2 2 2 2 3 2" xfId="6148"/>
    <cellStyle name="Обычный 10 5 4 2 2 2 2 3 3" xfId="6149"/>
    <cellStyle name="Обычный 10 5 4 2 2 2 2 4" xfId="6150"/>
    <cellStyle name="Обычный 10 5 4 2 2 2 2 4 2" xfId="6151"/>
    <cellStyle name="Обычный 10 5 4 2 2 2 2 5" xfId="6152"/>
    <cellStyle name="Обычный 10 5 4 2 2 2 2 6" xfId="6153"/>
    <cellStyle name="Обычный 10 5 4 2 2 2 3" xfId="6154"/>
    <cellStyle name="Обычный 10 5 4 2 2 2 3 2" xfId="6155"/>
    <cellStyle name="Обычный 10 5 4 2 2 2 3 3" xfId="6156"/>
    <cellStyle name="Обычный 10 5 4 2 2 2 4" xfId="6157"/>
    <cellStyle name="Обычный 10 5 4 2 2 2 4 2" xfId="6158"/>
    <cellStyle name="Обычный 10 5 4 2 2 2 4 3" xfId="6159"/>
    <cellStyle name="Обычный 10 5 4 2 2 2 5" xfId="6160"/>
    <cellStyle name="Обычный 10 5 4 2 2 2 5 2" xfId="6161"/>
    <cellStyle name="Обычный 10 5 4 2 2 2 6" xfId="6162"/>
    <cellStyle name="Обычный 10 5 4 2 2 2 7" xfId="6163"/>
    <cellStyle name="Обычный 10 5 4 2 2 3" xfId="6164"/>
    <cellStyle name="Обычный 10 5 4 2 2 3 2" xfId="6165"/>
    <cellStyle name="Обычный 10 5 4 2 2 3 2 2" xfId="6166"/>
    <cellStyle name="Обычный 10 5 4 2 2 3 2 3" xfId="6167"/>
    <cellStyle name="Обычный 10 5 4 2 2 3 3" xfId="6168"/>
    <cellStyle name="Обычный 10 5 4 2 2 3 3 2" xfId="6169"/>
    <cellStyle name="Обычный 10 5 4 2 2 3 3 3" xfId="6170"/>
    <cellStyle name="Обычный 10 5 4 2 2 3 4" xfId="6171"/>
    <cellStyle name="Обычный 10 5 4 2 2 3 4 2" xfId="6172"/>
    <cellStyle name="Обычный 10 5 4 2 2 3 5" xfId="6173"/>
    <cellStyle name="Обычный 10 5 4 2 2 3 6" xfId="6174"/>
    <cellStyle name="Обычный 10 5 4 2 2 4" xfId="6175"/>
    <cellStyle name="Обычный 10 5 4 2 2 4 2" xfId="6176"/>
    <cellStyle name="Обычный 10 5 4 2 2 4 3" xfId="6177"/>
    <cellStyle name="Обычный 10 5 4 2 2 5" xfId="6178"/>
    <cellStyle name="Обычный 10 5 4 2 2 5 2" xfId="6179"/>
    <cellStyle name="Обычный 10 5 4 2 2 5 3" xfId="6180"/>
    <cellStyle name="Обычный 10 5 4 2 2 6" xfId="6181"/>
    <cellStyle name="Обычный 10 5 4 2 2 6 2" xfId="6182"/>
    <cellStyle name="Обычный 10 5 4 2 2 7" xfId="6183"/>
    <cellStyle name="Обычный 10 5 4 2 2 8" xfId="6184"/>
    <cellStyle name="Обычный 10 5 4 2 3" xfId="6185"/>
    <cellStyle name="Обычный 10 5 4 2 3 2" xfId="6186"/>
    <cellStyle name="Обычный 10 5 4 2 3 2 2" xfId="6187"/>
    <cellStyle name="Обычный 10 5 4 2 3 2 2 2" xfId="6188"/>
    <cellStyle name="Обычный 10 5 4 2 3 2 2 3" xfId="6189"/>
    <cellStyle name="Обычный 10 5 4 2 3 2 3" xfId="6190"/>
    <cellStyle name="Обычный 10 5 4 2 3 2 3 2" xfId="6191"/>
    <cellStyle name="Обычный 10 5 4 2 3 2 3 3" xfId="6192"/>
    <cellStyle name="Обычный 10 5 4 2 3 2 4" xfId="6193"/>
    <cellStyle name="Обычный 10 5 4 2 3 2 4 2" xfId="6194"/>
    <cellStyle name="Обычный 10 5 4 2 3 2 5" xfId="6195"/>
    <cellStyle name="Обычный 10 5 4 2 3 2 6" xfId="6196"/>
    <cellStyle name="Обычный 10 5 4 2 3 3" xfId="6197"/>
    <cellStyle name="Обычный 10 5 4 2 3 3 2" xfId="6198"/>
    <cellStyle name="Обычный 10 5 4 2 3 3 3" xfId="6199"/>
    <cellStyle name="Обычный 10 5 4 2 3 4" xfId="6200"/>
    <cellStyle name="Обычный 10 5 4 2 3 4 2" xfId="6201"/>
    <cellStyle name="Обычный 10 5 4 2 3 4 3" xfId="6202"/>
    <cellStyle name="Обычный 10 5 4 2 3 5" xfId="6203"/>
    <cellStyle name="Обычный 10 5 4 2 3 5 2" xfId="6204"/>
    <cellStyle name="Обычный 10 5 4 2 3 6" xfId="6205"/>
    <cellStyle name="Обычный 10 5 4 2 3 7" xfId="6206"/>
    <cellStyle name="Обычный 10 5 4 2 4" xfId="6207"/>
    <cellStyle name="Обычный 10 5 4 2 4 2" xfId="6208"/>
    <cellStyle name="Обычный 10 5 4 2 4 2 2" xfId="6209"/>
    <cellStyle name="Обычный 10 5 4 2 4 2 3" xfId="6210"/>
    <cellStyle name="Обычный 10 5 4 2 4 3" xfId="6211"/>
    <cellStyle name="Обычный 10 5 4 2 4 3 2" xfId="6212"/>
    <cellStyle name="Обычный 10 5 4 2 4 3 3" xfId="6213"/>
    <cellStyle name="Обычный 10 5 4 2 4 4" xfId="6214"/>
    <cellStyle name="Обычный 10 5 4 2 4 4 2" xfId="6215"/>
    <cellStyle name="Обычный 10 5 4 2 4 5" xfId="6216"/>
    <cellStyle name="Обычный 10 5 4 2 4 6" xfId="6217"/>
    <cellStyle name="Обычный 10 5 4 2 5" xfId="6218"/>
    <cellStyle name="Обычный 10 5 4 2 5 2" xfId="6219"/>
    <cellStyle name="Обычный 10 5 4 2 5 3" xfId="6220"/>
    <cellStyle name="Обычный 10 5 4 2 6" xfId="6221"/>
    <cellStyle name="Обычный 10 5 4 2 6 2" xfId="6222"/>
    <cellStyle name="Обычный 10 5 4 2 6 3" xfId="6223"/>
    <cellStyle name="Обычный 10 5 4 2 7" xfId="6224"/>
    <cellStyle name="Обычный 10 5 4 2 7 2" xfId="6225"/>
    <cellStyle name="Обычный 10 5 4 2 8" xfId="6226"/>
    <cellStyle name="Обычный 10 5 4 2 9" xfId="6227"/>
    <cellStyle name="Обычный 10 5 4 3" xfId="6228"/>
    <cellStyle name="Обычный 10 5 4 3 2" xfId="6229"/>
    <cellStyle name="Обычный 10 5 4 3 2 2" xfId="6230"/>
    <cellStyle name="Обычный 10 5 4 3 2 2 2" xfId="6231"/>
    <cellStyle name="Обычный 10 5 4 3 2 2 2 2" xfId="6232"/>
    <cellStyle name="Обычный 10 5 4 3 2 2 2 3" xfId="6233"/>
    <cellStyle name="Обычный 10 5 4 3 2 2 3" xfId="6234"/>
    <cellStyle name="Обычный 10 5 4 3 2 2 3 2" xfId="6235"/>
    <cellStyle name="Обычный 10 5 4 3 2 2 3 3" xfId="6236"/>
    <cellStyle name="Обычный 10 5 4 3 2 2 4" xfId="6237"/>
    <cellStyle name="Обычный 10 5 4 3 2 2 4 2" xfId="6238"/>
    <cellStyle name="Обычный 10 5 4 3 2 2 5" xfId="6239"/>
    <cellStyle name="Обычный 10 5 4 3 2 2 6" xfId="6240"/>
    <cellStyle name="Обычный 10 5 4 3 2 3" xfId="6241"/>
    <cellStyle name="Обычный 10 5 4 3 2 3 2" xfId="6242"/>
    <cellStyle name="Обычный 10 5 4 3 2 3 3" xfId="6243"/>
    <cellStyle name="Обычный 10 5 4 3 2 4" xfId="6244"/>
    <cellStyle name="Обычный 10 5 4 3 2 4 2" xfId="6245"/>
    <cellStyle name="Обычный 10 5 4 3 2 4 3" xfId="6246"/>
    <cellStyle name="Обычный 10 5 4 3 2 5" xfId="6247"/>
    <cellStyle name="Обычный 10 5 4 3 2 5 2" xfId="6248"/>
    <cellStyle name="Обычный 10 5 4 3 2 6" xfId="6249"/>
    <cellStyle name="Обычный 10 5 4 3 2 7" xfId="6250"/>
    <cellStyle name="Обычный 10 5 4 3 3" xfId="6251"/>
    <cellStyle name="Обычный 10 5 4 3 3 2" xfId="6252"/>
    <cellStyle name="Обычный 10 5 4 3 3 2 2" xfId="6253"/>
    <cellStyle name="Обычный 10 5 4 3 3 2 3" xfId="6254"/>
    <cellStyle name="Обычный 10 5 4 3 3 3" xfId="6255"/>
    <cellStyle name="Обычный 10 5 4 3 3 3 2" xfId="6256"/>
    <cellStyle name="Обычный 10 5 4 3 3 3 3" xfId="6257"/>
    <cellStyle name="Обычный 10 5 4 3 3 4" xfId="6258"/>
    <cellStyle name="Обычный 10 5 4 3 3 4 2" xfId="6259"/>
    <cellStyle name="Обычный 10 5 4 3 3 5" xfId="6260"/>
    <cellStyle name="Обычный 10 5 4 3 3 6" xfId="6261"/>
    <cellStyle name="Обычный 10 5 4 3 4" xfId="6262"/>
    <cellStyle name="Обычный 10 5 4 3 4 2" xfId="6263"/>
    <cellStyle name="Обычный 10 5 4 3 4 3" xfId="6264"/>
    <cellStyle name="Обычный 10 5 4 3 5" xfId="6265"/>
    <cellStyle name="Обычный 10 5 4 3 5 2" xfId="6266"/>
    <cellStyle name="Обычный 10 5 4 3 5 3" xfId="6267"/>
    <cellStyle name="Обычный 10 5 4 3 6" xfId="6268"/>
    <cellStyle name="Обычный 10 5 4 3 6 2" xfId="6269"/>
    <cellStyle name="Обычный 10 5 4 3 7" xfId="6270"/>
    <cellStyle name="Обычный 10 5 4 3 8" xfId="6271"/>
    <cellStyle name="Обычный 10 5 4 4" xfId="6272"/>
    <cellStyle name="Обычный 10 5 4 4 2" xfId="6273"/>
    <cellStyle name="Обычный 10 5 4 4 2 2" xfId="6274"/>
    <cellStyle name="Обычный 10 5 4 4 2 2 2" xfId="6275"/>
    <cellStyle name="Обычный 10 5 4 4 2 2 3" xfId="6276"/>
    <cellStyle name="Обычный 10 5 4 4 2 3" xfId="6277"/>
    <cellStyle name="Обычный 10 5 4 4 2 3 2" xfId="6278"/>
    <cellStyle name="Обычный 10 5 4 4 2 3 3" xfId="6279"/>
    <cellStyle name="Обычный 10 5 4 4 2 4" xfId="6280"/>
    <cellStyle name="Обычный 10 5 4 4 2 4 2" xfId="6281"/>
    <cellStyle name="Обычный 10 5 4 4 2 5" xfId="6282"/>
    <cellStyle name="Обычный 10 5 4 4 2 6" xfId="6283"/>
    <cellStyle name="Обычный 10 5 4 4 3" xfId="6284"/>
    <cellStyle name="Обычный 10 5 4 4 3 2" xfId="6285"/>
    <cellStyle name="Обычный 10 5 4 4 3 3" xfId="6286"/>
    <cellStyle name="Обычный 10 5 4 4 4" xfId="6287"/>
    <cellStyle name="Обычный 10 5 4 4 4 2" xfId="6288"/>
    <cellStyle name="Обычный 10 5 4 4 4 3" xfId="6289"/>
    <cellStyle name="Обычный 10 5 4 4 5" xfId="6290"/>
    <cellStyle name="Обычный 10 5 4 4 5 2" xfId="6291"/>
    <cellStyle name="Обычный 10 5 4 4 6" xfId="6292"/>
    <cellStyle name="Обычный 10 5 4 4 7" xfId="6293"/>
    <cellStyle name="Обычный 10 5 4 5" xfId="6294"/>
    <cellStyle name="Обычный 10 5 4 5 2" xfId="6295"/>
    <cellStyle name="Обычный 10 5 4 5 2 2" xfId="6296"/>
    <cellStyle name="Обычный 10 5 4 5 2 3" xfId="6297"/>
    <cellStyle name="Обычный 10 5 4 5 3" xfId="6298"/>
    <cellStyle name="Обычный 10 5 4 5 3 2" xfId="6299"/>
    <cellStyle name="Обычный 10 5 4 5 3 3" xfId="6300"/>
    <cellStyle name="Обычный 10 5 4 5 4" xfId="6301"/>
    <cellStyle name="Обычный 10 5 4 5 4 2" xfId="6302"/>
    <cellStyle name="Обычный 10 5 4 5 5" xfId="6303"/>
    <cellStyle name="Обычный 10 5 4 5 6" xfId="6304"/>
    <cellStyle name="Обычный 10 5 4 6" xfId="6305"/>
    <cellStyle name="Обычный 10 5 4 6 2" xfId="6306"/>
    <cellStyle name="Обычный 10 5 4 6 3" xfId="6307"/>
    <cellStyle name="Обычный 10 5 4 7" xfId="6308"/>
    <cellStyle name="Обычный 10 5 4 7 2" xfId="6309"/>
    <cellStyle name="Обычный 10 5 4 7 3" xfId="6310"/>
    <cellStyle name="Обычный 10 5 4 8" xfId="6311"/>
    <cellStyle name="Обычный 10 5 4 8 2" xfId="6312"/>
    <cellStyle name="Обычный 10 5 4 9" xfId="6313"/>
    <cellStyle name="Обычный 10 5 5" xfId="6314"/>
    <cellStyle name="Обычный 10 5 5 10" xfId="6315"/>
    <cellStyle name="Обычный 10 5 5 2" xfId="6316"/>
    <cellStyle name="Обычный 10 5 5 2 2" xfId="6317"/>
    <cellStyle name="Обычный 10 5 5 2 2 2" xfId="6318"/>
    <cellStyle name="Обычный 10 5 5 2 2 2 2" xfId="6319"/>
    <cellStyle name="Обычный 10 5 5 2 2 2 2 2" xfId="6320"/>
    <cellStyle name="Обычный 10 5 5 2 2 2 2 2 2" xfId="6321"/>
    <cellStyle name="Обычный 10 5 5 2 2 2 2 2 3" xfId="6322"/>
    <cellStyle name="Обычный 10 5 5 2 2 2 2 3" xfId="6323"/>
    <cellStyle name="Обычный 10 5 5 2 2 2 2 3 2" xfId="6324"/>
    <cellStyle name="Обычный 10 5 5 2 2 2 2 3 3" xfId="6325"/>
    <cellStyle name="Обычный 10 5 5 2 2 2 2 4" xfId="6326"/>
    <cellStyle name="Обычный 10 5 5 2 2 2 2 4 2" xfId="6327"/>
    <cellStyle name="Обычный 10 5 5 2 2 2 2 5" xfId="6328"/>
    <cellStyle name="Обычный 10 5 5 2 2 2 2 6" xfId="6329"/>
    <cellStyle name="Обычный 10 5 5 2 2 2 3" xfId="6330"/>
    <cellStyle name="Обычный 10 5 5 2 2 2 3 2" xfId="6331"/>
    <cellStyle name="Обычный 10 5 5 2 2 2 3 3" xfId="6332"/>
    <cellStyle name="Обычный 10 5 5 2 2 2 4" xfId="6333"/>
    <cellStyle name="Обычный 10 5 5 2 2 2 4 2" xfId="6334"/>
    <cellStyle name="Обычный 10 5 5 2 2 2 4 3" xfId="6335"/>
    <cellStyle name="Обычный 10 5 5 2 2 2 5" xfId="6336"/>
    <cellStyle name="Обычный 10 5 5 2 2 2 5 2" xfId="6337"/>
    <cellStyle name="Обычный 10 5 5 2 2 2 6" xfId="6338"/>
    <cellStyle name="Обычный 10 5 5 2 2 2 7" xfId="6339"/>
    <cellStyle name="Обычный 10 5 5 2 2 3" xfId="6340"/>
    <cellStyle name="Обычный 10 5 5 2 2 3 2" xfId="6341"/>
    <cellStyle name="Обычный 10 5 5 2 2 3 2 2" xfId="6342"/>
    <cellStyle name="Обычный 10 5 5 2 2 3 2 3" xfId="6343"/>
    <cellStyle name="Обычный 10 5 5 2 2 3 3" xfId="6344"/>
    <cellStyle name="Обычный 10 5 5 2 2 3 3 2" xfId="6345"/>
    <cellStyle name="Обычный 10 5 5 2 2 3 3 3" xfId="6346"/>
    <cellStyle name="Обычный 10 5 5 2 2 3 4" xfId="6347"/>
    <cellStyle name="Обычный 10 5 5 2 2 3 4 2" xfId="6348"/>
    <cellStyle name="Обычный 10 5 5 2 2 3 5" xfId="6349"/>
    <cellStyle name="Обычный 10 5 5 2 2 3 6" xfId="6350"/>
    <cellStyle name="Обычный 10 5 5 2 2 4" xfId="6351"/>
    <cellStyle name="Обычный 10 5 5 2 2 4 2" xfId="6352"/>
    <cellStyle name="Обычный 10 5 5 2 2 4 3" xfId="6353"/>
    <cellStyle name="Обычный 10 5 5 2 2 5" xfId="6354"/>
    <cellStyle name="Обычный 10 5 5 2 2 5 2" xfId="6355"/>
    <cellStyle name="Обычный 10 5 5 2 2 5 3" xfId="6356"/>
    <cellStyle name="Обычный 10 5 5 2 2 6" xfId="6357"/>
    <cellStyle name="Обычный 10 5 5 2 2 6 2" xfId="6358"/>
    <cellStyle name="Обычный 10 5 5 2 2 7" xfId="6359"/>
    <cellStyle name="Обычный 10 5 5 2 2 8" xfId="6360"/>
    <cellStyle name="Обычный 10 5 5 2 3" xfId="6361"/>
    <cellStyle name="Обычный 10 5 5 2 3 2" xfId="6362"/>
    <cellStyle name="Обычный 10 5 5 2 3 2 2" xfId="6363"/>
    <cellStyle name="Обычный 10 5 5 2 3 2 2 2" xfId="6364"/>
    <cellStyle name="Обычный 10 5 5 2 3 2 2 3" xfId="6365"/>
    <cellStyle name="Обычный 10 5 5 2 3 2 3" xfId="6366"/>
    <cellStyle name="Обычный 10 5 5 2 3 2 3 2" xfId="6367"/>
    <cellStyle name="Обычный 10 5 5 2 3 2 3 3" xfId="6368"/>
    <cellStyle name="Обычный 10 5 5 2 3 2 4" xfId="6369"/>
    <cellStyle name="Обычный 10 5 5 2 3 2 4 2" xfId="6370"/>
    <cellStyle name="Обычный 10 5 5 2 3 2 5" xfId="6371"/>
    <cellStyle name="Обычный 10 5 5 2 3 2 6" xfId="6372"/>
    <cellStyle name="Обычный 10 5 5 2 3 3" xfId="6373"/>
    <cellStyle name="Обычный 10 5 5 2 3 3 2" xfId="6374"/>
    <cellStyle name="Обычный 10 5 5 2 3 3 3" xfId="6375"/>
    <cellStyle name="Обычный 10 5 5 2 3 4" xfId="6376"/>
    <cellStyle name="Обычный 10 5 5 2 3 4 2" xfId="6377"/>
    <cellStyle name="Обычный 10 5 5 2 3 4 3" xfId="6378"/>
    <cellStyle name="Обычный 10 5 5 2 3 5" xfId="6379"/>
    <cellStyle name="Обычный 10 5 5 2 3 5 2" xfId="6380"/>
    <cellStyle name="Обычный 10 5 5 2 3 6" xfId="6381"/>
    <cellStyle name="Обычный 10 5 5 2 3 7" xfId="6382"/>
    <cellStyle name="Обычный 10 5 5 2 4" xfId="6383"/>
    <cellStyle name="Обычный 10 5 5 2 4 2" xfId="6384"/>
    <cellStyle name="Обычный 10 5 5 2 4 2 2" xfId="6385"/>
    <cellStyle name="Обычный 10 5 5 2 4 2 3" xfId="6386"/>
    <cellStyle name="Обычный 10 5 5 2 4 3" xfId="6387"/>
    <cellStyle name="Обычный 10 5 5 2 4 3 2" xfId="6388"/>
    <cellStyle name="Обычный 10 5 5 2 4 3 3" xfId="6389"/>
    <cellStyle name="Обычный 10 5 5 2 4 4" xfId="6390"/>
    <cellStyle name="Обычный 10 5 5 2 4 4 2" xfId="6391"/>
    <cellStyle name="Обычный 10 5 5 2 4 5" xfId="6392"/>
    <cellStyle name="Обычный 10 5 5 2 4 6" xfId="6393"/>
    <cellStyle name="Обычный 10 5 5 2 5" xfId="6394"/>
    <cellStyle name="Обычный 10 5 5 2 5 2" xfId="6395"/>
    <cellStyle name="Обычный 10 5 5 2 5 3" xfId="6396"/>
    <cellStyle name="Обычный 10 5 5 2 6" xfId="6397"/>
    <cellStyle name="Обычный 10 5 5 2 6 2" xfId="6398"/>
    <cellStyle name="Обычный 10 5 5 2 6 3" xfId="6399"/>
    <cellStyle name="Обычный 10 5 5 2 7" xfId="6400"/>
    <cellStyle name="Обычный 10 5 5 2 7 2" xfId="6401"/>
    <cellStyle name="Обычный 10 5 5 2 8" xfId="6402"/>
    <cellStyle name="Обычный 10 5 5 2 9" xfId="6403"/>
    <cellStyle name="Обычный 10 5 5 3" xfId="6404"/>
    <cellStyle name="Обычный 10 5 5 3 2" xfId="6405"/>
    <cellStyle name="Обычный 10 5 5 3 2 2" xfId="6406"/>
    <cellStyle name="Обычный 10 5 5 3 2 2 2" xfId="6407"/>
    <cellStyle name="Обычный 10 5 5 3 2 2 2 2" xfId="6408"/>
    <cellStyle name="Обычный 10 5 5 3 2 2 2 3" xfId="6409"/>
    <cellStyle name="Обычный 10 5 5 3 2 2 3" xfId="6410"/>
    <cellStyle name="Обычный 10 5 5 3 2 2 3 2" xfId="6411"/>
    <cellStyle name="Обычный 10 5 5 3 2 2 3 3" xfId="6412"/>
    <cellStyle name="Обычный 10 5 5 3 2 2 4" xfId="6413"/>
    <cellStyle name="Обычный 10 5 5 3 2 2 4 2" xfId="6414"/>
    <cellStyle name="Обычный 10 5 5 3 2 2 5" xfId="6415"/>
    <cellStyle name="Обычный 10 5 5 3 2 2 6" xfId="6416"/>
    <cellStyle name="Обычный 10 5 5 3 2 3" xfId="6417"/>
    <cellStyle name="Обычный 10 5 5 3 2 3 2" xfId="6418"/>
    <cellStyle name="Обычный 10 5 5 3 2 3 3" xfId="6419"/>
    <cellStyle name="Обычный 10 5 5 3 2 4" xfId="6420"/>
    <cellStyle name="Обычный 10 5 5 3 2 4 2" xfId="6421"/>
    <cellStyle name="Обычный 10 5 5 3 2 4 3" xfId="6422"/>
    <cellStyle name="Обычный 10 5 5 3 2 5" xfId="6423"/>
    <cellStyle name="Обычный 10 5 5 3 2 5 2" xfId="6424"/>
    <cellStyle name="Обычный 10 5 5 3 2 6" xfId="6425"/>
    <cellStyle name="Обычный 10 5 5 3 2 7" xfId="6426"/>
    <cellStyle name="Обычный 10 5 5 3 3" xfId="6427"/>
    <cellStyle name="Обычный 10 5 5 3 3 2" xfId="6428"/>
    <cellStyle name="Обычный 10 5 5 3 3 2 2" xfId="6429"/>
    <cellStyle name="Обычный 10 5 5 3 3 2 3" xfId="6430"/>
    <cellStyle name="Обычный 10 5 5 3 3 3" xfId="6431"/>
    <cellStyle name="Обычный 10 5 5 3 3 3 2" xfId="6432"/>
    <cellStyle name="Обычный 10 5 5 3 3 3 3" xfId="6433"/>
    <cellStyle name="Обычный 10 5 5 3 3 4" xfId="6434"/>
    <cellStyle name="Обычный 10 5 5 3 3 4 2" xfId="6435"/>
    <cellStyle name="Обычный 10 5 5 3 3 5" xfId="6436"/>
    <cellStyle name="Обычный 10 5 5 3 3 6" xfId="6437"/>
    <cellStyle name="Обычный 10 5 5 3 4" xfId="6438"/>
    <cellStyle name="Обычный 10 5 5 3 4 2" xfId="6439"/>
    <cellStyle name="Обычный 10 5 5 3 4 3" xfId="6440"/>
    <cellStyle name="Обычный 10 5 5 3 5" xfId="6441"/>
    <cellStyle name="Обычный 10 5 5 3 5 2" xfId="6442"/>
    <cellStyle name="Обычный 10 5 5 3 5 3" xfId="6443"/>
    <cellStyle name="Обычный 10 5 5 3 6" xfId="6444"/>
    <cellStyle name="Обычный 10 5 5 3 6 2" xfId="6445"/>
    <cellStyle name="Обычный 10 5 5 3 7" xfId="6446"/>
    <cellStyle name="Обычный 10 5 5 3 8" xfId="6447"/>
    <cellStyle name="Обычный 10 5 5 4" xfId="6448"/>
    <cellStyle name="Обычный 10 5 5 4 2" xfId="6449"/>
    <cellStyle name="Обычный 10 5 5 4 2 2" xfId="6450"/>
    <cellStyle name="Обычный 10 5 5 4 2 2 2" xfId="6451"/>
    <cellStyle name="Обычный 10 5 5 4 2 2 3" xfId="6452"/>
    <cellStyle name="Обычный 10 5 5 4 2 3" xfId="6453"/>
    <cellStyle name="Обычный 10 5 5 4 2 3 2" xfId="6454"/>
    <cellStyle name="Обычный 10 5 5 4 2 3 3" xfId="6455"/>
    <cellStyle name="Обычный 10 5 5 4 2 4" xfId="6456"/>
    <cellStyle name="Обычный 10 5 5 4 2 4 2" xfId="6457"/>
    <cellStyle name="Обычный 10 5 5 4 2 5" xfId="6458"/>
    <cellStyle name="Обычный 10 5 5 4 2 6" xfId="6459"/>
    <cellStyle name="Обычный 10 5 5 4 3" xfId="6460"/>
    <cellStyle name="Обычный 10 5 5 4 3 2" xfId="6461"/>
    <cellStyle name="Обычный 10 5 5 4 3 3" xfId="6462"/>
    <cellStyle name="Обычный 10 5 5 4 4" xfId="6463"/>
    <cellStyle name="Обычный 10 5 5 4 4 2" xfId="6464"/>
    <cellStyle name="Обычный 10 5 5 4 4 3" xfId="6465"/>
    <cellStyle name="Обычный 10 5 5 4 5" xfId="6466"/>
    <cellStyle name="Обычный 10 5 5 4 5 2" xfId="6467"/>
    <cellStyle name="Обычный 10 5 5 4 6" xfId="6468"/>
    <cellStyle name="Обычный 10 5 5 4 7" xfId="6469"/>
    <cellStyle name="Обычный 10 5 5 5" xfId="6470"/>
    <cellStyle name="Обычный 10 5 5 5 2" xfId="6471"/>
    <cellStyle name="Обычный 10 5 5 5 2 2" xfId="6472"/>
    <cellStyle name="Обычный 10 5 5 5 2 3" xfId="6473"/>
    <cellStyle name="Обычный 10 5 5 5 3" xfId="6474"/>
    <cellStyle name="Обычный 10 5 5 5 3 2" xfId="6475"/>
    <cellStyle name="Обычный 10 5 5 5 3 3" xfId="6476"/>
    <cellStyle name="Обычный 10 5 5 5 4" xfId="6477"/>
    <cellStyle name="Обычный 10 5 5 5 4 2" xfId="6478"/>
    <cellStyle name="Обычный 10 5 5 5 5" xfId="6479"/>
    <cellStyle name="Обычный 10 5 5 5 6" xfId="6480"/>
    <cellStyle name="Обычный 10 5 5 6" xfId="6481"/>
    <cellStyle name="Обычный 10 5 5 6 2" xfId="6482"/>
    <cellStyle name="Обычный 10 5 5 6 3" xfId="6483"/>
    <cellStyle name="Обычный 10 5 5 7" xfId="6484"/>
    <cellStyle name="Обычный 10 5 5 7 2" xfId="6485"/>
    <cellStyle name="Обычный 10 5 5 7 3" xfId="6486"/>
    <cellStyle name="Обычный 10 5 5 8" xfId="6487"/>
    <cellStyle name="Обычный 10 5 5 8 2" xfId="6488"/>
    <cellStyle name="Обычный 10 5 5 9" xfId="6489"/>
    <cellStyle name="Обычный 10 5 6" xfId="6490"/>
    <cellStyle name="Обычный 10 5 6 2" xfId="6491"/>
    <cellStyle name="Обычный 10 5 6 2 2" xfId="6492"/>
    <cellStyle name="Обычный 10 5 6 2 2 2" xfId="6493"/>
    <cellStyle name="Обычный 10 5 6 2 2 2 2" xfId="6494"/>
    <cellStyle name="Обычный 10 5 6 2 2 2 2 2" xfId="6495"/>
    <cellStyle name="Обычный 10 5 6 2 2 2 2 3" xfId="6496"/>
    <cellStyle name="Обычный 10 5 6 2 2 2 3" xfId="6497"/>
    <cellStyle name="Обычный 10 5 6 2 2 2 3 2" xfId="6498"/>
    <cellStyle name="Обычный 10 5 6 2 2 2 3 3" xfId="6499"/>
    <cellStyle name="Обычный 10 5 6 2 2 2 4" xfId="6500"/>
    <cellStyle name="Обычный 10 5 6 2 2 2 4 2" xfId="6501"/>
    <cellStyle name="Обычный 10 5 6 2 2 2 5" xfId="6502"/>
    <cellStyle name="Обычный 10 5 6 2 2 2 6" xfId="6503"/>
    <cellStyle name="Обычный 10 5 6 2 2 3" xfId="6504"/>
    <cellStyle name="Обычный 10 5 6 2 2 3 2" xfId="6505"/>
    <cellStyle name="Обычный 10 5 6 2 2 3 3" xfId="6506"/>
    <cellStyle name="Обычный 10 5 6 2 2 4" xfId="6507"/>
    <cellStyle name="Обычный 10 5 6 2 2 4 2" xfId="6508"/>
    <cellStyle name="Обычный 10 5 6 2 2 4 3" xfId="6509"/>
    <cellStyle name="Обычный 10 5 6 2 2 5" xfId="6510"/>
    <cellStyle name="Обычный 10 5 6 2 2 5 2" xfId="6511"/>
    <cellStyle name="Обычный 10 5 6 2 2 6" xfId="6512"/>
    <cellStyle name="Обычный 10 5 6 2 2 7" xfId="6513"/>
    <cellStyle name="Обычный 10 5 6 2 3" xfId="6514"/>
    <cellStyle name="Обычный 10 5 6 2 3 2" xfId="6515"/>
    <cellStyle name="Обычный 10 5 6 2 3 2 2" xfId="6516"/>
    <cellStyle name="Обычный 10 5 6 2 3 2 3" xfId="6517"/>
    <cellStyle name="Обычный 10 5 6 2 3 3" xfId="6518"/>
    <cellStyle name="Обычный 10 5 6 2 3 3 2" xfId="6519"/>
    <cellStyle name="Обычный 10 5 6 2 3 3 3" xfId="6520"/>
    <cellStyle name="Обычный 10 5 6 2 3 4" xfId="6521"/>
    <cellStyle name="Обычный 10 5 6 2 3 4 2" xfId="6522"/>
    <cellStyle name="Обычный 10 5 6 2 3 5" xfId="6523"/>
    <cellStyle name="Обычный 10 5 6 2 3 6" xfId="6524"/>
    <cellStyle name="Обычный 10 5 6 2 4" xfId="6525"/>
    <cellStyle name="Обычный 10 5 6 2 4 2" xfId="6526"/>
    <cellStyle name="Обычный 10 5 6 2 4 3" xfId="6527"/>
    <cellStyle name="Обычный 10 5 6 2 5" xfId="6528"/>
    <cellStyle name="Обычный 10 5 6 2 5 2" xfId="6529"/>
    <cellStyle name="Обычный 10 5 6 2 5 3" xfId="6530"/>
    <cellStyle name="Обычный 10 5 6 2 6" xfId="6531"/>
    <cellStyle name="Обычный 10 5 6 2 6 2" xfId="6532"/>
    <cellStyle name="Обычный 10 5 6 2 7" xfId="6533"/>
    <cellStyle name="Обычный 10 5 6 2 8" xfId="6534"/>
    <cellStyle name="Обычный 10 5 6 3" xfId="6535"/>
    <cellStyle name="Обычный 10 5 6 3 2" xfId="6536"/>
    <cellStyle name="Обычный 10 5 6 3 2 2" xfId="6537"/>
    <cellStyle name="Обычный 10 5 6 3 2 2 2" xfId="6538"/>
    <cellStyle name="Обычный 10 5 6 3 2 2 3" xfId="6539"/>
    <cellStyle name="Обычный 10 5 6 3 2 3" xfId="6540"/>
    <cellStyle name="Обычный 10 5 6 3 2 3 2" xfId="6541"/>
    <cellStyle name="Обычный 10 5 6 3 2 3 3" xfId="6542"/>
    <cellStyle name="Обычный 10 5 6 3 2 4" xfId="6543"/>
    <cellStyle name="Обычный 10 5 6 3 2 4 2" xfId="6544"/>
    <cellStyle name="Обычный 10 5 6 3 2 5" xfId="6545"/>
    <cellStyle name="Обычный 10 5 6 3 2 6" xfId="6546"/>
    <cellStyle name="Обычный 10 5 6 3 3" xfId="6547"/>
    <cellStyle name="Обычный 10 5 6 3 3 2" xfId="6548"/>
    <cellStyle name="Обычный 10 5 6 3 3 3" xfId="6549"/>
    <cellStyle name="Обычный 10 5 6 3 4" xfId="6550"/>
    <cellStyle name="Обычный 10 5 6 3 4 2" xfId="6551"/>
    <cellStyle name="Обычный 10 5 6 3 4 3" xfId="6552"/>
    <cellStyle name="Обычный 10 5 6 3 5" xfId="6553"/>
    <cellStyle name="Обычный 10 5 6 3 5 2" xfId="6554"/>
    <cellStyle name="Обычный 10 5 6 3 6" xfId="6555"/>
    <cellStyle name="Обычный 10 5 6 3 7" xfId="6556"/>
    <cellStyle name="Обычный 10 5 6 4" xfId="6557"/>
    <cellStyle name="Обычный 10 5 6 4 2" xfId="6558"/>
    <cellStyle name="Обычный 10 5 6 4 2 2" xfId="6559"/>
    <cellStyle name="Обычный 10 5 6 4 2 3" xfId="6560"/>
    <cellStyle name="Обычный 10 5 6 4 3" xfId="6561"/>
    <cellStyle name="Обычный 10 5 6 4 3 2" xfId="6562"/>
    <cellStyle name="Обычный 10 5 6 4 3 3" xfId="6563"/>
    <cellStyle name="Обычный 10 5 6 4 4" xfId="6564"/>
    <cellStyle name="Обычный 10 5 6 4 4 2" xfId="6565"/>
    <cellStyle name="Обычный 10 5 6 4 5" xfId="6566"/>
    <cellStyle name="Обычный 10 5 6 4 6" xfId="6567"/>
    <cellStyle name="Обычный 10 5 6 5" xfId="6568"/>
    <cellStyle name="Обычный 10 5 6 5 2" xfId="6569"/>
    <cellStyle name="Обычный 10 5 6 5 3" xfId="6570"/>
    <cellStyle name="Обычный 10 5 6 6" xfId="6571"/>
    <cellStyle name="Обычный 10 5 6 6 2" xfId="6572"/>
    <cellStyle name="Обычный 10 5 6 6 3" xfId="6573"/>
    <cellStyle name="Обычный 10 5 6 7" xfId="6574"/>
    <cellStyle name="Обычный 10 5 6 7 2" xfId="6575"/>
    <cellStyle name="Обычный 10 5 6 8" xfId="6576"/>
    <cellStyle name="Обычный 10 5 6 9" xfId="6577"/>
    <cellStyle name="Обычный 10 5 7" xfId="6578"/>
    <cellStyle name="Обычный 10 5 7 2" xfId="6579"/>
    <cellStyle name="Обычный 10 5 7 2 2" xfId="6580"/>
    <cellStyle name="Обычный 10 5 7 2 2 2" xfId="6581"/>
    <cellStyle name="Обычный 10 5 7 2 2 2 2" xfId="6582"/>
    <cellStyle name="Обычный 10 5 7 2 2 2 3" xfId="6583"/>
    <cellStyle name="Обычный 10 5 7 2 2 3" xfId="6584"/>
    <cellStyle name="Обычный 10 5 7 2 2 3 2" xfId="6585"/>
    <cellStyle name="Обычный 10 5 7 2 2 3 3" xfId="6586"/>
    <cellStyle name="Обычный 10 5 7 2 2 4" xfId="6587"/>
    <cellStyle name="Обычный 10 5 7 2 2 4 2" xfId="6588"/>
    <cellStyle name="Обычный 10 5 7 2 2 5" xfId="6589"/>
    <cellStyle name="Обычный 10 5 7 2 2 6" xfId="6590"/>
    <cellStyle name="Обычный 10 5 7 2 3" xfId="6591"/>
    <cellStyle name="Обычный 10 5 7 2 3 2" xfId="6592"/>
    <cellStyle name="Обычный 10 5 7 2 3 3" xfId="6593"/>
    <cellStyle name="Обычный 10 5 7 2 4" xfId="6594"/>
    <cellStyle name="Обычный 10 5 7 2 4 2" xfId="6595"/>
    <cellStyle name="Обычный 10 5 7 2 4 3" xfId="6596"/>
    <cellStyle name="Обычный 10 5 7 2 5" xfId="6597"/>
    <cellStyle name="Обычный 10 5 7 2 5 2" xfId="6598"/>
    <cellStyle name="Обычный 10 5 7 2 6" xfId="6599"/>
    <cellStyle name="Обычный 10 5 7 2 7" xfId="6600"/>
    <cellStyle name="Обычный 10 5 7 3" xfId="6601"/>
    <cellStyle name="Обычный 10 5 7 3 2" xfId="6602"/>
    <cellStyle name="Обычный 10 5 7 3 2 2" xfId="6603"/>
    <cellStyle name="Обычный 10 5 7 3 2 3" xfId="6604"/>
    <cellStyle name="Обычный 10 5 7 3 3" xfId="6605"/>
    <cellStyle name="Обычный 10 5 7 3 3 2" xfId="6606"/>
    <cellStyle name="Обычный 10 5 7 3 3 3" xfId="6607"/>
    <cellStyle name="Обычный 10 5 7 3 4" xfId="6608"/>
    <cellStyle name="Обычный 10 5 7 3 4 2" xfId="6609"/>
    <cellStyle name="Обычный 10 5 7 3 5" xfId="6610"/>
    <cellStyle name="Обычный 10 5 7 3 6" xfId="6611"/>
    <cellStyle name="Обычный 10 5 7 4" xfId="6612"/>
    <cellStyle name="Обычный 10 5 7 4 2" xfId="6613"/>
    <cellStyle name="Обычный 10 5 7 4 3" xfId="6614"/>
    <cellStyle name="Обычный 10 5 7 5" xfId="6615"/>
    <cellStyle name="Обычный 10 5 7 5 2" xfId="6616"/>
    <cellStyle name="Обычный 10 5 7 5 3" xfId="6617"/>
    <cellStyle name="Обычный 10 5 7 6" xfId="6618"/>
    <cellStyle name="Обычный 10 5 7 6 2" xfId="6619"/>
    <cellStyle name="Обычный 10 5 7 7" xfId="6620"/>
    <cellStyle name="Обычный 10 5 7 8" xfId="6621"/>
    <cellStyle name="Обычный 10 5 8" xfId="6622"/>
    <cellStyle name="Обычный 10 5 8 2" xfId="6623"/>
    <cellStyle name="Обычный 10 5 8 2 2" xfId="6624"/>
    <cellStyle name="Обычный 10 5 8 2 2 2" xfId="6625"/>
    <cellStyle name="Обычный 10 5 8 2 2 3" xfId="6626"/>
    <cellStyle name="Обычный 10 5 8 2 3" xfId="6627"/>
    <cellStyle name="Обычный 10 5 8 2 3 2" xfId="6628"/>
    <cellStyle name="Обычный 10 5 8 2 3 3" xfId="6629"/>
    <cellStyle name="Обычный 10 5 8 2 4" xfId="6630"/>
    <cellStyle name="Обычный 10 5 8 2 4 2" xfId="6631"/>
    <cellStyle name="Обычный 10 5 8 2 5" xfId="6632"/>
    <cellStyle name="Обычный 10 5 8 2 6" xfId="6633"/>
    <cellStyle name="Обычный 10 5 8 3" xfId="6634"/>
    <cellStyle name="Обычный 10 5 8 3 2" xfId="6635"/>
    <cellStyle name="Обычный 10 5 8 3 3" xfId="6636"/>
    <cellStyle name="Обычный 10 5 8 4" xfId="6637"/>
    <cellStyle name="Обычный 10 5 8 4 2" xfId="6638"/>
    <cellStyle name="Обычный 10 5 8 4 3" xfId="6639"/>
    <cellStyle name="Обычный 10 5 8 5" xfId="6640"/>
    <cellStyle name="Обычный 10 5 8 5 2" xfId="6641"/>
    <cellStyle name="Обычный 10 5 8 6" xfId="6642"/>
    <cellStyle name="Обычный 10 5 8 7" xfId="6643"/>
    <cellStyle name="Обычный 10 5 9" xfId="6644"/>
    <cellStyle name="Обычный 10 5 9 2" xfId="6645"/>
    <cellStyle name="Обычный 10 5 9 2 2" xfId="6646"/>
    <cellStyle name="Обычный 10 5 9 2 3" xfId="6647"/>
    <cellStyle name="Обычный 10 5 9 3" xfId="6648"/>
    <cellStyle name="Обычный 10 5 9 3 2" xfId="6649"/>
    <cellStyle name="Обычный 10 5 9 3 3" xfId="6650"/>
    <cellStyle name="Обычный 10 5 9 4" xfId="6651"/>
    <cellStyle name="Обычный 10 5 9 4 2" xfId="6652"/>
    <cellStyle name="Обычный 10 5 9 5" xfId="6653"/>
    <cellStyle name="Обычный 10 5 9 6" xfId="6654"/>
    <cellStyle name="Обычный 10 6" xfId="6655"/>
    <cellStyle name="Обычный 10 6 10" xfId="6656"/>
    <cellStyle name="Обычный 10 6 10 2" xfId="6657"/>
    <cellStyle name="Обычный 10 6 10 3" xfId="6658"/>
    <cellStyle name="Обычный 10 6 11" xfId="6659"/>
    <cellStyle name="Обычный 10 6 11 2" xfId="6660"/>
    <cellStyle name="Обычный 10 6 11 3" xfId="6661"/>
    <cellStyle name="Обычный 10 6 12" xfId="6662"/>
    <cellStyle name="Обычный 10 6 12 2" xfId="6663"/>
    <cellStyle name="Обычный 10 6 13" xfId="6664"/>
    <cellStyle name="Обычный 10 6 14" xfId="6665"/>
    <cellStyle name="Обычный 10 6 2" xfId="6666"/>
    <cellStyle name="Обычный 10 6 2 10" xfId="6667"/>
    <cellStyle name="Обычный 10 6 2 10 2" xfId="6668"/>
    <cellStyle name="Обычный 10 6 2 10 3" xfId="6669"/>
    <cellStyle name="Обычный 10 6 2 11" xfId="6670"/>
    <cellStyle name="Обычный 10 6 2 11 2" xfId="6671"/>
    <cellStyle name="Обычный 10 6 2 12" xfId="6672"/>
    <cellStyle name="Обычный 10 6 2 13" xfId="6673"/>
    <cellStyle name="Обычный 10 6 2 2" xfId="6674"/>
    <cellStyle name="Обычный 10 6 2 2 10" xfId="6675"/>
    <cellStyle name="Обычный 10 6 2 2 2" xfId="6676"/>
    <cellStyle name="Обычный 10 6 2 2 2 2" xfId="6677"/>
    <cellStyle name="Обычный 10 6 2 2 2 2 2" xfId="6678"/>
    <cellStyle name="Обычный 10 6 2 2 2 2 2 2" xfId="6679"/>
    <cellStyle name="Обычный 10 6 2 2 2 2 2 2 2" xfId="6680"/>
    <cellStyle name="Обычный 10 6 2 2 2 2 2 2 2 2" xfId="6681"/>
    <cellStyle name="Обычный 10 6 2 2 2 2 2 2 2 3" xfId="6682"/>
    <cellStyle name="Обычный 10 6 2 2 2 2 2 2 3" xfId="6683"/>
    <cellStyle name="Обычный 10 6 2 2 2 2 2 2 3 2" xfId="6684"/>
    <cellStyle name="Обычный 10 6 2 2 2 2 2 2 3 3" xfId="6685"/>
    <cellStyle name="Обычный 10 6 2 2 2 2 2 2 4" xfId="6686"/>
    <cellStyle name="Обычный 10 6 2 2 2 2 2 2 4 2" xfId="6687"/>
    <cellStyle name="Обычный 10 6 2 2 2 2 2 2 5" xfId="6688"/>
    <cellStyle name="Обычный 10 6 2 2 2 2 2 2 6" xfId="6689"/>
    <cellStyle name="Обычный 10 6 2 2 2 2 2 3" xfId="6690"/>
    <cellStyle name="Обычный 10 6 2 2 2 2 2 3 2" xfId="6691"/>
    <cellStyle name="Обычный 10 6 2 2 2 2 2 3 3" xfId="6692"/>
    <cellStyle name="Обычный 10 6 2 2 2 2 2 4" xfId="6693"/>
    <cellStyle name="Обычный 10 6 2 2 2 2 2 4 2" xfId="6694"/>
    <cellStyle name="Обычный 10 6 2 2 2 2 2 4 3" xfId="6695"/>
    <cellStyle name="Обычный 10 6 2 2 2 2 2 5" xfId="6696"/>
    <cellStyle name="Обычный 10 6 2 2 2 2 2 5 2" xfId="6697"/>
    <cellStyle name="Обычный 10 6 2 2 2 2 2 6" xfId="6698"/>
    <cellStyle name="Обычный 10 6 2 2 2 2 2 7" xfId="6699"/>
    <cellStyle name="Обычный 10 6 2 2 2 2 3" xfId="6700"/>
    <cellStyle name="Обычный 10 6 2 2 2 2 3 2" xfId="6701"/>
    <cellStyle name="Обычный 10 6 2 2 2 2 3 2 2" xfId="6702"/>
    <cellStyle name="Обычный 10 6 2 2 2 2 3 2 3" xfId="6703"/>
    <cellStyle name="Обычный 10 6 2 2 2 2 3 3" xfId="6704"/>
    <cellStyle name="Обычный 10 6 2 2 2 2 3 3 2" xfId="6705"/>
    <cellStyle name="Обычный 10 6 2 2 2 2 3 3 3" xfId="6706"/>
    <cellStyle name="Обычный 10 6 2 2 2 2 3 4" xfId="6707"/>
    <cellStyle name="Обычный 10 6 2 2 2 2 3 4 2" xfId="6708"/>
    <cellStyle name="Обычный 10 6 2 2 2 2 3 5" xfId="6709"/>
    <cellStyle name="Обычный 10 6 2 2 2 2 3 6" xfId="6710"/>
    <cellStyle name="Обычный 10 6 2 2 2 2 4" xfId="6711"/>
    <cellStyle name="Обычный 10 6 2 2 2 2 4 2" xfId="6712"/>
    <cellStyle name="Обычный 10 6 2 2 2 2 4 3" xfId="6713"/>
    <cellStyle name="Обычный 10 6 2 2 2 2 5" xfId="6714"/>
    <cellStyle name="Обычный 10 6 2 2 2 2 5 2" xfId="6715"/>
    <cellStyle name="Обычный 10 6 2 2 2 2 5 3" xfId="6716"/>
    <cellStyle name="Обычный 10 6 2 2 2 2 6" xfId="6717"/>
    <cellStyle name="Обычный 10 6 2 2 2 2 6 2" xfId="6718"/>
    <cellStyle name="Обычный 10 6 2 2 2 2 7" xfId="6719"/>
    <cellStyle name="Обычный 10 6 2 2 2 2 8" xfId="6720"/>
    <cellStyle name="Обычный 10 6 2 2 2 3" xfId="6721"/>
    <cellStyle name="Обычный 10 6 2 2 2 3 2" xfId="6722"/>
    <cellStyle name="Обычный 10 6 2 2 2 3 2 2" xfId="6723"/>
    <cellStyle name="Обычный 10 6 2 2 2 3 2 2 2" xfId="6724"/>
    <cellStyle name="Обычный 10 6 2 2 2 3 2 2 3" xfId="6725"/>
    <cellStyle name="Обычный 10 6 2 2 2 3 2 3" xfId="6726"/>
    <cellStyle name="Обычный 10 6 2 2 2 3 2 3 2" xfId="6727"/>
    <cellStyle name="Обычный 10 6 2 2 2 3 2 3 3" xfId="6728"/>
    <cellStyle name="Обычный 10 6 2 2 2 3 2 4" xfId="6729"/>
    <cellStyle name="Обычный 10 6 2 2 2 3 2 4 2" xfId="6730"/>
    <cellStyle name="Обычный 10 6 2 2 2 3 2 5" xfId="6731"/>
    <cellStyle name="Обычный 10 6 2 2 2 3 2 6" xfId="6732"/>
    <cellStyle name="Обычный 10 6 2 2 2 3 3" xfId="6733"/>
    <cellStyle name="Обычный 10 6 2 2 2 3 3 2" xfId="6734"/>
    <cellStyle name="Обычный 10 6 2 2 2 3 3 3" xfId="6735"/>
    <cellStyle name="Обычный 10 6 2 2 2 3 4" xfId="6736"/>
    <cellStyle name="Обычный 10 6 2 2 2 3 4 2" xfId="6737"/>
    <cellStyle name="Обычный 10 6 2 2 2 3 4 3" xfId="6738"/>
    <cellStyle name="Обычный 10 6 2 2 2 3 5" xfId="6739"/>
    <cellStyle name="Обычный 10 6 2 2 2 3 5 2" xfId="6740"/>
    <cellStyle name="Обычный 10 6 2 2 2 3 6" xfId="6741"/>
    <cellStyle name="Обычный 10 6 2 2 2 3 7" xfId="6742"/>
    <cellStyle name="Обычный 10 6 2 2 2 4" xfId="6743"/>
    <cellStyle name="Обычный 10 6 2 2 2 4 2" xfId="6744"/>
    <cellStyle name="Обычный 10 6 2 2 2 4 2 2" xfId="6745"/>
    <cellStyle name="Обычный 10 6 2 2 2 4 2 3" xfId="6746"/>
    <cellStyle name="Обычный 10 6 2 2 2 4 3" xfId="6747"/>
    <cellStyle name="Обычный 10 6 2 2 2 4 3 2" xfId="6748"/>
    <cellStyle name="Обычный 10 6 2 2 2 4 3 3" xfId="6749"/>
    <cellStyle name="Обычный 10 6 2 2 2 4 4" xfId="6750"/>
    <cellStyle name="Обычный 10 6 2 2 2 4 4 2" xfId="6751"/>
    <cellStyle name="Обычный 10 6 2 2 2 4 5" xfId="6752"/>
    <cellStyle name="Обычный 10 6 2 2 2 4 6" xfId="6753"/>
    <cellStyle name="Обычный 10 6 2 2 2 5" xfId="6754"/>
    <cellStyle name="Обычный 10 6 2 2 2 5 2" xfId="6755"/>
    <cellStyle name="Обычный 10 6 2 2 2 5 3" xfId="6756"/>
    <cellStyle name="Обычный 10 6 2 2 2 6" xfId="6757"/>
    <cellStyle name="Обычный 10 6 2 2 2 6 2" xfId="6758"/>
    <cellStyle name="Обычный 10 6 2 2 2 6 3" xfId="6759"/>
    <cellStyle name="Обычный 10 6 2 2 2 7" xfId="6760"/>
    <cellStyle name="Обычный 10 6 2 2 2 7 2" xfId="6761"/>
    <cellStyle name="Обычный 10 6 2 2 2 8" xfId="6762"/>
    <cellStyle name="Обычный 10 6 2 2 2 9" xfId="6763"/>
    <cellStyle name="Обычный 10 6 2 2 3" xfId="6764"/>
    <cellStyle name="Обычный 10 6 2 2 3 2" xfId="6765"/>
    <cellStyle name="Обычный 10 6 2 2 3 2 2" xfId="6766"/>
    <cellStyle name="Обычный 10 6 2 2 3 2 2 2" xfId="6767"/>
    <cellStyle name="Обычный 10 6 2 2 3 2 2 2 2" xfId="6768"/>
    <cellStyle name="Обычный 10 6 2 2 3 2 2 2 3" xfId="6769"/>
    <cellStyle name="Обычный 10 6 2 2 3 2 2 3" xfId="6770"/>
    <cellStyle name="Обычный 10 6 2 2 3 2 2 3 2" xfId="6771"/>
    <cellStyle name="Обычный 10 6 2 2 3 2 2 3 3" xfId="6772"/>
    <cellStyle name="Обычный 10 6 2 2 3 2 2 4" xfId="6773"/>
    <cellStyle name="Обычный 10 6 2 2 3 2 2 4 2" xfId="6774"/>
    <cellStyle name="Обычный 10 6 2 2 3 2 2 5" xfId="6775"/>
    <cellStyle name="Обычный 10 6 2 2 3 2 2 6" xfId="6776"/>
    <cellStyle name="Обычный 10 6 2 2 3 2 3" xfId="6777"/>
    <cellStyle name="Обычный 10 6 2 2 3 2 3 2" xfId="6778"/>
    <cellStyle name="Обычный 10 6 2 2 3 2 3 3" xfId="6779"/>
    <cellStyle name="Обычный 10 6 2 2 3 2 4" xfId="6780"/>
    <cellStyle name="Обычный 10 6 2 2 3 2 4 2" xfId="6781"/>
    <cellStyle name="Обычный 10 6 2 2 3 2 4 3" xfId="6782"/>
    <cellStyle name="Обычный 10 6 2 2 3 2 5" xfId="6783"/>
    <cellStyle name="Обычный 10 6 2 2 3 2 5 2" xfId="6784"/>
    <cellStyle name="Обычный 10 6 2 2 3 2 6" xfId="6785"/>
    <cellStyle name="Обычный 10 6 2 2 3 2 7" xfId="6786"/>
    <cellStyle name="Обычный 10 6 2 2 3 3" xfId="6787"/>
    <cellStyle name="Обычный 10 6 2 2 3 3 2" xfId="6788"/>
    <cellStyle name="Обычный 10 6 2 2 3 3 2 2" xfId="6789"/>
    <cellStyle name="Обычный 10 6 2 2 3 3 2 3" xfId="6790"/>
    <cellStyle name="Обычный 10 6 2 2 3 3 3" xfId="6791"/>
    <cellStyle name="Обычный 10 6 2 2 3 3 3 2" xfId="6792"/>
    <cellStyle name="Обычный 10 6 2 2 3 3 3 3" xfId="6793"/>
    <cellStyle name="Обычный 10 6 2 2 3 3 4" xfId="6794"/>
    <cellStyle name="Обычный 10 6 2 2 3 3 4 2" xfId="6795"/>
    <cellStyle name="Обычный 10 6 2 2 3 3 5" xfId="6796"/>
    <cellStyle name="Обычный 10 6 2 2 3 3 6" xfId="6797"/>
    <cellStyle name="Обычный 10 6 2 2 3 4" xfId="6798"/>
    <cellStyle name="Обычный 10 6 2 2 3 4 2" xfId="6799"/>
    <cellStyle name="Обычный 10 6 2 2 3 4 3" xfId="6800"/>
    <cellStyle name="Обычный 10 6 2 2 3 5" xfId="6801"/>
    <cellStyle name="Обычный 10 6 2 2 3 5 2" xfId="6802"/>
    <cellStyle name="Обычный 10 6 2 2 3 5 3" xfId="6803"/>
    <cellStyle name="Обычный 10 6 2 2 3 6" xfId="6804"/>
    <cellStyle name="Обычный 10 6 2 2 3 6 2" xfId="6805"/>
    <cellStyle name="Обычный 10 6 2 2 3 7" xfId="6806"/>
    <cellStyle name="Обычный 10 6 2 2 3 8" xfId="6807"/>
    <cellStyle name="Обычный 10 6 2 2 4" xfId="6808"/>
    <cellStyle name="Обычный 10 6 2 2 4 2" xfId="6809"/>
    <cellStyle name="Обычный 10 6 2 2 4 2 2" xfId="6810"/>
    <cellStyle name="Обычный 10 6 2 2 4 2 2 2" xfId="6811"/>
    <cellStyle name="Обычный 10 6 2 2 4 2 2 3" xfId="6812"/>
    <cellStyle name="Обычный 10 6 2 2 4 2 3" xfId="6813"/>
    <cellStyle name="Обычный 10 6 2 2 4 2 3 2" xfId="6814"/>
    <cellStyle name="Обычный 10 6 2 2 4 2 3 3" xfId="6815"/>
    <cellStyle name="Обычный 10 6 2 2 4 2 4" xfId="6816"/>
    <cellStyle name="Обычный 10 6 2 2 4 2 4 2" xfId="6817"/>
    <cellStyle name="Обычный 10 6 2 2 4 2 5" xfId="6818"/>
    <cellStyle name="Обычный 10 6 2 2 4 2 6" xfId="6819"/>
    <cellStyle name="Обычный 10 6 2 2 4 3" xfId="6820"/>
    <cellStyle name="Обычный 10 6 2 2 4 3 2" xfId="6821"/>
    <cellStyle name="Обычный 10 6 2 2 4 3 3" xfId="6822"/>
    <cellStyle name="Обычный 10 6 2 2 4 4" xfId="6823"/>
    <cellStyle name="Обычный 10 6 2 2 4 4 2" xfId="6824"/>
    <cellStyle name="Обычный 10 6 2 2 4 4 3" xfId="6825"/>
    <cellStyle name="Обычный 10 6 2 2 4 5" xfId="6826"/>
    <cellStyle name="Обычный 10 6 2 2 4 5 2" xfId="6827"/>
    <cellStyle name="Обычный 10 6 2 2 4 6" xfId="6828"/>
    <cellStyle name="Обычный 10 6 2 2 4 7" xfId="6829"/>
    <cellStyle name="Обычный 10 6 2 2 5" xfId="6830"/>
    <cellStyle name="Обычный 10 6 2 2 5 2" xfId="6831"/>
    <cellStyle name="Обычный 10 6 2 2 5 2 2" xfId="6832"/>
    <cellStyle name="Обычный 10 6 2 2 5 2 3" xfId="6833"/>
    <cellStyle name="Обычный 10 6 2 2 5 3" xfId="6834"/>
    <cellStyle name="Обычный 10 6 2 2 5 3 2" xfId="6835"/>
    <cellStyle name="Обычный 10 6 2 2 5 3 3" xfId="6836"/>
    <cellStyle name="Обычный 10 6 2 2 5 4" xfId="6837"/>
    <cellStyle name="Обычный 10 6 2 2 5 4 2" xfId="6838"/>
    <cellStyle name="Обычный 10 6 2 2 5 5" xfId="6839"/>
    <cellStyle name="Обычный 10 6 2 2 5 6" xfId="6840"/>
    <cellStyle name="Обычный 10 6 2 2 6" xfId="6841"/>
    <cellStyle name="Обычный 10 6 2 2 6 2" xfId="6842"/>
    <cellStyle name="Обычный 10 6 2 2 6 3" xfId="6843"/>
    <cellStyle name="Обычный 10 6 2 2 7" xfId="6844"/>
    <cellStyle name="Обычный 10 6 2 2 7 2" xfId="6845"/>
    <cellStyle name="Обычный 10 6 2 2 7 3" xfId="6846"/>
    <cellStyle name="Обычный 10 6 2 2 8" xfId="6847"/>
    <cellStyle name="Обычный 10 6 2 2 8 2" xfId="6848"/>
    <cellStyle name="Обычный 10 6 2 2 9" xfId="6849"/>
    <cellStyle name="Обычный 10 6 2 3" xfId="6850"/>
    <cellStyle name="Обычный 10 6 2 3 10" xfId="6851"/>
    <cellStyle name="Обычный 10 6 2 3 2" xfId="6852"/>
    <cellStyle name="Обычный 10 6 2 3 2 2" xfId="6853"/>
    <cellStyle name="Обычный 10 6 2 3 2 2 2" xfId="6854"/>
    <cellStyle name="Обычный 10 6 2 3 2 2 2 2" xfId="6855"/>
    <cellStyle name="Обычный 10 6 2 3 2 2 2 2 2" xfId="6856"/>
    <cellStyle name="Обычный 10 6 2 3 2 2 2 2 2 2" xfId="6857"/>
    <cellStyle name="Обычный 10 6 2 3 2 2 2 2 2 3" xfId="6858"/>
    <cellStyle name="Обычный 10 6 2 3 2 2 2 2 3" xfId="6859"/>
    <cellStyle name="Обычный 10 6 2 3 2 2 2 2 3 2" xfId="6860"/>
    <cellStyle name="Обычный 10 6 2 3 2 2 2 2 3 3" xfId="6861"/>
    <cellStyle name="Обычный 10 6 2 3 2 2 2 2 4" xfId="6862"/>
    <cellStyle name="Обычный 10 6 2 3 2 2 2 2 4 2" xfId="6863"/>
    <cellStyle name="Обычный 10 6 2 3 2 2 2 2 5" xfId="6864"/>
    <cellStyle name="Обычный 10 6 2 3 2 2 2 2 6" xfId="6865"/>
    <cellStyle name="Обычный 10 6 2 3 2 2 2 3" xfId="6866"/>
    <cellStyle name="Обычный 10 6 2 3 2 2 2 3 2" xfId="6867"/>
    <cellStyle name="Обычный 10 6 2 3 2 2 2 3 3" xfId="6868"/>
    <cellStyle name="Обычный 10 6 2 3 2 2 2 4" xfId="6869"/>
    <cellStyle name="Обычный 10 6 2 3 2 2 2 4 2" xfId="6870"/>
    <cellStyle name="Обычный 10 6 2 3 2 2 2 4 3" xfId="6871"/>
    <cellStyle name="Обычный 10 6 2 3 2 2 2 5" xfId="6872"/>
    <cellStyle name="Обычный 10 6 2 3 2 2 2 5 2" xfId="6873"/>
    <cellStyle name="Обычный 10 6 2 3 2 2 2 6" xfId="6874"/>
    <cellStyle name="Обычный 10 6 2 3 2 2 2 7" xfId="6875"/>
    <cellStyle name="Обычный 10 6 2 3 2 2 3" xfId="6876"/>
    <cellStyle name="Обычный 10 6 2 3 2 2 3 2" xfId="6877"/>
    <cellStyle name="Обычный 10 6 2 3 2 2 3 2 2" xfId="6878"/>
    <cellStyle name="Обычный 10 6 2 3 2 2 3 2 3" xfId="6879"/>
    <cellStyle name="Обычный 10 6 2 3 2 2 3 3" xfId="6880"/>
    <cellStyle name="Обычный 10 6 2 3 2 2 3 3 2" xfId="6881"/>
    <cellStyle name="Обычный 10 6 2 3 2 2 3 3 3" xfId="6882"/>
    <cellStyle name="Обычный 10 6 2 3 2 2 3 4" xfId="6883"/>
    <cellStyle name="Обычный 10 6 2 3 2 2 3 4 2" xfId="6884"/>
    <cellStyle name="Обычный 10 6 2 3 2 2 3 5" xfId="6885"/>
    <cellStyle name="Обычный 10 6 2 3 2 2 3 6" xfId="6886"/>
    <cellStyle name="Обычный 10 6 2 3 2 2 4" xfId="6887"/>
    <cellStyle name="Обычный 10 6 2 3 2 2 4 2" xfId="6888"/>
    <cellStyle name="Обычный 10 6 2 3 2 2 4 3" xfId="6889"/>
    <cellStyle name="Обычный 10 6 2 3 2 2 5" xfId="6890"/>
    <cellStyle name="Обычный 10 6 2 3 2 2 5 2" xfId="6891"/>
    <cellStyle name="Обычный 10 6 2 3 2 2 5 3" xfId="6892"/>
    <cellStyle name="Обычный 10 6 2 3 2 2 6" xfId="6893"/>
    <cellStyle name="Обычный 10 6 2 3 2 2 6 2" xfId="6894"/>
    <cellStyle name="Обычный 10 6 2 3 2 2 7" xfId="6895"/>
    <cellStyle name="Обычный 10 6 2 3 2 2 8" xfId="6896"/>
    <cellStyle name="Обычный 10 6 2 3 2 3" xfId="6897"/>
    <cellStyle name="Обычный 10 6 2 3 2 3 2" xfId="6898"/>
    <cellStyle name="Обычный 10 6 2 3 2 3 2 2" xfId="6899"/>
    <cellStyle name="Обычный 10 6 2 3 2 3 2 2 2" xfId="6900"/>
    <cellStyle name="Обычный 10 6 2 3 2 3 2 2 3" xfId="6901"/>
    <cellStyle name="Обычный 10 6 2 3 2 3 2 3" xfId="6902"/>
    <cellStyle name="Обычный 10 6 2 3 2 3 2 3 2" xfId="6903"/>
    <cellStyle name="Обычный 10 6 2 3 2 3 2 3 3" xfId="6904"/>
    <cellStyle name="Обычный 10 6 2 3 2 3 2 4" xfId="6905"/>
    <cellStyle name="Обычный 10 6 2 3 2 3 2 4 2" xfId="6906"/>
    <cellStyle name="Обычный 10 6 2 3 2 3 2 5" xfId="6907"/>
    <cellStyle name="Обычный 10 6 2 3 2 3 2 6" xfId="6908"/>
    <cellStyle name="Обычный 10 6 2 3 2 3 3" xfId="6909"/>
    <cellStyle name="Обычный 10 6 2 3 2 3 3 2" xfId="6910"/>
    <cellStyle name="Обычный 10 6 2 3 2 3 3 3" xfId="6911"/>
    <cellStyle name="Обычный 10 6 2 3 2 3 4" xfId="6912"/>
    <cellStyle name="Обычный 10 6 2 3 2 3 4 2" xfId="6913"/>
    <cellStyle name="Обычный 10 6 2 3 2 3 4 3" xfId="6914"/>
    <cellStyle name="Обычный 10 6 2 3 2 3 5" xfId="6915"/>
    <cellStyle name="Обычный 10 6 2 3 2 3 5 2" xfId="6916"/>
    <cellStyle name="Обычный 10 6 2 3 2 3 6" xfId="6917"/>
    <cellStyle name="Обычный 10 6 2 3 2 3 7" xfId="6918"/>
    <cellStyle name="Обычный 10 6 2 3 2 4" xfId="6919"/>
    <cellStyle name="Обычный 10 6 2 3 2 4 2" xfId="6920"/>
    <cellStyle name="Обычный 10 6 2 3 2 4 2 2" xfId="6921"/>
    <cellStyle name="Обычный 10 6 2 3 2 4 2 3" xfId="6922"/>
    <cellStyle name="Обычный 10 6 2 3 2 4 3" xfId="6923"/>
    <cellStyle name="Обычный 10 6 2 3 2 4 3 2" xfId="6924"/>
    <cellStyle name="Обычный 10 6 2 3 2 4 3 3" xfId="6925"/>
    <cellStyle name="Обычный 10 6 2 3 2 4 4" xfId="6926"/>
    <cellStyle name="Обычный 10 6 2 3 2 4 4 2" xfId="6927"/>
    <cellStyle name="Обычный 10 6 2 3 2 4 5" xfId="6928"/>
    <cellStyle name="Обычный 10 6 2 3 2 4 6" xfId="6929"/>
    <cellStyle name="Обычный 10 6 2 3 2 5" xfId="6930"/>
    <cellStyle name="Обычный 10 6 2 3 2 5 2" xfId="6931"/>
    <cellStyle name="Обычный 10 6 2 3 2 5 3" xfId="6932"/>
    <cellStyle name="Обычный 10 6 2 3 2 6" xfId="6933"/>
    <cellStyle name="Обычный 10 6 2 3 2 6 2" xfId="6934"/>
    <cellStyle name="Обычный 10 6 2 3 2 6 3" xfId="6935"/>
    <cellStyle name="Обычный 10 6 2 3 2 7" xfId="6936"/>
    <cellStyle name="Обычный 10 6 2 3 2 7 2" xfId="6937"/>
    <cellStyle name="Обычный 10 6 2 3 2 8" xfId="6938"/>
    <cellStyle name="Обычный 10 6 2 3 2 9" xfId="6939"/>
    <cellStyle name="Обычный 10 6 2 3 3" xfId="6940"/>
    <cellStyle name="Обычный 10 6 2 3 3 2" xfId="6941"/>
    <cellStyle name="Обычный 10 6 2 3 3 2 2" xfId="6942"/>
    <cellStyle name="Обычный 10 6 2 3 3 2 2 2" xfId="6943"/>
    <cellStyle name="Обычный 10 6 2 3 3 2 2 2 2" xfId="6944"/>
    <cellStyle name="Обычный 10 6 2 3 3 2 2 2 3" xfId="6945"/>
    <cellStyle name="Обычный 10 6 2 3 3 2 2 3" xfId="6946"/>
    <cellStyle name="Обычный 10 6 2 3 3 2 2 3 2" xfId="6947"/>
    <cellStyle name="Обычный 10 6 2 3 3 2 2 3 3" xfId="6948"/>
    <cellStyle name="Обычный 10 6 2 3 3 2 2 4" xfId="6949"/>
    <cellStyle name="Обычный 10 6 2 3 3 2 2 4 2" xfId="6950"/>
    <cellStyle name="Обычный 10 6 2 3 3 2 2 5" xfId="6951"/>
    <cellStyle name="Обычный 10 6 2 3 3 2 2 6" xfId="6952"/>
    <cellStyle name="Обычный 10 6 2 3 3 2 3" xfId="6953"/>
    <cellStyle name="Обычный 10 6 2 3 3 2 3 2" xfId="6954"/>
    <cellStyle name="Обычный 10 6 2 3 3 2 3 3" xfId="6955"/>
    <cellStyle name="Обычный 10 6 2 3 3 2 4" xfId="6956"/>
    <cellStyle name="Обычный 10 6 2 3 3 2 4 2" xfId="6957"/>
    <cellStyle name="Обычный 10 6 2 3 3 2 4 3" xfId="6958"/>
    <cellStyle name="Обычный 10 6 2 3 3 2 5" xfId="6959"/>
    <cellStyle name="Обычный 10 6 2 3 3 2 5 2" xfId="6960"/>
    <cellStyle name="Обычный 10 6 2 3 3 2 6" xfId="6961"/>
    <cellStyle name="Обычный 10 6 2 3 3 2 7" xfId="6962"/>
    <cellStyle name="Обычный 10 6 2 3 3 3" xfId="6963"/>
    <cellStyle name="Обычный 10 6 2 3 3 3 2" xfId="6964"/>
    <cellStyle name="Обычный 10 6 2 3 3 3 2 2" xfId="6965"/>
    <cellStyle name="Обычный 10 6 2 3 3 3 2 3" xfId="6966"/>
    <cellStyle name="Обычный 10 6 2 3 3 3 3" xfId="6967"/>
    <cellStyle name="Обычный 10 6 2 3 3 3 3 2" xfId="6968"/>
    <cellStyle name="Обычный 10 6 2 3 3 3 3 3" xfId="6969"/>
    <cellStyle name="Обычный 10 6 2 3 3 3 4" xfId="6970"/>
    <cellStyle name="Обычный 10 6 2 3 3 3 4 2" xfId="6971"/>
    <cellStyle name="Обычный 10 6 2 3 3 3 5" xfId="6972"/>
    <cellStyle name="Обычный 10 6 2 3 3 3 6" xfId="6973"/>
    <cellStyle name="Обычный 10 6 2 3 3 4" xfId="6974"/>
    <cellStyle name="Обычный 10 6 2 3 3 4 2" xfId="6975"/>
    <cellStyle name="Обычный 10 6 2 3 3 4 3" xfId="6976"/>
    <cellStyle name="Обычный 10 6 2 3 3 5" xfId="6977"/>
    <cellStyle name="Обычный 10 6 2 3 3 5 2" xfId="6978"/>
    <cellStyle name="Обычный 10 6 2 3 3 5 3" xfId="6979"/>
    <cellStyle name="Обычный 10 6 2 3 3 6" xfId="6980"/>
    <cellStyle name="Обычный 10 6 2 3 3 6 2" xfId="6981"/>
    <cellStyle name="Обычный 10 6 2 3 3 7" xfId="6982"/>
    <cellStyle name="Обычный 10 6 2 3 3 8" xfId="6983"/>
    <cellStyle name="Обычный 10 6 2 3 4" xfId="6984"/>
    <cellStyle name="Обычный 10 6 2 3 4 2" xfId="6985"/>
    <cellStyle name="Обычный 10 6 2 3 4 2 2" xfId="6986"/>
    <cellStyle name="Обычный 10 6 2 3 4 2 2 2" xfId="6987"/>
    <cellStyle name="Обычный 10 6 2 3 4 2 2 3" xfId="6988"/>
    <cellStyle name="Обычный 10 6 2 3 4 2 3" xfId="6989"/>
    <cellStyle name="Обычный 10 6 2 3 4 2 3 2" xfId="6990"/>
    <cellStyle name="Обычный 10 6 2 3 4 2 3 3" xfId="6991"/>
    <cellStyle name="Обычный 10 6 2 3 4 2 4" xfId="6992"/>
    <cellStyle name="Обычный 10 6 2 3 4 2 4 2" xfId="6993"/>
    <cellStyle name="Обычный 10 6 2 3 4 2 5" xfId="6994"/>
    <cellStyle name="Обычный 10 6 2 3 4 2 6" xfId="6995"/>
    <cellStyle name="Обычный 10 6 2 3 4 3" xfId="6996"/>
    <cellStyle name="Обычный 10 6 2 3 4 3 2" xfId="6997"/>
    <cellStyle name="Обычный 10 6 2 3 4 3 3" xfId="6998"/>
    <cellStyle name="Обычный 10 6 2 3 4 4" xfId="6999"/>
    <cellStyle name="Обычный 10 6 2 3 4 4 2" xfId="7000"/>
    <cellStyle name="Обычный 10 6 2 3 4 4 3" xfId="7001"/>
    <cellStyle name="Обычный 10 6 2 3 4 5" xfId="7002"/>
    <cellStyle name="Обычный 10 6 2 3 4 5 2" xfId="7003"/>
    <cellStyle name="Обычный 10 6 2 3 4 6" xfId="7004"/>
    <cellStyle name="Обычный 10 6 2 3 4 7" xfId="7005"/>
    <cellStyle name="Обычный 10 6 2 3 5" xfId="7006"/>
    <cellStyle name="Обычный 10 6 2 3 5 2" xfId="7007"/>
    <cellStyle name="Обычный 10 6 2 3 5 2 2" xfId="7008"/>
    <cellStyle name="Обычный 10 6 2 3 5 2 3" xfId="7009"/>
    <cellStyle name="Обычный 10 6 2 3 5 3" xfId="7010"/>
    <cellStyle name="Обычный 10 6 2 3 5 3 2" xfId="7011"/>
    <cellStyle name="Обычный 10 6 2 3 5 3 3" xfId="7012"/>
    <cellStyle name="Обычный 10 6 2 3 5 4" xfId="7013"/>
    <cellStyle name="Обычный 10 6 2 3 5 4 2" xfId="7014"/>
    <cellStyle name="Обычный 10 6 2 3 5 5" xfId="7015"/>
    <cellStyle name="Обычный 10 6 2 3 5 6" xfId="7016"/>
    <cellStyle name="Обычный 10 6 2 3 6" xfId="7017"/>
    <cellStyle name="Обычный 10 6 2 3 6 2" xfId="7018"/>
    <cellStyle name="Обычный 10 6 2 3 6 3" xfId="7019"/>
    <cellStyle name="Обычный 10 6 2 3 7" xfId="7020"/>
    <cellStyle name="Обычный 10 6 2 3 7 2" xfId="7021"/>
    <cellStyle name="Обычный 10 6 2 3 7 3" xfId="7022"/>
    <cellStyle name="Обычный 10 6 2 3 8" xfId="7023"/>
    <cellStyle name="Обычный 10 6 2 3 8 2" xfId="7024"/>
    <cellStyle name="Обычный 10 6 2 3 9" xfId="7025"/>
    <cellStyle name="Обычный 10 6 2 4" xfId="7026"/>
    <cellStyle name="Обычный 10 6 2 4 10" xfId="7027"/>
    <cellStyle name="Обычный 10 6 2 4 2" xfId="7028"/>
    <cellStyle name="Обычный 10 6 2 4 2 2" xfId="7029"/>
    <cellStyle name="Обычный 10 6 2 4 2 2 2" xfId="7030"/>
    <cellStyle name="Обычный 10 6 2 4 2 2 2 2" xfId="7031"/>
    <cellStyle name="Обычный 10 6 2 4 2 2 2 2 2" xfId="7032"/>
    <cellStyle name="Обычный 10 6 2 4 2 2 2 2 2 2" xfId="7033"/>
    <cellStyle name="Обычный 10 6 2 4 2 2 2 2 2 3" xfId="7034"/>
    <cellStyle name="Обычный 10 6 2 4 2 2 2 2 3" xfId="7035"/>
    <cellStyle name="Обычный 10 6 2 4 2 2 2 2 3 2" xfId="7036"/>
    <cellStyle name="Обычный 10 6 2 4 2 2 2 2 3 3" xfId="7037"/>
    <cellStyle name="Обычный 10 6 2 4 2 2 2 2 4" xfId="7038"/>
    <cellStyle name="Обычный 10 6 2 4 2 2 2 2 4 2" xfId="7039"/>
    <cellStyle name="Обычный 10 6 2 4 2 2 2 2 5" xfId="7040"/>
    <cellStyle name="Обычный 10 6 2 4 2 2 2 2 6" xfId="7041"/>
    <cellStyle name="Обычный 10 6 2 4 2 2 2 3" xfId="7042"/>
    <cellStyle name="Обычный 10 6 2 4 2 2 2 3 2" xfId="7043"/>
    <cellStyle name="Обычный 10 6 2 4 2 2 2 3 3" xfId="7044"/>
    <cellStyle name="Обычный 10 6 2 4 2 2 2 4" xfId="7045"/>
    <cellStyle name="Обычный 10 6 2 4 2 2 2 4 2" xfId="7046"/>
    <cellStyle name="Обычный 10 6 2 4 2 2 2 4 3" xfId="7047"/>
    <cellStyle name="Обычный 10 6 2 4 2 2 2 5" xfId="7048"/>
    <cellStyle name="Обычный 10 6 2 4 2 2 2 5 2" xfId="7049"/>
    <cellStyle name="Обычный 10 6 2 4 2 2 2 6" xfId="7050"/>
    <cellStyle name="Обычный 10 6 2 4 2 2 2 7" xfId="7051"/>
    <cellStyle name="Обычный 10 6 2 4 2 2 3" xfId="7052"/>
    <cellStyle name="Обычный 10 6 2 4 2 2 3 2" xfId="7053"/>
    <cellStyle name="Обычный 10 6 2 4 2 2 3 2 2" xfId="7054"/>
    <cellStyle name="Обычный 10 6 2 4 2 2 3 2 3" xfId="7055"/>
    <cellStyle name="Обычный 10 6 2 4 2 2 3 3" xfId="7056"/>
    <cellStyle name="Обычный 10 6 2 4 2 2 3 3 2" xfId="7057"/>
    <cellStyle name="Обычный 10 6 2 4 2 2 3 3 3" xfId="7058"/>
    <cellStyle name="Обычный 10 6 2 4 2 2 3 4" xfId="7059"/>
    <cellStyle name="Обычный 10 6 2 4 2 2 3 4 2" xfId="7060"/>
    <cellStyle name="Обычный 10 6 2 4 2 2 3 5" xfId="7061"/>
    <cellStyle name="Обычный 10 6 2 4 2 2 3 6" xfId="7062"/>
    <cellStyle name="Обычный 10 6 2 4 2 2 4" xfId="7063"/>
    <cellStyle name="Обычный 10 6 2 4 2 2 4 2" xfId="7064"/>
    <cellStyle name="Обычный 10 6 2 4 2 2 4 3" xfId="7065"/>
    <cellStyle name="Обычный 10 6 2 4 2 2 5" xfId="7066"/>
    <cellStyle name="Обычный 10 6 2 4 2 2 5 2" xfId="7067"/>
    <cellStyle name="Обычный 10 6 2 4 2 2 5 3" xfId="7068"/>
    <cellStyle name="Обычный 10 6 2 4 2 2 6" xfId="7069"/>
    <cellStyle name="Обычный 10 6 2 4 2 2 6 2" xfId="7070"/>
    <cellStyle name="Обычный 10 6 2 4 2 2 7" xfId="7071"/>
    <cellStyle name="Обычный 10 6 2 4 2 2 8" xfId="7072"/>
    <cellStyle name="Обычный 10 6 2 4 2 3" xfId="7073"/>
    <cellStyle name="Обычный 10 6 2 4 2 3 2" xfId="7074"/>
    <cellStyle name="Обычный 10 6 2 4 2 3 2 2" xfId="7075"/>
    <cellStyle name="Обычный 10 6 2 4 2 3 2 2 2" xfId="7076"/>
    <cellStyle name="Обычный 10 6 2 4 2 3 2 2 3" xfId="7077"/>
    <cellStyle name="Обычный 10 6 2 4 2 3 2 3" xfId="7078"/>
    <cellStyle name="Обычный 10 6 2 4 2 3 2 3 2" xfId="7079"/>
    <cellStyle name="Обычный 10 6 2 4 2 3 2 3 3" xfId="7080"/>
    <cellStyle name="Обычный 10 6 2 4 2 3 2 4" xfId="7081"/>
    <cellStyle name="Обычный 10 6 2 4 2 3 2 4 2" xfId="7082"/>
    <cellStyle name="Обычный 10 6 2 4 2 3 2 5" xfId="7083"/>
    <cellStyle name="Обычный 10 6 2 4 2 3 2 6" xfId="7084"/>
    <cellStyle name="Обычный 10 6 2 4 2 3 3" xfId="7085"/>
    <cellStyle name="Обычный 10 6 2 4 2 3 3 2" xfId="7086"/>
    <cellStyle name="Обычный 10 6 2 4 2 3 3 3" xfId="7087"/>
    <cellStyle name="Обычный 10 6 2 4 2 3 4" xfId="7088"/>
    <cellStyle name="Обычный 10 6 2 4 2 3 4 2" xfId="7089"/>
    <cellStyle name="Обычный 10 6 2 4 2 3 4 3" xfId="7090"/>
    <cellStyle name="Обычный 10 6 2 4 2 3 5" xfId="7091"/>
    <cellStyle name="Обычный 10 6 2 4 2 3 5 2" xfId="7092"/>
    <cellStyle name="Обычный 10 6 2 4 2 3 6" xfId="7093"/>
    <cellStyle name="Обычный 10 6 2 4 2 3 7" xfId="7094"/>
    <cellStyle name="Обычный 10 6 2 4 2 4" xfId="7095"/>
    <cellStyle name="Обычный 10 6 2 4 2 4 2" xfId="7096"/>
    <cellStyle name="Обычный 10 6 2 4 2 4 2 2" xfId="7097"/>
    <cellStyle name="Обычный 10 6 2 4 2 4 2 3" xfId="7098"/>
    <cellStyle name="Обычный 10 6 2 4 2 4 3" xfId="7099"/>
    <cellStyle name="Обычный 10 6 2 4 2 4 3 2" xfId="7100"/>
    <cellStyle name="Обычный 10 6 2 4 2 4 3 3" xfId="7101"/>
    <cellStyle name="Обычный 10 6 2 4 2 4 4" xfId="7102"/>
    <cellStyle name="Обычный 10 6 2 4 2 4 4 2" xfId="7103"/>
    <cellStyle name="Обычный 10 6 2 4 2 4 5" xfId="7104"/>
    <cellStyle name="Обычный 10 6 2 4 2 4 6" xfId="7105"/>
    <cellStyle name="Обычный 10 6 2 4 2 5" xfId="7106"/>
    <cellStyle name="Обычный 10 6 2 4 2 5 2" xfId="7107"/>
    <cellStyle name="Обычный 10 6 2 4 2 5 3" xfId="7108"/>
    <cellStyle name="Обычный 10 6 2 4 2 6" xfId="7109"/>
    <cellStyle name="Обычный 10 6 2 4 2 6 2" xfId="7110"/>
    <cellStyle name="Обычный 10 6 2 4 2 6 3" xfId="7111"/>
    <cellStyle name="Обычный 10 6 2 4 2 7" xfId="7112"/>
    <cellStyle name="Обычный 10 6 2 4 2 7 2" xfId="7113"/>
    <cellStyle name="Обычный 10 6 2 4 2 8" xfId="7114"/>
    <cellStyle name="Обычный 10 6 2 4 2 9" xfId="7115"/>
    <cellStyle name="Обычный 10 6 2 4 3" xfId="7116"/>
    <cellStyle name="Обычный 10 6 2 4 3 2" xfId="7117"/>
    <cellStyle name="Обычный 10 6 2 4 3 2 2" xfId="7118"/>
    <cellStyle name="Обычный 10 6 2 4 3 2 2 2" xfId="7119"/>
    <cellStyle name="Обычный 10 6 2 4 3 2 2 2 2" xfId="7120"/>
    <cellStyle name="Обычный 10 6 2 4 3 2 2 2 3" xfId="7121"/>
    <cellStyle name="Обычный 10 6 2 4 3 2 2 3" xfId="7122"/>
    <cellStyle name="Обычный 10 6 2 4 3 2 2 3 2" xfId="7123"/>
    <cellStyle name="Обычный 10 6 2 4 3 2 2 3 3" xfId="7124"/>
    <cellStyle name="Обычный 10 6 2 4 3 2 2 4" xfId="7125"/>
    <cellStyle name="Обычный 10 6 2 4 3 2 2 4 2" xfId="7126"/>
    <cellStyle name="Обычный 10 6 2 4 3 2 2 5" xfId="7127"/>
    <cellStyle name="Обычный 10 6 2 4 3 2 2 6" xfId="7128"/>
    <cellStyle name="Обычный 10 6 2 4 3 2 3" xfId="7129"/>
    <cellStyle name="Обычный 10 6 2 4 3 2 3 2" xfId="7130"/>
    <cellStyle name="Обычный 10 6 2 4 3 2 3 3" xfId="7131"/>
    <cellStyle name="Обычный 10 6 2 4 3 2 4" xfId="7132"/>
    <cellStyle name="Обычный 10 6 2 4 3 2 4 2" xfId="7133"/>
    <cellStyle name="Обычный 10 6 2 4 3 2 4 3" xfId="7134"/>
    <cellStyle name="Обычный 10 6 2 4 3 2 5" xfId="7135"/>
    <cellStyle name="Обычный 10 6 2 4 3 2 5 2" xfId="7136"/>
    <cellStyle name="Обычный 10 6 2 4 3 2 6" xfId="7137"/>
    <cellStyle name="Обычный 10 6 2 4 3 2 7" xfId="7138"/>
    <cellStyle name="Обычный 10 6 2 4 3 3" xfId="7139"/>
    <cellStyle name="Обычный 10 6 2 4 3 3 2" xfId="7140"/>
    <cellStyle name="Обычный 10 6 2 4 3 3 2 2" xfId="7141"/>
    <cellStyle name="Обычный 10 6 2 4 3 3 2 3" xfId="7142"/>
    <cellStyle name="Обычный 10 6 2 4 3 3 3" xfId="7143"/>
    <cellStyle name="Обычный 10 6 2 4 3 3 3 2" xfId="7144"/>
    <cellStyle name="Обычный 10 6 2 4 3 3 3 3" xfId="7145"/>
    <cellStyle name="Обычный 10 6 2 4 3 3 4" xfId="7146"/>
    <cellStyle name="Обычный 10 6 2 4 3 3 4 2" xfId="7147"/>
    <cellStyle name="Обычный 10 6 2 4 3 3 5" xfId="7148"/>
    <cellStyle name="Обычный 10 6 2 4 3 3 6" xfId="7149"/>
    <cellStyle name="Обычный 10 6 2 4 3 4" xfId="7150"/>
    <cellStyle name="Обычный 10 6 2 4 3 4 2" xfId="7151"/>
    <cellStyle name="Обычный 10 6 2 4 3 4 3" xfId="7152"/>
    <cellStyle name="Обычный 10 6 2 4 3 5" xfId="7153"/>
    <cellStyle name="Обычный 10 6 2 4 3 5 2" xfId="7154"/>
    <cellStyle name="Обычный 10 6 2 4 3 5 3" xfId="7155"/>
    <cellStyle name="Обычный 10 6 2 4 3 6" xfId="7156"/>
    <cellStyle name="Обычный 10 6 2 4 3 6 2" xfId="7157"/>
    <cellStyle name="Обычный 10 6 2 4 3 7" xfId="7158"/>
    <cellStyle name="Обычный 10 6 2 4 3 8" xfId="7159"/>
    <cellStyle name="Обычный 10 6 2 4 4" xfId="7160"/>
    <cellStyle name="Обычный 10 6 2 4 4 2" xfId="7161"/>
    <cellStyle name="Обычный 10 6 2 4 4 2 2" xfId="7162"/>
    <cellStyle name="Обычный 10 6 2 4 4 2 2 2" xfId="7163"/>
    <cellStyle name="Обычный 10 6 2 4 4 2 2 3" xfId="7164"/>
    <cellStyle name="Обычный 10 6 2 4 4 2 3" xfId="7165"/>
    <cellStyle name="Обычный 10 6 2 4 4 2 3 2" xfId="7166"/>
    <cellStyle name="Обычный 10 6 2 4 4 2 3 3" xfId="7167"/>
    <cellStyle name="Обычный 10 6 2 4 4 2 4" xfId="7168"/>
    <cellStyle name="Обычный 10 6 2 4 4 2 4 2" xfId="7169"/>
    <cellStyle name="Обычный 10 6 2 4 4 2 5" xfId="7170"/>
    <cellStyle name="Обычный 10 6 2 4 4 2 6" xfId="7171"/>
    <cellStyle name="Обычный 10 6 2 4 4 3" xfId="7172"/>
    <cellStyle name="Обычный 10 6 2 4 4 3 2" xfId="7173"/>
    <cellStyle name="Обычный 10 6 2 4 4 3 3" xfId="7174"/>
    <cellStyle name="Обычный 10 6 2 4 4 4" xfId="7175"/>
    <cellStyle name="Обычный 10 6 2 4 4 4 2" xfId="7176"/>
    <cellStyle name="Обычный 10 6 2 4 4 4 3" xfId="7177"/>
    <cellStyle name="Обычный 10 6 2 4 4 5" xfId="7178"/>
    <cellStyle name="Обычный 10 6 2 4 4 5 2" xfId="7179"/>
    <cellStyle name="Обычный 10 6 2 4 4 6" xfId="7180"/>
    <cellStyle name="Обычный 10 6 2 4 4 7" xfId="7181"/>
    <cellStyle name="Обычный 10 6 2 4 5" xfId="7182"/>
    <cellStyle name="Обычный 10 6 2 4 5 2" xfId="7183"/>
    <cellStyle name="Обычный 10 6 2 4 5 2 2" xfId="7184"/>
    <cellStyle name="Обычный 10 6 2 4 5 2 3" xfId="7185"/>
    <cellStyle name="Обычный 10 6 2 4 5 3" xfId="7186"/>
    <cellStyle name="Обычный 10 6 2 4 5 3 2" xfId="7187"/>
    <cellStyle name="Обычный 10 6 2 4 5 3 3" xfId="7188"/>
    <cellStyle name="Обычный 10 6 2 4 5 4" xfId="7189"/>
    <cellStyle name="Обычный 10 6 2 4 5 4 2" xfId="7190"/>
    <cellStyle name="Обычный 10 6 2 4 5 5" xfId="7191"/>
    <cellStyle name="Обычный 10 6 2 4 5 6" xfId="7192"/>
    <cellStyle name="Обычный 10 6 2 4 6" xfId="7193"/>
    <cellStyle name="Обычный 10 6 2 4 6 2" xfId="7194"/>
    <cellStyle name="Обычный 10 6 2 4 6 3" xfId="7195"/>
    <cellStyle name="Обычный 10 6 2 4 7" xfId="7196"/>
    <cellStyle name="Обычный 10 6 2 4 7 2" xfId="7197"/>
    <cellStyle name="Обычный 10 6 2 4 7 3" xfId="7198"/>
    <cellStyle name="Обычный 10 6 2 4 8" xfId="7199"/>
    <cellStyle name="Обычный 10 6 2 4 8 2" xfId="7200"/>
    <cellStyle name="Обычный 10 6 2 4 9" xfId="7201"/>
    <cellStyle name="Обычный 10 6 2 5" xfId="7202"/>
    <cellStyle name="Обычный 10 6 2 5 2" xfId="7203"/>
    <cellStyle name="Обычный 10 6 2 5 2 2" xfId="7204"/>
    <cellStyle name="Обычный 10 6 2 5 2 2 2" xfId="7205"/>
    <cellStyle name="Обычный 10 6 2 5 2 2 2 2" xfId="7206"/>
    <cellStyle name="Обычный 10 6 2 5 2 2 2 2 2" xfId="7207"/>
    <cellStyle name="Обычный 10 6 2 5 2 2 2 2 3" xfId="7208"/>
    <cellStyle name="Обычный 10 6 2 5 2 2 2 3" xfId="7209"/>
    <cellStyle name="Обычный 10 6 2 5 2 2 2 3 2" xfId="7210"/>
    <cellStyle name="Обычный 10 6 2 5 2 2 2 3 3" xfId="7211"/>
    <cellStyle name="Обычный 10 6 2 5 2 2 2 4" xfId="7212"/>
    <cellStyle name="Обычный 10 6 2 5 2 2 2 4 2" xfId="7213"/>
    <cellStyle name="Обычный 10 6 2 5 2 2 2 5" xfId="7214"/>
    <cellStyle name="Обычный 10 6 2 5 2 2 2 6" xfId="7215"/>
    <cellStyle name="Обычный 10 6 2 5 2 2 3" xfId="7216"/>
    <cellStyle name="Обычный 10 6 2 5 2 2 3 2" xfId="7217"/>
    <cellStyle name="Обычный 10 6 2 5 2 2 3 3" xfId="7218"/>
    <cellStyle name="Обычный 10 6 2 5 2 2 4" xfId="7219"/>
    <cellStyle name="Обычный 10 6 2 5 2 2 4 2" xfId="7220"/>
    <cellStyle name="Обычный 10 6 2 5 2 2 4 3" xfId="7221"/>
    <cellStyle name="Обычный 10 6 2 5 2 2 5" xfId="7222"/>
    <cellStyle name="Обычный 10 6 2 5 2 2 5 2" xfId="7223"/>
    <cellStyle name="Обычный 10 6 2 5 2 2 6" xfId="7224"/>
    <cellStyle name="Обычный 10 6 2 5 2 2 7" xfId="7225"/>
    <cellStyle name="Обычный 10 6 2 5 2 3" xfId="7226"/>
    <cellStyle name="Обычный 10 6 2 5 2 3 2" xfId="7227"/>
    <cellStyle name="Обычный 10 6 2 5 2 3 2 2" xfId="7228"/>
    <cellStyle name="Обычный 10 6 2 5 2 3 2 3" xfId="7229"/>
    <cellStyle name="Обычный 10 6 2 5 2 3 3" xfId="7230"/>
    <cellStyle name="Обычный 10 6 2 5 2 3 3 2" xfId="7231"/>
    <cellStyle name="Обычный 10 6 2 5 2 3 3 3" xfId="7232"/>
    <cellStyle name="Обычный 10 6 2 5 2 3 4" xfId="7233"/>
    <cellStyle name="Обычный 10 6 2 5 2 3 4 2" xfId="7234"/>
    <cellStyle name="Обычный 10 6 2 5 2 3 5" xfId="7235"/>
    <cellStyle name="Обычный 10 6 2 5 2 3 6" xfId="7236"/>
    <cellStyle name="Обычный 10 6 2 5 2 4" xfId="7237"/>
    <cellStyle name="Обычный 10 6 2 5 2 4 2" xfId="7238"/>
    <cellStyle name="Обычный 10 6 2 5 2 4 3" xfId="7239"/>
    <cellStyle name="Обычный 10 6 2 5 2 5" xfId="7240"/>
    <cellStyle name="Обычный 10 6 2 5 2 5 2" xfId="7241"/>
    <cellStyle name="Обычный 10 6 2 5 2 5 3" xfId="7242"/>
    <cellStyle name="Обычный 10 6 2 5 2 6" xfId="7243"/>
    <cellStyle name="Обычный 10 6 2 5 2 6 2" xfId="7244"/>
    <cellStyle name="Обычный 10 6 2 5 2 7" xfId="7245"/>
    <cellStyle name="Обычный 10 6 2 5 2 8" xfId="7246"/>
    <cellStyle name="Обычный 10 6 2 5 3" xfId="7247"/>
    <cellStyle name="Обычный 10 6 2 5 3 2" xfId="7248"/>
    <cellStyle name="Обычный 10 6 2 5 3 2 2" xfId="7249"/>
    <cellStyle name="Обычный 10 6 2 5 3 2 2 2" xfId="7250"/>
    <cellStyle name="Обычный 10 6 2 5 3 2 2 3" xfId="7251"/>
    <cellStyle name="Обычный 10 6 2 5 3 2 3" xfId="7252"/>
    <cellStyle name="Обычный 10 6 2 5 3 2 3 2" xfId="7253"/>
    <cellStyle name="Обычный 10 6 2 5 3 2 3 3" xfId="7254"/>
    <cellStyle name="Обычный 10 6 2 5 3 2 4" xfId="7255"/>
    <cellStyle name="Обычный 10 6 2 5 3 2 4 2" xfId="7256"/>
    <cellStyle name="Обычный 10 6 2 5 3 2 5" xfId="7257"/>
    <cellStyle name="Обычный 10 6 2 5 3 2 6" xfId="7258"/>
    <cellStyle name="Обычный 10 6 2 5 3 3" xfId="7259"/>
    <cellStyle name="Обычный 10 6 2 5 3 3 2" xfId="7260"/>
    <cellStyle name="Обычный 10 6 2 5 3 3 3" xfId="7261"/>
    <cellStyle name="Обычный 10 6 2 5 3 4" xfId="7262"/>
    <cellStyle name="Обычный 10 6 2 5 3 4 2" xfId="7263"/>
    <cellStyle name="Обычный 10 6 2 5 3 4 3" xfId="7264"/>
    <cellStyle name="Обычный 10 6 2 5 3 5" xfId="7265"/>
    <cellStyle name="Обычный 10 6 2 5 3 5 2" xfId="7266"/>
    <cellStyle name="Обычный 10 6 2 5 3 6" xfId="7267"/>
    <cellStyle name="Обычный 10 6 2 5 3 7" xfId="7268"/>
    <cellStyle name="Обычный 10 6 2 5 4" xfId="7269"/>
    <cellStyle name="Обычный 10 6 2 5 4 2" xfId="7270"/>
    <cellStyle name="Обычный 10 6 2 5 4 2 2" xfId="7271"/>
    <cellStyle name="Обычный 10 6 2 5 4 2 3" xfId="7272"/>
    <cellStyle name="Обычный 10 6 2 5 4 3" xfId="7273"/>
    <cellStyle name="Обычный 10 6 2 5 4 3 2" xfId="7274"/>
    <cellStyle name="Обычный 10 6 2 5 4 3 3" xfId="7275"/>
    <cellStyle name="Обычный 10 6 2 5 4 4" xfId="7276"/>
    <cellStyle name="Обычный 10 6 2 5 4 4 2" xfId="7277"/>
    <cellStyle name="Обычный 10 6 2 5 4 5" xfId="7278"/>
    <cellStyle name="Обычный 10 6 2 5 4 6" xfId="7279"/>
    <cellStyle name="Обычный 10 6 2 5 5" xfId="7280"/>
    <cellStyle name="Обычный 10 6 2 5 5 2" xfId="7281"/>
    <cellStyle name="Обычный 10 6 2 5 5 3" xfId="7282"/>
    <cellStyle name="Обычный 10 6 2 5 6" xfId="7283"/>
    <cellStyle name="Обычный 10 6 2 5 6 2" xfId="7284"/>
    <cellStyle name="Обычный 10 6 2 5 6 3" xfId="7285"/>
    <cellStyle name="Обычный 10 6 2 5 7" xfId="7286"/>
    <cellStyle name="Обычный 10 6 2 5 7 2" xfId="7287"/>
    <cellStyle name="Обычный 10 6 2 5 8" xfId="7288"/>
    <cellStyle name="Обычный 10 6 2 5 9" xfId="7289"/>
    <cellStyle name="Обычный 10 6 2 6" xfId="7290"/>
    <cellStyle name="Обычный 10 6 2 6 2" xfId="7291"/>
    <cellStyle name="Обычный 10 6 2 6 2 2" xfId="7292"/>
    <cellStyle name="Обычный 10 6 2 6 2 2 2" xfId="7293"/>
    <cellStyle name="Обычный 10 6 2 6 2 2 2 2" xfId="7294"/>
    <cellStyle name="Обычный 10 6 2 6 2 2 2 3" xfId="7295"/>
    <cellStyle name="Обычный 10 6 2 6 2 2 3" xfId="7296"/>
    <cellStyle name="Обычный 10 6 2 6 2 2 3 2" xfId="7297"/>
    <cellStyle name="Обычный 10 6 2 6 2 2 3 3" xfId="7298"/>
    <cellStyle name="Обычный 10 6 2 6 2 2 4" xfId="7299"/>
    <cellStyle name="Обычный 10 6 2 6 2 2 4 2" xfId="7300"/>
    <cellStyle name="Обычный 10 6 2 6 2 2 5" xfId="7301"/>
    <cellStyle name="Обычный 10 6 2 6 2 2 6" xfId="7302"/>
    <cellStyle name="Обычный 10 6 2 6 2 3" xfId="7303"/>
    <cellStyle name="Обычный 10 6 2 6 2 3 2" xfId="7304"/>
    <cellStyle name="Обычный 10 6 2 6 2 3 3" xfId="7305"/>
    <cellStyle name="Обычный 10 6 2 6 2 4" xfId="7306"/>
    <cellStyle name="Обычный 10 6 2 6 2 4 2" xfId="7307"/>
    <cellStyle name="Обычный 10 6 2 6 2 4 3" xfId="7308"/>
    <cellStyle name="Обычный 10 6 2 6 2 5" xfId="7309"/>
    <cellStyle name="Обычный 10 6 2 6 2 5 2" xfId="7310"/>
    <cellStyle name="Обычный 10 6 2 6 2 6" xfId="7311"/>
    <cellStyle name="Обычный 10 6 2 6 2 7" xfId="7312"/>
    <cellStyle name="Обычный 10 6 2 6 3" xfId="7313"/>
    <cellStyle name="Обычный 10 6 2 6 3 2" xfId="7314"/>
    <cellStyle name="Обычный 10 6 2 6 3 2 2" xfId="7315"/>
    <cellStyle name="Обычный 10 6 2 6 3 2 3" xfId="7316"/>
    <cellStyle name="Обычный 10 6 2 6 3 3" xfId="7317"/>
    <cellStyle name="Обычный 10 6 2 6 3 3 2" xfId="7318"/>
    <cellStyle name="Обычный 10 6 2 6 3 3 3" xfId="7319"/>
    <cellStyle name="Обычный 10 6 2 6 3 4" xfId="7320"/>
    <cellStyle name="Обычный 10 6 2 6 3 4 2" xfId="7321"/>
    <cellStyle name="Обычный 10 6 2 6 3 5" xfId="7322"/>
    <cellStyle name="Обычный 10 6 2 6 3 6" xfId="7323"/>
    <cellStyle name="Обычный 10 6 2 6 4" xfId="7324"/>
    <cellStyle name="Обычный 10 6 2 6 4 2" xfId="7325"/>
    <cellStyle name="Обычный 10 6 2 6 4 3" xfId="7326"/>
    <cellStyle name="Обычный 10 6 2 6 5" xfId="7327"/>
    <cellStyle name="Обычный 10 6 2 6 5 2" xfId="7328"/>
    <cellStyle name="Обычный 10 6 2 6 5 3" xfId="7329"/>
    <cellStyle name="Обычный 10 6 2 6 6" xfId="7330"/>
    <cellStyle name="Обычный 10 6 2 6 6 2" xfId="7331"/>
    <cellStyle name="Обычный 10 6 2 6 7" xfId="7332"/>
    <cellStyle name="Обычный 10 6 2 6 8" xfId="7333"/>
    <cellStyle name="Обычный 10 6 2 7" xfId="7334"/>
    <cellStyle name="Обычный 10 6 2 7 2" xfId="7335"/>
    <cellStyle name="Обычный 10 6 2 7 2 2" xfId="7336"/>
    <cellStyle name="Обычный 10 6 2 7 2 2 2" xfId="7337"/>
    <cellStyle name="Обычный 10 6 2 7 2 2 3" xfId="7338"/>
    <cellStyle name="Обычный 10 6 2 7 2 3" xfId="7339"/>
    <cellStyle name="Обычный 10 6 2 7 2 3 2" xfId="7340"/>
    <cellStyle name="Обычный 10 6 2 7 2 3 3" xfId="7341"/>
    <cellStyle name="Обычный 10 6 2 7 2 4" xfId="7342"/>
    <cellStyle name="Обычный 10 6 2 7 2 4 2" xfId="7343"/>
    <cellStyle name="Обычный 10 6 2 7 2 5" xfId="7344"/>
    <cellStyle name="Обычный 10 6 2 7 2 6" xfId="7345"/>
    <cellStyle name="Обычный 10 6 2 7 3" xfId="7346"/>
    <cellStyle name="Обычный 10 6 2 7 3 2" xfId="7347"/>
    <cellStyle name="Обычный 10 6 2 7 3 3" xfId="7348"/>
    <cellStyle name="Обычный 10 6 2 7 4" xfId="7349"/>
    <cellStyle name="Обычный 10 6 2 7 4 2" xfId="7350"/>
    <cellStyle name="Обычный 10 6 2 7 4 3" xfId="7351"/>
    <cellStyle name="Обычный 10 6 2 7 5" xfId="7352"/>
    <cellStyle name="Обычный 10 6 2 7 5 2" xfId="7353"/>
    <cellStyle name="Обычный 10 6 2 7 6" xfId="7354"/>
    <cellStyle name="Обычный 10 6 2 7 7" xfId="7355"/>
    <cellStyle name="Обычный 10 6 2 8" xfId="7356"/>
    <cellStyle name="Обычный 10 6 2 8 2" xfId="7357"/>
    <cellStyle name="Обычный 10 6 2 8 2 2" xfId="7358"/>
    <cellStyle name="Обычный 10 6 2 8 2 3" xfId="7359"/>
    <cellStyle name="Обычный 10 6 2 8 3" xfId="7360"/>
    <cellStyle name="Обычный 10 6 2 8 3 2" xfId="7361"/>
    <cellStyle name="Обычный 10 6 2 8 3 3" xfId="7362"/>
    <cellStyle name="Обычный 10 6 2 8 4" xfId="7363"/>
    <cellStyle name="Обычный 10 6 2 8 4 2" xfId="7364"/>
    <cellStyle name="Обычный 10 6 2 8 5" xfId="7365"/>
    <cellStyle name="Обычный 10 6 2 8 6" xfId="7366"/>
    <cellStyle name="Обычный 10 6 2 9" xfId="7367"/>
    <cellStyle name="Обычный 10 6 2 9 2" xfId="7368"/>
    <cellStyle name="Обычный 10 6 2 9 3" xfId="7369"/>
    <cellStyle name="Обычный 10 6 3" xfId="7370"/>
    <cellStyle name="Обычный 10 6 3 10" xfId="7371"/>
    <cellStyle name="Обычный 10 6 3 2" xfId="7372"/>
    <cellStyle name="Обычный 10 6 3 2 2" xfId="7373"/>
    <cellStyle name="Обычный 10 6 3 2 2 2" xfId="7374"/>
    <cellStyle name="Обычный 10 6 3 2 2 2 2" xfId="7375"/>
    <cellStyle name="Обычный 10 6 3 2 2 2 2 2" xfId="7376"/>
    <cellStyle name="Обычный 10 6 3 2 2 2 2 2 2" xfId="7377"/>
    <cellStyle name="Обычный 10 6 3 2 2 2 2 2 3" xfId="7378"/>
    <cellStyle name="Обычный 10 6 3 2 2 2 2 3" xfId="7379"/>
    <cellStyle name="Обычный 10 6 3 2 2 2 2 3 2" xfId="7380"/>
    <cellStyle name="Обычный 10 6 3 2 2 2 2 3 3" xfId="7381"/>
    <cellStyle name="Обычный 10 6 3 2 2 2 2 4" xfId="7382"/>
    <cellStyle name="Обычный 10 6 3 2 2 2 2 4 2" xfId="7383"/>
    <cellStyle name="Обычный 10 6 3 2 2 2 2 5" xfId="7384"/>
    <cellStyle name="Обычный 10 6 3 2 2 2 2 6" xfId="7385"/>
    <cellStyle name="Обычный 10 6 3 2 2 2 3" xfId="7386"/>
    <cellStyle name="Обычный 10 6 3 2 2 2 3 2" xfId="7387"/>
    <cellStyle name="Обычный 10 6 3 2 2 2 3 3" xfId="7388"/>
    <cellStyle name="Обычный 10 6 3 2 2 2 4" xfId="7389"/>
    <cellStyle name="Обычный 10 6 3 2 2 2 4 2" xfId="7390"/>
    <cellStyle name="Обычный 10 6 3 2 2 2 4 3" xfId="7391"/>
    <cellStyle name="Обычный 10 6 3 2 2 2 5" xfId="7392"/>
    <cellStyle name="Обычный 10 6 3 2 2 2 5 2" xfId="7393"/>
    <cellStyle name="Обычный 10 6 3 2 2 2 6" xfId="7394"/>
    <cellStyle name="Обычный 10 6 3 2 2 2 7" xfId="7395"/>
    <cellStyle name="Обычный 10 6 3 2 2 3" xfId="7396"/>
    <cellStyle name="Обычный 10 6 3 2 2 3 2" xfId="7397"/>
    <cellStyle name="Обычный 10 6 3 2 2 3 2 2" xfId="7398"/>
    <cellStyle name="Обычный 10 6 3 2 2 3 2 3" xfId="7399"/>
    <cellStyle name="Обычный 10 6 3 2 2 3 3" xfId="7400"/>
    <cellStyle name="Обычный 10 6 3 2 2 3 3 2" xfId="7401"/>
    <cellStyle name="Обычный 10 6 3 2 2 3 3 3" xfId="7402"/>
    <cellStyle name="Обычный 10 6 3 2 2 3 4" xfId="7403"/>
    <cellStyle name="Обычный 10 6 3 2 2 3 4 2" xfId="7404"/>
    <cellStyle name="Обычный 10 6 3 2 2 3 5" xfId="7405"/>
    <cellStyle name="Обычный 10 6 3 2 2 3 6" xfId="7406"/>
    <cellStyle name="Обычный 10 6 3 2 2 4" xfId="7407"/>
    <cellStyle name="Обычный 10 6 3 2 2 4 2" xfId="7408"/>
    <cellStyle name="Обычный 10 6 3 2 2 4 3" xfId="7409"/>
    <cellStyle name="Обычный 10 6 3 2 2 5" xfId="7410"/>
    <cellStyle name="Обычный 10 6 3 2 2 5 2" xfId="7411"/>
    <cellStyle name="Обычный 10 6 3 2 2 5 3" xfId="7412"/>
    <cellStyle name="Обычный 10 6 3 2 2 6" xfId="7413"/>
    <cellStyle name="Обычный 10 6 3 2 2 6 2" xfId="7414"/>
    <cellStyle name="Обычный 10 6 3 2 2 7" xfId="7415"/>
    <cellStyle name="Обычный 10 6 3 2 2 8" xfId="7416"/>
    <cellStyle name="Обычный 10 6 3 2 3" xfId="7417"/>
    <cellStyle name="Обычный 10 6 3 2 3 2" xfId="7418"/>
    <cellStyle name="Обычный 10 6 3 2 3 2 2" xfId="7419"/>
    <cellStyle name="Обычный 10 6 3 2 3 2 2 2" xfId="7420"/>
    <cellStyle name="Обычный 10 6 3 2 3 2 2 3" xfId="7421"/>
    <cellStyle name="Обычный 10 6 3 2 3 2 3" xfId="7422"/>
    <cellStyle name="Обычный 10 6 3 2 3 2 3 2" xfId="7423"/>
    <cellStyle name="Обычный 10 6 3 2 3 2 3 3" xfId="7424"/>
    <cellStyle name="Обычный 10 6 3 2 3 2 4" xfId="7425"/>
    <cellStyle name="Обычный 10 6 3 2 3 2 4 2" xfId="7426"/>
    <cellStyle name="Обычный 10 6 3 2 3 2 5" xfId="7427"/>
    <cellStyle name="Обычный 10 6 3 2 3 2 6" xfId="7428"/>
    <cellStyle name="Обычный 10 6 3 2 3 3" xfId="7429"/>
    <cellStyle name="Обычный 10 6 3 2 3 3 2" xfId="7430"/>
    <cellStyle name="Обычный 10 6 3 2 3 3 3" xfId="7431"/>
    <cellStyle name="Обычный 10 6 3 2 3 4" xfId="7432"/>
    <cellStyle name="Обычный 10 6 3 2 3 4 2" xfId="7433"/>
    <cellStyle name="Обычный 10 6 3 2 3 4 3" xfId="7434"/>
    <cellStyle name="Обычный 10 6 3 2 3 5" xfId="7435"/>
    <cellStyle name="Обычный 10 6 3 2 3 5 2" xfId="7436"/>
    <cellStyle name="Обычный 10 6 3 2 3 6" xfId="7437"/>
    <cellStyle name="Обычный 10 6 3 2 3 7" xfId="7438"/>
    <cellStyle name="Обычный 10 6 3 2 4" xfId="7439"/>
    <cellStyle name="Обычный 10 6 3 2 4 2" xfId="7440"/>
    <cellStyle name="Обычный 10 6 3 2 4 2 2" xfId="7441"/>
    <cellStyle name="Обычный 10 6 3 2 4 2 3" xfId="7442"/>
    <cellStyle name="Обычный 10 6 3 2 4 3" xfId="7443"/>
    <cellStyle name="Обычный 10 6 3 2 4 3 2" xfId="7444"/>
    <cellStyle name="Обычный 10 6 3 2 4 3 3" xfId="7445"/>
    <cellStyle name="Обычный 10 6 3 2 4 4" xfId="7446"/>
    <cellStyle name="Обычный 10 6 3 2 4 4 2" xfId="7447"/>
    <cellStyle name="Обычный 10 6 3 2 4 5" xfId="7448"/>
    <cellStyle name="Обычный 10 6 3 2 4 6" xfId="7449"/>
    <cellStyle name="Обычный 10 6 3 2 5" xfId="7450"/>
    <cellStyle name="Обычный 10 6 3 2 5 2" xfId="7451"/>
    <cellStyle name="Обычный 10 6 3 2 5 3" xfId="7452"/>
    <cellStyle name="Обычный 10 6 3 2 6" xfId="7453"/>
    <cellStyle name="Обычный 10 6 3 2 6 2" xfId="7454"/>
    <cellStyle name="Обычный 10 6 3 2 6 3" xfId="7455"/>
    <cellStyle name="Обычный 10 6 3 2 7" xfId="7456"/>
    <cellStyle name="Обычный 10 6 3 2 7 2" xfId="7457"/>
    <cellStyle name="Обычный 10 6 3 2 8" xfId="7458"/>
    <cellStyle name="Обычный 10 6 3 2 9" xfId="7459"/>
    <cellStyle name="Обычный 10 6 3 3" xfId="7460"/>
    <cellStyle name="Обычный 10 6 3 3 2" xfId="7461"/>
    <cellStyle name="Обычный 10 6 3 3 2 2" xfId="7462"/>
    <cellStyle name="Обычный 10 6 3 3 2 2 2" xfId="7463"/>
    <cellStyle name="Обычный 10 6 3 3 2 2 2 2" xfId="7464"/>
    <cellStyle name="Обычный 10 6 3 3 2 2 2 3" xfId="7465"/>
    <cellStyle name="Обычный 10 6 3 3 2 2 3" xfId="7466"/>
    <cellStyle name="Обычный 10 6 3 3 2 2 3 2" xfId="7467"/>
    <cellStyle name="Обычный 10 6 3 3 2 2 3 3" xfId="7468"/>
    <cellStyle name="Обычный 10 6 3 3 2 2 4" xfId="7469"/>
    <cellStyle name="Обычный 10 6 3 3 2 2 4 2" xfId="7470"/>
    <cellStyle name="Обычный 10 6 3 3 2 2 5" xfId="7471"/>
    <cellStyle name="Обычный 10 6 3 3 2 2 6" xfId="7472"/>
    <cellStyle name="Обычный 10 6 3 3 2 3" xfId="7473"/>
    <cellStyle name="Обычный 10 6 3 3 2 3 2" xfId="7474"/>
    <cellStyle name="Обычный 10 6 3 3 2 3 3" xfId="7475"/>
    <cellStyle name="Обычный 10 6 3 3 2 4" xfId="7476"/>
    <cellStyle name="Обычный 10 6 3 3 2 4 2" xfId="7477"/>
    <cellStyle name="Обычный 10 6 3 3 2 4 3" xfId="7478"/>
    <cellStyle name="Обычный 10 6 3 3 2 5" xfId="7479"/>
    <cellStyle name="Обычный 10 6 3 3 2 5 2" xfId="7480"/>
    <cellStyle name="Обычный 10 6 3 3 2 6" xfId="7481"/>
    <cellStyle name="Обычный 10 6 3 3 2 7" xfId="7482"/>
    <cellStyle name="Обычный 10 6 3 3 3" xfId="7483"/>
    <cellStyle name="Обычный 10 6 3 3 3 2" xfId="7484"/>
    <cellStyle name="Обычный 10 6 3 3 3 2 2" xfId="7485"/>
    <cellStyle name="Обычный 10 6 3 3 3 2 3" xfId="7486"/>
    <cellStyle name="Обычный 10 6 3 3 3 3" xfId="7487"/>
    <cellStyle name="Обычный 10 6 3 3 3 3 2" xfId="7488"/>
    <cellStyle name="Обычный 10 6 3 3 3 3 3" xfId="7489"/>
    <cellStyle name="Обычный 10 6 3 3 3 4" xfId="7490"/>
    <cellStyle name="Обычный 10 6 3 3 3 4 2" xfId="7491"/>
    <cellStyle name="Обычный 10 6 3 3 3 5" xfId="7492"/>
    <cellStyle name="Обычный 10 6 3 3 3 6" xfId="7493"/>
    <cellStyle name="Обычный 10 6 3 3 4" xfId="7494"/>
    <cellStyle name="Обычный 10 6 3 3 4 2" xfId="7495"/>
    <cellStyle name="Обычный 10 6 3 3 4 3" xfId="7496"/>
    <cellStyle name="Обычный 10 6 3 3 5" xfId="7497"/>
    <cellStyle name="Обычный 10 6 3 3 5 2" xfId="7498"/>
    <cellStyle name="Обычный 10 6 3 3 5 3" xfId="7499"/>
    <cellStyle name="Обычный 10 6 3 3 6" xfId="7500"/>
    <cellStyle name="Обычный 10 6 3 3 6 2" xfId="7501"/>
    <cellStyle name="Обычный 10 6 3 3 7" xfId="7502"/>
    <cellStyle name="Обычный 10 6 3 3 8" xfId="7503"/>
    <cellStyle name="Обычный 10 6 3 4" xfId="7504"/>
    <cellStyle name="Обычный 10 6 3 4 2" xfId="7505"/>
    <cellStyle name="Обычный 10 6 3 4 2 2" xfId="7506"/>
    <cellStyle name="Обычный 10 6 3 4 2 2 2" xfId="7507"/>
    <cellStyle name="Обычный 10 6 3 4 2 2 3" xfId="7508"/>
    <cellStyle name="Обычный 10 6 3 4 2 3" xfId="7509"/>
    <cellStyle name="Обычный 10 6 3 4 2 3 2" xfId="7510"/>
    <cellStyle name="Обычный 10 6 3 4 2 3 3" xfId="7511"/>
    <cellStyle name="Обычный 10 6 3 4 2 4" xfId="7512"/>
    <cellStyle name="Обычный 10 6 3 4 2 4 2" xfId="7513"/>
    <cellStyle name="Обычный 10 6 3 4 2 5" xfId="7514"/>
    <cellStyle name="Обычный 10 6 3 4 2 6" xfId="7515"/>
    <cellStyle name="Обычный 10 6 3 4 3" xfId="7516"/>
    <cellStyle name="Обычный 10 6 3 4 3 2" xfId="7517"/>
    <cellStyle name="Обычный 10 6 3 4 3 3" xfId="7518"/>
    <cellStyle name="Обычный 10 6 3 4 4" xfId="7519"/>
    <cellStyle name="Обычный 10 6 3 4 4 2" xfId="7520"/>
    <cellStyle name="Обычный 10 6 3 4 4 3" xfId="7521"/>
    <cellStyle name="Обычный 10 6 3 4 5" xfId="7522"/>
    <cellStyle name="Обычный 10 6 3 4 5 2" xfId="7523"/>
    <cellStyle name="Обычный 10 6 3 4 6" xfId="7524"/>
    <cellStyle name="Обычный 10 6 3 4 7" xfId="7525"/>
    <cellStyle name="Обычный 10 6 3 5" xfId="7526"/>
    <cellStyle name="Обычный 10 6 3 5 2" xfId="7527"/>
    <cellStyle name="Обычный 10 6 3 5 2 2" xfId="7528"/>
    <cellStyle name="Обычный 10 6 3 5 2 3" xfId="7529"/>
    <cellStyle name="Обычный 10 6 3 5 3" xfId="7530"/>
    <cellStyle name="Обычный 10 6 3 5 3 2" xfId="7531"/>
    <cellStyle name="Обычный 10 6 3 5 3 3" xfId="7532"/>
    <cellStyle name="Обычный 10 6 3 5 4" xfId="7533"/>
    <cellStyle name="Обычный 10 6 3 5 4 2" xfId="7534"/>
    <cellStyle name="Обычный 10 6 3 5 5" xfId="7535"/>
    <cellStyle name="Обычный 10 6 3 5 6" xfId="7536"/>
    <cellStyle name="Обычный 10 6 3 6" xfId="7537"/>
    <cellStyle name="Обычный 10 6 3 6 2" xfId="7538"/>
    <cellStyle name="Обычный 10 6 3 6 3" xfId="7539"/>
    <cellStyle name="Обычный 10 6 3 7" xfId="7540"/>
    <cellStyle name="Обычный 10 6 3 7 2" xfId="7541"/>
    <cellStyle name="Обычный 10 6 3 7 3" xfId="7542"/>
    <cellStyle name="Обычный 10 6 3 8" xfId="7543"/>
    <cellStyle name="Обычный 10 6 3 8 2" xfId="7544"/>
    <cellStyle name="Обычный 10 6 3 9" xfId="7545"/>
    <cellStyle name="Обычный 10 6 4" xfId="7546"/>
    <cellStyle name="Обычный 10 6 4 10" xfId="7547"/>
    <cellStyle name="Обычный 10 6 4 2" xfId="7548"/>
    <cellStyle name="Обычный 10 6 4 2 2" xfId="7549"/>
    <cellStyle name="Обычный 10 6 4 2 2 2" xfId="7550"/>
    <cellStyle name="Обычный 10 6 4 2 2 2 2" xfId="7551"/>
    <cellStyle name="Обычный 10 6 4 2 2 2 2 2" xfId="7552"/>
    <cellStyle name="Обычный 10 6 4 2 2 2 2 2 2" xfId="7553"/>
    <cellStyle name="Обычный 10 6 4 2 2 2 2 2 3" xfId="7554"/>
    <cellStyle name="Обычный 10 6 4 2 2 2 2 3" xfId="7555"/>
    <cellStyle name="Обычный 10 6 4 2 2 2 2 3 2" xfId="7556"/>
    <cellStyle name="Обычный 10 6 4 2 2 2 2 3 3" xfId="7557"/>
    <cellStyle name="Обычный 10 6 4 2 2 2 2 4" xfId="7558"/>
    <cellStyle name="Обычный 10 6 4 2 2 2 2 4 2" xfId="7559"/>
    <cellStyle name="Обычный 10 6 4 2 2 2 2 5" xfId="7560"/>
    <cellStyle name="Обычный 10 6 4 2 2 2 2 6" xfId="7561"/>
    <cellStyle name="Обычный 10 6 4 2 2 2 3" xfId="7562"/>
    <cellStyle name="Обычный 10 6 4 2 2 2 3 2" xfId="7563"/>
    <cellStyle name="Обычный 10 6 4 2 2 2 3 3" xfId="7564"/>
    <cellStyle name="Обычный 10 6 4 2 2 2 4" xfId="7565"/>
    <cellStyle name="Обычный 10 6 4 2 2 2 4 2" xfId="7566"/>
    <cellStyle name="Обычный 10 6 4 2 2 2 4 3" xfId="7567"/>
    <cellStyle name="Обычный 10 6 4 2 2 2 5" xfId="7568"/>
    <cellStyle name="Обычный 10 6 4 2 2 2 5 2" xfId="7569"/>
    <cellStyle name="Обычный 10 6 4 2 2 2 6" xfId="7570"/>
    <cellStyle name="Обычный 10 6 4 2 2 2 7" xfId="7571"/>
    <cellStyle name="Обычный 10 6 4 2 2 3" xfId="7572"/>
    <cellStyle name="Обычный 10 6 4 2 2 3 2" xfId="7573"/>
    <cellStyle name="Обычный 10 6 4 2 2 3 2 2" xfId="7574"/>
    <cellStyle name="Обычный 10 6 4 2 2 3 2 3" xfId="7575"/>
    <cellStyle name="Обычный 10 6 4 2 2 3 3" xfId="7576"/>
    <cellStyle name="Обычный 10 6 4 2 2 3 3 2" xfId="7577"/>
    <cellStyle name="Обычный 10 6 4 2 2 3 3 3" xfId="7578"/>
    <cellStyle name="Обычный 10 6 4 2 2 3 4" xfId="7579"/>
    <cellStyle name="Обычный 10 6 4 2 2 3 4 2" xfId="7580"/>
    <cellStyle name="Обычный 10 6 4 2 2 3 5" xfId="7581"/>
    <cellStyle name="Обычный 10 6 4 2 2 3 6" xfId="7582"/>
    <cellStyle name="Обычный 10 6 4 2 2 4" xfId="7583"/>
    <cellStyle name="Обычный 10 6 4 2 2 4 2" xfId="7584"/>
    <cellStyle name="Обычный 10 6 4 2 2 4 3" xfId="7585"/>
    <cellStyle name="Обычный 10 6 4 2 2 5" xfId="7586"/>
    <cellStyle name="Обычный 10 6 4 2 2 5 2" xfId="7587"/>
    <cellStyle name="Обычный 10 6 4 2 2 5 3" xfId="7588"/>
    <cellStyle name="Обычный 10 6 4 2 2 6" xfId="7589"/>
    <cellStyle name="Обычный 10 6 4 2 2 6 2" xfId="7590"/>
    <cellStyle name="Обычный 10 6 4 2 2 7" xfId="7591"/>
    <cellStyle name="Обычный 10 6 4 2 2 8" xfId="7592"/>
    <cellStyle name="Обычный 10 6 4 2 3" xfId="7593"/>
    <cellStyle name="Обычный 10 6 4 2 3 2" xfId="7594"/>
    <cellStyle name="Обычный 10 6 4 2 3 2 2" xfId="7595"/>
    <cellStyle name="Обычный 10 6 4 2 3 2 2 2" xfId="7596"/>
    <cellStyle name="Обычный 10 6 4 2 3 2 2 3" xfId="7597"/>
    <cellStyle name="Обычный 10 6 4 2 3 2 3" xfId="7598"/>
    <cellStyle name="Обычный 10 6 4 2 3 2 3 2" xfId="7599"/>
    <cellStyle name="Обычный 10 6 4 2 3 2 3 3" xfId="7600"/>
    <cellStyle name="Обычный 10 6 4 2 3 2 4" xfId="7601"/>
    <cellStyle name="Обычный 10 6 4 2 3 2 4 2" xfId="7602"/>
    <cellStyle name="Обычный 10 6 4 2 3 2 5" xfId="7603"/>
    <cellStyle name="Обычный 10 6 4 2 3 2 6" xfId="7604"/>
    <cellStyle name="Обычный 10 6 4 2 3 3" xfId="7605"/>
    <cellStyle name="Обычный 10 6 4 2 3 3 2" xfId="7606"/>
    <cellStyle name="Обычный 10 6 4 2 3 3 3" xfId="7607"/>
    <cellStyle name="Обычный 10 6 4 2 3 4" xfId="7608"/>
    <cellStyle name="Обычный 10 6 4 2 3 4 2" xfId="7609"/>
    <cellStyle name="Обычный 10 6 4 2 3 4 3" xfId="7610"/>
    <cellStyle name="Обычный 10 6 4 2 3 5" xfId="7611"/>
    <cellStyle name="Обычный 10 6 4 2 3 5 2" xfId="7612"/>
    <cellStyle name="Обычный 10 6 4 2 3 6" xfId="7613"/>
    <cellStyle name="Обычный 10 6 4 2 3 7" xfId="7614"/>
    <cellStyle name="Обычный 10 6 4 2 4" xfId="7615"/>
    <cellStyle name="Обычный 10 6 4 2 4 2" xfId="7616"/>
    <cellStyle name="Обычный 10 6 4 2 4 2 2" xfId="7617"/>
    <cellStyle name="Обычный 10 6 4 2 4 2 3" xfId="7618"/>
    <cellStyle name="Обычный 10 6 4 2 4 3" xfId="7619"/>
    <cellStyle name="Обычный 10 6 4 2 4 3 2" xfId="7620"/>
    <cellStyle name="Обычный 10 6 4 2 4 3 3" xfId="7621"/>
    <cellStyle name="Обычный 10 6 4 2 4 4" xfId="7622"/>
    <cellStyle name="Обычный 10 6 4 2 4 4 2" xfId="7623"/>
    <cellStyle name="Обычный 10 6 4 2 4 5" xfId="7624"/>
    <cellStyle name="Обычный 10 6 4 2 4 6" xfId="7625"/>
    <cellStyle name="Обычный 10 6 4 2 5" xfId="7626"/>
    <cellStyle name="Обычный 10 6 4 2 5 2" xfId="7627"/>
    <cellStyle name="Обычный 10 6 4 2 5 3" xfId="7628"/>
    <cellStyle name="Обычный 10 6 4 2 6" xfId="7629"/>
    <cellStyle name="Обычный 10 6 4 2 6 2" xfId="7630"/>
    <cellStyle name="Обычный 10 6 4 2 6 3" xfId="7631"/>
    <cellStyle name="Обычный 10 6 4 2 7" xfId="7632"/>
    <cellStyle name="Обычный 10 6 4 2 7 2" xfId="7633"/>
    <cellStyle name="Обычный 10 6 4 2 8" xfId="7634"/>
    <cellStyle name="Обычный 10 6 4 2 9" xfId="7635"/>
    <cellStyle name="Обычный 10 6 4 3" xfId="7636"/>
    <cellStyle name="Обычный 10 6 4 3 2" xfId="7637"/>
    <cellStyle name="Обычный 10 6 4 3 2 2" xfId="7638"/>
    <cellStyle name="Обычный 10 6 4 3 2 2 2" xfId="7639"/>
    <cellStyle name="Обычный 10 6 4 3 2 2 2 2" xfId="7640"/>
    <cellStyle name="Обычный 10 6 4 3 2 2 2 3" xfId="7641"/>
    <cellStyle name="Обычный 10 6 4 3 2 2 3" xfId="7642"/>
    <cellStyle name="Обычный 10 6 4 3 2 2 3 2" xfId="7643"/>
    <cellStyle name="Обычный 10 6 4 3 2 2 3 3" xfId="7644"/>
    <cellStyle name="Обычный 10 6 4 3 2 2 4" xfId="7645"/>
    <cellStyle name="Обычный 10 6 4 3 2 2 4 2" xfId="7646"/>
    <cellStyle name="Обычный 10 6 4 3 2 2 5" xfId="7647"/>
    <cellStyle name="Обычный 10 6 4 3 2 2 6" xfId="7648"/>
    <cellStyle name="Обычный 10 6 4 3 2 3" xfId="7649"/>
    <cellStyle name="Обычный 10 6 4 3 2 3 2" xfId="7650"/>
    <cellStyle name="Обычный 10 6 4 3 2 3 3" xfId="7651"/>
    <cellStyle name="Обычный 10 6 4 3 2 4" xfId="7652"/>
    <cellStyle name="Обычный 10 6 4 3 2 4 2" xfId="7653"/>
    <cellStyle name="Обычный 10 6 4 3 2 4 3" xfId="7654"/>
    <cellStyle name="Обычный 10 6 4 3 2 5" xfId="7655"/>
    <cellStyle name="Обычный 10 6 4 3 2 5 2" xfId="7656"/>
    <cellStyle name="Обычный 10 6 4 3 2 6" xfId="7657"/>
    <cellStyle name="Обычный 10 6 4 3 2 7" xfId="7658"/>
    <cellStyle name="Обычный 10 6 4 3 3" xfId="7659"/>
    <cellStyle name="Обычный 10 6 4 3 3 2" xfId="7660"/>
    <cellStyle name="Обычный 10 6 4 3 3 2 2" xfId="7661"/>
    <cellStyle name="Обычный 10 6 4 3 3 2 3" xfId="7662"/>
    <cellStyle name="Обычный 10 6 4 3 3 3" xfId="7663"/>
    <cellStyle name="Обычный 10 6 4 3 3 3 2" xfId="7664"/>
    <cellStyle name="Обычный 10 6 4 3 3 3 3" xfId="7665"/>
    <cellStyle name="Обычный 10 6 4 3 3 4" xfId="7666"/>
    <cellStyle name="Обычный 10 6 4 3 3 4 2" xfId="7667"/>
    <cellStyle name="Обычный 10 6 4 3 3 5" xfId="7668"/>
    <cellStyle name="Обычный 10 6 4 3 3 6" xfId="7669"/>
    <cellStyle name="Обычный 10 6 4 3 4" xfId="7670"/>
    <cellStyle name="Обычный 10 6 4 3 4 2" xfId="7671"/>
    <cellStyle name="Обычный 10 6 4 3 4 3" xfId="7672"/>
    <cellStyle name="Обычный 10 6 4 3 5" xfId="7673"/>
    <cellStyle name="Обычный 10 6 4 3 5 2" xfId="7674"/>
    <cellStyle name="Обычный 10 6 4 3 5 3" xfId="7675"/>
    <cellStyle name="Обычный 10 6 4 3 6" xfId="7676"/>
    <cellStyle name="Обычный 10 6 4 3 6 2" xfId="7677"/>
    <cellStyle name="Обычный 10 6 4 3 7" xfId="7678"/>
    <cellStyle name="Обычный 10 6 4 3 8" xfId="7679"/>
    <cellStyle name="Обычный 10 6 4 4" xfId="7680"/>
    <cellStyle name="Обычный 10 6 4 4 2" xfId="7681"/>
    <cellStyle name="Обычный 10 6 4 4 2 2" xfId="7682"/>
    <cellStyle name="Обычный 10 6 4 4 2 2 2" xfId="7683"/>
    <cellStyle name="Обычный 10 6 4 4 2 2 3" xfId="7684"/>
    <cellStyle name="Обычный 10 6 4 4 2 3" xfId="7685"/>
    <cellStyle name="Обычный 10 6 4 4 2 3 2" xfId="7686"/>
    <cellStyle name="Обычный 10 6 4 4 2 3 3" xfId="7687"/>
    <cellStyle name="Обычный 10 6 4 4 2 4" xfId="7688"/>
    <cellStyle name="Обычный 10 6 4 4 2 4 2" xfId="7689"/>
    <cellStyle name="Обычный 10 6 4 4 2 5" xfId="7690"/>
    <cellStyle name="Обычный 10 6 4 4 2 6" xfId="7691"/>
    <cellStyle name="Обычный 10 6 4 4 3" xfId="7692"/>
    <cellStyle name="Обычный 10 6 4 4 3 2" xfId="7693"/>
    <cellStyle name="Обычный 10 6 4 4 3 3" xfId="7694"/>
    <cellStyle name="Обычный 10 6 4 4 4" xfId="7695"/>
    <cellStyle name="Обычный 10 6 4 4 4 2" xfId="7696"/>
    <cellStyle name="Обычный 10 6 4 4 4 3" xfId="7697"/>
    <cellStyle name="Обычный 10 6 4 4 5" xfId="7698"/>
    <cellStyle name="Обычный 10 6 4 4 5 2" xfId="7699"/>
    <cellStyle name="Обычный 10 6 4 4 6" xfId="7700"/>
    <cellStyle name="Обычный 10 6 4 4 7" xfId="7701"/>
    <cellStyle name="Обычный 10 6 4 5" xfId="7702"/>
    <cellStyle name="Обычный 10 6 4 5 2" xfId="7703"/>
    <cellStyle name="Обычный 10 6 4 5 2 2" xfId="7704"/>
    <cellStyle name="Обычный 10 6 4 5 2 3" xfId="7705"/>
    <cellStyle name="Обычный 10 6 4 5 3" xfId="7706"/>
    <cellStyle name="Обычный 10 6 4 5 3 2" xfId="7707"/>
    <cellStyle name="Обычный 10 6 4 5 3 3" xfId="7708"/>
    <cellStyle name="Обычный 10 6 4 5 4" xfId="7709"/>
    <cellStyle name="Обычный 10 6 4 5 4 2" xfId="7710"/>
    <cellStyle name="Обычный 10 6 4 5 5" xfId="7711"/>
    <cellStyle name="Обычный 10 6 4 5 6" xfId="7712"/>
    <cellStyle name="Обычный 10 6 4 6" xfId="7713"/>
    <cellStyle name="Обычный 10 6 4 6 2" xfId="7714"/>
    <cellStyle name="Обычный 10 6 4 6 3" xfId="7715"/>
    <cellStyle name="Обычный 10 6 4 7" xfId="7716"/>
    <cellStyle name="Обычный 10 6 4 7 2" xfId="7717"/>
    <cellStyle name="Обычный 10 6 4 7 3" xfId="7718"/>
    <cellStyle name="Обычный 10 6 4 8" xfId="7719"/>
    <cellStyle name="Обычный 10 6 4 8 2" xfId="7720"/>
    <cellStyle name="Обычный 10 6 4 9" xfId="7721"/>
    <cellStyle name="Обычный 10 6 5" xfId="7722"/>
    <cellStyle name="Обычный 10 6 5 10" xfId="7723"/>
    <cellStyle name="Обычный 10 6 5 2" xfId="7724"/>
    <cellStyle name="Обычный 10 6 5 2 2" xfId="7725"/>
    <cellStyle name="Обычный 10 6 5 2 2 2" xfId="7726"/>
    <cellStyle name="Обычный 10 6 5 2 2 2 2" xfId="7727"/>
    <cellStyle name="Обычный 10 6 5 2 2 2 2 2" xfId="7728"/>
    <cellStyle name="Обычный 10 6 5 2 2 2 2 2 2" xfId="7729"/>
    <cellStyle name="Обычный 10 6 5 2 2 2 2 2 3" xfId="7730"/>
    <cellStyle name="Обычный 10 6 5 2 2 2 2 3" xfId="7731"/>
    <cellStyle name="Обычный 10 6 5 2 2 2 2 3 2" xfId="7732"/>
    <cellStyle name="Обычный 10 6 5 2 2 2 2 3 3" xfId="7733"/>
    <cellStyle name="Обычный 10 6 5 2 2 2 2 4" xfId="7734"/>
    <cellStyle name="Обычный 10 6 5 2 2 2 2 4 2" xfId="7735"/>
    <cellStyle name="Обычный 10 6 5 2 2 2 2 5" xfId="7736"/>
    <cellStyle name="Обычный 10 6 5 2 2 2 2 6" xfId="7737"/>
    <cellStyle name="Обычный 10 6 5 2 2 2 3" xfId="7738"/>
    <cellStyle name="Обычный 10 6 5 2 2 2 3 2" xfId="7739"/>
    <cellStyle name="Обычный 10 6 5 2 2 2 3 3" xfId="7740"/>
    <cellStyle name="Обычный 10 6 5 2 2 2 4" xfId="7741"/>
    <cellStyle name="Обычный 10 6 5 2 2 2 4 2" xfId="7742"/>
    <cellStyle name="Обычный 10 6 5 2 2 2 4 3" xfId="7743"/>
    <cellStyle name="Обычный 10 6 5 2 2 2 5" xfId="7744"/>
    <cellStyle name="Обычный 10 6 5 2 2 2 5 2" xfId="7745"/>
    <cellStyle name="Обычный 10 6 5 2 2 2 6" xfId="7746"/>
    <cellStyle name="Обычный 10 6 5 2 2 2 7" xfId="7747"/>
    <cellStyle name="Обычный 10 6 5 2 2 3" xfId="7748"/>
    <cellStyle name="Обычный 10 6 5 2 2 3 2" xfId="7749"/>
    <cellStyle name="Обычный 10 6 5 2 2 3 2 2" xfId="7750"/>
    <cellStyle name="Обычный 10 6 5 2 2 3 2 3" xfId="7751"/>
    <cellStyle name="Обычный 10 6 5 2 2 3 3" xfId="7752"/>
    <cellStyle name="Обычный 10 6 5 2 2 3 3 2" xfId="7753"/>
    <cellStyle name="Обычный 10 6 5 2 2 3 3 3" xfId="7754"/>
    <cellStyle name="Обычный 10 6 5 2 2 3 4" xfId="7755"/>
    <cellStyle name="Обычный 10 6 5 2 2 3 4 2" xfId="7756"/>
    <cellStyle name="Обычный 10 6 5 2 2 3 5" xfId="7757"/>
    <cellStyle name="Обычный 10 6 5 2 2 3 6" xfId="7758"/>
    <cellStyle name="Обычный 10 6 5 2 2 4" xfId="7759"/>
    <cellStyle name="Обычный 10 6 5 2 2 4 2" xfId="7760"/>
    <cellStyle name="Обычный 10 6 5 2 2 4 3" xfId="7761"/>
    <cellStyle name="Обычный 10 6 5 2 2 5" xfId="7762"/>
    <cellStyle name="Обычный 10 6 5 2 2 5 2" xfId="7763"/>
    <cellStyle name="Обычный 10 6 5 2 2 5 3" xfId="7764"/>
    <cellStyle name="Обычный 10 6 5 2 2 6" xfId="7765"/>
    <cellStyle name="Обычный 10 6 5 2 2 6 2" xfId="7766"/>
    <cellStyle name="Обычный 10 6 5 2 2 7" xfId="7767"/>
    <cellStyle name="Обычный 10 6 5 2 2 8" xfId="7768"/>
    <cellStyle name="Обычный 10 6 5 2 3" xfId="7769"/>
    <cellStyle name="Обычный 10 6 5 2 3 2" xfId="7770"/>
    <cellStyle name="Обычный 10 6 5 2 3 2 2" xfId="7771"/>
    <cellStyle name="Обычный 10 6 5 2 3 2 2 2" xfId="7772"/>
    <cellStyle name="Обычный 10 6 5 2 3 2 2 3" xfId="7773"/>
    <cellStyle name="Обычный 10 6 5 2 3 2 3" xfId="7774"/>
    <cellStyle name="Обычный 10 6 5 2 3 2 3 2" xfId="7775"/>
    <cellStyle name="Обычный 10 6 5 2 3 2 3 3" xfId="7776"/>
    <cellStyle name="Обычный 10 6 5 2 3 2 4" xfId="7777"/>
    <cellStyle name="Обычный 10 6 5 2 3 2 4 2" xfId="7778"/>
    <cellStyle name="Обычный 10 6 5 2 3 2 5" xfId="7779"/>
    <cellStyle name="Обычный 10 6 5 2 3 2 6" xfId="7780"/>
    <cellStyle name="Обычный 10 6 5 2 3 3" xfId="7781"/>
    <cellStyle name="Обычный 10 6 5 2 3 3 2" xfId="7782"/>
    <cellStyle name="Обычный 10 6 5 2 3 3 3" xfId="7783"/>
    <cellStyle name="Обычный 10 6 5 2 3 4" xfId="7784"/>
    <cellStyle name="Обычный 10 6 5 2 3 4 2" xfId="7785"/>
    <cellStyle name="Обычный 10 6 5 2 3 4 3" xfId="7786"/>
    <cellStyle name="Обычный 10 6 5 2 3 5" xfId="7787"/>
    <cellStyle name="Обычный 10 6 5 2 3 5 2" xfId="7788"/>
    <cellStyle name="Обычный 10 6 5 2 3 6" xfId="7789"/>
    <cellStyle name="Обычный 10 6 5 2 3 7" xfId="7790"/>
    <cellStyle name="Обычный 10 6 5 2 4" xfId="7791"/>
    <cellStyle name="Обычный 10 6 5 2 4 2" xfId="7792"/>
    <cellStyle name="Обычный 10 6 5 2 4 2 2" xfId="7793"/>
    <cellStyle name="Обычный 10 6 5 2 4 2 3" xfId="7794"/>
    <cellStyle name="Обычный 10 6 5 2 4 3" xfId="7795"/>
    <cellStyle name="Обычный 10 6 5 2 4 3 2" xfId="7796"/>
    <cellStyle name="Обычный 10 6 5 2 4 3 3" xfId="7797"/>
    <cellStyle name="Обычный 10 6 5 2 4 4" xfId="7798"/>
    <cellStyle name="Обычный 10 6 5 2 4 4 2" xfId="7799"/>
    <cellStyle name="Обычный 10 6 5 2 4 5" xfId="7800"/>
    <cellStyle name="Обычный 10 6 5 2 4 6" xfId="7801"/>
    <cellStyle name="Обычный 10 6 5 2 5" xfId="7802"/>
    <cellStyle name="Обычный 10 6 5 2 5 2" xfId="7803"/>
    <cellStyle name="Обычный 10 6 5 2 5 3" xfId="7804"/>
    <cellStyle name="Обычный 10 6 5 2 6" xfId="7805"/>
    <cellStyle name="Обычный 10 6 5 2 6 2" xfId="7806"/>
    <cellStyle name="Обычный 10 6 5 2 6 3" xfId="7807"/>
    <cellStyle name="Обычный 10 6 5 2 7" xfId="7808"/>
    <cellStyle name="Обычный 10 6 5 2 7 2" xfId="7809"/>
    <cellStyle name="Обычный 10 6 5 2 8" xfId="7810"/>
    <cellStyle name="Обычный 10 6 5 2 9" xfId="7811"/>
    <cellStyle name="Обычный 10 6 5 3" xfId="7812"/>
    <cellStyle name="Обычный 10 6 5 3 2" xfId="7813"/>
    <cellStyle name="Обычный 10 6 5 3 2 2" xfId="7814"/>
    <cellStyle name="Обычный 10 6 5 3 2 2 2" xfId="7815"/>
    <cellStyle name="Обычный 10 6 5 3 2 2 2 2" xfId="7816"/>
    <cellStyle name="Обычный 10 6 5 3 2 2 2 3" xfId="7817"/>
    <cellStyle name="Обычный 10 6 5 3 2 2 3" xfId="7818"/>
    <cellStyle name="Обычный 10 6 5 3 2 2 3 2" xfId="7819"/>
    <cellStyle name="Обычный 10 6 5 3 2 2 3 3" xfId="7820"/>
    <cellStyle name="Обычный 10 6 5 3 2 2 4" xfId="7821"/>
    <cellStyle name="Обычный 10 6 5 3 2 2 4 2" xfId="7822"/>
    <cellStyle name="Обычный 10 6 5 3 2 2 5" xfId="7823"/>
    <cellStyle name="Обычный 10 6 5 3 2 2 6" xfId="7824"/>
    <cellStyle name="Обычный 10 6 5 3 2 3" xfId="7825"/>
    <cellStyle name="Обычный 10 6 5 3 2 3 2" xfId="7826"/>
    <cellStyle name="Обычный 10 6 5 3 2 3 3" xfId="7827"/>
    <cellStyle name="Обычный 10 6 5 3 2 4" xfId="7828"/>
    <cellStyle name="Обычный 10 6 5 3 2 4 2" xfId="7829"/>
    <cellStyle name="Обычный 10 6 5 3 2 4 3" xfId="7830"/>
    <cellStyle name="Обычный 10 6 5 3 2 5" xfId="7831"/>
    <cellStyle name="Обычный 10 6 5 3 2 5 2" xfId="7832"/>
    <cellStyle name="Обычный 10 6 5 3 2 6" xfId="7833"/>
    <cellStyle name="Обычный 10 6 5 3 2 7" xfId="7834"/>
    <cellStyle name="Обычный 10 6 5 3 3" xfId="7835"/>
    <cellStyle name="Обычный 10 6 5 3 3 2" xfId="7836"/>
    <cellStyle name="Обычный 10 6 5 3 3 2 2" xfId="7837"/>
    <cellStyle name="Обычный 10 6 5 3 3 2 3" xfId="7838"/>
    <cellStyle name="Обычный 10 6 5 3 3 3" xfId="7839"/>
    <cellStyle name="Обычный 10 6 5 3 3 3 2" xfId="7840"/>
    <cellStyle name="Обычный 10 6 5 3 3 3 3" xfId="7841"/>
    <cellStyle name="Обычный 10 6 5 3 3 4" xfId="7842"/>
    <cellStyle name="Обычный 10 6 5 3 3 4 2" xfId="7843"/>
    <cellStyle name="Обычный 10 6 5 3 3 5" xfId="7844"/>
    <cellStyle name="Обычный 10 6 5 3 3 6" xfId="7845"/>
    <cellStyle name="Обычный 10 6 5 3 4" xfId="7846"/>
    <cellStyle name="Обычный 10 6 5 3 4 2" xfId="7847"/>
    <cellStyle name="Обычный 10 6 5 3 4 3" xfId="7848"/>
    <cellStyle name="Обычный 10 6 5 3 5" xfId="7849"/>
    <cellStyle name="Обычный 10 6 5 3 5 2" xfId="7850"/>
    <cellStyle name="Обычный 10 6 5 3 5 3" xfId="7851"/>
    <cellStyle name="Обычный 10 6 5 3 6" xfId="7852"/>
    <cellStyle name="Обычный 10 6 5 3 6 2" xfId="7853"/>
    <cellStyle name="Обычный 10 6 5 3 7" xfId="7854"/>
    <cellStyle name="Обычный 10 6 5 3 8" xfId="7855"/>
    <cellStyle name="Обычный 10 6 5 4" xfId="7856"/>
    <cellStyle name="Обычный 10 6 5 4 2" xfId="7857"/>
    <cellStyle name="Обычный 10 6 5 4 2 2" xfId="7858"/>
    <cellStyle name="Обычный 10 6 5 4 2 2 2" xfId="7859"/>
    <cellStyle name="Обычный 10 6 5 4 2 2 3" xfId="7860"/>
    <cellStyle name="Обычный 10 6 5 4 2 3" xfId="7861"/>
    <cellStyle name="Обычный 10 6 5 4 2 3 2" xfId="7862"/>
    <cellStyle name="Обычный 10 6 5 4 2 3 3" xfId="7863"/>
    <cellStyle name="Обычный 10 6 5 4 2 4" xfId="7864"/>
    <cellStyle name="Обычный 10 6 5 4 2 4 2" xfId="7865"/>
    <cellStyle name="Обычный 10 6 5 4 2 5" xfId="7866"/>
    <cellStyle name="Обычный 10 6 5 4 2 6" xfId="7867"/>
    <cellStyle name="Обычный 10 6 5 4 3" xfId="7868"/>
    <cellStyle name="Обычный 10 6 5 4 3 2" xfId="7869"/>
    <cellStyle name="Обычный 10 6 5 4 3 3" xfId="7870"/>
    <cellStyle name="Обычный 10 6 5 4 4" xfId="7871"/>
    <cellStyle name="Обычный 10 6 5 4 4 2" xfId="7872"/>
    <cellStyle name="Обычный 10 6 5 4 4 3" xfId="7873"/>
    <cellStyle name="Обычный 10 6 5 4 5" xfId="7874"/>
    <cellStyle name="Обычный 10 6 5 4 5 2" xfId="7875"/>
    <cellStyle name="Обычный 10 6 5 4 6" xfId="7876"/>
    <cellStyle name="Обычный 10 6 5 4 7" xfId="7877"/>
    <cellStyle name="Обычный 10 6 5 5" xfId="7878"/>
    <cellStyle name="Обычный 10 6 5 5 2" xfId="7879"/>
    <cellStyle name="Обычный 10 6 5 5 2 2" xfId="7880"/>
    <cellStyle name="Обычный 10 6 5 5 2 3" xfId="7881"/>
    <cellStyle name="Обычный 10 6 5 5 3" xfId="7882"/>
    <cellStyle name="Обычный 10 6 5 5 3 2" xfId="7883"/>
    <cellStyle name="Обычный 10 6 5 5 3 3" xfId="7884"/>
    <cellStyle name="Обычный 10 6 5 5 4" xfId="7885"/>
    <cellStyle name="Обычный 10 6 5 5 4 2" xfId="7886"/>
    <cellStyle name="Обычный 10 6 5 5 5" xfId="7887"/>
    <cellStyle name="Обычный 10 6 5 5 6" xfId="7888"/>
    <cellStyle name="Обычный 10 6 5 6" xfId="7889"/>
    <cellStyle name="Обычный 10 6 5 6 2" xfId="7890"/>
    <cellStyle name="Обычный 10 6 5 6 3" xfId="7891"/>
    <cellStyle name="Обычный 10 6 5 7" xfId="7892"/>
    <cellStyle name="Обычный 10 6 5 7 2" xfId="7893"/>
    <cellStyle name="Обычный 10 6 5 7 3" xfId="7894"/>
    <cellStyle name="Обычный 10 6 5 8" xfId="7895"/>
    <cellStyle name="Обычный 10 6 5 8 2" xfId="7896"/>
    <cellStyle name="Обычный 10 6 5 9" xfId="7897"/>
    <cellStyle name="Обычный 10 6 6" xfId="7898"/>
    <cellStyle name="Обычный 10 6 6 2" xfId="7899"/>
    <cellStyle name="Обычный 10 6 6 2 2" xfId="7900"/>
    <cellStyle name="Обычный 10 6 6 2 2 2" xfId="7901"/>
    <cellStyle name="Обычный 10 6 6 2 2 2 2" xfId="7902"/>
    <cellStyle name="Обычный 10 6 6 2 2 2 2 2" xfId="7903"/>
    <cellStyle name="Обычный 10 6 6 2 2 2 2 3" xfId="7904"/>
    <cellStyle name="Обычный 10 6 6 2 2 2 3" xfId="7905"/>
    <cellStyle name="Обычный 10 6 6 2 2 2 3 2" xfId="7906"/>
    <cellStyle name="Обычный 10 6 6 2 2 2 3 3" xfId="7907"/>
    <cellStyle name="Обычный 10 6 6 2 2 2 4" xfId="7908"/>
    <cellStyle name="Обычный 10 6 6 2 2 2 4 2" xfId="7909"/>
    <cellStyle name="Обычный 10 6 6 2 2 2 5" xfId="7910"/>
    <cellStyle name="Обычный 10 6 6 2 2 2 6" xfId="7911"/>
    <cellStyle name="Обычный 10 6 6 2 2 3" xfId="7912"/>
    <cellStyle name="Обычный 10 6 6 2 2 3 2" xfId="7913"/>
    <cellStyle name="Обычный 10 6 6 2 2 3 3" xfId="7914"/>
    <cellStyle name="Обычный 10 6 6 2 2 4" xfId="7915"/>
    <cellStyle name="Обычный 10 6 6 2 2 4 2" xfId="7916"/>
    <cellStyle name="Обычный 10 6 6 2 2 4 3" xfId="7917"/>
    <cellStyle name="Обычный 10 6 6 2 2 5" xfId="7918"/>
    <cellStyle name="Обычный 10 6 6 2 2 5 2" xfId="7919"/>
    <cellStyle name="Обычный 10 6 6 2 2 6" xfId="7920"/>
    <cellStyle name="Обычный 10 6 6 2 2 7" xfId="7921"/>
    <cellStyle name="Обычный 10 6 6 2 3" xfId="7922"/>
    <cellStyle name="Обычный 10 6 6 2 3 2" xfId="7923"/>
    <cellStyle name="Обычный 10 6 6 2 3 2 2" xfId="7924"/>
    <cellStyle name="Обычный 10 6 6 2 3 2 3" xfId="7925"/>
    <cellStyle name="Обычный 10 6 6 2 3 3" xfId="7926"/>
    <cellStyle name="Обычный 10 6 6 2 3 3 2" xfId="7927"/>
    <cellStyle name="Обычный 10 6 6 2 3 3 3" xfId="7928"/>
    <cellStyle name="Обычный 10 6 6 2 3 4" xfId="7929"/>
    <cellStyle name="Обычный 10 6 6 2 3 4 2" xfId="7930"/>
    <cellStyle name="Обычный 10 6 6 2 3 5" xfId="7931"/>
    <cellStyle name="Обычный 10 6 6 2 3 6" xfId="7932"/>
    <cellStyle name="Обычный 10 6 6 2 4" xfId="7933"/>
    <cellStyle name="Обычный 10 6 6 2 4 2" xfId="7934"/>
    <cellStyle name="Обычный 10 6 6 2 4 3" xfId="7935"/>
    <cellStyle name="Обычный 10 6 6 2 5" xfId="7936"/>
    <cellStyle name="Обычный 10 6 6 2 5 2" xfId="7937"/>
    <cellStyle name="Обычный 10 6 6 2 5 3" xfId="7938"/>
    <cellStyle name="Обычный 10 6 6 2 6" xfId="7939"/>
    <cellStyle name="Обычный 10 6 6 2 6 2" xfId="7940"/>
    <cellStyle name="Обычный 10 6 6 2 7" xfId="7941"/>
    <cellStyle name="Обычный 10 6 6 2 8" xfId="7942"/>
    <cellStyle name="Обычный 10 6 6 3" xfId="7943"/>
    <cellStyle name="Обычный 10 6 6 3 2" xfId="7944"/>
    <cellStyle name="Обычный 10 6 6 3 2 2" xfId="7945"/>
    <cellStyle name="Обычный 10 6 6 3 2 2 2" xfId="7946"/>
    <cellStyle name="Обычный 10 6 6 3 2 2 3" xfId="7947"/>
    <cellStyle name="Обычный 10 6 6 3 2 3" xfId="7948"/>
    <cellStyle name="Обычный 10 6 6 3 2 3 2" xfId="7949"/>
    <cellStyle name="Обычный 10 6 6 3 2 3 3" xfId="7950"/>
    <cellStyle name="Обычный 10 6 6 3 2 4" xfId="7951"/>
    <cellStyle name="Обычный 10 6 6 3 2 4 2" xfId="7952"/>
    <cellStyle name="Обычный 10 6 6 3 2 5" xfId="7953"/>
    <cellStyle name="Обычный 10 6 6 3 2 6" xfId="7954"/>
    <cellStyle name="Обычный 10 6 6 3 3" xfId="7955"/>
    <cellStyle name="Обычный 10 6 6 3 3 2" xfId="7956"/>
    <cellStyle name="Обычный 10 6 6 3 3 3" xfId="7957"/>
    <cellStyle name="Обычный 10 6 6 3 4" xfId="7958"/>
    <cellStyle name="Обычный 10 6 6 3 4 2" xfId="7959"/>
    <cellStyle name="Обычный 10 6 6 3 4 3" xfId="7960"/>
    <cellStyle name="Обычный 10 6 6 3 5" xfId="7961"/>
    <cellStyle name="Обычный 10 6 6 3 5 2" xfId="7962"/>
    <cellStyle name="Обычный 10 6 6 3 6" xfId="7963"/>
    <cellStyle name="Обычный 10 6 6 3 7" xfId="7964"/>
    <cellStyle name="Обычный 10 6 6 4" xfId="7965"/>
    <cellStyle name="Обычный 10 6 6 4 2" xfId="7966"/>
    <cellStyle name="Обычный 10 6 6 4 2 2" xfId="7967"/>
    <cellStyle name="Обычный 10 6 6 4 2 3" xfId="7968"/>
    <cellStyle name="Обычный 10 6 6 4 3" xfId="7969"/>
    <cellStyle name="Обычный 10 6 6 4 3 2" xfId="7970"/>
    <cellStyle name="Обычный 10 6 6 4 3 3" xfId="7971"/>
    <cellStyle name="Обычный 10 6 6 4 4" xfId="7972"/>
    <cellStyle name="Обычный 10 6 6 4 4 2" xfId="7973"/>
    <cellStyle name="Обычный 10 6 6 4 5" xfId="7974"/>
    <cellStyle name="Обычный 10 6 6 4 6" xfId="7975"/>
    <cellStyle name="Обычный 10 6 6 5" xfId="7976"/>
    <cellStyle name="Обычный 10 6 6 5 2" xfId="7977"/>
    <cellStyle name="Обычный 10 6 6 5 3" xfId="7978"/>
    <cellStyle name="Обычный 10 6 6 6" xfId="7979"/>
    <cellStyle name="Обычный 10 6 6 6 2" xfId="7980"/>
    <cellStyle name="Обычный 10 6 6 6 3" xfId="7981"/>
    <cellStyle name="Обычный 10 6 6 7" xfId="7982"/>
    <cellStyle name="Обычный 10 6 6 7 2" xfId="7983"/>
    <cellStyle name="Обычный 10 6 6 8" xfId="7984"/>
    <cellStyle name="Обычный 10 6 6 9" xfId="7985"/>
    <cellStyle name="Обычный 10 6 7" xfId="7986"/>
    <cellStyle name="Обычный 10 6 7 2" xfId="7987"/>
    <cellStyle name="Обычный 10 6 7 2 2" xfId="7988"/>
    <cellStyle name="Обычный 10 6 7 2 2 2" xfId="7989"/>
    <cellStyle name="Обычный 10 6 7 2 2 2 2" xfId="7990"/>
    <cellStyle name="Обычный 10 6 7 2 2 2 3" xfId="7991"/>
    <cellStyle name="Обычный 10 6 7 2 2 3" xfId="7992"/>
    <cellStyle name="Обычный 10 6 7 2 2 3 2" xfId="7993"/>
    <cellStyle name="Обычный 10 6 7 2 2 3 3" xfId="7994"/>
    <cellStyle name="Обычный 10 6 7 2 2 4" xfId="7995"/>
    <cellStyle name="Обычный 10 6 7 2 2 4 2" xfId="7996"/>
    <cellStyle name="Обычный 10 6 7 2 2 5" xfId="7997"/>
    <cellStyle name="Обычный 10 6 7 2 2 6" xfId="7998"/>
    <cellStyle name="Обычный 10 6 7 2 3" xfId="7999"/>
    <cellStyle name="Обычный 10 6 7 2 3 2" xfId="8000"/>
    <cellStyle name="Обычный 10 6 7 2 3 3" xfId="8001"/>
    <cellStyle name="Обычный 10 6 7 2 4" xfId="8002"/>
    <cellStyle name="Обычный 10 6 7 2 4 2" xfId="8003"/>
    <cellStyle name="Обычный 10 6 7 2 4 3" xfId="8004"/>
    <cellStyle name="Обычный 10 6 7 2 5" xfId="8005"/>
    <cellStyle name="Обычный 10 6 7 2 5 2" xfId="8006"/>
    <cellStyle name="Обычный 10 6 7 2 6" xfId="8007"/>
    <cellStyle name="Обычный 10 6 7 2 7" xfId="8008"/>
    <cellStyle name="Обычный 10 6 7 3" xfId="8009"/>
    <cellStyle name="Обычный 10 6 7 3 2" xfId="8010"/>
    <cellStyle name="Обычный 10 6 7 3 2 2" xfId="8011"/>
    <cellStyle name="Обычный 10 6 7 3 2 3" xfId="8012"/>
    <cellStyle name="Обычный 10 6 7 3 3" xfId="8013"/>
    <cellStyle name="Обычный 10 6 7 3 3 2" xfId="8014"/>
    <cellStyle name="Обычный 10 6 7 3 3 3" xfId="8015"/>
    <cellStyle name="Обычный 10 6 7 3 4" xfId="8016"/>
    <cellStyle name="Обычный 10 6 7 3 4 2" xfId="8017"/>
    <cellStyle name="Обычный 10 6 7 3 5" xfId="8018"/>
    <cellStyle name="Обычный 10 6 7 3 6" xfId="8019"/>
    <cellStyle name="Обычный 10 6 7 4" xfId="8020"/>
    <cellStyle name="Обычный 10 6 7 4 2" xfId="8021"/>
    <cellStyle name="Обычный 10 6 7 4 3" xfId="8022"/>
    <cellStyle name="Обычный 10 6 7 5" xfId="8023"/>
    <cellStyle name="Обычный 10 6 7 5 2" xfId="8024"/>
    <cellStyle name="Обычный 10 6 7 5 3" xfId="8025"/>
    <cellStyle name="Обычный 10 6 7 6" xfId="8026"/>
    <cellStyle name="Обычный 10 6 7 6 2" xfId="8027"/>
    <cellStyle name="Обычный 10 6 7 7" xfId="8028"/>
    <cellStyle name="Обычный 10 6 7 8" xfId="8029"/>
    <cellStyle name="Обычный 10 6 8" xfId="8030"/>
    <cellStyle name="Обычный 10 6 8 2" xfId="8031"/>
    <cellStyle name="Обычный 10 6 8 2 2" xfId="8032"/>
    <cellStyle name="Обычный 10 6 8 2 2 2" xfId="8033"/>
    <cellStyle name="Обычный 10 6 8 2 2 3" xfId="8034"/>
    <cellStyle name="Обычный 10 6 8 2 3" xfId="8035"/>
    <cellStyle name="Обычный 10 6 8 2 3 2" xfId="8036"/>
    <cellStyle name="Обычный 10 6 8 2 3 3" xfId="8037"/>
    <cellStyle name="Обычный 10 6 8 2 4" xfId="8038"/>
    <cellStyle name="Обычный 10 6 8 2 4 2" xfId="8039"/>
    <cellStyle name="Обычный 10 6 8 2 5" xfId="8040"/>
    <cellStyle name="Обычный 10 6 8 2 6" xfId="8041"/>
    <cellStyle name="Обычный 10 6 8 3" xfId="8042"/>
    <cellStyle name="Обычный 10 6 8 3 2" xfId="8043"/>
    <cellStyle name="Обычный 10 6 8 3 3" xfId="8044"/>
    <cellStyle name="Обычный 10 6 8 4" xfId="8045"/>
    <cellStyle name="Обычный 10 6 8 4 2" xfId="8046"/>
    <cellStyle name="Обычный 10 6 8 4 3" xfId="8047"/>
    <cellStyle name="Обычный 10 6 8 5" xfId="8048"/>
    <cellStyle name="Обычный 10 6 8 5 2" xfId="8049"/>
    <cellStyle name="Обычный 10 6 8 6" xfId="8050"/>
    <cellStyle name="Обычный 10 6 8 7" xfId="8051"/>
    <cellStyle name="Обычный 10 6 9" xfId="8052"/>
    <cellStyle name="Обычный 10 6 9 2" xfId="8053"/>
    <cellStyle name="Обычный 10 6 9 2 2" xfId="8054"/>
    <cellStyle name="Обычный 10 6 9 2 3" xfId="8055"/>
    <cellStyle name="Обычный 10 6 9 3" xfId="8056"/>
    <cellStyle name="Обычный 10 6 9 3 2" xfId="8057"/>
    <cellStyle name="Обычный 10 6 9 3 3" xfId="8058"/>
    <cellStyle name="Обычный 10 6 9 4" xfId="8059"/>
    <cellStyle name="Обычный 10 6 9 4 2" xfId="8060"/>
    <cellStyle name="Обычный 10 6 9 5" xfId="8061"/>
    <cellStyle name="Обычный 10 6 9 6" xfId="8062"/>
    <cellStyle name="Обычный 10 7" xfId="8063"/>
    <cellStyle name="Обычный 10 7 10" xfId="8064"/>
    <cellStyle name="Обычный 10 7 10 2" xfId="8065"/>
    <cellStyle name="Обычный 10 7 10 3" xfId="8066"/>
    <cellStyle name="Обычный 10 7 11" xfId="8067"/>
    <cellStyle name="Обычный 10 7 11 2" xfId="8068"/>
    <cellStyle name="Обычный 10 7 11 3" xfId="8069"/>
    <cellStyle name="Обычный 10 7 12" xfId="8070"/>
    <cellStyle name="Обычный 10 7 12 2" xfId="8071"/>
    <cellStyle name="Обычный 10 7 13" xfId="8072"/>
    <cellStyle name="Обычный 10 7 14" xfId="8073"/>
    <cellStyle name="Обычный 10 7 2" xfId="8074"/>
    <cellStyle name="Обычный 10 7 2 10" xfId="8075"/>
    <cellStyle name="Обычный 10 7 2 10 2" xfId="8076"/>
    <cellStyle name="Обычный 10 7 2 10 3" xfId="8077"/>
    <cellStyle name="Обычный 10 7 2 11" xfId="8078"/>
    <cellStyle name="Обычный 10 7 2 11 2" xfId="8079"/>
    <cellStyle name="Обычный 10 7 2 12" xfId="8080"/>
    <cellStyle name="Обычный 10 7 2 13" xfId="8081"/>
    <cellStyle name="Обычный 10 7 2 2" xfId="8082"/>
    <cellStyle name="Обычный 10 7 2 2 10" xfId="8083"/>
    <cellStyle name="Обычный 10 7 2 2 2" xfId="8084"/>
    <cellStyle name="Обычный 10 7 2 2 2 2" xfId="8085"/>
    <cellStyle name="Обычный 10 7 2 2 2 2 2" xfId="8086"/>
    <cellStyle name="Обычный 10 7 2 2 2 2 2 2" xfId="8087"/>
    <cellStyle name="Обычный 10 7 2 2 2 2 2 2 2" xfId="8088"/>
    <cellStyle name="Обычный 10 7 2 2 2 2 2 2 2 2" xfId="8089"/>
    <cellStyle name="Обычный 10 7 2 2 2 2 2 2 2 3" xfId="8090"/>
    <cellStyle name="Обычный 10 7 2 2 2 2 2 2 3" xfId="8091"/>
    <cellStyle name="Обычный 10 7 2 2 2 2 2 2 3 2" xfId="8092"/>
    <cellStyle name="Обычный 10 7 2 2 2 2 2 2 3 3" xfId="8093"/>
    <cellStyle name="Обычный 10 7 2 2 2 2 2 2 4" xfId="8094"/>
    <cellStyle name="Обычный 10 7 2 2 2 2 2 2 4 2" xfId="8095"/>
    <cellStyle name="Обычный 10 7 2 2 2 2 2 2 5" xfId="8096"/>
    <cellStyle name="Обычный 10 7 2 2 2 2 2 2 6" xfId="8097"/>
    <cellStyle name="Обычный 10 7 2 2 2 2 2 3" xfId="8098"/>
    <cellStyle name="Обычный 10 7 2 2 2 2 2 3 2" xfId="8099"/>
    <cellStyle name="Обычный 10 7 2 2 2 2 2 3 3" xfId="8100"/>
    <cellStyle name="Обычный 10 7 2 2 2 2 2 4" xfId="8101"/>
    <cellStyle name="Обычный 10 7 2 2 2 2 2 4 2" xfId="8102"/>
    <cellStyle name="Обычный 10 7 2 2 2 2 2 4 3" xfId="8103"/>
    <cellStyle name="Обычный 10 7 2 2 2 2 2 5" xfId="8104"/>
    <cellStyle name="Обычный 10 7 2 2 2 2 2 5 2" xfId="8105"/>
    <cellStyle name="Обычный 10 7 2 2 2 2 2 6" xfId="8106"/>
    <cellStyle name="Обычный 10 7 2 2 2 2 2 7" xfId="8107"/>
    <cellStyle name="Обычный 10 7 2 2 2 2 3" xfId="8108"/>
    <cellStyle name="Обычный 10 7 2 2 2 2 3 2" xfId="8109"/>
    <cellStyle name="Обычный 10 7 2 2 2 2 3 2 2" xfId="8110"/>
    <cellStyle name="Обычный 10 7 2 2 2 2 3 2 3" xfId="8111"/>
    <cellStyle name="Обычный 10 7 2 2 2 2 3 3" xfId="8112"/>
    <cellStyle name="Обычный 10 7 2 2 2 2 3 3 2" xfId="8113"/>
    <cellStyle name="Обычный 10 7 2 2 2 2 3 3 3" xfId="8114"/>
    <cellStyle name="Обычный 10 7 2 2 2 2 3 4" xfId="8115"/>
    <cellStyle name="Обычный 10 7 2 2 2 2 3 4 2" xfId="8116"/>
    <cellStyle name="Обычный 10 7 2 2 2 2 3 5" xfId="8117"/>
    <cellStyle name="Обычный 10 7 2 2 2 2 3 6" xfId="8118"/>
    <cellStyle name="Обычный 10 7 2 2 2 2 4" xfId="8119"/>
    <cellStyle name="Обычный 10 7 2 2 2 2 4 2" xfId="8120"/>
    <cellStyle name="Обычный 10 7 2 2 2 2 4 3" xfId="8121"/>
    <cellStyle name="Обычный 10 7 2 2 2 2 5" xfId="8122"/>
    <cellStyle name="Обычный 10 7 2 2 2 2 5 2" xfId="8123"/>
    <cellStyle name="Обычный 10 7 2 2 2 2 5 3" xfId="8124"/>
    <cellStyle name="Обычный 10 7 2 2 2 2 6" xfId="8125"/>
    <cellStyle name="Обычный 10 7 2 2 2 2 6 2" xfId="8126"/>
    <cellStyle name="Обычный 10 7 2 2 2 2 7" xfId="8127"/>
    <cellStyle name="Обычный 10 7 2 2 2 2 8" xfId="8128"/>
    <cellStyle name="Обычный 10 7 2 2 2 3" xfId="8129"/>
    <cellStyle name="Обычный 10 7 2 2 2 3 2" xfId="8130"/>
    <cellStyle name="Обычный 10 7 2 2 2 3 2 2" xfId="8131"/>
    <cellStyle name="Обычный 10 7 2 2 2 3 2 2 2" xfId="8132"/>
    <cellStyle name="Обычный 10 7 2 2 2 3 2 2 3" xfId="8133"/>
    <cellStyle name="Обычный 10 7 2 2 2 3 2 3" xfId="8134"/>
    <cellStyle name="Обычный 10 7 2 2 2 3 2 3 2" xfId="8135"/>
    <cellStyle name="Обычный 10 7 2 2 2 3 2 3 3" xfId="8136"/>
    <cellStyle name="Обычный 10 7 2 2 2 3 2 4" xfId="8137"/>
    <cellStyle name="Обычный 10 7 2 2 2 3 2 4 2" xfId="8138"/>
    <cellStyle name="Обычный 10 7 2 2 2 3 2 5" xfId="8139"/>
    <cellStyle name="Обычный 10 7 2 2 2 3 2 6" xfId="8140"/>
    <cellStyle name="Обычный 10 7 2 2 2 3 3" xfId="8141"/>
    <cellStyle name="Обычный 10 7 2 2 2 3 3 2" xfId="8142"/>
    <cellStyle name="Обычный 10 7 2 2 2 3 3 3" xfId="8143"/>
    <cellStyle name="Обычный 10 7 2 2 2 3 4" xfId="8144"/>
    <cellStyle name="Обычный 10 7 2 2 2 3 4 2" xfId="8145"/>
    <cellStyle name="Обычный 10 7 2 2 2 3 4 3" xfId="8146"/>
    <cellStyle name="Обычный 10 7 2 2 2 3 5" xfId="8147"/>
    <cellStyle name="Обычный 10 7 2 2 2 3 5 2" xfId="8148"/>
    <cellStyle name="Обычный 10 7 2 2 2 3 6" xfId="8149"/>
    <cellStyle name="Обычный 10 7 2 2 2 3 7" xfId="8150"/>
    <cellStyle name="Обычный 10 7 2 2 2 4" xfId="8151"/>
    <cellStyle name="Обычный 10 7 2 2 2 4 2" xfId="8152"/>
    <cellStyle name="Обычный 10 7 2 2 2 4 2 2" xfId="8153"/>
    <cellStyle name="Обычный 10 7 2 2 2 4 2 3" xfId="8154"/>
    <cellStyle name="Обычный 10 7 2 2 2 4 3" xfId="8155"/>
    <cellStyle name="Обычный 10 7 2 2 2 4 3 2" xfId="8156"/>
    <cellStyle name="Обычный 10 7 2 2 2 4 3 3" xfId="8157"/>
    <cellStyle name="Обычный 10 7 2 2 2 4 4" xfId="8158"/>
    <cellStyle name="Обычный 10 7 2 2 2 4 4 2" xfId="8159"/>
    <cellStyle name="Обычный 10 7 2 2 2 4 5" xfId="8160"/>
    <cellStyle name="Обычный 10 7 2 2 2 4 6" xfId="8161"/>
    <cellStyle name="Обычный 10 7 2 2 2 5" xfId="8162"/>
    <cellStyle name="Обычный 10 7 2 2 2 5 2" xfId="8163"/>
    <cellStyle name="Обычный 10 7 2 2 2 5 3" xfId="8164"/>
    <cellStyle name="Обычный 10 7 2 2 2 6" xfId="8165"/>
    <cellStyle name="Обычный 10 7 2 2 2 6 2" xfId="8166"/>
    <cellStyle name="Обычный 10 7 2 2 2 6 3" xfId="8167"/>
    <cellStyle name="Обычный 10 7 2 2 2 7" xfId="8168"/>
    <cellStyle name="Обычный 10 7 2 2 2 7 2" xfId="8169"/>
    <cellStyle name="Обычный 10 7 2 2 2 8" xfId="8170"/>
    <cellStyle name="Обычный 10 7 2 2 2 9" xfId="8171"/>
    <cellStyle name="Обычный 10 7 2 2 3" xfId="8172"/>
    <cellStyle name="Обычный 10 7 2 2 3 2" xfId="8173"/>
    <cellStyle name="Обычный 10 7 2 2 3 2 2" xfId="8174"/>
    <cellStyle name="Обычный 10 7 2 2 3 2 2 2" xfId="8175"/>
    <cellStyle name="Обычный 10 7 2 2 3 2 2 2 2" xfId="8176"/>
    <cellStyle name="Обычный 10 7 2 2 3 2 2 2 3" xfId="8177"/>
    <cellStyle name="Обычный 10 7 2 2 3 2 2 3" xfId="8178"/>
    <cellStyle name="Обычный 10 7 2 2 3 2 2 3 2" xfId="8179"/>
    <cellStyle name="Обычный 10 7 2 2 3 2 2 3 3" xfId="8180"/>
    <cellStyle name="Обычный 10 7 2 2 3 2 2 4" xfId="8181"/>
    <cellStyle name="Обычный 10 7 2 2 3 2 2 4 2" xfId="8182"/>
    <cellStyle name="Обычный 10 7 2 2 3 2 2 5" xfId="8183"/>
    <cellStyle name="Обычный 10 7 2 2 3 2 2 6" xfId="8184"/>
    <cellStyle name="Обычный 10 7 2 2 3 2 3" xfId="8185"/>
    <cellStyle name="Обычный 10 7 2 2 3 2 3 2" xfId="8186"/>
    <cellStyle name="Обычный 10 7 2 2 3 2 3 3" xfId="8187"/>
    <cellStyle name="Обычный 10 7 2 2 3 2 4" xfId="8188"/>
    <cellStyle name="Обычный 10 7 2 2 3 2 4 2" xfId="8189"/>
    <cellStyle name="Обычный 10 7 2 2 3 2 4 3" xfId="8190"/>
    <cellStyle name="Обычный 10 7 2 2 3 2 5" xfId="8191"/>
    <cellStyle name="Обычный 10 7 2 2 3 2 5 2" xfId="8192"/>
    <cellStyle name="Обычный 10 7 2 2 3 2 6" xfId="8193"/>
    <cellStyle name="Обычный 10 7 2 2 3 2 7" xfId="8194"/>
    <cellStyle name="Обычный 10 7 2 2 3 3" xfId="8195"/>
    <cellStyle name="Обычный 10 7 2 2 3 3 2" xfId="8196"/>
    <cellStyle name="Обычный 10 7 2 2 3 3 2 2" xfId="8197"/>
    <cellStyle name="Обычный 10 7 2 2 3 3 2 3" xfId="8198"/>
    <cellStyle name="Обычный 10 7 2 2 3 3 3" xfId="8199"/>
    <cellStyle name="Обычный 10 7 2 2 3 3 3 2" xfId="8200"/>
    <cellStyle name="Обычный 10 7 2 2 3 3 3 3" xfId="8201"/>
    <cellStyle name="Обычный 10 7 2 2 3 3 4" xfId="8202"/>
    <cellStyle name="Обычный 10 7 2 2 3 3 4 2" xfId="8203"/>
    <cellStyle name="Обычный 10 7 2 2 3 3 5" xfId="8204"/>
    <cellStyle name="Обычный 10 7 2 2 3 3 6" xfId="8205"/>
    <cellStyle name="Обычный 10 7 2 2 3 4" xfId="8206"/>
    <cellStyle name="Обычный 10 7 2 2 3 4 2" xfId="8207"/>
    <cellStyle name="Обычный 10 7 2 2 3 4 3" xfId="8208"/>
    <cellStyle name="Обычный 10 7 2 2 3 5" xfId="8209"/>
    <cellStyle name="Обычный 10 7 2 2 3 5 2" xfId="8210"/>
    <cellStyle name="Обычный 10 7 2 2 3 5 3" xfId="8211"/>
    <cellStyle name="Обычный 10 7 2 2 3 6" xfId="8212"/>
    <cellStyle name="Обычный 10 7 2 2 3 6 2" xfId="8213"/>
    <cellStyle name="Обычный 10 7 2 2 3 7" xfId="8214"/>
    <cellStyle name="Обычный 10 7 2 2 3 8" xfId="8215"/>
    <cellStyle name="Обычный 10 7 2 2 4" xfId="8216"/>
    <cellStyle name="Обычный 10 7 2 2 4 2" xfId="8217"/>
    <cellStyle name="Обычный 10 7 2 2 4 2 2" xfId="8218"/>
    <cellStyle name="Обычный 10 7 2 2 4 2 2 2" xfId="8219"/>
    <cellStyle name="Обычный 10 7 2 2 4 2 2 3" xfId="8220"/>
    <cellStyle name="Обычный 10 7 2 2 4 2 3" xfId="8221"/>
    <cellStyle name="Обычный 10 7 2 2 4 2 3 2" xfId="8222"/>
    <cellStyle name="Обычный 10 7 2 2 4 2 3 3" xfId="8223"/>
    <cellStyle name="Обычный 10 7 2 2 4 2 4" xfId="8224"/>
    <cellStyle name="Обычный 10 7 2 2 4 2 4 2" xfId="8225"/>
    <cellStyle name="Обычный 10 7 2 2 4 2 5" xfId="8226"/>
    <cellStyle name="Обычный 10 7 2 2 4 2 6" xfId="8227"/>
    <cellStyle name="Обычный 10 7 2 2 4 3" xfId="8228"/>
    <cellStyle name="Обычный 10 7 2 2 4 3 2" xfId="8229"/>
    <cellStyle name="Обычный 10 7 2 2 4 3 3" xfId="8230"/>
    <cellStyle name="Обычный 10 7 2 2 4 4" xfId="8231"/>
    <cellStyle name="Обычный 10 7 2 2 4 4 2" xfId="8232"/>
    <cellStyle name="Обычный 10 7 2 2 4 4 3" xfId="8233"/>
    <cellStyle name="Обычный 10 7 2 2 4 5" xfId="8234"/>
    <cellStyle name="Обычный 10 7 2 2 4 5 2" xfId="8235"/>
    <cellStyle name="Обычный 10 7 2 2 4 6" xfId="8236"/>
    <cellStyle name="Обычный 10 7 2 2 4 7" xfId="8237"/>
    <cellStyle name="Обычный 10 7 2 2 5" xfId="8238"/>
    <cellStyle name="Обычный 10 7 2 2 5 2" xfId="8239"/>
    <cellStyle name="Обычный 10 7 2 2 5 2 2" xfId="8240"/>
    <cellStyle name="Обычный 10 7 2 2 5 2 3" xfId="8241"/>
    <cellStyle name="Обычный 10 7 2 2 5 3" xfId="8242"/>
    <cellStyle name="Обычный 10 7 2 2 5 3 2" xfId="8243"/>
    <cellStyle name="Обычный 10 7 2 2 5 3 3" xfId="8244"/>
    <cellStyle name="Обычный 10 7 2 2 5 4" xfId="8245"/>
    <cellStyle name="Обычный 10 7 2 2 5 4 2" xfId="8246"/>
    <cellStyle name="Обычный 10 7 2 2 5 5" xfId="8247"/>
    <cellStyle name="Обычный 10 7 2 2 5 6" xfId="8248"/>
    <cellStyle name="Обычный 10 7 2 2 6" xfId="8249"/>
    <cellStyle name="Обычный 10 7 2 2 6 2" xfId="8250"/>
    <cellStyle name="Обычный 10 7 2 2 6 3" xfId="8251"/>
    <cellStyle name="Обычный 10 7 2 2 7" xfId="8252"/>
    <cellStyle name="Обычный 10 7 2 2 7 2" xfId="8253"/>
    <cellStyle name="Обычный 10 7 2 2 7 3" xfId="8254"/>
    <cellStyle name="Обычный 10 7 2 2 8" xfId="8255"/>
    <cellStyle name="Обычный 10 7 2 2 8 2" xfId="8256"/>
    <cellStyle name="Обычный 10 7 2 2 9" xfId="8257"/>
    <cellStyle name="Обычный 10 7 2 3" xfId="8258"/>
    <cellStyle name="Обычный 10 7 2 3 10" xfId="8259"/>
    <cellStyle name="Обычный 10 7 2 3 2" xfId="8260"/>
    <cellStyle name="Обычный 10 7 2 3 2 2" xfId="8261"/>
    <cellStyle name="Обычный 10 7 2 3 2 2 2" xfId="8262"/>
    <cellStyle name="Обычный 10 7 2 3 2 2 2 2" xfId="8263"/>
    <cellStyle name="Обычный 10 7 2 3 2 2 2 2 2" xfId="8264"/>
    <cellStyle name="Обычный 10 7 2 3 2 2 2 2 2 2" xfId="8265"/>
    <cellStyle name="Обычный 10 7 2 3 2 2 2 2 2 3" xfId="8266"/>
    <cellStyle name="Обычный 10 7 2 3 2 2 2 2 3" xfId="8267"/>
    <cellStyle name="Обычный 10 7 2 3 2 2 2 2 3 2" xfId="8268"/>
    <cellStyle name="Обычный 10 7 2 3 2 2 2 2 3 3" xfId="8269"/>
    <cellStyle name="Обычный 10 7 2 3 2 2 2 2 4" xfId="8270"/>
    <cellStyle name="Обычный 10 7 2 3 2 2 2 2 4 2" xfId="8271"/>
    <cellStyle name="Обычный 10 7 2 3 2 2 2 2 5" xfId="8272"/>
    <cellStyle name="Обычный 10 7 2 3 2 2 2 2 6" xfId="8273"/>
    <cellStyle name="Обычный 10 7 2 3 2 2 2 3" xfId="8274"/>
    <cellStyle name="Обычный 10 7 2 3 2 2 2 3 2" xfId="8275"/>
    <cellStyle name="Обычный 10 7 2 3 2 2 2 3 3" xfId="8276"/>
    <cellStyle name="Обычный 10 7 2 3 2 2 2 4" xfId="8277"/>
    <cellStyle name="Обычный 10 7 2 3 2 2 2 4 2" xfId="8278"/>
    <cellStyle name="Обычный 10 7 2 3 2 2 2 4 3" xfId="8279"/>
    <cellStyle name="Обычный 10 7 2 3 2 2 2 5" xfId="8280"/>
    <cellStyle name="Обычный 10 7 2 3 2 2 2 5 2" xfId="8281"/>
    <cellStyle name="Обычный 10 7 2 3 2 2 2 6" xfId="8282"/>
    <cellStyle name="Обычный 10 7 2 3 2 2 2 7" xfId="8283"/>
    <cellStyle name="Обычный 10 7 2 3 2 2 3" xfId="8284"/>
    <cellStyle name="Обычный 10 7 2 3 2 2 3 2" xfId="8285"/>
    <cellStyle name="Обычный 10 7 2 3 2 2 3 2 2" xfId="8286"/>
    <cellStyle name="Обычный 10 7 2 3 2 2 3 2 3" xfId="8287"/>
    <cellStyle name="Обычный 10 7 2 3 2 2 3 3" xfId="8288"/>
    <cellStyle name="Обычный 10 7 2 3 2 2 3 3 2" xfId="8289"/>
    <cellStyle name="Обычный 10 7 2 3 2 2 3 3 3" xfId="8290"/>
    <cellStyle name="Обычный 10 7 2 3 2 2 3 4" xfId="8291"/>
    <cellStyle name="Обычный 10 7 2 3 2 2 3 4 2" xfId="8292"/>
    <cellStyle name="Обычный 10 7 2 3 2 2 3 5" xfId="8293"/>
    <cellStyle name="Обычный 10 7 2 3 2 2 3 6" xfId="8294"/>
    <cellStyle name="Обычный 10 7 2 3 2 2 4" xfId="8295"/>
    <cellStyle name="Обычный 10 7 2 3 2 2 4 2" xfId="8296"/>
    <cellStyle name="Обычный 10 7 2 3 2 2 4 3" xfId="8297"/>
    <cellStyle name="Обычный 10 7 2 3 2 2 5" xfId="8298"/>
    <cellStyle name="Обычный 10 7 2 3 2 2 5 2" xfId="8299"/>
    <cellStyle name="Обычный 10 7 2 3 2 2 5 3" xfId="8300"/>
    <cellStyle name="Обычный 10 7 2 3 2 2 6" xfId="8301"/>
    <cellStyle name="Обычный 10 7 2 3 2 2 6 2" xfId="8302"/>
    <cellStyle name="Обычный 10 7 2 3 2 2 7" xfId="8303"/>
    <cellStyle name="Обычный 10 7 2 3 2 2 8" xfId="8304"/>
    <cellStyle name="Обычный 10 7 2 3 2 3" xfId="8305"/>
    <cellStyle name="Обычный 10 7 2 3 2 3 2" xfId="8306"/>
    <cellStyle name="Обычный 10 7 2 3 2 3 2 2" xfId="8307"/>
    <cellStyle name="Обычный 10 7 2 3 2 3 2 2 2" xfId="8308"/>
    <cellStyle name="Обычный 10 7 2 3 2 3 2 2 3" xfId="8309"/>
    <cellStyle name="Обычный 10 7 2 3 2 3 2 3" xfId="8310"/>
    <cellStyle name="Обычный 10 7 2 3 2 3 2 3 2" xfId="8311"/>
    <cellStyle name="Обычный 10 7 2 3 2 3 2 3 3" xfId="8312"/>
    <cellStyle name="Обычный 10 7 2 3 2 3 2 4" xfId="8313"/>
    <cellStyle name="Обычный 10 7 2 3 2 3 2 4 2" xfId="8314"/>
    <cellStyle name="Обычный 10 7 2 3 2 3 2 5" xfId="8315"/>
    <cellStyle name="Обычный 10 7 2 3 2 3 2 6" xfId="8316"/>
    <cellStyle name="Обычный 10 7 2 3 2 3 3" xfId="8317"/>
    <cellStyle name="Обычный 10 7 2 3 2 3 3 2" xfId="8318"/>
    <cellStyle name="Обычный 10 7 2 3 2 3 3 3" xfId="8319"/>
    <cellStyle name="Обычный 10 7 2 3 2 3 4" xfId="8320"/>
    <cellStyle name="Обычный 10 7 2 3 2 3 4 2" xfId="8321"/>
    <cellStyle name="Обычный 10 7 2 3 2 3 4 3" xfId="8322"/>
    <cellStyle name="Обычный 10 7 2 3 2 3 5" xfId="8323"/>
    <cellStyle name="Обычный 10 7 2 3 2 3 5 2" xfId="8324"/>
    <cellStyle name="Обычный 10 7 2 3 2 3 6" xfId="8325"/>
    <cellStyle name="Обычный 10 7 2 3 2 3 7" xfId="8326"/>
    <cellStyle name="Обычный 10 7 2 3 2 4" xfId="8327"/>
    <cellStyle name="Обычный 10 7 2 3 2 4 2" xfId="8328"/>
    <cellStyle name="Обычный 10 7 2 3 2 4 2 2" xfId="8329"/>
    <cellStyle name="Обычный 10 7 2 3 2 4 2 3" xfId="8330"/>
    <cellStyle name="Обычный 10 7 2 3 2 4 3" xfId="8331"/>
    <cellStyle name="Обычный 10 7 2 3 2 4 3 2" xfId="8332"/>
    <cellStyle name="Обычный 10 7 2 3 2 4 3 3" xfId="8333"/>
    <cellStyle name="Обычный 10 7 2 3 2 4 4" xfId="8334"/>
    <cellStyle name="Обычный 10 7 2 3 2 4 4 2" xfId="8335"/>
    <cellStyle name="Обычный 10 7 2 3 2 4 5" xfId="8336"/>
    <cellStyle name="Обычный 10 7 2 3 2 4 6" xfId="8337"/>
    <cellStyle name="Обычный 10 7 2 3 2 5" xfId="8338"/>
    <cellStyle name="Обычный 10 7 2 3 2 5 2" xfId="8339"/>
    <cellStyle name="Обычный 10 7 2 3 2 5 3" xfId="8340"/>
    <cellStyle name="Обычный 10 7 2 3 2 6" xfId="8341"/>
    <cellStyle name="Обычный 10 7 2 3 2 6 2" xfId="8342"/>
    <cellStyle name="Обычный 10 7 2 3 2 6 3" xfId="8343"/>
    <cellStyle name="Обычный 10 7 2 3 2 7" xfId="8344"/>
    <cellStyle name="Обычный 10 7 2 3 2 7 2" xfId="8345"/>
    <cellStyle name="Обычный 10 7 2 3 2 8" xfId="8346"/>
    <cellStyle name="Обычный 10 7 2 3 2 9" xfId="8347"/>
    <cellStyle name="Обычный 10 7 2 3 3" xfId="8348"/>
    <cellStyle name="Обычный 10 7 2 3 3 2" xfId="8349"/>
    <cellStyle name="Обычный 10 7 2 3 3 2 2" xfId="8350"/>
    <cellStyle name="Обычный 10 7 2 3 3 2 2 2" xfId="8351"/>
    <cellStyle name="Обычный 10 7 2 3 3 2 2 2 2" xfId="8352"/>
    <cellStyle name="Обычный 10 7 2 3 3 2 2 2 3" xfId="8353"/>
    <cellStyle name="Обычный 10 7 2 3 3 2 2 3" xfId="8354"/>
    <cellStyle name="Обычный 10 7 2 3 3 2 2 3 2" xfId="8355"/>
    <cellStyle name="Обычный 10 7 2 3 3 2 2 3 3" xfId="8356"/>
    <cellStyle name="Обычный 10 7 2 3 3 2 2 4" xfId="8357"/>
    <cellStyle name="Обычный 10 7 2 3 3 2 2 4 2" xfId="8358"/>
    <cellStyle name="Обычный 10 7 2 3 3 2 2 5" xfId="8359"/>
    <cellStyle name="Обычный 10 7 2 3 3 2 2 6" xfId="8360"/>
    <cellStyle name="Обычный 10 7 2 3 3 2 3" xfId="8361"/>
    <cellStyle name="Обычный 10 7 2 3 3 2 3 2" xfId="8362"/>
    <cellStyle name="Обычный 10 7 2 3 3 2 3 3" xfId="8363"/>
    <cellStyle name="Обычный 10 7 2 3 3 2 4" xfId="8364"/>
    <cellStyle name="Обычный 10 7 2 3 3 2 4 2" xfId="8365"/>
    <cellStyle name="Обычный 10 7 2 3 3 2 4 3" xfId="8366"/>
    <cellStyle name="Обычный 10 7 2 3 3 2 5" xfId="8367"/>
    <cellStyle name="Обычный 10 7 2 3 3 2 5 2" xfId="8368"/>
    <cellStyle name="Обычный 10 7 2 3 3 2 6" xfId="8369"/>
    <cellStyle name="Обычный 10 7 2 3 3 2 7" xfId="8370"/>
    <cellStyle name="Обычный 10 7 2 3 3 3" xfId="8371"/>
    <cellStyle name="Обычный 10 7 2 3 3 3 2" xfId="8372"/>
    <cellStyle name="Обычный 10 7 2 3 3 3 2 2" xfId="8373"/>
    <cellStyle name="Обычный 10 7 2 3 3 3 2 3" xfId="8374"/>
    <cellStyle name="Обычный 10 7 2 3 3 3 3" xfId="8375"/>
    <cellStyle name="Обычный 10 7 2 3 3 3 3 2" xfId="8376"/>
    <cellStyle name="Обычный 10 7 2 3 3 3 3 3" xfId="8377"/>
    <cellStyle name="Обычный 10 7 2 3 3 3 4" xfId="8378"/>
    <cellStyle name="Обычный 10 7 2 3 3 3 4 2" xfId="8379"/>
    <cellStyle name="Обычный 10 7 2 3 3 3 5" xfId="8380"/>
    <cellStyle name="Обычный 10 7 2 3 3 3 6" xfId="8381"/>
    <cellStyle name="Обычный 10 7 2 3 3 4" xfId="8382"/>
    <cellStyle name="Обычный 10 7 2 3 3 4 2" xfId="8383"/>
    <cellStyle name="Обычный 10 7 2 3 3 4 3" xfId="8384"/>
    <cellStyle name="Обычный 10 7 2 3 3 5" xfId="8385"/>
    <cellStyle name="Обычный 10 7 2 3 3 5 2" xfId="8386"/>
    <cellStyle name="Обычный 10 7 2 3 3 5 3" xfId="8387"/>
    <cellStyle name="Обычный 10 7 2 3 3 6" xfId="8388"/>
    <cellStyle name="Обычный 10 7 2 3 3 6 2" xfId="8389"/>
    <cellStyle name="Обычный 10 7 2 3 3 7" xfId="8390"/>
    <cellStyle name="Обычный 10 7 2 3 3 8" xfId="8391"/>
    <cellStyle name="Обычный 10 7 2 3 4" xfId="8392"/>
    <cellStyle name="Обычный 10 7 2 3 4 2" xfId="8393"/>
    <cellStyle name="Обычный 10 7 2 3 4 2 2" xfId="8394"/>
    <cellStyle name="Обычный 10 7 2 3 4 2 2 2" xfId="8395"/>
    <cellStyle name="Обычный 10 7 2 3 4 2 2 3" xfId="8396"/>
    <cellStyle name="Обычный 10 7 2 3 4 2 3" xfId="8397"/>
    <cellStyle name="Обычный 10 7 2 3 4 2 3 2" xfId="8398"/>
    <cellStyle name="Обычный 10 7 2 3 4 2 3 3" xfId="8399"/>
    <cellStyle name="Обычный 10 7 2 3 4 2 4" xfId="8400"/>
    <cellStyle name="Обычный 10 7 2 3 4 2 4 2" xfId="8401"/>
    <cellStyle name="Обычный 10 7 2 3 4 2 5" xfId="8402"/>
    <cellStyle name="Обычный 10 7 2 3 4 2 6" xfId="8403"/>
    <cellStyle name="Обычный 10 7 2 3 4 3" xfId="8404"/>
    <cellStyle name="Обычный 10 7 2 3 4 3 2" xfId="8405"/>
    <cellStyle name="Обычный 10 7 2 3 4 3 3" xfId="8406"/>
    <cellStyle name="Обычный 10 7 2 3 4 4" xfId="8407"/>
    <cellStyle name="Обычный 10 7 2 3 4 4 2" xfId="8408"/>
    <cellStyle name="Обычный 10 7 2 3 4 4 3" xfId="8409"/>
    <cellStyle name="Обычный 10 7 2 3 4 5" xfId="8410"/>
    <cellStyle name="Обычный 10 7 2 3 4 5 2" xfId="8411"/>
    <cellStyle name="Обычный 10 7 2 3 4 6" xfId="8412"/>
    <cellStyle name="Обычный 10 7 2 3 4 7" xfId="8413"/>
    <cellStyle name="Обычный 10 7 2 3 5" xfId="8414"/>
    <cellStyle name="Обычный 10 7 2 3 5 2" xfId="8415"/>
    <cellStyle name="Обычный 10 7 2 3 5 2 2" xfId="8416"/>
    <cellStyle name="Обычный 10 7 2 3 5 2 3" xfId="8417"/>
    <cellStyle name="Обычный 10 7 2 3 5 3" xfId="8418"/>
    <cellStyle name="Обычный 10 7 2 3 5 3 2" xfId="8419"/>
    <cellStyle name="Обычный 10 7 2 3 5 3 3" xfId="8420"/>
    <cellStyle name="Обычный 10 7 2 3 5 4" xfId="8421"/>
    <cellStyle name="Обычный 10 7 2 3 5 4 2" xfId="8422"/>
    <cellStyle name="Обычный 10 7 2 3 5 5" xfId="8423"/>
    <cellStyle name="Обычный 10 7 2 3 5 6" xfId="8424"/>
    <cellStyle name="Обычный 10 7 2 3 6" xfId="8425"/>
    <cellStyle name="Обычный 10 7 2 3 6 2" xfId="8426"/>
    <cellStyle name="Обычный 10 7 2 3 6 3" xfId="8427"/>
    <cellStyle name="Обычный 10 7 2 3 7" xfId="8428"/>
    <cellStyle name="Обычный 10 7 2 3 7 2" xfId="8429"/>
    <cellStyle name="Обычный 10 7 2 3 7 3" xfId="8430"/>
    <cellStyle name="Обычный 10 7 2 3 8" xfId="8431"/>
    <cellStyle name="Обычный 10 7 2 3 8 2" xfId="8432"/>
    <cellStyle name="Обычный 10 7 2 3 9" xfId="8433"/>
    <cellStyle name="Обычный 10 7 2 4" xfId="8434"/>
    <cellStyle name="Обычный 10 7 2 4 10" xfId="8435"/>
    <cellStyle name="Обычный 10 7 2 4 2" xfId="8436"/>
    <cellStyle name="Обычный 10 7 2 4 2 2" xfId="8437"/>
    <cellStyle name="Обычный 10 7 2 4 2 2 2" xfId="8438"/>
    <cellStyle name="Обычный 10 7 2 4 2 2 2 2" xfId="8439"/>
    <cellStyle name="Обычный 10 7 2 4 2 2 2 2 2" xfId="8440"/>
    <cellStyle name="Обычный 10 7 2 4 2 2 2 2 2 2" xfId="8441"/>
    <cellStyle name="Обычный 10 7 2 4 2 2 2 2 2 3" xfId="8442"/>
    <cellStyle name="Обычный 10 7 2 4 2 2 2 2 3" xfId="8443"/>
    <cellStyle name="Обычный 10 7 2 4 2 2 2 2 3 2" xfId="8444"/>
    <cellStyle name="Обычный 10 7 2 4 2 2 2 2 3 3" xfId="8445"/>
    <cellStyle name="Обычный 10 7 2 4 2 2 2 2 4" xfId="8446"/>
    <cellStyle name="Обычный 10 7 2 4 2 2 2 2 4 2" xfId="8447"/>
    <cellStyle name="Обычный 10 7 2 4 2 2 2 2 5" xfId="8448"/>
    <cellStyle name="Обычный 10 7 2 4 2 2 2 2 6" xfId="8449"/>
    <cellStyle name="Обычный 10 7 2 4 2 2 2 3" xfId="8450"/>
    <cellStyle name="Обычный 10 7 2 4 2 2 2 3 2" xfId="8451"/>
    <cellStyle name="Обычный 10 7 2 4 2 2 2 3 3" xfId="8452"/>
    <cellStyle name="Обычный 10 7 2 4 2 2 2 4" xfId="8453"/>
    <cellStyle name="Обычный 10 7 2 4 2 2 2 4 2" xfId="8454"/>
    <cellStyle name="Обычный 10 7 2 4 2 2 2 4 3" xfId="8455"/>
    <cellStyle name="Обычный 10 7 2 4 2 2 2 5" xfId="8456"/>
    <cellStyle name="Обычный 10 7 2 4 2 2 2 5 2" xfId="8457"/>
    <cellStyle name="Обычный 10 7 2 4 2 2 2 6" xfId="8458"/>
    <cellStyle name="Обычный 10 7 2 4 2 2 2 7" xfId="8459"/>
    <cellStyle name="Обычный 10 7 2 4 2 2 3" xfId="8460"/>
    <cellStyle name="Обычный 10 7 2 4 2 2 3 2" xfId="8461"/>
    <cellStyle name="Обычный 10 7 2 4 2 2 3 2 2" xfId="8462"/>
    <cellStyle name="Обычный 10 7 2 4 2 2 3 2 3" xfId="8463"/>
    <cellStyle name="Обычный 10 7 2 4 2 2 3 3" xfId="8464"/>
    <cellStyle name="Обычный 10 7 2 4 2 2 3 3 2" xfId="8465"/>
    <cellStyle name="Обычный 10 7 2 4 2 2 3 3 3" xfId="8466"/>
    <cellStyle name="Обычный 10 7 2 4 2 2 3 4" xfId="8467"/>
    <cellStyle name="Обычный 10 7 2 4 2 2 3 4 2" xfId="8468"/>
    <cellStyle name="Обычный 10 7 2 4 2 2 3 5" xfId="8469"/>
    <cellStyle name="Обычный 10 7 2 4 2 2 3 6" xfId="8470"/>
    <cellStyle name="Обычный 10 7 2 4 2 2 4" xfId="8471"/>
    <cellStyle name="Обычный 10 7 2 4 2 2 4 2" xfId="8472"/>
    <cellStyle name="Обычный 10 7 2 4 2 2 4 3" xfId="8473"/>
    <cellStyle name="Обычный 10 7 2 4 2 2 5" xfId="8474"/>
    <cellStyle name="Обычный 10 7 2 4 2 2 5 2" xfId="8475"/>
    <cellStyle name="Обычный 10 7 2 4 2 2 5 3" xfId="8476"/>
    <cellStyle name="Обычный 10 7 2 4 2 2 6" xfId="8477"/>
    <cellStyle name="Обычный 10 7 2 4 2 2 6 2" xfId="8478"/>
    <cellStyle name="Обычный 10 7 2 4 2 2 7" xfId="8479"/>
    <cellStyle name="Обычный 10 7 2 4 2 2 8" xfId="8480"/>
    <cellStyle name="Обычный 10 7 2 4 2 3" xfId="8481"/>
    <cellStyle name="Обычный 10 7 2 4 2 3 2" xfId="8482"/>
    <cellStyle name="Обычный 10 7 2 4 2 3 2 2" xfId="8483"/>
    <cellStyle name="Обычный 10 7 2 4 2 3 2 2 2" xfId="8484"/>
    <cellStyle name="Обычный 10 7 2 4 2 3 2 2 3" xfId="8485"/>
    <cellStyle name="Обычный 10 7 2 4 2 3 2 3" xfId="8486"/>
    <cellStyle name="Обычный 10 7 2 4 2 3 2 3 2" xfId="8487"/>
    <cellStyle name="Обычный 10 7 2 4 2 3 2 3 3" xfId="8488"/>
    <cellStyle name="Обычный 10 7 2 4 2 3 2 4" xfId="8489"/>
    <cellStyle name="Обычный 10 7 2 4 2 3 2 4 2" xfId="8490"/>
    <cellStyle name="Обычный 10 7 2 4 2 3 2 5" xfId="8491"/>
    <cellStyle name="Обычный 10 7 2 4 2 3 2 6" xfId="8492"/>
    <cellStyle name="Обычный 10 7 2 4 2 3 3" xfId="8493"/>
    <cellStyle name="Обычный 10 7 2 4 2 3 3 2" xfId="8494"/>
    <cellStyle name="Обычный 10 7 2 4 2 3 3 3" xfId="8495"/>
    <cellStyle name="Обычный 10 7 2 4 2 3 4" xfId="8496"/>
    <cellStyle name="Обычный 10 7 2 4 2 3 4 2" xfId="8497"/>
    <cellStyle name="Обычный 10 7 2 4 2 3 4 3" xfId="8498"/>
    <cellStyle name="Обычный 10 7 2 4 2 3 5" xfId="8499"/>
    <cellStyle name="Обычный 10 7 2 4 2 3 5 2" xfId="8500"/>
    <cellStyle name="Обычный 10 7 2 4 2 3 6" xfId="8501"/>
    <cellStyle name="Обычный 10 7 2 4 2 3 7" xfId="8502"/>
    <cellStyle name="Обычный 10 7 2 4 2 4" xfId="8503"/>
    <cellStyle name="Обычный 10 7 2 4 2 4 2" xfId="8504"/>
    <cellStyle name="Обычный 10 7 2 4 2 4 2 2" xfId="8505"/>
    <cellStyle name="Обычный 10 7 2 4 2 4 2 3" xfId="8506"/>
    <cellStyle name="Обычный 10 7 2 4 2 4 3" xfId="8507"/>
    <cellStyle name="Обычный 10 7 2 4 2 4 3 2" xfId="8508"/>
    <cellStyle name="Обычный 10 7 2 4 2 4 3 3" xfId="8509"/>
    <cellStyle name="Обычный 10 7 2 4 2 4 4" xfId="8510"/>
    <cellStyle name="Обычный 10 7 2 4 2 4 4 2" xfId="8511"/>
    <cellStyle name="Обычный 10 7 2 4 2 4 5" xfId="8512"/>
    <cellStyle name="Обычный 10 7 2 4 2 4 6" xfId="8513"/>
    <cellStyle name="Обычный 10 7 2 4 2 5" xfId="8514"/>
    <cellStyle name="Обычный 10 7 2 4 2 5 2" xfId="8515"/>
    <cellStyle name="Обычный 10 7 2 4 2 5 3" xfId="8516"/>
    <cellStyle name="Обычный 10 7 2 4 2 6" xfId="8517"/>
    <cellStyle name="Обычный 10 7 2 4 2 6 2" xfId="8518"/>
    <cellStyle name="Обычный 10 7 2 4 2 6 3" xfId="8519"/>
    <cellStyle name="Обычный 10 7 2 4 2 7" xfId="8520"/>
    <cellStyle name="Обычный 10 7 2 4 2 7 2" xfId="8521"/>
    <cellStyle name="Обычный 10 7 2 4 2 8" xfId="8522"/>
    <cellStyle name="Обычный 10 7 2 4 2 9" xfId="8523"/>
    <cellStyle name="Обычный 10 7 2 4 3" xfId="8524"/>
    <cellStyle name="Обычный 10 7 2 4 3 2" xfId="8525"/>
    <cellStyle name="Обычный 10 7 2 4 3 2 2" xfId="8526"/>
    <cellStyle name="Обычный 10 7 2 4 3 2 2 2" xfId="8527"/>
    <cellStyle name="Обычный 10 7 2 4 3 2 2 2 2" xfId="8528"/>
    <cellStyle name="Обычный 10 7 2 4 3 2 2 2 3" xfId="8529"/>
    <cellStyle name="Обычный 10 7 2 4 3 2 2 3" xfId="8530"/>
    <cellStyle name="Обычный 10 7 2 4 3 2 2 3 2" xfId="8531"/>
    <cellStyle name="Обычный 10 7 2 4 3 2 2 3 3" xfId="8532"/>
    <cellStyle name="Обычный 10 7 2 4 3 2 2 4" xfId="8533"/>
    <cellStyle name="Обычный 10 7 2 4 3 2 2 4 2" xfId="8534"/>
    <cellStyle name="Обычный 10 7 2 4 3 2 2 5" xfId="8535"/>
    <cellStyle name="Обычный 10 7 2 4 3 2 2 6" xfId="8536"/>
    <cellStyle name="Обычный 10 7 2 4 3 2 3" xfId="8537"/>
    <cellStyle name="Обычный 10 7 2 4 3 2 3 2" xfId="8538"/>
    <cellStyle name="Обычный 10 7 2 4 3 2 3 3" xfId="8539"/>
    <cellStyle name="Обычный 10 7 2 4 3 2 4" xfId="8540"/>
    <cellStyle name="Обычный 10 7 2 4 3 2 4 2" xfId="8541"/>
    <cellStyle name="Обычный 10 7 2 4 3 2 4 3" xfId="8542"/>
    <cellStyle name="Обычный 10 7 2 4 3 2 5" xfId="8543"/>
    <cellStyle name="Обычный 10 7 2 4 3 2 5 2" xfId="8544"/>
    <cellStyle name="Обычный 10 7 2 4 3 2 6" xfId="8545"/>
    <cellStyle name="Обычный 10 7 2 4 3 2 7" xfId="8546"/>
    <cellStyle name="Обычный 10 7 2 4 3 3" xfId="8547"/>
    <cellStyle name="Обычный 10 7 2 4 3 3 2" xfId="8548"/>
    <cellStyle name="Обычный 10 7 2 4 3 3 2 2" xfId="8549"/>
    <cellStyle name="Обычный 10 7 2 4 3 3 2 3" xfId="8550"/>
    <cellStyle name="Обычный 10 7 2 4 3 3 3" xfId="8551"/>
    <cellStyle name="Обычный 10 7 2 4 3 3 3 2" xfId="8552"/>
    <cellStyle name="Обычный 10 7 2 4 3 3 3 3" xfId="8553"/>
    <cellStyle name="Обычный 10 7 2 4 3 3 4" xfId="8554"/>
    <cellStyle name="Обычный 10 7 2 4 3 3 4 2" xfId="8555"/>
    <cellStyle name="Обычный 10 7 2 4 3 3 5" xfId="8556"/>
    <cellStyle name="Обычный 10 7 2 4 3 3 6" xfId="8557"/>
    <cellStyle name="Обычный 10 7 2 4 3 4" xfId="8558"/>
    <cellStyle name="Обычный 10 7 2 4 3 4 2" xfId="8559"/>
    <cellStyle name="Обычный 10 7 2 4 3 4 3" xfId="8560"/>
    <cellStyle name="Обычный 10 7 2 4 3 5" xfId="8561"/>
    <cellStyle name="Обычный 10 7 2 4 3 5 2" xfId="8562"/>
    <cellStyle name="Обычный 10 7 2 4 3 5 3" xfId="8563"/>
    <cellStyle name="Обычный 10 7 2 4 3 6" xfId="8564"/>
    <cellStyle name="Обычный 10 7 2 4 3 6 2" xfId="8565"/>
    <cellStyle name="Обычный 10 7 2 4 3 7" xfId="8566"/>
    <cellStyle name="Обычный 10 7 2 4 3 8" xfId="8567"/>
    <cellStyle name="Обычный 10 7 2 4 4" xfId="8568"/>
    <cellStyle name="Обычный 10 7 2 4 4 2" xfId="8569"/>
    <cellStyle name="Обычный 10 7 2 4 4 2 2" xfId="8570"/>
    <cellStyle name="Обычный 10 7 2 4 4 2 2 2" xfId="8571"/>
    <cellStyle name="Обычный 10 7 2 4 4 2 2 3" xfId="8572"/>
    <cellStyle name="Обычный 10 7 2 4 4 2 3" xfId="8573"/>
    <cellStyle name="Обычный 10 7 2 4 4 2 3 2" xfId="8574"/>
    <cellStyle name="Обычный 10 7 2 4 4 2 3 3" xfId="8575"/>
    <cellStyle name="Обычный 10 7 2 4 4 2 4" xfId="8576"/>
    <cellStyle name="Обычный 10 7 2 4 4 2 4 2" xfId="8577"/>
    <cellStyle name="Обычный 10 7 2 4 4 2 5" xfId="8578"/>
    <cellStyle name="Обычный 10 7 2 4 4 2 6" xfId="8579"/>
    <cellStyle name="Обычный 10 7 2 4 4 3" xfId="8580"/>
    <cellStyle name="Обычный 10 7 2 4 4 3 2" xfId="8581"/>
    <cellStyle name="Обычный 10 7 2 4 4 3 3" xfId="8582"/>
    <cellStyle name="Обычный 10 7 2 4 4 4" xfId="8583"/>
    <cellStyle name="Обычный 10 7 2 4 4 4 2" xfId="8584"/>
    <cellStyle name="Обычный 10 7 2 4 4 4 3" xfId="8585"/>
    <cellStyle name="Обычный 10 7 2 4 4 5" xfId="8586"/>
    <cellStyle name="Обычный 10 7 2 4 4 5 2" xfId="8587"/>
    <cellStyle name="Обычный 10 7 2 4 4 6" xfId="8588"/>
    <cellStyle name="Обычный 10 7 2 4 4 7" xfId="8589"/>
    <cellStyle name="Обычный 10 7 2 4 5" xfId="8590"/>
    <cellStyle name="Обычный 10 7 2 4 5 2" xfId="8591"/>
    <cellStyle name="Обычный 10 7 2 4 5 2 2" xfId="8592"/>
    <cellStyle name="Обычный 10 7 2 4 5 2 3" xfId="8593"/>
    <cellStyle name="Обычный 10 7 2 4 5 3" xfId="8594"/>
    <cellStyle name="Обычный 10 7 2 4 5 3 2" xfId="8595"/>
    <cellStyle name="Обычный 10 7 2 4 5 3 3" xfId="8596"/>
    <cellStyle name="Обычный 10 7 2 4 5 4" xfId="8597"/>
    <cellStyle name="Обычный 10 7 2 4 5 4 2" xfId="8598"/>
    <cellStyle name="Обычный 10 7 2 4 5 5" xfId="8599"/>
    <cellStyle name="Обычный 10 7 2 4 5 6" xfId="8600"/>
    <cellStyle name="Обычный 10 7 2 4 6" xfId="8601"/>
    <cellStyle name="Обычный 10 7 2 4 6 2" xfId="8602"/>
    <cellStyle name="Обычный 10 7 2 4 6 3" xfId="8603"/>
    <cellStyle name="Обычный 10 7 2 4 7" xfId="8604"/>
    <cellStyle name="Обычный 10 7 2 4 7 2" xfId="8605"/>
    <cellStyle name="Обычный 10 7 2 4 7 3" xfId="8606"/>
    <cellStyle name="Обычный 10 7 2 4 8" xfId="8607"/>
    <cellStyle name="Обычный 10 7 2 4 8 2" xfId="8608"/>
    <cellStyle name="Обычный 10 7 2 4 9" xfId="8609"/>
    <cellStyle name="Обычный 10 7 2 5" xfId="8610"/>
    <cellStyle name="Обычный 10 7 2 5 2" xfId="8611"/>
    <cellStyle name="Обычный 10 7 2 5 2 2" xfId="8612"/>
    <cellStyle name="Обычный 10 7 2 5 2 2 2" xfId="8613"/>
    <cellStyle name="Обычный 10 7 2 5 2 2 2 2" xfId="8614"/>
    <cellStyle name="Обычный 10 7 2 5 2 2 2 2 2" xfId="8615"/>
    <cellStyle name="Обычный 10 7 2 5 2 2 2 2 3" xfId="8616"/>
    <cellStyle name="Обычный 10 7 2 5 2 2 2 3" xfId="8617"/>
    <cellStyle name="Обычный 10 7 2 5 2 2 2 3 2" xfId="8618"/>
    <cellStyle name="Обычный 10 7 2 5 2 2 2 3 3" xfId="8619"/>
    <cellStyle name="Обычный 10 7 2 5 2 2 2 4" xfId="8620"/>
    <cellStyle name="Обычный 10 7 2 5 2 2 2 4 2" xfId="8621"/>
    <cellStyle name="Обычный 10 7 2 5 2 2 2 5" xfId="8622"/>
    <cellStyle name="Обычный 10 7 2 5 2 2 2 6" xfId="8623"/>
    <cellStyle name="Обычный 10 7 2 5 2 2 3" xfId="8624"/>
    <cellStyle name="Обычный 10 7 2 5 2 2 3 2" xfId="8625"/>
    <cellStyle name="Обычный 10 7 2 5 2 2 3 3" xfId="8626"/>
    <cellStyle name="Обычный 10 7 2 5 2 2 4" xfId="8627"/>
    <cellStyle name="Обычный 10 7 2 5 2 2 4 2" xfId="8628"/>
    <cellStyle name="Обычный 10 7 2 5 2 2 4 3" xfId="8629"/>
    <cellStyle name="Обычный 10 7 2 5 2 2 5" xfId="8630"/>
    <cellStyle name="Обычный 10 7 2 5 2 2 5 2" xfId="8631"/>
    <cellStyle name="Обычный 10 7 2 5 2 2 6" xfId="8632"/>
    <cellStyle name="Обычный 10 7 2 5 2 2 7" xfId="8633"/>
    <cellStyle name="Обычный 10 7 2 5 2 3" xfId="8634"/>
    <cellStyle name="Обычный 10 7 2 5 2 3 2" xfId="8635"/>
    <cellStyle name="Обычный 10 7 2 5 2 3 2 2" xfId="8636"/>
    <cellStyle name="Обычный 10 7 2 5 2 3 2 3" xfId="8637"/>
    <cellStyle name="Обычный 10 7 2 5 2 3 3" xfId="8638"/>
    <cellStyle name="Обычный 10 7 2 5 2 3 3 2" xfId="8639"/>
    <cellStyle name="Обычный 10 7 2 5 2 3 3 3" xfId="8640"/>
    <cellStyle name="Обычный 10 7 2 5 2 3 4" xfId="8641"/>
    <cellStyle name="Обычный 10 7 2 5 2 3 4 2" xfId="8642"/>
    <cellStyle name="Обычный 10 7 2 5 2 3 5" xfId="8643"/>
    <cellStyle name="Обычный 10 7 2 5 2 3 6" xfId="8644"/>
    <cellStyle name="Обычный 10 7 2 5 2 4" xfId="8645"/>
    <cellStyle name="Обычный 10 7 2 5 2 4 2" xfId="8646"/>
    <cellStyle name="Обычный 10 7 2 5 2 4 3" xfId="8647"/>
    <cellStyle name="Обычный 10 7 2 5 2 5" xfId="8648"/>
    <cellStyle name="Обычный 10 7 2 5 2 5 2" xfId="8649"/>
    <cellStyle name="Обычный 10 7 2 5 2 5 3" xfId="8650"/>
    <cellStyle name="Обычный 10 7 2 5 2 6" xfId="8651"/>
    <cellStyle name="Обычный 10 7 2 5 2 6 2" xfId="8652"/>
    <cellStyle name="Обычный 10 7 2 5 2 7" xfId="8653"/>
    <cellStyle name="Обычный 10 7 2 5 2 8" xfId="8654"/>
    <cellStyle name="Обычный 10 7 2 5 3" xfId="8655"/>
    <cellStyle name="Обычный 10 7 2 5 3 2" xfId="8656"/>
    <cellStyle name="Обычный 10 7 2 5 3 2 2" xfId="8657"/>
    <cellStyle name="Обычный 10 7 2 5 3 2 2 2" xfId="8658"/>
    <cellStyle name="Обычный 10 7 2 5 3 2 2 3" xfId="8659"/>
    <cellStyle name="Обычный 10 7 2 5 3 2 3" xfId="8660"/>
    <cellStyle name="Обычный 10 7 2 5 3 2 3 2" xfId="8661"/>
    <cellStyle name="Обычный 10 7 2 5 3 2 3 3" xfId="8662"/>
    <cellStyle name="Обычный 10 7 2 5 3 2 4" xfId="8663"/>
    <cellStyle name="Обычный 10 7 2 5 3 2 4 2" xfId="8664"/>
    <cellStyle name="Обычный 10 7 2 5 3 2 5" xfId="8665"/>
    <cellStyle name="Обычный 10 7 2 5 3 2 6" xfId="8666"/>
    <cellStyle name="Обычный 10 7 2 5 3 3" xfId="8667"/>
    <cellStyle name="Обычный 10 7 2 5 3 3 2" xfId="8668"/>
    <cellStyle name="Обычный 10 7 2 5 3 3 3" xfId="8669"/>
    <cellStyle name="Обычный 10 7 2 5 3 4" xfId="8670"/>
    <cellStyle name="Обычный 10 7 2 5 3 4 2" xfId="8671"/>
    <cellStyle name="Обычный 10 7 2 5 3 4 3" xfId="8672"/>
    <cellStyle name="Обычный 10 7 2 5 3 5" xfId="8673"/>
    <cellStyle name="Обычный 10 7 2 5 3 5 2" xfId="8674"/>
    <cellStyle name="Обычный 10 7 2 5 3 6" xfId="8675"/>
    <cellStyle name="Обычный 10 7 2 5 3 7" xfId="8676"/>
    <cellStyle name="Обычный 10 7 2 5 4" xfId="8677"/>
    <cellStyle name="Обычный 10 7 2 5 4 2" xfId="8678"/>
    <cellStyle name="Обычный 10 7 2 5 4 2 2" xfId="8679"/>
    <cellStyle name="Обычный 10 7 2 5 4 2 3" xfId="8680"/>
    <cellStyle name="Обычный 10 7 2 5 4 3" xfId="8681"/>
    <cellStyle name="Обычный 10 7 2 5 4 3 2" xfId="8682"/>
    <cellStyle name="Обычный 10 7 2 5 4 3 3" xfId="8683"/>
    <cellStyle name="Обычный 10 7 2 5 4 4" xfId="8684"/>
    <cellStyle name="Обычный 10 7 2 5 4 4 2" xfId="8685"/>
    <cellStyle name="Обычный 10 7 2 5 4 5" xfId="8686"/>
    <cellStyle name="Обычный 10 7 2 5 4 6" xfId="8687"/>
    <cellStyle name="Обычный 10 7 2 5 5" xfId="8688"/>
    <cellStyle name="Обычный 10 7 2 5 5 2" xfId="8689"/>
    <cellStyle name="Обычный 10 7 2 5 5 3" xfId="8690"/>
    <cellStyle name="Обычный 10 7 2 5 6" xfId="8691"/>
    <cellStyle name="Обычный 10 7 2 5 6 2" xfId="8692"/>
    <cellStyle name="Обычный 10 7 2 5 6 3" xfId="8693"/>
    <cellStyle name="Обычный 10 7 2 5 7" xfId="8694"/>
    <cellStyle name="Обычный 10 7 2 5 7 2" xfId="8695"/>
    <cellStyle name="Обычный 10 7 2 5 8" xfId="8696"/>
    <cellStyle name="Обычный 10 7 2 5 9" xfId="8697"/>
    <cellStyle name="Обычный 10 7 2 6" xfId="8698"/>
    <cellStyle name="Обычный 10 7 2 6 2" xfId="8699"/>
    <cellStyle name="Обычный 10 7 2 6 2 2" xfId="8700"/>
    <cellStyle name="Обычный 10 7 2 6 2 2 2" xfId="8701"/>
    <cellStyle name="Обычный 10 7 2 6 2 2 2 2" xfId="8702"/>
    <cellStyle name="Обычный 10 7 2 6 2 2 2 3" xfId="8703"/>
    <cellStyle name="Обычный 10 7 2 6 2 2 3" xfId="8704"/>
    <cellStyle name="Обычный 10 7 2 6 2 2 3 2" xfId="8705"/>
    <cellStyle name="Обычный 10 7 2 6 2 2 3 3" xfId="8706"/>
    <cellStyle name="Обычный 10 7 2 6 2 2 4" xfId="8707"/>
    <cellStyle name="Обычный 10 7 2 6 2 2 4 2" xfId="8708"/>
    <cellStyle name="Обычный 10 7 2 6 2 2 5" xfId="8709"/>
    <cellStyle name="Обычный 10 7 2 6 2 2 6" xfId="8710"/>
    <cellStyle name="Обычный 10 7 2 6 2 3" xfId="8711"/>
    <cellStyle name="Обычный 10 7 2 6 2 3 2" xfId="8712"/>
    <cellStyle name="Обычный 10 7 2 6 2 3 3" xfId="8713"/>
    <cellStyle name="Обычный 10 7 2 6 2 4" xfId="8714"/>
    <cellStyle name="Обычный 10 7 2 6 2 4 2" xfId="8715"/>
    <cellStyle name="Обычный 10 7 2 6 2 4 3" xfId="8716"/>
    <cellStyle name="Обычный 10 7 2 6 2 5" xfId="8717"/>
    <cellStyle name="Обычный 10 7 2 6 2 5 2" xfId="8718"/>
    <cellStyle name="Обычный 10 7 2 6 2 6" xfId="8719"/>
    <cellStyle name="Обычный 10 7 2 6 2 7" xfId="8720"/>
    <cellStyle name="Обычный 10 7 2 6 3" xfId="8721"/>
    <cellStyle name="Обычный 10 7 2 6 3 2" xfId="8722"/>
    <cellStyle name="Обычный 10 7 2 6 3 2 2" xfId="8723"/>
    <cellStyle name="Обычный 10 7 2 6 3 2 3" xfId="8724"/>
    <cellStyle name="Обычный 10 7 2 6 3 3" xfId="8725"/>
    <cellStyle name="Обычный 10 7 2 6 3 3 2" xfId="8726"/>
    <cellStyle name="Обычный 10 7 2 6 3 3 3" xfId="8727"/>
    <cellStyle name="Обычный 10 7 2 6 3 4" xfId="8728"/>
    <cellStyle name="Обычный 10 7 2 6 3 4 2" xfId="8729"/>
    <cellStyle name="Обычный 10 7 2 6 3 5" xfId="8730"/>
    <cellStyle name="Обычный 10 7 2 6 3 6" xfId="8731"/>
    <cellStyle name="Обычный 10 7 2 6 4" xfId="8732"/>
    <cellStyle name="Обычный 10 7 2 6 4 2" xfId="8733"/>
    <cellStyle name="Обычный 10 7 2 6 4 3" xfId="8734"/>
    <cellStyle name="Обычный 10 7 2 6 5" xfId="8735"/>
    <cellStyle name="Обычный 10 7 2 6 5 2" xfId="8736"/>
    <cellStyle name="Обычный 10 7 2 6 5 3" xfId="8737"/>
    <cellStyle name="Обычный 10 7 2 6 6" xfId="8738"/>
    <cellStyle name="Обычный 10 7 2 6 6 2" xfId="8739"/>
    <cellStyle name="Обычный 10 7 2 6 7" xfId="8740"/>
    <cellStyle name="Обычный 10 7 2 6 8" xfId="8741"/>
    <cellStyle name="Обычный 10 7 2 7" xfId="8742"/>
    <cellStyle name="Обычный 10 7 2 7 2" xfId="8743"/>
    <cellStyle name="Обычный 10 7 2 7 2 2" xfId="8744"/>
    <cellStyle name="Обычный 10 7 2 7 2 2 2" xfId="8745"/>
    <cellStyle name="Обычный 10 7 2 7 2 2 3" xfId="8746"/>
    <cellStyle name="Обычный 10 7 2 7 2 3" xfId="8747"/>
    <cellStyle name="Обычный 10 7 2 7 2 3 2" xfId="8748"/>
    <cellStyle name="Обычный 10 7 2 7 2 3 3" xfId="8749"/>
    <cellStyle name="Обычный 10 7 2 7 2 4" xfId="8750"/>
    <cellStyle name="Обычный 10 7 2 7 2 4 2" xfId="8751"/>
    <cellStyle name="Обычный 10 7 2 7 2 5" xfId="8752"/>
    <cellStyle name="Обычный 10 7 2 7 2 6" xfId="8753"/>
    <cellStyle name="Обычный 10 7 2 7 3" xfId="8754"/>
    <cellStyle name="Обычный 10 7 2 7 3 2" xfId="8755"/>
    <cellStyle name="Обычный 10 7 2 7 3 3" xfId="8756"/>
    <cellStyle name="Обычный 10 7 2 7 4" xfId="8757"/>
    <cellStyle name="Обычный 10 7 2 7 4 2" xfId="8758"/>
    <cellStyle name="Обычный 10 7 2 7 4 3" xfId="8759"/>
    <cellStyle name="Обычный 10 7 2 7 5" xfId="8760"/>
    <cellStyle name="Обычный 10 7 2 7 5 2" xfId="8761"/>
    <cellStyle name="Обычный 10 7 2 7 6" xfId="8762"/>
    <cellStyle name="Обычный 10 7 2 7 7" xfId="8763"/>
    <cellStyle name="Обычный 10 7 2 8" xfId="8764"/>
    <cellStyle name="Обычный 10 7 2 8 2" xfId="8765"/>
    <cellStyle name="Обычный 10 7 2 8 2 2" xfId="8766"/>
    <cellStyle name="Обычный 10 7 2 8 2 3" xfId="8767"/>
    <cellStyle name="Обычный 10 7 2 8 3" xfId="8768"/>
    <cellStyle name="Обычный 10 7 2 8 3 2" xfId="8769"/>
    <cellStyle name="Обычный 10 7 2 8 3 3" xfId="8770"/>
    <cellStyle name="Обычный 10 7 2 8 4" xfId="8771"/>
    <cellStyle name="Обычный 10 7 2 8 4 2" xfId="8772"/>
    <cellStyle name="Обычный 10 7 2 8 5" xfId="8773"/>
    <cellStyle name="Обычный 10 7 2 8 6" xfId="8774"/>
    <cellStyle name="Обычный 10 7 2 9" xfId="8775"/>
    <cellStyle name="Обычный 10 7 2 9 2" xfId="8776"/>
    <cellStyle name="Обычный 10 7 2 9 3" xfId="8777"/>
    <cellStyle name="Обычный 10 7 3" xfId="8778"/>
    <cellStyle name="Обычный 10 7 3 10" xfId="8779"/>
    <cellStyle name="Обычный 10 7 3 2" xfId="8780"/>
    <cellStyle name="Обычный 10 7 3 2 2" xfId="8781"/>
    <cellStyle name="Обычный 10 7 3 2 2 2" xfId="8782"/>
    <cellStyle name="Обычный 10 7 3 2 2 2 2" xfId="8783"/>
    <cellStyle name="Обычный 10 7 3 2 2 2 2 2" xfId="8784"/>
    <cellStyle name="Обычный 10 7 3 2 2 2 2 2 2" xfId="8785"/>
    <cellStyle name="Обычный 10 7 3 2 2 2 2 2 3" xfId="8786"/>
    <cellStyle name="Обычный 10 7 3 2 2 2 2 3" xfId="8787"/>
    <cellStyle name="Обычный 10 7 3 2 2 2 2 3 2" xfId="8788"/>
    <cellStyle name="Обычный 10 7 3 2 2 2 2 3 3" xfId="8789"/>
    <cellStyle name="Обычный 10 7 3 2 2 2 2 4" xfId="8790"/>
    <cellStyle name="Обычный 10 7 3 2 2 2 2 4 2" xfId="8791"/>
    <cellStyle name="Обычный 10 7 3 2 2 2 2 5" xfId="8792"/>
    <cellStyle name="Обычный 10 7 3 2 2 2 2 6" xfId="8793"/>
    <cellStyle name="Обычный 10 7 3 2 2 2 3" xfId="8794"/>
    <cellStyle name="Обычный 10 7 3 2 2 2 3 2" xfId="8795"/>
    <cellStyle name="Обычный 10 7 3 2 2 2 3 3" xfId="8796"/>
    <cellStyle name="Обычный 10 7 3 2 2 2 4" xfId="8797"/>
    <cellStyle name="Обычный 10 7 3 2 2 2 4 2" xfId="8798"/>
    <cellStyle name="Обычный 10 7 3 2 2 2 4 3" xfId="8799"/>
    <cellStyle name="Обычный 10 7 3 2 2 2 5" xfId="8800"/>
    <cellStyle name="Обычный 10 7 3 2 2 2 5 2" xfId="8801"/>
    <cellStyle name="Обычный 10 7 3 2 2 2 6" xfId="8802"/>
    <cellStyle name="Обычный 10 7 3 2 2 2 7" xfId="8803"/>
    <cellStyle name="Обычный 10 7 3 2 2 3" xfId="8804"/>
    <cellStyle name="Обычный 10 7 3 2 2 3 2" xfId="8805"/>
    <cellStyle name="Обычный 10 7 3 2 2 3 2 2" xfId="8806"/>
    <cellStyle name="Обычный 10 7 3 2 2 3 2 3" xfId="8807"/>
    <cellStyle name="Обычный 10 7 3 2 2 3 3" xfId="8808"/>
    <cellStyle name="Обычный 10 7 3 2 2 3 3 2" xfId="8809"/>
    <cellStyle name="Обычный 10 7 3 2 2 3 3 3" xfId="8810"/>
    <cellStyle name="Обычный 10 7 3 2 2 3 4" xfId="8811"/>
    <cellStyle name="Обычный 10 7 3 2 2 3 4 2" xfId="8812"/>
    <cellStyle name="Обычный 10 7 3 2 2 3 5" xfId="8813"/>
    <cellStyle name="Обычный 10 7 3 2 2 3 6" xfId="8814"/>
    <cellStyle name="Обычный 10 7 3 2 2 4" xfId="8815"/>
    <cellStyle name="Обычный 10 7 3 2 2 4 2" xfId="8816"/>
    <cellStyle name="Обычный 10 7 3 2 2 4 3" xfId="8817"/>
    <cellStyle name="Обычный 10 7 3 2 2 5" xfId="8818"/>
    <cellStyle name="Обычный 10 7 3 2 2 5 2" xfId="8819"/>
    <cellStyle name="Обычный 10 7 3 2 2 5 3" xfId="8820"/>
    <cellStyle name="Обычный 10 7 3 2 2 6" xfId="8821"/>
    <cellStyle name="Обычный 10 7 3 2 2 6 2" xfId="8822"/>
    <cellStyle name="Обычный 10 7 3 2 2 7" xfId="8823"/>
    <cellStyle name="Обычный 10 7 3 2 2 8" xfId="8824"/>
    <cellStyle name="Обычный 10 7 3 2 3" xfId="8825"/>
    <cellStyle name="Обычный 10 7 3 2 3 2" xfId="8826"/>
    <cellStyle name="Обычный 10 7 3 2 3 2 2" xfId="8827"/>
    <cellStyle name="Обычный 10 7 3 2 3 2 2 2" xfId="8828"/>
    <cellStyle name="Обычный 10 7 3 2 3 2 2 3" xfId="8829"/>
    <cellStyle name="Обычный 10 7 3 2 3 2 3" xfId="8830"/>
    <cellStyle name="Обычный 10 7 3 2 3 2 3 2" xfId="8831"/>
    <cellStyle name="Обычный 10 7 3 2 3 2 3 3" xfId="8832"/>
    <cellStyle name="Обычный 10 7 3 2 3 2 4" xfId="8833"/>
    <cellStyle name="Обычный 10 7 3 2 3 2 4 2" xfId="8834"/>
    <cellStyle name="Обычный 10 7 3 2 3 2 5" xfId="8835"/>
    <cellStyle name="Обычный 10 7 3 2 3 2 6" xfId="8836"/>
    <cellStyle name="Обычный 10 7 3 2 3 3" xfId="8837"/>
    <cellStyle name="Обычный 10 7 3 2 3 3 2" xfId="8838"/>
    <cellStyle name="Обычный 10 7 3 2 3 3 3" xfId="8839"/>
    <cellStyle name="Обычный 10 7 3 2 3 4" xfId="8840"/>
    <cellStyle name="Обычный 10 7 3 2 3 4 2" xfId="8841"/>
    <cellStyle name="Обычный 10 7 3 2 3 4 3" xfId="8842"/>
    <cellStyle name="Обычный 10 7 3 2 3 5" xfId="8843"/>
    <cellStyle name="Обычный 10 7 3 2 3 5 2" xfId="8844"/>
    <cellStyle name="Обычный 10 7 3 2 3 6" xfId="8845"/>
    <cellStyle name="Обычный 10 7 3 2 3 7" xfId="8846"/>
    <cellStyle name="Обычный 10 7 3 2 4" xfId="8847"/>
    <cellStyle name="Обычный 10 7 3 2 4 2" xfId="8848"/>
    <cellStyle name="Обычный 10 7 3 2 4 2 2" xfId="8849"/>
    <cellStyle name="Обычный 10 7 3 2 4 2 3" xfId="8850"/>
    <cellStyle name="Обычный 10 7 3 2 4 3" xfId="8851"/>
    <cellStyle name="Обычный 10 7 3 2 4 3 2" xfId="8852"/>
    <cellStyle name="Обычный 10 7 3 2 4 3 3" xfId="8853"/>
    <cellStyle name="Обычный 10 7 3 2 4 4" xfId="8854"/>
    <cellStyle name="Обычный 10 7 3 2 4 4 2" xfId="8855"/>
    <cellStyle name="Обычный 10 7 3 2 4 5" xfId="8856"/>
    <cellStyle name="Обычный 10 7 3 2 4 6" xfId="8857"/>
    <cellStyle name="Обычный 10 7 3 2 5" xfId="8858"/>
    <cellStyle name="Обычный 10 7 3 2 5 2" xfId="8859"/>
    <cellStyle name="Обычный 10 7 3 2 5 3" xfId="8860"/>
    <cellStyle name="Обычный 10 7 3 2 6" xfId="8861"/>
    <cellStyle name="Обычный 10 7 3 2 6 2" xfId="8862"/>
    <cellStyle name="Обычный 10 7 3 2 6 3" xfId="8863"/>
    <cellStyle name="Обычный 10 7 3 2 7" xfId="8864"/>
    <cellStyle name="Обычный 10 7 3 2 7 2" xfId="8865"/>
    <cellStyle name="Обычный 10 7 3 2 8" xfId="8866"/>
    <cellStyle name="Обычный 10 7 3 2 9" xfId="8867"/>
    <cellStyle name="Обычный 10 7 3 3" xfId="8868"/>
    <cellStyle name="Обычный 10 7 3 3 2" xfId="8869"/>
    <cellStyle name="Обычный 10 7 3 3 2 2" xfId="8870"/>
    <cellStyle name="Обычный 10 7 3 3 2 2 2" xfId="8871"/>
    <cellStyle name="Обычный 10 7 3 3 2 2 2 2" xfId="8872"/>
    <cellStyle name="Обычный 10 7 3 3 2 2 2 3" xfId="8873"/>
    <cellStyle name="Обычный 10 7 3 3 2 2 3" xfId="8874"/>
    <cellStyle name="Обычный 10 7 3 3 2 2 3 2" xfId="8875"/>
    <cellStyle name="Обычный 10 7 3 3 2 2 3 3" xfId="8876"/>
    <cellStyle name="Обычный 10 7 3 3 2 2 4" xfId="8877"/>
    <cellStyle name="Обычный 10 7 3 3 2 2 4 2" xfId="8878"/>
    <cellStyle name="Обычный 10 7 3 3 2 2 5" xfId="8879"/>
    <cellStyle name="Обычный 10 7 3 3 2 2 6" xfId="8880"/>
    <cellStyle name="Обычный 10 7 3 3 2 3" xfId="8881"/>
    <cellStyle name="Обычный 10 7 3 3 2 3 2" xfId="8882"/>
    <cellStyle name="Обычный 10 7 3 3 2 3 3" xfId="8883"/>
    <cellStyle name="Обычный 10 7 3 3 2 4" xfId="8884"/>
    <cellStyle name="Обычный 10 7 3 3 2 4 2" xfId="8885"/>
    <cellStyle name="Обычный 10 7 3 3 2 4 3" xfId="8886"/>
    <cellStyle name="Обычный 10 7 3 3 2 5" xfId="8887"/>
    <cellStyle name="Обычный 10 7 3 3 2 5 2" xfId="8888"/>
    <cellStyle name="Обычный 10 7 3 3 2 6" xfId="8889"/>
    <cellStyle name="Обычный 10 7 3 3 2 7" xfId="8890"/>
    <cellStyle name="Обычный 10 7 3 3 3" xfId="8891"/>
    <cellStyle name="Обычный 10 7 3 3 3 2" xfId="8892"/>
    <cellStyle name="Обычный 10 7 3 3 3 2 2" xfId="8893"/>
    <cellStyle name="Обычный 10 7 3 3 3 2 3" xfId="8894"/>
    <cellStyle name="Обычный 10 7 3 3 3 3" xfId="8895"/>
    <cellStyle name="Обычный 10 7 3 3 3 3 2" xfId="8896"/>
    <cellStyle name="Обычный 10 7 3 3 3 3 3" xfId="8897"/>
    <cellStyle name="Обычный 10 7 3 3 3 4" xfId="8898"/>
    <cellStyle name="Обычный 10 7 3 3 3 4 2" xfId="8899"/>
    <cellStyle name="Обычный 10 7 3 3 3 5" xfId="8900"/>
    <cellStyle name="Обычный 10 7 3 3 3 6" xfId="8901"/>
    <cellStyle name="Обычный 10 7 3 3 4" xfId="8902"/>
    <cellStyle name="Обычный 10 7 3 3 4 2" xfId="8903"/>
    <cellStyle name="Обычный 10 7 3 3 4 3" xfId="8904"/>
    <cellStyle name="Обычный 10 7 3 3 5" xfId="8905"/>
    <cellStyle name="Обычный 10 7 3 3 5 2" xfId="8906"/>
    <cellStyle name="Обычный 10 7 3 3 5 3" xfId="8907"/>
    <cellStyle name="Обычный 10 7 3 3 6" xfId="8908"/>
    <cellStyle name="Обычный 10 7 3 3 6 2" xfId="8909"/>
    <cellStyle name="Обычный 10 7 3 3 7" xfId="8910"/>
    <cellStyle name="Обычный 10 7 3 3 8" xfId="8911"/>
    <cellStyle name="Обычный 10 7 3 4" xfId="8912"/>
    <cellStyle name="Обычный 10 7 3 4 2" xfId="8913"/>
    <cellStyle name="Обычный 10 7 3 4 2 2" xfId="8914"/>
    <cellStyle name="Обычный 10 7 3 4 2 2 2" xfId="8915"/>
    <cellStyle name="Обычный 10 7 3 4 2 2 3" xfId="8916"/>
    <cellStyle name="Обычный 10 7 3 4 2 3" xfId="8917"/>
    <cellStyle name="Обычный 10 7 3 4 2 3 2" xfId="8918"/>
    <cellStyle name="Обычный 10 7 3 4 2 3 3" xfId="8919"/>
    <cellStyle name="Обычный 10 7 3 4 2 4" xfId="8920"/>
    <cellStyle name="Обычный 10 7 3 4 2 4 2" xfId="8921"/>
    <cellStyle name="Обычный 10 7 3 4 2 5" xfId="8922"/>
    <cellStyle name="Обычный 10 7 3 4 2 6" xfId="8923"/>
    <cellStyle name="Обычный 10 7 3 4 3" xfId="8924"/>
    <cellStyle name="Обычный 10 7 3 4 3 2" xfId="8925"/>
    <cellStyle name="Обычный 10 7 3 4 3 3" xfId="8926"/>
    <cellStyle name="Обычный 10 7 3 4 4" xfId="8927"/>
    <cellStyle name="Обычный 10 7 3 4 4 2" xfId="8928"/>
    <cellStyle name="Обычный 10 7 3 4 4 3" xfId="8929"/>
    <cellStyle name="Обычный 10 7 3 4 5" xfId="8930"/>
    <cellStyle name="Обычный 10 7 3 4 5 2" xfId="8931"/>
    <cellStyle name="Обычный 10 7 3 4 6" xfId="8932"/>
    <cellStyle name="Обычный 10 7 3 4 7" xfId="8933"/>
    <cellStyle name="Обычный 10 7 3 5" xfId="8934"/>
    <cellStyle name="Обычный 10 7 3 5 2" xfId="8935"/>
    <cellStyle name="Обычный 10 7 3 5 2 2" xfId="8936"/>
    <cellStyle name="Обычный 10 7 3 5 2 3" xfId="8937"/>
    <cellStyle name="Обычный 10 7 3 5 3" xfId="8938"/>
    <cellStyle name="Обычный 10 7 3 5 3 2" xfId="8939"/>
    <cellStyle name="Обычный 10 7 3 5 3 3" xfId="8940"/>
    <cellStyle name="Обычный 10 7 3 5 4" xfId="8941"/>
    <cellStyle name="Обычный 10 7 3 5 4 2" xfId="8942"/>
    <cellStyle name="Обычный 10 7 3 5 5" xfId="8943"/>
    <cellStyle name="Обычный 10 7 3 5 6" xfId="8944"/>
    <cellStyle name="Обычный 10 7 3 6" xfId="8945"/>
    <cellStyle name="Обычный 10 7 3 6 2" xfId="8946"/>
    <cellStyle name="Обычный 10 7 3 6 3" xfId="8947"/>
    <cellStyle name="Обычный 10 7 3 7" xfId="8948"/>
    <cellStyle name="Обычный 10 7 3 7 2" xfId="8949"/>
    <cellStyle name="Обычный 10 7 3 7 3" xfId="8950"/>
    <cellStyle name="Обычный 10 7 3 8" xfId="8951"/>
    <cellStyle name="Обычный 10 7 3 8 2" xfId="8952"/>
    <cellStyle name="Обычный 10 7 3 9" xfId="8953"/>
    <cellStyle name="Обычный 10 7 4" xfId="8954"/>
    <cellStyle name="Обычный 10 7 4 10" xfId="8955"/>
    <cellStyle name="Обычный 10 7 4 2" xfId="8956"/>
    <cellStyle name="Обычный 10 7 4 2 2" xfId="8957"/>
    <cellStyle name="Обычный 10 7 4 2 2 2" xfId="8958"/>
    <cellStyle name="Обычный 10 7 4 2 2 2 2" xfId="8959"/>
    <cellStyle name="Обычный 10 7 4 2 2 2 2 2" xfId="8960"/>
    <cellStyle name="Обычный 10 7 4 2 2 2 2 2 2" xfId="8961"/>
    <cellStyle name="Обычный 10 7 4 2 2 2 2 2 3" xfId="8962"/>
    <cellStyle name="Обычный 10 7 4 2 2 2 2 3" xfId="8963"/>
    <cellStyle name="Обычный 10 7 4 2 2 2 2 3 2" xfId="8964"/>
    <cellStyle name="Обычный 10 7 4 2 2 2 2 3 3" xfId="8965"/>
    <cellStyle name="Обычный 10 7 4 2 2 2 2 4" xfId="8966"/>
    <cellStyle name="Обычный 10 7 4 2 2 2 2 4 2" xfId="8967"/>
    <cellStyle name="Обычный 10 7 4 2 2 2 2 5" xfId="8968"/>
    <cellStyle name="Обычный 10 7 4 2 2 2 2 6" xfId="8969"/>
    <cellStyle name="Обычный 10 7 4 2 2 2 3" xfId="8970"/>
    <cellStyle name="Обычный 10 7 4 2 2 2 3 2" xfId="8971"/>
    <cellStyle name="Обычный 10 7 4 2 2 2 3 3" xfId="8972"/>
    <cellStyle name="Обычный 10 7 4 2 2 2 4" xfId="8973"/>
    <cellStyle name="Обычный 10 7 4 2 2 2 4 2" xfId="8974"/>
    <cellStyle name="Обычный 10 7 4 2 2 2 4 3" xfId="8975"/>
    <cellStyle name="Обычный 10 7 4 2 2 2 5" xfId="8976"/>
    <cellStyle name="Обычный 10 7 4 2 2 2 5 2" xfId="8977"/>
    <cellStyle name="Обычный 10 7 4 2 2 2 6" xfId="8978"/>
    <cellStyle name="Обычный 10 7 4 2 2 2 7" xfId="8979"/>
    <cellStyle name="Обычный 10 7 4 2 2 3" xfId="8980"/>
    <cellStyle name="Обычный 10 7 4 2 2 3 2" xfId="8981"/>
    <cellStyle name="Обычный 10 7 4 2 2 3 2 2" xfId="8982"/>
    <cellStyle name="Обычный 10 7 4 2 2 3 2 3" xfId="8983"/>
    <cellStyle name="Обычный 10 7 4 2 2 3 3" xfId="8984"/>
    <cellStyle name="Обычный 10 7 4 2 2 3 3 2" xfId="8985"/>
    <cellStyle name="Обычный 10 7 4 2 2 3 3 3" xfId="8986"/>
    <cellStyle name="Обычный 10 7 4 2 2 3 4" xfId="8987"/>
    <cellStyle name="Обычный 10 7 4 2 2 3 4 2" xfId="8988"/>
    <cellStyle name="Обычный 10 7 4 2 2 3 5" xfId="8989"/>
    <cellStyle name="Обычный 10 7 4 2 2 3 6" xfId="8990"/>
    <cellStyle name="Обычный 10 7 4 2 2 4" xfId="8991"/>
    <cellStyle name="Обычный 10 7 4 2 2 4 2" xfId="8992"/>
    <cellStyle name="Обычный 10 7 4 2 2 4 3" xfId="8993"/>
    <cellStyle name="Обычный 10 7 4 2 2 5" xfId="8994"/>
    <cellStyle name="Обычный 10 7 4 2 2 5 2" xfId="8995"/>
    <cellStyle name="Обычный 10 7 4 2 2 5 3" xfId="8996"/>
    <cellStyle name="Обычный 10 7 4 2 2 6" xfId="8997"/>
    <cellStyle name="Обычный 10 7 4 2 2 6 2" xfId="8998"/>
    <cellStyle name="Обычный 10 7 4 2 2 7" xfId="8999"/>
    <cellStyle name="Обычный 10 7 4 2 2 8" xfId="9000"/>
    <cellStyle name="Обычный 10 7 4 2 3" xfId="9001"/>
    <cellStyle name="Обычный 10 7 4 2 3 2" xfId="9002"/>
    <cellStyle name="Обычный 10 7 4 2 3 2 2" xfId="9003"/>
    <cellStyle name="Обычный 10 7 4 2 3 2 2 2" xfId="9004"/>
    <cellStyle name="Обычный 10 7 4 2 3 2 2 3" xfId="9005"/>
    <cellStyle name="Обычный 10 7 4 2 3 2 3" xfId="9006"/>
    <cellStyle name="Обычный 10 7 4 2 3 2 3 2" xfId="9007"/>
    <cellStyle name="Обычный 10 7 4 2 3 2 3 3" xfId="9008"/>
    <cellStyle name="Обычный 10 7 4 2 3 2 4" xfId="9009"/>
    <cellStyle name="Обычный 10 7 4 2 3 2 4 2" xfId="9010"/>
    <cellStyle name="Обычный 10 7 4 2 3 2 5" xfId="9011"/>
    <cellStyle name="Обычный 10 7 4 2 3 2 6" xfId="9012"/>
    <cellStyle name="Обычный 10 7 4 2 3 3" xfId="9013"/>
    <cellStyle name="Обычный 10 7 4 2 3 3 2" xfId="9014"/>
    <cellStyle name="Обычный 10 7 4 2 3 3 3" xfId="9015"/>
    <cellStyle name="Обычный 10 7 4 2 3 4" xfId="9016"/>
    <cellStyle name="Обычный 10 7 4 2 3 4 2" xfId="9017"/>
    <cellStyle name="Обычный 10 7 4 2 3 4 3" xfId="9018"/>
    <cellStyle name="Обычный 10 7 4 2 3 5" xfId="9019"/>
    <cellStyle name="Обычный 10 7 4 2 3 5 2" xfId="9020"/>
    <cellStyle name="Обычный 10 7 4 2 3 6" xfId="9021"/>
    <cellStyle name="Обычный 10 7 4 2 3 7" xfId="9022"/>
    <cellStyle name="Обычный 10 7 4 2 4" xfId="9023"/>
    <cellStyle name="Обычный 10 7 4 2 4 2" xfId="9024"/>
    <cellStyle name="Обычный 10 7 4 2 4 2 2" xfId="9025"/>
    <cellStyle name="Обычный 10 7 4 2 4 2 3" xfId="9026"/>
    <cellStyle name="Обычный 10 7 4 2 4 3" xfId="9027"/>
    <cellStyle name="Обычный 10 7 4 2 4 3 2" xfId="9028"/>
    <cellStyle name="Обычный 10 7 4 2 4 3 3" xfId="9029"/>
    <cellStyle name="Обычный 10 7 4 2 4 4" xfId="9030"/>
    <cellStyle name="Обычный 10 7 4 2 4 4 2" xfId="9031"/>
    <cellStyle name="Обычный 10 7 4 2 4 5" xfId="9032"/>
    <cellStyle name="Обычный 10 7 4 2 4 6" xfId="9033"/>
    <cellStyle name="Обычный 10 7 4 2 5" xfId="9034"/>
    <cellStyle name="Обычный 10 7 4 2 5 2" xfId="9035"/>
    <cellStyle name="Обычный 10 7 4 2 5 3" xfId="9036"/>
    <cellStyle name="Обычный 10 7 4 2 6" xfId="9037"/>
    <cellStyle name="Обычный 10 7 4 2 6 2" xfId="9038"/>
    <cellStyle name="Обычный 10 7 4 2 6 3" xfId="9039"/>
    <cellStyle name="Обычный 10 7 4 2 7" xfId="9040"/>
    <cellStyle name="Обычный 10 7 4 2 7 2" xfId="9041"/>
    <cellStyle name="Обычный 10 7 4 2 8" xfId="9042"/>
    <cellStyle name="Обычный 10 7 4 2 9" xfId="9043"/>
    <cellStyle name="Обычный 10 7 4 3" xfId="9044"/>
    <cellStyle name="Обычный 10 7 4 3 2" xfId="9045"/>
    <cellStyle name="Обычный 10 7 4 3 2 2" xfId="9046"/>
    <cellStyle name="Обычный 10 7 4 3 2 2 2" xfId="9047"/>
    <cellStyle name="Обычный 10 7 4 3 2 2 2 2" xfId="9048"/>
    <cellStyle name="Обычный 10 7 4 3 2 2 2 3" xfId="9049"/>
    <cellStyle name="Обычный 10 7 4 3 2 2 3" xfId="9050"/>
    <cellStyle name="Обычный 10 7 4 3 2 2 3 2" xfId="9051"/>
    <cellStyle name="Обычный 10 7 4 3 2 2 3 3" xfId="9052"/>
    <cellStyle name="Обычный 10 7 4 3 2 2 4" xfId="9053"/>
    <cellStyle name="Обычный 10 7 4 3 2 2 4 2" xfId="9054"/>
    <cellStyle name="Обычный 10 7 4 3 2 2 5" xfId="9055"/>
    <cellStyle name="Обычный 10 7 4 3 2 2 6" xfId="9056"/>
    <cellStyle name="Обычный 10 7 4 3 2 3" xfId="9057"/>
    <cellStyle name="Обычный 10 7 4 3 2 3 2" xfId="9058"/>
    <cellStyle name="Обычный 10 7 4 3 2 3 3" xfId="9059"/>
    <cellStyle name="Обычный 10 7 4 3 2 4" xfId="9060"/>
    <cellStyle name="Обычный 10 7 4 3 2 4 2" xfId="9061"/>
    <cellStyle name="Обычный 10 7 4 3 2 4 3" xfId="9062"/>
    <cellStyle name="Обычный 10 7 4 3 2 5" xfId="9063"/>
    <cellStyle name="Обычный 10 7 4 3 2 5 2" xfId="9064"/>
    <cellStyle name="Обычный 10 7 4 3 2 6" xfId="9065"/>
    <cellStyle name="Обычный 10 7 4 3 2 7" xfId="9066"/>
    <cellStyle name="Обычный 10 7 4 3 3" xfId="9067"/>
    <cellStyle name="Обычный 10 7 4 3 3 2" xfId="9068"/>
    <cellStyle name="Обычный 10 7 4 3 3 2 2" xfId="9069"/>
    <cellStyle name="Обычный 10 7 4 3 3 2 3" xfId="9070"/>
    <cellStyle name="Обычный 10 7 4 3 3 3" xfId="9071"/>
    <cellStyle name="Обычный 10 7 4 3 3 3 2" xfId="9072"/>
    <cellStyle name="Обычный 10 7 4 3 3 3 3" xfId="9073"/>
    <cellStyle name="Обычный 10 7 4 3 3 4" xfId="9074"/>
    <cellStyle name="Обычный 10 7 4 3 3 4 2" xfId="9075"/>
    <cellStyle name="Обычный 10 7 4 3 3 5" xfId="9076"/>
    <cellStyle name="Обычный 10 7 4 3 3 6" xfId="9077"/>
    <cellStyle name="Обычный 10 7 4 3 4" xfId="9078"/>
    <cellStyle name="Обычный 10 7 4 3 4 2" xfId="9079"/>
    <cellStyle name="Обычный 10 7 4 3 4 3" xfId="9080"/>
    <cellStyle name="Обычный 10 7 4 3 5" xfId="9081"/>
    <cellStyle name="Обычный 10 7 4 3 5 2" xfId="9082"/>
    <cellStyle name="Обычный 10 7 4 3 5 3" xfId="9083"/>
    <cellStyle name="Обычный 10 7 4 3 6" xfId="9084"/>
    <cellStyle name="Обычный 10 7 4 3 6 2" xfId="9085"/>
    <cellStyle name="Обычный 10 7 4 3 7" xfId="9086"/>
    <cellStyle name="Обычный 10 7 4 3 8" xfId="9087"/>
    <cellStyle name="Обычный 10 7 4 4" xfId="9088"/>
    <cellStyle name="Обычный 10 7 4 4 2" xfId="9089"/>
    <cellStyle name="Обычный 10 7 4 4 2 2" xfId="9090"/>
    <cellStyle name="Обычный 10 7 4 4 2 2 2" xfId="9091"/>
    <cellStyle name="Обычный 10 7 4 4 2 2 3" xfId="9092"/>
    <cellStyle name="Обычный 10 7 4 4 2 3" xfId="9093"/>
    <cellStyle name="Обычный 10 7 4 4 2 3 2" xfId="9094"/>
    <cellStyle name="Обычный 10 7 4 4 2 3 3" xfId="9095"/>
    <cellStyle name="Обычный 10 7 4 4 2 4" xfId="9096"/>
    <cellStyle name="Обычный 10 7 4 4 2 4 2" xfId="9097"/>
    <cellStyle name="Обычный 10 7 4 4 2 5" xfId="9098"/>
    <cellStyle name="Обычный 10 7 4 4 2 6" xfId="9099"/>
    <cellStyle name="Обычный 10 7 4 4 3" xfId="9100"/>
    <cellStyle name="Обычный 10 7 4 4 3 2" xfId="9101"/>
    <cellStyle name="Обычный 10 7 4 4 3 3" xfId="9102"/>
    <cellStyle name="Обычный 10 7 4 4 4" xfId="9103"/>
    <cellStyle name="Обычный 10 7 4 4 4 2" xfId="9104"/>
    <cellStyle name="Обычный 10 7 4 4 4 3" xfId="9105"/>
    <cellStyle name="Обычный 10 7 4 4 5" xfId="9106"/>
    <cellStyle name="Обычный 10 7 4 4 5 2" xfId="9107"/>
    <cellStyle name="Обычный 10 7 4 4 6" xfId="9108"/>
    <cellStyle name="Обычный 10 7 4 4 7" xfId="9109"/>
    <cellStyle name="Обычный 10 7 4 5" xfId="9110"/>
    <cellStyle name="Обычный 10 7 4 5 2" xfId="9111"/>
    <cellStyle name="Обычный 10 7 4 5 2 2" xfId="9112"/>
    <cellStyle name="Обычный 10 7 4 5 2 3" xfId="9113"/>
    <cellStyle name="Обычный 10 7 4 5 3" xfId="9114"/>
    <cellStyle name="Обычный 10 7 4 5 3 2" xfId="9115"/>
    <cellStyle name="Обычный 10 7 4 5 3 3" xfId="9116"/>
    <cellStyle name="Обычный 10 7 4 5 4" xfId="9117"/>
    <cellStyle name="Обычный 10 7 4 5 4 2" xfId="9118"/>
    <cellStyle name="Обычный 10 7 4 5 5" xfId="9119"/>
    <cellStyle name="Обычный 10 7 4 5 6" xfId="9120"/>
    <cellStyle name="Обычный 10 7 4 6" xfId="9121"/>
    <cellStyle name="Обычный 10 7 4 6 2" xfId="9122"/>
    <cellStyle name="Обычный 10 7 4 6 3" xfId="9123"/>
    <cellStyle name="Обычный 10 7 4 7" xfId="9124"/>
    <cellStyle name="Обычный 10 7 4 7 2" xfId="9125"/>
    <cellStyle name="Обычный 10 7 4 7 3" xfId="9126"/>
    <cellStyle name="Обычный 10 7 4 8" xfId="9127"/>
    <cellStyle name="Обычный 10 7 4 8 2" xfId="9128"/>
    <cellStyle name="Обычный 10 7 4 9" xfId="9129"/>
    <cellStyle name="Обычный 10 7 5" xfId="9130"/>
    <cellStyle name="Обычный 10 7 5 10" xfId="9131"/>
    <cellStyle name="Обычный 10 7 5 2" xfId="9132"/>
    <cellStyle name="Обычный 10 7 5 2 2" xfId="9133"/>
    <cellStyle name="Обычный 10 7 5 2 2 2" xfId="9134"/>
    <cellStyle name="Обычный 10 7 5 2 2 2 2" xfId="9135"/>
    <cellStyle name="Обычный 10 7 5 2 2 2 2 2" xfId="9136"/>
    <cellStyle name="Обычный 10 7 5 2 2 2 2 2 2" xfId="9137"/>
    <cellStyle name="Обычный 10 7 5 2 2 2 2 2 3" xfId="9138"/>
    <cellStyle name="Обычный 10 7 5 2 2 2 2 3" xfId="9139"/>
    <cellStyle name="Обычный 10 7 5 2 2 2 2 3 2" xfId="9140"/>
    <cellStyle name="Обычный 10 7 5 2 2 2 2 3 3" xfId="9141"/>
    <cellStyle name="Обычный 10 7 5 2 2 2 2 4" xfId="9142"/>
    <cellStyle name="Обычный 10 7 5 2 2 2 2 4 2" xfId="9143"/>
    <cellStyle name="Обычный 10 7 5 2 2 2 2 5" xfId="9144"/>
    <cellStyle name="Обычный 10 7 5 2 2 2 2 6" xfId="9145"/>
    <cellStyle name="Обычный 10 7 5 2 2 2 3" xfId="9146"/>
    <cellStyle name="Обычный 10 7 5 2 2 2 3 2" xfId="9147"/>
    <cellStyle name="Обычный 10 7 5 2 2 2 3 3" xfId="9148"/>
    <cellStyle name="Обычный 10 7 5 2 2 2 4" xfId="9149"/>
    <cellStyle name="Обычный 10 7 5 2 2 2 4 2" xfId="9150"/>
    <cellStyle name="Обычный 10 7 5 2 2 2 4 3" xfId="9151"/>
    <cellStyle name="Обычный 10 7 5 2 2 2 5" xfId="9152"/>
    <cellStyle name="Обычный 10 7 5 2 2 2 5 2" xfId="9153"/>
    <cellStyle name="Обычный 10 7 5 2 2 2 6" xfId="9154"/>
    <cellStyle name="Обычный 10 7 5 2 2 2 7" xfId="9155"/>
    <cellStyle name="Обычный 10 7 5 2 2 3" xfId="9156"/>
    <cellStyle name="Обычный 10 7 5 2 2 3 2" xfId="9157"/>
    <cellStyle name="Обычный 10 7 5 2 2 3 2 2" xfId="9158"/>
    <cellStyle name="Обычный 10 7 5 2 2 3 2 3" xfId="9159"/>
    <cellStyle name="Обычный 10 7 5 2 2 3 3" xfId="9160"/>
    <cellStyle name="Обычный 10 7 5 2 2 3 3 2" xfId="9161"/>
    <cellStyle name="Обычный 10 7 5 2 2 3 3 3" xfId="9162"/>
    <cellStyle name="Обычный 10 7 5 2 2 3 4" xfId="9163"/>
    <cellStyle name="Обычный 10 7 5 2 2 3 4 2" xfId="9164"/>
    <cellStyle name="Обычный 10 7 5 2 2 3 5" xfId="9165"/>
    <cellStyle name="Обычный 10 7 5 2 2 3 6" xfId="9166"/>
    <cellStyle name="Обычный 10 7 5 2 2 4" xfId="9167"/>
    <cellStyle name="Обычный 10 7 5 2 2 4 2" xfId="9168"/>
    <cellStyle name="Обычный 10 7 5 2 2 4 3" xfId="9169"/>
    <cellStyle name="Обычный 10 7 5 2 2 5" xfId="9170"/>
    <cellStyle name="Обычный 10 7 5 2 2 5 2" xfId="9171"/>
    <cellStyle name="Обычный 10 7 5 2 2 5 3" xfId="9172"/>
    <cellStyle name="Обычный 10 7 5 2 2 6" xfId="9173"/>
    <cellStyle name="Обычный 10 7 5 2 2 6 2" xfId="9174"/>
    <cellStyle name="Обычный 10 7 5 2 2 7" xfId="9175"/>
    <cellStyle name="Обычный 10 7 5 2 2 8" xfId="9176"/>
    <cellStyle name="Обычный 10 7 5 2 3" xfId="9177"/>
    <cellStyle name="Обычный 10 7 5 2 3 2" xfId="9178"/>
    <cellStyle name="Обычный 10 7 5 2 3 2 2" xfId="9179"/>
    <cellStyle name="Обычный 10 7 5 2 3 2 2 2" xfId="9180"/>
    <cellStyle name="Обычный 10 7 5 2 3 2 2 3" xfId="9181"/>
    <cellStyle name="Обычный 10 7 5 2 3 2 3" xfId="9182"/>
    <cellStyle name="Обычный 10 7 5 2 3 2 3 2" xfId="9183"/>
    <cellStyle name="Обычный 10 7 5 2 3 2 3 3" xfId="9184"/>
    <cellStyle name="Обычный 10 7 5 2 3 2 4" xfId="9185"/>
    <cellStyle name="Обычный 10 7 5 2 3 2 4 2" xfId="9186"/>
    <cellStyle name="Обычный 10 7 5 2 3 2 5" xfId="9187"/>
    <cellStyle name="Обычный 10 7 5 2 3 2 6" xfId="9188"/>
    <cellStyle name="Обычный 10 7 5 2 3 3" xfId="9189"/>
    <cellStyle name="Обычный 10 7 5 2 3 3 2" xfId="9190"/>
    <cellStyle name="Обычный 10 7 5 2 3 3 3" xfId="9191"/>
    <cellStyle name="Обычный 10 7 5 2 3 4" xfId="9192"/>
    <cellStyle name="Обычный 10 7 5 2 3 4 2" xfId="9193"/>
    <cellStyle name="Обычный 10 7 5 2 3 4 3" xfId="9194"/>
    <cellStyle name="Обычный 10 7 5 2 3 5" xfId="9195"/>
    <cellStyle name="Обычный 10 7 5 2 3 5 2" xfId="9196"/>
    <cellStyle name="Обычный 10 7 5 2 3 6" xfId="9197"/>
    <cellStyle name="Обычный 10 7 5 2 3 7" xfId="9198"/>
    <cellStyle name="Обычный 10 7 5 2 4" xfId="9199"/>
    <cellStyle name="Обычный 10 7 5 2 4 2" xfId="9200"/>
    <cellStyle name="Обычный 10 7 5 2 4 2 2" xfId="9201"/>
    <cellStyle name="Обычный 10 7 5 2 4 2 3" xfId="9202"/>
    <cellStyle name="Обычный 10 7 5 2 4 3" xfId="9203"/>
    <cellStyle name="Обычный 10 7 5 2 4 3 2" xfId="9204"/>
    <cellStyle name="Обычный 10 7 5 2 4 3 3" xfId="9205"/>
    <cellStyle name="Обычный 10 7 5 2 4 4" xfId="9206"/>
    <cellStyle name="Обычный 10 7 5 2 4 4 2" xfId="9207"/>
    <cellStyle name="Обычный 10 7 5 2 4 5" xfId="9208"/>
    <cellStyle name="Обычный 10 7 5 2 4 6" xfId="9209"/>
    <cellStyle name="Обычный 10 7 5 2 5" xfId="9210"/>
    <cellStyle name="Обычный 10 7 5 2 5 2" xfId="9211"/>
    <cellStyle name="Обычный 10 7 5 2 5 3" xfId="9212"/>
    <cellStyle name="Обычный 10 7 5 2 6" xfId="9213"/>
    <cellStyle name="Обычный 10 7 5 2 6 2" xfId="9214"/>
    <cellStyle name="Обычный 10 7 5 2 6 3" xfId="9215"/>
    <cellStyle name="Обычный 10 7 5 2 7" xfId="9216"/>
    <cellStyle name="Обычный 10 7 5 2 7 2" xfId="9217"/>
    <cellStyle name="Обычный 10 7 5 2 8" xfId="9218"/>
    <cellStyle name="Обычный 10 7 5 2 9" xfId="9219"/>
    <cellStyle name="Обычный 10 7 5 3" xfId="9220"/>
    <cellStyle name="Обычный 10 7 5 3 2" xfId="9221"/>
    <cellStyle name="Обычный 10 7 5 3 2 2" xfId="9222"/>
    <cellStyle name="Обычный 10 7 5 3 2 2 2" xfId="9223"/>
    <cellStyle name="Обычный 10 7 5 3 2 2 2 2" xfId="9224"/>
    <cellStyle name="Обычный 10 7 5 3 2 2 2 3" xfId="9225"/>
    <cellStyle name="Обычный 10 7 5 3 2 2 3" xfId="9226"/>
    <cellStyle name="Обычный 10 7 5 3 2 2 3 2" xfId="9227"/>
    <cellStyle name="Обычный 10 7 5 3 2 2 3 3" xfId="9228"/>
    <cellStyle name="Обычный 10 7 5 3 2 2 4" xfId="9229"/>
    <cellStyle name="Обычный 10 7 5 3 2 2 4 2" xfId="9230"/>
    <cellStyle name="Обычный 10 7 5 3 2 2 5" xfId="9231"/>
    <cellStyle name="Обычный 10 7 5 3 2 2 6" xfId="9232"/>
    <cellStyle name="Обычный 10 7 5 3 2 3" xfId="9233"/>
    <cellStyle name="Обычный 10 7 5 3 2 3 2" xfId="9234"/>
    <cellStyle name="Обычный 10 7 5 3 2 3 3" xfId="9235"/>
    <cellStyle name="Обычный 10 7 5 3 2 4" xfId="9236"/>
    <cellStyle name="Обычный 10 7 5 3 2 4 2" xfId="9237"/>
    <cellStyle name="Обычный 10 7 5 3 2 4 3" xfId="9238"/>
    <cellStyle name="Обычный 10 7 5 3 2 5" xfId="9239"/>
    <cellStyle name="Обычный 10 7 5 3 2 5 2" xfId="9240"/>
    <cellStyle name="Обычный 10 7 5 3 2 6" xfId="9241"/>
    <cellStyle name="Обычный 10 7 5 3 2 7" xfId="9242"/>
    <cellStyle name="Обычный 10 7 5 3 3" xfId="9243"/>
    <cellStyle name="Обычный 10 7 5 3 3 2" xfId="9244"/>
    <cellStyle name="Обычный 10 7 5 3 3 2 2" xfId="9245"/>
    <cellStyle name="Обычный 10 7 5 3 3 2 3" xfId="9246"/>
    <cellStyle name="Обычный 10 7 5 3 3 3" xfId="9247"/>
    <cellStyle name="Обычный 10 7 5 3 3 3 2" xfId="9248"/>
    <cellStyle name="Обычный 10 7 5 3 3 3 3" xfId="9249"/>
    <cellStyle name="Обычный 10 7 5 3 3 4" xfId="9250"/>
    <cellStyle name="Обычный 10 7 5 3 3 4 2" xfId="9251"/>
    <cellStyle name="Обычный 10 7 5 3 3 5" xfId="9252"/>
    <cellStyle name="Обычный 10 7 5 3 3 6" xfId="9253"/>
    <cellStyle name="Обычный 10 7 5 3 4" xfId="9254"/>
    <cellStyle name="Обычный 10 7 5 3 4 2" xfId="9255"/>
    <cellStyle name="Обычный 10 7 5 3 4 3" xfId="9256"/>
    <cellStyle name="Обычный 10 7 5 3 5" xfId="9257"/>
    <cellStyle name="Обычный 10 7 5 3 5 2" xfId="9258"/>
    <cellStyle name="Обычный 10 7 5 3 5 3" xfId="9259"/>
    <cellStyle name="Обычный 10 7 5 3 6" xfId="9260"/>
    <cellStyle name="Обычный 10 7 5 3 6 2" xfId="9261"/>
    <cellStyle name="Обычный 10 7 5 3 7" xfId="9262"/>
    <cellStyle name="Обычный 10 7 5 3 8" xfId="9263"/>
    <cellStyle name="Обычный 10 7 5 4" xfId="9264"/>
    <cellStyle name="Обычный 10 7 5 4 2" xfId="9265"/>
    <cellStyle name="Обычный 10 7 5 4 2 2" xfId="9266"/>
    <cellStyle name="Обычный 10 7 5 4 2 2 2" xfId="9267"/>
    <cellStyle name="Обычный 10 7 5 4 2 2 3" xfId="9268"/>
    <cellStyle name="Обычный 10 7 5 4 2 3" xfId="9269"/>
    <cellStyle name="Обычный 10 7 5 4 2 3 2" xfId="9270"/>
    <cellStyle name="Обычный 10 7 5 4 2 3 3" xfId="9271"/>
    <cellStyle name="Обычный 10 7 5 4 2 4" xfId="9272"/>
    <cellStyle name="Обычный 10 7 5 4 2 4 2" xfId="9273"/>
    <cellStyle name="Обычный 10 7 5 4 2 5" xfId="9274"/>
    <cellStyle name="Обычный 10 7 5 4 2 6" xfId="9275"/>
    <cellStyle name="Обычный 10 7 5 4 3" xfId="9276"/>
    <cellStyle name="Обычный 10 7 5 4 3 2" xfId="9277"/>
    <cellStyle name="Обычный 10 7 5 4 3 3" xfId="9278"/>
    <cellStyle name="Обычный 10 7 5 4 4" xfId="9279"/>
    <cellStyle name="Обычный 10 7 5 4 4 2" xfId="9280"/>
    <cellStyle name="Обычный 10 7 5 4 4 3" xfId="9281"/>
    <cellStyle name="Обычный 10 7 5 4 5" xfId="9282"/>
    <cellStyle name="Обычный 10 7 5 4 5 2" xfId="9283"/>
    <cellStyle name="Обычный 10 7 5 4 6" xfId="9284"/>
    <cellStyle name="Обычный 10 7 5 4 7" xfId="9285"/>
    <cellStyle name="Обычный 10 7 5 5" xfId="9286"/>
    <cellStyle name="Обычный 10 7 5 5 2" xfId="9287"/>
    <cellStyle name="Обычный 10 7 5 5 2 2" xfId="9288"/>
    <cellStyle name="Обычный 10 7 5 5 2 3" xfId="9289"/>
    <cellStyle name="Обычный 10 7 5 5 3" xfId="9290"/>
    <cellStyle name="Обычный 10 7 5 5 3 2" xfId="9291"/>
    <cellStyle name="Обычный 10 7 5 5 3 3" xfId="9292"/>
    <cellStyle name="Обычный 10 7 5 5 4" xfId="9293"/>
    <cellStyle name="Обычный 10 7 5 5 4 2" xfId="9294"/>
    <cellStyle name="Обычный 10 7 5 5 5" xfId="9295"/>
    <cellStyle name="Обычный 10 7 5 5 6" xfId="9296"/>
    <cellStyle name="Обычный 10 7 5 6" xfId="9297"/>
    <cellStyle name="Обычный 10 7 5 6 2" xfId="9298"/>
    <cellStyle name="Обычный 10 7 5 6 3" xfId="9299"/>
    <cellStyle name="Обычный 10 7 5 7" xfId="9300"/>
    <cellStyle name="Обычный 10 7 5 7 2" xfId="9301"/>
    <cellStyle name="Обычный 10 7 5 7 3" xfId="9302"/>
    <cellStyle name="Обычный 10 7 5 8" xfId="9303"/>
    <cellStyle name="Обычный 10 7 5 8 2" xfId="9304"/>
    <cellStyle name="Обычный 10 7 5 9" xfId="9305"/>
    <cellStyle name="Обычный 10 7 6" xfId="9306"/>
    <cellStyle name="Обычный 10 7 6 2" xfId="9307"/>
    <cellStyle name="Обычный 10 7 6 2 2" xfId="9308"/>
    <cellStyle name="Обычный 10 7 6 2 2 2" xfId="9309"/>
    <cellStyle name="Обычный 10 7 6 2 2 2 2" xfId="9310"/>
    <cellStyle name="Обычный 10 7 6 2 2 2 2 2" xfId="9311"/>
    <cellStyle name="Обычный 10 7 6 2 2 2 2 3" xfId="9312"/>
    <cellStyle name="Обычный 10 7 6 2 2 2 3" xfId="9313"/>
    <cellStyle name="Обычный 10 7 6 2 2 2 3 2" xfId="9314"/>
    <cellStyle name="Обычный 10 7 6 2 2 2 3 3" xfId="9315"/>
    <cellStyle name="Обычный 10 7 6 2 2 2 4" xfId="9316"/>
    <cellStyle name="Обычный 10 7 6 2 2 2 4 2" xfId="9317"/>
    <cellStyle name="Обычный 10 7 6 2 2 2 5" xfId="9318"/>
    <cellStyle name="Обычный 10 7 6 2 2 2 6" xfId="9319"/>
    <cellStyle name="Обычный 10 7 6 2 2 3" xfId="9320"/>
    <cellStyle name="Обычный 10 7 6 2 2 3 2" xfId="9321"/>
    <cellStyle name="Обычный 10 7 6 2 2 3 3" xfId="9322"/>
    <cellStyle name="Обычный 10 7 6 2 2 4" xfId="9323"/>
    <cellStyle name="Обычный 10 7 6 2 2 4 2" xfId="9324"/>
    <cellStyle name="Обычный 10 7 6 2 2 4 3" xfId="9325"/>
    <cellStyle name="Обычный 10 7 6 2 2 5" xfId="9326"/>
    <cellStyle name="Обычный 10 7 6 2 2 5 2" xfId="9327"/>
    <cellStyle name="Обычный 10 7 6 2 2 6" xfId="9328"/>
    <cellStyle name="Обычный 10 7 6 2 2 7" xfId="9329"/>
    <cellStyle name="Обычный 10 7 6 2 3" xfId="9330"/>
    <cellStyle name="Обычный 10 7 6 2 3 2" xfId="9331"/>
    <cellStyle name="Обычный 10 7 6 2 3 2 2" xfId="9332"/>
    <cellStyle name="Обычный 10 7 6 2 3 2 3" xfId="9333"/>
    <cellStyle name="Обычный 10 7 6 2 3 3" xfId="9334"/>
    <cellStyle name="Обычный 10 7 6 2 3 3 2" xfId="9335"/>
    <cellStyle name="Обычный 10 7 6 2 3 3 3" xfId="9336"/>
    <cellStyle name="Обычный 10 7 6 2 3 4" xfId="9337"/>
    <cellStyle name="Обычный 10 7 6 2 3 4 2" xfId="9338"/>
    <cellStyle name="Обычный 10 7 6 2 3 5" xfId="9339"/>
    <cellStyle name="Обычный 10 7 6 2 3 6" xfId="9340"/>
    <cellStyle name="Обычный 10 7 6 2 4" xfId="9341"/>
    <cellStyle name="Обычный 10 7 6 2 4 2" xfId="9342"/>
    <cellStyle name="Обычный 10 7 6 2 4 3" xfId="9343"/>
    <cellStyle name="Обычный 10 7 6 2 5" xfId="9344"/>
    <cellStyle name="Обычный 10 7 6 2 5 2" xfId="9345"/>
    <cellStyle name="Обычный 10 7 6 2 5 3" xfId="9346"/>
    <cellStyle name="Обычный 10 7 6 2 6" xfId="9347"/>
    <cellStyle name="Обычный 10 7 6 2 6 2" xfId="9348"/>
    <cellStyle name="Обычный 10 7 6 2 7" xfId="9349"/>
    <cellStyle name="Обычный 10 7 6 2 8" xfId="9350"/>
    <cellStyle name="Обычный 10 7 6 3" xfId="9351"/>
    <cellStyle name="Обычный 10 7 6 3 2" xfId="9352"/>
    <cellStyle name="Обычный 10 7 6 3 2 2" xfId="9353"/>
    <cellStyle name="Обычный 10 7 6 3 2 2 2" xfId="9354"/>
    <cellStyle name="Обычный 10 7 6 3 2 2 3" xfId="9355"/>
    <cellStyle name="Обычный 10 7 6 3 2 3" xfId="9356"/>
    <cellStyle name="Обычный 10 7 6 3 2 3 2" xfId="9357"/>
    <cellStyle name="Обычный 10 7 6 3 2 3 3" xfId="9358"/>
    <cellStyle name="Обычный 10 7 6 3 2 4" xfId="9359"/>
    <cellStyle name="Обычный 10 7 6 3 2 4 2" xfId="9360"/>
    <cellStyle name="Обычный 10 7 6 3 2 5" xfId="9361"/>
    <cellStyle name="Обычный 10 7 6 3 2 6" xfId="9362"/>
    <cellStyle name="Обычный 10 7 6 3 3" xfId="9363"/>
    <cellStyle name="Обычный 10 7 6 3 3 2" xfId="9364"/>
    <cellStyle name="Обычный 10 7 6 3 3 3" xfId="9365"/>
    <cellStyle name="Обычный 10 7 6 3 4" xfId="9366"/>
    <cellStyle name="Обычный 10 7 6 3 4 2" xfId="9367"/>
    <cellStyle name="Обычный 10 7 6 3 4 3" xfId="9368"/>
    <cellStyle name="Обычный 10 7 6 3 5" xfId="9369"/>
    <cellStyle name="Обычный 10 7 6 3 5 2" xfId="9370"/>
    <cellStyle name="Обычный 10 7 6 3 6" xfId="9371"/>
    <cellStyle name="Обычный 10 7 6 3 7" xfId="9372"/>
    <cellStyle name="Обычный 10 7 6 4" xfId="9373"/>
    <cellStyle name="Обычный 10 7 6 4 2" xfId="9374"/>
    <cellStyle name="Обычный 10 7 6 4 2 2" xfId="9375"/>
    <cellStyle name="Обычный 10 7 6 4 2 3" xfId="9376"/>
    <cellStyle name="Обычный 10 7 6 4 3" xfId="9377"/>
    <cellStyle name="Обычный 10 7 6 4 3 2" xfId="9378"/>
    <cellStyle name="Обычный 10 7 6 4 3 3" xfId="9379"/>
    <cellStyle name="Обычный 10 7 6 4 4" xfId="9380"/>
    <cellStyle name="Обычный 10 7 6 4 4 2" xfId="9381"/>
    <cellStyle name="Обычный 10 7 6 4 5" xfId="9382"/>
    <cellStyle name="Обычный 10 7 6 4 6" xfId="9383"/>
    <cellStyle name="Обычный 10 7 6 5" xfId="9384"/>
    <cellStyle name="Обычный 10 7 6 5 2" xfId="9385"/>
    <cellStyle name="Обычный 10 7 6 5 3" xfId="9386"/>
    <cellStyle name="Обычный 10 7 6 6" xfId="9387"/>
    <cellStyle name="Обычный 10 7 6 6 2" xfId="9388"/>
    <cellStyle name="Обычный 10 7 6 6 3" xfId="9389"/>
    <cellStyle name="Обычный 10 7 6 7" xfId="9390"/>
    <cellStyle name="Обычный 10 7 6 7 2" xfId="9391"/>
    <cellStyle name="Обычный 10 7 6 8" xfId="9392"/>
    <cellStyle name="Обычный 10 7 6 9" xfId="9393"/>
    <cellStyle name="Обычный 10 7 7" xfId="9394"/>
    <cellStyle name="Обычный 10 7 7 2" xfId="9395"/>
    <cellStyle name="Обычный 10 7 7 2 2" xfId="9396"/>
    <cellStyle name="Обычный 10 7 7 2 2 2" xfId="9397"/>
    <cellStyle name="Обычный 10 7 7 2 2 2 2" xfId="9398"/>
    <cellStyle name="Обычный 10 7 7 2 2 2 3" xfId="9399"/>
    <cellStyle name="Обычный 10 7 7 2 2 3" xfId="9400"/>
    <cellStyle name="Обычный 10 7 7 2 2 3 2" xfId="9401"/>
    <cellStyle name="Обычный 10 7 7 2 2 3 3" xfId="9402"/>
    <cellStyle name="Обычный 10 7 7 2 2 4" xfId="9403"/>
    <cellStyle name="Обычный 10 7 7 2 2 4 2" xfId="9404"/>
    <cellStyle name="Обычный 10 7 7 2 2 5" xfId="9405"/>
    <cellStyle name="Обычный 10 7 7 2 2 6" xfId="9406"/>
    <cellStyle name="Обычный 10 7 7 2 3" xfId="9407"/>
    <cellStyle name="Обычный 10 7 7 2 3 2" xfId="9408"/>
    <cellStyle name="Обычный 10 7 7 2 3 3" xfId="9409"/>
    <cellStyle name="Обычный 10 7 7 2 4" xfId="9410"/>
    <cellStyle name="Обычный 10 7 7 2 4 2" xfId="9411"/>
    <cellStyle name="Обычный 10 7 7 2 4 3" xfId="9412"/>
    <cellStyle name="Обычный 10 7 7 2 5" xfId="9413"/>
    <cellStyle name="Обычный 10 7 7 2 5 2" xfId="9414"/>
    <cellStyle name="Обычный 10 7 7 2 6" xfId="9415"/>
    <cellStyle name="Обычный 10 7 7 2 7" xfId="9416"/>
    <cellStyle name="Обычный 10 7 7 3" xfId="9417"/>
    <cellStyle name="Обычный 10 7 7 3 2" xfId="9418"/>
    <cellStyle name="Обычный 10 7 7 3 2 2" xfId="9419"/>
    <cellStyle name="Обычный 10 7 7 3 2 3" xfId="9420"/>
    <cellStyle name="Обычный 10 7 7 3 3" xfId="9421"/>
    <cellStyle name="Обычный 10 7 7 3 3 2" xfId="9422"/>
    <cellStyle name="Обычный 10 7 7 3 3 3" xfId="9423"/>
    <cellStyle name="Обычный 10 7 7 3 4" xfId="9424"/>
    <cellStyle name="Обычный 10 7 7 3 4 2" xfId="9425"/>
    <cellStyle name="Обычный 10 7 7 3 5" xfId="9426"/>
    <cellStyle name="Обычный 10 7 7 3 6" xfId="9427"/>
    <cellStyle name="Обычный 10 7 7 4" xfId="9428"/>
    <cellStyle name="Обычный 10 7 7 4 2" xfId="9429"/>
    <cellStyle name="Обычный 10 7 7 4 3" xfId="9430"/>
    <cellStyle name="Обычный 10 7 7 5" xfId="9431"/>
    <cellStyle name="Обычный 10 7 7 5 2" xfId="9432"/>
    <cellStyle name="Обычный 10 7 7 5 3" xfId="9433"/>
    <cellStyle name="Обычный 10 7 7 6" xfId="9434"/>
    <cellStyle name="Обычный 10 7 7 6 2" xfId="9435"/>
    <cellStyle name="Обычный 10 7 7 7" xfId="9436"/>
    <cellStyle name="Обычный 10 7 7 8" xfId="9437"/>
    <cellStyle name="Обычный 10 7 8" xfId="9438"/>
    <cellStyle name="Обычный 10 7 8 2" xfId="9439"/>
    <cellStyle name="Обычный 10 7 8 2 2" xfId="9440"/>
    <cellStyle name="Обычный 10 7 8 2 2 2" xfId="9441"/>
    <cellStyle name="Обычный 10 7 8 2 2 3" xfId="9442"/>
    <cellStyle name="Обычный 10 7 8 2 3" xfId="9443"/>
    <cellStyle name="Обычный 10 7 8 2 3 2" xfId="9444"/>
    <cellStyle name="Обычный 10 7 8 2 3 3" xfId="9445"/>
    <cellStyle name="Обычный 10 7 8 2 4" xfId="9446"/>
    <cellStyle name="Обычный 10 7 8 2 4 2" xfId="9447"/>
    <cellStyle name="Обычный 10 7 8 2 5" xfId="9448"/>
    <cellStyle name="Обычный 10 7 8 2 6" xfId="9449"/>
    <cellStyle name="Обычный 10 7 8 3" xfId="9450"/>
    <cellStyle name="Обычный 10 7 8 3 2" xfId="9451"/>
    <cellStyle name="Обычный 10 7 8 3 3" xfId="9452"/>
    <cellStyle name="Обычный 10 7 8 4" xfId="9453"/>
    <cellStyle name="Обычный 10 7 8 4 2" xfId="9454"/>
    <cellStyle name="Обычный 10 7 8 4 3" xfId="9455"/>
    <cellStyle name="Обычный 10 7 8 5" xfId="9456"/>
    <cellStyle name="Обычный 10 7 8 5 2" xfId="9457"/>
    <cellStyle name="Обычный 10 7 8 6" xfId="9458"/>
    <cellStyle name="Обычный 10 7 8 7" xfId="9459"/>
    <cellStyle name="Обычный 10 7 9" xfId="9460"/>
    <cellStyle name="Обычный 10 7 9 2" xfId="9461"/>
    <cellStyle name="Обычный 10 7 9 2 2" xfId="9462"/>
    <cellStyle name="Обычный 10 7 9 2 3" xfId="9463"/>
    <cellStyle name="Обычный 10 7 9 3" xfId="9464"/>
    <cellStyle name="Обычный 10 7 9 3 2" xfId="9465"/>
    <cellStyle name="Обычный 10 7 9 3 3" xfId="9466"/>
    <cellStyle name="Обычный 10 7 9 4" xfId="9467"/>
    <cellStyle name="Обычный 10 7 9 4 2" xfId="9468"/>
    <cellStyle name="Обычный 10 7 9 5" xfId="9469"/>
    <cellStyle name="Обычный 10 7 9 6" xfId="9470"/>
    <cellStyle name="Обычный 10 8" xfId="9471"/>
    <cellStyle name="Обычный 10 8 10" xfId="9472"/>
    <cellStyle name="Обычный 10 8 10 2" xfId="9473"/>
    <cellStyle name="Обычный 10 8 10 3" xfId="9474"/>
    <cellStyle name="Обычный 10 8 11" xfId="9475"/>
    <cellStyle name="Обычный 10 8 11 2" xfId="9476"/>
    <cellStyle name="Обычный 10 8 11 3" xfId="9477"/>
    <cellStyle name="Обычный 10 8 12" xfId="9478"/>
    <cellStyle name="Обычный 10 8 12 2" xfId="9479"/>
    <cellStyle name="Обычный 10 8 13" xfId="9480"/>
    <cellStyle name="Обычный 10 8 14" xfId="9481"/>
    <cellStyle name="Обычный 10 8 2" xfId="9482"/>
    <cellStyle name="Обычный 10 8 2 10" xfId="9483"/>
    <cellStyle name="Обычный 10 8 2 10 2" xfId="9484"/>
    <cellStyle name="Обычный 10 8 2 10 3" xfId="9485"/>
    <cellStyle name="Обычный 10 8 2 11" xfId="9486"/>
    <cellStyle name="Обычный 10 8 2 11 2" xfId="9487"/>
    <cellStyle name="Обычный 10 8 2 12" xfId="9488"/>
    <cellStyle name="Обычный 10 8 2 13" xfId="9489"/>
    <cellStyle name="Обычный 10 8 2 2" xfId="9490"/>
    <cellStyle name="Обычный 10 8 2 2 10" xfId="9491"/>
    <cellStyle name="Обычный 10 8 2 2 2" xfId="9492"/>
    <cellStyle name="Обычный 10 8 2 2 2 2" xfId="9493"/>
    <cellStyle name="Обычный 10 8 2 2 2 2 2" xfId="9494"/>
    <cellStyle name="Обычный 10 8 2 2 2 2 2 2" xfId="9495"/>
    <cellStyle name="Обычный 10 8 2 2 2 2 2 2 2" xfId="9496"/>
    <cellStyle name="Обычный 10 8 2 2 2 2 2 2 2 2" xfId="9497"/>
    <cellStyle name="Обычный 10 8 2 2 2 2 2 2 2 3" xfId="9498"/>
    <cellStyle name="Обычный 10 8 2 2 2 2 2 2 3" xfId="9499"/>
    <cellStyle name="Обычный 10 8 2 2 2 2 2 2 3 2" xfId="9500"/>
    <cellStyle name="Обычный 10 8 2 2 2 2 2 2 3 3" xfId="9501"/>
    <cellStyle name="Обычный 10 8 2 2 2 2 2 2 4" xfId="9502"/>
    <cellStyle name="Обычный 10 8 2 2 2 2 2 2 4 2" xfId="9503"/>
    <cellStyle name="Обычный 10 8 2 2 2 2 2 2 5" xfId="9504"/>
    <cellStyle name="Обычный 10 8 2 2 2 2 2 2 6" xfId="9505"/>
    <cellStyle name="Обычный 10 8 2 2 2 2 2 3" xfId="9506"/>
    <cellStyle name="Обычный 10 8 2 2 2 2 2 3 2" xfId="9507"/>
    <cellStyle name="Обычный 10 8 2 2 2 2 2 3 3" xfId="9508"/>
    <cellStyle name="Обычный 10 8 2 2 2 2 2 4" xfId="9509"/>
    <cellStyle name="Обычный 10 8 2 2 2 2 2 4 2" xfId="9510"/>
    <cellStyle name="Обычный 10 8 2 2 2 2 2 4 3" xfId="9511"/>
    <cellStyle name="Обычный 10 8 2 2 2 2 2 5" xfId="9512"/>
    <cellStyle name="Обычный 10 8 2 2 2 2 2 5 2" xfId="9513"/>
    <cellStyle name="Обычный 10 8 2 2 2 2 2 6" xfId="9514"/>
    <cellStyle name="Обычный 10 8 2 2 2 2 2 7" xfId="9515"/>
    <cellStyle name="Обычный 10 8 2 2 2 2 3" xfId="9516"/>
    <cellStyle name="Обычный 10 8 2 2 2 2 3 2" xfId="9517"/>
    <cellStyle name="Обычный 10 8 2 2 2 2 3 2 2" xfId="9518"/>
    <cellStyle name="Обычный 10 8 2 2 2 2 3 2 3" xfId="9519"/>
    <cellStyle name="Обычный 10 8 2 2 2 2 3 3" xfId="9520"/>
    <cellStyle name="Обычный 10 8 2 2 2 2 3 3 2" xfId="9521"/>
    <cellStyle name="Обычный 10 8 2 2 2 2 3 3 3" xfId="9522"/>
    <cellStyle name="Обычный 10 8 2 2 2 2 3 4" xfId="9523"/>
    <cellStyle name="Обычный 10 8 2 2 2 2 3 4 2" xfId="9524"/>
    <cellStyle name="Обычный 10 8 2 2 2 2 3 5" xfId="9525"/>
    <cellStyle name="Обычный 10 8 2 2 2 2 3 6" xfId="9526"/>
    <cellStyle name="Обычный 10 8 2 2 2 2 4" xfId="9527"/>
    <cellStyle name="Обычный 10 8 2 2 2 2 4 2" xfId="9528"/>
    <cellStyle name="Обычный 10 8 2 2 2 2 4 3" xfId="9529"/>
    <cellStyle name="Обычный 10 8 2 2 2 2 5" xfId="9530"/>
    <cellStyle name="Обычный 10 8 2 2 2 2 5 2" xfId="9531"/>
    <cellStyle name="Обычный 10 8 2 2 2 2 5 3" xfId="9532"/>
    <cellStyle name="Обычный 10 8 2 2 2 2 6" xfId="9533"/>
    <cellStyle name="Обычный 10 8 2 2 2 2 6 2" xfId="9534"/>
    <cellStyle name="Обычный 10 8 2 2 2 2 7" xfId="9535"/>
    <cellStyle name="Обычный 10 8 2 2 2 2 8" xfId="9536"/>
    <cellStyle name="Обычный 10 8 2 2 2 3" xfId="9537"/>
    <cellStyle name="Обычный 10 8 2 2 2 3 2" xfId="9538"/>
    <cellStyle name="Обычный 10 8 2 2 2 3 2 2" xfId="9539"/>
    <cellStyle name="Обычный 10 8 2 2 2 3 2 2 2" xfId="9540"/>
    <cellStyle name="Обычный 10 8 2 2 2 3 2 2 3" xfId="9541"/>
    <cellStyle name="Обычный 10 8 2 2 2 3 2 3" xfId="9542"/>
    <cellStyle name="Обычный 10 8 2 2 2 3 2 3 2" xfId="9543"/>
    <cellStyle name="Обычный 10 8 2 2 2 3 2 3 3" xfId="9544"/>
    <cellStyle name="Обычный 10 8 2 2 2 3 2 4" xfId="9545"/>
    <cellStyle name="Обычный 10 8 2 2 2 3 2 4 2" xfId="9546"/>
    <cellStyle name="Обычный 10 8 2 2 2 3 2 5" xfId="9547"/>
    <cellStyle name="Обычный 10 8 2 2 2 3 2 6" xfId="9548"/>
    <cellStyle name="Обычный 10 8 2 2 2 3 3" xfId="9549"/>
    <cellStyle name="Обычный 10 8 2 2 2 3 3 2" xfId="9550"/>
    <cellStyle name="Обычный 10 8 2 2 2 3 3 3" xfId="9551"/>
    <cellStyle name="Обычный 10 8 2 2 2 3 4" xfId="9552"/>
    <cellStyle name="Обычный 10 8 2 2 2 3 4 2" xfId="9553"/>
    <cellStyle name="Обычный 10 8 2 2 2 3 4 3" xfId="9554"/>
    <cellStyle name="Обычный 10 8 2 2 2 3 5" xfId="9555"/>
    <cellStyle name="Обычный 10 8 2 2 2 3 5 2" xfId="9556"/>
    <cellStyle name="Обычный 10 8 2 2 2 3 6" xfId="9557"/>
    <cellStyle name="Обычный 10 8 2 2 2 3 7" xfId="9558"/>
    <cellStyle name="Обычный 10 8 2 2 2 4" xfId="9559"/>
    <cellStyle name="Обычный 10 8 2 2 2 4 2" xfId="9560"/>
    <cellStyle name="Обычный 10 8 2 2 2 4 2 2" xfId="9561"/>
    <cellStyle name="Обычный 10 8 2 2 2 4 2 3" xfId="9562"/>
    <cellStyle name="Обычный 10 8 2 2 2 4 3" xfId="9563"/>
    <cellStyle name="Обычный 10 8 2 2 2 4 3 2" xfId="9564"/>
    <cellStyle name="Обычный 10 8 2 2 2 4 3 3" xfId="9565"/>
    <cellStyle name="Обычный 10 8 2 2 2 4 4" xfId="9566"/>
    <cellStyle name="Обычный 10 8 2 2 2 4 4 2" xfId="9567"/>
    <cellStyle name="Обычный 10 8 2 2 2 4 5" xfId="9568"/>
    <cellStyle name="Обычный 10 8 2 2 2 4 6" xfId="9569"/>
    <cellStyle name="Обычный 10 8 2 2 2 5" xfId="9570"/>
    <cellStyle name="Обычный 10 8 2 2 2 5 2" xfId="9571"/>
    <cellStyle name="Обычный 10 8 2 2 2 5 3" xfId="9572"/>
    <cellStyle name="Обычный 10 8 2 2 2 6" xfId="9573"/>
    <cellStyle name="Обычный 10 8 2 2 2 6 2" xfId="9574"/>
    <cellStyle name="Обычный 10 8 2 2 2 6 3" xfId="9575"/>
    <cellStyle name="Обычный 10 8 2 2 2 7" xfId="9576"/>
    <cellStyle name="Обычный 10 8 2 2 2 7 2" xfId="9577"/>
    <cellStyle name="Обычный 10 8 2 2 2 8" xfId="9578"/>
    <cellStyle name="Обычный 10 8 2 2 2 9" xfId="9579"/>
    <cellStyle name="Обычный 10 8 2 2 3" xfId="9580"/>
    <cellStyle name="Обычный 10 8 2 2 3 2" xfId="9581"/>
    <cellStyle name="Обычный 10 8 2 2 3 2 2" xfId="9582"/>
    <cellStyle name="Обычный 10 8 2 2 3 2 2 2" xfId="9583"/>
    <cellStyle name="Обычный 10 8 2 2 3 2 2 2 2" xfId="9584"/>
    <cellStyle name="Обычный 10 8 2 2 3 2 2 2 3" xfId="9585"/>
    <cellStyle name="Обычный 10 8 2 2 3 2 2 3" xfId="9586"/>
    <cellStyle name="Обычный 10 8 2 2 3 2 2 3 2" xfId="9587"/>
    <cellStyle name="Обычный 10 8 2 2 3 2 2 3 3" xfId="9588"/>
    <cellStyle name="Обычный 10 8 2 2 3 2 2 4" xfId="9589"/>
    <cellStyle name="Обычный 10 8 2 2 3 2 2 4 2" xfId="9590"/>
    <cellStyle name="Обычный 10 8 2 2 3 2 2 5" xfId="9591"/>
    <cellStyle name="Обычный 10 8 2 2 3 2 2 6" xfId="9592"/>
    <cellStyle name="Обычный 10 8 2 2 3 2 3" xfId="9593"/>
    <cellStyle name="Обычный 10 8 2 2 3 2 3 2" xfId="9594"/>
    <cellStyle name="Обычный 10 8 2 2 3 2 3 3" xfId="9595"/>
    <cellStyle name="Обычный 10 8 2 2 3 2 4" xfId="9596"/>
    <cellStyle name="Обычный 10 8 2 2 3 2 4 2" xfId="9597"/>
    <cellStyle name="Обычный 10 8 2 2 3 2 4 3" xfId="9598"/>
    <cellStyle name="Обычный 10 8 2 2 3 2 5" xfId="9599"/>
    <cellStyle name="Обычный 10 8 2 2 3 2 5 2" xfId="9600"/>
    <cellStyle name="Обычный 10 8 2 2 3 2 6" xfId="9601"/>
    <cellStyle name="Обычный 10 8 2 2 3 2 7" xfId="9602"/>
    <cellStyle name="Обычный 10 8 2 2 3 3" xfId="9603"/>
    <cellStyle name="Обычный 10 8 2 2 3 3 2" xfId="9604"/>
    <cellStyle name="Обычный 10 8 2 2 3 3 2 2" xfId="9605"/>
    <cellStyle name="Обычный 10 8 2 2 3 3 2 3" xfId="9606"/>
    <cellStyle name="Обычный 10 8 2 2 3 3 3" xfId="9607"/>
    <cellStyle name="Обычный 10 8 2 2 3 3 3 2" xfId="9608"/>
    <cellStyle name="Обычный 10 8 2 2 3 3 3 3" xfId="9609"/>
    <cellStyle name="Обычный 10 8 2 2 3 3 4" xfId="9610"/>
    <cellStyle name="Обычный 10 8 2 2 3 3 4 2" xfId="9611"/>
    <cellStyle name="Обычный 10 8 2 2 3 3 5" xfId="9612"/>
    <cellStyle name="Обычный 10 8 2 2 3 3 6" xfId="9613"/>
    <cellStyle name="Обычный 10 8 2 2 3 4" xfId="9614"/>
    <cellStyle name="Обычный 10 8 2 2 3 4 2" xfId="9615"/>
    <cellStyle name="Обычный 10 8 2 2 3 4 3" xfId="9616"/>
    <cellStyle name="Обычный 10 8 2 2 3 5" xfId="9617"/>
    <cellStyle name="Обычный 10 8 2 2 3 5 2" xfId="9618"/>
    <cellStyle name="Обычный 10 8 2 2 3 5 3" xfId="9619"/>
    <cellStyle name="Обычный 10 8 2 2 3 6" xfId="9620"/>
    <cellStyle name="Обычный 10 8 2 2 3 6 2" xfId="9621"/>
    <cellStyle name="Обычный 10 8 2 2 3 7" xfId="9622"/>
    <cellStyle name="Обычный 10 8 2 2 3 8" xfId="9623"/>
    <cellStyle name="Обычный 10 8 2 2 4" xfId="9624"/>
    <cellStyle name="Обычный 10 8 2 2 4 2" xfId="9625"/>
    <cellStyle name="Обычный 10 8 2 2 4 2 2" xfId="9626"/>
    <cellStyle name="Обычный 10 8 2 2 4 2 2 2" xfId="9627"/>
    <cellStyle name="Обычный 10 8 2 2 4 2 2 3" xfId="9628"/>
    <cellStyle name="Обычный 10 8 2 2 4 2 3" xfId="9629"/>
    <cellStyle name="Обычный 10 8 2 2 4 2 3 2" xfId="9630"/>
    <cellStyle name="Обычный 10 8 2 2 4 2 3 3" xfId="9631"/>
    <cellStyle name="Обычный 10 8 2 2 4 2 4" xfId="9632"/>
    <cellStyle name="Обычный 10 8 2 2 4 2 4 2" xfId="9633"/>
    <cellStyle name="Обычный 10 8 2 2 4 2 5" xfId="9634"/>
    <cellStyle name="Обычный 10 8 2 2 4 2 6" xfId="9635"/>
    <cellStyle name="Обычный 10 8 2 2 4 3" xfId="9636"/>
    <cellStyle name="Обычный 10 8 2 2 4 3 2" xfId="9637"/>
    <cellStyle name="Обычный 10 8 2 2 4 3 3" xfId="9638"/>
    <cellStyle name="Обычный 10 8 2 2 4 4" xfId="9639"/>
    <cellStyle name="Обычный 10 8 2 2 4 4 2" xfId="9640"/>
    <cellStyle name="Обычный 10 8 2 2 4 4 3" xfId="9641"/>
    <cellStyle name="Обычный 10 8 2 2 4 5" xfId="9642"/>
    <cellStyle name="Обычный 10 8 2 2 4 5 2" xfId="9643"/>
    <cellStyle name="Обычный 10 8 2 2 4 6" xfId="9644"/>
    <cellStyle name="Обычный 10 8 2 2 4 7" xfId="9645"/>
    <cellStyle name="Обычный 10 8 2 2 5" xfId="9646"/>
    <cellStyle name="Обычный 10 8 2 2 5 2" xfId="9647"/>
    <cellStyle name="Обычный 10 8 2 2 5 2 2" xfId="9648"/>
    <cellStyle name="Обычный 10 8 2 2 5 2 3" xfId="9649"/>
    <cellStyle name="Обычный 10 8 2 2 5 3" xfId="9650"/>
    <cellStyle name="Обычный 10 8 2 2 5 3 2" xfId="9651"/>
    <cellStyle name="Обычный 10 8 2 2 5 3 3" xfId="9652"/>
    <cellStyle name="Обычный 10 8 2 2 5 4" xfId="9653"/>
    <cellStyle name="Обычный 10 8 2 2 5 4 2" xfId="9654"/>
    <cellStyle name="Обычный 10 8 2 2 5 5" xfId="9655"/>
    <cellStyle name="Обычный 10 8 2 2 5 6" xfId="9656"/>
    <cellStyle name="Обычный 10 8 2 2 6" xfId="9657"/>
    <cellStyle name="Обычный 10 8 2 2 6 2" xfId="9658"/>
    <cellStyle name="Обычный 10 8 2 2 6 3" xfId="9659"/>
    <cellStyle name="Обычный 10 8 2 2 7" xfId="9660"/>
    <cellStyle name="Обычный 10 8 2 2 7 2" xfId="9661"/>
    <cellStyle name="Обычный 10 8 2 2 7 3" xfId="9662"/>
    <cellStyle name="Обычный 10 8 2 2 8" xfId="9663"/>
    <cellStyle name="Обычный 10 8 2 2 8 2" xfId="9664"/>
    <cellStyle name="Обычный 10 8 2 2 9" xfId="9665"/>
    <cellStyle name="Обычный 10 8 2 3" xfId="9666"/>
    <cellStyle name="Обычный 10 8 2 3 10" xfId="9667"/>
    <cellStyle name="Обычный 10 8 2 3 2" xfId="9668"/>
    <cellStyle name="Обычный 10 8 2 3 2 2" xfId="9669"/>
    <cellStyle name="Обычный 10 8 2 3 2 2 2" xfId="9670"/>
    <cellStyle name="Обычный 10 8 2 3 2 2 2 2" xfId="9671"/>
    <cellStyle name="Обычный 10 8 2 3 2 2 2 2 2" xfId="9672"/>
    <cellStyle name="Обычный 10 8 2 3 2 2 2 2 2 2" xfId="9673"/>
    <cellStyle name="Обычный 10 8 2 3 2 2 2 2 2 3" xfId="9674"/>
    <cellStyle name="Обычный 10 8 2 3 2 2 2 2 3" xfId="9675"/>
    <cellStyle name="Обычный 10 8 2 3 2 2 2 2 3 2" xfId="9676"/>
    <cellStyle name="Обычный 10 8 2 3 2 2 2 2 3 3" xfId="9677"/>
    <cellStyle name="Обычный 10 8 2 3 2 2 2 2 4" xfId="9678"/>
    <cellStyle name="Обычный 10 8 2 3 2 2 2 2 4 2" xfId="9679"/>
    <cellStyle name="Обычный 10 8 2 3 2 2 2 2 5" xfId="9680"/>
    <cellStyle name="Обычный 10 8 2 3 2 2 2 2 6" xfId="9681"/>
    <cellStyle name="Обычный 10 8 2 3 2 2 2 3" xfId="9682"/>
    <cellStyle name="Обычный 10 8 2 3 2 2 2 3 2" xfId="9683"/>
    <cellStyle name="Обычный 10 8 2 3 2 2 2 3 3" xfId="9684"/>
    <cellStyle name="Обычный 10 8 2 3 2 2 2 4" xfId="9685"/>
    <cellStyle name="Обычный 10 8 2 3 2 2 2 4 2" xfId="9686"/>
    <cellStyle name="Обычный 10 8 2 3 2 2 2 4 3" xfId="9687"/>
    <cellStyle name="Обычный 10 8 2 3 2 2 2 5" xfId="9688"/>
    <cellStyle name="Обычный 10 8 2 3 2 2 2 5 2" xfId="9689"/>
    <cellStyle name="Обычный 10 8 2 3 2 2 2 6" xfId="9690"/>
    <cellStyle name="Обычный 10 8 2 3 2 2 2 7" xfId="9691"/>
    <cellStyle name="Обычный 10 8 2 3 2 2 3" xfId="9692"/>
    <cellStyle name="Обычный 10 8 2 3 2 2 3 2" xfId="9693"/>
    <cellStyle name="Обычный 10 8 2 3 2 2 3 2 2" xfId="9694"/>
    <cellStyle name="Обычный 10 8 2 3 2 2 3 2 3" xfId="9695"/>
    <cellStyle name="Обычный 10 8 2 3 2 2 3 3" xfId="9696"/>
    <cellStyle name="Обычный 10 8 2 3 2 2 3 3 2" xfId="9697"/>
    <cellStyle name="Обычный 10 8 2 3 2 2 3 3 3" xfId="9698"/>
    <cellStyle name="Обычный 10 8 2 3 2 2 3 4" xfId="9699"/>
    <cellStyle name="Обычный 10 8 2 3 2 2 3 4 2" xfId="9700"/>
    <cellStyle name="Обычный 10 8 2 3 2 2 3 5" xfId="9701"/>
    <cellStyle name="Обычный 10 8 2 3 2 2 3 6" xfId="9702"/>
    <cellStyle name="Обычный 10 8 2 3 2 2 4" xfId="9703"/>
    <cellStyle name="Обычный 10 8 2 3 2 2 4 2" xfId="9704"/>
    <cellStyle name="Обычный 10 8 2 3 2 2 4 3" xfId="9705"/>
    <cellStyle name="Обычный 10 8 2 3 2 2 5" xfId="9706"/>
    <cellStyle name="Обычный 10 8 2 3 2 2 5 2" xfId="9707"/>
    <cellStyle name="Обычный 10 8 2 3 2 2 5 3" xfId="9708"/>
    <cellStyle name="Обычный 10 8 2 3 2 2 6" xfId="9709"/>
    <cellStyle name="Обычный 10 8 2 3 2 2 6 2" xfId="9710"/>
    <cellStyle name="Обычный 10 8 2 3 2 2 7" xfId="9711"/>
    <cellStyle name="Обычный 10 8 2 3 2 2 8" xfId="9712"/>
    <cellStyle name="Обычный 10 8 2 3 2 3" xfId="9713"/>
    <cellStyle name="Обычный 10 8 2 3 2 3 2" xfId="9714"/>
    <cellStyle name="Обычный 10 8 2 3 2 3 2 2" xfId="9715"/>
    <cellStyle name="Обычный 10 8 2 3 2 3 2 2 2" xfId="9716"/>
    <cellStyle name="Обычный 10 8 2 3 2 3 2 2 3" xfId="9717"/>
    <cellStyle name="Обычный 10 8 2 3 2 3 2 3" xfId="9718"/>
    <cellStyle name="Обычный 10 8 2 3 2 3 2 3 2" xfId="9719"/>
    <cellStyle name="Обычный 10 8 2 3 2 3 2 3 3" xfId="9720"/>
    <cellStyle name="Обычный 10 8 2 3 2 3 2 4" xfId="9721"/>
    <cellStyle name="Обычный 10 8 2 3 2 3 2 4 2" xfId="9722"/>
    <cellStyle name="Обычный 10 8 2 3 2 3 2 5" xfId="9723"/>
    <cellStyle name="Обычный 10 8 2 3 2 3 2 6" xfId="9724"/>
    <cellStyle name="Обычный 10 8 2 3 2 3 3" xfId="9725"/>
    <cellStyle name="Обычный 10 8 2 3 2 3 3 2" xfId="9726"/>
    <cellStyle name="Обычный 10 8 2 3 2 3 3 3" xfId="9727"/>
    <cellStyle name="Обычный 10 8 2 3 2 3 4" xfId="9728"/>
    <cellStyle name="Обычный 10 8 2 3 2 3 4 2" xfId="9729"/>
    <cellStyle name="Обычный 10 8 2 3 2 3 4 3" xfId="9730"/>
    <cellStyle name="Обычный 10 8 2 3 2 3 5" xfId="9731"/>
    <cellStyle name="Обычный 10 8 2 3 2 3 5 2" xfId="9732"/>
    <cellStyle name="Обычный 10 8 2 3 2 3 6" xfId="9733"/>
    <cellStyle name="Обычный 10 8 2 3 2 3 7" xfId="9734"/>
    <cellStyle name="Обычный 10 8 2 3 2 4" xfId="9735"/>
    <cellStyle name="Обычный 10 8 2 3 2 4 2" xfId="9736"/>
    <cellStyle name="Обычный 10 8 2 3 2 4 2 2" xfId="9737"/>
    <cellStyle name="Обычный 10 8 2 3 2 4 2 3" xfId="9738"/>
    <cellStyle name="Обычный 10 8 2 3 2 4 3" xfId="9739"/>
    <cellStyle name="Обычный 10 8 2 3 2 4 3 2" xfId="9740"/>
    <cellStyle name="Обычный 10 8 2 3 2 4 3 3" xfId="9741"/>
    <cellStyle name="Обычный 10 8 2 3 2 4 4" xfId="9742"/>
    <cellStyle name="Обычный 10 8 2 3 2 4 4 2" xfId="9743"/>
    <cellStyle name="Обычный 10 8 2 3 2 4 5" xfId="9744"/>
    <cellStyle name="Обычный 10 8 2 3 2 4 6" xfId="9745"/>
    <cellStyle name="Обычный 10 8 2 3 2 5" xfId="9746"/>
    <cellStyle name="Обычный 10 8 2 3 2 5 2" xfId="9747"/>
    <cellStyle name="Обычный 10 8 2 3 2 5 3" xfId="9748"/>
    <cellStyle name="Обычный 10 8 2 3 2 6" xfId="9749"/>
    <cellStyle name="Обычный 10 8 2 3 2 6 2" xfId="9750"/>
    <cellStyle name="Обычный 10 8 2 3 2 6 3" xfId="9751"/>
    <cellStyle name="Обычный 10 8 2 3 2 7" xfId="9752"/>
    <cellStyle name="Обычный 10 8 2 3 2 7 2" xfId="9753"/>
    <cellStyle name="Обычный 10 8 2 3 2 8" xfId="9754"/>
    <cellStyle name="Обычный 10 8 2 3 2 9" xfId="9755"/>
    <cellStyle name="Обычный 10 8 2 3 3" xfId="9756"/>
    <cellStyle name="Обычный 10 8 2 3 3 2" xfId="9757"/>
    <cellStyle name="Обычный 10 8 2 3 3 2 2" xfId="9758"/>
    <cellStyle name="Обычный 10 8 2 3 3 2 2 2" xfId="9759"/>
    <cellStyle name="Обычный 10 8 2 3 3 2 2 2 2" xfId="9760"/>
    <cellStyle name="Обычный 10 8 2 3 3 2 2 2 3" xfId="9761"/>
    <cellStyle name="Обычный 10 8 2 3 3 2 2 3" xfId="9762"/>
    <cellStyle name="Обычный 10 8 2 3 3 2 2 3 2" xfId="9763"/>
    <cellStyle name="Обычный 10 8 2 3 3 2 2 3 3" xfId="9764"/>
    <cellStyle name="Обычный 10 8 2 3 3 2 2 4" xfId="9765"/>
    <cellStyle name="Обычный 10 8 2 3 3 2 2 4 2" xfId="9766"/>
    <cellStyle name="Обычный 10 8 2 3 3 2 2 5" xfId="9767"/>
    <cellStyle name="Обычный 10 8 2 3 3 2 2 6" xfId="9768"/>
    <cellStyle name="Обычный 10 8 2 3 3 2 3" xfId="9769"/>
    <cellStyle name="Обычный 10 8 2 3 3 2 3 2" xfId="9770"/>
    <cellStyle name="Обычный 10 8 2 3 3 2 3 3" xfId="9771"/>
    <cellStyle name="Обычный 10 8 2 3 3 2 4" xfId="9772"/>
    <cellStyle name="Обычный 10 8 2 3 3 2 4 2" xfId="9773"/>
    <cellStyle name="Обычный 10 8 2 3 3 2 4 3" xfId="9774"/>
    <cellStyle name="Обычный 10 8 2 3 3 2 5" xfId="9775"/>
    <cellStyle name="Обычный 10 8 2 3 3 2 5 2" xfId="9776"/>
    <cellStyle name="Обычный 10 8 2 3 3 2 6" xfId="9777"/>
    <cellStyle name="Обычный 10 8 2 3 3 2 7" xfId="9778"/>
    <cellStyle name="Обычный 10 8 2 3 3 3" xfId="9779"/>
    <cellStyle name="Обычный 10 8 2 3 3 3 2" xfId="9780"/>
    <cellStyle name="Обычный 10 8 2 3 3 3 2 2" xfId="9781"/>
    <cellStyle name="Обычный 10 8 2 3 3 3 2 3" xfId="9782"/>
    <cellStyle name="Обычный 10 8 2 3 3 3 3" xfId="9783"/>
    <cellStyle name="Обычный 10 8 2 3 3 3 3 2" xfId="9784"/>
    <cellStyle name="Обычный 10 8 2 3 3 3 3 3" xfId="9785"/>
    <cellStyle name="Обычный 10 8 2 3 3 3 4" xfId="9786"/>
    <cellStyle name="Обычный 10 8 2 3 3 3 4 2" xfId="9787"/>
    <cellStyle name="Обычный 10 8 2 3 3 3 5" xfId="9788"/>
    <cellStyle name="Обычный 10 8 2 3 3 3 6" xfId="9789"/>
    <cellStyle name="Обычный 10 8 2 3 3 4" xfId="9790"/>
    <cellStyle name="Обычный 10 8 2 3 3 4 2" xfId="9791"/>
    <cellStyle name="Обычный 10 8 2 3 3 4 3" xfId="9792"/>
    <cellStyle name="Обычный 10 8 2 3 3 5" xfId="9793"/>
    <cellStyle name="Обычный 10 8 2 3 3 5 2" xfId="9794"/>
    <cellStyle name="Обычный 10 8 2 3 3 5 3" xfId="9795"/>
    <cellStyle name="Обычный 10 8 2 3 3 6" xfId="9796"/>
    <cellStyle name="Обычный 10 8 2 3 3 6 2" xfId="9797"/>
    <cellStyle name="Обычный 10 8 2 3 3 7" xfId="9798"/>
    <cellStyle name="Обычный 10 8 2 3 3 8" xfId="9799"/>
    <cellStyle name="Обычный 10 8 2 3 4" xfId="9800"/>
    <cellStyle name="Обычный 10 8 2 3 4 2" xfId="9801"/>
    <cellStyle name="Обычный 10 8 2 3 4 2 2" xfId="9802"/>
    <cellStyle name="Обычный 10 8 2 3 4 2 2 2" xfId="9803"/>
    <cellStyle name="Обычный 10 8 2 3 4 2 2 3" xfId="9804"/>
    <cellStyle name="Обычный 10 8 2 3 4 2 3" xfId="9805"/>
    <cellStyle name="Обычный 10 8 2 3 4 2 3 2" xfId="9806"/>
    <cellStyle name="Обычный 10 8 2 3 4 2 3 3" xfId="9807"/>
    <cellStyle name="Обычный 10 8 2 3 4 2 4" xfId="9808"/>
    <cellStyle name="Обычный 10 8 2 3 4 2 4 2" xfId="9809"/>
    <cellStyle name="Обычный 10 8 2 3 4 2 5" xfId="9810"/>
    <cellStyle name="Обычный 10 8 2 3 4 2 6" xfId="9811"/>
    <cellStyle name="Обычный 10 8 2 3 4 3" xfId="9812"/>
    <cellStyle name="Обычный 10 8 2 3 4 3 2" xfId="9813"/>
    <cellStyle name="Обычный 10 8 2 3 4 3 3" xfId="9814"/>
    <cellStyle name="Обычный 10 8 2 3 4 4" xfId="9815"/>
    <cellStyle name="Обычный 10 8 2 3 4 4 2" xfId="9816"/>
    <cellStyle name="Обычный 10 8 2 3 4 4 3" xfId="9817"/>
    <cellStyle name="Обычный 10 8 2 3 4 5" xfId="9818"/>
    <cellStyle name="Обычный 10 8 2 3 4 5 2" xfId="9819"/>
    <cellStyle name="Обычный 10 8 2 3 4 6" xfId="9820"/>
    <cellStyle name="Обычный 10 8 2 3 4 7" xfId="9821"/>
    <cellStyle name="Обычный 10 8 2 3 5" xfId="9822"/>
    <cellStyle name="Обычный 10 8 2 3 5 2" xfId="9823"/>
    <cellStyle name="Обычный 10 8 2 3 5 2 2" xfId="9824"/>
    <cellStyle name="Обычный 10 8 2 3 5 2 3" xfId="9825"/>
    <cellStyle name="Обычный 10 8 2 3 5 3" xfId="9826"/>
    <cellStyle name="Обычный 10 8 2 3 5 3 2" xfId="9827"/>
    <cellStyle name="Обычный 10 8 2 3 5 3 3" xfId="9828"/>
    <cellStyle name="Обычный 10 8 2 3 5 4" xfId="9829"/>
    <cellStyle name="Обычный 10 8 2 3 5 4 2" xfId="9830"/>
    <cellStyle name="Обычный 10 8 2 3 5 5" xfId="9831"/>
    <cellStyle name="Обычный 10 8 2 3 5 6" xfId="9832"/>
    <cellStyle name="Обычный 10 8 2 3 6" xfId="9833"/>
    <cellStyle name="Обычный 10 8 2 3 6 2" xfId="9834"/>
    <cellStyle name="Обычный 10 8 2 3 6 3" xfId="9835"/>
    <cellStyle name="Обычный 10 8 2 3 7" xfId="9836"/>
    <cellStyle name="Обычный 10 8 2 3 7 2" xfId="9837"/>
    <cellStyle name="Обычный 10 8 2 3 7 3" xfId="9838"/>
    <cellStyle name="Обычный 10 8 2 3 8" xfId="9839"/>
    <cellStyle name="Обычный 10 8 2 3 8 2" xfId="9840"/>
    <cellStyle name="Обычный 10 8 2 3 9" xfId="9841"/>
    <cellStyle name="Обычный 10 8 2 4" xfId="9842"/>
    <cellStyle name="Обычный 10 8 2 4 10" xfId="9843"/>
    <cellStyle name="Обычный 10 8 2 4 2" xfId="9844"/>
    <cellStyle name="Обычный 10 8 2 4 2 2" xfId="9845"/>
    <cellStyle name="Обычный 10 8 2 4 2 2 2" xfId="9846"/>
    <cellStyle name="Обычный 10 8 2 4 2 2 2 2" xfId="9847"/>
    <cellStyle name="Обычный 10 8 2 4 2 2 2 2 2" xfId="9848"/>
    <cellStyle name="Обычный 10 8 2 4 2 2 2 2 2 2" xfId="9849"/>
    <cellStyle name="Обычный 10 8 2 4 2 2 2 2 2 3" xfId="9850"/>
    <cellStyle name="Обычный 10 8 2 4 2 2 2 2 3" xfId="9851"/>
    <cellStyle name="Обычный 10 8 2 4 2 2 2 2 3 2" xfId="9852"/>
    <cellStyle name="Обычный 10 8 2 4 2 2 2 2 3 3" xfId="9853"/>
    <cellStyle name="Обычный 10 8 2 4 2 2 2 2 4" xfId="9854"/>
    <cellStyle name="Обычный 10 8 2 4 2 2 2 2 4 2" xfId="9855"/>
    <cellStyle name="Обычный 10 8 2 4 2 2 2 2 5" xfId="9856"/>
    <cellStyle name="Обычный 10 8 2 4 2 2 2 2 6" xfId="9857"/>
    <cellStyle name="Обычный 10 8 2 4 2 2 2 3" xfId="9858"/>
    <cellStyle name="Обычный 10 8 2 4 2 2 2 3 2" xfId="9859"/>
    <cellStyle name="Обычный 10 8 2 4 2 2 2 3 3" xfId="9860"/>
    <cellStyle name="Обычный 10 8 2 4 2 2 2 4" xfId="9861"/>
    <cellStyle name="Обычный 10 8 2 4 2 2 2 4 2" xfId="9862"/>
    <cellStyle name="Обычный 10 8 2 4 2 2 2 4 3" xfId="9863"/>
    <cellStyle name="Обычный 10 8 2 4 2 2 2 5" xfId="9864"/>
    <cellStyle name="Обычный 10 8 2 4 2 2 2 5 2" xfId="9865"/>
    <cellStyle name="Обычный 10 8 2 4 2 2 2 6" xfId="9866"/>
    <cellStyle name="Обычный 10 8 2 4 2 2 2 7" xfId="9867"/>
    <cellStyle name="Обычный 10 8 2 4 2 2 3" xfId="9868"/>
    <cellStyle name="Обычный 10 8 2 4 2 2 3 2" xfId="9869"/>
    <cellStyle name="Обычный 10 8 2 4 2 2 3 2 2" xfId="9870"/>
    <cellStyle name="Обычный 10 8 2 4 2 2 3 2 3" xfId="9871"/>
    <cellStyle name="Обычный 10 8 2 4 2 2 3 3" xfId="9872"/>
    <cellStyle name="Обычный 10 8 2 4 2 2 3 3 2" xfId="9873"/>
    <cellStyle name="Обычный 10 8 2 4 2 2 3 3 3" xfId="9874"/>
    <cellStyle name="Обычный 10 8 2 4 2 2 3 4" xfId="9875"/>
    <cellStyle name="Обычный 10 8 2 4 2 2 3 4 2" xfId="9876"/>
    <cellStyle name="Обычный 10 8 2 4 2 2 3 5" xfId="9877"/>
    <cellStyle name="Обычный 10 8 2 4 2 2 3 6" xfId="9878"/>
    <cellStyle name="Обычный 10 8 2 4 2 2 4" xfId="9879"/>
    <cellStyle name="Обычный 10 8 2 4 2 2 4 2" xfId="9880"/>
    <cellStyle name="Обычный 10 8 2 4 2 2 4 3" xfId="9881"/>
    <cellStyle name="Обычный 10 8 2 4 2 2 5" xfId="9882"/>
    <cellStyle name="Обычный 10 8 2 4 2 2 5 2" xfId="9883"/>
    <cellStyle name="Обычный 10 8 2 4 2 2 5 3" xfId="9884"/>
    <cellStyle name="Обычный 10 8 2 4 2 2 6" xfId="9885"/>
    <cellStyle name="Обычный 10 8 2 4 2 2 6 2" xfId="9886"/>
    <cellStyle name="Обычный 10 8 2 4 2 2 7" xfId="9887"/>
    <cellStyle name="Обычный 10 8 2 4 2 2 8" xfId="9888"/>
    <cellStyle name="Обычный 10 8 2 4 2 3" xfId="9889"/>
    <cellStyle name="Обычный 10 8 2 4 2 3 2" xfId="9890"/>
    <cellStyle name="Обычный 10 8 2 4 2 3 2 2" xfId="9891"/>
    <cellStyle name="Обычный 10 8 2 4 2 3 2 2 2" xfId="9892"/>
    <cellStyle name="Обычный 10 8 2 4 2 3 2 2 3" xfId="9893"/>
    <cellStyle name="Обычный 10 8 2 4 2 3 2 3" xfId="9894"/>
    <cellStyle name="Обычный 10 8 2 4 2 3 2 3 2" xfId="9895"/>
    <cellStyle name="Обычный 10 8 2 4 2 3 2 3 3" xfId="9896"/>
    <cellStyle name="Обычный 10 8 2 4 2 3 2 4" xfId="9897"/>
    <cellStyle name="Обычный 10 8 2 4 2 3 2 4 2" xfId="9898"/>
    <cellStyle name="Обычный 10 8 2 4 2 3 2 5" xfId="9899"/>
    <cellStyle name="Обычный 10 8 2 4 2 3 2 6" xfId="9900"/>
    <cellStyle name="Обычный 10 8 2 4 2 3 3" xfId="9901"/>
    <cellStyle name="Обычный 10 8 2 4 2 3 3 2" xfId="9902"/>
    <cellStyle name="Обычный 10 8 2 4 2 3 3 3" xfId="9903"/>
    <cellStyle name="Обычный 10 8 2 4 2 3 4" xfId="9904"/>
    <cellStyle name="Обычный 10 8 2 4 2 3 4 2" xfId="9905"/>
    <cellStyle name="Обычный 10 8 2 4 2 3 4 3" xfId="9906"/>
    <cellStyle name="Обычный 10 8 2 4 2 3 5" xfId="9907"/>
    <cellStyle name="Обычный 10 8 2 4 2 3 5 2" xfId="9908"/>
    <cellStyle name="Обычный 10 8 2 4 2 3 6" xfId="9909"/>
    <cellStyle name="Обычный 10 8 2 4 2 3 7" xfId="9910"/>
    <cellStyle name="Обычный 10 8 2 4 2 4" xfId="9911"/>
    <cellStyle name="Обычный 10 8 2 4 2 4 2" xfId="9912"/>
    <cellStyle name="Обычный 10 8 2 4 2 4 2 2" xfId="9913"/>
    <cellStyle name="Обычный 10 8 2 4 2 4 2 3" xfId="9914"/>
    <cellStyle name="Обычный 10 8 2 4 2 4 3" xfId="9915"/>
    <cellStyle name="Обычный 10 8 2 4 2 4 3 2" xfId="9916"/>
    <cellStyle name="Обычный 10 8 2 4 2 4 3 3" xfId="9917"/>
    <cellStyle name="Обычный 10 8 2 4 2 4 4" xfId="9918"/>
    <cellStyle name="Обычный 10 8 2 4 2 4 4 2" xfId="9919"/>
    <cellStyle name="Обычный 10 8 2 4 2 4 5" xfId="9920"/>
    <cellStyle name="Обычный 10 8 2 4 2 4 6" xfId="9921"/>
    <cellStyle name="Обычный 10 8 2 4 2 5" xfId="9922"/>
    <cellStyle name="Обычный 10 8 2 4 2 5 2" xfId="9923"/>
    <cellStyle name="Обычный 10 8 2 4 2 5 3" xfId="9924"/>
    <cellStyle name="Обычный 10 8 2 4 2 6" xfId="9925"/>
    <cellStyle name="Обычный 10 8 2 4 2 6 2" xfId="9926"/>
    <cellStyle name="Обычный 10 8 2 4 2 6 3" xfId="9927"/>
    <cellStyle name="Обычный 10 8 2 4 2 7" xfId="9928"/>
    <cellStyle name="Обычный 10 8 2 4 2 7 2" xfId="9929"/>
    <cellStyle name="Обычный 10 8 2 4 2 8" xfId="9930"/>
    <cellStyle name="Обычный 10 8 2 4 2 9" xfId="9931"/>
    <cellStyle name="Обычный 10 8 2 4 3" xfId="9932"/>
    <cellStyle name="Обычный 10 8 2 4 3 2" xfId="9933"/>
    <cellStyle name="Обычный 10 8 2 4 3 2 2" xfId="9934"/>
    <cellStyle name="Обычный 10 8 2 4 3 2 2 2" xfId="9935"/>
    <cellStyle name="Обычный 10 8 2 4 3 2 2 2 2" xfId="9936"/>
    <cellStyle name="Обычный 10 8 2 4 3 2 2 2 3" xfId="9937"/>
    <cellStyle name="Обычный 10 8 2 4 3 2 2 3" xfId="9938"/>
    <cellStyle name="Обычный 10 8 2 4 3 2 2 3 2" xfId="9939"/>
    <cellStyle name="Обычный 10 8 2 4 3 2 2 3 3" xfId="9940"/>
    <cellStyle name="Обычный 10 8 2 4 3 2 2 4" xfId="9941"/>
    <cellStyle name="Обычный 10 8 2 4 3 2 2 4 2" xfId="9942"/>
    <cellStyle name="Обычный 10 8 2 4 3 2 2 5" xfId="9943"/>
    <cellStyle name="Обычный 10 8 2 4 3 2 2 6" xfId="9944"/>
    <cellStyle name="Обычный 10 8 2 4 3 2 3" xfId="9945"/>
    <cellStyle name="Обычный 10 8 2 4 3 2 3 2" xfId="9946"/>
    <cellStyle name="Обычный 10 8 2 4 3 2 3 3" xfId="9947"/>
    <cellStyle name="Обычный 10 8 2 4 3 2 4" xfId="9948"/>
    <cellStyle name="Обычный 10 8 2 4 3 2 4 2" xfId="9949"/>
    <cellStyle name="Обычный 10 8 2 4 3 2 4 3" xfId="9950"/>
    <cellStyle name="Обычный 10 8 2 4 3 2 5" xfId="9951"/>
    <cellStyle name="Обычный 10 8 2 4 3 2 5 2" xfId="9952"/>
    <cellStyle name="Обычный 10 8 2 4 3 2 6" xfId="9953"/>
    <cellStyle name="Обычный 10 8 2 4 3 2 7" xfId="9954"/>
    <cellStyle name="Обычный 10 8 2 4 3 3" xfId="9955"/>
    <cellStyle name="Обычный 10 8 2 4 3 3 2" xfId="9956"/>
    <cellStyle name="Обычный 10 8 2 4 3 3 2 2" xfId="9957"/>
    <cellStyle name="Обычный 10 8 2 4 3 3 2 3" xfId="9958"/>
    <cellStyle name="Обычный 10 8 2 4 3 3 3" xfId="9959"/>
    <cellStyle name="Обычный 10 8 2 4 3 3 3 2" xfId="9960"/>
    <cellStyle name="Обычный 10 8 2 4 3 3 3 3" xfId="9961"/>
    <cellStyle name="Обычный 10 8 2 4 3 3 4" xfId="9962"/>
    <cellStyle name="Обычный 10 8 2 4 3 3 4 2" xfId="9963"/>
    <cellStyle name="Обычный 10 8 2 4 3 3 5" xfId="9964"/>
    <cellStyle name="Обычный 10 8 2 4 3 3 6" xfId="9965"/>
    <cellStyle name="Обычный 10 8 2 4 3 4" xfId="9966"/>
    <cellStyle name="Обычный 10 8 2 4 3 4 2" xfId="9967"/>
    <cellStyle name="Обычный 10 8 2 4 3 4 3" xfId="9968"/>
    <cellStyle name="Обычный 10 8 2 4 3 5" xfId="9969"/>
    <cellStyle name="Обычный 10 8 2 4 3 5 2" xfId="9970"/>
    <cellStyle name="Обычный 10 8 2 4 3 5 3" xfId="9971"/>
    <cellStyle name="Обычный 10 8 2 4 3 6" xfId="9972"/>
    <cellStyle name="Обычный 10 8 2 4 3 6 2" xfId="9973"/>
    <cellStyle name="Обычный 10 8 2 4 3 7" xfId="9974"/>
    <cellStyle name="Обычный 10 8 2 4 3 8" xfId="9975"/>
    <cellStyle name="Обычный 10 8 2 4 4" xfId="9976"/>
    <cellStyle name="Обычный 10 8 2 4 4 2" xfId="9977"/>
    <cellStyle name="Обычный 10 8 2 4 4 2 2" xfId="9978"/>
    <cellStyle name="Обычный 10 8 2 4 4 2 2 2" xfId="9979"/>
    <cellStyle name="Обычный 10 8 2 4 4 2 2 3" xfId="9980"/>
    <cellStyle name="Обычный 10 8 2 4 4 2 3" xfId="9981"/>
    <cellStyle name="Обычный 10 8 2 4 4 2 3 2" xfId="9982"/>
    <cellStyle name="Обычный 10 8 2 4 4 2 3 3" xfId="9983"/>
    <cellStyle name="Обычный 10 8 2 4 4 2 4" xfId="9984"/>
    <cellStyle name="Обычный 10 8 2 4 4 2 4 2" xfId="9985"/>
    <cellStyle name="Обычный 10 8 2 4 4 2 5" xfId="9986"/>
    <cellStyle name="Обычный 10 8 2 4 4 2 6" xfId="9987"/>
    <cellStyle name="Обычный 10 8 2 4 4 3" xfId="9988"/>
    <cellStyle name="Обычный 10 8 2 4 4 3 2" xfId="9989"/>
    <cellStyle name="Обычный 10 8 2 4 4 3 3" xfId="9990"/>
    <cellStyle name="Обычный 10 8 2 4 4 4" xfId="9991"/>
    <cellStyle name="Обычный 10 8 2 4 4 4 2" xfId="9992"/>
    <cellStyle name="Обычный 10 8 2 4 4 4 3" xfId="9993"/>
    <cellStyle name="Обычный 10 8 2 4 4 5" xfId="9994"/>
    <cellStyle name="Обычный 10 8 2 4 4 5 2" xfId="9995"/>
    <cellStyle name="Обычный 10 8 2 4 4 6" xfId="9996"/>
    <cellStyle name="Обычный 10 8 2 4 4 7" xfId="9997"/>
    <cellStyle name="Обычный 10 8 2 4 5" xfId="9998"/>
    <cellStyle name="Обычный 10 8 2 4 5 2" xfId="9999"/>
    <cellStyle name="Обычный 10 8 2 4 5 2 2" xfId="10000"/>
    <cellStyle name="Обычный 10 8 2 4 5 2 3" xfId="10001"/>
    <cellStyle name="Обычный 10 8 2 4 5 3" xfId="10002"/>
    <cellStyle name="Обычный 10 8 2 4 5 3 2" xfId="10003"/>
    <cellStyle name="Обычный 10 8 2 4 5 3 3" xfId="10004"/>
    <cellStyle name="Обычный 10 8 2 4 5 4" xfId="10005"/>
    <cellStyle name="Обычный 10 8 2 4 5 4 2" xfId="10006"/>
    <cellStyle name="Обычный 10 8 2 4 5 5" xfId="10007"/>
    <cellStyle name="Обычный 10 8 2 4 5 6" xfId="10008"/>
    <cellStyle name="Обычный 10 8 2 4 6" xfId="10009"/>
    <cellStyle name="Обычный 10 8 2 4 6 2" xfId="10010"/>
    <cellStyle name="Обычный 10 8 2 4 6 3" xfId="10011"/>
    <cellStyle name="Обычный 10 8 2 4 7" xfId="10012"/>
    <cellStyle name="Обычный 10 8 2 4 7 2" xfId="10013"/>
    <cellStyle name="Обычный 10 8 2 4 7 3" xfId="10014"/>
    <cellStyle name="Обычный 10 8 2 4 8" xfId="10015"/>
    <cellStyle name="Обычный 10 8 2 4 8 2" xfId="10016"/>
    <cellStyle name="Обычный 10 8 2 4 9" xfId="10017"/>
    <cellStyle name="Обычный 10 8 2 5" xfId="10018"/>
    <cellStyle name="Обычный 10 8 2 5 2" xfId="10019"/>
    <cellStyle name="Обычный 10 8 2 5 2 2" xfId="10020"/>
    <cellStyle name="Обычный 10 8 2 5 2 2 2" xfId="10021"/>
    <cellStyle name="Обычный 10 8 2 5 2 2 2 2" xfId="10022"/>
    <cellStyle name="Обычный 10 8 2 5 2 2 2 2 2" xfId="10023"/>
    <cellStyle name="Обычный 10 8 2 5 2 2 2 2 3" xfId="10024"/>
    <cellStyle name="Обычный 10 8 2 5 2 2 2 3" xfId="10025"/>
    <cellStyle name="Обычный 10 8 2 5 2 2 2 3 2" xfId="10026"/>
    <cellStyle name="Обычный 10 8 2 5 2 2 2 3 3" xfId="10027"/>
    <cellStyle name="Обычный 10 8 2 5 2 2 2 4" xfId="10028"/>
    <cellStyle name="Обычный 10 8 2 5 2 2 2 4 2" xfId="10029"/>
    <cellStyle name="Обычный 10 8 2 5 2 2 2 5" xfId="10030"/>
    <cellStyle name="Обычный 10 8 2 5 2 2 2 6" xfId="10031"/>
    <cellStyle name="Обычный 10 8 2 5 2 2 3" xfId="10032"/>
    <cellStyle name="Обычный 10 8 2 5 2 2 3 2" xfId="10033"/>
    <cellStyle name="Обычный 10 8 2 5 2 2 3 3" xfId="10034"/>
    <cellStyle name="Обычный 10 8 2 5 2 2 4" xfId="10035"/>
    <cellStyle name="Обычный 10 8 2 5 2 2 4 2" xfId="10036"/>
    <cellStyle name="Обычный 10 8 2 5 2 2 4 3" xfId="10037"/>
    <cellStyle name="Обычный 10 8 2 5 2 2 5" xfId="10038"/>
    <cellStyle name="Обычный 10 8 2 5 2 2 5 2" xfId="10039"/>
    <cellStyle name="Обычный 10 8 2 5 2 2 6" xfId="10040"/>
    <cellStyle name="Обычный 10 8 2 5 2 2 7" xfId="10041"/>
    <cellStyle name="Обычный 10 8 2 5 2 3" xfId="10042"/>
    <cellStyle name="Обычный 10 8 2 5 2 3 2" xfId="10043"/>
    <cellStyle name="Обычный 10 8 2 5 2 3 2 2" xfId="10044"/>
    <cellStyle name="Обычный 10 8 2 5 2 3 2 3" xfId="10045"/>
    <cellStyle name="Обычный 10 8 2 5 2 3 3" xfId="10046"/>
    <cellStyle name="Обычный 10 8 2 5 2 3 3 2" xfId="10047"/>
    <cellStyle name="Обычный 10 8 2 5 2 3 3 3" xfId="10048"/>
    <cellStyle name="Обычный 10 8 2 5 2 3 4" xfId="10049"/>
    <cellStyle name="Обычный 10 8 2 5 2 3 4 2" xfId="10050"/>
    <cellStyle name="Обычный 10 8 2 5 2 3 5" xfId="10051"/>
    <cellStyle name="Обычный 10 8 2 5 2 3 6" xfId="10052"/>
    <cellStyle name="Обычный 10 8 2 5 2 4" xfId="10053"/>
    <cellStyle name="Обычный 10 8 2 5 2 4 2" xfId="10054"/>
    <cellStyle name="Обычный 10 8 2 5 2 4 3" xfId="10055"/>
    <cellStyle name="Обычный 10 8 2 5 2 5" xfId="10056"/>
    <cellStyle name="Обычный 10 8 2 5 2 5 2" xfId="10057"/>
    <cellStyle name="Обычный 10 8 2 5 2 5 3" xfId="10058"/>
    <cellStyle name="Обычный 10 8 2 5 2 6" xfId="10059"/>
    <cellStyle name="Обычный 10 8 2 5 2 6 2" xfId="10060"/>
    <cellStyle name="Обычный 10 8 2 5 2 7" xfId="10061"/>
    <cellStyle name="Обычный 10 8 2 5 2 8" xfId="10062"/>
    <cellStyle name="Обычный 10 8 2 5 3" xfId="10063"/>
    <cellStyle name="Обычный 10 8 2 5 3 2" xfId="10064"/>
    <cellStyle name="Обычный 10 8 2 5 3 2 2" xfId="10065"/>
    <cellStyle name="Обычный 10 8 2 5 3 2 2 2" xfId="10066"/>
    <cellStyle name="Обычный 10 8 2 5 3 2 2 3" xfId="10067"/>
    <cellStyle name="Обычный 10 8 2 5 3 2 3" xfId="10068"/>
    <cellStyle name="Обычный 10 8 2 5 3 2 3 2" xfId="10069"/>
    <cellStyle name="Обычный 10 8 2 5 3 2 3 3" xfId="10070"/>
    <cellStyle name="Обычный 10 8 2 5 3 2 4" xfId="10071"/>
    <cellStyle name="Обычный 10 8 2 5 3 2 4 2" xfId="10072"/>
    <cellStyle name="Обычный 10 8 2 5 3 2 5" xfId="10073"/>
    <cellStyle name="Обычный 10 8 2 5 3 2 6" xfId="10074"/>
    <cellStyle name="Обычный 10 8 2 5 3 3" xfId="10075"/>
    <cellStyle name="Обычный 10 8 2 5 3 3 2" xfId="10076"/>
    <cellStyle name="Обычный 10 8 2 5 3 3 3" xfId="10077"/>
    <cellStyle name="Обычный 10 8 2 5 3 4" xfId="10078"/>
    <cellStyle name="Обычный 10 8 2 5 3 4 2" xfId="10079"/>
    <cellStyle name="Обычный 10 8 2 5 3 4 3" xfId="10080"/>
    <cellStyle name="Обычный 10 8 2 5 3 5" xfId="10081"/>
    <cellStyle name="Обычный 10 8 2 5 3 5 2" xfId="10082"/>
    <cellStyle name="Обычный 10 8 2 5 3 6" xfId="10083"/>
    <cellStyle name="Обычный 10 8 2 5 3 7" xfId="10084"/>
    <cellStyle name="Обычный 10 8 2 5 4" xfId="10085"/>
    <cellStyle name="Обычный 10 8 2 5 4 2" xfId="10086"/>
    <cellStyle name="Обычный 10 8 2 5 4 2 2" xfId="10087"/>
    <cellStyle name="Обычный 10 8 2 5 4 2 3" xfId="10088"/>
    <cellStyle name="Обычный 10 8 2 5 4 3" xfId="10089"/>
    <cellStyle name="Обычный 10 8 2 5 4 3 2" xfId="10090"/>
    <cellStyle name="Обычный 10 8 2 5 4 3 3" xfId="10091"/>
    <cellStyle name="Обычный 10 8 2 5 4 4" xfId="10092"/>
    <cellStyle name="Обычный 10 8 2 5 4 4 2" xfId="10093"/>
    <cellStyle name="Обычный 10 8 2 5 4 5" xfId="10094"/>
    <cellStyle name="Обычный 10 8 2 5 4 6" xfId="10095"/>
    <cellStyle name="Обычный 10 8 2 5 5" xfId="10096"/>
    <cellStyle name="Обычный 10 8 2 5 5 2" xfId="10097"/>
    <cellStyle name="Обычный 10 8 2 5 5 3" xfId="10098"/>
    <cellStyle name="Обычный 10 8 2 5 6" xfId="10099"/>
    <cellStyle name="Обычный 10 8 2 5 6 2" xfId="10100"/>
    <cellStyle name="Обычный 10 8 2 5 6 3" xfId="10101"/>
    <cellStyle name="Обычный 10 8 2 5 7" xfId="10102"/>
    <cellStyle name="Обычный 10 8 2 5 7 2" xfId="10103"/>
    <cellStyle name="Обычный 10 8 2 5 8" xfId="10104"/>
    <cellStyle name="Обычный 10 8 2 5 9" xfId="10105"/>
    <cellStyle name="Обычный 10 8 2 6" xfId="10106"/>
    <cellStyle name="Обычный 10 8 2 6 2" xfId="10107"/>
    <cellStyle name="Обычный 10 8 2 6 2 2" xfId="10108"/>
    <cellStyle name="Обычный 10 8 2 6 2 2 2" xfId="10109"/>
    <cellStyle name="Обычный 10 8 2 6 2 2 2 2" xfId="10110"/>
    <cellStyle name="Обычный 10 8 2 6 2 2 2 3" xfId="10111"/>
    <cellStyle name="Обычный 10 8 2 6 2 2 3" xfId="10112"/>
    <cellStyle name="Обычный 10 8 2 6 2 2 3 2" xfId="10113"/>
    <cellStyle name="Обычный 10 8 2 6 2 2 3 3" xfId="10114"/>
    <cellStyle name="Обычный 10 8 2 6 2 2 4" xfId="10115"/>
    <cellStyle name="Обычный 10 8 2 6 2 2 4 2" xfId="10116"/>
    <cellStyle name="Обычный 10 8 2 6 2 2 5" xfId="10117"/>
    <cellStyle name="Обычный 10 8 2 6 2 2 6" xfId="10118"/>
    <cellStyle name="Обычный 10 8 2 6 2 3" xfId="10119"/>
    <cellStyle name="Обычный 10 8 2 6 2 3 2" xfId="10120"/>
    <cellStyle name="Обычный 10 8 2 6 2 3 3" xfId="10121"/>
    <cellStyle name="Обычный 10 8 2 6 2 4" xfId="10122"/>
    <cellStyle name="Обычный 10 8 2 6 2 4 2" xfId="10123"/>
    <cellStyle name="Обычный 10 8 2 6 2 4 3" xfId="10124"/>
    <cellStyle name="Обычный 10 8 2 6 2 5" xfId="10125"/>
    <cellStyle name="Обычный 10 8 2 6 2 5 2" xfId="10126"/>
    <cellStyle name="Обычный 10 8 2 6 2 6" xfId="10127"/>
    <cellStyle name="Обычный 10 8 2 6 2 7" xfId="10128"/>
    <cellStyle name="Обычный 10 8 2 6 3" xfId="10129"/>
    <cellStyle name="Обычный 10 8 2 6 3 2" xfId="10130"/>
    <cellStyle name="Обычный 10 8 2 6 3 2 2" xfId="10131"/>
    <cellStyle name="Обычный 10 8 2 6 3 2 3" xfId="10132"/>
    <cellStyle name="Обычный 10 8 2 6 3 3" xfId="10133"/>
    <cellStyle name="Обычный 10 8 2 6 3 3 2" xfId="10134"/>
    <cellStyle name="Обычный 10 8 2 6 3 3 3" xfId="10135"/>
    <cellStyle name="Обычный 10 8 2 6 3 4" xfId="10136"/>
    <cellStyle name="Обычный 10 8 2 6 3 4 2" xfId="10137"/>
    <cellStyle name="Обычный 10 8 2 6 3 5" xfId="10138"/>
    <cellStyle name="Обычный 10 8 2 6 3 6" xfId="10139"/>
    <cellStyle name="Обычный 10 8 2 6 4" xfId="10140"/>
    <cellStyle name="Обычный 10 8 2 6 4 2" xfId="10141"/>
    <cellStyle name="Обычный 10 8 2 6 4 3" xfId="10142"/>
    <cellStyle name="Обычный 10 8 2 6 5" xfId="10143"/>
    <cellStyle name="Обычный 10 8 2 6 5 2" xfId="10144"/>
    <cellStyle name="Обычный 10 8 2 6 5 3" xfId="10145"/>
    <cellStyle name="Обычный 10 8 2 6 6" xfId="10146"/>
    <cellStyle name="Обычный 10 8 2 6 6 2" xfId="10147"/>
    <cellStyle name="Обычный 10 8 2 6 7" xfId="10148"/>
    <cellStyle name="Обычный 10 8 2 6 8" xfId="10149"/>
    <cellStyle name="Обычный 10 8 2 7" xfId="10150"/>
    <cellStyle name="Обычный 10 8 2 7 2" xfId="10151"/>
    <cellStyle name="Обычный 10 8 2 7 2 2" xfId="10152"/>
    <cellStyle name="Обычный 10 8 2 7 2 2 2" xfId="10153"/>
    <cellStyle name="Обычный 10 8 2 7 2 2 3" xfId="10154"/>
    <cellStyle name="Обычный 10 8 2 7 2 3" xfId="10155"/>
    <cellStyle name="Обычный 10 8 2 7 2 3 2" xfId="10156"/>
    <cellStyle name="Обычный 10 8 2 7 2 3 3" xfId="10157"/>
    <cellStyle name="Обычный 10 8 2 7 2 4" xfId="10158"/>
    <cellStyle name="Обычный 10 8 2 7 2 4 2" xfId="10159"/>
    <cellStyle name="Обычный 10 8 2 7 2 5" xfId="10160"/>
    <cellStyle name="Обычный 10 8 2 7 2 6" xfId="10161"/>
    <cellStyle name="Обычный 10 8 2 7 3" xfId="10162"/>
    <cellStyle name="Обычный 10 8 2 7 3 2" xfId="10163"/>
    <cellStyle name="Обычный 10 8 2 7 3 3" xfId="10164"/>
    <cellStyle name="Обычный 10 8 2 7 4" xfId="10165"/>
    <cellStyle name="Обычный 10 8 2 7 4 2" xfId="10166"/>
    <cellStyle name="Обычный 10 8 2 7 4 3" xfId="10167"/>
    <cellStyle name="Обычный 10 8 2 7 5" xfId="10168"/>
    <cellStyle name="Обычный 10 8 2 7 5 2" xfId="10169"/>
    <cellStyle name="Обычный 10 8 2 7 6" xfId="10170"/>
    <cellStyle name="Обычный 10 8 2 7 7" xfId="10171"/>
    <cellStyle name="Обычный 10 8 2 8" xfId="10172"/>
    <cellStyle name="Обычный 10 8 2 8 2" xfId="10173"/>
    <cellStyle name="Обычный 10 8 2 8 2 2" xfId="10174"/>
    <cellStyle name="Обычный 10 8 2 8 2 3" xfId="10175"/>
    <cellStyle name="Обычный 10 8 2 8 3" xfId="10176"/>
    <cellStyle name="Обычный 10 8 2 8 3 2" xfId="10177"/>
    <cellStyle name="Обычный 10 8 2 8 3 3" xfId="10178"/>
    <cellStyle name="Обычный 10 8 2 8 4" xfId="10179"/>
    <cellStyle name="Обычный 10 8 2 8 4 2" xfId="10180"/>
    <cellStyle name="Обычный 10 8 2 8 5" xfId="10181"/>
    <cellStyle name="Обычный 10 8 2 8 6" xfId="10182"/>
    <cellStyle name="Обычный 10 8 2 9" xfId="10183"/>
    <cellStyle name="Обычный 10 8 2 9 2" xfId="10184"/>
    <cellStyle name="Обычный 10 8 2 9 3" xfId="10185"/>
    <cellStyle name="Обычный 10 8 3" xfId="10186"/>
    <cellStyle name="Обычный 10 8 3 10" xfId="10187"/>
    <cellStyle name="Обычный 10 8 3 2" xfId="10188"/>
    <cellStyle name="Обычный 10 8 3 2 2" xfId="10189"/>
    <cellStyle name="Обычный 10 8 3 2 2 2" xfId="10190"/>
    <cellStyle name="Обычный 10 8 3 2 2 2 2" xfId="10191"/>
    <cellStyle name="Обычный 10 8 3 2 2 2 2 2" xfId="10192"/>
    <cellStyle name="Обычный 10 8 3 2 2 2 2 2 2" xfId="10193"/>
    <cellStyle name="Обычный 10 8 3 2 2 2 2 2 3" xfId="10194"/>
    <cellStyle name="Обычный 10 8 3 2 2 2 2 3" xfId="10195"/>
    <cellStyle name="Обычный 10 8 3 2 2 2 2 3 2" xfId="10196"/>
    <cellStyle name="Обычный 10 8 3 2 2 2 2 3 3" xfId="10197"/>
    <cellStyle name="Обычный 10 8 3 2 2 2 2 4" xfId="10198"/>
    <cellStyle name="Обычный 10 8 3 2 2 2 2 4 2" xfId="10199"/>
    <cellStyle name="Обычный 10 8 3 2 2 2 2 5" xfId="10200"/>
    <cellStyle name="Обычный 10 8 3 2 2 2 2 6" xfId="10201"/>
    <cellStyle name="Обычный 10 8 3 2 2 2 3" xfId="10202"/>
    <cellStyle name="Обычный 10 8 3 2 2 2 3 2" xfId="10203"/>
    <cellStyle name="Обычный 10 8 3 2 2 2 3 3" xfId="10204"/>
    <cellStyle name="Обычный 10 8 3 2 2 2 4" xfId="10205"/>
    <cellStyle name="Обычный 10 8 3 2 2 2 4 2" xfId="10206"/>
    <cellStyle name="Обычный 10 8 3 2 2 2 4 3" xfId="10207"/>
    <cellStyle name="Обычный 10 8 3 2 2 2 5" xfId="10208"/>
    <cellStyle name="Обычный 10 8 3 2 2 2 5 2" xfId="10209"/>
    <cellStyle name="Обычный 10 8 3 2 2 2 6" xfId="10210"/>
    <cellStyle name="Обычный 10 8 3 2 2 2 7" xfId="10211"/>
    <cellStyle name="Обычный 10 8 3 2 2 3" xfId="10212"/>
    <cellStyle name="Обычный 10 8 3 2 2 3 2" xfId="10213"/>
    <cellStyle name="Обычный 10 8 3 2 2 3 2 2" xfId="10214"/>
    <cellStyle name="Обычный 10 8 3 2 2 3 2 3" xfId="10215"/>
    <cellStyle name="Обычный 10 8 3 2 2 3 3" xfId="10216"/>
    <cellStyle name="Обычный 10 8 3 2 2 3 3 2" xfId="10217"/>
    <cellStyle name="Обычный 10 8 3 2 2 3 3 3" xfId="10218"/>
    <cellStyle name="Обычный 10 8 3 2 2 3 4" xfId="10219"/>
    <cellStyle name="Обычный 10 8 3 2 2 3 4 2" xfId="10220"/>
    <cellStyle name="Обычный 10 8 3 2 2 3 5" xfId="10221"/>
    <cellStyle name="Обычный 10 8 3 2 2 3 6" xfId="10222"/>
    <cellStyle name="Обычный 10 8 3 2 2 4" xfId="10223"/>
    <cellStyle name="Обычный 10 8 3 2 2 4 2" xfId="10224"/>
    <cellStyle name="Обычный 10 8 3 2 2 4 3" xfId="10225"/>
    <cellStyle name="Обычный 10 8 3 2 2 5" xfId="10226"/>
    <cellStyle name="Обычный 10 8 3 2 2 5 2" xfId="10227"/>
    <cellStyle name="Обычный 10 8 3 2 2 5 3" xfId="10228"/>
    <cellStyle name="Обычный 10 8 3 2 2 6" xfId="10229"/>
    <cellStyle name="Обычный 10 8 3 2 2 6 2" xfId="10230"/>
    <cellStyle name="Обычный 10 8 3 2 2 7" xfId="10231"/>
    <cellStyle name="Обычный 10 8 3 2 2 8" xfId="10232"/>
    <cellStyle name="Обычный 10 8 3 2 3" xfId="10233"/>
    <cellStyle name="Обычный 10 8 3 2 3 2" xfId="10234"/>
    <cellStyle name="Обычный 10 8 3 2 3 2 2" xfId="10235"/>
    <cellStyle name="Обычный 10 8 3 2 3 2 2 2" xfId="10236"/>
    <cellStyle name="Обычный 10 8 3 2 3 2 2 3" xfId="10237"/>
    <cellStyle name="Обычный 10 8 3 2 3 2 3" xfId="10238"/>
    <cellStyle name="Обычный 10 8 3 2 3 2 3 2" xfId="10239"/>
    <cellStyle name="Обычный 10 8 3 2 3 2 3 3" xfId="10240"/>
    <cellStyle name="Обычный 10 8 3 2 3 2 4" xfId="10241"/>
    <cellStyle name="Обычный 10 8 3 2 3 2 4 2" xfId="10242"/>
    <cellStyle name="Обычный 10 8 3 2 3 2 5" xfId="10243"/>
    <cellStyle name="Обычный 10 8 3 2 3 2 6" xfId="10244"/>
    <cellStyle name="Обычный 10 8 3 2 3 3" xfId="10245"/>
    <cellStyle name="Обычный 10 8 3 2 3 3 2" xfId="10246"/>
    <cellStyle name="Обычный 10 8 3 2 3 3 3" xfId="10247"/>
    <cellStyle name="Обычный 10 8 3 2 3 4" xfId="10248"/>
    <cellStyle name="Обычный 10 8 3 2 3 4 2" xfId="10249"/>
    <cellStyle name="Обычный 10 8 3 2 3 4 3" xfId="10250"/>
    <cellStyle name="Обычный 10 8 3 2 3 5" xfId="10251"/>
    <cellStyle name="Обычный 10 8 3 2 3 5 2" xfId="10252"/>
    <cellStyle name="Обычный 10 8 3 2 3 6" xfId="10253"/>
    <cellStyle name="Обычный 10 8 3 2 3 7" xfId="10254"/>
    <cellStyle name="Обычный 10 8 3 2 4" xfId="10255"/>
    <cellStyle name="Обычный 10 8 3 2 4 2" xfId="10256"/>
    <cellStyle name="Обычный 10 8 3 2 4 2 2" xfId="10257"/>
    <cellStyle name="Обычный 10 8 3 2 4 2 3" xfId="10258"/>
    <cellStyle name="Обычный 10 8 3 2 4 3" xfId="10259"/>
    <cellStyle name="Обычный 10 8 3 2 4 3 2" xfId="10260"/>
    <cellStyle name="Обычный 10 8 3 2 4 3 3" xfId="10261"/>
    <cellStyle name="Обычный 10 8 3 2 4 4" xfId="10262"/>
    <cellStyle name="Обычный 10 8 3 2 4 4 2" xfId="10263"/>
    <cellStyle name="Обычный 10 8 3 2 4 5" xfId="10264"/>
    <cellStyle name="Обычный 10 8 3 2 4 6" xfId="10265"/>
    <cellStyle name="Обычный 10 8 3 2 5" xfId="10266"/>
    <cellStyle name="Обычный 10 8 3 2 5 2" xfId="10267"/>
    <cellStyle name="Обычный 10 8 3 2 5 3" xfId="10268"/>
    <cellStyle name="Обычный 10 8 3 2 6" xfId="10269"/>
    <cellStyle name="Обычный 10 8 3 2 6 2" xfId="10270"/>
    <cellStyle name="Обычный 10 8 3 2 6 3" xfId="10271"/>
    <cellStyle name="Обычный 10 8 3 2 7" xfId="10272"/>
    <cellStyle name="Обычный 10 8 3 2 7 2" xfId="10273"/>
    <cellStyle name="Обычный 10 8 3 2 8" xfId="10274"/>
    <cellStyle name="Обычный 10 8 3 2 9" xfId="10275"/>
    <cellStyle name="Обычный 10 8 3 3" xfId="10276"/>
    <cellStyle name="Обычный 10 8 3 3 2" xfId="10277"/>
    <cellStyle name="Обычный 10 8 3 3 2 2" xfId="10278"/>
    <cellStyle name="Обычный 10 8 3 3 2 2 2" xfId="10279"/>
    <cellStyle name="Обычный 10 8 3 3 2 2 2 2" xfId="10280"/>
    <cellStyle name="Обычный 10 8 3 3 2 2 2 3" xfId="10281"/>
    <cellStyle name="Обычный 10 8 3 3 2 2 3" xfId="10282"/>
    <cellStyle name="Обычный 10 8 3 3 2 2 3 2" xfId="10283"/>
    <cellStyle name="Обычный 10 8 3 3 2 2 3 3" xfId="10284"/>
    <cellStyle name="Обычный 10 8 3 3 2 2 4" xfId="10285"/>
    <cellStyle name="Обычный 10 8 3 3 2 2 4 2" xfId="10286"/>
    <cellStyle name="Обычный 10 8 3 3 2 2 5" xfId="10287"/>
    <cellStyle name="Обычный 10 8 3 3 2 2 6" xfId="10288"/>
    <cellStyle name="Обычный 10 8 3 3 2 3" xfId="10289"/>
    <cellStyle name="Обычный 10 8 3 3 2 3 2" xfId="10290"/>
    <cellStyle name="Обычный 10 8 3 3 2 3 3" xfId="10291"/>
    <cellStyle name="Обычный 10 8 3 3 2 4" xfId="10292"/>
    <cellStyle name="Обычный 10 8 3 3 2 4 2" xfId="10293"/>
    <cellStyle name="Обычный 10 8 3 3 2 4 3" xfId="10294"/>
    <cellStyle name="Обычный 10 8 3 3 2 5" xfId="10295"/>
    <cellStyle name="Обычный 10 8 3 3 2 5 2" xfId="10296"/>
    <cellStyle name="Обычный 10 8 3 3 2 6" xfId="10297"/>
    <cellStyle name="Обычный 10 8 3 3 2 7" xfId="10298"/>
    <cellStyle name="Обычный 10 8 3 3 3" xfId="10299"/>
    <cellStyle name="Обычный 10 8 3 3 3 2" xfId="10300"/>
    <cellStyle name="Обычный 10 8 3 3 3 2 2" xfId="10301"/>
    <cellStyle name="Обычный 10 8 3 3 3 2 3" xfId="10302"/>
    <cellStyle name="Обычный 10 8 3 3 3 3" xfId="10303"/>
    <cellStyle name="Обычный 10 8 3 3 3 3 2" xfId="10304"/>
    <cellStyle name="Обычный 10 8 3 3 3 3 3" xfId="10305"/>
    <cellStyle name="Обычный 10 8 3 3 3 4" xfId="10306"/>
    <cellStyle name="Обычный 10 8 3 3 3 4 2" xfId="10307"/>
    <cellStyle name="Обычный 10 8 3 3 3 5" xfId="10308"/>
    <cellStyle name="Обычный 10 8 3 3 3 6" xfId="10309"/>
    <cellStyle name="Обычный 10 8 3 3 4" xfId="10310"/>
    <cellStyle name="Обычный 10 8 3 3 4 2" xfId="10311"/>
    <cellStyle name="Обычный 10 8 3 3 4 3" xfId="10312"/>
    <cellStyle name="Обычный 10 8 3 3 5" xfId="10313"/>
    <cellStyle name="Обычный 10 8 3 3 5 2" xfId="10314"/>
    <cellStyle name="Обычный 10 8 3 3 5 3" xfId="10315"/>
    <cellStyle name="Обычный 10 8 3 3 6" xfId="10316"/>
    <cellStyle name="Обычный 10 8 3 3 6 2" xfId="10317"/>
    <cellStyle name="Обычный 10 8 3 3 7" xfId="10318"/>
    <cellStyle name="Обычный 10 8 3 3 8" xfId="10319"/>
    <cellStyle name="Обычный 10 8 3 4" xfId="10320"/>
    <cellStyle name="Обычный 10 8 3 4 2" xfId="10321"/>
    <cellStyle name="Обычный 10 8 3 4 2 2" xfId="10322"/>
    <cellStyle name="Обычный 10 8 3 4 2 2 2" xfId="10323"/>
    <cellStyle name="Обычный 10 8 3 4 2 2 3" xfId="10324"/>
    <cellStyle name="Обычный 10 8 3 4 2 3" xfId="10325"/>
    <cellStyle name="Обычный 10 8 3 4 2 3 2" xfId="10326"/>
    <cellStyle name="Обычный 10 8 3 4 2 3 3" xfId="10327"/>
    <cellStyle name="Обычный 10 8 3 4 2 4" xfId="10328"/>
    <cellStyle name="Обычный 10 8 3 4 2 4 2" xfId="10329"/>
    <cellStyle name="Обычный 10 8 3 4 2 5" xfId="10330"/>
    <cellStyle name="Обычный 10 8 3 4 2 6" xfId="10331"/>
    <cellStyle name="Обычный 10 8 3 4 3" xfId="10332"/>
    <cellStyle name="Обычный 10 8 3 4 3 2" xfId="10333"/>
    <cellStyle name="Обычный 10 8 3 4 3 3" xfId="10334"/>
    <cellStyle name="Обычный 10 8 3 4 4" xfId="10335"/>
    <cellStyle name="Обычный 10 8 3 4 4 2" xfId="10336"/>
    <cellStyle name="Обычный 10 8 3 4 4 3" xfId="10337"/>
    <cellStyle name="Обычный 10 8 3 4 5" xfId="10338"/>
    <cellStyle name="Обычный 10 8 3 4 5 2" xfId="10339"/>
    <cellStyle name="Обычный 10 8 3 4 6" xfId="10340"/>
    <cellStyle name="Обычный 10 8 3 4 7" xfId="10341"/>
    <cellStyle name="Обычный 10 8 3 5" xfId="10342"/>
    <cellStyle name="Обычный 10 8 3 5 2" xfId="10343"/>
    <cellStyle name="Обычный 10 8 3 5 2 2" xfId="10344"/>
    <cellStyle name="Обычный 10 8 3 5 2 3" xfId="10345"/>
    <cellStyle name="Обычный 10 8 3 5 3" xfId="10346"/>
    <cellStyle name="Обычный 10 8 3 5 3 2" xfId="10347"/>
    <cellStyle name="Обычный 10 8 3 5 3 3" xfId="10348"/>
    <cellStyle name="Обычный 10 8 3 5 4" xfId="10349"/>
    <cellStyle name="Обычный 10 8 3 5 4 2" xfId="10350"/>
    <cellStyle name="Обычный 10 8 3 5 5" xfId="10351"/>
    <cellStyle name="Обычный 10 8 3 5 6" xfId="10352"/>
    <cellStyle name="Обычный 10 8 3 6" xfId="10353"/>
    <cellStyle name="Обычный 10 8 3 6 2" xfId="10354"/>
    <cellStyle name="Обычный 10 8 3 6 3" xfId="10355"/>
    <cellStyle name="Обычный 10 8 3 7" xfId="10356"/>
    <cellStyle name="Обычный 10 8 3 7 2" xfId="10357"/>
    <cellStyle name="Обычный 10 8 3 7 3" xfId="10358"/>
    <cellStyle name="Обычный 10 8 3 8" xfId="10359"/>
    <cellStyle name="Обычный 10 8 3 8 2" xfId="10360"/>
    <cellStyle name="Обычный 10 8 3 9" xfId="10361"/>
    <cellStyle name="Обычный 10 8 4" xfId="10362"/>
    <cellStyle name="Обычный 10 8 4 10" xfId="10363"/>
    <cellStyle name="Обычный 10 8 4 2" xfId="10364"/>
    <cellStyle name="Обычный 10 8 4 2 2" xfId="10365"/>
    <cellStyle name="Обычный 10 8 4 2 2 2" xfId="10366"/>
    <cellStyle name="Обычный 10 8 4 2 2 2 2" xfId="10367"/>
    <cellStyle name="Обычный 10 8 4 2 2 2 2 2" xfId="10368"/>
    <cellStyle name="Обычный 10 8 4 2 2 2 2 2 2" xfId="10369"/>
    <cellStyle name="Обычный 10 8 4 2 2 2 2 2 3" xfId="10370"/>
    <cellStyle name="Обычный 10 8 4 2 2 2 2 3" xfId="10371"/>
    <cellStyle name="Обычный 10 8 4 2 2 2 2 3 2" xfId="10372"/>
    <cellStyle name="Обычный 10 8 4 2 2 2 2 3 3" xfId="10373"/>
    <cellStyle name="Обычный 10 8 4 2 2 2 2 4" xfId="10374"/>
    <cellStyle name="Обычный 10 8 4 2 2 2 2 4 2" xfId="10375"/>
    <cellStyle name="Обычный 10 8 4 2 2 2 2 5" xfId="10376"/>
    <cellStyle name="Обычный 10 8 4 2 2 2 2 6" xfId="10377"/>
    <cellStyle name="Обычный 10 8 4 2 2 2 3" xfId="10378"/>
    <cellStyle name="Обычный 10 8 4 2 2 2 3 2" xfId="10379"/>
    <cellStyle name="Обычный 10 8 4 2 2 2 3 3" xfId="10380"/>
    <cellStyle name="Обычный 10 8 4 2 2 2 4" xfId="10381"/>
    <cellStyle name="Обычный 10 8 4 2 2 2 4 2" xfId="10382"/>
    <cellStyle name="Обычный 10 8 4 2 2 2 4 3" xfId="10383"/>
    <cellStyle name="Обычный 10 8 4 2 2 2 5" xfId="10384"/>
    <cellStyle name="Обычный 10 8 4 2 2 2 5 2" xfId="10385"/>
    <cellStyle name="Обычный 10 8 4 2 2 2 6" xfId="10386"/>
    <cellStyle name="Обычный 10 8 4 2 2 2 7" xfId="10387"/>
    <cellStyle name="Обычный 10 8 4 2 2 3" xfId="10388"/>
    <cellStyle name="Обычный 10 8 4 2 2 3 2" xfId="10389"/>
    <cellStyle name="Обычный 10 8 4 2 2 3 2 2" xfId="10390"/>
    <cellStyle name="Обычный 10 8 4 2 2 3 2 3" xfId="10391"/>
    <cellStyle name="Обычный 10 8 4 2 2 3 3" xfId="10392"/>
    <cellStyle name="Обычный 10 8 4 2 2 3 3 2" xfId="10393"/>
    <cellStyle name="Обычный 10 8 4 2 2 3 3 3" xfId="10394"/>
    <cellStyle name="Обычный 10 8 4 2 2 3 4" xfId="10395"/>
    <cellStyle name="Обычный 10 8 4 2 2 3 4 2" xfId="10396"/>
    <cellStyle name="Обычный 10 8 4 2 2 3 5" xfId="10397"/>
    <cellStyle name="Обычный 10 8 4 2 2 3 6" xfId="10398"/>
    <cellStyle name="Обычный 10 8 4 2 2 4" xfId="10399"/>
    <cellStyle name="Обычный 10 8 4 2 2 4 2" xfId="10400"/>
    <cellStyle name="Обычный 10 8 4 2 2 4 3" xfId="10401"/>
    <cellStyle name="Обычный 10 8 4 2 2 5" xfId="10402"/>
    <cellStyle name="Обычный 10 8 4 2 2 5 2" xfId="10403"/>
    <cellStyle name="Обычный 10 8 4 2 2 5 3" xfId="10404"/>
    <cellStyle name="Обычный 10 8 4 2 2 6" xfId="10405"/>
    <cellStyle name="Обычный 10 8 4 2 2 6 2" xfId="10406"/>
    <cellStyle name="Обычный 10 8 4 2 2 7" xfId="10407"/>
    <cellStyle name="Обычный 10 8 4 2 2 8" xfId="10408"/>
    <cellStyle name="Обычный 10 8 4 2 3" xfId="10409"/>
    <cellStyle name="Обычный 10 8 4 2 3 2" xfId="10410"/>
    <cellStyle name="Обычный 10 8 4 2 3 2 2" xfId="10411"/>
    <cellStyle name="Обычный 10 8 4 2 3 2 2 2" xfId="10412"/>
    <cellStyle name="Обычный 10 8 4 2 3 2 2 3" xfId="10413"/>
    <cellStyle name="Обычный 10 8 4 2 3 2 3" xfId="10414"/>
    <cellStyle name="Обычный 10 8 4 2 3 2 3 2" xfId="10415"/>
    <cellStyle name="Обычный 10 8 4 2 3 2 3 3" xfId="10416"/>
    <cellStyle name="Обычный 10 8 4 2 3 2 4" xfId="10417"/>
    <cellStyle name="Обычный 10 8 4 2 3 2 4 2" xfId="10418"/>
    <cellStyle name="Обычный 10 8 4 2 3 2 5" xfId="10419"/>
    <cellStyle name="Обычный 10 8 4 2 3 2 6" xfId="10420"/>
    <cellStyle name="Обычный 10 8 4 2 3 3" xfId="10421"/>
    <cellStyle name="Обычный 10 8 4 2 3 3 2" xfId="10422"/>
    <cellStyle name="Обычный 10 8 4 2 3 3 3" xfId="10423"/>
    <cellStyle name="Обычный 10 8 4 2 3 4" xfId="10424"/>
    <cellStyle name="Обычный 10 8 4 2 3 4 2" xfId="10425"/>
    <cellStyle name="Обычный 10 8 4 2 3 4 3" xfId="10426"/>
    <cellStyle name="Обычный 10 8 4 2 3 5" xfId="10427"/>
    <cellStyle name="Обычный 10 8 4 2 3 5 2" xfId="10428"/>
    <cellStyle name="Обычный 10 8 4 2 3 6" xfId="10429"/>
    <cellStyle name="Обычный 10 8 4 2 3 7" xfId="10430"/>
    <cellStyle name="Обычный 10 8 4 2 4" xfId="10431"/>
    <cellStyle name="Обычный 10 8 4 2 4 2" xfId="10432"/>
    <cellStyle name="Обычный 10 8 4 2 4 2 2" xfId="10433"/>
    <cellStyle name="Обычный 10 8 4 2 4 2 3" xfId="10434"/>
    <cellStyle name="Обычный 10 8 4 2 4 3" xfId="10435"/>
    <cellStyle name="Обычный 10 8 4 2 4 3 2" xfId="10436"/>
    <cellStyle name="Обычный 10 8 4 2 4 3 3" xfId="10437"/>
    <cellStyle name="Обычный 10 8 4 2 4 4" xfId="10438"/>
    <cellStyle name="Обычный 10 8 4 2 4 4 2" xfId="10439"/>
    <cellStyle name="Обычный 10 8 4 2 4 5" xfId="10440"/>
    <cellStyle name="Обычный 10 8 4 2 4 6" xfId="10441"/>
    <cellStyle name="Обычный 10 8 4 2 5" xfId="10442"/>
    <cellStyle name="Обычный 10 8 4 2 5 2" xfId="10443"/>
    <cellStyle name="Обычный 10 8 4 2 5 3" xfId="10444"/>
    <cellStyle name="Обычный 10 8 4 2 6" xfId="10445"/>
    <cellStyle name="Обычный 10 8 4 2 6 2" xfId="10446"/>
    <cellStyle name="Обычный 10 8 4 2 6 3" xfId="10447"/>
    <cellStyle name="Обычный 10 8 4 2 7" xfId="10448"/>
    <cellStyle name="Обычный 10 8 4 2 7 2" xfId="10449"/>
    <cellStyle name="Обычный 10 8 4 2 8" xfId="10450"/>
    <cellStyle name="Обычный 10 8 4 2 9" xfId="10451"/>
    <cellStyle name="Обычный 10 8 4 3" xfId="10452"/>
    <cellStyle name="Обычный 10 8 4 3 2" xfId="10453"/>
    <cellStyle name="Обычный 10 8 4 3 2 2" xfId="10454"/>
    <cellStyle name="Обычный 10 8 4 3 2 2 2" xfId="10455"/>
    <cellStyle name="Обычный 10 8 4 3 2 2 2 2" xfId="10456"/>
    <cellStyle name="Обычный 10 8 4 3 2 2 2 3" xfId="10457"/>
    <cellStyle name="Обычный 10 8 4 3 2 2 3" xfId="10458"/>
    <cellStyle name="Обычный 10 8 4 3 2 2 3 2" xfId="10459"/>
    <cellStyle name="Обычный 10 8 4 3 2 2 3 3" xfId="10460"/>
    <cellStyle name="Обычный 10 8 4 3 2 2 4" xfId="10461"/>
    <cellStyle name="Обычный 10 8 4 3 2 2 4 2" xfId="10462"/>
    <cellStyle name="Обычный 10 8 4 3 2 2 5" xfId="10463"/>
    <cellStyle name="Обычный 10 8 4 3 2 2 6" xfId="10464"/>
    <cellStyle name="Обычный 10 8 4 3 2 3" xfId="10465"/>
    <cellStyle name="Обычный 10 8 4 3 2 3 2" xfId="10466"/>
    <cellStyle name="Обычный 10 8 4 3 2 3 3" xfId="10467"/>
    <cellStyle name="Обычный 10 8 4 3 2 4" xfId="10468"/>
    <cellStyle name="Обычный 10 8 4 3 2 4 2" xfId="10469"/>
    <cellStyle name="Обычный 10 8 4 3 2 4 3" xfId="10470"/>
    <cellStyle name="Обычный 10 8 4 3 2 5" xfId="10471"/>
    <cellStyle name="Обычный 10 8 4 3 2 5 2" xfId="10472"/>
    <cellStyle name="Обычный 10 8 4 3 2 6" xfId="10473"/>
    <cellStyle name="Обычный 10 8 4 3 2 7" xfId="10474"/>
    <cellStyle name="Обычный 10 8 4 3 3" xfId="10475"/>
    <cellStyle name="Обычный 10 8 4 3 3 2" xfId="10476"/>
    <cellStyle name="Обычный 10 8 4 3 3 2 2" xfId="10477"/>
    <cellStyle name="Обычный 10 8 4 3 3 2 3" xfId="10478"/>
    <cellStyle name="Обычный 10 8 4 3 3 3" xfId="10479"/>
    <cellStyle name="Обычный 10 8 4 3 3 3 2" xfId="10480"/>
    <cellStyle name="Обычный 10 8 4 3 3 3 3" xfId="10481"/>
    <cellStyle name="Обычный 10 8 4 3 3 4" xfId="10482"/>
    <cellStyle name="Обычный 10 8 4 3 3 4 2" xfId="10483"/>
    <cellStyle name="Обычный 10 8 4 3 3 5" xfId="10484"/>
    <cellStyle name="Обычный 10 8 4 3 3 6" xfId="10485"/>
    <cellStyle name="Обычный 10 8 4 3 4" xfId="10486"/>
    <cellStyle name="Обычный 10 8 4 3 4 2" xfId="10487"/>
    <cellStyle name="Обычный 10 8 4 3 4 3" xfId="10488"/>
    <cellStyle name="Обычный 10 8 4 3 5" xfId="10489"/>
    <cellStyle name="Обычный 10 8 4 3 5 2" xfId="10490"/>
    <cellStyle name="Обычный 10 8 4 3 5 3" xfId="10491"/>
    <cellStyle name="Обычный 10 8 4 3 6" xfId="10492"/>
    <cellStyle name="Обычный 10 8 4 3 6 2" xfId="10493"/>
    <cellStyle name="Обычный 10 8 4 3 7" xfId="10494"/>
    <cellStyle name="Обычный 10 8 4 3 8" xfId="10495"/>
    <cellStyle name="Обычный 10 8 4 4" xfId="10496"/>
    <cellStyle name="Обычный 10 8 4 4 2" xfId="10497"/>
    <cellStyle name="Обычный 10 8 4 4 2 2" xfId="10498"/>
    <cellStyle name="Обычный 10 8 4 4 2 2 2" xfId="10499"/>
    <cellStyle name="Обычный 10 8 4 4 2 2 3" xfId="10500"/>
    <cellStyle name="Обычный 10 8 4 4 2 3" xfId="10501"/>
    <cellStyle name="Обычный 10 8 4 4 2 3 2" xfId="10502"/>
    <cellStyle name="Обычный 10 8 4 4 2 3 3" xfId="10503"/>
    <cellStyle name="Обычный 10 8 4 4 2 4" xfId="10504"/>
    <cellStyle name="Обычный 10 8 4 4 2 4 2" xfId="10505"/>
    <cellStyle name="Обычный 10 8 4 4 2 5" xfId="10506"/>
    <cellStyle name="Обычный 10 8 4 4 2 6" xfId="10507"/>
    <cellStyle name="Обычный 10 8 4 4 3" xfId="10508"/>
    <cellStyle name="Обычный 10 8 4 4 3 2" xfId="10509"/>
    <cellStyle name="Обычный 10 8 4 4 3 3" xfId="10510"/>
    <cellStyle name="Обычный 10 8 4 4 4" xfId="10511"/>
    <cellStyle name="Обычный 10 8 4 4 4 2" xfId="10512"/>
    <cellStyle name="Обычный 10 8 4 4 4 3" xfId="10513"/>
    <cellStyle name="Обычный 10 8 4 4 5" xfId="10514"/>
    <cellStyle name="Обычный 10 8 4 4 5 2" xfId="10515"/>
    <cellStyle name="Обычный 10 8 4 4 6" xfId="10516"/>
    <cellStyle name="Обычный 10 8 4 4 7" xfId="10517"/>
    <cellStyle name="Обычный 10 8 4 5" xfId="10518"/>
    <cellStyle name="Обычный 10 8 4 5 2" xfId="10519"/>
    <cellStyle name="Обычный 10 8 4 5 2 2" xfId="10520"/>
    <cellStyle name="Обычный 10 8 4 5 2 3" xfId="10521"/>
    <cellStyle name="Обычный 10 8 4 5 3" xfId="10522"/>
    <cellStyle name="Обычный 10 8 4 5 3 2" xfId="10523"/>
    <cellStyle name="Обычный 10 8 4 5 3 3" xfId="10524"/>
    <cellStyle name="Обычный 10 8 4 5 4" xfId="10525"/>
    <cellStyle name="Обычный 10 8 4 5 4 2" xfId="10526"/>
    <cellStyle name="Обычный 10 8 4 5 5" xfId="10527"/>
    <cellStyle name="Обычный 10 8 4 5 6" xfId="10528"/>
    <cellStyle name="Обычный 10 8 4 6" xfId="10529"/>
    <cellStyle name="Обычный 10 8 4 6 2" xfId="10530"/>
    <cellStyle name="Обычный 10 8 4 6 3" xfId="10531"/>
    <cellStyle name="Обычный 10 8 4 7" xfId="10532"/>
    <cellStyle name="Обычный 10 8 4 7 2" xfId="10533"/>
    <cellStyle name="Обычный 10 8 4 7 3" xfId="10534"/>
    <cellStyle name="Обычный 10 8 4 8" xfId="10535"/>
    <cellStyle name="Обычный 10 8 4 8 2" xfId="10536"/>
    <cellStyle name="Обычный 10 8 4 9" xfId="10537"/>
    <cellStyle name="Обычный 10 8 5" xfId="10538"/>
    <cellStyle name="Обычный 10 8 5 10" xfId="10539"/>
    <cellStyle name="Обычный 10 8 5 2" xfId="10540"/>
    <cellStyle name="Обычный 10 8 5 2 2" xfId="10541"/>
    <cellStyle name="Обычный 10 8 5 2 2 2" xfId="10542"/>
    <cellStyle name="Обычный 10 8 5 2 2 2 2" xfId="10543"/>
    <cellStyle name="Обычный 10 8 5 2 2 2 2 2" xfId="10544"/>
    <cellStyle name="Обычный 10 8 5 2 2 2 2 2 2" xfId="10545"/>
    <cellStyle name="Обычный 10 8 5 2 2 2 2 2 3" xfId="10546"/>
    <cellStyle name="Обычный 10 8 5 2 2 2 2 3" xfId="10547"/>
    <cellStyle name="Обычный 10 8 5 2 2 2 2 3 2" xfId="10548"/>
    <cellStyle name="Обычный 10 8 5 2 2 2 2 3 3" xfId="10549"/>
    <cellStyle name="Обычный 10 8 5 2 2 2 2 4" xfId="10550"/>
    <cellStyle name="Обычный 10 8 5 2 2 2 2 4 2" xfId="10551"/>
    <cellStyle name="Обычный 10 8 5 2 2 2 2 5" xfId="10552"/>
    <cellStyle name="Обычный 10 8 5 2 2 2 2 6" xfId="10553"/>
    <cellStyle name="Обычный 10 8 5 2 2 2 3" xfId="10554"/>
    <cellStyle name="Обычный 10 8 5 2 2 2 3 2" xfId="10555"/>
    <cellStyle name="Обычный 10 8 5 2 2 2 3 3" xfId="10556"/>
    <cellStyle name="Обычный 10 8 5 2 2 2 4" xfId="10557"/>
    <cellStyle name="Обычный 10 8 5 2 2 2 4 2" xfId="10558"/>
    <cellStyle name="Обычный 10 8 5 2 2 2 4 3" xfId="10559"/>
    <cellStyle name="Обычный 10 8 5 2 2 2 5" xfId="10560"/>
    <cellStyle name="Обычный 10 8 5 2 2 2 5 2" xfId="10561"/>
    <cellStyle name="Обычный 10 8 5 2 2 2 6" xfId="10562"/>
    <cellStyle name="Обычный 10 8 5 2 2 2 7" xfId="10563"/>
    <cellStyle name="Обычный 10 8 5 2 2 3" xfId="10564"/>
    <cellStyle name="Обычный 10 8 5 2 2 3 2" xfId="10565"/>
    <cellStyle name="Обычный 10 8 5 2 2 3 2 2" xfId="10566"/>
    <cellStyle name="Обычный 10 8 5 2 2 3 2 3" xfId="10567"/>
    <cellStyle name="Обычный 10 8 5 2 2 3 3" xfId="10568"/>
    <cellStyle name="Обычный 10 8 5 2 2 3 3 2" xfId="10569"/>
    <cellStyle name="Обычный 10 8 5 2 2 3 3 3" xfId="10570"/>
    <cellStyle name="Обычный 10 8 5 2 2 3 4" xfId="10571"/>
    <cellStyle name="Обычный 10 8 5 2 2 3 4 2" xfId="10572"/>
    <cellStyle name="Обычный 10 8 5 2 2 3 5" xfId="10573"/>
    <cellStyle name="Обычный 10 8 5 2 2 3 6" xfId="10574"/>
    <cellStyle name="Обычный 10 8 5 2 2 4" xfId="10575"/>
    <cellStyle name="Обычный 10 8 5 2 2 4 2" xfId="10576"/>
    <cellStyle name="Обычный 10 8 5 2 2 4 3" xfId="10577"/>
    <cellStyle name="Обычный 10 8 5 2 2 5" xfId="10578"/>
    <cellStyle name="Обычный 10 8 5 2 2 5 2" xfId="10579"/>
    <cellStyle name="Обычный 10 8 5 2 2 5 3" xfId="10580"/>
    <cellStyle name="Обычный 10 8 5 2 2 6" xfId="10581"/>
    <cellStyle name="Обычный 10 8 5 2 2 6 2" xfId="10582"/>
    <cellStyle name="Обычный 10 8 5 2 2 7" xfId="10583"/>
    <cellStyle name="Обычный 10 8 5 2 2 8" xfId="10584"/>
    <cellStyle name="Обычный 10 8 5 2 3" xfId="10585"/>
    <cellStyle name="Обычный 10 8 5 2 3 2" xfId="10586"/>
    <cellStyle name="Обычный 10 8 5 2 3 2 2" xfId="10587"/>
    <cellStyle name="Обычный 10 8 5 2 3 2 2 2" xfId="10588"/>
    <cellStyle name="Обычный 10 8 5 2 3 2 2 3" xfId="10589"/>
    <cellStyle name="Обычный 10 8 5 2 3 2 3" xfId="10590"/>
    <cellStyle name="Обычный 10 8 5 2 3 2 3 2" xfId="10591"/>
    <cellStyle name="Обычный 10 8 5 2 3 2 3 3" xfId="10592"/>
    <cellStyle name="Обычный 10 8 5 2 3 2 4" xfId="10593"/>
    <cellStyle name="Обычный 10 8 5 2 3 2 4 2" xfId="10594"/>
    <cellStyle name="Обычный 10 8 5 2 3 2 5" xfId="10595"/>
    <cellStyle name="Обычный 10 8 5 2 3 2 6" xfId="10596"/>
    <cellStyle name="Обычный 10 8 5 2 3 3" xfId="10597"/>
    <cellStyle name="Обычный 10 8 5 2 3 3 2" xfId="10598"/>
    <cellStyle name="Обычный 10 8 5 2 3 3 3" xfId="10599"/>
    <cellStyle name="Обычный 10 8 5 2 3 4" xfId="10600"/>
    <cellStyle name="Обычный 10 8 5 2 3 4 2" xfId="10601"/>
    <cellStyle name="Обычный 10 8 5 2 3 4 3" xfId="10602"/>
    <cellStyle name="Обычный 10 8 5 2 3 5" xfId="10603"/>
    <cellStyle name="Обычный 10 8 5 2 3 5 2" xfId="10604"/>
    <cellStyle name="Обычный 10 8 5 2 3 6" xfId="10605"/>
    <cellStyle name="Обычный 10 8 5 2 3 7" xfId="10606"/>
    <cellStyle name="Обычный 10 8 5 2 4" xfId="10607"/>
    <cellStyle name="Обычный 10 8 5 2 4 2" xfId="10608"/>
    <cellStyle name="Обычный 10 8 5 2 4 2 2" xfId="10609"/>
    <cellStyle name="Обычный 10 8 5 2 4 2 3" xfId="10610"/>
    <cellStyle name="Обычный 10 8 5 2 4 3" xfId="10611"/>
    <cellStyle name="Обычный 10 8 5 2 4 3 2" xfId="10612"/>
    <cellStyle name="Обычный 10 8 5 2 4 3 3" xfId="10613"/>
    <cellStyle name="Обычный 10 8 5 2 4 4" xfId="10614"/>
    <cellStyle name="Обычный 10 8 5 2 4 4 2" xfId="10615"/>
    <cellStyle name="Обычный 10 8 5 2 4 5" xfId="10616"/>
    <cellStyle name="Обычный 10 8 5 2 4 6" xfId="10617"/>
    <cellStyle name="Обычный 10 8 5 2 5" xfId="10618"/>
    <cellStyle name="Обычный 10 8 5 2 5 2" xfId="10619"/>
    <cellStyle name="Обычный 10 8 5 2 5 3" xfId="10620"/>
    <cellStyle name="Обычный 10 8 5 2 6" xfId="10621"/>
    <cellStyle name="Обычный 10 8 5 2 6 2" xfId="10622"/>
    <cellStyle name="Обычный 10 8 5 2 6 3" xfId="10623"/>
    <cellStyle name="Обычный 10 8 5 2 7" xfId="10624"/>
    <cellStyle name="Обычный 10 8 5 2 7 2" xfId="10625"/>
    <cellStyle name="Обычный 10 8 5 2 8" xfId="10626"/>
    <cellStyle name="Обычный 10 8 5 2 9" xfId="10627"/>
    <cellStyle name="Обычный 10 8 5 3" xfId="10628"/>
    <cellStyle name="Обычный 10 8 5 3 2" xfId="10629"/>
    <cellStyle name="Обычный 10 8 5 3 2 2" xfId="10630"/>
    <cellStyle name="Обычный 10 8 5 3 2 2 2" xfId="10631"/>
    <cellStyle name="Обычный 10 8 5 3 2 2 2 2" xfId="10632"/>
    <cellStyle name="Обычный 10 8 5 3 2 2 2 3" xfId="10633"/>
    <cellStyle name="Обычный 10 8 5 3 2 2 3" xfId="10634"/>
    <cellStyle name="Обычный 10 8 5 3 2 2 3 2" xfId="10635"/>
    <cellStyle name="Обычный 10 8 5 3 2 2 3 3" xfId="10636"/>
    <cellStyle name="Обычный 10 8 5 3 2 2 4" xfId="10637"/>
    <cellStyle name="Обычный 10 8 5 3 2 2 4 2" xfId="10638"/>
    <cellStyle name="Обычный 10 8 5 3 2 2 5" xfId="10639"/>
    <cellStyle name="Обычный 10 8 5 3 2 2 6" xfId="10640"/>
    <cellStyle name="Обычный 10 8 5 3 2 3" xfId="10641"/>
    <cellStyle name="Обычный 10 8 5 3 2 3 2" xfId="10642"/>
    <cellStyle name="Обычный 10 8 5 3 2 3 3" xfId="10643"/>
    <cellStyle name="Обычный 10 8 5 3 2 4" xfId="10644"/>
    <cellStyle name="Обычный 10 8 5 3 2 4 2" xfId="10645"/>
    <cellStyle name="Обычный 10 8 5 3 2 4 3" xfId="10646"/>
    <cellStyle name="Обычный 10 8 5 3 2 5" xfId="10647"/>
    <cellStyle name="Обычный 10 8 5 3 2 5 2" xfId="10648"/>
    <cellStyle name="Обычный 10 8 5 3 2 6" xfId="10649"/>
    <cellStyle name="Обычный 10 8 5 3 2 7" xfId="10650"/>
    <cellStyle name="Обычный 10 8 5 3 3" xfId="10651"/>
    <cellStyle name="Обычный 10 8 5 3 3 2" xfId="10652"/>
    <cellStyle name="Обычный 10 8 5 3 3 2 2" xfId="10653"/>
    <cellStyle name="Обычный 10 8 5 3 3 2 3" xfId="10654"/>
    <cellStyle name="Обычный 10 8 5 3 3 3" xfId="10655"/>
    <cellStyle name="Обычный 10 8 5 3 3 3 2" xfId="10656"/>
    <cellStyle name="Обычный 10 8 5 3 3 3 3" xfId="10657"/>
    <cellStyle name="Обычный 10 8 5 3 3 4" xfId="10658"/>
    <cellStyle name="Обычный 10 8 5 3 3 4 2" xfId="10659"/>
    <cellStyle name="Обычный 10 8 5 3 3 5" xfId="10660"/>
    <cellStyle name="Обычный 10 8 5 3 3 6" xfId="10661"/>
    <cellStyle name="Обычный 10 8 5 3 4" xfId="10662"/>
    <cellStyle name="Обычный 10 8 5 3 4 2" xfId="10663"/>
    <cellStyle name="Обычный 10 8 5 3 4 3" xfId="10664"/>
    <cellStyle name="Обычный 10 8 5 3 5" xfId="10665"/>
    <cellStyle name="Обычный 10 8 5 3 5 2" xfId="10666"/>
    <cellStyle name="Обычный 10 8 5 3 5 3" xfId="10667"/>
    <cellStyle name="Обычный 10 8 5 3 6" xfId="10668"/>
    <cellStyle name="Обычный 10 8 5 3 6 2" xfId="10669"/>
    <cellStyle name="Обычный 10 8 5 3 7" xfId="10670"/>
    <cellStyle name="Обычный 10 8 5 3 8" xfId="10671"/>
    <cellStyle name="Обычный 10 8 5 4" xfId="10672"/>
    <cellStyle name="Обычный 10 8 5 4 2" xfId="10673"/>
    <cellStyle name="Обычный 10 8 5 4 2 2" xfId="10674"/>
    <cellStyle name="Обычный 10 8 5 4 2 2 2" xfId="10675"/>
    <cellStyle name="Обычный 10 8 5 4 2 2 3" xfId="10676"/>
    <cellStyle name="Обычный 10 8 5 4 2 3" xfId="10677"/>
    <cellStyle name="Обычный 10 8 5 4 2 3 2" xfId="10678"/>
    <cellStyle name="Обычный 10 8 5 4 2 3 3" xfId="10679"/>
    <cellStyle name="Обычный 10 8 5 4 2 4" xfId="10680"/>
    <cellStyle name="Обычный 10 8 5 4 2 4 2" xfId="10681"/>
    <cellStyle name="Обычный 10 8 5 4 2 5" xfId="10682"/>
    <cellStyle name="Обычный 10 8 5 4 2 6" xfId="10683"/>
    <cellStyle name="Обычный 10 8 5 4 3" xfId="10684"/>
    <cellStyle name="Обычный 10 8 5 4 3 2" xfId="10685"/>
    <cellStyle name="Обычный 10 8 5 4 3 3" xfId="10686"/>
    <cellStyle name="Обычный 10 8 5 4 4" xfId="10687"/>
    <cellStyle name="Обычный 10 8 5 4 4 2" xfId="10688"/>
    <cellStyle name="Обычный 10 8 5 4 4 3" xfId="10689"/>
    <cellStyle name="Обычный 10 8 5 4 5" xfId="10690"/>
    <cellStyle name="Обычный 10 8 5 4 5 2" xfId="10691"/>
    <cellStyle name="Обычный 10 8 5 4 6" xfId="10692"/>
    <cellStyle name="Обычный 10 8 5 4 7" xfId="10693"/>
    <cellStyle name="Обычный 10 8 5 5" xfId="10694"/>
    <cellStyle name="Обычный 10 8 5 5 2" xfId="10695"/>
    <cellStyle name="Обычный 10 8 5 5 2 2" xfId="10696"/>
    <cellStyle name="Обычный 10 8 5 5 2 3" xfId="10697"/>
    <cellStyle name="Обычный 10 8 5 5 3" xfId="10698"/>
    <cellStyle name="Обычный 10 8 5 5 3 2" xfId="10699"/>
    <cellStyle name="Обычный 10 8 5 5 3 3" xfId="10700"/>
    <cellStyle name="Обычный 10 8 5 5 4" xfId="10701"/>
    <cellStyle name="Обычный 10 8 5 5 4 2" xfId="10702"/>
    <cellStyle name="Обычный 10 8 5 5 5" xfId="10703"/>
    <cellStyle name="Обычный 10 8 5 5 6" xfId="10704"/>
    <cellStyle name="Обычный 10 8 5 6" xfId="10705"/>
    <cellStyle name="Обычный 10 8 5 6 2" xfId="10706"/>
    <cellStyle name="Обычный 10 8 5 6 3" xfId="10707"/>
    <cellStyle name="Обычный 10 8 5 7" xfId="10708"/>
    <cellStyle name="Обычный 10 8 5 7 2" xfId="10709"/>
    <cellStyle name="Обычный 10 8 5 7 3" xfId="10710"/>
    <cellStyle name="Обычный 10 8 5 8" xfId="10711"/>
    <cellStyle name="Обычный 10 8 5 8 2" xfId="10712"/>
    <cellStyle name="Обычный 10 8 5 9" xfId="10713"/>
    <cellStyle name="Обычный 10 8 6" xfId="10714"/>
    <cellStyle name="Обычный 10 8 6 2" xfId="10715"/>
    <cellStyle name="Обычный 10 8 6 2 2" xfId="10716"/>
    <cellStyle name="Обычный 10 8 6 2 2 2" xfId="10717"/>
    <cellStyle name="Обычный 10 8 6 2 2 2 2" xfId="10718"/>
    <cellStyle name="Обычный 10 8 6 2 2 2 2 2" xfId="10719"/>
    <cellStyle name="Обычный 10 8 6 2 2 2 2 3" xfId="10720"/>
    <cellStyle name="Обычный 10 8 6 2 2 2 3" xfId="10721"/>
    <cellStyle name="Обычный 10 8 6 2 2 2 3 2" xfId="10722"/>
    <cellStyle name="Обычный 10 8 6 2 2 2 3 3" xfId="10723"/>
    <cellStyle name="Обычный 10 8 6 2 2 2 4" xfId="10724"/>
    <cellStyle name="Обычный 10 8 6 2 2 2 4 2" xfId="10725"/>
    <cellStyle name="Обычный 10 8 6 2 2 2 5" xfId="10726"/>
    <cellStyle name="Обычный 10 8 6 2 2 2 6" xfId="10727"/>
    <cellStyle name="Обычный 10 8 6 2 2 3" xfId="10728"/>
    <cellStyle name="Обычный 10 8 6 2 2 3 2" xfId="10729"/>
    <cellStyle name="Обычный 10 8 6 2 2 3 3" xfId="10730"/>
    <cellStyle name="Обычный 10 8 6 2 2 4" xfId="10731"/>
    <cellStyle name="Обычный 10 8 6 2 2 4 2" xfId="10732"/>
    <cellStyle name="Обычный 10 8 6 2 2 4 3" xfId="10733"/>
    <cellStyle name="Обычный 10 8 6 2 2 5" xfId="10734"/>
    <cellStyle name="Обычный 10 8 6 2 2 5 2" xfId="10735"/>
    <cellStyle name="Обычный 10 8 6 2 2 6" xfId="10736"/>
    <cellStyle name="Обычный 10 8 6 2 2 7" xfId="10737"/>
    <cellStyle name="Обычный 10 8 6 2 3" xfId="10738"/>
    <cellStyle name="Обычный 10 8 6 2 3 2" xfId="10739"/>
    <cellStyle name="Обычный 10 8 6 2 3 2 2" xfId="10740"/>
    <cellStyle name="Обычный 10 8 6 2 3 2 3" xfId="10741"/>
    <cellStyle name="Обычный 10 8 6 2 3 3" xfId="10742"/>
    <cellStyle name="Обычный 10 8 6 2 3 3 2" xfId="10743"/>
    <cellStyle name="Обычный 10 8 6 2 3 3 3" xfId="10744"/>
    <cellStyle name="Обычный 10 8 6 2 3 4" xfId="10745"/>
    <cellStyle name="Обычный 10 8 6 2 3 4 2" xfId="10746"/>
    <cellStyle name="Обычный 10 8 6 2 3 5" xfId="10747"/>
    <cellStyle name="Обычный 10 8 6 2 3 6" xfId="10748"/>
    <cellStyle name="Обычный 10 8 6 2 4" xfId="10749"/>
    <cellStyle name="Обычный 10 8 6 2 4 2" xfId="10750"/>
    <cellStyle name="Обычный 10 8 6 2 4 3" xfId="10751"/>
    <cellStyle name="Обычный 10 8 6 2 5" xfId="10752"/>
    <cellStyle name="Обычный 10 8 6 2 5 2" xfId="10753"/>
    <cellStyle name="Обычный 10 8 6 2 5 3" xfId="10754"/>
    <cellStyle name="Обычный 10 8 6 2 6" xfId="10755"/>
    <cellStyle name="Обычный 10 8 6 2 6 2" xfId="10756"/>
    <cellStyle name="Обычный 10 8 6 2 7" xfId="10757"/>
    <cellStyle name="Обычный 10 8 6 2 8" xfId="10758"/>
    <cellStyle name="Обычный 10 8 6 3" xfId="10759"/>
    <cellStyle name="Обычный 10 8 6 3 2" xfId="10760"/>
    <cellStyle name="Обычный 10 8 6 3 2 2" xfId="10761"/>
    <cellStyle name="Обычный 10 8 6 3 2 2 2" xfId="10762"/>
    <cellStyle name="Обычный 10 8 6 3 2 2 3" xfId="10763"/>
    <cellStyle name="Обычный 10 8 6 3 2 3" xfId="10764"/>
    <cellStyle name="Обычный 10 8 6 3 2 3 2" xfId="10765"/>
    <cellStyle name="Обычный 10 8 6 3 2 3 3" xfId="10766"/>
    <cellStyle name="Обычный 10 8 6 3 2 4" xfId="10767"/>
    <cellStyle name="Обычный 10 8 6 3 2 4 2" xfId="10768"/>
    <cellStyle name="Обычный 10 8 6 3 2 5" xfId="10769"/>
    <cellStyle name="Обычный 10 8 6 3 2 6" xfId="10770"/>
    <cellStyle name="Обычный 10 8 6 3 3" xfId="10771"/>
    <cellStyle name="Обычный 10 8 6 3 3 2" xfId="10772"/>
    <cellStyle name="Обычный 10 8 6 3 3 3" xfId="10773"/>
    <cellStyle name="Обычный 10 8 6 3 4" xfId="10774"/>
    <cellStyle name="Обычный 10 8 6 3 4 2" xfId="10775"/>
    <cellStyle name="Обычный 10 8 6 3 4 3" xfId="10776"/>
    <cellStyle name="Обычный 10 8 6 3 5" xfId="10777"/>
    <cellStyle name="Обычный 10 8 6 3 5 2" xfId="10778"/>
    <cellStyle name="Обычный 10 8 6 3 6" xfId="10779"/>
    <cellStyle name="Обычный 10 8 6 3 7" xfId="10780"/>
    <cellStyle name="Обычный 10 8 6 4" xfId="10781"/>
    <cellStyle name="Обычный 10 8 6 4 2" xfId="10782"/>
    <cellStyle name="Обычный 10 8 6 4 2 2" xfId="10783"/>
    <cellStyle name="Обычный 10 8 6 4 2 3" xfId="10784"/>
    <cellStyle name="Обычный 10 8 6 4 3" xfId="10785"/>
    <cellStyle name="Обычный 10 8 6 4 3 2" xfId="10786"/>
    <cellStyle name="Обычный 10 8 6 4 3 3" xfId="10787"/>
    <cellStyle name="Обычный 10 8 6 4 4" xfId="10788"/>
    <cellStyle name="Обычный 10 8 6 4 4 2" xfId="10789"/>
    <cellStyle name="Обычный 10 8 6 4 5" xfId="10790"/>
    <cellStyle name="Обычный 10 8 6 4 6" xfId="10791"/>
    <cellStyle name="Обычный 10 8 6 5" xfId="10792"/>
    <cellStyle name="Обычный 10 8 6 5 2" xfId="10793"/>
    <cellStyle name="Обычный 10 8 6 5 3" xfId="10794"/>
    <cellStyle name="Обычный 10 8 6 6" xfId="10795"/>
    <cellStyle name="Обычный 10 8 6 6 2" xfId="10796"/>
    <cellStyle name="Обычный 10 8 6 6 3" xfId="10797"/>
    <cellStyle name="Обычный 10 8 6 7" xfId="10798"/>
    <cellStyle name="Обычный 10 8 6 7 2" xfId="10799"/>
    <cellStyle name="Обычный 10 8 6 8" xfId="10800"/>
    <cellStyle name="Обычный 10 8 6 9" xfId="10801"/>
    <cellStyle name="Обычный 10 8 7" xfId="10802"/>
    <cellStyle name="Обычный 10 8 7 2" xfId="10803"/>
    <cellStyle name="Обычный 10 8 7 2 2" xfId="10804"/>
    <cellStyle name="Обычный 10 8 7 2 2 2" xfId="10805"/>
    <cellStyle name="Обычный 10 8 7 2 2 2 2" xfId="10806"/>
    <cellStyle name="Обычный 10 8 7 2 2 2 3" xfId="10807"/>
    <cellStyle name="Обычный 10 8 7 2 2 3" xfId="10808"/>
    <cellStyle name="Обычный 10 8 7 2 2 3 2" xfId="10809"/>
    <cellStyle name="Обычный 10 8 7 2 2 3 3" xfId="10810"/>
    <cellStyle name="Обычный 10 8 7 2 2 4" xfId="10811"/>
    <cellStyle name="Обычный 10 8 7 2 2 4 2" xfId="10812"/>
    <cellStyle name="Обычный 10 8 7 2 2 5" xfId="10813"/>
    <cellStyle name="Обычный 10 8 7 2 2 6" xfId="10814"/>
    <cellStyle name="Обычный 10 8 7 2 3" xfId="10815"/>
    <cellStyle name="Обычный 10 8 7 2 3 2" xfId="10816"/>
    <cellStyle name="Обычный 10 8 7 2 3 3" xfId="10817"/>
    <cellStyle name="Обычный 10 8 7 2 4" xfId="10818"/>
    <cellStyle name="Обычный 10 8 7 2 4 2" xfId="10819"/>
    <cellStyle name="Обычный 10 8 7 2 4 3" xfId="10820"/>
    <cellStyle name="Обычный 10 8 7 2 5" xfId="10821"/>
    <cellStyle name="Обычный 10 8 7 2 5 2" xfId="10822"/>
    <cellStyle name="Обычный 10 8 7 2 6" xfId="10823"/>
    <cellStyle name="Обычный 10 8 7 2 7" xfId="10824"/>
    <cellStyle name="Обычный 10 8 7 3" xfId="10825"/>
    <cellStyle name="Обычный 10 8 7 3 2" xfId="10826"/>
    <cellStyle name="Обычный 10 8 7 3 2 2" xfId="10827"/>
    <cellStyle name="Обычный 10 8 7 3 2 3" xfId="10828"/>
    <cellStyle name="Обычный 10 8 7 3 3" xfId="10829"/>
    <cellStyle name="Обычный 10 8 7 3 3 2" xfId="10830"/>
    <cellStyle name="Обычный 10 8 7 3 3 3" xfId="10831"/>
    <cellStyle name="Обычный 10 8 7 3 4" xfId="10832"/>
    <cellStyle name="Обычный 10 8 7 3 4 2" xfId="10833"/>
    <cellStyle name="Обычный 10 8 7 3 5" xfId="10834"/>
    <cellStyle name="Обычный 10 8 7 3 6" xfId="10835"/>
    <cellStyle name="Обычный 10 8 7 4" xfId="10836"/>
    <cellStyle name="Обычный 10 8 7 4 2" xfId="10837"/>
    <cellStyle name="Обычный 10 8 7 4 3" xfId="10838"/>
    <cellStyle name="Обычный 10 8 7 5" xfId="10839"/>
    <cellStyle name="Обычный 10 8 7 5 2" xfId="10840"/>
    <cellStyle name="Обычный 10 8 7 5 3" xfId="10841"/>
    <cellStyle name="Обычный 10 8 7 6" xfId="10842"/>
    <cellStyle name="Обычный 10 8 7 6 2" xfId="10843"/>
    <cellStyle name="Обычный 10 8 7 7" xfId="10844"/>
    <cellStyle name="Обычный 10 8 7 8" xfId="10845"/>
    <cellStyle name="Обычный 10 8 8" xfId="10846"/>
    <cellStyle name="Обычный 10 8 8 2" xfId="10847"/>
    <cellStyle name="Обычный 10 8 8 2 2" xfId="10848"/>
    <cellStyle name="Обычный 10 8 8 2 2 2" xfId="10849"/>
    <cellStyle name="Обычный 10 8 8 2 2 3" xfId="10850"/>
    <cellStyle name="Обычный 10 8 8 2 3" xfId="10851"/>
    <cellStyle name="Обычный 10 8 8 2 3 2" xfId="10852"/>
    <cellStyle name="Обычный 10 8 8 2 3 3" xfId="10853"/>
    <cellStyle name="Обычный 10 8 8 2 4" xfId="10854"/>
    <cellStyle name="Обычный 10 8 8 2 4 2" xfId="10855"/>
    <cellStyle name="Обычный 10 8 8 2 5" xfId="10856"/>
    <cellStyle name="Обычный 10 8 8 2 6" xfId="10857"/>
    <cellStyle name="Обычный 10 8 8 3" xfId="10858"/>
    <cellStyle name="Обычный 10 8 8 3 2" xfId="10859"/>
    <cellStyle name="Обычный 10 8 8 3 3" xfId="10860"/>
    <cellStyle name="Обычный 10 8 8 4" xfId="10861"/>
    <cellStyle name="Обычный 10 8 8 4 2" xfId="10862"/>
    <cellStyle name="Обычный 10 8 8 4 3" xfId="10863"/>
    <cellStyle name="Обычный 10 8 8 5" xfId="10864"/>
    <cellStyle name="Обычный 10 8 8 5 2" xfId="10865"/>
    <cellStyle name="Обычный 10 8 8 6" xfId="10866"/>
    <cellStyle name="Обычный 10 8 8 7" xfId="10867"/>
    <cellStyle name="Обычный 10 8 9" xfId="10868"/>
    <cellStyle name="Обычный 10 8 9 2" xfId="10869"/>
    <cellStyle name="Обычный 10 8 9 2 2" xfId="10870"/>
    <cellStyle name="Обычный 10 8 9 2 3" xfId="10871"/>
    <cellStyle name="Обычный 10 8 9 3" xfId="10872"/>
    <cellStyle name="Обычный 10 8 9 3 2" xfId="10873"/>
    <cellStyle name="Обычный 10 8 9 3 3" xfId="10874"/>
    <cellStyle name="Обычный 10 8 9 4" xfId="10875"/>
    <cellStyle name="Обычный 10 8 9 4 2" xfId="10876"/>
    <cellStyle name="Обычный 10 8 9 5" xfId="10877"/>
    <cellStyle name="Обычный 10 8 9 6" xfId="10878"/>
    <cellStyle name="Обычный 10 9" xfId="10879"/>
    <cellStyle name="Обычный 10 9 10" xfId="10880"/>
    <cellStyle name="Обычный 10 9 10 2" xfId="10881"/>
    <cellStyle name="Обычный 10 9 10 3" xfId="10882"/>
    <cellStyle name="Обычный 10 9 11" xfId="10883"/>
    <cellStyle name="Обычный 10 9 11 2" xfId="10884"/>
    <cellStyle name="Обычный 10 9 12" xfId="10885"/>
    <cellStyle name="Обычный 10 9 13" xfId="10886"/>
    <cellStyle name="Обычный 10 9 2" xfId="10887"/>
    <cellStyle name="Обычный 10 9 2 10" xfId="10888"/>
    <cellStyle name="Обычный 10 9 2 2" xfId="10889"/>
    <cellStyle name="Обычный 10 9 2 2 2" xfId="10890"/>
    <cellStyle name="Обычный 10 9 2 2 2 2" xfId="10891"/>
    <cellStyle name="Обычный 10 9 2 2 2 2 2" xfId="10892"/>
    <cellStyle name="Обычный 10 9 2 2 2 2 2 2" xfId="10893"/>
    <cellStyle name="Обычный 10 9 2 2 2 2 2 2 2" xfId="10894"/>
    <cellStyle name="Обычный 10 9 2 2 2 2 2 2 3" xfId="10895"/>
    <cellStyle name="Обычный 10 9 2 2 2 2 2 3" xfId="10896"/>
    <cellStyle name="Обычный 10 9 2 2 2 2 2 3 2" xfId="10897"/>
    <cellStyle name="Обычный 10 9 2 2 2 2 2 3 3" xfId="10898"/>
    <cellStyle name="Обычный 10 9 2 2 2 2 2 4" xfId="10899"/>
    <cellStyle name="Обычный 10 9 2 2 2 2 2 4 2" xfId="10900"/>
    <cellStyle name="Обычный 10 9 2 2 2 2 2 5" xfId="10901"/>
    <cellStyle name="Обычный 10 9 2 2 2 2 2 6" xfId="10902"/>
    <cellStyle name="Обычный 10 9 2 2 2 2 3" xfId="10903"/>
    <cellStyle name="Обычный 10 9 2 2 2 2 3 2" xfId="10904"/>
    <cellStyle name="Обычный 10 9 2 2 2 2 3 3" xfId="10905"/>
    <cellStyle name="Обычный 10 9 2 2 2 2 4" xfId="10906"/>
    <cellStyle name="Обычный 10 9 2 2 2 2 4 2" xfId="10907"/>
    <cellStyle name="Обычный 10 9 2 2 2 2 4 3" xfId="10908"/>
    <cellStyle name="Обычный 10 9 2 2 2 2 5" xfId="10909"/>
    <cellStyle name="Обычный 10 9 2 2 2 2 5 2" xfId="10910"/>
    <cellStyle name="Обычный 10 9 2 2 2 2 6" xfId="10911"/>
    <cellStyle name="Обычный 10 9 2 2 2 2 7" xfId="10912"/>
    <cellStyle name="Обычный 10 9 2 2 2 3" xfId="10913"/>
    <cellStyle name="Обычный 10 9 2 2 2 3 2" xfId="10914"/>
    <cellStyle name="Обычный 10 9 2 2 2 3 2 2" xfId="10915"/>
    <cellStyle name="Обычный 10 9 2 2 2 3 2 3" xfId="10916"/>
    <cellStyle name="Обычный 10 9 2 2 2 3 3" xfId="10917"/>
    <cellStyle name="Обычный 10 9 2 2 2 3 3 2" xfId="10918"/>
    <cellStyle name="Обычный 10 9 2 2 2 3 3 3" xfId="10919"/>
    <cellStyle name="Обычный 10 9 2 2 2 3 4" xfId="10920"/>
    <cellStyle name="Обычный 10 9 2 2 2 3 4 2" xfId="10921"/>
    <cellStyle name="Обычный 10 9 2 2 2 3 5" xfId="10922"/>
    <cellStyle name="Обычный 10 9 2 2 2 3 6" xfId="10923"/>
    <cellStyle name="Обычный 10 9 2 2 2 4" xfId="10924"/>
    <cellStyle name="Обычный 10 9 2 2 2 4 2" xfId="10925"/>
    <cellStyle name="Обычный 10 9 2 2 2 4 3" xfId="10926"/>
    <cellStyle name="Обычный 10 9 2 2 2 5" xfId="10927"/>
    <cellStyle name="Обычный 10 9 2 2 2 5 2" xfId="10928"/>
    <cellStyle name="Обычный 10 9 2 2 2 5 3" xfId="10929"/>
    <cellStyle name="Обычный 10 9 2 2 2 6" xfId="10930"/>
    <cellStyle name="Обычный 10 9 2 2 2 6 2" xfId="10931"/>
    <cellStyle name="Обычный 10 9 2 2 2 7" xfId="10932"/>
    <cellStyle name="Обычный 10 9 2 2 2 8" xfId="10933"/>
    <cellStyle name="Обычный 10 9 2 2 3" xfId="10934"/>
    <cellStyle name="Обычный 10 9 2 2 3 2" xfId="10935"/>
    <cellStyle name="Обычный 10 9 2 2 3 2 2" xfId="10936"/>
    <cellStyle name="Обычный 10 9 2 2 3 2 2 2" xfId="10937"/>
    <cellStyle name="Обычный 10 9 2 2 3 2 2 3" xfId="10938"/>
    <cellStyle name="Обычный 10 9 2 2 3 2 3" xfId="10939"/>
    <cellStyle name="Обычный 10 9 2 2 3 2 3 2" xfId="10940"/>
    <cellStyle name="Обычный 10 9 2 2 3 2 3 3" xfId="10941"/>
    <cellStyle name="Обычный 10 9 2 2 3 2 4" xfId="10942"/>
    <cellStyle name="Обычный 10 9 2 2 3 2 4 2" xfId="10943"/>
    <cellStyle name="Обычный 10 9 2 2 3 2 5" xfId="10944"/>
    <cellStyle name="Обычный 10 9 2 2 3 2 6" xfId="10945"/>
    <cellStyle name="Обычный 10 9 2 2 3 3" xfId="10946"/>
    <cellStyle name="Обычный 10 9 2 2 3 3 2" xfId="10947"/>
    <cellStyle name="Обычный 10 9 2 2 3 3 3" xfId="10948"/>
    <cellStyle name="Обычный 10 9 2 2 3 4" xfId="10949"/>
    <cellStyle name="Обычный 10 9 2 2 3 4 2" xfId="10950"/>
    <cellStyle name="Обычный 10 9 2 2 3 4 3" xfId="10951"/>
    <cellStyle name="Обычный 10 9 2 2 3 5" xfId="10952"/>
    <cellStyle name="Обычный 10 9 2 2 3 5 2" xfId="10953"/>
    <cellStyle name="Обычный 10 9 2 2 3 6" xfId="10954"/>
    <cellStyle name="Обычный 10 9 2 2 3 7" xfId="10955"/>
    <cellStyle name="Обычный 10 9 2 2 4" xfId="10956"/>
    <cellStyle name="Обычный 10 9 2 2 4 2" xfId="10957"/>
    <cellStyle name="Обычный 10 9 2 2 4 2 2" xfId="10958"/>
    <cellStyle name="Обычный 10 9 2 2 4 2 3" xfId="10959"/>
    <cellStyle name="Обычный 10 9 2 2 4 3" xfId="10960"/>
    <cellStyle name="Обычный 10 9 2 2 4 3 2" xfId="10961"/>
    <cellStyle name="Обычный 10 9 2 2 4 3 3" xfId="10962"/>
    <cellStyle name="Обычный 10 9 2 2 4 4" xfId="10963"/>
    <cellStyle name="Обычный 10 9 2 2 4 4 2" xfId="10964"/>
    <cellStyle name="Обычный 10 9 2 2 4 5" xfId="10965"/>
    <cellStyle name="Обычный 10 9 2 2 4 6" xfId="10966"/>
    <cellStyle name="Обычный 10 9 2 2 5" xfId="10967"/>
    <cellStyle name="Обычный 10 9 2 2 5 2" xfId="10968"/>
    <cellStyle name="Обычный 10 9 2 2 5 3" xfId="10969"/>
    <cellStyle name="Обычный 10 9 2 2 6" xfId="10970"/>
    <cellStyle name="Обычный 10 9 2 2 6 2" xfId="10971"/>
    <cellStyle name="Обычный 10 9 2 2 6 3" xfId="10972"/>
    <cellStyle name="Обычный 10 9 2 2 7" xfId="10973"/>
    <cellStyle name="Обычный 10 9 2 2 7 2" xfId="10974"/>
    <cellStyle name="Обычный 10 9 2 2 8" xfId="10975"/>
    <cellStyle name="Обычный 10 9 2 2 9" xfId="10976"/>
    <cellStyle name="Обычный 10 9 2 3" xfId="10977"/>
    <cellStyle name="Обычный 10 9 2 3 2" xfId="10978"/>
    <cellStyle name="Обычный 10 9 2 3 2 2" xfId="10979"/>
    <cellStyle name="Обычный 10 9 2 3 2 2 2" xfId="10980"/>
    <cellStyle name="Обычный 10 9 2 3 2 2 2 2" xfId="10981"/>
    <cellStyle name="Обычный 10 9 2 3 2 2 2 3" xfId="10982"/>
    <cellStyle name="Обычный 10 9 2 3 2 2 3" xfId="10983"/>
    <cellStyle name="Обычный 10 9 2 3 2 2 3 2" xfId="10984"/>
    <cellStyle name="Обычный 10 9 2 3 2 2 3 3" xfId="10985"/>
    <cellStyle name="Обычный 10 9 2 3 2 2 4" xfId="10986"/>
    <cellStyle name="Обычный 10 9 2 3 2 2 4 2" xfId="10987"/>
    <cellStyle name="Обычный 10 9 2 3 2 2 5" xfId="10988"/>
    <cellStyle name="Обычный 10 9 2 3 2 2 6" xfId="10989"/>
    <cellStyle name="Обычный 10 9 2 3 2 3" xfId="10990"/>
    <cellStyle name="Обычный 10 9 2 3 2 3 2" xfId="10991"/>
    <cellStyle name="Обычный 10 9 2 3 2 3 3" xfId="10992"/>
    <cellStyle name="Обычный 10 9 2 3 2 4" xfId="10993"/>
    <cellStyle name="Обычный 10 9 2 3 2 4 2" xfId="10994"/>
    <cellStyle name="Обычный 10 9 2 3 2 4 3" xfId="10995"/>
    <cellStyle name="Обычный 10 9 2 3 2 5" xfId="10996"/>
    <cellStyle name="Обычный 10 9 2 3 2 5 2" xfId="10997"/>
    <cellStyle name="Обычный 10 9 2 3 2 6" xfId="10998"/>
    <cellStyle name="Обычный 10 9 2 3 2 7" xfId="10999"/>
    <cellStyle name="Обычный 10 9 2 3 3" xfId="11000"/>
    <cellStyle name="Обычный 10 9 2 3 3 2" xfId="11001"/>
    <cellStyle name="Обычный 10 9 2 3 3 2 2" xfId="11002"/>
    <cellStyle name="Обычный 10 9 2 3 3 2 3" xfId="11003"/>
    <cellStyle name="Обычный 10 9 2 3 3 3" xfId="11004"/>
    <cellStyle name="Обычный 10 9 2 3 3 3 2" xfId="11005"/>
    <cellStyle name="Обычный 10 9 2 3 3 3 3" xfId="11006"/>
    <cellStyle name="Обычный 10 9 2 3 3 4" xfId="11007"/>
    <cellStyle name="Обычный 10 9 2 3 3 4 2" xfId="11008"/>
    <cellStyle name="Обычный 10 9 2 3 3 5" xfId="11009"/>
    <cellStyle name="Обычный 10 9 2 3 3 6" xfId="11010"/>
    <cellStyle name="Обычный 10 9 2 3 4" xfId="11011"/>
    <cellStyle name="Обычный 10 9 2 3 4 2" xfId="11012"/>
    <cellStyle name="Обычный 10 9 2 3 4 3" xfId="11013"/>
    <cellStyle name="Обычный 10 9 2 3 5" xfId="11014"/>
    <cellStyle name="Обычный 10 9 2 3 5 2" xfId="11015"/>
    <cellStyle name="Обычный 10 9 2 3 5 3" xfId="11016"/>
    <cellStyle name="Обычный 10 9 2 3 6" xfId="11017"/>
    <cellStyle name="Обычный 10 9 2 3 6 2" xfId="11018"/>
    <cellStyle name="Обычный 10 9 2 3 7" xfId="11019"/>
    <cellStyle name="Обычный 10 9 2 3 8" xfId="11020"/>
    <cellStyle name="Обычный 10 9 2 4" xfId="11021"/>
    <cellStyle name="Обычный 10 9 2 4 2" xfId="11022"/>
    <cellStyle name="Обычный 10 9 2 4 2 2" xfId="11023"/>
    <cellStyle name="Обычный 10 9 2 4 2 2 2" xfId="11024"/>
    <cellStyle name="Обычный 10 9 2 4 2 2 3" xfId="11025"/>
    <cellStyle name="Обычный 10 9 2 4 2 3" xfId="11026"/>
    <cellStyle name="Обычный 10 9 2 4 2 3 2" xfId="11027"/>
    <cellStyle name="Обычный 10 9 2 4 2 3 3" xfId="11028"/>
    <cellStyle name="Обычный 10 9 2 4 2 4" xfId="11029"/>
    <cellStyle name="Обычный 10 9 2 4 2 4 2" xfId="11030"/>
    <cellStyle name="Обычный 10 9 2 4 2 5" xfId="11031"/>
    <cellStyle name="Обычный 10 9 2 4 2 6" xfId="11032"/>
    <cellStyle name="Обычный 10 9 2 4 3" xfId="11033"/>
    <cellStyle name="Обычный 10 9 2 4 3 2" xfId="11034"/>
    <cellStyle name="Обычный 10 9 2 4 3 3" xfId="11035"/>
    <cellStyle name="Обычный 10 9 2 4 4" xfId="11036"/>
    <cellStyle name="Обычный 10 9 2 4 4 2" xfId="11037"/>
    <cellStyle name="Обычный 10 9 2 4 4 3" xfId="11038"/>
    <cellStyle name="Обычный 10 9 2 4 5" xfId="11039"/>
    <cellStyle name="Обычный 10 9 2 4 5 2" xfId="11040"/>
    <cellStyle name="Обычный 10 9 2 4 6" xfId="11041"/>
    <cellStyle name="Обычный 10 9 2 4 7" xfId="11042"/>
    <cellStyle name="Обычный 10 9 2 5" xfId="11043"/>
    <cellStyle name="Обычный 10 9 2 5 2" xfId="11044"/>
    <cellStyle name="Обычный 10 9 2 5 2 2" xfId="11045"/>
    <cellStyle name="Обычный 10 9 2 5 2 3" xfId="11046"/>
    <cellStyle name="Обычный 10 9 2 5 3" xfId="11047"/>
    <cellStyle name="Обычный 10 9 2 5 3 2" xfId="11048"/>
    <cellStyle name="Обычный 10 9 2 5 3 3" xfId="11049"/>
    <cellStyle name="Обычный 10 9 2 5 4" xfId="11050"/>
    <cellStyle name="Обычный 10 9 2 5 4 2" xfId="11051"/>
    <cellStyle name="Обычный 10 9 2 5 5" xfId="11052"/>
    <cellStyle name="Обычный 10 9 2 5 6" xfId="11053"/>
    <cellStyle name="Обычный 10 9 2 6" xfId="11054"/>
    <cellStyle name="Обычный 10 9 2 6 2" xfId="11055"/>
    <cellStyle name="Обычный 10 9 2 6 3" xfId="11056"/>
    <cellStyle name="Обычный 10 9 2 7" xfId="11057"/>
    <cellStyle name="Обычный 10 9 2 7 2" xfId="11058"/>
    <cellStyle name="Обычный 10 9 2 7 3" xfId="11059"/>
    <cellStyle name="Обычный 10 9 2 8" xfId="11060"/>
    <cellStyle name="Обычный 10 9 2 8 2" xfId="11061"/>
    <cellStyle name="Обычный 10 9 2 9" xfId="11062"/>
    <cellStyle name="Обычный 10 9 3" xfId="11063"/>
    <cellStyle name="Обычный 10 9 3 10" xfId="11064"/>
    <cellStyle name="Обычный 10 9 3 2" xfId="11065"/>
    <cellStyle name="Обычный 10 9 3 2 2" xfId="11066"/>
    <cellStyle name="Обычный 10 9 3 2 2 2" xfId="11067"/>
    <cellStyle name="Обычный 10 9 3 2 2 2 2" xfId="11068"/>
    <cellStyle name="Обычный 10 9 3 2 2 2 2 2" xfId="11069"/>
    <cellStyle name="Обычный 10 9 3 2 2 2 2 2 2" xfId="11070"/>
    <cellStyle name="Обычный 10 9 3 2 2 2 2 2 3" xfId="11071"/>
    <cellStyle name="Обычный 10 9 3 2 2 2 2 3" xfId="11072"/>
    <cellStyle name="Обычный 10 9 3 2 2 2 2 3 2" xfId="11073"/>
    <cellStyle name="Обычный 10 9 3 2 2 2 2 3 3" xfId="11074"/>
    <cellStyle name="Обычный 10 9 3 2 2 2 2 4" xfId="11075"/>
    <cellStyle name="Обычный 10 9 3 2 2 2 2 4 2" xfId="11076"/>
    <cellStyle name="Обычный 10 9 3 2 2 2 2 5" xfId="11077"/>
    <cellStyle name="Обычный 10 9 3 2 2 2 2 6" xfId="11078"/>
    <cellStyle name="Обычный 10 9 3 2 2 2 3" xfId="11079"/>
    <cellStyle name="Обычный 10 9 3 2 2 2 3 2" xfId="11080"/>
    <cellStyle name="Обычный 10 9 3 2 2 2 3 3" xfId="11081"/>
    <cellStyle name="Обычный 10 9 3 2 2 2 4" xfId="11082"/>
    <cellStyle name="Обычный 10 9 3 2 2 2 4 2" xfId="11083"/>
    <cellStyle name="Обычный 10 9 3 2 2 2 4 3" xfId="11084"/>
    <cellStyle name="Обычный 10 9 3 2 2 2 5" xfId="11085"/>
    <cellStyle name="Обычный 10 9 3 2 2 2 5 2" xfId="11086"/>
    <cellStyle name="Обычный 10 9 3 2 2 2 6" xfId="11087"/>
    <cellStyle name="Обычный 10 9 3 2 2 2 7" xfId="11088"/>
    <cellStyle name="Обычный 10 9 3 2 2 3" xfId="11089"/>
    <cellStyle name="Обычный 10 9 3 2 2 3 2" xfId="11090"/>
    <cellStyle name="Обычный 10 9 3 2 2 3 2 2" xfId="11091"/>
    <cellStyle name="Обычный 10 9 3 2 2 3 2 3" xfId="11092"/>
    <cellStyle name="Обычный 10 9 3 2 2 3 3" xfId="11093"/>
    <cellStyle name="Обычный 10 9 3 2 2 3 3 2" xfId="11094"/>
    <cellStyle name="Обычный 10 9 3 2 2 3 3 3" xfId="11095"/>
    <cellStyle name="Обычный 10 9 3 2 2 3 4" xfId="11096"/>
    <cellStyle name="Обычный 10 9 3 2 2 3 4 2" xfId="11097"/>
    <cellStyle name="Обычный 10 9 3 2 2 3 5" xfId="11098"/>
    <cellStyle name="Обычный 10 9 3 2 2 3 6" xfId="11099"/>
    <cellStyle name="Обычный 10 9 3 2 2 4" xfId="11100"/>
    <cellStyle name="Обычный 10 9 3 2 2 4 2" xfId="11101"/>
    <cellStyle name="Обычный 10 9 3 2 2 4 3" xfId="11102"/>
    <cellStyle name="Обычный 10 9 3 2 2 5" xfId="11103"/>
    <cellStyle name="Обычный 10 9 3 2 2 5 2" xfId="11104"/>
    <cellStyle name="Обычный 10 9 3 2 2 5 3" xfId="11105"/>
    <cellStyle name="Обычный 10 9 3 2 2 6" xfId="11106"/>
    <cellStyle name="Обычный 10 9 3 2 2 6 2" xfId="11107"/>
    <cellStyle name="Обычный 10 9 3 2 2 7" xfId="11108"/>
    <cellStyle name="Обычный 10 9 3 2 2 8" xfId="11109"/>
    <cellStyle name="Обычный 10 9 3 2 3" xfId="11110"/>
    <cellStyle name="Обычный 10 9 3 2 3 2" xfId="11111"/>
    <cellStyle name="Обычный 10 9 3 2 3 2 2" xfId="11112"/>
    <cellStyle name="Обычный 10 9 3 2 3 2 2 2" xfId="11113"/>
    <cellStyle name="Обычный 10 9 3 2 3 2 2 3" xfId="11114"/>
    <cellStyle name="Обычный 10 9 3 2 3 2 3" xfId="11115"/>
    <cellStyle name="Обычный 10 9 3 2 3 2 3 2" xfId="11116"/>
    <cellStyle name="Обычный 10 9 3 2 3 2 3 3" xfId="11117"/>
    <cellStyle name="Обычный 10 9 3 2 3 2 4" xfId="11118"/>
    <cellStyle name="Обычный 10 9 3 2 3 2 4 2" xfId="11119"/>
    <cellStyle name="Обычный 10 9 3 2 3 2 5" xfId="11120"/>
    <cellStyle name="Обычный 10 9 3 2 3 2 6" xfId="11121"/>
    <cellStyle name="Обычный 10 9 3 2 3 3" xfId="11122"/>
    <cellStyle name="Обычный 10 9 3 2 3 3 2" xfId="11123"/>
    <cellStyle name="Обычный 10 9 3 2 3 3 3" xfId="11124"/>
    <cellStyle name="Обычный 10 9 3 2 3 4" xfId="11125"/>
    <cellStyle name="Обычный 10 9 3 2 3 4 2" xfId="11126"/>
    <cellStyle name="Обычный 10 9 3 2 3 4 3" xfId="11127"/>
    <cellStyle name="Обычный 10 9 3 2 3 5" xfId="11128"/>
    <cellStyle name="Обычный 10 9 3 2 3 5 2" xfId="11129"/>
    <cellStyle name="Обычный 10 9 3 2 3 6" xfId="11130"/>
    <cellStyle name="Обычный 10 9 3 2 3 7" xfId="11131"/>
    <cellStyle name="Обычный 10 9 3 2 4" xfId="11132"/>
    <cellStyle name="Обычный 10 9 3 2 4 2" xfId="11133"/>
    <cellStyle name="Обычный 10 9 3 2 4 2 2" xfId="11134"/>
    <cellStyle name="Обычный 10 9 3 2 4 2 3" xfId="11135"/>
    <cellStyle name="Обычный 10 9 3 2 4 3" xfId="11136"/>
    <cellStyle name="Обычный 10 9 3 2 4 3 2" xfId="11137"/>
    <cellStyle name="Обычный 10 9 3 2 4 3 3" xfId="11138"/>
    <cellStyle name="Обычный 10 9 3 2 4 4" xfId="11139"/>
    <cellStyle name="Обычный 10 9 3 2 4 4 2" xfId="11140"/>
    <cellStyle name="Обычный 10 9 3 2 4 5" xfId="11141"/>
    <cellStyle name="Обычный 10 9 3 2 4 6" xfId="11142"/>
    <cellStyle name="Обычный 10 9 3 2 5" xfId="11143"/>
    <cellStyle name="Обычный 10 9 3 2 5 2" xfId="11144"/>
    <cellStyle name="Обычный 10 9 3 2 5 3" xfId="11145"/>
    <cellStyle name="Обычный 10 9 3 2 6" xfId="11146"/>
    <cellStyle name="Обычный 10 9 3 2 6 2" xfId="11147"/>
    <cellStyle name="Обычный 10 9 3 2 6 3" xfId="11148"/>
    <cellStyle name="Обычный 10 9 3 2 7" xfId="11149"/>
    <cellStyle name="Обычный 10 9 3 2 7 2" xfId="11150"/>
    <cellStyle name="Обычный 10 9 3 2 8" xfId="11151"/>
    <cellStyle name="Обычный 10 9 3 2 9" xfId="11152"/>
    <cellStyle name="Обычный 10 9 3 3" xfId="11153"/>
    <cellStyle name="Обычный 10 9 3 3 2" xfId="11154"/>
    <cellStyle name="Обычный 10 9 3 3 2 2" xfId="11155"/>
    <cellStyle name="Обычный 10 9 3 3 2 2 2" xfId="11156"/>
    <cellStyle name="Обычный 10 9 3 3 2 2 2 2" xfId="11157"/>
    <cellStyle name="Обычный 10 9 3 3 2 2 2 3" xfId="11158"/>
    <cellStyle name="Обычный 10 9 3 3 2 2 3" xfId="11159"/>
    <cellStyle name="Обычный 10 9 3 3 2 2 3 2" xfId="11160"/>
    <cellStyle name="Обычный 10 9 3 3 2 2 3 3" xfId="11161"/>
    <cellStyle name="Обычный 10 9 3 3 2 2 4" xfId="11162"/>
    <cellStyle name="Обычный 10 9 3 3 2 2 4 2" xfId="11163"/>
    <cellStyle name="Обычный 10 9 3 3 2 2 5" xfId="11164"/>
    <cellStyle name="Обычный 10 9 3 3 2 2 6" xfId="11165"/>
    <cellStyle name="Обычный 10 9 3 3 2 3" xfId="11166"/>
    <cellStyle name="Обычный 10 9 3 3 2 3 2" xfId="11167"/>
    <cellStyle name="Обычный 10 9 3 3 2 3 3" xfId="11168"/>
    <cellStyle name="Обычный 10 9 3 3 2 4" xfId="11169"/>
    <cellStyle name="Обычный 10 9 3 3 2 4 2" xfId="11170"/>
    <cellStyle name="Обычный 10 9 3 3 2 4 3" xfId="11171"/>
    <cellStyle name="Обычный 10 9 3 3 2 5" xfId="11172"/>
    <cellStyle name="Обычный 10 9 3 3 2 5 2" xfId="11173"/>
    <cellStyle name="Обычный 10 9 3 3 2 6" xfId="11174"/>
    <cellStyle name="Обычный 10 9 3 3 2 7" xfId="11175"/>
    <cellStyle name="Обычный 10 9 3 3 3" xfId="11176"/>
    <cellStyle name="Обычный 10 9 3 3 3 2" xfId="11177"/>
    <cellStyle name="Обычный 10 9 3 3 3 2 2" xfId="11178"/>
    <cellStyle name="Обычный 10 9 3 3 3 2 3" xfId="11179"/>
    <cellStyle name="Обычный 10 9 3 3 3 3" xfId="11180"/>
    <cellStyle name="Обычный 10 9 3 3 3 3 2" xfId="11181"/>
    <cellStyle name="Обычный 10 9 3 3 3 3 3" xfId="11182"/>
    <cellStyle name="Обычный 10 9 3 3 3 4" xfId="11183"/>
    <cellStyle name="Обычный 10 9 3 3 3 4 2" xfId="11184"/>
    <cellStyle name="Обычный 10 9 3 3 3 5" xfId="11185"/>
    <cellStyle name="Обычный 10 9 3 3 3 6" xfId="11186"/>
    <cellStyle name="Обычный 10 9 3 3 4" xfId="11187"/>
    <cellStyle name="Обычный 10 9 3 3 4 2" xfId="11188"/>
    <cellStyle name="Обычный 10 9 3 3 4 3" xfId="11189"/>
    <cellStyle name="Обычный 10 9 3 3 5" xfId="11190"/>
    <cellStyle name="Обычный 10 9 3 3 5 2" xfId="11191"/>
    <cellStyle name="Обычный 10 9 3 3 5 3" xfId="11192"/>
    <cellStyle name="Обычный 10 9 3 3 6" xfId="11193"/>
    <cellStyle name="Обычный 10 9 3 3 6 2" xfId="11194"/>
    <cellStyle name="Обычный 10 9 3 3 7" xfId="11195"/>
    <cellStyle name="Обычный 10 9 3 3 8" xfId="11196"/>
    <cellStyle name="Обычный 10 9 3 4" xfId="11197"/>
    <cellStyle name="Обычный 10 9 3 4 2" xfId="11198"/>
    <cellStyle name="Обычный 10 9 3 4 2 2" xfId="11199"/>
    <cellStyle name="Обычный 10 9 3 4 2 2 2" xfId="11200"/>
    <cellStyle name="Обычный 10 9 3 4 2 2 3" xfId="11201"/>
    <cellStyle name="Обычный 10 9 3 4 2 3" xfId="11202"/>
    <cellStyle name="Обычный 10 9 3 4 2 3 2" xfId="11203"/>
    <cellStyle name="Обычный 10 9 3 4 2 3 3" xfId="11204"/>
    <cellStyle name="Обычный 10 9 3 4 2 4" xfId="11205"/>
    <cellStyle name="Обычный 10 9 3 4 2 4 2" xfId="11206"/>
    <cellStyle name="Обычный 10 9 3 4 2 5" xfId="11207"/>
    <cellStyle name="Обычный 10 9 3 4 2 6" xfId="11208"/>
    <cellStyle name="Обычный 10 9 3 4 3" xfId="11209"/>
    <cellStyle name="Обычный 10 9 3 4 3 2" xfId="11210"/>
    <cellStyle name="Обычный 10 9 3 4 3 3" xfId="11211"/>
    <cellStyle name="Обычный 10 9 3 4 4" xfId="11212"/>
    <cellStyle name="Обычный 10 9 3 4 4 2" xfId="11213"/>
    <cellStyle name="Обычный 10 9 3 4 4 3" xfId="11214"/>
    <cellStyle name="Обычный 10 9 3 4 5" xfId="11215"/>
    <cellStyle name="Обычный 10 9 3 4 5 2" xfId="11216"/>
    <cellStyle name="Обычный 10 9 3 4 6" xfId="11217"/>
    <cellStyle name="Обычный 10 9 3 4 7" xfId="11218"/>
    <cellStyle name="Обычный 10 9 3 5" xfId="11219"/>
    <cellStyle name="Обычный 10 9 3 5 2" xfId="11220"/>
    <cellStyle name="Обычный 10 9 3 5 2 2" xfId="11221"/>
    <cellStyle name="Обычный 10 9 3 5 2 3" xfId="11222"/>
    <cellStyle name="Обычный 10 9 3 5 3" xfId="11223"/>
    <cellStyle name="Обычный 10 9 3 5 3 2" xfId="11224"/>
    <cellStyle name="Обычный 10 9 3 5 3 3" xfId="11225"/>
    <cellStyle name="Обычный 10 9 3 5 4" xfId="11226"/>
    <cellStyle name="Обычный 10 9 3 5 4 2" xfId="11227"/>
    <cellStyle name="Обычный 10 9 3 5 5" xfId="11228"/>
    <cellStyle name="Обычный 10 9 3 5 6" xfId="11229"/>
    <cellStyle name="Обычный 10 9 3 6" xfId="11230"/>
    <cellStyle name="Обычный 10 9 3 6 2" xfId="11231"/>
    <cellStyle name="Обычный 10 9 3 6 3" xfId="11232"/>
    <cellStyle name="Обычный 10 9 3 7" xfId="11233"/>
    <cellStyle name="Обычный 10 9 3 7 2" xfId="11234"/>
    <cellStyle name="Обычный 10 9 3 7 3" xfId="11235"/>
    <cellStyle name="Обычный 10 9 3 8" xfId="11236"/>
    <cellStyle name="Обычный 10 9 3 8 2" xfId="11237"/>
    <cellStyle name="Обычный 10 9 3 9" xfId="11238"/>
    <cellStyle name="Обычный 10 9 4" xfId="11239"/>
    <cellStyle name="Обычный 10 9 4 10" xfId="11240"/>
    <cellStyle name="Обычный 10 9 4 2" xfId="11241"/>
    <cellStyle name="Обычный 10 9 4 2 2" xfId="11242"/>
    <cellStyle name="Обычный 10 9 4 2 2 2" xfId="11243"/>
    <cellStyle name="Обычный 10 9 4 2 2 2 2" xfId="11244"/>
    <cellStyle name="Обычный 10 9 4 2 2 2 2 2" xfId="11245"/>
    <cellStyle name="Обычный 10 9 4 2 2 2 2 2 2" xfId="11246"/>
    <cellStyle name="Обычный 10 9 4 2 2 2 2 2 3" xfId="11247"/>
    <cellStyle name="Обычный 10 9 4 2 2 2 2 3" xfId="11248"/>
    <cellStyle name="Обычный 10 9 4 2 2 2 2 3 2" xfId="11249"/>
    <cellStyle name="Обычный 10 9 4 2 2 2 2 3 3" xfId="11250"/>
    <cellStyle name="Обычный 10 9 4 2 2 2 2 4" xfId="11251"/>
    <cellStyle name="Обычный 10 9 4 2 2 2 2 4 2" xfId="11252"/>
    <cellStyle name="Обычный 10 9 4 2 2 2 2 5" xfId="11253"/>
    <cellStyle name="Обычный 10 9 4 2 2 2 2 6" xfId="11254"/>
    <cellStyle name="Обычный 10 9 4 2 2 2 3" xfId="11255"/>
    <cellStyle name="Обычный 10 9 4 2 2 2 3 2" xfId="11256"/>
    <cellStyle name="Обычный 10 9 4 2 2 2 3 3" xfId="11257"/>
    <cellStyle name="Обычный 10 9 4 2 2 2 4" xfId="11258"/>
    <cellStyle name="Обычный 10 9 4 2 2 2 4 2" xfId="11259"/>
    <cellStyle name="Обычный 10 9 4 2 2 2 4 3" xfId="11260"/>
    <cellStyle name="Обычный 10 9 4 2 2 2 5" xfId="11261"/>
    <cellStyle name="Обычный 10 9 4 2 2 2 5 2" xfId="11262"/>
    <cellStyle name="Обычный 10 9 4 2 2 2 6" xfId="11263"/>
    <cellStyle name="Обычный 10 9 4 2 2 2 7" xfId="11264"/>
    <cellStyle name="Обычный 10 9 4 2 2 3" xfId="11265"/>
    <cellStyle name="Обычный 10 9 4 2 2 3 2" xfId="11266"/>
    <cellStyle name="Обычный 10 9 4 2 2 3 2 2" xfId="11267"/>
    <cellStyle name="Обычный 10 9 4 2 2 3 2 3" xfId="11268"/>
    <cellStyle name="Обычный 10 9 4 2 2 3 3" xfId="11269"/>
    <cellStyle name="Обычный 10 9 4 2 2 3 3 2" xfId="11270"/>
    <cellStyle name="Обычный 10 9 4 2 2 3 3 3" xfId="11271"/>
    <cellStyle name="Обычный 10 9 4 2 2 3 4" xfId="11272"/>
    <cellStyle name="Обычный 10 9 4 2 2 3 4 2" xfId="11273"/>
    <cellStyle name="Обычный 10 9 4 2 2 3 5" xfId="11274"/>
    <cellStyle name="Обычный 10 9 4 2 2 3 6" xfId="11275"/>
    <cellStyle name="Обычный 10 9 4 2 2 4" xfId="11276"/>
    <cellStyle name="Обычный 10 9 4 2 2 4 2" xfId="11277"/>
    <cellStyle name="Обычный 10 9 4 2 2 4 3" xfId="11278"/>
    <cellStyle name="Обычный 10 9 4 2 2 5" xfId="11279"/>
    <cellStyle name="Обычный 10 9 4 2 2 5 2" xfId="11280"/>
    <cellStyle name="Обычный 10 9 4 2 2 5 3" xfId="11281"/>
    <cellStyle name="Обычный 10 9 4 2 2 6" xfId="11282"/>
    <cellStyle name="Обычный 10 9 4 2 2 6 2" xfId="11283"/>
    <cellStyle name="Обычный 10 9 4 2 2 7" xfId="11284"/>
    <cellStyle name="Обычный 10 9 4 2 2 8" xfId="11285"/>
    <cellStyle name="Обычный 10 9 4 2 3" xfId="11286"/>
    <cellStyle name="Обычный 10 9 4 2 3 2" xfId="11287"/>
    <cellStyle name="Обычный 10 9 4 2 3 2 2" xfId="11288"/>
    <cellStyle name="Обычный 10 9 4 2 3 2 2 2" xfId="11289"/>
    <cellStyle name="Обычный 10 9 4 2 3 2 2 3" xfId="11290"/>
    <cellStyle name="Обычный 10 9 4 2 3 2 3" xfId="11291"/>
    <cellStyle name="Обычный 10 9 4 2 3 2 3 2" xfId="11292"/>
    <cellStyle name="Обычный 10 9 4 2 3 2 3 3" xfId="11293"/>
    <cellStyle name="Обычный 10 9 4 2 3 2 4" xfId="11294"/>
    <cellStyle name="Обычный 10 9 4 2 3 2 4 2" xfId="11295"/>
    <cellStyle name="Обычный 10 9 4 2 3 2 5" xfId="11296"/>
    <cellStyle name="Обычный 10 9 4 2 3 2 6" xfId="11297"/>
    <cellStyle name="Обычный 10 9 4 2 3 3" xfId="11298"/>
    <cellStyle name="Обычный 10 9 4 2 3 3 2" xfId="11299"/>
    <cellStyle name="Обычный 10 9 4 2 3 3 3" xfId="11300"/>
    <cellStyle name="Обычный 10 9 4 2 3 4" xfId="11301"/>
    <cellStyle name="Обычный 10 9 4 2 3 4 2" xfId="11302"/>
    <cellStyle name="Обычный 10 9 4 2 3 4 3" xfId="11303"/>
    <cellStyle name="Обычный 10 9 4 2 3 5" xfId="11304"/>
    <cellStyle name="Обычный 10 9 4 2 3 5 2" xfId="11305"/>
    <cellStyle name="Обычный 10 9 4 2 3 6" xfId="11306"/>
    <cellStyle name="Обычный 10 9 4 2 3 7" xfId="11307"/>
    <cellStyle name="Обычный 10 9 4 2 4" xfId="11308"/>
    <cellStyle name="Обычный 10 9 4 2 4 2" xfId="11309"/>
    <cellStyle name="Обычный 10 9 4 2 4 2 2" xfId="11310"/>
    <cellStyle name="Обычный 10 9 4 2 4 2 3" xfId="11311"/>
    <cellStyle name="Обычный 10 9 4 2 4 3" xfId="11312"/>
    <cellStyle name="Обычный 10 9 4 2 4 3 2" xfId="11313"/>
    <cellStyle name="Обычный 10 9 4 2 4 3 3" xfId="11314"/>
    <cellStyle name="Обычный 10 9 4 2 4 4" xfId="11315"/>
    <cellStyle name="Обычный 10 9 4 2 4 4 2" xfId="11316"/>
    <cellStyle name="Обычный 10 9 4 2 4 5" xfId="11317"/>
    <cellStyle name="Обычный 10 9 4 2 4 6" xfId="11318"/>
    <cellStyle name="Обычный 10 9 4 2 5" xfId="11319"/>
    <cellStyle name="Обычный 10 9 4 2 5 2" xfId="11320"/>
    <cellStyle name="Обычный 10 9 4 2 5 3" xfId="11321"/>
    <cellStyle name="Обычный 10 9 4 2 6" xfId="11322"/>
    <cellStyle name="Обычный 10 9 4 2 6 2" xfId="11323"/>
    <cellStyle name="Обычный 10 9 4 2 6 3" xfId="11324"/>
    <cellStyle name="Обычный 10 9 4 2 7" xfId="11325"/>
    <cellStyle name="Обычный 10 9 4 2 7 2" xfId="11326"/>
    <cellStyle name="Обычный 10 9 4 2 8" xfId="11327"/>
    <cellStyle name="Обычный 10 9 4 2 9" xfId="11328"/>
    <cellStyle name="Обычный 10 9 4 3" xfId="11329"/>
    <cellStyle name="Обычный 10 9 4 3 2" xfId="11330"/>
    <cellStyle name="Обычный 10 9 4 3 2 2" xfId="11331"/>
    <cellStyle name="Обычный 10 9 4 3 2 2 2" xfId="11332"/>
    <cellStyle name="Обычный 10 9 4 3 2 2 2 2" xfId="11333"/>
    <cellStyle name="Обычный 10 9 4 3 2 2 2 3" xfId="11334"/>
    <cellStyle name="Обычный 10 9 4 3 2 2 3" xfId="11335"/>
    <cellStyle name="Обычный 10 9 4 3 2 2 3 2" xfId="11336"/>
    <cellStyle name="Обычный 10 9 4 3 2 2 3 3" xfId="11337"/>
    <cellStyle name="Обычный 10 9 4 3 2 2 4" xfId="11338"/>
    <cellStyle name="Обычный 10 9 4 3 2 2 4 2" xfId="11339"/>
    <cellStyle name="Обычный 10 9 4 3 2 2 5" xfId="11340"/>
    <cellStyle name="Обычный 10 9 4 3 2 2 6" xfId="11341"/>
    <cellStyle name="Обычный 10 9 4 3 2 3" xfId="11342"/>
    <cellStyle name="Обычный 10 9 4 3 2 3 2" xfId="11343"/>
    <cellStyle name="Обычный 10 9 4 3 2 3 3" xfId="11344"/>
    <cellStyle name="Обычный 10 9 4 3 2 4" xfId="11345"/>
    <cellStyle name="Обычный 10 9 4 3 2 4 2" xfId="11346"/>
    <cellStyle name="Обычный 10 9 4 3 2 4 3" xfId="11347"/>
    <cellStyle name="Обычный 10 9 4 3 2 5" xfId="11348"/>
    <cellStyle name="Обычный 10 9 4 3 2 5 2" xfId="11349"/>
    <cellStyle name="Обычный 10 9 4 3 2 6" xfId="11350"/>
    <cellStyle name="Обычный 10 9 4 3 2 7" xfId="11351"/>
    <cellStyle name="Обычный 10 9 4 3 3" xfId="11352"/>
    <cellStyle name="Обычный 10 9 4 3 3 2" xfId="11353"/>
    <cellStyle name="Обычный 10 9 4 3 3 2 2" xfId="11354"/>
    <cellStyle name="Обычный 10 9 4 3 3 2 3" xfId="11355"/>
    <cellStyle name="Обычный 10 9 4 3 3 3" xfId="11356"/>
    <cellStyle name="Обычный 10 9 4 3 3 3 2" xfId="11357"/>
    <cellStyle name="Обычный 10 9 4 3 3 3 3" xfId="11358"/>
    <cellStyle name="Обычный 10 9 4 3 3 4" xfId="11359"/>
    <cellStyle name="Обычный 10 9 4 3 3 4 2" xfId="11360"/>
    <cellStyle name="Обычный 10 9 4 3 3 5" xfId="11361"/>
    <cellStyle name="Обычный 10 9 4 3 3 6" xfId="11362"/>
    <cellStyle name="Обычный 10 9 4 3 4" xfId="11363"/>
    <cellStyle name="Обычный 10 9 4 3 4 2" xfId="11364"/>
    <cellStyle name="Обычный 10 9 4 3 4 3" xfId="11365"/>
    <cellStyle name="Обычный 10 9 4 3 5" xfId="11366"/>
    <cellStyle name="Обычный 10 9 4 3 5 2" xfId="11367"/>
    <cellStyle name="Обычный 10 9 4 3 5 3" xfId="11368"/>
    <cellStyle name="Обычный 10 9 4 3 6" xfId="11369"/>
    <cellStyle name="Обычный 10 9 4 3 6 2" xfId="11370"/>
    <cellStyle name="Обычный 10 9 4 3 7" xfId="11371"/>
    <cellStyle name="Обычный 10 9 4 3 8" xfId="11372"/>
    <cellStyle name="Обычный 10 9 4 4" xfId="11373"/>
    <cellStyle name="Обычный 10 9 4 4 2" xfId="11374"/>
    <cellStyle name="Обычный 10 9 4 4 2 2" xfId="11375"/>
    <cellStyle name="Обычный 10 9 4 4 2 2 2" xfId="11376"/>
    <cellStyle name="Обычный 10 9 4 4 2 2 3" xfId="11377"/>
    <cellStyle name="Обычный 10 9 4 4 2 3" xfId="11378"/>
    <cellStyle name="Обычный 10 9 4 4 2 3 2" xfId="11379"/>
    <cellStyle name="Обычный 10 9 4 4 2 3 3" xfId="11380"/>
    <cellStyle name="Обычный 10 9 4 4 2 4" xfId="11381"/>
    <cellStyle name="Обычный 10 9 4 4 2 4 2" xfId="11382"/>
    <cellStyle name="Обычный 10 9 4 4 2 5" xfId="11383"/>
    <cellStyle name="Обычный 10 9 4 4 2 6" xfId="11384"/>
    <cellStyle name="Обычный 10 9 4 4 3" xfId="11385"/>
    <cellStyle name="Обычный 10 9 4 4 3 2" xfId="11386"/>
    <cellStyle name="Обычный 10 9 4 4 3 3" xfId="11387"/>
    <cellStyle name="Обычный 10 9 4 4 4" xfId="11388"/>
    <cellStyle name="Обычный 10 9 4 4 4 2" xfId="11389"/>
    <cellStyle name="Обычный 10 9 4 4 4 3" xfId="11390"/>
    <cellStyle name="Обычный 10 9 4 4 5" xfId="11391"/>
    <cellStyle name="Обычный 10 9 4 4 5 2" xfId="11392"/>
    <cellStyle name="Обычный 10 9 4 4 6" xfId="11393"/>
    <cellStyle name="Обычный 10 9 4 4 7" xfId="11394"/>
    <cellStyle name="Обычный 10 9 4 5" xfId="11395"/>
    <cellStyle name="Обычный 10 9 4 5 2" xfId="11396"/>
    <cellStyle name="Обычный 10 9 4 5 2 2" xfId="11397"/>
    <cellStyle name="Обычный 10 9 4 5 2 3" xfId="11398"/>
    <cellStyle name="Обычный 10 9 4 5 3" xfId="11399"/>
    <cellStyle name="Обычный 10 9 4 5 3 2" xfId="11400"/>
    <cellStyle name="Обычный 10 9 4 5 3 3" xfId="11401"/>
    <cellStyle name="Обычный 10 9 4 5 4" xfId="11402"/>
    <cellStyle name="Обычный 10 9 4 5 4 2" xfId="11403"/>
    <cellStyle name="Обычный 10 9 4 5 5" xfId="11404"/>
    <cellStyle name="Обычный 10 9 4 5 6" xfId="11405"/>
    <cellStyle name="Обычный 10 9 4 6" xfId="11406"/>
    <cellStyle name="Обычный 10 9 4 6 2" xfId="11407"/>
    <cellStyle name="Обычный 10 9 4 6 3" xfId="11408"/>
    <cellStyle name="Обычный 10 9 4 7" xfId="11409"/>
    <cellStyle name="Обычный 10 9 4 7 2" xfId="11410"/>
    <cellStyle name="Обычный 10 9 4 7 3" xfId="11411"/>
    <cellStyle name="Обычный 10 9 4 8" xfId="11412"/>
    <cellStyle name="Обычный 10 9 4 8 2" xfId="11413"/>
    <cellStyle name="Обычный 10 9 4 9" xfId="11414"/>
    <cellStyle name="Обычный 10 9 5" xfId="11415"/>
    <cellStyle name="Обычный 10 9 5 2" xfId="11416"/>
    <cellStyle name="Обычный 10 9 5 2 2" xfId="11417"/>
    <cellStyle name="Обычный 10 9 5 2 2 2" xfId="11418"/>
    <cellStyle name="Обычный 10 9 5 2 2 2 2" xfId="11419"/>
    <cellStyle name="Обычный 10 9 5 2 2 2 2 2" xfId="11420"/>
    <cellStyle name="Обычный 10 9 5 2 2 2 2 3" xfId="11421"/>
    <cellStyle name="Обычный 10 9 5 2 2 2 3" xfId="11422"/>
    <cellStyle name="Обычный 10 9 5 2 2 2 3 2" xfId="11423"/>
    <cellStyle name="Обычный 10 9 5 2 2 2 3 3" xfId="11424"/>
    <cellStyle name="Обычный 10 9 5 2 2 2 4" xfId="11425"/>
    <cellStyle name="Обычный 10 9 5 2 2 2 4 2" xfId="11426"/>
    <cellStyle name="Обычный 10 9 5 2 2 2 5" xfId="11427"/>
    <cellStyle name="Обычный 10 9 5 2 2 2 6" xfId="11428"/>
    <cellStyle name="Обычный 10 9 5 2 2 3" xfId="11429"/>
    <cellStyle name="Обычный 10 9 5 2 2 3 2" xfId="11430"/>
    <cellStyle name="Обычный 10 9 5 2 2 3 3" xfId="11431"/>
    <cellStyle name="Обычный 10 9 5 2 2 4" xfId="11432"/>
    <cellStyle name="Обычный 10 9 5 2 2 4 2" xfId="11433"/>
    <cellStyle name="Обычный 10 9 5 2 2 4 3" xfId="11434"/>
    <cellStyle name="Обычный 10 9 5 2 2 5" xfId="11435"/>
    <cellStyle name="Обычный 10 9 5 2 2 5 2" xfId="11436"/>
    <cellStyle name="Обычный 10 9 5 2 2 6" xfId="11437"/>
    <cellStyle name="Обычный 10 9 5 2 2 7" xfId="11438"/>
    <cellStyle name="Обычный 10 9 5 2 3" xfId="11439"/>
    <cellStyle name="Обычный 10 9 5 2 3 2" xfId="11440"/>
    <cellStyle name="Обычный 10 9 5 2 3 2 2" xfId="11441"/>
    <cellStyle name="Обычный 10 9 5 2 3 2 3" xfId="11442"/>
    <cellStyle name="Обычный 10 9 5 2 3 3" xfId="11443"/>
    <cellStyle name="Обычный 10 9 5 2 3 3 2" xfId="11444"/>
    <cellStyle name="Обычный 10 9 5 2 3 3 3" xfId="11445"/>
    <cellStyle name="Обычный 10 9 5 2 3 4" xfId="11446"/>
    <cellStyle name="Обычный 10 9 5 2 3 4 2" xfId="11447"/>
    <cellStyle name="Обычный 10 9 5 2 3 5" xfId="11448"/>
    <cellStyle name="Обычный 10 9 5 2 3 6" xfId="11449"/>
    <cellStyle name="Обычный 10 9 5 2 4" xfId="11450"/>
    <cellStyle name="Обычный 10 9 5 2 4 2" xfId="11451"/>
    <cellStyle name="Обычный 10 9 5 2 4 3" xfId="11452"/>
    <cellStyle name="Обычный 10 9 5 2 5" xfId="11453"/>
    <cellStyle name="Обычный 10 9 5 2 5 2" xfId="11454"/>
    <cellStyle name="Обычный 10 9 5 2 5 3" xfId="11455"/>
    <cellStyle name="Обычный 10 9 5 2 6" xfId="11456"/>
    <cellStyle name="Обычный 10 9 5 2 6 2" xfId="11457"/>
    <cellStyle name="Обычный 10 9 5 2 7" xfId="11458"/>
    <cellStyle name="Обычный 10 9 5 2 8" xfId="11459"/>
    <cellStyle name="Обычный 10 9 5 3" xfId="11460"/>
    <cellStyle name="Обычный 10 9 5 3 2" xfId="11461"/>
    <cellStyle name="Обычный 10 9 5 3 2 2" xfId="11462"/>
    <cellStyle name="Обычный 10 9 5 3 2 2 2" xfId="11463"/>
    <cellStyle name="Обычный 10 9 5 3 2 2 3" xfId="11464"/>
    <cellStyle name="Обычный 10 9 5 3 2 3" xfId="11465"/>
    <cellStyle name="Обычный 10 9 5 3 2 3 2" xfId="11466"/>
    <cellStyle name="Обычный 10 9 5 3 2 3 3" xfId="11467"/>
    <cellStyle name="Обычный 10 9 5 3 2 4" xfId="11468"/>
    <cellStyle name="Обычный 10 9 5 3 2 4 2" xfId="11469"/>
    <cellStyle name="Обычный 10 9 5 3 2 5" xfId="11470"/>
    <cellStyle name="Обычный 10 9 5 3 2 6" xfId="11471"/>
    <cellStyle name="Обычный 10 9 5 3 3" xfId="11472"/>
    <cellStyle name="Обычный 10 9 5 3 3 2" xfId="11473"/>
    <cellStyle name="Обычный 10 9 5 3 3 3" xfId="11474"/>
    <cellStyle name="Обычный 10 9 5 3 4" xfId="11475"/>
    <cellStyle name="Обычный 10 9 5 3 4 2" xfId="11476"/>
    <cellStyle name="Обычный 10 9 5 3 4 3" xfId="11477"/>
    <cellStyle name="Обычный 10 9 5 3 5" xfId="11478"/>
    <cellStyle name="Обычный 10 9 5 3 5 2" xfId="11479"/>
    <cellStyle name="Обычный 10 9 5 3 6" xfId="11480"/>
    <cellStyle name="Обычный 10 9 5 3 7" xfId="11481"/>
    <cellStyle name="Обычный 10 9 5 4" xfId="11482"/>
    <cellStyle name="Обычный 10 9 5 4 2" xfId="11483"/>
    <cellStyle name="Обычный 10 9 5 4 2 2" xfId="11484"/>
    <cellStyle name="Обычный 10 9 5 4 2 3" xfId="11485"/>
    <cellStyle name="Обычный 10 9 5 4 3" xfId="11486"/>
    <cellStyle name="Обычный 10 9 5 4 3 2" xfId="11487"/>
    <cellStyle name="Обычный 10 9 5 4 3 3" xfId="11488"/>
    <cellStyle name="Обычный 10 9 5 4 4" xfId="11489"/>
    <cellStyle name="Обычный 10 9 5 4 4 2" xfId="11490"/>
    <cellStyle name="Обычный 10 9 5 4 5" xfId="11491"/>
    <cellStyle name="Обычный 10 9 5 4 6" xfId="11492"/>
    <cellStyle name="Обычный 10 9 5 5" xfId="11493"/>
    <cellStyle name="Обычный 10 9 5 5 2" xfId="11494"/>
    <cellStyle name="Обычный 10 9 5 5 3" xfId="11495"/>
    <cellStyle name="Обычный 10 9 5 6" xfId="11496"/>
    <cellStyle name="Обычный 10 9 5 6 2" xfId="11497"/>
    <cellStyle name="Обычный 10 9 5 6 3" xfId="11498"/>
    <cellStyle name="Обычный 10 9 5 7" xfId="11499"/>
    <cellStyle name="Обычный 10 9 5 7 2" xfId="11500"/>
    <cellStyle name="Обычный 10 9 5 8" xfId="11501"/>
    <cellStyle name="Обычный 10 9 5 9" xfId="11502"/>
    <cellStyle name="Обычный 10 9 6" xfId="11503"/>
    <cellStyle name="Обычный 10 9 6 2" xfId="11504"/>
    <cellStyle name="Обычный 10 9 6 2 2" xfId="11505"/>
    <cellStyle name="Обычный 10 9 6 2 2 2" xfId="11506"/>
    <cellStyle name="Обычный 10 9 6 2 2 2 2" xfId="11507"/>
    <cellStyle name="Обычный 10 9 6 2 2 2 3" xfId="11508"/>
    <cellStyle name="Обычный 10 9 6 2 2 3" xfId="11509"/>
    <cellStyle name="Обычный 10 9 6 2 2 3 2" xfId="11510"/>
    <cellStyle name="Обычный 10 9 6 2 2 3 3" xfId="11511"/>
    <cellStyle name="Обычный 10 9 6 2 2 4" xfId="11512"/>
    <cellStyle name="Обычный 10 9 6 2 2 4 2" xfId="11513"/>
    <cellStyle name="Обычный 10 9 6 2 2 5" xfId="11514"/>
    <cellStyle name="Обычный 10 9 6 2 2 6" xfId="11515"/>
    <cellStyle name="Обычный 10 9 6 2 3" xfId="11516"/>
    <cellStyle name="Обычный 10 9 6 2 3 2" xfId="11517"/>
    <cellStyle name="Обычный 10 9 6 2 3 3" xfId="11518"/>
    <cellStyle name="Обычный 10 9 6 2 4" xfId="11519"/>
    <cellStyle name="Обычный 10 9 6 2 4 2" xfId="11520"/>
    <cellStyle name="Обычный 10 9 6 2 4 3" xfId="11521"/>
    <cellStyle name="Обычный 10 9 6 2 5" xfId="11522"/>
    <cellStyle name="Обычный 10 9 6 2 5 2" xfId="11523"/>
    <cellStyle name="Обычный 10 9 6 2 6" xfId="11524"/>
    <cellStyle name="Обычный 10 9 6 2 7" xfId="11525"/>
    <cellStyle name="Обычный 10 9 6 3" xfId="11526"/>
    <cellStyle name="Обычный 10 9 6 3 2" xfId="11527"/>
    <cellStyle name="Обычный 10 9 6 3 2 2" xfId="11528"/>
    <cellStyle name="Обычный 10 9 6 3 2 3" xfId="11529"/>
    <cellStyle name="Обычный 10 9 6 3 3" xfId="11530"/>
    <cellStyle name="Обычный 10 9 6 3 3 2" xfId="11531"/>
    <cellStyle name="Обычный 10 9 6 3 3 3" xfId="11532"/>
    <cellStyle name="Обычный 10 9 6 3 4" xfId="11533"/>
    <cellStyle name="Обычный 10 9 6 3 4 2" xfId="11534"/>
    <cellStyle name="Обычный 10 9 6 3 5" xfId="11535"/>
    <cellStyle name="Обычный 10 9 6 3 6" xfId="11536"/>
    <cellStyle name="Обычный 10 9 6 4" xfId="11537"/>
    <cellStyle name="Обычный 10 9 6 4 2" xfId="11538"/>
    <cellStyle name="Обычный 10 9 6 4 3" xfId="11539"/>
    <cellStyle name="Обычный 10 9 6 5" xfId="11540"/>
    <cellStyle name="Обычный 10 9 6 5 2" xfId="11541"/>
    <cellStyle name="Обычный 10 9 6 5 3" xfId="11542"/>
    <cellStyle name="Обычный 10 9 6 6" xfId="11543"/>
    <cellStyle name="Обычный 10 9 6 6 2" xfId="11544"/>
    <cellStyle name="Обычный 10 9 6 7" xfId="11545"/>
    <cellStyle name="Обычный 10 9 6 8" xfId="11546"/>
    <cellStyle name="Обычный 10 9 7" xfId="11547"/>
    <cellStyle name="Обычный 10 9 7 2" xfId="11548"/>
    <cellStyle name="Обычный 10 9 7 2 2" xfId="11549"/>
    <cellStyle name="Обычный 10 9 7 2 2 2" xfId="11550"/>
    <cellStyle name="Обычный 10 9 7 2 2 3" xfId="11551"/>
    <cellStyle name="Обычный 10 9 7 2 3" xfId="11552"/>
    <cellStyle name="Обычный 10 9 7 2 3 2" xfId="11553"/>
    <cellStyle name="Обычный 10 9 7 2 3 3" xfId="11554"/>
    <cellStyle name="Обычный 10 9 7 2 4" xfId="11555"/>
    <cellStyle name="Обычный 10 9 7 2 4 2" xfId="11556"/>
    <cellStyle name="Обычный 10 9 7 2 5" xfId="11557"/>
    <cellStyle name="Обычный 10 9 7 2 6" xfId="11558"/>
    <cellStyle name="Обычный 10 9 7 3" xfId="11559"/>
    <cellStyle name="Обычный 10 9 7 3 2" xfId="11560"/>
    <cellStyle name="Обычный 10 9 7 3 3" xfId="11561"/>
    <cellStyle name="Обычный 10 9 7 4" xfId="11562"/>
    <cellStyle name="Обычный 10 9 7 4 2" xfId="11563"/>
    <cellStyle name="Обычный 10 9 7 4 3" xfId="11564"/>
    <cellStyle name="Обычный 10 9 7 5" xfId="11565"/>
    <cellStyle name="Обычный 10 9 7 5 2" xfId="11566"/>
    <cellStyle name="Обычный 10 9 7 6" xfId="11567"/>
    <cellStyle name="Обычный 10 9 7 7" xfId="11568"/>
    <cellStyle name="Обычный 10 9 8" xfId="11569"/>
    <cellStyle name="Обычный 10 9 8 2" xfId="11570"/>
    <cellStyle name="Обычный 10 9 8 2 2" xfId="11571"/>
    <cellStyle name="Обычный 10 9 8 2 3" xfId="11572"/>
    <cellStyle name="Обычный 10 9 8 3" xfId="11573"/>
    <cellStyle name="Обычный 10 9 8 3 2" xfId="11574"/>
    <cellStyle name="Обычный 10 9 8 3 3" xfId="11575"/>
    <cellStyle name="Обычный 10 9 8 4" xfId="11576"/>
    <cellStyle name="Обычный 10 9 8 4 2" xfId="11577"/>
    <cellStyle name="Обычный 10 9 8 5" xfId="11578"/>
    <cellStyle name="Обычный 10 9 8 6" xfId="11579"/>
    <cellStyle name="Обычный 10 9 9" xfId="11580"/>
    <cellStyle name="Обычный 10 9 9 2" xfId="11581"/>
    <cellStyle name="Обычный 10 9 9 3" xfId="11582"/>
    <cellStyle name="Обычный 11" xfId="11583"/>
    <cellStyle name="Обычный 11 2" xfId="11584"/>
    <cellStyle name="Обычный 12" xfId="11585"/>
    <cellStyle name="Обычный 12 10" xfId="11586"/>
    <cellStyle name="Обычный 12 10 2" xfId="11587"/>
    <cellStyle name="Обычный 12 10 3" xfId="11588"/>
    <cellStyle name="Обычный 12 11" xfId="11589"/>
    <cellStyle name="Обычный 12 11 2" xfId="11590"/>
    <cellStyle name="Обычный 12 12" xfId="11591"/>
    <cellStyle name="Обычный 12 13" xfId="11592"/>
    <cellStyle name="Обычный 12 2" xfId="11593"/>
    <cellStyle name="Обычный 12 2 10" xfId="11594"/>
    <cellStyle name="Обычный 12 2 2" xfId="11595"/>
    <cellStyle name="Обычный 12 2 2 2" xfId="11596"/>
    <cellStyle name="Обычный 12 2 2 2 2" xfId="11597"/>
    <cellStyle name="Обычный 12 2 2 2 2 2" xfId="11598"/>
    <cellStyle name="Обычный 12 2 2 2 2 2 2" xfId="11599"/>
    <cellStyle name="Обычный 12 2 2 2 2 2 2 2" xfId="11600"/>
    <cellStyle name="Обычный 12 2 2 2 2 2 2 3" xfId="11601"/>
    <cellStyle name="Обычный 12 2 2 2 2 2 3" xfId="11602"/>
    <cellStyle name="Обычный 12 2 2 2 2 2 3 2" xfId="11603"/>
    <cellStyle name="Обычный 12 2 2 2 2 2 3 3" xfId="11604"/>
    <cellStyle name="Обычный 12 2 2 2 2 2 4" xfId="11605"/>
    <cellStyle name="Обычный 12 2 2 2 2 2 4 2" xfId="11606"/>
    <cellStyle name="Обычный 12 2 2 2 2 2 5" xfId="11607"/>
    <cellStyle name="Обычный 12 2 2 2 2 2 6" xfId="11608"/>
    <cellStyle name="Обычный 12 2 2 2 2 3" xfId="11609"/>
    <cellStyle name="Обычный 12 2 2 2 2 3 2" xfId="11610"/>
    <cellStyle name="Обычный 12 2 2 2 2 3 3" xfId="11611"/>
    <cellStyle name="Обычный 12 2 2 2 2 4" xfId="11612"/>
    <cellStyle name="Обычный 12 2 2 2 2 4 2" xfId="11613"/>
    <cellStyle name="Обычный 12 2 2 2 2 4 3" xfId="11614"/>
    <cellStyle name="Обычный 12 2 2 2 2 5" xfId="11615"/>
    <cellStyle name="Обычный 12 2 2 2 2 5 2" xfId="11616"/>
    <cellStyle name="Обычный 12 2 2 2 2 6" xfId="11617"/>
    <cellStyle name="Обычный 12 2 2 2 2 7" xfId="11618"/>
    <cellStyle name="Обычный 12 2 2 2 3" xfId="11619"/>
    <cellStyle name="Обычный 12 2 2 2 3 2" xfId="11620"/>
    <cellStyle name="Обычный 12 2 2 2 3 2 2" xfId="11621"/>
    <cellStyle name="Обычный 12 2 2 2 3 2 3" xfId="11622"/>
    <cellStyle name="Обычный 12 2 2 2 3 3" xfId="11623"/>
    <cellStyle name="Обычный 12 2 2 2 3 3 2" xfId="11624"/>
    <cellStyle name="Обычный 12 2 2 2 3 3 3" xfId="11625"/>
    <cellStyle name="Обычный 12 2 2 2 3 4" xfId="11626"/>
    <cellStyle name="Обычный 12 2 2 2 3 4 2" xfId="11627"/>
    <cellStyle name="Обычный 12 2 2 2 3 5" xfId="11628"/>
    <cellStyle name="Обычный 12 2 2 2 3 6" xfId="11629"/>
    <cellStyle name="Обычный 12 2 2 2 4" xfId="11630"/>
    <cellStyle name="Обычный 12 2 2 2 4 2" xfId="11631"/>
    <cellStyle name="Обычный 12 2 2 2 4 3" xfId="11632"/>
    <cellStyle name="Обычный 12 2 2 2 5" xfId="11633"/>
    <cellStyle name="Обычный 12 2 2 2 5 2" xfId="11634"/>
    <cellStyle name="Обычный 12 2 2 2 5 3" xfId="11635"/>
    <cellStyle name="Обычный 12 2 2 2 6" xfId="11636"/>
    <cellStyle name="Обычный 12 2 2 2 6 2" xfId="11637"/>
    <cellStyle name="Обычный 12 2 2 2 7" xfId="11638"/>
    <cellStyle name="Обычный 12 2 2 2 8" xfId="11639"/>
    <cellStyle name="Обычный 12 2 2 3" xfId="11640"/>
    <cellStyle name="Обычный 12 2 2 3 2" xfId="11641"/>
    <cellStyle name="Обычный 12 2 2 3 2 2" xfId="11642"/>
    <cellStyle name="Обычный 12 2 2 3 2 2 2" xfId="11643"/>
    <cellStyle name="Обычный 12 2 2 3 2 2 3" xfId="11644"/>
    <cellStyle name="Обычный 12 2 2 3 2 3" xfId="11645"/>
    <cellStyle name="Обычный 12 2 2 3 2 3 2" xfId="11646"/>
    <cellStyle name="Обычный 12 2 2 3 2 3 3" xfId="11647"/>
    <cellStyle name="Обычный 12 2 2 3 2 4" xfId="11648"/>
    <cellStyle name="Обычный 12 2 2 3 2 4 2" xfId="11649"/>
    <cellStyle name="Обычный 12 2 2 3 2 5" xfId="11650"/>
    <cellStyle name="Обычный 12 2 2 3 2 6" xfId="11651"/>
    <cellStyle name="Обычный 12 2 2 3 3" xfId="11652"/>
    <cellStyle name="Обычный 12 2 2 3 3 2" xfId="11653"/>
    <cellStyle name="Обычный 12 2 2 3 3 3" xfId="11654"/>
    <cellStyle name="Обычный 12 2 2 3 4" xfId="11655"/>
    <cellStyle name="Обычный 12 2 2 3 4 2" xfId="11656"/>
    <cellStyle name="Обычный 12 2 2 3 4 3" xfId="11657"/>
    <cellStyle name="Обычный 12 2 2 3 5" xfId="11658"/>
    <cellStyle name="Обычный 12 2 2 3 5 2" xfId="11659"/>
    <cellStyle name="Обычный 12 2 2 3 6" xfId="11660"/>
    <cellStyle name="Обычный 12 2 2 3 7" xfId="11661"/>
    <cellStyle name="Обычный 12 2 2 4" xfId="11662"/>
    <cellStyle name="Обычный 12 2 2 4 2" xfId="11663"/>
    <cellStyle name="Обычный 12 2 2 4 2 2" xfId="11664"/>
    <cellStyle name="Обычный 12 2 2 4 2 3" xfId="11665"/>
    <cellStyle name="Обычный 12 2 2 4 3" xfId="11666"/>
    <cellStyle name="Обычный 12 2 2 4 3 2" xfId="11667"/>
    <cellStyle name="Обычный 12 2 2 4 3 3" xfId="11668"/>
    <cellStyle name="Обычный 12 2 2 4 4" xfId="11669"/>
    <cellStyle name="Обычный 12 2 2 4 4 2" xfId="11670"/>
    <cellStyle name="Обычный 12 2 2 4 5" xfId="11671"/>
    <cellStyle name="Обычный 12 2 2 4 6" xfId="11672"/>
    <cellStyle name="Обычный 12 2 2 5" xfId="11673"/>
    <cellStyle name="Обычный 12 2 2 5 2" xfId="11674"/>
    <cellStyle name="Обычный 12 2 2 5 3" xfId="11675"/>
    <cellStyle name="Обычный 12 2 2 6" xfId="11676"/>
    <cellStyle name="Обычный 12 2 2 6 2" xfId="11677"/>
    <cellStyle name="Обычный 12 2 2 6 3" xfId="11678"/>
    <cellStyle name="Обычный 12 2 2 7" xfId="11679"/>
    <cellStyle name="Обычный 12 2 2 7 2" xfId="11680"/>
    <cellStyle name="Обычный 12 2 2 8" xfId="11681"/>
    <cellStyle name="Обычный 12 2 2 9" xfId="11682"/>
    <cellStyle name="Обычный 12 2 3" xfId="11683"/>
    <cellStyle name="Обычный 12 2 3 2" xfId="11684"/>
    <cellStyle name="Обычный 12 2 3 2 2" xfId="11685"/>
    <cellStyle name="Обычный 12 2 3 2 2 2" xfId="11686"/>
    <cellStyle name="Обычный 12 2 3 2 2 2 2" xfId="11687"/>
    <cellStyle name="Обычный 12 2 3 2 2 2 3" xfId="11688"/>
    <cellStyle name="Обычный 12 2 3 2 2 3" xfId="11689"/>
    <cellStyle name="Обычный 12 2 3 2 2 3 2" xfId="11690"/>
    <cellStyle name="Обычный 12 2 3 2 2 3 3" xfId="11691"/>
    <cellStyle name="Обычный 12 2 3 2 2 4" xfId="11692"/>
    <cellStyle name="Обычный 12 2 3 2 2 4 2" xfId="11693"/>
    <cellStyle name="Обычный 12 2 3 2 2 5" xfId="11694"/>
    <cellStyle name="Обычный 12 2 3 2 2 6" xfId="11695"/>
    <cellStyle name="Обычный 12 2 3 2 3" xfId="11696"/>
    <cellStyle name="Обычный 12 2 3 2 3 2" xfId="11697"/>
    <cellStyle name="Обычный 12 2 3 2 3 3" xfId="11698"/>
    <cellStyle name="Обычный 12 2 3 2 4" xfId="11699"/>
    <cellStyle name="Обычный 12 2 3 2 4 2" xfId="11700"/>
    <cellStyle name="Обычный 12 2 3 2 4 3" xfId="11701"/>
    <cellStyle name="Обычный 12 2 3 2 5" xfId="11702"/>
    <cellStyle name="Обычный 12 2 3 2 5 2" xfId="11703"/>
    <cellStyle name="Обычный 12 2 3 2 6" xfId="11704"/>
    <cellStyle name="Обычный 12 2 3 2 7" xfId="11705"/>
    <cellStyle name="Обычный 12 2 3 3" xfId="11706"/>
    <cellStyle name="Обычный 12 2 3 3 2" xfId="11707"/>
    <cellStyle name="Обычный 12 2 3 3 2 2" xfId="11708"/>
    <cellStyle name="Обычный 12 2 3 3 2 3" xfId="11709"/>
    <cellStyle name="Обычный 12 2 3 3 3" xfId="11710"/>
    <cellStyle name="Обычный 12 2 3 3 3 2" xfId="11711"/>
    <cellStyle name="Обычный 12 2 3 3 3 3" xfId="11712"/>
    <cellStyle name="Обычный 12 2 3 3 4" xfId="11713"/>
    <cellStyle name="Обычный 12 2 3 3 4 2" xfId="11714"/>
    <cellStyle name="Обычный 12 2 3 3 5" xfId="11715"/>
    <cellStyle name="Обычный 12 2 3 3 6" xfId="11716"/>
    <cellStyle name="Обычный 12 2 3 4" xfId="11717"/>
    <cellStyle name="Обычный 12 2 3 4 2" xfId="11718"/>
    <cellStyle name="Обычный 12 2 3 4 3" xfId="11719"/>
    <cellStyle name="Обычный 12 2 3 5" xfId="11720"/>
    <cellStyle name="Обычный 12 2 3 5 2" xfId="11721"/>
    <cellStyle name="Обычный 12 2 3 5 3" xfId="11722"/>
    <cellStyle name="Обычный 12 2 3 6" xfId="11723"/>
    <cellStyle name="Обычный 12 2 3 6 2" xfId="11724"/>
    <cellStyle name="Обычный 12 2 3 7" xfId="11725"/>
    <cellStyle name="Обычный 12 2 3 8" xfId="11726"/>
    <cellStyle name="Обычный 12 2 4" xfId="11727"/>
    <cellStyle name="Обычный 12 2 4 2" xfId="11728"/>
    <cellStyle name="Обычный 12 2 4 2 2" xfId="11729"/>
    <cellStyle name="Обычный 12 2 4 2 2 2" xfId="11730"/>
    <cellStyle name="Обычный 12 2 4 2 2 3" xfId="11731"/>
    <cellStyle name="Обычный 12 2 4 2 3" xfId="11732"/>
    <cellStyle name="Обычный 12 2 4 2 3 2" xfId="11733"/>
    <cellStyle name="Обычный 12 2 4 2 3 3" xfId="11734"/>
    <cellStyle name="Обычный 12 2 4 2 4" xfId="11735"/>
    <cellStyle name="Обычный 12 2 4 2 4 2" xfId="11736"/>
    <cellStyle name="Обычный 12 2 4 2 5" xfId="11737"/>
    <cellStyle name="Обычный 12 2 4 2 6" xfId="11738"/>
    <cellStyle name="Обычный 12 2 4 3" xfId="11739"/>
    <cellStyle name="Обычный 12 2 4 3 2" xfId="11740"/>
    <cellStyle name="Обычный 12 2 4 3 3" xfId="11741"/>
    <cellStyle name="Обычный 12 2 4 4" xfId="11742"/>
    <cellStyle name="Обычный 12 2 4 4 2" xfId="11743"/>
    <cellStyle name="Обычный 12 2 4 4 3" xfId="11744"/>
    <cellStyle name="Обычный 12 2 4 5" xfId="11745"/>
    <cellStyle name="Обычный 12 2 4 5 2" xfId="11746"/>
    <cellStyle name="Обычный 12 2 4 6" xfId="11747"/>
    <cellStyle name="Обычный 12 2 4 7" xfId="11748"/>
    <cellStyle name="Обычный 12 2 5" xfId="11749"/>
    <cellStyle name="Обычный 12 2 5 2" xfId="11750"/>
    <cellStyle name="Обычный 12 2 5 2 2" xfId="11751"/>
    <cellStyle name="Обычный 12 2 5 2 3" xfId="11752"/>
    <cellStyle name="Обычный 12 2 5 3" xfId="11753"/>
    <cellStyle name="Обычный 12 2 5 3 2" xfId="11754"/>
    <cellStyle name="Обычный 12 2 5 3 3" xfId="11755"/>
    <cellStyle name="Обычный 12 2 5 4" xfId="11756"/>
    <cellStyle name="Обычный 12 2 5 4 2" xfId="11757"/>
    <cellStyle name="Обычный 12 2 5 5" xfId="11758"/>
    <cellStyle name="Обычный 12 2 5 6" xfId="11759"/>
    <cellStyle name="Обычный 12 2 6" xfId="11760"/>
    <cellStyle name="Обычный 12 2 6 2" xfId="11761"/>
    <cellStyle name="Обычный 12 2 6 3" xfId="11762"/>
    <cellStyle name="Обычный 12 2 7" xfId="11763"/>
    <cellStyle name="Обычный 12 2 7 2" xfId="11764"/>
    <cellStyle name="Обычный 12 2 7 3" xfId="11765"/>
    <cellStyle name="Обычный 12 2 8" xfId="11766"/>
    <cellStyle name="Обычный 12 2 8 2" xfId="11767"/>
    <cellStyle name="Обычный 12 2 9" xfId="11768"/>
    <cellStyle name="Обычный 12 3" xfId="11769"/>
    <cellStyle name="Обычный 12 3 10" xfId="11770"/>
    <cellStyle name="Обычный 12 3 2" xfId="11771"/>
    <cellStyle name="Обычный 12 3 2 2" xfId="11772"/>
    <cellStyle name="Обычный 12 3 2 2 2" xfId="11773"/>
    <cellStyle name="Обычный 12 3 2 2 2 2" xfId="11774"/>
    <cellStyle name="Обычный 12 3 2 2 2 2 2" xfId="11775"/>
    <cellStyle name="Обычный 12 3 2 2 2 2 2 2" xfId="11776"/>
    <cellStyle name="Обычный 12 3 2 2 2 2 2 3" xfId="11777"/>
    <cellStyle name="Обычный 12 3 2 2 2 2 3" xfId="11778"/>
    <cellStyle name="Обычный 12 3 2 2 2 2 3 2" xfId="11779"/>
    <cellStyle name="Обычный 12 3 2 2 2 2 3 3" xfId="11780"/>
    <cellStyle name="Обычный 12 3 2 2 2 2 4" xfId="11781"/>
    <cellStyle name="Обычный 12 3 2 2 2 2 4 2" xfId="11782"/>
    <cellStyle name="Обычный 12 3 2 2 2 2 5" xfId="11783"/>
    <cellStyle name="Обычный 12 3 2 2 2 2 6" xfId="11784"/>
    <cellStyle name="Обычный 12 3 2 2 2 3" xfId="11785"/>
    <cellStyle name="Обычный 12 3 2 2 2 3 2" xfId="11786"/>
    <cellStyle name="Обычный 12 3 2 2 2 3 3" xfId="11787"/>
    <cellStyle name="Обычный 12 3 2 2 2 4" xfId="11788"/>
    <cellStyle name="Обычный 12 3 2 2 2 4 2" xfId="11789"/>
    <cellStyle name="Обычный 12 3 2 2 2 4 3" xfId="11790"/>
    <cellStyle name="Обычный 12 3 2 2 2 5" xfId="11791"/>
    <cellStyle name="Обычный 12 3 2 2 2 5 2" xfId="11792"/>
    <cellStyle name="Обычный 12 3 2 2 2 6" xfId="11793"/>
    <cellStyle name="Обычный 12 3 2 2 2 7" xfId="11794"/>
    <cellStyle name="Обычный 12 3 2 2 3" xfId="11795"/>
    <cellStyle name="Обычный 12 3 2 2 3 2" xfId="11796"/>
    <cellStyle name="Обычный 12 3 2 2 3 2 2" xfId="11797"/>
    <cellStyle name="Обычный 12 3 2 2 3 2 3" xfId="11798"/>
    <cellStyle name="Обычный 12 3 2 2 3 3" xfId="11799"/>
    <cellStyle name="Обычный 12 3 2 2 3 3 2" xfId="11800"/>
    <cellStyle name="Обычный 12 3 2 2 3 3 3" xfId="11801"/>
    <cellStyle name="Обычный 12 3 2 2 3 4" xfId="11802"/>
    <cellStyle name="Обычный 12 3 2 2 3 4 2" xfId="11803"/>
    <cellStyle name="Обычный 12 3 2 2 3 5" xfId="11804"/>
    <cellStyle name="Обычный 12 3 2 2 3 6" xfId="11805"/>
    <cellStyle name="Обычный 12 3 2 2 4" xfId="11806"/>
    <cellStyle name="Обычный 12 3 2 2 4 2" xfId="11807"/>
    <cellStyle name="Обычный 12 3 2 2 4 3" xfId="11808"/>
    <cellStyle name="Обычный 12 3 2 2 5" xfId="11809"/>
    <cellStyle name="Обычный 12 3 2 2 5 2" xfId="11810"/>
    <cellStyle name="Обычный 12 3 2 2 5 3" xfId="11811"/>
    <cellStyle name="Обычный 12 3 2 2 6" xfId="11812"/>
    <cellStyle name="Обычный 12 3 2 2 6 2" xfId="11813"/>
    <cellStyle name="Обычный 12 3 2 2 7" xfId="11814"/>
    <cellStyle name="Обычный 12 3 2 2 8" xfId="11815"/>
    <cellStyle name="Обычный 12 3 2 3" xfId="11816"/>
    <cellStyle name="Обычный 12 3 2 3 2" xfId="11817"/>
    <cellStyle name="Обычный 12 3 2 3 2 2" xfId="11818"/>
    <cellStyle name="Обычный 12 3 2 3 2 2 2" xfId="11819"/>
    <cellStyle name="Обычный 12 3 2 3 2 2 3" xfId="11820"/>
    <cellStyle name="Обычный 12 3 2 3 2 3" xfId="11821"/>
    <cellStyle name="Обычный 12 3 2 3 2 3 2" xfId="11822"/>
    <cellStyle name="Обычный 12 3 2 3 2 3 3" xfId="11823"/>
    <cellStyle name="Обычный 12 3 2 3 2 4" xfId="11824"/>
    <cellStyle name="Обычный 12 3 2 3 2 4 2" xfId="11825"/>
    <cellStyle name="Обычный 12 3 2 3 2 5" xfId="11826"/>
    <cellStyle name="Обычный 12 3 2 3 2 6" xfId="11827"/>
    <cellStyle name="Обычный 12 3 2 3 3" xfId="11828"/>
    <cellStyle name="Обычный 12 3 2 3 3 2" xfId="11829"/>
    <cellStyle name="Обычный 12 3 2 3 3 3" xfId="11830"/>
    <cellStyle name="Обычный 12 3 2 3 4" xfId="11831"/>
    <cellStyle name="Обычный 12 3 2 3 4 2" xfId="11832"/>
    <cellStyle name="Обычный 12 3 2 3 4 3" xfId="11833"/>
    <cellStyle name="Обычный 12 3 2 3 5" xfId="11834"/>
    <cellStyle name="Обычный 12 3 2 3 5 2" xfId="11835"/>
    <cellStyle name="Обычный 12 3 2 3 6" xfId="11836"/>
    <cellStyle name="Обычный 12 3 2 3 7" xfId="11837"/>
    <cellStyle name="Обычный 12 3 2 4" xfId="11838"/>
    <cellStyle name="Обычный 12 3 2 4 2" xfId="11839"/>
    <cellStyle name="Обычный 12 3 2 4 2 2" xfId="11840"/>
    <cellStyle name="Обычный 12 3 2 4 2 3" xfId="11841"/>
    <cellStyle name="Обычный 12 3 2 4 3" xfId="11842"/>
    <cellStyle name="Обычный 12 3 2 4 3 2" xfId="11843"/>
    <cellStyle name="Обычный 12 3 2 4 3 3" xfId="11844"/>
    <cellStyle name="Обычный 12 3 2 4 4" xfId="11845"/>
    <cellStyle name="Обычный 12 3 2 4 4 2" xfId="11846"/>
    <cellStyle name="Обычный 12 3 2 4 5" xfId="11847"/>
    <cellStyle name="Обычный 12 3 2 4 6" xfId="11848"/>
    <cellStyle name="Обычный 12 3 2 5" xfId="11849"/>
    <cellStyle name="Обычный 12 3 2 5 2" xfId="11850"/>
    <cellStyle name="Обычный 12 3 2 5 3" xfId="11851"/>
    <cellStyle name="Обычный 12 3 2 6" xfId="11852"/>
    <cellStyle name="Обычный 12 3 2 6 2" xfId="11853"/>
    <cellStyle name="Обычный 12 3 2 6 3" xfId="11854"/>
    <cellStyle name="Обычный 12 3 2 7" xfId="11855"/>
    <cellStyle name="Обычный 12 3 2 7 2" xfId="11856"/>
    <cellStyle name="Обычный 12 3 2 8" xfId="11857"/>
    <cellStyle name="Обычный 12 3 2 9" xfId="11858"/>
    <cellStyle name="Обычный 12 3 3" xfId="11859"/>
    <cellStyle name="Обычный 12 3 3 2" xfId="11860"/>
    <cellStyle name="Обычный 12 3 3 2 2" xfId="11861"/>
    <cellStyle name="Обычный 12 3 3 2 2 2" xfId="11862"/>
    <cellStyle name="Обычный 12 3 3 2 2 2 2" xfId="11863"/>
    <cellStyle name="Обычный 12 3 3 2 2 2 3" xfId="11864"/>
    <cellStyle name="Обычный 12 3 3 2 2 3" xfId="11865"/>
    <cellStyle name="Обычный 12 3 3 2 2 3 2" xfId="11866"/>
    <cellStyle name="Обычный 12 3 3 2 2 3 3" xfId="11867"/>
    <cellStyle name="Обычный 12 3 3 2 2 4" xfId="11868"/>
    <cellStyle name="Обычный 12 3 3 2 2 4 2" xfId="11869"/>
    <cellStyle name="Обычный 12 3 3 2 2 5" xfId="11870"/>
    <cellStyle name="Обычный 12 3 3 2 2 6" xfId="11871"/>
    <cellStyle name="Обычный 12 3 3 2 3" xfId="11872"/>
    <cellStyle name="Обычный 12 3 3 2 3 2" xfId="11873"/>
    <cellStyle name="Обычный 12 3 3 2 3 3" xfId="11874"/>
    <cellStyle name="Обычный 12 3 3 2 4" xfId="11875"/>
    <cellStyle name="Обычный 12 3 3 2 4 2" xfId="11876"/>
    <cellStyle name="Обычный 12 3 3 2 4 3" xfId="11877"/>
    <cellStyle name="Обычный 12 3 3 2 5" xfId="11878"/>
    <cellStyle name="Обычный 12 3 3 2 5 2" xfId="11879"/>
    <cellStyle name="Обычный 12 3 3 2 6" xfId="11880"/>
    <cellStyle name="Обычный 12 3 3 2 7" xfId="11881"/>
    <cellStyle name="Обычный 12 3 3 3" xfId="11882"/>
    <cellStyle name="Обычный 12 3 3 3 2" xfId="11883"/>
    <cellStyle name="Обычный 12 3 3 3 2 2" xfId="11884"/>
    <cellStyle name="Обычный 12 3 3 3 2 3" xfId="11885"/>
    <cellStyle name="Обычный 12 3 3 3 3" xfId="11886"/>
    <cellStyle name="Обычный 12 3 3 3 3 2" xfId="11887"/>
    <cellStyle name="Обычный 12 3 3 3 3 3" xfId="11888"/>
    <cellStyle name="Обычный 12 3 3 3 4" xfId="11889"/>
    <cellStyle name="Обычный 12 3 3 3 4 2" xfId="11890"/>
    <cellStyle name="Обычный 12 3 3 3 5" xfId="11891"/>
    <cellStyle name="Обычный 12 3 3 3 6" xfId="11892"/>
    <cellStyle name="Обычный 12 3 3 4" xfId="11893"/>
    <cellStyle name="Обычный 12 3 3 4 2" xfId="11894"/>
    <cellStyle name="Обычный 12 3 3 4 3" xfId="11895"/>
    <cellStyle name="Обычный 12 3 3 5" xfId="11896"/>
    <cellStyle name="Обычный 12 3 3 5 2" xfId="11897"/>
    <cellStyle name="Обычный 12 3 3 5 3" xfId="11898"/>
    <cellStyle name="Обычный 12 3 3 6" xfId="11899"/>
    <cellStyle name="Обычный 12 3 3 6 2" xfId="11900"/>
    <cellStyle name="Обычный 12 3 3 7" xfId="11901"/>
    <cellStyle name="Обычный 12 3 3 8" xfId="11902"/>
    <cellStyle name="Обычный 12 3 4" xfId="11903"/>
    <cellStyle name="Обычный 12 3 4 2" xfId="11904"/>
    <cellStyle name="Обычный 12 3 4 2 2" xfId="11905"/>
    <cellStyle name="Обычный 12 3 4 2 2 2" xfId="11906"/>
    <cellStyle name="Обычный 12 3 4 2 2 3" xfId="11907"/>
    <cellStyle name="Обычный 12 3 4 2 3" xfId="11908"/>
    <cellStyle name="Обычный 12 3 4 2 3 2" xfId="11909"/>
    <cellStyle name="Обычный 12 3 4 2 3 3" xfId="11910"/>
    <cellStyle name="Обычный 12 3 4 2 4" xfId="11911"/>
    <cellStyle name="Обычный 12 3 4 2 4 2" xfId="11912"/>
    <cellStyle name="Обычный 12 3 4 2 5" xfId="11913"/>
    <cellStyle name="Обычный 12 3 4 2 6" xfId="11914"/>
    <cellStyle name="Обычный 12 3 4 3" xfId="11915"/>
    <cellStyle name="Обычный 12 3 4 3 2" xfId="11916"/>
    <cellStyle name="Обычный 12 3 4 3 3" xfId="11917"/>
    <cellStyle name="Обычный 12 3 4 4" xfId="11918"/>
    <cellStyle name="Обычный 12 3 4 4 2" xfId="11919"/>
    <cellStyle name="Обычный 12 3 4 4 3" xfId="11920"/>
    <cellStyle name="Обычный 12 3 4 5" xfId="11921"/>
    <cellStyle name="Обычный 12 3 4 5 2" xfId="11922"/>
    <cellStyle name="Обычный 12 3 4 6" xfId="11923"/>
    <cellStyle name="Обычный 12 3 4 7" xfId="11924"/>
    <cellStyle name="Обычный 12 3 5" xfId="11925"/>
    <cellStyle name="Обычный 12 3 5 2" xfId="11926"/>
    <cellStyle name="Обычный 12 3 5 2 2" xfId="11927"/>
    <cellStyle name="Обычный 12 3 5 2 3" xfId="11928"/>
    <cellStyle name="Обычный 12 3 5 3" xfId="11929"/>
    <cellStyle name="Обычный 12 3 5 3 2" xfId="11930"/>
    <cellStyle name="Обычный 12 3 5 3 3" xfId="11931"/>
    <cellStyle name="Обычный 12 3 5 4" xfId="11932"/>
    <cellStyle name="Обычный 12 3 5 4 2" xfId="11933"/>
    <cellStyle name="Обычный 12 3 5 5" xfId="11934"/>
    <cellStyle name="Обычный 12 3 5 6" xfId="11935"/>
    <cellStyle name="Обычный 12 3 6" xfId="11936"/>
    <cellStyle name="Обычный 12 3 6 2" xfId="11937"/>
    <cellStyle name="Обычный 12 3 6 3" xfId="11938"/>
    <cellStyle name="Обычный 12 3 7" xfId="11939"/>
    <cellStyle name="Обычный 12 3 7 2" xfId="11940"/>
    <cellStyle name="Обычный 12 3 7 3" xfId="11941"/>
    <cellStyle name="Обычный 12 3 8" xfId="11942"/>
    <cellStyle name="Обычный 12 3 8 2" xfId="11943"/>
    <cellStyle name="Обычный 12 3 9" xfId="11944"/>
    <cellStyle name="Обычный 12 4" xfId="11945"/>
    <cellStyle name="Обычный 12 4 10" xfId="11946"/>
    <cellStyle name="Обычный 12 4 2" xfId="11947"/>
    <cellStyle name="Обычный 12 4 2 2" xfId="11948"/>
    <cellStyle name="Обычный 12 4 2 2 2" xfId="11949"/>
    <cellStyle name="Обычный 12 4 2 2 2 2" xfId="11950"/>
    <cellStyle name="Обычный 12 4 2 2 2 2 2" xfId="11951"/>
    <cellStyle name="Обычный 12 4 2 2 2 2 2 2" xfId="11952"/>
    <cellStyle name="Обычный 12 4 2 2 2 2 2 3" xfId="11953"/>
    <cellStyle name="Обычный 12 4 2 2 2 2 3" xfId="11954"/>
    <cellStyle name="Обычный 12 4 2 2 2 2 3 2" xfId="11955"/>
    <cellStyle name="Обычный 12 4 2 2 2 2 3 3" xfId="11956"/>
    <cellStyle name="Обычный 12 4 2 2 2 2 4" xfId="11957"/>
    <cellStyle name="Обычный 12 4 2 2 2 2 4 2" xfId="11958"/>
    <cellStyle name="Обычный 12 4 2 2 2 2 5" xfId="11959"/>
    <cellStyle name="Обычный 12 4 2 2 2 2 6" xfId="11960"/>
    <cellStyle name="Обычный 12 4 2 2 2 3" xfId="11961"/>
    <cellStyle name="Обычный 12 4 2 2 2 3 2" xfId="11962"/>
    <cellStyle name="Обычный 12 4 2 2 2 3 3" xfId="11963"/>
    <cellStyle name="Обычный 12 4 2 2 2 4" xfId="11964"/>
    <cellStyle name="Обычный 12 4 2 2 2 4 2" xfId="11965"/>
    <cellStyle name="Обычный 12 4 2 2 2 4 3" xfId="11966"/>
    <cellStyle name="Обычный 12 4 2 2 2 5" xfId="11967"/>
    <cellStyle name="Обычный 12 4 2 2 2 5 2" xfId="11968"/>
    <cellStyle name="Обычный 12 4 2 2 2 6" xfId="11969"/>
    <cellStyle name="Обычный 12 4 2 2 2 7" xfId="11970"/>
    <cellStyle name="Обычный 12 4 2 2 3" xfId="11971"/>
    <cellStyle name="Обычный 12 4 2 2 3 2" xfId="11972"/>
    <cellStyle name="Обычный 12 4 2 2 3 2 2" xfId="11973"/>
    <cellStyle name="Обычный 12 4 2 2 3 2 3" xfId="11974"/>
    <cellStyle name="Обычный 12 4 2 2 3 3" xfId="11975"/>
    <cellStyle name="Обычный 12 4 2 2 3 3 2" xfId="11976"/>
    <cellStyle name="Обычный 12 4 2 2 3 3 3" xfId="11977"/>
    <cellStyle name="Обычный 12 4 2 2 3 4" xfId="11978"/>
    <cellStyle name="Обычный 12 4 2 2 3 4 2" xfId="11979"/>
    <cellStyle name="Обычный 12 4 2 2 3 5" xfId="11980"/>
    <cellStyle name="Обычный 12 4 2 2 3 6" xfId="11981"/>
    <cellStyle name="Обычный 12 4 2 2 4" xfId="11982"/>
    <cellStyle name="Обычный 12 4 2 2 4 2" xfId="11983"/>
    <cellStyle name="Обычный 12 4 2 2 4 3" xfId="11984"/>
    <cellStyle name="Обычный 12 4 2 2 5" xfId="11985"/>
    <cellStyle name="Обычный 12 4 2 2 5 2" xfId="11986"/>
    <cellStyle name="Обычный 12 4 2 2 5 3" xfId="11987"/>
    <cellStyle name="Обычный 12 4 2 2 6" xfId="11988"/>
    <cellStyle name="Обычный 12 4 2 2 6 2" xfId="11989"/>
    <cellStyle name="Обычный 12 4 2 2 7" xfId="11990"/>
    <cellStyle name="Обычный 12 4 2 2 8" xfId="11991"/>
    <cellStyle name="Обычный 12 4 2 3" xfId="11992"/>
    <cellStyle name="Обычный 12 4 2 3 2" xfId="11993"/>
    <cellStyle name="Обычный 12 4 2 3 2 2" xfId="11994"/>
    <cellStyle name="Обычный 12 4 2 3 2 2 2" xfId="11995"/>
    <cellStyle name="Обычный 12 4 2 3 2 2 3" xfId="11996"/>
    <cellStyle name="Обычный 12 4 2 3 2 3" xfId="11997"/>
    <cellStyle name="Обычный 12 4 2 3 2 3 2" xfId="11998"/>
    <cellStyle name="Обычный 12 4 2 3 2 3 3" xfId="11999"/>
    <cellStyle name="Обычный 12 4 2 3 2 4" xfId="12000"/>
    <cellStyle name="Обычный 12 4 2 3 2 4 2" xfId="12001"/>
    <cellStyle name="Обычный 12 4 2 3 2 5" xfId="12002"/>
    <cellStyle name="Обычный 12 4 2 3 2 6" xfId="12003"/>
    <cellStyle name="Обычный 12 4 2 3 3" xfId="12004"/>
    <cellStyle name="Обычный 12 4 2 3 3 2" xfId="12005"/>
    <cellStyle name="Обычный 12 4 2 3 3 3" xfId="12006"/>
    <cellStyle name="Обычный 12 4 2 3 4" xfId="12007"/>
    <cellStyle name="Обычный 12 4 2 3 4 2" xfId="12008"/>
    <cellStyle name="Обычный 12 4 2 3 4 3" xfId="12009"/>
    <cellStyle name="Обычный 12 4 2 3 5" xfId="12010"/>
    <cellStyle name="Обычный 12 4 2 3 5 2" xfId="12011"/>
    <cellStyle name="Обычный 12 4 2 3 6" xfId="12012"/>
    <cellStyle name="Обычный 12 4 2 3 7" xfId="12013"/>
    <cellStyle name="Обычный 12 4 2 4" xfId="12014"/>
    <cellStyle name="Обычный 12 4 2 4 2" xfId="12015"/>
    <cellStyle name="Обычный 12 4 2 4 2 2" xfId="12016"/>
    <cellStyle name="Обычный 12 4 2 4 2 3" xfId="12017"/>
    <cellStyle name="Обычный 12 4 2 4 3" xfId="12018"/>
    <cellStyle name="Обычный 12 4 2 4 3 2" xfId="12019"/>
    <cellStyle name="Обычный 12 4 2 4 3 3" xfId="12020"/>
    <cellStyle name="Обычный 12 4 2 4 4" xfId="12021"/>
    <cellStyle name="Обычный 12 4 2 4 4 2" xfId="12022"/>
    <cellStyle name="Обычный 12 4 2 4 5" xfId="12023"/>
    <cellStyle name="Обычный 12 4 2 4 6" xfId="12024"/>
    <cellStyle name="Обычный 12 4 2 5" xfId="12025"/>
    <cellStyle name="Обычный 12 4 2 5 2" xfId="12026"/>
    <cellStyle name="Обычный 12 4 2 5 3" xfId="12027"/>
    <cellStyle name="Обычный 12 4 2 6" xfId="12028"/>
    <cellStyle name="Обычный 12 4 2 6 2" xfId="12029"/>
    <cellStyle name="Обычный 12 4 2 6 3" xfId="12030"/>
    <cellStyle name="Обычный 12 4 2 7" xfId="12031"/>
    <cellStyle name="Обычный 12 4 2 7 2" xfId="12032"/>
    <cellStyle name="Обычный 12 4 2 8" xfId="12033"/>
    <cellStyle name="Обычный 12 4 2 9" xfId="12034"/>
    <cellStyle name="Обычный 12 4 3" xfId="12035"/>
    <cellStyle name="Обычный 12 4 3 2" xfId="12036"/>
    <cellStyle name="Обычный 12 4 3 2 2" xfId="12037"/>
    <cellStyle name="Обычный 12 4 3 2 2 2" xfId="12038"/>
    <cellStyle name="Обычный 12 4 3 2 2 2 2" xfId="12039"/>
    <cellStyle name="Обычный 12 4 3 2 2 2 3" xfId="12040"/>
    <cellStyle name="Обычный 12 4 3 2 2 3" xfId="12041"/>
    <cellStyle name="Обычный 12 4 3 2 2 3 2" xfId="12042"/>
    <cellStyle name="Обычный 12 4 3 2 2 3 3" xfId="12043"/>
    <cellStyle name="Обычный 12 4 3 2 2 4" xfId="12044"/>
    <cellStyle name="Обычный 12 4 3 2 2 4 2" xfId="12045"/>
    <cellStyle name="Обычный 12 4 3 2 2 5" xfId="12046"/>
    <cellStyle name="Обычный 12 4 3 2 2 6" xfId="12047"/>
    <cellStyle name="Обычный 12 4 3 2 3" xfId="12048"/>
    <cellStyle name="Обычный 12 4 3 2 3 2" xfId="12049"/>
    <cellStyle name="Обычный 12 4 3 2 3 3" xfId="12050"/>
    <cellStyle name="Обычный 12 4 3 2 4" xfId="12051"/>
    <cellStyle name="Обычный 12 4 3 2 4 2" xfId="12052"/>
    <cellStyle name="Обычный 12 4 3 2 4 3" xfId="12053"/>
    <cellStyle name="Обычный 12 4 3 2 5" xfId="12054"/>
    <cellStyle name="Обычный 12 4 3 2 5 2" xfId="12055"/>
    <cellStyle name="Обычный 12 4 3 2 6" xfId="12056"/>
    <cellStyle name="Обычный 12 4 3 2 7" xfId="12057"/>
    <cellStyle name="Обычный 12 4 3 3" xfId="12058"/>
    <cellStyle name="Обычный 12 4 3 3 2" xfId="12059"/>
    <cellStyle name="Обычный 12 4 3 3 2 2" xfId="12060"/>
    <cellStyle name="Обычный 12 4 3 3 2 3" xfId="12061"/>
    <cellStyle name="Обычный 12 4 3 3 3" xfId="12062"/>
    <cellStyle name="Обычный 12 4 3 3 3 2" xfId="12063"/>
    <cellStyle name="Обычный 12 4 3 3 3 3" xfId="12064"/>
    <cellStyle name="Обычный 12 4 3 3 4" xfId="12065"/>
    <cellStyle name="Обычный 12 4 3 3 4 2" xfId="12066"/>
    <cellStyle name="Обычный 12 4 3 3 5" xfId="12067"/>
    <cellStyle name="Обычный 12 4 3 3 6" xfId="12068"/>
    <cellStyle name="Обычный 12 4 3 4" xfId="12069"/>
    <cellStyle name="Обычный 12 4 3 4 2" xfId="12070"/>
    <cellStyle name="Обычный 12 4 3 4 3" xfId="12071"/>
    <cellStyle name="Обычный 12 4 3 5" xfId="12072"/>
    <cellStyle name="Обычный 12 4 3 5 2" xfId="12073"/>
    <cellStyle name="Обычный 12 4 3 5 3" xfId="12074"/>
    <cellStyle name="Обычный 12 4 3 6" xfId="12075"/>
    <cellStyle name="Обычный 12 4 3 6 2" xfId="12076"/>
    <cellStyle name="Обычный 12 4 3 7" xfId="12077"/>
    <cellStyle name="Обычный 12 4 3 8" xfId="12078"/>
    <cellStyle name="Обычный 12 4 4" xfId="12079"/>
    <cellStyle name="Обычный 12 4 4 2" xfId="12080"/>
    <cellStyle name="Обычный 12 4 4 2 2" xfId="12081"/>
    <cellStyle name="Обычный 12 4 4 2 2 2" xfId="12082"/>
    <cellStyle name="Обычный 12 4 4 2 2 3" xfId="12083"/>
    <cellStyle name="Обычный 12 4 4 2 3" xfId="12084"/>
    <cellStyle name="Обычный 12 4 4 2 3 2" xfId="12085"/>
    <cellStyle name="Обычный 12 4 4 2 3 3" xfId="12086"/>
    <cellStyle name="Обычный 12 4 4 2 4" xfId="12087"/>
    <cellStyle name="Обычный 12 4 4 2 4 2" xfId="12088"/>
    <cellStyle name="Обычный 12 4 4 2 5" xfId="12089"/>
    <cellStyle name="Обычный 12 4 4 2 6" xfId="12090"/>
    <cellStyle name="Обычный 12 4 4 3" xfId="12091"/>
    <cellStyle name="Обычный 12 4 4 3 2" xfId="12092"/>
    <cellStyle name="Обычный 12 4 4 3 3" xfId="12093"/>
    <cellStyle name="Обычный 12 4 4 4" xfId="12094"/>
    <cellStyle name="Обычный 12 4 4 4 2" xfId="12095"/>
    <cellStyle name="Обычный 12 4 4 4 3" xfId="12096"/>
    <cellStyle name="Обычный 12 4 4 5" xfId="12097"/>
    <cellStyle name="Обычный 12 4 4 5 2" xfId="12098"/>
    <cellStyle name="Обычный 12 4 4 6" xfId="12099"/>
    <cellStyle name="Обычный 12 4 4 7" xfId="12100"/>
    <cellStyle name="Обычный 12 4 5" xfId="12101"/>
    <cellStyle name="Обычный 12 4 5 2" xfId="12102"/>
    <cellStyle name="Обычный 12 4 5 2 2" xfId="12103"/>
    <cellStyle name="Обычный 12 4 5 2 3" xfId="12104"/>
    <cellStyle name="Обычный 12 4 5 3" xfId="12105"/>
    <cellStyle name="Обычный 12 4 5 3 2" xfId="12106"/>
    <cellStyle name="Обычный 12 4 5 3 3" xfId="12107"/>
    <cellStyle name="Обычный 12 4 5 4" xfId="12108"/>
    <cellStyle name="Обычный 12 4 5 4 2" xfId="12109"/>
    <cellStyle name="Обычный 12 4 5 5" xfId="12110"/>
    <cellStyle name="Обычный 12 4 5 6" xfId="12111"/>
    <cellStyle name="Обычный 12 4 6" xfId="12112"/>
    <cellStyle name="Обычный 12 4 6 2" xfId="12113"/>
    <cellStyle name="Обычный 12 4 6 3" xfId="12114"/>
    <cellStyle name="Обычный 12 4 7" xfId="12115"/>
    <cellStyle name="Обычный 12 4 7 2" xfId="12116"/>
    <cellStyle name="Обычный 12 4 7 3" xfId="12117"/>
    <cellStyle name="Обычный 12 4 8" xfId="12118"/>
    <cellStyle name="Обычный 12 4 8 2" xfId="12119"/>
    <cellStyle name="Обычный 12 4 9" xfId="12120"/>
    <cellStyle name="Обычный 12 5" xfId="12121"/>
    <cellStyle name="Обычный 12 5 2" xfId="12122"/>
    <cellStyle name="Обычный 12 5 2 2" xfId="12123"/>
    <cellStyle name="Обычный 12 5 2 2 2" xfId="12124"/>
    <cellStyle name="Обычный 12 5 2 2 2 2" xfId="12125"/>
    <cellStyle name="Обычный 12 5 2 2 2 2 2" xfId="12126"/>
    <cellStyle name="Обычный 12 5 2 2 2 2 3" xfId="12127"/>
    <cellStyle name="Обычный 12 5 2 2 2 3" xfId="12128"/>
    <cellStyle name="Обычный 12 5 2 2 2 3 2" xfId="12129"/>
    <cellStyle name="Обычный 12 5 2 2 2 3 3" xfId="12130"/>
    <cellStyle name="Обычный 12 5 2 2 2 4" xfId="12131"/>
    <cellStyle name="Обычный 12 5 2 2 2 4 2" xfId="12132"/>
    <cellStyle name="Обычный 12 5 2 2 2 5" xfId="12133"/>
    <cellStyle name="Обычный 12 5 2 2 2 6" xfId="12134"/>
    <cellStyle name="Обычный 12 5 2 2 3" xfId="12135"/>
    <cellStyle name="Обычный 12 5 2 2 3 2" xfId="12136"/>
    <cellStyle name="Обычный 12 5 2 2 3 3" xfId="12137"/>
    <cellStyle name="Обычный 12 5 2 2 4" xfId="12138"/>
    <cellStyle name="Обычный 12 5 2 2 4 2" xfId="12139"/>
    <cellStyle name="Обычный 12 5 2 2 4 3" xfId="12140"/>
    <cellStyle name="Обычный 12 5 2 2 5" xfId="12141"/>
    <cellStyle name="Обычный 12 5 2 2 5 2" xfId="12142"/>
    <cellStyle name="Обычный 12 5 2 2 6" xfId="12143"/>
    <cellStyle name="Обычный 12 5 2 2 7" xfId="12144"/>
    <cellStyle name="Обычный 12 5 2 3" xfId="12145"/>
    <cellStyle name="Обычный 12 5 2 3 2" xfId="12146"/>
    <cellStyle name="Обычный 12 5 2 3 2 2" xfId="12147"/>
    <cellStyle name="Обычный 12 5 2 3 2 3" xfId="12148"/>
    <cellStyle name="Обычный 12 5 2 3 3" xfId="12149"/>
    <cellStyle name="Обычный 12 5 2 3 3 2" xfId="12150"/>
    <cellStyle name="Обычный 12 5 2 3 3 3" xfId="12151"/>
    <cellStyle name="Обычный 12 5 2 3 4" xfId="12152"/>
    <cellStyle name="Обычный 12 5 2 3 4 2" xfId="12153"/>
    <cellStyle name="Обычный 12 5 2 3 5" xfId="12154"/>
    <cellStyle name="Обычный 12 5 2 3 6" xfId="12155"/>
    <cellStyle name="Обычный 12 5 2 4" xfId="12156"/>
    <cellStyle name="Обычный 12 5 2 4 2" xfId="12157"/>
    <cellStyle name="Обычный 12 5 2 4 3" xfId="12158"/>
    <cellStyle name="Обычный 12 5 2 5" xfId="12159"/>
    <cellStyle name="Обычный 12 5 2 5 2" xfId="12160"/>
    <cellStyle name="Обычный 12 5 2 5 3" xfId="12161"/>
    <cellStyle name="Обычный 12 5 2 6" xfId="12162"/>
    <cellStyle name="Обычный 12 5 2 6 2" xfId="12163"/>
    <cellStyle name="Обычный 12 5 2 7" xfId="12164"/>
    <cellStyle name="Обычный 12 5 2 8" xfId="12165"/>
    <cellStyle name="Обычный 12 5 3" xfId="12166"/>
    <cellStyle name="Обычный 12 5 3 2" xfId="12167"/>
    <cellStyle name="Обычный 12 5 3 2 2" xfId="12168"/>
    <cellStyle name="Обычный 12 5 3 2 2 2" xfId="12169"/>
    <cellStyle name="Обычный 12 5 3 2 2 3" xfId="12170"/>
    <cellStyle name="Обычный 12 5 3 2 3" xfId="12171"/>
    <cellStyle name="Обычный 12 5 3 2 3 2" xfId="12172"/>
    <cellStyle name="Обычный 12 5 3 2 3 3" xfId="12173"/>
    <cellStyle name="Обычный 12 5 3 2 4" xfId="12174"/>
    <cellStyle name="Обычный 12 5 3 2 4 2" xfId="12175"/>
    <cellStyle name="Обычный 12 5 3 2 5" xfId="12176"/>
    <cellStyle name="Обычный 12 5 3 2 6" xfId="12177"/>
    <cellStyle name="Обычный 12 5 3 3" xfId="12178"/>
    <cellStyle name="Обычный 12 5 3 3 2" xfId="12179"/>
    <cellStyle name="Обычный 12 5 3 3 3" xfId="12180"/>
    <cellStyle name="Обычный 12 5 3 4" xfId="12181"/>
    <cellStyle name="Обычный 12 5 3 4 2" xfId="12182"/>
    <cellStyle name="Обычный 12 5 3 4 3" xfId="12183"/>
    <cellStyle name="Обычный 12 5 3 5" xfId="12184"/>
    <cellStyle name="Обычный 12 5 3 5 2" xfId="12185"/>
    <cellStyle name="Обычный 12 5 3 6" xfId="12186"/>
    <cellStyle name="Обычный 12 5 3 7" xfId="12187"/>
    <cellStyle name="Обычный 12 5 4" xfId="12188"/>
    <cellStyle name="Обычный 12 5 4 2" xfId="12189"/>
    <cellStyle name="Обычный 12 5 4 2 2" xfId="12190"/>
    <cellStyle name="Обычный 12 5 4 2 3" xfId="12191"/>
    <cellStyle name="Обычный 12 5 4 3" xfId="12192"/>
    <cellStyle name="Обычный 12 5 4 3 2" xfId="12193"/>
    <cellStyle name="Обычный 12 5 4 3 3" xfId="12194"/>
    <cellStyle name="Обычный 12 5 4 4" xfId="12195"/>
    <cellStyle name="Обычный 12 5 4 4 2" xfId="12196"/>
    <cellStyle name="Обычный 12 5 4 5" xfId="12197"/>
    <cellStyle name="Обычный 12 5 4 6" xfId="12198"/>
    <cellStyle name="Обычный 12 5 5" xfId="12199"/>
    <cellStyle name="Обычный 12 5 5 2" xfId="12200"/>
    <cellStyle name="Обычный 12 5 5 3" xfId="12201"/>
    <cellStyle name="Обычный 12 5 6" xfId="12202"/>
    <cellStyle name="Обычный 12 5 6 2" xfId="12203"/>
    <cellStyle name="Обычный 12 5 6 3" xfId="12204"/>
    <cellStyle name="Обычный 12 5 7" xfId="12205"/>
    <cellStyle name="Обычный 12 5 7 2" xfId="12206"/>
    <cellStyle name="Обычный 12 5 8" xfId="12207"/>
    <cellStyle name="Обычный 12 5 9" xfId="12208"/>
    <cellStyle name="Обычный 12 6" xfId="12209"/>
    <cellStyle name="Обычный 12 6 2" xfId="12210"/>
    <cellStyle name="Обычный 12 6 2 2" xfId="12211"/>
    <cellStyle name="Обычный 12 6 2 2 2" xfId="12212"/>
    <cellStyle name="Обычный 12 6 2 2 2 2" xfId="12213"/>
    <cellStyle name="Обычный 12 6 2 2 2 3" xfId="12214"/>
    <cellStyle name="Обычный 12 6 2 2 3" xfId="12215"/>
    <cellStyle name="Обычный 12 6 2 2 3 2" xfId="12216"/>
    <cellStyle name="Обычный 12 6 2 2 3 3" xfId="12217"/>
    <cellStyle name="Обычный 12 6 2 2 4" xfId="12218"/>
    <cellStyle name="Обычный 12 6 2 2 4 2" xfId="12219"/>
    <cellStyle name="Обычный 12 6 2 2 5" xfId="12220"/>
    <cellStyle name="Обычный 12 6 2 2 6" xfId="12221"/>
    <cellStyle name="Обычный 12 6 2 3" xfId="12222"/>
    <cellStyle name="Обычный 12 6 2 3 2" xfId="12223"/>
    <cellStyle name="Обычный 12 6 2 3 3" xfId="12224"/>
    <cellStyle name="Обычный 12 6 2 4" xfId="12225"/>
    <cellStyle name="Обычный 12 6 2 4 2" xfId="12226"/>
    <cellStyle name="Обычный 12 6 2 4 3" xfId="12227"/>
    <cellStyle name="Обычный 12 6 2 5" xfId="12228"/>
    <cellStyle name="Обычный 12 6 2 5 2" xfId="12229"/>
    <cellStyle name="Обычный 12 6 2 6" xfId="12230"/>
    <cellStyle name="Обычный 12 6 2 7" xfId="12231"/>
    <cellStyle name="Обычный 12 6 3" xfId="12232"/>
    <cellStyle name="Обычный 12 6 3 2" xfId="12233"/>
    <cellStyle name="Обычный 12 6 3 2 2" xfId="12234"/>
    <cellStyle name="Обычный 12 6 3 2 3" xfId="12235"/>
    <cellStyle name="Обычный 12 6 3 3" xfId="12236"/>
    <cellStyle name="Обычный 12 6 3 3 2" xfId="12237"/>
    <cellStyle name="Обычный 12 6 3 3 3" xfId="12238"/>
    <cellStyle name="Обычный 12 6 3 4" xfId="12239"/>
    <cellStyle name="Обычный 12 6 3 4 2" xfId="12240"/>
    <cellStyle name="Обычный 12 6 3 5" xfId="12241"/>
    <cellStyle name="Обычный 12 6 3 6" xfId="12242"/>
    <cellStyle name="Обычный 12 6 4" xfId="12243"/>
    <cellStyle name="Обычный 12 6 4 2" xfId="12244"/>
    <cellStyle name="Обычный 12 6 4 3" xfId="12245"/>
    <cellStyle name="Обычный 12 6 5" xfId="12246"/>
    <cellStyle name="Обычный 12 6 5 2" xfId="12247"/>
    <cellStyle name="Обычный 12 6 5 3" xfId="12248"/>
    <cellStyle name="Обычный 12 6 6" xfId="12249"/>
    <cellStyle name="Обычный 12 6 6 2" xfId="12250"/>
    <cellStyle name="Обычный 12 6 7" xfId="12251"/>
    <cellStyle name="Обычный 12 6 8" xfId="12252"/>
    <cellStyle name="Обычный 12 7" xfId="12253"/>
    <cellStyle name="Обычный 12 7 2" xfId="12254"/>
    <cellStyle name="Обычный 12 7 2 2" xfId="12255"/>
    <cellStyle name="Обычный 12 7 2 2 2" xfId="12256"/>
    <cellStyle name="Обычный 12 7 2 2 3" xfId="12257"/>
    <cellStyle name="Обычный 12 7 2 3" xfId="12258"/>
    <cellStyle name="Обычный 12 7 2 3 2" xfId="12259"/>
    <cellStyle name="Обычный 12 7 2 3 3" xfId="12260"/>
    <cellStyle name="Обычный 12 7 2 4" xfId="12261"/>
    <cellStyle name="Обычный 12 7 2 4 2" xfId="12262"/>
    <cellStyle name="Обычный 12 7 2 5" xfId="12263"/>
    <cellStyle name="Обычный 12 7 2 6" xfId="12264"/>
    <cellStyle name="Обычный 12 7 3" xfId="12265"/>
    <cellStyle name="Обычный 12 7 3 2" xfId="12266"/>
    <cellStyle name="Обычный 12 7 3 3" xfId="12267"/>
    <cellStyle name="Обычный 12 7 4" xfId="12268"/>
    <cellStyle name="Обычный 12 7 4 2" xfId="12269"/>
    <cellStyle name="Обычный 12 7 4 3" xfId="12270"/>
    <cellStyle name="Обычный 12 7 5" xfId="12271"/>
    <cellStyle name="Обычный 12 7 5 2" xfId="12272"/>
    <cellStyle name="Обычный 12 7 6" xfId="12273"/>
    <cellStyle name="Обычный 12 7 7" xfId="12274"/>
    <cellStyle name="Обычный 12 8" xfId="12275"/>
    <cellStyle name="Обычный 12 8 2" xfId="12276"/>
    <cellStyle name="Обычный 12 8 2 2" xfId="12277"/>
    <cellStyle name="Обычный 12 8 2 3" xfId="12278"/>
    <cellStyle name="Обычный 12 8 3" xfId="12279"/>
    <cellStyle name="Обычный 12 8 3 2" xfId="12280"/>
    <cellStyle name="Обычный 12 8 3 3" xfId="12281"/>
    <cellStyle name="Обычный 12 8 4" xfId="12282"/>
    <cellStyle name="Обычный 12 8 4 2" xfId="12283"/>
    <cellStyle name="Обычный 12 8 5" xfId="12284"/>
    <cellStyle name="Обычный 12 8 6" xfId="12285"/>
    <cellStyle name="Обычный 12 9" xfId="12286"/>
    <cellStyle name="Обычный 12 9 2" xfId="12287"/>
    <cellStyle name="Обычный 12 9 3" xfId="12288"/>
    <cellStyle name="Обычный 13" xfId="12289"/>
    <cellStyle name="Обычный 13 10" xfId="12290"/>
    <cellStyle name="Обычный 13 10 2" xfId="12291"/>
    <cellStyle name="Обычный 13 10 3" xfId="12292"/>
    <cellStyle name="Обычный 13 11" xfId="12293"/>
    <cellStyle name="Обычный 13 11 2" xfId="12294"/>
    <cellStyle name="Обычный 13 12" xfId="12295"/>
    <cellStyle name="Обычный 13 13" xfId="12296"/>
    <cellStyle name="Обычный 13 2" xfId="12297"/>
    <cellStyle name="Обычный 13 2 10" xfId="12298"/>
    <cellStyle name="Обычный 13 2 2" xfId="12299"/>
    <cellStyle name="Обычный 13 2 2 2" xfId="12300"/>
    <cellStyle name="Обычный 13 2 2 2 2" xfId="12301"/>
    <cellStyle name="Обычный 13 2 2 2 2 2" xfId="12302"/>
    <cellStyle name="Обычный 13 2 2 2 2 2 2" xfId="12303"/>
    <cellStyle name="Обычный 13 2 2 2 2 2 2 2" xfId="12304"/>
    <cellStyle name="Обычный 13 2 2 2 2 2 2 3" xfId="12305"/>
    <cellStyle name="Обычный 13 2 2 2 2 2 3" xfId="12306"/>
    <cellStyle name="Обычный 13 2 2 2 2 2 3 2" xfId="12307"/>
    <cellStyle name="Обычный 13 2 2 2 2 2 3 3" xfId="12308"/>
    <cellStyle name="Обычный 13 2 2 2 2 2 4" xfId="12309"/>
    <cellStyle name="Обычный 13 2 2 2 2 2 4 2" xfId="12310"/>
    <cellStyle name="Обычный 13 2 2 2 2 2 5" xfId="12311"/>
    <cellStyle name="Обычный 13 2 2 2 2 2 6" xfId="12312"/>
    <cellStyle name="Обычный 13 2 2 2 2 3" xfId="12313"/>
    <cellStyle name="Обычный 13 2 2 2 2 3 2" xfId="12314"/>
    <cellStyle name="Обычный 13 2 2 2 2 3 3" xfId="12315"/>
    <cellStyle name="Обычный 13 2 2 2 2 4" xfId="12316"/>
    <cellStyle name="Обычный 13 2 2 2 2 4 2" xfId="12317"/>
    <cellStyle name="Обычный 13 2 2 2 2 4 3" xfId="12318"/>
    <cellStyle name="Обычный 13 2 2 2 2 5" xfId="12319"/>
    <cellStyle name="Обычный 13 2 2 2 2 5 2" xfId="12320"/>
    <cellStyle name="Обычный 13 2 2 2 2 6" xfId="12321"/>
    <cellStyle name="Обычный 13 2 2 2 2 7" xfId="12322"/>
    <cellStyle name="Обычный 13 2 2 2 3" xfId="12323"/>
    <cellStyle name="Обычный 13 2 2 2 3 2" xfId="12324"/>
    <cellStyle name="Обычный 13 2 2 2 3 2 2" xfId="12325"/>
    <cellStyle name="Обычный 13 2 2 2 3 2 3" xfId="12326"/>
    <cellStyle name="Обычный 13 2 2 2 3 3" xfId="12327"/>
    <cellStyle name="Обычный 13 2 2 2 3 3 2" xfId="12328"/>
    <cellStyle name="Обычный 13 2 2 2 3 3 3" xfId="12329"/>
    <cellStyle name="Обычный 13 2 2 2 3 4" xfId="12330"/>
    <cellStyle name="Обычный 13 2 2 2 3 4 2" xfId="12331"/>
    <cellStyle name="Обычный 13 2 2 2 3 5" xfId="12332"/>
    <cellStyle name="Обычный 13 2 2 2 3 6" xfId="12333"/>
    <cellStyle name="Обычный 13 2 2 2 4" xfId="12334"/>
    <cellStyle name="Обычный 13 2 2 2 4 2" xfId="12335"/>
    <cellStyle name="Обычный 13 2 2 2 4 3" xfId="12336"/>
    <cellStyle name="Обычный 13 2 2 2 5" xfId="12337"/>
    <cellStyle name="Обычный 13 2 2 2 5 2" xfId="12338"/>
    <cellStyle name="Обычный 13 2 2 2 5 3" xfId="12339"/>
    <cellStyle name="Обычный 13 2 2 2 6" xfId="12340"/>
    <cellStyle name="Обычный 13 2 2 2 6 2" xfId="12341"/>
    <cellStyle name="Обычный 13 2 2 2 7" xfId="12342"/>
    <cellStyle name="Обычный 13 2 2 2 8" xfId="12343"/>
    <cellStyle name="Обычный 13 2 2 3" xfId="12344"/>
    <cellStyle name="Обычный 13 2 2 3 2" xfId="12345"/>
    <cellStyle name="Обычный 13 2 2 3 2 2" xfId="12346"/>
    <cellStyle name="Обычный 13 2 2 3 2 2 2" xfId="12347"/>
    <cellStyle name="Обычный 13 2 2 3 2 2 3" xfId="12348"/>
    <cellStyle name="Обычный 13 2 2 3 2 3" xfId="12349"/>
    <cellStyle name="Обычный 13 2 2 3 2 3 2" xfId="12350"/>
    <cellStyle name="Обычный 13 2 2 3 2 3 3" xfId="12351"/>
    <cellStyle name="Обычный 13 2 2 3 2 4" xfId="12352"/>
    <cellStyle name="Обычный 13 2 2 3 2 4 2" xfId="12353"/>
    <cellStyle name="Обычный 13 2 2 3 2 5" xfId="12354"/>
    <cellStyle name="Обычный 13 2 2 3 2 6" xfId="12355"/>
    <cellStyle name="Обычный 13 2 2 3 3" xfId="12356"/>
    <cellStyle name="Обычный 13 2 2 3 3 2" xfId="12357"/>
    <cellStyle name="Обычный 13 2 2 3 3 3" xfId="12358"/>
    <cellStyle name="Обычный 13 2 2 3 4" xfId="12359"/>
    <cellStyle name="Обычный 13 2 2 3 4 2" xfId="12360"/>
    <cellStyle name="Обычный 13 2 2 3 4 3" xfId="12361"/>
    <cellStyle name="Обычный 13 2 2 3 5" xfId="12362"/>
    <cellStyle name="Обычный 13 2 2 3 5 2" xfId="12363"/>
    <cellStyle name="Обычный 13 2 2 3 6" xfId="12364"/>
    <cellStyle name="Обычный 13 2 2 3 7" xfId="12365"/>
    <cellStyle name="Обычный 13 2 2 4" xfId="12366"/>
    <cellStyle name="Обычный 13 2 2 4 2" xfId="12367"/>
    <cellStyle name="Обычный 13 2 2 4 2 2" xfId="12368"/>
    <cellStyle name="Обычный 13 2 2 4 2 3" xfId="12369"/>
    <cellStyle name="Обычный 13 2 2 4 3" xfId="12370"/>
    <cellStyle name="Обычный 13 2 2 4 3 2" xfId="12371"/>
    <cellStyle name="Обычный 13 2 2 4 3 3" xfId="12372"/>
    <cellStyle name="Обычный 13 2 2 4 4" xfId="12373"/>
    <cellStyle name="Обычный 13 2 2 4 4 2" xfId="12374"/>
    <cellStyle name="Обычный 13 2 2 4 5" xfId="12375"/>
    <cellStyle name="Обычный 13 2 2 4 6" xfId="12376"/>
    <cellStyle name="Обычный 13 2 2 5" xfId="12377"/>
    <cellStyle name="Обычный 13 2 2 5 2" xfId="12378"/>
    <cellStyle name="Обычный 13 2 2 5 3" xfId="12379"/>
    <cellStyle name="Обычный 13 2 2 6" xfId="12380"/>
    <cellStyle name="Обычный 13 2 2 6 2" xfId="12381"/>
    <cellStyle name="Обычный 13 2 2 6 3" xfId="12382"/>
    <cellStyle name="Обычный 13 2 2 7" xfId="12383"/>
    <cellStyle name="Обычный 13 2 2 7 2" xfId="12384"/>
    <cellStyle name="Обычный 13 2 2 8" xfId="12385"/>
    <cellStyle name="Обычный 13 2 2 9" xfId="12386"/>
    <cellStyle name="Обычный 13 2 3" xfId="12387"/>
    <cellStyle name="Обычный 13 2 3 2" xfId="12388"/>
    <cellStyle name="Обычный 13 2 3 2 2" xfId="12389"/>
    <cellStyle name="Обычный 13 2 3 2 2 2" xfId="12390"/>
    <cellStyle name="Обычный 13 2 3 2 2 2 2" xfId="12391"/>
    <cellStyle name="Обычный 13 2 3 2 2 2 3" xfId="12392"/>
    <cellStyle name="Обычный 13 2 3 2 2 3" xfId="12393"/>
    <cellStyle name="Обычный 13 2 3 2 2 3 2" xfId="12394"/>
    <cellStyle name="Обычный 13 2 3 2 2 3 3" xfId="12395"/>
    <cellStyle name="Обычный 13 2 3 2 2 4" xfId="12396"/>
    <cellStyle name="Обычный 13 2 3 2 2 4 2" xfId="12397"/>
    <cellStyle name="Обычный 13 2 3 2 2 5" xfId="12398"/>
    <cellStyle name="Обычный 13 2 3 2 2 6" xfId="12399"/>
    <cellStyle name="Обычный 13 2 3 2 3" xfId="12400"/>
    <cellStyle name="Обычный 13 2 3 2 3 2" xfId="12401"/>
    <cellStyle name="Обычный 13 2 3 2 3 3" xfId="12402"/>
    <cellStyle name="Обычный 13 2 3 2 4" xfId="12403"/>
    <cellStyle name="Обычный 13 2 3 2 4 2" xfId="12404"/>
    <cellStyle name="Обычный 13 2 3 2 4 3" xfId="12405"/>
    <cellStyle name="Обычный 13 2 3 2 5" xfId="12406"/>
    <cellStyle name="Обычный 13 2 3 2 5 2" xfId="12407"/>
    <cellStyle name="Обычный 13 2 3 2 6" xfId="12408"/>
    <cellStyle name="Обычный 13 2 3 2 7" xfId="12409"/>
    <cellStyle name="Обычный 13 2 3 3" xfId="12410"/>
    <cellStyle name="Обычный 13 2 3 3 2" xfId="12411"/>
    <cellStyle name="Обычный 13 2 3 3 2 2" xfId="12412"/>
    <cellStyle name="Обычный 13 2 3 3 2 3" xfId="12413"/>
    <cellStyle name="Обычный 13 2 3 3 3" xfId="12414"/>
    <cellStyle name="Обычный 13 2 3 3 3 2" xfId="12415"/>
    <cellStyle name="Обычный 13 2 3 3 3 3" xfId="12416"/>
    <cellStyle name="Обычный 13 2 3 3 4" xfId="12417"/>
    <cellStyle name="Обычный 13 2 3 3 4 2" xfId="12418"/>
    <cellStyle name="Обычный 13 2 3 3 5" xfId="12419"/>
    <cellStyle name="Обычный 13 2 3 3 6" xfId="12420"/>
    <cellStyle name="Обычный 13 2 3 4" xfId="12421"/>
    <cellStyle name="Обычный 13 2 3 4 2" xfId="12422"/>
    <cellStyle name="Обычный 13 2 3 4 3" xfId="12423"/>
    <cellStyle name="Обычный 13 2 3 5" xfId="12424"/>
    <cellStyle name="Обычный 13 2 3 5 2" xfId="12425"/>
    <cellStyle name="Обычный 13 2 3 5 3" xfId="12426"/>
    <cellStyle name="Обычный 13 2 3 6" xfId="12427"/>
    <cellStyle name="Обычный 13 2 3 6 2" xfId="12428"/>
    <cellStyle name="Обычный 13 2 3 7" xfId="12429"/>
    <cellStyle name="Обычный 13 2 3 8" xfId="12430"/>
    <cellStyle name="Обычный 13 2 4" xfId="12431"/>
    <cellStyle name="Обычный 13 2 4 2" xfId="12432"/>
    <cellStyle name="Обычный 13 2 4 2 2" xfId="12433"/>
    <cellStyle name="Обычный 13 2 4 2 2 2" xfId="12434"/>
    <cellStyle name="Обычный 13 2 4 2 2 3" xfId="12435"/>
    <cellStyle name="Обычный 13 2 4 2 3" xfId="12436"/>
    <cellStyle name="Обычный 13 2 4 2 3 2" xfId="12437"/>
    <cellStyle name="Обычный 13 2 4 2 3 3" xfId="12438"/>
    <cellStyle name="Обычный 13 2 4 2 4" xfId="12439"/>
    <cellStyle name="Обычный 13 2 4 2 4 2" xfId="12440"/>
    <cellStyle name="Обычный 13 2 4 2 5" xfId="12441"/>
    <cellStyle name="Обычный 13 2 4 2 6" xfId="12442"/>
    <cellStyle name="Обычный 13 2 4 3" xfId="12443"/>
    <cellStyle name="Обычный 13 2 4 3 2" xfId="12444"/>
    <cellStyle name="Обычный 13 2 4 3 3" xfId="12445"/>
    <cellStyle name="Обычный 13 2 4 4" xfId="12446"/>
    <cellStyle name="Обычный 13 2 4 4 2" xfId="12447"/>
    <cellStyle name="Обычный 13 2 4 4 3" xfId="12448"/>
    <cellStyle name="Обычный 13 2 4 5" xfId="12449"/>
    <cellStyle name="Обычный 13 2 4 5 2" xfId="12450"/>
    <cellStyle name="Обычный 13 2 4 6" xfId="12451"/>
    <cellStyle name="Обычный 13 2 4 7" xfId="12452"/>
    <cellStyle name="Обычный 13 2 5" xfId="12453"/>
    <cellStyle name="Обычный 13 2 5 2" xfId="12454"/>
    <cellStyle name="Обычный 13 2 5 2 2" xfId="12455"/>
    <cellStyle name="Обычный 13 2 5 2 3" xfId="12456"/>
    <cellStyle name="Обычный 13 2 5 3" xfId="12457"/>
    <cellStyle name="Обычный 13 2 5 3 2" xfId="12458"/>
    <cellStyle name="Обычный 13 2 5 3 3" xfId="12459"/>
    <cellStyle name="Обычный 13 2 5 4" xfId="12460"/>
    <cellStyle name="Обычный 13 2 5 4 2" xfId="12461"/>
    <cellStyle name="Обычный 13 2 5 5" xfId="12462"/>
    <cellStyle name="Обычный 13 2 5 6" xfId="12463"/>
    <cellStyle name="Обычный 13 2 6" xfId="12464"/>
    <cellStyle name="Обычный 13 2 6 2" xfId="12465"/>
    <cellStyle name="Обычный 13 2 6 3" xfId="12466"/>
    <cellStyle name="Обычный 13 2 7" xfId="12467"/>
    <cellStyle name="Обычный 13 2 7 2" xfId="12468"/>
    <cellStyle name="Обычный 13 2 7 3" xfId="12469"/>
    <cellStyle name="Обычный 13 2 8" xfId="12470"/>
    <cellStyle name="Обычный 13 2 8 2" xfId="12471"/>
    <cellStyle name="Обычный 13 2 9" xfId="12472"/>
    <cellStyle name="Обычный 13 3" xfId="12473"/>
    <cellStyle name="Обычный 13 3 10" xfId="12474"/>
    <cellStyle name="Обычный 13 3 2" xfId="12475"/>
    <cellStyle name="Обычный 13 3 2 2" xfId="12476"/>
    <cellStyle name="Обычный 13 3 2 2 2" xfId="12477"/>
    <cellStyle name="Обычный 13 3 2 2 2 2" xfId="12478"/>
    <cellStyle name="Обычный 13 3 2 2 2 2 2" xfId="12479"/>
    <cellStyle name="Обычный 13 3 2 2 2 2 2 2" xfId="12480"/>
    <cellStyle name="Обычный 13 3 2 2 2 2 2 3" xfId="12481"/>
    <cellStyle name="Обычный 13 3 2 2 2 2 3" xfId="12482"/>
    <cellStyle name="Обычный 13 3 2 2 2 2 3 2" xfId="12483"/>
    <cellStyle name="Обычный 13 3 2 2 2 2 3 3" xfId="12484"/>
    <cellStyle name="Обычный 13 3 2 2 2 2 4" xfId="12485"/>
    <cellStyle name="Обычный 13 3 2 2 2 2 4 2" xfId="12486"/>
    <cellStyle name="Обычный 13 3 2 2 2 2 5" xfId="12487"/>
    <cellStyle name="Обычный 13 3 2 2 2 2 6" xfId="12488"/>
    <cellStyle name="Обычный 13 3 2 2 2 3" xfId="12489"/>
    <cellStyle name="Обычный 13 3 2 2 2 3 2" xfId="12490"/>
    <cellStyle name="Обычный 13 3 2 2 2 3 3" xfId="12491"/>
    <cellStyle name="Обычный 13 3 2 2 2 4" xfId="12492"/>
    <cellStyle name="Обычный 13 3 2 2 2 4 2" xfId="12493"/>
    <cellStyle name="Обычный 13 3 2 2 2 4 3" xfId="12494"/>
    <cellStyle name="Обычный 13 3 2 2 2 5" xfId="12495"/>
    <cellStyle name="Обычный 13 3 2 2 2 5 2" xfId="12496"/>
    <cellStyle name="Обычный 13 3 2 2 2 6" xfId="12497"/>
    <cellStyle name="Обычный 13 3 2 2 2 7" xfId="12498"/>
    <cellStyle name="Обычный 13 3 2 2 3" xfId="12499"/>
    <cellStyle name="Обычный 13 3 2 2 3 2" xfId="12500"/>
    <cellStyle name="Обычный 13 3 2 2 3 2 2" xfId="12501"/>
    <cellStyle name="Обычный 13 3 2 2 3 2 3" xfId="12502"/>
    <cellStyle name="Обычный 13 3 2 2 3 3" xfId="12503"/>
    <cellStyle name="Обычный 13 3 2 2 3 3 2" xfId="12504"/>
    <cellStyle name="Обычный 13 3 2 2 3 3 3" xfId="12505"/>
    <cellStyle name="Обычный 13 3 2 2 3 4" xfId="12506"/>
    <cellStyle name="Обычный 13 3 2 2 3 4 2" xfId="12507"/>
    <cellStyle name="Обычный 13 3 2 2 3 5" xfId="12508"/>
    <cellStyle name="Обычный 13 3 2 2 3 6" xfId="12509"/>
    <cellStyle name="Обычный 13 3 2 2 4" xfId="12510"/>
    <cellStyle name="Обычный 13 3 2 2 4 2" xfId="12511"/>
    <cellStyle name="Обычный 13 3 2 2 4 3" xfId="12512"/>
    <cellStyle name="Обычный 13 3 2 2 5" xfId="12513"/>
    <cellStyle name="Обычный 13 3 2 2 5 2" xfId="12514"/>
    <cellStyle name="Обычный 13 3 2 2 5 3" xfId="12515"/>
    <cellStyle name="Обычный 13 3 2 2 6" xfId="12516"/>
    <cellStyle name="Обычный 13 3 2 2 6 2" xfId="12517"/>
    <cellStyle name="Обычный 13 3 2 2 7" xfId="12518"/>
    <cellStyle name="Обычный 13 3 2 2 8" xfId="12519"/>
    <cellStyle name="Обычный 13 3 2 3" xfId="12520"/>
    <cellStyle name="Обычный 13 3 2 3 2" xfId="12521"/>
    <cellStyle name="Обычный 13 3 2 3 2 2" xfId="12522"/>
    <cellStyle name="Обычный 13 3 2 3 2 2 2" xfId="12523"/>
    <cellStyle name="Обычный 13 3 2 3 2 2 3" xfId="12524"/>
    <cellStyle name="Обычный 13 3 2 3 2 3" xfId="12525"/>
    <cellStyle name="Обычный 13 3 2 3 2 3 2" xfId="12526"/>
    <cellStyle name="Обычный 13 3 2 3 2 3 3" xfId="12527"/>
    <cellStyle name="Обычный 13 3 2 3 2 4" xfId="12528"/>
    <cellStyle name="Обычный 13 3 2 3 2 4 2" xfId="12529"/>
    <cellStyle name="Обычный 13 3 2 3 2 5" xfId="12530"/>
    <cellStyle name="Обычный 13 3 2 3 2 6" xfId="12531"/>
    <cellStyle name="Обычный 13 3 2 3 3" xfId="12532"/>
    <cellStyle name="Обычный 13 3 2 3 3 2" xfId="12533"/>
    <cellStyle name="Обычный 13 3 2 3 3 3" xfId="12534"/>
    <cellStyle name="Обычный 13 3 2 3 4" xfId="12535"/>
    <cellStyle name="Обычный 13 3 2 3 4 2" xfId="12536"/>
    <cellStyle name="Обычный 13 3 2 3 4 3" xfId="12537"/>
    <cellStyle name="Обычный 13 3 2 3 5" xfId="12538"/>
    <cellStyle name="Обычный 13 3 2 3 5 2" xfId="12539"/>
    <cellStyle name="Обычный 13 3 2 3 6" xfId="12540"/>
    <cellStyle name="Обычный 13 3 2 3 7" xfId="12541"/>
    <cellStyle name="Обычный 13 3 2 4" xfId="12542"/>
    <cellStyle name="Обычный 13 3 2 4 2" xfId="12543"/>
    <cellStyle name="Обычный 13 3 2 4 2 2" xfId="12544"/>
    <cellStyle name="Обычный 13 3 2 4 2 3" xfId="12545"/>
    <cellStyle name="Обычный 13 3 2 4 3" xfId="12546"/>
    <cellStyle name="Обычный 13 3 2 4 3 2" xfId="12547"/>
    <cellStyle name="Обычный 13 3 2 4 3 3" xfId="12548"/>
    <cellStyle name="Обычный 13 3 2 4 4" xfId="12549"/>
    <cellStyle name="Обычный 13 3 2 4 4 2" xfId="12550"/>
    <cellStyle name="Обычный 13 3 2 4 5" xfId="12551"/>
    <cellStyle name="Обычный 13 3 2 4 6" xfId="12552"/>
    <cellStyle name="Обычный 13 3 2 5" xfId="12553"/>
    <cellStyle name="Обычный 13 3 2 5 2" xfId="12554"/>
    <cellStyle name="Обычный 13 3 2 5 3" xfId="12555"/>
    <cellStyle name="Обычный 13 3 2 6" xfId="12556"/>
    <cellStyle name="Обычный 13 3 2 6 2" xfId="12557"/>
    <cellStyle name="Обычный 13 3 2 6 3" xfId="12558"/>
    <cellStyle name="Обычный 13 3 2 7" xfId="12559"/>
    <cellStyle name="Обычный 13 3 2 7 2" xfId="12560"/>
    <cellStyle name="Обычный 13 3 2 8" xfId="12561"/>
    <cellStyle name="Обычный 13 3 2 9" xfId="12562"/>
    <cellStyle name="Обычный 13 3 3" xfId="12563"/>
    <cellStyle name="Обычный 13 3 3 2" xfId="12564"/>
    <cellStyle name="Обычный 13 3 3 2 2" xfId="12565"/>
    <cellStyle name="Обычный 13 3 3 2 2 2" xfId="12566"/>
    <cellStyle name="Обычный 13 3 3 2 2 2 2" xfId="12567"/>
    <cellStyle name="Обычный 13 3 3 2 2 2 3" xfId="12568"/>
    <cellStyle name="Обычный 13 3 3 2 2 3" xfId="12569"/>
    <cellStyle name="Обычный 13 3 3 2 2 3 2" xfId="12570"/>
    <cellStyle name="Обычный 13 3 3 2 2 3 3" xfId="12571"/>
    <cellStyle name="Обычный 13 3 3 2 2 4" xfId="12572"/>
    <cellStyle name="Обычный 13 3 3 2 2 4 2" xfId="12573"/>
    <cellStyle name="Обычный 13 3 3 2 2 5" xfId="12574"/>
    <cellStyle name="Обычный 13 3 3 2 2 6" xfId="12575"/>
    <cellStyle name="Обычный 13 3 3 2 3" xfId="12576"/>
    <cellStyle name="Обычный 13 3 3 2 3 2" xfId="12577"/>
    <cellStyle name="Обычный 13 3 3 2 3 3" xfId="12578"/>
    <cellStyle name="Обычный 13 3 3 2 4" xfId="12579"/>
    <cellStyle name="Обычный 13 3 3 2 4 2" xfId="12580"/>
    <cellStyle name="Обычный 13 3 3 2 4 3" xfId="12581"/>
    <cellStyle name="Обычный 13 3 3 2 5" xfId="12582"/>
    <cellStyle name="Обычный 13 3 3 2 5 2" xfId="12583"/>
    <cellStyle name="Обычный 13 3 3 2 6" xfId="12584"/>
    <cellStyle name="Обычный 13 3 3 2 7" xfId="12585"/>
    <cellStyle name="Обычный 13 3 3 3" xfId="12586"/>
    <cellStyle name="Обычный 13 3 3 3 2" xfId="12587"/>
    <cellStyle name="Обычный 13 3 3 3 2 2" xfId="12588"/>
    <cellStyle name="Обычный 13 3 3 3 2 3" xfId="12589"/>
    <cellStyle name="Обычный 13 3 3 3 3" xfId="12590"/>
    <cellStyle name="Обычный 13 3 3 3 3 2" xfId="12591"/>
    <cellStyle name="Обычный 13 3 3 3 3 3" xfId="12592"/>
    <cellStyle name="Обычный 13 3 3 3 4" xfId="12593"/>
    <cellStyle name="Обычный 13 3 3 3 4 2" xfId="12594"/>
    <cellStyle name="Обычный 13 3 3 3 5" xfId="12595"/>
    <cellStyle name="Обычный 13 3 3 3 6" xfId="12596"/>
    <cellStyle name="Обычный 13 3 3 4" xfId="12597"/>
    <cellStyle name="Обычный 13 3 3 4 2" xfId="12598"/>
    <cellStyle name="Обычный 13 3 3 4 3" xfId="12599"/>
    <cellStyle name="Обычный 13 3 3 5" xfId="12600"/>
    <cellStyle name="Обычный 13 3 3 5 2" xfId="12601"/>
    <cellStyle name="Обычный 13 3 3 5 3" xfId="12602"/>
    <cellStyle name="Обычный 13 3 3 6" xfId="12603"/>
    <cellStyle name="Обычный 13 3 3 6 2" xfId="12604"/>
    <cellStyle name="Обычный 13 3 3 7" xfId="12605"/>
    <cellStyle name="Обычный 13 3 3 8" xfId="12606"/>
    <cellStyle name="Обычный 13 3 4" xfId="12607"/>
    <cellStyle name="Обычный 13 3 4 2" xfId="12608"/>
    <cellStyle name="Обычный 13 3 4 2 2" xfId="12609"/>
    <cellStyle name="Обычный 13 3 4 2 2 2" xfId="12610"/>
    <cellStyle name="Обычный 13 3 4 2 2 3" xfId="12611"/>
    <cellStyle name="Обычный 13 3 4 2 3" xfId="12612"/>
    <cellStyle name="Обычный 13 3 4 2 3 2" xfId="12613"/>
    <cellStyle name="Обычный 13 3 4 2 3 3" xfId="12614"/>
    <cellStyle name="Обычный 13 3 4 2 4" xfId="12615"/>
    <cellStyle name="Обычный 13 3 4 2 4 2" xfId="12616"/>
    <cellStyle name="Обычный 13 3 4 2 5" xfId="12617"/>
    <cellStyle name="Обычный 13 3 4 2 6" xfId="12618"/>
    <cellStyle name="Обычный 13 3 4 3" xfId="12619"/>
    <cellStyle name="Обычный 13 3 4 3 2" xfId="12620"/>
    <cellStyle name="Обычный 13 3 4 3 3" xfId="12621"/>
    <cellStyle name="Обычный 13 3 4 4" xfId="12622"/>
    <cellStyle name="Обычный 13 3 4 4 2" xfId="12623"/>
    <cellStyle name="Обычный 13 3 4 4 3" xfId="12624"/>
    <cellStyle name="Обычный 13 3 4 5" xfId="12625"/>
    <cellStyle name="Обычный 13 3 4 5 2" xfId="12626"/>
    <cellStyle name="Обычный 13 3 4 6" xfId="12627"/>
    <cellStyle name="Обычный 13 3 4 7" xfId="12628"/>
    <cellStyle name="Обычный 13 3 5" xfId="12629"/>
    <cellStyle name="Обычный 13 3 5 2" xfId="12630"/>
    <cellStyle name="Обычный 13 3 5 2 2" xfId="12631"/>
    <cellStyle name="Обычный 13 3 5 2 3" xfId="12632"/>
    <cellStyle name="Обычный 13 3 5 3" xfId="12633"/>
    <cellStyle name="Обычный 13 3 5 3 2" xfId="12634"/>
    <cellStyle name="Обычный 13 3 5 3 3" xfId="12635"/>
    <cellStyle name="Обычный 13 3 5 4" xfId="12636"/>
    <cellStyle name="Обычный 13 3 5 4 2" xfId="12637"/>
    <cellStyle name="Обычный 13 3 5 5" xfId="12638"/>
    <cellStyle name="Обычный 13 3 5 6" xfId="12639"/>
    <cellStyle name="Обычный 13 3 6" xfId="12640"/>
    <cellStyle name="Обычный 13 3 6 2" xfId="12641"/>
    <cellStyle name="Обычный 13 3 6 3" xfId="12642"/>
    <cellStyle name="Обычный 13 3 7" xfId="12643"/>
    <cellStyle name="Обычный 13 3 7 2" xfId="12644"/>
    <cellStyle name="Обычный 13 3 7 3" xfId="12645"/>
    <cellStyle name="Обычный 13 3 8" xfId="12646"/>
    <cellStyle name="Обычный 13 3 8 2" xfId="12647"/>
    <cellStyle name="Обычный 13 3 9" xfId="12648"/>
    <cellStyle name="Обычный 13 4" xfId="12649"/>
    <cellStyle name="Обычный 13 4 10" xfId="12650"/>
    <cellStyle name="Обычный 13 4 2" xfId="12651"/>
    <cellStyle name="Обычный 13 4 2 2" xfId="12652"/>
    <cellStyle name="Обычный 13 4 2 2 2" xfId="12653"/>
    <cellStyle name="Обычный 13 4 2 2 2 2" xfId="12654"/>
    <cellStyle name="Обычный 13 4 2 2 2 2 2" xfId="12655"/>
    <cellStyle name="Обычный 13 4 2 2 2 2 2 2" xfId="12656"/>
    <cellStyle name="Обычный 13 4 2 2 2 2 2 3" xfId="12657"/>
    <cellStyle name="Обычный 13 4 2 2 2 2 3" xfId="12658"/>
    <cellStyle name="Обычный 13 4 2 2 2 2 3 2" xfId="12659"/>
    <cellStyle name="Обычный 13 4 2 2 2 2 3 3" xfId="12660"/>
    <cellStyle name="Обычный 13 4 2 2 2 2 4" xfId="12661"/>
    <cellStyle name="Обычный 13 4 2 2 2 2 4 2" xfId="12662"/>
    <cellStyle name="Обычный 13 4 2 2 2 2 5" xfId="12663"/>
    <cellStyle name="Обычный 13 4 2 2 2 2 6" xfId="12664"/>
    <cellStyle name="Обычный 13 4 2 2 2 3" xfId="12665"/>
    <cellStyle name="Обычный 13 4 2 2 2 3 2" xfId="12666"/>
    <cellStyle name="Обычный 13 4 2 2 2 3 3" xfId="12667"/>
    <cellStyle name="Обычный 13 4 2 2 2 4" xfId="12668"/>
    <cellStyle name="Обычный 13 4 2 2 2 4 2" xfId="12669"/>
    <cellStyle name="Обычный 13 4 2 2 2 4 3" xfId="12670"/>
    <cellStyle name="Обычный 13 4 2 2 2 5" xfId="12671"/>
    <cellStyle name="Обычный 13 4 2 2 2 5 2" xfId="12672"/>
    <cellStyle name="Обычный 13 4 2 2 2 6" xfId="12673"/>
    <cellStyle name="Обычный 13 4 2 2 2 7" xfId="12674"/>
    <cellStyle name="Обычный 13 4 2 2 3" xfId="12675"/>
    <cellStyle name="Обычный 13 4 2 2 3 2" xfId="12676"/>
    <cellStyle name="Обычный 13 4 2 2 3 2 2" xfId="12677"/>
    <cellStyle name="Обычный 13 4 2 2 3 2 3" xfId="12678"/>
    <cellStyle name="Обычный 13 4 2 2 3 3" xfId="12679"/>
    <cellStyle name="Обычный 13 4 2 2 3 3 2" xfId="12680"/>
    <cellStyle name="Обычный 13 4 2 2 3 3 3" xfId="12681"/>
    <cellStyle name="Обычный 13 4 2 2 3 4" xfId="12682"/>
    <cellStyle name="Обычный 13 4 2 2 3 4 2" xfId="12683"/>
    <cellStyle name="Обычный 13 4 2 2 3 5" xfId="12684"/>
    <cellStyle name="Обычный 13 4 2 2 3 6" xfId="12685"/>
    <cellStyle name="Обычный 13 4 2 2 4" xfId="12686"/>
    <cellStyle name="Обычный 13 4 2 2 4 2" xfId="12687"/>
    <cellStyle name="Обычный 13 4 2 2 4 3" xfId="12688"/>
    <cellStyle name="Обычный 13 4 2 2 5" xfId="12689"/>
    <cellStyle name="Обычный 13 4 2 2 5 2" xfId="12690"/>
    <cellStyle name="Обычный 13 4 2 2 5 3" xfId="12691"/>
    <cellStyle name="Обычный 13 4 2 2 6" xfId="12692"/>
    <cellStyle name="Обычный 13 4 2 2 6 2" xfId="12693"/>
    <cellStyle name="Обычный 13 4 2 2 7" xfId="12694"/>
    <cellStyle name="Обычный 13 4 2 2 8" xfId="12695"/>
    <cellStyle name="Обычный 13 4 2 3" xfId="12696"/>
    <cellStyle name="Обычный 13 4 2 3 2" xfId="12697"/>
    <cellStyle name="Обычный 13 4 2 3 2 2" xfId="12698"/>
    <cellStyle name="Обычный 13 4 2 3 2 2 2" xfId="12699"/>
    <cellStyle name="Обычный 13 4 2 3 2 2 3" xfId="12700"/>
    <cellStyle name="Обычный 13 4 2 3 2 3" xfId="12701"/>
    <cellStyle name="Обычный 13 4 2 3 2 3 2" xfId="12702"/>
    <cellStyle name="Обычный 13 4 2 3 2 3 3" xfId="12703"/>
    <cellStyle name="Обычный 13 4 2 3 2 4" xfId="12704"/>
    <cellStyle name="Обычный 13 4 2 3 2 4 2" xfId="12705"/>
    <cellStyle name="Обычный 13 4 2 3 2 5" xfId="12706"/>
    <cellStyle name="Обычный 13 4 2 3 2 6" xfId="12707"/>
    <cellStyle name="Обычный 13 4 2 3 3" xfId="12708"/>
    <cellStyle name="Обычный 13 4 2 3 3 2" xfId="12709"/>
    <cellStyle name="Обычный 13 4 2 3 3 3" xfId="12710"/>
    <cellStyle name="Обычный 13 4 2 3 4" xfId="12711"/>
    <cellStyle name="Обычный 13 4 2 3 4 2" xfId="12712"/>
    <cellStyle name="Обычный 13 4 2 3 4 3" xfId="12713"/>
    <cellStyle name="Обычный 13 4 2 3 5" xfId="12714"/>
    <cellStyle name="Обычный 13 4 2 3 5 2" xfId="12715"/>
    <cellStyle name="Обычный 13 4 2 3 6" xfId="12716"/>
    <cellStyle name="Обычный 13 4 2 3 7" xfId="12717"/>
    <cellStyle name="Обычный 13 4 2 4" xfId="12718"/>
    <cellStyle name="Обычный 13 4 2 4 2" xfId="12719"/>
    <cellStyle name="Обычный 13 4 2 4 2 2" xfId="12720"/>
    <cellStyle name="Обычный 13 4 2 4 2 3" xfId="12721"/>
    <cellStyle name="Обычный 13 4 2 4 3" xfId="12722"/>
    <cellStyle name="Обычный 13 4 2 4 3 2" xfId="12723"/>
    <cellStyle name="Обычный 13 4 2 4 3 3" xfId="12724"/>
    <cellStyle name="Обычный 13 4 2 4 4" xfId="12725"/>
    <cellStyle name="Обычный 13 4 2 4 4 2" xfId="12726"/>
    <cellStyle name="Обычный 13 4 2 4 5" xfId="12727"/>
    <cellStyle name="Обычный 13 4 2 4 6" xfId="12728"/>
    <cellStyle name="Обычный 13 4 2 5" xfId="12729"/>
    <cellStyle name="Обычный 13 4 2 5 2" xfId="12730"/>
    <cellStyle name="Обычный 13 4 2 5 3" xfId="12731"/>
    <cellStyle name="Обычный 13 4 2 6" xfId="12732"/>
    <cellStyle name="Обычный 13 4 2 6 2" xfId="12733"/>
    <cellStyle name="Обычный 13 4 2 6 3" xfId="12734"/>
    <cellStyle name="Обычный 13 4 2 7" xfId="12735"/>
    <cellStyle name="Обычный 13 4 2 7 2" xfId="12736"/>
    <cellStyle name="Обычный 13 4 2 8" xfId="12737"/>
    <cellStyle name="Обычный 13 4 2 9" xfId="12738"/>
    <cellStyle name="Обычный 13 4 3" xfId="12739"/>
    <cellStyle name="Обычный 13 4 3 2" xfId="12740"/>
    <cellStyle name="Обычный 13 4 3 2 2" xfId="12741"/>
    <cellStyle name="Обычный 13 4 3 2 2 2" xfId="12742"/>
    <cellStyle name="Обычный 13 4 3 2 2 2 2" xfId="12743"/>
    <cellStyle name="Обычный 13 4 3 2 2 2 3" xfId="12744"/>
    <cellStyle name="Обычный 13 4 3 2 2 3" xfId="12745"/>
    <cellStyle name="Обычный 13 4 3 2 2 3 2" xfId="12746"/>
    <cellStyle name="Обычный 13 4 3 2 2 3 3" xfId="12747"/>
    <cellStyle name="Обычный 13 4 3 2 2 4" xfId="12748"/>
    <cellStyle name="Обычный 13 4 3 2 2 4 2" xfId="12749"/>
    <cellStyle name="Обычный 13 4 3 2 2 5" xfId="12750"/>
    <cellStyle name="Обычный 13 4 3 2 2 6" xfId="12751"/>
    <cellStyle name="Обычный 13 4 3 2 3" xfId="12752"/>
    <cellStyle name="Обычный 13 4 3 2 3 2" xfId="12753"/>
    <cellStyle name="Обычный 13 4 3 2 3 3" xfId="12754"/>
    <cellStyle name="Обычный 13 4 3 2 4" xfId="12755"/>
    <cellStyle name="Обычный 13 4 3 2 4 2" xfId="12756"/>
    <cellStyle name="Обычный 13 4 3 2 4 3" xfId="12757"/>
    <cellStyle name="Обычный 13 4 3 2 5" xfId="12758"/>
    <cellStyle name="Обычный 13 4 3 2 5 2" xfId="12759"/>
    <cellStyle name="Обычный 13 4 3 2 6" xfId="12760"/>
    <cellStyle name="Обычный 13 4 3 2 7" xfId="12761"/>
    <cellStyle name="Обычный 13 4 3 3" xfId="12762"/>
    <cellStyle name="Обычный 13 4 3 3 2" xfId="12763"/>
    <cellStyle name="Обычный 13 4 3 3 2 2" xfId="12764"/>
    <cellStyle name="Обычный 13 4 3 3 2 3" xfId="12765"/>
    <cellStyle name="Обычный 13 4 3 3 3" xfId="12766"/>
    <cellStyle name="Обычный 13 4 3 3 3 2" xfId="12767"/>
    <cellStyle name="Обычный 13 4 3 3 3 3" xfId="12768"/>
    <cellStyle name="Обычный 13 4 3 3 4" xfId="12769"/>
    <cellStyle name="Обычный 13 4 3 3 4 2" xfId="12770"/>
    <cellStyle name="Обычный 13 4 3 3 5" xfId="12771"/>
    <cellStyle name="Обычный 13 4 3 3 6" xfId="12772"/>
    <cellStyle name="Обычный 13 4 3 4" xfId="12773"/>
    <cellStyle name="Обычный 13 4 3 4 2" xfId="12774"/>
    <cellStyle name="Обычный 13 4 3 4 3" xfId="12775"/>
    <cellStyle name="Обычный 13 4 3 5" xfId="12776"/>
    <cellStyle name="Обычный 13 4 3 5 2" xfId="12777"/>
    <cellStyle name="Обычный 13 4 3 5 3" xfId="12778"/>
    <cellStyle name="Обычный 13 4 3 6" xfId="12779"/>
    <cellStyle name="Обычный 13 4 3 6 2" xfId="12780"/>
    <cellStyle name="Обычный 13 4 3 7" xfId="12781"/>
    <cellStyle name="Обычный 13 4 3 8" xfId="12782"/>
    <cellStyle name="Обычный 13 4 4" xfId="12783"/>
    <cellStyle name="Обычный 13 4 4 2" xfId="12784"/>
    <cellStyle name="Обычный 13 4 4 2 2" xfId="12785"/>
    <cellStyle name="Обычный 13 4 4 2 2 2" xfId="12786"/>
    <cellStyle name="Обычный 13 4 4 2 2 3" xfId="12787"/>
    <cellStyle name="Обычный 13 4 4 2 3" xfId="12788"/>
    <cellStyle name="Обычный 13 4 4 2 3 2" xfId="12789"/>
    <cellStyle name="Обычный 13 4 4 2 3 3" xfId="12790"/>
    <cellStyle name="Обычный 13 4 4 2 4" xfId="12791"/>
    <cellStyle name="Обычный 13 4 4 2 4 2" xfId="12792"/>
    <cellStyle name="Обычный 13 4 4 2 5" xfId="12793"/>
    <cellStyle name="Обычный 13 4 4 2 6" xfId="12794"/>
    <cellStyle name="Обычный 13 4 4 3" xfId="12795"/>
    <cellStyle name="Обычный 13 4 4 3 2" xfId="12796"/>
    <cellStyle name="Обычный 13 4 4 3 3" xfId="12797"/>
    <cellStyle name="Обычный 13 4 4 4" xfId="12798"/>
    <cellStyle name="Обычный 13 4 4 4 2" xfId="12799"/>
    <cellStyle name="Обычный 13 4 4 4 3" xfId="12800"/>
    <cellStyle name="Обычный 13 4 4 5" xfId="12801"/>
    <cellStyle name="Обычный 13 4 4 5 2" xfId="12802"/>
    <cellStyle name="Обычный 13 4 4 6" xfId="12803"/>
    <cellStyle name="Обычный 13 4 4 7" xfId="12804"/>
    <cellStyle name="Обычный 13 4 5" xfId="12805"/>
    <cellStyle name="Обычный 13 4 5 2" xfId="12806"/>
    <cellStyle name="Обычный 13 4 5 2 2" xfId="12807"/>
    <cellStyle name="Обычный 13 4 5 2 3" xfId="12808"/>
    <cellStyle name="Обычный 13 4 5 3" xfId="12809"/>
    <cellStyle name="Обычный 13 4 5 3 2" xfId="12810"/>
    <cellStyle name="Обычный 13 4 5 3 3" xfId="12811"/>
    <cellStyle name="Обычный 13 4 5 4" xfId="12812"/>
    <cellStyle name="Обычный 13 4 5 4 2" xfId="12813"/>
    <cellStyle name="Обычный 13 4 5 5" xfId="12814"/>
    <cellStyle name="Обычный 13 4 5 6" xfId="12815"/>
    <cellStyle name="Обычный 13 4 6" xfId="12816"/>
    <cellStyle name="Обычный 13 4 6 2" xfId="12817"/>
    <cellStyle name="Обычный 13 4 6 3" xfId="12818"/>
    <cellStyle name="Обычный 13 4 7" xfId="12819"/>
    <cellStyle name="Обычный 13 4 7 2" xfId="12820"/>
    <cellStyle name="Обычный 13 4 7 3" xfId="12821"/>
    <cellStyle name="Обычный 13 4 8" xfId="12822"/>
    <cellStyle name="Обычный 13 4 8 2" xfId="12823"/>
    <cellStyle name="Обычный 13 4 9" xfId="12824"/>
    <cellStyle name="Обычный 13 5" xfId="12825"/>
    <cellStyle name="Обычный 13 5 2" xfId="12826"/>
    <cellStyle name="Обычный 13 5 2 2" xfId="12827"/>
    <cellStyle name="Обычный 13 5 2 2 2" xfId="12828"/>
    <cellStyle name="Обычный 13 5 2 2 2 2" xfId="12829"/>
    <cellStyle name="Обычный 13 5 2 2 2 2 2" xfId="12830"/>
    <cellStyle name="Обычный 13 5 2 2 2 2 3" xfId="12831"/>
    <cellStyle name="Обычный 13 5 2 2 2 3" xfId="12832"/>
    <cellStyle name="Обычный 13 5 2 2 2 3 2" xfId="12833"/>
    <cellStyle name="Обычный 13 5 2 2 2 3 3" xfId="12834"/>
    <cellStyle name="Обычный 13 5 2 2 2 4" xfId="12835"/>
    <cellStyle name="Обычный 13 5 2 2 2 4 2" xfId="12836"/>
    <cellStyle name="Обычный 13 5 2 2 2 5" xfId="12837"/>
    <cellStyle name="Обычный 13 5 2 2 2 6" xfId="12838"/>
    <cellStyle name="Обычный 13 5 2 2 3" xfId="12839"/>
    <cellStyle name="Обычный 13 5 2 2 3 2" xfId="12840"/>
    <cellStyle name="Обычный 13 5 2 2 3 3" xfId="12841"/>
    <cellStyle name="Обычный 13 5 2 2 4" xfId="12842"/>
    <cellStyle name="Обычный 13 5 2 2 4 2" xfId="12843"/>
    <cellStyle name="Обычный 13 5 2 2 4 3" xfId="12844"/>
    <cellStyle name="Обычный 13 5 2 2 5" xfId="12845"/>
    <cellStyle name="Обычный 13 5 2 2 5 2" xfId="12846"/>
    <cellStyle name="Обычный 13 5 2 2 6" xfId="12847"/>
    <cellStyle name="Обычный 13 5 2 2 7" xfId="12848"/>
    <cellStyle name="Обычный 13 5 2 3" xfId="12849"/>
    <cellStyle name="Обычный 13 5 2 3 2" xfId="12850"/>
    <cellStyle name="Обычный 13 5 2 3 2 2" xfId="12851"/>
    <cellStyle name="Обычный 13 5 2 3 2 3" xfId="12852"/>
    <cellStyle name="Обычный 13 5 2 3 3" xfId="12853"/>
    <cellStyle name="Обычный 13 5 2 3 3 2" xfId="12854"/>
    <cellStyle name="Обычный 13 5 2 3 3 3" xfId="12855"/>
    <cellStyle name="Обычный 13 5 2 3 4" xfId="12856"/>
    <cellStyle name="Обычный 13 5 2 3 4 2" xfId="12857"/>
    <cellStyle name="Обычный 13 5 2 3 5" xfId="12858"/>
    <cellStyle name="Обычный 13 5 2 3 6" xfId="12859"/>
    <cellStyle name="Обычный 13 5 2 4" xfId="12860"/>
    <cellStyle name="Обычный 13 5 2 4 2" xfId="12861"/>
    <cellStyle name="Обычный 13 5 2 4 3" xfId="12862"/>
    <cellStyle name="Обычный 13 5 2 5" xfId="12863"/>
    <cellStyle name="Обычный 13 5 2 5 2" xfId="12864"/>
    <cellStyle name="Обычный 13 5 2 5 3" xfId="12865"/>
    <cellStyle name="Обычный 13 5 2 6" xfId="12866"/>
    <cellStyle name="Обычный 13 5 2 6 2" xfId="12867"/>
    <cellStyle name="Обычный 13 5 2 7" xfId="12868"/>
    <cellStyle name="Обычный 13 5 2 8" xfId="12869"/>
    <cellStyle name="Обычный 13 5 3" xfId="12870"/>
    <cellStyle name="Обычный 13 5 3 2" xfId="12871"/>
    <cellStyle name="Обычный 13 5 3 2 2" xfId="12872"/>
    <cellStyle name="Обычный 13 5 3 2 2 2" xfId="12873"/>
    <cellStyle name="Обычный 13 5 3 2 2 3" xfId="12874"/>
    <cellStyle name="Обычный 13 5 3 2 3" xfId="12875"/>
    <cellStyle name="Обычный 13 5 3 2 3 2" xfId="12876"/>
    <cellStyle name="Обычный 13 5 3 2 3 3" xfId="12877"/>
    <cellStyle name="Обычный 13 5 3 2 4" xfId="12878"/>
    <cellStyle name="Обычный 13 5 3 2 4 2" xfId="12879"/>
    <cellStyle name="Обычный 13 5 3 2 5" xfId="12880"/>
    <cellStyle name="Обычный 13 5 3 2 6" xfId="12881"/>
    <cellStyle name="Обычный 13 5 3 3" xfId="12882"/>
    <cellStyle name="Обычный 13 5 3 3 2" xfId="12883"/>
    <cellStyle name="Обычный 13 5 3 3 3" xfId="12884"/>
    <cellStyle name="Обычный 13 5 3 4" xfId="12885"/>
    <cellStyle name="Обычный 13 5 3 4 2" xfId="12886"/>
    <cellStyle name="Обычный 13 5 3 4 3" xfId="12887"/>
    <cellStyle name="Обычный 13 5 3 5" xfId="12888"/>
    <cellStyle name="Обычный 13 5 3 5 2" xfId="12889"/>
    <cellStyle name="Обычный 13 5 3 6" xfId="12890"/>
    <cellStyle name="Обычный 13 5 3 7" xfId="12891"/>
    <cellStyle name="Обычный 13 5 4" xfId="12892"/>
    <cellStyle name="Обычный 13 5 4 2" xfId="12893"/>
    <cellStyle name="Обычный 13 5 4 2 2" xfId="12894"/>
    <cellStyle name="Обычный 13 5 4 2 3" xfId="12895"/>
    <cellStyle name="Обычный 13 5 4 3" xfId="12896"/>
    <cellStyle name="Обычный 13 5 4 3 2" xfId="12897"/>
    <cellStyle name="Обычный 13 5 4 3 3" xfId="12898"/>
    <cellStyle name="Обычный 13 5 4 4" xfId="12899"/>
    <cellStyle name="Обычный 13 5 4 4 2" xfId="12900"/>
    <cellStyle name="Обычный 13 5 4 5" xfId="12901"/>
    <cellStyle name="Обычный 13 5 4 6" xfId="12902"/>
    <cellStyle name="Обычный 13 5 5" xfId="12903"/>
    <cellStyle name="Обычный 13 5 5 2" xfId="12904"/>
    <cellStyle name="Обычный 13 5 5 3" xfId="12905"/>
    <cellStyle name="Обычный 13 5 6" xfId="12906"/>
    <cellStyle name="Обычный 13 5 6 2" xfId="12907"/>
    <cellStyle name="Обычный 13 5 6 3" xfId="12908"/>
    <cellStyle name="Обычный 13 5 7" xfId="12909"/>
    <cellStyle name="Обычный 13 5 7 2" xfId="12910"/>
    <cellStyle name="Обычный 13 5 8" xfId="12911"/>
    <cellStyle name="Обычный 13 5 9" xfId="12912"/>
    <cellStyle name="Обычный 13 6" xfId="12913"/>
    <cellStyle name="Обычный 13 6 2" xfId="12914"/>
    <cellStyle name="Обычный 13 6 2 2" xfId="12915"/>
    <cellStyle name="Обычный 13 6 2 2 2" xfId="12916"/>
    <cellStyle name="Обычный 13 6 2 2 2 2" xfId="12917"/>
    <cellStyle name="Обычный 13 6 2 2 2 3" xfId="12918"/>
    <cellStyle name="Обычный 13 6 2 2 3" xfId="12919"/>
    <cellStyle name="Обычный 13 6 2 2 3 2" xfId="12920"/>
    <cellStyle name="Обычный 13 6 2 2 3 3" xfId="12921"/>
    <cellStyle name="Обычный 13 6 2 2 4" xfId="12922"/>
    <cellStyle name="Обычный 13 6 2 2 4 2" xfId="12923"/>
    <cellStyle name="Обычный 13 6 2 2 5" xfId="12924"/>
    <cellStyle name="Обычный 13 6 2 2 6" xfId="12925"/>
    <cellStyle name="Обычный 13 6 2 3" xfId="12926"/>
    <cellStyle name="Обычный 13 6 2 3 2" xfId="12927"/>
    <cellStyle name="Обычный 13 6 2 3 3" xfId="12928"/>
    <cellStyle name="Обычный 13 6 2 4" xfId="12929"/>
    <cellStyle name="Обычный 13 6 2 4 2" xfId="12930"/>
    <cellStyle name="Обычный 13 6 2 4 3" xfId="12931"/>
    <cellStyle name="Обычный 13 6 2 5" xfId="12932"/>
    <cellStyle name="Обычный 13 6 2 5 2" xfId="12933"/>
    <cellStyle name="Обычный 13 6 2 6" xfId="12934"/>
    <cellStyle name="Обычный 13 6 2 7" xfId="12935"/>
    <cellStyle name="Обычный 13 6 3" xfId="12936"/>
    <cellStyle name="Обычный 13 6 3 2" xfId="12937"/>
    <cellStyle name="Обычный 13 6 3 2 2" xfId="12938"/>
    <cellStyle name="Обычный 13 6 3 2 3" xfId="12939"/>
    <cellStyle name="Обычный 13 6 3 3" xfId="12940"/>
    <cellStyle name="Обычный 13 6 3 3 2" xfId="12941"/>
    <cellStyle name="Обычный 13 6 3 3 3" xfId="12942"/>
    <cellStyle name="Обычный 13 6 3 4" xfId="12943"/>
    <cellStyle name="Обычный 13 6 3 4 2" xfId="12944"/>
    <cellStyle name="Обычный 13 6 3 5" xfId="12945"/>
    <cellStyle name="Обычный 13 6 3 6" xfId="12946"/>
    <cellStyle name="Обычный 13 6 4" xfId="12947"/>
    <cellStyle name="Обычный 13 6 4 2" xfId="12948"/>
    <cellStyle name="Обычный 13 6 4 3" xfId="12949"/>
    <cellStyle name="Обычный 13 6 5" xfId="12950"/>
    <cellStyle name="Обычный 13 6 5 2" xfId="12951"/>
    <cellStyle name="Обычный 13 6 5 3" xfId="12952"/>
    <cellStyle name="Обычный 13 6 6" xfId="12953"/>
    <cellStyle name="Обычный 13 6 6 2" xfId="12954"/>
    <cellStyle name="Обычный 13 6 7" xfId="12955"/>
    <cellStyle name="Обычный 13 6 8" xfId="12956"/>
    <cellStyle name="Обычный 13 7" xfId="12957"/>
    <cellStyle name="Обычный 13 7 2" xfId="12958"/>
    <cellStyle name="Обычный 13 7 2 2" xfId="12959"/>
    <cellStyle name="Обычный 13 7 2 2 2" xfId="12960"/>
    <cellStyle name="Обычный 13 7 2 2 3" xfId="12961"/>
    <cellStyle name="Обычный 13 7 2 3" xfId="12962"/>
    <cellStyle name="Обычный 13 7 2 3 2" xfId="12963"/>
    <cellStyle name="Обычный 13 7 2 3 3" xfId="12964"/>
    <cellStyle name="Обычный 13 7 2 4" xfId="12965"/>
    <cellStyle name="Обычный 13 7 2 4 2" xfId="12966"/>
    <cellStyle name="Обычный 13 7 2 5" xfId="12967"/>
    <cellStyle name="Обычный 13 7 2 6" xfId="12968"/>
    <cellStyle name="Обычный 13 7 3" xfId="12969"/>
    <cellStyle name="Обычный 13 7 3 2" xfId="12970"/>
    <cellStyle name="Обычный 13 7 3 3" xfId="12971"/>
    <cellStyle name="Обычный 13 7 4" xfId="12972"/>
    <cellStyle name="Обычный 13 7 4 2" xfId="12973"/>
    <cellStyle name="Обычный 13 7 4 3" xfId="12974"/>
    <cellStyle name="Обычный 13 7 5" xfId="12975"/>
    <cellStyle name="Обычный 13 7 5 2" xfId="12976"/>
    <cellStyle name="Обычный 13 7 6" xfId="12977"/>
    <cellStyle name="Обычный 13 7 7" xfId="12978"/>
    <cellStyle name="Обычный 13 8" xfId="12979"/>
    <cellStyle name="Обычный 13 8 2" xfId="12980"/>
    <cellStyle name="Обычный 13 8 2 2" xfId="12981"/>
    <cellStyle name="Обычный 13 8 2 3" xfId="12982"/>
    <cellStyle name="Обычный 13 8 3" xfId="12983"/>
    <cellStyle name="Обычный 13 8 3 2" xfId="12984"/>
    <cellStyle name="Обычный 13 8 3 3" xfId="12985"/>
    <cellStyle name="Обычный 13 8 4" xfId="12986"/>
    <cellStyle name="Обычный 13 8 4 2" xfId="12987"/>
    <cellStyle name="Обычный 13 8 5" xfId="12988"/>
    <cellStyle name="Обычный 13 8 6" xfId="12989"/>
    <cellStyle name="Обычный 13 9" xfId="12990"/>
    <cellStyle name="Обычный 13 9 2" xfId="12991"/>
    <cellStyle name="Обычный 13 9 3" xfId="12992"/>
    <cellStyle name="Обычный 14" xfId="12993"/>
    <cellStyle name="Обычный 14 2" xfId="12994"/>
    <cellStyle name="Обычный 14 2 7 2" xfId="12995"/>
    <cellStyle name="Обычный 14 3" xfId="12996"/>
    <cellStyle name="Обычный 14 4" xfId="12997"/>
    <cellStyle name="Обычный 15" xfId="12998"/>
    <cellStyle name="Обычный 15 10" xfId="12999"/>
    <cellStyle name="Обычный 15 11" xfId="13000"/>
    <cellStyle name="Обычный 15 2" xfId="13001"/>
    <cellStyle name="Обычный 15 2 2" xfId="13002"/>
    <cellStyle name="Обычный 15 2 2 2" xfId="13003"/>
    <cellStyle name="Обычный 15 2 2 2 2" xfId="13004"/>
    <cellStyle name="Обычный 15 2 2 2 2 2" xfId="13005"/>
    <cellStyle name="Обычный 15 2 2 2 2 2 2" xfId="13006"/>
    <cellStyle name="Обычный 15 2 2 2 2 2 3" xfId="13007"/>
    <cellStyle name="Обычный 15 2 2 2 2 3" xfId="13008"/>
    <cellStyle name="Обычный 15 2 2 2 2 3 2" xfId="13009"/>
    <cellStyle name="Обычный 15 2 2 2 2 3 3" xfId="13010"/>
    <cellStyle name="Обычный 15 2 2 2 2 4" xfId="13011"/>
    <cellStyle name="Обычный 15 2 2 2 2 4 2" xfId="13012"/>
    <cellStyle name="Обычный 15 2 2 2 2 5" xfId="13013"/>
    <cellStyle name="Обычный 15 2 2 2 2 6" xfId="13014"/>
    <cellStyle name="Обычный 15 2 2 2 3" xfId="13015"/>
    <cellStyle name="Обычный 15 2 2 2 3 2" xfId="13016"/>
    <cellStyle name="Обычный 15 2 2 2 3 3" xfId="13017"/>
    <cellStyle name="Обычный 15 2 2 2 4" xfId="13018"/>
    <cellStyle name="Обычный 15 2 2 2 4 2" xfId="13019"/>
    <cellStyle name="Обычный 15 2 2 2 4 3" xfId="13020"/>
    <cellStyle name="Обычный 15 2 2 2 5" xfId="13021"/>
    <cellStyle name="Обычный 15 2 2 2 5 2" xfId="13022"/>
    <cellStyle name="Обычный 15 2 2 2 6" xfId="13023"/>
    <cellStyle name="Обычный 15 2 2 2 7" xfId="13024"/>
    <cellStyle name="Обычный 15 2 2 3" xfId="13025"/>
    <cellStyle name="Обычный 15 2 2 3 2" xfId="13026"/>
    <cellStyle name="Обычный 15 2 2 3 2 2" xfId="13027"/>
    <cellStyle name="Обычный 15 2 2 3 2 3" xfId="13028"/>
    <cellStyle name="Обычный 15 2 2 3 3" xfId="13029"/>
    <cellStyle name="Обычный 15 2 2 3 3 2" xfId="13030"/>
    <cellStyle name="Обычный 15 2 2 3 3 3" xfId="13031"/>
    <cellStyle name="Обычный 15 2 2 3 4" xfId="13032"/>
    <cellStyle name="Обычный 15 2 2 3 4 2" xfId="13033"/>
    <cellStyle name="Обычный 15 2 2 3 5" xfId="13034"/>
    <cellStyle name="Обычный 15 2 2 3 6" xfId="13035"/>
    <cellStyle name="Обычный 15 2 2 4" xfId="13036"/>
    <cellStyle name="Обычный 15 2 2 4 2" xfId="13037"/>
    <cellStyle name="Обычный 15 2 2 4 3" xfId="13038"/>
    <cellStyle name="Обычный 15 2 2 5" xfId="13039"/>
    <cellStyle name="Обычный 15 2 2 5 2" xfId="13040"/>
    <cellStyle name="Обычный 15 2 2 5 3" xfId="13041"/>
    <cellStyle name="Обычный 15 2 2 6" xfId="13042"/>
    <cellStyle name="Обычный 15 2 2 6 2" xfId="13043"/>
    <cellStyle name="Обычный 15 2 2 7" xfId="13044"/>
    <cellStyle name="Обычный 15 2 2 8" xfId="13045"/>
    <cellStyle name="Обычный 15 2 3" xfId="13046"/>
    <cellStyle name="Обычный 15 2 3 2" xfId="13047"/>
    <cellStyle name="Обычный 15 2 3 2 2" xfId="13048"/>
    <cellStyle name="Обычный 15 2 3 2 2 2" xfId="13049"/>
    <cellStyle name="Обычный 15 2 3 2 2 3" xfId="13050"/>
    <cellStyle name="Обычный 15 2 3 2 3" xfId="13051"/>
    <cellStyle name="Обычный 15 2 3 2 3 2" xfId="13052"/>
    <cellStyle name="Обычный 15 2 3 2 3 3" xfId="13053"/>
    <cellStyle name="Обычный 15 2 3 2 4" xfId="13054"/>
    <cellStyle name="Обычный 15 2 3 2 4 2" xfId="13055"/>
    <cellStyle name="Обычный 15 2 3 2 5" xfId="13056"/>
    <cellStyle name="Обычный 15 2 3 2 6" xfId="13057"/>
    <cellStyle name="Обычный 15 2 3 3" xfId="13058"/>
    <cellStyle name="Обычный 15 2 3 3 2" xfId="13059"/>
    <cellStyle name="Обычный 15 2 3 3 3" xfId="13060"/>
    <cellStyle name="Обычный 15 2 3 4" xfId="13061"/>
    <cellStyle name="Обычный 15 2 3 4 2" xfId="13062"/>
    <cellStyle name="Обычный 15 2 3 4 3" xfId="13063"/>
    <cellStyle name="Обычный 15 2 3 5" xfId="13064"/>
    <cellStyle name="Обычный 15 2 3 5 2" xfId="13065"/>
    <cellStyle name="Обычный 15 2 3 6" xfId="13066"/>
    <cellStyle name="Обычный 15 2 3 7" xfId="13067"/>
    <cellStyle name="Обычный 15 2 4" xfId="13068"/>
    <cellStyle name="Обычный 15 2 4 2" xfId="13069"/>
    <cellStyle name="Обычный 15 2 4 2 2" xfId="13070"/>
    <cellStyle name="Обычный 15 2 4 2 3" xfId="13071"/>
    <cellStyle name="Обычный 15 2 4 3" xfId="13072"/>
    <cellStyle name="Обычный 15 2 4 3 2" xfId="13073"/>
    <cellStyle name="Обычный 15 2 4 3 3" xfId="13074"/>
    <cellStyle name="Обычный 15 2 4 4" xfId="13075"/>
    <cellStyle name="Обычный 15 2 4 4 2" xfId="13076"/>
    <cellStyle name="Обычный 15 2 4 5" xfId="13077"/>
    <cellStyle name="Обычный 15 2 4 6" xfId="13078"/>
    <cellStyle name="Обычный 15 2 5" xfId="13079"/>
    <cellStyle name="Обычный 15 2 5 2" xfId="13080"/>
    <cellStyle name="Обычный 15 2 5 3" xfId="13081"/>
    <cellStyle name="Обычный 15 2 6" xfId="13082"/>
    <cellStyle name="Обычный 15 2 6 2" xfId="13083"/>
    <cellStyle name="Обычный 15 2 6 3" xfId="13084"/>
    <cellStyle name="Обычный 15 2 7" xfId="13085"/>
    <cellStyle name="Обычный 15 2 7 2" xfId="13086"/>
    <cellStyle name="Обычный 15 2 8" xfId="13087"/>
    <cellStyle name="Обычный 15 2 9" xfId="13088"/>
    <cellStyle name="Обычный 15 3" xfId="13089"/>
    <cellStyle name="Обычный 15 3 2" xfId="13090"/>
    <cellStyle name="Обычный 15 3 2 2" xfId="13091"/>
    <cellStyle name="Обычный 15 3 2 2 2" xfId="13092"/>
    <cellStyle name="Обычный 15 3 2 2 2 2" xfId="13093"/>
    <cellStyle name="Обычный 15 3 2 2 2 3" xfId="13094"/>
    <cellStyle name="Обычный 15 3 2 2 3" xfId="13095"/>
    <cellStyle name="Обычный 15 3 2 2 3 2" xfId="13096"/>
    <cellStyle name="Обычный 15 3 2 2 3 3" xfId="13097"/>
    <cellStyle name="Обычный 15 3 2 2 4" xfId="13098"/>
    <cellStyle name="Обычный 15 3 2 2 4 2" xfId="13099"/>
    <cellStyle name="Обычный 15 3 2 2 5" xfId="13100"/>
    <cellStyle name="Обычный 15 3 2 2 6" xfId="13101"/>
    <cellStyle name="Обычный 15 3 2 3" xfId="13102"/>
    <cellStyle name="Обычный 15 3 2 3 2" xfId="13103"/>
    <cellStyle name="Обычный 15 3 2 3 3" xfId="13104"/>
    <cellStyle name="Обычный 15 3 2 4" xfId="13105"/>
    <cellStyle name="Обычный 15 3 2 4 2" xfId="13106"/>
    <cellStyle name="Обычный 15 3 2 4 3" xfId="13107"/>
    <cellStyle name="Обычный 15 3 2 5" xfId="13108"/>
    <cellStyle name="Обычный 15 3 2 5 2" xfId="13109"/>
    <cellStyle name="Обычный 15 3 2 6" xfId="13110"/>
    <cellStyle name="Обычный 15 3 2 7" xfId="13111"/>
    <cellStyle name="Обычный 15 3 3" xfId="13112"/>
    <cellStyle name="Обычный 15 3 3 2" xfId="13113"/>
    <cellStyle name="Обычный 15 3 3 2 2" xfId="13114"/>
    <cellStyle name="Обычный 15 3 3 2 3" xfId="13115"/>
    <cellStyle name="Обычный 15 3 3 3" xfId="13116"/>
    <cellStyle name="Обычный 15 3 3 3 2" xfId="13117"/>
    <cellStyle name="Обычный 15 3 3 3 3" xfId="13118"/>
    <cellStyle name="Обычный 15 3 3 4" xfId="13119"/>
    <cellStyle name="Обычный 15 3 3 4 2" xfId="13120"/>
    <cellStyle name="Обычный 15 3 3 5" xfId="13121"/>
    <cellStyle name="Обычный 15 3 3 6" xfId="13122"/>
    <cellStyle name="Обычный 15 3 4" xfId="13123"/>
    <cellStyle name="Обычный 15 3 4 2" xfId="13124"/>
    <cellStyle name="Обычный 15 3 4 3" xfId="13125"/>
    <cellStyle name="Обычный 15 3 5" xfId="13126"/>
    <cellStyle name="Обычный 15 3 5 2" xfId="13127"/>
    <cellStyle name="Обычный 15 3 5 3" xfId="13128"/>
    <cellStyle name="Обычный 15 3 6" xfId="13129"/>
    <cellStyle name="Обычный 15 3 6 2" xfId="13130"/>
    <cellStyle name="Обычный 15 3 7" xfId="13131"/>
    <cellStyle name="Обычный 15 3 8" xfId="13132"/>
    <cellStyle name="Обычный 15 4" xfId="13133"/>
    <cellStyle name="Обычный 15 4 2" xfId="13134"/>
    <cellStyle name="Обычный 15 4 2 2" xfId="13135"/>
    <cellStyle name="Обычный 15 4 2 2 2" xfId="13136"/>
    <cellStyle name="Обычный 15 4 2 2 3" xfId="13137"/>
    <cellStyle name="Обычный 15 4 2 3" xfId="13138"/>
    <cellStyle name="Обычный 15 4 2 3 2" xfId="13139"/>
    <cellStyle name="Обычный 15 4 2 3 3" xfId="13140"/>
    <cellStyle name="Обычный 15 4 2 4" xfId="13141"/>
    <cellStyle name="Обычный 15 4 2 4 2" xfId="13142"/>
    <cellStyle name="Обычный 15 4 2 5" xfId="13143"/>
    <cellStyle name="Обычный 15 4 2 6" xfId="13144"/>
    <cellStyle name="Обычный 15 4 3" xfId="13145"/>
    <cellStyle name="Обычный 15 4 3 2" xfId="13146"/>
    <cellStyle name="Обычный 15 4 3 3" xfId="13147"/>
    <cellStyle name="Обычный 15 4 4" xfId="13148"/>
    <cellStyle name="Обычный 15 4 4 2" xfId="13149"/>
    <cellStyle name="Обычный 15 4 4 3" xfId="13150"/>
    <cellStyle name="Обычный 15 4 5" xfId="13151"/>
    <cellStyle name="Обычный 15 4 5 2" xfId="13152"/>
    <cellStyle name="Обычный 15 4 6" xfId="13153"/>
    <cellStyle name="Обычный 15 4 7" xfId="13154"/>
    <cellStyle name="Обычный 15 5" xfId="13155"/>
    <cellStyle name="Обычный 15 5 2" xfId="13156"/>
    <cellStyle name="Обычный 15 5 2 2" xfId="13157"/>
    <cellStyle name="Обычный 15 5 2 3" xfId="13158"/>
    <cellStyle name="Обычный 15 5 3" xfId="13159"/>
    <cellStyle name="Обычный 15 5 3 2" xfId="13160"/>
    <cellStyle name="Обычный 15 5 3 3" xfId="13161"/>
    <cellStyle name="Обычный 15 5 4" xfId="13162"/>
    <cellStyle name="Обычный 15 5 4 2" xfId="13163"/>
    <cellStyle name="Обычный 15 5 5" xfId="13164"/>
    <cellStyle name="Обычный 15 5 6" xfId="13165"/>
    <cellStyle name="Обычный 15 6" xfId="13166"/>
    <cellStyle name="Обычный 15 6 2" xfId="13167"/>
    <cellStyle name="Обычный 15 6 3" xfId="13168"/>
    <cellStyle name="Обычный 15 7" xfId="13169"/>
    <cellStyle name="Обычный 15 7 2" xfId="13170"/>
    <cellStyle name="Обычный 15 7 3" xfId="13171"/>
    <cellStyle name="Обычный 15 8" xfId="13172"/>
    <cellStyle name="Обычный 15 8 2" xfId="13173"/>
    <cellStyle name="Обычный 15 9" xfId="13174"/>
    <cellStyle name="Обычный 16" xfId="13175"/>
    <cellStyle name="Обычный 16 2" xfId="13176"/>
    <cellStyle name="Обычный 17" xfId="13177"/>
    <cellStyle name="Обычный 17 10" xfId="13178"/>
    <cellStyle name="Обычный 17 10 2" xfId="13179"/>
    <cellStyle name="Обычный 17 10 3" xfId="13180"/>
    <cellStyle name="Обычный 17 11" xfId="13181"/>
    <cellStyle name="Обычный 17 11 2" xfId="13182"/>
    <cellStyle name="Обычный 17 11 3" xfId="13183"/>
    <cellStyle name="Обычный 17 12" xfId="13184"/>
    <cellStyle name="Обычный 17 12 2" xfId="13185"/>
    <cellStyle name="Обычный 17 13" xfId="13186"/>
    <cellStyle name="Обычный 17 14" xfId="13187"/>
    <cellStyle name="Обычный 17 15" xfId="13188"/>
    <cellStyle name="Обычный 17 2" xfId="13189"/>
    <cellStyle name="Обычный 17 2 10" xfId="13190"/>
    <cellStyle name="Обычный 17 2 10 2" xfId="13191"/>
    <cellStyle name="Обычный 17 2 10 3" xfId="13192"/>
    <cellStyle name="Обычный 17 2 11" xfId="13193"/>
    <cellStyle name="Обычный 17 2 11 2" xfId="13194"/>
    <cellStyle name="Обычный 17 2 12" xfId="13195"/>
    <cellStyle name="Обычный 17 2 13" xfId="13196"/>
    <cellStyle name="Обычный 17 2 2" xfId="13197"/>
    <cellStyle name="Обычный 17 2 2 10" xfId="13198"/>
    <cellStyle name="Обычный 17 2 2 2" xfId="13199"/>
    <cellStyle name="Обычный 17 2 2 2 2" xfId="13200"/>
    <cellStyle name="Обычный 17 2 2 2 2 2" xfId="13201"/>
    <cellStyle name="Обычный 17 2 2 2 2 2 2" xfId="13202"/>
    <cellStyle name="Обычный 17 2 2 2 2 2 2 2" xfId="13203"/>
    <cellStyle name="Обычный 17 2 2 2 2 2 2 2 2" xfId="13204"/>
    <cellStyle name="Обычный 17 2 2 2 2 2 2 2 3" xfId="13205"/>
    <cellStyle name="Обычный 17 2 2 2 2 2 2 3" xfId="13206"/>
    <cellStyle name="Обычный 17 2 2 2 2 2 2 3 2" xfId="13207"/>
    <cellStyle name="Обычный 17 2 2 2 2 2 2 3 3" xfId="13208"/>
    <cellStyle name="Обычный 17 2 2 2 2 2 2 4" xfId="13209"/>
    <cellStyle name="Обычный 17 2 2 2 2 2 2 4 2" xfId="13210"/>
    <cellStyle name="Обычный 17 2 2 2 2 2 2 5" xfId="13211"/>
    <cellStyle name="Обычный 17 2 2 2 2 2 2 6" xfId="13212"/>
    <cellStyle name="Обычный 17 2 2 2 2 2 3" xfId="13213"/>
    <cellStyle name="Обычный 17 2 2 2 2 2 3 2" xfId="13214"/>
    <cellStyle name="Обычный 17 2 2 2 2 2 3 3" xfId="13215"/>
    <cellStyle name="Обычный 17 2 2 2 2 2 4" xfId="13216"/>
    <cellStyle name="Обычный 17 2 2 2 2 2 4 2" xfId="13217"/>
    <cellStyle name="Обычный 17 2 2 2 2 2 4 3" xfId="13218"/>
    <cellStyle name="Обычный 17 2 2 2 2 2 5" xfId="13219"/>
    <cellStyle name="Обычный 17 2 2 2 2 2 5 2" xfId="13220"/>
    <cellStyle name="Обычный 17 2 2 2 2 2 6" xfId="13221"/>
    <cellStyle name="Обычный 17 2 2 2 2 2 7" xfId="13222"/>
    <cellStyle name="Обычный 17 2 2 2 2 3" xfId="13223"/>
    <cellStyle name="Обычный 17 2 2 2 2 3 2" xfId="13224"/>
    <cellStyle name="Обычный 17 2 2 2 2 3 2 2" xfId="13225"/>
    <cellStyle name="Обычный 17 2 2 2 2 3 2 3" xfId="13226"/>
    <cellStyle name="Обычный 17 2 2 2 2 3 3" xfId="13227"/>
    <cellStyle name="Обычный 17 2 2 2 2 3 3 2" xfId="13228"/>
    <cellStyle name="Обычный 17 2 2 2 2 3 3 3" xfId="13229"/>
    <cellStyle name="Обычный 17 2 2 2 2 3 4" xfId="13230"/>
    <cellStyle name="Обычный 17 2 2 2 2 3 4 2" xfId="13231"/>
    <cellStyle name="Обычный 17 2 2 2 2 3 5" xfId="13232"/>
    <cellStyle name="Обычный 17 2 2 2 2 3 6" xfId="13233"/>
    <cellStyle name="Обычный 17 2 2 2 2 4" xfId="13234"/>
    <cellStyle name="Обычный 17 2 2 2 2 4 2" xfId="13235"/>
    <cellStyle name="Обычный 17 2 2 2 2 4 3" xfId="13236"/>
    <cellStyle name="Обычный 17 2 2 2 2 5" xfId="13237"/>
    <cellStyle name="Обычный 17 2 2 2 2 5 2" xfId="13238"/>
    <cellStyle name="Обычный 17 2 2 2 2 5 3" xfId="13239"/>
    <cellStyle name="Обычный 17 2 2 2 2 6" xfId="13240"/>
    <cellStyle name="Обычный 17 2 2 2 2 6 2" xfId="13241"/>
    <cellStyle name="Обычный 17 2 2 2 2 7" xfId="13242"/>
    <cellStyle name="Обычный 17 2 2 2 2 8" xfId="13243"/>
    <cellStyle name="Обычный 17 2 2 2 3" xfId="13244"/>
    <cellStyle name="Обычный 17 2 2 2 3 2" xfId="13245"/>
    <cellStyle name="Обычный 17 2 2 2 3 2 2" xfId="13246"/>
    <cellStyle name="Обычный 17 2 2 2 3 2 2 2" xfId="13247"/>
    <cellStyle name="Обычный 17 2 2 2 3 2 2 3" xfId="13248"/>
    <cellStyle name="Обычный 17 2 2 2 3 2 3" xfId="13249"/>
    <cellStyle name="Обычный 17 2 2 2 3 2 3 2" xfId="13250"/>
    <cellStyle name="Обычный 17 2 2 2 3 2 3 3" xfId="13251"/>
    <cellStyle name="Обычный 17 2 2 2 3 2 4" xfId="13252"/>
    <cellStyle name="Обычный 17 2 2 2 3 2 4 2" xfId="13253"/>
    <cellStyle name="Обычный 17 2 2 2 3 2 5" xfId="13254"/>
    <cellStyle name="Обычный 17 2 2 2 3 2 6" xfId="13255"/>
    <cellStyle name="Обычный 17 2 2 2 3 3" xfId="13256"/>
    <cellStyle name="Обычный 17 2 2 2 3 3 2" xfId="13257"/>
    <cellStyle name="Обычный 17 2 2 2 3 3 3" xfId="13258"/>
    <cellStyle name="Обычный 17 2 2 2 3 4" xfId="13259"/>
    <cellStyle name="Обычный 17 2 2 2 3 4 2" xfId="13260"/>
    <cellStyle name="Обычный 17 2 2 2 3 4 3" xfId="13261"/>
    <cellStyle name="Обычный 17 2 2 2 3 5" xfId="13262"/>
    <cellStyle name="Обычный 17 2 2 2 3 5 2" xfId="13263"/>
    <cellStyle name="Обычный 17 2 2 2 3 6" xfId="13264"/>
    <cellStyle name="Обычный 17 2 2 2 3 7" xfId="13265"/>
    <cellStyle name="Обычный 17 2 2 2 4" xfId="13266"/>
    <cellStyle name="Обычный 17 2 2 2 4 2" xfId="13267"/>
    <cellStyle name="Обычный 17 2 2 2 4 2 2" xfId="13268"/>
    <cellStyle name="Обычный 17 2 2 2 4 2 3" xfId="13269"/>
    <cellStyle name="Обычный 17 2 2 2 4 3" xfId="13270"/>
    <cellStyle name="Обычный 17 2 2 2 4 3 2" xfId="13271"/>
    <cellStyle name="Обычный 17 2 2 2 4 3 3" xfId="13272"/>
    <cellStyle name="Обычный 17 2 2 2 4 4" xfId="13273"/>
    <cellStyle name="Обычный 17 2 2 2 4 4 2" xfId="13274"/>
    <cellStyle name="Обычный 17 2 2 2 4 5" xfId="13275"/>
    <cellStyle name="Обычный 17 2 2 2 4 6" xfId="13276"/>
    <cellStyle name="Обычный 17 2 2 2 5" xfId="13277"/>
    <cellStyle name="Обычный 17 2 2 2 5 2" xfId="13278"/>
    <cellStyle name="Обычный 17 2 2 2 5 3" xfId="13279"/>
    <cellStyle name="Обычный 17 2 2 2 6" xfId="13280"/>
    <cellStyle name="Обычный 17 2 2 2 6 2" xfId="13281"/>
    <cellStyle name="Обычный 17 2 2 2 6 3" xfId="13282"/>
    <cellStyle name="Обычный 17 2 2 2 7" xfId="13283"/>
    <cellStyle name="Обычный 17 2 2 2 7 2" xfId="13284"/>
    <cellStyle name="Обычный 17 2 2 2 8" xfId="13285"/>
    <cellStyle name="Обычный 17 2 2 2 9" xfId="13286"/>
    <cellStyle name="Обычный 17 2 2 3" xfId="13287"/>
    <cellStyle name="Обычный 17 2 2 3 2" xfId="13288"/>
    <cellStyle name="Обычный 17 2 2 3 2 2" xfId="13289"/>
    <cellStyle name="Обычный 17 2 2 3 2 2 2" xfId="13290"/>
    <cellStyle name="Обычный 17 2 2 3 2 2 2 2" xfId="13291"/>
    <cellStyle name="Обычный 17 2 2 3 2 2 2 3" xfId="13292"/>
    <cellStyle name="Обычный 17 2 2 3 2 2 3" xfId="13293"/>
    <cellStyle name="Обычный 17 2 2 3 2 2 3 2" xfId="13294"/>
    <cellStyle name="Обычный 17 2 2 3 2 2 3 3" xfId="13295"/>
    <cellStyle name="Обычный 17 2 2 3 2 2 4" xfId="13296"/>
    <cellStyle name="Обычный 17 2 2 3 2 2 4 2" xfId="13297"/>
    <cellStyle name="Обычный 17 2 2 3 2 2 5" xfId="13298"/>
    <cellStyle name="Обычный 17 2 2 3 2 2 6" xfId="13299"/>
    <cellStyle name="Обычный 17 2 2 3 2 3" xfId="13300"/>
    <cellStyle name="Обычный 17 2 2 3 2 3 2" xfId="13301"/>
    <cellStyle name="Обычный 17 2 2 3 2 3 3" xfId="13302"/>
    <cellStyle name="Обычный 17 2 2 3 2 4" xfId="13303"/>
    <cellStyle name="Обычный 17 2 2 3 2 4 2" xfId="13304"/>
    <cellStyle name="Обычный 17 2 2 3 2 4 3" xfId="13305"/>
    <cellStyle name="Обычный 17 2 2 3 2 5" xfId="13306"/>
    <cellStyle name="Обычный 17 2 2 3 2 5 2" xfId="13307"/>
    <cellStyle name="Обычный 17 2 2 3 2 6" xfId="13308"/>
    <cellStyle name="Обычный 17 2 2 3 2 7" xfId="13309"/>
    <cellStyle name="Обычный 17 2 2 3 3" xfId="13310"/>
    <cellStyle name="Обычный 17 2 2 3 3 2" xfId="13311"/>
    <cellStyle name="Обычный 17 2 2 3 3 2 2" xfId="13312"/>
    <cellStyle name="Обычный 17 2 2 3 3 2 3" xfId="13313"/>
    <cellStyle name="Обычный 17 2 2 3 3 3" xfId="13314"/>
    <cellStyle name="Обычный 17 2 2 3 3 3 2" xfId="13315"/>
    <cellStyle name="Обычный 17 2 2 3 3 3 3" xfId="13316"/>
    <cellStyle name="Обычный 17 2 2 3 3 4" xfId="13317"/>
    <cellStyle name="Обычный 17 2 2 3 3 4 2" xfId="13318"/>
    <cellStyle name="Обычный 17 2 2 3 3 5" xfId="13319"/>
    <cellStyle name="Обычный 17 2 2 3 3 6" xfId="13320"/>
    <cellStyle name="Обычный 17 2 2 3 4" xfId="13321"/>
    <cellStyle name="Обычный 17 2 2 3 4 2" xfId="13322"/>
    <cellStyle name="Обычный 17 2 2 3 4 3" xfId="13323"/>
    <cellStyle name="Обычный 17 2 2 3 5" xfId="13324"/>
    <cellStyle name="Обычный 17 2 2 3 5 2" xfId="13325"/>
    <cellStyle name="Обычный 17 2 2 3 5 3" xfId="13326"/>
    <cellStyle name="Обычный 17 2 2 3 6" xfId="13327"/>
    <cellStyle name="Обычный 17 2 2 3 6 2" xfId="13328"/>
    <cellStyle name="Обычный 17 2 2 3 7" xfId="13329"/>
    <cellStyle name="Обычный 17 2 2 3 8" xfId="13330"/>
    <cellStyle name="Обычный 17 2 2 4" xfId="13331"/>
    <cellStyle name="Обычный 17 2 2 4 2" xfId="13332"/>
    <cellStyle name="Обычный 17 2 2 4 2 2" xfId="13333"/>
    <cellStyle name="Обычный 17 2 2 4 2 2 2" xfId="13334"/>
    <cellStyle name="Обычный 17 2 2 4 2 2 3" xfId="13335"/>
    <cellStyle name="Обычный 17 2 2 4 2 3" xfId="13336"/>
    <cellStyle name="Обычный 17 2 2 4 2 3 2" xfId="13337"/>
    <cellStyle name="Обычный 17 2 2 4 2 3 3" xfId="13338"/>
    <cellStyle name="Обычный 17 2 2 4 2 4" xfId="13339"/>
    <cellStyle name="Обычный 17 2 2 4 2 4 2" xfId="13340"/>
    <cellStyle name="Обычный 17 2 2 4 2 5" xfId="13341"/>
    <cellStyle name="Обычный 17 2 2 4 2 6" xfId="13342"/>
    <cellStyle name="Обычный 17 2 2 4 3" xfId="13343"/>
    <cellStyle name="Обычный 17 2 2 4 3 2" xfId="13344"/>
    <cellStyle name="Обычный 17 2 2 4 3 3" xfId="13345"/>
    <cellStyle name="Обычный 17 2 2 4 4" xfId="13346"/>
    <cellStyle name="Обычный 17 2 2 4 4 2" xfId="13347"/>
    <cellStyle name="Обычный 17 2 2 4 4 3" xfId="13348"/>
    <cellStyle name="Обычный 17 2 2 4 5" xfId="13349"/>
    <cellStyle name="Обычный 17 2 2 4 5 2" xfId="13350"/>
    <cellStyle name="Обычный 17 2 2 4 6" xfId="13351"/>
    <cellStyle name="Обычный 17 2 2 4 7" xfId="13352"/>
    <cellStyle name="Обычный 17 2 2 5" xfId="13353"/>
    <cellStyle name="Обычный 17 2 2 5 2" xfId="13354"/>
    <cellStyle name="Обычный 17 2 2 5 2 2" xfId="13355"/>
    <cellStyle name="Обычный 17 2 2 5 2 3" xfId="13356"/>
    <cellStyle name="Обычный 17 2 2 5 3" xfId="13357"/>
    <cellStyle name="Обычный 17 2 2 5 3 2" xfId="13358"/>
    <cellStyle name="Обычный 17 2 2 5 3 3" xfId="13359"/>
    <cellStyle name="Обычный 17 2 2 5 4" xfId="13360"/>
    <cellStyle name="Обычный 17 2 2 5 4 2" xfId="13361"/>
    <cellStyle name="Обычный 17 2 2 5 5" xfId="13362"/>
    <cellStyle name="Обычный 17 2 2 5 6" xfId="13363"/>
    <cellStyle name="Обычный 17 2 2 6" xfId="13364"/>
    <cellStyle name="Обычный 17 2 2 6 2" xfId="13365"/>
    <cellStyle name="Обычный 17 2 2 6 3" xfId="13366"/>
    <cellStyle name="Обычный 17 2 2 7" xfId="13367"/>
    <cellStyle name="Обычный 17 2 2 7 2" xfId="13368"/>
    <cellStyle name="Обычный 17 2 2 7 3" xfId="13369"/>
    <cellStyle name="Обычный 17 2 2 8" xfId="13370"/>
    <cellStyle name="Обычный 17 2 2 8 2" xfId="13371"/>
    <cellStyle name="Обычный 17 2 2 9" xfId="13372"/>
    <cellStyle name="Обычный 17 2 3" xfId="13373"/>
    <cellStyle name="Обычный 17 2 3 10" xfId="13374"/>
    <cellStyle name="Обычный 17 2 3 2" xfId="13375"/>
    <cellStyle name="Обычный 17 2 3 2 2" xfId="13376"/>
    <cellStyle name="Обычный 17 2 3 2 2 2" xfId="13377"/>
    <cellStyle name="Обычный 17 2 3 2 2 2 2" xfId="13378"/>
    <cellStyle name="Обычный 17 2 3 2 2 2 2 2" xfId="13379"/>
    <cellStyle name="Обычный 17 2 3 2 2 2 2 2 2" xfId="13380"/>
    <cellStyle name="Обычный 17 2 3 2 2 2 2 2 3" xfId="13381"/>
    <cellStyle name="Обычный 17 2 3 2 2 2 2 3" xfId="13382"/>
    <cellStyle name="Обычный 17 2 3 2 2 2 2 3 2" xfId="13383"/>
    <cellStyle name="Обычный 17 2 3 2 2 2 2 3 3" xfId="13384"/>
    <cellStyle name="Обычный 17 2 3 2 2 2 2 4" xfId="13385"/>
    <cellStyle name="Обычный 17 2 3 2 2 2 2 4 2" xfId="13386"/>
    <cellStyle name="Обычный 17 2 3 2 2 2 2 5" xfId="13387"/>
    <cellStyle name="Обычный 17 2 3 2 2 2 2 6" xfId="13388"/>
    <cellStyle name="Обычный 17 2 3 2 2 2 3" xfId="13389"/>
    <cellStyle name="Обычный 17 2 3 2 2 2 3 2" xfId="13390"/>
    <cellStyle name="Обычный 17 2 3 2 2 2 3 3" xfId="13391"/>
    <cellStyle name="Обычный 17 2 3 2 2 2 4" xfId="13392"/>
    <cellStyle name="Обычный 17 2 3 2 2 2 4 2" xfId="13393"/>
    <cellStyle name="Обычный 17 2 3 2 2 2 4 3" xfId="13394"/>
    <cellStyle name="Обычный 17 2 3 2 2 2 5" xfId="13395"/>
    <cellStyle name="Обычный 17 2 3 2 2 2 5 2" xfId="13396"/>
    <cellStyle name="Обычный 17 2 3 2 2 2 6" xfId="13397"/>
    <cellStyle name="Обычный 17 2 3 2 2 2 7" xfId="13398"/>
    <cellStyle name="Обычный 17 2 3 2 2 3" xfId="13399"/>
    <cellStyle name="Обычный 17 2 3 2 2 3 2" xfId="13400"/>
    <cellStyle name="Обычный 17 2 3 2 2 3 2 2" xfId="13401"/>
    <cellStyle name="Обычный 17 2 3 2 2 3 2 3" xfId="13402"/>
    <cellStyle name="Обычный 17 2 3 2 2 3 3" xfId="13403"/>
    <cellStyle name="Обычный 17 2 3 2 2 3 3 2" xfId="13404"/>
    <cellStyle name="Обычный 17 2 3 2 2 3 3 3" xfId="13405"/>
    <cellStyle name="Обычный 17 2 3 2 2 3 4" xfId="13406"/>
    <cellStyle name="Обычный 17 2 3 2 2 3 4 2" xfId="13407"/>
    <cellStyle name="Обычный 17 2 3 2 2 3 5" xfId="13408"/>
    <cellStyle name="Обычный 17 2 3 2 2 3 6" xfId="13409"/>
    <cellStyle name="Обычный 17 2 3 2 2 4" xfId="13410"/>
    <cellStyle name="Обычный 17 2 3 2 2 4 2" xfId="13411"/>
    <cellStyle name="Обычный 17 2 3 2 2 4 3" xfId="13412"/>
    <cellStyle name="Обычный 17 2 3 2 2 5" xfId="13413"/>
    <cellStyle name="Обычный 17 2 3 2 2 5 2" xfId="13414"/>
    <cellStyle name="Обычный 17 2 3 2 2 5 3" xfId="13415"/>
    <cellStyle name="Обычный 17 2 3 2 2 6" xfId="13416"/>
    <cellStyle name="Обычный 17 2 3 2 2 6 2" xfId="13417"/>
    <cellStyle name="Обычный 17 2 3 2 2 7" xfId="13418"/>
    <cellStyle name="Обычный 17 2 3 2 2 8" xfId="13419"/>
    <cellStyle name="Обычный 17 2 3 2 3" xfId="13420"/>
    <cellStyle name="Обычный 17 2 3 2 3 2" xfId="13421"/>
    <cellStyle name="Обычный 17 2 3 2 3 2 2" xfId="13422"/>
    <cellStyle name="Обычный 17 2 3 2 3 2 2 2" xfId="13423"/>
    <cellStyle name="Обычный 17 2 3 2 3 2 2 3" xfId="13424"/>
    <cellStyle name="Обычный 17 2 3 2 3 2 3" xfId="13425"/>
    <cellStyle name="Обычный 17 2 3 2 3 2 3 2" xfId="13426"/>
    <cellStyle name="Обычный 17 2 3 2 3 2 3 3" xfId="13427"/>
    <cellStyle name="Обычный 17 2 3 2 3 2 4" xfId="13428"/>
    <cellStyle name="Обычный 17 2 3 2 3 2 4 2" xfId="13429"/>
    <cellStyle name="Обычный 17 2 3 2 3 2 5" xfId="13430"/>
    <cellStyle name="Обычный 17 2 3 2 3 2 6" xfId="13431"/>
    <cellStyle name="Обычный 17 2 3 2 3 3" xfId="13432"/>
    <cellStyle name="Обычный 17 2 3 2 3 3 2" xfId="13433"/>
    <cellStyle name="Обычный 17 2 3 2 3 3 3" xfId="13434"/>
    <cellStyle name="Обычный 17 2 3 2 3 4" xfId="13435"/>
    <cellStyle name="Обычный 17 2 3 2 3 4 2" xfId="13436"/>
    <cellStyle name="Обычный 17 2 3 2 3 4 3" xfId="13437"/>
    <cellStyle name="Обычный 17 2 3 2 3 5" xfId="13438"/>
    <cellStyle name="Обычный 17 2 3 2 3 5 2" xfId="13439"/>
    <cellStyle name="Обычный 17 2 3 2 3 6" xfId="13440"/>
    <cellStyle name="Обычный 17 2 3 2 3 7" xfId="13441"/>
    <cellStyle name="Обычный 17 2 3 2 4" xfId="13442"/>
    <cellStyle name="Обычный 17 2 3 2 4 2" xfId="13443"/>
    <cellStyle name="Обычный 17 2 3 2 4 2 2" xfId="13444"/>
    <cellStyle name="Обычный 17 2 3 2 4 2 3" xfId="13445"/>
    <cellStyle name="Обычный 17 2 3 2 4 3" xfId="13446"/>
    <cellStyle name="Обычный 17 2 3 2 4 3 2" xfId="13447"/>
    <cellStyle name="Обычный 17 2 3 2 4 3 3" xfId="13448"/>
    <cellStyle name="Обычный 17 2 3 2 4 4" xfId="13449"/>
    <cellStyle name="Обычный 17 2 3 2 4 4 2" xfId="13450"/>
    <cellStyle name="Обычный 17 2 3 2 4 5" xfId="13451"/>
    <cellStyle name="Обычный 17 2 3 2 4 6" xfId="13452"/>
    <cellStyle name="Обычный 17 2 3 2 5" xfId="13453"/>
    <cellStyle name="Обычный 17 2 3 2 5 2" xfId="13454"/>
    <cellStyle name="Обычный 17 2 3 2 5 3" xfId="13455"/>
    <cellStyle name="Обычный 17 2 3 2 6" xfId="13456"/>
    <cellStyle name="Обычный 17 2 3 2 6 2" xfId="13457"/>
    <cellStyle name="Обычный 17 2 3 2 6 3" xfId="13458"/>
    <cellStyle name="Обычный 17 2 3 2 7" xfId="13459"/>
    <cellStyle name="Обычный 17 2 3 2 7 2" xfId="13460"/>
    <cellStyle name="Обычный 17 2 3 2 8" xfId="13461"/>
    <cellStyle name="Обычный 17 2 3 2 9" xfId="13462"/>
    <cellStyle name="Обычный 17 2 3 3" xfId="13463"/>
    <cellStyle name="Обычный 17 2 3 3 2" xfId="13464"/>
    <cellStyle name="Обычный 17 2 3 3 2 2" xfId="13465"/>
    <cellStyle name="Обычный 17 2 3 3 2 2 2" xfId="13466"/>
    <cellStyle name="Обычный 17 2 3 3 2 2 2 2" xfId="13467"/>
    <cellStyle name="Обычный 17 2 3 3 2 2 2 3" xfId="13468"/>
    <cellStyle name="Обычный 17 2 3 3 2 2 3" xfId="13469"/>
    <cellStyle name="Обычный 17 2 3 3 2 2 3 2" xfId="13470"/>
    <cellStyle name="Обычный 17 2 3 3 2 2 3 3" xfId="13471"/>
    <cellStyle name="Обычный 17 2 3 3 2 2 4" xfId="13472"/>
    <cellStyle name="Обычный 17 2 3 3 2 2 4 2" xfId="13473"/>
    <cellStyle name="Обычный 17 2 3 3 2 2 5" xfId="13474"/>
    <cellStyle name="Обычный 17 2 3 3 2 2 6" xfId="13475"/>
    <cellStyle name="Обычный 17 2 3 3 2 3" xfId="13476"/>
    <cellStyle name="Обычный 17 2 3 3 2 3 2" xfId="13477"/>
    <cellStyle name="Обычный 17 2 3 3 2 3 3" xfId="13478"/>
    <cellStyle name="Обычный 17 2 3 3 2 4" xfId="13479"/>
    <cellStyle name="Обычный 17 2 3 3 2 4 2" xfId="13480"/>
    <cellStyle name="Обычный 17 2 3 3 2 4 3" xfId="13481"/>
    <cellStyle name="Обычный 17 2 3 3 2 5" xfId="13482"/>
    <cellStyle name="Обычный 17 2 3 3 2 5 2" xfId="13483"/>
    <cellStyle name="Обычный 17 2 3 3 2 6" xfId="13484"/>
    <cellStyle name="Обычный 17 2 3 3 2 7" xfId="13485"/>
    <cellStyle name="Обычный 17 2 3 3 3" xfId="13486"/>
    <cellStyle name="Обычный 17 2 3 3 3 2" xfId="13487"/>
    <cellStyle name="Обычный 17 2 3 3 3 2 2" xfId="13488"/>
    <cellStyle name="Обычный 17 2 3 3 3 2 3" xfId="13489"/>
    <cellStyle name="Обычный 17 2 3 3 3 3" xfId="13490"/>
    <cellStyle name="Обычный 17 2 3 3 3 3 2" xfId="13491"/>
    <cellStyle name="Обычный 17 2 3 3 3 3 3" xfId="13492"/>
    <cellStyle name="Обычный 17 2 3 3 3 4" xfId="13493"/>
    <cellStyle name="Обычный 17 2 3 3 3 4 2" xfId="13494"/>
    <cellStyle name="Обычный 17 2 3 3 3 5" xfId="13495"/>
    <cellStyle name="Обычный 17 2 3 3 3 6" xfId="13496"/>
    <cellStyle name="Обычный 17 2 3 3 4" xfId="13497"/>
    <cellStyle name="Обычный 17 2 3 3 4 2" xfId="13498"/>
    <cellStyle name="Обычный 17 2 3 3 4 3" xfId="13499"/>
    <cellStyle name="Обычный 17 2 3 3 5" xfId="13500"/>
    <cellStyle name="Обычный 17 2 3 3 5 2" xfId="13501"/>
    <cellStyle name="Обычный 17 2 3 3 5 3" xfId="13502"/>
    <cellStyle name="Обычный 17 2 3 3 6" xfId="13503"/>
    <cellStyle name="Обычный 17 2 3 3 6 2" xfId="13504"/>
    <cellStyle name="Обычный 17 2 3 3 7" xfId="13505"/>
    <cellStyle name="Обычный 17 2 3 3 8" xfId="13506"/>
    <cellStyle name="Обычный 17 2 3 4" xfId="13507"/>
    <cellStyle name="Обычный 17 2 3 4 2" xfId="13508"/>
    <cellStyle name="Обычный 17 2 3 4 2 2" xfId="13509"/>
    <cellStyle name="Обычный 17 2 3 4 2 2 2" xfId="13510"/>
    <cellStyle name="Обычный 17 2 3 4 2 2 3" xfId="13511"/>
    <cellStyle name="Обычный 17 2 3 4 2 3" xfId="13512"/>
    <cellStyle name="Обычный 17 2 3 4 2 3 2" xfId="13513"/>
    <cellStyle name="Обычный 17 2 3 4 2 3 3" xfId="13514"/>
    <cellStyle name="Обычный 17 2 3 4 2 4" xfId="13515"/>
    <cellStyle name="Обычный 17 2 3 4 2 4 2" xfId="13516"/>
    <cellStyle name="Обычный 17 2 3 4 2 5" xfId="13517"/>
    <cellStyle name="Обычный 17 2 3 4 2 6" xfId="13518"/>
    <cellStyle name="Обычный 17 2 3 4 3" xfId="13519"/>
    <cellStyle name="Обычный 17 2 3 4 3 2" xfId="13520"/>
    <cellStyle name="Обычный 17 2 3 4 3 3" xfId="13521"/>
    <cellStyle name="Обычный 17 2 3 4 4" xfId="13522"/>
    <cellStyle name="Обычный 17 2 3 4 4 2" xfId="13523"/>
    <cellStyle name="Обычный 17 2 3 4 4 3" xfId="13524"/>
    <cellStyle name="Обычный 17 2 3 4 5" xfId="13525"/>
    <cellStyle name="Обычный 17 2 3 4 5 2" xfId="13526"/>
    <cellStyle name="Обычный 17 2 3 4 6" xfId="13527"/>
    <cellStyle name="Обычный 17 2 3 4 7" xfId="13528"/>
    <cellStyle name="Обычный 17 2 3 5" xfId="13529"/>
    <cellStyle name="Обычный 17 2 3 5 2" xfId="13530"/>
    <cellStyle name="Обычный 17 2 3 5 2 2" xfId="13531"/>
    <cellStyle name="Обычный 17 2 3 5 2 3" xfId="13532"/>
    <cellStyle name="Обычный 17 2 3 5 3" xfId="13533"/>
    <cellStyle name="Обычный 17 2 3 5 3 2" xfId="13534"/>
    <cellStyle name="Обычный 17 2 3 5 3 3" xfId="13535"/>
    <cellStyle name="Обычный 17 2 3 5 4" xfId="13536"/>
    <cellStyle name="Обычный 17 2 3 5 4 2" xfId="13537"/>
    <cellStyle name="Обычный 17 2 3 5 5" xfId="13538"/>
    <cellStyle name="Обычный 17 2 3 5 6" xfId="13539"/>
    <cellStyle name="Обычный 17 2 3 6" xfId="13540"/>
    <cellStyle name="Обычный 17 2 3 6 2" xfId="13541"/>
    <cellStyle name="Обычный 17 2 3 6 3" xfId="13542"/>
    <cellStyle name="Обычный 17 2 3 7" xfId="13543"/>
    <cellStyle name="Обычный 17 2 3 7 2" xfId="13544"/>
    <cellStyle name="Обычный 17 2 3 7 3" xfId="13545"/>
    <cellStyle name="Обычный 17 2 3 8" xfId="13546"/>
    <cellStyle name="Обычный 17 2 3 8 2" xfId="13547"/>
    <cellStyle name="Обычный 17 2 3 9" xfId="13548"/>
    <cellStyle name="Обычный 17 2 4" xfId="13549"/>
    <cellStyle name="Обычный 17 2 4 10" xfId="13550"/>
    <cellStyle name="Обычный 17 2 4 2" xfId="13551"/>
    <cellStyle name="Обычный 17 2 4 2 2" xfId="13552"/>
    <cellStyle name="Обычный 17 2 4 2 2 2" xfId="13553"/>
    <cellStyle name="Обычный 17 2 4 2 2 2 2" xfId="13554"/>
    <cellStyle name="Обычный 17 2 4 2 2 2 2 2" xfId="13555"/>
    <cellStyle name="Обычный 17 2 4 2 2 2 2 2 2" xfId="13556"/>
    <cellStyle name="Обычный 17 2 4 2 2 2 2 2 3" xfId="13557"/>
    <cellStyle name="Обычный 17 2 4 2 2 2 2 3" xfId="13558"/>
    <cellStyle name="Обычный 17 2 4 2 2 2 2 3 2" xfId="13559"/>
    <cellStyle name="Обычный 17 2 4 2 2 2 2 3 3" xfId="13560"/>
    <cellStyle name="Обычный 17 2 4 2 2 2 2 4" xfId="13561"/>
    <cellStyle name="Обычный 17 2 4 2 2 2 2 4 2" xfId="13562"/>
    <cellStyle name="Обычный 17 2 4 2 2 2 2 5" xfId="13563"/>
    <cellStyle name="Обычный 17 2 4 2 2 2 2 6" xfId="13564"/>
    <cellStyle name="Обычный 17 2 4 2 2 2 3" xfId="13565"/>
    <cellStyle name="Обычный 17 2 4 2 2 2 3 2" xfId="13566"/>
    <cellStyle name="Обычный 17 2 4 2 2 2 3 3" xfId="13567"/>
    <cellStyle name="Обычный 17 2 4 2 2 2 4" xfId="13568"/>
    <cellStyle name="Обычный 17 2 4 2 2 2 4 2" xfId="13569"/>
    <cellStyle name="Обычный 17 2 4 2 2 2 4 3" xfId="13570"/>
    <cellStyle name="Обычный 17 2 4 2 2 2 5" xfId="13571"/>
    <cellStyle name="Обычный 17 2 4 2 2 2 5 2" xfId="13572"/>
    <cellStyle name="Обычный 17 2 4 2 2 2 6" xfId="13573"/>
    <cellStyle name="Обычный 17 2 4 2 2 2 7" xfId="13574"/>
    <cellStyle name="Обычный 17 2 4 2 2 3" xfId="13575"/>
    <cellStyle name="Обычный 17 2 4 2 2 3 2" xfId="13576"/>
    <cellStyle name="Обычный 17 2 4 2 2 3 2 2" xfId="13577"/>
    <cellStyle name="Обычный 17 2 4 2 2 3 2 3" xfId="13578"/>
    <cellStyle name="Обычный 17 2 4 2 2 3 3" xfId="13579"/>
    <cellStyle name="Обычный 17 2 4 2 2 3 3 2" xfId="13580"/>
    <cellStyle name="Обычный 17 2 4 2 2 3 3 3" xfId="13581"/>
    <cellStyle name="Обычный 17 2 4 2 2 3 4" xfId="13582"/>
    <cellStyle name="Обычный 17 2 4 2 2 3 4 2" xfId="13583"/>
    <cellStyle name="Обычный 17 2 4 2 2 3 5" xfId="13584"/>
    <cellStyle name="Обычный 17 2 4 2 2 3 6" xfId="13585"/>
    <cellStyle name="Обычный 17 2 4 2 2 4" xfId="13586"/>
    <cellStyle name="Обычный 17 2 4 2 2 4 2" xfId="13587"/>
    <cellStyle name="Обычный 17 2 4 2 2 4 3" xfId="13588"/>
    <cellStyle name="Обычный 17 2 4 2 2 5" xfId="13589"/>
    <cellStyle name="Обычный 17 2 4 2 2 5 2" xfId="13590"/>
    <cellStyle name="Обычный 17 2 4 2 2 5 3" xfId="13591"/>
    <cellStyle name="Обычный 17 2 4 2 2 6" xfId="13592"/>
    <cellStyle name="Обычный 17 2 4 2 2 6 2" xfId="13593"/>
    <cellStyle name="Обычный 17 2 4 2 2 7" xfId="13594"/>
    <cellStyle name="Обычный 17 2 4 2 2 8" xfId="13595"/>
    <cellStyle name="Обычный 17 2 4 2 3" xfId="13596"/>
    <cellStyle name="Обычный 17 2 4 2 3 2" xfId="13597"/>
    <cellStyle name="Обычный 17 2 4 2 3 2 2" xfId="13598"/>
    <cellStyle name="Обычный 17 2 4 2 3 2 2 2" xfId="13599"/>
    <cellStyle name="Обычный 17 2 4 2 3 2 2 3" xfId="13600"/>
    <cellStyle name="Обычный 17 2 4 2 3 2 3" xfId="13601"/>
    <cellStyle name="Обычный 17 2 4 2 3 2 3 2" xfId="13602"/>
    <cellStyle name="Обычный 17 2 4 2 3 2 3 3" xfId="13603"/>
    <cellStyle name="Обычный 17 2 4 2 3 2 4" xfId="13604"/>
    <cellStyle name="Обычный 17 2 4 2 3 2 4 2" xfId="13605"/>
    <cellStyle name="Обычный 17 2 4 2 3 2 5" xfId="13606"/>
    <cellStyle name="Обычный 17 2 4 2 3 2 6" xfId="13607"/>
    <cellStyle name="Обычный 17 2 4 2 3 3" xfId="13608"/>
    <cellStyle name="Обычный 17 2 4 2 3 3 2" xfId="13609"/>
    <cellStyle name="Обычный 17 2 4 2 3 3 3" xfId="13610"/>
    <cellStyle name="Обычный 17 2 4 2 3 4" xfId="13611"/>
    <cellStyle name="Обычный 17 2 4 2 3 4 2" xfId="13612"/>
    <cellStyle name="Обычный 17 2 4 2 3 4 3" xfId="13613"/>
    <cellStyle name="Обычный 17 2 4 2 3 5" xfId="13614"/>
    <cellStyle name="Обычный 17 2 4 2 3 5 2" xfId="13615"/>
    <cellStyle name="Обычный 17 2 4 2 3 6" xfId="13616"/>
    <cellStyle name="Обычный 17 2 4 2 3 7" xfId="13617"/>
    <cellStyle name="Обычный 17 2 4 2 4" xfId="13618"/>
    <cellStyle name="Обычный 17 2 4 2 4 2" xfId="13619"/>
    <cellStyle name="Обычный 17 2 4 2 4 2 2" xfId="13620"/>
    <cellStyle name="Обычный 17 2 4 2 4 2 3" xfId="13621"/>
    <cellStyle name="Обычный 17 2 4 2 4 3" xfId="13622"/>
    <cellStyle name="Обычный 17 2 4 2 4 3 2" xfId="13623"/>
    <cellStyle name="Обычный 17 2 4 2 4 3 3" xfId="13624"/>
    <cellStyle name="Обычный 17 2 4 2 4 4" xfId="13625"/>
    <cellStyle name="Обычный 17 2 4 2 4 4 2" xfId="13626"/>
    <cellStyle name="Обычный 17 2 4 2 4 5" xfId="13627"/>
    <cellStyle name="Обычный 17 2 4 2 4 6" xfId="13628"/>
    <cellStyle name="Обычный 17 2 4 2 5" xfId="13629"/>
    <cellStyle name="Обычный 17 2 4 2 5 2" xfId="13630"/>
    <cellStyle name="Обычный 17 2 4 2 5 3" xfId="13631"/>
    <cellStyle name="Обычный 17 2 4 2 6" xfId="13632"/>
    <cellStyle name="Обычный 17 2 4 2 6 2" xfId="13633"/>
    <cellStyle name="Обычный 17 2 4 2 6 3" xfId="13634"/>
    <cellStyle name="Обычный 17 2 4 2 7" xfId="13635"/>
    <cellStyle name="Обычный 17 2 4 2 7 2" xfId="13636"/>
    <cellStyle name="Обычный 17 2 4 2 8" xfId="13637"/>
    <cellStyle name="Обычный 17 2 4 2 9" xfId="13638"/>
    <cellStyle name="Обычный 17 2 4 3" xfId="13639"/>
    <cellStyle name="Обычный 17 2 4 3 2" xfId="13640"/>
    <cellStyle name="Обычный 17 2 4 3 2 2" xfId="13641"/>
    <cellStyle name="Обычный 17 2 4 3 2 2 2" xfId="13642"/>
    <cellStyle name="Обычный 17 2 4 3 2 2 2 2" xfId="13643"/>
    <cellStyle name="Обычный 17 2 4 3 2 2 2 3" xfId="13644"/>
    <cellStyle name="Обычный 17 2 4 3 2 2 3" xfId="13645"/>
    <cellStyle name="Обычный 17 2 4 3 2 2 3 2" xfId="13646"/>
    <cellStyle name="Обычный 17 2 4 3 2 2 3 3" xfId="13647"/>
    <cellStyle name="Обычный 17 2 4 3 2 2 4" xfId="13648"/>
    <cellStyle name="Обычный 17 2 4 3 2 2 4 2" xfId="13649"/>
    <cellStyle name="Обычный 17 2 4 3 2 2 5" xfId="13650"/>
    <cellStyle name="Обычный 17 2 4 3 2 2 6" xfId="13651"/>
    <cellStyle name="Обычный 17 2 4 3 2 3" xfId="13652"/>
    <cellStyle name="Обычный 17 2 4 3 2 3 2" xfId="13653"/>
    <cellStyle name="Обычный 17 2 4 3 2 3 3" xfId="13654"/>
    <cellStyle name="Обычный 17 2 4 3 2 4" xfId="13655"/>
    <cellStyle name="Обычный 17 2 4 3 2 4 2" xfId="13656"/>
    <cellStyle name="Обычный 17 2 4 3 2 4 3" xfId="13657"/>
    <cellStyle name="Обычный 17 2 4 3 2 5" xfId="13658"/>
    <cellStyle name="Обычный 17 2 4 3 2 5 2" xfId="13659"/>
    <cellStyle name="Обычный 17 2 4 3 2 6" xfId="13660"/>
    <cellStyle name="Обычный 17 2 4 3 2 7" xfId="13661"/>
    <cellStyle name="Обычный 17 2 4 3 3" xfId="13662"/>
    <cellStyle name="Обычный 17 2 4 3 3 2" xfId="13663"/>
    <cellStyle name="Обычный 17 2 4 3 3 2 2" xfId="13664"/>
    <cellStyle name="Обычный 17 2 4 3 3 2 3" xfId="13665"/>
    <cellStyle name="Обычный 17 2 4 3 3 3" xfId="13666"/>
    <cellStyle name="Обычный 17 2 4 3 3 3 2" xfId="13667"/>
    <cellStyle name="Обычный 17 2 4 3 3 3 3" xfId="13668"/>
    <cellStyle name="Обычный 17 2 4 3 3 4" xfId="13669"/>
    <cellStyle name="Обычный 17 2 4 3 3 4 2" xfId="13670"/>
    <cellStyle name="Обычный 17 2 4 3 3 5" xfId="13671"/>
    <cellStyle name="Обычный 17 2 4 3 3 6" xfId="13672"/>
    <cellStyle name="Обычный 17 2 4 3 4" xfId="13673"/>
    <cellStyle name="Обычный 17 2 4 3 4 2" xfId="13674"/>
    <cellStyle name="Обычный 17 2 4 3 4 3" xfId="13675"/>
    <cellStyle name="Обычный 17 2 4 3 5" xfId="13676"/>
    <cellStyle name="Обычный 17 2 4 3 5 2" xfId="13677"/>
    <cellStyle name="Обычный 17 2 4 3 5 3" xfId="13678"/>
    <cellStyle name="Обычный 17 2 4 3 6" xfId="13679"/>
    <cellStyle name="Обычный 17 2 4 3 6 2" xfId="13680"/>
    <cellStyle name="Обычный 17 2 4 3 7" xfId="13681"/>
    <cellStyle name="Обычный 17 2 4 3 8" xfId="13682"/>
    <cellStyle name="Обычный 17 2 4 4" xfId="13683"/>
    <cellStyle name="Обычный 17 2 4 4 2" xfId="13684"/>
    <cellStyle name="Обычный 17 2 4 4 2 2" xfId="13685"/>
    <cellStyle name="Обычный 17 2 4 4 2 2 2" xfId="13686"/>
    <cellStyle name="Обычный 17 2 4 4 2 2 3" xfId="13687"/>
    <cellStyle name="Обычный 17 2 4 4 2 3" xfId="13688"/>
    <cellStyle name="Обычный 17 2 4 4 2 3 2" xfId="13689"/>
    <cellStyle name="Обычный 17 2 4 4 2 3 3" xfId="13690"/>
    <cellStyle name="Обычный 17 2 4 4 2 4" xfId="13691"/>
    <cellStyle name="Обычный 17 2 4 4 2 4 2" xfId="13692"/>
    <cellStyle name="Обычный 17 2 4 4 2 5" xfId="13693"/>
    <cellStyle name="Обычный 17 2 4 4 2 6" xfId="13694"/>
    <cellStyle name="Обычный 17 2 4 4 3" xfId="13695"/>
    <cellStyle name="Обычный 17 2 4 4 3 2" xfId="13696"/>
    <cellStyle name="Обычный 17 2 4 4 3 3" xfId="13697"/>
    <cellStyle name="Обычный 17 2 4 4 4" xfId="13698"/>
    <cellStyle name="Обычный 17 2 4 4 4 2" xfId="13699"/>
    <cellStyle name="Обычный 17 2 4 4 4 3" xfId="13700"/>
    <cellStyle name="Обычный 17 2 4 4 5" xfId="13701"/>
    <cellStyle name="Обычный 17 2 4 4 5 2" xfId="13702"/>
    <cellStyle name="Обычный 17 2 4 4 6" xfId="13703"/>
    <cellStyle name="Обычный 17 2 4 4 7" xfId="13704"/>
    <cellStyle name="Обычный 17 2 4 5" xfId="13705"/>
    <cellStyle name="Обычный 17 2 4 5 2" xfId="13706"/>
    <cellStyle name="Обычный 17 2 4 5 2 2" xfId="13707"/>
    <cellStyle name="Обычный 17 2 4 5 2 3" xfId="13708"/>
    <cellStyle name="Обычный 17 2 4 5 3" xfId="13709"/>
    <cellStyle name="Обычный 17 2 4 5 3 2" xfId="13710"/>
    <cellStyle name="Обычный 17 2 4 5 3 3" xfId="13711"/>
    <cellStyle name="Обычный 17 2 4 5 4" xfId="13712"/>
    <cellStyle name="Обычный 17 2 4 5 4 2" xfId="13713"/>
    <cellStyle name="Обычный 17 2 4 5 5" xfId="13714"/>
    <cellStyle name="Обычный 17 2 4 5 6" xfId="13715"/>
    <cellStyle name="Обычный 17 2 4 6" xfId="13716"/>
    <cellStyle name="Обычный 17 2 4 6 2" xfId="13717"/>
    <cellStyle name="Обычный 17 2 4 6 3" xfId="13718"/>
    <cellStyle name="Обычный 17 2 4 7" xfId="13719"/>
    <cellStyle name="Обычный 17 2 4 7 2" xfId="13720"/>
    <cellStyle name="Обычный 17 2 4 7 3" xfId="13721"/>
    <cellStyle name="Обычный 17 2 4 8" xfId="13722"/>
    <cellStyle name="Обычный 17 2 4 8 2" xfId="13723"/>
    <cellStyle name="Обычный 17 2 4 9" xfId="13724"/>
    <cellStyle name="Обычный 17 2 5" xfId="13725"/>
    <cellStyle name="Обычный 17 2 5 2" xfId="13726"/>
    <cellStyle name="Обычный 17 2 5 2 2" xfId="13727"/>
    <cellStyle name="Обычный 17 2 5 2 2 2" xfId="13728"/>
    <cellStyle name="Обычный 17 2 5 2 2 2 2" xfId="13729"/>
    <cellStyle name="Обычный 17 2 5 2 2 2 2 2" xfId="13730"/>
    <cellStyle name="Обычный 17 2 5 2 2 2 2 3" xfId="13731"/>
    <cellStyle name="Обычный 17 2 5 2 2 2 3" xfId="13732"/>
    <cellStyle name="Обычный 17 2 5 2 2 2 3 2" xfId="13733"/>
    <cellStyle name="Обычный 17 2 5 2 2 2 3 3" xfId="13734"/>
    <cellStyle name="Обычный 17 2 5 2 2 2 4" xfId="13735"/>
    <cellStyle name="Обычный 17 2 5 2 2 2 4 2" xfId="13736"/>
    <cellStyle name="Обычный 17 2 5 2 2 2 5" xfId="13737"/>
    <cellStyle name="Обычный 17 2 5 2 2 2 6" xfId="13738"/>
    <cellStyle name="Обычный 17 2 5 2 2 3" xfId="13739"/>
    <cellStyle name="Обычный 17 2 5 2 2 3 2" xfId="13740"/>
    <cellStyle name="Обычный 17 2 5 2 2 3 3" xfId="13741"/>
    <cellStyle name="Обычный 17 2 5 2 2 4" xfId="13742"/>
    <cellStyle name="Обычный 17 2 5 2 2 4 2" xfId="13743"/>
    <cellStyle name="Обычный 17 2 5 2 2 4 3" xfId="13744"/>
    <cellStyle name="Обычный 17 2 5 2 2 5" xfId="13745"/>
    <cellStyle name="Обычный 17 2 5 2 2 5 2" xfId="13746"/>
    <cellStyle name="Обычный 17 2 5 2 2 6" xfId="13747"/>
    <cellStyle name="Обычный 17 2 5 2 2 7" xfId="13748"/>
    <cellStyle name="Обычный 17 2 5 2 3" xfId="13749"/>
    <cellStyle name="Обычный 17 2 5 2 3 2" xfId="13750"/>
    <cellStyle name="Обычный 17 2 5 2 3 2 2" xfId="13751"/>
    <cellStyle name="Обычный 17 2 5 2 3 2 3" xfId="13752"/>
    <cellStyle name="Обычный 17 2 5 2 3 3" xfId="13753"/>
    <cellStyle name="Обычный 17 2 5 2 3 3 2" xfId="13754"/>
    <cellStyle name="Обычный 17 2 5 2 3 3 3" xfId="13755"/>
    <cellStyle name="Обычный 17 2 5 2 3 4" xfId="13756"/>
    <cellStyle name="Обычный 17 2 5 2 3 4 2" xfId="13757"/>
    <cellStyle name="Обычный 17 2 5 2 3 5" xfId="13758"/>
    <cellStyle name="Обычный 17 2 5 2 3 6" xfId="13759"/>
    <cellStyle name="Обычный 17 2 5 2 4" xfId="13760"/>
    <cellStyle name="Обычный 17 2 5 2 4 2" xfId="13761"/>
    <cellStyle name="Обычный 17 2 5 2 4 3" xfId="13762"/>
    <cellStyle name="Обычный 17 2 5 2 5" xfId="13763"/>
    <cellStyle name="Обычный 17 2 5 2 5 2" xfId="13764"/>
    <cellStyle name="Обычный 17 2 5 2 5 3" xfId="13765"/>
    <cellStyle name="Обычный 17 2 5 2 6" xfId="13766"/>
    <cellStyle name="Обычный 17 2 5 2 6 2" xfId="13767"/>
    <cellStyle name="Обычный 17 2 5 2 7" xfId="13768"/>
    <cellStyle name="Обычный 17 2 5 2 8" xfId="13769"/>
    <cellStyle name="Обычный 17 2 5 3" xfId="13770"/>
    <cellStyle name="Обычный 17 2 5 3 2" xfId="13771"/>
    <cellStyle name="Обычный 17 2 5 3 2 2" xfId="13772"/>
    <cellStyle name="Обычный 17 2 5 3 2 2 2" xfId="13773"/>
    <cellStyle name="Обычный 17 2 5 3 2 2 3" xfId="13774"/>
    <cellStyle name="Обычный 17 2 5 3 2 3" xfId="13775"/>
    <cellStyle name="Обычный 17 2 5 3 2 3 2" xfId="13776"/>
    <cellStyle name="Обычный 17 2 5 3 2 3 3" xfId="13777"/>
    <cellStyle name="Обычный 17 2 5 3 2 4" xfId="13778"/>
    <cellStyle name="Обычный 17 2 5 3 2 4 2" xfId="13779"/>
    <cellStyle name="Обычный 17 2 5 3 2 5" xfId="13780"/>
    <cellStyle name="Обычный 17 2 5 3 2 6" xfId="13781"/>
    <cellStyle name="Обычный 17 2 5 3 3" xfId="13782"/>
    <cellStyle name="Обычный 17 2 5 3 3 2" xfId="13783"/>
    <cellStyle name="Обычный 17 2 5 3 3 3" xfId="13784"/>
    <cellStyle name="Обычный 17 2 5 3 4" xfId="13785"/>
    <cellStyle name="Обычный 17 2 5 3 4 2" xfId="13786"/>
    <cellStyle name="Обычный 17 2 5 3 4 3" xfId="13787"/>
    <cellStyle name="Обычный 17 2 5 3 5" xfId="13788"/>
    <cellStyle name="Обычный 17 2 5 3 5 2" xfId="13789"/>
    <cellStyle name="Обычный 17 2 5 3 6" xfId="13790"/>
    <cellStyle name="Обычный 17 2 5 3 7" xfId="13791"/>
    <cellStyle name="Обычный 17 2 5 4" xfId="13792"/>
    <cellStyle name="Обычный 17 2 5 4 2" xfId="13793"/>
    <cellStyle name="Обычный 17 2 5 4 2 2" xfId="13794"/>
    <cellStyle name="Обычный 17 2 5 4 2 3" xfId="13795"/>
    <cellStyle name="Обычный 17 2 5 4 3" xfId="13796"/>
    <cellStyle name="Обычный 17 2 5 4 3 2" xfId="13797"/>
    <cellStyle name="Обычный 17 2 5 4 3 3" xfId="13798"/>
    <cellStyle name="Обычный 17 2 5 4 4" xfId="13799"/>
    <cellStyle name="Обычный 17 2 5 4 4 2" xfId="13800"/>
    <cellStyle name="Обычный 17 2 5 4 5" xfId="13801"/>
    <cellStyle name="Обычный 17 2 5 4 6" xfId="13802"/>
    <cellStyle name="Обычный 17 2 5 5" xfId="13803"/>
    <cellStyle name="Обычный 17 2 5 5 2" xfId="13804"/>
    <cellStyle name="Обычный 17 2 5 5 3" xfId="13805"/>
    <cellStyle name="Обычный 17 2 5 6" xfId="13806"/>
    <cellStyle name="Обычный 17 2 5 6 2" xfId="13807"/>
    <cellStyle name="Обычный 17 2 5 6 3" xfId="13808"/>
    <cellStyle name="Обычный 17 2 5 7" xfId="13809"/>
    <cellStyle name="Обычный 17 2 5 7 2" xfId="13810"/>
    <cellStyle name="Обычный 17 2 5 8" xfId="13811"/>
    <cellStyle name="Обычный 17 2 5 9" xfId="13812"/>
    <cellStyle name="Обычный 17 2 6" xfId="13813"/>
    <cellStyle name="Обычный 17 2 6 2" xfId="13814"/>
    <cellStyle name="Обычный 17 2 6 2 2" xfId="13815"/>
    <cellStyle name="Обычный 17 2 6 2 2 2" xfId="13816"/>
    <cellStyle name="Обычный 17 2 6 2 2 2 2" xfId="13817"/>
    <cellStyle name="Обычный 17 2 6 2 2 2 3" xfId="13818"/>
    <cellStyle name="Обычный 17 2 6 2 2 3" xfId="13819"/>
    <cellStyle name="Обычный 17 2 6 2 2 3 2" xfId="13820"/>
    <cellStyle name="Обычный 17 2 6 2 2 3 3" xfId="13821"/>
    <cellStyle name="Обычный 17 2 6 2 2 4" xfId="13822"/>
    <cellStyle name="Обычный 17 2 6 2 2 4 2" xfId="13823"/>
    <cellStyle name="Обычный 17 2 6 2 2 5" xfId="13824"/>
    <cellStyle name="Обычный 17 2 6 2 2 6" xfId="13825"/>
    <cellStyle name="Обычный 17 2 6 2 3" xfId="13826"/>
    <cellStyle name="Обычный 17 2 6 2 3 2" xfId="13827"/>
    <cellStyle name="Обычный 17 2 6 2 3 3" xfId="13828"/>
    <cellStyle name="Обычный 17 2 6 2 4" xfId="13829"/>
    <cellStyle name="Обычный 17 2 6 2 4 2" xfId="13830"/>
    <cellStyle name="Обычный 17 2 6 2 4 3" xfId="13831"/>
    <cellStyle name="Обычный 17 2 6 2 5" xfId="13832"/>
    <cellStyle name="Обычный 17 2 6 2 5 2" xfId="13833"/>
    <cellStyle name="Обычный 17 2 6 2 6" xfId="13834"/>
    <cellStyle name="Обычный 17 2 6 2 7" xfId="13835"/>
    <cellStyle name="Обычный 17 2 6 3" xfId="13836"/>
    <cellStyle name="Обычный 17 2 6 3 2" xfId="13837"/>
    <cellStyle name="Обычный 17 2 6 3 2 2" xfId="13838"/>
    <cellStyle name="Обычный 17 2 6 3 2 3" xfId="13839"/>
    <cellStyle name="Обычный 17 2 6 3 3" xfId="13840"/>
    <cellStyle name="Обычный 17 2 6 3 3 2" xfId="13841"/>
    <cellStyle name="Обычный 17 2 6 3 3 3" xfId="13842"/>
    <cellStyle name="Обычный 17 2 6 3 4" xfId="13843"/>
    <cellStyle name="Обычный 17 2 6 3 4 2" xfId="13844"/>
    <cellStyle name="Обычный 17 2 6 3 5" xfId="13845"/>
    <cellStyle name="Обычный 17 2 6 3 6" xfId="13846"/>
    <cellStyle name="Обычный 17 2 6 4" xfId="13847"/>
    <cellStyle name="Обычный 17 2 6 4 2" xfId="13848"/>
    <cellStyle name="Обычный 17 2 6 4 3" xfId="13849"/>
    <cellStyle name="Обычный 17 2 6 5" xfId="13850"/>
    <cellStyle name="Обычный 17 2 6 5 2" xfId="13851"/>
    <cellStyle name="Обычный 17 2 6 5 3" xfId="13852"/>
    <cellStyle name="Обычный 17 2 6 6" xfId="13853"/>
    <cellStyle name="Обычный 17 2 6 6 2" xfId="13854"/>
    <cellStyle name="Обычный 17 2 6 7" xfId="13855"/>
    <cellStyle name="Обычный 17 2 6 8" xfId="13856"/>
    <cellStyle name="Обычный 17 2 7" xfId="13857"/>
    <cellStyle name="Обычный 17 2 7 2" xfId="13858"/>
    <cellStyle name="Обычный 17 2 7 2 2" xfId="13859"/>
    <cellStyle name="Обычный 17 2 7 2 2 2" xfId="13860"/>
    <cellStyle name="Обычный 17 2 7 2 2 3" xfId="13861"/>
    <cellStyle name="Обычный 17 2 7 2 3" xfId="13862"/>
    <cellStyle name="Обычный 17 2 7 2 3 2" xfId="13863"/>
    <cellStyle name="Обычный 17 2 7 2 3 3" xfId="13864"/>
    <cellStyle name="Обычный 17 2 7 2 4" xfId="13865"/>
    <cellStyle name="Обычный 17 2 7 2 4 2" xfId="13866"/>
    <cellStyle name="Обычный 17 2 7 2 5" xfId="13867"/>
    <cellStyle name="Обычный 17 2 7 2 6" xfId="13868"/>
    <cellStyle name="Обычный 17 2 7 3" xfId="13869"/>
    <cellStyle name="Обычный 17 2 7 3 2" xfId="13870"/>
    <cellStyle name="Обычный 17 2 7 3 3" xfId="13871"/>
    <cellStyle name="Обычный 17 2 7 4" xfId="13872"/>
    <cellStyle name="Обычный 17 2 7 4 2" xfId="13873"/>
    <cellStyle name="Обычный 17 2 7 4 3" xfId="13874"/>
    <cellStyle name="Обычный 17 2 7 5" xfId="13875"/>
    <cellStyle name="Обычный 17 2 7 5 2" xfId="13876"/>
    <cellStyle name="Обычный 17 2 7 6" xfId="13877"/>
    <cellStyle name="Обычный 17 2 7 7" xfId="13878"/>
    <cellStyle name="Обычный 17 2 8" xfId="13879"/>
    <cellStyle name="Обычный 17 2 8 2" xfId="13880"/>
    <cellStyle name="Обычный 17 2 8 2 2" xfId="13881"/>
    <cellStyle name="Обычный 17 2 8 2 3" xfId="13882"/>
    <cellStyle name="Обычный 17 2 8 3" xfId="13883"/>
    <cellStyle name="Обычный 17 2 8 3 2" xfId="13884"/>
    <cellStyle name="Обычный 17 2 8 3 3" xfId="13885"/>
    <cellStyle name="Обычный 17 2 8 4" xfId="13886"/>
    <cellStyle name="Обычный 17 2 8 4 2" xfId="13887"/>
    <cellStyle name="Обычный 17 2 8 5" xfId="13888"/>
    <cellStyle name="Обычный 17 2 8 6" xfId="13889"/>
    <cellStyle name="Обычный 17 2 9" xfId="13890"/>
    <cellStyle name="Обычный 17 2 9 2" xfId="13891"/>
    <cellStyle name="Обычный 17 2 9 3" xfId="13892"/>
    <cellStyle name="Обычный 17 3" xfId="13893"/>
    <cellStyle name="Обычный 17 3 10" xfId="13894"/>
    <cellStyle name="Обычный 17 3 2" xfId="13895"/>
    <cellStyle name="Обычный 17 3 2 2" xfId="13896"/>
    <cellStyle name="Обычный 17 3 2 2 2" xfId="13897"/>
    <cellStyle name="Обычный 17 3 2 2 2 2" xfId="13898"/>
    <cellStyle name="Обычный 17 3 2 2 2 2 2" xfId="13899"/>
    <cellStyle name="Обычный 17 3 2 2 2 2 2 2" xfId="13900"/>
    <cellStyle name="Обычный 17 3 2 2 2 2 2 3" xfId="13901"/>
    <cellStyle name="Обычный 17 3 2 2 2 2 3" xfId="13902"/>
    <cellStyle name="Обычный 17 3 2 2 2 2 3 2" xfId="13903"/>
    <cellStyle name="Обычный 17 3 2 2 2 2 3 3" xfId="13904"/>
    <cellStyle name="Обычный 17 3 2 2 2 2 4" xfId="13905"/>
    <cellStyle name="Обычный 17 3 2 2 2 2 4 2" xfId="13906"/>
    <cellStyle name="Обычный 17 3 2 2 2 2 5" xfId="13907"/>
    <cellStyle name="Обычный 17 3 2 2 2 2 6" xfId="13908"/>
    <cellStyle name="Обычный 17 3 2 2 2 3" xfId="13909"/>
    <cellStyle name="Обычный 17 3 2 2 2 3 2" xfId="13910"/>
    <cellStyle name="Обычный 17 3 2 2 2 3 3" xfId="13911"/>
    <cellStyle name="Обычный 17 3 2 2 2 4" xfId="13912"/>
    <cellStyle name="Обычный 17 3 2 2 2 4 2" xfId="13913"/>
    <cellStyle name="Обычный 17 3 2 2 2 4 3" xfId="13914"/>
    <cellStyle name="Обычный 17 3 2 2 2 5" xfId="13915"/>
    <cellStyle name="Обычный 17 3 2 2 2 5 2" xfId="13916"/>
    <cellStyle name="Обычный 17 3 2 2 2 6" xfId="13917"/>
    <cellStyle name="Обычный 17 3 2 2 2 7" xfId="13918"/>
    <cellStyle name="Обычный 17 3 2 2 3" xfId="13919"/>
    <cellStyle name="Обычный 17 3 2 2 3 2" xfId="13920"/>
    <cellStyle name="Обычный 17 3 2 2 3 2 2" xfId="13921"/>
    <cellStyle name="Обычный 17 3 2 2 3 2 3" xfId="13922"/>
    <cellStyle name="Обычный 17 3 2 2 3 3" xfId="13923"/>
    <cellStyle name="Обычный 17 3 2 2 3 3 2" xfId="13924"/>
    <cellStyle name="Обычный 17 3 2 2 3 3 3" xfId="13925"/>
    <cellStyle name="Обычный 17 3 2 2 3 4" xfId="13926"/>
    <cellStyle name="Обычный 17 3 2 2 3 4 2" xfId="13927"/>
    <cellStyle name="Обычный 17 3 2 2 3 5" xfId="13928"/>
    <cellStyle name="Обычный 17 3 2 2 3 6" xfId="13929"/>
    <cellStyle name="Обычный 17 3 2 2 4" xfId="13930"/>
    <cellStyle name="Обычный 17 3 2 2 4 2" xfId="13931"/>
    <cellStyle name="Обычный 17 3 2 2 4 3" xfId="13932"/>
    <cellStyle name="Обычный 17 3 2 2 5" xfId="13933"/>
    <cellStyle name="Обычный 17 3 2 2 5 2" xfId="13934"/>
    <cellStyle name="Обычный 17 3 2 2 5 3" xfId="13935"/>
    <cellStyle name="Обычный 17 3 2 2 6" xfId="13936"/>
    <cellStyle name="Обычный 17 3 2 2 6 2" xfId="13937"/>
    <cellStyle name="Обычный 17 3 2 2 7" xfId="13938"/>
    <cellStyle name="Обычный 17 3 2 2 8" xfId="13939"/>
    <cellStyle name="Обычный 17 3 2 3" xfId="13940"/>
    <cellStyle name="Обычный 17 3 2 3 2" xfId="13941"/>
    <cellStyle name="Обычный 17 3 2 3 2 2" xfId="13942"/>
    <cellStyle name="Обычный 17 3 2 3 2 2 2" xfId="13943"/>
    <cellStyle name="Обычный 17 3 2 3 2 2 3" xfId="13944"/>
    <cellStyle name="Обычный 17 3 2 3 2 3" xfId="13945"/>
    <cellStyle name="Обычный 17 3 2 3 2 3 2" xfId="13946"/>
    <cellStyle name="Обычный 17 3 2 3 2 3 3" xfId="13947"/>
    <cellStyle name="Обычный 17 3 2 3 2 4" xfId="13948"/>
    <cellStyle name="Обычный 17 3 2 3 2 4 2" xfId="13949"/>
    <cellStyle name="Обычный 17 3 2 3 2 5" xfId="13950"/>
    <cellStyle name="Обычный 17 3 2 3 2 6" xfId="13951"/>
    <cellStyle name="Обычный 17 3 2 3 3" xfId="13952"/>
    <cellStyle name="Обычный 17 3 2 3 3 2" xfId="13953"/>
    <cellStyle name="Обычный 17 3 2 3 3 3" xfId="13954"/>
    <cellStyle name="Обычный 17 3 2 3 4" xfId="13955"/>
    <cellStyle name="Обычный 17 3 2 3 4 2" xfId="13956"/>
    <cellStyle name="Обычный 17 3 2 3 4 3" xfId="13957"/>
    <cellStyle name="Обычный 17 3 2 3 5" xfId="13958"/>
    <cellStyle name="Обычный 17 3 2 3 5 2" xfId="13959"/>
    <cellStyle name="Обычный 17 3 2 3 6" xfId="13960"/>
    <cellStyle name="Обычный 17 3 2 3 7" xfId="13961"/>
    <cellStyle name="Обычный 17 3 2 4" xfId="13962"/>
    <cellStyle name="Обычный 17 3 2 4 2" xfId="13963"/>
    <cellStyle name="Обычный 17 3 2 4 2 2" xfId="13964"/>
    <cellStyle name="Обычный 17 3 2 4 2 3" xfId="13965"/>
    <cellStyle name="Обычный 17 3 2 4 3" xfId="13966"/>
    <cellStyle name="Обычный 17 3 2 4 3 2" xfId="13967"/>
    <cellStyle name="Обычный 17 3 2 4 3 3" xfId="13968"/>
    <cellStyle name="Обычный 17 3 2 4 4" xfId="13969"/>
    <cellStyle name="Обычный 17 3 2 4 4 2" xfId="13970"/>
    <cellStyle name="Обычный 17 3 2 4 5" xfId="13971"/>
    <cellStyle name="Обычный 17 3 2 4 6" xfId="13972"/>
    <cellStyle name="Обычный 17 3 2 5" xfId="13973"/>
    <cellStyle name="Обычный 17 3 2 5 2" xfId="13974"/>
    <cellStyle name="Обычный 17 3 2 5 3" xfId="13975"/>
    <cellStyle name="Обычный 17 3 2 6" xfId="13976"/>
    <cellStyle name="Обычный 17 3 2 6 2" xfId="13977"/>
    <cellStyle name="Обычный 17 3 2 6 3" xfId="13978"/>
    <cellStyle name="Обычный 17 3 2 7" xfId="13979"/>
    <cellStyle name="Обычный 17 3 2 7 2" xfId="13980"/>
    <cellStyle name="Обычный 17 3 2 8" xfId="13981"/>
    <cellStyle name="Обычный 17 3 2 9" xfId="13982"/>
    <cellStyle name="Обычный 17 3 3" xfId="13983"/>
    <cellStyle name="Обычный 17 3 3 2" xfId="13984"/>
    <cellStyle name="Обычный 17 3 3 2 2" xfId="13985"/>
    <cellStyle name="Обычный 17 3 3 2 2 2" xfId="13986"/>
    <cellStyle name="Обычный 17 3 3 2 2 2 2" xfId="13987"/>
    <cellStyle name="Обычный 17 3 3 2 2 2 3" xfId="13988"/>
    <cellStyle name="Обычный 17 3 3 2 2 3" xfId="13989"/>
    <cellStyle name="Обычный 17 3 3 2 2 3 2" xfId="13990"/>
    <cellStyle name="Обычный 17 3 3 2 2 3 3" xfId="13991"/>
    <cellStyle name="Обычный 17 3 3 2 2 4" xfId="13992"/>
    <cellStyle name="Обычный 17 3 3 2 2 4 2" xfId="13993"/>
    <cellStyle name="Обычный 17 3 3 2 2 5" xfId="13994"/>
    <cellStyle name="Обычный 17 3 3 2 2 6" xfId="13995"/>
    <cellStyle name="Обычный 17 3 3 2 3" xfId="13996"/>
    <cellStyle name="Обычный 17 3 3 2 3 2" xfId="13997"/>
    <cellStyle name="Обычный 17 3 3 2 3 3" xfId="13998"/>
    <cellStyle name="Обычный 17 3 3 2 4" xfId="13999"/>
    <cellStyle name="Обычный 17 3 3 2 4 2" xfId="14000"/>
    <cellStyle name="Обычный 17 3 3 2 4 3" xfId="14001"/>
    <cellStyle name="Обычный 17 3 3 2 5" xfId="14002"/>
    <cellStyle name="Обычный 17 3 3 2 5 2" xfId="14003"/>
    <cellStyle name="Обычный 17 3 3 2 6" xfId="14004"/>
    <cellStyle name="Обычный 17 3 3 2 7" xfId="14005"/>
    <cellStyle name="Обычный 17 3 3 3" xfId="14006"/>
    <cellStyle name="Обычный 17 3 3 3 2" xfId="14007"/>
    <cellStyle name="Обычный 17 3 3 3 2 2" xfId="14008"/>
    <cellStyle name="Обычный 17 3 3 3 2 3" xfId="14009"/>
    <cellStyle name="Обычный 17 3 3 3 3" xfId="14010"/>
    <cellStyle name="Обычный 17 3 3 3 3 2" xfId="14011"/>
    <cellStyle name="Обычный 17 3 3 3 3 3" xfId="14012"/>
    <cellStyle name="Обычный 17 3 3 3 4" xfId="14013"/>
    <cellStyle name="Обычный 17 3 3 3 4 2" xfId="14014"/>
    <cellStyle name="Обычный 17 3 3 3 5" xfId="14015"/>
    <cellStyle name="Обычный 17 3 3 3 6" xfId="14016"/>
    <cellStyle name="Обычный 17 3 3 4" xfId="14017"/>
    <cellStyle name="Обычный 17 3 3 4 2" xfId="14018"/>
    <cellStyle name="Обычный 17 3 3 4 3" xfId="14019"/>
    <cellStyle name="Обычный 17 3 3 5" xfId="14020"/>
    <cellStyle name="Обычный 17 3 3 5 2" xfId="14021"/>
    <cellStyle name="Обычный 17 3 3 5 3" xfId="14022"/>
    <cellStyle name="Обычный 17 3 3 6" xfId="14023"/>
    <cellStyle name="Обычный 17 3 3 6 2" xfId="14024"/>
    <cellStyle name="Обычный 17 3 3 7" xfId="14025"/>
    <cellStyle name="Обычный 17 3 3 8" xfId="14026"/>
    <cellStyle name="Обычный 17 3 4" xfId="14027"/>
    <cellStyle name="Обычный 17 3 4 2" xfId="14028"/>
    <cellStyle name="Обычный 17 3 4 2 2" xfId="14029"/>
    <cellStyle name="Обычный 17 3 4 2 2 2" xfId="14030"/>
    <cellStyle name="Обычный 17 3 4 2 2 3" xfId="14031"/>
    <cellStyle name="Обычный 17 3 4 2 3" xfId="14032"/>
    <cellStyle name="Обычный 17 3 4 2 3 2" xfId="14033"/>
    <cellStyle name="Обычный 17 3 4 2 3 3" xfId="14034"/>
    <cellStyle name="Обычный 17 3 4 2 4" xfId="14035"/>
    <cellStyle name="Обычный 17 3 4 2 4 2" xfId="14036"/>
    <cellStyle name="Обычный 17 3 4 2 5" xfId="14037"/>
    <cellStyle name="Обычный 17 3 4 2 6" xfId="14038"/>
    <cellStyle name="Обычный 17 3 4 3" xfId="14039"/>
    <cellStyle name="Обычный 17 3 4 3 2" xfId="14040"/>
    <cellStyle name="Обычный 17 3 4 3 3" xfId="14041"/>
    <cellStyle name="Обычный 17 3 4 4" xfId="14042"/>
    <cellStyle name="Обычный 17 3 4 4 2" xfId="14043"/>
    <cellStyle name="Обычный 17 3 4 4 3" xfId="14044"/>
    <cellStyle name="Обычный 17 3 4 5" xfId="14045"/>
    <cellStyle name="Обычный 17 3 4 5 2" xfId="14046"/>
    <cellStyle name="Обычный 17 3 4 6" xfId="14047"/>
    <cellStyle name="Обычный 17 3 4 7" xfId="14048"/>
    <cellStyle name="Обычный 17 3 5" xfId="14049"/>
    <cellStyle name="Обычный 17 3 5 2" xfId="14050"/>
    <cellStyle name="Обычный 17 3 5 2 2" xfId="14051"/>
    <cellStyle name="Обычный 17 3 5 2 3" xfId="14052"/>
    <cellStyle name="Обычный 17 3 5 3" xfId="14053"/>
    <cellStyle name="Обычный 17 3 5 3 2" xfId="14054"/>
    <cellStyle name="Обычный 17 3 5 3 3" xfId="14055"/>
    <cellStyle name="Обычный 17 3 5 4" xfId="14056"/>
    <cellStyle name="Обычный 17 3 5 4 2" xfId="14057"/>
    <cellStyle name="Обычный 17 3 5 5" xfId="14058"/>
    <cellStyle name="Обычный 17 3 5 6" xfId="14059"/>
    <cellStyle name="Обычный 17 3 6" xfId="14060"/>
    <cellStyle name="Обычный 17 3 6 2" xfId="14061"/>
    <cellStyle name="Обычный 17 3 6 3" xfId="14062"/>
    <cellStyle name="Обычный 17 3 7" xfId="14063"/>
    <cellStyle name="Обычный 17 3 7 2" xfId="14064"/>
    <cellStyle name="Обычный 17 3 7 3" xfId="14065"/>
    <cellStyle name="Обычный 17 3 8" xfId="14066"/>
    <cellStyle name="Обычный 17 3 8 2" xfId="14067"/>
    <cellStyle name="Обычный 17 3 9" xfId="14068"/>
    <cellStyle name="Обычный 17 4" xfId="14069"/>
    <cellStyle name="Обычный 17 4 10" xfId="14070"/>
    <cellStyle name="Обычный 17 4 2" xfId="14071"/>
    <cellStyle name="Обычный 17 4 2 2" xfId="14072"/>
    <cellStyle name="Обычный 17 4 2 2 2" xfId="14073"/>
    <cellStyle name="Обычный 17 4 2 2 2 2" xfId="14074"/>
    <cellStyle name="Обычный 17 4 2 2 2 2 2" xfId="14075"/>
    <cellStyle name="Обычный 17 4 2 2 2 2 2 2" xfId="14076"/>
    <cellStyle name="Обычный 17 4 2 2 2 2 2 3" xfId="14077"/>
    <cellStyle name="Обычный 17 4 2 2 2 2 3" xfId="14078"/>
    <cellStyle name="Обычный 17 4 2 2 2 2 3 2" xfId="14079"/>
    <cellStyle name="Обычный 17 4 2 2 2 2 3 3" xfId="14080"/>
    <cellStyle name="Обычный 17 4 2 2 2 2 4" xfId="14081"/>
    <cellStyle name="Обычный 17 4 2 2 2 2 4 2" xfId="14082"/>
    <cellStyle name="Обычный 17 4 2 2 2 2 5" xfId="14083"/>
    <cellStyle name="Обычный 17 4 2 2 2 2 6" xfId="14084"/>
    <cellStyle name="Обычный 17 4 2 2 2 3" xfId="14085"/>
    <cellStyle name="Обычный 17 4 2 2 2 3 2" xfId="14086"/>
    <cellStyle name="Обычный 17 4 2 2 2 3 3" xfId="14087"/>
    <cellStyle name="Обычный 17 4 2 2 2 4" xfId="14088"/>
    <cellStyle name="Обычный 17 4 2 2 2 4 2" xfId="14089"/>
    <cellStyle name="Обычный 17 4 2 2 2 4 3" xfId="14090"/>
    <cellStyle name="Обычный 17 4 2 2 2 5" xfId="14091"/>
    <cellStyle name="Обычный 17 4 2 2 2 5 2" xfId="14092"/>
    <cellStyle name="Обычный 17 4 2 2 2 6" xfId="14093"/>
    <cellStyle name="Обычный 17 4 2 2 2 7" xfId="14094"/>
    <cellStyle name="Обычный 17 4 2 2 3" xfId="14095"/>
    <cellStyle name="Обычный 17 4 2 2 3 2" xfId="14096"/>
    <cellStyle name="Обычный 17 4 2 2 3 2 2" xfId="14097"/>
    <cellStyle name="Обычный 17 4 2 2 3 2 3" xfId="14098"/>
    <cellStyle name="Обычный 17 4 2 2 3 3" xfId="14099"/>
    <cellStyle name="Обычный 17 4 2 2 3 3 2" xfId="14100"/>
    <cellStyle name="Обычный 17 4 2 2 3 3 3" xfId="14101"/>
    <cellStyle name="Обычный 17 4 2 2 3 4" xfId="14102"/>
    <cellStyle name="Обычный 17 4 2 2 3 4 2" xfId="14103"/>
    <cellStyle name="Обычный 17 4 2 2 3 5" xfId="14104"/>
    <cellStyle name="Обычный 17 4 2 2 3 6" xfId="14105"/>
    <cellStyle name="Обычный 17 4 2 2 4" xfId="14106"/>
    <cellStyle name="Обычный 17 4 2 2 4 2" xfId="14107"/>
    <cellStyle name="Обычный 17 4 2 2 4 3" xfId="14108"/>
    <cellStyle name="Обычный 17 4 2 2 5" xfId="14109"/>
    <cellStyle name="Обычный 17 4 2 2 5 2" xfId="14110"/>
    <cellStyle name="Обычный 17 4 2 2 5 3" xfId="14111"/>
    <cellStyle name="Обычный 17 4 2 2 6" xfId="14112"/>
    <cellStyle name="Обычный 17 4 2 2 6 2" xfId="14113"/>
    <cellStyle name="Обычный 17 4 2 2 7" xfId="14114"/>
    <cellStyle name="Обычный 17 4 2 2 8" xfId="14115"/>
    <cellStyle name="Обычный 17 4 2 3" xfId="14116"/>
    <cellStyle name="Обычный 17 4 2 3 2" xfId="14117"/>
    <cellStyle name="Обычный 17 4 2 3 2 2" xfId="14118"/>
    <cellStyle name="Обычный 17 4 2 3 2 2 2" xfId="14119"/>
    <cellStyle name="Обычный 17 4 2 3 2 2 3" xfId="14120"/>
    <cellStyle name="Обычный 17 4 2 3 2 3" xfId="14121"/>
    <cellStyle name="Обычный 17 4 2 3 2 3 2" xfId="14122"/>
    <cellStyle name="Обычный 17 4 2 3 2 3 3" xfId="14123"/>
    <cellStyle name="Обычный 17 4 2 3 2 4" xfId="14124"/>
    <cellStyle name="Обычный 17 4 2 3 2 4 2" xfId="14125"/>
    <cellStyle name="Обычный 17 4 2 3 2 5" xfId="14126"/>
    <cellStyle name="Обычный 17 4 2 3 2 6" xfId="14127"/>
    <cellStyle name="Обычный 17 4 2 3 3" xfId="14128"/>
    <cellStyle name="Обычный 17 4 2 3 3 2" xfId="14129"/>
    <cellStyle name="Обычный 17 4 2 3 3 3" xfId="14130"/>
    <cellStyle name="Обычный 17 4 2 3 4" xfId="14131"/>
    <cellStyle name="Обычный 17 4 2 3 4 2" xfId="14132"/>
    <cellStyle name="Обычный 17 4 2 3 4 3" xfId="14133"/>
    <cellStyle name="Обычный 17 4 2 3 5" xfId="14134"/>
    <cellStyle name="Обычный 17 4 2 3 5 2" xfId="14135"/>
    <cellStyle name="Обычный 17 4 2 3 6" xfId="14136"/>
    <cellStyle name="Обычный 17 4 2 3 7" xfId="14137"/>
    <cellStyle name="Обычный 17 4 2 4" xfId="14138"/>
    <cellStyle name="Обычный 17 4 2 4 2" xfId="14139"/>
    <cellStyle name="Обычный 17 4 2 4 2 2" xfId="14140"/>
    <cellStyle name="Обычный 17 4 2 4 2 3" xfId="14141"/>
    <cellStyle name="Обычный 17 4 2 4 3" xfId="14142"/>
    <cellStyle name="Обычный 17 4 2 4 3 2" xfId="14143"/>
    <cellStyle name="Обычный 17 4 2 4 3 3" xfId="14144"/>
    <cellStyle name="Обычный 17 4 2 4 4" xfId="14145"/>
    <cellStyle name="Обычный 17 4 2 4 4 2" xfId="14146"/>
    <cellStyle name="Обычный 17 4 2 4 5" xfId="14147"/>
    <cellStyle name="Обычный 17 4 2 4 6" xfId="14148"/>
    <cellStyle name="Обычный 17 4 2 5" xfId="14149"/>
    <cellStyle name="Обычный 17 4 2 5 2" xfId="14150"/>
    <cellStyle name="Обычный 17 4 2 5 3" xfId="14151"/>
    <cellStyle name="Обычный 17 4 2 6" xfId="14152"/>
    <cellStyle name="Обычный 17 4 2 6 2" xfId="14153"/>
    <cellStyle name="Обычный 17 4 2 6 3" xfId="14154"/>
    <cellStyle name="Обычный 17 4 2 7" xfId="14155"/>
    <cellStyle name="Обычный 17 4 2 7 2" xfId="14156"/>
    <cellStyle name="Обычный 17 4 2 8" xfId="14157"/>
    <cellStyle name="Обычный 17 4 2 9" xfId="14158"/>
    <cellStyle name="Обычный 17 4 3" xfId="14159"/>
    <cellStyle name="Обычный 17 4 3 2" xfId="14160"/>
    <cellStyle name="Обычный 17 4 3 2 2" xfId="14161"/>
    <cellStyle name="Обычный 17 4 3 2 2 2" xfId="14162"/>
    <cellStyle name="Обычный 17 4 3 2 2 2 2" xfId="14163"/>
    <cellStyle name="Обычный 17 4 3 2 2 2 3" xfId="14164"/>
    <cellStyle name="Обычный 17 4 3 2 2 3" xfId="14165"/>
    <cellStyle name="Обычный 17 4 3 2 2 3 2" xfId="14166"/>
    <cellStyle name="Обычный 17 4 3 2 2 3 3" xfId="14167"/>
    <cellStyle name="Обычный 17 4 3 2 2 4" xfId="14168"/>
    <cellStyle name="Обычный 17 4 3 2 2 4 2" xfId="14169"/>
    <cellStyle name="Обычный 17 4 3 2 2 5" xfId="14170"/>
    <cellStyle name="Обычный 17 4 3 2 2 6" xfId="14171"/>
    <cellStyle name="Обычный 17 4 3 2 3" xfId="14172"/>
    <cellStyle name="Обычный 17 4 3 2 3 2" xfId="14173"/>
    <cellStyle name="Обычный 17 4 3 2 3 3" xfId="14174"/>
    <cellStyle name="Обычный 17 4 3 2 4" xfId="14175"/>
    <cellStyle name="Обычный 17 4 3 2 4 2" xfId="14176"/>
    <cellStyle name="Обычный 17 4 3 2 4 3" xfId="14177"/>
    <cellStyle name="Обычный 17 4 3 2 5" xfId="14178"/>
    <cellStyle name="Обычный 17 4 3 2 5 2" xfId="14179"/>
    <cellStyle name="Обычный 17 4 3 2 6" xfId="14180"/>
    <cellStyle name="Обычный 17 4 3 2 7" xfId="14181"/>
    <cellStyle name="Обычный 17 4 3 3" xfId="14182"/>
    <cellStyle name="Обычный 17 4 3 3 2" xfId="14183"/>
    <cellStyle name="Обычный 17 4 3 3 2 2" xfId="14184"/>
    <cellStyle name="Обычный 17 4 3 3 2 3" xfId="14185"/>
    <cellStyle name="Обычный 17 4 3 3 3" xfId="14186"/>
    <cellStyle name="Обычный 17 4 3 3 3 2" xfId="14187"/>
    <cellStyle name="Обычный 17 4 3 3 3 3" xfId="14188"/>
    <cellStyle name="Обычный 17 4 3 3 4" xfId="14189"/>
    <cellStyle name="Обычный 17 4 3 3 4 2" xfId="14190"/>
    <cellStyle name="Обычный 17 4 3 3 5" xfId="14191"/>
    <cellStyle name="Обычный 17 4 3 3 6" xfId="14192"/>
    <cellStyle name="Обычный 17 4 3 4" xfId="14193"/>
    <cellStyle name="Обычный 17 4 3 4 2" xfId="14194"/>
    <cellStyle name="Обычный 17 4 3 4 3" xfId="14195"/>
    <cellStyle name="Обычный 17 4 3 5" xfId="14196"/>
    <cellStyle name="Обычный 17 4 3 5 2" xfId="14197"/>
    <cellStyle name="Обычный 17 4 3 5 3" xfId="14198"/>
    <cellStyle name="Обычный 17 4 3 6" xfId="14199"/>
    <cellStyle name="Обычный 17 4 3 6 2" xfId="14200"/>
    <cellStyle name="Обычный 17 4 3 7" xfId="14201"/>
    <cellStyle name="Обычный 17 4 3 8" xfId="14202"/>
    <cellStyle name="Обычный 17 4 4" xfId="14203"/>
    <cellStyle name="Обычный 17 4 4 2" xfId="14204"/>
    <cellStyle name="Обычный 17 4 4 2 2" xfId="14205"/>
    <cellStyle name="Обычный 17 4 4 2 2 2" xfId="14206"/>
    <cellStyle name="Обычный 17 4 4 2 2 3" xfId="14207"/>
    <cellStyle name="Обычный 17 4 4 2 3" xfId="14208"/>
    <cellStyle name="Обычный 17 4 4 2 3 2" xfId="14209"/>
    <cellStyle name="Обычный 17 4 4 2 3 3" xfId="14210"/>
    <cellStyle name="Обычный 17 4 4 2 4" xfId="14211"/>
    <cellStyle name="Обычный 17 4 4 2 4 2" xfId="14212"/>
    <cellStyle name="Обычный 17 4 4 2 5" xfId="14213"/>
    <cellStyle name="Обычный 17 4 4 2 6" xfId="14214"/>
    <cellStyle name="Обычный 17 4 4 3" xfId="14215"/>
    <cellStyle name="Обычный 17 4 4 3 2" xfId="14216"/>
    <cellStyle name="Обычный 17 4 4 3 3" xfId="14217"/>
    <cellStyle name="Обычный 17 4 4 4" xfId="14218"/>
    <cellStyle name="Обычный 17 4 4 4 2" xfId="14219"/>
    <cellStyle name="Обычный 17 4 4 4 3" xfId="14220"/>
    <cellStyle name="Обычный 17 4 4 5" xfId="14221"/>
    <cellStyle name="Обычный 17 4 4 5 2" xfId="14222"/>
    <cellStyle name="Обычный 17 4 4 6" xfId="14223"/>
    <cellStyle name="Обычный 17 4 4 7" xfId="14224"/>
    <cellStyle name="Обычный 17 4 5" xfId="14225"/>
    <cellStyle name="Обычный 17 4 5 2" xfId="14226"/>
    <cellStyle name="Обычный 17 4 5 2 2" xfId="14227"/>
    <cellStyle name="Обычный 17 4 5 2 3" xfId="14228"/>
    <cellStyle name="Обычный 17 4 5 3" xfId="14229"/>
    <cellStyle name="Обычный 17 4 5 3 2" xfId="14230"/>
    <cellStyle name="Обычный 17 4 5 3 3" xfId="14231"/>
    <cellStyle name="Обычный 17 4 5 4" xfId="14232"/>
    <cellStyle name="Обычный 17 4 5 4 2" xfId="14233"/>
    <cellStyle name="Обычный 17 4 5 5" xfId="14234"/>
    <cellStyle name="Обычный 17 4 5 6" xfId="14235"/>
    <cellStyle name="Обычный 17 4 6" xfId="14236"/>
    <cellStyle name="Обычный 17 4 6 2" xfId="14237"/>
    <cellStyle name="Обычный 17 4 6 3" xfId="14238"/>
    <cellStyle name="Обычный 17 4 7" xfId="14239"/>
    <cellStyle name="Обычный 17 4 7 2" xfId="14240"/>
    <cellStyle name="Обычный 17 4 7 3" xfId="14241"/>
    <cellStyle name="Обычный 17 4 8" xfId="14242"/>
    <cellStyle name="Обычный 17 4 8 2" xfId="14243"/>
    <cellStyle name="Обычный 17 4 9" xfId="14244"/>
    <cellStyle name="Обычный 17 5" xfId="14245"/>
    <cellStyle name="Обычный 17 5 10" xfId="14246"/>
    <cellStyle name="Обычный 17 5 2" xfId="14247"/>
    <cellStyle name="Обычный 17 5 2 2" xfId="14248"/>
    <cellStyle name="Обычный 17 5 2 2 2" xfId="14249"/>
    <cellStyle name="Обычный 17 5 2 2 2 2" xfId="14250"/>
    <cellStyle name="Обычный 17 5 2 2 2 2 2" xfId="14251"/>
    <cellStyle name="Обычный 17 5 2 2 2 2 2 2" xfId="14252"/>
    <cellStyle name="Обычный 17 5 2 2 2 2 2 3" xfId="14253"/>
    <cellStyle name="Обычный 17 5 2 2 2 2 3" xfId="14254"/>
    <cellStyle name="Обычный 17 5 2 2 2 2 3 2" xfId="14255"/>
    <cellStyle name="Обычный 17 5 2 2 2 2 3 3" xfId="14256"/>
    <cellStyle name="Обычный 17 5 2 2 2 2 4" xfId="14257"/>
    <cellStyle name="Обычный 17 5 2 2 2 2 4 2" xfId="14258"/>
    <cellStyle name="Обычный 17 5 2 2 2 2 5" xfId="14259"/>
    <cellStyle name="Обычный 17 5 2 2 2 2 6" xfId="14260"/>
    <cellStyle name="Обычный 17 5 2 2 2 3" xfId="14261"/>
    <cellStyle name="Обычный 17 5 2 2 2 3 2" xfId="14262"/>
    <cellStyle name="Обычный 17 5 2 2 2 3 3" xfId="14263"/>
    <cellStyle name="Обычный 17 5 2 2 2 4" xfId="14264"/>
    <cellStyle name="Обычный 17 5 2 2 2 4 2" xfId="14265"/>
    <cellStyle name="Обычный 17 5 2 2 2 4 3" xfId="14266"/>
    <cellStyle name="Обычный 17 5 2 2 2 5" xfId="14267"/>
    <cellStyle name="Обычный 17 5 2 2 2 5 2" xfId="14268"/>
    <cellStyle name="Обычный 17 5 2 2 2 6" xfId="14269"/>
    <cellStyle name="Обычный 17 5 2 2 2 7" xfId="14270"/>
    <cellStyle name="Обычный 17 5 2 2 3" xfId="14271"/>
    <cellStyle name="Обычный 17 5 2 2 3 2" xfId="14272"/>
    <cellStyle name="Обычный 17 5 2 2 3 2 2" xfId="14273"/>
    <cellStyle name="Обычный 17 5 2 2 3 2 3" xfId="14274"/>
    <cellStyle name="Обычный 17 5 2 2 3 3" xfId="14275"/>
    <cellStyle name="Обычный 17 5 2 2 3 3 2" xfId="14276"/>
    <cellStyle name="Обычный 17 5 2 2 3 3 3" xfId="14277"/>
    <cellStyle name="Обычный 17 5 2 2 3 4" xfId="14278"/>
    <cellStyle name="Обычный 17 5 2 2 3 4 2" xfId="14279"/>
    <cellStyle name="Обычный 17 5 2 2 3 5" xfId="14280"/>
    <cellStyle name="Обычный 17 5 2 2 3 6" xfId="14281"/>
    <cellStyle name="Обычный 17 5 2 2 4" xfId="14282"/>
    <cellStyle name="Обычный 17 5 2 2 4 2" xfId="14283"/>
    <cellStyle name="Обычный 17 5 2 2 4 3" xfId="14284"/>
    <cellStyle name="Обычный 17 5 2 2 5" xfId="14285"/>
    <cellStyle name="Обычный 17 5 2 2 5 2" xfId="14286"/>
    <cellStyle name="Обычный 17 5 2 2 5 3" xfId="14287"/>
    <cellStyle name="Обычный 17 5 2 2 6" xfId="14288"/>
    <cellStyle name="Обычный 17 5 2 2 6 2" xfId="14289"/>
    <cellStyle name="Обычный 17 5 2 2 7" xfId="14290"/>
    <cellStyle name="Обычный 17 5 2 2 8" xfId="14291"/>
    <cellStyle name="Обычный 17 5 2 3" xfId="14292"/>
    <cellStyle name="Обычный 17 5 2 3 2" xfId="14293"/>
    <cellStyle name="Обычный 17 5 2 3 2 2" xfId="14294"/>
    <cellStyle name="Обычный 17 5 2 3 2 2 2" xfId="14295"/>
    <cellStyle name="Обычный 17 5 2 3 2 2 3" xfId="14296"/>
    <cellStyle name="Обычный 17 5 2 3 2 3" xfId="14297"/>
    <cellStyle name="Обычный 17 5 2 3 2 3 2" xfId="14298"/>
    <cellStyle name="Обычный 17 5 2 3 2 3 3" xfId="14299"/>
    <cellStyle name="Обычный 17 5 2 3 2 4" xfId="14300"/>
    <cellStyle name="Обычный 17 5 2 3 2 4 2" xfId="14301"/>
    <cellStyle name="Обычный 17 5 2 3 2 5" xfId="14302"/>
    <cellStyle name="Обычный 17 5 2 3 2 6" xfId="14303"/>
    <cellStyle name="Обычный 17 5 2 3 3" xfId="14304"/>
    <cellStyle name="Обычный 17 5 2 3 3 2" xfId="14305"/>
    <cellStyle name="Обычный 17 5 2 3 3 3" xfId="14306"/>
    <cellStyle name="Обычный 17 5 2 3 4" xfId="14307"/>
    <cellStyle name="Обычный 17 5 2 3 4 2" xfId="14308"/>
    <cellStyle name="Обычный 17 5 2 3 4 3" xfId="14309"/>
    <cellStyle name="Обычный 17 5 2 3 5" xfId="14310"/>
    <cellStyle name="Обычный 17 5 2 3 5 2" xfId="14311"/>
    <cellStyle name="Обычный 17 5 2 3 6" xfId="14312"/>
    <cellStyle name="Обычный 17 5 2 3 7" xfId="14313"/>
    <cellStyle name="Обычный 17 5 2 4" xfId="14314"/>
    <cellStyle name="Обычный 17 5 2 4 2" xfId="14315"/>
    <cellStyle name="Обычный 17 5 2 4 2 2" xfId="14316"/>
    <cellStyle name="Обычный 17 5 2 4 2 3" xfId="14317"/>
    <cellStyle name="Обычный 17 5 2 4 3" xfId="14318"/>
    <cellStyle name="Обычный 17 5 2 4 3 2" xfId="14319"/>
    <cellStyle name="Обычный 17 5 2 4 3 3" xfId="14320"/>
    <cellStyle name="Обычный 17 5 2 4 4" xfId="14321"/>
    <cellStyle name="Обычный 17 5 2 4 4 2" xfId="14322"/>
    <cellStyle name="Обычный 17 5 2 4 5" xfId="14323"/>
    <cellStyle name="Обычный 17 5 2 4 6" xfId="14324"/>
    <cellStyle name="Обычный 17 5 2 5" xfId="14325"/>
    <cellStyle name="Обычный 17 5 2 5 2" xfId="14326"/>
    <cellStyle name="Обычный 17 5 2 5 3" xfId="14327"/>
    <cellStyle name="Обычный 17 5 2 6" xfId="14328"/>
    <cellStyle name="Обычный 17 5 2 6 2" xfId="14329"/>
    <cellStyle name="Обычный 17 5 2 6 3" xfId="14330"/>
    <cellStyle name="Обычный 17 5 2 7" xfId="14331"/>
    <cellStyle name="Обычный 17 5 2 7 2" xfId="14332"/>
    <cellStyle name="Обычный 17 5 2 8" xfId="14333"/>
    <cellStyle name="Обычный 17 5 2 9" xfId="14334"/>
    <cellStyle name="Обычный 17 5 3" xfId="14335"/>
    <cellStyle name="Обычный 17 5 3 2" xfId="14336"/>
    <cellStyle name="Обычный 17 5 3 2 2" xfId="14337"/>
    <cellStyle name="Обычный 17 5 3 2 2 2" xfId="14338"/>
    <cellStyle name="Обычный 17 5 3 2 2 2 2" xfId="14339"/>
    <cellStyle name="Обычный 17 5 3 2 2 2 3" xfId="14340"/>
    <cellStyle name="Обычный 17 5 3 2 2 3" xfId="14341"/>
    <cellStyle name="Обычный 17 5 3 2 2 3 2" xfId="14342"/>
    <cellStyle name="Обычный 17 5 3 2 2 3 3" xfId="14343"/>
    <cellStyle name="Обычный 17 5 3 2 2 4" xfId="14344"/>
    <cellStyle name="Обычный 17 5 3 2 2 4 2" xfId="14345"/>
    <cellStyle name="Обычный 17 5 3 2 2 5" xfId="14346"/>
    <cellStyle name="Обычный 17 5 3 2 2 6" xfId="14347"/>
    <cellStyle name="Обычный 17 5 3 2 3" xfId="14348"/>
    <cellStyle name="Обычный 17 5 3 2 3 2" xfId="14349"/>
    <cellStyle name="Обычный 17 5 3 2 3 3" xfId="14350"/>
    <cellStyle name="Обычный 17 5 3 2 4" xfId="14351"/>
    <cellStyle name="Обычный 17 5 3 2 4 2" xfId="14352"/>
    <cellStyle name="Обычный 17 5 3 2 4 3" xfId="14353"/>
    <cellStyle name="Обычный 17 5 3 2 5" xfId="14354"/>
    <cellStyle name="Обычный 17 5 3 2 5 2" xfId="14355"/>
    <cellStyle name="Обычный 17 5 3 2 6" xfId="14356"/>
    <cellStyle name="Обычный 17 5 3 2 7" xfId="14357"/>
    <cellStyle name="Обычный 17 5 3 3" xfId="14358"/>
    <cellStyle name="Обычный 17 5 3 3 2" xfId="14359"/>
    <cellStyle name="Обычный 17 5 3 3 2 2" xfId="14360"/>
    <cellStyle name="Обычный 17 5 3 3 2 3" xfId="14361"/>
    <cellStyle name="Обычный 17 5 3 3 3" xfId="14362"/>
    <cellStyle name="Обычный 17 5 3 3 3 2" xfId="14363"/>
    <cellStyle name="Обычный 17 5 3 3 3 3" xfId="14364"/>
    <cellStyle name="Обычный 17 5 3 3 4" xfId="14365"/>
    <cellStyle name="Обычный 17 5 3 3 4 2" xfId="14366"/>
    <cellStyle name="Обычный 17 5 3 3 5" xfId="14367"/>
    <cellStyle name="Обычный 17 5 3 3 6" xfId="14368"/>
    <cellStyle name="Обычный 17 5 3 4" xfId="14369"/>
    <cellStyle name="Обычный 17 5 3 4 2" xfId="14370"/>
    <cellStyle name="Обычный 17 5 3 4 3" xfId="14371"/>
    <cellStyle name="Обычный 17 5 3 5" xfId="14372"/>
    <cellStyle name="Обычный 17 5 3 5 2" xfId="14373"/>
    <cellStyle name="Обычный 17 5 3 5 3" xfId="14374"/>
    <cellStyle name="Обычный 17 5 3 6" xfId="14375"/>
    <cellStyle name="Обычный 17 5 3 6 2" xfId="14376"/>
    <cellStyle name="Обычный 17 5 3 7" xfId="14377"/>
    <cellStyle name="Обычный 17 5 3 8" xfId="14378"/>
    <cellStyle name="Обычный 17 5 4" xfId="14379"/>
    <cellStyle name="Обычный 17 5 4 2" xfId="14380"/>
    <cellStyle name="Обычный 17 5 4 2 2" xfId="14381"/>
    <cellStyle name="Обычный 17 5 4 2 2 2" xfId="14382"/>
    <cellStyle name="Обычный 17 5 4 2 2 3" xfId="14383"/>
    <cellStyle name="Обычный 17 5 4 2 3" xfId="14384"/>
    <cellStyle name="Обычный 17 5 4 2 3 2" xfId="14385"/>
    <cellStyle name="Обычный 17 5 4 2 3 3" xfId="14386"/>
    <cellStyle name="Обычный 17 5 4 2 4" xfId="14387"/>
    <cellStyle name="Обычный 17 5 4 2 4 2" xfId="14388"/>
    <cellStyle name="Обычный 17 5 4 2 5" xfId="14389"/>
    <cellStyle name="Обычный 17 5 4 2 6" xfId="14390"/>
    <cellStyle name="Обычный 17 5 4 3" xfId="14391"/>
    <cellStyle name="Обычный 17 5 4 3 2" xfId="14392"/>
    <cellStyle name="Обычный 17 5 4 3 3" xfId="14393"/>
    <cellStyle name="Обычный 17 5 4 4" xfId="14394"/>
    <cellStyle name="Обычный 17 5 4 4 2" xfId="14395"/>
    <cellStyle name="Обычный 17 5 4 4 3" xfId="14396"/>
    <cellStyle name="Обычный 17 5 4 5" xfId="14397"/>
    <cellStyle name="Обычный 17 5 4 5 2" xfId="14398"/>
    <cellStyle name="Обычный 17 5 4 6" xfId="14399"/>
    <cellStyle name="Обычный 17 5 4 7" xfId="14400"/>
    <cellStyle name="Обычный 17 5 5" xfId="14401"/>
    <cellStyle name="Обычный 17 5 5 2" xfId="14402"/>
    <cellStyle name="Обычный 17 5 5 2 2" xfId="14403"/>
    <cellStyle name="Обычный 17 5 5 2 3" xfId="14404"/>
    <cellStyle name="Обычный 17 5 5 3" xfId="14405"/>
    <cellStyle name="Обычный 17 5 5 3 2" xfId="14406"/>
    <cellStyle name="Обычный 17 5 5 3 3" xfId="14407"/>
    <cellStyle name="Обычный 17 5 5 4" xfId="14408"/>
    <cellStyle name="Обычный 17 5 5 4 2" xfId="14409"/>
    <cellStyle name="Обычный 17 5 5 5" xfId="14410"/>
    <cellStyle name="Обычный 17 5 5 6" xfId="14411"/>
    <cellStyle name="Обычный 17 5 6" xfId="14412"/>
    <cellStyle name="Обычный 17 5 6 2" xfId="14413"/>
    <cellStyle name="Обычный 17 5 6 3" xfId="14414"/>
    <cellStyle name="Обычный 17 5 7" xfId="14415"/>
    <cellStyle name="Обычный 17 5 7 2" xfId="14416"/>
    <cellStyle name="Обычный 17 5 7 3" xfId="14417"/>
    <cellStyle name="Обычный 17 5 8" xfId="14418"/>
    <cellStyle name="Обычный 17 5 8 2" xfId="14419"/>
    <cellStyle name="Обычный 17 5 9" xfId="14420"/>
    <cellStyle name="Обычный 17 6" xfId="14421"/>
    <cellStyle name="Обычный 17 6 2" xfId="14422"/>
    <cellStyle name="Обычный 17 6 2 2" xfId="14423"/>
    <cellStyle name="Обычный 17 6 2 2 2" xfId="14424"/>
    <cellStyle name="Обычный 17 6 2 2 2 2" xfId="14425"/>
    <cellStyle name="Обычный 17 6 2 2 2 2 2" xfId="14426"/>
    <cellStyle name="Обычный 17 6 2 2 2 2 3" xfId="14427"/>
    <cellStyle name="Обычный 17 6 2 2 2 3" xfId="14428"/>
    <cellStyle name="Обычный 17 6 2 2 2 3 2" xfId="14429"/>
    <cellStyle name="Обычный 17 6 2 2 2 3 3" xfId="14430"/>
    <cellStyle name="Обычный 17 6 2 2 2 4" xfId="14431"/>
    <cellStyle name="Обычный 17 6 2 2 2 4 2" xfId="14432"/>
    <cellStyle name="Обычный 17 6 2 2 2 5" xfId="14433"/>
    <cellStyle name="Обычный 17 6 2 2 2 6" xfId="14434"/>
    <cellStyle name="Обычный 17 6 2 2 3" xfId="14435"/>
    <cellStyle name="Обычный 17 6 2 2 3 2" xfId="14436"/>
    <cellStyle name="Обычный 17 6 2 2 3 3" xfId="14437"/>
    <cellStyle name="Обычный 17 6 2 2 4" xfId="14438"/>
    <cellStyle name="Обычный 17 6 2 2 4 2" xfId="14439"/>
    <cellStyle name="Обычный 17 6 2 2 4 3" xfId="14440"/>
    <cellStyle name="Обычный 17 6 2 2 5" xfId="14441"/>
    <cellStyle name="Обычный 17 6 2 2 5 2" xfId="14442"/>
    <cellStyle name="Обычный 17 6 2 2 6" xfId="14443"/>
    <cellStyle name="Обычный 17 6 2 2 7" xfId="14444"/>
    <cellStyle name="Обычный 17 6 2 3" xfId="14445"/>
    <cellStyle name="Обычный 17 6 2 3 2" xfId="14446"/>
    <cellStyle name="Обычный 17 6 2 3 2 2" xfId="14447"/>
    <cellStyle name="Обычный 17 6 2 3 2 3" xfId="14448"/>
    <cellStyle name="Обычный 17 6 2 3 3" xfId="14449"/>
    <cellStyle name="Обычный 17 6 2 3 3 2" xfId="14450"/>
    <cellStyle name="Обычный 17 6 2 3 3 3" xfId="14451"/>
    <cellStyle name="Обычный 17 6 2 3 4" xfId="14452"/>
    <cellStyle name="Обычный 17 6 2 3 4 2" xfId="14453"/>
    <cellStyle name="Обычный 17 6 2 3 5" xfId="14454"/>
    <cellStyle name="Обычный 17 6 2 3 6" xfId="14455"/>
    <cellStyle name="Обычный 17 6 2 4" xfId="14456"/>
    <cellStyle name="Обычный 17 6 2 4 2" xfId="14457"/>
    <cellStyle name="Обычный 17 6 2 4 3" xfId="14458"/>
    <cellStyle name="Обычный 17 6 2 5" xfId="14459"/>
    <cellStyle name="Обычный 17 6 2 5 2" xfId="14460"/>
    <cellStyle name="Обычный 17 6 2 5 3" xfId="14461"/>
    <cellStyle name="Обычный 17 6 2 6" xfId="14462"/>
    <cellStyle name="Обычный 17 6 2 6 2" xfId="14463"/>
    <cellStyle name="Обычный 17 6 2 7" xfId="14464"/>
    <cellStyle name="Обычный 17 6 2 8" xfId="14465"/>
    <cellStyle name="Обычный 17 6 3" xfId="14466"/>
    <cellStyle name="Обычный 17 6 3 2" xfId="14467"/>
    <cellStyle name="Обычный 17 6 3 2 2" xfId="14468"/>
    <cellStyle name="Обычный 17 6 3 2 2 2" xfId="14469"/>
    <cellStyle name="Обычный 17 6 3 2 2 3" xfId="14470"/>
    <cellStyle name="Обычный 17 6 3 2 3" xfId="14471"/>
    <cellStyle name="Обычный 17 6 3 2 3 2" xfId="14472"/>
    <cellStyle name="Обычный 17 6 3 2 3 3" xfId="14473"/>
    <cellStyle name="Обычный 17 6 3 2 4" xfId="14474"/>
    <cellStyle name="Обычный 17 6 3 2 4 2" xfId="14475"/>
    <cellStyle name="Обычный 17 6 3 2 5" xfId="14476"/>
    <cellStyle name="Обычный 17 6 3 2 6" xfId="14477"/>
    <cellStyle name="Обычный 17 6 3 3" xfId="14478"/>
    <cellStyle name="Обычный 17 6 3 3 2" xfId="14479"/>
    <cellStyle name="Обычный 17 6 3 3 3" xfId="14480"/>
    <cellStyle name="Обычный 17 6 3 4" xfId="14481"/>
    <cellStyle name="Обычный 17 6 3 4 2" xfId="14482"/>
    <cellStyle name="Обычный 17 6 3 4 3" xfId="14483"/>
    <cellStyle name="Обычный 17 6 3 5" xfId="14484"/>
    <cellStyle name="Обычный 17 6 3 5 2" xfId="14485"/>
    <cellStyle name="Обычный 17 6 3 6" xfId="14486"/>
    <cellStyle name="Обычный 17 6 3 7" xfId="14487"/>
    <cellStyle name="Обычный 17 6 4" xfId="14488"/>
    <cellStyle name="Обычный 17 6 4 2" xfId="14489"/>
    <cellStyle name="Обычный 17 6 4 2 2" xfId="14490"/>
    <cellStyle name="Обычный 17 6 4 2 3" xfId="14491"/>
    <cellStyle name="Обычный 17 6 4 3" xfId="14492"/>
    <cellStyle name="Обычный 17 6 4 3 2" xfId="14493"/>
    <cellStyle name="Обычный 17 6 4 3 3" xfId="14494"/>
    <cellStyle name="Обычный 17 6 4 4" xfId="14495"/>
    <cellStyle name="Обычный 17 6 4 4 2" xfId="14496"/>
    <cellStyle name="Обычный 17 6 4 5" xfId="14497"/>
    <cellStyle name="Обычный 17 6 4 6" xfId="14498"/>
    <cellStyle name="Обычный 17 6 5" xfId="14499"/>
    <cellStyle name="Обычный 17 6 5 2" xfId="14500"/>
    <cellStyle name="Обычный 17 6 5 3" xfId="14501"/>
    <cellStyle name="Обычный 17 6 6" xfId="14502"/>
    <cellStyle name="Обычный 17 6 6 2" xfId="14503"/>
    <cellStyle name="Обычный 17 6 6 3" xfId="14504"/>
    <cellStyle name="Обычный 17 6 7" xfId="14505"/>
    <cellStyle name="Обычный 17 6 7 2" xfId="14506"/>
    <cellStyle name="Обычный 17 6 8" xfId="14507"/>
    <cellStyle name="Обычный 17 6 9" xfId="14508"/>
    <cellStyle name="Обычный 17 7" xfId="14509"/>
    <cellStyle name="Обычный 17 7 2" xfId="14510"/>
    <cellStyle name="Обычный 17 7 2 2" xfId="14511"/>
    <cellStyle name="Обычный 17 7 2 2 2" xfId="14512"/>
    <cellStyle name="Обычный 17 7 2 2 2 2" xfId="14513"/>
    <cellStyle name="Обычный 17 7 2 2 2 3" xfId="14514"/>
    <cellStyle name="Обычный 17 7 2 2 3" xfId="14515"/>
    <cellStyle name="Обычный 17 7 2 2 3 2" xfId="14516"/>
    <cellStyle name="Обычный 17 7 2 2 3 3" xfId="14517"/>
    <cellStyle name="Обычный 17 7 2 2 4" xfId="14518"/>
    <cellStyle name="Обычный 17 7 2 2 4 2" xfId="14519"/>
    <cellStyle name="Обычный 17 7 2 2 5" xfId="14520"/>
    <cellStyle name="Обычный 17 7 2 2 6" xfId="14521"/>
    <cellStyle name="Обычный 17 7 2 3" xfId="14522"/>
    <cellStyle name="Обычный 17 7 2 3 2" xfId="14523"/>
    <cellStyle name="Обычный 17 7 2 3 3" xfId="14524"/>
    <cellStyle name="Обычный 17 7 2 4" xfId="14525"/>
    <cellStyle name="Обычный 17 7 2 4 2" xfId="14526"/>
    <cellStyle name="Обычный 17 7 2 4 3" xfId="14527"/>
    <cellStyle name="Обычный 17 7 2 5" xfId="14528"/>
    <cellStyle name="Обычный 17 7 2 5 2" xfId="14529"/>
    <cellStyle name="Обычный 17 7 2 6" xfId="14530"/>
    <cellStyle name="Обычный 17 7 2 7" xfId="14531"/>
    <cellStyle name="Обычный 17 7 3" xfId="14532"/>
    <cellStyle name="Обычный 17 7 3 2" xfId="14533"/>
    <cellStyle name="Обычный 17 7 3 2 2" xfId="14534"/>
    <cellStyle name="Обычный 17 7 3 2 3" xfId="14535"/>
    <cellStyle name="Обычный 17 7 3 3" xfId="14536"/>
    <cellStyle name="Обычный 17 7 3 3 2" xfId="14537"/>
    <cellStyle name="Обычный 17 7 3 3 3" xfId="14538"/>
    <cellStyle name="Обычный 17 7 3 4" xfId="14539"/>
    <cellStyle name="Обычный 17 7 3 4 2" xfId="14540"/>
    <cellStyle name="Обычный 17 7 3 5" xfId="14541"/>
    <cellStyle name="Обычный 17 7 3 6" xfId="14542"/>
    <cellStyle name="Обычный 17 7 4" xfId="14543"/>
    <cellStyle name="Обычный 17 7 4 2" xfId="14544"/>
    <cellStyle name="Обычный 17 7 4 3" xfId="14545"/>
    <cellStyle name="Обычный 17 7 5" xfId="14546"/>
    <cellStyle name="Обычный 17 7 5 2" xfId="14547"/>
    <cellStyle name="Обычный 17 7 5 3" xfId="14548"/>
    <cellStyle name="Обычный 17 7 6" xfId="14549"/>
    <cellStyle name="Обычный 17 7 6 2" xfId="14550"/>
    <cellStyle name="Обычный 17 7 7" xfId="14551"/>
    <cellStyle name="Обычный 17 7 8" xfId="14552"/>
    <cellStyle name="Обычный 17 8" xfId="14553"/>
    <cellStyle name="Обычный 17 8 2" xfId="14554"/>
    <cellStyle name="Обычный 17 8 2 2" xfId="14555"/>
    <cellStyle name="Обычный 17 8 2 2 2" xfId="14556"/>
    <cellStyle name="Обычный 17 8 2 2 3" xfId="14557"/>
    <cellStyle name="Обычный 17 8 2 3" xfId="14558"/>
    <cellStyle name="Обычный 17 8 2 3 2" xfId="14559"/>
    <cellStyle name="Обычный 17 8 2 3 3" xfId="14560"/>
    <cellStyle name="Обычный 17 8 2 4" xfId="14561"/>
    <cellStyle name="Обычный 17 8 2 4 2" xfId="14562"/>
    <cellStyle name="Обычный 17 8 2 5" xfId="14563"/>
    <cellStyle name="Обычный 17 8 2 6" xfId="14564"/>
    <cellStyle name="Обычный 17 8 3" xfId="14565"/>
    <cellStyle name="Обычный 17 8 3 2" xfId="14566"/>
    <cellStyle name="Обычный 17 8 3 3" xfId="14567"/>
    <cellStyle name="Обычный 17 8 4" xfId="14568"/>
    <cellStyle name="Обычный 17 8 4 2" xfId="14569"/>
    <cellStyle name="Обычный 17 8 4 3" xfId="14570"/>
    <cellStyle name="Обычный 17 8 5" xfId="14571"/>
    <cellStyle name="Обычный 17 8 5 2" xfId="14572"/>
    <cellStyle name="Обычный 17 8 6" xfId="14573"/>
    <cellStyle name="Обычный 17 8 7" xfId="14574"/>
    <cellStyle name="Обычный 17 9" xfId="14575"/>
    <cellStyle name="Обычный 17 9 2" xfId="14576"/>
    <cellStyle name="Обычный 17 9 2 2" xfId="14577"/>
    <cellStyle name="Обычный 17 9 2 3" xfId="14578"/>
    <cellStyle name="Обычный 17 9 3" xfId="14579"/>
    <cellStyle name="Обычный 17 9 3 2" xfId="14580"/>
    <cellStyle name="Обычный 17 9 3 3" xfId="14581"/>
    <cellStyle name="Обычный 17 9 4" xfId="14582"/>
    <cellStyle name="Обычный 17 9 4 2" xfId="14583"/>
    <cellStyle name="Обычный 17 9 5" xfId="14584"/>
    <cellStyle name="Обычный 17 9 6" xfId="14585"/>
    <cellStyle name="Обычный 18" xfId="14586"/>
    <cellStyle name="Обычный 18 10" xfId="14587"/>
    <cellStyle name="Обычный 18 2" xfId="14588"/>
    <cellStyle name="Обычный 18 2 2" xfId="14589"/>
    <cellStyle name="Обычный 18 2 2 2" xfId="14590"/>
    <cellStyle name="Обычный 18 2 2 2 2" xfId="14591"/>
    <cellStyle name="Обычный 18 2 2 2 2 2" xfId="14592"/>
    <cellStyle name="Обычный 18 2 2 2 2 3" xfId="14593"/>
    <cellStyle name="Обычный 18 2 2 2 3" xfId="14594"/>
    <cellStyle name="Обычный 18 2 2 2 3 2" xfId="14595"/>
    <cellStyle name="Обычный 18 2 2 2 3 3" xfId="14596"/>
    <cellStyle name="Обычный 18 2 2 2 4" xfId="14597"/>
    <cellStyle name="Обычный 18 2 2 2 4 2" xfId="14598"/>
    <cellStyle name="Обычный 18 2 2 2 5" xfId="14599"/>
    <cellStyle name="Обычный 18 2 2 2 6" xfId="14600"/>
    <cellStyle name="Обычный 18 2 2 3" xfId="14601"/>
    <cellStyle name="Обычный 18 2 2 3 2" xfId="14602"/>
    <cellStyle name="Обычный 18 2 2 3 3" xfId="14603"/>
    <cellStyle name="Обычный 18 2 2 4" xfId="14604"/>
    <cellStyle name="Обычный 18 2 2 4 2" xfId="14605"/>
    <cellStyle name="Обычный 18 2 2 4 3" xfId="14606"/>
    <cellStyle name="Обычный 18 2 2 5" xfId="14607"/>
    <cellStyle name="Обычный 18 2 2 5 2" xfId="14608"/>
    <cellStyle name="Обычный 18 2 2 6" xfId="14609"/>
    <cellStyle name="Обычный 18 2 2 7" xfId="14610"/>
    <cellStyle name="Обычный 18 2 3" xfId="14611"/>
    <cellStyle name="Обычный 18 2 3 2" xfId="14612"/>
    <cellStyle name="Обычный 18 2 3 2 2" xfId="14613"/>
    <cellStyle name="Обычный 18 2 3 2 3" xfId="14614"/>
    <cellStyle name="Обычный 18 2 3 3" xfId="14615"/>
    <cellStyle name="Обычный 18 2 3 3 2" xfId="14616"/>
    <cellStyle name="Обычный 18 2 3 3 3" xfId="14617"/>
    <cellStyle name="Обычный 18 2 3 4" xfId="14618"/>
    <cellStyle name="Обычный 18 2 3 4 2" xfId="14619"/>
    <cellStyle name="Обычный 18 2 3 5" xfId="14620"/>
    <cellStyle name="Обычный 18 2 3 6" xfId="14621"/>
    <cellStyle name="Обычный 18 2 4" xfId="14622"/>
    <cellStyle name="Обычный 18 2 4 2" xfId="14623"/>
    <cellStyle name="Обычный 18 2 4 3" xfId="14624"/>
    <cellStyle name="Обычный 18 2 5" xfId="14625"/>
    <cellStyle name="Обычный 18 2 5 2" xfId="14626"/>
    <cellStyle name="Обычный 18 2 5 3" xfId="14627"/>
    <cellStyle name="Обычный 18 2 6" xfId="14628"/>
    <cellStyle name="Обычный 18 2 6 2" xfId="14629"/>
    <cellStyle name="Обычный 18 2 7" xfId="14630"/>
    <cellStyle name="Обычный 18 2 8" xfId="14631"/>
    <cellStyle name="Обычный 18 3" xfId="14632"/>
    <cellStyle name="Обычный 18 3 2" xfId="14633"/>
    <cellStyle name="Обычный 18 3 2 2" xfId="14634"/>
    <cellStyle name="Обычный 18 3 2 2 2" xfId="14635"/>
    <cellStyle name="Обычный 18 3 2 2 3" xfId="14636"/>
    <cellStyle name="Обычный 18 3 2 3" xfId="14637"/>
    <cellStyle name="Обычный 18 3 2 3 2" xfId="14638"/>
    <cellStyle name="Обычный 18 3 2 3 3" xfId="14639"/>
    <cellStyle name="Обычный 18 3 2 4" xfId="14640"/>
    <cellStyle name="Обычный 18 3 2 4 2" xfId="14641"/>
    <cellStyle name="Обычный 18 3 2 5" xfId="14642"/>
    <cellStyle name="Обычный 18 3 2 6" xfId="14643"/>
    <cellStyle name="Обычный 18 3 3" xfId="14644"/>
    <cellStyle name="Обычный 18 3 3 2" xfId="14645"/>
    <cellStyle name="Обычный 18 3 3 3" xfId="14646"/>
    <cellStyle name="Обычный 18 3 4" xfId="14647"/>
    <cellStyle name="Обычный 18 3 4 2" xfId="14648"/>
    <cellStyle name="Обычный 18 3 4 3" xfId="14649"/>
    <cellStyle name="Обычный 18 3 5" xfId="14650"/>
    <cellStyle name="Обычный 18 3 5 2" xfId="14651"/>
    <cellStyle name="Обычный 18 3 6" xfId="14652"/>
    <cellStyle name="Обычный 18 3 7" xfId="14653"/>
    <cellStyle name="Обычный 18 4" xfId="14654"/>
    <cellStyle name="Обычный 18 4 2" xfId="14655"/>
    <cellStyle name="Обычный 18 4 2 2" xfId="14656"/>
    <cellStyle name="Обычный 18 4 2 3" xfId="14657"/>
    <cellStyle name="Обычный 18 4 3" xfId="14658"/>
    <cellStyle name="Обычный 18 4 3 2" xfId="14659"/>
    <cellStyle name="Обычный 18 4 3 3" xfId="14660"/>
    <cellStyle name="Обычный 18 4 4" xfId="14661"/>
    <cellStyle name="Обычный 18 4 4 2" xfId="14662"/>
    <cellStyle name="Обычный 18 4 5" xfId="14663"/>
    <cellStyle name="Обычный 18 4 6" xfId="14664"/>
    <cellStyle name="Обычный 18 5" xfId="14665"/>
    <cellStyle name="Обычный 18 5 2" xfId="14666"/>
    <cellStyle name="Обычный 18 5 3" xfId="14667"/>
    <cellStyle name="Обычный 18 6" xfId="14668"/>
    <cellStyle name="Обычный 18 6 2" xfId="14669"/>
    <cellStyle name="Обычный 18 6 3" xfId="14670"/>
    <cellStyle name="Обычный 18 7" xfId="14671"/>
    <cellStyle name="Обычный 18 7 2" xfId="14672"/>
    <cellStyle name="Обычный 18 8" xfId="14673"/>
    <cellStyle name="Обычный 18 9" xfId="14674"/>
    <cellStyle name="Обычный 19" xfId="14675"/>
    <cellStyle name="Обычный 19 2" xfId="14676"/>
    <cellStyle name="Обычный 2" xfId="14677"/>
    <cellStyle name="Обычный 2 10" xfId="14678"/>
    <cellStyle name="Обычный 2 10 2" xfId="14679"/>
    <cellStyle name="Обычный 2 2" xfId="14680"/>
    <cellStyle name="Обычный 2 2 2" xfId="14681"/>
    <cellStyle name="Обычный 2 3" xfId="14682"/>
    <cellStyle name="Обычный 2 4" xfId="14683"/>
    <cellStyle name="Обычный 2 5" xfId="14684"/>
    <cellStyle name="Обычный 2 6" xfId="14685"/>
    <cellStyle name="Обычный 2 7" xfId="14686"/>
    <cellStyle name="Обычный 2 8" xfId="14687"/>
    <cellStyle name="Обычный 2 9" xfId="14688"/>
    <cellStyle name="Обычный 2_94 УБ" xfId="14689"/>
    <cellStyle name="Обычный 20" xfId="14690"/>
    <cellStyle name="Обычный 20 2" xfId="14691"/>
    <cellStyle name="Обычный 20 3" xfId="14692"/>
    <cellStyle name="Обычный 21" xfId="14693"/>
    <cellStyle name="Обычный 21 2" xfId="14694"/>
    <cellStyle name="Обычный 21 3" xfId="14695"/>
    <cellStyle name="Обычный 22" xfId="14696"/>
    <cellStyle name="Обычный 23" xfId="14697"/>
    <cellStyle name="Обычный 24" xfId="14698"/>
    <cellStyle name="Обычный 25" xfId="14699"/>
    <cellStyle name="Обычный 26" xfId="14700"/>
    <cellStyle name="Обычный 26 2" xfId="14701"/>
    <cellStyle name="Обычный 27" xfId="14702"/>
    <cellStyle name="Обычный 27 2" xfId="14703"/>
    <cellStyle name="Обычный 27 3" xfId="14704"/>
    <cellStyle name="Обычный 28" xfId="14705"/>
    <cellStyle name="Обычный 28 2" xfId="14706"/>
    <cellStyle name="Обычный 3" xfId="14707"/>
    <cellStyle name="Обычный 3 2" xfId="14708"/>
    <cellStyle name="Обычный 3 2 2" xfId="14709"/>
    <cellStyle name="Обычный 3 2 3" xfId="14710"/>
    <cellStyle name="Обычный 3 2 4" xfId="14711"/>
    <cellStyle name="Обычный 3 2 5" xfId="14712"/>
    <cellStyle name="Обычный 3 3" xfId="14713"/>
    <cellStyle name="Обычный 3 3 2" xfId="14714"/>
    <cellStyle name="Обычный 3 4" xfId="14715"/>
    <cellStyle name="Обычный 3 5" xfId="14716"/>
    <cellStyle name="Обычный 3 6" xfId="14717"/>
    <cellStyle name="Обычный 4" xfId="14718"/>
    <cellStyle name="Обычный 4 2" xfId="14719"/>
    <cellStyle name="Обычный 4 2 2" xfId="14720"/>
    <cellStyle name="Обычный 5" xfId="14721"/>
    <cellStyle name="Обычный 5 2" xfId="14722"/>
    <cellStyle name="Обычный 5 2 2" xfId="14723"/>
    <cellStyle name="Обычный 5 2 3" xfId="14724"/>
    <cellStyle name="Обычный 5 3" xfId="14725"/>
    <cellStyle name="Обычный 5 3 2" xfId="14726"/>
    <cellStyle name="Обычный 5 4" xfId="14727"/>
    <cellStyle name="Обычный 6" xfId="14728"/>
    <cellStyle name="Обычный 6 10" xfId="14729"/>
    <cellStyle name="Обычный 6 10 10" xfId="14730"/>
    <cellStyle name="Обычный 6 10 2" xfId="14731"/>
    <cellStyle name="Обычный 6 10 2 2" xfId="14732"/>
    <cellStyle name="Обычный 6 10 2 2 2" xfId="14733"/>
    <cellStyle name="Обычный 6 10 2 2 2 2" xfId="14734"/>
    <cellStyle name="Обычный 6 10 2 2 2 2 2" xfId="14735"/>
    <cellStyle name="Обычный 6 10 2 2 2 2 2 2" xfId="14736"/>
    <cellStyle name="Обычный 6 10 2 2 2 2 2 3" xfId="14737"/>
    <cellStyle name="Обычный 6 10 2 2 2 2 3" xfId="14738"/>
    <cellStyle name="Обычный 6 10 2 2 2 2 3 2" xfId="14739"/>
    <cellStyle name="Обычный 6 10 2 2 2 2 3 3" xfId="14740"/>
    <cellStyle name="Обычный 6 10 2 2 2 2 4" xfId="14741"/>
    <cellStyle name="Обычный 6 10 2 2 2 2 4 2" xfId="14742"/>
    <cellStyle name="Обычный 6 10 2 2 2 2 5" xfId="14743"/>
    <cellStyle name="Обычный 6 10 2 2 2 2 6" xfId="14744"/>
    <cellStyle name="Обычный 6 10 2 2 2 3" xfId="14745"/>
    <cellStyle name="Обычный 6 10 2 2 2 3 2" xfId="14746"/>
    <cellStyle name="Обычный 6 10 2 2 2 3 3" xfId="14747"/>
    <cellStyle name="Обычный 6 10 2 2 2 4" xfId="14748"/>
    <cellStyle name="Обычный 6 10 2 2 2 4 2" xfId="14749"/>
    <cellStyle name="Обычный 6 10 2 2 2 4 3" xfId="14750"/>
    <cellStyle name="Обычный 6 10 2 2 2 5" xfId="14751"/>
    <cellStyle name="Обычный 6 10 2 2 2 5 2" xfId="14752"/>
    <cellStyle name="Обычный 6 10 2 2 2 6" xfId="14753"/>
    <cellStyle name="Обычный 6 10 2 2 2 7" xfId="14754"/>
    <cellStyle name="Обычный 6 10 2 2 3" xfId="14755"/>
    <cellStyle name="Обычный 6 10 2 2 3 2" xfId="14756"/>
    <cellStyle name="Обычный 6 10 2 2 3 2 2" xfId="14757"/>
    <cellStyle name="Обычный 6 10 2 2 3 2 3" xfId="14758"/>
    <cellStyle name="Обычный 6 10 2 2 3 3" xfId="14759"/>
    <cellStyle name="Обычный 6 10 2 2 3 3 2" xfId="14760"/>
    <cellStyle name="Обычный 6 10 2 2 3 3 3" xfId="14761"/>
    <cellStyle name="Обычный 6 10 2 2 3 4" xfId="14762"/>
    <cellStyle name="Обычный 6 10 2 2 3 4 2" xfId="14763"/>
    <cellStyle name="Обычный 6 10 2 2 3 5" xfId="14764"/>
    <cellStyle name="Обычный 6 10 2 2 3 6" xfId="14765"/>
    <cellStyle name="Обычный 6 10 2 2 4" xfId="14766"/>
    <cellStyle name="Обычный 6 10 2 2 4 2" xfId="14767"/>
    <cellStyle name="Обычный 6 10 2 2 4 3" xfId="14768"/>
    <cellStyle name="Обычный 6 10 2 2 5" xfId="14769"/>
    <cellStyle name="Обычный 6 10 2 2 5 2" xfId="14770"/>
    <cellStyle name="Обычный 6 10 2 2 5 3" xfId="14771"/>
    <cellStyle name="Обычный 6 10 2 2 6" xfId="14772"/>
    <cellStyle name="Обычный 6 10 2 2 6 2" xfId="14773"/>
    <cellStyle name="Обычный 6 10 2 2 7" xfId="14774"/>
    <cellStyle name="Обычный 6 10 2 2 8" xfId="14775"/>
    <cellStyle name="Обычный 6 10 2 3" xfId="14776"/>
    <cellStyle name="Обычный 6 10 2 3 2" xfId="14777"/>
    <cellStyle name="Обычный 6 10 2 3 2 2" xfId="14778"/>
    <cellStyle name="Обычный 6 10 2 3 2 2 2" xfId="14779"/>
    <cellStyle name="Обычный 6 10 2 3 2 2 3" xfId="14780"/>
    <cellStyle name="Обычный 6 10 2 3 2 3" xfId="14781"/>
    <cellStyle name="Обычный 6 10 2 3 2 3 2" xfId="14782"/>
    <cellStyle name="Обычный 6 10 2 3 2 3 3" xfId="14783"/>
    <cellStyle name="Обычный 6 10 2 3 2 4" xfId="14784"/>
    <cellStyle name="Обычный 6 10 2 3 2 4 2" xfId="14785"/>
    <cellStyle name="Обычный 6 10 2 3 2 5" xfId="14786"/>
    <cellStyle name="Обычный 6 10 2 3 2 6" xfId="14787"/>
    <cellStyle name="Обычный 6 10 2 3 3" xfId="14788"/>
    <cellStyle name="Обычный 6 10 2 3 3 2" xfId="14789"/>
    <cellStyle name="Обычный 6 10 2 3 3 3" xfId="14790"/>
    <cellStyle name="Обычный 6 10 2 3 4" xfId="14791"/>
    <cellStyle name="Обычный 6 10 2 3 4 2" xfId="14792"/>
    <cellStyle name="Обычный 6 10 2 3 4 3" xfId="14793"/>
    <cellStyle name="Обычный 6 10 2 3 5" xfId="14794"/>
    <cellStyle name="Обычный 6 10 2 3 5 2" xfId="14795"/>
    <cellStyle name="Обычный 6 10 2 3 6" xfId="14796"/>
    <cellStyle name="Обычный 6 10 2 3 7" xfId="14797"/>
    <cellStyle name="Обычный 6 10 2 4" xfId="14798"/>
    <cellStyle name="Обычный 6 10 2 4 2" xfId="14799"/>
    <cellStyle name="Обычный 6 10 2 4 2 2" xfId="14800"/>
    <cellStyle name="Обычный 6 10 2 4 2 3" xfId="14801"/>
    <cellStyle name="Обычный 6 10 2 4 3" xfId="14802"/>
    <cellStyle name="Обычный 6 10 2 4 3 2" xfId="14803"/>
    <cellStyle name="Обычный 6 10 2 4 3 3" xfId="14804"/>
    <cellStyle name="Обычный 6 10 2 4 4" xfId="14805"/>
    <cellStyle name="Обычный 6 10 2 4 4 2" xfId="14806"/>
    <cellStyle name="Обычный 6 10 2 4 5" xfId="14807"/>
    <cellStyle name="Обычный 6 10 2 4 6" xfId="14808"/>
    <cellStyle name="Обычный 6 10 2 5" xfId="14809"/>
    <cellStyle name="Обычный 6 10 2 5 2" xfId="14810"/>
    <cellStyle name="Обычный 6 10 2 5 3" xfId="14811"/>
    <cellStyle name="Обычный 6 10 2 6" xfId="14812"/>
    <cellStyle name="Обычный 6 10 2 6 2" xfId="14813"/>
    <cellStyle name="Обычный 6 10 2 6 3" xfId="14814"/>
    <cellStyle name="Обычный 6 10 2 7" xfId="14815"/>
    <cellStyle name="Обычный 6 10 2 7 2" xfId="14816"/>
    <cellStyle name="Обычный 6 10 2 8" xfId="14817"/>
    <cellStyle name="Обычный 6 10 2 9" xfId="14818"/>
    <cellStyle name="Обычный 6 10 3" xfId="14819"/>
    <cellStyle name="Обычный 6 10 3 2" xfId="14820"/>
    <cellStyle name="Обычный 6 10 3 2 2" xfId="14821"/>
    <cellStyle name="Обычный 6 10 3 2 2 2" xfId="14822"/>
    <cellStyle name="Обычный 6 10 3 2 2 2 2" xfId="14823"/>
    <cellStyle name="Обычный 6 10 3 2 2 2 3" xfId="14824"/>
    <cellStyle name="Обычный 6 10 3 2 2 3" xfId="14825"/>
    <cellStyle name="Обычный 6 10 3 2 2 3 2" xfId="14826"/>
    <cellStyle name="Обычный 6 10 3 2 2 3 3" xfId="14827"/>
    <cellStyle name="Обычный 6 10 3 2 2 4" xfId="14828"/>
    <cellStyle name="Обычный 6 10 3 2 2 4 2" xfId="14829"/>
    <cellStyle name="Обычный 6 10 3 2 2 5" xfId="14830"/>
    <cellStyle name="Обычный 6 10 3 2 2 6" xfId="14831"/>
    <cellStyle name="Обычный 6 10 3 2 3" xfId="14832"/>
    <cellStyle name="Обычный 6 10 3 2 3 2" xfId="14833"/>
    <cellStyle name="Обычный 6 10 3 2 3 3" xfId="14834"/>
    <cellStyle name="Обычный 6 10 3 2 4" xfId="14835"/>
    <cellStyle name="Обычный 6 10 3 2 4 2" xfId="14836"/>
    <cellStyle name="Обычный 6 10 3 2 4 3" xfId="14837"/>
    <cellStyle name="Обычный 6 10 3 2 5" xfId="14838"/>
    <cellStyle name="Обычный 6 10 3 2 5 2" xfId="14839"/>
    <cellStyle name="Обычный 6 10 3 2 6" xfId="14840"/>
    <cellStyle name="Обычный 6 10 3 2 7" xfId="14841"/>
    <cellStyle name="Обычный 6 10 3 3" xfId="14842"/>
    <cellStyle name="Обычный 6 10 3 3 2" xfId="14843"/>
    <cellStyle name="Обычный 6 10 3 3 2 2" xfId="14844"/>
    <cellStyle name="Обычный 6 10 3 3 2 3" xfId="14845"/>
    <cellStyle name="Обычный 6 10 3 3 3" xfId="14846"/>
    <cellStyle name="Обычный 6 10 3 3 3 2" xfId="14847"/>
    <cellStyle name="Обычный 6 10 3 3 3 3" xfId="14848"/>
    <cellStyle name="Обычный 6 10 3 3 4" xfId="14849"/>
    <cellStyle name="Обычный 6 10 3 3 4 2" xfId="14850"/>
    <cellStyle name="Обычный 6 10 3 3 5" xfId="14851"/>
    <cellStyle name="Обычный 6 10 3 3 6" xfId="14852"/>
    <cellStyle name="Обычный 6 10 3 4" xfId="14853"/>
    <cellStyle name="Обычный 6 10 3 4 2" xfId="14854"/>
    <cellStyle name="Обычный 6 10 3 4 3" xfId="14855"/>
    <cellStyle name="Обычный 6 10 3 5" xfId="14856"/>
    <cellStyle name="Обычный 6 10 3 5 2" xfId="14857"/>
    <cellStyle name="Обычный 6 10 3 5 3" xfId="14858"/>
    <cellStyle name="Обычный 6 10 3 6" xfId="14859"/>
    <cellStyle name="Обычный 6 10 3 6 2" xfId="14860"/>
    <cellStyle name="Обычный 6 10 3 7" xfId="14861"/>
    <cellStyle name="Обычный 6 10 3 8" xfId="14862"/>
    <cellStyle name="Обычный 6 10 4" xfId="14863"/>
    <cellStyle name="Обычный 6 10 4 2" xfId="14864"/>
    <cellStyle name="Обычный 6 10 4 2 2" xfId="14865"/>
    <cellStyle name="Обычный 6 10 4 2 2 2" xfId="14866"/>
    <cellStyle name="Обычный 6 10 4 2 2 3" xfId="14867"/>
    <cellStyle name="Обычный 6 10 4 2 3" xfId="14868"/>
    <cellStyle name="Обычный 6 10 4 2 3 2" xfId="14869"/>
    <cellStyle name="Обычный 6 10 4 2 3 3" xfId="14870"/>
    <cellStyle name="Обычный 6 10 4 2 4" xfId="14871"/>
    <cellStyle name="Обычный 6 10 4 2 4 2" xfId="14872"/>
    <cellStyle name="Обычный 6 10 4 2 5" xfId="14873"/>
    <cellStyle name="Обычный 6 10 4 2 6" xfId="14874"/>
    <cellStyle name="Обычный 6 10 4 3" xfId="14875"/>
    <cellStyle name="Обычный 6 10 4 3 2" xfId="14876"/>
    <cellStyle name="Обычный 6 10 4 3 3" xfId="14877"/>
    <cellStyle name="Обычный 6 10 4 4" xfId="14878"/>
    <cellStyle name="Обычный 6 10 4 4 2" xfId="14879"/>
    <cellStyle name="Обычный 6 10 4 4 3" xfId="14880"/>
    <cellStyle name="Обычный 6 10 4 5" xfId="14881"/>
    <cellStyle name="Обычный 6 10 4 5 2" xfId="14882"/>
    <cellStyle name="Обычный 6 10 4 6" xfId="14883"/>
    <cellStyle name="Обычный 6 10 4 7" xfId="14884"/>
    <cellStyle name="Обычный 6 10 5" xfId="14885"/>
    <cellStyle name="Обычный 6 10 5 2" xfId="14886"/>
    <cellStyle name="Обычный 6 10 5 2 2" xfId="14887"/>
    <cellStyle name="Обычный 6 10 5 2 3" xfId="14888"/>
    <cellStyle name="Обычный 6 10 5 3" xfId="14889"/>
    <cellStyle name="Обычный 6 10 5 3 2" xfId="14890"/>
    <cellStyle name="Обычный 6 10 5 3 3" xfId="14891"/>
    <cellStyle name="Обычный 6 10 5 4" xfId="14892"/>
    <cellStyle name="Обычный 6 10 5 4 2" xfId="14893"/>
    <cellStyle name="Обычный 6 10 5 5" xfId="14894"/>
    <cellStyle name="Обычный 6 10 5 6" xfId="14895"/>
    <cellStyle name="Обычный 6 10 6" xfId="14896"/>
    <cellStyle name="Обычный 6 10 6 2" xfId="14897"/>
    <cellStyle name="Обычный 6 10 6 3" xfId="14898"/>
    <cellStyle name="Обычный 6 10 7" xfId="14899"/>
    <cellStyle name="Обычный 6 10 7 2" xfId="14900"/>
    <cellStyle name="Обычный 6 10 7 3" xfId="14901"/>
    <cellStyle name="Обычный 6 10 8" xfId="14902"/>
    <cellStyle name="Обычный 6 10 8 2" xfId="14903"/>
    <cellStyle name="Обычный 6 10 9" xfId="14904"/>
    <cellStyle name="Обычный 6 11" xfId="14905"/>
    <cellStyle name="Обычный 6 11 10" xfId="14906"/>
    <cellStyle name="Обычный 6 11 2" xfId="14907"/>
    <cellStyle name="Обычный 6 11 2 2" xfId="14908"/>
    <cellStyle name="Обычный 6 11 2 2 2" xfId="14909"/>
    <cellStyle name="Обычный 6 11 2 2 2 2" xfId="14910"/>
    <cellStyle name="Обычный 6 11 2 2 2 2 2" xfId="14911"/>
    <cellStyle name="Обычный 6 11 2 2 2 2 2 2" xfId="14912"/>
    <cellStyle name="Обычный 6 11 2 2 2 2 2 3" xfId="14913"/>
    <cellStyle name="Обычный 6 11 2 2 2 2 3" xfId="14914"/>
    <cellStyle name="Обычный 6 11 2 2 2 2 3 2" xfId="14915"/>
    <cellStyle name="Обычный 6 11 2 2 2 2 3 3" xfId="14916"/>
    <cellStyle name="Обычный 6 11 2 2 2 2 4" xfId="14917"/>
    <cellStyle name="Обычный 6 11 2 2 2 2 4 2" xfId="14918"/>
    <cellStyle name="Обычный 6 11 2 2 2 2 5" xfId="14919"/>
    <cellStyle name="Обычный 6 11 2 2 2 2 6" xfId="14920"/>
    <cellStyle name="Обычный 6 11 2 2 2 3" xfId="14921"/>
    <cellStyle name="Обычный 6 11 2 2 2 3 2" xfId="14922"/>
    <cellStyle name="Обычный 6 11 2 2 2 3 3" xfId="14923"/>
    <cellStyle name="Обычный 6 11 2 2 2 4" xfId="14924"/>
    <cellStyle name="Обычный 6 11 2 2 2 4 2" xfId="14925"/>
    <cellStyle name="Обычный 6 11 2 2 2 4 3" xfId="14926"/>
    <cellStyle name="Обычный 6 11 2 2 2 5" xfId="14927"/>
    <cellStyle name="Обычный 6 11 2 2 2 5 2" xfId="14928"/>
    <cellStyle name="Обычный 6 11 2 2 2 6" xfId="14929"/>
    <cellStyle name="Обычный 6 11 2 2 2 7" xfId="14930"/>
    <cellStyle name="Обычный 6 11 2 2 3" xfId="14931"/>
    <cellStyle name="Обычный 6 11 2 2 3 2" xfId="14932"/>
    <cellStyle name="Обычный 6 11 2 2 3 2 2" xfId="14933"/>
    <cellStyle name="Обычный 6 11 2 2 3 2 3" xfId="14934"/>
    <cellStyle name="Обычный 6 11 2 2 3 3" xfId="14935"/>
    <cellStyle name="Обычный 6 11 2 2 3 3 2" xfId="14936"/>
    <cellStyle name="Обычный 6 11 2 2 3 3 3" xfId="14937"/>
    <cellStyle name="Обычный 6 11 2 2 3 4" xfId="14938"/>
    <cellStyle name="Обычный 6 11 2 2 3 4 2" xfId="14939"/>
    <cellStyle name="Обычный 6 11 2 2 3 5" xfId="14940"/>
    <cellStyle name="Обычный 6 11 2 2 3 6" xfId="14941"/>
    <cellStyle name="Обычный 6 11 2 2 4" xfId="14942"/>
    <cellStyle name="Обычный 6 11 2 2 4 2" xfId="14943"/>
    <cellStyle name="Обычный 6 11 2 2 4 3" xfId="14944"/>
    <cellStyle name="Обычный 6 11 2 2 5" xfId="14945"/>
    <cellStyle name="Обычный 6 11 2 2 5 2" xfId="14946"/>
    <cellStyle name="Обычный 6 11 2 2 5 3" xfId="14947"/>
    <cellStyle name="Обычный 6 11 2 2 6" xfId="14948"/>
    <cellStyle name="Обычный 6 11 2 2 6 2" xfId="14949"/>
    <cellStyle name="Обычный 6 11 2 2 7" xfId="14950"/>
    <cellStyle name="Обычный 6 11 2 2 8" xfId="14951"/>
    <cellStyle name="Обычный 6 11 2 3" xfId="14952"/>
    <cellStyle name="Обычный 6 11 2 3 2" xfId="14953"/>
    <cellStyle name="Обычный 6 11 2 3 2 2" xfId="14954"/>
    <cellStyle name="Обычный 6 11 2 3 2 2 2" xfId="14955"/>
    <cellStyle name="Обычный 6 11 2 3 2 2 3" xfId="14956"/>
    <cellStyle name="Обычный 6 11 2 3 2 3" xfId="14957"/>
    <cellStyle name="Обычный 6 11 2 3 2 3 2" xfId="14958"/>
    <cellStyle name="Обычный 6 11 2 3 2 3 3" xfId="14959"/>
    <cellStyle name="Обычный 6 11 2 3 2 4" xfId="14960"/>
    <cellStyle name="Обычный 6 11 2 3 2 4 2" xfId="14961"/>
    <cellStyle name="Обычный 6 11 2 3 2 5" xfId="14962"/>
    <cellStyle name="Обычный 6 11 2 3 2 6" xfId="14963"/>
    <cellStyle name="Обычный 6 11 2 3 3" xfId="14964"/>
    <cellStyle name="Обычный 6 11 2 3 3 2" xfId="14965"/>
    <cellStyle name="Обычный 6 11 2 3 3 3" xfId="14966"/>
    <cellStyle name="Обычный 6 11 2 3 4" xfId="14967"/>
    <cellStyle name="Обычный 6 11 2 3 4 2" xfId="14968"/>
    <cellStyle name="Обычный 6 11 2 3 4 3" xfId="14969"/>
    <cellStyle name="Обычный 6 11 2 3 5" xfId="14970"/>
    <cellStyle name="Обычный 6 11 2 3 5 2" xfId="14971"/>
    <cellStyle name="Обычный 6 11 2 3 6" xfId="14972"/>
    <cellStyle name="Обычный 6 11 2 3 7" xfId="14973"/>
    <cellStyle name="Обычный 6 11 2 4" xfId="14974"/>
    <cellStyle name="Обычный 6 11 2 4 2" xfId="14975"/>
    <cellStyle name="Обычный 6 11 2 4 2 2" xfId="14976"/>
    <cellStyle name="Обычный 6 11 2 4 2 3" xfId="14977"/>
    <cellStyle name="Обычный 6 11 2 4 3" xfId="14978"/>
    <cellStyle name="Обычный 6 11 2 4 3 2" xfId="14979"/>
    <cellStyle name="Обычный 6 11 2 4 3 3" xfId="14980"/>
    <cellStyle name="Обычный 6 11 2 4 4" xfId="14981"/>
    <cellStyle name="Обычный 6 11 2 4 4 2" xfId="14982"/>
    <cellStyle name="Обычный 6 11 2 4 5" xfId="14983"/>
    <cellStyle name="Обычный 6 11 2 4 6" xfId="14984"/>
    <cellStyle name="Обычный 6 11 2 5" xfId="14985"/>
    <cellStyle name="Обычный 6 11 2 5 2" xfId="14986"/>
    <cellStyle name="Обычный 6 11 2 5 3" xfId="14987"/>
    <cellStyle name="Обычный 6 11 2 6" xfId="14988"/>
    <cellStyle name="Обычный 6 11 2 6 2" xfId="14989"/>
    <cellStyle name="Обычный 6 11 2 6 3" xfId="14990"/>
    <cellStyle name="Обычный 6 11 2 7" xfId="14991"/>
    <cellStyle name="Обычный 6 11 2 7 2" xfId="14992"/>
    <cellStyle name="Обычный 6 11 2 8" xfId="14993"/>
    <cellStyle name="Обычный 6 11 2 9" xfId="14994"/>
    <cellStyle name="Обычный 6 11 3" xfId="14995"/>
    <cellStyle name="Обычный 6 11 3 2" xfId="14996"/>
    <cellStyle name="Обычный 6 11 3 2 2" xfId="14997"/>
    <cellStyle name="Обычный 6 11 3 2 2 2" xfId="14998"/>
    <cellStyle name="Обычный 6 11 3 2 2 2 2" xfId="14999"/>
    <cellStyle name="Обычный 6 11 3 2 2 2 3" xfId="15000"/>
    <cellStyle name="Обычный 6 11 3 2 2 3" xfId="15001"/>
    <cellStyle name="Обычный 6 11 3 2 2 3 2" xfId="15002"/>
    <cellStyle name="Обычный 6 11 3 2 2 3 3" xfId="15003"/>
    <cellStyle name="Обычный 6 11 3 2 2 4" xfId="15004"/>
    <cellStyle name="Обычный 6 11 3 2 2 4 2" xfId="15005"/>
    <cellStyle name="Обычный 6 11 3 2 2 5" xfId="15006"/>
    <cellStyle name="Обычный 6 11 3 2 2 6" xfId="15007"/>
    <cellStyle name="Обычный 6 11 3 2 3" xfId="15008"/>
    <cellStyle name="Обычный 6 11 3 2 3 2" xfId="15009"/>
    <cellStyle name="Обычный 6 11 3 2 3 3" xfId="15010"/>
    <cellStyle name="Обычный 6 11 3 2 4" xfId="15011"/>
    <cellStyle name="Обычный 6 11 3 2 4 2" xfId="15012"/>
    <cellStyle name="Обычный 6 11 3 2 4 3" xfId="15013"/>
    <cellStyle name="Обычный 6 11 3 2 5" xfId="15014"/>
    <cellStyle name="Обычный 6 11 3 2 5 2" xfId="15015"/>
    <cellStyle name="Обычный 6 11 3 2 6" xfId="15016"/>
    <cellStyle name="Обычный 6 11 3 2 7" xfId="15017"/>
    <cellStyle name="Обычный 6 11 3 3" xfId="15018"/>
    <cellStyle name="Обычный 6 11 3 3 2" xfId="15019"/>
    <cellStyle name="Обычный 6 11 3 3 2 2" xfId="15020"/>
    <cellStyle name="Обычный 6 11 3 3 2 3" xfId="15021"/>
    <cellStyle name="Обычный 6 11 3 3 3" xfId="15022"/>
    <cellStyle name="Обычный 6 11 3 3 3 2" xfId="15023"/>
    <cellStyle name="Обычный 6 11 3 3 3 3" xfId="15024"/>
    <cellStyle name="Обычный 6 11 3 3 4" xfId="15025"/>
    <cellStyle name="Обычный 6 11 3 3 4 2" xfId="15026"/>
    <cellStyle name="Обычный 6 11 3 3 5" xfId="15027"/>
    <cellStyle name="Обычный 6 11 3 3 6" xfId="15028"/>
    <cellStyle name="Обычный 6 11 3 4" xfId="15029"/>
    <cellStyle name="Обычный 6 11 3 4 2" xfId="15030"/>
    <cellStyle name="Обычный 6 11 3 4 3" xfId="15031"/>
    <cellStyle name="Обычный 6 11 3 5" xfId="15032"/>
    <cellStyle name="Обычный 6 11 3 5 2" xfId="15033"/>
    <cellStyle name="Обычный 6 11 3 5 3" xfId="15034"/>
    <cellStyle name="Обычный 6 11 3 6" xfId="15035"/>
    <cellStyle name="Обычный 6 11 3 6 2" xfId="15036"/>
    <cellStyle name="Обычный 6 11 3 7" xfId="15037"/>
    <cellStyle name="Обычный 6 11 3 8" xfId="15038"/>
    <cellStyle name="Обычный 6 11 4" xfId="15039"/>
    <cellStyle name="Обычный 6 11 4 2" xfId="15040"/>
    <cellStyle name="Обычный 6 11 4 2 2" xfId="15041"/>
    <cellStyle name="Обычный 6 11 4 2 2 2" xfId="15042"/>
    <cellStyle name="Обычный 6 11 4 2 2 3" xfId="15043"/>
    <cellStyle name="Обычный 6 11 4 2 3" xfId="15044"/>
    <cellStyle name="Обычный 6 11 4 2 3 2" xfId="15045"/>
    <cellStyle name="Обычный 6 11 4 2 3 3" xfId="15046"/>
    <cellStyle name="Обычный 6 11 4 2 4" xfId="15047"/>
    <cellStyle name="Обычный 6 11 4 2 4 2" xfId="15048"/>
    <cellStyle name="Обычный 6 11 4 2 5" xfId="15049"/>
    <cellStyle name="Обычный 6 11 4 2 6" xfId="15050"/>
    <cellStyle name="Обычный 6 11 4 3" xfId="15051"/>
    <cellStyle name="Обычный 6 11 4 3 2" xfId="15052"/>
    <cellStyle name="Обычный 6 11 4 3 3" xfId="15053"/>
    <cellStyle name="Обычный 6 11 4 4" xfId="15054"/>
    <cellStyle name="Обычный 6 11 4 4 2" xfId="15055"/>
    <cellStyle name="Обычный 6 11 4 4 3" xfId="15056"/>
    <cellStyle name="Обычный 6 11 4 5" xfId="15057"/>
    <cellStyle name="Обычный 6 11 4 5 2" xfId="15058"/>
    <cellStyle name="Обычный 6 11 4 6" xfId="15059"/>
    <cellStyle name="Обычный 6 11 4 7" xfId="15060"/>
    <cellStyle name="Обычный 6 11 5" xfId="15061"/>
    <cellStyle name="Обычный 6 11 5 2" xfId="15062"/>
    <cellStyle name="Обычный 6 11 5 2 2" xfId="15063"/>
    <cellStyle name="Обычный 6 11 5 2 3" xfId="15064"/>
    <cellStyle name="Обычный 6 11 5 3" xfId="15065"/>
    <cellStyle name="Обычный 6 11 5 3 2" xfId="15066"/>
    <cellStyle name="Обычный 6 11 5 3 3" xfId="15067"/>
    <cellStyle name="Обычный 6 11 5 4" xfId="15068"/>
    <cellStyle name="Обычный 6 11 5 4 2" xfId="15069"/>
    <cellStyle name="Обычный 6 11 5 5" xfId="15070"/>
    <cellStyle name="Обычный 6 11 5 6" xfId="15071"/>
    <cellStyle name="Обычный 6 11 6" xfId="15072"/>
    <cellStyle name="Обычный 6 11 6 2" xfId="15073"/>
    <cellStyle name="Обычный 6 11 6 3" xfId="15074"/>
    <cellStyle name="Обычный 6 11 7" xfId="15075"/>
    <cellStyle name="Обычный 6 11 7 2" xfId="15076"/>
    <cellStyle name="Обычный 6 11 7 3" xfId="15077"/>
    <cellStyle name="Обычный 6 11 8" xfId="15078"/>
    <cellStyle name="Обычный 6 11 8 2" xfId="15079"/>
    <cellStyle name="Обычный 6 11 9" xfId="15080"/>
    <cellStyle name="Обычный 6 12" xfId="15081"/>
    <cellStyle name="Обычный 6 12 10" xfId="15082"/>
    <cellStyle name="Обычный 6 12 2" xfId="15083"/>
    <cellStyle name="Обычный 6 12 2 2" xfId="15084"/>
    <cellStyle name="Обычный 6 12 2 2 2" xfId="15085"/>
    <cellStyle name="Обычный 6 12 2 2 2 2" xfId="15086"/>
    <cellStyle name="Обычный 6 12 2 2 2 2 2" xfId="15087"/>
    <cellStyle name="Обычный 6 12 2 2 2 2 2 2" xfId="15088"/>
    <cellStyle name="Обычный 6 12 2 2 2 2 2 3" xfId="15089"/>
    <cellStyle name="Обычный 6 12 2 2 2 2 3" xfId="15090"/>
    <cellStyle name="Обычный 6 12 2 2 2 2 3 2" xfId="15091"/>
    <cellStyle name="Обычный 6 12 2 2 2 2 3 3" xfId="15092"/>
    <cellStyle name="Обычный 6 12 2 2 2 2 4" xfId="15093"/>
    <cellStyle name="Обычный 6 12 2 2 2 2 4 2" xfId="15094"/>
    <cellStyle name="Обычный 6 12 2 2 2 2 5" xfId="15095"/>
    <cellStyle name="Обычный 6 12 2 2 2 2 6" xfId="15096"/>
    <cellStyle name="Обычный 6 12 2 2 2 3" xfId="15097"/>
    <cellStyle name="Обычный 6 12 2 2 2 3 2" xfId="15098"/>
    <cellStyle name="Обычный 6 12 2 2 2 3 3" xfId="15099"/>
    <cellStyle name="Обычный 6 12 2 2 2 4" xfId="15100"/>
    <cellStyle name="Обычный 6 12 2 2 2 4 2" xfId="15101"/>
    <cellStyle name="Обычный 6 12 2 2 2 4 3" xfId="15102"/>
    <cellStyle name="Обычный 6 12 2 2 2 5" xfId="15103"/>
    <cellStyle name="Обычный 6 12 2 2 2 5 2" xfId="15104"/>
    <cellStyle name="Обычный 6 12 2 2 2 6" xfId="15105"/>
    <cellStyle name="Обычный 6 12 2 2 2 7" xfId="15106"/>
    <cellStyle name="Обычный 6 12 2 2 3" xfId="15107"/>
    <cellStyle name="Обычный 6 12 2 2 3 2" xfId="15108"/>
    <cellStyle name="Обычный 6 12 2 2 3 2 2" xfId="15109"/>
    <cellStyle name="Обычный 6 12 2 2 3 2 3" xfId="15110"/>
    <cellStyle name="Обычный 6 12 2 2 3 3" xfId="15111"/>
    <cellStyle name="Обычный 6 12 2 2 3 3 2" xfId="15112"/>
    <cellStyle name="Обычный 6 12 2 2 3 3 3" xfId="15113"/>
    <cellStyle name="Обычный 6 12 2 2 3 4" xfId="15114"/>
    <cellStyle name="Обычный 6 12 2 2 3 4 2" xfId="15115"/>
    <cellStyle name="Обычный 6 12 2 2 3 5" xfId="15116"/>
    <cellStyle name="Обычный 6 12 2 2 3 6" xfId="15117"/>
    <cellStyle name="Обычный 6 12 2 2 4" xfId="15118"/>
    <cellStyle name="Обычный 6 12 2 2 4 2" xfId="15119"/>
    <cellStyle name="Обычный 6 12 2 2 4 3" xfId="15120"/>
    <cellStyle name="Обычный 6 12 2 2 5" xfId="15121"/>
    <cellStyle name="Обычный 6 12 2 2 5 2" xfId="15122"/>
    <cellStyle name="Обычный 6 12 2 2 5 3" xfId="15123"/>
    <cellStyle name="Обычный 6 12 2 2 6" xfId="15124"/>
    <cellStyle name="Обычный 6 12 2 2 6 2" xfId="15125"/>
    <cellStyle name="Обычный 6 12 2 2 7" xfId="15126"/>
    <cellStyle name="Обычный 6 12 2 2 8" xfId="15127"/>
    <cellStyle name="Обычный 6 12 2 3" xfId="15128"/>
    <cellStyle name="Обычный 6 12 2 3 2" xfId="15129"/>
    <cellStyle name="Обычный 6 12 2 3 2 2" xfId="15130"/>
    <cellStyle name="Обычный 6 12 2 3 2 2 2" xfId="15131"/>
    <cellStyle name="Обычный 6 12 2 3 2 2 3" xfId="15132"/>
    <cellStyle name="Обычный 6 12 2 3 2 3" xfId="15133"/>
    <cellStyle name="Обычный 6 12 2 3 2 3 2" xfId="15134"/>
    <cellStyle name="Обычный 6 12 2 3 2 3 3" xfId="15135"/>
    <cellStyle name="Обычный 6 12 2 3 2 4" xfId="15136"/>
    <cellStyle name="Обычный 6 12 2 3 2 4 2" xfId="15137"/>
    <cellStyle name="Обычный 6 12 2 3 2 5" xfId="15138"/>
    <cellStyle name="Обычный 6 12 2 3 2 6" xfId="15139"/>
    <cellStyle name="Обычный 6 12 2 3 3" xfId="15140"/>
    <cellStyle name="Обычный 6 12 2 3 3 2" xfId="15141"/>
    <cellStyle name="Обычный 6 12 2 3 3 3" xfId="15142"/>
    <cellStyle name="Обычный 6 12 2 3 4" xfId="15143"/>
    <cellStyle name="Обычный 6 12 2 3 4 2" xfId="15144"/>
    <cellStyle name="Обычный 6 12 2 3 4 3" xfId="15145"/>
    <cellStyle name="Обычный 6 12 2 3 5" xfId="15146"/>
    <cellStyle name="Обычный 6 12 2 3 5 2" xfId="15147"/>
    <cellStyle name="Обычный 6 12 2 3 6" xfId="15148"/>
    <cellStyle name="Обычный 6 12 2 3 7" xfId="15149"/>
    <cellStyle name="Обычный 6 12 2 4" xfId="15150"/>
    <cellStyle name="Обычный 6 12 2 4 2" xfId="15151"/>
    <cellStyle name="Обычный 6 12 2 4 2 2" xfId="15152"/>
    <cellStyle name="Обычный 6 12 2 4 2 3" xfId="15153"/>
    <cellStyle name="Обычный 6 12 2 4 3" xfId="15154"/>
    <cellStyle name="Обычный 6 12 2 4 3 2" xfId="15155"/>
    <cellStyle name="Обычный 6 12 2 4 3 3" xfId="15156"/>
    <cellStyle name="Обычный 6 12 2 4 4" xfId="15157"/>
    <cellStyle name="Обычный 6 12 2 4 4 2" xfId="15158"/>
    <cellStyle name="Обычный 6 12 2 4 5" xfId="15159"/>
    <cellStyle name="Обычный 6 12 2 4 6" xfId="15160"/>
    <cellStyle name="Обычный 6 12 2 5" xfId="15161"/>
    <cellStyle name="Обычный 6 12 2 5 2" xfId="15162"/>
    <cellStyle name="Обычный 6 12 2 5 3" xfId="15163"/>
    <cellStyle name="Обычный 6 12 2 6" xfId="15164"/>
    <cellStyle name="Обычный 6 12 2 6 2" xfId="15165"/>
    <cellStyle name="Обычный 6 12 2 6 3" xfId="15166"/>
    <cellStyle name="Обычный 6 12 2 7" xfId="15167"/>
    <cellStyle name="Обычный 6 12 2 7 2" xfId="15168"/>
    <cellStyle name="Обычный 6 12 2 8" xfId="15169"/>
    <cellStyle name="Обычный 6 12 2 9" xfId="15170"/>
    <cellStyle name="Обычный 6 12 3" xfId="15171"/>
    <cellStyle name="Обычный 6 12 3 2" xfId="15172"/>
    <cellStyle name="Обычный 6 12 3 2 2" xfId="15173"/>
    <cellStyle name="Обычный 6 12 3 2 2 2" xfId="15174"/>
    <cellStyle name="Обычный 6 12 3 2 2 2 2" xfId="15175"/>
    <cellStyle name="Обычный 6 12 3 2 2 2 3" xfId="15176"/>
    <cellStyle name="Обычный 6 12 3 2 2 3" xfId="15177"/>
    <cellStyle name="Обычный 6 12 3 2 2 3 2" xfId="15178"/>
    <cellStyle name="Обычный 6 12 3 2 2 3 3" xfId="15179"/>
    <cellStyle name="Обычный 6 12 3 2 2 4" xfId="15180"/>
    <cellStyle name="Обычный 6 12 3 2 2 4 2" xfId="15181"/>
    <cellStyle name="Обычный 6 12 3 2 2 5" xfId="15182"/>
    <cellStyle name="Обычный 6 12 3 2 2 6" xfId="15183"/>
    <cellStyle name="Обычный 6 12 3 2 3" xfId="15184"/>
    <cellStyle name="Обычный 6 12 3 2 3 2" xfId="15185"/>
    <cellStyle name="Обычный 6 12 3 2 3 3" xfId="15186"/>
    <cellStyle name="Обычный 6 12 3 2 4" xfId="15187"/>
    <cellStyle name="Обычный 6 12 3 2 4 2" xfId="15188"/>
    <cellStyle name="Обычный 6 12 3 2 4 3" xfId="15189"/>
    <cellStyle name="Обычный 6 12 3 2 5" xfId="15190"/>
    <cellStyle name="Обычный 6 12 3 2 5 2" xfId="15191"/>
    <cellStyle name="Обычный 6 12 3 2 6" xfId="15192"/>
    <cellStyle name="Обычный 6 12 3 2 7" xfId="15193"/>
    <cellStyle name="Обычный 6 12 3 3" xfId="15194"/>
    <cellStyle name="Обычный 6 12 3 3 2" xfId="15195"/>
    <cellStyle name="Обычный 6 12 3 3 2 2" xfId="15196"/>
    <cellStyle name="Обычный 6 12 3 3 2 3" xfId="15197"/>
    <cellStyle name="Обычный 6 12 3 3 3" xfId="15198"/>
    <cellStyle name="Обычный 6 12 3 3 3 2" xfId="15199"/>
    <cellStyle name="Обычный 6 12 3 3 3 3" xfId="15200"/>
    <cellStyle name="Обычный 6 12 3 3 4" xfId="15201"/>
    <cellStyle name="Обычный 6 12 3 3 4 2" xfId="15202"/>
    <cellStyle name="Обычный 6 12 3 3 5" xfId="15203"/>
    <cellStyle name="Обычный 6 12 3 3 6" xfId="15204"/>
    <cellStyle name="Обычный 6 12 3 4" xfId="15205"/>
    <cellStyle name="Обычный 6 12 3 4 2" xfId="15206"/>
    <cellStyle name="Обычный 6 12 3 4 3" xfId="15207"/>
    <cellStyle name="Обычный 6 12 3 5" xfId="15208"/>
    <cellStyle name="Обычный 6 12 3 5 2" xfId="15209"/>
    <cellStyle name="Обычный 6 12 3 5 3" xfId="15210"/>
    <cellStyle name="Обычный 6 12 3 6" xfId="15211"/>
    <cellStyle name="Обычный 6 12 3 6 2" xfId="15212"/>
    <cellStyle name="Обычный 6 12 3 7" xfId="15213"/>
    <cellStyle name="Обычный 6 12 3 8" xfId="15214"/>
    <cellStyle name="Обычный 6 12 4" xfId="15215"/>
    <cellStyle name="Обычный 6 12 4 2" xfId="15216"/>
    <cellStyle name="Обычный 6 12 4 2 2" xfId="15217"/>
    <cellStyle name="Обычный 6 12 4 2 2 2" xfId="15218"/>
    <cellStyle name="Обычный 6 12 4 2 2 3" xfId="15219"/>
    <cellStyle name="Обычный 6 12 4 2 3" xfId="15220"/>
    <cellStyle name="Обычный 6 12 4 2 3 2" xfId="15221"/>
    <cellStyle name="Обычный 6 12 4 2 3 3" xfId="15222"/>
    <cellStyle name="Обычный 6 12 4 2 4" xfId="15223"/>
    <cellStyle name="Обычный 6 12 4 2 4 2" xfId="15224"/>
    <cellStyle name="Обычный 6 12 4 2 5" xfId="15225"/>
    <cellStyle name="Обычный 6 12 4 2 6" xfId="15226"/>
    <cellStyle name="Обычный 6 12 4 3" xfId="15227"/>
    <cellStyle name="Обычный 6 12 4 3 2" xfId="15228"/>
    <cellStyle name="Обычный 6 12 4 3 3" xfId="15229"/>
    <cellStyle name="Обычный 6 12 4 4" xfId="15230"/>
    <cellStyle name="Обычный 6 12 4 4 2" xfId="15231"/>
    <cellStyle name="Обычный 6 12 4 4 3" xfId="15232"/>
    <cellStyle name="Обычный 6 12 4 5" xfId="15233"/>
    <cellStyle name="Обычный 6 12 4 5 2" xfId="15234"/>
    <cellStyle name="Обычный 6 12 4 6" xfId="15235"/>
    <cellStyle name="Обычный 6 12 4 7" xfId="15236"/>
    <cellStyle name="Обычный 6 12 5" xfId="15237"/>
    <cellStyle name="Обычный 6 12 5 2" xfId="15238"/>
    <cellStyle name="Обычный 6 12 5 2 2" xfId="15239"/>
    <cellStyle name="Обычный 6 12 5 2 3" xfId="15240"/>
    <cellStyle name="Обычный 6 12 5 3" xfId="15241"/>
    <cellStyle name="Обычный 6 12 5 3 2" xfId="15242"/>
    <cellStyle name="Обычный 6 12 5 3 3" xfId="15243"/>
    <cellStyle name="Обычный 6 12 5 4" xfId="15244"/>
    <cellStyle name="Обычный 6 12 5 4 2" xfId="15245"/>
    <cellStyle name="Обычный 6 12 5 5" xfId="15246"/>
    <cellStyle name="Обычный 6 12 5 6" xfId="15247"/>
    <cellStyle name="Обычный 6 12 6" xfId="15248"/>
    <cellStyle name="Обычный 6 12 6 2" xfId="15249"/>
    <cellStyle name="Обычный 6 12 6 3" xfId="15250"/>
    <cellStyle name="Обычный 6 12 7" xfId="15251"/>
    <cellStyle name="Обычный 6 12 7 2" xfId="15252"/>
    <cellStyle name="Обычный 6 12 7 3" xfId="15253"/>
    <cellStyle name="Обычный 6 12 8" xfId="15254"/>
    <cellStyle name="Обычный 6 12 8 2" xfId="15255"/>
    <cellStyle name="Обычный 6 12 9" xfId="15256"/>
    <cellStyle name="Обычный 6 13" xfId="15257"/>
    <cellStyle name="Обычный 6 13 2" xfId="15258"/>
    <cellStyle name="Обычный 6 13 2 2" xfId="15259"/>
    <cellStyle name="Обычный 6 13 2 2 2" xfId="15260"/>
    <cellStyle name="Обычный 6 13 2 2 2 2" xfId="15261"/>
    <cellStyle name="Обычный 6 13 2 2 2 2 2" xfId="15262"/>
    <cellStyle name="Обычный 6 13 2 2 2 2 3" xfId="15263"/>
    <cellStyle name="Обычный 6 13 2 2 2 3" xfId="15264"/>
    <cellStyle name="Обычный 6 13 2 2 2 3 2" xfId="15265"/>
    <cellStyle name="Обычный 6 13 2 2 2 3 3" xfId="15266"/>
    <cellStyle name="Обычный 6 13 2 2 2 4" xfId="15267"/>
    <cellStyle name="Обычный 6 13 2 2 2 4 2" xfId="15268"/>
    <cellStyle name="Обычный 6 13 2 2 2 5" xfId="15269"/>
    <cellStyle name="Обычный 6 13 2 2 2 6" xfId="15270"/>
    <cellStyle name="Обычный 6 13 2 2 3" xfId="15271"/>
    <cellStyle name="Обычный 6 13 2 2 3 2" xfId="15272"/>
    <cellStyle name="Обычный 6 13 2 2 3 3" xfId="15273"/>
    <cellStyle name="Обычный 6 13 2 2 4" xfId="15274"/>
    <cellStyle name="Обычный 6 13 2 2 4 2" xfId="15275"/>
    <cellStyle name="Обычный 6 13 2 2 4 3" xfId="15276"/>
    <cellStyle name="Обычный 6 13 2 2 5" xfId="15277"/>
    <cellStyle name="Обычный 6 13 2 2 5 2" xfId="15278"/>
    <cellStyle name="Обычный 6 13 2 2 6" xfId="15279"/>
    <cellStyle name="Обычный 6 13 2 2 7" xfId="15280"/>
    <cellStyle name="Обычный 6 13 2 3" xfId="15281"/>
    <cellStyle name="Обычный 6 13 2 3 2" xfId="15282"/>
    <cellStyle name="Обычный 6 13 2 3 2 2" xfId="15283"/>
    <cellStyle name="Обычный 6 13 2 3 2 3" xfId="15284"/>
    <cellStyle name="Обычный 6 13 2 3 3" xfId="15285"/>
    <cellStyle name="Обычный 6 13 2 3 3 2" xfId="15286"/>
    <cellStyle name="Обычный 6 13 2 3 3 3" xfId="15287"/>
    <cellStyle name="Обычный 6 13 2 3 4" xfId="15288"/>
    <cellStyle name="Обычный 6 13 2 3 4 2" xfId="15289"/>
    <cellStyle name="Обычный 6 13 2 3 5" xfId="15290"/>
    <cellStyle name="Обычный 6 13 2 3 6" xfId="15291"/>
    <cellStyle name="Обычный 6 13 2 4" xfId="15292"/>
    <cellStyle name="Обычный 6 13 2 4 2" xfId="15293"/>
    <cellStyle name="Обычный 6 13 2 4 3" xfId="15294"/>
    <cellStyle name="Обычный 6 13 2 5" xfId="15295"/>
    <cellStyle name="Обычный 6 13 2 5 2" xfId="15296"/>
    <cellStyle name="Обычный 6 13 2 5 3" xfId="15297"/>
    <cellStyle name="Обычный 6 13 2 6" xfId="15298"/>
    <cellStyle name="Обычный 6 13 2 6 2" xfId="15299"/>
    <cellStyle name="Обычный 6 13 2 7" xfId="15300"/>
    <cellStyle name="Обычный 6 13 2 8" xfId="15301"/>
    <cellStyle name="Обычный 6 13 3" xfId="15302"/>
    <cellStyle name="Обычный 6 13 3 2" xfId="15303"/>
    <cellStyle name="Обычный 6 13 3 2 2" xfId="15304"/>
    <cellStyle name="Обычный 6 13 3 2 2 2" xfId="15305"/>
    <cellStyle name="Обычный 6 13 3 2 2 3" xfId="15306"/>
    <cellStyle name="Обычный 6 13 3 2 3" xfId="15307"/>
    <cellStyle name="Обычный 6 13 3 2 3 2" xfId="15308"/>
    <cellStyle name="Обычный 6 13 3 2 3 3" xfId="15309"/>
    <cellStyle name="Обычный 6 13 3 2 4" xfId="15310"/>
    <cellStyle name="Обычный 6 13 3 2 4 2" xfId="15311"/>
    <cellStyle name="Обычный 6 13 3 2 5" xfId="15312"/>
    <cellStyle name="Обычный 6 13 3 2 6" xfId="15313"/>
    <cellStyle name="Обычный 6 13 3 3" xfId="15314"/>
    <cellStyle name="Обычный 6 13 3 3 2" xfId="15315"/>
    <cellStyle name="Обычный 6 13 3 3 3" xfId="15316"/>
    <cellStyle name="Обычный 6 13 3 4" xfId="15317"/>
    <cellStyle name="Обычный 6 13 3 4 2" xfId="15318"/>
    <cellStyle name="Обычный 6 13 3 4 3" xfId="15319"/>
    <cellStyle name="Обычный 6 13 3 5" xfId="15320"/>
    <cellStyle name="Обычный 6 13 3 5 2" xfId="15321"/>
    <cellStyle name="Обычный 6 13 3 6" xfId="15322"/>
    <cellStyle name="Обычный 6 13 3 7" xfId="15323"/>
    <cellStyle name="Обычный 6 13 4" xfId="15324"/>
    <cellStyle name="Обычный 6 13 4 2" xfId="15325"/>
    <cellStyle name="Обычный 6 13 4 2 2" xfId="15326"/>
    <cellStyle name="Обычный 6 13 4 2 3" xfId="15327"/>
    <cellStyle name="Обычный 6 13 4 3" xfId="15328"/>
    <cellStyle name="Обычный 6 13 4 3 2" xfId="15329"/>
    <cellStyle name="Обычный 6 13 4 3 3" xfId="15330"/>
    <cellStyle name="Обычный 6 13 4 4" xfId="15331"/>
    <cellStyle name="Обычный 6 13 4 4 2" xfId="15332"/>
    <cellStyle name="Обычный 6 13 4 5" xfId="15333"/>
    <cellStyle name="Обычный 6 13 4 6" xfId="15334"/>
    <cellStyle name="Обычный 6 13 5" xfId="15335"/>
    <cellStyle name="Обычный 6 13 5 2" xfId="15336"/>
    <cellStyle name="Обычный 6 13 5 3" xfId="15337"/>
    <cellStyle name="Обычный 6 13 6" xfId="15338"/>
    <cellStyle name="Обычный 6 13 6 2" xfId="15339"/>
    <cellStyle name="Обычный 6 13 6 3" xfId="15340"/>
    <cellStyle name="Обычный 6 13 7" xfId="15341"/>
    <cellStyle name="Обычный 6 13 7 2" xfId="15342"/>
    <cellStyle name="Обычный 6 13 8" xfId="15343"/>
    <cellStyle name="Обычный 6 13 9" xfId="15344"/>
    <cellStyle name="Обычный 6 14" xfId="15345"/>
    <cellStyle name="Обычный 6 14 2" xfId="15346"/>
    <cellStyle name="Обычный 6 14 2 2" xfId="15347"/>
    <cellStyle name="Обычный 6 14 2 2 2" xfId="15348"/>
    <cellStyle name="Обычный 6 14 2 2 2 2" xfId="15349"/>
    <cellStyle name="Обычный 6 14 2 2 2 3" xfId="15350"/>
    <cellStyle name="Обычный 6 14 2 2 3" xfId="15351"/>
    <cellStyle name="Обычный 6 14 2 2 3 2" xfId="15352"/>
    <cellStyle name="Обычный 6 14 2 2 3 3" xfId="15353"/>
    <cellStyle name="Обычный 6 14 2 2 4" xfId="15354"/>
    <cellStyle name="Обычный 6 14 2 2 4 2" xfId="15355"/>
    <cellStyle name="Обычный 6 14 2 2 5" xfId="15356"/>
    <cellStyle name="Обычный 6 14 2 2 6" xfId="15357"/>
    <cellStyle name="Обычный 6 14 2 3" xfId="15358"/>
    <cellStyle name="Обычный 6 14 2 3 2" xfId="15359"/>
    <cellStyle name="Обычный 6 14 2 3 3" xfId="15360"/>
    <cellStyle name="Обычный 6 14 2 4" xfId="15361"/>
    <cellStyle name="Обычный 6 14 2 4 2" xfId="15362"/>
    <cellStyle name="Обычный 6 14 2 4 3" xfId="15363"/>
    <cellStyle name="Обычный 6 14 2 5" xfId="15364"/>
    <cellStyle name="Обычный 6 14 2 5 2" xfId="15365"/>
    <cellStyle name="Обычный 6 14 2 6" xfId="15366"/>
    <cellStyle name="Обычный 6 14 2 7" xfId="15367"/>
    <cellStyle name="Обычный 6 14 3" xfId="15368"/>
    <cellStyle name="Обычный 6 14 3 2" xfId="15369"/>
    <cellStyle name="Обычный 6 14 3 2 2" xfId="15370"/>
    <cellStyle name="Обычный 6 14 3 2 3" xfId="15371"/>
    <cellStyle name="Обычный 6 14 3 3" xfId="15372"/>
    <cellStyle name="Обычный 6 14 3 3 2" xfId="15373"/>
    <cellStyle name="Обычный 6 14 3 3 3" xfId="15374"/>
    <cellStyle name="Обычный 6 14 3 4" xfId="15375"/>
    <cellStyle name="Обычный 6 14 3 4 2" xfId="15376"/>
    <cellStyle name="Обычный 6 14 3 5" xfId="15377"/>
    <cellStyle name="Обычный 6 14 3 6" xfId="15378"/>
    <cellStyle name="Обычный 6 14 4" xfId="15379"/>
    <cellStyle name="Обычный 6 14 4 2" xfId="15380"/>
    <cellStyle name="Обычный 6 14 4 3" xfId="15381"/>
    <cellStyle name="Обычный 6 14 5" xfId="15382"/>
    <cellStyle name="Обычный 6 14 5 2" xfId="15383"/>
    <cellStyle name="Обычный 6 14 5 3" xfId="15384"/>
    <cellStyle name="Обычный 6 14 6" xfId="15385"/>
    <cellStyle name="Обычный 6 14 6 2" xfId="15386"/>
    <cellStyle name="Обычный 6 14 7" xfId="15387"/>
    <cellStyle name="Обычный 6 14 8" xfId="15388"/>
    <cellStyle name="Обычный 6 15" xfId="15389"/>
    <cellStyle name="Обычный 6 15 2" xfId="15390"/>
    <cellStyle name="Обычный 6 15 2 2" xfId="15391"/>
    <cellStyle name="Обычный 6 15 2 2 2" xfId="15392"/>
    <cellStyle name="Обычный 6 15 2 2 3" xfId="15393"/>
    <cellStyle name="Обычный 6 15 2 3" xfId="15394"/>
    <cellStyle name="Обычный 6 15 2 3 2" xfId="15395"/>
    <cellStyle name="Обычный 6 15 2 3 3" xfId="15396"/>
    <cellStyle name="Обычный 6 15 2 4" xfId="15397"/>
    <cellStyle name="Обычный 6 15 2 4 2" xfId="15398"/>
    <cellStyle name="Обычный 6 15 2 5" xfId="15399"/>
    <cellStyle name="Обычный 6 15 2 6" xfId="15400"/>
    <cellStyle name="Обычный 6 15 3" xfId="15401"/>
    <cellStyle name="Обычный 6 15 3 2" xfId="15402"/>
    <cellStyle name="Обычный 6 15 3 3" xfId="15403"/>
    <cellStyle name="Обычный 6 15 4" xfId="15404"/>
    <cellStyle name="Обычный 6 15 4 2" xfId="15405"/>
    <cellStyle name="Обычный 6 15 4 3" xfId="15406"/>
    <cellStyle name="Обычный 6 15 5" xfId="15407"/>
    <cellStyle name="Обычный 6 15 5 2" xfId="15408"/>
    <cellStyle name="Обычный 6 15 6" xfId="15409"/>
    <cellStyle name="Обычный 6 15 7" xfId="15410"/>
    <cellStyle name="Обычный 6 16" xfId="15411"/>
    <cellStyle name="Обычный 6 16 2" xfId="15412"/>
    <cellStyle name="Обычный 6 16 2 2" xfId="15413"/>
    <cellStyle name="Обычный 6 16 2 3" xfId="15414"/>
    <cellStyle name="Обычный 6 16 3" xfId="15415"/>
    <cellStyle name="Обычный 6 16 3 2" xfId="15416"/>
    <cellStyle name="Обычный 6 16 3 3" xfId="15417"/>
    <cellStyle name="Обычный 6 16 4" xfId="15418"/>
    <cellStyle name="Обычный 6 16 4 2" xfId="15419"/>
    <cellStyle name="Обычный 6 16 5" xfId="15420"/>
    <cellStyle name="Обычный 6 16 6" xfId="15421"/>
    <cellStyle name="Обычный 6 17" xfId="15422"/>
    <cellStyle name="Обычный 6 17 2" xfId="15423"/>
    <cellStyle name="Обычный 6 17 3" xfId="15424"/>
    <cellStyle name="Обычный 6 18" xfId="15425"/>
    <cellStyle name="Обычный 6 18 2" xfId="15426"/>
    <cellStyle name="Обычный 6 18 3" xfId="15427"/>
    <cellStyle name="Обычный 6 19" xfId="15428"/>
    <cellStyle name="Обычный 6 19 2" xfId="15429"/>
    <cellStyle name="Обычный 6 2" xfId="15430"/>
    <cellStyle name="Обычный 6 2 10" xfId="15431"/>
    <cellStyle name="Обычный 6 2 10 2" xfId="15432"/>
    <cellStyle name="Обычный 6 2 10 3" xfId="15433"/>
    <cellStyle name="Обычный 6 2 11" xfId="15434"/>
    <cellStyle name="Обычный 6 2 11 2" xfId="15435"/>
    <cellStyle name="Обычный 6 2 11 3" xfId="15436"/>
    <cellStyle name="Обычный 6 2 12" xfId="15437"/>
    <cellStyle name="Обычный 6 2 12 2" xfId="15438"/>
    <cellStyle name="Обычный 6 2 13" xfId="15439"/>
    <cellStyle name="Обычный 6 2 14" xfId="15440"/>
    <cellStyle name="Обычный 6 2 15" xfId="15441"/>
    <cellStyle name="Обычный 6 2 2" xfId="15442"/>
    <cellStyle name="Обычный 6 2 2 10" xfId="15443"/>
    <cellStyle name="Обычный 6 2 2 10 2" xfId="15444"/>
    <cellStyle name="Обычный 6 2 2 10 3" xfId="15445"/>
    <cellStyle name="Обычный 6 2 2 11" xfId="15446"/>
    <cellStyle name="Обычный 6 2 2 11 2" xfId="15447"/>
    <cellStyle name="Обычный 6 2 2 12" xfId="15448"/>
    <cellStyle name="Обычный 6 2 2 13" xfId="15449"/>
    <cellStyle name="Обычный 6 2 2 2" xfId="15450"/>
    <cellStyle name="Обычный 6 2 2 2 10" xfId="15451"/>
    <cellStyle name="Обычный 6 2 2 2 2" xfId="15452"/>
    <cellStyle name="Обычный 6 2 2 2 2 2" xfId="15453"/>
    <cellStyle name="Обычный 6 2 2 2 2 2 2" xfId="15454"/>
    <cellStyle name="Обычный 6 2 2 2 2 2 2 2" xfId="15455"/>
    <cellStyle name="Обычный 6 2 2 2 2 2 2 2 2" xfId="15456"/>
    <cellStyle name="Обычный 6 2 2 2 2 2 2 2 2 2" xfId="15457"/>
    <cellStyle name="Обычный 6 2 2 2 2 2 2 2 2 3" xfId="15458"/>
    <cellStyle name="Обычный 6 2 2 2 2 2 2 2 3" xfId="15459"/>
    <cellStyle name="Обычный 6 2 2 2 2 2 2 2 3 2" xfId="15460"/>
    <cellStyle name="Обычный 6 2 2 2 2 2 2 2 3 3" xfId="15461"/>
    <cellStyle name="Обычный 6 2 2 2 2 2 2 2 4" xfId="15462"/>
    <cellStyle name="Обычный 6 2 2 2 2 2 2 2 4 2" xfId="15463"/>
    <cellStyle name="Обычный 6 2 2 2 2 2 2 2 5" xfId="15464"/>
    <cellStyle name="Обычный 6 2 2 2 2 2 2 2 6" xfId="15465"/>
    <cellStyle name="Обычный 6 2 2 2 2 2 2 3" xfId="15466"/>
    <cellStyle name="Обычный 6 2 2 2 2 2 2 3 2" xfId="15467"/>
    <cellStyle name="Обычный 6 2 2 2 2 2 2 3 3" xfId="15468"/>
    <cellStyle name="Обычный 6 2 2 2 2 2 2 4" xfId="15469"/>
    <cellStyle name="Обычный 6 2 2 2 2 2 2 4 2" xfId="15470"/>
    <cellStyle name="Обычный 6 2 2 2 2 2 2 4 3" xfId="15471"/>
    <cellStyle name="Обычный 6 2 2 2 2 2 2 5" xfId="15472"/>
    <cellStyle name="Обычный 6 2 2 2 2 2 2 5 2" xfId="15473"/>
    <cellStyle name="Обычный 6 2 2 2 2 2 2 6" xfId="15474"/>
    <cellStyle name="Обычный 6 2 2 2 2 2 2 7" xfId="15475"/>
    <cellStyle name="Обычный 6 2 2 2 2 2 3" xfId="15476"/>
    <cellStyle name="Обычный 6 2 2 2 2 2 3 2" xfId="15477"/>
    <cellStyle name="Обычный 6 2 2 2 2 2 3 2 2" xfId="15478"/>
    <cellStyle name="Обычный 6 2 2 2 2 2 3 2 3" xfId="15479"/>
    <cellStyle name="Обычный 6 2 2 2 2 2 3 3" xfId="15480"/>
    <cellStyle name="Обычный 6 2 2 2 2 2 3 3 2" xfId="15481"/>
    <cellStyle name="Обычный 6 2 2 2 2 2 3 3 3" xfId="15482"/>
    <cellStyle name="Обычный 6 2 2 2 2 2 3 4" xfId="15483"/>
    <cellStyle name="Обычный 6 2 2 2 2 2 3 4 2" xfId="15484"/>
    <cellStyle name="Обычный 6 2 2 2 2 2 3 5" xfId="15485"/>
    <cellStyle name="Обычный 6 2 2 2 2 2 3 6" xfId="15486"/>
    <cellStyle name="Обычный 6 2 2 2 2 2 4" xfId="15487"/>
    <cellStyle name="Обычный 6 2 2 2 2 2 4 2" xfId="15488"/>
    <cellStyle name="Обычный 6 2 2 2 2 2 4 3" xfId="15489"/>
    <cellStyle name="Обычный 6 2 2 2 2 2 5" xfId="15490"/>
    <cellStyle name="Обычный 6 2 2 2 2 2 5 2" xfId="15491"/>
    <cellStyle name="Обычный 6 2 2 2 2 2 5 3" xfId="15492"/>
    <cellStyle name="Обычный 6 2 2 2 2 2 6" xfId="15493"/>
    <cellStyle name="Обычный 6 2 2 2 2 2 6 2" xfId="15494"/>
    <cellStyle name="Обычный 6 2 2 2 2 2 7" xfId="15495"/>
    <cellStyle name="Обычный 6 2 2 2 2 2 8" xfId="15496"/>
    <cellStyle name="Обычный 6 2 2 2 2 3" xfId="15497"/>
    <cellStyle name="Обычный 6 2 2 2 2 3 2" xfId="15498"/>
    <cellStyle name="Обычный 6 2 2 2 2 3 2 2" xfId="15499"/>
    <cellStyle name="Обычный 6 2 2 2 2 3 2 2 2" xfId="15500"/>
    <cellStyle name="Обычный 6 2 2 2 2 3 2 2 3" xfId="15501"/>
    <cellStyle name="Обычный 6 2 2 2 2 3 2 3" xfId="15502"/>
    <cellStyle name="Обычный 6 2 2 2 2 3 2 3 2" xfId="15503"/>
    <cellStyle name="Обычный 6 2 2 2 2 3 2 3 3" xfId="15504"/>
    <cellStyle name="Обычный 6 2 2 2 2 3 2 4" xfId="15505"/>
    <cellStyle name="Обычный 6 2 2 2 2 3 2 4 2" xfId="15506"/>
    <cellStyle name="Обычный 6 2 2 2 2 3 2 5" xfId="15507"/>
    <cellStyle name="Обычный 6 2 2 2 2 3 2 6" xfId="15508"/>
    <cellStyle name="Обычный 6 2 2 2 2 3 3" xfId="15509"/>
    <cellStyle name="Обычный 6 2 2 2 2 3 3 2" xfId="15510"/>
    <cellStyle name="Обычный 6 2 2 2 2 3 3 3" xfId="15511"/>
    <cellStyle name="Обычный 6 2 2 2 2 3 4" xfId="15512"/>
    <cellStyle name="Обычный 6 2 2 2 2 3 4 2" xfId="15513"/>
    <cellStyle name="Обычный 6 2 2 2 2 3 4 3" xfId="15514"/>
    <cellStyle name="Обычный 6 2 2 2 2 3 5" xfId="15515"/>
    <cellStyle name="Обычный 6 2 2 2 2 3 5 2" xfId="15516"/>
    <cellStyle name="Обычный 6 2 2 2 2 3 6" xfId="15517"/>
    <cellStyle name="Обычный 6 2 2 2 2 3 7" xfId="15518"/>
    <cellStyle name="Обычный 6 2 2 2 2 4" xfId="15519"/>
    <cellStyle name="Обычный 6 2 2 2 2 4 2" xfId="15520"/>
    <cellStyle name="Обычный 6 2 2 2 2 4 2 2" xfId="15521"/>
    <cellStyle name="Обычный 6 2 2 2 2 4 2 3" xfId="15522"/>
    <cellStyle name="Обычный 6 2 2 2 2 4 3" xfId="15523"/>
    <cellStyle name="Обычный 6 2 2 2 2 4 3 2" xfId="15524"/>
    <cellStyle name="Обычный 6 2 2 2 2 4 3 3" xfId="15525"/>
    <cellStyle name="Обычный 6 2 2 2 2 4 4" xfId="15526"/>
    <cellStyle name="Обычный 6 2 2 2 2 4 4 2" xfId="15527"/>
    <cellStyle name="Обычный 6 2 2 2 2 4 5" xfId="15528"/>
    <cellStyle name="Обычный 6 2 2 2 2 4 6" xfId="15529"/>
    <cellStyle name="Обычный 6 2 2 2 2 5" xfId="15530"/>
    <cellStyle name="Обычный 6 2 2 2 2 5 2" xfId="15531"/>
    <cellStyle name="Обычный 6 2 2 2 2 5 3" xfId="15532"/>
    <cellStyle name="Обычный 6 2 2 2 2 6" xfId="15533"/>
    <cellStyle name="Обычный 6 2 2 2 2 6 2" xfId="15534"/>
    <cellStyle name="Обычный 6 2 2 2 2 6 3" xfId="15535"/>
    <cellStyle name="Обычный 6 2 2 2 2 7" xfId="15536"/>
    <cellStyle name="Обычный 6 2 2 2 2 7 2" xfId="15537"/>
    <cellStyle name="Обычный 6 2 2 2 2 8" xfId="15538"/>
    <cellStyle name="Обычный 6 2 2 2 2 9" xfId="15539"/>
    <cellStyle name="Обычный 6 2 2 2 3" xfId="15540"/>
    <cellStyle name="Обычный 6 2 2 2 3 2" xfId="15541"/>
    <cellStyle name="Обычный 6 2 2 2 3 2 2" xfId="15542"/>
    <cellStyle name="Обычный 6 2 2 2 3 2 2 2" xfId="15543"/>
    <cellStyle name="Обычный 6 2 2 2 3 2 2 2 2" xfId="15544"/>
    <cellStyle name="Обычный 6 2 2 2 3 2 2 2 3" xfId="15545"/>
    <cellStyle name="Обычный 6 2 2 2 3 2 2 3" xfId="15546"/>
    <cellStyle name="Обычный 6 2 2 2 3 2 2 3 2" xfId="15547"/>
    <cellStyle name="Обычный 6 2 2 2 3 2 2 3 3" xfId="15548"/>
    <cellStyle name="Обычный 6 2 2 2 3 2 2 4" xfId="15549"/>
    <cellStyle name="Обычный 6 2 2 2 3 2 2 4 2" xfId="15550"/>
    <cellStyle name="Обычный 6 2 2 2 3 2 2 5" xfId="15551"/>
    <cellStyle name="Обычный 6 2 2 2 3 2 2 6" xfId="15552"/>
    <cellStyle name="Обычный 6 2 2 2 3 2 3" xfId="15553"/>
    <cellStyle name="Обычный 6 2 2 2 3 2 3 2" xfId="15554"/>
    <cellStyle name="Обычный 6 2 2 2 3 2 3 3" xfId="15555"/>
    <cellStyle name="Обычный 6 2 2 2 3 2 4" xfId="15556"/>
    <cellStyle name="Обычный 6 2 2 2 3 2 4 2" xfId="15557"/>
    <cellStyle name="Обычный 6 2 2 2 3 2 4 3" xfId="15558"/>
    <cellStyle name="Обычный 6 2 2 2 3 2 5" xfId="15559"/>
    <cellStyle name="Обычный 6 2 2 2 3 2 5 2" xfId="15560"/>
    <cellStyle name="Обычный 6 2 2 2 3 2 6" xfId="15561"/>
    <cellStyle name="Обычный 6 2 2 2 3 2 7" xfId="15562"/>
    <cellStyle name="Обычный 6 2 2 2 3 3" xfId="15563"/>
    <cellStyle name="Обычный 6 2 2 2 3 3 2" xfId="15564"/>
    <cellStyle name="Обычный 6 2 2 2 3 3 2 2" xfId="15565"/>
    <cellStyle name="Обычный 6 2 2 2 3 3 2 3" xfId="15566"/>
    <cellStyle name="Обычный 6 2 2 2 3 3 3" xfId="15567"/>
    <cellStyle name="Обычный 6 2 2 2 3 3 3 2" xfId="15568"/>
    <cellStyle name="Обычный 6 2 2 2 3 3 3 3" xfId="15569"/>
    <cellStyle name="Обычный 6 2 2 2 3 3 4" xfId="15570"/>
    <cellStyle name="Обычный 6 2 2 2 3 3 4 2" xfId="15571"/>
    <cellStyle name="Обычный 6 2 2 2 3 3 5" xfId="15572"/>
    <cellStyle name="Обычный 6 2 2 2 3 3 6" xfId="15573"/>
    <cellStyle name="Обычный 6 2 2 2 3 4" xfId="15574"/>
    <cellStyle name="Обычный 6 2 2 2 3 4 2" xfId="15575"/>
    <cellStyle name="Обычный 6 2 2 2 3 4 3" xfId="15576"/>
    <cellStyle name="Обычный 6 2 2 2 3 5" xfId="15577"/>
    <cellStyle name="Обычный 6 2 2 2 3 5 2" xfId="15578"/>
    <cellStyle name="Обычный 6 2 2 2 3 5 3" xfId="15579"/>
    <cellStyle name="Обычный 6 2 2 2 3 6" xfId="15580"/>
    <cellStyle name="Обычный 6 2 2 2 3 6 2" xfId="15581"/>
    <cellStyle name="Обычный 6 2 2 2 3 7" xfId="15582"/>
    <cellStyle name="Обычный 6 2 2 2 3 8" xfId="15583"/>
    <cellStyle name="Обычный 6 2 2 2 4" xfId="15584"/>
    <cellStyle name="Обычный 6 2 2 2 4 2" xfId="15585"/>
    <cellStyle name="Обычный 6 2 2 2 4 2 2" xfId="15586"/>
    <cellStyle name="Обычный 6 2 2 2 4 2 2 2" xfId="15587"/>
    <cellStyle name="Обычный 6 2 2 2 4 2 2 3" xfId="15588"/>
    <cellStyle name="Обычный 6 2 2 2 4 2 3" xfId="15589"/>
    <cellStyle name="Обычный 6 2 2 2 4 2 3 2" xfId="15590"/>
    <cellStyle name="Обычный 6 2 2 2 4 2 3 3" xfId="15591"/>
    <cellStyle name="Обычный 6 2 2 2 4 2 4" xfId="15592"/>
    <cellStyle name="Обычный 6 2 2 2 4 2 4 2" xfId="15593"/>
    <cellStyle name="Обычный 6 2 2 2 4 2 5" xfId="15594"/>
    <cellStyle name="Обычный 6 2 2 2 4 2 6" xfId="15595"/>
    <cellStyle name="Обычный 6 2 2 2 4 3" xfId="15596"/>
    <cellStyle name="Обычный 6 2 2 2 4 3 2" xfId="15597"/>
    <cellStyle name="Обычный 6 2 2 2 4 3 3" xfId="15598"/>
    <cellStyle name="Обычный 6 2 2 2 4 4" xfId="15599"/>
    <cellStyle name="Обычный 6 2 2 2 4 4 2" xfId="15600"/>
    <cellStyle name="Обычный 6 2 2 2 4 4 3" xfId="15601"/>
    <cellStyle name="Обычный 6 2 2 2 4 5" xfId="15602"/>
    <cellStyle name="Обычный 6 2 2 2 4 5 2" xfId="15603"/>
    <cellStyle name="Обычный 6 2 2 2 4 6" xfId="15604"/>
    <cellStyle name="Обычный 6 2 2 2 4 7" xfId="15605"/>
    <cellStyle name="Обычный 6 2 2 2 5" xfId="15606"/>
    <cellStyle name="Обычный 6 2 2 2 5 2" xfId="15607"/>
    <cellStyle name="Обычный 6 2 2 2 5 2 2" xfId="15608"/>
    <cellStyle name="Обычный 6 2 2 2 5 2 3" xfId="15609"/>
    <cellStyle name="Обычный 6 2 2 2 5 3" xfId="15610"/>
    <cellStyle name="Обычный 6 2 2 2 5 3 2" xfId="15611"/>
    <cellStyle name="Обычный 6 2 2 2 5 3 3" xfId="15612"/>
    <cellStyle name="Обычный 6 2 2 2 5 4" xfId="15613"/>
    <cellStyle name="Обычный 6 2 2 2 5 4 2" xfId="15614"/>
    <cellStyle name="Обычный 6 2 2 2 5 5" xfId="15615"/>
    <cellStyle name="Обычный 6 2 2 2 5 6" xfId="15616"/>
    <cellStyle name="Обычный 6 2 2 2 6" xfId="15617"/>
    <cellStyle name="Обычный 6 2 2 2 6 2" xfId="15618"/>
    <cellStyle name="Обычный 6 2 2 2 6 3" xfId="15619"/>
    <cellStyle name="Обычный 6 2 2 2 7" xfId="15620"/>
    <cellStyle name="Обычный 6 2 2 2 7 2" xfId="15621"/>
    <cellStyle name="Обычный 6 2 2 2 7 3" xfId="15622"/>
    <cellStyle name="Обычный 6 2 2 2 8" xfId="15623"/>
    <cellStyle name="Обычный 6 2 2 2 8 2" xfId="15624"/>
    <cellStyle name="Обычный 6 2 2 2 9" xfId="15625"/>
    <cellStyle name="Обычный 6 2 2 3" xfId="15626"/>
    <cellStyle name="Обычный 6 2 2 3 10" xfId="15627"/>
    <cellStyle name="Обычный 6 2 2 3 2" xfId="15628"/>
    <cellStyle name="Обычный 6 2 2 3 2 2" xfId="15629"/>
    <cellStyle name="Обычный 6 2 2 3 2 2 2" xfId="15630"/>
    <cellStyle name="Обычный 6 2 2 3 2 2 2 2" xfId="15631"/>
    <cellStyle name="Обычный 6 2 2 3 2 2 2 2 2" xfId="15632"/>
    <cellStyle name="Обычный 6 2 2 3 2 2 2 2 2 2" xfId="15633"/>
    <cellStyle name="Обычный 6 2 2 3 2 2 2 2 2 3" xfId="15634"/>
    <cellStyle name="Обычный 6 2 2 3 2 2 2 2 3" xfId="15635"/>
    <cellStyle name="Обычный 6 2 2 3 2 2 2 2 3 2" xfId="15636"/>
    <cellStyle name="Обычный 6 2 2 3 2 2 2 2 3 3" xfId="15637"/>
    <cellStyle name="Обычный 6 2 2 3 2 2 2 2 4" xfId="15638"/>
    <cellStyle name="Обычный 6 2 2 3 2 2 2 2 4 2" xfId="15639"/>
    <cellStyle name="Обычный 6 2 2 3 2 2 2 2 5" xfId="15640"/>
    <cellStyle name="Обычный 6 2 2 3 2 2 2 2 6" xfId="15641"/>
    <cellStyle name="Обычный 6 2 2 3 2 2 2 3" xfId="15642"/>
    <cellStyle name="Обычный 6 2 2 3 2 2 2 3 2" xfId="15643"/>
    <cellStyle name="Обычный 6 2 2 3 2 2 2 3 3" xfId="15644"/>
    <cellStyle name="Обычный 6 2 2 3 2 2 2 4" xfId="15645"/>
    <cellStyle name="Обычный 6 2 2 3 2 2 2 4 2" xfId="15646"/>
    <cellStyle name="Обычный 6 2 2 3 2 2 2 4 3" xfId="15647"/>
    <cellStyle name="Обычный 6 2 2 3 2 2 2 5" xfId="15648"/>
    <cellStyle name="Обычный 6 2 2 3 2 2 2 5 2" xfId="15649"/>
    <cellStyle name="Обычный 6 2 2 3 2 2 2 6" xfId="15650"/>
    <cellStyle name="Обычный 6 2 2 3 2 2 2 7" xfId="15651"/>
    <cellStyle name="Обычный 6 2 2 3 2 2 3" xfId="15652"/>
    <cellStyle name="Обычный 6 2 2 3 2 2 3 2" xfId="15653"/>
    <cellStyle name="Обычный 6 2 2 3 2 2 3 2 2" xfId="15654"/>
    <cellStyle name="Обычный 6 2 2 3 2 2 3 2 3" xfId="15655"/>
    <cellStyle name="Обычный 6 2 2 3 2 2 3 3" xfId="15656"/>
    <cellStyle name="Обычный 6 2 2 3 2 2 3 3 2" xfId="15657"/>
    <cellStyle name="Обычный 6 2 2 3 2 2 3 3 3" xfId="15658"/>
    <cellStyle name="Обычный 6 2 2 3 2 2 3 4" xfId="15659"/>
    <cellStyle name="Обычный 6 2 2 3 2 2 3 4 2" xfId="15660"/>
    <cellStyle name="Обычный 6 2 2 3 2 2 3 5" xfId="15661"/>
    <cellStyle name="Обычный 6 2 2 3 2 2 3 6" xfId="15662"/>
    <cellStyle name="Обычный 6 2 2 3 2 2 4" xfId="15663"/>
    <cellStyle name="Обычный 6 2 2 3 2 2 4 2" xfId="15664"/>
    <cellStyle name="Обычный 6 2 2 3 2 2 4 3" xfId="15665"/>
    <cellStyle name="Обычный 6 2 2 3 2 2 5" xfId="15666"/>
    <cellStyle name="Обычный 6 2 2 3 2 2 5 2" xfId="15667"/>
    <cellStyle name="Обычный 6 2 2 3 2 2 5 3" xfId="15668"/>
    <cellStyle name="Обычный 6 2 2 3 2 2 6" xfId="15669"/>
    <cellStyle name="Обычный 6 2 2 3 2 2 6 2" xfId="15670"/>
    <cellStyle name="Обычный 6 2 2 3 2 2 7" xfId="15671"/>
    <cellStyle name="Обычный 6 2 2 3 2 2 8" xfId="15672"/>
    <cellStyle name="Обычный 6 2 2 3 2 3" xfId="15673"/>
    <cellStyle name="Обычный 6 2 2 3 2 3 2" xfId="15674"/>
    <cellStyle name="Обычный 6 2 2 3 2 3 2 2" xfId="15675"/>
    <cellStyle name="Обычный 6 2 2 3 2 3 2 2 2" xfId="15676"/>
    <cellStyle name="Обычный 6 2 2 3 2 3 2 2 3" xfId="15677"/>
    <cellStyle name="Обычный 6 2 2 3 2 3 2 3" xfId="15678"/>
    <cellStyle name="Обычный 6 2 2 3 2 3 2 3 2" xfId="15679"/>
    <cellStyle name="Обычный 6 2 2 3 2 3 2 3 3" xfId="15680"/>
    <cellStyle name="Обычный 6 2 2 3 2 3 2 4" xfId="15681"/>
    <cellStyle name="Обычный 6 2 2 3 2 3 2 4 2" xfId="15682"/>
    <cellStyle name="Обычный 6 2 2 3 2 3 2 5" xfId="15683"/>
    <cellStyle name="Обычный 6 2 2 3 2 3 2 6" xfId="15684"/>
    <cellStyle name="Обычный 6 2 2 3 2 3 3" xfId="15685"/>
    <cellStyle name="Обычный 6 2 2 3 2 3 3 2" xfId="15686"/>
    <cellStyle name="Обычный 6 2 2 3 2 3 3 3" xfId="15687"/>
    <cellStyle name="Обычный 6 2 2 3 2 3 4" xfId="15688"/>
    <cellStyle name="Обычный 6 2 2 3 2 3 4 2" xfId="15689"/>
    <cellStyle name="Обычный 6 2 2 3 2 3 4 3" xfId="15690"/>
    <cellStyle name="Обычный 6 2 2 3 2 3 5" xfId="15691"/>
    <cellStyle name="Обычный 6 2 2 3 2 3 5 2" xfId="15692"/>
    <cellStyle name="Обычный 6 2 2 3 2 3 6" xfId="15693"/>
    <cellStyle name="Обычный 6 2 2 3 2 3 7" xfId="15694"/>
    <cellStyle name="Обычный 6 2 2 3 2 4" xfId="15695"/>
    <cellStyle name="Обычный 6 2 2 3 2 4 2" xfId="15696"/>
    <cellStyle name="Обычный 6 2 2 3 2 4 2 2" xfId="15697"/>
    <cellStyle name="Обычный 6 2 2 3 2 4 2 3" xfId="15698"/>
    <cellStyle name="Обычный 6 2 2 3 2 4 3" xfId="15699"/>
    <cellStyle name="Обычный 6 2 2 3 2 4 3 2" xfId="15700"/>
    <cellStyle name="Обычный 6 2 2 3 2 4 3 3" xfId="15701"/>
    <cellStyle name="Обычный 6 2 2 3 2 4 4" xfId="15702"/>
    <cellStyle name="Обычный 6 2 2 3 2 4 4 2" xfId="15703"/>
    <cellStyle name="Обычный 6 2 2 3 2 4 5" xfId="15704"/>
    <cellStyle name="Обычный 6 2 2 3 2 4 6" xfId="15705"/>
    <cellStyle name="Обычный 6 2 2 3 2 5" xfId="15706"/>
    <cellStyle name="Обычный 6 2 2 3 2 5 2" xfId="15707"/>
    <cellStyle name="Обычный 6 2 2 3 2 5 3" xfId="15708"/>
    <cellStyle name="Обычный 6 2 2 3 2 6" xfId="15709"/>
    <cellStyle name="Обычный 6 2 2 3 2 6 2" xfId="15710"/>
    <cellStyle name="Обычный 6 2 2 3 2 6 3" xfId="15711"/>
    <cellStyle name="Обычный 6 2 2 3 2 7" xfId="15712"/>
    <cellStyle name="Обычный 6 2 2 3 2 7 2" xfId="15713"/>
    <cellStyle name="Обычный 6 2 2 3 2 8" xfId="15714"/>
    <cellStyle name="Обычный 6 2 2 3 2 9" xfId="15715"/>
    <cellStyle name="Обычный 6 2 2 3 3" xfId="15716"/>
    <cellStyle name="Обычный 6 2 2 3 3 2" xfId="15717"/>
    <cellStyle name="Обычный 6 2 2 3 3 2 2" xfId="15718"/>
    <cellStyle name="Обычный 6 2 2 3 3 2 2 2" xfId="15719"/>
    <cellStyle name="Обычный 6 2 2 3 3 2 2 2 2" xfId="15720"/>
    <cellStyle name="Обычный 6 2 2 3 3 2 2 2 3" xfId="15721"/>
    <cellStyle name="Обычный 6 2 2 3 3 2 2 3" xfId="15722"/>
    <cellStyle name="Обычный 6 2 2 3 3 2 2 3 2" xfId="15723"/>
    <cellStyle name="Обычный 6 2 2 3 3 2 2 3 3" xfId="15724"/>
    <cellStyle name="Обычный 6 2 2 3 3 2 2 4" xfId="15725"/>
    <cellStyle name="Обычный 6 2 2 3 3 2 2 4 2" xfId="15726"/>
    <cellStyle name="Обычный 6 2 2 3 3 2 2 5" xfId="15727"/>
    <cellStyle name="Обычный 6 2 2 3 3 2 2 6" xfId="15728"/>
    <cellStyle name="Обычный 6 2 2 3 3 2 3" xfId="15729"/>
    <cellStyle name="Обычный 6 2 2 3 3 2 3 2" xfId="15730"/>
    <cellStyle name="Обычный 6 2 2 3 3 2 3 3" xfId="15731"/>
    <cellStyle name="Обычный 6 2 2 3 3 2 4" xfId="15732"/>
    <cellStyle name="Обычный 6 2 2 3 3 2 4 2" xfId="15733"/>
    <cellStyle name="Обычный 6 2 2 3 3 2 4 3" xfId="15734"/>
    <cellStyle name="Обычный 6 2 2 3 3 2 5" xfId="15735"/>
    <cellStyle name="Обычный 6 2 2 3 3 2 5 2" xfId="15736"/>
    <cellStyle name="Обычный 6 2 2 3 3 2 6" xfId="15737"/>
    <cellStyle name="Обычный 6 2 2 3 3 2 7" xfId="15738"/>
    <cellStyle name="Обычный 6 2 2 3 3 3" xfId="15739"/>
    <cellStyle name="Обычный 6 2 2 3 3 3 2" xfId="15740"/>
    <cellStyle name="Обычный 6 2 2 3 3 3 2 2" xfId="15741"/>
    <cellStyle name="Обычный 6 2 2 3 3 3 2 3" xfId="15742"/>
    <cellStyle name="Обычный 6 2 2 3 3 3 3" xfId="15743"/>
    <cellStyle name="Обычный 6 2 2 3 3 3 3 2" xfId="15744"/>
    <cellStyle name="Обычный 6 2 2 3 3 3 3 3" xfId="15745"/>
    <cellStyle name="Обычный 6 2 2 3 3 3 4" xfId="15746"/>
    <cellStyle name="Обычный 6 2 2 3 3 3 4 2" xfId="15747"/>
    <cellStyle name="Обычный 6 2 2 3 3 3 5" xfId="15748"/>
    <cellStyle name="Обычный 6 2 2 3 3 3 6" xfId="15749"/>
    <cellStyle name="Обычный 6 2 2 3 3 4" xfId="15750"/>
    <cellStyle name="Обычный 6 2 2 3 3 4 2" xfId="15751"/>
    <cellStyle name="Обычный 6 2 2 3 3 4 3" xfId="15752"/>
    <cellStyle name="Обычный 6 2 2 3 3 5" xfId="15753"/>
    <cellStyle name="Обычный 6 2 2 3 3 5 2" xfId="15754"/>
    <cellStyle name="Обычный 6 2 2 3 3 5 3" xfId="15755"/>
    <cellStyle name="Обычный 6 2 2 3 3 6" xfId="15756"/>
    <cellStyle name="Обычный 6 2 2 3 3 6 2" xfId="15757"/>
    <cellStyle name="Обычный 6 2 2 3 3 7" xfId="15758"/>
    <cellStyle name="Обычный 6 2 2 3 3 8" xfId="15759"/>
    <cellStyle name="Обычный 6 2 2 3 4" xfId="15760"/>
    <cellStyle name="Обычный 6 2 2 3 4 2" xfId="15761"/>
    <cellStyle name="Обычный 6 2 2 3 4 2 2" xfId="15762"/>
    <cellStyle name="Обычный 6 2 2 3 4 2 2 2" xfId="15763"/>
    <cellStyle name="Обычный 6 2 2 3 4 2 2 3" xfId="15764"/>
    <cellStyle name="Обычный 6 2 2 3 4 2 3" xfId="15765"/>
    <cellStyle name="Обычный 6 2 2 3 4 2 3 2" xfId="15766"/>
    <cellStyle name="Обычный 6 2 2 3 4 2 3 3" xfId="15767"/>
    <cellStyle name="Обычный 6 2 2 3 4 2 4" xfId="15768"/>
    <cellStyle name="Обычный 6 2 2 3 4 2 4 2" xfId="15769"/>
    <cellStyle name="Обычный 6 2 2 3 4 2 5" xfId="15770"/>
    <cellStyle name="Обычный 6 2 2 3 4 2 6" xfId="15771"/>
    <cellStyle name="Обычный 6 2 2 3 4 3" xfId="15772"/>
    <cellStyle name="Обычный 6 2 2 3 4 3 2" xfId="15773"/>
    <cellStyle name="Обычный 6 2 2 3 4 3 3" xfId="15774"/>
    <cellStyle name="Обычный 6 2 2 3 4 4" xfId="15775"/>
    <cellStyle name="Обычный 6 2 2 3 4 4 2" xfId="15776"/>
    <cellStyle name="Обычный 6 2 2 3 4 4 3" xfId="15777"/>
    <cellStyle name="Обычный 6 2 2 3 4 5" xfId="15778"/>
    <cellStyle name="Обычный 6 2 2 3 4 5 2" xfId="15779"/>
    <cellStyle name="Обычный 6 2 2 3 4 6" xfId="15780"/>
    <cellStyle name="Обычный 6 2 2 3 4 7" xfId="15781"/>
    <cellStyle name="Обычный 6 2 2 3 5" xfId="15782"/>
    <cellStyle name="Обычный 6 2 2 3 5 2" xfId="15783"/>
    <cellStyle name="Обычный 6 2 2 3 5 2 2" xfId="15784"/>
    <cellStyle name="Обычный 6 2 2 3 5 2 3" xfId="15785"/>
    <cellStyle name="Обычный 6 2 2 3 5 3" xfId="15786"/>
    <cellStyle name="Обычный 6 2 2 3 5 3 2" xfId="15787"/>
    <cellStyle name="Обычный 6 2 2 3 5 3 3" xfId="15788"/>
    <cellStyle name="Обычный 6 2 2 3 5 4" xfId="15789"/>
    <cellStyle name="Обычный 6 2 2 3 5 4 2" xfId="15790"/>
    <cellStyle name="Обычный 6 2 2 3 5 5" xfId="15791"/>
    <cellStyle name="Обычный 6 2 2 3 5 6" xfId="15792"/>
    <cellStyle name="Обычный 6 2 2 3 6" xfId="15793"/>
    <cellStyle name="Обычный 6 2 2 3 6 2" xfId="15794"/>
    <cellStyle name="Обычный 6 2 2 3 6 3" xfId="15795"/>
    <cellStyle name="Обычный 6 2 2 3 7" xfId="15796"/>
    <cellStyle name="Обычный 6 2 2 3 7 2" xfId="15797"/>
    <cellStyle name="Обычный 6 2 2 3 7 3" xfId="15798"/>
    <cellStyle name="Обычный 6 2 2 3 8" xfId="15799"/>
    <cellStyle name="Обычный 6 2 2 3 8 2" xfId="15800"/>
    <cellStyle name="Обычный 6 2 2 3 9" xfId="15801"/>
    <cellStyle name="Обычный 6 2 2 4" xfId="15802"/>
    <cellStyle name="Обычный 6 2 2 4 10" xfId="15803"/>
    <cellStyle name="Обычный 6 2 2 4 2" xfId="15804"/>
    <cellStyle name="Обычный 6 2 2 4 2 2" xfId="15805"/>
    <cellStyle name="Обычный 6 2 2 4 2 2 2" xfId="15806"/>
    <cellStyle name="Обычный 6 2 2 4 2 2 2 2" xfId="15807"/>
    <cellStyle name="Обычный 6 2 2 4 2 2 2 2 2" xfId="15808"/>
    <cellStyle name="Обычный 6 2 2 4 2 2 2 2 2 2" xfId="15809"/>
    <cellStyle name="Обычный 6 2 2 4 2 2 2 2 2 3" xfId="15810"/>
    <cellStyle name="Обычный 6 2 2 4 2 2 2 2 3" xfId="15811"/>
    <cellStyle name="Обычный 6 2 2 4 2 2 2 2 3 2" xfId="15812"/>
    <cellStyle name="Обычный 6 2 2 4 2 2 2 2 3 3" xfId="15813"/>
    <cellStyle name="Обычный 6 2 2 4 2 2 2 2 4" xfId="15814"/>
    <cellStyle name="Обычный 6 2 2 4 2 2 2 2 4 2" xfId="15815"/>
    <cellStyle name="Обычный 6 2 2 4 2 2 2 2 5" xfId="15816"/>
    <cellStyle name="Обычный 6 2 2 4 2 2 2 2 6" xfId="15817"/>
    <cellStyle name="Обычный 6 2 2 4 2 2 2 3" xfId="15818"/>
    <cellStyle name="Обычный 6 2 2 4 2 2 2 3 2" xfId="15819"/>
    <cellStyle name="Обычный 6 2 2 4 2 2 2 3 3" xfId="15820"/>
    <cellStyle name="Обычный 6 2 2 4 2 2 2 4" xfId="15821"/>
    <cellStyle name="Обычный 6 2 2 4 2 2 2 4 2" xfId="15822"/>
    <cellStyle name="Обычный 6 2 2 4 2 2 2 4 3" xfId="15823"/>
    <cellStyle name="Обычный 6 2 2 4 2 2 2 5" xfId="15824"/>
    <cellStyle name="Обычный 6 2 2 4 2 2 2 5 2" xfId="15825"/>
    <cellStyle name="Обычный 6 2 2 4 2 2 2 6" xfId="15826"/>
    <cellStyle name="Обычный 6 2 2 4 2 2 2 7" xfId="15827"/>
    <cellStyle name="Обычный 6 2 2 4 2 2 3" xfId="15828"/>
    <cellStyle name="Обычный 6 2 2 4 2 2 3 2" xfId="15829"/>
    <cellStyle name="Обычный 6 2 2 4 2 2 3 2 2" xfId="15830"/>
    <cellStyle name="Обычный 6 2 2 4 2 2 3 2 3" xfId="15831"/>
    <cellStyle name="Обычный 6 2 2 4 2 2 3 3" xfId="15832"/>
    <cellStyle name="Обычный 6 2 2 4 2 2 3 3 2" xfId="15833"/>
    <cellStyle name="Обычный 6 2 2 4 2 2 3 3 3" xfId="15834"/>
    <cellStyle name="Обычный 6 2 2 4 2 2 3 4" xfId="15835"/>
    <cellStyle name="Обычный 6 2 2 4 2 2 3 4 2" xfId="15836"/>
    <cellStyle name="Обычный 6 2 2 4 2 2 3 5" xfId="15837"/>
    <cellStyle name="Обычный 6 2 2 4 2 2 3 6" xfId="15838"/>
    <cellStyle name="Обычный 6 2 2 4 2 2 4" xfId="15839"/>
    <cellStyle name="Обычный 6 2 2 4 2 2 4 2" xfId="15840"/>
    <cellStyle name="Обычный 6 2 2 4 2 2 4 3" xfId="15841"/>
    <cellStyle name="Обычный 6 2 2 4 2 2 5" xfId="15842"/>
    <cellStyle name="Обычный 6 2 2 4 2 2 5 2" xfId="15843"/>
    <cellStyle name="Обычный 6 2 2 4 2 2 5 3" xfId="15844"/>
    <cellStyle name="Обычный 6 2 2 4 2 2 6" xfId="15845"/>
    <cellStyle name="Обычный 6 2 2 4 2 2 6 2" xfId="15846"/>
    <cellStyle name="Обычный 6 2 2 4 2 2 7" xfId="15847"/>
    <cellStyle name="Обычный 6 2 2 4 2 2 8" xfId="15848"/>
    <cellStyle name="Обычный 6 2 2 4 2 3" xfId="15849"/>
    <cellStyle name="Обычный 6 2 2 4 2 3 2" xfId="15850"/>
    <cellStyle name="Обычный 6 2 2 4 2 3 2 2" xfId="15851"/>
    <cellStyle name="Обычный 6 2 2 4 2 3 2 2 2" xfId="15852"/>
    <cellStyle name="Обычный 6 2 2 4 2 3 2 2 3" xfId="15853"/>
    <cellStyle name="Обычный 6 2 2 4 2 3 2 3" xfId="15854"/>
    <cellStyle name="Обычный 6 2 2 4 2 3 2 3 2" xfId="15855"/>
    <cellStyle name="Обычный 6 2 2 4 2 3 2 3 3" xfId="15856"/>
    <cellStyle name="Обычный 6 2 2 4 2 3 2 4" xfId="15857"/>
    <cellStyle name="Обычный 6 2 2 4 2 3 2 4 2" xfId="15858"/>
    <cellStyle name="Обычный 6 2 2 4 2 3 2 5" xfId="15859"/>
    <cellStyle name="Обычный 6 2 2 4 2 3 2 6" xfId="15860"/>
    <cellStyle name="Обычный 6 2 2 4 2 3 3" xfId="15861"/>
    <cellStyle name="Обычный 6 2 2 4 2 3 3 2" xfId="15862"/>
    <cellStyle name="Обычный 6 2 2 4 2 3 3 3" xfId="15863"/>
    <cellStyle name="Обычный 6 2 2 4 2 3 4" xfId="15864"/>
    <cellStyle name="Обычный 6 2 2 4 2 3 4 2" xfId="15865"/>
    <cellStyle name="Обычный 6 2 2 4 2 3 4 3" xfId="15866"/>
    <cellStyle name="Обычный 6 2 2 4 2 3 5" xfId="15867"/>
    <cellStyle name="Обычный 6 2 2 4 2 3 5 2" xfId="15868"/>
    <cellStyle name="Обычный 6 2 2 4 2 3 6" xfId="15869"/>
    <cellStyle name="Обычный 6 2 2 4 2 3 7" xfId="15870"/>
    <cellStyle name="Обычный 6 2 2 4 2 4" xfId="15871"/>
    <cellStyle name="Обычный 6 2 2 4 2 4 2" xfId="15872"/>
    <cellStyle name="Обычный 6 2 2 4 2 4 2 2" xfId="15873"/>
    <cellStyle name="Обычный 6 2 2 4 2 4 2 3" xfId="15874"/>
    <cellStyle name="Обычный 6 2 2 4 2 4 3" xfId="15875"/>
    <cellStyle name="Обычный 6 2 2 4 2 4 3 2" xfId="15876"/>
    <cellStyle name="Обычный 6 2 2 4 2 4 3 3" xfId="15877"/>
    <cellStyle name="Обычный 6 2 2 4 2 4 4" xfId="15878"/>
    <cellStyle name="Обычный 6 2 2 4 2 4 4 2" xfId="15879"/>
    <cellStyle name="Обычный 6 2 2 4 2 4 5" xfId="15880"/>
    <cellStyle name="Обычный 6 2 2 4 2 4 6" xfId="15881"/>
    <cellStyle name="Обычный 6 2 2 4 2 5" xfId="15882"/>
    <cellStyle name="Обычный 6 2 2 4 2 5 2" xfId="15883"/>
    <cellStyle name="Обычный 6 2 2 4 2 5 3" xfId="15884"/>
    <cellStyle name="Обычный 6 2 2 4 2 6" xfId="15885"/>
    <cellStyle name="Обычный 6 2 2 4 2 6 2" xfId="15886"/>
    <cellStyle name="Обычный 6 2 2 4 2 6 3" xfId="15887"/>
    <cellStyle name="Обычный 6 2 2 4 2 7" xfId="15888"/>
    <cellStyle name="Обычный 6 2 2 4 2 7 2" xfId="15889"/>
    <cellStyle name="Обычный 6 2 2 4 2 8" xfId="15890"/>
    <cellStyle name="Обычный 6 2 2 4 2 9" xfId="15891"/>
    <cellStyle name="Обычный 6 2 2 4 3" xfId="15892"/>
    <cellStyle name="Обычный 6 2 2 4 3 2" xfId="15893"/>
    <cellStyle name="Обычный 6 2 2 4 3 2 2" xfId="15894"/>
    <cellStyle name="Обычный 6 2 2 4 3 2 2 2" xfId="15895"/>
    <cellStyle name="Обычный 6 2 2 4 3 2 2 2 2" xfId="15896"/>
    <cellStyle name="Обычный 6 2 2 4 3 2 2 2 3" xfId="15897"/>
    <cellStyle name="Обычный 6 2 2 4 3 2 2 3" xfId="15898"/>
    <cellStyle name="Обычный 6 2 2 4 3 2 2 3 2" xfId="15899"/>
    <cellStyle name="Обычный 6 2 2 4 3 2 2 3 3" xfId="15900"/>
    <cellStyle name="Обычный 6 2 2 4 3 2 2 4" xfId="15901"/>
    <cellStyle name="Обычный 6 2 2 4 3 2 2 4 2" xfId="15902"/>
    <cellStyle name="Обычный 6 2 2 4 3 2 2 5" xfId="15903"/>
    <cellStyle name="Обычный 6 2 2 4 3 2 2 6" xfId="15904"/>
    <cellStyle name="Обычный 6 2 2 4 3 2 3" xfId="15905"/>
    <cellStyle name="Обычный 6 2 2 4 3 2 3 2" xfId="15906"/>
    <cellStyle name="Обычный 6 2 2 4 3 2 3 3" xfId="15907"/>
    <cellStyle name="Обычный 6 2 2 4 3 2 4" xfId="15908"/>
    <cellStyle name="Обычный 6 2 2 4 3 2 4 2" xfId="15909"/>
    <cellStyle name="Обычный 6 2 2 4 3 2 4 3" xfId="15910"/>
    <cellStyle name="Обычный 6 2 2 4 3 2 5" xfId="15911"/>
    <cellStyle name="Обычный 6 2 2 4 3 2 5 2" xfId="15912"/>
    <cellStyle name="Обычный 6 2 2 4 3 2 6" xfId="15913"/>
    <cellStyle name="Обычный 6 2 2 4 3 2 7" xfId="15914"/>
    <cellStyle name="Обычный 6 2 2 4 3 3" xfId="15915"/>
    <cellStyle name="Обычный 6 2 2 4 3 3 2" xfId="15916"/>
    <cellStyle name="Обычный 6 2 2 4 3 3 2 2" xfId="15917"/>
    <cellStyle name="Обычный 6 2 2 4 3 3 2 3" xfId="15918"/>
    <cellStyle name="Обычный 6 2 2 4 3 3 3" xfId="15919"/>
    <cellStyle name="Обычный 6 2 2 4 3 3 3 2" xfId="15920"/>
    <cellStyle name="Обычный 6 2 2 4 3 3 3 3" xfId="15921"/>
    <cellStyle name="Обычный 6 2 2 4 3 3 4" xfId="15922"/>
    <cellStyle name="Обычный 6 2 2 4 3 3 4 2" xfId="15923"/>
    <cellStyle name="Обычный 6 2 2 4 3 3 5" xfId="15924"/>
    <cellStyle name="Обычный 6 2 2 4 3 3 6" xfId="15925"/>
    <cellStyle name="Обычный 6 2 2 4 3 4" xfId="15926"/>
    <cellStyle name="Обычный 6 2 2 4 3 4 2" xfId="15927"/>
    <cellStyle name="Обычный 6 2 2 4 3 4 3" xfId="15928"/>
    <cellStyle name="Обычный 6 2 2 4 3 5" xfId="15929"/>
    <cellStyle name="Обычный 6 2 2 4 3 5 2" xfId="15930"/>
    <cellStyle name="Обычный 6 2 2 4 3 5 3" xfId="15931"/>
    <cellStyle name="Обычный 6 2 2 4 3 6" xfId="15932"/>
    <cellStyle name="Обычный 6 2 2 4 3 6 2" xfId="15933"/>
    <cellStyle name="Обычный 6 2 2 4 3 7" xfId="15934"/>
    <cellStyle name="Обычный 6 2 2 4 3 8" xfId="15935"/>
    <cellStyle name="Обычный 6 2 2 4 4" xfId="15936"/>
    <cellStyle name="Обычный 6 2 2 4 4 2" xfId="15937"/>
    <cellStyle name="Обычный 6 2 2 4 4 2 2" xfId="15938"/>
    <cellStyle name="Обычный 6 2 2 4 4 2 2 2" xfId="15939"/>
    <cellStyle name="Обычный 6 2 2 4 4 2 2 3" xfId="15940"/>
    <cellStyle name="Обычный 6 2 2 4 4 2 3" xfId="15941"/>
    <cellStyle name="Обычный 6 2 2 4 4 2 3 2" xfId="15942"/>
    <cellStyle name="Обычный 6 2 2 4 4 2 3 3" xfId="15943"/>
    <cellStyle name="Обычный 6 2 2 4 4 2 4" xfId="15944"/>
    <cellStyle name="Обычный 6 2 2 4 4 2 4 2" xfId="15945"/>
    <cellStyle name="Обычный 6 2 2 4 4 2 5" xfId="15946"/>
    <cellStyle name="Обычный 6 2 2 4 4 2 6" xfId="15947"/>
    <cellStyle name="Обычный 6 2 2 4 4 3" xfId="15948"/>
    <cellStyle name="Обычный 6 2 2 4 4 3 2" xfId="15949"/>
    <cellStyle name="Обычный 6 2 2 4 4 3 3" xfId="15950"/>
    <cellStyle name="Обычный 6 2 2 4 4 4" xfId="15951"/>
    <cellStyle name="Обычный 6 2 2 4 4 4 2" xfId="15952"/>
    <cellStyle name="Обычный 6 2 2 4 4 4 3" xfId="15953"/>
    <cellStyle name="Обычный 6 2 2 4 4 5" xfId="15954"/>
    <cellStyle name="Обычный 6 2 2 4 4 5 2" xfId="15955"/>
    <cellStyle name="Обычный 6 2 2 4 4 6" xfId="15956"/>
    <cellStyle name="Обычный 6 2 2 4 4 7" xfId="15957"/>
    <cellStyle name="Обычный 6 2 2 4 5" xfId="15958"/>
    <cellStyle name="Обычный 6 2 2 4 5 2" xfId="15959"/>
    <cellStyle name="Обычный 6 2 2 4 5 2 2" xfId="15960"/>
    <cellStyle name="Обычный 6 2 2 4 5 2 3" xfId="15961"/>
    <cellStyle name="Обычный 6 2 2 4 5 3" xfId="15962"/>
    <cellStyle name="Обычный 6 2 2 4 5 3 2" xfId="15963"/>
    <cellStyle name="Обычный 6 2 2 4 5 3 3" xfId="15964"/>
    <cellStyle name="Обычный 6 2 2 4 5 4" xfId="15965"/>
    <cellStyle name="Обычный 6 2 2 4 5 4 2" xfId="15966"/>
    <cellStyle name="Обычный 6 2 2 4 5 5" xfId="15967"/>
    <cellStyle name="Обычный 6 2 2 4 5 6" xfId="15968"/>
    <cellStyle name="Обычный 6 2 2 4 6" xfId="15969"/>
    <cellStyle name="Обычный 6 2 2 4 6 2" xfId="15970"/>
    <cellStyle name="Обычный 6 2 2 4 6 3" xfId="15971"/>
    <cellStyle name="Обычный 6 2 2 4 7" xfId="15972"/>
    <cellStyle name="Обычный 6 2 2 4 7 2" xfId="15973"/>
    <cellStyle name="Обычный 6 2 2 4 7 3" xfId="15974"/>
    <cellStyle name="Обычный 6 2 2 4 8" xfId="15975"/>
    <cellStyle name="Обычный 6 2 2 4 8 2" xfId="15976"/>
    <cellStyle name="Обычный 6 2 2 4 9" xfId="15977"/>
    <cellStyle name="Обычный 6 2 2 5" xfId="15978"/>
    <cellStyle name="Обычный 6 2 2 5 2" xfId="15979"/>
    <cellStyle name="Обычный 6 2 2 5 2 2" xfId="15980"/>
    <cellStyle name="Обычный 6 2 2 5 2 2 2" xfId="15981"/>
    <cellStyle name="Обычный 6 2 2 5 2 2 2 2" xfId="15982"/>
    <cellStyle name="Обычный 6 2 2 5 2 2 2 2 2" xfId="15983"/>
    <cellStyle name="Обычный 6 2 2 5 2 2 2 2 3" xfId="15984"/>
    <cellStyle name="Обычный 6 2 2 5 2 2 2 3" xfId="15985"/>
    <cellStyle name="Обычный 6 2 2 5 2 2 2 3 2" xfId="15986"/>
    <cellStyle name="Обычный 6 2 2 5 2 2 2 3 3" xfId="15987"/>
    <cellStyle name="Обычный 6 2 2 5 2 2 2 4" xfId="15988"/>
    <cellStyle name="Обычный 6 2 2 5 2 2 2 4 2" xfId="15989"/>
    <cellStyle name="Обычный 6 2 2 5 2 2 2 5" xfId="15990"/>
    <cellStyle name="Обычный 6 2 2 5 2 2 2 6" xfId="15991"/>
    <cellStyle name="Обычный 6 2 2 5 2 2 3" xfId="15992"/>
    <cellStyle name="Обычный 6 2 2 5 2 2 3 2" xfId="15993"/>
    <cellStyle name="Обычный 6 2 2 5 2 2 3 3" xfId="15994"/>
    <cellStyle name="Обычный 6 2 2 5 2 2 4" xfId="15995"/>
    <cellStyle name="Обычный 6 2 2 5 2 2 4 2" xfId="15996"/>
    <cellStyle name="Обычный 6 2 2 5 2 2 4 3" xfId="15997"/>
    <cellStyle name="Обычный 6 2 2 5 2 2 5" xfId="15998"/>
    <cellStyle name="Обычный 6 2 2 5 2 2 5 2" xfId="15999"/>
    <cellStyle name="Обычный 6 2 2 5 2 2 6" xfId="16000"/>
    <cellStyle name="Обычный 6 2 2 5 2 2 7" xfId="16001"/>
    <cellStyle name="Обычный 6 2 2 5 2 3" xfId="16002"/>
    <cellStyle name="Обычный 6 2 2 5 2 3 2" xfId="16003"/>
    <cellStyle name="Обычный 6 2 2 5 2 3 2 2" xfId="16004"/>
    <cellStyle name="Обычный 6 2 2 5 2 3 2 3" xfId="16005"/>
    <cellStyle name="Обычный 6 2 2 5 2 3 3" xfId="16006"/>
    <cellStyle name="Обычный 6 2 2 5 2 3 3 2" xfId="16007"/>
    <cellStyle name="Обычный 6 2 2 5 2 3 3 3" xfId="16008"/>
    <cellStyle name="Обычный 6 2 2 5 2 3 4" xfId="16009"/>
    <cellStyle name="Обычный 6 2 2 5 2 3 4 2" xfId="16010"/>
    <cellStyle name="Обычный 6 2 2 5 2 3 5" xfId="16011"/>
    <cellStyle name="Обычный 6 2 2 5 2 3 6" xfId="16012"/>
    <cellStyle name="Обычный 6 2 2 5 2 4" xfId="16013"/>
    <cellStyle name="Обычный 6 2 2 5 2 4 2" xfId="16014"/>
    <cellStyle name="Обычный 6 2 2 5 2 4 3" xfId="16015"/>
    <cellStyle name="Обычный 6 2 2 5 2 5" xfId="16016"/>
    <cellStyle name="Обычный 6 2 2 5 2 5 2" xfId="16017"/>
    <cellStyle name="Обычный 6 2 2 5 2 5 3" xfId="16018"/>
    <cellStyle name="Обычный 6 2 2 5 2 6" xfId="16019"/>
    <cellStyle name="Обычный 6 2 2 5 2 6 2" xfId="16020"/>
    <cellStyle name="Обычный 6 2 2 5 2 7" xfId="16021"/>
    <cellStyle name="Обычный 6 2 2 5 2 8" xfId="16022"/>
    <cellStyle name="Обычный 6 2 2 5 3" xfId="16023"/>
    <cellStyle name="Обычный 6 2 2 5 3 2" xfId="16024"/>
    <cellStyle name="Обычный 6 2 2 5 3 2 2" xfId="16025"/>
    <cellStyle name="Обычный 6 2 2 5 3 2 2 2" xfId="16026"/>
    <cellStyle name="Обычный 6 2 2 5 3 2 2 3" xfId="16027"/>
    <cellStyle name="Обычный 6 2 2 5 3 2 3" xfId="16028"/>
    <cellStyle name="Обычный 6 2 2 5 3 2 3 2" xfId="16029"/>
    <cellStyle name="Обычный 6 2 2 5 3 2 3 3" xfId="16030"/>
    <cellStyle name="Обычный 6 2 2 5 3 2 4" xfId="16031"/>
    <cellStyle name="Обычный 6 2 2 5 3 2 4 2" xfId="16032"/>
    <cellStyle name="Обычный 6 2 2 5 3 2 5" xfId="16033"/>
    <cellStyle name="Обычный 6 2 2 5 3 2 6" xfId="16034"/>
    <cellStyle name="Обычный 6 2 2 5 3 3" xfId="16035"/>
    <cellStyle name="Обычный 6 2 2 5 3 3 2" xfId="16036"/>
    <cellStyle name="Обычный 6 2 2 5 3 3 3" xfId="16037"/>
    <cellStyle name="Обычный 6 2 2 5 3 4" xfId="16038"/>
    <cellStyle name="Обычный 6 2 2 5 3 4 2" xfId="16039"/>
    <cellStyle name="Обычный 6 2 2 5 3 4 3" xfId="16040"/>
    <cellStyle name="Обычный 6 2 2 5 3 5" xfId="16041"/>
    <cellStyle name="Обычный 6 2 2 5 3 5 2" xfId="16042"/>
    <cellStyle name="Обычный 6 2 2 5 3 6" xfId="16043"/>
    <cellStyle name="Обычный 6 2 2 5 3 7" xfId="16044"/>
    <cellStyle name="Обычный 6 2 2 5 4" xfId="16045"/>
    <cellStyle name="Обычный 6 2 2 5 4 2" xfId="16046"/>
    <cellStyle name="Обычный 6 2 2 5 4 2 2" xfId="16047"/>
    <cellStyle name="Обычный 6 2 2 5 4 2 3" xfId="16048"/>
    <cellStyle name="Обычный 6 2 2 5 4 3" xfId="16049"/>
    <cellStyle name="Обычный 6 2 2 5 4 3 2" xfId="16050"/>
    <cellStyle name="Обычный 6 2 2 5 4 3 3" xfId="16051"/>
    <cellStyle name="Обычный 6 2 2 5 4 4" xfId="16052"/>
    <cellStyle name="Обычный 6 2 2 5 4 4 2" xfId="16053"/>
    <cellStyle name="Обычный 6 2 2 5 4 5" xfId="16054"/>
    <cellStyle name="Обычный 6 2 2 5 4 6" xfId="16055"/>
    <cellStyle name="Обычный 6 2 2 5 5" xfId="16056"/>
    <cellStyle name="Обычный 6 2 2 5 5 2" xfId="16057"/>
    <cellStyle name="Обычный 6 2 2 5 5 3" xfId="16058"/>
    <cellStyle name="Обычный 6 2 2 5 6" xfId="16059"/>
    <cellStyle name="Обычный 6 2 2 5 6 2" xfId="16060"/>
    <cellStyle name="Обычный 6 2 2 5 6 3" xfId="16061"/>
    <cellStyle name="Обычный 6 2 2 5 7" xfId="16062"/>
    <cellStyle name="Обычный 6 2 2 5 7 2" xfId="16063"/>
    <cellStyle name="Обычный 6 2 2 5 8" xfId="16064"/>
    <cellStyle name="Обычный 6 2 2 5 9" xfId="16065"/>
    <cellStyle name="Обычный 6 2 2 6" xfId="16066"/>
    <cellStyle name="Обычный 6 2 2 6 2" xfId="16067"/>
    <cellStyle name="Обычный 6 2 2 6 2 2" xfId="16068"/>
    <cellStyle name="Обычный 6 2 2 6 2 2 2" xfId="16069"/>
    <cellStyle name="Обычный 6 2 2 6 2 2 2 2" xfId="16070"/>
    <cellStyle name="Обычный 6 2 2 6 2 2 2 3" xfId="16071"/>
    <cellStyle name="Обычный 6 2 2 6 2 2 3" xfId="16072"/>
    <cellStyle name="Обычный 6 2 2 6 2 2 3 2" xfId="16073"/>
    <cellStyle name="Обычный 6 2 2 6 2 2 3 3" xfId="16074"/>
    <cellStyle name="Обычный 6 2 2 6 2 2 4" xfId="16075"/>
    <cellStyle name="Обычный 6 2 2 6 2 2 4 2" xfId="16076"/>
    <cellStyle name="Обычный 6 2 2 6 2 2 5" xfId="16077"/>
    <cellStyle name="Обычный 6 2 2 6 2 2 6" xfId="16078"/>
    <cellStyle name="Обычный 6 2 2 6 2 3" xfId="16079"/>
    <cellStyle name="Обычный 6 2 2 6 2 3 2" xfId="16080"/>
    <cellStyle name="Обычный 6 2 2 6 2 3 3" xfId="16081"/>
    <cellStyle name="Обычный 6 2 2 6 2 4" xfId="16082"/>
    <cellStyle name="Обычный 6 2 2 6 2 4 2" xfId="16083"/>
    <cellStyle name="Обычный 6 2 2 6 2 4 3" xfId="16084"/>
    <cellStyle name="Обычный 6 2 2 6 2 5" xfId="16085"/>
    <cellStyle name="Обычный 6 2 2 6 2 5 2" xfId="16086"/>
    <cellStyle name="Обычный 6 2 2 6 2 6" xfId="16087"/>
    <cellStyle name="Обычный 6 2 2 6 2 7" xfId="16088"/>
    <cellStyle name="Обычный 6 2 2 6 3" xfId="16089"/>
    <cellStyle name="Обычный 6 2 2 6 3 2" xfId="16090"/>
    <cellStyle name="Обычный 6 2 2 6 3 2 2" xfId="16091"/>
    <cellStyle name="Обычный 6 2 2 6 3 2 3" xfId="16092"/>
    <cellStyle name="Обычный 6 2 2 6 3 3" xfId="16093"/>
    <cellStyle name="Обычный 6 2 2 6 3 3 2" xfId="16094"/>
    <cellStyle name="Обычный 6 2 2 6 3 3 3" xfId="16095"/>
    <cellStyle name="Обычный 6 2 2 6 3 4" xfId="16096"/>
    <cellStyle name="Обычный 6 2 2 6 3 4 2" xfId="16097"/>
    <cellStyle name="Обычный 6 2 2 6 3 5" xfId="16098"/>
    <cellStyle name="Обычный 6 2 2 6 3 6" xfId="16099"/>
    <cellStyle name="Обычный 6 2 2 6 4" xfId="16100"/>
    <cellStyle name="Обычный 6 2 2 6 4 2" xfId="16101"/>
    <cellStyle name="Обычный 6 2 2 6 4 3" xfId="16102"/>
    <cellStyle name="Обычный 6 2 2 6 5" xfId="16103"/>
    <cellStyle name="Обычный 6 2 2 6 5 2" xfId="16104"/>
    <cellStyle name="Обычный 6 2 2 6 5 3" xfId="16105"/>
    <cellStyle name="Обычный 6 2 2 6 6" xfId="16106"/>
    <cellStyle name="Обычный 6 2 2 6 6 2" xfId="16107"/>
    <cellStyle name="Обычный 6 2 2 6 7" xfId="16108"/>
    <cellStyle name="Обычный 6 2 2 6 8" xfId="16109"/>
    <cellStyle name="Обычный 6 2 2 7" xfId="16110"/>
    <cellStyle name="Обычный 6 2 2 7 2" xfId="16111"/>
    <cellStyle name="Обычный 6 2 2 7 2 2" xfId="16112"/>
    <cellStyle name="Обычный 6 2 2 7 2 2 2" xfId="16113"/>
    <cellStyle name="Обычный 6 2 2 7 2 2 3" xfId="16114"/>
    <cellStyle name="Обычный 6 2 2 7 2 3" xfId="16115"/>
    <cellStyle name="Обычный 6 2 2 7 2 3 2" xfId="16116"/>
    <cellStyle name="Обычный 6 2 2 7 2 3 3" xfId="16117"/>
    <cellStyle name="Обычный 6 2 2 7 2 4" xfId="16118"/>
    <cellStyle name="Обычный 6 2 2 7 2 4 2" xfId="16119"/>
    <cellStyle name="Обычный 6 2 2 7 2 5" xfId="16120"/>
    <cellStyle name="Обычный 6 2 2 7 2 6" xfId="16121"/>
    <cellStyle name="Обычный 6 2 2 7 3" xfId="16122"/>
    <cellStyle name="Обычный 6 2 2 7 3 2" xfId="16123"/>
    <cellStyle name="Обычный 6 2 2 7 3 3" xfId="16124"/>
    <cellStyle name="Обычный 6 2 2 7 4" xfId="16125"/>
    <cellStyle name="Обычный 6 2 2 7 4 2" xfId="16126"/>
    <cellStyle name="Обычный 6 2 2 7 4 3" xfId="16127"/>
    <cellStyle name="Обычный 6 2 2 7 5" xfId="16128"/>
    <cellStyle name="Обычный 6 2 2 7 5 2" xfId="16129"/>
    <cellStyle name="Обычный 6 2 2 7 6" xfId="16130"/>
    <cellStyle name="Обычный 6 2 2 7 7" xfId="16131"/>
    <cellStyle name="Обычный 6 2 2 8" xfId="16132"/>
    <cellStyle name="Обычный 6 2 2 8 2" xfId="16133"/>
    <cellStyle name="Обычный 6 2 2 8 2 2" xfId="16134"/>
    <cellStyle name="Обычный 6 2 2 8 2 3" xfId="16135"/>
    <cellStyle name="Обычный 6 2 2 8 3" xfId="16136"/>
    <cellStyle name="Обычный 6 2 2 8 3 2" xfId="16137"/>
    <cellStyle name="Обычный 6 2 2 8 3 3" xfId="16138"/>
    <cellStyle name="Обычный 6 2 2 8 4" xfId="16139"/>
    <cellStyle name="Обычный 6 2 2 8 4 2" xfId="16140"/>
    <cellStyle name="Обычный 6 2 2 8 5" xfId="16141"/>
    <cellStyle name="Обычный 6 2 2 8 6" xfId="16142"/>
    <cellStyle name="Обычный 6 2 2 9" xfId="16143"/>
    <cellStyle name="Обычный 6 2 2 9 2" xfId="16144"/>
    <cellStyle name="Обычный 6 2 2 9 3" xfId="16145"/>
    <cellStyle name="Обычный 6 2 3" xfId="16146"/>
    <cellStyle name="Обычный 6 2 3 10" xfId="16147"/>
    <cellStyle name="Обычный 6 2 3 2" xfId="16148"/>
    <cellStyle name="Обычный 6 2 3 2 2" xfId="16149"/>
    <cellStyle name="Обычный 6 2 3 2 2 2" xfId="16150"/>
    <cellStyle name="Обычный 6 2 3 2 2 2 2" xfId="16151"/>
    <cellStyle name="Обычный 6 2 3 2 2 2 2 2" xfId="16152"/>
    <cellStyle name="Обычный 6 2 3 2 2 2 2 2 2" xfId="16153"/>
    <cellStyle name="Обычный 6 2 3 2 2 2 2 2 3" xfId="16154"/>
    <cellStyle name="Обычный 6 2 3 2 2 2 2 3" xfId="16155"/>
    <cellStyle name="Обычный 6 2 3 2 2 2 2 3 2" xfId="16156"/>
    <cellStyle name="Обычный 6 2 3 2 2 2 2 3 3" xfId="16157"/>
    <cellStyle name="Обычный 6 2 3 2 2 2 2 4" xfId="16158"/>
    <cellStyle name="Обычный 6 2 3 2 2 2 2 4 2" xfId="16159"/>
    <cellStyle name="Обычный 6 2 3 2 2 2 2 5" xfId="16160"/>
    <cellStyle name="Обычный 6 2 3 2 2 2 2 6" xfId="16161"/>
    <cellStyle name="Обычный 6 2 3 2 2 2 3" xfId="16162"/>
    <cellStyle name="Обычный 6 2 3 2 2 2 3 2" xfId="16163"/>
    <cellStyle name="Обычный 6 2 3 2 2 2 3 3" xfId="16164"/>
    <cellStyle name="Обычный 6 2 3 2 2 2 4" xfId="16165"/>
    <cellStyle name="Обычный 6 2 3 2 2 2 4 2" xfId="16166"/>
    <cellStyle name="Обычный 6 2 3 2 2 2 4 3" xfId="16167"/>
    <cellStyle name="Обычный 6 2 3 2 2 2 5" xfId="16168"/>
    <cellStyle name="Обычный 6 2 3 2 2 2 5 2" xfId="16169"/>
    <cellStyle name="Обычный 6 2 3 2 2 2 6" xfId="16170"/>
    <cellStyle name="Обычный 6 2 3 2 2 2 7" xfId="16171"/>
    <cellStyle name="Обычный 6 2 3 2 2 3" xfId="16172"/>
    <cellStyle name="Обычный 6 2 3 2 2 3 2" xfId="16173"/>
    <cellStyle name="Обычный 6 2 3 2 2 3 2 2" xfId="16174"/>
    <cellStyle name="Обычный 6 2 3 2 2 3 2 3" xfId="16175"/>
    <cellStyle name="Обычный 6 2 3 2 2 3 3" xfId="16176"/>
    <cellStyle name="Обычный 6 2 3 2 2 3 3 2" xfId="16177"/>
    <cellStyle name="Обычный 6 2 3 2 2 3 3 3" xfId="16178"/>
    <cellStyle name="Обычный 6 2 3 2 2 3 4" xfId="16179"/>
    <cellStyle name="Обычный 6 2 3 2 2 3 4 2" xfId="16180"/>
    <cellStyle name="Обычный 6 2 3 2 2 3 5" xfId="16181"/>
    <cellStyle name="Обычный 6 2 3 2 2 3 6" xfId="16182"/>
    <cellStyle name="Обычный 6 2 3 2 2 4" xfId="16183"/>
    <cellStyle name="Обычный 6 2 3 2 2 4 2" xfId="16184"/>
    <cellStyle name="Обычный 6 2 3 2 2 4 3" xfId="16185"/>
    <cellStyle name="Обычный 6 2 3 2 2 5" xfId="16186"/>
    <cellStyle name="Обычный 6 2 3 2 2 5 2" xfId="16187"/>
    <cellStyle name="Обычный 6 2 3 2 2 5 3" xfId="16188"/>
    <cellStyle name="Обычный 6 2 3 2 2 6" xfId="16189"/>
    <cellStyle name="Обычный 6 2 3 2 2 6 2" xfId="16190"/>
    <cellStyle name="Обычный 6 2 3 2 2 7" xfId="16191"/>
    <cellStyle name="Обычный 6 2 3 2 2 8" xfId="16192"/>
    <cellStyle name="Обычный 6 2 3 2 3" xfId="16193"/>
    <cellStyle name="Обычный 6 2 3 2 3 2" xfId="16194"/>
    <cellStyle name="Обычный 6 2 3 2 3 2 2" xfId="16195"/>
    <cellStyle name="Обычный 6 2 3 2 3 2 2 2" xfId="16196"/>
    <cellStyle name="Обычный 6 2 3 2 3 2 2 3" xfId="16197"/>
    <cellStyle name="Обычный 6 2 3 2 3 2 3" xfId="16198"/>
    <cellStyle name="Обычный 6 2 3 2 3 2 3 2" xfId="16199"/>
    <cellStyle name="Обычный 6 2 3 2 3 2 3 3" xfId="16200"/>
    <cellStyle name="Обычный 6 2 3 2 3 2 4" xfId="16201"/>
    <cellStyle name="Обычный 6 2 3 2 3 2 4 2" xfId="16202"/>
    <cellStyle name="Обычный 6 2 3 2 3 2 5" xfId="16203"/>
    <cellStyle name="Обычный 6 2 3 2 3 2 6" xfId="16204"/>
    <cellStyle name="Обычный 6 2 3 2 3 3" xfId="16205"/>
    <cellStyle name="Обычный 6 2 3 2 3 3 2" xfId="16206"/>
    <cellStyle name="Обычный 6 2 3 2 3 3 3" xfId="16207"/>
    <cellStyle name="Обычный 6 2 3 2 3 4" xfId="16208"/>
    <cellStyle name="Обычный 6 2 3 2 3 4 2" xfId="16209"/>
    <cellStyle name="Обычный 6 2 3 2 3 4 3" xfId="16210"/>
    <cellStyle name="Обычный 6 2 3 2 3 5" xfId="16211"/>
    <cellStyle name="Обычный 6 2 3 2 3 5 2" xfId="16212"/>
    <cellStyle name="Обычный 6 2 3 2 3 6" xfId="16213"/>
    <cellStyle name="Обычный 6 2 3 2 3 7" xfId="16214"/>
    <cellStyle name="Обычный 6 2 3 2 4" xfId="16215"/>
    <cellStyle name="Обычный 6 2 3 2 4 2" xfId="16216"/>
    <cellStyle name="Обычный 6 2 3 2 4 2 2" xfId="16217"/>
    <cellStyle name="Обычный 6 2 3 2 4 2 3" xfId="16218"/>
    <cellStyle name="Обычный 6 2 3 2 4 3" xfId="16219"/>
    <cellStyle name="Обычный 6 2 3 2 4 3 2" xfId="16220"/>
    <cellStyle name="Обычный 6 2 3 2 4 3 3" xfId="16221"/>
    <cellStyle name="Обычный 6 2 3 2 4 4" xfId="16222"/>
    <cellStyle name="Обычный 6 2 3 2 4 4 2" xfId="16223"/>
    <cellStyle name="Обычный 6 2 3 2 4 5" xfId="16224"/>
    <cellStyle name="Обычный 6 2 3 2 4 6" xfId="16225"/>
    <cellStyle name="Обычный 6 2 3 2 5" xfId="16226"/>
    <cellStyle name="Обычный 6 2 3 2 5 2" xfId="16227"/>
    <cellStyle name="Обычный 6 2 3 2 5 3" xfId="16228"/>
    <cellStyle name="Обычный 6 2 3 2 6" xfId="16229"/>
    <cellStyle name="Обычный 6 2 3 2 6 2" xfId="16230"/>
    <cellStyle name="Обычный 6 2 3 2 6 3" xfId="16231"/>
    <cellStyle name="Обычный 6 2 3 2 7" xfId="16232"/>
    <cellStyle name="Обычный 6 2 3 2 7 2" xfId="16233"/>
    <cellStyle name="Обычный 6 2 3 2 8" xfId="16234"/>
    <cellStyle name="Обычный 6 2 3 2 9" xfId="16235"/>
    <cellStyle name="Обычный 6 2 3 3" xfId="16236"/>
    <cellStyle name="Обычный 6 2 3 3 2" xfId="16237"/>
    <cellStyle name="Обычный 6 2 3 3 2 2" xfId="16238"/>
    <cellStyle name="Обычный 6 2 3 3 2 2 2" xfId="16239"/>
    <cellStyle name="Обычный 6 2 3 3 2 2 2 2" xfId="16240"/>
    <cellStyle name="Обычный 6 2 3 3 2 2 2 3" xfId="16241"/>
    <cellStyle name="Обычный 6 2 3 3 2 2 3" xfId="16242"/>
    <cellStyle name="Обычный 6 2 3 3 2 2 3 2" xfId="16243"/>
    <cellStyle name="Обычный 6 2 3 3 2 2 3 3" xfId="16244"/>
    <cellStyle name="Обычный 6 2 3 3 2 2 4" xfId="16245"/>
    <cellStyle name="Обычный 6 2 3 3 2 2 4 2" xfId="16246"/>
    <cellStyle name="Обычный 6 2 3 3 2 2 5" xfId="16247"/>
    <cellStyle name="Обычный 6 2 3 3 2 2 6" xfId="16248"/>
    <cellStyle name="Обычный 6 2 3 3 2 3" xfId="16249"/>
    <cellStyle name="Обычный 6 2 3 3 2 3 2" xfId="16250"/>
    <cellStyle name="Обычный 6 2 3 3 2 3 3" xfId="16251"/>
    <cellStyle name="Обычный 6 2 3 3 2 4" xfId="16252"/>
    <cellStyle name="Обычный 6 2 3 3 2 4 2" xfId="16253"/>
    <cellStyle name="Обычный 6 2 3 3 2 4 3" xfId="16254"/>
    <cellStyle name="Обычный 6 2 3 3 2 5" xfId="16255"/>
    <cellStyle name="Обычный 6 2 3 3 2 5 2" xfId="16256"/>
    <cellStyle name="Обычный 6 2 3 3 2 6" xfId="16257"/>
    <cellStyle name="Обычный 6 2 3 3 2 7" xfId="16258"/>
    <cellStyle name="Обычный 6 2 3 3 3" xfId="16259"/>
    <cellStyle name="Обычный 6 2 3 3 3 2" xfId="16260"/>
    <cellStyle name="Обычный 6 2 3 3 3 2 2" xfId="16261"/>
    <cellStyle name="Обычный 6 2 3 3 3 2 3" xfId="16262"/>
    <cellStyle name="Обычный 6 2 3 3 3 3" xfId="16263"/>
    <cellStyle name="Обычный 6 2 3 3 3 3 2" xfId="16264"/>
    <cellStyle name="Обычный 6 2 3 3 3 3 3" xfId="16265"/>
    <cellStyle name="Обычный 6 2 3 3 3 4" xfId="16266"/>
    <cellStyle name="Обычный 6 2 3 3 3 4 2" xfId="16267"/>
    <cellStyle name="Обычный 6 2 3 3 3 5" xfId="16268"/>
    <cellStyle name="Обычный 6 2 3 3 3 6" xfId="16269"/>
    <cellStyle name="Обычный 6 2 3 3 4" xfId="16270"/>
    <cellStyle name="Обычный 6 2 3 3 4 2" xfId="16271"/>
    <cellStyle name="Обычный 6 2 3 3 4 3" xfId="16272"/>
    <cellStyle name="Обычный 6 2 3 3 5" xfId="16273"/>
    <cellStyle name="Обычный 6 2 3 3 5 2" xfId="16274"/>
    <cellStyle name="Обычный 6 2 3 3 5 3" xfId="16275"/>
    <cellStyle name="Обычный 6 2 3 3 6" xfId="16276"/>
    <cellStyle name="Обычный 6 2 3 3 6 2" xfId="16277"/>
    <cellStyle name="Обычный 6 2 3 3 7" xfId="16278"/>
    <cellStyle name="Обычный 6 2 3 3 8" xfId="16279"/>
    <cellStyle name="Обычный 6 2 3 4" xfId="16280"/>
    <cellStyle name="Обычный 6 2 3 4 2" xfId="16281"/>
    <cellStyle name="Обычный 6 2 3 4 2 2" xfId="16282"/>
    <cellStyle name="Обычный 6 2 3 4 2 2 2" xfId="16283"/>
    <cellStyle name="Обычный 6 2 3 4 2 2 3" xfId="16284"/>
    <cellStyle name="Обычный 6 2 3 4 2 3" xfId="16285"/>
    <cellStyle name="Обычный 6 2 3 4 2 3 2" xfId="16286"/>
    <cellStyle name="Обычный 6 2 3 4 2 3 3" xfId="16287"/>
    <cellStyle name="Обычный 6 2 3 4 2 4" xfId="16288"/>
    <cellStyle name="Обычный 6 2 3 4 2 4 2" xfId="16289"/>
    <cellStyle name="Обычный 6 2 3 4 2 5" xfId="16290"/>
    <cellStyle name="Обычный 6 2 3 4 2 6" xfId="16291"/>
    <cellStyle name="Обычный 6 2 3 4 3" xfId="16292"/>
    <cellStyle name="Обычный 6 2 3 4 3 2" xfId="16293"/>
    <cellStyle name="Обычный 6 2 3 4 3 3" xfId="16294"/>
    <cellStyle name="Обычный 6 2 3 4 4" xfId="16295"/>
    <cellStyle name="Обычный 6 2 3 4 4 2" xfId="16296"/>
    <cellStyle name="Обычный 6 2 3 4 4 3" xfId="16297"/>
    <cellStyle name="Обычный 6 2 3 4 5" xfId="16298"/>
    <cellStyle name="Обычный 6 2 3 4 5 2" xfId="16299"/>
    <cellStyle name="Обычный 6 2 3 4 6" xfId="16300"/>
    <cellStyle name="Обычный 6 2 3 4 7" xfId="16301"/>
    <cellStyle name="Обычный 6 2 3 5" xfId="16302"/>
    <cellStyle name="Обычный 6 2 3 5 2" xfId="16303"/>
    <cellStyle name="Обычный 6 2 3 5 2 2" xfId="16304"/>
    <cellStyle name="Обычный 6 2 3 5 2 3" xfId="16305"/>
    <cellStyle name="Обычный 6 2 3 5 3" xfId="16306"/>
    <cellStyle name="Обычный 6 2 3 5 3 2" xfId="16307"/>
    <cellStyle name="Обычный 6 2 3 5 3 3" xfId="16308"/>
    <cellStyle name="Обычный 6 2 3 5 4" xfId="16309"/>
    <cellStyle name="Обычный 6 2 3 5 4 2" xfId="16310"/>
    <cellStyle name="Обычный 6 2 3 5 5" xfId="16311"/>
    <cellStyle name="Обычный 6 2 3 5 6" xfId="16312"/>
    <cellStyle name="Обычный 6 2 3 6" xfId="16313"/>
    <cellStyle name="Обычный 6 2 3 6 2" xfId="16314"/>
    <cellStyle name="Обычный 6 2 3 6 3" xfId="16315"/>
    <cellStyle name="Обычный 6 2 3 7" xfId="16316"/>
    <cellStyle name="Обычный 6 2 3 7 2" xfId="16317"/>
    <cellStyle name="Обычный 6 2 3 7 3" xfId="16318"/>
    <cellStyle name="Обычный 6 2 3 8" xfId="16319"/>
    <cellStyle name="Обычный 6 2 3 8 2" xfId="16320"/>
    <cellStyle name="Обычный 6 2 3 9" xfId="16321"/>
    <cellStyle name="Обычный 6 2 4" xfId="16322"/>
    <cellStyle name="Обычный 6 2 4 10" xfId="16323"/>
    <cellStyle name="Обычный 6 2 4 2" xfId="16324"/>
    <cellStyle name="Обычный 6 2 4 2 2" xfId="16325"/>
    <cellStyle name="Обычный 6 2 4 2 2 2" xfId="16326"/>
    <cellStyle name="Обычный 6 2 4 2 2 2 2" xfId="16327"/>
    <cellStyle name="Обычный 6 2 4 2 2 2 2 2" xfId="16328"/>
    <cellStyle name="Обычный 6 2 4 2 2 2 2 2 2" xfId="16329"/>
    <cellStyle name="Обычный 6 2 4 2 2 2 2 2 3" xfId="16330"/>
    <cellStyle name="Обычный 6 2 4 2 2 2 2 3" xfId="16331"/>
    <cellStyle name="Обычный 6 2 4 2 2 2 2 3 2" xfId="16332"/>
    <cellStyle name="Обычный 6 2 4 2 2 2 2 3 3" xfId="16333"/>
    <cellStyle name="Обычный 6 2 4 2 2 2 2 4" xfId="16334"/>
    <cellStyle name="Обычный 6 2 4 2 2 2 2 4 2" xfId="16335"/>
    <cellStyle name="Обычный 6 2 4 2 2 2 2 5" xfId="16336"/>
    <cellStyle name="Обычный 6 2 4 2 2 2 2 6" xfId="16337"/>
    <cellStyle name="Обычный 6 2 4 2 2 2 3" xfId="16338"/>
    <cellStyle name="Обычный 6 2 4 2 2 2 3 2" xfId="16339"/>
    <cellStyle name="Обычный 6 2 4 2 2 2 3 3" xfId="16340"/>
    <cellStyle name="Обычный 6 2 4 2 2 2 4" xfId="16341"/>
    <cellStyle name="Обычный 6 2 4 2 2 2 4 2" xfId="16342"/>
    <cellStyle name="Обычный 6 2 4 2 2 2 4 3" xfId="16343"/>
    <cellStyle name="Обычный 6 2 4 2 2 2 5" xfId="16344"/>
    <cellStyle name="Обычный 6 2 4 2 2 2 5 2" xfId="16345"/>
    <cellStyle name="Обычный 6 2 4 2 2 2 6" xfId="16346"/>
    <cellStyle name="Обычный 6 2 4 2 2 2 7" xfId="16347"/>
    <cellStyle name="Обычный 6 2 4 2 2 3" xfId="16348"/>
    <cellStyle name="Обычный 6 2 4 2 2 3 2" xfId="16349"/>
    <cellStyle name="Обычный 6 2 4 2 2 3 2 2" xfId="16350"/>
    <cellStyle name="Обычный 6 2 4 2 2 3 2 3" xfId="16351"/>
    <cellStyle name="Обычный 6 2 4 2 2 3 3" xfId="16352"/>
    <cellStyle name="Обычный 6 2 4 2 2 3 3 2" xfId="16353"/>
    <cellStyle name="Обычный 6 2 4 2 2 3 3 3" xfId="16354"/>
    <cellStyle name="Обычный 6 2 4 2 2 3 4" xfId="16355"/>
    <cellStyle name="Обычный 6 2 4 2 2 3 4 2" xfId="16356"/>
    <cellStyle name="Обычный 6 2 4 2 2 3 5" xfId="16357"/>
    <cellStyle name="Обычный 6 2 4 2 2 3 6" xfId="16358"/>
    <cellStyle name="Обычный 6 2 4 2 2 4" xfId="16359"/>
    <cellStyle name="Обычный 6 2 4 2 2 4 2" xfId="16360"/>
    <cellStyle name="Обычный 6 2 4 2 2 4 3" xfId="16361"/>
    <cellStyle name="Обычный 6 2 4 2 2 5" xfId="16362"/>
    <cellStyle name="Обычный 6 2 4 2 2 5 2" xfId="16363"/>
    <cellStyle name="Обычный 6 2 4 2 2 5 3" xfId="16364"/>
    <cellStyle name="Обычный 6 2 4 2 2 6" xfId="16365"/>
    <cellStyle name="Обычный 6 2 4 2 2 6 2" xfId="16366"/>
    <cellStyle name="Обычный 6 2 4 2 2 7" xfId="16367"/>
    <cellStyle name="Обычный 6 2 4 2 2 8" xfId="16368"/>
    <cellStyle name="Обычный 6 2 4 2 3" xfId="16369"/>
    <cellStyle name="Обычный 6 2 4 2 3 2" xfId="16370"/>
    <cellStyle name="Обычный 6 2 4 2 3 2 2" xfId="16371"/>
    <cellStyle name="Обычный 6 2 4 2 3 2 2 2" xfId="16372"/>
    <cellStyle name="Обычный 6 2 4 2 3 2 2 3" xfId="16373"/>
    <cellStyle name="Обычный 6 2 4 2 3 2 3" xfId="16374"/>
    <cellStyle name="Обычный 6 2 4 2 3 2 3 2" xfId="16375"/>
    <cellStyle name="Обычный 6 2 4 2 3 2 3 3" xfId="16376"/>
    <cellStyle name="Обычный 6 2 4 2 3 2 4" xfId="16377"/>
    <cellStyle name="Обычный 6 2 4 2 3 2 4 2" xfId="16378"/>
    <cellStyle name="Обычный 6 2 4 2 3 2 5" xfId="16379"/>
    <cellStyle name="Обычный 6 2 4 2 3 2 6" xfId="16380"/>
    <cellStyle name="Обычный 6 2 4 2 3 3" xfId="16381"/>
    <cellStyle name="Обычный 6 2 4 2 3 3 2" xfId="16382"/>
    <cellStyle name="Обычный 6 2 4 2 3 3 3" xfId="16383"/>
    <cellStyle name="Обычный 6 2 4 2 3 4" xfId="16384"/>
    <cellStyle name="Обычный 6 2 4 2 3 4 2" xfId="16385"/>
    <cellStyle name="Обычный 6 2 4 2 3 4 3" xfId="16386"/>
    <cellStyle name="Обычный 6 2 4 2 3 5" xfId="16387"/>
    <cellStyle name="Обычный 6 2 4 2 3 5 2" xfId="16388"/>
    <cellStyle name="Обычный 6 2 4 2 3 6" xfId="16389"/>
    <cellStyle name="Обычный 6 2 4 2 3 7" xfId="16390"/>
    <cellStyle name="Обычный 6 2 4 2 4" xfId="16391"/>
    <cellStyle name="Обычный 6 2 4 2 4 2" xfId="16392"/>
    <cellStyle name="Обычный 6 2 4 2 4 2 2" xfId="16393"/>
    <cellStyle name="Обычный 6 2 4 2 4 2 3" xfId="16394"/>
    <cellStyle name="Обычный 6 2 4 2 4 3" xfId="16395"/>
    <cellStyle name="Обычный 6 2 4 2 4 3 2" xfId="16396"/>
    <cellStyle name="Обычный 6 2 4 2 4 3 3" xfId="16397"/>
    <cellStyle name="Обычный 6 2 4 2 4 4" xfId="16398"/>
    <cellStyle name="Обычный 6 2 4 2 4 4 2" xfId="16399"/>
    <cellStyle name="Обычный 6 2 4 2 4 5" xfId="16400"/>
    <cellStyle name="Обычный 6 2 4 2 4 6" xfId="16401"/>
    <cellStyle name="Обычный 6 2 4 2 5" xfId="16402"/>
    <cellStyle name="Обычный 6 2 4 2 5 2" xfId="16403"/>
    <cellStyle name="Обычный 6 2 4 2 5 3" xfId="16404"/>
    <cellStyle name="Обычный 6 2 4 2 6" xfId="16405"/>
    <cellStyle name="Обычный 6 2 4 2 6 2" xfId="16406"/>
    <cellStyle name="Обычный 6 2 4 2 6 3" xfId="16407"/>
    <cellStyle name="Обычный 6 2 4 2 7" xfId="16408"/>
    <cellStyle name="Обычный 6 2 4 2 7 2" xfId="16409"/>
    <cellStyle name="Обычный 6 2 4 2 8" xfId="16410"/>
    <cellStyle name="Обычный 6 2 4 2 9" xfId="16411"/>
    <cellStyle name="Обычный 6 2 4 3" xfId="16412"/>
    <cellStyle name="Обычный 6 2 4 3 2" xfId="16413"/>
    <cellStyle name="Обычный 6 2 4 3 2 2" xfId="16414"/>
    <cellStyle name="Обычный 6 2 4 3 2 2 2" xfId="16415"/>
    <cellStyle name="Обычный 6 2 4 3 2 2 2 2" xfId="16416"/>
    <cellStyle name="Обычный 6 2 4 3 2 2 2 3" xfId="16417"/>
    <cellStyle name="Обычный 6 2 4 3 2 2 3" xfId="16418"/>
    <cellStyle name="Обычный 6 2 4 3 2 2 3 2" xfId="16419"/>
    <cellStyle name="Обычный 6 2 4 3 2 2 3 3" xfId="16420"/>
    <cellStyle name="Обычный 6 2 4 3 2 2 4" xfId="16421"/>
    <cellStyle name="Обычный 6 2 4 3 2 2 4 2" xfId="16422"/>
    <cellStyle name="Обычный 6 2 4 3 2 2 5" xfId="16423"/>
    <cellStyle name="Обычный 6 2 4 3 2 2 6" xfId="16424"/>
    <cellStyle name="Обычный 6 2 4 3 2 3" xfId="16425"/>
    <cellStyle name="Обычный 6 2 4 3 2 3 2" xfId="16426"/>
    <cellStyle name="Обычный 6 2 4 3 2 3 3" xfId="16427"/>
    <cellStyle name="Обычный 6 2 4 3 2 4" xfId="16428"/>
    <cellStyle name="Обычный 6 2 4 3 2 4 2" xfId="16429"/>
    <cellStyle name="Обычный 6 2 4 3 2 4 3" xfId="16430"/>
    <cellStyle name="Обычный 6 2 4 3 2 5" xfId="16431"/>
    <cellStyle name="Обычный 6 2 4 3 2 5 2" xfId="16432"/>
    <cellStyle name="Обычный 6 2 4 3 2 6" xfId="16433"/>
    <cellStyle name="Обычный 6 2 4 3 2 7" xfId="16434"/>
    <cellStyle name="Обычный 6 2 4 3 3" xfId="16435"/>
    <cellStyle name="Обычный 6 2 4 3 3 2" xfId="16436"/>
    <cellStyle name="Обычный 6 2 4 3 3 2 2" xfId="16437"/>
    <cellStyle name="Обычный 6 2 4 3 3 2 3" xfId="16438"/>
    <cellStyle name="Обычный 6 2 4 3 3 3" xfId="16439"/>
    <cellStyle name="Обычный 6 2 4 3 3 3 2" xfId="16440"/>
    <cellStyle name="Обычный 6 2 4 3 3 3 3" xfId="16441"/>
    <cellStyle name="Обычный 6 2 4 3 3 4" xfId="16442"/>
    <cellStyle name="Обычный 6 2 4 3 3 4 2" xfId="16443"/>
    <cellStyle name="Обычный 6 2 4 3 3 5" xfId="16444"/>
    <cellStyle name="Обычный 6 2 4 3 3 6" xfId="16445"/>
    <cellStyle name="Обычный 6 2 4 3 4" xfId="16446"/>
    <cellStyle name="Обычный 6 2 4 3 4 2" xfId="16447"/>
    <cellStyle name="Обычный 6 2 4 3 4 3" xfId="16448"/>
    <cellStyle name="Обычный 6 2 4 3 5" xfId="16449"/>
    <cellStyle name="Обычный 6 2 4 3 5 2" xfId="16450"/>
    <cellStyle name="Обычный 6 2 4 3 5 3" xfId="16451"/>
    <cellStyle name="Обычный 6 2 4 3 6" xfId="16452"/>
    <cellStyle name="Обычный 6 2 4 3 6 2" xfId="16453"/>
    <cellStyle name="Обычный 6 2 4 3 7" xfId="16454"/>
    <cellStyle name="Обычный 6 2 4 3 8" xfId="16455"/>
    <cellStyle name="Обычный 6 2 4 4" xfId="16456"/>
    <cellStyle name="Обычный 6 2 4 4 2" xfId="16457"/>
    <cellStyle name="Обычный 6 2 4 4 2 2" xfId="16458"/>
    <cellStyle name="Обычный 6 2 4 4 2 2 2" xfId="16459"/>
    <cellStyle name="Обычный 6 2 4 4 2 2 3" xfId="16460"/>
    <cellStyle name="Обычный 6 2 4 4 2 3" xfId="16461"/>
    <cellStyle name="Обычный 6 2 4 4 2 3 2" xfId="16462"/>
    <cellStyle name="Обычный 6 2 4 4 2 3 3" xfId="16463"/>
    <cellStyle name="Обычный 6 2 4 4 2 4" xfId="16464"/>
    <cellStyle name="Обычный 6 2 4 4 2 4 2" xfId="16465"/>
    <cellStyle name="Обычный 6 2 4 4 2 5" xfId="16466"/>
    <cellStyle name="Обычный 6 2 4 4 2 6" xfId="16467"/>
    <cellStyle name="Обычный 6 2 4 4 3" xfId="16468"/>
    <cellStyle name="Обычный 6 2 4 4 3 2" xfId="16469"/>
    <cellStyle name="Обычный 6 2 4 4 3 3" xfId="16470"/>
    <cellStyle name="Обычный 6 2 4 4 4" xfId="16471"/>
    <cellStyle name="Обычный 6 2 4 4 4 2" xfId="16472"/>
    <cellStyle name="Обычный 6 2 4 4 4 3" xfId="16473"/>
    <cellStyle name="Обычный 6 2 4 4 5" xfId="16474"/>
    <cellStyle name="Обычный 6 2 4 4 5 2" xfId="16475"/>
    <cellStyle name="Обычный 6 2 4 4 6" xfId="16476"/>
    <cellStyle name="Обычный 6 2 4 4 7" xfId="16477"/>
    <cellStyle name="Обычный 6 2 4 5" xfId="16478"/>
    <cellStyle name="Обычный 6 2 4 5 2" xfId="16479"/>
    <cellStyle name="Обычный 6 2 4 5 2 2" xfId="16480"/>
    <cellStyle name="Обычный 6 2 4 5 2 3" xfId="16481"/>
    <cellStyle name="Обычный 6 2 4 5 3" xfId="16482"/>
    <cellStyle name="Обычный 6 2 4 5 3 2" xfId="16483"/>
    <cellStyle name="Обычный 6 2 4 5 3 3" xfId="16484"/>
    <cellStyle name="Обычный 6 2 4 5 4" xfId="16485"/>
    <cellStyle name="Обычный 6 2 4 5 4 2" xfId="16486"/>
    <cellStyle name="Обычный 6 2 4 5 5" xfId="16487"/>
    <cellStyle name="Обычный 6 2 4 5 6" xfId="16488"/>
    <cellStyle name="Обычный 6 2 4 6" xfId="16489"/>
    <cellStyle name="Обычный 6 2 4 6 2" xfId="16490"/>
    <cellStyle name="Обычный 6 2 4 6 3" xfId="16491"/>
    <cellStyle name="Обычный 6 2 4 7" xfId="16492"/>
    <cellStyle name="Обычный 6 2 4 7 2" xfId="16493"/>
    <cellStyle name="Обычный 6 2 4 7 3" xfId="16494"/>
    <cellStyle name="Обычный 6 2 4 8" xfId="16495"/>
    <cellStyle name="Обычный 6 2 4 8 2" xfId="16496"/>
    <cellStyle name="Обычный 6 2 4 9" xfId="16497"/>
    <cellStyle name="Обычный 6 2 5" xfId="16498"/>
    <cellStyle name="Обычный 6 2 5 10" xfId="16499"/>
    <cellStyle name="Обычный 6 2 5 2" xfId="16500"/>
    <cellStyle name="Обычный 6 2 5 2 2" xfId="16501"/>
    <cellStyle name="Обычный 6 2 5 2 2 2" xfId="16502"/>
    <cellStyle name="Обычный 6 2 5 2 2 2 2" xfId="16503"/>
    <cellStyle name="Обычный 6 2 5 2 2 2 2 2" xfId="16504"/>
    <cellStyle name="Обычный 6 2 5 2 2 2 2 2 2" xfId="16505"/>
    <cellStyle name="Обычный 6 2 5 2 2 2 2 2 3" xfId="16506"/>
    <cellStyle name="Обычный 6 2 5 2 2 2 2 3" xfId="16507"/>
    <cellStyle name="Обычный 6 2 5 2 2 2 2 3 2" xfId="16508"/>
    <cellStyle name="Обычный 6 2 5 2 2 2 2 3 3" xfId="16509"/>
    <cellStyle name="Обычный 6 2 5 2 2 2 2 4" xfId="16510"/>
    <cellStyle name="Обычный 6 2 5 2 2 2 2 4 2" xfId="16511"/>
    <cellStyle name="Обычный 6 2 5 2 2 2 2 5" xfId="16512"/>
    <cellStyle name="Обычный 6 2 5 2 2 2 2 6" xfId="16513"/>
    <cellStyle name="Обычный 6 2 5 2 2 2 3" xfId="16514"/>
    <cellStyle name="Обычный 6 2 5 2 2 2 3 2" xfId="16515"/>
    <cellStyle name="Обычный 6 2 5 2 2 2 3 3" xfId="16516"/>
    <cellStyle name="Обычный 6 2 5 2 2 2 4" xfId="16517"/>
    <cellStyle name="Обычный 6 2 5 2 2 2 4 2" xfId="16518"/>
    <cellStyle name="Обычный 6 2 5 2 2 2 4 3" xfId="16519"/>
    <cellStyle name="Обычный 6 2 5 2 2 2 5" xfId="16520"/>
    <cellStyle name="Обычный 6 2 5 2 2 2 5 2" xfId="16521"/>
    <cellStyle name="Обычный 6 2 5 2 2 2 6" xfId="16522"/>
    <cellStyle name="Обычный 6 2 5 2 2 2 7" xfId="16523"/>
    <cellStyle name="Обычный 6 2 5 2 2 3" xfId="16524"/>
    <cellStyle name="Обычный 6 2 5 2 2 3 2" xfId="16525"/>
    <cellStyle name="Обычный 6 2 5 2 2 3 2 2" xfId="16526"/>
    <cellStyle name="Обычный 6 2 5 2 2 3 2 3" xfId="16527"/>
    <cellStyle name="Обычный 6 2 5 2 2 3 3" xfId="16528"/>
    <cellStyle name="Обычный 6 2 5 2 2 3 3 2" xfId="16529"/>
    <cellStyle name="Обычный 6 2 5 2 2 3 3 3" xfId="16530"/>
    <cellStyle name="Обычный 6 2 5 2 2 3 4" xfId="16531"/>
    <cellStyle name="Обычный 6 2 5 2 2 3 4 2" xfId="16532"/>
    <cellStyle name="Обычный 6 2 5 2 2 3 5" xfId="16533"/>
    <cellStyle name="Обычный 6 2 5 2 2 3 6" xfId="16534"/>
    <cellStyle name="Обычный 6 2 5 2 2 4" xfId="16535"/>
    <cellStyle name="Обычный 6 2 5 2 2 4 2" xfId="16536"/>
    <cellStyle name="Обычный 6 2 5 2 2 4 3" xfId="16537"/>
    <cellStyle name="Обычный 6 2 5 2 2 5" xfId="16538"/>
    <cellStyle name="Обычный 6 2 5 2 2 5 2" xfId="16539"/>
    <cellStyle name="Обычный 6 2 5 2 2 5 3" xfId="16540"/>
    <cellStyle name="Обычный 6 2 5 2 2 6" xfId="16541"/>
    <cellStyle name="Обычный 6 2 5 2 2 6 2" xfId="16542"/>
    <cellStyle name="Обычный 6 2 5 2 2 7" xfId="16543"/>
    <cellStyle name="Обычный 6 2 5 2 2 8" xfId="16544"/>
    <cellStyle name="Обычный 6 2 5 2 3" xfId="16545"/>
    <cellStyle name="Обычный 6 2 5 2 3 2" xfId="16546"/>
    <cellStyle name="Обычный 6 2 5 2 3 2 2" xfId="16547"/>
    <cellStyle name="Обычный 6 2 5 2 3 2 2 2" xfId="16548"/>
    <cellStyle name="Обычный 6 2 5 2 3 2 2 3" xfId="16549"/>
    <cellStyle name="Обычный 6 2 5 2 3 2 3" xfId="16550"/>
    <cellStyle name="Обычный 6 2 5 2 3 2 3 2" xfId="16551"/>
    <cellStyle name="Обычный 6 2 5 2 3 2 3 3" xfId="16552"/>
    <cellStyle name="Обычный 6 2 5 2 3 2 4" xfId="16553"/>
    <cellStyle name="Обычный 6 2 5 2 3 2 4 2" xfId="16554"/>
    <cellStyle name="Обычный 6 2 5 2 3 2 5" xfId="16555"/>
    <cellStyle name="Обычный 6 2 5 2 3 2 6" xfId="16556"/>
    <cellStyle name="Обычный 6 2 5 2 3 3" xfId="16557"/>
    <cellStyle name="Обычный 6 2 5 2 3 3 2" xfId="16558"/>
    <cellStyle name="Обычный 6 2 5 2 3 3 3" xfId="16559"/>
    <cellStyle name="Обычный 6 2 5 2 3 4" xfId="16560"/>
    <cellStyle name="Обычный 6 2 5 2 3 4 2" xfId="16561"/>
    <cellStyle name="Обычный 6 2 5 2 3 4 3" xfId="16562"/>
    <cellStyle name="Обычный 6 2 5 2 3 5" xfId="16563"/>
    <cellStyle name="Обычный 6 2 5 2 3 5 2" xfId="16564"/>
    <cellStyle name="Обычный 6 2 5 2 3 6" xfId="16565"/>
    <cellStyle name="Обычный 6 2 5 2 3 7" xfId="16566"/>
    <cellStyle name="Обычный 6 2 5 2 4" xfId="16567"/>
    <cellStyle name="Обычный 6 2 5 2 4 2" xfId="16568"/>
    <cellStyle name="Обычный 6 2 5 2 4 2 2" xfId="16569"/>
    <cellStyle name="Обычный 6 2 5 2 4 2 3" xfId="16570"/>
    <cellStyle name="Обычный 6 2 5 2 4 3" xfId="16571"/>
    <cellStyle name="Обычный 6 2 5 2 4 3 2" xfId="16572"/>
    <cellStyle name="Обычный 6 2 5 2 4 3 3" xfId="16573"/>
    <cellStyle name="Обычный 6 2 5 2 4 4" xfId="16574"/>
    <cellStyle name="Обычный 6 2 5 2 4 4 2" xfId="16575"/>
    <cellStyle name="Обычный 6 2 5 2 4 5" xfId="16576"/>
    <cellStyle name="Обычный 6 2 5 2 4 6" xfId="16577"/>
    <cellStyle name="Обычный 6 2 5 2 5" xfId="16578"/>
    <cellStyle name="Обычный 6 2 5 2 5 2" xfId="16579"/>
    <cellStyle name="Обычный 6 2 5 2 5 3" xfId="16580"/>
    <cellStyle name="Обычный 6 2 5 2 6" xfId="16581"/>
    <cellStyle name="Обычный 6 2 5 2 6 2" xfId="16582"/>
    <cellStyle name="Обычный 6 2 5 2 6 3" xfId="16583"/>
    <cellStyle name="Обычный 6 2 5 2 7" xfId="16584"/>
    <cellStyle name="Обычный 6 2 5 2 7 2" xfId="16585"/>
    <cellStyle name="Обычный 6 2 5 2 8" xfId="16586"/>
    <cellStyle name="Обычный 6 2 5 2 9" xfId="16587"/>
    <cellStyle name="Обычный 6 2 5 3" xfId="16588"/>
    <cellStyle name="Обычный 6 2 5 3 2" xfId="16589"/>
    <cellStyle name="Обычный 6 2 5 3 2 2" xfId="16590"/>
    <cellStyle name="Обычный 6 2 5 3 2 2 2" xfId="16591"/>
    <cellStyle name="Обычный 6 2 5 3 2 2 2 2" xfId="16592"/>
    <cellStyle name="Обычный 6 2 5 3 2 2 2 3" xfId="16593"/>
    <cellStyle name="Обычный 6 2 5 3 2 2 3" xfId="16594"/>
    <cellStyle name="Обычный 6 2 5 3 2 2 3 2" xfId="16595"/>
    <cellStyle name="Обычный 6 2 5 3 2 2 3 3" xfId="16596"/>
    <cellStyle name="Обычный 6 2 5 3 2 2 4" xfId="16597"/>
    <cellStyle name="Обычный 6 2 5 3 2 2 4 2" xfId="16598"/>
    <cellStyle name="Обычный 6 2 5 3 2 2 5" xfId="16599"/>
    <cellStyle name="Обычный 6 2 5 3 2 2 6" xfId="16600"/>
    <cellStyle name="Обычный 6 2 5 3 2 3" xfId="16601"/>
    <cellStyle name="Обычный 6 2 5 3 2 3 2" xfId="16602"/>
    <cellStyle name="Обычный 6 2 5 3 2 3 3" xfId="16603"/>
    <cellStyle name="Обычный 6 2 5 3 2 4" xfId="16604"/>
    <cellStyle name="Обычный 6 2 5 3 2 4 2" xfId="16605"/>
    <cellStyle name="Обычный 6 2 5 3 2 4 3" xfId="16606"/>
    <cellStyle name="Обычный 6 2 5 3 2 5" xfId="16607"/>
    <cellStyle name="Обычный 6 2 5 3 2 5 2" xfId="16608"/>
    <cellStyle name="Обычный 6 2 5 3 2 6" xfId="16609"/>
    <cellStyle name="Обычный 6 2 5 3 2 7" xfId="16610"/>
    <cellStyle name="Обычный 6 2 5 3 3" xfId="16611"/>
    <cellStyle name="Обычный 6 2 5 3 3 2" xfId="16612"/>
    <cellStyle name="Обычный 6 2 5 3 3 2 2" xfId="16613"/>
    <cellStyle name="Обычный 6 2 5 3 3 2 3" xfId="16614"/>
    <cellStyle name="Обычный 6 2 5 3 3 3" xfId="16615"/>
    <cellStyle name="Обычный 6 2 5 3 3 3 2" xfId="16616"/>
    <cellStyle name="Обычный 6 2 5 3 3 3 3" xfId="16617"/>
    <cellStyle name="Обычный 6 2 5 3 3 4" xfId="16618"/>
    <cellStyle name="Обычный 6 2 5 3 3 4 2" xfId="16619"/>
    <cellStyle name="Обычный 6 2 5 3 3 5" xfId="16620"/>
    <cellStyle name="Обычный 6 2 5 3 3 6" xfId="16621"/>
    <cellStyle name="Обычный 6 2 5 3 4" xfId="16622"/>
    <cellStyle name="Обычный 6 2 5 3 4 2" xfId="16623"/>
    <cellStyle name="Обычный 6 2 5 3 4 3" xfId="16624"/>
    <cellStyle name="Обычный 6 2 5 3 5" xfId="16625"/>
    <cellStyle name="Обычный 6 2 5 3 5 2" xfId="16626"/>
    <cellStyle name="Обычный 6 2 5 3 5 3" xfId="16627"/>
    <cellStyle name="Обычный 6 2 5 3 6" xfId="16628"/>
    <cellStyle name="Обычный 6 2 5 3 6 2" xfId="16629"/>
    <cellStyle name="Обычный 6 2 5 3 7" xfId="16630"/>
    <cellStyle name="Обычный 6 2 5 3 8" xfId="16631"/>
    <cellStyle name="Обычный 6 2 5 4" xfId="16632"/>
    <cellStyle name="Обычный 6 2 5 4 2" xfId="16633"/>
    <cellStyle name="Обычный 6 2 5 4 2 2" xfId="16634"/>
    <cellStyle name="Обычный 6 2 5 4 2 2 2" xfId="16635"/>
    <cellStyle name="Обычный 6 2 5 4 2 2 3" xfId="16636"/>
    <cellStyle name="Обычный 6 2 5 4 2 3" xfId="16637"/>
    <cellStyle name="Обычный 6 2 5 4 2 3 2" xfId="16638"/>
    <cellStyle name="Обычный 6 2 5 4 2 3 3" xfId="16639"/>
    <cellStyle name="Обычный 6 2 5 4 2 4" xfId="16640"/>
    <cellStyle name="Обычный 6 2 5 4 2 4 2" xfId="16641"/>
    <cellStyle name="Обычный 6 2 5 4 2 5" xfId="16642"/>
    <cellStyle name="Обычный 6 2 5 4 2 6" xfId="16643"/>
    <cellStyle name="Обычный 6 2 5 4 3" xfId="16644"/>
    <cellStyle name="Обычный 6 2 5 4 3 2" xfId="16645"/>
    <cellStyle name="Обычный 6 2 5 4 3 3" xfId="16646"/>
    <cellStyle name="Обычный 6 2 5 4 4" xfId="16647"/>
    <cellStyle name="Обычный 6 2 5 4 4 2" xfId="16648"/>
    <cellStyle name="Обычный 6 2 5 4 4 3" xfId="16649"/>
    <cellStyle name="Обычный 6 2 5 4 5" xfId="16650"/>
    <cellStyle name="Обычный 6 2 5 4 5 2" xfId="16651"/>
    <cellStyle name="Обычный 6 2 5 4 6" xfId="16652"/>
    <cellStyle name="Обычный 6 2 5 4 7" xfId="16653"/>
    <cellStyle name="Обычный 6 2 5 5" xfId="16654"/>
    <cellStyle name="Обычный 6 2 5 5 2" xfId="16655"/>
    <cellStyle name="Обычный 6 2 5 5 2 2" xfId="16656"/>
    <cellStyle name="Обычный 6 2 5 5 2 3" xfId="16657"/>
    <cellStyle name="Обычный 6 2 5 5 3" xfId="16658"/>
    <cellStyle name="Обычный 6 2 5 5 3 2" xfId="16659"/>
    <cellStyle name="Обычный 6 2 5 5 3 3" xfId="16660"/>
    <cellStyle name="Обычный 6 2 5 5 4" xfId="16661"/>
    <cellStyle name="Обычный 6 2 5 5 4 2" xfId="16662"/>
    <cellStyle name="Обычный 6 2 5 5 5" xfId="16663"/>
    <cellStyle name="Обычный 6 2 5 5 6" xfId="16664"/>
    <cellStyle name="Обычный 6 2 5 6" xfId="16665"/>
    <cellStyle name="Обычный 6 2 5 6 2" xfId="16666"/>
    <cellStyle name="Обычный 6 2 5 6 3" xfId="16667"/>
    <cellStyle name="Обычный 6 2 5 7" xfId="16668"/>
    <cellStyle name="Обычный 6 2 5 7 2" xfId="16669"/>
    <cellStyle name="Обычный 6 2 5 7 3" xfId="16670"/>
    <cellStyle name="Обычный 6 2 5 8" xfId="16671"/>
    <cellStyle name="Обычный 6 2 5 8 2" xfId="16672"/>
    <cellStyle name="Обычный 6 2 5 9" xfId="16673"/>
    <cellStyle name="Обычный 6 2 6" xfId="16674"/>
    <cellStyle name="Обычный 6 2 6 2" xfId="16675"/>
    <cellStyle name="Обычный 6 2 6 2 2" xfId="16676"/>
    <cellStyle name="Обычный 6 2 6 2 2 2" xfId="16677"/>
    <cellStyle name="Обычный 6 2 6 2 2 2 2" xfId="16678"/>
    <cellStyle name="Обычный 6 2 6 2 2 2 2 2" xfId="16679"/>
    <cellStyle name="Обычный 6 2 6 2 2 2 2 3" xfId="16680"/>
    <cellStyle name="Обычный 6 2 6 2 2 2 3" xfId="16681"/>
    <cellStyle name="Обычный 6 2 6 2 2 2 3 2" xfId="16682"/>
    <cellStyle name="Обычный 6 2 6 2 2 2 3 3" xfId="16683"/>
    <cellStyle name="Обычный 6 2 6 2 2 2 4" xfId="16684"/>
    <cellStyle name="Обычный 6 2 6 2 2 2 4 2" xfId="16685"/>
    <cellStyle name="Обычный 6 2 6 2 2 2 5" xfId="16686"/>
    <cellStyle name="Обычный 6 2 6 2 2 2 6" xfId="16687"/>
    <cellStyle name="Обычный 6 2 6 2 2 3" xfId="16688"/>
    <cellStyle name="Обычный 6 2 6 2 2 3 2" xfId="16689"/>
    <cellStyle name="Обычный 6 2 6 2 2 3 3" xfId="16690"/>
    <cellStyle name="Обычный 6 2 6 2 2 4" xfId="16691"/>
    <cellStyle name="Обычный 6 2 6 2 2 4 2" xfId="16692"/>
    <cellStyle name="Обычный 6 2 6 2 2 4 3" xfId="16693"/>
    <cellStyle name="Обычный 6 2 6 2 2 5" xfId="16694"/>
    <cellStyle name="Обычный 6 2 6 2 2 5 2" xfId="16695"/>
    <cellStyle name="Обычный 6 2 6 2 2 6" xfId="16696"/>
    <cellStyle name="Обычный 6 2 6 2 2 7" xfId="16697"/>
    <cellStyle name="Обычный 6 2 6 2 3" xfId="16698"/>
    <cellStyle name="Обычный 6 2 6 2 3 2" xfId="16699"/>
    <cellStyle name="Обычный 6 2 6 2 3 2 2" xfId="16700"/>
    <cellStyle name="Обычный 6 2 6 2 3 2 3" xfId="16701"/>
    <cellStyle name="Обычный 6 2 6 2 3 3" xfId="16702"/>
    <cellStyle name="Обычный 6 2 6 2 3 3 2" xfId="16703"/>
    <cellStyle name="Обычный 6 2 6 2 3 3 3" xfId="16704"/>
    <cellStyle name="Обычный 6 2 6 2 3 4" xfId="16705"/>
    <cellStyle name="Обычный 6 2 6 2 3 4 2" xfId="16706"/>
    <cellStyle name="Обычный 6 2 6 2 3 5" xfId="16707"/>
    <cellStyle name="Обычный 6 2 6 2 3 6" xfId="16708"/>
    <cellStyle name="Обычный 6 2 6 2 4" xfId="16709"/>
    <cellStyle name="Обычный 6 2 6 2 4 2" xfId="16710"/>
    <cellStyle name="Обычный 6 2 6 2 4 3" xfId="16711"/>
    <cellStyle name="Обычный 6 2 6 2 5" xfId="16712"/>
    <cellStyle name="Обычный 6 2 6 2 5 2" xfId="16713"/>
    <cellStyle name="Обычный 6 2 6 2 5 3" xfId="16714"/>
    <cellStyle name="Обычный 6 2 6 2 6" xfId="16715"/>
    <cellStyle name="Обычный 6 2 6 2 6 2" xfId="16716"/>
    <cellStyle name="Обычный 6 2 6 2 7" xfId="16717"/>
    <cellStyle name="Обычный 6 2 6 2 8" xfId="16718"/>
    <cellStyle name="Обычный 6 2 6 3" xfId="16719"/>
    <cellStyle name="Обычный 6 2 6 3 2" xfId="16720"/>
    <cellStyle name="Обычный 6 2 6 3 2 2" xfId="16721"/>
    <cellStyle name="Обычный 6 2 6 3 2 2 2" xfId="16722"/>
    <cellStyle name="Обычный 6 2 6 3 2 2 3" xfId="16723"/>
    <cellStyle name="Обычный 6 2 6 3 2 3" xfId="16724"/>
    <cellStyle name="Обычный 6 2 6 3 2 3 2" xfId="16725"/>
    <cellStyle name="Обычный 6 2 6 3 2 3 3" xfId="16726"/>
    <cellStyle name="Обычный 6 2 6 3 2 4" xfId="16727"/>
    <cellStyle name="Обычный 6 2 6 3 2 4 2" xfId="16728"/>
    <cellStyle name="Обычный 6 2 6 3 2 5" xfId="16729"/>
    <cellStyle name="Обычный 6 2 6 3 2 6" xfId="16730"/>
    <cellStyle name="Обычный 6 2 6 3 3" xfId="16731"/>
    <cellStyle name="Обычный 6 2 6 3 3 2" xfId="16732"/>
    <cellStyle name="Обычный 6 2 6 3 3 3" xfId="16733"/>
    <cellStyle name="Обычный 6 2 6 3 4" xfId="16734"/>
    <cellStyle name="Обычный 6 2 6 3 4 2" xfId="16735"/>
    <cellStyle name="Обычный 6 2 6 3 4 3" xfId="16736"/>
    <cellStyle name="Обычный 6 2 6 3 5" xfId="16737"/>
    <cellStyle name="Обычный 6 2 6 3 5 2" xfId="16738"/>
    <cellStyle name="Обычный 6 2 6 3 6" xfId="16739"/>
    <cellStyle name="Обычный 6 2 6 3 7" xfId="16740"/>
    <cellStyle name="Обычный 6 2 6 4" xfId="16741"/>
    <cellStyle name="Обычный 6 2 6 4 2" xfId="16742"/>
    <cellStyle name="Обычный 6 2 6 4 2 2" xfId="16743"/>
    <cellStyle name="Обычный 6 2 6 4 2 3" xfId="16744"/>
    <cellStyle name="Обычный 6 2 6 4 3" xfId="16745"/>
    <cellStyle name="Обычный 6 2 6 4 3 2" xfId="16746"/>
    <cellStyle name="Обычный 6 2 6 4 3 3" xfId="16747"/>
    <cellStyle name="Обычный 6 2 6 4 4" xfId="16748"/>
    <cellStyle name="Обычный 6 2 6 4 4 2" xfId="16749"/>
    <cellStyle name="Обычный 6 2 6 4 5" xfId="16750"/>
    <cellStyle name="Обычный 6 2 6 4 6" xfId="16751"/>
    <cellStyle name="Обычный 6 2 6 5" xfId="16752"/>
    <cellStyle name="Обычный 6 2 6 5 2" xfId="16753"/>
    <cellStyle name="Обычный 6 2 6 5 3" xfId="16754"/>
    <cellStyle name="Обычный 6 2 6 6" xfId="16755"/>
    <cellStyle name="Обычный 6 2 6 6 2" xfId="16756"/>
    <cellStyle name="Обычный 6 2 6 6 3" xfId="16757"/>
    <cellStyle name="Обычный 6 2 6 7" xfId="16758"/>
    <cellStyle name="Обычный 6 2 6 7 2" xfId="16759"/>
    <cellStyle name="Обычный 6 2 6 8" xfId="16760"/>
    <cellStyle name="Обычный 6 2 6 9" xfId="16761"/>
    <cellStyle name="Обычный 6 2 7" xfId="16762"/>
    <cellStyle name="Обычный 6 2 7 2" xfId="16763"/>
    <cellStyle name="Обычный 6 2 7 2 2" xfId="16764"/>
    <cellStyle name="Обычный 6 2 7 2 2 2" xfId="16765"/>
    <cellStyle name="Обычный 6 2 7 2 2 2 2" xfId="16766"/>
    <cellStyle name="Обычный 6 2 7 2 2 2 3" xfId="16767"/>
    <cellStyle name="Обычный 6 2 7 2 2 3" xfId="16768"/>
    <cellStyle name="Обычный 6 2 7 2 2 3 2" xfId="16769"/>
    <cellStyle name="Обычный 6 2 7 2 2 3 3" xfId="16770"/>
    <cellStyle name="Обычный 6 2 7 2 2 4" xfId="16771"/>
    <cellStyle name="Обычный 6 2 7 2 2 4 2" xfId="16772"/>
    <cellStyle name="Обычный 6 2 7 2 2 5" xfId="16773"/>
    <cellStyle name="Обычный 6 2 7 2 2 6" xfId="16774"/>
    <cellStyle name="Обычный 6 2 7 2 3" xfId="16775"/>
    <cellStyle name="Обычный 6 2 7 2 3 2" xfId="16776"/>
    <cellStyle name="Обычный 6 2 7 2 3 3" xfId="16777"/>
    <cellStyle name="Обычный 6 2 7 2 4" xfId="16778"/>
    <cellStyle name="Обычный 6 2 7 2 4 2" xfId="16779"/>
    <cellStyle name="Обычный 6 2 7 2 4 3" xfId="16780"/>
    <cellStyle name="Обычный 6 2 7 2 5" xfId="16781"/>
    <cellStyle name="Обычный 6 2 7 2 5 2" xfId="16782"/>
    <cellStyle name="Обычный 6 2 7 2 6" xfId="16783"/>
    <cellStyle name="Обычный 6 2 7 2 7" xfId="16784"/>
    <cellStyle name="Обычный 6 2 7 3" xfId="16785"/>
    <cellStyle name="Обычный 6 2 7 3 2" xfId="16786"/>
    <cellStyle name="Обычный 6 2 7 3 2 2" xfId="16787"/>
    <cellStyle name="Обычный 6 2 7 3 2 3" xfId="16788"/>
    <cellStyle name="Обычный 6 2 7 3 3" xfId="16789"/>
    <cellStyle name="Обычный 6 2 7 3 3 2" xfId="16790"/>
    <cellStyle name="Обычный 6 2 7 3 3 3" xfId="16791"/>
    <cellStyle name="Обычный 6 2 7 3 4" xfId="16792"/>
    <cellStyle name="Обычный 6 2 7 3 4 2" xfId="16793"/>
    <cellStyle name="Обычный 6 2 7 3 5" xfId="16794"/>
    <cellStyle name="Обычный 6 2 7 3 6" xfId="16795"/>
    <cellStyle name="Обычный 6 2 7 4" xfId="16796"/>
    <cellStyle name="Обычный 6 2 7 4 2" xfId="16797"/>
    <cellStyle name="Обычный 6 2 7 4 3" xfId="16798"/>
    <cellStyle name="Обычный 6 2 7 5" xfId="16799"/>
    <cellStyle name="Обычный 6 2 7 5 2" xfId="16800"/>
    <cellStyle name="Обычный 6 2 7 5 3" xfId="16801"/>
    <cellStyle name="Обычный 6 2 7 6" xfId="16802"/>
    <cellStyle name="Обычный 6 2 7 6 2" xfId="16803"/>
    <cellStyle name="Обычный 6 2 7 7" xfId="16804"/>
    <cellStyle name="Обычный 6 2 7 8" xfId="16805"/>
    <cellStyle name="Обычный 6 2 8" xfId="16806"/>
    <cellStyle name="Обычный 6 2 8 2" xfId="16807"/>
    <cellStyle name="Обычный 6 2 8 2 2" xfId="16808"/>
    <cellStyle name="Обычный 6 2 8 2 2 2" xfId="16809"/>
    <cellStyle name="Обычный 6 2 8 2 2 3" xfId="16810"/>
    <cellStyle name="Обычный 6 2 8 2 3" xfId="16811"/>
    <cellStyle name="Обычный 6 2 8 2 3 2" xfId="16812"/>
    <cellStyle name="Обычный 6 2 8 2 3 3" xfId="16813"/>
    <cellStyle name="Обычный 6 2 8 2 4" xfId="16814"/>
    <cellStyle name="Обычный 6 2 8 2 4 2" xfId="16815"/>
    <cellStyle name="Обычный 6 2 8 2 5" xfId="16816"/>
    <cellStyle name="Обычный 6 2 8 2 6" xfId="16817"/>
    <cellStyle name="Обычный 6 2 8 3" xfId="16818"/>
    <cellStyle name="Обычный 6 2 8 3 2" xfId="16819"/>
    <cellStyle name="Обычный 6 2 8 3 3" xfId="16820"/>
    <cellStyle name="Обычный 6 2 8 4" xfId="16821"/>
    <cellStyle name="Обычный 6 2 8 4 2" xfId="16822"/>
    <cellStyle name="Обычный 6 2 8 4 3" xfId="16823"/>
    <cellStyle name="Обычный 6 2 8 5" xfId="16824"/>
    <cellStyle name="Обычный 6 2 8 5 2" xfId="16825"/>
    <cellStyle name="Обычный 6 2 8 6" xfId="16826"/>
    <cellStyle name="Обычный 6 2 8 7" xfId="16827"/>
    <cellStyle name="Обычный 6 2 9" xfId="16828"/>
    <cellStyle name="Обычный 6 2 9 2" xfId="16829"/>
    <cellStyle name="Обычный 6 2 9 2 2" xfId="16830"/>
    <cellStyle name="Обычный 6 2 9 2 3" xfId="16831"/>
    <cellStyle name="Обычный 6 2 9 3" xfId="16832"/>
    <cellStyle name="Обычный 6 2 9 3 2" xfId="16833"/>
    <cellStyle name="Обычный 6 2 9 3 3" xfId="16834"/>
    <cellStyle name="Обычный 6 2 9 4" xfId="16835"/>
    <cellStyle name="Обычный 6 2 9 4 2" xfId="16836"/>
    <cellStyle name="Обычный 6 2 9 5" xfId="16837"/>
    <cellStyle name="Обычный 6 2 9 6" xfId="16838"/>
    <cellStyle name="Обычный 6 20" xfId="16839"/>
    <cellStyle name="Обычный 6 21" xfId="16840"/>
    <cellStyle name="Обычный 6 22" xfId="16841"/>
    <cellStyle name="Обычный 6 3" xfId="16842"/>
    <cellStyle name="Обычный 6 3 10" xfId="16843"/>
    <cellStyle name="Обычный 6 3 10 2" xfId="16844"/>
    <cellStyle name="Обычный 6 3 10 3" xfId="16845"/>
    <cellStyle name="Обычный 6 3 11" xfId="16846"/>
    <cellStyle name="Обычный 6 3 11 2" xfId="16847"/>
    <cellStyle name="Обычный 6 3 11 3" xfId="16848"/>
    <cellStyle name="Обычный 6 3 12" xfId="16849"/>
    <cellStyle name="Обычный 6 3 12 2" xfId="16850"/>
    <cellStyle name="Обычный 6 3 13" xfId="16851"/>
    <cellStyle name="Обычный 6 3 14" xfId="16852"/>
    <cellStyle name="Обычный 6 3 2" xfId="16853"/>
    <cellStyle name="Обычный 6 3 2 10" xfId="16854"/>
    <cellStyle name="Обычный 6 3 2 10 2" xfId="16855"/>
    <cellStyle name="Обычный 6 3 2 10 3" xfId="16856"/>
    <cellStyle name="Обычный 6 3 2 11" xfId="16857"/>
    <cellStyle name="Обычный 6 3 2 11 2" xfId="16858"/>
    <cellStyle name="Обычный 6 3 2 12" xfId="16859"/>
    <cellStyle name="Обычный 6 3 2 13" xfId="16860"/>
    <cellStyle name="Обычный 6 3 2 2" xfId="16861"/>
    <cellStyle name="Обычный 6 3 2 2 10" xfId="16862"/>
    <cellStyle name="Обычный 6 3 2 2 2" xfId="16863"/>
    <cellStyle name="Обычный 6 3 2 2 2 2" xfId="16864"/>
    <cellStyle name="Обычный 6 3 2 2 2 2 2" xfId="16865"/>
    <cellStyle name="Обычный 6 3 2 2 2 2 2 2" xfId="16866"/>
    <cellStyle name="Обычный 6 3 2 2 2 2 2 2 2" xfId="16867"/>
    <cellStyle name="Обычный 6 3 2 2 2 2 2 2 2 2" xfId="16868"/>
    <cellStyle name="Обычный 6 3 2 2 2 2 2 2 2 3" xfId="16869"/>
    <cellStyle name="Обычный 6 3 2 2 2 2 2 2 3" xfId="16870"/>
    <cellStyle name="Обычный 6 3 2 2 2 2 2 2 3 2" xfId="16871"/>
    <cellStyle name="Обычный 6 3 2 2 2 2 2 2 3 3" xfId="16872"/>
    <cellStyle name="Обычный 6 3 2 2 2 2 2 2 4" xfId="16873"/>
    <cellStyle name="Обычный 6 3 2 2 2 2 2 2 4 2" xfId="16874"/>
    <cellStyle name="Обычный 6 3 2 2 2 2 2 2 5" xfId="16875"/>
    <cellStyle name="Обычный 6 3 2 2 2 2 2 2 6" xfId="16876"/>
    <cellStyle name="Обычный 6 3 2 2 2 2 2 3" xfId="16877"/>
    <cellStyle name="Обычный 6 3 2 2 2 2 2 3 2" xfId="16878"/>
    <cellStyle name="Обычный 6 3 2 2 2 2 2 3 3" xfId="16879"/>
    <cellStyle name="Обычный 6 3 2 2 2 2 2 4" xfId="16880"/>
    <cellStyle name="Обычный 6 3 2 2 2 2 2 4 2" xfId="16881"/>
    <cellStyle name="Обычный 6 3 2 2 2 2 2 4 3" xfId="16882"/>
    <cellStyle name="Обычный 6 3 2 2 2 2 2 5" xfId="16883"/>
    <cellStyle name="Обычный 6 3 2 2 2 2 2 5 2" xfId="16884"/>
    <cellStyle name="Обычный 6 3 2 2 2 2 2 6" xfId="16885"/>
    <cellStyle name="Обычный 6 3 2 2 2 2 2 7" xfId="16886"/>
    <cellStyle name="Обычный 6 3 2 2 2 2 3" xfId="16887"/>
    <cellStyle name="Обычный 6 3 2 2 2 2 3 2" xfId="16888"/>
    <cellStyle name="Обычный 6 3 2 2 2 2 3 2 2" xfId="16889"/>
    <cellStyle name="Обычный 6 3 2 2 2 2 3 2 3" xfId="16890"/>
    <cellStyle name="Обычный 6 3 2 2 2 2 3 3" xfId="16891"/>
    <cellStyle name="Обычный 6 3 2 2 2 2 3 3 2" xfId="16892"/>
    <cellStyle name="Обычный 6 3 2 2 2 2 3 3 3" xfId="16893"/>
    <cellStyle name="Обычный 6 3 2 2 2 2 3 4" xfId="16894"/>
    <cellStyle name="Обычный 6 3 2 2 2 2 3 4 2" xfId="16895"/>
    <cellStyle name="Обычный 6 3 2 2 2 2 3 5" xfId="16896"/>
    <cellStyle name="Обычный 6 3 2 2 2 2 3 6" xfId="16897"/>
    <cellStyle name="Обычный 6 3 2 2 2 2 4" xfId="16898"/>
    <cellStyle name="Обычный 6 3 2 2 2 2 4 2" xfId="16899"/>
    <cellStyle name="Обычный 6 3 2 2 2 2 4 3" xfId="16900"/>
    <cellStyle name="Обычный 6 3 2 2 2 2 5" xfId="16901"/>
    <cellStyle name="Обычный 6 3 2 2 2 2 5 2" xfId="16902"/>
    <cellStyle name="Обычный 6 3 2 2 2 2 5 3" xfId="16903"/>
    <cellStyle name="Обычный 6 3 2 2 2 2 6" xfId="16904"/>
    <cellStyle name="Обычный 6 3 2 2 2 2 6 2" xfId="16905"/>
    <cellStyle name="Обычный 6 3 2 2 2 2 7" xfId="16906"/>
    <cellStyle name="Обычный 6 3 2 2 2 2 8" xfId="16907"/>
    <cellStyle name="Обычный 6 3 2 2 2 3" xfId="16908"/>
    <cellStyle name="Обычный 6 3 2 2 2 3 2" xfId="16909"/>
    <cellStyle name="Обычный 6 3 2 2 2 3 2 2" xfId="16910"/>
    <cellStyle name="Обычный 6 3 2 2 2 3 2 2 2" xfId="16911"/>
    <cellStyle name="Обычный 6 3 2 2 2 3 2 2 3" xfId="16912"/>
    <cellStyle name="Обычный 6 3 2 2 2 3 2 3" xfId="16913"/>
    <cellStyle name="Обычный 6 3 2 2 2 3 2 3 2" xfId="16914"/>
    <cellStyle name="Обычный 6 3 2 2 2 3 2 3 3" xfId="16915"/>
    <cellStyle name="Обычный 6 3 2 2 2 3 2 4" xfId="16916"/>
    <cellStyle name="Обычный 6 3 2 2 2 3 2 4 2" xfId="16917"/>
    <cellStyle name="Обычный 6 3 2 2 2 3 2 5" xfId="16918"/>
    <cellStyle name="Обычный 6 3 2 2 2 3 2 6" xfId="16919"/>
    <cellStyle name="Обычный 6 3 2 2 2 3 3" xfId="16920"/>
    <cellStyle name="Обычный 6 3 2 2 2 3 3 2" xfId="16921"/>
    <cellStyle name="Обычный 6 3 2 2 2 3 3 3" xfId="16922"/>
    <cellStyle name="Обычный 6 3 2 2 2 3 4" xfId="16923"/>
    <cellStyle name="Обычный 6 3 2 2 2 3 4 2" xfId="16924"/>
    <cellStyle name="Обычный 6 3 2 2 2 3 4 3" xfId="16925"/>
    <cellStyle name="Обычный 6 3 2 2 2 3 5" xfId="16926"/>
    <cellStyle name="Обычный 6 3 2 2 2 3 5 2" xfId="16927"/>
    <cellStyle name="Обычный 6 3 2 2 2 3 6" xfId="16928"/>
    <cellStyle name="Обычный 6 3 2 2 2 3 7" xfId="16929"/>
    <cellStyle name="Обычный 6 3 2 2 2 4" xfId="16930"/>
    <cellStyle name="Обычный 6 3 2 2 2 4 2" xfId="16931"/>
    <cellStyle name="Обычный 6 3 2 2 2 4 2 2" xfId="16932"/>
    <cellStyle name="Обычный 6 3 2 2 2 4 2 3" xfId="16933"/>
    <cellStyle name="Обычный 6 3 2 2 2 4 3" xfId="16934"/>
    <cellStyle name="Обычный 6 3 2 2 2 4 3 2" xfId="16935"/>
    <cellStyle name="Обычный 6 3 2 2 2 4 3 3" xfId="16936"/>
    <cellStyle name="Обычный 6 3 2 2 2 4 4" xfId="16937"/>
    <cellStyle name="Обычный 6 3 2 2 2 4 4 2" xfId="16938"/>
    <cellStyle name="Обычный 6 3 2 2 2 4 5" xfId="16939"/>
    <cellStyle name="Обычный 6 3 2 2 2 4 6" xfId="16940"/>
    <cellStyle name="Обычный 6 3 2 2 2 5" xfId="16941"/>
    <cellStyle name="Обычный 6 3 2 2 2 5 2" xfId="16942"/>
    <cellStyle name="Обычный 6 3 2 2 2 5 3" xfId="16943"/>
    <cellStyle name="Обычный 6 3 2 2 2 6" xfId="16944"/>
    <cellStyle name="Обычный 6 3 2 2 2 6 2" xfId="16945"/>
    <cellStyle name="Обычный 6 3 2 2 2 6 3" xfId="16946"/>
    <cellStyle name="Обычный 6 3 2 2 2 7" xfId="16947"/>
    <cellStyle name="Обычный 6 3 2 2 2 7 2" xfId="16948"/>
    <cellStyle name="Обычный 6 3 2 2 2 8" xfId="16949"/>
    <cellStyle name="Обычный 6 3 2 2 2 9" xfId="16950"/>
    <cellStyle name="Обычный 6 3 2 2 3" xfId="16951"/>
    <cellStyle name="Обычный 6 3 2 2 3 2" xfId="16952"/>
    <cellStyle name="Обычный 6 3 2 2 3 2 2" xfId="16953"/>
    <cellStyle name="Обычный 6 3 2 2 3 2 2 2" xfId="16954"/>
    <cellStyle name="Обычный 6 3 2 2 3 2 2 2 2" xfId="16955"/>
    <cellStyle name="Обычный 6 3 2 2 3 2 2 2 3" xfId="16956"/>
    <cellStyle name="Обычный 6 3 2 2 3 2 2 3" xfId="16957"/>
    <cellStyle name="Обычный 6 3 2 2 3 2 2 3 2" xfId="16958"/>
    <cellStyle name="Обычный 6 3 2 2 3 2 2 3 3" xfId="16959"/>
    <cellStyle name="Обычный 6 3 2 2 3 2 2 4" xfId="16960"/>
    <cellStyle name="Обычный 6 3 2 2 3 2 2 4 2" xfId="16961"/>
    <cellStyle name="Обычный 6 3 2 2 3 2 2 5" xfId="16962"/>
    <cellStyle name="Обычный 6 3 2 2 3 2 2 6" xfId="16963"/>
    <cellStyle name="Обычный 6 3 2 2 3 2 3" xfId="16964"/>
    <cellStyle name="Обычный 6 3 2 2 3 2 3 2" xfId="16965"/>
    <cellStyle name="Обычный 6 3 2 2 3 2 3 3" xfId="16966"/>
    <cellStyle name="Обычный 6 3 2 2 3 2 4" xfId="16967"/>
    <cellStyle name="Обычный 6 3 2 2 3 2 4 2" xfId="16968"/>
    <cellStyle name="Обычный 6 3 2 2 3 2 4 3" xfId="16969"/>
    <cellStyle name="Обычный 6 3 2 2 3 2 5" xfId="16970"/>
    <cellStyle name="Обычный 6 3 2 2 3 2 5 2" xfId="16971"/>
    <cellStyle name="Обычный 6 3 2 2 3 2 6" xfId="16972"/>
    <cellStyle name="Обычный 6 3 2 2 3 2 7" xfId="16973"/>
    <cellStyle name="Обычный 6 3 2 2 3 3" xfId="16974"/>
    <cellStyle name="Обычный 6 3 2 2 3 3 2" xfId="16975"/>
    <cellStyle name="Обычный 6 3 2 2 3 3 2 2" xfId="16976"/>
    <cellStyle name="Обычный 6 3 2 2 3 3 2 3" xfId="16977"/>
    <cellStyle name="Обычный 6 3 2 2 3 3 3" xfId="16978"/>
    <cellStyle name="Обычный 6 3 2 2 3 3 3 2" xfId="16979"/>
    <cellStyle name="Обычный 6 3 2 2 3 3 3 3" xfId="16980"/>
    <cellStyle name="Обычный 6 3 2 2 3 3 4" xfId="16981"/>
    <cellStyle name="Обычный 6 3 2 2 3 3 4 2" xfId="16982"/>
    <cellStyle name="Обычный 6 3 2 2 3 3 5" xfId="16983"/>
    <cellStyle name="Обычный 6 3 2 2 3 3 6" xfId="16984"/>
    <cellStyle name="Обычный 6 3 2 2 3 4" xfId="16985"/>
    <cellStyle name="Обычный 6 3 2 2 3 4 2" xfId="16986"/>
    <cellStyle name="Обычный 6 3 2 2 3 4 3" xfId="16987"/>
    <cellStyle name="Обычный 6 3 2 2 3 5" xfId="16988"/>
    <cellStyle name="Обычный 6 3 2 2 3 5 2" xfId="16989"/>
    <cellStyle name="Обычный 6 3 2 2 3 5 3" xfId="16990"/>
    <cellStyle name="Обычный 6 3 2 2 3 6" xfId="16991"/>
    <cellStyle name="Обычный 6 3 2 2 3 6 2" xfId="16992"/>
    <cellStyle name="Обычный 6 3 2 2 3 7" xfId="16993"/>
    <cellStyle name="Обычный 6 3 2 2 3 8" xfId="16994"/>
    <cellStyle name="Обычный 6 3 2 2 4" xfId="16995"/>
    <cellStyle name="Обычный 6 3 2 2 4 2" xfId="16996"/>
    <cellStyle name="Обычный 6 3 2 2 4 2 2" xfId="16997"/>
    <cellStyle name="Обычный 6 3 2 2 4 2 2 2" xfId="16998"/>
    <cellStyle name="Обычный 6 3 2 2 4 2 2 3" xfId="16999"/>
    <cellStyle name="Обычный 6 3 2 2 4 2 3" xfId="17000"/>
    <cellStyle name="Обычный 6 3 2 2 4 2 3 2" xfId="17001"/>
    <cellStyle name="Обычный 6 3 2 2 4 2 3 3" xfId="17002"/>
    <cellStyle name="Обычный 6 3 2 2 4 2 4" xfId="17003"/>
    <cellStyle name="Обычный 6 3 2 2 4 2 4 2" xfId="17004"/>
    <cellStyle name="Обычный 6 3 2 2 4 2 5" xfId="17005"/>
    <cellStyle name="Обычный 6 3 2 2 4 2 6" xfId="17006"/>
    <cellStyle name="Обычный 6 3 2 2 4 3" xfId="17007"/>
    <cellStyle name="Обычный 6 3 2 2 4 3 2" xfId="17008"/>
    <cellStyle name="Обычный 6 3 2 2 4 3 3" xfId="17009"/>
    <cellStyle name="Обычный 6 3 2 2 4 4" xfId="17010"/>
    <cellStyle name="Обычный 6 3 2 2 4 4 2" xfId="17011"/>
    <cellStyle name="Обычный 6 3 2 2 4 4 3" xfId="17012"/>
    <cellStyle name="Обычный 6 3 2 2 4 5" xfId="17013"/>
    <cellStyle name="Обычный 6 3 2 2 4 5 2" xfId="17014"/>
    <cellStyle name="Обычный 6 3 2 2 4 6" xfId="17015"/>
    <cellStyle name="Обычный 6 3 2 2 4 7" xfId="17016"/>
    <cellStyle name="Обычный 6 3 2 2 5" xfId="17017"/>
    <cellStyle name="Обычный 6 3 2 2 5 2" xfId="17018"/>
    <cellStyle name="Обычный 6 3 2 2 5 2 2" xfId="17019"/>
    <cellStyle name="Обычный 6 3 2 2 5 2 3" xfId="17020"/>
    <cellStyle name="Обычный 6 3 2 2 5 3" xfId="17021"/>
    <cellStyle name="Обычный 6 3 2 2 5 3 2" xfId="17022"/>
    <cellStyle name="Обычный 6 3 2 2 5 3 3" xfId="17023"/>
    <cellStyle name="Обычный 6 3 2 2 5 4" xfId="17024"/>
    <cellStyle name="Обычный 6 3 2 2 5 4 2" xfId="17025"/>
    <cellStyle name="Обычный 6 3 2 2 5 5" xfId="17026"/>
    <cellStyle name="Обычный 6 3 2 2 5 6" xfId="17027"/>
    <cellStyle name="Обычный 6 3 2 2 6" xfId="17028"/>
    <cellStyle name="Обычный 6 3 2 2 6 2" xfId="17029"/>
    <cellStyle name="Обычный 6 3 2 2 6 3" xfId="17030"/>
    <cellStyle name="Обычный 6 3 2 2 7" xfId="17031"/>
    <cellStyle name="Обычный 6 3 2 2 7 2" xfId="17032"/>
    <cellStyle name="Обычный 6 3 2 2 7 3" xfId="17033"/>
    <cellStyle name="Обычный 6 3 2 2 8" xfId="17034"/>
    <cellStyle name="Обычный 6 3 2 2 8 2" xfId="17035"/>
    <cellStyle name="Обычный 6 3 2 2 9" xfId="17036"/>
    <cellStyle name="Обычный 6 3 2 3" xfId="17037"/>
    <cellStyle name="Обычный 6 3 2 3 10" xfId="17038"/>
    <cellStyle name="Обычный 6 3 2 3 2" xfId="17039"/>
    <cellStyle name="Обычный 6 3 2 3 2 2" xfId="17040"/>
    <cellStyle name="Обычный 6 3 2 3 2 2 2" xfId="17041"/>
    <cellStyle name="Обычный 6 3 2 3 2 2 2 2" xfId="17042"/>
    <cellStyle name="Обычный 6 3 2 3 2 2 2 2 2" xfId="17043"/>
    <cellStyle name="Обычный 6 3 2 3 2 2 2 2 2 2" xfId="17044"/>
    <cellStyle name="Обычный 6 3 2 3 2 2 2 2 2 3" xfId="17045"/>
    <cellStyle name="Обычный 6 3 2 3 2 2 2 2 3" xfId="17046"/>
    <cellStyle name="Обычный 6 3 2 3 2 2 2 2 3 2" xfId="17047"/>
    <cellStyle name="Обычный 6 3 2 3 2 2 2 2 3 3" xfId="17048"/>
    <cellStyle name="Обычный 6 3 2 3 2 2 2 2 4" xfId="17049"/>
    <cellStyle name="Обычный 6 3 2 3 2 2 2 2 4 2" xfId="17050"/>
    <cellStyle name="Обычный 6 3 2 3 2 2 2 2 5" xfId="17051"/>
    <cellStyle name="Обычный 6 3 2 3 2 2 2 2 6" xfId="17052"/>
    <cellStyle name="Обычный 6 3 2 3 2 2 2 3" xfId="17053"/>
    <cellStyle name="Обычный 6 3 2 3 2 2 2 3 2" xfId="17054"/>
    <cellStyle name="Обычный 6 3 2 3 2 2 2 3 3" xfId="17055"/>
    <cellStyle name="Обычный 6 3 2 3 2 2 2 4" xfId="17056"/>
    <cellStyle name="Обычный 6 3 2 3 2 2 2 4 2" xfId="17057"/>
    <cellStyle name="Обычный 6 3 2 3 2 2 2 4 3" xfId="17058"/>
    <cellStyle name="Обычный 6 3 2 3 2 2 2 5" xfId="17059"/>
    <cellStyle name="Обычный 6 3 2 3 2 2 2 5 2" xfId="17060"/>
    <cellStyle name="Обычный 6 3 2 3 2 2 2 6" xfId="17061"/>
    <cellStyle name="Обычный 6 3 2 3 2 2 2 7" xfId="17062"/>
    <cellStyle name="Обычный 6 3 2 3 2 2 3" xfId="17063"/>
    <cellStyle name="Обычный 6 3 2 3 2 2 3 2" xfId="17064"/>
    <cellStyle name="Обычный 6 3 2 3 2 2 3 2 2" xfId="17065"/>
    <cellStyle name="Обычный 6 3 2 3 2 2 3 2 3" xfId="17066"/>
    <cellStyle name="Обычный 6 3 2 3 2 2 3 3" xfId="17067"/>
    <cellStyle name="Обычный 6 3 2 3 2 2 3 3 2" xfId="17068"/>
    <cellStyle name="Обычный 6 3 2 3 2 2 3 3 3" xfId="17069"/>
    <cellStyle name="Обычный 6 3 2 3 2 2 3 4" xfId="17070"/>
    <cellStyle name="Обычный 6 3 2 3 2 2 3 4 2" xfId="17071"/>
    <cellStyle name="Обычный 6 3 2 3 2 2 3 5" xfId="17072"/>
    <cellStyle name="Обычный 6 3 2 3 2 2 3 6" xfId="17073"/>
    <cellStyle name="Обычный 6 3 2 3 2 2 4" xfId="17074"/>
    <cellStyle name="Обычный 6 3 2 3 2 2 4 2" xfId="17075"/>
    <cellStyle name="Обычный 6 3 2 3 2 2 4 3" xfId="17076"/>
    <cellStyle name="Обычный 6 3 2 3 2 2 5" xfId="17077"/>
    <cellStyle name="Обычный 6 3 2 3 2 2 5 2" xfId="17078"/>
    <cellStyle name="Обычный 6 3 2 3 2 2 5 3" xfId="17079"/>
    <cellStyle name="Обычный 6 3 2 3 2 2 6" xfId="17080"/>
    <cellStyle name="Обычный 6 3 2 3 2 2 6 2" xfId="17081"/>
    <cellStyle name="Обычный 6 3 2 3 2 2 7" xfId="17082"/>
    <cellStyle name="Обычный 6 3 2 3 2 2 8" xfId="17083"/>
    <cellStyle name="Обычный 6 3 2 3 2 3" xfId="17084"/>
    <cellStyle name="Обычный 6 3 2 3 2 3 2" xfId="17085"/>
    <cellStyle name="Обычный 6 3 2 3 2 3 2 2" xfId="17086"/>
    <cellStyle name="Обычный 6 3 2 3 2 3 2 2 2" xfId="17087"/>
    <cellStyle name="Обычный 6 3 2 3 2 3 2 2 3" xfId="17088"/>
    <cellStyle name="Обычный 6 3 2 3 2 3 2 3" xfId="17089"/>
    <cellStyle name="Обычный 6 3 2 3 2 3 2 3 2" xfId="17090"/>
    <cellStyle name="Обычный 6 3 2 3 2 3 2 3 3" xfId="17091"/>
    <cellStyle name="Обычный 6 3 2 3 2 3 2 4" xfId="17092"/>
    <cellStyle name="Обычный 6 3 2 3 2 3 2 4 2" xfId="17093"/>
    <cellStyle name="Обычный 6 3 2 3 2 3 2 5" xfId="17094"/>
    <cellStyle name="Обычный 6 3 2 3 2 3 2 6" xfId="17095"/>
    <cellStyle name="Обычный 6 3 2 3 2 3 3" xfId="17096"/>
    <cellStyle name="Обычный 6 3 2 3 2 3 3 2" xfId="17097"/>
    <cellStyle name="Обычный 6 3 2 3 2 3 3 3" xfId="17098"/>
    <cellStyle name="Обычный 6 3 2 3 2 3 4" xfId="17099"/>
    <cellStyle name="Обычный 6 3 2 3 2 3 4 2" xfId="17100"/>
    <cellStyle name="Обычный 6 3 2 3 2 3 4 3" xfId="17101"/>
    <cellStyle name="Обычный 6 3 2 3 2 3 5" xfId="17102"/>
    <cellStyle name="Обычный 6 3 2 3 2 3 5 2" xfId="17103"/>
    <cellStyle name="Обычный 6 3 2 3 2 3 6" xfId="17104"/>
    <cellStyle name="Обычный 6 3 2 3 2 3 7" xfId="17105"/>
    <cellStyle name="Обычный 6 3 2 3 2 4" xfId="17106"/>
    <cellStyle name="Обычный 6 3 2 3 2 4 2" xfId="17107"/>
    <cellStyle name="Обычный 6 3 2 3 2 4 2 2" xfId="17108"/>
    <cellStyle name="Обычный 6 3 2 3 2 4 2 3" xfId="17109"/>
    <cellStyle name="Обычный 6 3 2 3 2 4 3" xfId="17110"/>
    <cellStyle name="Обычный 6 3 2 3 2 4 3 2" xfId="17111"/>
    <cellStyle name="Обычный 6 3 2 3 2 4 3 3" xfId="17112"/>
    <cellStyle name="Обычный 6 3 2 3 2 4 4" xfId="17113"/>
    <cellStyle name="Обычный 6 3 2 3 2 4 4 2" xfId="17114"/>
    <cellStyle name="Обычный 6 3 2 3 2 4 5" xfId="17115"/>
    <cellStyle name="Обычный 6 3 2 3 2 4 6" xfId="17116"/>
    <cellStyle name="Обычный 6 3 2 3 2 5" xfId="17117"/>
    <cellStyle name="Обычный 6 3 2 3 2 5 2" xfId="17118"/>
    <cellStyle name="Обычный 6 3 2 3 2 5 3" xfId="17119"/>
    <cellStyle name="Обычный 6 3 2 3 2 6" xfId="17120"/>
    <cellStyle name="Обычный 6 3 2 3 2 6 2" xfId="17121"/>
    <cellStyle name="Обычный 6 3 2 3 2 6 3" xfId="17122"/>
    <cellStyle name="Обычный 6 3 2 3 2 7" xfId="17123"/>
    <cellStyle name="Обычный 6 3 2 3 2 7 2" xfId="17124"/>
    <cellStyle name="Обычный 6 3 2 3 2 8" xfId="17125"/>
    <cellStyle name="Обычный 6 3 2 3 2 9" xfId="17126"/>
    <cellStyle name="Обычный 6 3 2 3 3" xfId="17127"/>
    <cellStyle name="Обычный 6 3 2 3 3 2" xfId="17128"/>
    <cellStyle name="Обычный 6 3 2 3 3 2 2" xfId="17129"/>
    <cellStyle name="Обычный 6 3 2 3 3 2 2 2" xfId="17130"/>
    <cellStyle name="Обычный 6 3 2 3 3 2 2 2 2" xfId="17131"/>
    <cellStyle name="Обычный 6 3 2 3 3 2 2 2 3" xfId="17132"/>
    <cellStyle name="Обычный 6 3 2 3 3 2 2 3" xfId="17133"/>
    <cellStyle name="Обычный 6 3 2 3 3 2 2 3 2" xfId="17134"/>
    <cellStyle name="Обычный 6 3 2 3 3 2 2 3 3" xfId="17135"/>
    <cellStyle name="Обычный 6 3 2 3 3 2 2 4" xfId="17136"/>
    <cellStyle name="Обычный 6 3 2 3 3 2 2 4 2" xfId="17137"/>
    <cellStyle name="Обычный 6 3 2 3 3 2 2 5" xfId="17138"/>
    <cellStyle name="Обычный 6 3 2 3 3 2 2 6" xfId="17139"/>
    <cellStyle name="Обычный 6 3 2 3 3 2 3" xfId="17140"/>
    <cellStyle name="Обычный 6 3 2 3 3 2 3 2" xfId="17141"/>
    <cellStyle name="Обычный 6 3 2 3 3 2 3 3" xfId="17142"/>
    <cellStyle name="Обычный 6 3 2 3 3 2 4" xfId="17143"/>
    <cellStyle name="Обычный 6 3 2 3 3 2 4 2" xfId="17144"/>
    <cellStyle name="Обычный 6 3 2 3 3 2 4 3" xfId="17145"/>
    <cellStyle name="Обычный 6 3 2 3 3 2 5" xfId="17146"/>
    <cellStyle name="Обычный 6 3 2 3 3 2 5 2" xfId="17147"/>
    <cellStyle name="Обычный 6 3 2 3 3 2 6" xfId="17148"/>
    <cellStyle name="Обычный 6 3 2 3 3 2 7" xfId="17149"/>
    <cellStyle name="Обычный 6 3 2 3 3 3" xfId="17150"/>
    <cellStyle name="Обычный 6 3 2 3 3 3 2" xfId="17151"/>
    <cellStyle name="Обычный 6 3 2 3 3 3 2 2" xfId="17152"/>
    <cellStyle name="Обычный 6 3 2 3 3 3 2 3" xfId="17153"/>
    <cellStyle name="Обычный 6 3 2 3 3 3 3" xfId="17154"/>
    <cellStyle name="Обычный 6 3 2 3 3 3 3 2" xfId="17155"/>
    <cellStyle name="Обычный 6 3 2 3 3 3 3 3" xfId="17156"/>
    <cellStyle name="Обычный 6 3 2 3 3 3 4" xfId="17157"/>
    <cellStyle name="Обычный 6 3 2 3 3 3 4 2" xfId="17158"/>
    <cellStyle name="Обычный 6 3 2 3 3 3 5" xfId="17159"/>
    <cellStyle name="Обычный 6 3 2 3 3 3 6" xfId="17160"/>
    <cellStyle name="Обычный 6 3 2 3 3 4" xfId="17161"/>
    <cellStyle name="Обычный 6 3 2 3 3 4 2" xfId="17162"/>
    <cellStyle name="Обычный 6 3 2 3 3 4 3" xfId="17163"/>
    <cellStyle name="Обычный 6 3 2 3 3 5" xfId="17164"/>
    <cellStyle name="Обычный 6 3 2 3 3 5 2" xfId="17165"/>
    <cellStyle name="Обычный 6 3 2 3 3 5 3" xfId="17166"/>
    <cellStyle name="Обычный 6 3 2 3 3 6" xfId="17167"/>
    <cellStyle name="Обычный 6 3 2 3 3 6 2" xfId="17168"/>
    <cellStyle name="Обычный 6 3 2 3 3 7" xfId="17169"/>
    <cellStyle name="Обычный 6 3 2 3 3 8" xfId="17170"/>
    <cellStyle name="Обычный 6 3 2 3 4" xfId="17171"/>
    <cellStyle name="Обычный 6 3 2 3 4 2" xfId="17172"/>
    <cellStyle name="Обычный 6 3 2 3 4 2 2" xfId="17173"/>
    <cellStyle name="Обычный 6 3 2 3 4 2 2 2" xfId="17174"/>
    <cellStyle name="Обычный 6 3 2 3 4 2 2 3" xfId="17175"/>
    <cellStyle name="Обычный 6 3 2 3 4 2 3" xfId="17176"/>
    <cellStyle name="Обычный 6 3 2 3 4 2 3 2" xfId="17177"/>
    <cellStyle name="Обычный 6 3 2 3 4 2 3 3" xfId="17178"/>
    <cellStyle name="Обычный 6 3 2 3 4 2 4" xfId="17179"/>
    <cellStyle name="Обычный 6 3 2 3 4 2 4 2" xfId="17180"/>
    <cellStyle name="Обычный 6 3 2 3 4 2 5" xfId="17181"/>
    <cellStyle name="Обычный 6 3 2 3 4 2 6" xfId="17182"/>
    <cellStyle name="Обычный 6 3 2 3 4 3" xfId="17183"/>
    <cellStyle name="Обычный 6 3 2 3 4 3 2" xfId="17184"/>
    <cellStyle name="Обычный 6 3 2 3 4 3 3" xfId="17185"/>
    <cellStyle name="Обычный 6 3 2 3 4 4" xfId="17186"/>
    <cellStyle name="Обычный 6 3 2 3 4 4 2" xfId="17187"/>
    <cellStyle name="Обычный 6 3 2 3 4 4 3" xfId="17188"/>
    <cellStyle name="Обычный 6 3 2 3 4 5" xfId="17189"/>
    <cellStyle name="Обычный 6 3 2 3 4 5 2" xfId="17190"/>
    <cellStyle name="Обычный 6 3 2 3 4 6" xfId="17191"/>
    <cellStyle name="Обычный 6 3 2 3 4 7" xfId="17192"/>
    <cellStyle name="Обычный 6 3 2 3 5" xfId="17193"/>
    <cellStyle name="Обычный 6 3 2 3 5 2" xfId="17194"/>
    <cellStyle name="Обычный 6 3 2 3 5 2 2" xfId="17195"/>
    <cellStyle name="Обычный 6 3 2 3 5 2 3" xfId="17196"/>
    <cellStyle name="Обычный 6 3 2 3 5 3" xfId="17197"/>
    <cellStyle name="Обычный 6 3 2 3 5 3 2" xfId="17198"/>
    <cellStyle name="Обычный 6 3 2 3 5 3 3" xfId="17199"/>
    <cellStyle name="Обычный 6 3 2 3 5 4" xfId="17200"/>
    <cellStyle name="Обычный 6 3 2 3 5 4 2" xfId="17201"/>
    <cellStyle name="Обычный 6 3 2 3 5 5" xfId="17202"/>
    <cellStyle name="Обычный 6 3 2 3 5 6" xfId="17203"/>
    <cellStyle name="Обычный 6 3 2 3 6" xfId="17204"/>
    <cellStyle name="Обычный 6 3 2 3 6 2" xfId="17205"/>
    <cellStyle name="Обычный 6 3 2 3 6 3" xfId="17206"/>
    <cellStyle name="Обычный 6 3 2 3 7" xfId="17207"/>
    <cellStyle name="Обычный 6 3 2 3 7 2" xfId="17208"/>
    <cellStyle name="Обычный 6 3 2 3 7 3" xfId="17209"/>
    <cellStyle name="Обычный 6 3 2 3 8" xfId="17210"/>
    <cellStyle name="Обычный 6 3 2 3 8 2" xfId="17211"/>
    <cellStyle name="Обычный 6 3 2 3 9" xfId="17212"/>
    <cellStyle name="Обычный 6 3 2 4" xfId="17213"/>
    <cellStyle name="Обычный 6 3 2 4 10" xfId="17214"/>
    <cellStyle name="Обычный 6 3 2 4 2" xfId="17215"/>
    <cellStyle name="Обычный 6 3 2 4 2 2" xfId="17216"/>
    <cellStyle name="Обычный 6 3 2 4 2 2 2" xfId="17217"/>
    <cellStyle name="Обычный 6 3 2 4 2 2 2 2" xfId="17218"/>
    <cellStyle name="Обычный 6 3 2 4 2 2 2 2 2" xfId="17219"/>
    <cellStyle name="Обычный 6 3 2 4 2 2 2 2 2 2" xfId="17220"/>
    <cellStyle name="Обычный 6 3 2 4 2 2 2 2 2 3" xfId="17221"/>
    <cellStyle name="Обычный 6 3 2 4 2 2 2 2 3" xfId="17222"/>
    <cellStyle name="Обычный 6 3 2 4 2 2 2 2 3 2" xfId="17223"/>
    <cellStyle name="Обычный 6 3 2 4 2 2 2 2 3 3" xfId="17224"/>
    <cellStyle name="Обычный 6 3 2 4 2 2 2 2 4" xfId="17225"/>
    <cellStyle name="Обычный 6 3 2 4 2 2 2 2 4 2" xfId="17226"/>
    <cellStyle name="Обычный 6 3 2 4 2 2 2 2 5" xfId="17227"/>
    <cellStyle name="Обычный 6 3 2 4 2 2 2 2 6" xfId="17228"/>
    <cellStyle name="Обычный 6 3 2 4 2 2 2 3" xfId="17229"/>
    <cellStyle name="Обычный 6 3 2 4 2 2 2 3 2" xfId="17230"/>
    <cellStyle name="Обычный 6 3 2 4 2 2 2 3 3" xfId="17231"/>
    <cellStyle name="Обычный 6 3 2 4 2 2 2 4" xfId="17232"/>
    <cellStyle name="Обычный 6 3 2 4 2 2 2 4 2" xfId="17233"/>
    <cellStyle name="Обычный 6 3 2 4 2 2 2 4 3" xfId="17234"/>
    <cellStyle name="Обычный 6 3 2 4 2 2 2 5" xfId="17235"/>
    <cellStyle name="Обычный 6 3 2 4 2 2 2 5 2" xfId="17236"/>
    <cellStyle name="Обычный 6 3 2 4 2 2 2 6" xfId="17237"/>
    <cellStyle name="Обычный 6 3 2 4 2 2 2 7" xfId="17238"/>
    <cellStyle name="Обычный 6 3 2 4 2 2 3" xfId="17239"/>
    <cellStyle name="Обычный 6 3 2 4 2 2 3 2" xfId="17240"/>
    <cellStyle name="Обычный 6 3 2 4 2 2 3 2 2" xfId="17241"/>
    <cellStyle name="Обычный 6 3 2 4 2 2 3 2 3" xfId="17242"/>
    <cellStyle name="Обычный 6 3 2 4 2 2 3 3" xfId="17243"/>
    <cellStyle name="Обычный 6 3 2 4 2 2 3 3 2" xfId="17244"/>
    <cellStyle name="Обычный 6 3 2 4 2 2 3 3 3" xfId="17245"/>
    <cellStyle name="Обычный 6 3 2 4 2 2 3 4" xfId="17246"/>
    <cellStyle name="Обычный 6 3 2 4 2 2 3 4 2" xfId="17247"/>
    <cellStyle name="Обычный 6 3 2 4 2 2 3 5" xfId="17248"/>
    <cellStyle name="Обычный 6 3 2 4 2 2 3 6" xfId="17249"/>
    <cellStyle name="Обычный 6 3 2 4 2 2 4" xfId="17250"/>
    <cellStyle name="Обычный 6 3 2 4 2 2 4 2" xfId="17251"/>
    <cellStyle name="Обычный 6 3 2 4 2 2 4 3" xfId="17252"/>
    <cellStyle name="Обычный 6 3 2 4 2 2 5" xfId="17253"/>
    <cellStyle name="Обычный 6 3 2 4 2 2 5 2" xfId="17254"/>
    <cellStyle name="Обычный 6 3 2 4 2 2 5 3" xfId="17255"/>
    <cellStyle name="Обычный 6 3 2 4 2 2 6" xfId="17256"/>
    <cellStyle name="Обычный 6 3 2 4 2 2 6 2" xfId="17257"/>
    <cellStyle name="Обычный 6 3 2 4 2 2 7" xfId="17258"/>
    <cellStyle name="Обычный 6 3 2 4 2 2 8" xfId="17259"/>
    <cellStyle name="Обычный 6 3 2 4 2 3" xfId="17260"/>
    <cellStyle name="Обычный 6 3 2 4 2 3 2" xfId="17261"/>
    <cellStyle name="Обычный 6 3 2 4 2 3 2 2" xfId="17262"/>
    <cellStyle name="Обычный 6 3 2 4 2 3 2 2 2" xfId="17263"/>
    <cellStyle name="Обычный 6 3 2 4 2 3 2 2 3" xfId="17264"/>
    <cellStyle name="Обычный 6 3 2 4 2 3 2 3" xfId="17265"/>
    <cellStyle name="Обычный 6 3 2 4 2 3 2 3 2" xfId="17266"/>
    <cellStyle name="Обычный 6 3 2 4 2 3 2 3 3" xfId="17267"/>
    <cellStyle name="Обычный 6 3 2 4 2 3 2 4" xfId="17268"/>
    <cellStyle name="Обычный 6 3 2 4 2 3 2 4 2" xfId="17269"/>
    <cellStyle name="Обычный 6 3 2 4 2 3 2 5" xfId="17270"/>
    <cellStyle name="Обычный 6 3 2 4 2 3 2 6" xfId="17271"/>
    <cellStyle name="Обычный 6 3 2 4 2 3 3" xfId="17272"/>
    <cellStyle name="Обычный 6 3 2 4 2 3 3 2" xfId="17273"/>
    <cellStyle name="Обычный 6 3 2 4 2 3 3 3" xfId="17274"/>
    <cellStyle name="Обычный 6 3 2 4 2 3 4" xfId="17275"/>
    <cellStyle name="Обычный 6 3 2 4 2 3 4 2" xfId="17276"/>
    <cellStyle name="Обычный 6 3 2 4 2 3 4 3" xfId="17277"/>
    <cellStyle name="Обычный 6 3 2 4 2 3 5" xfId="17278"/>
    <cellStyle name="Обычный 6 3 2 4 2 3 5 2" xfId="17279"/>
    <cellStyle name="Обычный 6 3 2 4 2 3 6" xfId="17280"/>
    <cellStyle name="Обычный 6 3 2 4 2 3 7" xfId="17281"/>
    <cellStyle name="Обычный 6 3 2 4 2 4" xfId="17282"/>
    <cellStyle name="Обычный 6 3 2 4 2 4 2" xfId="17283"/>
    <cellStyle name="Обычный 6 3 2 4 2 4 2 2" xfId="17284"/>
    <cellStyle name="Обычный 6 3 2 4 2 4 2 3" xfId="17285"/>
    <cellStyle name="Обычный 6 3 2 4 2 4 3" xfId="17286"/>
    <cellStyle name="Обычный 6 3 2 4 2 4 3 2" xfId="17287"/>
    <cellStyle name="Обычный 6 3 2 4 2 4 3 3" xfId="17288"/>
    <cellStyle name="Обычный 6 3 2 4 2 4 4" xfId="17289"/>
    <cellStyle name="Обычный 6 3 2 4 2 4 4 2" xfId="17290"/>
    <cellStyle name="Обычный 6 3 2 4 2 4 5" xfId="17291"/>
    <cellStyle name="Обычный 6 3 2 4 2 4 6" xfId="17292"/>
    <cellStyle name="Обычный 6 3 2 4 2 5" xfId="17293"/>
    <cellStyle name="Обычный 6 3 2 4 2 5 2" xfId="17294"/>
    <cellStyle name="Обычный 6 3 2 4 2 5 3" xfId="17295"/>
    <cellStyle name="Обычный 6 3 2 4 2 6" xfId="17296"/>
    <cellStyle name="Обычный 6 3 2 4 2 6 2" xfId="17297"/>
    <cellStyle name="Обычный 6 3 2 4 2 6 3" xfId="17298"/>
    <cellStyle name="Обычный 6 3 2 4 2 7" xfId="17299"/>
    <cellStyle name="Обычный 6 3 2 4 2 7 2" xfId="17300"/>
    <cellStyle name="Обычный 6 3 2 4 2 8" xfId="17301"/>
    <cellStyle name="Обычный 6 3 2 4 2 9" xfId="17302"/>
    <cellStyle name="Обычный 6 3 2 4 3" xfId="17303"/>
    <cellStyle name="Обычный 6 3 2 4 3 2" xfId="17304"/>
    <cellStyle name="Обычный 6 3 2 4 3 2 2" xfId="17305"/>
    <cellStyle name="Обычный 6 3 2 4 3 2 2 2" xfId="17306"/>
    <cellStyle name="Обычный 6 3 2 4 3 2 2 2 2" xfId="17307"/>
    <cellStyle name="Обычный 6 3 2 4 3 2 2 2 3" xfId="17308"/>
    <cellStyle name="Обычный 6 3 2 4 3 2 2 3" xfId="17309"/>
    <cellStyle name="Обычный 6 3 2 4 3 2 2 3 2" xfId="17310"/>
    <cellStyle name="Обычный 6 3 2 4 3 2 2 3 3" xfId="17311"/>
    <cellStyle name="Обычный 6 3 2 4 3 2 2 4" xfId="17312"/>
    <cellStyle name="Обычный 6 3 2 4 3 2 2 4 2" xfId="17313"/>
    <cellStyle name="Обычный 6 3 2 4 3 2 2 5" xfId="17314"/>
    <cellStyle name="Обычный 6 3 2 4 3 2 2 6" xfId="17315"/>
    <cellStyle name="Обычный 6 3 2 4 3 2 3" xfId="17316"/>
    <cellStyle name="Обычный 6 3 2 4 3 2 3 2" xfId="17317"/>
    <cellStyle name="Обычный 6 3 2 4 3 2 3 3" xfId="17318"/>
    <cellStyle name="Обычный 6 3 2 4 3 2 4" xfId="17319"/>
    <cellStyle name="Обычный 6 3 2 4 3 2 4 2" xfId="17320"/>
    <cellStyle name="Обычный 6 3 2 4 3 2 4 3" xfId="17321"/>
    <cellStyle name="Обычный 6 3 2 4 3 2 5" xfId="17322"/>
    <cellStyle name="Обычный 6 3 2 4 3 2 5 2" xfId="17323"/>
    <cellStyle name="Обычный 6 3 2 4 3 2 6" xfId="17324"/>
    <cellStyle name="Обычный 6 3 2 4 3 2 7" xfId="17325"/>
    <cellStyle name="Обычный 6 3 2 4 3 3" xfId="17326"/>
    <cellStyle name="Обычный 6 3 2 4 3 3 2" xfId="17327"/>
    <cellStyle name="Обычный 6 3 2 4 3 3 2 2" xfId="17328"/>
    <cellStyle name="Обычный 6 3 2 4 3 3 2 3" xfId="17329"/>
    <cellStyle name="Обычный 6 3 2 4 3 3 3" xfId="17330"/>
    <cellStyle name="Обычный 6 3 2 4 3 3 3 2" xfId="17331"/>
    <cellStyle name="Обычный 6 3 2 4 3 3 3 3" xfId="17332"/>
    <cellStyle name="Обычный 6 3 2 4 3 3 4" xfId="17333"/>
    <cellStyle name="Обычный 6 3 2 4 3 3 4 2" xfId="17334"/>
    <cellStyle name="Обычный 6 3 2 4 3 3 5" xfId="17335"/>
    <cellStyle name="Обычный 6 3 2 4 3 3 6" xfId="17336"/>
    <cellStyle name="Обычный 6 3 2 4 3 4" xfId="17337"/>
    <cellStyle name="Обычный 6 3 2 4 3 4 2" xfId="17338"/>
    <cellStyle name="Обычный 6 3 2 4 3 4 3" xfId="17339"/>
    <cellStyle name="Обычный 6 3 2 4 3 5" xfId="17340"/>
    <cellStyle name="Обычный 6 3 2 4 3 5 2" xfId="17341"/>
    <cellStyle name="Обычный 6 3 2 4 3 5 3" xfId="17342"/>
    <cellStyle name="Обычный 6 3 2 4 3 6" xfId="17343"/>
    <cellStyle name="Обычный 6 3 2 4 3 6 2" xfId="17344"/>
    <cellStyle name="Обычный 6 3 2 4 3 7" xfId="17345"/>
    <cellStyle name="Обычный 6 3 2 4 3 8" xfId="17346"/>
    <cellStyle name="Обычный 6 3 2 4 4" xfId="17347"/>
    <cellStyle name="Обычный 6 3 2 4 4 2" xfId="17348"/>
    <cellStyle name="Обычный 6 3 2 4 4 2 2" xfId="17349"/>
    <cellStyle name="Обычный 6 3 2 4 4 2 2 2" xfId="17350"/>
    <cellStyle name="Обычный 6 3 2 4 4 2 2 3" xfId="17351"/>
    <cellStyle name="Обычный 6 3 2 4 4 2 3" xfId="17352"/>
    <cellStyle name="Обычный 6 3 2 4 4 2 3 2" xfId="17353"/>
    <cellStyle name="Обычный 6 3 2 4 4 2 3 3" xfId="17354"/>
    <cellStyle name="Обычный 6 3 2 4 4 2 4" xfId="17355"/>
    <cellStyle name="Обычный 6 3 2 4 4 2 4 2" xfId="17356"/>
    <cellStyle name="Обычный 6 3 2 4 4 2 5" xfId="17357"/>
    <cellStyle name="Обычный 6 3 2 4 4 2 6" xfId="17358"/>
    <cellStyle name="Обычный 6 3 2 4 4 3" xfId="17359"/>
    <cellStyle name="Обычный 6 3 2 4 4 3 2" xfId="17360"/>
    <cellStyle name="Обычный 6 3 2 4 4 3 3" xfId="17361"/>
    <cellStyle name="Обычный 6 3 2 4 4 4" xfId="17362"/>
    <cellStyle name="Обычный 6 3 2 4 4 4 2" xfId="17363"/>
    <cellStyle name="Обычный 6 3 2 4 4 4 3" xfId="17364"/>
    <cellStyle name="Обычный 6 3 2 4 4 5" xfId="17365"/>
    <cellStyle name="Обычный 6 3 2 4 4 5 2" xfId="17366"/>
    <cellStyle name="Обычный 6 3 2 4 4 6" xfId="17367"/>
    <cellStyle name="Обычный 6 3 2 4 4 7" xfId="17368"/>
    <cellStyle name="Обычный 6 3 2 4 5" xfId="17369"/>
    <cellStyle name="Обычный 6 3 2 4 5 2" xfId="17370"/>
    <cellStyle name="Обычный 6 3 2 4 5 2 2" xfId="17371"/>
    <cellStyle name="Обычный 6 3 2 4 5 2 3" xfId="17372"/>
    <cellStyle name="Обычный 6 3 2 4 5 3" xfId="17373"/>
    <cellStyle name="Обычный 6 3 2 4 5 3 2" xfId="17374"/>
    <cellStyle name="Обычный 6 3 2 4 5 3 3" xfId="17375"/>
    <cellStyle name="Обычный 6 3 2 4 5 4" xfId="17376"/>
    <cellStyle name="Обычный 6 3 2 4 5 4 2" xfId="17377"/>
    <cellStyle name="Обычный 6 3 2 4 5 5" xfId="17378"/>
    <cellStyle name="Обычный 6 3 2 4 5 6" xfId="17379"/>
    <cellStyle name="Обычный 6 3 2 4 6" xfId="17380"/>
    <cellStyle name="Обычный 6 3 2 4 6 2" xfId="17381"/>
    <cellStyle name="Обычный 6 3 2 4 6 3" xfId="17382"/>
    <cellStyle name="Обычный 6 3 2 4 7" xfId="17383"/>
    <cellStyle name="Обычный 6 3 2 4 7 2" xfId="17384"/>
    <cellStyle name="Обычный 6 3 2 4 7 3" xfId="17385"/>
    <cellStyle name="Обычный 6 3 2 4 8" xfId="17386"/>
    <cellStyle name="Обычный 6 3 2 4 8 2" xfId="17387"/>
    <cellStyle name="Обычный 6 3 2 4 9" xfId="17388"/>
    <cellStyle name="Обычный 6 3 2 5" xfId="17389"/>
    <cellStyle name="Обычный 6 3 2 5 2" xfId="17390"/>
    <cellStyle name="Обычный 6 3 2 5 2 2" xfId="17391"/>
    <cellStyle name="Обычный 6 3 2 5 2 2 2" xfId="17392"/>
    <cellStyle name="Обычный 6 3 2 5 2 2 2 2" xfId="17393"/>
    <cellStyle name="Обычный 6 3 2 5 2 2 2 2 2" xfId="17394"/>
    <cellStyle name="Обычный 6 3 2 5 2 2 2 2 3" xfId="17395"/>
    <cellStyle name="Обычный 6 3 2 5 2 2 2 3" xfId="17396"/>
    <cellStyle name="Обычный 6 3 2 5 2 2 2 3 2" xfId="17397"/>
    <cellStyle name="Обычный 6 3 2 5 2 2 2 3 3" xfId="17398"/>
    <cellStyle name="Обычный 6 3 2 5 2 2 2 4" xfId="17399"/>
    <cellStyle name="Обычный 6 3 2 5 2 2 2 4 2" xfId="17400"/>
    <cellStyle name="Обычный 6 3 2 5 2 2 2 5" xfId="17401"/>
    <cellStyle name="Обычный 6 3 2 5 2 2 2 6" xfId="17402"/>
    <cellStyle name="Обычный 6 3 2 5 2 2 3" xfId="17403"/>
    <cellStyle name="Обычный 6 3 2 5 2 2 3 2" xfId="17404"/>
    <cellStyle name="Обычный 6 3 2 5 2 2 3 3" xfId="17405"/>
    <cellStyle name="Обычный 6 3 2 5 2 2 4" xfId="17406"/>
    <cellStyle name="Обычный 6 3 2 5 2 2 4 2" xfId="17407"/>
    <cellStyle name="Обычный 6 3 2 5 2 2 4 3" xfId="17408"/>
    <cellStyle name="Обычный 6 3 2 5 2 2 5" xfId="17409"/>
    <cellStyle name="Обычный 6 3 2 5 2 2 5 2" xfId="17410"/>
    <cellStyle name="Обычный 6 3 2 5 2 2 6" xfId="17411"/>
    <cellStyle name="Обычный 6 3 2 5 2 2 7" xfId="17412"/>
    <cellStyle name="Обычный 6 3 2 5 2 3" xfId="17413"/>
    <cellStyle name="Обычный 6 3 2 5 2 3 2" xfId="17414"/>
    <cellStyle name="Обычный 6 3 2 5 2 3 2 2" xfId="17415"/>
    <cellStyle name="Обычный 6 3 2 5 2 3 2 3" xfId="17416"/>
    <cellStyle name="Обычный 6 3 2 5 2 3 3" xfId="17417"/>
    <cellStyle name="Обычный 6 3 2 5 2 3 3 2" xfId="17418"/>
    <cellStyle name="Обычный 6 3 2 5 2 3 3 3" xfId="17419"/>
    <cellStyle name="Обычный 6 3 2 5 2 3 4" xfId="17420"/>
    <cellStyle name="Обычный 6 3 2 5 2 3 4 2" xfId="17421"/>
    <cellStyle name="Обычный 6 3 2 5 2 3 5" xfId="17422"/>
    <cellStyle name="Обычный 6 3 2 5 2 3 6" xfId="17423"/>
    <cellStyle name="Обычный 6 3 2 5 2 4" xfId="17424"/>
    <cellStyle name="Обычный 6 3 2 5 2 4 2" xfId="17425"/>
    <cellStyle name="Обычный 6 3 2 5 2 4 3" xfId="17426"/>
    <cellStyle name="Обычный 6 3 2 5 2 5" xfId="17427"/>
    <cellStyle name="Обычный 6 3 2 5 2 5 2" xfId="17428"/>
    <cellStyle name="Обычный 6 3 2 5 2 5 3" xfId="17429"/>
    <cellStyle name="Обычный 6 3 2 5 2 6" xfId="17430"/>
    <cellStyle name="Обычный 6 3 2 5 2 6 2" xfId="17431"/>
    <cellStyle name="Обычный 6 3 2 5 2 7" xfId="17432"/>
    <cellStyle name="Обычный 6 3 2 5 2 8" xfId="17433"/>
    <cellStyle name="Обычный 6 3 2 5 3" xfId="17434"/>
    <cellStyle name="Обычный 6 3 2 5 3 2" xfId="17435"/>
    <cellStyle name="Обычный 6 3 2 5 3 2 2" xfId="17436"/>
    <cellStyle name="Обычный 6 3 2 5 3 2 2 2" xfId="17437"/>
    <cellStyle name="Обычный 6 3 2 5 3 2 2 3" xfId="17438"/>
    <cellStyle name="Обычный 6 3 2 5 3 2 3" xfId="17439"/>
    <cellStyle name="Обычный 6 3 2 5 3 2 3 2" xfId="17440"/>
    <cellStyle name="Обычный 6 3 2 5 3 2 3 3" xfId="17441"/>
    <cellStyle name="Обычный 6 3 2 5 3 2 4" xfId="17442"/>
    <cellStyle name="Обычный 6 3 2 5 3 2 4 2" xfId="17443"/>
    <cellStyle name="Обычный 6 3 2 5 3 2 5" xfId="17444"/>
    <cellStyle name="Обычный 6 3 2 5 3 2 6" xfId="17445"/>
    <cellStyle name="Обычный 6 3 2 5 3 3" xfId="17446"/>
    <cellStyle name="Обычный 6 3 2 5 3 3 2" xfId="17447"/>
    <cellStyle name="Обычный 6 3 2 5 3 3 3" xfId="17448"/>
    <cellStyle name="Обычный 6 3 2 5 3 4" xfId="17449"/>
    <cellStyle name="Обычный 6 3 2 5 3 4 2" xfId="17450"/>
    <cellStyle name="Обычный 6 3 2 5 3 4 3" xfId="17451"/>
    <cellStyle name="Обычный 6 3 2 5 3 5" xfId="17452"/>
    <cellStyle name="Обычный 6 3 2 5 3 5 2" xfId="17453"/>
    <cellStyle name="Обычный 6 3 2 5 3 6" xfId="17454"/>
    <cellStyle name="Обычный 6 3 2 5 3 7" xfId="17455"/>
    <cellStyle name="Обычный 6 3 2 5 4" xfId="17456"/>
    <cellStyle name="Обычный 6 3 2 5 4 2" xfId="17457"/>
    <cellStyle name="Обычный 6 3 2 5 4 2 2" xfId="17458"/>
    <cellStyle name="Обычный 6 3 2 5 4 2 3" xfId="17459"/>
    <cellStyle name="Обычный 6 3 2 5 4 3" xfId="17460"/>
    <cellStyle name="Обычный 6 3 2 5 4 3 2" xfId="17461"/>
    <cellStyle name="Обычный 6 3 2 5 4 3 3" xfId="17462"/>
    <cellStyle name="Обычный 6 3 2 5 4 4" xfId="17463"/>
    <cellStyle name="Обычный 6 3 2 5 4 4 2" xfId="17464"/>
    <cellStyle name="Обычный 6 3 2 5 4 5" xfId="17465"/>
    <cellStyle name="Обычный 6 3 2 5 4 6" xfId="17466"/>
    <cellStyle name="Обычный 6 3 2 5 5" xfId="17467"/>
    <cellStyle name="Обычный 6 3 2 5 5 2" xfId="17468"/>
    <cellStyle name="Обычный 6 3 2 5 5 3" xfId="17469"/>
    <cellStyle name="Обычный 6 3 2 5 6" xfId="17470"/>
    <cellStyle name="Обычный 6 3 2 5 6 2" xfId="17471"/>
    <cellStyle name="Обычный 6 3 2 5 6 3" xfId="17472"/>
    <cellStyle name="Обычный 6 3 2 5 7" xfId="17473"/>
    <cellStyle name="Обычный 6 3 2 5 7 2" xfId="17474"/>
    <cellStyle name="Обычный 6 3 2 5 8" xfId="17475"/>
    <cellStyle name="Обычный 6 3 2 5 9" xfId="17476"/>
    <cellStyle name="Обычный 6 3 2 6" xfId="17477"/>
    <cellStyle name="Обычный 6 3 2 6 2" xfId="17478"/>
    <cellStyle name="Обычный 6 3 2 6 2 2" xfId="17479"/>
    <cellStyle name="Обычный 6 3 2 6 2 2 2" xfId="17480"/>
    <cellStyle name="Обычный 6 3 2 6 2 2 2 2" xfId="17481"/>
    <cellStyle name="Обычный 6 3 2 6 2 2 2 3" xfId="17482"/>
    <cellStyle name="Обычный 6 3 2 6 2 2 3" xfId="17483"/>
    <cellStyle name="Обычный 6 3 2 6 2 2 3 2" xfId="17484"/>
    <cellStyle name="Обычный 6 3 2 6 2 2 3 3" xfId="17485"/>
    <cellStyle name="Обычный 6 3 2 6 2 2 4" xfId="17486"/>
    <cellStyle name="Обычный 6 3 2 6 2 2 4 2" xfId="17487"/>
    <cellStyle name="Обычный 6 3 2 6 2 2 5" xfId="17488"/>
    <cellStyle name="Обычный 6 3 2 6 2 2 6" xfId="17489"/>
    <cellStyle name="Обычный 6 3 2 6 2 3" xfId="17490"/>
    <cellStyle name="Обычный 6 3 2 6 2 3 2" xfId="17491"/>
    <cellStyle name="Обычный 6 3 2 6 2 3 3" xfId="17492"/>
    <cellStyle name="Обычный 6 3 2 6 2 4" xfId="17493"/>
    <cellStyle name="Обычный 6 3 2 6 2 4 2" xfId="17494"/>
    <cellStyle name="Обычный 6 3 2 6 2 4 3" xfId="17495"/>
    <cellStyle name="Обычный 6 3 2 6 2 5" xfId="17496"/>
    <cellStyle name="Обычный 6 3 2 6 2 5 2" xfId="17497"/>
    <cellStyle name="Обычный 6 3 2 6 2 6" xfId="17498"/>
    <cellStyle name="Обычный 6 3 2 6 2 7" xfId="17499"/>
    <cellStyle name="Обычный 6 3 2 6 3" xfId="17500"/>
    <cellStyle name="Обычный 6 3 2 6 3 2" xfId="17501"/>
    <cellStyle name="Обычный 6 3 2 6 3 2 2" xfId="17502"/>
    <cellStyle name="Обычный 6 3 2 6 3 2 3" xfId="17503"/>
    <cellStyle name="Обычный 6 3 2 6 3 3" xfId="17504"/>
    <cellStyle name="Обычный 6 3 2 6 3 3 2" xfId="17505"/>
    <cellStyle name="Обычный 6 3 2 6 3 3 3" xfId="17506"/>
    <cellStyle name="Обычный 6 3 2 6 3 4" xfId="17507"/>
    <cellStyle name="Обычный 6 3 2 6 3 4 2" xfId="17508"/>
    <cellStyle name="Обычный 6 3 2 6 3 5" xfId="17509"/>
    <cellStyle name="Обычный 6 3 2 6 3 6" xfId="17510"/>
    <cellStyle name="Обычный 6 3 2 6 4" xfId="17511"/>
    <cellStyle name="Обычный 6 3 2 6 4 2" xfId="17512"/>
    <cellStyle name="Обычный 6 3 2 6 4 3" xfId="17513"/>
    <cellStyle name="Обычный 6 3 2 6 5" xfId="17514"/>
    <cellStyle name="Обычный 6 3 2 6 5 2" xfId="17515"/>
    <cellStyle name="Обычный 6 3 2 6 5 3" xfId="17516"/>
    <cellStyle name="Обычный 6 3 2 6 6" xfId="17517"/>
    <cellStyle name="Обычный 6 3 2 6 6 2" xfId="17518"/>
    <cellStyle name="Обычный 6 3 2 6 7" xfId="17519"/>
    <cellStyle name="Обычный 6 3 2 6 8" xfId="17520"/>
    <cellStyle name="Обычный 6 3 2 7" xfId="17521"/>
    <cellStyle name="Обычный 6 3 2 7 2" xfId="17522"/>
    <cellStyle name="Обычный 6 3 2 7 2 2" xfId="17523"/>
    <cellStyle name="Обычный 6 3 2 7 2 2 2" xfId="17524"/>
    <cellStyle name="Обычный 6 3 2 7 2 2 3" xfId="17525"/>
    <cellStyle name="Обычный 6 3 2 7 2 3" xfId="17526"/>
    <cellStyle name="Обычный 6 3 2 7 2 3 2" xfId="17527"/>
    <cellStyle name="Обычный 6 3 2 7 2 3 3" xfId="17528"/>
    <cellStyle name="Обычный 6 3 2 7 2 4" xfId="17529"/>
    <cellStyle name="Обычный 6 3 2 7 2 4 2" xfId="17530"/>
    <cellStyle name="Обычный 6 3 2 7 2 5" xfId="17531"/>
    <cellStyle name="Обычный 6 3 2 7 2 6" xfId="17532"/>
    <cellStyle name="Обычный 6 3 2 7 3" xfId="17533"/>
    <cellStyle name="Обычный 6 3 2 7 3 2" xfId="17534"/>
    <cellStyle name="Обычный 6 3 2 7 3 3" xfId="17535"/>
    <cellStyle name="Обычный 6 3 2 7 4" xfId="17536"/>
    <cellStyle name="Обычный 6 3 2 7 4 2" xfId="17537"/>
    <cellStyle name="Обычный 6 3 2 7 4 3" xfId="17538"/>
    <cellStyle name="Обычный 6 3 2 7 5" xfId="17539"/>
    <cellStyle name="Обычный 6 3 2 7 5 2" xfId="17540"/>
    <cellStyle name="Обычный 6 3 2 7 6" xfId="17541"/>
    <cellStyle name="Обычный 6 3 2 7 7" xfId="17542"/>
    <cellStyle name="Обычный 6 3 2 8" xfId="17543"/>
    <cellStyle name="Обычный 6 3 2 8 2" xfId="17544"/>
    <cellStyle name="Обычный 6 3 2 8 2 2" xfId="17545"/>
    <cellStyle name="Обычный 6 3 2 8 2 3" xfId="17546"/>
    <cellStyle name="Обычный 6 3 2 8 3" xfId="17547"/>
    <cellStyle name="Обычный 6 3 2 8 3 2" xfId="17548"/>
    <cellStyle name="Обычный 6 3 2 8 3 3" xfId="17549"/>
    <cellStyle name="Обычный 6 3 2 8 4" xfId="17550"/>
    <cellStyle name="Обычный 6 3 2 8 4 2" xfId="17551"/>
    <cellStyle name="Обычный 6 3 2 8 5" xfId="17552"/>
    <cellStyle name="Обычный 6 3 2 8 6" xfId="17553"/>
    <cellStyle name="Обычный 6 3 2 9" xfId="17554"/>
    <cellStyle name="Обычный 6 3 2 9 2" xfId="17555"/>
    <cellStyle name="Обычный 6 3 2 9 3" xfId="17556"/>
    <cellStyle name="Обычный 6 3 3" xfId="17557"/>
    <cellStyle name="Обычный 6 3 3 10" xfId="17558"/>
    <cellStyle name="Обычный 6 3 3 2" xfId="17559"/>
    <cellStyle name="Обычный 6 3 3 2 2" xfId="17560"/>
    <cellStyle name="Обычный 6 3 3 2 2 2" xfId="17561"/>
    <cellStyle name="Обычный 6 3 3 2 2 2 2" xfId="17562"/>
    <cellStyle name="Обычный 6 3 3 2 2 2 2 2" xfId="17563"/>
    <cellStyle name="Обычный 6 3 3 2 2 2 2 2 2" xfId="17564"/>
    <cellStyle name="Обычный 6 3 3 2 2 2 2 2 3" xfId="17565"/>
    <cellStyle name="Обычный 6 3 3 2 2 2 2 3" xfId="17566"/>
    <cellStyle name="Обычный 6 3 3 2 2 2 2 3 2" xfId="17567"/>
    <cellStyle name="Обычный 6 3 3 2 2 2 2 3 3" xfId="17568"/>
    <cellStyle name="Обычный 6 3 3 2 2 2 2 4" xfId="17569"/>
    <cellStyle name="Обычный 6 3 3 2 2 2 2 4 2" xfId="17570"/>
    <cellStyle name="Обычный 6 3 3 2 2 2 2 5" xfId="17571"/>
    <cellStyle name="Обычный 6 3 3 2 2 2 2 6" xfId="17572"/>
    <cellStyle name="Обычный 6 3 3 2 2 2 3" xfId="17573"/>
    <cellStyle name="Обычный 6 3 3 2 2 2 3 2" xfId="17574"/>
    <cellStyle name="Обычный 6 3 3 2 2 2 3 3" xfId="17575"/>
    <cellStyle name="Обычный 6 3 3 2 2 2 4" xfId="17576"/>
    <cellStyle name="Обычный 6 3 3 2 2 2 4 2" xfId="17577"/>
    <cellStyle name="Обычный 6 3 3 2 2 2 4 3" xfId="17578"/>
    <cellStyle name="Обычный 6 3 3 2 2 2 5" xfId="17579"/>
    <cellStyle name="Обычный 6 3 3 2 2 2 5 2" xfId="17580"/>
    <cellStyle name="Обычный 6 3 3 2 2 2 6" xfId="17581"/>
    <cellStyle name="Обычный 6 3 3 2 2 2 7" xfId="17582"/>
    <cellStyle name="Обычный 6 3 3 2 2 3" xfId="17583"/>
    <cellStyle name="Обычный 6 3 3 2 2 3 2" xfId="17584"/>
    <cellStyle name="Обычный 6 3 3 2 2 3 2 2" xfId="17585"/>
    <cellStyle name="Обычный 6 3 3 2 2 3 2 3" xfId="17586"/>
    <cellStyle name="Обычный 6 3 3 2 2 3 3" xfId="17587"/>
    <cellStyle name="Обычный 6 3 3 2 2 3 3 2" xfId="17588"/>
    <cellStyle name="Обычный 6 3 3 2 2 3 3 3" xfId="17589"/>
    <cellStyle name="Обычный 6 3 3 2 2 3 4" xfId="17590"/>
    <cellStyle name="Обычный 6 3 3 2 2 3 4 2" xfId="17591"/>
    <cellStyle name="Обычный 6 3 3 2 2 3 5" xfId="17592"/>
    <cellStyle name="Обычный 6 3 3 2 2 3 6" xfId="17593"/>
    <cellStyle name="Обычный 6 3 3 2 2 4" xfId="17594"/>
    <cellStyle name="Обычный 6 3 3 2 2 4 2" xfId="17595"/>
    <cellStyle name="Обычный 6 3 3 2 2 4 3" xfId="17596"/>
    <cellStyle name="Обычный 6 3 3 2 2 5" xfId="17597"/>
    <cellStyle name="Обычный 6 3 3 2 2 5 2" xfId="17598"/>
    <cellStyle name="Обычный 6 3 3 2 2 5 3" xfId="17599"/>
    <cellStyle name="Обычный 6 3 3 2 2 6" xfId="17600"/>
    <cellStyle name="Обычный 6 3 3 2 2 6 2" xfId="17601"/>
    <cellStyle name="Обычный 6 3 3 2 2 7" xfId="17602"/>
    <cellStyle name="Обычный 6 3 3 2 2 8" xfId="17603"/>
    <cellStyle name="Обычный 6 3 3 2 3" xfId="17604"/>
    <cellStyle name="Обычный 6 3 3 2 3 2" xfId="17605"/>
    <cellStyle name="Обычный 6 3 3 2 3 2 2" xfId="17606"/>
    <cellStyle name="Обычный 6 3 3 2 3 2 2 2" xfId="17607"/>
    <cellStyle name="Обычный 6 3 3 2 3 2 2 3" xfId="17608"/>
    <cellStyle name="Обычный 6 3 3 2 3 2 3" xfId="17609"/>
    <cellStyle name="Обычный 6 3 3 2 3 2 3 2" xfId="17610"/>
    <cellStyle name="Обычный 6 3 3 2 3 2 3 3" xfId="17611"/>
    <cellStyle name="Обычный 6 3 3 2 3 2 4" xfId="17612"/>
    <cellStyle name="Обычный 6 3 3 2 3 2 4 2" xfId="17613"/>
    <cellStyle name="Обычный 6 3 3 2 3 2 5" xfId="17614"/>
    <cellStyle name="Обычный 6 3 3 2 3 2 6" xfId="17615"/>
    <cellStyle name="Обычный 6 3 3 2 3 3" xfId="17616"/>
    <cellStyle name="Обычный 6 3 3 2 3 3 2" xfId="17617"/>
    <cellStyle name="Обычный 6 3 3 2 3 3 3" xfId="17618"/>
    <cellStyle name="Обычный 6 3 3 2 3 4" xfId="17619"/>
    <cellStyle name="Обычный 6 3 3 2 3 4 2" xfId="17620"/>
    <cellStyle name="Обычный 6 3 3 2 3 4 3" xfId="17621"/>
    <cellStyle name="Обычный 6 3 3 2 3 5" xfId="17622"/>
    <cellStyle name="Обычный 6 3 3 2 3 5 2" xfId="17623"/>
    <cellStyle name="Обычный 6 3 3 2 3 6" xfId="17624"/>
    <cellStyle name="Обычный 6 3 3 2 3 7" xfId="17625"/>
    <cellStyle name="Обычный 6 3 3 2 4" xfId="17626"/>
    <cellStyle name="Обычный 6 3 3 2 4 2" xfId="17627"/>
    <cellStyle name="Обычный 6 3 3 2 4 2 2" xfId="17628"/>
    <cellStyle name="Обычный 6 3 3 2 4 2 3" xfId="17629"/>
    <cellStyle name="Обычный 6 3 3 2 4 3" xfId="17630"/>
    <cellStyle name="Обычный 6 3 3 2 4 3 2" xfId="17631"/>
    <cellStyle name="Обычный 6 3 3 2 4 3 3" xfId="17632"/>
    <cellStyle name="Обычный 6 3 3 2 4 4" xfId="17633"/>
    <cellStyle name="Обычный 6 3 3 2 4 4 2" xfId="17634"/>
    <cellStyle name="Обычный 6 3 3 2 4 5" xfId="17635"/>
    <cellStyle name="Обычный 6 3 3 2 4 6" xfId="17636"/>
    <cellStyle name="Обычный 6 3 3 2 5" xfId="17637"/>
    <cellStyle name="Обычный 6 3 3 2 5 2" xfId="17638"/>
    <cellStyle name="Обычный 6 3 3 2 5 3" xfId="17639"/>
    <cellStyle name="Обычный 6 3 3 2 6" xfId="17640"/>
    <cellStyle name="Обычный 6 3 3 2 6 2" xfId="17641"/>
    <cellStyle name="Обычный 6 3 3 2 6 3" xfId="17642"/>
    <cellStyle name="Обычный 6 3 3 2 7" xfId="17643"/>
    <cellStyle name="Обычный 6 3 3 2 7 2" xfId="17644"/>
    <cellStyle name="Обычный 6 3 3 2 8" xfId="17645"/>
    <cellStyle name="Обычный 6 3 3 2 9" xfId="17646"/>
    <cellStyle name="Обычный 6 3 3 3" xfId="17647"/>
    <cellStyle name="Обычный 6 3 3 3 2" xfId="17648"/>
    <cellStyle name="Обычный 6 3 3 3 2 2" xfId="17649"/>
    <cellStyle name="Обычный 6 3 3 3 2 2 2" xfId="17650"/>
    <cellStyle name="Обычный 6 3 3 3 2 2 2 2" xfId="17651"/>
    <cellStyle name="Обычный 6 3 3 3 2 2 2 3" xfId="17652"/>
    <cellStyle name="Обычный 6 3 3 3 2 2 3" xfId="17653"/>
    <cellStyle name="Обычный 6 3 3 3 2 2 3 2" xfId="17654"/>
    <cellStyle name="Обычный 6 3 3 3 2 2 3 3" xfId="17655"/>
    <cellStyle name="Обычный 6 3 3 3 2 2 4" xfId="17656"/>
    <cellStyle name="Обычный 6 3 3 3 2 2 4 2" xfId="17657"/>
    <cellStyle name="Обычный 6 3 3 3 2 2 5" xfId="17658"/>
    <cellStyle name="Обычный 6 3 3 3 2 2 6" xfId="17659"/>
    <cellStyle name="Обычный 6 3 3 3 2 3" xfId="17660"/>
    <cellStyle name="Обычный 6 3 3 3 2 3 2" xfId="17661"/>
    <cellStyle name="Обычный 6 3 3 3 2 3 3" xfId="17662"/>
    <cellStyle name="Обычный 6 3 3 3 2 4" xfId="17663"/>
    <cellStyle name="Обычный 6 3 3 3 2 4 2" xfId="17664"/>
    <cellStyle name="Обычный 6 3 3 3 2 4 3" xfId="17665"/>
    <cellStyle name="Обычный 6 3 3 3 2 5" xfId="17666"/>
    <cellStyle name="Обычный 6 3 3 3 2 5 2" xfId="17667"/>
    <cellStyle name="Обычный 6 3 3 3 2 6" xfId="17668"/>
    <cellStyle name="Обычный 6 3 3 3 2 7" xfId="17669"/>
    <cellStyle name="Обычный 6 3 3 3 3" xfId="17670"/>
    <cellStyle name="Обычный 6 3 3 3 3 2" xfId="17671"/>
    <cellStyle name="Обычный 6 3 3 3 3 2 2" xfId="17672"/>
    <cellStyle name="Обычный 6 3 3 3 3 2 3" xfId="17673"/>
    <cellStyle name="Обычный 6 3 3 3 3 3" xfId="17674"/>
    <cellStyle name="Обычный 6 3 3 3 3 3 2" xfId="17675"/>
    <cellStyle name="Обычный 6 3 3 3 3 3 3" xfId="17676"/>
    <cellStyle name="Обычный 6 3 3 3 3 4" xfId="17677"/>
    <cellStyle name="Обычный 6 3 3 3 3 4 2" xfId="17678"/>
    <cellStyle name="Обычный 6 3 3 3 3 5" xfId="17679"/>
    <cellStyle name="Обычный 6 3 3 3 3 6" xfId="17680"/>
    <cellStyle name="Обычный 6 3 3 3 4" xfId="17681"/>
    <cellStyle name="Обычный 6 3 3 3 4 2" xfId="17682"/>
    <cellStyle name="Обычный 6 3 3 3 4 3" xfId="17683"/>
    <cellStyle name="Обычный 6 3 3 3 5" xfId="17684"/>
    <cellStyle name="Обычный 6 3 3 3 5 2" xfId="17685"/>
    <cellStyle name="Обычный 6 3 3 3 5 3" xfId="17686"/>
    <cellStyle name="Обычный 6 3 3 3 6" xfId="17687"/>
    <cellStyle name="Обычный 6 3 3 3 6 2" xfId="17688"/>
    <cellStyle name="Обычный 6 3 3 3 7" xfId="17689"/>
    <cellStyle name="Обычный 6 3 3 3 8" xfId="17690"/>
    <cellStyle name="Обычный 6 3 3 4" xfId="17691"/>
    <cellStyle name="Обычный 6 3 3 4 2" xfId="17692"/>
    <cellStyle name="Обычный 6 3 3 4 2 2" xfId="17693"/>
    <cellStyle name="Обычный 6 3 3 4 2 2 2" xfId="17694"/>
    <cellStyle name="Обычный 6 3 3 4 2 2 3" xfId="17695"/>
    <cellStyle name="Обычный 6 3 3 4 2 3" xfId="17696"/>
    <cellStyle name="Обычный 6 3 3 4 2 3 2" xfId="17697"/>
    <cellStyle name="Обычный 6 3 3 4 2 3 3" xfId="17698"/>
    <cellStyle name="Обычный 6 3 3 4 2 4" xfId="17699"/>
    <cellStyle name="Обычный 6 3 3 4 2 4 2" xfId="17700"/>
    <cellStyle name="Обычный 6 3 3 4 2 5" xfId="17701"/>
    <cellStyle name="Обычный 6 3 3 4 2 6" xfId="17702"/>
    <cellStyle name="Обычный 6 3 3 4 3" xfId="17703"/>
    <cellStyle name="Обычный 6 3 3 4 3 2" xfId="17704"/>
    <cellStyle name="Обычный 6 3 3 4 3 3" xfId="17705"/>
    <cellStyle name="Обычный 6 3 3 4 4" xfId="17706"/>
    <cellStyle name="Обычный 6 3 3 4 4 2" xfId="17707"/>
    <cellStyle name="Обычный 6 3 3 4 4 3" xfId="17708"/>
    <cellStyle name="Обычный 6 3 3 4 5" xfId="17709"/>
    <cellStyle name="Обычный 6 3 3 4 5 2" xfId="17710"/>
    <cellStyle name="Обычный 6 3 3 4 6" xfId="17711"/>
    <cellStyle name="Обычный 6 3 3 4 7" xfId="17712"/>
    <cellStyle name="Обычный 6 3 3 5" xfId="17713"/>
    <cellStyle name="Обычный 6 3 3 5 2" xfId="17714"/>
    <cellStyle name="Обычный 6 3 3 5 2 2" xfId="17715"/>
    <cellStyle name="Обычный 6 3 3 5 2 3" xfId="17716"/>
    <cellStyle name="Обычный 6 3 3 5 3" xfId="17717"/>
    <cellStyle name="Обычный 6 3 3 5 3 2" xfId="17718"/>
    <cellStyle name="Обычный 6 3 3 5 3 3" xfId="17719"/>
    <cellStyle name="Обычный 6 3 3 5 4" xfId="17720"/>
    <cellStyle name="Обычный 6 3 3 5 4 2" xfId="17721"/>
    <cellStyle name="Обычный 6 3 3 5 5" xfId="17722"/>
    <cellStyle name="Обычный 6 3 3 5 6" xfId="17723"/>
    <cellStyle name="Обычный 6 3 3 6" xfId="17724"/>
    <cellStyle name="Обычный 6 3 3 6 2" xfId="17725"/>
    <cellStyle name="Обычный 6 3 3 6 3" xfId="17726"/>
    <cellStyle name="Обычный 6 3 3 7" xfId="17727"/>
    <cellStyle name="Обычный 6 3 3 7 2" xfId="17728"/>
    <cellStyle name="Обычный 6 3 3 7 3" xfId="17729"/>
    <cellStyle name="Обычный 6 3 3 8" xfId="17730"/>
    <cellStyle name="Обычный 6 3 3 8 2" xfId="17731"/>
    <cellStyle name="Обычный 6 3 3 9" xfId="17732"/>
    <cellStyle name="Обычный 6 3 4" xfId="17733"/>
    <cellStyle name="Обычный 6 3 4 10" xfId="17734"/>
    <cellStyle name="Обычный 6 3 4 2" xfId="17735"/>
    <cellStyle name="Обычный 6 3 4 2 2" xfId="17736"/>
    <cellStyle name="Обычный 6 3 4 2 2 2" xfId="17737"/>
    <cellStyle name="Обычный 6 3 4 2 2 2 2" xfId="17738"/>
    <cellStyle name="Обычный 6 3 4 2 2 2 2 2" xfId="17739"/>
    <cellStyle name="Обычный 6 3 4 2 2 2 2 2 2" xfId="17740"/>
    <cellStyle name="Обычный 6 3 4 2 2 2 2 2 3" xfId="17741"/>
    <cellStyle name="Обычный 6 3 4 2 2 2 2 3" xfId="17742"/>
    <cellStyle name="Обычный 6 3 4 2 2 2 2 3 2" xfId="17743"/>
    <cellStyle name="Обычный 6 3 4 2 2 2 2 3 3" xfId="17744"/>
    <cellStyle name="Обычный 6 3 4 2 2 2 2 4" xfId="17745"/>
    <cellStyle name="Обычный 6 3 4 2 2 2 2 4 2" xfId="17746"/>
    <cellStyle name="Обычный 6 3 4 2 2 2 2 5" xfId="17747"/>
    <cellStyle name="Обычный 6 3 4 2 2 2 2 6" xfId="17748"/>
    <cellStyle name="Обычный 6 3 4 2 2 2 3" xfId="17749"/>
    <cellStyle name="Обычный 6 3 4 2 2 2 3 2" xfId="17750"/>
    <cellStyle name="Обычный 6 3 4 2 2 2 3 3" xfId="17751"/>
    <cellStyle name="Обычный 6 3 4 2 2 2 4" xfId="17752"/>
    <cellStyle name="Обычный 6 3 4 2 2 2 4 2" xfId="17753"/>
    <cellStyle name="Обычный 6 3 4 2 2 2 4 3" xfId="17754"/>
    <cellStyle name="Обычный 6 3 4 2 2 2 5" xfId="17755"/>
    <cellStyle name="Обычный 6 3 4 2 2 2 5 2" xfId="17756"/>
    <cellStyle name="Обычный 6 3 4 2 2 2 6" xfId="17757"/>
    <cellStyle name="Обычный 6 3 4 2 2 2 7" xfId="17758"/>
    <cellStyle name="Обычный 6 3 4 2 2 3" xfId="17759"/>
    <cellStyle name="Обычный 6 3 4 2 2 3 2" xfId="17760"/>
    <cellStyle name="Обычный 6 3 4 2 2 3 2 2" xfId="17761"/>
    <cellStyle name="Обычный 6 3 4 2 2 3 2 3" xfId="17762"/>
    <cellStyle name="Обычный 6 3 4 2 2 3 3" xfId="17763"/>
    <cellStyle name="Обычный 6 3 4 2 2 3 3 2" xfId="17764"/>
    <cellStyle name="Обычный 6 3 4 2 2 3 3 3" xfId="17765"/>
    <cellStyle name="Обычный 6 3 4 2 2 3 4" xfId="17766"/>
    <cellStyle name="Обычный 6 3 4 2 2 3 4 2" xfId="17767"/>
    <cellStyle name="Обычный 6 3 4 2 2 3 5" xfId="17768"/>
    <cellStyle name="Обычный 6 3 4 2 2 3 6" xfId="17769"/>
    <cellStyle name="Обычный 6 3 4 2 2 4" xfId="17770"/>
    <cellStyle name="Обычный 6 3 4 2 2 4 2" xfId="17771"/>
    <cellStyle name="Обычный 6 3 4 2 2 4 3" xfId="17772"/>
    <cellStyle name="Обычный 6 3 4 2 2 5" xfId="17773"/>
    <cellStyle name="Обычный 6 3 4 2 2 5 2" xfId="17774"/>
    <cellStyle name="Обычный 6 3 4 2 2 5 3" xfId="17775"/>
    <cellStyle name="Обычный 6 3 4 2 2 6" xfId="17776"/>
    <cellStyle name="Обычный 6 3 4 2 2 6 2" xfId="17777"/>
    <cellStyle name="Обычный 6 3 4 2 2 7" xfId="17778"/>
    <cellStyle name="Обычный 6 3 4 2 2 8" xfId="17779"/>
    <cellStyle name="Обычный 6 3 4 2 3" xfId="17780"/>
    <cellStyle name="Обычный 6 3 4 2 3 2" xfId="17781"/>
    <cellStyle name="Обычный 6 3 4 2 3 2 2" xfId="17782"/>
    <cellStyle name="Обычный 6 3 4 2 3 2 2 2" xfId="17783"/>
    <cellStyle name="Обычный 6 3 4 2 3 2 2 3" xfId="17784"/>
    <cellStyle name="Обычный 6 3 4 2 3 2 3" xfId="17785"/>
    <cellStyle name="Обычный 6 3 4 2 3 2 3 2" xfId="17786"/>
    <cellStyle name="Обычный 6 3 4 2 3 2 3 3" xfId="17787"/>
    <cellStyle name="Обычный 6 3 4 2 3 2 4" xfId="17788"/>
    <cellStyle name="Обычный 6 3 4 2 3 2 4 2" xfId="17789"/>
    <cellStyle name="Обычный 6 3 4 2 3 2 5" xfId="17790"/>
    <cellStyle name="Обычный 6 3 4 2 3 2 6" xfId="17791"/>
    <cellStyle name="Обычный 6 3 4 2 3 3" xfId="17792"/>
    <cellStyle name="Обычный 6 3 4 2 3 3 2" xfId="17793"/>
    <cellStyle name="Обычный 6 3 4 2 3 3 3" xfId="17794"/>
    <cellStyle name="Обычный 6 3 4 2 3 4" xfId="17795"/>
    <cellStyle name="Обычный 6 3 4 2 3 4 2" xfId="17796"/>
    <cellStyle name="Обычный 6 3 4 2 3 4 3" xfId="17797"/>
    <cellStyle name="Обычный 6 3 4 2 3 5" xfId="17798"/>
    <cellStyle name="Обычный 6 3 4 2 3 5 2" xfId="17799"/>
    <cellStyle name="Обычный 6 3 4 2 3 6" xfId="17800"/>
    <cellStyle name="Обычный 6 3 4 2 3 7" xfId="17801"/>
    <cellStyle name="Обычный 6 3 4 2 4" xfId="17802"/>
    <cellStyle name="Обычный 6 3 4 2 4 2" xfId="17803"/>
    <cellStyle name="Обычный 6 3 4 2 4 2 2" xfId="17804"/>
    <cellStyle name="Обычный 6 3 4 2 4 2 3" xfId="17805"/>
    <cellStyle name="Обычный 6 3 4 2 4 3" xfId="17806"/>
    <cellStyle name="Обычный 6 3 4 2 4 3 2" xfId="17807"/>
    <cellStyle name="Обычный 6 3 4 2 4 3 3" xfId="17808"/>
    <cellStyle name="Обычный 6 3 4 2 4 4" xfId="17809"/>
    <cellStyle name="Обычный 6 3 4 2 4 4 2" xfId="17810"/>
    <cellStyle name="Обычный 6 3 4 2 4 5" xfId="17811"/>
    <cellStyle name="Обычный 6 3 4 2 4 6" xfId="17812"/>
    <cellStyle name="Обычный 6 3 4 2 5" xfId="17813"/>
    <cellStyle name="Обычный 6 3 4 2 5 2" xfId="17814"/>
    <cellStyle name="Обычный 6 3 4 2 5 3" xfId="17815"/>
    <cellStyle name="Обычный 6 3 4 2 6" xfId="17816"/>
    <cellStyle name="Обычный 6 3 4 2 6 2" xfId="17817"/>
    <cellStyle name="Обычный 6 3 4 2 6 3" xfId="17818"/>
    <cellStyle name="Обычный 6 3 4 2 7" xfId="17819"/>
    <cellStyle name="Обычный 6 3 4 2 7 2" xfId="17820"/>
    <cellStyle name="Обычный 6 3 4 2 8" xfId="17821"/>
    <cellStyle name="Обычный 6 3 4 2 9" xfId="17822"/>
    <cellStyle name="Обычный 6 3 4 3" xfId="17823"/>
    <cellStyle name="Обычный 6 3 4 3 2" xfId="17824"/>
    <cellStyle name="Обычный 6 3 4 3 2 2" xfId="17825"/>
    <cellStyle name="Обычный 6 3 4 3 2 2 2" xfId="17826"/>
    <cellStyle name="Обычный 6 3 4 3 2 2 2 2" xfId="17827"/>
    <cellStyle name="Обычный 6 3 4 3 2 2 2 3" xfId="17828"/>
    <cellStyle name="Обычный 6 3 4 3 2 2 3" xfId="17829"/>
    <cellStyle name="Обычный 6 3 4 3 2 2 3 2" xfId="17830"/>
    <cellStyle name="Обычный 6 3 4 3 2 2 3 3" xfId="17831"/>
    <cellStyle name="Обычный 6 3 4 3 2 2 4" xfId="17832"/>
    <cellStyle name="Обычный 6 3 4 3 2 2 4 2" xfId="17833"/>
    <cellStyle name="Обычный 6 3 4 3 2 2 5" xfId="17834"/>
    <cellStyle name="Обычный 6 3 4 3 2 2 6" xfId="17835"/>
    <cellStyle name="Обычный 6 3 4 3 2 3" xfId="17836"/>
    <cellStyle name="Обычный 6 3 4 3 2 3 2" xfId="17837"/>
    <cellStyle name="Обычный 6 3 4 3 2 3 3" xfId="17838"/>
    <cellStyle name="Обычный 6 3 4 3 2 4" xfId="17839"/>
    <cellStyle name="Обычный 6 3 4 3 2 4 2" xfId="17840"/>
    <cellStyle name="Обычный 6 3 4 3 2 4 3" xfId="17841"/>
    <cellStyle name="Обычный 6 3 4 3 2 5" xfId="17842"/>
    <cellStyle name="Обычный 6 3 4 3 2 5 2" xfId="17843"/>
    <cellStyle name="Обычный 6 3 4 3 2 6" xfId="17844"/>
    <cellStyle name="Обычный 6 3 4 3 2 7" xfId="17845"/>
    <cellStyle name="Обычный 6 3 4 3 3" xfId="17846"/>
    <cellStyle name="Обычный 6 3 4 3 3 2" xfId="17847"/>
    <cellStyle name="Обычный 6 3 4 3 3 2 2" xfId="17848"/>
    <cellStyle name="Обычный 6 3 4 3 3 2 3" xfId="17849"/>
    <cellStyle name="Обычный 6 3 4 3 3 3" xfId="17850"/>
    <cellStyle name="Обычный 6 3 4 3 3 3 2" xfId="17851"/>
    <cellStyle name="Обычный 6 3 4 3 3 3 3" xfId="17852"/>
    <cellStyle name="Обычный 6 3 4 3 3 4" xfId="17853"/>
    <cellStyle name="Обычный 6 3 4 3 3 4 2" xfId="17854"/>
    <cellStyle name="Обычный 6 3 4 3 3 5" xfId="17855"/>
    <cellStyle name="Обычный 6 3 4 3 3 6" xfId="17856"/>
    <cellStyle name="Обычный 6 3 4 3 4" xfId="17857"/>
    <cellStyle name="Обычный 6 3 4 3 4 2" xfId="17858"/>
    <cellStyle name="Обычный 6 3 4 3 4 3" xfId="17859"/>
    <cellStyle name="Обычный 6 3 4 3 5" xfId="17860"/>
    <cellStyle name="Обычный 6 3 4 3 5 2" xfId="17861"/>
    <cellStyle name="Обычный 6 3 4 3 5 3" xfId="17862"/>
    <cellStyle name="Обычный 6 3 4 3 6" xfId="17863"/>
    <cellStyle name="Обычный 6 3 4 3 6 2" xfId="17864"/>
    <cellStyle name="Обычный 6 3 4 3 7" xfId="17865"/>
    <cellStyle name="Обычный 6 3 4 3 8" xfId="17866"/>
    <cellStyle name="Обычный 6 3 4 4" xfId="17867"/>
    <cellStyle name="Обычный 6 3 4 4 2" xfId="17868"/>
    <cellStyle name="Обычный 6 3 4 4 2 2" xfId="17869"/>
    <cellStyle name="Обычный 6 3 4 4 2 2 2" xfId="17870"/>
    <cellStyle name="Обычный 6 3 4 4 2 2 3" xfId="17871"/>
    <cellStyle name="Обычный 6 3 4 4 2 3" xfId="17872"/>
    <cellStyle name="Обычный 6 3 4 4 2 3 2" xfId="17873"/>
    <cellStyle name="Обычный 6 3 4 4 2 3 3" xfId="17874"/>
    <cellStyle name="Обычный 6 3 4 4 2 4" xfId="17875"/>
    <cellStyle name="Обычный 6 3 4 4 2 4 2" xfId="17876"/>
    <cellStyle name="Обычный 6 3 4 4 2 5" xfId="17877"/>
    <cellStyle name="Обычный 6 3 4 4 2 6" xfId="17878"/>
    <cellStyle name="Обычный 6 3 4 4 3" xfId="17879"/>
    <cellStyle name="Обычный 6 3 4 4 3 2" xfId="17880"/>
    <cellStyle name="Обычный 6 3 4 4 3 3" xfId="17881"/>
    <cellStyle name="Обычный 6 3 4 4 4" xfId="17882"/>
    <cellStyle name="Обычный 6 3 4 4 4 2" xfId="17883"/>
    <cellStyle name="Обычный 6 3 4 4 4 3" xfId="17884"/>
    <cellStyle name="Обычный 6 3 4 4 5" xfId="17885"/>
    <cellStyle name="Обычный 6 3 4 4 5 2" xfId="17886"/>
    <cellStyle name="Обычный 6 3 4 4 6" xfId="17887"/>
    <cellStyle name="Обычный 6 3 4 4 7" xfId="17888"/>
    <cellStyle name="Обычный 6 3 4 5" xfId="17889"/>
    <cellStyle name="Обычный 6 3 4 5 2" xfId="17890"/>
    <cellStyle name="Обычный 6 3 4 5 2 2" xfId="17891"/>
    <cellStyle name="Обычный 6 3 4 5 2 3" xfId="17892"/>
    <cellStyle name="Обычный 6 3 4 5 3" xfId="17893"/>
    <cellStyle name="Обычный 6 3 4 5 3 2" xfId="17894"/>
    <cellStyle name="Обычный 6 3 4 5 3 3" xfId="17895"/>
    <cellStyle name="Обычный 6 3 4 5 4" xfId="17896"/>
    <cellStyle name="Обычный 6 3 4 5 4 2" xfId="17897"/>
    <cellStyle name="Обычный 6 3 4 5 5" xfId="17898"/>
    <cellStyle name="Обычный 6 3 4 5 6" xfId="17899"/>
    <cellStyle name="Обычный 6 3 4 6" xfId="17900"/>
    <cellStyle name="Обычный 6 3 4 6 2" xfId="17901"/>
    <cellStyle name="Обычный 6 3 4 6 3" xfId="17902"/>
    <cellStyle name="Обычный 6 3 4 7" xfId="17903"/>
    <cellStyle name="Обычный 6 3 4 7 2" xfId="17904"/>
    <cellStyle name="Обычный 6 3 4 7 3" xfId="17905"/>
    <cellStyle name="Обычный 6 3 4 8" xfId="17906"/>
    <cellStyle name="Обычный 6 3 4 8 2" xfId="17907"/>
    <cellStyle name="Обычный 6 3 4 9" xfId="17908"/>
    <cellStyle name="Обычный 6 3 5" xfId="17909"/>
    <cellStyle name="Обычный 6 3 5 10" xfId="17910"/>
    <cellStyle name="Обычный 6 3 5 2" xfId="17911"/>
    <cellStyle name="Обычный 6 3 5 2 2" xfId="17912"/>
    <cellStyle name="Обычный 6 3 5 2 2 2" xfId="17913"/>
    <cellStyle name="Обычный 6 3 5 2 2 2 2" xfId="17914"/>
    <cellStyle name="Обычный 6 3 5 2 2 2 2 2" xfId="17915"/>
    <cellStyle name="Обычный 6 3 5 2 2 2 2 2 2" xfId="17916"/>
    <cellStyle name="Обычный 6 3 5 2 2 2 2 2 3" xfId="17917"/>
    <cellStyle name="Обычный 6 3 5 2 2 2 2 3" xfId="17918"/>
    <cellStyle name="Обычный 6 3 5 2 2 2 2 3 2" xfId="17919"/>
    <cellStyle name="Обычный 6 3 5 2 2 2 2 3 3" xfId="17920"/>
    <cellStyle name="Обычный 6 3 5 2 2 2 2 4" xfId="17921"/>
    <cellStyle name="Обычный 6 3 5 2 2 2 2 4 2" xfId="17922"/>
    <cellStyle name="Обычный 6 3 5 2 2 2 2 5" xfId="17923"/>
    <cellStyle name="Обычный 6 3 5 2 2 2 2 6" xfId="17924"/>
    <cellStyle name="Обычный 6 3 5 2 2 2 3" xfId="17925"/>
    <cellStyle name="Обычный 6 3 5 2 2 2 3 2" xfId="17926"/>
    <cellStyle name="Обычный 6 3 5 2 2 2 3 3" xfId="17927"/>
    <cellStyle name="Обычный 6 3 5 2 2 2 4" xfId="17928"/>
    <cellStyle name="Обычный 6 3 5 2 2 2 4 2" xfId="17929"/>
    <cellStyle name="Обычный 6 3 5 2 2 2 4 3" xfId="17930"/>
    <cellStyle name="Обычный 6 3 5 2 2 2 5" xfId="17931"/>
    <cellStyle name="Обычный 6 3 5 2 2 2 5 2" xfId="17932"/>
    <cellStyle name="Обычный 6 3 5 2 2 2 6" xfId="17933"/>
    <cellStyle name="Обычный 6 3 5 2 2 2 7" xfId="17934"/>
    <cellStyle name="Обычный 6 3 5 2 2 3" xfId="17935"/>
    <cellStyle name="Обычный 6 3 5 2 2 3 2" xfId="17936"/>
    <cellStyle name="Обычный 6 3 5 2 2 3 2 2" xfId="17937"/>
    <cellStyle name="Обычный 6 3 5 2 2 3 2 3" xfId="17938"/>
    <cellStyle name="Обычный 6 3 5 2 2 3 3" xfId="17939"/>
    <cellStyle name="Обычный 6 3 5 2 2 3 3 2" xfId="17940"/>
    <cellStyle name="Обычный 6 3 5 2 2 3 3 3" xfId="17941"/>
    <cellStyle name="Обычный 6 3 5 2 2 3 4" xfId="17942"/>
    <cellStyle name="Обычный 6 3 5 2 2 3 4 2" xfId="17943"/>
    <cellStyle name="Обычный 6 3 5 2 2 3 5" xfId="17944"/>
    <cellStyle name="Обычный 6 3 5 2 2 3 6" xfId="17945"/>
    <cellStyle name="Обычный 6 3 5 2 2 4" xfId="17946"/>
    <cellStyle name="Обычный 6 3 5 2 2 4 2" xfId="17947"/>
    <cellStyle name="Обычный 6 3 5 2 2 4 3" xfId="17948"/>
    <cellStyle name="Обычный 6 3 5 2 2 5" xfId="17949"/>
    <cellStyle name="Обычный 6 3 5 2 2 5 2" xfId="17950"/>
    <cellStyle name="Обычный 6 3 5 2 2 5 3" xfId="17951"/>
    <cellStyle name="Обычный 6 3 5 2 2 6" xfId="17952"/>
    <cellStyle name="Обычный 6 3 5 2 2 6 2" xfId="17953"/>
    <cellStyle name="Обычный 6 3 5 2 2 7" xfId="17954"/>
    <cellStyle name="Обычный 6 3 5 2 2 8" xfId="17955"/>
    <cellStyle name="Обычный 6 3 5 2 3" xfId="17956"/>
    <cellStyle name="Обычный 6 3 5 2 3 2" xfId="17957"/>
    <cellStyle name="Обычный 6 3 5 2 3 2 2" xfId="17958"/>
    <cellStyle name="Обычный 6 3 5 2 3 2 2 2" xfId="17959"/>
    <cellStyle name="Обычный 6 3 5 2 3 2 2 3" xfId="17960"/>
    <cellStyle name="Обычный 6 3 5 2 3 2 3" xfId="17961"/>
    <cellStyle name="Обычный 6 3 5 2 3 2 3 2" xfId="17962"/>
    <cellStyle name="Обычный 6 3 5 2 3 2 3 3" xfId="17963"/>
    <cellStyle name="Обычный 6 3 5 2 3 2 4" xfId="17964"/>
    <cellStyle name="Обычный 6 3 5 2 3 2 4 2" xfId="17965"/>
    <cellStyle name="Обычный 6 3 5 2 3 2 5" xfId="17966"/>
    <cellStyle name="Обычный 6 3 5 2 3 2 6" xfId="17967"/>
    <cellStyle name="Обычный 6 3 5 2 3 3" xfId="17968"/>
    <cellStyle name="Обычный 6 3 5 2 3 3 2" xfId="17969"/>
    <cellStyle name="Обычный 6 3 5 2 3 3 3" xfId="17970"/>
    <cellStyle name="Обычный 6 3 5 2 3 4" xfId="17971"/>
    <cellStyle name="Обычный 6 3 5 2 3 4 2" xfId="17972"/>
    <cellStyle name="Обычный 6 3 5 2 3 4 3" xfId="17973"/>
    <cellStyle name="Обычный 6 3 5 2 3 5" xfId="17974"/>
    <cellStyle name="Обычный 6 3 5 2 3 5 2" xfId="17975"/>
    <cellStyle name="Обычный 6 3 5 2 3 6" xfId="17976"/>
    <cellStyle name="Обычный 6 3 5 2 3 7" xfId="17977"/>
    <cellStyle name="Обычный 6 3 5 2 4" xfId="17978"/>
    <cellStyle name="Обычный 6 3 5 2 4 2" xfId="17979"/>
    <cellStyle name="Обычный 6 3 5 2 4 2 2" xfId="17980"/>
    <cellStyle name="Обычный 6 3 5 2 4 2 3" xfId="17981"/>
    <cellStyle name="Обычный 6 3 5 2 4 3" xfId="17982"/>
    <cellStyle name="Обычный 6 3 5 2 4 3 2" xfId="17983"/>
    <cellStyle name="Обычный 6 3 5 2 4 3 3" xfId="17984"/>
    <cellStyle name="Обычный 6 3 5 2 4 4" xfId="17985"/>
    <cellStyle name="Обычный 6 3 5 2 4 4 2" xfId="17986"/>
    <cellStyle name="Обычный 6 3 5 2 4 5" xfId="17987"/>
    <cellStyle name="Обычный 6 3 5 2 4 6" xfId="17988"/>
    <cellStyle name="Обычный 6 3 5 2 5" xfId="17989"/>
    <cellStyle name="Обычный 6 3 5 2 5 2" xfId="17990"/>
    <cellStyle name="Обычный 6 3 5 2 5 3" xfId="17991"/>
    <cellStyle name="Обычный 6 3 5 2 6" xfId="17992"/>
    <cellStyle name="Обычный 6 3 5 2 6 2" xfId="17993"/>
    <cellStyle name="Обычный 6 3 5 2 6 3" xfId="17994"/>
    <cellStyle name="Обычный 6 3 5 2 7" xfId="17995"/>
    <cellStyle name="Обычный 6 3 5 2 7 2" xfId="17996"/>
    <cellStyle name="Обычный 6 3 5 2 8" xfId="17997"/>
    <cellStyle name="Обычный 6 3 5 2 9" xfId="17998"/>
    <cellStyle name="Обычный 6 3 5 3" xfId="17999"/>
    <cellStyle name="Обычный 6 3 5 3 2" xfId="18000"/>
    <cellStyle name="Обычный 6 3 5 3 2 2" xfId="18001"/>
    <cellStyle name="Обычный 6 3 5 3 2 2 2" xfId="18002"/>
    <cellStyle name="Обычный 6 3 5 3 2 2 2 2" xfId="18003"/>
    <cellStyle name="Обычный 6 3 5 3 2 2 2 3" xfId="18004"/>
    <cellStyle name="Обычный 6 3 5 3 2 2 3" xfId="18005"/>
    <cellStyle name="Обычный 6 3 5 3 2 2 3 2" xfId="18006"/>
    <cellStyle name="Обычный 6 3 5 3 2 2 3 3" xfId="18007"/>
    <cellStyle name="Обычный 6 3 5 3 2 2 4" xfId="18008"/>
    <cellStyle name="Обычный 6 3 5 3 2 2 4 2" xfId="18009"/>
    <cellStyle name="Обычный 6 3 5 3 2 2 5" xfId="18010"/>
    <cellStyle name="Обычный 6 3 5 3 2 2 6" xfId="18011"/>
    <cellStyle name="Обычный 6 3 5 3 2 3" xfId="18012"/>
    <cellStyle name="Обычный 6 3 5 3 2 3 2" xfId="18013"/>
    <cellStyle name="Обычный 6 3 5 3 2 3 3" xfId="18014"/>
    <cellStyle name="Обычный 6 3 5 3 2 4" xfId="18015"/>
    <cellStyle name="Обычный 6 3 5 3 2 4 2" xfId="18016"/>
    <cellStyle name="Обычный 6 3 5 3 2 4 3" xfId="18017"/>
    <cellStyle name="Обычный 6 3 5 3 2 5" xfId="18018"/>
    <cellStyle name="Обычный 6 3 5 3 2 5 2" xfId="18019"/>
    <cellStyle name="Обычный 6 3 5 3 2 6" xfId="18020"/>
    <cellStyle name="Обычный 6 3 5 3 2 7" xfId="18021"/>
    <cellStyle name="Обычный 6 3 5 3 3" xfId="18022"/>
    <cellStyle name="Обычный 6 3 5 3 3 2" xfId="18023"/>
    <cellStyle name="Обычный 6 3 5 3 3 2 2" xfId="18024"/>
    <cellStyle name="Обычный 6 3 5 3 3 2 3" xfId="18025"/>
    <cellStyle name="Обычный 6 3 5 3 3 3" xfId="18026"/>
    <cellStyle name="Обычный 6 3 5 3 3 3 2" xfId="18027"/>
    <cellStyle name="Обычный 6 3 5 3 3 3 3" xfId="18028"/>
    <cellStyle name="Обычный 6 3 5 3 3 4" xfId="18029"/>
    <cellStyle name="Обычный 6 3 5 3 3 4 2" xfId="18030"/>
    <cellStyle name="Обычный 6 3 5 3 3 5" xfId="18031"/>
    <cellStyle name="Обычный 6 3 5 3 3 6" xfId="18032"/>
    <cellStyle name="Обычный 6 3 5 3 4" xfId="18033"/>
    <cellStyle name="Обычный 6 3 5 3 4 2" xfId="18034"/>
    <cellStyle name="Обычный 6 3 5 3 4 3" xfId="18035"/>
    <cellStyle name="Обычный 6 3 5 3 5" xfId="18036"/>
    <cellStyle name="Обычный 6 3 5 3 5 2" xfId="18037"/>
    <cellStyle name="Обычный 6 3 5 3 5 3" xfId="18038"/>
    <cellStyle name="Обычный 6 3 5 3 6" xfId="18039"/>
    <cellStyle name="Обычный 6 3 5 3 6 2" xfId="18040"/>
    <cellStyle name="Обычный 6 3 5 3 7" xfId="18041"/>
    <cellStyle name="Обычный 6 3 5 3 8" xfId="18042"/>
    <cellStyle name="Обычный 6 3 5 4" xfId="18043"/>
    <cellStyle name="Обычный 6 3 5 4 2" xfId="18044"/>
    <cellStyle name="Обычный 6 3 5 4 2 2" xfId="18045"/>
    <cellStyle name="Обычный 6 3 5 4 2 2 2" xfId="18046"/>
    <cellStyle name="Обычный 6 3 5 4 2 2 3" xfId="18047"/>
    <cellStyle name="Обычный 6 3 5 4 2 3" xfId="18048"/>
    <cellStyle name="Обычный 6 3 5 4 2 3 2" xfId="18049"/>
    <cellStyle name="Обычный 6 3 5 4 2 3 3" xfId="18050"/>
    <cellStyle name="Обычный 6 3 5 4 2 4" xfId="18051"/>
    <cellStyle name="Обычный 6 3 5 4 2 4 2" xfId="18052"/>
    <cellStyle name="Обычный 6 3 5 4 2 5" xfId="18053"/>
    <cellStyle name="Обычный 6 3 5 4 2 6" xfId="18054"/>
    <cellStyle name="Обычный 6 3 5 4 3" xfId="18055"/>
    <cellStyle name="Обычный 6 3 5 4 3 2" xfId="18056"/>
    <cellStyle name="Обычный 6 3 5 4 3 3" xfId="18057"/>
    <cellStyle name="Обычный 6 3 5 4 4" xfId="18058"/>
    <cellStyle name="Обычный 6 3 5 4 4 2" xfId="18059"/>
    <cellStyle name="Обычный 6 3 5 4 4 3" xfId="18060"/>
    <cellStyle name="Обычный 6 3 5 4 5" xfId="18061"/>
    <cellStyle name="Обычный 6 3 5 4 5 2" xfId="18062"/>
    <cellStyle name="Обычный 6 3 5 4 6" xfId="18063"/>
    <cellStyle name="Обычный 6 3 5 4 7" xfId="18064"/>
    <cellStyle name="Обычный 6 3 5 5" xfId="18065"/>
    <cellStyle name="Обычный 6 3 5 5 2" xfId="18066"/>
    <cellStyle name="Обычный 6 3 5 5 2 2" xfId="18067"/>
    <cellStyle name="Обычный 6 3 5 5 2 3" xfId="18068"/>
    <cellStyle name="Обычный 6 3 5 5 3" xfId="18069"/>
    <cellStyle name="Обычный 6 3 5 5 3 2" xfId="18070"/>
    <cellStyle name="Обычный 6 3 5 5 3 3" xfId="18071"/>
    <cellStyle name="Обычный 6 3 5 5 4" xfId="18072"/>
    <cellStyle name="Обычный 6 3 5 5 4 2" xfId="18073"/>
    <cellStyle name="Обычный 6 3 5 5 5" xfId="18074"/>
    <cellStyle name="Обычный 6 3 5 5 6" xfId="18075"/>
    <cellStyle name="Обычный 6 3 5 6" xfId="18076"/>
    <cellStyle name="Обычный 6 3 5 6 2" xfId="18077"/>
    <cellStyle name="Обычный 6 3 5 6 3" xfId="18078"/>
    <cellStyle name="Обычный 6 3 5 7" xfId="18079"/>
    <cellStyle name="Обычный 6 3 5 7 2" xfId="18080"/>
    <cellStyle name="Обычный 6 3 5 7 3" xfId="18081"/>
    <cellStyle name="Обычный 6 3 5 8" xfId="18082"/>
    <cellStyle name="Обычный 6 3 5 8 2" xfId="18083"/>
    <cellStyle name="Обычный 6 3 5 9" xfId="18084"/>
    <cellStyle name="Обычный 6 3 6" xfId="18085"/>
    <cellStyle name="Обычный 6 3 6 2" xfId="18086"/>
    <cellStyle name="Обычный 6 3 6 2 2" xfId="18087"/>
    <cellStyle name="Обычный 6 3 6 2 2 2" xfId="18088"/>
    <cellStyle name="Обычный 6 3 6 2 2 2 2" xfId="18089"/>
    <cellStyle name="Обычный 6 3 6 2 2 2 2 2" xfId="18090"/>
    <cellStyle name="Обычный 6 3 6 2 2 2 2 3" xfId="18091"/>
    <cellStyle name="Обычный 6 3 6 2 2 2 3" xfId="18092"/>
    <cellStyle name="Обычный 6 3 6 2 2 2 3 2" xfId="18093"/>
    <cellStyle name="Обычный 6 3 6 2 2 2 3 3" xfId="18094"/>
    <cellStyle name="Обычный 6 3 6 2 2 2 4" xfId="18095"/>
    <cellStyle name="Обычный 6 3 6 2 2 2 4 2" xfId="18096"/>
    <cellStyle name="Обычный 6 3 6 2 2 2 5" xfId="18097"/>
    <cellStyle name="Обычный 6 3 6 2 2 2 6" xfId="18098"/>
    <cellStyle name="Обычный 6 3 6 2 2 3" xfId="18099"/>
    <cellStyle name="Обычный 6 3 6 2 2 3 2" xfId="18100"/>
    <cellStyle name="Обычный 6 3 6 2 2 3 3" xfId="18101"/>
    <cellStyle name="Обычный 6 3 6 2 2 4" xfId="18102"/>
    <cellStyle name="Обычный 6 3 6 2 2 4 2" xfId="18103"/>
    <cellStyle name="Обычный 6 3 6 2 2 4 3" xfId="18104"/>
    <cellStyle name="Обычный 6 3 6 2 2 5" xfId="18105"/>
    <cellStyle name="Обычный 6 3 6 2 2 5 2" xfId="18106"/>
    <cellStyle name="Обычный 6 3 6 2 2 6" xfId="18107"/>
    <cellStyle name="Обычный 6 3 6 2 2 7" xfId="18108"/>
    <cellStyle name="Обычный 6 3 6 2 3" xfId="18109"/>
    <cellStyle name="Обычный 6 3 6 2 3 2" xfId="18110"/>
    <cellStyle name="Обычный 6 3 6 2 3 2 2" xfId="18111"/>
    <cellStyle name="Обычный 6 3 6 2 3 2 3" xfId="18112"/>
    <cellStyle name="Обычный 6 3 6 2 3 3" xfId="18113"/>
    <cellStyle name="Обычный 6 3 6 2 3 3 2" xfId="18114"/>
    <cellStyle name="Обычный 6 3 6 2 3 3 3" xfId="18115"/>
    <cellStyle name="Обычный 6 3 6 2 3 4" xfId="18116"/>
    <cellStyle name="Обычный 6 3 6 2 3 4 2" xfId="18117"/>
    <cellStyle name="Обычный 6 3 6 2 3 5" xfId="18118"/>
    <cellStyle name="Обычный 6 3 6 2 3 6" xfId="18119"/>
    <cellStyle name="Обычный 6 3 6 2 4" xfId="18120"/>
    <cellStyle name="Обычный 6 3 6 2 4 2" xfId="18121"/>
    <cellStyle name="Обычный 6 3 6 2 4 3" xfId="18122"/>
    <cellStyle name="Обычный 6 3 6 2 5" xfId="18123"/>
    <cellStyle name="Обычный 6 3 6 2 5 2" xfId="18124"/>
    <cellStyle name="Обычный 6 3 6 2 5 3" xfId="18125"/>
    <cellStyle name="Обычный 6 3 6 2 6" xfId="18126"/>
    <cellStyle name="Обычный 6 3 6 2 6 2" xfId="18127"/>
    <cellStyle name="Обычный 6 3 6 2 7" xfId="18128"/>
    <cellStyle name="Обычный 6 3 6 2 8" xfId="18129"/>
    <cellStyle name="Обычный 6 3 6 3" xfId="18130"/>
    <cellStyle name="Обычный 6 3 6 3 2" xfId="18131"/>
    <cellStyle name="Обычный 6 3 6 3 2 2" xfId="18132"/>
    <cellStyle name="Обычный 6 3 6 3 2 2 2" xfId="18133"/>
    <cellStyle name="Обычный 6 3 6 3 2 2 3" xfId="18134"/>
    <cellStyle name="Обычный 6 3 6 3 2 3" xfId="18135"/>
    <cellStyle name="Обычный 6 3 6 3 2 3 2" xfId="18136"/>
    <cellStyle name="Обычный 6 3 6 3 2 3 3" xfId="18137"/>
    <cellStyle name="Обычный 6 3 6 3 2 4" xfId="18138"/>
    <cellStyle name="Обычный 6 3 6 3 2 4 2" xfId="18139"/>
    <cellStyle name="Обычный 6 3 6 3 2 5" xfId="18140"/>
    <cellStyle name="Обычный 6 3 6 3 2 6" xfId="18141"/>
    <cellStyle name="Обычный 6 3 6 3 3" xfId="18142"/>
    <cellStyle name="Обычный 6 3 6 3 3 2" xfId="18143"/>
    <cellStyle name="Обычный 6 3 6 3 3 3" xfId="18144"/>
    <cellStyle name="Обычный 6 3 6 3 4" xfId="18145"/>
    <cellStyle name="Обычный 6 3 6 3 4 2" xfId="18146"/>
    <cellStyle name="Обычный 6 3 6 3 4 3" xfId="18147"/>
    <cellStyle name="Обычный 6 3 6 3 5" xfId="18148"/>
    <cellStyle name="Обычный 6 3 6 3 5 2" xfId="18149"/>
    <cellStyle name="Обычный 6 3 6 3 6" xfId="18150"/>
    <cellStyle name="Обычный 6 3 6 3 7" xfId="18151"/>
    <cellStyle name="Обычный 6 3 6 4" xfId="18152"/>
    <cellStyle name="Обычный 6 3 6 4 2" xfId="18153"/>
    <cellStyle name="Обычный 6 3 6 4 2 2" xfId="18154"/>
    <cellStyle name="Обычный 6 3 6 4 2 3" xfId="18155"/>
    <cellStyle name="Обычный 6 3 6 4 3" xfId="18156"/>
    <cellStyle name="Обычный 6 3 6 4 3 2" xfId="18157"/>
    <cellStyle name="Обычный 6 3 6 4 3 3" xfId="18158"/>
    <cellStyle name="Обычный 6 3 6 4 4" xfId="18159"/>
    <cellStyle name="Обычный 6 3 6 4 4 2" xfId="18160"/>
    <cellStyle name="Обычный 6 3 6 4 5" xfId="18161"/>
    <cellStyle name="Обычный 6 3 6 4 6" xfId="18162"/>
    <cellStyle name="Обычный 6 3 6 5" xfId="18163"/>
    <cellStyle name="Обычный 6 3 6 5 2" xfId="18164"/>
    <cellStyle name="Обычный 6 3 6 5 3" xfId="18165"/>
    <cellStyle name="Обычный 6 3 6 6" xfId="18166"/>
    <cellStyle name="Обычный 6 3 6 6 2" xfId="18167"/>
    <cellStyle name="Обычный 6 3 6 6 3" xfId="18168"/>
    <cellStyle name="Обычный 6 3 6 7" xfId="18169"/>
    <cellStyle name="Обычный 6 3 6 7 2" xfId="18170"/>
    <cellStyle name="Обычный 6 3 6 8" xfId="18171"/>
    <cellStyle name="Обычный 6 3 6 9" xfId="18172"/>
    <cellStyle name="Обычный 6 3 7" xfId="18173"/>
    <cellStyle name="Обычный 6 3 7 2" xfId="18174"/>
    <cellStyle name="Обычный 6 3 7 2 2" xfId="18175"/>
    <cellStyle name="Обычный 6 3 7 2 2 2" xfId="18176"/>
    <cellStyle name="Обычный 6 3 7 2 2 2 2" xfId="18177"/>
    <cellStyle name="Обычный 6 3 7 2 2 2 3" xfId="18178"/>
    <cellStyle name="Обычный 6 3 7 2 2 3" xfId="18179"/>
    <cellStyle name="Обычный 6 3 7 2 2 3 2" xfId="18180"/>
    <cellStyle name="Обычный 6 3 7 2 2 3 3" xfId="18181"/>
    <cellStyle name="Обычный 6 3 7 2 2 4" xfId="18182"/>
    <cellStyle name="Обычный 6 3 7 2 2 4 2" xfId="18183"/>
    <cellStyle name="Обычный 6 3 7 2 2 5" xfId="18184"/>
    <cellStyle name="Обычный 6 3 7 2 2 6" xfId="18185"/>
    <cellStyle name="Обычный 6 3 7 2 3" xfId="18186"/>
    <cellStyle name="Обычный 6 3 7 2 3 2" xfId="18187"/>
    <cellStyle name="Обычный 6 3 7 2 3 3" xfId="18188"/>
    <cellStyle name="Обычный 6 3 7 2 4" xfId="18189"/>
    <cellStyle name="Обычный 6 3 7 2 4 2" xfId="18190"/>
    <cellStyle name="Обычный 6 3 7 2 4 3" xfId="18191"/>
    <cellStyle name="Обычный 6 3 7 2 5" xfId="18192"/>
    <cellStyle name="Обычный 6 3 7 2 5 2" xfId="18193"/>
    <cellStyle name="Обычный 6 3 7 2 6" xfId="18194"/>
    <cellStyle name="Обычный 6 3 7 2 7" xfId="18195"/>
    <cellStyle name="Обычный 6 3 7 3" xfId="18196"/>
    <cellStyle name="Обычный 6 3 7 3 2" xfId="18197"/>
    <cellStyle name="Обычный 6 3 7 3 2 2" xfId="18198"/>
    <cellStyle name="Обычный 6 3 7 3 2 3" xfId="18199"/>
    <cellStyle name="Обычный 6 3 7 3 3" xfId="18200"/>
    <cellStyle name="Обычный 6 3 7 3 3 2" xfId="18201"/>
    <cellStyle name="Обычный 6 3 7 3 3 3" xfId="18202"/>
    <cellStyle name="Обычный 6 3 7 3 4" xfId="18203"/>
    <cellStyle name="Обычный 6 3 7 3 4 2" xfId="18204"/>
    <cellStyle name="Обычный 6 3 7 3 5" xfId="18205"/>
    <cellStyle name="Обычный 6 3 7 3 6" xfId="18206"/>
    <cellStyle name="Обычный 6 3 7 4" xfId="18207"/>
    <cellStyle name="Обычный 6 3 7 4 2" xfId="18208"/>
    <cellStyle name="Обычный 6 3 7 4 3" xfId="18209"/>
    <cellStyle name="Обычный 6 3 7 5" xfId="18210"/>
    <cellStyle name="Обычный 6 3 7 5 2" xfId="18211"/>
    <cellStyle name="Обычный 6 3 7 5 3" xfId="18212"/>
    <cellStyle name="Обычный 6 3 7 6" xfId="18213"/>
    <cellStyle name="Обычный 6 3 7 6 2" xfId="18214"/>
    <cellStyle name="Обычный 6 3 7 7" xfId="18215"/>
    <cellStyle name="Обычный 6 3 7 8" xfId="18216"/>
    <cellStyle name="Обычный 6 3 8" xfId="18217"/>
    <cellStyle name="Обычный 6 3 8 2" xfId="18218"/>
    <cellStyle name="Обычный 6 3 8 2 2" xfId="18219"/>
    <cellStyle name="Обычный 6 3 8 2 2 2" xfId="18220"/>
    <cellStyle name="Обычный 6 3 8 2 2 3" xfId="18221"/>
    <cellStyle name="Обычный 6 3 8 2 3" xfId="18222"/>
    <cellStyle name="Обычный 6 3 8 2 3 2" xfId="18223"/>
    <cellStyle name="Обычный 6 3 8 2 3 3" xfId="18224"/>
    <cellStyle name="Обычный 6 3 8 2 4" xfId="18225"/>
    <cellStyle name="Обычный 6 3 8 2 4 2" xfId="18226"/>
    <cellStyle name="Обычный 6 3 8 2 5" xfId="18227"/>
    <cellStyle name="Обычный 6 3 8 2 6" xfId="18228"/>
    <cellStyle name="Обычный 6 3 8 3" xfId="18229"/>
    <cellStyle name="Обычный 6 3 8 3 2" xfId="18230"/>
    <cellStyle name="Обычный 6 3 8 3 3" xfId="18231"/>
    <cellStyle name="Обычный 6 3 8 4" xfId="18232"/>
    <cellStyle name="Обычный 6 3 8 4 2" xfId="18233"/>
    <cellStyle name="Обычный 6 3 8 4 3" xfId="18234"/>
    <cellStyle name="Обычный 6 3 8 5" xfId="18235"/>
    <cellStyle name="Обычный 6 3 8 5 2" xfId="18236"/>
    <cellStyle name="Обычный 6 3 8 6" xfId="18237"/>
    <cellStyle name="Обычный 6 3 8 7" xfId="18238"/>
    <cellStyle name="Обычный 6 3 9" xfId="18239"/>
    <cellStyle name="Обычный 6 3 9 2" xfId="18240"/>
    <cellStyle name="Обычный 6 3 9 2 2" xfId="18241"/>
    <cellStyle name="Обычный 6 3 9 2 3" xfId="18242"/>
    <cellStyle name="Обычный 6 3 9 3" xfId="18243"/>
    <cellStyle name="Обычный 6 3 9 3 2" xfId="18244"/>
    <cellStyle name="Обычный 6 3 9 3 3" xfId="18245"/>
    <cellStyle name="Обычный 6 3 9 4" xfId="18246"/>
    <cellStyle name="Обычный 6 3 9 4 2" xfId="18247"/>
    <cellStyle name="Обычный 6 3 9 5" xfId="18248"/>
    <cellStyle name="Обычный 6 3 9 6" xfId="18249"/>
    <cellStyle name="Обычный 6 4" xfId="18250"/>
    <cellStyle name="Обычный 6 4 10" xfId="18251"/>
    <cellStyle name="Обычный 6 4 10 2" xfId="18252"/>
    <cellStyle name="Обычный 6 4 10 3" xfId="18253"/>
    <cellStyle name="Обычный 6 4 11" xfId="18254"/>
    <cellStyle name="Обычный 6 4 11 2" xfId="18255"/>
    <cellStyle name="Обычный 6 4 11 3" xfId="18256"/>
    <cellStyle name="Обычный 6 4 12" xfId="18257"/>
    <cellStyle name="Обычный 6 4 12 2" xfId="18258"/>
    <cellStyle name="Обычный 6 4 13" xfId="18259"/>
    <cellStyle name="Обычный 6 4 14" xfId="18260"/>
    <cellStyle name="Обычный 6 4 2" xfId="18261"/>
    <cellStyle name="Обычный 6 4 2 10" xfId="18262"/>
    <cellStyle name="Обычный 6 4 2 10 2" xfId="18263"/>
    <cellStyle name="Обычный 6 4 2 10 3" xfId="18264"/>
    <cellStyle name="Обычный 6 4 2 11" xfId="18265"/>
    <cellStyle name="Обычный 6 4 2 11 2" xfId="18266"/>
    <cellStyle name="Обычный 6 4 2 12" xfId="18267"/>
    <cellStyle name="Обычный 6 4 2 13" xfId="18268"/>
    <cellStyle name="Обычный 6 4 2 2" xfId="18269"/>
    <cellStyle name="Обычный 6 4 2 2 10" xfId="18270"/>
    <cellStyle name="Обычный 6 4 2 2 2" xfId="18271"/>
    <cellStyle name="Обычный 6 4 2 2 2 2" xfId="18272"/>
    <cellStyle name="Обычный 6 4 2 2 2 2 2" xfId="18273"/>
    <cellStyle name="Обычный 6 4 2 2 2 2 2 2" xfId="18274"/>
    <cellStyle name="Обычный 6 4 2 2 2 2 2 2 2" xfId="18275"/>
    <cellStyle name="Обычный 6 4 2 2 2 2 2 2 2 2" xfId="18276"/>
    <cellStyle name="Обычный 6 4 2 2 2 2 2 2 2 3" xfId="18277"/>
    <cellStyle name="Обычный 6 4 2 2 2 2 2 2 3" xfId="18278"/>
    <cellStyle name="Обычный 6 4 2 2 2 2 2 2 3 2" xfId="18279"/>
    <cellStyle name="Обычный 6 4 2 2 2 2 2 2 3 3" xfId="18280"/>
    <cellStyle name="Обычный 6 4 2 2 2 2 2 2 4" xfId="18281"/>
    <cellStyle name="Обычный 6 4 2 2 2 2 2 2 4 2" xfId="18282"/>
    <cellStyle name="Обычный 6 4 2 2 2 2 2 2 5" xfId="18283"/>
    <cellStyle name="Обычный 6 4 2 2 2 2 2 2 6" xfId="18284"/>
    <cellStyle name="Обычный 6 4 2 2 2 2 2 3" xfId="18285"/>
    <cellStyle name="Обычный 6 4 2 2 2 2 2 3 2" xfId="18286"/>
    <cellStyle name="Обычный 6 4 2 2 2 2 2 3 3" xfId="18287"/>
    <cellStyle name="Обычный 6 4 2 2 2 2 2 4" xfId="18288"/>
    <cellStyle name="Обычный 6 4 2 2 2 2 2 4 2" xfId="18289"/>
    <cellStyle name="Обычный 6 4 2 2 2 2 2 4 3" xfId="18290"/>
    <cellStyle name="Обычный 6 4 2 2 2 2 2 5" xfId="18291"/>
    <cellStyle name="Обычный 6 4 2 2 2 2 2 5 2" xfId="18292"/>
    <cellStyle name="Обычный 6 4 2 2 2 2 2 6" xfId="18293"/>
    <cellStyle name="Обычный 6 4 2 2 2 2 2 7" xfId="18294"/>
    <cellStyle name="Обычный 6 4 2 2 2 2 3" xfId="18295"/>
    <cellStyle name="Обычный 6 4 2 2 2 2 3 2" xfId="18296"/>
    <cellStyle name="Обычный 6 4 2 2 2 2 3 2 2" xfId="18297"/>
    <cellStyle name="Обычный 6 4 2 2 2 2 3 2 3" xfId="18298"/>
    <cellStyle name="Обычный 6 4 2 2 2 2 3 3" xfId="18299"/>
    <cellStyle name="Обычный 6 4 2 2 2 2 3 3 2" xfId="18300"/>
    <cellStyle name="Обычный 6 4 2 2 2 2 3 3 3" xfId="18301"/>
    <cellStyle name="Обычный 6 4 2 2 2 2 3 4" xfId="18302"/>
    <cellStyle name="Обычный 6 4 2 2 2 2 3 4 2" xfId="18303"/>
    <cellStyle name="Обычный 6 4 2 2 2 2 3 5" xfId="18304"/>
    <cellStyle name="Обычный 6 4 2 2 2 2 3 6" xfId="18305"/>
    <cellStyle name="Обычный 6 4 2 2 2 2 4" xfId="18306"/>
    <cellStyle name="Обычный 6 4 2 2 2 2 4 2" xfId="18307"/>
    <cellStyle name="Обычный 6 4 2 2 2 2 4 3" xfId="18308"/>
    <cellStyle name="Обычный 6 4 2 2 2 2 5" xfId="18309"/>
    <cellStyle name="Обычный 6 4 2 2 2 2 5 2" xfId="18310"/>
    <cellStyle name="Обычный 6 4 2 2 2 2 5 3" xfId="18311"/>
    <cellStyle name="Обычный 6 4 2 2 2 2 6" xfId="18312"/>
    <cellStyle name="Обычный 6 4 2 2 2 2 6 2" xfId="18313"/>
    <cellStyle name="Обычный 6 4 2 2 2 2 7" xfId="18314"/>
    <cellStyle name="Обычный 6 4 2 2 2 2 8" xfId="18315"/>
    <cellStyle name="Обычный 6 4 2 2 2 3" xfId="18316"/>
    <cellStyle name="Обычный 6 4 2 2 2 3 2" xfId="18317"/>
    <cellStyle name="Обычный 6 4 2 2 2 3 2 2" xfId="18318"/>
    <cellStyle name="Обычный 6 4 2 2 2 3 2 2 2" xfId="18319"/>
    <cellStyle name="Обычный 6 4 2 2 2 3 2 2 3" xfId="18320"/>
    <cellStyle name="Обычный 6 4 2 2 2 3 2 3" xfId="18321"/>
    <cellStyle name="Обычный 6 4 2 2 2 3 2 3 2" xfId="18322"/>
    <cellStyle name="Обычный 6 4 2 2 2 3 2 3 3" xfId="18323"/>
    <cellStyle name="Обычный 6 4 2 2 2 3 2 4" xfId="18324"/>
    <cellStyle name="Обычный 6 4 2 2 2 3 2 4 2" xfId="18325"/>
    <cellStyle name="Обычный 6 4 2 2 2 3 2 5" xfId="18326"/>
    <cellStyle name="Обычный 6 4 2 2 2 3 2 6" xfId="18327"/>
    <cellStyle name="Обычный 6 4 2 2 2 3 3" xfId="18328"/>
    <cellStyle name="Обычный 6 4 2 2 2 3 3 2" xfId="18329"/>
    <cellStyle name="Обычный 6 4 2 2 2 3 3 3" xfId="18330"/>
    <cellStyle name="Обычный 6 4 2 2 2 3 4" xfId="18331"/>
    <cellStyle name="Обычный 6 4 2 2 2 3 4 2" xfId="18332"/>
    <cellStyle name="Обычный 6 4 2 2 2 3 4 3" xfId="18333"/>
    <cellStyle name="Обычный 6 4 2 2 2 3 5" xfId="18334"/>
    <cellStyle name="Обычный 6 4 2 2 2 3 5 2" xfId="18335"/>
    <cellStyle name="Обычный 6 4 2 2 2 3 6" xfId="18336"/>
    <cellStyle name="Обычный 6 4 2 2 2 3 7" xfId="18337"/>
    <cellStyle name="Обычный 6 4 2 2 2 4" xfId="18338"/>
    <cellStyle name="Обычный 6 4 2 2 2 4 2" xfId="18339"/>
    <cellStyle name="Обычный 6 4 2 2 2 4 2 2" xfId="18340"/>
    <cellStyle name="Обычный 6 4 2 2 2 4 2 3" xfId="18341"/>
    <cellStyle name="Обычный 6 4 2 2 2 4 3" xfId="18342"/>
    <cellStyle name="Обычный 6 4 2 2 2 4 3 2" xfId="18343"/>
    <cellStyle name="Обычный 6 4 2 2 2 4 3 3" xfId="18344"/>
    <cellStyle name="Обычный 6 4 2 2 2 4 4" xfId="18345"/>
    <cellStyle name="Обычный 6 4 2 2 2 4 4 2" xfId="18346"/>
    <cellStyle name="Обычный 6 4 2 2 2 4 5" xfId="18347"/>
    <cellStyle name="Обычный 6 4 2 2 2 4 6" xfId="18348"/>
    <cellStyle name="Обычный 6 4 2 2 2 5" xfId="18349"/>
    <cellStyle name="Обычный 6 4 2 2 2 5 2" xfId="18350"/>
    <cellStyle name="Обычный 6 4 2 2 2 5 3" xfId="18351"/>
    <cellStyle name="Обычный 6 4 2 2 2 6" xfId="18352"/>
    <cellStyle name="Обычный 6 4 2 2 2 6 2" xfId="18353"/>
    <cellStyle name="Обычный 6 4 2 2 2 6 3" xfId="18354"/>
    <cellStyle name="Обычный 6 4 2 2 2 7" xfId="18355"/>
    <cellStyle name="Обычный 6 4 2 2 2 7 2" xfId="18356"/>
    <cellStyle name="Обычный 6 4 2 2 2 8" xfId="18357"/>
    <cellStyle name="Обычный 6 4 2 2 2 9" xfId="18358"/>
    <cellStyle name="Обычный 6 4 2 2 3" xfId="18359"/>
    <cellStyle name="Обычный 6 4 2 2 3 2" xfId="18360"/>
    <cellStyle name="Обычный 6 4 2 2 3 2 2" xfId="18361"/>
    <cellStyle name="Обычный 6 4 2 2 3 2 2 2" xfId="18362"/>
    <cellStyle name="Обычный 6 4 2 2 3 2 2 2 2" xfId="18363"/>
    <cellStyle name="Обычный 6 4 2 2 3 2 2 2 3" xfId="18364"/>
    <cellStyle name="Обычный 6 4 2 2 3 2 2 3" xfId="18365"/>
    <cellStyle name="Обычный 6 4 2 2 3 2 2 3 2" xfId="18366"/>
    <cellStyle name="Обычный 6 4 2 2 3 2 2 3 3" xfId="18367"/>
    <cellStyle name="Обычный 6 4 2 2 3 2 2 4" xfId="18368"/>
    <cellStyle name="Обычный 6 4 2 2 3 2 2 4 2" xfId="18369"/>
    <cellStyle name="Обычный 6 4 2 2 3 2 2 5" xfId="18370"/>
    <cellStyle name="Обычный 6 4 2 2 3 2 2 6" xfId="18371"/>
    <cellStyle name="Обычный 6 4 2 2 3 2 3" xfId="18372"/>
    <cellStyle name="Обычный 6 4 2 2 3 2 3 2" xfId="18373"/>
    <cellStyle name="Обычный 6 4 2 2 3 2 3 3" xfId="18374"/>
    <cellStyle name="Обычный 6 4 2 2 3 2 4" xfId="18375"/>
    <cellStyle name="Обычный 6 4 2 2 3 2 4 2" xfId="18376"/>
    <cellStyle name="Обычный 6 4 2 2 3 2 4 3" xfId="18377"/>
    <cellStyle name="Обычный 6 4 2 2 3 2 5" xfId="18378"/>
    <cellStyle name="Обычный 6 4 2 2 3 2 5 2" xfId="18379"/>
    <cellStyle name="Обычный 6 4 2 2 3 2 6" xfId="18380"/>
    <cellStyle name="Обычный 6 4 2 2 3 2 7" xfId="18381"/>
    <cellStyle name="Обычный 6 4 2 2 3 3" xfId="18382"/>
    <cellStyle name="Обычный 6 4 2 2 3 3 2" xfId="18383"/>
    <cellStyle name="Обычный 6 4 2 2 3 3 2 2" xfId="18384"/>
    <cellStyle name="Обычный 6 4 2 2 3 3 2 3" xfId="18385"/>
    <cellStyle name="Обычный 6 4 2 2 3 3 3" xfId="18386"/>
    <cellStyle name="Обычный 6 4 2 2 3 3 3 2" xfId="18387"/>
    <cellStyle name="Обычный 6 4 2 2 3 3 3 3" xfId="18388"/>
    <cellStyle name="Обычный 6 4 2 2 3 3 4" xfId="18389"/>
    <cellStyle name="Обычный 6 4 2 2 3 3 4 2" xfId="18390"/>
    <cellStyle name="Обычный 6 4 2 2 3 3 5" xfId="18391"/>
    <cellStyle name="Обычный 6 4 2 2 3 3 6" xfId="18392"/>
    <cellStyle name="Обычный 6 4 2 2 3 4" xfId="18393"/>
    <cellStyle name="Обычный 6 4 2 2 3 4 2" xfId="18394"/>
    <cellStyle name="Обычный 6 4 2 2 3 4 3" xfId="18395"/>
    <cellStyle name="Обычный 6 4 2 2 3 5" xfId="18396"/>
    <cellStyle name="Обычный 6 4 2 2 3 5 2" xfId="18397"/>
    <cellStyle name="Обычный 6 4 2 2 3 5 3" xfId="18398"/>
    <cellStyle name="Обычный 6 4 2 2 3 6" xfId="18399"/>
    <cellStyle name="Обычный 6 4 2 2 3 6 2" xfId="18400"/>
    <cellStyle name="Обычный 6 4 2 2 3 7" xfId="18401"/>
    <cellStyle name="Обычный 6 4 2 2 3 8" xfId="18402"/>
    <cellStyle name="Обычный 6 4 2 2 4" xfId="18403"/>
    <cellStyle name="Обычный 6 4 2 2 4 2" xfId="18404"/>
    <cellStyle name="Обычный 6 4 2 2 4 2 2" xfId="18405"/>
    <cellStyle name="Обычный 6 4 2 2 4 2 2 2" xfId="18406"/>
    <cellStyle name="Обычный 6 4 2 2 4 2 2 3" xfId="18407"/>
    <cellStyle name="Обычный 6 4 2 2 4 2 3" xfId="18408"/>
    <cellStyle name="Обычный 6 4 2 2 4 2 3 2" xfId="18409"/>
    <cellStyle name="Обычный 6 4 2 2 4 2 3 3" xfId="18410"/>
    <cellStyle name="Обычный 6 4 2 2 4 2 4" xfId="18411"/>
    <cellStyle name="Обычный 6 4 2 2 4 2 4 2" xfId="18412"/>
    <cellStyle name="Обычный 6 4 2 2 4 2 5" xfId="18413"/>
    <cellStyle name="Обычный 6 4 2 2 4 2 6" xfId="18414"/>
    <cellStyle name="Обычный 6 4 2 2 4 3" xfId="18415"/>
    <cellStyle name="Обычный 6 4 2 2 4 3 2" xfId="18416"/>
    <cellStyle name="Обычный 6 4 2 2 4 3 3" xfId="18417"/>
    <cellStyle name="Обычный 6 4 2 2 4 4" xfId="18418"/>
    <cellStyle name="Обычный 6 4 2 2 4 4 2" xfId="18419"/>
    <cellStyle name="Обычный 6 4 2 2 4 4 3" xfId="18420"/>
    <cellStyle name="Обычный 6 4 2 2 4 5" xfId="18421"/>
    <cellStyle name="Обычный 6 4 2 2 4 5 2" xfId="18422"/>
    <cellStyle name="Обычный 6 4 2 2 4 6" xfId="18423"/>
    <cellStyle name="Обычный 6 4 2 2 4 7" xfId="18424"/>
    <cellStyle name="Обычный 6 4 2 2 5" xfId="18425"/>
    <cellStyle name="Обычный 6 4 2 2 5 2" xfId="18426"/>
    <cellStyle name="Обычный 6 4 2 2 5 2 2" xfId="18427"/>
    <cellStyle name="Обычный 6 4 2 2 5 2 3" xfId="18428"/>
    <cellStyle name="Обычный 6 4 2 2 5 3" xfId="18429"/>
    <cellStyle name="Обычный 6 4 2 2 5 3 2" xfId="18430"/>
    <cellStyle name="Обычный 6 4 2 2 5 3 3" xfId="18431"/>
    <cellStyle name="Обычный 6 4 2 2 5 4" xfId="18432"/>
    <cellStyle name="Обычный 6 4 2 2 5 4 2" xfId="18433"/>
    <cellStyle name="Обычный 6 4 2 2 5 5" xfId="18434"/>
    <cellStyle name="Обычный 6 4 2 2 5 6" xfId="18435"/>
    <cellStyle name="Обычный 6 4 2 2 6" xfId="18436"/>
    <cellStyle name="Обычный 6 4 2 2 6 2" xfId="18437"/>
    <cellStyle name="Обычный 6 4 2 2 6 3" xfId="18438"/>
    <cellStyle name="Обычный 6 4 2 2 7" xfId="18439"/>
    <cellStyle name="Обычный 6 4 2 2 7 2" xfId="18440"/>
    <cellStyle name="Обычный 6 4 2 2 7 3" xfId="18441"/>
    <cellStyle name="Обычный 6 4 2 2 8" xfId="18442"/>
    <cellStyle name="Обычный 6 4 2 2 8 2" xfId="18443"/>
    <cellStyle name="Обычный 6 4 2 2 9" xfId="18444"/>
    <cellStyle name="Обычный 6 4 2 3" xfId="18445"/>
    <cellStyle name="Обычный 6 4 2 3 10" xfId="18446"/>
    <cellStyle name="Обычный 6 4 2 3 2" xfId="18447"/>
    <cellStyle name="Обычный 6 4 2 3 2 2" xfId="18448"/>
    <cellStyle name="Обычный 6 4 2 3 2 2 2" xfId="18449"/>
    <cellStyle name="Обычный 6 4 2 3 2 2 2 2" xfId="18450"/>
    <cellStyle name="Обычный 6 4 2 3 2 2 2 2 2" xfId="18451"/>
    <cellStyle name="Обычный 6 4 2 3 2 2 2 2 2 2" xfId="18452"/>
    <cellStyle name="Обычный 6 4 2 3 2 2 2 2 2 3" xfId="18453"/>
    <cellStyle name="Обычный 6 4 2 3 2 2 2 2 3" xfId="18454"/>
    <cellStyle name="Обычный 6 4 2 3 2 2 2 2 3 2" xfId="18455"/>
    <cellStyle name="Обычный 6 4 2 3 2 2 2 2 3 3" xfId="18456"/>
    <cellStyle name="Обычный 6 4 2 3 2 2 2 2 4" xfId="18457"/>
    <cellStyle name="Обычный 6 4 2 3 2 2 2 2 4 2" xfId="18458"/>
    <cellStyle name="Обычный 6 4 2 3 2 2 2 2 5" xfId="18459"/>
    <cellStyle name="Обычный 6 4 2 3 2 2 2 2 6" xfId="18460"/>
    <cellStyle name="Обычный 6 4 2 3 2 2 2 3" xfId="18461"/>
    <cellStyle name="Обычный 6 4 2 3 2 2 2 3 2" xfId="18462"/>
    <cellStyle name="Обычный 6 4 2 3 2 2 2 3 3" xfId="18463"/>
    <cellStyle name="Обычный 6 4 2 3 2 2 2 4" xfId="18464"/>
    <cellStyle name="Обычный 6 4 2 3 2 2 2 4 2" xfId="18465"/>
    <cellStyle name="Обычный 6 4 2 3 2 2 2 4 3" xfId="18466"/>
    <cellStyle name="Обычный 6 4 2 3 2 2 2 5" xfId="18467"/>
    <cellStyle name="Обычный 6 4 2 3 2 2 2 5 2" xfId="18468"/>
    <cellStyle name="Обычный 6 4 2 3 2 2 2 6" xfId="18469"/>
    <cellStyle name="Обычный 6 4 2 3 2 2 2 7" xfId="18470"/>
    <cellStyle name="Обычный 6 4 2 3 2 2 3" xfId="18471"/>
    <cellStyle name="Обычный 6 4 2 3 2 2 3 2" xfId="18472"/>
    <cellStyle name="Обычный 6 4 2 3 2 2 3 2 2" xfId="18473"/>
    <cellStyle name="Обычный 6 4 2 3 2 2 3 2 3" xfId="18474"/>
    <cellStyle name="Обычный 6 4 2 3 2 2 3 3" xfId="18475"/>
    <cellStyle name="Обычный 6 4 2 3 2 2 3 3 2" xfId="18476"/>
    <cellStyle name="Обычный 6 4 2 3 2 2 3 3 3" xfId="18477"/>
    <cellStyle name="Обычный 6 4 2 3 2 2 3 4" xfId="18478"/>
    <cellStyle name="Обычный 6 4 2 3 2 2 3 4 2" xfId="18479"/>
    <cellStyle name="Обычный 6 4 2 3 2 2 3 5" xfId="18480"/>
    <cellStyle name="Обычный 6 4 2 3 2 2 3 6" xfId="18481"/>
    <cellStyle name="Обычный 6 4 2 3 2 2 4" xfId="18482"/>
    <cellStyle name="Обычный 6 4 2 3 2 2 4 2" xfId="18483"/>
    <cellStyle name="Обычный 6 4 2 3 2 2 4 3" xfId="18484"/>
    <cellStyle name="Обычный 6 4 2 3 2 2 5" xfId="18485"/>
    <cellStyle name="Обычный 6 4 2 3 2 2 5 2" xfId="18486"/>
    <cellStyle name="Обычный 6 4 2 3 2 2 5 3" xfId="18487"/>
    <cellStyle name="Обычный 6 4 2 3 2 2 6" xfId="18488"/>
    <cellStyle name="Обычный 6 4 2 3 2 2 6 2" xfId="18489"/>
    <cellStyle name="Обычный 6 4 2 3 2 2 7" xfId="18490"/>
    <cellStyle name="Обычный 6 4 2 3 2 2 8" xfId="18491"/>
    <cellStyle name="Обычный 6 4 2 3 2 3" xfId="18492"/>
    <cellStyle name="Обычный 6 4 2 3 2 3 2" xfId="18493"/>
    <cellStyle name="Обычный 6 4 2 3 2 3 2 2" xfId="18494"/>
    <cellStyle name="Обычный 6 4 2 3 2 3 2 2 2" xfId="18495"/>
    <cellStyle name="Обычный 6 4 2 3 2 3 2 2 3" xfId="18496"/>
    <cellStyle name="Обычный 6 4 2 3 2 3 2 3" xfId="18497"/>
    <cellStyle name="Обычный 6 4 2 3 2 3 2 3 2" xfId="18498"/>
    <cellStyle name="Обычный 6 4 2 3 2 3 2 3 3" xfId="18499"/>
    <cellStyle name="Обычный 6 4 2 3 2 3 2 4" xfId="18500"/>
    <cellStyle name="Обычный 6 4 2 3 2 3 2 4 2" xfId="18501"/>
    <cellStyle name="Обычный 6 4 2 3 2 3 2 5" xfId="18502"/>
    <cellStyle name="Обычный 6 4 2 3 2 3 2 6" xfId="18503"/>
    <cellStyle name="Обычный 6 4 2 3 2 3 3" xfId="18504"/>
    <cellStyle name="Обычный 6 4 2 3 2 3 3 2" xfId="18505"/>
    <cellStyle name="Обычный 6 4 2 3 2 3 3 3" xfId="18506"/>
    <cellStyle name="Обычный 6 4 2 3 2 3 4" xfId="18507"/>
    <cellStyle name="Обычный 6 4 2 3 2 3 4 2" xfId="18508"/>
    <cellStyle name="Обычный 6 4 2 3 2 3 4 3" xfId="18509"/>
    <cellStyle name="Обычный 6 4 2 3 2 3 5" xfId="18510"/>
    <cellStyle name="Обычный 6 4 2 3 2 3 5 2" xfId="18511"/>
    <cellStyle name="Обычный 6 4 2 3 2 3 6" xfId="18512"/>
    <cellStyle name="Обычный 6 4 2 3 2 3 7" xfId="18513"/>
    <cellStyle name="Обычный 6 4 2 3 2 4" xfId="18514"/>
    <cellStyle name="Обычный 6 4 2 3 2 4 2" xfId="18515"/>
    <cellStyle name="Обычный 6 4 2 3 2 4 2 2" xfId="18516"/>
    <cellStyle name="Обычный 6 4 2 3 2 4 2 3" xfId="18517"/>
    <cellStyle name="Обычный 6 4 2 3 2 4 3" xfId="18518"/>
    <cellStyle name="Обычный 6 4 2 3 2 4 3 2" xfId="18519"/>
    <cellStyle name="Обычный 6 4 2 3 2 4 3 3" xfId="18520"/>
    <cellStyle name="Обычный 6 4 2 3 2 4 4" xfId="18521"/>
    <cellStyle name="Обычный 6 4 2 3 2 4 4 2" xfId="18522"/>
    <cellStyle name="Обычный 6 4 2 3 2 4 5" xfId="18523"/>
    <cellStyle name="Обычный 6 4 2 3 2 4 6" xfId="18524"/>
    <cellStyle name="Обычный 6 4 2 3 2 5" xfId="18525"/>
    <cellStyle name="Обычный 6 4 2 3 2 5 2" xfId="18526"/>
    <cellStyle name="Обычный 6 4 2 3 2 5 3" xfId="18527"/>
    <cellStyle name="Обычный 6 4 2 3 2 6" xfId="18528"/>
    <cellStyle name="Обычный 6 4 2 3 2 6 2" xfId="18529"/>
    <cellStyle name="Обычный 6 4 2 3 2 6 3" xfId="18530"/>
    <cellStyle name="Обычный 6 4 2 3 2 7" xfId="18531"/>
    <cellStyle name="Обычный 6 4 2 3 2 7 2" xfId="18532"/>
    <cellStyle name="Обычный 6 4 2 3 2 8" xfId="18533"/>
    <cellStyle name="Обычный 6 4 2 3 2 9" xfId="18534"/>
    <cellStyle name="Обычный 6 4 2 3 3" xfId="18535"/>
    <cellStyle name="Обычный 6 4 2 3 3 2" xfId="18536"/>
    <cellStyle name="Обычный 6 4 2 3 3 2 2" xfId="18537"/>
    <cellStyle name="Обычный 6 4 2 3 3 2 2 2" xfId="18538"/>
    <cellStyle name="Обычный 6 4 2 3 3 2 2 2 2" xfId="18539"/>
    <cellStyle name="Обычный 6 4 2 3 3 2 2 2 3" xfId="18540"/>
    <cellStyle name="Обычный 6 4 2 3 3 2 2 3" xfId="18541"/>
    <cellStyle name="Обычный 6 4 2 3 3 2 2 3 2" xfId="18542"/>
    <cellStyle name="Обычный 6 4 2 3 3 2 2 3 3" xfId="18543"/>
    <cellStyle name="Обычный 6 4 2 3 3 2 2 4" xfId="18544"/>
    <cellStyle name="Обычный 6 4 2 3 3 2 2 4 2" xfId="18545"/>
    <cellStyle name="Обычный 6 4 2 3 3 2 2 5" xfId="18546"/>
    <cellStyle name="Обычный 6 4 2 3 3 2 2 6" xfId="18547"/>
    <cellStyle name="Обычный 6 4 2 3 3 2 3" xfId="18548"/>
    <cellStyle name="Обычный 6 4 2 3 3 2 3 2" xfId="18549"/>
    <cellStyle name="Обычный 6 4 2 3 3 2 3 3" xfId="18550"/>
    <cellStyle name="Обычный 6 4 2 3 3 2 4" xfId="18551"/>
    <cellStyle name="Обычный 6 4 2 3 3 2 4 2" xfId="18552"/>
    <cellStyle name="Обычный 6 4 2 3 3 2 4 3" xfId="18553"/>
    <cellStyle name="Обычный 6 4 2 3 3 2 5" xfId="18554"/>
    <cellStyle name="Обычный 6 4 2 3 3 2 5 2" xfId="18555"/>
    <cellStyle name="Обычный 6 4 2 3 3 2 6" xfId="18556"/>
    <cellStyle name="Обычный 6 4 2 3 3 2 7" xfId="18557"/>
    <cellStyle name="Обычный 6 4 2 3 3 3" xfId="18558"/>
    <cellStyle name="Обычный 6 4 2 3 3 3 2" xfId="18559"/>
    <cellStyle name="Обычный 6 4 2 3 3 3 2 2" xfId="18560"/>
    <cellStyle name="Обычный 6 4 2 3 3 3 2 3" xfId="18561"/>
    <cellStyle name="Обычный 6 4 2 3 3 3 3" xfId="18562"/>
    <cellStyle name="Обычный 6 4 2 3 3 3 3 2" xfId="18563"/>
    <cellStyle name="Обычный 6 4 2 3 3 3 3 3" xfId="18564"/>
    <cellStyle name="Обычный 6 4 2 3 3 3 4" xfId="18565"/>
    <cellStyle name="Обычный 6 4 2 3 3 3 4 2" xfId="18566"/>
    <cellStyle name="Обычный 6 4 2 3 3 3 5" xfId="18567"/>
    <cellStyle name="Обычный 6 4 2 3 3 3 6" xfId="18568"/>
    <cellStyle name="Обычный 6 4 2 3 3 4" xfId="18569"/>
    <cellStyle name="Обычный 6 4 2 3 3 4 2" xfId="18570"/>
    <cellStyle name="Обычный 6 4 2 3 3 4 3" xfId="18571"/>
    <cellStyle name="Обычный 6 4 2 3 3 5" xfId="18572"/>
    <cellStyle name="Обычный 6 4 2 3 3 5 2" xfId="18573"/>
    <cellStyle name="Обычный 6 4 2 3 3 5 3" xfId="18574"/>
    <cellStyle name="Обычный 6 4 2 3 3 6" xfId="18575"/>
    <cellStyle name="Обычный 6 4 2 3 3 6 2" xfId="18576"/>
    <cellStyle name="Обычный 6 4 2 3 3 7" xfId="18577"/>
    <cellStyle name="Обычный 6 4 2 3 3 8" xfId="18578"/>
    <cellStyle name="Обычный 6 4 2 3 4" xfId="18579"/>
    <cellStyle name="Обычный 6 4 2 3 4 2" xfId="18580"/>
    <cellStyle name="Обычный 6 4 2 3 4 2 2" xfId="18581"/>
    <cellStyle name="Обычный 6 4 2 3 4 2 2 2" xfId="18582"/>
    <cellStyle name="Обычный 6 4 2 3 4 2 2 3" xfId="18583"/>
    <cellStyle name="Обычный 6 4 2 3 4 2 3" xfId="18584"/>
    <cellStyle name="Обычный 6 4 2 3 4 2 3 2" xfId="18585"/>
    <cellStyle name="Обычный 6 4 2 3 4 2 3 3" xfId="18586"/>
    <cellStyle name="Обычный 6 4 2 3 4 2 4" xfId="18587"/>
    <cellStyle name="Обычный 6 4 2 3 4 2 4 2" xfId="18588"/>
    <cellStyle name="Обычный 6 4 2 3 4 2 5" xfId="18589"/>
    <cellStyle name="Обычный 6 4 2 3 4 2 6" xfId="18590"/>
    <cellStyle name="Обычный 6 4 2 3 4 3" xfId="18591"/>
    <cellStyle name="Обычный 6 4 2 3 4 3 2" xfId="18592"/>
    <cellStyle name="Обычный 6 4 2 3 4 3 3" xfId="18593"/>
    <cellStyle name="Обычный 6 4 2 3 4 4" xfId="18594"/>
    <cellStyle name="Обычный 6 4 2 3 4 4 2" xfId="18595"/>
    <cellStyle name="Обычный 6 4 2 3 4 4 3" xfId="18596"/>
    <cellStyle name="Обычный 6 4 2 3 4 5" xfId="18597"/>
    <cellStyle name="Обычный 6 4 2 3 4 5 2" xfId="18598"/>
    <cellStyle name="Обычный 6 4 2 3 4 6" xfId="18599"/>
    <cellStyle name="Обычный 6 4 2 3 4 7" xfId="18600"/>
    <cellStyle name="Обычный 6 4 2 3 5" xfId="18601"/>
    <cellStyle name="Обычный 6 4 2 3 5 2" xfId="18602"/>
    <cellStyle name="Обычный 6 4 2 3 5 2 2" xfId="18603"/>
    <cellStyle name="Обычный 6 4 2 3 5 2 3" xfId="18604"/>
    <cellStyle name="Обычный 6 4 2 3 5 3" xfId="18605"/>
    <cellStyle name="Обычный 6 4 2 3 5 3 2" xfId="18606"/>
    <cellStyle name="Обычный 6 4 2 3 5 3 3" xfId="18607"/>
    <cellStyle name="Обычный 6 4 2 3 5 4" xfId="18608"/>
    <cellStyle name="Обычный 6 4 2 3 5 4 2" xfId="18609"/>
    <cellStyle name="Обычный 6 4 2 3 5 5" xfId="18610"/>
    <cellStyle name="Обычный 6 4 2 3 5 6" xfId="18611"/>
    <cellStyle name="Обычный 6 4 2 3 6" xfId="18612"/>
    <cellStyle name="Обычный 6 4 2 3 6 2" xfId="18613"/>
    <cellStyle name="Обычный 6 4 2 3 6 3" xfId="18614"/>
    <cellStyle name="Обычный 6 4 2 3 7" xfId="18615"/>
    <cellStyle name="Обычный 6 4 2 3 7 2" xfId="18616"/>
    <cellStyle name="Обычный 6 4 2 3 7 3" xfId="18617"/>
    <cellStyle name="Обычный 6 4 2 3 8" xfId="18618"/>
    <cellStyle name="Обычный 6 4 2 3 8 2" xfId="18619"/>
    <cellStyle name="Обычный 6 4 2 3 9" xfId="18620"/>
    <cellStyle name="Обычный 6 4 2 4" xfId="18621"/>
    <cellStyle name="Обычный 6 4 2 4 10" xfId="18622"/>
    <cellStyle name="Обычный 6 4 2 4 2" xfId="18623"/>
    <cellStyle name="Обычный 6 4 2 4 2 2" xfId="18624"/>
    <cellStyle name="Обычный 6 4 2 4 2 2 2" xfId="18625"/>
    <cellStyle name="Обычный 6 4 2 4 2 2 2 2" xfId="18626"/>
    <cellStyle name="Обычный 6 4 2 4 2 2 2 2 2" xfId="18627"/>
    <cellStyle name="Обычный 6 4 2 4 2 2 2 2 2 2" xfId="18628"/>
    <cellStyle name="Обычный 6 4 2 4 2 2 2 2 2 3" xfId="18629"/>
    <cellStyle name="Обычный 6 4 2 4 2 2 2 2 3" xfId="18630"/>
    <cellStyle name="Обычный 6 4 2 4 2 2 2 2 3 2" xfId="18631"/>
    <cellStyle name="Обычный 6 4 2 4 2 2 2 2 3 3" xfId="18632"/>
    <cellStyle name="Обычный 6 4 2 4 2 2 2 2 4" xfId="18633"/>
    <cellStyle name="Обычный 6 4 2 4 2 2 2 2 4 2" xfId="18634"/>
    <cellStyle name="Обычный 6 4 2 4 2 2 2 2 5" xfId="18635"/>
    <cellStyle name="Обычный 6 4 2 4 2 2 2 2 6" xfId="18636"/>
    <cellStyle name="Обычный 6 4 2 4 2 2 2 3" xfId="18637"/>
    <cellStyle name="Обычный 6 4 2 4 2 2 2 3 2" xfId="18638"/>
    <cellStyle name="Обычный 6 4 2 4 2 2 2 3 3" xfId="18639"/>
    <cellStyle name="Обычный 6 4 2 4 2 2 2 4" xfId="18640"/>
    <cellStyle name="Обычный 6 4 2 4 2 2 2 4 2" xfId="18641"/>
    <cellStyle name="Обычный 6 4 2 4 2 2 2 4 3" xfId="18642"/>
    <cellStyle name="Обычный 6 4 2 4 2 2 2 5" xfId="18643"/>
    <cellStyle name="Обычный 6 4 2 4 2 2 2 5 2" xfId="18644"/>
    <cellStyle name="Обычный 6 4 2 4 2 2 2 6" xfId="18645"/>
    <cellStyle name="Обычный 6 4 2 4 2 2 2 7" xfId="18646"/>
    <cellStyle name="Обычный 6 4 2 4 2 2 3" xfId="18647"/>
    <cellStyle name="Обычный 6 4 2 4 2 2 3 2" xfId="18648"/>
    <cellStyle name="Обычный 6 4 2 4 2 2 3 2 2" xfId="18649"/>
    <cellStyle name="Обычный 6 4 2 4 2 2 3 2 3" xfId="18650"/>
    <cellStyle name="Обычный 6 4 2 4 2 2 3 3" xfId="18651"/>
    <cellStyle name="Обычный 6 4 2 4 2 2 3 3 2" xfId="18652"/>
    <cellStyle name="Обычный 6 4 2 4 2 2 3 3 3" xfId="18653"/>
    <cellStyle name="Обычный 6 4 2 4 2 2 3 4" xfId="18654"/>
    <cellStyle name="Обычный 6 4 2 4 2 2 3 4 2" xfId="18655"/>
    <cellStyle name="Обычный 6 4 2 4 2 2 3 5" xfId="18656"/>
    <cellStyle name="Обычный 6 4 2 4 2 2 3 6" xfId="18657"/>
    <cellStyle name="Обычный 6 4 2 4 2 2 4" xfId="18658"/>
    <cellStyle name="Обычный 6 4 2 4 2 2 4 2" xfId="18659"/>
    <cellStyle name="Обычный 6 4 2 4 2 2 4 3" xfId="18660"/>
    <cellStyle name="Обычный 6 4 2 4 2 2 5" xfId="18661"/>
    <cellStyle name="Обычный 6 4 2 4 2 2 5 2" xfId="18662"/>
    <cellStyle name="Обычный 6 4 2 4 2 2 5 3" xfId="18663"/>
    <cellStyle name="Обычный 6 4 2 4 2 2 6" xfId="18664"/>
    <cellStyle name="Обычный 6 4 2 4 2 2 6 2" xfId="18665"/>
    <cellStyle name="Обычный 6 4 2 4 2 2 7" xfId="18666"/>
    <cellStyle name="Обычный 6 4 2 4 2 2 8" xfId="18667"/>
    <cellStyle name="Обычный 6 4 2 4 2 3" xfId="18668"/>
    <cellStyle name="Обычный 6 4 2 4 2 3 2" xfId="18669"/>
    <cellStyle name="Обычный 6 4 2 4 2 3 2 2" xfId="18670"/>
    <cellStyle name="Обычный 6 4 2 4 2 3 2 2 2" xfId="18671"/>
    <cellStyle name="Обычный 6 4 2 4 2 3 2 2 3" xfId="18672"/>
    <cellStyle name="Обычный 6 4 2 4 2 3 2 3" xfId="18673"/>
    <cellStyle name="Обычный 6 4 2 4 2 3 2 3 2" xfId="18674"/>
    <cellStyle name="Обычный 6 4 2 4 2 3 2 3 3" xfId="18675"/>
    <cellStyle name="Обычный 6 4 2 4 2 3 2 4" xfId="18676"/>
    <cellStyle name="Обычный 6 4 2 4 2 3 2 4 2" xfId="18677"/>
    <cellStyle name="Обычный 6 4 2 4 2 3 2 5" xfId="18678"/>
    <cellStyle name="Обычный 6 4 2 4 2 3 2 6" xfId="18679"/>
    <cellStyle name="Обычный 6 4 2 4 2 3 3" xfId="18680"/>
    <cellStyle name="Обычный 6 4 2 4 2 3 3 2" xfId="18681"/>
    <cellStyle name="Обычный 6 4 2 4 2 3 3 3" xfId="18682"/>
    <cellStyle name="Обычный 6 4 2 4 2 3 4" xfId="18683"/>
    <cellStyle name="Обычный 6 4 2 4 2 3 4 2" xfId="18684"/>
    <cellStyle name="Обычный 6 4 2 4 2 3 4 3" xfId="18685"/>
    <cellStyle name="Обычный 6 4 2 4 2 3 5" xfId="18686"/>
    <cellStyle name="Обычный 6 4 2 4 2 3 5 2" xfId="18687"/>
    <cellStyle name="Обычный 6 4 2 4 2 3 6" xfId="18688"/>
    <cellStyle name="Обычный 6 4 2 4 2 3 7" xfId="18689"/>
    <cellStyle name="Обычный 6 4 2 4 2 4" xfId="18690"/>
    <cellStyle name="Обычный 6 4 2 4 2 4 2" xfId="18691"/>
    <cellStyle name="Обычный 6 4 2 4 2 4 2 2" xfId="18692"/>
    <cellStyle name="Обычный 6 4 2 4 2 4 2 3" xfId="18693"/>
    <cellStyle name="Обычный 6 4 2 4 2 4 3" xfId="18694"/>
    <cellStyle name="Обычный 6 4 2 4 2 4 3 2" xfId="18695"/>
    <cellStyle name="Обычный 6 4 2 4 2 4 3 3" xfId="18696"/>
    <cellStyle name="Обычный 6 4 2 4 2 4 4" xfId="18697"/>
    <cellStyle name="Обычный 6 4 2 4 2 4 4 2" xfId="18698"/>
    <cellStyle name="Обычный 6 4 2 4 2 4 5" xfId="18699"/>
    <cellStyle name="Обычный 6 4 2 4 2 4 6" xfId="18700"/>
    <cellStyle name="Обычный 6 4 2 4 2 5" xfId="18701"/>
    <cellStyle name="Обычный 6 4 2 4 2 5 2" xfId="18702"/>
    <cellStyle name="Обычный 6 4 2 4 2 5 3" xfId="18703"/>
    <cellStyle name="Обычный 6 4 2 4 2 6" xfId="18704"/>
    <cellStyle name="Обычный 6 4 2 4 2 6 2" xfId="18705"/>
    <cellStyle name="Обычный 6 4 2 4 2 6 3" xfId="18706"/>
    <cellStyle name="Обычный 6 4 2 4 2 7" xfId="18707"/>
    <cellStyle name="Обычный 6 4 2 4 2 7 2" xfId="18708"/>
    <cellStyle name="Обычный 6 4 2 4 2 8" xfId="18709"/>
    <cellStyle name="Обычный 6 4 2 4 2 9" xfId="18710"/>
    <cellStyle name="Обычный 6 4 2 4 3" xfId="18711"/>
    <cellStyle name="Обычный 6 4 2 4 3 2" xfId="18712"/>
    <cellStyle name="Обычный 6 4 2 4 3 2 2" xfId="18713"/>
    <cellStyle name="Обычный 6 4 2 4 3 2 2 2" xfId="18714"/>
    <cellStyle name="Обычный 6 4 2 4 3 2 2 2 2" xfId="18715"/>
    <cellStyle name="Обычный 6 4 2 4 3 2 2 2 3" xfId="18716"/>
    <cellStyle name="Обычный 6 4 2 4 3 2 2 3" xfId="18717"/>
    <cellStyle name="Обычный 6 4 2 4 3 2 2 3 2" xfId="18718"/>
    <cellStyle name="Обычный 6 4 2 4 3 2 2 3 3" xfId="18719"/>
    <cellStyle name="Обычный 6 4 2 4 3 2 2 4" xfId="18720"/>
    <cellStyle name="Обычный 6 4 2 4 3 2 2 4 2" xfId="18721"/>
    <cellStyle name="Обычный 6 4 2 4 3 2 2 5" xfId="18722"/>
    <cellStyle name="Обычный 6 4 2 4 3 2 2 6" xfId="18723"/>
    <cellStyle name="Обычный 6 4 2 4 3 2 3" xfId="18724"/>
    <cellStyle name="Обычный 6 4 2 4 3 2 3 2" xfId="18725"/>
    <cellStyle name="Обычный 6 4 2 4 3 2 3 3" xfId="18726"/>
    <cellStyle name="Обычный 6 4 2 4 3 2 4" xfId="18727"/>
    <cellStyle name="Обычный 6 4 2 4 3 2 4 2" xfId="18728"/>
    <cellStyle name="Обычный 6 4 2 4 3 2 4 3" xfId="18729"/>
    <cellStyle name="Обычный 6 4 2 4 3 2 5" xfId="18730"/>
    <cellStyle name="Обычный 6 4 2 4 3 2 5 2" xfId="18731"/>
    <cellStyle name="Обычный 6 4 2 4 3 2 6" xfId="18732"/>
    <cellStyle name="Обычный 6 4 2 4 3 2 7" xfId="18733"/>
    <cellStyle name="Обычный 6 4 2 4 3 3" xfId="18734"/>
    <cellStyle name="Обычный 6 4 2 4 3 3 2" xfId="18735"/>
    <cellStyle name="Обычный 6 4 2 4 3 3 2 2" xfId="18736"/>
    <cellStyle name="Обычный 6 4 2 4 3 3 2 3" xfId="18737"/>
    <cellStyle name="Обычный 6 4 2 4 3 3 3" xfId="18738"/>
    <cellStyle name="Обычный 6 4 2 4 3 3 3 2" xfId="18739"/>
    <cellStyle name="Обычный 6 4 2 4 3 3 3 3" xfId="18740"/>
    <cellStyle name="Обычный 6 4 2 4 3 3 4" xfId="18741"/>
    <cellStyle name="Обычный 6 4 2 4 3 3 4 2" xfId="18742"/>
    <cellStyle name="Обычный 6 4 2 4 3 3 5" xfId="18743"/>
    <cellStyle name="Обычный 6 4 2 4 3 3 6" xfId="18744"/>
    <cellStyle name="Обычный 6 4 2 4 3 4" xfId="18745"/>
    <cellStyle name="Обычный 6 4 2 4 3 4 2" xfId="18746"/>
    <cellStyle name="Обычный 6 4 2 4 3 4 3" xfId="18747"/>
    <cellStyle name="Обычный 6 4 2 4 3 5" xfId="18748"/>
    <cellStyle name="Обычный 6 4 2 4 3 5 2" xfId="18749"/>
    <cellStyle name="Обычный 6 4 2 4 3 5 3" xfId="18750"/>
    <cellStyle name="Обычный 6 4 2 4 3 6" xfId="18751"/>
    <cellStyle name="Обычный 6 4 2 4 3 6 2" xfId="18752"/>
    <cellStyle name="Обычный 6 4 2 4 3 7" xfId="18753"/>
    <cellStyle name="Обычный 6 4 2 4 3 8" xfId="18754"/>
    <cellStyle name="Обычный 6 4 2 4 4" xfId="18755"/>
    <cellStyle name="Обычный 6 4 2 4 4 2" xfId="18756"/>
    <cellStyle name="Обычный 6 4 2 4 4 2 2" xfId="18757"/>
    <cellStyle name="Обычный 6 4 2 4 4 2 2 2" xfId="18758"/>
    <cellStyle name="Обычный 6 4 2 4 4 2 2 3" xfId="18759"/>
    <cellStyle name="Обычный 6 4 2 4 4 2 3" xfId="18760"/>
    <cellStyle name="Обычный 6 4 2 4 4 2 3 2" xfId="18761"/>
    <cellStyle name="Обычный 6 4 2 4 4 2 3 3" xfId="18762"/>
    <cellStyle name="Обычный 6 4 2 4 4 2 4" xfId="18763"/>
    <cellStyle name="Обычный 6 4 2 4 4 2 4 2" xfId="18764"/>
    <cellStyle name="Обычный 6 4 2 4 4 2 5" xfId="18765"/>
    <cellStyle name="Обычный 6 4 2 4 4 2 6" xfId="18766"/>
    <cellStyle name="Обычный 6 4 2 4 4 3" xfId="18767"/>
    <cellStyle name="Обычный 6 4 2 4 4 3 2" xfId="18768"/>
    <cellStyle name="Обычный 6 4 2 4 4 3 3" xfId="18769"/>
    <cellStyle name="Обычный 6 4 2 4 4 4" xfId="18770"/>
    <cellStyle name="Обычный 6 4 2 4 4 4 2" xfId="18771"/>
    <cellStyle name="Обычный 6 4 2 4 4 4 3" xfId="18772"/>
    <cellStyle name="Обычный 6 4 2 4 4 5" xfId="18773"/>
    <cellStyle name="Обычный 6 4 2 4 4 5 2" xfId="18774"/>
    <cellStyle name="Обычный 6 4 2 4 4 6" xfId="18775"/>
    <cellStyle name="Обычный 6 4 2 4 4 7" xfId="18776"/>
    <cellStyle name="Обычный 6 4 2 4 5" xfId="18777"/>
    <cellStyle name="Обычный 6 4 2 4 5 2" xfId="18778"/>
    <cellStyle name="Обычный 6 4 2 4 5 2 2" xfId="18779"/>
    <cellStyle name="Обычный 6 4 2 4 5 2 3" xfId="18780"/>
    <cellStyle name="Обычный 6 4 2 4 5 3" xfId="18781"/>
    <cellStyle name="Обычный 6 4 2 4 5 3 2" xfId="18782"/>
    <cellStyle name="Обычный 6 4 2 4 5 3 3" xfId="18783"/>
    <cellStyle name="Обычный 6 4 2 4 5 4" xfId="18784"/>
    <cellStyle name="Обычный 6 4 2 4 5 4 2" xfId="18785"/>
    <cellStyle name="Обычный 6 4 2 4 5 5" xfId="18786"/>
    <cellStyle name="Обычный 6 4 2 4 5 6" xfId="18787"/>
    <cellStyle name="Обычный 6 4 2 4 6" xfId="18788"/>
    <cellStyle name="Обычный 6 4 2 4 6 2" xfId="18789"/>
    <cellStyle name="Обычный 6 4 2 4 6 3" xfId="18790"/>
    <cellStyle name="Обычный 6 4 2 4 7" xfId="18791"/>
    <cellStyle name="Обычный 6 4 2 4 7 2" xfId="18792"/>
    <cellStyle name="Обычный 6 4 2 4 7 3" xfId="18793"/>
    <cellStyle name="Обычный 6 4 2 4 8" xfId="18794"/>
    <cellStyle name="Обычный 6 4 2 4 8 2" xfId="18795"/>
    <cellStyle name="Обычный 6 4 2 4 9" xfId="18796"/>
    <cellStyle name="Обычный 6 4 2 5" xfId="18797"/>
    <cellStyle name="Обычный 6 4 2 5 2" xfId="18798"/>
    <cellStyle name="Обычный 6 4 2 5 2 2" xfId="18799"/>
    <cellStyle name="Обычный 6 4 2 5 2 2 2" xfId="18800"/>
    <cellStyle name="Обычный 6 4 2 5 2 2 2 2" xfId="18801"/>
    <cellStyle name="Обычный 6 4 2 5 2 2 2 2 2" xfId="18802"/>
    <cellStyle name="Обычный 6 4 2 5 2 2 2 2 3" xfId="18803"/>
    <cellStyle name="Обычный 6 4 2 5 2 2 2 3" xfId="18804"/>
    <cellStyle name="Обычный 6 4 2 5 2 2 2 3 2" xfId="18805"/>
    <cellStyle name="Обычный 6 4 2 5 2 2 2 3 3" xfId="18806"/>
    <cellStyle name="Обычный 6 4 2 5 2 2 2 4" xfId="18807"/>
    <cellStyle name="Обычный 6 4 2 5 2 2 2 4 2" xfId="18808"/>
    <cellStyle name="Обычный 6 4 2 5 2 2 2 5" xfId="18809"/>
    <cellStyle name="Обычный 6 4 2 5 2 2 2 6" xfId="18810"/>
    <cellStyle name="Обычный 6 4 2 5 2 2 3" xfId="18811"/>
    <cellStyle name="Обычный 6 4 2 5 2 2 3 2" xfId="18812"/>
    <cellStyle name="Обычный 6 4 2 5 2 2 3 3" xfId="18813"/>
    <cellStyle name="Обычный 6 4 2 5 2 2 4" xfId="18814"/>
    <cellStyle name="Обычный 6 4 2 5 2 2 4 2" xfId="18815"/>
    <cellStyle name="Обычный 6 4 2 5 2 2 4 3" xfId="18816"/>
    <cellStyle name="Обычный 6 4 2 5 2 2 5" xfId="18817"/>
    <cellStyle name="Обычный 6 4 2 5 2 2 5 2" xfId="18818"/>
    <cellStyle name="Обычный 6 4 2 5 2 2 6" xfId="18819"/>
    <cellStyle name="Обычный 6 4 2 5 2 2 7" xfId="18820"/>
    <cellStyle name="Обычный 6 4 2 5 2 3" xfId="18821"/>
    <cellStyle name="Обычный 6 4 2 5 2 3 2" xfId="18822"/>
    <cellStyle name="Обычный 6 4 2 5 2 3 2 2" xfId="18823"/>
    <cellStyle name="Обычный 6 4 2 5 2 3 2 3" xfId="18824"/>
    <cellStyle name="Обычный 6 4 2 5 2 3 3" xfId="18825"/>
    <cellStyle name="Обычный 6 4 2 5 2 3 3 2" xfId="18826"/>
    <cellStyle name="Обычный 6 4 2 5 2 3 3 3" xfId="18827"/>
    <cellStyle name="Обычный 6 4 2 5 2 3 4" xfId="18828"/>
    <cellStyle name="Обычный 6 4 2 5 2 3 4 2" xfId="18829"/>
    <cellStyle name="Обычный 6 4 2 5 2 3 5" xfId="18830"/>
    <cellStyle name="Обычный 6 4 2 5 2 3 6" xfId="18831"/>
    <cellStyle name="Обычный 6 4 2 5 2 4" xfId="18832"/>
    <cellStyle name="Обычный 6 4 2 5 2 4 2" xfId="18833"/>
    <cellStyle name="Обычный 6 4 2 5 2 4 3" xfId="18834"/>
    <cellStyle name="Обычный 6 4 2 5 2 5" xfId="18835"/>
    <cellStyle name="Обычный 6 4 2 5 2 5 2" xfId="18836"/>
    <cellStyle name="Обычный 6 4 2 5 2 5 3" xfId="18837"/>
    <cellStyle name="Обычный 6 4 2 5 2 6" xfId="18838"/>
    <cellStyle name="Обычный 6 4 2 5 2 6 2" xfId="18839"/>
    <cellStyle name="Обычный 6 4 2 5 2 7" xfId="18840"/>
    <cellStyle name="Обычный 6 4 2 5 2 8" xfId="18841"/>
    <cellStyle name="Обычный 6 4 2 5 3" xfId="18842"/>
    <cellStyle name="Обычный 6 4 2 5 3 2" xfId="18843"/>
    <cellStyle name="Обычный 6 4 2 5 3 2 2" xfId="18844"/>
    <cellStyle name="Обычный 6 4 2 5 3 2 2 2" xfId="18845"/>
    <cellStyle name="Обычный 6 4 2 5 3 2 2 3" xfId="18846"/>
    <cellStyle name="Обычный 6 4 2 5 3 2 3" xfId="18847"/>
    <cellStyle name="Обычный 6 4 2 5 3 2 3 2" xfId="18848"/>
    <cellStyle name="Обычный 6 4 2 5 3 2 3 3" xfId="18849"/>
    <cellStyle name="Обычный 6 4 2 5 3 2 4" xfId="18850"/>
    <cellStyle name="Обычный 6 4 2 5 3 2 4 2" xfId="18851"/>
    <cellStyle name="Обычный 6 4 2 5 3 2 5" xfId="18852"/>
    <cellStyle name="Обычный 6 4 2 5 3 2 6" xfId="18853"/>
    <cellStyle name="Обычный 6 4 2 5 3 3" xfId="18854"/>
    <cellStyle name="Обычный 6 4 2 5 3 3 2" xfId="18855"/>
    <cellStyle name="Обычный 6 4 2 5 3 3 3" xfId="18856"/>
    <cellStyle name="Обычный 6 4 2 5 3 4" xfId="18857"/>
    <cellStyle name="Обычный 6 4 2 5 3 4 2" xfId="18858"/>
    <cellStyle name="Обычный 6 4 2 5 3 4 3" xfId="18859"/>
    <cellStyle name="Обычный 6 4 2 5 3 5" xfId="18860"/>
    <cellStyle name="Обычный 6 4 2 5 3 5 2" xfId="18861"/>
    <cellStyle name="Обычный 6 4 2 5 3 6" xfId="18862"/>
    <cellStyle name="Обычный 6 4 2 5 3 7" xfId="18863"/>
    <cellStyle name="Обычный 6 4 2 5 4" xfId="18864"/>
    <cellStyle name="Обычный 6 4 2 5 4 2" xfId="18865"/>
    <cellStyle name="Обычный 6 4 2 5 4 2 2" xfId="18866"/>
    <cellStyle name="Обычный 6 4 2 5 4 2 3" xfId="18867"/>
    <cellStyle name="Обычный 6 4 2 5 4 3" xfId="18868"/>
    <cellStyle name="Обычный 6 4 2 5 4 3 2" xfId="18869"/>
    <cellStyle name="Обычный 6 4 2 5 4 3 3" xfId="18870"/>
    <cellStyle name="Обычный 6 4 2 5 4 4" xfId="18871"/>
    <cellStyle name="Обычный 6 4 2 5 4 4 2" xfId="18872"/>
    <cellStyle name="Обычный 6 4 2 5 4 5" xfId="18873"/>
    <cellStyle name="Обычный 6 4 2 5 4 6" xfId="18874"/>
    <cellStyle name="Обычный 6 4 2 5 5" xfId="18875"/>
    <cellStyle name="Обычный 6 4 2 5 5 2" xfId="18876"/>
    <cellStyle name="Обычный 6 4 2 5 5 3" xfId="18877"/>
    <cellStyle name="Обычный 6 4 2 5 6" xfId="18878"/>
    <cellStyle name="Обычный 6 4 2 5 6 2" xfId="18879"/>
    <cellStyle name="Обычный 6 4 2 5 6 3" xfId="18880"/>
    <cellStyle name="Обычный 6 4 2 5 7" xfId="18881"/>
    <cellStyle name="Обычный 6 4 2 5 7 2" xfId="18882"/>
    <cellStyle name="Обычный 6 4 2 5 8" xfId="18883"/>
    <cellStyle name="Обычный 6 4 2 5 9" xfId="18884"/>
    <cellStyle name="Обычный 6 4 2 6" xfId="18885"/>
    <cellStyle name="Обычный 6 4 2 6 2" xfId="18886"/>
    <cellStyle name="Обычный 6 4 2 6 2 2" xfId="18887"/>
    <cellStyle name="Обычный 6 4 2 6 2 2 2" xfId="18888"/>
    <cellStyle name="Обычный 6 4 2 6 2 2 2 2" xfId="18889"/>
    <cellStyle name="Обычный 6 4 2 6 2 2 2 3" xfId="18890"/>
    <cellStyle name="Обычный 6 4 2 6 2 2 3" xfId="18891"/>
    <cellStyle name="Обычный 6 4 2 6 2 2 3 2" xfId="18892"/>
    <cellStyle name="Обычный 6 4 2 6 2 2 3 3" xfId="18893"/>
    <cellStyle name="Обычный 6 4 2 6 2 2 4" xfId="18894"/>
    <cellStyle name="Обычный 6 4 2 6 2 2 4 2" xfId="18895"/>
    <cellStyle name="Обычный 6 4 2 6 2 2 5" xfId="18896"/>
    <cellStyle name="Обычный 6 4 2 6 2 2 6" xfId="18897"/>
    <cellStyle name="Обычный 6 4 2 6 2 3" xfId="18898"/>
    <cellStyle name="Обычный 6 4 2 6 2 3 2" xfId="18899"/>
    <cellStyle name="Обычный 6 4 2 6 2 3 3" xfId="18900"/>
    <cellStyle name="Обычный 6 4 2 6 2 4" xfId="18901"/>
    <cellStyle name="Обычный 6 4 2 6 2 4 2" xfId="18902"/>
    <cellStyle name="Обычный 6 4 2 6 2 4 3" xfId="18903"/>
    <cellStyle name="Обычный 6 4 2 6 2 5" xfId="18904"/>
    <cellStyle name="Обычный 6 4 2 6 2 5 2" xfId="18905"/>
    <cellStyle name="Обычный 6 4 2 6 2 6" xfId="18906"/>
    <cellStyle name="Обычный 6 4 2 6 2 7" xfId="18907"/>
    <cellStyle name="Обычный 6 4 2 6 3" xfId="18908"/>
    <cellStyle name="Обычный 6 4 2 6 3 2" xfId="18909"/>
    <cellStyle name="Обычный 6 4 2 6 3 2 2" xfId="18910"/>
    <cellStyle name="Обычный 6 4 2 6 3 2 3" xfId="18911"/>
    <cellStyle name="Обычный 6 4 2 6 3 3" xfId="18912"/>
    <cellStyle name="Обычный 6 4 2 6 3 3 2" xfId="18913"/>
    <cellStyle name="Обычный 6 4 2 6 3 3 3" xfId="18914"/>
    <cellStyle name="Обычный 6 4 2 6 3 4" xfId="18915"/>
    <cellStyle name="Обычный 6 4 2 6 3 4 2" xfId="18916"/>
    <cellStyle name="Обычный 6 4 2 6 3 5" xfId="18917"/>
    <cellStyle name="Обычный 6 4 2 6 3 6" xfId="18918"/>
    <cellStyle name="Обычный 6 4 2 6 4" xfId="18919"/>
    <cellStyle name="Обычный 6 4 2 6 4 2" xfId="18920"/>
    <cellStyle name="Обычный 6 4 2 6 4 3" xfId="18921"/>
    <cellStyle name="Обычный 6 4 2 6 5" xfId="18922"/>
    <cellStyle name="Обычный 6 4 2 6 5 2" xfId="18923"/>
    <cellStyle name="Обычный 6 4 2 6 5 3" xfId="18924"/>
    <cellStyle name="Обычный 6 4 2 6 6" xfId="18925"/>
    <cellStyle name="Обычный 6 4 2 6 6 2" xfId="18926"/>
    <cellStyle name="Обычный 6 4 2 6 7" xfId="18927"/>
    <cellStyle name="Обычный 6 4 2 6 8" xfId="18928"/>
    <cellStyle name="Обычный 6 4 2 7" xfId="18929"/>
    <cellStyle name="Обычный 6 4 2 7 2" xfId="18930"/>
    <cellStyle name="Обычный 6 4 2 7 2 2" xfId="18931"/>
    <cellStyle name="Обычный 6 4 2 7 2 2 2" xfId="18932"/>
    <cellStyle name="Обычный 6 4 2 7 2 2 3" xfId="18933"/>
    <cellStyle name="Обычный 6 4 2 7 2 3" xfId="18934"/>
    <cellStyle name="Обычный 6 4 2 7 2 3 2" xfId="18935"/>
    <cellStyle name="Обычный 6 4 2 7 2 3 3" xfId="18936"/>
    <cellStyle name="Обычный 6 4 2 7 2 4" xfId="18937"/>
    <cellStyle name="Обычный 6 4 2 7 2 4 2" xfId="18938"/>
    <cellStyle name="Обычный 6 4 2 7 2 5" xfId="18939"/>
    <cellStyle name="Обычный 6 4 2 7 2 6" xfId="18940"/>
    <cellStyle name="Обычный 6 4 2 7 3" xfId="18941"/>
    <cellStyle name="Обычный 6 4 2 7 3 2" xfId="18942"/>
    <cellStyle name="Обычный 6 4 2 7 3 3" xfId="18943"/>
    <cellStyle name="Обычный 6 4 2 7 4" xfId="18944"/>
    <cellStyle name="Обычный 6 4 2 7 4 2" xfId="18945"/>
    <cellStyle name="Обычный 6 4 2 7 4 3" xfId="18946"/>
    <cellStyle name="Обычный 6 4 2 7 5" xfId="18947"/>
    <cellStyle name="Обычный 6 4 2 7 5 2" xfId="18948"/>
    <cellStyle name="Обычный 6 4 2 7 6" xfId="18949"/>
    <cellStyle name="Обычный 6 4 2 7 7" xfId="18950"/>
    <cellStyle name="Обычный 6 4 2 8" xfId="18951"/>
    <cellStyle name="Обычный 6 4 2 8 2" xfId="18952"/>
    <cellStyle name="Обычный 6 4 2 8 2 2" xfId="18953"/>
    <cellStyle name="Обычный 6 4 2 8 2 3" xfId="18954"/>
    <cellStyle name="Обычный 6 4 2 8 3" xfId="18955"/>
    <cellStyle name="Обычный 6 4 2 8 3 2" xfId="18956"/>
    <cellStyle name="Обычный 6 4 2 8 3 3" xfId="18957"/>
    <cellStyle name="Обычный 6 4 2 8 4" xfId="18958"/>
    <cellStyle name="Обычный 6 4 2 8 4 2" xfId="18959"/>
    <cellStyle name="Обычный 6 4 2 8 5" xfId="18960"/>
    <cellStyle name="Обычный 6 4 2 8 6" xfId="18961"/>
    <cellStyle name="Обычный 6 4 2 9" xfId="18962"/>
    <cellStyle name="Обычный 6 4 2 9 2" xfId="18963"/>
    <cellStyle name="Обычный 6 4 2 9 3" xfId="18964"/>
    <cellStyle name="Обычный 6 4 3" xfId="18965"/>
    <cellStyle name="Обычный 6 4 3 10" xfId="18966"/>
    <cellStyle name="Обычный 6 4 3 2" xfId="18967"/>
    <cellStyle name="Обычный 6 4 3 2 2" xfId="18968"/>
    <cellStyle name="Обычный 6 4 3 2 2 2" xfId="18969"/>
    <cellStyle name="Обычный 6 4 3 2 2 2 2" xfId="18970"/>
    <cellStyle name="Обычный 6 4 3 2 2 2 2 2" xfId="18971"/>
    <cellStyle name="Обычный 6 4 3 2 2 2 2 2 2" xfId="18972"/>
    <cellStyle name="Обычный 6 4 3 2 2 2 2 2 3" xfId="18973"/>
    <cellStyle name="Обычный 6 4 3 2 2 2 2 3" xfId="18974"/>
    <cellStyle name="Обычный 6 4 3 2 2 2 2 3 2" xfId="18975"/>
    <cellStyle name="Обычный 6 4 3 2 2 2 2 3 3" xfId="18976"/>
    <cellStyle name="Обычный 6 4 3 2 2 2 2 4" xfId="18977"/>
    <cellStyle name="Обычный 6 4 3 2 2 2 2 4 2" xfId="18978"/>
    <cellStyle name="Обычный 6 4 3 2 2 2 2 5" xfId="18979"/>
    <cellStyle name="Обычный 6 4 3 2 2 2 2 6" xfId="18980"/>
    <cellStyle name="Обычный 6 4 3 2 2 2 3" xfId="18981"/>
    <cellStyle name="Обычный 6 4 3 2 2 2 3 2" xfId="18982"/>
    <cellStyle name="Обычный 6 4 3 2 2 2 3 3" xfId="18983"/>
    <cellStyle name="Обычный 6 4 3 2 2 2 4" xfId="18984"/>
    <cellStyle name="Обычный 6 4 3 2 2 2 4 2" xfId="18985"/>
    <cellStyle name="Обычный 6 4 3 2 2 2 4 3" xfId="18986"/>
    <cellStyle name="Обычный 6 4 3 2 2 2 5" xfId="18987"/>
    <cellStyle name="Обычный 6 4 3 2 2 2 5 2" xfId="18988"/>
    <cellStyle name="Обычный 6 4 3 2 2 2 6" xfId="18989"/>
    <cellStyle name="Обычный 6 4 3 2 2 2 7" xfId="18990"/>
    <cellStyle name="Обычный 6 4 3 2 2 3" xfId="18991"/>
    <cellStyle name="Обычный 6 4 3 2 2 3 2" xfId="18992"/>
    <cellStyle name="Обычный 6 4 3 2 2 3 2 2" xfId="18993"/>
    <cellStyle name="Обычный 6 4 3 2 2 3 2 3" xfId="18994"/>
    <cellStyle name="Обычный 6 4 3 2 2 3 3" xfId="18995"/>
    <cellStyle name="Обычный 6 4 3 2 2 3 3 2" xfId="18996"/>
    <cellStyle name="Обычный 6 4 3 2 2 3 3 3" xfId="18997"/>
    <cellStyle name="Обычный 6 4 3 2 2 3 4" xfId="18998"/>
    <cellStyle name="Обычный 6 4 3 2 2 3 4 2" xfId="18999"/>
    <cellStyle name="Обычный 6 4 3 2 2 3 5" xfId="19000"/>
    <cellStyle name="Обычный 6 4 3 2 2 3 6" xfId="19001"/>
    <cellStyle name="Обычный 6 4 3 2 2 4" xfId="19002"/>
    <cellStyle name="Обычный 6 4 3 2 2 4 2" xfId="19003"/>
    <cellStyle name="Обычный 6 4 3 2 2 4 3" xfId="19004"/>
    <cellStyle name="Обычный 6 4 3 2 2 5" xfId="19005"/>
    <cellStyle name="Обычный 6 4 3 2 2 5 2" xfId="19006"/>
    <cellStyle name="Обычный 6 4 3 2 2 5 3" xfId="19007"/>
    <cellStyle name="Обычный 6 4 3 2 2 6" xfId="19008"/>
    <cellStyle name="Обычный 6 4 3 2 2 6 2" xfId="19009"/>
    <cellStyle name="Обычный 6 4 3 2 2 7" xfId="19010"/>
    <cellStyle name="Обычный 6 4 3 2 2 8" xfId="19011"/>
    <cellStyle name="Обычный 6 4 3 2 3" xfId="19012"/>
    <cellStyle name="Обычный 6 4 3 2 3 2" xfId="19013"/>
    <cellStyle name="Обычный 6 4 3 2 3 2 2" xfId="19014"/>
    <cellStyle name="Обычный 6 4 3 2 3 2 2 2" xfId="19015"/>
    <cellStyle name="Обычный 6 4 3 2 3 2 2 3" xfId="19016"/>
    <cellStyle name="Обычный 6 4 3 2 3 2 3" xfId="19017"/>
    <cellStyle name="Обычный 6 4 3 2 3 2 3 2" xfId="19018"/>
    <cellStyle name="Обычный 6 4 3 2 3 2 3 3" xfId="19019"/>
    <cellStyle name="Обычный 6 4 3 2 3 2 4" xfId="19020"/>
    <cellStyle name="Обычный 6 4 3 2 3 2 4 2" xfId="19021"/>
    <cellStyle name="Обычный 6 4 3 2 3 2 5" xfId="19022"/>
    <cellStyle name="Обычный 6 4 3 2 3 2 6" xfId="19023"/>
    <cellStyle name="Обычный 6 4 3 2 3 3" xfId="19024"/>
    <cellStyle name="Обычный 6 4 3 2 3 3 2" xfId="19025"/>
    <cellStyle name="Обычный 6 4 3 2 3 3 3" xfId="19026"/>
    <cellStyle name="Обычный 6 4 3 2 3 4" xfId="19027"/>
    <cellStyle name="Обычный 6 4 3 2 3 4 2" xfId="19028"/>
    <cellStyle name="Обычный 6 4 3 2 3 4 3" xfId="19029"/>
    <cellStyle name="Обычный 6 4 3 2 3 5" xfId="19030"/>
    <cellStyle name="Обычный 6 4 3 2 3 5 2" xfId="19031"/>
    <cellStyle name="Обычный 6 4 3 2 3 6" xfId="19032"/>
    <cellStyle name="Обычный 6 4 3 2 3 7" xfId="19033"/>
    <cellStyle name="Обычный 6 4 3 2 4" xfId="19034"/>
    <cellStyle name="Обычный 6 4 3 2 4 2" xfId="19035"/>
    <cellStyle name="Обычный 6 4 3 2 4 2 2" xfId="19036"/>
    <cellStyle name="Обычный 6 4 3 2 4 2 3" xfId="19037"/>
    <cellStyle name="Обычный 6 4 3 2 4 3" xfId="19038"/>
    <cellStyle name="Обычный 6 4 3 2 4 3 2" xfId="19039"/>
    <cellStyle name="Обычный 6 4 3 2 4 3 3" xfId="19040"/>
    <cellStyle name="Обычный 6 4 3 2 4 4" xfId="19041"/>
    <cellStyle name="Обычный 6 4 3 2 4 4 2" xfId="19042"/>
    <cellStyle name="Обычный 6 4 3 2 4 5" xfId="19043"/>
    <cellStyle name="Обычный 6 4 3 2 4 6" xfId="19044"/>
    <cellStyle name="Обычный 6 4 3 2 5" xfId="19045"/>
    <cellStyle name="Обычный 6 4 3 2 5 2" xfId="19046"/>
    <cellStyle name="Обычный 6 4 3 2 5 3" xfId="19047"/>
    <cellStyle name="Обычный 6 4 3 2 6" xfId="19048"/>
    <cellStyle name="Обычный 6 4 3 2 6 2" xfId="19049"/>
    <cellStyle name="Обычный 6 4 3 2 6 3" xfId="19050"/>
    <cellStyle name="Обычный 6 4 3 2 7" xfId="19051"/>
    <cellStyle name="Обычный 6 4 3 2 7 2" xfId="19052"/>
    <cellStyle name="Обычный 6 4 3 2 8" xfId="19053"/>
    <cellStyle name="Обычный 6 4 3 2 9" xfId="19054"/>
    <cellStyle name="Обычный 6 4 3 3" xfId="19055"/>
    <cellStyle name="Обычный 6 4 3 3 2" xfId="19056"/>
    <cellStyle name="Обычный 6 4 3 3 2 2" xfId="19057"/>
    <cellStyle name="Обычный 6 4 3 3 2 2 2" xfId="19058"/>
    <cellStyle name="Обычный 6 4 3 3 2 2 2 2" xfId="19059"/>
    <cellStyle name="Обычный 6 4 3 3 2 2 2 3" xfId="19060"/>
    <cellStyle name="Обычный 6 4 3 3 2 2 3" xfId="19061"/>
    <cellStyle name="Обычный 6 4 3 3 2 2 3 2" xfId="19062"/>
    <cellStyle name="Обычный 6 4 3 3 2 2 3 3" xfId="19063"/>
    <cellStyle name="Обычный 6 4 3 3 2 2 4" xfId="19064"/>
    <cellStyle name="Обычный 6 4 3 3 2 2 4 2" xfId="19065"/>
    <cellStyle name="Обычный 6 4 3 3 2 2 5" xfId="19066"/>
    <cellStyle name="Обычный 6 4 3 3 2 2 6" xfId="19067"/>
    <cellStyle name="Обычный 6 4 3 3 2 3" xfId="19068"/>
    <cellStyle name="Обычный 6 4 3 3 2 3 2" xfId="19069"/>
    <cellStyle name="Обычный 6 4 3 3 2 3 3" xfId="19070"/>
    <cellStyle name="Обычный 6 4 3 3 2 4" xfId="19071"/>
    <cellStyle name="Обычный 6 4 3 3 2 4 2" xfId="19072"/>
    <cellStyle name="Обычный 6 4 3 3 2 4 3" xfId="19073"/>
    <cellStyle name="Обычный 6 4 3 3 2 5" xfId="19074"/>
    <cellStyle name="Обычный 6 4 3 3 2 5 2" xfId="19075"/>
    <cellStyle name="Обычный 6 4 3 3 2 6" xfId="19076"/>
    <cellStyle name="Обычный 6 4 3 3 2 7" xfId="19077"/>
    <cellStyle name="Обычный 6 4 3 3 3" xfId="19078"/>
    <cellStyle name="Обычный 6 4 3 3 3 2" xfId="19079"/>
    <cellStyle name="Обычный 6 4 3 3 3 2 2" xfId="19080"/>
    <cellStyle name="Обычный 6 4 3 3 3 2 3" xfId="19081"/>
    <cellStyle name="Обычный 6 4 3 3 3 3" xfId="19082"/>
    <cellStyle name="Обычный 6 4 3 3 3 3 2" xfId="19083"/>
    <cellStyle name="Обычный 6 4 3 3 3 3 3" xfId="19084"/>
    <cellStyle name="Обычный 6 4 3 3 3 4" xfId="19085"/>
    <cellStyle name="Обычный 6 4 3 3 3 4 2" xfId="19086"/>
    <cellStyle name="Обычный 6 4 3 3 3 5" xfId="19087"/>
    <cellStyle name="Обычный 6 4 3 3 3 6" xfId="19088"/>
    <cellStyle name="Обычный 6 4 3 3 4" xfId="19089"/>
    <cellStyle name="Обычный 6 4 3 3 4 2" xfId="19090"/>
    <cellStyle name="Обычный 6 4 3 3 4 3" xfId="19091"/>
    <cellStyle name="Обычный 6 4 3 3 5" xfId="19092"/>
    <cellStyle name="Обычный 6 4 3 3 5 2" xfId="19093"/>
    <cellStyle name="Обычный 6 4 3 3 5 3" xfId="19094"/>
    <cellStyle name="Обычный 6 4 3 3 6" xfId="19095"/>
    <cellStyle name="Обычный 6 4 3 3 6 2" xfId="19096"/>
    <cellStyle name="Обычный 6 4 3 3 7" xfId="19097"/>
    <cellStyle name="Обычный 6 4 3 3 8" xfId="19098"/>
    <cellStyle name="Обычный 6 4 3 4" xfId="19099"/>
    <cellStyle name="Обычный 6 4 3 4 2" xfId="19100"/>
    <cellStyle name="Обычный 6 4 3 4 2 2" xfId="19101"/>
    <cellStyle name="Обычный 6 4 3 4 2 2 2" xfId="19102"/>
    <cellStyle name="Обычный 6 4 3 4 2 2 3" xfId="19103"/>
    <cellStyle name="Обычный 6 4 3 4 2 3" xfId="19104"/>
    <cellStyle name="Обычный 6 4 3 4 2 3 2" xfId="19105"/>
    <cellStyle name="Обычный 6 4 3 4 2 3 3" xfId="19106"/>
    <cellStyle name="Обычный 6 4 3 4 2 4" xfId="19107"/>
    <cellStyle name="Обычный 6 4 3 4 2 4 2" xfId="19108"/>
    <cellStyle name="Обычный 6 4 3 4 2 5" xfId="19109"/>
    <cellStyle name="Обычный 6 4 3 4 2 6" xfId="19110"/>
    <cellStyle name="Обычный 6 4 3 4 3" xfId="19111"/>
    <cellStyle name="Обычный 6 4 3 4 3 2" xfId="19112"/>
    <cellStyle name="Обычный 6 4 3 4 3 3" xfId="19113"/>
    <cellStyle name="Обычный 6 4 3 4 4" xfId="19114"/>
    <cellStyle name="Обычный 6 4 3 4 4 2" xfId="19115"/>
    <cellStyle name="Обычный 6 4 3 4 4 3" xfId="19116"/>
    <cellStyle name="Обычный 6 4 3 4 5" xfId="19117"/>
    <cellStyle name="Обычный 6 4 3 4 5 2" xfId="19118"/>
    <cellStyle name="Обычный 6 4 3 4 6" xfId="19119"/>
    <cellStyle name="Обычный 6 4 3 4 7" xfId="19120"/>
    <cellStyle name="Обычный 6 4 3 5" xfId="19121"/>
    <cellStyle name="Обычный 6 4 3 5 2" xfId="19122"/>
    <cellStyle name="Обычный 6 4 3 5 2 2" xfId="19123"/>
    <cellStyle name="Обычный 6 4 3 5 2 3" xfId="19124"/>
    <cellStyle name="Обычный 6 4 3 5 3" xfId="19125"/>
    <cellStyle name="Обычный 6 4 3 5 3 2" xfId="19126"/>
    <cellStyle name="Обычный 6 4 3 5 3 3" xfId="19127"/>
    <cellStyle name="Обычный 6 4 3 5 4" xfId="19128"/>
    <cellStyle name="Обычный 6 4 3 5 4 2" xfId="19129"/>
    <cellStyle name="Обычный 6 4 3 5 5" xfId="19130"/>
    <cellStyle name="Обычный 6 4 3 5 6" xfId="19131"/>
    <cellStyle name="Обычный 6 4 3 6" xfId="19132"/>
    <cellStyle name="Обычный 6 4 3 6 2" xfId="19133"/>
    <cellStyle name="Обычный 6 4 3 6 3" xfId="19134"/>
    <cellStyle name="Обычный 6 4 3 7" xfId="19135"/>
    <cellStyle name="Обычный 6 4 3 7 2" xfId="19136"/>
    <cellStyle name="Обычный 6 4 3 7 3" xfId="19137"/>
    <cellStyle name="Обычный 6 4 3 8" xfId="19138"/>
    <cellStyle name="Обычный 6 4 3 8 2" xfId="19139"/>
    <cellStyle name="Обычный 6 4 3 9" xfId="19140"/>
    <cellStyle name="Обычный 6 4 4" xfId="19141"/>
    <cellStyle name="Обычный 6 4 4 10" xfId="19142"/>
    <cellStyle name="Обычный 6 4 4 2" xfId="19143"/>
    <cellStyle name="Обычный 6 4 4 2 2" xfId="19144"/>
    <cellStyle name="Обычный 6 4 4 2 2 2" xfId="19145"/>
    <cellStyle name="Обычный 6 4 4 2 2 2 2" xfId="19146"/>
    <cellStyle name="Обычный 6 4 4 2 2 2 2 2" xfId="19147"/>
    <cellStyle name="Обычный 6 4 4 2 2 2 2 2 2" xfId="19148"/>
    <cellStyle name="Обычный 6 4 4 2 2 2 2 2 3" xfId="19149"/>
    <cellStyle name="Обычный 6 4 4 2 2 2 2 3" xfId="19150"/>
    <cellStyle name="Обычный 6 4 4 2 2 2 2 3 2" xfId="19151"/>
    <cellStyle name="Обычный 6 4 4 2 2 2 2 3 3" xfId="19152"/>
    <cellStyle name="Обычный 6 4 4 2 2 2 2 4" xfId="19153"/>
    <cellStyle name="Обычный 6 4 4 2 2 2 2 4 2" xfId="19154"/>
    <cellStyle name="Обычный 6 4 4 2 2 2 2 5" xfId="19155"/>
    <cellStyle name="Обычный 6 4 4 2 2 2 2 6" xfId="19156"/>
    <cellStyle name="Обычный 6 4 4 2 2 2 3" xfId="19157"/>
    <cellStyle name="Обычный 6 4 4 2 2 2 3 2" xfId="19158"/>
    <cellStyle name="Обычный 6 4 4 2 2 2 3 3" xfId="19159"/>
    <cellStyle name="Обычный 6 4 4 2 2 2 4" xfId="19160"/>
    <cellStyle name="Обычный 6 4 4 2 2 2 4 2" xfId="19161"/>
    <cellStyle name="Обычный 6 4 4 2 2 2 4 3" xfId="19162"/>
    <cellStyle name="Обычный 6 4 4 2 2 2 5" xfId="19163"/>
    <cellStyle name="Обычный 6 4 4 2 2 2 5 2" xfId="19164"/>
    <cellStyle name="Обычный 6 4 4 2 2 2 6" xfId="19165"/>
    <cellStyle name="Обычный 6 4 4 2 2 2 7" xfId="19166"/>
    <cellStyle name="Обычный 6 4 4 2 2 3" xfId="19167"/>
    <cellStyle name="Обычный 6 4 4 2 2 3 2" xfId="19168"/>
    <cellStyle name="Обычный 6 4 4 2 2 3 2 2" xfId="19169"/>
    <cellStyle name="Обычный 6 4 4 2 2 3 2 3" xfId="19170"/>
    <cellStyle name="Обычный 6 4 4 2 2 3 3" xfId="19171"/>
    <cellStyle name="Обычный 6 4 4 2 2 3 3 2" xfId="19172"/>
    <cellStyle name="Обычный 6 4 4 2 2 3 3 3" xfId="19173"/>
    <cellStyle name="Обычный 6 4 4 2 2 3 4" xfId="19174"/>
    <cellStyle name="Обычный 6 4 4 2 2 3 4 2" xfId="19175"/>
    <cellStyle name="Обычный 6 4 4 2 2 3 5" xfId="19176"/>
    <cellStyle name="Обычный 6 4 4 2 2 3 6" xfId="19177"/>
    <cellStyle name="Обычный 6 4 4 2 2 4" xfId="19178"/>
    <cellStyle name="Обычный 6 4 4 2 2 4 2" xfId="19179"/>
    <cellStyle name="Обычный 6 4 4 2 2 4 3" xfId="19180"/>
    <cellStyle name="Обычный 6 4 4 2 2 5" xfId="19181"/>
    <cellStyle name="Обычный 6 4 4 2 2 5 2" xfId="19182"/>
    <cellStyle name="Обычный 6 4 4 2 2 5 3" xfId="19183"/>
    <cellStyle name="Обычный 6 4 4 2 2 6" xfId="19184"/>
    <cellStyle name="Обычный 6 4 4 2 2 6 2" xfId="19185"/>
    <cellStyle name="Обычный 6 4 4 2 2 7" xfId="19186"/>
    <cellStyle name="Обычный 6 4 4 2 2 8" xfId="19187"/>
    <cellStyle name="Обычный 6 4 4 2 3" xfId="19188"/>
    <cellStyle name="Обычный 6 4 4 2 3 2" xfId="19189"/>
    <cellStyle name="Обычный 6 4 4 2 3 2 2" xfId="19190"/>
    <cellStyle name="Обычный 6 4 4 2 3 2 2 2" xfId="19191"/>
    <cellStyle name="Обычный 6 4 4 2 3 2 2 3" xfId="19192"/>
    <cellStyle name="Обычный 6 4 4 2 3 2 3" xfId="19193"/>
    <cellStyle name="Обычный 6 4 4 2 3 2 3 2" xfId="19194"/>
    <cellStyle name="Обычный 6 4 4 2 3 2 3 3" xfId="19195"/>
    <cellStyle name="Обычный 6 4 4 2 3 2 4" xfId="19196"/>
    <cellStyle name="Обычный 6 4 4 2 3 2 4 2" xfId="19197"/>
    <cellStyle name="Обычный 6 4 4 2 3 2 5" xfId="19198"/>
    <cellStyle name="Обычный 6 4 4 2 3 2 6" xfId="19199"/>
    <cellStyle name="Обычный 6 4 4 2 3 3" xfId="19200"/>
    <cellStyle name="Обычный 6 4 4 2 3 3 2" xfId="19201"/>
    <cellStyle name="Обычный 6 4 4 2 3 3 3" xfId="19202"/>
    <cellStyle name="Обычный 6 4 4 2 3 4" xfId="19203"/>
    <cellStyle name="Обычный 6 4 4 2 3 4 2" xfId="19204"/>
    <cellStyle name="Обычный 6 4 4 2 3 4 3" xfId="19205"/>
    <cellStyle name="Обычный 6 4 4 2 3 5" xfId="19206"/>
    <cellStyle name="Обычный 6 4 4 2 3 5 2" xfId="19207"/>
    <cellStyle name="Обычный 6 4 4 2 3 6" xfId="19208"/>
    <cellStyle name="Обычный 6 4 4 2 3 7" xfId="19209"/>
    <cellStyle name="Обычный 6 4 4 2 4" xfId="19210"/>
    <cellStyle name="Обычный 6 4 4 2 4 2" xfId="19211"/>
    <cellStyle name="Обычный 6 4 4 2 4 2 2" xfId="19212"/>
    <cellStyle name="Обычный 6 4 4 2 4 2 3" xfId="19213"/>
    <cellStyle name="Обычный 6 4 4 2 4 3" xfId="19214"/>
    <cellStyle name="Обычный 6 4 4 2 4 3 2" xfId="19215"/>
    <cellStyle name="Обычный 6 4 4 2 4 3 3" xfId="19216"/>
    <cellStyle name="Обычный 6 4 4 2 4 4" xfId="19217"/>
    <cellStyle name="Обычный 6 4 4 2 4 4 2" xfId="19218"/>
    <cellStyle name="Обычный 6 4 4 2 4 5" xfId="19219"/>
    <cellStyle name="Обычный 6 4 4 2 4 6" xfId="19220"/>
    <cellStyle name="Обычный 6 4 4 2 5" xfId="19221"/>
    <cellStyle name="Обычный 6 4 4 2 5 2" xfId="19222"/>
    <cellStyle name="Обычный 6 4 4 2 5 3" xfId="19223"/>
    <cellStyle name="Обычный 6 4 4 2 6" xfId="19224"/>
    <cellStyle name="Обычный 6 4 4 2 6 2" xfId="19225"/>
    <cellStyle name="Обычный 6 4 4 2 6 3" xfId="19226"/>
    <cellStyle name="Обычный 6 4 4 2 7" xfId="19227"/>
    <cellStyle name="Обычный 6 4 4 2 7 2" xfId="19228"/>
    <cellStyle name="Обычный 6 4 4 2 8" xfId="19229"/>
    <cellStyle name="Обычный 6 4 4 2 9" xfId="19230"/>
    <cellStyle name="Обычный 6 4 4 3" xfId="19231"/>
    <cellStyle name="Обычный 6 4 4 3 2" xfId="19232"/>
    <cellStyle name="Обычный 6 4 4 3 2 2" xfId="19233"/>
    <cellStyle name="Обычный 6 4 4 3 2 2 2" xfId="19234"/>
    <cellStyle name="Обычный 6 4 4 3 2 2 2 2" xfId="19235"/>
    <cellStyle name="Обычный 6 4 4 3 2 2 2 3" xfId="19236"/>
    <cellStyle name="Обычный 6 4 4 3 2 2 3" xfId="19237"/>
    <cellStyle name="Обычный 6 4 4 3 2 2 3 2" xfId="19238"/>
    <cellStyle name="Обычный 6 4 4 3 2 2 3 3" xfId="19239"/>
    <cellStyle name="Обычный 6 4 4 3 2 2 4" xfId="19240"/>
    <cellStyle name="Обычный 6 4 4 3 2 2 4 2" xfId="19241"/>
    <cellStyle name="Обычный 6 4 4 3 2 2 5" xfId="19242"/>
    <cellStyle name="Обычный 6 4 4 3 2 2 6" xfId="19243"/>
    <cellStyle name="Обычный 6 4 4 3 2 3" xfId="19244"/>
    <cellStyle name="Обычный 6 4 4 3 2 3 2" xfId="19245"/>
    <cellStyle name="Обычный 6 4 4 3 2 3 3" xfId="19246"/>
    <cellStyle name="Обычный 6 4 4 3 2 4" xfId="19247"/>
    <cellStyle name="Обычный 6 4 4 3 2 4 2" xfId="19248"/>
    <cellStyle name="Обычный 6 4 4 3 2 4 3" xfId="19249"/>
    <cellStyle name="Обычный 6 4 4 3 2 5" xfId="19250"/>
    <cellStyle name="Обычный 6 4 4 3 2 5 2" xfId="19251"/>
    <cellStyle name="Обычный 6 4 4 3 2 6" xfId="19252"/>
    <cellStyle name="Обычный 6 4 4 3 2 7" xfId="19253"/>
    <cellStyle name="Обычный 6 4 4 3 3" xfId="19254"/>
    <cellStyle name="Обычный 6 4 4 3 3 2" xfId="19255"/>
    <cellStyle name="Обычный 6 4 4 3 3 2 2" xfId="19256"/>
    <cellStyle name="Обычный 6 4 4 3 3 2 3" xfId="19257"/>
    <cellStyle name="Обычный 6 4 4 3 3 3" xfId="19258"/>
    <cellStyle name="Обычный 6 4 4 3 3 3 2" xfId="19259"/>
    <cellStyle name="Обычный 6 4 4 3 3 3 3" xfId="19260"/>
    <cellStyle name="Обычный 6 4 4 3 3 4" xfId="19261"/>
    <cellStyle name="Обычный 6 4 4 3 3 4 2" xfId="19262"/>
    <cellStyle name="Обычный 6 4 4 3 3 5" xfId="19263"/>
    <cellStyle name="Обычный 6 4 4 3 3 6" xfId="19264"/>
    <cellStyle name="Обычный 6 4 4 3 4" xfId="19265"/>
    <cellStyle name="Обычный 6 4 4 3 4 2" xfId="19266"/>
    <cellStyle name="Обычный 6 4 4 3 4 3" xfId="19267"/>
    <cellStyle name="Обычный 6 4 4 3 5" xfId="19268"/>
    <cellStyle name="Обычный 6 4 4 3 5 2" xfId="19269"/>
    <cellStyle name="Обычный 6 4 4 3 5 3" xfId="19270"/>
    <cellStyle name="Обычный 6 4 4 3 6" xfId="19271"/>
    <cellStyle name="Обычный 6 4 4 3 6 2" xfId="19272"/>
    <cellStyle name="Обычный 6 4 4 3 7" xfId="19273"/>
    <cellStyle name="Обычный 6 4 4 3 8" xfId="19274"/>
    <cellStyle name="Обычный 6 4 4 4" xfId="19275"/>
    <cellStyle name="Обычный 6 4 4 4 2" xfId="19276"/>
    <cellStyle name="Обычный 6 4 4 4 2 2" xfId="19277"/>
    <cellStyle name="Обычный 6 4 4 4 2 2 2" xfId="19278"/>
    <cellStyle name="Обычный 6 4 4 4 2 2 3" xfId="19279"/>
    <cellStyle name="Обычный 6 4 4 4 2 3" xfId="19280"/>
    <cellStyle name="Обычный 6 4 4 4 2 3 2" xfId="19281"/>
    <cellStyle name="Обычный 6 4 4 4 2 3 3" xfId="19282"/>
    <cellStyle name="Обычный 6 4 4 4 2 4" xfId="19283"/>
    <cellStyle name="Обычный 6 4 4 4 2 4 2" xfId="19284"/>
    <cellStyle name="Обычный 6 4 4 4 2 5" xfId="19285"/>
    <cellStyle name="Обычный 6 4 4 4 2 6" xfId="19286"/>
    <cellStyle name="Обычный 6 4 4 4 3" xfId="19287"/>
    <cellStyle name="Обычный 6 4 4 4 3 2" xfId="19288"/>
    <cellStyle name="Обычный 6 4 4 4 3 3" xfId="19289"/>
    <cellStyle name="Обычный 6 4 4 4 4" xfId="19290"/>
    <cellStyle name="Обычный 6 4 4 4 4 2" xfId="19291"/>
    <cellStyle name="Обычный 6 4 4 4 4 3" xfId="19292"/>
    <cellStyle name="Обычный 6 4 4 4 5" xfId="19293"/>
    <cellStyle name="Обычный 6 4 4 4 5 2" xfId="19294"/>
    <cellStyle name="Обычный 6 4 4 4 6" xfId="19295"/>
    <cellStyle name="Обычный 6 4 4 4 7" xfId="19296"/>
    <cellStyle name="Обычный 6 4 4 5" xfId="19297"/>
    <cellStyle name="Обычный 6 4 4 5 2" xfId="19298"/>
    <cellStyle name="Обычный 6 4 4 5 2 2" xfId="19299"/>
    <cellStyle name="Обычный 6 4 4 5 2 3" xfId="19300"/>
    <cellStyle name="Обычный 6 4 4 5 3" xfId="19301"/>
    <cellStyle name="Обычный 6 4 4 5 3 2" xfId="19302"/>
    <cellStyle name="Обычный 6 4 4 5 3 3" xfId="19303"/>
    <cellStyle name="Обычный 6 4 4 5 4" xfId="19304"/>
    <cellStyle name="Обычный 6 4 4 5 4 2" xfId="19305"/>
    <cellStyle name="Обычный 6 4 4 5 5" xfId="19306"/>
    <cellStyle name="Обычный 6 4 4 5 6" xfId="19307"/>
    <cellStyle name="Обычный 6 4 4 6" xfId="19308"/>
    <cellStyle name="Обычный 6 4 4 6 2" xfId="19309"/>
    <cellStyle name="Обычный 6 4 4 6 3" xfId="19310"/>
    <cellStyle name="Обычный 6 4 4 7" xfId="19311"/>
    <cellStyle name="Обычный 6 4 4 7 2" xfId="19312"/>
    <cellStyle name="Обычный 6 4 4 7 3" xfId="19313"/>
    <cellStyle name="Обычный 6 4 4 8" xfId="19314"/>
    <cellStyle name="Обычный 6 4 4 8 2" xfId="19315"/>
    <cellStyle name="Обычный 6 4 4 9" xfId="19316"/>
    <cellStyle name="Обычный 6 4 5" xfId="19317"/>
    <cellStyle name="Обычный 6 4 5 10" xfId="19318"/>
    <cellStyle name="Обычный 6 4 5 2" xfId="19319"/>
    <cellStyle name="Обычный 6 4 5 2 2" xfId="19320"/>
    <cellStyle name="Обычный 6 4 5 2 2 2" xfId="19321"/>
    <cellStyle name="Обычный 6 4 5 2 2 2 2" xfId="19322"/>
    <cellStyle name="Обычный 6 4 5 2 2 2 2 2" xfId="19323"/>
    <cellStyle name="Обычный 6 4 5 2 2 2 2 2 2" xfId="19324"/>
    <cellStyle name="Обычный 6 4 5 2 2 2 2 2 3" xfId="19325"/>
    <cellStyle name="Обычный 6 4 5 2 2 2 2 3" xfId="19326"/>
    <cellStyle name="Обычный 6 4 5 2 2 2 2 3 2" xfId="19327"/>
    <cellStyle name="Обычный 6 4 5 2 2 2 2 3 3" xfId="19328"/>
    <cellStyle name="Обычный 6 4 5 2 2 2 2 4" xfId="19329"/>
    <cellStyle name="Обычный 6 4 5 2 2 2 2 4 2" xfId="19330"/>
    <cellStyle name="Обычный 6 4 5 2 2 2 2 5" xfId="19331"/>
    <cellStyle name="Обычный 6 4 5 2 2 2 2 6" xfId="19332"/>
    <cellStyle name="Обычный 6 4 5 2 2 2 3" xfId="19333"/>
    <cellStyle name="Обычный 6 4 5 2 2 2 3 2" xfId="19334"/>
    <cellStyle name="Обычный 6 4 5 2 2 2 3 3" xfId="19335"/>
    <cellStyle name="Обычный 6 4 5 2 2 2 4" xfId="19336"/>
    <cellStyle name="Обычный 6 4 5 2 2 2 4 2" xfId="19337"/>
    <cellStyle name="Обычный 6 4 5 2 2 2 4 3" xfId="19338"/>
    <cellStyle name="Обычный 6 4 5 2 2 2 5" xfId="19339"/>
    <cellStyle name="Обычный 6 4 5 2 2 2 5 2" xfId="19340"/>
    <cellStyle name="Обычный 6 4 5 2 2 2 6" xfId="19341"/>
    <cellStyle name="Обычный 6 4 5 2 2 2 7" xfId="19342"/>
    <cellStyle name="Обычный 6 4 5 2 2 3" xfId="19343"/>
    <cellStyle name="Обычный 6 4 5 2 2 3 2" xfId="19344"/>
    <cellStyle name="Обычный 6 4 5 2 2 3 2 2" xfId="19345"/>
    <cellStyle name="Обычный 6 4 5 2 2 3 2 3" xfId="19346"/>
    <cellStyle name="Обычный 6 4 5 2 2 3 3" xfId="19347"/>
    <cellStyle name="Обычный 6 4 5 2 2 3 3 2" xfId="19348"/>
    <cellStyle name="Обычный 6 4 5 2 2 3 3 3" xfId="19349"/>
    <cellStyle name="Обычный 6 4 5 2 2 3 4" xfId="19350"/>
    <cellStyle name="Обычный 6 4 5 2 2 3 4 2" xfId="19351"/>
    <cellStyle name="Обычный 6 4 5 2 2 3 5" xfId="19352"/>
    <cellStyle name="Обычный 6 4 5 2 2 3 6" xfId="19353"/>
    <cellStyle name="Обычный 6 4 5 2 2 4" xfId="19354"/>
    <cellStyle name="Обычный 6 4 5 2 2 4 2" xfId="19355"/>
    <cellStyle name="Обычный 6 4 5 2 2 4 3" xfId="19356"/>
    <cellStyle name="Обычный 6 4 5 2 2 5" xfId="19357"/>
    <cellStyle name="Обычный 6 4 5 2 2 5 2" xfId="19358"/>
    <cellStyle name="Обычный 6 4 5 2 2 5 3" xfId="19359"/>
    <cellStyle name="Обычный 6 4 5 2 2 6" xfId="19360"/>
    <cellStyle name="Обычный 6 4 5 2 2 6 2" xfId="19361"/>
    <cellStyle name="Обычный 6 4 5 2 2 7" xfId="19362"/>
    <cellStyle name="Обычный 6 4 5 2 2 8" xfId="19363"/>
    <cellStyle name="Обычный 6 4 5 2 3" xfId="19364"/>
    <cellStyle name="Обычный 6 4 5 2 3 2" xfId="19365"/>
    <cellStyle name="Обычный 6 4 5 2 3 2 2" xfId="19366"/>
    <cellStyle name="Обычный 6 4 5 2 3 2 2 2" xfId="19367"/>
    <cellStyle name="Обычный 6 4 5 2 3 2 2 3" xfId="19368"/>
    <cellStyle name="Обычный 6 4 5 2 3 2 3" xfId="19369"/>
    <cellStyle name="Обычный 6 4 5 2 3 2 3 2" xfId="19370"/>
    <cellStyle name="Обычный 6 4 5 2 3 2 3 3" xfId="19371"/>
    <cellStyle name="Обычный 6 4 5 2 3 2 4" xfId="19372"/>
    <cellStyle name="Обычный 6 4 5 2 3 2 4 2" xfId="19373"/>
    <cellStyle name="Обычный 6 4 5 2 3 2 5" xfId="19374"/>
    <cellStyle name="Обычный 6 4 5 2 3 2 6" xfId="19375"/>
    <cellStyle name="Обычный 6 4 5 2 3 3" xfId="19376"/>
    <cellStyle name="Обычный 6 4 5 2 3 3 2" xfId="19377"/>
    <cellStyle name="Обычный 6 4 5 2 3 3 3" xfId="19378"/>
    <cellStyle name="Обычный 6 4 5 2 3 4" xfId="19379"/>
    <cellStyle name="Обычный 6 4 5 2 3 4 2" xfId="19380"/>
    <cellStyle name="Обычный 6 4 5 2 3 4 3" xfId="19381"/>
    <cellStyle name="Обычный 6 4 5 2 3 5" xfId="19382"/>
    <cellStyle name="Обычный 6 4 5 2 3 5 2" xfId="19383"/>
    <cellStyle name="Обычный 6 4 5 2 3 6" xfId="19384"/>
    <cellStyle name="Обычный 6 4 5 2 3 7" xfId="19385"/>
    <cellStyle name="Обычный 6 4 5 2 4" xfId="19386"/>
    <cellStyle name="Обычный 6 4 5 2 4 2" xfId="19387"/>
    <cellStyle name="Обычный 6 4 5 2 4 2 2" xfId="19388"/>
    <cellStyle name="Обычный 6 4 5 2 4 2 3" xfId="19389"/>
    <cellStyle name="Обычный 6 4 5 2 4 3" xfId="19390"/>
    <cellStyle name="Обычный 6 4 5 2 4 3 2" xfId="19391"/>
    <cellStyle name="Обычный 6 4 5 2 4 3 3" xfId="19392"/>
    <cellStyle name="Обычный 6 4 5 2 4 4" xfId="19393"/>
    <cellStyle name="Обычный 6 4 5 2 4 4 2" xfId="19394"/>
    <cellStyle name="Обычный 6 4 5 2 4 5" xfId="19395"/>
    <cellStyle name="Обычный 6 4 5 2 4 6" xfId="19396"/>
    <cellStyle name="Обычный 6 4 5 2 5" xfId="19397"/>
    <cellStyle name="Обычный 6 4 5 2 5 2" xfId="19398"/>
    <cellStyle name="Обычный 6 4 5 2 5 3" xfId="19399"/>
    <cellStyle name="Обычный 6 4 5 2 6" xfId="19400"/>
    <cellStyle name="Обычный 6 4 5 2 6 2" xfId="19401"/>
    <cellStyle name="Обычный 6 4 5 2 6 3" xfId="19402"/>
    <cellStyle name="Обычный 6 4 5 2 7" xfId="19403"/>
    <cellStyle name="Обычный 6 4 5 2 7 2" xfId="19404"/>
    <cellStyle name="Обычный 6 4 5 2 8" xfId="19405"/>
    <cellStyle name="Обычный 6 4 5 2 9" xfId="19406"/>
    <cellStyle name="Обычный 6 4 5 3" xfId="19407"/>
    <cellStyle name="Обычный 6 4 5 3 2" xfId="19408"/>
    <cellStyle name="Обычный 6 4 5 3 2 2" xfId="19409"/>
    <cellStyle name="Обычный 6 4 5 3 2 2 2" xfId="19410"/>
    <cellStyle name="Обычный 6 4 5 3 2 2 2 2" xfId="19411"/>
    <cellStyle name="Обычный 6 4 5 3 2 2 2 3" xfId="19412"/>
    <cellStyle name="Обычный 6 4 5 3 2 2 3" xfId="19413"/>
    <cellStyle name="Обычный 6 4 5 3 2 2 3 2" xfId="19414"/>
    <cellStyle name="Обычный 6 4 5 3 2 2 3 3" xfId="19415"/>
    <cellStyle name="Обычный 6 4 5 3 2 2 4" xfId="19416"/>
    <cellStyle name="Обычный 6 4 5 3 2 2 4 2" xfId="19417"/>
    <cellStyle name="Обычный 6 4 5 3 2 2 5" xfId="19418"/>
    <cellStyle name="Обычный 6 4 5 3 2 2 6" xfId="19419"/>
    <cellStyle name="Обычный 6 4 5 3 2 3" xfId="19420"/>
    <cellStyle name="Обычный 6 4 5 3 2 3 2" xfId="19421"/>
    <cellStyle name="Обычный 6 4 5 3 2 3 3" xfId="19422"/>
    <cellStyle name="Обычный 6 4 5 3 2 4" xfId="19423"/>
    <cellStyle name="Обычный 6 4 5 3 2 4 2" xfId="19424"/>
    <cellStyle name="Обычный 6 4 5 3 2 4 3" xfId="19425"/>
    <cellStyle name="Обычный 6 4 5 3 2 5" xfId="19426"/>
    <cellStyle name="Обычный 6 4 5 3 2 5 2" xfId="19427"/>
    <cellStyle name="Обычный 6 4 5 3 2 6" xfId="19428"/>
    <cellStyle name="Обычный 6 4 5 3 2 7" xfId="19429"/>
    <cellStyle name="Обычный 6 4 5 3 3" xfId="19430"/>
    <cellStyle name="Обычный 6 4 5 3 3 2" xfId="19431"/>
    <cellStyle name="Обычный 6 4 5 3 3 2 2" xfId="19432"/>
    <cellStyle name="Обычный 6 4 5 3 3 2 3" xfId="19433"/>
    <cellStyle name="Обычный 6 4 5 3 3 3" xfId="19434"/>
    <cellStyle name="Обычный 6 4 5 3 3 3 2" xfId="19435"/>
    <cellStyle name="Обычный 6 4 5 3 3 3 3" xfId="19436"/>
    <cellStyle name="Обычный 6 4 5 3 3 4" xfId="19437"/>
    <cellStyle name="Обычный 6 4 5 3 3 4 2" xfId="19438"/>
    <cellStyle name="Обычный 6 4 5 3 3 5" xfId="19439"/>
    <cellStyle name="Обычный 6 4 5 3 3 6" xfId="19440"/>
    <cellStyle name="Обычный 6 4 5 3 4" xfId="19441"/>
    <cellStyle name="Обычный 6 4 5 3 4 2" xfId="19442"/>
    <cellStyle name="Обычный 6 4 5 3 4 3" xfId="19443"/>
    <cellStyle name="Обычный 6 4 5 3 5" xfId="19444"/>
    <cellStyle name="Обычный 6 4 5 3 5 2" xfId="19445"/>
    <cellStyle name="Обычный 6 4 5 3 5 3" xfId="19446"/>
    <cellStyle name="Обычный 6 4 5 3 6" xfId="19447"/>
    <cellStyle name="Обычный 6 4 5 3 6 2" xfId="19448"/>
    <cellStyle name="Обычный 6 4 5 3 7" xfId="19449"/>
    <cellStyle name="Обычный 6 4 5 3 8" xfId="19450"/>
    <cellStyle name="Обычный 6 4 5 4" xfId="19451"/>
    <cellStyle name="Обычный 6 4 5 4 2" xfId="19452"/>
    <cellStyle name="Обычный 6 4 5 4 2 2" xfId="19453"/>
    <cellStyle name="Обычный 6 4 5 4 2 2 2" xfId="19454"/>
    <cellStyle name="Обычный 6 4 5 4 2 2 3" xfId="19455"/>
    <cellStyle name="Обычный 6 4 5 4 2 3" xfId="19456"/>
    <cellStyle name="Обычный 6 4 5 4 2 3 2" xfId="19457"/>
    <cellStyle name="Обычный 6 4 5 4 2 3 3" xfId="19458"/>
    <cellStyle name="Обычный 6 4 5 4 2 4" xfId="19459"/>
    <cellStyle name="Обычный 6 4 5 4 2 4 2" xfId="19460"/>
    <cellStyle name="Обычный 6 4 5 4 2 5" xfId="19461"/>
    <cellStyle name="Обычный 6 4 5 4 2 6" xfId="19462"/>
    <cellStyle name="Обычный 6 4 5 4 3" xfId="19463"/>
    <cellStyle name="Обычный 6 4 5 4 3 2" xfId="19464"/>
    <cellStyle name="Обычный 6 4 5 4 3 3" xfId="19465"/>
    <cellStyle name="Обычный 6 4 5 4 4" xfId="19466"/>
    <cellStyle name="Обычный 6 4 5 4 4 2" xfId="19467"/>
    <cellStyle name="Обычный 6 4 5 4 4 3" xfId="19468"/>
    <cellStyle name="Обычный 6 4 5 4 5" xfId="19469"/>
    <cellStyle name="Обычный 6 4 5 4 5 2" xfId="19470"/>
    <cellStyle name="Обычный 6 4 5 4 6" xfId="19471"/>
    <cellStyle name="Обычный 6 4 5 4 7" xfId="19472"/>
    <cellStyle name="Обычный 6 4 5 5" xfId="19473"/>
    <cellStyle name="Обычный 6 4 5 5 2" xfId="19474"/>
    <cellStyle name="Обычный 6 4 5 5 2 2" xfId="19475"/>
    <cellStyle name="Обычный 6 4 5 5 2 3" xfId="19476"/>
    <cellStyle name="Обычный 6 4 5 5 3" xfId="19477"/>
    <cellStyle name="Обычный 6 4 5 5 3 2" xfId="19478"/>
    <cellStyle name="Обычный 6 4 5 5 3 3" xfId="19479"/>
    <cellStyle name="Обычный 6 4 5 5 4" xfId="19480"/>
    <cellStyle name="Обычный 6 4 5 5 4 2" xfId="19481"/>
    <cellStyle name="Обычный 6 4 5 5 5" xfId="19482"/>
    <cellStyle name="Обычный 6 4 5 5 6" xfId="19483"/>
    <cellStyle name="Обычный 6 4 5 6" xfId="19484"/>
    <cellStyle name="Обычный 6 4 5 6 2" xfId="19485"/>
    <cellStyle name="Обычный 6 4 5 6 3" xfId="19486"/>
    <cellStyle name="Обычный 6 4 5 7" xfId="19487"/>
    <cellStyle name="Обычный 6 4 5 7 2" xfId="19488"/>
    <cellStyle name="Обычный 6 4 5 7 3" xfId="19489"/>
    <cellStyle name="Обычный 6 4 5 8" xfId="19490"/>
    <cellStyle name="Обычный 6 4 5 8 2" xfId="19491"/>
    <cellStyle name="Обычный 6 4 5 9" xfId="19492"/>
    <cellStyle name="Обычный 6 4 6" xfId="19493"/>
    <cellStyle name="Обычный 6 4 6 2" xfId="19494"/>
    <cellStyle name="Обычный 6 4 6 2 2" xfId="19495"/>
    <cellStyle name="Обычный 6 4 6 2 2 2" xfId="19496"/>
    <cellStyle name="Обычный 6 4 6 2 2 2 2" xfId="19497"/>
    <cellStyle name="Обычный 6 4 6 2 2 2 2 2" xfId="19498"/>
    <cellStyle name="Обычный 6 4 6 2 2 2 2 3" xfId="19499"/>
    <cellStyle name="Обычный 6 4 6 2 2 2 3" xfId="19500"/>
    <cellStyle name="Обычный 6 4 6 2 2 2 3 2" xfId="19501"/>
    <cellStyle name="Обычный 6 4 6 2 2 2 3 3" xfId="19502"/>
    <cellStyle name="Обычный 6 4 6 2 2 2 4" xfId="19503"/>
    <cellStyle name="Обычный 6 4 6 2 2 2 4 2" xfId="19504"/>
    <cellStyle name="Обычный 6 4 6 2 2 2 5" xfId="19505"/>
    <cellStyle name="Обычный 6 4 6 2 2 2 6" xfId="19506"/>
    <cellStyle name="Обычный 6 4 6 2 2 3" xfId="19507"/>
    <cellStyle name="Обычный 6 4 6 2 2 3 2" xfId="19508"/>
    <cellStyle name="Обычный 6 4 6 2 2 3 3" xfId="19509"/>
    <cellStyle name="Обычный 6 4 6 2 2 4" xfId="19510"/>
    <cellStyle name="Обычный 6 4 6 2 2 4 2" xfId="19511"/>
    <cellStyle name="Обычный 6 4 6 2 2 4 3" xfId="19512"/>
    <cellStyle name="Обычный 6 4 6 2 2 5" xfId="19513"/>
    <cellStyle name="Обычный 6 4 6 2 2 5 2" xfId="19514"/>
    <cellStyle name="Обычный 6 4 6 2 2 6" xfId="19515"/>
    <cellStyle name="Обычный 6 4 6 2 2 7" xfId="19516"/>
    <cellStyle name="Обычный 6 4 6 2 3" xfId="19517"/>
    <cellStyle name="Обычный 6 4 6 2 3 2" xfId="19518"/>
    <cellStyle name="Обычный 6 4 6 2 3 2 2" xfId="19519"/>
    <cellStyle name="Обычный 6 4 6 2 3 2 3" xfId="19520"/>
    <cellStyle name="Обычный 6 4 6 2 3 3" xfId="19521"/>
    <cellStyle name="Обычный 6 4 6 2 3 3 2" xfId="19522"/>
    <cellStyle name="Обычный 6 4 6 2 3 3 3" xfId="19523"/>
    <cellStyle name="Обычный 6 4 6 2 3 4" xfId="19524"/>
    <cellStyle name="Обычный 6 4 6 2 3 4 2" xfId="19525"/>
    <cellStyle name="Обычный 6 4 6 2 3 5" xfId="19526"/>
    <cellStyle name="Обычный 6 4 6 2 3 6" xfId="19527"/>
    <cellStyle name="Обычный 6 4 6 2 4" xfId="19528"/>
    <cellStyle name="Обычный 6 4 6 2 4 2" xfId="19529"/>
    <cellStyle name="Обычный 6 4 6 2 4 3" xfId="19530"/>
    <cellStyle name="Обычный 6 4 6 2 5" xfId="19531"/>
    <cellStyle name="Обычный 6 4 6 2 5 2" xfId="19532"/>
    <cellStyle name="Обычный 6 4 6 2 5 3" xfId="19533"/>
    <cellStyle name="Обычный 6 4 6 2 6" xfId="19534"/>
    <cellStyle name="Обычный 6 4 6 2 6 2" xfId="19535"/>
    <cellStyle name="Обычный 6 4 6 2 7" xfId="19536"/>
    <cellStyle name="Обычный 6 4 6 2 8" xfId="19537"/>
    <cellStyle name="Обычный 6 4 6 3" xfId="19538"/>
    <cellStyle name="Обычный 6 4 6 3 2" xfId="19539"/>
    <cellStyle name="Обычный 6 4 6 3 2 2" xfId="19540"/>
    <cellStyle name="Обычный 6 4 6 3 2 2 2" xfId="19541"/>
    <cellStyle name="Обычный 6 4 6 3 2 2 3" xfId="19542"/>
    <cellStyle name="Обычный 6 4 6 3 2 3" xfId="19543"/>
    <cellStyle name="Обычный 6 4 6 3 2 3 2" xfId="19544"/>
    <cellStyle name="Обычный 6 4 6 3 2 3 3" xfId="19545"/>
    <cellStyle name="Обычный 6 4 6 3 2 4" xfId="19546"/>
    <cellStyle name="Обычный 6 4 6 3 2 4 2" xfId="19547"/>
    <cellStyle name="Обычный 6 4 6 3 2 5" xfId="19548"/>
    <cellStyle name="Обычный 6 4 6 3 2 6" xfId="19549"/>
    <cellStyle name="Обычный 6 4 6 3 3" xfId="19550"/>
    <cellStyle name="Обычный 6 4 6 3 3 2" xfId="19551"/>
    <cellStyle name="Обычный 6 4 6 3 3 3" xfId="19552"/>
    <cellStyle name="Обычный 6 4 6 3 4" xfId="19553"/>
    <cellStyle name="Обычный 6 4 6 3 4 2" xfId="19554"/>
    <cellStyle name="Обычный 6 4 6 3 4 3" xfId="19555"/>
    <cellStyle name="Обычный 6 4 6 3 5" xfId="19556"/>
    <cellStyle name="Обычный 6 4 6 3 5 2" xfId="19557"/>
    <cellStyle name="Обычный 6 4 6 3 6" xfId="19558"/>
    <cellStyle name="Обычный 6 4 6 3 7" xfId="19559"/>
    <cellStyle name="Обычный 6 4 6 4" xfId="19560"/>
    <cellStyle name="Обычный 6 4 6 4 2" xfId="19561"/>
    <cellStyle name="Обычный 6 4 6 4 2 2" xfId="19562"/>
    <cellStyle name="Обычный 6 4 6 4 2 3" xfId="19563"/>
    <cellStyle name="Обычный 6 4 6 4 3" xfId="19564"/>
    <cellStyle name="Обычный 6 4 6 4 3 2" xfId="19565"/>
    <cellStyle name="Обычный 6 4 6 4 3 3" xfId="19566"/>
    <cellStyle name="Обычный 6 4 6 4 4" xfId="19567"/>
    <cellStyle name="Обычный 6 4 6 4 4 2" xfId="19568"/>
    <cellStyle name="Обычный 6 4 6 4 5" xfId="19569"/>
    <cellStyle name="Обычный 6 4 6 4 6" xfId="19570"/>
    <cellStyle name="Обычный 6 4 6 5" xfId="19571"/>
    <cellStyle name="Обычный 6 4 6 5 2" xfId="19572"/>
    <cellStyle name="Обычный 6 4 6 5 3" xfId="19573"/>
    <cellStyle name="Обычный 6 4 6 6" xfId="19574"/>
    <cellStyle name="Обычный 6 4 6 6 2" xfId="19575"/>
    <cellStyle name="Обычный 6 4 6 6 3" xfId="19576"/>
    <cellStyle name="Обычный 6 4 6 7" xfId="19577"/>
    <cellStyle name="Обычный 6 4 6 7 2" xfId="19578"/>
    <cellStyle name="Обычный 6 4 6 8" xfId="19579"/>
    <cellStyle name="Обычный 6 4 6 9" xfId="19580"/>
    <cellStyle name="Обычный 6 4 7" xfId="19581"/>
    <cellStyle name="Обычный 6 4 7 2" xfId="19582"/>
    <cellStyle name="Обычный 6 4 7 2 2" xfId="19583"/>
    <cellStyle name="Обычный 6 4 7 2 2 2" xfId="19584"/>
    <cellStyle name="Обычный 6 4 7 2 2 2 2" xfId="19585"/>
    <cellStyle name="Обычный 6 4 7 2 2 2 3" xfId="19586"/>
    <cellStyle name="Обычный 6 4 7 2 2 3" xfId="19587"/>
    <cellStyle name="Обычный 6 4 7 2 2 3 2" xfId="19588"/>
    <cellStyle name="Обычный 6 4 7 2 2 3 3" xfId="19589"/>
    <cellStyle name="Обычный 6 4 7 2 2 4" xfId="19590"/>
    <cellStyle name="Обычный 6 4 7 2 2 4 2" xfId="19591"/>
    <cellStyle name="Обычный 6 4 7 2 2 5" xfId="19592"/>
    <cellStyle name="Обычный 6 4 7 2 2 6" xfId="19593"/>
    <cellStyle name="Обычный 6 4 7 2 3" xfId="19594"/>
    <cellStyle name="Обычный 6 4 7 2 3 2" xfId="19595"/>
    <cellStyle name="Обычный 6 4 7 2 3 3" xfId="19596"/>
    <cellStyle name="Обычный 6 4 7 2 4" xfId="19597"/>
    <cellStyle name="Обычный 6 4 7 2 4 2" xfId="19598"/>
    <cellStyle name="Обычный 6 4 7 2 4 3" xfId="19599"/>
    <cellStyle name="Обычный 6 4 7 2 5" xfId="19600"/>
    <cellStyle name="Обычный 6 4 7 2 5 2" xfId="19601"/>
    <cellStyle name="Обычный 6 4 7 2 6" xfId="19602"/>
    <cellStyle name="Обычный 6 4 7 2 7" xfId="19603"/>
    <cellStyle name="Обычный 6 4 7 3" xfId="19604"/>
    <cellStyle name="Обычный 6 4 7 3 2" xfId="19605"/>
    <cellStyle name="Обычный 6 4 7 3 2 2" xfId="19606"/>
    <cellStyle name="Обычный 6 4 7 3 2 3" xfId="19607"/>
    <cellStyle name="Обычный 6 4 7 3 3" xfId="19608"/>
    <cellStyle name="Обычный 6 4 7 3 3 2" xfId="19609"/>
    <cellStyle name="Обычный 6 4 7 3 3 3" xfId="19610"/>
    <cellStyle name="Обычный 6 4 7 3 4" xfId="19611"/>
    <cellStyle name="Обычный 6 4 7 3 4 2" xfId="19612"/>
    <cellStyle name="Обычный 6 4 7 3 5" xfId="19613"/>
    <cellStyle name="Обычный 6 4 7 3 6" xfId="19614"/>
    <cellStyle name="Обычный 6 4 7 4" xfId="19615"/>
    <cellStyle name="Обычный 6 4 7 4 2" xfId="19616"/>
    <cellStyle name="Обычный 6 4 7 4 3" xfId="19617"/>
    <cellStyle name="Обычный 6 4 7 5" xfId="19618"/>
    <cellStyle name="Обычный 6 4 7 5 2" xfId="19619"/>
    <cellStyle name="Обычный 6 4 7 5 3" xfId="19620"/>
    <cellStyle name="Обычный 6 4 7 6" xfId="19621"/>
    <cellStyle name="Обычный 6 4 7 6 2" xfId="19622"/>
    <cellStyle name="Обычный 6 4 7 7" xfId="19623"/>
    <cellStyle name="Обычный 6 4 7 8" xfId="19624"/>
    <cellStyle name="Обычный 6 4 8" xfId="19625"/>
    <cellStyle name="Обычный 6 4 8 2" xfId="19626"/>
    <cellStyle name="Обычный 6 4 8 2 2" xfId="19627"/>
    <cellStyle name="Обычный 6 4 8 2 2 2" xfId="19628"/>
    <cellStyle name="Обычный 6 4 8 2 2 3" xfId="19629"/>
    <cellStyle name="Обычный 6 4 8 2 3" xfId="19630"/>
    <cellStyle name="Обычный 6 4 8 2 3 2" xfId="19631"/>
    <cellStyle name="Обычный 6 4 8 2 3 3" xfId="19632"/>
    <cellStyle name="Обычный 6 4 8 2 4" xfId="19633"/>
    <cellStyle name="Обычный 6 4 8 2 4 2" xfId="19634"/>
    <cellStyle name="Обычный 6 4 8 2 5" xfId="19635"/>
    <cellStyle name="Обычный 6 4 8 2 6" xfId="19636"/>
    <cellStyle name="Обычный 6 4 8 3" xfId="19637"/>
    <cellStyle name="Обычный 6 4 8 3 2" xfId="19638"/>
    <cellStyle name="Обычный 6 4 8 3 3" xfId="19639"/>
    <cellStyle name="Обычный 6 4 8 4" xfId="19640"/>
    <cellStyle name="Обычный 6 4 8 4 2" xfId="19641"/>
    <cellStyle name="Обычный 6 4 8 4 3" xfId="19642"/>
    <cellStyle name="Обычный 6 4 8 5" xfId="19643"/>
    <cellStyle name="Обычный 6 4 8 5 2" xfId="19644"/>
    <cellStyle name="Обычный 6 4 8 6" xfId="19645"/>
    <cellStyle name="Обычный 6 4 8 7" xfId="19646"/>
    <cellStyle name="Обычный 6 4 9" xfId="19647"/>
    <cellStyle name="Обычный 6 4 9 2" xfId="19648"/>
    <cellStyle name="Обычный 6 4 9 2 2" xfId="19649"/>
    <cellStyle name="Обычный 6 4 9 2 3" xfId="19650"/>
    <cellStyle name="Обычный 6 4 9 3" xfId="19651"/>
    <cellStyle name="Обычный 6 4 9 3 2" xfId="19652"/>
    <cellStyle name="Обычный 6 4 9 3 3" xfId="19653"/>
    <cellStyle name="Обычный 6 4 9 4" xfId="19654"/>
    <cellStyle name="Обычный 6 4 9 4 2" xfId="19655"/>
    <cellStyle name="Обычный 6 4 9 5" xfId="19656"/>
    <cellStyle name="Обычный 6 4 9 6" xfId="19657"/>
    <cellStyle name="Обычный 6 5" xfId="19658"/>
    <cellStyle name="Обычный 6 5 10" xfId="19659"/>
    <cellStyle name="Обычный 6 5 10 2" xfId="19660"/>
    <cellStyle name="Обычный 6 5 10 3" xfId="19661"/>
    <cellStyle name="Обычный 6 5 11" xfId="19662"/>
    <cellStyle name="Обычный 6 5 11 2" xfId="19663"/>
    <cellStyle name="Обычный 6 5 11 3" xfId="19664"/>
    <cellStyle name="Обычный 6 5 12" xfId="19665"/>
    <cellStyle name="Обычный 6 5 12 2" xfId="19666"/>
    <cellStyle name="Обычный 6 5 13" xfId="19667"/>
    <cellStyle name="Обычный 6 5 14" xfId="19668"/>
    <cellStyle name="Обычный 6 5 2" xfId="19669"/>
    <cellStyle name="Обычный 6 5 2 10" xfId="19670"/>
    <cellStyle name="Обычный 6 5 2 10 2" xfId="19671"/>
    <cellStyle name="Обычный 6 5 2 10 3" xfId="19672"/>
    <cellStyle name="Обычный 6 5 2 11" xfId="19673"/>
    <cellStyle name="Обычный 6 5 2 11 2" xfId="19674"/>
    <cellStyle name="Обычный 6 5 2 12" xfId="19675"/>
    <cellStyle name="Обычный 6 5 2 13" xfId="19676"/>
    <cellStyle name="Обычный 6 5 2 2" xfId="19677"/>
    <cellStyle name="Обычный 6 5 2 2 10" xfId="19678"/>
    <cellStyle name="Обычный 6 5 2 2 2" xfId="19679"/>
    <cellStyle name="Обычный 6 5 2 2 2 2" xfId="19680"/>
    <cellStyle name="Обычный 6 5 2 2 2 2 2" xfId="19681"/>
    <cellStyle name="Обычный 6 5 2 2 2 2 2 2" xfId="19682"/>
    <cellStyle name="Обычный 6 5 2 2 2 2 2 2 2" xfId="19683"/>
    <cellStyle name="Обычный 6 5 2 2 2 2 2 2 2 2" xfId="19684"/>
    <cellStyle name="Обычный 6 5 2 2 2 2 2 2 2 3" xfId="19685"/>
    <cellStyle name="Обычный 6 5 2 2 2 2 2 2 3" xfId="19686"/>
    <cellStyle name="Обычный 6 5 2 2 2 2 2 2 3 2" xfId="19687"/>
    <cellStyle name="Обычный 6 5 2 2 2 2 2 2 3 3" xfId="19688"/>
    <cellStyle name="Обычный 6 5 2 2 2 2 2 2 4" xfId="19689"/>
    <cellStyle name="Обычный 6 5 2 2 2 2 2 2 4 2" xfId="19690"/>
    <cellStyle name="Обычный 6 5 2 2 2 2 2 2 5" xfId="19691"/>
    <cellStyle name="Обычный 6 5 2 2 2 2 2 2 6" xfId="19692"/>
    <cellStyle name="Обычный 6 5 2 2 2 2 2 3" xfId="19693"/>
    <cellStyle name="Обычный 6 5 2 2 2 2 2 3 2" xfId="19694"/>
    <cellStyle name="Обычный 6 5 2 2 2 2 2 3 3" xfId="19695"/>
    <cellStyle name="Обычный 6 5 2 2 2 2 2 4" xfId="19696"/>
    <cellStyle name="Обычный 6 5 2 2 2 2 2 4 2" xfId="19697"/>
    <cellStyle name="Обычный 6 5 2 2 2 2 2 4 3" xfId="19698"/>
    <cellStyle name="Обычный 6 5 2 2 2 2 2 5" xfId="19699"/>
    <cellStyle name="Обычный 6 5 2 2 2 2 2 5 2" xfId="19700"/>
    <cellStyle name="Обычный 6 5 2 2 2 2 2 6" xfId="19701"/>
    <cellStyle name="Обычный 6 5 2 2 2 2 2 7" xfId="19702"/>
    <cellStyle name="Обычный 6 5 2 2 2 2 3" xfId="19703"/>
    <cellStyle name="Обычный 6 5 2 2 2 2 3 2" xfId="19704"/>
    <cellStyle name="Обычный 6 5 2 2 2 2 3 2 2" xfId="19705"/>
    <cellStyle name="Обычный 6 5 2 2 2 2 3 2 3" xfId="19706"/>
    <cellStyle name="Обычный 6 5 2 2 2 2 3 3" xfId="19707"/>
    <cellStyle name="Обычный 6 5 2 2 2 2 3 3 2" xfId="19708"/>
    <cellStyle name="Обычный 6 5 2 2 2 2 3 3 3" xfId="19709"/>
    <cellStyle name="Обычный 6 5 2 2 2 2 3 4" xfId="19710"/>
    <cellStyle name="Обычный 6 5 2 2 2 2 3 4 2" xfId="19711"/>
    <cellStyle name="Обычный 6 5 2 2 2 2 3 5" xfId="19712"/>
    <cellStyle name="Обычный 6 5 2 2 2 2 3 6" xfId="19713"/>
    <cellStyle name="Обычный 6 5 2 2 2 2 4" xfId="19714"/>
    <cellStyle name="Обычный 6 5 2 2 2 2 4 2" xfId="19715"/>
    <cellStyle name="Обычный 6 5 2 2 2 2 4 3" xfId="19716"/>
    <cellStyle name="Обычный 6 5 2 2 2 2 5" xfId="19717"/>
    <cellStyle name="Обычный 6 5 2 2 2 2 5 2" xfId="19718"/>
    <cellStyle name="Обычный 6 5 2 2 2 2 5 3" xfId="19719"/>
    <cellStyle name="Обычный 6 5 2 2 2 2 6" xfId="19720"/>
    <cellStyle name="Обычный 6 5 2 2 2 2 6 2" xfId="19721"/>
    <cellStyle name="Обычный 6 5 2 2 2 2 7" xfId="19722"/>
    <cellStyle name="Обычный 6 5 2 2 2 2 8" xfId="19723"/>
    <cellStyle name="Обычный 6 5 2 2 2 3" xfId="19724"/>
    <cellStyle name="Обычный 6 5 2 2 2 3 2" xfId="19725"/>
    <cellStyle name="Обычный 6 5 2 2 2 3 2 2" xfId="19726"/>
    <cellStyle name="Обычный 6 5 2 2 2 3 2 2 2" xfId="19727"/>
    <cellStyle name="Обычный 6 5 2 2 2 3 2 2 3" xfId="19728"/>
    <cellStyle name="Обычный 6 5 2 2 2 3 2 3" xfId="19729"/>
    <cellStyle name="Обычный 6 5 2 2 2 3 2 3 2" xfId="19730"/>
    <cellStyle name="Обычный 6 5 2 2 2 3 2 3 3" xfId="19731"/>
    <cellStyle name="Обычный 6 5 2 2 2 3 2 4" xfId="19732"/>
    <cellStyle name="Обычный 6 5 2 2 2 3 2 4 2" xfId="19733"/>
    <cellStyle name="Обычный 6 5 2 2 2 3 2 5" xfId="19734"/>
    <cellStyle name="Обычный 6 5 2 2 2 3 2 6" xfId="19735"/>
    <cellStyle name="Обычный 6 5 2 2 2 3 3" xfId="19736"/>
    <cellStyle name="Обычный 6 5 2 2 2 3 3 2" xfId="19737"/>
    <cellStyle name="Обычный 6 5 2 2 2 3 3 3" xfId="19738"/>
    <cellStyle name="Обычный 6 5 2 2 2 3 4" xfId="19739"/>
    <cellStyle name="Обычный 6 5 2 2 2 3 4 2" xfId="19740"/>
    <cellStyle name="Обычный 6 5 2 2 2 3 4 3" xfId="19741"/>
    <cellStyle name="Обычный 6 5 2 2 2 3 5" xfId="19742"/>
    <cellStyle name="Обычный 6 5 2 2 2 3 5 2" xfId="19743"/>
    <cellStyle name="Обычный 6 5 2 2 2 3 6" xfId="19744"/>
    <cellStyle name="Обычный 6 5 2 2 2 3 7" xfId="19745"/>
    <cellStyle name="Обычный 6 5 2 2 2 4" xfId="19746"/>
    <cellStyle name="Обычный 6 5 2 2 2 4 2" xfId="19747"/>
    <cellStyle name="Обычный 6 5 2 2 2 4 2 2" xfId="19748"/>
    <cellStyle name="Обычный 6 5 2 2 2 4 2 3" xfId="19749"/>
    <cellStyle name="Обычный 6 5 2 2 2 4 3" xfId="19750"/>
    <cellStyle name="Обычный 6 5 2 2 2 4 3 2" xfId="19751"/>
    <cellStyle name="Обычный 6 5 2 2 2 4 3 3" xfId="19752"/>
    <cellStyle name="Обычный 6 5 2 2 2 4 4" xfId="19753"/>
    <cellStyle name="Обычный 6 5 2 2 2 4 4 2" xfId="19754"/>
    <cellStyle name="Обычный 6 5 2 2 2 4 5" xfId="19755"/>
    <cellStyle name="Обычный 6 5 2 2 2 4 6" xfId="19756"/>
    <cellStyle name="Обычный 6 5 2 2 2 5" xfId="19757"/>
    <cellStyle name="Обычный 6 5 2 2 2 5 2" xfId="19758"/>
    <cellStyle name="Обычный 6 5 2 2 2 5 3" xfId="19759"/>
    <cellStyle name="Обычный 6 5 2 2 2 6" xfId="19760"/>
    <cellStyle name="Обычный 6 5 2 2 2 6 2" xfId="19761"/>
    <cellStyle name="Обычный 6 5 2 2 2 6 3" xfId="19762"/>
    <cellStyle name="Обычный 6 5 2 2 2 7" xfId="19763"/>
    <cellStyle name="Обычный 6 5 2 2 2 7 2" xfId="19764"/>
    <cellStyle name="Обычный 6 5 2 2 2 8" xfId="19765"/>
    <cellStyle name="Обычный 6 5 2 2 2 9" xfId="19766"/>
    <cellStyle name="Обычный 6 5 2 2 3" xfId="19767"/>
    <cellStyle name="Обычный 6 5 2 2 3 2" xfId="19768"/>
    <cellStyle name="Обычный 6 5 2 2 3 2 2" xfId="19769"/>
    <cellStyle name="Обычный 6 5 2 2 3 2 2 2" xfId="19770"/>
    <cellStyle name="Обычный 6 5 2 2 3 2 2 2 2" xfId="19771"/>
    <cellStyle name="Обычный 6 5 2 2 3 2 2 2 3" xfId="19772"/>
    <cellStyle name="Обычный 6 5 2 2 3 2 2 3" xfId="19773"/>
    <cellStyle name="Обычный 6 5 2 2 3 2 2 3 2" xfId="19774"/>
    <cellStyle name="Обычный 6 5 2 2 3 2 2 3 3" xfId="19775"/>
    <cellStyle name="Обычный 6 5 2 2 3 2 2 4" xfId="19776"/>
    <cellStyle name="Обычный 6 5 2 2 3 2 2 4 2" xfId="19777"/>
    <cellStyle name="Обычный 6 5 2 2 3 2 2 5" xfId="19778"/>
    <cellStyle name="Обычный 6 5 2 2 3 2 2 6" xfId="19779"/>
    <cellStyle name="Обычный 6 5 2 2 3 2 3" xfId="19780"/>
    <cellStyle name="Обычный 6 5 2 2 3 2 3 2" xfId="19781"/>
    <cellStyle name="Обычный 6 5 2 2 3 2 3 3" xfId="19782"/>
    <cellStyle name="Обычный 6 5 2 2 3 2 4" xfId="19783"/>
    <cellStyle name="Обычный 6 5 2 2 3 2 4 2" xfId="19784"/>
    <cellStyle name="Обычный 6 5 2 2 3 2 4 3" xfId="19785"/>
    <cellStyle name="Обычный 6 5 2 2 3 2 5" xfId="19786"/>
    <cellStyle name="Обычный 6 5 2 2 3 2 5 2" xfId="19787"/>
    <cellStyle name="Обычный 6 5 2 2 3 2 6" xfId="19788"/>
    <cellStyle name="Обычный 6 5 2 2 3 2 7" xfId="19789"/>
    <cellStyle name="Обычный 6 5 2 2 3 3" xfId="19790"/>
    <cellStyle name="Обычный 6 5 2 2 3 3 2" xfId="19791"/>
    <cellStyle name="Обычный 6 5 2 2 3 3 2 2" xfId="19792"/>
    <cellStyle name="Обычный 6 5 2 2 3 3 2 3" xfId="19793"/>
    <cellStyle name="Обычный 6 5 2 2 3 3 3" xfId="19794"/>
    <cellStyle name="Обычный 6 5 2 2 3 3 3 2" xfId="19795"/>
    <cellStyle name="Обычный 6 5 2 2 3 3 3 3" xfId="19796"/>
    <cellStyle name="Обычный 6 5 2 2 3 3 4" xfId="19797"/>
    <cellStyle name="Обычный 6 5 2 2 3 3 4 2" xfId="19798"/>
    <cellStyle name="Обычный 6 5 2 2 3 3 5" xfId="19799"/>
    <cellStyle name="Обычный 6 5 2 2 3 3 6" xfId="19800"/>
    <cellStyle name="Обычный 6 5 2 2 3 4" xfId="19801"/>
    <cellStyle name="Обычный 6 5 2 2 3 4 2" xfId="19802"/>
    <cellStyle name="Обычный 6 5 2 2 3 4 3" xfId="19803"/>
    <cellStyle name="Обычный 6 5 2 2 3 5" xfId="19804"/>
    <cellStyle name="Обычный 6 5 2 2 3 5 2" xfId="19805"/>
    <cellStyle name="Обычный 6 5 2 2 3 5 3" xfId="19806"/>
    <cellStyle name="Обычный 6 5 2 2 3 6" xfId="19807"/>
    <cellStyle name="Обычный 6 5 2 2 3 6 2" xfId="19808"/>
    <cellStyle name="Обычный 6 5 2 2 3 7" xfId="19809"/>
    <cellStyle name="Обычный 6 5 2 2 3 8" xfId="19810"/>
    <cellStyle name="Обычный 6 5 2 2 4" xfId="19811"/>
    <cellStyle name="Обычный 6 5 2 2 4 2" xfId="19812"/>
    <cellStyle name="Обычный 6 5 2 2 4 2 2" xfId="19813"/>
    <cellStyle name="Обычный 6 5 2 2 4 2 2 2" xfId="19814"/>
    <cellStyle name="Обычный 6 5 2 2 4 2 2 3" xfId="19815"/>
    <cellStyle name="Обычный 6 5 2 2 4 2 3" xfId="19816"/>
    <cellStyle name="Обычный 6 5 2 2 4 2 3 2" xfId="19817"/>
    <cellStyle name="Обычный 6 5 2 2 4 2 3 3" xfId="19818"/>
    <cellStyle name="Обычный 6 5 2 2 4 2 4" xfId="19819"/>
    <cellStyle name="Обычный 6 5 2 2 4 2 4 2" xfId="19820"/>
    <cellStyle name="Обычный 6 5 2 2 4 2 5" xfId="19821"/>
    <cellStyle name="Обычный 6 5 2 2 4 2 6" xfId="19822"/>
    <cellStyle name="Обычный 6 5 2 2 4 3" xfId="19823"/>
    <cellStyle name="Обычный 6 5 2 2 4 3 2" xfId="19824"/>
    <cellStyle name="Обычный 6 5 2 2 4 3 3" xfId="19825"/>
    <cellStyle name="Обычный 6 5 2 2 4 4" xfId="19826"/>
    <cellStyle name="Обычный 6 5 2 2 4 4 2" xfId="19827"/>
    <cellStyle name="Обычный 6 5 2 2 4 4 3" xfId="19828"/>
    <cellStyle name="Обычный 6 5 2 2 4 5" xfId="19829"/>
    <cellStyle name="Обычный 6 5 2 2 4 5 2" xfId="19830"/>
    <cellStyle name="Обычный 6 5 2 2 4 6" xfId="19831"/>
    <cellStyle name="Обычный 6 5 2 2 4 7" xfId="19832"/>
    <cellStyle name="Обычный 6 5 2 2 5" xfId="19833"/>
    <cellStyle name="Обычный 6 5 2 2 5 2" xfId="19834"/>
    <cellStyle name="Обычный 6 5 2 2 5 2 2" xfId="19835"/>
    <cellStyle name="Обычный 6 5 2 2 5 2 3" xfId="19836"/>
    <cellStyle name="Обычный 6 5 2 2 5 3" xfId="19837"/>
    <cellStyle name="Обычный 6 5 2 2 5 3 2" xfId="19838"/>
    <cellStyle name="Обычный 6 5 2 2 5 3 3" xfId="19839"/>
    <cellStyle name="Обычный 6 5 2 2 5 4" xfId="19840"/>
    <cellStyle name="Обычный 6 5 2 2 5 4 2" xfId="19841"/>
    <cellStyle name="Обычный 6 5 2 2 5 5" xfId="19842"/>
    <cellStyle name="Обычный 6 5 2 2 5 6" xfId="19843"/>
    <cellStyle name="Обычный 6 5 2 2 6" xfId="19844"/>
    <cellStyle name="Обычный 6 5 2 2 6 2" xfId="19845"/>
    <cellStyle name="Обычный 6 5 2 2 6 3" xfId="19846"/>
    <cellStyle name="Обычный 6 5 2 2 7" xfId="19847"/>
    <cellStyle name="Обычный 6 5 2 2 7 2" xfId="19848"/>
    <cellStyle name="Обычный 6 5 2 2 7 3" xfId="19849"/>
    <cellStyle name="Обычный 6 5 2 2 8" xfId="19850"/>
    <cellStyle name="Обычный 6 5 2 2 8 2" xfId="19851"/>
    <cellStyle name="Обычный 6 5 2 2 9" xfId="19852"/>
    <cellStyle name="Обычный 6 5 2 3" xfId="19853"/>
    <cellStyle name="Обычный 6 5 2 3 10" xfId="19854"/>
    <cellStyle name="Обычный 6 5 2 3 2" xfId="19855"/>
    <cellStyle name="Обычный 6 5 2 3 2 2" xfId="19856"/>
    <cellStyle name="Обычный 6 5 2 3 2 2 2" xfId="19857"/>
    <cellStyle name="Обычный 6 5 2 3 2 2 2 2" xfId="19858"/>
    <cellStyle name="Обычный 6 5 2 3 2 2 2 2 2" xfId="19859"/>
    <cellStyle name="Обычный 6 5 2 3 2 2 2 2 2 2" xfId="19860"/>
    <cellStyle name="Обычный 6 5 2 3 2 2 2 2 2 3" xfId="19861"/>
    <cellStyle name="Обычный 6 5 2 3 2 2 2 2 3" xfId="19862"/>
    <cellStyle name="Обычный 6 5 2 3 2 2 2 2 3 2" xfId="19863"/>
    <cellStyle name="Обычный 6 5 2 3 2 2 2 2 3 3" xfId="19864"/>
    <cellStyle name="Обычный 6 5 2 3 2 2 2 2 4" xfId="19865"/>
    <cellStyle name="Обычный 6 5 2 3 2 2 2 2 4 2" xfId="19866"/>
    <cellStyle name="Обычный 6 5 2 3 2 2 2 2 5" xfId="19867"/>
    <cellStyle name="Обычный 6 5 2 3 2 2 2 2 6" xfId="19868"/>
    <cellStyle name="Обычный 6 5 2 3 2 2 2 3" xfId="19869"/>
    <cellStyle name="Обычный 6 5 2 3 2 2 2 3 2" xfId="19870"/>
    <cellStyle name="Обычный 6 5 2 3 2 2 2 3 3" xfId="19871"/>
    <cellStyle name="Обычный 6 5 2 3 2 2 2 4" xfId="19872"/>
    <cellStyle name="Обычный 6 5 2 3 2 2 2 4 2" xfId="19873"/>
    <cellStyle name="Обычный 6 5 2 3 2 2 2 4 3" xfId="19874"/>
    <cellStyle name="Обычный 6 5 2 3 2 2 2 5" xfId="19875"/>
    <cellStyle name="Обычный 6 5 2 3 2 2 2 5 2" xfId="19876"/>
    <cellStyle name="Обычный 6 5 2 3 2 2 2 6" xfId="19877"/>
    <cellStyle name="Обычный 6 5 2 3 2 2 2 7" xfId="19878"/>
    <cellStyle name="Обычный 6 5 2 3 2 2 3" xfId="19879"/>
    <cellStyle name="Обычный 6 5 2 3 2 2 3 2" xfId="19880"/>
    <cellStyle name="Обычный 6 5 2 3 2 2 3 2 2" xfId="19881"/>
    <cellStyle name="Обычный 6 5 2 3 2 2 3 2 3" xfId="19882"/>
    <cellStyle name="Обычный 6 5 2 3 2 2 3 3" xfId="19883"/>
    <cellStyle name="Обычный 6 5 2 3 2 2 3 3 2" xfId="19884"/>
    <cellStyle name="Обычный 6 5 2 3 2 2 3 3 3" xfId="19885"/>
    <cellStyle name="Обычный 6 5 2 3 2 2 3 4" xfId="19886"/>
    <cellStyle name="Обычный 6 5 2 3 2 2 3 4 2" xfId="19887"/>
    <cellStyle name="Обычный 6 5 2 3 2 2 3 5" xfId="19888"/>
    <cellStyle name="Обычный 6 5 2 3 2 2 3 6" xfId="19889"/>
    <cellStyle name="Обычный 6 5 2 3 2 2 4" xfId="19890"/>
    <cellStyle name="Обычный 6 5 2 3 2 2 4 2" xfId="19891"/>
    <cellStyle name="Обычный 6 5 2 3 2 2 4 3" xfId="19892"/>
    <cellStyle name="Обычный 6 5 2 3 2 2 5" xfId="19893"/>
    <cellStyle name="Обычный 6 5 2 3 2 2 5 2" xfId="19894"/>
    <cellStyle name="Обычный 6 5 2 3 2 2 5 3" xfId="19895"/>
    <cellStyle name="Обычный 6 5 2 3 2 2 6" xfId="19896"/>
    <cellStyle name="Обычный 6 5 2 3 2 2 6 2" xfId="19897"/>
    <cellStyle name="Обычный 6 5 2 3 2 2 7" xfId="19898"/>
    <cellStyle name="Обычный 6 5 2 3 2 2 8" xfId="19899"/>
    <cellStyle name="Обычный 6 5 2 3 2 3" xfId="19900"/>
    <cellStyle name="Обычный 6 5 2 3 2 3 2" xfId="19901"/>
    <cellStyle name="Обычный 6 5 2 3 2 3 2 2" xfId="19902"/>
    <cellStyle name="Обычный 6 5 2 3 2 3 2 2 2" xfId="19903"/>
    <cellStyle name="Обычный 6 5 2 3 2 3 2 2 3" xfId="19904"/>
    <cellStyle name="Обычный 6 5 2 3 2 3 2 3" xfId="19905"/>
    <cellStyle name="Обычный 6 5 2 3 2 3 2 3 2" xfId="19906"/>
    <cellStyle name="Обычный 6 5 2 3 2 3 2 3 3" xfId="19907"/>
    <cellStyle name="Обычный 6 5 2 3 2 3 2 4" xfId="19908"/>
    <cellStyle name="Обычный 6 5 2 3 2 3 2 4 2" xfId="19909"/>
    <cellStyle name="Обычный 6 5 2 3 2 3 2 5" xfId="19910"/>
    <cellStyle name="Обычный 6 5 2 3 2 3 2 6" xfId="19911"/>
    <cellStyle name="Обычный 6 5 2 3 2 3 3" xfId="19912"/>
    <cellStyle name="Обычный 6 5 2 3 2 3 3 2" xfId="19913"/>
    <cellStyle name="Обычный 6 5 2 3 2 3 3 3" xfId="19914"/>
    <cellStyle name="Обычный 6 5 2 3 2 3 4" xfId="19915"/>
    <cellStyle name="Обычный 6 5 2 3 2 3 4 2" xfId="19916"/>
    <cellStyle name="Обычный 6 5 2 3 2 3 4 3" xfId="19917"/>
    <cellStyle name="Обычный 6 5 2 3 2 3 5" xfId="19918"/>
    <cellStyle name="Обычный 6 5 2 3 2 3 5 2" xfId="19919"/>
    <cellStyle name="Обычный 6 5 2 3 2 3 6" xfId="19920"/>
    <cellStyle name="Обычный 6 5 2 3 2 3 7" xfId="19921"/>
    <cellStyle name="Обычный 6 5 2 3 2 4" xfId="19922"/>
    <cellStyle name="Обычный 6 5 2 3 2 4 2" xfId="19923"/>
    <cellStyle name="Обычный 6 5 2 3 2 4 2 2" xfId="19924"/>
    <cellStyle name="Обычный 6 5 2 3 2 4 2 3" xfId="19925"/>
    <cellStyle name="Обычный 6 5 2 3 2 4 3" xfId="19926"/>
    <cellStyle name="Обычный 6 5 2 3 2 4 3 2" xfId="19927"/>
    <cellStyle name="Обычный 6 5 2 3 2 4 3 3" xfId="19928"/>
    <cellStyle name="Обычный 6 5 2 3 2 4 4" xfId="19929"/>
    <cellStyle name="Обычный 6 5 2 3 2 4 4 2" xfId="19930"/>
    <cellStyle name="Обычный 6 5 2 3 2 4 5" xfId="19931"/>
    <cellStyle name="Обычный 6 5 2 3 2 4 6" xfId="19932"/>
    <cellStyle name="Обычный 6 5 2 3 2 5" xfId="19933"/>
    <cellStyle name="Обычный 6 5 2 3 2 5 2" xfId="19934"/>
    <cellStyle name="Обычный 6 5 2 3 2 5 3" xfId="19935"/>
    <cellStyle name="Обычный 6 5 2 3 2 6" xfId="19936"/>
    <cellStyle name="Обычный 6 5 2 3 2 6 2" xfId="19937"/>
    <cellStyle name="Обычный 6 5 2 3 2 6 3" xfId="19938"/>
    <cellStyle name="Обычный 6 5 2 3 2 7" xfId="19939"/>
    <cellStyle name="Обычный 6 5 2 3 2 7 2" xfId="19940"/>
    <cellStyle name="Обычный 6 5 2 3 2 8" xfId="19941"/>
    <cellStyle name="Обычный 6 5 2 3 2 9" xfId="19942"/>
    <cellStyle name="Обычный 6 5 2 3 3" xfId="19943"/>
    <cellStyle name="Обычный 6 5 2 3 3 2" xfId="19944"/>
    <cellStyle name="Обычный 6 5 2 3 3 2 2" xfId="19945"/>
    <cellStyle name="Обычный 6 5 2 3 3 2 2 2" xfId="19946"/>
    <cellStyle name="Обычный 6 5 2 3 3 2 2 2 2" xfId="19947"/>
    <cellStyle name="Обычный 6 5 2 3 3 2 2 2 3" xfId="19948"/>
    <cellStyle name="Обычный 6 5 2 3 3 2 2 3" xfId="19949"/>
    <cellStyle name="Обычный 6 5 2 3 3 2 2 3 2" xfId="19950"/>
    <cellStyle name="Обычный 6 5 2 3 3 2 2 3 3" xfId="19951"/>
    <cellStyle name="Обычный 6 5 2 3 3 2 2 4" xfId="19952"/>
    <cellStyle name="Обычный 6 5 2 3 3 2 2 4 2" xfId="19953"/>
    <cellStyle name="Обычный 6 5 2 3 3 2 2 5" xfId="19954"/>
    <cellStyle name="Обычный 6 5 2 3 3 2 2 6" xfId="19955"/>
    <cellStyle name="Обычный 6 5 2 3 3 2 3" xfId="19956"/>
    <cellStyle name="Обычный 6 5 2 3 3 2 3 2" xfId="19957"/>
    <cellStyle name="Обычный 6 5 2 3 3 2 3 3" xfId="19958"/>
    <cellStyle name="Обычный 6 5 2 3 3 2 4" xfId="19959"/>
    <cellStyle name="Обычный 6 5 2 3 3 2 4 2" xfId="19960"/>
    <cellStyle name="Обычный 6 5 2 3 3 2 4 3" xfId="19961"/>
    <cellStyle name="Обычный 6 5 2 3 3 2 5" xfId="19962"/>
    <cellStyle name="Обычный 6 5 2 3 3 2 5 2" xfId="19963"/>
    <cellStyle name="Обычный 6 5 2 3 3 2 6" xfId="19964"/>
    <cellStyle name="Обычный 6 5 2 3 3 2 7" xfId="19965"/>
    <cellStyle name="Обычный 6 5 2 3 3 3" xfId="19966"/>
    <cellStyle name="Обычный 6 5 2 3 3 3 2" xfId="19967"/>
    <cellStyle name="Обычный 6 5 2 3 3 3 2 2" xfId="19968"/>
    <cellStyle name="Обычный 6 5 2 3 3 3 2 3" xfId="19969"/>
    <cellStyle name="Обычный 6 5 2 3 3 3 3" xfId="19970"/>
    <cellStyle name="Обычный 6 5 2 3 3 3 3 2" xfId="19971"/>
    <cellStyle name="Обычный 6 5 2 3 3 3 3 3" xfId="19972"/>
    <cellStyle name="Обычный 6 5 2 3 3 3 4" xfId="19973"/>
    <cellStyle name="Обычный 6 5 2 3 3 3 4 2" xfId="19974"/>
    <cellStyle name="Обычный 6 5 2 3 3 3 5" xfId="19975"/>
    <cellStyle name="Обычный 6 5 2 3 3 3 6" xfId="19976"/>
    <cellStyle name="Обычный 6 5 2 3 3 4" xfId="19977"/>
    <cellStyle name="Обычный 6 5 2 3 3 4 2" xfId="19978"/>
    <cellStyle name="Обычный 6 5 2 3 3 4 3" xfId="19979"/>
    <cellStyle name="Обычный 6 5 2 3 3 5" xfId="19980"/>
    <cellStyle name="Обычный 6 5 2 3 3 5 2" xfId="19981"/>
    <cellStyle name="Обычный 6 5 2 3 3 5 3" xfId="19982"/>
    <cellStyle name="Обычный 6 5 2 3 3 6" xfId="19983"/>
    <cellStyle name="Обычный 6 5 2 3 3 6 2" xfId="19984"/>
    <cellStyle name="Обычный 6 5 2 3 3 7" xfId="19985"/>
    <cellStyle name="Обычный 6 5 2 3 3 8" xfId="19986"/>
    <cellStyle name="Обычный 6 5 2 3 4" xfId="19987"/>
    <cellStyle name="Обычный 6 5 2 3 4 2" xfId="19988"/>
    <cellStyle name="Обычный 6 5 2 3 4 2 2" xfId="19989"/>
    <cellStyle name="Обычный 6 5 2 3 4 2 2 2" xfId="19990"/>
    <cellStyle name="Обычный 6 5 2 3 4 2 2 3" xfId="19991"/>
    <cellStyle name="Обычный 6 5 2 3 4 2 3" xfId="19992"/>
    <cellStyle name="Обычный 6 5 2 3 4 2 3 2" xfId="19993"/>
    <cellStyle name="Обычный 6 5 2 3 4 2 3 3" xfId="19994"/>
    <cellStyle name="Обычный 6 5 2 3 4 2 4" xfId="19995"/>
    <cellStyle name="Обычный 6 5 2 3 4 2 4 2" xfId="19996"/>
    <cellStyle name="Обычный 6 5 2 3 4 2 5" xfId="19997"/>
    <cellStyle name="Обычный 6 5 2 3 4 2 6" xfId="19998"/>
    <cellStyle name="Обычный 6 5 2 3 4 3" xfId="19999"/>
    <cellStyle name="Обычный 6 5 2 3 4 3 2" xfId="20000"/>
    <cellStyle name="Обычный 6 5 2 3 4 3 3" xfId="20001"/>
    <cellStyle name="Обычный 6 5 2 3 4 4" xfId="20002"/>
    <cellStyle name="Обычный 6 5 2 3 4 4 2" xfId="20003"/>
    <cellStyle name="Обычный 6 5 2 3 4 4 3" xfId="20004"/>
    <cellStyle name="Обычный 6 5 2 3 4 5" xfId="20005"/>
    <cellStyle name="Обычный 6 5 2 3 4 5 2" xfId="20006"/>
    <cellStyle name="Обычный 6 5 2 3 4 6" xfId="20007"/>
    <cellStyle name="Обычный 6 5 2 3 4 7" xfId="20008"/>
    <cellStyle name="Обычный 6 5 2 3 5" xfId="20009"/>
    <cellStyle name="Обычный 6 5 2 3 5 2" xfId="20010"/>
    <cellStyle name="Обычный 6 5 2 3 5 2 2" xfId="20011"/>
    <cellStyle name="Обычный 6 5 2 3 5 2 3" xfId="20012"/>
    <cellStyle name="Обычный 6 5 2 3 5 3" xfId="20013"/>
    <cellStyle name="Обычный 6 5 2 3 5 3 2" xfId="20014"/>
    <cellStyle name="Обычный 6 5 2 3 5 3 3" xfId="20015"/>
    <cellStyle name="Обычный 6 5 2 3 5 4" xfId="20016"/>
    <cellStyle name="Обычный 6 5 2 3 5 4 2" xfId="20017"/>
    <cellStyle name="Обычный 6 5 2 3 5 5" xfId="20018"/>
    <cellStyle name="Обычный 6 5 2 3 5 6" xfId="20019"/>
    <cellStyle name="Обычный 6 5 2 3 6" xfId="20020"/>
    <cellStyle name="Обычный 6 5 2 3 6 2" xfId="20021"/>
    <cellStyle name="Обычный 6 5 2 3 6 3" xfId="20022"/>
    <cellStyle name="Обычный 6 5 2 3 7" xfId="20023"/>
    <cellStyle name="Обычный 6 5 2 3 7 2" xfId="20024"/>
    <cellStyle name="Обычный 6 5 2 3 7 3" xfId="20025"/>
    <cellStyle name="Обычный 6 5 2 3 8" xfId="20026"/>
    <cellStyle name="Обычный 6 5 2 3 8 2" xfId="20027"/>
    <cellStyle name="Обычный 6 5 2 3 9" xfId="20028"/>
    <cellStyle name="Обычный 6 5 2 4" xfId="20029"/>
    <cellStyle name="Обычный 6 5 2 4 10" xfId="20030"/>
    <cellStyle name="Обычный 6 5 2 4 2" xfId="20031"/>
    <cellStyle name="Обычный 6 5 2 4 2 2" xfId="20032"/>
    <cellStyle name="Обычный 6 5 2 4 2 2 2" xfId="20033"/>
    <cellStyle name="Обычный 6 5 2 4 2 2 2 2" xfId="20034"/>
    <cellStyle name="Обычный 6 5 2 4 2 2 2 2 2" xfId="20035"/>
    <cellStyle name="Обычный 6 5 2 4 2 2 2 2 2 2" xfId="20036"/>
    <cellStyle name="Обычный 6 5 2 4 2 2 2 2 2 3" xfId="20037"/>
    <cellStyle name="Обычный 6 5 2 4 2 2 2 2 3" xfId="20038"/>
    <cellStyle name="Обычный 6 5 2 4 2 2 2 2 3 2" xfId="20039"/>
    <cellStyle name="Обычный 6 5 2 4 2 2 2 2 3 3" xfId="20040"/>
    <cellStyle name="Обычный 6 5 2 4 2 2 2 2 4" xfId="20041"/>
    <cellStyle name="Обычный 6 5 2 4 2 2 2 2 4 2" xfId="20042"/>
    <cellStyle name="Обычный 6 5 2 4 2 2 2 2 5" xfId="20043"/>
    <cellStyle name="Обычный 6 5 2 4 2 2 2 2 6" xfId="20044"/>
    <cellStyle name="Обычный 6 5 2 4 2 2 2 3" xfId="20045"/>
    <cellStyle name="Обычный 6 5 2 4 2 2 2 3 2" xfId="20046"/>
    <cellStyle name="Обычный 6 5 2 4 2 2 2 3 3" xfId="20047"/>
    <cellStyle name="Обычный 6 5 2 4 2 2 2 4" xfId="20048"/>
    <cellStyle name="Обычный 6 5 2 4 2 2 2 4 2" xfId="20049"/>
    <cellStyle name="Обычный 6 5 2 4 2 2 2 4 3" xfId="20050"/>
    <cellStyle name="Обычный 6 5 2 4 2 2 2 5" xfId="20051"/>
    <cellStyle name="Обычный 6 5 2 4 2 2 2 5 2" xfId="20052"/>
    <cellStyle name="Обычный 6 5 2 4 2 2 2 6" xfId="20053"/>
    <cellStyle name="Обычный 6 5 2 4 2 2 2 7" xfId="20054"/>
    <cellStyle name="Обычный 6 5 2 4 2 2 3" xfId="20055"/>
    <cellStyle name="Обычный 6 5 2 4 2 2 3 2" xfId="20056"/>
    <cellStyle name="Обычный 6 5 2 4 2 2 3 2 2" xfId="20057"/>
    <cellStyle name="Обычный 6 5 2 4 2 2 3 2 3" xfId="20058"/>
    <cellStyle name="Обычный 6 5 2 4 2 2 3 3" xfId="20059"/>
    <cellStyle name="Обычный 6 5 2 4 2 2 3 3 2" xfId="20060"/>
    <cellStyle name="Обычный 6 5 2 4 2 2 3 3 3" xfId="20061"/>
    <cellStyle name="Обычный 6 5 2 4 2 2 3 4" xfId="20062"/>
    <cellStyle name="Обычный 6 5 2 4 2 2 3 4 2" xfId="20063"/>
    <cellStyle name="Обычный 6 5 2 4 2 2 3 5" xfId="20064"/>
    <cellStyle name="Обычный 6 5 2 4 2 2 3 6" xfId="20065"/>
    <cellStyle name="Обычный 6 5 2 4 2 2 4" xfId="20066"/>
    <cellStyle name="Обычный 6 5 2 4 2 2 4 2" xfId="20067"/>
    <cellStyle name="Обычный 6 5 2 4 2 2 4 3" xfId="20068"/>
    <cellStyle name="Обычный 6 5 2 4 2 2 5" xfId="20069"/>
    <cellStyle name="Обычный 6 5 2 4 2 2 5 2" xfId="20070"/>
    <cellStyle name="Обычный 6 5 2 4 2 2 5 3" xfId="20071"/>
    <cellStyle name="Обычный 6 5 2 4 2 2 6" xfId="20072"/>
    <cellStyle name="Обычный 6 5 2 4 2 2 6 2" xfId="20073"/>
    <cellStyle name="Обычный 6 5 2 4 2 2 7" xfId="20074"/>
    <cellStyle name="Обычный 6 5 2 4 2 2 8" xfId="20075"/>
    <cellStyle name="Обычный 6 5 2 4 2 3" xfId="20076"/>
    <cellStyle name="Обычный 6 5 2 4 2 3 2" xfId="20077"/>
    <cellStyle name="Обычный 6 5 2 4 2 3 2 2" xfId="20078"/>
    <cellStyle name="Обычный 6 5 2 4 2 3 2 2 2" xfId="20079"/>
    <cellStyle name="Обычный 6 5 2 4 2 3 2 2 3" xfId="20080"/>
    <cellStyle name="Обычный 6 5 2 4 2 3 2 3" xfId="20081"/>
    <cellStyle name="Обычный 6 5 2 4 2 3 2 3 2" xfId="20082"/>
    <cellStyle name="Обычный 6 5 2 4 2 3 2 3 3" xfId="20083"/>
    <cellStyle name="Обычный 6 5 2 4 2 3 2 4" xfId="20084"/>
    <cellStyle name="Обычный 6 5 2 4 2 3 2 4 2" xfId="20085"/>
    <cellStyle name="Обычный 6 5 2 4 2 3 2 5" xfId="20086"/>
    <cellStyle name="Обычный 6 5 2 4 2 3 2 6" xfId="20087"/>
    <cellStyle name="Обычный 6 5 2 4 2 3 3" xfId="20088"/>
    <cellStyle name="Обычный 6 5 2 4 2 3 3 2" xfId="20089"/>
    <cellStyle name="Обычный 6 5 2 4 2 3 3 3" xfId="20090"/>
    <cellStyle name="Обычный 6 5 2 4 2 3 4" xfId="20091"/>
    <cellStyle name="Обычный 6 5 2 4 2 3 4 2" xfId="20092"/>
    <cellStyle name="Обычный 6 5 2 4 2 3 4 3" xfId="20093"/>
    <cellStyle name="Обычный 6 5 2 4 2 3 5" xfId="20094"/>
    <cellStyle name="Обычный 6 5 2 4 2 3 5 2" xfId="20095"/>
    <cellStyle name="Обычный 6 5 2 4 2 3 6" xfId="20096"/>
    <cellStyle name="Обычный 6 5 2 4 2 3 7" xfId="20097"/>
    <cellStyle name="Обычный 6 5 2 4 2 4" xfId="20098"/>
    <cellStyle name="Обычный 6 5 2 4 2 4 2" xfId="20099"/>
    <cellStyle name="Обычный 6 5 2 4 2 4 2 2" xfId="20100"/>
    <cellStyle name="Обычный 6 5 2 4 2 4 2 3" xfId="20101"/>
    <cellStyle name="Обычный 6 5 2 4 2 4 3" xfId="20102"/>
    <cellStyle name="Обычный 6 5 2 4 2 4 3 2" xfId="20103"/>
    <cellStyle name="Обычный 6 5 2 4 2 4 3 3" xfId="20104"/>
    <cellStyle name="Обычный 6 5 2 4 2 4 4" xfId="20105"/>
    <cellStyle name="Обычный 6 5 2 4 2 4 4 2" xfId="20106"/>
    <cellStyle name="Обычный 6 5 2 4 2 4 5" xfId="20107"/>
    <cellStyle name="Обычный 6 5 2 4 2 4 6" xfId="20108"/>
    <cellStyle name="Обычный 6 5 2 4 2 5" xfId="20109"/>
    <cellStyle name="Обычный 6 5 2 4 2 5 2" xfId="20110"/>
    <cellStyle name="Обычный 6 5 2 4 2 5 3" xfId="20111"/>
    <cellStyle name="Обычный 6 5 2 4 2 6" xfId="20112"/>
    <cellStyle name="Обычный 6 5 2 4 2 6 2" xfId="20113"/>
    <cellStyle name="Обычный 6 5 2 4 2 6 3" xfId="20114"/>
    <cellStyle name="Обычный 6 5 2 4 2 7" xfId="20115"/>
    <cellStyle name="Обычный 6 5 2 4 2 7 2" xfId="20116"/>
    <cellStyle name="Обычный 6 5 2 4 2 8" xfId="20117"/>
    <cellStyle name="Обычный 6 5 2 4 2 9" xfId="20118"/>
    <cellStyle name="Обычный 6 5 2 4 3" xfId="20119"/>
    <cellStyle name="Обычный 6 5 2 4 3 2" xfId="20120"/>
    <cellStyle name="Обычный 6 5 2 4 3 2 2" xfId="20121"/>
    <cellStyle name="Обычный 6 5 2 4 3 2 2 2" xfId="20122"/>
    <cellStyle name="Обычный 6 5 2 4 3 2 2 2 2" xfId="20123"/>
    <cellStyle name="Обычный 6 5 2 4 3 2 2 2 3" xfId="20124"/>
    <cellStyle name="Обычный 6 5 2 4 3 2 2 3" xfId="20125"/>
    <cellStyle name="Обычный 6 5 2 4 3 2 2 3 2" xfId="20126"/>
    <cellStyle name="Обычный 6 5 2 4 3 2 2 3 3" xfId="20127"/>
    <cellStyle name="Обычный 6 5 2 4 3 2 2 4" xfId="20128"/>
    <cellStyle name="Обычный 6 5 2 4 3 2 2 4 2" xfId="20129"/>
    <cellStyle name="Обычный 6 5 2 4 3 2 2 5" xfId="20130"/>
    <cellStyle name="Обычный 6 5 2 4 3 2 2 6" xfId="20131"/>
    <cellStyle name="Обычный 6 5 2 4 3 2 3" xfId="20132"/>
    <cellStyle name="Обычный 6 5 2 4 3 2 3 2" xfId="20133"/>
    <cellStyle name="Обычный 6 5 2 4 3 2 3 3" xfId="20134"/>
    <cellStyle name="Обычный 6 5 2 4 3 2 4" xfId="20135"/>
    <cellStyle name="Обычный 6 5 2 4 3 2 4 2" xfId="20136"/>
    <cellStyle name="Обычный 6 5 2 4 3 2 4 3" xfId="20137"/>
    <cellStyle name="Обычный 6 5 2 4 3 2 5" xfId="20138"/>
    <cellStyle name="Обычный 6 5 2 4 3 2 5 2" xfId="20139"/>
    <cellStyle name="Обычный 6 5 2 4 3 2 6" xfId="20140"/>
    <cellStyle name="Обычный 6 5 2 4 3 2 7" xfId="20141"/>
    <cellStyle name="Обычный 6 5 2 4 3 3" xfId="20142"/>
    <cellStyle name="Обычный 6 5 2 4 3 3 2" xfId="20143"/>
    <cellStyle name="Обычный 6 5 2 4 3 3 2 2" xfId="20144"/>
    <cellStyle name="Обычный 6 5 2 4 3 3 2 3" xfId="20145"/>
    <cellStyle name="Обычный 6 5 2 4 3 3 3" xfId="20146"/>
    <cellStyle name="Обычный 6 5 2 4 3 3 3 2" xfId="20147"/>
    <cellStyle name="Обычный 6 5 2 4 3 3 3 3" xfId="20148"/>
    <cellStyle name="Обычный 6 5 2 4 3 3 4" xfId="20149"/>
    <cellStyle name="Обычный 6 5 2 4 3 3 4 2" xfId="20150"/>
    <cellStyle name="Обычный 6 5 2 4 3 3 5" xfId="20151"/>
    <cellStyle name="Обычный 6 5 2 4 3 3 6" xfId="20152"/>
    <cellStyle name="Обычный 6 5 2 4 3 4" xfId="20153"/>
    <cellStyle name="Обычный 6 5 2 4 3 4 2" xfId="20154"/>
    <cellStyle name="Обычный 6 5 2 4 3 4 3" xfId="20155"/>
    <cellStyle name="Обычный 6 5 2 4 3 5" xfId="20156"/>
    <cellStyle name="Обычный 6 5 2 4 3 5 2" xfId="20157"/>
    <cellStyle name="Обычный 6 5 2 4 3 5 3" xfId="20158"/>
    <cellStyle name="Обычный 6 5 2 4 3 6" xfId="20159"/>
    <cellStyle name="Обычный 6 5 2 4 3 6 2" xfId="20160"/>
    <cellStyle name="Обычный 6 5 2 4 3 7" xfId="20161"/>
    <cellStyle name="Обычный 6 5 2 4 3 8" xfId="20162"/>
    <cellStyle name="Обычный 6 5 2 4 4" xfId="20163"/>
    <cellStyle name="Обычный 6 5 2 4 4 2" xfId="20164"/>
    <cellStyle name="Обычный 6 5 2 4 4 2 2" xfId="20165"/>
    <cellStyle name="Обычный 6 5 2 4 4 2 2 2" xfId="20166"/>
    <cellStyle name="Обычный 6 5 2 4 4 2 2 3" xfId="20167"/>
    <cellStyle name="Обычный 6 5 2 4 4 2 3" xfId="20168"/>
    <cellStyle name="Обычный 6 5 2 4 4 2 3 2" xfId="20169"/>
    <cellStyle name="Обычный 6 5 2 4 4 2 3 3" xfId="20170"/>
    <cellStyle name="Обычный 6 5 2 4 4 2 4" xfId="20171"/>
    <cellStyle name="Обычный 6 5 2 4 4 2 4 2" xfId="20172"/>
    <cellStyle name="Обычный 6 5 2 4 4 2 5" xfId="20173"/>
    <cellStyle name="Обычный 6 5 2 4 4 2 6" xfId="20174"/>
    <cellStyle name="Обычный 6 5 2 4 4 3" xfId="20175"/>
    <cellStyle name="Обычный 6 5 2 4 4 3 2" xfId="20176"/>
    <cellStyle name="Обычный 6 5 2 4 4 3 3" xfId="20177"/>
    <cellStyle name="Обычный 6 5 2 4 4 4" xfId="20178"/>
    <cellStyle name="Обычный 6 5 2 4 4 4 2" xfId="20179"/>
    <cellStyle name="Обычный 6 5 2 4 4 4 3" xfId="20180"/>
    <cellStyle name="Обычный 6 5 2 4 4 5" xfId="20181"/>
    <cellStyle name="Обычный 6 5 2 4 4 5 2" xfId="20182"/>
    <cellStyle name="Обычный 6 5 2 4 4 6" xfId="20183"/>
    <cellStyle name="Обычный 6 5 2 4 4 7" xfId="20184"/>
    <cellStyle name="Обычный 6 5 2 4 5" xfId="20185"/>
    <cellStyle name="Обычный 6 5 2 4 5 2" xfId="20186"/>
    <cellStyle name="Обычный 6 5 2 4 5 2 2" xfId="20187"/>
    <cellStyle name="Обычный 6 5 2 4 5 2 3" xfId="20188"/>
    <cellStyle name="Обычный 6 5 2 4 5 3" xfId="20189"/>
    <cellStyle name="Обычный 6 5 2 4 5 3 2" xfId="20190"/>
    <cellStyle name="Обычный 6 5 2 4 5 3 3" xfId="20191"/>
    <cellStyle name="Обычный 6 5 2 4 5 4" xfId="20192"/>
    <cellStyle name="Обычный 6 5 2 4 5 4 2" xfId="20193"/>
    <cellStyle name="Обычный 6 5 2 4 5 5" xfId="20194"/>
    <cellStyle name="Обычный 6 5 2 4 5 6" xfId="20195"/>
    <cellStyle name="Обычный 6 5 2 4 6" xfId="20196"/>
    <cellStyle name="Обычный 6 5 2 4 6 2" xfId="20197"/>
    <cellStyle name="Обычный 6 5 2 4 6 3" xfId="20198"/>
    <cellStyle name="Обычный 6 5 2 4 7" xfId="20199"/>
    <cellStyle name="Обычный 6 5 2 4 7 2" xfId="20200"/>
    <cellStyle name="Обычный 6 5 2 4 7 3" xfId="20201"/>
    <cellStyle name="Обычный 6 5 2 4 8" xfId="20202"/>
    <cellStyle name="Обычный 6 5 2 4 8 2" xfId="20203"/>
    <cellStyle name="Обычный 6 5 2 4 9" xfId="20204"/>
    <cellStyle name="Обычный 6 5 2 5" xfId="20205"/>
    <cellStyle name="Обычный 6 5 2 5 2" xfId="20206"/>
    <cellStyle name="Обычный 6 5 2 5 2 2" xfId="20207"/>
    <cellStyle name="Обычный 6 5 2 5 2 2 2" xfId="20208"/>
    <cellStyle name="Обычный 6 5 2 5 2 2 2 2" xfId="20209"/>
    <cellStyle name="Обычный 6 5 2 5 2 2 2 2 2" xfId="20210"/>
    <cellStyle name="Обычный 6 5 2 5 2 2 2 2 3" xfId="20211"/>
    <cellStyle name="Обычный 6 5 2 5 2 2 2 3" xfId="20212"/>
    <cellStyle name="Обычный 6 5 2 5 2 2 2 3 2" xfId="20213"/>
    <cellStyle name="Обычный 6 5 2 5 2 2 2 3 3" xfId="20214"/>
    <cellStyle name="Обычный 6 5 2 5 2 2 2 4" xfId="20215"/>
    <cellStyle name="Обычный 6 5 2 5 2 2 2 4 2" xfId="20216"/>
    <cellStyle name="Обычный 6 5 2 5 2 2 2 5" xfId="20217"/>
    <cellStyle name="Обычный 6 5 2 5 2 2 2 6" xfId="20218"/>
    <cellStyle name="Обычный 6 5 2 5 2 2 3" xfId="20219"/>
    <cellStyle name="Обычный 6 5 2 5 2 2 3 2" xfId="20220"/>
    <cellStyle name="Обычный 6 5 2 5 2 2 3 3" xfId="20221"/>
    <cellStyle name="Обычный 6 5 2 5 2 2 4" xfId="20222"/>
    <cellStyle name="Обычный 6 5 2 5 2 2 4 2" xfId="20223"/>
    <cellStyle name="Обычный 6 5 2 5 2 2 4 3" xfId="20224"/>
    <cellStyle name="Обычный 6 5 2 5 2 2 5" xfId="20225"/>
    <cellStyle name="Обычный 6 5 2 5 2 2 5 2" xfId="20226"/>
    <cellStyle name="Обычный 6 5 2 5 2 2 6" xfId="20227"/>
    <cellStyle name="Обычный 6 5 2 5 2 2 7" xfId="20228"/>
    <cellStyle name="Обычный 6 5 2 5 2 3" xfId="20229"/>
    <cellStyle name="Обычный 6 5 2 5 2 3 2" xfId="20230"/>
    <cellStyle name="Обычный 6 5 2 5 2 3 2 2" xfId="20231"/>
    <cellStyle name="Обычный 6 5 2 5 2 3 2 3" xfId="20232"/>
    <cellStyle name="Обычный 6 5 2 5 2 3 3" xfId="20233"/>
    <cellStyle name="Обычный 6 5 2 5 2 3 3 2" xfId="20234"/>
    <cellStyle name="Обычный 6 5 2 5 2 3 3 3" xfId="20235"/>
    <cellStyle name="Обычный 6 5 2 5 2 3 4" xfId="20236"/>
    <cellStyle name="Обычный 6 5 2 5 2 3 4 2" xfId="20237"/>
    <cellStyle name="Обычный 6 5 2 5 2 3 5" xfId="20238"/>
    <cellStyle name="Обычный 6 5 2 5 2 3 6" xfId="20239"/>
    <cellStyle name="Обычный 6 5 2 5 2 4" xfId="20240"/>
    <cellStyle name="Обычный 6 5 2 5 2 4 2" xfId="20241"/>
    <cellStyle name="Обычный 6 5 2 5 2 4 3" xfId="20242"/>
    <cellStyle name="Обычный 6 5 2 5 2 5" xfId="20243"/>
    <cellStyle name="Обычный 6 5 2 5 2 5 2" xfId="20244"/>
    <cellStyle name="Обычный 6 5 2 5 2 5 3" xfId="20245"/>
    <cellStyle name="Обычный 6 5 2 5 2 6" xfId="20246"/>
    <cellStyle name="Обычный 6 5 2 5 2 6 2" xfId="20247"/>
    <cellStyle name="Обычный 6 5 2 5 2 7" xfId="20248"/>
    <cellStyle name="Обычный 6 5 2 5 2 8" xfId="20249"/>
    <cellStyle name="Обычный 6 5 2 5 3" xfId="20250"/>
    <cellStyle name="Обычный 6 5 2 5 3 2" xfId="20251"/>
    <cellStyle name="Обычный 6 5 2 5 3 2 2" xfId="20252"/>
    <cellStyle name="Обычный 6 5 2 5 3 2 2 2" xfId="20253"/>
    <cellStyle name="Обычный 6 5 2 5 3 2 2 3" xfId="20254"/>
    <cellStyle name="Обычный 6 5 2 5 3 2 3" xfId="20255"/>
    <cellStyle name="Обычный 6 5 2 5 3 2 3 2" xfId="20256"/>
    <cellStyle name="Обычный 6 5 2 5 3 2 3 3" xfId="20257"/>
    <cellStyle name="Обычный 6 5 2 5 3 2 4" xfId="20258"/>
    <cellStyle name="Обычный 6 5 2 5 3 2 4 2" xfId="20259"/>
    <cellStyle name="Обычный 6 5 2 5 3 2 5" xfId="20260"/>
    <cellStyle name="Обычный 6 5 2 5 3 2 6" xfId="20261"/>
    <cellStyle name="Обычный 6 5 2 5 3 3" xfId="20262"/>
    <cellStyle name="Обычный 6 5 2 5 3 3 2" xfId="20263"/>
    <cellStyle name="Обычный 6 5 2 5 3 3 3" xfId="20264"/>
    <cellStyle name="Обычный 6 5 2 5 3 4" xfId="20265"/>
    <cellStyle name="Обычный 6 5 2 5 3 4 2" xfId="20266"/>
    <cellStyle name="Обычный 6 5 2 5 3 4 3" xfId="20267"/>
    <cellStyle name="Обычный 6 5 2 5 3 5" xfId="20268"/>
    <cellStyle name="Обычный 6 5 2 5 3 5 2" xfId="20269"/>
    <cellStyle name="Обычный 6 5 2 5 3 6" xfId="20270"/>
    <cellStyle name="Обычный 6 5 2 5 3 7" xfId="20271"/>
    <cellStyle name="Обычный 6 5 2 5 4" xfId="20272"/>
    <cellStyle name="Обычный 6 5 2 5 4 2" xfId="20273"/>
    <cellStyle name="Обычный 6 5 2 5 4 2 2" xfId="20274"/>
    <cellStyle name="Обычный 6 5 2 5 4 2 3" xfId="20275"/>
    <cellStyle name="Обычный 6 5 2 5 4 3" xfId="20276"/>
    <cellStyle name="Обычный 6 5 2 5 4 3 2" xfId="20277"/>
    <cellStyle name="Обычный 6 5 2 5 4 3 3" xfId="20278"/>
    <cellStyle name="Обычный 6 5 2 5 4 4" xfId="20279"/>
    <cellStyle name="Обычный 6 5 2 5 4 4 2" xfId="20280"/>
    <cellStyle name="Обычный 6 5 2 5 4 5" xfId="20281"/>
    <cellStyle name="Обычный 6 5 2 5 4 6" xfId="20282"/>
    <cellStyle name="Обычный 6 5 2 5 5" xfId="20283"/>
    <cellStyle name="Обычный 6 5 2 5 5 2" xfId="20284"/>
    <cellStyle name="Обычный 6 5 2 5 5 3" xfId="20285"/>
    <cellStyle name="Обычный 6 5 2 5 6" xfId="20286"/>
    <cellStyle name="Обычный 6 5 2 5 6 2" xfId="20287"/>
    <cellStyle name="Обычный 6 5 2 5 6 3" xfId="20288"/>
    <cellStyle name="Обычный 6 5 2 5 7" xfId="20289"/>
    <cellStyle name="Обычный 6 5 2 5 7 2" xfId="20290"/>
    <cellStyle name="Обычный 6 5 2 5 8" xfId="20291"/>
    <cellStyle name="Обычный 6 5 2 5 9" xfId="20292"/>
    <cellStyle name="Обычный 6 5 2 6" xfId="20293"/>
    <cellStyle name="Обычный 6 5 2 6 2" xfId="20294"/>
    <cellStyle name="Обычный 6 5 2 6 2 2" xfId="20295"/>
    <cellStyle name="Обычный 6 5 2 6 2 2 2" xfId="20296"/>
    <cellStyle name="Обычный 6 5 2 6 2 2 2 2" xfId="20297"/>
    <cellStyle name="Обычный 6 5 2 6 2 2 2 3" xfId="20298"/>
    <cellStyle name="Обычный 6 5 2 6 2 2 3" xfId="20299"/>
    <cellStyle name="Обычный 6 5 2 6 2 2 3 2" xfId="20300"/>
    <cellStyle name="Обычный 6 5 2 6 2 2 3 3" xfId="20301"/>
    <cellStyle name="Обычный 6 5 2 6 2 2 4" xfId="20302"/>
    <cellStyle name="Обычный 6 5 2 6 2 2 4 2" xfId="20303"/>
    <cellStyle name="Обычный 6 5 2 6 2 2 5" xfId="20304"/>
    <cellStyle name="Обычный 6 5 2 6 2 2 6" xfId="20305"/>
    <cellStyle name="Обычный 6 5 2 6 2 3" xfId="20306"/>
    <cellStyle name="Обычный 6 5 2 6 2 3 2" xfId="20307"/>
    <cellStyle name="Обычный 6 5 2 6 2 3 3" xfId="20308"/>
    <cellStyle name="Обычный 6 5 2 6 2 4" xfId="20309"/>
    <cellStyle name="Обычный 6 5 2 6 2 4 2" xfId="20310"/>
    <cellStyle name="Обычный 6 5 2 6 2 4 3" xfId="20311"/>
    <cellStyle name="Обычный 6 5 2 6 2 5" xfId="20312"/>
    <cellStyle name="Обычный 6 5 2 6 2 5 2" xfId="20313"/>
    <cellStyle name="Обычный 6 5 2 6 2 6" xfId="20314"/>
    <cellStyle name="Обычный 6 5 2 6 2 7" xfId="20315"/>
    <cellStyle name="Обычный 6 5 2 6 3" xfId="20316"/>
    <cellStyle name="Обычный 6 5 2 6 3 2" xfId="20317"/>
    <cellStyle name="Обычный 6 5 2 6 3 2 2" xfId="20318"/>
    <cellStyle name="Обычный 6 5 2 6 3 2 3" xfId="20319"/>
    <cellStyle name="Обычный 6 5 2 6 3 3" xfId="20320"/>
    <cellStyle name="Обычный 6 5 2 6 3 3 2" xfId="20321"/>
    <cellStyle name="Обычный 6 5 2 6 3 3 3" xfId="20322"/>
    <cellStyle name="Обычный 6 5 2 6 3 4" xfId="20323"/>
    <cellStyle name="Обычный 6 5 2 6 3 4 2" xfId="20324"/>
    <cellStyle name="Обычный 6 5 2 6 3 5" xfId="20325"/>
    <cellStyle name="Обычный 6 5 2 6 3 6" xfId="20326"/>
    <cellStyle name="Обычный 6 5 2 6 4" xfId="20327"/>
    <cellStyle name="Обычный 6 5 2 6 4 2" xfId="20328"/>
    <cellStyle name="Обычный 6 5 2 6 4 3" xfId="20329"/>
    <cellStyle name="Обычный 6 5 2 6 5" xfId="20330"/>
    <cellStyle name="Обычный 6 5 2 6 5 2" xfId="20331"/>
    <cellStyle name="Обычный 6 5 2 6 5 3" xfId="20332"/>
    <cellStyle name="Обычный 6 5 2 6 6" xfId="20333"/>
    <cellStyle name="Обычный 6 5 2 6 6 2" xfId="20334"/>
    <cellStyle name="Обычный 6 5 2 6 7" xfId="20335"/>
    <cellStyle name="Обычный 6 5 2 6 8" xfId="20336"/>
    <cellStyle name="Обычный 6 5 2 7" xfId="20337"/>
    <cellStyle name="Обычный 6 5 2 7 2" xfId="20338"/>
    <cellStyle name="Обычный 6 5 2 7 2 2" xfId="20339"/>
    <cellStyle name="Обычный 6 5 2 7 2 2 2" xfId="20340"/>
    <cellStyle name="Обычный 6 5 2 7 2 2 3" xfId="20341"/>
    <cellStyle name="Обычный 6 5 2 7 2 3" xfId="20342"/>
    <cellStyle name="Обычный 6 5 2 7 2 3 2" xfId="20343"/>
    <cellStyle name="Обычный 6 5 2 7 2 3 3" xfId="20344"/>
    <cellStyle name="Обычный 6 5 2 7 2 4" xfId="20345"/>
    <cellStyle name="Обычный 6 5 2 7 2 4 2" xfId="20346"/>
    <cellStyle name="Обычный 6 5 2 7 2 5" xfId="20347"/>
    <cellStyle name="Обычный 6 5 2 7 2 6" xfId="20348"/>
    <cellStyle name="Обычный 6 5 2 7 3" xfId="20349"/>
    <cellStyle name="Обычный 6 5 2 7 3 2" xfId="20350"/>
    <cellStyle name="Обычный 6 5 2 7 3 3" xfId="20351"/>
    <cellStyle name="Обычный 6 5 2 7 4" xfId="20352"/>
    <cellStyle name="Обычный 6 5 2 7 4 2" xfId="20353"/>
    <cellStyle name="Обычный 6 5 2 7 4 3" xfId="20354"/>
    <cellStyle name="Обычный 6 5 2 7 5" xfId="20355"/>
    <cellStyle name="Обычный 6 5 2 7 5 2" xfId="20356"/>
    <cellStyle name="Обычный 6 5 2 7 6" xfId="20357"/>
    <cellStyle name="Обычный 6 5 2 7 7" xfId="20358"/>
    <cellStyle name="Обычный 6 5 2 8" xfId="20359"/>
    <cellStyle name="Обычный 6 5 2 8 2" xfId="20360"/>
    <cellStyle name="Обычный 6 5 2 8 2 2" xfId="20361"/>
    <cellStyle name="Обычный 6 5 2 8 2 3" xfId="20362"/>
    <cellStyle name="Обычный 6 5 2 8 3" xfId="20363"/>
    <cellStyle name="Обычный 6 5 2 8 3 2" xfId="20364"/>
    <cellStyle name="Обычный 6 5 2 8 3 3" xfId="20365"/>
    <cellStyle name="Обычный 6 5 2 8 4" xfId="20366"/>
    <cellStyle name="Обычный 6 5 2 8 4 2" xfId="20367"/>
    <cellStyle name="Обычный 6 5 2 8 5" xfId="20368"/>
    <cellStyle name="Обычный 6 5 2 8 6" xfId="20369"/>
    <cellStyle name="Обычный 6 5 2 9" xfId="20370"/>
    <cellStyle name="Обычный 6 5 2 9 2" xfId="20371"/>
    <cellStyle name="Обычный 6 5 2 9 3" xfId="20372"/>
    <cellStyle name="Обычный 6 5 3" xfId="20373"/>
    <cellStyle name="Обычный 6 5 3 10" xfId="20374"/>
    <cellStyle name="Обычный 6 5 3 2" xfId="20375"/>
    <cellStyle name="Обычный 6 5 3 2 2" xfId="20376"/>
    <cellStyle name="Обычный 6 5 3 2 2 2" xfId="20377"/>
    <cellStyle name="Обычный 6 5 3 2 2 2 2" xfId="20378"/>
    <cellStyle name="Обычный 6 5 3 2 2 2 2 2" xfId="20379"/>
    <cellStyle name="Обычный 6 5 3 2 2 2 2 2 2" xfId="20380"/>
    <cellStyle name="Обычный 6 5 3 2 2 2 2 2 3" xfId="20381"/>
    <cellStyle name="Обычный 6 5 3 2 2 2 2 3" xfId="20382"/>
    <cellStyle name="Обычный 6 5 3 2 2 2 2 3 2" xfId="20383"/>
    <cellStyle name="Обычный 6 5 3 2 2 2 2 3 3" xfId="20384"/>
    <cellStyle name="Обычный 6 5 3 2 2 2 2 4" xfId="20385"/>
    <cellStyle name="Обычный 6 5 3 2 2 2 2 4 2" xfId="20386"/>
    <cellStyle name="Обычный 6 5 3 2 2 2 2 5" xfId="20387"/>
    <cellStyle name="Обычный 6 5 3 2 2 2 2 6" xfId="20388"/>
    <cellStyle name="Обычный 6 5 3 2 2 2 3" xfId="20389"/>
    <cellStyle name="Обычный 6 5 3 2 2 2 3 2" xfId="20390"/>
    <cellStyle name="Обычный 6 5 3 2 2 2 3 3" xfId="20391"/>
    <cellStyle name="Обычный 6 5 3 2 2 2 4" xfId="20392"/>
    <cellStyle name="Обычный 6 5 3 2 2 2 4 2" xfId="20393"/>
    <cellStyle name="Обычный 6 5 3 2 2 2 4 3" xfId="20394"/>
    <cellStyle name="Обычный 6 5 3 2 2 2 5" xfId="20395"/>
    <cellStyle name="Обычный 6 5 3 2 2 2 5 2" xfId="20396"/>
    <cellStyle name="Обычный 6 5 3 2 2 2 6" xfId="20397"/>
    <cellStyle name="Обычный 6 5 3 2 2 2 7" xfId="20398"/>
    <cellStyle name="Обычный 6 5 3 2 2 3" xfId="20399"/>
    <cellStyle name="Обычный 6 5 3 2 2 3 2" xfId="20400"/>
    <cellStyle name="Обычный 6 5 3 2 2 3 2 2" xfId="20401"/>
    <cellStyle name="Обычный 6 5 3 2 2 3 2 3" xfId="20402"/>
    <cellStyle name="Обычный 6 5 3 2 2 3 3" xfId="20403"/>
    <cellStyle name="Обычный 6 5 3 2 2 3 3 2" xfId="20404"/>
    <cellStyle name="Обычный 6 5 3 2 2 3 3 3" xfId="20405"/>
    <cellStyle name="Обычный 6 5 3 2 2 3 4" xfId="20406"/>
    <cellStyle name="Обычный 6 5 3 2 2 3 4 2" xfId="20407"/>
    <cellStyle name="Обычный 6 5 3 2 2 3 5" xfId="20408"/>
    <cellStyle name="Обычный 6 5 3 2 2 3 6" xfId="20409"/>
    <cellStyle name="Обычный 6 5 3 2 2 4" xfId="20410"/>
    <cellStyle name="Обычный 6 5 3 2 2 4 2" xfId="20411"/>
    <cellStyle name="Обычный 6 5 3 2 2 4 3" xfId="20412"/>
    <cellStyle name="Обычный 6 5 3 2 2 5" xfId="20413"/>
    <cellStyle name="Обычный 6 5 3 2 2 5 2" xfId="20414"/>
    <cellStyle name="Обычный 6 5 3 2 2 5 3" xfId="20415"/>
    <cellStyle name="Обычный 6 5 3 2 2 6" xfId="20416"/>
    <cellStyle name="Обычный 6 5 3 2 2 6 2" xfId="20417"/>
    <cellStyle name="Обычный 6 5 3 2 2 7" xfId="20418"/>
    <cellStyle name="Обычный 6 5 3 2 2 8" xfId="20419"/>
    <cellStyle name="Обычный 6 5 3 2 3" xfId="20420"/>
    <cellStyle name="Обычный 6 5 3 2 3 2" xfId="20421"/>
    <cellStyle name="Обычный 6 5 3 2 3 2 2" xfId="20422"/>
    <cellStyle name="Обычный 6 5 3 2 3 2 2 2" xfId="20423"/>
    <cellStyle name="Обычный 6 5 3 2 3 2 2 3" xfId="20424"/>
    <cellStyle name="Обычный 6 5 3 2 3 2 3" xfId="20425"/>
    <cellStyle name="Обычный 6 5 3 2 3 2 3 2" xfId="20426"/>
    <cellStyle name="Обычный 6 5 3 2 3 2 3 3" xfId="20427"/>
    <cellStyle name="Обычный 6 5 3 2 3 2 4" xfId="20428"/>
    <cellStyle name="Обычный 6 5 3 2 3 2 4 2" xfId="20429"/>
    <cellStyle name="Обычный 6 5 3 2 3 2 5" xfId="20430"/>
    <cellStyle name="Обычный 6 5 3 2 3 2 6" xfId="20431"/>
    <cellStyle name="Обычный 6 5 3 2 3 3" xfId="20432"/>
    <cellStyle name="Обычный 6 5 3 2 3 3 2" xfId="20433"/>
    <cellStyle name="Обычный 6 5 3 2 3 3 3" xfId="20434"/>
    <cellStyle name="Обычный 6 5 3 2 3 4" xfId="20435"/>
    <cellStyle name="Обычный 6 5 3 2 3 4 2" xfId="20436"/>
    <cellStyle name="Обычный 6 5 3 2 3 4 3" xfId="20437"/>
    <cellStyle name="Обычный 6 5 3 2 3 5" xfId="20438"/>
    <cellStyle name="Обычный 6 5 3 2 3 5 2" xfId="20439"/>
    <cellStyle name="Обычный 6 5 3 2 3 6" xfId="20440"/>
    <cellStyle name="Обычный 6 5 3 2 3 7" xfId="20441"/>
    <cellStyle name="Обычный 6 5 3 2 4" xfId="20442"/>
    <cellStyle name="Обычный 6 5 3 2 4 2" xfId="20443"/>
    <cellStyle name="Обычный 6 5 3 2 4 2 2" xfId="20444"/>
    <cellStyle name="Обычный 6 5 3 2 4 2 3" xfId="20445"/>
    <cellStyle name="Обычный 6 5 3 2 4 3" xfId="20446"/>
    <cellStyle name="Обычный 6 5 3 2 4 3 2" xfId="20447"/>
    <cellStyle name="Обычный 6 5 3 2 4 3 3" xfId="20448"/>
    <cellStyle name="Обычный 6 5 3 2 4 4" xfId="20449"/>
    <cellStyle name="Обычный 6 5 3 2 4 4 2" xfId="20450"/>
    <cellStyle name="Обычный 6 5 3 2 4 5" xfId="20451"/>
    <cellStyle name="Обычный 6 5 3 2 4 6" xfId="20452"/>
    <cellStyle name="Обычный 6 5 3 2 5" xfId="20453"/>
    <cellStyle name="Обычный 6 5 3 2 5 2" xfId="20454"/>
    <cellStyle name="Обычный 6 5 3 2 5 3" xfId="20455"/>
    <cellStyle name="Обычный 6 5 3 2 6" xfId="20456"/>
    <cellStyle name="Обычный 6 5 3 2 6 2" xfId="20457"/>
    <cellStyle name="Обычный 6 5 3 2 6 3" xfId="20458"/>
    <cellStyle name="Обычный 6 5 3 2 7" xfId="20459"/>
    <cellStyle name="Обычный 6 5 3 2 7 2" xfId="20460"/>
    <cellStyle name="Обычный 6 5 3 2 8" xfId="20461"/>
    <cellStyle name="Обычный 6 5 3 2 9" xfId="20462"/>
    <cellStyle name="Обычный 6 5 3 3" xfId="20463"/>
    <cellStyle name="Обычный 6 5 3 3 2" xfId="20464"/>
    <cellStyle name="Обычный 6 5 3 3 2 2" xfId="20465"/>
    <cellStyle name="Обычный 6 5 3 3 2 2 2" xfId="20466"/>
    <cellStyle name="Обычный 6 5 3 3 2 2 2 2" xfId="20467"/>
    <cellStyle name="Обычный 6 5 3 3 2 2 2 3" xfId="20468"/>
    <cellStyle name="Обычный 6 5 3 3 2 2 3" xfId="20469"/>
    <cellStyle name="Обычный 6 5 3 3 2 2 3 2" xfId="20470"/>
    <cellStyle name="Обычный 6 5 3 3 2 2 3 3" xfId="20471"/>
    <cellStyle name="Обычный 6 5 3 3 2 2 4" xfId="20472"/>
    <cellStyle name="Обычный 6 5 3 3 2 2 4 2" xfId="20473"/>
    <cellStyle name="Обычный 6 5 3 3 2 2 5" xfId="20474"/>
    <cellStyle name="Обычный 6 5 3 3 2 2 6" xfId="20475"/>
    <cellStyle name="Обычный 6 5 3 3 2 3" xfId="20476"/>
    <cellStyle name="Обычный 6 5 3 3 2 3 2" xfId="20477"/>
    <cellStyle name="Обычный 6 5 3 3 2 3 3" xfId="20478"/>
    <cellStyle name="Обычный 6 5 3 3 2 4" xfId="20479"/>
    <cellStyle name="Обычный 6 5 3 3 2 4 2" xfId="20480"/>
    <cellStyle name="Обычный 6 5 3 3 2 4 3" xfId="20481"/>
    <cellStyle name="Обычный 6 5 3 3 2 5" xfId="20482"/>
    <cellStyle name="Обычный 6 5 3 3 2 5 2" xfId="20483"/>
    <cellStyle name="Обычный 6 5 3 3 2 6" xfId="20484"/>
    <cellStyle name="Обычный 6 5 3 3 2 7" xfId="20485"/>
    <cellStyle name="Обычный 6 5 3 3 3" xfId="20486"/>
    <cellStyle name="Обычный 6 5 3 3 3 2" xfId="20487"/>
    <cellStyle name="Обычный 6 5 3 3 3 2 2" xfId="20488"/>
    <cellStyle name="Обычный 6 5 3 3 3 2 3" xfId="20489"/>
    <cellStyle name="Обычный 6 5 3 3 3 3" xfId="20490"/>
    <cellStyle name="Обычный 6 5 3 3 3 3 2" xfId="20491"/>
    <cellStyle name="Обычный 6 5 3 3 3 3 3" xfId="20492"/>
    <cellStyle name="Обычный 6 5 3 3 3 4" xfId="20493"/>
    <cellStyle name="Обычный 6 5 3 3 3 4 2" xfId="20494"/>
    <cellStyle name="Обычный 6 5 3 3 3 5" xfId="20495"/>
    <cellStyle name="Обычный 6 5 3 3 3 6" xfId="20496"/>
    <cellStyle name="Обычный 6 5 3 3 4" xfId="20497"/>
    <cellStyle name="Обычный 6 5 3 3 4 2" xfId="20498"/>
    <cellStyle name="Обычный 6 5 3 3 4 3" xfId="20499"/>
    <cellStyle name="Обычный 6 5 3 3 5" xfId="20500"/>
    <cellStyle name="Обычный 6 5 3 3 5 2" xfId="20501"/>
    <cellStyle name="Обычный 6 5 3 3 5 3" xfId="20502"/>
    <cellStyle name="Обычный 6 5 3 3 6" xfId="20503"/>
    <cellStyle name="Обычный 6 5 3 3 6 2" xfId="20504"/>
    <cellStyle name="Обычный 6 5 3 3 7" xfId="20505"/>
    <cellStyle name="Обычный 6 5 3 3 8" xfId="20506"/>
    <cellStyle name="Обычный 6 5 3 4" xfId="20507"/>
    <cellStyle name="Обычный 6 5 3 4 2" xfId="20508"/>
    <cellStyle name="Обычный 6 5 3 4 2 2" xfId="20509"/>
    <cellStyle name="Обычный 6 5 3 4 2 2 2" xfId="20510"/>
    <cellStyle name="Обычный 6 5 3 4 2 2 3" xfId="20511"/>
    <cellStyle name="Обычный 6 5 3 4 2 3" xfId="20512"/>
    <cellStyle name="Обычный 6 5 3 4 2 3 2" xfId="20513"/>
    <cellStyle name="Обычный 6 5 3 4 2 3 3" xfId="20514"/>
    <cellStyle name="Обычный 6 5 3 4 2 4" xfId="20515"/>
    <cellStyle name="Обычный 6 5 3 4 2 4 2" xfId="20516"/>
    <cellStyle name="Обычный 6 5 3 4 2 5" xfId="20517"/>
    <cellStyle name="Обычный 6 5 3 4 2 6" xfId="20518"/>
    <cellStyle name="Обычный 6 5 3 4 3" xfId="20519"/>
    <cellStyle name="Обычный 6 5 3 4 3 2" xfId="20520"/>
    <cellStyle name="Обычный 6 5 3 4 3 3" xfId="20521"/>
    <cellStyle name="Обычный 6 5 3 4 4" xfId="20522"/>
    <cellStyle name="Обычный 6 5 3 4 4 2" xfId="20523"/>
    <cellStyle name="Обычный 6 5 3 4 4 3" xfId="20524"/>
    <cellStyle name="Обычный 6 5 3 4 5" xfId="20525"/>
    <cellStyle name="Обычный 6 5 3 4 5 2" xfId="20526"/>
    <cellStyle name="Обычный 6 5 3 4 6" xfId="20527"/>
    <cellStyle name="Обычный 6 5 3 4 7" xfId="20528"/>
    <cellStyle name="Обычный 6 5 3 5" xfId="20529"/>
    <cellStyle name="Обычный 6 5 3 5 2" xfId="20530"/>
    <cellStyle name="Обычный 6 5 3 5 2 2" xfId="20531"/>
    <cellStyle name="Обычный 6 5 3 5 2 3" xfId="20532"/>
    <cellStyle name="Обычный 6 5 3 5 3" xfId="20533"/>
    <cellStyle name="Обычный 6 5 3 5 3 2" xfId="20534"/>
    <cellStyle name="Обычный 6 5 3 5 3 3" xfId="20535"/>
    <cellStyle name="Обычный 6 5 3 5 4" xfId="20536"/>
    <cellStyle name="Обычный 6 5 3 5 4 2" xfId="20537"/>
    <cellStyle name="Обычный 6 5 3 5 5" xfId="20538"/>
    <cellStyle name="Обычный 6 5 3 5 6" xfId="20539"/>
    <cellStyle name="Обычный 6 5 3 6" xfId="20540"/>
    <cellStyle name="Обычный 6 5 3 6 2" xfId="20541"/>
    <cellStyle name="Обычный 6 5 3 6 3" xfId="20542"/>
    <cellStyle name="Обычный 6 5 3 7" xfId="20543"/>
    <cellStyle name="Обычный 6 5 3 7 2" xfId="20544"/>
    <cellStyle name="Обычный 6 5 3 7 3" xfId="20545"/>
    <cellStyle name="Обычный 6 5 3 8" xfId="20546"/>
    <cellStyle name="Обычный 6 5 3 8 2" xfId="20547"/>
    <cellStyle name="Обычный 6 5 3 9" xfId="20548"/>
    <cellStyle name="Обычный 6 5 4" xfId="20549"/>
    <cellStyle name="Обычный 6 5 4 10" xfId="20550"/>
    <cellStyle name="Обычный 6 5 4 2" xfId="20551"/>
    <cellStyle name="Обычный 6 5 4 2 2" xfId="20552"/>
    <cellStyle name="Обычный 6 5 4 2 2 2" xfId="20553"/>
    <cellStyle name="Обычный 6 5 4 2 2 2 2" xfId="20554"/>
    <cellStyle name="Обычный 6 5 4 2 2 2 2 2" xfId="20555"/>
    <cellStyle name="Обычный 6 5 4 2 2 2 2 2 2" xfId="20556"/>
    <cellStyle name="Обычный 6 5 4 2 2 2 2 2 3" xfId="20557"/>
    <cellStyle name="Обычный 6 5 4 2 2 2 2 3" xfId="20558"/>
    <cellStyle name="Обычный 6 5 4 2 2 2 2 3 2" xfId="20559"/>
    <cellStyle name="Обычный 6 5 4 2 2 2 2 3 3" xfId="20560"/>
    <cellStyle name="Обычный 6 5 4 2 2 2 2 4" xfId="20561"/>
    <cellStyle name="Обычный 6 5 4 2 2 2 2 4 2" xfId="20562"/>
    <cellStyle name="Обычный 6 5 4 2 2 2 2 5" xfId="20563"/>
    <cellStyle name="Обычный 6 5 4 2 2 2 2 6" xfId="20564"/>
    <cellStyle name="Обычный 6 5 4 2 2 2 3" xfId="20565"/>
    <cellStyle name="Обычный 6 5 4 2 2 2 3 2" xfId="20566"/>
    <cellStyle name="Обычный 6 5 4 2 2 2 3 3" xfId="20567"/>
    <cellStyle name="Обычный 6 5 4 2 2 2 4" xfId="20568"/>
    <cellStyle name="Обычный 6 5 4 2 2 2 4 2" xfId="20569"/>
    <cellStyle name="Обычный 6 5 4 2 2 2 4 3" xfId="20570"/>
    <cellStyle name="Обычный 6 5 4 2 2 2 5" xfId="20571"/>
    <cellStyle name="Обычный 6 5 4 2 2 2 5 2" xfId="20572"/>
    <cellStyle name="Обычный 6 5 4 2 2 2 6" xfId="20573"/>
    <cellStyle name="Обычный 6 5 4 2 2 2 7" xfId="20574"/>
    <cellStyle name="Обычный 6 5 4 2 2 3" xfId="20575"/>
    <cellStyle name="Обычный 6 5 4 2 2 3 2" xfId="20576"/>
    <cellStyle name="Обычный 6 5 4 2 2 3 2 2" xfId="20577"/>
    <cellStyle name="Обычный 6 5 4 2 2 3 2 3" xfId="20578"/>
    <cellStyle name="Обычный 6 5 4 2 2 3 3" xfId="20579"/>
    <cellStyle name="Обычный 6 5 4 2 2 3 3 2" xfId="20580"/>
    <cellStyle name="Обычный 6 5 4 2 2 3 3 3" xfId="20581"/>
    <cellStyle name="Обычный 6 5 4 2 2 3 4" xfId="20582"/>
    <cellStyle name="Обычный 6 5 4 2 2 3 4 2" xfId="20583"/>
    <cellStyle name="Обычный 6 5 4 2 2 3 5" xfId="20584"/>
    <cellStyle name="Обычный 6 5 4 2 2 3 6" xfId="20585"/>
    <cellStyle name="Обычный 6 5 4 2 2 4" xfId="20586"/>
    <cellStyle name="Обычный 6 5 4 2 2 4 2" xfId="20587"/>
    <cellStyle name="Обычный 6 5 4 2 2 4 3" xfId="20588"/>
    <cellStyle name="Обычный 6 5 4 2 2 5" xfId="20589"/>
    <cellStyle name="Обычный 6 5 4 2 2 5 2" xfId="20590"/>
    <cellStyle name="Обычный 6 5 4 2 2 5 3" xfId="20591"/>
    <cellStyle name="Обычный 6 5 4 2 2 6" xfId="20592"/>
    <cellStyle name="Обычный 6 5 4 2 2 6 2" xfId="20593"/>
    <cellStyle name="Обычный 6 5 4 2 2 7" xfId="20594"/>
    <cellStyle name="Обычный 6 5 4 2 2 8" xfId="20595"/>
    <cellStyle name="Обычный 6 5 4 2 3" xfId="20596"/>
    <cellStyle name="Обычный 6 5 4 2 3 2" xfId="20597"/>
    <cellStyle name="Обычный 6 5 4 2 3 2 2" xfId="20598"/>
    <cellStyle name="Обычный 6 5 4 2 3 2 2 2" xfId="20599"/>
    <cellStyle name="Обычный 6 5 4 2 3 2 2 3" xfId="20600"/>
    <cellStyle name="Обычный 6 5 4 2 3 2 3" xfId="20601"/>
    <cellStyle name="Обычный 6 5 4 2 3 2 3 2" xfId="20602"/>
    <cellStyle name="Обычный 6 5 4 2 3 2 3 3" xfId="20603"/>
    <cellStyle name="Обычный 6 5 4 2 3 2 4" xfId="20604"/>
    <cellStyle name="Обычный 6 5 4 2 3 2 4 2" xfId="20605"/>
    <cellStyle name="Обычный 6 5 4 2 3 2 5" xfId="20606"/>
    <cellStyle name="Обычный 6 5 4 2 3 2 6" xfId="20607"/>
    <cellStyle name="Обычный 6 5 4 2 3 3" xfId="20608"/>
    <cellStyle name="Обычный 6 5 4 2 3 3 2" xfId="20609"/>
    <cellStyle name="Обычный 6 5 4 2 3 3 3" xfId="20610"/>
    <cellStyle name="Обычный 6 5 4 2 3 4" xfId="20611"/>
    <cellStyle name="Обычный 6 5 4 2 3 4 2" xfId="20612"/>
    <cellStyle name="Обычный 6 5 4 2 3 4 3" xfId="20613"/>
    <cellStyle name="Обычный 6 5 4 2 3 5" xfId="20614"/>
    <cellStyle name="Обычный 6 5 4 2 3 5 2" xfId="20615"/>
    <cellStyle name="Обычный 6 5 4 2 3 6" xfId="20616"/>
    <cellStyle name="Обычный 6 5 4 2 3 7" xfId="20617"/>
    <cellStyle name="Обычный 6 5 4 2 4" xfId="20618"/>
    <cellStyle name="Обычный 6 5 4 2 4 2" xfId="20619"/>
    <cellStyle name="Обычный 6 5 4 2 4 2 2" xfId="20620"/>
    <cellStyle name="Обычный 6 5 4 2 4 2 3" xfId="20621"/>
    <cellStyle name="Обычный 6 5 4 2 4 3" xfId="20622"/>
    <cellStyle name="Обычный 6 5 4 2 4 3 2" xfId="20623"/>
    <cellStyle name="Обычный 6 5 4 2 4 3 3" xfId="20624"/>
    <cellStyle name="Обычный 6 5 4 2 4 4" xfId="20625"/>
    <cellStyle name="Обычный 6 5 4 2 4 4 2" xfId="20626"/>
    <cellStyle name="Обычный 6 5 4 2 4 5" xfId="20627"/>
    <cellStyle name="Обычный 6 5 4 2 4 6" xfId="20628"/>
    <cellStyle name="Обычный 6 5 4 2 5" xfId="20629"/>
    <cellStyle name="Обычный 6 5 4 2 5 2" xfId="20630"/>
    <cellStyle name="Обычный 6 5 4 2 5 3" xfId="20631"/>
    <cellStyle name="Обычный 6 5 4 2 6" xfId="20632"/>
    <cellStyle name="Обычный 6 5 4 2 6 2" xfId="20633"/>
    <cellStyle name="Обычный 6 5 4 2 6 3" xfId="20634"/>
    <cellStyle name="Обычный 6 5 4 2 7" xfId="20635"/>
    <cellStyle name="Обычный 6 5 4 2 7 2" xfId="20636"/>
    <cellStyle name="Обычный 6 5 4 2 8" xfId="20637"/>
    <cellStyle name="Обычный 6 5 4 2 9" xfId="20638"/>
    <cellStyle name="Обычный 6 5 4 3" xfId="20639"/>
    <cellStyle name="Обычный 6 5 4 3 2" xfId="20640"/>
    <cellStyle name="Обычный 6 5 4 3 2 2" xfId="20641"/>
    <cellStyle name="Обычный 6 5 4 3 2 2 2" xfId="20642"/>
    <cellStyle name="Обычный 6 5 4 3 2 2 2 2" xfId="20643"/>
    <cellStyle name="Обычный 6 5 4 3 2 2 2 3" xfId="20644"/>
    <cellStyle name="Обычный 6 5 4 3 2 2 3" xfId="20645"/>
    <cellStyle name="Обычный 6 5 4 3 2 2 3 2" xfId="20646"/>
    <cellStyle name="Обычный 6 5 4 3 2 2 3 3" xfId="20647"/>
    <cellStyle name="Обычный 6 5 4 3 2 2 4" xfId="20648"/>
    <cellStyle name="Обычный 6 5 4 3 2 2 4 2" xfId="20649"/>
    <cellStyle name="Обычный 6 5 4 3 2 2 5" xfId="20650"/>
    <cellStyle name="Обычный 6 5 4 3 2 2 6" xfId="20651"/>
    <cellStyle name="Обычный 6 5 4 3 2 3" xfId="20652"/>
    <cellStyle name="Обычный 6 5 4 3 2 3 2" xfId="20653"/>
    <cellStyle name="Обычный 6 5 4 3 2 3 3" xfId="20654"/>
    <cellStyle name="Обычный 6 5 4 3 2 4" xfId="20655"/>
    <cellStyle name="Обычный 6 5 4 3 2 4 2" xfId="20656"/>
    <cellStyle name="Обычный 6 5 4 3 2 4 3" xfId="20657"/>
    <cellStyle name="Обычный 6 5 4 3 2 5" xfId="20658"/>
    <cellStyle name="Обычный 6 5 4 3 2 5 2" xfId="20659"/>
    <cellStyle name="Обычный 6 5 4 3 2 6" xfId="20660"/>
    <cellStyle name="Обычный 6 5 4 3 2 7" xfId="20661"/>
    <cellStyle name="Обычный 6 5 4 3 3" xfId="20662"/>
    <cellStyle name="Обычный 6 5 4 3 3 2" xfId="20663"/>
    <cellStyle name="Обычный 6 5 4 3 3 2 2" xfId="20664"/>
    <cellStyle name="Обычный 6 5 4 3 3 2 3" xfId="20665"/>
    <cellStyle name="Обычный 6 5 4 3 3 3" xfId="20666"/>
    <cellStyle name="Обычный 6 5 4 3 3 3 2" xfId="20667"/>
    <cellStyle name="Обычный 6 5 4 3 3 3 3" xfId="20668"/>
    <cellStyle name="Обычный 6 5 4 3 3 4" xfId="20669"/>
    <cellStyle name="Обычный 6 5 4 3 3 4 2" xfId="20670"/>
    <cellStyle name="Обычный 6 5 4 3 3 5" xfId="20671"/>
    <cellStyle name="Обычный 6 5 4 3 3 6" xfId="20672"/>
    <cellStyle name="Обычный 6 5 4 3 4" xfId="20673"/>
    <cellStyle name="Обычный 6 5 4 3 4 2" xfId="20674"/>
    <cellStyle name="Обычный 6 5 4 3 4 3" xfId="20675"/>
    <cellStyle name="Обычный 6 5 4 3 5" xfId="20676"/>
    <cellStyle name="Обычный 6 5 4 3 5 2" xfId="20677"/>
    <cellStyle name="Обычный 6 5 4 3 5 3" xfId="20678"/>
    <cellStyle name="Обычный 6 5 4 3 6" xfId="20679"/>
    <cellStyle name="Обычный 6 5 4 3 6 2" xfId="20680"/>
    <cellStyle name="Обычный 6 5 4 3 7" xfId="20681"/>
    <cellStyle name="Обычный 6 5 4 3 8" xfId="20682"/>
    <cellStyle name="Обычный 6 5 4 4" xfId="20683"/>
    <cellStyle name="Обычный 6 5 4 4 2" xfId="20684"/>
    <cellStyle name="Обычный 6 5 4 4 2 2" xfId="20685"/>
    <cellStyle name="Обычный 6 5 4 4 2 2 2" xfId="20686"/>
    <cellStyle name="Обычный 6 5 4 4 2 2 3" xfId="20687"/>
    <cellStyle name="Обычный 6 5 4 4 2 3" xfId="20688"/>
    <cellStyle name="Обычный 6 5 4 4 2 3 2" xfId="20689"/>
    <cellStyle name="Обычный 6 5 4 4 2 3 3" xfId="20690"/>
    <cellStyle name="Обычный 6 5 4 4 2 4" xfId="20691"/>
    <cellStyle name="Обычный 6 5 4 4 2 4 2" xfId="20692"/>
    <cellStyle name="Обычный 6 5 4 4 2 5" xfId="20693"/>
    <cellStyle name="Обычный 6 5 4 4 2 6" xfId="20694"/>
    <cellStyle name="Обычный 6 5 4 4 3" xfId="20695"/>
    <cellStyle name="Обычный 6 5 4 4 3 2" xfId="20696"/>
    <cellStyle name="Обычный 6 5 4 4 3 3" xfId="20697"/>
    <cellStyle name="Обычный 6 5 4 4 4" xfId="20698"/>
    <cellStyle name="Обычный 6 5 4 4 4 2" xfId="20699"/>
    <cellStyle name="Обычный 6 5 4 4 4 3" xfId="20700"/>
    <cellStyle name="Обычный 6 5 4 4 5" xfId="20701"/>
    <cellStyle name="Обычный 6 5 4 4 5 2" xfId="20702"/>
    <cellStyle name="Обычный 6 5 4 4 6" xfId="20703"/>
    <cellStyle name="Обычный 6 5 4 4 7" xfId="20704"/>
    <cellStyle name="Обычный 6 5 4 5" xfId="20705"/>
    <cellStyle name="Обычный 6 5 4 5 2" xfId="20706"/>
    <cellStyle name="Обычный 6 5 4 5 2 2" xfId="20707"/>
    <cellStyle name="Обычный 6 5 4 5 2 3" xfId="20708"/>
    <cellStyle name="Обычный 6 5 4 5 3" xfId="20709"/>
    <cellStyle name="Обычный 6 5 4 5 3 2" xfId="20710"/>
    <cellStyle name="Обычный 6 5 4 5 3 3" xfId="20711"/>
    <cellStyle name="Обычный 6 5 4 5 4" xfId="20712"/>
    <cellStyle name="Обычный 6 5 4 5 4 2" xfId="20713"/>
    <cellStyle name="Обычный 6 5 4 5 5" xfId="20714"/>
    <cellStyle name="Обычный 6 5 4 5 6" xfId="20715"/>
    <cellStyle name="Обычный 6 5 4 6" xfId="20716"/>
    <cellStyle name="Обычный 6 5 4 6 2" xfId="20717"/>
    <cellStyle name="Обычный 6 5 4 6 3" xfId="20718"/>
    <cellStyle name="Обычный 6 5 4 7" xfId="20719"/>
    <cellStyle name="Обычный 6 5 4 7 2" xfId="20720"/>
    <cellStyle name="Обычный 6 5 4 7 3" xfId="20721"/>
    <cellStyle name="Обычный 6 5 4 8" xfId="20722"/>
    <cellStyle name="Обычный 6 5 4 8 2" xfId="20723"/>
    <cellStyle name="Обычный 6 5 4 9" xfId="20724"/>
    <cellStyle name="Обычный 6 5 5" xfId="20725"/>
    <cellStyle name="Обычный 6 5 5 10" xfId="20726"/>
    <cellStyle name="Обычный 6 5 5 2" xfId="20727"/>
    <cellStyle name="Обычный 6 5 5 2 2" xfId="20728"/>
    <cellStyle name="Обычный 6 5 5 2 2 2" xfId="20729"/>
    <cellStyle name="Обычный 6 5 5 2 2 2 2" xfId="20730"/>
    <cellStyle name="Обычный 6 5 5 2 2 2 2 2" xfId="20731"/>
    <cellStyle name="Обычный 6 5 5 2 2 2 2 2 2" xfId="20732"/>
    <cellStyle name="Обычный 6 5 5 2 2 2 2 2 3" xfId="20733"/>
    <cellStyle name="Обычный 6 5 5 2 2 2 2 3" xfId="20734"/>
    <cellStyle name="Обычный 6 5 5 2 2 2 2 3 2" xfId="20735"/>
    <cellStyle name="Обычный 6 5 5 2 2 2 2 3 3" xfId="20736"/>
    <cellStyle name="Обычный 6 5 5 2 2 2 2 4" xfId="20737"/>
    <cellStyle name="Обычный 6 5 5 2 2 2 2 4 2" xfId="20738"/>
    <cellStyle name="Обычный 6 5 5 2 2 2 2 5" xfId="20739"/>
    <cellStyle name="Обычный 6 5 5 2 2 2 2 6" xfId="20740"/>
    <cellStyle name="Обычный 6 5 5 2 2 2 3" xfId="20741"/>
    <cellStyle name="Обычный 6 5 5 2 2 2 3 2" xfId="20742"/>
    <cellStyle name="Обычный 6 5 5 2 2 2 3 3" xfId="20743"/>
    <cellStyle name="Обычный 6 5 5 2 2 2 4" xfId="20744"/>
    <cellStyle name="Обычный 6 5 5 2 2 2 4 2" xfId="20745"/>
    <cellStyle name="Обычный 6 5 5 2 2 2 4 3" xfId="20746"/>
    <cellStyle name="Обычный 6 5 5 2 2 2 5" xfId="20747"/>
    <cellStyle name="Обычный 6 5 5 2 2 2 5 2" xfId="20748"/>
    <cellStyle name="Обычный 6 5 5 2 2 2 6" xfId="20749"/>
    <cellStyle name="Обычный 6 5 5 2 2 2 7" xfId="20750"/>
    <cellStyle name="Обычный 6 5 5 2 2 3" xfId="20751"/>
    <cellStyle name="Обычный 6 5 5 2 2 3 2" xfId="20752"/>
    <cellStyle name="Обычный 6 5 5 2 2 3 2 2" xfId="20753"/>
    <cellStyle name="Обычный 6 5 5 2 2 3 2 3" xfId="20754"/>
    <cellStyle name="Обычный 6 5 5 2 2 3 3" xfId="20755"/>
    <cellStyle name="Обычный 6 5 5 2 2 3 3 2" xfId="20756"/>
    <cellStyle name="Обычный 6 5 5 2 2 3 3 3" xfId="20757"/>
    <cellStyle name="Обычный 6 5 5 2 2 3 4" xfId="20758"/>
    <cellStyle name="Обычный 6 5 5 2 2 3 4 2" xfId="20759"/>
    <cellStyle name="Обычный 6 5 5 2 2 3 5" xfId="20760"/>
    <cellStyle name="Обычный 6 5 5 2 2 3 6" xfId="20761"/>
    <cellStyle name="Обычный 6 5 5 2 2 4" xfId="20762"/>
    <cellStyle name="Обычный 6 5 5 2 2 4 2" xfId="20763"/>
    <cellStyle name="Обычный 6 5 5 2 2 4 3" xfId="20764"/>
    <cellStyle name="Обычный 6 5 5 2 2 5" xfId="20765"/>
    <cellStyle name="Обычный 6 5 5 2 2 5 2" xfId="20766"/>
    <cellStyle name="Обычный 6 5 5 2 2 5 3" xfId="20767"/>
    <cellStyle name="Обычный 6 5 5 2 2 6" xfId="20768"/>
    <cellStyle name="Обычный 6 5 5 2 2 6 2" xfId="20769"/>
    <cellStyle name="Обычный 6 5 5 2 2 7" xfId="20770"/>
    <cellStyle name="Обычный 6 5 5 2 2 8" xfId="20771"/>
    <cellStyle name="Обычный 6 5 5 2 3" xfId="20772"/>
    <cellStyle name="Обычный 6 5 5 2 3 2" xfId="20773"/>
    <cellStyle name="Обычный 6 5 5 2 3 2 2" xfId="20774"/>
    <cellStyle name="Обычный 6 5 5 2 3 2 2 2" xfId="20775"/>
    <cellStyle name="Обычный 6 5 5 2 3 2 2 3" xfId="20776"/>
    <cellStyle name="Обычный 6 5 5 2 3 2 3" xfId="20777"/>
    <cellStyle name="Обычный 6 5 5 2 3 2 3 2" xfId="20778"/>
    <cellStyle name="Обычный 6 5 5 2 3 2 3 3" xfId="20779"/>
    <cellStyle name="Обычный 6 5 5 2 3 2 4" xfId="20780"/>
    <cellStyle name="Обычный 6 5 5 2 3 2 4 2" xfId="20781"/>
    <cellStyle name="Обычный 6 5 5 2 3 2 5" xfId="20782"/>
    <cellStyle name="Обычный 6 5 5 2 3 2 6" xfId="20783"/>
    <cellStyle name="Обычный 6 5 5 2 3 3" xfId="20784"/>
    <cellStyle name="Обычный 6 5 5 2 3 3 2" xfId="20785"/>
    <cellStyle name="Обычный 6 5 5 2 3 3 3" xfId="20786"/>
    <cellStyle name="Обычный 6 5 5 2 3 4" xfId="20787"/>
    <cellStyle name="Обычный 6 5 5 2 3 4 2" xfId="20788"/>
    <cellStyle name="Обычный 6 5 5 2 3 4 3" xfId="20789"/>
    <cellStyle name="Обычный 6 5 5 2 3 5" xfId="20790"/>
    <cellStyle name="Обычный 6 5 5 2 3 5 2" xfId="20791"/>
    <cellStyle name="Обычный 6 5 5 2 3 6" xfId="20792"/>
    <cellStyle name="Обычный 6 5 5 2 3 7" xfId="20793"/>
    <cellStyle name="Обычный 6 5 5 2 4" xfId="20794"/>
    <cellStyle name="Обычный 6 5 5 2 4 2" xfId="20795"/>
    <cellStyle name="Обычный 6 5 5 2 4 2 2" xfId="20796"/>
    <cellStyle name="Обычный 6 5 5 2 4 2 3" xfId="20797"/>
    <cellStyle name="Обычный 6 5 5 2 4 3" xfId="20798"/>
    <cellStyle name="Обычный 6 5 5 2 4 3 2" xfId="20799"/>
    <cellStyle name="Обычный 6 5 5 2 4 3 3" xfId="20800"/>
    <cellStyle name="Обычный 6 5 5 2 4 4" xfId="20801"/>
    <cellStyle name="Обычный 6 5 5 2 4 4 2" xfId="20802"/>
    <cellStyle name="Обычный 6 5 5 2 4 5" xfId="20803"/>
    <cellStyle name="Обычный 6 5 5 2 4 6" xfId="20804"/>
    <cellStyle name="Обычный 6 5 5 2 5" xfId="20805"/>
    <cellStyle name="Обычный 6 5 5 2 5 2" xfId="20806"/>
    <cellStyle name="Обычный 6 5 5 2 5 3" xfId="20807"/>
    <cellStyle name="Обычный 6 5 5 2 6" xfId="20808"/>
    <cellStyle name="Обычный 6 5 5 2 6 2" xfId="20809"/>
    <cellStyle name="Обычный 6 5 5 2 6 3" xfId="20810"/>
    <cellStyle name="Обычный 6 5 5 2 7" xfId="20811"/>
    <cellStyle name="Обычный 6 5 5 2 7 2" xfId="20812"/>
    <cellStyle name="Обычный 6 5 5 2 8" xfId="20813"/>
    <cellStyle name="Обычный 6 5 5 2 9" xfId="20814"/>
    <cellStyle name="Обычный 6 5 5 3" xfId="20815"/>
    <cellStyle name="Обычный 6 5 5 3 2" xfId="20816"/>
    <cellStyle name="Обычный 6 5 5 3 2 2" xfId="20817"/>
    <cellStyle name="Обычный 6 5 5 3 2 2 2" xfId="20818"/>
    <cellStyle name="Обычный 6 5 5 3 2 2 2 2" xfId="20819"/>
    <cellStyle name="Обычный 6 5 5 3 2 2 2 3" xfId="20820"/>
    <cellStyle name="Обычный 6 5 5 3 2 2 3" xfId="20821"/>
    <cellStyle name="Обычный 6 5 5 3 2 2 3 2" xfId="20822"/>
    <cellStyle name="Обычный 6 5 5 3 2 2 3 3" xfId="20823"/>
    <cellStyle name="Обычный 6 5 5 3 2 2 4" xfId="20824"/>
    <cellStyle name="Обычный 6 5 5 3 2 2 4 2" xfId="20825"/>
    <cellStyle name="Обычный 6 5 5 3 2 2 5" xfId="20826"/>
    <cellStyle name="Обычный 6 5 5 3 2 2 6" xfId="20827"/>
    <cellStyle name="Обычный 6 5 5 3 2 3" xfId="20828"/>
    <cellStyle name="Обычный 6 5 5 3 2 3 2" xfId="20829"/>
    <cellStyle name="Обычный 6 5 5 3 2 3 3" xfId="20830"/>
    <cellStyle name="Обычный 6 5 5 3 2 4" xfId="20831"/>
    <cellStyle name="Обычный 6 5 5 3 2 4 2" xfId="20832"/>
    <cellStyle name="Обычный 6 5 5 3 2 4 3" xfId="20833"/>
    <cellStyle name="Обычный 6 5 5 3 2 5" xfId="20834"/>
    <cellStyle name="Обычный 6 5 5 3 2 5 2" xfId="20835"/>
    <cellStyle name="Обычный 6 5 5 3 2 6" xfId="20836"/>
    <cellStyle name="Обычный 6 5 5 3 2 7" xfId="20837"/>
    <cellStyle name="Обычный 6 5 5 3 3" xfId="20838"/>
    <cellStyle name="Обычный 6 5 5 3 3 2" xfId="20839"/>
    <cellStyle name="Обычный 6 5 5 3 3 2 2" xfId="20840"/>
    <cellStyle name="Обычный 6 5 5 3 3 2 3" xfId="20841"/>
    <cellStyle name="Обычный 6 5 5 3 3 3" xfId="20842"/>
    <cellStyle name="Обычный 6 5 5 3 3 3 2" xfId="20843"/>
    <cellStyle name="Обычный 6 5 5 3 3 3 3" xfId="20844"/>
    <cellStyle name="Обычный 6 5 5 3 3 4" xfId="20845"/>
    <cellStyle name="Обычный 6 5 5 3 3 4 2" xfId="20846"/>
    <cellStyle name="Обычный 6 5 5 3 3 5" xfId="20847"/>
    <cellStyle name="Обычный 6 5 5 3 3 6" xfId="20848"/>
    <cellStyle name="Обычный 6 5 5 3 4" xfId="20849"/>
    <cellStyle name="Обычный 6 5 5 3 4 2" xfId="20850"/>
    <cellStyle name="Обычный 6 5 5 3 4 3" xfId="20851"/>
    <cellStyle name="Обычный 6 5 5 3 5" xfId="20852"/>
    <cellStyle name="Обычный 6 5 5 3 5 2" xfId="20853"/>
    <cellStyle name="Обычный 6 5 5 3 5 3" xfId="20854"/>
    <cellStyle name="Обычный 6 5 5 3 6" xfId="20855"/>
    <cellStyle name="Обычный 6 5 5 3 6 2" xfId="20856"/>
    <cellStyle name="Обычный 6 5 5 3 7" xfId="20857"/>
    <cellStyle name="Обычный 6 5 5 3 8" xfId="20858"/>
    <cellStyle name="Обычный 6 5 5 4" xfId="20859"/>
    <cellStyle name="Обычный 6 5 5 4 2" xfId="20860"/>
    <cellStyle name="Обычный 6 5 5 4 2 2" xfId="20861"/>
    <cellStyle name="Обычный 6 5 5 4 2 2 2" xfId="20862"/>
    <cellStyle name="Обычный 6 5 5 4 2 2 3" xfId="20863"/>
    <cellStyle name="Обычный 6 5 5 4 2 3" xfId="20864"/>
    <cellStyle name="Обычный 6 5 5 4 2 3 2" xfId="20865"/>
    <cellStyle name="Обычный 6 5 5 4 2 3 3" xfId="20866"/>
    <cellStyle name="Обычный 6 5 5 4 2 4" xfId="20867"/>
    <cellStyle name="Обычный 6 5 5 4 2 4 2" xfId="20868"/>
    <cellStyle name="Обычный 6 5 5 4 2 5" xfId="20869"/>
    <cellStyle name="Обычный 6 5 5 4 2 6" xfId="20870"/>
    <cellStyle name="Обычный 6 5 5 4 3" xfId="20871"/>
    <cellStyle name="Обычный 6 5 5 4 3 2" xfId="20872"/>
    <cellStyle name="Обычный 6 5 5 4 3 3" xfId="20873"/>
    <cellStyle name="Обычный 6 5 5 4 4" xfId="20874"/>
    <cellStyle name="Обычный 6 5 5 4 4 2" xfId="20875"/>
    <cellStyle name="Обычный 6 5 5 4 4 3" xfId="20876"/>
    <cellStyle name="Обычный 6 5 5 4 5" xfId="20877"/>
    <cellStyle name="Обычный 6 5 5 4 5 2" xfId="20878"/>
    <cellStyle name="Обычный 6 5 5 4 6" xfId="20879"/>
    <cellStyle name="Обычный 6 5 5 4 7" xfId="20880"/>
    <cellStyle name="Обычный 6 5 5 5" xfId="20881"/>
    <cellStyle name="Обычный 6 5 5 5 2" xfId="20882"/>
    <cellStyle name="Обычный 6 5 5 5 2 2" xfId="20883"/>
    <cellStyle name="Обычный 6 5 5 5 2 3" xfId="20884"/>
    <cellStyle name="Обычный 6 5 5 5 3" xfId="20885"/>
    <cellStyle name="Обычный 6 5 5 5 3 2" xfId="20886"/>
    <cellStyle name="Обычный 6 5 5 5 3 3" xfId="20887"/>
    <cellStyle name="Обычный 6 5 5 5 4" xfId="20888"/>
    <cellStyle name="Обычный 6 5 5 5 4 2" xfId="20889"/>
    <cellStyle name="Обычный 6 5 5 5 5" xfId="20890"/>
    <cellStyle name="Обычный 6 5 5 5 6" xfId="20891"/>
    <cellStyle name="Обычный 6 5 5 6" xfId="20892"/>
    <cellStyle name="Обычный 6 5 5 6 2" xfId="20893"/>
    <cellStyle name="Обычный 6 5 5 6 3" xfId="20894"/>
    <cellStyle name="Обычный 6 5 5 7" xfId="20895"/>
    <cellStyle name="Обычный 6 5 5 7 2" xfId="20896"/>
    <cellStyle name="Обычный 6 5 5 7 3" xfId="20897"/>
    <cellStyle name="Обычный 6 5 5 8" xfId="20898"/>
    <cellStyle name="Обычный 6 5 5 8 2" xfId="20899"/>
    <cellStyle name="Обычный 6 5 5 9" xfId="20900"/>
    <cellStyle name="Обычный 6 5 6" xfId="20901"/>
    <cellStyle name="Обычный 6 5 6 2" xfId="20902"/>
    <cellStyle name="Обычный 6 5 6 2 2" xfId="20903"/>
    <cellStyle name="Обычный 6 5 6 2 2 2" xfId="20904"/>
    <cellStyle name="Обычный 6 5 6 2 2 2 2" xfId="20905"/>
    <cellStyle name="Обычный 6 5 6 2 2 2 2 2" xfId="20906"/>
    <cellStyle name="Обычный 6 5 6 2 2 2 2 3" xfId="20907"/>
    <cellStyle name="Обычный 6 5 6 2 2 2 3" xfId="20908"/>
    <cellStyle name="Обычный 6 5 6 2 2 2 3 2" xfId="20909"/>
    <cellStyle name="Обычный 6 5 6 2 2 2 3 3" xfId="20910"/>
    <cellStyle name="Обычный 6 5 6 2 2 2 4" xfId="20911"/>
    <cellStyle name="Обычный 6 5 6 2 2 2 4 2" xfId="20912"/>
    <cellStyle name="Обычный 6 5 6 2 2 2 5" xfId="20913"/>
    <cellStyle name="Обычный 6 5 6 2 2 2 6" xfId="20914"/>
    <cellStyle name="Обычный 6 5 6 2 2 3" xfId="20915"/>
    <cellStyle name="Обычный 6 5 6 2 2 3 2" xfId="20916"/>
    <cellStyle name="Обычный 6 5 6 2 2 3 3" xfId="20917"/>
    <cellStyle name="Обычный 6 5 6 2 2 4" xfId="20918"/>
    <cellStyle name="Обычный 6 5 6 2 2 4 2" xfId="20919"/>
    <cellStyle name="Обычный 6 5 6 2 2 4 3" xfId="20920"/>
    <cellStyle name="Обычный 6 5 6 2 2 5" xfId="20921"/>
    <cellStyle name="Обычный 6 5 6 2 2 5 2" xfId="20922"/>
    <cellStyle name="Обычный 6 5 6 2 2 6" xfId="20923"/>
    <cellStyle name="Обычный 6 5 6 2 2 7" xfId="20924"/>
    <cellStyle name="Обычный 6 5 6 2 3" xfId="20925"/>
    <cellStyle name="Обычный 6 5 6 2 3 2" xfId="20926"/>
    <cellStyle name="Обычный 6 5 6 2 3 2 2" xfId="20927"/>
    <cellStyle name="Обычный 6 5 6 2 3 2 3" xfId="20928"/>
    <cellStyle name="Обычный 6 5 6 2 3 3" xfId="20929"/>
    <cellStyle name="Обычный 6 5 6 2 3 3 2" xfId="20930"/>
    <cellStyle name="Обычный 6 5 6 2 3 3 3" xfId="20931"/>
    <cellStyle name="Обычный 6 5 6 2 3 4" xfId="20932"/>
    <cellStyle name="Обычный 6 5 6 2 3 4 2" xfId="20933"/>
    <cellStyle name="Обычный 6 5 6 2 3 5" xfId="20934"/>
    <cellStyle name="Обычный 6 5 6 2 3 6" xfId="20935"/>
    <cellStyle name="Обычный 6 5 6 2 4" xfId="20936"/>
    <cellStyle name="Обычный 6 5 6 2 4 2" xfId="20937"/>
    <cellStyle name="Обычный 6 5 6 2 4 3" xfId="20938"/>
    <cellStyle name="Обычный 6 5 6 2 5" xfId="20939"/>
    <cellStyle name="Обычный 6 5 6 2 5 2" xfId="20940"/>
    <cellStyle name="Обычный 6 5 6 2 5 3" xfId="20941"/>
    <cellStyle name="Обычный 6 5 6 2 6" xfId="20942"/>
    <cellStyle name="Обычный 6 5 6 2 6 2" xfId="20943"/>
    <cellStyle name="Обычный 6 5 6 2 7" xfId="20944"/>
    <cellStyle name="Обычный 6 5 6 2 8" xfId="20945"/>
    <cellStyle name="Обычный 6 5 6 3" xfId="20946"/>
    <cellStyle name="Обычный 6 5 6 3 2" xfId="20947"/>
    <cellStyle name="Обычный 6 5 6 3 2 2" xfId="20948"/>
    <cellStyle name="Обычный 6 5 6 3 2 2 2" xfId="20949"/>
    <cellStyle name="Обычный 6 5 6 3 2 2 3" xfId="20950"/>
    <cellStyle name="Обычный 6 5 6 3 2 3" xfId="20951"/>
    <cellStyle name="Обычный 6 5 6 3 2 3 2" xfId="20952"/>
    <cellStyle name="Обычный 6 5 6 3 2 3 3" xfId="20953"/>
    <cellStyle name="Обычный 6 5 6 3 2 4" xfId="20954"/>
    <cellStyle name="Обычный 6 5 6 3 2 4 2" xfId="20955"/>
    <cellStyle name="Обычный 6 5 6 3 2 5" xfId="20956"/>
    <cellStyle name="Обычный 6 5 6 3 2 6" xfId="20957"/>
    <cellStyle name="Обычный 6 5 6 3 3" xfId="20958"/>
    <cellStyle name="Обычный 6 5 6 3 3 2" xfId="20959"/>
    <cellStyle name="Обычный 6 5 6 3 3 3" xfId="20960"/>
    <cellStyle name="Обычный 6 5 6 3 4" xfId="20961"/>
    <cellStyle name="Обычный 6 5 6 3 4 2" xfId="20962"/>
    <cellStyle name="Обычный 6 5 6 3 4 3" xfId="20963"/>
    <cellStyle name="Обычный 6 5 6 3 5" xfId="20964"/>
    <cellStyle name="Обычный 6 5 6 3 5 2" xfId="20965"/>
    <cellStyle name="Обычный 6 5 6 3 6" xfId="20966"/>
    <cellStyle name="Обычный 6 5 6 3 7" xfId="20967"/>
    <cellStyle name="Обычный 6 5 6 4" xfId="20968"/>
    <cellStyle name="Обычный 6 5 6 4 2" xfId="20969"/>
    <cellStyle name="Обычный 6 5 6 4 2 2" xfId="20970"/>
    <cellStyle name="Обычный 6 5 6 4 2 3" xfId="20971"/>
    <cellStyle name="Обычный 6 5 6 4 3" xfId="20972"/>
    <cellStyle name="Обычный 6 5 6 4 3 2" xfId="20973"/>
    <cellStyle name="Обычный 6 5 6 4 3 3" xfId="20974"/>
    <cellStyle name="Обычный 6 5 6 4 4" xfId="20975"/>
    <cellStyle name="Обычный 6 5 6 4 4 2" xfId="20976"/>
    <cellStyle name="Обычный 6 5 6 4 5" xfId="20977"/>
    <cellStyle name="Обычный 6 5 6 4 6" xfId="20978"/>
    <cellStyle name="Обычный 6 5 6 5" xfId="20979"/>
    <cellStyle name="Обычный 6 5 6 5 2" xfId="20980"/>
    <cellStyle name="Обычный 6 5 6 5 3" xfId="20981"/>
    <cellStyle name="Обычный 6 5 6 6" xfId="20982"/>
    <cellStyle name="Обычный 6 5 6 6 2" xfId="20983"/>
    <cellStyle name="Обычный 6 5 6 6 3" xfId="20984"/>
    <cellStyle name="Обычный 6 5 6 7" xfId="20985"/>
    <cellStyle name="Обычный 6 5 6 7 2" xfId="20986"/>
    <cellStyle name="Обычный 6 5 6 8" xfId="20987"/>
    <cellStyle name="Обычный 6 5 6 9" xfId="20988"/>
    <cellStyle name="Обычный 6 5 7" xfId="20989"/>
    <cellStyle name="Обычный 6 5 7 2" xfId="20990"/>
    <cellStyle name="Обычный 6 5 7 2 2" xfId="20991"/>
    <cellStyle name="Обычный 6 5 7 2 2 2" xfId="20992"/>
    <cellStyle name="Обычный 6 5 7 2 2 2 2" xfId="20993"/>
    <cellStyle name="Обычный 6 5 7 2 2 2 3" xfId="20994"/>
    <cellStyle name="Обычный 6 5 7 2 2 3" xfId="20995"/>
    <cellStyle name="Обычный 6 5 7 2 2 3 2" xfId="20996"/>
    <cellStyle name="Обычный 6 5 7 2 2 3 3" xfId="20997"/>
    <cellStyle name="Обычный 6 5 7 2 2 4" xfId="20998"/>
    <cellStyle name="Обычный 6 5 7 2 2 4 2" xfId="20999"/>
    <cellStyle name="Обычный 6 5 7 2 2 5" xfId="21000"/>
    <cellStyle name="Обычный 6 5 7 2 2 6" xfId="21001"/>
    <cellStyle name="Обычный 6 5 7 2 3" xfId="21002"/>
    <cellStyle name="Обычный 6 5 7 2 3 2" xfId="21003"/>
    <cellStyle name="Обычный 6 5 7 2 3 3" xfId="21004"/>
    <cellStyle name="Обычный 6 5 7 2 4" xfId="21005"/>
    <cellStyle name="Обычный 6 5 7 2 4 2" xfId="21006"/>
    <cellStyle name="Обычный 6 5 7 2 4 3" xfId="21007"/>
    <cellStyle name="Обычный 6 5 7 2 5" xfId="21008"/>
    <cellStyle name="Обычный 6 5 7 2 5 2" xfId="21009"/>
    <cellStyle name="Обычный 6 5 7 2 6" xfId="21010"/>
    <cellStyle name="Обычный 6 5 7 2 7" xfId="21011"/>
    <cellStyle name="Обычный 6 5 7 3" xfId="21012"/>
    <cellStyle name="Обычный 6 5 7 3 2" xfId="21013"/>
    <cellStyle name="Обычный 6 5 7 3 2 2" xfId="21014"/>
    <cellStyle name="Обычный 6 5 7 3 2 3" xfId="21015"/>
    <cellStyle name="Обычный 6 5 7 3 3" xfId="21016"/>
    <cellStyle name="Обычный 6 5 7 3 3 2" xfId="21017"/>
    <cellStyle name="Обычный 6 5 7 3 3 3" xfId="21018"/>
    <cellStyle name="Обычный 6 5 7 3 4" xfId="21019"/>
    <cellStyle name="Обычный 6 5 7 3 4 2" xfId="21020"/>
    <cellStyle name="Обычный 6 5 7 3 5" xfId="21021"/>
    <cellStyle name="Обычный 6 5 7 3 6" xfId="21022"/>
    <cellStyle name="Обычный 6 5 7 4" xfId="21023"/>
    <cellStyle name="Обычный 6 5 7 4 2" xfId="21024"/>
    <cellStyle name="Обычный 6 5 7 4 3" xfId="21025"/>
    <cellStyle name="Обычный 6 5 7 5" xfId="21026"/>
    <cellStyle name="Обычный 6 5 7 5 2" xfId="21027"/>
    <cellStyle name="Обычный 6 5 7 5 3" xfId="21028"/>
    <cellStyle name="Обычный 6 5 7 6" xfId="21029"/>
    <cellStyle name="Обычный 6 5 7 6 2" xfId="21030"/>
    <cellStyle name="Обычный 6 5 7 7" xfId="21031"/>
    <cellStyle name="Обычный 6 5 7 8" xfId="21032"/>
    <cellStyle name="Обычный 6 5 8" xfId="21033"/>
    <cellStyle name="Обычный 6 5 8 2" xfId="21034"/>
    <cellStyle name="Обычный 6 5 8 2 2" xfId="21035"/>
    <cellStyle name="Обычный 6 5 8 2 2 2" xfId="21036"/>
    <cellStyle name="Обычный 6 5 8 2 2 3" xfId="21037"/>
    <cellStyle name="Обычный 6 5 8 2 3" xfId="21038"/>
    <cellStyle name="Обычный 6 5 8 2 3 2" xfId="21039"/>
    <cellStyle name="Обычный 6 5 8 2 3 3" xfId="21040"/>
    <cellStyle name="Обычный 6 5 8 2 4" xfId="21041"/>
    <cellStyle name="Обычный 6 5 8 2 4 2" xfId="21042"/>
    <cellStyle name="Обычный 6 5 8 2 5" xfId="21043"/>
    <cellStyle name="Обычный 6 5 8 2 6" xfId="21044"/>
    <cellStyle name="Обычный 6 5 8 3" xfId="21045"/>
    <cellStyle name="Обычный 6 5 8 3 2" xfId="21046"/>
    <cellStyle name="Обычный 6 5 8 3 3" xfId="21047"/>
    <cellStyle name="Обычный 6 5 8 4" xfId="21048"/>
    <cellStyle name="Обычный 6 5 8 4 2" xfId="21049"/>
    <cellStyle name="Обычный 6 5 8 4 3" xfId="21050"/>
    <cellStyle name="Обычный 6 5 8 5" xfId="21051"/>
    <cellStyle name="Обычный 6 5 8 5 2" xfId="21052"/>
    <cellStyle name="Обычный 6 5 8 6" xfId="21053"/>
    <cellStyle name="Обычный 6 5 8 7" xfId="21054"/>
    <cellStyle name="Обычный 6 5 9" xfId="21055"/>
    <cellStyle name="Обычный 6 5 9 2" xfId="21056"/>
    <cellStyle name="Обычный 6 5 9 2 2" xfId="21057"/>
    <cellStyle name="Обычный 6 5 9 2 3" xfId="21058"/>
    <cellStyle name="Обычный 6 5 9 3" xfId="21059"/>
    <cellStyle name="Обычный 6 5 9 3 2" xfId="21060"/>
    <cellStyle name="Обычный 6 5 9 3 3" xfId="21061"/>
    <cellStyle name="Обычный 6 5 9 4" xfId="21062"/>
    <cellStyle name="Обычный 6 5 9 4 2" xfId="21063"/>
    <cellStyle name="Обычный 6 5 9 5" xfId="21064"/>
    <cellStyle name="Обычный 6 5 9 6" xfId="21065"/>
    <cellStyle name="Обычный 6 6" xfId="21066"/>
    <cellStyle name="Обычный 6 6 10" xfId="21067"/>
    <cellStyle name="Обычный 6 6 10 2" xfId="21068"/>
    <cellStyle name="Обычный 6 6 10 3" xfId="21069"/>
    <cellStyle name="Обычный 6 6 11" xfId="21070"/>
    <cellStyle name="Обычный 6 6 11 2" xfId="21071"/>
    <cellStyle name="Обычный 6 6 11 3" xfId="21072"/>
    <cellStyle name="Обычный 6 6 12" xfId="21073"/>
    <cellStyle name="Обычный 6 6 12 2" xfId="21074"/>
    <cellStyle name="Обычный 6 6 13" xfId="21075"/>
    <cellStyle name="Обычный 6 6 14" xfId="21076"/>
    <cellStyle name="Обычный 6 6 2" xfId="21077"/>
    <cellStyle name="Обычный 6 6 2 10" xfId="21078"/>
    <cellStyle name="Обычный 6 6 2 10 2" xfId="21079"/>
    <cellStyle name="Обычный 6 6 2 10 3" xfId="21080"/>
    <cellStyle name="Обычный 6 6 2 11" xfId="21081"/>
    <cellStyle name="Обычный 6 6 2 11 2" xfId="21082"/>
    <cellStyle name="Обычный 6 6 2 12" xfId="21083"/>
    <cellStyle name="Обычный 6 6 2 13" xfId="21084"/>
    <cellStyle name="Обычный 6 6 2 2" xfId="21085"/>
    <cellStyle name="Обычный 6 6 2 2 10" xfId="21086"/>
    <cellStyle name="Обычный 6 6 2 2 2" xfId="21087"/>
    <cellStyle name="Обычный 6 6 2 2 2 2" xfId="21088"/>
    <cellStyle name="Обычный 6 6 2 2 2 2 2" xfId="21089"/>
    <cellStyle name="Обычный 6 6 2 2 2 2 2 2" xfId="21090"/>
    <cellStyle name="Обычный 6 6 2 2 2 2 2 2 2" xfId="21091"/>
    <cellStyle name="Обычный 6 6 2 2 2 2 2 2 2 2" xfId="21092"/>
    <cellStyle name="Обычный 6 6 2 2 2 2 2 2 2 3" xfId="21093"/>
    <cellStyle name="Обычный 6 6 2 2 2 2 2 2 3" xfId="21094"/>
    <cellStyle name="Обычный 6 6 2 2 2 2 2 2 3 2" xfId="21095"/>
    <cellStyle name="Обычный 6 6 2 2 2 2 2 2 3 3" xfId="21096"/>
    <cellStyle name="Обычный 6 6 2 2 2 2 2 2 4" xfId="21097"/>
    <cellStyle name="Обычный 6 6 2 2 2 2 2 2 4 2" xfId="21098"/>
    <cellStyle name="Обычный 6 6 2 2 2 2 2 2 5" xfId="21099"/>
    <cellStyle name="Обычный 6 6 2 2 2 2 2 2 6" xfId="21100"/>
    <cellStyle name="Обычный 6 6 2 2 2 2 2 3" xfId="21101"/>
    <cellStyle name="Обычный 6 6 2 2 2 2 2 3 2" xfId="21102"/>
    <cellStyle name="Обычный 6 6 2 2 2 2 2 3 3" xfId="21103"/>
    <cellStyle name="Обычный 6 6 2 2 2 2 2 4" xfId="21104"/>
    <cellStyle name="Обычный 6 6 2 2 2 2 2 4 2" xfId="21105"/>
    <cellStyle name="Обычный 6 6 2 2 2 2 2 4 3" xfId="21106"/>
    <cellStyle name="Обычный 6 6 2 2 2 2 2 5" xfId="21107"/>
    <cellStyle name="Обычный 6 6 2 2 2 2 2 5 2" xfId="21108"/>
    <cellStyle name="Обычный 6 6 2 2 2 2 2 6" xfId="21109"/>
    <cellStyle name="Обычный 6 6 2 2 2 2 2 7" xfId="21110"/>
    <cellStyle name="Обычный 6 6 2 2 2 2 3" xfId="21111"/>
    <cellStyle name="Обычный 6 6 2 2 2 2 3 2" xfId="21112"/>
    <cellStyle name="Обычный 6 6 2 2 2 2 3 2 2" xfId="21113"/>
    <cellStyle name="Обычный 6 6 2 2 2 2 3 2 3" xfId="21114"/>
    <cellStyle name="Обычный 6 6 2 2 2 2 3 3" xfId="21115"/>
    <cellStyle name="Обычный 6 6 2 2 2 2 3 3 2" xfId="21116"/>
    <cellStyle name="Обычный 6 6 2 2 2 2 3 3 3" xfId="21117"/>
    <cellStyle name="Обычный 6 6 2 2 2 2 3 4" xfId="21118"/>
    <cellStyle name="Обычный 6 6 2 2 2 2 3 4 2" xfId="21119"/>
    <cellStyle name="Обычный 6 6 2 2 2 2 3 5" xfId="21120"/>
    <cellStyle name="Обычный 6 6 2 2 2 2 3 6" xfId="21121"/>
    <cellStyle name="Обычный 6 6 2 2 2 2 4" xfId="21122"/>
    <cellStyle name="Обычный 6 6 2 2 2 2 4 2" xfId="21123"/>
    <cellStyle name="Обычный 6 6 2 2 2 2 4 3" xfId="21124"/>
    <cellStyle name="Обычный 6 6 2 2 2 2 5" xfId="21125"/>
    <cellStyle name="Обычный 6 6 2 2 2 2 5 2" xfId="21126"/>
    <cellStyle name="Обычный 6 6 2 2 2 2 5 3" xfId="21127"/>
    <cellStyle name="Обычный 6 6 2 2 2 2 6" xfId="21128"/>
    <cellStyle name="Обычный 6 6 2 2 2 2 6 2" xfId="21129"/>
    <cellStyle name="Обычный 6 6 2 2 2 2 7" xfId="21130"/>
    <cellStyle name="Обычный 6 6 2 2 2 2 8" xfId="21131"/>
    <cellStyle name="Обычный 6 6 2 2 2 3" xfId="21132"/>
    <cellStyle name="Обычный 6 6 2 2 2 3 2" xfId="21133"/>
    <cellStyle name="Обычный 6 6 2 2 2 3 2 2" xfId="21134"/>
    <cellStyle name="Обычный 6 6 2 2 2 3 2 2 2" xfId="21135"/>
    <cellStyle name="Обычный 6 6 2 2 2 3 2 2 3" xfId="21136"/>
    <cellStyle name="Обычный 6 6 2 2 2 3 2 3" xfId="21137"/>
    <cellStyle name="Обычный 6 6 2 2 2 3 2 3 2" xfId="21138"/>
    <cellStyle name="Обычный 6 6 2 2 2 3 2 3 3" xfId="21139"/>
    <cellStyle name="Обычный 6 6 2 2 2 3 2 4" xfId="21140"/>
    <cellStyle name="Обычный 6 6 2 2 2 3 2 4 2" xfId="21141"/>
    <cellStyle name="Обычный 6 6 2 2 2 3 2 5" xfId="21142"/>
    <cellStyle name="Обычный 6 6 2 2 2 3 2 6" xfId="21143"/>
    <cellStyle name="Обычный 6 6 2 2 2 3 3" xfId="21144"/>
    <cellStyle name="Обычный 6 6 2 2 2 3 3 2" xfId="21145"/>
    <cellStyle name="Обычный 6 6 2 2 2 3 3 3" xfId="21146"/>
    <cellStyle name="Обычный 6 6 2 2 2 3 4" xfId="21147"/>
    <cellStyle name="Обычный 6 6 2 2 2 3 4 2" xfId="21148"/>
    <cellStyle name="Обычный 6 6 2 2 2 3 4 3" xfId="21149"/>
    <cellStyle name="Обычный 6 6 2 2 2 3 5" xfId="21150"/>
    <cellStyle name="Обычный 6 6 2 2 2 3 5 2" xfId="21151"/>
    <cellStyle name="Обычный 6 6 2 2 2 3 6" xfId="21152"/>
    <cellStyle name="Обычный 6 6 2 2 2 3 7" xfId="21153"/>
    <cellStyle name="Обычный 6 6 2 2 2 4" xfId="21154"/>
    <cellStyle name="Обычный 6 6 2 2 2 4 2" xfId="21155"/>
    <cellStyle name="Обычный 6 6 2 2 2 4 2 2" xfId="21156"/>
    <cellStyle name="Обычный 6 6 2 2 2 4 2 3" xfId="21157"/>
    <cellStyle name="Обычный 6 6 2 2 2 4 3" xfId="21158"/>
    <cellStyle name="Обычный 6 6 2 2 2 4 3 2" xfId="21159"/>
    <cellStyle name="Обычный 6 6 2 2 2 4 3 3" xfId="21160"/>
    <cellStyle name="Обычный 6 6 2 2 2 4 4" xfId="21161"/>
    <cellStyle name="Обычный 6 6 2 2 2 4 4 2" xfId="21162"/>
    <cellStyle name="Обычный 6 6 2 2 2 4 5" xfId="21163"/>
    <cellStyle name="Обычный 6 6 2 2 2 4 6" xfId="21164"/>
    <cellStyle name="Обычный 6 6 2 2 2 5" xfId="21165"/>
    <cellStyle name="Обычный 6 6 2 2 2 5 2" xfId="21166"/>
    <cellStyle name="Обычный 6 6 2 2 2 5 3" xfId="21167"/>
    <cellStyle name="Обычный 6 6 2 2 2 6" xfId="21168"/>
    <cellStyle name="Обычный 6 6 2 2 2 6 2" xfId="21169"/>
    <cellStyle name="Обычный 6 6 2 2 2 6 3" xfId="21170"/>
    <cellStyle name="Обычный 6 6 2 2 2 7" xfId="21171"/>
    <cellStyle name="Обычный 6 6 2 2 2 7 2" xfId="21172"/>
    <cellStyle name="Обычный 6 6 2 2 2 8" xfId="21173"/>
    <cellStyle name="Обычный 6 6 2 2 2 9" xfId="21174"/>
    <cellStyle name="Обычный 6 6 2 2 3" xfId="21175"/>
    <cellStyle name="Обычный 6 6 2 2 3 2" xfId="21176"/>
    <cellStyle name="Обычный 6 6 2 2 3 2 2" xfId="21177"/>
    <cellStyle name="Обычный 6 6 2 2 3 2 2 2" xfId="21178"/>
    <cellStyle name="Обычный 6 6 2 2 3 2 2 2 2" xfId="21179"/>
    <cellStyle name="Обычный 6 6 2 2 3 2 2 2 3" xfId="21180"/>
    <cellStyle name="Обычный 6 6 2 2 3 2 2 3" xfId="21181"/>
    <cellStyle name="Обычный 6 6 2 2 3 2 2 3 2" xfId="21182"/>
    <cellStyle name="Обычный 6 6 2 2 3 2 2 3 3" xfId="21183"/>
    <cellStyle name="Обычный 6 6 2 2 3 2 2 4" xfId="21184"/>
    <cellStyle name="Обычный 6 6 2 2 3 2 2 4 2" xfId="21185"/>
    <cellStyle name="Обычный 6 6 2 2 3 2 2 5" xfId="21186"/>
    <cellStyle name="Обычный 6 6 2 2 3 2 2 6" xfId="21187"/>
    <cellStyle name="Обычный 6 6 2 2 3 2 3" xfId="21188"/>
    <cellStyle name="Обычный 6 6 2 2 3 2 3 2" xfId="21189"/>
    <cellStyle name="Обычный 6 6 2 2 3 2 3 3" xfId="21190"/>
    <cellStyle name="Обычный 6 6 2 2 3 2 4" xfId="21191"/>
    <cellStyle name="Обычный 6 6 2 2 3 2 4 2" xfId="21192"/>
    <cellStyle name="Обычный 6 6 2 2 3 2 4 3" xfId="21193"/>
    <cellStyle name="Обычный 6 6 2 2 3 2 5" xfId="21194"/>
    <cellStyle name="Обычный 6 6 2 2 3 2 5 2" xfId="21195"/>
    <cellStyle name="Обычный 6 6 2 2 3 2 6" xfId="21196"/>
    <cellStyle name="Обычный 6 6 2 2 3 2 7" xfId="21197"/>
    <cellStyle name="Обычный 6 6 2 2 3 3" xfId="21198"/>
    <cellStyle name="Обычный 6 6 2 2 3 3 2" xfId="21199"/>
    <cellStyle name="Обычный 6 6 2 2 3 3 2 2" xfId="21200"/>
    <cellStyle name="Обычный 6 6 2 2 3 3 2 3" xfId="21201"/>
    <cellStyle name="Обычный 6 6 2 2 3 3 3" xfId="21202"/>
    <cellStyle name="Обычный 6 6 2 2 3 3 3 2" xfId="21203"/>
    <cellStyle name="Обычный 6 6 2 2 3 3 3 3" xfId="21204"/>
    <cellStyle name="Обычный 6 6 2 2 3 3 4" xfId="21205"/>
    <cellStyle name="Обычный 6 6 2 2 3 3 4 2" xfId="21206"/>
    <cellStyle name="Обычный 6 6 2 2 3 3 5" xfId="21207"/>
    <cellStyle name="Обычный 6 6 2 2 3 3 6" xfId="21208"/>
    <cellStyle name="Обычный 6 6 2 2 3 4" xfId="21209"/>
    <cellStyle name="Обычный 6 6 2 2 3 4 2" xfId="21210"/>
    <cellStyle name="Обычный 6 6 2 2 3 4 3" xfId="21211"/>
    <cellStyle name="Обычный 6 6 2 2 3 5" xfId="21212"/>
    <cellStyle name="Обычный 6 6 2 2 3 5 2" xfId="21213"/>
    <cellStyle name="Обычный 6 6 2 2 3 5 3" xfId="21214"/>
    <cellStyle name="Обычный 6 6 2 2 3 6" xfId="21215"/>
    <cellStyle name="Обычный 6 6 2 2 3 6 2" xfId="21216"/>
    <cellStyle name="Обычный 6 6 2 2 3 7" xfId="21217"/>
    <cellStyle name="Обычный 6 6 2 2 3 8" xfId="21218"/>
    <cellStyle name="Обычный 6 6 2 2 4" xfId="21219"/>
    <cellStyle name="Обычный 6 6 2 2 4 2" xfId="21220"/>
    <cellStyle name="Обычный 6 6 2 2 4 2 2" xfId="21221"/>
    <cellStyle name="Обычный 6 6 2 2 4 2 2 2" xfId="21222"/>
    <cellStyle name="Обычный 6 6 2 2 4 2 2 3" xfId="21223"/>
    <cellStyle name="Обычный 6 6 2 2 4 2 3" xfId="21224"/>
    <cellStyle name="Обычный 6 6 2 2 4 2 3 2" xfId="21225"/>
    <cellStyle name="Обычный 6 6 2 2 4 2 3 3" xfId="21226"/>
    <cellStyle name="Обычный 6 6 2 2 4 2 4" xfId="21227"/>
    <cellStyle name="Обычный 6 6 2 2 4 2 4 2" xfId="21228"/>
    <cellStyle name="Обычный 6 6 2 2 4 2 5" xfId="21229"/>
    <cellStyle name="Обычный 6 6 2 2 4 2 6" xfId="21230"/>
    <cellStyle name="Обычный 6 6 2 2 4 3" xfId="21231"/>
    <cellStyle name="Обычный 6 6 2 2 4 3 2" xfId="21232"/>
    <cellStyle name="Обычный 6 6 2 2 4 3 3" xfId="21233"/>
    <cellStyle name="Обычный 6 6 2 2 4 4" xfId="21234"/>
    <cellStyle name="Обычный 6 6 2 2 4 4 2" xfId="21235"/>
    <cellStyle name="Обычный 6 6 2 2 4 4 3" xfId="21236"/>
    <cellStyle name="Обычный 6 6 2 2 4 5" xfId="21237"/>
    <cellStyle name="Обычный 6 6 2 2 4 5 2" xfId="21238"/>
    <cellStyle name="Обычный 6 6 2 2 4 6" xfId="21239"/>
    <cellStyle name="Обычный 6 6 2 2 4 7" xfId="21240"/>
    <cellStyle name="Обычный 6 6 2 2 5" xfId="21241"/>
    <cellStyle name="Обычный 6 6 2 2 5 2" xfId="21242"/>
    <cellStyle name="Обычный 6 6 2 2 5 2 2" xfId="21243"/>
    <cellStyle name="Обычный 6 6 2 2 5 2 3" xfId="21244"/>
    <cellStyle name="Обычный 6 6 2 2 5 3" xfId="21245"/>
    <cellStyle name="Обычный 6 6 2 2 5 3 2" xfId="21246"/>
    <cellStyle name="Обычный 6 6 2 2 5 3 3" xfId="21247"/>
    <cellStyle name="Обычный 6 6 2 2 5 4" xfId="21248"/>
    <cellStyle name="Обычный 6 6 2 2 5 4 2" xfId="21249"/>
    <cellStyle name="Обычный 6 6 2 2 5 5" xfId="21250"/>
    <cellStyle name="Обычный 6 6 2 2 5 6" xfId="21251"/>
    <cellStyle name="Обычный 6 6 2 2 6" xfId="21252"/>
    <cellStyle name="Обычный 6 6 2 2 6 2" xfId="21253"/>
    <cellStyle name="Обычный 6 6 2 2 6 3" xfId="21254"/>
    <cellStyle name="Обычный 6 6 2 2 7" xfId="21255"/>
    <cellStyle name="Обычный 6 6 2 2 7 2" xfId="21256"/>
    <cellStyle name="Обычный 6 6 2 2 7 3" xfId="21257"/>
    <cellStyle name="Обычный 6 6 2 2 8" xfId="21258"/>
    <cellStyle name="Обычный 6 6 2 2 8 2" xfId="21259"/>
    <cellStyle name="Обычный 6 6 2 2 9" xfId="21260"/>
    <cellStyle name="Обычный 6 6 2 3" xfId="21261"/>
    <cellStyle name="Обычный 6 6 2 3 10" xfId="21262"/>
    <cellStyle name="Обычный 6 6 2 3 2" xfId="21263"/>
    <cellStyle name="Обычный 6 6 2 3 2 2" xfId="21264"/>
    <cellStyle name="Обычный 6 6 2 3 2 2 2" xfId="21265"/>
    <cellStyle name="Обычный 6 6 2 3 2 2 2 2" xfId="21266"/>
    <cellStyle name="Обычный 6 6 2 3 2 2 2 2 2" xfId="21267"/>
    <cellStyle name="Обычный 6 6 2 3 2 2 2 2 2 2" xfId="21268"/>
    <cellStyle name="Обычный 6 6 2 3 2 2 2 2 2 3" xfId="21269"/>
    <cellStyle name="Обычный 6 6 2 3 2 2 2 2 3" xfId="21270"/>
    <cellStyle name="Обычный 6 6 2 3 2 2 2 2 3 2" xfId="21271"/>
    <cellStyle name="Обычный 6 6 2 3 2 2 2 2 3 3" xfId="21272"/>
    <cellStyle name="Обычный 6 6 2 3 2 2 2 2 4" xfId="21273"/>
    <cellStyle name="Обычный 6 6 2 3 2 2 2 2 4 2" xfId="21274"/>
    <cellStyle name="Обычный 6 6 2 3 2 2 2 2 5" xfId="21275"/>
    <cellStyle name="Обычный 6 6 2 3 2 2 2 2 6" xfId="21276"/>
    <cellStyle name="Обычный 6 6 2 3 2 2 2 3" xfId="21277"/>
    <cellStyle name="Обычный 6 6 2 3 2 2 2 3 2" xfId="21278"/>
    <cellStyle name="Обычный 6 6 2 3 2 2 2 3 3" xfId="21279"/>
    <cellStyle name="Обычный 6 6 2 3 2 2 2 4" xfId="21280"/>
    <cellStyle name="Обычный 6 6 2 3 2 2 2 4 2" xfId="21281"/>
    <cellStyle name="Обычный 6 6 2 3 2 2 2 4 3" xfId="21282"/>
    <cellStyle name="Обычный 6 6 2 3 2 2 2 5" xfId="21283"/>
    <cellStyle name="Обычный 6 6 2 3 2 2 2 5 2" xfId="21284"/>
    <cellStyle name="Обычный 6 6 2 3 2 2 2 6" xfId="21285"/>
    <cellStyle name="Обычный 6 6 2 3 2 2 2 7" xfId="21286"/>
    <cellStyle name="Обычный 6 6 2 3 2 2 3" xfId="21287"/>
    <cellStyle name="Обычный 6 6 2 3 2 2 3 2" xfId="21288"/>
    <cellStyle name="Обычный 6 6 2 3 2 2 3 2 2" xfId="21289"/>
    <cellStyle name="Обычный 6 6 2 3 2 2 3 2 3" xfId="21290"/>
    <cellStyle name="Обычный 6 6 2 3 2 2 3 3" xfId="21291"/>
    <cellStyle name="Обычный 6 6 2 3 2 2 3 3 2" xfId="21292"/>
    <cellStyle name="Обычный 6 6 2 3 2 2 3 3 3" xfId="21293"/>
    <cellStyle name="Обычный 6 6 2 3 2 2 3 4" xfId="21294"/>
    <cellStyle name="Обычный 6 6 2 3 2 2 3 4 2" xfId="21295"/>
    <cellStyle name="Обычный 6 6 2 3 2 2 3 5" xfId="21296"/>
    <cellStyle name="Обычный 6 6 2 3 2 2 3 6" xfId="21297"/>
    <cellStyle name="Обычный 6 6 2 3 2 2 4" xfId="21298"/>
    <cellStyle name="Обычный 6 6 2 3 2 2 4 2" xfId="21299"/>
    <cellStyle name="Обычный 6 6 2 3 2 2 4 3" xfId="21300"/>
    <cellStyle name="Обычный 6 6 2 3 2 2 5" xfId="21301"/>
    <cellStyle name="Обычный 6 6 2 3 2 2 5 2" xfId="21302"/>
    <cellStyle name="Обычный 6 6 2 3 2 2 5 3" xfId="21303"/>
    <cellStyle name="Обычный 6 6 2 3 2 2 6" xfId="21304"/>
    <cellStyle name="Обычный 6 6 2 3 2 2 6 2" xfId="21305"/>
    <cellStyle name="Обычный 6 6 2 3 2 2 7" xfId="21306"/>
    <cellStyle name="Обычный 6 6 2 3 2 2 8" xfId="21307"/>
    <cellStyle name="Обычный 6 6 2 3 2 3" xfId="21308"/>
    <cellStyle name="Обычный 6 6 2 3 2 3 2" xfId="21309"/>
    <cellStyle name="Обычный 6 6 2 3 2 3 2 2" xfId="21310"/>
    <cellStyle name="Обычный 6 6 2 3 2 3 2 2 2" xfId="21311"/>
    <cellStyle name="Обычный 6 6 2 3 2 3 2 2 3" xfId="21312"/>
    <cellStyle name="Обычный 6 6 2 3 2 3 2 3" xfId="21313"/>
    <cellStyle name="Обычный 6 6 2 3 2 3 2 3 2" xfId="21314"/>
    <cellStyle name="Обычный 6 6 2 3 2 3 2 3 3" xfId="21315"/>
    <cellStyle name="Обычный 6 6 2 3 2 3 2 4" xfId="21316"/>
    <cellStyle name="Обычный 6 6 2 3 2 3 2 4 2" xfId="21317"/>
    <cellStyle name="Обычный 6 6 2 3 2 3 2 5" xfId="21318"/>
    <cellStyle name="Обычный 6 6 2 3 2 3 2 6" xfId="21319"/>
    <cellStyle name="Обычный 6 6 2 3 2 3 3" xfId="21320"/>
    <cellStyle name="Обычный 6 6 2 3 2 3 3 2" xfId="21321"/>
    <cellStyle name="Обычный 6 6 2 3 2 3 3 3" xfId="21322"/>
    <cellStyle name="Обычный 6 6 2 3 2 3 4" xfId="21323"/>
    <cellStyle name="Обычный 6 6 2 3 2 3 4 2" xfId="21324"/>
    <cellStyle name="Обычный 6 6 2 3 2 3 4 3" xfId="21325"/>
    <cellStyle name="Обычный 6 6 2 3 2 3 5" xfId="21326"/>
    <cellStyle name="Обычный 6 6 2 3 2 3 5 2" xfId="21327"/>
    <cellStyle name="Обычный 6 6 2 3 2 3 6" xfId="21328"/>
    <cellStyle name="Обычный 6 6 2 3 2 3 7" xfId="21329"/>
    <cellStyle name="Обычный 6 6 2 3 2 4" xfId="21330"/>
    <cellStyle name="Обычный 6 6 2 3 2 4 2" xfId="21331"/>
    <cellStyle name="Обычный 6 6 2 3 2 4 2 2" xfId="21332"/>
    <cellStyle name="Обычный 6 6 2 3 2 4 2 3" xfId="21333"/>
    <cellStyle name="Обычный 6 6 2 3 2 4 3" xfId="21334"/>
    <cellStyle name="Обычный 6 6 2 3 2 4 3 2" xfId="21335"/>
    <cellStyle name="Обычный 6 6 2 3 2 4 3 3" xfId="21336"/>
    <cellStyle name="Обычный 6 6 2 3 2 4 4" xfId="21337"/>
    <cellStyle name="Обычный 6 6 2 3 2 4 4 2" xfId="21338"/>
    <cellStyle name="Обычный 6 6 2 3 2 4 5" xfId="21339"/>
    <cellStyle name="Обычный 6 6 2 3 2 4 6" xfId="21340"/>
    <cellStyle name="Обычный 6 6 2 3 2 5" xfId="21341"/>
    <cellStyle name="Обычный 6 6 2 3 2 5 2" xfId="21342"/>
    <cellStyle name="Обычный 6 6 2 3 2 5 3" xfId="21343"/>
    <cellStyle name="Обычный 6 6 2 3 2 6" xfId="21344"/>
    <cellStyle name="Обычный 6 6 2 3 2 6 2" xfId="21345"/>
    <cellStyle name="Обычный 6 6 2 3 2 6 3" xfId="21346"/>
    <cellStyle name="Обычный 6 6 2 3 2 7" xfId="21347"/>
    <cellStyle name="Обычный 6 6 2 3 2 7 2" xfId="21348"/>
    <cellStyle name="Обычный 6 6 2 3 2 8" xfId="21349"/>
    <cellStyle name="Обычный 6 6 2 3 2 9" xfId="21350"/>
    <cellStyle name="Обычный 6 6 2 3 3" xfId="21351"/>
    <cellStyle name="Обычный 6 6 2 3 3 2" xfId="21352"/>
    <cellStyle name="Обычный 6 6 2 3 3 2 2" xfId="21353"/>
    <cellStyle name="Обычный 6 6 2 3 3 2 2 2" xfId="21354"/>
    <cellStyle name="Обычный 6 6 2 3 3 2 2 2 2" xfId="21355"/>
    <cellStyle name="Обычный 6 6 2 3 3 2 2 2 3" xfId="21356"/>
    <cellStyle name="Обычный 6 6 2 3 3 2 2 3" xfId="21357"/>
    <cellStyle name="Обычный 6 6 2 3 3 2 2 3 2" xfId="21358"/>
    <cellStyle name="Обычный 6 6 2 3 3 2 2 3 3" xfId="21359"/>
    <cellStyle name="Обычный 6 6 2 3 3 2 2 4" xfId="21360"/>
    <cellStyle name="Обычный 6 6 2 3 3 2 2 4 2" xfId="21361"/>
    <cellStyle name="Обычный 6 6 2 3 3 2 2 5" xfId="21362"/>
    <cellStyle name="Обычный 6 6 2 3 3 2 2 6" xfId="21363"/>
    <cellStyle name="Обычный 6 6 2 3 3 2 3" xfId="21364"/>
    <cellStyle name="Обычный 6 6 2 3 3 2 3 2" xfId="21365"/>
    <cellStyle name="Обычный 6 6 2 3 3 2 3 3" xfId="21366"/>
    <cellStyle name="Обычный 6 6 2 3 3 2 4" xfId="21367"/>
    <cellStyle name="Обычный 6 6 2 3 3 2 4 2" xfId="21368"/>
    <cellStyle name="Обычный 6 6 2 3 3 2 4 3" xfId="21369"/>
    <cellStyle name="Обычный 6 6 2 3 3 2 5" xfId="21370"/>
    <cellStyle name="Обычный 6 6 2 3 3 2 5 2" xfId="21371"/>
    <cellStyle name="Обычный 6 6 2 3 3 2 6" xfId="21372"/>
    <cellStyle name="Обычный 6 6 2 3 3 2 7" xfId="21373"/>
    <cellStyle name="Обычный 6 6 2 3 3 3" xfId="21374"/>
    <cellStyle name="Обычный 6 6 2 3 3 3 2" xfId="21375"/>
    <cellStyle name="Обычный 6 6 2 3 3 3 2 2" xfId="21376"/>
    <cellStyle name="Обычный 6 6 2 3 3 3 2 3" xfId="21377"/>
    <cellStyle name="Обычный 6 6 2 3 3 3 3" xfId="21378"/>
    <cellStyle name="Обычный 6 6 2 3 3 3 3 2" xfId="21379"/>
    <cellStyle name="Обычный 6 6 2 3 3 3 3 3" xfId="21380"/>
    <cellStyle name="Обычный 6 6 2 3 3 3 4" xfId="21381"/>
    <cellStyle name="Обычный 6 6 2 3 3 3 4 2" xfId="21382"/>
    <cellStyle name="Обычный 6 6 2 3 3 3 5" xfId="21383"/>
    <cellStyle name="Обычный 6 6 2 3 3 3 6" xfId="21384"/>
    <cellStyle name="Обычный 6 6 2 3 3 4" xfId="21385"/>
    <cellStyle name="Обычный 6 6 2 3 3 4 2" xfId="21386"/>
    <cellStyle name="Обычный 6 6 2 3 3 4 3" xfId="21387"/>
    <cellStyle name="Обычный 6 6 2 3 3 5" xfId="21388"/>
    <cellStyle name="Обычный 6 6 2 3 3 5 2" xfId="21389"/>
    <cellStyle name="Обычный 6 6 2 3 3 5 3" xfId="21390"/>
    <cellStyle name="Обычный 6 6 2 3 3 6" xfId="21391"/>
    <cellStyle name="Обычный 6 6 2 3 3 6 2" xfId="21392"/>
    <cellStyle name="Обычный 6 6 2 3 3 7" xfId="21393"/>
    <cellStyle name="Обычный 6 6 2 3 3 8" xfId="21394"/>
    <cellStyle name="Обычный 6 6 2 3 4" xfId="21395"/>
    <cellStyle name="Обычный 6 6 2 3 4 2" xfId="21396"/>
    <cellStyle name="Обычный 6 6 2 3 4 2 2" xfId="21397"/>
    <cellStyle name="Обычный 6 6 2 3 4 2 2 2" xfId="21398"/>
    <cellStyle name="Обычный 6 6 2 3 4 2 2 3" xfId="21399"/>
    <cellStyle name="Обычный 6 6 2 3 4 2 3" xfId="21400"/>
    <cellStyle name="Обычный 6 6 2 3 4 2 3 2" xfId="21401"/>
    <cellStyle name="Обычный 6 6 2 3 4 2 3 3" xfId="21402"/>
    <cellStyle name="Обычный 6 6 2 3 4 2 4" xfId="21403"/>
    <cellStyle name="Обычный 6 6 2 3 4 2 4 2" xfId="21404"/>
    <cellStyle name="Обычный 6 6 2 3 4 2 5" xfId="21405"/>
    <cellStyle name="Обычный 6 6 2 3 4 2 6" xfId="21406"/>
    <cellStyle name="Обычный 6 6 2 3 4 3" xfId="21407"/>
    <cellStyle name="Обычный 6 6 2 3 4 3 2" xfId="21408"/>
    <cellStyle name="Обычный 6 6 2 3 4 3 3" xfId="21409"/>
    <cellStyle name="Обычный 6 6 2 3 4 4" xfId="21410"/>
    <cellStyle name="Обычный 6 6 2 3 4 4 2" xfId="21411"/>
    <cellStyle name="Обычный 6 6 2 3 4 4 3" xfId="21412"/>
    <cellStyle name="Обычный 6 6 2 3 4 5" xfId="21413"/>
    <cellStyle name="Обычный 6 6 2 3 4 5 2" xfId="21414"/>
    <cellStyle name="Обычный 6 6 2 3 4 6" xfId="21415"/>
    <cellStyle name="Обычный 6 6 2 3 4 7" xfId="21416"/>
    <cellStyle name="Обычный 6 6 2 3 5" xfId="21417"/>
    <cellStyle name="Обычный 6 6 2 3 5 2" xfId="21418"/>
    <cellStyle name="Обычный 6 6 2 3 5 2 2" xfId="21419"/>
    <cellStyle name="Обычный 6 6 2 3 5 2 3" xfId="21420"/>
    <cellStyle name="Обычный 6 6 2 3 5 3" xfId="21421"/>
    <cellStyle name="Обычный 6 6 2 3 5 3 2" xfId="21422"/>
    <cellStyle name="Обычный 6 6 2 3 5 3 3" xfId="21423"/>
    <cellStyle name="Обычный 6 6 2 3 5 4" xfId="21424"/>
    <cellStyle name="Обычный 6 6 2 3 5 4 2" xfId="21425"/>
    <cellStyle name="Обычный 6 6 2 3 5 5" xfId="21426"/>
    <cellStyle name="Обычный 6 6 2 3 5 6" xfId="21427"/>
    <cellStyle name="Обычный 6 6 2 3 6" xfId="21428"/>
    <cellStyle name="Обычный 6 6 2 3 6 2" xfId="21429"/>
    <cellStyle name="Обычный 6 6 2 3 6 3" xfId="21430"/>
    <cellStyle name="Обычный 6 6 2 3 7" xfId="21431"/>
    <cellStyle name="Обычный 6 6 2 3 7 2" xfId="21432"/>
    <cellStyle name="Обычный 6 6 2 3 7 3" xfId="21433"/>
    <cellStyle name="Обычный 6 6 2 3 8" xfId="21434"/>
    <cellStyle name="Обычный 6 6 2 3 8 2" xfId="21435"/>
    <cellStyle name="Обычный 6 6 2 3 9" xfId="21436"/>
    <cellStyle name="Обычный 6 6 2 4" xfId="21437"/>
    <cellStyle name="Обычный 6 6 2 4 10" xfId="21438"/>
    <cellStyle name="Обычный 6 6 2 4 2" xfId="21439"/>
    <cellStyle name="Обычный 6 6 2 4 2 2" xfId="21440"/>
    <cellStyle name="Обычный 6 6 2 4 2 2 2" xfId="21441"/>
    <cellStyle name="Обычный 6 6 2 4 2 2 2 2" xfId="21442"/>
    <cellStyle name="Обычный 6 6 2 4 2 2 2 2 2" xfId="21443"/>
    <cellStyle name="Обычный 6 6 2 4 2 2 2 2 2 2" xfId="21444"/>
    <cellStyle name="Обычный 6 6 2 4 2 2 2 2 2 3" xfId="21445"/>
    <cellStyle name="Обычный 6 6 2 4 2 2 2 2 3" xfId="21446"/>
    <cellStyle name="Обычный 6 6 2 4 2 2 2 2 3 2" xfId="21447"/>
    <cellStyle name="Обычный 6 6 2 4 2 2 2 2 3 3" xfId="21448"/>
    <cellStyle name="Обычный 6 6 2 4 2 2 2 2 4" xfId="21449"/>
    <cellStyle name="Обычный 6 6 2 4 2 2 2 2 4 2" xfId="21450"/>
    <cellStyle name="Обычный 6 6 2 4 2 2 2 2 5" xfId="21451"/>
    <cellStyle name="Обычный 6 6 2 4 2 2 2 2 6" xfId="21452"/>
    <cellStyle name="Обычный 6 6 2 4 2 2 2 3" xfId="21453"/>
    <cellStyle name="Обычный 6 6 2 4 2 2 2 3 2" xfId="21454"/>
    <cellStyle name="Обычный 6 6 2 4 2 2 2 3 3" xfId="21455"/>
    <cellStyle name="Обычный 6 6 2 4 2 2 2 4" xfId="21456"/>
    <cellStyle name="Обычный 6 6 2 4 2 2 2 4 2" xfId="21457"/>
    <cellStyle name="Обычный 6 6 2 4 2 2 2 4 3" xfId="21458"/>
    <cellStyle name="Обычный 6 6 2 4 2 2 2 5" xfId="21459"/>
    <cellStyle name="Обычный 6 6 2 4 2 2 2 5 2" xfId="21460"/>
    <cellStyle name="Обычный 6 6 2 4 2 2 2 6" xfId="21461"/>
    <cellStyle name="Обычный 6 6 2 4 2 2 2 7" xfId="21462"/>
    <cellStyle name="Обычный 6 6 2 4 2 2 3" xfId="21463"/>
    <cellStyle name="Обычный 6 6 2 4 2 2 3 2" xfId="21464"/>
    <cellStyle name="Обычный 6 6 2 4 2 2 3 2 2" xfId="21465"/>
    <cellStyle name="Обычный 6 6 2 4 2 2 3 2 3" xfId="21466"/>
    <cellStyle name="Обычный 6 6 2 4 2 2 3 3" xfId="21467"/>
    <cellStyle name="Обычный 6 6 2 4 2 2 3 3 2" xfId="21468"/>
    <cellStyle name="Обычный 6 6 2 4 2 2 3 3 3" xfId="21469"/>
    <cellStyle name="Обычный 6 6 2 4 2 2 3 4" xfId="21470"/>
    <cellStyle name="Обычный 6 6 2 4 2 2 3 4 2" xfId="21471"/>
    <cellStyle name="Обычный 6 6 2 4 2 2 3 5" xfId="21472"/>
    <cellStyle name="Обычный 6 6 2 4 2 2 3 6" xfId="21473"/>
    <cellStyle name="Обычный 6 6 2 4 2 2 4" xfId="21474"/>
    <cellStyle name="Обычный 6 6 2 4 2 2 4 2" xfId="21475"/>
    <cellStyle name="Обычный 6 6 2 4 2 2 4 3" xfId="21476"/>
    <cellStyle name="Обычный 6 6 2 4 2 2 5" xfId="21477"/>
    <cellStyle name="Обычный 6 6 2 4 2 2 5 2" xfId="21478"/>
    <cellStyle name="Обычный 6 6 2 4 2 2 5 3" xfId="21479"/>
    <cellStyle name="Обычный 6 6 2 4 2 2 6" xfId="21480"/>
    <cellStyle name="Обычный 6 6 2 4 2 2 6 2" xfId="21481"/>
    <cellStyle name="Обычный 6 6 2 4 2 2 7" xfId="21482"/>
    <cellStyle name="Обычный 6 6 2 4 2 2 8" xfId="21483"/>
    <cellStyle name="Обычный 6 6 2 4 2 3" xfId="21484"/>
    <cellStyle name="Обычный 6 6 2 4 2 3 2" xfId="21485"/>
    <cellStyle name="Обычный 6 6 2 4 2 3 2 2" xfId="21486"/>
    <cellStyle name="Обычный 6 6 2 4 2 3 2 2 2" xfId="21487"/>
    <cellStyle name="Обычный 6 6 2 4 2 3 2 2 3" xfId="21488"/>
    <cellStyle name="Обычный 6 6 2 4 2 3 2 3" xfId="21489"/>
    <cellStyle name="Обычный 6 6 2 4 2 3 2 3 2" xfId="21490"/>
    <cellStyle name="Обычный 6 6 2 4 2 3 2 3 3" xfId="21491"/>
    <cellStyle name="Обычный 6 6 2 4 2 3 2 4" xfId="21492"/>
    <cellStyle name="Обычный 6 6 2 4 2 3 2 4 2" xfId="21493"/>
    <cellStyle name="Обычный 6 6 2 4 2 3 2 5" xfId="21494"/>
    <cellStyle name="Обычный 6 6 2 4 2 3 2 6" xfId="21495"/>
    <cellStyle name="Обычный 6 6 2 4 2 3 3" xfId="21496"/>
    <cellStyle name="Обычный 6 6 2 4 2 3 3 2" xfId="21497"/>
    <cellStyle name="Обычный 6 6 2 4 2 3 3 3" xfId="21498"/>
    <cellStyle name="Обычный 6 6 2 4 2 3 4" xfId="21499"/>
    <cellStyle name="Обычный 6 6 2 4 2 3 4 2" xfId="21500"/>
    <cellStyle name="Обычный 6 6 2 4 2 3 4 3" xfId="21501"/>
    <cellStyle name="Обычный 6 6 2 4 2 3 5" xfId="21502"/>
    <cellStyle name="Обычный 6 6 2 4 2 3 5 2" xfId="21503"/>
    <cellStyle name="Обычный 6 6 2 4 2 3 6" xfId="21504"/>
    <cellStyle name="Обычный 6 6 2 4 2 3 7" xfId="21505"/>
    <cellStyle name="Обычный 6 6 2 4 2 4" xfId="21506"/>
    <cellStyle name="Обычный 6 6 2 4 2 4 2" xfId="21507"/>
    <cellStyle name="Обычный 6 6 2 4 2 4 2 2" xfId="21508"/>
    <cellStyle name="Обычный 6 6 2 4 2 4 2 3" xfId="21509"/>
    <cellStyle name="Обычный 6 6 2 4 2 4 3" xfId="21510"/>
    <cellStyle name="Обычный 6 6 2 4 2 4 3 2" xfId="21511"/>
    <cellStyle name="Обычный 6 6 2 4 2 4 3 3" xfId="21512"/>
    <cellStyle name="Обычный 6 6 2 4 2 4 4" xfId="21513"/>
    <cellStyle name="Обычный 6 6 2 4 2 4 4 2" xfId="21514"/>
    <cellStyle name="Обычный 6 6 2 4 2 4 5" xfId="21515"/>
    <cellStyle name="Обычный 6 6 2 4 2 4 6" xfId="21516"/>
    <cellStyle name="Обычный 6 6 2 4 2 5" xfId="21517"/>
    <cellStyle name="Обычный 6 6 2 4 2 5 2" xfId="21518"/>
    <cellStyle name="Обычный 6 6 2 4 2 5 3" xfId="21519"/>
    <cellStyle name="Обычный 6 6 2 4 2 6" xfId="21520"/>
    <cellStyle name="Обычный 6 6 2 4 2 6 2" xfId="21521"/>
    <cellStyle name="Обычный 6 6 2 4 2 6 3" xfId="21522"/>
    <cellStyle name="Обычный 6 6 2 4 2 7" xfId="21523"/>
    <cellStyle name="Обычный 6 6 2 4 2 7 2" xfId="21524"/>
    <cellStyle name="Обычный 6 6 2 4 2 8" xfId="21525"/>
    <cellStyle name="Обычный 6 6 2 4 2 9" xfId="21526"/>
    <cellStyle name="Обычный 6 6 2 4 3" xfId="21527"/>
    <cellStyle name="Обычный 6 6 2 4 3 2" xfId="21528"/>
    <cellStyle name="Обычный 6 6 2 4 3 2 2" xfId="21529"/>
    <cellStyle name="Обычный 6 6 2 4 3 2 2 2" xfId="21530"/>
    <cellStyle name="Обычный 6 6 2 4 3 2 2 2 2" xfId="21531"/>
    <cellStyle name="Обычный 6 6 2 4 3 2 2 2 3" xfId="21532"/>
    <cellStyle name="Обычный 6 6 2 4 3 2 2 3" xfId="21533"/>
    <cellStyle name="Обычный 6 6 2 4 3 2 2 3 2" xfId="21534"/>
    <cellStyle name="Обычный 6 6 2 4 3 2 2 3 3" xfId="21535"/>
    <cellStyle name="Обычный 6 6 2 4 3 2 2 4" xfId="21536"/>
    <cellStyle name="Обычный 6 6 2 4 3 2 2 4 2" xfId="21537"/>
    <cellStyle name="Обычный 6 6 2 4 3 2 2 5" xfId="21538"/>
    <cellStyle name="Обычный 6 6 2 4 3 2 2 6" xfId="21539"/>
    <cellStyle name="Обычный 6 6 2 4 3 2 3" xfId="21540"/>
    <cellStyle name="Обычный 6 6 2 4 3 2 3 2" xfId="21541"/>
    <cellStyle name="Обычный 6 6 2 4 3 2 3 3" xfId="21542"/>
    <cellStyle name="Обычный 6 6 2 4 3 2 4" xfId="21543"/>
    <cellStyle name="Обычный 6 6 2 4 3 2 4 2" xfId="21544"/>
    <cellStyle name="Обычный 6 6 2 4 3 2 4 3" xfId="21545"/>
    <cellStyle name="Обычный 6 6 2 4 3 2 5" xfId="21546"/>
    <cellStyle name="Обычный 6 6 2 4 3 2 5 2" xfId="21547"/>
    <cellStyle name="Обычный 6 6 2 4 3 2 6" xfId="21548"/>
    <cellStyle name="Обычный 6 6 2 4 3 2 7" xfId="21549"/>
    <cellStyle name="Обычный 6 6 2 4 3 3" xfId="21550"/>
    <cellStyle name="Обычный 6 6 2 4 3 3 2" xfId="21551"/>
    <cellStyle name="Обычный 6 6 2 4 3 3 2 2" xfId="21552"/>
    <cellStyle name="Обычный 6 6 2 4 3 3 2 3" xfId="21553"/>
    <cellStyle name="Обычный 6 6 2 4 3 3 3" xfId="21554"/>
    <cellStyle name="Обычный 6 6 2 4 3 3 3 2" xfId="21555"/>
    <cellStyle name="Обычный 6 6 2 4 3 3 3 3" xfId="21556"/>
    <cellStyle name="Обычный 6 6 2 4 3 3 4" xfId="21557"/>
    <cellStyle name="Обычный 6 6 2 4 3 3 4 2" xfId="21558"/>
    <cellStyle name="Обычный 6 6 2 4 3 3 5" xfId="21559"/>
    <cellStyle name="Обычный 6 6 2 4 3 3 6" xfId="21560"/>
    <cellStyle name="Обычный 6 6 2 4 3 4" xfId="21561"/>
    <cellStyle name="Обычный 6 6 2 4 3 4 2" xfId="21562"/>
    <cellStyle name="Обычный 6 6 2 4 3 4 3" xfId="21563"/>
    <cellStyle name="Обычный 6 6 2 4 3 5" xfId="21564"/>
    <cellStyle name="Обычный 6 6 2 4 3 5 2" xfId="21565"/>
    <cellStyle name="Обычный 6 6 2 4 3 5 3" xfId="21566"/>
    <cellStyle name="Обычный 6 6 2 4 3 6" xfId="21567"/>
    <cellStyle name="Обычный 6 6 2 4 3 6 2" xfId="21568"/>
    <cellStyle name="Обычный 6 6 2 4 3 7" xfId="21569"/>
    <cellStyle name="Обычный 6 6 2 4 3 8" xfId="21570"/>
    <cellStyle name="Обычный 6 6 2 4 4" xfId="21571"/>
    <cellStyle name="Обычный 6 6 2 4 4 2" xfId="21572"/>
    <cellStyle name="Обычный 6 6 2 4 4 2 2" xfId="21573"/>
    <cellStyle name="Обычный 6 6 2 4 4 2 2 2" xfId="21574"/>
    <cellStyle name="Обычный 6 6 2 4 4 2 2 3" xfId="21575"/>
    <cellStyle name="Обычный 6 6 2 4 4 2 3" xfId="21576"/>
    <cellStyle name="Обычный 6 6 2 4 4 2 3 2" xfId="21577"/>
    <cellStyle name="Обычный 6 6 2 4 4 2 3 3" xfId="21578"/>
    <cellStyle name="Обычный 6 6 2 4 4 2 4" xfId="21579"/>
    <cellStyle name="Обычный 6 6 2 4 4 2 4 2" xfId="21580"/>
    <cellStyle name="Обычный 6 6 2 4 4 2 5" xfId="21581"/>
    <cellStyle name="Обычный 6 6 2 4 4 2 6" xfId="21582"/>
    <cellStyle name="Обычный 6 6 2 4 4 3" xfId="21583"/>
    <cellStyle name="Обычный 6 6 2 4 4 3 2" xfId="21584"/>
    <cellStyle name="Обычный 6 6 2 4 4 3 3" xfId="21585"/>
    <cellStyle name="Обычный 6 6 2 4 4 4" xfId="21586"/>
    <cellStyle name="Обычный 6 6 2 4 4 4 2" xfId="21587"/>
    <cellStyle name="Обычный 6 6 2 4 4 4 3" xfId="21588"/>
    <cellStyle name="Обычный 6 6 2 4 4 5" xfId="21589"/>
    <cellStyle name="Обычный 6 6 2 4 4 5 2" xfId="21590"/>
    <cellStyle name="Обычный 6 6 2 4 4 6" xfId="21591"/>
    <cellStyle name="Обычный 6 6 2 4 4 7" xfId="21592"/>
    <cellStyle name="Обычный 6 6 2 4 5" xfId="21593"/>
    <cellStyle name="Обычный 6 6 2 4 5 2" xfId="21594"/>
    <cellStyle name="Обычный 6 6 2 4 5 2 2" xfId="21595"/>
    <cellStyle name="Обычный 6 6 2 4 5 2 3" xfId="21596"/>
    <cellStyle name="Обычный 6 6 2 4 5 3" xfId="21597"/>
    <cellStyle name="Обычный 6 6 2 4 5 3 2" xfId="21598"/>
    <cellStyle name="Обычный 6 6 2 4 5 3 3" xfId="21599"/>
    <cellStyle name="Обычный 6 6 2 4 5 4" xfId="21600"/>
    <cellStyle name="Обычный 6 6 2 4 5 4 2" xfId="21601"/>
    <cellStyle name="Обычный 6 6 2 4 5 5" xfId="21602"/>
    <cellStyle name="Обычный 6 6 2 4 5 6" xfId="21603"/>
    <cellStyle name="Обычный 6 6 2 4 6" xfId="21604"/>
    <cellStyle name="Обычный 6 6 2 4 6 2" xfId="21605"/>
    <cellStyle name="Обычный 6 6 2 4 6 3" xfId="21606"/>
    <cellStyle name="Обычный 6 6 2 4 7" xfId="21607"/>
    <cellStyle name="Обычный 6 6 2 4 7 2" xfId="21608"/>
    <cellStyle name="Обычный 6 6 2 4 7 3" xfId="21609"/>
    <cellStyle name="Обычный 6 6 2 4 8" xfId="21610"/>
    <cellStyle name="Обычный 6 6 2 4 8 2" xfId="21611"/>
    <cellStyle name="Обычный 6 6 2 4 9" xfId="21612"/>
    <cellStyle name="Обычный 6 6 2 5" xfId="21613"/>
    <cellStyle name="Обычный 6 6 2 5 2" xfId="21614"/>
    <cellStyle name="Обычный 6 6 2 5 2 2" xfId="21615"/>
    <cellStyle name="Обычный 6 6 2 5 2 2 2" xfId="21616"/>
    <cellStyle name="Обычный 6 6 2 5 2 2 2 2" xfId="21617"/>
    <cellStyle name="Обычный 6 6 2 5 2 2 2 2 2" xfId="21618"/>
    <cellStyle name="Обычный 6 6 2 5 2 2 2 2 3" xfId="21619"/>
    <cellStyle name="Обычный 6 6 2 5 2 2 2 3" xfId="21620"/>
    <cellStyle name="Обычный 6 6 2 5 2 2 2 3 2" xfId="21621"/>
    <cellStyle name="Обычный 6 6 2 5 2 2 2 3 3" xfId="21622"/>
    <cellStyle name="Обычный 6 6 2 5 2 2 2 4" xfId="21623"/>
    <cellStyle name="Обычный 6 6 2 5 2 2 2 4 2" xfId="21624"/>
    <cellStyle name="Обычный 6 6 2 5 2 2 2 5" xfId="21625"/>
    <cellStyle name="Обычный 6 6 2 5 2 2 2 6" xfId="21626"/>
    <cellStyle name="Обычный 6 6 2 5 2 2 3" xfId="21627"/>
    <cellStyle name="Обычный 6 6 2 5 2 2 3 2" xfId="21628"/>
    <cellStyle name="Обычный 6 6 2 5 2 2 3 3" xfId="21629"/>
    <cellStyle name="Обычный 6 6 2 5 2 2 4" xfId="21630"/>
    <cellStyle name="Обычный 6 6 2 5 2 2 4 2" xfId="21631"/>
    <cellStyle name="Обычный 6 6 2 5 2 2 4 3" xfId="21632"/>
    <cellStyle name="Обычный 6 6 2 5 2 2 5" xfId="21633"/>
    <cellStyle name="Обычный 6 6 2 5 2 2 5 2" xfId="21634"/>
    <cellStyle name="Обычный 6 6 2 5 2 2 6" xfId="21635"/>
    <cellStyle name="Обычный 6 6 2 5 2 2 7" xfId="21636"/>
    <cellStyle name="Обычный 6 6 2 5 2 3" xfId="21637"/>
    <cellStyle name="Обычный 6 6 2 5 2 3 2" xfId="21638"/>
    <cellStyle name="Обычный 6 6 2 5 2 3 2 2" xfId="21639"/>
    <cellStyle name="Обычный 6 6 2 5 2 3 2 3" xfId="21640"/>
    <cellStyle name="Обычный 6 6 2 5 2 3 3" xfId="21641"/>
    <cellStyle name="Обычный 6 6 2 5 2 3 3 2" xfId="21642"/>
    <cellStyle name="Обычный 6 6 2 5 2 3 3 3" xfId="21643"/>
    <cellStyle name="Обычный 6 6 2 5 2 3 4" xfId="21644"/>
    <cellStyle name="Обычный 6 6 2 5 2 3 4 2" xfId="21645"/>
    <cellStyle name="Обычный 6 6 2 5 2 3 5" xfId="21646"/>
    <cellStyle name="Обычный 6 6 2 5 2 3 6" xfId="21647"/>
    <cellStyle name="Обычный 6 6 2 5 2 4" xfId="21648"/>
    <cellStyle name="Обычный 6 6 2 5 2 4 2" xfId="21649"/>
    <cellStyle name="Обычный 6 6 2 5 2 4 3" xfId="21650"/>
    <cellStyle name="Обычный 6 6 2 5 2 5" xfId="21651"/>
    <cellStyle name="Обычный 6 6 2 5 2 5 2" xfId="21652"/>
    <cellStyle name="Обычный 6 6 2 5 2 5 3" xfId="21653"/>
    <cellStyle name="Обычный 6 6 2 5 2 6" xfId="21654"/>
    <cellStyle name="Обычный 6 6 2 5 2 6 2" xfId="21655"/>
    <cellStyle name="Обычный 6 6 2 5 2 7" xfId="21656"/>
    <cellStyle name="Обычный 6 6 2 5 2 8" xfId="21657"/>
    <cellStyle name="Обычный 6 6 2 5 3" xfId="21658"/>
    <cellStyle name="Обычный 6 6 2 5 3 2" xfId="21659"/>
    <cellStyle name="Обычный 6 6 2 5 3 2 2" xfId="21660"/>
    <cellStyle name="Обычный 6 6 2 5 3 2 2 2" xfId="21661"/>
    <cellStyle name="Обычный 6 6 2 5 3 2 2 3" xfId="21662"/>
    <cellStyle name="Обычный 6 6 2 5 3 2 3" xfId="21663"/>
    <cellStyle name="Обычный 6 6 2 5 3 2 3 2" xfId="21664"/>
    <cellStyle name="Обычный 6 6 2 5 3 2 3 3" xfId="21665"/>
    <cellStyle name="Обычный 6 6 2 5 3 2 4" xfId="21666"/>
    <cellStyle name="Обычный 6 6 2 5 3 2 4 2" xfId="21667"/>
    <cellStyle name="Обычный 6 6 2 5 3 2 5" xfId="21668"/>
    <cellStyle name="Обычный 6 6 2 5 3 2 6" xfId="21669"/>
    <cellStyle name="Обычный 6 6 2 5 3 3" xfId="21670"/>
    <cellStyle name="Обычный 6 6 2 5 3 3 2" xfId="21671"/>
    <cellStyle name="Обычный 6 6 2 5 3 3 3" xfId="21672"/>
    <cellStyle name="Обычный 6 6 2 5 3 4" xfId="21673"/>
    <cellStyle name="Обычный 6 6 2 5 3 4 2" xfId="21674"/>
    <cellStyle name="Обычный 6 6 2 5 3 4 3" xfId="21675"/>
    <cellStyle name="Обычный 6 6 2 5 3 5" xfId="21676"/>
    <cellStyle name="Обычный 6 6 2 5 3 5 2" xfId="21677"/>
    <cellStyle name="Обычный 6 6 2 5 3 6" xfId="21678"/>
    <cellStyle name="Обычный 6 6 2 5 3 7" xfId="21679"/>
    <cellStyle name="Обычный 6 6 2 5 4" xfId="21680"/>
    <cellStyle name="Обычный 6 6 2 5 4 2" xfId="21681"/>
    <cellStyle name="Обычный 6 6 2 5 4 2 2" xfId="21682"/>
    <cellStyle name="Обычный 6 6 2 5 4 2 3" xfId="21683"/>
    <cellStyle name="Обычный 6 6 2 5 4 3" xfId="21684"/>
    <cellStyle name="Обычный 6 6 2 5 4 3 2" xfId="21685"/>
    <cellStyle name="Обычный 6 6 2 5 4 3 3" xfId="21686"/>
    <cellStyle name="Обычный 6 6 2 5 4 4" xfId="21687"/>
    <cellStyle name="Обычный 6 6 2 5 4 4 2" xfId="21688"/>
    <cellStyle name="Обычный 6 6 2 5 4 5" xfId="21689"/>
    <cellStyle name="Обычный 6 6 2 5 4 6" xfId="21690"/>
    <cellStyle name="Обычный 6 6 2 5 5" xfId="21691"/>
    <cellStyle name="Обычный 6 6 2 5 5 2" xfId="21692"/>
    <cellStyle name="Обычный 6 6 2 5 5 3" xfId="21693"/>
    <cellStyle name="Обычный 6 6 2 5 6" xfId="21694"/>
    <cellStyle name="Обычный 6 6 2 5 6 2" xfId="21695"/>
    <cellStyle name="Обычный 6 6 2 5 6 3" xfId="21696"/>
    <cellStyle name="Обычный 6 6 2 5 7" xfId="21697"/>
    <cellStyle name="Обычный 6 6 2 5 7 2" xfId="21698"/>
    <cellStyle name="Обычный 6 6 2 5 8" xfId="21699"/>
    <cellStyle name="Обычный 6 6 2 5 9" xfId="21700"/>
    <cellStyle name="Обычный 6 6 2 6" xfId="21701"/>
    <cellStyle name="Обычный 6 6 2 6 2" xfId="21702"/>
    <cellStyle name="Обычный 6 6 2 6 2 2" xfId="21703"/>
    <cellStyle name="Обычный 6 6 2 6 2 2 2" xfId="21704"/>
    <cellStyle name="Обычный 6 6 2 6 2 2 2 2" xfId="21705"/>
    <cellStyle name="Обычный 6 6 2 6 2 2 2 3" xfId="21706"/>
    <cellStyle name="Обычный 6 6 2 6 2 2 3" xfId="21707"/>
    <cellStyle name="Обычный 6 6 2 6 2 2 3 2" xfId="21708"/>
    <cellStyle name="Обычный 6 6 2 6 2 2 3 3" xfId="21709"/>
    <cellStyle name="Обычный 6 6 2 6 2 2 4" xfId="21710"/>
    <cellStyle name="Обычный 6 6 2 6 2 2 4 2" xfId="21711"/>
    <cellStyle name="Обычный 6 6 2 6 2 2 5" xfId="21712"/>
    <cellStyle name="Обычный 6 6 2 6 2 2 6" xfId="21713"/>
    <cellStyle name="Обычный 6 6 2 6 2 3" xfId="21714"/>
    <cellStyle name="Обычный 6 6 2 6 2 3 2" xfId="21715"/>
    <cellStyle name="Обычный 6 6 2 6 2 3 3" xfId="21716"/>
    <cellStyle name="Обычный 6 6 2 6 2 4" xfId="21717"/>
    <cellStyle name="Обычный 6 6 2 6 2 4 2" xfId="21718"/>
    <cellStyle name="Обычный 6 6 2 6 2 4 3" xfId="21719"/>
    <cellStyle name="Обычный 6 6 2 6 2 5" xfId="21720"/>
    <cellStyle name="Обычный 6 6 2 6 2 5 2" xfId="21721"/>
    <cellStyle name="Обычный 6 6 2 6 2 6" xfId="21722"/>
    <cellStyle name="Обычный 6 6 2 6 2 7" xfId="21723"/>
    <cellStyle name="Обычный 6 6 2 6 3" xfId="21724"/>
    <cellStyle name="Обычный 6 6 2 6 3 2" xfId="21725"/>
    <cellStyle name="Обычный 6 6 2 6 3 2 2" xfId="21726"/>
    <cellStyle name="Обычный 6 6 2 6 3 2 3" xfId="21727"/>
    <cellStyle name="Обычный 6 6 2 6 3 3" xfId="21728"/>
    <cellStyle name="Обычный 6 6 2 6 3 3 2" xfId="21729"/>
    <cellStyle name="Обычный 6 6 2 6 3 3 3" xfId="21730"/>
    <cellStyle name="Обычный 6 6 2 6 3 4" xfId="21731"/>
    <cellStyle name="Обычный 6 6 2 6 3 4 2" xfId="21732"/>
    <cellStyle name="Обычный 6 6 2 6 3 5" xfId="21733"/>
    <cellStyle name="Обычный 6 6 2 6 3 6" xfId="21734"/>
    <cellStyle name="Обычный 6 6 2 6 4" xfId="21735"/>
    <cellStyle name="Обычный 6 6 2 6 4 2" xfId="21736"/>
    <cellStyle name="Обычный 6 6 2 6 4 3" xfId="21737"/>
    <cellStyle name="Обычный 6 6 2 6 5" xfId="21738"/>
    <cellStyle name="Обычный 6 6 2 6 5 2" xfId="21739"/>
    <cellStyle name="Обычный 6 6 2 6 5 3" xfId="21740"/>
    <cellStyle name="Обычный 6 6 2 6 6" xfId="21741"/>
    <cellStyle name="Обычный 6 6 2 6 6 2" xfId="21742"/>
    <cellStyle name="Обычный 6 6 2 6 7" xfId="21743"/>
    <cellStyle name="Обычный 6 6 2 6 8" xfId="21744"/>
    <cellStyle name="Обычный 6 6 2 7" xfId="21745"/>
    <cellStyle name="Обычный 6 6 2 7 2" xfId="21746"/>
    <cellStyle name="Обычный 6 6 2 7 2 2" xfId="21747"/>
    <cellStyle name="Обычный 6 6 2 7 2 2 2" xfId="21748"/>
    <cellStyle name="Обычный 6 6 2 7 2 2 3" xfId="21749"/>
    <cellStyle name="Обычный 6 6 2 7 2 3" xfId="21750"/>
    <cellStyle name="Обычный 6 6 2 7 2 3 2" xfId="21751"/>
    <cellStyle name="Обычный 6 6 2 7 2 3 3" xfId="21752"/>
    <cellStyle name="Обычный 6 6 2 7 2 4" xfId="21753"/>
    <cellStyle name="Обычный 6 6 2 7 2 4 2" xfId="21754"/>
    <cellStyle name="Обычный 6 6 2 7 2 5" xfId="21755"/>
    <cellStyle name="Обычный 6 6 2 7 2 6" xfId="21756"/>
    <cellStyle name="Обычный 6 6 2 7 3" xfId="21757"/>
    <cellStyle name="Обычный 6 6 2 7 3 2" xfId="21758"/>
    <cellStyle name="Обычный 6 6 2 7 3 3" xfId="21759"/>
    <cellStyle name="Обычный 6 6 2 7 4" xfId="21760"/>
    <cellStyle name="Обычный 6 6 2 7 4 2" xfId="21761"/>
    <cellStyle name="Обычный 6 6 2 7 4 3" xfId="21762"/>
    <cellStyle name="Обычный 6 6 2 7 5" xfId="21763"/>
    <cellStyle name="Обычный 6 6 2 7 5 2" xfId="21764"/>
    <cellStyle name="Обычный 6 6 2 7 6" xfId="21765"/>
    <cellStyle name="Обычный 6 6 2 7 7" xfId="21766"/>
    <cellStyle name="Обычный 6 6 2 8" xfId="21767"/>
    <cellStyle name="Обычный 6 6 2 8 2" xfId="21768"/>
    <cellStyle name="Обычный 6 6 2 8 2 2" xfId="21769"/>
    <cellStyle name="Обычный 6 6 2 8 2 3" xfId="21770"/>
    <cellStyle name="Обычный 6 6 2 8 3" xfId="21771"/>
    <cellStyle name="Обычный 6 6 2 8 3 2" xfId="21772"/>
    <cellStyle name="Обычный 6 6 2 8 3 3" xfId="21773"/>
    <cellStyle name="Обычный 6 6 2 8 4" xfId="21774"/>
    <cellStyle name="Обычный 6 6 2 8 4 2" xfId="21775"/>
    <cellStyle name="Обычный 6 6 2 8 5" xfId="21776"/>
    <cellStyle name="Обычный 6 6 2 8 6" xfId="21777"/>
    <cellStyle name="Обычный 6 6 2 9" xfId="21778"/>
    <cellStyle name="Обычный 6 6 2 9 2" xfId="21779"/>
    <cellStyle name="Обычный 6 6 2 9 3" xfId="21780"/>
    <cellStyle name="Обычный 6 6 3" xfId="21781"/>
    <cellStyle name="Обычный 6 6 3 10" xfId="21782"/>
    <cellStyle name="Обычный 6 6 3 2" xfId="21783"/>
    <cellStyle name="Обычный 6 6 3 2 2" xfId="21784"/>
    <cellStyle name="Обычный 6 6 3 2 2 2" xfId="21785"/>
    <cellStyle name="Обычный 6 6 3 2 2 2 2" xfId="21786"/>
    <cellStyle name="Обычный 6 6 3 2 2 2 2 2" xfId="21787"/>
    <cellStyle name="Обычный 6 6 3 2 2 2 2 2 2" xfId="21788"/>
    <cellStyle name="Обычный 6 6 3 2 2 2 2 2 3" xfId="21789"/>
    <cellStyle name="Обычный 6 6 3 2 2 2 2 3" xfId="21790"/>
    <cellStyle name="Обычный 6 6 3 2 2 2 2 3 2" xfId="21791"/>
    <cellStyle name="Обычный 6 6 3 2 2 2 2 3 3" xfId="21792"/>
    <cellStyle name="Обычный 6 6 3 2 2 2 2 4" xfId="21793"/>
    <cellStyle name="Обычный 6 6 3 2 2 2 2 4 2" xfId="21794"/>
    <cellStyle name="Обычный 6 6 3 2 2 2 2 5" xfId="21795"/>
    <cellStyle name="Обычный 6 6 3 2 2 2 2 6" xfId="21796"/>
    <cellStyle name="Обычный 6 6 3 2 2 2 3" xfId="21797"/>
    <cellStyle name="Обычный 6 6 3 2 2 2 3 2" xfId="21798"/>
    <cellStyle name="Обычный 6 6 3 2 2 2 3 3" xfId="21799"/>
    <cellStyle name="Обычный 6 6 3 2 2 2 4" xfId="21800"/>
    <cellStyle name="Обычный 6 6 3 2 2 2 4 2" xfId="21801"/>
    <cellStyle name="Обычный 6 6 3 2 2 2 4 3" xfId="21802"/>
    <cellStyle name="Обычный 6 6 3 2 2 2 5" xfId="21803"/>
    <cellStyle name="Обычный 6 6 3 2 2 2 5 2" xfId="21804"/>
    <cellStyle name="Обычный 6 6 3 2 2 2 6" xfId="21805"/>
    <cellStyle name="Обычный 6 6 3 2 2 2 7" xfId="21806"/>
    <cellStyle name="Обычный 6 6 3 2 2 3" xfId="21807"/>
    <cellStyle name="Обычный 6 6 3 2 2 3 2" xfId="21808"/>
    <cellStyle name="Обычный 6 6 3 2 2 3 2 2" xfId="21809"/>
    <cellStyle name="Обычный 6 6 3 2 2 3 2 3" xfId="21810"/>
    <cellStyle name="Обычный 6 6 3 2 2 3 3" xfId="21811"/>
    <cellStyle name="Обычный 6 6 3 2 2 3 3 2" xfId="21812"/>
    <cellStyle name="Обычный 6 6 3 2 2 3 3 3" xfId="21813"/>
    <cellStyle name="Обычный 6 6 3 2 2 3 4" xfId="21814"/>
    <cellStyle name="Обычный 6 6 3 2 2 3 4 2" xfId="21815"/>
    <cellStyle name="Обычный 6 6 3 2 2 3 5" xfId="21816"/>
    <cellStyle name="Обычный 6 6 3 2 2 3 6" xfId="21817"/>
    <cellStyle name="Обычный 6 6 3 2 2 4" xfId="21818"/>
    <cellStyle name="Обычный 6 6 3 2 2 4 2" xfId="21819"/>
    <cellStyle name="Обычный 6 6 3 2 2 4 3" xfId="21820"/>
    <cellStyle name="Обычный 6 6 3 2 2 5" xfId="21821"/>
    <cellStyle name="Обычный 6 6 3 2 2 5 2" xfId="21822"/>
    <cellStyle name="Обычный 6 6 3 2 2 5 3" xfId="21823"/>
    <cellStyle name="Обычный 6 6 3 2 2 6" xfId="21824"/>
    <cellStyle name="Обычный 6 6 3 2 2 6 2" xfId="21825"/>
    <cellStyle name="Обычный 6 6 3 2 2 7" xfId="21826"/>
    <cellStyle name="Обычный 6 6 3 2 2 8" xfId="21827"/>
    <cellStyle name="Обычный 6 6 3 2 3" xfId="21828"/>
    <cellStyle name="Обычный 6 6 3 2 3 2" xfId="21829"/>
    <cellStyle name="Обычный 6 6 3 2 3 2 2" xfId="21830"/>
    <cellStyle name="Обычный 6 6 3 2 3 2 2 2" xfId="21831"/>
    <cellStyle name="Обычный 6 6 3 2 3 2 2 3" xfId="21832"/>
    <cellStyle name="Обычный 6 6 3 2 3 2 3" xfId="21833"/>
    <cellStyle name="Обычный 6 6 3 2 3 2 3 2" xfId="21834"/>
    <cellStyle name="Обычный 6 6 3 2 3 2 3 3" xfId="21835"/>
    <cellStyle name="Обычный 6 6 3 2 3 2 4" xfId="21836"/>
    <cellStyle name="Обычный 6 6 3 2 3 2 4 2" xfId="21837"/>
    <cellStyle name="Обычный 6 6 3 2 3 2 5" xfId="21838"/>
    <cellStyle name="Обычный 6 6 3 2 3 2 6" xfId="21839"/>
    <cellStyle name="Обычный 6 6 3 2 3 3" xfId="21840"/>
    <cellStyle name="Обычный 6 6 3 2 3 3 2" xfId="21841"/>
    <cellStyle name="Обычный 6 6 3 2 3 3 3" xfId="21842"/>
    <cellStyle name="Обычный 6 6 3 2 3 4" xfId="21843"/>
    <cellStyle name="Обычный 6 6 3 2 3 4 2" xfId="21844"/>
    <cellStyle name="Обычный 6 6 3 2 3 4 3" xfId="21845"/>
    <cellStyle name="Обычный 6 6 3 2 3 5" xfId="21846"/>
    <cellStyle name="Обычный 6 6 3 2 3 5 2" xfId="21847"/>
    <cellStyle name="Обычный 6 6 3 2 3 6" xfId="21848"/>
    <cellStyle name="Обычный 6 6 3 2 3 7" xfId="21849"/>
    <cellStyle name="Обычный 6 6 3 2 4" xfId="21850"/>
    <cellStyle name="Обычный 6 6 3 2 4 2" xfId="21851"/>
    <cellStyle name="Обычный 6 6 3 2 4 2 2" xfId="21852"/>
    <cellStyle name="Обычный 6 6 3 2 4 2 3" xfId="21853"/>
    <cellStyle name="Обычный 6 6 3 2 4 3" xfId="21854"/>
    <cellStyle name="Обычный 6 6 3 2 4 3 2" xfId="21855"/>
    <cellStyle name="Обычный 6 6 3 2 4 3 3" xfId="21856"/>
    <cellStyle name="Обычный 6 6 3 2 4 4" xfId="21857"/>
    <cellStyle name="Обычный 6 6 3 2 4 4 2" xfId="21858"/>
    <cellStyle name="Обычный 6 6 3 2 4 5" xfId="21859"/>
    <cellStyle name="Обычный 6 6 3 2 4 6" xfId="21860"/>
    <cellStyle name="Обычный 6 6 3 2 5" xfId="21861"/>
    <cellStyle name="Обычный 6 6 3 2 5 2" xfId="21862"/>
    <cellStyle name="Обычный 6 6 3 2 5 3" xfId="21863"/>
    <cellStyle name="Обычный 6 6 3 2 6" xfId="21864"/>
    <cellStyle name="Обычный 6 6 3 2 6 2" xfId="21865"/>
    <cellStyle name="Обычный 6 6 3 2 6 3" xfId="21866"/>
    <cellStyle name="Обычный 6 6 3 2 7" xfId="21867"/>
    <cellStyle name="Обычный 6 6 3 2 7 2" xfId="21868"/>
    <cellStyle name="Обычный 6 6 3 2 8" xfId="21869"/>
    <cellStyle name="Обычный 6 6 3 2 9" xfId="21870"/>
    <cellStyle name="Обычный 6 6 3 3" xfId="21871"/>
    <cellStyle name="Обычный 6 6 3 3 2" xfId="21872"/>
    <cellStyle name="Обычный 6 6 3 3 2 2" xfId="21873"/>
    <cellStyle name="Обычный 6 6 3 3 2 2 2" xfId="21874"/>
    <cellStyle name="Обычный 6 6 3 3 2 2 2 2" xfId="21875"/>
    <cellStyle name="Обычный 6 6 3 3 2 2 2 3" xfId="21876"/>
    <cellStyle name="Обычный 6 6 3 3 2 2 3" xfId="21877"/>
    <cellStyle name="Обычный 6 6 3 3 2 2 3 2" xfId="21878"/>
    <cellStyle name="Обычный 6 6 3 3 2 2 3 3" xfId="21879"/>
    <cellStyle name="Обычный 6 6 3 3 2 2 4" xfId="21880"/>
    <cellStyle name="Обычный 6 6 3 3 2 2 4 2" xfId="21881"/>
    <cellStyle name="Обычный 6 6 3 3 2 2 5" xfId="21882"/>
    <cellStyle name="Обычный 6 6 3 3 2 2 6" xfId="21883"/>
    <cellStyle name="Обычный 6 6 3 3 2 3" xfId="21884"/>
    <cellStyle name="Обычный 6 6 3 3 2 3 2" xfId="21885"/>
    <cellStyle name="Обычный 6 6 3 3 2 3 3" xfId="21886"/>
    <cellStyle name="Обычный 6 6 3 3 2 4" xfId="21887"/>
    <cellStyle name="Обычный 6 6 3 3 2 4 2" xfId="21888"/>
    <cellStyle name="Обычный 6 6 3 3 2 4 3" xfId="21889"/>
    <cellStyle name="Обычный 6 6 3 3 2 5" xfId="21890"/>
    <cellStyle name="Обычный 6 6 3 3 2 5 2" xfId="21891"/>
    <cellStyle name="Обычный 6 6 3 3 2 6" xfId="21892"/>
    <cellStyle name="Обычный 6 6 3 3 2 7" xfId="21893"/>
    <cellStyle name="Обычный 6 6 3 3 3" xfId="21894"/>
    <cellStyle name="Обычный 6 6 3 3 3 2" xfId="21895"/>
    <cellStyle name="Обычный 6 6 3 3 3 2 2" xfId="21896"/>
    <cellStyle name="Обычный 6 6 3 3 3 2 3" xfId="21897"/>
    <cellStyle name="Обычный 6 6 3 3 3 3" xfId="21898"/>
    <cellStyle name="Обычный 6 6 3 3 3 3 2" xfId="21899"/>
    <cellStyle name="Обычный 6 6 3 3 3 3 3" xfId="21900"/>
    <cellStyle name="Обычный 6 6 3 3 3 4" xfId="21901"/>
    <cellStyle name="Обычный 6 6 3 3 3 4 2" xfId="21902"/>
    <cellStyle name="Обычный 6 6 3 3 3 5" xfId="21903"/>
    <cellStyle name="Обычный 6 6 3 3 3 6" xfId="21904"/>
    <cellStyle name="Обычный 6 6 3 3 4" xfId="21905"/>
    <cellStyle name="Обычный 6 6 3 3 4 2" xfId="21906"/>
    <cellStyle name="Обычный 6 6 3 3 4 3" xfId="21907"/>
    <cellStyle name="Обычный 6 6 3 3 5" xfId="21908"/>
    <cellStyle name="Обычный 6 6 3 3 5 2" xfId="21909"/>
    <cellStyle name="Обычный 6 6 3 3 5 3" xfId="21910"/>
    <cellStyle name="Обычный 6 6 3 3 6" xfId="21911"/>
    <cellStyle name="Обычный 6 6 3 3 6 2" xfId="21912"/>
    <cellStyle name="Обычный 6 6 3 3 7" xfId="21913"/>
    <cellStyle name="Обычный 6 6 3 3 8" xfId="21914"/>
    <cellStyle name="Обычный 6 6 3 4" xfId="21915"/>
    <cellStyle name="Обычный 6 6 3 4 2" xfId="21916"/>
    <cellStyle name="Обычный 6 6 3 4 2 2" xfId="21917"/>
    <cellStyle name="Обычный 6 6 3 4 2 2 2" xfId="21918"/>
    <cellStyle name="Обычный 6 6 3 4 2 2 3" xfId="21919"/>
    <cellStyle name="Обычный 6 6 3 4 2 3" xfId="21920"/>
    <cellStyle name="Обычный 6 6 3 4 2 3 2" xfId="21921"/>
    <cellStyle name="Обычный 6 6 3 4 2 3 3" xfId="21922"/>
    <cellStyle name="Обычный 6 6 3 4 2 4" xfId="21923"/>
    <cellStyle name="Обычный 6 6 3 4 2 4 2" xfId="21924"/>
    <cellStyle name="Обычный 6 6 3 4 2 5" xfId="21925"/>
    <cellStyle name="Обычный 6 6 3 4 2 6" xfId="21926"/>
    <cellStyle name="Обычный 6 6 3 4 3" xfId="21927"/>
    <cellStyle name="Обычный 6 6 3 4 3 2" xfId="21928"/>
    <cellStyle name="Обычный 6 6 3 4 3 3" xfId="21929"/>
    <cellStyle name="Обычный 6 6 3 4 4" xfId="21930"/>
    <cellStyle name="Обычный 6 6 3 4 4 2" xfId="21931"/>
    <cellStyle name="Обычный 6 6 3 4 4 3" xfId="21932"/>
    <cellStyle name="Обычный 6 6 3 4 5" xfId="21933"/>
    <cellStyle name="Обычный 6 6 3 4 5 2" xfId="21934"/>
    <cellStyle name="Обычный 6 6 3 4 6" xfId="21935"/>
    <cellStyle name="Обычный 6 6 3 4 7" xfId="21936"/>
    <cellStyle name="Обычный 6 6 3 5" xfId="21937"/>
    <cellStyle name="Обычный 6 6 3 5 2" xfId="21938"/>
    <cellStyle name="Обычный 6 6 3 5 2 2" xfId="21939"/>
    <cellStyle name="Обычный 6 6 3 5 2 3" xfId="21940"/>
    <cellStyle name="Обычный 6 6 3 5 3" xfId="21941"/>
    <cellStyle name="Обычный 6 6 3 5 3 2" xfId="21942"/>
    <cellStyle name="Обычный 6 6 3 5 3 3" xfId="21943"/>
    <cellStyle name="Обычный 6 6 3 5 4" xfId="21944"/>
    <cellStyle name="Обычный 6 6 3 5 4 2" xfId="21945"/>
    <cellStyle name="Обычный 6 6 3 5 5" xfId="21946"/>
    <cellStyle name="Обычный 6 6 3 5 6" xfId="21947"/>
    <cellStyle name="Обычный 6 6 3 6" xfId="21948"/>
    <cellStyle name="Обычный 6 6 3 6 2" xfId="21949"/>
    <cellStyle name="Обычный 6 6 3 6 3" xfId="21950"/>
    <cellStyle name="Обычный 6 6 3 7" xfId="21951"/>
    <cellStyle name="Обычный 6 6 3 7 2" xfId="21952"/>
    <cellStyle name="Обычный 6 6 3 7 3" xfId="21953"/>
    <cellStyle name="Обычный 6 6 3 8" xfId="21954"/>
    <cellStyle name="Обычный 6 6 3 8 2" xfId="21955"/>
    <cellStyle name="Обычный 6 6 3 9" xfId="21956"/>
    <cellStyle name="Обычный 6 6 4" xfId="21957"/>
    <cellStyle name="Обычный 6 6 4 10" xfId="21958"/>
    <cellStyle name="Обычный 6 6 4 2" xfId="21959"/>
    <cellStyle name="Обычный 6 6 4 2 2" xfId="21960"/>
    <cellStyle name="Обычный 6 6 4 2 2 2" xfId="21961"/>
    <cellStyle name="Обычный 6 6 4 2 2 2 2" xfId="21962"/>
    <cellStyle name="Обычный 6 6 4 2 2 2 2 2" xfId="21963"/>
    <cellStyle name="Обычный 6 6 4 2 2 2 2 2 2" xfId="21964"/>
    <cellStyle name="Обычный 6 6 4 2 2 2 2 2 3" xfId="21965"/>
    <cellStyle name="Обычный 6 6 4 2 2 2 2 3" xfId="21966"/>
    <cellStyle name="Обычный 6 6 4 2 2 2 2 3 2" xfId="21967"/>
    <cellStyle name="Обычный 6 6 4 2 2 2 2 3 3" xfId="21968"/>
    <cellStyle name="Обычный 6 6 4 2 2 2 2 4" xfId="21969"/>
    <cellStyle name="Обычный 6 6 4 2 2 2 2 4 2" xfId="21970"/>
    <cellStyle name="Обычный 6 6 4 2 2 2 2 5" xfId="21971"/>
    <cellStyle name="Обычный 6 6 4 2 2 2 2 6" xfId="21972"/>
    <cellStyle name="Обычный 6 6 4 2 2 2 3" xfId="21973"/>
    <cellStyle name="Обычный 6 6 4 2 2 2 3 2" xfId="21974"/>
    <cellStyle name="Обычный 6 6 4 2 2 2 3 3" xfId="21975"/>
    <cellStyle name="Обычный 6 6 4 2 2 2 4" xfId="21976"/>
    <cellStyle name="Обычный 6 6 4 2 2 2 4 2" xfId="21977"/>
    <cellStyle name="Обычный 6 6 4 2 2 2 4 3" xfId="21978"/>
    <cellStyle name="Обычный 6 6 4 2 2 2 5" xfId="21979"/>
    <cellStyle name="Обычный 6 6 4 2 2 2 5 2" xfId="21980"/>
    <cellStyle name="Обычный 6 6 4 2 2 2 6" xfId="21981"/>
    <cellStyle name="Обычный 6 6 4 2 2 2 7" xfId="21982"/>
    <cellStyle name="Обычный 6 6 4 2 2 3" xfId="21983"/>
    <cellStyle name="Обычный 6 6 4 2 2 3 2" xfId="21984"/>
    <cellStyle name="Обычный 6 6 4 2 2 3 2 2" xfId="21985"/>
    <cellStyle name="Обычный 6 6 4 2 2 3 2 3" xfId="21986"/>
    <cellStyle name="Обычный 6 6 4 2 2 3 3" xfId="21987"/>
    <cellStyle name="Обычный 6 6 4 2 2 3 3 2" xfId="21988"/>
    <cellStyle name="Обычный 6 6 4 2 2 3 3 3" xfId="21989"/>
    <cellStyle name="Обычный 6 6 4 2 2 3 4" xfId="21990"/>
    <cellStyle name="Обычный 6 6 4 2 2 3 4 2" xfId="21991"/>
    <cellStyle name="Обычный 6 6 4 2 2 3 5" xfId="21992"/>
    <cellStyle name="Обычный 6 6 4 2 2 3 6" xfId="21993"/>
    <cellStyle name="Обычный 6 6 4 2 2 4" xfId="21994"/>
    <cellStyle name="Обычный 6 6 4 2 2 4 2" xfId="21995"/>
    <cellStyle name="Обычный 6 6 4 2 2 4 3" xfId="21996"/>
    <cellStyle name="Обычный 6 6 4 2 2 5" xfId="21997"/>
    <cellStyle name="Обычный 6 6 4 2 2 5 2" xfId="21998"/>
    <cellStyle name="Обычный 6 6 4 2 2 5 3" xfId="21999"/>
    <cellStyle name="Обычный 6 6 4 2 2 6" xfId="22000"/>
    <cellStyle name="Обычный 6 6 4 2 2 6 2" xfId="22001"/>
    <cellStyle name="Обычный 6 6 4 2 2 7" xfId="22002"/>
    <cellStyle name="Обычный 6 6 4 2 2 8" xfId="22003"/>
    <cellStyle name="Обычный 6 6 4 2 3" xfId="22004"/>
    <cellStyle name="Обычный 6 6 4 2 3 2" xfId="22005"/>
    <cellStyle name="Обычный 6 6 4 2 3 2 2" xfId="22006"/>
    <cellStyle name="Обычный 6 6 4 2 3 2 2 2" xfId="22007"/>
    <cellStyle name="Обычный 6 6 4 2 3 2 2 3" xfId="22008"/>
    <cellStyle name="Обычный 6 6 4 2 3 2 3" xfId="22009"/>
    <cellStyle name="Обычный 6 6 4 2 3 2 3 2" xfId="22010"/>
    <cellStyle name="Обычный 6 6 4 2 3 2 3 3" xfId="22011"/>
    <cellStyle name="Обычный 6 6 4 2 3 2 4" xfId="22012"/>
    <cellStyle name="Обычный 6 6 4 2 3 2 4 2" xfId="22013"/>
    <cellStyle name="Обычный 6 6 4 2 3 2 5" xfId="22014"/>
    <cellStyle name="Обычный 6 6 4 2 3 2 6" xfId="22015"/>
    <cellStyle name="Обычный 6 6 4 2 3 3" xfId="22016"/>
    <cellStyle name="Обычный 6 6 4 2 3 3 2" xfId="22017"/>
    <cellStyle name="Обычный 6 6 4 2 3 3 3" xfId="22018"/>
    <cellStyle name="Обычный 6 6 4 2 3 4" xfId="22019"/>
    <cellStyle name="Обычный 6 6 4 2 3 4 2" xfId="22020"/>
    <cellStyle name="Обычный 6 6 4 2 3 4 3" xfId="22021"/>
    <cellStyle name="Обычный 6 6 4 2 3 5" xfId="22022"/>
    <cellStyle name="Обычный 6 6 4 2 3 5 2" xfId="22023"/>
    <cellStyle name="Обычный 6 6 4 2 3 6" xfId="22024"/>
    <cellStyle name="Обычный 6 6 4 2 3 7" xfId="22025"/>
    <cellStyle name="Обычный 6 6 4 2 4" xfId="22026"/>
    <cellStyle name="Обычный 6 6 4 2 4 2" xfId="22027"/>
    <cellStyle name="Обычный 6 6 4 2 4 2 2" xfId="22028"/>
    <cellStyle name="Обычный 6 6 4 2 4 2 3" xfId="22029"/>
    <cellStyle name="Обычный 6 6 4 2 4 3" xfId="22030"/>
    <cellStyle name="Обычный 6 6 4 2 4 3 2" xfId="22031"/>
    <cellStyle name="Обычный 6 6 4 2 4 3 3" xfId="22032"/>
    <cellStyle name="Обычный 6 6 4 2 4 4" xfId="22033"/>
    <cellStyle name="Обычный 6 6 4 2 4 4 2" xfId="22034"/>
    <cellStyle name="Обычный 6 6 4 2 4 5" xfId="22035"/>
    <cellStyle name="Обычный 6 6 4 2 4 6" xfId="22036"/>
    <cellStyle name="Обычный 6 6 4 2 5" xfId="22037"/>
    <cellStyle name="Обычный 6 6 4 2 5 2" xfId="22038"/>
    <cellStyle name="Обычный 6 6 4 2 5 3" xfId="22039"/>
    <cellStyle name="Обычный 6 6 4 2 6" xfId="22040"/>
    <cellStyle name="Обычный 6 6 4 2 6 2" xfId="22041"/>
    <cellStyle name="Обычный 6 6 4 2 6 3" xfId="22042"/>
    <cellStyle name="Обычный 6 6 4 2 7" xfId="22043"/>
    <cellStyle name="Обычный 6 6 4 2 7 2" xfId="22044"/>
    <cellStyle name="Обычный 6 6 4 2 8" xfId="22045"/>
    <cellStyle name="Обычный 6 6 4 2 9" xfId="22046"/>
    <cellStyle name="Обычный 6 6 4 3" xfId="22047"/>
    <cellStyle name="Обычный 6 6 4 3 2" xfId="22048"/>
    <cellStyle name="Обычный 6 6 4 3 2 2" xfId="22049"/>
    <cellStyle name="Обычный 6 6 4 3 2 2 2" xfId="22050"/>
    <cellStyle name="Обычный 6 6 4 3 2 2 2 2" xfId="22051"/>
    <cellStyle name="Обычный 6 6 4 3 2 2 2 3" xfId="22052"/>
    <cellStyle name="Обычный 6 6 4 3 2 2 3" xfId="22053"/>
    <cellStyle name="Обычный 6 6 4 3 2 2 3 2" xfId="22054"/>
    <cellStyle name="Обычный 6 6 4 3 2 2 3 3" xfId="22055"/>
    <cellStyle name="Обычный 6 6 4 3 2 2 4" xfId="22056"/>
    <cellStyle name="Обычный 6 6 4 3 2 2 4 2" xfId="22057"/>
    <cellStyle name="Обычный 6 6 4 3 2 2 5" xfId="22058"/>
    <cellStyle name="Обычный 6 6 4 3 2 2 6" xfId="22059"/>
    <cellStyle name="Обычный 6 6 4 3 2 3" xfId="22060"/>
    <cellStyle name="Обычный 6 6 4 3 2 3 2" xfId="22061"/>
    <cellStyle name="Обычный 6 6 4 3 2 3 3" xfId="22062"/>
    <cellStyle name="Обычный 6 6 4 3 2 4" xfId="22063"/>
    <cellStyle name="Обычный 6 6 4 3 2 4 2" xfId="22064"/>
    <cellStyle name="Обычный 6 6 4 3 2 4 3" xfId="22065"/>
    <cellStyle name="Обычный 6 6 4 3 2 5" xfId="22066"/>
    <cellStyle name="Обычный 6 6 4 3 2 5 2" xfId="22067"/>
    <cellStyle name="Обычный 6 6 4 3 2 6" xfId="22068"/>
    <cellStyle name="Обычный 6 6 4 3 2 7" xfId="22069"/>
    <cellStyle name="Обычный 6 6 4 3 3" xfId="22070"/>
    <cellStyle name="Обычный 6 6 4 3 3 2" xfId="22071"/>
    <cellStyle name="Обычный 6 6 4 3 3 2 2" xfId="22072"/>
    <cellStyle name="Обычный 6 6 4 3 3 2 3" xfId="22073"/>
    <cellStyle name="Обычный 6 6 4 3 3 3" xfId="22074"/>
    <cellStyle name="Обычный 6 6 4 3 3 3 2" xfId="22075"/>
    <cellStyle name="Обычный 6 6 4 3 3 3 3" xfId="22076"/>
    <cellStyle name="Обычный 6 6 4 3 3 4" xfId="22077"/>
    <cellStyle name="Обычный 6 6 4 3 3 4 2" xfId="22078"/>
    <cellStyle name="Обычный 6 6 4 3 3 5" xfId="22079"/>
    <cellStyle name="Обычный 6 6 4 3 3 6" xfId="22080"/>
    <cellStyle name="Обычный 6 6 4 3 4" xfId="22081"/>
    <cellStyle name="Обычный 6 6 4 3 4 2" xfId="22082"/>
    <cellStyle name="Обычный 6 6 4 3 4 3" xfId="22083"/>
    <cellStyle name="Обычный 6 6 4 3 5" xfId="22084"/>
    <cellStyle name="Обычный 6 6 4 3 5 2" xfId="22085"/>
    <cellStyle name="Обычный 6 6 4 3 5 3" xfId="22086"/>
    <cellStyle name="Обычный 6 6 4 3 6" xfId="22087"/>
    <cellStyle name="Обычный 6 6 4 3 6 2" xfId="22088"/>
    <cellStyle name="Обычный 6 6 4 3 7" xfId="22089"/>
    <cellStyle name="Обычный 6 6 4 3 8" xfId="22090"/>
    <cellStyle name="Обычный 6 6 4 4" xfId="22091"/>
    <cellStyle name="Обычный 6 6 4 4 2" xfId="22092"/>
    <cellStyle name="Обычный 6 6 4 4 2 2" xfId="22093"/>
    <cellStyle name="Обычный 6 6 4 4 2 2 2" xfId="22094"/>
    <cellStyle name="Обычный 6 6 4 4 2 2 3" xfId="22095"/>
    <cellStyle name="Обычный 6 6 4 4 2 3" xfId="22096"/>
    <cellStyle name="Обычный 6 6 4 4 2 3 2" xfId="22097"/>
    <cellStyle name="Обычный 6 6 4 4 2 3 3" xfId="22098"/>
    <cellStyle name="Обычный 6 6 4 4 2 4" xfId="22099"/>
    <cellStyle name="Обычный 6 6 4 4 2 4 2" xfId="22100"/>
    <cellStyle name="Обычный 6 6 4 4 2 5" xfId="22101"/>
    <cellStyle name="Обычный 6 6 4 4 2 6" xfId="22102"/>
    <cellStyle name="Обычный 6 6 4 4 3" xfId="22103"/>
    <cellStyle name="Обычный 6 6 4 4 3 2" xfId="22104"/>
    <cellStyle name="Обычный 6 6 4 4 3 3" xfId="22105"/>
    <cellStyle name="Обычный 6 6 4 4 4" xfId="22106"/>
    <cellStyle name="Обычный 6 6 4 4 4 2" xfId="22107"/>
    <cellStyle name="Обычный 6 6 4 4 4 3" xfId="22108"/>
    <cellStyle name="Обычный 6 6 4 4 5" xfId="22109"/>
    <cellStyle name="Обычный 6 6 4 4 5 2" xfId="22110"/>
    <cellStyle name="Обычный 6 6 4 4 6" xfId="22111"/>
    <cellStyle name="Обычный 6 6 4 4 7" xfId="22112"/>
    <cellStyle name="Обычный 6 6 4 5" xfId="22113"/>
    <cellStyle name="Обычный 6 6 4 5 2" xfId="22114"/>
    <cellStyle name="Обычный 6 6 4 5 2 2" xfId="22115"/>
    <cellStyle name="Обычный 6 6 4 5 2 3" xfId="22116"/>
    <cellStyle name="Обычный 6 6 4 5 3" xfId="22117"/>
    <cellStyle name="Обычный 6 6 4 5 3 2" xfId="22118"/>
    <cellStyle name="Обычный 6 6 4 5 3 3" xfId="22119"/>
    <cellStyle name="Обычный 6 6 4 5 4" xfId="22120"/>
    <cellStyle name="Обычный 6 6 4 5 4 2" xfId="22121"/>
    <cellStyle name="Обычный 6 6 4 5 5" xfId="22122"/>
    <cellStyle name="Обычный 6 6 4 5 6" xfId="22123"/>
    <cellStyle name="Обычный 6 6 4 6" xfId="22124"/>
    <cellStyle name="Обычный 6 6 4 6 2" xfId="22125"/>
    <cellStyle name="Обычный 6 6 4 6 3" xfId="22126"/>
    <cellStyle name="Обычный 6 6 4 7" xfId="22127"/>
    <cellStyle name="Обычный 6 6 4 7 2" xfId="22128"/>
    <cellStyle name="Обычный 6 6 4 7 3" xfId="22129"/>
    <cellStyle name="Обычный 6 6 4 8" xfId="22130"/>
    <cellStyle name="Обычный 6 6 4 8 2" xfId="22131"/>
    <cellStyle name="Обычный 6 6 4 9" xfId="22132"/>
    <cellStyle name="Обычный 6 6 5" xfId="22133"/>
    <cellStyle name="Обычный 6 6 5 10" xfId="22134"/>
    <cellStyle name="Обычный 6 6 5 2" xfId="22135"/>
    <cellStyle name="Обычный 6 6 5 2 2" xfId="22136"/>
    <cellStyle name="Обычный 6 6 5 2 2 2" xfId="22137"/>
    <cellStyle name="Обычный 6 6 5 2 2 2 2" xfId="22138"/>
    <cellStyle name="Обычный 6 6 5 2 2 2 2 2" xfId="22139"/>
    <cellStyle name="Обычный 6 6 5 2 2 2 2 2 2" xfId="22140"/>
    <cellStyle name="Обычный 6 6 5 2 2 2 2 2 3" xfId="22141"/>
    <cellStyle name="Обычный 6 6 5 2 2 2 2 3" xfId="22142"/>
    <cellStyle name="Обычный 6 6 5 2 2 2 2 3 2" xfId="22143"/>
    <cellStyle name="Обычный 6 6 5 2 2 2 2 3 3" xfId="22144"/>
    <cellStyle name="Обычный 6 6 5 2 2 2 2 4" xfId="22145"/>
    <cellStyle name="Обычный 6 6 5 2 2 2 2 4 2" xfId="22146"/>
    <cellStyle name="Обычный 6 6 5 2 2 2 2 5" xfId="22147"/>
    <cellStyle name="Обычный 6 6 5 2 2 2 2 6" xfId="22148"/>
    <cellStyle name="Обычный 6 6 5 2 2 2 3" xfId="22149"/>
    <cellStyle name="Обычный 6 6 5 2 2 2 3 2" xfId="22150"/>
    <cellStyle name="Обычный 6 6 5 2 2 2 3 3" xfId="22151"/>
    <cellStyle name="Обычный 6 6 5 2 2 2 4" xfId="22152"/>
    <cellStyle name="Обычный 6 6 5 2 2 2 4 2" xfId="22153"/>
    <cellStyle name="Обычный 6 6 5 2 2 2 4 3" xfId="22154"/>
    <cellStyle name="Обычный 6 6 5 2 2 2 5" xfId="22155"/>
    <cellStyle name="Обычный 6 6 5 2 2 2 5 2" xfId="22156"/>
    <cellStyle name="Обычный 6 6 5 2 2 2 6" xfId="22157"/>
    <cellStyle name="Обычный 6 6 5 2 2 2 7" xfId="22158"/>
    <cellStyle name="Обычный 6 6 5 2 2 3" xfId="22159"/>
    <cellStyle name="Обычный 6 6 5 2 2 3 2" xfId="22160"/>
    <cellStyle name="Обычный 6 6 5 2 2 3 2 2" xfId="22161"/>
    <cellStyle name="Обычный 6 6 5 2 2 3 2 3" xfId="22162"/>
    <cellStyle name="Обычный 6 6 5 2 2 3 3" xfId="22163"/>
    <cellStyle name="Обычный 6 6 5 2 2 3 3 2" xfId="22164"/>
    <cellStyle name="Обычный 6 6 5 2 2 3 3 3" xfId="22165"/>
    <cellStyle name="Обычный 6 6 5 2 2 3 4" xfId="22166"/>
    <cellStyle name="Обычный 6 6 5 2 2 3 4 2" xfId="22167"/>
    <cellStyle name="Обычный 6 6 5 2 2 3 5" xfId="22168"/>
    <cellStyle name="Обычный 6 6 5 2 2 3 6" xfId="22169"/>
    <cellStyle name="Обычный 6 6 5 2 2 4" xfId="22170"/>
    <cellStyle name="Обычный 6 6 5 2 2 4 2" xfId="22171"/>
    <cellStyle name="Обычный 6 6 5 2 2 4 3" xfId="22172"/>
    <cellStyle name="Обычный 6 6 5 2 2 5" xfId="22173"/>
    <cellStyle name="Обычный 6 6 5 2 2 5 2" xfId="22174"/>
    <cellStyle name="Обычный 6 6 5 2 2 5 3" xfId="22175"/>
    <cellStyle name="Обычный 6 6 5 2 2 6" xfId="22176"/>
    <cellStyle name="Обычный 6 6 5 2 2 6 2" xfId="22177"/>
    <cellStyle name="Обычный 6 6 5 2 2 7" xfId="22178"/>
    <cellStyle name="Обычный 6 6 5 2 2 8" xfId="22179"/>
    <cellStyle name="Обычный 6 6 5 2 3" xfId="22180"/>
    <cellStyle name="Обычный 6 6 5 2 3 2" xfId="22181"/>
    <cellStyle name="Обычный 6 6 5 2 3 2 2" xfId="22182"/>
    <cellStyle name="Обычный 6 6 5 2 3 2 2 2" xfId="22183"/>
    <cellStyle name="Обычный 6 6 5 2 3 2 2 3" xfId="22184"/>
    <cellStyle name="Обычный 6 6 5 2 3 2 3" xfId="22185"/>
    <cellStyle name="Обычный 6 6 5 2 3 2 3 2" xfId="22186"/>
    <cellStyle name="Обычный 6 6 5 2 3 2 3 3" xfId="22187"/>
    <cellStyle name="Обычный 6 6 5 2 3 2 4" xfId="22188"/>
    <cellStyle name="Обычный 6 6 5 2 3 2 4 2" xfId="22189"/>
    <cellStyle name="Обычный 6 6 5 2 3 2 5" xfId="22190"/>
    <cellStyle name="Обычный 6 6 5 2 3 2 6" xfId="22191"/>
    <cellStyle name="Обычный 6 6 5 2 3 3" xfId="22192"/>
    <cellStyle name="Обычный 6 6 5 2 3 3 2" xfId="22193"/>
    <cellStyle name="Обычный 6 6 5 2 3 3 3" xfId="22194"/>
    <cellStyle name="Обычный 6 6 5 2 3 4" xfId="22195"/>
    <cellStyle name="Обычный 6 6 5 2 3 4 2" xfId="22196"/>
    <cellStyle name="Обычный 6 6 5 2 3 4 3" xfId="22197"/>
    <cellStyle name="Обычный 6 6 5 2 3 5" xfId="22198"/>
    <cellStyle name="Обычный 6 6 5 2 3 5 2" xfId="22199"/>
    <cellStyle name="Обычный 6 6 5 2 3 6" xfId="22200"/>
    <cellStyle name="Обычный 6 6 5 2 3 7" xfId="22201"/>
    <cellStyle name="Обычный 6 6 5 2 4" xfId="22202"/>
    <cellStyle name="Обычный 6 6 5 2 4 2" xfId="22203"/>
    <cellStyle name="Обычный 6 6 5 2 4 2 2" xfId="22204"/>
    <cellStyle name="Обычный 6 6 5 2 4 2 3" xfId="22205"/>
    <cellStyle name="Обычный 6 6 5 2 4 3" xfId="22206"/>
    <cellStyle name="Обычный 6 6 5 2 4 3 2" xfId="22207"/>
    <cellStyle name="Обычный 6 6 5 2 4 3 3" xfId="22208"/>
    <cellStyle name="Обычный 6 6 5 2 4 4" xfId="22209"/>
    <cellStyle name="Обычный 6 6 5 2 4 4 2" xfId="22210"/>
    <cellStyle name="Обычный 6 6 5 2 4 5" xfId="22211"/>
    <cellStyle name="Обычный 6 6 5 2 4 6" xfId="22212"/>
    <cellStyle name="Обычный 6 6 5 2 5" xfId="22213"/>
    <cellStyle name="Обычный 6 6 5 2 5 2" xfId="22214"/>
    <cellStyle name="Обычный 6 6 5 2 5 3" xfId="22215"/>
    <cellStyle name="Обычный 6 6 5 2 6" xfId="22216"/>
    <cellStyle name="Обычный 6 6 5 2 6 2" xfId="22217"/>
    <cellStyle name="Обычный 6 6 5 2 6 3" xfId="22218"/>
    <cellStyle name="Обычный 6 6 5 2 7" xfId="22219"/>
    <cellStyle name="Обычный 6 6 5 2 7 2" xfId="22220"/>
    <cellStyle name="Обычный 6 6 5 2 8" xfId="22221"/>
    <cellStyle name="Обычный 6 6 5 2 9" xfId="22222"/>
    <cellStyle name="Обычный 6 6 5 3" xfId="22223"/>
    <cellStyle name="Обычный 6 6 5 3 2" xfId="22224"/>
    <cellStyle name="Обычный 6 6 5 3 2 2" xfId="22225"/>
    <cellStyle name="Обычный 6 6 5 3 2 2 2" xfId="22226"/>
    <cellStyle name="Обычный 6 6 5 3 2 2 2 2" xfId="22227"/>
    <cellStyle name="Обычный 6 6 5 3 2 2 2 3" xfId="22228"/>
    <cellStyle name="Обычный 6 6 5 3 2 2 3" xfId="22229"/>
    <cellStyle name="Обычный 6 6 5 3 2 2 3 2" xfId="22230"/>
    <cellStyle name="Обычный 6 6 5 3 2 2 3 3" xfId="22231"/>
    <cellStyle name="Обычный 6 6 5 3 2 2 4" xfId="22232"/>
    <cellStyle name="Обычный 6 6 5 3 2 2 4 2" xfId="22233"/>
    <cellStyle name="Обычный 6 6 5 3 2 2 5" xfId="22234"/>
    <cellStyle name="Обычный 6 6 5 3 2 2 6" xfId="22235"/>
    <cellStyle name="Обычный 6 6 5 3 2 3" xfId="22236"/>
    <cellStyle name="Обычный 6 6 5 3 2 3 2" xfId="22237"/>
    <cellStyle name="Обычный 6 6 5 3 2 3 3" xfId="22238"/>
    <cellStyle name="Обычный 6 6 5 3 2 4" xfId="22239"/>
    <cellStyle name="Обычный 6 6 5 3 2 4 2" xfId="22240"/>
    <cellStyle name="Обычный 6 6 5 3 2 4 3" xfId="22241"/>
    <cellStyle name="Обычный 6 6 5 3 2 5" xfId="22242"/>
    <cellStyle name="Обычный 6 6 5 3 2 5 2" xfId="22243"/>
    <cellStyle name="Обычный 6 6 5 3 2 6" xfId="22244"/>
    <cellStyle name="Обычный 6 6 5 3 2 7" xfId="22245"/>
    <cellStyle name="Обычный 6 6 5 3 3" xfId="22246"/>
    <cellStyle name="Обычный 6 6 5 3 3 2" xfId="22247"/>
    <cellStyle name="Обычный 6 6 5 3 3 2 2" xfId="22248"/>
    <cellStyle name="Обычный 6 6 5 3 3 2 3" xfId="22249"/>
    <cellStyle name="Обычный 6 6 5 3 3 3" xfId="22250"/>
    <cellStyle name="Обычный 6 6 5 3 3 3 2" xfId="22251"/>
    <cellStyle name="Обычный 6 6 5 3 3 3 3" xfId="22252"/>
    <cellStyle name="Обычный 6 6 5 3 3 4" xfId="22253"/>
    <cellStyle name="Обычный 6 6 5 3 3 4 2" xfId="22254"/>
    <cellStyle name="Обычный 6 6 5 3 3 5" xfId="22255"/>
    <cellStyle name="Обычный 6 6 5 3 3 6" xfId="22256"/>
    <cellStyle name="Обычный 6 6 5 3 4" xfId="22257"/>
    <cellStyle name="Обычный 6 6 5 3 4 2" xfId="22258"/>
    <cellStyle name="Обычный 6 6 5 3 4 3" xfId="22259"/>
    <cellStyle name="Обычный 6 6 5 3 5" xfId="22260"/>
    <cellStyle name="Обычный 6 6 5 3 5 2" xfId="22261"/>
    <cellStyle name="Обычный 6 6 5 3 5 3" xfId="22262"/>
    <cellStyle name="Обычный 6 6 5 3 6" xfId="22263"/>
    <cellStyle name="Обычный 6 6 5 3 6 2" xfId="22264"/>
    <cellStyle name="Обычный 6 6 5 3 7" xfId="22265"/>
    <cellStyle name="Обычный 6 6 5 3 8" xfId="22266"/>
    <cellStyle name="Обычный 6 6 5 4" xfId="22267"/>
    <cellStyle name="Обычный 6 6 5 4 2" xfId="22268"/>
    <cellStyle name="Обычный 6 6 5 4 2 2" xfId="22269"/>
    <cellStyle name="Обычный 6 6 5 4 2 2 2" xfId="22270"/>
    <cellStyle name="Обычный 6 6 5 4 2 2 3" xfId="22271"/>
    <cellStyle name="Обычный 6 6 5 4 2 3" xfId="22272"/>
    <cellStyle name="Обычный 6 6 5 4 2 3 2" xfId="22273"/>
    <cellStyle name="Обычный 6 6 5 4 2 3 3" xfId="22274"/>
    <cellStyle name="Обычный 6 6 5 4 2 4" xfId="22275"/>
    <cellStyle name="Обычный 6 6 5 4 2 4 2" xfId="22276"/>
    <cellStyle name="Обычный 6 6 5 4 2 5" xfId="22277"/>
    <cellStyle name="Обычный 6 6 5 4 2 6" xfId="22278"/>
    <cellStyle name="Обычный 6 6 5 4 3" xfId="22279"/>
    <cellStyle name="Обычный 6 6 5 4 3 2" xfId="22280"/>
    <cellStyle name="Обычный 6 6 5 4 3 3" xfId="22281"/>
    <cellStyle name="Обычный 6 6 5 4 4" xfId="22282"/>
    <cellStyle name="Обычный 6 6 5 4 4 2" xfId="22283"/>
    <cellStyle name="Обычный 6 6 5 4 4 3" xfId="22284"/>
    <cellStyle name="Обычный 6 6 5 4 5" xfId="22285"/>
    <cellStyle name="Обычный 6 6 5 4 5 2" xfId="22286"/>
    <cellStyle name="Обычный 6 6 5 4 6" xfId="22287"/>
    <cellStyle name="Обычный 6 6 5 4 7" xfId="22288"/>
    <cellStyle name="Обычный 6 6 5 5" xfId="22289"/>
    <cellStyle name="Обычный 6 6 5 5 2" xfId="22290"/>
    <cellStyle name="Обычный 6 6 5 5 2 2" xfId="22291"/>
    <cellStyle name="Обычный 6 6 5 5 2 3" xfId="22292"/>
    <cellStyle name="Обычный 6 6 5 5 3" xfId="22293"/>
    <cellStyle name="Обычный 6 6 5 5 3 2" xfId="22294"/>
    <cellStyle name="Обычный 6 6 5 5 3 3" xfId="22295"/>
    <cellStyle name="Обычный 6 6 5 5 4" xfId="22296"/>
    <cellStyle name="Обычный 6 6 5 5 4 2" xfId="22297"/>
    <cellStyle name="Обычный 6 6 5 5 5" xfId="22298"/>
    <cellStyle name="Обычный 6 6 5 5 6" xfId="22299"/>
    <cellStyle name="Обычный 6 6 5 6" xfId="22300"/>
    <cellStyle name="Обычный 6 6 5 6 2" xfId="22301"/>
    <cellStyle name="Обычный 6 6 5 6 3" xfId="22302"/>
    <cellStyle name="Обычный 6 6 5 7" xfId="22303"/>
    <cellStyle name="Обычный 6 6 5 7 2" xfId="22304"/>
    <cellStyle name="Обычный 6 6 5 7 3" xfId="22305"/>
    <cellStyle name="Обычный 6 6 5 8" xfId="22306"/>
    <cellStyle name="Обычный 6 6 5 8 2" xfId="22307"/>
    <cellStyle name="Обычный 6 6 5 9" xfId="22308"/>
    <cellStyle name="Обычный 6 6 6" xfId="22309"/>
    <cellStyle name="Обычный 6 6 6 2" xfId="22310"/>
    <cellStyle name="Обычный 6 6 6 2 2" xfId="22311"/>
    <cellStyle name="Обычный 6 6 6 2 2 2" xfId="22312"/>
    <cellStyle name="Обычный 6 6 6 2 2 2 2" xfId="22313"/>
    <cellStyle name="Обычный 6 6 6 2 2 2 2 2" xfId="22314"/>
    <cellStyle name="Обычный 6 6 6 2 2 2 2 3" xfId="22315"/>
    <cellStyle name="Обычный 6 6 6 2 2 2 3" xfId="22316"/>
    <cellStyle name="Обычный 6 6 6 2 2 2 3 2" xfId="22317"/>
    <cellStyle name="Обычный 6 6 6 2 2 2 3 3" xfId="22318"/>
    <cellStyle name="Обычный 6 6 6 2 2 2 4" xfId="22319"/>
    <cellStyle name="Обычный 6 6 6 2 2 2 4 2" xfId="22320"/>
    <cellStyle name="Обычный 6 6 6 2 2 2 5" xfId="22321"/>
    <cellStyle name="Обычный 6 6 6 2 2 2 6" xfId="22322"/>
    <cellStyle name="Обычный 6 6 6 2 2 3" xfId="22323"/>
    <cellStyle name="Обычный 6 6 6 2 2 3 2" xfId="22324"/>
    <cellStyle name="Обычный 6 6 6 2 2 3 3" xfId="22325"/>
    <cellStyle name="Обычный 6 6 6 2 2 4" xfId="22326"/>
    <cellStyle name="Обычный 6 6 6 2 2 4 2" xfId="22327"/>
    <cellStyle name="Обычный 6 6 6 2 2 4 3" xfId="22328"/>
    <cellStyle name="Обычный 6 6 6 2 2 5" xfId="22329"/>
    <cellStyle name="Обычный 6 6 6 2 2 5 2" xfId="22330"/>
    <cellStyle name="Обычный 6 6 6 2 2 6" xfId="22331"/>
    <cellStyle name="Обычный 6 6 6 2 2 7" xfId="22332"/>
    <cellStyle name="Обычный 6 6 6 2 3" xfId="22333"/>
    <cellStyle name="Обычный 6 6 6 2 3 2" xfId="22334"/>
    <cellStyle name="Обычный 6 6 6 2 3 2 2" xfId="22335"/>
    <cellStyle name="Обычный 6 6 6 2 3 2 3" xfId="22336"/>
    <cellStyle name="Обычный 6 6 6 2 3 3" xfId="22337"/>
    <cellStyle name="Обычный 6 6 6 2 3 3 2" xfId="22338"/>
    <cellStyle name="Обычный 6 6 6 2 3 3 3" xfId="22339"/>
    <cellStyle name="Обычный 6 6 6 2 3 4" xfId="22340"/>
    <cellStyle name="Обычный 6 6 6 2 3 4 2" xfId="22341"/>
    <cellStyle name="Обычный 6 6 6 2 3 5" xfId="22342"/>
    <cellStyle name="Обычный 6 6 6 2 3 6" xfId="22343"/>
    <cellStyle name="Обычный 6 6 6 2 4" xfId="22344"/>
    <cellStyle name="Обычный 6 6 6 2 4 2" xfId="22345"/>
    <cellStyle name="Обычный 6 6 6 2 4 3" xfId="22346"/>
    <cellStyle name="Обычный 6 6 6 2 5" xfId="22347"/>
    <cellStyle name="Обычный 6 6 6 2 5 2" xfId="22348"/>
    <cellStyle name="Обычный 6 6 6 2 5 3" xfId="22349"/>
    <cellStyle name="Обычный 6 6 6 2 6" xfId="22350"/>
    <cellStyle name="Обычный 6 6 6 2 6 2" xfId="22351"/>
    <cellStyle name="Обычный 6 6 6 2 7" xfId="22352"/>
    <cellStyle name="Обычный 6 6 6 2 8" xfId="22353"/>
    <cellStyle name="Обычный 6 6 6 3" xfId="22354"/>
    <cellStyle name="Обычный 6 6 6 3 2" xfId="22355"/>
    <cellStyle name="Обычный 6 6 6 3 2 2" xfId="22356"/>
    <cellStyle name="Обычный 6 6 6 3 2 2 2" xfId="22357"/>
    <cellStyle name="Обычный 6 6 6 3 2 2 3" xfId="22358"/>
    <cellStyle name="Обычный 6 6 6 3 2 3" xfId="22359"/>
    <cellStyle name="Обычный 6 6 6 3 2 3 2" xfId="22360"/>
    <cellStyle name="Обычный 6 6 6 3 2 3 3" xfId="22361"/>
    <cellStyle name="Обычный 6 6 6 3 2 4" xfId="22362"/>
    <cellStyle name="Обычный 6 6 6 3 2 4 2" xfId="22363"/>
    <cellStyle name="Обычный 6 6 6 3 2 5" xfId="22364"/>
    <cellStyle name="Обычный 6 6 6 3 2 6" xfId="22365"/>
    <cellStyle name="Обычный 6 6 6 3 3" xfId="22366"/>
    <cellStyle name="Обычный 6 6 6 3 3 2" xfId="22367"/>
    <cellStyle name="Обычный 6 6 6 3 3 3" xfId="22368"/>
    <cellStyle name="Обычный 6 6 6 3 4" xfId="22369"/>
    <cellStyle name="Обычный 6 6 6 3 4 2" xfId="22370"/>
    <cellStyle name="Обычный 6 6 6 3 4 3" xfId="22371"/>
    <cellStyle name="Обычный 6 6 6 3 5" xfId="22372"/>
    <cellStyle name="Обычный 6 6 6 3 5 2" xfId="22373"/>
    <cellStyle name="Обычный 6 6 6 3 6" xfId="22374"/>
    <cellStyle name="Обычный 6 6 6 3 7" xfId="22375"/>
    <cellStyle name="Обычный 6 6 6 4" xfId="22376"/>
    <cellStyle name="Обычный 6 6 6 4 2" xfId="22377"/>
    <cellStyle name="Обычный 6 6 6 4 2 2" xfId="22378"/>
    <cellStyle name="Обычный 6 6 6 4 2 3" xfId="22379"/>
    <cellStyle name="Обычный 6 6 6 4 3" xfId="22380"/>
    <cellStyle name="Обычный 6 6 6 4 3 2" xfId="22381"/>
    <cellStyle name="Обычный 6 6 6 4 3 3" xfId="22382"/>
    <cellStyle name="Обычный 6 6 6 4 4" xfId="22383"/>
    <cellStyle name="Обычный 6 6 6 4 4 2" xfId="22384"/>
    <cellStyle name="Обычный 6 6 6 4 5" xfId="22385"/>
    <cellStyle name="Обычный 6 6 6 4 6" xfId="22386"/>
    <cellStyle name="Обычный 6 6 6 5" xfId="22387"/>
    <cellStyle name="Обычный 6 6 6 5 2" xfId="22388"/>
    <cellStyle name="Обычный 6 6 6 5 3" xfId="22389"/>
    <cellStyle name="Обычный 6 6 6 6" xfId="22390"/>
    <cellStyle name="Обычный 6 6 6 6 2" xfId="22391"/>
    <cellStyle name="Обычный 6 6 6 6 3" xfId="22392"/>
    <cellStyle name="Обычный 6 6 6 7" xfId="22393"/>
    <cellStyle name="Обычный 6 6 6 7 2" xfId="22394"/>
    <cellStyle name="Обычный 6 6 6 8" xfId="22395"/>
    <cellStyle name="Обычный 6 6 6 9" xfId="22396"/>
    <cellStyle name="Обычный 6 6 7" xfId="22397"/>
    <cellStyle name="Обычный 6 6 7 2" xfId="22398"/>
    <cellStyle name="Обычный 6 6 7 2 2" xfId="22399"/>
    <cellStyle name="Обычный 6 6 7 2 2 2" xfId="22400"/>
    <cellStyle name="Обычный 6 6 7 2 2 2 2" xfId="22401"/>
    <cellStyle name="Обычный 6 6 7 2 2 2 3" xfId="22402"/>
    <cellStyle name="Обычный 6 6 7 2 2 3" xfId="22403"/>
    <cellStyle name="Обычный 6 6 7 2 2 3 2" xfId="22404"/>
    <cellStyle name="Обычный 6 6 7 2 2 3 3" xfId="22405"/>
    <cellStyle name="Обычный 6 6 7 2 2 4" xfId="22406"/>
    <cellStyle name="Обычный 6 6 7 2 2 4 2" xfId="22407"/>
    <cellStyle name="Обычный 6 6 7 2 2 5" xfId="22408"/>
    <cellStyle name="Обычный 6 6 7 2 2 6" xfId="22409"/>
    <cellStyle name="Обычный 6 6 7 2 3" xfId="22410"/>
    <cellStyle name="Обычный 6 6 7 2 3 2" xfId="22411"/>
    <cellStyle name="Обычный 6 6 7 2 3 3" xfId="22412"/>
    <cellStyle name="Обычный 6 6 7 2 4" xfId="22413"/>
    <cellStyle name="Обычный 6 6 7 2 4 2" xfId="22414"/>
    <cellStyle name="Обычный 6 6 7 2 4 3" xfId="22415"/>
    <cellStyle name="Обычный 6 6 7 2 5" xfId="22416"/>
    <cellStyle name="Обычный 6 6 7 2 5 2" xfId="22417"/>
    <cellStyle name="Обычный 6 6 7 2 6" xfId="22418"/>
    <cellStyle name="Обычный 6 6 7 2 7" xfId="22419"/>
    <cellStyle name="Обычный 6 6 7 3" xfId="22420"/>
    <cellStyle name="Обычный 6 6 7 3 2" xfId="22421"/>
    <cellStyle name="Обычный 6 6 7 3 2 2" xfId="22422"/>
    <cellStyle name="Обычный 6 6 7 3 2 3" xfId="22423"/>
    <cellStyle name="Обычный 6 6 7 3 3" xfId="22424"/>
    <cellStyle name="Обычный 6 6 7 3 3 2" xfId="22425"/>
    <cellStyle name="Обычный 6 6 7 3 3 3" xfId="22426"/>
    <cellStyle name="Обычный 6 6 7 3 4" xfId="22427"/>
    <cellStyle name="Обычный 6 6 7 3 4 2" xfId="22428"/>
    <cellStyle name="Обычный 6 6 7 3 5" xfId="22429"/>
    <cellStyle name="Обычный 6 6 7 3 6" xfId="22430"/>
    <cellStyle name="Обычный 6 6 7 4" xfId="22431"/>
    <cellStyle name="Обычный 6 6 7 4 2" xfId="22432"/>
    <cellStyle name="Обычный 6 6 7 4 3" xfId="22433"/>
    <cellStyle name="Обычный 6 6 7 5" xfId="22434"/>
    <cellStyle name="Обычный 6 6 7 5 2" xfId="22435"/>
    <cellStyle name="Обычный 6 6 7 5 3" xfId="22436"/>
    <cellStyle name="Обычный 6 6 7 6" xfId="22437"/>
    <cellStyle name="Обычный 6 6 7 6 2" xfId="22438"/>
    <cellStyle name="Обычный 6 6 7 7" xfId="22439"/>
    <cellStyle name="Обычный 6 6 7 8" xfId="22440"/>
    <cellStyle name="Обычный 6 6 8" xfId="22441"/>
    <cellStyle name="Обычный 6 6 8 2" xfId="22442"/>
    <cellStyle name="Обычный 6 6 8 2 2" xfId="22443"/>
    <cellStyle name="Обычный 6 6 8 2 2 2" xfId="22444"/>
    <cellStyle name="Обычный 6 6 8 2 2 3" xfId="22445"/>
    <cellStyle name="Обычный 6 6 8 2 3" xfId="22446"/>
    <cellStyle name="Обычный 6 6 8 2 3 2" xfId="22447"/>
    <cellStyle name="Обычный 6 6 8 2 3 3" xfId="22448"/>
    <cellStyle name="Обычный 6 6 8 2 4" xfId="22449"/>
    <cellStyle name="Обычный 6 6 8 2 4 2" xfId="22450"/>
    <cellStyle name="Обычный 6 6 8 2 5" xfId="22451"/>
    <cellStyle name="Обычный 6 6 8 2 6" xfId="22452"/>
    <cellStyle name="Обычный 6 6 8 3" xfId="22453"/>
    <cellStyle name="Обычный 6 6 8 3 2" xfId="22454"/>
    <cellStyle name="Обычный 6 6 8 3 3" xfId="22455"/>
    <cellStyle name="Обычный 6 6 8 4" xfId="22456"/>
    <cellStyle name="Обычный 6 6 8 4 2" xfId="22457"/>
    <cellStyle name="Обычный 6 6 8 4 3" xfId="22458"/>
    <cellStyle name="Обычный 6 6 8 5" xfId="22459"/>
    <cellStyle name="Обычный 6 6 8 5 2" xfId="22460"/>
    <cellStyle name="Обычный 6 6 8 6" xfId="22461"/>
    <cellStyle name="Обычный 6 6 8 7" xfId="22462"/>
    <cellStyle name="Обычный 6 6 9" xfId="22463"/>
    <cellStyle name="Обычный 6 6 9 2" xfId="22464"/>
    <cellStyle name="Обычный 6 6 9 2 2" xfId="22465"/>
    <cellStyle name="Обычный 6 6 9 2 3" xfId="22466"/>
    <cellStyle name="Обычный 6 6 9 3" xfId="22467"/>
    <cellStyle name="Обычный 6 6 9 3 2" xfId="22468"/>
    <cellStyle name="Обычный 6 6 9 3 3" xfId="22469"/>
    <cellStyle name="Обычный 6 6 9 4" xfId="22470"/>
    <cellStyle name="Обычный 6 6 9 4 2" xfId="22471"/>
    <cellStyle name="Обычный 6 6 9 5" xfId="22472"/>
    <cellStyle name="Обычный 6 6 9 6" xfId="22473"/>
    <cellStyle name="Обычный 6 7" xfId="22474"/>
    <cellStyle name="Обычный 6 7 10" xfId="22475"/>
    <cellStyle name="Обычный 6 7 10 2" xfId="22476"/>
    <cellStyle name="Обычный 6 7 10 3" xfId="22477"/>
    <cellStyle name="Обычный 6 7 11" xfId="22478"/>
    <cellStyle name="Обычный 6 7 11 2" xfId="22479"/>
    <cellStyle name="Обычный 6 7 11 3" xfId="22480"/>
    <cellStyle name="Обычный 6 7 12" xfId="22481"/>
    <cellStyle name="Обычный 6 7 12 2" xfId="22482"/>
    <cellStyle name="Обычный 6 7 13" xfId="22483"/>
    <cellStyle name="Обычный 6 7 14" xfId="22484"/>
    <cellStyle name="Обычный 6 7 2" xfId="22485"/>
    <cellStyle name="Обычный 6 7 2 10" xfId="22486"/>
    <cellStyle name="Обычный 6 7 2 10 2" xfId="22487"/>
    <cellStyle name="Обычный 6 7 2 10 3" xfId="22488"/>
    <cellStyle name="Обычный 6 7 2 11" xfId="22489"/>
    <cellStyle name="Обычный 6 7 2 11 2" xfId="22490"/>
    <cellStyle name="Обычный 6 7 2 12" xfId="22491"/>
    <cellStyle name="Обычный 6 7 2 13" xfId="22492"/>
    <cellStyle name="Обычный 6 7 2 2" xfId="22493"/>
    <cellStyle name="Обычный 6 7 2 2 10" xfId="22494"/>
    <cellStyle name="Обычный 6 7 2 2 2" xfId="22495"/>
    <cellStyle name="Обычный 6 7 2 2 2 2" xfId="22496"/>
    <cellStyle name="Обычный 6 7 2 2 2 2 2" xfId="22497"/>
    <cellStyle name="Обычный 6 7 2 2 2 2 2 2" xfId="22498"/>
    <cellStyle name="Обычный 6 7 2 2 2 2 2 2 2" xfId="22499"/>
    <cellStyle name="Обычный 6 7 2 2 2 2 2 2 2 2" xfId="22500"/>
    <cellStyle name="Обычный 6 7 2 2 2 2 2 2 2 3" xfId="22501"/>
    <cellStyle name="Обычный 6 7 2 2 2 2 2 2 3" xfId="22502"/>
    <cellStyle name="Обычный 6 7 2 2 2 2 2 2 3 2" xfId="22503"/>
    <cellStyle name="Обычный 6 7 2 2 2 2 2 2 3 3" xfId="22504"/>
    <cellStyle name="Обычный 6 7 2 2 2 2 2 2 4" xfId="22505"/>
    <cellStyle name="Обычный 6 7 2 2 2 2 2 2 4 2" xfId="22506"/>
    <cellStyle name="Обычный 6 7 2 2 2 2 2 2 5" xfId="22507"/>
    <cellStyle name="Обычный 6 7 2 2 2 2 2 2 6" xfId="22508"/>
    <cellStyle name="Обычный 6 7 2 2 2 2 2 3" xfId="22509"/>
    <cellStyle name="Обычный 6 7 2 2 2 2 2 3 2" xfId="22510"/>
    <cellStyle name="Обычный 6 7 2 2 2 2 2 3 3" xfId="22511"/>
    <cellStyle name="Обычный 6 7 2 2 2 2 2 4" xfId="22512"/>
    <cellStyle name="Обычный 6 7 2 2 2 2 2 4 2" xfId="22513"/>
    <cellStyle name="Обычный 6 7 2 2 2 2 2 4 3" xfId="22514"/>
    <cellStyle name="Обычный 6 7 2 2 2 2 2 5" xfId="22515"/>
    <cellStyle name="Обычный 6 7 2 2 2 2 2 5 2" xfId="22516"/>
    <cellStyle name="Обычный 6 7 2 2 2 2 2 6" xfId="22517"/>
    <cellStyle name="Обычный 6 7 2 2 2 2 2 7" xfId="22518"/>
    <cellStyle name="Обычный 6 7 2 2 2 2 3" xfId="22519"/>
    <cellStyle name="Обычный 6 7 2 2 2 2 3 2" xfId="22520"/>
    <cellStyle name="Обычный 6 7 2 2 2 2 3 2 2" xfId="22521"/>
    <cellStyle name="Обычный 6 7 2 2 2 2 3 2 3" xfId="22522"/>
    <cellStyle name="Обычный 6 7 2 2 2 2 3 3" xfId="22523"/>
    <cellStyle name="Обычный 6 7 2 2 2 2 3 3 2" xfId="22524"/>
    <cellStyle name="Обычный 6 7 2 2 2 2 3 3 3" xfId="22525"/>
    <cellStyle name="Обычный 6 7 2 2 2 2 3 4" xfId="22526"/>
    <cellStyle name="Обычный 6 7 2 2 2 2 3 4 2" xfId="22527"/>
    <cellStyle name="Обычный 6 7 2 2 2 2 3 5" xfId="22528"/>
    <cellStyle name="Обычный 6 7 2 2 2 2 3 6" xfId="22529"/>
    <cellStyle name="Обычный 6 7 2 2 2 2 4" xfId="22530"/>
    <cellStyle name="Обычный 6 7 2 2 2 2 4 2" xfId="22531"/>
    <cellStyle name="Обычный 6 7 2 2 2 2 4 3" xfId="22532"/>
    <cellStyle name="Обычный 6 7 2 2 2 2 5" xfId="22533"/>
    <cellStyle name="Обычный 6 7 2 2 2 2 5 2" xfId="22534"/>
    <cellStyle name="Обычный 6 7 2 2 2 2 5 3" xfId="22535"/>
    <cellStyle name="Обычный 6 7 2 2 2 2 6" xfId="22536"/>
    <cellStyle name="Обычный 6 7 2 2 2 2 6 2" xfId="22537"/>
    <cellStyle name="Обычный 6 7 2 2 2 2 7" xfId="22538"/>
    <cellStyle name="Обычный 6 7 2 2 2 2 8" xfId="22539"/>
    <cellStyle name="Обычный 6 7 2 2 2 3" xfId="22540"/>
    <cellStyle name="Обычный 6 7 2 2 2 3 2" xfId="22541"/>
    <cellStyle name="Обычный 6 7 2 2 2 3 2 2" xfId="22542"/>
    <cellStyle name="Обычный 6 7 2 2 2 3 2 2 2" xfId="22543"/>
    <cellStyle name="Обычный 6 7 2 2 2 3 2 2 3" xfId="22544"/>
    <cellStyle name="Обычный 6 7 2 2 2 3 2 3" xfId="22545"/>
    <cellStyle name="Обычный 6 7 2 2 2 3 2 3 2" xfId="22546"/>
    <cellStyle name="Обычный 6 7 2 2 2 3 2 3 3" xfId="22547"/>
    <cellStyle name="Обычный 6 7 2 2 2 3 2 4" xfId="22548"/>
    <cellStyle name="Обычный 6 7 2 2 2 3 2 4 2" xfId="22549"/>
    <cellStyle name="Обычный 6 7 2 2 2 3 2 5" xfId="22550"/>
    <cellStyle name="Обычный 6 7 2 2 2 3 2 6" xfId="22551"/>
    <cellStyle name="Обычный 6 7 2 2 2 3 3" xfId="22552"/>
    <cellStyle name="Обычный 6 7 2 2 2 3 3 2" xfId="22553"/>
    <cellStyle name="Обычный 6 7 2 2 2 3 3 3" xfId="22554"/>
    <cellStyle name="Обычный 6 7 2 2 2 3 4" xfId="22555"/>
    <cellStyle name="Обычный 6 7 2 2 2 3 4 2" xfId="22556"/>
    <cellStyle name="Обычный 6 7 2 2 2 3 4 3" xfId="22557"/>
    <cellStyle name="Обычный 6 7 2 2 2 3 5" xfId="22558"/>
    <cellStyle name="Обычный 6 7 2 2 2 3 5 2" xfId="22559"/>
    <cellStyle name="Обычный 6 7 2 2 2 3 6" xfId="22560"/>
    <cellStyle name="Обычный 6 7 2 2 2 3 7" xfId="22561"/>
    <cellStyle name="Обычный 6 7 2 2 2 4" xfId="22562"/>
    <cellStyle name="Обычный 6 7 2 2 2 4 2" xfId="22563"/>
    <cellStyle name="Обычный 6 7 2 2 2 4 2 2" xfId="22564"/>
    <cellStyle name="Обычный 6 7 2 2 2 4 2 3" xfId="22565"/>
    <cellStyle name="Обычный 6 7 2 2 2 4 3" xfId="22566"/>
    <cellStyle name="Обычный 6 7 2 2 2 4 3 2" xfId="22567"/>
    <cellStyle name="Обычный 6 7 2 2 2 4 3 3" xfId="22568"/>
    <cellStyle name="Обычный 6 7 2 2 2 4 4" xfId="22569"/>
    <cellStyle name="Обычный 6 7 2 2 2 4 4 2" xfId="22570"/>
    <cellStyle name="Обычный 6 7 2 2 2 4 5" xfId="22571"/>
    <cellStyle name="Обычный 6 7 2 2 2 4 6" xfId="22572"/>
    <cellStyle name="Обычный 6 7 2 2 2 5" xfId="22573"/>
    <cellStyle name="Обычный 6 7 2 2 2 5 2" xfId="22574"/>
    <cellStyle name="Обычный 6 7 2 2 2 5 3" xfId="22575"/>
    <cellStyle name="Обычный 6 7 2 2 2 6" xfId="22576"/>
    <cellStyle name="Обычный 6 7 2 2 2 6 2" xfId="22577"/>
    <cellStyle name="Обычный 6 7 2 2 2 6 3" xfId="22578"/>
    <cellStyle name="Обычный 6 7 2 2 2 7" xfId="22579"/>
    <cellStyle name="Обычный 6 7 2 2 2 7 2" xfId="22580"/>
    <cellStyle name="Обычный 6 7 2 2 2 8" xfId="22581"/>
    <cellStyle name="Обычный 6 7 2 2 2 9" xfId="22582"/>
    <cellStyle name="Обычный 6 7 2 2 3" xfId="22583"/>
    <cellStyle name="Обычный 6 7 2 2 3 2" xfId="22584"/>
    <cellStyle name="Обычный 6 7 2 2 3 2 2" xfId="22585"/>
    <cellStyle name="Обычный 6 7 2 2 3 2 2 2" xfId="22586"/>
    <cellStyle name="Обычный 6 7 2 2 3 2 2 2 2" xfId="22587"/>
    <cellStyle name="Обычный 6 7 2 2 3 2 2 2 3" xfId="22588"/>
    <cellStyle name="Обычный 6 7 2 2 3 2 2 3" xfId="22589"/>
    <cellStyle name="Обычный 6 7 2 2 3 2 2 3 2" xfId="22590"/>
    <cellStyle name="Обычный 6 7 2 2 3 2 2 3 3" xfId="22591"/>
    <cellStyle name="Обычный 6 7 2 2 3 2 2 4" xfId="22592"/>
    <cellStyle name="Обычный 6 7 2 2 3 2 2 4 2" xfId="22593"/>
    <cellStyle name="Обычный 6 7 2 2 3 2 2 5" xfId="22594"/>
    <cellStyle name="Обычный 6 7 2 2 3 2 2 6" xfId="22595"/>
    <cellStyle name="Обычный 6 7 2 2 3 2 3" xfId="22596"/>
    <cellStyle name="Обычный 6 7 2 2 3 2 3 2" xfId="22597"/>
    <cellStyle name="Обычный 6 7 2 2 3 2 3 3" xfId="22598"/>
    <cellStyle name="Обычный 6 7 2 2 3 2 4" xfId="22599"/>
    <cellStyle name="Обычный 6 7 2 2 3 2 4 2" xfId="22600"/>
    <cellStyle name="Обычный 6 7 2 2 3 2 4 3" xfId="22601"/>
    <cellStyle name="Обычный 6 7 2 2 3 2 5" xfId="22602"/>
    <cellStyle name="Обычный 6 7 2 2 3 2 5 2" xfId="22603"/>
    <cellStyle name="Обычный 6 7 2 2 3 2 6" xfId="22604"/>
    <cellStyle name="Обычный 6 7 2 2 3 2 7" xfId="22605"/>
    <cellStyle name="Обычный 6 7 2 2 3 3" xfId="22606"/>
    <cellStyle name="Обычный 6 7 2 2 3 3 2" xfId="22607"/>
    <cellStyle name="Обычный 6 7 2 2 3 3 2 2" xfId="22608"/>
    <cellStyle name="Обычный 6 7 2 2 3 3 2 3" xfId="22609"/>
    <cellStyle name="Обычный 6 7 2 2 3 3 3" xfId="22610"/>
    <cellStyle name="Обычный 6 7 2 2 3 3 3 2" xfId="22611"/>
    <cellStyle name="Обычный 6 7 2 2 3 3 3 3" xfId="22612"/>
    <cellStyle name="Обычный 6 7 2 2 3 3 4" xfId="22613"/>
    <cellStyle name="Обычный 6 7 2 2 3 3 4 2" xfId="22614"/>
    <cellStyle name="Обычный 6 7 2 2 3 3 5" xfId="22615"/>
    <cellStyle name="Обычный 6 7 2 2 3 3 6" xfId="22616"/>
    <cellStyle name="Обычный 6 7 2 2 3 4" xfId="22617"/>
    <cellStyle name="Обычный 6 7 2 2 3 4 2" xfId="22618"/>
    <cellStyle name="Обычный 6 7 2 2 3 4 3" xfId="22619"/>
    <cellStyle name="Обычный 6 7 2 2 3 5" xfId="22620"/>
    <cellStyle name="Обычный 6 7 2 2 3 5 2" xfId="22621"/>
    <cellStyle name="Обычный 6 7 2 2 3 5 3" xfId="22622"/>
    <cellStyle name="Обычный 6 7 2 2 3 6" xfId="22623"/>
    <cellStyle name="Обычный 6 7 2 2 3 6 2" xfId="22624"/>
    <cellStyle name="Обычный 6 7 2 2 3 7" xfId="22625"/>
    <cellStyle name="Обычный 6 7 2 2 3 8" xfId="22626"/>
    <cellStyle name="Обычный 6 7 2 2 4" xfId="22627"/>
    <cellStyle name="Обычный 6 7 2 2 4 2" xfId="22628"/>
    <cellStyle name="Обычный 6 7 2 2 4 2 2" xfId="22629"/>
    <cellStyle name="Обычный 6 7 2 2 4 2 2 2" xfId="22630"/>
    <cellStyle name="Обычный 6 7 2 2 4 2 2 3" xfId="22631"/>
    <cellStyle name="Обычный 6 7 2 2 4 2 3" xfId="22632"/>
    <cellStyle name="Обычный 6 7 2 2 4 2 3 2" xfId="22633"/>
    <cellStyle name="Обычный 6 7 2 2 4 2 3 3" xfId="22634"/>
    <cellStyle name="Обычный 6 7 2 2 4 2 4" xfId="22635"/>
    <cellStyle name="Обычный 6 7 2 2 4 2 4 2" xfId="22636"/>
    <cellStyle name="Обычный 6 7 2 2 4 2 5" xfId="22637"/>
    <cellStyle name="Обычный 6 7 2 2 4 2 6" xfId="22638"/>
    <cellStyle name="Обычный 6 7 2 2 4 3" xfId="22639"/>
    <cellStyle name="Обычный 6 7 2 2 4 3 2" xfId="22640"/>
    <cellStyle name="Обычный 6 7 2 2 4 3 3" xfId="22641"/>
    <cellStyle name="Обычный 6 7 2 2 4 4" xfId="22642"/>
    <cellStyle name="Обычный 6 7 2 2 4 4 2" xfId="22643"/>
    <cellStyle name="Обычный 6 7 2 2 4 4 3" xfId="22644"/>
    <cellStyle name="Обычный 6 7 2 2 4 5" xfId="22645"/>
    <cellStyle name="Обычный 6 7 2 2 4 5 2" xfId="22646"/>
    <cellStyle name="Обычный 6 7 2 2 4 6" xfId="22647"/>
    <cellStyle name="Обычный 6 7 2 2 4 7" xfId="22648"/>
    <cellStyle name="Обычный 6 7 2 2 5" xfId="22649"/>
    <cellStyle name="Обычный 6 7 2 2 5 2" xfId="22650"/>
    <cellStyle name="Обычный 6 7 2 2 5 2 2" xfId="22651"/>
    <cellStyle name="Обычный 6 7 2 2 5 2 3" xfId="22652"/>
    <cellStyle name="Обычный 6 7 2 2 5 3" xfId="22653"/>
    <cellStyle name="Обычный 6 7 2 2 5 3 2" xfId="22654"/>
    <cellStyle name="Обычный 6 7 2 2 5 3 3" xfId="22655"/>
    <cellStyle name="Обычный 6 7 2 2 5 4" xfId="22656"/>
    <cellStyle name="Обычный 6 7 2 2 5 4 2" xfId="22657"/>
    <cellStyle name="Обычный 6 7 2 2 5 5" xfId="22658"/>
    <cellStyle name="Обычный 6 7 2 2 5 6" xfId="22659"/>
    <cellStyle name="Обычный 6 7 2 2 6" xfId="22660"/>
    <cellStyle name="Обычный 6 7 2 2 6 2" xfId="22661"/>
    <cellStyle name="Обычный 6 7 2 2 6 3" xfId="22662"/>
    <cellStyle name="Обычный 6 7 2 2 7" xfId="22663"/>
    <cellStyle name="Обычный 6 7 2 2 7 2" xfId="22664"/>
    <cellStyle name="Обычный 6 7 2 2 7 3" xfId="22665"/>
    <cellStyle name="Обычный 6 7 2 2 8" xfId="22666"/>
    <cellStyle name="Обычный 6 7 2 2 8 2" xfId="22667"/>
    <cellStyle name="Обычный 6 7 2 2 9" xfId="22668"/>
    <cellStyle name="Обычный 6 7 2 3" xfId="22669"/>
    <cellStyle name="Обычный 6 7 2 3 10" xfId="22670"/>
    <cellStyle name="Обычный 6 7 2 3 2" xfId="22671"/>
    <cellStyle name="Обычный 6 7 2 3 2 2" xfId="22672"/>
    <cellStyle name="Обычный 6 7 2 3 2 2 2" xfId="22673"/>
    <cellStyle name="Обычный 6 7 2 3 2 2 2 2" xfId="22674"/>
    <cellStyle name="Обычный 6 7 2 3 2 2 2 2 2" xfId="22675"/>
    <cellStyle name="Обычный 6 7 2 3 2 2 2 2 2 2" xfId="22676"/>
    <cellStyle name="Обычный 6 7 2 3 2 2 2 2 2 3" xfId="22677"/>
    <cellStyle name="Обычный 6 7 2 3 2 2 2 2 3" xfId="22678"/>
    <cellStyle name="Обычный 6 7 2 3 2 2 2 2 3 2" xfId="22679"/>
    <cellStyle name="Обычный 6 7 2 3 2 2 2 2 3 3" xfId="22680"/>
    <cellStyle name="Обычный 6 7 2 3 2 2 2 2 4" xfId="22681"/>
    <cellStyle name="Обычный 6 7 2 3 2 2 2 2 4 2" xfId="22682"/>
    <cellStyle name="Обычный 6 7 2 3 2 2 2 2 5" xfId="22683"/>
    <cellStyle name="Обычный 6 7 2 3 2 2 2 2 6" xfId="22684"/>
    <cellStyle name="Обычный 6 7 2 3 2 2 2 3" xfId="22685"/>
    <cellStyle name="Обычный 6 7 2 3 2 2 2 3 2" xfId="22686"/>
    <cellStyle name="Обычный 6 7 2 3 2 2 2 3 3" xfId="22687"/>
    <cellStyle name="Обычный 6 7 2 3 2 2 2 4" xfId="22688"/>
    <cellStyle name="Обычный 6 7 2 3 2 2 2 4 2" xfId="22689"/>
    <cellStyle name="Обычный 6 7 2 3 2 2 2 4 3" xfId="22690"/>
    <cellStyle name="Обычный 6 7 2 3 2 2 2 5" xfId="22691"/>
    <cellStyle name="Обычный 6 7 2 3 2 2 2 5 2" xfId="22692"/>
    <cellStyle name="Обычный 6 7 2 3 2 2 2 6" xfId="22693"/>
    <cellStyle name="Обычный 6 7 2 3 2 2 2 7" xfId="22694"/>
    <cellStyle name="Обычный 6 7 2 3 2 2 3" xfId="22695"/>
    <cellStyle name="Обычный 6 7 2 3 2 2 3 2" xfId="22696"/>
    <cellStyle name="Обычный 6 7 2 3 2 2 3 2 2" xfId="22697"/>
    <cellStyle name="Обычный 6 7 2 3 2 2 3 2 3" xfId="22698"/>
    <cellStyle name="Обычный 6 7 2 3 2 2 3 3" xfId="22699"/>
    <cellStyle name="Обычный 6 7 2 3 2 2 3 3 2" xfId="22700"/>
    <cellStyle name="Обычный 6 7 2 3 2 2 3 3 3" xfId="22701"/>
    <cellStyle name="Обычный 6 7 2 3 2 2 3 4" xfId="22702"/>
    <cellStyle name="Обычный 6 7 2 3 2 2 3 4 2" xfId="22703"/>
    <cellStyle name="Обычный 6 7 2 3 2 2 3 5" xfId="22704"/>
    <cellStyle name="Обычный 6 7 2 3 2 2 3 6" xfId="22705"/>
    <cellStyle name="Обычный 6 7 2 3 2 2 4" xfId="22706"/>
    <cellStyle name="Обычный 6 7 2 3 2 2 4 2" xfId="22707"/>
    <cellStyle name="Обычный 6 7 2 3 2 2 4 3" xfId="22708"/>
    <cellStyle name="Обычный 6 7 2 3 2 2 5" xfId="22709"/>
    <cellStyle name="Обычный 6 7 2 3 2 2 5 2" xfId="22710"/>
    <cellStyle name="Обычный 6 7 2 3 2 2 5 3" xfId="22711"/>
    <cellStyle name="Обычный 6 7 2 3 2 2 6" xfId="22712"/>
    <cellStyle name="Обычный 6 7 2 3 2 2 6 2" xfId="22713"/>
    <cellStyle name="Обычный 6 7 2 3 2 2 7" xfId="22714"/>
    <cellStyle name="Обычный 6 7 2 3 2 2 8" xfId="22715"/>
    <cellStyle name="Обычный 6 7 2 3 2 3" xfId="22716"/>
    <cellStyle name="Обычный 6 7 2 3 2 3 2" xfId="22717"/>
    <cellStyle name="Обычный 6 7 2 3 2 3 2 2" xfId="22718"/>
    <cellStyle name="Обычный 6 7 2 3 2 3 2 2 2" xfId="22719"/>
    <cellStyle name="Обычный 6 7 2 3 2 3 2 2 3" xfId="22720"/>
    <cellStyle name="Обычный 6 7 2 3 2 3 2 3" xfId="22721"/>
    <cellStyle name="Обычный 6 7 2 3 2 3 2 3 2" xfId="22722"/>
    <cellStyle name="Обычный 6 7 2 3 2 3 2 3 3" xfId="22723"/>
    <cellStyle name="Обычный 6 7 2 3 2 3 2 4" xfId="22724"/>
    <cellStyle name="Обычный 6 7 2 3 2 3 2 4 2" xfId="22725"/>
    <cellStyle name="Обычный 6 7 2 3 2 3 2 5" xfId="22726"/>
    <cellStyle name="Обычный 6 7 2 3 2 3 2 6" xfId="22727"/>
    <cellStyle name="Обычный 6 7 2 3 2 3 3" xfId="22728"/>
    <cellStyle name="Обычный 6 7 2 3 2 3 3 2" xfId="22729"/>
    <cellStyle name="Обычный 6 7 2 3 2 3 3 3" xfId="22730"/>
    <cellStyle name="Обычный 6 7 2 3 2 3 4" xfId="22731"/>
    <cellStyle name="Обычный 6 7 2 3 2 3 4 2" xfId="22732"/>
    <cellStyle name="Обычный 6 7 2 3 2 3 4 3" xfId="22733"/>
    <cellStyle name="Обычный 6 7 2 3 2 3 5" xfId="22734"/>
    <cellStyle name="Обычный 6 7 2 3 2 3 5 2" xfId="22735"/>
    <cellStyle name="Обычный 6 7 2 3 2 3 6" xfId="22736"/>
    <cellStyle name="Обычный 6 7 2 3 2 3 7" xfId="22737"/>
    <cellStyle name="Обычный 6 7 2 3 2 4" xfId="22738"/>
    <cellStyle name="Обычный 6 7 2 3 2 4 2" xfId="22739"/>
    <cellStyle name="Обычный 6 7 2 3 2 4 2 2" xfId="22740"/>
    <cellStyle name="Обычный 6 7 2 3 2 4 2 3" xfId="22741"/>
    <cellStyle name="Обычный 6 7 2 3 2 4 3" xfId="22742"/>
    <cellStyle name="Обычный 6 7 2 3 2 4 3 2" xfId="22743"/>
    <cellStyle name="Обычный 6 7 2 3 2 4 3 3" xfId="22744"/>
    <cellStyle name="Обычный 6 7 2 3 2 4 4" xfId="22745"/>
    <cellStyle name="Обычный 6 7 2 3 2 4 4 2" xfId="22746"/>
    <cellStyle name="Обычный 6 7 2 3 2 4 5" xfId="22747"/>
    <cellStyle name="Обычный 6 7 2 3 2 4 6" xfId="22748"/>
    <cellStyle name="Обычный 6 7 2 3 2 5" xfId="22749"/>
    <cellStyle name="Обычный 6 7 2 3 2 5 2" xfId="22750"/>
    <cellStyle name="Обычный 6 7 2 3 2 5 3" xfId="22751"/>
    <cellStyle name="Обычный 6 7 2 3 2 6" xfId="22752"/>
    <cellStyle name="Обычный 6 7 2 3 2 6 2" xfId="22753"/>
    <cellStyle name="Обычный 6 7 2 3 2 6 3" xfId="22754"/>
    <cellStyle name="Обычный 6 7 2 3 2 7" xfId="22755"/>
    <cellStyle name="Обычный 6 7 2 3 2 7 2" xfId="22756"/>
    <cellStyle name="Обычный 6 7 2 3 2 8" xfId="22757"/>
    <cellStyle name="Обычный 6 7 2 3 2 9" xfId="22758"/>
    <cellStyle name="Обычный 6 7 2 3 3" xfId="22759"/>
    <cellStyle name="Обычный 6 7 2 3 3 2" xfId="22760"/>
    <cellStyle name="Обычный 6 7 2 3 3 2 2" xfId="22761"/>
    <cellStyle name="Обычный 6 7 2 3 3 2 2 2" xfId="22762"/>
    <cellStyle name="Обычный 6 7 2 3 3 2 2 2 2" xfId="22763"/>
    <cellStyle name="Обычный 6 7 2 3 3 2 2 2 3" xfId="22764"/>
    <cellStyle name="Обычный 6 7 2 3 3 2 2 3" xfId="22765"/>
    <cellStyle name="Обычный 6 7 2 3 3 2 2 3 2" xfId="22766"/>
    <cellStyle name="Обычный 6 7 2 3 3 2 2 3 3" xfId="22767"/>
    <cellStyle name="Обычный 6 7 2 3 3 2 2 4" xfId="22768"/>
    <cellStyle name="Обычный 6 7 2 3 3 2 2 4 2" xfId="22769"/>
    <cellStyle name="Обычный 6 7 2 3 3 2 2 5" xfId="22770"/>
    <cellStyle name="Обычный 6 7 2 3 3 2 2 6" xfId="22771"/>
    <cellStyle name="Обычный 6 7 2 3 3 2 3" xfId="22772"/>
    <cellStyle name="Обычный 6 7 2 3 3 2 3 2" xfId="22773"/>
    <cellStyle name="Обычный 6 7 2 3 3 2 3 3" xfId="22774"/>
    <cellStyle name="Обычный 6 7 2 3 3 2 4" xfId="22775"/>
    <cellStyle name="Обычный 6 7 2 3 3 2 4 2" xfId="22776"/>
    <cellStyle name="Обычный 6 7 2 3 3 2 4 3" xfId="22777"/>
    <cellStyle name="Обычный 6 7 2 3 3 2 5" xfId="22778"/>
    <cellStyle name="Обычный 6 7 2 3 3 2 5 2" xfId="22779"/>
    <cellStyle name="Обычный 6 7 2 3 3 2 6" xfId="22780"/>
    <cellStyle name="Обычный 6 7 2 3 3 2 7" xfId="22781"/>
    <cellStyle name="Обычный 6 7 2 3 3 3" xfId="22782"/>
    <cellStyle name="Обычный 6 7 2 3 3 3 2" xfId="22783"/>
    <cellStyle name="Обычный 6 7 2 3 3 3 2 2" xfId="22784"/>
    <cellStyle name="Обычный 6 7 2 3 3 3 2 3" xfId="22785"/>
    <cellStyle name="Обычный 6 7 2 3 3 3 3" xfId="22786"/>
    <cellStyle name="Обычный 6 7 2 3 3 3 3 2" xfId="22787"/>
    <cellStyle name="Обычный 6 7 2 3 3 3 3 3" xfId="22788"/>
    <cellStyle name="Обычный 6 7 2 3 3 3 4" xfId="22789"/>
    <cellStyle name="Обычный 6 7 2 3 3 3 4 2" xfId="22790"/>
    <cellStyle name="Обычный 6 7 2 3 3 3 5" xfId="22791"/>
    <cellStyle name="Обычный 6 7 2 3 3 3 6" xfId="22792"/>
    <cellStyle name="Обычный 6 7 2 3 3 4" xfId="22793"/>
    <cellStyle name="Обычный 6 7 2 3 3 4 2" xfId="22794"/>
    <cellStyle name="Обычный 6 7 2 3 3 4 3" xfId="22795"/>
    <cellStyle name="Обычный 6 7 2 3 3 5" xfId="22796"/>
    <cellStyle name="Обычный 6 7 2 3 3 5 2" xfId="22797"/>
    <cellStyle name="Обычный 6 7 2 3 3 5 3" xfId="22798"/>
    <cellStyle name="Обычный 6 7 2 3 3 6" xfId="22799"/>
    <cellStyle name="Обычный 6 7 2 3 3 6 2" xfId="22800"/>
    <cellStyle name="Обычный 6 7 2 3 3 7" xfId="22801"/>
    <cellStyle name="Обычный 6 7 2 3 3 8" xfId="22802"/>
    <cellStyle name="Обычный 6 7 2 3 4" xfId="22803"/>
    <cellStyle name="Обычный 6 7 2 3 4 2" xfId="22804"/>
    <cellStyle name="Обычный 6 7 2 3 4 2 2" xfId="22805"/>
    <cellStyle name="Обычный 6 7 2 3 4 2 2 2" xfId="22806"/>
    <cellStyle name="Обычный 6 7 2 3 4 2 2 3" xfId="22807"/>
    <cellStyle name="Обычный 6 7 2 3 4 2 3" xfId="22808"/>
    <cellStyle name="Обычный 6 7 2 3 4 2 3 2" xfId="22809"/>
    <cellStyle name="Обычный 6 7 2 3 4 2 3 3" xfId="22810"/>
    <cellStyle name="Обычный 6 7 2 3 4 2 4" xfId="22811"/>
    <cellStyle name="Обычный 6 7 2 3 4 2 4 2" xfId="22812"/>
    <cellStyle name="Обычный 6 7 2 3 4 2 5" xfId="22813"/>
    <cellStyle name="Обычный 6 7 2 3 4 2 6" xfId="22814"/>
    <cellStyle name="Обычный 6 7 2 3 4 3" xfId="22815"/>
    <cellStyle name="Обычный 6 7 2 3 4 3 2" xfId="22816"/>
    <cellStyle name="Обычный 6 7 2 3 4 3 3" xfId="22817"/>
    <cellStyle name="Обычный 6 7 2 3 4 4" xfId="22818"/>
    <cellStyle name="Обычный 6 7 2 3 4 4 2" xfId="22819"/>
    <cellStyle name="Обычный 6 7 2 3 4 4 3" xfId="22820"/>
    <cellStyle name="Обычный 6 7 2 3 4 5" xfId="22821"/>
    <cellStyle name="Обычный 6 7 2 3 4 5 2" xfId="22822"/>
    <cellStyle name="Обычный 6 7 2 3 4 6" xfId="22823"/>
    <cellStyle name="Обычный 6 7 2 3 4 7" xfId="22824"/>
    <cellStyle name="Обычный 6 7 2 3 5" xfId="22825"/>
    <cellStyle name="Обычный 6 7 2 3 5 2" xfId="22826"/>
    <cellStyle name="Обычный 6 7 2 3 5 2 2" xfId="22827"/>
    <cellStyle name="Обычный 6 7 2 3 5 2 3" xfId="22828"/>
    <cellStyle name="Обычный 6 7 2 3 5 3" xfId="22829"/>
    <cellStyle name="Обычный 6 7 2 3 5 3 2" xfId="22830"/>
    <cellStyle name="Обычный 6 7 2 3 5 3 3" xfId="22831"/>
    <cellStyle name="Обычный 6 7 2 3 5 4" xfId="22832"/>
    <cellStyle name="Обычный 6 7 2 3 5 4 2" xfId="22833"/>
    <cellStyle name="Обычный 6 7 2 3 5 5" xfId="22834"/>
    <cellStyle name="Обычный 6 7 2 3 5 6" xfId="22835"/>
    <cellStyle name="Обычный 6 7 2 3 6" xfId="22836"/>
    <cellStyle name="Обычный 6 7 2 3 6 2" xfId="22837"/>
    <cellStyle name="Обычный 6 7 2 3 6 3" xfId="22838"/>
    <cellStyle name="Обычный 6 7 2 3 7" xfId="22839"/>
    <cellStyle name="Обычный 6 7 2 3 7 2" xfId="22840"/>
    <cellStyle name="Обычный 6 7 2 3 7 3" xfId="22841"/>
    <cellStyle name="Обычный 6 7 2 3 8" xfId="22842"/>
    <cellStyle name="Обычный 6 7 2 3 8 2" xfId="22843"/>
    <cellStyle name="Обычный 6 7 2 3 9" xfId="22844"/>
    <cellStyle name="Обычный 6 7 2 4" xfId="22845"/>
    <cellStyle name="Обычный 6 7 2 4 10" xfId="22846"/>
    <cellStyle name="Обычный 6 7 2 4 2" xfId="22847"/>
    <cellStyle name="Обычный 6 7 2 4 2 2" xfId="22848"/>
    <cellStyle name="Обычный 6 7 2 4 2 2 2" xfId="22849"/>
    <cellStyle name="Обычный 6 7 2 4 2 2 2 2" xfId="22850"/>
    <cellStyle name="Обычный 6 7 2 4 2 2 2 2 2" xfId="22851"/>
    <cellStyle name="Обычный 6 7 2 4 2 2 2 2 2 2" xfId="22852"/>
    <cellStyle name="Обычный 6 7 2 4 2 2 2 2 2 3" xfId="22853"/>
    <cellStyle name="Обычный 6 7 2 4 2 2 2 2 3" xfId="22854"/>
    <cellStyle name="Обычный 6 7 2 4 2 2 2 2 3 2" xfId="22855"/>
    <cellStyle name="Обычный 6 7 2 4 2 2 2 2 3 3" xfId="22856"/>
    <cellStyle name="Обычный 6 7 2 4 2 2 2 2 4" xfId="22857"/>
    <cellStyle name="Обычный 6 7 2 4 2 2 2 2 4 2" xfId="22858"/>
    <cellStyle name="Обычный 6 7 2 4 2 2 2 2 5" xfId="22859"/>
    <cellStyle name="Обычный 6 7 2 4 2 2 2 2 6" xfId="22860"/>
    <cellStyle name="Обычный 6 7 2 4 2 2 2 3" xfId="22861"/>
    <cellStyle name="Обычный 6 7 2 4 2 2 2 3 2" xfId="22862"/>
    <cellStyle name="Обычный 6 7 2 4 2 2 2 3 3" xfId="22863"/>
    <cellStyle name="Обычный 6 7 2 4 2 2 2 4" xfId="22864"/>
    <cellStyle name="Обычный 6 7 2 4 2 2 2 4 2" xfId="22865"/>
    <cellStyle name="Обычный 6 7 2 4 2 2 2 4 3" xfId="22866"/>
    <cellStyle name="Обычный 6 7 2 4 2 2 2 5" xfId="22867"/>
    <cellStyle name="Обычный 6 7 2 4 2 2 2 5 2" xfId="22868"/>
    <cellStyle name="Обычный 6 7 2 4 2 2 2 6" xfId="22869"/>
    <cellStyle name="Обычный 6 7 2 4 2 2 2 7" xfId="22870"/>
    <cellStyle name="Обычный 6 7 2 4 2 2 3" xfId="22871"/>
    <cellStyle name="Обычный 6 7 2 4 2 2 3 2" xfId="22872"/>
    <cellStyle name="Обычный 6 7 2 4 2 2 3 2 2" xfId="22873"/>
    <cellStyle name="Обычный 6 7 2 4 2 2 3 2 3" xfId="22874"/>
    <cellStyle name="Обычный 6 7 2 4 2 2 3 3" xfId="22875"/>
    <cellStyle name="Обычный 6 7 2 4 2 2 3 3 2" xfId="22876"/>
    <cellStyle name="Обычный 6 7 2 4 2 2 3 3 3" xfId="22877"/>
    <cellStyle name="Обычный 6 7 2 4 2 2 3 4" xfId="22878"/>
    <cellStyle name="Обычный 6 7 2 4 2 2 3 4 2" xfId="22879"/>
    <cellStyle name="Обычный 6 7 2 4 2 2 3 5" xfId="22880"/>
    <cellStyle name="Обычный 6 7 2 4 2 2 3 6" xfId="22881"/>
    <cellStyle name="Обычный 6 7 2 4 2 2 4" xfId="22882"/>
    <cellStyle name="Обычный 6 7 2 4 2 2 4 2" xfId="22883"/>
    <cellStyle name="Обычный 6 7 2 4 2 2 4 3" xfId="22884"/>
    <cellStyle name="Обычный 6 7 2 4 2 2 5" xfId="22885"/>
    <cellStyle name="Обычный 6 7 2 4 2 2 5 2" xfId="22886"/>
    <cellStyle name="Обычный 6 7 2 4 2 2 5 3" xfId="22887"/>
    <cellStyle name="Обычный 6 7 2 4 2 2 6" xfId="22888"/>
    <cellStyle name="Обычный 6 7 2 4 2 2 6 2" xfId="22889"/>
    <cellStyle name="Обычный 6 7 2 4 2 2 7" xfId="22890"/>
    <cellStyle name="Обычный 6 7 2 4 2 2 8" xfId="22891"/>
    <cellStyle name="Обычный 6 7 2 4 2 3" xfId="22892"/>
    <cellStyle name="Обычный 6 7 2 4 2 3 2" xfId="22893"/>
    <cellStyle name="Обычный 6 7 2 4 2 3 2 2" xfId="22894"/>
    <cellStyle name="Обычный 6 7 2 4 2 3 2 2 2" xfId="22895"/>
    <cellStyle name="Обычный 6 7 2 4 2 3 2 2 3" xfId="22896"/>
    <cellStyle name="Обычный 6 7 2 4 2 3 2 3" xfId="22897"/>
    <cellStyle name="Обычный 6 7 2 4 2 3 2 3 2" xfId="22898"/>
    <cellStyle name="Обычный 6 7 2 4 2 3 2 3 3" xfId="22899"/>
    <cellStyle name="Обычный 6 7 2 4 2 3 2 4" xfId="22900"/>
    <cellStyle name="Обычный 6 7 2 4 2 3 2 4 2" xfId="22901"/>
    <cellStyle name="Обычный 6 7 2 4 2 3 2 5" xfId="22902"/>
    <cellStyle name="Обычный 6 7 2 4 2 3 2 6" xfId="22903"/>
    <cellStyle name="Обычный 6 7 2 4 2 3 3" xfId="22904"/>
    <cellStyle name="Обычный 6 7 2 4 2 3 3 2" xfId="22905"/>
    <cellStyle name="Обычный 6 7 2 4 2 3 3 3" xfId="22906"/>
    <cellStyle name="Обычный 6 7 2 4 2 3 4" xfId="22907"/>
    <cellStyle name="Обычный 6 7 2 4 2 3 4 2" xfId="22908"/>
    <cellStyle name="Обычный 6 7 2 4 2 3 4 3" xfId="22909"/>
    <cellStyle name="Обычный 6 7 2 4 2 3 5" xfId="22910"/>
    <cellStyle name="Обычный 6 7 2 4 2 3 5 2" xfId="22911"/>
    <cellStyle name="Обычный 6 7 2 4 2 3 6" xfId="22912"/>
    <cellStyle name="Обычный 6 7 2 4 2 3 7" xfId="22913"/>
    <cellStyle name="Обычный 6 7 2 4 2 4" xfId="22914"/>
    <cellStyle name="Обычный 6 7 2 4 2 4 2" xfId="22915"/>
    <cellStyle name="Обычный 6 7 2 4 2 4 2 2" xfId="22916"/>
    <cellStyle name="Обычный 6 7 2 4 2 4 2 3" xfId="22917"/>
    <cellStyle name="Обычный 6 7 2 4 2 4 3" xfId="22918"/>
    <cellStyle name="Обычный 6 7 2 4 2 4 3 2" xfId="22919"/>
    <cellStyle name="Обычный 6 7 2 4 2 4 3 3" xfId="22920"/>
    <cellStyle name="Обычный 6 7 2 4 2 4 4" xfId="22921"/>
    <cellStyle name="Обычный 6 7 2 4 2 4 4 2" xfId="22922"/>
    <cellStyle name="Обычный 6 7 2 4 2 4 5" xfId="22923"/>
    <cellStyle name="Обычный 6 7 2 4 2 4 6" xfId="22924"/>
    <cellStyle name="Обычный 6 7 2 4 2 5" xfId="22925"/>
    <cellStyle name="Обычный 6 7 2 4 2 5 2" xfId="22926"/>
    <cellStyle name="Обычный 6 7 2 4 2 5 3" xfId="22927"/>
    <cellStyle name="Обычный 6 7 2 4 2 6" xfId="22928"/>
    <cellStyle name="Обычный 6 7 2 4 2 6 2" xfId="22929"/>
    <cellStyle name="Обычный 6 7 2 4 2 6 3" xfId="22930"/>
    <cellStyle name="Обычный 6 7 2 4 2 7" xfId="22931"/>
    <cellStyle name="Обычный 6 7 2 4 2 7 2" xfId="22932"/>
    <cellStyle name="Обычный 6 7 2 4 2 8" xfId="22933"/>
    <cellStyle name="Обычный 6 7 2 4 2 9" xfId="22934"/>
    <cellStyle name="Обычный 6 7 2 4 3" xfId="22935"/>
    <cellStyle name="Обычный 6 7 2 4 3 2" xfId="22936"/>
    <cellStyle name="Обычный 6 7 2 4 3 2 2" xfId="22937"/>
    <cellStyle name="Обычный 6 7 2 4 3 2 2 2" xfId="22938"/>
    <cellStyle name="Обычный 6 7 2 4 3 2 2 2 2" xfId="22939"/>
    <cellStyle name="Обычный 6 7 2 4 3 2 2 2 3" xfId="22940"/>
    <cellStyle name="Обычный 6 7 2 4 3 2 2 3" xfId="22941"/>
    <cellStyle name="Обычный 6 7 2 4 3 2 2 3 2" xfId="22942"/>
    <cellStyle name="Обычный 6 7 2 4 3 2 2 3 3" xfId="22943"/>
    <cellStyle name="Обычный 6 7 2 4 3 2 2 4" xfId="22944"/>
    <cellStyle name="Обычный 6 7 2 4 3 2 2 4 2" xfId="22945"/>
    <cellStyle name="Обычный 6 7 2 4 3 2 2 5" xfId="22946"/>
    <cellStyle name="Обычный 6 7 2 4 3 2 2 6" xfId="22947"/>
    <cellStyle name="Обычный 6 7 2 4 3 2 3" xfId="22948"/>
    <cellStyle name="Обычный 6 7 2 4 3 2 3 2" xfId="22949"/>
    <cellStyle name="Обычный 6 7 2 4 3 2 3 3" xfId="22950"/>
    <cellStyle name="Обычный 6 7 2 4 3 2 4" xfId="22951"/>
    <cellStyle name="Обычный 6 7 2 4 3 2 4 2" xfId="22952"/>
    <cellStyle name="Обычный 6 7 2 4 3 2 4 3" xfId="22953"/>
    <cellStyle name="Обычный 6 7 2 4 3 2 5" xfId="22954"/>
    <cellStyle name="Обычный 6 7 2 4 3 2 5 2" xfId="22955"/>
    <cellStyle name="Обычный 6 7 2 4 3 2 6" xfId="22956"/>
    <cellStyle name="Обычный 6 7 2 4 3 2 7" xfId="22957"/>
    <cellStyle name="Обычный 6 7 2 4 3 3" xfId="22958"/>
    <cellStyle name="Обычный 6 7 2 4 3 3 2" xfId="22959"/>
    <cellStyle name="Обычный 6 7 2 4 3 3 2 2" xfId="22960"/>
    <cellStyle name="Обычный 6 7 2 4 3 3 2 3" xfId="22961"/>
    <cellStyle name="Обычный 6 7 2 4 3 3 3" xfId="22962"/>
    <cellStyle name="Обычный 6 7 2 4 3 3 3 2" xfId="22963"/>
    <cellStyle name="Обычный 6 7 2 4 3 3 3 3" xfId="22964"/>
    <cellStyle name="Обычный 6 7 2 4 3 3 4" xfId="22965"/>
    <cellStyle name="Обычный 6 7 2 4 3 3 4 2" xfId="22966"/>
    <cellStyle name="Обычный 6 7 2 4 3 3 5" xfId="22967"/>
    <cellStyle name="Обычный 6 7 2 4 3 3 6" xfId="22968"/>
    <cellStyle name="Обычный 6 7 2 4 3 4" xfId="22969"/>
    <cellStyle name="Обычный 6 7 2 4 3 4 2" xfId="22970"/>
    <cellStyle name="Обычный 6 7 2 4 3 4 3" xfId="22971"/>
    <cellStyle name="Обычный 6 7 2 4 3 5" xfId="22972"/>
    <cellStyle name="Обычный 6 7 2 4 3 5 2" xfId="22973"/>
    <cellStyle name="Обычный 6 7 2 4 3 5 3" xfId="22974"/>
    <cellStyle name="Обычный 6 7 2 4 3 6" xfId="22975"/>
    <cellStyle name="Обычный 6 7 2 4 3 6 2" xfId="22976"/>
    <cellStyle name="Обычный 6 7 2 4 3 7" xfId="22977"/>
    <cellStyle name="Обычный 6 7 2 4 3 8" xfId="22978"/>
    <cellStyle name="Обычный 6 7 2 4 4" xfId="22979"/>
    <cellStyle name="Обычный 6 7 2 4 4 2" xfId="22980"/>
    <cellStyle name="Обычный 6 7 2 4 4 2 2" xfId="22981"/>
    <cellStyle name="Обычный 6 7 2 4 4 2 2 2" xfId="22982"/>
    <cellStyle name="Обычный 6 7 2 4 4 2 2 3" xfId="22983"/>
    <cellStyle name="Обычный 6 7 2 4 4 2 3" xfId="22984"/>
    <cellStyle name="Обычный 6 7 2 4 4 2 3 2" xfId="22985"/>
    <cellStyle name="Обычный 6 7 2 4 4 2 3 3" xfId="22986"/>
    <cellStyle name="Обычный 6 7 2 4 4 2 4" xfId="22987"/>
    <cellStyle name="Обычный 6 7 2 4 4 2 4 2" xfId="22988"/>
    <cellStyle name="Обычный 6 7 2 4 4 2 5" xfId="22989"/>
    <cellStyle name="Обычный 6 7 2 4 4 2 6" xfId="22990"/>
    <cellStyle name="Обычный 6 7 2 4 4 3" xfId="22991"/>
    <cellStyle name="Обычный 6 7 2 4 4 3 2" xfId="22992"/>
    <cellStyle name="Обычный 6 7 2 4 4 3 3" xfId="22993"/>
    <cellStyle name="Обычный 6 7 2 4 4 4" xfId="22994"/>
    <cellStyle name="Обычный 6 7 2 4 4 4 2" xfId="22995"/>
    <cellStyle name="Обычный 6 7 2 4 4 4 3" xfId="22996"/>
    <cellStyle name="Обычный 6 7 2 4 4 5" xfId="22997"/>
    <cellStyle name="Обычный 6 7 2 4 4 5 2" xfId="22998"/>
    <cellStyle name="Обычный 6 7 2 4 4 6" xfId="22999"/>
    <cellStyle name="Обычный 6 7 2 4 4 7" xfId="23000"/>
    <cellStyle name="Обычный 6 7 2 4 5" xfId="23001"/>
    <cellStyle name="Обычный 6 7 2 4 5 2" xfId="23002"/>
    <cellStyle name="Обычный 6 7 2 4 5 2 2" xfId="23003"/>
    <cellStyle name="Обычный 6 7 2 4 5 2 3" xfId="23004"/>
    <cellStyle name="Обычный 6 7 2 4 5 3" xfId="23005"/>
    <cellStyle name="Обычный 6 7 2 4 5 3 2" xfId="23006"/>
    <cellStyle name="Обычный 6 7 2 4 5 3 3" xfId="23007"/>
    <cellStyle name="Обычный 6 7 2 4 5 4" xfId="23008"/>
    <cellStyle name="Обычный 6 7 2 4 5 4 2" xfId="23009"/>
    <cellStyle name="Обычный 6 7 2 4 5 5" xfId="23010"/>
    <cellStyle name="Обычный 6 7 2 4 5 6" xfId="23011"/>
    <cellStyle name="Обычный 6 7 2 4 6" xfId="23012"/>
    <cellStyle name="Обычный 6 7 2 4 6 2" xfId="23013"/>
    <cellStyle name="Обычный 6 7 2 4 6 3" xfId="23014"/>
    <cellStyle name="Обычный 6 7 2 4 7" xfId="23015"/>
    <cellStyle name="Обычный 6 7 2 4 7 2" xfId="23016"/>
    <cellStyle name="Обычный 6 7 2 4 7 3" xfId="23017"/>
    <cellStyle name="Обычный 6 7 2 4 8" xfId="23018"/>
    <cellStyle name="Обычный 6 7 2 4 8 2" xfId="23019"/>
    <cellStyle name="Обычный 6 7 2 4 9" xfId="23020"/>
    <cellStyle name="Обычный 6 7 2 5" xfId="23021"/>
    <cellStyle name="Обычный 6 7 2 5 2" xfId="23022"/>
    <cellStyle name="Обычный 6 7 2 5 2 2" xfId="23023"/>
    <cellStyle name="Обычный 6 7 2 5 2 2 2" xfId="23024"/>
    <cellStyle name="Обычный 6 7 2 5 2 2 2 2" xfId="23025"/>
    <cellStyle name="Обычный 6 7 2 5 2 2 2 2 2" xfId="23026"/>
    <cellStyle name="Обычный 6 7 2 5 2 2 2 2 3" xfId="23027"/>
    <cellStyle name="Обычный 6 7 2 5 2 2 2 3" xfId="23028"/>
    <cellStyle name="Обычный 6 7 2 5 2 2 2 3 2" xfId="23029"/>
    <cellStyle name="Обычный 6 7 2 5 2 2 2 3 3" xfId="23030"/>
    <cellStyle name="Обычный 6 7 2 5 2 2 2 4" xfId="23031"/>
    <cellStyle name="Обычный 6 7 2 5 2 2 2 4 2" xfId="23032"/>
    <cellStyle name="Обычный 6 7 2 5 2 2 2 5" xfId="23033"/>
    <cellStyle name="Обычный 6 7 2 5 2 2 2 6" xfId="23034"/>
    <cellStyle name="Обычный 6 7 2 5 2 2 3" xfId="23035"/>
    <cellStyle name="Обычный 6 7 2 5 2 2 3 2" xfId="23036"/>
    <cellStyle name="Обычный 6 7 2 5 2 2 3 3" xfId="23037"/>
    <cellStyle name="Обычный 6 7 2 5 2 2 4" xfId="23038"/>
    <cellStyle name="Обычный 6 7 2 5 2 2 4 2" xfId="23039"/>
    <cellStyle name="Обычный 6 7 2 5 2 2 4 3" xfId="23040"/>
    <cellStyle name="Обычный 6 7 2 5 2 2 5" xfId="23041"/>
    <cellStyle name="Обычный 6 7 2 5 2 2 5 2" xfId="23042"/>
    <cellStyle name="Обычный 6 7 2 5 2 2 6" xfId="23043"/>
    <cellStyle name="Обычный 6 7 2 5 2 2 7" xfId="23044"/>
    <cellStyle name="Обычный 6 7 2 5 2 3" xfId="23045"/>
    <cellStyle name="Обычный 6 7 2 5 2 3 2" xfId="23046"/>
    <cellStyle name="Обычный 6 7 2 5 2 3 2 2" xfId="23047"/>
    <cellStyle name="Обычный 6 7 2 5 2 3 2 3" xfId="23048"/>
    <cellStyle name="Обычный 6 7 2 5 2 3 3" xfId="23049"/>
    <cellStyle name="Обычный 6 7 2 5 2 3 3 2" xfId="23050"/>
    <cellStyle name="Обычный 6 7 2 5 2 3 3 3" xfId="23051"/>
    <cellStyle name="Обычный 6 7 2 5 2 3 4" xfId="23052"/>
    <cellStyle name="Обычный 6 7 2 5 2 3 4 2" xfId="23053"/>
    <cellStyle name="Обычный 6 7 2 5 2 3 5" xfId="23054"/>
    <cellStyle name="Обычный 6 7 2 5 2 3 6" xfId="23055"/>
    <cellStyle name="Обычный 6 7 2 5 2 4" xfId="23056"/>
    <cellStyle name="Обычный 6 7 2 5 2 4 2" xfId="23057"/>
    <cellStyle name="Обычный 6 7 2 5 2 4 3" xfId="23058"/>
    <cellStyle name="Обычный 6 7 2 5 2 5" xfId="23059"/>
    <cellStyle name="Обычный 6 7 2 5 2 5 2" xfId="23060"/>
    <cellStyle name="Обычный 6 7 2 5 2 5 3" xfId="23061"/>
    <cellStyle name="Обычный 6 7 2 5 2 6" xfId="23062"/>
    <cellStyle name="Обычный 6 7 2 5 2 6 2" xfId="23063"/>
    <cellStyle name="Обычный 6 7 2 5 2 7" xfId="23064"/>
    <cellStyle name="Обычный 6 7 2 5 2 8" xfId="23065"/>
    <cellStyle name="Обычный 6 7 2 5 3" xfId="23066"/>
    <cellStyle name="Обычный 6 7 2 5 3 2" xfId="23067"/>
    <cellStyle name="Обычный 6 7 2 5 3 2 2" xfId="23068"/>
    <cellStyle name="Обычный 6 7 2 5 3 2 2 2" xfId="23069"/>
    <cellStyle name="Обычный 6 7 2 5 3 2 2 3" xfId="23070"/>
    <cellStyle name="Обычный 6 7 2 5 3 2 3" xfId="23071"/>
    <cellStyle name="Обычный 6 7 2 5 3 2 3 2" xfId="23072"/>
    <cellStyle name="Обычный 6 7 2 5 3 2 3 3" xfId="23073"/>
    <cellStyle name="Обычный 6 7 2 5 3 2 4" xfId="23074"/>
    <cellStyle name="Обычный 6 7 2 5 3 2 4 2" xfId="23075"/>
    <cellStyle name="Обычный 6 7 2 5 3 2 5" xfId="23076"/>
    <cellStyle name="Обычный 6 7 2 5 3 2 6" xfId="23077"/>
    <cellStyle name="Обычный 6 7 2 5 3 3" xfId="23078"/>
    <cellStyle name="Обычный 6 7 2 5 3 3 2" xfId="23079"/>
    <cellStyle name="Обычный 6 7 2 5 3 3 3" xfId="23080"/>
    <cellStyle name="Обычный 6 7 2 5 3 4" xfId="23081"/>
    <cellStyle name="Обычный 6 7 2 5 3 4 2" xfId="23082"/>
    <cellStyle name="Обычный 6 7 2 5 3 4 3" xfId="23083"/>
    <cellStyle name="Обычный 6 7 2 5 3 5" xfId="23084"/>
    <cellStyle name="Обычный 6 7 2 5 3 5 2" xfId="23085"/>
    <cellStyle name="Обычный 6 7 2 5 3 6" xfId="23086"/>
    <cellStyle name="Обычный 6 7 2 5 3 7" xfId="23087"/>
    <cellStyle name="Обычный 6 7 2 5 4" xfId="23088"/>
    <cellStyle name="Обычный 6 7 2 5 4 2" xfId="23089"/>
    <cellStyle name="Обычный 6 7 2 5 4 2 2" xfId="23090"/>
    <cellStyle name="Обычный 6 7 2 5 4 2 3" xfId="23091"/>
    <cellStyle name="Обычный 6 7 2 5 4 3" xfId="23092"/>
    <cellStyle name="Обычный 6 7 2 5 4 3 2" xfId="23093"/>
    <cellStyle name="Обычный 6 7 2 5 4 3 3" xfId="23094"/>
    <cellStyle name="Обычный 6 7 2 5 4 4" xfId="23095"/>
    <cellStyle name="Обычный 6 7 2 5 4 4 2" xfId="23096"/>
    <cellStyle name="Обычный 6 7 2 5 4 5" xfId="23097"/>
    <cellStyle name="Обычный 6 7 2 5 4 6" xfId="23098"/>
    <cellStyle name="Обычный 6 7 2 5 5" xfId="23099"/>
    <cellStyle name="Обычный 6 7 2 5 5 2" xfId="23100"/>
    <cellStyle name="Обычный 6 7 2 5 5 3" xfId="23101"/>
    <cellStyle name="Обычный 6 7 2 5 6" xfId="23102"/>
    <cellStyle name="Обычный 6 7 2 5 6 2" xfId="23103"/>
    <cellStyle name="Обычный 6 7 2 5 6 3" xfId="23104"/>
    <cellStyle name="Обычный 6 7 2 5 7" xfId="23105"/>
    <cellStyle name="Обычный 6 7 2 5 7 2" xfId="23106"/>
    <cellStyle name="Обычный 6 7 2 5 8" xfId="23107"/>
    <cellStyle name="Обычный 6 7 2 5 9" xfId="23108"/>
    <cellStyle name="Обычный 6 7 2 6" xfId="23109"/>
    <cellStyle name="Обычный 6 7 2 6 2" xfId="23110"/>
    <cellStyle name="Обычный 6 7 2 6 2 2" xfId="23111"/>
    <cellStyle name="Обычный 6 7 2 6 2 2 2" xfId="23112"/>
    <cellStyle name="Обычный 6 7 2 6 2 2 2 2" xfId="23113"/>
    <cellStyle name="Обычный 6 7 2 6 2 2 2 3" xfId="23114"/>
    <cellStyle name="Обычный 6 7 2 6 2 2 3" xfId="23115"/>
    <cellStyle name="Обычный 6 7 2 6 2 2 3 2" xfId="23116"/>
    <cellStyle name="Обычный 6 7 2 6 2 2 3 3" xfId="23117"/>
    <cellStyle name="Обычный 6 7 2 6 2 2 4" xfId="23118"/>
    <cellStyle name="Обычный 6 7 2 6 2 2 4 2" xfId="23119"/>
    <cellStyle name="Обычный 6 7 2 6 2 2 5" xfId="23120"/>
    <cellStyle name="Обычный 6 7 2 6 2 2 6" xfId="23121"/>
    <cellStyle name="Обычный 6 7 2 6 2 3" xfId="23122"/>
    <cellStyle name="Обычный 6 7 2 6 2 3 2" xfId="23123"/>
    <cellStyle name="Обычный 6 7 2 6 2 3 3" xfId="23124"/>
    <cellStyle name="Обычный 6 7 2 6 2 4" xfId="23125"/>
    <cellStyle name="Обычный 6 7 2 6 2 4 2" xfId="23126"/>
    <cellStyle name="Обычный 6 7 2 6 2 4 3" xfId="23127"/>
    <cellStyle name="Обычный 6 7 2 6 2 5" xfId="23128"/>
    <cellStyle name="Обычный 6 7 2 6 2 5 2" xfId="23129"/>
    <cellStyle name="Обычный 6 7 2 6 2 6" xfId="23130"/>
    <cellStyle name="Обычный 6 7 2 6 2 7" xfId="23131"/>
    <cellStyle name="Обычный 6 7 2 6 3" xfId="23132"/>
    <cellStyle name="Обычный 6 7 2 6 3 2" xfId="23133"/>
    <cellStyle name="Обычный 6 7 2 6 3 2 2" xfId="23134"/>
    <cellStyle name="Обычный 6 7 2 6 3 2 3" xfId="23135"/>
    <cellStyle name="Обычный 6 7 2 6 3 3" xfId="23136"/>
    <cellStyle name="Обычный 6 7 2 6 3 3 2" xfId="23137"/>
    <cellStyle name="Обычный 6 7 2 6 3 3 3" xfId="23138"/>
    <cellStyle name="Обычный 6 7 2 6 3 4" xfId="23139"/>
    <cellStyle name="Обычный 6 7 2 6 3 4 2" xfId="23140"/>
    <cellStyle name="Обычный 6 7 2 6 3 5" xfId="23141"/>
    <cellStyle name="Обычный 6 7 2 6 3 6" xfId="23142"/>
    <cellStyle name="Обычный 6 7 2 6 4" xfId="23143"/>
    <cellStyle name="Обычный 6 7 2 6 4 2" xfId="23144"/>
    <cellStyle name="Обычный 6 7 2 6 4 3" xfId="23145"/>
    <cellStyle name="Обычный 6 7 2 6 5" xfId="23146"/>
    <cellStyle name="Обычный 6 7 2 6 5 2" xfId="23147"/>
    <cellStyle name="Обычный 6 7 2 6 5 3" xfId="23148"/>
    <cellStyle name="Обычный 6 7 2 6 6" xfId="23149"/>
    <cellStyle name="Обычный 6 7 2 6 6 2" xfId="23150"/>
    <cellStyle name="Обычный 6 7 2 6 7" xfId="23151"/>
    <cellStyle name="Обычный 6 7 2 6 8" xfId="23152"/>
    <cellStyle name="Обычный 6 7 2 7" xfId="23153"/>
    <cellStyle name="Обычный 6 7 2 7 2" xfId="23154"/>
    <cellStyle name="Обычный 6 7 2 7 2 2" xfId="23155"/>
    <cellStyle name="Обычный 6 7 2 7 2 2 2" xfId="23156"/>
    <cellStyle name="Обычный 6 7 2 7 2 2 3" xfId="23157"/>
    <cellStyle name="Обычный 6 7 2 7 2 3" xfId="23158"/>
    <cellStyle name="Обычный 6 7 2 7 2 3 2" xfId="23159"/>
    <cellStyle name="Обычный 6 7 2 7 2 3 3" xfId="23160"/>
    <cellStyle name="Обычный 6 7 2 7 2 4" xfId="23161"/>
    <cellStyle name="Обычный 6 7 2 7 2 4 2" xfId="23162"/>
    <cellStyle name="Обычный 6 7 2 7 2 5" xfId="23163"/>
    <cellStyle name="Обычный 6 7 2 7 2 6" xfId="23164"/>
    <cellStyle name="Обычный 6 7 2 7 3" xfId="23165"/>
    <cellStyle name="Обычный 6 7 2 7 3 2" xfId="23166"/>
    <cellStyle name="Обычный 6 7 2 7 3 3" xfId="23167"/>
    <cellStyle name="Обычный 6 7 2 7 4" xfId="23168"/>
    <cellStyle name="Обычный 6 7 2 7 4 2" xfId="23169"/>
    <cellStyle name="Обычный 6 7 2 7 4 3" xfId="23170"/>
    <cellStyle name="Обычный 6 7 2 7 5" xfId="23171"/>
    <cellStyle name="Обычный 6 7 2 7 5 2" xfId="23172"/>
    <cellStyle name="Обычный 6 7 2 7 6" xfId="23173"/>
    <cellStyle name="Обычный 6 7 2 7 7" xfId="23174"/>
    <cellStyle name="Обычный 6 7 2 8" xfId="23175"/>
    <cellStyle name="Обычный 6 7 2 8 2" xfId="23176"/>
    <cellStyle name="Обычный 6 7 2 8 2 2" xfId="23177"/>
    <cellStyle name="Обычный 6 7 2 8 2 3" xfId="23178"/>
    <cellStyle name="Обычный 6 7 2 8 3" xfId="23179"/>
    <cellStyle name="Обычный 6 7 2 8 3 2" xfId="23180"/>
    <cellStyle name="Обычный 6 7 2 8 3 3" xfId="23181"/>
    <cellStyle name="Обычный 6 7 2 8 4" xfId="23182"/>
    <cellStyle name="Обычный 6 7 2 8 4 2" xfId="23183"/>
    <cellStyle name="Обычный 6 7 2 8 5" xfId="23184"/>
    <cellStyle name="Обычный 6 7 2 8 6" xfId="23185"/>
    <cellStyle name="Обычный 6 7 2 9" xfId="23186"/>
    <cellStyle name="Обычный 6 7 2 9 2" xfId="23187"/>
    <cellStyle name="Обычный 6 7 2 9 3" xfId="23188"/>
    <cellStyle name="Обычный 6 7 3" xfId="23189"/>
    <cellStyle name="Обычный 6 7 3 10" xfId="23190"/>
    <cellStyle name="Обычный 6 7 3 2" xfId="23191"/>
    <cellStyle name="Обычный 6 7 3 2 2" xfId="23192"/>
    <cellStyle name="Обычный 6 7 3 2 2 2" xfId="23193"/>
    <cellStyle name="Обычный 6 7 3 2 2 2 2" xfId="23194"/>
    <cellStyle name="Обычный 6 7 3 2 2 2 2 2" xfId="23195"/>
    <cellStyle name="Обычный 6 7 3 2 2 2 2 2 2" xfId="23196"/>
    <cellStyle name="Обычный 6 7 3 2 2 2 2 2 3" xfId="23197"/>
    <cellStyle name="Обычный 6 7 3 2 2 2 2 3" xfId="23198"/>
    <cellStyle name="Обычный 6 7 3 2 2 2 2 3 2" xfId="23199"/>
    <cellStyle name="Обычный 6 7 3 2 2 2 2 3 3" xfId="23200"/>
    <cellStyle name="Обычный 6 7 3 2 2 2 2 4" xfId="23201"/>
    <cellStyle name="Обычный 6 7 3 2 2 2 2 4 2" xfId="23202"/>
    <cellStyle name="Обычный 6 7 3 2 2 2 2 5" xfId="23203"/>
    <cellStyle name="Обычный 6 7 3 2 2 2 2 6" xfId="23204"/>
    <cellStyle name="Обычный 6 7 3 2 2 2 3" xfId="23205"/>
    <cellStyle name="Обычный 6 7 3 2 2 2 3 2" xfId="23206"/>
    <cellStyle name="Обычный 6 7 3 2 2 2 3 3" xfId="23207"/>
    <cellStyle name="Обычный 6 7 3 2 2 2 4" xfId="23208"/>
    <cellStyle name="Обычный 6 7 3 2 2 2 4 2" xfId="23209"/>
    <cellStyle name="Обычный 6 7 3 2 2 2 4 3" xfId="23210"/>
    <cellStyle name="Обычный 6 7 3 2 2 2 5" xfId="23211"/>
    <cellStyle name="Обычный 6 7 3 2 2 2 5 2" xfId="23212"/>
    <cellStyle name="Обычный 6 7 3 2 2 2 6" xfId="23213"/>
    <cellStyle name="Обычный 6 7 3 2 2 2 7" xfId="23214"/>
    <cellStyle name="Обычный 6 7 3 2 2 3" xfId="23215"/>
    <cellStyle name="Обычный 6 7 3 2 2 3 2" xfId="23216"/>
    <cellStyle name="Обычный 6 7 3 2 2 3 2 2" xfId="23217"/>
    <cellStyle name="Обычный 6 7 3 2 2 3 2 3" xfId="23218"/>
    <cellStyle name="Обычный 6 7 3 2 2 3 3" xfId="23219"/>
    <cellStyle name="Обычный 6 7 3 2 2 3 3 2" xfId="23220"/>
    <cellStyle name="Обычный 6 7 3 2 2 3 3 3" xfId="23221"/>
    <cellStyle name="Обычный 6 7 3 2 2 3 4" xfId="23222"/>
    <cellStyle name="Обычный 6 7 3 2 2 3 4 2" xfId="23223"/>
    <cellStyle name="Обычный 6 7 3 2 2 3 5" xfId="23224"/>
    <cellStyle name="Обычный 6 7 3 2 2 3 6" xfId="23225"/>
    <cellStyle name="Обычный 6 7 3 2 2 4" xfId="23226"/>
    <cellStyle name="Обычный 6 7 3 2 2 4 2" xfId="23227"/>
    <cellStyle name="Обычный 6 7 3 2 2 4 3" xfId="23228"/>
    <cellStyle name="Обычный 6 7 3 2 2 5" xfId="23229"/>
    <cellStyle name="Обычный 6 7 3 2 2 5 2" xfId="23230"/>
    <cellStyle name="Обычный 6 7 3 2 2 5 3" xfId="23231"/>
    <cellStyle name="Обычный 6 7 3 2 2 6" xfId="23232"/>
    <cellStyle name="Обычный 6 7 3 2 2 6 2" xfId="23233"/>
    <cellStyle name="Обычный 6 7 3 2 2 7" xfId="23234"/>
    <cellStyle name="Обычный 6 7 3 2 2 8" xfId="23235"/>
    <cellStyle name="Обычный 6 7 3 2 3" xfId="23236"/>
    <cellStyle name="Обычный 6 7 3 2 3 2" xfId="23237"/>
    <cellStyle name="Обычный 6 7 3 2 3 2 2" xfId="23238"/>
    <cellStyle name="Обычный 6 7 3 2 3 2 2 2" xfId="23239"/>
    <cellStyle name="Обычный 6 7 3 2 3 2 2 3" xfId="23240"/>
    <cellStyle name="Обычный 6 7 3 2 3 2 3" xfId="23241"/>
    <cellStyle name="Обычный 6 7 3 2 3 2 3 2" xfId="23242"/>
    <cellStyle name="Обычный 6 7 3 2 3 2 3 3" xfId="23243"/>
    <cellStyle name="Обычный 6 7 3 2 3 2 4" xfId="23244"/>
    <cellStyle name="Обычный 6 7 3 2 3 2 4 2" xfId="23245"/>
    <cellStyle name="Обычный 6 7 3 2 3 2 5" xfId="23246"/>
    <cellStyle name="Обычный 6 7 3 2 3 2 6" xfId="23247"/>
    <cellStyle name="Обычный 6 7 3 2 3 3" xfId="23248"/>
    <cellStyle name="Обычный 6 7 3 2 3 3 2" xfId="23249"/>
    <cellStyle name="Обычный 6 7 3 2 3 3 3" xfId="23250"/>
    <cellStyle name="Обычный 6 7 3 2 3 4" xfId="23251"/>
    <cellStyle name="Обычный 6 7 3 2 3 4 2" xfId="23252"/>
    <cellStyle name="Обычный 6 7 3 2 3 4 3" xfId="23253"/>
    <cellStyle name="Обычный 6 7 3 2 3 5" xfId="23254"/>
    <cellStyle name="Обычный 6 7 3 2 3 5 2" xfId="23255"/>
    <cellStyle name="Обычный 6 7 3 2 3 6" xfId="23256"/>
    <cellStyle name="Обычный 6 7 3 2 3 7" xfId="23257"/>
    <cellStyle name="Обычный 6 7 3 2 4" xfId="23258"/>
    <cellStyle name="Обычный 6 7 3 2 4 2" xfId="23259"/>
    <cellStyle name="Обычный 6 7 3 2 4 2 2" xfId="23260"/>
    <cellStyle name="Обычный 6 7 3 2 4 2 3" xfId="23261"/>
    <cellStyle name="Обычный 6 7 3 2 4 3" xfId="23262"/>
    <cellStyle name="Обычный 6 7 3 2 4 3 2" xfId="23263"/>
    <cellStyle name="Обычный 6 7 3 2 4 3 3" xfId="23264"/>
    <cellStyle name="Обычный 6 7 3 2 4 4" xfId="23265"/>
    <cellStyle name="Обычный 6 7 3 2 4 4 2" xfId="23266"/>
    <cellStyle name="Обычный 6 7 3 2 4 5" xfId="23267"/>
    <cellStyle name="Обычный 6 7 3 2 4 6" xfId="23268"/>
    <cellStyle name="Обычный 6 7 3 2 5" xfId="23269"/>
    <cellStyle name="Обычный 6 7 3 2 5 2" xfId="23270"/>
    <cellStyle name="Обычный 6 7 3 2 5 3" xfId="23271"/>
    <cellStyle name="Обычный 6 7 3 2 6" xfId="23272"/>
    <cellStyle name="Обычный 6 7 3 2 6 2" xfId="23273"/>
    <cellStyle name="Обычный 6 7 3 2 6 3" xfId="23274"/>
    <cellStyle name="Обычный 6 7 3 2 7" xfId="23275"/>
    <cellStyle name="Обычный 6 7 3 2 7 2" xfId="23276"/>
    <cellStyle name="Обычный 6 7 3 2 8" xfId="23277"/>
    <cellStyle name="Обычный 6 7 3 2 9" xfId="23278"/>
    <cellStyle name="Обычный 6 7 3 3" xfId="23279"/>
    <cellStyle name="Обычный 6 7 3 3 2" xfId="23280"/>
    <cellStyle name="Обычный 6 7 3 3 2 2" xfId="23281"/>
    <cellStyle name="Обычный 6 7 3 3 2 2 2" xfId="23282"/>
    <cellStyle name="Обычный 6 7 3 3 2 2 2 2" xfId="23283"/>
    <cellStyle name="Обычный 6 7 3 3 2 2 2 3" xfId="23284"/>
    <cellStyle name="Обычный 6 7 3 3 2 2 3" xfId="23285"/>
    <cellStyle name="Обычный 6 7 3 3 2 2 3 2" xfId="23286"/>
    <cellStyle name="Обычный 6 7 3 3 2 2 3 3" xfId="23287"/>
    <cellStyle name="Обычный 6 7 3 3 2 2 4" xfId="23288"/>
    <cellStyle name="Обычный 6 7 3 3 2 2 4 2" xfId="23289"/>
    <cellStyle name="Обычный 6 7 3 3 2 2 5" xfId="23290"/>
    <cellStyle name="Обычный 6 7 3 3 2 2 6" xfId="23291"/>
    <cellStyle name="Обычный 6 7 3 3 2 3" xfId="23292"/>
    <cellStyle name="Обычный 6 7 3 3 2 3 2" xfId="23293"/>
    <cellStyle name="Обычный 6 7 3 3 2 3 3" xfId="23294"/>
    <cellStyle name="Обычный 6 7 3 3 2 4" xfId="23295"/>
    <cellStyle name="Обычный 6 7 3 3 2 4 2" xfId="23296"/>
    <cellStyle name="Обычный 6 7 3 3 2 4 3" xfId="23297"/>
    <cellStyle name="Обычный 6 7 3 3 2 5" xfId="23298"/>
    <cellStyle name="Обычный 6 7 3 3 2 5 2" xfId="23299"/>
    <cellStyle name="Обычный 6 7 3 3 2 6" xfId="23300"/>
    <cellStyle name="Обычный 6 7 3 3 2 7" xfId="23301"/>
    <cellStyle name="Обычный 6 7 3 3 3" xfId="23302"/>
    <cellStyle name="Обычный 6 7 3 3 3 2" xfId="23303"/>
    <cellStyle name="Обычный 6 7 3 3 3 2 2" xfId="23304"/>
    <cellStyle name="Обычный 6 7 3 3 3 2 3" xfId="23305"/>
    <cellStyle name="Обычный 6 7 3 3 3 3" xfId="23306"/>
    <cellStyle name="Обычный 6 7 3 3 3 3 2" xfId="23307"/>
    <cellStyle name="Обычный 6 7 3 3 3 3 3" xfId="23308"/>
    <cellStyle name="Обычный 6 7 3 3 3 4" xfId="23309"/>
    <cellStyle name="Обычный 6 7 3 3 3 4 2" xfId="23310"/>
    <cellStyle name="Обычный 6 7 3 3 3 5" xfId="23311"/>
    <cellStyle name="Обычный 6 7 3 3 3 6" xfId="23312"/>
    <cellStyle name="Обычный 6 7 3 3 4" xfId="23313"/>
    <cellStyle name="Обычный 6 7 3 3 4 2" xfId="23314"/>
    <cellStyle name="Обычный 6 7 3 3 4 3" xfId="23315"/>
    <cellStyle name="Обычный 6 7 3 3 5" xfId="23316"/>
    <cellStyle name="Обычный 6 7 3 3 5 2" xfId="23317"/>
    <cellStyle name="Обычный 6 7 3 3 5 3" xfId="23318"/>
    <cellStyle name="Обычный 6 7 3 3 6" xfId="23319"/>
    <cellStyle name="Обычный 6 7 3 3 6 2" xfId="23320"/>
    <cellStyle name="Обычный 6 7 3 3 7" xfId="23321"/>
    <cellStyle name="Обычный 6 7 3 3 8" xfId="23322"/>
    <cellStyle name="Обычный 6 7 3 4" xfId="23323"/>
    <cellStyle name="Обычный 6 7 3 4 2" xfId="23324"/>
    <cellStyle name="Обычный 6 7 3 4 2 2" xfId="23325"/>
    <cellStyle name="Обычный 6 7 3 4 2 2 2" xfId="23326"/>
    <cellStyle name="Обычный 6 7 3 4 2 2 3" xfId="23327"/>
    <cellStyle name="Обычный 6 7 3 4 2 3" xfId="23328"/>
    <cellStyle name="Обычный 6 7 3 4 2 3 2" xfId="23329"/>
    <cellStyle name="Обычный 6 7 3 4 2 3 3" xfId="23330"/>
    <cellStyle name="Обычный 6 7 3 4 2 4" xfId="23331"/>
    <cellStyle name="Обычный 6 7 3 4 2 4 2" xfId="23332"/>
    <cellStyle name="Обычный 6 7 3 4 2 5" xfId="23333"/>
    <cellStyle name="Обычный 6 7 3 4 2 6" xfId="23334"/>
    <cellStyle name="Обычный 6 7 3 4 3" xfId="23335"/>
    <cellStyle name="Обычный 6 7 3 4 3 2" xfId="23336"/>
    <cellStyle name="Обычный 6 7 3 4 3 3" xfId="23337"/>
    <cellStyle name="Обычный 6 7 3 4 4" xfId="23338"/>
    <cellStyle name="Обычный 6 7 3 4 4 2" xfId="23339"/>
    <cellStyle name="Обычный 6 7 3 4 4 3" xfId="23340"/>
    <cellStyle name="Обычный 6 7 3 4 5" xfId="23341"/>
    <cellStyle name="Обычный 6 7 3 4 5 2" xfId="23342"/>
    <cellStyle name="Обычный 6 7 3 4 6" xfId="23343"/>
    <cellStyle name="Обычный 6 7 3 4 7" xfId="23344"/>
    <cellStyle name="Обычный 6 7 3 5" xfId="23345"/>
    <cellStyle name="Обычный 6 7 3 5 2" xfId="23346"/>
    <cellStyle name="Обычный 6 7 3 5 2 2" xfId="23347"/>
    <cellStyle name="Обычный 6 7 3 5 2 3" xfId="23348"/>
    <cellStyle name="Обычный 6 7 3 5 3" xfId="23349"/>
    <cellStyle name="Обычный 6 7 3 5 3 2" xfId="23350"/>
    <cellStyle name="Обычный 6 7 3 5 3 3" xfId="23351"/>
    <cellStyle name="Обычный 6 7 3 5 4" xfId="23352"/>
    <cellStyle name="Обычный 6 7 3 5 4 2" xfId="23353"/>
    <cellStyle name="Обычный 6 7 3 5 5" xfId="23354"/>
    <cellStyle name="Обычный 6 7 3 5 6" xfId="23355"/>
    <cellStyle name="Обычный 6 7 3 6" xfId="23356"/>
    <cellStyle name="Обычный 6 7 3 6 2" xfId="23357"/>
    <cellStyle name="Обычный 6 7 3 6 3" xfId="23358"/>
    <cellStyle name="Обычный 6 7 3 7" xfId="23359"/>
    <cellStyle name="Обычный 6 7 3 7 2" xfId="23360"/>
    <cellStyle name="Обычный 6 7 3 7 3" xfId="23361"/>
    <cellStyle name="Обычный 6 7 3 8" xfId="23362"/>
    <cellStyle name="Обычный 6 7 3 8 2" xfId="23363"/>
    <cellStyle name="Обычный 6 7 3 9" xfId="23364"/>
    <cellStyle name="Обычный 6 7 4" xfId="23365"/>
    <cellStyle name="Обычный 6 7 4 10" xfId="23366"/>
    <cellStyle name="Обычный 6 7 4 2" xfId="23367"/>
    <cellStyle name="Обычный 6 7 4 2 2" xfId="23368"/>
    <cellStyle name="Обычный 6 7 4 2 2 2" xfId="23369"/>
    <cellStyle name="Обычный 6 7 4 2 2 2 2" xfId="23370"/>
    <cellStyle name="Обычный 6 7 4 2 2 2 2 2" xfId="23371"/>
    <cellStyle name="Обычный 6 7 4 2 2 2 2 2 2" xfId="23372"/>
    <cellStyle name="Обычный 6 7 4 2 2 2 2 2 3" xfId="23373"/>
    <cellStyle name="Обычный 6 7 4 2 2 2 2 3" xfId="23374"/>
    <cellStyle name="Обычный 6 7 4 2 2 2 2 3 2" xfId="23375"/>
    <cellStyle name="Обычный 6 7 4 2 2 2 2 3 3" xfId="23376"/>
    <cellStyle name="Обычный 6 7 4 2 2 2 2 4" xfId="23377"/>
    <cellStyle name="Обычный 6 7 4 2 2 2 2 4 2" xfId="23378"/>
    <cellStyle name="Обычный 6 7 4 2 2 2 2 5" xfId="23379"/>
    <cellStyle name="Обычный 6 7 4 2 2 2 2 6" xfId="23380"/>
    <cellStyle name="Обычный 6 7 4 2 2 2 3" xfId="23381"/>
    <cellStyle name="Обычный 6 7 4 2 2 2 3 2" xfId="23382"/>
    <cellStyle name="Обычный 6 7 4 2 2 2 3 3" xfId="23383"/>
    <cellStyle name="Обычный 6 7 4 2 2 2 4" xfId="23384"/>
    <cellStyle name="Обычный 6 7 4 2 2 2 4 2" xfId="23385"/>
    <cellStyle name="Обычный 6 7 4 2 2 2 4 3" xfId="23386"/>
    <cellStyle name="Обычный 6 7 4 2 2 2 5" xfId="23387"/>
    <cellStyle name="Обычный 6 7 4 2 2 2 5 2" xfId="23388"/>
    <cellStyle name="Обычный 6 7 4 2 2 2 6" xfId="23389"/>
    <cellStyle name="Обычный 6 7 4 2 2 2 7" xfId="23390"/>
    <cellStyle name="Обычный 6 7 4 2 2 3" xfId="23391"/>
    <cellStyle name="Обычный 6 7 4 2 2 3 2" xfId="23392"/>
    <cellStyle name="Обычный 6 7 4 2 2 3 2 2" xfId="23393"/>
    <cellStyle name="Обычный 6 7 4 2 2 3 2 3" xfId="23394"/>
    <cellStyle name="Обычный 6 7 4 2 2 3 3" xfId="23395"/>
    <cellStyle name="Обычный 6 7 4 2 2 3 3 2" xfId="23396"/>
    <cellStyle name="Обычный 6 7 4 2 2 3 3 3" xfId="23397"/>
    <cellStyle name="Обычный 6 7 4 2 2 3 4" xfId="23398"/>
    <cellStyle name="Обычный 6 7 4 2 2 3 4 2" xfId="23399"/>
    <cellStyle name="Обычный 6 7 4 2 2 3 5" xfId="23400"/>
    <cellStyle name="Обычный 6 7 4 2 2 3 6" xfId="23401"/>
    <cellStyle name="Обычный 6 7 4 2 2 4" xfId="23402"/>
    <cellStyle name="Обычный 6 7 4 2 2 4 2" xfId="23403"/>
    <cellStyle name="Обычный 6 7 4 2 2 4 3" xfId="23404"/>
    <cellStyle name="Обычный 6 7 4 2 2 5" xfId="23405"/>
    <cellStyle name="Обычный 6 7 4 2 2 5 2" xfId="23406"/>
    <cellStyle name="Обычный 6 7 4 2 2 5 3" xfId="23407"/>
    <cellStyle name="Обычный 6 7 4 2 2 6" xfId="23408"/>
    <cellStyle name="Обычный 6 7 4 2 2 6 2" xfId="23409"/>
    <cellStyle name="Обычный 6 7 4 2 2 7" xfId="23410"/>
    <cellStyle name="Обычный 6 7 4 2 2 8" xfId="23411"/>
    <cellStyle name="Обычный 6 7 4 2 3" xfId="23412"/>
    <cellStyle name="Обычный 6 7 4 2 3 2" xfId="23413"/>
    <cellStyle name="Обычный 6 7 4 2 3 2 2" xfId="23414"/>
    <cellStyle name="Обычный 6 7 4 2 3 2 2 2" xfId="23415"/>
    <cellStyle name="Обычный 6 7 4 2 3 2 2 3" xfId="23416"/>
    <cellStyle name="Обычный 6 7 4 2 3 2 3" xfId="23417"/>
    <cellStyle name="Обычный 6 7 4 2 3 2 3 2" xfId="23418"/>
    <cellStyle name="Обычный 6 7 4 2 3 2 3 3" xfId="23419"/>
    <cellStyle name="Обычный 6 7 4 2 3 2 4" xfId="23420"/>
    <cellStyle name="Обычный 6 7 4 2 3 2 4 2" xfId="23421"/>
    <cellStyle name="Обычный 6 7 4 2 3 2 5" xfId="23422"/>
    <cellStyle name="Обычный 6 7 4 2 3 2 6" xfId="23423"/>
    <cellStyle name="Обычный 6 7 4 2 3 3" xfId="23424"/>
    <cellStyle name="Обычный 6 7 4 2 3 3 2" xfId="23425"/>
    <cellStyle name="Обычный 6 7 4 2 3 3 3" xfId="23426"/>
    <cellStyle name="Обычный 6 7 4 2 3 4" xfId="23427"/>
    <cellStyle name="Обычный 6 7 4 2 3 4 2" xfId="23428"/>
    <cellStyle name="Обычный 6 7 4 2 3 4 3" xfId="23429"/>
    <cellStyle name="Обычный 6 7 4 2 3 5" xfId="23430"/>
    <cellStyle name="Обычный 6 7 4 2 3 5 2" xfId="23431"/>
    <cellStyle name="Обычный 6 7 4 2 3 6" xfId="23432"/>
    <cellStyle name="Обычный 6 7 4 2 3 7" xfId="23433"/>
    <cellStyle name="Обычный 6 7 4 2 4" xfId="23434"/>
    <cellStyle name="Обычный 6 7 4 2 4 2" xfId="23435"/>
    <cellStyle name="Обычный 6 7 4 2 4 2 2" xfId="23436"/>
    <cellStyle name="Обычный 6 7 4 2 4 2 3" xfId="23437"/>
    <cellStyle name="Обычный 6 7 4 2 4 3" xfId="23438"/>
    <cellStyle name="Обычный 6 7 4 2 4 3 2" xfId="23439"/>
    <cellStyle name="Обычный 6 7 4 2 4 3 3" xfId="23440"/>
    <cellStyle name="Обычный 6 7 4 2 4 4" xfId="23441"/>
    <cellStyle name="Обычный 6 7 4 2 4 4 2" xfId="23442"/>
    <cellStyle name="Обычный 6 7 4 2 4 5" xfId="23443"/>
    <cellStyle name="Обычный 6 7 4 2 4 6" xfId="23444"/>
    <cellStyle name="Обычный 6 7 4 2 5" xfId="23445"/>
    <cellStyle name="Обычный 6 7 4 2 5 2" xfId="23446"/>
    <cellStyle name="Обычный 6 7 4 2 5 3" xfId="23447"/>
    <cellStyle name="Обычный 6 7 4 2 6" xfId="23448"/>
    <cellStyle name="Обычный 6 7 4 2 6 2" xfId="23449"/>
    <cellStyle name="Обычный 6 7 4 2 6 3" xfId="23450"/>
    <cellStyle name="Обычный 6 7 4 2 7" xfId="23451"/>
    <cellStyle name="Обычный 6 7 4 2 7 2" xfId="23452"/>
    <cellStyle name="Обычный 6 7 4 2 8" xfId="23453"/>
    <cellStyle name="Обычный 6 7 4 2 9" xfId="23454"/>
    <cellStyle name="Обычный 6 7 4 3" xfId="23455"/>
    <cellStyle name="Обычный 6 7 4 3 2" xfId="23456"/>
    <cellStyle name="Обычный 6 7 4 3 2 2" xfId="23457"/>
    <cellStyle name="Обычный 6 7 4 3 2 2 2" xfId="23458"/>
    <cellStyle name="Обычный 6 7 4 3 2 2 2 2" xfId="23459"/>
    <cellStyle name="Обычный 6 7 4 3 2 2 2 3" xfId="23460"/>
    <cellStyle name="Обычный 6 7 4 3 2 2 3" xfId="23461"/>
    <cellStyle name="Обычный 6 7 4 3 2 2 3 2" xfId="23462"/>
    <cellStyle name="Обычный 6 7 4 3 2 2 3 3" xfId="23463"/>
    <cellStyle name="Обычный 6 7 4 3 2 2 4" xfId="23464"/>
    <cellStyle name="Обычный 6 7 4 3 2 2 4 2" xfId="23465"/>
    <cellStyle name="Обычный 6 7 4 3 2 2 5" xfId="23466"/>
    <cellStyle name="Обычный 6 7 4 3 2 2 6" xfId="23467"/>
    <cellStyle name="Обычный 6 7 4 3 2 3" xfId="23468"/>
    <cellStyle name="Обычный 6 7 4 3 2 3 2" xfId="23469"/>
    <cellStyle name="Обычный 6 7 4 3 2 3 3" xfId="23470"/>
    <cellStyle name="Обычный 6 7 4 3 2 4" xfId="23471"/>
    <cellStyle name="Обычный 6 7 4 3 2 4 2" xfId="23472"/>
    <cellStyle name="Обычный 6 7 4 3 2 4 3" xfId="23473"/>
    <cellStyle name="Обычный 6 7 4 3 2 5" xfId="23474"/>
    <cellStyle name="Обычный 6 7 4 3 2 5 2" xfId="23475"/>
    <cellStyle name="Обычный 6 7 4 3 2 6" xfId="23476"/>
    <cellStyle name="Обычный 6 7 4 3 2 7" xfId="23477"/>
    <cellStyle name="Обычный 6 7 4 3 3" xfId="23478"/>
    <cellStyle name="Обычный 6 7 4 3 3 2" xfId="23479"/>
    <cellStyle name="Обычный 6 7 4 3 3 2 2" xfId="23480"/>
    <cellStyle name="Обычный 6 7 4 3 3 2 3" xfId="23481"/>
    <cellStyle name="Обычный 6 7 4 3 3 3" xfId="23482"/>
    <cellStyle name="Обычный 6 7 4 3 3 3 2" xfId="23483"/>
    <cellStyle name="Обычный 6 7 4 3 3 3 3" xfId="23484"/>
    <cellStyle name="Обычный 6 7 4 3 3 4" xfId="23485"/>
    <cellStyle name="Обычный 6 7 4 3 3 4 2" xfId="23486"/>
    <cellStyle name="Обычный 6 7 4 3 3 5" xfId="23487"/>
    <cellStyle name="Обычный 6 7 4 3 3 6" xfId="23488"/>
    <cellStyle name="Обычный 6 7 4 3 4" xfId="23489"/>
    <cellStyle name="Обычный 6 7 4 3 4 2" xfId="23490"/>
    <cellStyle name="Обычный 6 7 4 3 4 3" xfId="23491"/>
    <cellStyle name="Обычный 6 7 4 3 5" xfId="23492"/>
    <cellStyle name="Обычный 6 7 4 3 5 2" xfId="23493"/>
    <cellStyle name="Обычный 6 7 4 3 5 3" xfId="23494"/>
    <cellStyle name="Обычный 6 7 4 3 6" xfId="23495"/>
    <cellStyle name="Обычный 6 7 4 3 6 2" xfId="23496"/>
    <cellStyle name="Обычный 6 7 4 3 7" xfId="23497"/>
    <cellStyle name="Обычный 6 7 4 3 8" xfId="23498"/>
    <cellStyle name="Обычный 6 7 4 4" xfId="23499"/>
    <cellStyle name="Обычный 6 7 4 4 2" xfId="23500"/>
    <cellStyle name="Обычный 6 7 4 4 2 2" xfId="23501"/>
    <cellStyle name="Обычный 6 7 4 4 2 2 2" xfId="23502"/>
    <cellStyle name="Обычный 6 7 4 4 2 2 3" xfId="23503"/>
    <cellStyle name="Обычный 6 7 4 4 2 3" xfId="23504"/>
    <cellStyle name="Обычный 6 7 4 4 2 3 2" xfId="23505"/>
    <cellStyle name="Обычный 6 7 4 4 2 3 3" xfId="23506"/>
    <cellStyle name="Обычный 6 7 4 4 2 4" xfId="23507"/>
    <cellStyle name="Обычный 6 7 4 4 2 4 2" xfId="23508"/>
    <cellStyle name="Обычный 6 7 4 4 2 5" xfId="23509"/>
    <cellStyle name="Обычный 6 7 4 4 2 6" xfId="23510"/>
    <cellStyle name="Обычный 6 7 4 4 3" xfId="23511"/>
    <cellStyle name="Обычный 6 7 4 4 3 2" xfId="23512"/>
    <cellStyle name="Обычный 6 7 4 4 3 3" xfId="23513"/>
    <cellStyle name="Обычный 6 7 4 4 4" xfId="23514"/>
    <cellStyle name="Обычный 6 7 4 4 4 2" xfId="23515"/>
    <cellStyle name="Обычный 6 7 4 4 4 3" xfId="23516"/>
    <cellStyle name="Обычный 6 7 4 4 5" xfId="23517"/>
    <cellStyle name="Обычный 6 7 4 4 5 2" xfId="23518"/>
    <cellStyle name="Обычный 6 7 4 4 6" xfId="23519"/>
    <cellStyle name="Обычный 6 7 4 4 7" xfId="23520"/>
    <cellStyle name="Обычный 6 7 4 5" xfId="23521"/>
    <cellStyle name="Обычный 6 7 4 5 2" xfId="23522"/>
    <cellStyle name="Обычный 6 7 4 5 2 2" xfId="23523"/>
    <cellStyle name="Обычный 6 7 4 5 2 3" xfId="23524"/>
    <cellStyle name="Обычный 6 7 4 5 3" xfId="23525"/>
    <cellStyle name="Обычный 6 7 4 5 3 2" xfId="23526"/>
    <cellStyle name="Обычный 6 7 4 5 3 3" xfId="23527"/>
    <cellStyle name="Обычный 6 7 4 5 4" xfId="23528"/>
    <cellStyle name="Обычный 6 7 4 5 4 2" xfId="23529"/>
    <cellStyle name="Обычный 6 7 4 5 5" xfId="23530"/>
    <cellStyle name="Обычный 6 7 4 5 6" xfId="23531"/>
    <cellStyle name="Обычный 6 7 4 6" xfId="23532"/>
    <cellStyle name="Обычный 6 7 4 6 2" xfId="23533"/>
    <cellStyle name="Обычный 6 7 4 6 3" xfId="23534"/>
    <cellStyle name="Обычный 6 7 4 7" xfId="23535"/>
    <cellStyle name="Обычный 6 7 4 7 2" xfId="23536"/>
    <cellStyle name="Обычный 6 7 4 7 3" xfId="23537"/>
    <cellStyle name="Обычный 6 7 4 8" xfId="23538"/>
    <cellStyle name="Обычный 6 7 4 8 2" xfId="23539"/>
    <cellStyle name="Обычный 6 7 4 9" xfId="23540"/>
    <cellStyle name="Обычный 6 7 5" xfId="23541"/>
    <cellStyle name="Обычный 6 7 5 10" xfId="23542"/>
    <cellStyle name="Обычный 6 7 5 2" xfId="23543"/>
    <cellStyle name="Обычный 6 7 5 2 2" xfId="23544"/>
    <cellStyle name="Обычный 6 7 5 2 2 2" xfId="23545"/>
    <cellStyle name="Обычный 6 7 5 2 2 2 2" xfId="23546"/>
    <cellStyle name="Обычный 6 7 5 2 2 2 2 2" xfId="23547"/>
    <cellStyle name="Обычный 6 7 5 2 2 2 2 2 2" xfId="23548"/>
    <cellStyle name="Обычный 6 7 5 2 2 2 2 2 3" xfId="23549"/>
    <cellStyle name="Обычный 6 7 5 2 2 2 2 3" xfId="23550"/>
    <cellStyle name="Обычный 6 7 5 2 2 2 2 3 2" xfId="23551"/>
    <cellStyle name="Обычный 6 7 5 2 2 2 2 3 3" xfId="23552"/>
    <cellStyle name="Обычный 6 7 5 2 2 2 2 4" xfId="23553"/>
    <cellStyle name="Обычный 6 7 5 2 2 2 2 4 2" xfId="23554"/>
    <cellStyle name="Обычный 6 7 5 2 2 2 2 5" xfId="23555"/>
    <cellStyle name="Обычный 6 7 5 2 2 2 2 6" xfId="23556"/>
    <cellStyle name="Обычный 6 7 5 2 2 2 3" xfId="23557"/>
    <cellStyle name="Обычный 6 7 5 2 2 2 3 2" xfId="23558"/>
    <cellStyle name="Обычный 6 7 5 2 2 2 3 3" xfId="23559"/>
    <cellStyle name="Обычный 6 7 5 2 2 2 4" xfId="23560"/>
    <cellStyle name="Обычный 6 7 5 2 2 2 4 2" xfId="23561"/>
    <cellStyle name="Обычный 6 7 5 2 2 2 4 3" xfId="23562"/>
    <cellStyle name="Обычный 6 7 5 2 2 2 5" xfId="23563"/>
    <cellStyle name="Обычный 6 7 5 2 2 2 5 2" xfId="23564"/>
    <cellStyle name="Обычный 6 7 5 2 2 2 6" xfId="23565"/>
    <cellStyle name="Обычный 6 7 5 2 2 2 7" xfId="23566"/>
    <cellStyle name="Обычный 6 7 5 2 2 3" xfId="23567"/>
    <cellStyle name="Обычный 6 7 5 2 2 3 2" xfId="23568"/>
    <cellStyle name="Обычный 6 7 5 2 2 3 2 2" xfId="23569"/>
    <cellStyle name="Обычный 6 7 5 2 2 3 2 3" xfId="23570"/>
    <cellStyle name="Обычный 6 7 5 2 2 3 3" xfId="23571"/>
    <cellStyle name="Обычный 6 7 5 2 2 3 3 2" xfId="23572"/>
    <cellStyle name="Обычный 6 7 5 2 2 3 3 3" xfId="23573"/>
    <cellStyle name="Обычный 6 7 5 2 2 3 4" xfId="23574"/>
    <cellStyle name="Обычный 6 7 5 2 2 3 4 2" xfId="23575"/>
    <cellStyle name="Обычный 6 7 5 2 2 3 5" xfId="23576"/>
    <cellStyle name="Обычный 6 7 5 2 2 3 6" xfId="23577"/>
    <cellStyle name="Обычный 6 7 5 2 2 4" xfId="23578"/>
    <cellStyle name="Обычный 6 7 5 2 2 4 2" xfId="23579"/>
    <cellStyle name="Обычный 6 7 5 2 2 4 3" xfId="23580"/>
    <cellStyle name="Обычный 6 7 5 2 2 5" xfId="23581"/>
    <cellStyle name="Обычный 6 7 5 2 2 5 2" xfId="23582"/>
    <cellStyle name="Обычный 6 7 5 2 2 5 3" xfId="23583"/>
    <cellStyle name="Обычный 6 7 5 2 2 6" xfId="23584"/>
    <cellStyle name="Обычный 6 7 5 2 2 6 2" xfId="23585"/>
    <cellStyle name="Обычный 6 7 5 2 2 7" xfId="23586"/>
    <cellStyle name="Обычный 6 7 5 2 2 8" xfId="23587"/>
    <cellStyle name="Обычный 6 7 5 2 3" xfId="23588"/>
    <cellStyle name="Обычный 6 7 5 2 3 2" xfId="23589"/>
    <cellStyle name="Обычный 6 7 5 2 3 2 2" xfId="23590"/>
    <cellStyle name="Обычный 6 7 5 2 3 2 2 2" xfId="23591"/>
    <cellStyle name="Обычный 6 7 5 2 3 2 2 3" xfId="23592"/>
    <cellStyle name="Обычный 6 7 5 2 3 2 3" xfId="23593"/>
    <cellStyle name="Обычный 6 7 5 2 3 2 3 2" xfId="23594"/>
    <cellStyle name="Обычный 6 7 5 2 3 2 3 3" xfId="23595"/>
    <cellStyle name="Обычный 6 7 5 2 3 2 4" xfId="23596"/>
    <cellStyle name="Обычный 6 7 5 2 3 2 4 2" xfId="23597"/>
    <cellStyle name="Обычный 6 7 5 2 3 2 5" xfId="23598"/>
    <cellStyle name="Обычный 6 7 5 2 3 2 6" xfId="23599"/>
    <cellStyle name="Обычный 6 7 5 2 3 3" xfId="23600"/>
    <cellStyle name="Обычный 6 7 5 2 3 3 2" xfId="23601"/>
    <cellStyle name="Обычный 6 7 5 2 3 3 3" xfId="23602"/>
    <cellStyle name="Обычный 6 7 5 2 3 4" xfId="23603"/>
    <cellStyle name="Обычный 6 7 5 2 3 4 2" xfId="23604"/>
    <cellStyle name="Обычный 6 7 5 2 3 4 3" xfId="23605"/>
    <cellStyle name="Обычный 6 7 5 2 3 5" xfId="23606"/>
    <cellStyle name="Обычный 6 7 5 2 3 5 2" xfId="23607"/>
    <cellStyle name="Обычный 6 7 5 2 3 6" xfId="23608"/>
    <cellStyle name="Обычный 6 7 5 2 3 7" xfId="23609"/>
    <cellStyle name="Обычный 6 7 5 2 4" xfId="23610"/>
    <cellStyle name="Обычный 6 7 5 2 4 2" xfId="23611"/>
    <cellStyle name="Обычный 6 7 5 2 4 2 2" xfId="23612"/>
    <cellStyle name="Обычный 6 7 5 2 4 2 3" xfId="23613"/>
    <cellStyle name="Обычный 6 7 5 2 4 3" xfId="23614"/>
    <cellStyle name="Обычный 6 7 5 2 4 3 2" xfId="23615"/>
    <cellStyle name="Обычный 6 7 5 2 4 3 3" xfId="23616"/>
    <cellStyle name="Обычный 6 7 5 2 4 4" xfId="23617"/>
    <cellStyle name="Обычный 6 7 5 2 4 4 2" xfId="23618"/>
    <cellStyle name="Обычный 6 7 5 2 4 5" xfId="23619"/>
    <cellStyle name="Обычный 6 7 5 2 4 6" xfId="23620"/>
    <cellStyle name="Обычный 6 7 5 2 5" xfId="23621"/>
    <cellStyle name="Обычный 6 7 5 2 5 2" xfId="23622"/>
    <cellStyle name="Обычный 6 7 5 2 5 3" xfId="23623"/>
    <cellStyle name="Обычный 6 7 5 2 6" xfId="23624"/>
    <cellStyle name="Обычный 6 7 5 2 6 2" xfId="23625"/>
    <cellStyle name="Обычный 6 7 5 2 6 3" xfId="23626"/>
    <cellStyle name="Обычный 6 7 5 2 7" xfId="23627"/>
    <cellStyle name="Обычный 6 7 5 2 7 2" xfId="23628"/>
    <cellStyle name="Обычный 6 7 5 2 8" xfId="23629"/>
    <cellStyle name="Обычный 6 7 5 2 9" xfId="23630"/>
    <cellStyle name="Обычный 6 7 5 3" xfId="23631"/>
    <cellStyle name="Обычный 6 7 5 3 2" xfId="23632"/>
    <cellStyle name="Обычный 6 7 5 3 2 2" xfId="23633"/>
    <cellStyle name="Обычный 6 7 5 3 2 2 2" xfId="23634"/>
    <cellStyle name="Обычный 6 7 5 3 2 2 2 2" xfId="23635"/>
    <cellStyle name="Обычный 6 7 5 3 2 2 2 3" xfId="23636"/>
    <cellStyle name="Обычный 6 7 5 3 2 2 3" xfId="23637"/>
    <cellStyle name="Обычный 6 7 5 3 2 2 3 2" xfId="23638"/>
    <cellStyle name="Обычный 6 7 5 3 2 2 3 3" xfId="23639"/>
    <cellStyle name="Обычный 6 7 5 3 2 2 4" xfId="23640"/>
    <cellStyle name="Обычный 6 7 5 3 2 2 4 2" xfId="23641"/>
    <cellStyle name="Обычный 6 7 5 3 2 2 5" xfId="23642"/>
    <cellStyle name="Обычный 6 7 5 3 2 2 6" xfId="23643"/>
    <cellStyle name="Обычный 6 7 5 3 2 3" xfId="23644"/>
    <cellStyle name="Обычный 6 7 5 3 2 3 2" xfId="23645"/>
    <cellStyle name="Обычный 6 7 5 3 2 3 3" xfId="23646"/>
    <cellStyle name="Обычный 6 7 5 3 2 4" xfId="23647"/>
    <cellStyle name="Обычный 6 7 5 3 2 4 2" xfId="23648"/>
    <cellStyle name="Обычный 6 7 5 3 2 4 3" xfId="23649"/>
    <cellStyle name="Обычный 6 7 5 3 2 5" xfId="23650"/>
    <cellStyle name="Обычный 6 7 5 3 2 5 2" xfId="23651"/>
    <cellStyle name="Обычный 6 7 5 3 2 6" xfId="23652"/>
    <cellStyle name="Обычный 6 7 5 3 2 7" xfId="23653"/>
    <cellStyle name="Обычный 6 7 5 3 3" xfId="23654"/>
    <cellStyle name="Обычный 6 7 5 3 3 2" xfId="23655"/>
    <cellStyle name="Обычный 6 7 5 3 3 2 2" xfId="23656"/>
    <cellStyle name="Обычный 6 7 5 3 3 2 3" xfId="23657"/>
    <cellStyle name="Обычный 6 7 5 3 3 3" xfId="23658"/>
    <cellStyle name="Обычный 6 7 5 3 3 3 2" xfId="23659"/>
    <cellStyle name="Обычный 6 7 5 3 3 3 3" xfId="23660"/>
    <cellStyle name="Обычный 6 7 5 3 3 4" xfId="23661"/>
    <cellStyle name="Обычный 6 7 5 3 3 4 2" xfId="23662"/>
    <cellStyle name="Обычный 6 7 5 3 3 5" xfId="23663"/>
    <cellStyle name="Обычный 6 7 5 3 3 6" xfId="23664"/>
    <cellStyle name="Обычный 6 7 5 3 4" xfId="23665"/>
    <cellStyle name="Обычный 6 7 5 3 4 2" xfId="23666"/>
    <cellStyle name="Обычный 6 7 5 3 4 3" xfId="23667"/>
    <cellStyle name="Обычный 6 7 5 3 5" xfId="23668"/>
    <cellStyle name="Обычный 6 7 5 3 5 2" xfId="23669"/>
    <cellStyle name="Обычный 6 7 5 3 5 3" xfId="23670"/>
    <cellStyle name="Обычный 6 7 5 3 6" xfId="23671"/>
    <cellStyle name="Обычный 6 7 5 3 6 2" xfId="23672"/>
    <cellStyle name="Обычный 6 7 5 3 7" xfId="23673"/>
    <cellStyle name="Обычный 6 7 5 3 8" xfId="23674"/>
    <cellStyle name="Обычный 6 7 5 4" xfId="23675"/>
    <cellStyle name="Обычный 6 7 5 4 2" xfId="23676"/>
    <cellStyle name="Обычный 6 7 5 4 2 2" xfId="23677"/>
    <cellStyle name="Обычный 6 7 5 4 2 2 2" xfId="23678"/>
    <cellStyle name="Обычный 6 7 5 4 2 2 3" xfId="23679"/>
    <cellStyle name="Обычный 6 7 5 4 2 3" xfId="23680"/>
    <cellStyle name="Обычный 6 7 5 4 2 3 2" xfId="23681"/>
    <cellStyle name="Обычный 6 7 5 4 2 3 3" xfId="23682"/>
    <cellStyle name="Обычный 6 7 5 4 2 4" xfId="23683"/>
    <cellStyle name="Обычный 6 7 5 4 2 4 2" xfId="23684"/>
    <cellStyle name="Обычный 6 7 5 4 2 5" xfId="23685"/>
    <cellStyle name="Обычный 6 7 5 4 2 6" xfId="23686"/>
    <cellStyle name="Обычный 6 7 5 4 3" xfId="23687"/>
    <cellStyle name="Обычный 6 7 5 4 3 2" xfId="23688"/>
    <cellStyle name="Обычный 6 7 5 4 3 3" xfId="23689"/>
    <cellStyle name="Обычный 6 7 5 4 4" xfId="23690"/>
    <cellStyle name="Обычный 6 7 5 4 4 2" xfId="23691"/>
    <cellStyle name="Обычный 6 7 5 4 4 3" xfId="23692"/>
    <cellStyle name="Обычный 6 7 5 4 5" xfId="23693"/>
    <cellStyle name="Обычный 6 7 5 4 5 2" xfId="23694"/>
    <cellStyle name="Обычный 6 7 5 4 6" xfId="23695"/>
    <cellStyle name="Обычный 6 7 5 4 7" xfId="23696"/>
    <cellStyle name="Обычный 6 7 5 5" xfId="23697"/>
    <cellStyle name="Обычный 6 7 5 5 2" xfId="23698"/>
    <cellStyle name="Обычный 6 7 5 5 2 2" xfId="23699"/>
    <cellStyle name="Обычный 6 7 5 5 2 3" xfId="23700"/>
    <cellStyle name="Обычный 6 7 5 5 3" xfId="23701"/>
    <cellStyle name="Обычный 6 7 5 5 3 2" xfId="23702"/>
    <cellStyle name="Обычный 6 7 5 5 3 3" xfId="23703"/>
    <cellStyle name="Обычный 6 7 5 5 4" xfId="23704"/>
    <cellStyle name="Обычный 6 7 5 5 4 2" xfId="23705"/>
    <cellStyle name="Обычный 6 7 5 5 5" xfId="23706"/>
    <cellStyle name="Обычный 6 7 5 5 6" xfId="23707"/>
    <cellStyle name="Обычный 6 7 5 6" xfId="23708"/>
    <cellStyle name="Обычный 6 7 5 6 2" xfId="23709"/>
    <cellStyle name="Обычный 6 7 5 6 3" xfId="23710"/>
    <cellStyle name="Обычный 6 7 5 7" xfId="23711"/>
    <cellStyle name="Обычный 6 7 5 7 2" xfId="23712"/>
    <cellStyle name="Обычный 6 7 5 7 3" xfId="23713"/>
    <cellStyle name="Обычный 6 7 5 8" xfId="23714"/>
    <cellStyle name="Обычный 6 7 5 8 2" xfId="23715"/>
    <cellStyle name="Обычный 6 7 5 9" xfId="23716"/>
    <cellStyle name="Обычный 6 7 6" xfId="23717"/>
    <cellStyle name="Обычный 6 7 6 2" xfId="23718"/>
    <cellStyle name="Обычный 6 7 6 2 2" xfId="23719"/>
    <cellStyle name="Обычный 6 7 6 2 2 2" xfId="23720"/>
    <cellStyle name="Обычный 6 7 6 2 2 2 2" xfId="23721"/>
    <cellStyle name="Обычный 6 7 6 2 2 2 2 2" xfId="23722"/>
    <cellStyle name="Обычный 6 7 6 2 2 2 2 3" xfId="23723"/>
    <cellStyle name="Обычный 6 7 6 2 2 2 3" xfId="23724"/>
    <cellStyle name="Обычный 6 7 6 2 2 2 3 2" xfId="23725"/>
    <cellStyle name="Обычный 6 7 6 2 2 2 3 3" xfId="23726"/>
    <cellStyle name="Обычный 6 7 6 2 2 2 4" xfId="23727"/>
    <cellStyle name="Обычный 6 7 6 2 2 2 4 2" xfId="23728"/>
    <cellStyle name="Обычный 6 7 6 2 2 2 5" xfId="23729"/>
    <cellStyle name="Обычный 6 7 6 2 2 2 6" xfId="23730"/>
    <cellStyle name="Обычный 6 7 6 2 2 3" xfId="23731"/>
    <cellStyle name="Обычный 6 7 6 2 2 3 2" xfId="23732"/>
    <cellStyle name="Обычный 6 7 6 2 2 3 3" xfId="23733"/>
    <cellStyle name="Обычный 6 7 6 2 2 4" xfId="23734"/>
    <cellStyle name="Обычный 6 7 6 2 2 4 2" xfId="23735"/>
    <cellStyle name="Обычный 6 7 6 2 2 4 3" xfId="23736"/>
    <cellStyle name="Обычный 6 7 6 2 2 5" xfId="23737"/>
    <cellStyle name="Обычный 6 7 6 2 2 5 2" xfId="23738"/>
    <cellStyle name="Обычный 6 7 6 2 2 6" xfId="23739"/>
    <cellStyle name="Обычный 6 7 6 2 2 7" xfId="23740"/>
    <cellStyle name="Обычный 6 7 6 2 3" xfId="23741"/>
    <cellStyle name="Обычный 6 7 6 2 3 2" xfId="23742"/>
    <cellStyle name="Обычный 6 7 6 2 3 2 2" xfId="23743"/>
    <cellStyle name="Обычный 6 7 6 2 3 2 3" xfId="23744"/>
    <cellStyle name="Обычный 6 7 6 2 3 3" xfId="23745"/>
    <cellStyle name="Обычный 6 7 6 2 3 3 2" xfId="23746"/>
    <cellStyle name="Обычный 6 7 6 2 3 3 3" xfId="23747"/>
    <cellStyle name="Обычный 6 7 6 2 3 4" xfId="23748"/>
    <cellStyle name="Обычный 6 7 6 2 3 4 2" xfId="23749"/>
    <cellStyle name="Обычный 6 7 6 2 3 5" xfId="23750"/>
    <cellStyle name="Обычный 6 7 6 2 3 6" xfId="23751"/>
    <cellStyle name="Обычный 6 7 6 2 4" xfId="23752"/>
    <cellStyle name="Обычный 6 7 6 2 4 2" xfId="23753"/>
    <cellStyle name="Обычный 6 7 6 2 4 3" xfId="23754"/>
    <cellStyle name="Обычный 6 7 6 2 5" xfId="23755"/>
    <cellStyle name="Обычный 6 7 6 2 5 2" xfId="23756"/>
    <cellStyle name="Обычный 6 7 6 2 5 3" xfId="23757"/>
    <cellStyle name="Обычный 6 7 6 2 6" xfId="23758"/>
    <cellStyle name="Обычный 6 7 6 2 6 2" xfId="23759"/>
    <cellStyle name="Обычный 6 7 6 2 7" xfId="23760"/>
    <cellStyle name="Обычный 6 7 6 2 8" xfId="23761"/>
    <cellStyle name="Обычный 6 7 6 3" xfId="23762"/>
    <cellStyle name="Обычный 6 7 6 3 2" xfId="23763"/>
    <cellStyle name="Обычный 6 7 6 3 2 2" xfId="23764"/>
    <cellStyle name="Обычный 6 7 6 3 2 2 2" xfId="23765"/>
    <cellStyle name="Обычный 6 7 6 3 2 2 3" xfId="23766"/>
    <cellStyle name="Обычный 6 7 6 3 2 3" xfId="23767"/>
    <cellStyle name="Обычный 6 7 6 3 2 3 2" xfId="23768"/>
    <cellStyle name="Обычный 6 7 6 3 2 3 3" xfId="23769"/>
    <cellStyle name="Обычный 6 7 6 3 2 4" xfId="23770"/>
    <cellStyle name="Обычный 6 7 6 3 2 4 2" xfId="23771"/>
    <cellStyle name="Обычный 6 7 6 3 2 5" xfId="23772"/>
    <cellStyle name="Обычный 6 7 6 3 2 6" xfId="23773"/>
    <cellStyle name="Обычный 6 7 6 3 3" xfId="23774"/>
    <cellStyle name="Обычный 6 7 6 3 3 2" xfId="23775"/>
    <cellStyle name="Обычный 6 7 6 3 3 3" xfId="23776"/>
    <cellStyle name="Обычный 6 7 6 3 4" xfId="23777"/>
    <cellStyle name="Обычный 6 7 6 3 4 2" xfId="23778"/>
    <cellStyle name="Обычный 6 7 6 3 4 3" xfId="23779"/>
    <cellStyle name="Обычный 6 7 6 3 5" xfId="23780"/>
    <cellStyle name="Обычный 6 7 6 3 5 2" xfId="23781"/>
    <cellStyle name="Обычный 6 7 6 3 6" xfId="23782"/>
    <cellStyle name="Обычный 6 7 6 3 7" xfId="23783"/>
    <cellStyle name="Обычный 6 7 6 4" xfId="23784"/>
    <cellStyle name="Обычный 6 7 6 4 2" xfId="23785"/>
    <cellStyle name="Обычный 6 7 6 4 2 2" xfId="23786"/>
    <cellStyle name="Обычный 6 7 6 4 2 3" xfId="23787"/>
    <cellStyle name="Обычный 6 7 6 4 3" xfId="23788"/>
    <cellStyle name="Обычный 6 7 6 4 3 2" xfId="23789"/>
    <cellStyle name="Обычный 6 7 6 4 3 3" xfId="23790"/>
    <cellStyle name="Обычный 6 7 6 4 4" xfId="23791"/>
    <cellStyle name="Обычный 6 7 6 4 4 2" xfId="23792"/>
    <cellStyle name="Обычный 6 7 6 4 5" xfId="23793"/>
    <cellStyle name="Обычный 6 7 6 4 6" xfId="23794"/>
    <cellStyle name="Обычный 6 7 6 5" xfId="23795"/>
    <cellStyle name="Обычный 6 7 6 5 2" xfId="23796"/>
    <cellStyle name="Обычный 6 7 6 5 3" xfId="23797"/>
    <cellStyle name="Обычный 6 7 6 6" xfId="23798"/>
    <cellStyle name="Обычный 6 7 6 6 2" xfId="23799"/>
    <cellStyle name="Обычный 6 7 6 6 3" xfId="23800"/>
    <cellStyle name="Обычный 6 7 6 7" xfId="23801"/>
    <cellStyle name="Обычный 6 7 6 7 2" xfId="23802"/>
    <cellStyle name="Обычный 6 7 6 8" xfId="23803"/>
    <cellStyle name="Обычный 6 7 6 9" xfId="23804"/>
    <cellStyle name="Обычный 6 7 7" xfId="23805"/>
    <cellStyle name="Обычный 6 7 7 2" xfId="23806"/>
    <cellStyle name="Обычный 6 7 7 2 2" xfId="23807"/>
    <cellStyle name="Обычный 6 7 7 2 2 2" xfId="23808"/>
    <cellStyle name="Обычный 6 7 7 2 2 2 2" xfId="23809"/>
    <cellStyle name="Обычный 6 7 7 2 2 2 3" xfId="23810"/>
    <cellStyle name="Обычный 6 7 7 2 2 3" xfId="23811"/>
    <cellStyle name="Обычный 6 7 7 2 2 3 2" xfId="23812"/>
    <cellStyle name="Обычный 6 7 7 2 2 3 3" xfId="23813"/>
    <cellStyle name="Обычный 6 7 7 2 2 4" xfId="23814"/>
    <cellStyle name="Обычный 6 7 7 2 2 4 2" xfId="23815"/>
    <cellStyle name="Обычный 6 7 7 2 2 5" xfId="23816"/>
    <cellStyle name="Обычный 6 7 7 2 2 6" xfId="23817"/>
    <cellStyle name="Обычный 6 7 7 2 3" xfId="23818"/>
    <cellStyle name="Обычный 6 7 7 2 3 2" xfId="23819"/>
    <cellStyle name="Обычный 6 7 7 2 3 3" xfId="23820"/>
    <cellStyle name="Обычный 6 7 7 2 4" xfId="23821"/>
    <cellStyle name="Обычный 6 7 7 2 4 2" xfId="23822"/>
    <cellStyle name="Обычный 6 7 7 2 4 3" xfId="23823"/>
    <cellStyle name="Обычный 6 7 7 2 5" xfId="23824"/>
    <cellStyle name="Обычный 6 7 7 2 5 2" xfId="23825"/>
    <cellStyle name="Обычный 6 7 7 2 6" xfId="23826"/>
    <cellStyle name="Обычный 6 7 7 2 7" xfId="23827"/>
    <cellStyle name="Обычный 6 7 7 3" xfId="23828"/>
    <cellStyle name="Обычный 6 7 7 3 2" xfId="23829"/>
    <cellStyle name="Обычный 6 7 7 3 2 2" xfId="23830"/>
    <cellStyle name="Обычный 6 7 7 3 2 3" xfId="23831"/>
    <cellStyle name="Обычный 6 7 7 3 3" xfId="23832"/>
    <cellStyle name="Обычный 6 7 7 3 3 2" xfId="23833"/>
    <cellStyle name="Обычный 6 7 7 3 3 3" xfId="23834"/>
    <cellStyle name="Обычный 6 7 7 3 4" xfId="23835"/>
    <cellStyle name="Обычный 6 7 7 3 4 2" xfId="23836"/>
    <cellStyle name="Обычный 6 7 7 3 5" xfId="23837"/>
    <cellStyle name="Обычный 6 7 7 3 6" xfId="23838"/>
    <cellStyle name="Обычный 6 7 7 4" xfId="23839"/>
    <cellStyle name="Обычный 6 7 7 4 2" xfId="23840"/>
    <cellStyle name="Обычный 6 7 7 4 3" xfId="23841"/>
    <cellStyle name="Обычный 6 7 7 5" xfId="23842"/>
    <cellStyle name="Обычный 6 7 7 5 2" xfId="23843"/>
    <cellStyle name="Обычный 6 7 7 5 3" xfId="23844"/>
    <cellStyle name="Обычный 6 7 7 6" xfId="23845"/>
    <cellStyle name="Обычный 6 7 7 6 2" xfId="23846"/>
    <cellStyle name="Обычный 6 7 7 7" xfId="23847"/>
    <cellStyle name="Обычный 6 7 7 8" xfId="23848"/>
    <cellStyle name="Обычный 6 7 8" xfId="23849"/>
    <cellStyle name="Обычный 6 7 8 2" xfId="23850"/>
    <cellStyle name="Обычный 6 7 8 2 2" xfId="23851"/>
    <cellStyle name="Обычный 6 7 8 2 2 2" xfId="23852"/>
    <cellStyle name="Обычный 6 7 8 2 2 3" xfId="23853"/>
    <cellStyle name="Обычный 6 7 8 2 3" xfId="23854"/>
    <cellStyle name="Обычный 6 7 8 2 3 2" xfId="23855"/>
    <cellStyle name="Обычный 6 7 8 2 3 3" xfId="23856"/>
    <cellStyle name="Обычный 6 7 8 2 4" xfId="23857"/>
    <cellStyle name="Обычный 6 7 8 2 4 2" xfId="23858"/>
    <cellStyle name="Обычный 6 7 8 2 5" xfId="23859"/>
    <cellStyle name="Обычный 6 7 8 2 6" xfId="23860"/>
    <cellStyle name="Обычный 6 7 8 3" xfId="23861"/>
    <cellStyle name="Обычный 6 7 8 3 2" xfId="23862"/>
    <cellStyle name="Обычный 6 7 8 3 3" xfId="23863"/>
    <cellStyle name="Обычный 6 7 8 4" xfId="23864"/>
    <cellStyle name="Обычный 6 7 8 4 2" xfId="23865"/>
    <cellStyle name="Обычный 6 7 8 4 3" xfId="23866"/>
    <cellStyle name="Обычный 6 7 8 5" xfId="23867"/>
    <cellStyle name="Обычный 6 7 8 5 2" xfId="23868"/>
    <cellStyle name="Обычный 6 7 8 6" xfId="23869"/>
    <cellStyle name="Обычный 6 7 8 7" xfId="23870"/>
    <cellStyle name="Обычный 6 7 9" xfId="23871"/>
    <cellStyle name="Обычный 6 7 9 2" xfId="23872"/>
    <cellStyle name="Обычный 6 7 9 2 2" xfId="23873"/>
    <cellStyle name="Обычный 6 7 9 2 3" xfId="23874"/>
    <cellStyle name="Обычный 6 7 9 3" xfId="23875"/>
    <cellStyle name="Обычный 6 7 9 3 2" xfId="23876"/>
    <cellStyle name="Обычный 6 7 9 3 3" xfId="23877"/>
    <cellStyle name="Обычный 6 7 9 4" xfId="23878"/>
    <cellStyle name="Обычный 6 7 9 4 2" xfId="23879"/>
    <cellStyle name="Обычный 6 7 9 5" xfId="23880"/>
    <cellStyle name="Обычный 6 7 9 6" xfId="23881"/>
    <cellStyle name="Обычный 6 8" xfId="23882"/>
    <cellStyle name="Обычный 6 8 10" xfId="23883"/>
    <cellStyle name="Обычный 6 8 10 2" xfId="23884"/>
    <cellStyle name="Обычный 6 8 10 3" xfId="23885"/>
    <cellStyle name="Обычный 6 8 11" xfId="23886"/>
    <cellStyle name="Обычный 6 8 11 2" xfId="23887"/>
    <cellStyle name="Обычный 6 8 11 3" xfId="23888"/>
    <cellStyle name="Обычный 6 8 12" xfId="23889"/>
    <cellStyle name="Обычный 6 8 12 2" xfId="23890"/>
    <cellStyle name="Обычный 6 8 13" xfId="23891"/>
    <cellStyle name="Обычный 6 8 14" xfId="23892"/>
    <cellStyle name="Обычный 6 8 2" xfId="23893"/>
    <cellStyle name="Обычный 6 8 2 10" xfId="23894"/>
    <cellStyle name="Обычный 6 8 2 10 2" xfId="23895"/>
    <cellStyle name="Обычный 6 8 2 10 3" xfId="23896"/>
    <cellStyle name="Обычный 6 8 2 11" xfId="23897"/>
    <cellStyle name="Обычный 6 8 2 11 2" xfId="23898"/>
    <cellStyle name="Обычный 6 8 2 12" xfId="23899"/>
    <cellStyle name="Обычный 6 8 2 13" xfId="23900"/>
    <cellStyle name="Обычный 6 8 2 2" xfId="23901"/>
    <cellStyle name="Обычный 6 8 2 2 10" xfId="23902"/>
    <cellStyle name="Обычный 6 8 2 2 2" xfId="23903"/>
    <cellStyle name="Обычный 6 8 2 2 2 2" xfId="23904"/>
    <cellStyle name="Обычный 6 8 2 2 2 2 2" xfId="23905"/>
    <cellStyle name="Обычный 6 8 2 2 2 2 2 2" xfId="23906"/>
    <cellStyle name="Обычный 6 8 2 2 2 2 2 2 2" xfId="23907"/>
    <cellStyle name="Обычный 6 8 2 2 2 2 2 2 2 2" xfId="23908"/>
    <cellStyle name="Обычный 6 8 2 2 2 2 2 2 2 3" xfId="23909"/>
    <cellStyle name="Обычный 6 8 2 2 2 2 2 2 3" xfId="23910"/>
    <cellStyle name="Обычный 6 8 2 2 2 2 2 2 3 2" xfId="23911"/>
    <cellStyle name="Обычный 6 8 2 2 2 2 2 2 3 3" xfId="23912"/>
    <cellStyle name="Обычный 6 8 2 2 2 2 2 2 4" xfId="23913"/>
    <cellStyle name="Обычный 6 8 2 2 2 2 2 2 4 2" xfId="23914"/>
    <cellStyle name="Обычный 6 8 2 2 2 2 2 2 5" xfId="23915"/>
    <cellStyle name="Обычный 6 8 2 2 2 2 2 2 6" xfId="23916"/>
    <cellStyle name="Обычный 6 8 2 2 2 2 2 3" xfId="23917"/>
    <cellStyle name="Обычный 6 8 2 2 2 2 2 3 2" xfId="23918"/>
    <cellStyle name="Обычный 6 8 2 2 2 2 2 3 3" xfId="23919"/>
    <cellStyle name="Обычный 6 8 2 2 2 2 2 4" xfId="23920"/>
    <cellStyle name="Обычный 6 8 2 2 2 2 2 4 2" xfId="23921"/>
    <cellStyle name="Обычный 6 8 2 2 2 2 2 4 3" xfId="23922"/>
    <cellStyle name="Обычный 6 8 2 2 2 2 2 5" xfId="23923"/>
    <cellStyle name="Обычный 6 8 2 2 2 2 2 5 2" xfId="23924"/>
    <cellStyle name="Обычный 6 8 2 2 2 2 2 6" xfId="23925"/>
    <cellStyle name="Обычный 6 8 2 2 2 2 2 7" xfId="23926"/>
    <cellStyle name="Обычный 6 8 2 2 2 2 3" xfId="23927"/>
    <cellStyle name="Обычный 6 8 2 2 2 2 3 2" xfId="23928"/>
    <cellStyle name="Обычный 6 8 2 2 2 2 3 2 2" xfId="23929"/>
    <cellStyle name="Обычный 6 8 2 2 2 2 3 2 3" xfId="23930"/>
    <cellStyle name="Обычный 6 8 2 2 2 2 3 3" xfId="23931"/>
    <cellStyle name="Обычный 6 8 2 2 2 2 3 3 2" xfId="23932"/>
    <cellStyle name="Обычный 6 8 2 2 2 2 3 3 3" xfId="23933"/>
    <cellStyle name="Обычный 6 8 2 2 2 2 3 4" xfId="23934"/>
    <cellStyle name="Обычный 6 8 2 2 2 2 3 4 2" xfId="23935"/>
    <cellStyle name="Обычный 6 8 2 2 2 2 3 5" xfId="23936"/>
    <cellStyle name="Обычный 6 8 2 2 2 2 3 6" xfId="23937"/>
    <cellStyle name="Обычный 6 8 2 2 2 2 4" xfId="23938"/>
    <cellStyle name="Обычный 6 8 2 2 2 2 4 2" xfId="23939"/>
    <cellStyle name="Обычный 6 8 2 2 2 2 4 3" xfId="23940"/>
    <cellStyle name="Обычный 6 8 2 2 2 2 5" xfId="23941"/>
    <cellStyle name="Обычный 6 8 2 2 2 2 5 2" xfId="23942"/>
    <cellStyle name="Обычный 6 8 2 2 2 2 5 3" xfId="23943"/>
    <cellStyle name="Обычный 6 8 2 2 2 2 6" xfId="23944"/>
    <cellStyle name="Обычный 6 8 2 2 2 2 6 2" xfId="23945"/>
    <cellStyle name="Обычный 6 8 2 2 2 2 7" xfId="23946"/>
    <cellStyle name="Обычный 6 8 2 2 2 2 8" xfId="23947"/>
    <cellStyle name="Обычный 6 8 2 2 2 3" xfId="23948"/>
    <cellStyle name="Обычный 6 8 2 2 2 3 2" xfId="23949"/>
    <cellStyle name="Обычный 6 8 2 2 2 3 2 2" xfId="23950"/>
    <cellStyle name="Обычный 6 8 2 2 2 3 2 2 2" xfId="23951"/>
    <cellStyle name="Обычный 6 8 2 2 2 3 2 2 3" xfId="23952"/>
    <cellStyle name="Обычный 6 8 2 2 2 3 2 3" xfId="23953"/>
    <cellStyle name="Обычный 6 8 2 2 2 3 2 3 2" xfId="23954"/>
    <cellStyle name="Обычный 6 8 2 2 2 3 2 3 3" xfId="23955"/>
    <cellStyle name="Обычный 6 8 2 2 2 3 2 4" xfId="23956"/>
    <cellStyle name="Обычный 6 8 2 2 2 3 2 4 2" xfId="23957"/>
    <cellStyle name="Обычный 6 8 2 2 2 3 2 5" xfId="23958"/>
    <cellStyle name="Обычный 6 8 2 2 2 3 2 6" xfId="23959"/>
    <cellStyle name="Обычный 6 8 2 2 2 3 3" xfId="23960"/>
    <cellStyle name="Обычный 6 8 2 2 2 3 3 2" xfId="23961"/>
    <cellStyle name="Обычный 6 8 2 2 2 3 3 3" xfId="23962"/>
    <cellStyle name="Обычный 6 8 2 2 2 3 4" xfId="23963"/>
    <cellStyle name="Обычный 6 8 2 2 2 3 4 2" xfId="23964"/>
    <cellStyle name="Обычный 6 8 2 2 2 3 4 3" xfId="23965"/>
    <cellStyle name="Обычный 6 8 2 2 2 3 5" xfId="23966"/>
    <cellStyle name="Обычный 6 8 2 2 2 3 5 2" xfId="23967"/>
    <cellStyle name="Обычный 6 8 2 2 2 3 6" xfId="23968"/>
    <cellStyle name="Обычный 6 8 2 2 2 3 7" xfId="23969"/>
    <cellStyle name="Обычный 6 8 2 2 2 4" xfId="23970"/>
    <cellStyle name="Обычный 6 8 2 2 2 4 2" xfId="23971"/>
    <cellStyle name="Обычный 6 8 2 2 2 4 2 2" xfId="23972"/>
    <cellStyle name="Обычный 6 8 2 2 2 4 2 3" xfId="23973"/>
    <cellStyle name="Обычный 6 8 2 2 2 4 3" xfId="23974"/>
    <cellStyle name="Обычный 6 8 2 2 2 4 3 2" xfId="23975"/>
    <cellStyle name="Обычный 6 8 2 2 2 4 3 3" xfId="23976"/>
    <cellStyle name="Обычный 6 8 2 2 2 4 4" xfId="23977"/>
    <cellStyle name="Обычный 6 8 2 2 2 4 4 2" xfId="23978"/>
    <cellStyle name="Обычный 6 8 2 2 2 4 5" xfId="23979"/>
    <cellStyle name="Обычный 6 8 2 2 2 4 6" xfId="23980"/>
    <cellStyle name="Обычный 6 8 2 2 2 5" xfId="23981"/>
    <cellStyle name="Обычный 6 8 2 2 2 5 2" xfId="23982"/>
    <cellStyle name="Обычный 6 8 2 2 2 5 3" xfId="23983"/>
    <cellStyle name="Обычный 6 8 2 2 2 6" xfId="23984"/>
    <cellStyle name="Обычный 6 8 2 2 2 6 2" xfId="23985"/>
    <cellStyle name="Обычный 6 8 2 2 2 6 3" xfId="23986"/>
    <cellStyle name="Обычный 6 8 2 2 2 7" xfId="23987"/>
    <cellStyle name="Обычный 6 8 2 2 2 7 2" xfId="23988"/>
    <cellStyle name="Обычный 6 8 2 2 2 8" xfId="23989"/>
    <cellStyle name="Обычный 6 8 2 2 2 9" xfId="23990"/>
    <cellStyle name="Обычный 6 8 2 2 3" xfId="23991"/>
    <cellStyle name="Обычный 6 8 2 2 3 2" xfId="23992"/>
    <cellStyle name="Обычный 6 8 2 2 3 2 2" xfId="23993"/>
    <cellStyle name="Обычный 6 8 2 2 3 2 2 2" xfId="23994"/>
    <cellStyle name="Обычный 6 8 2 2 3 2 2 2 2" xfId="23995"/>
    <cellStyle name="Обычный 6 8 2 2 3 2 2 2 3" xfId="23996"/>
    <cellStyle name="Обычный 6 8 2 2 3 2 2 3" xfId="23997"/>
    <cellStyle name="Обычный 6 8 2 2 3 2 2 3 2" xfId="23998"/>
    <cellStyle name="Обычный 6 8 2 2 3 2 2 3 3" xfId="23999"/>
    <cellStyle name="Обычный 6 8 2 2 3 2 2 4" xfId="24000"/>
    <cellStyle name="Обычный 6 8 2 2 3 2 2 4 2" xfId="24001"/>
    <cellStyle name="Обычный 6 8 2 2 3 2 2 5" xfId="24002"/>
    <cellStyle name="Обычный 6 8 2 2 3 2 2 6" xfId="24003"/>
    <cellStyle name="Обычный 6 8 2 2 3 2 3" xfId="24004"/>
    <cellStyle name="Обычный 6 8 2 2 3 2 3 2" xfId="24005"/>
    <cellStyle name="Обычный 6 8 2 2 3 2 3 3" xfId="24006"/>
    <cellStyle name="Обычный 6 8 2 2 3 2 4" xfId="24007"/>
    <cellStyle name="Обычный 6 8 2 2 3 2 4 2" xfId="24008"/>
    <cellStyle name="Обычный 6 8 2 2 3 2 4 3" xfId="24009"/>
    <cellStyle name="Обычный 6 8 2 2 3 2 5" xfId="24010"/>
    <cellStyle name="Обычный 6 8 2 2 3 2 5 2" xfId="24011"/>
    <cellStyle name="Обычный 6 8 2 2 3 2 6" xfId="24012"/>
    <cellStyle name="Обычный 6 8 2 2 3 2 7" xfId="24013"/>
    <cellStyle name="Обычный 6 8 2 2 3 3" xfId="24014"/>
    <cellStyle name="Обычный 6 8 2 2 3 3 2" xfId="24015"/>
    <cellStyle name="Обычный 6 8 2 2 3 3 2 2" xfId="24016"/>
    <cellStyle name="Обычный 6 8 2 2 3 3 2 3" xfId="24017"/>
    <cellStyle name="Обычный 6 8 2 2 3 3 3" xfId="24018"/>
    <cellStyle name="Обычный 6 8 2 2 3 3 3 2" xfId="24019"/>
    <cellStyle name="Обычный 6 8 2 2 3 3 3 3" xfId="24020"/>
    <cellStyle name="Обычный 6 8 2 2 3 3 4" xfId="24021"/>
    <cellStyle name="Обычный 6 8 2 2 3 3 4 2" xfId="24022"/>
    <cellStyle name="Обычный 6 8 2 2 3 3 5" xfId="24023"/>
    <cellStyle name="Обычный 6 8 2 2 3 3 6" xfId="24024"/>
    <cellStyle name="Обычный 6 8 2 2 3 4" xfId="24025"/>
    <cellStyle name="Обычный 6 8 2 2 3 4 2" xfId="24026"/>
    <cellStyle name="Обычный 6 8 2 2 3 4 3" xfId="24027"/>
    <cellStyle name="Обычный 6 8 2 2 3 5" xfId="24028"/>
    <cellStyle name="Обычный 6 8 2 2 3 5 2" xfId="24029"/>
    <cellStyle name="Обычный 6 8 2 2 3 5 3" xfId="24030"/>
    <cellStyle name="Обычный 6 8 2 2 3 6" xfId="24031"/>
    <cellStyle name="Обычный 6 8 2 2 3 6 2" xfId="24032"/>
    <cellStyle name="Обычный 6 8 2 2 3 7" xfId="24033"/>
    <cellStyle name="Обычный 6 8 2 2 3 8" xfId="24034"/>
    <cellStyle name="Обычный 6 8 2 2 4" xfId="24035"/>
    <cellStyle name="Обычный 6 8 2 2 4 2" xfId="24036"/>
    <cellStyle name="Обычный 6 8 2 2 4 2 2" xfId="24037"/>
    <cellStyle name="Обычный 6 8 2 2 4 2 2 2" xfId="24038"/>
    <cellStyle name="Обычный 6 8 2 2 4 2 2 3" xfId="24039"/>
    <cellStyle name="Обычный 6 8 2 2 4 2 3" xfId="24040"/>
    <cellStyle name="Обычный 6 8 2 2 4 2 3 2" xfId="24041"/>
    <cellStyle name="Обычный 6 8 2 2 4 2 3 3" xfId="24042"/>
    <cellStyle name="Обычный 6 8 2 2 4 2 4" xfId="24043"/>
    <cellStyle name="Обычный 6 8 2 2 4 2 4 2" xfId="24044"/>
    <cellStyle name="Обычный 6 8 2 2 4 2 5" xfId="24045"/>
    <cellStyle name="Обычный 6 8 2 2 4 2 6" xfId="24046"/>
    <cellStyle name="Обычный 6 8 2 2 4 3" xfId="24047"/>
    <cellStyle name="Обычный 6 8 2 2 4 3 2" xfId="24048"/>
    <cellStyle name="Обычный 6 8 2 2 4 3 3" xfId="24049"/>
    <cellStyle name="Обычный 6 8 2 2 4 4" xfId="24050"/>
    <cellStyle name="Обычный 6 8 2 2 4 4 2" xfId="24051"/>
    <cellStyle name="Обычный 6 8 2 2 4 4 3" xfId="24052"/>
    <cellStyle name="Обычный 6 8 2 2 4 5" xfId="24053"/>
    <cellStyle name="Обычный 6 8 2 2 4 5 2" xfId="24054"/>
    <cellStyle name="Обычный 6 8 2 2 4 6" xfId="24055"/>
    <cellStyle name="Обычный 6 8 2 2 4 7" xfId="24056"/>
    <cellStyle name="Обычный 6 8 2 2 5" xfId="24057"/>
    <cellStyle name="Обычный 6 8 2 2 5 2" xfId="24058"/>
    <cellStyle name="Обычный 6 8 2 2 5 2 2" xfId="24059"/>
    <cellStyle name="Обычный 6 8 2 2 5 2 3" xfId="24060"/>
    <cellStyle name="Обычный 6 8 2 2 5 3" xfId="24061"/>
    <cellStyle name="Обычный 6 8 2 2 5 3 2" xfId="24062"/>
    <cellStyle name="Обычный 6 8 2 2 5 3 3" xfId="24063"/>
    <cellStyle name="Обычный 6 8 2 2 5 4" xfId="24064"/>
    <cellStyle name="Обычный 6 8 2 2 5 4 2" xfId="24065"/>
    <cellStyle name="Обычный 6 8 2 2 5 5" xfId="24066"/>
    <cellStyle name="Обычный 6 8 2 2 5 6" xfId="24067"/>
    <cellStyle name="Обычный 6 8 2 2 6" xfId="24068"/>
    <cellStyle name="Обычный 6 8 2 2 6 2" xfId="24069"/>
    <cellStyle name="Обычный 6 8 2 2 6 3" xfId="24070"/>
    <cellStyle name="Обычный 6 8 2 2 7" xfId="24071"/>
    <cellStyle name="Обычный 6 8 2 2 7 2" xfId="24072"/>
    <cellStyle name="Обычный 6 8 2 2 7 3" xfId="24073"/>
    <cellStyle name="Обычный 6 8 2 2 8" xfId="24074"/>
    <cellStyle name="Обычный 6 8 2 2 8 2" xfId="24075"/>
    <cellStyle name="Обычный 6 8 2 2 9" xfId="24076"/>
    <cellStyle name="Обычный 6 8 2 3" xfId="24077"/>
    <cellStyle name="Обычный 6 8 2 3 10" xfId="24078"/>
    <cellStyle name="Обычный 6 8 2 3 2" xfId="24079"/>
    <cellStyle name="Обычный 6 8 2 3 2 2" xfId="24080"/>
    <cellStyle name="Обычный 6 8 2 3 2 2 2" xfId="24081"/>
    <cellStyle name="Обычный 6 8 2 3 2 2 2 2" xfId="24082"/>
    <cellStyle name="Обычный 6 8 2 3 2 2 2 2 2" xfId="24083"/>
    <cellStyle name="Обычный 6 8 2 3 2 2 2 2 2 2" xfId="24084"/>
    <cellStyle name="Обычный 6 8 2 3 2 2 2 2 2 3" xfId="24085"/>
    <cellStyle name="Обычный 6 8 2 3 2 2 2 2 3" xfId="24086"/>
    <cellStyle name="Обычный 6 8 2 3 2 2 2 2 3 2" xfId="24087"/>
    <cellStyle name="Обычный 6 8 2 3 2 2 2 2 3 3" xfId="24088"/>
    <cellStyle name="Обычный 6 8 2 3 2 2 2 2 4" xfId="24089"/>
    <cellStyle name="Обычный 6 8 2 3 2 2 2 2 4 2" xfId="24090"/>
    <cellStyle name="Обычный 6 8 2 3 2 2 2 2 5" xfId="24091"/>
    <cellStyle name="Обычный 6 8 2 3 2 2 2 2 6" xfId="24092"/>
    <cellStyle name="Обычный 6 8 2 3 2 2 2 3" xfId="24093"/>
    <cellStyle name="Обычный 6 8 2 3 2 2 2 3 2" xfId="24094"/>
    <cellStyle name="Обычный 6 8 2 3 2 2 2 3 3" xfId="24095"/>
    <cellStyle name="Обычный 6 8 2 3 2 2 2 4" xfId="24096"/>
    <cellStyle name="Обычный 6 8 2 3 2 2 2 4 2" xfId="24097"/>
    <cellStyle name="Обычный 6 8 2 3 2 2 2 4 3" xfId="24098"/>
    <cellStyle name="Обычный 6 8 2 3 2 2 2 5" xfId="24099"/>
    <cellStyle name="Обычный 6 8 2 3 2 2 2 5 2" xfId="24100"/>
    <cellStyle name="Обычный 6 8 2 3 2 2 2 6" xfId="24101"/>
    <cellStyle name="Обычный 6 8 2 3 2 2 2 7" xfId="24102"/>
    <cellStyle name="Обычный 6 8 2 3 2 2 3" xfId="24103"/>
    <cellStyle name="Обычный 6 8 2 3 2 2 3 2" xfId="24104"/>
    <cellStyle name="Обычный 6 8 2 3 2 2 3 2 2" xfId="24105"/>
    <cellStyle name="Обычный 6 8 2 3 2 2 3 2 3" xfId="24106"/>
    <cellStyle name="Обычный 6 8 2 3 2 2 3 3" xfId="24107"/>
    <cellStyle name="Обычный 6 8 2 3 2 2 3 3 2" xfId="24108"/>
    <cellStyle name="Обычный 6 8 2 3 2 2 3 3 3" xfId="24109"/>
    <cellStyle name="Обычный 6 8 2 3 2 2 3 4" xfId="24110"/>
    <cellStyle name="Обычный 6 8 2 3 2 2 3 4 2" xfId="24111"/>
    <cellStyle name="Обычный 6 8 2 3 2 2 3 5" xfId="24112"/>
    <cellStyle name="Обычный 6 8 2 3 2 2 3 6" xfId="24113"/>
    <cellStyle name="Обычный 6 8 2 3 2 2 4" xfId="24114"/>
    <cellStyle name="Обычный 6 8 2 3 2 2 4 2" xfId="24115"/>
    <cellStyle name="Обычный 6 8 2 3 2 2 4 3" xfId="24116"/>
    <cellStyle name="Обычный 6 8 2 3 2 2 5" xfId="24117"/>
    <cellStyle name="Обычный 6 8 2 3 2 2 5 2" xfId="24118"/>
    <cellStyle name="Обычный 6 8 2 3 2 2 5 3" xfId="24119"/>
    <cellStyle name="Обычный 6 8 2 3 2 2 6" xfId="24120"/>
    <cellStyle name="Обычный 6 8 2 3 2 2 6 2" xfId="24121"/>
    <cellStyle name="Обычный 6 8 2 3 2 2 7" xfId="24122"/>
    <cellStyle name="Обычный 6 8 2 3 2 2 8" xfId="24123"/>
    <cellStyle name="Обычный 6 8 2 3 2 3" xfId="24124"/>
    <cellStyle name="Обычный 6 8 2 3 2 3 2" xfId="24125"/>
    <cellStyle name="Обычный 6 8 2 3 2 3 2 2" xfId="24126"/>
    <cellStyle name="Обычный 6 8 2 3 2 3 2 2 2" xfId="24127"/>
    <cellStyle name="Обычный 6 8 2 3 2 3 2 2 3" xfId="24128"/>
    <cellStyle name="Обычный 6 8 2 3 2 3 2 3" xfId="24129"/>
    <cellStyle name="Обычный 6 8 2 3 2 3 2 3 2" xfId="24130"/>
    <cellStyle name="Обычный 6 8 2 3 2 3 2 3 3" xfId="24131"/>
    <cellStyle name="Обычный 6 8 2 3 2 3 2 4" xfId="24132"/>
    <cellStyle name="Обычный 6 8 2 3 2 3 2 4 2" xfId="24133"/>
    <cellStyle name="Обычный 6 8 2 3 2 3 2 5" xfId="24134"/>
    <cellStyle name="Обычный 6 8 2 3 2 3 2 6" xfId="24135"/>
    <cellStyle name="Обычный 6 8 2 3 2 3 3" xfId="24136"/>
    <cellStyle name="Обычный 6 8 2 3 2 3 3 2" xfId="24137"/>
    <cellStyle name="Обычный 6 8 2 3 2 3 3 3" xfId="24138"/>
    <cellStyle name="Обычный 6 8 2 3 2 3 4" xfId="24139"/>
    <cellStyle name="Обычный 6 8 2 3 2 3 4 2" xfId="24140"/>
    <cellStyle name="Обычный 6 8 2 3 2 3 4 3" xfId="24141"/>
    <cellStyle name="Обычный 6 8 2 3 2 3 5" xfId="24142"/>
    <cellStyle name="Обычный 6 8 2 3 2 3 5 2" xfId="24143"/>
    <cellStyle name="Обычный 6 8 2 3 2 3 6" xfId="24144"/>
    <cellStyle name="Обычный 6 8 2 3 2 3 7" xfId="24145"/>
    <cellStyle name="Обычный 6 8 2 3 2 4" xfId="24146"/>
    <cellStyle name="Обычный 6 8 2 3 2 4 2" xfId="24147"/>
    <cellStyle name="Обычный 6 8 2 3 2 4 2 2" xfId="24148"/>
    <cellStyle name="Обычный 6 8 2 3 2 4 2 3" xfId="24149"/>
    <cellStyle name="Обычный 6 8 2 3 2 4 3" xfId="24150"/>
    <cellStyle name="Обычный 6 8 2 3 2 4 3 2" xfId="24151"/>
    <cellStyle name="Обычный 6 8 2 3 2 4 3 3" xfId="24152"/>
    <cellStyle name="Обычный 6 8 2 3 2 4 4" xfId="24153"/>
    <cellStyle name="Обычный 6 8 2 3 2 4 4 2" xfId="24154"/>
    <cellStyle name="Обычный 6 8 2 3 2 4 5" xfId="24155"/>
    <cellStyle name="Обычный 6 8 2 3 2 4 6" xfId="24156"/>
    <cellStyle name="Обычный 6 8 2 3 2 5" xfId="24157"/>
    <cellStyle name="Обычный 6 8 2 3 2 5 2" xfId="24158"/>
    <cellStyle name="Обычный 6 8 2 3 2 5 3" xfId="24159"/>
    <cellStyle name="Обычный 6 8 2 3 2 6" xfId="24160"/>
    <cellStyle name="Обычный 6 8 2 3 2 6 2" xfId="24161"/>
    <cellStyle name="Обычный 6 8 2 3 2 6 3" xfId="24162"/>
    <cellStyle name="Обычный 6 8 2 3 2 7" xfId="24163"/>
    <cellStyle name="Обычный 6 8 2 3 2 7 2" xfId="24164"/>
    <cellStyle name="Обычный 6 8 2 3 2 8" xfId="24165"/>
    <cellStyle name="Обычный 6 8 2 3 2 9" xfId="24166"/>
    <cellStyle name="Обычный 6 8 2 3 3" xfId="24167"/>
    <cellStyle name="Обычный 6 8 2 3 3 2" xfId="24168"/>
    <cellStyle name="Обычный 6 8 2 3 3 2 2" xfId="24169"/>
    <cellStyle name="Обычный 6 8 2 3 3 2 2 2" xfId="24170"/>
    <cellStyle name="Обычный 6 8 2 3 3 2 2 2 2" xfId="24171"/>
    <cellStyle name="Обычный 6 8 2 3 3 2 2 2 3" xfId="24172"/>
    <cellStyle name="Обычный 6 8 2 3 3 2 2 3" xfId="24173"/>
    <cellStyle name="Обычный 6 8 2 3 3 2 2 3 2" xfId="24174"/>
    <cellStyle name="Обычный 6 8 2 3 3 2 2 3 3" xfId="24175"/>
    <cellStyle name="Обычный 6 8 2 3 3 2 2 4" xfId="24176"/>
    <cellStyle name="Обычный 6 8 2 3 3 2 2 4 2" xfId="24177"/>
    <cellStyle name="Обычный 6 8 2 3 3 2 2 5" xfId="24178"/>
    <cellStyle name="Обычный 6 8 2 3 3 2 2 6" xfId="24179"/>
    <cellStyle name="Обычный 6 8 2 3 3 2 3" xfId="24180"/>
    <cellStyle name="Обычный 6 8 2 3 3 2 3 2" xfId="24181"/>
    <cellStyle name="Обычный 6 8 2 3 3 2 3 3" xfId="24182"/>
    <cellStyle name="Обычный 6 8 2 3 3 2 4" xfId="24183"/>
    <cellStyle name="Обычный 6 8 2 3 3 2 4 2" xfId="24184"/>
    <cellStyle name="Обычный 6 8 2 3 3 2 4 3" xfId="24185"/>
    <cellStyle name="Обычный 6 8 2 3 3 2 5" xfId="24186"/>
    <cellStyle name="Обычный 6 8 2 3 3 2 5 2" xfId="24187"/>
    <cellStyle name="Обычный 6 8 2 3 3 2 6" xfId="24188"/>
    <cellStyle name="Обычный 6 8 2 3 3 2 7" xfId="24189"/>
    <cellStyle name="Обычный 6 8 2 3 3 3" xfId="24190"/>
    <cellStyle name="Обычный 6 8 2 3 3 3 2" xfId="24191"/>
    <cellStyle name="Обычный 6 8 2 3 3 3 2 2" xfId="24192"/>
    <cellStyle name="Обычный 6 8 2 3 3 3 2 3" xfId="24193"/>
    <cellStyle name="Обычный 6 8 2 3 3 3 3" xfId="24194"/>
    <cellStyle name="Обычный 6 8 2 3 3 3 3 2" xfId="24195"/>
    <cellStyle name="Обычный 6 8 2 3 3 3 3 3" xfId="24196"/>
    <cellStyle name="Обычный 6 8 2 3 3 3 4" xfId="24197"/>
    <cellStyle name="Обычный 6 8 2 3 3 3 4 2" xfId="24198"/>
    <cellStyle name="Обычный 6 8 2 3 3 3 5" xfId="24199"/>
    <cellStyle name="Обычный 6 8 2 3 3 3 6" xfId="24200"/>
    <cellStyle name="Обычный 6 8 2 3 3 4" xfId="24201"/>
    <cellStyle name="Обычный 6 8 2 3 3 4 2" xfId="24202"/>
    <cellStyle name="Обычный 6 8 2 3 3 4 3" xfId="24203"/>
    <cellStyle name="Обычный 6 8 2 3 3 5" xfId="24204"/>
    <cellStyle name="Обычный 6 8 2 3 3 5 2" xfId="24205"/>
    <cellStyle name="Обычный 6 8 2 3 3 5 3" xfId="24206"/>
    <cellStyle name="Обычный 6 8 2 3 3 6" xfId="24207"/>
    <cellStyle name="Обычный 6 8 2 3 3 6 2" xfId="24208"/>
    <cellStyle name="Обычный 6 8 2 3 3 7" xfId="24209"/>
    <cellStyle name="Обычный 6 8 2 3 3 8" xfId="24210"/>
    <cellStyle name="Обычный 6 8 2 3 4" xfId="24211"/>
    <cellStyle name="Обычный 6 8 2 3 4 2" xfId="24212"/>
    <cellStyle name="Обычный 6 8 2 3 4 2 2" xfId="24213"/>
    <cellStyle name="Обычный 6 8 2 3 4 2 2 2" xfId="24214"/>
    <cellStyle name="Обычный 6 8 2 3 4 2 2 3" xfId="24215"/>
    <cellStyle name="Обычный 6 8 2 3 4 2 3" xfId="24216"/>
    <cellStyle name="Обычный 6 8 2 3 4 2 3 2" xfId="24217"/>
    <cellStyle name="Обычный 6 8 2 3 4 2 3 3" xfId="24218"/>
    <cellStyle name="Обычный 6 8 2 3 4 2 4" xfId="24219"/>
    <cellStyle name="Обычный 6 8 2 3 4 2 4 2" xfId="24220"/>
    <cellStyle name="Обычный 6 8 2 3 4 2 5" xfId="24221"/>
    <cellStyle name="Обычный 6 8 2 3 4 2 6" xfId="24222"/>
    <cellStyle name="Обычный 6 8 2 3 4 3" xfId="24223"/>
    <cellStyle name="Обычный 6 8 2 3 4 3 2" xfId="24224"/>
    <cellStyle name="Обычный 6 8 2 3 4 3 3" xfId="24225"/>
    <cellStyle name="Обычный 6 8 2 3 4 4" xfId="24226"/>
    <cellStyle name="Обычный 6 8 2 3 4 4 2" xfId="24227"/>
    <cellStyle name="Обычный 6 8 2 3 4 4 3" xfId="24228"/>
    <cellStyle name="Обычный 6 8 2 3 4 5" xfId="24229"/>
    <cellStyle name="Обычный 6 8 2 3 4 5 2" xfId="24230"/>
    <cellStyle name="Обычный 6 8 2 3 4 6" xfId="24231"/>
    <cellStyle name="Обычный 6 8 2 3 4 7" xfId="24232"/>
    <cellStyle name="Обычный 6 8 2 3 5" xfId="24233"/>
    <cellStyle name="Обычный 6 8 2 3 5 2" xfId="24234"/>
    <cellStyle name="Обычный 6 8 2 3 5 2 2" xfId="24235"/>
    <cellStyle name="Обычный 6 8 2 3 5 2 3" xfId="24236"/>
    <cellStyle name="Обычный 6 8 2 3 5 3" xfId="24237"/>
    <cellStyle name="Обычный 6 8 2 3 5 3 2" xfId="24238"/>
    <cellStyle name="Обычный 6 8 2 3 5 3 3" xfId="24239"/>
    <cellStyle name="Обычный 6 8 2 3 5 4" xfId="24240"/>
    <cellStyle name="Обычный 6 8 2 3 5 4 2" xfId="24241"/>
    <cellStyle name="Обычный 6 8 2 3 5 5" xfId="24242"/>
    <cellStyle name="Обычный 6 8 2 3 5 6" xfId="24243"/>
    <cellStyle name="Обычный 6 8 2 3 6" xfId="24244"/>
    <cellStyle name="Обычный 6 8 2 3 6 2" xfId="24245"/>
    <cellStyle name="Обычный 6 8 2 3 6 3" xfId="24246"/>
    <cellStyle name="Обычный 6 8 2 3 7" xfId="24247"/>
    <cellStyle name="Обычный 6 8 2 3 7 2" xfId="24248"/>
    <cellStyle name="Обычный 6 8 2 3 7 3" xfId="24249"/>
    <cellStyle name="Обычный 6 8 2 3 8" xfId="24250"/>
    <cellStyle name="Обычный 6 8 2 3 8 2" xfId="24251"/>
    <cellStyle name="Обычный 6 8 2 3 9" xfId="24252"/>
    <cellStyle name="Обычный 6 8 2 4" xfId="24253"/>
    <cellStyle name="Обычный 6 8 2 4 10" xfId="24254"/>
    <cellStyle name="Обычный 6 8 2 4 2" xfId="24255"/>
    <cellStyle name="Обычный 6 8 2 4 2 2" xfId="24256"/>
    <cellStyle name="Обычный 6 8 2 4 2 2 2" xfId="24257"/>
    <cellStyle name="Обычный 6 8 2 4 2 2 2 2" xfId="24258"/>
    <cellStyle name="Обычный 6 8 2 4 2 2 2 2 2" xfId="24259"/>
    <cellStyle name="Обычный 6 8 2 4 2 2 2 2 2 2" xfId="24260"/>
    <cellStyle name="Обычный 6 8 2 4 2 2 2 2 2 3" xfId="24261"/>
    <cellStyle name="Обычный 6 8 2 4 2 2 2 2 3" xfId="24262"/>
    <cellStyle name="Обычный 6 8 2 4 2 2 2 2 3 2" xfId="24263"/>
    <cellStyle name="Обычный 6 8 2 4 2 2 2 2 3 3" xfId="24264"/>
    <cellStyle name="Обычный 6 8 2 4 2 2 2 2 4" xfId="24265"/>
    <cellStyle name="Обычный 6 8 2 4 2 2 2 2 4 2" xfId="24266"/>
    <cellStyle name="Обычный 6 8 2 4 2 2 2 2 5" xfId="24267"/>
    <cellStyle name="Обычный 6 8 2 4 2 2 2 2 6" xfId="24268"/>
    <cellStyle name="Обычный 6 8 2 4 2 2 2 3" xfId="24269"/>
    <cellStyle name="Обычный 6 8 2 4 2 2 2 3 2" xfId="24270"/>
    <cellStyle name="Обычный 6 8 2 4 2 2 2 3 3" xfId="24271"/>
    <cellStyle name="Обычный 6 8 2 4 2 2 2 4" xfId="24272"/>
    <cellStyle name="Обычный 6 8 2 4 2 2 2 4 2" xfId="24273"/>
    <cellStyle name="Обычный 6 8 2 4 2 2 2 4 3" xfId="24274"/>
    <cellStyle name="Обычный 6 8 2 4 2 2 2 5" xfId="24275"/>
    <cellStyle name="Обычный 6 8 2 4 2 2 2 5 2" xfId="24276"/>
    <cellStyle name="Обычный 6 8 2 4 2 2 2 6" xfId="24277"/>
    <cellStyle name="Обычный 6 8 2 4 2 2 2 7" xfId="24278"/>
    <cellStyle name="Обычный 6 8 2 4 2 2 3" xfId="24279"/>
    <cellStyle name="Обычный 6 8 2 4 2 2 3 2" xfId="24280"/>
    <cellStyle name="Обычный 6 8 2 4 2 2 3 2 2" xfId="24281"/>
    <cellStyle name="Обычный 6 8 2 4 2 2 3 2 3" xfId="24282"/>
    <cellStyle name="Обычный 6 8 2 4 2 2 3 3" xfId="24283"/>
    <cellStyle name="Обычный 6 8 2 4 2 2 3 3 2" xfId="24284"/>
    <cellStyle name="Обычный 6 8 2 4 2 2 3 3 3" xfId="24285"/>
    <cellStyle name="Обычный 6 8 2 4 2 2 3 4" xfId="24286"/>
    <cellStyle name="Обычный 6 8 2 4 2 2 3 4 2" xfId="24287"/>
    <cellStyle name="Обычный 6 8 2 4 2 2 3 5" xfId="24288"/>
    <cellStyle name="Обычный 6 8 2 4 2 2 3 6" xfId="24289"/>
    <cellStyle name="Обычный 6 8 2 4 2 2 4" xfId="24290"/>
    <cellStyle name="Обычный 6 8 2 4 2 2 4 2" xfId="24291"/>
    <cellStyle name="Обычный 6 8 2 4 2 2 4 3" xfId="24292"/>
    <cellStyle name="Обычный 6 8 2 4 2 2 5" xfId="24293"/>
    <cellStyle name="Обычный 6 8 2 4 2 2 5 2" xfId="24294"/>
    <cellStyle name="Обычный 6 8 2 4 2 2 5 3" xfId="24295"/>
    <cellStyle name="Обычный 6 8 2 4 2 2 6" xfId="24296"/>
    <cellStyle name="Обычный 6 8 2 4 2 2 6 2" xfId="24297"/>
    <cellStyle name="Обычный 6 8 2 4 2 2 7" xfId="24298"/>
    <cellStyle name="Обычный 6 8 2 4 2 2 8" xfId="24299"/>
    <cellStyle name="Обычный 6 8 2 4 2 3" xfId="24300"/>
    <cellStyle name="Обычный 6 8 2 4 2 3 2" xfId="24301"/>
    <cellStyle name="Обычный 6 8 2 4 2 3 2 2" xfId="24302"/>
    <cellStyle name="Обычный 6 8 2 4 2 3 2 2 2" xfId="24303"/>
    <cellStyle name="Обычный 6 8 2 4 2 3 2 2 3" xfId="24304"/>
    <cellStyle name="Обычный 6 8 2 4 2 3 2 3" xfId="24305"/>
    <cellStyle name="Обычный 6 8 2 4 2 3 2 3 2" xfId="24306"/>
    <cellStyle name="Обычный 6 8 2 4 2 3 2 3 3" xfId="24307"/>
    <cellStyle name="Обычный 6 8 2 4 2 3 2 4" xfId="24308"/>
    <cellStyle name="Обычный 6 8 2 4 2 3 2 4 2" xfId="24309"/>
    <cellStyle name="Обычный 6 8 2 4 2 3 2 5" xfId="24310"/>
    <cellStyle name="Обычный 6 8 2 4 2 3 2 6" xfId="24311"/>
    <cellStyle name="Обычный 6 8 2 4 2 3 3" xfId="24312"/>
    <cellStyle name="Обычный 6 8 2 4 2 3 3 2" xfId="24313"/>
    <cellStyle name="Обычный 6 8 2 4 2 3 3 3" xfId="24314"/>
    <cellStyle name="Обычный 6 8 2 4 2 3 4" xfId="24315"/>
    <cellStyle name="Обычный 6 8 2 4 2 3 4 2" xfId="24316"/>
    <cellStyle name="Обычный 6 8 2 4 2 3 4 3" xfId="24317"/>
    <cellStyle name="Обычный 6 8 2 4 2 3 5" xfId="24318"/>
    <cellStyle name="Обычный 6 8 2 4 2 3 5 2" xfId="24319"/>
    <cellStyle name="Обычный 6 8 2 4 2 3 6" xfId="24320"/>
    <cellStyle name="Обычный 6 8 2 4 2 3 7" xfId="24321"/>
    <cellStyle name="Обычный 6 8 2 4 2 4" xfId="24322"/>
    <cellStyle name="Обычный 6 8 2 4 2 4 2" xfId="24323"/>
    <cellStyle name="Обычный 6 8 2 4 2 4 2 2" xfId="24324"/>
    <cellStyle name="Обычный 6 8 2 4 2 4 2 3" xfId="24325"/>
    <cellStyle name="Обычный 6 8 2 4 2 4 3" xfId="24326"/>
    <cellStyle name="Обычный 6 8 2 4 2 4 3 2" xfId="24327"/>
    <cellStyle name="Обычный 6 8 2 4 2 4 3 3" xfId="24328"/>
    <cellStyle name="Обычный 6 8 2 4 2 4 4" xfId="24329"/>
    <cellStyle name="Обычный 6 8 2 4 2 4 4 2" xfId="24330"/>
    <cellStyle name="Обычный 6 8 2 4 2 4 5" xfId="24331"/>
    <cellStyle name="Обычный 6 8 2 4 2 4 6" xfId="24332"/>
    <cellStyle name="Обычный 6 8 2 4 2 5" xfId="24333"/>
    <cellStyle name="Обычный 6 8 2 4 2 5 2" xfId="24334"/>
    <cellStyle name="Обычный 6 8 2 4 2 5 3" xfId="24335"/>
    <cellStyle name="Обычный 6 8 2 4 2 6" xfId="24336"/>
    <cellStyle name="Обычный 6 8 2 4 2 6 2" xfId="24337"/>
    <cellStyle name="Обычный 6 8 2 4 2 6 3" xfId="24338"/>
    <cellStyle name="Обычный 6 8 2 4 2 7" xfId="24339"/>
    <cellStyle name="Обычный 6 8 2 4 2 7 2" xfId="24340"/>
    <cellStyle name="Обычный 6 8 2 4 2 8" xfId="24341"/>
    <cellStyle name="Обычный 6 8 2 4 2 9" xfId="24342"/>
    <cellStyle name="Обычный 6 8 2 4 3" xfId="24343"/>
    <cellStyle name="Обычный 6 8 2 4 3 2" xfId="24344"/>
    <cellStyle name="Обычный 6 8 2 4 3 2 2" xfId="24345"/>
    <cellStyle name="Обычный 6 8 2 4 3 2 2 2" xfId="24346"/>
    <cellStyle name="Обычный 6 8 2 4 3 2 2 2 2" xfId="24347"/>
    <cellStyle name="Обычный 6 8 2 4 3 2 2 2 3" xfId="24348"/>
    <cellStyle name="Обычный 6 8 2 4 3 2 2 3" xfId="24349"/>
    <cellStyle name="Обычный 6 8 2 4 3 2 2 3 2" xfId="24350"/>
    <cellStyle name="Обычный 6 8 2 4 3 2 2 3 3" xfId="24351"/>
    <cellStyle name="Обычный 6 8 2 4 3 2 2 4" xfId="24352"/>
    <cellStyle name="Обычный 6 8 2 4 3 2 2 4 2" xfId="24353"/>
    <cellStyle name="Обычный 6 8 2 4 3 2 2 5" xfId="24354"/>
    <cellStyle name="Обычный 6 8 2 4 3 2 2 6" xfId="24355"/>
    <cellStyle name="Обычный 6 8 2 4 3 2 3" xfId="24356"/>
    <cellStyle name="Обычный 6 8 2 4 3 2 3 2" xfId="24357"/>
    <cellStyle name="Обычный 6 8 2 4 3 2 3 3" xfId="24358"/>
    <cellStyle name="Обычный 6 8 2 4 3 2 4" xfId="24359"/>
    <cellStyle name="Обычный 6 8 2 4 3 2 4 2" xfId="24360"/>
    <cellStyle name="Обычный 6 8 2 4 3 2 4 3" xfId="24361"/>
    <cellStyle name="Обычный 6 8 2 4 3 2 5" xfId="24362"/>
    <cellStyle name="Обычный 6 8 2 4 3 2 5 2" xfId="24363"/>
    <cellStyle name="Обычный 6 8 2 4 3 2 6" xfId="24364"/>
    <cellStyle name="Обычный 6 8 2 4 3 2 7" xfId="24365"/>
    <cellStyle name="Обычный 6 8 2 4 3 3" xfId="24366"/>
    <cellStyle name="Обычный 6 8 2 4 3 3 2" xfId="24367"/>
    <cellStyle name="Обычный 6 8 2 4 3 3 2 2" xfId="24368"/>
    <cellStyle name="Обычный 6 8 2 4 3 3 2 3" xfId="24369"/>
    <cellStyle name="Обычный 6 8 2 4 3 3 3" xfId="24370"/>
    <cellStyle name="Обычный 6 8 2 4 3 3 3 2" xfId="24371"/>
    <cellStyle name="Обычный 6 8 2 4 3 3 3 3" xfId="24372"/>
    <cellStyle name="Обычный 6 8 2 4 3 3 4" xfId="24373"/>
    <cellStyle name="Обычный 6 8 2 4 3 3 4 2" xfId="24374"/>
    <cellStyle name="Обычный 6 8 2 4 3 3 5" xfId="24375"/>
    <cellStyle name="Обычный 6 8 2 4 3 3 6" xfId="24376"/>
    <cellStyle name="Обычный 6 8 2 4 3 4" xfId="24377"/>
    <cellStyle name="Обычный 6 8 2 4 3 4 2" xfId="24378"/>
    <cellStyle name="Обычный 6 8 2 4 3 4 3" xfId="24379"/>
    <cellStyle name="Обычный 6 8 2 4 3 5" xfId="24380"/>
    <cellStyle name="Обычный 6 8 2 4 3 5 2" xfId="24381"/>
    <cellStyle name="Обычный 6 8 2 4 3 5 3" xfId="24382"/>
    <cellStyle name="Обычный 6 8 2 4 3 6" xfId="24383"/>
    <cellStyle name="Обычный 6 8 2 4 3 6 2" xfId="24384"/>
    <cellStyle name="Обычный 6 8 2 4 3 7" xfId="24385"/>
    <cellStyle name="Обычный 6 8 2 4 3 8" xfId="24386"/>
    <cellStyle name="Обычный 6 8 2 4 4" xfId="24387"/>
    <cellStyle name="Обычный 6 8 2 4 4 2" xfId="24388"/>
    <cellStyle name="Обычный 6 8 2 4 4 2 2" xfId="24389"/>
    <cellStyle name="Обычный 6 8 2 4 4 2 2 2" xfId="24390"/>
    <cellStyle name="Обычный 6 8 2 4 4 2 2 3" xfId="24391"/>
    <cellStyle name="Обычный 6 8 2 4 4 2 3" xfId="24392"/>
    <cellStyle name="Обычный 6 8 2 4 4 2 3 2" xfId="24393"/>
    <cellStyle name="Обычный 6 8 2 4 4 2 3 3" xfId="24394"/>
    <cellStyle name="Обычный 6 8 2 4 4 2 4" xfId="24395"/>
    <cellStyle name="Обычный 6 8 2 4 4 2 4 2" xfId="24396"/>
    <cellStyle name="Обычный 6 8 2 4 4 2 5" xfId="24397"/>
    <cellStyle name="Обычный 6 8 2 4 4 2 6" xfId="24398"/>
    <cellStyle name="Обычный 6 8 2 4 4 3" xfId="24399"/>
    <cellStyle name="Обычный 6 8 2 4 4 3 2" xfId="24400"/>
    <cellStyle name="Обычный 6 8 2 4 4 3 3" xfId="24401"/>
    <cellStyle name="Обычный 6 8 2 4 4 4" xfId="24402"/>
    <cellStyle name="Обычный 6 8 2 4 4 4 2" xfId="24403"/>
    <cellStyle name="Обычный 6 8 2 4 4 4 3" xfId="24404"/>
    <cellStyle name="Обычный 6 8 2 4 4 5" xfId="24405"/>
    <cellStyle name="Обычный 6 8 2 4 4 5 2" xfId="24406"/>
    <cellStyle name="Обычный 6 8 2 4 4 6" xfId="24407"/>
    <cellStyle name="Обычный 6 8 2 4 4 7" xfId="24408"/>
    <cellStyle name="Обычный 6 8 2 4 5" xfId="24409"/>
    <cellStyle name="Обычный 6 8 2 4 5 2" xfId="24410"/>
    <cellStyle name="Обычный 6 8 2 4 5 2 2" xfId="24411"/>
    <cellStyle name="Обычный 6 8 2 4 5 2 3" xfId="24412"/>
    <cellStyle name="Обычный 6 8 2 4 5 3" xfId="24413"/>
    <cellStyle name="Обычный 6 8 2 4 5 3 2" xfId="24414"/>
    <cellStyle name="Обычный 6 8 2 4 5 3 3" xfId="24415"/>
    <cellStyle name="Обычный 6 8 2 4 5 4" xfId="24416"/>
    <cellStyle name="Обычный 6 8 2 4 5 4 2" xfId="24417"/>
    <cellStyle name="Обычный 6 8 2 4 5 5" xfId="24418"/>
    <cellStyle name="Обычный 6 8 2 4 5 6" xfId="24419"/>
    <cellStyle name="Обычный 6 8 2 4 6" xfId="24420"/>
    <cellStyle name="Обычный 6 8 2 4 6 2" xfId="24421"/>
    <cellStyle name="Обычный 6 8 2 4 6 3" xfId="24422"/>
    <cellStyle name="Обычный 6 8 2 4 7" xfId="24423"/>
    <cellStyle name="Обычный 6 8 2 4 7 2" xfId="24424"/>
    <cellStyle name="Обычный 6 8 2 4 7 3" xfId="24425"/>
    <cellStyle name="Обычный 6 8 2 4 8" xfId="24426"/>
    <cellStyle name="Обычный 6 8 2 4 8 2" xfId="24427"/>
    <cellStyle name="Обычный 6 8 2 4 9" xfId="24428"/>
    <cellStyle name="Обычный 6 8 2 5" xfId="24429"/>
    <cellStyle name="Обычный 6 8 2 5 2" xfId="24430"/>
    <cellStyle name="Обычный 6 8 2 5 2 2" xfId="24431"/>
    <cellStyle name="Обычный 6 8 2 5 2 2 2" xfId="24432"/>
    <cellStyle name="Обычный 6 8 2 5 2 2 2 2" xfId="24433"/>
    <cellStyle name="Обычный 6 8 2 5 2 2 2 2 2" xfId="24434"/>
    <cellStyle name="Обычный 6 8 2 5 2 2 2 2 3" xfId="24435"/>
    <cellStyle name="Обычный 6 8 2 5 2 2 2 3" xfId="24436"/>
    <cellStyle name="Обычный 6 8 2 5 2 2 2 3 2" xfId="24437"/>
    <cellStyle name="Обычный 6 8 2 5 2 2 2 3 3" xfId="24438"/>
    <cellStyle name="Обычный 6 8 2 5 2 2 2 4" xfId="24439"/>
    <cellStyle name="Обычный 6 8 2 5 2 2 2 4 2" xfId="24440"/>
    <cellStyle name="Обычный 6 8 2 5 2 2 2 5" xfId="24441"/>
    <cellStyle name="Обычный 6 8 2 5 2 2 2 6" xfId="24442"/>
    <cellStyle name="Обычный 6 8 2 5 2 2 3" xfId="24443"/>
    <cellStyle name="Обычный 6 8 2 5 2 2 3 2" xfId="24444"/>
    <cellStyle name="Обычный 6 8 2 5 2 2 3 3" xfId="24445"/>
    <cellStyle name="Обычный 6 8 2 5 2 2 4" xfId="24446"/>
    <cellStyle name="Обычный 6 8 2 5 2 2 4 2" xfId="24447"/>
    <cellStyle name="Обычный 6 8 2 5 2 2 4 3" xfId="24448"/>
    <cellStyle name="Обычный 6 8 2 5 2 2 5" xfId="24449"/>
    <cellStyle name="Обычный 6 8 2 5 2 2 5 2" xfId="24450"/>
    <cellStyle name="Обычный 6 8 2 5 2 2 6" xfId="24451"/>
    <cellStyle name="Обычный 6 8 2 5 2 2 7" xfId="24452"/>
    <cellStyle name="Обычный 6 8 2 5 2 3" xfId="24453"/>
    <cellStyle name="Обычный 6 8 2 5 2 3 2" xfId="24454"/>
    <cellStyle name="Обычный 6 8 2 5 2 3 2 2" xfId="24455"/>
    <cellStyle name="Обычный 6 8 2 5 2 3 2 3" xfId="24456"/>
    <cellStyle name="Обычный 6 8 2 5 2 3 3" xfId="24457"/>
    <cellStyle name="Обычный 6 8 2 5 2 3 3 2" xfId="24458"/>
    <cellStyle name="Обычный 6 8 2 5 2 3 3 3" xfId="24459"/>
    <cellStyle name="Обычный 6 8 2 5 2 3 4" xfId="24460"/>
    <cellStyle name="Обычный 6 8 2 5 2 3 4 2" xfId="24461"/>
    <cellStyle name="Обычный 6 8 2 5 2 3 5" xfId="24462"/>
    <cellStyle name="Обычный 6 8 2 5 2 3 6" xfId="24463"/>
    <cellStyle name="Обычный 6 8 2 5 2 4" xfId="24464"/>
    <cellStyle name="Обычный 6 8 2 5 2 4 2" xfId="24465"/>
    <cellStyle name="Обычный 6 8 2 5 2 4 3" xfId="24466"/>
    <cellStyle name="Обычный 6 8 2 5 2 5" xfId="24467"/>
    <cellStyle name="Обычный 6 8 2 5 2 5 2" xfId="24468"/>
    <cellStyle name="Обычный 6 8 2 5 2 5 3" xfId="24469"/>
    <cellStyle name="Обычный 6 8 2 5 2 6" xfId="24470"/>
    <cellStyle name="Обычный 6 8 2 5 2 6 2" xfId="24471"/>
    <cellStyle name="Обычный 6 8 2 5 2 7" xfId="24472"/>
    <cellStyle name="Обычный 6 8 2 5 2 8" xfId="24473"/>
    <cellStyle name="Обычный 6 8 2 5 3" xfId="24474"/>
    <cellStyle name="Обычный 6 8 2 5 3 2" xfId="24475"/>
    <cellStyle name="Обычный 6 8 2 5 3 2 2" xfId="24476"/>
    <cellStyle name="Обычный 6 8 2 5 3 2 2 2" xfId="24477"/>
    <cellStyle name="Обычный 6 8 2 5 3 2 2 3" xfId="24478"/>
    <cellStyle name="Обычный 6 8 2 5 3 2 3" xfId="24479"/>
    <cellStyle name="Обычный 6 8 2 5 3 2 3 2" xfId="24480"/>
    <cellStyle name="Обычный 6 8 2 5 3 2 3 3" xfId="24481"/>
    <cellStyle name="Обычный 6 8 2 5 3 2 4" xfId="24482"/>
    <cellStyle name="Обычный 6 8 2 5 3 2 4 2" xfId="24483"/>
    <cellStyle name="Обычный 6 8 2 5 3 2 5" xfId="24484"/>
    <cellStyle name="Обычный 6 8 2 5 3 2 6" xfId="24485"/>
    <cellStyle name="Обычный 6 8 2 5 3 3" xfId="24486"/>
    <cellStyle name="Обычный 6 8 2 5 3 3 2" xfId="24487"/>
    <cellStyle name="Обычный 6 8 2 5 3 3 3" xfId="24488"/>
    <cellStyle name="Обычный 6 8 2 5 3 4" xfId="24489"/>
    <cellStyle name="Обычный 6 8 2 5 3 4 2" xfId="24490"/>
    <cellStyle name="Обычный 6 8 2 5 3 4 3" xfId="24491"/>
    <cellStyle name="Обычный 6 8 2 5 3 5" xfId="24492"/>
    <cellStyle name="Обычный 6 8 2 5 3 5 2" xfId="24493"/>
    <cellStyle name="Обычный 6 8 2 5 3 6" xfId="24494"/>
    <cellStyle name="Обычный 6 8 2 5 3 7" xfId="24495"/>
    <cellStyle name="Обычный 6 8 2 5 4" xfId="24496"/>
    <cellStyle name="Обычный 6 8 2 5 4 2" xfId="24497"/>
    <cellStyle name="Обычный 6 8 2 5 4 2 2" xfId="24498"/>
    <cellStyle name="Обычный 6 8 2 5 4 2 3" xfId="24499"/>
    <cellStyle name="Обычный 6 8 2 5 4 3" xfId="24500"/>
    <cellStyle name="Обычный 6 8 2 5 4 3 2" xfId="24501"/>
    <cellStyle name="Обычный 6 8 2 5 4 3 3" xfId="24502"/>
    <cellStyle name="Обычный 6 8 2 5 4 4" xfId="24503"/>
    <cellStyle name="Обычный 6 8 2 5 4 4 2" xfId="24504"/>
    <cellStyle name="Обычный 6 8 2 5 4 5" xfId="24505"/>
    <cellStyle name="Обычный 6 8 2 5 4 6" xfId="24506"/>
    <cellStyle name="Обычный 6 8 2 5 5" xfId="24507"/>
    <cellStyle name="Обычный 6 8 2 5 5 2" xfId="24508"/>
    <cellStyle name="Обычный 6 8 2 5 5 3" xfId="24509"/>
    <cellStyle name="Обычный 6 8 2 5 6" xfId="24510"/>
    <cellStyle name="Обычный 6 8 2 5 6 2" xfId="24511"/>
    <cellStyle name="Обычный 6 8 2 5 6 3" xfId="24512"/>
    <cellStyle name="Обычный 6 8 2 5 7" xfId="24513"/>
    <cellStyle name="Обычный 6 8 2 5 7 2" xfId="24514"/>
    <cellStyle name="Обычный 6 8 2 5 8" xfId="24515"/>
    <cellStyle name="Обычный 6 8 2 5 9" xfId="24516"/>
    <cellStyle name="Обычный 6 8 2 6" xfId="24517"/>
    <cellStyle name="Обычный 6 8 2 6 2" xfId="24518"/>
    <cellStyle name="Обычный 6 8 2 6 2 2" xfId="24519"/>
    <cellStyle name="Обычный 6 8 2 6 2 2 2" xfId="24520"/>
    <cellStyle name="Обычный 6 8 2 6 2 2 2 2" xfId="24521"/>
    <cellStyle name="Обычный 6 8 2 6 2 2 2 3" xfId="24522"/>
    <cellStyle name="Обычный 6 8 2 6 2 2 3" xfId="24523"/>
    <cellStyle name="Обычный 6 8 2 6 2 2 3 2" xfId="24524"/>
    <cellStyle name="Обычный 6 8 2 6 2 2 3 3" xfId="24525"/>
    <cellStyle name="Обычный 6 8 2 6 2 2 4" xfId="24526"/>
    <cellStyle name="Обычный 6 8 2 6 2 2 4 2" xfId="24527"/>
    <cellStyle name="Обычный 6 8 2 6 2 2 5" xfId="24528"/>
    <cellStyle name="Обычный 6 8 2 6 2 2 6" xfId="24529"/>
    <cellStyle name="Обычный 6 8 2 6 2 3" xfId="24530"/>
    <cellStyle name="Обычный 6 8 2 6 2 3 2" xfId="24531"/>
    <cellStyle name="Обычный 6 8 2 6 2 3 3" xfId="24532"/>
    <cellStyle name="Обычный 6 8 2 6 2 4" xfId="24533"/>
    <cellStyle name="Обычный 6 8 2 6 2 4 2" xfId="24534"/>
    <cellStyle name="Обычный 6 8 2 6 2 4 3" xfId="24535"/>
    <cellStyle name="Обычный 6 8 2 6 2 5" xfId="24536"/>
    <cellStyle name="Обычный 6 8 2 6 2 5 2" xfId="24537"/>
    <cellStyle name="Обычный 6 8 2 6 2 6" xfId="24538"/>
    <cellStyle name="Обычный 6 8 2 6 2 7" xfId="24539"/>
    <cellStyle name="Обычный 6 8 2 6 3" xfId="24540"/>
    <cellStyle name="Обычный 6 8 2 6 3 2" xfId="24541"/>
    <cellStyle name="Обычный 6 8 2 6 3 2 2" xfId="24542"/>
    <cellStyle name="Обычный 6 8 2 6 3 2 3" xfId="24543"/>
    <cellStyle name="Обычный 6 8 2 6 3 3" xfId="24544"/>
    <cellStyle name="Обычный 6 8 2 6 3 3 2" xfId="24545"/>
    <cellStyle name="Обычный 6 8 2 6 3 3 3" xfId="24546"/>
    <cellStyle name="Обычный 6 8 2 6 3 4" xfId="24547"/>
    <cellStyle name="Обычный 6 8 2 6 3 4 2" xfId="24548"/>
    <cellStyle name="Обычный 6 8 2 6 3 5" xfId="24549"/>
    <cellStyle name="Обычный 6 8 2 6 3 6" xfId="24550"/>
    <cellStyle name="Обычный 6 8 2 6 4" xfId="24551"/>
    <cellStyle name="Обычный 6 8 2 6 4 2" xfId="24552"/>
    <cellStyle name="Обычный 6 8 2 6 4 3" xfId="24553"/>
    <cellStyle name="Обычный 6 8 2 6 5" xfId="24554"/>
    <cellStyle name="Обычный 6 8 2 6 5 2" xfId="24555"/>
    <cellStyle name="Обычный 6 8 2 6 5 3" xfId="24556"/>
    <cellStyle name="Обычный 6 8 2 6 6" xfId="24557"/>
    <cellStyle name="Обычный 6 8 2 6 6 2" xfId="24558"/>
    <cellStyle name="Обычный 6 8 2 6 7" xfId="24559"/>
    <cellStyle name="Обычный 6 8 2 6 8" xfId="24560"/>
    <cellStyle name="Обычный 6 8 2 7" xfId="24561"/>
    <cellStyle name="Обычный 6 8 2 7 2" xfId="24562"/>
    <cellStyle name="Обычный 6 8 2 7 2 2" xfId="24563"/>
    <cellStyle name="Обычный 6 8 2 7 2 2 2" xfId="24564"/>
    <cellStyle name="Обычный 6 8 2 7 2 2 3" xfId="24565"/>
    <cellStyle name="Обычный 6 8 2 7 2 3" xfId="24566"/>
    <cellStyle name="Обычный 6 8 2 7 2 3 2" xfId="24567"/>
    <cellStyle name="Обычный 6 8 2 7 2 3 3" xfId="24568"/>
    <cellStyle name="Обычный 6 8 2 7 2 4" xfId="24569"/>
    <cellStyle name="Обычный 6 8 2 7 2 4 2" xfId="24570"/>
    <cellStyle name="Обычный 6 8 2 7 2 5" xfId="24571"/>
    <cellStyle name="Обычный 6 8 2 7 2 6" xfId="24572"/>
    <cellStyle name="Обычный 6 8 2 7 3" xfId="24573"/>
    <cellStyle name="Обычный 6 8 2 7 3 2" xfId="24574"/>
    <cellStyle name="Обычный 6 8 2 7 3 3" xfId="24575"/>
    <cellStyle name="Обычный 6 8 2 7 4" xfId="24576"/>
    <cellStyle name="Обычный 6 8 2 7 4 2" xfId="24577"/>
    <cellStyle name="Обычный 6 8 2 7 4 3" xfId="24578"/>
    <cellStyle name="Обычный 6 8 2 7 5" xfId="24579"/>
    <cellStyle name="Обычный 6 8 2 7 5 2" xfId="24580"/>
    <cellStyle name="Обычный 6 8 2 7 6" xfId="24581"/>
    <cellStyle name="Обычный 6 8 2 7 7" xfId="24582"/>
    <cellStyle name="Обычный 6 8 2 8" xfId="24583"/>
    <cellStyle name="Обычный 6 8 2 8 2" xfId="24584"/>
    <cellStyle name="Обычный 6 8 2 8 2 2" xfId="24585"/>
    <cellStyle name="Обычный 6 8 2 8 2 3" xfId="24586"/>
    <cellStyle name="Обычный 6 8 2 8 3" xfId="24587"/>
    <cellStyle name="Обычный 6 8 2 8 3 2" xfId="24588"/>
    <cellStyle name="Обычный 6 8 2 8 3 3" xfId="24589"/>
    <cellStyle name="Обычный 6 8 2 8 4" xfId="24590"/>
    <cellStyle name="Обычный 6 8 2 8 4 2" xfId="24591"/>
    <cellStyle name="Обычный 6 8 2 8 5" xfId="24592"/>
    <cellStyle name="Обычный 6 8 2 8 6" xfId="24593"/>
    <cellStyle name="Обычный 6 8 2 9" xfId="24594"/>
    <cellStyle name="Обычный 6 8 2 9 2" xfId="24595"/>
    <cellStyle name="Обычный 6 8 2 9 3" xfId="24596"/>
    <cellStyle name="Обычный 6 8 3" xfId="24597"/>
    <cellStyle name="Обычный 6 8 3 10" xfId="24598"/>
    <cellStyle name="Обычный 6 8 3 2" xfId="24599"/>
    <cellStyle name="Обычный 6 8 3 2 2" xfId="24600"/>
    <cellStyle name="Обычный 6 8 3 2 2 2" xfId="24601"/>
    <cellStyle name="Обычный 6 8 3 2 2 2 2" xfId="24602"/>
    <cellStyle name="Обычный 6 8 3 2 2 2 2 2" xfId="24603"/>
    <cellStyle name="Обычный 6 8 3 2 2 2 2 2 2" xfId="24604"/>
    <cellStyle name="Обычный 6 8 3 2 2 2 2 2 3" xfId="24605"/>
    <cellStyle name="Обычный 6 8 3 2 2 2 2 3" xfId="24606"/>
    <cellStyle name="Обычный 6 8 3 2 2 2 2 3 2" xfId="24607"/>
    <cellStyle name="Обычный 6 8 3 2 2 2 2 3 3" xfId="24608"/>
    <cellStyle name="Обычный 6 8 3 2 2 2 2 4" xfId="24609"/>
    <cellStyle name="Обычный 6 8 3 2 2 2 2 4 2" xfId="24610"/>
    <cellStyle name="Обычный 6 8 3 2 2 2 2 5" xfId="24611"/>
    <cellStyle name="Обычный 6 8 3 2 2 2 2 6" xfId="24612"/>
    <cellStyle name="Обычный 6 8 3 2 2 2 3" xfId="24613"/>
    <cellStyle name="Обычный 6 8 3 2 2 2 3 2" xfId="24614"/>
    <cellStyle name="Обычный 6 8 3 2 2 2 3 3" xfId="24615"/>
    <cellStyle name="Обычный 6 8 3 2 2 2 4" xfId="24616"/>
    <cellStyle name="Обычный 6 8 3 2 2 2 4 2" xfId="24617"/>
    <cellStyle name="Обычный 6 8 3 2 2 2 4 3" xfId="24618"/>
    <cellStyle name="Обычный 6 8 3 2 2 2 5" xfId="24619"/>
    <cellStyle name="Обычный 6 8 3 2 2 2 5 2" xfId="24620"/>
    <cellStyle name="Обычный 6 8 3 2 2 2 6" xfId="24621"/>
    <cellStyle name="Обычный 6 8 3 2 2 2 7" xfId="24622"/>
    <cellStyle name="Обычный 6 8 3 2 2 3" xfId="24623"/>
    <cellStyle name="Обычный 6 8 3 2 2 3 2" xfId="24624"/>
    <cellStyle name="Обычный 6 8 3 2 2 3 2 2" xfId="24625"/>
    <cellStyle name="Обычный 6 8 3 2 2 3 2 3" xfId="24626"/>
    <cellStyle name="Обычный 6 8 3 2 2 3 3" xfId="24627"/>
    <cellStyle name="Обычный 6 8 3 2 2 3 3 2" xfId="24628"/>
    <cellStyle name="Обычный 6 8 3 2 2 3 3 3" xfId="24629"/>
    <cellStyle name="Обычный 6 8 3 2 2 3 4" xfId="24630"/>
    <cellStyle name="Обычный 6 8 3 2 2 3 4 2" xfId="24631"/>
    <cellStyle name="Обычный 6 8 3 2 2 3 5" xfId="24632"/>
    <cellStyle name="Обычный 6 8 3 2 2 3 6" xfId="24633"/>
    <cellStyle name="Обычный 6 8 3 2 2 4" xfId="24634"/>
    <cellStyle name="Обычный 6 8 3 2 2 4 2" xfId="24635"/>
    <cellStyle name="Обычный 6 8 3 2 2 4 3" xfId="24636"/>
    <cellStyle name="Обычный 6 8 3 2 2 5" xfId="24637"/>
    <cellStyle name="Обычный 6 8 3 2 2 5 2" xfId="24638"/>
    <cellStyle name="Обычный 6 8 3 2 2 5 3" xfId="24639"/>
    <cellStyle name="Обычный 6 8 3 2 2 6" xfId="24640"/>
    <cellStyle name="Обычный 6 8 3 2 2 6 2" xfId="24641"/>
    <cellStyle name="Обычный 6 8 3 2 2 7" xfId="24642"/>
    <cellStyle name="Обычный 6 8 3 2 2 8" xfId="24643"/>
    <cellStyle name="Обычный 6 8 3 2 3" xfId="24644"/>
    <cellStyle name="Обычный 6 8 3 2 3 2" xfId="24645"/>
    <cellStyle name="Обычный 6 8 3 2 3 2 2" xfId="24646"/>
    <cellStyle name="Обычный 6 8 3 2 3 2 2 2" xfId="24647"/>
    <cellStyle name="Обычный 6 8 3 2 3 2 2 3" xfId="24648"/>
    <cellStyle name="Обычный 6 8 3 2 3 2 3" xfId="24649"/>
    <cellStyle name="Обычный 6 8 3 2 3 2 3 2" xfId="24650"/>
    <cellStyle name="Обычный 6 8 3 2 3 2 3 3" xfId="24651"/>
    <cellStyle name="Обычный 6 8 3 2 3 2 4" xfId="24652"/>
    <cellStyle name="Обычный 6 8 3 2 3 2 4 2" xfId="24653"/>
    <cellStyle name="Обычный 6 8 3 2 3 2 5" xfId="24654"/>
    <cellStyle name="Обычный 6 8 3 2 3 2 6" xfId="24655"/>
    <cellStyle name="Обычный 6 8 3 2 3 3" xfId="24656"/>
    <cellStyle name="Обычный 6 8 3 2 3 3 2" xfId="24657"/>
    <cellStyle name="Обычный 6 8 3 2 3 3 3" xfId="24658"/>
    <cellStyle name="Обычный 6 8 3 2 3 4" xfId="24659"/>
    <cellStyle name="Обычный 6 8 3 2 3 4 2" xfId="24660"/>
    <cellStyle name="Обычный 6 8 3 2 3 4 3" xfId="24661"/>
    <cellStyle name="Обычный 6 8 3 2 3 5" xfId="24662"/>
    <cellStyle name="Обычный 6 8 3 2 3 5 2" xfId="24663"/>
    <cellStyle name="Обычный 6 8 3 2 3 6" xfId="24664"/>
    <cellStyle name="Обычный 6 8 3 2 3 7" xfId="24665"/>
    <cellStyle name="Обычный 6 8 3 2 4" xfId="24666"/>
    <cellStyle name="Обычный 6 8 3 2 4 2" xfId="24667"/>
    <cellStyle name="Обычный 6 8 3 2 4 2 2" xfId="24668"/>
    <cellStyle name="Обычный 6 8 3 2 4 2 3" xfId="24669"/>
    <cellStyle name="Обычный 6 8 3 2 4 3" xfId="24670"/>
    <cellStyle name="Обычный 6 8 3 2 4 3 2" xfId="24671"/>
    <cellStyle name="Обычный 6 8 3 2 4 3 3" xfId="24672"/>
    <cellStyle name="Обычный 6 8 3 2 4 4" xfId="24673"/>
    <cellStyle name="Обычный 6 8 3 2 4 4 2" xfId="24674"/>
    <cellStyle name="Обычный 6 8 3 2 4 5" xfId="24675"/>
    <cellStyle name="Обычный 6 8 3 2 4 6" xfId="24676"/>
    <cellStyle name="Обычный 6 8 3 2 5" xfId="24677"/>
    <cellStyle name="Обычный 6 8 3 2 5 2" xfId="24678"/>
    <cellStyle name="Обычный 6 8 3 2 5 3" xfId="24679"/>
    <cellStyle name="Обычный 6 8 3 2 6" xfId="24680"/>
    <cellStyle name="Обычный 6 8 3 2 6 2" xfId="24681"/>
    <cellStyle name="Обычный 6 8 3 2 6 3" xfId="24682"/>
    <cellStyle name="Обычный 6 8 3 2 7" xfId="24683"/>
    <cellStyle name="Обычный 6 8 3 2 7 2" xfId="24684"/>
    <cellStyle name="Обычный 6 8 3 2 8" xfId="24685"/>
    <cellStyle name="Обычный 6 8 3 2 9" xfId="24686"/>
    <cellStyle name="Обычный 6 8 3 3" xfId="24687"/>
    <cellStyle name="Обычный 6 8 3 3 2" xfId="24688"/>
    <cellStyle name="Обычный 6 8 3 3 2 2" xfId="24689"/>
    <cellStyle name="Обычный 6 8 3 3 2 2 2" xfId="24690"/>
    <cellStyle name="Обычный 6 8 3 3 2 2 2 2" xfId="24691"/>
    <cellStyle name="Обычный 6 8 3 3 2 2 2 3" xfId="24692"/>
    <cellStyle name="Обычный 6 8 3 3 2 2 3" xfId="24693"/>
    <cellStyle name="Обычный 6 8 3 3 2 2 3 2" xfId="24694"/>
    <cellStyle name="Обычный 6 8 3 3 2 2 3 3" xfId="24695"/>
    <cellStyle name="Обычный 6 8 3 3 2 2 4" xfId="24696"/>
    <cellStyle name="Обычный 6 8 3 3 2 2 4 2" xfId="24697"/>
    <cellStyle name="Обычный 6 8 3 3 2 2 5" xfId="24698"/>
    <cellStyle name="Обычный 6 8 3 3 2 2 6" xfId="24699"/>
    <cellStyle name="Обычный 6 8 3 3 2 3" xfId="24700"/>
    <cellStyle name="Обычный 6 8 3 3 2 3 2" xfId="24701"/>
    <cellStyle name="Обычный 6 8 3 3 2 3 3" xfId="24702"/>
    <cellStyle name="Обычный 6 8 3 3 2 4" xfId="24703"/>
    <cellStyle name="Обычный 6 8 3 3 2 4 2" xfId="24704"/>
    <cellStyle name="Обычный 6 8 3 3 2 4 3" xfId="24705"/>
    <cellStyle name="Обычный 6 8 3 3 2 5" xfId="24706"/>
    <cellStyle name="Обычный 6 8 3 3 2 5 2" xfId="24707"/>
    <cellStyle name="Обычный 6 8 3 3 2 6" xfId="24708"/>
    <cellStyle name="Обычный 6 8 3 3 2 7" xfId="24709"/>
    <cellStyle name="Обычный 6 8 3 3 3" xfId="24710"/>
    <cellStyle name="Обычный 6 8 3 3 3 2" xfId="24711"/>
    <cellStyle name="Обычный 6 8 3 3 3 2 2" xfId="24712"/>
    <cellStyle name="Обычный 6 8 3 3 3 2 3" xfId="24713"/>
    <cellStyle name="Обычный 6 8 3 3 3 3" xfId="24714"/>
    <cellStyle name="Обычный 6 8 3 3 3 3 2" xfId="24715"/>
    <cellStyle name="Обычный 6 8 3 3 3 3 3" xfId="24716"/>
    <cellStyle name="Обычный 6 8 3 3 3 4" xfId="24717"/>
    <cellStyle name="Обычный 6 8 3 3 3 4 2" xfId="24718"/>
    <cellStyle name="Обычный 6 8 3 3 3 5" xfId="24719"/>
    <cellStyle name="Обычный 6 8 3 3 3 6" xfId="24720"/>
    <cellStyle name="Обычный 6 8 3 3 4" xfId="24721"/>
    <cellStyle name="Обычный 6 8 3 3 4 2" xfId="24722"/>
    <cellStyle name="Обычный 6 8 3 3 4 3" xfId="24723"/>
    <cellStyle name="Обычный 6 8 3 3 5" xfId="24724"/>
    <cellStyle name="Обычный 6 8 3 3 5 2" xfId="24725"/>
    <cellStyle name="Обычный 6 8 3 3 5 3" xfId="24726"/>
    <cellStyle name="Обычный 6 8 3 3 6" xfId="24727"/>
    <cellStyle name="Обычный 6 8 3 3 6 2" xfId="24728"/>
    <cellStyle name="Обычный 6 8 3 3 7" xfId="24729"/>
    <cellStyle name="Обычный 6 8 3 3 8" xfId="24730"/>
    <cellStyle name="Обычный 6 8 3 4" xfId="24731"/>
    <cellStyle name="Обычный 6 8 3 4 2" xfId="24732"/>
    <cellStyle name="Обычный 6 8 3 4 2 2" xfId="24733"/>
    <cellStyle name="Обычный 6 8 3 4 2 2 2" xfId="24734"/>
    <cellStyle name="Обычный 6 8 3 4 2 2 3" xfId="24735"/>
    <cellStyle name="Обычный 6 8 3 4 2 3" xfId="24736"/>
    <cellStyle name="Обычный 6 8 3 4 2 3 2" xfId="24737"/>
    <cellStyle name="Обычный 6 8 3 4 2 3 3" xfId="24738"/>
    <cellStyle name="Обычный 6 8 3 4 2 4" xfId="24739"/>
    <cellStyle name="Обычный 6 8 3 4 2 4 2" xfId="24740"/>
    <cellStyle name="Обычный 6 8 3 4 2 5" xfId="24741"/>
    <cellStyle name="Обычный 6 8 3 4 2 6" xfId="24742"/>
    <cellStyle name="Обычный 6 8 3 4 3" xfId="24743"/>
    <cellStyle name="Обычный 6 8 3 4 3 2" xfId="24744"/>
    <cellStyle name="Обычный 6 8 3 4 3 3" xfId="24745"/>
    <cellStyle name="Обычный 6 8 3 4 4" xfId="24746"/>
    <cellStyle name="Обычный 6 8 3 4 4 2" xfId="24747"/>
    <cellStyle name="Обычный 6 8 3 4 4 3" xfId="24748"/>
    <cellStyle name="Обычный 6 8 3 4 5" xfId="24749"/>
    <cellStyle name="Обычный 6 8 3 4 5 2" xfId="24750"/>
    <cellStyle name="Обычный 6 8 3 4 6" xfId="24751"/>
    <cellStyle name="Обычный 6 8 3 4 7" xfId="24752"/>
    <cellStyle name="Обычный 6 8 3 5" xfId="24753"/>
    <cellStyle name="Обычный 6 8 3 5 2" xfId="24754"/>
    <cellStyle name="Обычный 6 8 3 5 2 2" xfId="24755"/>
    <cellStyle name="Обычный 6 8 3 5 2 3" xfId="24756"/>
    <cellStyle name="Обычный 6 8 3 5 3" xfId="24757"/>
    <cellStyle name="Обычный 6 8 3 5 3 2" xfId="24758"/>
    <cellStyle name="Обычный 6 8 3 5 3 3" xfId="24759"/>
    <cellStyle name="Обычный 6 8 3 5 4" xfId="24760"/>
    <cellStyle name="Обычный 6 8 3 5 4 2" xfId="24761"/>
    <cellStyle name="Обычный 6 8 3 5 5" xfId="24762"/>
    <cellStyle name="Обычный 6 8 3 5 6" xfId="24763"/>
    <cellStyle name="Обычный 6 8 3 6" xfId="24764"/>
    <cellStyle name="Обычный 6 8 3 6 2" xfId="24765"/>
    <cellStyle name="Обычный 6 8 3 6 3" xfId="24766"/>
    <cellStyle name="Обычный 6 8 3 7" xfId="24767"/>
    <cellStyle name="Обычный 6 8 3 7 2" xfId="24768"/>
    <cellStyle name="Обычный 6 8 3 7 3" xfId="24769"/>
    <cellStyle name="Обычный 6 8 3 8" xfId="24770"/>
    <cellStyle name="Обычный 6 8 3 8 2" xfId="24771"/>
    <cellStyle name="Обычный 6 8 3 9" xfId="24772"/>
    <cellStyle name="Обычный 6 8 4" xfId="24773"/>
    <cellStyle name="Обычный 6 8 4 10" xfId="24774"/>
    <cellStyle name="Обычный 6 8 4 2" xfId="24775"/>
    <cellStyle name="Обычный 6 8 4 2 2" xfId="24776"/>
    <cellStyle name="Обычный 6 8 4 2 2 2" xfId="24777"/>
    <cellStyle name="Обычный 6 8 4 2 2 2 2" xfId="24778"/>
    <cellStyle name="Обычный 6 8 4 2 2 2 2 2" xfId="24779"/>
    <cellStyle name="Обычный 6 8 4 2 2 2 2 2 2" xfId="24780"/>
    <cellStyle name="Обычный 6 8 4 2 2 2 2 2 3" xfId="24781"/>
    <cellStyle name="Обычный 6 8 4 2 2 2 2 3" xfId="24782"/>
    <cellStyle name="Обычный 6 8 4 2 2 2 2 3 2" xfId="24783"/>
    <cellStyle name="Обычный 6 8 4 2 2 2 2 3 3" xfId="24784"/>
    <cellStyle name="Обычный 6 8 4 2 2 2 2 4" xfId="24785"/>
    <cellStyle name="Обычный 6 8 4 2 2 2 2 4 2" xfId="24786"/>
    <cellStyle name="Обычный 6 8 4 2 2 2 2 5" xfId="24787"/>
    <cellStyle name="Обычный 6 8 4 2 2 2 2 6" xfId="24788"/>
    <cellStyle name="Обычный 6 8 4 2 2 2 3" xfId="24789"/>
    <cellStyle name="Обычный 6 8 4 2 2 2 3 2" xfId="24790"/>
    <cellStyle name="Обычный 6 8 4 2 2 2 3 3" xfId="24791"/>
    <cellStyle name="Обычный 6 8 4 2 2 2 4" xfId="24792"/>
    <cellStyle name="Обычный 6 8 4 2 2 2 4 2" xfId="24793"/>
    <cellStyle name="Обычный 6 8 4 2 2 2 4 3" xfId="24794"/>
    <cellStyle name="Обычный 6 8 4 2 2 2 5" xfId="24795"/>
    <cellStyle name="Обычный 6 8 4 2 2 2 5 2" xfId="24796"/>
    <cellStyle name="Обычный 6 8 4 2 2 2 6" xfId="24797"/>
    <cellStyle name="Обычный 6 8 4 2 2 2 7" xfId="24798"/>
    <cellStyle name="Обычный 6 8 4 2 2 3" xfId="24799"/>
    <cellStyle name="Обычный 6 8 4 2 2 3 2" xfId="24800"/>
    <cellStyle name="Обычный 6 8 4 2 2 3 2 2" xfId="24801"/>
    <cellStyle name="Обычный 6 8 4 2 2 3 2 3" xfId="24802"/>
    <cellStyle name="Обычный 6 8 4 2 2 3 3" xfId="24803"/>
    <cellStyle name="Обычный 6 8 4 2 2 3 3 2" xfId="24804"/>
    <cellStyle name="Обычный 6 8 4 2 2 3 3 3" xfId="24805"/>
    <cellStyle name="Обычный 6 8 4 2 2 3 4" xfId="24806"/>
    <cellStyle name="Обычный 6 8 4 2 2 3 4 2" xfId="24807"/>
    <cellStyle name="Обычный 6 8 4 2 2 3 5" xfId="24808"/>
    <cellStyle name="Обычный 6 8 4 2 2 3 6" xfId="24809"/>
    <cellStyle name="Обычный 6 8 4 2 2 4" xfId="24810"/>
    <cellStyle name="Обычный 6 8 4 2 2 4 2" xfId="24811"/>
    <cellStyle name="Обычный 6 8 4 2 2 4 3" xfId="24812"/>
    <cellStyle name="Обычный 6 8 4 2 2 5" xfId="24813"/>
    <cellStyle name="Обычный 6 8 4 2 2 5 2" xfId="24814"/>
    <cellStyle name="Обычный 6 8 4 2 2 5 3" xfId="24815"/>
    <cellStyle name="Обычный 6 8 4 2 2 6" xfId="24816"/>
    <cellStyle name="Обычный 6 8 4 2 2 6 2" xfId="24817"/>
    <cellStyle name="Обычный 6 8 4 2 2 7" xfId="24818"/>
    <cellStyle name="Обычный 6 8 4 2 2 8" xfId="24819"/>
    <cellStyle name="Обычный 6 8 4 2 3" xfId="24820"/>
    <cellStyle name="Обычный 6 8 4 2 3 2" xfId="24821"/>
    <cellStyle name="Обычный 6 8 4 2 3 2 2" xfId="24822"/>
    <cellStyle name="Обычный 6 8 4 2 3 2 2 2" xfId="24823"/>
    <cellStyle name="Обычный 6 8 4 2 3 2 2 3" xfId="24824"/>
    <cellStyle name="Обычный 6 8 4 2 3 2 3" xfId="24825"/>
    <cellStyle name="Обычный 6 8 4 2 3 2 3 2" xfId="24826"/>
    <cellStyle name="Обычный 6 8 4 2 3 2 3 3" xfId="24827"/>
    <cellStyle name="Обычный 6 8 4 2 3 2 4" xfId="24828"/>
    <cellStyle name="Обычный 6 8 4 2 3 2 4 2" xfId="24829"/>
    <cellStyle name="Обычный 6 8 4 2 3 2 5" xfId="24830"/>
    <cellStyle name="Обычный 6 8 4 2 3 2 6" xfId="24831"/>
    <cellStyle name="Обычный 6 8 4 2 3 3" xfId="24832"/>
    <cellStyle name="Обычный 6 8 4 2 3 3 2" xfId="24833"/>
    <cellStyle name="Обычный 6 8 4 2 3 3 3" xfId="24834"/>
    <cellStyle name="Обычный 6 8 4 2 3 4" xfId="24835"/>
    <cellStyle name="Обычный 6 8 4 2 3 4 2" xfId="24836"/>
    <cellStyle name="Обычный 6 8 4 2 3 4 3" xfId="24837"/>
    <cellStyle name="Обычный 6 8 4 2 3 5" xfId="24838"/>
    <cellStyle name="Обычный 6 8 4 2 3 5 2" xfId="24839"/>
    <cellStyle name="Обычный 6 8 4 2 3 6" xfId="24840"/>
    <cellStyle name="Обычный 6 8 4 2 3 7" xfId="24841"/>
    <cellStyle name="Обычный 6 8 4 2 4" xfId="24842"/>
    <cellStyle name="Обычный 6 8 4 2 4 2" xfId="24843"/>
    <cellStyle name="Обычный 6 8 4 2 4 2 2" xfId="24844"/>
    <cellStyle name="Обычный 6 8 4 2 4 2 3" xfId="24845"/>
    <cellStyle name="Обычный 6 8 4 2 4 3" xfId="24846"/>
    <cellStyle name="Обычный 6 8 4 2 4 3 2" xfId="24847"/>
    <cellStyle name="Обычный 6 8 4 2 4 3 3" xfId="24848"/>
    <cellStyle name="Обычный 6 8 4 2 4 4" xfId="24849"/>
    <cellStyle name="Обычный 6 8 4 2 4 4 2" xfId="24850"/>
    <cellStyle name="Обычный 6 8 4 2 4 5" xfId="24851"/>
    <cellStyle name="Обычный 6 8 4 2 4 6" xfId="24852"/>
    <cellStyle name="Обычный 6 8 4 2 5" xfId="24853"/>
    <cellStyle name="Обычный 6 8 4 2 5 2" xfId="24854"/>
    <cellStyle name="Обычный 6 8 4 2 5 3" xfId="24855"/>
    <cellStyle name="Обычный 6 8 4 2 6" xfId="24856"/>
    <cellStyle name="Обычный 6 8 4 2 6 2" xfId="24857"/>
    <cellStyle name="Обычный 6 8 4 2 6 3" xfId="24858"/>
    <cellStyle name="Обычный 6 8 4 2 7" xfId="24859"/>
    <cellStyle name="Обычный 6 8 4 2 7 2" xfId="24860"/>
    <cellStyle name="Обычный 6 8 4 2 8" xfId="24861"/>
    <cellStyle name="Обычный 6 8 4 2 9" xfId="24862"/>
    <cellStyle name="Обычный 6 8 4 3" xfId="24863"/>
    <cellStyle name="Обычный 6 8 4 3 2" xfId="24864"/>
    <cellStyle name="Обычный 6 8 4 3 2 2" xfId="24865"/>
    <cellStyle name="Обычный 6 8 4 3 2 2 2" xfId="24866"/>
    <cellStyle name="Обычный 6 8 4 3 2 2 2 2" xfId="24867"/>
    <cellStyle name="Обычный 6 8 4 3 2 2 2 3" xfId="24868"/>
    <cellStyle name="Обычный 6 8 4 3 2 2 3" xfId="24869"/>
    <cellStyle name="Обычный 6 8 4 3 2 2 3 2" xfId="24870"/>
    <cellStyle name="Обычный 6 8 4 3 2 2 3 3" xfId="24871"/>
    <cellStyle name="Обычный 6 8 4 3 2 2 4" xfId="24872"/>
    <cellStyle name="Обычный 6 8 4 3 2 2 4 2" xfId="24873"/>
    <cellStyle name="Обычный 6 8 4 3 2 2 5" xfId="24874"/>
    <cellStyle name="Обычный 6 8 4 3 2 2 6" xfId="24875"/>
    <cellStyle name="Обычный 6 8 4 3 2 3" xfId="24876"/>
    <cellStyle name="Обычный 6 8 4 3 2 3 2" xfId="24877"/>
    <cellStyle name="Обычный 6 8 4 3 2 3 3" xfId="24878"/>
    <cellStyle name="Обычный 6 8 4 3 2 4" xfId="24879"/>
    <cellStyle name="Обычный 6 8 4 3 2 4 2" xfId="24880"/>
    <cellStyle name="Обычный 6 8 4 3 2 4 3" xfId="24881"/>
    <cellStyle name="Обычный 6 8 4 3 2 5" xfId="24882"/>
    <cellStyle name="Обычный 6 8 4 3 2 5 2" xfId="24883"/>
    <cellStyle name="Обычный 6 8 4 3 2 6" xfId="24884"/>
    <cellStyle name="Обычный 6 8 4 3 2 7" xfId="24885"/>
    <cellStyle name="Обычный 6 8 4 3 3" xfId="24886"/>
    <cellStyle name="Обычный 6 8 4 3 3 2" xfId="24887"/>
    <cellStyle name="Обычный 6 8 4 3 3 2 2" xfId="24888"/>
    <cellStyle name="Обычный 6 8 4 3 3 2 3" xfId="24889"/>
    <cellStyle name="Обычный 6 8 4 3 3 3" xfId="24890"/>
    <cellStyle name="Обычный 6 8 4 3 3 3 2" xfId="24891"/>
    <cellStyle name="Обычный 6 8 4 3 3 3 3" xfId="24892"/>
    <cellStyle name="Обычный 6 8 4 3 3 4" xfId="24893"/>
    <cellStyle name="Обычный 6 8 4 3 3 4 2" xfId="24894"/>
    <cellStyle name="Обычный 6 8 4 3 3 5" xfId="24895"/>
    <cellStyle name="Обычный 6 8 4 3 3 6" xfId="24896"/>
    <cellStyle name="Обычный 6 8 4 3 4" xfId="24897"/>
    <cellStyle name="Обычный 6 8 4 3 4 2" xfId="24898"/>
    <cellStyle name="Обычный 6 8 4 3 4 3" xfId="24899"/>
    <cellStyle name="Обычный 6 8 4 3 5" xfId="24900"/>
    <cellStyle name="Обычный 6 8 4 3 5 2" xfId="24901"/>
    <cellStyle name="Обычный 6 8 4 3 5 3" xfId="24902"/>
    <cellStyle name="Обычный 6 8 4 3 6" xfId="24903"/>
    <cellStyle name="Обычный 6 8 4 3 6 2" xfId="24904"/>
    <cellStyle name="Обычный 6 8 4 3 7" xfId="24905"/>
    <cellStyle name="Обычный 6 8 4 3 8" xfId="24906"/>
    <cellStyle name="Обычный 6 8 4 4" xfId="24907"/>
    <cellStyle name="Обычный 6 8 4 4 2" xfId="24908"/>
    <cellStyle name="Обычный 6 8 4 4 2 2" xfId="24909"/>
    <cellStyle name="Обычный 6 8 4 4 2 2 2" xfId="24910"/>
    <cellStyle name="Обычный 6 8 4 4 2 2 3" xfId="24911"/>
    <cellStyle name="Обычный 6 8 4 4 2 3" xfId="24912"/>
    <cellStyle name="Обычный 6 8 4 4 2 3 2" xfId="24913"/>
    <cellStyle name="Обычный 6 8 4 4 2 3 3" xfId="24914"/>
    <cellStyle name="Обычный 6 8 4 4 2 4" xfId="24915"/>
    <cellStyle name="Обычный 6 8 4 4 2 4 2" xfId="24916"/>
    <cellStyle name="Обычный 6 8 4 4 2 5" xfId="24917"/>
    <cellStyle name="Обычный 6 8 4 4 2 6" xfId="24918"/>
    <cellStyle name="Обычный 6 8 4 4 3" xfId="24919"/>
    <cellStyle name="Обычный 6 8 4 4 3 2" xfId="24920"/>
    <cellStyle name="Обычный 6 8 4 4 3 3" xfId="24921"/>
    <cellStyle name="Обычный 6 8 4 4 4" xfId="24922"/>
    <cellStyle name="Обычный 6 8 4 4 4 2" xfId="24923"/>
    <cellStyle name="Обычный 6 8 4 4 4 3" xfId="24924"/>
    <cellStyle name="Обычный 6 8 4 4 5" xfId="24925"/>
    <cellStyle name="Обычный 6 8 4 4 5 2" xfId="24926"/>
    <cellStyle name="Обычный 6 8 4 4 6" xfId="24927"/>
    <cellStyle name="Обычный 6 8 4 4 7" xfId="24928"/>
    <cellStyle name="Обычный 6 8 4 5" xfId="24929"/>
    <cellStyle name="Обычный 6 8 4 5 2" xfId="24930"/>
    <cellStyle name="Обычный 6 8 4 5 2 2" xfId="24931"/>
    <cellStyle name="Обычный 6 8 4 5 2 3" xfId="24932"/>
    <cellStyle name="Обычный 6 8 4 5 3" xfId="24933"/>
    <cellStyle name="Обычный 6 8 4 5 3 2" xfId="24934"/>
    <cellStyle name="Обычный 6 8 4 5 3 3" xfId="24935"/>
    <cellStyle name="Обычный 6 8 4 5 4" xfId="24936"/>
    <cellStyle name="Обычный 6 8 4 5 4 2" xfId="24937"/>
    <cellStyle name="Обычный 6 8 4 5 5" xfId="24938"/>
    <cellStyle name="Обычный 6 8 4 5 6" xfId="24939"/>
    <cellStyle name="Обычный 6 8 4 6" xfId="24940"/>
    <cellStyle name="Обычный 6 8 4 6 2" xfId="24941"/>
    <cellStyle name="Обычный 6 8 4 6 3" xfId="24942"/>
    <cellStyle name="Обычный 6 8 4 7" xfId="24943"/>
    <cellStyle name="Обычный 6 8 4 7 2" xfId="24944"/>
    <cellStyle name="Обычный 6 8 4 7 3" xfId="24945"/>
    <cellStyle name="Обычный 6 8 4 8" xfId="24946"/>
    <cellStyle name="Обычный 6 8 4 8 2" xfId="24947"/>
    <cellStyle name="Обычный 6 8 4 9" xfId="24948"/>
    <cellStyle name="Обычный 6 8 5" xfId="24949"/>
    <cellStyle name="Обычный 6 8 5 10" xfId="24950"/>
    <cellStyle name="Обычный 6 8 5 2" xfId="24951"/>
    <cellStyle name="Обычный 6 8 5 2 2" xfId="24952"/>
    <cellStyle name="Обычный 6 8 5 2 2 2" xfId="24953"/>
    <cellStyle name="Обычный 6 8 5 2 2 2 2" xfId="24954"/>
    <cellStyle name="Обычный 6 8 5 2 2 2 2 2" xfId="24955"/>
    <cellStyle name="Обычный 6 8 5 2 2 2 2 2 2" xfId="24956"/>
    <cellStyle name="Обычный 6 8 5 2 2 2 2 2 3" xfId="24957"/>
    <cellStyle name="Обычный 6 8 5 2 2 2 2 3" xfId="24958"/>
    <cellStyle name="Обычный 6 8 5 2 2 2 2 3 2" xfId="24959"/>
    <cellStyle name="Обычный 6 8 5 2 2 2 2 3 3" xfId="24960"/>
    <cellStyle name="Обычный 6 8 5 2 2 2 2 4" xfId="24961"/>
    <cellStyle name="Обычный 6 8 5 2 2 2 2 4 2" xfId="24962"/>
    <cellStyle name="Обычный 6 8 5 2 2 2 2 5" xfId="24963"/>
    <cellStyle name="Обычный 6 8 5 2 2 2 2 6" xfId="24964"/>
    <cellStyle name="Обычный 6 8 5 2 2 2 3" xfId="24965"/>
    <cellStyle name="Обычный 6 8 5 2 2 2 3 2" xfId="24966"/>
    <cellStyle name="Обычный 6 8 5 2 2 2 3 3" xfId="24967"/>
    <cellStyle name="Обычный 6 8 5 2 2 2 4" xfId="24968"/>
    <cellStyle name="Обычный 6 8 5 2 2 2 4 2" xfId="24969"/>
    <cellStyle name="Обычный 6 8 5 2 2 2 4 3" xfId="24970"/>
    <cellStyle name="Обычный 6 8 5 2 2 2 5" xfId="24971"/>
    <cellStyle name="Обычный 6 8 5 2 2 2 5 2" xfId="24972"/>
    <cellStyle name="Обычный 6 8 5 2 2 2 6" xfId="24973"/>
    <cellStyle name="Обычный 6 8 5 2 2 2 7" xfId="24974"/>
    <cellStyle name="Обычный 6 8 5 2 2 3" xfId="24975"/>
    <cellStyle name="Обычный 6 8 5 2 2 3 2" xfId="24976"/>
    <cellStyle name="Обычный 6 8 5 2 2 3 2 2" xfId="24977"/>
    <cellStyle name="Обычный 6 8 5 2 2 3 2 3" xfId="24978"/>
    <cellStyle name="Обычный 6 8 5 2 2 3 3" xfId="24979"/>
    <cellStyle name="Обычный 6 8 5 2 2 3 3 2" xfId="24980"/>
    <cellStyle name="Обычный 6 8 5 2 2 3 3 3" xfId="24981"/>
    <cellStyle name="Обычный 6 8 5 2 2 3 4" xfId="24982"/>
    <cellStyle name="Обычный 6 8 5 2 2 3 4 2" xfId="24983"/>
    <cellStyle name="Обычный 6 8 5 2 2 3 5" xfId="24984"/>
    <cellStyle name="Обычный 6 8 5 2 2 3 6" xfId="24985"/>
    <cellStyle name="Обычный 6 8 5 2 2 4" xfId="24986"/>
    <cellStyle name="Обычный 6 8 5 2 2 4 2" xfId="24987"/>
    <cellStyle name="Обычный 6 8 5 2 2 4 3" xfId="24988"/>
    <cellStyle name="Обычный 6 8 5 2 2 5" xfId="24989"/>
    <cellStyle name="Обычный 6 8 5 2 2 5 2" xfId="24990"/>
    <cellStyle name="Обычный 6 8 5 2 2 5 3" xfId="24991"/>
    <cellStyle name="Обычный 6 8 5 2 2 6" xfId="24992"/>
    <cellStyle name="Обычный 6 8 5 2 2 6 2" xfId="24993"/>
    <cellStyle name="Обычный 6 8 5 2 2 7" xfId="24994"/>
    <cellStyle name="Обычный 6 8 5 2 2 8" xfId="24995"/>
    <cellStyle name="Обычный 6 8 5 2 3" xfId="24996"/>
    <cellStyle name="Обычный 6 8 5 2 3 2" xfId="24997"/>
    <cellStyle name="Обычный 6 8 5 2 3 2 2" xfId="24998"/>
    <cellStyle name="Обычный 6 8 5 2 3 2 2 2" xfId="24999"/>
    <cellStyle name="Обычный 6 8 5 2 3 2 2 3" xfId="25000"/>
    <cellStyle name="Обычный 6 8 5 2 3 2 3" xfId="25001"/>
    <cellStyle name="Обычный 6 8 5 2 3 2 3 2" xfId="25002"/>
    <cellStyle name="Обычный 6 8 5 2 3 2 3 3" xfId="25003"/>
    <cellStyle name="Обычный 6 8 5 2 3 2 4" xfId="25004"/>
    <cellStyle name="Обычный 6 8 5 2 3 2 4 2" xfId="25005"/>
    <cellStyle name="Обычный 6 8 5 2 3 2 5" xfId="25006"/>
    <cellStyle name="Обычный 6 8 5 2 3 2 6" xfId="25007"/>
    <cellStyle name="Обычный 6 8 5 2 3 3" xfId="25008"/>
    <cellStyle name="Обычный 6 8 5 2 3 3 2" xfId="25009"/>
    <cellStyle name="Обычный 6 8 5 2 3 3 3" xfId="25010"/>
    <cellStyle name="Обычный 6 8 5 2 3 4" xfId="25011"/>
    <cellStyle name="Обычный 6 8 5 2 3 4 2" xfId="25012"/>
    <cellStyle name="Обычный 6 8 5 2 3 4 3" xfId="25013"/>
    <cellStyle name="Обычный 6 8 5 2 3 5" xfId="25014"/>
    <cellStyle name="Обычный 6 8 5 2 3 5 2" xfId="25015"/>
    <cellStyle name="Обычный 6 8 5 2 3 6" xfId="25016"/>
    <cellStyle name="Обычный 6 8 5 2 3 7" xfId="25017"/>
    <cellStyle name="Обычный 6 8 5 2 4" xfId="25018"/>
    <cellStyle name="Обычный 6 8 5 2 4 2" xfId="25019"/>
    <cellStyle name="Обычный 6 8 5 2 4 2 2" xfId="25020"/>
    <cellStyle name="Обычный 6 8 5 2 4 2 3" xfId="25021"/>
    <cellStyle name="Обычный 6 8 5 2 4 3" xfId="25022"/>
    <cellStyle name="Обычный 6 8 5 2 4 3 2" xfId="25023"/>
    <cellStyle name="Обычный 6 8 5 2 4 3 3" xfId="25024"/>
    <cellStyle name="Обычный 6 8 5 2 4 4" xfId="25025"/>
    <cellStyle name="Обычный 6 8 5 2 4 4 2" xfId="25026"/>
    <cellStyle name="Обычный 6 8 5 2 4 5" xfId="25027"/>
    <cellStyle name="Обычный 6 8 5 2 4 6" xfId="25028"/>
    <cellStyle name="Обычный 6 8 5 2 5" xfId="25029"/>
    <cellStyle name="Обычный 6 8 5 2 5 2" xfId="25030"/>
    <cellStyle name="Обычный 6 8 5 2 5 3" xfId="25031"/>
    <cellStyle name="Обычный 6 8 5 2 6" xfId="25032"/>
    <cellStyle name="Обычный 6 8 5 2 6 2" xfId="25033"/>
    <cellStyle name="Обычный 6 8 5 2 6 3" xfId="25034"/>
    <cellStyle name="Обычный 6 8 5 2 7" xfId="25035"/>
    <cellStyle name="Обычный 6 8 5 2 7 2" xfId="25036"/>
    <cellStyle name="Обычный 6 8 5 2 8" xfId="25037"/>
    <cellStyle name="Обычный 6 8 5 2 9" xfId="25038"/>
    <cellStyle name="Обычный 6 8 5 3" xfId="25039"/>
    <cellStyle name="Обычный 6 8 5 3 2" xfId="25040"/>
    <cellStyle name="Обычный 6 8 5 3 2 2" xfId="25041"/>
    <cellStyle name="Обычный 6 8 5 3 2 2 2" xfId="25042"/>
    <cellStyle name="Обычный 6 8 5 3 2 2 2 2" xfId="25043"/>
    <cellStyle name="Обычный 6 8 5 3 2 2 2 3" xfId="25044"/>
    <cellStyle name="Обычный 6 8 5 3 2 2 3" xfId="25045"/>
    <cellStyle name="Обычный 6 8 5 3 2 2 3 2" xfId="25046"/>
    <cellStyle name="Обычный 6 8 5 3 2 2 3 3" xfId="25047"/>
    <cellStyle name="Обычный 6 8 5 3 2 2 4" xfId="25048"/>
    <cellStyle name="Обычный 6 8 5 3 2 2 4 2" xfId="25049"/>
    <cellStyle name="Обычный 6 8 5 3 2 2 5" xfId="25050"/>
    <cellStyle name="Обычный 6 8 5 3 2 2 6" xfId="25051"/>
    <cellStyle name="Обычный 6 8 5 3 2 3" xfId="25052"/>
    <cellStyle name="Обычный 6 8 5 3 2 3 2" xfId="25053"/>
    <cellStyle name="Обычный 6 8 5 3 2 3 3" xfId="25054"/>
    <cellStyle name="Обычный 6 8 5 3 2 4" xfId="25055"/>
    <cellStyle name="Обычный 6 8 5 3 2 4 2" xfId="25056"/>
    <cellStyle name="Обычный 6 8 5 3 2 4 3" xfId="25057"/>
    <cellStyle name="Обычный 6 8 5 3 2 5" xfId="25058"/>
    <cellStyle name="Обычный 6 8 5 3 2 5 2" xfId="25059"/>
    <cellStyle name="Обычный 6 8 5 3 2 6" xfId="25060"/>
    <cellStyle name="Обычный 6 8 5 3 2 7" xfId="25061"/>
    <cellStyle name="Обычный 6 8 5 3 3" xfId="25062"/>
    <cellStyle name="Обычный 6 8 5 3 3 2" xfId="25063"/>
    <cellStyle name="Обычный 6 8 5 3 3 2 2" xfId="25064"/>
    <cellStyle name="Обычный 6 8 5 3 3 2 3" xfId="25065"/>
    <cellStyle name="Обычный 6 8 5 3 3 3" xfId="25066"/>
    <cellStyle name="Обычный 6 8 5 3 3 3 2" xfId="25067"/>
    <cellStyle name="Обычный 6 8 5 3 3 3 3" xfId="25068"/>
    <cellStyle name="Обычный 6 8 5 3 3 4" xfId="25069"/>
    <cellStyle name="Обычный 6 8 5 3 3 4 2" xfId="25070"/>
    <cellStyle name="Обычный 6 8 5 3 3 5" xfId="25071"/>
    <cellStyle name="Обычный 6 8 5 3 3 6" xfId="25072"/>
    <cellStyle name="Обычный 6 8 5 3 4" xfId="25073"/>
    <cellStyle name="Обычный 6 8 5 3 4 2" xfId="25074"/>
    <cellStyle name="Обычный 6 8 5 3 4 3" xfId="25075"/>
    <cellStyle name="Обычный 6 8 5 3 5" xfId="25076"/>
    <cellStyle name="Обычный 6 8 5 3 5 2" xfId="25077"/>
    <cellStyle name="Обычный 6 8 5 3 5 3" xfId="25078"/>
    <cellStyle name="Обычный 6 8 5 3 6" xfId="25079"/>
    <cellStyle name="Обычный 6 8 5 3 6 2" xfId="25080"/>
    <cellStyle name="Обычный 6 8 5 3 7" xfId="25081"/>
    <cellStyle name="Обычный 6 8 5 3 8" xfId="25082"/>
    <cellStyle name="Обычный 6 8 5 4" xfId="25083"/>
    <cellStyle name="Обычный 6 8 5 4 2" xfId="25084"/>
    <cellStyle name="Обычный 6 8 5 4 2 2" xfId="25085"/>
    <cellStyle name="Обычный 6 8 5 4 2 2 2" xfId="25086"/>
    <cellStyle name="Обычный 6 8 5 4 2 2 3" xfId="25087"/>
    <cellStyle name="Обычный 6 8 5 4 2 3" xfId="25088"/>
    <cellStyle name="Обычный 6 8 5 4 2 3 2" xfId="25089"/>
    <cellStyle name="Обычный 6 8 5 4 2 3 3" xfId="25090"/>
    <cellStyle name="Обычный 6 8 5 4 2 4" xfId="25091"/>
    <cellStyle name="Обычный 6 8 5 4 2 4 2" xfId="25092"/>
    <cellStyle name="Обычный 6 8 5 4 2 5" xfId="25093"/>
    <cellStyle name="Обычный 6 8 5 4 2 6" xfId="25094"/>
    <cellStyle name="Обычный 6 8 5 4 3" xfId="25095"/>
    <cellStyle name="Обычный 6 8 5 4 3 2" xfId="25096"/>
    <cellStyle name="Обычный 6 8 5 4 3 3" xfId="25097"/>
    <cellStyle name="Обычный 6 8 5 4 4" xfId="25098"/>
    <cellStyle name="Обычный 6 8 5 4 4 2" xfId="25099"/>
    <cellStyle name="Обычный 6 8 5 4 4 3" xfId="25100"/>
    <cellStyle name="Обычный 6 8 5 4 5" xfId="25101"/>
    <cellStyle name="Обычный 6 8 5 4 5 2" xfId="25102"/>
    <cellStyle name="Обычный 6 8 5 4 6" xfId="25103"/>
    <cellStyle name="Обычный 6 8 5 4 7" xfId="25104"/>
    <cellStyle name="Обычный 6 8 5 5" xfId="25105"/>
    <cellStyle name="Обычный 6 8 5 5 2" xfId="25106"/>
    <cellStyle name="Обычный 6 8 5 5 2 2" xfId="25107"/>
    <cellStyle name="Обычный 6 8 5 5 2 3" xfId="25108"/>
    <cellStyle name="Обычный 6 8 5 5 3" xfId="25109"/>
    <cellStyle name="Обычный 6 8 5 5 3 2" xfId="25110"/>
    <cellStyle name="Обычный 6 8 5 5 3 3" xfId="25111"/>
    <cellStyle name="Обычный 6 8 5 5 4" xfId="25112"/>
    <cellStyle name="Обычный 6 8 5 5 4 2" xfId="25113"/>
    <cellStyle name="Обычный 6 8 5 5 5" xfId="25114"/>
    <cellStyle name="Обычный 6 8 5 5 6" xfId="25115"/>
    <cellStyle name="Обычный 6 8 5 6" xfId="25116"/>
    <cellStyle name="Обычный 6 8 5 6 2" xfId="25117"/>
    <cellStyle name="Обычный 6 8 5 6 3" xfId="25118"/>
    <cellStyle name="Обычный 6 8 5 7" xfId="25119"/>
    <cellStyle name="Обычный 6 8 5 7 2" xfId="25120"/>
    <cellStyle name="Обычный 6 8 5 7 3" xfId="25121"/>
    <cellStyle name="Обычный 6 8 5 8" xfId="25122"/>
    <cellStyle name="Обычный 6 8 5 8 2" xfId="25123"/>
    <cellStyle name="Обычный 6 8 5 9" xfId="25124"/>
    <cellStyle name="Обычный 6 8 6" xfId="25125"/>
    <cellStyle name="Обычный 6 8 6 2" xfId="25126"/>
    <cellStyle name="Обычный 6 8 6 2 2" xfId="25127"/>
    <cellStyle name="Обычный 6 8 6 2 2 2" xfId="25128"/>
    <cellStyle name="Обычный 6 8 6 2 2 2 2" xfId="25129"/>
    <cellStyle name="Обычный 6 8 6 2 2 2 2 2" xfId="25130"/>
    <cellStyle name="Обычный 6 8 6 2 2 2 2 3" xfId="25131"/>
    <cellStyle name="Обычный 6 8 6 2 2 2 3" xfId="25132"/>
    <cellStyle name="Обычный 6 8 6 2 2 2 3 2" xfId="25133"/>
    <cellStyle name="Обычный 6 8 6 2 2 2 3 3" xfId="25134"/>
    <cellStyle name="Обычный 6 8 6 2 2 2 4" xfId="25135"/>
    <cellStyle name="Обычный 6 8 6 2 2 2 4 2" xfId="25136"/>
    <cellStyle name="Обычный 6 8 6 2 2 2 5" xfId="25137"/>
    <cellStyle name="Обычный 6 8 6 2 2 2 6" xfId="25138"/>
    <cellStyle name="Обычный 6 8 6 2 2 3" xfId="25139"/>
    <cellStyle name="Обычный 6 8 6 2 2 3 2" xfId="25140"/>
    <cellStyle name="Обычный 6 8 6 2 2 3 3" xfId="25141"/>
    <cellStyle name="Обычный 6 8 6 2 2 4" xfId="25142"/>
    <cellStyle name="Обычный 6 8 6 2 2 4 2" xfId="25143"/>
    <cellStyle name="Обычный 6 8 6 2 2 4 3" xfId="25144"/>
    <cellStyle name="Обычный 6 8 6 2 2 5" xfId="25145"/>
    <cellStyle name="Обычный 6 8 6 2 2 5 2" xfId="25146"/>
    <cellStyle name="Обычный 6 8 6 2 2 6" xfId="25147"/>
    <cellStyle name="Обычный 6 8 6 2 2 7" xfId="25148"/>
    <cellStyle name="Обычный 6 8 6 2 3" xfId="25149"/>
    <cellStyle name="Обычный 6 8 6 2 3 2" xfId="25150"/>
    <cellStyle name="Обычный 6 8 6 2 3 2 2" xfId="25151"/>
    <cellStyle name="Обычный 6 8 6 2 3 2 3" xfId="25152"/>
    <cellStyle name="Обычный 6 8 6 2 3 3" xfId="25153"/>
    <cellStyle name="Обычный 6 8 6 2 3 3 2" xfId="25154"/>
    <cellStyle name="Обычный 6 8 6 2 3 3 3" xfId="25155"/>
    <cellStyle name="Обычный 6 8 6 2 3 4" xfId="25156"/>
    <cellStyle name="Обычный 6 8 6 2 3 4 2" xfId="25157"/>
    <cellStyle name="Обычный 6 8 6 2 3 5" xfId="25158"/>
    <cellStyle name="Обычный 6 8 6 2 3 6" xfId="25159"/>
    <cellStyle name="Обычный 6 8 6 2 4" xfId="25160"/>
    <cellStyle name="Обычный 6 8 6 2 4 2" xfId="25161"/>
    <cellStyle name="Обычный 6 8 6 2 4 3" xfId="25162"/>
    <cellStyle name="Обычный 6 8 6 2 5" xfId="25163"/>
    <cellStyle name="Обычный 6 8 6 2 5 2" xfId="25164"/>
    <cellStyle name="Обычный 6 8 6 2 5 3" xfId="25165"/>
    <cellStyle name="Обычный 6 8 6 2 6" xfId="25166"/>
    <cellStyle name="Обычный 6 8 6 2 6 2" xfId="25167"/>
    <cellStyle name="Обычный 6 8 6 2 7" xfId="25168"/>
    <cellStyle name="Обычный 6 8 6 2 8" xfId="25169"/>
    <cellStyle name="Обычный 6 8 6 3" xfId="25170"/>
    <cellStyle name="Обычный 6 8 6 3 2" xfId="25171"/>
    <cellStyle name="Обычный 6 8 6 3 2 2" xfId="25172"/>
    <cellStyle name="Обычный 6 8 6 3 2 2 2" xfId="25173"/>
    <cellStyle name="Обычный 6 8 6 3 2 2 3" xfId="25174"/>
    <cellStyle name="Обычный 6 8 6 3 2 3" xfId="25175"/>
    <cellStyle name="Обычный 6 8 6 3 2 3 2" xfId="25176"/>
    <cellStyle name="Обычный 6 8 6 3 2 3 3" xfId="25177"/>
    <cellStyle name="Обычный 6 8 6 3 2 4" xfId="25178"/>
    <cellStyle name="Обычный 6 8 6 3 2 4 2" xfId="25179"/>
    <cellStyle name="Обычный 6 8 6 3 2 5" xfId="25180"/>
    <cellStyle name="Обычный 6 8 6 3 2 6" xfId="25181"/>
    <cellStyle name="Обычный 6 8 6 3 3" xfId="25182"/>
    <cellStyle name="Обычный 6 8 6 3 3 2" xfId="25183"/>
    <cellStyle name="Обычный 6 8 6 3 3 3" xfId="25184"/>
    <cellStyle name="Обычный 6 8 6 3 4" xfId="25185"/>
    <cellStyle name="Обычный 6 8 6 3 4 2" xfId="25186"/>
    <cellStyle name="Обычный 6 8 6 3 4 3" xfId="25187"/>
    <cellStyle name="Обычный 6 8 6 3 5" xfId="25188"/>
    <cellStyle name="Обычный 6 8 6 3 5 2" xfId="25189"/>
    <cellStyle name="Обычный 6 8 6 3 6" xfId="25190"/>
    <cellStyle name="Обычный 6 8 6 3 7" xfId="25191"/>
    <cellStyle name="Обычный 6 8 6 4" xfId="25192"/>
    <cellStyle name="Обычный 6 8 6 4 2" xfId="25193"/>
    <cellStyle name="Обычный 6 8 6 4 2 2" xfId="25194"/>
    <cellStyle name="Обычный 6 8 6 4 2 3" xfId="25195"/>
    <cellStyle name="Обычный 6 8 6 4 3" xfId="25196"/>
    <cellStyle name="Обычный 6 8 6 4 3 2" xfId="25197"/>
    <cellStyle name="Обычный 6 8 6 4 3 3" xfId="25198"/>
    <cellStyle name="Обычный 6 8 6 4 4" xfId="25199"/>
    <cellStyle name="Обычный 6 8 6 4 4 2" xfId="25200"/>
    <cellStyle name="Обычный 6 8 6 4 5" xfId="25201"/>
    <cellStyle name="Обычный 6 8 6 4 6" xfId="25202"/>
    <cellStyle name="Обычный 6 8 6 5" xfId="25203"/>
    <cellStyle name="Обычный 6 8 6 5 2" xfId="25204"/>
    <cellStyle name="Обычный 6 8 6 5 3" xfId="25205"/>
    <cellStyle name="Обычный 6 8 6 6" xfId="25206"/>
    <cellStyle name="Обычный 6 8 6 6 2" xfId="25207"/>
    <cellStyle name="Обычный 6 8 6 6 3" xfId="25208"/>
    <cellStyle name="Обычный 6 8 6 7" xfId="25209"/>
    <cellStyle name="Обычный 6 8 6 7 2" xfId="25210"/>
    <cellStyle name="Обычный 6 8 6 8" xfId="25211"/>
    <cellStyle name="Обычный 6 8 6 9" xfId="25212"/>
    <cellStyle name="Обычный 6 8 7" xfId="25213"/>
    <cellStyle name="Обычный 6 8 7 2" xfId="25214"/>
    <cellStyle name="Обычный 6 8 7 2 2" xfId="25215"/>
    <cellStyle name="Обычный 6 8 7 2 2 2" xfId="25216"/>
    <cellStyle name="Обычный 6 8 7 2 2 2 2" xfId="25217"/>
    <cellStyle name="Обычный 6 8 7 2 2 2 3" xfId="25218"/>
    <cellStyle name="Обычный 6 8 7 2 2 3" xfId="25219"/>
    <cellStyle name="Обычный 6 8 7 2 2 3 2" xfId="25220"/>
    <cellStyle name="Обычный 6 8 7 2 2 3 3" xfId="25221"/>
    <cellStyle name="Обычный 6 8 7 2 2 4" xfId="25222"/>
    <cellStyle name="Обычный 6 8 7 2 2 4 2" xfId="25223"/>
    <cellStyle name="Обычный 6 8 7 2 2 5" xfId="25224"/>
    <cellStyle name="Обычный 6 8 7 2 2 6" xfId="25225"/>
    <cellStyle name="Обычный 6 8 7 2 3" xfId="25226"/>
    <cellStyle name="Обычный 6 8 7 2 3 2" xfId="25227"/>
    <cellStyle name="Обычный 6 8 7 2 3 3" xfId="25228"/>
    <cellStyle name="Обычный 6 8 7 2 4" xfId="25229"/>
    <cellStyle name="Обычный 6 8 7 2 4 2" xfId="25230"/>
    <cellStyle name="Обычный 6 8 7 2 4 3" xfId="25231"/>
    <cellStyle name="Обычный 6 8 7 2 5" xfId="25232"/>
    <cellStyle name="Обычный 6 8 7 2 5 2" xfId="25233"/>
    <cellStyle name="Обычный 6 8 7 2 6" xfId="25234"/>
    <cellStyle name="Обычный 6 8 7 2 7" xfId="25235"/>
    <cellStyle name="Обычный 6 8 7 3" xfId="25236"/>
    <cellStyle name="Обычный 6 8 7 3 2" xfId="25237"/>
    <cellStyle name="Обычный 6 8 7 3 2 2" xfId="25238"/>
    <cellStyle name="Обычный 6 8 7 3 2 3" xfId="25239"/>
    <cellStyle name="Обычный 6 8 7 3 3" xfId="25240"/>
    <cellStyle name="Обычный 6 8 7 3 3 2" xfId="25241"/>
    <cellStyle name="Обычный 6 8 7 3 3 3" xfId="25242"/>
    <cellStyle name="Обычный 6 8 7 3 4" xfId="25243"/>
    <cellStyle name="Обычный 6 8 7 3 4 2" xfId="25244"/>
    <cellStyle name="Обычный 6 8 7 3 5" xfId="25245"/>
    <cellStyle name="Обычный 6 8 7 3 6" xfId="25246"/>
    <cellStyle name="Обычный 6 8 7 4" xfId="25247"/>
    <cellStyle name="Обычный 6 8 7 4 2" xfId="25248"/>
    <cellStyle name="Обычный 6 8 7 4 3" xfId="25249"/>
    <cellStyle name="Обычный 6 8 7 5" xfId="25250"/>
    <cellStyle name="Обычный 6 8 7 5 2" xfId="25251"/>
    <cellStyle name="Обычный 6 8 7 5 3" xfId="25252"/>
    <cellStyle name="Обычный 6 8 7 6" xfId="25253"/>
    <cellStyle name="Обычный 6 8 7 6 2" xfId="25254"/>
    <cellStyle name="Обычный 6 8 7 7" xfId="25255"/>
    <cellStyle name="Обычный 6 8 7 8" xfId="25256"/>
    <cellStyle name="Обычный 6 8 8" xfId="25257"/>
    <cellStyle name="Обычный 6 8 8 2" xfId="25258"/>
    <cellStyle name="Обычный 6 8 8 2 2" xfId="25259"/>
    <cellStyle name="Обычный 6 8 8 2 2 2" xfId="25260"/>
    <cellStyle name="Обычный 6 8 8 2 2 3" xfId="25261"/>
    <cellStyle name="Обычный 6 8 8 2 3" xfId="25262"/>
    <cellStyle name="Обычный 6 8 8 2 3 2" xfId="25263"/>
    <cellStyle name="Обычный 6 8 8 2 3 3" xfId="25264"/>
    <cellStyle name="Обычный 6 8 8 2 4" xfId="25265"/>
    <cellStyle name="Обычный 6 8 8 2 4 2" xfId="25266"/>
    <cellStyle name="Обычный 6 8 8 2 5" xfId="25267"/>
    <cellStyle name="Обычный 6 8 8 2 6" xfId="25268"/>
    <cellStyle name="Обычный 6 8 8 3" xfId="25269"/>
    <cellStyle name="Обычный 6 8 8 3 2" xfId="25270"/>
    <cellStyle name="Обычный 6 8 8 3 3" xfId="25271"/>
    <cellStyle name="Обычный 6 8 8 4" xfId="25272"/>
    <cellStyle name="Обычный 6 8 8 4 2" xfId="25273"/>
    <cellStyle name="Обычный 6 8 8 4 3" xfId="25274"/>
    <cellStyle name="Обычный 6 8 8 5" xfId="25275"/>
    <cellStyle name="Обычный 6 8 8 5 2" xfId="25276"/>
    <cellStyle name="Обычный 6 8 8 6" xfId="25277"/>
    <cellStyle name="Обычный 6 8 8 7" xfId="25278"/>
    <cellStyle name="Обычный 6 8 9" xfId="25279"/>
    <cellStyle name="Обычный 6 8 9 2" xfId="25280"/>
    <cellStyle name="Обычный 6 8 9 2 2" xfId="25281"/>
    <cellStyle name="Обычный 6 8 9 2 3" xfId="25282"/>
    <cellStyle name="Обычный 6 8 9 3" xfId="25283"/>
    <cellStyle name="Обычный 6 8 9 3 2" xfId="25284"/>
    <cellStyle name="Обычный 6 8 9 3 3" xfId="25285"/>
    <cellStyle name="Обычный 6 8 9 4" xfId="25286"/>
    <cellStyle name="Обычный 6 8 9 4 2" xfId="25287"/>
    <cellStyle name="Обычный 6 8 9 5" xfId="25288"/>
    <cellStyle name="Обычный 6 8 9 6" xfId="25289"/>
    <cellStyle name="Обычный 6 9" xfId="25290"/>
    <cellStyle name="Обычный 6 9 10" xfId="25291"/>
    <cellStyle name="Обычный 6 9 10 2" xfId="25292"/>
    <cellStyle name="Обычный 6 9 10 3" xfId="25293"/>
    <cellStyle name="Обычный 6 9 11" xfId="25294"/>
    <cellStyle name="Обычный 6 9 11 2" xfId="25295"/>
    <cellStyle name="Обычный 6 9 12" xfId="25296"/>
    <cellStyle name="Обычный 6 9 13" xfId="25297"/>
    <cellStyle name="Обычный 6 9 2" xfId="25298"/>
    <cellStyle name="Обычный 6 9 2 10" xfId="25299"/>
    <cellStyle name="Обычный 6 9 2 2" xfId="25300"/>
    <cellStyle name="Обычный 6 9 2 2 2" xfId="25301"/>
    <cellStyle name="Обычный 6 9 2 2 2 2" xfId="25302"/>
    <cellStyle name="Обычный 6 9 2 2 2 2 2" xfId="25303"/>
    <cellStyle name="Обычный 6 9 2 2 2 2 2 2" xfId="25304"/>
    <cellStyle name="Обычный 6 9 2 2 2 2 2 2 2" xfId="25305"/>
    <cellStyle name="Обычный 6 9 2 2 2 2 2 2 3" xfId="25306"/>
    <cellStyle name="Обычный 6 9 2 2 2 2 2 3" xfId="25307"/>
    <cellStyle name="Обычный 6 9 2 2 2 2 2 3 2" xfId="25308"/>
    <cellStyle name="Обычный 6 9 2 2 2 2 2 3 3" xfId="25309"/>
    <cellStyle name="Обычный 6 9 2 2 2 2 2 4" xfId="25310"/>
    <cellStyle name="Обычный 6 9 2 2 2 2 2 4 2" xfId="25311"/>
    <cellStyle name="Обычный 6 9 2 2 2 2 2 5" xfId="25312"/>
    <cellStyle name="Обычный 6 9 2 2 2 2 2 6" xfId="25313"/>
    <cellStyle name="Обычный 6 9 2 2 2 2 3" xfId="25314"/>
    <cellStyle name="Обычный 6 9 2 2 2 2 3 2" xfId="25315"/>
    <cellStyle name="Обычный 6 9 2 2 2 2 3 3" xfId="25316"/>
    <cellStyle name="Обычный 6 9 2 2 2 2 4" xfId="25317"/>
    <cellStyle name="Обычный 6 9 2 2 2 2 4 2" xfId="25318"/>
    <cellStyle name="Обычный 6 9 2 2 2 2 4 3" xfId="25319"/>
    <cellStyle name="Обычный 6 9 2 2 2 2 5" xfId="25320"/>
    <cellStyle name="Обычный 6 9 2 2 2 2 5 2" xfId="25321"/>
    <cellStyle name="Обычный 6 9 2 2 2 2 6" xfId="25322"/>
    <cellStyle name="Обычный 6 9 2 2 2 2 7" xfId="25323"/>
    <cellStyle name="Обычный 6 9 2 2 2 3" xfId="25324"/>
    <cellStyle name="Обычный 6 9 2 2 2 3 2" xfId="25325"/>
    <cellStyle name="Обычный 6 9 2 2 2 3 2 2" xfId="25326"/>
    <cellStyle name="Обычный 6 9 2 2 2 3 2 3" xfId="25327"/>
    <cellStyle name="Обычный 6 9 2 2 2 3 3" xfId="25328"/>
    <cellStyle name="Обычный 6 9 2 2 2 3 3 2" xfId="25329"/>
    <cellStyle name="Обычный 6 9 2 2 2 3 3 3" xfId="25330"/>
    <cellStyle name="Обычный 6 9 2 2 2 3 4" xfId="25331"/>
    <cellStyle name="Обычный 6 9 2 2 2 3 4 2" xfId="25332"/>
    <cellStyle name="Обычный 6 9 2 2 2 3 5" xfId="25333"/>
    <cellStyle name="Обычный 6 9 2 2 2 3 6" xfId="25334"/>
    <cellStyle name="Обычный 6 9 2 2 2 4" xfId="25335"/>
    <cellStyle name="Обычный 6 9 2 2 2 4 2" xfId="25336"/>
    <cellStyle name="Обычный 6 9 2 2 2 4 3" xfId="25337"/>
    <cellStyle name="Обычный 6 9 2 2 2 5" xfId="25338"/>
    <cellStyle name="Обычный 6 9 2 2 2 5 2" xfId="25339"/>
    <cellStyle name="Обычный 6 9 2 2 2 5 3" xfId="25340"/>
    <cellStyle name="Обычный 6 9 2 2 2 6" xfId="25341"/>
    <cellStyle name="Обычный 6 9 2 2 2 6 2" xfId="25342"/>
    <cellStyle name="Обычный 6 9 2 2 2 7" xfId="25343"/>
    <cellStyle name="Обычный 6 9 2 2 2 8" xfId="25344"/>
    <cellStyle name="Обычный 6 9 2 2 3" xfId="25345"/>
    <cellStyle name="Обычный 6 9 2 2 3 2" xfId="25346"/>
    <cellStyle name="Обычный 6 9 2 2 3 2 2" xfId="25347"/>
    <cellStyle name="Обычный 6 9 2 2 3 2 2 2" xfId="25348"/>
    <cellStyle name="Обычный 6 9 2 2 3 2 2 3" xfId="25349"/>
    <cellStyle name="Обычный 6 9 2 2 3 2 3" xfId="25350"/>
    <cellStyle name="Обычный 6 9 2 2 3 2 3 2" xfId="25351"/>
    <cellStyle name="Обычный 6 9 2 2 3 2 3 3" xfId="25352"/>
    <cellStyle name="Обычный 6 9 2 2 3 2 4" xfId="25353"/>
    <cellStyle name="Обычный 6 9 2 2 3 2 4 2" xfId="25354"/>
    <cellStyle name="Обычный 6 9 2 2 3 2 5" xfId="25355"/>
    <cellStyle name="Обычный 6 9 2 2 3 2 6" xfId="25356"/>
    <cellStyle name="Обычный 6 9 2 2 3 3" xfId="25357"/>
    <cellStyle name="Обычный 6 9 2 2 3 3 2" xfId="25358"/>
    <cellStyle name="Обычный 6 9 2 2 3 3 3" xfId="25359"/>
    <cellStyle name="Обычный 6 9 2 2 3 4" xfId="25360"/>
    <cellStyle name="Обычный 6 9 2 2 3 4 2" xfId="25361"/>
    <cellStyle name="Обычный 6 9 2 2 3 4 3" xfId="25362"/>
    <cellStyle name="Обычный 6 9 2 2 3 5" xfId="25363"/>
    <cellStyle name="Обычный 6 9 2 2 3 5 2" xfId="25364"/>
    <cellStyle name="Обычный 6 9 2 2 3 6" xfId="25365"/>
    <cellStyle name="Обычный 6 9 2 2 3 7" xfId="25366"/>
    <cellStyle name="Обычный 6 9 2 2 4" xfId="25367"/>
    <cellStyle name="Обычный 6 9 2 2 4 2" xfId="25368"/>
    <cellStyle name="Обычный 6 9 2 2 4 2 2" xfId="25369"/>
    <cellStyle name="Обычный 6 9 2 2 4 2 3" xfId="25370"/>
    <cellStyle name="Обычный 6 9 2 2 4 3" xfId="25371"/>
    <cellStyle name="Обычный 6 9 2 2 4 3 2" xfId="25372"/>
    <cellStyle name="Обычный 6 9 2 2 4 3 3" xfId="25373"/>
    <cellStyle name="Обычный 6 9 2 2 4 4" xfId="25374"/>
    <cellStyle name="Обычный 6 9 2 2 4 4 2" xfId="25375"/>
    <cellStyle name="Обычный 6 9 2 2 4 5" xfId="25376"/>
    <cellStyle name="Обычный 6 9 2 2 4 6" xfId="25377"/>
    <cellStyle name="Обычный 6 9 2 2 5" xfId="25378"/>
    <cellStyle name="Обычный 6 9 2 2 5 2" xfId="25379"/>
    <cellStyle name="Обычный 6 9 2 2 5 3" xfId="25380"/>
    <cellStyle name="Обычный 6 9 2 2 6" xfId="25381"/>
    <cellStyle name="Обычный 6 9 2 2 6 2" xfId="25382"/>
    <cellStyle name="Обычный 6 9 2 2 6 3" xfId="25383"/>
    <cellStyle name="Обычный 6 9 2 2 7" xfId="25384"/>
    <cellStyle name="Обычный 6 9 2 2 7 2" xfId="25385"/>
    <cellStyle name="Обычный 6 9 2 2 8" xfId="25386"/>
    <cellStyle name="Обычный 6 9 2 2 9" xfId="25387"/>
    <cellStyle name="Обычный 6 9 2 3" xfId="25388"/>
    <cellStyle name="Обычный 6 9 2 3 2" xfId="25389"/>
    <cellStyle name="Обычный 6 9 2 3 2 2" xfId="25390"/>
    <cellStyle name="Обычный 6 9 2 3 2 2 2" xfId="25391"/>
    <cellStyle name="Обычный 6 9 2 3 2 2 2 2" xfId="25392"/>
    <cellStyle name="Обычный 6 9 2 3 2 2 2 3" xfId="25393"/>
    <cellStyle name="Обычный 6 9 2 3 2 2 3" xfId="25394"/>
    <cellStyle name="Обычный 6 9 2 3 2 2 3 2" xfId="25395"/>
    <cellStyle name="Обычный 6 9 2 3 2 2 3 3" xfId="25396"/>
    <cellStyle name="Обычный 6 9 2 3 2 2 4" xfId="25397"/>
    <cellStyle name="Обычный 6 9 2 3 2 2 4 2" xfId="25398"/>
    <cellStyle name="Обычный 6 9 2 3 2 2 5" xfId="25399"/>
    <cellStyle name="Обычный 6 9 2 3 2 2 6" xfId="25400"/>
    <cellStyle name="Обычный 6 9 2 3 2 3" xfId="25401"/>
    <cellStyle name="Обычный 6 9 2 3 2 3 2" xfId="25402"/>
    <cellStyle name="Обычный 6 9 2 3 2 3 3" xfId="25403"/>
    <cellStyle name="Обычный 6 9 2 3 2 4" xfId="25404"/>
    <cellStyle name="Обычный 6 9 2 3 2 4 2" xfId="25405"/>
    <cellStyle name="Обычный 6 9 2 3 2 4 3" xfId="25406"/>
    <cellStyle name="Обычный 6 9 2 3 2 5" xfId="25407"/>
    <cellStyle name="Обычный 6 9 2 3 2 5 2" xfId="25408"/>
    <cellStyle name="Обычный 6 9 2 3 2 6" xfId="25409"/>
    <cellStyle name="Обычный 6 9 2 3 2 7" xfId="25410"/>
    <cellStyle name="Обычный 6 9 2 3 3" xfId="25411"/>
    <cellStyle name="Обычный 6 9 2 3 3 2" xfId="25412"/>
    <cellStyle name="Обычный 6 9 2 3 3 2 2" xfId="25413"/>
    <cellStyle name="Обычный 6 9 2 3 3 2 3" xfId="25414"/>
    <cellStyle name="Обычный 6 9 2 3 3 3" xfId="25415"/>
    <cellStyle name="Обычный 6 9 2 3 3 3 2" xfId="25416"/>
    <cellStyle name="Обычный 6 9 2 3 3 3 3" xfId="25417"/>
    <cellStyle name="Обычный 6 9 2 3 3 4" xfId="25418"/>
    <cellStyle name="Обычный 6 9 2 3 3 4 2" xfId="25419"/>
    <cellStyle name="Обычный 6 9 2 3 3 5" xfId="25420"/>
    <cellStyle name="Обычный 6 9 2 3 3 6" xfId="25421"/>
    <cellStyle name="Обычный 6 9 2 3 4" xfId="25422"/>
    <cellStyle name="Обычный 6 9 2 3 4 2" xfId="25423"/>
    <cellStyle name="Обычный 6 9 2 3 4 3" xfId="25424"/>
    <cellStyle name="Обычный 6 9 2 3 5" xfId="25425"/>
    <cellStyle name="Обычный 6 9 2 3 5 2" xfId="25426"/>
    <cellStyle name="Обычный 6 9 2 3 5 3" xfId="25427"/>
    <cellStyle name="Обычный 6 9 2 3 6" xfId="25428"/>
    <cellStyle name="Обычный 6 9 2 3 6 2" xfId="25429"/>
    <cellStyle name="Обычный 6 9 2 3 7" xfId="25430"/>
    <cellStyle name="Обычный 6 9 2 3 8" xfId="25431"/>
    <cellStyle name="Обычный 6 9 2 4" xfId="25432"/>
    <cellStyle name="Обычный 6 9 2 4 2" xfId="25433"/>
    <cellStyle name="Обычный 6 9 2 4 2 2" xfId="25434"/>
    <cellStyle name="Обычный 6 9 2 4 2 2 2" xfId="25435"/>
    <cellStyle name="Обычный 6 9 2 4 2 2 3" xfId="25436"/>
    <cellStyle name="Обычный 6 9 2 4 2 3" xfId="25437"/>
    <cellStyle name="Обычный 6 9 2 4 2 3 2" xfId="25438"/>
    <cellStyle name="Обычный 6 9 2 4 2 3 3" xfId="25439"/>
    <cellStyle name="Обычный 6 9 2 4 2 4" xfId="25440"/>
    <cellStyle name="Обычный 6 9 2 4 2 4 2" xfId="25441"/>
    <cellStyle name="Обычный 6 9 2 4 2 5" xfId="25442"/>
    <cellStyle name="Обычный 6 9 2 4 2 6" xfId="25443"/>
    <cellStyle name="Обычный 6 9 2 4 3" xfId="25444"/>
    <cellStyle name="Обычный 6 9 2 4 3 2" xfId="25445"/>
    <cellStyle name="Обычный 6 9 2 4 3 3" xfId="25446"/>
    <cellStyle name="Обычный 6 9 2 4 4" xfId="25447"/>
    <cellStyle name="Обычный 6 9 2 4 4 2" xfId="25448"/>
    <cellStyle name="Обычный 6 9 2 4 4 3" xfId="25449"/>
    <cellStyle name="Обычный 6 9 2 4 5" xfId="25450"/>
    <cellStyle name="Обычный 6 9 2 4 5 2" xfId="25451"/>
    <cellStyle name="Обычный 6 9 2 4 6" xfId="25452"/>
    <cellStyle name="Обычный 6 9 2 4 7" xfId="25453"/>
    <cellStyle name="Обычный 6 9 2 5" xfId="25454"/>
    <cellStyle name="Обычный 6 9 2 5 2" xfId="25455"/>
    <cellStyle name="Обычный 6 9 2 5 2 2" xfId="25456"/>
    <cellStyle name="Обычный 6 9 2 5 2 3" xfId="25457"/>
    <cellStyle name="Обычный 6 9 2 5 3" xfId="25458"/>
    <cellStyle name="Обычный 6 9 2 5 3 2" xfId="25459"/>
    <cellStyle name="Обычный 6 9 2 5 3 3" xfId="25460"/>
    <cellStyle name="Обычный 6 9 2 5 4" xfId="25461"/>
    <cellStyle name="Обычный 6 9 2 5 4 2" xfId="25462"/>
    <cellStyle name="Обычный 6 9 2 5 5" xfId="25463"/>
    <cellStyle name="Обычный 6 9 2 5 6" xfId="25464"/>
    <cellStyle name="Обычный 6 9 2 6" xfId="25465"/>
    <cellStyle name="Обычный 6 9 2 6 2" xfId="25466"/>
    <cellStyle name="Обычный 6 9 2 6 3" xfId="25467"/>
    <cellStyle name="Обычный 6 9 2 7" xfId="25468"/>
    <cellStyle name="Обычный 6 9 2 7 2" xfId="25469"/>
    <cellStyle name="Обычный 6 9 2 7 3" xfId="25470"/>
    <cellStyle name="Обычный 6 9 2 8" xfId="25471"/>
    <cellStyle name="Обычный 6 9 2 8 2" xfId="25472"/>
    <cellStyle name="Обычный 6 9 2 9" xfId="25473"/>
    <cellStyle name="Обычный 6 9 3" xfId="25474"/>
    <cellStyle name="Обычный 6 9 3 10" xfId="25475"/>
    <cellStyle name="Обычный 6 9 3 2" xfId="25476"/>
    <cellStyle name="Обычный 6 9 3 2 2" xfId="25477"/>
    <cellStyle name="Обычный 6 9 3 2 2 2" xfId="25478"/>
    <cellStyle name="Обычный 6 9 3 2 2 2 2" xfId="25479"/>
    <cellStyle name="Обычный 6 9 3 2 2 2 2 2" xfId="25480"/>
    <cellStyle name="Обычный 6 9 3 2 2 2 2 2 2" xfId="25481"/>
    <cellStyle name="Обычный 6 9 3 2 2 2 2 2 3" xfId="25482"/>
    <cellStyle name="Обычный 6 9 3 2 2 2 2 3" xfId="25483"/>
    <cellStyle name="Обычный 6 9 3 2 2 2 2 3 2" xfId="25484"/>
    <cellStyle name="Обычный 6 9 3 2 2 2 2 3 3" xfId="25485"/>
    <cellStyle name="Обычный 6 9 3 2 2 2 2 4" xfId="25486"/>
    <cellStyle name="Обычный 6 9 3 2 2 2 2 4 2" xfId="25487"/>
    <cellStyle name="Обычный 6 9 3 2 2 2 2 5" xfId="25488"/>
    <cellStyle name="Обычный 6 9 3 2 2 2 2 6" xfId="25489"/>
    <cellStyle name="Обычный 6 9 3 2 2 2 3" xfId="25490"/>
    <cellStyle name="Обычный 6 9 3 2 2 2 3 2" xfId="25491"/>
    <cellStyle name="Обычный 6 9 3 2 2 2 3 3" xfId="25492"/>
    <cellStyle name="Обычный 6 9 3 2 2 2 4" xfId="25493"/>
    <cellStyle name="Обычный 6 9 3 2 2 2 4 2" xfId="25494"/>
    <cellStyle name="Обычный 6 9 3 2 2 2 4 3" xfId="25495"/>
    <cellStyle name="Обычный 6 9 3 2 2 2 5" xfId="25496"/>
    <cellStyle name="Обычный 6 9 3 2 2 2 5 2" xfId="25497"/>
    <cellStyle name="Обычный 6 9 3 2 2 2 6" xfId="25498"/>
    <cellStyle name="Обычный 6 9 3 2 2 2 7" xfId="25499"/>
    <cellStyle name="Обычный 6 9 3 2 2 3" xfId="25500"/>
    <cellStyle name="Обычный 6 9 3 2 2 3 2" xfId="25501"/>
    <cellStyle name="Обычный 6 9 3 2 2 3 2 2" xfId="25502"/>
    <cellStyle name="Обычный 6 9 3 2 2 3 2 3" xfId="25503"/>
    <cellStyle name="Обычный 6 9 3 2 2 3 3" xfId="25504"/>
    <cellStyle name="Обычный 6 9 3 2 2 3 3 2" xfId="25505"/>
    <cellStyle name="Обычный 6 9 3 2 2 3 3 3" xfId="25506"/>
    <cellStyle name="Обычный 6 9 3 2 2 3 4" xfId="25507"/>
    <cellStyle name="Обычный 6 9 3 2 2 3 4 2" xfId="25508"/>
    <cellStyle name="Обычный 6 9 3 2 2 3 5" xfId="25509"/>
    <cellStyle name="Обычный 6 9 3 2 2 3 6" xfId="25510"/>
    <cellStyle name="Обычный 6 9 3 2 2 4" xfId="25511"/>
    <cellStyle name="Обычный 6 9 3 2 2 4 2" xfId="25512"/>
    <cellStyle name="Обычный 6 9 3 2 2 4 3" xfId="25513"/>
    <cellStyle name="Обычный 6 9 3 2 2 5" xfId="25514"/>
    <cellStyle name="Обычный 6 9 3 2 2 5 2" xfId="25515"/>
    <cellStyle name="Обычный 6 9 3 2 2 5 3" xfId="25516"/>
    <cellStyle name="Обычный 6 9 3 2 2 6" xfId="25517"/>
    <cellStyle name="Обычный 6 9 3 2 2 6 2" xfId="25518"/>
    <cellStyle name="Обычный 6 9 3 2 2 7" xfId="25519"/>
    <cellStyle name="Обычный 6 9 3 2 2 8" xfId="25520"/>
    <cellStyle name="Обычный 6 9 3 2 3" xfId="25521"/>
    <cellStyle name="Обычный 6 9 3 2 3 2" xfId="25522"/>
    <cellStyle name="Обычный 6 9 3 2 3 2 2" xfId="25523"/>
    <cellStyle name="Обычный 6 9 3 2 3 2 2 2" xfId="25524"/>
    <cellStyle name="Обычный 6 9 3 2 3 2 2 3" xfId="25525"/>
    <cellStyle name="Обычный 6 9 3 2 3 2 3" xfId="25526"/>
    <cellStyle name="Обычный 6 9 3 2 3 2 3 2" xfId="25527"/>
    <cellStyle name="Обычный 6 9 3 2 3 2 3 3" xfId="25528"/>
    <cellStyle name="Обычный 6 9 3 2 3 2 4" xfId="25529"/>
    <cellStyle name="Обычный 6 9 3 2 3 2 4 2" xfId="25530"/>
    <cellStyle name="Обычный 6 9 3 2 3 2 5" xfId="25531"/>
    <cellStyle name="Обычный 6 9 3 2 3 2 6" xfId="25532"/>
    <cellStyle name="Обычный 6 9 3 2 3 3" xfId="25533"/>
    <cellStyle name="Обычный 6 9 3 2 3 3 2" xfId="25534"/>
    <cellStyle name="Обычный 6 9 3 2 3 3 3" xfId="25535"/>
    <cellStyle name="Обычный 6 9 3 2 3 4" xfId="25536"/>
    <cellStyle name="Обычный 6 9 3 2 3 4 2" xfId="25537"/>
    <cellStyle name="Обычный 6 9 3 2 3 4 3" xfId="25538"/>
    <cellStyle name="Обычный 6 9 3 2 3 5" xfId="25539"/>
    <cellStyle name="Обычный 6 9 3 2 3 5 2" xfId="25540"/>
    <cellStyle name="Обычный 6 9 3 2 3 6" xfId="25541"/>
    <cellStyle name="Обычный 6 9 3 2 3 7" xfId="25542"/>
    <cellStyle name="Обычный 6 9 3 2 4" xfId="25543"/>
    <cellStyle name="Обычный 6 9 3 2 4 2" xfId="25544"/>
    <cellStyle name="Обычный 6 9 3 2 4 2 2" xfId="25545"/>
    <cellStyle name="Обычный 6 9 3 2 4 2 3" xfId="25546"/>
    <cellStyle name="Обычный 6 9 3 2 4 3" xfId="25547"/>
    <cellStyle name="Обычный 6 9 3 2 4 3 2" xfId="25548"/>
    <cellStyle name="Обычный 6 9 3 2 4 3 3" xfId="25549"/>
    <cellStyle name="Обычный 6 9 3 2 4 4" xfId="25550"/>
    <cellStyle name="Обычный 6 9 3 2 4 4 2" xfId="25551"/>
    <cellStyle name="Обычный 6 9 3 2 4 5" xfId="25552"/>
    <cellStyle name="Обычный 6 9 3 2 4 6" xfId="25553"/>
    <cellStyle name="Обычный 6 9 3 2 5" xfId="25554"/>
    <cellStyle name="Обычный 6 9 3 2 5 2" xfId="25555"/>
    <cellStyle name="Обычный 6 9 3 2 5 3" xfId="25556"/>
    <cellStyle name="Обычный 6 9 3 2 6" xfId="25557"/>
    <cellStyle name="Обычный 6 9 3 2 6 2" xfId="25558"/>
    <cellStyle name="Обычный 6 9 3 2 6 3" xfId="25559"/>
    <cellStyle name="Обычный 6 9 3 2 7" xfId="25560"/>
    <cellStyle name="Обычный 6 9 3 2 7 2" xfId="25561"/>
    <cellStyle name="Обычный 6 9 3 2 8" xfId="25562"/>
    <cellStyle name="Обычный 6 9 3 2 9" xfId="25563"/>
    <cellStyle name="Обычный 6 9 3 3" xfId="25564"/>
    <cellStyle name="Обычный 6 9 3 3 2" xfId="25565"/>
    <cellStyle name="Обычный 6 9 3 3 2 2" xfId="25566"/>
    <cellStyle name="Обычный 6 9 3 3 2 2 2" xfId="25567"/>
    <cellStyle name="Обычный 6 9 3 3 2 2 2 2" xfId="25568"/>
    <cellStyle name="Обычный 6 9 3 3 2 2 2 3" xfId="25569"/>
    <cellStyle name="Обычный 6 9 3 3 2 2 3" xfId="25570"/>
    <cellStyle name="Обычный 6 9 3 3 2 2 3 2" xfId="25571"/>
    <cellStyle name="Обычный 6 9 3 3 2 2 3 3" xfId="25572"/>
    <cellStyle name="Обычный 6 9 3 3 2 2 4" xfId="25573"/>
    <cellStyle name="Обычный 6 9 3 3 2 2 4 2" xfId="25574"/>
    <cellStyle name="Обычный 6 9 3 3 2 2 5" xfId="25575"/>
    <cellStyle name="Обычный 6 9 3 3 2 2 6" xfId="25576"/>
    <cellStyle name="Обычный 6 9 3 3 2 3" xfId="25577"/>
    <cellStyle name="Обычный 6 9 3 3 2 3 2" xfId="25578"/>
    <cellStyle name="Обычный 6 9 3 3 2 3 3" xfId="25579"/>
    <cellStyle name="Обычный 6 9 3 3 2 4" xfId="25580"/>
    <cellStyle name="Обычный 6 9 3 3 2 4 2" xfId="25581"/>
    <cellStyle name="Обычный 6 9 3 3 2 4 3" xfId="25582"/>
    <cellStyle name="Обычный 6 9 3 3 2 5" xfId="25583"/>
    <cellStyle name="Обычный 6 9 3 3 2 5 2" xfId="25584"/>
    <cellStyle name="Обычный 6 9 3 3 2 6" xfId="25585"/>
    <cellStyle name="Обычный 6 9 3 3 2 7" xfId="25586"/>
    <cellStyle name="Обычный 6 9 3 3 3" xfId="25587"/>
    <cellStyle name="Обычный 6 9 3 3 3 2" xfId="25588"/>
    <cellStyle name="Обычный 6 9 3 3 3 2 2" xfId="25589"/>
    <cellStyle name="Обычный 6 9 3 3 3 2 3" xfId="25590"/>
    <cellStyle name="Обычный 6 9 3 3 3 3" xfId="25591"/>
    <cellStyle name="Обычный 6 9 3 3 3 3 2" xfId="25592"/>
    <cellStyle name="Обычный 6 9 3 3 3 3 3" xfId="25593"/>
    <cellStyle name="Обычный 6 9 3 3 3 4" xfId="25594"/>
    <cellStyle name="Обычный 6 9 3 3 3 4 2" xfId="25595"/>
    <cellStyle name="Обычный 6 9 3 3 3 5" xfId="25596"/>
    <cellStyle name="Обычный 6 9 3 3 3 6" xfId="25597"/>
    <cellStyle name="Обычный 6 9 3 3 4" xfId="25598"/>
    <cellStyle name="Обычный 6 9 3 3 4 2" xfId="25599"/>
    <cellStyle name="Обычный 6 9 3 3 4 3" xfId="25600"/>
    <cellStyle name="Обычный 6 9 3 3 5" xfId="25601"/>
    <cellStyle name="Обычный 6 9 3 3 5 2" xfId="25602"/>
    <cellStyle name="Обычный 6 9 3 3 5 3" xfId="25603"/>
    <cellStyle name="Обычный 6 9 3 3 6" xfId="25604"/>
    <cellStyle name="Обычный 6 9 3 3 6 2" xfId="25605"/>
    <cellStyle name="Обычный 6 9 3 3 7" xfId="25606"/>
    <cellStyle name="Обычный 6 9 3 3 8" xfId="25607"/>
    <cellStyle name="Обычный 6 9 3 4" xfId="25608"/>
    <cellStyle name="Обычный 6 9 3 4 2" xfId="25609"/>
    <cellStyle name="Обычный 6 9 3 4 2 2" xfId="25610"/>
    <cellStyle name="Обычный 6 9 3 4 2 2 2" xfId="25611"/>
    <cellStyle name="Обычный 6 9 3 4 2 2 3" xfId="25612"/>
    <cellStyle name="Обычный 6 9 3 4 2 3" xfId="25613"/>
    <cellStyle name="Обычный 6 9 3 4 2 3 2" xfId="25614"/>
    <cellStyle name="Обычный 6 9 3 4 2 3 3" xfId="25615"/>
    <cellStyle name="Обычный 6 9 3 4 2 4" xfId="25616"/>
    <cellStyle name="Обычный 6 9 3 4 2 4 2" xfId="25617"/>
    <cellStyle name="Обычный 6 9 3 4 2 5" xfId="25618"/>
    <cellStyle name="Обычный 6 9 3 4 2 6" xfId="25619"/>
    <cellStyle name="Обычный 6 9 3 4 3" xfId="25620"/>
    <cellStyle name="Обычный 6 9 3 4 3 2" xfId="25621"/>
    <cellStyle name="Обычный 6 9 3 4 3 3" xfId="25622"/>
    <cellStyle name="Обычный 6 9 3 4 4" xfId="25623"/>
    <cellStyle name="Обычный 6 9 3 4 4 2" xfId="25624"/>
    <cellStyle name="Обычный 6 9 3 4 4 3" xfId="25625"/>
    <cellStyle name="Обычный 6 9 3 4 5" xfId="25626"/>
    <cellStyle name="Обычный 6 9 3 4 5 2" xfId="25627"/>
    <cellStyle name="Обычный 6 9 3 4 6" xfId="25628"/>
    <cellStyle name="Обычный 6 9 3 4 7" xfId="25629"/>
    <cellStyle name="Обычный 6 9 3 5" xfId="25630"/>
    <cellStyle name="Обычный 6 9 3 5 2" xfId="25631"/>
    <cellStyle name="Обычный 6 9 3 5 2 2" xfId="25632"/>
    <cellStyle name="Обычный 6 9 3 5 2 3" xfId="25633"/>
    <cellStyle name="Обычный 6 9 3 5 3" xfId="25634"/>
    <cellStyle name="Обычный 6 9 3 5 3 2" xfId="25635"/>
    <cellStyle name="Обычный 6 9 3 5 3 3" xfId="25636"/>
    <cellStyle name="Обычный 6 9 3 5 4" xfId="25637"/>
    <cellStyle name="Обычный 6 9 3 5 4 2" xfId="25638"/>
    <cellStyle name="Обычный 6 9 3 5 5" xfId="25639"/>
    <cellStyle name="Обычный 6 9 3 5 6" xfId="25640"/>
    <cellStyle name="Обычный 6 9 3 6" xfId="25641"/>
    <cellStyle name="Обычный 6 9 3 6 2" xfId="25642"/>
    <cellStyle name="Обычный 6 9 3 6 3" xfId="25643"/>
    <cellStyle name="Обычный 6 9 3 7" xfId="25644"/>
    <cellStyle name="Обычный 6 9 3 7 2" xfId="25645"/>
    <cellStyle name="Обычный 6 9 3 7 3" xfId="25646"/>
    <cellStyle name="Обычный 6 9 3 8" xfId="25647"/>
    <cellStyle name="Обычный 6 9 3 8 2" xfId="25648"/>
    <cellStyle name="Обычный 6 9 3 9" xfId="25649"/>
    <cellStyle name="Обычный 6 9 4" xfId="25650"/>
    <cellStyle name="Обычный 6 9 4 10" xfId="25651"/>
    <cellStyle name="Обычный 6 9 4 2" xfId="25652"/>
    <cellStyle name="Обычный 6 9 4 2 2" xfId="25653"/>
    <cellStyle name="Обычный 6 9 4 2 2 2" xfId="25654"/>
    <cellStyle name="Обычный 6 9 4 2 2 2 2" xfId="25655"/>
    <cellStyle name="Обычный 6 9 4 2 2 2 2 2" xfId="25656"/>
    <cellStyle name="Обычный 6 9 4 2 2 2 2 2 2" xfId="25657"/>
    <cellStyle name="Обычный 6 9 4 2 2 2 2 2 3" xfId="25658"/>
    <cellStyle name="Обычный 6 9 4 2 2 2 2 3" xfId="25659"/>
    <cellStyle name="Обычный 6 9 4 2 2 2 2 3 2" xfId="25660"/>
    <cellStyle name="Обычный 6 9 4 2 2 2 2 3 3" xfId="25661"/>
    <cellStyle name="Обычный 6 9 4 2 2 2 2 4" xfId="25662"/>
    <cellStyle name="Обычный 6 9 4 2 2 2 2 4 2" xfId="25663"/>
    <cellStyle name="Обычный 6 9 4 2 2 2 2 5" xfId="25664"/>
    <cellStyle name="Обычный 6 9 4 2 2 2 2 6" xfId="25665"/>
    <cellStyle name="Обычный 6 9 4 2 2 2 3" xfId="25666"/>
    <cellStyle name="Обычный 6 9 4 2 2 2 3 2" xfId="25667"/>
    <cellStyle name="Обычный 6 9 4 2 2 2 3 3" xfId="25668"/>
    <cellStyle name="Обычный 6 9 4 2 2 2 4" xfId="25669"/>
    <cellStyle name="Обычный 6 9 4 2 2 2 4 2" xfId="25670"/>
    <cellStyle name="Обычный 6 9 4 2 2 2 4 3" xfId="25671"/>
    <cellStyle name="Обычный 6 9 4 2 2 2 5" xfId="25672"/>
    <cellStyle name="Обычный 6 9 4 2 2 2 5 2" xfId="25673"/>
    <cellStyle name="Обычный 6 9 4 2 2 2 6" xfId="25674"/>
    <cellStyle name="Обычный 6 9 4 2 2 2 7" xfId="25675"/>
    <cellStyle name="Обычный 6 9 4 2 2 3" xfId="25676"/>
    <cellStyle name="Обычный 6 9 4 2 2 3 2" xfId="25677"/>
    <cellStyle name="Обычный 6 9 4 2 2 3 2 2" xfId="25678"/>
    <cellStyle name="Обычный 6 9 4 2 2 3 2 3" xfId="25679"/>
    <cellStyle name="Обычный 6 9 4 2 2 3 3" xfId="25680"/>
    <cellStyle name="Обычный 6 9 4 2 2 3 3 2" xfId="25681"/>
    <cellStyle name="Обычный 6 9 4 2 2 3 3 3" xfId="25682"/>
    <cellStyle name="Обычный 6 9 4 2 2 3 4" xfId="25683"/>
    <cellStyle name="Обычный 6 9 4 2 2 3 4 2" xfId="25684"/>
    <cellStyle name="Обычный 6 9 4 2 2 3 5" xfId="25685"/>
    <cellStyle name="Обычный 6 9 4 2 2 3 6" xfId="25686"/>
    <cellStyle name="Обычный 6 9 4 2 2 4" xfId="25687"/>
    <cellStyle name="Обычный 6 9 4 2 2 4 2" xfId="25688"/>
    <cellStyle name="Обычный 6 9 4 2 2 4 3" xfId="25689"/>
    <cellStyle name="Обычный 6 9 4 2 2 5" xfId="25690"/>
    <cellStyle name="Обычный 6 9 4 2 2 5 2" xfId="25691"/>
    <cellStyle name="Обычный 6 9 4 2 2 5 3" xfId="25692"/>
    <cellStyle name="Обычный 6 9 4 2 2 6" xfId="25693"/>
    <cellStyle name="Обычный 6 9 4 2 2 6 2" xfId="25694"/>
    <cellStyle name="Обычный 6 9 4 2 2 7" xfId="25695"/>
    <cellStyle name="Обычный 6 9 4 2 2 8" xfId="25696"/>
    <cellStyle name="Обычный 6 9 4 2 3" xfId="25697"/>
    <cellStyle name="Обычный 6 9 4 2 3 2" xfId="25698"/>
    <cellStyle name="Обычный 6 9 4 2 3 2 2" xfId="25699"/>
    <cellStyle name="Обычный 6 9 4 2 3 2 2 2" xfId="25700"/>
    <cellStyle name="Обычный 6 9 4 2 3 2 2 3" xfId="25701"/>
    <cellStyle name="Обычный 6 9 4 2 3 2 3" xfId="25702"/>
    <cellStyle name="Обычный 6 9 4 2 3 2 3 2" xfId="25703"/>
    <cellStyle name="Обычный 6 9 4 2 3 2 3 3" xfId="25704"/>
    <cellStyle name="Обычный 6 9 4 2 3 2 4" xfId="25705"/>
    <cellStyle name="Обычный 6 9 4 2 3 2 4 2" xfId="25706"/>
    <cellStyle name="Обычный 6 9 4 2 3 2 5" xfId="25707"/>
    <cellStyle name="Обычный 6 9 4 2 3 2 6" xfId="25708"/>
    <cellStyle name="Обычный 6 9 4 2 3 3" xfId="25709"/>
    <cellStyle name="Обычный 6 9 4 2 3 3 2" xfId="25710"/>
    <cellStyle name="Обычный 6 9 4 2 3 3 3" xfId="25711"/>
    <cellStyle name="Обычный 6 9 4 2 3 4" xfId="25712"/>
    <cellStyle name="Обычный 6 9 4 2 3 4 2" xfId="25713"/>
    <cellStyle name="Обычный 6 9 4 2 3 4 3" xfId="25714"/>
    <cellStyle name="Обычный 6 9 4 2 3 5" xfId="25715"/>
    <cellStyle name="Обычный 6 9 4 2 3 5 2" xfId="25716"/>
    <cellStyle name="Обычный 6 9 4 2 3 6" xfId="25717"/>
    <cellStyle name="Обычный 6 9 4 2 3 7" xfId="25718"/>
    <cellStyle name="Обычный 6 9 4 2 4" xfId="25719"/>
    <cellStyle name="Обычный 6 9 4 2 4 2" xfId="25720"/>
    <cellStyle name="Обычный 6 9 4 2 4 2 2" xfId="25721"/>
    <cellStyle name="Обычный 6 9 4 2 4 2 3" xfId="25722"/>
    <cellStyle name="Обычный 6 9 4 2 4 3" xfId="25723"/>
    <cellStyle name="Обычный 6 9 4 2 4 3 2" xfId="25724"/>
    <cellStyle name="Обычный 6 9 4 2 4 3 3" xfId="25725"/>
    <cellStyle name="Обычный 6 9 4 2 4 4" xfId="25726"/>
    <cellStyle name="Обычный 6 9 4 2 4 4 2" xfId="25727"/>
    <cellStyle name="Обычный 6 9 4 2 4 5" xfId="25728"/>
    <cellStyle name="Обычный 6 9 4 2 4 6" xfId="25729"/>
    <cellStyle name="Обычный 6 9 4 2 5" xfId="25730"/>
    <cellStyle name="Обычный 6 9 4 2 5 2" xfId="25731"/>
    <cellStyle name="Обычный 6 9 4 2 5 3" xfId="25732"/>
    <cellStyle name="Обычный 6 9 4 2 6" xfId="25733"/>
    <cellStyle name="Обычный 6 9 4 2 6 2" xfId="25734"/>
    <cellStyle name="Обычный 6 9 4 2 6 3" xfId="25735"/>
    <cellStyle name="Обычный 6 9 4 2 7" xfId="25736"/>
    <cellStyle name="Обычный 6 9 4 2 7 2" xfId="25737"/>
    <cellStyle name="Обычный 6 9 4 2 8" xfId="25738"/>
    <cellStyle name="Обычный 6 9 4 2 9" xfId="25739"/>
    <cellStyle name="Обычный 6 9 4 3" xfId="25740"/>
    <cellStyle name="Обычный 6 9 4 3 2" xfId="25741"/>
    <cellStyle name="Обычный 6 9 4 3 2 2" xfId="25742"/>
    <cellStyle name="Обычный 6 9 4 3 2 2 2" xfId="25743"/>
    <cellStyle name="Обычный 6 9 4 3 2 2 2 2" xfId="25744"/>
    <cellStyle name="Обычный 6 9 4 3 2 2 2 3" xfId="25745"/>
    <cellStyle name="Обычный 6 9 4 3 2 2 3" xfId="25746"/>
    <cellStyle name="Обычный 6 9 4 3 2 2 3 2" xfId="25747"/>
    <cellStyle name="Обычный 6 9 4 3 2 2 3 3" xfId="25748"/>
    <cellStyle name="Обычный 6 9 4 3 2 2 4" xfId="25749"/>
    <cellStyle name="Обычный 6 9 4 3 2 2 4 2" xfId="25750"/>
    <cellStyle name="Обычный 6 9 4 3 2 2 5" xfId="25751"/>
    <cellStyle name="Обычный 6 9 4 3 2 2 6" xfId="25752"/>
    <cellStyle name="Обычный 6 9 4 3 2 3" xfId="25753"/>
    <cellStyle name="Обычный 6 9 4 3 2 3 2" xfId="25754"/>
    <cellStyle name="Обычный 6 9 4 3 2 3 3" xfId="25755"/>
    <cellStyle name="Обычный 6 9 4 3 2 4" xfId="25756"/>
    <cellStyle name="Обычный 6 9 4 3 2 4 2" xfId="25757"/>
    <cellStyle name="Обычный 6 9 4 3 2 4 3" xfId="25758"/>
    <cellStyle name="Обычный 6 9 4 3 2 5" xfId="25759"/>
    <cellStyle name="Обычный 6 9 4 3 2 5 2" xfId="25760"/>
    <cellStyle name="Обычный 6 9 4 3 2 6" xfId="25761"/>
    <cellStyle name="Обычный 6 9 4 3 2 7" xfId="25762"/>
    <cellStyle name="Обычный 6 9 4 3 3" xfId="25763"/>
    <cellStyle name="Обычный 6 9 4 3 3 2" xfId="25764"/>
    <cellStyle name="Обычный 6 9 4 3 3 2 2" xfId="25765"/>
    <cellStyle name="Обычный 6 9 4 3 3 2 3" xfId="25766"/>
    <cellStyle name="Обычный 6 9 4 3 3 3" xfId="25767"/>
    <cellStyle name="Обычный 6 9 4 3 3 3 2" xfId="25768"/>
    <cellStyle name="Обычный 6 9 4 3 3 3 3" xfId="25769"/>
    <cellStyle name="Обычный 6 9 4 3 3 4" xfId="25770"/>
    <cellStyle name="Обычный 6 9 4 3 3 4 2" xfId="25771"/>
    <cellStyle name="Обычный 6 9 4 3 3 5" xfId="25772"/>
    <cellStyle name="Обычный 6 9 4 3 3 6" xfId="25773"/>
    <cellStyle name="Обычный 6 9 4 3 4" xfId="25774"/>
    <cellStyle name="Обычный 6 9 4 3 4 2" xfId="25775"/>
    <cellStyle name="Обычный 6 9 4 3 4 3" xfId="25776"/>
    <cellStyle name="Обычный 6 9 4 3 5" xfId="25777"/>
    <cellStyle name="Обычный 6 9 4 3 5 2" xfId="25778"/>
    <cellStyle name="Обычный 6 9 4 3 5 3" xfId="25779"/>
    <cellStyle name="Обычный 6 9 4 3 6" xfId="25780"/>
    <cellStyle name="Обычный 6 9 4 3 6 2" xfId="25781"/>
    <cellStyle name="Обычный 6 9 4 3 7" xfId="25782"/>
    <cellStyle name="Обычный 6 9 4 3 8" xfId="25783"/>
    <cellStyle name="Обычный 6 9 4 4" xfId="25784"/>
    <cellStyle name="Обычный 6 9 4 4 2" xfId="25785"/>
    <cellStyle name="Обычный 6 9 4 4 2 2" xfId="25786"/>
    <cellStyle name="Обычный 6 9 4 4 2 2 2" xfId="25787"/>
    <cellStyle name="Обычный 6 9 4 4 2 2 3" xfId="25788"/>
    <cellStyle name="Обычный 6 9 4 4 2 3" xfId="25789"/>
    <cellStyle name="Обычный 6 9 4 4 2 3 2" xfId="25790"/>
    <cellStyle name="Обычный 6 9 4 4 2 3 3" xfId="25791"/>
    <cellStyle name="Обычный 6 9 4 4 2 4" xfId="25792"/>
    <cellStyle name="Обычный 6 9 4 4 2 4 2" xfId="25793"/>
    <cellStyle name="Обычный 6 9 4 4 2 5" xfId="25794"/>
    <cellStyle name="Обычный 6 9 4 4 2 6" xfId="25795"/>
    <cellStyle name="Обычный 6 9 4 4 3" xfId="25796"/>
    <cellStyle name="Обычный 6 9 4 4 3 2" xfId="25797"/>
    <cellStyle name="Обычный 6 9 4 4 3 3" xfId="25798"/>
    <cellStyle name="Обычный 6 9 4 4 4" xfId="25799"/>
    <cellStyle name="Обычный 6 9 4 4 4 2" xfId="25800"/>
    <cellStyle name="Обычный 6 9 4 4 4 3" xfId="25801"/>
    <cellStyle name="Обычный 6 9 4 4 5" xfId="25802"/>
    <cellStyle name="Обычный 6 9 4 4 5 2" xfId="25803"/>
    <cellStyle name="Обычный 6 9 4 4 6" xfId="25804"/>
    <cellStyle name="Обычный 6 9 4 4 7" xfId="25805"/>
    <cellStyle name="Обычный 6 9 4 5" xfId="25806"/>
    <cellStyle name="Обычный 6 9 4 5 2" xfId="25807"/>
    <cellStyle name="Обычный 6 9 4 5 2 2" xfId="25808"/>
    <cellStyle name="Обычный 6 9 4 5 2 3" xfId="25809"/>
    <cellStyle name="Обычный 6 9 4 5 3" xfId="25810"/>
    <cellStyle name="Обычный 6 9 4 5 3 2" xfId="25811"/>
    <cellStyle name="Обычный 6 9 4 5 3 3" xfId="25812"/>
    <cellStyle name="Обычный 6 9 4 5 4" xfId="25813"/>
    <cellStyle name="Обычный 6 9 4 5 4 2" xfId="25814"/>
    <cellStyle name="Обычный 6 9 4 5 5" xfId="25815"/>
    <cellStyle name="Обычный 6 9 4 5 6" xfId="25816"/>
    <cellStyle name="Обычный 6 9 4 6" xfId="25817"/>
    <cellStyle name="Обычный 6 9 4 6 2" xfId="25818"/>
    <cellStyle name="Обычный 6 9 4 6 3" xfId="25819"/>
    <cellStyle name="Обычный 6 9 4 7" xfId="25820"/>
    <cellStyle name="Обычный 6 9 4 7 2" xfId="25821"/>
    <cellStyle name="Обычный 6 9 4 7 3" xfId="25822"/>
    <cellStyle name="Обычный 6 9 4 8" xfId="25823"/>
    <cellStyle name="Обычный 6 9 4 8 2" xfId="25824"/>
    <cellStyle name="Обычный 6 9 4 9" xfId="25825"/>
    <cellStyle name="Обычный 6 9 5" xfId="25826"/>
    <cellStyle name="Обычный 6 9 5 2" xfId="25827"/>
    <cellStyle name="Обычный 6 9 5 2 2" xfId="25828"/>
    <cellStyle name="Обычный 6 9 5 2 2 2" xfId="25829"/>
    <cellStyle name="Обычный 6 9 5 2 2 2 2" xfId="25830"/>
    <cellStyle name="Обычный 6 9 5 2 2 2 2 2" xfId="25831"/>
    <cellStyle name="Обычный 6 9 5 2 2 2 2 3" xfId="25832"/>
    <cellStyle name="Обычный 6 9 5 2 2 2 3" xfId="25833"/>
    <cellStyle name="Обычный 6 9 5 2 2 2 3 2" xfId="25834"/>
    <cellStyle name="Обычный 6 9 5 2 2 2 3 3" xfId="25835"/>
    <cellStyle name="Обычный 6 9 5 2 2 2 4" xfId="25836"/>
    <cellStyle name="Обычный 6 9 5 2 2 2 4 2" xfId="25837"/>
    <cellStyle name="Обычный 6 9 5 2 2 2 5" xfId="25838"/>
    <cellStyle name="Обычный 6 9 5 2 2 2 6" xfId="25839"/>
    <cellStyle name="Обычный 6 9 5 2 2 3" xfId="25840"/>
    <cellStyle name="Обычный 6 9 5 2 2 3 2" xfId="25841"/>
    <cellStyle name="Обычный 6 9 5 2 2 3 3" xfId="25842"/>
    <cellStyle name="Обычный 6 9 5 2 2 4" xfId="25843"/>
    <cellStyle name="Обычный 6 9 5 2 2 4 2" xfId="25844"/>
    <cellStyle name="Обычный 6 9 5 2 2 4 3" xfId="25845"/>
    <cellStyle name="Обычный 6 9 5 2 2 5" xfId="25846"/>
    <cellStyle name="Обычный 6 9 5 2 2 5 2" xfId="25847"/>
    <cellStyle name="Обычный 6 9 5 2 2 6" xfId="25848"/>
    <cellStyle name="Обычный 6 9 5 2 2 7" xfId="25849"/>
    <cellStyle name="Обычный 6 9 5 2 3" xfId="25850"/>
    <cellStyle name="Обычный 6 9 5 2 3 2" xfId="25851"/>
    <cellStyle name="Обычный 6 9 5 2 3 2 2" xfId="25852"/>
    <cellStyle name="Обычный 6 9 5 2 3 2 3" xfId="25853"/>
    <cellStyle name="Обычный 6 9 5 2 3 3" xfId="25854"/>
    <cellStyle name="Обычный 6 9 5 2 3 3 2" xfId="25855"/>
    <cellStyle name="Обычный 6 9 5 2 3 3 3" xfId="25856"/>
    <cellStyle name="Обычный 6 9 5 2 3 4" xfId="25857"/>
    <cellStyle name="Обычный 6 9 5 2 3 4 2" xfId="25858"/>
    <cellStyle name="Обычный 6 9 5 2 3 5" xfId="25859"/>
    <cellStyle name="Обычный 6 9 5 2 3 6" xfId="25860"/>
    <cellStyle name="Обычный 6 9 5 2 4" xfId="25861"/>
    <cellStyle name="Обычный 6 9 5 2 4 2" xfId="25862"/>
    <cellStyle name="Обычный 6 9 5 2 4 3" xfId="25863"/>
    <cellStyle name="Обычный 6 9 5 2 5" xfId="25864"/>
    <cellStyle name="Обычный 6 9 5 2 5 2" xfId="25865"/>
    <cellStyle name="Обычный 6 9 5 2 5 3" xfId="25866"/>
    <cellStyle name="Обычный 6 9 5 2 6" xfId="25867"/>
    <cellStyle name="Обычный 6 9 5 2 6 2" xfId="25868"/>
    <cellStyle name="Обычный 6 9 5 2 7" xfId="25869"/>
    <cellStyle name="Обычный 6 9 5 2 8" xfId="25870"/>
    <cellStyle name="Обычный 6 9 5 3" xfId="25871"/>
    <cellStyle name="Обычный 6 9 5 3 2" xfId="25872"/>
    <cellStyle name="Обычный 6 9 5 3 2 2" xfId="25873"/>
    <cellStyle name="Обычный 6 9 5 3 2 2 2" xfId="25874"/>
    <cellStyle name="Обычный 6 9 5 3 2 2 3" xfId="25875"/>
    <cellStyle name="Обычный 6 9 5 3 2 3" xfId="25876"/>
    <cellStyle name="Обычный 6 9 5 3 2 3 2" xfId="25877"/>
    <cellStyle name="Обычный 6 9 5 3 2 3 3" xfId="25878"/>
    <cellStyle name="Обычный 6 9 5 3 2 4" xfId="25879"/>
    <cellStyle name="Обычный 6 9 5 3 2 4 2" xfId="25880"/>
    <cellStyle name="Обычный 6 9 5 3 2 5" xfId="25881"/>
    <cellStyle name="Обычный 6 9 5 3 2 6" xfId="25882"/>
    <cellStyle name="Обычный 6 9 5 3 3" xfId="25883"/>
    <cellStyle name="Обычный 6 9 5 3 3 2" xfId="25884"/>
    <cellStyle name="Обычный 6 9 5 3 3 3" xfId="25885"/>
    <cellStyle name="Обычный 6 9 5 3 4" xfId="25886"/>
    <cellStyle name="Обычный 6 9 5 3 4 2" xfId="25887"/>
    <cellStyle name="Обычный 6 9 5 3 4 3" xfId="25888"/>
    <cellStyle name="Обычный 6 9 5 3 5" xfId="25889"/>
    <cellStyle name="Обычный 6 9 5 3 5 2" xfId="25890"/>
    <cellStyle name="Обычный 6 9 5 3 6" xfId="25891"/>
    <cellStyle name="Обычный 6 9 5 3 7" xfId="25892"/>
    <cellStyle name="Обычный 6 9 5 4" xfId="25893"/>
    <cellStyle name="Обычный 6 9 5 4 2" xfId="25894"/>
    <cellStyle name="Обычный 6 9 5 4 2 2" xfId="25895"/>
    <cellStyle name="Обычный 6 9 5 4 2 3" xfId="25896"/>
    <cellStyle name="Обычный 6 9 5 4 3" xfId="25897"/>
    <cellStyle name="Обычный 6 9 5 4 3 2" xfId="25898"/>
    <cellStyle name="Обычный 6 9 5 4 3 3" xfId="25899"/>
    <cellStyle name="Обычный 6 9 5 4 4" xfId="25900"/>
    <cellStyle name="Обычный 6 9 5 4 4 2" xfId="25901"/>
    <cellStyle name="Обычный 6 9 5 4 5" xfId="25902"/>
    <cellStyle name="Обычный 6 9 5 4 6" xfId="25903"/>
    <cellStyle name="Обычный 6 9 5 5" xfId="25904"/>
    <cellStyle name="Обычный 6 9 5 5 2" xfId="25905"/>
    <cellStyle name="Обычный 6 9 5 5 3" xfId="25906"/>
    <cellStyle name="Обычный 6 9 5 6" xfId="25907"/>
    <cellStyle name="Обычный 6 9 5 6 2" xfId="25908"/>
    <cellStyle name="Обычный 6 9 5 6 3" xfId="25909"/>
    <cellStyle name="Обычный 6 9 5 7" xfId="25910"/>
    <cellStyle name="Обычный 6 9 5 7 2" xfId="25911"/>
    <cellStyle name="Обычный 6 9 5 8" xfId="25912"/>
    <cellStyle name="Обычный 6 9 5 9" xfId="25913"/>
    <cellStyle name="Обычный 6 9 6" xfId="25914"/>
    <cellStyle name="Обычный 6 9 6 2" xfId="25915"/>
    <cellStyle name="Обычный 6 9 6 2 2" xfId="25916"/>
    <cellStyle name="Обычный 6 9 6 2 2 2" xfId="25917"/>
    <cellStyle name="Обычный 6 9 6 2 2 2 2" xfId="25918"/>
    <cellStyle name="Обычный 6 9 6 2 2 2 3" xfId="25919"/>
    <cellStyle name="Обычный 6 9 6 2 2 3" xfId="25920"/>
    <cellStyle name="Обычный 6 9 6 2 2 3 2" xfId="25921"/>
    <cellStyle name="Обычный 6 9 6 2 2 3 3" xfId="25922"/>
    <cellStyle name="Обычный 6 9 6 2 2 4" xfId="25923"/>
    <cellStyle name="Обычный 6 9 6 2 2 4 2" xfId="25924"/>
    <cellStyle name="Обычный 6 9 6 2 2 5" xfId="25925"/>
    <cellStyle name="Обычный 6 9 6 2 2 6" xfId="25926"/>
    <cellStyle name="Обычный 6 9 6 2 3" xfId="25927"/>
    <cellStyle name="Обычный 6 9 6 2 3 2" xfId="25928"/>
    <cellStyle name="Обычный 6 9 6 2 3 3" xfId="25929"/>
    <cellStyle name="Обычный 6 9 6 2 4" xfId="25930"/>
    <cellStyle name="Обычный 6 9 6 2 4 2" xfId="25931"/>
    <cellStyle name="Обычный 6 9 6 2 4 3" xfId="25932"/>
    <cellStyle name="Обычный 6 9 6 2 5" xfId="25933"/>
    <cellStyle name="Обычный 6 9 6 2 5 2" xfId="25934"/>
    <cellStyle name="Обычный 6 9 6 2 6" xfId="25935"/>
    <cellStyle name="Обычный 6 9 6 2 7" xfId="25936"/>
    <cellStyle name="Обычный 6 9 6 3" xfId="25937"/>
    <cellStyle name="Обычный 6 9 6 3 2" xfId="25938"/>
    <cellStyle name="Обычный 6 9 6 3 2 2" xfId="25939"/>
    <cellStyle name="Обычный 6 9 6 3 2 3" xfId="25940"/>
    <cellStyle name="Обычный 6 9 6 3 3" xfId="25941"/>
    <cellStyle name="Обычный 6 9 6 3 3 2" xfId="25942"/>
    <cellStyle name="Обычный 6 9 6 3 3 3" xfId="25943"/>
    <cellStyle name="Обычный 6 9 6 3 4" xfId="25944"/>
    <cellStyle name="Обычный 6 9 6 3 4 2" xfId="25945"/>
    <cellStyle name="Обычный 6 9 6 3 5" xfId="25946"/>
    <cellStyle name="Обычный 6 9 6 3 6" xfId="25947"/>
    <cellStyle name="Обычный 6 9 6 4" xfId="25948"/>
    <cellStyle name="Обычный 6 9 6 4 2" xfId="25949"/>
    <cellStyle name="Обычный 6 9 6 4 3" xfId="25950"/>
    <cellStyle name="Обычный 6 9 6 5" xfId="25951"/>
    <cellStyle name="Обычный 6 9 6 5 2" xfId="25952"/>
    <cellStyle name="Обычный 6 9 6 5 3" xfId="25953"/>
    <cellStyle name="Обычный 6 9 6 6" xfId="25954"/>
    <cellStyle name="Обычный 6 9 6 6 2" xfId="25955"/>
    <cellStyle name="Обычный 6 9 6 7" xfId="25956"/>
    <cellStyle name="Обычный 6 9 6 8" xfId="25957"/>
    <cellStyle name="Обычный 6 9 7" xfId="25958"/>
    <cellStyle name="Обычный 6 9 7 2" xfId="25959"/>
    <cellStyle name="Обычный 6 9 7 2 2" xfId="25960"/>
    <cellStyle name="Обычный 6 9 7 2 2 2" xfId="25961"/>
    <cellStyle name="Обычный 6 9 7 2 2 3" xfId="25962"/>
    <cellStyle name="Обычный 6 9 7 2 3" xfId="25963"/>
    <cellStyle name="Обычный 6 9 7 2 3 2" xfId="25964"/>
    <cellStyle name="Обычный 6 9 7 2 3 3" xfId="25965"/>
    <cellStyle name="Обычный 6 9 7 2 4" xfId="25966"/>
    <cellStyle name="Обычный 6 9 7 2 4 2" xfId="25967"/>
    <cellStyle name="Обычный 6 9 7 2 5" xfId="25968"/>
    <cellStyle name="Обычный 6 9 7 2 6" xfId="25969"/>
    <cellStyle name="Обычный 6 9 7 3" xfId="25970"/>
    <cellStyle name="Обычный 6 9 7 3 2" xfId="25971"/>
    <cellStyle name="Обычный 6 9 7 3 3" xfId="25972"/>
    <cellStyle name="Обычный 6 9 7 4" xfId="25973"/>
    <cellStyle name="Обычный 6 9 7 4 2" xfId="25974"/>
    <cellStyle name="Обычный 6 9 7 4 3" xfId="25975"/>
    <cellStyle name="Обычный 6 9 7 5" xfId="25976"/>
    <cellStyle name="Обычный 6 9 7 5 2" xfId="25977"/>
    <cellStyle name="Обычный 6 9 7 6" xfId="25978"/>
    <cellStyle name="Обычный 6 9 7 7" xfId="25979"/>
    <cellStyle name="Обычный 6 9 8" xfId="25980"/>
    <cellStyle name="Обычный 6 9 8 2" xfId="25981"/>
    <cellStyle name="Обычный 6 9 8 2 2" xfId="25982"/>
    <cellStyle name="Обычный 6 9 8 2 3" xfId="25983"/>
    <cellStyle name="Обычный 6 9 8 3" xfId="25984"/>
    <cellStyle name="Обычный 6 9 8 3 2" xfId="25985"/>
    <cellStyle name="Обычный 6 9 8 3 3" xfId="25986"/>
    <cellStyle name="Обычный 6 9 8 4" xfId="25987"/>
    <cellStyle name="Обычный 6 9 8 4 2" xfId="25988"/>
    <cellStyle name="Обычный 6 9 8 5" xfId="25989"/>
    <cellStyle name="Обычный 6 9 8 6" xfId="25990"/>
    <cellStyle name="Обычный 6 9 9" xfId="25991"/>
    <cellStyle name="Обычный 6 9 9 2" xfId="25992"/>
    <cellStyle name="Обычный 6 9 9 3" xfId="25993"/>
    <cellStyle name="Обычный 7" xfId="25994"/>
    <cellStyle name="Обычный 7 10" xfId="25995"/>
    <cellStyle name="Обычный 7 10 10" xfId="25996"/>
    <cellStyle name="Обычный 7 10 2" xfId="25997"/>
    <cellStyle name="Обычный 7 10 2 2" xfId="25998"/>
    <cellStyle name="Обычный 7 10 2 2 2" xfId="25999"/>
    <cellStyle name="Обычный 7 10 2 2 2 2" xfId="26000"/>
    <cellStyle name="Обычный 7 10 2 2 2 2 2" xfId="26001"/>
    <cellStyle name="Обычный 7 10 2 2 2 2 2 2" xfId="26002"/>
    <cellStyle name="Обычный 7 10 2 2 2 2 2 3" xfId="26003"/>
    <cellStyle name="Обычный 7 10 2 2 2 2 3" xfId="26004"/>
    <cellStyle name="Обычный 7 10 2 2 2 2 3 2" xfId="26005"/>
    <cellStyle name="Обычный 7 10 2 2 2 2 3 3" xfId="26006"/>
    <cellStyle name="Обычный 7 10 2 2 2 2 4" xfId="26007"/>
    <cellStyle name="Обычный 7 10 2 2 2 2 4 2" xfId="26008"/>
    <cellStyle name="Обычный 7 10 2 2 2 2 5" xfId="26009"/>
    <cellStyle name="Обычный 7 10 2 2 2 2 6" xfId="26010"/>
    <cellStyle name="Обычный 7 10 2 2 2 3" xfId="26011"/>
    <cellStyle name="Обычный 7 10 2 2 2 3 2" xfId="26012"/>
    <cellStyle name="Обычный 7 10 2 2 2 3 3" xfId="26013"/>
    <cellStyle name="Обычный 7 10 2 2 2 4" xfId="26014"/>
    <cellStyle name="Обычный 7 10 2 2 2 4 2" xfId="26015"/>
    <cellStyle name="Обычный 7 10 2 2 2 4 3" xfId="26016"/>
    <cellStyle name="Обычный 7 10 2 2 2 5" xfId="26017"/>
    <cellStyle name="Обычный 7 10 2 2 2 5 2" xfId="26018"/>
    <cellStyle name="Обычный 7 10 2 2 2 6" xfId="26019"/>
    <cellStyle name="Обычный 7 10 2 2 2 7" xfId="26020"/>
    <cellStyle name="Обычный 7 10 2 2 3" xfId="26021"/>
    <cellStyle name="Обычный 7 10 2 2 3 2" xfId="26022"/>
    <cellStyle name="Обычный 7 10 2 2 3 2 2" xfId="26023"/>
    <cellStyle name="Обычный 7 10 2 2 3 2 3" xfId="26024"/>
    <cellStyle name="Обычный 7 10 2 2 3 3" xfId="26025"/>
    <cellStyle name="Обычный 7 10 2 2 3 3 2" xfId="26026"/>
    <cellStyle name="Обычный 7 10 2 2 3 3 3" xfId="26027"/>
    <cellStyle name="Обычный 7 10 2 2 3 4" xfId="26028"/>
    <cellStyle name="Обычный 7 10 2 2 3 4 2" xfId="26029"/>
    <cellStyle name="Обычный 7 10 2 2 3 5" xfId="26030"/>
    <cellStyle name="Обычный 7 10 2 2 3 6" xfId="26031"/>
    <cellStyle name="Обычный 7 10 2 2 4" xfId="26032"/>
    <cellStyle name="Обычный 7 10 2 2 4 2" xfId="26033"/>
    <cellStyle name="Обычный 7 10 2 2 4 3" xfId="26034"/>
    <cellStyle name="Обычный 7 10 2 2 5" xfId="26035"/>
    <cellStyle name="Обычный 7 10 2 2 5 2" xfId="26036"/>
    <cellStyle name="Обычный 7 10 2 2 5 3" xfId="26037"/>
    <cellStyle name="Обычный 7 10 2 2 6" xfId="26038"/>
    <cellStyle name="Обычный 7 10 2 2 6 2" xfId="26039"/>
    <cellStyle name="Обычный 7 10 2 2 7" xfId="26040"/>
    <cellStyle name="Обычный 7 10 2 2 8" xfId="26041"/>
    <cellStyle name="Обычный 7 10 2 3" xfId="26042"/>
    <cellStyle name="Обычный 7 10 2 3 2" xfId="26043"/>
    <cellStyle name="Обычный 7 10 2 3 2 2" xfId="26044"/>
    <cellStyle name="Обычный 7 10 2 3 2 2 2" xfId="26045"/>
    <cellStyle name="Обычный 7 10 2 3 2 2 3" xfId="26046"/>
    <cellStyle name="Обычный 7 10 2 3 2 3" xfId="26047"/>
    <cellStyle name="Обычный 7 10 2 3 2 3 2" xfId="26048"/>
    <cellStyle name="Обычный 7 10 2 3 2 3 3" xfId="26049"/>
    <cellStyle name="Обычный 7 10 2 3 2 4" xfId="26050"/>
    <cellStyle name="Обычный 7 10 2 3 2 4 2" xfId="26051"/>
    <cellStyle name="Обычный 7 10 2 3 2 5" xfId="26052"/>
    <cellStyle name="Обычный 7 10 2 3 2 6" xfId="26053"/>
    <cellStyle name="Обычный 7 10 2 3 3" xfId="26054"/>
    <cellStyle name="Обычный 7 10 2 3 3 2" xfId="26055"/>
    <cellStyle name="Обычный 7 10 2 3 3 3" xfId="26056"/>
    <cellStyle name="Обычный 7 10 2 3 4" xfId="26057"/>
    <cellStyle name="Обычный 7 10 2 3 4 2" xfId="26058"/>
    <cellStyle name="Обычный 7 10 2 3 4 3" xfId="26059"/>
    <cellStyle name="Обычный 7 10 2 3 5" xfId="26060"/>
    <cellStyle name="Обычный 7 10 2 3 5 2" xfId="26061"/>
    <cellStyle name="Обычный 7 10 2 3 6" xfId="26062"/>
    <cellStyle name="Обычный 7 10 2 3 7" xfId="26063"/>
    <cellStyle name="Обычный 7 10 2 4" xfId="26064"/>
    <cellStyle name="Обычный 7 10 2 4 2" xfId="26065"/>
    <cellStyle name="Обычный 7 10 2 4 2 2" xfId="26066"/>
    <cellStyle name="Обычный 7 10 2 4 2 3" xfId="26067"/>
    <cellStyle name="Обычный 7 10 2 4 3" xfId="26068"/>
    <cellStyle name="Обычный 7 10 2 4 3 2" xfId="26069"/>
    <cellStyle name="Обычный 7 10 2 4 3 3" xfId="26070"/>
    <cellStyle name="Обычный 7 10 2 4 4" xfId="26071"/>
    <cellStyle name="Обычный 7 10 2 4 4 2" xfId="26072"/>
    <cellStyle name="Обычный 7 10 2 4 5" xfId="26073"/>
    <cellStyle name="Обычный 7 10 2 4 6" xfId="26074"/>
    <cellStyle name="Обычный 7 10 2 5" xfId="26075"/>
    <cellStyle name="Обычный 7 10 2 5 2" xfId="26076"/>
    <cellStyle name="Обычный 7 10 2 5 3" xfId="26077"/>
    <cellStyle name="Обычный 7 10 2 6" xfId="26078"/>
    <cellStyle name="Обычный 7 10 2 6 2" xfId="26079"/>
    <cellStyle name="Обычный 7 10 2 6 3" xfId="26080"/>
    <cellStyle name="Обычный 7 10 2 7" xfId="26081"/>
    <cellStyle name="Обычный 7 10 2 7 2" xfId="26082"/>
    <cellStyle name="Обычный 7 10 2 8" xfId="26083"/>
    <cellStyle name="Обычный 7 10 2 9" xfId="26084"/>
    <cellStyle name="Обычный 7 10 3" xfId="26085"/>
    <cellStyle name="Обычный 7 10 3 2" xfId="26086"/>
    <cellStyle name="Обычный 7 10 3 2 2" xfId="26087"/>
    <cellStyle name="Обычный 7 10 3 2 2 2" xfId="26088"/>
    <cellStyle name="Обычный 7 10 3 2 2 2 2" xfId="26089"/>
    <cellStyle name="Обычный 7 10 3 2 2 2 3" xfId="26090"/>
    <cellStyle name="Обычный 7 10 3 2 2 3" xfId="26091"/>
    <cellStyle name="Обычный 7 10 3 2 2 3 2" xfId="26092"/>
    <cellStyle name="Обычный 7 10 3 2 2 3 3" xfId="26093"/>
    <cellStyle name="Обычный 7 10 3 2 2 4" xfId="26094"/>
    <cellStyle name="Обычный 7 10 3 2 2 4 2" xfId="26095"/>
    <cellStyle name="Обычный 7 10 3 2 2 5" xfId="26096"/>
    <cellStyle name="Обычный 7 10 3 2 2 6" xfId="26097"/>
    <cellStyle name="Обычный 7 10 3 2 3" xfId="26098"/>
    <cellStyle name="Обычный 7 10 3 2 3 2" xfId="26099"/>
    <cellStyle name="Обычный 7 10 3 2 3 3" xfId="26100"/>
    <cellStyle name="Обычный 7 10 3 2 4" xfId="26101"/>
    <cellStyle name="Обычный 7 10 3 2 4 2" xfId="26102"/>
    <cellStyle name="Обычный 7 10 3 2 4 3" xfId="26103"/>
    <cellStyle name="Обычный 7 10 3 2 5" xfId="26104"/>
    <cellStyle name="Обычный 7 10 3 2 5 2" xfId="26105"/>
    <cellStyle name="Обычный 7 10 3 2 6" xfId="26106"/>
    <cellStyle name="Обычный 7 10 3 2 7" xfId="26107"/>
    <cellStyle name="Обычный 7 10 3 3" xfId="26108"/>
    <cellStyle name="Обычный 7 10 3 3 2" xfId="26109"/>
    <cellStyle name="Обычный 7 10 3 3 2 2" xfId="26110"/>
    <cellStyle name="Обычный 7 10 3 3 2 3" xfId="26111"/>
    <cellStyle name="Обычный 7 10 3 3 3" xfId="26112"/>
    <cellStyle name="Обычный 7 10 3 3 3 2" xfId="26113"/>
    <cellStyle name="Обычный 7 10 3 3 3 3" xfId="26114"/>
    <cellStyle name="Обычный 7 10 3 3 4" xfId="26115"/>
    <cellStyle name="Обычный 7 10 3 3 4 2" xfId="26116"/>
    <cellStyle name="Обычный 7 10 3 3 5" xfId="26117"/>
    <cellStyle name="Обычный 7 10 3 3 6" xfId="26118"/>
    <cellStyle name="Обычный 7 10 3 4" xfId="26119"/>
    <cellStyle name="Обычный 7 10 3 4 2" xfId="26120"/>
    <cellStyle name="Обычный 7 10 3 4 3" xfId="26121"/>
    <cellStyle name="Обычный 7 10 3 5" xfId="26122"/>
    <cellStyle name="Обычный 7 10 3 5 2" xfId="26123"/>
    <cellStyle name="Обычный 7 10 3 5 3" xfId="26124"/>
    <cellStyle name="Обычный 7 10 3 6" xfId="26125"/>
    <cellStyle name="Обычный 7 10 3 6 2" xfId="26126"/>
    <cellStyle name="Обычный 7 10 3 7" xfId="26127"/>
    <cellStyle name="Обычный 7 10 3 8" xfId="26128"/>
    <cellStyle name="Обычный 7 10 4" xfId="26129"/>
    <cellStyle name="Обычный 7 10 4 2" xfId="26130"/>
    <cellStyle name="Обычный 7 10 4 2 2" xfId="26131"/>
    <cellStyle name="Обычный 7 10 4 2 2 2" xfId="26132"/>
    <cellStyle name="Обычный 7 10 4 2 2 3" xfId="26133"/>
    <cellStyle name="Обычный 7 10 4 2 3" xfId="26134"/>
    <cellStyle name="Обычный 7 10 4 2 3 2" xfId="26135"/>
    <cellStyle name="Обычный 7 10 4 2 3 3" xfId="26136"/>
    <cellStyle name="Обычный 7 10 4 2 4" xfId="26137"/>
    <cellStyle name="Обычный 7 10 4 2 4 2" xfId="26138"/>
    <cellStyle name="Обычный 7 10 4 2 5" xfId="26139"/>
    <cellStyle name="Обычный 7 10 4 2 6" xfId="26140"/>
    <cellStyle name="Обычный 7 10 4 3" xfId="26141"/>
    <cellStyle name="Обычный 7 10 4 3 2" xfId="26142"/>
    <cellStyle name="Обычный 7 10 4 3 3" xfId="26143"/>
    <cellStyle name="Обычный 7 10 4 4" xfId="26144"/>
    <cellStyle name="Обычный 7 10 4 4 2" xfId="26145"/>
    <cellStyle name="Обычный 7 10 4 4 3" xfId="26146"/>
    <cellStyle name="Обычный 7 10 4 5" xfId="26147"/>
    <cellStyle name="Обычный 7 10 4 5 2" xfId="26148"/>
    <cellStyle name="Обычный 7 10 4 6" xfId="26149"/>
    <cellStyle name="Обычный 7 10 4 7" xfId="26150"/>
    <cellStyle name="Обычный 7 10 5" xfId="26151"/>
    <cellStyle name="Обычный 7 10 5 2" xfId="26152"/>
    <cellStyle name="Обычный 7 10 5 2 2" xfId="26153"/>
    <cellStyle name="Обычный 7 10 5 2 3" xfId="26154"/>
    <cellStyle name="Обычный 7 10 5 3" xfId="26155"/>
    <cellStyle name="Обычный 7 10 5 3 2" xfId="26156"/>
    <cellStyle name="Обычный 7 10 5 3 3" xfId="26157"/>
    <cellStyle name="Обычный 7 10 5 4" xfId="26158"/>
    <cellStyle name="Обычный 7 10 5 4 2" xfId="26159"/>
    <cellStyle name="Обычный 7 10 5 5" xfId="26160"/>
    <cellStyle name="Обычный 7 10 5 6" xfId="26161"/>
    <cellStyle name="Обычный 7 10 6" xfId="26162"/>
    <cellStyle name="Обычный 7 10 6 2" xfId="26163"/>
    <cellStyle name="Обычный 7 10 6 3" xfId="26164"/>
    <cellStyle name="Обычный 7 10 7" xfId="26165"/>
    <cellStyle name="Обычный 7 10 7 2" xfId="26166"/>
    <cellStyle name="Обычный 7 10 7 3" xfId="26167"/>
    <cellStyle name="Обычный 7 10 8" xfId="26168"/>
    <cellStyle name="Обычный 7 10 8 2" xfId="26169"/>
    <cellStyle name="Обычный 7 10 9" xfId="26170"/>
    <cellStyle name="Обычный 7 11" xfId="26171"/>
    <cellStyle name="Обычный 7 11 10" xfId="26172"/>
    <cellStyle name="Обычный 7 11 2" xfId="26173"/>
    <cellStyle name="Обычный 7 11 2 2" xfId="26174"/>
    <cellStyle name="Обычный 7 11 2 2 2" xfId="26175"/>
    <cellStyle name="Обычный 7 11 2 2 2 2" xfId="26176"/>
    <cellStyle name="Обычный 7 11 2 2 2 2 2" xfId="26177"/>
    <cellStyle name="Обычный 7 11 2 2 2 2 2 2" xfId="26178"/>
    <cellStyle name="Обычный 7 11 2 2 2 2 2 3" xfId="26179"/>
    <cellStyle name="Обычный 7 11 2 2 2 2 3" xfId="26180"/>
    <cellStyle name="Обычный 7 11 2 2 2 2 3 2" xfId="26181"/>
    <cellStyle name="Обычный 7 11 2 2 2 2 3 3" xfId="26182"/>
    <cellStyle name="Обычный 7 11 2 2 2 2 4" xfId="26183"/>
    <cellStyle name="Обычный 7 11 2 2 2 2 4 2" xfId="26184"/>
    <cellStyle name="Обычный 7 11 2 2 2 2 5" xfId="26185"/>
    <cellStyle name="Обычный 7 11 2 2 2 2 6" xfId="26186"/>
    <cellStyle name="Обычный 7 11 2 2 2 3" xfId="26187"/>
    <cellStyle name="Обычный 7 11 2 2 2 3 2" xfId="26188"/>
    <cellStyle name="Обычный 7 11 2 2 2 3 3" xfId="26189"/>
    <cellStyle name="Обычный 7 11 2 2 2 4" xfId="26190"/>
    <cellStyle name="Обычный 7 11 2 2 2 4 2" xfId="26191"/>
    <cellStyle name="Обычный 7 11 2 2 2 4 3" xfId="26192"/>
    <cellStyle name="Обычный 7 11 2 2 2 5" xfId="26193"/>
    <cellStyle name="Обычный 7 11 2 2 2 5 2" xfId="26194"/>
    <cellStyle name="Обычный 7 11 2 2 2 6" xfId="26195"/>
    <cellStyle name="Обычный 7 11 2 2 2 7" xfId="26196"/>
    <cellStyle name="Обычный 7 11 2 2 3" xfId="26197"/>
    <cellStyle name="Обычный 7 11 2 2 3 2" xfId="26198"/>
    <cellStyle name="Обычный 7 11 2 2 3 2 2" xfId="26199"/>
    <cellStyle name="Обычный 7 11 2 2 3 2 3" xfId="26200"/>
    <cellStyle name="Обычный 7 11 2 2 3 3" xfId="26201"/>
    <cellStyle name="Обычный 7 11 2 2 3 3 2" xfId="26202"/>
    <cellStyle name="Обычный 7 11 2 2 3 3 3" xfId="26203"/>
    <cellStyle name="Обычный 7 11 2 2 3 4" xfId="26204"/>
    <cellStyle name="Обычный 7 11 2 2 3 4 2" xfId="26205"/>
    <cellStyle name="Обычный 7 11 2 2 3 5" xfId="26206"/>
    <cellStyle name="Обычный 7 11 2 2 3 6" xfId="26207"/>
    <cellStyle name="Обычный 7 11 2 2 4" xfId="26208"/>
    <cellStyle name="Обычный 7 11 2 2 4 2" xfId="26209"/>
    <cellStyle name="Обычный 7 11 2 2 4 3" xfId="26210"/>
    <cellStyle name="Обычный 7 11 2 2 5" xfId="26211"/>
    <cellStyle name="Обычный 7 11 2 2 5 2" xfId="26212"/>
    <cellStyle name="Обычный 7 11 2 2 5 3" xfId="26213"/>
    <cellStyle name="Обычный 7 11 2 2 6" xfId="26214"/>
    <cellStyle name="Обычный 7 11 2 2 6 2" xfId="26215"/>
    <cellStyle name="Обычный 7 11 2 2 7" xfId="26216"/>
    <cellStyle name="Обычный 7 11 2 2 8" xfId="26217"/>
    <cellStyle name="Обычный 7 11 2 3" xfId="26218"/>
    <cellStyle name="Обычный 7 11 2 3 2" xfId="26219"/>
    <cellStyle name="Обычный 7 11 2 3 2 2" xfId="26220"/>
    <cellStyle name="Обычный 7 11 2 3 2 2 2" xfId="26221"/>
    <cellStyle name="Обычный 7 11 2 3 2 2 3" xfId="26222"/>
    <cellStyle name="Обычный 7 11 2 3 2 3" xfId="26223"/>
    <cellStyle name="Обычный 7 11 2 3 2 3 2" xfId="26224"/>
    <cellStyle name="Обычный 7 11 2 3 2 3 3" xfId="26225"/>
    <cellStyle name="Обычный 7 11 2 3 2 4" xfId="26226"/>
    <cellStyle name="Обычный 7 11 2 3 2 4 2" xfId="26227"/>
    <cellStyle name="Обычный 7 11 2 3 2 5" xfId="26228"/>
    <cellStyle name="Обычный 7 11 2 3 2 6" xfId="26229"/>
    <cellStyle name="Обычный 7 11 2 3 3" xfId="26230"/>
    <cellStyle name="Обычный 7 11 2 3 3 2" xfId="26231"/>
    <cellStyle name="Обычный 7 11 2 3 3 3" xfId="26232"/>
    <cellStyle name="Обычный 7 11 2 3 4" xfId="26233"/>
    <cellStyle name="Обычный 7 11 2 3 4 2" xfId="26234"/>
    <cellStyle name="Обычный 7 11 2 3 4 3" xfId="26235"/>
    <cellStyle name="Обычный 7 11 2 3 5" xfId="26236"/>
    <cellStyle name="Обычный 7 11 2 3 5 2" xfId="26237"/>
    <cellStyle name="Обычный 7 11 2 3 6" xfId="26238"/>
    <cellStyle name="Обычный 7 11 2 3 7" xfId="26239"/>
    <cellStyle name="Обычный 7 11 2 4" xfId="26240"/>
    <cellStyle name="Обычный 7 11 2 4 2" xfId="26241"/>
    <cellStyle name="Обычный 7 11 2 4 2 2" xfId="26242"/>
    <cellStyle name="Обычный 7 11 2 4 2 3" xfId="26243"/>
    <cellStyle name="Обычный 7 11 2 4 3" xfId="26244"/>
    <cellStyle name="Обычный 7 11 2 4 3 2" xfId="26245"/>
    <cellStyle name="Обычный 7 11 2 4 3 3" xfId="26246"/>
    <cellStyle name="Обычный 7 11 2 4 4" xfId="26247"/>
    <cellStyle name="Обычный 7 11 2 4 4 2" xfId="26248"/>
    <cellStyle name="Обычный 7 11 2 4 5" xfId="26249"/>
    <cellStyle name="Обычный 7 11 2 4 6" xfId="26250"/>
    <cellStyle name="Обычный 7 11 2 5" xfId="26251"/>
    <cellStyle name="Обычный 7 11 2 5 2" xfId="26252"/>
    <cellStyle name="Обычный 7 11 2 5 3" xfId="26253"/>
    <cellStyle name="Обычный 7 11 2 6" xfId="26254"/>
    <cellStyle name="Обычный 7 11 2 6 2" xfId="26255"/>
    <cellStyle name="Обычный 7 11 2 6 3" xfId="26256"/>
    <cellStyle name="Обычный 7 11 2 7" xfId="26257"/>
    <cellStyle name="Обычный 7 11 2 7 2" xfId="26258"/>
    <cellStyle name="Обычный 7 11 2 8" xfId="26259"/>
    <cellStyle name="Обычный 7 11 2 9" xfId="26260"/>
    <cellStyle name="Обычный 7 11 3" xfId="26261"/>
    <cellStyle name="Обычный 7 11 3 2" xfId="26262"/>
    <cellStyle name="Обычный 7 11 3 2 2" xfId="26263"/>
    <cellStyle name="Обычный 7 11 3 2 2 2" xfId="26264"/>
    <cellStyle name="Обычный 7 11 3 2 2 2 2" xfId="26265"/>
    <cellStyle name="Обычный 7 11 3 2 2 2 3" xfId="26266"/>
    <cellStyle name="Обычный 7 11 3 2 2 3" xfId="26267"/>
    <cellStyle name="Обычный 7 11 3 2 2 3 2" xfId="26268"/>
    <cellStyle name="Обычный 7 11 3 2 2 3 3" xfId="26269"/>
    <cellStyle name="Обычный 7 11 3 2 2 4" xfId="26270"/>
    <cellStyle name="Обычный 7 11 3 2 2 4 2" xfId="26271"/>
    <cellStyle name="Обычный 7 11 3 2 2 5" xfId="26272"/>
    <cellStyle name="Обычный 7 11 3 2 2 6" xfId="26273"/>
    <cellStyle name="Обычный 7 11 3 2 3" xfId="26274"/>
    <cellStyle name="Обычный 7 11 3 2 3 2" xfId="26275"/>
    <cellStyle name="Обычный 7 11 3 2 3 3" xfId="26276"/>
    <cellStyle name="Обычный 7 11 3 2 4" xfId="26277"/>
    <cellStyle name="Обычный 7 11 3 2 4 2" xfId="26278"/>
    <cellStyle name="Обычный 7 11 3 2 4 3" xfId="26279"/>
    <cellStyle name="Обычный 7 11 3 2 5" xfId="26280"/>
    <cellStyle name="Обычный 7 11 3 2 5 2" xfId="26281"/>
    <cellStyle name="Обычный 7 11 3 2 6" xfId="26282"/>
    <cellStyle name="Обычный 7 11 3 2 7" xfId="26283"/>
    <cellStyle name="Обычный 7 11 3 3" xfId="26284"/>
    <cellStyle name="Обычный 7 11 3 3 2" xfId="26285"/>
    <cellStyle name="Обычный 7 11 3 3 2 2" xfId="26286"/>
    <cellStyle name="Обычный 7 11 3 3 2 3" xfId="26287"/>
    <cellStyle name="Обычный 7 11 3 3 3" xfId="26288"/>
    <cellStyle name="Обычный 7 11 3 3 3 2" xfId="26289"/>
    <cellStyle name="Обычный 7 11 3 3 3 3" xfId="26290"/>
    <cellStyle name="Обычный 7 11 3 3 4" xfId="26291"/>
    <cellStyle name="Обычный 7 11 3 3 4 2" xfId="26292"/>
    <cellStyle name="Обычный 7 11 3 3 5" xfId="26293"/>
    <cellStyle name="Обычный 7 11 3 3 6" xfId="26294"/>
    <cellStyle name="Обычный 7 11 3 4" xfId="26295"/>
    <cellStyle name="Обычный 7 11 3 4 2" xfId="26296"/>
    <cellStyle name="Обычный 7 11 3 4 3" xfId="26297"/>
    <cellStyle name="Обычный 7 11 3 5" xfId="26298"/>
    <cellStyle name="Обычный 7 11 3 5 2" xfId="26299"/>
    <cellStyle name="Обычный 7 11 3 5 3" xfId="26300"/>
    <cellStyle name="Обычный 7 11 3 6" xfId="26301"/>
    <cellStyle name="Обычный 7 11 3 6 2" xfId="26302"/>
    <cellStyle name="Обычный 7 11 3 7" xfId="26303"/>
    <cellStyle name="Обычный 7 11 3 8" xfId="26304"/>
    <cellStyle name="Обычный 7 11 4" xfId="26305"/>
    <cellStyle name="Обычный 7 11 4 2" xfId="26306"/>
    <cellStyle name="Обычный 7 11 4 2 2" xfId="26307"/>
    <cellStyle name="Обычный 7 11 4 2 2 2" xfId="26308"/>
    <cellStyle name="Обычный 7 11 4 2 2 3" xfId="26309"/>
    <cellStyle name="Обычный 7 11 4 2 3" xfId="26310"/>
    <cellStyle name="Обычный 7 11 4 2 3 2" xfId="26311"/>
    <cellStyle name="Обычный 7 11 4 2 3 3" xfId="26312"/>
    <cellStyle name="Обычный 7 11 4 2 4" xfId="26313"/>
    <cellStyle name="Обычный 7 11 4 2 4 2" xfId="26314"/>
    <cellStyle name="Обычный 7 11 4 2 5" xfId="26315"/>
    <cellStyle name="Обычный 7 11 4 2 6" xfId="26316"/>
    <cellStyle name="Обычный 7 11 4 3" xfId="26317"/>
    <cellStyle name="Обычный 7 11 4 3 2" xfId="26318"/>
    <cellStyle name="Обычный 7 11 4 3 3" xfId="26319"/>
    <cellStyle name="Обычный 7 11 4 4" xfId="26320"/>
    <cellStyle name="Обычный 7 11 4 4 2" xfId="26321"/>
    <cellStyle name="Обычный 7 11 4 4 3" xfId="26322"/>
    <cellStyle name="Обычный 7 11 4 5" xfId="26323"/>
    <cellStyle name="Обычный 7 11 4 5 2" xfId="26324"/>
    <cellStyle name="Обычный 7 11 4 6" xfId="26325"/>
    <cellStyle name="Обычный 7 11 4 7" xfId="26326"/>
    <cellStyle name="Обычный 7 11 5" xfId="26327"/>
    <cellStyle name="Обычный 7 11 5 2" xfId="26328"/>
    <cellStyle name="Обычный 7 11 5 2 2" xfId="26329"/>
    <cellStyle name="Обычный 7 11 5 2 3" xfId="26330"/>
    <cellStyle name="Обычный 7 11 5 3" xfId="26331"/>
    <cellStyle name="Обычный 7 11 5 3 2" xfId="26332"/>
    <cellStyle name="Обычный 7 11 5 3 3" xfId="26333"/>
    <cellStyle name="Обычный 7 11 5 4" xfId="26334"/>
    <cellStyle name="Обычный 7 11 5 4 2" xfId="26335"/>
    <cellStyle name="Обычный 7 11 5 5" xfId="26336"/>
    <cellStyle name="Обычный 7 11 5 6" xfId="26337"/>
    <cellStyle name="Обычный 7 11 6" xfId="26338"/>
    <cellStyle name="Обычный 7 11 6 2" xfId="26339"/>
    <cellStyle name="Обычный 7 11 6 3" xfId="26340"/>
    <cellStyle name="Обычный 7 11 7" xfId="26341"/>
    <cellStyle name="Обычный 7 11 7 2" xfId="26342"/>
    <cellStyle name="Обычный 7 11 7 3" xfId="26343"/>
    <cellStyle name="Обычный 7 11 8" xfId="26344"/>
    <cellStyle name="Обычный 7 11 8 2" xfId="26345"/>
    <cellStyle name="Обычный 7 11 9" xfId="26346"/>
    <cellStyle name="Обычный 7 12" xfId="26347"/>
    <cellStyle name="Обычный 7 12 10" xfId="26348"/>
    <cellStyle name="Обычный 7 12 2" xfId="26349"/>
    <cellStyle name="Обычный 7 12 2 2" xfId="26350"/>
    <cellStyle name="Обычный 7 12 2 2 2" xfId="26351"/>
    <cellStyle name="Обычный 7 12 2 2 2 2" xfId="26352"/>
    <cellStyle name="Обычный 7 12 2 2 2 2 2" xfId="26353"/>
    <cellStyle name="Обычный 7 12 2 2 2 2 2 2" xfId="26354"/>
    <cellStyle name="Обычный 7 12 2 2 2 2 2 3" xfId="26355"/>
    <cellStyle name="Обычный 7 12 2 2 2 2 3" xfId="26356"/>
    <cellStyle name="Обычный 7 12 2 2 2 2 3 2" xfId="26357"/>
    <cellStyle name="Обычный 7 12 2 2 2 2 3 3" xfId="26358"/>
    <cellStyle name="Обычный 7 12 2 2 2 2 4" xfId="26359"/>
    <cellStyle name="Обычный 7 12 2 2 2 2 4 2" xfId="26360"/>
    <cellStyle name="Обычный 7 12 2 2 2 2 5" xfId="26361"/>
    <cellStyle name="Обычный 7 12 2 2 2 2 6" xfId="26362"/>
    <cellStyle name="Обычный 7 12 2 2 2 3" xfId="26363"/>
    <cellStyle name="Обычный 7 12 2 2 2 3 2" xfId="26364"/>
    <cellStyle name="Обычный 7 12 2 2 2 3 3" xfId="26365"/>
    <cellStyle name="Обычный 7 12 2 2 2 4" xfId="26366"/>
    <cellStyle name="Обычный 7 12 2 2 2 4 2" xfId="26367"/>
    <cellStyle name="Обычный 7 12 2 2 2 4 3" xfId="26368"/>
    <cellStyle name="Обычный 7 12 2 2 2 5" xfId="26369"/>
    <cellStyle name="Обычный 7 12 2 2 2 5 2" xfId="26370"/>
    <cellStyle name="Обычный 7 12 2 2 2 6" xfId="26371"/>
    <cellStyle name="Обычный 7 12 2 2 2 7" xfId="26372"/>
    <cellStyle name="Обычный 7 12 2 2 3" xfId="26373"/>
    <cellStyle name="Обычный 7 12 2 2 3 2" xfId="26374"/>
    <cellStyle name="Обычный 7 12 2 2 3 2 2" xfId="26375"/>
    <cellStyle name="Обычный 7 12 2 2 3 2 3" xfId="26376"/>
    <cellStyle name="Обычный 7 12 2 2 3 3" xfId="26377"/>
    <cellStyle name="Обычный 7 12 2 2 3 3 2" xfId="26378"/>
    <cellStyle name="Обычный 7 12 2 2 3 3 3" xfId="26379"/>
    <cellStyle name="Обычный 7 12 2 2 3 4" xfId="26380"/>
    <cellStyle name="Обычный 7 12 2 2 3 4 2" xfId="26381"/>
    <cellStyle name="Обычный 7 12 2 2 3 5" xfId="26382"/>
    <cellStyle name="Обычный 7 12 2 2 3 6" xfId="26383"/>
    <cellStyle name="Обычный 7 12 2 2 4" xfId="26384"/>
    <cellStyle name="Обычный 7 12 2 2 4 2" xfId="26385"/>
    <cellStyle name="Обычный 7 12 2 2 4 3" xfId="26386"/>
    <cellStyle name="Обычный 7 12 2 2 5" xfId="26387"/>
    <cellStyle name="Обычный 7 12 2 2 5 2" xfId="26388"/>
    <cellStyle name="Обычный 7 12 2 2 5 3" xfId="26389"/>
    <cellStyle name="Обычный 7 12 2 2 6" xfId="26390"/>
    <cellStyle name="Обычный 7 12 2 2 6 2" xfId="26391"/>
    <cellStyle name="Обычный 7 12 2 2 7" xfId="26392"/>
    <cellStyle name="Обычный 7 12 2 2 8" xfId="26393"/>
    <cellStyle name="Обычный 7 12 2 3" xfId="26394"/>
    <cellStyle name="Обычный 7 12 2 3 2" xfId="26395"/>
    <cellStyle name="Обычный 7 12 2 3 2 2" xfId="26396"/>
    <cellStyle name="Обычный 7 12 2 3 2 2 2" xfId="26397"/>
    <cellStyle name="Обычный 7 12 2 3 2 2 3" xfId="26398"/>
    <cellStyle name="Обычный 7 12 2 3 2 3" xfId="26399"/>
    <cellStyle name="Обычный 7 12 2 3 2 3 2" xfId="26400"/>
    <cellStyle name="Обычный 7 12 2 3 2 3 3" xfId="26401"/>
    <cellStyle name="Обычный 7 12 2 3 2 4" xfId="26402"/>
    <cellStyle name="Обычный 7 12 2 3 2 4 2" xfId="26403"/>
    <cellStyle name="Обычный 7 12 2 3 2 5" xfId="26404"/>
    <cellStyle name="Обычный 7 12 2 3 2 6" xfId="26405"/>
    <cellStyle name="Обычный 7 12 2 3 3" xfId="26406"/>
    <cellStyle name="Обычный 7 12 2 3 3 2" xfId="26407"/>
    <cellStyle name="Обычный 7 12 2 3 3 3" xfId="26408"/>
    <cellStyle name="Обычный 7 12 2 3 4" xfId="26409"/>
    <cellStyle name="Обычный 7 12 2 3 4 2" xfId="26410"/>
    <cellStyle name="Обычный 7 12 2 3 4 3" xfId="26411"/>
    <cellStyle name="Обычный 7 12 2 3 5" xfId="26412"/>
    <cellStyle name="Обычный 7 12 2 3 5 2" xfId="26413"/>
    <cellStyle name="Обычный 7 12 2 3 6" xfId="26414"/>
    <cellStyle name="Обычный 7 12 2 3 7" xfId="26415"/>
    <cellStyle name="Обычный 7 12 2 4" xfId="26416"/>
    <cellStyle name="Обычный 7 12 2 4 2" xfId="26417"/>
    <cellStyle name="Обычный 7 12 2 4 2 2" xfId="26418"/>
    <cellStyle name="Обычный 7 12 2 4 2 3" xfId="26419"/>
    <cellStyle name="Обычный 7 12 2 4 3" xfId="26420"/>
    <cellStyle name="Обычный 7 12 2 4 3 2" xfId="26421"/>
    <cellStyle name="Обычный 7 12 2 4 3 3" xfId="26422"/>
    <cellStyle name="Обычный 7 12 2 4 4" xfId="26423"/>
    <cellStyle name="Обычный 7 12 2 4 4 2" xfId="26424"/>
    <cellStyle name="Обычный 7 12 2 4 5" xfId="26425"/>
    <cellStyle name="Обычный 7 12 2 4 6" xfId="26426"/>
    <cellStyle name="Обычный 7 12 2 5" xfId="26427"/>
    <cellStyle name="Обычный 7 12 2 5 2" xfId="26428"/>
    <cellStyle name="Обычный 7 12 2 5 3" xfId="26429"/>
    <cellStyle name="Обычный 7 12 2 6" xfId="26430"/>
    <cellStyle name="Обычный 7 12 2 6 2" xfId="26431"/>
    <cellStyle name="Обычный 7 12 2 6 3" xfId="26432"/>
    <cellStyle name="Обычный 7 12 2 7" xfId="26433"/>
    <cellStyle name="Обычный 7 12 2 7 2" xfId="26434"/>
    <cellStyle name="Обычный 7 12 2 8" xfId="26435"/>
    <cellStyle name="Обычный 7 12 2 9" xfId="26436"/>
    <cellStyle name="Обычный 7 12 3" xfId="26437"/>
    <cellStyle name="Обычный 7 12 3 2" xfId="26438"/>
    <cellStyle name="Обычный 7 12 3 2 2" xfId="26439"/>
    <cellStyle name="Обычный 7 12 3 2 2 2" xfId="26440"/>
    <cellStyle name="Обычный 7 12 3 2 2 2 2" xfId="26441"/>
    <cellStyle name="Обычный 7 12 3 2 2 2 3" xfId="26442"/>
    <cellStyle name="Обычный 7 12 3 2 2 3" xfId="26443"/>
    <cellStyle name="Обычный 7 12 3 2 2 3 2" xfId="26444"/>
    <cellStyle name="Обычный 7 12 3 2 2 3 3" xfId="26445"/>
    <cellStyle name="Обычный 7 12 3 2 2 4" xfId="26446"/>
    <cellStyle name="Обычный 7 12 3 2 2 4 2" xfId="26447"/>
    <cellStyle name="Обычный 7 12 3 2 2 5" xfId="26448"/>
    <cellStyle name="Обычный 7 12 3 2 2 6" xfId="26449"/>
    <cellStyle name="Обычный 7 12 3 2 3" xfId="26450"/>
    <cellStyle name="Обычный 7 12 3 2 3 2" xfId="26451"/>
    <cellStyle name="Обычный 7 12 3 2 3 3" xfId="26452"/>
    <cellStyle name="Обычный 7 12 3 2 4" xfId="26453"/>
    <cellStyle name="Обычный 7 12 3 2 4 2" xfId="26454"/>
    <cellStyle name="Обычный 7 12 3 2 4 3" xfId="26455"/>
    <cellStyle name="Обычный 7 12 3 2 5" xfId="26456"/>
    <cellStyle name="Обычный 7 12 3 2 5 2" xfId="26457"/>
    <cellStyle name="Обычный 7 12 3 2 6" xfId="26458"/>
    <cellStyle name="Обычный 7 12 3 2 7" xfId="26459"/>
    <cellStyle name="Обычный 7 12 3 3" xfId="26460"/>
    <cellStyle name="Обычный 7 12 3 3 2" xfId="26461"/>
    <cellStyle name="Обычный 7 12 3 3 2 2" xfId="26462"/>
    <cellStyle name="Обычный 7 12 3 3 2 3" xfId="26463"/>
    <cellStyle name="Обычный 7 12 3 3 3" xfId="26464"/>
    <cellStyle name="Обычный 7 12 3 3 3 2" xfId="26465"/>
    <cellStyle name="Обычный 7 12 3 3 3 3" xfId="26466"/>
    <cellStyle name="Обычный 7 12 3 3 4" xfId="26467"/>
    <cellStyle name="Обычный 7 12 3 3 4 2" xfId="26468"/>
    <cellStyle name="Обычный 7 12 3 3 5" xfId="26469"/>
    <cellStyle name="Обычный 7 12 3 3 6" xfId="26470"/>
    <cellStyle name="Обычный 7 12 3 4" xfId="26471"/>
    <cellStyle name="Обычный 7 12 3 4 2" xfId="26472"/>
    <cellStyle name="Обычный 7 12 3 4 3" xfId="26473"/>
    <cellStyle name="Обычный 7 12 3 5" xfId="26474"/>
    <cellStyle name="Обычный 7 12 3 5 2" xfId="26475"/>
    <cellStyle name="Обычный 7 12 3 5 3" xfId="26476"/>
    <cellStyle name="Обычный 7 12 3 6" xfId="26477"/>
    <cellStyle name="Обычный 7 12 3 6 2" xfId="26478"/>
    <cellStyle name="Обычный 7 12 3 7" xfId="26479"/>
    <cellStyle name="Обычный 7 12 3 8" xfId="26480"/>
    <cellStyle name="Обычный 7 12 4" xfId="26481"/>
    <cellStyle name="Обычный 7 12 4 2" xfId="26482"/>
    <cellStyle name="Обычный 7 12 4 2 2" xfId="26483"/>
    <cellStyle name="Обычный 7 12 4 2 2 2" xfId="26484"/>
    <cellStyle name="Обычный 7 12 4 2 2 3" xfId="26485"/>
    <cellStyle name="Обычный 7 12 4 2 3" xfId="26486"/>
    <cellStyle name="Обычный 7 12 4 2 3 2" xfId="26487"/>
    <cellStyle name="Обычный 7 12 4 2 3 3" xfId="26488"/>
    <cellStyle name="Обычный 7 12 4 2 4" xfId="26489"/>
    <cellStyle name="Обычный 7 12 4 2 4 2" xfId="26490"/>
    <cellStyle name="Обычный 7 12 4 2 5" xfId="26491"/>
    <cellStyle name="Обычный 7 12 4 2 6" xfId="26492"/>
    <cellStyle name="Обычный 7 12 4 3" xfId="26493"/>
    <cellStyle name="Обычный 7 12 4 3 2" xfId="26494"/>
    <cellStyle name="Обычный 7 12 4 3 3" xfId="26495"/>
    <cellStyle name="Обычный 7 12 4 4" xfId="26496"/>
    <cellStyle name="Обычный 7 12 4 4 2" xfId="26497"/>
    <cellStyle name="Обычный 7 12 4 4 3" xfId="26498"/>
    <cellStyle name="Обычный 7 12 4 5" xfId="26499"/>
    <cellStyle name="Обычный 7 12 4 5 2" xfId="26500"/>
    <cellStyle name="Обычный 7 12 4 6" xfId="26501"/>
    <cellStyle name="Обычный 7 12 4 7" xfId="26502"/>
    <cellStyle name="Обычный 7 12 5" xfId="26503"/>
    <cellStyle name="Обычный 7 12 5 2" xfId="26504"/>
    <cellStyle name="Обычный 7 12 5 2 2" xfId="26505"/>
    <cellStyle name="Обычный 7 12 5 2 3" xfId="26506"/>
    <cellStyle name="Обычный 7 12 5 3" xfId="26507"/>
    <cellStyle name="Обычный 7 12 5 3 2" xfId="26508"/>
    <cellStyle name="Обычный 7 12 5 3 3" xfId="26509"/>
    <cellStyle name="Обычный 7 12 5 4" xfId="26510"/>
    <cellStyle name="Обычный 7 12 5 4 2" xfId="26511"/>
    <cellStyle name="Обычный 7 12 5 5" xfId="26512"/>
    <cellStyle name="Обычный 7 12 5 6" xfId="26513"/>
    <cellStyle name="Обычный 7 12 6" xfId="26514"/>
    <cellStyle name="Обычный 7 12 6 2" xfId="26515"/>
    <cellStyle name="Обычный 7 12 6 3" xfId="26516"/>
    <cellStyle name="Обычный 7 12 7" xfId="26517"/>
    <cellStyle name="Обычный 7 12 7 2" xfId="26518"/>
    <cellStyle name="Обычный 7 12 7 3" xfId="26519"/>
    <cellStyle name="Обычный 7 12 8" xfId="26520"/>
    <cellStyle name="Обычный 7 12 8 2" xfId="26521"/>
    <cellStyle name="Обычный 7 12 9" xfId="26522"/>
    <cellStyle name="Обычный 7 13" xfId="26523"/>
    <cellStyle name="Обычный 7 13 2" xfId="26524"/>
    <cellStyle name="Обычный 7 13 2 2" xfId="26525"/>
    <cellStyle name="Обычный 7 13 2 2 2" xfId="26526"/>
    <cellStyle name="Обычный 7 13 2 2 2 2" xfId="26527"/>
    <cellStyle name="Обычный 7 13 2 2 2 2 2" xfId="26528"/>
    <cellStyle name="Обычный 7 13 2 2 2 2 3" xfId="26529"/>
    <cellStyle name="Обычный 7 13 2 2 2 3" xfId="26530"/>
    <cellStyle name="Обычный 7 13 2 2 2 3 2" xfId="26531"/>
    <cellStyle name="Обычный 7 13 2 2 2 3 3" xfId="26532"/>
    <cellStyle name="Обычный 7 13 2 2 2 4" xfId="26533"/>
    <cellStyle name="Обычный 7 13 2 2 2 4 2" xfId="26534"/>
    <cellStyle name="Обычный 7 13 2 2 2 5" xfId="26535"/>
    <cellStyle name="Обычный 7 13 2 2 2 6" xfId="26536"/>
    <cellStyle name="Обычный 7 13 2 2 3" xfId="26537"/>
    <cellStyle name="Обычный 7 13 2 2 3 2" xfId="26538"/>
    <cellStyle name="Обычный 7 13 2 2 3 3" xfId="26539"/>
    <cellStyle name="Обычный 7 13 2 2 4" xfId="26540"/>
    <cellStyle name="Обычный 7 13 2 2 4 2" xfId="26541"/>
    <cellStyle name="Обычный 7 13 2 2 4 3" xfId="26542"/>
    <cellStyle name="Обычный 7 13 2 2 5" xfId="26543"/>
    <cellStyle name="Обычный 7 13 2 2 5 2" xfId="26544"/>
    <cellStyle name="Обычный 7 13 2 2 6" xfId="26545"/>
    <cellStyle name="Обычный 7 13 2 2 7" xfId="26546"/>
    <cellStyle name="Обычный 7 13 2 3" xfId="26547"/>
    <cellStyle name="Обычный 7 13 2 3 2" xfId="26548"/>
    <cellStyle name="Обычный 7 13 2 3 2 2" xfId="26549"/>
    <cellStyle name="Обычный 7 13 2 3 2 3" xfId="26550"/>
    <cellStyle name="Обычный 7 13 2 3 3" xfId="26551"/>
    <cellStyle name="Обычный 7 13 2 3 3 2" xfId="26552"/>
    <cellStyle name="Обычный 7 13 2 3 3 3" xfId="26553"/>
    <cellStyle name="Обычный 7 13 2 3 4" xfId="26554"/>
    <cellStyle name="Обычный 7 13 2 3 4 2" xfId="26555"/>
    <cellStyle name="Обычный 7 13 2 3 5" xfId="26556"/>
    <cellStyle name="Обычный 7 13 2 3 6" xfId="26557"/>
    <cellStyle name="Обычный 7 13 2 4" xfId="26558"/>
    <cellStyle name="Обычный 7 13 2 4 2" xfId="26559"/>
    <cellStyle name="Обычный 7 13 2 4 3" xfId="26560"/>
    <cellStyle name="Обычный 7 13 2 5" xfId="26561"/>
    <cellStyle name="Обычный 7 13 2 5 2" xfId="26562"/>
    <cellStyle name="Обычный 7 13 2 5 3" xfId="26563"/>
    <cellStyle name="Обычный 7 13 2 6" xfId="26564"/>
    <cellStyle name="Обычный 7 13 2 6 2" xfId="26565"/>
    <cellStyle name="Обычный 7 13 2 7" xfId="26566"/>
    <cellStyle name="Обычный 7 13 2 8" xfId="26567"/>
    <cellStyle name="Обычный 7 13 3" xfId="26568"/>
    <cellStyle name="Обычный 7 13 3 2" xfId="26569"/>
    <cellStyle name="Обычный 7 13 3 2 2" xfId="26570"/>
    <cellStyle name="Обычный 7 13 3 2 2 2" xfId="26571"/>
    <cellStyle name="Обычный 7 13 3 2 2 3" xfId="26572"/>
    <cellStyle name="Обычный 7 13 3 2 3" xfId="26573"/>
    <cellStyle name="Обычный 7 13 3 2 3 2" xfId="26574"/>
    <cellStyle name="Обычный 7 13 3 2 3 3" xfId="26575"/>
    <cellStyle name="Обычный 7 13 3 2 4" xfId="26576"/>
    <cellStyle name="Обычный 7 13 3 2 4 2" xfId="26577"/>
    <cellStyle name="Обычный 7 13 3 2 5" xfId="26578"/>
    <cellStyle name="Обычный 7 13 3 2 6" xfId="26579"/>
    <cellStyle name="Обычный 7 13 3 3" xfId="26580"/>
    <cellStyle name="Обычный 7 13 3 3 2" xfId="26581"/>
    <cellStyle name="Обычный 7 13 3 3 3" xfId="26582"/>
    <cellStyle name="Обычный 7 13 3 4" xfId="26583"/>
    <cellStyle name="Обычный 7 13 3 4 2" xfId="26584"/>
    <cellStyle name="Обычный 7 13 3 4 3" xfId="26585"/>
    <cellStyle name="Обычный 7 13 3 5" xfId="26586"/>
    <cellStyle name="Обычный 7 13 3 5 2" xfId="26587"/>
    <cellStyle name="Обычный 7 13 3 6" xfId="26588"/>
    <cellStyle name="Обычный 7 13 3 7" xfId="26589"/>
    <cellStyle name="Обычный 7 13 4" xfId="26590"/>
    <cellStyle name="Обычный 7 13 4 2" xfId="26591"/>
    <cellStyle name="Обычный 7 13 4 2 2" xfId="26592"/>
    <cellStyle name="Обычный 7 13 4 2 3" xfId="26593"/>
    <cellStyle name="Обычный 7 13 4 3" xfId="26594"/>
    <cellStyle name="Обычный 7 13 4 3 2" xfId="26595"/>
    <cellStyle name="Обычный 7 13 4 3 3" xfId="26596"/>
    <cellStyle name="Обычный 7 13 4 4" xfId="26597"/>
    <cellStyle name="Обычный 7 13 4 4 2" xfId="26598"/>
    <cellStyle name="Обычный 7 13 4 5" xfId="26599"/>
    <cellStyle name="Обычный 7 13 4 6" xfId="26600"/>
    <cellStyle name="Обычный 7 13 5" xfId="26601"/>
    <cellStyle name="Обычный 7 13 5 2" xfId="26602"/>
    <cellStyle name="Обычный 7 13 5 3" xfId="26603"/>
    <cellStyle name="Обычный 7 13 6" xfId="26604"/>
    <cellStyle name="Обычный 7 13 6 2" xfId="26605"/>
    <cellStyle name="Обычный 7 13 6 3" xfId="26606"/>
    <cellStyle name="Обычный 7 13 7" xfId="26607"/>
    <cellStyle name="Обычный 7 13 7 2" xfId="26608"/>
    <cellStyle name="Обычный 7 13 8" xfId="26609"/>
    <cellStyle name="Обычный 7 13 9" xfId="26610"/>
    <cellStyle name="Обычный 7 14" xfId="26611"/>
    <cellStyle name="Обычный 7 14 2" xfId="26612"/>
    <cellStyle name="Обычный 7 14 2 2" xfId="26613"/>
    <cellStyle name="Обычный 7 14 2 2 2" xfId="26614"/>
    <cellStyle name="Обычный 7 14 2 2 2 2" xfId="26615"/>
    <cellStyle name="Обычный 7 14 2 2 2 3" xfId="26616"/>
    <cellStyle name="Обычный 7 14 2 2 3" xfId="26617"/>
    <cellStyle name="Обычный 7 14 2 2 3 2" xfId="26618"/>
    <cellStyle name="Обычный 7 14 2 2 3 3" xfId="26619"/>
    <cellStyle name="Обычный 7 14 2 2 4" xfId="26620"/>
    <cellStyle name="Обычный 7 14 2 2 4 2" xfId="26621"/>
    <cellStyle name="Обычный 7 14 2 2 5" xfId="26622"/>
    <cellStyle name="Обычный 7 14 2 2 6" xfId="26623"/>
    <cellStyle name="Обычный 7 14 2 3" xfId="26624"/>
    <cellStyle name="Обычный 7 14 2 3 2" xfId="26625"/>
    <cellStyle name="Обычный 7 14 2 3 3" xfId="26626"/>
    <cellStyle name="Обычный 7 14 2 4" xfId="26627"/>
    <cellStyle name="Обычный 7 14 2 4 2" xfId="26628"/>
    <cellStyle name="Обычный 7 14 2 4 3" xfId="26629"/>
    <cellStyle name="Обычный 7 14 2 5" xfId="26630"/>
    <cellStyle name="Обычный 7 14 2 5 2" xfId="26631"/>
    <cellStyle name="Обычный 7 14 2 6" xfId="26632"/>
    <cellStyle name="Обычный 7 14 2 7" xfId="26633"/>
    <cellStyle name="Обычный 7 14 3" xfId="26634"/>
    <cellStyle name="Обычный 7 14 3 2" xfId="26635"/>
    <cellStyle name="Обычный 7 14 3 2 2" xfId="26636"/>
    <cellStyle name="Обычный 7 14 3 2 3" xfId="26637"/>
    <cellStyle name="Обычный 7 14 3 3" xfId="26638"/>
    <cellStyle name="Обычный 7 14 3 3 2" xfId="26639"/>
    <cellStyle name="Обычный 7 14 3 3 3" xfId="26640"/>
    <cellStyle name="Обычный 7 14 3 4" xfId="26641"/>
    <cellStyle name="Обычный 7 14 3 4 2" xfId="26642"/>
    <cellStyle name="Обычный 7 14 3 5" xfId="26643"/>
    <cellStyle name="Обычный 7 14 3 6" xfId="26644"/>
    <cellStyle name="Обычный 7 14 4" xfId="26645"/>
    <cellStyle name="Обычный 7 14 4 2" xfId="26646"/>
    <cellStyle name="Обычный 7 14 4 3" xfId="26647"/>
    <cellStyle name="Обычный 7 14 5" xfId="26648"/>
    <cellStyle name="Обычный 7 14 5 2" xfId="26649"/>
    <cellStyle name="Обычный 7 14 5 3" xfId="26650"/>
    <cellStyle name="Обычный 7 14 6" xfId="26651"/>
    <cellStyle name="Обычный 7 14 6 2" xfId="26652"/>
    <cellStyle name="Обычный 7 14 7" xfId="26653"/>
    <cellStyle name="Обычный 7 14 8" xfId="26654"/>
    <cellStyle name="Обычный 7 15" xfId="26655"/>
    <cellStyle name="Обычный 7 15 2" xfId="26656"/>
    <cellStyle name="Обычный 7 15 2 2" xfId="26657"/>
    <cellStyle name="Обычный 7 15 2 2 2" xfId="26658"/>
    <cellStyle name="Обычный 7 15 2 2 3" xfId="26659"/>
    <cellStyle name="Обычный 7 15 2 3" xfId="26660"/>
    <cellStyle name="Обычный 7 15 2 3 2" xfId="26661"/>
    <cellStyle name="Обычный 7 15 2 3 3" xfId="26662"/>
    <cellStyle name="Обычный 7 15 2 4" xfId="26663"/>
    <cellStyle name="Обычный 7 15 2 4 2" xfId="26664"/>
    <cellStyle name="Обычный 7 15 2 5" xfId="26665"/>
    <cellStyle name="Обычный 7 15 2 6" xfId="26666"/>
    <cellStyle name="Обычный 7 15 3" xfId="26667"/>
    <cellStyle name="Обычный 7 15 3 2" xfId="26668"/>
    <cellStyle name="Обычный 7 15 3 3" xfId="26669"/>
    <cellStyle name="Обычный 7 15 4" xfId="26670"/>
    <cellStyle name="Обычный 7 15 4 2" xfId="26671"/>
    <cellStyle name="Обычный 7 15 4 3" xfId="26672"/>
    <cellStyle name="Обычный 7 15 5" xfId="26673"/>
    <cellStyle name="Обычный 7 15 5 2" xfId="26674"/>
    <cellStyle name="Обычный 7 15 6" xfId="26675"/>
    <cellStyle name="Обычный 7 15 7" xfId="26676"/>
    <cellStyle name="Обычный 7 16" xfId="26677"/>
    <cellStyle name="Обычный 7 16 2" xfId="26678"/>
    <cellStyle name="Обычный 7 16 2 2" xfId="26679"/>
    <cellStyle name="Обычный 7 16 2 3" xfId="26680"/>
    <cellStyle name="Обычный 7 16 3" xfId="26681"/>
    <cellStyle name="Обычный 7 16 3 2" xfId="26682"/>
    <cellStyle name="Обычный 7 16 3 3" xfId="26683"/>
    <cellStyle name="Обычный 7 16 4" xfId="26684"/>
    <cellStyle name="Обычный 7 16 4 2" xfId="26685"/>
    <cellStyle name="Обычный 7 16 5" xfId="26686"/>
    <cellStyle name="Обычный 7 16 6" xfId="26687"/>
    <cellStyle name="Обычный 7 17" xfId="26688"/>
    <cellStyle name="Обычный 7 17 2" xfId="26689"/>
    <cellStyle name="Обычный 7 17 3" xfId="26690"/>
    <cellStyle name="Обычный 7 18" xfId="26691"/>
    <cellStyle name="Обычный 7 18 2" xfId="26692"/>
    <cellStyle name="Обычный 7 18 3" xfId="26693"/>
    <cellStyle name="Обычный 7 19" xfId="26694"/>
    <cellStyle name="Обычный 7 19 2" xfId="26695"/>
    <cellStyle name="Обычный 7 2" xfId="26696"/>
    <cellStyle name="Обычный 7 2 10" xfId="26697"/>
    <cellStyle name="Обычный 7 2 10 2" xfId="26698"/>
    <cellStyle name="Обычный 7 2 10 3" xfId="26699"/>
    <cellStyle name="Обычный 7 2 11" xfId="26700"/>
    <cellStyle name="Обычный 7 2 11 2" xfId="26701"/>
    <cellStyle name="Обычный 7 2 11 3" xfId="26702"/>
    <cellStyle name="Обычный 7 2 12" xfId="26703"/>
    <cellStyle name="Обычный 7 2 12 2" xfId="26704"/>
    <cellStyle name="Обычный 7 2 13" xfId="26705"/>
    <cellStyle name="Обычный 7 2 14" xfId="26706"/>
    <cellStyle name="Обычный 7 2 2" xfId="26707"/>
    <cellStyle name="Обычный 7 2 2 10" xfId="26708"/>
    <cellStyle name="Обычный 7 2 2 10 2" xfId="26709"/>
    <cellStyle name="Обычный 7 2 2 10 3" xfId="26710"/>
    <cellStyle name="Обычный 7 2 2 11" xfId="26711"/>
    <cellStyle name="Обычный 7 2 2 11 2" xfId="26712"/>
    <cellStyle name="Обычный 7 2 2 12" xfId="26713"/>
    <cellStyle name="Обычный 7 2 2 13" xfId="26714"/>
    <cellStyle name="Обычный 7 2 2 2" xfId="26715"/>
    <cellStyle name="Обычный 7 2 2 2 10" xfId="26716"/>
    <cellStyle name="Обычный 7 2 2 2 2" xfId="26717"/>
    <cellStyle name="Обычный 7 2 2 2 2 2" xfId="26718"/>
    <cellStyle name="Обычный 7 2 2 2 2 2 2" xfId="26719"/>
    <cellStyle name="Обычный 7 2 2 2 2 2 2 2" xfId="26720"/>
    <cellStyle name="Обычный 7 2 2 2 2 2 2 2 2" xfId="26721"/>
    <cellStyle name="Обычный 7 2 2 2 2 2 2 2 2 2" xfId="26722"/>
    <cellStyle name="Обычный 7 2 2 2 2 2 2 2 2 3" xfId="26723"/>
    <cellStyle name="Обычный 7 2 2 2 2 2 2 2 3" xfId="26724"/>
    <cellStyle name="Обычный 7 2 2 2 2 2 2 2 3 2" xfId="26725"/>
    <cellStyle name="Обычный 7 2 2 2 2 2 2 2 3 3" xfId="26726"/>
    <cellStyle name="Обычный 7 2 2 2 2 2 2 2 4" xfId="26727"/>
    <cellStyle name="Обычный 7 2 2 2 2 2 2 2 4 2" xfId="26728"/>
    <cellStyle name="Обычный 7 2 2 2 2 2 2 2 5" xfId="26729"/>
    <cellStyle name="Обычный 7 2 2 2 2 2 2 2 6" xfId="26730"/>
    <cellStyle name="Обычный 7 2 2 2 2 2 2 3" xfId="26731"/>
    <cellStyle name="Обычный 7 2 2 2 2 2 2 3 2" xfId="26732"/>
    <cellStyle name="Обычный 7 2 2 2 2 2 2 3 3" xfId="26733"/>
    <cellStyle name="Обычный 7 2 2 2 2 2 2 4" xfId="26734"/>
    <cellStyle name="Обычный 7 2 2 2 2 2 2 4 2" xfId="26735"/>
    <cellStyle name="Обычный 7 2 2 2 2 2 2 4 3" xfId="26736"/>
    <cellStyle name="Обычный 7 2 2 2 2 2 2 5" xfId="26737"/>
    <cellStyle name="Обычный 7 2 2 2 2 2 2 5 2" xfId="26738"/>
    <cellStyle name="Обычный 7 2 2 2 2 2 2 6" xfId="26739"/>
    <cellStyle name="Обычный 7 2 2 2 2 2 2 7" xfId="26740"/>
    <cellStyle name="Обычный 7 2 2 2 2 2 3" xfId="26741"/>
    <cellStyle name="Обычный 7 2 2 2 2 2 3 2" xfId="26742"/>
    <cellStyle name="Обычный 7 2 2 2 2 2 3 2 2" xfId="26743"/>
    <cellStyle name="Обычный 7 2 2 2 2 2 3 2 3" xfId="26744"/>
    <cellStyle name="Обычный 7 2 2 2 2 2 3 3" xfId="26745"/>
    <cellStyle name="Обычный 7 2 2 2 2 2 3 3 2" xfId="26746"/>
    <cellStyle name="Обычный 7 2 2 2 2 2 3 3 3" xfId="26747"/>
    <cellStyle name="Обычный 7 2 2 2 2 2 3 4" xfId="26748"/>
    <cellStyle name="Обычный 7 2 2 2 2 2 3 4 2" xfId="26749"/>
    <cellStyle name="Обычный 7 2 2 2 2 2 3 5" xfId="26750"/>
    <cellStyle name="Обычный 7 2 2 2 2 2 3 6" xfId="26751"/>
    <cellStyle name="Обычный 7 2 2 2 2 2 4" xfId="26752"/>
    <cellStyle name="Обычный 7 2 2 2 2 2 4 2" xfId="26753"/>
    <cellStyle name="Обычный 7 2 2 2 2 2 4 3" xfId="26754"/>
    <cellStyle name="Обычный 7 2 2 2 2 2 5" xfId="26755"/>
    <cellStyle name="Обычный 7 2 2 2 2 2 5 2" xfId="26756"/>
    <cellStyle name="Обычный 7 2 2 2 2 2 5 3" xfId="26757"/>
    <cellStyle name="Обычный 7 2 2 2 2 2 6" xfId="26758"/>
    <cellStyle name="Обычный 7 2 2 2 2 2 6 2" xfId="26759"/>
    <cellStyle name="Обычный 7 2 2 2 2 2 7" xfId="26760"/>
    <cellStyle name="Обычный 7 2 2 2 2 2 8" xfId="26761"/>
    <cellStyle name="Обычный 7 2 2 2 2 3" xfId="26762"/>
    <cellStyle name="Обычный 7 2 2 2 2 3 2" xfId="26763"/>
    <cellStyle name="Обычный 7 2 2 2 2 3 2 2" xfId="26764"/>
    <cellStyle name="Обычный 7 2 2 2 2 3 2 2 2" xfId="26765"/>
    <cellStyle name="Обычный 7 2 2 2 2 3 2 2 3" xfId="26766"/>
    <cellStyle name="Обычный 7 2 2 2 2 3 2 3" xfId="26767"/>
    <cellStyle name="Обычный 7 2 2 2 2 3 2 3 2" xfId="26768"/>
    <cellStyle name="Обычный 7 2 2 2 2 3 2 3 3" xfId="26769"/>
    <cellStyle name="Обычный 7 2 2 2 2 3 2 4" xfId="26770"/>
    <cellStyle name="Обычный 7 2 2 2 2 3 2 4 2" xfId="26771"/>
    <cellStyle name="Обычный 7 2 2 2 2 3 2 5" xfId="26772"/>
    <cellStyle name="Обычный 7 2 2 2 2 3 2 6" xfId="26773"/>
    <cellStyle name="Обычный 7 2 2 2 2 3 3" xfId="26774"/>
    <cellStyle name="Обычный 7 2 2 2 2 3 3 2" xfId="26775"/>
    <cellStyle name="Обычный 7 2 2 2 2 3 3 3" xfId="26776"/>
    <cellStyle name="Обычный 7 2 2 2 2 3 4" xfId="26777"/>
    <cellStyle name="Обычный 7 2 2 2 2 3 4 2" xfId="26778"/>
    <cellStyle name="Обычный 7 2 2 2 2 3 4 3" xfId="26779"/>
    <cellStyle name="Обычный 7 2 2 2 2 3 5" xfId="26780"/>
    <cellStyle name="Обычный 7 2 2 2 2 3 5 2" xfId="26781"/>
    <cellStyle name="Обычный 7 2 2 2 2 3 6" xfId="26782"/>
    <cellStyle name="Обычный 7 2 2 2 2 3 7" xfId="26783"/>
    <cellStyle name="Обычный 7 2 2 2 2 4" xfId="26784"/>
    <cellStyle name="Обычный 7 2 2 2 2 4 2" xfId="26785"/>
    <cellStyle name="Обычный 7 2 2 2 2 4 2 2" xfId="26786"/>
    <cellStyle name="Обычный 7 2 2 2 2 4 2 3" xfId="26787"/>
    <cellStyle name="Обычный 7 2 2 2 2 4 3" xfId="26788"/>
    <cellStyle name="Обычный 7 2 2 2 2 4 3 2" xfId="26789"/>
    <cellStyle name="Обычный 7 2 2 2 2 4 3 3" xfId="26790"/>
    <cellStyle name="Обычный 7 2 2 2 2 4 4" xfId="26791"/>
    <cellStyle name="Обычный 7 2 2 2 2 4 4 2" xfId="26792"/>
    <cellStyle name="Обычный 7 2 2 2 2 4 5" xfId="26793"/>
    <cellStyle name="Обычный 7 2 2 2 2 4 6" xfId="26794"/>
    <cellStyle name="Обычный 7 2 2 2 2 5" xfId="26795"/>
    <cellStyle name="Обычный 7 2 2 2 2 5 2" xfId="26796"/>
    <cellStyle name="Обычный 7 2 2 2 2 5 3" xfId="26797"/>
    <cellStyle name="Обычный 7 2 2 2 2 6" xfId="26798"/>
    <cellStyle name="Обычный 7 2 2 2 2 6 2" xfId="26799"/>
    <cellStyle name="Обычный 7 2 2 2 2 6 3" xfId="26800"/>
    <cellStyle name="Обычный 7 2 2 2 2 7" xfId="26801"/>
    <cellStyle name="Обычный 7 2 2 2 2 7 2" xfId="26802"/>
    <cellStyle name="Обычный 7 2 2 2 2 8" xfId="26803"/>
    <cellStyle name="Обычный 7 2 2 2 2 9" xfId="26804"/>
    <cellStyle name="Обычный 7 2 2 2 3" xfId="26805"/>
    <cellStyle name="Обычный 7 2 2 2 3 2" xfId="26806"/>
    <cellStyle name="Обычный 7 2 2 2 3 2 2" xfId="26807"/>
    <cellStyle name="Обычный 7 2 2 2 3 2 2 2" xfId="26808"/>
    <cellStyle name="Обычный 7 2 2 2 3 2 2 2 2" xfId="26809"/>
    <cellStyle name="Обычный 7 2 2 2 3 2 2 2 3" xfId="26810"/>
    <cellStyle name="Обычный 7 2 2 2 3 2 2 3" xfId="26811"/>
    <cellStyle name="Обычный 7 2 2 2 3 2 2 3 2" xfId="26812"/>
    <cellStyle name="Обычный 7 2 2 2 3 2 2 3 3" xfId="26813"/>
    <cellStyle name="Обычный 7 2 2 2 3 2 2 4" xfId="26814"/>
    <cellStyle name="Обычный 7 2 2 2 3 2 2 4 2" xfId="26815"/>
    <cellStyle name="Обычный 7 2 2 2 3 2 2 5" xfId="26816"/>
    <cellStyle name="Обычный 7 2 2 2 3 2 2 6" xfId="26817"/>
    <cellStyle name="Обычный 7 2 2 2 3 2 3" xfId="26818"/>
    <cellStyle name="Обычный 7 2 2 2 3 2 3 2" xfId="26819"/>
    <cellStyle name="Обычный 7 2 2 2 3 2 3 3" xfId="26820"/>
    <cellStyle name="Обычный 7 2 2 2 3 2 4" xfId="26821"/>
    <cellStyle name="Обычный 7 2 2 2 3 2 4 2" xfId="26822"/>
    <cellStyle name="Обычный 7 2 2 2 3 2 4 3" xfId="26823"/>
    <cellStyle name="Обычный 7 2 2 2 3 2 5" xfId="26824"/>
    <cellStyle name="Обычный 7 2 2 2 3 2 5 2" xfId="26825"/>
    <cellStyle name="Обычный 7 2 2 2 3 2 6" xfId="26826"/>
    <cellStyle name="Обычный 7 2 2 2 3 2 7" xfId="26827"/>
    <cellStyle name="Обычный 7 2 2 2 3 3" xfId="26828"/>
    <cellStyle name="Обычный 7 2 2 2 3 3 2" xfId="26829"/>
    <cellStyle name="Обычный 7 2 2 2 3 3 2 2" xfId="26830"/>
    <cellStyle name="Обычный 7 2 2 2 3 3 2 3" xfId="26831"/>
    <cellStyle name="Обычный 7 2 2 2 3 3 3" xfId="26832"/>
    <cellStyle name="Обычный 7 2 2 2 3 3 3 2" xfId="26833"/>
    <cellStyle name="Обычный 7 2 2 2 3 3 3 3" xfId="26834"/>
    <cellStyle name="Обычный 7 2 2 2 3 3 4" xfId="26835"/>
    <cellStyle name="Обычный 7 2 2 2 3 3 4 2" xfId="26836"/>
    <cellStyle name="Обычный 7 2 2 2 3 3 5" xfId="26837"/>
    <cellStyle name="Обычный 7 2 2 2 3 3 6" xfId="26838"/>
    <cellStyle name="Обычный 7 2 2 2 3 4" xfId="26839"/>
    <cellStyle name="Обычный 7 2 2 2 3 4 2" xfId="26840"/>
    <cellStyle name="Обычный 7 2 2 2 3 4 3" xfId="26841"/>
    <cellStyle name="Обычный 7 2 2 2 3 5" xfId="26842"/>
    <cellStyle name="Обычный 7 2 2 2 3 5 2" xfId="26843"/>
    <cellStyle name="Обычный 7 2 2 2 3 5 3" xfId="26844"/>
    <cellStyle name="Обычный 7 2 2 2 3 6" xfId="26845"/>
    <cellStyle name="Обычный 7 2 2 2 3 6 2" xfId="26846"/>
    <cellStyle name="Обычный 7 2 2 2 3 7" xfId="26847"/>
    <cellStyle name="Обычный 7 2 2 2 3 8" xfId="26848"/>
    <cellStyle name="Обычный 7 2 2 2 4" xfId="26849"/>
    <cellStyle name="Обычный 7 2 2 2 4 2" xfId="26850"/>
    <cellStyle name="Обычный 7 2 2 2 4 2 2" xfId="26851"/>
    <cellStyle name="Обычный 7 2 2 2 4 2 2 2" xfId="26852"/>
    <cellStyle name="Обычный 7 2 2 2 4 2 2 3" xfId="26853"/>
    <cellStyle name="Обычный 7 2 2 2 4 2 3" xfId="26854"/>
    <cellStyle name="Обычный 7 2 2 2 4 2 3 2" xfId="26855"/>
    <cellStyle name="Обычный 7 2 2 2 4 2 3 3" xfId="26856"/>
    <cellStyle name="Обычный 7 2 2 2 4 2 4" xfId="26857"/>
    <cellStyle name="Обычный 7 2 2 2 4 2 4 2" xfId="26858"/>
    <cellStyle name="Обычный 7 2 2 2 4 2 5" xfId="26859"/>
    <cellStyle name="Обычный 7 2 2 2 4 2 6" xfId="26860"/>
    <cellStyle name="Обычный 7 2 2 2 4 3" xfId="26861"/>
    <cellStyle name="Обычный 7 2 2 2 4 3 2" xfId="26862"/>
    <cellStyle name="Обычный 7 2 2 2 4 3 3" xfId="26863"/>
    <cellStyle name="Обычный 7 2 2 2 4 4" xfId="26864"/>
    <cellStyle name="Обычный 7 2 2 2 4 4 2" xfId="26865"/>
    <cellStyle name="Обычный 7 2 2 2 4 4 3" xfId="26866"/>
    <cellStyle name="Обычный 7 2 2 2 4 5" xfId="26867"/>
    <cellStyle name="Обычный 7 2 2 2 4 5 2" xfId="26868"/>
    <cellStyle name="Обычный 7 2 2 2 4 6" xfId="26869"/>
    <cellStyle name="Обычный 7 2 2 2 4 7" xfId="26870"/>
    <cellStyle name="Обычный 7 2 2 2 5" xfId="26871"/>
    <cellStyle name="Обычный 7 2 2 2 5 2" xfId="26872"/>
    <cellStyle name="Обычный 7 2 2 2 5 2 2" xfId="26873"/>
    <cellStyle name="Обычный 7 2 2 2 5 2 3" xfId="26874"/>
    <cellStyle name="Обычный 7 2 2 2 5 3" xfId="26875"/>
    <cellStyle name="Обычный 7 2 2 2 5 3 2" xfId="26876"/>
    <cellStyle name="Обычный 7 2 2 2 5 3 3" xfId="26877"/>
    <cellStyle name="Обычный 7 2 2 2 5 4" xfId="26878"/>
    <cellStyle name="Обычный 7 2 2 2 5 4 2" xfId="26879"/>
    <cellStyle name="Обычный 7 2 2 2 5 5" xfId="26880"/>
    <cellStyle name="Обычный 7 2 2 2 5 6" xfId="26881"/>
    <cellStyle name="Обычный 7 2 2 2 6" xfId="26882"/>
    <cellStyle name="Обычный 7 2 2 2 6 2" xfId="26883"/>
    <cellStyle name="Обычный 7 2 2 2 6 3" xfId="26884"/>
    <cellStyle name="Обычный 7 2 2 2 7" xfId="26885"/>
    <cellStyle name="Обычный 7 2 2 2 7 2" xfId="26886"/>
    <cellStyle name="Обычный 7 2 2 2 7 3" xfId="26887"/>
    <cellStyle name="Обычный 7 2 2 2 8" xfId="26888"/>
    <cellStyle name="Обычный 7 2 2 2 8 2" xfId="26889"/>
    <cellStyle name="Обычный 7 2 2 2 9" xfId="26890"/>
    <cellStyle name="Обычный 7 2 2 3" xfId="26891"/>
    <cellStyle name="Обычный 7 2 2 3 10" xfId="26892"/>
    <cellStyle name="Обычный 7 2 2 3 2" xfId="26893"/>
    <cellStyle name="Обычный 7 2 2 3 2 2" xfId="26894"/>
    <cellStyle name="Обычный 7 2 2 3 2 2 2" xfId="26895"/>
    <cellStyle name="Обычный 7 2 2 3 2 2 2 2" xfId="26896"/>
    <cellStyle name="Обычный 7 2 2 3 2 2 2 2 2" xfId="26897"/>
    <cellStyle name="Обычный 7 2 2 3 2 2 2 2 2 2" xfId="26898"/>
    <cellStyle name="Обычный 7 2 2 3 2 2 2 2 2 3" xfId="26899"/>
    <cellStyle name="Обычный 7 2 2 3 2 2 2 2 3" xfId="26900"/>
    <cellStyle name="Обычный 7 2 2 3 2 2 2 2 3 2" xfId="26901"/>
    <cellStyle name="Обычный 7 2 2 3 2 2 2 2 3 3" xfId="26902"/>
    <cellStyle name="Обычный 7 2 2 3 2 2 2 2 4" xfId="26903"/>
    <cellStyle name="Обычный 7 2 2 3 2 2 2 2 4 2" xfId="26904"/>
    <cellStyle name="Обычный 7 2 2 3 2 2 2 2 5" xfId="26905"/>
    <cellStyle name="Обычный 7 2 2 3 2 2 2 2 6" xfId="26906"/>
    <cellStyle name="Обычный 7 2 2 3 2 2 2 3" xfId="26907"/>
    <cellStyle name="Обычный 7 2 2 3 2 2 2 3 2" xfId="26908"/>
    <cellStyle name="Обычный 7 2 2 3 2 2 2 3 3" xfId="26909"/>
    <cellStyle name="Обычный 7 2 2 3 2 2 2 4" xfId="26910"/>
    <cellStyle name="Обычный 7 2 2 3 2 2 2 4 2" xfId="26911"/>
    <cellStyle name="Обычный 7 2 2 3 2 2 2 4 3" xfId="26912"/>
    <cellStyle name="Обычный 7 2 2 3 2 2 2 5" xfId="26913"/>
    <cellStyle name="Обычный 7 2 2 3 2 2 2 5 2" xfId="26914"/>
    <cellStyle name="Обычный 7 2 2 3 2 2 2 6" xfId="26915"/>
    <cellStyle name="Обычный 7 2 2 3 2 2 2 7" xfId="26916"/>
    <cellStyle name="Обычный 7 2 2 3 2 2 3" xfId="26917"/>
    <cellStyle name="Обычный 7 2 2 3 2 2 3 2" xfId="26918"/>
    <cellStyle name="Обычный 7 2 2 3 2 2 3 2 2" xfId="26919"/>
    <cellStyle name="Обычный 7 2 2 3 2 2 3 2 3" xfId="26920"/>
    <cellStyle name="Обычный 7 2 2 3 2 2 3 3" xfId="26921"/>
    <cellStyle name="Обычный 7 2 2 3 2 2 3 3 2" xfId="26922"/>
    <cellStyle name="Обычный 7 2 2 3 2 2 3 3 3" xfId="26923"/>
    <cellStyle name="Обычный 7 2 2 3 2 2 3 4" xfId="26924"/>
    <cellStyle name="Обычный 7 2 2 3 2 2 3 4 2" xfId="26925"/>
    <cellStyle name="Обычный 7 2 2 3 2 2 3 5" xfId="26926"/>
    <cellStyle name="Обычный 7 2 2 3 2 2 3 6" xfId="26927"/>
    <cellStyle name="Обычный 7 2 2 3 2 2 4" xfId="26928"/>
    <cellStyle name="Обычный 7 2 2 3 2 2 4 2" xfId="26929"/>
    <cellStyle name="Обычный 7 2 2 3 2 2 4 3" xfId="26930"/>
    <cellStyle name="Обычный 7 2 2 3 2 2 5" xfId="26931"/>
    <cellStyle name="Обычный 7 2 2 3 2 2 5 2" xfId="26932"/>
    <cellStyle name="Обычный 7 2 2 3 2 2 5 3" xfId="26933"/>
    <cellStyle name="Обычный 7 2 2 3 2 2 6" xfId="26934"/>
    <cellStyle name="Обычный 7 2 2 3 2 2 6 2" xfId="26935"/>
    <cellStyle name="Обычный 7 2 2 3 2 2 7" xfId="26936"/>
    <cellStyle name="Обычный 7 2 2 3 2 2 8" xfId="26937"/>
    <cellStyle name="Обычный 7 2 2 3 2 3" xfId="26938"/>
    <cellStyle name="Обычный 7 2 2 3 2 3 2" xfId="26939"/>
    <cellStyle name="Обычный 7 2 2 3 2 3 2 2" xfId="26940"/>
    <cellStyle name="Обычный 7 2 2 3 2 3 2 2 2" xfId="26941"/>
    <cellStyle name="Обычный 7 2 2 3 2 3 2 2 3" xfId="26942"/>
    <cellStyle name="Обычный 7 2 2 3 2 3 2 3" xfId="26943"/>
    <cellStyle name="Обычный 7 2 2 3 2 3 2 3 2" xfId="26944"/>
    <cellStyle name="Обычный 7 2 2 3 2 3 2 3 3" xfId="26945"/>
    <cellStyle name="Обычный 7 2 2 3 2 3 2 4" xfId="26946"/>
    <cellStyle name="Обычный 7 2 2 3 2 3 2 4 2" xfId="26947"/>
    <cellStyle name="Обычный 7 2 2 3 2 3 2 5" xfId="26948"/>
    <cellStyle name="Обычный 7 2 2 3 2 3 2 6" xfId="26949"/>
    <cellStyle name="Обычный 7 2 2 3 2 3 3" xfId="26950"/>
    <cellStyle name="Обычный 7 2 2 3 2 3 3 2" xfId="26951"/>
    <cellStyle name="Обычный 7 2 2 3 2 3 3 3" xfId="26952"/>
    <cellStyle name="Обычный 7 2 2 3 2 3 4" xfId="26953"/>
    <cellStyle name="Обычный 7 2 2 3 2 3 4 2" xfId="26954"/>
    <cellStyle name="Обычный 7 2 2 3 2 3 4 3" xfId="26955"/>
    <cellStyle name="Обычный 7 2 2 3 2 3 5" xfId="26956"/>
    <cellStyle name="Обычный 7 2 2 3 2 3 5 2" xfId="26957"/>
    <cellStyle name="Обычный 7 2 2 3 2 3 6" xfId="26958"/>
    <cellStyle name="Обычный 7 2 2 3 2 3 7" xfId="26959"/>
    <cellStyle name="Обычный 7 2 2 3 2 4" xfId="26960"/>
    <cellStyle name="Обычный 7 2 2 3 2 4 2" xfId="26961"/>
    <cellStyle name="Обычный 7 2 2 3 2 4 2 2" xfId="26962"/>
    <cellStyle name="Обычный 7 2 2 3 2 4 2 3" xfId="26963"/>
    <cellStyle name="Обычный 7 2 2 3 2 4 3" xfId="26964"/>
    <cellStyle name="Обычный 7 2 2 3 2 4 3 2" xfId="26965"/>
    <cellStyle name="Обычный 7 2 2 3 2 4 3 3" xfId="26966"/>
    <cellStyle name="Обычный 7 2 2 3 2 4 4" xfId="26967"/>
    <cellStyle name="Обычный 7 2 2 3 2 4 4 2" xfId="26968"/>
    <cellStyle name="Обычный 7 2 2 3 2 4 5" xfId="26969"/>
    <cellStyle name="Обычный 7 2 2 3 2 4 6" xfId="26970"/>
    <cellStyle name="Обычный 7 2 2 3 2 5" xfId="26971"/>
    <cellStyle name="Обычный 7 2 2 3 2 5 2" xfId="26972"/>
    <cellStyle name="Обычный 7 2 2 3 2 5 3" xfId="26973"/>
    <cellStyle name="Обычный 7 2 2 3 2 6" xfId="26974"/>
    <cellStyle name="Обычный 7 2 2 3 2 6 2" xfId="26975"/>
    <cellStyle name="Обычный 7 2 2 3 2 6 3" xfId="26976"/>
    <cellStyle name="Обычный 7 2 2 3 2 7" xfId="26977"/>
    <cellStyle name="Обычный 7 2 2 3 2 7 2" xfId="26978"/>
    <cellStyle name="Обычный 7 2 2 3 2 8" xfId="26979"/>
    <cellStyle name="Обычный 7 2 2 3 2 9" xfId="26980"/>
    <cellStyle name="Обычный 7 2 2 3 3" xfId="26981"/>
    <cellStyle name="Обычный 7 2 2 3 3 2" xfId="26982"/>
    <cellStyle name="Обычный 7 2 2 3 3 2 2" xfId="26983"/>
    <cellStyle name="Обычный 7 2 2 3 3 2 2 2" xfId="26984"/>
    <cellStyle name="Обычный 7 2 2 3 3 2 2 2 2" xfId="26985"/>
    <cellStyle name="Обычный 7 2 2 3 3 2 2 2 3" xfId="26986"/>
    <cellStyle name="Обычный 7 2 2 3 3 2 2 3" xfId="26987"/>
    <cellStyle name="Обычный 7 2 2 3 3 2 2 3 2" xfId="26988"/>
    <cellStyle name="Обычный 7 2 2 3 3 2 2 3 3" xfId="26989"/>
    <cellStyle name="Обычный 7 2 2 3 3 2 2 4" xfId="26990"/>
    <cellStyle name="Обычный 7 2 2 3 3 2 2 4 2" xfId="26991"/>
    <cellStyle name="Обычный 7 2 2 3 3 2 2 5" xfId="26992"/>
    <cellStyle name="Обычный 7 2 2 3 3 2 2 6" xfId="26993"/>
    <cellStyle name="Обычный 7 2 2 3 3 2 3" xfId="26994"/>
    <cellStyle name="Обычный 7 2 2 3 3 2 3 2" xfId="26995"/>
    <cellStyle name="Обычный 7 2 2 3 3 2 3 3" xfId="26996"/>
    <cellStyle name="Обычный 7 2 2 3 3 2 4" xfId="26997"/>
    <cellStyle name="Обычный 7 2 2 3 3 2 4 2" xfId="26998"/>
    <cellStyle name="Обычный 7 2 2 3 3 2 4 3" xfId="26999"/>
    <cellStyle name="Обычный 7 2 2 3 3 2 5" xfId="27000"/>
    <cellStyle name="Обычный 7 2 2 3 3 2 5 2" xfId="27001"/>
    <cellStyle name="Обычный 7 2 2 3 3 2 6" xfId="27002"/>
    <cellStyle name="Обычный 7 2 2 3 3 2 7" xfId="27003"/>
    <cellStyle name="Обычный 7 2 2 3 3 3" xfId="27004"/>
    <cellStyle name="Обычный 7 2 2 3 3 3 2" xfId="27005"/>
    <cellStyle name="Обычный 7 2 2 3 3 3 2 2" xfId="27006"/>
    <cellStyle name="Обычный 7 2 2 3 3 3 2 3" xfId="27007"/>
    <cellStyle name="Обычный 7 2 2 3 3 3 3" xfId="27008"/>
    <cellStyle name="Обычный 7 2 2 3 3 3 3 2" xfId="27009"/>
    <cellStyle name="Обычный 7 2 2 3 3 3 3 3" xfId="27010"/>
    <cellStyle name="Обычный 7 2 2 3 3 3 4" xfId="27011"/>
    <cellStyle name="Обычный 7 2 2 3 3 3 4 2" xfId="27012"/>
    <cellStyle name="Обычный 7 2 2 3 3 3 5" xfId="27013"/>
    <cellStyle name="Обычный 7 2 2 3 3 3 6" xfId="27014"/>
    <cellStyle name="Обычный 7 2 2 3 3 4" xfId="27015"/>
    <cellStyle name="Обычный 7 2 2 3 3 4 2" xfId="27016"/>
    <cellStyle name="Обычный 7 2 2 3 3 4 3" xfId="27017"/>
    <cellStyle name="Обычный 7 2 2 3 3 5" xfId="27018"/>
    <cellStyle name="Обычный 7 2 2 3 3 5 2" xfId="27019"/>
    <cellStyle name="Обычный 7 2 2 3 3 5 3" xfId="27020"/>
    <cellStyle name="Обычный 7 2 2 3 3 6" xfId="27021"/>
    <cellStyle name="Обычный 7 2 2 3 3 6 2" xfId="27022"/>
    <cellStyle name="Обычный 7 2 2 3 3 7" xfId="27023"/>
    <cellStyle name="Обычный 7 2 2 3 3 8" xfId="27024"/>
    <cellStyle name="Обычный 7 2 2 3 4" xfId="27025"/>
    <cellStyle name="Обычный 7 2 2 3 4 2" xfId="27026"/>
    <cellStyle name="Обычный 7 2 2 3 4 2 2" xfId="27027"/>
    <cellStyle name="Обычный 7 2 2 3 4 2 2 2" xfId="27028"/>
    <cellStyle name="Обычный 7 2 2 3 4 2 2 3" xfId="27029"/>
    <cellStyle name="Обычный 7 2 2 3 4 2 3" xfId="27030"/>
    <cellStyle name="Обычный 7 2 2 3 4 2 3 2" xfId="27031"/>
    <cellStyle name="Обычный 7 2 2 3 4 2 3 3" xfId="27032"/>
    <cellStyle name="Обычный 7 2 2 3 4 2 4" xfId="27033"/>
    <cellStyle name="Обычный 7 2 2 3 4 2 4 2" xfId="27034"/>
    <cellStyle name="Обычный 7 2 2 3 4 2 5" xfId="27035"/>
    <cellStyle name="Обычный 7 2 2 3 4 2 6" xfId="27036"/>
    <cellStyle name="Обычный 7 2 2 3 4 3" xfId="27037"/>
    <cellStyle name="Обычный 7 2 2 3 4 3 2" xfId="27038"/>
    <cellStyle name="Обычный 7 2 2 3 4 3 3" xfId="27039"/>
    <cellStyle name="Обычный 7 2 2 3 4 4" xfId="27040"/>
    <cellStyle name="Обычный 7 2 2 3 4 4 2" xfId="27041"/>
    <cellStyle name="Обычный 7 2 2 3 4 4 3" xfId="27042"/>
    <cellStyle name="Обычный 7 2 2 3 4 5" xfId="27043"/>
    <cellStyle name="Обычный 7 2 2 3 4 5 2" xfId="27044"/>
    <cellStyle name="Обычный 7 2 2 3 4 6" xfId="27045"/>
    <cellStyle name="Обычный 7 2 2 3 4 7" xfId="27046"/>
    <cellStyle name="Обычный 7 2 2 3 5" xfId="27047"/>
    <cellStyle name="Обычный 7 2 2 3 5 2" xfId="27048"/>
    <cellStyle name="Обычный 7 2 2 3 5 2 2" xfId="27049"/>
    <cellStyle name="Обычный 7 2 2 3 5 2 3" xfId="27050"/>
    <cellStyle name="Обычный 7 2 2 3 5 3" xfId="27051"/>
    <cellStyle name="Обычный 7 2 2 3 5 3 2" xfId="27052"/>
    <cellStyle name="Обычный 7 2 2 3 5 3 3" xfId="27053"/>
    <cellStyle name="Обычный 7 2 2 3 5 4" xfId="27054"/>
    <cellStyle name="Обычный 7 2 2 3 5 4 2" xfId="27055"/>
    <cellStyle name="Обычный 7 2 2 3 5 5" xfId="27056"/>
    <cellStyle name="Обычный 7 2 2 3 5 6" xfId="27057"/>
    <cellStyle name="Обычный 7 2 2 3 6" xfId="27058"/>
    <cellStyle name="Обычный 7 2 2 3 6 2" xfId="27059"/>
    <cellStyle name="Обычный 7 2 2 3 6 3" xfId="27060"/>
    <cellStyle name="Обычный 7 2 2 3 7" xfId="27061"/>
    <cellStyle name="Обычный 7 2 2 3 7 2" xfId="27062"/>
    <cellStyle name="Обычный 7 2 2 3 7 3" xfId="27063"/>
    <cellStyle name="Обычный 7 2 2 3 8" xfId="27064"/>
    <cellStyle name="Обычный 7 2 2 3 8 2" xfId="27065"/>
    <cellStyle name="Обычный 7 2 2 3 9" xfId="27066"/>
    <cellStyle name="Обычный 7 2 2 4" xfId="27067"/>
    <cellStyle name="Обычный 7 2 2 4 10" xfId="27068"/>
    <cellStyle name="Обычный 7 2 2 4 2" xfId="27069"/>
    <cellStyle name="Обычный 7 2 2 4 2 2" xfId="27070"/>
    <cellStyle name="Обычный 7 2 2 4 2 2 2" xfId="27071"/>
    <cellStyle name="Обычный 7 2 2 4 2 2 2 2" xfId="27072"/>
    <cellStyle name="Обычный 7 2 2 4 2 2 2 2 2" xfId="27073"/>
    <cellStyle name="Обычный 7 2 2 4 2 2 2 2 2 2" xfId="27074"/>
    <cellStyle name="Обычный 7 2 2 4 2 2 2 2 2 3" xfId="27075"/>
    <cellStyle name="Обычный 7 2 2 4 2 2 2 2 3" xfId="27076"/>
    <cellStyle name="Обычный 7 2 2 4 2 2 2 2 3 2" xfId="27077"/>
    <cellStyle name="Обычный 7 2 2 4 2 2 2 2 3 3" xfId="27078"/>
    <cellStyle name="Обычный 7 2 2 4 2 2 2 2 4" xfId="27079"/>
    <cellStyle name="Обычный 7 2 2 4 2 2 2 2 4 2" xfId="27080"/>
    <cellStyle name="Обычный 7 2 2 4 2 2 2 2 5" xfId="27081"/>
    <cellStyle name="Обычный 7 2 2 4 2 2 2 2 6" xfId="27082"/>
    <cellStyle name="Обычный 7 2 2 4 2 2 2 3" xfId="27083"/>
    <cellStyle name="Обычный 7 2 2 4 2 2 2 3 2" xfId="27084"/>
    <cellStyle name="Обычный 7 2 2 4 2 2 2 3 3" xfId="27085"/>
    <cellStyle name="Обычный 7 2 2 4 2 2 2 4" xfId="27086"/>
    <cellStyle name="Обычный 7 2 2 4 2 2 2 4 2" xfId="27087"/>
    <cellStyle name="Обычный 7 2 2 4 2 2 2 4 3" xfId="27088"/>
    <cellStyle name="Обычный 7 2 2 4 2 2 2 5" xfId="27089"/>
    <cellStyle name="Обычный 7 2 2 4 2 2 2 5 2" xfId="27090"/>
    <cellStyle name="Обычный 7 2 2 4 2 2 2 6" xfId="27091"/>
    <cellStyle name="Обычный 7 2 2 4 2 2 2 7" xfId="27092"/>
    <cellStyle name="Обычный 7 2 2 4 2 2 3" xfId="27093"/>
    <cellStyle name="Обычный 7 2 2 4 2 2 3 2" xfId="27094"/>
    <cellStyle name="Обычный 7 2 2 4 2 2 3 2 2" xfId="27095"/>
    <cellStyle name="Обычный 7 2 2 4 2 2 3 2 3" xfId="27096"/>
    <cellStyle name="Обычный 7 2 2 4 2 2 3 3" xfId="27097"/>
    <cellStyle name="Обычный 7 2 2 4 2 2 3 3 2" xfId="27098"/>
    <cellStyle name="Обычный 7 2 2 4 2 2 3 3 3" xfId="27099"/>
    <cellStyle name="Обычный 7 2 2 4 2 2 3 4" xfId="27100"/>
    <cellStyle name="Обычный 7 2 2 4 2 2 3 4 2" xfId="27101"/>
    <cellStyle name="Обычный 7 2 2 4 2 2 3 5" xfId="27102"/>
    <cellStyle name="Обычный 7 2 2 4 2 2 3 6" xfId="27103"/>
    <cellStyle name="Обычный 7 2 2 4 2 2 4" xfId="27104"/>
    <cellStyle name="Обычный 7 2 2 4 2 2 4 2" xfId="27105"/>
    <cellStyle name="Обычный 7 2 2 4 2 2 4 3" xfId="27106"/>
    <cellStyle name="Обычный 7 2 2 4 2 2 5" xfId="27107"/>
    <cellStyle name="Обычный 7 2 2 4 2 2 5 2" xfId="27108"/>
    <cellStyle name="Обычный 7 2 2 4 2 2 5 3" xfId="27109"/>
    <cellStyle name="Обычный 7 2 2 4 2 2 6" xfId="27110"/>
    <cellStyle name="Обычный 7 2 2 4 2 2 6 2" xfId="27111"/>
    <cellStyle name="Обычный 7 2 2 4 2 2 7" xfId="27112"/>
    <cellStyle name="Обычный 7 2 2 4 2 2 8" xfId="27113"/>
    <cellStyle name="Обычный 7 2 2 4 2 3" xfId="27114"/>
    <cellStyle name="Обычный 7 2 2 4 2 3 2" xfId="27115"/>
    <cellStyle name="Обычный 7 2 2 4 2 3 2 2" xfId="27116"/>
    <cellStyle name="Обычный 7 2 2 4 2 3 2 2 2" xfId="27117"/>
    <cellStyle name="Обычный 7 2 2 4 2 3 2 2 3" xfId="27118"/>
    <cellStyle name="Обычный 7 2 2 4 2 3 2 3" xfId="27119"/>
    <cellStyle name="Обычный 7 2 2 4 2 3 2 3 2" xfId="27120"/>
    <cellStyle name="Обычный 7 2 2 4 2 3 2 3 3" xfId="27121"/>
    <cellStyle name="Обычный 7 2 2 4 2 3 2 4" xfId="27122"/>
    <cellStyle name="Обычный 7 2 2 4 2 3 2 4 2" xfId="27123"/>
    <cellStyle name="Обычный 7 2 2 4 2 3 2 5" xfId="27124"/>
    <cellStyle name="Обычный 7 2 2 4 2 3 2 6" xfId="27125"/>
    <cellStyle name="Обычный 7 2 2 4 2 3 3" xfId="27126"/>
    <cellStyle name="Обычный 7 2 2 4 2 3 3 2" xfId="27127"/>
    <cellStyle name="Обычный 7 2 2 4 2 3 3 3" xfId="27128"/>
    <cellStyle name="Обычный 7 2 2 4 2 3 4" xfId="27129"/>
    <cellStyle name="Обычный 7 2 2 4 2 3 4 2" xfId="27130"/>
    <cellStyle name="Обычный 7 2 2 4 2 3 4 3" xfId="27131"/>
    <cellStyle name="Обычный 7 2 2 4 2 3 5" xfId="27132"/>
    <cellStyle name="Обычный 7 2 2 4 2 3 5 2" xfId="27133"/>
    <cellStyle name="Обычный 7 2 2 4 2 3 6" xfId="27134"/>
    <cellStyle name="Обычный 7 2 2 4 2 3 7" xfId="27135"/>
    <cellStyle name="Обычный 7 2 2 4 2 4" xfId="27136"/>
    <cellStyle name="Обычный 7 2 2 4 2 4 2" xfId="27137"/>
    <cellStyle name="Обычный 7 2 2 4 2 4 2 2" xfId="27138"/>
    <cellStyle name="Обычный 7 2 2 4 2 4 2 3" xfId="27139"/>
    <cellStyle name="Обычный 7 2 2 4 2 4 3" xfId="27140"/>
    <cellStyle name="Обычный 7 2 2 4 2 4 3 2" xfId="27141"/>
    <cellStyle name="Обычный 7 2 2 4 2 4 3 3" xfId="27142"/>
    <cellStyle name="Обычный 7 2 2 4 2 4 4" xfId="27143"/>
    <cellStyle name="Обычный 7 2 2 4 2 4 4 2" xfId="27144"/>
    <cellStyle name="Обычный 7 2 2 4 2 4 5" xfId="27145"/>
    <cellStyle name="Обычный 7 2 2 4 2 4 6" xfId="27146"/>
    <cellStyle name="Обычный 7 2 2 4 2 5" xfId="27147"/>
    <cellStyle name="Обычный 7 2 2 4 2 5 2" xfId="27148"/>
    <cellStyle name="Обычный 7 2 2 4 2 5 3" xfId="27149"/>
    <cellStyle name="Обычный 7 2 2 4 2 6" xfId="27150"/>
    <cellStyle name="Обычный 7 2 2 4 2 6 2" xfId="27151"/>
    <cellStyle name="Обычный 7 2 2 4 2 6 3" xfId="27152"/>
    <cellStyle name="Обычный 7 2 2 4 2 7" xfId="27153"/>
    <cellStyle name="Обычный 7 2 2 4 2 7 2" xfId="27154"/>
    <cellStyle name="Обычный 7 2 2 4 2 8" xfId="27155"/>
    <cellStyle name="Обычный 7 2 2 4 2 9" xfId="27156"/>
    <cellStyle name="Обычный 7 2 2 4 3" xfId="27157"/>
    <cellStyle name="Обычный 7 2 2 4 3 2" xfId="27158"/>
    <cellStyle name="Обычный 7 2 2 4 3 2 2" xfId="27159"/>
    <cellStyle name="Обычный 7 2 2 4 3 2 2 2" xfId="27160"/>
    <cellStyle name="Обычный 7 2 2 4 3 2 2 2 2" xfId="27161"/>
    <cellStyle name="Обычный 7 2 2 4 3 2 2 2 3" xfId="27162"/>
    <cellStyle name="Обычный 7 2 2 4 3 2 2 3" xfId="27163"/>
    <cellStyle name="Обычный 7 2 2 4 3 2 2 3 2" xfId="27164"/>
    <cellStyle name="Обычный 7 2 2 4 3 2 2 3 3" xfId="27165"/>
    <cellStyle name="Обычный 7 2 2 4 3 2 2 4" xfId="27166"/>
    <cellStyle name="Обычный 7 2 2 4 3 2 2 4 2" xfId="27167"/>
    <cellStyle name="Обычный 7 2 2 4 3 2 2 5" xfId="27168"/>
    <cellStyle name="Обычный 7 2 2 4 3 2 2 6" xfId="27169"/>
    <cellStyle name="Обычный 7 2 2 4 3 2 3" xfId="27170"/>
    <cellStyle name="Обычный 7 2 2 4 3 2 3 2" xfId="27171"/>
    <cellStyle name="Обычный 7 2 2 4 3 2 3 3" xfId="27172"/>
    <cellStyle name="Обычный 7 2 2 4 3 2 4" xfId="27173"/>
    <cellStyle name="Обычный 7 2 2 4 3 2 4 2" xfId="27174"/>
    <cellStyle name="Обычный 7 2 2 4 3 2 4 3" xfId="27175"/>
    <cellStyle name="Обычный 7 2 2 4 3 2 5" xfId="27176"/>
    <cellStyle name="Обычный 7 2 2 4 3 2 5 2" xfId="27177"/>
    <cellStyle name="Обычный 7 2 2 4 3 2 6" xfId="27178"/>
    <cellStyle name="Обычный 7 2 2 4 3 2 7" xfId="27179"/>
    <cellStyle name="Обычный 7 2 2 4 3 3" xfId="27180"/>
    <cellStyle name="Обычный 7 2 2 4 3 3 2" xfId="27181"/>
    <cellStyle name="Обычный 7 2 2 4 3 3 2 2" xfId="27182"/>
    <cellStyle name="Обычный 7 2 2 4 3 3 2 3" xfId="27183"/>
    <cellStyle name="Обычный 7 2 2 4 3 3 3" xfId="27184"/>
    <cellStyle name="Обычный 7 2 2 4 3 3 3 2" xfId="27185"/>
    <cellStyle name="Обычный 7 2 2 4 3 3 3 3" xfId="27186"/>
    <cellStyle name="Обычный 7 2 2 4 3 3 4" xfId="27187"/>
    <cellStyle name="Обычный 7 2 2 4 3 3 4 2" xfId="27188"/>
    <cellStyle name="Обычный 7 2 2 4 3 3 5" xfId="27189"/>
    <cellStyle name="Обычный 7 2 2 4 3 3 6" xfId="27190"/>
    <cellStyle name="Обычный 7 2 2 4 3 4" xfId="27191"/>
    <cellStyle name="Обычный 7 2 2 4 3 4 2" xfId="27192"/>
    <cellStyle name="Обычный 7 2 2 4 3 4 3" xfId="27193"/>
    <cellStyle name="Обычный 7 2 2 4 3 5" xfId="27194"/>
    <cellStyle name="Обычный 7 2 2 4 3 5 2" xfId="27195"/>
    <cellStyle name="Обычный 7 2 2 4 3 5 3" xfId="27196"/>
    <cellStyle name="Обычный 7 2 2 4 3 6" xfId="27197"/>
    <cellStyle name="Обычный 7 2 2 4 3 6 2" xfId="27198"/>
    <cellStyle name="Обычный 7 2 2 4 3 7" xfId="27199"/>
    <cellStyle name="Обычный 7 2 2 4 3 8" xfId="27200"/>
    <cellStyle name="Обычный 7 2 2 4 4" xfId="27201"/>
    <cellStyle name="Обычный 7 2 2 4 4 2" xfId="27202"/>
    <cellStyle name="Обычный 7 2 2 4 4 2 2" xfId="27203"/>
    <cellStyle name="Обычный 7 2 2 4 4 2 2 2" xfId="27204"/>
    <cellStyle name="Обычный 7 2 2 4 4 2 2 3" xfId="27205"/>
    <cellStyle name="Обычный 7 2 2 4 4 2 3" xfId="27206"/>
    <cellStyle name="Обычный 7 2 2 4 4 2 3 2" xfId="27207"/>
    <cellStyle name="Обычный 7 2 2 4 4 2 3 3" xfId="27208"/>
    <cellStyle name="Обычный 7 2 2 4 4 2 4" xfId="27209"/>
    <cellStyle name="Обычный 7 2 2 4 4 2 4 2" xfId="27210"/>
    <cellStyle name="Обычный 7 2 2 4 4 2 5" xfId="27211"/>
    <cellStyle name="Обычный 7 2 2 4 4 2 6" xfId="27212"/>
    <cellStyle name="Обычный 7 2 2 4 4 3" xfId="27213"/>
    <cellStyle name="Обычный 7 2 2 4 4 3 2" xfId="27214"/>
    <cellStyle name="Обычный 7 2 2 4 4 3 3" xfId="27215"/>
    <cellStyle name="Обычный 7 2 2 4 4 4" xfId="27216"/>
    <cellStyle name="Обычный 7 2 2 4 4 4 2" xfId="27217"/>
    <cellStyle name="Обычный 7 2 2 4 4 4 3" xfId="27218"/>
    <cellStyle name="Обычный 7 2 2 4 4 5" xfId="27219"/>
    <cellStyle name="Обычный 7 2 2 4 4 5 2" xfId="27220"/>
    <cellStyle name="Обычный 7 2 2 4 4 6" xfId="27221"/>
    <cellStyle name="Обычный 7 2 2 4 4 7" xfId="27222"/>
    <cellStyle name="Обычный 7 2 2 4 5" xfId="27223"/>
    <cellStyle name="Обычный 7 2 2 4 5 2" xfId="27224"/>
    <cellStyle name="Обычный 7 2 2 4 5 2 2" xfId="27225"/>
    <cellStyle name="Обычный 7 2 2 4 5 2 3" xfId="27226"/>
    <cellStyle name="Обычный 7 2 2 4 5 3" xfId="27227"/>
    <cellStyle name="Обычный 7 2 2 4 5 3 2" xfId="27228"/>
    <cellStyle name="Обычный 7 2 2 4 5 3 3" xfId="27229"/>
    <cellStyle name="Обычный 7 2 2 4 5 4" xfId="27230"/>
    <cellStyle name="Обычный 7 2 2 4 5 4 2" xfId="27231"/>
    <cellStyle name="Обычный 7 2 2 4 5 5" xfId="27232"/>
    <cellStyle name="Обычный 7 2 2 4 5 6" xfId="27233"/>
    <cellStyle name="Обычный 7 2 2 4 6" xfId="27234"/>
    <cellStyle name="Обычный 7 2 2 4 6 2" xfId="27235"/>
    <cellStyle name="Обычный 7 2 2 4 6 3" xfId="27236"/>
    <cellStyle name="Обычный 7 2 2 4 7" xfId="27237"/>
    <cellStyle name="Обычный 7 2 2 4 7 2" xfId="27238"/>
    <cellStyle name="Обычный 7 2 2 4 7 3" xfId="27239"/>
    <cellStyle name="Обычный 7 2 2 4 8" xfId="27240"/>
    <cellStyle name="Обычный 7 2 2 4 8 2" xfId="27241"/>
    <cellStyle name="Обычный 7 2 2 4 9" xfId="27242"/>
    <cellStyle name="Обычный 7 2 2 5" xfId="27243"/>
    <cellStyle name="Обычный 7 2 2 5 2" xfId="27244"/>
    <cellStyle name="Обычный 7 2 2 5 2 2" xfId="27245"/>
    <cellStyle name="Обычный 7 2 2 5 2 2 2" xfId="27246"/>
    <cellStyle name="Обычный 7 2 2 5 2 2 2 2" xfId="27247"/>
    <cellStyle name="Обычный 7 2 2 5 2 2 2 2 2" xfId="27248"/>
    <cellStyle name="Обычный 7 2 2 5 2 2 2 2 3" xfId="27249"/>
    <cellStyle name="Обычный 7 2 2 5 2 2 2 3" xfId="27250"/>
    <cellStyle name="Обычный 7 2 2 5 2 2 2 3 2" xfId="27251"/>
    <cellStyle name="Обычный 7 2 2 5 2 2 2 3 3" xfId="27252"/>
    <cellStyle name="Обычный 7 2 2 5 2 2 2 4" xfId="27253"/>
    <cellStyle name="Обычный 7 2 2 5 2 2 2 4 2" xfId="27254"/>
    <cellStyle name="Обычный 7 2 2 5 2 2 2 5" xfId="27255"/>
    <cellStyle name="Обычный 7 2 2 5 2 2 2 6" xfId="27256"/>
    <cellStyle name="Обычный 7 2 2 5 2 2 3" xfId="27257"/>
    <cellStyle name="Обычный 7 2 2 5 2 2 3 2" xfId="27258"/>
    <cellStyle name="Обычный 7 2 2 5 2 2 3 3" xfId="27259"/>
    <cellStyle name="Обычный 7 2 2 5 2 2 4" xfId="27260"/>
    <cellStyle name="Обычный 7 2 2 5 2 2 4 2" xfId="27261"/>
    <cellStyle name="Обычный 7 2 2 5 2 2 4 3" xfId="27262"/>
    <cellStyle name="Обычный 7 2 2 5 2 2 5" xfId="27263"/>
    <cellStyle name="Обычный 7 2 2 5 2 2 5 2" xfId="27264"/>
    <cellStyle name="Обычный 7 2 2 5 2 2 6" xfId="27265"/>
    <cellStyle name="Обычный 7 2 2 5 2 2 7" xfId="27266"/>
    <cellStyle name="Обычный 7 2 2 5 2 3" xfId="27267"/>
    <cellStyle name="Обычный 7 2 2 5 2 3 2" xfId="27268"/>
    <cellStyle name="Обычный 7 2 2 5 2 3 2 2" xfId="27269"/>
    <cellStyle name="Обычный 7 2 2 5 2 3 2 3" xfId="27270"/>
    <cellStyle name="Обычный 7 2 2 5 2 3 3" xfId="27271"/>
    <cellStyle name="Обычный 7 2 2 5 2 3 3 2" xfId="27272"/>
    <cellStyle name="Обычный 7 2 2 5 2 3 3 3" xfId="27273"/>
    <cellStyle name="Обычный 7 2 2 5 2 3 4" xfId="27274"/>
    <cellStyle name="Обычный 7 2 2 5 2 3 4 2" xfId="27275"/>
    <cellStyle name="Обычный 7 2 2 5 2 3 5" xfId="27276"/>
    <cellStyle name="Обычный 7 2 2 5 2 3 6" xfId="27277"/>
    <cellStyle name="Обычный 7 2 2 5 2 4" xfId="27278"/>
    <cellStyle name="Обычный 7 2 2 5 2 4 2" xfId="27279"/>
    <cellStyle name="Обычный 7 2 2 5 2 4 3" xfId="27280"/>
    <cellStyle name="Обычный 7 2 2 5 2 5" xfId="27281"/>
    <cellStyle name="Обычный 7 2 2 5 2 5 2" xfId="27282"/>
    <cellStyle name="Обычный 7 2 2 5 2 5 3" xfId="27283"/>
    <cellStyle name="Обычный 7 2 2 5 2 6" xfId="27284"/>
    <cellStyle name="Обычный 7 2 2 5 2 6 2" xfId="27285"/>
    <cellStyle name="Обычный 7 2 2 5 2 7" xfId="27286"/>
    <cellStyle name="Обычный 7 2 2 5 2 8" xfId="27287"/>
    <cellStyle name="Обычный 7 2 2 5 3" xfId="27288"/>
    <cellStyle name="Обычный 7 2 2 5 3 2" xfId="27289"/>
    <cellStyle name="Обычный 7 2 2 5 3 2 2" xfId="27290"/>
    <cellStyle name="Обычный 7 2 2 5 3 2 2 2" xfId="27291"/>
    <cellStyle name="Обычный 7 2 2 5 3 2 2 3" xfId="27292"/>
    <cellStyle name="Обычный 7 2 2 5 3 2 3" xfId="27293"/>
    <cellStyle name="Обычный 7 2 2 5 3 2 3 2" xfId="27294"/>
    <cellStyle name="Обычный 7 2 2 5 3 2 3 3" xfId="27295"/>
    <cellStyle name="Обычный 7 2 2 5 3 2 4" xfId="27296"/>
    <cellStyle name="Обычный 7 2 2 5 3 2 4 2" xfId="27297"/>
    <cellStyle name="Обычный 7 2 2 5 3 2 5" xfId="27298"/>
    <cellStyle name="Обычный 7 2 2 5 3 2 6" xfId="27299"/>
    <cellStyle name="Обычный 7 2 2 5 3 3" xfId="27300"/>
    <cellStyle name="Обычный 7 2 2 5 3 3 2" xfId="27301"/>
    <cellStyle name="Обычный 7 2 2 5 3 3 3" xfId="27302"/>
    <cellStyle name="Обычный 7 2 2 5 3 4" xfId="27303"/>
    <cellStyle name="Обычный 7 2 2 5 3 4 2" xfId="27304"/>
    <cellStyle name="Обычный 7 2 2 5 3 4 3" xfId="27305"/>
    <cellStyle name="Обычный 7 2 2 5 3 5" xfId="27306"/>
    <cellStyle name="Обычный 7 2 2 5 3 5 2" xfId="27307"/>
    <cellStyle name="Обычный 7 2 2 5 3 6" xfId="27308"/>
    <cellStyle name="Обычный 7 2 2 5 3 7" xfId="27309"/>
    <cellStyle name="Обычный 7 2 2 5 4" xfId="27310"/>
    <cellStyle name="Обычный 7 2 2 5 4 2" xfId="27311"/>
    <cellStyle name="Обычный 7 2 2 5 4 2 2" xfId="27312"/>
    <cellStyle name="Обычный 7 2 2 5 4 2 3" xfId="27313"/>
    <cellStyle name="Обычный 7 2 2 5 4 3" xfId="27314"/>
    <cellStyle name="Обычный 7 2 2 5 4 3 2" xfId="27315"/>
    <cellStyle name="Обычный 7 2 2 5 4 3 3" xfId="27316"/>
    <cellStyle name="Обычный 7 2 2 5 4 4" xfId="27317"/>
    <cellStyle name="Обычный 7 2 2 5 4 4 2" xfId="27318"/>
    <cellStyle name="Обычный 7 2 2 5 4 5" xfId="27319"/>
    <cellStyle name="Обычный 7 2 2 5 4 6" xfId="27320"/>
    <cellStyle name="Обычный 7 2 2 5 5" xfId="27321"/>
    <cellStyle name="Обычный 7 2 2 5 5 2" xfId="27322"/>
    <cellStyle name="Обычный 7 2 2 5 5 3" xfId="27323"/>
    <cellStyle name="Обычный 7 2 2 5 6" xfId="27324"/>
    <cellStyle name="Обычный 7 2 2 5 6 2" xfId="27325"/>
    <cellStyle name="Обычный 7 2 2 5 6 3" xfId="27326"/>
    <cellStyle name="Обычный 7 2 2 5 7" xfId="27327"/>
    <cellStyle name="Обычный 7 2 2 5 7 2" xfId="27328"/>
    <cellStyle name="Обычный 7 2 2 5 8" xfId="27329"/>
    <cellStyle name="Обычный 7 2 2 5 9" xfId="27330"/>
    <cellStyle name="Обычный 7 2 2 6" xfId="27331"/>
    <cellStyle name="Обычный 7 2 2 6 2" xfId="27332"/>
    <cellStyle name="Обычный 7 2 2 6 2 2" xfId="27333"/>
    <cellStyle name="Обычный 7 2 2 6 2 2 2" xfId="27334"/>
    <cellStyle name="Обычный 7 2 2 6 2 2 2 2" xfId="27335"/>
    <cellStyle name="Обычный 7 2 2 6 2 2 2 3" xfId="27336"/>
    <cellStyle name="Обычный 7 2 2 6 2 2 3" xfId="27337"/>
    <cellStyle name="Обычный 7 2 2 6 2 2 3 2" xfId="27338"/>
    <cellStyle name="Обычный 7 2 2 6 2 2 3 3" xfId="27339"/>
    <cellStyle name="Обычный 7 2 2 6 2 2 4" xfId="27340"/>
    <cellStyle name="Обычный 7 2 2 6 2 2 4 2" xfId="27341"/>
    <cellStyle name="Обычный 7 2 2 6 2 2 5" xfId="27342"/>
    <cellStyle name="Обычный 7 2 2 6 2 2 6" xfId="27343"/>
    <cellStyle name="Обычный 7 2 2 6 2 3" xfId="27344"/>
    <cellStyle name="Обычный 7 2 2 6 2 3 2" xfId="27345"/>
    <cellStyle name="Обычный 7 2 2 6 2 3 3" xfId="27346"/>
    <cellStyle name="Обычный 7 2 2 6 2 4" xfId="27347"/>
    <cellStyle name="Обычный 7 2 2 6 2 4 2" xfId="27348"/>
    <cellStyle name="Обычный 7 2 2 6 2 4 3" xfId="27349"/>
    <cellStyle name="Обычный 7 2 2 6 2 5" xfId="27350"/>
    <cellStyle name="Обычный 7 2 2 6 2 5 2" xfId="27351"/>
    <cellStyle name="Обычный 7 2 2 6 2 6" xfId="27352"/>
    <cellStyle name="Обычный 7 2 2 6 2 7" xfId="27353"/>
    <cellStyle name="Обычный 7 2 2 6 3" xfId="27354"/>
    <cellStyle name="Обычный 7 2 2 6 3 2" xfId="27355"/>
    <cellStyle name="Обычный 7 2 2 6 3 2 2" xfId="27356"/>
    <cellStyle name="Обычный 7 2 2 6 3 2 3" xfId="27357"/>
    <cellStyle name="Обычный 7 2 2 6 3 3" xfId="27358"/>
    <cellStyle name="Обычный 7 2 2 6 3 3 2" xfId="27359"/>
    <cellStyle name="Обычный 7 2 2 6 3 3 3" xfId="27360"/>
    <cellStyle name="Обычный 7 2 2 6 3 4" xfId="27361"/>
    <cellStyle name="Обычный 7 2 2 6 3 4 2" xfId="27362"/>
    <cellStyle name="Обычный 7 2 2 6 3 5" xfId="27363"/>
    <cellStyle name="Обычный 7 2 2 6 3 6" xfId="27364"/>
    <cellStyle name="Обычный 7 2 2 6 4" xfId="27365"/>
    <cellStyle name="Обычный 7 2 2 6 4 2" xfId="27366"/>
    <cellStyle name="Обычный 7 2 2 6 4 3" xfId="27367"/>
    <cellStyle name="Обычный 7 2 2 6 5" xfId="27368"/>
    <cellStyle name="Обычный 7 2 2 6 5 2" xfId="27369"/>
    <cellStyle name="Обычный 7 2 2 6 5 3" xfId="27370"/>
    <cellStyle name="Обычный 7 2 2 6 6" xfId="27371"/>
    <cellStyle name="Обычный 7 2 2 6 6 2" xfId="27372"/>
    <cellStyle name="Обычный 7 2 2 6 7" xfId="27373"/>
    <cellStyle name="Обычный 7 2 2 6 8" xfId="27374"/>
    <cellStyle name="Обычный 7 2 2 7" xfId="27375"/>
    <cellStyle name="Обычный 7 2 2 7 2" xfId="27376"/>
    <cellStyle name="Обычный 7 2 2 7 2 2" xfId="27377"/>
    <cellStyle name="Обычный 7 2 2 7 2 2 2" xfId="27378"/>
    <cellStyle name="Обычный 7 2 2 7 2 2 3" xfId="27379"/>
    <cellStyle name="Обычный 7 2 2 7 2 3" xfId="27380"/>
    <cellStyle name="Обычный 7 2 2 7 2 3 2" xfId="27381"/>
    <cellStyle name="Обычный 7 2 2 7 2 3 3" xfId="27382"/>
    <cellStyle name="Обычный 7 2 2 7 2 4" xfId="27383"/>
    <cellStyle name="Обычный 7 2 2 7 2 4 2" xfId="27384"/>
    <cellStyle name="Обычный 7 2 2 7 2 5" xfId="27385"/>
    <cellStyle name="Обычный 7 2 2 7 2 6" xfId="27386"/>
    <cellStyle name="Обычный 7 2 2 7 3" xfId="27387"/>
    <cellStyle name="Обычный 7 2 2 7 3 2" xfId="27388"/>
    <cellStyle name="Обычный 7 2 2 7 3 3" xfId="27389"/>
    <cellStyle name="Обычный 7 2 2 7 4" xfId="27390"/>
    <cellStyle name="Обычный 7 2 2 7 4 2" xfId="27391"/>
    <cellStyle name="Обычный 7 2 2 7 4 3" xfId="27392"/>
    <cellStyle name="Обычный 7 2 2 7 5" xfId="27393"/>
    <cellStyle name="Обычный 7 2 2 7 5 2" xfId="27394"/>
    <cellStyle name="Обычный 7 2 2 7 6" xfId="27395"/>
    <cellStyle name="Обычный 7 2 2 7 7" xfId="27396"/>
    <cellStyle name="Обычный 7 2 2 8" xfId="27397"/>
    <cellStyle name="Обычный 7 2 2 8 2" xfId="27398"/>
    <cellStyle name="Обычный 7 2 2 8 2 2" xfId="27399"/>
    <cellStyle name="Обычный 7 2 2 8 2 3" xfId="27400"/>
    <cellStyle name="Обычный 7 2 2 8 3" xfId="27401"/>
    <cellStyle name="Обычный 7 2 2 8 3 2" xfId="27402"/>
    <cellStyle name="Обычный 7 2 2 8 3 3" xfId="27403"/>
    <cellStyle name="Обычный 7 2 2 8 4" xfId="27404"/>
    <cellStyle name="Обычный 7 2 2 8 4 2" xfId="27405"/>
    <cellStyle name="Обычный 7 2 2 8 5" xfId="27406"/>
    <cellStyle name="Обычный 7 2 2 8 6" xfId="27407"/>
    <cellStyle name="Обычный 7 2 2 9" xfId="27408"/>
    <cellStyle name="Обычный 7 2 2 9 2" xfId="27409"/>
    <cellStyle name="Обычный 7 2 2 9 3" xfId="27410"/>
    <cellStyle name="Обычный 7 2 3" xfId="27411"/>
    <cellStyle name="Обычный 7 2 3 10" xfId="27412"/>
    <cellStyle name="Обычный 7 2 3 2" xfId="27413"/>
    <cellStyle name="Обычный 7 2 3 2 2" xfId="27414"/>
    <cellStyle name="Обычный 7 2 3 2 2 2" xfId="27415"/>
    <cellStyle name="Обычный 7 2 3 2 2 2 2" xfId="27416"/>
    <cellStyle name="Обычный 7 2 3 2 2 2 2 2" xfId="27417"/>
    <cellStyle name="Обычный 7 2 3 2 2 2 2 2 2" xfId="27418"/>
    <cellStyle name="Обычный 7 2 3 2 2 2 2 2 3" xfId="27419"/>
    <cellStyle name="Обычный 7 2 3 2 2 2 2 3" xfId="27420"/>
    <cellStyle name="Обычный 7 2 3 2 2 2 2 3 2" xfId="27421"/>
    <cellStyle name="Обычный 7 2 3 2 2 2 2 3 3" xfId="27422"/>
    <cellStyle name="Обычный 7 2 3 2 2 2 2 4" xfId="27423"/>
    <cellStyle name="Обычный 7 2 3 2 2 2 2 4 2" xfId="27424"/>
    <cellStyle name="Обычный 7 2 3 2 2 2 2 5" xfId="27425"/>
    <cellStyle name="Обычный 7 2 3 2 2 2 2 6" xfId="27426"/>
    <cellStyle name="Обычный 7 2 3 2 2 2 3" xfId="27427"/>
    <cellStyle name="Обычный 7 2 3 2 2 2 3 2" xfId="27428"/>
    <cellStyle name="Обычный 7 2 3 2 2 2 3 3" xfId="27429"/>
    <cellStyle name="Обычный 7 2 3 2 2 2 4" xfId="27430"/>
    <cellStyle name="Обычный 7 2 3 2 2 2 4 2" xfId="27431"/>
    <cellStyle name="Обычный 7 2 3 2 2 2 4 3" xfId="27432"/>
    <cellStyle name="Обычный 7 2 3 2 2 2 5" xfId="27433"/>
    <cellStyle name="Обычный 7 2 3 2 2 2 5 2" xfId="27434"/>
    <cellStyle name="Обычный 7 2 3 2 2 2 6" xfId="27435"/>
    <cellStyle name="Обычный 7 2 3 2 2 2 7" xfId="27436"/>
    <cellStyle name="Обычный 7 2 3 2 2 3" xfId="27437"/>
    <cellStyle name="Обычный 7 2 3 2 2 3 2" xfId="27438"/>
    <cellStyle name="Обычный 7 2 3 2 2 3 2 2" xfId="27439"/>
    <cellStyle name="Обычный 7 2 3 2 2 3 2 3" xfId="27440"/>
    <cellStyle name="Обычный 7 2 3 2 2 3 3" xfId="27441"/>
    <cellStyle name="Обычный 7 2 3 2 2 3 3 2" xfId="27442"/>
    <cellStyle name="Обычный 7 2 3 2 2 3 3 3" xfId="27443"/>
    <cellStyle name="Обычный 7 2 3 2 2 3 4" xfId="27444"/>
    <cellStyle name="Обычный 7 2 3 2 2 3 4 2" xfId="27445"/>
    <cellStyle name="Обычный 7 2 3 2 2 3 5" xfId="27446"/>
    <cellStyle name="Обычный 7 2 3 2 2 3 6" xfId="27447"/>
    <cellStyle name="Обычный 7 2 3 2 2 4" xfId="27448"/>
    <cellStyle name="Обычный 7 2 3 2 2 4 2" xfId="27449"/>
    <cellStyle name="Обычный 7 2 3 2 2 4 3" xfId="27450"/>
    <cellStyle name="Обычный 7 2 3 2 2 5" xfId="27451"/>
    <cellStyle name="Обычный 7 2 3 2 2 5 2" xfId="27452"/>
    <cellStyle name="Обычный 7 2 3 2 2 5 3" xfId="27453"/>
    <cellStyle name="Обычный 7 2 3 2 2 6" xfId="27454"/>
    <cellStyle name="Обычный 7 2 3 2 2 6 2" xfId="27455"/>
    <cellStyle name="Обычный 7 2 3 2 2 7" xfId="27456"/>
    <cellStyle name="Обычный 7 2 3 2 2 8" xfId="27457"/>
    <cellStyle name="Обычный 7 2 3 2 3" xfId="27458"/>
    <cellStyle name="Обычный 7 2 3 2 3 2" xfId="27459"/>
    <cellStyle name="Обычный 7 2 3 2 3 2 2" xfId="27460"/>
    <cellStyle name="Обычный 7 2 3 2 3 2 2 2" xfId="27461"/>
    <cellStyle name="Обычный 7 2 3 2 3 2 2 3" xfId="27462"/>
    <cellStyle name="Обычный 7 2 3 2 3 2 3" xfId="27463"/>
    <cellStyle name="Обычный 7 2 3 2 3 2 3 2" xfId="27464"/>
    <cellStyle name="Обычный 7 2 3 2 3 2 3 3" xfId="27465"/>
    <cellStyle name="Обычный 7 2 3 2 3 2 4" xfId="27466"/>
    <cellStyle name="Обычный 7 2 3 2 3 2 4 2" xfId="27467"/>
    <cellStyle name="Обычный 7 2 3 2 3 2 5" xfId="27468"/>
    <cellStyle name="Обычный 7 2 3 2 3 2 6" xfId="27469"/>
    <cellStyle name="Обычный 7 2 3 2 3 3" xfId="27470"/>
    <cellStyle name="Обычный 7 2 3 2 3 3 2" xfId="27471"/>
    <cellStyle name="Обычный 7 2 3 2 3 3 3" xfId="27472"/>
    <cellStyle name="Обычный 7 2 3 2 3 4" xfId="27473"/>
    <cellStyle name="Обычный 7 2 3 2 3 4 2" xfId="27474"/>
    <cellStyle name="Обычный 7 2 3 2 3 4 3" xfId="27475"/>
    <cellStyle name="Обычный 7 2 3 2 3 5" xfId="27476"/>
    <cellStyle name="Обычный 7 2 3 2 3 5 2" xfId="27477"/>
    <cellStyle name="Обычный 7 2 3 2 3 6" xfId="27478"/>
    <cellStyle name="Обычный 7 2 3 2 3 7" xfId="27479"/>
    <cellStyle name="Обычный 7 2 3 2 4" xfId="27480"/>
    <cellStyle name="Обычный 7 2 3 2 4 2" xfId="27481"/>
    <cellStyle name="Обычный 7 2 3 2 4 2 2" xfId="27482"/>
    <cellStyle name="Обычный 7 2 3 2 4 2 3" xfId="27483"/>
    <cellStyle name="Обычный 7 2 3 2 4 3" xfId="27484"/>
    <cellStyle name="Обычный 7 2 3 2 4 3 2" xfId="27485"/>
    <cellStyle name="Обычный 7 2 3 2 4 3 3" xfId="27486"/>
    <cellStyle name="Обычный 7 2 3 2 4 4" xfId="27487"/>
    <cellStyle name="Обычный 7 2 3 2 4 4 2" xfId="27488"/>
    <cellStyle name="Обычный 7 2 3 2 4 5" xfId="27489"/>
    <cellStyle name="Обычный 7 2 3 2 4 6" xfId="27490"/>
    <cellStyle name="Обычный 7 2 3 2 5" xfId="27491"/>
    <cellStyle name="Обычный 7 2 3 2 5 2" xfId="27492"/>
    <cellStyle name="Обычный 7 2 3 2 5 3" xfId="27493"/>
    <cellStyle name="Обычный 7 2 3 2 6" xfId="27494"/>
    <cellStyle name="Обычный 7 2 3 2 6 2" xfId="27495"/>
    <cellStyle name="Обычный 7 2 3 2 6 3" xfId="27496"/>
    <cellStyle name="Обычный 7 2 3 2 7" xfId="27497"/>
    <cellStyle name="Обычный 7 2 3 2 7 2" xfId="27498"/>
    <cellStyle name="Обычный 7 2 3 2 8" xfId="27499"/>
    <cellStyle name="Обычный 7 2 3 2 9" xfId="27500"/>
    <cellStyle name="Обычный 7 2 3 3" xfId="27501"/>
    <cellStyle name="Обычный 7 2 3 3 2" xfId="27502"/>
    <cellStyle name="Обычный 7 2 3 3 2 2" xfId="27503"/>
    <cellStyle name="Обычный 7 2 3 3 2 2 2" xfId="27504"/>
    <cellStyle name="Обычный 7 2 3 3 2 2 2 2" xfId="27505"/>
    <cellStyle name="Обычный 7 2 3 3 2 2 2 3" xfId="27506"/>
    <cellStyle name="Обычный 7 2 3 3 2 2 3" xfId="27507"/>
    <cellStyle name="Обычный 7 2 3 3 2 2 3 2" xfId="27508"/>
    <cellStyle name="Обычный 7 2 3 3 2 2 3 3" xfId="27509"/>
    <cellStyle name="Обычный 7 2 3 3 2 2 4" xfId="27510"/>
    <cellStyle name="Обычный 7 2 3 3 2 2 4 2" xfId="27511"/>
    <cellStyle name="Обычный 7 2 3 3 2 2 5" xfId="27512"/>
    <cellStyle name="Обычный 7 2 3 3 2 2 6" xfId="27513"/>
    <cellStyle name="Обычный 7 2 3 3 2 3" xfId="27514"/>
    <cellStyle name="Обычный 7 2 3 3 2 3 2" xfId="27515"/>
    <cellStyle name="Обычный 7 2 3 3 2 3 3" xfId="27516"/>
    <cellStyle name="Обычный 7 2 3 3 2 4" xfId="27517"/>
    <cellStyle name="Обычный 7 2 3 3 2 4 2" xfId="27518"/>
    <cellStyle name="Обычный 7 2 3 3 2 4 3" xfId="27519"/>
    <cellStyle name="Обычный 7 2 3 3 2 5" xfId="27520"/>
    <cellStyle name="Обычный 7 2 3 3 2 5 2" xfId="27521"/>
    <cellStyle name="Обычный 7 2 3 3 2 6" xfId="27522"/>
    <cellStyle name="Обычный 7 2 3 3 2 7" xfId="27523"/>
    <cellStyle name="Обычный 7 2 3 3 3" xfId="27524"/>
    <cellStyle name="Обычный 7 2 3 3 3 2" xfId="27525"/>
    <cellStyle name="Обычный 7 2 3 3 3 2 2" xfId="27526"/>
    <cellStyle name="Обычный 7 2 3 3 3 2 3" xfId="27527"/>
    <cellStyle name="Обычный 7 2 3 3 3 3" xfId="27528"/>
    <cellStyle name="Обычный 7 2 3 3 3 3 2" xfId="27529"/>
    <cellStyle name="Обычный 7 2 3 3 3 3 3" xfId="27530"/>
    <cellStyle name="Обычный 7 2 3 3 3 4" xfId="27531"/>
    <cellStyle name="Обычный 7 2 3 3 3 4 2" xfId="27532"/>
    <cellStyle name="Обычный 7 2 3 3 3 5" xfId="27533"/>
    <cellStyle name="Обычный 7 2 3 3 3 6" xfId="27534"/>
    <cellStyle name="Обычный 7 2 3 3 4" xfId="27535"/>
    <cellStyle name="Обычный 7 2 3 3 4 2" xfId="27536"/>
    <cellStyle name="Обычный 7 2 3 3 4 3" xfId="27537"/>
    <cellStyle name="Обычный 7 2 3 3 5" xfId="27538"/>
    <cellStyle name="Обычный 7 2 3 3 5 2" xfId="27539"/>
    <cellStyle name="Обычный 7 2 3 3 5 3" xfId="27540"/>
    <cellStyle name="Обычный 7 2 3 3 6" xfId="27541"/>
    <cellStyle name="Обычный 7 2 3 3 6 2" xfId="27542"/>
    <cellStyle name="Обычный 7 2 3 3 7" xfId="27543"/>
    <cellStyle name="Обычный 7 2 3 3 8" xfId="27544"/>
    <cellStyle name="Обычный 7 2 3 4" xfId="27545"/>
    <cellStyle name="Обычный 7 2 3 4 2" xfId="27546"/>
    <cellStyle name="Обычный 7 2 3 4 2 2" xfId="27547"/>
    <cellStyle name="Обычный 7 2 3 4 2 2 2" xfId="27548"/>
    <cellStyle name="Обычный 7 2 3 4 2 2 3" xfId="27549"/>
    <cellStyle name="Обычный 7 2 3 4 2 3" xfId="27550"/>
    <cellStyle name="Обычный 7 2 3 4 2 3 2" xfId="27551"/>
    <cellStyle name="Обычный 7 2 3 4 2 3 3" xfId="27552"/>
    <cellStyle name="Обычный 7 2 3 4 2 4" xfId="27553"/>
    <cellStyle name="Обычный 7 2 3 4 2 4 2" xfId="27554"/>
    <cellStyle name="Обычный 7 2 3 4 2 5" xfId="27555"/>
    <cellStyle name="Обычный 7 2 3 4 2 6" xfId="27556"/>
    <cellStyle name="Обычный 7 2 3 4 3" xfId="27557"/>
    <cellStyle name="Обычный 7 2 3 4 3 2" xfId="27558"/>
    <cellStyle name="Обычный 7 2 3 4 3 3" xfId="27559"/>
    <cellStyle name="Обычный 7 2 3 4 4" xfId="27560"/>
    <cellStyle name="Обычный 7 2 3 4 4 2" xfId="27561"/>
    <cellStyle name="Обычный 7 2 3 4 4 3" xfId="27562"/>
    <cellStyle name="Обычный 7 2 3 4 5" xfId="27563"/>
    <cellStyle name="Обычный 7 2 3 4 5 2" xfId="27564"/>
    <cellStyle name="Обычный 7 2 3 4 6" xfId="27565"/>
    <cellStyle name="Обычный 7 2 3 4 7" xfId="27566"/>
    <cellStyle name="Обычный 7 2 3 5" xfId="27567"/>
    <cellStyle name="Обычный 7 2 3 5 2" xfId="27568"/>
    <cellStyle name="Обычный 7 2 3 5 2 2" xfId="27569"/>
    <cellStyle name="Обычный 7 2 3 5 2 3" xfId="27570"/>
    <cellStyle name="Обычный 7 2 3 5 3" xfId="27571"/>
    <cellStyle name="Обычный 7 2 3 5 3 2" xfId="27572"/>
    <cellStyle name="Обычный 7 2 3 5 3 3" xfId="27573"/>
    <cellStyle name="Обычный 7 2 3 5 4" xfId="27574"/>
    <cellStyle name="Обычный 7 2 3 5 4 2" xfId="27575"/>
    <cellStyle name="Обычный 7 2 3 5 5" xfId="27576"/>
    <cellStyle name="Обычный 7 2 3 5 6" xfId="27577"/>
    <cellStyle name="Обычный 7 2 3 6" xfId="27578"/>
    <cellStyle name="Обычный 7 2 3 6 2" xfId="27579"/>
    <cellStyle name="Обычный 7 2 3 6 3" xfId="27580"/>
    <cellStyle name="Обычный 7 2 3 7" xfId="27581"/>
    <cellStyle name="Обычный 7 2 3 7 2" xfId="27582"/>
    <cellStyle name="Обычный 7 2 3 7 3" xfId="27583"/>
    <cellStyle name="Обычный 7 2 3 8" xfId="27584"/>
    <cellStyle name="Обычный 7 2 3 8 2" xfId="27585"/>
    <cellStyle name="Обычный 7 2 3 9" xfId="27586"/>
    <cellStyle name="Обычный 7 2 4" xfId="27587"/>
    <cellStyle name="Обычный 7 2 4 10" xfId="27588"/>
    <cellStyle name="Обычный 7 2 4 2" xfId="27589"/>
    <cellStyle name="Обычный 7 2 4 2 2" xfId="27590"/>
    <cellStyle name="Обычный 7 2 4 2 2 2" xfId="27591"/>
    <cellStyle name="Обычный 7 2 4 2 2 2 2" xfId="27592"/>
    <cellStyle name="Обычный 7 2 4 2 2 2 2 2" xfId="27593"/>
    <cellStyle name="Обычный 7 2 4 2 2 2 2 2 2" xfId="27594"/>
    <cellStyle name="Обычный 7 2 4 2 2 2 2 2 3" xfId="27595"/>
    <cellStyle name="Обычный 7 2 4 2 2 2 2 3" xfId="27596"/>
    <cellStyle name="Обычный 7 2 4 2 2 2 2 3 2" xfId="27597"/>
    <cellStyle name="Обычный 7 2 4 2 2 2 2 3 3" xfId="27598"/>
    <cellStyle name="Обычный 7 2 4 2 2 2 2 4" xfId="27599"/>
    <cellStyle name="Обычный 7 2 4 2 2 2 2 4 2" xfId="27600"/>
    <cellStyle name="Обычный 7 2 4 2 2 2 2 5" xfId="27601"/>
    <cellStyle name="Обычный 7 2 4 2 2 2 2 6" xfId="27602"/>
    <cellStyle name="Обычный 7 2 4 2 2 2 3" xfId="27603"/>
    <cellStyle name="Обычный 7 2 4 2 2 2 3 2" xfId="27604"/>
    <cellStyle name="Обычный 7 2 4 2 2 2 3 3" xfId="27605"/>
    <cellStyle name="Обычный 7 2 4 2 2 2 4" xfId="27606"/>
    <cellStyle name="Обычный 7 2 4 2 2 2 4 2" xfId="27607"/>
    <cellStyle name="Обычный 7 2 4 2 2 2 4 3" xfId="27608"/>
    <cellStyle name="Обычный 7 2 4 2 2 2 5" xfId="27609"/>
    <cellStyle name="Обычный 7 2 4 2 2 2 5 2" xfId="27610"/>
    <cellStyle name="Обычный 7 2 4 2 2 2 6" xfId="27611"/>
    <cellStyle name="Обычный 7 2 4 2 2 2 7" xfId="27612"/>
    <cellStyle name="Обычный 7 2 4 2 2 3" xfId="27613"/>
    <cellStyle name="Обычный 7 2 4 2 2 3 2" xfId="27614"/>
    <cellStyle name="Обычный 7 2 4 2 2 3 2 2" xfId="27615"/>
    <cellStyle name="Обычный 7 2 4 2 2 3 2 3" xfId="27616"/>
    <cellStyle name="Обычный 7 2 4 2 2 3 3" xfId="27617"/>
    <cellStyle name="Обычный 7 2 4 2 2 3 3 2" xfId="27618"/>
    <cellStyle name="Обычный 7 2 4 2 2 3 3 3" xfId="27619"/>
    <cellStyle name="Обычный 7 2 4 2 2 3 4" xfId="27620"/>
    <cellStyle name="Обычный 7 2 4 2 2 3 4 2" xfId="27621"/>
    <cellStyle name="Обычный 7 2 4 2 2 3 5" xfId="27622"/>
    <cellStyle name="Обычный 7 2 4 2 2 3 6" xfId="27623"/>
    <cellStyle name="Обычный 7 2 4 2 2 4" xfId="27624"/>
    <cellStyle name="Обычный 7 2 4 2 2 4 2" xfId="27625"/>
    <cellStyle name="Обычный 7 2 4 2 2 4 3" xfId="27626"/>
    <cellStyle name="Обычный 7 2 4 2 2 5" xfId="27627"/>
    <cellStyle name="Обычный 7 2 4 2 2 5 2" xfId="27628"/>
    <cellStyle name="Обычный 7 2 4 2 2 5 3" xfId="27629"/>
    <cellStyle name="Обычный 7 2 4 2 2 6" xfId="27630"/>
    <cellStyle name="Обычный 7 2 4 2 2 6 2" xfId="27631"/>
    <cellStyle name="Обычный 7 2 4 2 2 7" xfId="27632"/>
    <cellStyle name="Обычный 7 2 4 2 2 8" xfId="27633"/>
    <cellStyle name="Обычный 7 2 4 2 3" xfId="27634"/>
    <cellStyle name="Обычный 7 2 4 2 3 2" xfId="27635"/>
    <cellStyle name="Обычный 7 2 4 2 3 2 2" xfId="27636"/>
    <cellStyle name="Обычный 7 2 4 2 3 2 2 2" xfId="27637"/>
    <cellStyle name="Обычный 7 2 4 2 3 2 2 3" xfId="27638"/>
    <cellStyle name="Обычный 7 2 4 2 3 2 3" xfId="27639"/>
    <cellStyle name="Обычный 7 2 4 2 3 2 3 2" xfId="27640"/>
    <cellStyle name="Обычный 7 2 4 2 3 2 3 3" xfId="27641"/>
    <cellStyle name="Обычный 7 2 4 2 3 2 4" xfId="27642"/>
    <cellStyle name="Обычный 7 2 4 2 3 2 4 2" xfId="27643"/>
    <cellStyle name="Обычный 7 2 4 2 3 2 5" xfId="27644"/>
    <cellStyle name="Обычный 7 2 4 2 3 2 6" xfId="27645"/>
    <cellStyle name="Обычный 7 2 4 2 3 3" xfId="27646"/>
    <cellStyle name="Обычный 7 2 4 2 3 3 2" xfId="27647"/>
    <cellStyle name="Обычный 7 2 4 2 3 3 3" xfId="27648"/>
    <cellStyle name="Обычный 7 2 4 2 3 4" xfId="27649"/>
    <cellStyle name="Обычный 7 2 4 2 3 4 2" xfId="27650"/>
    <cellStyle name="Обычный 7 2 4 2 3 4 3" xfId="27651"/>
    <cellStyle name="Обычный 7 2 4 2 3 5" xfId="27652"/>
    <cellStyle name="Обычный 7 2 4 2 3 5 2" xfId="27653"/>
    <cellStyle name="Обычный 7 2 4 2 3 6" xfId="27654"/>
    <cellStyle name="Обычный 7 2 4 2 3 7" xfId="27655"/>
    <cellStyle name="Обычный 7 2 4 2 4" xfId="27656"/>
    <cellStyle name="Обычный 7 2 4 2 4 2" xfId="27657"/>
    <cellStyle name="Обычный 7 2 4 2 4 2 2" xfId="27658"/>
    <cellStyle name="Обычный 7 2 4 2 4 2 3" xfId="27659"/>
    <cellStyle name="Обычный 7 2 4 2 4 3" xfId="27660"/>
    <cellStyle name="Обычный 7 2 4 2 4 3 2" xfId="27661"/>
    <cellStyle name="Обычный 7 2 4 2 4 3 3" xfId="27662"/>
    <cellStyle name="Обычный 7 2 4 2 4 4" xfId="27663"/>
    <cellStyle name="Обычный 7 2 4 2 4 4 2" xfId="27664"/>
    <cellStyle name="Обычный 7 2 4 2 4 5" xfId="27665"/>
    <cellStyle name="Обычный 7 2 4 2 4 6" xfId="27666"/>
    <cellStyle name="Обычный 7 2 4 2 5" xfId="27667"/>
    <cellStyle name="Обычный 7 2 4 2 5 2" xfId="27668"/>
    <cellStyle name="Обычный 7 2 4 2 5 3" xfId="27669"/>
    <cellStyle name="Обычный 7 2 4 2 6" xfId="27670"/>
    <cellStyle name="Обычный 7 2 4 2 6 2" xfId="27671"/>
    <cellStyle name="Обычный 7 2 4 2 6 3" xfId="27672"/>
    <cellStyle name="Обычный 7 2 4 2 7" xfId="27673"/>
    <cellStyle name="Обычный 7 2 4 2 7 2" xfId="27674"/>
    <cellStyle name="Обычный 7 2 4 2 8" xfId="27675"/>
    <cellStyle name="Обычный 7 2 4 2 9" xfId="27676"/>
    <cellStyle name="Обычный 7 2 4 3" xfId="27677"/>
    <cellStyle name="Обычный 7 2 4 3 2" xfId="27678"/>
    <cellStyle name="Обычный 7 2 4 3 2 2" xfId="27679"/>
    <cellStyle name="Обычный 7 2 4 3 2 2 2" xfId="27680"/>
    <cellStyle name="Обычный 7 2 4 3 2 2 2 2" xfId="27681"/>
    <cellStyle name="Обычный 7 2 4 3 2 2 2 3" xfId="27682"/>
    <cellStyle name="Обычный 7 2 4 3 2 2 3" xfId="27683"/>
    <cellStyle name="Обычный 7 2 4 3 2 2 3 2" xfId="27684"/>
    <cellStyle name="Обычный 7 2 4 3 2 2 3 3" xfId="27685"/>
    <cellStyle name="Обычный 7 2 4 3 2 2 4" xfId="27686"/>
    <cellStyle name="Обычный 7 2 4 3 2 2 4 2" xfId="27687"/>
    <cellStyle name="Обычный 7 2 4 3 2 2 5" xfId="27688"/>
    <cellStyle name="Обычный 7 2 4 3 2 2 6" xfId="27689"/>
    <cellStyle name="Обычный 7 2 4 3 2 3" xfId="27690"/>
    <cellStyle name="Обычный 7 2 4 3 2 3 2" xfId="27691"/>
    <cellStyle name="Обычный 7 2 4 3 2 3 3" xfId="27692"/>
    <cellStyle name="Обычный 7 2 4 3 2 4" xfId="27693"/>
    <cellStyle name="Обычный 7 2 4 3 2 4 2" xfId="27694"/>
    <cellStyle name="Обычный 7 2 4 3 2 4 3" xfId="27695"/>
    <cellStyle name="Обычный 7 2 4 3 2 5" xfId="27696"/>
    <cellStyle name="Обычный 7 2 4 3 2 5 2" xfId="27697"/>
    <cellStyle name="Обычный 7 2 4 3 2 6" xfId="27698"/>
    <cellStyle name="Обычный 7 2 4 3 2 7" xfId="27699"/>
    <cellStyle name="Обычный 7 2 4 3 3" xfId="27700"/>
    <cellStyle name="Обычный 7 2 4 3 3 2" xfId="27701"/>
    <cellStyle name="Обычный 7 2 4 3 3 2 2" xfId="27702"/>
    <cellStyle name="Обычный 7 2 4 3 3 2 3" xfId="27703"/>
    <cellStyle name="Обычный 7 2 4 3 3 3" xfId="27704"/>
    <cellStyle name="Обычный 7 2 4 3 3 3 2" xfId="27705"/>
    <cellStyle name="Обычный 7 2 4 3 3 3 3" xfId="27706"/>
    <cellStyle name="Обычный 7 2 4 3 3 4" xfId="27707"/>
    <cellStyle name="Обычный 7 2 4 3 3 4 2" xfId="27708"/>
    <cellStyle name="Обычный 7 2 4 3 3 5" xfId="27709"/>
    <cellStyle name="Обычный 7 2 4 3 3 6" xfId="27710"/>
    <cellStyle name="Обычный 7 2 4 3 4" xfId="27711"/>
    <cellStyle name="Обычный 7 2 4 3 4 2" xfId="27712"/>
    <cellStyle name="Обычный 7 2 4 3 4 3" xfId="27713"/>
    <cellStyle name="Обычный 7 2 4 3 5" xfId="27714"/>
    <cellStyle name="Обычный 7 2 4 3 5 2" xfId="27715"/>
    <cellStyle name="Обычный 7 2 4 3 5 3" xfId="27716"/>
    <cellStyle name="Обычный 7 2 4 3 6" xfId="27717"/>
    <cellStyle name="Обычный 7 2 4 3 6 2" xfId="27718"/>
    <cellStyle name="Обычный 7 2 4 3 7" xfId="27719"/>
    <cellStyle name="Обычный 7 2 4 3 8" xfId="27720"/>
    <cellStyle name="Обычный 7 2 4 4" xfId="27721"/>
    <cellStyle name="Обычный 7 2 4 4 2" xfId="27722"/>
    <cellStyle name="Обычный 7 2 4 4 2 2" xfId="27723"/>
    <cellStyle name="Обычный 7 2 4 4 2 2 2" xfId="27724"/>
    <cellStyle name="Обычный 7 2 4 4 2 2 3" xfId="27725"/>
    <cellStyle name="Обычный 7 2 4 4 2 3" xfId="27726"/>
    <cellStyle name="Обычный 7 2 4 4 2 3 2" xfId="27727"/>
    <cellStyle name="Обычный 7 2 4 4 2 3 3" xfId="27728"/>
    <cellStyle name="Обычный 7 2 4 4 2 4" xfId="27729"/>
    <cellStyle name="Обычный 7 2 4 4 2 4 2" xfId="27730"/>
    <cellStyle name="Обычный 7 2 4 4 2 5" xfId="27731"/>
    <cellStyle name="Обычный 7 2 4 4 2 6" xfId="27732"/>
    <cellStyle name="Обычный 7 2 4 4 3" xfId="27733"/>
    <cellStyle name="Обычный 7 2 4 4 3 2" xfId="27734"/>
    <cellStyle name="Обычный 7 2 4 4 3 3" xfId="27735"/>
    <cellStyle name="Обычный 7 2 4 4 4" xfId="27736"/>
    <cellStyle name="Обычный 7 2 4 4 4 2" xfId="27737"/>
    <cellStyle name="Обычный 7 2 4 4 4 3" xfId="27738"/>
    <cellStyle name="Обычный 7 2 4 4 5" xfId="27739"/>
    <cellStyle name="Обычный 7 2 4 4 5 2" xfId="27740"/>
    <cellStyle name="Обычный 7 2 4 4 6" xfId="27741"/>
    <cellStyle name="Обычный 7 2 4 4 7" xfId="27742"/>
    <cellStyle name="Обычный 7 2 4 5" xfId="27743"/>
    <cellStyle name="Обычный 7 2 4 5 2" xfId="27744"/>
    <cellStyle name="Обычный 7 2 4 5 2 2" xfId="27745"/>
    <cellStyle name="Обычный 7 2 4 5 2 3" xfId="27746"/>
    <cellStyle name="Обычный 7 2 4 5 3" xfId="27747"/>
    <cellStyle name="Обычный 7 2 4 5 3 2" xfId="27748"/>
    <cellStyle name="Обычный 7 2 4 5 3 3" xfId="27749"/>
    <cellStyle name="Обычный 7 2 4 5 4" xfId="27750"/>
    <cellStyle name="Обычный 7 2 4 5 4 2" xfId="27751"/>
    <cellStyle name="Обычный 7 2 4 5 5" xfId="27752"/>
    <cellStyle name="Обычный 7 2 4 5 6" xfId="27753"/>
    <cellStyle name="Обычный 7 2 4 6" xfId="27754"/>
    <cellStyle name="Обычный 7 2 4 6 2" xfId="27755"/>
    <cellStyle name="Обычный 7 2 4 6 3" xfId="27756"/>
    <cellStyle name="Обычный 7 2 4 7" xfId="27757"/>
    <cellStyle name="Обычный 7 2 4 7 2" xfId="27758"/>
    <cellStyle name="Обычный 7 2 4 7 3" xfId="27759"/>
    <cellStyle name="Обычный 7 2 4 8" xfId="27760"/>
    <cellStyle name="Обычный 7 2 4 8 2" xfId="27761"/>
    <cellStyle name="Обычный 7 2 4 9" xfId="27762"/>
    <cellStyle name="Обычный 7 2 5" xfId="27763"/>
    <cellStyle name="Обычный 7 2 5 10" xfId="27764"/>
    <cellStyle name="Обычный 7 2 5 2" xfId="27765"/>
    <cellStyle name="Обычный 7 2 5 2 2" xfId="27766"/>
    <cellStyle name="Обычный 7 2 5 2 2 2" xfId="27767"/>
    <cellStyle name="Обычный 7 2 5 2 2 2 2" xfId="27768"/>
    <cellStyle name="Обычный 7 2 5 2 2 2 2 2" xfId="27769"/>
    <cellStyle name="Обычный 7 2 5 2 2 2 2 2 2" xfId="27770"/>
    <cellStyle name="Обычный 7 2 5 2 2 2 2 2 3" xfId="27771"/>
    <cellStyle name="Обычный 7 2 5 2 2 2 2 3" xfId="27772"/>
    <cellStyle name="Обычный 7 2 5 2 2 2 2 3 2" xfId="27773"/>
    <cellStyle name="Обычный 7 2 5 2 2 2 2 3 3" xfId="27774"/>
    <cellStyle name="Обычный 7 2 5 2 2 2 2 4" xfId="27775"/>
    <cellStyle name="Обычный 7 2 5 2 2 2 2 4 2" xfId="27776"/>
    <cellStyle name="Обычный 7 2 5 2 2 2 2 5" xfId="27777"/>
    <cellStyle name="Обычный 7 2 5 2 2 2 2 6" xfId="27778"/>
    <cellStyle name="Обычный 7 2 5 2 2 2 3" xfId="27779"/>
    <cellStyle name="Обычный 7 2 5 2 2 2 3 2" xfId="27780"/>
    <cellStyle name="Обычный 7 2 5 2 2 2 3 3" xfId="27781"/>
    <cellStyle name="Обычный 7 2 5 2 2 2 4" xfId="27782"/>
    <cellStyle name="Обычный 7 2 5 2 2 2 4 2" xfId="27783"/>
    <cellStyle name="Обычный 7 2 5 2 2 2 4 3" xfId="27784"/>
    <cellStyle name="Обычный 7 2 5 2 2 2 5" xfId="27785"/>
    <cellStyle name="Обычный 7 2 5 2 2 2 5 2" xfId="27786"/>
    <cellStyle name="Обычный 7 2 5 2 2 2 6" xfId="27787"/>
    <cellStyle name="Обычный 7 2 5 2 2 2 7" xfId="27788"/>
    <cellStyle name="Обычный 7 2 5 2 2 3" xfId="27789"/>
    <cellStyle name="Обычный 7 2 5 2 2 3 2" xfId="27790"/>
    <cellStyle name="Обычный 7 2 5 2 2 3 2 2" xfId="27791"/>
    <cellStyle name="Обычный 7 2 5 2 2 3 2 3" xfId="27792"/>
    <cellStyle name="Обычный 7 2 5 2 2 3 3" xfId="27793"/>
    <cellStyle name="Обычный 7 2 5 2 2 3 3 2" xfId="27794"/>
    <cellStyle name="Обычный 7 2 5 2 2 3 3 3" xfId="27795"/>
    <cellStyle name="Обычный 7 2 5 2 2 3 4" xfId="27796"/>
    <cellStyle name="Обычный 7 2 5 2 2 3 4 2" xfId="27797"/>
    <cellStyle name="Обычный 7 2 5 2 2 3 5" xfId="27798"/>
    <cellStyle name="Обычный 7 2 5 2 2 3 6" xfId="27799"/>
    <cellStyle name="Обычный 7 2 5 2 2 4" xfId="27800"/>
    <cellStyle name="Обычный 7 2 5 2 2 4 2" xfId="27801"/>
    <cellStyle name="Обычный 7 2 5 2 2 4 3" xfId="27802"/>
    <cellStyle name="Обычный 7 2 5 2 2 5" xfId="27803"/>
    <cellStyle name="Обычный 7 2 5 2 2 5 2" xfId="27804"/>
    <cellStyle name="Обычный 7 2 5 2 2 5 3" xfId="27805"/>
    <cellStyle name="Обычный 7 2 5 2 2 6" xfId="27806"/>
    <cellStyle name="Обычный 7 2 5 2 2 6 2" xfId="27807"/>
    <cellStyle name="Обычный 7 2 5 2 2 7" xfId="27808"/>
    <cellStyle name="Обычный 7 2 5 2 2 8" xfId="27809"/>
    <cellStyle name="Обычный 7 2 5 2 3" xfId="27810"/>
    <cellStyle name="Обычный 7 2 5 2 3 2" xfId="27811"/>
    <cellStyle name="Обычный 7 2 5 2 3 2 2" xfId="27812"/>
    <cellStyle name="Обычный 7 2 5 2 3 2 2 2" xfId="27813"/>
    <cellStyle name="Обычный 7 2 5 2 3 2 2 3" xfId="27814"/>
    <cellStyle name="Обычный 7 2 5 2 3 2 3" xfId="27815"/>
    <cellStyle name="Обычный 7 2 5 2 3 2 3 2" xfId="27816"/>
    <cellStyle name="Обычный 7 2 5 2 3 2 3 3" xfId="27817"/>
    <cellStyle name="Обычный 7 2 5 2 3 2 4" xfId="27818"/>
    <cellStyle name="Обычный 7 2 5 2 3 2 4 2" xfId="27819"/>
    <cellStyle name="Обычный 7 2 5 2 3 2 5" xfId="27820"/>
    <cellStyle name="Обычный 7 2 5 2 3 2 6" xfId="27821"/>
    <cellStyle name="Обычный 7 2 5 2 3 3" xfId="27822"/>
    <cellStyle name="Обычный 7 2 5 2 3 3 2" xfId="27823"/>
    <cellStyle name="Обычный 7 2 5 2 3 3 3" xfId="27824"/>
    <cellStyle name="Обычный 7 2 5 2 3 4" xfId="27825"/>
    <cellStyle name="Обычный 7 2 5 2 3 4 2" xfId="27826"/>
    <cellStyle name="Обычный 7 2 5 2 3 4 3" xfId="27827"/>
    <cellStyle name="Обычный 7 2 5 2 3 5" xfId="27828"/>
    <cellStyle name="Обычный 7 2 5 2 3 5 2" xfId="27829"/>
    <cellStyle name="Обычный 7 2 5 2 3 6" xfId="27830"/>
    <cellStyle name="Обычный 7 2 5 2 3 7" xfId="27831"/>
    <cellStyle name="Обычный 7 2 5 2 4" xfId="27832"/>
    <cellStyle name="Обычный 7 2 5 2 4 2" xfId="27833"/>
    <cellStyle name="Обычный 7 2 5 2 4 2 2" xfId="27834"/>
    <cellStyle name="Обычный 7 2 5 2 4 2 3" xfId="27835"/>
    <cellStyle name="Обычный 7 2 5 2 4 3" xfId="27836"/>
    <cellStyle name="Обычный 7 2 5 2 4 3 2" xfId="27837"/>
    <cellStyle name="Обычный 7 2 5 2 4 3 3" xfId="27838"/>
    <cellStyle name="Обычный 7 2 5 2 4 4" xfId="27839"/>
    <cellStyle name="Обычный 7 2 5 2 4 4 2" xfId="27840"/>
    <cellStyle name="Обычный 7 2 5 2 4 5" xfId="27841"/>
    <cellStyle name="Обычный 7 2 5 2 4 6" xfId="27842"/>
    <cellStyle name="Обычный 7 2 5 2 5" xfId="27843"/>
    <cellStyle name="Обычный 7 2 5 2 5 2" xfId="27844"/>
    <cellStyle name="Обычный 7 2 5 2 5 3" xfId="27845"/>
    <cellStyle name="Обычный 7 2 5 2 6" xfId="27846"/>
    <cellStyle name="Обычный 7 2 5 2 6 2" xfId="27847"/>
    <cellStyle name="Обычный 7 2 5 2 6 3" xfId="27848"/>
    <cellStyle name="Обычный 7 2 5 2 7" xfId="27849"/>
    <cellStyle name="Обычный 7 2 5 2 7 2" xfId="27850"/>
    <cellStyle name="Обычный 7 2 5 2 8" xfId="27851"/>
    <cellStyle name="Обычный 7 2 5 2 9" xfId="27852"/>
    <cellStyle name="Обычный 7 2 5 3" xfId="27853"/>
    <cellStyle name="Обычный 7 2 5 3 2" xfId="27854"/>
    <cellStyle name="Обычный 7 2 5 3 2 2" xfId="27855"/>
    <cellStyle name="Обычный 7 2 5 3 2 2 2" xfId="27856"/>
    <cellStyle name="Обычный 7 2 5 3 2 2 2 2" xfId="27857"/>
    <cellStyle name="Обычный 7 2 5 3 2 2 2 3" xfId="27858"/>
    <cellStyle name="Обычный 7 2 5 3 2 2 3" xfId="27859"/>
    <cellStyle name="Обычный 7 2 5 3 2 2 3 2" xfId="27860"/>
    <cellStyle name="Обычный 7 2 5 3 2 2 3 3" xfId="27861"/>
    <cellStyle name="Обычный 7 2 5 3 2 2 4" xfId="27862"/>
    <cellStyle name="Обычный 7 2 5 3 2 2 4 2" xfId="27863"/>
    <cellStyle name="Обычный 7 2 5 3 2 2 5" xfId="27864"/>
    <cellStyle name="Обычный 7 2 5 3 2 2 6" xfId="27865"/>
    <cellStyle name="Обычный 7 2 5 3 2 3" xfId="27866"/>
    <cellStyle name="Обычный 7 2 5 3 2 3 2" xfId="27867"/>
    <cellStyle name="Обычный 7 2 5 3 2 3 3" xfId="27868"/>
    <cellStyle name="Обычный 7 2 5 3 2 4" xfId="27869"/>
    <cellStyle name="Обычный 7 2 5 3 2 4 2" xfId="27870"/>
    <cellStyle name="Обычный 7 2 5 3 2 4 3" xfId="27871"/>
    <cellStyle name="Обычный 7 2 5 3 2 5" xfId="27872"/>
    <cellStyle name="Обычный 7 2 5 3 2 5 2" xfId="27873"/>
    <cellStyle name="Обычный 7 2 5 3 2 6" xfId="27874"/>
    <cellStyle name="Обычный 7 2 5 3 2 7" xfId="27875"/>
    <cellStyle name="Обычный 7 2 5 3 3" xfId="27876"/>
    <cellStyle name="Обычный 7 2 5 3 3 2" xfId="27877"/>
    <cellStyle name="Обычный 7 2 5 3 3 2 2" xfId="27878"/>
    <cellStyle name="Обычный 7 2 5 3 3 2 3" xfId="27879"/>
    <cellStyle name="Обычный 7 2 5 3 3 3" xfId="27880"/>
    <cellStyle name="Обычный 7 2 5 3 3 3 2" xfId="27881"/>
    <cellStyle name="Обычный 7 2 5 3 3 3 3" xfId="27882"/>
    <cellStyle name="Обычный 7 2 5 3 3 4" xfId="27883"/>
    <cellStyle name="Обычный 7 2 5 3 3 4 2" xfId="27884"/>
    <cellStyle name="Обычный 7 2 5 3 3 5" xfId="27885"/>
    <cellStyle name="Обычный 7 2 5 3 3 6" xfId="27886"/>
    <cellStyle name="Обычный 7 2 5 3 4" xfId="27887"/>
    <cellStyle name="Обычный 7 2 5 3 4 2" xfId="27888"/>
    <cellStyle name="Обычный 7 2 5 3 4 3" xfId="27889"/>
    <cellStyle name="Обычный 7 2 5 3 5" xfId="27890"/>
    <cellStyle name="Обычный 7 2 5 3 5 2" xfId="27891"/>
    <cellStyle name="Обычный 7 2 5 3 5 3" xfId="27892"/>
    <cellStyle name="Обычный 7 2 5 3 6" xfId="27893"/>
    <cellStyle name="Обычный 7 2 5 3 6 2" xfId="27894"/>
    <cellStyle name="Обычный 7 2 5 3 7" xfId="27895"/>
    <cellStyle name="Обычный 7 2 5 3 8" xfId="27896"/>
    <cellStyle name="Обычный 7 2 5 4" xfId="27897"/>
    <cellStyle name="Обычный 7 2 5 4 2" xfId="27898"/>
    <cellStyle name="Обычный 7 2 5 4 2 2" xfId="27899"/>
    <cellStyle name="Обычный 7 2 5 4 2 2 2" xfId="27900"/>
    <cellStyle name="Обычный 7 2 5 4 2 2 3" xfId="27901"/>
    <cellStyle name="Обычный 7 2 5 4 2 3" xfId="27902"/>
    <cellStyle name="Обычный 7 2 5 4 2 3 2" xfId="27903"/>
    <cellStyle name="Обычный 7 2 5 4 2 3 3" xfId="27904"/>
    <cellStyle name="Обычный 7 2 5 4 2 4" xfId="27905"/>
    <cellStyle name="Обычный 7 2 5 4 2 4 2" xfId="27906"/>
    <cellStyle name="Обычный 7 2 5 4 2 5" xfId="27907"/>
    <cellStyle name="Обычный 7 2 5 4 2 6" xfId="27908"/>
    <cellStyle name="Обычный 7 2 5 4 3" xfId="27909"/>
    <cellStyle name="Обычный 7 2 5 4 3 2" xfId="27910"/>
    <cellStyle name="Обычный 7 2 5 4 3 3" xfId="27911"/>
    <cellStyle name="Обычный 7 2 5 4 4" xfId="27912"/>
    <cellStyle name="Обычный 7 2 5 4 4 2" xfId="27913"/>
    <cellStyle name="Обычный 7 2 5 4 4 3" xfId="27914"/>
    <cellStyle name="Обычный 7 2 5 4 5" xfId="27915"/>
    <cellStyle name="Обычный 7 2 5 4 5 2" xfId="27916"/>
    <cellStyle name="Обычный 7 2 5 4 6" xfId="27917"/>
    <cellStyle name="Обычный 7 2 5 4 7" xfId="27918"/>
    <cellStyle name="Обычный 7 2 5 5" xfId="27919"/>
    <cellStyle name="Обычный 7 2 5 5 2" xfId="27920"/>
    <cellStyle name="Обычный 7 2 5 5 2 2" xfId="27921"/>
    <cellStyle name="Обычный 7 2 5 5 2 3" xfId="27922"/>
    <cellStyle name="Обычный 7 2 5 5 3" xfId="27923"/>
    <cellStyle name="Обычный 7 2 5 5 3 2" xfId="27924"/>
    <cellStyle name="Обычный 7 2 5 5 3 3" xfId="27925"/>
    <cellStyle name="Обычный 7 2 5 5 4" xfId="27926"/>
    <cellStyle name="Обычный 7 2 5 5 4 2" xfId="27927"/>
    <cellStyle name="Обычный 7 2 5 5 5" xfId="27928"/>
    <cellStyle name="Обычный 7 2 5 5 6" xfId="27929"/>
    <cellStyle name="Обычный 7 2 5 6" xfId="27930"/>
    <cellStyle name="Обычный 7 2 5 6 2" xfId="27931"/>
    <cellStyle name="Обычный 7 2 5 6 3" xfId="27932"/>
    <cellStyle name="Обычный 7 2 5 7" xfId="27933"/>
    <cellStyle name="Обычный 7 2 5 7 2" xfId="27934"/>
    <cellStyle name="Обычный 7 2 5 7 3" xfId="27935"/>
    <cellStyle name="Обычный 7 2 5 8" xfId="27936"/>
    <cellStyle name="Обычный 7 2 5 8 2" xfId="27937"/>
    <cellStyle name="Обычный 7 2 5 9" xfId="27938"/>
    <cellStyle name="Обычный 7 2 6" xfId="27939"/>
    <cellStyle name="Обычный 7 2 6 2" xfId="27940"/>
    <cellStyle name="Обычный 7 2 6 2 2" xfId="27941"/>
    <cellStyle name="Обычный 7 2 6 2 2 2" xfId="27942"/>
    <cellStyle name="Обычный 7 2 6 2 2 2 2" xfId="27943"/>
    <cellStyle name="Обычный 7 2 6 2 2 2 2 2" xfId="27944"/>
    <cellStyle name="Обычный 7 2 6 2 2 2 2 3" xfId="27945"/>
    <cellStyle name="Обычный 7 2 6 2 2 2 3" xfId="27946"/>
    <cellStyle name="Обычный 7 2 6 2 2 2 3 2" xfId="27947"/>
    <cellStyle name="Обычный 7 2 6 2 2 2 3 3" xfId="27948"/>
    <cellStyle name="Обычный 7 2 6 2 2 2 4" xfId="27949"/>
    <cellStyle name="Обычный 7 2 6 2 2 2 4 2" xfId="27950"/>
    <cellStyle name="Обычный 7 2 6 2 2 2 5" xfId="27951"/>
    <cellStyle name="Обычный 7 2 6 2 2 2 6" xfId="27952"/>
    <cellStyle name="Обычный 7 2 6 2 2 3" xfId="27953"/>
    <cellStyle name="Обычный 7 2 6 2 2 3 2" xfId="27954"/>
    <cellStyle name="Обычный 7 2 6 2 2 3 3" xfId="27955"/>
    <cellStyle name="Обычный 7 2 6 2 2 4" xfId="27956"/>
    <cellStyle name="Обычный 7 2 6 2 2 4 2" xfId="27957"/>
    <cellStyle name="Обычный 7 2 6 2 2 4 3" xfId="27958"/>
    <cellStyle name="Обычный 7 2 6 2 2 5" xfId="27959"/>
    <cellStyle name="Обычный 7 2 6 2 2 5 2" xfId="27960"/>
    <cellStyle name="Обычный 7 2 6 2 2 6" xfId="27961"/>
    <cellStyle name="Обычный 7 2 6 2 2 7" xfId="27962"/>
    <cellStyle name="Обычный 7 2 6 2 3" xfId="27963"/>
    <cellStyle name="Обычный 7 2 6 2 3 2" xfId="27964"/>
    <cellStyle name="Обычный 7 2 6 2 3 2 2" xfId="27965"/>
    <cellStyle name="Обычный 7 2 6 2 3 2 3" xfId="27966"/>
    <cellStyle name="Обычный 7 2 6 2 3 3" xfId="27967"/>
    <cellStyle name="Обычный 7 2 6 2 3 3 2" xfId="27968"/>
    <cellStyle name="Обычный 7 2 6 2 3 3 3" xfId="27969"/>
    <cellStyle name="Обычный 7 2 6 2 3 4" xfId="27970"/>
    <cellStyle name="Обычный 7 2 6 2 3 4 2" xfId="27971"/>
    <cellStyle name="Обычный 7 2 6 2 3 5" xfId="27972"/>
    <cellStyle name="Обычный 7 2 6 2 3 6" xfId="27973"/>
    <cellStyle name="Обычный 7 2 6 2 4" xfId="27974"/>
    <cellStyle name="Обычный 7 2 6 2 4 2" xfId="27975"/>
    <cellStyle name="Обычный 7 2 6 2 4 3" xfId="27976"/>
    <cellStyle name="Обычный 7 2 6 2 5" xfId="27977"/>
    <cellStyle name="Обычный 7 2 6 2 5 2" xfId="27978"/>
    <cellStyle name="Обычный 7 2 6 2 5 3" xfId="27979"/>
    <cellStyle name="Обычный 7 2 6 2 6" xfId="27980"/>
    <cellStyle name="Обычный 7 2 6 2 6 2" xfId="27981"/>
    <cellStyle name="Обычный 7 2 6 2 7" xfId="27982"/>
    <cellStyle name="Обычный 7 2 6 2 8" xfId="27983"/>
    <cellStyle name="Обычный 7 2 6 3" xfId="27984"/>
    <cellStyle name="Обычный 7 2 6 3 2" xfId="27985"/>
    <cellStyle name="Обычный 7 2 6 3 2 2" xfId="27986"/>
    <cellStyle name="Обычный 7 2 6 3 2 2 2" xfId="27987"/>
    <cellStyle name="Обычный 7 2 6 3 2 2 3" xfId="27988"/>
    <cellStyle name="Обычный 7 2 6 3 2 3" xfId="27989"/>
    <cellStyle name="Обычный 7 2 6 3 2 3 2" xfId="27990"/>
    <cellStyle name="Обычный 7 2 6 3 2 3 3" xfId="27991"/>
    <cellStyle name="Обычный 7 2 6 3 2 4" xfId="27992"/>
    <cellStyle name="Обычный 7 2 6 3 2 4 2" xfId="27993"/>
    <cellStyle name="Обычный 7 2 6 3 2 5" xfId="27994"/>
    <cellStyle name="Обычный 7 2 6 3 2 6" xfId="27995"/>
    <cellStyle name="Обычный 7 2 6 3 3" xfId="27996"/>
    <cellStyle name="Обычный 7 2 6 3 3 2" xfId="27997"/>
    <cellStyle name="Обычный 7 2 6 3 3 3" xfId="27998"/>
    <cellStyle name="Обычный 7 2 6 3 4" xfId="27999"/>
    <cellStyle name="Обычный 7 2 6 3 4 2" xfId="28000"/>
    <cellStyle name="Обычный 7 2 6 3 4 3" xfId="28001"/>
    <cellStyle name="Обычный 7 2 6 3 5" xfId="28002"/>
    <cellStyle name="Обычный 7 2 6 3 5 2" xfId="28003"/>
    <cellStyle name="Обычный 7 2 6 3 6" xfId="28004"/>
    <cellStyle name="Обычный 7 2 6 3 7" xfId="28005"/>
    <cellStyle name="Обычный 7 2 6 4" xfId="28006"/>
    <cellStyle name="Обычный 7 2 6 4 2" xfId="28007"/>
    <cellStyle name="Обычный 7 2 6 4 2 2" xfId="28008"/>
    <cellStyle name="Обычный 7 2 6 4 2 3" xfId="28009"/>
    <cellStyle name="Обычный 7 2 6 4 3" xfId="28010"/>
    <cellStyle name="Обычный 7 2 6 4 3 2" xfId="28011"/>
    <cellStyle name="Обычный 7 2 6 4 3 3" xfId="28012"/>
    <cellStyle name="Обычный 7 2 6 4 4" xfId="28013"/>
    <cellStyle name="Обычный 7 2 6 4 4 2" xfId="28014"/>
    <cellStyle name="Обычный 7 2 6 4 5" xfId="28015"/>
    <cellStyle name="Обычный 7 2 6 4 6" xfId="28016"/>
    <cellStyle name="Обычный 7 2 6 5" xfId="28017"/>
    <cellStyle name="Обычный 7 2 6 5 2" xfId="28018"/>
    <cellStyle name="Обычный 7 2 6 5 3" xfId="28019"/>
    <cellStyle name="Обычный 7 2 6 6" xfId="28020"/>
    <cellStyle name="Обычный 7 2 6 6 2" xfId="28021"/>
    <cellStyle name="Обычный 7 2 6 6 3" xfId="28022"/>
    <cellStyle name="Обычный 7 2 6 7" xfId="28023"/>
    <cellStyle name="Обычный 7 2 6 7 2" xfId="28024"/>
    <cellStyle name="Обычный 7 2 6 8" xfId="28025"/>
    <cellStyle name="Обычный 7 2 6 9" xfId="28026"/>
    <cellStyle name="Обычный 7 2 7" xfId="28027"/>
    <cellStyle name="Обычный 7 2 7 2" xfId="28028"/>
    <cellStyle name="Обычный 7 2 7 2 2" xfId="28029"/>
    <cellStyle name="Обычный 7 2 7 2 2 2" xfId="28030"/>
    <cellStyle name="Обычный 7 2 7 2 2 2 2" xfId="28031"/>
    <cellStyle name="Обычный 7 2 7 2 2 2 3" xfId="28032"/>
    <cellStyle name="Обычный 7 2 7 2 2 3" xfId="28033"/>
    <cellStyle name="Обычный 7 2 7 2 2 3 2" xfId="28034"/>
    <cellStyle name="Обычный 7 2 7 2 2 3 3" xfId="28035"/>
    <cellStyle name="Обычный 7 2 7 2 2 4" xfId="28036"/>
    <cellStyle name="Обычный 7 2 7 2 2 4 2" xfId="28037"/>
    <cellStyle name="Обычный 7 2 7 2 2 5" xfId="28038"/>
    <cellStyle name="Обычный 7 2 7 2 2 6" xfId="28039"/>
    <cellStyle name="Обычный 7 2 7 2 3" xfId="28040"/>
    <cellStyle name="Обычный 7 2 7 2 3 2" xfId="28041"/>
    <cellStyle name="Обычный 7 2 7 2 3 3" xfId="28042"/>
    <cellStyle name="Обычный 7 2 7 2 4" xfId="28043"/>
    <cellStyle name="Обычный 7 2 7 2 4 2" xfId="28044"/>
    <cellStyle name="Обычный 7 2 7 2 4 3" xfId="28045"/>
    <cellStyle name="Обычный 7 2 7 2 5" xfId="28046"/>
    <cellStyle name="Обычный 7 2 7 2 5 2" xfId="28047"/>
    <cellStyle name="Обычный 7 2 7 2 6" xfId="28048"/>
    <cellStyle name="Обычный 7 2 7 2 7" xfId="28049"/>
    <cellStyle name="Обычный 7 2 7 3" xfId="28050"/>
    <cellStyle name="Обычный 7 2 7 3 2" xfId="28051"/>
    <cellStyle name="Обычный 7 2 7 3 2 2" xfId="28052"/>
    <cellStyle name="Обычный 7 2 7 3 2 3" xfId="28053"/>
    <cellStyle name="Обычный 7 2 7 3 3" xfId="28054"/>
    <cellStyle name="Обычный 7 2 7 3 3 2" xfId="28055"/>
    <cellStyle name="Обычный 7 2 7 3 3 3" xfId="28056"/>
    <cellStyle name="Обычный 7 2 7 3 4" xfId="28057"/>
    <cellStyle name="Обычный 7 2 7 3 4 2" xfId="28058"/>
    <cellStyle name="Обычный 7 2 7 3 5" xfId="28059"/>
    <cellStyle name="Обычный 7 2 7 3 6" xfId="28060"/>
    <cellStyle name="Обычный 7 2 7 4" xfId="28061"/>
    <cellStyle name="Обычный 7 2 7 4 2" xfId="28062"/>
    <cellStyle name="Обычный 7 2 7 4 3" xfId="28063"/>
    <cellStyle name="Обычный 7 2 7 5" xfId="28064"/>
    <cellStyle name="Обычный 7 2 7 5 2" xfId="28065"/>
    <cellStyle name="Обычный 7 2 7 5 3" xfId="28066"/>
    <cellStyle name="Обычный 7 2 7 6" xfId="28067"/>
    <cellStyle name="Обычный 7 2 7 6 2" xfId="28068"/>
    <cellStyle name="Обычный 7 2 7 7" xfId="28069"/>
    <cellStyle name="Обычный 7 2 7 8" xfId="28070"/>
    <cellStyle name="Обычный 7 2 8" xfId="28071"/>
    <cellStyle name="Обычный 7 2 8 2" xfId="28072"/>
    <cellStyle name="Обычный 7 2 8 2 2" xfId="28073"/>
    <cellStyle name="Обычный 7 2 8 2 2 2" xfId="28074"/>
    <cellStyle name="Обычный 7 2 8 2 2 3" xfId="28075"/>
    <cellStyle name="Обычный 7 2 8 2 3" xfId="28076"/>
    <cellStyle name="Обычный 7 2 8 2 3 2" xfId="28077"/>
    <cellStyle name="Обычный 7 2 8 2 3 3" xfId="28078"/>
    <cellStyle name="Обычный 7 2 8 2 4" xfId="28079"/>
    <cellStyle name="Обычный 7 2 8 2 4 2" xfId="28080"/>
    <cellStyle name="Обычный 7 2 8 2 5" xfId="28081"/>
    <cellStyle name="Обычный 7 2 8 2 6" xfId="28082"/>
    <cellStyle name="Обычный 7 2 8 3" xfId="28083"/>
    <cellStyle name="Обычный 7 2 8 3 2" xfId="28084"/>
    <cellStyle name="Обычный 7 2 8 3 3" xfId="28085"/>
    <cellStyle name="Обычный 7 2 8 4" xfId="28086"/>
    <cellStyle name="Обычный 7 2 8 4 2" xfId="28087"/>
    <cellStyle name="Обычный 7 2 8 4 3" xfId="28088"/>
    <cellStyle name="Обычный 7 2 8 5" xfId="28089"/>
    <cellStyle name="Обычный 7 2 8 5 2" xfId="28090"/>
    <cellStyle name="Обычный 7 2 8 6" xfId="28091"/>
    <cellStyle name="Обычный 7 2 8 7" xfId="28092"/>
    <cellStyle name="Обычный 7 2 9" xfId="28093"/>
    <cellStyle name="Обычный 7 2 9 2" xfId="28094"/>
    <cellStyle name="Обычный 7 2 9 2 2" xfId="28095"/>
    <cellStyle name="Обычный 7 2 9 2 3" xfId="28096"/>
    <cellStyle name="Обычный 7 2 9 3" xfId="28097"/>
    <cellStyle name="Обычный 7 2 9 3 2" xfId="28098"/>
    <cellStyle name="Обычный 7 2 9 3 3" xfId="28099"/>
    <cellStyle name="Обычный 7 2 9 4" xfId="28100"/>
    <cellStyle name="Обычный 7 2 9 4 2" xfId="28101"/>
    <cellStyle name="Обычный 7 2 9 5" xfId="28102"/>
    <cellStyle name="Обычный 7 2 9 6" xfId="28103"/>
    <cellStyle name="Обычный 7 20" xfId="28104"/>
    <cellStyle name="Обычный 7 21" xfId="28105"/>
    <cellStyle name="Обычный 7 22" xfId="28106"/>
    <cellStyle name="Обычный 7 3" xfId="28107"/>
    <cellStyle name="Обычный 7 3 10" xfId="28108"/>
    <cellStyle name="Обычный 7 3 10 2" xfId="28109"/>
    <cellStyle name="Обычный 7 3 10 3" xfId="28110"/>
    <cellStyle name="Обычный 7 3 11" xfId="28111"/>
    <cellStyle name="Обычный 7 3 11 2" xfId="28112"/>
    <cellStyle name="Обычный 7 3 11 3" xfId="28113"/>
    <cellStyle name="Обычный 7 3 12" xfId="28114"/>
    <cellStyle name="Обычный 7 3 12 2" xfId="28115"/>
    <cellStyle name="Обычный 7 3 13" xfId="28116"/>
    <cellStyle name="Обычный 7 3 14" xfId="28117"/>
    <cellStyle name="Обычный 7 3 2" xfId="28118"/>
    <cellStyle name="Обычный 7 3 2 10" xfId="28119"/>
    <cellStyle name="Обычный 7 3 2 10 2" xfId="28120"/>
    <cellStyle name="Обычный 7 3 2 10 3" xfId="28121"/>
    <cellStyle name="Обычный 7 3 2 11" xfId="28122"/>
    <cellStyle name="Обычный 7 3 2 11 2" xfId="28123"/>
    <cellStyle name="Обычный 7 3 2 12" xfId="28124"/>
    <cellStyle name="Обычный 7 3 2 13" xfId="28125"/>
    <cellStyle name="Обычный 7 3 2 2" xfId="28126"/>
    <cellStyle name="Обычный 7 3 2 2 10" xfId="28127"/>
    <cellStyle name="Обычный 7 3 2 2 2" xfId="28128"/>
    <cellStyle name="Обычный 7 3 2 2 2 2" xfId="28129"/>
    <cellStyle name="Обычный 7 3 2 2 2 2 2" xfId="28130"/>
    <cellStyle name="Обычный 7 3 2 2 2 2 2 2" xfId="28131"/>
    <cellStyle name="Обычный 7 3 2 2 2 2 2 2 2" xfId="28132"/>
    <cellStyle name="Обычный 7 3 2 2 2 2 2 2 2 2" xfId="28133"/>
    <cellStyle name="Обычный 7 3 2 2 2 2 2 2 2 3" xfId="28134"/>
    <cellStyle name="Обычный 7 3 2 2 2 2 2 2 3" xfId="28135"/>
    <cellStyle name="Обычный 7 3 2 2 2 2 2 2 3 2" xfId="28136"/>
    <cellStyle name="Обычный 7 3 2 2 2 2 2 2 3 3" xfId="28137"/>
    <cellStyle name="Обычный 7 3 2 2 2 2 2 2 4" xfId="28138"/>
    <cellStyle name="Обычный 7 3 2 2 2 2 2 2 4 2" xfId="28139"/>
    <cellStyle name="Обычный 7 3 2 2 2 2 2 2 5" xfId="28140"/>
    <cellStyle name="Обычный 7 3 2 2 2 2 2 2 6" xfId="28141"/>
    <cellStyle name="Обычный 7 3 2 2 2 2 2 3" xfId="28142"/>
    <cellStyle name="Обычный 7 3 2 2 2 2 2 3 2" xfId="28143"/>
    <cellStyle name="Обычный 7 3 2 2 2 2 2 3 3" xfId="28144"/>
    <cellStyle name="Обычный 7 3 2 2 2 2 2 4" xfId="28145"/>
    <cellStyle name="Обычный 7 3 2 2 2 2 2 4 2" xfId="28146"/>
    <cellStyle name="Обычный 7 3 2 2 2 2 2 4 3" xfId="28147"/>
    <cellStyle name="Обычный 7 3 2 2 2 2 2 5" xfId="28148"/>
    <cellStyle name="Обычный 7 3 2 2 2 2 2 5 2" xfId="28149"/>
    <cellStyle name="Обычный 7 3 2 2 2 2 2 6" xfId="28150"/>
    <cellStyle name="Обычный 7 3 2 2 2 2 2 7" xfId="28151"/>
    <cellStyle name="Обычный 7 3 2 2 2 2 3" xfId="28152"/>
    <cellStyle name="Обычный 7 3 2 2 2 2 3 2" xfId="28153"/>
    <cellStyle name="Обычный 7 3 2 2 2 2 3 2 2" xfId="28154"/>
    <cellStyle name="Обычный 7 3 2 2 2 2 3 2 3" xfId="28155"/>
    <cellStyle name="Обычный 7 3 2 2 2 2 3 3" xfId="28156"/>
    <cellStyle name="Обычный 7 3 2 2 2 2 3 3 2" xfId="28157"/>
    <cellStyle name="Обычный 7 3 2 2 2 2 3 3 3" xfId="28158"/>
    <cellStyle name="Обычный 7 3 2 2 2 2 3 4" xfId="28159"/>
    <cellStyle name="Обычный 7 3 2 2 2 2 3 4 2" xfId="28160"/>
    <cellStyle name="Обычный 7 3 2 2 2 2 3 5" xfId="28161"/>
    <cellStyle name="Обычный 7 3 2 2 2 2 3 6" xfId="28162"/>
    <cellStyle name="Обычный 7 3 2 2 2 2 4" xfId="28163"/>
    <cellStyle name="Обычный 7 3 2 2 2 2 4 2" xfId="28164"/>
    <cellStyle name="Обычный 7 3 2 2 2 2 4 3" xfId="28165"/>
    <cellStyle name="Обычный 7 3 2 2 2 2 5" xfId="28166"/>
    <cellStyle name="Обычный 7 3 2 2 2 2 5 2" xfId="28167"/>
    <cellStyle name="Обычный 7 3 2 2 2 2 5 3" xfId="28168"/>
    <cellStyle name="Обычный 7 3 2 2 2 2 6" xfId="28169"/>
    <cellStyle name="Обычный 7 3 2 2 2 2 6 2" xfId="28170"/>
    <cellStyle name="Обычный 7 3 2 2 2 2 7" xfId="28171"/>
    <cellStyle name="Обычный 7 3 2 2 2 2 8" xfId="28172"/>
    <cellStyle name="Обычный 7 3 2 2 2 3" xfId="28173"/>
    <cellStyle name="Обычный 7 3 2 2 2 3 2" xfId="28174"/>
    <cellStyle name="Обычный 7 3 2 2 2 3 2 2" xfId="28175"/>
    <cellStyle name="Обычный 7 3 2 2 2 3 2 2 2" xfId="28176"/>
    <cellStyle name="Обычный 7 3 2 2 2 3 2 2 3" xfId="28177"/>
    <cellStyle name="Обычный 7 3 2 2 2 3 2 3" xfId="28178"/>
    <cellStyle name="Обычный 7 3 2 2 2 3 2 3 2" xfId="28179"/>
    <cellStyle name="Обычный 7 3 2 2 2 3 2 3 3" xfId="28180"/>
    <cellStyle name="Обычный 7 3 2 2 2 3 2 4" xfId="28181"/>
    <cellStyle name="Обычный 7 3 2 2 2 3 2 4 2" xfId="28182"/>
    <cellStyle name="Обычный 7 3 2 2 2 3 2 5" xfId="28183"/>
    <cellStyle name="Обычный 7 3 2 2 2 3 2 6" xfId="28184"/>
    <cellStyle name="Обычный 7 3 2 2 2 3 3" xfId="28185"/>
    <cellStyle name="Обычный 7 3 2 2 2 3 3 2" xfId="28186"/>
    <cellStyle name="Обычный 7 3 2 2 2 3 3 3" xfId="28187"/>
    <cellStyle name="Обычный 7 3 2 2 2 3 4" xfId="28188"/>
    <cellStyle name="Обычный 7 3 2 2 2 3 4 2" xfId="28189"/>
    <cellStyle name="Обычный 7 3 2 2 2 3 4 3" xfId="28190"/>
    <cellStyle name="Обычный 7 3 2 2 2 3 5" xfId="28191"/>
    <cellStyle name="Обычный 7 3 2 2 2 3 5 2" xfId="28192"/>
    <cellStyle name="Обычный 7 3 2 2 2 3 6" xfId="28193"/>
    <cellStyle name="Обычный 7 3 2 2 2 3 7" xfId="28194"/>
    <cellStyle name="Обычный 7 3 2 2 2 4" xfId="28195"/>
    <cellStyle name="Обычный 7 3 2 2 2 4 2" xfId="28196"/>
    <cellStyle name="Обычный 7 3 2 2 2 4 2 2" xfId="28197"/>
    <cellStyle name="Обычный 7 3 2 2 2 4 2 3" xfId="28198"/>
    <cellStyle name="Обычный 7 3 2 2 2 4 3" xfId="28199"/>
    <cellStyle name="Обычный 7 3 2 2 2 4 3 2" xfId="28200"/>
    <cellStyle name="Обычный 7 3 2 2 2 4 3 3" xfId="28201"/>
    <cellStyle name="Обычный 7 3 2 2 2 4 4" xfId="28202"/>
    <cellStyle name="Обычный 7 3 2 2 2 4 4 2" xfId="28203"/>
    <cellStyle name="Обычный 7 3 2 2 2 4 5" xfId="28204"/>
    <cellStyle name="Обычный 7 3 2 2 2 4 6" xfId="28205"/>
    <cellStyle name="Обычный 7 3 2 2 2 5" xfId="28206"/>
    <cellStyle name="Обычный 7 3 2 2 2 5 2" xfId="28207"/>
    <cellStyle name="Обычный 7 3 2 2 2 5 3" xfId="28208"/>
    <cellStyle name="Обычный 7 3 2 2 2 6" xfId="28209"/>
    <cellStyle name="Обычный 7 3 2 2 2 6 2" xfId="28210"/>
    <cellStyle name="Обычный 7 3 2 2 2 6 3" xfId="28211"/>
    <cellStyle name="Обычный 7 3 2 2 2 7" xfId="28212"/>
    <cellStyle name="Обычный 7 3 2 2 2 7 2" xfId="28213"/>
    <cellStyle name="Обычный 7 3 2 2 2 8" xfId="28214"/>
    <cellStyle name="Обычный 7 3 2 2 2 9" xfId="28215"/>
    <cellStyle name="Обычный 7 3 2 2 3" xfId="28216"/>
    <cellStyle name="Обычный 7 3 2 2 3 2" xfId="28217"/>
    <cellStyle name="Обычный 7 3 2 2 3 2 2" xfId="28218"/>
    <cellStyle name="Обычный 7 3 2 2 3 2 2 2" xfId="28219"/>
    <cellStyle name="Обычный 7 3 2 2 3 2 2 2 2" xfId="28220"/>
    <cellStyle name="Обычный 7 3 2 2 3 2 2 2 3" xfId="28221"/>
    <cellStyle name="Обычный 7 3 2 2 3 2 2 3" xfId="28222"/>
    <cellStyle name="Обычный 7 3 2 2 3 2 2 3 2" xfId="28223"/>
    <cellStyle name="Обычный 7 3 2 2 3 2 2 3 3" xfId="28224"/>
    <cellStyle name="Обычный 7 3 2 2 3 2 2 4" xfId="28225"/>
    <cellStyle name="Обычный 7 3 2 2 3 2 2 4 2" xfId="28226"/>
    <cellStyle name="Обычный 7 3 2 2 3 2 2 5" xfId="28227"/>
    <cellStyle name="Обычный 7 3 2 2 3 2 2 6" xfId="28228"/>
    <cellStyle name="Обычный 7 3 2 2 3 2 3" xfId="28229"/>
    <cellStyle name="Обычный 7 3 2 2 3 2 3 2" xfId="28230"/>
    <cellStyle name="Обычный 7 3 2 2 3 2 3 3" xfId="28231"/>
    <cellStyle name="Обычный 7 3 2 2 3 2 4" xfId="28232"/>
    <cellStyle name="Обычный 7 3 2 2 3 2 4 2" xfId="28233"/>
    <cellStyle name="Обычный 7 3 2 2 3 2 4 3" xfId="28234"/>
    <cellStyle name="Обычный 7 3 2 2 3 2 5" xfId="28235"/>
    <cellStyle name="Обычный 7 3 2 2 3 2 5 2" xfId="28236"/>
    <cellStyle name="Обычный 7 3 2 2 3 2 6" xfId="28237"/>
    <cellStyle name="Обычный 7 3 2 2 3 2 7" xfId="28238"/>
    <cellStyle name="Обычный 7 3 2 2 3 3" xfId="28239"/>
    <cellStyle name="Обычный 7 3 2 2 3 3 2" xfId="28240"/>
    <cellStyle name="Обычный 7 3 2 2 3 3 2 2" xfId="28241"/>
    <cellStyle name="Обычный 7 3 2 2 3 3 2 3" xfId="28242"/>
    <cellStyle name="Обычный 7 3 2 2 3 3 3" xfId="28243"/>
    <cellStyle name="Обычный 7 3 2 2 3 3 3 2" xfId="28244"/>
    <cellStyle name="Обычный 7 3 2 2 3 3 3 3" xfId="28245"/>
    <cellStyle name="Обычный 7 3 2 2 3 3 4" xfId="28246"/>
    <cellStyle name="Обычный 7 3 2 2 3 3 4 2" xfId="28247"/>
    <cellStyle name="Обычный 7 3 2 2 3 3 5" xfId="28248"/>
    <cellStyle name="Обычный 7 3 2 2 3 3 6" xfId="28249"/>
    <cellStyle name="Обычный 7 3 2 2 3 4" xfId="28250"/>
    <cellStyle name="Обычный 7 3 2 2 3 4 2" xfId="28251"/>
    <cellStyle name="Обычный 7 3 2 2 3 4 3" xfId="28252"/>
    <cellStyle name="Обычный 7 3 2 2 3 5" xfId="28253"/>
    <cellStyle name="Обычный 7 3 2 2 3 5 2" xfId="28254"/>
    <cellStyle name="Обычный 7 3 2 2 3 5 3" xfId="28255"/>
    <cellStyle name="Обычный 7 3 2 2 3 6" xfId="28256"/>
    <cellStyle name="Обычный 7 3 2 2 3 6 2" xfId="28257"/>
    <cellStyle name="Обычный 7 3 2 2 3 7" xfId="28258"/>
    <cellStyle name="Обычный 7 3 2 2 3 8" xfId="28259"/>
    <cellStyle name="Обычный 7 3 2 2 4" xfId="28260"/>
    <cellStyle name="Обычный 7 3 2 2 4 2" xfId="28261"/>
    <cellStyle name="Обычный 7 3 2 2 4 2 2" xfId="28262"/>
    <cellStyle name="Обычный 7 3 2 2 4 2 2 2" xfId="28263"/>
    <cellStyle name="Обычный 7 3 2 2 4 2 2 3" xfId="28264"/>
    <cellStyle name="Обычный 7 3 2 2 4 2 3" xfId="28265"/>
    <cellStyle name="Обычный 7 3 2 2 4 2 3 2" xfId="28266"/>
    <cellStyle name="Обычный 7 3 2 2 4 2 3 3" xfId="28267"/>
    <cellStyle name="Обычный 7 3 2 2 4 2 4" xfId="28268"/>
    <cellStyle name="Обычный 7 3 2 2 4 2 4 2" xfId="28269"/>
    <cellStyle name="Обычный 7 3 2 2 4 2 5" xfId="28270"/>
    <cellStyle name="Обычный 7 3 2 2 4 2 6" xfId="28271"/>
    <cellStyle name="Обычный 7 3 2 2 4 3" xfId="28272"/>
    <cellStyle name="Обычный 7 3 2 2 4 3 2" xfId="28273"/>
    <cellStyle name="Обычный 7 3 2 2 4 3 3" xfId="28274"/>
    <cellStyle name="Обычный 7 3 2 2 4 4" xfId="28275"/>
    <cellStyle name="Обычный 7 3 2 2 4 4 2" xfId="28276"/>
    <cellStyle name="Обычный 7 3 2 2 4 4 3" xfId="28277"/>
    <cellStyle name="Обычный 7 3 2 2 4 5" xfId="28278"/>
    <cellStyle name="Обычный 7 3 2 2 4 5 2" xfId="28279"/>
    <cellStyle name="Обычный 7 3 2 2 4 6" xfId="28280"/>
    <cellStyle name="Обычный 7 3 2 2 4 7" xfId="28281"/>
    <cellStyle name="Обычный 7 3 2 2 5" xfId="28282"/>
    <cellStyle name="Обычный 7 3 2 2 5 2" xfId="28283"/>
    <cellStyle name="Обычный 7 3 2 2 5 2 2" xfId="28284"/>
    <cellStyle name="Обычный 7 3 2 2 5 2 3" xfId="28285"/>
    <cellStyle name="Обычный 7 3 2 2 5 3" xfId="28286"/>
    <cellStyle name="Обычный 7 3 2 2 5 3 2" xfId="28287"/>
    <cellStyle name="Обычный 7 3 2 2 5 3 3" xfId="28288"/>
    <cellStyle name="Обычный 7 3 2 2 5 4" xfId="28289"/>
    <cellStyle name="Обычный 7 3 2 2 5 4 2" xfId="28290"/>
    <cellStyle name="Обычный 7 3 2 2 5 5" xfId="28291"/>
    <cellStyle name="Обычный 7 3 2 2 5 6" xfId="28292"/>
    <cellStyle name="Обычный 7 3 2 2 6" xfId="28293"/>
    <cellStyle name="Обычный 7 3 2 2 6 2" xfId="28294"/>
    <cellStyle name="Обычный 7 3 2 2 6 3" xfId="28295"/>
    <cellStyle name="Обычный 7 3 2 2 7" xfId="28296"/>
    <cellStyle name="Обычный 7 3 2 2 7 2" xfId="28297"/>
    <cellStyle name="Обычный 7 3 2 2 7 3" xfId="28298"/>
    <cellStyle name="Обычный 7 3 2 2 8" xfId="28299"/>
    <cellStyle name="Обычный 7 3 2 2 8 2" xfId="28300"/>
    <cellStyle name="Обычный 7 3 2 2 9" xfId="28301"/>
    <cellStyle name="Обычный 7 3 2 3" xfId="28302"/>
    <cellStyle name="Обычный 7 3 2 3 10" xfId="28303"/>
    <cellStyle name="Обычный 7 3 2 3 2" xfId="28304"/>
    <cellStyle name="Обычный 7 3 2 3 2 2" xfId="28305"/>
    <cellStyle name="Обычный 7 3 2 3 2 2 2" xfId="28306"/>
    <cellStyle name="Обычный 7 3 2 3 2 2 2 2" xfId="28307"/>
    <cellStyle name="Обычный 7 3 2 3 2 2 2 2 2" xfId="28308"/>
    <cellStyle name="Обычный 7 3 2 3 2 2 2 2 2 2" xfId="28309"/>
    <cellStyle name="Обычный 7 3 2 3 2 2 2 2 2 3" xfId="28310"/>
    <cellStyle name="Обычный 7 3 2 3 2 2 2 2 3" xfId="28311"/>
    <cellStyle name="Обычный 7 3 2 3 2 2 2 2 3 2" xfId="28312"/>
    <cellStyle name="Обычный 7 3 2 3 2 2 2 2 3 3" xfId="28313"/>
    <cellStyle name="Обычный 7 3 2 3 2 2 2 2 4" xfId="28314"/>
    <cellStyle name="Обычный 7 3 2 3 2 2 2 2 4 2" xfId="28315"/>
    <cellStyle name="Обычный 7 3 2 3 2 2 2 2 5" xfId="28316"/>
    <cellStyle name="Обычный 7 3 2 3 2 2 2 2 6" xfId="28317"/>
    <cellStyle name="Обычный 7 3 2 3 2 2 2 3" xfId="28318"/>
    <cellStyle name="Обычный 7 3 2 3 2 2 2 3 2" xfId="28319"/>
    <cellStyle name="Обычный 7 3 2 3 2 2 2 3 3" xfId="28320"/>
    <cellStyle name="Обычный 7 3 2 3 2 2 2 4" xfId="28321"/>
    <cellStyle name="Обычный 7 3 2 3 2 2 2 4 2" xfId="28322"/>
    <cellStyle name="Обычный 7 3 2 3 2 2 2 4 3" xfId="28323"/>
    <cellStyle name="Обычный 7 3 2 3 2 2 2 5" xfId="28324"/>
    <cellStyle name="Обычный 7 3 2 3 2 2 2 5 2" xfId="28325"/>
    <cellStyle name="Обычный 7 3 2 3 2 2 2 6" xfId="28326"/>
    <cellStyle name="Обычный 7 3 2 3 2 2 2 7" xfId="28327"/>
    <cellStyle name="Обычный 7 3 2 3 2 2 3" xfId="28328"/>
    <cellStyle name="Обычный 7 3 2 3 2 2 3 2" xfId="28329"/>
    <cellStyle name="Обычный 7 3 2 3 2 2 3 2 2" xfId="28330"/>
    <cellStyle name="Обычный 7 3 2 3 2 2 3 2 3" xfId="28331"/>
    <cellStyle name="Обычный 7 3 2 3 2 2 3 3" xfId="28332"/>
    <cellStyle name="Обычный 7 3 2 3 2 2 3 3 2" xfId="28333"/>
    <cellStyle name="Обычный 7 3 2 3 2 2 3 3 3" xfId="28334"/>
    <cellStyle name="Обычный 7 3 2 3 2 2 3 4" xfId="28335"/>
    <cellStyle name="Обычный 7 3 2 3 2 2 3 4 2" xfId="28336"/>
    <cellStyle name="Обычный 7 3 2 3 2 2 3 5" xfId="28337"/>
    <cellStyle name="Обычный 7 3 2 3 2 2 3 6" xfId="28338"/>
    <cellStyle name="Обычный 7 3 2 3 2 2 4" xfId="28339"/>
    <cellStyle name="Обычный 7 3 2 3 2 2 4 2" xfId="28340"/>
    <cellStyle name="Обычный 7 3 2 3 2 2 4 3" xfId="28341"/>
    <cellStyle name="Обычный 7 3 2 3 2 2 5" xfId="28342"/>
    <cellStyle name="Обычный 7 3 2 3 2 2 5 2" xfId="28343"/>
    <cellStyle name="Обычный 7 3 2 3 2 2 5 3" xfId="28344"/>
    <cellStyle name="Обычный 7 3 2 3 2 2 6" xfId="28345"/>
    <cellStyle name="Обычный 7 3 2 3 2 2 6 2" xfId="28346"/>
    <cellStyle name="Обычный 7 3 2 3 2 2 7" xfId="28347"/>
    <cellStyle name="Обычный 7 3 2 3 2 2 8" xfId="28348"/>
    <cellStyle name="Обычный 7 3 2 3 2 3" xfId="28349"/>
    <cellStyle name="Обычный 7 3 2 3 2 3 2" xfId="28350"/>
    <cellStyle name="Обычный 7 3 2 3 2 3 2 2" xfId="28351"/>
    <cellStyle name="Обычный 7 3 2 3 2 3 2 2 2" xfId="28352"/>
    <cellStyle name="Обычный 7 3 2 3 2 3 2 2 3" xfId="28353"/>
    <cellStyle name="Обычный 7 3 2 3 2 3 2 3" xfId="28354"/>
    <cellStyle name="Обычный 7 3 2 3 2 3 2 3 2" xfId="28355"/>
    <cellStyle name="Обычный 7 3 2 3 2 3 2 3 3" xfId="28356"/>
    <cellStyle name="Обычный 7 3 2 3 2 3 2 4" xfId="28357"/>
    <cellStyle name="Обычный 7 3 2 3 2 3 2 4 2" xfId="28358"/>
    <cellStyle name="Обычный 7 3 2 3 2 3 2 5" xfId="28359"/>
    <cellStyle name="Обычный 7 3 2 3 2 3 2 6" xfId="28360"/>
    <cellStyle name="Обычный 7 3 2 3 2 3 3" xfId="28361"/>
    <cellStyle name="Обычный 7 3 2 3 2 3 3 2" xfId="28362"/>
    <cellStyle name="Обычный 7 3 2 3 2 3 3 3" xfId="28363"/>
    <cellStyle name="Обычный 7 3 2 3 2 3 4" xfId="28364"/>
    <cellStyle name="Обычный 7 3 2 3 2 3 4 2" xfId="28365"/>
    <cellStyle name="Обычный 7 3 2 3 2 3 4 3" xfId="28366"/>
    <cellStyle name="Обычный 7 3 2 3 2 3 5" xfId="28367"/>
    <cellStyle name="Обычный 7 3 2 3 2 3 5 2" xfId="28368"/>
    <cellStyle name="Обычный 7 3 2 3 2 3 6" xfId="28369"/>
    <cellStyle name="Обычный 7 3 2 3 2 3 7" xfId="28370"/>
    <cellStyle name="Обычный 7 3 2 3 2 4" xfId="28371"/>
    <cellStyle name="Обычный 7 3 2 3 2 4 2" xfId="28372"/>
    <cellStyle name="Обычный 7 3 2 3 2 4 2 2" xfId="28373"/>
    <cellStyle name="Обычный 7 3 2 3 2 4 2 3" xfId="28374"/>
    <cellStyle name="Обычный 7 3 2 3 2 4 3" xfId="28375"/>
    <cellStyle name="Обычный 7 3 2 3 2 4 3 2" xfId="28376"/>
    <cellStyle name="Обычный 7 3 2 3 2 4 3 3" xfId="28377"/>
    <cellStyle name="Обычный 7 3 2 3 2 4 4" xfId="28378"/>
    <cellStyle name="Обычный 7 3 2 3 2 4 4 2" xfId="28379"/>
    <cellStyle name="Обычный 7 3 2 3 2 4 5" xfId="28380"/>
    <cellStyle name="Обычный 7 3 2 3 2 4 6" xfId="28381"/>
    <cellStyle name="Обычный 7 3 2 3 2 5" xfId="28382"/>
    <cellStyle name="Обычный 7 3 2 3 2 5 2" xfId="28383"/>
    <cellStyle name="Обычный 7 3 2 3 2 5 3" xfId="28384"/>
    <cellStyle name="Обычный 7 3 2 3 2 6" xfId="28385"/>
    <cellStyle name="Обычный 7 3 2 3 2 6 2" xfId="28386"/>
    <cellStyle name="Обычный 7 3 2 3 2 6 3" xfId="28387"/>
    <cellStyle name="Обычный 7 3 2 3 2 7" xfId="28388"/>
    <cellStyle name="Обычный 7 3 2 3 2 7 2" xfId="28389"/>
    <cellStyle name="Обычный 7 3 2 3 2 8" xfId="28390"/>
    <cellStyle name="Обычный 7 3 2 3 2 9" xfId="28391"/>
    <cellStyle name="Обычный 7 3 2 3 3" xfId="28392"/>
    <cellStyle name="Обычный 7 3 2 3 3 2" xfId="28393"/>
    <cellStyle name="Обычный 7 3 2 3 3 2 2" xfId="28394"/>
    <cellStyle name="Обычный 7 3 2 3 3 2 2 2" xfId="28395"/>
    <cellStyle name="Обычный 7 3 2 3 3 2 2 2 2" xfId="28396"/>
    <cellStyle name="Обычный 7 3 2 3 3 2 2 2 3" xfId="28397"/>
    <cellStyle name="Обычный 7 3 2 3 3 2 2 3" xfId="28398"/>
    <cellStyle name="Обычный 7 3 2 3 3 2 2 3 2" xfId="28399"/>
    <cellStyle name="Обычный 7 3 2 3 3 2 2 3 3" xfId="28400"/>
    <cellStyle name="Обычный 7 3 2 3 3 2 2 4" xfId="28401"/>
    <cellStyle name="Обычный 7 3 2 3 3 2 2 4 2" xfId="28402"/>
    <cellStyle name="Обычный 7 3 2 3 3 2 2 5" xfId="28403"/>
    <cellStyle name="Обычный 7 3 2 3 3 2 2 6" xfId="28404"/>
    <cellStyle name="Обычный 7 3 2 3 3 2 3" xfId="28405"/>
    <cellStyle name="Обычный 7 3 2 3 3 2 3 2" xfId="28406"/>
    <cellStyle name="Обычный 7 3 2 3 3 2 3 3" xfId="28407"/>
    <cellStyle name="Обычный 7 3 2 3 3 2 4" xfId="28408"/>
    <cellStyle name="Обычный 7 3 2 3 3 2 4 2" xfId="28409"/>
    <cellStyle name="Обычный 7 3 2 3 3 2 4 3" xfId="28410"/>
    <cellStyle name="Обычный 7 3 2 3 3 2 5" xfId="28411"/>
    <cellStyle name="Обычный 7 3 2 3 3 2 5 2" xfId="28412"/>
    <cellStyle name="Обычный 7 3 2 3 3 2 6" xfId="28413"/>
    <cellStyle name="Обычный 7 3 2 3 3 2 7" xfId="28414"/>
    <cellStyle name="Обычный 7 3 2 3 3 3" xfId="28415"/>
    <cellStyle name="Обычный 7 3 2 3 3 3 2" xfId="28416"/>
    <cellStyle name="Обычный 7 3 2 3 3 3 2 2" xfId="28417"/>
    <cellStyle name="Обычный 7 3 2 3 3 3 2 3" xfId="28418"/>
    <cellStyle name="Обычный 7 3 2 3 3 3 3" xfId="28419"/>
    <cellStyle name="Обычный 7 3 2 3 3 3 3 2" xfId="28420"/>
    <cellStyle name="Обычный 7 3 2 3 3 3 3 3" xfId="28421"/>
    <cellStyle name="Обычный 7 3 2 3 3 3 4" xfId="28422"/>
    <cellStyle name="Обычный 7 3 2 3 3 3 4 2" xfId="28423"/>
    <cellStyle name="Обычный 7 3 2 3 3 3 5" xfId="28424"/>
    <cellStyle name="Обычный 7 3 2 3 3 3 6" xfId="28425"/>
    <cellStyle name="Обычный 7 3 2 3 3 4" xfId="28426"/>
    <cellStyle name="Обычный 7 3 2 3 3 4 2" xfId="28427"/>
    <cellStyle name="Обычный 7 3 2 3 3 4 3" xfId="28428"/>
    <cellStyle name="Обычный 7 3 2 3 3 5" xfId="28429"/>
    <cellStyle name="Обычный 7 3 2 3 3 5 2" xfId="28430"/>
    <cellStyle name="Обычный 7 3 2 3 3 5 3" xfId="28431"/>
    <cellStyle name="Обычный 7 3 2 3 3 6" xfId="28432"/>
    <cellStyle name="Обычный 7 3 2 3 3 6 2" xfId="28433"/>
    <cellStyle name="Обычный 7 3 2 3 3 7" xfId="28434"/>
    <cellStyle name="Обычный 7 3 2 3 3 8" xfId="28435"/>
    <cellStyle name="Обычный 7 3 2 3 4" xfId="28436"/>
    <cellStyle name="Обычный 7 3 2 3 4 2" xfId="28437"/>
    <cellStyle name="Обычный 7 3 2 3 4 2 2" xfId="28438"/>
    <cellStyle name="Обычный 7 3 2 3 4 2 2 2" xfId="28439"/>
    <cellStyle name="Обычный 7 3 2 3 4 2 2 3" xfId="28440"/>
    <cellStyle name="Обычный 7 3 2 3 4 2 3" xfId="28441"/>
    <cellStyle name="Обычный 7 3 2 3 4 2 3 2" xfId="28442"/>
    <cellStyle name="Обычный 7 3 2 3 4 2 3 3" xfId="28443"/>
    <cellStyle name="Обычный 7 3 2 3 4 2 4" xfId="28444"/>
    <cellStyle name="Обычный 7 3 2 3 4 2 4 2" xfId="28445"/>
    <cellStyle name="Обычный 7 3 2 3 4 2 5" xfId="28446"/>
    <cellStyle name="Обычный 7 3 2 3 4 2 6" xfId="28447"/>
    <cellStyle name="Обычный 7 3 2 3 4 3" xfId="28448"/>
    <cellStyle name="Обычный 7 3 2 3 4 3 2" xfId="28449"/>
    <cellStyle name="Обычный 7 3 2 3 4 3 3" xfId="28450"/>
    <cellStyle name="Обычный 7 3 2 3 4 4" xfId="28451"/>
    <cellStyle name="Обычный 7 3 2 3 4 4 2" xfId="28452"/>
    <cellStyle name="Обычный 7 3 2 3 4 4 3" xfId="28453"/>
    <cellStyle name="Обычный 7 3 2 3 4 5" xfId="28454"/>
    <cellStyle name="Обычный 7 3 2 3 4 5 2" xfId="28455"/>
    <cellStyle name="Обычный 7 3 2 3 4 6" xfId="28456"/>
    <cellStyle name="Обычный 7 3 2 3 4 7" xfId="28457"/>
    <cellStyle name="Обычный 7 3 2 3 5" xfId="28458"/>
    <cellStyle name="Обычный 7 3 2 3 5 2" xfId="28459"/>
    <cellStyle name="Обычный 7 3 2 3 5 2 2" xfId="28460"/>
    <cellStyle name="Обычный 7 3 2 3 5 2 3" xfId="28461"/>
    <cellStyle name="Обычный 7 3 2 3 5 3" xfId="28462"/>
    <cellStyle name="Обычный 7 3 2 3 5 3 2" xfId="28463"/>
    <cellStyle name="Обычный 7 3 2 3 5 3 3" xfId="28464"/>
    <cellStyle name="Обычный 7 3 2 3 5 4" xfId="28465"/>
    <cellStyle name="Обычный 7 3 2 3 5 4 2" xfId="28466"/>
    <cellStyle name="Обычный 7 3 2 3 5 5" xfId="28467"/>
    <cellStyle name="Обычный 7 3 2 3 5 6" xfId="28468"/>
    <cellStyle name="Обычный 7 3 2 3 6" xfId="28469"/>
    <cellStyle name="Обычный 7 3 2 3 6 2" xfId="28470"/>
    <cellStyle name="Обычный 7 3 2 3 6 3" xfId="28471"/>
    <cellStyle name="Обычный 7 3 2 3 7" xfId="28472"/>
    <cellStyle name="Обычный 7 3 2 3 7 2" xfId="28473"/>
    <cellStyle name="Обычный 7 3 2 3 7 3" xfId="28474"/>
    <cellStyle name="Обычный 7 3 2 3 8" xfId="28475"/>
    <cellStyle name="Обычный 7 3 2 3 8 2" xfId="28476"/>
    <cellStyle name="Обычный 7 3 2 3 9" xfId="28477"/>
    <cellStyle name="Обычный 7 3 2 4" xfId="28478"/>
    <cellStyle name="Обычный 7 3 2 4 10" xfId="28479"/>
    <cellStyle name="Обычный 7 3 2 4 2" xfId="28480"/>
    <cellStyle name="Обычный 7 3 2 4 2 2" xfId="28481"/>
    <cellStyle name="Обычный 7 3 2 4 2 2 2" xfId="28482"/>
    <cellStyle name="Обычный 7 3 2 4 2 2 2 2" xfId="28483"/>
    <cellStyle name="Обычный 7 3 2 4 2 2 2 2 2" xfId="28484"/>
    <cellStyle name="Обычный 7 3 2 4 2 2 2 2 2 2" xfId="28485"/>
    <cellStyle name="Обычный 7 3 2 4 2 2 2 2 2 3" xfId="28486"/>
    <cellStyle name="Обычный 7 3 2 4 2 2 2 2 3" xfId="28487"/>
    <cellStyle name="Обычный 7 3 2 4 2 2 2 2 3 2" xfId="28488"/>
    <cellStyle name="Обычный 7 3 2 4 2 2 2 2 3 3" xfId="28489"/>
    <cellStyle name="Обычный 7 3 2 4 2 2 2 2 4" xfId="28490"/>
    <cellStyle name="Обычный 7 3 2 4 2 2 2 2 4 2" xfId="28491"/>
    <cellStyle name="Обычный 7 3 2 4 2 2 2 2 5" xfId="28492"/>
    <cellStyle name="Обычный 7 3 2 4 2 2 2 2 6" xfId="28493"/>
    <cellStyle name="Обычный 7 3 2 4 2 2 2 3" xfId="28494"/>
    <cellStyle name="Обычный 7 3 2 4 2 2 2 3 2" xfId="28495"/>
    <cellStyle name="Обычный 7 3 2 4 2 2 2 3 3" xfId="28496"/>
    <cellStyle name="Обычный 7 3 2 4 2 2 2 4" xfId="28497"/>
    <cellStyle name="Обычный 7 3 2 4 2 2 2 4 2" xfId="28498"/>
    <cellStyle name="Обычный 7 3 2 4 2 2 2 4 3" xfId="28499"/>
    <cellStyle name="Обычный 7 3 2 4 2 2 2 5" xfId="28500"/>
    <cellStyle name="Обычный 7 3 2 4 2 2 2 5 2" xfId="28501"/>
    <cellStyle name="Обычный 7 3 2 4 2 2 2 6" xfId="28502"/>
    <cellStyle name="Обычный 7 3 2 4 2 2 2 7" xfId="28503"/>
    <cellStyle name="Обычный 7 3 2 4 2 2 3" xfId="28504"/>
    <cellStyle name="Обычный 7 3 2 4 2 2 3 2" xfId="28505"/>
    <cellStyle name="Обычный 7 3 2 4 2 2 3 2 2" xfId="28506"/>
    <cellStyle name="Обычный 7 3 2 4 2 2 3 2 3" xfId="28507"/>
    <cellStyle name="Обычный 7 3 2 4 2 2 3 3" xfId="28508"/>
    <cellStyle name="Обычный 7 3 2 4 2 2 3 3 2" xfId="28509"/>
    <cellStyle name="Обычный 7 3 2 4 2 2 3 3 3" xfId="28510"/>
    <cellStyle name="Обычный 7 3 2 4 2 2 3 4" xfId="28511"/>
    <cellStyle name="Обычный 7 3 2 4 2 2 3 4 2" xfId="28512"/>
    <cellStyle name="Обычный 7 3 2 4 2 2 3 5" xfId="28513"/>
    <cellStyle name="Обычный 7 3 2 4 2 2 3 6" xfId="28514"/>
    <cellStyle name="Обычный 7 3 2 4 2 2 4" xfId="28515"/>
    <cellStyle name="Обычный 7 3 2 4 2 2 4 2" xfId="28516"/>
    <cellStyle name="Обычный 7 3 2 4 2 2 4 3" xfId="28517"/>
    <cellStyle name="Обычный 7 3 2 4 2 2 5" xfId="28518"/>
    <cellStyle name="Обычный 7 3 2 4 2 2 5 2" xfId="28519"/>
    <cellStyle name="Обычный 7 3 2 4 2 2 5 3" xfId="28520"/>
    <cellStyle name="Обычный 7 3 2 4 2 2 6" xfId="28521"/>
    <cellStyle name="Обычный 7 3 2 4 2 2 6 2" xfId="28522"/>
    <cellStyle name="Обычный 7 3 2 4 2 2 7" xfId="28523"/>
    <cellStyle name="Обычный 7 3 2 4 2 2 8" xfId="28524"/>
    <cellStyle name="Обычный 7 3 2 4 2 3" xfId="28525"/>
    <cellStyle name="Обычный 7 3 2 4 2 3 2" xfId="28526"/>
    <cellStyle name="Обычный 7 3 2 4 2 3 2 2" xfId="28527"/>
    <cellStyle name="Обычный 7 3 2 4 2 3 2 2 2" xfId="28528"/>
    <cellStyle name="Обычный 7 3 2 4 2 3 2 2 3" xfId="28529"/>
    <cellStyle name="Обычный 7 3 2 4 2 3 2 3" xfId="28530"/>
    <cellStyle name="Обычный 7 3 2 4 2 3 2 3 2" xfId="28531"/>
    <cellStyle name="Обычный 7 3 2 4 2 3 2 3 3" xfId="28532"/>
    <cellStyle name="Обычный 7 3 2 4 2 3 2 4" xfId="28533"/>
    <cellStyle name="Обычный 7 3 2 4 2 3 2 4 2" xfId="28534"/>
    <cellStyle name="Обычный 7 3 2 4 2 3 2 5" xfId="28535"/>
    <cellStyle name="Обычный 7 3 2 4 2 3 2 6" xfId="28536"/>
    <cellStyle name="Обычный 7 3 2 4 2 3 3" xfId="28537"/>
    <cellStyle name="Обычный 7 3 2 4 2 3 3 2" xfId="28538"/>
    <cellStyle name="Обычный 7 3 2 4 2 3 3 3" xfId="28539"/>
    <cellStyle name="Обычный 7 3 2 4 2 3 4" xfId="28540"/>
    <cellStyle name="Обычный 7 3 2 4 2 3 4 2" xfId="28541"/>
    <cellStyle name="Обычный 7 3 2 4 2 3 4 3" xfId="28542"/>
    <cellStyle name="Обычный 7 3 2 4 2 3 5" xfId="28543"/>
    <cellStyle name="Обычный 7 3 2 4 2 3 5 2" xfId="28544"/>
    <cellStyle name="Обычный 7 3 2 4 2 3 6" xfId="28545"/>
    <cellStyle name="Обычный 7 3 2 4 2 3 7" xfId="28546"/>
    <cellStyle name="Обычный 7 3 2 4 2 4" xfId="28547"/>
    <cellStyle name="Обычный 7 3 2 4 2 4 2" xfId="28548"/>
    <cellStyle name="Обычный 7 3 2 4 2 4 2 2" xfId="28549"/>
    <cellStyle name="Обычный 7 3 2 4 2 4 2 3" xfId="28550"/>
    <cellStyle name="Обычный 7 3 2 4 2 4 3" xfId="28551"/>
    <cellStyle name="Обычный 7 3 2 4 2 4 3 2" xfId="28552"/>
    <cellStyle name="Обычный 7 3 2 4 2 4 3 3" xfId="28553"/>
    <cellStyle name="Обычный 7 3 2 4 2 4 4" xfId="28554"/>
    <cellStyle name="Обычный 7 3 2 4 2 4 4 2" xfId="28555"/>
    <cellStyle name="Обычный 7 3 2 4 2 4 5" xfId="28556"/>
    <cellStyle name="Обычный 7 3 2 4 2 4 6" xfId="28557"/>
    <cellStyle name="Обычный 7 3 2 4 2 5" xfId="28558"/>
    <cellStyle name="Обычный 7 3 2 4 2 5 2" xfId="28559"/>
    <cellStyle name="Обычный 7 3 2 4 2 5 3" xfId="28560"/>
    <cellStyle name="Обычный 7 3 2 4 2 6" xfId="28561"/>
    <cellStyle name="Обычный 7 3 2 4 2 6 2" xfId="28562"/>
    <cellStyle name="Обычный 7 3 2 4 2 6 3" xfId="28563"/>
    <cellStyle name="Обычный 7 3 2 4 2 7" xfId="28564"/>
    <cellStyle name="Обычный 7 3 2 4 2 7 2" xfId="28565"/>
    <cellStyle name="Обычный 7 3 2 4 2 8" xfId="28566"/>
    <cellStyle name="Обычный 7 3 2 4 2 9" xfId="28567"/>
    <cellStyle name="Обычный 7 3 2 4 3" xfId="28568"/>
    <cellStyle name="Обычный 7 3 2 4 3 2" xfId="28569"/>
    <cellStyle name="Обычный 7 3 2 4 3 2 2" xfId="28570"/>
    <cellStyle name="Обычный 7 3 2 4 3 2 2 2" xfId="28571"/>
    <cellStyle name="Обычный 7 3 2 4 3 2 2 2 2" xfId="28572"/>
    <cellStyle name="Обычный 7 3 2 4 3 2 2 2 3" xfId="28573"/>
    <cellStyle name="Обычный 7 3 2 4 3 2 2 3" xfId="28574"/>
    <cellStyle name="Обычный 7 3 2 4 3 2 2 3 2" xfId="28575"/>
    <cellStyle name="Обычный 7 3 2 4 3 2 2 3 3" xfId="28576"/>
    <cellStyle name="Обычный 7 3 2 4 3 2 2 4" xfId="28577"/>
    <cellStyle name="Обычный 7 3 2 4 3 2 2 4 2" xfId="28578"/>
    <cellStyle name="Обычный 7 3 2 4 3 2 2 5" xfId="28579"/>
    <cellStyle name="Обычный 7 3 2 4 3 2 2 6" xfId="28580"/>
    <cellStyle name="Обычный 7 3 2 4 3 2 3" xfId="28581"/>
    <cellStyle name="Обычный 7 3 2 4 3 2 3 2" xfId="28582"/>
    <cellStyle name="Обычный 7 3 2 4 3 2 3 3" xfId="28583"/>
    <cellStyle name="Обычный 7 3 2 4 3 2 4" xfId="28584"/>
    <cellStyle name="Обычный 7 3 2 4 3 2 4 2" xfId="28585"/>
    <cellStyle name="Обычный 7 3 2 4 3 2 4 3" xfId="28586"/>
    <cellStyle name="Обычный 7 3 2 4 3 2 5" xfId="28587"/>
    <cellStyle name="Обычный 7 3 2 4 3 2 5 2" xfId="28588"/>
    <cellStyle name="Обычный 7 3 2 4 3 2 6" xfId="28589"/>
    <cellStyle name="Обычный 7 3 2 4 3 2 7" xfId="28590"/>
    <cellStyle name="Обычный 7 3 2 4 3 3" xfId="28591"/>
    <cellStyle name="Обычный 7 3 2 4 3 3 2" xfId="28592"/>
    <cellStyle name="Обычный 7 3 2 4 3 3 2 2" xfId="28593"/>
    <cellStyle name="Обычный 7 3 2 4 3 3 2 3" xfId="28594"/>
    <cellStyle name="Обычный 7 3 2 4 3 3 3" xfId="28595"/>
    <cellStyle name="Обычный 7 3 2 4 3 3 3 2" xfId="28596"/>
    <cellStyle name="Обычный 7 3 2 4 3 3 3 3" xfId="28597"/>
    <cellStyle name="Обычный 7 3 2 4 3 3 4" xfId="28598"/>
    <cellStyle name="Обычный 7 3 2 4 3 3 4 2" xfId="28599"/>
    <cellStyle name="Обычный 7 3 2 4 3 3 5" xfId="28600"/>
    <cellStyle name="Обычный 7 3 2 4 3 3 6" xfId="28601"/>
    <cellStyle name="Обычный 7 3 2 4 3 4" xfId="28602"/>
    <cellStyle name="Обычный 7 3 2 4 3 4 2" xfId="28603"/>
    <cellStyle name="Обычный 7 3 2 4 3 4 3" xfId="28604"/>
    <cellStyle name="Обычный 7 3 2 4 3 5" xfId="28605"/>
    <cellStyle name="Обычный 7 3 2 4 3 5 2" xfId="28606"/>
    <cellStyle name="Обычный 7 3 2 4 3 5 3" xfId="28607"/>
    <cellStyle name="Обычный 7 3 2 4 3 6" xfId="28608"/>
    <cellStyle name="Обычный 7 3 2 4 3 6 2" xfId="28609"/>
    <cellStyle name="Обычный 7 3 2 4 3 7" xfId="28610"/>
    <cellStyle name="Обычный 7 3 2 4 3 8" xfId="28611"/>
    <cellStyle name="Обычный 7 3 2 4 4" xfId="28612"/>
    <cellStyle name="Обычный 7 3 2 4 4 2" xfId="28613"/>
    <cellStyle name="Обычный 7 3 2 4 4 2 2" xfId="28614"/>
    <cellStyle name="Обычный 7 3 2 4 4 2 2 2" xfId="28615"/>
    <cellStyle name="Обычный 7 3 2 4 4 2 2 3" xfId="28616"/>
    <cellStyle name="Обычный 7 3 2 4 4 2 3" xfId="28617"/>
    <cellStyle name="Обычный 7 3 2 4 4 2 3 2" xfId="28618"/>
    <cellStyle name="Обычный 7 3 2 4 4 2 3 3" xfId="28619"/>
    <cellStyle name="Обычный 7 3 2 4 4 2 4" xfId="28620"/>
    <cellStyle name="Обычный 7 3 2 4 4 2 4 2" xfId="28621"/>
    <cellStyle name="Обычный 7 3 2 4 4 2 5" xfId="28622"/>
    <cellStyle name="Обычный 7 3 2 4 4 2 6" xfId="28623"/>
    <cellStyle name="Обычный 7 3 2 4 4 3" xfId="28624"/>
    <cellStyle name="Обычный 7 3 2 4 4 3 2" xfId="28625"/>
    <cellStyle name="Обычный 7 3 2 4 4 3 3" xfId="28626"/>
    <cellStyle name="Обычный 7 3 2 4 4 4" xfId="28627"/>
    <cellStyle name="Обычный 7 3 2 4 4 4 2" xfId="28628"/>
    <cellStyle name="Обычный 7 3 2 4 4 4 3" xfId="28629"/>
    <cellStyle name="Обычный 7 3 2 4 4 5" xfId="28630"/>
    <cellStyle name="Обычный 7 3 2 4 4 5 2" xfId="28631"/>
    <cellStyle name="Обычный 7 3 2 4 4 6" xfId="28632"/>
    <cellStyle name="Обычный 7 3 2 4 4 7" xfId="28633"/>
    <cellStyle name="Обычный 7 3 2 4 5" xfId="28634"/>
    <cellStyle name="Обычный 7 3 2 4 5 2" xfId="28635"/>
    <cellStyle name="Обычный 7 3 2 4 5 2 2" xfId="28636"/>
    <cellStyle name="Обычный 7 3 2 4 5 2 3" xfId="28637"/>
    <cellStyle name="Обычный 7 3 2 4 5 3" xfId="28638"/>
    <cellStyle name="Обычный 7 3 2 4 5 3 2" xfId="28639"/>
    <cellStyle name="Обычный 7 3 2 4 5 3 3" xfId="28640"/>
    <cellStyle name="Обычный 7 3 2 4 5 4" xfId="28641"/>
    <cellStyle name="Обычный 7 3 2 4 5 4 2" xfId="28642"/>
    <cellStyle name="Обычный 7 3 2 4 5 5" xfId="28643"/>
    <cellStyle name="Обычный 7 3 2 4 5 6" xfId="28644"/>
    <cellStyle name="Обычный 7 3 2 4 6" xfId="28645"/>
    <cellStyle name="Обычный 7 3 2 4 6 2" xfId="28646"/>
    <cellStyle name="Обычный 7 3 2 4 6 3" xfId="28647"/>
    <cellStyle name="Обычный 7 3 2 4 7" xfId="28648"/>
    <cellStyle name="Обычный 7 3 2 4 7 2" xfId="28649"/>
    <cellStyle name="Обычный 7 3 2 4 7 3" xfId="28650"/>
    <cellStyle name="Обычный 7 3 2 4 8" xfId="28651"/>
    <cellStyle name="Обычный 7 3 2 4 8 2" xfId="28652"/>
    <cellStyle name="Обычный 7 3 2 4 9" xfId="28653"/>
    <cellStyle name="Обычный 7 3 2 5" xfId="28654"/>
    <cellStyle name="Обычный 7 3 2 5 2" xfId="28655"/>
    <cellStyle name="Обычный 7 3 2 5 2 2" xfId="28656"/>
    <cellStyle name="Обычный 7 3 2 5 2 2 2" xfId="28657"/>
    <cellStyle name="Обычный 7 3 2 5 2 2 2 2" xfId="28658"/>
    <cellStyle name="Обычный 7 3 2 5 2 2 2 2 2" xfId="28659"/>
    <cellStyle name="Обычный 7 3 2 5 2 2 2 2 3" xfId="28660"/>
    <cellStyle name="Обычный 7 3 2 5 2 2 2 3" xfId="28661"/>
    <cellStyle name="Обычный 7 3 2 5 2 2 2 3 2" xfId="28662"/>
    <cellStyle name="Обычный 7 3 2 5 2 2 2 3 3" xfId="28663"/>
    <cellStyle name="Обычный 7 3 2 5 2 2 2 4" xfId="28664"/>
    <cellStyle name="Обычный 7 3 2 5 2 2 2 4 2" xfId="28665"/>
    <cellStyle name="Обычный 7 3 2 5 2 2 2 5" xfId="28666"/>
    <cellStyle name="Обычный 7 3 2 5 2 2 2 6" xfId="28667"/>
    <cellStyle name="Обычный 7 3 2 5 2 2 3" xfId="28668"/>
    <cellStyle name="Обычный 7 3 2 5 2 2 3 2" xfId="28669"/>
    <cellStyle name="Обычный 7 3 2 5 2 2 3 3" xfId="28670"/>
    <cellStyle name="Обычный 7 3 2 5 2 2 4" xfId="28671"/>
    <cellStyle name="Обычный 7 3 2 5 2 2 4 2" xfId="28672"/>
    <cellStyle name="Обычный 7 3 2 5 2 2 4 3" xfId="28673"/>
    <cellStyle name="Обычный 7 3 2 5 2 2 5" xfId="28674"/>
    <cellStyle name="Обычный 7 3 2 5 2 2 5 2" xfId="28675"/>
    <cellStyle name="Обычный 7 3 2 5 2 2 6" xfId="28676"/>
    <cellStyle name="Обычный 7 3 2 5 2 2 7" xfId="28677"/>
    <cellStyle name="Обычный 7 3 2 5 2 3" xfId="28678"/>
    <cellStyle name="Обычный 7 3 2 5 2 3 2" xfId="28679"/>
    <cellStyle name="Обычный 7 3 2 5 2 3 2 2" xfId="28680"/>
    <cellStyle name="Обычный 7 3 2 5 2 3 2 3" xfId="28681"/>
    <cellStyle name="Обычный 7 3 2 5 2 3 3" xfId="28682"/>
    <cellStyle name="Обычный 7 3 2 5 2 3 3 2" xfId="28683"/>
    <cellStyle name="Обычный 7 3 2 5 2 3 3 3" xfId="28684"/>
    <cellStyle name="Обычный 7 3 2 5 2 3 4" xfId="28685"/>
    <cellStyle name="Обычный 7 3 2 5 2 3 4 2" xfId="28686"/>
    <cellStyle name="Обычный 7 3 2 5 2 3 5" xfId="28687"/>
    <cellStyle name="Обычный 7 3 2 5 2 3 6" xfId="28688"/>
    <cellStyle name="Обычный 7 3 2 5 2 4" xfId="28689"/>
    <cellStyle name="Обычный 7 3 2 5 2 4 2" xfId="28690"/>
    <cellStyle name="Обычный 7 3 2 5 2 4 3" xfId="28691"/>
    <cellStyle name="Обычный 7 3 2 5 2 5" xfId="28692"/>
    <cellStyle name="Обычный 7 3 2 5 2 5 2" xfId="28693"/>
    <cellStyle name="Обычный 7 3 2 5 2 5 3" xfId="28694"/>
    <cellStyle name="Обычный 7 3 2 5 2 6" xfId="28695"/>
    <cellStyle name="Обычный 7 3 2 5 2 6 2" xfId="28696"/>
    <cellStyle name="Обычный 7 3 2 5 2 7" xfId="28697"/>
    <cellStyle name="Обычный 7 3 2 5 2 8" xfId="28698"/>
    <cellStyle name="Обычный 7 3 2 5 3" xfId="28699"/>
    <cellStyle name="Обычный 7 3 2 5 3 2" xfId="28700"/>
    <cellStyle name="Обычный 7 3 2 5 3 2 2" xfId="28701"/>
    <cellStyle name="Обычный 7 3 2 5 3 2 2 2" xfId="28702"/>
    <cellStyle name="Обычный 7 3 2 5 3 2 2 3" xfId="28703"/>
    <cellStyle name="Обычный 7 3 2 5 3 2 3" xfId="28704"/>
    <cellStyle name="Обычный 7 3 2 5 3 2 3 2" xfId="28705"/>
    <cellStyle name="Обычный 7 3 2 5 3 2 3 3" xfId="28706"/>
    <cellStyle name="Обычный 7 3 2 5 3 2 4" xfId="28707"/>
    <cellStyle name="Обычный 7 3 2 5 3 2 4 2" xfId="28708"/>
    <cellStyle name="Обычный 7 3 2 5 3 2 5" xfId="28709"/>
    <cellStyle name="Обычный 7 3 2 5 3 2 6" xfId="28710"/>
    <cellStyle name="Обычный 7 3 2 5 3 3" xfId="28711"/>
    <cellStyle name="Обычный 7 3 2 5 3 3 2" xfId="28712"/>
    <cellStyle name="Обычный 7 3 2 5 3 3 3" xfId="28713"/>
    <cellStyle name="Обычный 7 3 2 5 3 4" xfId="28714"/>
    <cellStyle name="Обычный 7 3 2 5 3 4 2" xfId="28715"/>
    <cellStyle name="Обычный 7 3 2 5 3 4 3" xfId="28716"/>
    <cellStyle name="Обычный 7 3 2 5 3 5" xfId="28717"/>
    <cellStyle name="Обычный 7 3 2 5 3 5 2" xfId="28718"/>
    <cellStyle name="Обычный 7 3 2 5 3 6" xfId="28719"/>
    <cellStyle name="Обычный 7 3 2 5 3 7" xfId="28720"/>
    <cellStyle name="Обычный 7 3 2 5 4" xfId="28721"/>
    <cellStyle name="Обычный 7 3 2 5 4 2" xfId="28722"/>
    <cellStyle name="Обычный 7 3 2 5 4 2 2" xfId="28723"/>
    <cellStyle name="Обычный 7 3 2 5 4 2 3" xfId="28724"/>
    <cellStyle name="Обычный 7 3 2 5 4 3" xfId="28725"/>
    <cellStyle name="Обычный 7 3 2 5 4 3 2" xfId="28726"/>
    <cellStyle name="Обычный 7 3 2 5 4 3 3" xfId="28727"/>
    <cellStyle name="Обычный 7 3 2 5 4 4" xfId="28728"/>
    <cellStyle name="Обычный 7 3 2 5 4 4 2" xfId="28729"/>
    <cellStyle name="Обычный 7 3 2 5 4 5" xfId="28730"/>
    <cellStyle name="Обычный 7 3 2 5 4 6" xfId="28731"/>
    <cellStyle name="Обычный 7 3 2 5 5" xfId="28732"/>
    <cellStyle name="Обычный 7 3 2 5 5 2" xfId="28733"/>
    <cellStyle name="Обычный 7 3 2 5 5 3" xfId="28734"/>
    <cellStyle name="Обычный 7 3 2 5 6" xfId="28735"/>
    <cellStyle name="Обычный 7 3 2 5 6 2" xfId="28736"/>
    <cellStyle name="Обычный 7 3 2 5 6 3" xfId="28737"/>
    <cellStyle name="Обычный 7 3 2 5 7" xfId="28738"/>
    <cellStyle name="Обычный 7 3 2 5 7 2" xfId="28739"/>
    <cellStyle name="Обычный 7 3 2 5 8" xfId="28740"/>
    <cellStyle name="Обычный 7 3 2 5 9" xfId="28741"/>
    <cellStyle name="Обычный 7 3 2 6" xfId="28742"/>
    <cellStyle name="Обычный 7 3 2 6 2" xfId="28743"/>
    <cellStyle name="Обычный 7 3 2 6 2 2" xfId="28744"/>
    <cellStyle name="Обычный 7 3 2 6 2 2 2" xfId="28745"/>
    <cellStyle name="Обычный 7 3 2 6 2 2 2 2" xfId="28746"/>
    <cellStyle name="Обычный 7 3 2 6 2 2 2 3" xfId="28747"/>
    <cellStyle name="Обычный 7 3 2 6 2 2 3" xfId="28748"/>
    <cellStyle name="Обычный 7 3 2 6 2 2 3 2" xfId="28749"/>
    <cellStyle name="Обычный 7 3 2 6 2 2 3 3" xfId="28750"/>
    <cellStyle name="Обычный 7 3 2 6 2 2 4" xfId="28751"/>
    <cellStyle name="Обычный 7 3 2 6 2 2 4 2" xfId="28752"/>
    <cellStyle name="Обычный 7 3 2 6 2 2 5" xfId="28753"/>
    <cellStyle name="Обычный 7 3 2 6 2 2 6" xfId="28754"/>
    <cellStyle name="Обычный 7 3 2 6 2 3" xfId="28755"/>
    <cellStyle name="Обычный 7 3 2 6 2 3 2" xfId="28756"/>
    <cellStyle name="Обычный 7 3 2 6 2 3 3" xfId="28757"/>
    <cellStyle name="Обычный 7 3 2 6 2 4" xfId="28758"/>
    <cellStyle name="Обычный 7 3 2 6 2 4 2" xfId="28759"/>
    <cellStyle name="Обычный 7 3 2 6 2 4 3" xfId="28760"/>
    <cellStyle name="Обычный 7 3 2 6 2 5" xfId="28761"/>
    <cellStyle name="Обычный 7 3 2 6 2 5 2" xfId="28762"/>
    <cellStyle name="Обычный 7 3 2 6 2 6" xfId="28763"/>
    <cellStyle name="Обычный 7 3 2 6 2 7" xfId="28764"/>
    <cellStyle name="Обычный 7 3 2 6 3" xfId="28765"/>
    <cellStyle name="Обычный 7 3 2 6 3 2" xfId="28766"/>
    <cellStyle name="Обычный 7 3 2 6 3 2 2" xfId="28767"/>
    <cellStyle name="Обычный 7 3 2 6 3 2 3" xfId="28768"/>
    <cellStyle name="Обычный 7 3 2 6 3 3" xfId="28769"/>
    <cellStyle name="Обычный 7 3 2 6 3 3 2" xfId="28770"/>
    <cellStyle name="Обычный 7 3 2 6 3 3 3" xfId="28771"/>
    <cellStyle name="Обычный 7 3 2 6 3 4" xfId="28772"/>
    <cellStyle name="Обычный 7 3 2 6 3 4 2" xfId="28773"/>
    <cellStyle name="Обычный 7 3 2 6 3 5" xfId="28774"/>
    <cellStyle name="Обычный 7 3 2 6 3 6" xfId="28775"/>
    <cellStyle name="Обычный 7 3 2 6 4" xfId="28776"/>
    <cellStyle name="Обычный 7 3 2 6 4 2" xfId="28777"/>
    <cellStyle name="Обычный 7 3 2 6 4 3" xfId="28778"/>
    <cellStyle name="Обычный 7 3 2 6 5" xfId="28779"/>
    <cellStyle name="Обычный 7 3 2 6 5 2" xfId="28780"/>
    <cellStyle name="Обычный 7 3 2 6 5 3" xfId="28781"/>
    <cellStyle name="Обычный 7 3 2 6 6" xfId="28782"/>
    <cellStyle name="Обычный 7 3 2 6 6 2" xfId="28783"/>
    <cellStyle name="Обычный 7 3 2 6 7" xfId="28784"/>
    <cellStyle name="Обычный 7 3 2 6 8" xfId="28785"/>
    <cellStyle name="Обычный 7 3 2 7" xfId="28786"/>
    <cellStyle name="Обычный 7 3 2 7 2" xfId="28787"/>
    <cellStyle name="Обычный 7 3 2 7 2 2" xfId="28788"/>
    <cellStyle name="Обычный 7 3 2 7 2 2 2" xfId="28789"/>
    <cellStyle name="Обычный 7 3 2 7 2 2 3" xfId="28790"/>
    <cellStyle name="Обычный 7 3 2 7 2 3" xfId="28791"/>
    <cellStyle name="Обычный 7 3 2 7 2 3 2" xfId="28792"/>
    <cellStyle name="Обычный 7 3 2 7 2 3 3" xfId="28793"/>
    <cellStyle name="Обычный 7 3 2 7 2 4" xfId="28794"/>
    <cellStyle name="Обычный 7 3 2 7 2 4 2" xfId="28795"/>
    <cellStyle name="Обычный 7 3 2 7 2 5" xfId="28796"/>
    <cellStyle name="Обычный 7 3 2 7 2 6" xfId="28797"/>
    <cellStyle name="Обычный 7 3 2 7 3" xfId="28798"/>
    <cellStyle name="Обычный 7 3 2 7 3 2" xfId="28799"/>
    <cellStyle name="Обычный 7 3 2 7 3 3" xfId="28800"/>
    <cellStyle name="Обычный 7 3 2 7 4" xfId="28801"/>
    <cellStyle name="Обычный 7 3 2 7 4 2" xfId="28802"/>
    <cellStyle name="Обычный 7 3 2 7 4 3" xfId="28803"/>
    <cellStyle name="Обычный 7 3 2 7 5" xfId="28804"/>
    <cellStyle name="Обычный 7 3 2 7 5 2" xfId="28805"/>
    <cellStyle name="Обычный 7 3 2 7 6" xfId="28806"/>
    <cellStyle name="Обычный 7 3 2 7 7" xfId="28807"/>
    <cellStyle name="Обычный 7 3 2 8" xfId="28808"/>
    <cellStyle name="Обычный 7 3 2 8 2" xfId="28809"/>
    <cellStyle name="Обычный 7 3 2 8 2 2" xfId="28810"/>
    <cellStyle name="Обычный 7 3 2 8 2 3" xfId="28811"/>
    <cellStyle name="Обычный 7 3 2 8 3" xfId="28812"/>
    <cellStyle name="Обычный 7 3 2 8 3 2" xfId="28813"/>
    <cellStyle name="Обычный 7 3 2 8 3 3" xfId="28814"/>
    <cellStyle name="Обычный 7 3 2 8 4" xfId="28815"/>
    <cellStyle name="Обычный 7 3 2 8 4 2" xfId="28816"/>
    <cellStyle name="Обычный 7 3 2 8 5" xfId="28817"/>
    <cellStyle name="Обычный 7 3 2 8 6" xfId="28818"/>
    <cellStyle name="Обычный 7 3 2 9" xfId="28819"/>
    <cellStyle name="Обычный 7 3 2 9 2" xfId="28820"/>
    <cellStyle name="Обычный 7 3 2 9 3" xfId="28821"/>
    <cellStyle name="Обычный 7 3 3" xfId="28822"/>
    <cellStyle name="Обычный 7 3 3 10" xfId="28823"/>
    <cellStyle name="Обычный 7 3 3 2" xfId="28824"/>
    <cellStyle name="Обычный 7 3 3 2 2" xfId="28825"/>
    <cellStyle name="Обычный 7 3 3 2 2 2" xfId="28826"/>
    <cellStyle name="Обычный 7 3 3 2 2 2 2" xfId="28827"/>
    <cellStyle name="Обычный 7 3 3 2 2 2 2 2" xfId="28828"/>
    <cellStyle name="Обычный 7 3 3 2 2 2 2 2 2" xfId="28829"/>
    <cellStyle name="Обычный 7 3 3 2 2 2 2 2 3" xfId="28830"/>
    <cellStyle name="Обычный 7 3 3 2 2 2 2 3" xfId="28831"/>
    <cellStyle name="Обычный 7 3 3 2 2 2 2 3 2" xfId="28832"/>
    <cellStyle name="Обычный 7 3 3 2 2 2 2 3 3" xfId="28833"/>
    <cellStyle name="Обычный 7 3 3 2 2 2 2 4" xfId="28834"/>
    <cellStyle name="Обычный 7 3 3 2 2 2 2 4 2" xfId="28835"/>
    <cellStyle name="Обычный 7 3 3 2 2 2 2 5" xfId="28836"/>
    <cellStyle name="Обычный 7 3 3 2 2 2 2 6" xfId="28837"/>
    <cellStyle name="Обычный 7 3 3 2 2 2 3" xfId="28838"/>
    <cellStyle name="Обычный 7 3 3 2 2 2 3 2" xfId="28839"/>
    <cellStyle name="Обычный 7 3 3 2 2 2 3 3" xfId="28840"/>
    <cellStyle name="Обычный 7 3 3 2 2 2 4" xfId="28841"/>
    <cellStyle name="Обычный 7 3 3 2 2 2 4 2" xfId="28842"/>
    <cellStyle name="Обычный 7 3 3 2 2 2 4 3" xfId="28843"/>
    <cellStyle name="Обычный 7 3 3 2 2 2 5" xfId="28844"/>
    <cellStyle name="Обычный 7 3 3 2 2 2 5 2" xfId="28845"/>
    <cellStyle name="Обычный 7 3 3 2 2 2 6" xfId="28846"/>
    <cellStyle name="Обычный 7 3 3 2 2 2 7" xfId="28847"/>
    <cellStyle name="Обычный 7 3 3 2 2 3" xfId="28848"/>
    <cellStyle name="Обычный 7 3 3 2 2 3 2" xfId="28849"/>
    <cellStyle name="Обычный 7 3 3 2 2 3 2 2" xfId="28850"/>
    <cellStyle name="Обычный 7 3 3 2 2 3 2 3" xfId="28851"/>
    <cellStyle name="Обычный 7 3 3 2 2 3 3" xfId="28852"/>
    <cellStyle name="Обычный 7 3 3 2 2 3 3 2" xfId="28853"/>
    <cellStyle name="Обычный 7 3 3 2 2 3 3 3" xfId="28854"/>
    <cellStyle name="Обычный 7 3 3 2 2 3 4" xfId="28855"/>
    <cellStyle name="Обычный 7 3 3 2 2 3 4 2" xfId="28856"/>
    <cellStyle name="Обычный 7 3 3 2 2 3 5" xfId="28857"/>
    <cellStyle name="Обычный 7 3 3 2 2 3 6" xfId="28858"/>
    <cellStyle name="Обычный 7 3 3 2 2 4" xfId="28859"/>
    <cellStyle name="Обычный 7 3 3 2 2 4 2" xfId="28860"/>
    <cellStyle name="Обычный 7 3 3 2 2 4 3" xfId="28861"/>
    <cellStyle name="Обычный 7 3 3 2 2 5" xfId="28862"/>
    <cellStyle name="Обычный 7 3 3 2 2 5 2" xfId="28863"/>
    <cellStyle name="Обычный 7 3 3 2 2 5 3" xfId="28864"/>
    <cellStyle name="Обычный 7 3 3 2 2 6" xfId="28865"/>
    <cellStyle name="Обычный 7 3 3 2 2 6 2" xfId="28866"/>
    <cellStyle name="Обычный 7 3 3 2 2 7" xfId="28867"/>
    <cellStyle name="Обычный 7 3 3 2 2 8" xfId="28868"/>
    <cellStyle name="Обычный 7 3 3 2 3" xfId="28869"/>
    <cellStyle name="Обычный 7 3 3 2 3 2" xfId="28870"/>
    <cellStyle name="Обычный 7 3 3 2 3 2 2" xfId="28871"/>
    <cellStyle name="Обычный 7 3 3 2 3 2 2 2" xfId="28872"/>
    <cellStyle name="Обычный 7 3 3 2 3 2 2 3" xfId="28873"/>
    <cellStyle name="Обычный 7 3 3 2 3 2 3" xfId="28874"/>
    <cellStyle name="Обычный 7 3 3 2 3 2 3 2" xfId="28875"/>
    <cellStyle name="Обычный 7 3 3 2 3 2 3 3" xfId="28876"/>
    <cellStyle name="Обычный 7 3 3 2 3 2 4" xfId="28877"/>
    <cellStyle name="Обычный 7 3 3 2 3 2 4 2" xfId="28878"/>
    <cellStyle name="Обычный 7 3 3 2 3 2 5" xfId="28879"/>
    <cellStyle name="Обычный 7 3 3 2 3 2 6" xfId="28880"/>
    <cellStyle name="Обычный 7 3 3 2 3 3" xfId="28881"/>
    <cellStyle name="Обычный 7 3 3 2 3 3 2" xfId="28882"/>
    <cellStyle name="Обычный 7 3 3 2 3 3 3" xfId="28883"/>
    <cellStyle name="Обычный 7 3 3 2 3 4" xfId="28884"/>
    <cellStyle name="Обычный 7 3 3 2 3 4 2" xfId="28885"/>
    <cellStyle name="Обычный 7 3 3 2 3 4 3" xfId="28886"/>
    <cellStyle name="Обычный 7 3 3 2 3 5" xfId="28887"/>
    <cellStyle name="Обычный 7 3 3 2 3 5 2" xfId="28888"/>
    <cellStyle name="Обычный 7 3 3 2 3 6" xfId="28889"/>
    <cellStyle name="Обычный 7 3 3 2 3 7" xfId="28890"/>
    <cellStyle name="Обычный 7 3 3 2 4" xfId="28891"/>
    <cellStyle name="Обычный 7 3 3 2 4 2" xfId="28892"/>
    <cellStyle name="Обычный 7 3 3 2 4 2 2" xfId="28893"/>
    <cellStyle name="Обычный 7 3 3 2 4 2 3" xfId="28894"/>
    <cellStyle name="Обычный 7 3 3 2 4 3" xfId="28895"/>
    <cellStyle name="Обычный 7 3 3 2 4 3 2" xfId="28896"/>
    <cellStyle name="Обычный 7 3 3 2 4 3 3" xfId="28897"/>
    <cellStyle name="Обычный 7 3 3 2 4 4" xfId="28898"/>
    <cellStyle name="Обычный 7 3 3 2 4 4 2" xfId="28899"/>
    <cellStyle name="Обычный 7 3 3 2 4 5" xfId="28900"/>
    <cellStyle name="Обычный 7 3 3 2 4 6" xfId="28901"/>
    <cellStyle name="Обычный 7 3 3 2 5" xfId="28902"/>
    <cellStyle name="Обычный 7 3 3 2 5 2" xfId="28903"/>
    <cellStyle name="Обычный 7 3 3 2 5 3" xfId="28904"/>
    <cellStyle name="Обычный 7 3 3 2 6" xfId="28905"/>
    <cellStyle name="Обычный 7 3 3 2 6 2" xfId="28906"/>
    <cellStyle name="Обычный 7 3 3 2 6 3" xfId="28907"/>
    <cellStyle name="Обычный 7 3 3 2 7" xfId="28908"/>
    <cellStyle name="Обычный 7 3 3 2 7 2" xfId="28909"/>
    <cellStyle name="Обычный 7 3 3 2 8" xfId="28910"/>
    <cellStyle name="Обычный 7 3 3 2 9" xfId="28911"/>
    <cellStyle name="Обычный 7 3 3 3" xfId="28912"/>
    <cellStyle name="Обычный 7 3 3 3 2" xfId="28913"/>
    <cellStyle name="Обычный 7 3 3 3 2 2" xfId="28914"/>
    <cellStyle name="Обычный 7 3 3 3 2 2 2" xfId="28915"/>
    <cellStyle name="Обычный 7 3 3 3 2 2 2 2" xfId="28916"/>
    <cellStyle name="Обычный 7 3 3 3 2 2 2 3" xfId="28917"/>
    <cellStyle name="Обычный 7 3 3 3 2 2 3" xfId="28918"/>
    <cellStyle name="Обычный 7 3 3 3 2 2 3 2" xfId="28919"/>
    <cellStyle name="Обычный 7 3 3 3 2 2 3 3" xfId="28920"/>
    <cellStyle name="Обычный 7 3 3 3 2 2 4" xfId="28921"/>
    <cellStyle name="Обычный 7 3 3 3 2 2 4 2" xfId="28922"/>
    <cellStyle name="Обычный 7 3 3 3 2 2 5" xfId="28923"/>
    <cellStyle name="Обычный 7 3 3 3 2 2 6" xfId="28924"/>
    <cellStyle name="Обычный 7 3 3 3 2 3" xfId="28925"/>
    <cellStyle name="Обычный 7 3 3 3 2 3 2" xfId="28926"/>
    <cellStyle name="Обычный 7 3 3 3 2 3 3" xfId="28927"/>
    <cellStyle name="Обычный 7 3 3 3 2 4" xfId="28928"/>
    <cellStyle name="Обычный 7 3 3 3 2 4 2" xfId="28929"/>
    <cellStyle name="Обычный 7 3 3 3 2 4 3" xfId="28930"/>
    <cellStyle name="Обычный 7 3 3 3 2 5" xfId="28931"/>
    <cellStyle name="Обычный 7 3 3 3 2 5 2" xfId="28932"/>
    <cellStyle name="Обычный 7 3 3 3 2 6" xfId="28933"/>
    <cellStyle name="Обычный 7 3 3 3 2 7" xfId="28934"/>
    <cellStyle name="Обычный 7 3 3 3 3" xfId="28935"/>
    <cellStyle name="Обычный 7 3 3 3 3 2" xfId="28936"/>
    <cellStyle name="Обычный 7 3 3 3 3 2 2" xfId="28937"/>
    <cellStyle name="Обычный 7 3 3 3 3 2 3" xfId="28938"/>
    <cellStyle name="Обычный 7 3 3 3 3 3" xfId="28939"/>
    <cellStyle name="Обычный 7 3 3 3 3 3 2" xfId="28940"/>
    <cellStyle name="Обычный 7 3 3 3 3 3 3" xfId="28941"/>
    <cellStyle name="Обычный 7 3 3 3 3 4" xfId="28942"/>
    <cellStyle name="Обычный 7 3 3 3 3 4 2" xfId="28943"/>
    <cellStyle name="Обычный 7 3 3 3 3 5" xfId="28944"/>
    <cellStyle name="Обычный 7 3 3 3 3 6" xfId="28945"/>
    <cellStyle name="Обычный 7 3 3 3 4" xfId="28946"/>
    <cellStyle name="Обычный 7 3 3 3 4 2" xfId="28947"/>
    <cellStyle name="Обычный 7 3 3 3 4 3" xfId="28948"/>
    <cellStyle name="Обычный 7 3 3 3 5" xfId="28949"/>
    <cellStyle name="Обычный 7 3 3 3 5 2" xfId="28950"/>
    <cellStyle name="Обычный 7 3 3 3 5 3" xfId="28951"/>
    <cellStyle name="Обычный 7 3 3 3 6" xfId="28952"/>
    <cellStyle name="Обычный 7 3 3 3 6 2" xfId="28953"/>
    <cellStyle name="Обычный 7 3 3 3 7" xfId="28954"/>
    <cellStyle name="Обычный 7 3 3 3 8" xfId="28955"/>
    <cellStyle name="Обычный 7 3 3 4" xfId="28956"/>
    <cellStyle name="Обычный 7 3 3 4 2" xfId="28957"/>
    <cellStyle name="Обычный 7 3 3 4 2 2" xfId="28958"/>
    <cellStyle name="Обычный 7 3 3 4 2 2 2" xfId="28959"/>
    <cellStyle name="Обычный 7 3 3 4 2 2 3" xfId="28960"/>
    <cellStyle name="Обычный 7 3 3 4 2 3" xfId="28961"/>
    <cellStyle name="Обычный 7 3 3 4 2 3 2" xfId="28962"/>
    <cellStyle name="Обычный 7 3 3 4 2 3 3" xfId="28963"/>
    <cellStyle name="Обычный 7 3 3 4 2 4" xfId="28964"/>
    <cellStyle name="Обычный 7 3 3 4 2 4 2" xfId="28965"/>
    <cellStyle name="Обычный 7 3 3 4 2 5" xfId="28966"/>
    <cellStyle name="Обычный 7 3 3 4 2 6" xfId="28967"/>
    <cellStyle name="Обычный 7 3 3 4 3" xfId="28968"/>
    <cellStyle name="Обычный 7 3 3 4 3 2" xfId="28969"/>
    <cellStyle name="Обычный 7 3 3 4 3 3" xfId="28970"/>
    <cellStyle name="Обычный 7 3 3 4 4" xfId="28971"/>
    <cellStyle name="Обычный 7 3 3 4 4 2" xfId="28972"/>
    <cellStyle name="Обычный 7 3 3 4 4 3" xfId="28973"/>
    <cellStyle name="Обычный 7 3 3 4 5" xfId="28974"/>
    <cellStyle name="Обычный 7 3 3 4 5 2" xfId="28975"/>
    <cellStyle name="Обычный 7 3 3 4 6" xfId="28976"/>
    <cellStyle name="Обычный 7 3 3 4 7" xfId="28977"/>
    <cellStyle name="Обычный 7 3 3 5" xfId="28978"/>
    <cellStyle name="Обычный 7 3 3 5 2" xfId="28979"/>
    <cellStyle name="Обычный 7 3 3 5 2 2" xfId="28980"/>
    <cellStyle name="Обычный 7 3 3 5 2 3" xfId="28981"/>
    <cellStyle name="Обычный 7 3 3 5 3" xfId="28982"/>
    <cellStyle name="Обычный 7 3 3 5 3 2" xfId="28983"/>
    <cellStyle name="Обычный 7 3 3 5 3 3" xfId="28984"/>
    <cellStyle name="Обычный 7 3 3 5 4" xfId="28985"/>
    <cellStyle name="Обычный 7 3 3 5 4 2" xfId="28986"/>
    <cellStyle name="Обычный 7 3 3 5 5" xfId="28987"/>
    <cellStyle name="Обычный 7 3 3 5 6" xfId="28988"/>
    <cellStyle name="Обычный 7 3 3 6" xfId="28989"/>
    <cellStyle name="Обычный 7 3 3 6 2" xfId="28990"/>
    <cellStyle name="Обычный 7 3 3 6 3" xfId="28991"/>
    <cellStyle name="Обычный 7 3 3 7" xfId="28992"/>
    <cellStyle name="Обычный 7 3 3 7 2" xfId="28993"/>
    <cellStyle name="Обычный 7 3 3 7 3" xfId="28994"/>
    <cellStyle name="Обычный 7 3 3 8" xfId="28995"/>
    <cellStyle name="Обычный 7 3 3 8 2" xfId="28996"/>
    <cellStyle name="Обычный 7 3 3 9" xfId="28997"/>
    <cellStyle name="Обычный 7 3 4" xfId="28998"/>
    <cellStyle name="Обычный 7 3 4 10" xfId="28999"/>
    <cellStyle name="Обычный 7 3 4 2" xfId="29000"/>
    <cellStyle name="Обычный 7 3 4 2 2" xfId="29001"/>
    <cellStyle name="Обычный 7 3 4 2 2 2" xfId="29002"/>
    <cellStyle name="Обычный 7 3 4 2 2 2 2" xfId="29003"/>
    <cellStyle name="Обычный 7 3 4 2 2 2 2 2" xfId="29004"/>
    <cellStyle name="Обычный 7 3 4 2 2 2 2 2 2" xfId="29005"/>
    <cellStyle name="Обычный 7 3 4 2 2 2 2 2 3" xfId="29006"/>
    <cellStyle name="Обычный 7 3 4 2 2 2 2 3" xfId="29007"/>
    <cellStyle name="Обычный 7 3 4 2 2 2 2 3 2" xfId="29008"/>
    <cellStyle name="Обычный 7 3 4 2 2 2 2 3 3" xfId="29009"/>
    <cellStyle name="Обычный 7 3 4 2 2 2 2 4" xfId="29010"/>
    <cellStyle name="Обычный 7 3 4 2 2 2 2 4 2" xfId="29011"/>
    <cellStyle name="Обычный 7 3 4 2 2 2 2 5" xfId="29012"/>
    <cellStyle name="Обычный 7 3 4 2 2 2 2 6" xfId="29013"/>
    <cellStyle name="Обычный 7 3 4 2 2 2 3" xfId="29014"/>
    <cellStyle name="Обычный 7 3 4 2 2 2 3 2" xfId="29015"/>
    <cellStyle name="Обычный 7 3 4 2 2 2 3 3" xfId="29016"/>
    <cellStyle name="Обычный 7 3 4 2 2 2 4" xfId="29017"/>
    <cellStyle name="Обычный 7 3 4 2 2 2 4 2" xfId="29018"/>
    <cellStyle name="Обычный 7 3 4 2 2 2 4 3" xfId="29019"/>
    <cellStyle name="Обычный 7 3 4 2 2 2 5" xfId="29020"/>
    <cellStyle name="Обычный 7 3 4 2 2 2 5 2" xfId="29021"/>
    <cellStyle name="Обычный 7 3 4 2 2 2 6" xfId="29022"/>
    <cellStyle name="Обычный 7 3 4 2 2 2 7" xfId="29023"/>
    <cellStyle name="Обычный 7 3 4 2 2 3" xfId="29024"/>
    <cellStyle name="Обычный 7 3 4 2 2 3 2" xfId="29025"/>
    <cellStyle name="Обычный 7 3 4 2 2 3 2 2" xfId="29026"/>
    <cellStyle name="Обычный 7 3 4 2 2 3 2 3" xfId="29027"/>
    <cellStyle name="Обычный 7 3 4 2 2 3 3" xfId="29028"/>
    <cellStyle name="Обычный 7 3 4 2 2 3 3 2" xfId="29029"/>
    <cellStyle name="Обычный 7 3 4 2 2 3 3 3" xfId="29030"/>
    <cellStyle name="Обычный 7 3 4 2 2 3 4" xfId="29031"/>
    <cellStyle name="Обычный 7 3 4 2 2 3 4 2" xfId="29032"/>
    <cellStyle name="Обычный 7 3 4 2 2 3 5" xfId="29033"/>
    <cellStyle name="Обычный 7 3 4 2 2 3 6" xfId="29034"/>
    <cellStyle name="Обычный 7 3 4 2 2 4" xfId="29035"/>
    <cellStyle name="Обычный 7 3 4 2 2 4 2" xfId="29036"/>
    <cellStyle name="Обычный 7 3 4 2 2 4 3" xfId="29037"/>
    <cellStyle name="Обычный 7 3 4 2 2 5" xfId="29038"/>
    <cellStyle name="Обычный 7 3 4 2 2 5 2" xfId="29039"/>
    <cellStyle name="Обычный 7 3 4 2 2 5 3" xfId="29040"/>
    <cellStyle name="Обычный 7 3 4 2 2 6" xfId="29041"/>
    <cellStyle name="Обычный 7 3 4 2 2 6 2" xfId="29042"/>
    <cellStyle name="Обычный 7 3 4 2 2 7" xfId="29043"/>
    <cellStyle name="Обычный 7 3 4 2 2 8" xfId="29044"/>
    <cellStyle name="Обычный 7 3 4 2 3" xfId="29045"/>
    <cellStyle name="Обычный 7 3 4 2 3 2" xfId="29046"/>
    <cellStyle name="Обычный 7 3 4 2 3 2 2" xfId="29047"/>
    <cellStyle name="Обычный 7 3 4 2 3 2 2 2" xfId="29048"/>
    <cellStyle name="Обычный 7 3 4 2 3 2 2 3" xfId="29049"/>
    <cellStyle name="Обычный 7 3 4 2 3 2 3" xfId="29050"/>
    <cellStyle name="Обычный 7 3 4 2 3 2 3 2" xfId="29051"/>
    <cellStyle name="Обычный 7 3 4 2 3 2 3 3" xfId="29052"/>
    <cellStyle name="Обычный 7 3 4 2 3 2 4" xfId="29053"/>
    <cellStyle name="Обычный 7 3 4 2 3 2 4 2" xfId="29054"/>
    <cellStyle name="Обычный 7 3 4 2 3 2 5" xfId="29055"/>
    <cellStyle name="Обычный 7 3 4 2 3 2 6" xfId="29056"/>
    <cellStyle name="Обычный 7 3 4 2 3 3" xfId="29057"/>
    <cellStyle name="Обычный 7 3 4 2 3 3 2" xfId="29058"/>
    <cellStyle name="Обычный 7 3 4 2 3 3 3" xfId="29059"/>
    <cellStyle name="Обычный 7 3 4 2 3 4" xfId="29060"/>
    <cellStyle name="Обычный 7 3 4 2 3 4 2" xfId="29061"/>
    <cellStyle name="Обычный 7 3 4 2 3 4 3" xfId="29062"/>
    <cellStyle name="Обычный 7 3 4 2 3 5" xfId="29063"/>
    <cellStyle name="Обычный 7 3 4 2 3 5 2" xfId="29064"/>
    <cellStyle name="Обычный 7 3 4 2 3 6" xfId="29065"/>
    <cellStyle name="Обычный 7 3 4 2 3 7" xfId="29066"/>
    <cellStyle name="Обычный 7 3 4 2 4" xfId="29067"/>
    <cellStyle name="Обычный 7 3 4 2 4 2" xfId="29068"/>
    <cellStyle name="Обычный 7 3 4 2 4 2 2" xfId="29069"/>
    <cellStyle name="Обычный 7 3 4 2 4 2 3" xfId="29070"/>
    <cellStyle name="Обычный 7 3 4 2 4 3" xfId="29071"/>
    <cellStyle name="Обычный 7 3 4 2 4 3 2" xfId="29072"/>
    <cellStyle name="Обычный 7 3 4 2 4 3 3" xfId="29073"/>
    <cellStyle name="Обычный 7 3 4 2 4 4" xfId="29074"/>
    <cellStyle name="Обычный 7 3 4 2 4 4 2" xfId="29075"/>
    <cellStyle name="Обычный 7 3 4 2 4 5" xfId="29076"/>
    <cellStyle name="Обычный 7 3 4 2 4 6" xfId="29077"/>
    <cellStyle name="Обычный 7 3 4 2 5" xfId="29078"/>
    <cellStyle name="Обычный 7 3 4 2 5 2" xfId="29079"/>
    <cellStyle name="Обычный 7 3 4 2 5 3" xfId="29080"/>
    <cellStyle name="Обычный 7 3 4 2 6" xfId="29081"/>
    <cellStyle name="Обычный 7 3 4 2 6 2" xfId="29082"/>
    <cellStyle name="Обычный 7 3 4 2 6 3" xfId="29083"/>
    <cellStyle name="Обычный 7 3 4 2 7" xfId="29084"/>
    <cellStyle name="Обычный 7 3 4 2 7 2" xfId="29085"/>
    <cellStyle name="Обычный 7 3 4 2 8" xfId="29086"/>
    <cellStyle name="Обычный 7 3 4 2 9" xfId="29087"/>
    <cellStyle name="Обычный 7 3 4 3" xfId="29088"/>
    <cellStyle name="Обычный 7 3 4 3 2" xfId="29089"/>
    <cellStyle name="Обычный 7 3 4 3 2 2" xfId="29090"/>
    <cellStyle name="Обычный 7 3 4 3 2 2 2" xfId="29091"/>
    <cellStyle name="Обычный 7 3 4 3 2 2 2 2" xfId="29092"/>
    <cellStyle name="Обычный 7 3 4 3 2 2 2 3" xfId="29093"/>
    <cellStyle name="Обычный 7 3 4 3 2 2 3" xfId="29094"/>
    <cellStyle name="Обычный 7 3 4 3 2 2 3 2" xfId="29095"/>
    <cellStyle name="Обычный 7 3 4 3 2 2 3 3" xfId="29096"/>
    <cellStyle name="Обычный 7 3 4 3 2 2 4" xfId="29097"/>
    <cellStyle name="Обычный 7 3 4 3 2 2 4 2" xfId="29098"/>
    <cellStyle name="Обычный 7 3 4 3 2 2 5" xfId="29099"/>
    <cellStyle name="Обычный 7 3 4 3 2 2 6" xfId="29100"/>
    <cellStyle name="Обычный 7 3 4 3 2 3" xfId="29101"/>
    <cellStyle name="Обычный 7 3 4 3 2 3 2" xfId="29102"/>
    <cellStyle name="Обычный 7 3 4 3 2 3 3" xfId="29103"/>
    <cellStyle name="Обычный 7 3 4 3 2 4" xfId="29104"/>
    <cellStyle name="Обычный 7 3 4 3 2 4 2" xfId="29105"/>
    <cellStyle name="Обычный 7 3 4 3 2 4 3" xfId="29106"/>
    <cellStyle name="Обычный 7 3 4 3 2 5" xfId="29107"/>
    <cellStyle name="Обычный 7 3 4 3 2 5 2" xfId="29108"/>
    <cellStyle name="Обычный 7 3 4 3 2 6" xfId="29109"/>
    <cellStyle name="Обычный 7 3 4 3 2 7" xfId="29110"/>
    <cellStyle name="Обычный 7 3 4 3 3" xfId="29111"/>
    <cellStyle name="Обычный 7 3 4 3 3 2" xfId="29112"/>
    <cellStyle name="Обычный 7 3 4 3 3 2 2" xfId="29113"/>
    <cellStyle name="Обычный 7 3 4 3 3 2 3" xfId="29114"/>
    <cellStyle name="Обычный 7 3 4 3 3 3" xfId="29115"/>
    <cellStyle name="Обычный 7 3 4 3 3 3 2" xfId="29116"/>
    <cellStyle name="Обычный 7 3 4 3 3 3 3" xfId="29117"/>
    <cellStyle name="Обычный 7 3 4 3 3 4" xfId="29118"/>
    <cellStyle name="Обычный 7 3 4 3 3 4 2" xfId="29119"/>
    <cellStyle name="Обычный 7 3 4 3 3 5" xfId="29120"/>
    <cellStyle name="Обычный 7 3 4 3 3 6" xfId="29121"/>
    <cellStyle name="Обычный 7 3 4 3 4" xfId="29122"/>
    <cellStyle name="Обычный 7 3 4 3 4 2" xfId="29123"/>
    <cellStyle name="Обычный 7 3 4 3 4 3" xfId="29124"/>
    <cellStyle name="Обычный 7 3 4 3 5" xfId="29125"/>
    <cellStyle name="Обычный 7 3 4 3 5 2" xfId="29126"/>
    <cellStyle name="Обычный 7 3 4 3 5 3" xfId="29127"/>
    <cellStyle name="Обычный 7 3 4 3 6" xfId="29128"/>
    <cellStyle name="Обычный 7 3 4 3 6 2" xfId="29129"/>
    <cellStyle name="Обычный 7 3 4 3 7" xfId="29130"/>
    <cellStyle name="Обычный 7 3 4 3 8" xfId="29131"/>
    <cellStyle name="Обычный 7 3 4 4" xfId="29132"/>
    <cellStyle name="Обычный 7 3 4 4 2" xfId="29133"/>
    <cellStyle name="Обычный 7 3 4 4 2 2" xfId="29134"/>
    <cellStyle name="Обычный 7 3 4 4 2 2 2" xfId="29135"/>
    <cellStyle name="Обычный 7 3 4 4 2 2 3" xfId="29136"/>
    <cellStyle name="Обычный 7 3 4 4 2 3" xfId="29137"/>
    <cellStyle name="Обычный 7 3 4 4 2 3 2" xfId="29138"/>
    <cellStyle name="Обычный 7 3 4 4 2 3 3" xfId="29139"/>
    <cellStyle name="Обычный 7 3 4 4 2 4" xfId="29140"/>
    <cellStyle name="Обычный 7 3 4 4 2 4 2" xfId="29141"/>
    <cellStyle name="Обычный 7 3 4 4 2 5" xfId="29142"/>
    <cellStyle name="Обычный 7 3 4 4 2 6" xfId="29143"/>
    <cellStyle name="Обычный 7 3 4 4 3" xfId="29144"/>
    <cellStyle name="Обычный 7 3 4 4 3 2" xfId="29145"/>
    <cellStyle name="Обычный 7 3 4 4 3 3" xfId="29146"/>
    <cellStyle name="Обычный 7 3 4 4 4" xfId="29147"/>
    <cellStyle name="Обычный 7 3 4 4 4 2" xfId="29148"/>
    <cellStyle name="Обычный 7 3 4 4 4 3" xfId="29149"/>
    <cellStyle name="Обычный 7 3 4 4 5" xfId="29150"/>
    <cellStyle name="Обычный 7 3 4 4 5 2" xfId="29151"/>
    <cellStyle name="Обычный 7 3 4 4 6" xfId="29152"/>
    <cellStyle name="Обычный 7 3 4 4 7" xfId="29153"/>
    <cellStyle name="Обычный 7 3 4 5" xfId="29154"/>
    <cellStyle name="Обычный 7 3 4 5 2" xfId="29155"/>
    <cellStyle name="Обычный 7 3 4 5 2 2" xfId="29156"/>
    <cellStyle name="Обычный 7 3 4 5 2 3" xfId="29157"/>
    <cellStyle name="Обычный 7 3 4 5 3" xfId="29158"/>
    <cellStyle name="Обычный 7 3 4 5 3 2" xfId="29159"/>
    <cellStyle name="Обычный 7 3 4 5 3 3" xfId="29160"/>
    <cellStyle name="Обычный 7 3 4 5 4" xfId="29161"/>
    <cellStyle name="Обычный 7 3 4 5 4 2" xfId="29162"/>
    <cellStyle name="Обычный 7 3 4 5 5" xfId="29163"/>
    <cellStyle name="Обычный 7 3 4 5 6" xfId="29164"/>
    <cellStyle name="Обычный 7 3 4 6" xfId="29165"/>
    <cellStyle name="Обычный 7 3 4 6 2" xfId="29166"/>
    <cellStyle name="Обычный 7 3 4 6 3" xfId="29167"/>
    <cellStyle name="Обычный 7 3 4 7" xfId="29168"/>
    <cellStyle name="Обычный 7 3 4 7 2" xfId="29169"/>
    <cellStyle name="Обычный 7 3 4 7 3" xfId="29170"/>
    <cellStyle name="Обычный 7 3 4 8" xfId="29171"/>
    <cellStyle name="Обычный 7 3 4 8 2" xfId="29172"/>
    <cellStyle name="Обычный 7 3 4 9" xfId="29173"/>
    <cellStyle name="Обычный 7 3 5" xfId="29174"/>
    <cellStyle name="Обычный 7 3 5 10" xfId="29175"/>
    <cellStyle name="Обычный 7 3 5 2" xfId="29176"/>
    <cellStyle name="Обычный 7 3 5 2 2" xfId="29177"/>
    <cellStyle name="Обычный 7 3 5 2 2 2" xfId="29178"/>
    <cellStyle name="Обычный 7 3 5 2 2 2 2" xfId="29179"/>
    <cellStyle name="Обычный 7 3 5 2 2 2 2 2" xfId="29180"/>
    <cellStyle name="Обычный 7 3 5 2 2 2 2 2 2" xfId="29181"/>
    <cellStyle name="Обычный 7 3 5 2 2 2 2 2 3" xfId="29182"/>
    <cellStyle name="Обычный 7 3 5 2 2 2 2 3" xfId="29183"/>
    <cellStyle name="Обычный 7 3 5 2 2 2 2 3 2" xfId="29184"/>
    <cellStyle name="Обычный 7 3 5 2 2 2 2 3 3" xfId="29185"/>
    <cellStyle name="Обычный 7 3 5 2 2 2 2 4" xfId="29186"/>
    <cellStyle name="Обычный 7 3 5 2 2 2 2 4 2" xfId="29187"/>
    <cellStyle name="Обычный 7 3 5 2 2 2 2 5" xfId="29188"/>
    <cellStyle name="Обычный 7 3 5 2 2 2 2 6" xfId="29189"/>
    <cellStyle name="Обычный 7 3 5 2 2 2 3" xfId="29190"/>
    <cellStyle name="Обычный 7 3 5 2 2 2 3 2" xfId="29191"/>
    <cellStyle name="Обычный 7 3 5 2 2 2 3 3" xfId="29192"/>
    <cellStyle name="Обычный 7 3 5 2 2 2 4" xfId="29193"/>
    <cellStyle name="Обычный 7 3 5 2 2 2 4 2" xfId="29194"/>
    <cellStyle name="Обычный 7 3 5 2 2 2 4 3" xfId="29195"/>
    <cellStyle name="Обычный 7 3 5 2 2 2 5" xfId="29196"/>
    <cellStyle name="Обычный 7 3 5 2 2 2 5 2" xfId="29197"/>
    <cellStyle name="Обычный 7 3 5 2 2 2 6" xfId="29198"/>
    <cellStyle name="Обычный 7 3 5 2 2 2 7" xfId="29199"/>
    <cellStyle name="Обычный 7 3 5 2 2 3" xfId="29200"/>
    <cellStyle name="Обычный 7 3 5 2 2 3 2" xfId="29201"/>
    <cellStyle name="Обычный 7 3 5 2 2 3 2 2" xfId="29202"/>
    <cellStyle name="Обычный 7 3 5 2 2 3 2 3" xfId="29203"/>
    <cellStyle name="Обычный 7 3 5 2 2 3 3" xfId="29204"/>
    <cellStyle name="Обычный 7 3 5 2 2 3 3 2" xfId="29205"/>
    <cellStyle name="Обычный 7 3 5 2 2 3 3 3" xfId="29206"/>
    <cellStyle name="Обычный 7 3 5 2 2 3 4" xfId="29207"/>
    <cellStyle name="Обычный 7 3 5 2 2 3 4 2" xfId="29208"/>
    <cellStyle name="Обычный 7 3 5 2 2 3 5" xfId="29209"/>
    <cellStyle name="Обычный 7 3 5 2 2 3 6" xfId="29210"/>
    <cellStyle name="Обычный 7 3 5 2 2 4" xfId="29211"/>
    <cellStyle name="Обычный 7 3 5 2 2 4 2" xfId="29212"/>
    <cellStyle name="Обычный 7 3 5 2 2 4 3" xfId="29213"/>
    <cellStyle name="Обычный 7 3 5 2 2 5" xfId="29214"/>
    <cellStyle name="Обычный 7 3 5 2 2 5 2" xfId="29215"/>
    <cellStyle name="Обычный 7 3 5 2 2 5 3" xfId="29216"/>
    <cellStyle name="Обычный 7 3 5 2 2 6" xfId="29217"/>
    <cellStyle name="Обычный 7 3 5 2 2 6 2" xfId="29218"/>
    <cellStyle name="Обычный 7 3 5 2 2 7" xfId="29219"/>
    <cellStyle name="Обычный 7 3 5 2 2 8" xfId="29220"/>
    <cellStyle name="Обычный 7 3 5 2 3" xfId="29221"/>
    <cellStyle name="Обычный 7 3 5 2 3 2" xfId="29222"/>
    <cellStyle name="Обычный 7 3 5 2 3 2 2" xfId="29223"/>
    <cellStyle name="Обычный 7 3 5 2 3 2 2 2" xfId="29224"/>
    <cellStyle name="Обычный 7 3 5 2 3 2 2 3" xfId="29225"/>
    <cellStyle name="Обычный 7 3 5 2 3 2 3" xfId="29226"/>
    <cellStyle name="Обычный 7 3 5 2 3 2 3 2" xfId="29227"/>
    <cellStyle name="Обычный 7 3 5 2 3 2 3 3" xfId="29228"/>
    <cellStyle name="Обычный 7 3 5 2 3 2 4" xfId="29229"/>
    <cellStyle name="Обычный 7 3 5 2 3 2 4 2" xfId="29230"/>
    <cellStyle name="Обычный 7 3 5 2 3 2 5" xfId="29231"/>
    <cellStyle name="Обычный 7 3 5 2 3 2 6" xfId="29232"/>
    <cellStyle name="Обычный 7 3 5 2 3 3" xfId="29233"/>
    <cellStyle name="Обычный 7 3 5 2 3 3 2" xfId="29234"/>
    <cellStyle name="Обычный 7 3 5 2 3 3 3" xfId="29235"/>
    <cellStyle name="Обычный 7 3 5 2 3 4" xfId="29236"/>
    <cellStyle name="Обычный 7 3 5 2 3 4 2" xfId="29237"/>
    <cellStyle name="Обычный 7 3 5 2 3 4 3" xfId="29238"/>
    <cellStyle name="Обычный 7 3 5 2 3 5" xfId="29239"/>
    <cellStyle name="Обычный 7 3 5 2 3 5 2" xfId="29240"/>
    <cellStyle name="Обычный 7 3 5 2 3 6" xfId="29241"/>
    <cellStyle name="Обычный 7 3 5 2 3 7" xfId="29242"/>
    <cellStyle name="Обычный 7 3 5 2 4" xfId="29243"/>
    <cellStyle name="Обычный 7 3 5 2 4 2" xfId="29244"/>
    <cellStyle name="Обычный 7 3 5 2 4 2 2" xfId="29245"/>
    <cellStyle name="Обычный 7 3 5 2 4 2 3" xfId="29246"/>
    <cellStyle name="Обычный 7 3 5 2 4 3" xfId="29247"/>
    <cellStyle name="Обычный 7 3 5 2 4 3 2" xfId="29248"/>
    <cellStyle name="Обычный 7 3 5 2 4 3 3" xfId="29249"/>
    <cellStyle name="Обычный 7 3 5 2 4 4" xfId="29250"/>
    <cellStyle name="Обычный 7 3 5 2 4 4 2" xfId="29251"/>
    <cellStyle name="Обычный 7 3 5 2 4 5" xfId="29252"/>
    <cellStyle name="Обычный 7 3 5 2 4 6" xfId="29253"/>
    <cellStyle name="Обычный 7 3 5 2 5" xfId="29254"/>
    <cellStyle name="Обычный 7 3 5 2 5 2" xfId="29255"/>
    <cellStyle name="Обычный 7 3 5 2 5 3" xfId="29256"/>
    <cellStyle name="Обычный 7 3 5 2 6" xfId="29257"/>
    <cellStyle name="Обычный 7 3 5 2 6 2" xfId="29258"/>
    <cellStyle name="Обычный 7 3 5 2 6 3" xfId="29259"/>
    <cellStyle name="Обычный 7 3 5 2 7" xfId="29260"/>
    <cellStyle name="Обычный 7 3 5 2 7 2" xfId="29261"/>
    <cellStyle name="Обычный 7 3 5 2 8" xfId="29262"/>
    <cellStyle name="Обычный 7 3 5 2 9" xfId="29263"/>
    <cellStyle name="Обычный 7 3 5 3" xfId="29264"/>
    <cellStyle name="Обычный 7 3 5 3 2" xfId="29265"/>
    <cellStyle name="Обычный 7 3 5 3 2 2" xfId="29266"/>
    <cellStyle name="Обычный 7 3 5 3 2 2 2" xfId="29267"/>
    <cellStyle name="Обычный 7 3 5 3 2 2 2 2" xfId="29268"/>
    <cellStyle name="Обычный 7 3 5 3 2 2 2 3" xfId="29269"/>
    <cellStyle name="Обычный 7 3 5 3 2 2 3" xfId="29270"/>
    <cellStyle name="Обычный 7 3 5 3 2 2 3 2" xfId="29271"/>
    <cellStyle name="Обычный 7 3 5 3 2 2 3 3" xfId="29272"/>
    <cellStyle name="Обычный 7 3 5 3 2 2 4" xfId="29273"/>
    <cellStyle name="Обычный 7 3 5 3 2 2 4 2" xfId="29274"/>
    <cellStyle name="Обычный 7 3 5 3 2 2 5" xfId="29275"/>
    <cellStyle name="Обычный 7 3 5 3 2 2 6" xfId="29276"/>
    <cellStyle name="Обычный 7 3 5 3 2 3" xfId="29277"/>
    <cellStyle name="Обычный 7 3 5 3 2 3 2" xfId="29278"/>
    <cellStyle name="Обычный 7 3 5 3 2 3 3" xfId="29279"/>
    <cellStyle name="Обычный 7 3 5 3 2 4" xfId="29280"/>
    <cellStyle name="Обычный 7 3 5 3 2 4 2" xfId="29281"/>
    <cellStyle name="Обычный 7 3 5 3 2 4 3" xfId="29282"/>
    <cellStyle name="Обычный 7 3 5 3 2 5" xfId="29283"/>
    <cellStyle name="Обычный 7 3 5 3 2 5 2" xfId="29284"/>
    <cellStyle name="Обычный 7 3 5 3 2 6" xfId="29285"/>
    <cellStyle name="Обычный 7 3 5 3 2 7" xfId="29286"/>
    <cellStyle name="Обычный 7 3 5 3 3" xfId="29287"/>
    <cellStyle name="Обычный 7 3 5 3 3 2" xfId="29288"/>
    <cellStyle name="Обычный 7 3 5 3 3 2 2" xfId="29289"/>
    <cellStyle name="Обычный 7 3 5 3 3 2 3" xfId="29290"/>
    <cellStyle name="Обычный 7 3 5 3 3 3" xfId="29291"/>
    <cellStyle name="Обычный 7 3 5 3 3 3 2" xfId="29292"/>
    <cellStyle name="Обычный 7 3 5 3 3 3 3" xfId="29293"/>
    <cellStyle name="Обычный 7 3 5 3 3 4" xfId="29294"/>
    <cellStyle name="Обычный 7 3 5 3 3 4 2" xfId="29295"/>
    <cellStyle name="Обычный 7 3 5 3 3 5" xfId="29296"/>
    <cellStyle name="Обычный 7 3 5 3 3 6" xfId="29297"/>
    <cellStyle name="Обычный 7 3 5 3 4" xfId="29298"/>
    <cellStyle name="Обычный 7 3 5 3 4 2" xfId="29299"/>
    <cellStyle name="Обычный 7 3 5 3 4 3" xfId="29300"/>
    <cellStyle name="Обычный 7 3 5 3 5" xfId="29301"/>
    <cellStyle name="Обычный 7 3 5 3 5 2" xfId="29302"/>
    <cellStyle name="Обычный 7 3 5 3 5 3" xfId="29303"/>
    <cellStyle name="Обычный 7 3 5 3 6" xfId="29304"/>
    <cellStyle name="Обычный 7 3 5 3 6 2" xfId="29305"/>
    <cellStyle name="Обычный 7 3 5 3 7" xfId="29306"/>
    <cellStyle name="Обычный 7 3 5 3 8" xfId="29307"/>
    <cellStyle name="Обычный 7 3 5 4" xfId="29308"/>
    <cellStyle name="Обычный 7 3 5 4 2" xfId="29309"/>
    <cellStyle name="Обычный 7 3 5 4 2 2" xfId="29310"/>
    <cellStyle name="Обычный 7 3 5 4 2 2 2" xfId="29311"/>
    <cellStyle name="Обычный 7 3 5 4 2 2 3" xfId="29312"/>
    <cellStyle name="Обычный 7 3 5 4 2 3" xfId="29313"/>
    <cellStyle name="Обычный 7 3 5 4 2 3 2" xfId="29314"/>
    <cellStyle name="Обычный 7 3 5 4 2 3 3" xfId="29315"/>
    <cellStyle name="Обычный 7 3 5 4 2 4" xfId="29316"/>
    <cellStyle name="Обычный 7 3 5 4 2 4 2" xfId="29317"/>
    <cellStyle name="Обычный 7 3 5 4 2 5" xfId="29318"/>
    <cellStyle name="Обычный 7 3 5 4 2 6" xfId="29319"/>
    <cellStyle name="Обычный 7 3 5 4 3" xfId="29320"/>
    <cellStyle name="Обычный 7 3 5 4 3 2" xfId="29321"/>
    <cellStyle name="Обычный 7 3 5 4 3 3" xfId="29322"/>
    <cellStyle name="Обычный 7 3 5 4 4" xfId="29323"/>
    <cellStyle name="Обычный 7 3 5 4 4 2" xfId="29324"/>
    <cellStyle name="Обычный 7 3 5 4 4 3" xfId="29325"/>
    <cellStyle name="Обычный 7 3 5 4 5" xfId="29326"/>
    <cellStyle name="Обычный 7 3 5 4 5 2" xfId="29327"/>
    <cellStyle name="Обычный 7 3 5 4 6" xfId="29328"/>
    <cellStyle name="Обычный 7 3 5 4 7" xfId="29329"/>
    <cellStyle name="Обычный 7 3 5 5" xfId="29330"/>
    <cellStyle name="Обычный 7 3 5 5 2" xfId="29331"/>
    <cellStyle name="Обычный 7 3 5 5 2 2" xfId="29332"/>
    <cellStyle name="Обычный 7 3 5 5 2 3" xfId="29333"/>
    <cellStyle name="Обычный 7 3 5 5 3" xfId="29334"/>
    <cellStyle name="Обычный 7 3 5 5 3 2" xfId="29335"/>
    <cellStyle name="Обычный 7 3 5 5 3 3" xfId="29336"/>
    <cellStyle name="Обычный 7 3 5 5 4" xfId="29337"/>
    <cellStyle name="Обычный 7 3 5 5 4 2" xfId="29338"/>
    <cellStyle name="Обычный 7 3 5 5 5" xfId="29339"/>
    <cellStyle name="Обычный 7 3 5 5 6" xfId="29340"/>
    <cellStyle name="Обычный 7 3 5 6" xfId="29341"/>
    <cellStyle name="Обычный 7 3 5 6 2" xfId="29342"/>
    <cellStyle name="Обычный 7 3 5 6 3" xfId="29343"/>
    <cellStyle name="Обычный 7 3 5 7" xfId="29344"/>
    <cellStyle name="Обычный 7 3 5 7 2" xfId="29345"/>
    <cellStyle name="Обычный 7 3 5 7 3" xfId="29346"/>
    <cellStyle name="Обычный 7 3 5 8" xfId="29347"/>
    <cellStyle name="Обычный 7 3 5 8 2" xfId="29348"/>
    <cellStyle name="Обычный 7 3 5 9" xfId="29349"/>
    <cellStyle name="Обычный 7 3 6" xfId="29350"/>
    <cellStyle name="Обычный 7 3 6 2" xfId="29351"/>
    <cellStyle name="Обычный 7 3 6 2 2" xfId="29352"/>
    <cellStyle name="Обычный 7 3 6 2 2 2" xfId="29353"/>
    <cellStyle name="Обычный 7 3 6 2 2 2 2" xfId="29354"/>
    <cellStyle name="Обычный 7 3 6 2 2 2 2 2" xfId="29355"/>
    <cellStyle name="Обычный 7 3 6 2 2 2 2 3" xfId="29356"/>
    <cellStyle name="Обычный 7 3 6 2 2 2 3" xfId="29357"/>
    <cellStyle name="Обычный 7 3 6 2 2 2 3 2" xfId="29358"/>
    <cellStyle name="Обычный 7 3 6 2 2 2 3 3" xfId="29359"/>
    <cellStyle name="Обычный 7 3 6 2 2 2 4" xfId="29360"/>
    <cellStyle name="Обычный 7 3 6 2 2 2 4 2" xfId="29361"/>
    <cellStyle name="Обычный 7 3 6 2 2 2 5" xfId="29362"/>
    <cellStyle name="Обычный 7 3 6 2 2 2 6" xfId="29363"/>
    <cellStyle name="Обычный 7 3 6 2 2 3" xfId="29364"/>
    <cellStyle name="Обычный 7 3 6 2 2 3 2" xfId="29365"/>
    <cellStyle name="Обычный 7 3 6 2 2 3 3" xfId="29366"/>
    <cellStyle name="Обычный 7 3 6 2 2 4" xfId="29367"/>
    <cellStyle name="Обычный 7 3 6 2 2 4 2" xfId="29368"/>
    <cellStyle name="Обычный 7 3 6 2 2 4 3" xfId="29369"/>
    <cellStyle name="Обычный 7 3 6 2 2 5" xfId="29370"/>
    <cellStyle name="Обычный 7 3 6 2 2 5 2" xfId="29371"/>
    <cellStyle name="Обычный 7 3 6 2 2 6" xfId="29372"/>
    <cellStyle name="Обычный 7 3 6 2 2 7" xfId="29373"/>
    <cellStyle name="Обычный 7 3 6 2 3" xfId="29374"/>
    <cellStyle name="Обычный 7 3 6 2 3 2" xfId="29375"/>
    <cellStyle name="Обычный 7 3 6 2 3 2 2" xfId="29376"/>
    <cellStyle name="Обычный 7 3 6 2 3 2 3" xfId="29377"/>
    <cellStyle name="Обычный 7 3 6 2 3 3" xfId="29378"/>
    <cellStyle name="Обычный 7 3 6 2 3 3 2" xfId="29379"/>
    <cellStyle name="Обычный 7 3 6 2 3 3 3" xfId="29380"/>
    <cellStyle name="Обычный 7 3 6 2 3 4" xfId="29381"/>
    <cellStyle name="Обычный 7 3 6 2 3 4 2" xfId="29382"/>
    <cellStyle name="Обычный 7 3 6 2 3 5" xfId="29383"/>
    <cellStyle name="Обычный 7 3 6 2 3 6" xfId="29384"/>
    <cellStyle name="Обычный 7 3 6 2 4" xfId="29385"/>
    <cellStyle name="Обычный 7 3 6 2 4 2" xfId="29386"/>
    <cellStyle name="Обычный 7 3 6 2 4 3" xfId="29387"/>
    <cellStyle name="Обычный 7 3 6 2 5" xfId="29388"/>
    <cellStyle name="Обычный 7 3 6 2 5 2" xfId="29389"/>
    <cellStyle name="Обычный 7 3 6 2 5 3" xfId="29390"/>
    <cellStyle name="Обычный 7 3 6 2 6" xfId="29391"/>
    <cellStyle name="Обычный 7 3 6 2 6 2" xfId="29392"/>
    <cellStyle name="Обычный 7 3 6 2 7" xfId="29393"/>
    <cellStyle name="Обычный 7 3 6 2 8" xfId="29394"/>
    <cellStyle name="Обычный 7 3 6 3" xfId="29395"/>
    <cellStyle name="Обычный 7 3 6 3 2" xfId="29396"/>
    <cellStyle name="Обычный 7 3 6 3 2 2" xfId="29397"/>
    <cellStyle name="Обычный 7 3 6 3 2 2 2" xfId="29398"/>
    <cellStyle name="Обычный 7 3 6 3 2 2 3" xfId="29399"/>
    <cellStyle name="Обычный 7 3 6 3 2 3" xfId="29400"/>
    <cellStyle name="Обычный 7 3 6 3 2 3 2" xfId="29401"/>
    <cellStyle name="Обычный 7 3 6 3 2 3 3" xfId="29402"/>
    <cellStyle name="Обычный 7 3 6 3 2 4" xfId="29403"/>
    <cellStyle name="Обычный 7 3 6 3 2 4 2" xfId="29404"/>
    <cellStyle name="Обычный 7 3 6 3 2 5" xfId="29405"/>
    <cellStyle name="Обычный 7 3 6 3 2 6" xfId="29406"/>
    <cellStyle name="Обычный 7 3 6 3 3" xfId="29407"/>
    <cellStyle name="Обычный 7 3 6 3 3 2" xfId="29408"/>
    <cellStyle name="Обычный 7 3 6 3 3 3" xfId="29409"/>
    <cellStyle name="Обычный 7 3 6 3 4" xfId="29410"/>
    <cellStyle name="Обычный 7 3 6 3 4 2" xfId="29411"/>
    <cellStyle name="Обычный 7 3 6 3 4 3" xfId="29412"/>
    <cellStyle name="Обычный 7 3 6 3 5" xfId="29413"/>
    <cellStyle name="Обычный 7 3 6 3 5 2" xfId="29414"/>
    <cellStyle name="Обычный 7 3 6 3 6" xfId="29415"/>
    <cellStyle name="Обычный 7 3 6 3 7" xfId="29416"/>
    <cellStyle name="Обычный 7 3 6 4" xfId="29417"/>
    <cellStyle name="Обычный 7 3 6 4 2" xfId="29418"/>
    <cellStyle name="Обычный 7 3 6 4 2 2" xfId="29419"/>
    <cellStyle name="Обычный 7 3 6 4 2 3" xfId="29420"/>
    <cellStyle name="Обычный 7 3 6 4 3" xfId="29421"/>
    <cellStyle name="Обычный 7 3 6 4 3 2" xfId="29422"/>
    <cellStyle name="Обычный 7 3 6 4 3 3" xfId="29423"/>
    <cellStyle name="Обычный 7 3 6 4 4" xfId="29424"/>
    <cellStyle name="Обычный 7 3 6 4 4 2" xfId="29425"/>
    <cellStyle name="Обычный 7 3 6 4 5" xfId="29426"/>
    <cellStyle name="Обычный 7 3 6 4 6" xfId="29427"/>
    <cellStyle name="Обычный 7 3 6 5" xfId="29428"/>
    <cellStyle name="Обычный 7 3 6 5 2" xfId="29429"/>
    <cellStyle name="Обычный 7 3 6 5 3" xfId="29430"/>
    <cellStyle name="Обычный 7 3 6 6" xfId="29431"/>
    <cellStyle name="Обычный 7 3 6 6 2" xfId="29432"/>
    <cellStyle name="Обычный 7 3 6 6 3" xfId="29433"/>
    <cellStyle name="Обычный 7 3 6 7" xfId="29434"/>
    <cellStyle name="Обычный 7 3 6 7 2" xfId="29435"/>
    <cellStyle name="Обычный 7 3 6 8" xfId="29436"/>
    <cellStyle name="Обычный 7 3 6 9" xfId="29437"/>
    <cellStyle name="Обычный 7 3 7" xfId="29438"/>
    <cellStyle name="Обычный 7 3 7 2" xfId="29439"/>
    <cellStyle name="Обычный 7 3 7 2 2" xfId="29440"/>
    <cellStyle name="Обычный 7 3 7 2 2 2" xfId="29441"/>
    <cellStyle name="Обычный 7 3 7 2 2 2 2" xfId="29442"/>
    <cellStyle name="Обычный 7 3 7 2 2 2 3" xfId="29443"/>
    <cellStyle name="Обычный 7 3 7 2 2 3" xfId="29444"/>
    <cellStyle name="Обычный 7 3 7 2 2 3 2" xfId="29445"/>
    <cellStyle name="Обычный 7 3 7 2 2 3 3" xfId="29446"/>
    <cellStyle name="Обычный 7 3 7 2 2 4" xfId="29447"/>
    <cellStyle name="Обычный 7 3 7 2 2 4 2" xfId="29448"/>
    <cellStyle name="Обычный 7 3 7 2 2 5" xfId="29449"/>
    <cellStyle name="Обычный 7 3 7 2 2 6" xfId="29450"/>
    <cellStyle name="Обычный 7 3 7 2 3" xfId="29451"/>
    <cellStyle name="Обычный 7 3 7 2 3 2" xfId="29452"/>
    <cellStyle name="Обычный 7 3 7 2 3 3" xfId="29453"/>
    <cellStyle name="Обычный 7 3 7 2 4" xfId="29454"/>
    <cellStyle name="Обычный 7 3 7 2 4 2" xfId="29455"/>
    <cellStyle name="Обычный 7 3 7 2 4 3" xfId="29456"/>
    <cellStyle name="Обычный 7 3 7 2 5" xfId="29457"/>
    <cellStyle name="Обычный 7 3 7 2 5 2" xfId="29458"/>
    <cellStyle name="Обычный 7 3 7 2 6" xfId="29459"/>
    <cellStyle name="Обычный 7 3 7 2 7" xfId="29460"/>
    <cellStyle name="Обычный 7 3 7 3" xfId="29461"/>
    <cellStyle name="Обычный 7 3 7 3 2" xfId="29462"/>
    <cellStyle name="Обычный 7 3 7 3 2 2" xfId="29463"/>
    <cellStyle name="Обычный 7 3 7 3 2 3" xfId="29464"/>
    <cellStyle name="Обычный 7 3 7 3 3" xfId="29465"/>
    <cellStyle name="Обычный 7 3 7 3 3 2" xfId="29466"/>
    <cellStyle name="Обычный 7 3 7 3 3 3" xfId="29467"/>
    <cellStyle name="Обычный 7 3 7 3 4" xfId="29468"/>
    <cellStyle name="Обычный 7 3 7 3 4 2" xfId="29469"/>
    <cellStyle name="Обычный 7 3 7 3 5" xfId="29470"/>
    <cellStyle name="Обычный 7 3 7 3 6" xfId="29471"/>
    <cellStyle name="Обычный 7 3 7 4" xfId="29472"/>
    <cellStyle name="Обычный 7 3 7 4 2" xfId="29473"/>
    <cellStyle name="Обычный 7 3 7 4 3" xfId="29474"/>
    <cellStyle name="Обычный 7 3 7 5" xfId="29475"/>
    <cellStyle name="Обычный 7 3 7 5 2" xfId="29476"/>
    <cellStyle name="Обычный 7 3 7 5 3" xfId="29477"/>
    <cellStyle name="Обычный 7 3 7 6" xfId="29478"/>
    <cellStyle name="Обычный 7 3 7 6 2" xfId="29479"/>
    <cellStyle name="Обычный 7 3 7 7" xfId="29480"/>
    <cellStyle name="Обычный 7 3 7 8" xfId="29481"/>
    <cellStyle name="Обычный 7 3 8" xfId="29482"/>
    <cellStyle name="Обычный 7 3 8 2" xfId="29483"/>
    <cellStyle name="Обычный 7 3 8 2 2" xfId="29484"/>
    <cellStyle name="Обычный 7 3 8 2 2 2" xfId="29485"/>
    <cellStyle name="Обычный 7 3 8 2 2 3" xfId="29486"/>
    <cellStyle name="Обычный 7 3 8 2 3" xfId="29487"/>
    <cellStyle name="Обычный 7 3 8 2 3 2" xfId="29488"/>
    <cellStyle name="Обычный 7 3 8 2 3 3" xfId="29489"/>
    <cellStyle name="Обычный 7 3 8 2 4" xfId="29490"/>
    <cellStyle name="Обычный 7 3 8 2 4 2" xfId="29491"/>
    <cellStyle name="Обычный 7 3 8 2 5" xfId="29492"/>
    <cellStyle name="Обычный 7 3 8 2 6" xfId="29493"/>
    <cellStyle name="Обычный 7 3 8 3" xfId="29494"/>
    <cellStyle name="Обычный 7 3 8 3 2" xfId="29495"/>
    <cellStyle name="Обычный 7 3 8 3 3" xfId="29496"/>
    <cellStyle name="Обычный 7 3 8 4" xfId="29497"/>
    <cellStyle name="Обычный 7 3 8 4 2" xfId="29498"/>
    <cellStyle name="Обычный 7 3 8 4 3" xfId="29499"/>
    <cellStyle name="Обычный 7 3 8 5" xfId="29500"/>
    <cellStyle name="Обычный 7 3 8 5 2" xfId="29501"/>
    <cellStyle name="Обычный 7 3 8 6" xfId="29502"/>
    <cellStyle name="Обычный 7 3 8 7" xfId="29503"/>
    <cellStyle name="Обычный 7 3 9" xfId="29504"/>
    <cellStyle name="Обычный 7 3 9 2" xfId="29505"/>
    <cellStyle name="Обычный 7 3 9 2 2" xfId="29506"/>
    <cellStyle name="Обычный 7 3 9 2 3" xfId="29507"/>
    <cellStyle name="Обычный 7 3 9 3" xfId="29508"/>
    <cellStyle name="Обычный 7 3 9 3 2" xfId="29509"/>
    <cellStyle name="Обычный 7 3 9 3 3" xfId="29510"/>
    <cellStyle name="Обычный 7 3 9 4" xfId="29511"/>
    <cellStyle name="Обычный 7 3 9 4 2" xfId="29512"/>
    <cellStyle name="Обычный 7 3 9 5" xfId="29513"/>
    <cellStyle name="Обычный 7 3 9 6" xfId="29514"/>
    <cellStyle name="Обычный 7 4" xfId="29515"/>
    <cellStyle name="Обычный 7 4 10" xfId="29516"/>
    <cellStyle name="Обычный 7 4 10 2" xfId="29517"/>
    <cellStyle name="Обычный 7 4 10 3" xfId="29518"/>
    <cellStyle name="Обычный 7 4 11" xfId="29519"/>
    <cellStyle name="Обычный 7 4 11 2" xfId="29520"/>
    <cellStyle name="Обычный 7 4 11 3" xfId="29521"/>
    <cellStyle name="Обычный 7 4 12" xfId="29522"/>
    <cellStyle name="Обычный 7 4 12 2" xfId="29523"/>
    <cellStyle name="Обычный 7 4 13" xfId="29524"/>
    <cellStyle name="Обычный 7 4 14" xfId="29525"/>
    <cellStyle name="Обычный 7 4 2" xfId="29526"/>
    <cellStyle name="Обычный 7 4 2 10" xfId="29527"/>
    <cellStyle name="Обычный 7 4 2 10 2" xfId="29528"/>
    <cellStyle name="Обычный 7 4 2 10 3" xfId="29529"/>
    <cellStyle name="Обычный 7 4 2 11" xfId="29530"/>
    <cellStyle name="Обычный 7 4 2 11 2" xfId="29531"/>
    <cellStyle name="Обычный 7 4 2 12" xfId="29532"/>
    <cellStyle name="Обычный 7 4 2 13" xfId="29533"/>
    <cellStyle name="Обычный 7 4 2 2" xfId="29534"/>
    <cellStyle name="Обычный 7 4 2 2 10" xfId="29535"/>
    <cellStyle name="Обычный 7 4 2 2 2" xfId="29536"/>
    <cellStyle name="Обычный 7 4 2 2 2 2" xfId="29537"/>
    <cellStyle name="Обычный 7 4 2 2 2 2 2" xfId="29538"/>
    <cellStyle name="Обычный 7 4 2 2 2 2 2 2" xfId="29539"/>
    <cellStyle name="Обычный 7 4 2 2 2 2 2 2 2" xfId="29540"/>
    <cellStyle name="Обычный 7 4 2 2 2 2 2 2 2 2" xfId="29541"/>
    <cellStyle name="Обычный 7 4 2 2 2 2 2 2 2 3" xfId="29542"/>
    <cellStyle name="Обычный 7 4 2 2 2 2 2 2 3" xfId="29543"/>
    <cellStyle name="Обычный 7 4 2 2 2 2 2 2 3 2" xfId="29544"/>
    <cellStyle name="Обычный 7 4 2 2 2 2 2 2 3 3" xfId="29545"/>
    <cellStyle name="Обычный 7 4 2 2 2 2 2 2 4" xfId="29546"/>
    <cellStyle name="Обычный 7 4 2 2 2 2 2 2 4 2" xfId="29547"/>
    <cellStyle name="Обычный 7 4 2 2 2 2 2 2 5" xfId="29548"/>
    <cellStyle name="Обычный 7 4 2 2 2 2 2 2 6" xfId="29549"/>
    <cellStyle name="Обычный 7 4 2 2 2 2 2 3" xfId="29550"/>
    <cellStyle name="Обычный 7 4 2 2 2 2 2 3 2" xfId="29551"/>
    <cellStyle name="Обычный 7 4 2 2 2 2 2 3 3" xfId="29552"/>
    <cellStyle name="Обычный 7 4 2 2 2 2 2 4" xfId="29553"/>
    <cellStyle name="Обычный 7 4 2 2 2 2 2 4 2" xfId="29554"/>
    <cellStyle name="Обычный 7 4 2 2 2 2 2 4 3" xfId="29555"/>
    <cellStyle name="Обычный 7 4 2 2 2 2 2 5" xfId="29556"/>
    <cellStyle name="Обычный 7 4 2 2 2 2 2 5 2" xfId="29557"/>
    <cellStyle name="Обычный 7 4 2 2 2 2 2 6" xfId="29558"/>
    <cellStyle name="Обычный 7 4 2 2 2 2 2 7" xfId="29559"/>
    <cellStyle name="Обычный 7 4 2 2 2 2 3" xfId="29560"/>
    <cellStyle name="Обычный 7 4 2 2 2 2 3 2" xfId="29561"/>
    <cellStyle name="Обычный 7 4 2 2 2 2 3 2 2" xfId="29562"/>
    <cellStyle name="Обычный 7 4 2 2 2 2 3 2 3" xfId="29563"/>
    <cellStyle name="Обычный 7 4 2 2 2 2 3 3" xfId="29564"/>
    <cellStyle name="Обычный 7 4 2 2 2 2 3 3 2" xfId="29565"/>
    <cellStyle name="Обычный 7 4 2 2 2 2 3 3 3" xfId="29566"/>
    <cellStyle name="Обычный 7 4 2 2 2 2 3 4" xfId="29567"/>
    <cellStyle name="Обычный 7 4 2 2 2 2 3 4 2" xfId="29568"/>
    <cellStyle name="Обычный 7 4 2 2 2 2 3 5" xfId="29569"/>
    <cellStyle name="Обычный 7 4 2 2 2 2 3 6" xfId="29570"/>
    <cellStyle name="Обычный 7 4 2 2 2 2 4" xfId="29571"/>
    <cellStyle name="Обычный 7 4 2 2 2 2 4 2" xfId="29572"/>
    <cellStyle name="Обычный 7 4 2 2 2 2 4 3" xfId="29573"/>
    <cellStyle name="Обычный 7 4 2 2 2 2 5" xfId="29574"/>
    <cellStyle name="Обычный 7 4 2 2 2 2 5 2" xfId="29575"/>
    <cellStyle name="Обычный 7 4 2 2 2 2 5 3" xfId="29576"/>
    <cellStyle name="Обычный 7 4 2 2 2 2 6" xfId="29577"/>
    <cellStyle name="Обычный 7 4 2 2 2 2 6 2" xfId="29578"/>
    <cellStyle name="Обычный 7 4 2 2 2 2 7" xfId="29579"/>
    <cellStyle name="Обычный 7 4 2 2 2 2 8" xfId="29580"/>
    <cellStyle name="Обычный 7 4 2 2 2 3" xfId="29581"/>
    <cellStyle name="Обычный 7 4 2 2 2 3 2" xfId="29582"/>
    <cellStyle name="Обычный 7 4 2 2 2 3 2 2" xfId="29583"/>
    <cellStyle name="Обычный 7 4 2 2 2 3 2 2 2" xfId="29584"/>
    <cellStyle name="Обычный 7 4 2 2 2 3 2 2 3" xfId="29585"/>
    <cellStyle name="Обычный 7 4 2 2 2 3 2 3" xfId="29586"/>
    <cellStyle name="Обычный 7 4 2 2 2 3 2 3 2" xfId="29587"/>
    <cellStyle name="Обычный 7 4 2 2 2 3 2 3 3" xfId="29588"/>
    <cellStyle name="Обычный 7 4 2 2 2 3 2 4" xfId="29589"/>
    <cellStyle name="Обычный 7 4 2 2 2 3 2 4 2" xfId="29590"/>
    <cellStyle name="Обычный 7 4 2 2 2 3 2 5" xfId="29591"/>
    <cellStyle name="Обычный 7 4 2 2 2 3 2 6" xfId="29592"/>
    <cellStyle name="Обычный 7 4 2 2 2 3 3" xfId="29593"/>
    <cellStyle name="Обычный 7 4 2 2 2 3 3 2" xfId="29594"/>
    <cellStyle name="Обычный 7 4 2 2 2 3 3 3" xfId="29595"/>
    <cellStyle name="Обычный 7 4 2 2 2 3 4" xfId="29596"/>
    <cellStyle name="Обычный 7 4 2 2 2 3 4 2" xfId="29597"/>
    <cellStyle name="Обычный 7 4 2 2 2 3 4 3" xfId="29598"/>
    <cellStyle name="Обычный 7 4 2 2 2 3 5" xfId="29599"/>
    <cellStyle name="Обычный 7 4 2 2 2 3 5 2" xfId="29600"/>
    <cellStyle name="Обычный 7 4 2 2 2 3 6" xfId="29601"/>
    <cellStyle name="Обычный 7 4 2 2 2 3 7" xfId="29602"/>
    <cellStyle name="Обычный 7 4 2 2 2 4" xfId="29603"/>
    <cellStyle name="Обычный 7 4 2 2 2 4 2" xfId="29604"/>
    <cellStyle name="Обычный 7 4 2 2 2 4 2 2" xfId="29605"/>
    <cellStyle name="Обычный 7 4 2 2 2 4 2 3" xfId="29606"/>
    <cellStyle name="Обычный 7 4 2 2 2 4 3" xfId="29607"/>
    <cellStyle name="Обычный 7 4 2 2 2 4 3 2" xfId="29608"/>
    <cellStyle name="Обычный 7 4 2 2 2 4 3 3" xfId="29609"/>
    <cellStyle name="Обычный 7 4 2 2 2 4 4" xfId="29610"/>
    <cellStyle name="Обычный 7 4 2 2 2 4 4 2" xfId="29611"/>
    <cellStyle name="Обычный 7 4 2 2 2 4 5" xfId="29612"/>
    <cellStyle name="Обычный 7 4 2 2 2 4 6" xfId="29613"/>
    <cellStyle name="Обычный 7 4 2 2 2 5" xfId="29614"/>
    <cellStyle name="Обычный 7 4 2 2 2 5 2" xfId="29615"/>
    <cellStyle name="Обычный 7 4 2 2 2 5 3" xfId="29616"/>
    <cellStyle name="Обычный 7 4 2 2 2 6" xfId="29617"/>
    <cellStyle name="Обычный 7 4 2 2 2 6 2" xfId="29618"/>
    <cellStyle name="Обычный 7 4 2 2 2 6 3" xfId="29619"/>
    <cellStyle name="Обычный 7 4 2 2 2 7" xfId="29620"/>
    <cellStyle name="Обычный 7 4 2 2 2 7 2" xfId="29621"/>
    <cellStyle name="Обычный 7 4 2 2 2 8" xfId="29622"/>
    <cellStyle name="Обычный 7 4 2 2 2 9" xfId="29623"/>
    <cellStyle name="Обычный 7 4 2 2 3" xfId="29624"/>
    <cellStyle name="Обычный 7 4 2 2 3 2" xfId="29625"/>
    <cellStyle name="Обычный 7 4 2 2 3 2 2" xfId="29626"/>
    <cellStyle name="Обычный 7 4 2 2 3 2 2 2" xfId="29627"/>
    <cellStyle name="Обычный 7 4 2 2 3 2 2 2 2" xfId="29628"/>
    <cellStyle name="Обычный 7 4 2 2 3 2 2 2 3" xfId="29629"/>
    <cellStyle name="Обычный 7 4 2 2 3 2 2 3" xfId="29630"/>
    <cellStyle name="Обычный 7 4 2 2 3 2 2 3 2" xfId="29631"/>
    <cellStyle name="Обычный 7 4 2 2 3 2 2 3 3" xfId="29632"/>
    <cellStyle name="Обычный 7 4 2 2 3 2 2 4" xfId="29633"/>
    <cellStyle name="Обычный 7 4 2 2 3 2 2 4 2" xfId="29634"/>
    <cellStyle name="Обычный 7 4 2 2 3 2 2 5" xfId="29635"/>
    <cellStyle name="Обычный 7 4 2 2 3 2 2 6" xfId="29636"/>
    <cellStyle name="Обычный 7 4 2 2 3 2 3" xfId="29637"/>
    <cellStyle name="Обычный 7 4 2 2 3 2 3 2" xfId="29638"/>
    <cellStyle name="Обычный 7 4 2 2 3 2 3 3" xfId="29639"/>
    <cellStyle name="Обычный 7 4 2 2 3 2 4" xfId="29640"/>
    <cellStyle name="Обычный 7 4 2 2 3 2 4 2" xfId="29641"/>
    <cellStyle name="Обычный 7 4 2 2 3 2 4 3" xfId="29642"/>
    <cellStyle name="Обычный 7 4 2 2 3 2 5" xfId="29643"/>
    <cellStyle name="Обычный 7 4 2 2 3 2 5 2" xfId="29644"/>
    <cellStyle name="Обычный 7 4 2 2 3 2 6" xfId="29645"/>
    <cellStyle name="Обычный 7 4 2 2 3 2 7" xfId="29646"/>
    <cellStyle name="Обычный 7 4 2 2 3 3" xfId="29647"/>
    <cellStyle name="Обычный 7 4 2 2 3 3 2" xfId="29648"/>
    <cellStyle name="Обычный 7 4 2 2 3 3 2 2" xfId="29649"/>
    <cellStyle name="Обычный 7 4 2 2 3 3 2 3" xfId="29650"/>
    <cellStyle name="Обычный 7 4 2 2 3 3 3" xfId="29651"/>
    <cellStyle name="Обычный 7 4 2 2 3 3 3 2" xfId="29652"/>
    <cellStyle name="Обычный 7 4 2 2 3 3 3 3" xfId="29653"/>
    <cellStyle name="Обычный 7 4 2 2 3 3 4" xfId="29654"/>
    <cellStyle name="Обычный 7 4 2 2 3 3 4 2" xfId="29655"/>
    <cellStyle name="Обычный 7 4 2 2 3 3 5" xfId="29656"/>
    <cellStyle name="Обычный 7 4 2 2 3 3 6" xfId="29657"/>
    <cellStyle name="Обычный 7 4 2 2 3 4" xfId="29658"/>
    <cellStyle name="Обычный 7 4 2 2 3 4 2" xfId="29659"/>
    <cellStyle name="Обычный 7 4 2 2 3 4 3" xfId="29660"/>
    <cellStyle name="Обычный 7 4 2 2 3 5" xfId="29661"/>
    <cellStyle name="Обычный 7 4 2 2 3 5 2" xfId="29662"/>
    <cellStyle name="Обычный 7 4 2 2 3 5 3" xfId="29663"/>
    <cellStyle name="Обычный 7 4 2 2 3 6" xfId="29664"/>
    <cellStyle name="Обычный 7 4 2 2 3 6 2" xfId="29665"/>
    <cellStyle name="Обычный 7 4 2 2 3 7" xfId="29666"/>
    <cellStyle name="Обычный 7 4 2 2 3 8" xfId="29667"/>
    <cellStyle name="Обычный 7 4 2 2 4" xfId="29668"/>
    <cellStyle name="Обычный 7 4 2 2 4 2" xfId="29669"/>
    <cellStyle name="Обычный 7 4 2 2 4 2 2" xfId="29670"/>
    <cellStyle name="Обычный 7 4 2 2 4 2 2 2" xfId="29671"/>
    <cellStyle name="Обычный 7 4 2 2 4 2 2 3" xfId="29672"/>
    <cellStyle name="Обычный 7 4 2 2 4 2 3" xfId="29673"/>
    <cellStyle name="Обычный 7 4 2 2 4 2 3 2" xfId="29674"/>
    <cellStyle name="Обычный 7 4 2 2 4 2 3 3" xfId="29675"/>
    <cellStyle name="Обычный 7 4 2 2 4 2 4" xfId="29676"/>
    <cellStyle name="Обычный 7 4 2 2 4 2 4 2" xfId="29677"/>
    <cellStyle name="Обычный 7 4 2 2 4 2 5" xfId="29678"/>
    <cellStyle name="Обычный 7 4 2 2 4 2 6" xfId="29679"/>
    <cellStyle name="Обычный 7 4 2 2 4 3" xfId="29680"/>
    <cellStyle name="Обычный 7 4 2 2 4 3 2" xfId="29681"/>
    <cellStyle name="Обычный 7 4 2 2 4 3 3" xfId="29682"/>
    <cellStyle name="Обычный 7 4 2 2 4 4" xfId="29683"/>
    <cellStyle name="Обычный 7 4 2 2 4 4 2" xfId="29684"/>
    <cellStyle name="Обычный 7 4 2 2 4 4 3" xfId="29685"/>
    <cellStyle name="Обычный 7 4 2 2 4 5" xfId="29686"/>
    <cellStyle name="Обычный 7 4 2 2 4 5 2" xfId="29687"/>
    <cellStyle name="Обычный 7 4 2 2 4 6" xfId="29688"/>
    <cellStyle name="Обычный 7 4 2 2 4 7" xfId="29689"/>
    <cellStyle name="Обычный 7 4 2 2 5" xfId="29690"/>
    <cellStyle name="Обычный 7 4 2 2 5 2" xfId="29691"/>
    <cellStyle name="Обычный 7 4 2 2 5 2 2" xfId="29692"/>
    <cellStyle name="Обычный 7 4 2 2 5 2 3" xfId="29693"/>
    <cellStyle name="Обычный 7 4 2 2 5 3" xfId="29694"/>
    <cellStyle name="Обычный 7 4 2 2 5 3 2" xfId="29695"/>
    <cellStyle name="Обычный 7 4 2 2 5 3 3" xfId="29696"/>
    <cellStyle name="Обычный 7 4 2 2 5 4" xfId="29697"/>
    <cellStyle name="Обычный 7 4 2 2 5 4 2" xfId="29698"/>
    <cellStyle name="Обычный 7 4 2 2 5 5" xfId="29699"/>
    <cellStyle name="Обычный 7 4 2 2 5 6" xfId="29700"/>
    <cellStyle name="Обычный 7 4 2 2 6" xfId="29701"/>
    <cellStyle name="Обычный 7 4 2 2 6 2" xfId="29702"/>
    <cellStyle name="Обычный 7 4 2 2 6 3" xfId="29703"/>
    <cellStyle name="Обычный 7 4 2 2 7" xfId="29704"/>
    <cellStyle name="Обычный 7 4 2 2 7 2" xfId="29705"/>
    <cellStyle name="Обычный 7 4 2 2 7 3" xfId="29706"/>
    <cellStyle name="Обычный 7 4 2 2 8" xfId="29707"/>
    <cellStyle name="Обычный 7 4 2 2 8 2" xfId="29708"/>
    <cellStyle name="Обычный 7 4 2 2 9" xfId="29709"/>
    <cellStyle name="Обычный 7 4 2 3" xfId="29710"/>
    <cellStyle name="Обычный 7 4 2 3 10" xfId="29711"/>
    <cellStyle name="Обычный 7 4 2 3 2" xfId="29712"/>
    <cellStyle name="Обычный 7 4 2 3 2 2" xfId="29713"/>
    <cellStyle name="Обычный 7 4 2 3 2 2 2" xfId="29714"/>
    <cellStyle name="Обычный 7 4 2 3 2 2 2 2" xfId="29715"/>
    <cellStyle name="Обычный 7 4 2 3 2 2 2 2 2" xfId="29716"/>
    <cellStyle name="Обычный 7 4 2 3 2 2 2 2 2 2" xfId="29717"/>
    <cellStyle name="Обычный 7 4 2 3 2 2 2 2 2 3" xfId="29718"/>
    <cellStyle name="Обычный 7 4 2 3 2 2 2 2 3" xfId="29719"/>
    <cellStyle name="Обычный 7 4 2 3 2 2 2 2 3 2" xfId="29720"/>
    <cellStyle name="Обычный 7 4 2 3 2 2 2 2 3 3" xfId="29721"/>
    <cellStyle name="Обычный 7 4 2 3 2 2 2 2 4" xfId="29722"/>
    <cellStyle name="Обычный 7 4 2 3 2 2 2 2 4 2" xfId="29723"/>
    <cellStyle name="Обычный 7 4 2 3 2 2 2 2 5" xfId="29724"/>
    <cellStyle name="Обычный 7 4 2 3 2 2 2 2 6" xfId="29725"/>
    <cellStyle name="Обычный 7 4 2 3 2 2 2 3" xfId="29726"/>
    <cellStyle name="Обычный 7 4 2 3 2 2 2 3 2" xfId="29727"/>
    <cellStyle name="Обычный 7 4 2 3 2 2 2 3 3" xfId="29728"/>
    <cellStyle name="Обычный 7 4 2 3 2 2 2 4" xfId="29729"/>
    <cellStyle name="Обычный 7 4 2 3 2 2 2 4 2" xfId="29730"/>
    <cellStyle name="Обычный 7 4 2 3 2 2 2 4 3" xfId="29731"/>
    <cellStyle name="Обычный 7 4 2 3 2 2 2 5" xfId="29732"/>
    <cellStyle name="Обычный 7 4 2 3 2 2 2 5 2" xfId="29733"/>
    <cellStyle name="Обычный 7 4 2 3 2 2 2 6" xfId="29734"/>
    <cellStyle name="Обычный 7 4 2 3 2 2 2 7" xfId="29735"/>
    <cellStyle name="Обычный 7 4 2 3 2 2 3" xfId="29736"/>
    <cellStyle name="Обычный 7 4 2 3 2 2 3 2" xfId="29737"/>
    <cellStyle name="Обычный 7 4 2 3 2 2 3 2 2" xfId="29738"/>
    <cellStyle name="Обычный 7 4 2 3 2 2 3 2 3" xfId="29739"/>
    <cellStyle name="Обычный 7 4 2 3 2 2 3 3" xfId="29740"/>
    <cellStyle name="Обычный 7 4 2 3 2 2 3 3 2" xfId="29741"/>
    <cellStyle name="Обычный 7 4 2 3 2 2 3 3 3" xfId="29742"/>
    <cellStyle name="Обычный 7 4 2 3 2 2 3 4" xfId="29743"/>
    <cellStyle name="Обычный 7 4 2 3 2 2 3 4 2" xfId="29744"/>
    <cellStyle name="Обычный 7 4 2 3 2 2 3 5" xfId="29745"/>
    <cellStyle name="Обычный 7 4 2 3 2 2 3 6" xfId="29746"/>
    <cellStyle name="Обычный 7 4 2 3 2 2 4" xfId="29747"/>
    <cellStyle name="Обычный 7 4 2 3 2 2 4 2" xfId="29748"/>
    <cellStyle name="Обычный 7 4 2 3 2 2 4 3" xfId="29749"/>
    <cellStyle name="Обычный 7 4 2 3 2 2 5" xfId="29750"/>
    <cellStyle name="Обычный 7 4 2 3 2 2 5 2" xfId="29751"/>
    <cellStyle name="Обычный 7 4 2 3 2 2 5 3" xfId="29752"/>
    <cellStyle name="Обычный 7 4 2 3 2 2 6" xfId="29753"/>
    <cellStyle name="Обычный 7 4 2 3 2 2 6 2" xfId="29754"/>
    <cellStyle name="Обычный 7 4 2 3 2 2 7" xfId="29755"/>
    <cellStyle name="Обычный 7 4 2 3 2 2 8" xfId="29756"/>
    <cellStyle name="Обычный 7 4 2 3 2 3" xfId="29757"/>
    <cellStyle name="Обычный 7 4 2 3 2 3 2" xfId="29758"/>
    <cellStyle name="Обычный 7 4 2 3 2 3 2 2" xfId="29759"/>
    <cellStyle name="Обычный 7 4 2 3 2 3 2 2 2" xfId="29760"/>
    <cellStyle name="Обычный 7 4 2 3 2 3 2 2 3" xfId="29761"/>
    <cellStyle name="Обычный 7 4 2 3 2 3 2 3" xfId="29762"/>
    <cellStyle name="Обычный 7 4 2 3 2 3 2 3 2" xfId="29763"/>
    <cellStyle name="Обычный 7 4 2 3 2 3 2 3 3" xfId="29764"/>
    <cellStyle name="Обычный 7 4 2 3 2 3 2 4" xfId="29765"/>
    <cellStyle name="Обычный 7 4 2 3 2 3 2 4 2" xfId="29766"/>
    <cellStyle name="Обычный 7 4 2 3 2 3 2 5" xfId="29767"/>
    <cellStyle name="Обычный 7 4 2 3 2 3 2 6" xfId="29768"/>
    <cellStyle name="Обычный 7 4 2 3 2 3 3" xfId="29769"/>
    <cellStyle name="Обычный 7 4 2 3 2 3 3 2" xfId="29770"/>
    <cellStyle name="Обычный 7 4 2 3 2 3 3 3" xfId="29771"/>
    <cellStyle name="Обычный 7 4 2 3 2 3 4" xfId="29772"/>
    <cellStyle name="Обычный 7 4 2 3 2 3 4 2" xfId="29773"/>
    <cellStyle name="Обычный 7 4 2 3 2 3 4 3" xfId="29774"/>
    <cellStyle name="Обычный 7 4 2 3 2 3 5" xfId="29775"/>
    <cellStyle name="Обычный 7 4 2 3 2 3 5 2" xfId="29776"/>
    <cellStyle name="Обычный 7 4 2 3 2 3 6" xfId="29777"/>
    <cellStyle name="Обычный 7 4 2 3 2 3 7" xfId="29778"/>
    <cellStyle name="Обычный 7 4 2 3 2 4" xfId="29779"/>
    <cellStyle name="Обычный 7 4 2 3 2 4 2" xfId="29780"/>
    <cellStyle name="Обычный 7 4 2 3 2 4 2 2" xfId="29781"/>
    <cellStyle name="Обычный 7 4 2 3 2 4 2 3" xfId="29782"/>
    <cellStyle name="Обычный 7 4 2 3 2 4 3" xfId="29783"/>
    <cellStyle name="Обычный 7 4 2 3 2 4 3 2" xfId="29784"/>
    <cellStyle name="Обычный 7 4 2 3 2 4 3 3" xfId="29785"/>
    <cellStyle name="Обычный 7 4 2 3 2 4 4" xfId="29786"/>
    <cellStyle name="Обычный 7 4 2 3 2 4 4 2" xfId="29787"/>
    <cellStyle name="Обычный 7 4 2 3 2 4 5" xfId="29788"/>
    <cellStyle name="Обычный 7 4 2 3 2 4 6" xfId="29789"/>
    <cellStyle name="Обычный 7 4 2 3 2 5" xfId="29790"/>
    <cellStyle name="Обычный 7 4 2 3 2 5 2" xfId="29791"/>
    <cellStyle name="Обычный 7 4 2 3 2 5 3" xfId="29792"/>
    <cellStyle name="Обычный 7 4 2 3 2 6" xfId="29793"/>
    <cellStyle name="Обычный 7 4 2 3 2 6 2" xfId="29794"/>
    <cellStyle name="Обычный 7 4 2 3 2 6 3" xfId="29795"/>
    <cellStyle name="Обычный 7 4 2 3 2 7" xfId="29796"/>
    <cellStyle name="Обычный 7 4 2 3 2 7 2" xfId="29797"/>
    <cellStyle name="Обычный 7 4 2 3 2 8" xfId="29798"/>
    <cellStyle name="Обычный 7 4 2 3 2 9" xfId="29799"/>
    <cellStyle name="Обычный 7 4 2 3 3" xfId="29800"/>
    <cellStyle name="Обычный 7 4 2 3 3 2" xfId="29801"/>
    <cellStyle name="Обычный 7 4 2 3 3 2 2" xfId="29802"/>
    <cellStyle name="Обычный 7 4 2 3 3 2 2 2" xfId="29803"/>
    <cellStyle name="Обычный 7 4 2 3 3 2 2 2 2" xfId="29804"/>
    <cellStyle name="Обычный 7 4 2 3 3 2 2 2 3" xfId="29805"/>
    <cellStyle name="Обычный 7 4 2 3 3 2 2 3" xfId="29806"/>
    <cellStyle name="Обычный 7 4 2 3 3 2 2 3 2" xfId="29807"/>
    <cellStyle name="Обычный 7 4 2 3 3 2 2 3 3" xfId="29808"/>
    <cellStyle name="Обычный 7 4 2 3 3 2 2 4" xfId="29809"/>
    <cellStyle name="Обычный 7 4 2 3 3 2 2 4 2" xfId="29810"/>
    <cellStyle name="Обычный 7 4 2 3 3 2 2 5" xfId="29811"/>
    <cellStyle name="Обычный 7 4 2 3 3 2 2 6" xfId="29812"/>
    <cellStyle name="Обычный 7 4 2 3 3 2 3" xfId="29813"/>
    <cellStyle name="Обычный 7 4 2 3 3 2 3 2" xfId="29814"/>
    <cellStyle name="Обычный 7 4 2 3 3 2 3 3" xfId="29815"/>
    <cellStyle name="Обычный 7 4 2 3 3 2 4" xfId="29816"/>
    <cellStyle name="Обычный 7 4 2 3 3 2 4 2" xfId="29817"/>
    <cellStyle name="Обычный 7 4 2 3 3 2 4 3" xfId="29818"/>
    <cellStyle name="Обычный 7 4 2 3 3 2 5" xfId="29819"/>
    <cellStyle name="Обычный 7 4 2 3 3 2 5 2" xfId="29820"/>
    <cellStyle name="Обычный 7 4 2 3 3 2 6" xfId="29821"/>
    <cellStyle name="Обычный 7 4 2 3 3 2 7" xfId="29822"/>
    <cellStyle name="Обычный 7 4 2 3 3 3" xfId="29823"/>
    <cellStyle name="Обычный 7 4 2 3 3 3 2" xfId="29824"/>
    <cellStyle name="Обычный 7 4 2 3 3 3 2 2" xfId="29825"/>
    <cellStyle name="Обычный 7 4 2 3 3 3 2 3" xfId="29826"/>
    <cellStyle name="Обычный 7 4 2 3 3 3 3" xfId="29827"/>
    <cellStyle name="Обычный 7 4 2 3 3 3 3 2" xfId="29828"/>
    <cellStyle name="Обычный 7 4 2 3 3 3 3 3" xfId="29829"/>
    <cellStyle name="Обычный 7 4 2 3 3 3 4" xfId="29830"/>
    <cellStyle name="Обычный 7 4 2 3 3 3 4 2" xfId="29831"/>
    <cellStyle name="Обычный 7 4 2 3 3 3 5" xfId="29832"/>
    <cellStyle name="Обычный 7 4 2 3 3 3 6" xfId="29833"/>
    <cellStyle name="Обычный 7 4 2 3 3 4" xfId="29834"/>
    <cellStyle name="Обычный 7 4 2 3 3 4 2" xfId="29835"/>
    <cellStyle name="Обычный 7 4 2 3 3 4 3" xfId="29836"/>
    <cellStyle name="Обычный 7 4 2 3 3 5" xfId="29837"/>
    <cellStyle name="Обычный 7 4 2 3 3 5 2" xfId="29838"/>
    <cellStyle name="Обычный 7 4 2 3 3 5 3" xfId="29839"/>
    <cellStyle name="Обычный 7 4 2 3 3 6" xfId="29840"/>
    <cellStyle name="Обычный 7 4 2 3 3 6 2" xfId="29841"/>
    <cellStyle name="Обычный 7 4 2 3 3 7" xfId="29842"/>
    <cellStyle name="Обычный 7 4 2 3 3 8" xfId="29843"/>
    <cellStyle name="Обычный 7 4 2 3 4" xfId="29844"/>
    <cellStyle name="Обычный 7 4 2 3 4 2" xfId="29845"/>
    <cellStyle name="Обычный 7 4 2 3 4 2 2" xfId="29846"/>
    <cellStyle name="Обычный 7 4 2 3 4 2 2 2" xfId="29847"/>
    <cellStyle name="Обычный 7 4 2 3 4 2 2 3" xfId="29848"/>
    <cellStyle name="Обычный 7 4 2 3 4 2 3" xfId="29849"/>
    <cellStyle name="Обычный 7 4 2 3 4 2 3 2" xfId="29850"/>
    <cellStyle name="Обычный 7 4 2 3 4 2 3 3" xfId="29851"/>
    <cellStyle name="Обычный 7 4 2 3 4 2 4" xfId="29852"/>
    <cellStyle name="Обычный 7 4 2 3 4 2 4 2" xfId="29853"/>
    <cellStyle name="Обычный 7 4 2 3 4 2 5" xfId="29854"/>
    <cellStyle name="Обычный 7 4 2 3 4 2 6" xfId="29855"/>
    <cellStyle name="Обычный 7 4 2 3 4 3" xfId="29856"/>
    <cellStyle name="Обычный 7 4 2 3 4 3 2" xfId="29857"/>
    <cellStyle name="Обычный 7 4 2 3 4 3 3" xfId="29858"/>
    <cellStyle name="Обычный 7 4 2 3 4 4" xfId="29859"/>
    <cellStyle name="Обычный 7 4 2 3 4 4 2" xfId="29860"/>
    <cellStyle name="Обычный 7 4 2 3 4 4 3" xfId="29861"/>
    <cellStyle name="Обычный 7 4 2 3 4 5" xfId="29862"/>
    <cellStyle name="Обычный 7 4 2 3 4 5 2" xfId="29863"/>
    <cellStyle name="Обычный 7 4 2 3 4 6" xfId="29864"/>
    <cellStyle name="Обычный 7 4 2 3 4 7" xfId="29865"/>
    <cellStyle name="Обычный 7 4 2 3 5" xfId="29866"/>
    <cellStyle name="Обычный 7 4 2 3 5 2" xfId="29867"/>
    <cellStyle name="Обычный 7 4 2 3 5 2 2" xfId="29868"/>
    <cellStyle name="Обычный 7 4 2 3 5 2 3" xfId="29869"/>
    <cellStyle name="Обычный 7 4 2 3 5 3" xfId="29870"/>
    <cellStyle name="Обычный 7 4 2 3 5 3 2" xfId="29871"/>
    <cellStyle name="Обычный 7 4 2 3 5 3 3" xfId="29872"/>
    <cellStyle name="Обычный 7 4 2 3 5 4" xfId="29873"/>
    <cellStyle name="Обычный 7 4 2 3 5 4 2" xfId="29874"/>
    <cellStyle name="Обычный 7 4 2 3 5 5" xfId="29875"/>
    <cellStyle name="Обычный 7 4 2 3 5 6" xfId="29876"/>
    <cellStyle name="Обычный 7 4 2 3 6" xfId="29877"/>
    <cellStyle name="Обычный 7 4 2 3 6 2" xfId="29878"/>
    <cellStyle name="Обычный 7 4 2 3 6 3" xfId="29879"/>
    <cellStyle name="Обычный 7 4 2 3 7" xfId="29880"/>
    <cellStyle name="Обычный 7 4 2 3 7 2" xfId="29881"/>
    <cellStyle name="Обычный 7 4 2 3 7 3" xfId="29882"/>
    <cellStyle name="Обычный 7 4 2 3 8" xfId="29883"/>
    <cellStyle name="Обычный 7 4 2 3 8 2" xfId="29884"/>
    <cellStyle name="Обычный 7 4 2 3 9" xfId="29885"/>
    <cellStyle name="Обычный 7 4 2 4" xfId="29886"/>
    <cellStyle name="Обычный 7 4 2 4 10" xfId="29887"/>
    <cellStyle name="Обычный 7 4 2 4 2" xfId="29888"/>
    <cellStyle name="Обычный 7 4 2 4 2 2" xfId="29889"/>
    <cellStyle name="Обычный 7 4 2 4 2 2 2" xfId="29890"/>
    <cellStyle name="Обычный 7 4 2 4 2 2 2 2" xfId="29891"/>
    <cellStyle name="Обычный 7 4 2 4 2 2 2 2 2" xfId="29892"/>
    <cellStyle name="Обычный 7 4 2 4 2 2 2 2 2 2" xfId="29893"/>
    <cellStyle name="Обычный 7 4 2 4 2 2 2 2 2 3" xfId="29894"/>
    <cellStyle name="Обычный 7 4 2 4 2 2 2 2 3" xfId="29895"/>
    <cellStyle name="Обычный 7 4 2 4 2 2 2 2 3 2" xfId="29896"/>
    <cellStyle name="Обычный 7 4 2 4 2 2 2 2 3 3" xfId="29897"/>
    <cellStyle name="Обычный 7 4 2 4 2 2 2 2 4" xfId="29898"/>
    <cellStyle name="Обычный 7 4 2 4 2 2 2 2 4 2" xfId="29899"/>
    <cellStyle name="Обычный 7 4 2 4 2 2 2 2 5" xfId="29900"/>
    <cellStyle name="Обычный 7 4 2 4 2 2 2 2 6" xfId="29901"/>
    <cellStyle name="Обычный 7 4 2 4 2 2 2 3" xfId="29902"/>
    <cellStyle name="Обычный 7 4 2 4 2 2 2 3 2" xfId="29903"/>
    <cellStyle name="Обычный 7 4 2 4 2 2 2 3 3" xfId="29904"/>
    <cellStyle name="Обычный 7 4 2 4 2 2 2 4" xfId="29905"/>
    <cellStyle name="Обычный 7 4 2 4 2 2 2 4 2" xfId="29906"/>
    <cellStyle name="Обычный 7 4 2 4 2 2 2 4 3" xfId="29907"/>
    <cellStyle name="Обычный 7 4 2 4 2 2 2 5" xfId="29908"/>
    <cellStyle name="Обычный 7 4 2 4 2 2 2 5 2" xfId="29909"/>
    <cellStyle name="Обычный 7 4 2 4 2 2 2 6" xfId="29910"/>
    <cellStyle name="Обычный 7 4 2 4 2 2 2 7" xfId="29911"/>
    <cellStyle name="Обычный 7 4 2 4 2 2 3" xfId="29912"/>
    <cellStyle name="Обычный 7 4 2 4 2 2 3 2" xfId="29913"/>
    <cellStyle name="Обычный 7 4 2 4 2 2 3 2 2" xfId="29914"/>
    <cellStyle name="Обычный 7 4 2 4 2 2 3 2 3" xfId="29915"/>
    <cellStyle name="Обычный 7 4 2 4 2 2 3 3" xfId="29916"/>
    <cellStyle name="Обычный 7 4 2 4 2 2 3 3 2" xfId="29917"/>
    <cellStyle name="Обычный 7 4 2 4 2 2 3 3 3" xfId="29918"/>
    <cellStyle name="Обычный 7 4 2 4 2 2 3 4" xfId="29919"/>
    <cellStyle name="Обычный 7 4 2 4 2 2 3 4 2" xfId="29920"/>
    <cellStyle name="Обычный 7 4 2 4 2 2 3 5" xfId="29921"/>
    <cellStyle name="Обычный 7 4 2 4 2 2 3 6" xfId="29922"/>
    <cellStyle name="Обычный 7 4 2 4 2 2 4" xfId="29923"/>
    <cellStyle name="Обычный 7 4 2 4 2 2 4 2" xfId="29924"/>
    <cellStyle name="Обычный 7 4 2 4 2 2 4 3" xfId="29925"/>
    <cellStyle name="Обычный 7 4 2 4 2 2 5" xfId="29926"/>
    <cellStyle name="Обычный 7 4 2 4 2 2 5 2" xfId="29927"/>
    <cellStyle name="Обычный 7 4 2 4 2 2 5 3" xfId="29928"/>
    <cellStyle name="Обычный 7 4 2 4 2 2 6" xfId="29929"/>
    <cellStyle name="Обычный 7 4 2 4 2 2 6 2" xfId="29930"/>
    <cellStyle name="Обычный 7 4 2 4 2 2 7" xfId="29931"/>
    <cellStyle name="Обычный 7 4 2 4 2 2 8" xfId="29932"/>
    <cellStyle name="Обычный 7 4 2 4 2 3" xfId="29933"/>
    <cellStyle name="Обычный 7 4 2 4 2 3 2" xfId="29934"/>
    <cellStyle name="Обычный 7 4 2 4 2 3 2 2" xfId="29935"/>
    <cellStyle name="Обычный 7 4 2 4 2 3 2 2 2" xfId="29936"/>
    <cellStyle name="Обычный 7 4 2 4 2 3 2 2 3" xfId="29937"/>
    <cellStyle name="Обычный 7 4 2 4 2 3 2 3" xfId="29938"/>
    <cellStyle name="Обычный 7 4 2 4 2 3 2 3 2" xfId="29939"/>
    <cellStyle name="Обычный 7 4 2 4 2 3 2 3 3" xfId="29940"/>
    <cellStyle name="Обычный 7 4 2 4 2 3 2 4" xfId="29941"/>
    <cellStyle name="Обычный 7 4 2 4 2 3 2 4 2" xfId="29942"/>
    <cellStyle name="Обычный 7 4 2 4 2 3 2 5" xfId="29943"/>
    <cellStyle name="Обычный 7 4 2 4 2 3 2 6" xfId="29944"/>
    <cellStyle name="Обычный 7 4 2 4 2 3 3" xfId="29945"/>
    <cellStyle name="Обычный 7 4 2 4 2 3 3 2" xfId="29946"/>
    <cellStyle name="Обычный 7 4 2 4 2 3 3 3" xfId="29947"/>
    <cellStyle name="Обычный 7 4 2 4 2 3 4" xfId="29948"/>
    <cellStyle name="Обычный 7 4 2 4 2 3 4 2" xfId="29949"/>
    <cellStyle name="Обычный 7 4 2 4 2 3 4 3" xfId="29950"/>
    <cellStyle name="Обычный 7 4 2 4 2 3 5" xfId="29951"/>
    <cellStyle name="Обычный 7 4 2 4 2 3 5 2" xfId="29952"/>
    <cellStyle name="Обычный 7 4 2 4 2 3 6" xfId="29953"/>
    <cellStyle name="Обычный 7 4 2 4 2 3 7" xfId="29954"/>
    <cellStyle name="Обычный 7 4 2 4 2 4" xfId="29955"/>
    <cellStyle name="Обычный 7 4 2 4 2 4 2" xfId="29956"/>
    <cellStyle name="Обычный 7 4 2 4 2 4 2 2" xfId="29957"/>
    <cellStyle name="Обычный 7 4 2 4 2 4 2 3" xfId="29958"/>
    <cellStyle name="Обычный 7 4 2 4 2 4 3" xfId="29959"/>
    <cellStyle name="Обычный 7 4 2 4 2 4 3 2" xfId="29960"/>
    <cellStyle name="Обычный 7 4 2 4 2 4 3 3" xfId="29961"/>
    <cellStyle name="Обычный 7 4 2 4 2 4 4" xfId="29962"/>
    <cellStyle name="Обычный 7 4 2 4 2 4 4 2" xfId="29963"/>
    <cellStyle name="Обычный 7 4 2 4 2 4 5" xfId="29964"/>
    <cellStyle name="Обычный 7 4 2 4 2 4 6" xfId="29965"/>
    <cellStyle name="Обычный 7 4 2 4 2 5" xfId="29966"/>
    <cellStyle name="Обычный 7 4 2 4 2 5 2" xfId="29967"/>
    <cellStyle name="Обычный 7 4 2 4 2 5 3" xfId="29968"/>
    <cellStyle name="Обычный 7 4 2 4 2 6" xfId="29969"/>
    <cellStyle name="Обычный 7 4 2 4 2 6 2" xfId="29970"/>
    <cellStyle name="Обычный 7 4 2 4 2 6 3" xfId="29971"/>
    <cellStyle name="Обычный 7 4 2 4 2 7" xfId="29972"/>
    <cellStyle name="Обычный 7 4 2 4 2 7 2" xfId="29973"/>
    <cellStyle name="Обычный 7 4 2 4 2 8" xfId="29974"/>
    <cellStyle name="Обычный 7 4 2 4 2 9" xfId="29975"/>
    <cellStyle name="Обычный 7 4 2 4 3" xfId="29976"/>
    <cellStyle name="Обычный 7 4 2 4 3 2" xfId="29977"/>
    <cellStyle name="Обычный 7 4 2 4 3 2 2" xfId="29978"/>
    <cellStyle name="Обычный 7 4 2 4 3 2 2 2" xfId="29979"/>
    <cellStyle name="Обычный 7 4 2 4 3 2 2 2 2" xfId="29980"/>
    <cellStyle name="Обычный 7 4 2 4 3 2 2 2 3" xfId="29981"/>
    <cellStyle name="Обычный 7 4 2 4 3 2 2 3" xfId="29982"/>
    <cellStyle name="Обычный 7 4 2 4 3 2 2 3 2" xfId="29983"/>
    <cellStyle name="Обычный 7 4 2 4 3 2 2 3 3" xfId="29984"/>
    <cellStyle name="Обычный 7 4 2 4 3 2 2 4" xfId="29985"/>
    <cellStyle name="Обычный 7 4 2 4 3 2 2 4 2" xfId="29986"/>
    <cellStyle name="Обычный 7 4 2 4 3 2 2 5" xfId="29987"/>
    <cellStyle name="Обычный 7 4 2 4 3 2 2 6" xfId="29988"/>
    <cellStyle name="Обычный 7 4 2 4 3 2 3" xfId="29989"/>
    <cellStyle name="Обычный 7 4 2 4 3 2 3 2" xfId="29990"/>
    <cellStyle name="Обычный 7 4 2 4 3 2 3 3" xfId="29991"/>
    <cellStyle name="Обычный 7 4 2 4 3 2 4" xfId="29992"/>
    <cellStyle name="Обычный 7 4 2 4 3 2 4 2" xfId="29993"/>
    <cellStyle name="Обычный 7 4 2 4 3 2 4 3" xfId="29994"/>
    <cellStyle name="Обычный 7 4 2 4 3 2 5" xfId="29995"/>
    <cellStyle name="Обычный 7 4 2 4 3 2 5 2" xfId="29996"/>
    <cellStyle name="Обычный 7 4 2 4 3 2 6" xfId="29997"/>
    <cellStyle name="Обычный 7 4 2 4 3 2 7" xfId="29998"/>
    <cellStyle name="Обычный 7 4 2 4 3 3" xfId="29999"/>
    <cellStyle name="Обычный 7 4 2 4 3 3 2" xfId="30000"/>
    <cellStyle name="Обычный 7 4 2 4 3 3 2 2" xfId="30001"/>
    <cellStyle name="Обычный 7 4 2 4 3 3 2 3" xfId="30002"/>
    <cellStyle name="Обычный 7 4 2 4 3 3 3" xfId="30003"/>
    <cellStyle name="Обычный 7 4 2 4 3 3 3 2" xfId="30004"/>
    <cellStyle name="Обычный 7 4 2 4 3 3 3 3" xfId="30005"/>
    <cellStyle name="Обычный 7 4 2 4 3 3 4" xfId="30006"/>
    <cellStyle name="Обычный 7 4 2 4 3 3 4 2" xfId="30007"/>
    <cellStyle name="Обычный 7 4 2 4 3 3 5" xfId="30008"/>
    <cellStyle name="Обычный 7 4 2 4 3 3 6" xfId="30009"/>
    <cellStyle name="Обычный 7 4 2 4 3 4" xfId="30010"/>
    <cellStyle name="Обычный 7 4 2 4 3 4 2" xfId="30011"/>
    <cellStyle name="Обычный 7 4 2 4 3 4 3" xfId="30012"/>
    <cellStyle name="Обычный 7 4 2 4 3 5" xfId="30013"/>
    <cellStyle name="Обычный 7 4 2 4 3 5 2" xfId="30014"/>
    <cellStyle name="Обычный 7 4 2 4 3 5 3" xfId="30015"/>
    <cellStyle name="Обычный 7 4 2 4 3 6" xfId="30016"/>
    <cellStyle name="Обычный 7 4 2 4 3 6 2" xfId="30017"/>
    <cellStyle name="Обычный 7 4 2 4 3 7" xfId="30018"/>
    <cellStyle name="Обычный 7 4 2 4 3 8" xfId="30019"/>
    <cellStyle name="Обычный 7 4 2 4 4" xfId="30020"/>
    <cellStyle name="Обычный 7 4 2 4 4 2" xfId="30021"/>
    <cellStyle name="Обычный 7 4 2 4 4 2 2" xfId="30022"/>
    <cellStyle name="Обычный 7 4 2 4 4 2 2 2" xfId="30023"/>
    <cellStyle name="Обычный 7 4 2 4 4 2 2 3" xfId="30024"/>
    <cellStyle name="Обычный 7 4 2 4 4 2 3" xfId="30025"/>
    <cellStyle name="Обычный 7 4 2 4 4 2 3 2" xfId="30026"/>
    <cellStyle name="Обычный 7 4 2 4 4 2 3 3" xfId="30027"/>
    <cellStyle name="Обычный 7 4 2 4 4 2 4" xfId="30028"/>
    <cellStyle name="Обычный 7 4 2 4 4 2 4 2" xfId="30029"/>
    <cellStyle name="Обычный 7 4 2 4 4 2 5" xfId="30030"/>
    <cellStyle name="Обычный 7 4 2 4 4 2 6" xfId="30031"/>
    <cellStyle name="Обычный 7 4 2 4 4 3" xfId="30032"/>
    <cellStyle name="Обычный 7 4 2 4 4 3 2" xfId="30033"/>
    <cellStyle name="Обычный 7 4 2 4 4 3 3" xfId="30034"/>
    <cellStyle name="Обычный 7 4 2 4 4 4" xfId="30035"/>
    <cellStyle name="Обычный 7 4 2 4 4 4 2" xfId="30036"/>
    <cellStyle name="Обычный 7 4 2 4 4 4 3" xfId="30037"/>
    <cellStyle name="Обычный 7 4 2 4 4 5" xfId="30038"/>
    <cellStyle name="Обычный 7 4 2 4 4 5 2" xfId="30039"/>
    <cellStyle name="Обычный 7 4 2 4 4 6" xfId="30040"/>
    <cellStyle name="Обычный 7 4 2 4 4 7" xfId="30041"/>
    <cellStyle name="Обычный 7 4 2 4 5" xfId="30042"/>
    <cellStyle name="Обычный 7 4 2 4 5 2" xfId="30043"/>
    <cellStyle name="Обычный 7 4 2 4 5 2 2" xfId="30044"/>
    <cellStyle name="Обычный 7 4 2 4 5 2 3" xfId="30045"/>
    <cellStyle name="Обычный 7 4 2 4 5 3" xfId="30046"/>
    <cellStyle name="Обычный 7 4 2 4 5 3 2" xfId="30047"/>
    <cellStyle name="Обычный 7 4 2 4 5 3 3" xfId="30048"/>
    <cellStyle name="Обычный 7 4 2 4 5 4" xfId="30049"/>
    <cellStyle name="Обычный 7 4 2 4 5 4 2" xfId="30050"/>
    <cellStyle name="Обычный 7 4 2 4 5 5" xfId="30051"/>
    <cellStyle name="Обычный 7 4 2 4 5 6" xfId="30052"/>
    <cellStyle name="Обычный 7 4 2 4 6" xfId="30053"/>
    <cellStyle name="Обычный 7 4 2 4 6 2" xfId="30054"/>
    <cellStyle name="Обычный 7 4 2 4 6 3" xfId="30055"/>
    <cellStyle name="Обычный 7 4 2 4 7" xfId="30056"/>
    <cellStyle name="Обычный 7 4 2 4 7 2" xfId="30057"/>
    <cellStyle name="Обычный 7 4 2 4 7 3" xfId="30058"/>
    <cellStyle name="Обычный 7 4 2 4 8" xfId="30059"/>
    <cellStyle name="Обычный 7 4 2 4 8 2" xfId="30060"/>
    <cellStyle name="Обычный 7 4 2 4 9" xfId="30061"/>
    <cellStyle name="Обычный 7 4 2 5" xfId="30062"/>
    <cellStyle name="Обычный 7 4 2 5 2" xfId="30063"/>
    <cellStyle name="Обычный 7 4 2 5 2 2" xfId="30064"/>
    <cellStyle name="Обычный 7 4 2 5 2 2 2" xfId="30065"/>
    <cellStyle name="Обычный 7 4 2 5 2 2 2 2" xfId="30066"/>
    <cellStyle name="Обычный 7 4 2 5 2 2 2 2 2" xfId="30067"/>
    <cellStyle name="Обычный 7 4 2 5 2 2 2 2 3" xfId="30068"/>
    <cellStyle name="Обычный 7 4 2 5 2 2 2 3" xfId="30069"/>
    <cellStyle name="Обычный 7 4 2 5 2 2 2 3 2" xfId="30070"/>
    <cellStyle name="Обычный 7 4 2 5 2 2 2 3 3" xfId="30071"/>
    <cellStyle name="Обычный 7 4 2 5 2 2 2 4" xfId="30072"/>
    <cellStyle name="Обычный 7 4 2 5 2 2 2 4 2" xfId="30073"/>
    <cellStyle name="Обычный 7 4 2 5 2 2 2 5" xfId="30074"/>
    <cellStyle name="Обычный 7 4 2 5 2 2 2 6" xfId="30075"/>
    <cellStyle name="Обычный 7 4 2 5 2 2 3" xfId="30076"/>
    <cellStyle name="Обычный 7 4 2 5 2 2 3 2" xfId="30077"/>
    <cellStyle name="Обычный 7 4 2 5 2 2 3 3" xfId="30078"/>
    <cellStyle name="Обычный 7 4 2 5 2 2 4" xfId="30079"/>
    <cellStyle name="Обычный 7 4 2 5 2 2 4 2" xfId="30080"/>
    <cellStyle name="Обычный 7 4 2 5 2 2 4 3" xfId="30081"/>
    <cellStyle name="Обычный 7 4 2 5 2 2 5" xfId="30082"/>
    <cellStyle name="Обычный 7 4 2 5 2 2 5 2" xfId="30083"/>
    <cellStyle name="Обычный 7 4 2 5 2 2 6" xfId="30084"/>
    <cellStyle name="Обычный 7 4 2 5 2 2 7" xfId="30085"/>
    <cellStyle name="Обычный 7 4 2 5 2 3" xfId="30086"/>
    <cellStyle name="Обычный 7 4 2 5 2 3 2" xfId="30087"/>
    <cellStyle name="Обычный 7 4 2 5 2 3 2 2" xfId="30088"/>
    <cellStyle name="Обычный 7 4 2 5 2 3 2 3" xfId="30089"/>
    <cellStyle name="Обычный 7 4 2 5 2 3 3" xfId="30090"/>
    <cellStyle name="Обычный 7 4 2 5 2 3 3 2" xfId="30091"/>
    <cellStyle name="Обычный 7 4 2 5 2 3 3 3" xfId="30092"/>
    <cellStyle name="Обычный 7 4 2 5 2 3 4" xfId="30093"/>
    <cellStyle name="Обычный 7 4 2 5 2 3 4 2" xfId="30094"/>
    <cellStyle name="Обычный 7 4 2 5 2 3 5" xfId="30095"/>
    <cellStyle name="Обычный 7 4 2 5 2 3 6" xfId="30096"/>
    <cellStyle name="Обычный 7 4 2 5 2 4" xfId="30097"/>
    <cellStyle name="Обычный 7 4 2 5 2 4 2" xfId="30098"/>
    <cellStyle name="Обычный 7 4 2 5 2 4 3" xfId="30099"/>
    <cellStyle name="Обычный 7 4 2 5 2 5" xfId="30100"/>
    <cellStyle name="Обычный 7 4 2 5 2 5 2" xfId="30101"/>
    <cellStyle name="Обычный 7 4 2 5 2 5 3" xfId="30102"/>
    <cellStyle name="Обычный 7 4 2 5 2 6" xfId="30103"/>
    <cellStyle name="Обычный 7 4 2 5 2 6 2" xfId="30104"/>
    <cellStyle name="Обычный 7 4 2 5 2 7" xfId="30105"/>
    <cellStyle name="Обычный 7 4 2 5 2 8" xfId="30106"/>
    <cellStyle name="Обычный 7 4 2 5 3" xfId="30107"/>
    <cellStyle name="Обычный 7 4 2 5 3 2" xfId="30108"/>
    <cellStyle name="Обычный 7 4 2 5 3 2 2" xfId="30109"/>
    <cellStyle name="Обычный 7 4 2 5 3 2 2 2" xfId="30110"/>
    <cellStyle name="Обычный 7 4 2 5 3 2 2 3" xfId="30111"/>
    <cellStyle name="Обычный 7 4 2 5 3 2 3" xfId="30112"/>
    <cellStyle name="Обычный 7 4 2 5 3 2 3 2" xfId="30113"/>
    <cellStyle name="Обычный 7 4 2 5 3 2 3 3" xfId="30114"/>
    <cellStyle name="Обычный 7 4 2 5 3 2 4" xfId="30115"/>
    <cellStyle name="Обычный 7 4 2 5 3 2 4 2" xfId="30116"/>
    <cellStyle name="Обычный 7 4 2 5 3 2 5" xfId="30117"/>
    <cellStyle name="Обычный 7 4 2 5 3 2 6" xfId="30118"/>
    <cellStyle name="Обычный 7 4 2 5 3 3" xfId="30119"/>
    <cellStyle name="Обычный 7 4 2 5 3 3 2" xfId="30120"/>
    <cellStyle name="Обычный 7 4 2 5 3 3 3" xfId="30121"/>
    <cellStyle name="Обычный 7 4 2 5 3 4" xfId="30122"/>
    <cellStyle name="Обычный 7 4 2 5 3 4 2" xfId="30123"/>
    <cellStyle name="Обычный 7 4 2 5 3 4 3" xfId="30124"/>
    <cellStyle name="Обычный 7 4 2 5 3 5" xfId="30125"/>
    <cellStyle name="Обычный 7 4 2 5 3 5 2" xfId="30126"/>
    <cellStyle name="Обычный 7 4 2 5 3 6" xfId="30127"/>
    <cellStyle name="Обычный 7 4 2 5 3 7" xfId="30128"/>
    <cellStyle name="Обычный 7 4 2 5 4" xfId="30129"/>
    <cellStyle name="Обычный 7 4 2 5 4 2" xfId="30130"/>
    <cellStyle name="Обычный 7 4 2 5 4 2 2" xfId="30131"/>
    <cellStyle name="Обычный 7 4 2 5 4 2 3" xfId="30132"/>
    <cellStyle name="Обычный 7 4 2 5 4 3" xfId="30133"/>
    <cellStyle name="Обычный 7 4 2 5 4 3 2" xfId="30134"/>
    <cellStyle name="Обычный 7 4 2 5 4 3 3" xfId="30135"/>
    <cellStyle name="Обычный 7 4 2 5 4 4" xfId="30136"/>
    <cellStyle name="Обычный 7 4 2 5 4 4 2" xfId="30137"/>
    <cellStyle name="Обычный 7 4 2 5 4 5" xfId="30138"/>
    <cellStyle name="Обычный 7 4 2 5 4 6" xfId="30139"/>
    <cellStyle name="Обычный 7 4 2 5 5" xfId="30140"/>
    <cellStyle name="Обычный 7 4 2 5 5 2" xfId="30141"/>
    <cellStyle name="Обычный 7 4 2 5 5 3" xfId="30142"/>
    <cellStyle name="Обычный 7 4 2 5 6" xfId="30143"/>
    <cellStyle name="Обычный 7 4 2 5 6 2" xfId="30144"/>
    <cellStyle name="Обычный 7 4 2 5 6 3" xfId="30145"/>
    <cellStyle name="Обычный 7 4 2 5 7" xfId="30146"/>
    <cellStyle name="Обычный 7 4 2 5 7 2" xfId="30147"/>
    <cellStyle name="Обычный 7 4 2 5 8" xfId="30148"/>
    <cellStyle name="Обычный 7 4 2 5 9" xfId="30149"/>
    <cellStyle name="Обычный 7 4 2 6" xfId="30150"/>
    <cellStyle name="Обычный 7 4 2 6 2" xfId="30151"/>
    <cellStyle name="Обычный 7 4 2 6 2 2" xfId="30152"/>
    <cellStyle name="Обычный 7 4 2 6 2 2 2" xfId="30153"/>
    <cellStyle name="Обычный 7 4 2 6 2 2 2 2" xfId="30154"/>
    <cellStyle name="Обычный 7 4 2 6 2 2 2 3" xfId="30155"/>
    <cellStyle name="Обычный 7 4 2 6 2 2 3" xfId="30156"/>
    <cellStyle name="Обычный 7 4 2 6 2 2 3 2" xfId="30157"/>
    <cellStyle name="Обычный 7 4 2 6 2 2 3 3" xfId="30158"/>
    <cellStyle name="Обычный 7 4 2 6 2 2 4" xfId="30159"/>
    <cellStyle name="Обычный 7 4 2 6 2 2 4 2" xfId="30160"/>
    <cellStyle name="Обычный 7 4 2 6 2 2 5" xfId="30161"/>
    <cellStyle name="Обычный 7 4 2 6 2 2 6" xfId="30162"/>
    <cellStyle name="Обычный 7 4 2 6 2 3" xfId="30163"/>
    <cellStyle name="Обычный 7 4 2 6 2 3 2" xfId="30164"/>
    <cellStyle name="Обычный 7 4 2 6 2 3 3" xfId="30165"/>
    <cellStyle name="Обычный 7 4 2 6 2 4" xfId="30166"/>
    <cellStyle name="Обычный 7 4 2 6 2 4 2" xfId="30167"/>
    <cellStyle name="Обычный 7 4 2 6 2 4 3" xfId="30168"/>
    <cellStyle name="Обычный 7 4 2 6 2 5" xfId="30169"/>
    <cellStyle name="Обычный 7 4 2 6 2 5 2" xfId="30170"/>
    <cellStyle name="Обычный 7 4 2 6 2 6" xfId="30171"/>
    <cellStyle name="Обычный 7 4 2 6 2 7" xfId="30172"/>
    <cellStyle name="Обычный 7 4 2 6 3" xfId="30173"/>
    <cellStyle name="Обычный 7 4 2 6 3 2" xfId="30174"/>
    <cellStyle name="Обычный 7 4 2 6 3 2 2" xfId="30175"/>
    <cellStyle name="Обычный 7 4 2 6 3 2 3" xfId="30176"/>
    <cellStyle name="Обычный 7 4 2 6 3 3" xfId="30177"/>
    <cellStyle name="Обычный 7 4 2 6 3 3 2" xfId="30178"/>
    <cellStyle name="Обычный 7 4 2 6 3 3 3" xfId="30179"/>
    <cellStyle name="Обычный 7 4 2 6 3 4" xfId="30180"/>
    <cellStyle name="Обычный 7 4 2 6 3 4 2" xfId="30181"/>
    <cellStyle name="Обычный 7 4 2 6 3 5" xfId="30182"/>
    <cellStyle name="Обычный 7 4 2 6 3 6" xfId="30183"/>
    <cellStyle name="Обычный 7 4 2 6 4" xfId="30184"/>
    <cellStyle name="Обычный 7 4 2 6 4 2" xfId="30185"/>
    <cellStyle name="Обычный 7 4 2 6 4 3" xfId="30186"/>
    <cellStyle name="Обычный 7 4 2 6 5" xfId="30187"/>
    <cellStyle name="Обычный 7 4 2 6 5 2" xfId="30188"/>
    <cellStyle name="Обычный 7 4 2 6 5 3" xfId="30189"/>
    <cellStyle name="Обычный 7 4 2 6 6" xfId="30190"/>
    <cellStyle name="Обычный 7 4 2 6 6 2" xfId="30191"/>
    <cellStyle name="Обычный 7 4 2 6 7" xfId="30192"/>
    <cellStyle name="Обычный 7 4 2 6 8" xfId="30193"/>
    <cellStyle name="Обычный 7 4 2 7" xfId="30194"/>
    <cellStyle name="Обычный 7 4 2 7 2" xfId="30195"/>
    <cellStyle name="Обычный 7 4 2 7 2 2" xfId="30196"/>
    <cellStyle name="Обычный 7 4 2 7 2 2 2" xfId="30197"/>
    <cellStyle name="Обычный 7 4 2 7 2 2 3" xfId="30198"/>
    <cellStyle name="Обычный 7 4 2 7 2 3" xfId="30199"/>
    <cellStyle name="Обычный 7 4 2 7 2 3 2" xfId="30200"/>
    <cellStyle name="Обычный 7 4 2 7 2 3 3" xfId="30201"/>
    <cellStyle name="Обычный 7 4 2 7 2 4" xfId="30202"/>
    <cellStyle name="Обычный 7 4 2 7 2 4 2" xfId="30203"/>
    <cellStyle name="Обычный 7 4 2 7 2 5" xfId="30204"/>
    <cellStyle name="Обычный 7 4 2 7 2 6" xfId="30205"/>
    <cellStyle name="Обычный 7 4 2 7 3" xfId="30206"/>
    <cellStyle name="Обычный 7 4 2 7 3 2" xfId="30207"/>
    <cellStyle name="Обычный 7 4 2 7 3 3" xfId="30208"/>
    <cellStyle name="Обычный 7 4 2 7 4" xfId="30209"/>
    <cellStyle name="Обычный 7 4 2 7 4 2" xfId="30210"/>
    <cellStyle name="Обычный 7 4 2 7 4 3" xfId="30211"/>
    <cellStyle name="Обычный 7 4 2 7 5" xfId="30212"/>
    <cellStyle name="Обычный 7 4 2 7 5 2" xfId="30213"/>
    <cellStyle name="Обычный 7 4 2 7 6" xfId="30214"/>
    <cellStyle name="Обычный 7 4 2 7 7" xfId="30215"/>
    <cellStyle name="Обычный 7 4 2 8" xfId="30216"/>
    <cellStyle name="Обычный 7 4 2 8 2" xfId="30217"/>
    <cellStyle name="Обычный 7 4 2 8 2 2" xfId="30218"/>
    <cellStyle name="Обычный 7 4 2 8 2 3" xfId="30219"/>
    <cellStyle name="Обычный 7 4 2 8 3" xfId="30220"/>
    <cellStyle name="Обычный 7 4 2 8 3 2" xfId="30221"/>
    <cellStyle name="Обычный 7 4 2 8 3 3" xfId="30222"/>
    <cellStyle name="Обычный 7 4 2 8 4" xfId="30223"/>
    <cellStyle name="Обычный 7 4 2 8 4 2" xfId="30224"/>
    <cellStyle name="Обычный 7 4 2 8 5" xfId="30225"/>
    <cellStyle name="Обычный 7 4 2 8 6" xfId="30226"/>
    <cellStyle name="Обычный 7 4 2 9" xfId="30227"/>
    <cellStyle name="Обычный 7 4 2 9 2" xfId="30228"/>
    <cellStyle name="Обычный 7 4 2 9 3" xfId="30229"/>
    <cellStyle name="Обычный 7 4 3" xfId="30230"/>
    <cellStyle name="Обычный 7 4 3 10" xfId="30231"/>
    <cellStyle name="Обычный 7 4 3 2" xfId="30232"/>
    <cellStyle name="Обычный 7 4 3 2 2" xfId="30233"/>
    <cellStyle name="Обычный 7 4 3 2 2 2" xfId="30234"/>
    <cellStyle name="Обычный 7 4 3 2 2 2 2" xfId="30235"/>
    <cellStyle name="Обычный 7 4 3 2 2 2 2 2" xfId="30236"/>
    <cellStyle name="Обычный 7 4 3 2 2 2 2 2 2" xfId="30237"/>
    <cellStyle name="Обычный 7 4 3 2 2 2 2 2 3" xfId="30238"/>
    <cellStyle name="Обычный 7 4 3 2 2 2 2 3" xfId="30239"/>
    <cellStyle name="Обычный 7 4 3 2 2 2 2 3 2" xfId="30240"/>
    <cellStyle name="Обычный 7 4 3 2 2 2 2 3 3" xfId="30241"/>
    <cellStyle name="Обычный 7 4 3 2 2 2 2 4" xfId="30242"/>
    <cellStyle name="Обычный 7 4 3 2 2 2 2 4 2" xfId="30243"/>
    <cellStyle name="Обычный 7 4 3 2 2 2 2 5" xfId="30244"/>
    <cellStyle name="Обычный 7 4 3 2 2 2 2 6" xfId="30245"/>
    <cellStyle name="Обычный 7 4 3 2 2 2 3" xfId="30246"/>
    <cellStyle name="Обычный 7 4 3 2 2 2 3 2" xfId="30247"/>
    <cellStyle name="Обычный 7 4 3 2 2 2 3 3" xfId="30248"/>
    <cellStyle name="Обычный 7 4 3 2 2 2 4" xfId="30249"/>
    <cellStyle name="Обычный 7 4 3 2 2 2 4 2" xfId="30250"/>
    <cellStyle name="Обычный 7 4 3 2 2 2 4 3" xfId="30251"/>
    <cellStyle name="Обычный 7 4 3 2 2 2 5" xfId="30252"/>
    <cellStyle name="Обычный 7 4 3 2 2 2 5 2" xfId="30253"/>
    <cellStyle name="Обычный 7 4 3 2 2 2 6" xfId="30254"/>
    <cellStyle name="Обычный 7 4 3 2 2 2 7" xfId="30255"/>
    <cellStyle name="Обычный 7 4 3 2 2 3" xfId="30256"/>
    <cellStyle name="Обычный 7 4 3 2 2 3 2" xfId="30257"/>
    <cellStyle name="Обычный 7 4 3 2 2 3 2 2" xfId="30258"/>
    <cellStyle name="Обычный 7 4 3 2 2 3 2 3" xfId="30259"/>
    <cellStyle name="Обычный 7 4 3 2 2 3 3" xfId="30260"/>
    <cellStyle name="Обычный 7 4 3 2 2 3 3 2" xfId="30261"/>
    <cellStyle name="Обычный 7 4 3 2 2 3 3 3" xfId="30262"/>
    <cellStyle name="Обычный 7 4 3 2 2 3 4" xfId="30263"/>
    <cellStyle name="Обычный 7 4 3 2 2 3 4 2" xfId="30264"/>
    <cellStyle name="Обычный 7 4 3 2 2 3 5" xfId="30265"/>
    <cellStyle name="Обычный 7 4 3 2 2 3 6" xfId="30266"/>
    <cellStyle name="Обычный 7 4 3 2 2 4" xfId="30267"/>
    <cellStyle name="Обычный 7 4 3 2 2 4 2" xfId="30268"/>
    <cellStyle name="Обычный 7 4 3 2 2 4 3" xfId="30269"/>
    <cellStyle name="Обычный 7 4 3 2 2 5" xfId="30270"/>
    <cellStyle name="Обычный 7 4 3 2 2 5 2" xfId="30271"/>
    <cellStyle name="Обычный 7 4 3 2 2 5 3" xfId="30272"/>
    <cellStyle name="Обычный 7 4 3 2 2 6" xfId="30273"/>
    <cellStyle name="Обычный 7 4 3 2 2 6 2" xfId="30274"/>
    <cellStyle name="Обычный 7 4 3 2 2 7" xfId="30275"/>
    <cellStyle name="Обычный 7 4 3 2 2 8" xfId="30276"/>
    <cellStyle name="Обычный 7 4 3 2 3" xfId="30277"/>
    <cellStyle name="Обычный 7 4 3 2 3 2" xfId="30278"/>
    <cellStyle name="Обычный 7 4 3 2 3 2 2" xfId="30279"/>
    <cellStyle name="Обычный 7 4 3 2 3 2 2 2" xfId="30280"/>
    <cellStyle name="Обычный 7 4 3 2 3 2 2 3" xfId="30281"/>
    <cellStyle name="Обычный 7 4 3 2 3 2 3" xfId="30282"/>
    <cellStyle name="Обычный 7 4 3 2 3 2 3 2" xfId="30283"/>
    <cellStyle name="Обычный 7 4 3 2 3 2 3 3" xfId="30284"/>
    <cellStyle name="Обычный 7 4 3 2 3 2 4" xfId="30285"/>
    <cellStyle name="Обычный 7 4 3 2 3 2 4 2" xfId="30286"/>
    <cellStyle name="Обычный 7 4 3 2 3 2 5" xfId="30287"/>
    <cellStyle name="Обычный 7 4 3 2 3 2 6" xfId="30288"/>
    <cellStyle name="Обычный 7 4 3 2 3 3" xfId="30289"/>
    <cellStyle name="Обычный 7 4 3 2 3 3 2" xfId="30290"/>
    <cellStyle name="Обычный 7 4 3 2 3 3 3" xfId="30291"/>
    <cellStyle name="Обычный 7 4 3 2 3 4" xfId="30292"/>
    <cellStyle name="Обычный 7 4 3 2 3 4 2" xfId="30293"/>
    <cellStyle name="Обычный 7 4 3 2 3 4 3" xfId="30294"/>
    <cellStyle name="Обычный 7 4 3 2 3 5" xfId="30295"/>
    <cellStyle name="Обычный 7 4 3 2 3 5 2" xfId="30296"/>
    <cellStyle name="Обычный 7 4 3 2 3 6" xfId="30297"/>
    <cellStyle name="Обычный 7 4 3 2 3 7" xfId="30298"/>
    <cellStyle name="Обычный 7 4 3 2 4" xfId="30299"/>
    <cellStyle name="Обычный 7 4 3 2 4 2" xfId="30300"/>
    <cellStyle name="Обычный 7 4 3 2 4 2 2" xfId="30301"/>
    <cellStyle name="Обычный 7 4 3 2 4 2 3" xfId="30302"/>
    <cellStyle name="Обычный 7 4 3 2 4 3" xfId="30303"/>
    <cellStyle name="Обычный 7 4 3 2 4 3 2" xfId="30304"/>
    <cellStyle name="Обычный 7 4 3 2 4 3 3" xfId="30305"/>
    <cellStyle name="Обычный 7 4 3 2 4 4" xfId="30306"/>
    <cellStyle name="Обычный 7 4 3 2 4 4 2" xfId="30307"/>
    <cellStyle name="Обычный 7 4 3 2 4 5" xfId="30308"/>
    <cellStyle name="Обычный 7 4 3 2 4 6" xfId="30309"/>
    <cellStyle name="Обычный 7 4 3 2 5" xfId="30310"/>
    <cellStyle name="Обычный 7 4 3 2 5 2" xfId="30311"/>
    <cellStyle name="Обычный 7 4 3 2 5 3" xfId="30312"/>
    <cellStyle name="Обычный 7 4 3 2 6" xfId="30313"/>
    <cellStyle name="Обычный 7 4 3 2 6 2" xfId="30314"/>
    <cellStyle name="Обычный 7 4 3 2 6 3" xfId="30315"/>
    <cellStyle name="Обычный 7 4 3 2 7" xfId="30316"/>
    <cellStyle name="Обычный 7 4 3 2 7 2" xfId="30317"/>
    <cellStyle name="Обычный 7 4 3 2 8" xfId="30318"/>
    <cellStyle name="Обычный 7 4 3 2 9" xfId="30319"/>
    <cellStyle name="Обычный 7 4 3 3" xfId="30320"/>
    <cellStyle name="Обычный 7 4 3 3 2" xfId="30321"/>
    <cellStyle name="Обычный 7 4 3 3 2 2" xfId="30322"/>
    <cellStyle name="Обычный 7 4 3 3 2 2 2" xfId="30323"/>
    <cellStyle name="Обычный 7 4 3 3 2 2 2 2" xfId="30324"/>
    <cellStyle name="Обычный 7 4 3 3 2 2 2 3" xfId="30325"/>
    <cellStyle name="Обычный 7 4 3 3 2 2 3" xfId="30326"/>
    <cellStyle name="Обычный 7 4 3 3 2 2 3 2" xfId="30327"/>
    <cellStyle name="Обычный 7 4 3 3 2 2 3 3" xfId="30328"/>
    <cellStyle name="Обычный 7 4 3 3 2 2 4" xfId="30329"/>
    <cellStyle name="Обычный 7 4 3 3 2 2 4 2" xfId="30330"/>
    <cellStyle name="Обычный 7 4 3 3 2 2 5" xfId="30331"/>
    <cellStyle name="Обычный 7 4 3 3 2 2 6" xfId="30332"/>
    <cellStyle name="Обычный 7 4 3 3 2 3" xfId="30333"/>
    <cellStyle name="Обычный 7 4 3 3 2 3 2" xfId="30334"/>
    <cellStyle name="Обычный 7 4 3 3 2 3 3" xfId="30335"/>
    <cellStyle name="Обычный 7 4 3 3 2 4" xfId="30336"/>
    <cellStyle name="Обычный 7 4 3 3 2 4 2" xfId="30337"/>
    <cellStyle name="Обычный 7 4 3 3 2 4 3" xfId="30338"/>
    <cellStyle name="Обычный 7 4 3 3 2 5" xfId="30339"/>
    <cellStyle name="Обычный 7 4 3 3 2 5 2" xfId="30340"/>
    <cellStyle name="Обычный 7 4 3 3 2 6" xfId="30341"/>
    <cellStyle name="Обычный 7 4 3 3 2 7" xfId="30342"/>
    <cellStyle name="Обычный 7 4 3 3 3" xfId="30343"/>
    <cellStyle name="Обычный 7 4 3 3 3 2" xfId="30344"/>
    <cellStyle name="Обычный 7 4 3 3 3 2 2" xfId="30345"/>
    <cellStyle name="Обычный 7 4 3 3 3 2 3" xfId="30346"/>
    <cellStyle name="Обычный 7 4 3 3 3 3" xfId="30347"/>
    <cellStyle name="Обычный 7 4 3 3 3 3 2" xfId="30348"/>
    <cellStyle name="Обычный 7 4 3 3 3 3 3" xfId="30349"/>
    <cellStyle name="Обычный 7 4 3 3 3 4" xfId="30350"/>
    <cellStyle name="Обычный 7 4 3 3 3 4 2" xfId="30351"/>
    <cellStyle name="Обычный 7 4 3 3 3 5" xfId="30352"/>
    <cellStyle name="Обычный 7 4 3 3 3 6" xfId="30353"/>
    <cellStyle name="Обычный 7 4 3 3 4" xfId="30354"/>
    <cellStyle name="Обычный 7 4 3 3 4 2" xfId="30355"/>
    <cellStyle name="Обычный 7 4 3 3 4 3" xfId="30356"/>
    <cellStyle name="Обычный 7 4 3 3 5" xfId="30357"/>
    <cellStyle name="Обычный 7 4 3 3 5 2" xfId="30358"/>
    <cellStyle name="Обычный 7 4 3 3 5 3" xfId="30359"/>
    <cellStyle name="Обычный 7 4 3 3 6" xfId="30360"/>
    <cellStyle name="Обычный 7 4 3 3 6 2" xfId="30361"/>
    <cellStyle name="Обычный 7 4 3 3 7" xfId="30362"/>
    <cellStyle name="Обычный 7 4 3 3 8" xfId="30363"/>
    <cellStyle name="Обычный 7 4 3 4" xfId="30364"/>
    <cellStyle name="Обычный 7 4 3 4 2" xfId="30365"/>
    <cellStyle name="Обычный 7 4 3 4 2 2" xfId="30366"/>
    <cellStyle name="Обычный 7 4 3 4 2 2 2" xfId="30367"/>
    <cellStyle name="Обычный 7 4 3 4 2 2 3" xfId="30368"/>
    <cellStyle name="Обычный 7 4 3 4 2 3" xfId="30369"/>
    <cellStyle name="Обычный 7 4 3 4 2 3 2" xfId="30370"/>
    <cellStyle name="Обычный 7 4 3 4 2 3 3" xfId="30371"/>
    <cellStyle name="Обычный 7 4 3 4 2 4" xfId="30372"/>
    <cellStyle name="Обычный 7 4 3 4 2 4 2" xfId="30373"/>
    <cellStyle name="Обычный 7 4 3 4 2 5" xfId="30374"/>
    <cellStyle name="Обычный 7 4 3 4 2 6" xfId="30375"/>
    <cellStyle name="Обычный 7 4 3 4 3" xfId="30376"/>
    <cellStyle name="Обычный 7 4 3 4 3 2" xfId="30377"/>
    <cellStyle name="Обычный 7 4 3 4 3 3" xfId="30378"/>
    <cellStyle name="Обычный 7 4 3 4 4" xfId="30379"/>
    <cellStyle name="Обычный 7 4 3 4 4 2" xfId="30380"/>
    <cellStyle name="Обычный 7 4 3 4 4 3" xfId="30381"/>
    <cellStyle name="Обычный 7 4 3 4 5" xfId="30382"/>
    <cellStyle name="Обычный 7 4 3 4 5 2" xfId="30383"/>
    <cellStyle name="Обычный 7 4 3 4 6" xfId="30384"/>
    <cellStyle name="Обычный 7 4 3 4 7" xfId="30385"/>
    <cellStyle name="Обычный 7 4 3 5" xfId="30386"/>
    <cellStyle name="Обычный 7 4 3 5 2" xfId="30387"/>
    <cellStyle name="Обычный 7 4 3 5 2 2" xfId="30388"/>
    <cellStyle name="Обычный 7 4 3 5 2 3" xfId="30389"/>
    <cellStyle name="Обычный 7 4 3 5 3" xfId="30390"/>
    <cellStyle name="Обычный 7 4 3 5 3 2" xfId="30391"/>
    <cellStyle name="Обычный 7 4 3 5 3 3" xfId="30392"/>
    <cellStyle name="Обычный 7 4 3 5 4" xfId="30393"/>
    <cellStyle name="Обычный 7 4 3 5 4 2" xfId="30394"/>
    <cellStyle name="Обычный 7 4 3 5 5" xfId="30395"/>
    <cellStyle name="Обычный 7 4 3 5 6" xfId="30396"/>
    <cellStyle name="Обычный 7 4 3 6" xfId="30397"/>
    <cellStyle name="Обычный 7 4 3 6 2" xfId="30398"/>
    <cellStyle name="Обычный 7 4 3 6 3" xfId="30399"/>
    <cellStyle name="Обычный 7 4 3 7" xfId="30400"/>
    <cellStyle name="Обычный 7 4 3 7 2" xfId="30401"/>
    <cellStyle name="Обычный 7 4 3 7 3" xfId="30402"/>
    <cellStyle name="Обычный 7 4 3 8" xfId="30403"/>
    <cellStyle name="Обычный 7 4 3 8 2" xfId="30404"/>
    <cellStyle name="Обычный 7 4 3 9" xfId="30405"/>
    <cellStyle name="Обычный 7 4 4" xfId="30406"/>
    <cellStyle name="Обычный 7 4 4 10" xfId="30407"/>
    <cellStyle name="Обычный 7 4 4 2" xfId="30408"/>
    <cellStyle name="Обычный 7 4 4 2 2" xfId="30409"/>
    <cellStyle name="Обычный 7 4 4 2 2 2" xfId="30410"/>
    <cellStyle name="Обычный 7 4 4 2 2 2 2" xfId="30411"/>
    <cellStyle name="Обычный 7 4 4 2 2 2 2 2" xfId="30412"/>
    <cellStyle name="Обычный 7 4 4 2 2 2 2 2 2" xfId="30413"/>
    <cellStyle name="Обычный 7 4 4 2 2 2 2 2 3" xfId="30414"/>
    <cellStyle name="Обычный 7 4 4 2 2 2 2 3" xfId="30415"/>
    <cellStyle name="Обычный 7 4 4 2 2 2 2 3 2" xfId="30416"/>
    <cellStyle name="Обычный 7 4 4 2 2 2 2 3 3" xfId="30417"/>
    <cellStyle name="Обычный 7 4 4 2 2 2 2 4" xfId="30418"/>
    <cellStyle name="Обычный 7 4 4 2 2 2 2 4 2" xfId="30419"/>
    <cellStyle name="Обычный 7 4 4 2 2 2 2 5" xfId="30420"/>
    <cellStyle name="Обычный 7 4 4 2 2 2 2 6" xfId="30421"/>
    <cellStyle name="Обычный 7 4 4 2 2 2 3" xfId="30422"/>
    <cellStyle name="Обычный 7 4 4 2 2 2 3 2" xfId="30423"/>
    <cellStyle name="Обычный 7 4 4 2 2 2 3 3" xfId="30424"/>
    <cellStyle name="Обычный 7 4 4 2 2 2 4" xfId="30425"/>
    <cellStyle name="Обычный 7 4 4 2 2 2 4 2" xfId="30426"/>
    <cellStyle name="Обычный 7 4 4 2 2 2 4 3" xfId="30427"/>
    <cellStyle name="Обычный 7 4 4 2 2 2 5" xfId="30428"/>
    <cellStyle name="Обычный 7 4 4 2 2 2 5 2" xfId="30429"/>
    <cellStyle name="Обычный 7 4 4 2 2 2 6" xfId="30430"/>
    <cellStyle name="Обычный 7 4 4 2 2 2 7" xfId="30431"/>
    <cellStyle name="Обычный 7 4 4 2 2 3" xfId="30432"/>
    <cellStyle name="Обычный 7 4 4 2 2 3 2" xfId="30433"/>
    <cellStyle name="Обычный 7 4 4 2 2 3 2 2" xfId="30434"/>
    <cellStyle name="Обычный 7 4 4 2 2 3 2 3" xfId="30435"/>
    <cellStyle name="Обычный 7 4 4 2 2 3 3" xfId="30436"/>
    <cellStyle name="Обычный 7 4 4 2 2 3 3 2" xfId="30437"/>
    <cellStyle name="Обычный 7 4 4 2 2 3 3 3" xfId="30438"/>
    <cellStyle name="Обычный 7 4 4 2 2 3 4" xfId="30439"/>
    <cellStyle name="Обычный 7 4 4 2 2 3 4 2" xfId="30440"/>
    <cellStyle name="Обычный 7 4 4 2 2 3 5" xfId="30441"/>
    <cellStyle name="Обычный 7 4 4 2 2 3 6" xfId="30442"/>
    <cellStyle name="Обычный 7 4 4 2 2 4" xfId="30443"/>
    <cellStyle name="Обычный 7 4 4 2 2 4 2" xfId="30444"/>
    <cellStyle name="Обычный 7 4 4 2 2 4 3" xfId="30445"/>
    <cellStyle name="Обычный 7 4 4 2 2 5" xfId="30446"/>
    <cellStyle name="Обычный 7 4 4 2 2 5 2" xfId="30447"/>
    <cellStyle name="Обычный 7 4 4 2 2 5 3" xfId="30448"/>
    <cellStyle name="Обычный 7 4 4 2 2 6" xfId="30449"/>
    <cellStyle name="Обычный 7 4 4 2 2 6 2" xfId="30450"/>
    <cellStyle name="Обычный 7 4 4 2 2 7" xfId="30451"/>
    <cellStyle name="Обычный 7 4 4 2 2 8" xfId="30452"/>
    <cellStyle name="Обычный 7 4 4 2 3" xfId="30453"/>
    <cellStyle name="Обычный 7 4 4 2 3 2" xfId="30454"/>
    <cellStyle name="Обычный 7 4 4 2 3 2 2" xfId="30455"/>
    <cellStyle name="Обычный 7 4 4 2 3 2 2 2" xfId="30456"/>
    <cellStyle name="Обычный 7 4 4 2 3 2 2 3" xfId="30457"/>
    <cellStyle name="Обычный 7 4 4 2 3 2 3" xfId="30458"/>
    <cellStyle name="Обычный 7 4 4 2 3 2 3 2" xfId="30459"/>
    <cellStyle name="Обычный 7 4 4 2 3 2 3 3" xfId="30460"/>
    <cellStyle name="Обычный 7 4 4 2 3 2 4" xfId="30461"/>
    <cellStyle name="Обычный 7 4 4 2 3 2 4 2" xfId="30462"/>
    <cellStyle name="Обычный 7 4 4 2 3 2 5" xfId="30463"/>
    <cellStyle name="Обычный 7 4 4 2 3 2 6" xfId="30464"/>
    <cellStyle name="Обычный 7 4 4 2 3 3" xfId="30465"/>
    <cellStyle name="Обычный 7 4 4 2 3 3 2" xfId="30466"/>
    <cellStyle name="Обычный 7 4 4 2 3 3 3" xfId="30467"/>
    <cellStyle name="Обычный 7 4 4 2 3 4" xfId="30468"/>
    <cellStyle name="Обычный 7 4 4 2 3 4 2" xfId="30469"/>
    <cellStyle name="Обычный 7 4 4 2 3 4 3" xfId="30470"/>
    <cellStyle name="Обычный 7 4 4 2 3 5" xfId="30471"/>
    <cellStyle name="Обычный 7 4 4 2 3 5 2" xfId="30472"/>
    <cellStyle name="Обычный 7 4 4 2 3 6" xfId="30473"/>
    <cellStyle name="Обычный 7 4 4 2 3 7" xfId="30474"/>
    <cellStyle name="Обычный 7 4 4 2 4" xfId="30475"/>
    <cellStyle name="Обычный 7 4 4 2 4 2" xfId="30476"/>
    <cellStyle name="Обычный 7 4 4 2 4 2 2" xfId="30477"/>
    <cellStyle name="Обычный 7 4 4 2 4 2 3" xfId="30478"/>
    <cellStyle name="Обычный 7 4 4 2 4 3" xfId="30479"/>
    <cellStyle name="Обычный 7 4 4 2 4 3 2" xfId="30480"/>
    <cellStyle name="Обычный 7 4 4 2 4 3 3" xfId="30481"/>
    <cellStyle name="Обычный 7 4 4 2 4 4" xfId="30482"/>
    <cellStyle name="Обычный 7 4 4 2 4 4 2" xfId="30483"/>
    <cellStyle name="Обычный 7 4 4 2 4 5" xfId="30484"/>
    <cellStyle name="Обычный 7 4 4 2 4 6" xfId="30485"/>
    <cellStyle name="Обычный 7 4 4 2 5" xfId="30486"/>
    <cellStyle name="Обычный 7 4 4 2 5 2" xfId="30487"/>
    <cellStyle name="Обычный 7 4 4 2 5 3" xfId="30488"/>
    <cellStyle name="Обычный 7 4 4 2 6" xfId="30489"/>
    <cellStyle name="Обычный 7 4 4 2 6 2" xfId="30490"/>
    <cellStyle name="Обычный 7 4 4 2 6 3" xfId="30491"/>
    <cellStyle name="Обычный 7 4 4 2 7" xfId="30492"/>
    <cellStyle name="Обычный 7 4 4 2 7 2" xfId="30493"/>
    <cellStyle name="Обычный 7 4 4 2 8" xfId="30494"/>
    <cellStyle name="Обычный 7 4 4 2 9" xfId="30495"/>
    <cellStyle name="Обычный 7 4 4 3" xfId="30496"/>
    <cellStyle name="Обычный 7 4 4 3 2" xfId="30497"/>
    <cellStyle name="Обычный 7 4 4 3 2 2" xfId="30498"/>
    <cellStyle name="Обычный 7 4 4 3 2 2 2" xfId="30499"/>
    <cellStyle name="Обычный 7 4 4 3 2 2 2 2" xfId="30500"/>
    <cellStyle name="Обычный 7 4 4 3 2 2 2 3" xfId="30501"/>
    <cellStyle name="Обычный 7 4 4 3 2 2 3" xfId="30502"/>
    <cellStyle name="Обычный 7 4 4 3 2 2 3 2" xfId="30503"/>
    <cellStyle name="Обычный 7 4 4 3 2 2 3 3" xfId="30504"/>
    <cellStyle name="Обычный 7 4 4 3 2 2 4" xfId="30505"/>
    <cellStyle name="Обычный 7 4 4 3 2 2 4 2" xfId="30506"/>
    <cellStyle name="Обычный 7 4 4 3 2 2 5" xfId="30507"/>
    <cellStyle name="Обычный 7 4 4 3 2 2 6" xfId="30508"/>
    <cellStyle name="Обычный 7 4 4 3 2 3" xfId="30509"/>
    <cellStyle name="Обычный 7 4 4 3 2 3 2" xfId="30510"/>
    <cellStyle name="Обычный 7 4 4 3 2 3 3" xfId="30511"/>
    <cellStyle name="Обычный 7 4 4 3 2 4" xfId="30512"/>
    <cellStyle name="Обычный 7 4 4 3 2 4 2" xfId="30513"/>
    <cellStyle name="Обычный 7 4 4 3 2 4 3" xfId="30514"/>
    <cellStyle name="Обычный 7 4 4 3 2 5" xfId="30515"/>
    <cellStyle name="Обычный 7 4 4 3 2 5 2" xfId="30516"/>
    <cellStyle name="Обычный 7 4 4 3 2 6" xfId="30517"/>
    <cellStyle name="Обычный 7 4 4 3 2 7" xfId="30518"/>
    <cellStyle name="Обычный 7 4 4 3 3" xfId="30519"/>
    <cellStyle name="Обычный 7 4 4 3 3 2" xfId="30520"/>
    <cellStyle name="Обычный 7 4 4 3 3 2 2" xfId="30521"/>
    <cellStyle name="Обычный 7 4 4 3 3 2 3" xfId="30522"/>
    <cellStyle name="Обычный 7 4 4 3 3 3" xfId="30523"/>
    <cellStyle name="Обычный 7 4 4 3 3 3 2" xfId="30524"/>
    <cellStyle name="Обычный 7 4 4 3 3 3 3" xfId="30525"/>
    <cellStyle name="Обычный 7 4 4 3 3 4" xfId="30526"/>
    <cellStyle name="Обычный 7 4 4 3 3 4 2" xfId="30527"/>
    <cellStyle name="Обычный 7 4 4 3 3 5" xfId="30528"/>
    <cellStyle name="Обычный 7 4 4 3 3 6" xfId="30529"/>
    <cellStyle name="Обычный 7 4 4 3 4" xfId="30530"/>
    <cellStyle name="Обычный 7 4 4 3 4 2" xfId="30531"/>
    <cellStyle name="Обычный 7 4 4 3 4 3" xfId="30532"/>
    <cellStyle name="Обычный 7 4 4 3 5" xfId="30533"/>
    <cellStyle name="Обычный 7 4 4 3 5 2" xfId="30534"/>
    <cellStyle name="Обычный 7 4 4 3 5 3" xfId="30535"/>
    <cellStyle name="Обычный 7 4 4 3 6" xfId="30536"/>
    <cellStyle name="Обычный 7 4 4 3 6 2" xfId="30537"/>
    <cellStyle name="Обычный 7 4 4 3 7" xfId="30538"/>
    <cellStyle name="Обычный 7 4 4 3 8" xfId="30539"/>
    <cellStyle name="Обычный 7 4 4 4" xfId="30540"/>
    <cellStyle name="Обычный 7 4 4 4 2" xfId="30541"/>
    <cellStyle name="Обычный 7 4 4 4 2 2" xfId="30542"/>
    <cellStyle name="Обычный 7 4 4 4 2 2 2" xfId="30543"/>
    <cellStyle name="Обычный 7 4 4 4 2 2 3" xfId="30544"/>
    <cellStyle name="Обычный 7 4 4 4 2 3" xfId="30545"/>
    <cellStyle name="Обычный 7 4 4 4 2 3 2" xfId="30546"/>
    <cellStyle name="Обычный 7 4 4 4 2 3 3" xfId="30547"/>
    <cellStyle name="Обычный 7 4 4 4 2 4" xfId="30548"/>
    <cellStyle name="Обычный 7 4 4 4 2 4 2" xfId="30549"/>
    <cellStyle name="Обычный 7 4 4 4 2 5" xfId="30550"/>
    <cellStyle name="Обычный 7 4 4 4 2 6" xfId="30551"/>
    <cellStyle name="Обычный 7 4 4 4 3" xfId="30552"/>
    <cellStyle name="Обычный 7 4 4 4 3 2" xfId="30553"/>
    <cellStyle name="Обычный 7 4 4 4 3 3" xfId="30554"/>
    <cellStyle name="Обычный 7 4 4 4 4" xfId="30555"/>
    <cellStyle name="Обычный 7 4 4 4 4 2" xfId="30556"/>
    <cellStyle name="Обычный 7 4 4 4 4 3" xfId="30557"/>
    <cellStyle name="Обычный 7 4 4 4 5" xfId="30558"/>
    <cellStyle name="Обычный 7 4 4 4 5 2" xfId="30559"/>
    <cellStyle name="Обычный 7 4 4 4 6" xfId="30560"/>
    <cellStyle name="Обычный 7 4 4 4 7" xfId="30561"/>
    <cellStyle name="Обычный 7 4 4 5" xfId="30562"/>
    <cellStyle name="Обычный 7 4 4 5 2" xfId="30563"/>
    <cellStyle name="Обычный 7 4 4 5 2 2" xfId="30564"/>
    <cellStyle name="Обычный 7 4 4 5 2 3" xfId="30565"/>
    <cellStyle name="Обычный 7 4 4 5 3" xfId="30566"/>
    <cellStyle name="Обычный 7 4 4 5 3 2" xfId="30567"/>
    <cellStyle name="Обычный 7 4 4 5 3 3" xfId="30568"/>
    <cellStyle name="Обычный 7 4 4 5 4" xfId="30569"/>
    <cellStyle name="Обычный 7 4 4 5 4 2" xfId="30570"/>
    <cellStyle name="Обычный 7 4 4 5 5" xfId="30571"/>
    <cellStyle name="Обычный 7 4 4 5 6" xfId="30572"/>
    <cellStyle name="Обычный 7 4 4 6" xfId="30573"/>
    <cellStyle name="Обычный 7 4 4 6 2" xfId="30574"/>
    <cellStyle name="Обычный 7 4 4 6 3" xfId="30575"/>
    <cellStyle name="Обычный 7 4 4 7" xfId="30576"/>
    <cellStyle name="Обычный 7 4 4 7 2" xfId="30577"/>
    <cellStyle name="Обычный 7 4 4 7 3" xfId="30578"/>
    <cellStyle name="Обычный 7 4 4 8" xfId="30579"/>
    <cellStyle name="Обычный 7 4 4 8 2" xfId="30580"/>
    <cellStyle name="Обычный 7 4 4 9" xfId="30581"/>
    <cellStyle name="Обычный 7 4 5" xfId="30582"/>
    <cellStyle name="Обычный 7 4 5 10" xfId="30583"/>
    <cellStyle name="Обычный 7 4 5 2" xfId="30584"/>
    <cellStyle name="Обычный 7 4 5 2 2" xfId="30585"/>
    <cellStyle name="Обычный 7 4 5 2 2 2" xfId="30586"/>
    <cellStyle name="Обычный 7 4 5 2 2 2 2" xfId="30587"/>
    <cellStyle name="Обычный 7 4 5 2 2 2 2 2" xfId="30588"/>
    <cellStyle name="Обычный 7 4 5 2 2 2 2 2 2" xfId="30589"/>
    <cellStyle name="Обычный 7 4 5 2 2 2 2 2 3" xfId="30590"/>
    <cellStyle name="Обычный 7 4 5 2 2 2 2 3" xfId="30591"/>
    <cellStyle name="Обычный 7 4 5 2 2 2 2 3 2" xfId="30592"/>
    <cellStyle name="Обычный 7 4 5 2 2 2 2 3 3" xfId="30593"/>
    <cellStyle name="Обычный 7 4 5 2 2 2 2 4" xfId="30594"/>
    <cellStyle name="Обычный 7 4 5 2 2 2 2 4 2" xfId="30595"/>
    <cellStyle name="Обычный 7 4 5 2 2 2 2 5" xfId="30596"/>
    <cellStyle name="Обычный 7 4 5 2 2 2 2 6" xfId="30597"/>
    <cellStyle name="Обычный 7 4 5 2 2 2 3" xfId="30598"/>
    <cellStyle name="Обычный 7 4 5 2 2 2 3 2" xfId="30599"/>
    <cellStyle name="Обычный 7 4 5 2 2 2 3 3" xfId="30600"/>
    <cellStyle name="Обычный 7 4 5 2 2 2 4" xfId="30601"/>
    <cellStyle name="Обычный 7 4 5 2 2 2 4 2" xfId="30602"/>
    <cellStyle name="Обычный 7 4 5 2 2 2 4 3" xfId="30603"/>
    <cellStyle name="Обычный 7 4 5 2 2 2 5" xfId="30604"/>
    <cellStyle name="Обычный 7 4 5 2 2 2 5 2" xfId="30605"/>
    <cellStyle name="Обычный 7 4 5 2 2 2 6" xfId="30606"/>
    <cellStyle name="Обычный 7 4 5 2 2 2 7" xfId="30607"/>
    <cellStyle name="Обычный 7 4 5 2 2 3" xfId="30608"/>
    <cellStyle name="Обычный 7 4 5 2 2 3 2" xfId="30609"/>
    <cellStyle name="Обычный 7 4 5 2 2 3 2 2" xfId="30610"/>
    <cellStyle name="Обычный 7 4 5 2 2 3 2 3" xfId="30611"/>
    <cellStyle name="Обычный 7 4 5 2 2 3 3" xfId="30612"/>
    <cellStyle name="Обычный 7 4 5 2 2 3 3 2" xfId="30613"/>
    <cellStyle name="Обычный 7 4 5 2 2 3 3 3" xfId="30614"/>
    <cellStyle name="Обычный 7 4 5 2 2 3 4" xfId="30615"/>
    <cellStyle name="Обычный 7 4 5 2 2 3 4 2" xfId="30616"/>
    <cellStyle name="Обычный 7 4 5 2 2 3 5" xfId="30617"/>
    <cellStyle name="Обычный 7 4 5 2 2 3 6" xfId="30618"/>
    <cellStyle name="Обычный 7 4 5 2 2 4" xfId="30619"/>
    <cellStyle name="Обычный 7 4 5 2 2 4 2" xfId="30620"/>
    <cellStyle name="Обычный 7 4 5 2 2 4 3" xfId="30621"/>
    <cellStyle name="Обычный 7 4 5 2 2 5" xfId="30622"/>
    <cellStyle name="Обычный 7 4 5 2 2 5 2" xfId="30623"/>
    <cellStyle name="Обычный 7 4 5 2 2 5 3" xfId="30624"/>
    <cellStyle name="Обычный 7 4 5 2 2 6" xfId="30625"/>
    <cellStyle name="Обычный 7 4 5 2 2 6 2" xfId="30626"/>
    <cellStyle name="Обычный 7 4 5 2 2 7" xfId="30627"/>
    <cellStyle name="Обычный 7 4 5 2 2 8" xfId="30628"/>
    <cellStyle name="Обычный 7 4 5 2 3" xfId="30629"/>
    <cellStyle name="Обычный 7 4 5 2 3 2" xfId="30630"/>
    <cellStyle name="Обычный 7 4 5 2 3 2 2" xfId="30631"/>
    <cellStyle name="Обычный 7 4 5 2 3 2 2 2" xfId="30632"/>
    <cellStyle name="Обычный 7 4 5 2 3 2 2 3" xfId="30633"/>
    <cellStyle name="Обычный 7 4 5 2 3 2 3" xfId="30634"/>
    <cellStyle name="Обычный 7 4 5 2 3 2 3 2" xfId="30635"/>
    <cellStyle name="Обычный 7 4 5 2 3 2 3 3" xfId="30636"/>
    <cellStyle name="Обычный 7 4 5 2 3 2 4" xfId="30637"/>
    <cellStyle name="Обычный 7 4 5 2 3 2 4 2" xfId="30638"/>
    <cellStyle name="Обычный 7 4 5 2 3 2 5" xfId="30639"/>
    <cellStyle name="Обычный 7 4 5 2 3 2 6" xfId="30640"/>
    <cellStyle name="Обычный 7 4 5 2 3 3" xfId="30641"/>
    <cellStyle name="Обычный 7 4 5 2 3 3 2" xfId="30642"/>
    <cellStyle name="Обычный 7 4 5 2 3 3 3" xfId="30643"/>
    <cellStyle name="Обычный 7 4 5 2 3 4" xfId="30644"/>
    <cellStyle name="Обычный 7 4 5 2 3 4 2" xfId="30645"/>
    <cellStyle name="Обычный 7 4 5 2 3 4 3" xfId="30646"/>
    <cellStyle name="Обычный 7 4 5 2 3 5" xfId="30647"/>
    <cellStyle name="Обычный 7 4 5 2 3 5 2" xfId="30648"/>
    <cellStyle name="Обычный 7 4 5 2 3 6" xfId="30649"/>
    <cellStyle name="Обычный 7 4 5 2 3 7" xfId="30650"/>
    <cellStyle name="Обычный 7 4 5 2 4" xfId="30651"/>
    <cellStyle name="Обычный 7 4 5 2 4 2" xfId="30652"/>
    <cellStyle name="Обычный 7 4 5 2 4 2 2" xfId="30653"/>
    <cellStyle name="Обычный 7 4 5 2 4 2 3" xfId="30654"/>
    <cellStyle name="Обычный 7 4 5 2 4 3" xfId="30655"/>
    <cellStyle name="Обычный 7 4 5 2 4 3 2" xfId="30656"/>
    <cellStyle name="Обычный 7 4 5 2 4 3 3" xfId="30657"/>
    <cellStyle name="Обычный 7 4 5 2 4 4" xfId="30658"/>
    <cellStyle name="Обычный 7 4 5 2 4 4 2" xfId="30659"/>
    <cellStyle name="Обычный 7 4 5 2 4 5" xfId="30660"/>
    <cellStyle name="Обычный 7 4 5 2 4 6" xfId="30661"/>
    <cellStyle name="Обычный 7 4 5 2 5" xfId="30662"/>
    <cellStyle name="Обычный 7 4 5 2 5 2" xfId="30663"/>
    <cellStyle name="Обычный 7 4 5 2 5 3" xfId="30664"/>
    <cellStyle name="Обычный 7 4 5 2 6" xfId="30665"/>
    <cellStyle name="Обычный 7 4 5 2 6 2" xfId="30666"/>
    <cellStyle name="Обычный 7 4 5 2 6 3" xfId="30667"/>
    <cellStyle name="Обычный 7 4 5 2 7" xfId="30668"/>
    <cellStyle name="Обычный 7 4 5 2 7 2" xfId="30669"/>
    <cellStyle name="Обычный 7 4 5 2 8" xfId="30670"/>
    <cellStyle name="Обычный 7 4 5 2 9" xfId="30671"/>
    <cellStyle name="Обычный 7 4 5 3" xfId="30672"/>
    <cellStyle name="Обычный 7 4 5 3 2" xfId="30673"/>
    <cellStyle name="Обычный 7 4 5 3 2 2" xfId="30674"/>
    <cellStyle name="Обычный 7 4 5 3 2 2 2" xfId="30675"/>
    <cellStyle name="Обычный 7 4 5 3 2 2 2 2" xfId="30676"/>
    <cellStyle name="Обычный 7 4 5 3 2 2 2 3" xfId="30677"/>
    <cellStyle name="Обычный 7 4 5 3 2 2 3" xfId="30678"/>
    <cellStyle name="Обычный 7 4 5 3 2 2 3 2" xfId="30679"/>
    <cellStyle name="Обычный 7 4 5 3 2 2 3 3" xfId="30680"/>
    <cellStyle name="Обычный 7 4 5 3 2 2 4" xfId="30681"/>
    <cellStyle name="Обычный 7 4 5 3 2 2 4 2" xfId="30682"/>
    <cellStyle name="Обычный 7 4 5 3 2 2 5" xfId="30683"/>
    <cellStyle name="Обычный 7 4 5 3 2 2 6" xfId="30684"/>
    <cellStyle name="Обычный 7 4 5 3 2 3" xfId="30685"/>
    <cellStyle name="Обычный 7 4 5 3 2 3 2" xfId="30686"/>
    <cellStyle name="Обычный 7 4 5 3 2 3 3" xfId="30687"/>
    <cellStyle name="Обычный 7 4 5 3 2 4" xfId="30688"/>
    <cellStyle name="Обычный 7 4 5 3 2 4 2" xfId="30689"/>
    <cellStyle name="Обычный 7 4 5 3 2 4 3" xfId="30690"/>
    <cellStyle name="Обычный 7 4 5 3 2 5" xfId="30691"/>
    <cellStyle name="Обычный 7 4 5 3 2 5 2" xfId="30692"/>
    <cellStyle name="Обычный 7 4 5 3 2 6" xfId="30693"/>
    <cellStyle name="Обычный 7 4 5 3 2 7" xfId="30694"/>
    <cellStyle name="Обычный 7 4 5 3 3" xfId="30695"/>
    <cellStyle name="Обычный 7 4 5 3 3 2" xfId="30696"/>
    <cellStyle name="Обычный 7 4 5 3 3 2 2" xfId="30697"/>
    <cellStyle name="Обычный 7 4 5 3 3 2 3" xfId="30698"/>
    <cellStyle name="Обычный 7 4 5 3 3 3" xfId="30699"/>
    <cellStyle name="Обычный 7 4 5 3 3 3 2" xfId="30700"/>
    <cellStyle name="Обычный 7 4 5 3 3 3 3" xfId="30701"/>
    <cellStyle name="Обычный 7 4 5 3 3 4" xfId="30702"/>
    <cellStyle name="Обычный 7 4 5 3 3 4 2" xfId="30703"/>
    <cellStyle name="Обычный 7 4 5 3 3 5" xfId="30704"/>
    <cellStyle name="Обычный 7 4 5 3 3 6" xfId="30705"/>
    <cellStyle name="Обычный 7 4 5 3 4" xfId="30706"/>
    <cellStyle name="Обычный 7 4 5 3 4 2" xfId="30707"/>
    <cellStyle name="Обычный 7 4 5 3 4 3" xfId="30708"/>
    <cellStyle name="Обычный 7 4 5 3 5" xfId="30709"/>
    <cellStyle name="Обычный 7 4 5 3 5 2" xfId="30710"/>
    <cellStyle name="Обычный 7 4 5 3 5 3" xfId="30711"/>
    <cellStyle name="Обычный 7 4 5 3 6" xfId="30712"/>
    <cellStyle name="Обычный 7 4 5 3 6 2" xfId="30713"/>
    <cellStyle name="Обычный 7 4 5 3 7" xfId="30714"/>
    <cellStyle name="Обычный 7 4 5 3 8" xfId="30715"/>
    <cellStyle name="Обычный 7 4 5 4" xfId="30716"/>
    <cellStyle name="Обычный 7 4 5 4 2" xfId="30717"/>
    <cellStyle name="Обычный 7 4 5 4 2 2" xfId="30718"/>
    <cellStyle name="Обычный 7 4 5 4 2 2 2" xfId="30719"/>
    <cellStyle name="Обычный 7 4 5 4 2 2 3" xfId="30720"/>
    <cellStyle name="Обычный 7 4 5 4 2 3" xfId="30721"/>
    <cellStyle name="Обычный 7 4 5 4 2 3 2" xfId="30722"/>
    <cellStyle name="Обычный 7 4 5 4 2 3 3" xfId="30723"/>
    <cellStyle name="Обычный 7 4 5 4 2 4" xfId="30724"/>
    <cellStyle name="Обычный 7 4 5 4 2 4 2" xfId="30725"/>
    <cellStyle name="Обычный 7 4 5 4 2 5" xfId="30726"/>
    <cellStyle name="Обычный 7 4 5 4 2 6" xfId="30727"/>
    <cellStyle name="Обычный 7 4 5 4 3" xfId="30728"/>
    <cellStyle name="Обычный 7 4 5 4 3 2" xfId="30729"/>
    <cellStyle name="Обычный 7 4 5 4 3 3" xfId="30730"/>
    <cellStyle name="Обычный 7 4 5 4 4" xfId="30731"/>
    <cellStyle name="Обычный 7 4 5 4 4 2" xfId="30732"/>
    <cellStyle name="Обычный 7 4 5 4 4 3" xfId="30733"/>
    <cellStyle name="Обычный 7 4 5 4 5" xfId="30734"/>
    <cellStyle name="Обычный 7 4 5 4 5 2" xfId="30735"/>
    <cellStyle name="Обычный 7 4 5 4 6" xfId="30736"/>
    <cellStyle name="Обычный 7 4 5 4 7" xfId="30737"/>
    <cellStyle name="Обычный 7 4 5 5" xfId="30738"/>
    <cellStyle name="Обычный 7 4 5 5 2" xfId="30739"/>
    <cellStyle name="Обычный 7 4 5 5 2 2" xfId="30740"/>
    <cellStyle name="Обычный 7 4 5 5 2 3" xfId="30741"/>
    <cellStyle name="Обычный 7 4 5 5 3" xfId="30742"/>
    <cellStyle name="Обычный 7 4 5 5 3 2" xfId="30743"/>
    <cellStyle name="Обычный 7 4 5 5 3 3" xfId="30744"/>
    <cellStyle name="Обычный 7 4 5 5 4" xfId="30745"/>
    <cellStyle name="Обычный 7 4 5 5 4 2" xfId="30746"/>
    <cellStyle name="Обычный 7 4 5 5 5" xfId="30747"/>
    <cellStyle name="Обычный 7 4 5 5 6" xfId="30748"/>
    <cellStyle name="Обычный 7 4 5 6" xfId="30749"/>
    <cellStyle name="Обычный 7 4 5 6 2" xfId="30750"/>
    <cellStyle name="Обычный 7 4 5 6 3" xfId="30751"/>
    <cellStyle name="Обычный 7 4 5 7" xfId="30752"/>
    <cellStyle name="Обычный 7 4 5 7 2" xfId="30753"/>
    <cellStyle name="Обычный 7 4 5 7 3" xfId="30754"/>
    <cellStyle name="Обычный 7 4 5 8" xfId="30755"/>
    <cellStyle name="Обычный 7 4 5 8 2" xfId="30756"/>
    <cellStyle name="Обычный 7 4 5 9" xfId="30757"/>
    <cellStyle name="Обычный 7 4 6" xfId="30758"/>
    <cellStyle name="Обычный 7 4 6 2" xfId="30759"/>
    <cellStyle name="Обычный 7 4 6 2 2" xfId="30760"/>
    <cellStyle name="Обычный 7 4 6 2 2 2" xfId="30761"/>
    <cellStyle name="Обычный 7 4 6 2 2 2 2" xfId="30762"/>
    <cellStyle name="Обычный 7 4 6 2 2 2 2 2" xfId="30763"/>
    <cellStyle name="Обычный 7 4 6 2 2 2 2 3" xfId="30764"/>
    <cellStyle name="Обычный 7 4 6 2 2 2 3" xfId="30765"/>
    <cellStyle name="Обычный 7 4 6 2 2 2 3 2" xfId="30766"/>
    <cellStyle name="Обычный 7 4 6 2 2 2 3 3" xfId="30767"/>
    <cellStyle name="Обычный 7 4 6 2 2 2 4" xfId="30768"/>
    <cellStyle name="Обычный 7 4 6 2 2 2 4 2" xfId="30769"/>
    <cellStyle name="Обычный 7 4 6 2 2 2 5" xfId="30770"/>
    <cellStyle name="Обычный 7 4 6 2 2 2 6" xfId="30771"/>
    <cellStyle name="Обычный 7 4 6 2 2 3" xfId="30772"/>
    <cellStyle name="Обычный 7 4 6 2 2 3 2" xfId="30773"/>
    <cellStyle name="Обычный 7 4 6 2 2 3 3" xfId="30774"/>
    <cellStyle name="Обычный 7 4 6 2 2 4" xfId="30775"/>
    <cellStyle name="Обычный 7 4 6 2 2 4 2" xfId="30776"/>
    <cellStyle name="Обычный 7 4 6 2 2 4 3" xfId="30777"/>
    <cellStyle name="Обычный 7 4 6 2 2 5" xfId="30778"/>
    <cellStyle name="Обычный 7 4 6 2 2 5 2" xfId="30779"/>
    <cellStyle name="Обычный 7 4 6 2 2 6" xfId="30780"/>
    <cellStyle name="Обычный 7 4 6 2 2 7" xfId="30781"/>
    <cellStyle name="Обычный 7 4 6 2 3" xfId="30782"/>
    <cellStyle name="Обычный 7 4 6 2 3 2" xfId="30783"/>
    <cellStyle name="Обычный 7 4 6 2 3 2 2" xfId="30784"/>
    <cellStyle name="Обычный 7 4 6 2 3 2 3" xfId="30785"/>
    <cellStyle name="Обычный 7 4 6 2 3 3" xfId="30786"/>
    <cellStyle name="Обычный 7 4 6 2 3 3 2" xfId="30787"/>
    <cellStyle name="Обычный 7 4 6 2 3 3 3" xfId="30788"/>
    <cellStyle name="Обычный 7 4 6 2 3 4" xfId="30789"/>
    <cellStyle name="Обычный 7 4 6 2 3 4 2" xfId="30790"/>
    <cellStyle name="Обычный 7 4 6 2 3 5" xfId="30791"/>
    <cellStyle name="Обычный 7 4 6 2 3 6" xfId="30792"/>
    <cellStyle name="Обычный 7 4 6 2 4" xfId="30793"/>
    <cellStyle name="Обычный 7 4 6 2 4 2" xfId="30794"/>
    <cellStyle name="Обычный 7 4 6 2 4 3" xfId="30795"/>
    <cellStyle name="Обычный 7 4 6 2 5" xfId="30796"/>
    <cellStyle name="Обычный 7 4 6 2 5 2" xfId="30797"/>
    <cellStyle name="Обычный 7 4 6 2 5 3" xfId="30798"/>
    <cellStyle name="Обычный 7 4 6 2 6" xfId="30799"/>
    <cellStyle name="Обычный 7 4 6 2 6 2" xfId="30800"/>
    <cellStyle name="Обычный 7 4 6 2 7" xfId="30801"/>
    <cellStyle name="Обычный 7 4 6 2 8" xfId="30802"/>
    <cellStyle name="Обычный 7 4 6 3" xfId="30803"/>
    <cellStyle name="Обычный 7 4 6 3 2" xfId="30804"/>
    <cellStyle name="Обычный 7 4 6 3 2 2" xfId="30805"/>
    <cellStyle name="Обычный 7 4 6 3 2 2 2" xfId="30806"/>
    <cellStyle name="Обычный 7 4 6 3 2 2 3" xfId="30807"/>
    <cellStyle name="Обычный 7 4 6 3 2 3" xfId="30808"/>
    <cellStyle name="Обычный 7 4 6 3 2 3 2" xfId="30809"/>
    <cellStyle name="Обычный 7 4 6 3 2 3 3" xfId="30810"/>
    <cellStyle name="Обычный 7 4 6 3 2 4" xfId="30811"/>
    <cellStyle name="Обычный 7 4 6 3 2 4 2" xfId="30812"/>
    <cellStyle name="Обычный 7 4 6 3 2 5" xfId="30813"/>
    <cellStyle name="Обычный 7 4 6 3 2 6" xfId="30814"/>
    <cellStyle name="Обычный 7 4 6 3 3" xfId="30815"/>
    <cellStyle name="Обычный 7 4 6 3 3 2" xfId="30816"/>
    <cellStyle name="Обычный 7 4 6 3 3 3" xfId="30817"/>
    <cellStyle name="Обычный 7 4 6 3 4" xfId="30818"/>
    <cellStyle name="Обычный 7 4 6 3 4 2" xfId="30819"/>
    <cellStyle name="Обычный 7 4 6 3 4 3" xfId="30820"/>
    <cellStyle name="Обычный 7 4 6 3 5" xfId="30821"/>
    <cellStyle name="Обычный 7 4 6 3 5 2" xfId="30822"/>
    <cellStyle name="Обычный 7 4 6 3 6" xfId="30823"/>
    <cellStyle name="Обычный 7 4 6 3 7" xfId="30824"/>
    <cellStyle name="Обычный 7 4 6 4" xfId="30825"/>
    <cellStyle name="Обычный 7 4 6 4 2" xfId="30826"/>
    <cellStyle name="Обычный 7 4 6 4 2 2" xfId="30827"/>
    <cellStyle name="Обычный 7 4 6 4 2 3" xfId="30828"/>
    <cellStyle name="Обычный 7 4 6 4 3" xfId="30829"/>
    <cellStyle name="Обычный 7 4 6 4 3 2" xfId="30830"/>
    <cellStyle name="Обычный 7 4 6 4 3 3" xfId="30831"/>
    <cellStyle name="Обычный 7 4 6 4 4" xfId="30832"/>
    <cellStyle name="Обычный 7 4 6 4 4 2" xfId="30833"/>
    <cellStyle name="Обычный 7 4 6 4 5" xfId="30834"/>
    <cellStyle name="Обычный 7 4 6 4 6" xfId="30835"/>
    <cellStyle name="Обычный 7 4 6 5" xfId="30836"/>
    <cellStyle name="Обычный 7 4 6 5 2" xfId="30837"/>
    <cellStyle name="Обычный 7 4 6 5 3" xfId="30838"/>
    <cellStyle name="Обычный 7 4 6 6" xfId="30839"/>
    <cellStyle name="Обычный 7 4 6 6 2" xfId="30840"/>
    <cellStyle name="Обычный 7 4 6 6 3" xfId="30841"/>
    <cellStyle name="Обычный 7 4 6 7" xfId="30842"/>
    <cellStyle name="Обычный 7 4 6 7 2" xfId="30843"/>
    <cellStyle name="Обычный 7 4 6 8" xfId="30844"/>
    <cellStyle name="Обычный 7 4 6 9" xfId="30845"/>
    <cellStyle name="Обычный 7 4 7" xfId="30846"/>
    <cellStyle name="Обычный 7 4 7 2" xfId="30847"/>
    <cellStyle name="Обычный 7 4 7 2 2" xfId="30848"/>
    <cellStyle name="Обычный 7 4 7 2 2 2" xfId="30849"/>
    <cellStyle name="Обычный 7 4 7 2 2 2 2" xfId="30850"/>
    <cellStyle name="Обычный 7 4 7 2 2 2 3" xfId="30851"/>
    <cellStyle name="Обычный 7 4 7 2 2 3" xfId="30852"/>
    <cellStyle name="Обычный 7 4 7 2 2 3 2" xfId="30853"/>
    <cellStyle name="Обычный 7 4 7 2 2 3 3" xfId="30854"/>
    <cellStyle name="Обычный 7 4 7 2 2 4" xfId="30855"/>
    <cellStyle name="Обычный 7 4 7 2 2 4 2" xfId="30856"/>
    <cellStyle name="Обычный 7 4 7 2 2 5" xfId="30857"/>
    <cellStyle name="Обычный 7 4 7 2 2 6" xfId="30858"/>
    <cellStyle name="Обычный 7 4 7 2 3" xfId="30859"/>
    <cellStyle name="Обычный 7 4 7 2 3 2" xfId="30860"/>
    <cellStyle name="Обычный 7 4 7 2 3 3" xfId="30861"/>
    <cellStyle name="Обычный 7 4 7 2 4" xfId="30862"/>
    <cellStyle name="Обычный 7 4 7 2 4 2" xfId="30863"/>
    <cellStyle name="Обычный 7 4 7 2 4 3" xfId="30864"/>
    <cellStyle name="Обычный 7 4 7 2 5" xfId="30865"/>
    <cellStyle name="Обычный 7 4 7 2 5 2" xfId="30866"/>
    <cellStyle name="Обычный 7 4 7 2 6" xfId="30867"/>
    <cellStyle name="Обычный 7 4 7 2 7" xfId="30868"/>
    <cellStyle name="Обычный 7 4 7 3" xfId="30869"/>
    <cellStyle name="Обычный 7 4 7 3 2" xfId="30870"/>
    <cellStyle name="Обычный 7 4 7 3 2 2" xfId="30871"/>
    <cellStyle name="Обычный 7 4 7 3 2 3" xfId="30872"/>
    <cellStyle name="Обычный 7 4 7 3 3" xfId="30873"/>
    <cellStyle name="Обычный 7 4 7 3 3 2" xfId="30874"/>
    <cellStyle name="Обычный 7 4 7 3 3 3" xfId="30875"/>
    <cellStyle name="Обычный 7 4 7 3 4" xfId="30876"/>
    <cellStyle name="Обычный 7 4 7 3 4 2" xfId="30877"/>
    <cellStyle name="Обычный 7 4 7 3 5" xfId="30878"/>
    <cellStyle name="Обычный 7 4 7 3 6" xfId="30879"/>
    <cellStyle name="Обычный 7 4 7 4" xfId="30880"/>
    <cellStyle name="Обычный 7 4 7 4 2" xfId="30881"/>
    <cellStyle name="Обычный 7 4 7 4 3" xfId="30882"/>
    <cellStyle name="Обычный 7 4 7 5" xfId="30883"/>
    <cellStyle name="Обычный 7 4 7 5 2" xfId="30884"/>
    <cellStyle name="Обычный 7 4 7 5 3" xfId="30885"/>
    <cellStyle name="Обычный 7 4 7 6" xfId="30886"/>
    <cellStyle name="Обычный 7 4 7 6 2" xfId="30887"/>
    <cellStyle name="Обычный 7 4 7 7" xfId="30888"/>
    <cellStyle name="Обычный 7 4 7 8" xfId="30889"/>
    <cellStyle name="Обычный 7 4 8" xfId="30890"/>
    <cellStyle name="Обычный 7 4 8 2" xfId="30891"/>
    <cellStyle name="Обычный 7 4 8 2 2" xfId="30892"/>
    <cellStyle name="Обычный 7 4 8 2 2 2" xfId="30893"/>
    <cellStyle name="Обычный 7 4 8 2 2 3" xfId="30894"/>
    <cellStyle name="Обычный 7 4 8 2 3" xfId="30895"/>
    <cellStyle name="Обычный 7 4 8 2 3 2" xfId="30896"/>
    <cellStyle name="Обычный 7 4 8 2 3 3" xfId="30897"/>
    <cellStyle name="Обычный 7 4 8 2 4" xfId="30898"/>
    <cellStyle name="Обычный 7 4 8 2 4 2" xfId="30899"/>
    <cellStyle name="Обычный 7 4 8 2 5" xfId="30900"/>
    <cellStyle name="Обычный 7 4 8 2 6" xfId="30901"/>
    <cellStyle name="Обычный 7 4 8 3" xfId="30902"/>
    <cellStyle name="Обычный 7 4 8 3 2" xfId="30903"/>
    <cellStyle name="Обычный 7 4 8 3 3" xfId="30904"/>
    <cellStyle name="Обычный 7 4 8 4" xfId="30905"/>
    <cellStyle name="Обычный 7 4 8 4 2" xfId="30906"/>
    <cellStyle name="Обычный 7 4 8 4 3" xfId="30907"/>
    <cellStyle name="Обычный 7 4 8 5" xfId="30908"/>
    <cellStyle name="Обычный 7 4 8 5 2" xfId="30909"/>
    <cellStyle name="Обычный 7 4 8 6" xfId="30910"/>
    <cellStyle name="Обычный 7 4 8 7" xfId="30911"/>
    <cellStyle name="Обычный 7 4 9" xfId="30912"/>
    <cellStyle name="Обычный 7 4 9 2" xfId="30913"/>
    <cellStyle name="Обычный 7 4 9 2 2" xfId="30914"/>
    <cellStyle name="Обычный 7 4 9 2 3" xfId="30915"/>
    <cellStyle name="Обычный 7 4 9 3" xfId="30916"/>
    <cellStyle name="Обычный 7 4 9 3 2" xfId="30917"/>
    <cellStyle name="Обычный 7 4 9 3 3" xfId="30918"/>
    <cellStyle name="Обычный 7 4 9 4" xfId="30919"/>
    <cellStyle name="Обычный 7 4 9 4 2" xfId="30920"/>
    <cellStyle name="Обычный 7 4 9 5" xfId="30921"/>
    <cellStyle name="Обычный 7 4 9 6" xfId="30922"/>
    <cellStyle name="Обычный 7 5" xfId="30923"/>
    <cellStyle name="Обычный 7 5 10" xfId="30924"/>
    <cellStyle name="Обычный 7 5 10 2" xfId="30925"/>
    <cellStyle name="Обычный 7 5 10 3" xfId="30926"/>
    <cellStyle name="Обычный 7 5 11" xfId="30927"/>
    <cellStyle name="Обычный 7 5 11 2" xfId="30928"/>
    <cellStyle name="Обычный 7 5 11 3" xfId="30929"/>
    <cellStyle name="Обычный 7 5 12" xfId="30930"/>
    <cellStyle name="Обычный 7 5 12 2" xfId="30931"/>
    <cellStyle name="Обычный 7 5 13" xfId="30932"/>
    <cellStyle name="Обычный 7 5 14" xfId="30933"/>
    <cellStyle name="Обычный 7 5 2" xfId="30934"/>
    <cellStyle name="Обычный 7 5 2 10" xfId="30935"/>
    <cellStyle name="Обычный 7 5 2 10 2" xfId="30936"/>
    <cellStyle name="Обычный 7 5 2 10 3" xfId="30937"/>
    <cellStyle name="Обычный 7 5 2 11" xfId="30938"/>
    <cellStyle name="Обычный 7 5 2 11 2" xfId="30939"/>
    <cellStyle name="Обычный 7 5 2 12" xfId="30940"/>
    <cellStyle name="Обычный 7 5 2 13" xfId="30941"/>
    <cellStyle name="Обычный 7 5 2 2" xfId="30942"/>
    <cellStyle name="Обычный 7 5 2 2 10" xfId="30943"/>
    <cellStyle name="Обычный 7 5 2 2 2" xfId="30944"/>
    <cellStyle name="Обычный 7 5 2 2 2 2" xfId="30945"/>
    <cellStyle name="Обычный 7 5 2 2 2 2 2" xfId="30946"/>
    <cellStyle name="Обычный 7 5 2 2 2 2 2 2" xfId="30947"/>
    <cellStyle name="Обычный 7 5 2 2 2 2 2 2 2" xfId="30948"/>
    <cellStyle name="Обычный 7 5 2 2 2 2 2 2 2 2" xfId="30949"/>
    <cellStyle name="Обычный 7 5 2 2 2 2 2 2 2 3" xfId="30950"/>
    <cellStyle name="Обычный 7 5 2 2 2 2 2 2 3" xfId="30951"/>
    <cellStyle name="Обычный 7 5 2 2 2 2 2 2 3 2" xfId="30952"/>
    <cellStyle name="Обычный 7 5 2 2 2 2 2 2 3 3" xfId="30953"/>
    <cellStyle name="Обычный 7 5 2 2 2 2 2 2 4" xfId="30954"/>
    <cellStyle name="Обычный 7 5 2 2 2 2 2 2 4 2" xfId="30955"/>
    <cellStyle name="Обычный 7 5 2 2 2 2 2 2 5" xfId="30956"/>
    <cellStyle name="Обычный 7 5 2 2 2 2 2 2 6" xfId="30957"/>
    <cellStyle name="Обычный 7 5 2 2 2 2 2 3" xfId="30958"/>
    <cellStyle name="Обычный 7 5 2 2 2 2 2 3 2" xfId="30959"/>
    <cellStyle name="Обычный 7 5 2 2 2 2 2 3 3" xfId="30960"/>
    <cellStyle name="Обычный 7 5 2 2 2 2 2 4" xfId="30961"/>
    <cellStyle name="Обычный 7 5 2 2 2 2 2 4 2" xfId="30962"/>
    <cellStyle name="Обычный 7 5 2 2 2 2 2 4 3" xfId="30963"/>
    <cellStyle name="Обычный 7 5 2 2 2 2 2 5" xfId="30964"/>
    <cellStyle name="Обычный 7 5 2 2 2 2 2 5 2" xfId="30965"/>
    <cellStyle name="Обычный 7 5 2 2 2 2 2 6" xfId="30966"/>
    <cellStyle name="Обычный 7 5 2 2 2 2 2 7" xfId="30967"/>
    <cellStyle name="Обычный 7 5 2 2 2 2 3" xfId="30968"/>
    <cellStyle name="Обычный 7 5 2 2 2 2 3 2" xfId="30969"/>
    <cellStyle name="Обычный 7 5 2 2 2 2 3 2 2" xfId="30970"/>
    <cellStyle name="Обычный 7 5 2 2 2 2 3 2 3" xfId="30971"/>
    <cellStyle name="Обычный 7 5 2 2 2 2 3 3" xfId="30972"/>
    <cellStyle name="Обычный 7 5 2 2 2 2 3 3 2" xfId="30973"/>
    <cellStyle name="Обычный 7 5 2 2 2 2 3 3 3" xfId="30974"/>
    <cellStyle name="Обычный 7 5 2 2 2 2 3 4" xfId="30975"/>
    <cellStyle name="Обычный 7 5 2 2 2 2 3 4 2" xfId="30976"/>
    <cellStyle name="Обычный 7 5 2 2 2 2 3 5" xfId="30977"/>
    <cellStyle name="Обычный 7 5 2 2 2 2 3 6" xfId="30978"/>
    <cellStyle name="Обычный 7 5 2 2 2 2 4" xfId="30979"/>
    <cellStyle name="Обычный 7 5 2 2 2 2 4 2" xfId="30980"/>
    <cellStyle name="Обычный 7 5 2 2 2 2 4 3" xfId="30981"/>
    <cellStyle name="Обычный 7 5 2 2 2 2 5" xfId="30982"/>
    <cellStyle name="Обычный 7 5 2 2 2 2 5 2" xfId="30983"/>
    <cellStyle name="Обычный 7 5 2 2 2 2 5 3" xfId="30984"/>
    <cellStyle name="Обычный 7 5 2 2 2 2 6" xfId="30985"/>
    <cellStyle name="Обычный 7 5 2 2 2 2 6 2" xfId="30986"/>
    <cellStyle name="Обычный 7 5 2 2 2 2 7" xfId="30987"/>
    <cellStyle name="Обычный 7 5 2 2 2 2 8" xfId="30988"/>
    <cellStyle name="Обычный 7 5 2 2 2 3" xfId="30989"/>
    <cellStyle name="Обычный 7 5 2 2 2 3 2" xfId="30990"/>
    <cellStyle name="Обычный 7 5 2 2 2 3 2 2" xfId="30991"/>
    <cellStyle name="Обычный 7 5 2 2 2 3 2 2 2" xfId="30992"/>
    <cellStyle name="Обычный 7 5 2 2 2 3 2 2 3" xfId="30993"/>
    <cellStyle name="Обычный 7 5 2 2 2 3 2 3" xfId="30994"/>
    <cellStyle name="Обычный 7 5 2 2 2 3 2 3 2" xfId="30995"/>
    <cellStyle name="Обычный 7 5 2 2 2 3 2 3 3" xfId="30996"/>
    <cellStyle name="Обычный 7 5 2 2 2 3 2 4" xfId="30997"/>
    <cellStyle name="Обычный 7 5 2 2 2 3 2 4 2" xfId="30998"/>
    <cellStyle name="Обычный 7 5 2 2 2 3 2 5" xfId="30999"/>
    <cellStyle name="Обычный 7 5 2 2 2 3 2 6" xfId="31000"/>
    <cellStyle name="Обычный 7 5 2 2 2 3 3" xfId="31001"/>
    <cellStyle name="Обычный 7 5 2 2 2 3 3 2" xfId="31002"/>
    <cellStyle name="Обычный 7 5 2 2 2 3 3 3" xfId="31003"/>
    <cellStyle name="Обычный 7 5 2 2 2 3 4" xfId="31004"/>
    <cellStyle name="Обычный 7 5 2 2 2 3 4 2" xfId="31005"/>
    <cellStyle name="Обычный 7 5 2 2 2 3 4 3" xfId="31006"/>
    <cellStyle name="Обычный 7 5 2 2 2 3 5" xfId="31007"/>
    <cellStyle name="Обычный 7 5 2 2 2 3 5 2" xfId="31008"/>
    <cellStyle name="Обычный 7 5 2 2 2 3 6" xfId="31009"/>
    <cellStyle name="Обычный 7 5 2 2 2 3 7" xfId="31010"/>
    <cellStyle name="Обычный 7 5 2 2 2 4" xfId="31011"/>
    <cellStyle name="Обычный 7 5 2 2 2 4 2" xfId="31012"/>
    <cellStyle name="Обычный 7 5 2 2 2 4 2 2" xfId="31013"/>
    <cellStyle name="Обычный 7 5 2 2 2 4 2 3" xfId="31014"/>
    <cellStyle name="Обычный 7 5 2 2 2 4 3" xfId="31015"/>
    <cellStyle name="Обычный 7 5 2 2 2 4 3 2" xfId="31016"/>
    <cellStyle name="Обычный 7 5 2 2 2 4 3 3" xfId="31017"/>
    <cellStyle name="Обычный 7 5 2 2 2 4 4" xfId="31018"/>
    <cellStyle name="Обычный 7 5 2 2 2 4 4 2" xfId="31019"/>
    <cellStyle name="Обычный 7 5 2 2 2 4 5" xfId="31020"/>
    <cellStyle name="Обычный 7 5 2 2 2 4 6" xfId="31021"/>
    <cellStyle name="Обычный 7 5 2 2 2 5" xfId="31022"/>
    <cellStyle name="Обычный 7 5 2 2 2 5 2" xfId="31023"/>
    <cellStyle name="Обычный 7 5 2 2 2 5 3" xfId="31024"/>
    <cellStyle name="Обычный 7 5 2 2 2 6" xfId="31025"/>
    <cellStyle name="Обычный 7 5 2 2 2 6 2" xfId="31026"/>
    <cellStyle name="Обычный 7 5 2 2 2 6 3" xfId="31027"/>
    <cellStyle name="Обычный 7 5 2 2 2 7" xfId="31028"/>
    <cellStyle name="Обычный 7 5 2 2 2 7 2" xfId="31029"/>
    <cellStyle name="Обычный 7 5 2 2 2 8" xfId="31030"/>
    <cellStyle name="Обычный 7 5 2 2 2 9" xfId="31031"/>
    <cellStyle name="Обычный 7 5 2 2 3" xfId="31032"/>
    <cellStyle name="Обычный 7 5 2 2 3 2" xfId="31033"/>
    <cellStyle name="Обычный 7 5 2 2 3 2 2" xfId="31034"/>
    <cellStyle name="Обычный 7 5 2 2 3 2 2 2" xfId="31035"/>
    <cellStyle name="Обычный 7 5 2 2 3 2 2 2 2" xfId="31036"/>
    <cellStyle name="Обычный 7 5 2 2 3 2 2 2 3" xfId="31037"/>
    <cellStyle name="Обычный 7 5 2 2 3 2 2 3" xfId="31038"/>
    <cellStyle name="Обычный 7 5 2 2 3 2 2 3 2" xfId="31039"/>
    <cellStyle name="Обычный 7 5 2 2 3 2 2 3 3" xfId="31040"/>
    <cellStyle name="Обычный 7 5 2 2 3 2 2 4" xfId="31041"/>
    <cellStyle name="Обычный 7 5 2 2 3 2 2 4 2" xfId="31042"/>
    <cellStyle name="Обычный 7 5 2 2 3 2 2 5" xfId="31043"/>
    <cellStyle name="Обычный 7 5 2 2 3 2 2 6" xfId="31044"/>
    <cellStyle name="Обычный 7 5 2 2 3 2 3" xfId="31045"/>
    <cellStyle name="Обычный 7 5 2 2 3 2 3 2" xfId="31046"/>
    <cellStyle name="Обычный 7 5 2 2 3 2 3 3" xfId="31047"/>
    <cellStyle name="Обычный 7 5 2 2 3 2 4" xfId="31048"/>
    <cellStyle name="Обычный 7 5 2 2 3 2 4 2" xfId="31049"/>
    <cellStyle name="Обычный 7 5 2 2 3 2 4 3" xfId="31050"/>
    <cellStyle name="Обычный 7 5 2 2 3 2 5" xfId="31051"/>
    <cellStyle name="Обычный 7 5 2 2 3 2 5 2" xfId="31052"/>
    <cellStyle name="Обычный 7 5 2 2 3 2 6" xfId="31053"/>
    <cellStyle name="Обычный 7 5 2 2 3 2 7" xfId="31054"/>
    <cellStyle name="Обычный 7 5 2 2 3 3" xfId="31055"/>
    <cellStyle name="Обычный 7 5 2 2 3 3 2" xfId="31056"/>
    <cellStyle name="Обычный 7 5 2 2 3 3 2 2" xfId="31057"/>
    <cellStyle name="Обычный 7 5 2 2 3 3 2 3" xfId="31058"/>
    <cellStyle name="Обычный 7 5 2 2 3 3 3" xfId="31059"/>
    <cellStyle name="Обычный 7 5 2 2 3 3 3 2" xfId="31060"/>
    <cellStyle name="Обычный 7 5 2 2 3 3 3 3" xfId="31061"/>
    <cellStyle name="Обычный 7 5 2 2 3 3 4" xfId="31062"/>
    <cellStyle name="Обычный 7 5 2 2 3 3 4 2" xfId="31063"/>
    <cellStyle name="Обычный 7 5 2 2 3 3 5" xfId="31064"/>
    <cellStyle name="Обычный 7 5 2 2 3 3 6" xfId="31065"/>
    <cellStyle name="Обычный 7 5 2 2 3 4" xfId="31066"/>
    <cellStyle name="Обычный 7 5 2 2 3 4 2" xfId="31067"/>
    <cellStyle name="Обычный 7 5 2 2 3 4 3" xfId="31068"/>
    <cellStyle name="Обычный 7 5 2 2 3 5" xfId="31069"/>
    <cellStyle name="Обычный 7 5 2 2 3 5 2" xfId="31070"/>
    <cellStyle name="Обычный 7 5 2 2 3 5 3" xfId="31071"/>
    <cellStyle name="Обычный 7 5 2 2 3 6" xfId="31072"/>
    <cellStyle name="Обычный 7 5 2 2 3 6 2" xfId="31073"/>
    <cellStyle name="Обычный 7 5 2 2 3 7" xfId="31074"/>
    <cellStyle name="Обычный 7 5 2 2 3 8" xfId="31075"/>
    <cellStyle name="Обычный 7 5 2 2 4" xfId="31076"/>
    <cellStyle name="Обычный 7 5 2 2 4 2" xfId="31077"/>
    <cellStyle name="Обычный 7 5 2 2 4 2 2" xfId="31078"/>
    <cellStyle name="Обычный 7 5 2 2 4 2 2 2" xfId="31079"/>
    <cellStyle name="Обычный 7 5 2 2 4 2 2 3" xfId="31080"/>
    <cellStyle name="Обычный 7 5 2 2 4 2 3" xfId="31081"/>
    <cellStyle name="Обычный 7 5 2 2 4 2 3 2" xfId="31082"/>
    <cellStyle name="Обычный 7 5 2 2 4 2 3 3" xfId="31083"/>
    <cellStyle name="Обычный 7 5 2 2 4 2 4" xfId="31084"/>
    <cellStyle name="Обычный 7 5 2 2 4 2 4 2" xfId="31085"/>
    <cellStyle name="Обычный 7 5 2 2 4 2 5" xfId="31086"/>
    <cellStyle name="Обычный 7 5 2 2 4 2 6" xfId="31087"/>
    <cellStyle name="Обычный 7 5 2 2 4 3" xfId="31088"/>
    <cellStyle name="Обычный 7 5 2 2 4 3 2" xfId="31089"/>
    <cellStyle name="Обычный 7 5 2 2 4 3 3" xfId="31090"/>
    <cellStyle name="Обычный 7 5 2 2 4 4" xfId="31091"/>
    <cellStyle name="Обычный 7 5 2 2 4 4 2" xfId="31092"/>
    <cellStyle name="Обычный 7 5 2 2 4 4 3" xfId="31093"/>
    <cellStyle name="Обычный 7 5 2 2 4 5" xfId="31094"/>
    <cellStyle name="Обычный 7 5 2 2 4 5 2" xfId="31095"/>
    <cellStyle name="Обычный 7 5 2 2 4 6" xfId="31096"/>
    <cellStyle name="Обычный 7 5 2 2 4 7" xfId="31097"/>
    <cellStyle name="Обычный 7 5 2 2 5" xfId="31098"/>
    <cellStyle name="Обычный 7 5 2 2 5 2" xfId="31099"/>
    <cellStyle name="Обычный 7 5 2 2 5 2 2" xfId="31100"/>
    <cellStyle name="Обычный 7 5 2 2 5 2 3" xfId="31101"/>
    <cellStyle name="Обычный 7 5 2 2 5 3" xfId="31102"/>
    <cellStyle name="Обычный 7 5 2 2 5 3 2" xfId="31103"/>
    <cellStyle name="Обычный 7 5 2 2 5 3 3" xfId="31104"/>
    <cellStyle name="Обычный 7 5 2 2 5 4" xfId="31105"/>
    <cellStyle name="Обычный 7 5 2 2 5 4 2" xfId="31106"/>
    <cellStyle name="Обычный 7 5 2 2 5 5" xfId="31107"/>
    <cellStyle name="Обычный 7 5 2 2 5 6" xfId="31108"/>
    <cellStyle name="Обычный 7 5 2 2 6" xfId="31109"/>
    <cellStyle name="Обычный 7 5 2 2 6 2" xfId="31110"/>
    <cellStyle name="Обычный 7 5 2 2 6 3" xfId="31111"/>
    <cellStyle name="Обычный 7 5 2 2 7" xfId="31112"/>
    <cellStyle name="Обычный 7 5 2 2 7 2" xfId="31113"/>
    <cellStyle name="Обычный 7 5 2 2 7 3" xfId="31114"/>
    <cellStyle name="Обычный 7 5 2 2 8" xfId="31115"/>
    <cellStyle name="Обычный 7 5 2 2 8 2" xfId="31116"/>
    <cellStyle name="Обычный 7 5 2 2 9" xfId="31117"/>
    <cellStyle name="Обычный 7 5 2 3" xfId="31118"/>
    <cellStyle name="Обычный 7 5 2 3 10" xfId="31119"/>
    <cellStyle name="Обычный 7 5 2 3 2" xfId="31120"/>
    <cellStyle name="Обычный 7 5 2 3 2 2" xfId="31121"/>
    <cellStyle name="Обычный 7 5 2 3 2 2 2" xfId="31122"/>
    <cellStyle name="Обычный 7 5 2 3 2 2 2 2" xfId="31123"/>
    <cellStyle name="Обычный 7 5 2 3 2 2 2 2 2" xfId="31124"/>
    <cellStyle name="Обычный 7 5 2 3 2 2 2 2 2 2" xfId="31125"/>
    <cellStyle name="Обычный 7 5 2 3 2 2 2 2 2 3" xfId="31126"/>
    <cellStyle name="Обычный 7 5 2 3 2 2 2 2 3" xfId="31127"/>
    <cellStyle name="Обычный 7 5 2 3 2 2 2 2 3 2" xfId="31128"/>
    <cellStyle name="Обычный 7 5 2 3 2 2 2 2 3 3" xfId="31129"/>
    <cellStyle name="Обычный 7 5 2 3 2 2 2 2 4" xfId="31130"/>
    <cellStyle name="Обычный 7 5 2 3 2 2 2 2 4 2" xfId="31131"/>
    <cellStyle name="Обычный 7 5 2 3 2 2 2 2 5" xfId="31132"/>
    <cellStyle name="Обычный 7 5 2 3 2 2 2 2 6" xfId="31133"/>
    <cellStyle name="Обычный 7 5 2 3 2 2 2 3" xfId="31134"/>
    <cellStyle name="Обычный 7 5 2 3 2 2 2 3 2" xfId="31135"/>
    <cellStyle name="Обычный 7 5 2 3 2 2 2 3 3" xfId="31136"/>
    <cellStyle name="Обычный 7 5 2 3 2 2 2 4" xfId="31137"/>
    <cellStyle name="Обычный 7 5 2 3 2 2 2 4 2" xfId="31138"/>
    <cellStyle name="Обычный 7 5 2 3 2 2 2 4 3" xfId="31139"/>
    <cellStyle name="Обычный 7 5 2 3 2 2 2 5" xfId="31140"/>
    <cellStyle name="Обычный 7 5 2 3 2 2 2 5 2" xfId="31141"/>
    <cellStyle name="Обычный 7 5 2 3 2 2 2 6" xfId="31142"/>
    <cellStyle name="Обычный 7 5 2 3 2 2 2 7" xfId="31143"/>
    <cellStyle name="Обычный 7 5 2 3 2 2 3" xfId="31144"/>
    <cellStyle name="Обычный 7 5 2 3 2 2 3 2" xfId="31145"/>
    <cellStyle name="Обычный 7 5 2 3 2 2 3 2 2" xfId="31146"/>
    <cellStyle name="Обычный 7 5 2 3 2 2 3 2 3" xfId="31147"/>
    <cellStyle name="Обычный 7 5 2 3 2 2 3 3" xfId="31148"/>
    <cellStyle name="Обычный 7 5 2 3 2 2 3 3 2" xfId="31149"/>
    <cellStyle name="Обычный 7 5 2 3 2 2 3 3 3" xfId="31150"/>
    <cellStyle name="Обычный 7 5 2 3 2 2 3 4" xfId="31151"/>
    <cellStyle name="Обычный 7 5 2 3 2 2 3 4 2" xfId="31152"/>
    <cellStyle name="Обычный 7 5 2 3 2 2 3 5" xfId="31153"/>
    <cellStyle name="Обычный 7 5 2 3 2 2 3 6" xfId="31154"/>
    <cellStyle name="Обычный 7 5 2 3 2 2 4" xfId="31155"/>
    <cellStyle name="Обычный 7 5 2 3 2 2 4 2" xfId="31156"/>
    <cellStyle name="Обычный 7 5 2 3 2 2 4 3" xfId="31157"/>
    <cellStyle name="Обычный 7 5 2 3 2 2 5" xfId="31158"/>
    <cellStyle name="Обычный 7 5 2 3 2 2 5 2" xfId="31159"/>
    <cellStyle name="Обычный 7 5 2 3 2 2 5 3" xfId="31160"/>
    <cellStyle name="Обычный 7 5 2 3 2 2 6" xfId="31161"/>
    <cellStyle name="Обычный 7 5 2 3 2 2 6 2" xfId="31162"/>
    <cellStyle name="Обычный 7 5 2 3 2 2 7" xfId="31163"/>
    <cellStyle name="Обычный 7 5 2 3 2 2 8" xfId="31164"/>
    <cellStyle name="Обычный 7 5 2 3 2 3" xfId="31165"/>
    <cellStyle name="Обычный 7 5 2 3 2 3 2" xfId="31166"/>
    <cellStyle name="Обычный 7 5 2 3 2 3 2 2" xfId="31167"/>
    <cellStyle name="Обычный 7 5 2 3 2 3 2 2 2" xfId="31168"/>
    <cellStyle name="Обычный 7 5 2 3 2 3 2 2 3" xfId="31169"/>
    <cellStyle name="Обычный 7 5 2 3 2 3 2 3" xfId="31170"/>
    <cellStyle name="Обычный 7 5 2 3 2 3 2 3 2" xfId="31171"/>
    <cellStyle name="Обычный 7 5 2 3 2 3 2 3 3" xfId="31172"/>
    <cellStyle name="Обычный 7 5 2 3 2 3 2 4" xfId="31173"/>
    <cellStyle name="Обычный 7 5 2 3 2 3 2 4 2" xfId="31174"/>
    <cellStyle name="Обычный 7 5 2 3 2 3 2 5" xfId="31175"/>
    <cellStyle name="Обычный 7 5 2 3 2 3 2 6" xfId="31176"/>
    <cellStyle name="Обычный 7 5 2 3 2 3 3" xfId="31177"/>
    <cellStyle name="Обычный 7 5 2 3 2 3 3 2" xfId="31178"/>
    <cellStyle name="Обычный 7 5 2 3 2 3 3 3" xfId="31179"/>
    <cellStyle name="Обычный 7 5 2 3 2 3 4" xfId="31180"/>
    <cellStyle name="Обычный 7 5 2 3 2 3 4 2" xfId="31181"/>
    <cellStyle name="Обычный 7 5 2 3 2 3 4 3" xfId="31182"/>
    <cellStyle name="Обычный 7 5 2 3 2 3 5" xfId="31183"/>
    <cellStyle name="Обычный 7 5 2 3 2 3 5 2" xfId="31184"/>
    <cellStyle name="Обычный 7 5 2 3 2 3 6" xfId="31185"/>
    <cellStyle name="Обычный 7 5 2 3 2 3 7" xfId="31186"/>
    <cellStyle name="Обычный 7 5 2 3 2 4" xfId="31187"/>
    <cellStyle name="Обычный 7 5 2 3 2 4 2" xfId="31188"/>
    <cellStyle name="Обычный 7 5 2 3 2 4 2 2" xfId="31189"/>
    <cellStyle name="Обычный 7 5 2 3 2 4 2 3" xfId="31190"/>
    <cellStyle name="Обычный 7 5 2 3 2 4 3" xfId="31191"/>
    <cellStyle name="Обычный 7 5 2 3 2 4 3 2" xfId="31192"/>
    <cellStyle name="Обычный 7 5 2 3 2 4 3 3" xfId="31193"/>
    <cellStyle name="Обычный 7 5 2 3 2 4 4" xfId="31194"/>
    <cellStyle name="Обычный 7 5 2 3 2 4 4 2" xfId="31195"/>
    <cellStyle name="Обычный 7 5 2 3 2 4 5" xfId="31196"/>
    <cellStyle name="Обычный 7 5 2 3 2 4 6" xfId="31197"/>
    <cellStyle name="Обычный 7 5 2 3 2 5" xfId="31198"/>
    <cellStyle name="Обычный 7 5 2 3 2 5 2" xfId="31199"/>
    <cellStyle name="Обычный 7 5 2 3 2 5 3" xfId="31200"/>
    <cellStyle name="Обычный 7 5 2 3 2 6" xfId="31201"/>
    <cellStyle name="Обычный 7 5 2 3 2 6 2" xfId="31202"/>
    <cellStyle name="Обычный 7 5 2 3 2 6 3" xfId="31203"/>
    <cellStyle name="Обычный 7 5 2 3 2 7" xfId="31204"/>
    <cellStyle name="Обычный 7 5 2 3 2 7 2" xfId="31205"/>
    <cellStyle name="Обычный 7 5 2 3 2 8" xfId="31206"/>
    <cellStyle name="Обычный 7 5 2 3 2 9" xfId="31207"/>
    <cellStyle name="Обычный 7 5 2 3 3" xfId="31208"/>
    <cellStyle name="Обычный 7 5 2 3 3 2" xfId="31209"/>
    <cellStyle name="Обычный 7 5 2 3 3 2 2" xfId="31210"/>
    <cellStyle name="Обычный 7 5 2 3 3 2 2 2" xfId="31211"/>
    <cellStyle name="Обычный 7 5 2 3 3 2 2 2 2" xfId="31212"/>
    <cellStyle name="Обычный 7 5 2 3 3 2 2 2 3" xfId="31213"/>
    <cellStyle name="Обычный 7 5 2 3 3 2 2 3" xfId="31214"/>
    <cellStyle name="Обычный 7 5 2 3 3 2 2 3 2" xfId="31215"/>
    <cellStyle name="Обычный 7 5 2 3 3 2 2 3 3" xfId="31216"/>
    <cellStyle name="Обычный 7 5 2 3 3 2 2 4" xfId="31217"/>
    <cellStyle name="Обычный 7 5 2 3 3 2 2 4 2" xfId="31218"/>
    <cellStyle name="Обычный 7 5 2 3 3 2 2 5" xfId="31219"/>
    <cellStyle name="Обычный 7 5 2 3 3 2 2 6" xfId="31220"/>
    <cellStyle name="Обычный 7 5 2 3 3 2 3" xfId="31221"/>
    <cellStyle name="Обычный 7 5 2 3 3 2 3 2" xfId="31222"/>
    <cellStyle name="Обычный 7 5 2 3 3 2 3 3" xfId="31223"/>
    <cellStyle name="Обычный 7 5 2 3 3 2 4" xfId="31224"/>
    <cellStyle name="Обычный 7 5 2 3 3 2 4 2" xfId="31225"/>
    <cellStyle name="Обычный 7 5 2 3 3 2 4 3" xfId="31226"/>
    <cellStyle name="Обычный 7 5 2 3 3 2 5" xfId="31227"/>
    <cellStyle name="Обычный 7 5 2 3 3 2 5 2" xfId="31228"/>
    <cellStyle name="Обычный 7 5 2 3 3 2 6" xfId="31229"/>
    <cellStyle name="Обычный 7 5 2 3 3 2 7" xfId="31230"/>
    <cellStyle name="Обычный 7 5 2 3 3 3" xfId="31231"/>
    <cellStyle name="Обычный 7 5 2 3 3 3 2" xfId="31232"/>
    <cellStyle name="Обычный 7 5 2 3 3 3 2 2" xfId="31233"/>
    <cellStyle name="Обычный 7 5 2 3 3 3 2 3" xfId="31234"/>
    <cellStyle name="Обычный 7 5 2 3 3 3 3" xfId="31235"/>
    <cellStyle name="Обычный 7 5 2 3 3 3 3 2" xfId="31236"/>
    <cellStyle name="Обычный 7 5 2 3 3 3 3 3" xfId="31237"/>
    <cellStyle name="Обычный 7 5 2 3 3 3 4" xfId="31238"/>
    <cellStyle name="Обычный 7 5 2 3 3 3 4 2" xfId="31239"/>
    <cellStyle name="Обычный 7 5 2 3 3 3 5" xfId="31240"/>
    <cellStyle name="Обычный 7 5 2 3 3 3 6" xfId="31241"/>
    <cellStyle name="Обычный 7 5 2 3 3 4" xfId="31242"/>
    <cellStyle name="Обычный 7 5 2 3 3 4 2" xfId="31243"/>
    <cellStyle name="Обычный 7 5 2 3 3 4 3" xfId="31244"/>
    <cellStyle name="Обычный 7 5 2 3 3 5" xfId="31245"/>
    <cellStyle name="Обычный 7 5 2 3 3 5 2" xfId="31246"/>
    <cellStyle name="Обычный 7 5 2 3 3 5 3" xfId="31247"/>
    <cellStyle name="Обычный 7 5 2 3 3 6" xfId="31248"/>
    <cellStyle name="Обычный 7 5 2 3 3 6 2" xfId="31249"/>
    <cellStyle name="Обычный 7 5 2 3 3 7" xfId="31250"/>
    <cellStyle name="Обычный 7 5 2 3 3 8" xfId="31251"/>
    <cellStyle name="Обычный 7 5 2 3 4" xfId="31252"/>
    <cellStyle name="Обычный 7 5 2 3 4 2" xfId="31253"/>
    <cellStyle name="Обычный 7 5 2 3 4 2 2" xfId="31254"/>
    <cellStyle name="Обычный 7 5 2 3 4 2 2 2" xfId="31255"/>
    <cellStyle name="Обычный 7 5 2 3 4 2 2 3" xfId="31256"/>
    <cellStyle name="Обычный 7 5 2 3 4 2 3" xfId="31257"/>
    <cellStyle name="Обычный 7 5 2 3 4 2 3 2" xfId="31258"/>
    <cellStyle name="Обычный 7 5 2 3 4 2 3 3" xfId="31259"/>
    <cellStyle name="Обычный 7 5 2 3 4 2 4" xfId="31260"/>
    <cellStyle name="Обычный 7 5 2 3 4 2 4 2" xfId="31261"/>
    <cellStyle name="Обычный 7 5 2 3 4 2 5" xfId="31262"/>
    <cellStyle name="Обычный 7 5 2 3 4 2 6" xfId="31263"/>
    <cellStyle name="Обычный 7 5 2 3 4 3" xfId="31264"/>
    <cellStyle name="Обычный 7 5 2 3 4 3 2" xfId="31265"/>
    <cellStyle name="Обычный 7 5 2 3 4 3 3" xfId="31266"/>
    <cellStyle name="Обычный 7 5 2 3 4 4" xfId="31267"/>
    <cellStyle name="Обычный 7 5 2 3 4 4 2" xfId="31268"/>
    <cellStyle name="Обычный 7 5 2 3 4 4 3" xfId="31269"/>
    <cellStyle name="Обычный 7 5 2 3 4 5" xfId="31270"/>
    <cellStyle name="Обычный 7 5 2 3 4 5 2" xfId="31271"/>
    <cellStyle name="Обычный 7 5 2 3 4 6" xfId="31272"/>
    <cellStyle name="Обычный 7 5 2 3 4 7" xfId="31273"/>
    <cellStyle name="Обычный 7 5 2 3 5" xfId="31274"/>
    <cellStyle name="Обычный 7 5 2 3 5 2" xfId="31275"/>
    <cellStyle name="Обычный 7 5 2 3 5 2 2" xfId="31276"/>
    <cellStyle name="Обычный 7 5 2 3 5 2 3" xfId="31277"/>
    <cellStyle name="Обычный 7 5 2 3 5 3" xfId="31278"/>
    <cellStyle name="Обычный 7 5 2 3 5 3 2" xfId="31279"/>
    <cellStyle name="Обычный 7 5 2 3 5 3 3" xfId="31280"/>
    <cellStyle name="Обычный 7 5 2 3 5 4" xfId="31281"/>
    <cellStyle name="Обычный 7 5 2 3 5 4 2" xfId="31282"/>
    <cellStyle name="Обычный 7 5 2 3 5 5" xfId="31283"/>
    <cellStyle name="Обычный 7 5 2 3 5 6" xfId="31284"/>
    <cellStyle name="Обычный 7 5 2 3 6" xfId="31285"/>
    <cellStyle name="Обычный 7 5 2 3 6 2" xfId="31286"/>
    <cellStyle name="Обычный 7 5 2 3 6 3" xfId="31287"/>
    <cellStyle name="Обычный 7 5 2 3 7" xfId="31288"/>
    <cellStyle name="Обычный 7 5 2 3 7 2" xfId="31289"/>
    <cellStyle name="Обычный 7 5 2 3 7 3" xfId="31290"/>
    <cellStyle name="Обычный 7 5 2 3 8" xfId="31291"/>
    <cellStyle name="Обычный 7 5 2 3 8 2" xfId="31292"/>
    <cellStyle name="Обычный 7 5 2 3 9" xfId="31293"/>
    <cellStyle name="Обычный 7 5 2 4" xfId="31294"/>
    <cellStyle name="Обычный 7 5 2 4 10" xfId="31295"/>
    <cellStyle name="Обычный 7 5 2 4 2" xfId="31296"/>
    <cellStyle name="Обычный 7 5 2 4 2 2" xfId="31297"/>
    <cellStyle name="Обычный 7 5 2 4 2 2 2" xfId="31298"/>
    <cellStyle name="Обычный 7 5 2 4 2 2 2 2" xfId="31299"/>
    <cellStyle name="Обычный 7 5 2 4 2 2 2 2 2" xfId="31300"/>
    <cellStyle name="Обычный 7 5 2 4 2 2 2 2 2 2" xfId="31301"/>
    <cellStyle name="Обычный 7 5 2 4 2 2 2 2 2 3" xfId="31302"/>
    <cellStyle name="Обычный 7 5 2 4 2 2 2 2 3" xfId="31303"/>
    <cellStyle name="Обычный 7 5 2 4 2 2 2 2 3 2" xfId="31304"/>
    <cellStyle name="Обычный 7 5 2 4 2 2 2 2 3 3" xfId="31305"/>
    <cellStyle name="Обычный 7 5 2 4 2 2 2 2 4" xfId="31306"/>
    <cellStyle name="Обычный 7 5 2 4 2 2 2 2 4 2" xfId="31307"/>
    <cellStyle name="Обычный 7 5 2 4 2 2 2 2 5" xfId="31308"/>
    <cellStyle name="Обычный 7 5 2 4 2 2 2 2 6" xfId="31309"/>
    <cellStyle name="Обычный 7 5 2 4 2 2 2 3" xfId="31310"/>
    <cellStyle name="Обычный 7 5 2 4 2 2 2 3 2" xfId="31311"/>
    <cellStyle name="Обычный 7 5 2 4 2 2 2 3 3" xfId="31312"/>
    <cellStyle name="Обычный 7 5 2 4 2 2 2 4" xfId="31313"/>
    <cellStyle name="Обычный 7 5 2 4 2 2 2 4 2" xfId="31314"/>
    <cellStyle name="Обычный 7 5 2 4 2 2 2 4 3" xfId="31315"/>
    <cellStyle name="Обычный 7 5 2 4 2 2 2 5" xfId="31316"/>
    <cellStyle name="Обычный 7 5 2 4 2 2 2 5 2" xfId="31317"/>
    <cellStyle name="Обычный 7 5 2 4 2 2 2 6" xfId="31318"/>
    <cellStyle name="Обычный 7 5 2 4 2 2 2 7" xfId="31319"/>
    <cellStyle name="Обычный 7 5 2 4 2 2 3" xfId="31320"/>
    <cellStyle name="Обычный 7 5 2 4 2 2 3 2" xfId="31321"/>
    <cellStyle name="Обычный 7 5 2 4 2 2 3 2 2" xfId="31322"/>
    <cellStyle name="Обычный 7 5 2 4 2 2 3 2 3" xfId="31323"/>
    <cellStyle name="Обычный 7 5 2 4 2 2 3 3" xfId="31324"/>
    <cellStyle name="Обычный 7 5 2 4 2 2 3 3 2" xfId="31325"/>
    <cellStyle name="Обычный 7 5 2 4 2 2 3 3 3" xfId="31326"/>
    <cellStyle name="Обычный 7 5 2 4 2 2 3 4" xfId="31327"/>
    <cellStyle name="Обычный 7 5 2 4 2 2 3 4 2" xfId="31328"/>
    <cellStyle name="Обычный 7 5 2 4 2 2 3 5" xfId="31329"/>
    <cellStyle name="Обычный 7 5 2 4 2 2 3 6" xfId="31330"/>
    <cellStyle name="Обычный 7 5 2 4 2 2 4" xfId="31331"/>
    <cellStyle name="Обычный 7 5 2 4 2 2 4 2" xfId="31332"/>
    <cellStyle name="Обычный 7 5 2 4 2 2 4 3" xfId="31333"/>
    <cellStyle name="Обычный 7 5 2 4 2 2 5" xfId="31334"/>
    <cellStyle name="Обычный 7 5 2 4 2 2 5 2" xfId="31335"/>
    <cellStyle name="Обычный 7 5 2 4 2 2 5 3" xfId="31336"/>
    <cellStyle name="Обычный 7 5 2 4 2 2 6" xfId="31337"/>
    <cellStyle name="Обычный 7 5 2 4 2 2 6 2" xfId="31338"/>
    <cellStyle name="Обычный 7 5 2 4 2 2 7" xfId="31339"/>
    <cellStyle name="Обычный 7 5 2 4 2 2 8" xfId="31340"/>
    <cellStyle name="Обычный 7 5 2 4 2 3" xfId="31341"/>
    <cellStyle name="Обычный 7 5 2 4 2 3 2" xfId="31342"/>
    <cellStyle name="Обычный 7 5 2 4 2 3 2 2" xfId="31343"/>
    <cellStyle name="Обычный 7 5 2 4 2 3 2 2 2" xfId="31344"/>
    <cellStyle name="Обычный 7 5 2 4 2 3 2 2 3" xfId="31345"/>
    <cellStyle name="Обычный 7 5 2 4 2 3 2 3" xfId="31346"/>
    <cellStyle name="Обычный 7 5 2 4 2 3 2 3 2" xfId="31347"/>
    <cellStyle name="Обычный 7 5 2 4 2 3 2 3 3" xfId="31348"/>
    <cellStyle name="Обычный 7 5 2 4 2 3 2 4" xfId="31349"/>
    <cellStyle name="Обычный 7 5 2 4 2 3 2 4 2" xfId="31350"/>
    <cellStyle name="Обычный 7 5 2 4 2 3 2 5" xfId="31351"/>
    <cellStyle name="Обычный 7 5 2 4 2 3 2 6" xfId="31352"/>
    <cellStyle name="Обычный 7 5 2 4 2 3 3" xfId="31353"/>
    <cellStyle name="Обычный 7 5 2 4 2 3 3 2" xfId="31354"/>
    <cellStyle name="Обычный 7 5 2 4 2 3 3 3" xfId="31355"/>
    <cellStyle name="Обычный 7 5 2 4 2 3 4" xfId="31356"/>
    <cellStyle name="Обычный 7 5 2 4 2 3 4 2" xfId="31357"/>
    <cellStyle name="Обычный 7 5 2 4 2 3 4 3" xfId="31358"/>
    <cellStyle name="Обычный 7 5 2 4 2 3 5" xfId="31359"/>
    <cellStyle name="Обычный 7 5 2 4 2 3 5 2" xfId="31360"/>
    <cellStyle name="Обычный 7 5 2 4 2 3 6" xfId="31361"/>
    <cellStyle name="Обычный 7 5 2 4 2 3 7" xfId="31362"/>
    <cellStyle name="Обычный 7 5 2 4 2 4" xfId="31363"/>
    <cellStyle name="Обычный 7 5 2 4 2 4 2" xfId="31364"/>
    <cellStyle name="Обычный 7 5 2 4 2 4 2 2" xfId="31365"/>
    <cellStyle name="Обычный 7 5 2 4 2 4 2 3" xfId="31366"/>
    <cellStyle name="Обычный 7 5 2 4 2 4 3" xfId="31367"/>
    <cellStyle name="Обычный 7 5 2 4 2 4 3 2" xfId="31368"/>
    <cellStyle name="Обычный 7 5 2 4 2 4 3 3" xfId="31369"/>
    <cellStyle name="Обычный 7 5 2 4 2 4 4" xfId="31370"/>
    <cellStyle name="Обычный 7 5 2 4 2 4 4 2" xfId="31371"/>
    <cellStyle name="Обычный 7 5 2 4 2 4 5" xfId="31372"/>
    <cellStyle name="Обычный 7 5 2 4 2 4 6" xfId="31373"/>
    <cellStyle name="Обычный 7 5 2 4 2 5" xfId="31374"/>
    <cellStyle name="Обычный 7 5 2 4 2 5 2" xfId="31375"/>
    <cellStyle name="Обычный 7 5 2 4 2 5 3" xfId="31376"/>
    <cellStyle name="Обычный 7 5 2 4 2 6" xfId="31377"/>
    <cellStyle name="Обычный 7 5 2 4 2 6 2" xfId="31378"/>
    <cellStyle name="Обычный 7 5 2 4 2 6 3" xfId="31379"/>
    <cellStyle name="Обычный 7 5 2 4 2 7" xfId="31380"/>
    <cellStyle name="Обычный 7 5 2 4 2 7 2" xfId="31381"/>
    <cellStyle name="Обычный 7 5 2 4 2 8" xfId="31382"/>
    <cellStyle name="Обычный 7 5 2 4 2 9" xfId="31383"/>
    <cellStyle name="Обычный 7 5 2 4 3" xfId="31384"/>
    <cellStyle name="Обычный 7 5 2 4 3 2" xfId="31385"/>
    <cellStyle name="Обычный 7 5 2 4 3 2 2" xfId="31386"/>
    <cellStyle name="Обычный 7 5 2 4 3 2 2 2" xfId="31387"/>
    <cellStyle name="Обычный 7 5 2 4 3 2 2 2 2" xfId="31388"/>
    <cellStyle name="Обычный 7 5 2 4 3 2 2 2 3" xfId="31389"/>
    <cellStyle name="Обычный 7 5 2 4 3 2 2 3" xfId="31390"/>
    <cellStyle name="Обычный 7 5 2 4 3 2 2 3 2" xfId="31391"/>
    <cellStyle name="Обычный 7 5 2 4 3 2 2 3 3" xfId="31392"/>
    <cellStyle name="Обычный 7 5 2 4 3 2 2 4" xfId="31393"/>
    <cellStyle name="Обычный 7 5 2 4 3 2 2 4 2" xfId="31394"/>
    <cellStyle name="Обычный 7 5 2 4 3 2 2 5" xfId="31395"/>
    <cellStyle name="Обычный 7 5 2 4 3 2 2 6" xfId="31396"/>
    <cellStyle name="Обычный 7 5 2 4 3 2 3" xfId="31397"/>
    <cellStyle name="Обычный 7 5 2 4 3 2 3 2" xfId="31398"/>
    <cellStyle name="Обычный 7 5 2 4 3 2 3 3" xfId="31399"/>
    <cellStyle name="Обычный 7 5 2 4 3 2 4" xfId="31400"/>
    <cellStyle name="Обычный 7 5 2 4 3 2 4 2" xfId="31401"/>
    <cellStyle name="Обычный 7 5 2 4 3 2 4 3" xfId="31402"/>
    <cellStyle name="Обычный 7 5 2 4 3 2 5" xfId="31403"/>
    <cellStyle name="Обычный 7 5 2 4 3 2 5 2" xfId="31404"/>
    <cellStyle name="Обычный 7 5 2 4 3 2 6" xfId="31405"/>
    <cellStyle name="Обычный 7 5 2 4 3 2 7" xfId="31406"/>
    <cellStyle name="Обычный 7 5 2 4 3 3" xfId="31407"/>
    <cellStyle name="Обычный 7 5 2 4 3 3 2" xfId="31408"/>
    <cellStyle name="Обычный 7 5 2 4 3 3 2 2" xfId="31409"/>
    <cellStyle name="Обычный 7 5 2 4 3 3 2 3" xfId="31410"/>
    <cellStyle name="Обычный 7 5 2 4 3 3 3" xfId="31411"/>
    <cellStyle name="Обычный 7 5 2 4 3 3 3 2" xfId="31412"/>
    <cellStyle name="Обычный 7 5 2 4 3 3 3 3" xfId="31413"/>
    <cellStyle name="Обычный 7 5 2 4 3 3 4" xfId="31414"/>
    <cellStyle name="Обычный 7 5 2 4 3 3 4 2" xfId="31415"/>
    <cellStyle name="Обычный 7 5 2 4 3 3 5" xfId="31416"/>
    <cellStyle name="Обычный 7 5 2 4 3 3 6" xfId="31417"/>
    <cellStyle name="Обычный 7 5 2 4 3 4" xfId="31418"/>
    <cellStyle name="Обычный 7 5 2 4 3 4 2" xfId="31419"/>
    <cellStyle name="Обычный 7 5 2 4 3 4 3" xfId="31420"/>
    <cellStyle name="Обычный 7 5 2 4 3 5" xfId="31421"/>
    <cellStyle name="Обычный 7 5 2 4 3 5 2" xfId="31422"/>
    <cellStyle name="Обычный 7 5 2 4 3 5 3" xfId="31423"/>
    <cellStyle name="Обычный 7 5 2 4 3 6" xfId="31424"/>
    <cellStyle name="Обычный 7 5 2 4 3 6 2" xfId="31425"/>
    <cellStyle name="Обычный 7 5 2 4 3 7" xfId="31426"/>
    <cellStyle name="Обычный 7 5 2 4 3 8" xfId="31427"/>
    <cellStyle name="Обычный 7 5 2 4 4" xfId="31428"/>
    <cellStyle name="Обычный 7 5 2 4 4 2" xfId="31429"/>
    <cellStyle name="Обычный 7 5 2 4 4 2 2" xfId="31430"/>
    <cellStyle name="Обычный 7 5 2 4 4 2 2 2" xfId="31431"/>
    <cellStyle name="Обычный 7 5 2 4 4 2 2 3" xfId="31432"/>
    <cellStyle name="Обычный 7 5 2 4 4 2 3" xfId="31433"/>
    <cellStyle name="Обычный 7 5 2 4 4 2 3 2" xfId="31434"/>
    <cellStyle name="Обычный 7 5 2 4 4 2 3 3" xfId="31435"/>
    <cellStyle name="Обычный 7 5 2 4 4 2 4" xfId="31436"/>
    <cellStyle name="Обычный 7 5 2 4 4 2 4 2" xfId="31437"/>
    <cellStyle name="Обычный 7 5 2 4 4 2 5" xfId="31438"/>
    <cellStyle name="Обычный 7 5 2 4 4 2 6" xfId="31439"/>
    <cellStyle name="Обычный 7 5 2 4 4 3" xfId="31440"/>
    <cellStyle name="Обычный 7 5 2 4 4 3 2" xfId="31441"/>
    <cellStyle name="Обычный 7 5 2 4 4 3 3" xfId="31442"/>
    <cellStyle name="Обычный 7 5 2 4 4 4" xfId="31443"/>
    <cellStyle name="Обычный 7 5 2 4 4 4 2" xfId="31444"/>
    <cellStyle name="Обычный 7 5 2 4 4 4 3" xfId="31445"/>
    <cellStyle name="Обычный 7 5 2 4 4 5" xfId="31446"/>
    <cellStyle name="Обычный 7 5 2 4 4 5 2" xfId="31447"/>
    <cellStyle name="Обычный 7 5 2 4 4 6" xfId="31448"/>
    <cellStyle name="Обычный 7 5 2 4 4 7" xfId="31449"/>
    <cellStyle name="Обычный 7 5 2 4 5" xfId="31450"/>
    <cellStyle name="Обычный 7 5 2 4 5 2" xfId="31451"/>
    <cellStyle name="Обычный 7 5 2 4 5 2 2" xfId="31452"/>
    <cellStyle name="Обычный 7 5 2 4 5 2 3" xfId="31453"/>
    <cellStyle name="Обычный 7 5 2 4 5 3" xfId="31454"/>
    <cellStyle name="Обычный 7 5 2 4 5 3 2" xfId="31455"/>
    <cellStyle name="Обычный 7 5 2 4 5 3 3" xfId="31456"/>
    <cellStyle name="Обычный 7 5 2 4 5 4" xfId="31457"/>
    <cellStyle name="Обычный 7 5 2 4 5 4 2" xfId="31458"/>
    <cellStyle name="Обычный 7 5 2 4 5 5" xfId="31459"/>
    <cellStyle name="Обычный 7 5 2 4 5 6" xfId="31460"/>
    <cellStyle name="Обычный 7 5 2 4 6" xfId="31461"/>
    <cellStyle name="Обычный 7 5 2 4 6 2" xfId="31462"/>
    <cellStyle name="Обычный 7 5 2 4 6 3" xfId="31463"/>
    <cellStyle name="Обычный 7 5 2 4 7" xfId="31464"/>
    <cellStyle name="Обычный 7 5 2 4 7 2" xfId="31465"/>
    <cellStyle name="Обычный 7 5 2 4 7 3" xfId="31466"/>
    <cellStyle name="Обычный 7 5 2 4 8" xfId="31467"/>
    <cellStyle name="Обычный 7 5 2 4 8 2" xfId="31468"/>
    <cellStyle name="Обычный 7 5 2 4 9" xfId="31469"/>
    <cellStyle name="Обычный 7 5 2 5" xfId="31470"/>
    <cellStyle name="Обычный 7 5 2 5 2" xfId="31471"/>
    <cellStyle name="Обычный 7 5 2 5 2 2" xfId="31472"/>
    <cellStyle name="Обычный 7 5 2 5 2 2 2" xfId="31473"/>
    <cellStyle name="Обычный 7 5 2 5 2 2 2 2" xfId="31474"/>
    <cellStyle name="Обычный 7 5 2 5 2 2 2 2 2" xfId="31475"/>
    <cellStyle name="Обычный 7 5 2 5 2 2 2 2 3" xfId="31476"/>
    <cellStyle name="Обычный 7 5 2 5 2 2 2 3" xfId="31477"/>
    <cellStyle name="Обычный 7 5 2 5 2 2 2 3 2" xfId="31478"/>
    <cellStyle name="Обычный 7 5 2 5 2 2 2 3 3" xfId="31479"/>
    <cellStyle name="Обычный 7 5 2 5 2 2 2 4" xfId="31480"/>
    <cellStyle name="Обычный 7 5 2 5 2 2 2 4 2" xfId="31481"/>
    <cellStyle name="Обычный 7 5 2 5 2 2 2 5" xfId="31482"/>
    <cellStyle name="Обычный 7 5 2 5 2 2 2 6" xfId="31483"/>
    <cellStyle name="Обычный 7 5 2 5 2 2 3" xfId="31484"/>
    <cellStyle name="Обычный 7 5 2 5 2 2 3 2" xfId="31485"/>
    <cellStyle name="Обычный 7 5 2 5 2 2 3 3" xfId="31486"/>
    <cellStyle name="Обычный 7 5 2 5 2 2 4" xfId="31487"/>
    <cellStyle name="Обычный 7 5 2 5 2 2 4 2" xfId="31488"/>
    <cellStyle name="Обычный 7 5 2 5 2 2 4 3" xfId="31489"/>
    <cellStyle name="Обычный 7 5 2 5 2 2 5" xfId="31490"/>
    <cellStyle name="Обычный 7 5 2 5 2 2 5 2" xfId="31491"/>
    <cellStyle name="Обычный 7 5 2 5 2 2 6" xfId="31492"/>
    <cellStyle name="Обычный 7 5 2 5 2 2 7" xfId="31493"/>
    <cellStyle name="Обычный 7 5 2 5 2 3" xfId="31494"/>
    <cellStyle name="Обычный 7 5 2 5 2 3 2" xfId="31495"/>
    <cellStyle name="Обычный 7 5 2 5 2 3 2 2" xfId="31496"/>
    <cellStyle name="Обычный 7 5 2 5 2 3 2 3" xfId="31497"/>
    <cellStyle name="Обычный 7 5 2 5 2 3 3" xfId="31498"/>
    <cellStyle name="Обычный 7 5 2 5 2 3 3 2" xfId="31499"/>
    <cellStyle name="Обычный 7 5 2 5 2 3 3 3" xfId="31500"/>
    <cellStyle name="Обычный 7 5 2 5 2 3 4" xfId="31501"/>
    <cellStyle name="Обычный 7 5 2 5 2 3 4 2" xfId="31502"/>
    <cellStyle name="Обычный 7 5 2 5 2 3 5" xfId="31503"/>
    <cellStyle name="Обычный 7 5 2 5 2 3 6" xfId="31504"/>
    <cellStyle name="Обычный 7 5 2 5 2 4" xfId="31505"/>
    <cellStyle name="Обычный 7 5 2 5 2 4 2" xfId="31506"/>
    <cellStyle name="Обычный 7 5 2 5 2 4 3" xfId="31507"/>
    <cellStyle name="Обычный 7 5 2 5 2 5" xfId="31508"/>
    <cellStyle name="Обычный 7 5 2 5 2 5 2" xfId="31509"/>
    <cellStyle name="Обычный 7 5 2 5 2 5 3" xfId="31510"/>
    <cellStyle name="Обычный 7 5 2 5 2 6" xfId="31511"/>
    <cellStyle name="Обычный 7 5 2 5 2 6 2" xfId="31512"/>
    <cellStyle name="Обычный 7 5 2 5 2 7" xfId="31513"/>
    <cellStyle name="Обычный 7 5 2 5 2 8" xfId="31514"/>
    <cellStyle name="Обычный 7 5 2 5 3" xfId="31515"/>
    <cellStyle name="Обычный 7 5 2 5 3 2" xfId="31516"/>
    <cellStyle name="Обычный 7 5 2 5 3 2 2" xfId="31517"/>
    <cellStyle name="Обычный 7 5 2 5 3 2 2 2" xfId="31518"/>
    <cellStyle name="Обычный 7 5 2 5 3 2 2 3" xfId="31519"/>
    <cellStyle name="Обычный 7 5 2 5 3 2 3" xfId="31520"/>
    <cellStyle name="Обычный 7 5 2 5 3 2 3 2" xfId="31521"/>
    <cellStyle name="Обычный 7 5 2 5 3 2 3 3" xfId="31522"/>
    <cellStyle name="Обычный 7 5 2 5 3 2 4" xfId="31523"/>
    <cellStyle name="Обычный 7 5 2 5 3 2 4 2" xfId="31524"/>
    <cellStyle name="Обычный 7 5 2 5 3 2 5" xfId="31525"/>
    <cellStyle name="Обычный 7 5 2 5 3 2 6" xfId="31526"/>
    <cellStyle name="Обычный 7 5 2 5 3 3" xfId="31527"/>
    <cellStyle name="Обычный 7 5 2 5 3 3 2" xfId="31528"/>
    <cellStyle name="Обычный 7 5 2 5 3 3 3" xfId="31529"/>
    <cellStyle name="Обычный 7 5 2 5 3 4" xfId="31530"/>
    <cellStyle name="Обычный 7 5 2 5 3 4 2" xfId="31531"/>
    <cellStyle name="Обычный 7 5 2 5 3 4 3" xfId="31532"/>
    <cellStyle name="Обычный 7 5 2 5 3 5" xfId="31533"/>
    <cellStyle name="Обычный 7 5 2 5 3 5 2" xfId="31534"/>
    <cellStyle name="Обычный 7 5 2 5 3 6" xfId="31535"/>
    <cellStyle name="Обычный 7 5 2 5 3 7" xfId="31536"/>
    <cellStyle name="Обычный 7 5 2 5 4" xfId="31537"/>
    <cellStyle name="Обычный 7 5 2 5 4 2" xfId="31538"/>
    <cellStyle name="Обычный 7 5 2 5 4 2 2" xfId="31539"/>
    <cellStyle name="Обычный 7 5 2 5 4 2 3" xfId="31540"/>
    <cellStyle name="Обычный 7 5 2 5 4 3" xfId="31541"/>
    <cellStyle name="Обычный 7 5 2 5 4 3 2" xfId="31542"/>
    <cellStyle name="Обычный 7 5 2 5 4 3 3" xfId="31543"/>
    <cellStyle name="Обычный 7 5 2 5 4 4" xfId="31544"/>
    <cellStyle name="Обычный 7 5 2 5 4 4 2" xfId="31545"/>
    <cellStyle name="Обычный 7 5 2 5 4 5" xfId="31546"/>
    <cellStyle name="Обычный 7 5 2 5 4 6" xfId="31547"/>
    <cellStyle name="Обычный 7 5 2 5 5" xfId="31548"/>
    <cellStyle name="Обычный 7 5 2 5 5 2" xfId="31549"/>
    <cellStyle name="Обычный 7 5 2 5 5 3" xfId="31550"/>
    <cellStyle name="Обычный 7 5 2 5 6" xfId="31551"/>
    <cellStyle name="Обычный 7 5 2 5 6 2" xfId="31552"/>
    <cellStyle name="Обычный 7 5 2 5 6 3" xfId="31553"/>
    <cellStyle name="Обычный 7 5 2 5 7" xfId="31554"/>
    <cellStyle name="Обычный 7 5 2 5 7 2" xfId="31555"/>
    <cellStyle name="Обычный 7 5 2 5 8" xfId="31556"/>
    <cellStyle name="Обычный 7 5 2 5 9" xfId="31557"/>
    <cellStyle name="Обычный 7 5 2 6" xfId="31558"/>
    <cellStyle name="Обычный 7 5 2 6 2" xfId="31559"/>
    <cellStyle name="Обычный 7 5 2 6 2 2" xfId="31560"/>
    <cellStyle name="Обычный 7 5 2 6 2 2 2" xfId="31561"/>
    <cellStyle name="Обычный 7 5 2 6 2 2 2 2" xfId="31562"/>
    <cellStyle name="Обычный 7 5 2 6 2 2 2 3" xfId="31563"/>
    <cellStyle name="Обычный 7 5 2 6 2 2 3" xfId="31564"/>
    <cellStyle name="Обычный 7 5 2 6 2 2 3 2" xfId="31565"/>
    <cellStyle name="Обычный 7 5 2 6 2 2 3 3" xfId="31566"/>
    <cellStyle name="Обычный 7 5 2 6 2 2 4" xfId="31567"/>
    <cellStyle name="Обычный 7 5 2 6 2 2 4 2" xfId="31568"/>
    <cellStyle name="Обычный 7 5 2 6 2 2 5" xfId="31569"/>
    <cellStyle name="Обычный 7 5 2 6 2 2 6" xfId="31570"/>
    <cellStyle name="Обычный 7 5 2 6 2 3" xfId="31571"/>
    <cellStyle name="Обычный 7 5 2 6 2 3 2" xfId="31572"/>
    <cellStyle name="Обычный 7 5 2 6 2 3 3" xfId="31573"/>
    <cellStyle name="Обычный 7 5 2 6 2 4" xfId="31574"/>
    <cellStyle name="Обычный 7 5 2 6 2 4 2" xfId="31575"/>
    <cellStyle name="Обычный 7 5 2 6 2 4 3" xfId="31576"/>
    <cellStyle name="Обычный 7 5 2 6 2 5" xfId="31577"/>
    <cellStyle name="Обычный 7 5 2 6 2 5 2" xfId="31578"/>
    <cellStyle name="Обычный 7 5 2 6 2 6" xfId="31579"/>
    <cellStyle name="Обычный 7 5 2 6 2 7" xfId="31580"/>
    <cellStyle name="Обычный 7 5 2 6 3" xfId="31581"/>
    <cellStyle name="Обычный 7 5 2 6 3 2" xfId="31582"/>
    <cellStyle name="Обычный 7 5 2 6 3 2 2" xfId="31583"/>
    <cellStyle name="Обычный 7 5 2 6 3 2 3" xfId="31584"/>
    <cellStyle name="Обычный 7 5 2 6 3 3" xfId="31585"/>
    <cellStyle name="Обычный 7 5 2 6 3 3 2" xfId="31586"/>
    <cellStyle name="Обычный 7 5 2 6 3 3 3" xfId="31587"/>
    <cellStyle name="Обычный 7 5 2 6 3 4" xfId="31588"/>
    <cellStyle name="Обычный 7 5 2 6 3 4 2" xfId="31589"/>
    <cellStyle name="Обычный 7 5 2 6 3 5" xfId="31590"/>
    <cellStyle name="Обычный 7 5 2 6 3 6" xfId="31591"/>
    <cellStyle name="Обычный 7 5 2 6 4" xfId="31592"/>
    <cellStyle name="Обычный 7 5 2 6 4 2" xfId="31593"/>
    <cellStyle name="Обычный 7 5 2 6 4 3" xfId="31594"/>
    <cellStyle name="Обычный 7 5 2 6 5" xfId="31595"/>
    <cellStyle name="Обычный 7 5 2 6 5 2" xfId="31596"/>
    <cellStyle name="Обычный 7 5 2 6 5 3" xfId="31597"/>
    <cellStyle name="Обычный 7 5 2 6 6" xfId="31598"/>
    <cellStyle name="Обычный 7 5 2 6 6 2" xfId="31599"/>
    <cellStyle name="Обычный 7 5 2 6 7" xfId="31600"/>
    <cellStyle name="Обычный 7 5 2 6 8" xfId="31601"/>
    <cellStyle name="Обычный 7 5 2 7" xfId="31602"/>
    <cellStyle name="Обычный 7 5 2 7 2" xfId="31603"/>
    <cellStyle name="Обычный 7 5 2 7 2 2" xfId="31604"/>
    <cellStyle name="Обычный 7 5 2 7 2 2 2" xfId="31605"/>
    <cellStyle name="Обычный 7 5 2 7 2 2 3" xfId="31606"/>
    <cellStyle name="Обычный 7 5 2 7 2 3" xfId="31607"/>
    <cellStyle name="Обычный 7 5 2 7 2 3 2" xfId="31608"/>
    <cellStyle name="Обычный 7 5 2 7 2 3 3" xfId="31609"/>
    <cellStyle name="Обычный 7 5 2 7 2 4" xfId="31610"/>
    <cellStyle name="Обычный 7 5 2 7 2 4 2" xfId="31611"/>
    <cellStyle name="Обычный 7 5 2 7 2 5" xfId="31612"/>
    <cellStyle name="Обычный 7 5 2 7 2 6" xfId="31613"/>
    <cellStyle name="Обычный 7 5 2 7 3" xfId="31614"/>
    <cellStyle name="Обычный 7 5 2 7 3 2" xfId="31615"/>
    <cellStyle name="Обычный 7 5 2 7 3 3" xfId="31616"/>
    <cellStyle name="Обычный 7 5 2 7 4" xfId="31617"/>
    <cellStyle name="Обычный 7 5 2 7 4 2" xfId="31618"/>
    <cellStyle name="Обычный 7 5 2 7 4 3" xfId="31619"/>
    <cellStyle name="Обычный 7 5 2 7 5" xfId="31620"/>
    <cellStyle name="Обычный 7 5 2 7 5 2" xfId="31621"/>
    <cellStyle name="Обычный 7 5 2 7 6" xfId="31622"/>
    <cellStyle name="Обычный 7 5 2 7 7" xfId="31623"/>
    <cellStyle name="Обычный 7 5 2 8" xfId="31624"/>
    <cellStyle name="Обычный 7 5 2 8 2" xfId="31625"/>
    <cellStyle name="Обычный 7 5 2 8 2 2" xfId="31626"/>
    <cellStyle name="Обычный 7 5 2 8 2 3" xfId="31627"/>
    <cellStyle name="Обычный 7 5 2 8 3" xfId="31628"/>
    <cellStyle name="Обычный 7 5 2 8 3 2" xfId="31629"/>
    <cellStyle name="Обычный 7 5 2 8 3 3" xfId="31630"/>
    <cellStyle name="Обычный 7 5 2 8 4" xfId="31631"/>
    <cellStyle name="Обычный 7 5 2 8 4 2" xfId="31632"/>
    <cellStyle name="Обычный 7 5 2 8 5" xfId="31633"/>
    <cellStyle name="Обычный 7 5 2 8 6" xfId="31634"/>
    <cellStyle name="Обычный 7 5 2 9" xfId="31635"/>
    <cellStyle name="Обычный 7 5 2 9 2" xfId="31636"/>
    <cellStyle name="Обычный 7 5 2 9 3" xfId="31637"/>
    <cellStyle name="Обычный 7 5 3" xfId="31638"/>
    <cellStyle name="Обычный 7 5 3 10" xfId="31639"/>
    <cellStyle name="Обычный 7 5 3 2" xfId="31640"/>
    <cellStyle name="Обычный 7 5 3 2 2" xfId="31641"/>
    <cellStyle name="Обычный 7 5 3 2 2 2" xfId="31642"/>
    <cellStyle name="Обычный 7 5 3 2 2 2 2" xfId="31643"/>
    <cellStyle name="Обычный 7 5 3 2 2 2 2 2" xfId="31644"/>
    <cellStyle name="Обычный 7 5 3 2 2 2 2 2 2" xfId="31645"/>
    <cellStyle name="Обычный 7 5 3 2 2 2 2 2 3" xfId="31646"/>
    <cellStyle name="Обычный 7 5 3 2 2 2 2 3" xfId="31647"/>
    <cellStyle name="Обычный 7 5 3 2 2 2 2 3 2" xfId="31648"/>
    <cellStyle name="Обычный 7 5 3 2 2 2 2 3 3" xfId="31649"/>
    <cellStyle name="Обычный 7 5 3 2 2 2 2 4" xfId="31650"/>
    <cellStyle name="Обычный 7 5 3 2 2 2 2 4 2" xfId="31651"/>
    <cellStyle name="Обычный 7 5 3 2 2 2 2 5" xfId="31652"/>
    <cellStyle name="Обычный 7 5 3 2 2 2 2 6" xfId="31653"/>
    <cellStyle name="Обычный 7 5 3 2 2 2 3" xfId="31654"/>
    <cellStyle name="Обычный 7 5 3 2 2 2 3 2" xfId="31655"/>
    <cellStyle name="Обычный 7 5 3 2 2 2 3 3" xfId="31656"/>
    <cellStyle name="Обычный 7 5 3 2 2 2 4" xfId="31657"/>
    <cellStyle name="Обычный 7 5 3 2 2 2 4 2" xfId="31658"/>
    <cellStyle name="Обычный 7 5 3 2 2 2 4 3" xfId="31659"/>
    <cellStyle name="Обычный 7 5 3 2 2 2 5" xfId="31660"/>
    <cellStyle name="Обычный 7 5 3 2 2 2 5 2" xfId="31661"/>
    <cellStyle name="Обычный 7 5 3 2 2 2 6" xfId="31662"/>
    <cellStyle name="Обычный 7 5 3 2 2 2 7" xfId="31663"/>
    <cellStyle name="Обычный 7 5 3 2 2 3" xfId="31664"/>
    <cellStyle name="Обычный 7 5 3 2 2 3 2" xfId="31665"/>
    <cellStyle name="Обычный 7 5 3 2 2 3 2 2" xfId="31666"/>
    <cellStyle name="Обычный 7 5 3 2 2 3 2 3" xfId="31667"/>
    <cellStyle name="Обычный 7 5 3 2 2 3 3" xfId="31668"/>
    <cellStyle name="Обычный 7 5 3 2 2 3 3 2" xfId="31669"/>
    <cellStyle name="Обычный 7 5 3 2 2 3 3 3" xfId="31670"/>
    <cellStyle name="Обычный 7 5 3 2 2 3 4" xfId="31671"/>
    <cellStyle name="Обычный 7 5 3 2 2 3 4 2" xfId="31672"/>
    <cellStyle name="Обычный 7 5 3 2 2 3 5" xfId="31673"/>
    <cellStyle name="Обычный 7 5 3 2 2 3 6" xfId="31674"/>
    <cellStyle name="Обычный 7 5 3 2 2 4" xfId="31675"/>
    <cellStyle name="Обычный 7 5 3 2 2 4 2" xfId="31676"/>
    <cellStyle name="Обычный 7 5 3 2 2 4 3" xfId="31677"/>
    <cellStyle name="Обычный 7 5 3 2 2 5" xfId="31678"/>
    <cellStyle name="Обычный 7 5 3 2 2 5 2" xfId="31679"/>
    <cellStyle name="Обычный 7 5 3 2 2 5 3" xfId="31680"/>
    <cellStyle name="Обычный 7 5 3 2 2 6" xfId="31681"/>
    <cellStyle name="Обычный 7 5 3 2 2 6 2" xfId="31682"/>
    <cellStyle name="Обычный 7 5 3 2 2 7" xfId="31683"/>
    <cellStyle name="Обычный 7 5 3 2 2 8" xfId="31684"/>
    <cellStyle name="Обычный 7 5 3 2 3" xfId="31685"/>
    <cellStyle name="Обычный 7 5 3 2 3 2" xfId="31686"/>
    <cellStyle name="Обычный 7 5 3 2 3 2 2" xfId="31687"/>
    <cellStyle name="Обычный 7 5 3 2 3 2 2 2" xfId="31688"/>
    <cellStyle name="Обычный 7 5 3 2 3 2 2 3" xfId="31689"/>
    <cellStyle name="Обычный 7 5 3 2 3 2 3" xfId="31690"/>
    <cellStyle name="Обычный 7 5 3 2 3 2 3 2" xfId="31691"/>
    <cellStyle name="Обычный 7 5 3 2 3 2 3 3" xfId="31692"/>
    <cellStyle name="Обычный 7 5 3 2 3 2 4" xfId="31693"/>
    <cellStyle name="Обычный 7 5 3 2 3 2 4 2" xfId="31694"/>
    <cellStyle name="Обычный 7 5 3 2 3 2 5" xfId="31695"/>
    <cellStyle name="Обычный 7 5 3 2 3 2 6" xfId="31696"/>
    <cellStyle name="Обычный 7 5 3 2 3 3" xfId="31697"/>
    <cellStyle name="Обычный 7 5 3 2 3 3 2" xfId="31698"/>
    <cellStyle name="Обычный 7 5 3 2 3 3 3" xfId="31699"/>
    <cellStyle name="Обычный 7 5 3 2 3 4" xfId="31700"/>
    <cellStyle name="Обычный 7 5 3 2 3 4 2" xfId="31701"/>
    <cellStyle name="Обычный 7 5 3 2 3 4 3" xfId="31702"/>
    <cellStyle name="Обычный 7 5 3 2 3 5" xfId="31703"/>
    <cellStyle name="Обычный 7 5 3 2 3 5 2" xfId="31704"/>
    <cellStyle name="Обычный 7 5 3 2 3 6" xfId="31705"/>
    <cellStyle name="Обычный 7 5 3 2 3 7" xfId="31706"/>
    <cellStyle name="Обычный 7 5 3 2 4" xfId="31707"/>
    <cellStyle name="Обычный 7 5 3 2 4 2" xfId="31708"/>
    <cellStyle name="Обычный 7 5 3 2 4 2 2" xfId="31709"/>
    <cellStyle name="Обычный 7 5 3 2 4 2 3" xfId="31710"/>
    <cellStyle name="Обычный 7 5 3 2 4 3" xfId="31711"/>
    <cellStyle name="Обычный 7 5 3 2 4 3 2" xfId="31712"/>
    <cellStyle name="Обычный 7 5 3 2 4 3 3" xfId="31713"/>
    <cellStyle name="Обычный 7 5 3 2 4 4" xfId="31714"/>
    <cellStyle name="Обычный 7 5 3 2 4 4 2" xfId="31715"/>
    <cellStyle name="Обычный 7 5 3 2 4 5" xfId="31716"/>
    <cellStyle name="Обычный 7 5 3 2 4 6" xfId="31717"/>
    <cellStyle name="Обычный 7 5 3 2 5" xfId="31718"/>
    <cellStyle name="Обычный 7 5 3 2 5 2" xfId="31719"/>
    <cellStyle name="Обычный 7 5 3 2 5 3" xfId="31720"/>
    <cellStyle name="Обычный 7 5 3 2 6" xfId="31721"/>
    <cellStyle name="Обычный 7 5 3 2 6 2" xfId="31722"/>
    <cellStyle name="Обычный 7 5 3 2 6 3" xfId="31723"/>
    <cellStyle name="Обычный 7 5 3 2 7" xfId="31724"/>
    <cellStyle name="Обычный 7 5 3 2 7 2" xfId="31725"/>
    <cellStyle name="Обычный 7 5 3 2 8" xfId="31726"/>
    <cellStyle name="Обычный 7 5 3 2 9" xfId="31727"/>
    <cellStyle name="Обычный 7 5 3 3" xfId="31728"/>
    <cellStyle name="Обычный 7 5 3 3 2" xfId="31729"/>
    <cellStyle name="Обычный 7 5 3 3 2 2" xfId="31730"/>
    <cellStyle name="Обычный 7 5 3 3 2 2 2" xfId="31731"/>
    <cellStyle name="Обычный 7 5 3 3 2 2 2 2" xfId="31732"/>
    <cellStyle name="Обычный 7 5 3 3 2 2 2 3" xfId="31733"/>
    <cellStyle name="Обычный 7 5 3 3 2 2 3" xfId="31734"/>
    <cellStyle name="Обычный 7 5 3 3 2 2 3 2" xfId="31735"/>
    <cellStyle name="Обычный 7 5 3 3 2 2 3 3" xfId="31736"/>
    <cellStyle name="Обычный 7 5 3 3 2 2 4" xfId="31737"/>
    <cellStyle name="Обычный 7 5 3 3 2 2 4 2" xfId="31738"/>
    <cellStyle name="Обычный 7 5 3 3 2 2 5" xfId="31739"/>
    <cellStyle name="Обычный 7 5 3 3 2 2 6" xfId="31740"/>
    <cellStyle name="Обычный 7 5 3 3 2 3" xfId="31741"/>
    <cellStyle name="Обычный 7 5 3 3 2 3 2" xfId="31742"/>
    <cellStyle name="Обычный 7 5 3 3 2 3 3" xfId="31743"/>
    <cellStyle name="Обычный 7 5 3 3 2 4" xfId="31744"/>
    <cellStyle name="Обычный 7 5 3 3 2 4 2" xfId="31745"/>
    <cellStyle name="Обычный 7 5 3 3 2 4 3" xfId="31746"/>
    <cellStyle name="Обычный 7 5 3 3 2 5" xfId="31747"/>
    <cellStyle name="Обычный 7 5 3 3 2 5 2" xfId="31748"/>
    <cellStyle name="Обычный 7 5 3 3 2 6" xfId="31749"/>
    <cellStyle name="Обычный 7 5 3 3 2 7" xfId="31750"/>
    <cellStyle name="Обычный 7 5 3 3 3" xfId="31751"/>
    <cellStyle name="Обычный 7 5 3 3 3 2" xfId="31752"/>
    <cellStyle name="Обычный 7 5 3 3 3 2 2" xfId="31753"/>
    <cellStyle name="Обычный 7 5 3 3 3 2 3" xfId="31754"/>
    <cellStyle name="Обычный 7 5 3 3 3 3" xfId="31755"/>
    <cellStyle name="Обычный 7 5 3 3 3 3 2" xfId="31756"/>
    <cellStyle name="Обычный 7 5 3 3 3 3 3" xfId="31757"/>
    <cellStyle name="Обычный 7 5 3 3 3 4" xfId="31758"/>
    <cellStyle name="Обычный 7 5 3 3 3 4 2" xfId="31759"/>
    <cellStyle name="Обычный 7 5 3 3 3 5" xfId="31760"/>
    <cellStyle name="Обычный 7 5 3 3 3 6" xfId="31761"/>
    <cellStyle name="Обычный 7 5 3 3 4" xfId="31762"/>
    <cellStyle name="Обычный 7 5 3 3 4 2" xfId="31763"/>
    <cellStyle name="Обычный 7 5 3 3 4 3" xfId="31764"/>
    <cellStyle name="Обычный 7 5 3 3 5" xfId="31765"/>
    <cellStyle name="Обычный 7 5 3 3 5 2" xfId="31766"/>
    <cellStyle name="Обычный 7 5 3 3 5 3" xfId="31767"/>
    <cellStyle name="Обычный 7 5 3 3 6" xfId="31768"/>
    <cellStyle name="Обычный 7 5 3 3 6 2" xfId="31769"/>
    <cellStyle name="Обычный 7 5 3 3 7" xfId="31770"/>
    <cellStyle name="Обычный 7 5 3 3 8" xfId="31771"/>
    <cellStyle name="Обычный 7 5 3 4" xfId="31772"/>
    <cellStyle name="Обычный 7 5 3 4 2" xfId="31773"/>
    <cellStyle name="Обычный 7 5 3 4 2 2" xfId="31774"/>
    <cellStyle name="Обычный 7 5 3 4 2 2 2" xfId="31775"/>
    <cellStyle name="Обычный 7 5 3 4 2 2 3" xfId="31776"/>
    <cellStyle name="Обычный 7 5 3 4 2 3" xfId="31777"/>
    <cellStyle name="Обычный 7 5 3 4 2 3 2" xfId="31778"/>
    <cellStyle name="Обычный 7 5 3 4 2 3 3" xfId="31779"/>
    <cellStyle name="Обычный 7 5 3 4 2 4" xfId="31780"/>
    <cellStyle name="Обычный 7 5 3 4 2 4 2" xfId="31781"/>
    <cellStyle name="Обычный 7 5 3 4 2 5" xfId="31782"/>
    <cellStyle name="Обычный 7 5 3 4 2 6" xfId="31783"/>
    <cellStyle name="Обычный 7 5 3 4 3" xfId="31784"/>
    <cellStyle name="Обычный 7 5 3 4 3 2" xfId="31785"/>
    <cellStyle name="Обычный 7 5 3 4 3 3" xfId="31786"/>
    <cellStyle name="Обычный 7 5 3 4 4" xfId="31787"/>
    <cellStyle name="Обычный 7 5 3 4 4 2" xfId="31788"/>
    <cellStyle name="Обычный 7 5 3 4 4 3" xfId="31789"/>
    <cellStyle name="Обычный 7 5 3 4 5" xfId="31790"/>
    <cellStyle name="Обычный 7 5 3 4 5 2" xfId="31791"/>
    <cellStyle name="Обычный 7 5 3 4 6" xfId="31792"/>
    <cellStyle name="Обычный 7 5 3 4 7" xfId="31793"/>
    <cellStyle name="Обычный 7 5 3 5" xfId="31794"/>
    <cellStyle name="Обычный 7 5 3 5 2" xfId="31795"/>
    <cellStyle name="Обычный 7 5 3 5 2 2" xfId="31796"/>
    <cellStyle name="Обычный 7 5 3 5 2 3" xfId="31797"/>
    <cellStyle name="Обычный 7 5 3 5 3" xfId="31798"/>
    <cellStyle name="Обычный 7 5 3 5 3 2" xfId="31799"/>
    <cellStyle name="Обычный 7 5 3 5 3 3" xfId="31800"/>
    <cellStyle name="Обычный 7 5 3 5 4" xfId="31801"/>
    <cellStyle name="Обычный 7 5 3 5 4 2" xfId="31802"/>
    <cellStyle name="Обычный 7 5 3 5 5" xfId="31803"/>
    <cellStyle name="Обычный 7 5 3 5 6" xfId="31804"/>
    <cellStyle name="Обычный 7 5 3 6" xfId="31805"/>
    <cellStyle name="Обычный 7 5 3 6 2" xfId="31806"/>
    <cellStyle name="Обычный 7 5 3 6 3" xfId="31807"/>
    <cellStyle name="Обычный 7 5 3 7" xfId="31808"/>
    <cellStyle name="Обычный 7 5 3 7 2" xfId="31809"/>
    <cellStyle name="Обычный 7 5 3 7 3" xfId="31810"/>
    <cellStyle name="Обычный 7 5 3 8" xfId="31811"/>
    <cellStyle name="Обычный 7 5 3 8 2" xfId="31812"/>
    <cellStyle name="Обычный 7 5 3 9" xfId="31813"/>
    <cellStyle name="Обычный 7 5 4" xfId="31814"/>
    <cellStyle name="Обычный 7 5 4 10" xfId="31815"/>
    <cellStyle name="Обычный 7 5 4 2" xfId="31816"/>
    <cellStyle name="Обычный 7 5 4 2 2" xfId="31817"/>
    <cellStyle name="Обычный 7 5 4 2 2 2" xfId="31818"/>
    <cellStyle name="Обычный 7 5 4 2 2 2 2" xfId="31819"/>
    <cellStyle name="Обычный 7 5 4 2 2 2 2 2" xfId="31820"/>
    <cellStyle name="Обычный 7 5 4 2 2 2 2 2 2" xfId="31821"/>
    <cellStyle name="Обычный 7 5 4 2 2 2 2 2 3" xfId="31822"/>
    <cellStyle name="Обычный 7 5 4 2 2 2 2 3" xfId="31823"/>
    <cellStyle name="Обычный 7 5 4 2 2 2 2 3 2" xfId="31824"/>
    <cellStyle name="Обычный 7 5 4 2 2 2 2 3 3" xfId="31825"/>
    <cellStyle name="Обычный 7 5 4 2 2 2 2 4" xfId="31826"/>
    <cellStyle name="Обычный 7 5 4 2 2 2 2 4 2" xfId="31827"/>
    <cellStyle name="Обычный 7 5 4 2 2 2 2 5" xfId="31828"/>
    <cellStyle name="Обычный 7 5 4 2 2 2 2 6" xfId="31829"/>
    <cellStyle name="Обычный 7 5 4 2 2 2 3" xfId="31830"/>
    <cellStyle name="Обычный 7 5 4 2 2 2 3 2" xfId="31831"/>
    <cellStyle name="Обычный 7 5 4 2 2 2 3 3" xfId="31832"/>
    <cellStyle name="Обычный 7 5 4 2 2 2 4" xfId="31833"/>
    <cellStyle name="Обычный 7 5 4 2 2 2 4 2" xfId="31834"/>
    <cellStyle name="Обычный 7 5 4 2 2 2 4 3" xfId="31835"/>
    <cellStyle name="Обычный 7 5 4 2 2 2 5" xfId="31836"/>
    <cellStyle name="Обычный 7 5 4 2 2 2 5 2" xfId="31837"/>
    <cellStyle name="Обычный 7 5 4 2 2 2 6" xfId="31838"/>
    <cellStyle name="Обычный 7 5 4 2 2 2 7" xfId="31839"/>
    <cellStyle name="Обычный 7 5 4 2 2 3" xfId="31840"/>
    <cellStyle name="Обычный 7 5 4 2 2 3 2" xfId="31841"/>
    <cellStyle name="Обычный 7 5 4 2 2 3 2 2" xfId="31842"/>
    <cellStyle name="Обычный 7 5 4 2 2 3 2 3" xfId="31843"/>
    <cellStyle name="Обычный 7 5 4 2 2 3 3" xfId="31844"/>
    <cellStyle name="Обычный 7 5 4 2 2 3 3 2" xfId="31845"/>
    <cellStyle name="Обычный 7 5 4 2 2 3 3 3" xfId="31846"/>
    <cellStyle name="Обычный 7 5 4 2 2 3 4" xfId="31847"/>
    <cellStyle name="Обычный 7 5 4 2 2 3 4 2" xfId="31848"/>
    <cellStyle name="Обычный 7 5 4 2 2 3 5" xfId="31849"/>
    <cellStyle name="Обычный 7 5 4 2 2 3 6" xfId="31850"/>
    <cellStyle name="Обычный 7 5 4 2 2 4" xfId="31851"/>
    <cellStyle name="Обычный 7 5 4 2 2 4 2" xfId="31852"/>
    <cellStyle name="Обычный 7 5 4 2 2 4 3" xfId="31853"/>
    <cellStyle name="Обычный 7 5 4 2 2 5" xfId="31854"/>
    <cellStyle name="Обычный 7 5 4 2 2 5 2" xfId="31855"/>
    <cellStyle name="Обычный 7 5 4 2 2 5 3" xfId="31856"/>
    <cellStyle name="Обычный 7 5 4 2 2 6" xfId="31857"/>
    <cellStyle name="Обычный 7 5 4 2 2 6 2" xfId="31858"/>
    <cellStyle name="Обычный 7 5 4 2 2 7" xfId="31859"/>
    <cellStyle name="Обычный 7 5 4 2 2 8" xfId="31860"/>
    <cellStyle name="Обычный 7 5 4 2 3" xfId="31861"/>
    <cellStyle name="Обычный 7 5 4 2 3 2" xfId="31862"/>
    <cellStyle name="Обычный 7 5 4 2 3 2 2" xfId="31863"/>
    <cellStyle name="Обычный 7 5 4 2 3 2 2 2" xfId="31864"/>
    <cellStyle name="Обычный 7 5 4 2 3 2 2 3" xfId="31865"/>
    <cellStyle name="Обычный 7 5 4 2 3 2 3" xfId="31866"/>
    <cellStyle name="Обычный 7 5 4 2 3 2 3 2" xfId="31867"/>
    <cellStyle name="Обычный 7 5 4 2 3 2 3 3" xfId="31868"/>
    <cellStyle name="Обычный 7 5 4 2 3 2 4" xfId="31869"/>
    <cellStyle name="Обычный 7 5 4 2 3 2 4 2" xfId="31870"/>
    <cellStyle name="Обычный 7 5 4 2 3 2 5" xfId="31871"/>
    <cellStyle name="Обычный 7 5 4 2 3 2 6" xfId="31872"/>
    <cellStyle name="Обычный 7 5 4 2 3 3" xfId="31873"/>
    <cellStyle name="Обычный 7 5 4 2 3 3 2" xfId="31874"/>
    <cellStyle name="Обычный 7 5 4 2 3 3 3" xfId="31875"/>
    <cellStyle name="Обычный 7 5 4 2 3 4" xfId="31876"/>
    <cellStyle name="Обычный 7 5 4 2 3 4 2" xfId="31877"/>
    <cellStyle name="Обычный 7 5 4 2 3 4 3" xfId="31878"/>
    <cellStyle name="Обычный 7 5 4 2 3 5" xfId="31879"/>
    <cellStyle name="Обычный 7 5 4 2 3 5 2" xfId="31880"/>
    <cellStyle name="Обычный 7 5 4 2 3 6" xfId="31881"/>
    <cellStyle name="Обычный 7 5 4 2 3 7" xfId="31882"/>
    <cellStyle name="Обычный 7 5 4 2 4" xfId="31883"/>
    <cellStyle name="Обычный 7 5 4 2 4 2" xfId="31884"/>
    <cellStyle name="Обычный 7 5 4 2 4 2 2" xfId="31885"/>
    <cellStyle name="Обычный 7 5 4 2 4 2 3" xfId="31886"/>
    <cellStyle name="Обычный 7 5 4 2 4 3" xfId="31887"/>
    <cellStyle name="Обычный 7 5 4 2 4 3 2" xfId="31888"/>
    <cellStyle name="Обычный 7 5 4 2 4 3 3" xfId="31889"/>
    <cellStyle name="Обычный 7 5 4 2 4 4" xfId="31890"/>
    <cellStyle name="Обычный 7 5 4 2 4 4 2" xfId="31891"/>
    <cellStyle name="Обычный 7 5 4 2 4 5" xfId="31892"/>
    <cellStyle name="Обычный 7 5 4 2 4 6" xfId="31893"/>
    <cellStyle name="Обычный 7 5 4 2 5" xfId="31894"/>
    <cellStyle name="Обычный 7 5 4 2 5 2" xfId="31895"/>
    <cellStyle name="Обычный 7 5 4 2 5 3" xfId="31896"/>
    <cellStyle name="Обычный 7 5 4 2 6" xfId="31897"/>
    <cellStyle name="Обычный 7 5 4 2 6 2" xfId="31898"/>
    <cellStyle name="Обычный 7 5 4 2 6 3" xfId="31899"/>
    <cellStyle name="Обычный 7 5 4 2 7" xfId="31900"/>
    <cellStyle name="Обычный 7 5 4 2 7 2" xfId="31901"/>
    <cellStyle name="Обычный 7 5 4 2 8" xfId="31902"/>
    <cellStyle name="Обычный 7 5 4 2 9" xfId="31903"/>
    <cellStyle name="Обычный 7 5 4 3" xfId="31904"/>
    <cellStyle name="Обычный 7 5 4 3 2" xfId="31905"/>
    <cellStyle name="Обычный 7 5 4 3 2 2" xfId="31906"/>
    <cellStyle name="Обычный 7 5 4 3 2 2 2" xfId="31907"/>
    <cellStyle name="Обычный 7 5 4 3 2 2 2 2" xfId="31908"/>
    <cellStyle name="Обычный 7 5 4 3 2 2 2 3" xfId="31909"/>
    <cellStyle name="Обычный 7 5 4 3 2 2 3" xfId="31910"/>
    <cellStyle name="Обычный 7 5 4 3 2 2 3 2" xfId="31911"/>
    <cellStyle name="Обычный 7 5 4 3 2 2 3 3" xfId="31912"/>
    <cellStyle name="Обычный 7 5 4 3 2 2 4" xfId="31913"/>
    <cellStyle name="Обычный 7 5 4 3 2 2 4 2" xfId="31914"/>
    <cellStyle name="Обычный 7 5 4 3 2 2 5" xfId="31915"/>
    <cellStyle name="Обычный 7 5 4 3 2 2 6" xfId="31916"/>
    <cellStyle name="Обычный 7 5 4 3 2 3" xfId="31917"/>
    <cellStyle name="Обычный 7 5 4 3 2 3 2" xfId="31918"/>
    <cellStyle name="Обычный 7 5 4 3 2 3 3" xfId="31919"/>
    <cellStyle name="Обычный 7 5 4 3 2 4" xfId="31920"/>
    <cellStyle name="Обычный 7 5 4 3 2 4 2" xfId="31921"/>
    <cellStyle name="Обычный 7 5 4 3 2 4 3" xfId="31922"/>
    <cellStyle name="Обычный 7 5 4 3 2 5" xfId="31923"/>
    <cellStyle name="Обычный 7 5 4 3 2 5 2" xfId="31924"/>
    <cellStyle name="Обычный 7 5 4 3 2 6" xfId="31925"/>
    <cellStyle name="Обычный 7 5 4 3 2 7" xfId="31926"/>
    <cellStyle name="Обычный 7 5 4 3 3" xfId="31927"/>
    <cellStyle name="Обычный 7 5 4 3 3 2" xfId="31928"/>
    <cellStyle name="Обычный 7 5 4 3 3 2 2" xfId="31929"/>
    <cellStyle name="Обычный 7 5 4 3 3 2 3" xfId="31930"/>
    <cellStyle name="Обычный 7 5 4 3 3 3" xfId="31931"/>
    <cellStyle name="Обычный 7 5 4 3 3 3 2" xfId="31932"/>
    <cellStyle name="Обычный 7 5 4 3 3 3 3" xfId="31933"/>
    <cellStyle name="Обычный 7 5 4 3 3 4" xfId="31934"/>
    <cellStyle name="Обычный 7 5 4 3 3 4 2" xfId="31935"/>
    <cellStyle name="Обычный 7 5 4 3 3 5" xfId="31936"/>
    <cellStyle name="Обычный 7 5 4 3 3 6" xfId="31937"/>
    <cellStyle name="Обычный 7 5 4 3 4" xfId="31938"/>
    <cellStyle name="Обычный 7 5 4 3 4 2" xfId="31939"/>
    <cellStyle name="Обычный 7 5 4 3 4 3" xfId="31940"/>
    <cellStyle name="Обычный 7 5 4 3 5" xfId="31941"/>
    <cellStyle name="Обычный 7 5 4 3 5 2" xfId="31942"/>
    <cellStyle name="Обычный 7 5 4 3 5 3" xfId="31943"/>
    <cellStyle name="Обычный 7 5 4 3 6" xfId="31944"/>
    <cellStyle name="Обычный 7 5 4 3 6 2" xfId="31945"/>
    <cellStyle name="Обычный 7 5 4 3 7" xfId="31946"/>
    <cellStyle name="Обычный 7 5 4 3 8" xfId="31947"/>
    <cellStyle name="Обычный 7 5 4 4" xfId="31948"/>
    <cellStyle name="Обычный 7 5 4 4 2" xfId="31949"/>
    <cellStyle name="Обычный 7 5 4 4 2 2" xfId="31950"/>
    <cellStyle name="Обычный 7 5 4 4 2 2 2" xfId="31951"/>
    <cellStyle name="Обычный 7 5 4 4 2 2 3" xfId="31952"/>
    <cellStyle name="Обычный 7 5 4 4 2 3" xfId="31953"/>
    <cellStyle name="Обычный 7 5 4 4 2 3 2" xfId="31954"/>
    <cellStyle name="Обычный 7 5 4 4 2 3 3" xfId="31955"/>
    <cellStyle name="Обычный 7 5 4 4 2 4" xfId="31956"/>
    <cellStyle name="Обычный 7 5 4 4 2 4 2" xfId="31957"/>
    <cellStyle name="Обычный 7 5 4 4 2 5" xfId="31958"/>
    <cellStyle name="Обычный 7 5 4 4 2 6" xfId="31959"/>
    <cellStyle name="Обычный 7 5 4 4 3" xfId="31960"/>
    <cellStyle name="Обычный 7 5 4 4 3 2" xfId="31961"/>
    <cellStyle name="Обычный 7 5 4 4 3 3" xfId="31962"/>
    <cellStyle name="Обычный 7 5 4 4 4" xfId="31963"/>
    <cellStyle name="Обычный 7 5 4 4 4 2" xfId="31964"/>
    <cellStyle name="Обычный 7 5 4 4 4 3" xfId="31965"/>
    <cellStyle name="Обычный 7 5 4 4 5" xfId="31966"/>
    <cellStyle name="Обычный 7 5 4 4 5 2" xfId="31967"/>
    <cellStyle name="Обычный 7 5 4 4 6" xfId="31968"/>
    <cellStyle name="Обычный 7 5 4 4 7" xfId="31969"/>
    <cellStyle name="Обычный 7 5 4 5" xfId="31970"/>
    <cellStyle name="Обычный 7 5 4 5 2" xfId="31971"/>
    <cellStyle name="Обычный 7 5 4 5 2 2" xfId="31972"/>
    <cellStyle name="Обычный 7 5 4 5 2 3" xfId="31973"/>
    <cellStyle name="Обычный 7 5 4 5 3" xfId="31974"/>
    <cellStyle name="Обычный 7 5 4 5 3 2" xfId="31975"/>
    <cellStyle name="Обычный 7 5 4 5 3 3" xfId="31976"/>
    <cellStyle name="Обычный 7 5 4 5 4" xfId="31977"/>
    <cellStyle name="Обычный 7 5 4 5 4 2" xfId="31978"/>
    <cellStyle name="Обычный 7 5 4 5 5" xfId="31979"/>
    <cellStyle name="Обычный 7 5 4 5 6" xfId="31980"/>
    <cellStyle name="Обычный 7 5 4 6" xfId="31981"/>
    <cellStyle name="Обычный 7 5 4 6 2" xfId="31982"/>
    <cellStyle name="Обычный 7 5 4 6 3" xfId="31983"/>
    <cellStyle name="Обычный 7 5 4 7" xfId="31984"/>
    <cellStyle name="Обычный 7 5 4 7 2" xfId="31985"/>
    <cellStyle name="Обычный 7 5 4 7 3" xfId="31986"/>
    <cellStyle name="Обычный 7 5 4 8" xfId="31987"/>
    <cellStyle name="Обычный 7 5 4 8 2" xfId="31988"/>
    <cellStyle name="Обычный 7 5 4 9" xfId="31989"/>
    <cellStyle name="Обычный 7 5 5" xfId="31990"/>
    <cellStyle name="Обычный 7 5 5 10" xfId="31991"/>
    <cellStyle name="Обычный 7 5 5 2" xfId="31992"/>
    <cellStyle name="Обычный 7 5 5 2 2" xfId="31993"/>
    <cellStyle name="Обычный 7 5 5 2 2 2" xfId="31994"/>
    <cellStyle name="Обычный 7 5 5 2 2 2 2" xfId="31995"/>
    <cellStyle name="Обычный 7 5 5 2 2 2 2 2" xfId="31996"/>
    <cellStyle name="Обычный 7 5 5 2 2 2 2 2 2" xfId="31997"/>
    <cellStyle name="Обычный 7 5 5 2 2 2 2 2 3" xfId="31998"/>
    <cellStyle name="Обычный 7 5 5 2 2 2 2 3" xfId="31999"/>
    <cellStyle name="Обычный 7 5 5 2 2 2 2 3 2" xfId="32000"/>
    <cellStyle name="Обычный 7 5 5 2 2 2 2 3 3" xfId="32001"/>
    <cellStyle name="Обычный 7 5 5 2 2 2 2 4" xfId="32002"/>
    <cellStyle name="Обычный 7 5 5 2 2 2 2 4 2" xfId="32003"/>
    <cellStyle name="Обычный 7 5 5 2 2 2 2 5" xfId="32004"/>
    <cellStyle name="Обычный 7 5 5 2 2 2 2 6" xfId="32005"/>
    <cellStyle name="Обычный 7 5 5 2 2 2 3" xfId="32006"/>
    <cellStyle name="Обычный 7 5 5 2 2 2 3 2" xfId="32007"/>
    <cellStyle name="Обычный 7 5 5 2 2 2 3 3" xfId="32008"/>
    <cellStyle name="Обычный 7 5 5 2 2 2 4" xfId="32009"/>
    <cellStyle name="Обычный 7 5 5 2 2 2 4 2" xfId="32010"/>
    <cellStyle name="Обычный 7 5 5 2 2 2 4 3" xfId="32011"/>
    <cellStyle name="Обычный 7 5 5 2 2 2 5" xfId="32012"/>
    <cellStyle name="Обычный 7 5 5 2 2 2 5 2" xfId="32013"/>
    <cellStyle name="Обычный 7 5 5 2 2 2 6" xfId="32014"/>
    <cellStyle name="Обычный 7 5 5 2 2 2 7" xfId="32015"/>
    <cellStyle name="Обычный 7 5 5 2 2 3" xfId="32016"/>
    <cellStyle name="Обычный 7 5 5 2 2 3 2" xfId="32017"/>
    <cellStyle name="Обычный 7 5 5 2 2 3 2 2" xfId="32018"/>
    <cellStyle name="Обычный 7 5 5 2 2 3 2 3" xfId="32019"/>
    <cellStyle name="Обычный 7 5 5 2 2 3 3" xfId="32020"/>
    <cellStyle name="Обычный 7 5 5 2 2 3 3 2" xfId="32021"/>
    <cellStyle name="Обычный 7 5 5 2 2 3 3 3" xfId="32022"/>
    <cellStyle name="Обычный 7 5 5 2 2 3 4" xfId="32023"/>
    <cellStyle name="Обычный 7 5 5 2 2 3 4 2" xfId="32024"/>
    <cellStyle name="Обычный 7 5 5 2 2 3 5" xfId="32025"/>
    <cellStyle name="Обычный 7 5 5 2 2 3 6" xfId="32026"/>
    <cellStyle name="Обычный 7 5 5 2 2 4" xfId="32027"/>
    <cellStyle name="Обычный 7 5 5 2 2 4 2" xfId="32028"/>
    <cellStyle name="Обычный 7 5 5 2 2 4 3" xfId="32029"/>
    <cellStyle name="Обычный 7 5 5 2 2 5" xfId="32030"/>
    <cellStyle name="Обычный 7 5 5 2 2 5 2" xfId="32031"/>
    <cellStyle name="Обычный 7 5 5 2 2 5 3" xfId="32032"/>
    <cellStyle name="Обычный 7 5 5 2 2 6" xfId="32033"/>
    <cellStyle name="Обычный 7 5 5 2 2 6 2" xfId="32034"/>
    <cellStyle name="Обычный 7 5 5 2 2 7" xfId="32035"/>
    <cellStyle name="Обычный 7 5 5 2 2 8" xfId="32036"/>
    <cellStyle name="Обычный 7 5 5 2 3" xfId="32037"/>
    <cellStyle name="Обычный 7 5 5 2 3 2" xfId="32038"/>
    <cellStyle name="Обычный 7 5 5 2 3 2 2" xfId="32039"/>
    <cellStyle name="Обычный 7 5 5 2 3 2 2 2" xfId="32040"/>
    <cellStyle name="Обычный 7 5 5 2 3 2 2 3" xfId="32041"/>
    <cellStyle name="Обычный 7 5 5 2 3 2 3" xfId="32042"/>
    <cellStyle name="Обычный 7 5 5 2 3 2 3 2" xfId="32043"/>
    <cellStyle name="Обычный 7 5 5 2 3 2 3 3" xfId="32044"/>
    <cellStyle name="Обычный 7 5 5 2 3 2 4" xfId="32045"/>
    <cellStyle name="Обычный 7 5 5 2 3 2 4 2" xfId="32046"/>
    <cellStyle name="Обычный 7 5 5 2 3 2 5" xfId="32047"/>
    <cellStyle name="Обычный 7 5 5 2 3 2 6" xfId="32048"/>
    <cellStyle name="Обычный 7 5 5 2 3 3" xfId="32049"/>
    <cellStyle name="Обычный 7 5 5 2 3 3 2" xfId="32050"/>
    <cellStyle name="Обычный 7 5 5 2 3 3 3" xfId="32051"/>
    <cellStyle name="Обычный 7 5 5 2 3 4" xfId="32052"/>
    <cellStyle name="Обычный 7 5 5 2 3 4 2" xfId="32053"/>
    <cellStyle name="Обычный 7 5 5 2 3 4 3" xfId="32054"/>
    <cellStyle name="Обычный 7 5 5 2 3 5" xfId="32055"/>
    <cellStyle name="Обычный 7 5 5 2 3 5 2" xfId="32056"/>
    <cellStyle name="Обычный 7 5 5 2 3 6" xfId="32057"/>
    <cellStyle name="Обычный 7 5 5 2 3 7" xfId="32058"/>
    <cellStyle name="Обычный 7 5 5 2 4" xfId="32059"/>
    <cellStyle name="Обычный 7 5 5 2 4 2" xfId="32060"/>
    <cellStyle name="Обычный 7 5 5 2 4 2 2" xfId="32061"/>
    <cellStyle name="Обычный 7 5 5 2 4 2 3" xfId="32062"/>
    <cellStyle name="Обычный 7 5 5 2 4 3" xfId="32063"/>
    <cellStyle name="Обычный 7 5 5 2 4 3 2" xfId="32064"/>
    <cellStyle name="Обычный 7 5 5 2 4 3 3" xfId="32065"/>
    <cellStyle name="Обычный 7 5 5 2 4 4" xfId="32066"/>
    <cellStyle name="Обычный 7 5 5 2 4 4 2" xfId="32067"/>
    <cellStyle name="Обычный 7 5 5 2 4 5" xfId="32068"/>
    <cellStyle name="Обычный 7 5 5 2 4 6" xfId="32069"/>
    <cellStyle name="Обычный 7 5 5 2 5" xfId="32070"/>
    <cellStyle name="Обычный 7 5 5 2 5 2" xfId="32071"/>
    <cellStyle name="Обычный 7 5 5 2 5 3" xfId="32072"/>
    <cellStyle name="Обычный 7 5 5 2 6" xfId="32073"/>
    <cellStyle name="Обычный 7 5 5 2 6 2" xfId="32074"/>
    <cellStyle name="Обычный 7 5 5 2 6 3" xfId="32075"/>
    <cellStyle name="Обычный 7 5 5 2 7" xfId="32076"/>
    <cellStyle name="Обычный 7 5 5 2 7 2" xfId="32077"/>
    <cellStyle name="Обычный 7 5 5 2 8" xfId="32078"/>
    <cellStyle name="Обычный 7 5 5 2 9" xfId="32079"/>
    <cellStyle name="Обычный 7 5 5 3" xfId="32080"/>
    <cellStyle name="Обычный 7 5 5 3 2" xfId="32081"/>
    <cellStyle name="Обычный 7 5 5 3 2 2" xfId="32082"/>
    <cellStyle name="Обычный 7 5 5 3 2 2 2" xfId="32083"/>
    <cellStyle name="Обычный 7 5 5 3 2 2 2 2" xfId="32084"/>
    <cellStyle name="Обычный 7 5 5 3 2 2 2 3" xfId="32085"/>
    <cellStyle name="Обычный 7 5 5 3 2 2 3" xfId="32086"/>
    <cellStyle name="Обычный 7 5 5 3 2 2 3 2" xfId="32087"/>
    <cellStyle name="Обычный 7 5 5 3 2 2 3 3" xfId="32088"/>
    <cellStyle name="Обычный 7 5 5 3 2 2 4" xfId="32089"/>
    <cellStyle name="Обычный 7 5 5 3 2 2 4 2" xfId="32090"/>
    <cellStyle name="Обычный 7 5 5 3 2 2 5" xfId="32091"/>
    <cellStyle name="Обычный 7 5 5 3 2 2 6" xfId="32092"/>
    <cellStyle name="Обычный 7 5 5 3 2 3" xfId="32093"/>
    <cellStyle name="Обычный 7 5 5 3 2 3 2" xfId="32094"/>
    <cellStyle name="Обычный 7 5 5 3 2 3 3" xfId="32095"/>
    <cellStyle name="Обычный 7 5 5 3 2 4" xfId="32096"/>
    <cellStyle name="Обычный 7 5 5 3 2 4 2" xfId="32097"/>
    <cellStyle name="Обычный 7 5 5 3 2 4 3" xfId="32098"/>
    <cellStyle name="Обычный 7 5 5 3 2 5" xfId="32099"/>
    <cellStyle name="Обычный 7 5 5 3 2 5 2" xfId="32100"/>
    <cellStyle name="Обычный 7 5 5 3 2 6" xfId="32101"/>
    <cellStyle name="Обычный 7 5 5 3 2 7" xfId="32102"/>
    <cellStyle name="Обычный 7 5 5 3 3" xfId="32103"/>
    <cellStyle name="Обычный 7 5 5 3 3 2" xfId="32104"/>
    <cellStyle name="Обычный 7 5 5 3 3 2 2" xfId="32105"/>
    <cellStyle name="Обычный 7 5 5 3 3 2 3" xfId="32106"/>
    <cellStyle name="Обычный 7 5 5 3 3 3" xfId="32107"/>
    <cellStyle name="Обычный 7 5 5 3 3 3 2" xfId="32108"/>
    <cellStyle name="Обычный 7 5 5 3 3 3 3" xfId="32109"/>
    <cellStyle name="Обычный 7 5 5 3 3 4" xfId="32110"/>
    <cellStyle name="Обычный 7 5 5 3 3 4 2" xfId="32111"/>
    <cellStyle name="Обычный 7 5 5 3 3 5" xfId="32112"/>
    <cellStyle name="Обычный 7 5 5 3 3 6" xfId="32113"/>
    <cellStyle name="Обычный 7 5 5 3 4" xfId="32114"/>
    <cellStyle name="Обычный 7 5 5 3 4 2" xfId="32115"/>
    <cellStyle name="Обычный 7 5 5 3 4 3" xfId="32116"/>
    <cellStyle name="Обычный 7 5 5 3 5" xfId="32117"/>
    <cellStyle name="Обычный 7 5 5 3 5 2" xfId="32118"/>
    <cellStyle name="Обычный 7 5 5 3 5 3" xfId="32119"/>
    <cellStyle name="Обычный 7 5 5 3 6" xfId="32120"/>
    <cellStyle name="Обычный 7 5 5 3 6 2" xfId="32121"/>
    <cellStyle name="Обычный 7 5 5 3 7" xfId="32122"/>
    <cellStyle name="Обычный 7 5 5 3 8" xfId="32123"/>
    <cellStyle name="Обычный 7 5 5 4" xfId="32124"/>
    <cellStyle name="Обычный 7 5 5 4 2" xfId="32125"/>
    <cellStyle name="Обычный 7 5 5 4 2 2" xfId="32126"/>
    <cellStyle name="Обычный 7 5 5 4 2 2 2" xfId="32127"/>
    <cellStyle name="Обычный 7 5 5 4 2 2 3" xfId="32128"/>
    <cellStyle name="Обычный 7 5 5 4 2 3" xfId="32129"/>
    <cellStyle name="Обычный 7 5 5 4 2 3 2" xfId="32130"/>
    <cellStyle name="Обычный 7 5 5 4 2 3 3" xfId="32131"/>
    <cellStyle name="Обычный 7 5 5 4 2 4" xfId="32132"/>
    <cellStyle name="Обычный 7 5 5 4 2 4 2" xfId="32133"/>
    <cellStyle name="Обычный 7 5 5 4 2 5" xfId="32134"/>
    <cellStyle name="Обычный 7 5 5 4 2 6" xfId="32135"/>
    <cellStyle name="Обычный 7 5 5 4 3" xfId="32136"/>
    <cellStyle name="Обычный 7 5 5 4 3 2" xfId="32137"/>
    <cellStyle name="Обычный 7 5 5 4 3 3" xfId="32138"/>
    <cellStyle name="Обычный 7 5 5 4 4" xfId="32139"/>
    <cellStyle name="Обычный 7 5 5 4 4 2" xfId="32140"/>
    <cellStyle name="Обычный 7 5 5 4 4 3" xfId="32141"/>
    <cellStyle name="Обычный 7 5 5 4 5" xfId="32142"/>
    <cellStyle name="Обычный 7 5 5 4 5 2" xfId="32143"/>
    <cellStyle name="Обычный 7 5 5 4 6" xfId="32144"/>
    <cellStyle name="Обычный 7 5 5 4 7" xfId="32145"/>
    <cellStyle name="Обычный 7 5 5 5" xfId="32146"/>
    <cellStyle name="Обычный 7 5 5 5 2" xfId="32147"/>
    <cellStyle name="Обычный 7 5 5 5 2 2" xfId="32148"/>
    <cellStyle name="Обычный 7 5 5 5 2 3" xfId="32149"/>
    <cellStyle name="Обычный 7 5 5 5 3" xfId="32150"/>
    <cellStyle name="Обычный 7 5 5 5 3 2" xfId="32151"/>
    <cellStyle name="Обычный 7 5 5 5 3 3" xfId="32152"/>
    <cellStyle name="Обычный 7 5 5 5 4" xfId="32153"/>
    <cellStyle name="Обычный 7 5 5 5 4 2" xfId="32154"/>
    <cellStyle name="Обычный 7 5 5 5 5" xfId="32155"/>
    <cellStyle name="Обычный 7 5 5 5 6" xfId="32156"/>
    <cellStyle name="Обычный 7 5 5 6" xfId="32157"/>
    <cellStyle name="Обычный 7 5 5 6 2" xfId="32158"/>
    <cellStyle name="Обычный 7 5 5 6 3" xfId="32159"/>
    <cellStyle name="Обычный 7 5 5 7" xfId="32160"/>
    <cellStyle name="Обычный 7 5 5 7 2" xfId="32161"/>
    <cellStyle name="Обычный 7 5 5 7 3" xfId="32162"/>
    <cellStyle name="Обычный 7 5 5 8" xfId="32163"/>
    <cellStyle name="Обычный 7 5 5 8 2" xfId="32164"/>
    <cellStyle name="Обычный 7 5 5 9" xfId="32165"/>
    <cellStyle name="Обычный 7 5 6" xfId="32166"/>
    <cellStyle name="Обычный 7 5 6 2" xfId="32167"/>
    <cellStyle name="Обычный 7 5 6 2 2" xfId="32168"/>
    <cellStyle name="Обычный 7 5 6 2 2 2" xfId="32169"/>
    <cellStyle name="Обычный 7 5 6 2 2 2 2" xfId="32170"/>
    <cellStyle name="Обычный 7 5 6 2 2 2 2 2" xfId="32171"/>
    <cellStyle name="Обычный 7 5 6 2 2 2 2 3" xfId="32172"/>
    <cellStyle name="Обычный 7 5 6 2 2 2 3" xfId="32173"/>
    <cellStyle name="Обычный 7 5 6 2 2 2 3 2" xfId="32174"/>
    <cellStyle name="Обычный 7 5 6 2 2 2 3 3" xfId="32175"/>
    <cellStyle name="Обычный 7 5 6 2 2 2 4" xfId="32176"/>
    <cellStyle name="Обычный 7 5 6 2 2 2 4 2" xfId="32177"/>
    <cellStyle name="Обычный 7 5 6 2 2 2 5" xfId="32178"/>
    <cellStyle name="Обычный 7 5 6 2 2 2 6" xfId="32179"/>
    <cellStyle name="Обычный 7 5 6 2 2 3" xfId="32180"/>
    <cellStyle name="Обычный 7 5 6 2 2 3 2" xfId="32181"/>
    <cellStyle name="Обычный 7 5 6 2 2 3 3" xfId="32182"/>
    <cellStyle name="Обычный 7 5 6 2 2 4" xfId="32183"/>
    <cellStyle name="Обычный 7 5 6 2 2 4 2" xfId="32184"/>
    <cellStyle name="Обычный 7 5 6 2 2 4 3" xfId="32185"/>
    <cellStyle name="Обычный 7 5 6 2 2 5" xfId="32186"/>
    <cellStyle name="Обычный 7 5 6 2 2 5 2" xfId="32187"/>
    <cellStyle name="Обычный 7 5 6 2 2 6" xfId="32188"/>
    <cellStyle name="Обычный 7 5 6 2 2 7" xfId="32189"/>
    <cellStyle name="Обычный 7 5 6 2 3" xfId="32190"/>
    <cellStyle name="Обычный 7 5 6 2 3 2" xfId="32191"/>
    <cellStyle name="Обычный 7 5 6 2 3 2 2" xfId="32192"/>
    <cellStyle name="Обычный 7 5 6 2 3 2 3" xfId="32193"/>
    <cellStyle name="Обычный 7 5 6 2 3 3" xfId="32194"/>
    <cellStyle name="Обычный 7 5 6 2 3 3 2" xfId="32195"/>
    <cellStyle name="Обычный 7 5 6 2 3 3 3" xfId="32196"/>
    <cellStyle name="Обычный 7 5 6 2 3 4" xfId="32197"/>
    <cellStyle name="Обычный 7 5 6 2 3 4 2" xfId="32198"/>
    <cellStyle name="Обычный 7 5 6 2 3 5" xfId="32199"/>
    <cellStyle name="Обычный 7 5 6 2 3 6" xfId="32200"/>
    <cellStyle name="Обычный 7 5 6 2 4" xfId="32201"/>
    <cellStyle name="Обычный 7 5 6 2 4 2" xfId="32202"/>
    <cellStyle name="Обычный 7 5 6 2 4 3" xfId="32203"/>
    <cellStyle name="Обычный 7 5 6 2 5" xfId="32204"/>
    <cellStyle name="Обычный 7 5 6 2 5 2" xfId="32205"/>
    <cellStyle name="Обычный 7 5 6 2 5 3" xfId="32206"/>
    <cellStyle name="Обычный 7 5 6 2 6" xfId="32207"/>
    <cellStyle name="Обычный 7 5 6 2 6 2" xfId="32208"/>
    <cellStyle name="Обычный 7 5 6 2 7" xfId="32209"/>
    <cellStyle name="Обычный 7 5 6 2 8" xfId="32210"/>
    <cellStyle name="Обычный 7 5 6 3" xfId="32211"/>
    <cellStyle name="Обычный 7 5 6 3 2" xfId="32212"/>
    <cellStyle name="Обычный 7 5 6 3 2 2" xfId="32213"/>
    <cellStyle name="Обычный 7 5 6 3 2 2 2" xfId="32214"/>
    <cellStyle name="Обычный 7 5 6 3 2 2 3" xfId="32215"/>
    <cellStyle name="Обычный 7 5 6 3 2 3" xfId="32216"/>
    <cellStyle name="Обычный 7 5 6 3 2 3 2" xfId="32217"/>
    <cellStyle name="Обычный 7 5 6 3 2 3 3" xfId="32218"/>
    <cellStyle name="Обычный 7 5 6 3 2 4" xfId="32219"/>
    <cellStyle name="Обычный 7 5 6 3 2 4 2" xfId="32220"/>
    <cellStyle name="Обычный 7 5 6 3 2 5" xfId="32221"/>
    <cellStyle name="Обычный 7 5 6 3 2 6" xfId="32222"/>
    <cellStyle name="Обычный 7 5 6 3 3" xfId="32223"/>
    <cellStyle name="Обычный 7 5 6 3 3 2" xfId="32224"/>
    <cellStyle name="Обычный 7 5 6 3 3 3" xfId="32225"/>
    <cellStyle name="Обычный 7 5 6 3 4" xfId="32226"/>
    <cellStyle name="Обычный 7 5 6 3 4 2" xfId="32227"/>
    <cellStyle name="Обычный 7 5 6 3 4 3" xfId="32228"/>
    <cellStyle name="Обычный 7 5 6 3 5" xfId="32229"/>
    <cellStyle name="Обычный 7 5 6 3 5 2" xfId="32230"/>
    <cellStyle name="Обычный 7 5 6 3 6" xfId="32231"/>
    <cellStyle name="Обычный 7 5 6 3 7" xfId="32232"/>
    <cellStyle name="Обычный 7 5 6 4" xfId="32233"/>
    <cellStyle name="Обычный 7 5 6 4 2" xfId="32234"/>
    <cellStyle name="Обычный 7 5 6 4 2 2" xfId="32235"/>
    <cellStyle name="Обычный 7 5 6 4 2 3" xfId="32236"/>
    <cellStyle name="Обычный 7 5 6 4 3" xfId="32237"/>
    <cellStyle name="Обычный 7 5 6 4 3 2" xfId="32238"/>
    <cellStyle name="Обычный 7 5 6 4 3 3" xfId="32239"/>
    <cellStyle name="Обычный 7 5 6 4 4" xfId="32240"/>
    <cellStyle name="Обычный 7 5 6 4 4 2" xfId="32241"/>
    <cellStyle name="Обычный 7 5 6 4 5" xfId="32242"/>
    <cellStyle name="Обычный 7 5 6 4 6" xfId="32243"/>
    <cellStyle name="Обычный 7 5 6 5" xfId="32244"/>
    <cellStyle name="Обычный 7 5 6 5 2" xfId="32245"/>
    <cellStyle name="Обычный 7 5 6 5 3" xfId="32246"/>
    <cellStyle name="Обычный 7 5 6 6" xfId="32247"/>
    <cellStyle name="Обычный 7 5 6 6 2" xfId="32248"/>
    <cellStyle name="Обычный 7 5 6 6 3" xfId="32249"/>
    <cellStyle name="Обычный 7 5 6 7" xfId="32250"/>
    <cellStyle name="Обычный 7 5 6 7 2" xfId="32251"/>
    <cellStyle name="Обычный 7 5 6 8" xfId="32252"/>
    <cellStyle name="Обычный 7 5 6 9" xfId="32253"/>
    <cellStyle name="Обычный 7 5 7" xfId="32254"/>
    <cellStyle name="Обычный 7 5 7 2" xfId="32255"/>
    <cellStyle name="Обычный 7 5 7 2 2" xfId="32256"/>
    <cellStyle name="Обычный 7 5 7 2 2 2" xfId="32257"/>
    <cellStyle name="Обычный 7 5 7 2 2 2 2" xfId="32258"/>
    <cellStyle name="Обычный 7 5 7 2 2 2 3" xfId="32259"/>
    <cellStyle name="Обычный 7 5 7 2 2 3" xfId="32260"/>
    <cellStyle name="Обычный 7 5 7 2 2 3 2" xfId="32261"/>
    <cellStyle name="Обычный 7 5 7 2 2 3 3" xfId="32262"/>
    <cellStyle name="Обычный 7 5 7 2 2 4" xfId="32263"/>
    <cellStyle name="Обычный 7 5 7 2 2 4 2" xfId="32264"/>
    <cellStyle name="Обычный 7 5 7 2 2 5" xfId="32265"/>
    <cellStyle name="Обычный 7 5 7 2 2 6" xfId="32266"/>
    <cellStyle name="Обычный 7 5 7 2 3" xfId="32267"/>
    <cellStyle name="Обычный 7 5 7 2 3 2" xfId="32268"/>
    <cellStyle name="Обычный 7 5 7 2 3 3" xfId="32269"/>
    <cellStyle name="Обычный 7 5 7 2 4" xfId="32270"/>
    <cellStyle name="Обычный 7 5 7 2 4 2" xfId="32271"/>
    <cellStyle name="Обычный 7 5 7 2 4 3" xfId="32272"/>
    <cellStyle name="Обычный 7 5 7 2 5" xfId="32273"/>
    <cellStyle name="Обычный 7 5 7 2 5 2" xfId="32274"/>
    <cellStyle name="Обычный 7 5 7 2 6" xfId="32275"/>
    <cellStyle name="Обычный 7 5 7 2 7" xfId="32276"/>
    <cellStyle name="Обычный 7 5 7 3" xfId="32277"/>
    <cellStyle name="Обычный 7 5 7 3 2" xfId="32278"/>
    <cellStyle name="Обычный 7 5 7 3 2 2" xfId="32279"/>
    <cellStyle name="Обычный 7 5 7 3 2 3" xfId="32280"/>
    <cellStyle name="Обычный 7 5 7 3 3" xfId="32281"/>
    <cellStyle name="Обычный 7 5 7 3 3 2" xfId="32282"/>
    <cellStyle name="Обычный 7 5 7 3 3 3" xfId="32283"/>
    <cellStyle name="Обычный 7 5 7 3 4" xfId="32284"/>
    <cellStyle name="Обычный 7 5 7 3 4 2" xfId="32285"/>
    <cellStyle name="Обычный 7 5 7 3 5" xfId="32286"/>
    <cellStyle name="Обычный 7 5 7 3 6" xfId="32287"/>
    <cellStyle name="Обычный 7 5 7 4" xfId="32288"/>
    <cellStyle name="Обычный 7 5 7 4 2" xfId="32289"/>
    <cellStyle name="Обычный 7 5 7 4 3" xfId="32290"/>
    <cellStyle name="Обычный 7 5 7 5" xfId="32291"/>
    <cellStyle name="Обычный 7 5 7 5 2" xfId="32292"/>
    <cellStyle name="Обычный 7 5 7 5 3" xfId="32293"/>
    <cellStyle name="Обычный 7 5 7 6" xfId="32294"/>
    <cellStyle name="Обычный 7 5 7 6 2" xfId="32295"/>
    <cellStyle name="Обычный 7 5 7 7" xfId="32296"/>
    <cellStyle name="Обычный 7 5 7 8" xfId="32297"/>
    <cellStyle name="Обычный 7 5 8" xfId="32298"/>
    <cellStyle name="Обычный 7 5 8 2" xfId="32299"/>
    <cellStyle name="Обычный 7 5 8 2 2" xfId="32300"/>
    <cellStyle name="Обычный 7 5 8 2 2 2" xfId="32301"/>
    <cellStyle name="Обычный 7 5 8 2 2 3" xfId="32302"/>
    <cellStyle name="Обычный 7 5 8 2 3" xfId="32303"/>
    <cellStyle name="Обычный 7 5 8 2 3 2" xfId="32304"/>
    <cellStyle name="Обычный 7 5 8 2 3 3" xfId="32305"/>
    <cellStyle name="Обычный 7 5 8 2 4" xfId="32306"/>
    <cellStyle name="Обычный 7 5 8 2 4 2" xfId="32307"/>
    <cellStyle name="Обычный 7 5 8 2 5" xfId="32308"/>
    <cellStyle name="Обычный 7 5 8 2 6" xfId="32309"/>
    <cellStyle name="Обычный 7 5 8 3" xfId="32310"/>
    <cellStyle name="Обычный 7 5 8 3 2" xfId="32311"/>
    <cellStyle name="Обычный 7 5 8 3 3" xfId="32312"/>
    <cellStyle name="Обычный 7 5 8 4" xfId="32313"/>
    <cellStyle name="Обычный 7 5 8 4 2" xfId="32314"/>
    <cellStyle name="Обычный 7 5 8 4 3" xfId="32315"/>
    <cellStyle name="Обычный 7 5 8 5" xfId="32316"/>
    <cellStyle name="Обычный 7 5 8 5 2" xfId="32317"/>
    <cellStyle name="Обычный 7 5 8 6" xfId="32318"/>
    <cellStyle name="Обычный 7 5 8 7" xfId="32319"/>
    <cellStyle name="Обычный 7 5 9" xfId="32320"/>
    <cellStyle name="Обычный 7 5 9 2" xfId="32321"/>
    <cellStyle name="Обычный 7 5 9 2 2" xfId="32322"/>
    <cellStyle name="Обычный 7 5 9 2 3" xfId="32323"/>
    <cellStyle name="Обычный 7 5 9 3" xfId="32324"/>
    <cellStyle name="Обычный 7 5 9 3 2" xfId="32325"/>
    <cellStyle name="Обычный 7 5 9 3 3" xfId="32326"/>
    <cellStyle name="Обычный 7 5 9 4" xfId="32327"/>
    <cellStyle name="Обычный 7 5 9 4 2" xfId="32328"/>
    <cellStyle name="Обычный 7 5 9 5" xfId="32329"/>
    <cellStyle name="Обычный 7 5 9 6" xfId="32330"/>
    <cellStyle name="Обычный 7 6" xfId="32331"/>
    <cellStyle name="Обычный 7 6 10" xfId="32332"/>
    <cellStyle name="Обычный 7 6 10 2" xfId="32333"/>
    <cellStyle name="Обычный 7 6 10 3" xfId="32334"/>
    <cellStyle name="Обычный 7 6 11" xfId="32335"/>
    <cellStyle name="Обычный 7 6 11 2" xfId="32336"/>
    <cellStyle name="Обычный 7 6 11 3" xfId="32337"/>
    <cellStyle name="Обычный 7 6 12" xfId="32338"/>
    <cellStyle name="Обычный 7 6 12 2" xfId="32339"/>
    <cellStyle name="Обычный 7 6 13" xfId="32340"/>
    <cellStyle name="Обычный 7 6 14" xfId="32341"/>
    <cellStyle name="Обычный 7 6 2" xfId="32342"/>
    <cellStyle name="Обычный 7 6 2 10" xfId="32343"/>
    <cellStyle name="Обычный 7 6 2 10 2" xfId="32344"/>
    <cellStyle name="Обычный 7 6 2 10 3" xfId="32345"/>
    <cellStyle name="Обычный 7 6 2 11" xfId="32346"/>
    <cellStyle name="Обычный 7 6 2 11 2" xfId="32347"/>
    <cellStyle name="Обычный 7 6 2 12" xfId="32348"/>
    <cellStyle name="Обычный 7 6 2 13" xfId="32349"/>
    <cellStyle name="Обычный 7 6 2 2" xfId="32350"/>
    <cellStyle name="Обычный 7 6 2 2 10" xfId="32351"/>
    <cellStyle name="Обычный 7 6 2 2 2" xfId="32352"/>
    <cellStyle name="Обычный 7 6 2 2 2 2" xfId="32353"/>
    <cellStyle name="Обычный 7 6 2 2 2 2 2" xfId="32354"/>
    <cellStyle name="Обычный 7 6 2 2 2 2 2 2" xfId="32355"/>
    <cellStyle name="Обычный 7 6 2 2 2 2 2 2 2" xfId="32356"/>
    <cellStyle name="Обычный 7 6 2 2 2 2 2 2 2 2" xfId="32357"/>
    <cellStyle name="Обычный 7 6 2 2 2 2 2 2 2 3" xfId="32358"/>
    <cellStyle name="Обычный 7 6 2 2 2 2 2 2 3" xfId="32359"/>
    <cellStyle name="Обычный 7 6 2 2 2 2 2 2 3 2" xfId="32360"/>
    <cellStyle name="Обычный 7 6 2 2 2 2 2 2 3 3" xfId="32361"/>
    <cellStyle name="Обычный 7 6 2 2 2 2 2 2 4" xfId="32362"/>
    <cellStyle name="Обычный 7 6 2 2 2 2 2 2 4 2" xfId="32363"/>
    <cellStyle name="Обычный 7 6 2 2 2 2 2 2 5" xfId="32364"/>
    <cellStyle name="Обычный 7 6 2 2 2 2 2 2 6" xfId="32365"/>
    <cellStyle name="Обычный 7 6 2 2 2 2 2 3" xfId="32366"/>
    <cellStyle name="Обычный 7 6 2 2 2 2 2 3 2" xfId="32367"/>
    <cellStyle name="Обычный 7 6 2 2 2 2 2 3 3" xfId="32368"/>
    <cellStyle name="Обычный 7 6 2 2 2 2 2 4" xfId="32369"/>
    <cellStyle name="Обычный 7 6 2 2 2 2 2 4 2" xfId="32370"/>
    <cellStyle name="Обычный 7 6 2 2 2 2 2 4 3" xfId="32371"/>
    <cellStyle name="Обычный 7 6 2 2 2 2 2 5" xfId="32372"/>
    <cellStyle name="Обычный 7 6 2 2 2 2 2 5 2" xfId="32373"/>
    <cellStyle name="Обычный 7 6 2 2 2 2 2 6" xfId="32374"/>
    <cellStyle name="Обычный 7 6 2 2 2 2 2 7" xfId="32375"/>
    <cellStyle name="Обычный 7 6 2 2 2 2 3" xfId="32376"/>
    <cellStyle name="Обычный 7 6 2 2 2 2 3 2" xfId="32377"/>
    <cellStyle name="Обычный 7 6 2 2 2 2 3 2 2" xfId="32378"/>
    <cellStyle name="Обычный 7 6 2 2 2 2 3 2 3" xfId="32379"/>
    <cellStyle name="Обычный 7 6 2 2 2 2 3 3" xfId="32380"/>
    <cellStyle name="Обычный 7 6 2 2 2 2 3 3 2" xfId="32381"/>
    <cellStyle name="Обычный 7 6 2 2 2 2 3 3 3" xfId="32382"/>
    <cellStyle name="Обычный 7 6 2 2 2 2 3 4" xfId="32383"/>
    <cellStyle name="Обычный 7 6 2 2 2 2 3 4 2" xfId="32384"/>
    <cellStyle name="Обычный 7 6 2 2 2 2 3 5" xfId="32385"/>
    <cellStyle name="Обычный 7 6 2 2 2 2 3 6" xfId="32386"/>
    <cellStyle name="Обычный 7 6 2 2 2 2 4" xfId="32387"/>
    <cellStyle name="Обычный 7 6 2 2 2 2 4 2" xfId="32388"/>
    <cellStyle name="Обычный 7 6 2 2 2 2 4 3" xfId="32389"/>
    <cellStyle name="Обычный 7 6 2 2 2 2 5" xfId="32390"/>
    <cellStyle name="Обычный 7 6 2 2 2 2 5 2" xfId="32391"/>
    <cellStyle name="Обычный 7 6 2 2 2 2 5 3" xfId="32392"/>
    <cellStyle name="Обычный 7 6 2 2 2 2 6" xfId="32393"/>
    <cellStyle name="Обычный 7 6 2 2 2 2 6 2" xfId="32394"/>
    <cellStyle name="Обычный 7 6 2 2 2 2 7" xfId="32395"/>
    <cellStyle name="Обычный 7 6 2 2 2 2 8" xfId="32396"/>
    <cellStyle name="Обычный 7 6 2 2 2 3" xfId="32397"/>
    <cellStyle name="Обычный 7 6 2 2 2 3 2" xfId="32398"/>
    <cellStyle name="Обычный 7 6 2 2 2 3 2 2" xfId="32399"/>
    <cellStyle name="Обычный 7 6 2 2 2 3 2 2 2" xfId="32400"/>
    <cellStyle name="Обычный 7 6 2 2 2 3 2 2 3" xfId="32401"/>
    <cellStyle name="Обычный 7 6 2 2 2 3 2 3" xfId="32402"/>
    <cellStyle name="Обычный 7 6 2 2 2 3 2 3 2" xfId="32403"/>
    <cellStyle name="Обычный 7 6 2 2 2 3 2 3 3" xfId="32404"/>
    <cellStyle name="Обычный 7 6 2 2 2 3 2 4" xfId="32405"/>
    <cellStyle name="Обычный 7 6 2 2 2 3 2 4 2" xfId="32406"/>
    <cellStyle name="Обычный 7 6 2 2 2 3 2 5" xfId="32407"/>
    <cellStyle name="Обычный 7 6 2 2 2 3 2 6" xfId="32408"/>
    <cellStyle name="Обычный 7 6 2 2 2 3 3" xfId="32409"/>
    <cellStyle name="Обычный 7 6 2 2 2 3 3 2" xfId="32410"/>
    <cellStyle name="Обычный 7 6 2 2 2 3 3 3" xfId="32411"/>
    <cellStyle name="Обычный 7 6 2 2 2 3 4" xfId="32412"/>
    <cellStyle name="Обычный 7 6 2 2 2 3 4 2" xfId="32413"/>
    <cellStyle name="Обычный 7 6 2 2 2 3 4 3" xfId="32414"/>
    <cellStyle name="Обычный 7 6 2 2 2 3 5" xfId="32415"/>
    <cellStyle name="Обычный 7 6 2 2 2 3 5 2" xfId="32416"/>
    <cellStyle name="Обычный 7 6 2 2 2 3 6" xfId="32417"/>
    <cellStyle name="Обычный 7 6 2 2 2 3 7" xfId="32418"/>
    <cellStyle name="Обычный 7 6 2 2 2 4" xfId="32419"/>
    <cellStyle name="Обычный 7 6 2 2 2 4 2" xfId="32420"/>
    <cellStyle name="Обычный 7 6 2 2 2 4 2 2" xfId="32421"/>
    <cellStyle name="Обычный 7 6 2 2 2 4 2 3" xfId="32422"/>
    <cellStyle name="Обычный 7 6 2 2 2 4 3" xfId="32423"/>
    <cellStyle name="Обычный 7 6 2 2 2 4 3 2" xfId="32424"/>
    <cellStyle name="Обычный 7 6 2 2 2 4 3 3" xfId="32425"/>
    <cellStyle name="Обычный 7 6 2 2 2 4 4" xfId="32426"/>
    <cellStyle name="Обычный 7 6 2 2 2 4 4 2" xfId="32427"/>
    <cellStyle name="Обычный 7 6 2 2 2 4 5" xfId="32428"/>
    <cellStyle name="Обычный 7 6 2 2 2 4 6" xfId="32429"/>
    <cellStyle name="Обычный 7 6 2 2 2 5" xfId="32430"/>
    <cellStyle name="Обычный 7 6 2 2 2 5 2" xfId="32431"/>
    <cellStyle name="Обычный 7 6 2 2 2 5 3" xfId="32432"/>
    <cellStyle name="Обычный 7 6 2 2 2 6" xfId="32433"/>
    <cellStyle name="Обычный 7 6 2 2 2 6 2" xfId="32434"/>
    <cellStyle name="Обычный 7 6 2 2 2 6 3" xfId="32435"/>
    <cellStyle name="Обычный 7 6 2 2 2 7" xfId="32436"/>
    <cellStyle name="Обычный 7 6 2 2 2 7 2" xfId="32437"/>
    <cellStyle name="Обычный 7 6 2 2 2 8" xfId="32438"/>
    <cellStyle name="Обычный 7 6 2 2 2 9" xfId="32439"/>
    <cellStyle name="Обычный 7 6 2 2 3" xfId="32440"/>
    <cellStyle name="Обычный 7 6 2 2 3 2" xfId="32441"/>
    <cellStyle name="Обычный 7 6 2 2 3 2 2" xfId="32442"/>
    <cellStyle name="Обычный 7 6 2 2 3 2 2 2" xfId="32443"/>
    <cellStyle name="Обычный 7 6 2 2 3 2 2 2 2" xfId="32444"/>
    <cellStyle name="Обычный 7 6 2 2 3 2 2 2 3" xfId="32445"/>
    <cellStyle name="Обычный 7 6 2 2 3 2 2 3" xfId="32446"/>
    <cellStyle name="Обычный 7 6 2 2 3 2 2 3 2" xfId="32447"/>
    <cellStyle name="Обычный 7 6 2 2 3 2 2 3 3" xfId="32448"/>
    <cellStyle name="Обычный 7 6 2 2 3 2 2 4" xfId="32449"/>
    <cellStyle name="Обычный 7 6 2 2 3 2 2 4 2" xfId="32450"/>
    <cellStyle name="Обычный 7 6 2 2 3 2 2 5" xfId="32451"/>
    <cellStyle name="Обычный 7 6 2 2 3 2 2 6" xfId="32452"/>
    <cellStyle name="Обычный 7 6 2 2 3 2 3" xfId="32453"/>
    <cellStyle name="Обычный 7 6 2 2 3 2 3 2" xfId="32454"/>
    <cellStyle name="Обычный 7 6 2 2 3 2 3 3" xfId="32455"/>
    <cellStyle name="Обычный 7 6 2 2 3 2 4" xfId="32456"/>
    <cellStyle name="Обычный 7 6 2 2 3 2 4 2" xfId="32457"/>
    <cellStyle name="Обычный 7 6 2 2 3 2 4 3" xfId="32458"/>
    <cellStyle name="Обычный 7 6 2 2 3 2 5" xfId="32459"/>
    <cellStyle name="Обычный 7 6 2 2 3 2 5 2" xfId="32460"/>
    <cellStyle name="Обычный 7 6 2 2 3 2 6" xfId="32461"/>
    <cellStyle name="Обычный 7 6 2 2 3 2 7" xfId="32462"/>
    <cellStyle name="Обычный 7 6 2 2 3 3" xfId="32463"/>
    <cellStyle name="Обычный 7 6 2 2 3 3 2" xfId="32464"/>
    <cellStyle name="Обычный 7 6 2 2 3 3 2 2" xfId="32465"/>
    <cellStyle name="Обычный 7 6 2 2 3 3 2 3" xfId="32466"/>
    <cellStyle name="Обычный 7 6 2 2 3 3 3" xfId="32467"/>
    <cellStyle name="Обычный 7 6 2 2 3 3 3 2" xfId="32468"/>
    <cellStyle name="Обычный 7 6 2 2 3 3 3 3" xfId="32469"/>
    <cellStyle name="Обычный 7 6 2 2 3 3 4" xfId="32470"/>
    <cellStyle name="Обычный 7 6 2 2 3 3 4 2" xfId="32471"/>
    <cellStyle name="Обычный 7 6 2 2 3 3 5" xfId="32472"/>
    <cellStyle name="Обычный 7 6 2 2 3 3 6" xfId="32473"/>
    <cellStyle name="Обычный 7 6 2 2 3 4" xfId="32474"/>
    <cellStyle name="Обычный 7 6 2 2 3 4 2" xfId="32475"/>
    <cellStyle name="Обычный 7 6 2 2 3 4 3" xfId="32476"/>
    <cellStyle name="Обычный 7 6 2 2 3 5" xfId="32477"/>
    <cellStyle name="Обычный 7 6 2 2 3 5 2" xfId="32478"/>
    <cellStyle name="Обычный 7 6 2 2 3 5 3" xfId="32479"/>
    <cellStyle name="Обычный 7 6 2 2 3 6" xfId="32480"/>
    <cellStyle name="Обычный 7 6 2 2 3 6 2" xfId="32481"/>
    <cellStyle name="Обычный 7 6 2 2 3 7" xfId="32482"/>
    <cellStyle name="Обычный 7 6 2 2 3 8" xfId="32483"/>
    <cellStyle name="Обычный 7 6 2 2 4" xfId="32484"/>
    <cellStyle name="Обычный 7 6 2 2 4 2" xfId="32485"/>
    <cellStyle name="Обычный 7 6 2 2 4 2 2" xfId="32486"/>
    <cellStyle name="Обычный 7 6 2 2 4 2 2 2" xfId="32487"/>
    <cellStyle name="Обычный 7 6 2 2 4 2 2 3" xfId="32488"/>
    <cellStyle name="Обычный 7 6 2 2 4 2 3" xfId="32489"/>
    <cellStyle name="Обычный 7 6 2 2 4 2 3 2" xfId="32490"/>
    <cellStyle name="Обычный 7 6 2 2 4 2 3 3" xfId="32491"/>
    <cellStyle name="Обычный 7 6 2 2 4 2 4" xfId="32492"/>
    <cellStyle name="Обычный 7 6 2 2 4 2 4 2" xfId="32493"/>
    <cellStyle name="Обычный 7 6 2 2 4 2 5" xfId="32494"/>
    <cellStyle name="Обычный 7 6 2 2 4 2 6" xfId="32495"/>
    <cellStyle name="Обычный 7 6 2 2 4 3" xfId="32496"/>
    <cellStyle name="Обычный 7 6 2 2 4 3 2" xfId="32497"/>
    <cellStyle name="Обычный 7 6 2 2 4 3 3" xfId="32498"/>
    <cellStyle name="Обычный 7 6 2 2 4 4" xfId="32499"/>
    <cellStyle name="Обычный 7 6 2 2 4 4 2" xfId="32500"/>
    <cellStyle name="Обычный 7 6 2 2 4 4 3" xfId="32501"/>
    <cellStyle name="Обычный 7 6 2 2 4 5" xfId="32502"/>
    <cellStyle name="Обычный 7 6 2 2 4 5 2" xfId="32503"/>
    <cellStyle name="Обычный 7 6 2 2 4 6" xfId="32504"/>
    <cellStyle name="Обычный 7 6 2 2 4 7" xfId="32505"/>
    <cellStyle name="Обычный 7 6 2 2 5" xfId="32506"/>
    <cellStyle name="Обычный 7 6 2 2 5 2" xfId="32507"/>
    <cellStyle name="Обычный 7 6 2 2 5 2 2" xfId="32508"/>
    <cellStyle name="Обычный 7 6 2 2 5 2 3" xfId="32509"/>
    <cellStyle name="Обычный 7 6 2 2 5 3" xfId="32510"/>
    <cellStyle name="Обычный 7 6 2 2 5 3 2" xfId="32511"/>
    <cellStyle name="Обычный 7 6 2 2 5 3 3" xfId="32512"/>
    <cellStyle name="Обычный 7 6 2 2 5 4" xfId="32513"/>
    <cellStyle name="Обычный 7 6 2 2 5 4 2" xfId="32514"/>
    <cellStyle name="Обычный 7 6 2 2 5 5" xfId="32515"/>
    <cellStyle name="Обычный 7 6 2 2 5 6" xfId="32516"/>
    <cellStyle name="Обычный 7 6 2 2 6" xfId="32517"/>
    <cellStyle name="Обычный 7 6 2 2 6 2" xfId="32518"/>
    <cellStyle name="Обычный 7 6 2 2 6 3" xfId="32519"/>
    <cellStyle name="Обычный 7 6 2 2 7" xfId="32520"/>
    <cellStyle name="Обычный 7 6 2 2 7 2" xfId="32521"/>
    <cellStyle name="Обычный 7 6 2 2 7 3" xfId="32522"/>
    <cellStyle name="Обычный 7 6 2 2 8" xfId="32523"/>
    <cellStyle name="Обычный 7 6 2 2 8 2" xfId="32524"/>
    <cellStyle name="Обычный 7 6 2 2 9" xfId="32525"/>
    <cellStyle name="Обычный 7 6 2 3" xfId="32526"/>
    <cellStyle name="Обычный 7 6 2 3 10" xfId="32527"/>
    <cellStyle name="Обычный 7 6 2 3 2" xfId="32528"/>
    <cellStyle name="Обычный 7 6 2 3 2 2" xfId="32529"/>
    <cellStyle name="Обычный 7 6 2 3 2 2 2" xfId="32530"/>
    <cellStyle name="Обычный 7 6 2 3 2 2 2 2" xfId="32531"/>
    <cellStyle name="Обычный 7 6 2 3 2 2 2 2 2" xfId="32532"/>
    <cellStyle name="Обычный 7 6 2 3 2 2 2 2 2 2" xfId="32533"/>
    <cellStyle name="Обычный 7 6 2 3 2 2 2 2 2 3" xfId="32534"/>
    <cellStyle name="Обычный 7 6 2 3 2 2 2 2 3" xfId="32535"/>
    <cellStyle name="Обычный 7 6 2 3 2 2 2 2 3 2" xfId="32536"/>
    <cellStyle name="Обычный 7 6 2 3 2 2 2 2 3 3" xfId="32537"/>
    <cellStyle name="Обычный 7 6 2 3 2 2 2 2 4" xfId="32538"/>
    <cellStyle name="Обычный 7 6 2 3 2 2 2 2 4 2" xfId="32539"/>
    <cellStyle name="Обычный 7 6 2 3 2 2 2 2 5" xfId="32540"/>
    <cellStyle name="Обычный 7 6 2 3 2 2 2 2 6" xfId="32541"/>
    <cellStyle name="Обычный 7 6 2 3 2 2 2 3" xfId="32542"/>
    <cellStyle name="Обычный 7 6 2 3 2 2 2 3 2" xfId="32543"/>
    <cellStyle name="Обычный 7 6 2 3 2 2 2 3 3" xfId="32544"/>
    <cellStyle name="Обычный 7 6 2 3 2 2 2 4" xfId="32545"/>
    <cellStyle name="Обычный 7 6 2 3 2 2 2 4 2" xfId="32546"/>
    <cellStyle name="Обычный 7 6 2 3 2 2 2 4 3" xfId="32547"/>
    <cellStyle name="Обычный 7 6 2 3 2 2 2 5" xfId="32548"/>
    <cellStyle name="Обычный 7 6 2 3 2 2 2 5 2" xfId="32549"/>
    <cellStyle name="Обычный 7 6 2 3 2 2 2 6" xfId="32550"/>
    <cellStyle name="Обычный 7 6 2 3 2 2 2 7" xfId="32551"/>
    <cellStyle name="Обычный 7 6 2 3 2 2 3" xfId="32552"/>
    <cellStyle name="Обычный 7 6 2 3 2 2 3 2" xfId="32553"/>
    <cellStyle name="Обычный 7 6 2 3 2 2 3 2 2" xfId="32554"/>
    <cellStyle name="Обычный 7 6 2 3 2 2 3 2 3" xfId="32555"/>
    <cellStyle name="Обычный 7 6 2 3 2 2 3 3" xfId="32556"/>
    <cellStyle name="Обычный 7 6 2 3 2 2 3 3 2" xfId="32557"/>
    <cellStyle name="Обычный 7 6 2 3 2 2 3 3 3" xfId="32558"/>
    <cellStyle name="Обычный 7 6 2 3 2 2 3 4" xfId="32559"/>
    <cellStyle name="Обычный 7 6 2 3 2 2 3 4 2" xfId="32560"/>
    <cellStyle name="Обычный 7 6 2 3 2 2 3 5" xfId="32561"/>
    <cellStyle name="Обычный 7 6 2 3 2 2 3 6" xfId="32562"/>
    <cellStyle name="Обычный 7 6 2 3 2 2 4" xfId="32563"/>
    <cellStyle name="Обычный 7 6 2 3 2 2 4 2" xfId="32564"/>
    <cellStyle name="Обычный 7 6 2 3 2 2 4 3" xfId="32565"/>
    <cellStyle name="Обычный 7 6 2 3 2 2 5" xfId="32566"/>
    <cellStyle name="Обычный 7 6 2 3 2 2 5 2" xfId="32567"/>
    <cellStyle name="Обычный 7 6 2 3 2 2 5 3" xfId="32568"/>
    <cellStyle name="Обычный 7 6 2 3 2 2 6" xfId="32569"/>
    <cellStyle name="Обычный 7 6 2 3 2 2 6 2" xfId="32570"/>
    <cellStyle name="Обычный 7 6 2 3 2 2 7" xfId="32571"/>
    <cellStyle name="Обычный 7 6 2 3 2 2 8" xfId="32572"/>
    <cellStyle name="Обычный 7 6 2 3 2 3" xfId="32573"/>
    <cellStyle name="Обычный 7 6 2 3 2 3 2" xfId="32574"/>
    <cellStyle name="Обычный 7 6 2 3 2 3 2 2" xfId="32575"/>
    <cellStyle name="Обычный 7 6 2 3 2 3 2 2 2" xfId="32576"/>
    <cellStyle name="Обычный 7 6 2 3 2 3 2 2 3" xfId="32577"/>
    <cellStyle name="Обычный 7 6 2 3 2 3 2 3" xfId="32578"/>
    <cellStyle name="Обычный 7 6 2 3 2 3 2 3 2" xfId="32579"/>
    <cellStyle name="Обычный 7 6 2 3 2 3 2 3 3" xfId="32580"/>
    <cellStyle name="Обычный 7 6 2 3 2 3 2 4" xfId="32581"/>
    <cellStyle name="Обычный 7 6 2 3 2 3 2 4 2" xfId="32582"/>
    <cellStyle name="Обычный 7 6 2 3 2 3 2 5" xfId="32583"/>
    <cellStyle name="Обычный 7 6 2 3 2 3 2 6" xfId="32584"/>
    <cellStyle name="Обычный 7 6 2 3 2 3 3" xfId="32585"/>
    <cellStyle name="Обычный 7 6 2 3 2 3 3 2" xfId="32586"/>
    <cellStyle name="Обычный 7 6 2 3 2 3 3 3" xfId="32587"/>
    <cellStyle name="Обычный 7 6 2 3 2 3 4" xfId="32588"/>
    <cellStyle name="Обычный 7 6 2 3 2 3 4 2" xfId="32589"/>
    <cellStyle name="Обычный 7 6 2 3 2 3 4 3" xfId="32590"/>
    <cellStyle name="Обычный 7 6 2 3 2 3 5" xfId="32591"/>
    <cellStyle name="Обычный 7 6 2 3 2 3 5 2" xfId="32592"/>
    <cellStyle name="Обычный 7 6 2 3 2 3 6" xfId="32593"/>
    <cellStyle name="Обычный 7 6 2 3 2 3 7" xfId="32594"/>
    <cellStyle name="Обычный 7 6 2 3 2 4" xfId="32595"/>
    <cellStyle name="Обычный 7 6 2 3 2 4 2" xfId="32596"/>
    <cellStyle name="Обычный 7 6 2 3 2 4 2 2" xfId="32597"/>
    <cellStyle name="Обычный 7 6 2 3 2 4 2 3" xfId="32598"/>
    <cellStyle name="Обычный 7 6 2 3 2 4 3" xfId="32599"/>
    <cellStyle name="Обычный 7 6 2 3 2 4 3 2" xfId="32600"/>
    <cellStyle name="Обычный 7 6 2 3 2 4 3 3" xfId="32601"/>
    <cellStyle name="Обычный 7 6 2 3 2 4 4" xfId="32602"/>
    <cellStyle name="Обычный 7 6 2 3 2 4 4 2" xfId="32603"/>
    <cellStyle name="Обычный 7 6 2 3 2 4 5" xfId="32604"/>
    <cellStyle name="Обычный 7 6 2 3 2 4 6" xfId="32605"/>
    <cellStyle name="Обычный 7 6 2 3 2 5" xfId="32606"/>
    <cellStyle name="Обычный 7 6 2 3 2 5 2" xfId="32607"/>
    <cellStyle name="Обычный 7 6 2 3 2 5 3" xfId="32608"/>
    <cellStyle name="Обычный 7 6 2 3 2 6" xfId="32609"/>
    <cellStyle name="Обычный 7 6 2 3 2 6 2" xfId="32610"/>
    <cellStyle name="Обычный 7 6 2 3 2 6 3" xfId="32611"/>
    <cellStyle name="Обычный 7 6 2 3 2 7" xfId="32612"/>
    <cellStyle name="Обычный 7 6 2 3 2 7 2" xfId="32613"/>
    <cellStyle name="Обычный 7 6 2 3 2 8" xfId="32614"/>
    <cellStyle name="Обычный 7 6 2 3 2 9" xfId="32615"/>
    <cellStyle name="Обычный 7 6 2 3 3" xfId="32616"/>
    <cellStyle name="Обычный 7 6 2 3 3 2" xfId="32617"/>
    <cellStyle name="Обычный 7 6 2 3 3 2 2" xfId="32618"/>
    <cellStyle name="Обычный 7 6 2 3 3 2 2 2" xfId="32619"/>
    <cellStyle name="Обычный 7 6 2 3 3 2 2 2 2" xfId="32620"/>
    <cellStyle name="Обычный 7 6 2 3 3 2 2 2 3" xfId="32621"/>
    <cellStyle name="Обычный 7 6 2 3 3 2 2 3" xfId="32622"/>
    <cellStyle name="Обычный 7 6 2 3 3 2 2 3 2" xfId="32623"/>
    <cellStyle name="Обычный 7 6 2 3 3 2 2 3 3" xfId="32624"/>
    <cellStyle name="Обычный 7 6 2 3 3 2 2 4" xfId="32625"/>
    <cellStyle name="Обычный 7 6 2 3 3 2 2 4 2" xfId="32626"/>
    <cellStyle name="Обычный 7 6 2 3 3 2 2 5" xfId="32627"/>
    <cellStyle name="Обычный 7 6 2 3 3 2 2 6" xfId="32628"/>
    <cellStyle name="Обычный 7 6 2 3 3 2 3" xfId="32629"/>
    <cellStyle name="Обычный 7 6 2 3 3 2 3 2" xfId="32630"/>
    <cellStyle name="Обычный 7 6 2 3 3 2 3 3" xfId="32631"/>
    <cellStyle name="Обычный 7 6 2 3 3 2 4" xfId="32632"/>
    <cellStyle name="Обычный 7 6 2 3 3 2 4 2" xfId="32633"/>
    <cellStyle name="Обычный 7 6 2 3 3 2 4 3" xfId="32634"/>
    <cellStyle name="Обычный 7 6 2 3 3 2 5" xfId="32635"/>
    <cellStyle name="Обычный 7 6 2 3 3 2 5 2" xfId="32636"/>
    <cellStyle name="Обычный 7 6 2 3 3 2 6" xfId="32637"/>
    <cellStyle name="Обычный 7 6 2 3 3 2 7" xfId="32638"/>
    <cellStyle name="Обычный 7 6 2 3 3 3" xfId="32639"/>
    <cellStyle name="Обычный 7 6 2 3 3 3 2" xfId="32640"/>
    <cellStyle name="Обычный 7 6 2 3 3 3 2 2" xfId="32641"/>
    <cellStyle name="Обычный 7 6 2 3 3 3 2 3" xfId="32642"/>
    <cellStyle name="Обычный 7 6 2 3 3 3 3" xfId="32643"/>
    <cellStyle name="Обычный 7 6 2 3 3 3 3 2" xfId="32644"/>
    <cellStyle name="Обычный 7 6 2 3 3 3 3 3" xfId="32645"/>
    <cellStyle name="Обычный 7 6 2 3 3 3 4" xfId="32646"/>
    <cellStyle name="Обычный 7 6 2 3 3 3 4 2" xfId="32647"/>
    <cellStyle name="Обычный 7 6 2 3 3 3 5" xfId="32648"/>
    <cellStyle name="Обычный 7 6 2 3 3 3 6" xfId="32649"/>
    <cellStyle name="Обычный 7 6 2 3 3 4" xfId="32650"/>
    <cellStyle name="Обычный 7 6 2 3 3 4 2" xfId="32651"/>
    <cellStyle name="Обычный 7 6 2 3 3 4 3" xfId="32652"/>
    <cellStyle name="Обычный 7 6 2 3 3 5" xfId="32653"/>
    <cellStyle name="Обычный 7 6 2 3 3 5 2" xfId="32654"/>
    <cellStyle name="Обычный 7 6 2 3 3 5 3" xfId="32655"/>
    <cellStyle name="Обычный 7 6 2 3 3 6" xfId="32656"/>
    <cellStyle name="Обычный 7 6 2 3 3 6 2" xfId="32657"/>
    <cellStyle name="Обычный 7 6 2 3 3 7" xfId="32658"/>
    <cellStyle name="Обычный 7 6 2 3 3 8" xfId="32659"/>
    <cellStyle name="Обычный 7 6 2 3 4" xfId="32660"/>
    <cellStyle name="Обычный 7 6 2 3 4 2" xfId="32661"/>
    <cellStyle name="Обычный 7 6 2 3 4 2 2" xfId="32662"/>
    <cellStyle name="Обычный 7 6 2 3 4 2 2 2" xfId="32663"/>
    <cellStyle name="Обычный 7 6 2 3 4 2 2 3" xfId="32664"/>
    <cellStyle name="Обычный 7 6 2 3 4 2 3" xfId="32665"/>
    <cellStyle name="Обычный 7 6 2 3 4 2 3 2" xfId="32666"/>
    <cellStyle name="Обычный 7 6 2 3 4 2 3 3" xfId="32667"/>
    <cellStyle name="Обычный 7 6 2 3 4 2 4" xfId="32668"/>
    <cellStyle name="Обычный 7 6 2 3 4 2 4 2" xfId="32669"/>
    <cellStyle name="Обычный 7 6 2 3 4 2 5" xfId="32670"/>
    <cellStyle name="Обычный 7 6 2 3 4 2 6" xfId="32671"/>
    <cellStyle name="Обычный 7 6 2 3 4 3" xfId="32672"/>
    <cellStyle name="Обычный 7 6 2 3 4 3 2" xfId="32673"/>
    <cellStyle name="Обычный 7 6 2 3 4 3 3" xfId="32674"/>
    <cellStyle name="Обычный 7 6 2 3 4 4" xfId="32675"/>
    <cellStyle name="Обычный 7 6 2 3 4 4 2" xfId="32676"/>
    <cellStyle name="Обычный 7 6 2 3 4 4 3" xfId="32677"/>
    <cellStyle name="Обычный 7 6 2 3 4 5" xfId="32678"/>
    <cellStyle name="Обычный 7 6 2 3 4 5 2" xfId="32679"/>
    <cellStyle name="Обычный 7 6 2 3 4 6" xfId="32680"/>
    <cellStyle name="Обычный 7 6 2 3 4 7" xfId="32681"/>
    <cellStyle name="Обычный 7 6 2 3 5" xfId="32682"/>
    <cellStyle name="Обычный 7 6 2 3 5 2" xfId="32683"/>
    <cellStyle name="Обычный 7 6 2 3 5 2 2" xfId="32684"/>
    <cellStyle name="Обычный 7 6 2 3 5 2 3" xfId="32685"/>
    <cellStyle name="Обычный 7 6 2 3 5 3" xfId="32686"/>
    <cellStyle name="Обычный 7 6 2 3 5 3 2" xfId="32687"/>
    <cellStyle name="Обычный 7 6 2 3 5 3 3" xfId="32688"/>
    <cellStyle name="Обычный 7 6 2 3 5 4" xfId="32689"/>
    <cellStyle name="Обычный 7 6 2 3 5 4 2" xfId="32690"/>
    <cellStyle name="Обычный 7 6 2 3 5 5" xfId="32691"/>
    <cellStyle name="Обычный 7 6 2 3 5 6" xfId="32692"/>
    <cellStyle name="Обычный 7 6 2 3 6" xfId="32693"/>
    <cellStyle name="Обычный 7 6 2 3 6 2" xfId="32694"/>
    <cellStyle name="Обычный 7 6 2 3 6 3" xfId="32695"/>
    <cellStyle name="Обычный 7 6 2 3 7" xfId="32696"/>
    <cellStyle name="Обычный 7 6 2 3 7 2" xfId="32697"/>
    <cellStyle name="Обычный 7 6 2 3 7 3" xfId="32698"/>
    <cellStyle name="Обычный 7 6 2 3 8" xfId="32699"/>
    <cellStyle name="Обычный 7 6 2 3 8 2" xfId="32700"/>
    <cellStyle name="Обычный 7 6 2 3 9" xfId="32701"/>
    <cellStyle name="Обычный 7 6 2 4" xfId="32702"/>
    <cellStyle name="Обычный 7 6 2 4 10" xfId="32703"/>
    <cellStyle name="Обычный 7 6 2 4 2" xfId="32704"/>
    <cellStyle name="Обычный 7 6 2 4 2 2" xfId="32705"/>
    <cellStyle name="Обычный 7 6 2 4 2 2 2" xfId="32706"/>
    <cellStyle name="Обычный 7 6 2 4 2 2 2 2" xfId="32707"/>
    <cellStyle name="Обычный 7 6 2 4 2 2 2 2 2" xfId="32708"/>
    <cellStyle name="Обычный 7 6 2 4 2 2 2 2 2 2" xfId="32709"/>
    <cellStyle name="Обычный 7 6 2 4 2 2 2 2 2 3" xfId="32710"/>
    <cellStyle name="Обычный 7 6 2 4 2 2 2 2 3" xfId="32711"/>
    <cellStyle name="Обычный 7 6 2 4 2 2 2 2 3 2" xfId="32712"/>
    <cellStyle name="Обычный 7 6 2 4 2 2 2 2 3 3" xfId="32713"/>
    <cellStyle name="Обычный 7 6 2 4 2 2 2 2 4" xfId="32714"/>
    <cellStyle name="Обычный 7 6 2 4 2 2 2 2 4 2" xfId="32715"/>
    <cellStyle name="Обычный 7 6 2 4 2 2 2 2 5" xfId="32716"/>
    <cellStyle name="Обычный 7 6 2 4 2 2 2 2 6" xfId="32717"/>
    <cellStyle name="Обычный 7 6 2 4 2 2 2 3" xfId="32718"/>
    <cellStyle name="Обычный 7 6 2 4 2 2 2 3 2" xfId="32719"/>
    <cellStyle name="Обычный 7 6 2 4 2 2 2 3 3" xfId="32720"/>
    <cellStyle name="Обычный 7 6 2 4 2 2 2 4" xfId="32721"/>
    <cellStyle name="Обычный 7 6 2 4 2 2 2 4 2" xfId="32722"/>
    <cellStyle name="Обычный 7 6 2 4 2 2 2 4 3" xfId="32723"/>
    <cellStyle name="Обычный 7 6 2 4 2 2 2 5" xfId="32724"/>
    <cellStyle name="Обычный 7 6 2 4 2 2 2 5 2" xfId="32725"/>
    <cellStyle name="Обычный 7 6 2 4 2 2 2 6" xfId="32726"/>
    <cellStyle name="Обычный 7 6 2 4 2 2 2 7" xfId="32727"/>
    <cellStyle name="Обычный 7 6 2 4 2 2 3" xfId="32728"/>
    <cellStyle name="Обычный 7 6 2 4 2 2 3 2" xfId="32729"/>
    <cellStyle name="Обычный 7 6 2 4 2 2 3 2 2" xfId="32730"/>
    <cellStyle name="Обычный 7 6 2 4 2 2 3 2 3" xfId="32731"/>
    <cellStyle name="Обычный 7 6 2 4 2 2 3 3" xfId="32732"/>
    <cellStyle name="Обычный 7 6 2 4 2 2 3 3 2" xfId="32733"/>
    <cellStyle name="Обычный 7 6 2 4 2 2 3 3 3" xfId="32734"/>
    <cellStyle name="Обычный 7 6 2 4 2 2 3 4" xfId="32735"/>
    <cellStyle name="Обычный 7 6 2 4 2 2 3 4 2" xfId="32736"/>
    <cellStyle name="Обычный 7 6 2 4 2 2 3 5" xfId="32737"/>
    <cellStyle name="Обычный 7 6 2 4 2 2 3 6" xfId="32738"/>
    <cellStyle name="Обычный 7 6 2 4 2 2 4" xfId="32739"/>
    <cellStyle name="Обычный 7 6 2 4 2 2 4 2" xfId="32740"/>
    <cellStyle name="Обычный 7 6 2 4 2 2 4 3" xfId="32741"/>
    <cellStyle name="Обычный 7 6 2 4 2 2 5" xfId="32742"/>
    <cellStyle name="Обычный 7 6 2 4 2 2 5 2" xfId="32743"/>
    <cellStyle name="Обычный 7 6 2 4 2 2 5 3" xfId="32744"/>
    <cellStyle name="Обычный 7 6 2 4 2 2 6" xfId="32745"/>
    <cellStyle name="Обычный 7 6 2 4 2 2 6 2" xfId="32746"/>
    <cellStyle name="Обычный 7 6 2 4 2 2 7" xfId="32747"/>
    <cellStyle name="Обычный 7 6 2 4 2 2 8" xfId="32748"/>
    <cellStyle name="Обычный 7 6 2 4 2 3" xfId="32749"/>
    <cellStyle name="Обычный 7 6 2 4 2 3 2" xfId="32750"/>
    <cellStyle name="Обычный 7 6 2 4 2 3 2 2" xfId="32751"/>
    <cellStyle name="Обычный 7 6 2 4 2 3 2 2 2" xfId="32752"/>
    <cellStyle name="Обычный 7 6 2 4 2 3 2 2 3" xfId="32753"/>
    <cellStyle name="Обычный 7 6 2 4 2 3 2 3" xfId="32754"/>
    <cellStyle name="Обычный 7 6 2 4 2 3 2 3 2" xfId="32755"/>
    <cellStyle name="Обычный 7 6 2 4 2 3 2 3 3" xfId="32756"/>
    <cellStyle name="Обычный 7 6 2 4 2 3 2 4" xfId="32757"/>
    <cellStyle name="Обычный 7 6 2 4 2 3 2 4 2" xfId="32758"/>
    <cellStyle name="Обычный 7 6 2 4 2 3 2 5" xfId="32759"/>
    <cellStyle name="Обычный 7 6 2 4 2 3 2 6" xfId="32760"/>
    <cellStyle name="Обычный 7 6 2 4 2 3 3" xfId="32761"/>
    <cellStyle name="Обычный 7 6 2 4 2 3 3 2" xfId="32762"/>
    <cellStyle name="Обычный 7 6 2 4 2 3 3 3" xfId="32763"/>
    <cellStyle name="Обычный 7 6 2 4 2 3 4" xfId="32764"/>
    <cellStyle name="Обычный 7 6 2 4 2 3 4 2" xfId="32765"/>
    <cellStyle name="Обычный 7 6 2 4 2 3 4 3" xfId="32766"/>
    <cellStyle name="Обычный 7 6 2 4 2 3 5" xfId="32767"/>
    <cellStyle name="Обычный 7 6 2 4 2 3 5 2" xfId="32768"/>
    <cellStyle name="Обычный 7 6 2 4 2 3 6" xfId="32769"/>
    <cellStyle name="Обычный 7 6 2 4 2 3 7" xfId="32770"/>
    <cellStyle name="Обычный 7 6 2 4 2 4" xfId="32771"/>
    <cellStyle name="Обычный 7 6 2 4 2 4 2" xfId="32772"/>
    <cellStyle name="Обычный 7 6 2 4 2 4 2 2" xfId="32773"/>
    <cellStyle name="Обычный 7 6 2 4 2 4 2 3" xfId="32774"/>
    <cellStyle name="Обычный 7 6 2 4 2 4 3" xfId="32775"/>
    <cellStyle name="Обычный 7 6 2 4 2 4 3 2" xfId="32776"/>
    <cellStyle name="Обычный 7 6 2 4 2 4 3 3" xfId="32777"/>
    <cellStyle name="Обычный 7 6 2 4 2 4 4" xfId="32778"/>
    <cellStyle name="Обычный 7 6 2 4 2 4 4 2" xfId="32779"/>
    <cellStyle name="Обычный 7 6 2 4 2 4 5" xfId="32780"/>
    <cellStyle name="Обычный 7 6 2 4 2 4 6" xfId="32781"/>
    <cellStyle name="Обычный 7 6 2 4 2 5" xfId="32782"/>
    <cellStyle name="Обычный 7 6 2 4 2 5 2" xfId="32783"/>
    <cellStyle name="Обычный 7 6 2 4 2 5 3" xfId="32784"/>
    <cellStyle name="Обычный 7 6 2 4 2 6" xfId="32785"/>
    <cellStyle name="Обычный 7 6 2 4 2 6 2" xfId="32786"/>
    <cellStyle name="Обычный 7 6 2 4 2 6 3" xfId="32787"/>
    <cellStyle name="Обычный 7 6 2 4 2 7" xfId="32788"/>
    <cellStyle name="Обычный 7 6 2 4 2 7 2" xfId="32789"/>
    <cellStyle name="Обычный 7 6 2 4 2 8" xfId="32790"/>
    <cellStyle name="Обычный 7 6 2 4 2 9" xfId="32791"/>
    <cellStyle name="Обычный 7 6 2 4 3" xfId="32792"/>
    <cellStyle name="Обычный 7 6 2 4 3 2" xfId="32793"/>
    <cellStyle name="Обычный 7 6 2 4 3 2 2" xfId="32794"/>
    <cellStyle name="Обычный 7 6 2 4 3 2 2 2" xfId="32795"/>
    <cellStyle name="Обычный 7 6 2 4 3 2 2 2 2" xfId="32796"/>
    <cellStyle name="Обычный 7 6 2 4 3 2 2 2 3" xfId="32797"/>
    <cellStyle name="Обычный 7 6 2 4 3 2 2 3" xfId="32798"/>
    <cellStyle name="Обычный 7 6 2 4 3 2 2 3 2" xfId="32799"/>
    <cellStyle name="Обычный 7 6 2 4 3 2 2 3 3" xfId="32800"/>
    <cellStyle name="Обычный 7 6 2 4 3 2 2 4" xfId="32801"/>
    <cellStyle name="Обычный 7 6 2 4 3 2 2 4 2" xfId="32802"/>
    <cellStyle name="Обычный 7 6 2 4 3 2 2 5" xfId="32803"/>
    <cellStyle name="Обычный 7 6 2 4 3 2 2 6" xfId="32804"/>
    <cellStyle name="Обычный 7 6 2 4 3 2 3" xfId="32805"/>
    <cellStyle name="Обычный 7 6 2 4 3 2 3 2" xfId="32806"/>
    <cellStyle name="Обычный 7 6 2 4 3 2 3 3" xfId="32807"/>
    <cellStyle name="Обычный 7 6 2 4 3 2 4" xfId="32808"/>
    <cellStyle name="Обычный 7 6 2 4 3 2 4 2" xfId="32809"/>
    <cellStyle name="Обычный 7 6 2 4 3 2 4 3" xfId="32810"/>
    <cellStyle name="Обычный 7 6 2 4 3 2 5" xfId="32811"/>
    <cellStyle name="Обычный 7 6 2 4 3 2 5 2" xfId="32812"/>
    <cellStyle name="Обычный 7 6 2 4 3 2 6" xfId="32813"/>
    <cellStyle name="Обычный 7 6 2 4 3 2 7" xfId="32814"/>
    <cellStyle name="Обычный 7 6 2 4 3 3" xfId="32815"/>
    <cellStyle name="Обычный 7 6 2 4 3 3 2" xfId="32816"/>
    <cellStyle name="Обычный 7 6 2 4 3 3 2 2" xfId="32817"/>
    <cellStyle name="Обычный 7 6 2 4 3 3 2 3" xfId="32818"/>
    <cellStyle name="Обычный 7 6 2 4 3 3 3" xfId="32819"/>
    <cellStyle name="Обычный 7 6 2 4 3 3 3 2" xfId="32820"/>
    <cellStyle name="Обычный 7 6 2 4 3 3 3 3" xfId="32821"/>
    <cellStyle name="Обычный 7 6 2 4 3 3 4" xfId="32822"/>
    <cellStyle name="Обычный 7 6 2 4 3 3 4 2" xfId="32823"/>
    <cellStyle name="Обычный 7 6 2 4 3 3 5" xfId="32824"/>
    <cellStyle name="Обычный 7 6 2 4 3 3 6" xfId="32825"/>
    <cellStyle name="Обычный 7 6 2 4 3 4" xfId="32826"/>
    <cellStyle name="Обычный 7 6 2 4 3 4 2" xfId="32827"/>
    <cellStyle name="Обычный 7 6 2 4 3 4 3" xfId="32828"/>
    <cellStyle name="Обычный 7 6 2 4 3 5" xfId="32829"/>
    <cellStyle name="Обычный 7 6 2 4 3 5 2" xfId="32830"/>
    <cellStyle name="Обычный 7 6 2 4 3 5 3" xfId="32831"/>
    <cellStyle name="Обычный 7 6 2 4 3 6" xfId="32832"/>
    <cellStyle name="Обычный 7 6 2 4 3 6 2" xfId="32833"/>
    <cellStyle name="Обычный 7 6 2 4 3 7" xfId="32834"/>
    <cellStyle name="Обычный 7 6 2 4 3 8" xfId="32835"/>
    <cellStyle name="Обычный 7 6 2 4 4" xfId="32836"/>
    <cellStyle name="Обычный 7 6 2 4 4 2" xfId="32837"/>
    <cellStyle name="Обычный 7 6 2 4 4 2 2" xfId="32838"/>
    <cellStyle name="Обычный 7 6 2 4 4 2 2 2" xfId="32839"/>
    <cellStyle name="Обычный 7 6 2 4 4 2 2 3" xfId="32840"/>
    <cellStyle name="Обычный 7 6 2 4 4 2 3" xfId="32841"/>
    <cellStyle name="Обычный 7 6 2 4 4 2 3 2" xfId="32842"/>
    <cellStyle name="Обычный 7 6 2 4 4 2 3 3" xfId="32843"/>
    <cellStyle name="Обычный 7 6 2 4 4 2 4" xfId="32844"/>
    <cellStyle name="Обычный 7 6 2 4 4 2 4 2" xfId="32845"/>
    <cellStyle name="Обычный 7 6 2 4 4 2 5" xfId="32846"/>
    <cellStyle name="Обычный 7 6 2 4 4 2 6" xfId="32847"/>
    <cellStyle name="Обычный 7 6 2 4 4 3" xfId="32848"/>
    <cellStyle name="Обычный 7 6 2 4 4 3 2" xfId="32849"/>
    <cellStyle name="Обычный 7 6 2 4 4 3 3" xfId="32850"/>
    <cellStyle name="Обычный 7 6 2 4 4 4" xfId="32851"/>
    <cellStyle name="Обычный 7 6 2 4 4 4 2" xfId="32852"/>
    <cellStyle name="Обычный 7 6 2 4 4 4 3" xfId="32853"/>
    <cellStyle name="Обычный 7 6 2 4 4 5" xfId="32854"/>
    <cellStyle name="Обычный 7 6 2 4 4 5 2" xfId="32855"/>
    <cellStyle name="Обычный 7 6 2 4 4 6" xfId="32856"/>
    <cellStyle name="Обычный 7 6 2 4 4 7" xfId="32857"/>
    <cellStyle name="Обычный 7 6 2 4 5" xfId="32858"/>
    <cellStyle name="Обычный 7 6 2 4 5 2" xfId="32859"/>
    <cellStyle name="Обычный 7 6 2 4 5 2 2" xfId="32860"/>
    <cellStyle name="Обычный 7 6 2 4 5 2 3" xfId="32861"/>
    <cellStyle name="Обычный 7 6 2 4 5 3" xfId="32862"/>
    <cellStyle name="Обычный 7 6 2 4 5 3 2" xfId="32863"/>
    <cellStyle name="Обычный 7 6 2 4 5 3 3" xfId="32864"/>
    <cellStyle name="Обычный 7 6 2 4 5 4" xfId="32865"/>
    <cellStyle name="Обычный 7 6 2 4 5 4 2" xfId="32866"/>
    <cellStyle name="Обычный 7 6 2 4 5 5" xfId="32867"/>
    <cellStyle name="Обычный 7 6 2 4 5 6" xfId="32868"/>
    <cellStyle name="Обычный 7 6 2 4 6" xfId="32869"/>
    <cellStyle name="Обычный 7 6 2 4 6 2" xfId="32870"/>
    <cellStyle name="Обычный 7 6 2 4 6 3" xfId="32871"/>
    <cellStyle name="Обычный 7 6 2 4 7" xfId="32872"/>
    <cellStyle name="Обычный 7 6 2 4 7 2" xfId="32873"/>
    <cellStyle name="Обычный 7 6 2 4 7 3" xfId="32874"/>
    <cellStyle name="Обычный 7 6 2 4 8" xfId="32875"/>
    <cellStyle name="Обычный 7 6 2 4 8 2" xfId="32876"/>
    <cellStyle name="Обычный 7 6 2 4 9" xfId="32877"/>
    <cellStyle name="Обычный 7 6 2 5" xfId="32878"/>
    <cellStyle name="Обычный 7 6 2 5 2" xfId="32879"/>
    <cellStyle name="Обычный 7 6 2 5 2 2" xfId="32880"/>
    <cellStyle name="Обычный 7 6 2 5 2 2 2" xfId="32881"/>
    <cellStyle name="Обычный 7 6 2 5 2 2 2 2" xfId="32882"/>
    <cellStyle name="Обычный 7 6 2 5 2 2 2 2 2" xfId="32883"/>
    <cellStyle name="Обычный 7 6 2 5 2 2 2 2 3" xfId="32884"/>
    <cellStyle name="Обычный 7 6 2 5 2 2 2 3" xfId="32885"/>
    <cellStyle name="Обычный 7 6 2 5 2 2 2 3 2" xfId="32886"/>
    <cellStyle name="Обычный 7 6 2 5 2 2 2 3 3" xfId="32887"/>
    <cellStyle name="Обычный 7 6 2 5 2 2 2 4" xfId="32888"/>
    <cellStyle name="Обычный 7 6 2 5 2 2 2 4 2" xfId="32889"/>
    <cellStyle name="Обычный 7 6 2 5 2 2 2 5" xfId="32890"/>
    <cellStyle name="Обычный 7 6 2 5 2 2 2 6" xfId="32891"/>
    <cellStyle name="Обычный 7 6 2 5 2 2 3" xfId="32892"/>
    <cellStyle name="Обычный 7 6 2 5 2 2 3 2" xfId="32893"/>
    <cellStyle name="Обычный 7 6 2 5 2 2 3 3" xfId="32894"/>
    <cellStyle name="Обычный 7 6 2 5 2 2 4" xfId="32895"/>
    <cellStyle name="Обычный 7 6 2 5 2 2 4 2" xfId="32896"/>
    <cellStyle name="Обычный 7 6 2 5 2 2 4 3" xfId="32897"/>
    <cellStyle name="Обычный 7 6 2 5 2 2 5" xfId="32898"/>
    <cellStyle name="Обычный 7 6 2 5 2 2 5 2" xfId="32899"/>
    <cellStyle name="Обычный 7 6 2 5 2 2 6" xfId="32900"/>
    <cellStyle name="Обычный 7 6 2 5 2 2 7" xfId="32901"/>
    <cellStyle name="Обычный 7 6 2 5 2 3" xfId="32902"/>
    <cellStyle name="Обычный 7 6 2 5 2 3 2" xfId="32903"/>
    <cellStyle name="Обычный 7 6 2 5 2 3 2 2" xfId="32904"/>
    <cellStyle name="Обычный 7 6 2 5 2 3 2 3" xfId="32905"/>
    <cellStyle name="Обычный 7 6 2 5 2 3 3" xfId="32906"/>
    <cellStyle name="Обычный 7 6 2 5 2 3 3 2" xfId="32907"/>
    <cellStyle name="Обычный 7 6 2 5 2 3 3 3" xfId="32908"/>
    <cellStyle name="Обычный 7 6 2 5 2 3 4" xfId="32909"/>
    <cellStyle name="Обычный 7 6 2 5 2 3 4 2" xfId="32910"/>
    <cellStyle name="Обычный 7 6 2 5 2 3 5" xfId="32911"/>
    <cellStyle name="Обычный 7 6 2 5 2 3 6" xfId="32912"/>
    <cellStyle name="Обычный 7 6 2 5 2 4" xfId="32913"/>
    <cellStyle name="Обычный 7 6 2 5 2 4 2" xfId="32914"/>
    <cellStyle name="Обычный 7 6 2 5 2 4 3" xfId="32915"/>
    <cellStyle name="Обычный 7 6 2 5 2 5" xfId="32916"/>
    <cellStyle name="Обычный 7 6 2 5 2 5 2" xfId="32917"/>
    <cellStyle name="Обычный 7 6 2 5 2 5 3" xfId="32918"/>
    <cellStyle name="Обычный 7 6 2 5 2 6" xfId="32919"/>
    <cellStyle name="Обычный 7 6 2 5 2 6 2" xfId="32920"/>
    <cellStyle name="Обычный 7 6 2 5 2 7" xfId="32921"/>
    <cellStyle name="Обычный 7 6 2 5 2 8" xfId="32922"/>
    <cellStyle name="Обычный 7 6 2 5 3" xfId="32923"/>
    <cellStyle name="Обычный 7 6 2 5 3 2" xfId="32924"/>
    <cellStyle name="Обычный 7 6 2 5 3 2 2" xfId="32925"/>
    <cellStyle name="Обычный 7 6 2 5 3 2 2 2" xfId="32926"/>
    <cellStyle name="Обычный 7 6 2 5 3 2 2 3" xfId="32927"/>
    <cellStyle name="Обычный 7 6 2 5 3 2 3" xfId="32928"/>
    <cellStyle name="Обычный 7 6 2 5 3 2 3 2" xfId="32929"/>
    <cellStyle name="Обычный 7 6 2 5 3 2 3 3" xfId="32930"/>
    <cellStyle name="Обычный 7 6 2 5 3 2 4" xfId="32931"/>
    <cellStyle name="Обычный 7 6 2 5 3 2 4 2" xfId="32932"/>
    <cellStyle name="Обычный 7 6 2 5 3 2 5" xfId="32933"/>
    <cellStyle name="Обычный 7 6 2 5 3 2 6" xfId="32934"/>
    <cellStyle name="Обычный 7 6 2 5 3 3" xfId="32935"/>
    <cellStyle name="Обычный 7 6 2 5 3 3 2" xfId="32936"/>
    <cellStyle name="Обычный 7 6 2 5 3 3 3" xfId="32937"/>
    <cellStyle name="Обычный 7 6 2 5 3 4" xfId="32938"/>
    <cellStyle name="Обычный 7 6 2 5 3 4 2" xfId="32939"/>
    <cellStyle name="Обычный 7 6 2 5 3 4 3" xfId="32940"/>
    <cellStyle name="Обычный 7 6 2 5 3 5" xfId="32941"/>
    <cellStyle name="Обычный 7 6 2 5 3 5 2" xfId="32942"/>
    <cellStyle name="Обычный 7 6 2 5 3 6" xfId="32943"/>
    <cellStyle name="Обычный 7 6 2 5 3 7" xfId="32944"/>
    <cellStyle name="Обычный 7 6 2 5 4" xfId="32945"/>
    <cellStyle name="Обычный 7 6 2 5 4 2" xfId="32946"/>
    <cellStyle name="Обычный 7 6 2 5 4 2 2" xfId="32947"/>
    <cellStyle name="Обычный 7 6 2 5 4 2 3" xfId="32948"/>
    <cellStyle name="Обычный 7 6 2 5 4 3" xfId="32949"/>
    <cellStyle name="Обычный 7 6 2 5 4 3 2" xfId="32950"/>
    <cellStyle name="Обычный 7 6 2 5 4 3 3" xfId="32951"/>
    <cellStyle name="Обычный 7 6 2 5 4 4" xfId="32952"/>
    <cellStyle name="Обычный 7 6 2 5 4 4 2" xfId="32953"/>
    <cellStyle name="Обычный 7 6 2 5 4 5" xfId="32954"/>
    <cellStyle name="Обычный 7 6 2 5 4 6" xfId="32955"/>
    <cellStyle name="Обычный 7 6 2 5 5" xfId="32956"/>
    <cellStyle name="Обычный 7 6 2 5 5 2" xfId="32957"/>
    <cellStyle name="Обычный 7 6 2 5 5 3" xfId="32958"/>
    <cellStyle name="Обычный 7 6 2 5 6" xfId="32959"/>
    <cellStyle name="Обычный 7 6 2 5 6 2" xfId="32960"/>
    <cellStyle name="Обычный 7 6 2 5 6 3" xfId="32961"/>
    <cellStyle name="Обычный 7 6 2 5 7" xfId="32962"/>
    <cellStyle name="Обычный 7 6 2 5 7 2" xfId="32963"/>
    <cellStyle name="Обычный 7 6 2 5 8" xfId="32964"/>
    <cellStyle name="Обычный 7 6 2 5 9" xfId="32965"/>
    <cellStyle name="Обычный 7 6 2 6" xfId="32966"/>
    <cellStyle name="Обычный 7 6 2 6 2" xfId="32967"/>
    <cellStyle name="Обычный 7 6 2 6 2 2" xfId="32968"/>
    <cellStyle name="Обычный 7 6 2 6 2 2 2" xfId="32969"/>
    <cellStyle name="Обычный 7 6 2 6 2 2 2 2" xfId="32970"/>
    <cellStyle name="Обычный 7 6 2 6 2 2 2 3" xfId="32971"/>
    <cellStyle name="Обычный 7 6 2 6 2 2 3" xfId="32972"/>
    <cellStyle name="Обычный 7 6 2 6 2 2 3 2" xfId="32973"/>
    <cellStyle name="Обычный 7 6 2 6 2 2 3 3" xfId="32974"/>
    <cellStyle name="Обычный 7 6 2 6 2 2 4" xfId="32975"/>
    <cellStyle name="Обычный 7 6 2 6 2 2 4 2" xfId="32976"/>
    <cellStyle name="Обычный 7 6 2 6 2 2 5" xfId="32977"/>
    <cellStyle name="Обычный 7 6 2 6 2 2 6" xfId="32978"/>
    <cellStyle name="Обычный 7 6 2 6 2 3" xfId="32979"/>
    <cellStyle name="Обычный 7 6 2 6 2 3 2" xfId="32980"/>
    <cellStyle name="Обычный 7 6 2 6 2 3 3" xfId="32981"/>
    <cellStyle name="Обычный 7 6 2 6 2 4" xfId="32982"/>
    <cellStyle name="Обычный 7 6 2 6 2 4 2" xfId="32983"/>
    <cellStyle name="Обычный 7 6 2 6 2 4 3" xfId="32984"/>
    <cellStyle name="Обычный 7 6 2 6 2 5" xfId="32985"/>
    <cellStyle name="Обычный 7 6 2 6 2 5 2" xfId="32986"/>
    <cellStyle name="Обычный 7 6 2 6 2 6" xfId="32987"/>
    <cellStyle name="Обычный 7 6 2 6 2 7" xfId="32988"/>
    <cellStyle name="Обычный 7 6 2 6 3" xfId="32989"/>
    <cellStyle name="Обычный 7 6 2 6 3 2" xfId="32990"/>
    <cellStyle name="Обычный 7 6 2 6 3 2 2" xfId="32991"/>
    <cellStyle name="Обычный 7 6 2 6 3 2 3" xfId="32992"/>
    <cellStyle name="Обычный 7 6 2 6 3 3" xfId="32993"/>
    <cellStyle name="Обычный 7 6 2 6 3 3 2" xfId="32994"/>
    <cellStyle name="Обычный 7 6 2 6 3 3 3" xfId="32995"/>
    <cellStyle name="Обычный 7 6 2 6 3 4" xfId="32996"/>
    <cellStyle name="Обычный 7 6 2 6 3 4 2" xfId="32997"/>
    <cellStyle name="Обычный 7 6 2 6 3 5" xfId="32998"/>
    <cellStyle name="Обычный 7 6 2 6 3 6" xfId="32999"/>
    <cellStyle name="Обычный 7 6 2 6 4" xfId="33000"/>
    <cellStyle name="Обычный 7 6 2 6 4 2" xfId="33001"/>
    <cellStyle name="Обычный 7 6 2 6 4 3" xfId="33002"/>
    <cellStyle name="Обычный 7 6 2 6 5" xfId="33003"/>
    <cellStyle name="Обычный 7 6 2 6 5 2" xfId="33004"/>
    <cellStyle name="Обычный 7 6 2 6 5 3" xfId="33005"/>
    <cellStyle name="Обычный 7 6 2 6 6" xfId="33006"/>
    <cellStyle name="Обычный 7 6 2 6 6 2" xfId="33007"/>
    <cellStyle name="Обычный 7 6 2 6 7" xfId="33008"/>
    <cellStyle name="Обычный 7 6 2 6 8" xfId="33009"/>
    <cellStyle name="Обычный 7 6 2 7" xfId="33010"/>
    <cellStyle name="Обычный 7 6 2 7 2" xfId="33011"/>
    <cellStyle name="Обычный 7 6 2 7 2 2" xfId="33012"/>
    <cellStyle name="Обычный 7 6 2 7 2 2 2" xfId="33013"/>
    <cellStyle name="Обычный 7 6 2 7 2 2 3" xfId="33014"/>
    <cellStyle name="Обычный 7 6 2 7 2 3" xfId="33015"/>
    <cellStyle name="Обычный 7 6 2 7 2 3 2" xfId="33016"/>
    <cellStyle name="Обычный 7 6 2 7 2 3 3" xfId="33017"/>
    <cellStyle name="Обычный 7 6 2 7 2 4" xfId="33018"/>
    <cellStyle name="Обычный 7 6 2 7 2 4 2" xfId="33019"/>
    <cellStyle name="Обычный 7 6 2 7 2 5" xfId="33020"/>
    <cellStyle name="Обычный 7 6 2 7 2 6" xfId="33021"/>
    <cellStyle name="Обычный 7 6 2 7 3" xfId="33022"/>
    <cellStyle name="Обычный 7 6 2 7 3 2" xfId="33023"/>
    <cellStyle name="Обычный 7 6 2 7 3 3" xfId="33024"/>
    <cellStyle name="Обычный 7 6 2 7 4" xfId="33025"/>
    <cellStyle name="Обычный 7 6 2 7 4 2" xfId="33026"/>
    <cellStyle name="Обычный 7 6 2 7 4 3" xfId="33027"/>
    <cellStyle name="Обычный 7 6 2 7 5" xfId="33028"/>
    <cellStyle name="Обычный 7 6 2 7 5 2" xfId="33029"/>
    <cellStyle name="Обычный 7 6 2 7 6" xfId="33030"/>
    <cellStyle name="Обычный 7 6 2 7 7" xfId="33031"/>
    <cellStyle name="Обычный 7 6 2 8" xfId="33032"/>
    <cellStyle name="Обычный 7 6 2 8 2" xfId="33033"/>
    <cellStyle name="Обычный 7 6 2 8 2 2" xfId="33034"/>
    <cellStyle name="Обычный 7 6 2 8 2 3" xfId="33035"/>
    <cellStyle name="Обычный 7 6 2 8 3" xfId="33036"/>
    <cellStyle name="Обычный 7 6 2 8 3 2" xfId="33037"/>
    <cellStyle name="Обычный 7 6 2 8 3 3" xfId="33038"/>
    <cellStyle name="Обычный 7 6 2 8 4" xfId="33039"/>
    <cellStyle name="Обычный 7 6 2 8 4 2" xfId="33040"/>
    <cellStyle name="Обычный 7 6 2 8 5" xfId="33041"/>
    <cellStyle name="Обычный 7 6 2 8 6" xfId="33042"/>
    <cellStyle name="Обычный 7 6 2 9" xfId="33043"/>
    <cellStyle name="Обычный 7 6 2 9 2" xfId="33044"/>
    <cellStyle name="Обычный 7 6 2 9 3" xfId="33045"/>
    <cellStyle name="Обычный 7 6 3" xfId="33046"/>
    <cellStyle name="Обычный 7 6 3 10" xfId="33047"/>
    <cellStyle name="Обычный 7 6 3 2" xfId="33048"/>
    <cellStyle name="Обычный 7 6 3 2 2" xfId="33049"/>
    <cellStyle name="Обычный 7 6 3 2 2 2" xfId="33050"/>
    <cellStyle name="Обычный 7 6 3 2 2 2 2" xfId="33051"/>
    <cellStyle name="Обычный 7 6 3 2 2 2 2 2" xfId="33052"/>
    <cellStyle name="Обычный 7 6 3 2 2 2 2 2 2" xfId="33053"/>
    <cellStyle name="Обычный 7 6 3 2 2 2 2 2 3" xfId="33054"/>
    <cellStyle name="Обычный 7 6 3 2 2 2 2 3" xfId="33055"/>
    <cellStyle name="Обычный 7 6 3 2 2 2 2 3 2" xfId="33056"/>
    <cellStyle name="Обычный 7 6 3 2 2 2 2 3 3" xfId="33057"/>
    <cellStyle name="Обычный 7 6 3 2 2 2 2 4" xfId="33058"/>
    <cellStyle name="Обычный 7 6 3 2 2 2 2 4 2" xfId="33059"/>
    <cellStyle name="Обычный 7 6 3 2 2 2 2 5" xfId="33060"/>
    <cellStyle name="Обычный 7 6 3 2 2 2 2 6" xfId="33061"/>
    <cellStyle name="Обычный 7 6 3 2 2 2 3" xfId="33062"/>
    <cellStyle name="Обычный 7 6 3 2 2 2 3 2" xfId="33063"/>
    <cellStyle name="Обычный 7 6 3 2 2 2 3 3" xfId="33064"/>
    <cellStyle name="Обычный 7 6 3 2 2 2 4" xfId="33065"/>
    <cellStyle name="Обычный 7 6 3 2 2 2 4 2" xfId="33066"/>
    <cellStyle name="Обычный 7 6 3 2 2 2 4 3" xfId="33067"/>
    <cellStyle name="Обычный 7 6 3 2 2 2 5" xfId="33068"/>
    <cellStyle name="Обычный 7 6 3 2 2 2 5 2" xfId="33069"/>
    <cellStyle name="Обычный 7 6 3 2 2 2 6" xfId="33070"/>
    <cellStyle name="Обычный 7 6 3 2 2 2 7" xfId="33071"/>
    <cellStyle name="Обычный 7 6 3 2 2 3" xfId="33072"/>
    <cellStyle name="Обычный 7 6 3 2 2 3 2" xfId="33073"/>
    <cellStyle name="Обычный 7 6 3 2 2 3 2 2" xfId="33074"/>
    <cellStyle name="Обычный 7 6 3 2 2 3 2 3" xfId="33075"/>
    <cellStyle name="Обычный 7 6 3 2 2 3 3" xfId="33076"/>
    <cellStyle name="Обычный 7 6 3 2 2 3 3 2" xfId="33077"/>
    <cellStyle name="Обычный 7 6 3 2 2 3 3 3" xfId="33078"/>
    <cellStyle name="Обычный 7 6 3 2 2 3 4" xfId="33079"/>
    <cellStyle name="Обычный 7 6 3 2 2 3 4 2" xfId="33080"/>
    <cellStyle name="Обычный 7 6 3 2 2 3 5" xfId="33081"/>
    <cellStyle name="Обычный 7 6 3 2 2 3 6" xfId="33082"/>
    <cellStyle name="Обычный 7 6 3 2 2 4" xfId="33083"/>
    <cellStyle name="Обычный 7 6 3 2 2 4 2" xfId="33084"/>
    <cellStyle name="Обычный 7 6 3 2 2 4 3" xfId="33085"/>
    <cellStyle name="Обычный 7 6 3 2 2 5" xfId="33086"/>
    <cellStyle name="Обычный 7 6 3 2 2 5 2" xfId="33087"/>
    <cellStyle name="Обычный 7 6 3 2 2 5 3" xfId="33088"/>
    <cellStyle name="Обычный 7 6 3 2 2 6" xfId="33089"/>
    <cellStyle name="Обычный 7 6 3 2 2 6 2" xfId="33090"/>
    <cellStyle name="Обычный 7 6 3 2 2 7" xfId="33091"/>
    <cellStyle name="Обычный 7 6 3 2 2 8" xfId="33092"/>
    <cellStyle name="Обычный 7 6 3 2 3" xfId="33093"/>
    <cellStyle name="Обычный 7 6 3 2 3 2" xfId="33094"/>
    <cellStyle name="Обычный 7 6 3 2 3 2 2" xfId="33095"/>
    <cellStyle name="Обычный 7 6 3 2 3 2 2 2" xfId="33096"/>
    <cellStyle name="Обычный 7 6 3 2 3 2 2 3" xfId="33097"/>
    <cellStyle name="Обычный 7 6 3 2 3 2 3" xfId="33098"/>
    <cellStyle name="Обычный 7 6 3 2 3 2 3 2" xfId="33099"/>
    <cellStyle name="Обычный 7 6 3 2 3 2 3 3" xfId="33100"/>
    <cellStyle name="Обычный 7 6 3 2 3 2 4" xfId="33101"/>
    <cellStyle name="Обычный 7 6 3 2 3 2 4 2" xfId="33102"/>
    <cellStyle name="Обычный 7 6 3 2 3 2 5" xfId="33103"/>
    <cellStyle name="Обычный 7 6 3 2 3 2 6" xfId="33104"/>
    <cellStyle name="Обычный 7 6 3 2 3 3" xfId="33105"/>
    <cellStyle name="Обычный 7 6 3 2 3 3 2" xfId="33106"/>
    <cellStyle name="Обычный 7 6 3 2 3 3 3" xfId="33107"/>
    <cellStyle name="Обычный 7 6 3 2 3 4" xfId="33108"/>
    <cellStyle name="Обычный 7 6 3 2 3 4 2" xfId="33109"/>
    <cellStyle name="Обычный 7 6 3 2 3 4 3" xfId="33110"/>
    <cellStyle name="Обычный 7 6 3 2 3 5" xfId="33111"/>
    <cellStyle name="Обычный 7 6 3 2 3 5 2" xfId="33112"/>
    <cellStyle name="Обычный 7 6 3 2 3 6" xfId="33113"/>
    <cellStyle name="Обычный 7 6 3 2 3 7" xfId="33114"/>
    <cellStyle name="Обычный 7 6 3 2 4" xfId="33115"/>
    <cellStyle name="Обычный 7 6 3 2 4 2" xfId="33116"/>
    <cellStyle name="Обычный 7 6 3 2 4 2 2" xfId="33117"/>
    <cellStyle name="Обычный 7 6 3 2 4 2 3" xfId="33118"/>
    <cellStyle name="Обычный 7 6 3 2 4 3" xfId="33119"/>
    <cellStyle name="Обычный 7 6 3 2 4 3 2" xfId="33120"/>
    <cellStyle name="Обычный 7 6 3 2 4 3 3" xfId="33121"/>
    <cellStyle name="Обычный 7 6 3 2 4 4" xfId="33122"/>
    <cellStyle name="Обычный 7 6 3 2 4 4 2" xfId="33123"/>
    <cellStyle name="Обычный 7 6 3 2 4 5" xfId="33124"/>
    <cellStyle name="Обычный 7 6 3 2 4 6" xfId="33125"/>
    <cellStyle name="Обычный 7 6 3 2 5" xfId="33126"/>
    <cellStyle name="Обычный 7 6 3 2 5 2" xfId="33127"/>
    <cellStyle name="Обычный 7 6 3 2 5 3" xfId="33128"/>
    <cellStyle name="Обычный 7 6 3 2 6" xfId="33129"/>
    <cellStyle name="Обычный 7 6 3 2 6 2" xfId="33130"/>
    <cellStyle name="Обычный 7 6 3 2 6 3" xfId="33131"/>
    <cellStyle name="Обычный 7 6 3 2 7" xfId="33132"/>
    <cellStyle name="Обычный 7 6 3 2 7 2" xfId="33133"/>
    <cellStyle name="Обычный 7 6 3 2 8" xfId="33134"/>
    <cellStyle name="Обычный 7 6 3 2 9" xfId="33135"/>
    <cellStyle name="Обычный 7 6 3 3" xfId="33136"/>
    <cellStyle name="Обычный 7 6 3 3 2" xfId="33137"/>
    <cellStyle name="Обычный 7 6 3 3 2 2" xfId="33138"/>
    <cellStyle name="Обычный 7 6 3 3 2 2 2" xfId="33139"/>
    <cellStyle name="Обычный 7 6 3 3 2 2 2 2" xfId="33140"/>
    <cellStyle name="Обычный 7 6 3 3 2 2 2 3" xfId="33141"/>
    <cellStyle name="Обычный 7 6 3 3 2 2 3" xfId="33142"/>
    <cellStyle name="Обычный 7 6 3 3 2 2 3 2" xfId="33143"/>
    <cellStyle name="Обычный 7 6 3 3 2 2 3 3" xfId="33144"/>
    <cellStyle name="Обычный 7 6 3 3 2 2 4" xfId="33145"/>
    <cellStyle name="Обычный 7 6 3 3 2 2 4 2" xfId="33146"/>
    <cellStyle name="Обычный 7 6 3 3 2 2 5" xfId="33147"/>
    <cellStyle name="Обычный 7 6 3 3 2 2 6" xfId="33148"/>
    <cellStyle name="Обычный 7 6 3 3 2 3" xfId="33149"/>
    <cellStyle name="Обычный 7 6 3 3 2 3 2" xfId="33150"/>
    <cellStyle name="Обычный 7 6 3 3 2 3 3" xfId="33151"/>
    <cellStyle name="Обычный 7 6 3 3 2 4" xfId="33152"/>
    <cellStyle name="Обычный 7 6 3 3 2 4 2" xfId="33153"/>
    <cellStyle name="Обычный 7 6 3 3 2 4 3" xfId="33154"/>
    <cellStyle name="Обычный 7 6 3 3 2 5" xfId="33155"/>
    <cellStyle name="Обычный 7 6 3 3 2 5 2" xfId="33156"/>
    <cellStyle name="Обычный 7 6 3 3 2 6" xfId="33157"/>
    <cellStyle name="Обычный 7 6 3 3 2 7" xfId="33158"/>
    <cellStyle name="Обычный 7 6 3 3 3" xfId="33159"/>
    <cellStyle name="Обычный 7 6 3 3 3 2" xfId="33160"/>
    <cellStyle name="Обычный 7 6 3 3 3 2 2" xfId="33161"/>
    <cellStyle name="Обычный 7 6 3 3 3 2 3" xfId="33162"/>
    <cellStyle name="Обычный 7 6 3 3 3 3" xfId="33163"/>
    <cellStyle name="Обычный 7 6 3 3 3 3 2" xfId="33164"/>
    <cellStyle name="Обычный 7 6 3 3 3 3 3" xfId="33165"/>
    <cellStyle name="Обычный 7 6 3 3 3 4" xfId="33166"/>
    <cellStyle name="Обычный 7 6 3 3 3 4 2" xfId="33167"/>
    <cellStyle name="Обычный 7 6 3 3 3 5" xfId="33168"/>
    <cellStyle name="Обычный 7 6 3 3 3 6" xfId="33169"/>
    <cellStyle name="Обычный 7 6 3 3 4" xfId="33170"/>
    <cellStyle name="Обычный 7 6 3 3 4 2" xfId="33171"/>
    <cellStyle name="Обычный 7 6 3 3 4 3" xfId="33172"/>
    <cellStyle name="Обычный 7 6 3 3 5" xfId="33173"/>
    <cellStyle name="Обычный 7 6 3 3 5 2" xfId="33174"/>
    <cellStyle name="Обычный 7 6 3 3 5 3" xfId="33175"/>
    <cellStyle name="Обычный 7 6 3 3 6" xfId="33176"/>
    <cellStyle name="Обычный 7 6 3 3 6 2" xfId="33177"/>
    <cellStyle name="Обычный 7 6 3 3 7" xfId="33178"/>
    <cellStyle name="Обычный 7 6 3 3 8" xfId="33179"/>
    <cellStyle name="Обычный 7 6 3 4" xfId="33180"/>
    <cellStyle name="Обычный 7 6 3 4 2" xfId="33181"/>
    <cellStyle name="Обычный 7 6 3 4 2 2" xfId="33182"/>
    <cellStyle name="Обычный 7 6 3 4 2 2 2" xfId="33183"/>
    <cellStyle name="Обычный 7 6 3 4 2 2 3" xfId="33184"/>
    <cellStyle name="Обычный 7 6 3 4 2 3" xfId="33185"/>
    <cellStyle name="Обычный 7 6 3 4 2 3 2" xfId="33186"/>
    <cellStyle name="Обычный 7 6 3 4 2 3 3" xfId="33187"/>
    <cellStyle name="Обычный 7 6 3 4 2 4" xfId="33188"/>
    <cellStyle name="Обычный 7 6 3 4 2 4 2" xfId="33189"/>
    <cellStyle name="Обычный 7 6 3 4 2 5" xfId="33190"/>
    <cellStyle name="Обычный 7 6 3 4 2 6" xfId="33191"/>
    <cellStyle name="Обычный 7 6 3 4 3" xfId="33192"/>
    <cellStyle name="Обычный 7 6 3 4 3 2" xfId="33193"/>
    <cellStyle name="Обычный 7 6 3 4 3 3" xfId="33194"/>
    <cellStyle name="Обычный 7 6 3 4 4" xfId="33195"/>
    <cellStyle name="Обычный 7 6 3 4 4 2" xfId="33196"/>
    <cellStyle name="Обычный 7 6 3 4 4 3" xfId="33197"/>
    <cellStyle name="Обычный 7 6 3 4 5" xfId="33198"/>
    <cellStyle name="Обычный 7 6 3 4 5 2" xfId="33199"/>
    <cellStyle name="Обычный 7 6 3 4 6" xfId="33200"/>
    <cellStyle name="Обычный 7 6 3 4 7" xfId="33201"/>
    <cellStyle name="Обычный 7 6 3 5" xfId="33202"/>
    <cellStyle name="Обычный 7 6 3 5 2" xfId="33203"/>
    <cellStyle name="Обычный 7 6 3 5 2 2" xfId="33204"/>
    <cellStyle name="Обычный 7 6 3 5 2 3" xfId="33205"/>
    <cellStyle name="Обычный 7 6 3 5 3" xfId="33206"/>
    <cellStyle name="Обычный 7 6 3 5 3 2" xfId="33207"/>
    <cellStyle name="Обычный 7 6 3 5 3 3" xfId="33208"/>
    <cellStyle name="Обычный 7 6 3 5 4" xfId="33209"/>
    <cellStyle name="Обычный 7 6 3 5 4 2" xfId="33210"/>
    <cellStyle name="Обычный 7 6 3 5 5" xfId="33211"/>
    <cellStyle name="Обычный 7 6 3 5 6" xfId="33212"/>
    <cellStyle name="Обычный 7 6 3 6" xfId="33213"/>
    <cellStyle name="Обычный 7 6 3 6 2" xfId="33214"/>
    <cellStyle name="Обычный 7 6 3 6 3" xfId="33215"/>
    <cellStyle name="Обычный 7 6 3 7" xfId="33216"/>
    <cellStyle name="Обычный 7 6 3 7 2" xfId="33217"/>
    <cellStyle name="Обычный 7 6 3 7 3" xfId="33218"/>
    <cellStyle name="Обычный 7 6 3 8" xfId="33219"/>
    <cellStyle name="Обычный 7 6 3 8 2" xfId="33220"/>
    <cellStyle name="Обычный 7 6 3 9" xfId="33221"/>
    <cellStyle name="Обычный 7 6 4" xfId="33222"/>
    <cellStyle name="Обычный 7 6 4 10" xfId="33223"/>
    <cellStyle name="Обычный 7 6 4 2" xfId="33224"/>
    <cellStyle name="Обычный 7 6 4 2 2" xfId="33225"/>
    <cellStyle name="Обычный 7 6 4 2 2 2" xfId="33226"/>
    <cellStyle name="Обычный 7 6 4 2 2 2 2" xfId="33227"/>
    <cellStyle name="Обычный 7 6 4 2 2 2 2 2" xfId="33228"/>
    <cellStyle name="Обычный 7 6 4 2 2 2 2 2 2" xfId="33229"/>
    <cellStyle name="Обычный 7 6 4 2 2 2 2 2 3" xfId="33230"/>
    <cellStyle name="Обычный 7 6 4 2 2 2 2 3" xfId="33231"/>
    <cellStyle name="Обычный 7 6 4 2 2 2 2 3 2" xfId="33232"/>
    <cellStyle name="Обычный 7 6 4 2 2 2 2 3 3" xfId="33233"/>
    <cellStyle name="Обычный 7 6 4 2 2 2 2 4" xfId="33234"/>
    <cellStyle name="Обычный 7 6 4 2 2 2 2 4 2" xfId="33235"/>
    <cellStyle name="Обычный 7 6 4 2 2 2 2 5" xfId="33236"/>
    <cellStyle name="Обычный 7 6 4 2 2 2 2 6" xfId="33237"/>
    <cellStyle name="Обычный 7 6 4 2 2 2 3" xfId="33238"/>
    <cellStyle name="Обычный 7 6 4 2 2 2 3 2" xfId="33239"/>
    <cellStyle name="Обычный 7 6 4 2 2 2 3 3" xfId="33240"/>
    <cellStyle name="Обычный 7 6 4 2 2 2 4" xfId="33241"/>
    <cellStyle name="Обычный 7 6 4 2 2 2 4 2" xfId="33242"/>
    <cellStyle name="Обычный 7 6 4 2 2 2 4 3" xfId="33243"/>
    <cellStyle name="Обычный 7 6 4 2 2 2 5" xfId="33244"/>
    <cellStyle name="Обычный 7 6 4 2 2 2 5 2" xfId="33245"/>
    <cellStyle name="Обычный 7 6 4 2 2 2 6" xfId="33246"/>
    <cellStyle name="Обычный 7 6 4 2 2 2 7" xfId="33247"/>
    <cellStyle name="Обычный 7 6 4 2 2 3" xfId="33248"/>
    <cellStyle name="Обычный 7 6 4 2 2 3 2" xfId="33249"/>
    <cellStyle name="Обычный 7 6 4 2 2 3 2 2" xfId="33250"/>
    <cellStyle name="Обычный 7 6 4 2 2 3 2 3" xfId="33251"/>
    <cellStyle name="Обычный 7 6 4 2 2 3 3" xfId="33252"/>
    <cellStyle name="Обычный 7 6 4 2 2 3 3 2" xfId="33253"/>
    <cellStyle name="Обычный 7 6 4 2 2 3 3 3" xfId="33254"/>
    <cellStyle name="Обычный 7 6 4 2 2 3 4" xfId="33255"/>
    <cellStyle name="Обычный 7 6 4 2 2 3 4 2" xfId="33256"/>
    <cellStyle name="Обычный 7 6 4 2 2 3 5" xfId="33257"/>
    <cellStyle name="Обычный 7 6 4 2 2 3 6" xfId="33258"/>
    <cellStyle name="Обычный 7 6 4 2 2 4" xfId="33259"/>
    <cellStyle name="Обычный 7 6 4 2 2 4 2" xfId="33260"/>
    <cellStyle name="Обычный 7 6 4 2 2 4 3" xfId="33261"/>
    <cellStyle name="Обычный 7 6 4 2 2 5" xfId="33262"/>
    <cellStyle name="Обычный 7 6 4 2 2 5 2" xfId="33263"/>
    <cellStyle name="Обычный 7 6 4 2 2 5 3" xfId="33264"/>
    <cellStyle name="Обычный 7 6 4 2 2 6" xfId="33265"/>
    <cellStyle name="Обычный 7 6 4 2 2 6 2" xfId="33266"/>
    <cellStyle name="Обычный 7 6 4 2 2 7" xfId="33267"/>
    <cellStyle name="Обычный 7 6 4 2 2 8" xfId="33268"/>
    <cellStyle name="Обычный 7 6 4 2 3" xfId="33269"/>
    <cellStyle name="Обычный 7 6 4 2 3 2" xfId="33270"/>
    <cellStyle name="Обычный 7 6 4 2 3 2 2" xfId="33271"/>
    <cellStyle name="Обычный 7 6 4 2 3 2 2 2" xfId="33272"/>
    <cellStyle name="Обычный 7 6 4 2 3 2 2 3" xfId="33273"/>
    <cellStyle name="Обычный 7 6 4 2 3 2 3" xfId="33274"/>
    <cellStyle name="Обычный 7 6 4 2 3 2 3 2" xfId="33275"/>
    <cellStyle name="Обычный 7 6 4 2 3 2 3 3" xfId="33276"/>
    <cellStyle name="Обычный 7 6 4 2 3 2 4" xfId="33277"/>
    <cellStyle name="Обычный 7 6 4 2 3 2 4 2" xfId="33278"/>
    <cellStyle name="Обычный 7 6 4 2 3 2 5" xfId="33279"/>
    <cellStyle name="Обычный 7 6 4 2 3 2 6" xfId="33280"/>
    <cellStyle name="Обычный 7 6 4 2 3 3" xfId="33281"/>
    <cellStyle name="Обычный 7 6 4 2 3 3 2" xfId="33282"/>
    <cellStyle name="Обычный 7 6 4 2 3 3 3" xfId="33283"/>
    <cellStyle name="Обычный 7 6 4 2 3 4" xfId="33284"/>
    <cellStyle name="Обычный 7 6 4 2 3 4 2" xfId="33285"/>
    <cellStyle name="Обычный 7 6 4 2 3 4 3" xfId="33286"/>
    <cellStyle name="Обычный 7 6 4 2 3 5" xfId="33287"/>
    <cellStyle name="Обычный 7 6 4 2 3 5 2" xfId="33288"/>
    <cellStyle name="Обычный 7 6 4 2 3 6" xfId="33289"/>
    <cellStyle name="Обычный 7 6 4 2 3 7" xfId="33290"/>
    <cellStyle name="Обычный 7 6 4 2 4" xfId="33291"/>
    <cellStyle name="Обычный 7 6 4 2 4 2" xfId="33292"/>
    <cellStyle name="Обычный 7 6 4 2 4 2 2" xfId="33293"/>
    <cellStyle name="Обычный 7 6 4 2 4 2 3" xfId="33294"/>
    <cellStyle name="Обычный 7 6 4 2 4 3" xfId="33295"/>
    <cellStyle name="Обычный 7 6 4 2 4 3 2" xfId="33296"/>
    <cellStyle name="Обычный 7 6 4 2 4 3 3" xfId="33297"/>
    <cellStyle name="Обычный 7 6 4 2 4 4" xfId="33298"/>
    <cellStyle name="Обычный 7 6 4 2 4 4 2" xfId="33299"/>
    <cellStyle name="Обычный 7 6 4 2 4 5" xfId="33300"/>
    <cellStyle name="Обычный 7 6 4 2 4 6" xfId="33301"/>
    <cellStyle name="Обычный 7 6 4 2 5" xfId="33302"/>
    <cellStyle name="Обычный 7 6 4 2 5 2" xfId="33303"/>
    <cellStyle name="Обычный 7 6 4 2 5 3" xfId="33304"/>
    <cellStyle name="Обычный 7 6 4 2 6" xfId="33305"/>
    <cellStyle name="Обычный 7 6 4 2 6 2" xfId="33306"/>
    <cellStyle name="Обычный 7 6 4 2 6 3" xfId="33307"/>
    <cellStyle name="Обычный 7 6 4 2 7" xfId="33308"/>
    <cellStyle name="Обычный 7 6 4 2 7 2" xfId="33309"/>
    <cellStyle name="Обычный 7 6 4 2 8" xfId="33310"/>
    <cellStyle name="Обычный 7 6 4 2 9" xfId="33311"/>
    <cellStyle name="Обычный 7 6 4 3" xfId="33312"/>
    <cellStyle name="Обычный 7 6 4 3 2" xfId="33313"/>
    <cellStyle name="Обычный 7 6 4 3 2 2" xfId="33314"/>
    <cellStyle name="Обычный 7 6 4 3 2 2 2" xfId="33315"/>
    <cellStyle name="Обычный 7 6 4 3 2 2 2 2" xfId="33316"/>
    <cellStyle name="Обычный 7 6 4 3 2 2 2 3" xfId="33317"/>
    <cellStyle name="Обычный 7 6 4 3 2 2 3" xfId="33318"/>
    <cellStyle name="Обычный 7 6 4 3 2 2 3 2" xfId="33319"/>
    <cellStyle name="Обычный 7 6 4 3 2 2 3 3" xfId="33320"/>
    <cellStyle name="Обычный 7 6 4 3 2 2 4" xfId="33321"/>
    <cellStyle name="Обычный 7 6 4 3 2 2 4 2" xfId="33322"/>
    <cellStyle name="Обычный 7 6 4 3 2 2 5" xfId="33323"/>
    <cellStyle name="Обычный 7 6 4 3 2 2 6" xfId="33324"/>
    <cellStyle name="Обычный 7 6 4 3 2 3" xfId="33325"/>
    <cellStyle name="Обычный 7 6 4 3 2 3 2" xfId="33326"/>
    <cellStyle name="Обычный 7 6 4 3 2 3 3" xfId="33327"/>
    <cellStyle name="Обычный 7 6 4 3 2 4" xfId="33328"/>
    <cellStyle name="Обычный 7 6 4 3 2 4 2" xfId="33329"/>
    <cellStyle name="Обычный 7 6 4 3 2 4 3" xfId="33330"/>
    <cellStyle name="Обычный 7 6 4 3 2 5" xfId="33331"/>
    <cellStyle name="Обычный 7 6 4 3 2 5 2" xfId="33332"/>
    <cellStyle name="Обычный 7 6 4 3 2 6" xfId="33333"/>
    <cellStyle name="Обычный 7 6 4 3 2 7" xfId="33334"/>
    <cellStyle name="Обычный 7 6 4 3 3" xfId="33335"/>
    <cellStyle name="Обычный 7 6 4 3 3 2" xfId="33336"/>
    <cellStyle name="Обычный 7 6 4 3 3 2 2" xfId="33337"/>
    <cellStyle name="Обычный 7 6 4 3 3 2 3" xfId="33338"/>
    <cellStyle name="Обычный 7 6 4 3 3 3" xfId="33339"/>
    <cellStyle name="Обычный 7 6 4 3 3 3 2" xfId="33340"/>
    <cellStyle name="Обычный 7 6 4 3 3 3 3" xfId="33341"/>
    <cellStyle name="Обычный 7 6 4 3 3 4" xfId="33342"/>
    <cellStyle name="Обычный 7 6 4 3 3 4 2" xfId="33343"/>
    <cellStyle name="Обычный 7 6 4 3 3 5" xfId="33344"/>
    <cellStyle name="Обычный 7 6 4 3 3 6" xfId="33345"/>
    <cellStyle name="Обычный 7 6 4 3 4" xfId="33346"/>
    <cellStyle name="Обычный 7 6 4 3 4 2" xfId="33347"/>
    <cellStyle name="Обычный 7 6 4 3 4 3" xfId="33348"/>
    <cellStyle name="Обычный 7 6 4 3 5" xfId="33349"/>
    <cellStyle name="Обычный 7 6 4 3 5 2" xfId="33350"/>
    <cellStyle name="Обычный 7 6 4 3 5 3" xfId="33351"/>
    <cellStyle name="Обычный 7 6 4 3 6" xfId="33352"/>
    <cellStyle name="Обычный 7 6 4 3 6 2" xfId="33353"/>
    <cellStyle name="Обычный 7 6 4 3 7" xfId="33354"/>
    <cellStyle name="Обычный 7 6 4 3 8" xfId="33355"/>
    <cellStyle name="Обычный 7 6 4 4" xfId="33356"/>
    <cellStyle name="Обычный 7 6 4 4 2" xfId="33357"/>
    <cellStyle name="Обычный 7 6 4 4 2 2" xfId="33358"/>
    <cellStyle name="Обычный 7 6 4 4 2 2 2" xfId="33359"/>
    <cellStyle name="Обычный 7 6 4 4 2 2 3" xfId="33360"/>
    <cellStyle name="Обычный 7 6 4 4 2 3" xfId="33361"/>
    <cellStyle name="Обычный 7 6 4 4 2 3 2" xfId="33362"/>
    <cellStyle name="Обычный 7 6 4 4 2 3 3" xfId="33363"/>
    <cellStyle name="Обычный 7 6 4 4 2 4" xfId="33364"/>
    <cellStyle name="Обычный 7 6 4 4 2 4 2" xfId="33365"/>
    <cellStyle name="Обычный 7 6 4 4 2 5" xfId="33366"/>
    <cellStyle name="Обычный 7 6 4 4 2 6" xfId="33367"/>
    <cellStyle name="Обычный 7 6 4 4 3" xfId="33368"/>
    <cellStyle name="Обычный 7 6 4 4 3 2" xfId="33369"/>
    <cellStyle name="Обычный 7 6 4 4 3 3" xfId="33370"/>
    <cellStyle name="Обычный 7 6 4 4 4" xfId="33371"/>
    <cellStyle name="Обычный 7 6 4 4 4 2" xfId="33372"/>
    <cellStyle name="Обычный 7 6 4 4 4 3" xfId="33373"/>
    <cellStyle name="Обычный 7 6 4 4 5" xfId="33374"/>
    <cellStyle name="Обычный 7 6 4 4 5 2" xfId="33375"/>
    <cellStyle name="Обычный 7 6 4 4 6" xfId="33376"/>
    <cellStyle name="Обычный 7 6 4 4 7" xfId="33377"/>
    <cellStyle name="Обычный 7 6 4 5" xfId="33378"/>
    <cellStyle name="Обычный 7 6 4 5 2" xfId="33379"/>
    <cellStyle name="Обычный 7 6 4 5 2 2" xfId="33380"/>
    <cellStyle name="Обычный 7 6 4 5 2 3" xfId="33381"/>
    <cellStyle name="Обычный 7 6 4 5 3" xfId="33382"/>
    <cellStyle name="Обычный 7 6 4 5 3 2" xfId="33383"/>
    <cellStyle name="Обычный 7 6 4 5 3 3" xfId="33384"/>
    <cellStyle name="Обычный 7 6 4 5 4" xfId="33385"/>
    <cellStyle name="Обычный 7 6 4 5 4 2" xfId="33386"/>
    <cellStyle name="Обычный 7 6 4 5 5" xfId="33387"/>
    <cellStyle name="Обычный 7 6 4 5 6" xfId="33388"/>
    <cellStyle name="Обычный 7 6 4 6" xfId="33389"/>
    <cellStyle name="Обычный 7 6 4 6 2" xfId="33390"/>
    <cellStyle name="Обычный 7 6 4 6 3" xfId="33391"/>
    <cellStyle name="Обычный 7 6 4 7" xfId="33392"/>
    <cellStyle name="Обычный 7 6 4 7 2" xfId="33393"/>
    <cellStyle name="Обычный 7 6 4 7 3" xfId="33394"/>
    <cellStyle name="Обычный 7 6 4 8" xfId="33395"/>
    <cellStyle name="Обычный 7 6 4 8 2" xfId="33396"/>
    <cellStyle name="Обычный 7 6 4 9" xfId="33397"/>
    <cellStyle name="Обычный 7 6 5" xfId="33398"/>
    <cellStyle name="Обычный 7 6 5 10" xfId="33399"/>
    <cellStyle name="Обычный 7 6 5 2" xfId="33400"/>
    <cellStyle name="Обычный 7 6 5 2 2" xfId="33401"/>
    <cellStyle name="Обычный 7 6 5 2 2 2" xfId="33402"/>
    <cellStyle name="Обычный 7 6 5 2 2 2 2" xfId="33403"/>
    <cellStyle name="Обычный 7 6 5 2 2 2 2 2" xfId="33404"/>
    <cellStyle name="Обычный 7 6 5 2 2 2 2 2 2" xfId="33405"/>
    <cellStyle name="Обычный 7 6 5 2 2 2 2 2 3" xfId="33406"/>
    <cellStyle name="Обычный 7 6 5 2 2 2 2 3" xfId="33407"/>
    <cellStyle name="Обычный 7 6 5 2 2 2 2 3 2" xfId="33408"/>
    <cellStyle name="Обычный 7 6 5 2 2 2 2 3 3" xfId="33409"/>
    <cellStyle name="Обычный 7 6 5 2 2 2 2 4" xfId="33410"/>
    <cellStyle name="Обычный 7 6 5 2 2 2 2 4 2" xfId="33411"/>
    <cellStyle name="Обычный 7 6 5 2 2 2 2 5" xfId="33412"/>
    <cellStyle name="Обычный 7 6 5 2 2 2 2 6" xfId="33413"/>
    <cellStyle name="Обычный 7 6 5 2 2 2 3" xfId="33414"/>
    <cellStyle name="Обычный 7 6 5 2 2 2 3 2" xfId="33415"/>
    <cellStyle name="Обычный 7 6 5 2 2 2 3 3" xfId="33416"/>
    <cellStyle name="Обычный 7 6 5 2 2 2 4" xfId="33417"/>
    <cellStyle name="Обычный 7 6 5 2 2 2 4 2" xfId="33418"/>
    <cellStyle name="Обычный 7 6 5 2 2 2 4 3" xfId="33419"/>
    <cellStyle name="Обычный 7 6 5 2 2 2 5" xfId="33420"/>
    <cellStyle name="Обычный 7 6 5 2 2 2 5 2" xfId="33421"/>
    <cellStyle name="Обычный 7 6 5 2 2 2 6" xfId="33422"/>
    <cellStyle name="Обычный 7 6 5 2 2 2 7" xfId="33423"/>
    <cellStyle name="Обычный 7 6 5 2 2 3" xfId="33424"/>
    <cellStyle name="Обычный 7 6 5 2 2 3 2" xfId="33425"/>
    <cellStyle name="Обычный 7 6 5 2 2 3 2 2" xfId="33426"/>
    <cellStyle name="Обычный 7 6 5 2 2 3 2 3" xfId="33427"/>
    <cellStyle name="Обычный 7 6 5 2 2 3 3" xfId="33428"/>
    <cellStyle name="Обычный 7 6 5 2 2 3 3 2" xfId="33429"/>
    <cellStyle name="Обычный 7 6 5 2 2 3 3 3" xfId="33430"/>
    <cellStyle name="Обычный 7 6 5 2 2 3 4" xfId="33431"/>
    <cellStyle name="Обычный 7 6 5 2 2 3 4 2" xfId="33432"/>
    <cellStyle name="Обычный 7 6 5 2 2 3 5" xfId="33433"/>
    <cellStyle name="Обычный 7 6 5 2 2 3 6" xfId="33434"/>
    <cellStyle name="Обычный 7 6 5 2 2 4" xfId="33435"/>
    <cellStyle name="Обычный 7 6 5 2 2 4 2" xfId="33436"/>
    <cellStyle name="Обычный 7 6 5 2 2 4 3" xfId="33437"/>
    <cellStyle name="Обычный 7 6 5 2 2 5" xfId="33438"/>
    <cellStyle name="Обычный 7 6 5 2 2 5 2" xfId="33439"/>
    <cellStyle name="Обычный 7 6 5 2 2 5 3" xfId="33440"/>
    <cellStyle name="Обычный 7 6 5 2 2 6" xfId="33441"/>
    <cellStyle name="Обычный 7 6 5 2 2 6 2" xfId="33442"/>
    <cellStyle name="Обычный 7 6 5 2 2 7" xfId="33443"/>
    <cellStyle name="Обычный 7 6 5 2 2 8" xfId="33444"/>
    <cellStyle name="Обычный 7 6 5 2 3" xfId="33445"/>
    <cellStyle name="Обычный 7 6 5 2 3 2" xfId="33446"/>
    <cellStyle name="Обычный 7 6 5 2 3 2 2" xfId="33447"/>
    <cellStyle name="Обычный 7 6 5 2 3 2 2 2" xfId="33448"/>
    <cellStyle name="Обычный 7 6 5 2 3 2 2 3" xfId="33449"/>
    <cellStyle name="Обычный 7 6 5 2 3 2 3" xfId="33450"/>
    <cellStyle name="Обычный 7 6 5 2 3 2 3 2" xfId="33451"/>
    <cellStyle name="Обычный 7 6 5 2 3 2 3 3" xfId="33452"/>
    <cellStyle name="Обычный 7 6 5 2 3 2 4" xfId="33453"/>
    <cellStyle name="Обычный 7 6 5 2 3 2 4 2" xfId="33454"/>
    <cellStyle name="Обычный 7 6 5 2 3 2 5" xfId="33455"/>
    <cellStyle name="Обычный 7 6 5 2 3 2 6" xfId="33456"/>
    <cellStyle name="Обычный 7 6 5 2 3 3" xfId="33457"/>
    <cellStyle name="Обычный 7 6 5 2 3 3 2" xfId="33458"/>
    <cellStyle name="Обычный 7 6 5 2 3 3 3" xfId="33459"/>
    <cellStyle name="Обычный 7 6 5 2 3 4" xfId="33460"/>
    <cellStyle name="Обычный 7 6 5 2 3 4 2" xfId="33461"/>
    <cellStyle name="Обычный 7 6 5 2 3 4 3" xfId="33462"/>
    <cellStyle name="Обычный 7 6 5 2 3 5" xfId="33463"/>
    <cellStyle name="Обычный 7 6 5 2 3 5 2" xfId="33464"/>
    <cellStyle name="Обычный 7 6 5 2 3 6" xfId="33465"/>
    <cellStyle name="Обычный 7 6 5 2 3 7" xfId="33466"/>
    <cellStyle name="Обычный 7 6 5 2 4" xfId="33467"/>
    <cellStyle name="Обычный 7 6 5 2 4 2" xfId="33468"/>
    <cellStyle name="Обычный 7 6 5 2 4 2 2" xfId="33469"/>
    <cellStyle name="Обычный 7 6 5 2 4 2 3" xfId="33470"/>
    <cellStyle name="Обычный 7 6 5 2 4 3" xfId="33471"/>
    <cellStyle name="Обычный 7 6 5 2 4 3 2" xfId="33472"/>
    <cellStyle name="Обычный 7 6 5 2 4 3 3" xfId="33473"/>
    <cellStyle name="Обычный 7 6 5 2 4 4" xfId="33474"/>
    <cellStyle name="Обычный 7 6 5 2 4 4 2" xfId="33475"/>
    <cellStyle name="Обычный 7 6 5 2 4 5" xfId="33476"/>
    <cellStyle name="Обычный 7 6 5 2 4 6" xfId="33477"/>
    <cellStyle name="Обычный 7 6 5 2 5" xfId="33478"/>
    <cellStyle name="Обычный 7 6 5 2 5 2" xfId="33479"/>
    <cellStyle name="Обычный 7 6 5 2 5 3" xfId="33480"/>
    <cellStyle name="Обычный 7 6 5 2 6" xfId="33481"/>
    <cellStyle name="Обычный 7 6 5 2 6 2" xfId="33482"/>
    <cellStyle name="Обычный 7 6 5 2 6 3" xfId="33483"/>
    <cellStyle name="Обычный 7 6 5 2 7" xfId="33484"/>
    <cellStyle name="Обычный 7 6 5 2 7 2" xfId="33485"/>
    <cellStyle name="Обычный 7 6 5 2 8" xfId="33486"/>
    <cellStyle name="Обычный 7 6 5 2 9" xfId="33487"/>
    <cellStyle name="Обычный 7 6 5 3" xfId="33488"/>
    <cellStyle name="Обычный 7 6 5 3 2" xfId="33489"/>
    <cellStyle name="Обычный 7 6 5 3 2 2" xfId="33490"/>
    <cellStyle name="Обычный 7 6 5 3 2 2 2" xfId="33491"/>
    <cellStyle name="Обычный 7 6 5 3 2 2 2 2" xfId="33492"/>
    <cellStyle name="Обычный 7 6 5 3 2 2 2 3" xfId="33493"/>
    <cellStyle name="Обычный 7 6 5 3 2 2 3" xfId="33494"/>
    <cellStyle name="Обычный 7 6 5 3 2 2 3 2" xfId="33495"/>
    <cellStyle name="Обычный 7 6 5 3 2 2 3 3" xfId="33496"/>
    <cellStyle name="Обычный 7 6 5 3 2 2 4" xfId="33497"/>
    <cellStyle name="Обычный 7 6 5 3 2 2 4 2" xfId="33498"/>
    <cellStyle name="Обычный 7 6 5 3 2 2 5" xfId="33499"/>
    <cellStyle name="Обычный 7 6 5 3 2 2 6" xfId="33500"/>
    <cellStyle name="Обычный 7 6 5 3 2 3" xfId="33501"/>
    <cellStyle name="Обычный 7 6 5 3 2 3 2" xfId="33502"/>
    <cellStyle name="Обычный 7 6 5 3 2 3 3" xfId="33503"/>
    <cellStyle name="Обычный 7 6 5 3 2 4" xfId="33504"/>
    <cellStyle name="Обычный 7 6 5 3 2 4 2" xfId="33505"/>
    <cellStyle name="Обычный 7 6 5 3 2 4 3" xfId="33506"/>
    <cellStyle name="Обычный 7 6 5 3 2 5" xfId="33507"/>
    <cellStyle name="Обычный 7 6 5 3 2 5 2" xfId="33508"/>
    <cellStyle name="Обычный 7 6 5 3 2 6" xfId="33509"/>
    <cellStyle name="Обычный 7 6 5 3 2 7" xfId="33510"/>
    <cellStyle name="Обычный 7 6 5 3 3" xfId="33511"/>
    <cellStyle name="Обычный 7 6 5 3 3 2" xfId="33512"/>
    <cellStyle name="Обычный 7 6 5 3 3 2 2" xfId="33513"/>
    <cellStyle name="Обычный 7 6 5 3 3 2 3" xfId="33514"/>
    <cellStyle name="Обычный 7 6 5 3 3 3" xfId="33515"/>
    <cellStyle name="Обычный 7 6 5 3 3 3 2" xfId="33516"/>
    <cellStyle name="Обычный 7 6 5 3 3 3 3" xfId="33517"/>
    <cellStyle name="Обычный 7 6 5 3 3 4" xfId="33518"/>
    <cellStyle name="Обычный 7 6 5 3 3 4 2" xfId="33519"/>
    <cellStyle name="Обычный 7 6 5 3 3 5" xfId="33520"/>
    <cellStyle name="Обычный 7 6 5 3 3 6" xfId="33521"/>
    <cellStyle name="Обычный 7 6 5 3 4" xfId="33522"/>
    <cellStyle name="Обычный 7 6 5 3 4 2" xfId="33523"/>
    <cellStyle name="Обычный 7 6 5 3 4 3" xfId="33524"/>
    <cellStyle name="Обычный 7 6 5 3 5" xfId="33525"/>
    <cellStyle name="Обычный 7 6 5 3 5 2" xfId="33526"/>
    <cellStyle name="Обычный 7 6 5 3 5 3" xfId="33527"/>
    <cellStyle name="Обычный 7 6 5 3 6" xfId="33528"/>
    <cellStyle name="Обычный 7 6 5 3 6 2" xfId="33529"/>
    <cellStyle name="Обычный 7 6 5 3 7" xfId="33530"/>
    <cellStyle name="Обычный 7 6 5 3 8" xfId="33531"/>
    <cellStyle name="Обычный 7 6 5 4" xfId="33532"/>
    <cellStyle name="Обычный 7 6 5 4 2" xfId="33533"/>
    <cellStyle name="Обычный 7 6 5 4 2 2" xfId="33534"/>
    <cellStyle name="Обычный 7 6 5 4 2 2 2" xfId="33535"/>
    <cellStyle name="Обычный 7 6 5 4 2 2 3" xfId="33536"/>
    <cellStyle name="Обычный 7 6 5 4 2 3" xfId="33537"/>
    <cellStyle name="Обычный 7 6 5 4 2 3 2" xfId="33538"/>
    <cellStyle name="Обычный 7 6 5 4 2 3 3" xfId="33539"/>
    <cellStyle name="Обычный 7 6 5 4 2 4" xfId="33540"/>
    <cellStyle name="Обычный 7 6 5 4 2 4 2" xfId="33541"/>
    <cellStyle name="Обычный 7 6 5 4 2 5" xfId="33542"/>
    <cellStyle name="Обычный 7 6 5 4 2 6" xfId="33543"/>
    <cellStyle name="Обычный 7 6 5 4 3" xfId="33544"/>
    <cellStyle name="Обычный 7 6 5 4 3 2" xfId="33545"/>
    <cellStyle name="Обычный 7 6 5 4 3 3" xfId="33546"/>
    <cellStyle name="Обычный 7 6 5 4 4" xfId="33547"/>
    <cellStyle name="Обычный 7 6 5 4 4 2" xfId="33548"/>
    <cellStyle name="Обычный 7 6 5 4 4 3" xfId="33549"/>
    <cellStyle name="Обычный 7 6 5 4 5" xfId="33550"/>
    <cellStyle name="Обычный 7 6 5 4 5 2" xfId="33551"/>
    <cellStyle name="Обычный 7 6 5 4 6" xfId="33552"/>
    <cellStyle name="Обычный 7 6 5 4 7" xfId="33553"/>
    <cellStyle name="Обычный 7 6 5 5" xfId="33554"/>
    <cellStyle name="Обычный 7 6 5 5 2" xfId="33555"/>
    <cellStyle name="Обычный 7 6 5 5 2 2" xfId="33556"/>
    <cellStyle name="Обычный 7 6 5 5 2 3" xfId="33557"/>
    <cellStyle name="Обычный 7 6 5 5 3" xfId="33558"/>
    <cellStyle name="Обычный 7 6 5 5 3 2" xfId="33559"/>
    <cellStyle name="Обычный 7 6 5 5 3 3" xfId="33560"/>
    <cellStyle name="Обычный 7 6 5 5 4" xfId="33561"/>
    <cellStyle name="Обычный 7 6 5 5 4 2" xfId="33562"/>
    <cellStyle name="Обычный 7 6 5 5 5" xfId="33563"/>
    <cellStyle name="Обычный 7 6 5 5 6" xfId="33564"/>
    <cellStyle name="Обычный 7 6 5 6" xfId="33565"/>
    <cellStyle name="Обычный 7 6 5 6 2" xfId="33566"/>
    <cellStyle name="Обычный 7 6 5 6 3" xfId="33567"/>
    <cellStyle name="Обычный 7 6 5 7" xfId="33568"/>
    <cellStyle name="Обычный 7 6 5 7 2" xfId="33569"/>
    <cellStyle name="Обычный 7 6 5 7 3" xfId="33570"/>
    <cellStyle name="Обычный 7 6 5 8" xfId="33571"/>
    <cellStyle name="Обычный 7 6 5 8 2" xfId="33572"/>
    <cellStyle name="Обычный 7 6 5 9" xfId="33573"/>
    <cellStyle name="Обычный 7 6 6" xfId="33574"/>
    <cellStyle name="Обычный 7 6 6 2" xfId="33575"/>
    <cellStyle name="Обычный 7 6 6 2 2" xfId="33576"/>
    <cellStyle name="Обычный 7 6 6 2 2 2" xfId="33577"/>
    <cellStyle name="Обычный 7 6 6 2 2 2 2" xfId="33578"/>
    <cellStyle name="Обычный 7 6 6 2 2 2 2 2" xfId="33579"/>
    <cellStyle name="Обычный 7 6 6 2 2 2 2 3" xfId="33580"/>
    <cellStyle name="Обычный 7 6 6 2 2 2 3" xfId="33581"/>
    <cellStyle name="Обычный 7 6 6 2 2 2 3 2" xfId="33582"/>
    <cellStyle name="Обычный 7 6 6 2 2 2 3 3" xfId="33583"/>
    <cellStyle name="Обычный 7 6 6 2 2 2 4" xfId="33584"/>
    <cellStyle name="Обычный 7 6 6 2 2 2 4 2" xfId="33585"/>
    <cellStyle name="Обычный 7 6 6 2 2 2 5" xfId="33586"/>
    <cellStyle name="Обычный 7 6 6 2 2 2 6" xfId="33587"/>
    <cellStyle name="Обычный 7 6 6 2 2 3" xfId="33588"/>
    <cellStyle name="Обычный 7 6 6 2 2 3 2" xfId="33589"/>
    <cellStyle name="Обычный 7 6 6 2 2 3 3" xfId="33590"/>
    <cellStyle name="Обычный 7 6 6 2 2 4" xfId="33591"/>
    <cellStyle name="Обычный 7 6 6 2 2 4 2" xfId="33592"/>
    <cellStyle name="Обычный 7 6 6 2 2 4 3" xfId="33593"/>
    <cellStyle name="Обычный 7 6 6 2 2 5" xfId="33594"/>
    <cellStyle name="Обычный 7 6 6 2 2 5 2" xfId="33595"/>
    <cellStyle name="Обычный 7 6 6 2 2 6" xfId="33596"/>
    <cellStyle name="Обычный 7 6 6 2 2 7" xfId="33597"/>
    <cellStyle name="Обычный 7 6 6 2 3" xfId="33598"/>
    <cellStyle name="Обычный 7 6 6 2 3 2" xfId="33599"/>
    <cellStyle name="Обычный 7 6 6 2 3 2 2" xfId="33600"/>
    <cellStyle name="Обычный 7 6 6 2 3 2 3" xfId="33601"/>
    <cellStyle name="Обычный 7 6 6 2 3 3" xfId="33602"/>
    <cellStyle name="Обычный 7 6 6 2 3 3 2" xfId="33603"/>
    <cellStyle name="Обычный 7 6 6 2 3 3 3" xfId="33604"/>
    <cellStyle name="Обычный 7 6 6 2 3 4" xfId="33605"/>
    <cellStyle name="Обычный 7 6 6 2 3 4 2" xfId="33606"/>
    <cellStyle name="Обычный 7 6 6 2 3 5" xfId="33607"/>
    <cellStyle name="Обычный 7 6 6 2 3 6" xfId="33608"/>
    <cellStyle name="Обычный 7 6 6 2 4" xfId="33609"/>
    <cellStyle name="Обычный 7 6 6 2 4 2" xfId="33610"/>
    <cellStyle name="Обычный 7 6 6 2 4 3" xfId="33611"/>
    <cellStyle name="Обычный 7 6 6 2 5" xfId="33612"/>
    <cellStyle name="Обычный 7 6 6 2 5 2" xfId="33613"/>
    <cellStyle name="Обычный 7 6 6 2 5 3" xfId="33614"/>
    <cellStyle name="Обычный 7 6 6 2 6" xfId="33615"/>
    <cellStyle name="Обычный 7 6 6 2 6 2" xfId="33616"/>
    <cellStyle name="Обычный 7 6 6 2 7" xfId="33617"/>
    <cellStyle name="Обычный 7 6 6 2 8" xfId="33618"/>
    <cellStyle name="Обычный 7 6 6 3" xfId="33619"/>
    <cellStyle name="Обычный 7 6 6 3 2" xfId="33620"/>
    <cellStyle name="Обычный 7 6 6 3 2 2" xfId="33621"/>
    <cellStyle name="Обычный 7 6 6 3 2 2 2" xfId="33622"/>
    <cellStyle name="Обычный 7 6 6 3 2 2 3" xfId="33623"/>
    <cellStyle name="Обычный 7 6 6 3 2 3" xfId="33624"/>
    <cellStyle name="Обычный 7 6 6 3 2 3 2" xfId="33625"/>
    <cellStyle name="Обычный 7 6 6 3 2 3 3" xfId="33626"/>
    <cellStyle name="Обычный 7 6 6 3 2 4" xfId="33627"/>
    <cellStyle name="Обычный 7 6 6 3 2 4 2" xfId="33628"/>
    <cellStyle name="Обычный 7 6 6 3 2 5" xfId="33629"/>
    <cellStyle name="Обычный 7 6 6 3 2 6" xfId="33630"/>
    <cellStyle name="Обычный 7 6 6 3 3" xfId="33631"/>
    <cellStyle name="Обычный 7 6 6 3 3 2" xfId="33632"/>
    <cellStyle name="Обычный 7 6 6 3 3 3" xfId="33633"/>
    <cellStyle name="Обычный 7 6 6 3 4" xfId="33634"/>
    <cellStyle name="Обычный 7 6 6 3 4 2" xfId="33635"/>
    <cellStyle name="Обычный 7 6 6 3 4 3" xfId="33636"/>
    <cellStyle name="Обычный 7 6 6 3 5" xfId="33637"/>
    <cellStyle name="Обычный 7 6 6 3 5 2" xfId="33638"/>
    <cellStyle name="Обычный 7 6 6 3 6" xfId="33639"/>
    <cellStyle name="Обычный 7 6 6 3 7" xfId="33640"/>
    <cellStyle name="Обычный 7 6 6 4" xfId="33641"/>
    <cellStyle name="Обычный 7 6 6 4 2" xfId="33642"/>
    <cellStyle name="Обычный 7 6 6 4 2 2" xfId="33643"/>
    <cellStyle name="Обычный 7 6 6 4 2 3" xfId="33644"/>
    <cellStyle name="Обычный 7 6 6 4 3" xfId="33645"/>
    <cellStyle name="Обычный 7 6 6 4 3 2" xfId="33646"/>
    <cellStyle name="Обычный 7 6 6 4 3 3" xfId="33647"/>
    <cellStyle name="Обычный 7 6 6 4 4" xfId="33648"/>
    <cellStyle name="Обычный 7 6 6 4 4 2" xfId="33649"/>
    <cellStyle name="Обычный 7 6 6 4 5" xfId="33650"/>
    <cellStyle name="Обычный 7 6 6 4 6" xfId="33651"/>
    <cellStyle name="Обычный 7 6 6 5" xfId="33652"/>
    <cellStyle name="Обычный 7 6 6 5 2" xfId="33653"/>
    <cellStyle name="Обычный 7 6 6 5 3" xfId="33654"/>
    <cellStyle name="Обычный 7 6 6 6" xfId="33655"/>
    <cellStyle name="Обычный 7 6 6 6 2" xfId="33656"/>
    <cellStyle name="Обычный 7 6 6 6 3" xfId="33657"/>
    <cellStyle name="Обычный 7 6 6 7" xfId="33658"/>
    <cellStyle name="Обычный 7 6 6 7 2" xfId="33659"/>
    <cellStyle name="Обычный 7 6 6 8" xfId="33660"/>
    <cellStyle name="Обычный 7 6 6 9" xfId="33661"/>
    <cellStyle name="Обычный 7 6 7" xfId="33662"/>
    <cellStyle name="Обычный 7 6 7 2" xfId="33663"/>
    <cellStyle name="Обычный 7 6 7 2 2" xfId="33664"/>
    <cellStyle name="Обычный 7 6 7 2 2 2" xfId="33665"/>
    <cellStyle name="Обычный 7 6 7 2 2 2 2" xfId="33666"/>
    <cellStyle name="Обычный 7 6 7 2 2 2 3" xfId="33667"/>
    <cellStyle name="Обычный 7 6 7 2 2 3" xfId="33668"/>
    <cellStyle name="Обычный 7 6 7 2 2 3 2" xfId="33669"/>
    <cellStyle name="Обычный 7 6 7 2 2 3 3" xfId="33670"/>
    <cellStyle name="Обычный 7 6 7 2 2 4" xfId="33671"/>
    <cellStyle name="Обычный 7 6 7 2 2 4 2" xfId="33672"/>
    <cellStyle name="Обычный 7 6 7 2 2 5" xfId="33673"/>
    <cellStyle name="Обычный 7 6 7 2 2 6" xfId="33674"/>
    <cellStyle name="Обычный 7 6 7 2 3" xfId="33675"/>
    <cellStyle name="Обычный 7 6 7 2 3 2" xfId="33676"/>
    <cellStyle name="Обычный 7 6 7 2 3 3" xfId="33677"/>
    <cellStyle name="Обычный 7 6 7 2 4" xfId="33678"/>
    <cellStyle name="Обычный 7 6 7 2 4 2" xfId="33679"/>
    <cellStyle name="Обычный 7 6 7 2 4 3" xfId="33680"/>
    <cellStyle name="Обычный 7 6 7 2 5" xfId="33681"/>
    <cellStyle name="Обычный 7 6 7 2 5 2" xfId="33682"/>
    <cellStyle name="Обычный 7 6 7 2 6" xfId="33683"/>
    <cellStyle name="Обычный 7 6 7 2 7" xfId="33684"/>
    <cellStyle name="Обычный 7 6 7 3" xfId="33685"/>
    <cellStyle name="Обычный 7 6 7 3 2" xfId="33686"/>
    <cellStyle name="Обычный 7 6 7 3 2 2" xfId="33687"/>
    <cellStyle name="Обычный 7 6 7 3 2 3" xfId="33688"/>
    <cellStyle name="Обычный 7 6 7 3 3" xfId="33689"/>
    <cellStyle name="Обычный 7 6 7 3 3 2" xfId="33690"/>
    <cellStyle name="Обычный 7 6 7 3 3 3" xfId="33691"/>
    <cellStyle name="Обычный 7 6 7 3 4" xfId="33692"/>
    <cellStyle name="Обычный 7 6 7 3 4 2" xfId="33693"/>
    <cellStyle name="Обычный 7 6 7 3 5" xfId="33694"/>
    <cellStyle name="Обычный 7 6 7 3 6" xfId="33695"/>
    <cellStyle name="Обычный 7 6 7 4" xfId="33696"/>
    <cellStyle name="Обычный 7 6 7 4 2" xfId="33697"/>
    <cellStyle name="Обычный 7 6 7 4 3" xfId="33698"/>
    <cellStyle name="Обычный 7 6 7 5" xfId="33699"/>
    <cellStyle name="Обычный 7 6 7 5 2" xfId="33700"/>
    <cellStyle name="Обычный 7 6 7 5 3" xfId="33701"/>
    <cellStyle name="Обычный 7 6 7 6" xfId="33702"/>
    <cellStyle name="Обычный 7 6 7 6 2" xfId="33703"/>
    <cellStyle name="Обычный 7 6 7 7" xfId="33704"/>
    <cellStyle name="Обычный 7 6 7 8" xfId="33705"/>
    <cellStyle name="Обычный 7 6 8" xfId="33706"/>
    <cellStyle name="Обычный 7 6 8 2" xfId="33707"/>
    <cellStyle name="Обычный 7 6 8 2 2" xfId="33708"/>
    <cellStyle name="Обычный 7 6 8 2 2 2" xfId="33709"/>
    <cellStyle name="Обычный 7 6 8 2 2 3" xfId="33710"/>
    <cellStyle name="Обычный 7 6 8 2 3" xfId="33711"/>
    <cellStyle name="Обычный 7 6 8 2 3 2" xfId="33712"/>
    <cellStyle name="Обычный 7 6 8 2 3 3" xfId="33713"/>
    <cellStyle name="Обычный 7 6 8 2 4" xfId="33714"/>
    <cellStyle name="Обычный 7 6 8 2 4 2" xfId="33715"/>
    <cellStyle name="Обычный 7 6 8 2 5" xfId="33716"/>
    <cellStyle name="Обычный 7 6 8 2 6" xfId="33717"/>
    <cellStyle name="Обычный 7 6 8 3" xfId="33718"/>
    <cellStyle name="Обычный 7 6 8 3 2" xfId="33719"/>
    <cellStyle name="Обычный 7 6 8 3 3" xfId="33720"/>
    <cellStyle name="Обычный 7 6 8 4" xfId="33721"/>
    <cellStyle name="Обычный 7 6 8 4 2" xfId="33722"/>
    <cellStyle name="Обычный 7 6 8 4 3" xfId="33723"/>
    <cellStyle name="Обычный 7 6 8 5" xfId="33724"/>
    <cellStyle name="Обычный 7 6 8 5 2" xfId="33725"/>
    <cellStyle name="Обычный 7 6 8 6" xfId="33726"/>
    <cellStyle name="Обычный 7 6 8 7" xfId="33727"/>
    <cellStyle name="Обычный 7 6 9" xfId="33728"/>
    <cellStyle name="Обычный 7 6 9 2" xfId="33729"/>
    <cellStyle name="Обычный 7 6 9 2 2" xfId="33730"/>
    <cellStyle name="Обычный 7 6 9 2 3" xfId="33731"/>
    <cellStyle name="Обычный 7 6 9 3" xfId="33732"/>
    <cellStyle name="Обычный 7 6 9 3 2" xfId="33733"/>
    <cellStyle name="Обычный 7 6 9 3 3" xfId="33734"/>
    <cellStyle name="Обычный 7 6 9 4" xfId="33735"/>
    <cellStyle name="Обычный 7 6 9 4 2" xfId="33736"/>
    <cellStyle name="Обычный 7 6 9 5" xfId="33737"/>
    <cellStyle name="Обычный 7 6 9 6" xfId="33738"/>
    <cellStyle name="Обычный 7 7" xfId="33739"/>
    <cellStyle name="Обычный 7 7 10" xfId="33740"/>
    <cellStyle name="Обычный 7 7 10 2" xfId="33741"/>
    <cellStyle name="Обычный 7 7 10 3" xfId="33742"/>
    <cellStyle name="Обычный 7 7 11" xfId="33743"/>
    <cellStyle name="Обычный 7 7 11 2" xfId="33744"/>
    <cellStyle name="Обычный 7 7 11 3" xfId="33745"/>
    <cellStyle name="Обычный 7 7 12" xfId="33746"/>
    <cellStyle name="Обычный 7 7 12 2" xfId="33747"/>
    <cellStyle name="Обычный 7 7 13" xfId="33748"/>
    <cellStyle name="Обычный 7 7 14" xfId="33749"/>
    <cellStyle name="Обычный 7 7 2" xfId="33750"/>
    <cellStyle name="Обычный 7 7 2 10" xfId="33751"/>
    <cellStyle name="Обычный 7 7 2 10 2" xfId="33752"/>
    <cellStyle name="Обычный 7 7 2 10 3" xfId="33753"/>
    <cellStyle name="Обычный 7 7 2 11" xfId="33754"/>
    <cellStyle name="Обычный 7 7 2 11 2" xfId="33755"/>
    <cellStyle name="Обычный 7 7 2 12" xfId="33756"/>
    <cellStyle name="Обычный 7 7 2 13" xfId="33757"/>
    <cellStyle name="Обычный 7 7 2 2" xfId="33758"/>
    <cellStyle name="Обычный 7 7 2 2 10" xfId="33759"/>
    <cellStyle name="Обычный 7 7 2 2 2" xfId="33760"/>
    <cellStyle name="Обычный 7 7 2 2 2 2" xfId="33761"/>
    <cellStyle name="Обычный 7 7 2 2 2 2 2" xfId="33762"/>
    <cellStyle name="Обычный 7 7 2 2 2 2 2 2" xfId="33763"/>
    <cellStyle name="Обычный 7 7 2 2 2 2 2 2 2" xfId="33764"/>
    <cellStyle name="Обычный 7 7 2 2 2 2 2 2 2 2" xfId="33765"/>
    <cellStyle name="Обычный 7 7 2 2 2 2 2 2 2 3" xfId="33766"/>
    <cellStyle name="Обычный 7 7 2 2 2 2 2 2 3" xfId="33767"/>
    <cellStyle name="Обычный 7 7 2 2 2 2 2 2 3 2" xfId="33768"/>
    <cellStyle name="Обычный 7 7 2 2 2 2 2 2 3 3" xfId="33769"/>
    <cellStyle name="Обычный 7 7 2 2 2 2 2 2 4" xfId="33770"/>
    <cellStyle name="Обычный 7 7 2 2 2 2 2 2 4 2" xfId="33771"/>
    <cellStyle name="Обычный 7 7 2 2 2 2 2 2 5" xfId="33772"/>
    <cellStyle name="Обычный 7 7 2 2 2 2 2 2 6" xfId="33773"/>
    <cellStyle name="Обычный 7 7 2 2 2 2 2 3" xfId="33774"/>
    <cellStyle name="Обычный 7 7 2 2 2 2 2 3 2" xfId="33775"/>
    <cellStyle name="Обычный 7 7 2 2 2 2 2 3 3" xfId="33776"/>
    <cellStyle name="Обычный 7 7 2 2 2 2 2 4" xfId="33777"/>
    <cellStyle name="Обычный 7 7 2 2 2 2 2 4 2" xfId="33778"/>
    <cellStyle name="Обычный 7 7 2 2 2 2 2 4 3" xfId="33779"/>
    <cellStyle name="Обычный 7 7 2 2 2 2 2 5" xfId="33780"/>
    <cellStyle name="Обычный 7 7 2 2 2 2 2 5 2" xfId="33781"/>
    <cellStyle name="Обычный 7 7 2 2 2 2 2 6" xfId="33782"/>
    <cellStyle name="Обычный 7 7 2 2 2 2 2 7" xfId="33783"/>
    <cellStyle name="Обычный 7 7 2 2 2 2 3" xfId="33784"/>
    <cellStyle name="Обычный 7 7 2 2 2 2 3 2" xfId="33785"/>
    <cellStyle name="Обычный 7 7 2 2 2 2 3 2 2" xfId="33786"/>
    <cellStyle name="Обычный 7 7 2 2 2 2 3 2 3" xfId="33787"/>
    <cellStyle name="Обычный 7 7 2 2 2 2 3 3" xfId="33788"/>
    <cellStyle name="Обычный 7 7 2 2 2 2 3 3 2" xfId="33789"/>
    <cellStyle name="Обычный 7 7 2 2 2 2 3 3 3" xfId="33790"/>
    <cellStyle name="Обычный 7 7 2 2 2 2 3 4" xfId="33791"/>
    <cellStyle name="Обычный 7 7 2 2 2 2 3 4 2" xfId="33792"/>
    <cellStyle name="Обычный 7 7 2 2 2 2 3 5" xfId="33793"/>
    <cellStyle name="Обычный 7 7 2 2 2 2 3 6" xfId="33794"/>
    <cellStyle name="Обычный 7 7 2 2 2 2 4" xfId="33795"/>
    <cellStyle name="Обычный 7 7 2 2 2 2 4 2" xfId="33796"/>
    <cellStyle name="Обычный 7 7 2 2 2 2 4 3" xfId="33797"/>
    <cellStyle name="Обычный 7 7 2 2 2 2 5" xfId="33798"/>
    <cellStyle name="Обычный 7 7 2 2 2 2 5 2" xfId="33799"/>
    <cellStyle name="Обычный 7 7 2 2 2 2 5 3" xfId="33800"/>
    <cellStyle name="Обычный 7 7 2 2 2 2 6" xfId="33801"/>
    <cellStyle name="Обычный 7 7 2 2 2 2 6 2" xfId="33802"/>
    <cellStyle name="Обычный 7 7 2 2 2 2 7" xfId="33803"/>
    <cellStyle name="Обычный 7 7 2 2 2 2 8" xfId="33804"/>
    <cellStyle name="Обычный 7 7 2 2 2 3" xfId="33805"/>
    <cellStyle name="Обычный 7 7 2 2 2 3 2" xfId="33806"/>
    <cellStyle name="Обычный 7 7 2 2 2 3 2 2" xfId="33807"/>
    <cellStyle name="Обычный 7 7 2 2 2 3 2 2 2" xfId="33808"/>
    <cellStyle name="Обычный 7 7 2 2 2 3 2 2 3" xfId="33809"/>
    <cellStyle name="Обычный 7 7 2 2 2 3 2 3" xfId="33810"/>
    <cellStyle name="Обычный 7 7 2 2 2 3 2 3 2" xfId="33811"/>
    <cellStyle name="Обычный 7 7 2 2 2 3 2 3 3" xfId="33812"/>
    <cellStyle name="Обычный 7 7 2 2 2 3 2 4" xfId="33813"/>
    <cellStyle name="Обычный 7 7 2 2 2 3 2 4 2" xfId="33814"/>
    <cellStyle name="Обычный 7 7 2 2 2 3 2 5" xfId="33815"/>
    <cellStyle name="Обычный 7 7 2 2 2 3 2 6" xfId="33816"/>
    <cellStyle name="Обычный 7 7 2 2 2 3 3" xfId="33817"/>
    <cellStyle name="Обычный 7 7 2 2 2 3 3 2" xfId="33818"/>
    <cellStyle name="Обычный 7 7 2 2 2 3 3 3" xfId="33819"/>
    <cellStyle name="Обычный 7 7 2 2 2 3 4" xfId="33820"/>
    <cellStyle name="Обычный 7 7 2 2 2 3 4 2" xfId="33821"/>
    <cellStyle name="Обычный 7 7 2 2 2 3 4 3" xfId="33822"/>
    <cellStyle name="Обычный 7 7 2 2 2 3 5" xfId="33823"/>
    <cellStyle name="Обычный 7 7 2 2 2 3 5 2" xfId="33824"/>
    <cellStyle name="Обычный 7 7 2 2 2 3 6" xfId="33825"/>
    <cellStyle name="Обычный 7 7 2 2 2 3 7" xfId="33826"/>
    <cellStyle name="Обычный 7 7 2 2 2 4" xfId="33827"/>
    <cellStyle name="Обычный 7 7 2 2 2 4 2" xfId="33828"/>
    <cellStyle name="Обычный 7 7 2 2 2 4 2 2" xfId="33829"/>
    <cellStyle name="Обычный 7 7 2 2 2 4 2 3" xfId="33830"/>
    <cellStyle name="Обычный 7 7 2 2 2 4 3" xfId="33831"/>
    <cellStyle name="Обычный 7 7 2 2 2 4 3 2" xfId="33832"/>
    <cellStyle name="Обычный 7 7 2 2 2 4 3 3" xfId="33833"/>
    <cellStyle name="Обычный 7 7 2 2 2 4 4" xfId="33834"/>
    <cellStyle name="Обычный 7 7 2 2 2 4 4 2" xfId="33835"/>
    <cellStyle name="Обычный 7 7 2 2 2 4 5" xfId="33836"/>
    <cellStyle name="Обычный 7 7 2 2 2 4 6" xfId="33837"/>
    <cellStyle name="Обычный 7 7 2 2 2 5" xfId="33838"/>
    <cellStyle name="Обычный 7 7 2 2 2 5 2" xfId="33839"/>
    <cellStyle name="Обычный 7 7 2 2 2 5 3" xfId="33840"/>
    <cellStyle name="Обычный 7 7 2 2 2 6" xfId="33841"/>
    <cellStyle name="Обычный 7 7 2 2 2 6 2" xfId="33842"/>
    <cellStyle name="Обычный 7 7 2 2 2 6 3" xfId="33843"/>
    <cellStyle name="Обычный 7 7 2 2 2 7" xfId="33844"/>
    <cellStyle name="Обычный 7 7 2 2 2 7 2" xfId="33845"/>
    <cellStyle name="Обычный 7 7 2 2 2 8" xfId="33846"/>
    <cellStyle name="Обычный 7 7 2 2 2 9" xfId="33847"/>
    <cellStyle name="Обычный 7 7 2 2 3" xfId="33848"/>
    <cellStyle name="Обычный 7 7 2 2 3 2" xfId="33849"/>
    <cellStyle name="Обычный 7 7 2 2 3 2 2" xfId="33850"/>
    <cellStyle name="Обычный 7 7 2 2 3 2 2 2" xfId="33851"/>
    <cellStyle name="Обычный 7 7 2 2 3 2 2 2 2" xfId="33852"/>
    <cellStyle name="Обычный 7 7 2 2 3 2 2 2 3" xfId="33853"/>
    <cellStyle name="Обычный 7 7 2 2 3 2 2 3" xfId="33854"/>
    <cellStyle name="Обычный 7 7 2 2 3 2 2 3 2" xfId="33855"/>
    <cellStyle name="Обычный 7 7 2 2 3 2 2 3 3" xfId="33856"/>
    <cellStyle name="Обычный 7 7 2 2 3 2 2 4" xfId="33857"/>
    <cellStyle name="Обычный 7 7 2 2 3 2 2 4 2" xfId="33858"/>
    <cellStyle name="Обычный 7 7 2 2 3 2 2 5" xfId="33859"/>
    <cellStyle name="Обычный 7 7 2 2 3 2 2 6" xfId="33860"/>
    <cellStyle name="Обычный 7 7 2 2 3 2 3" xfId="33861"/>
    <cellStyle name="Обычный 7 7 2 2 3 2 3 2" xfId="33862"/>
    <cellStyle name="Обычный 7 7 2 2 3 2 3 3" xfId="33863"/>
    <cellStyle name="Обычный 7 7 2 2 3 2 4" xfId="33864"/>
    <cellStyle name="Обычный 7 7 2 2 3 2 4 2" xfId="33865"/>
    <cellStyle name="Обычный 7 7 2 2 3 2 4 3" xfId="33866"/>
    <cellStyle name="Обычный 7 7 2 2 3 2 5" xfId="33867"/>
    <cellStyle name="Обычный 7 7 2 2 3 2 5 2" xfId="33868"/>
    <cellStyle name="Обычный 7 7 2 2 3 2 6" xfId="33869"/>
    <cellStyle name="Обычный 7 7 2 2 3 2 7" xfId="33870"/>
    <cellStyle name="Обычный 7 7 2 2 3 3" xfId="33871"/>
    <cellStyle name="Обычный 7 7 2 2 3 3 2" xfId="33872"/>
    <cellStyle name="Обычный 7 7 2 2 3 3 2 2" xfId="33873"/>
    <cellStyle name="Обычный 7 7 2 2 3 3 2 3" xfId="33874"/>
    <cellStyle name="Обычный 7 7 2 2 3 3 3" xfId="33875"/>
    <cellStyle name="Обычный 7 7 2 2 3 3 3 2" xfId="33876"/>
    <cellStyle name="Обычный 7 7 2 2 3 3 3 3" xfId="33877"/>
    <cellStyle name="Обычный 7 7 2 2 3 3 4" xfId="33878"/>
    <cellStyle name="Обычный 7 7 2 2 3 3 4 2" xfId="33879"/>
    <cellStyle name="Обычный 7 7 2 2 3 3 5" xfId="33880"/>
    <cellStyle name="Обычный 7 7 2 2 3 3 6" xfId="33881"/>
    <cellStyle name="Обычный 7 7 2 2 3 4" xfId="33882"/>
    <cellStyle name="Обычный 7 7 2 2 3 4 2" xfId="33883"/>
    <cellStyle name="Обычный 7 7 2 2 3 4 3" xfId="33884"/>
    <cellStyle name="Обычный 7 7 2 2 3 5" xfId="33885"/>
    <cellStyle name="Обычный 7 7 2 2 3 5 2" xfId="33886"/>
    <cellStyle name="Обычный 7 7 2 2 3 5 3" xfId="33887"/>
    <cellStyle name="Обычный 7 7 2 2 3 6" xfId="33888"/>
    <cellStyle name="Обычный 7 7 2 2 3 6 2" xfId="33889"/>
    <cellStyle name="Обычный 7 7 2 2 3 7" xfId="33890"/>
    <cellStyle name="Обычный 7 7 2 2 3 8" xfId="33891"/>
    <cellStyle name="Обычный 7 7 2 2 4" xfId="33892"/>
    <cellStyle name="Обычный 7 7 2 2 4 2" xfId="33893"/>
    <cellStyle name="Обычный 7 7 2 2 4 2 2" xfId="33894"/>
    <cellStyle name="Обычный 7 7 2 2 4 2 2 2" xfId="33895"/>
    <cellStyle name="Обычный 7 7 2 2 4 2 2 3" xfId="33896"/>
    <cellStyle name="Обычный 7 7 2 2 4 2 3" xfId="33897"/>
    <cellStyle name="Обычный 7 7 2 2 4 2 3 2" xfId="33898"/>
    <cellStyle name="Обычный 7 7 2 2 4 2 3 3" xfId="33899"/>
    <cellStyle name="Обычный 7 7 2 2 4 2 4" xfId="33900"/>
    <cellStyle name="Обычный 7 7 2 2 4 2 4 2" xfId="33901"/>
    <cellStyle name="Обычный 7 7 2 2 4 2 5" xfId="33902"/>
    <cellStyle name="Обычный 7 7 2 2 4 2 6" xfId="33903"/>
    <cellStyle name="Обычный 7 7 2 2 4 3" xfId="33904"/>
    <cellStyle name="Обычный 7 7 2 2 4 3 2" xfId="33905"/>
    <cellStyle name="Обычный 7 7 2 2 4 3 3" xfId="33906"/>
    <cellStyle name="Обычный 7 7 2 2 4 4" xfId="33907"/>
    <cellStyle name="Обычный 7 7 2 2 4 4 2" xfId="33908"/>
    <cellStyle name="Обычный 7 7 2 2 4 4 3" xfId="33909"/>
    <cellStyle name="Обычный 7 7 2 2 4 5" xfId="33910"/>
    <cellStyle name="Обычный 7 7 2 2 4 5 2" xfId="33911"/>
    <cellStyle name="Обычный 7 7 2 2 4 6" xfId="33912"/>
    <cellStyle name="Обычный 7 7 2 2 4 7" xfId="33913"/>
    <cellStyle name="Обычный 7 7 2 2 5" xfId="33914"/>
    <cellStyle name="Обычный 7 7 2 2 5 2" xfId="33915"/>
    <cellStyle name="Обычный 7 7 2 2 5 2 2" xfId="33916"/>
    <cellStyle name="Обычный 7 7 2 2 5 2 3" xfId="33917"/>
    <cellStyle name="Обычный 7 7 2 2 5 3" xfId="33918"/>
    <cellStyle name="Обычный 7 7 2 2 5 3 2" xfId="33919"/>
    <cellStyle name="Обычный 7 7 2 2 5 3 3" xfId="33920"/>
    <cellStyle name="Обычный 7 7 2 2 5 4" xfId="33921"/>
    <cellStyle name="Обычный 7 7 2 2 5 4 2" xfId="33922"/>
    <cellStyle name="Обычный 7 7 2 2 5 5" xfId="33923"/>
    <cellStyle name="Обычный 7 7 2 2 5 6" xfId="33924"/>
    <cellStyle name="Обычный 7 7 2 2 6" xfId="33925"/>
    <cellStyle name="Обычный 7 7 2 2 6 2" xfId="33926"/>
    <cellStyle name="Обычный 7 7 2 2 6 3" xfId="33927"/>
    <cellStyle name="Обычный 7 7 2 2 7" xfId="33928"/>
    <cellStyle name="Обычный 7 7 2 2 7 2" xfId="33929"/>
    <cellStyle name="Обычный 7 7 2 2 7 3" xfId="33930"/>
    <cellStyle name="Обычный 7 7 2 2 8" xfId="33931"/>
    <cellStyle name="Обычный 7 7 2 2 8 2" xfId="33932"/>
    <cellStyle name="Обычный 7 7 2 2 9" xfId="33933"/>
    <cellStyle name="Обычный 7 7 2 3" xfId="33934"/>
    <cellStyle name="Обычный 7 7 2 3 10" xfId="33935"/>
    <cellStyle name="Обычный 7 7 2 3 2" xfId="33936"/>
    <cellStyle name="Обычный 7 7 2 3 2 2" xfId="33937"/>
    <cellStyle name="Обычный 7 7 2 3 2 2 2" xfId="33938"/>
    <cellStyle name="Обычный 7 7 2 3 2 2 2 2" xfId="33939"/>
    <cellStyle name="Обычный 7 7 2 3 2 2 2 2 2" xfId="33940"/>
    <cellStyle name="Обычный 7 7 2 3 2 2 2 2 2 2" xfId="33941"/>
    <cellStyle name="Обычный 7 7 2 3 2 2 2 2 2 3" xfId="33942"/>
    <cellStyle name="Обычный 7 7 2 3 2 2 2 2 3" xfId="33943"/>
    <cellStyle name="Обычный 7 7 2 3 2 2 2 2 3 2" xfId="33944"/>
    <cellStyle name="Обычный 7 7 2 3 2 2 2 2 3 3" xfId="33945"/>
    <cellStyle name="Обычный 7 7 2 3 2 2 2 2 4" xfId="33946"/>
    <cellStyle name="Обычный 7 7 2 3 2 2 2 2 4 2" xfId="33947"/>
    <cellStyle name="Обычный 7 7 2 3 2 2 2 2 5" xfId="33948"/>
    <cellStyle name="Обычный 7 7 2 3 2 2 2 2 6" xfId="33949"/>
    <cellStyle name="Обычный 7 7 2 3 2 2 2 3" xfId="33950"/>
    <cellStyle name="Обычный 7 7 2 3 2 2 2 3 2" xfId="33951"/>
    <cellStyle name="Обычный 7 7 2 3 2 2 2 3 3" xfId="33952"/>
    <cellStyle name="Обычный 7 7 2 3 2 2 2 4" xfId="33953"/>
    <cellStyle name="Обычный 7 7 2 3 2 2 2 4 2" xfId="33954"/>
    <cellStyle name="Обычный 7 7 2 3 2 2 2 4 3" xfId="33955"/>
    <cellStyle name="Обычный 7 7 2 3 2 2 2 5" xfId="33956"/>
    <cellStyle name="Обычный 7 7 2 3 2 2 2 5 2" xfId="33957"/>
    <cellStyle name="Обычный 7 7 2 3 2 2 2 6" xfId="33958"/>
    <cellStyle name="Обычный 7 7 2 3 2 2 2 7" xfId="33959"/>
    <cellStyle name="Обычный 7 7 2 3 2 2 3" xfId="33960"/>
    <cellStyle name="Обычный 7 7 2 3 2 2 3 2" xfId="33961"/>
    <cellStyle name="Обычный 7 7 2 3 2 2 3 2 2" xfId="33962"/>
    <cellStyle name="Обычный 7 7 2 3 2 2 3 2 3" xfId="33963"/>
    <cellStyle name="Обычный 7 7 2 3 2 2 3 3" xfId="33964"/>
    <cellStyle name="Обычный 7 7 2 3 2 2 3 3 2" xfId="33965"/>
    <cellStyle name="Обычный 7 7 2 3 2 2 3 3 3" xfId="33966"/>
    <cellStyle name="Обычный 7 7 2 3 2 2 3 4" xfId="33967"/>
    <cellStyle name="Обычный 7 7 2 3 2 2 3 4 2" xfId="33968"/>
    <cellStyle name="Обычный 7 7 2 3 2 2 3 5" xfId="33969"/>
    <cellStyle name="Обычный 7 7 2 3 2 2 3 6" xfId="33970"/>
    <cellStyle name="Обычный 7 7 2 3 2 2 4" xfId="33971"/>
    <cellStyle name="Обычный 7 7 2 3 2 2 4 2" xfId="33972"/>
    <cellStyle name="Обычный 7 7 2 3 2 2 4 3" xfId="33973"/>
    <cellStyle name="Обычный 7 7 2 3 2 2 5" xfId="33974"/>
    <cellStyle name="Обычный 7 7 2 3 2 2 5 2" xfId="33975"/>
    <cellStyle name="Обычный 7 7 2 3 2 2 5 3" xfId="33976"/>
    <cellStyle name="Обычный 7 7 2 3 2 2 6" xfId="33977"/>
    <cellStyle name="Обычный 7 7 2 3 2 2 6 2" xfId="33978"/>
    <cellStyle name="Обычный 7 7 2 3 2 2 7" xfId="33979"/>
    <cellStyle name="Обычный 7 7 2 3 2 2 8" xfId="33980"/>
    <cellStyle name="Обычный 7 7 2 3 2 3" xfId="33981"/>
    <cellStyle name="Обычный 7 7 2 3 2 3 2" xfId="33982"/>
    <cellStyle name="Обычный 7 7 2 3 2 3 2 2" xfId="33983"/>
    <cellStyle name="Обычный 7 7 2 3 2 3 2 2 2" xfId="33984"/>
    <cellStyle name="Обычный 7 7 2 3 2 3 2 2 3" xfId="33985"/>
    <cellStyle name="Обычный 7 7 2 3 2 3 2 3" xfId="33986"/>
    <cellStyle name="Обычный 7 7 2 3 2 3 2 3 2" xfId="33987"/>
    <cellStyle name="Обычный 7 7 2 3 2 3 2 3 3" xfId="33988"/>
    <cellStyle name="Обычный 7 7 2 3 2 3 2 4" xfId="33989"/>
    <cellStyle name="Обычный 7 7 2 3 2 3 2 4 2" xfId="33990"/>
    <cellStyle name="Обычный 7 7 2 3 2 3 2 5" xfId="33991"/>
    <cellStyle name="Обычный 7 7 2 3 2 3 2 6" xfId="33992"/>
    <cellStyle name="Обычный 7 7 2 3 2 3 3" xfId="33993"/>
    <cellStyle name="Обычный 7 7 2 3 2 3 3 2" xfId="33994"/>
    <cellStyle name="Обычный 7 7 2 3 2 3 3 3" xfId="33995"/>
    <cellStyle name="Обычный 7 7 2 3 2 3 4" xfId="33996"/>
    <cellStyle name="Обычный 7 7 2 3 2 3 4 2" xfId="33997"/>
    <cellStyle name="Обычный 7 7 2 3 2 3 4 3" xfId="33998"/>
    <cellStyle name="Обычный 7 7 2 3 2 3 5" xfId="33999"/>
    <cellStyle name="Обычный 7 7 2 3 2 3 5 2" xfId="34000"/>
    <cellStyle name="Обычный 7 7 2 3 2 3 6" xfId="34001"/>
    <cellStyle name="Обычный 7 7 2 3 2 3 7" xfId="34002"/>
    <cellStyle name="Обычный 7 7 2 3 2 4" xfId="34003"/>
    <cellStyle name="Обычный 7 7 2 3 2 4 2" xfId="34004"/>
    <cellStyle name="Обычный 7 7 2 3 2 4 2 2" xfId="34005"/>
    <cellStyle name="Обычный 7 7 2 3 2 4 2 3" xfId="34006"/>
    <cellStyle name="Обычный 7 7 2 3 2 4 3" xfId="34007"/>
    <cellStyle name="Обычный 7 7 2 3 2 4 3 2" xfId="34008"/>
    <cellStyle name="Обычный 7 7 2 3 2 4 3 3" xfId="34009"/>
    <cellStyle name="Обычный 7 7 2 3 2 4 4" xfId="34010"/>
    <cellStyle name="Обычный 7 7 2 3 2 4 4 2" xfId="34011"/>
    <cellStyle name="Обычный 7 7 2 3 2 4 5" xfId="34012"/>
    <cellStyle name="Обычный 7 7 2 3 2 4 6" xfId="34013"/>
    <cellStyle name="Обычный 7 7 2 3 2 5" xfId="34014"/>
    <cellStyle name="Обычный 7 7 2 3 2 5 2" xfId="34015"/>
    <cellStyle name="Обычный 7 7 2 3 2 5 3" xfId="34016"/>
    <cellStyle name="Обычный 7 7 2 3 2 6" xfId="34017"/>
    <cellStyle name="Обычный 7 7 2 3 2 6 2" xfId="34018"/>
    <cellStyle name="Обычный 7 7 2 3 2 6 3" xfId="34019"/>
    <cellStyle name="Обычный 7 7 2 3 2 7" xfId="34020"/>
    <cellStyle name="Обычный 7 7 2 3 2 7 2" xfId="34021"/>
    <cellStyle name="Обычный 7 7 2 3 2 8" xfId="34022"/>
    <cellStyle name="Обычный 7 7 2 3 2 9" xfId="34023"/>
    <cellStyle name="Обычный 7 7 2 3 3" xfId="34024"/>
    <cellStyle name="Обычный 7 7 2 3 3 2" xfId="34025"/>
    <cellStyle name="Обычный 7 7 2 3 3 2 2" xfId="34026"/>
    <cellStyle name="Обычный 7 7 2 3 3 2 2 2" xfId="34027"/>
    <cellStyle name="Обычный 7 7 2 3 3 2 2 2 2" xfId="34028"/>
    <cellStyle name="Обычный 7 7 2 3 3 2 2 2 3" xfId="34029"/>
    <cellStyle name="Обычный 7 7 2 3 3 2 2 3" xfId="34030"/>
    <cellStyle name="Обычный 7 7 2 3 3 2 2 3 2" xfId="34031"/>
    <cellStyle name="Обычный 7 7 2 3 3 2 2 3 3" xfId="34032"/>
    <cellStyle name="Обычный 7 7 2 3 3 2 2 4" xfId="34033"/>
    <cellStyle name="Обычный 7 7 2 3 3 2 2 4 2" xfId="34034"/>
    <cellStyle name="Обычный 7 7 2 3 3 2 2 5" xfId="34035"/>
    <cellStyle name="Обычный 7 7 2 3 3 2 2 6" xfId="34036"/>
    <cellStyle name="Обычный 7 7 2 3 3 2 3" xfId="34037"/>
    <cellStyle name="Обычный 7 7 2 3 3 2 3 2" xfId="34038"/>
    <cellStyle name="Обычный 7 7 2 3 3 2 3 3" xfId="34039"/>
    <cellStyle name="Обычный 7 7 2 3 3 2 4" xfId="34040"/>
    <cellStyle name="Обычный 7 7 2 3 3 2 4 2" xfId="34041"/>
    <cellStyle name="Обычный 7 7 2 3 3 2 4 3" xfId="34042"/>
    <cellStyle name="Обычный 7 7 2 3 3 2 5" xfId="34043"/>
    <cellStyle name="Обычный 7 7 2 3 3 2 5 2" xfId="34044"/>
    <cellStyle name="Обычный 7 7 2 3 3 2 6" xfId="34045"/>
    <cellStyle name="Обычный 7 7 2 3 3 2 7" xfId="34046"/>
    <cellStyle name="Обычный 7 7 2 3 3 3" xfId="34047"/>
    <cellStyle name="Обычный 7 7 2 3 3 3 2" xfId="34048"/>
    <cellStyle name="Обычный 7 7 2 3 3 3 2 2" xfId="34049"/>
    <cellStyle name="Обычный 7 7 2 3 3 3 2 3" xfId="34050"/>
    <cellStyle name="Обычный 7 7 2 3 3 3 3" xfId="34051"/>
    <cellStyle name="Обычный 7 7 2 3 3 3 3 2" xfId="34052"/>
    <cellStyle name="Обычный 7 7 2 3 3 3 3 3" xfId="34053"/>
    <cellStyle name="Обычный 7 7 2 3 3 3 4" xfId="34054"/>
    <cellStyle name="Обычный 7 7 2 3 3 3 4 2" xfId="34055"/>
    <cellStyle name="Обычный 7 7 2 3 3 3 5" xfId="34056"/>
    <cellStyle name="Обычный 7 7 2 3 3 3 6" xfId="34057"/>
    <cellStyle name="Обычный 7 7 2 3 3 4" xfId="34058"/>
    <cellStyle name="Обычный 7 7 2 3 3 4 2" xfId="34059"/>
    <cellStyle name="Обычный 7 7 2 3 3 4 3" xfId="34060"/>
    <cellStyle name="Обычный 7 7 2 3 3 5" xfId="34061"/>
    <cellStyle name="Обычный 7 7 2 3 3 5 2" xfId="34062"/>
    <cellStyle name="Обычный 7 7 2 3 3 5 3" xfId="34063"/>
    <cellStyle name="Обычный 7 7 2 3 3 6" xfId="34064"/>
    <cellStyle name="Обычный 7 7 2 3 3 6 2" xfId="34065"/>
    <cellStyle name="Обычный 7 7 2 3 3 7" xfId="34066"/>
    <cellStyle name="Обычный 7 7 2 3 3 8" xfId="34067"/>
    <cellStyle name="Обычный 7 7 2 3 4" xfId="34068"/>
    <cellStyle name="Обычный 7 7 2 3 4 2" xfId="34069"/>
    <cellStyle name="Обычный 7 7 2 3 4 2 2" xfId="34070"/>
    <cellStyle name="Обычный 7 7 2 3 4 2 2 2" xfId="34071"/>
    <cellStyle name="Обычный 7 7 2 3 4 2 2 3" xfId="34072"/>
    <cellStyle name="Обычный 7 7 2 3 4 2 3" xfId="34073"/>
    <cellStyle name="Обычный 7 7 2 3 4 2 3 2" xfId="34074"/>
    <cellStyle name="Обычный 7 7 2 3 4 2 3 3" xfId="34075"/>
    <cellStyle name="Обычный 7 7 2 3 4 2 4" xfId="34076"/>
    <cellStyle name="Обычный 7 7 2 3 4 2 4 2" xfId="34077"/>
    <cellStyle name="Обычный 7 7 2 3 4 2 5" xfId="34078"/>
    <cellStyle name="Обычный 7 7 2 3 4 2 6" xfId="34079"/>
    <cellStyle name="Обычный 7 7 2 3 4 3" xfId="34080"/>
    <cellStyle name="Обычный 7 7 2 3 4 3 2" xfId="34081"/>
    <cellStyle name="Обычный 7 7 2 3 4 3 3" xfId="34082"/>
    <cellStyle name="Обычный 7 7 2 3 4 4" xfId="34083"/>
    <cellStyle name="Обычный 7 7 2 3 4 4 2" xfId="34084"/>
    <cellStyle name="Обычный 7 7 2 3 4 4 3" xfId="34085"/>
    <cellStyle name="Обычный 7 7 2 3 4 5" xfId="34086"/>
    <cellStyle name="Обычный 7 7 2 3 4 5 2" xfId="34087"/>
    <cellStyle name="Обычный 7 7 2 3 4 6" xfId="34088"/>
    <cellStyle name="Обычный 7 7 2 3 4 7" xfId="34089"/>
    <cellStyle name="Обычный 7 7 2 3 5" xfId="34090"/>
    <cellStyle name="Обычный 7 7 2 3 5 2" xfId="34091"/>
    <cellStyle name="Обычный 7 7 2 3 5 2 2" xfId="34092"/>
    <cellStyle name="Обычный 7 7 2 3 5 2 3" xfId="34093"/>
    <cellStyle name="Обычный 7 7 2 3 5 3" xfId="34094"/>
    <cellStyle name="Обычный 7 7 2 3 5 3 2" xfId="34095"/>
    <cellStyle name="Обычный 7 7 2 3 5 3 3" xfId="34096"/>
    <cellStyle name="Обычный 7 7 2 3 5 4" xfId="34097"/>
    <cellStyle name="Обычный 7 7 2 3 5 4 2" xfId="34098"/>
    <cellStyle name="Обычный 7 7 2 3 5 5" xfId="34099"/>
    <cellStyle name="Обычный 7 7 2 3 5 6" xfId="34100"/>
    <cellStyle name="Обычный 7 7 2 3 6" xfId="34101"/>
    <cellStyle name="Обычный 7 7 2 3 6 2" xfId="34102"/>
    <cellStyle name="Обычный 7 7 2 3 6 3" xfId="34103"/>
    <cellStyle name="Обычный 7 7 2 3 7" xfId="34104"/>
    <cellStyle name="Обычный 7 7 2 3 7 2" xfId="34105"/>
    <cellStyle name="Обычный 7 7 2 3 7 3" xfId="34106"/>
    <cellStyle name="Обычный 7 7 2 3 8" xfId="34107"/>
    <cellStyle name="Обычный 7 7 2 3 8 2" xfId="34108"/>
    <cellStyle name="Обычный 7 7 2 3 9" xfId="34109"/>
    <cellStyle name="Обычный 7 7 2 4" xfId="34110"/>
    <cellStyle name="Обычный 7 7 2 4 10" xfId="34111"/>
    <cellStyle name="Обычный 7 7 2 4 2" xfId="34112"/>
    <cellStyle name="Обычный 7 7 2 4 2 2" xfId="34113"/>
    <cellStyle name="Обычный 7 7 2 4 2 2 2" xfId="34114"/>
    <cellStyle name="Обычный 7 7 2 4 2 2 2 2" xfId="34115"/>
    <cellStyle name="Обычный 7 7 2 4 2 2 2 2 2" xfId="34116"/>
    <cellStyle name="Обычный 7 7 2 4 2 2 2 2 2 2" xfId="34117"/>
    <cellStyle name="Обычный 7 7 2 4 2 2 2 2 2 3" xfId="34118"/>
    <cellStyle name="Обычный 7 7 2 4 2 2 2 2 3" xfId="34119"/>
    <cellStyle name="Обычный 7 7 2 4 2 2 2 2 3 2" xfId="34120"/>
    <cellStyle name="Обычный 7 7 2 4 2 2 2 2 3 3" xfId="34121"/>
    <cellStyle name="Обычный 7 7 2 4 2 2 2 2 4" xfId="34122"/>
    <cellStyle name="Обычный 7 7 2 4 2 2 2 2 4 2" xfId="34123"/>
    <cellStyle name="Обычный 7 7 2 4 2 2 2 2 5" xfId="34124"/>
    <cellStyle name="Обычный 7 7 2 4 2 2 2 2 6" xfId="34125"/>
    <cellStyle name="Обычный 7 7 2 4 2 2 2 3" xfId="34126"/>
    <cellStyle name="Обычный 7 7 2 4 2 2 2 3 2" xfId="34127"/>
    <cellStyle name="Обычный 7 7 2 4 2 2 2 3 3" xfId="34128"/>
    <cellStyle name="Обычный 7 7 2 4 2 2 2 4" xfId="34129"/>
    <cellStyle name="Обычный 7 7 2 4 2 2 2 4 2" xfId="34130"/>
    <cellStyle name="Обычный 7 7 2 4 2 2 2 4 3" xfId="34131"/>
    <cellStyle name="Обычный 7 7 2 4 2 2 2 5" xfId="34132"/>
    <cellStyle name="Обычный 7 7 2 4 2 2 2 5 2" xfId="34133"/>
    <cellStyle name="Обычный 7 7 2 4 2 2 2 6" xfId="34134"/>
    <cellStyle name="Обычный 7 7 2 4 2 2 2 7" xfId="34135"/>
    <cellStyle name="Обычный 7 7 2 4 2 2 3" xfId="34136"/>
    <cellStyle name="Обычный 7 7 2 4 2 2 3 2" xfId="34137"/>
    <cellStyle name="Обычный 7 7 2 4 2 2 3 2 2" xfId="34138"/>
    <cellStyle name="Обычный 7 7 2 4 2 2 3 2 3" xfId="34139"/>
    <cellStyle name="Обычный 7 7 2 4 2 2 3 3" xfId="34140"/>
    <cellStyle name="Обычный 7 7 2 4 2 2 3 3 2" xfId="34141"/>
    <cellStyle name="Обычный 7 7 2 4 2 2 3 3 3" xfId="34142"/>
    <cellStyle name="Обычный 7 7 2 4 2 2 3 4" xfId="34143"/>
    <cellStyle name="Обычный 7 7 2 4 2 2 3 4 2" xfId="34144"/>
    <cellStyle name="Обычный 7 7 2 4 2 2 3 5" xfId="34145"/>
    <cellStyle name="Обычный 7 7 2 4 2 2 3 6" xfId="34146"/>
    <cellStyle name="Обычный 7 7 2 4 2 2 4" xfId="34147"/>
    <cellStyle name="Обычный 7 7 2 4 2 2 4 2" xfId="34148"/>
    <cellStyle name="Обычный 7 7 2 4 2 2 4 3" xfId="34149"/>
    <cellStyle name="Обычный 7 7 2 4 2 2 5" xfId="34150"/>
    <cellStyle name="Обычный 7 7 2 4 2 2 5 2" xfId="34151"/>
    <cellStyle name="Обычный 7 7 2 4 2 2 5 3" xfId="34152"/>
    <cellStyle name="Обычный 7 7 2 4 2 2 6" xfId="34153"/>
    <cellStyle name="Обычный 7 7 2 4 2 2 6 2" xfId="34154"/>
    <cellStyle name="Обычный 7 7 2 4 2 2 7" xfId="34155"/>
    <cellStyle name="Обычный 7 7 2 4 2 2 8" xfId="34156"/>
    <cellStyle name="Обычный 7 7 2 4 2 3" xfId="34157"/>
    <cellStyle name="Обычный 7 7 2 4 2 3 2" xfId="34158"/>
    <cellStyle name="Обычный 7 7 2 4 2 3 2 2" xfId="34159"/>
    <cellStyle name="Обычный 7 7 2 4 2 3 2 2 2" xfId="34160"/>
    <cellStyle name="Обычный 7 7 2 4 2 3 2 2 3" xfId="34161"/>
    <cellStyle name="Обычный 7 7 2 4 2 3 2 3" xfId="34162"/>
    <cellStyle name="Обычный 7 7 2 4 2 3 2 3 2" xfId="34163"/>
    <cellStyle name="Обычный 7 7 2 4 2 3 2 3 3" xfId="34164"/>
    <cellStyle name="Обычный 7 7 2 4 2 3 2 4" xfId="34165"/>
    <cellStyle name="Обычный 7 7 2 4 2 3 2 4 2" xfId="34166"/>
    <cellStyle name="Обычный 7 7 2 4 2 3 2 5" xfId="34167"/>
    <cellStyle name="Обычный 7 7 2 4 2 3 2 6" xfId="34168"/>
    <cellStyle name="Обычный 7 7 2 4 2 3 3" xfId="34169"/>
    <cellStyle name="Обычный 7 7 2 4 2 3 3 2" xfId="34170"/>
    <cellStyle name="Обычный 7 7 2 4 2 3 3 3" xfId="34171"/>
    <cellStyle name="Обычный 7 7 2 4 2 3 4" xfId="34172"/>
    <cellStyle name="Обычный 7 7 2 4 2 3 4 2" xfId="34173"/>
    <cellStyle name="Обычный 7 7 2 4 2 3 4 3" xfId="34174"/>
    <cellStyle name="Обычный 7 7 2 4 2 3 5" xfId="34175"/>
    <cellStyle name="Обычный 7 7 2 4 2 3 5 2" xfId="34176"/>
    <cellStyle name="Обычный 7 7 2 4 2 3 6" xfId="34177"/>
    <cellStyle name="Обычный 7 7 2 4 2 3 7" xfId="34178"/>
    <cellStyle name="Обычный 7 7 2 4 2 4" xfId="34179"/>
    <cellStyle name="Обычный 7 7 2 4 2 4 2" xfId="34180"/>
    <cellStyle name="Обычный 7 7 2 4 2 4 2 2" xfId="34181"/>
    <cellStyle name="Обычный 7 7 2 4 2 4 2 3" xfId="34182"/>
    <cellStyle name="Обычный 7 7 2 4 2 4 3" xfId="34183"/>
    <cellStyle name="Обычный 7 7 2 4 2 4 3 2" xfId="34184"/>
    <cellStyle name="Обычный 7 7 2 4 2 4 3 3" xfId="34185"/>
    <cellStyle name="Обычный 7 7 2 4 2 4 4" xfId="34186"/>
    <cellStyle name="Обычный 7 7 2 4 2 4 4 2" xfId="34187"/>
    <cellStyle name="Обычный 7 7 2 4 2 4 5" xfId="34188"/>
    <cellStyle name="Обычный 7 7 2 4 2 4 6" xfId="34189"/>
    <cellStyle name="Обычный 7 7 2 4 2 5" xfId="34190"/>
    <cellStyle name="Обычный 7 7 2 4 2 5 2" xfId="34191"/>
    <cellStyle name="Обычный 7 7 2 4 2 5 3" xfId="34192"/>
    <cellStyle name="Обычный 7 7 2 4 2 6" xfId="34193"/>
    <cellStyle name="Обычный 7 7 2 4 2 6 2" xfId="34194"/>
    <cellStyle name="Обычный 7 7 2 4 2 6 3" xfId="34195"/>
    <cellStyle name="Обычный 7 7 2 4 2 7" xfId="34196"/>
    <cellStyle name="Обычный 7 7 2 4 2 7 2" xfId="34197"/>
    <cellStyle name="Обычный 7 7 2 4 2 8" xfId="34198"/>
    <cellStyle name="Обычный 7 7 2 4 2 9" xfId="34199"/>
    <cellStyle name="Обычный 7 7 2 4 3" xfId="34200"/>
    <cellStyle name="Обычный 7 7 2 4 3 2" xfId="34201"/>
    <cellStyle name="Обычный 7 7 2 4 3 2 2" xfId="34202"/>
    <cellStyle name="Обычный 7 7 2 4 3 2 2 2" xfId="34203"/>
    <cellStyle name="Обычный 7 7 2 4 3 2 2 2 2" xfId="34204"/>
    <cellStyle name="Обычный 7 7 2 4 3 2 2 2 3" xfId="34205"/>
    <cellStyle name="Обычный 7 7 2 4 3 2 2 3" xfId="34206"/>
    <cellStyle name="Обычный 7 7 2 4 3 2 2 3 2" xfId="34207"/>
    <cellStyle name="Обычный 7 7 2 4 3 2 2 3 3" xfId="34208"/>
    <cellStyle name="Обычный 7 7 2 4 3 2 2 4" xfId="34209"/>
    <cellStyle name="Обычный 7 7 2 4 3 2 2 4 2" xfId="34210"/>
    <cellStyle name="Обычный 7 7 2 4 3 2 2 5" xfId="34211"/>
    <cellStyle name="Обычный 7 7 2 4 3 2 2 6" xfId="34212"/>
    <cellStyle name="Обычный 7 7 2 4 3 2 3" xfId="34213"/>
    <cellStyle name="Обычный 7 7 2 4 3 2 3 2" xfId="34214"/>
    <cellStyle name="Обычный 7 7 2 4 3 2 3 3" xfId="34215"/>
    <cellStyle name="Обычный 7 7 2 4 3 2 4" xfId="34216"/>
    <cellStyle name="Обычный 7 7 2 4 3 2 4 2" xfId="34217"/>
    <cellStyle name="Обычный 7 7 2 4 3 2 4 3" xfId="34218"/>
    <cellStyle name="Обычный 7 7 2 4 3 2 5" xfId="34219"/>
    <cellStyle name="Обычный 7 7 2 4 3 2 5 2" xfId="34220"/>
    <cellStyle name="Обычный 7 7 2 4 3 2 6" xfId="34221"/>
    <cellStyle name="Обычный 7 7 2 4 3 2 7" xfId="34222"/>
    <cellStyle name="Обычный 7 7 2 4 3 3" xfId="34223"/>
    <cellStyle name="Обычный 7 7 2 4 3 3 2" xfId="34224"/>
    <cellStyle name="Обычный 7 7 2 4 3 3 2 2" xfId="34225"/>
    <cellStyle name="Обычный 7 7 2 4 3 3 2 3" xfId="34226"/>
    <cellStyle name="Обычный 7 7 2 4 3 3 3" xfId="34227"/>
    <cellStyle name="Обычный 7 7 2 4 3 3 3 2" xfId="34228"/>
    <cellStyle name="Обычный 7 7 2 4 3 3 3 3" xfId="34229"/>
    <cellStyle name="Обычный 7 7 2 4 3 3 4" xfId="34230"/>
    <cellStyle name="Обычный 7 7 2 4 3 3 4 2" xfId="34231"/>
    <cellStyle name="Обычный 7 7 2 4 3 3 5" xfId="34232"/>
    <cellStyle name="Обычный 7 7 2 4 3 3 6" xfId="34233"/>
    <cellStyle name="Обычный 7 7 2 4 3 4" xfId="34234"/>
    <cellStyle name="Обычный 7 7 2 4 3 4 2" xfId="34235"/>
    <cellStyle name="Обычный 7 7 2 4 3 4 3" xfId="34236"/>
    <cellStyle name="Обычный 7 7 2 4 3 5" xfId="34237"/>
    <cellStyle name="Обычный 7 7 2 4 3 5 2" xfId="34238"/>
    <cellStyle name="Обычный 7 7 2 4 3 5 3" xfId="34239"/>
    <cellStyle name="Обычный 7 7 2 4 3 6" xfId="34240"/>
    <cellStyle name="Обычный 7 7 2 4 3 6 2" xfId="34241"/>
    <cellStyle name="Обычный 7 7 2 4 3 7" xfId="34242"/>
    <cellStyle name="Обычный 7 7 2 4 3 8" xfId="34243"/>
    <cellStyle name="Обычный 7 7 2 4 4" xfId="34244"/>
    <cellStyle name="Обычный 7 7 2 4 4 2" xfId="34245"/>
    <cellStyle name="Обычный 7 7 2 4 4 2 2" xfId="34246"/>
    <cellStyle name="Обычный 7 7 2 4 4 2 2 2" xfId="34247"/>
    <cellStyle name="Обычный 7 7 2 4 4 2 2 3" xfId="34248"/>
    <cellStyle name="Обычный 7 7 2 4 4 2 3" xfId="34249"/>
    <cellStyle name="Обычный 7 7 2 4 4 2 3 2" xfId="34250"/>
    <cellStyle name="Обычный 7 7 2 4 4 2 3 3" xfId="34251"/>
    <cellStyle name="Обычный 7 7 2 4 4 2 4" xfId="34252"/>
    <cellStyle name="Обычный 7 7 2 4 4 2 4 2" xfId="34253"/>
    <cellStyle name="Обычный 7 7 2 4 4 2 5" xfId="34254"/>
    <cellStyle name="Обычный 7 7 2 4 4 2 6" xfId="34255"/>
    <cellStyle name="Обычный 7 7 2 4 4 3" xfId="34256"/>
    <cellStyle name="Обычный 7 7 2 4 4 3 2" xfId="34257"/>
    <cellStyle name="Обычный 7 7 2 4 4 3 3" xfId="34258"/>
    <cellStyle name="Обычный 7 7 2 4 4 4" xfId="34259"/>
    <cellStyle name="Обычный 7 7 2 4 4 4 2" xfId="34260"/>
    <cellStyle name="Обычный 7 7 2 4 4 4 3" xfId="34261"/>
    <cellStyle name="Обычный 7 7 2 4 4 5" xfId="34262"/>
    <cellStyle name="Обычный 7 7 2 4 4 5 2" xfId="34263"/>
    <cellStyle name="Обычный 7 7 2 4 4 6" xfId="34264"/>
    <cellStyle name="Обычный 7 7 2 4 4 7" xfId="34265"/>
    <cellStyle name="Обычный 7 7 2 4 5" xfId="34266"/>
    <cellStyle name="Обычный 7 7 2 4 5 2" xfId="34267"/>
    <cellStyle name="Обычный 7 7 2 4 5 2 2" xfId="34268"/>
    <cellStyle name="Обычный 7 7 2 4 5 2 3" xfId="34269"/>
    <cellStyle name="Обычный 7 7 2 4 5 3" xfId="34270"/>
    <cellStyle name="Обычный 7 7 2 4 5 3 2" xfId="34271"/>
    <cellStyle name="Обычный 7 7 2 4 5 3 3" xfId="34272"/>
    <cellStyle name="Обычный 7 7 2 4 5 4" xfId="34273"/>
    <cellStyle name="Обычный 7 7 2 4 5 4 2" xfId="34274"/>
    <cellStyle name="Обычный 7 7 2 4 5 5" xfId="34275"/>
    <cellStyle name="Обычный 7 7 2 4 5 6" xfId="34276"/>
    <cellStyle name="Обычный 7 7 2 4 6" xfId="34277"/>
    <cellStyle name="Обычный 7 7 2 4 6 2" xfId="34278"/>
    <cellStyle name="Обычный 7 7 2 4 6 3" xfId="34279"/>
    <cellStyle name="Обычный 7 7 2 4 7" xfId="34280"/>
    <cellStyle name="Обычный 7 7 2 4 7 2" xfId="34281"/>
    <cellStyle name="Обычный 7 7 2 4 7 3" xfId="34282"/>
    <cellStyle name="Обычный 7 7 2 4 8" xfId="34283"/>
    <cellStyle name="Обычный 7 7 2 4 8 2" xfId="34284"/>
    <cellStyle name="Обычный 7 7 2 4 9" xfId="34285"/>
    <cellStyle name="Обычный 7 7 2 5" xfId="34286"/>
    <cellStyle name="Обычный 7 7 2 5 2" xfId="34287"/>
    <cellStyle name="Обычный 7 7 2 5 2 2" xfId="34288"/>
    <cellStyle name="Обычный 7 7 2 5 2 2 2" xfId="34289"/>
    <cellStyle name="Обычный 7 7 2 5 2 2 2 2" xfId="34290"/>
    <cellStyle name="Обычный 7 7 2 5 2 2 2 2 2" xfId="34291"/>
    <cellStyle name="Обычный 7 7 2 5 2 2 2 2 3" xfId="34292"/>
    <cellStyle name="Обычный 7 7 2 5 2 2 2 3" xfId="34293"/>
    <cellStyle name="Обычный 7 7 2 5 2 2 2 3 2" xfId="34294"/>
    <cellStyle name="Обычный 7 7 2 5 2 2 2 3 3" xfId="34295"/>
    <cellStyle name="Обычный 7 7 2 5 2 2 2 4" xfId="34296"/>
    <cellStyle name="Обычный 7 7 2 5 2 2 2 4 2" xfId="34297"/>
    <cellStyle name="Обычный 7 7 2 5 2 2 2 5" xfId="34298"/>
    <cellStyle name="Обычный 7 7 2 5 2 2 2 6" xfId="34299"/>
    <cellStyle name="Обычный 7 7 2 5 2 2 3" xfId="34300"/>
    <cellStyle name="Обычный 7 7 2 5 2 2 3 2" xfId="34301"/>
    <cellStyle name="Обычный 7 7 2 5 2 2 3 3" xfId="34302"/>
    <cellStyle name="Обычный 7 7 2 5 2 2 4" xfId="34303"/>
    <cellStyle name="Обычный 7 7 2 5 2 2 4 2" xfId="34304"/>
    <cellStyle name="Обычный 7 7 2 5 2 2 4 3" xfId="34305"/>
    <cellStyle name="Обычный 7 7 2 5 2 2 5" xfId="34306"/>
    <cellStyle name="Обычный 7 7 2 5 2 2 5 2" xfId="34307"/>
    <cellStyle name="Обычный 7 7 2 5 2 2 6" xfId="34308"/>
    <cellStyle name="Обычный 7 7 2 5 2 2 7" xfId="34309"/>
    <cellStyle name="Обычный 7 7 2 5 2 3" xfId="34310"/>
    <cellStyle name="Обычный 7 7 2 5 2 3 2" xfId="34311"/>
    <cellStyle name="Обычный 7 7 2 5 2 3 2 2" xfId="34312"/>
    <cellStyle name="Обычный 7 7 2 5 2 3 2 3" xfId="34313"/>
    <cellStyle name="Обычный 7 7 2 5 2 3 3" xfId="34314"/>
    <cellStyle name="Обычный 7 7 2 5 2 3 3 2" xfId="34315"/>
    <cellStyle name="Обычный 7 7 2 5 2 3 3 3" xfId="34316"/>
    <cellStyle name="Обычный 7 7 2 5 2 3 4" xfId="34317"/>
    <cellStyle name="Обычный 7 7 2 5 2 3 4 2" xfId="34318"/>
    <cellStyle name="Обычный 7 7 2 5 2 3 5" xfId="34319"/>
    <cellStyle name="Обычный 7 7 2 5 2 3 6" xfId="34320"/>
    <cellStyle name="Обычный 7 7 2 5 2 4" xfId="34321"/>
    <cellStyle name="Обычный 7 7 2 5 2 4 2" xfId="34322"/>
    <cellStyle name="Обычный 7 7 2 5 2 4 3" xfId="34323"/>
    <cellStyle name="Обычный 7 7 2 5 2 5" xfId="34324"/>
    <cellStyle name="Обычный 7 7 2 5 2 5 2" xfId="34325"/>
    <cellStyle name="Обычный 7 7 2 5 2 5 3" xfId="34326"/>
    <cellStyle name="Обычный 7 7 2 5 2 6" xfId="34327"/>
    <cellStyle name="Обычный 7 7 2 5 2 6 2" xfId="34328"/>
    <cellStyle name="Обычный 7 7 2 5 2 7" xfId="34329"/>
    <cellStyle name="Обычный 7 7 2 5 2 8" xfId="34330"/>
    <cellStyle name="Обычный 7 7 2 5 3" xfId="34331"/>
    <cellStyle name="Обычный 7 7 2 5 3 2" xfId="34332"/>
    <cellStyle name="Обычный 7 7 2 5 3 2 2" xfId="34333"/>
    <cellStyle name="Обычный 7 7 2 5 3 2 2 2" xfId="34334"/>
    <cellStyle name="Обычный 7 7 2 5 3 2 2 3" xfId="34335"/>
    <cellStyle name="Обычный 7 7 2 5 3 2 3" xfId="34336"/>
    <cellStyle name="Обычный 7 7 2 5 3 2 3 2" xfId="34337"/>
    <cellStyle name="Обычный 7 7 2 5 3 2 3 3" xfId="34338"/>
    <cellStyle name="Обычный 7 7 2 5 3 2 4" xfId="34339"/>
    <cellStyle name="Обычный 7 7 2 5 3 2 4 2" xfId="34340"/>
    <cellStyle name="Обычный 7 7 2 5 3 2 5" xfId="34341"/>
    <cellStyle name="Обычный 7 7 2 5 3 2 6" xfId="34342"/>
    <cellStyle name="Обычный 7 7 2 5 3 3" xfId="34343"/>
    <cellStyle name="Обычный 7 7 2 5 3 3 2" xfId="34344"/>
    <cellStyle name="Обычный 7 7 2 5 3 3 3" xfId="34345"/>
    <cellStyle name="Обычный 7 7 2 5 3 4" xfId="34346"/>
    <cellStyle name="Обычный 7 7 2 5 3 4 2" xfId="34347"/>
    <cellStyle name="Обычный 7 7 2 5 3 4 3" xfId="34348"/>
    <cellStyle name="Обычный 7 7 2 5 3 5" xfId="34349"/>
    <cellStyle name="Обычный 7 7 2 5 3 5 2" xfId="34350"/>
    <cellStyle name="Обычный 7 7 2 5 3 6" xfId="34351"/>
    <cellStyle name="Обычный 7 7 2 5 3 7" xfId="34352"/>
    <cellStyle name="Обычный 7 7 2 5 4" xfId="34353"/>
    <cellStyle name="Обычный 7 7 2 5 4 2" xfId="34354"/>
    <cellStyle name="Обычный 7 7 2 5 4 2 2" xfId="34355"/>
    <cellStyle name="Обычный 7 7 2 5 4 2 3" xfId="34356"/>
    <cellStyle name="Обычный 7 7 2 5 4 3" xfId="34357"/>
    <cellStyle name="Обычный 7 7 2 5 4 3 2" xfId="34358"/>
    <cellStyle name="Обычный 7 7 2 5 4 3 3" xfId="34359"/>
    <cellStyle name="Обычный 7 7 2 5 4 4" xfId="34360"/>
    <cellStyle name="Обычный 7 7 2 5 4 4 2" xfId="34361"/>
    <cellStyle name="Обычный 7 7 2 5 4 5" xfId="34362"/>
    <cellStyle name="Обычный 7 7 2 5 4 6" xfId="34363"/>
    <cellStyle name="Обычный 7 7 2 5 5" xfId="34364"/>
    <cellStyle name="Обычный 7 7 2 5 5 2" xfId="34365"/>
    <cellStyle name="Обычный 7 7 2 5 5 3" xfId="34366"/>
    <cellStyle name="Обычный 7 7 2 5 6" xfId="34367"/>
    <cellStyle name="Обычный 7 7 2 5 6 2" xfId="34368"/>
    <cellStyle name="Обычный 7 7 2 5 6 3" xfId="34369"/>
    <cellStyle name="Обычный 7 7 2 5 7" xfId="34370"/>
    <cellStyle name="Обычный 7 7 2 5 7 2" xfId="34371"/>
    <cellStyle name="Обычный 7 7 2 5 8" xfId="34372"/>
    <cellStyle name="Обычный 7 7 2 5 9" xfId="34373"/>
    <cellStyle name="Обычный 7 7 2 6" xfId="34374"/>
    <cellStyle name="Обычный 7 7 2 6 2" xfId="34375"/>
    <cellStyle name="Обычный 7 7 2 6 2 2" xfId="34376"/>
    <cellStyle name="Обычный 7 7 2 6 2 2 2" xfId="34377"/>
    <cellStyle name="Обычный 7 7 2 6 2 2 2 2" xfId="34378"/>
    <cellStyle name="Обычный 7 7 2 6 2 2 2 3" xfId="34379"/>
    <cellStyle name="Обычный 7 7 2 6 2 2 3" xfId="34380"/>
    <cellStyle name="Обычный 7 7 2 6 2 2 3 2" xfId="34381"/>
    <cellStyle name="Обычный 7 7 2 6 2 2 3 3" xfId="34382"/>
    <cellStyle name="Обычный 7 7 2 6 2 2 4" xfId="34383"/>
    <cellStyle name="Обычный 7 7 2 6 2 2 4 2" xfId="34384"/>
    <cellStyle name="Обычный 7 7 2 6 2 2 5" xfId="34385"/>
    <cellStyle name="Обычный 7 7 2 6 2 2 6" xfId="34386"/>
    <cellStyle name="Обычный 7 7 2 6 2 3" xfId="34387"/>
    <cellStyle name="Обычный 7 7 2 6 2 3 2" xfId="34388"/>
    <cellStyle name="Обычный 7 7 2 6 2 3 3" xfId="34389"/>
    <cellStyle name="Обычный 7 7 2 6 2 4" xfId="34390"/>
    <cellStyle name="Обычный 7 7 2 6 2 4 2" xfId="34391"/>
    <cellStyle name="Обычный 7 7 2 6 2 4 3" xfId="34392"/>
    <cellStyle name="Обычный 7 7 2 6 2 5" xfId="34393"/>
    <cellStyle name="Обычный 7 7 2 6 2 5 2" xfId="34394"/>
    <cellStyle name="Обычный 7 7 2 6 2 6" xfId="34395"/>
    <cellStyle name="Обычный 7 7 2 6 2 7" xfId="34396"/>
    <cellStyle name="Обычный 7 7 2 6 3" xfId="34397"/>
    <cellStyle name="Обычный 7 7 2 6 3 2" xfId="34398"/>
    <cellStyle name="Обычный 7 7 2 6 3 2 2" xfId="34399"/>
    <cellStyle name="Обычный 7 7 2 6 3 2 3" xfId="34400"/>
    <cellStyle name="Обычный 7 7 2 6 3 3" xfId="34401"/>
    <cellStyle name="Обычный 7 7 2 6 3 3 2" xfId="34402"/>
    <cellStyle name="Обычный 7 7 2 6 3 3 3" xfId="34403"/>
    <cellStyle name="Обычный 7 7 2 6 3 4" xfId="34404"/>
    <cellStyle name="Обычный 7 7 2 6 3 4 2" xfId="34405"/>
    <cellStyle name="Обычный 7 7 2 6 3 5" xfId="34406"/>
    <cellStyle name="Обычный 7 7 2 6 3 6" xfId="34407"/>
    <cellStyle name="Обычный 7 7 2 6 4" xfId="34408"/>
    <cellStyle name="Обычный 7 7 2 6 4 2" xfId="34409"/>
    <cellStyle name="Обычный 7 7 2 6 4 3" xfId="34410"/>
    <cellStyle name="Обычный 7 7 2 6 5" xfId="34411"/>
    <cellStyle name="Обычный 7 7 2 6 5 2" xfId="34412"/>
    <cellStyle name="Обычный 7 7 2 6 5 3" xfId="34413"/>
    <cellStyle name="Обычный 7 7 2 6 6" xfId="34414"/>
    <cellStyle name="Обычный 7 7 2 6 6 2" xfId="34415"/>
    <cellStyle name="Обычный 7 7 2 6 7" xfId="34416"/>
    <cellStyle name="Обычный 7 7 2 6 8" xfId="34417"/>
    <cellStyle name="Обычный 7 7 2 7" xfId="34418"/>
    <cellStyle name="Обычный 7 7 2 7 2" xfId="34419"/>
    <cellStyle name="Обычный 7 7 2 7 2 2" xfId="34420"/>
    <cellStyle name="Обычный 7 7 2 7 2 2 2" xfId="34421"/>
    <cellStyle name="Обычный 7 7 2 7 2 2 3" xfId="34422"/>
    <cellStyle name="Обычный 7 7 2 7 2 3" xfId="34423"/>
    <cellStyle name="Обычный 7 7 2 7 2 3 2" xfId="34424"/>
    <cellStyle name="Обычный 7 7 2 7 2 3 3" xfId="34425"/>
    <cellStyle name="Обычный 7 7 2 7 2 4" xfId="34426"/>
    <cellStyle name="Обычный 7 7 2 7 2 4 2" xfId="34427"/>
    <cellStyle name="Обычный 7 7 2 7 2 5" xfId="34428"/>
    <cellStyle name="Обычный 7 7 2 7 2 6" xfId="34429"/>
    <cellStyle name="Обычный 7 7 2 7 3" xfId="34430"/>
    <cellStyle name="Обычный 7 7 2 7 3 2" xfId="34431"/>
    <cellStyle name="Обычный 7 7 2 7 3 3" xfId="34432"/>
    <cellStyle name="Обычный 7 7 2 7 4" xfId="34433"/>
    <cellStyle name="Обычный 7 7 2 7 4 2" xfId="34434"/>
    <cellStyle name="Обычный 7 7 2 7 4 3" xfId="34435"/>
    <cellStyle name="Обычный 7 7 2 7 5" xfId="34436"/>
    <cellStyle name="Обычный 7 7 2 7 5 2" xfId="34437"/>
    <cellStyle name="Обычный 7 7 2 7 6" xfId="34438"/>
    <cellStyle name="Обычный 7 7 2 7 7" xfId="34439"/>
    <cellStyle name="Обычный 7 7 2 8" xfId="34440"/>
    <cellStyle name="Обычный 7 7 2 8 2" xfId="34441"/>
    <cellStyle name="Обычный 7 7 2 8 2 2" xfId="34442"/>
    <cellStyle name="Обычный 7 7 2 8 2 3" xfId="34443"/>
    <cellStyle name="Обычный 7 7 2 8 3" xfId="34444"/>
    <cellStyle name="Обычный 7 7 2 8 3 2" xfId="34445"/>
    <cellStyle name="Обычный 7 7 2 8 3 3" xfId="34446"/>
    <cellStyle name="Обычный 7 7 2 8 4" xfId="34447"/>
    <cellStyle name="Обычный 7 7 2 8 4 2" xfId="34448"/>
    <cellStyle name="Обычный 7 7 2 8 5" xfId="34449"/>
    <cellStyle name="Обычный 7 7 2 8 6" xfId="34450"/>
    <cellStyle name="Обычный 7 7 2 9" xfId="34451"/>
    <cellStyle name="Обычный 7 7 2 9 2" xfId="34452"/>
    <cellStyle name="Обычный 7 7 2 9 3" xfId="34453"/>
    <cellStyle name="Обычный 7 7 3" xfId="34454"/>
    <cellStyle name="Обычный 7 7 3 10" xfId="34455"/>
    <cellStyle name="Обычный 7 7 3 2" xfId="34456"/>
    <cellStyle name="Обычный 7 7 3 2 2" xfId="34457"/>
    <cellStyle name="Обычный 7 7 3 2 2 2" xfId="34458"/>
    <cellStyle name="Обычный 7 7 3 2 2 2 2" xfId="34459"/>
    <cellStyle name="Обычный 7 7 3 2 2 2 2 2" xfId="34460"/>
    <cellStyle name="Обычный 7 7 3 2 2 2 2 2 2" xfId="34461"/>
    <cellStyle name="Обычный 7 7 3 2 2 2 2 2 3" xfId="34462"/>
    <cellStyle name="Обычный 7 7 3 2 2 2 2 3" xfId="34463"/>
    <cellStyle name="Обычный 7 7 3 2 2 2 2 3 2" xfId="34464"/>
    <cellStyle name="Обычный 7 7 3 2 2 2 2 3 3" xfId="34465"/>
    <cellStyle name="Обычный 7 7 3 2 2 2 2 4" xfId="34466"/>
    <cellStyle name="Обычный 7 7 3 2 2 2 2 4 2" xfId="34467"/>
    <cellStyle name="Обычный 7 7 3 2 2 2 2 5" xfId="34468"/>
    <cellStyle name="Обычный 7 7 3 2 2 2 2 6" xfId="34469"/>
    <cellStyle name="Обычный 7 7 3 2 2 2 3" xfId="34470"/>
    <cellStyle name="Обычный 7 7 3 2 2 2 3 2" xfId="34471"/>
    <cellStyle name="Обычный 7 7 3 2 2 2 3 3" xfId="34472"/>
    <cellStyle name="Обычный 7 7 3 2 2 2 4" xfId="34473"/>
    <cellStyle name="Обычный 7 7 3 2 2 2 4 2" xfId="34474"/>
    <cellStyle name="Обычный 7 7 3 2 2 2 4 3" xfId="34475"/>
    <cellStyle name="Обычный 7 7 3 2 2 2 5" xfId="34476"/>
    <cellStyle name="Обычный 7 7 3 2 2 2 5 2" xfId="34477"/>
    <cellStyle name="Обычный 7 7 3 2 2 2 6" xfId="34478"/>
    <cellStyle name="Обычный 7 7 3 2 2 2 7" xfId="34479"/>
    <cellStyle name="Обычный 7 7 3 2 2 3" xfId="34480"/>
    <cellStyle name="Обычный 7 7 3 2 2 3 2" xfId="34481"/>
    <cellStyle name="Обычный 7 7 3 2 2 3 2 2" xfId="34482"/>
    <cellStyle name="Обычный 7 7 3 2 2 3 2 3" xfId="34483"/>
    <cellStyle name="Обычный 7 7 3 2 2 3 3" xfId="34484"/>
    <cellStyle name="Обычный 7 7 3 2 2 3 3 2" xfId="34485"/>
    <cellStyle name="Обычный 7 7 3 2 2 3 3 3" xfId="34486"/>
    <cellStyle name="Обычный 7 7 3 2 2 3 4" xfId="34487"/>
    <cellStyle name="Обычный 7 7 3 2 2 3 4 2" xfId="34488"/>
    <cellStyle name="Обычный 7 7 3 2 2 3 5" xfId="34489"/>
    <cellStyle name="Обычный 7 7 3 2 2 3 6" xfId="34490"/>
    <cellStyle name="Обычный 7 7 3 2 2 4" xfId="34491"/>
    <cellStyle name="Обычный 7 7 3 2 2 4 2" xfId="34492"/>
    <cellStyle name="Обычный 7 7 3 2 2 4 3" xfId="34493"/>
    <cellStyle name="Обычный 7 7 3 2 2 5" xfId="34494"/>
    <cellStyle name="Обычный 7 7 3 2 2 5 2" xfId="34495"/>
    <cellStyle name="Обычный 7 7 3 2 2 5 3" xfId="34496"/>
    <cellStyle name="Обычный 7 7 3 2 2 6" xfId="34497"/>
    <cellStyle name="Обычный 7 7 3 2 2 6 2" xfId="34498"/>
    <cellStyle name="Обычный 7 7 3 2 2 7" xfId="34499"/>
    <cellStyle name="Обычный 7 7 3 2 2 8" xfId="34500"/>
    <cellStyle name="Обычный 7 7 3 2 3" xfId="34501"/>
    <cellStyle name="Обычный 7 7 3 2 3 2" xfId="34502"/>
    <cellStyle name="Обычный 7 7 3 2 3 2 2" xfId="34503"/>
    <cellStyle name="Обычный 7 7 3 2 3 2 2 2" xfId="34504"/>
    <cellStyle name="Обычный 7 7 3 2 3 2 2 3" xfId="34505"/>
    <cellStyle name="Обычный 7 7 3 2 3 2 3" xfId="34506"/>
    <cellStyle name="Обычный 7 7 3 2 3 2 3 2" xfId="34507"/>
    <cellStyle name="Обычный 7 7 3 2 3 2 3 3" xfId="34508"/>
    <cellStyle name="Обычный 7 7 3 2 3 2 4" xfId="34509"/>
    <cellStyle name="Обычный 7 7 3 2 3 2 4 2" xfId="34510"/>
    <cellStyle name="Обычный 7 7 3 2 3 2 5" xfId="34511"/>
    <cellStyle name="Обычный 7 7 3 2 3 2 6" xfId="34512"/>
    <cellStyle name="Обычный 7 7 3 2 3 3" xfId="34513"/>
    <cellStyle name="Обычный 7 7 3 2 3 3 2" xfId="34514"/>
    <cellStyle name="Обычный 7 7 3 2 3 3 3" xfId="34515"/>
    <cellStyle name="Обычный 7 7 3 2 3 4" xfId="34516"/>
    <cellStyle name="Обычный 7 7 3 2 3 4 2" xfId="34517"/>
    <cellStyle name="Обычный 7 7 3 2 3 4 3" xfId="34518"/>
    <cellStyle name="Обычный 7 7 3 2 3 5" xfId="34519"/>
    <cellStyle name="Обычный 7 7 3 2 3 5 2" xfId="34520"/>
    <cellStyle name="Обычный 7 7 3 2 3 6" xfId="34521"/>
    <cellStyle name="Обычный 7 7 3 2 3 7" xfId="34522"/>
    <cellStyle name="Обычный 7 7 3 2 4" xfId="34523"/>
    <cellStyle name="Обычный 7 7 3 2 4 2" xfId="34524"/>
    <cellStyle name="Обычный 7 7 3 2 4 2 2" xfId="34525"/>
    <cellStyle name="Обычный 7 7 3 2 4 2 3" xfId="34526"/>
    <cellStyle name="Обычный 7 7 3 2 4 3" xfId="34527"/>
    <cellStyle name="Обычный 7 7 3 2 4 3 2" xfId="34528"/>
    <cellStyle name="Обычный 7 7 3 2 4 3 3" xfId="34529"/>
    <cellStyle name="Обычный 7 7 3 2 4 4" xfId="34530"/>
    <cellStyle name="Обычный 7 7 3 2 4 4 2" xfId="34531"/>
    <cellStyle name="Обычный 7 7 3 2 4 5" xfId="34532"/>
    <cellStyle name="Обычный 7 7 3 2 4 6" xfId="34533"/>
    <cellStyle name="Обычный 7 7 3 2 5" xfId="34534"/>
    <cellStyle name="Обычный 7 7 3 2 5 2" xfId="34535"/>
    <cellStyle name="Обычный 7 7 3 2 5 3" xfId="34536"/>
    <cellStyle name="Обычный 7 7 3 2 6" xfId="34537"/>
    <cellStyle name="Обычный 7 7 3 2 6 2" xfId="34538"/>
    <cellStyle name="Обычный 7 7 3 2 6 3" xfId="34539"/>
    <cellStyle name="Обычный 7 7 3 2 7" xfId="34540"/>
    <cellStyle name="Обычный 7 7 3 2 7 2" xfId="34541"/>
    <cellStyle name="Обычный 7 7 3 2 8" xfId="34542"/>
    <cellStyle name="Обычный 7 7 3 2 9" xfId="34543"/>
    <cellStyle name="Обычный 7 7 3 3" xfId="34544"/>
    <cellStyle name="Обычный 7 7 3 3 2" xfId="34545"/>
    <cellStyle name="Обычный 7 7 3 3 2 2" xfId="34546"/>
    <cellStyle name="Обычный 7 7 3 3 2 2 2" xfId="34547"/>
    <cellStyle name="Обычный 7 7 3 3 2 2 2 2" xfId="34548"/>
    <cellStyle name="Обычный 7 7 3 3 2 2 2 3" xfId="34549"/>
    <cellStyle name="Обычный 7 7 3 3 2 2 3" xfId="34550"/>
    <cellStyle name="Обычный 7 7 3 3 2 2 3 2" xfId="34551"/>
    <cellStyle name="Обычный 7 7 3 3 2 2 3 3" xfId="34552"/>
    <cellStyle name="Обычный 7 7 3 3 2 2 4" xfId="34553"/>
    <cellStyle name="Обычный 7 7 3 3 2 2 4 2" xfId="34554"/>
    <cellStyle name="Обычный 7 7 3 3 2 2 5" xfId="34555"/>
    <cellStyle name="Обычный 7 7 3 3 2 2 6" xfId="34556"/>
    <cellStyle name="Обычный 7 7 3 3 2 3" xfId="34557"/>
    <cellStyle name="Обычный 7 7 3 3 2 3 2" xfId="34558"/>
    <cellStyle name="Обычный 7 7 3 3 2 3 3" xfId="34559"/>
    <cellStyle name="Обычный 7 7 3 3 2 4" xfId="34560"/>
    <cellStyle name="Обычный 7 7 3 3 2 4 2" xfId="34561"/>
    <cellStyle name="Обычный 7 7 3 3 2 4 3" xfId="34562"/>
    <cellStyle name="Обычный 7 7 3 3 2 5" xfId="34563"/>
    <cellStyle name="Обычный 7 7 3 3 2 5 2" xfId="34564"/>
    <cellStyle name="Обычный 7 7 3 3 2 6" xfId="34565"/>
    <cellStyle name="Обычный 7 7 3 3 2 7" xfId="34566"/>
    <cellStyle name="Обычный 7 7 3 3 3" xfId="34567"/>
    <cellStyle name="Обычный 7 7 3 3 3 2" xfId="34568"/>
    <cellStyle name="Обычный 7 7 3 3 3 2 2" xfId="34569"/>
    <cellStyle name="Обычный 7 7 3 3 3 2 3" xfId="34570"/>
    <cellStyle name="Обычный 7 7 3 3 3 3" xfId="34571"/>
    <cellStyle name="Обычный 7 7 3 3 3 3 2" xfId="34572"/>
    <cellStyle name="Обычный 7 7 3 3 3 3 3" xfId="34573"/>
    <cellStyle name="Обычный 7 7 3 3 3 4" xfId="34574"/>
    <cellStyle name="Обычный 7 7 3 3 3 4 2" xfId="34575"/>
    <cellStyle name="Обычный 7 7 3 3 3 5" xfId="34576"/>
    <cellStyle name="Обычный 7 7 3 3 3 6" xfId="34577"/>
    <cellStyle name="Обычный 7 7 3 3 4" xfId="34578"/>
    <cellStyle name="Обычный 7 7 3 3 4 2" xfId="34579"/>
    <cellStyle name="Обычный 7 7 3 3 4 3" xfId="34580"/>
    <cellStyle name="Обычный 7 7 3 3 5" xfId="34581"/>
    <cellStyle name="Обычный 7 7 3 3 5 2" xfId="34582"/>
    <cellStyle name="Обычный 7 7 3 3 5 3" xfId="34583"/>
    <cellStyle name="Обычный 7 7 3 3 6" xfId="34584"/>
    <cellStyle name="Обычный 7 7 3 3 6 2" xfId="34585"/>
    <cellStyle name="Обычный 7 7 3 3 7" xfId="34586"/>
    <cellStyle name="Обычный 7 7 3 3 8" xfId="34587"/>
    <cellStyle name="Обычный 7 7 3 4" xfId="34588"/>
    <cellStyle name="Обычный 7 7 3 4 2" xfId="34589"/>
    <cellStyle name="Обычный 7 7 3 4 2 2" xfId="34590"/>
    <cellStyle name="Обычный 7 7 3 4 2 2 2" xfId="34591"/>
    <cellStyle name="Обычный 7 7 3 4 2 2 3" xfId="34592"/>
    <cellStyle name="Обычный 7 7 3 4 2 3" xfId="34593"/>
    <cellStyle name="Обычный 7 7 3 4 2 3 2" xfId="34594"/>
    <cellStyle name="Обычный 7 7 3 4 2 3 3" xfId="34595"/>
    <cellStyle name="Обычный 7 7 3 4 2 4" xfId="34596"/>
    <cellStyle name="Обычный 7 7 3 4 2 4 2" xfId="34597"/>
    <cellStyle name="Обычный 7 7 3 4 2 5" xfId="34598"/>
    <cellStyle name="Обычный 7 7 3 4 2 6" xfId="34599"/>
    <cellStyle name="Обычный 7 7 3 4 3" xfId="34600"/>
    <cellStyle name="Обычный 7 7 3 4 3 2" xfId="34601"/>
    <cellStyle name="Обычный 7 7 3 4 3 3" xfId="34602"/>
    <cellStyle name="Обычный 7 7 3 4 4" xfId="34603"/>
    <cellStyle name="Обычный 7 7 3 4 4 2" xfId="34604"/>
    <cellStyle name="Обычный 7 7 3 4 4 3" xfId="34605"/>
    <cellStyle name="Обычный 7 7 3 4 5" xfId="34606"/>
    <cellStyle name="Обычный 7 7 3 4 5 2" xfId="34607"/>
    <cellStyle name="Обычный 7 7 3 4 6" xfId="34608"/>
    <cellStyle name="Обычный 7 7 3 4 7" xfId="34609"/>
    <cellStyle name="Обычный 7 7 3 5" xfId="34610"/>
    <cellStyle name="Обычный 7 7 3 5 2" xfId="34611"/>
    <cellStyle name="Обычный 7 7 3 5 2 2" xfId="34612"/>
    <cellStyle name="Обычный 7 7 3 5 2 3" xfId="34613"/>
    <cellStyle name="Обычный 7 7 3 5 3" xfId="34614"/>
    <cellStyle name="Обычный 7 7 3 5 3 2" xfId="34615"/>
    <cellStyle name="Обычный 7 7 3 5 3 3" xfId="34616"/>
    <cellStyle name="Обычный 7 7 3 5 4" xfId="34617"/>
    <cellStyle name="Обычный 7 7 3 5 4 2" xfId="34618"/>
    <cellStyle name="Обычный 7 7 3 5 5" xfId="34619"/>
    <cellStyle name="Обычный 7 7 3 5 6" xfId="34620"/>
    <cellStyle name="Обычный 7 7 3 6" xfId="34621"/>
    <cellStyle name="Обычный 7 7 3 6 2" xfId="34622"/>
    <cellStyle name="Обычный 7 7 3 6 3" xfId="34623"/>
    <cellStyle name="Обычный 7 7 3 7" xfId="34624"/>
    <cellStyle name="Обычный 7 7 3 7 2" xfId="34625"/>
    <cellStyle name="Обычный 7 7 3 7 3" xfId="34626"/>
    <cellStyle name="Обычный 7 7 3 8" xfId="34627"/>
    <cellStyle name="Обычный 7 7 3 8 2" xfId="34628"/>
    <cellStyle name="Обычный 7 7 3 9" xfId="34629"/>
    <cellStyle name="Обычный 7 7 4" xfId="34630"/>
    <cellStyle name="Обычный 7 7 4 10" xfId="34631"/>
    <cellStyle name="Обычный 7 7 4 2" xfId="34632"/>
    <cellStyle name="Обычный 7 7 4 2 2" xfId="34633"/>
    <cellStyle name="Обычный 7 7 4 2 2 2" xfId="34634"/>
    <cellStyle name="Обычный 7 7 4 2 2 2 2" xfId="34635"/>
    <cellStyle name="Обычный 7 7 4 2 2 2 2 2" xfId="34636"/>
    <cellStyle name="Обычный 7 7 4 2 2 2 2 2 2" xfId="34637"/>
    <cellStyle name="Обычный 7 7 4 2 2 2 2 2 3" xfId="34638"/>
    <cellStyle name="Обычный 7 7 4 2 2 2 2 3" xfId="34639"/>
    <cellStyle name="Обычный 7 7 4 2 2 2 2 3 2" xfId="34640"/>
    <cellStyle name="Обычный 7 7 4 2 2 2 2 3 3" xfId="34641"/>
    <cellStyle name="Обычный 7 7 4 2 2 2 2 4" xfId="34642"/>
    <cellStyle name="Обычный 7 7 4 2 2 2 2 4 2" xfId="34643"/>
    <cellStyle name="Обычный 7 7 4 2 2 2 2 5" xfId="34644"/>
    <cellStyle name="Обычный 7 7 4 2 2 2 2 6" xfId="34645"/>
    <cellStyle name="Обычный 7 7 4 2 2 2 3" xfId="34646"/>
    <cellStyle name="Обычный 7 7 4 2 2 2 3 2" xfId="34647"/>
    <cellStyle name="Обычный 7 7 4 2 2 2 3 3" xfId="34648"/>
    <cellStyle name="Обычный 7 7 4 2 2 2 4" xfId="34649"/>
    <cellStyle name="Обычный 7 7 4 2 2 2 4 2" xfId="34650"/>
    <cellStyle name="Обычный 7 7 4 2 2 2 4 3" xfId="34651"/>
    <cellStyle name="Обычный 7 7 4 2 2 2 5" xfId="34652"/>
    <cellStyle name="Обычный 7 7 4 2 2 2 5 2" xfId="34653"/>
    <cellStyle name="Обычный 7 7 4 2 2 2 6" xfId="34654"/>
    <cellStyle name="Обычный 7 7 4 2 2 2 7" xfId="34655"/>
    <cellStyle name="Обычный 7 7 4 2 2 3" xfId="34656"/>
    <cellStyle name="Обычный 7 7 4 2 2 3 2" xfId="34657"/>
    <cellStyle name="Обычный 7 7 4 2 2 3 2 2" xfId="34658"/>
    <cellStyle name="Обычный 7 7 4 2 2 3 2 3" xfId="34659"/>
    <cellStyle name="Обычный 7 7 4 2 2 3 3" xfId="34660"/>
    <cellStyle name="Обычный 7 7 4 2 2 3 3 2" xfId="34661"/>
    <cellStyle name="Обычный 7 7 4 2 2 3 3 3" xfId="34662"/>
    <cellStyle name="Обычный 7 7 4 2 2 3 4" xfId="34663"/>
    <cellStyle name="Обычный 7 7 4 2 2 3 4 2" xfId="34664"/>
    <cellStyle name="Обычный 7 7 4 2 2 3 5" xfId="34665"/>
    <cellStyle name="Обычный 7 7 4 2 2 3 6" xfId="34666"/>
    <cellStyle name="Обычный 7 7 4 2 2 4" xfId="34667"/>
    <cellStyle name="Обычный 7 7 4 2 2 4 2" xfId="34668"/>
    <cellStyle name="Обычный 7 7 4 2 2 4 3" xfId="34669"/>
    <cellStyle name="Обычный 7 7 4 2 2 5" xfId="34670"/>
    <cellStyle name="Обычный 7 7 4 2 2 5 2" xfId="34671"/>
    <cellStyle name="Обычный 7 7 4 2 2 5 3" xfId="34672"/>
    <cellStyle name="Обычный 7 7 4 2 2 6" xfId="34673"/>
    <cellStyle name="Обычный 7 7 4 2 2 6 2" xfId="34674"/>
    <cellStyle name="Обычный 7 7 4 2 2 7" xfId="34675"/>
    <cellStyle name="Обычный 7 7 4 2 2 8" xfId="34676"/>
    <cellStyle name="Обычный 7 7 4 2 3" xfId="34677"/>
    <cellStyle name="Обычный 7 7 4 2 3 2" xfId="34678"/>
    <cellStyle name="Обычный 7 7 4 2 3 2 2" xfId="34679"/>
    <cellStyle name="Обычный 7 7 4 2 3 2 2 2" xfId="34680"/>
    <cellStyle name="Обычный 7 7 4 2 3 2 2 3" xfId="34681"/>
    <cellStyle name="Обычный 7 7 4 2 3 2 3" xfId="34682"/>
    <cellStyle name="Обычный 7 7 4 2 3 2 3 2" xfId="34683"/>
    <cellStyle name="Обычный 7 7 4 2 3 2 3 3" xfId="34684"/>
    <cellStyle name="Обычный 7 7 4 2 3 2 4" xfId="34685"/>
    <cellStyle name="Обычный 7 7 4 2 3 2 4 2" xfId="34686"/>
    <cellStyle name="Обычный 7 7 4 2 3 2 5" xfId="34687"/>
    <cellStyle name="Обычный 7 7 4 2 3 2 6" xfId="34688"/>
    <cellStyle name="Обычный 7 7 4 2 3 3" xfId="34689"/>
    <cellStyle name="Обычный 7 7 4 2 3 3 2" xfId="34690"/>
    <cellStyle name="Обычный 7 7 4 2 3 3 3" xfId="34691"/>
    <cellStyle name="Обычный 7 7 4 2 3 4" xfId="34692"/>
    <cellStyle name="Обычный 7 7 4 2 3 4 2" xfId="34693"/>
    <cellStyle name="Обычный 7 7 4 2 3 4 3" xfId="34694"/>
    <cellStyle name="Обычный 7 7 4 2 3 5" xfId="34695"/>
    <cellStyle name="Обычный 7 7 4 2 3 5 2" xfId="34696"/>
    <cellStyle name="Обычный 7 7 4 2 3 6" xfId="34697"/>
    <cellStyle name="Обычный 7 7 4 2 3 7" xfId="34698"/>
    <cellStyle name="Обычный 7 7 4 2 4" xfId="34699"/>
    <cellStyle name="Обычный 7 7 4 2 4 2" xfId="34700"/>
    <cellStyle name="Обычный 7 7 4 2 4 2 2" xfId="34701"/>
    <cellStyle name="Обычный 7 7 4 2 4 2 3" xfId="34702"/>
    <cellStyle name="Обычный 7 7 4 2 4 3" xfId="34703"/>
    <cellStyle name="Обычный 7 7 4 2 4 3 2" xfId="34704"/>
    <cellStyle name="Обычный 7 7 4 2 4 3 3" xfId="34705"/>
    <cellStyle name="Обычный 7 7 4 2 4 4" xfId="34706"/>
    <cellStyle name="Обычный 7 7 4 2 4 4 2" xfId="34707"/>
    <cellStyle name="Обычный 7 7 4 2 4 5" xfId="34708"/>
    <cellStyle name="Обычный 7 7 4 2 4 6" xfId="34709"/>
    <cellStyle name="Обычный 7 7 4 2 5" xfId="34710"/>
    <cellStyle name="Обычный 7 7 4 2 5 2" xfId="34711"/>
    <cellStyle name="Обычный 7 7 4 2 5 3" xfId="34712"/>
    <cellStyle name="Обычный 7 7 4 2 6" xfId="34713"/>
    <cellStyle name="Обычный 7 7 4 2 6 2" xfId="34714"/>
    <cellStyle name="Обычный 7 7 4 2 6 3" xfId="34715"/>
    <cellStyle name="Обычный 7 7 4 2 7" xfId="34716"/>
    <cellStyle name="Обычный 7 7 4 2 7 2" xfId="34717"/>
    <cellStyle name="Обычный 7 7 4 2 8" xfId="34718"/>
    <cellStyle name="Обычный 7 7 4 2 9" xfId="34719"/>
    <cellStyle name="Обычный 7 7 4 3" xfId="34720"/>
    <cellStyle name="Обычный 7 7 4 3 2" xfId="34721"/>
    <cellStyle name="Обычный 7 7 4 3 2 2" xfId="34722"/>
    <cellStyle name="Обычный 7 7 4 3 2 2 2" xfId="34723"/>
    <cellStyle name="Обычный 7 7 4 3 2 2 2 2" xfId="34724"/>
    <cellStyle name="Обычный 7 7 4 3 2 2 2 3" xfId="34725"/>
    <cellStyle name="Обычный 7 7 4 3 2 2 3" xfId="34726"/>
    <cellStyle name="Обычный 7 7 4 3 2 2 3 2" xfId="34727"/>
    <cellStyle name="Обычный 7 7 4 3 2 2 3 3" xfId="34728"/>
    <cellStyle name="Обычный 7 7 4 3 2 2 4" xfId="34729"/>
    <cellStyle name="Обычный 7 7 4 3 2 2 4 2" xfId="34730"/>
    <cellStyle name="Обычный 7 7 4 3 2 2 5" xfId="34731"/>
    <cellStyle name="Обычный 7 7 4 3 2 2 6" xfId="34732"/>
    <cellStyle name="Обычный 7 7 4 3 2 3" xfId="34733"/>
    <cellStyle name="Обычный 7 7 4 3 2 3 2" xfId="34734"/>
    <cellStyle name="Обычный 7 7 4 3 2 3 3" xfId="34735"/>
    <cellStyle name="Обычный 7 7 4 3 2 4" xfId="34736"/>
    <cellStyle name="Обычный 7 7 4 3 2 4 2" xfId="34737"/>
    <cellStyle name="Обычный 7 7 4 3 2 4 3" xfId="34738"/>
    <cellStyle name="Обычный 7 7 4 3 2 5" xfId="34739"/>
    <cellStyle name="Обычный 7 7 4 3 2 5 2" xfId="34740"/>
    <cellStyle name="Обычный 7 7 4 3 2 6" xfId="34741"/>
    <cellStyle name="Обычный 7 7 4 3 2 7" xfId="34742"/>
    <cellStyle name="Обычный 7 7 4 3 3" xfId="34743"/>
    <cellStyle name="Обычный 7 7 4 3 3 2" xfId="34744"/>
    <cellStyle name="Обычный 7 7 4 3 3 2 2" xfId="34745"/>
    <cellStyle name="Обычный 7 7 4 3 3 2 3" xfId="34746"/>
    <cellStyle name="Обычный 7 7 4 3 3 3" xfId="34747"/>
    <cellStyle name="Обычный 7 7 4 3 3 3 2" xfId="34748"/>
    <cellStyle name="Обычный 7 7 4 3 3 3 3" xfId="34749"/>
    <cellStyle name="Обычный 7 7 4 3 3 4" xfId="34750"/>
    <cellStyle name="Обычный 7 7 4 3 3 4 2" xfId="34751"/>
    <cellStyle name="Обычный 7 7 4 3 3 5" xfId="34752"/>
    <cellStyle name="Обычный 7 7 4 3 3 6" xfId="34753"/>
    <cellStyle name="Обычный 7 7 4 3 4" xfId="34754"/>
    <cellStyle name="Обычный 7 7 4 3 4 2" xfId="34755"/>
    <cellStyle name="Обычный 7 7 4 3 4 3" xfId="34756"/>
    <cellStyle name="Обычный 7 7 4 3 5" xfId="34757"/>
    <cellStyle name="Обычный 7 7 4 3 5 2" xfId="34758"/>
    <cellStyle name="Обычный 7 7 4 3 5 3" xfId="34759"/>
    <cellStyle name="Обычный 7 7 4 3 6" xfId="34760"/>
    <cellStyle name="Обычный 7 7 4 3 6 2" xfId="34761"/>
    <cellStyle name="Обычный 7 7 4 3 7" xfId="34762"/>
    <cellStyle name="Обычный 7 7 4 3 8" xfId="34763"/>
    <cellStyle name="Обычный 7 7 4 4" xfId="34764"/>
    <cellStyle name="Обычный 7 7 4 4 2" xfId="34765"/>
    <cellStyle name="Обычный 7 7 4 4 2 2" xfId="34766"/>
    <cellStyle name="Обычный 7 7 4 4 2 2 2" xfId="34767"/>
    <cellStyle name="Обычный 7 7 4 4 2 2 3" xfId="34768"/>
    <cellStyle name="Обычный 7 7 4 4 2 3" xfId="34769"/>
    <cellStyle name="Обычный 7 7 4 4 2 3 2" xfId="34770"/>
    <cellStyle name="Обычный 7 7 4 4 2 3 3" xfId="34771"/>
    <cellStyle name="Обычный 7 7 4 4 2 4" xfId="34772"/>
    <cellStyle name="Обычный 7 7 4 4 2 4 2" xfId="34773"/>
    <cellStyle name="Обычный 7 7 4 4 2 5" xfId="34774"/>
    <cellStyle name="Обычный 7 7 4 4 2 6" xfId="34775"/>
    <cellStyle name="Обычный 7 7 4 4 3" xfId="34776"/>
    <cellStyle name="Обычный 7 7 4 4 3 2" xfId="34777"/>
    <cellStyle name="Обычный 7 7 4 4 3 3" xfId="34778"/>
    <cellStyle name="Обычный 7 7 4 4 4" xfId="34779"/>
    <cellStyle name="Обычный 7 7 4 4 4 2" xfId="34780"/>
    <cellStyle name="Обычный 7 7 4 4 4 3" xfId="34781"/>
    <cellStyle name="Обычный 7 7 4 4 5" xfId="34782"/>
    <cellStyle name="Обычный 7 7 4 4 5 2" xfId="34783"/>
    <cellStyle name="Обычный 7 7 4 4 6" xfId="34784"/>
    <cellStyle name="Обычный 7 7 4 4 7" xfId="34785"/>
    <cellStyle name="Обычный 7 7 4 5" xfId="34786"/>
    <cellStyle name="Обычный 7 7 4 5 2" xfId="34787"/>
    <cellStyle name="Обычный 7 7 4 5 2 2" xfId="34788"/>
    <cellStyle name="Обычный 7 7 4 5 2 3" xfId="34789"/>
    <cellStyle name="Обычный 7 7 4 5 3" xfId="34790"/>
    <cellStyle name="Обычный 7 7 4 5 3 2" xfId="34791"/>
    <cellStyle name="Обычный 7 7 4 5 3 3" xfId="34792"/>
    <cellStyle name="Обычный 7 7 4 5 4" xfId="34793"/>
    <cellStyle name="Обычный 7 7 4 5 4 2" xfId="34794"/>
    <cellStyle name="Обычный 7 7 4 5 5" xfId="34795"/>
    <cellStyle name="Обычный 7 7 4 5 6" xfId="34796"/>
    <cellStyle name="Обычный 7 7 4 6" xfId="34797"/>
    <cellStyle name="Обычный 7 7 4 6 2" xfId="34798"/>
    <cellStyle name="Обычный 7 7 4 6 3" xfId="34799"/>
    <cellStyle name="Обычный 7 7 4 7" xfId="34800"/>
    <cellStyle name="Обычный 7 7 4 7 2" xfId="34801"/>
    <cellStyle name="Обычный 7 7 4 7 3" xfId="34802"/>
    <cellStyle name="Обычный 7 7 4 8" xfId="34803"/>
    <cellStyle name="Обычный 7 7 4 8 2" xfId="34804"/>
    <cellStyle name="Обычный 7 7 4 9" xfId="34805"/>
    <cellStyle name="Обычный 7 7 5" xfId="34806"/>
    <cellStyle name="Обычный 7 7 5 10" xfId="34807"/>
    <cellStyle name="Обычный 7 7 5 2" xfId="34808"/>
    <cellStyle name="Обычный 7 7 5 2 2" xfId="34809"/>
    <cellStyle name="Обычный 7 7 5 2 2 2" xfId="34810"/>
    <cellStyle name="Обычный 7 7 5 2 2 2 2" xfId="34811"/>
    <cellStyle name="Обычный 7 7 5 2 2 2 2 2" xfId="34812"/>
    <cellStyle name="Обычный 7 7 5 2 2 2 2 2 2" xfId="34813"/>
    <cellStyle name="Обычный 7 7 5 2 2 2 2 2 3" xfId="34814"/>
    <cellStyle name="Обычный 7 7 5 2 2 2 2 3" xfId="34815"/>
    <cellStyle name="Обычный 7 7 5 2 2 2 2 3 2" xfId="34816"/>
    <cellStyle name="Обычный 7 7 5 2 2 2 2 3 3" xfId="34817"/>
    <cellStyle name="Обычный 7 7 5 2 2 2 2 4" xfId="34818"/>
    <cellStyle name="Обычный 7 7 5 2 2 2 2 4 2" xfId="34819"/>
    <cellStyle name="Обычный 7 7 5 2 2 2 2 5" xfId="34820"/>
    <cellStyle name="Обычный 7 7 5 2 2 2 2 6" xfId="34821"/>
    <cellStyle name="Обычный 7 7 5 2 2 2 3" xfId="34822"/>
    <cellStyle name="Обычный 7 7 5 2 2 2 3 2" xfId="34823"/>
    <cellStyle name="Обычный 7 7 5 2 2 2 3 3" xfId="34824"/>
    <cellStyle name="Обычный 7 7 5 2 2 2 4" xfId="34825"/>
    <cellStyle name="Обычный 7 7 5 2 2 2 4 2" xfId="34826"/>
    <cellStyle name="Обычный 7 7 5 2 2 2 4 3" xfId="34827"/>
    <cellStyle name="Обычный 7 7 5 2 2 2 5" xfId="34828"/>
    <cellStyle name="Обычный 7 7 5 2 2 2 5 2" xfId="34829"/>
    <cellStyle name="Обычный 7 7 5 2 2 2 6" xfId="34830"/>
    <cellStyle name="Обычный 7 7 5 2 2 2 7" xfId="34831"/>
    <cellStyle name="Обычный 7 7 5 2 2 3" xfId="34832"/>
    <cellStyle name="Обычный 7 7 5 2 2 3 2" xfId="34833"/>
    <cellStyle name="Обычный 7 7 5 2 2 3 2 2" xfId="34834"/>
    <cellStyle name="Обычный 7 7 5 2 2 3 2 3" xfId="34835"/>
    <cellStyle name="Обычный 7 7 5 2 2 3 3" xfId="34836"/>
    <cellStyle name="Обычный 7 7 5 2 2 3 3 2" xfId="34837"/>
    <cellStyle name="Обычный 7 7 5 2 2 3 3 3" xfId="34838"/>
    <cellStyle name="Обычный 7 7 5 2 2 3 4" xfId="34839"/>
    <cellStyle name="Обычный 7 7 5 2 2 3 4 2" xfId="34840"/>
    <cellStyle name="Обычный 7 7 5 2 2 3 5" xfId="34841"/>
    <cellStyle name="Обычный 7 7 5 2 2 3 6" xfId="34842"/>
    <cellStyle name="Обычный 7 7 5 2 2 4" xfId="34843"/>
    <cellStyle name="Обычный 7 7 5 2 2 4 2" xfId="34844"/>
    <cellStyle name="Обычный 7 7 5 2 2 4 3" xfId="34845"/>
    <cellStyle name="Обычный 7 7 5 2 2 5" xfId="34846"/>
    <cellStyle name="Обычный 7 7 5 2 2 5 2" xfId="34847"/>
    <cellStyle name="Обычный 7 7 5 2 2 5 3" xfId="34848"/>
    <cellStyle name="Обычный 7 7 5 2 2 6" xfId="34849"/>
    <cellStyle name="Обычный 7 7 5 2 2 6 2" xfId="34850"/>
    <cellStyle name="Обычный 7 7 5 2 2 7" xfId="34851"/>
    <cellStyle name="Обычный 7 7 5 2 2 8" xfId="34852"/>
    <cellStyle name="Обычный 7 7 5 2 3" xfId="34853"/>
    <cellStyle name="Обычный 7 7 5 2 3 2" xfId="34854"/>
    <cellStyle name="Обычный 7 7 5 2 3 2 2" xfId="34855"/>
    <cellStyle name="Обычный 7 7 5 2 3 2 2 2" xfId="34856"/>
    <cellStyle name="Обычный 7 7 5 2 3 2 2 3" xfId="34857"/>
    <cellStyle name="Обычный 7 7 5 2 3 2 3" xfId="34858"/>
    <cellStyle name="Обычный 7 7 5 2 3 2 3 2" xfId="34859"/>
    <cellStyle name="Обычный 7 7 5 2 3 2 3 3" xfId="34860"/>
    <cellStyle name="Обычный 7 7 5 2 3 2 4" xfId="34861"/>
    <cellStyle name="Обычный 7 7 5 2 3 2 4 2" xfId="34862"/>
    <cellStyle name="Обычный 7 7 5 2 3 2 5" xfId="34863"/>
    <cellStyle name="Обычный 7 7 5 2 3 2 6" xfId="34864"/>
    <cellStyle name="Обычный 7 7 5 2 3 3" xfId="34865"/>
    <cellStyle name="Обычный 7 7 5 2 3 3 2" xfId="34866"/>
    <cellStyle name="Обычный 7 7 5 2 3 3 3" xfId="34867"/>
    <cellStyle name="Обычный 7 7 5 2 3 4" xfId="34868"/>
    <cellStyle name="Обычный 7 7 5 2 3 4 2" xfId="34869"/>
    <cellStyle name="Обычный 7 7 5 2 3 4 3" xfId="34870"/>
    <cellStyle name="Обычный 7 7 5 2 3 5" xfId="34871"/>
    <cellStyle name="Обычный 7 7 5 2 3 5 2" xfId="34872"/>
    <cellStyle name="Обычный 7 7 5 2 3 6" xfId="34873"/>
    <cellStyle name="Обычный 7 7 5 2 3 7" xfId="34874"/>
    <cellStyle name="Обычный 7 7 5 2 4" xfId="34875"/>
    <cellStyle name="Обычный 7 7 5 2 4 2" xfId="34876"/>
    <cellStyle name="Обычный 7 7 5 2 4 2 2" xfId="34877"/>
    <cellStyle name="Обычный 7 7 5 2 4 2 3" xfId="34878"/>
    <cellStyle name="Обычный 7 7 5 2 4 3" xfId="34879"/>
    <cellStyle name="Обычный 7 7 5 2 4 3 2" xfId="34880"/>
    <cellStyle name="Обычный 7 7 5 2 4 3 3" xfId="34881"/>
    <cellStyle name="Обычный 7 7 5 2 4 4" xfId="34882"/>
    <cellStyle name="Обычный 7 7 5 2 4 4 2" xfId="34883"/>
    <cellStyle name="Обычный 7 7 5 2 4 5" xfId="34884"/>
    <cellStyle name="Обычный 7 7 5 2 4 6" xfId="34885"/>
    <cellStyle name="Обычный 7 7 5 2 5" xfId="34886"/>
    <cellStyle name="Обычный 7 7 5 2 5 2" xfId="34887"/>
    <cellStyle name="Обычный 7 7 5 2 5 3" xfId="34888"/>
    <cellStyle name="Обычный 7 7 5 2 6" xfId="34889"/>
    <cellStyle name="Обычный 7 7 5 2 6 2" xfId="34890"/>
    <cellStyle name="Обычный 7 7 5 2 6 3" xfId="34891"/>
    <cellStyle name="Обычный 7 7 5 2 7" xfId="34892"/>
    <cellStyle name="Обычный 7 7 5 2 7 2" xfId="34893"/>
    <cellStyle name="Обычный 7 7 5 2 8" xfId="34894"/>
    <cellStyle name="Обычный 7 7 5 2 9" xfId="34895"/>
    <cellStyle name="Обычный 7 7 5 3" xfId="34896"/>
    <cellStyle name="Обычный 7 7 5 3 2" xfId="34897"/>
    <cellStyle name="Обычный 7 7 5 3 2 2" xfId="34898"/>
    <cellStyle name="Обычный 7 7 5 3 2 2 2" xfId="34899"/>
    <cellStyle name="Обычный 7 7 5 3 2 2 2 2" xfId="34900"/>
    <cellStyle name="Обычный 7 7 5 3 2 2 2 3" xfId="34901"/>
    <cellStyle name="Обычный 7 7 5 3 2 2 3" xfId="34902"/>
    <cellStyle name="Обычный 7 7 5 3 2 2 3 2" xfId="34903"/>
    <cellStyle name="Обычный 7 7 5 3 2 2 3 3" xfId="34904"/>
    <cellStyle name="Обычный 7 7 5 3 2 2 4" xfId="34905"/>
    <cellStyle name="Обычный 7 7 5 3 2 2 4 2" xfId="34906"/>
    <cellStyle name="Обычный 7 7 5 3 2 2 5" xfId="34907"/>
    <cellStyle name="Обычный 7 7 5 3 2 2 6" xfId="34908"/>
    <cellStyle name="Обычный 7 7 5 3 2 3" xfId="34909"/>
    <cellStyle name="Обычный 7 7 5 3 2 3 2" xfId="34910"/>
    <cellStyle name="Обычный 7 7 5 3 2 3 3" xfId="34911"/>
    <cellStyle name="Обычный 7 7 5 3 2 4" xfId="34912"/>
    <cellStyle name="Обычный 7 7 5 3 2 4 2" xfId="34913"/>
    <cellStyle name="Обычный 7 7 5 3 2 4 3" xfId="34914"/>
    <cellStyle name="Обычный 7 7 5 3 2 5" xfId="34915"/>
    <cellStyle name="Обычный 7 7 5 3 2 5 2" xfId="34916"/>
    <cellStyle name="Обычный 7 7 5 3 2 6" xfId="34917"/>
    <cellStyle name="Обычный 7 7 5 3 2 7" xfId="34918"/>
    <cellStyle name="Обычный 7 7 5 3 3" xfId="34919"/>
    <cellStyle name="Обычный 7 7 5 3 3 2" xfId="34920"/>
    <cellStyle name="Обычный 7 7 5 3 3 2 2" xfId="34921"/>
    <cellStyle name="Обычный 7 7 5 3 3 2 3" xfId="34922"/>
    <cellStyle name="Обычный 7 7 5 3 3 3" xfId="34923"/>
    <cellStyle name="Обычный 7 7 5 3 3 3 2" xfId="34924"/>
    <cellStyle name="Обычный 7 7 5 3 3 3 3" xfId="34925"/>
    <cellStyle name="Обычный 7 7 5 3 3 4" xfId="34926"/>
    <cellStyle name="Обычный 7 7 5 3 3 4 2" xfId="34927"/>
    <cellStyle name="Обычный 7 7 5 3 3 5" xfId="34928"/>
    <cellStyle name="Обычный 7 7 5 3 3 6" xfId="34929"/>
    <cellStyle name="Обычный 7 7 5 3 4" xfId="34930"/>
    <cellStyle name="Обычный 7 7 5 3 4 2" xfId="34931"/>
    <cellStyle name="Обычный 7 7 5 3 4 3" xfId="34932"/>
    <cellStyle name="Обычный 7 7 5 3 5" xfId="34933"/>
    <cellStyle name="Обычный 7 7 5 3 5 2" xfId="34934"/>
    <cellStyle name="Обычный 7 7 5 3 5 3" xfId="34935"/>
    <cellStyle name="Обычный 7 7 5 3 6" xfId="34936"/>
    <cellStyle name="Обычный 7 7 5 3 6 2" xfId="34937"/>
    <cellStyle name="Обычный 7 7 5 3 7" xfId="34938"/>
    <cellStyle name="Обычный 7 7 5 3 8" xfId="34939"/>
    <cellStyle name="Обычный 7 7 5 4" xfId="34940"/>
    <cellStyle name="Обычный 7 7 5 4 2" xfId="34941"/>
    <cellStyle name="Обычный 7 7 5 4 2 2" xfId="34942"/>
    <cellStyle name="Обычный 7 7 5 4 2 2 2" xfId="34943"/>
    <cellStyle name="Обычный 7 7 5 4 2 2 3" xfId="34944"/>
    <cellStyle name="Обычный 7 7 5 4 2 3" xfId="34945"/>
    <cellStyle name="Обычный 7 7 5 4 2 3 2" xfId="34946"/>
    <cellStyle name="Обычный 7 7 5 4 2 3 3" xfId="34947"/>
    <cellStyle name="Обычный 7 7 5 4 2 4" xfId="34948"/>
    <cellStyle name="Обычный 7 7 5 4 2 4 2" xfId="34949"/>
    <cellStyle name="Обычный 7 7 5 4 2 5" xfId="34950"/>
    <cellStyle name="Обычный 7 7 5 4 2 6" xfId="34951"/>
    <cellStyle name="Обычный 7 7 5 4 3" xfId="34952"/>
    <cellStyle name="Обычный 7 7 5 4 3 2" xfId="34953"/>
    <cellStyle name="Обычный 7 7 5 4 3 3" xfId="34954"/>
    <cellStyle name="Обычный 7 7 5 4 4" xfId="34955"/>
    <cellStyle name="Обычный 7 7 5 4 4 2" xfId="34956"/>
    <cellStyle name="Обычный 7 7 5 4 4 3" xfId="34957"/>
    <cellStyle name="Обычный 7 7 5 4 5" xfId="34958"/>
    <cellStyle name="Обычный 7 7 5 4 5 2" xfId="34959"/>
    <cellStyle name="Обычный 7 7 5 4 6" xfId="34960"/>
    <cellStyle name="Обычный 7 7 5 4 7" xfId="34961"/>
    <cellStyle name="Обычный 7 7 5 5" xfId="34962"/>
    <cellStyle name="Обычный 7 7 5 5 2" xfId="34963"/>
    <cellStyle name="Обычный 7 7 5 5 2 2" xfId="34964"/>
    <cellStyle name="Обычный 7 7 5 5 2 3" xfId="34965"/>
    <cellStyle name="Обычный 7 7 5 5 3" xfId="34966"/>
    <cellStyle name="Обычный 7 7 5 5 3 2" xfId="34967"/>
    <cellStyle name="Обычный 7 7 5 5 3 3" xfId="34968"/>
    <cellStyle name="Обычный 7 7 5 5 4" xfId="34969"/>
    <cellStyle name="Обычный 7 7 5 5 4 2" xfId="34970"/>
    <cellStyle name="Обычный 7 7 5 5 5" xfId="34971"/>
    <cellStyle name="Обычный 7 7 5 5 6" xfId="34972"/>
    <cellStyle name="Обычный 7 7 5 6" xfId="34973"/>
    <cellStyle name="Обычный 7 7 5 6 2" xfId="34974"/>
    <cellStyle name="Обычный 7 7 5 6 3" xfId="34975"/>
    <cellStyle name="Обычный 7 7 5 7" xfId="34976"/>
    <cellStyle name="Обычный 7 7 5 7 2" xfId="34977"/>
    <cellStyle name="Обычный 7 7 5 7 3" xfId="34978"/>
    <cellStyle name="Обычный 7 7 5 8" xfId="34979"/>
    <cellStyle name="Обычный 7 7 5 8 2" xfId="34980"/>
    <cellStyle name="Обычный 7 7 5 9" xfId="34981"/>
    <cellStyle name="Обычный 7 7 6" xfId="34982"/>
    <cellStyle name="Обычный 7 7 6 2" xfId="34983"/>
    <cellStyle name="Обычный 7 7 6 2 2" xfId="34984"/>
    <cellStyle name="Обычный 7 7 6 2 2 2" xfId="34985"/>
    <cellStyle name="Обычный 7 7 6 2 2 2 2" xfId="34986"/>
    <cellStyle name="Обычный 7 7 6 2 2 2 2 2" xfId="34987"/>
    <cellStyle name="Обычный 7 7 6 2 2 2 2 3" xfId="34988"/>
    <cellStyle name="Обычный 7 7 6 2 2 2 3" xfId="34989"/>
    <cellStyle name="Обычный 7 7 6 2 2 2 3 2" xfId="34990"/>
    <cellStyle name="Обычный 7 7 6 2 2 2 3 3" xfId="34991"/>
    <cellStyle name="Обычный 7 7 6 2 2 2 4" xfId="34992"/>
    <cellStyle name="Обычный 7 7 6 2 2 2 4 2" xfId="34993"/>
    <cellStyle name="Обычный 7 7 6 2 2 2 5" xfId="34994"/>
    <cellStyle name="Обычный 7 7 6 2 2 2 6" xfId="34995"/>
    <cellStyle name="Обычный 7 7 6 2 2 3" xfId="34996"/>
    <cellStyle name="Обычный 7 7 6 2 2 3 2" xfId="34997"/>
    <cellStyle name="Обычный 7 7 6 2 2 3 3" xfId="34998"/>
    <cellStyle name="Обычный 7 7 6 2 2 4" xfId="34999"/>
    <cellStyle name="Обычный 7 7 6 2 2 4 2" xfId="35000"/>
    <cellStyle name="Обычный 7 7 6 2 2 4 3" xfId="35001"/>
    <cellStyle name="Обычный 7 7 6 2 2 5" xfId="35002"/>
    <cellStyle name="Обычный 7 7 6 2 2 5 2" xfId="35003"/>
    <cellStyle name="Обычный 7 7 6 2 2 6" xfId="35004"/>
    <cellStyle name="Обычный 7 7 6 2 2 7" xfId="35005"/>
    <cellStyle name="Обычный 7 7 6 2 3" xfId="35006"/>
    <cellStyle name="Обычный 7 7 6 2 3 2" xfId="35007"/>
    <cellStyle name="Обычный 7 7 6 2 3 2 2" xfId="35008"/>
    <cellStyle name="Обычный 7 7 6 2 3 2 3" xfId="35009"/>
    <cellStyle name="Обычный 7 7 6 2 3 3" xfId="35010"/>
    <cellStyle name="Обычный 7 7 6 2 3 3 2" xfId="35011"/>
    <cellStyle name="Обычный 7 7 6 2 3 3 3" xfId="35012"/>
    <cellStyle name="Обычный 7 7 6 2 3 4" xfId="35013"/>
    <cellStyle name="Обычный 7 7 6 2 3 4 2" xfId="35014"/>
    <cellStyle name="Обычный 7 7 6 2 3 5" xfId="35015"/>
    <cellStyle name="Обычный 7 7 6 2 3 6" xfId="35016"/>
    <cellStyle name="Обычный 7 7 6 2 4" xfId="35017"/>
    <cellStyle name="Обычный 7 7 6 2 4 2" xfId="35018"/>
    <cellStyle name="Обычный 7 7 6 2 4 3" xfId="35019"/>
    <cellStyle name="Обычный 7 7 6 2 5" xfId="35020"/>
    <cellStyle name="Обычный 7 7 6 2 5 2" xfId="35021"/>
    <cellStyle name="Обычный 7 7 6 2 5 3" xfId="35022"/>
    <cellStyle name="Обычный 7 7 6 2 6" xfId="35023"/>
    <cellStyle name="Обычный 7 7 6 2 6 2" xfId="35024"/>
    <cellStyle name="Обычный 7 7 6 2 7" xfId="35025"/>
    <cellStyle name="Обычный 7 7 6 2 8" xfId="35026"/>
    <cellStyle name="Обычный 7 7 6 3" xfId="35027"/>
    <cellStyle name="Обычный 7 7 6 3 2" xfId="35028"/>
    <cellStyle name="Обычный 7 7 6 3 2 2" xfId="35029"/>
    <cellStyle name="Обычный 7 7 6 3 2 2 2" xfId="35030"/>
    <cellStyle name="Обычный 7 7 6 3 2 2 3" xfId="35031"/>
    <cellStyle name="Обычный 7 7 6 3 2 3" xfId="35032"/>
    <cellStyle name="Обычный 7 7 6 3 2 3 2" xfId="35033"/>
    <cellStyle name="Обычный 7 7 6 3 2 3 3" xfId="35034"/>
    <cellStyle name="Обычный 7 7 6 3 2 4" xfId="35035"/>
    <cellStyle name="Обычный 7 7 6 3 2 4 2" xfId="35036"/>
    <cellStyle name="Обычный 7 7 6 3 2 5" xfId="35037"/>
    <cellStyle name="Обычный 7 7 6 3 2 6" xfId="35038"/>
    <cellStyle name="Обычный 7 7 6 3 3" xfId="35039"/>
    <cellStyle name="Обычный 7 7 6 3 3 2" xfId="35040"/>
    <cellStyle name="Обычный 7 7 6 3 3 3" xfId="35041"/>
    <cellStyle name="Обычный 7 7 6 3 4" xfId="35042"/>
    <cellStyle name="Обычный 7 7 6 3 4 2" xfId="35043"/>
    <cellStyle name="Обычный 7 7 6 3 4 3" xfId="35044"/>
    <cellStyle name="Обычный 7 7 6 3 5" xfId="35045"/>
    <cellStyle name="Обычный 7 7 6 3 5 2" xfId="35046"/>
    <cellStyle name="Обычный 7 7 6 3 6" xfId="35047"/>
    <cellStyle name="Обычный 7 7 6 3 7" xfId="35048"/>
    <cellStyle name="Обычный 7 7 6 4" xfId="35049"/>
    <cellStyle name="Обычный 7 7 6 4 2" xfId="35050"/>
    <cellStyle name="Обычный 7 7 6 4 2 2" xfId="35051"/>
    <cellStyle name="Обычный 7 7 6 4 2 3" xfId="35052"/>
    <cellStyle name="Обычный 7 7 6 4 3" xfId="35053"/>
    <cellStyle name="Обычный 7 7 6 4 3 2" xfId="35054"/>
    <cellStyle name="Обычный 7 7 6 4 3 3" xfId="35055"/>
    <cellStyle name="Обычный 7 7 6 4 4" xfId="35056"/>
    <cellStyle name="Обычный 7 7 6 4 4 2" xfId="35057"/>
    <cellStyle name="Обычный 7 7 6 4 5" xfId="35058"/>
    <cellStyle name="Обычный 7 7 6 4 6" xfId="35059"/>
    <cellStyle name="Обычный 7 7 6 5" xfId="35060"/>
    <cellStyle name="Обычный 7 7 6 5 2" xfId="35061"/>
    <cellStyle name="Обычный 7 7 6 5 3" xfId="35062"/>
    <cellStyle name="Обычный 7 7 6 6" xfId="35063"/>
    <cellStyle name="Обычный 7 7 6 6 2" xfId="35064"/>
    <cellStyle name="Обычный 7 7 6 6 3" xfId="35065"/>
    <cellStyle name="Обычный 7 7 6 7" xfId="35066"/>
    <cellStyle name="Обычный 7 7 6 7 2" xfId="35067"/>
    <cellStyle name="Обычный 7 7 6 8" xfId="35068"/>
    <cellStyle name="Обычный 7 7 6 9" xfId="35069"/>
    <cellStyle name="Обычный 7 7 7" xfId="35070"/>
    <cellStyle name="Обычный 7 7 7 2" xfId="35071"/>
    <cellStyle name="Обычный 7 7 7 2 2" xfId="35072"/>
    <cellStyle name="Обычный 7 7 7 2 2 2" xfId="35073"/>
    <cellStyle name="Обычный 7 7 7 2 2 2 2" xfId="35074"/>
    <cellStyle name="Обычный 7 7 7 2 2 2 3" xfId="35075"/>
    <cellStyle name="Обычный 7 7 7 2 2 3" xfId="35076"/>
    <cellStyle name="Обычный 7 7 7 2 2 3 2" xfId="35077"/>
    <cellStyle name="Обычный 7 7 7 2 2 3 3" xfId="35078"/>
    <cellStyle name="Обычный 7 7 7 2 2 4" xfId="35079"/>
    <cellStyle name="Обычный 7 7 7 2 2 4 2" xfId="35080"/>
    <cellStyle name="Обычный 7 7 7 2 2 5" xfId="35081"/>
    <cellStyle name="Обычный 7 7 7 2 2 6" xfId="35082"/>
    <cellStyle name="Обычный 7 7 7 2 3" xfId="35083"/>
    <cellStyle name="Обычный 7 7 7 2 3 2" xfId="35084"/>
    <cellStyle name="Обычный 7 7 7 2 3 3" xfId="35085"/>
    <cellStyle name="Обычный 7 7 7 2 4" xfId="35086"/>
    <cellStyle name="Обычный 7 7 7 2 4 2" xfId="35087"/>
    <cellStyle name="Обычный 7 7 7 2 4 3" xfId="35088"/>
    <cellStyle name="Обычный 7 7 7 2 5" xfId="35089"/>
    <cellStyle name="Обычный 7 7 7 2 5 2" xfId="35090"/>
    <cellStyle name="Обычный 7 7 7 2 6" xfId="35091"/>
    <cellStyle name="Обычный 7 7 7 2 7" xfId="35092"/>
    <cellStyle name="Обычный 7 7 7 3" xfId="35093"/>
    <cellStyle name="Обычный 7 7 7 3 2" xfId="35094"/>
    <cellStyle name="Обычный 7 7 7 3 2 2" xfId="35095"/>
    <cellStyle name="Обычный 7 7 7 3 2 3" xfId="35096"/>
    <cellStyle name="Обычный 7 7 7 3 3" xfId="35097"/>
    <cellStyle name="Обычный 7 7 7 3 3 2" xfId="35098"/>
    <cellStyle name="Обычный 7 7 7 3 3 3" xfId="35099"/>
    <cellStyle name="Обычный 7 7 7 3 4" xfId="35100"/>
    <cellStyle name="Обычный 7 7 7 3 4 2" xfId="35101"/>
    <cellStyle name="Обычный 7 7 7 3 5" xfId="35102"/>
    <cellStyle name="Обычный 7 7 7 3 6" xfId="35103"/>
    <cellStyle name="Обычный 7 7 7 4" xfId="35104"/>
    <cellStyle name="Обычный 7 7 7 4 2" xfId="35105"/>
    <cellStyle name="Обычный 7 7 7 4 3" xfId="35106"/>
    <cellStyle name="Обычный 7 7 7 5" xfId="35107"/>
    <cellStyle name="Обычный 7 7 7 5 2" xfId="35108"/>
    <cellStyle name="Обычный 7 7 7 5 3" xfId="35109"/>
    <cellStyle name="Обычный 7 7 7 6" xfId="35110"/>
    <cellStyle name="Обычный 7 7 7 6 2" xfId="35111"/>
    <cellStyle name="Обычный 7 7 7 7" xfId="35112"/>
    <cellStyle name="Обычный 7 7 7 8" xfId="35113"/>
    <cellStyle name="Обычный 7 7 8" xfId="35114"/>
    <cellStyle name="Обычный 7 7 8 2" xfId="35115"/>
    <cellStyle name="Обычный 7 7 8 2 2" xfId="35116"/>
    <cellStyle name="Обычный 7 7 8 2 2 2" xfId="35117"/>
    <cellStyle name="Обычный 7 7 8 2 2 3" xfId="35118"/>
    <cellStyle name="Обычный 7 7 8 2 3" xfId="35119"/>
    <cellStyle name="Обычный 7 7 8 2 3 2" xfId="35120"/>
    <cellStyle name="Обычный 7 7 8 2 3 3" xfId="35121"/>
    <cellStyle name="Обычный 7 7 8 2 4" xfId="35122"/>
    <cellStyle name="Обычный 7 7 8 2 4 2" xfId="35123"/>
    <cellStyle name="Обычный 7 7 8 2 5" xfId="35124"/>
    <cellStyle name="Обычный 7 7 8 2 6" xfId="35125"/>
    <cellStyle name="Обычный 7 7 8 3" xfId="35126"/>
    <cellStyle name="Обычный 7 7 8 3 2" xfId="35127"/>
    <cellStyle name="Обычный 7 7 8 3 3" xfId="35128"/>
    <cellStyle name="Обычный 7 7 8 4" xfId="35129"/>
    <cellStyle name="Обычный 7 7 8 4 2" xfId="35130"/>
    <cellStyle name="Обычный 7 7 8 4 3" xfId="35131"/>
    <cellStyle name="Обычный 7 7 8 5" xfId="35132"/>
    <cellStyle name="Обычный 7 7 8 5 2" xfId="35133"/>
    <cellStyle name="Обычный 7 7 8 6" xfId="35134"/>
    <cellStyle name="Обычный 7 7 8 7" xfId="35135"/>
    <cellStyle name="Обычный 7 7 9" xfId="35136"/>
    <cellStyle name="Обычный 7 7 9 2" xfId="35137"/>
    <cellStyle name="Обычный 7 7 9 2 2" xfId="35138"/>
    <cellStyle name="Обычный 7 7 9 2 3" xfId="35139"/>
    <cellStyle name="Обычный 7 7 9 3" xfId="35140"/>
    <cellStyle name="Обычный 7 7 9 3 2" xfId="35141"/>
    <cellStyle name="Обычный 7 7 9 3 3" xfId="35142"/>
    <cellStyle name="Обычный 7 7 9 4" xfId="35143"/>
    <cellStyle name="Обычный 7 7 9 4 2" xfId="35144"/>
    <cellStyle name="Обычный 7 7 9 5" xfId="35145"/>
    <cellStyle name="Обычный 7 7 9 6" xfId="35146"/>
    <cellStyle name="Обычный 7 8" xfId="35147"/>
    <cellStyle name="Обычный 7 8 10" xfId="35148"/>
    <cellStyle name="Обычный 7 8 10 2" xfId="35149"/>
    <cellStyle name="Обычный 7 8 10 3" xfId="35150"/>
    <cellStyle name="Обычный 7 8 11" xfId="35151"/>
    <cellStyle name="Обычный 7 8 11 2" xfId="35152"/>
    <cellStyle name="Обычный 7 8 11 3" xfId="35153"/>
    <cellStyle name="Обычный 7 8 12" xfId="35154"/>
    <cellStyle name="Обычный 7 8 12 2" xfId="35155"/>
    <cellStyle name="Обычный 7 8 13" xfId="35156"/>
    <cellStyle name="Обычный 7 8 14" xfId="35157"/>
    <cellStyle name="Обычный 7 8 2" xfId="35158"/>
    <cellStyle name="Обычный 7 8 2 10" xfId="35159"/>
    <cellStyle name="Обычный 7 8 2 10 2" xfId="35160"/>
    <cellStyle name="Обычный 7 8 2 10 3" xfId="35161"/>
    <cellStyle name="Обычный 7 8 2 11" xfId="35162"/>
    <cellStyle name="Обычный 7 8 2 11 2" xfId="35163"/>
    <cellStyle name="Обычный 7 8 2 12" xfId="35164"/>
    <cellStyle name="Обычный 7 8 2 13" xfId="35165"/>
    <cellStyle name="Обычный 7 8 2 2" xfId="35166"/>
    <cellStyle name="Обычный 7 8 2 2 10" xfId="35167"/>
    <cellStyle name="Обычный 7 8 2 2 2" xfId="35168"/>
    <cellStyle name="Обычный 7 8 2 2 2 2" xfId="35169"/>
    <cellStyle name="Обычный 7 8 2 2 2 2 2" xfId="35170"/>
    <cellStyle name="Обычный 7 8 2 2 2 2 2 2" xfId="35171"/>
    <cellStyle name="Обычный 7 8 2 2 2 2 2 2 2" xfId="35172"/>
    <cellStyle name="Обычный 7 8 2 2 2 2 2 2 2 2" xfId="35173"/>
    <cellStyle name="Обычный 7 8 2 2 2 2 2 2 2 3" xfId="35174"/>
    <cellStyle name="Обычный 7 8 2 2 2 2 2 2 3" xfId="35175"/>
    <cellStyle name="Обычный 7 8 2 2 2 2 2 2 3 2" xfId="35176"/>
    <cellStyle name="Обычный 7 8 2 2 2 2 2 2 3 3" xfId="35177"/>
    <cellStyle name="Обычный 7 8 2 2 2 2 2 2 4" xfId="35178"/>
    <cellStyle name="Обычный 7 8 2 2 2 2 2 2 4 2" xfId="35179"/>
    <cellStyle name="Обычный 7 8 2 2 2 2 2 2 5" xfId="35180"/>
    <cellStyle name="Обычный 7 8 2 2 2 2 2 2 6" xfId="35181"/>
    <cellStyle name="Обычный 7 8 2 2 2 2 2 3" xfId="35182"/>
    <cellStyle name="Обычный 7 8 2 2 2 2 2 3 2" xfId="35183"/>
    <cellStyle name="Обычный 7 8 2 2 2 2 2 3 3" xfId="35184"/>
    <cellStyle name="Обычный 7 8 2 2 2 2 2 4" xfId="35185"/>
    <cellStyle name="Обычный 7 8 2 2 2 2 2 4 2" xfId="35186"/>
    <cellStyle name="Обычный 7 8 2 2 2 2 2 4 3" xfId="35187"/>
    <cellStyle name="Обычный 7 8 2 2 2 2 2 5" xfId="35188"/>
    <cellStyle name="Обычный 7 8 2 2 2 2 2 5 2" xfId="35189"/>
    <cellStyle name="Обычный 7 8 2 2 2 2 2 6" xfId="35190"/>
    <cellStyle name="Обычный 7 8 2 2 2 2 2 7" xfId="35191"/>
    <cellStyle name="Обычный 7 8 2 2 2 2 3" xfId="35192"/>
    <cellStyle name="Обычный 7 8 2 2 2 2 3 2" xfId="35193"/>
    <cellStyle name="Обычный 7 8 2 2 2 2 3 2 2" xfId="35194"/>
    <cellStyle name="Обычный 7 8 2 2 2 2 3 2 3" xfId="35195"/>
    <cellStyle name="Обычный 7 8 2 2 2 2 3 3" xfId="35196"/>
    <cellStyle name="Обычный 7 8 2 2 2 2 3 3 2" xfId="35197"/>
    <cellStyle name="Обычный 7 8 2 2 2 2 3 3 3" xfId="35198"/>
    <cellStyle name="Обычный 7 8 2 2 2 2 3 4" xfId="35199"/>
    <cellStyle name="Обычный 7 8 2 2 2 2 3 4 2" xfId="35200"/>
    <cellStyle name="Обычный 7 8 2 2 2 2 3 5" xfId="35201"/>
    <cellStyle name="Обычный 7 8 2 2 2 2 3 6" xfId="35202"/>
    <cellStyle name="Обычный 7 8 2 2 2 2 4" xfId="35203"/>
    <cellStyle name="Обычный 7 8 2 2 2 2 4 2" xfId="35204"/>
    <cellStyle name="Обычный 7 8 2 2 2 2 4 3" xfId="35205"/>
    <cellStyle name="Обычный 7 8 2 2 2 2 5" xfId="35206"/>
    <cellStyle name="Обычный 7 8 2 2 2 2 5 2" xfId="35207"/>
    <cellStyle name="Обычный 7 8 2 2 2 2 5 3" xfId="35208"/>
    <cellStyle name="Обычный 7 8 2 2 2 2 6" xfId="35209"/>
    <cellStyle name="Обычный 7 8 2 2 2 2 6 2" xfId="35210"/>
    <cellStyle name="Обычный 7 8 2 2 2 2 7" xfId="35211"/>
    <cellStyle name="Обычный 7 8 2 2 2 2 8" xfId="35212"/>
    <cellStyle name="Обычный 7 8 2 2 2 3" xfId="35213"/>
    <cellStyle name="Обычный 7 8 2 2 2 3 2" xfId="35214"/>
    <cellStyle name="Обычный 7 8 2 2 2 3 2 2" xfId="35215"/>
    <cellStyle name="Обычный 7 8 2 2 2 3 2 2 2" xfId="35216"/>
    <cellStyle name="Обычный 7 8 2 2 2 3 2 2 3" xfId="35217"/>
    <cellStyle name="Обычный 7 8 2 2 2 3 2 3" xfId="35218"/>
    <cellStyle name="Обычный 7 8 2 2 2 3 2 3 2" xfId="35219"/>
    <cellStyle name="Обычный 7 8 2 2 2 3 2 3 3" xfId="35220"/>
    <cellStyle name="Обычный 7 8 2 2 2 3 2 4" xfId="35221"/>
    <cellStyle name="Обычный 7 8 2 2 2 3 2 4 2" xfId="35222"/>
    <cellStyle name="Обычный 7 8 2 2 2 3 2 5" xfId="35223"/>
    <cellStyle name="Обычный 7 8 2 2 2 3 2 6" xfId="35224"/>
    <cellStyle name="Обычный 7 8 2 2 2 3 3" xfId="35225"/>
    <cellStyle name="Обычный 7 8 2 2 2 3 3 2" xfId="35226"/>
    <cellStyle name="Обычный 7 8 2 2 2 3 3 3" xfId="35227"/>
    <cellStyle name="Обычный 7 8 2 2 2 3 4" xfId="35228"/>
    <cellStyle name="Обычный 7 8 2 2 2 3 4 2" xfId="35229"/>
    <cellStyle name="Обычный 7 8 2 2 2 3 4 3" xfId="35230"/>
    <cellStyle name="Обычный 7 8 2 2 2 3 5" xfId="35231"/>
    <cellStyle name="Обычный 7 8 2 2 2 3 5 2" xfId="35232"/>
    <cellStyle name="Обычный 7 8 2 2 2 3 6" xfId="35233"/>
    <cellStyle name="Обычный 7 8 2 2 2 3 7" xfId="35234"/>
    <cellStyle name="Обычный 7 8 2 2 2 4" xfId="35235"/>
    <cellStyle name="Обычный 7 8 2 2 2 4 2" xfId="35236"/>
    <cellStyle name="Обычный 7 8 2 2 2 4 2 2" xfId="35237"/>
    <cellStyle name="Обычный 7 8 2 2 2 4 2 3" xfId="35238"/>
    <cellStyle name="Обычный 7 8 2 2 2 4 3" xfId="35239"/>
    <cellStyle name="Обычный 7 8 2 2 2 4 3 2" xfId="35240"/>
    <cellStyle name="Обычный 7 8 2 2 2 4 3 3" xfId="35241"/>
    <cellStyle name="Обычный 7 8 2 2 2 4 4" xfId="35242"/>
    <cellStyle name="Обычный 7 8 2 2 2 4 4 2" xfId="35243"/>
    <cellStyle name="Обычный 7 8 2 2 2 4 5" xfId="35244"/>
    <cellStyle name="Обычный 7 8 2 2 2 4 6" xfId="35245"/>
    <cellStyle name="Обычный 7 8 2 2 2 5" xfId="35246"/>
    <cellStyle name="Обычный 7 8 2 2 2 5 2" xfId="35247"/>
    <cellStyle name="Обычный 7 8 2 2 2 5 3" xfId="35248"/>
    <cellStyle name="Обычный 7 8 2 2 2 6" xfId="35249"/>
    <cellStyle name="Обычный 7 8 2 2 2 6 2" xfId="35250"/>
    <cellStyle name="Обычный 7 8 2 2 2 6 3" xfId="35251"/>
    <cellStyle name="Обычный 7 8 2 2 2 7" xfId="35252"/>
    <cellStyle name="Обычный 7 8 2 2 2 7 2" xfId="35253"/>
    <cellStyle name="Обычный 7 8 2 2 2 8" xfId="35254"/>
    <cellStyle name="Обычный 7 8 2 2 2 9" xfId="35255"/>
    <cellStyle name="Обычный 7 8 2 2 3" xfId="35256"/>
    <cellStyle name="Обычный 7 8 2 2 3 2" xfId="35257"/>
    <cellStyle name="Обычный 7 8 2 2 3 2 2" xfId="35258"/>
    <cellStyle name="Обычный 7 8 2 2 3 2 2 2" xfId="35259"/>
    <cellStyle name="Обычный 7 8 2 2 3 2 2 2 2" xfId="35260"/>
    <cellStyle name="Обычный 7 8 2 2 3 2 2 2 3" xfId="35261"/>
    <cellStyle name="Обычный 7 8 2 2 3 2 2 3" xfId="35262"/>
    <cellStyle name="Обычный 7 8 2 2 3 2 2 3 2" xfId="35263"/>
    <cellStyle name="Обычный 7 8 2 2 3 2 2 3 3" xfId="35264"/>
    <cellStyle name="Обычный 7 8 2 2 3 2 2 4" xfId="35265"/>
    <cellStyle name="Обычный 7 8 2 2 3 2 2 4 2" xfId="35266"/>
    <cellStyle name="Обычный 7 8 2 2 3 2 2 5" xfId="35267"/>
    <cellStyle name="Обычный 7 8 2 2 3 2 2 6" xfId="35268"/>
    <cellStyle name="Обычный 7 8 2 2 3 2 3" xfId="35269"/>
    <cellStyle name="Обычный 7 8 2 2 3 2 3 2" xfId="35270"/>
    <cellStyle name="Обычный 7 8 2 2 3 2 3 3" xfId="35271"/>
    <cellStyle name="Обычный 7 8 2 2 3 2 4" xfId="35272"/>
    <cellStyle name="Обычный 7 8 2 2 3 2 4 2" xfId="35273"/>
    <cellStyle name="Обычный 7 8 2 2 3 2 4 3" xfId="35274"/>
    <cellStyle name="Обычный 7 8 2 2 3 2 5" xfId="35275"/>
    <cellStyle name="Обычный 7 8 2 2 3 2 5 2" xfId="35276"/>
    <cellStyle name="Обычный 7 8 2 2 3 2 6" xfId="35277"/>
    <cellStyle name="Обычный 7 8 2 2 3 2 7" xfId="35278"/>
    <cellStyle name="Обычный 7 8 2 2 3 3" xfId="35279"/>
    <cellStyle name="Обычный 7 8 2 2 3 3 2" xfId="35280"/>
    <cellStyle name="Обычный 7 8 2 2 3 3 2 2" xfId="35281"/>
    <cellStyle name="Обычный 7 8 2 2 3 3 2 3" xfId="35282"/>
    <cellStyle name="Обычный 7 8 2 2 3 3 3" xfId="35283"/>
    <cellStyle name="Обычный 7 8 2 2 3 3 3 2" xfId="35284"/>
    <cellStyle name="Обычный 7 8 2 2 3 3 3 3" xfId="35285"/>
    <cellStyle name="Обычный 7 8 2 2 3 3 4" xfId="35286"/>
    <cellStyle name="Обычный 7 8 2 2 3 3 4 2" xfId="35287"/>
    <cellStyle name="Обычный 7 8 2 2 3 3 5" xfId="35288"/>
    <cellStyle name="Обычный 7 8 2 2 3 3 6" xfId="35289"/>
    <cellStyle name="Обычный 7 8 2 2 3 4" xfId="35290"/>
    <cellStyle name="Обычный 7 8 2 2 3 4 2" xfId="35291"/>
    <cellStyle name="Обычный 7 8 2 2 3 4 3" xfId="35292"/>
    <cellStyle name="Обычный 7 8 2 2 3 5" xfId="35293"/>
    <cellStyle name="Обычный 7 8 2 2 3 5 2" xfId="35294"/>
    <cellStyle name="Обычный 7 8 2 2 3 5 3" xfId="35295"/>
    <cellStyle name="Обычный 7 8 2 2 3 6" xfId="35296"/>
    <cellStyle name="Обычный 7 8 2 2 3 6 2" xfId="35297"/>
    <cellStyle name="Обычный 7 8 2 2 3 7" xfId="35298"/>
    <cellStyle name="Обычный 7 8 2 2 3 8" xfId="35299"/>
    <cellStyle name="Обычный 7 8 2 2 4" xfId="35300"/>
    <cellStyle name="Обычный 7 8 2 2 4 2" xfId="35301"/>
    <cellStyle name="Обычный 7 8 2 2 4 2 2" xfId="35302"/>
    <cellStyle name="Обычный 7 8 2 2 4 2 2 2" xfId="35303"/>
    <cellStyle name="Обычный 7 8 2 2 4 2 2 3" xfId="35304"/>
    <cellStyle name="Обычный 7 8 2 2 4 2 3" xfId="35305"/>
    <cellStyle name="Обычный 7 8 2 2 4 2 3 2" xfId="35306"/>
    <cellStyle name="Обычный 7 8 2 2 4 2 3 3" xfId="35307"/>
    <cellStyle name="Обычный 7 8 2 2 4 2 4" xfId="35308"/>
    <cellStyle name="Обычный 7 8 2 2 4 2 4 2" xfId="35309"/>
    <cellStyle name="Обычный 7 8 2 2 4 2 5" xfId="35310"/>
    <cellStyle name="Обычный 7 8 2 2 4 2 6" xfId="35311"/>
    <cellStyle name="Обычный 7 8 2 2 4 3" xfId="35312"/>
    <cellStyle name="Обычный 7 8 2 2 4 3 2" xfId="35313"/>
    <cellStyle name="Обычный 7 8 2 2 4 3 3" xfId="35314"/>
    <cellStyle name="Обычный 7 8 2 2 4 4" xfId="35315"/>
    <cellStyle name="Обычный 7 8 2 2 4 4 2" xfId="35316"/>
    <cellStyle name="Обычный 7 8 2 2 4 4 3" xfId="35317"/>
    <cellStyle name="Обычный 7 8 2 2 4 5" xfId="35318"/>
    <cellStyle name="Обычный 7 8 2 2 4 5 2" xfId="35319"/>
    <cellStyle name="Обычный 7 8 2 2 4 6" xfId="35320"/>
    <cellStyle name="Обычный 7 8 2 2 4 7" xfId="35321"/>
    <cellStyle name="Обычный 7 8 2 2 5" xfId="35322"/>
    <cellStyle name="Обычный 7 8 2 2 5 2" xfId="35323"/>
    <cellStyle name="Обычный 7 8 2 2 5 2 2" xfId="35324"/>
    <cellStyle name="Обычный 7 8 2 2 5 2 3" xfId="35325"/>
    <cellStyle name="Обычный 7 8 2 2 5 3" xfId="35326"/>
    <cellStyle name="Обычный 7 8 2 2 5 3 2" xfId="35327"/>
    <cellStyle name="Обычный 7 8 2 2 5 3 3" xfId="35328"/>
    <cellStyle name="Обычный 7 8 2 2 5 4" xfId="35329"/>
    <cellStyle name="Обычный 7 8 2 2 5 4 2" xfId="35330"/>
    <cellStyle name="Обычный 7 8 2 2 5 5" xfId="35331"/>
    <cellStyle name="Обычный 7 8 2 2 5 6" xfId="35332"/>
    <cellStyle name="Обычный 7 8 2 2 6" xfId="35333"/>
    <cellStyle name="Обычный 7 8 2 2 6 2" xfId="35334"/>
    <cellStyle name="Обычный 7 8 2 2 6 3" xfId="35335"/>
    <cellStyle name="Обычный 7 8 2 2 7" xfId="35336"/>
    <cellStyle name="Обычный 7 8 2 2 7 2" xfId="35337"/>
    <cellStyle name="Обычный 7 8 2 2 7 3" xfId="35338"/>
    <cellStyle name="Обычный 7 8 2 2 8" xfId="35339"/>
    <cellStyle name="Обычный 7 8 2 2 8 2" xfId="35340"/>
    <cellStyle name="Обычный 7 8 2 2 9" xfId="35341"/>
    <cellStyle name="Обычный 7 8 2 3" xfId="35342"/>
    <cellStyle name="Обычный 7 8 2 3 10" xfId="35343"/>
    <cellStyle name="Обычный 7 8 2 3 2" xfId="35344"/>
    <cellStyle name="Обычный 7 8 2 3 2 2" xfId="35345"/>
    <cellStyle name="Обычный 7 8 2 3 2 2 2" xfId="35346"/>
    <cellStyle name="Обычный 7 8 2 3 2 2 2 2" xfId="35347"/>
    <cellStyle name="Обычный 7 8 2 3 2 2 2 2 2" xfId="35348"/>
    <cellStyle name="Обычный 7 8 2 3 2 2 2 2 2 2" xfId="35349"/>
    <cellStyle name="Обычный 7 8 2 3 2 2 2 2 2 3" xfId="35350"/>
    <cellStyle name="Обычный 7 8 2 3 2 2 2 2 3" xfId="35351"/>
    <cellStyle name="Обычный 7 8 2 3 2 2 2 2 3 2" xfId="35352"/>
    <cellStyle name="Обычный 7 8 2 3 2 2 2 2 3 3" xfId="35353"/>
    <cellStyle name="Обычный 7 8 2 3 2 2 2 2 4" xfId="35354"/>
    <cellStyle name="Обычный 7 8 2 3 2 2 2 2 4 2" xfId="35355"/>
    <cellStyle name="Обычный 7 8 2 3 2 2 2 2 5" xfId="35356"/>
    <cellStyle name="Обычный 7 8 2 3 2 2 2 2 6" xfId="35357"/>
    <cellStyle name="Обычный 7 8 2 3 2 2 2 3" xfId="35358"/>
    <cellStyle name="Обычный 7 8 2 3 2 2 2 3 2" xfId="35359"/>
    <cellStyle name="Обычный 7 8 2 3 2 2 2 3 3" xfId="35360"/>
    <cellStyle name="Обычный 7 8 2 3 2 2 2 4" xfId="35361"/>
    <cellStyle name="Обычный 7 8 2 3 2 2 2 4 2" xfId="35362"/>
    <cellStyle name="Обычный 7 8 2 3 2 2 2 4 3" xfId="35363"/>
    <cellStyle name="Обычный 7 8 2 3 2 2 2 5" xfId="35364"/>
    <cellStyle name="Обычный 7 8 2 3 2 2 2 5 2" xfId="35365"/>
    <cellStyle name="Обычный 7 8 2 3 2 2 2 6" xfId="35366"/>
    <cellStyle name="Обычный 7 8 2 3 2 2 2 7" xfId="35367"/>
    <cellStyle name="Обычный 7 8 2 3 2 2 3" xfId="35368"/>
    <cellStyle name="Обычный 7 8 2 3 2 2 3 2" xfId="35369"/>
    <cellStyle name="Обычный 7 8 2 3 2 2 3 2 2" xfId="35370"/>
    <cellStyle name="Обычный 7 8 2 3 2 2 3 2 3" xfId="35371"/>
    <cellStyle name="Обычный 7 8 2 3 2 2 3 3" xfId="35372"/>
    <cellStyle name="Обычный 7 8 2 3 2 2 3 3 2" xfId="35373"/>
    <cellStyle name="Обычный 7 8 2 3 2 2 3 3 3" xfId="35374"/>
    <cellStyle name="Обычный 7 8 2 3 2 2 3 4" xfId="35375"/>
    <cellStyle name="Обычный 7 8 2 3 2 2 3 4 2" xfId="35376"/>
    <cellStyle name="Обычный 7 8 2 3 2 2 3 5" xfId="35377"/>
    <cellStyle name="Обычный 7 8 2 3 2 2 3 6" xfId="35378"/>
    <cellStyle name="Обычный 7 8 2 3 2 2 4" xfId="35379"/>
    <cellStyle name="Обычный 7 8 2 3 2 2 4 2" xfId="35380"/>
    <cellStyle name="Обычный 7 8 2 3 2 2 4 3" xfId="35381"/>
    <cellStyle name="Обычный 7 8 2 3 2 2 5" xfId="35382"/>
    <cellStyle name="Обычный 7 8 2 3 2 2 5 2" xfId="35383"/>
    <cellStyle name="Обычный 7 8 2 3 2 2 5 3" xfId="35384"/>
    <cellStyle name="Обычный 7 8 2 3 2 2 6" xfId="35385"/>
    <cellStyle name="Обычный 7 8 2 3 2 2 6 2" xfId="35386"/>
    <cellStyle name="Обычный 7 8 2 3 2 2 7" xfId="35387"/>
    <cellStyle name="Обычный 7 8 2 3 2 2 8" xfId="35388"/>
    <cellStyle name="Обычный 7 8 2 3 2 3" xfId="35389"/>
    <cellStyle name="Обычный 7 8 2 3 2 3 2" xfId="35390"/>
    <cellStyle name="Обычный 7 8 2 3 2 3 2 2" xfId="35391"/>
    <cellStyle name="Обычный 7 8 2 3 2 3 2 2 2" xfId="35392"/>
    <cellStyle name="Обычный 7 8 2 3 2 3 2 2 3" xfId="35393"/>
    <cellStyle name="Обычный 7 8 2 3 2 3 2 3" xfId="35394"/>
    <cellStyle name="Обычный 7 8 2 3 2 3 2 3 2" xfId="35395"/>
    <cellStyle name="Обычный 7 8 2 3 2 3 2 3 3" xfId="35396"/>
    <cellStyle name="Обычный 7 8 2 3 2 3 2 4" xfId="35397"/>
    <cellStyle name="Обычный 7 8 2 3 2 3 2 4 2" xfId="35398"/>
    <cellStyle name="Обычный 7 8 2 3 2 3 2 5" xfId="35399"/>
    <cellStyle name="Обычный 7 8 2 3 2 3 2 6" xfId="35400"/>
    <cellStyle name="Обычный 7 8 2 3 2 3 3" xfId="35401"/>
    <cellStyle name="Обычный 7 8 2 3 2 3 3 2" xfId="35402"/>
    <cellStyle name="Обычный 7 8 2 3 2 3 3 3" xfId="35403"/>
    <cellStyle name="Обычный 7 8 2 3 2 3 4" xfId="35404"/>
    <cellStyle name="Обычный 7 8 2 3 2 3 4 2" xfId="35405"/>
    <cellStyle name="Обычный 7 8 2 3 2 3 4 3" xfId="35406"/>
    <cellStyle name="Обычный 7 8 2 3 2 3 5" xfId="35407"/>
    <cellStyle name="Обычный 7 8 2 3 2 3 5 2" xfId="35408"/>
    <cellStyle name="Обычный 7 8 2 3 2 3 6" xfId="35409"/>
    <cellStyle name="Обычный 7 8 2 3 2 3 7" xfId="35410"/>
    <cellStyle name="Обычный 7 8 2 3 2 4" xfId="35411"/>
    <cellStyle name="Обычный 7 8 2 3 2 4 2" xfId="35412"/>
    <cellStyle name="Обычный 7 8 2 3 2 4 2 2" xfId="35413"/>
    <cellStyle name="Обычный 7 8 2 3 2 4 2 3" xfId="35414"/>
    <cellStyle name="Обычный 7 8 2 3 2 4 3" xfId="35415"/>
    <cellStyle name="Обычный 7 8 2 3 2 4 3 2" xfId="35416"/>
    <cellStyle name="Обычный 7 8 2 3 2 4 3 3" xfId="35417"/>
    <cellStyle name="Обычный 7 8 2 3 2 4 4" xfId="35418"/>
    <cellStyle name="Обычный 7 8 2 3 2 4 4 2" xfId="35419"/>
    <cellStyle name="Обычный 7 8 2 3 2 4 5" xfId="35420"/>
    <cellStyle name="Обычный 7 8 2 3 2 4 6" xfId="35421"/>
    <cellStyle name="Обычный 7 8 2 3 2 5" xfId="35422"/>
    <cellStyle name="Обычный 7 8 2 3 2 5 2" xfId="35423"/>
    <cellStyle name="Обычный 7 8 2 3 2 5 3" xfId="35424"/>
    <cellStyle name="Обычный 7 8 2 3 2 6" xfId="35425"/>
    <cellStyle name="Обычный 7 8 2 3 2 6 2" xfId="35426"/>
    <cellStyle name="Обычный 7 8 2 3 2 6 3" xfId="35427"/>
    <cellStyle name="Обычный 7 8 2 3 2 7" xfId="35428"/>
    <cellStyle name="Обычный 7 8 2 3 2 7 2" xfId="35429"/>
    <cellStyle name="Обычный 7 8 2 3 2 8" xfId="35430"/>
    <cellStyle name="Обычный 7 8 2 3 2 9" xfId="35431"/>
    <cellStyle name="Обычный 7 8 2 3 3" xfId="35432"/>
    <cellStyle name="Обычный 7 8 2 3 3 2" xfId="35433"/>
    <cellStyle name="Обычный 7 8 2 3 3 2 2" xfId="35434"/>
    <cellStyle name="Обычный 7 8 2 3 3 2 2 2" xfId="35435"/>
    <cellStyle name="Обычный 7 8 2 3 3 2 2 2 2" xfId="35436"/>
    <cellStyle name="Обычный 7 8 2 3 3 2 2 2 3" xfId="35437"/>
    <cellStyle name="Обычный 7 8 2 3 3 2 2 3" xfId="35438"/>
    <cellStyle name="Обычный 7 8 2 3 3 2 2 3 2" xfId="35439"/>
    <cellStyle name="Обычный 7 8 2 3 3 2 2 3 3" xfId="35440"/>
    <cellStyle name="Обычный 7 8 2 3 3 2 2 4" xfId="35441"/>
    <cellStyle name="Обычный 7 8 2 3 3 2 2 4 2" xfId="35442"/>
    <cellStyle name="Обычный 7 8 2 3 3 2 2 5" xfId="35443"/>
    <cellStyle name="Обычный 7 8 2 3 3 2 2 6" xfId="35444"/>
    <cellStyle name="Обычный 7 8 2 3 3 2 3" xfId="35445"/>
    <cellStyle name="Обычный 7 8 2 3 3 2 3 2" xfId="35446"/>
    <cellStyle name="Обычный 7 8 2 3 3 2 3 3" xfId="35447"/>
    <cellStyle name="Обычный 7 8 2 3 3 2 4" xfId="35448"/>
    <cellStyle name="Обычный 7 8 2 3 3 2 4 2" xfId="35449"/>
    <cellStyle name="Обычный 7 8 2 3 3 2 4 3" xfId="35450"/>
    <cellStyle name="Обычный 7 8 2 3 3 2 5" xfId="35451"/>
    <cellStyle name="Обычный 7 8 2 3 3 2 5 2" xfId="35452"/>
    <cellStyle name="Обычный 7 8 2 3 3 2 6" xfId="35453"/>
    <cellStyle name="Обычный 7 8 2 3 3 2 7" xfId="35454"/>
    <cellStyle name="Обычный 7 8 2 3 3 3" xfId="35455"/>
    <cellStyle name="Обычный 7 8 2 3 3 3 2" xfId="35456"/>
    <cellStyle name="Обычный 7 8 2 3 3 3 2 2" xfId="35457"/>
    <cellStyle name="Обычный 7 8 2 3 3 3 2 3" xfId="35458"/>
    <cellStyle name="Обычный 7 8 2 3 3 3 3" xfId="35459"/>
    <cellStyle name="Обычный 7 8 2 3 3 3 3 2" xfId="35460"/>
    <cellStyle name="Обычный 7 8 2 3 3 3 3 3" xfId="35461"/>
    <cellStyle name="Обычный 7 8 2 3 3 3 4" xfId="35462"/>
    <cellStyle name="Обычный 7 8 2 3 3 3 4 2" xfId="35463"/>
    <cellStyle name="Обычный 7 8 2 3 3 3 5" xfId="35464"/>
    <cellStyle name="Обычный 7 8 2 3 3 3 6" xfId="35465"/>
    <cellStyle name="Обычный 7 8 2 3 3 4" xfId="35466"/>
    <cellStyle name="Обычный 7 8 2 3 3 4 2" xfId="35467"/>
    <cellStyle name="Обычный 7 8 2 3 3 4 3" xfId="35468"/>
    <cellStyle name="Обычный 7 8 2 3 3 5" xfId="35469"/>
    <cellStyle name="Обычный 7 8 2 3 3 5 2" xfId="35470"/>
    <cellStyle name="Обычный 7 8 2 3 3 5 3" xfId="35471"/>
    <cellStyle name="Обычный 7 8 2 3 3 6" xfId="35472"/>
    <cellStyle name="Обычный 7 8 2 3 3 6 2" xfId="35473"/>
    <cellStyle name="Обычный 7 8 2 3 3 7" xfId="35474"/>
    <cellStyle name="Обычный 7 8 2 3 3 8" xfId="35475"/>
    <cellStyle name="Обычный 7 8 2 3 4" xfId="35476"/>
    <cellStyle name="Обычный 7 8 2 3 4 2" xfId="35477"/>
    <cellStyle name="Обычный 7 8 2 3 4 2 2" xfId="35478"/>
    <cellStyle name="Обычный 7 8 2 3 4 2 2 2" xfId="35479"/>
    <cellStyle name="Обычный 7 8 2 3 4 2 2 3" xfId="35480"/>
    <cellStyle name="Обычный 7 8 2 3 4 2 3" xfId="35481"/>
    <cellStyle name="Обычный 7 8 2 3 4 2 3 2" xfId="35482"/>
    <cellStyle name="Обычный 7 8 2 3 4 2 3 3" xfId="35483"/>
    <cellStyle name="Обычный 7 8 2 3 4 2 4" xfId="35484"/>
    <cellStyle name="Обычный 7 8 2 3 4 2 4 2" xfId="35485"/>
    <cellStyle name="Обычный 7 8 2 3 4 2 5" xfId="35486"/>
    <cellStyle name="Обычный 7 8 2 3 4 2 6" xfId="35487"/>
    <cellStyle name="Обычный 7 8 2 3 4 3" xfId="35488"/>
    <cellStyle name="Обычный 7 8 2 3 4 3 2" xfId="35489"/>
    <cellStyle name="Обычный 7 8 2 3 4 3 3" xfId="35490"/>
    <cellStyle name="Обычный 7 8 2 3 4 4" xfId="35491"/>
    <cellStyle name="Обычный 7 8 2 3 4 4 2" xfId="35492"/>
    <cellStyle name="Обычный 7 8 2 3 4 4 3" xfId="35493"/>
    <cellStyle name="Обычный 7 8 2 3 4 5" xfId="35494"/>
    <cellStyle name="Обычный 7 8 2 3 4 5 2" xfId="35495"/>
    <cellStyle name="Обычный 7 8 2 3 4 6" xfId="35496"/>
    <cellStyle name="Обычный 7 8 2 3 4 7" xfId="35497"/>
    <cellStyle name="Обычный 7 8 2 3 5" xfId="35498"/>
    <cellStyle name="Обычный 7 8 2 3 5 2" xfId="35499"/>
    <cellStyle name="Обычный 7 8 2 3 5 2 2" xfId="35500"/>
    <cellStyle name="Обычный 7 8 2 3 5 2 3" xfId="35501"/>
    <cellStyle name="Обычный 7 8 2 3 5 3" xfId="35502"/>
    <cellStyle name="Обычный 7 8 2 3 5 3 2" xfId="35503"/>
    <cellStyle name="Обычный 7 8 2 3 5 3 3" xfId="35504"/>
    <cellStyle name="Обычный 7 8 2 3 5 4" xfId="35505"/>
    <cellStyle name="Обычный 7 8 2 3 5 4 2" xfId="35506"/>
    <cellStyle name="Обычный 7 8 2 3 5 5" xfId="35507"/>
    <cellStyle name="Обычный 7 8 2 3 5 6" xfId="35508"/>
    <cellStyle name="Обычный 7 8 2 3 6" xfId="35509"/>
    <cellStyle name="Обычный 7 8 2 3 6 2" xfId="35510"/>
    <cellStyle name="Обычный 7 8 2 3 6 3" xfId="35511"/>
    <cellStyle name="Обычный 7 8 2 3 7" xfId="35512"/>
    <cellStyle name="Обычный 7 8 2 3 7 2" xfId="35513"/>
    <cellStyle name="Обычный 7 8 2 3 7 3" xfId="35514"/>
    <cellStyle name="Обычный 7 8 2 3 8" xfId="35515"/>
    <cellStyle name="Обычный 7 8 2 3 8 2" xfId="35516"/>
    <cellStyle name="Обычный 7 8 2 3 9" xfId="35517"/>
    <cellStyle name="Обычный 7 8 2 4" xfId="35518"/>
    <cellStyle name="Обычный 7 8 2 4 10" xfId="35519"/>
    <cellStyle name="Обычный 7 8 2 4 2" xfId="35520"/>
    <cellStyle name="Обычный 7 8 2 4 2 2" xfId="35521"/>
    <cellStyle name="Обычный 7 8 2 4 2 2 2" xfId="35522"/>
    <cellStyle name="Обычный 7 8 2 4 2 2 2 2" xfId="35523"/>
    <cellStyle name="Обычный 7 8 2 4 2 2 2 2 2" xfId="35524"/>
    <cellStyle name="Обычный 7 8 2 4 2 2 2 2 2 2" xfId="35525"/>
    <cellStyle name="Обычный 7 8 2 4 2 2 2 2 2 3" xfId="35526"/>
    <cellStyle name="Обычный 7 8 2 4 2 2 2 2 3" xfId="35527"/>
    <cellStyle name="Обычный 7 8 2 4 2 2 2 2 3 2" xfId="35528"/>
    <cellStyle name="Обычный 7 8 2 4 2 2 2 2 3 3" xfId="35529"/>
    <cellStyle name="Обычный 7 8 2 4 2 2 2 2 4" xfId="35530"/>
    <cellStyle name="Обычный 7 8 2 4 2 2 2 2 4 2" xfId="35531"/>
    <cellStyle name="Обычный 7 8 2 4 2 2 2 2 5" xfId="35532"/>
    <cellStyle name="Обычный 7 8 2 4 2 2 2 2 6" xfId="35533"/>
    <cellStyle name="Обычный 7 8 2 4 2 2 2 3" xfId="35534"/>
    <cellStyle name="Обычный 7 8 2 4 2 2 2 3 2" xfId="35535"/>
    <cellStyle name="Обычный 7 8 2 4 2 2 2 3 3" xfId="35536"/>
    <cellStyle name="Обычный 7 8 2 4 2 2 2 4" xfId="35537"/>
    <cellStyle name="Обычный 7 8 2 4 2 2 2 4 2" xfId="35538"/>
    <cellStyle name="Обычный 7 8 2 4 2 2 2 4 3" xfId="35539"/>
    <cellStyle name="Обычный 7 8 2 4 2 2 2 5" xfId="35540"/>
    <cellStyle name="Обычный 7 8 2 4 2 2 2 5 2" xfId="35541"/>
    <cellStyle name="Обычный 7 8 2 4 2 2 2 6" xfId="35542"/>
    <cellStyle name="Обычный 7 8 2 4 2 2 2 7" xfId="35543"/>
    <cellStyle name="Обычный 7 8 2 4 2 2 3" xfId="35544"/>
    <cellStyle name="Обычный 7 8 2 4 2 2 3 2" xfId="35545"/>
    <cellStyle name="Обычный 7 8 2 4 2 2 3 2 2" xfId="35546"/>
    <cellStyle name="Обычный 7 8 2 4 2 2 3 2 3" xfId="35547"/>
    <cellStyle name="Обычный 7 8 2 4 2 2 3 3" xfId="35548"/>
    <cellStyle name="Обычный 7 8 2 4 2 2 3 3 2" xfId="35549"/>
    <cellStyle name="Обычный 7 8 2 4 2 2 3 3 3" xfId="35550"/>
    <cellStyle name="Обычный 7 8 2 4 2 2 3 4" xfId="35551"/>
    <cellStyle name="Обычный 7 8 2 4 2 2 3 4 2" xfId="35552"/>
    <cellStyle name="Обычный 7 8 2 4 2 2 3 5" xfId="35553"/>
    <cellStyle name="Обычный 7 8 2 4 2 2 3 6" xfId="35554"/>
    <cellStyle name="Обычный 7 8 2 4 2 2 4" xfId="35555"/>
    <cellStyle name="Обычный 7 8 2 4 2 2 4 2" xfId="35556"/>
    <cellStyle name="Обычный 7 8 2 4 2 2 4 3" xfId="35557"/>
    <cellStyle name="Обычный 7 8 2 4 2 2 5" xfId="35558"/>
    <cellStyle name="Обычный 7 8 2 4 2 2 5 2" xfId="35559"/>
    <cellStyle name="Обычный 7 8 2 4 2 2 5 3" xfId="35560"/>
    <cellStyle name="Обычный 7 8 2 4 2 2 6" xfId="35561"/>
    <cellStyle name="Обычный 7 8 2 4 2 2 6 2" xfId="35562"/>
    <cellStyle name="Обычный 7 8 2 4 2 2 7" xfId="35563"/>
    <cellStyle name="Обычный 7 8 2 4 2 2 8" xfId="35564"/>
    <cellStyle name="Обычный 7 8 2 4 2 3" xfId="35565"/>
    <cellStyle name="Обычный 7 8 2 4 2 3 2" xfId="35566"/>
    <cellStyle name="Обычный 7 8 2 4 2 3 2 2" xfId="35567"/>
    <cellStyle name="Обычный 7 8 2 4 2 3 2 2 2" xfId="35568"/>
    <cellStyle name="Обычный 7 8 2 4 2 3 2 2 3" xfId="35569"/>
    <cellStyle name="Обычный 7 8 2 4 2 3 2 3" xfId="35570"/>
    <cellStyle name="Обычный 7 8 2 4 2 3 2 3 2" xfId="35571"/>
    <cellStyle name="Обычный 7 8 2 4 2 3 2 3 3" xfId="35572"/>
    <cellStyle name="Обычный 7 8 2 4 2 3 2 4" xfId="35573"/>
    <cellStyle name="Обычный 7 8 2 4 2 3 2 4 2" xfId="35574"/>
    <cellStyle name="Обычный 7 8 2 4 2 3 2 5" xfId="35575"/>
    <cellStyle name="Обычный 7 8 2 4 2 3 2 6" xfId="35576"/>
    <cellStyle name="Обычный 7 8 2 4 2 3 3" xfId="35577"/>
    <cellStyle name="Обычный 7 8 2 4 2 3 3 2" xfId="35578"/>
    <cellStyle name="Обычный 7 8 2 4 2 3 3 3" xfId="35579"/>
    <cellStyle name="Обычный 7 8 2 4 2 3 4" xfId="35580"/>
    <cellStyle name="Обычный 7 8 2 4 2 3 4 2" xfId="35581"/>
    <cellStyle name="Обычный 7 8 2 4 2 3 4 3" xfId="35582"/>
    <cellStyle name="Обычный 7 8 2 4 2 3 5" xfId="35583"/>
    <cellStyle name="Обычный 7 8 2 4 2 3 5 2" xfId="35584"/>
    <cellStyle name="Обычный 7 8 2 4 2 3 6" xfId="35585"/>
    <cellStyle name="Обычный 7 8 2 4 2 3 7" xfId="35586"/>
    <cellStyle name="Обычный 7 8 2 4 2 4" xfId="35587"/>
    <cellStyle name="Обычный 7 8 2 4 2 4 2" xfId="35588"/>
    <cellStyle name="Обычный 7 8 2 4 2 4 2 2" xfId="35589"/>
    <cellStyle name="Обычный 7 8 2 4 2 4 2 3" xfId="35590"/>
    <cellStyle name="Обычный 7 8 2 4 2 4 3" xfId="35591"/>
    <cellStyle name="Обычный 7 8 2 4 2 4 3 2" xfId="35592"/>
    <cellStyle name="Обычный 7 8 2 4 2 4 3 3" xfId="35593"/>
    <cellStyle name="Обычный 7 8 2 4 2 4 4" xfId="35594"/>
    <cellStyle name="Обычный 7 8 2 4 2 4 4 2" xfId="35595"/>
    <cellStyle name="Обычный 7 8 2 4 2 4 5" xfId="35596"/>
    <cellStyle name="Обычный 7 8 2 4 2 4 6" xfId="35597"/>
    <cellStyle name="Обычный 7 8 2 4 2 5" xfId="35598"/>
    <cellStyle name="Обычный 7 8 2 4 2 5 2" xfId="35599"/>
    <cellStyle name="Обычный 7 8 2 4 2 5 3" xfId="35600"/>
    <cellStyle name="Обычный 7 8 2 4 2 6" xfId="35601"/>
    <cellStyle name="Обычный 7 8 2 4 2 6 2" xfId="35602"/>
    <cellStyle name="Обычный 7 8 2 4 2 6 3" xfId="35603"/>
    <cellStyle name="Обычный 7 8 2 4 2 7" xfId="35604"/>
    <cellStyle name="Обычный 7 8 2 4 2 7 2" xfId="35605"/>
    <cellStyle name="Обычный 7 8 2 4 2 8" xfId="35606"/>
    <cellStyle name="Обычный 7 8 2 4 2 9" xfId="35607"/>
    <cellStyle name="Обычный 7 8 2 4 3" xfId="35608"/>
    <cellStyle name="Обычный 7 8 2 4 3 2" xfId="35609"/>
    <cellStyle name="Обычный 7 8 2 4 3 2 2" xfId="35610"/>
    <cellStyle name="Обычный 7 8 2 4 3 2 2 2" xfId="35611"/>
    <cellStyle name="Обычный 7 8 2 4 3 2 2 2 2" xfId="35612"/>
    <cellStyle name="Обычный 7 8 2 4 3 2 2 2 3" xfId="35613"/>
    <cellStyle name="Обычный 7 8 2 4 3 2 2 3" xfId="35614"/>
    <cellStyle name="Обычный 7 8 2 4 3 2 2 3 2" xfId="35615"/>
    <cellStyle name="Обычный 7 8 2 4 3 2 2 3 3" xfId="35616"/>
    <cellStyle name="Обычный 7 8 2 4 3 2 2 4" xfId="35617"/>
    <cellStyle name="Обычный 7 8 2 4 3 2 2 4 2" xfId="35618"/>
    <cellStyle name="Обычный 7 8 2 4 3 2 2 5" xfId="35619"/>
    <cellStyle name="Обычный 7 8 2 4 3 2 2 6" xfId="35620"/>
    <cellStyle name="Обычный 7 8 2 4 3 2 3" xfId="35621"/>
    <cellStyle name="Обычный 7 8 2 4 3 2 3 2" xfId="35622"/>
    <cellStyle name="Обычный 7 8 2 4 3 2 3 3" xfId="35623"/>
    <cellStyle name="Обычный 7 8 2 4 3 2 4" xfId="35624"/>
    <cellStyle name="Обычный 7 8 2 4 3 2 4 2" xfId="35625"/>
    <cellStyle name="Обычный 7 8 2 4 3 2 4 3" xfId="35626"/>
    <cellStyle name="Обычный 7 8 2 4 3 2 5" xfId="35627"/>
    <cellStyle name="Обычный 7 8 2 4 3 2 5 2" xfId="35628"/>
    <cellStyle name="Обычный 7 8 2 4 3 2 6" xfId="35629"/>
    <cellStyle name="Обычный 7 8 2 4 3 2 7" xfId="35630"/>
    <cellStyle name="Обычный 7 8 2 4 3 3" xfId="35631"/>
    <cellStyle name="Обычный 7 8 2 4 3 3 2" xfId="35632"/>
    <cellStyle name="Обычный 7 8 2 4 3 3 2 2" xfId="35633"/>
    <cellStyle name="Обычный 7 8 2 4 3 3 2 3" xfId="35634"/>
    <cellStyle name="Обычный 7 8 2 4 3 3 3" xfId="35635"/>
    <cellStyle name="Обычный 7 8 2 4 3 3 3 2" xfId="35636"/>
    <cellStyle name="Обычный 7 8 2 4 3 3 3 3" xfId="35637"/>
    <cellStyle name="Обычный 7 8 2 4 3 3 4" xfId="35638"/>
    <cellStyle name="Обычный 7 8 2 4 3 3 4 2" xfId="35639"/>
    <cellStyle name="Обычный 7 8 2 4 3 3 5" xfId="35640"/>
    <cellStyle name="Обычный 7 8 2 4 3 3 6" xfId="35641"/>
    <cellStyle name="Обычный 7 8 2 4 3 4" xfId="35642"/>
    <cellStyle name="Обычный 7 8 2 4 3 4 2" xfId="35643"/>
    <cellStyle name="Обычный 7 8 2 4 3 4 3" xfId="35644"/>
    <cellStyle name="Обычный 7 8 2 4 3 5" xfId="35645"/>
    <cellStyle name="Обычный 7 8 2 4 3 5 2" xfId="35646"/>
    <cellStyle name="Обычный 7 8 2 4 3 5 3" xfId="35647"/>
    <cellStyle name="Обычный 7 8 2 4 3 6" xfId="35648"/>
    <cellStyle name="Обычный 7 8 2 4 3 6 2" xfId="35649"/>
    <cellStyle name="Обычный 7 8 2 4 3 7" xfId="35650"/>
    <cellStyle name="Обычный 7 8 2 4 3 8" xfId="35651"/>
    <cellStyle name="Обычный 7 8 2 4 4" xfId="35652"/>
    <cellStyle name="Обычный 7 8 2 4 4 2" xfId="35653"/>
    <cellStyle name="Обычный 7 8 2 4 4 2 2" xfId="35654"/>
    <cellStyle name="Обычный 7 8 2 4 4 2 2 2" xfId="35655"/>
    <cellStyle name="Обычный 7 8 2 4 4 2 2 3" xfId="35656"/>
    <cellStyle name="Обычный 7 8 2 4 4 2 3" xfId="35657"/>
    <cellStyle name="Обычный 7 8 2 4 4 2 3 2" xfId="35658"/>
    <cellStyle name="Обычный 7 8 2 4 4 2 3 3" xfId="35659"/>
    <cellStyle name="Обычный 7 8 2 4 4 2 4" xfId="35660"/>
    <cellStyle name="Обычный 7 8 2 4 4 2 4 2" xfId="35661"/>
    <cellStyle name="Обычный 7 8 2 4 4 2 5" xfId="35662"/>
    <cellStyle name="Обычный 7 8 2 4 4 2 6" xfId="35663"/>
    <cellStyle name="Обычный 7 8 2 4 4 3" xfId="35664"/>
    <cellStyle name="Обычный 7 8 2 4 4 3 2" xfId="35665"/>
    <cellStyle name="Обычный 7 8 2 4 4 3 3" xfId="35666"/>
    <cellStyle name="Обычный 7 8 2 4 4 4" xfId="35667"/>
    <cellStyle name="Обычный 7 8 2 4 4 4 2" xfId="35668"/>
    <cellStyle name="Обычный 7 8 2 4 4 4 3" xfId="35669"/>
    <cellStyle name="Обычный 7 8 2 4 4 5" xfId="35670"/>
    <cellStyle name="Обычный 7 8 2 4 4 5 2" xfId="35671"/>
    <cellStyle name="Обычный 7 8 2 4 4 6" xfId="35672"/>
    <cellStyle name="Обычный 7 8 2 4 4 7" xfId="35673"/>
    <cellStyle name="Обычный 7 8 2 4 5" xfId="35674"/>
    <cellStyle name="Обычный 7 8 2 4 5 2" xfId="35675"/>
    <cellStyle name="Обычный 7 8 2 4 5 2 2" xfId="35676"/>
    <cellStyle name="Обычный 7 8 2 4 5 2 3" xfId="35677"/>
    <cellStyle name="Обычный 7 8 2 4 5 3" xfId="35678"/>
    <cellStyle name="Обычный 7 8 2 4 5 3 2" xfId="35679"/>
    <cellStyle name="Обычный 7 8 2 4 5 3 3" xfId="35680"/>
    <cellStyle name="Обычный 7 8 2 4 5 4" xfId="35681"/>
    <cellStyle name="Обычный 7 8 2 4 5 4 2" xfId="35682"/>
    <cellStyle name="Обычный 7 8 2 4 5 5" xfId="35683"/>
    <cellStyle name="Обычный 7 8 2 4 5 6" xfId="35684"/>
    <cellStyle name="Обычный 7 8 2 4 6" xfId="35685"/>
    <cellStyle name="Обычный 7 8 2 4 6 2" xfId="35686"/>
    <cellStyle name="Обычный 7 8 2 4 6 3" xfId="35687"/>
    <cellStyle name="Обычный 7 8 2 4 7" xfId="35688"/>
    <cellStyle name="Обычный 7 8 2 4 7 2" xfId="35689"/>
    <cellStyle name="Обычный 7 8 2 4 7 3" xfId="35690"/>
    <cellStyle name="Обычный 7 8 2 4 8" xfId="35691"/>
    <cellStyle name="Обычный 7 8 2 4 8 2" xfId="35692"/>
    <cellStyle name="Обычный 7 8 2 4 9" xfId="35693"/>
    <cellStyle name="Обычный 7 8 2 5" xfId="35694"/>
    <cellStyle name="Обычный 7 8 2 5 2" xfId="35695"/>
    <cellStyle name="Обычный 7 8 2 5 2 2" xfId="35696"/>
    <cellStyle name="Обычный 7 8 2 5 2 2 2" xfId="35697"/>
    <cellStyle name="Обычный 7 8 2 5 2 2 2 2" xfId="35698"/>
    <cellStyle name="Обычный 7 8 2 5 2 2 2 2 2" xfId="35699"/>
    <cellStyle name="Обычный 7 8 2 5 2 2 2 2 3" xfId="35700"/>
    <cellStyle name="Обычный 7 8 2 5 2 2 2 3" xfId="35701"/>
    <cellStyle name="Обычный 7 8 2 5 2 2 2 3 2" xfId="35702"/>
    <cellStyle name="Обычный 7 8 2 5 2 2 2 3 3" xfId="35703"/>
    <cellStyle name="Обычный 7 8 2 5 2 2 2 4" xfId="35704"/>
    <cellStyle name="Обычный 7 8 2 5 2 2 2 4 2" xfId="35705"/>
    <cellStyle name="Обычный 7 8 2 5 2 2 2 5" xfId="35706"/>
    <cellStyle name="Обычный 7 8 2 5 2 2 2 6" xfId="35707"/>
    <cellStyle name="Обычный 7 8 2 5 2 2 3" xfId="35708"/>
    <cellStyle name="Обычный 7 8 2 5 2 2 3 2" xfId="35709"/>
    <cellStyle name="Обычный 7 8 2 5 2 2 3 3" xfId="35710"/>
    <cellStyle name="Обычный 7 8 2 5 2 2 4" xfId="35711"/>
    <cellStyle name="Обычный 7 8 2 5 2 2 4 2" xfId="35712"/>
    <cellStyle name="Обычный 7 8 2 5 2 2 4 3" xfId="35713"/>
    <cellStyle name="Обычный 7 8 2 5 2 2 5" xfId="35714"/>
    <cellStyle name="Обычный 7 8 2 5 2 2 5 2" xfId="35715"/>
    <cellStyle name="Обычный 7 8 2 5 2 2 6" xfId="35716"/>
    <cellStyle name="Обычный 7 8 2 5 2 2 7" xfId="35717"/>
    <cellStyle name="Обычный 7 8 2 5 2 3" xfId="35718"/>
    <cellStyle name="Обычный 7 8 2 5 2 3 2" xfId="35719"/>
    <cellStyle name="Обычный 7 8 2 5 2 3 2 2" xfId="35720"/>
    <cellStyle name="Обычный 7 8 2 5 2 3 2 3" xfId="35721"/>
    <cellStyle name="Обычный 7 8 2 5 2 3 3" xfId="35722"/>
    <cellStyle name="Обычный 7 8 2 5 2 3 3 2" xfId="35723"/>
    <cellStyle name="Обычный 7 8 2 5 2 3 3 3" xfId="35724"/>
    <cellStyle name="Обычный 7 8 2 5 2 3 4" xfId="35725"/>
    <cellStyle name="Обычный 7 8 2 5 2 3 4 2" xfId="35726"/>
    <cellStyle name="Обычный 7 8 2 5 2 3 5" xfId="35727"/>
    <cellStyle name="Обычный 7 8 2 5 2 3 6" xfId="35728"/>
    <cellStyle name="Обычный 7 8 2 5 2 4" xfId="35729"/>
    <cellStyle name="Обычный 7 8 2 5 2 4 2" xfId="35730"/>
    <cellStyle name="Обычный 7 8 2 5 2 4 3" xfId="35731"/>
    <cellStyle name="Обычный 7 8 2 5 2 5" xfId="35732"/>
    <cellStyle name="Обычный 7 8 2 5 2 5 2" xfId="35733"/>
    <cellStyle name="Обычный 7 8 2 5 2 5 3" xfId="35734"/>
    <cellStyle name="Обычный 7 8 2 5 2 6" xfId="35735"/>
    <cellStyle name="Обычный 7 8 2 5 2 6 2" xfId="35736"/>
    <cellStyle name="Обычный 7 8 2 5 2 7" xfId="35737"/>
    <cellStyle name="Обычный 7 8 2 5 2 8" xfId="35738"/>
    <cellStyle name="Обычный 7 8 2 5 3" xfId="35739"/>
    <cellStyle name="Обычный 7 8 2 5 3 2" xfId="35740"/>
    <cellStyle name="Обычный 7 8 2 5 3 2 2" xfId="35741"/>
    <cellStyle name="Обычный 7 8 2 5 3 2 2 2" xfId="35742"/>
    <cellStyle name="Обычный 7 8 2 5 3 2 2 3" xfId="35743"/>
    <cellStyle name="Обычный 7 8 2 5 3 2 3" xfId="35744"/>
    <cellStyle name="Обычный 7 8 2 5 3 2 3 2" xfId="35745"/>
    <cellStyle name="Обычный 7 8 2 5 3 2 3 3" xfId="35746"/>
    <cellStyle name="Обычный 7 8 2 5 3 2 4" xfId="35747"/>
    <cellStyle name="Обычный 7 8 2 5 3 2 4 2" xfId="35748"/>
    <cellStyle name="Обычный 7 8 2 5 3 2 5" xfId="35749"/>
    <cellStyle name="Обычный 7 8 2 5 3 2 6" xfId="35750"/>
    <cellStyle name="Обычный 7 8 2 5 3 3" xfId="35751"/>
    <cellStyle name="Обычный 7 8 2 5 3 3 2" xfId="35752"/>
    <cellStyle name="Обычный 7 8 2 5 3 3 3" xfId="35753"/>
    <cellStyle name="Обычный 7 8 2 5 3 4" xfId="35754"/>
    <cellStyle name="Обычный 7 8 2 5 3 4 2" xfId="35755"/>
    <cellStyle name="Обычный 7 8 2 5 3 4 3" xfId="35756"/>
    <cellStyle name="Обычный 7 8 2 5 3 5" xfId="35757"/>
    <cellStyle name="Обычный 7 8 2 5 3 5 2" xfId="35758"/>
    <cellStyle name="Обычный 7 8 2 5 3 6" xfId="35759"/>
    <cellStyle name="Обычный 7 8 2 5 3 7" xfId="35760"/>
    <cellStyle name="Обычный 7 8 2 5 4" xfId="35761"/>
    <cellStyle name="Обычный 7 8 2 5 4 2" xfId="35762"/>
    <cellStyle name="Обычный 7 8 2 5 4 2 2" xfId="35763"/>
    <cellStyle name="Обычный 7 8 2 5 4 2 3" xfId="35764"/>
    <cellStyle name="Обычный 7 8 2 5 4 3" xfId="35765"/>
    <cellStyle name="Обычный 7 8 2 5 4 3 2" xfId="35766"/>
    <cellStyle name="Обычный 7 8 2 5 4 3 3" xfId="35767"/>
    <cellStyle name="Обычный 7 8 2 5 4 4" xfId="35768"/>
    <cellStyle name="Обычный 7 8 2 5 4 4 2" xfId="35769"/>
    <cellStyle name="Обычный 7 8 2 5 4 5" xfId="35770"/>
    <cellStyle name="Обычный 7 8 2 5 4 6" xfId="35771"/>
    <cellStyle name="Обычный 7 8 2 5 5" xfId="35772"/>
    <cellStyle name="Обычный 7 8 2 5 5 2" xfId="35773"/>
    <cellStyle name="Обычный 7 8 2 5 5 3" xfId="35774"/>
    <cellStyle name="Обычный 7 8 2 5 6" xfId="35775"/>
    <cellStyle name="Обычный 7 8 2 5 6 2" xfId="35776"/>
    <cellStyle name="Обычный 7 8 2 5 6 3" xfId="35777"/>
    <cellStyle name="Обычный 7 8 2 5 7" xfId="35778"/>
    <cellStyle name="Обычный 7 8 2 5 7 2" xfId="35779"/>
    <cellStyle name="Обычный 7 8 2 5 8" xfId="35780"/>
    <cellStyle name="Обычный 7 8 2 5 9" xfId="35781"/>
    <cellStyle name="Обычный 7 8 2 6" xfId="35782"/>
    <cellStyle name="Обычный 7 8 2 6 2" xfId="35783"/>
    <cellStyle name="Обычный 7 8 2 6 2 2" xfId="35784"/>
    <cellStyle name="Обычный 7 8 2 6 2 2 2" xfId="35785"/>
    <cellStyle name="Обычный 7 8 2 6 2 2 2 2" xfId="35786"/>
    <cellStyle name="Обычный 7 8 2 6 2 2 2 3" xfId="35787"/>
    <cellStyle name="Обычный 7 8 2 6 2 2 3" xfId="35788"/>
    <cellStyle name="Обычный 7 8 2 6 2 2 3 2" xfId="35789"/>
    <cellStyle name="Обычный 7 8 2 6 2 2 3 3" xfId="35790"/>
    <cellStyle name="Обычный 7 8 2 6 2 2 4" xfId="35791"/>
    <cellStyle name="Обычный 7 8 2 6 2 2 4 2" xfId="35792"/>
    <cellStyle name="Обычный 7 8 2 6 2 2 5" xfId="35793"/>
    <cellStyle name="Обычный 7 8 2 6 2 2 6" xfId="35794"/>
    <cellStyle name="Обычный 7 8 2 6 2 3" xfId="35795"/>
    <cellStyle name="Обычный 7 8 2 6 2 3 2" xfId="35796"/>
    <cellStyle name="Обычный 7 8 2 6 2 3 3" xfId="35797"/>
    <cellStyle name="Обычный 7 8 2 6 2 4" xfId="35798"/>
    <cellStyle name="Обычный 7 8 2 6 2 4 2" xfId="35799"/>
    <cellStyle name="Обычный 7 8 2 6 2 4 3" xfId="35800"/>
    <cellStyle name="Обычный 7 8 2 6 2 5" xfId="35801"/>
    <cellStyle name="Обычный 7 8 2 6 2 5 2" xfId="35802"/>
    <cellStyle name="Обычный 7 8 2 6 2 6" xfId="35803"/>
    <cellStyle name="Обычный 7 8 2 6 2 7" xfId="35804"/>
    <cellStyle name="Обычный 7 8 2 6 3" xfId="35805"/>
    <cellStyle name="Обычный 7 8 2 6 3 2" xfId="35806"/>
    <cellStyle name="Обычный 7 8 2 6 3 2 2" xfId="35807"/>
    <cellStyle name="Обычный 7 8 2 6 3 2 3" xfId="35808"/>
    <cellStyle name="Обычный 7 8 2 6 3 3" xfId="35809"/>
    <cellStyle name="Обычный 7 8 2 6 3 3 2" xfId="35810"/>
    <cellStyle name="Обычный 7 8 2 6 3 3 3" xfId="35811"/>
    <cellStyle name="Обычный 7 8 2 6 3 4" xfId="35812"/>
    <cellStyle name="Обычный 7 8 2 6 3 4 2" xfId="35813"/>
    <cellStyle name="Обычный 7 8 2 6 3 5" xfId="35814"/>
    <cellStyle name="Обычный 7 8 2 6 3 6" xfId="35815"/>
    <cellStyle name="Обычный 7 8 2 6 4" xfId="35816"/>
    <cellStyle name="Обычный 7 8 2 6 4 2" xfId="35817"/>
    <cellStyle name="Обычный 7 8 2 6 4 3" xfId="35818"/>
    <cellStyle name="Обычный 7 8 2 6 5" xfId="35819"/>
    <cellStyle name="Обычный 7 8 2 6 5 2" xfId="35820"/>
    <cellStyle name="Обычный 7 8 2 6 5 3" xfId="35821"/>
    <cellStyle name="Обычный 7 8 2 6 6" xfId="35822"/>
    <cellStyle name="Обычный 7 8 2 6 6 2" xfId="35823"/>
    <cellStyle name="Обычный 7 8 2 6 7" xfId="35824"/>
    <cellStyle name="Обычный 7 8 2 6 8" xfId="35825"/>
    <cellStyle name="Обычный 7 8 2 7" xfId="35826"/>
    <cellStyle name="Обычный 7 8 2 7 2" xfId="35827"/>
    <cellStyle name="Обычный 7 8 2 7 2 2" xfId="35828"/>
    <cellStyle name="Обычный 7 8 2 7 2 2 2" xfId="35829"/>
    <cellStyle name="Обычный 7 8 2 7 2 2 3" xfId="35830"/>
    <cellStyle name="Обычный 7 8 2 7 2 3" xfId="35831"/>
    <cellStyle name="Обычный 7 8 2 7 2 3 2" xfId="35832"/>
    <cellStyle name="Обычный 7 8 2 7 2 3 3" xfId="35833"/>
    <cellStyle name="Обычный 7 8 2 7 2 4" xfId="35834"/>
    <cellStyle name="Обычный 7 8 2 7 2 4 2" xfId="35835"/>
    <cellStyle name="Обычный 7 8 2 7 2 5" xfId="35836"/>
    <cellStyle name="Обычный 7 8 2 7 2 6" xfId="35837"/>
    <cellStyle name="Обычный 7 8 2 7 3" xfId="35838"/>
    <cellStyle name="Обычный 7 8 2 7 3 2" xfId="35839"/>
    <cellStyle name="Обычный 7 8 2 7 3 3" xfId="35840"/>
    <cellStyle name="Обычный 7 8 2 7 4" xfId="35841"/>
    <cellStyle name="Обычный 7 8 2 7 4 2" xfId="35842"/>
    <cellStyle name="Обычный 7 8 2 7 4 3" xfId="35843"/>
    <cellStyle name="Обычный 7 8 2 7 5" xfId="35844"/>
    <cellStyle name="Обычный 7 8 2 7 5 2" xfId="35845"/>
    <cellStyle name="Обычный 7 8 2 7 6" xfId="35846"/>
    <cellStyle name="Обычный 7 8 2 7 7" xfId="35847"/>
    <cellStyle name="Обычный 7 8 2 8" xfId="35848"/>
    <cellStyle name="Обычный 7 8 2 8 2" xfId="35849"/>
    <cellStyle name="Обычный 7 8 2 8 2 2" xfId="35850"/>
    <cellStyle name="Обычный 7 8 2 8 2 3" xfId="35851"/>
    <cellStyle name="Обычный 7 8 2 8 3" xfId="35852"/>
    <cellStyle name="Обычный 7 8 2 8 3 2" xfId="35853"/>
    <cellStyle name="Обычный 7 8 2 8 3 3" xfId="35854"/>
    <cellStyle name="Обычный 7 8 2 8 4" xfId="35855"/>
    <cellStyle name="Обычный 7 8 2 8 4 2" xfId="35856"/>
    <cellStyle name="Обычный 7 8 2 8 5" xfId="35857"/>
    <cellStyle name="Обычный 7 8 2 8 6" xfId="35858"/>
    <cellStyle name="Обычный 7 8 2 9" xfId="35859"/>
    <cellStyle name="Обычный 7 8 2 9 2" xfId="35860"/>
    <cellStyle name="Обычный 7 8 2 9 3" xfId="35861"/>
    <cellStyle name="Обычный 7 8 3" xfId="35862"/>
    <cellStyle name="Обычный 7 8 3 10" xfId="35863"/>
    <cellStyle name="Обычный 7 8 3 2" xfId="35864"/>
    <cellStyle name="Обычный 7 8 3 2 2" xfId="35865"/>
    <cellStyle name="Обычный 7 8 3 2 2 2" xfId="35866"/>
    <cellStyle name="Обычный 7 8 3 2 2 2 2" xfId="35867"/>
    <cellStyle name="Обычный 7 8 3 2 2 2 2 2" xfId="35868"/>
    <cellStyle name="Обычный 7 8 3 2 2 2 2 2 2" xfId="35869"/>
    <cellStyle name="Обычный 7 8 3 2 2 2 2 2 3" xfId="35870"/>
    <cellStyle name="Обычный 7 8 3 2 2 2 2 3" xfId="35871"/>
    <cellStyle name="Обычный 7 8 3 2 2 2 2 3 2" xfId="35872"/>
    <cellStyle name="Обычный 7 8 3 2 2 2 2 3 3" xfId="35873"/>
    <cellStyle name="Обычный 7 8 3 2 2 2 2 4" xfId="35874"/>
    <cellStyle name="Обычный 7 8 3 2 2 2 2 4 2" xfId="35875"/>
    <cellStyle name="Обычный 7 8 3 2 2 2 2 5" xfId="35876"/>
    <cellStyle name="Обычный 7 8 3 2 2 2 2 6" xfId="35877"/>
    <cellStyle name="Обычный 7 8 3 2 2 2 3" xfId="35878"/>
    <cellStyle name="Обычный 7 8 3 2 2 2 3 2" xfId="35879"/>
    <cellStyle name="Обычный 7 8 3 2 2 2 3 3" xfId="35880"/>
    <cellStyle name="Обычный 7 8 3 2 2 2 4" xfId="35881"/>
    <cellStyle name="Обычный 7 8 3 2 2 2 4 2" xfId="35882"/>
    <cellStyle name="Обычный 7 8 3 2 2 2 4 3" xfId="35883"/>
    <cellStyle name="Обычный 7 8 3 2 2 2 5" xfId="35884"/>
    <cellStyle name="Обычный 7 8 3 2 2 2 5 2" xfId="35885"/>
    <cellStyle name="Обычный 7 8 3 2 2 2 6" xfId="35886"/>
    <cellStyle name="Обычный 7 8 3 2 2 2 7" xfId="35887"/>
    <cellStyle name="Обычный 7 8 3 2 2 3" xfId="35888"/>
    <cellStyle name="Обычный 7 8 3 2 2 3 2" xfId="35889"/>
    <cellStyle name="Обычный 7 8 3 2 2 3 2 2" xfId="35890"/>
    <cellStyle name="Обычный 7 8 3 2 2 3 2 3" xfId="35891"/>
    <cellStyle name="Обычный 7 8 3 2 2 3 3" xfId="35892"/>
    <cellStyle name="Обычный 7 8 3 2 2 3 3 2" xfId="35893"/>
    <cellStyle name="Обычный 7 8 3 2 2 3 3 3" xfId="35894"/>
    <cellStyle name="Обычный 7 8 3 2 2 3 4" xfId="35895"/>
    <cellStyle name="Обычный 7 8 3 2 2 3 4 2" xfId="35896"/>
    <cellStyle name="Обычный 7 8 3 2 2 3 5" xfId="35897"/>
    <cellStyle name="Обычный 7 8 3 2 2 3 6" xfId="35898"/>
    <cellStyle name="Обычный 7 8 3 2 2 4" xfId="35899"/>
    <cellStyle name="Обычный 7 8 3 2 2 4 2" xfId="35900"/>
    <cellStyle name="Обычный 7 8 3 2 2 4 3" xfId="35901"/>
    <cellStyle name="Обычный 7 8 3 2 2 5" xfId="35902"/>
    <cellStyle name="Обычный 7 8 3 2 2 5 2" xfId="35903"/>
    <cellStyle name="Обычный 7 8 3 2 2 5 3" xfId="35904"/>
    <cellStyle name="Обычный 7 8 3 2 2 6" xfId="35905"/>
    <cellStyle name="Обычный 7 8 3 2 2 6 2" xfId="35906"/>
    <cellStyle name="Обычный 7 8 3 2 2 7" xfId="35907"/>
    <cellStyle name="Обычный 7 8 3 2 2 8" xfId="35908"/>
    <cellStyle name="Обычный 7 8 3 2 3" xfId="35909"/>
    <cellStyle name="Обычный 7 8 3 2 3 2" xfId="35910"/>
    <cellStyle name="Обычный 7 8 3 2 3 2 2" xfId="35911"/>
    <cellStyle name="Обычный 7 8 3 2 3 2 2 2" xfId="35912"/>
    <cellStyle name="Обычный 7 8 3 2 3 2 2 3" xfId="35913"/>
    <cellStyle name="Обычный 7 8 3 2 3 2 3" xfId="35914"/>
    <cellStyle name="Обычный 7 8 3 2 3 2 3 2" xfId="35915"/>
    <cellStyle name="Обычный 7 8 3 2 3 2 3 3" xfId="35916"/>
    <cellStyle name="Обычный 7 8 3 2 3 2 4" xfId="35917"/>
    <cellStyle name="Обычный 7 8 3 2 3 2 4 2" xfId="35918"/>
    <cellStyle name="Обычный 7 8 3 2 3 2 5" xfId="35919"/>
    <cellStyle name="Обычный 7 8 3 2 3 2 6" xfId="35920"/>
    <cellStyle name="Обычный 7 8 3 2 3 3" xfId="35921"/>
    <cellStyle name="Обычный 7 8 3 2 3 3 2" xfId="35922"/>
    <cellStyle name="Обычный 7 8 3 2 3 3 3" xfId="35923"/>
    <cellStyle name="Обычный 7 8 3 2 3 4" xfId="35924"/>
    <cellStyle name="Обычный 7 8 3 2 3 4 2" xfId="35925"/>
    <cellStyle name="Обычный 7 8 3 2 3 4 3" xfId="35926"/>
    <cellStyle name="Обычный 7 8 3 2 3 5" xfId="35927"/>
    <cellStyle name="Обычный 7 8 3 2 3 5 2" xfId="35928"/>
    <cellStyle name="Обычный 7 8 3 2 3 6" xfId="35929"/>
    <cellStyle name="Обычный 7 8 3 2 3 7" xfId="35930"/>
    <cellStyle name="Обычный 7 8 3 2 4" xfId="35931"/>
    <cellStyle name="Обычный 7 8 3 2 4 2" xfId="35932"/>
    <cellStyle name="Обычный 7 8 3 2 4 2 2" xfId="35933"/>
    <cellStyle name="Обычный 7 8 3 2 4 2 3" xfId="35934"/>
    <cellStyle name="Обычный 7 8 3 2 4 3" xfId="35935"/>
    <cellStyle name="Обычный 7 8 3 2 4 3 2" xfId="35936"/>
    <cellStyle name="Обычный 7 8 3 2 4 3 3" xfId="35937"/>
    <cellStyle name="Обычный 7 8 3 2 4 4" xfId="35938"/>
    <cellStyle name="Обычный 7 8 3 2 4 4 2" xfId="35939"/>
    <cellStyle name="Обычный 7 8 3 2 4 5" xfId="35940"/>
    <cellStyle name="Обычный 7 8 3 2 4 6" xfId="35941"/>
    <cellStyle name="Обычный 7 8 3 2 5" xfId="35942"/>
    <cellStyle name="Обычный 7 8 3 2 5 2" xfId="35943"/>
    <cellStyle name="Обычный 7 8 3 2 5 3" xfId="35944"/>
    <cellStyle name="Обычный 7 8 3 2 6" xfId="35945"/>
    <cellStyle name="Обычный 7 8 3 2 6 2" xfId="35946"/>
    <cellStyle name="Обычный 7 8 3 2 6 3" xfId="35947"/>
    <cellStyle name="Обычный 7 8 3 2 7" xfId="35948"/>
    <cellStyle name="Обычный 7 8 3 2 7 2" xfId="35949"/>
    <cellStyle name="Обычный 7 8 3 2 8" xfId="35950"/>
    <cellStyle name="Обычный 7 8 3 2 9" xfId="35951"/>
    <cellStyle name="Обычный 7 8 3 3" xfId="35952"/>
    <cellStyle name="Обычный 7 8 3 3 2" xfId="35953"/>
    <cellStyle name="Обычный 7 8 3 3 2 2" xfId="35954"/>
    <cellStyle name="Обычный 7 8 3 3 2 2 2" xfId="35955"/>
    <cellStyle name="Обычный 7 8 3 3 2 2 2 2" xfId="35956"/>
    <cellStyle name="Обычный 7 8 3 3 2 2 2 3" xfId="35957"/>
    <cellStyle name="Обычный 7 8 3 3 2 2 3" xfId="35958"/>
    <cellStyle name="Обычный 7 8 3 3 2 2 3 2" xfId="35959"/>
    <cellStyle name="Обычный 7 8 3 3 2 2 3 3" xfId="35960"/>
    <cellStyle name="Обычный 7 8 3 3 2 2 4" xfId="35961"/>
    <cellStyle name="Обычный 7 8 3 3 2 2 4 2" xfId="35962"/>
    <cellStyle name="Обычный 7 8 3 3 2 2 5" xfId="35963"/>
    <cellStyle name="Обычный 7 8 3 3 2 2 6" xfId="35964"/>
    <cellStyle name="Обычный 7 8 3 3 2 3" xfId="35965"/>
    <cellStyle name="Обычный 7 8 3 3 2 3 2" xfId="35966"/>
    <cellStyle name="Обычный 7 8 3 3 2 3 3" xfId="35967"/>
    <cellStyle name="Обычный 7 8 3 3 2 4" xfId="35968"/>
    <cellStyle name="Обычный 7 8 3 3 2 4 2" xfId="35969"/>
    <cellStyle name="Обычный 7 8 3 3 2 4 3" xfId="35970"/>
    <cellStyle name="Обычный 7 8 3 3 2 5" xfId="35971"/>
    <cellStyle name="Обычный 7 8 3 3 2 5 2" xfId="35972"/>
    <cellStyle name="Обычный 7 8 3 3 2 6" xfId="35973"/>
    <cellStyle name="Обычный 7 8 3 3 2 7" xfId="35974"/>
    <cellStyle name="Обычный 7 8 3 3 3" xfId="35975"/>
    <cellStyle name="Обычный 7 8 3 3 3 2" xfId="35976"/>
    <cellStyle name="Обычный 7 8 3 3 3 2 2" xfId="35977"/>
    <cellStyle name="Обычный 7 8 3 3 3 2 3" xfId="35978"/>
    <cellStyle name="Обычный 7 8 3 3 3 3" xfId="35979"/>
    <cellStyle name="Обычный 7 8 3 3 3 3 2" xfId="35980"/>
    <cellStyle name="Обычный 7 8 3 3 3 3 3" xfId="35981"/>
    <cellStyle name="Обычный 7 8 3 3 3 4" xfId="35982"/>
    <cellStyle name="Обычный 7 8 3 3 3 4 2" xfId="35983"/>
    <cellStyle name="Обычный 7 8 3 3 3 5" xfId="35984"/>
    <cellStyle name="Обычный 7 8 3 3 3 6" xfId="35985"/>
    <cellStyle name="Обычный 7 8 3 3 4" xfId="35986"/>
    <cellStyle name="Обычный 7 8 3 3 4 2" xfId="35987"/>
    <cellStyle name="Обычный 7 8 3 3 4 3" xfId="35988"/>
    <cellStyle name="Обычный 7 8 3 3 5" xfId="35989"/>
    <cellStyle name="Обычный 7 8 3 3 5 2" xfId="35990"/>
    <cellStyle name="Обычный 7 8 3 3 5 3" xfId="35991"/>
    <cellStyle name="Обычный 7 8 3 3 6" xfId="35992"/>
    <cellStyle name="Обычный 7 8 3 3 6 2" xfId="35993"/>
    <cellStyle name="Обычный 7 8 3 3 7" xfId="35994"/>
    <cellStyle name="Обычный 7 8 3 3 8" xfId="35995"/>
    <cellStyle name="Обычный 7 8 3 4" xfId="35996"/>
    <cellStyle name="Обычный 7 8 3 4 2" xfId="35997"/>
    <cellStyle name="Обычный 7 8 3 4 2 2" xfId="35998"/>
    <cellStyle name="Обычный 7 8 3 4 2 2 2" xfId="35999"/>
    <cellStyle name="Обычный 7 8 3 4 2 2 3" xfId="36000"/>
    <cellStyle name="Обычный 7 8 3 4 2 3" xfId="36001"/>
    <cellStyle name="Обычный 7 8 3 4 2 3 2" xfId="36002"/>
    <cellStyle name="Обычный 7 8 3 4 2 3 3" xfId="36003"/>
    <cellStyle name="Обычный 7 8 3 4 2 4" xfId="36004"/>
    <cellStyle name="Обычный 7 8 3 4 2 4 2" xfId="36005"/>
    <cellStyle name="Обычный 7 8 3 4 2 5" xfId="36006"/>
    <cellStyle name="Обычный 7 8 3 4 2 6" xfId="36007"/>
    <cellStyle name="Обычный 7 8 3 4 3" xfId="36008"/>
    <cellStyle name="Обычный 7 8 3 4 3 2" xfId="36009"/>
    <cellStyle name="Обычный 7 8 3 4 3 3" xfId="36010"/>
    <cellStyle name="Обычный 7 8 3 4 4" xfId="36011"/>
    <cellStyle name="Обычный 7 8 3 4 4 2" xfId="36012"/>
    <cellStyle name="Обычный 7 8 3 4 4 3" xfId="36013"/>
    <cellStyle name="Обычный 7 8 3 4 5" xfId="36014"/>
    <cellStyle name="Обычный 7 8 3 4 5 2" xfId="36015"/>
    <cellStyle name="Обычный 7 8 3 4 6" xfId="36016"/>
    <cellStyle name="Обычный 7 8 3 4 7" xfId="36017"/>
    <cellStyle name="Обычный 7 8 3 5" xfId="36018"/>
    <cellStyle name="Обычный 7 8 3 5 2" xfId="36019"/>
    <cellStyle name="Обычный 7 8 3 5 2 2" xfId="36020"/>
    <cellStyle name="Обычный 7 8 3 5 2 3" xfId="36021"/>
    <cellStyle name="Обычный 7 8 3 5 3" xfId="36022"/>
    <cellStyle name="Обычный 7 8 3 5 3 2" xfId="36023"/>
    <cellStyle name="Обычный 7 8 3 5 3 3" xfId="36024"/>
    <cellStyle name="Обычный 7 8 3 5 4" xfId="36025"/>
    <cellStyle name="Обычный 7 8 3 5 4 2" xfId="36026"/>
    <cellStyle name="Обычный 7 8 3 5 5" xfId="36027"/>
    <cellStyle name="Обычный 7 8 3 5 6" xfId="36028"/>
    <cellStyle name="Обычный 7 8 3 6" xfId="36029"/>
    <cellStyle name="Обычный 7 8 3 6 2" xfId="36030"/>
    <cellStyle name="Обычный 7 8 3 6 3" xfId="36031"/>
    <cellStyle name="Обычный 7 8 3 7" xfId="36032"/>
    <cellStyle name="Обычный 7 8 3 7 2" xfId="36033"/>
    <cellStyle name="Обычный 7 8 3 7 3" xfId="36034"/>
    <cellStyle name="Обычный 7 8 3 8" xfId="36035"/>
    <cellStyle name="Обычный 7 8 3 8 2" xfId="36036"/>
    <cellStyle name="Обычный 7 8 3 9" xfId="36037"/>
    <cellStyle name="Обычный 7 8 4" xfId="36038"/>
    <cellStyle name="Обычный 7 8 4 10" xfId="36039"/>
    <cellStyle name="Обычный 7 8 4 2" xfId="36040"/>
    <cellStyle name="Обычный 7 8 4 2 2" xfId="36041"/>
    <cellStyle name="Обычный 7 8 4 2 2 2" xfId="36042"/>
    <cellStyle name="Обычный 7 8 4 2 2 2 2" xfId="36043"/>
    <cellStyle name="Обычный 7 8 4 2 2 2 2 2" xfId="36044"/>
    <cellStyle name="Обычный 7 8 4 2 2 2 2 2 2" xfId="36045"/>
    <cellStyle name="Обычный 7 8 4 2 2 2 2 2 3" xfId="36046"/>
    <cellStyle name="Обычный 7 8 4 2 2 2 2 3" xfId="36047"/>
    <cellStyle name="Обычный 7 8 4 2 2 2 2 3 2" xfId="36048"/>
    <cellStyle name="Обычный 7 8 4 2 2 2 2 3 3" xfId="36049"/>
    <cellStyle name="Обычный 7 8 4 2 2 2 2 4" xfId="36050"/>
    <cellStyle name="Обычный 7 8 4 2 2 2 2 4 2" xfId="36051"/>
    <cellStyle name="Обычный 7 8 4 2 2 2 2 5" xfId="36052"/>
    <cellStyle name="Обычный 7 8 4 2 2 2 2 6" xfId="36053"/>
    <cellStyle name="Обычный 7 8 4 2 2 2 3" xfId="36054"/>
    <cellStyle name="Обычный 7 8 4 2 2 2 3 2" xfId="36055"/>
    <cellStyle name="Обычный 7 8 4 2 2 2 3 3" xfId="36056"/>
    <cellStyle name="Обычный 7 8 4 2 2 2 4" xfId="36057"/>
    <cellStyle name="Обычный 7 8 4 2 2 2 4 2" xfId="36058"/>
    <cellStyle name="Обычный 7 8 4 2 2 2 4 3" xfId="36059"/>
    <cellStyle name="Обычный 7 8 4 2 2 2 5" xfId="36060"/>
    <cellStyle name="Обычный 7 8 4 2 2 2 5 2" xfId="36061"/>
    <cellStyle name="Обычный 7 8 4 2 2 2 6" xfId="36062"/>
    <cellStyle name="Обычный 7 8 4 2 2 2 7" xfId="36063"/>
    <cellStyle name="Обычный 7 8 4 2 2 3" xfId="36064"/>
    <cellStyle name="Обычный 7 8 4 2 2 3 2" xfId="36065"/>
    <cellStyle name="Обычный 7 8 4 2 2 3 2 2" xfId="36066"/>
    <cellStyle name="Обычный 7 8 4 2 2 3 2 3" xfId="36067"/>
    <cellStyle name="Обычный 7 8 4 2 2 3 3" xfId="36068"/>
    <cellStyle name="Обычный 7 8 4 2 2 3 3 2" xfId="36069"/>
    <cellStyle name="Обычный 7 8 4 2 2 3 3 3" xfId="36070"/>
    <cellStyle name="Обычный 7 8 4 2 2 3 4" xfId="36071"/>
    <cellStyle name="Обычный 7 8 4 2 2 3 4 2" xfId="36072"/>
    <cellStyle name="Обычный 7 8 4 2 2 3 5" xfId="36073"/>
    <cellStyle name="Обычный 7 8 4 2 2 3 6" xfId="36074"/>
    <cellStyle name="Обычный 7 8 4 2 2 4" xfId="36075"/>
    <cellStyle name="Обычный 7 8 4 2 2 4 2" xfId="36076"/>
    <cellStyle name="Обычный 7 8 4 2 2 4 3" xfId="36077"/>
    <cellStyle name="Обычный 7 8 4 2 2 5" xfId="36078"/>
    <cellStyle name="Обычный 7 8 4 2 2 5 2" xfId="36079"/>
    <cellStyle name="Обычный 7 8 4 2 2 5 3" xfId="36080"/>
    <cellStyle name="Обычный 7 8 4 2 2 6" xfId="36081"/>
    <cellStyle name="Обычный 7 8 4 2 2 6 2" xfId="36082"/>
    <cellStyle name="Обычный 7 8 4 2 2 7" xfId="36083"/>
    <cellStyle name="Обычный 7 8 4 2 2 8" xfId="36084"/>
    <cellStyle name="Обычный 7 8 4 2 3" xfId="36085"/>
    <cellStyle name="Обычный 7 8 4 2 3 2" xfId="36086"/>
    <cellStyle name="Обычный 7 8 4 2 3 2 2" xfId="36087"/>
    <cellStyle name="Обычный 7 8 4 2 3 2 2 2" xfId="36088"/>
    <cellStyle name="Обычный 7 8 4 2 3 2 2 3" xfId="36089"/>
    <cellStyle name="Обычный 7 8 4 2 3 2 3" xfId="36090"/>
    <cellStyle name="Обычный 7 8 4 2 3 2 3 2" xfId="36091"/>
    <cellStyle name="Обычный 7 8 4 2 3 2 3 3" xfId="36092"/>
    <cellStyle name="Обычный 7 8 4 2 3 2 4" xfId="36093"/>
    <cellStyle name="Обычный 7 8 4 2 3 2 4 2" xfId="36094"/>
    <cellStyle name="Обычный 7 8 4 2 3 2 5" xfId="36095"/>
    <cellStyle name="Обычный 7 8 4 2 3 2 6" xfId="36096"/>
    <cellStyle name="Обычный 7 8 4 2 3 3" xfId="36097"/>
    <cellStyle name="Обычный 7 8 4 2 3 3 2" xfId="36098"/>
    <cellStyle name="Обычный 7 8 4 2 3 3 3" xfId="36099"/>
    <cellStyle name="Обычный 7 8 4 2 3 4" xfId="36100"/>
    <cellStyle name="Обычный 7 8 4 2 3 4 2" xfId="36101"/>
    <cellStyle name="Обычный 7 8 4 2 3 4 3" xfId="36102"/>
    <cellStyle name="Обычный 7 8 4 2 3 5" xfId="36103"/>
    <cellStyle name="Обычный 7 8 4 2 3 5 2" xfId="36104"/>
    <cellStyle name="Обычный 7 8 4 2 3 6" xfId="36105"/>
    <cellStyle name="Обычный 7 8 4 2 3 7" xfId="36106"/>
    <cellStyle name="Обычный 7 8 4 2 4" xfId="36107"/>
    <cellStyle name="Обычный 7 8 4 2 4 2" xfId="36108"/>
    <cellStyle name="Обычный 7 8 4 2 4 2 2" xfId="36109"/>
    <cellStyle name="Обычный 7 8 4 2 4 2 3" xfId="36110"/>
    <cellStyle name="Обычный 7 8 4 2 4 3" xfId="36111"/>
    <cellStyle name="Обычный 7 8 4 2 4 3 2" xfId="36112"/>
    <cellStyle name="Обычный 7 8 4 2 4 3 3" xfId="36113"/>
    <cellStyle name="Обычный 7 8 4 2 4 4" xfId="36114"/>
    <cellStyle name="Обычный 7 8 4 2 4 4 2" xfId="36115"/>
    <cellStyle name="Обычный 7 8 4 2 4 5" xfId="36116"/>
    <cellStyle name="Обычный 7 8 4 2 4 6" xfId="36117"/>
    <cellStyle name="Обычный 7 8 4 2 5" xfId="36118"/>
    <cellStyle name="Обычный 7 8 4 2 5 2" xfId="36119"/>
    <cellStyle name="Обычный 7 8 4 2 5 3" xfId="36120"/>
    <cellStyle name="Обычный 7 8 4 2 6" xfId="36121"/>
    <cellStyle name="Обычный 7 8 4 2 6 2" xfId="36122"/>
    <cellStyle name="Обычный 7 8 4 2 6 3" xfId="36123"/>
    <cellStyle name="Обычный 7 8 4 2 7" xfId="36124"/>
    <cellStyle name="Обычный 7 8 4 2 7 2" xfId="36125"/>
    <cellStyle name="Обычный 7 8 4 2 8" xfId="36126"/>
    <cellStyle name="Обычный 7 8 4 2 9" xfId="36127"/>
    <cellStyle name="Обычный 7 8 4 3" xfId="36128"/>
    <cellStyle name="Обычный 7 8 4 3 2" xfId="36129"/>
    <cellStyle name="Обычный 7 8 4 3 2 2" xfId="36130"/>
    <cellStyle name="Обычный 7 8 4 3 2 2 2" xfId="36131"/>
    <cellStyle name="Обычный 7 8 4 3 2 2 2 2" xfId="36132"/>
    <cellStyle name="Обычный 7 8 4 3 2 2 2 3" xfId="36133"/>
    <cellStyle name="Обычный 7 8 4 3 2 2 3" xfId="36134"/>
    <cellStyle name="Обычный 7 8 4 3 2 2 3 2" xfId="36135"/>
    <cellStyle name="Обычный 7 8 4 3 2 2 3 3" xfId="36136"/>
    <cellStyle name="Обычный 7 8 4 3 2 2 4" xfId="36137"/>
    <cellStyle name="Обычный 7 8 4 3 2 2 4 2" xfId="36138"/>
    <cellStyle name="Обычный 7 8 4 3 2 2 5" xfId="36139"/>
    <cellStyle name="Обычный 7 8 4 3 2 2 6" xfId="36140"/>
    <cellStyle name="Обычный 7 8 4 3 2 3" xfId="36141"/>
    <cellStyle name="Обычный 7 8 4 3 2 3 2" xfId="36142"/>
    <cellStyle name="Обычный 7 8 4 3 2 3 3" xfId="36143"/>
    <cellStyle name="Обычный 7 8 4 3 2 4" xfId="36144"/>
    <cellStyle name="Обычный 7 8 4 3 2 4 2" xfId="36145"/>
    <cellStyle name="Обычный 7 8 4 3 2 4 3" xfId="36146"/>
    <cellStyle name="Обычный 7 8 4 3 2 5" xfId="36147"/>
    <cellStyle name="Обычный 7 8 4 3 2 5 2" xfId="36148"/>
    <cellStyle name="Обычный 7 8 4 3 2 6" xfId="36149"/>
    <cellStyle name="Обычный 7 8 4 3 2 7" xfId="36150"/>
    <cellStyle name="Обычный 7 8 4 3 3" xfId="36151"/>
    <cellStyle name="Обычный 7 8 4 3 3 2" xfId="36152"/>
    <cellStyle name="Обычный 7 8 4 3 3 2 2" xfId="36153"/>
    <cellStyle name="Обычный 7 8 4 3 3 2 3" xfId="36154"/>
    <cellStyle name="Обычный 7 8 4 3 3 3" xfId="36155"/>
    <cellStyle name="Обычный 7 8 4 3 3 3 2" xfId="36156"/>
    <cellStyle name="Обычный 7 8 4 3 3 3 3" xfId="36157"/>
    <cellStyle name="Обычный 7 8 4 3 3 4" xfId="36158"/>
    <cellStyle name="Обычный 7 8 4 3 3 4 2" xfId="36159"/>
    <cellStyle name="Обычный 7 8 4 3 3 5" xfId="36160"/>
    <cellStyle name="Обычный 7 8 4 3 3 6" xfId="36161"/>
    <cellStyle name="Обычный 7 8 4 3 4" xfId="36162"/>
    <cellStyle name="Обычный 7 8 4 3 4 2" xfId="36163"/>
    <cellStyle name="Обычный 7 8 4 3 4 3" xfId="36164"/>
    <cellStyle name="Обычный 7 8 4 3 5" xfId="36165"/>
    <cellStyle name="Обычный 7 8 4 3 5 2" xfId="36166"/>
    <cellStyle name="Обычный 7 8 4 3 5 3" xfId="36167"/>
    <cellStyle name="Обычный 7 8 4 3 6" xfId="36168"/>
    <cellStyle name="Обычный 7 8 4 3 6 2" xfId="36169"/>
    <cellStyle name="Обычный 7 8 4 3 7" xfId="36170"/>
    <cellStyle name="Обычный 7 8 4 3 8" xfId="36171"/>
    <cellStyle name="Обычный 7 8 4 4" xfId="36172"/>
    <cellStyle name="Обычный 7 8 4 4 2" xfId="36173"/>
    <cellStyle name="Обычный 7 8 4 4 2 2" xfId="36174"/>
    <cellStyle name="Обычный 7 8 4 4 2 2 2" xfId="36175"/>
    <cellStyle name="Обычный 7 8 4 4 2 2 3" xfId="36176"/>
    <cellStyle name="Обычный 7 8 4 4 2 3" xfId="36177"/>
    <cellStyle name="Обычный 7 8 4 4 2 3 2" xfId="36178"/>
    <cellStyle name="Обычный 7 8 4 4 2 3 3" xfId="36179"/>
    <cellStyle name="Обычный 7 8 4 4 2 4" xfId="36180"/>
    <cellStyle name="Обычный 7 8 4 4 2 4 2" xfId="36181"/>
    <cellStyle name="Обычный 7 8 4 4 2 5" xfId="36182"/>
    <cellStyle name="Обычный 7 8 4 4 2 6" xfId="36183"/>
    <cellStyle name="Обычный 7 8 4 4 3" xfId="36184"/>
    <cellStyle name="Обычный 7 8 4 4 3 2" xfId="36185"/>
    <cellStyle name="Обычный 7 8 4 4 3 3" xfId="36186"/>
    <cellStyle name="Обычный 7 8 4 4 4" xfId="36187"/>
    <cellStyle name="Обычный 7 8 4 4 4 2" xfId="36188"/>
    <cellStyle name="Обычный 7 8 4 4 4 3" xfId="36189"/>
    <cellStyle name="Обычный 7 8 4 4 5" xfId="36190"/>
    <cellStyle name="Обычный 7 8 4 4 5 2" xfId="36191"/>
    <cellStyle name="Обычный 7 8 4 4 6" xfId="36192"/>
    <cellStyle name="Обычный 7 8 4 4 7" xfId="36193"/>
    <cellStyle name="Обычный 7 8 4 5" xfId="36194"/>
    <cellStyle name="Обычный 7 8 4 5 2" xfId="36195"/>
    <cellStyle name="Обычный 7 8 4 5 2 2" xfId="36196"/>
    <cellStyle name="Обычный 7 8 4 5 2 3" xfId="36197"/>
    <cellStyle name="Обычный 7 8 4 5 3" xfId="36198"/>
    <cellStyle name="Обычный 7 8 4 5 3 2" xfId="36199"/>
    <cellStyle name="Обычный 7 8 4 5 3 3" xfId="36200"/>
    <cellStyle name="Обычный 7 8 4 5 4" xfId="36201"/>
    <cellStyle name="Обычный 7 8 4 5 4 2" xfId="36202"/>
    <cellStyle name="Обычный 7 8 4 5 5" xfId="36203"/>
    <cellStyle name="Обычный 7 8 4 5 6" xfId="36204"/>
    <cellStyle name="Обычный 7 8 4 6" xfId="36205"/>
    <cellStyle name="Обычный 7 8 4 6 2" xfId="36206"/>
    <cellStyle name="Обычный 7 8 4 6 3" xfId="36207"/>
    <cellStyle name="Обычный 7 8 4 7" xfId="36208"/>
    <cellStyle name="Обычный 7 8 4 7 2" xfId="36209"/>
    <cellStyle name="Обычный 7 8 4 7 3" xfId="36210"/>
    <cellStyle name="Обычный 7 8 4 8" xfId="36211"/>
    <cellStyle name="Обычный 7 8 4 8 2" xfId="36212"/>
    <cellStyle name="Обычный 7 8 4 9" xfId="36213"/>
    <cellStyle name="Обычный 7 8 5" xfId="36214"/>
    <cellStyle name="Обычный 7 8 5 10" xfId="36215"/>
    <cellStyle name="Обычный 7 8 5 2" xfId="36216"/>
    <cellStyle name="Обычный 7 8 5 2 2" xfId="36217"/>
    <cellStyle name="Обычный 7 8 5 2 2 2" xfId="36218"/>
    <cellStyle name="Обычный 7 8 5 2 2 2 2" xfId="36219"/>
    <cellStyle name="Обычный 7 8 5 2 2 2 2 2" xfId="36220"/>
    <cellStyle name="Обычный 7 8 5 2 2 2 2 2 2" xfId="36221"/>
    <cellStyle name="Обычный 7 8 5 2 2 2 2 2 3" xfId="36222"/>
    <cellStyle name="Обычный 7 8 5 2 2 2 2 3" xfId="36223"/>
    <cellStyle name="Обычный 7 8 5 2 2 2 2 3 2" xfId="36224"/>
    <cellStyle name="Обычный 7 8 5 2 2 2 2 3 3" xfId="36225"/>
    <cellStyle name="Обычный 7 8 5 2 2 2 2 4" xfId="36226"/>
    <cellStyle name="Обычный 7 8 5 2 2 2 2 4 2" xfId="36227"/>
    <cellStyle name="Обычный 7 8 5 2 2 2 2 5" xfId="36228"/>
    <cellStyle name="Обычный 7 8 5 2 2 2 2 6" xfId="36229"/>
    <cellStyle name="Обычный 7 8 5 2 2 2 3" xfId="36230"/>
    <cellStyle name="Обычный 7 8 5 2 2 2 3 2" xfId="36231"/>
    <cellStyle name="Обычный 7 8 5 2 2 2 3 3" xfId="36232"/>
    <cellStyle name="Обычный 7 8 5 2 2 2 4" xfId="36233"/>
    <cellStyle name="Обычный 7 8 5 2 2 2 4 2" xfId="36234"/>
    <cellStyle name="Обычный 7 8 5 2 2 2 4 3" xfId="36235"/>
    <cellStyle name="Обычный 7 8 5 2 2 2 5" xfId="36236"/>
    <cellStyle name="Обычный 7 8 5 2 2 2 5 2" xfId="36237"/>
    <cellStyle name="Обычный 7 8 5 2 2 2 6" xfId="36238"/>
    <cellStyle name="Обычный 7 8 5 2 2 2 7" xfId="36239"/>
    <cellStyle name="Обычный 7 8 5 2 2 3" xfId="36240"/>
    <cellStyle name="Обычный 7 8 5 2 2 3 2" xfId="36241"/>
    <cellStyle name="Обычный 7 8 5 2 2 3 2 2" xfId="36242"/>
    <cellStyle name="Обычный 7 8 5 2 2 3 2 3" xfId="36243"/>
    <cellStyle name="Обычный 7 8 5 2 2 3 3" xfId="36244"/>
    <cellStyle name="Обычный 7 8 5 2 2 3 3 2" xfId="36245"/>
    <cellStyle name="Обычный 7 8 5 2 2 3 3 3" xfId="36246"/>
    <cellStyle name="Обычный 7 8 5 2 2 3 4" xfId="36247"/>
    <cellStyle name="Обычный 7 8 5 2 2 3 4 2" xfId="36248"/>
    <cellStyle name="Обычный 7 8 5 2 2 3 5" xfId="36249"/>
    <cellStyle name="Обычный 7 8 5 2 2 3 6" xfId="36250"/>
    <cellStyle name="Обычный 7 8 5 2 2 4" xfId="36251"/>
    <cellStyle name="Обычный 7 8 5 2 2 4 2" xfId="36252"/>
    <cellStyle name="Обычный 7 8 5 2 2 4 3" xfId="36253"/>
    <cellStyle name="Обычный 7 8 5 2 2 5" xfId="36254"/>
    <cellStyle name="Обычный 7 8 5 2 2 5 2" xfId="36255"/>
    <cellStyle name="Обычный 7 8 5 2 2 5 3" xfId="36256"/>
    <cellStyle name="Обычный 7 8 5 2 2 6" xfId="36257"/>
    <cellStyle name="Обычный 7 8 5 2 2 6 2" xfId="36258"/>
    <cellStyle name="Обычный 7 8 5 2 2 7" xfId="36259"/>
    <cellStyle name="Обычный 7 8 5 2 2 8" xfId="36260"/>
    <cellStyle name="Обычный 7 8 5 2 3" xfId="36261"/>
    <cellStyle name="Обычный 7 8 5 2 3 2" xfId="36262"/>
    <cellStyle name="Обычный 7 8 5 2 3 2 2" xfId="36263"/>
    <cellStyle name="Обычный 7 8 5 2 3 2 2 2" xfId="36264"/>
    <cellStyle name="Обычный 7 8 5 2 3 2 2 3" xfId="36265"/>
    <cellStyle name="Обычный 7 8 5 2 3 2 3" xfId="36266"/>
    <cellStyle name="Обычный 7 8 5 2 3 2 3 2" xfId="36267"/>
    <cellStyle name="Обычный 7 8 5 2 3 2 3 3" xfId="36268"/>
    <cellStyle name="Обычный 7 8 5 2 3 2 4" xfId="36269"/>
    <cellStyle name="Обычный 7 8 5 2 3 2 4 2" xfId="36270"/>
    <cellStyle name="Обычный 7 8 5 2 3 2 5" xfId="36271"/>
    <cellStyle name="Обычный 7 8 5 2 3 2 6" xfId="36272"/>
    <cellStyle name="Обычный 7 8 5 2 3 3" xfId="36273"/>
    <cellStyle name="Обычный 7 8 5 2 3 3 2" xfId="36274"/>
    <cellStyle name="Обычный 7 8 5 2 3 3 3" xfId="36275"/>
    <cellStyle name="Обычный 7 8 5 2 3 4" xfId="36276"/>
    <cellStyle name="Обычный 7 8 5 2 3 4 2" xfId="36277"/>
    <cellStyle name="Обычный 7 8 5 2 3 4 3" xfId="36278"/>
    <cellStyle name="Обычный 7 8 5 2 3 5" xfId="36279"/>
    <cellStyle name="Обычный 7 8 5 2 3 5 2" xfId="36280"/>
    <cellStyle name="Обычный 7 8 5 2 3 6" xfId="36281"/>
    <cellStyle name="Обычный 7 8 5 2 3 7" xfId="36282"/>
    <cellStyle name="Обычный 7 8 5 2 4" xfId="36283"/>
    <cellStyle name="Обычный 7 8 5 2 4 2" xfId="36284"/>
    <cellStyle name="Обычный 7 8 5 2 4 2 2" xfId="36285"/>
    <cellStyle name="Обычный 7 8 5 2 4 2 3" xfId="36286"/>
    <cellStyle name="Обычный 7 8 5 2 4 3" xfId="36287"/>
    <cellStyle name="Обычный 7 8 5 2 4 3 2" xfId="36288"/>
    <cellStyle name="Обычный 7 8 5 2 4 3 3" xfId="36289"/>
    <cellStyle name="Обычный 7 8 5 2 4 4" xfId="36290"/>
    <cellStyle name="Обычный 7 8 5 2 4 4 2" xfId="36291"/>
    <cellStyle name="Обычный 7 8 5 2 4 5" xfId="36292"/>
    <cellStyle name="Обычный 7 8 5 2 4 6" xfId="36293"/>
    <cellStyle name="Обычный 7 8 5 2 5" xfId="36294"/>
    <cellStyle name="Обычный 7 8 5 2 5 2" xfId="36295"/>
    <cellStyle name="Обычный 7 8 5 2 5 3" xfId="36296"/>
    <cellStyle name="Обычный 7 8 5 2 6" xfId="36297"/>
    <cellStyle name="Обычный 7 8 5 2 6 2" xfId="36298"/>
    <cellStyle name="Обычный 7 8 5 2 6 3" xfId="36299"/>
    <cellStyle name="Обычный 7 8 5 2 7" xfId="36300"/>
    <cellStyle name="Обычный 7 8 5 2 7 2" xfId="36301"/>
    <cellStyle name="Обычный 7 8 5 2 8" xfId="36302"/>
    <cellStyle name="Обычный 7 8 5 2 9" xfId="36303"/>
    <cellStyle name="Обычный 7 8 5 3" xfId="36304"/>
    <cellStyle name="Обычный 7 8 5 3 2" xfId="36305"/>
    <cellStyle name="Обычный 7 8 5 3 2 2" xfId="36306"/>
    <cellStyle name="Обычный 7 8 5 3 2 2 2" xfId="36307"/>
    <cellStyle name="Обычный 7 8 5 3 2 2 2 2" xfId="36308"/>
    <cellStyle name="Обычный 7 8 5 3 2 2 2 3" xfId="36309"/>
    <cellStyle name="Обычный 7 8 5 3 2 2 3" xfId="36310"/>
    <cellStyle name="Обычный 7 8 5 3 2 2 3 2" xfId="36311"/>
    <cellStyle name="Обычный 7 8 5 3 2 2 3 3" xfId="36312"/>
    <cellStyle name="Обычный 7 8 5 3 2 2 4" xfId="36313"/>
    <cellStyle name="Обычный 7 8 5 3 2 2 4 2" xfId="36314"/>
    <cellStyle name="Обычный 7 8 5 3 2 2 5" xfId="36315"/>
    <cellStyle name="Обычный 7 8 5 3 2 2 6" xfId="36316"/>
    <cellStyle name="Обычный 7 8 5 3 2 3" xfId="36317"/>
    <cellStyle name="Обычный 7 8 5 3 2 3 2" xfId="36318"/>
    <cellStyle name="Обычный 7 8 5 3 2 3 3" xfId="36319"/>
    <cellStyle name="Обычный 7 8 5 3 2 4" xfId="36320"/>
    <cellStyle name="Обычный 7 8 5 3 2 4 2" xfId="36321"/>
    <cellStyle name="Обычный 7 8 5 3 2 4 3" xfId="36322"/>
    <cellStyle name="Обычный 7 8 5 3 2 5" xfId="36323"/>
    <cellStyle name="Обычный 7 8 5 3 2 5 2" xfId="36324"/>
    <cellStyle name="Обычный 7 8 5 3 2 6" xfId="36325"/>
    <cellStyle name="Обычный 7 8 5 3 2 7" xfId="36326"/>
    <cellStyle name="Обычный 7 8 5 3 3" xfId="36327"/>
    <cellStyle name="Обычный 7 8 5 3 3 2" xfId="36328"/>
    <cellStyle name="Обычный 7 8 5 3 3 2 2" xfId="36329"/>
    <cellStyle name="Обычный 7 8 5 3 3 2 3" xfId="36330"/>
    <cellStyle name="Обычный 7 8 5 3 3 3" xfId="36331"/>
    <cellStyle name="Обычный 7 8 5 3 3 3 2" xfId="36332"/>
    <cellStyle name="Обычный 7 8 5 3 3 3 3" xfId="36333"/>
    <cellStyle name="Обычный 7 8 5 3 3 4" xfId="36334"/>
    <cellStyle name="Обычный 7 8 5 3 3 4 2" xfId="36335"/>
    <cellStyle name="Обычный 7 8 5 3 3 5" xfId="36336"/>
    <cellStyle name="Обычный 7 8 5 3 3 6" xfId="36337"/>
    <cellStyle name="Обычный 7 8 5 3 4" xfId="36338"/>
    <cellStyle name="Обычный 7 8 5 3 4 2" xfId="36339"/>
    <cellStyle name="Обычный 7 8 5 3 4 3" xfId="36340"/>
    <cellStyle name="Обычный 7 8 5 3 5" xfId="36341"/>
    <cellStyle name="Обычный 7 8 5 3 5 2" xfId="36342"/>
    <cellStyle name="Обычный 7 8 5 3 5 3" xfId="36343"/>
    <cellStyle name="Обычный 7 8 5 3 6" xfId="36344"/>
    <cellStyle name="Обычный 7 8 5 3 6 2" xfId="36345"/>
    <cellStyle name="Обычный 7 8 5 3 7" xfId="36346"/>
    <cellStyle name="Обычный 7 8 5 3 8" xfId="36347"/>
    <cellStyle name="Обычный 7 8 5 4" xfId="36348"/>
    <cellStyle name="Обычный 7 8 5 4 2" xfId="36349"/>
    <cellStyle name="Обычный 7 8 5 4 2 2" xfId="36350"/>
    <cellStyle name="Обычный 7 8 5 4 2 2 2" xfId="36351"/>
    <cellStyle name="Обычный 7 8 5 4 2 2 3" xfId="36352"/>
    <cellStyle name="Обычный 7 8 5 4 2 3" xfId="36353"/>
    <cellStyle name="Обычный 7 8 5 4 2 3 2" xfId="36354"/>
    <cellStyle name="Обычный 7 8 5 4 2 3 3" xfId="36355"/>
    <cellStyle name="Обычный 7 8 5 4 2 4" xfId="36356"/>
    <cellStyle name="Обычный 7 8 5 4 2 4 2" xfId="36357"/>
    <cellStyle name="Обычный 7 8 5 4 2 5" xfId="36358"/>
    <cellStyle name="Обычный 7 8 5 4 2 6" xfId="36359"/>
    <cellStyle name="Обычный 7 8 5 4 3" xfId="36360"/>
    <cellStyle name="Обычный 7 8 5 4 3 2" xfId="36361"/>
    <cellStyle name="Обычный 7 8 5 4 3 3" xfId="36362"/>
    <cellStyle name="Обычный 7 8 5 4 4" xfId="36363"/>
    <cellStyle name="Обычный 7 8 5 4 4 2" xfId="36364"/>
    <cellStyle name="Обычный 7 8 5 4 4 3" xfId="36365"/>
    <cellStyle name="Обычный 7 8 5 4 5" xfId="36366"/>
    <cellStyle name="Обычный 7 8 5 4 5 2" xfId="36367"/>
    <cellStyle name="Обычный 7 8 5 4 6" xfId="36368"/>
    <cellStyle name="Обычный 7 8 5 4 7" xfId="36369"/>
    <cellStyle name="Обычный 7 8 5 5" xfId="36370"/>
    <cellStyle name="Обычный 7 8 5 5 2" xfId="36371"/>
    <cellStyle name="Обычный 7 8 5 5 2 2" xfId="36372"/>
    <cellStyle name="Обычный 7 8 5 5 2 3" xfId="36373"/>
    <cellStyle name="Обычный 7 8 5 5 3" xfId="36374"/>
    <cellStyle name="Обычный 7 8 5 5 3 2" xfId="36375"/>
    <cellStyle name="Обычный 7 8 5 5 3 3" xfId="36376"/>
    <cellStyle name="Обычный 7 8 5 5 4" xfId="36377"/>
    <cellStyle name="Обычный 7 8 5 5 4 2" xfId="36378"/>
    <cellStyle name="Обычный 7 8 5 5 5" xfId="36379"/>
    <cellStyle name="Обычный 7 8 5 5 6" xfId="36380"/>
    <cellStyle name="Обычный 7 8 5 6" xfId="36381"/>
    <cellStyle name="Обычный 7 8 5 6 2" xfId="36382"/>
    <cellStyle name="Обычный 7 8 5 6 3" xfId="36383"/>
    <cellStyle name="Обычный 7 8 5 7" xfId="36384"/>
    <cellStyle name="Обычный 7 8 5 7 2" xfId="36385"/>
    <cellStyle name="Обычный 7 8 5 7 3" xfId="36386"/>
    <cellStyle name="Обычный 7 8 5 8" xfId="36387"/>
    <cellStyle name="Обычный 7 8 5 8 2" xfId="36388"/>
    <cellStyle name="Обычный 7 8 5 9" xfId="36389"/>
    <cellStyle name="Обычный 7 8 6" xfId="36390"/>
    <cellStyle name="Обычный 7 8 6 2" xfId="36391"/>
    <cellStyle name="Обычный 7 8 6 2 2" xfId="36392"/>
    <cellStyle name="Обычный 7 8 6 2 2 2" xfId="36393"/>
    <cellStyle name="Обычный 7 8 6 2 2 2 2" xfId="36394"/>
    <cellStyle name="Обычный 7 8 6 2 2 2 2 2" xfId="36395"/>
    <cellStyle name="Обычный 7 8 6 2 2 2 2 3" xfId="36396"/>
    <cellStyle name="Обычный 7 8 6 2 2 2 3" xfId="36397"/>
    <cellStyle name="Обычный 7 8 6 2 2 2 3 2" xfId="36398"/>
    <cellStyle name="Обычный 7 8 6 2 2 2 3 3" xfId="36399"/>
    <cellStyle name="Обычный 7 8 6 2 2 2 4" xfId="36400"/>
    <cellStyle name="Обычный 7 8 6 2 2 2 4 2" xfId="36401"/>
    <cellStyle name="Обычный 7 8 6 2 2 2 5" xfId="36402"/>
    <cellStyle name="Обычный 7 8 6 2 2 2 6" xfId="36403"/>
    <cellStyle name="Обычный 7 8 6 2 2 3" xfId="36404"/>
    <cellStyle name="Обычный 7 8 6 2 2 3 2" xfId="36405"/>
    <cellStyle name="Обычный 7 8 6 2 2 3 3" xfId="36406"/>
    <cellStyle name="Обычный 7 8 6 2 2 4" xfId="36407"/>
    <cellStyle name="Обычный 7 8 6 2 2 4 2" xfId="36408"/>
    <cellStyle name="Обычный 7 8 6 2 2 4 3" xfId="36409"/>
    <cellStyle name="Обычный 7 8 6 2 2 5" xfId="36410"/>
    <cellStyle name="Обычный 7 8 6 2 2 5 2" xfId="36411"/>
    <cellStyle name="Обычный 7 8 6 2 2 6" xfId="36412"/>
    <cellStyle name="Обычный 7 8 6 2 2 7" xfId="36413"/>
    <cellStyle name="Обычный 7 8 6 2 3" xfId="36414"/>
    <cellStyle name="Обычный 7 8 6 2 3 2" xfId="36415"/>
    <cellStyle name="Обычный 7 8 6 2 3 2 2" xfId="36416"/>
    <cellStyle name="Обычный 7 8 6 2 3 2 3" xfId="36417"/>
    <cellStyle name="Обычный 7 8 6 2 3 3" xfId="36418"/>
    <cellStyle name="Обычный 7 8 6 2 3 3 2" xfId="36419"/>
    <cellStyle name="Обычный 7 8 6 2 3 3 3" xfId="36420"/>
    <cellStyle name="Обычный 7 8 6 2 3 4" xfId="36421"/>
    <cellStyle name="Обычный 7 8 6 2 3 4 2" xfId="36422"/>
    <cellStyle name="Обычный 7 8 6 2 3 5" xfId="36423"/>
    <cellStyle name="Обычный 7 8 6 2 3 6" xfId="36424"/>
    <cellStyle name="Обычный 7 8 6 2 4" xfId="36425"/>
    <cellStyle name="Обычный 7 8 6 2 4 2" xfId="36426"/>
    <cellStyle name="Обычный 7 8 6 2 4 3" xfId="36427"/>
    <cellStyle name="Обычный 7 8 6 2 5" xfId="36428"/>
    <cellStyle name="Обычный 7 8 6 2 5 2" xfId="36429"/>
    <cellStyle name="Обычный 7 8 6 2 5 3" xfId="36430"/>
    <cellStyle name="Обычный 7 8 6 2 6" xfId="36431"/>
    <cellStyle name="Обычный 7 8 6 2 6 2" xfId="36432"/>
    <cellStyle name="Обычный 7 8 6 2 7" xfId="36433"/>
    <cellStyle name="Обычный 7 8 6 2 8" xfId="36434"/>
    <cellStyle name="Обычный 7 8 6 3" xfId="36435"/>
    <cellStyle name="Обычный 7 8 6 3 2" xfId="36436"/>
    <cellStyle name="Обычный 7 8 6 3 2 2" xfId="36437"/>
    <cellStyle name="Обычный 7 8 6 3 2 2 2" xfId="36438"/>
    <cellStyle name="Обычный 7 8 6 3 2 2 3" xfId="36439"/>
    <cellStyle name="Обычный 7 8 6 3 2 3" xfId="36440"/>
    <cellStyle name="Обычный 7 8 6 3 2 3 2" xfId="36441"/>
    <cellStyle name="Обычный 7 8 6 3 2 3 3" xfId="36442"/>
    <cellStyle name="Обычный 7 8 6 3 2 4" xfId="36443"/>
    <cellStyle name="Обычный 7 8 6 3 2 4 2" xfId="36444"/>
    <cellStyle name="Обычный 7 8 6 3 2 5" xfId="36445"/>
    <cellStyle name="Обычный 7 8 6 3 2 6" xfId="36446"/>
    <cellStyle name="Обычный 7 8 6 3 3" xfId="36447"/>
    <cellStyle name="Обычный 7 8 6 3 3 2" xfId="36448"/>
    <cellStyle name="Обычный 7 8 6 3 3 3" xfId="36449"/>
    <cellStyle name="Обычный 7 8 6 3 4" xfId="36450"/>
    <cellStyle name="Обычный 7 8 6 3 4 2" xfId="36451"/>
    <cellStyle name="Обычный 7 8 6 3 4 3" xfId="36452"/>
    <cellStyle name="Обычный 7 8 6 3 5" xfId="36453"/>
    <cellStyle name="Обычный 7 8 6 3 5 2" xfId="36454"/>
    <cellStyle name="Обычный 7 8 6 3 6" xfId="36455"/>
    <cellStyle name="Обычный 7 8 6 3 7" xfId="36456"/>
    <cellStyle name="Обычный 7 8 6 4" xfId="36457"/>
    <cellStyle name="Обычный 7 8 6 4 2" xfId="36458"/>
    <cellStyle name="Обычный 7 8 6 4 2 2" xfId="36459"/>
    <cellStyle name="Обычный 7 8 6 4 2 3" xfId="36460"/>
    <cellStyle name="Обычный 7 8 6 4 3" xfId="36461"/>
    <cellStyle name="Обычный 7 8 6 4 3 2" xfId="36462"/>
    <cellStyle name="Обычный 7 8 6 4 3 3" xfId="36463"/>
    <cellStyle name="Обычный 7 8 6 4 4" xfId="36464"/>
    <cellStyle name="Обычный 7 8 6 4 4 2" xfId="36465"/>
    <cellStyle name="Обычный 7 8 6 4 5" xfId="36466"/>
    <cellStyle name="Обычный 7 8 6 4 6" xfId="36467"/>
    <cellStyle name="Обычный 7 8 6 5" xfId="36468"/>
    <cellStyle name="Обычный 7 8 6 5 2" xfId="36469"/>
    <cellStyle name="Обычный 7 8 6 5 3" xfId="36470"/>
    <cellStyle name="Обычный 7 8 6 6" xfId="36471"/>
    <cellStyle name="Обычный 7 8 6 6 2" xfId="36472"/>
    <cellStyle name="Обычный 7 8 6 6 3" xfId="36473"/>
    <cellStyle name="Обычный 7 8 6 7" xfId="36474"/>
    <cellStyle name="Обычный 7 8 6 7 2" xfId="36475"/>
    <cellStyle name="Обычный 7 8 6 8" xfId="36476"/>
    <cellStyle name="Обычный 7 8 6 9" xfId="36477"/>
    <cellStyle name="Обычный 7 8 7" xfId="36478"/>
    <cellStyle name="Обычный 7 8 7 2" xfId="36479"/>
    <cellStyle name="Обычный 7 8 7 2 2" xfId="36480"/>
    <cellStyle name="Обычный 7 8 7 2 2 2" xfId="36481"/>
    <cellStyle name="Обычный 7 8 7 2 2 2 2" xfId="36482"/>
    <cellStyle name="Обычный 7 8 7 2 2 2 3" xfId="36483"/>
    <cellStyle name="Обычный 7 8 7 2 2 3" xfId="36484"/>
    <cellStyle name="Обычный 7 8 7 2 2 3 2" xfId="36485"/>
    <cellStyle name="Обычный 7 8 7 2 2 3 3" xfId="36486"/>
    <cellStyle name="Обычный 7 8 7 2 2 4" xfId="36487"/>
    <cellStyle name="Обычный 7 8 7 2 2 4 2" xfId="36488"/>
    <cellStyle name="Обычный 7 8 7 2 2 5" xfId="36489"/>
    <cellStyle name="Обычный 7 8 7 2 2 6" xfId="36490"/>
    <cellStyle name="Обычный 7 8 7 2 3" xfId="36491"/>
    <cellStyle name="Обычный 7 8 7 2 3 2" xfId="36492"/>
    <cellStyle name="Обычный 7 8 7 2 3 3" xfId="36493"/>
    <cellStyle name="Обычный 7 8 7 2 4" xfId="36494"/>
    <cellStyle name="Обычный 7 8 7 2 4 2" xfId="36495"/>
    <cellStyle name="Обычный 7 8 7 2 4 3" xfId="36496"/>
    <cellStyle name="Обычный 7 8 7 2 5" xfId="36497"/>
    <cellStyle name="Обычный 7 8 7 2 5 2" xfId="36498"/>
    <cellStyle name="Обычный 7 8 7 2 6" xfId="36499"/>
    <cellStyle name="Обычный 7 8 7 2 7" xfId="36500"/>
    <cellStyle name="Обычный 7 8 7 3" xfId="36501"/>
    <cellStyle name="Обычный 7 8 7 3 2" xfId="36502"/>
    <cellStyle name="Обычный 7 8 7 3 2 2" xfId="36503"/>
    <cellStyle name="Обычный 7 8 7 3 2 3" xfId="36504"/>
    <cellStyle name="Обычный 7 8 7 3 3" xfId="36505"/>
    <cellStyle name="Обычный 7 8 7 3 3 2" xfId="36506"/>
    <cellStyle name="Обычный 7 8 7 3 3 3" xfId="36507"/>
    <cellStyle name="Обычный 7 8 7 3 4" xfId="36508"/>
    <cellStyle name="Обычный 7 8 7 3 4 2" xfId="36509"/>
    <cellStyle name="Обычный 7 8 7 3 5" xfId="36510"/>
    <cellStyle name="Обычный 7 8 7 3 6" xfId="36511"/>
    <cellStyle name="Обычный 7 8 7 4" xfId="36512"/>
    <cellStyle name="Обычный 7 8 7 4 2" xfId="36513"/>
    <cellStyle name="Обычный 7 8 7 4 3" xfId="36514"/>
    <cellStyle name="Обычный 7 8 7 5" xfId="36515"/>
    <cellStyle name="Обычный 7 8 7 5 2" xfId="36516"/>
    <cellStyle name="Обычный 7 8 7 5 3" xfId="36517"/>
    <cellStyle name="Обычный 7 8 7 6" xfId="36518"/>
    <cellStyle name="Обычный 7 8 7 6 2" xfId="36519"/>
    <cellStyle name="Обычный 7 8 7 7" xfId="36520"/>
    <cellStyle name="Обычный 7 8 7 8" xfId="36521"/>
    <cellStyle name="Обычный 7 8 8" xfId="36522"/>
    <cellStyle name="Обычный 7 8 8 2" xfId="36523"/>
    <cellStyle name="Обычный 7 8 8 2 2" xfId="36524"/>
    <cellStyle name="Обычный 7 8 8 2 2 2" xfId="36525"/>
    <cellStyle name="Обычный 7 8 8 2 2 3" xfId="36526"/>
    <cellStyle name="Обычный 7 8 8 2 3" xfId="36527"/>
    <cellStyle name="Обычный 7 8 8 2 3 2" xfId="36528"/>
    <cellStyle name="Обычный 7 8 8 2 3 3" xfId="36529"/>
    <cellStyle name="Обычный 7 8 8 2 4" xfId="36530"/>
    <cellStyle name="Обычный 7 8 8 2 4 2" xfId="36531"/>
    <cellStyle name="Обычный 7 8 8 2 5" xfId="36532"/>
    <cellStyle name="Обычный 7 8 8 2 6" xfId="36533"/>
    <cellStyle name="Обычный 7 8 8 3" xfId="36534"/>
    <cellStyle name="Обычный 7 8 8 3 2" xfId="36535"/>
    <cellStyle name="Обычный 7 8 8 3 3" xfId="36536"/>
    <cellStyle name="Обычный 7 8 8 4" xfId="36537"/>
    <cellStyle name="Обычный 7 8 8 4 2" xfId="36538"/>
    <cellStyle name="Обычный 7 8 8 4 3" xfId="36539"/>
    <cellStyle name="Обычный 7 8 8 5" xfId="36540"/>
    <cellStyle name="Обычный 7 8 8 5 2" xfId="36541"/>
    <cellStyle name="Обычный 7 8 8 6" xfId="36542"/>
    <cellStyle name="Обычный 7 8 8 7" xfId="36543"/>
    <cellStyle name="Обычный 7 8 9" xfId="36544"/>
    <cellStyle name="Обычный 7 8 9 2" xfId="36545"/>
    <cellStyle name="Обычный 7 8 9 2 2" xfId="36546"/>
    <cellStyle name="Обычный 7 8 9 2 3" xfId="36547"/>
    <cellStyle name="Обычный 7 8 9 3" xfId="36548"/>
    <cellStyle name="Обычный 7 8 9 3 2" xfId="36549"/>
    <cellStyle name="Обычный 7 8 9 3 3" xfId="36550"/>
    <cellStyle name="Обычный 7 8 9 4" xfId="36551"/>
    <cellStyle name="Обычный 7 8 9 4 2" xfId="36552"/>
    <cellStyle name="Обычный 7 8 9 5" xfId="36553"/>
    <cellStyle name="Обычный 7 8 9 6" xfId="36554"/>
    <cellStyle name="Обычный 7 9" xfId="36555"/>
    <cellStyle name="Обычный 7 9 10" xfId="36556"/>
    <cellStyle name="Обычный 7 9 10 2" xfId="36557"/>
    <cellStyle name="Обычный 7 9 10 3" xfId="36558"/>
    <cellStyle name="Обычный 7 9 11" xfId="36559"/>
    <cellStyle name="Обычный 7 9 11 2" xfId="36560"/>
    <cellStyle name="Обычный 7 9 12" xfId="36561"/>
    <cellStyle name="Обычный 7 9 13" xfId="36562"/>
    <cellStyle name="Обычный 7 9 2" xfId="36563"/>
    <cellStyle name="Обычный 7 9 2 10" xfId="36564"/>
    <cellStyle name="Обычный 7 9 2 2" xfId="36565"/>
    <cellStyle name="Обычный 7 9 2 2 2" xfId="36566"/>
    <cellStyle name="Обычный 7 9 2 2 2 2" xfId="36567"/>
    <cellStyle name="Обычный 7 9 2 2 2 2 2" xfId="36568"/>
    <cellStyle name="Обычный 7 9 2 2 2 2 2 2" xfId="36569"/>
    <cellStyle name="Обычный 7 9 2 2 2 2 2 2 2" xfId="36570"/>
    <cellStyle name="Обычный 7 9 2 2 2 2 2 2 3" xfId="36571"/>
    <cellStyle name="Обычный 7 9 2 2 2 2 2 3" xfId="36572"/>
    <cellStyle name="Обычный 7 9 2 2 2 2 2 3 2" xfId="36573"/>
    <cellStyle name="Обычный 7 9 2 2 2 2 2 3 3" xfId="36574"/>
    <cellStyle name="Обычный 7 9 2 2 2 2 2 4" xfId="36575"/>
    <cellStyle name="Обычный 7 9 2 2 2 2 2 4 2" xfId="36576"/>
    <cellStyle name="Обычный 7 9 2 2 2 2 2 5" xfId="36577"/>
    <cellStyle name="Обычный 7 9 2 2 2 2 2 6" xfId="36578"/>
    <cellStyle name="Обычный 7 9 2 2 2 2 3" xfId="36579"/>
    <cellStyle name="Обычный 7 9 2 2 2 2 3 2" xfId="36580"/>
    <cellStyle name="Обычный 7 9 2 2 2 2 3 3" xfId="36581"/>
    <cellStyle name="Обычный 7 9 2 2 2 2 4" xfId="36582"/>
    <cellStyle name="Обычный 7 9 2 2 2 2 4 2" xfId="36583"/>
    <cellStyle name="Обычный 7 9 2 2 2 2 4 3" xfId="36584"/>
    <cellStyle name="Обычный 7 9 2 2 2 2 5" xfId="36585"/>
    <cellStyle name="Обычный 7 9 2 2 2 2 5 2" xfId="36586"/>
    <cellStyle name="Обычный 7 9 2 2 2 2 6" xfId="36587"/>
    <cellStyle name="Обычный 7 9 2 2 2 2 7" xfId="36588"/>
    <cellStyle name="Обычный 7 9 2 2 2 3" xfId="36589"/>
    <cellStyle name="Обычный 7 9 2 2 2 3 2" xfId="36590"/>
    <cellStyle name="Обычный 7 9 2 2 2 3 2 2" xfId="36591"/>
    <cellStyle name="Обычный 7 9 2 2 2 3 2 3" xfId="36592"/>
    <cellStyle name="Обычный 7 9 2 2 2 3 3" xfId="36593"/>
    <cellStyle name="Обычный 7 9 2 2 2 3 3 2" xfId="36594"/>
    <cellStyle name="Обычный 7 9 2 2 2 3 3 3" xfId="36595"/>
    <cellStyle name="Обычный 7 9 2 2 2 3 4" xfId="36596"/>
    <cellStyle name="Обычный 7 9 2 2 2 3 4 2" xfId="36597"/>
    <cellStyle name="Обычный 7 9 2 2 2 3 5" xfId="36598"/>
    <cellStyle name="Обычный 7 9 2 2 2 3 6" xfId="36599"/>
    <cellStyle name="Обычный 7 9 2 2 2 4" xfId="36600"/>
    <cellStyle name="Обычный 7 9 2 2 2 4 2" xfId="36601"/>
    <cellStyle name="Обычный 7 9 2 2 2 4 3" xfId="36602"/>
    <cellStyle name="Обычный 7 9 2 2 2 5" xfId="36603"/>
    <cellStyle name="Обычный 7 9 2 2 2 5 2" xfId="36604"/>
    <cellStyle name="Обычный 7 9 2 2 2 5 3" xfId="36605"/>
    <cellStyle name="Обычный 7 9 2 2 2 6" xfId="36606"/>
    <cellStyle name="Обычный 7 9 2 2 2 6 2" xfId="36607"/>
    <cellStyle name="Обычный 7 9 2 2 2 7" xfId="36608"/>
    <cellStyle name="Обычный 7 9 2 2 2 8" xfId="36609"/>
    <cellStyle name="Обычный 7 9 2 2 3" xfId="36610"/>
    <cellStyle name="Обычный 7 9 2 2 3 2" xfId="36611"/>
    <cellStyle name="Обычный 7 9 2 2 3 2 2" xfId="36612"/>
    <cellStyle name="Обычный 7 9 2 2 3 2 2 2" xfId="36613"/>
    <cellStyle name="Обычный 7 9 2 2 3 2 2 3" xfId="36614"/>
    <cellStyle name="Обычный 7 9 2 2 3 2 3" xfId="36615"/>
    <cellStyle name="Обычный 7 9 2 2 3 2 3 2" xfId="36616"/>
    <cellStyle name="Обычный 7 9 2 2 3 2 3 3" xfId="36617"/>
    <cellStyle name="Обычный 7 9 2 2 3 2 4" xfId="36618"/>
    <cellStyle name="Обычный 7 9 2 2 3 2 4 2" xfId="36619"/>
    <cellStyle name="Обычный 7 9 2 2 3 2 5" xfId="36620"/>
    <cellStyle name="Обычный 7 9 2 2 3 2 6" xfId="36621"/>
    <cellStyle name="Обычный 7 9 2 2 3 3" xfId="36622"/>
    <cellStyle name="Обычный 7 9 2 2 3 3 2" xfId="36623"/>
    <cellStyle name="Обычный 7 9 2 2 3 3 3" xfId="36624"/>
    <cellStyle name="Обычный 7 9 2 2 3 4" xfId="36625"/>
    <cellStyle name="Обычный 7 9 2 2 3 4 2" xfId="36626"/>
    <cellStyle name="Обычный 7 9 2 2 3 4 3" xfId="36627"/>
    <cellStyle name="Обычный 7 9 2 2 3 5" xfId="36628"/>
    <cellStyle name="Обычный 7 9 2 2 3 5 2" xfId="36629"/>
    <cellStyle name="Обычный 7 9 2 2 3 6" xfId="36630"/>
    <cellStyle name="Обычный 7 9 2 2 3 7" xfId="36631"/>
    <cellStyle name="Обычный 7 9 2 2 4" xfId="36632"/>
    <cellStyle name="Обычный 7 9 2 2 4 2" xfId="36633"/>
    <cellStyle name="Обычный 7 9 2 2 4 2 2" xfId="36634"/>
    <cellStyle name="Обычный 7 9 2 2 4 2 3" xfId="36635"/>
    <cellStyle name="Обычный 7 9 2 2 4 3" xfId="36636"/>
    <cellStyle name="Обычный 7 9 2 2 4 3 2" xfId="36637"/>
    <cellStyle name="Обычный 7 9 2 2 4 3 3" xfId="36638"/>
    <cellStyle name="Обычный 7 9 2 2 4 4" xfId="36639"/>
    <cellStyle name="Обычный 7 9 2 2 4 4 2" xfId="36640"/>
    <cellStyle name="Обычный 7 9 2 2 4 5" xfId="36641"/>
    <cellStyle name="Обычный 7 9 2 2 4 6" xfId="36642"/>
    <cellStyle name="Обычный 7 9 2 2 5" xfId="36643"/>
    <cellStyle name="Обычный 7 9 2 2 5 2" xfId="36644"/>
    <cellStyle name="Обычный 7 9 2 2 5 3" xfId="36645"/>
    <cellStyle name="Обычный 7 9 2 2 6" xfId="36646"/>
    <cellStyle name="Обычный 7 9 2 2 6 2" xfId="36647"/>
    <cellStyle name="Обычный 7 9 2 2 6 3" xfId="36648"/>
    <cellStyle name="Обычный 7 9 2 2 7" xfId="36649"/>
    <cellStyle name="Обычный 7 9 2 2 7 2" xfId="36650"/>
    <cellStyle name="Обычный 7 9 2 2 8" xfId="36651"/>
    <cellStyle name="Обычный 7 9 2 2 9" xfId="36652"/>
    <cellStyle name="Обычный 7 9 2 3" xfId="36653"/>
    <cellStyle name="Обычный 7 9 2 3 2" xfId="36654"/>
    <cellStyle name="Обычный 7 9 2 3 2 2" xfId="36655"/>
    <cellStyle name="Обычный 7 9 2 3 2 2 2" xfId="36656"/>
    <cellStyle name="Обычный 7 9 2 3 2 2 2 2" xfId="36657"/>
    <cellStyle name="Обычный 7 9 2 3 2 2 2 3" xfId="36658"/>
    <cellStyle name="Обычный 7 9 2 3 2 2 3" xfId="36659"/>
    <cellStyle name="Обычный 7 9 2 3 2 2 3 2" xfId="36660"/>
    <cellStyle name="Обычный 7 9 2 3 2 2 3 3" xfId="36661"/>
    <cellStyle name="Обычный 7 9 2 3 2 2 4" xfId="36662"/>
    <cellStyle name="Обычный 7 9 2 3 2 2 4 2" xfId="36663"/>
    <cellStyle name="Обычный 7 9 2 3 2 2 5" xfId="36664"/>
    <cellStyle name="Обычный 7 9 2 3 2 2 6" xfId="36665"/>
    <cellStyle name="Обычный 7 9 2 3 2 3" xfId="36666"/>
    <cellStyle name="Обычный 7 9 2 3 2 3 2" xfId="36667"/>
    <cellStyle name="Обычный 7 9 2 3 2 3 3" xfId="36668"/>
    <cellStyle name="Обычный 7 9 2 3 2 4" xfId="36669"/>
    <cellStyle name="Обычный 7 9 2 3 2 4 2" xfId="36670"/>
    <cellStyle name="Обычный 7 9 2 3 2 4 3" xfId="36671"/>
    <cellStyle name="Обычный 7 9 2 3 2 5" xfId="36672"/>
    <cellStyle name="Обычный 7 9 2 3 2 5 2" xfId="36673"/>
    <cellStyle name="Обычный 7 9 2 3 2 6" xfId="36674"/>
    <cellStyle name="Обычный 7 9 2 3 2 7" xfId="36675"/>
    <cellStyle name="Обычный 7 9 2 3 3" xfId="36676"/>
    <cellStyle name="Обычный 7 9 2 3 3 2" xfId="36677"/>
    <cellStyle name="Обычный 7 9 2 3 3 2 2" xfId="36678"/>
    <cellStyle name="Обычный 7 9 2 3 3 2 3" xfId="36679"/>
    <cellStyle name="Обычный 7 9 2 3 3 3" xfId="36680"/>
    <cellStyle name="Обычный 7 9 2 3 3 3 2" xfId="36681"/>
    <cellStyle name="Обычный 7 9 2 3 3 3 3" xfId="36682"/>
    <cellStyle name="Обычный 7 9 2 3 3 4" xfId="36683"/>
    <cellStyle name="Обычный 7 9 2 3 3 4 2" xfId="36684"/>
    <cellStyle name="Обычный 7 9 2 3 3 5" xfId="36685"/>
    <cellStyle name="Обычный 7 9 2 3 3 6" xfId="36686"/>
    <cellStyle name="Обычный 7 9 2 3 4" xfId="36687"/>
    <cellStyle name="Обычный 7 9 2 3 4 2" xfId="36688"/>
    <cellStyle name="Обычный 7 9 2 3 4 3" xfId="36689"/>
    <cellStyle name="Обычный 7 9 2 3 5" xfId="36690"/>
    <cellStyle name="Обычный 7 9 2 3 5 2" xfId="36691"/>
    <cellStyle name="Обычный 7 9 2 3 5 3" xfId="36692"/>
    <cellStyle name="Обычный 7 9 2 3 6" xfId="36693"/>
    <cellStyle name="Обычный 7 9 2 3 6 2" xfId="36694"/>
    <cellStyle name="Обычный 7 9 2 3 7" xfId="36695"/>
    <cellStyle name="Обычный 7 9 2 3 8" xfId="36696"/>
    <cellStyle name="Обычный 7 9 2 4" xfId="36697"/>
    <cellStyle name="Обычный 7 9 2 4 2" xfId="36698"/>
    <cellStyle name="Обычный 7 9 2 4 2 2" xfId="36699"/>
    <cellStyle name="Обычный 7 9 2 4 2 2 2" xfId="36700"/>
    <cellStyle name="Обычный 7 9 2 4 2 2 3" xfId="36701"/>
    <cellStyle name="Обычный 7 9 2 4 2 3" xfId="36702"/>
    <cellStyle name="Обычный 7 9 2 4 2 3 2" xfId="36703"/>
    <cellStyle name="Обычный 7 9 2 4 2 3 3" xfId="36704"/>
    <cellStyle name="Обычный 7 9 2 4 2 4" xfId="36705"/>
    <cellStyle name="Обычный 7 9 2 4 2 4 2" xfId="36706"/>
    <cellStyle name="Обычный 7 9 2 4 2 5" xfId="36707"/>
    <cellStyle name="Обычный 7 9 2 4 2 6" xfId="36708"/>
    <cellStyle name="Обычный 7 9 2 4 3" xfId="36709"/>
    <cellStyle name="Обычный 7 9 2 4 3 2" xfId="36710"/>
    <cellStyle name="Обычный 7 9 2 4 3 3" xfId="36711"/>
    <cellStyle name="Обычный 7 9 2 4 4" xfId="36712"/>
    <cellStyle name="Обычный 7 9 2 4 4 2" xfId="36713"/>
    <cellStyle name="Обычный 7 9 2 4 4 3" xfId="36714"/>
    <cellStyle name="Обычный 7 9 2 4 5" xfId="36715"/>
    <cellStyle name="Обычный 7 9 2 4 5 2" xfId="36716"/>
    <cellStyle name="Обычный 7 9 2 4 6" xfId="36717"/>
    <cellStyle name="Обычный 7 9 2 4 7" xfId="36718"/>
    <cellStyle name="Обычный 7 9 2 5" xfId="36719"/>
    <cellStyle name="Обычный 7 9 2 5 2" xfId="36720"/>
    <cellStyle name="Обычный 7 9 2 5 2 2" xfId="36721"/>
    <cellStyle name="Обычный 7 9 2 5 2 3" xfId="36722"/>
    <cellStyle name="Обычный 7 9 2 5 3" xfId="36723"/>
    <cellStyle name="Обычный 7 9 2 5 3 2" xfId="36724"/>
    <cellStyle name="Обычный 7 9 2 5 3 3" xfId="36725"/>
    <cellStyle name="Обычный 7 9 2 5 4" xfId="36726"/>
    <cellStyle name="Обычный 7 9 2 5 4 2" xfId="36727"/>
    <cellStyle name="Обычный 7 9 2 5 5" xfId="36728"/>
    <cellStyle name="Обычный 7 9 2 5 6" xfId="36729"/>
    <cellStyle name="Обычный 7 9 2 6" xfId="36730"/>
    <cellStyle name="Обычный 7 9 2 6 2" xfId="36731"/>
    <cellStyle name="Обычный 7 9 2 6 3" xfId="36732"/>
    <cellStyle name="Обычный 7 9 2 7" xfId="36733"/>
    <cellStyle name="Обычный 7 9 2 7 2" xfId="36734"/>
    <cellStyle name="Обычный 7 9 2 7 3" xfId="36735"/>
    <cellStyle name="Обычный 7 9 2 8" xfId="36736"/>
    <cellStyle name="Обычный 7 9 2 8 2" xfId="36737"/>
    <cellStyle name="Обычный 7 9 2 9" xfId="36738"/>
    <cellStyle name="Обычный 7 9 3" xfId="36739"/>
    <cellStyle name="Обычный 7 9 3 10" xfId="36740"/>
    <cellStyle name="Обычный 7 9 3 2" xfId="36741"/>
    <cellStyle name="Обычный 7 9 3 2 2" xfId="36742"/>
    <cellStyle name="Обычный 7 9 3 2 2 2" xfId="36743"/>
    <cellStyle name="Обычный 7 9 3 2 2 2 2" xfId="36744"/>
    <cellStyle name="Обычный 7 9 3 2 2 2 2 2" xfId="36745"/>
    <cellStyle name="Обычный 7 9 3 2 2 2 2 2 2" xfId="36746"/>
    <cellStyle name="Обычный 7 9 3 2 2 2 2 2 3" xfId="36747"/>
    <cellStyle name="Обычный 7 9 3 2 2 2 2 3" xfId="36748"/>
    <cellStyle name="Обычный 7 9 3 2 2 2 2 3 2" xfId="36749"/>
    <cellStyle name="Обычный 7 9 3 2 2 2 2 3 3" xfId="36750"/>
    <cellStyle name="Обычный 7 9 3 2 2 2 2 4" xfId="36751"/>
    <cellStyle name="Обычный 7 9 3 2 2 2 2 4 2" xfId="36752"/>
    <cellStyle name="Обычный 7 9 3 2 2 2 2 5" xfId="36753"/>
    <cellStyle name="Обычный 7 9 3 2 2 2 2 6" xfId="36754"/>
    <cellStyle name="Обычный 7 9 3 2 2 2 3" xfId="36755"/>
    <cellStyle name="Обычный 7 9 3 2 2 2 3 2" xfId="36756"/>
    <cellStyle name="Обычный 7 9 3 2 2 2 3 3" xfId="36757"/>
    <cellStyle name="Обычный 7 9 3 2 2 2 4" xfId="36758"/>
    <cellStyle name="Обычный 7 9 3 2 2 2 4 2" xfId="36759"/>
    <cellStyle name="Обычный 7 9 3 2 2 2 4 3" xfId="36760"/>
    <cellStyle name="Обычный 7 9 3 2 2 2 5" xfId="36761"/>
    <cellStyle name="Обычный 7 9 3 2 2 2 5 2" xfId="36762"/>
    <cellStyle name="Обычный 7 9 3 2 2 2 6" xfId="36763"/>
    <cellStyle name="Обычный 7 9 3 2 2 2 7" xfId="36764"/>
    <cellStyle name="Обычный 7 9 3 2 2 3" xfId="36765"/>
    <cellStyle name="Обычный 7 9 3 2 2 3 2" xfId="36766"/>
    <cellStyle name="Обычный 7 9 3 2 2 3 2 2" xfId="36767"/>
    <cellStyle name="Обычный 7 9 3 2 2 3 2 3" xfId="36768"/>
    <cellStyle name="Обычный 7 9 3 2 2 3 3" xfId="36769"/>
    <cellStyle name="Обычный 7 9 3 2 2 3 3 2" xfId="36770"/>
    <cellStyle name="Обычный 7 9 3 2 2 3 3 3" xfId="36771"/>
    <cellStyle name="Обычный 7 9 3 2 2 3 4" xfId="36772"/>
    <cellStyle name="Обычный 7 9 3 2 2 3 4 2" xfId="36773"/>
    <cellStyle name="Обычный 7 9 3 2 2 3 5" xfId="36774"/>
    <cellStyle name="Обычный 7 9 3 2 2 3 6" xfId="36775"/>
    <cellStyle name="Обычный 7 9 3 2 2 4" xfId="36776"/>
    <cellStyle name="Обычный 7 9 3 2 2 4 2" xfId="36777"/>
    <cellStyle name="Обычный 7 9 3 2 2 4 3" xfId="36778"/>
    <cellStyle name="Обычный 7 9 3 2 2 5" xfId="36779"/>
    <cellStyle name="Обычный 7 9 3 2 2 5 2" xfId="36780"/>
    <cellStyle name="Обычный 7 9 3 2 2 5 3" xfId="36781"/>
    <cellStyle name="Обычный 7 9 3 2 2 6" xfId="36782"/>
    <cellStyle name="Обычный 7 9 3 2 2 6 2" xfId="36783"/>
    <cellStyle name="Обычный 7 9 3 2 2 7" xfId="36784"/>
    <cellStyle name="Обычный 7 9 3 2 2 8" xfId="36785"/>
    <cellStyle name="Обычный 7 9 3 2 3" xfId="36786"/>
    <cellStyle name="Обычный 7 9 3 2 3 2" xfId="36787"/>
    <cellStyle name="Обычный 7 9 3 2 3 2 2" xfId="36788"/>
    <cellStyle name="Обычный 7 9 3 2 3 2 2 2" xfId="36789"/>
    <cellStyle name="Обычный 7 9 3 2 3 2 2 3" xfId="36790"/>
    <cellStyle name="Обычный 7 9 3 2 3 2 3" xfId="36791"/>
    <cellStyle name="Обычный 7 9 3 2 3 2 3 2" xfId="36792"/>
    <cellStyle name="Обычный 7 9 3 2 3 2 3 3" xfId="36793"/>
    <cellStyle name="Обычный 7 9 3 2 3 2 4" xfId="36794"/>
    <cellStyle name="Обычный 7 9 3 2 3 2 4 2" xfId="36795"/>
    <cellStyle name="Обычный 7 9 3 2 3 2 5" xfId="36796"/>
    <cellStyle name="Обычный 7 9 3 2 3 2 6" xfId="36797"/>
    <cellStyle name="Обычный 7 9 3 2 3 3" xfId="36798"/>
    <cellStyle name="Обычный 7 9 3 2 3 3 2" xfId="36799"/>
    <cellStyle name="Обычный 7 9 3 2 3 3 3" xfId="36800"/>
    <cellStyle name="Обычный 7 9 3 2 3 4" xfId="36801"/>
    <cellStyle name="Обычный 7 9 3 2 3 4 2" xfId="36802"/>
    <cellStyle name="Обычный 7 9 3 2 3 4 3" xfId="36803"/>
    <cellStyle name="Обычный 7 9 3 2 3 5" xfId="36804"/>
    <cellStyle name="Обычный 7 9 3 2 3 5 2" xfId="36805"/>
    <cellStyle name="Обычный 7 9 3 2 3 6" xfId="36806"/>
    <cellStyle name="Обычный 7 9 3 2 3 7" xfId="36807"/>
    <cellStyle name="Обычный 7 9 3 2 4" xfId="36808"/>
    <cellStyle name="Обычный 7 9 3 2 4 2" xfId="36809"/>
    <cellStyle name="Обычный 7 9 3 2 4 2 2" xfId="36810"/>
    <cellStyle name="Обычный 7 9 3 2 4 2 3" xfId="36811"/>
    <cellStyle name="Обычный 7 9 3 2 4 3" xfId="36812"/>
    <cellStyle name="Обычный 7 9 3 2 4 3 2" xfId="36813"/>
    <cellStyle name="Обычный 7 9 3 2 4 3 3" xfId="36814"/>
    <cellStyle name="Обычный 7 9 3 2 4 4" xfId="36815"/>
    <cellStyle name="Обычный 7 9 3 2 4 4 2" xfId="36816"/>
    <cellStyle name="Обычный 7 9 3 2 4 5" xfId="36817"/>
    <cellStyle name="Обычный 7 9 3 2 4 6" xfId="36818"/>
    <cellStyle name="Обычный 7 9 3 2 5" xfId="36819"/>
    <cellStyle name="Обычный 7 9 3 2 5 2" xfId="36820"/>
    <cellStyle name="Обычный 7 9 3 2 5 3" xfId="36821"/>
    <cellStyle name="Обычный 7 9 3 2 6" xfId="36822"/>
    <cellStyle name="Обычный 7 9 3 2 6 2" xfId="36823"/>
    <cellStyle name="Обычный 7 9 3 2 6 3" xfId="36824"/>
    <cellStyle name="Обычный 7 9 3 2 7" xfId="36825"/>
    <cellStyle name="Обычный 7 9 3 2 7 2" xfId="36826"/>
    <cellStyle name="Обычный 7 9 3 2 8" xfId="36827"/>
    <cellStyle name="Обычный 7 9 3 2 9" xfId="36828"/>
    <cellStyle name="Обычный 7 9 3 3" xfId="36829"/>
    <cellStyle name="Обычный 7 9 3 3 2" xfId="36830"/>
    <cellStyle name="Обычный 7 9 3 3 2 2" xfId="36831"/>
    <cellStyle name="Обычный 7 9 3 3 2 2 2" xfId="36832"/>
    <cellStyle name="Обычный 7 9 3 3 2 2 2 2" xfId="36833"/>
    <cellStyle name="Обычный 7 9 3 3 2 2 2 3" xfId="36834"/>
    <cellStyle name="Обычный 7 9 3 3 2 2 3" xfId="36835"/>
    <cellStyle name="Обычный 7 9 3 3 2 2 3 2" xfId="36836"/>
    <cellStyle name="Обычный 7 9 3 3 2 2 3 3" xfId="36837"/>
    <cellStyle name="Обычный 7 9 3 3 2 2 4" xfId="36838"/>
    <cellStyle name="Обычный 7 9 3 3 2 2 4 2" xfId="36839"/>
    <cellStyle name="Обычный 7 9 3 3 2 2 5" xfId="36840"/>
    <cellStyle name="Обычный 7 9 3 3 2 2 6" xfId="36841"/>
    <cellStyle name="Обычный 7 9 3 3 2 3" xfId="36842"/>
    <cellStyle name="Обычный 7 9 3 3 2 3 2" xfId="36843"/>
    <cellStyle name="Обычный 7 9 3 3 2 3 3" xfId="36844"/>
    <cellStyle name="Обычный 7 9 3 3 2 4" xfId="36845"/>
    <cellStyle name="Обычный 7 9 3 3 2 4 2" xfId="36846"/>
    <cellStyle name="Обычный 7 9 3 3 2 4 3" xfId="36847"/>
    <cellStyle name="Обычный 7 9 3 3 2 5" xfId="36848"/>
    <cellStyle name="Обычный 7 9 3 3 2 5 2" xfId="36849"/>
    <cellStyle name="Обычный 7 9 3 3 2 6" xfId="36850"/>
    <cellStyle name="Обычный 7 9 3 3 2 7" xfId="36851"/>
    <cellStyle name="Обычный 7 9 3 3 3" xfId="36852"/>
    <cellStyle name="Обычный 7 9 3 3 3 2" xfId="36853"/>
    <cellStyle name="Обычный 7 9 3 3 3 2 2" xfId="36854"/>
    <cellStyle name="Обычный 7 9 3 3 3 2 3" xfId="36855"/>
    <cellStyle name="Обычный 7 9 3 3 3 3" xfId="36856"/>
    <cellStyle name="Обычный 7 9 3 3 3 3 2" xfId="36857"/>
    <cellStyle name="Обычный 7 9 3 3 3 3 3" xfId="36858"/>
    <cellStyle name="Обычный 7 9 3 3 3 4" xfId="36859"/>
    <cellStyle name="Обычный 7 9 3 3 3 4 2" xfId="36860"/>
    <cellStyle name="Обычный 7 9 3 3 3 5" xfId="36861"/>
    <cellStyle name="Обычный 7 9 3 3 3 6" xfId="36862"/>
    <cellStyle name="Обычный 7 9 3 3 4" xfId="36863"/>
    <cellStyle name="Обычный 7 9 3 3 4 2" xfId="36864"/>
    <cellStyle name="Обычный 7 9 3 3 4 3" xfId="36865"/>
    <cellStyle name="Обычный 7 9 3 3 5" xfId="36866"/>
    <cellStyle name="Обычный 7 9 3 3 5 2" xfId="36867"/>
    <cellStyle name="Обычный 7 9 3 3 5 3" xfId="36868"/>
    <cellStyle name="Обычный 7 9 3 3 6" xfId="36869"/>
    <cellStyle name="Обычный 7 9 3 3 6 2" xfId="36870"/>
    <cellStyle name="Обычный 7 9 3 3 7" xfId="36871"/>
    <cellStyle name="Обычный 7 9 3 3 8" xfId="36872"/>
    <cellStyle name="Обычный 7 9 3 4" xfId="36873"/>
    <cellStyle name="Обычный 7 9 3 4 2" xfId="36874"/>
    <cellStyle name="Обычный 7 9 3 4 2 2" xfId="36875"/>
    <cellStyle name="Обычный 7 9 3 4 2 2 2" xfId="36876"/>
    <cellStyle name="Обычный 7 9 3 4 2 2 3" xfId="36877"/>
    <cellStyle name="Обычный 7 9 3 4 2 3" xfId="36878"/>
    <cellStyle name="Обычный 7 9 3 4 2 3 2" xfId="36879"/>
    <cellStyle name="Обычный 7 9 3 4 2 3 3" xfId="36880"/>
    <cellStyle name="Обычный 7 9 3 4 2 4" xfId="36881"/>
    <cellStyle name="Обычный 7 9 3 4 2 4 2" xfId="36882"/>
    <cellStyle name="Обычный 7 9 3 4 2 5" xfId="36883"/>
    <cellStyle name="Обычный 7 9 3 4 2 6" xfId="36884"/>
    <cellStyle name="Обычный 7 9 3 4 3" xfId="36885"/>
    <cellStyle name="Обычный 7 9 3 4 3 2" xfId="36886"/>
    <cellStyle name="Обычный 7 9 3 4 3 3" xfId="36887"/>
    <cellStyle name="Обычный 7 9 3 4 4" xfId="36888"/>
    <cellStyle name="Обычный 7 9 3 4 4 2" xfId="36889"/>
    <cellStyle name="Обычный 7 9 3 4 4 3" xfId="36890"/>
    <cellStyle name="Обычный 7 9 3 4 5" xfId="36891"/>
    <cellStyle name="Обычный 7 9 3 4 5 2" xfId="36892"/>
    <cellStyle name="Обычный 7 9 3 4 6" xfId="36893"/>
    <cellStyle name="Обычный 7 9 3 4 7" xfId="36894"/>
    <cellStyle name="Обычный 7 9 3 5" xfId="36895"/>
    <cellStyle name="Обычный 7 9 3 5 2" xfId="36896"/>
    <cellStyle name="Обычный 7 9 3 5 2 2" xfId="36897"/>
    <cellStyle name="Обычный 7 9 3 5 2 3" xfId="36898"/>
    <cellStyle name="Обычный 7 9 3 5 3" xfId="36899"/>
    <cellStyle name="Обычный 7 9 3 5 3 2" xfId="36900"/>
    <cellStyle name="Обычный 7 9 3 5 3 3" xfId="36901"/>
    <cellStyle name="Обычный 7 9 3 5 4" xfId="36902"/>
    <cellStyle name="Обычный 7 9 3 5 4 2" xfId="36903"/>
    <cellStyle name="Обычный 7 9 3 5 5" xfId="36904"/>
    <cellStyle name="Обычный 7 9 3 5 6" xfId="36905"/>
    <cellStyle name="Обычный 7 9 3 6" xfId="36906"/>
    <cellStyle name="Обычный 7 9 3 6 2" xfId="36907"/>
    <cellStyle name="Обычный 7 9 3 6 3" xfId="36908"/>
    <cellStyle name="Обычный 7 9 3 7" xfId="36909"/>
    <cellStyle name="Обычный 7 9 3 7 2" xfId="36910"/>
    <cellStyle name="Обычный 7 9 3 7 3" xfId="36911"/>
    <cellStyle name="Обычный 7 9 3 8" xfId="36912"/>
    <cellStyle name="Обычный 7 9 3 8 2" xfId="36913"/>
    <cellStyle name="Обычный 7 9 3 9" xfId="36914"/>
    <cellStyle name="Обычный 7 9 4" xfId="36915"/>
    <cellStyle name="Обычный 7 9 4 10" xfId="36916"/>
    <cellStyle name="Обычный 7 9 4 2" xfId="36917"/>
    <cellStyle name="Обычный 7 9 4 2 2" xfId="36918"/>
    <cellStyle name="Обычный 7 9 4 2 2 2" xfId="36919"/>
    <cellStyle name="Обычный 7 9 4 2 2 2 2" xfId="36920"/>
    <cellStyle name="Обычный 7 9 4 2 2 2 2 2" xfId="36921"/>
    <cellStyle name="Обычный 7 9 4 2 2 2 2 2 2" xfId="36922"/>
    <cellStyle name="Обычный 7 9 4 2 2 2 2 2 3" xfId="36923"/>
    <cellStyle name="Обычный 7 9 4 2 2 2 2 3" xfId="36924"/>
    <cellStyle name="Обычный 7 9 4 2 2 2 2 3 2" xfId="36925"/>
    <cellStyle name="Обычный 7 9 4 2 2 2 2 3 3" xfId="36926"/>
    <cellStyle name="Обычный 7 9 4 2 2 2 2 4" xfId="36927"/>
    <cellStyle name="Обычный 7 9 4 2 2 2 2 4 2" xfId="36928"/>
    <cellStyle name="Обычный 7 9 4 2 2 2 2 5" xfId="36929"/>
    <cellStyle name="Обычный 7 9 4 2 2 2 2 6" xfId="36930"/>
    <cellStyle name="Обычный 7 9 4 2 2 2 3" xfId="36931"/>
    <cellStyle name="Обычный 7 9 4 2 2 2 3 2" xfId="36932"/>
    <cellStyle name="Обычный 7 9 4 2 2 2 3 3" xfId="36933"/>
    <cellStyle name="Обычный 7 9 4 2 2 2 4" xfId="36934"/>
    <cellStyle name="Обычный 7 9 4 2 2 2 4 2" xfId="36935"/>
    <cellStyle name="Обычный 7 9 4 2 2 2 4 3" xfId="36936"/>
    <cellStyle name="Обычный 7 9 4 2 2 2 5" xfId="36937"/>
    <cellStyle name="Обычный 7 9 4 2 2 2 5 2" xfId="36938"/>
    <cellStyle name="Обычный 7 9 4 2 2 2 6" xfId="36939"/>
    <cellStyle name="Обычный 7 9 4 2 2 2 7" xfId="36940"/>
    <cellStyle name="Обычный 7 9 4 2 2 3" xfId="36941"/>
    <cellStyle name="Обычный 7 9 4 2 2 3 2" xfId="36942"/>
    <cellStyle name="Обычный 7 9 4 2 2 3 2 2" xfId="36943"/>
    <cellStyle name="Обычный 7 9 4 2 2 3 2 3" xfId="36944"/>
    <cellStyle name="Обычный 7 9 4 2 2 3 3" xfId="36945"/>
    <cellStyle name="Обычный 7 9 4 2 2 3 3 2" xfId="36946"/>
    <cellStyle name="Обычный 7 9 4 2 2 3 3 3" xfId="36947"/>
    <cellStyle name="Обычный 7 9 4 2 2 3 4" xfId="36948"/>
    <cellStyle name="Обычный 7 9 4 2 2 3 4 2" xfId="36949"/>
    <cellStyle name="Обычный 7 9 4 2 2 3 5" xfId="36950"/>
    <cellStyle name="Обычный 7 9 4 2 2 3 6" xfId="36951"/>
    <cellStyle name="Обычный 7 9 4 2 2 4" xfId="36952"/>
    <cellStyle name="Обычный 7 9 4 2 2 4 2" xfId="36953"/>
    <cellStyle name="Обычный 7 9 4 2 2 4 3" xfId="36954"/>
    <cellStyle name="Обычный 7 9 4 2 2 5" xfId="36955"/>
    <cellStyle name="Обычный 7 9 4 2 2 5 2" xfId="36956"/>
    <cellStyle name="Обычный 7 9 4 2 2 5 3" xfId="36957"/>
    <cellStyle name="Обычный 7 9 4 2 2 6" xfId="36958"/>
    <cellStyle name="Обычный 7 9 4 2 2 6 2" xfId="36959"/>
    <cellStyle name="Обычный 7 9 4 2 2 7" xfId="36960"/>
    <cellStyle name="Обычный 7 9 4 2 2 8" xfId="36961"/>
    <cellStyle name="Обычный 7 9 4 2 3" xfId="36962"/>
    <cellStyle name="Обычный 7 9 4 2 3 2" xfId="36963"/>
    <cellStyle name="Обычный 7 9 4 2 3 2 2" xfId="36964"/>
    <cellStyle name="Обычный 7 9 4 2 3 2 2 2" xfId="36965"/>
    <cellStyle name="Обычный 7 9 4 2 3 2 2 3" xfId="36966"/>
    <cellStyle name="Обычный 7 9 4 2 3 2 3" xfId="36967"/>
    <cellStyle name="Обычный 7 9 4 2 3 2 3 2" xfId="36968"/>
    <cellStyle name="Обычный 7 9 4 2 3 2 3 3" xfId="36969"/>
    <cellStyle name="Обычный 7 9 4 2 3 2 4" xfId="36970"/>
    <cellStyle name="Обычный 7 9 4 2 3 2 4 2" xfId="36971"/>
    <cellStyle name="Обычный 7 9 4 2 3 2 5" xfId="36972"/>
    <cellStyle name="Обычный 7 9 4 2 3 2 6" xfId="36973"/>
    <cellStyle name="Обычный 7 9 4 2 3 3" xfId="36974"/>
    <cellStyle name="Обычный 7 9 4 2 3 3 2" xfId="36975"/>
    <cellStyle name="Обычный 7 9 4 2 3 3 3" xfId="36976"/>
    <cellStyle name="Обычный 7 9 4 2 3 4" xfId="36977"/>
    <cellStyle name="Обычный 7 9 4 2 3 4 2" xfId="36978"/>
    <cellStyle name="Обычный 7 9 4 2 3 4 3" xfId="36979"/>
    <cellStyle name="Обычный 7 9 4 2 3 5" xfId="36980"/>
    <cellStyle name="Обычный 7 9 4 2 3 5 2" xfId="36981"/>
    <cellStyle name="Обычный 7 9 4 2 3 6" xfId="36982"/>
    <cellStyle name="Обычный 7 9 4 2 3 7" xfId="36983"/>
    <cellStyle name="Обычный 7 9 4 2 4" xfId="36984"/>
    <cellStyle name="Обычный 7 9 4 2 4 2" xfId="36985"/>
    <cellStyle name="Обычный 7 9 4 2 4 2 2" xfId="36986"/>
    <cellStyle name="Обычный 7 9 4 2 4 2 3" xfId="36987"/>
    <cellStyle name="Обычный 7 9 4 2 4 3" xfId="36988"/>
    <cellStyle name="Обычный 7 9 4 2 4 3 2" xfId="36989"/>
    <cellStyle name="Обычный 7 9 4 2 4 3 3" xfId="36990"/>
    <cellStyle name="Обычный 7 9 4 2 4 4" xfId="36991"/>
    <cellStyle name="Обычный 7 9 4 2 4 4 2" xfId="36992"/>
    <cellStyle name="Обычный 7 9 4 2 4 5" xfId="36993"/>
    <cellStyle name="Обычный 7 9 4 2 4 6" xfId="36994"/>
    <cellStyle name="Обычный 7 9 4 2 5" xfId="36995"/>
    <cellStyle name="Обычный 7 9 4 2 5 2" xfId="36996"/>
    <cellStyle name="Обычный 7 9 4 2 5 3" xfId="36997"/>
    <cellStyle name="Обычный 7 9 4 2 6" xfId="36998"/>
    <cellStyle name="Обычный 7 9 4 2 6 2" xfId="36999"/>
    <cellStyle name="Обычный 7 9 4 2 6 3" xfId="37000"/>
    <cellStyle name="Обычный 7 9 4 2 7" xfId="37001"/>
    <cellStyle name="Обычный 7 9 4 2 7 2" xfId="37002"/>
    <cellStyle name="Обычный 7 9 4 2 8" xfId="37003"/>
    <cellStyle name="Обычный 7 9 4 2 9" xfId="37004"/>
    <cellStyle name="Обычный 7 9 4 3" xfId="37005"/>
    <cellStyle name="Обычный 7 9 4 3 2" xfId="37006"/>
    <cellStyle name="Обычный 7 9 4 3 2 2" xfId="37007"/>
    <cellStyle name="Обычный 7 9 4 3 2 2 2" xfId="37008"/>
    <cellStyle name="Обычный 7 9 4 3 2 2 2 2" xfId="37009"/>
    <cellStyle name="Обычный 7 9 4 3 2 2 2 3" xfId="37010"/>
    <cellStyle name="Обычный 7 9 4 3 2 2 3" xfId="37011"/>
    <cellStyle name="Обычный 7 9 4 3 2 2 3 2" xfId="37012"/>
    <cellStyle name="Обычный 7 9 4 3 2 2 3 3" xfId="37013"/>
    <cellStyle name="Обычный 7 9 4 3 2 2 4" xfId="37014"/>
    <cellStyle name="Обычный 7 9 4 3 2 2 4 2" xfId="37015"/>
    <cellStyle name="Обычный 7 9 4 3 2 2 5" xfId="37016"/>
    <cellStyle name="Обычный 7 9 4 3 2 2 6" xfId="37017"/>
    <cellStyle name="Обычный 7 9 4 3 2 3" xfId="37018"/>
    <cellStyle name="Обычный 7 9 4 3 2 3 2" xfId="37019"/>
    <cellStyle name="Обычный 7 9 4 3 2 3 3" xfId="37020"/>
    <cellStyle name="Обычный 7 9 4 3 2 4" xfId="37021"/>
    <cellStyle name="Обычный 7 9 4 3 2 4 2" xfId="37022"/>
    <cellStyle name="Обычный 7 9 4 3 2 4 3" xfId="37023"/>
    <cellStyle name="Обычный 7 9 4 3 2 5" xfId="37024"/>
    <cellStyle name="Обычный 7 9 4 3 2 5 2" xfId="37025"/>
    <cellStyle name="Обычный 7 9 4 3 2 6" xfId="37026"/>
    <cellStyle name="Обычный 7 9 4 3 2 7" xfId="37027"/>
    <cellStyle name="Обычный 7 9 4 3 3" xfId="37028"/>
    <cellStyle name="Обычный 7 9 4 3 3 2" xfId="37029"/>
    <cellStyle name="Обычный 7 9 4 3 3 2 2" xfId="37030"/>
    <cellStyle name="Обычный 7 9 4 3 3 2 3" xfId="37031"/>
    <cellStyle name="Обычный 7 9 4 3 3 3" xfId="37032"/>
    <cellStyle name="Обычный 7 9 4 3 3 3 2" xfId="37033"/>
    <cellStyle name="Обычный 7 9 4 3 3 3 3" xfId="37034"/>
    <cellStyle name="Обычный 7 9 4 3 3 4" xfId="37035"/>
    <cellStyle name="Обычный 7 9 4 3 3 4 2" xfId="37036"/>
    <cellStyle name="Обычный 7 9 4 3 3 5" xfId="37037"/>
    <cellStyle name="Обычный 7 9 4 3 3 6" xfId="37038"/>
    <cellStyle name="Обычный 7 9 4 3 4" xfId="37039"/>
    <cellStyle name="Обычный 7 9 4 3 4 2" xfId="37040"/>
    <cellStyle name="Обычный 7 9 4 3 4 3" xfId="37041"/>
    <cellStyle name="Обычный 7 9 4 3 5" xfId="37042"/>
    <cellStyle name="Обычный 7 9 4 3 5 2" xfId="37043"/>
    <cellStyle name="Обычный 7 9 4 3 5 3" xfId="37044"/>
    <cellStyle name="Обычный 7 9 4 3 6" xfId="37045"/>
    <cellStyle name="Обычный 7 9 4 3 6 2" xfId="37046"/>
    <cellStyle name="Обычный 7 9 4 3 7" xfId="37047"/>
    <cellStyle name="Обычный 7 9 4 3 8" xfId="37048"/>
    <cellStyle name="Обычный 7 9 4 4" xfId="37049"/>
    <cellStyle name="Обычный 7 9 4 4 2" xfId="37050"/>
    <cellStyle name="Обычный 7 9 4 4 2 2" xfId="37051"/>
    <cellStyle name="Обычный 7 9 4 4 2 2 2" xfId="37052"/>
    <cellStyle name="Обычный 7 9 4 4 2 2 3" xfId="37053"/>
    <cellStyle name="Обычный 7 9 4 4 2 3" xfId="37054"/>
    <cellStyle name="Обычный 7 9 4 4 2 3 2" xfId="37055"/>
    <cellStyle name="Обычный 7 9 4 4 2 3 3" xfId="37056"/>
    <cellStyle name="Обычный 7 9 4 4 2 4" xfId="37057"/>
    <cellStyle name="Обычный 7 9 4 4 2 4 2" xfId="37058"/>
    <cellStyle name="Обычный 7 9 4 4 2 5" xfId="37059"/>
    <cellStyle name="Обычный 7 9 4 4 2 6" xfId="37060"/>
    <cellStyle name="Обычный 7 9 4 4 3" xfId="37061"/>
    <cellStyle name="Обычный 7 9 4 4 3 2" xfId="37062"/>
    <cellStyle name="Обычный 7 9 4 4 3 3" xfId="37063"/>
    <cellStyle name="Обычный 7 9 4 4 4" xfId="37064"/>
    <cellStyle name="Обычный 7 9 4 4 4 2" xfId="37065"/>
    <cellStyle name="Обычный 7 9 4 4 4 3" xfId="37066"/>
    <cellStyle name="Обычный 7 9 4 4 5" xfId="37067"/>
    <cellStyle name="Обычный 7 9 4 4 5 2" xfId="37068"/>
    <cellStyle name="Обычный 7 9 4 4 6" xfId="37069"/>
    <cellStyle name="Обычный 7 9 4 4 7" xfId="37070"/>
    <cellStyle name="Обычный 7 9 4 5" xfId="37071"/>
    <cellStyle name="Обычный 7 9 4 5 2" xfId="37072"/>
    <cellStyle name="Обычный 7 9 4 5 2 2" xfId="37073"/>
    <cellStyle name="Обычный 7 9 4 5 2 3" xfId="37074"/>
    <cellStyle name="Обычный 7 9 4 5 3" xfId="37075"/>
    <cellStyle name="Обычный 7 9 4 5 3 2" xfId="37076"/>
    <cellStyle name="Обычный 7 9 4 5 3 3" xfId="37077"/>
    <cellStyle name="Обычный 7 9 4 5 4" xfId="37078"/>
    <cellStyle name="Обычный 7 9 4 5 4 2" xfId="37079"/>
    <cellStyle name="Обычный 7 9 4 5 5" xfId="37080"/>
    <cellStyle name="Обычный 7 9 4 5 6" xfId="37081"/>
    <cellStyle name="Обычный 7 9 4 6" xfId="37082"/>
    <cellStyle name="Обычный 7 9 4 6 2" xfId="37083"/>
    <cellStyle name="Обычный 7 9 4 6 3" xfId="37084"/>
    <cellStyle name="Обычный 7 9 4 7" xfId="37085"/>
    <cellStyle name="Обычный 7 9 4 7 2" xfId="37086"/>
    <cellStyle name="Обычный 7 9 4 7 3" xfId="37087"/>
    <cellStyle name="Обычный 7 9 4 8" xfId="37088"/>
    <cellStyle name="Обычный 7 9 4 8 2" xfId="37089"/>
    <cellStyle name="Обычный 7 9 4 9" xfId="37090"/>
    <cellStyle name="Обычный 7 9 5" xfId="37091"/>
    <cellStyle name="Обычный 7 9 5 2" xfId="37092"/>
    <cellStyle name="Обычный 7 9 5 2 2" xfId="37093"/>
    <cellStyle name="Обычный 7 9 5 2 2 2" xfId="37094"/>
    <cellStyle name="Обычный 7 9 5 2 2 2 2" xfId="37095"/>
    <cellStyle name="Обычный 7 9 5 2 2 2 2 2" xfId="37096"/>
    <cellStyle name="Обычный 7 9 5 2 2 2 2 3" xfId="37097"/>
    <cellStyle name="Обычный 7 9 5 2 2 2 3" xfId="37098"/>
    <cellStyle name="Обычный 7 9 5 2 2 2 3 2" xfId="37099"/>
    <cellStyle name="Обычный 7 9 5 2 2 2 3 3" xfId="37100"/>
    <cellStyle name="Обычный 7 9 5 2 2 2 4" xfId="37101"/>
    <cellStyle name="Обычный 7 9 5 2 2 2 4 2" xfId="37102"/>
    <cellStyle name="Обычный 7 9 5 2 2 2 5" xfId="37103"/>
    <cellStyle name="Обычный 7 9 5 2 2 2 6" xfId="37104"/>
    <cellStyle name="Обычный 7 9 5 2 2 3" xfId="37105"/>
    <cellStyle name="Обычный 7 9 5 2 2 3 2" xfId="37106"/>
    <cellStyle name="Обычный 7 9 5 2 2 3 3" xfId="37107"/>
    <cellStyle name="Обычный 7 9 5 2 2 4" xfId="37108"/>
    <cellStyle name="Обычный 7 9 5 2 2 4 2" xfId="37109"/>
    <cellStyle name="Обычный 7 9 5 2 2 4 3" xfId="37110"/>
    <cellStyle name="Обычный 7 9 5 2 2 5" xfId="37111"/>
    <cellStyle name="Обычный 7 9 5 2 2 5 2" xfId="37112"/>
    <cellStyle name="Обычный 7 9 5 2 2 6" xfId="37113"/>
    <cellStyle name="Обычный 7 9 5 2 2 7" xfId="37114"/>
    <cellStyle name="Обычный 7 9 5 2 3" xfId="37115"/>
    <cellStyle name="Обычный 7 9 5 2 3 2" xfId="37116"/>
    <cellStyle name="Обычный 7 9 5 2 3 2 2" xfId="37117"/>
    <cellStyle name="Обычный 7 9 5 2 3 2 3" xfId="37118"/>
    <cellStyle name="Обычный 7 9 5 2 3 3" xfId="37119"/>
    <cellStyle name="Обычный 7 9 5 2 3 3 2" xfId="37120"/>
    <cellStyle name="Обычный 7 9 5 2 3 3 3" xfId="37121"/>
    <cellStyle name="Обычный 7 9 5 2 3 4" xfId="37122"/>
    <cellStyle name="Обычный 7 9 5 2 3 4 2" xfId="37123"/>
    <cellStyle name="Обычный 7 9 5 2 3 5" xfId="37124"/>
    <cellStyle name="Обычный 7 9 5 2 3 6" xfId="37125"/>
    <cellStyle name="Обычный 7 9 5 2 4" xfId="37126"/>
    <cellStyle name="Обычный 7 9 5 2 4 2" xfId="37127"/>
    <cellStyle name="Обычный 7 9 5 2 4 3" xfId="37128"/>
    <cellStyle name="Обычный 7 9 5 2 5" xfId="37129"/>
    <cellStyle name="Обычный 7 9 5 2 5 2" xfId="37130"/>
    <cellStyle name="Обычный 7 9 5 2 5 3" xfId="37131"/>
    <cellStyle name="Обычный 7 9 5 2 6" xfId="37132"/>
    <cellStyle name="Обычный 7 9 5 2 6 2" xfId="37133"/>
    <cellStyle name="Обычный 7 9 5 2 7" xfId="37134"/>
    <cellStyle name="Обычный 7 9 5 2 8" xfId="37135"/>
    <cellStyle name="Обычный 7 9 5 3" xfId="37136"/>
    <cellStyle name="Обычный 7 9 5 3 2" xfId="37137"/>
    <cellStyle name="Обычный 7 9 5 3 2 2" xfId="37138"/>
    <cellStyle name="Обычный 7 9 5 3 2 2 2" xfId="37139"/>
    <cellStyle name="Обычный 7 9 5 3 2 2 3" xfId="37140"/>
    <cellStyle name="Обычный 7 9 5 3 2 3" xfId="37141"/>
    <cellStyle name="Обычный 7 9 5 3 2 3 2" xfId="37142"/>
    <cellStyle name="Обычный 7 9 5 3 2 3 3" xfId="37143"/>
    <cellStyle name="Обычный 7 9 5 3 2 4" xfId="37144"/>
    <cellStyle name="Обычный 7 9 5 3 2 4 2" xfId="37145"/>
    <cellStyle name="Обычный 7 9 5 3 2 5" xfId="37146"/>
    <cellStyle name="Обычный 7 9 5 3 2 6" xfId="37147"/>
    <cellStyle name="Обычный 7 9 5 3 3" xfId="37148"/>
    <cellStyle name="Обычный 7 9 5 3 3 2" xfId="37149"/>
    <cellStyle name="Обычный 7 9 5 3 3 3" xfId="37150"/>
    <cellStyle name="Обычный 7 9 5 3 4" xfId="37151"/>
    <cellStyle name="Обычный 7 9 5 3 4 2" xfId="37152"/>
    <cellStyle name="Обычный 7 9 5 3 4 3" xfId="37153"/>
    <cellStyle name="Обычный 7 9 5 3 5" xfId="37154"/>
    <cellStyle name="Обычный 7 9 5 3 5 2" xfId="37155"/>
    <cellStyle name="Обычный 7 9 5 3 6" xfId="37156"/>
    <cellStyle name="Обычный 7 9 5 3 7" xfId="37157"/>
    <cellStyle name="Обычный 7 9 5 4" xfId="37158"/>
    <cellStyle name="Обычный 7 9 5 4 2" xfId="37159"/>
    <cellStyle name="Обычный 7 9 5 4 2 2" xfId="37160"/>
    <cellStyle name="Обычный 7 9 5 4 2 3" xfId="37161"/>
    <cellStyle name="Обычный 7 9 5 4 3" xfId="37162"/>
    <cellStyle name="Обычный 7 9 5 4 3 2" xfId="37163"/>
    <cellStyle name="Обычный 7 9 5 4 3 3" xfId="37164"/>
    <cellStyle name="Обычный 7 9 5 4 4" xfId="37165"/>
    <cellStyle name="Обычный 7 9 5 4 4 2" xfId="37166"/>
    <cellStyle name="Обычный 7 9 5 4 5" xfId="37167"/>
    <cellStyle name="Обычный 7 9 5 4 6" xfId="37168"/>
    <cellStyle name="Обычный 7 9 5 5" xfId="37169"/>
    <cellStyle name="Обычный 7 9 5 5 2" xfId="37170"/>
    <cellStyle name="Обычный 7 9 5 5 3" xfId="37171"/>
    <cellStyle name="Обычный 7 9 5 6" xfId="37172"/>
    <cellStyle name="Обычный 7 9 5 6 2" xfId="37173"/>
    <cellStyle name="Обычный 7 9 5 6 3" xfId="37174"/>
    <cellStyle name="Обычный 7 9 5 7" xfId="37175"/>
    <cellStyle name="Обычный 7 9 5 7 2" xfId="37176"/>
    <cellStyle name="Обычный 7 9 5 8" xfId="37177"/>
    <cellStyle name="Обычный 7 9 5 9" xfId="37178"/>
    <cellStyle name="Обычный 7 9 6" xfId="37179"/>
    <cellStyle name="Обычный 7 9 6 2" xfId="37180"/>
    <cellStyle name="Обычный 7 9 6 2 2" xfId="37181"/>
    <cellStyle name="Обычный 7 9 6 2 2 2" xfId="37182"/>
    <cellStyle name="Обычный 7 9 6 2 2 2 2" xfId="37183"/>
    <cellStyle name="Обычный 7 9 6 2 2 2 3" xfId="37184"/>
    <cellStyle name="Обычный 7 9 6 2 2 3" xfId="37185"/>
    <cellStyle name="Обычный 7 9 6 2 2 3 2" xfId="37186"/>
    <cellStyle name="Обычный 7 9 6 2 2 3 3" xfId="37187"/>
    <cellStyle name="Обычный 7 9 6 2 2 4" xfId="37188"/>
    <cellStyle name="Обычный 7 9 6 2 2 4 2" xfId="37189"/>
    <cellStyle name="Обычный 7 9 6 2 2 5" xfId="37190"/>
    <cellStyle name="Обычный 7 9 6 2 2 6" xfId="37191"/>
    <cellStyle name="Обычный 7 9 6 2 3" xfId="37192"/>
    <cellStyle name="Обычный 7 9 6 2 3 2" xfId="37193"/>
    <cellStyle name="Обычный 7 9 6 2 3 3" xfId="37194"/>
    <cellStyle name="Обычный 7 9 6 2 4" xfId="37195"/>
    <cellStyle name="Обычный 7 9 6 2 4 2" xfId="37196"/>
    <cellStyle name="Обычный 7 9 6 2 4 3" xfId="37197"/>
    <cellStyle name="Обычный 7 9 6 2 5" xfId="37198"/>
    <cellStyle name="Обычный 7 9 6 2 5 2" xfId="37199"/>
    <cellStyle name="Обычный 7 9 6 2 6" xfId="37200"/>
    <cellStyle name="Обычный 7 9 6 2 7" xfId="37201"/>
    <cellStyle name="Обычный 7 9 6 3" xfId="37202"/>
    <cellStyle name="Обычный 7 9 6 3 2" xfId="37203"/>
    <cellStyle name="Обычный 7 9 6 3 2 2" xfId="37204"/>
    <cellStyle name="Обычный 7 9 6 3 2 3" xfId="37205"/>
    <cellStyle name="Обычный 7 9 6 3 3" xfId="37206"/>
    <cellStyle name="Обычный 7 9 6 3 3 2" xfId="37207"/>
    <cellStyle name="Обычный 7 9 6 3 3 3" xfId="37208"/>
    <cellStyle name="Обычный 7 9 6 3 4" xfId="37209"/>
    <cellStyle name="Обычный 7 9 6 3 4 2" xfId="37210"/>
    <cellStyle name="Обычный 7 9 6 3 5" xfId="37211"/>
    <cellStyle name="Обычный 7 9 6 3 6" xfId="37212"/>
    <cellStyle name="Обычный 7 9 6 4" xfId="37213"/>
    <cellStyle name="Обычный 7 9 6 4 2" xfId="37214"/>
    <cellStyle name="Обычный 7 9 6 4 3" xfId="37215"/>
    <cellStyle name="Обычный 7 9 6 5" xfId="37216"/>
    <cellStyle name="Обычный 7 9 6 5 2" xfId="37217"/>
    <cellStyle name="Обычный 7 9 6 5 3" xfId="37218"/>
    <cellStyle name="Обычный 7 9 6 6" xfId="37219"/>
    <cellStyle name="Обычный 7 9 6 6 2" xfId="37220"/>
    <cellStyle name="Обычный 7 9 6 7" xfId="37221"/>
    <cellStyle name="Обычный 7 9 6 8" xfId="37222"/>
    <cellStyle name="Обычный 7 9 7" xfId="37223"/>
    <cellStyle name="Обычный 7 9 7 2" xfId="37224"/>
    <cellStyle name="Обычный 7 9 7 2 2" xfId="37225"/>
    <cellStyle name="Обычный 7 9 7 2 2 2" xfId="37226"/>
    <cellStyle name="Обычный 7 9 7 2 2 3" xfId="37227"/>
    <cellStyle name="Обычный 7 9 7 2 3" xfId="37228"/>
    <cellStyle name="Обычный 7 9 7 2 3 2" xfId="37229"/>
    <cellStyle name="Обычный 7 9 7 2 3 3" xfId="37230"/>
    <cellStyle name="Обычный 7 9 7 2 4" xfId="37231"/>
    <cellStyle name="Обычный 7 9 7 2 4 2" xfId="37232"/>
    <cellStyle name="Обычный 7 9 7 2 5" xfId="37233"/>
    <cellStyle name="Обычный 7 9 7 2 6" xfId="37234"/>
    <cellStyle name="Обычный 7 9 7 3" xfId="37235"/>
    <cellStyle name="Обычный 7 9 7 3 2" xfId="37236"/>
    <cellStyle name="Обычный 7 9 7 3 3" xfId="37237"/>
    <cellStyle name="Обычный 7 9 7 4" xfId="37238"/>
    <cellStyle name="Обычный 7 9 7 4 2" xfId="37239"/>
    <cellStyle name="Обычный 7 9 7 4 3" xfId="37240"/>
    <cellStyle name="Обычный 7 9 7 5" xfId="37241"/>
    <cellStyle name="Обычный 7 9 7 5 2" xfId="37242"/>
    <cellStyle name="Обычный 7 9 7 6" xfId="37243"/>
    <cellStyle name="Обычный 7 9 7 7" xfId="37244"/>
    <cellStyle name="Обычный 7 9 8" xfId="37245"/>
    <cellStyle name="Обычный 7 9 8 2" xfId="37246"/>
    <cellStyle name="Обычный 7 9 8 2 2" xfId="37247"/>
    <cellStyle name="Обычный 7 9 8 2 3" xfId="37248"/>
    <cellStyle name="Обычный 7 9 8 3" xfId="37249"/>
    <cellStyle name="Обычный 7 9 8 3 2" xfId="37250"/>
    <cellStyle name="Обычный 7 9 8 3 3" xfId="37251"/>
    <cellStyle name="Обычный 7 9 8 4" xfId="37252"/>
    <cellStyle name="Обычный 7 9 8 4 2" xfId="37253"/>
    <cellStyle name="Обычный 7 9 8 5" xfId="37254"/>
    <cellStyle name="Обычный 7 9 8 6" xfId="37255"/>
    <cellStyle name="Обычный 7 9 9" xfId="37256"/>
    <cellStyle name="Обычный 7 9 9 2" xfId="37257"/>
    <cellStyle name="Обычный 7 9 9 3" xfId="37258"/>
    <cellStyle name="Обычный 8" xfId="37259"/>
    <cellStyle name="Обычный 8 10" xfId="37260"/>
    <cellStyle name="Обычный 8 10 10" xfId="37261"/>
    <cellStyle name="Обычный 8 10 2" xfId="37262"/>
    <cellStyle name="Обычный 8 10 2 2" xfId="37263"/>
    <cellStyle name="Обычный 8 10 2 2 2" xfId="37264"/>
    <cellStyle name="Обычный 8 10 2 2 2 2" xfId="37265"/>
    <cellStyle name="Обычный 8 10 2 2 2 2 2" xfId="37266"/>
    <cellStyle name="Обычный 8 10 2 2 2 2 2 2" xfId="37267"/>
    <cellStyle name="Обычный 8 10 2 2 2 2 2 3" xfId="37268"/>
    <cellStyle name="Обычный 8 10 2 2 2 2 3" xfId="37269"/>
    <cellStyle name="Обычный 8 10 2 2 2 2 3 2" xfId="37270"/>
    <cellStyle name="Обычный 8 10 2 2 2 2 3 3" xfId="37271"/>
    <cellStyle name="Обычный 8 10 2 2 2 2 4" xfId="37272"/>
    <cellStyle name="Обычный 8 10 2 2 2 2 4 2" xfId="37273"/>
    <cellStyle name="Обычный 8 10 2 2 2 2 5" xfId="37274"/>
    <cellStyle name="Обычный 8 10 2 2 2 2 6" xfId="37275"/>
    <cellStyle name="Обычный 8 10 2 2 2 3" xfId="37276"/>
    <cellStyle name="Обычный 8 10 2 2 2 3 2" xfId="37277"/>
    <cellStyle name="Обычный 8 10 2 2 2 3 3" xfId="37278"/>
    <cellStyle name="Обычный 8 10 2 2 2 4" xfId="37279"/>
    <cellStyle name="Обычный 8 10 2 2 2 4 2" xfId="37280"/>
    <cellStyle name="Обычный 8 10 2 2 2 4 3" xfId="37281"/>
    <cellStyle name="Обычный 8 10 2 2 2 5" xfId="37282"/>
    <cellStyle name="Обычный 8 10 2 2 2 5 2" xfId="37283"/>
    <cellStyle name="Обычный 8 10 2 2 2 6" xfId="37284"/>
    <cellStyle name="Обычный 8 10 2 2 2 7" xfId="37285"/>
    <cellStyle name="Обычный 8 10 2 2 3" xfId="37286"/>
    <cellStyle name="Обычный 8 10 2 2 3 2" xfId="37287"/>
    <cellStyle name="Обычный 8 10 2 2 3 2 2" xfId="37288"/>
    <cellStyle name="Обычный 8 10 2 2 3 2 3" xfId="37289"/>
    <cellStyle name="Обычный 8 10 2 2 3 3" xfId="37290"/>
    <cellStyle name="Обычный 8 10 2 2 3 3 2" xfId="37291"/>
    <cellStyle name="Обычный 8 10 2 2 3 3 3" xfId="37292"/>
    <cellStyle name="Обычный 8 10 2 2 3 4" xfId="37293"/>
    <cellStyle name="Обычный 8 10 2 2 3 4 2" xfId="37294"/>
    <cellStyle name="Обычный 8 10 2 2 3 5" xfId="37295"/>
    <cellStyle name="Обычный 8 10 2 2 3 6" xfId="37296"/>
    <cellStyle name="Обычный 8 10 2 2 4" xfId="37297"/>
    <cellStyle name="Обычный 8 10 2 2 4 2" xfId="37298"/>
    <cellStyle name="Обычный 8 10 2 2 4 3" xfId="37299"/>
    <cellStyle name="Обычный 8 10 2 2 5" xfId="37300"/>
    <cellStyle name="Обычный 8 10 2 2 5 2" xfId="37301"/>
    <cellStyle name="Обычный 8 10 2 2 5 3" xfId="37302"/>
    <cellStyle name="Обычный 8 10 2 2 6" xfId="37303"/>
    <cellStyle name="Обычный 8 10 2 2 6 2" xfId="37304"/>
    <cellStyle name="Обычный 8 10 2 2 7" xfId="37305"/>
    <cellStyle name="Обычный 8 10 2 2 8" xfId="37306"/>
    <cellStyle name="Обычный 8 10 2 3" xfId="37307"/>
    <cellStyle name="Обычный 8 10 2 3 2" xfId="37308"/>
    <cellStyle name="Обычный 8 10 2 3 2 2" xfId="37309"/>
    <cellStyle name="Обычный 8 10 2 3 2 2 2" xfId="37310"/>
    <cellStyle name="Обычный 8 10 2 3 2 2 3" xfId="37311"/>
    <cellStyle name="Обычный 8 10 2 3 2 3" xfId="37312"/>
    <cellStyle name="Обычный 8 10 2 3 2 3 2" xfId="37313"/>
    <cellStyle name="Обычный 8 10 2 3 2 3 3" xfId="37314"/>
    <cellStyle name="Обычный 8 10 2 3 2 4" xfId="37315"/>
    <cellStyle name="Обычный 8 10 2 3 2 4 2" xfId="37316"/>
    <cellStyle name="Обычный 8 10 2 3 2 5" xfId="37317"/>
    <cellStyle name="Обычный 8 10 2 3 2 6" xfId="37318"/>
    <cellStyle name="Обычный 8 10 2 3 3" xfId="37319"/>
    <cellStyle name="Обычный 8 10 2 3 3 2" xfId="37320"/>
    <cellStyle name="Обычный 8 10 2 3 3 3" xfId="37321"/>
    <cellStyle name="Обычный 8 10 2 3 4" xfId="37322"/>
    <cellStyle name="Обычный 8 10 2 3 4 2" xfId="37323"/>
    <cellStyle name="Обычный 8 10 2 3 4 3" xfId="37324"/>
    <cellStyle name="Обычный 8 10 2 3 5" xfId="37325"/>
    <cellStyle name="Обычный 8 10 2 3 5 2" xfId="37326"/>
    <cellStyle name="Обычный 8 10 2 3 6" xfId="37327"/>
    <cellStyle name="Обычный 8 10 2 3 7" xfId="37328"/>
    <cellStyle name="Обычный 8 10 2 4" xfId="37329"/>
    <cellStyle name="Обычный 8 10 2 4 2" xfId="37330"/>
    <cellStyle name="Обычный 8 10 2 4 2 2" xfId="37331"/>
    <cellStyle name="Обычный 8 10 2 4 2 3" xfId="37332"/>
    <cellStyle name="Обычный 8 10 2 4 3" xfId="37333"/>
    <cellStyle name="Обычный 8 10 2 4 3 2" xfId="37334"/>
    <cellStyle name="Обычный 8 10 2 4 3 3" xfId="37335"/>
    <cellStyle name="Обычный 8 10 2 4 4" xfId="37336"/>
    <cellStyle name="Обычный 8 10 2 4 4 2" xfId="37337"/>
    <cellStyle name="Обычный 8 10 2 4 5" xfId="37338"/>
    <cellStyle name="Обычный 8 10 2 4 6" xfId="37339"/>
    <cellStyle name="Обычный 8 10 2 5" xfId="37340"/>
    <cellStyle name="Обычный 8 10 2 5 2" xfId="37341"/>
    <cellStyle name="Обычный 8 10 2 5 3" xfId="37342"/>
    <cellStyle name="Обычный 8 10 2 6" xfId="37343"/>
    <cellStyle name="Обычный 8 10 2 6 2" xfId="37344"/>
    <cellStyle name="Обычный 8 10 2 6 3" xfId="37345"/>
    <cellStyle name="Обычный 8 10 2 7" xfId="37346"/>
    <cellStyle name="Обычный 8 10 2 7 2" xfId="37347"/>
    <cellStyle name="Обычный 8 10 2 8" xfId="37348"/>
    <cellStyle name="Обычный 8 10 2 9" xfId="37349"/>
    <cellStyle name="Обычный 8 10 3" xfId="37350"/>
    <cellStyle name="Обычный 8 10 3 2" xfId="37351"/>
    <cellStyle name="Обычный 8 10 3 2 2" xfId="37352"/>
    <cellStyle name="Обычный 8 10 3 2 2 2" xfId="37353"/>
    <cellStyle name="Обычный 8 10 3 2 2 2 2" xfId="37354"/>
    <cellStyle name="Обычный 8 10 3 2 2 2 3" xfId="37355"/>
    <cellStyle name="Обычный 8 10 3 2 2 3" xfId="37356"/>
    <cellStyle name="Обычный 8 10 3 2 2 3 2" xfId="37357"/>
    <cellStyle name="Обычный 8 10 3 2 2 3 3" xfId="37358"/>
    <cellStyle name="Обычный 8 10 3 2 2 4" xfId="37359"/>
    <cellStyle name="Обычный 8 10 3 2 2 4 2" xfId="37360"/>
    <cellStyle name="Обычный 8 10 3 2 2 5" xfId="37361"/>
    <cellStyle name="Обычный 8 10 3 2 2 6" xfId="37362"/>
    <cellStyle name="Обычный 8 10 3 2 3" xfId="37363"/>
    <cellStyle name="Обычный 8 10 3 2 3 2" xfId="37364"/>
    <cellStyle name="Обычный 8 10 3 2 3 3" xfId="37365"/>
    <cellStyle name="Обычный 8 10 3 2 4" xfId="37366"/>
    <cellStyle name="Обычный 8 10 3 2 4 2" xfId="37367"/>
    <cellStyle name="Обычный 8 10 3 2 4 3" xfId="37368"/>
    <cellStyle name="Обычный 8 10 3 2 5" xfId="37369"/>
    <cellStyle name="Обычный 8 10 3 2 5 2" xfId="37370"/>
    <cellStyle name="Обычный 8 10 3 2 6" xfId="37371"/>
    <cellStyle name="Обычный 8 10 3 2 7" xfId="37372"/>
    <cellStyle name="Обычный 8 10 3 3" xfId="37373"/>
    <cellStyle name="Обычный 8 10 3 3 2" xfId="37374"/>
    <cellStyle name="Обычный 8 10 3 3 2 2" xfId="37375"/>
    <cellStyle name="Обычный 8 10 3 3 2 3" xfId="37376"/>
    <cellStyle name="Обычный 8 10 3 3 3" xfId="37377"/>
    <cellStyle name="Обычный 8 10 3 3 3 2" xfId="37378"/>
    <cellStyle name="Обычный 8 10 3 3 3 3" xfId="37379"/>
    <cellStyle name="Обычный 8 10 3 3 4" xfId="37380"/>
    <cellStyle name="Обычный 8 10 3 3 4 2" xfId="37381"/>
    <cellStyle name="Обычный 8 10 3 3 5" xfId="37382"/>
    <cellStyle name="Обычный 8 10 3 3 6" xfId="37383"/>
    <cellStyle name="Обычный 8 10 3 4" xfId="37384"/>
    <cellStyle name="Обычный 8 10 3 4 2" xfId="37385"/>
    <cellStyle name="Обычный 8 10 3 4 3" xfId="37386"/>
    <cellStyle name="Обычный 8 10 3 5" xfId="37387"/>
    <cellStyle name="Обычный 8 10 3 5 2" xfId="37388"/>
    <cellStyle name="Обычный 8 10 3 5 3" xfId="37389"/>
    <cellStyle name="Обычный 8 10 3 6" xfId="37390"/>
    <cellStyle name="Обычный 8 10 3 6 2" xfId="37391"/>
    <cellStyle name="Обычный 8 10 3 7" xfId="37392"/>
    <cellStyle name="Обычный 8 10 3 8" xfId="37393"/>
    <cellStyle name="Обычный 8 10 4" xfId="37394"/>
    <cellStyle name="Обычный 8 10 4 2" xfId="37395"/>
    <cellStyle name="Обычный 8 10 4 2 2" xfId="37396"/>
    <cellStyle name="Обычный 8 10 4 2 2 2" xfId="37397"/>
    <cellStyle name="Обычный 8 10 4 2 2 3" xfId="37398"/>
    <cellStyle name="Обычный 8 10 4 2 3" xfId="37399"/>
    <cellStyle name="Обычный 8 10 4 2 3 2" xfId="37400"/>
    <cellStyle name="Обычный 8 10 4 2 3 3" xfId="37401"/>
    <cellStyle name="Обычный 8 10 4 2 4" xfId="37402"/>
    <cellStyle name="Обычный 8 10 4 2 4 2" xfId="37403"/>
    <cellStyle name="Обычный 8 10 4 2 5" xfId="37404"/>
    <cellStyle name="Обычный 8 10 4 2 6" xfId="37405"/>
    <cellStyle name="Обычный 8 10 4 3" xfId="37406"/>
    <cellStyle name="Обычный 8 10 4 3 2" xfId="37407"/>
    <cellStyle name="Обычный 8 10 4 3 3" xfId="37408"/>
    <cellStyle name="Обычный 8 10 4 4" xfId="37409"/>
    <cellStyle name="Обычный 8 10 4 4 2" xfId="37410"/>
    <cellStyle name="Обычный 8 10 4 4 3" xfId="37411"/>
    <cellStyle name="Обычный 8 10 4 5" xfId="37412"/>
    <cellStyle name="Обычный 8 10 4 5 2" xfId="37413"/>
    <cellStyle name="Обычный 8 10 4 6" xfId="37414"/>
    <cellStyle name="Обычный 8 10 4 7" xfId="37415"/>
    <cellStyle name="Обычный 8 10 5" xfId="37416"/>
    <cellStyle name="Обычный 8 10 5 2" xfId="37417"/>
    <cellStyle name="Обычный 8 10 5 2 2" xfId="37418"/>
    <cellStyle name="Обычный 8 10 5 2 3" xfId="37419"/>
    <cellStyle name="Обычный 8 10 5 3" xfId="37420"/>
    <cellStyle name="Обычный 8 10 5 3 2" xfId="37421"/>
    <cellStyle name="Обычный 8 10 5 3 3" xfId="37422"/>
    <cellStyle name="Обычный 8 10 5 4" xfId="37423"/>
    <cellStyle name="Обычный 8 10 5 4 2" xfId="37424"/>
    <cellStyle name="Обычный 8 10 5 5" xfId="37425"/>
    <cellStyle name="Обычный 8 10 5 6" xfId="37426"/>
    <cellStyle name="Обычный 8 10 6" xfId="37427"/>
    <cellStyle name="Обычный 8 10 6 2" xfId="37428"/>
    <cellStyle name="Обычный 8 10 6 3" xfId="37429"/>
    <cellStyle name="Обычный 8 10 7" xfId="37430"/>
    <cellStyle name="Обычный 8 10 7 2" xfId="37431"/>
    <cellStyle name="Обычный 8 10 7 3" xfId="37432"/>
    <cellStyle name="Обычный 8 10 8" xfId="37433"/>
    <cellStyle name="Обычный 8 10 8 2" xfId="37434"/>
    <cellStyle name="Обычный 8 10 9" xfId="37435"/>
    <cellStyle name="Обычный 8 11" xfId="37436"/>
    <cellStyle name="Обычный 8 11 10" xfId="37437"/>
    <cellStyle name="Обычный 8 11 2" xfId="37438"/>
    <cellStyle name="Обычный 8 11 2 2" xfId="37439"/>
    <cellStyle name="Обычный 8 11 2 2 2" xfId="37440"/>
    <cellStyle name="Обычный 8 11 2 2 2 2" xfId="37441"/>
    <cellStyle name="Обычный 8 11 2 2 2 2 2" xfId="37442"/>
    <cellStyle name="Обычный 8 11 2 2 2 2 2 2" xfId="37443"/>
    <cellStyle name="Обычный 8 11 2 2 2 2 2 3" xfId="37444"/>
    <cellStyle name="Обычный 8 11 2 2 2 2 3" xfId="37445"/>
    <cellStyle name="Обычный 8 11 2 2 2 2 3 2" xfId="37446"/>
    <cellStyle name="Обычный 8 11 2 2 2 2 3 3" xfId="37447"/>
    <cellStyle name="Обычный 8 11 2 2 2 2 4" xfId="37448"/>
    <cellStyle name="Обычный 8 11 2 2 2 2 4 2" xfId="37449"/>
    <cellStyle name="Обычный 8 11 2 2 2 2 5" xfId="37450"/>
    <cellStyle name="Обычный 8 11 2 2 2 2 6" xfId="37451"/>
    <cellStyle name="Обычный 8 11 2 2 2 3" xfId="37452"/>
    <cellStyle name="Обычный 8 11 2 2 2 3 2" xfId="37453"/>
    <cellStyle name="Обычный 8 11 2 2 2 3 3" xfId="37454"/>
    <cellStyle name="Обычный 8 11 2 2 2 4" xfId="37455"/>
    <cellStyle name="Обычный 8 11 2 2 2 4 2" xfId="37456"/>
    <cellStyle name="Обычный 8 11 2 2 2 4 3" xfId="37457"/>
    <cellStyle name="Обычный 8 11 2 2 2 5" xfId="37458"/>
    <cellStyle name="Обычный 8 11 2 2 2 5 2" xfId="37459"/>
    <cellStyle name="Обычный 8 11 2 2 2 6" xfId="37460"/>
    <cellStyle name="Обычный 8 11 2 2 2 7" xfId="37461"/>
    <cellStyle name="Обычный 8 11 2 2 3" xfId="37462"/>
    <cellStyle name="Обычный 8 11 2 2 3 2" xfId="37463"/>
    <cellStyle name="Обычный 8 11 2 2 3 2 2" xfId="37464"/>
    <cellStyle name="Обычный 8 11 2 2 3 2 3" xfId="37465"/>
    <cellStyle name="Обычный 8 11 2 2 3 3" xfId="37466"/>
    <cellStyle name="Обычный 8 11 2 2 3 3 2" xfId="37467"/>
    <cellStyle name="Обычный 8 11 2 2 3 3 3" xfId="37468"/>
    <cellStyle name="Обычный 8 11 2 2 3 4" xfId="37469"/>
    <cellStyle name="Обычный 8 11 2 2 3 4 2" xfId="37470"/>
    <cellStyle name="Обычный 8 11 2 2 3 5" xfId="37471"/>
    <cellStyle name="Обычный 8 11 2 2 3 6" xfId="37472"/>
    <cellStyle name="Обычный 8 11 2 2 4" xfId="37473"/>
    <cellStyle name="Обычный 8 11 2 2 4 2" xfId="37474"/>
    <cellStyle name="Обычный 8 11 2 2 4 3" xfId="37475"/>
    <cellStyle name="Обычный 8 11 2 2 5" xfId="37476"/>
    <cellStyle name="Обычный 8 11 2 2 5 2" xfId="37477"/>
    <cellStyle name="Обычный 8 11 2 2 5 3" xfId="37478"/>
    <cellStyle name="Обычный 8 11 2 2 6" xfId="37479"/>
    <cellStyle name="Обычный 8 11 2 2 6 2" xfId="37480"/>
    <cellStyle name="Обычный 8 11 2 2 7" xfId="37481"/>
    <cellStyle name="Обычный 8 11 2 2 8" xfId="37482"/>
    <cellStyle name="Обычный 8 11 2 3" xfId="37483"/>
    <cellStyle name="Обычный 8 11 2 3 2" xfId="37484"/>
    <cellStyle name="Обычный 8 11 2 3 2 2" xfId="37485"/>
    <cellStyle name="Обычный 8 11 2 3 2 2 2" xfId="37486"/>
    <cellStyle name="Обычный 8 11 2 3 2 2 3" xfId="37487"/>
    <cellStyle name="Обычный 8 11 2 3 2 3" xfId="37488"/>
    <cellStyle name="Обычный 8 11 2 3 2 3 2" xfId="37489"/>
    <cellStyle name="Обычный 8 11 2 3 2 3 3" xfId="37490"/>
    <cellStyle name="Обычный 8 11 2 3 2 4" xfId="37491"/>
    <cellStyle name="Обычный 8 11 2 3 2 4 2" xfId="37492"/>
    <cellStyle name="Обычный 8 11 2 3 2 5" xfId="37493"/>
    <cellStyle name="Обычный 8 11 2 3 2 6" xfId="37494"/>
    <cellStyle name="Обычный 8 11 2 3 3" xfId="37495"/>
    <cellStyle name="Обычный 8 11 2 3 3 2" xfId="37496"/>
    <cellStyle name="Обычный 8 11 2 3 3 3" xfId="37497"/>
    <cellStyle name="Обычный 8 11 2 3 4" xfId="37498"/>
    <cellStyle name="Обычный 8 11 2 3 4 2" xfId="37499"/>
    <cellStyle name="Обычный 8 11 2 3 4 3" xfId="37500"/>
    <cellStyle name="Обычный 8 11 2 3 5" xfId="37501"/>
    <cellStyle name="Обычный 8 11 2 3 5 2" xfId="37502"/>
    <cellStyle name="Обычный 8 11 2 3 6" xfId="37503"/>
    <cellStyle name="Обычный 8 11 2 3 7" xfId="37504"/>
    <cellStyle name="Обычный 8 11 2 4" xfId="37505"/>
    <cellStyle name="Обычный 8 11 2 4 2" xfId="37506"/>
    <cellStyle name="Обычный 8 11 2 4 2 2" xfId="37507"/>
    <cellStyle name="Обычный 8 11 2 4 2 3" xfId="37508"/>
    <cellStyle name="Обычный 8 11 2 4 3" xfId="37509"/>
    <cellStyle name="Обычный 8 11 2 4 3 2" xfId="37510"/>
    <cellStyle name="Обычный 8 11 2 4 3 3" xfId="37511"/>
    <cellStyle name="Обычный 8 11 2 4 4" xfId="37512"/>
    <cellStyle name="Обычный 8 11 2 4 4 2" xfId="37513"/>
    <cellStyle name="Обычный 8 11 2 4 5" xfId="37514"/>
    <cellStyle name="Обычный 8 11 2 4 6" xfId="37515"/>
    <cellStyle name="Обычный 8 11 2 5" xfId="37516"/>
    <cellStyle name="Обычный 8 11 2 5 2" xfId="37517"/>
    <cellStyle name="Обычный 8 11 2 5 3" xfId="37518"/>
    <cellStyle name="Обычный 8 11 2 6" xfId="37519"/>
    <cellStyle name="Обычный 8 11 2 6 2" xfId="37520"/>
    <cellStyle name="Обычный 8 11 2 6 3" xfId="37521"/>
    <cellStyle name="Обычный 8 11 2 7" xfId="37522"/>
    <cellStyle name="Обычный 8 11 2 7 2" xfId="37523"/>
    <cellStyle name="Обычный 8 11 2 8" xfId="37524"/>
    <cellStyle name="Обычный 8 11 2 9" xfId="37525"/>
    <cellStyle name="Обычный 8 11 3" xfId="37526"/>
    <cellStyle name="Обычный 8 11 3 2" xfId="37527"/>
    <cellStyle name="Обычный 8 11 3 2 2" xfId="37528"/>
    <cellStyle name="Обычный 8 11 3 2 2 2" xfId="37529"/>
    <cellStyle name="Обычный 8 11 3 2 2 2 2" xfId="37530"/>
    <cellStyle name="Обычный 8 11 3 2 2 2 3" xfId="37531"/>
    <cellStyle name="Обычный 8 11 3 2 2 3" xfId="37532"/>
    <cellStyle name="Обычный 8 11 3 2 2 3 2" xfId="37533"/>
    <cellStyle name="Обычный 8 11 3 2 2 3 3" xfId="37534"/>
    <cellStyle name="Обычный 8 11 3 2 2 4" xfId="37535"/>
    <cellStyle name="Обычный 8 11 3 2 2 4 2" xfId="37536"/>
    <cellStyle name="Обычный 8 11 3 2 2 5" xfId="37537"/>
    <cellStyle name="Обычный 8 11 3 2 2 6" xfId="37538"/>
    <cellStyle name="Обычный 8 11 3 2 3" xfId="37539"/>
    <cellStyle name="Обычный 8 11 3 2 3 2" xfId="37540"/>
    <cellStyle name="Обычный 8 11 3 2 3 3" xfId="37541"/>
    <cellStyle name="Обычный 8 11 3 2 4" xfId="37542"/>
    <cellStyle name="Обычный 8 11 3 2 4 2" xfId="37543"/>
    <cellStyle name="Обычный 8 11 3 2 4 3" xfId="37544"/>
    <cellStyle name="Обычный 8 11 3 2 5" xfId="37545"/>
    <cellStyle name="Обычный 8 11 3 2 5 2" xfId="37546"/>
    <cellStyle name="Обычный 8 11 3 2 6" xfId="37547"/>
    <cellStyle name="Обычный 8 11 3 2 7" xfId="37548"/>
    <cellStyle name="Обычный 8 11 3 3" xfId="37549"/>
    <cellStyle name="Обычный 8 11 3 3 2" xfId="37550"/>
    <cellStyle name="Обычный 8 11 3 3 2 2" xfId="37551"/>
    <cellStyle name="Обычный 8 11 3 3 2 3" xfId="37552"/>
    <cellStyle name="Обычный 8 11 3 3 3" xfId="37553"/>
    <cellStyle name="Обычный 8 11 3 3 3 2" xfId="37554"/>
    <cellStyle name="Обычный 8 11 3 3 3 3" xfId="37555"/>
    <cellStyle name="Обычный 8 11 3 3 4" xfId="37556"/>
    <cellStyle name="Обычный 8 11 3 3 4 2" xfId="37557"/>
    <cellStyle name="Обычный 8 11 3 3 5" xfId="37558"/>
    <cellStyle name="Обычный 8 11 3 3 6" xfId="37559"/>
    <cellStyle name="Обычный 8 11 3 4" xfId="37560"/>
    <cellStyle name="Обычный 8 11 3 4 2" xfId="37561"/>
    <cellStyle name="Обычный 8 11 3 4 3" xfId="37562"/>
    <cellStyle name="Обычный 8 11 3 5" xfId="37563"/>
    <cellStyle name="Обычный 8 11 3 5 2" xfId="37564"/>
    <cellStyle name="Обычный 8 11 3 5 3" xfId="37565"/>
    <cellStyle name="Обычный 8 11 3 6" xfId="37566"/>
    <cellStyle name="Обычный 8 11 3 6 2" xfId="37567"/>
    <cellStyle name="Обычный 8 11 3 7" xfId="37568"/>
    <cellStyle name="Обычный 8 11 3 8" xfId="37569"/>
    <cellStyle name="Обычный 8 11 4" xfId="37570"/>
    <cellStyle name="Обычный 8 11 4 2" xfId="37571"/>
    <cellStyle name="Обычный 8 11 4 2 2" xfId="37572"/>
    <cellStyle name="Обычный 8 11 4 2 2 2" xfId="37573"/>
    <cellStyle name="Обычный 8 11 4 2 2 3" xfId="37574"/>
    <cellStyle name="Обычный 8 11 4 2 3" xfId="37575"/>
    <cellStyle name="Обычный 8 11 4 2 3 2" xfId="37576"/>
    <cellStyle name="Обычный 8 11 4 2 3 3" xfId="37577"/>
    <cellStyle name="Обычный 8 11 4 2 4" xfId="37578"/>
    <cellStyle name="Обычный 8 11 4 2 4 2" xfId="37579"/>
    <cellStyle name="Обычный 8 11 4 2 5" xfId="37580"/>
    <cellStyle name="Обычный 8 11 4 2 6" xfId="37581"/>
    <cellStyle name="Обычный 8 11 4 3" xfId="37582"/>
    <cellStyle name="Обычный 8 11 4 3 2" xfId="37583"/>
    <cellStyle name="Обычный 8 11 4 3 3" xfId="37584"/>
    <cellStyle name="Обычный 8 11 4 4" xfId="37585"/>
    <cellStyle name="Обычный 8 11 4 4 2" xfId="37586"/>
    <cellStyle name="Обычный 8 11 4 4 3" xfId="37587"/>
    <cellStyle name="Обычный 8 11 4 5" xfId="37588"/>
    <cellStyle name="Обычный 8 11 4 5 2" xfId="37589"/>
    <cellStyle name="Обычный 8 11 4 6" xfId="37590"/>
    <cellStyle name="Обычный 8 11 4 7" xfId="37591"/>
    <cellStyle name="Обычный 8 11 5" xfId="37592"/>
    <cellStyle name="Обычный 8 11 5 2" xfId="37593"/>
    <cellStyle name="Обычный 8 11 5 2 2" xfId="37594"/>
    <cellStyle name="Обычный 8 11 5 2 3" xfId="37595"/>
    <cellStyle name="Обычный 8 11 5 3" xfId="37596"/>
    <cellStyle name="Обычный 8 11 5 3 2" xfId="37597"/>
    <cellStyle name="Обычный 8 11 5 3 3" xfId="37598"/>
    <cellStyle name="Обычный 8 11 5 4" xfId="37599"/>
    <cellStyle name="Обычный 8 11 5 4 2" xfId="37600"/>
    <cellStyle name="Обычный 8 11 5 5" xfId="37601"/>
    <cellStyle name="Обычный 8 11 5 6" xfId="37602"/>
    <cellStyle name="Обычный 8 11 6" xfId="37603"/>
    <cellStyle name="Обычный 8 11 6 2" xfId="37604"/>
    <cellStyle name="Обычный 8 11 6 3" xfId="37605"/>
    <cellStyle name="Обычный 8 11 7" xfId="37606"/>
    <cellStyle name="Обычный 8 11 7 2" xfId="37607"/>
    <cellStyle name="Обычный 8 11 7 3" xfId="37608"/>
    <cellStyle name="Обычный 8 11 8" xfId="37609"/>
    <cellStyle name="Обычный 8 11 8 2" xfId="37610"/>
    <cellStyle name="Обычный 8 11 9" xfId="37611"/>
    <cellStyle name="Обычный 8 12" xfId="37612"/>
    <cellStyle name="Обычный 8 12 10" xfId="37613"/>
    <cellStyle name="Обычный 8 12 2" xfId="37614"/>
    <cellStyle name="Обычный 8 12 2 2" xfId="37615"/>
    <cellStyle name="Обычный 8 12 2 2 2" xfId="37616"/>
    <cellStyle name="Обычный 8 12 2 2 2 2" xfId="37617"/>
    <cellStyle name="Обычный 8 12 2 2 2 2 2" xfId="37618"/>
    <cellStyle name="Обычный 8 12 2 2 2 2 2 2" xfId="37619"/>
    <cellStyle name="Обычный 8 12 2 2 2 2 2 3" xfId="37620"/>
    <cellStyle name="Обычный 8 12 2 2 2 2 3" xfId="37621"/>
    <cellStyle name="Обычный 8 12 2 2 2 2 3 2" xfId="37622"/>
    <cellStyle name="Обычный 8 12 2 2 2 2 3 3" xfId="37623"/>
    <cellStyle name="Обычный 8 12 2 2 2 2 4" xfId="37624"/>
    <cellStyle name="Обычный 8 12 2 2 2 2 4 2" xfId="37625"/>
    <cellStyle name="Обычный 8 12 2 2 2 2 5" xfId="37626"/>
    <cellStyle name="Обычный 8 12 2 2 2 2 6" xfId="37627"/>
    <cellStyle name="Обычный 8 12 2 2 2 3" xfId="37628"/>
    <cellStyle name="Обычный 8 12 2 2 2 3 2" xfId="37629"/>
    <cellStyle name="Обычный 8 12 2 2 2 3 3" xfId="37630"/>
    <cellStyle name="Обычный 8 12 2 2 2 4" xfId="37631"/>
    <cellStyle name="Обычный 8 12 2 2 2 4 2" xfId="37632"/>
    <cellStyle name="Обычный 8 12 2 2 2 4 3" xfId="37633"/>
    <cellStyle name="Обычный 8 12 2 2 2 5" xfId="37634"/>
    <cellStyle name="Обычный 8 12 2 2 2 5 2" xfId="37635"/>
    <cellStyle name="Обычный 8 12 2 2 2 6" xfId="37636"/>
    <cellStyle name="Обычный 8 12 2 2 2 7" xfId="37637"/>
    <cellStyle name="Обычный 8 12 2 2 3" xfId="37638"/>
    <cellStyle name="Обычный 8 12 2 2 3 2" xfId="37639"/>
    <cellStyle name="Обычный 8 12 2 2 3 2 2" xfId="37640"/>
    <cellStyle name="Обычный 8 12 2 2 3 2 3" xfId="37641"/>
    <cellStyle name="Обычный 8 12 2 2 3 3" xfId="37642"/>
    <cellStyle name="Обычный 8 12 2 2 3 3 2" xfId="37643"/>
    <cellStyle name="Обычный 8 12 2 2 3 3 3" xfId="37644"/>
    <cellStyle name="Обычный 8 12 2 2 3 4" xfId="37645"/>
    <cellStyle name="Обычный 8 12 2 2 3 4 2" xfId="37646"/>
    <cellStyle name="Обычный 8 12 2 2 3 5" xfId="37647"/>
    <cellStyle name="Обычный 8 12 2 2 3 6" xfId="37648"/>
    <cellStyle name="Обычный 8 12 2 2 4" xfId="37649"/>
    <cellStyle name="Обычный 8 12 2 2 4 2" xfId="37650"/>
    <cellStyle name="Обычный 8 12 2 2 4 3" xfId="37651"/>
    <cellStyle name="Обычный 8 12 2 2 5" xfId="37652"/>
    <cellStyle name="Обычный 8 12 2 2 5 2" xfId="37653"/>
    <cellStyle name="Обычный 8 12 2 2 5 3" xfId="37654"/>
    <cellStyle name="Обычный 8 12 2 2 6" xfId="37655"/>
    <cellStyle name="Обычный 8 12 2 2 6 2" xfId="37656"/>
    <cellStyle name="Обычный 8 12 2 2 7" xfId="37657"/>
    <cellStyle name="Обычный 8 12 2 2 8" xfId="37658"/>
    <cellStyle name="Обычный 8 12 2 3" xfId="37659"/>
    <cellStyle name="Обычный 8 12 2 3 2" xfId="37660"/>
    <cellStyle name="Обычный 8 12 2 3 2 2" xfId="37661"/>
    <cellStyle name="Обычный 8 12 2 3 2 2 2" xfId="37662"/>
    <cellStyle name="Обычный 8 12 2 3 2 2 3" xfId="37663"/>
    <cellStyle name="Обычный 8 12 2 3 2 3" xfId="37664"/>
    <cellStyle name="Обычный 8 12 2 3 2 3 2" xfId="37665"/>
    <cellStyle name="Обычный 8 12 2 3 2 3 3" xfId="37666"/>
    <cellStyle name="Обычный 8 12 2 3 2 4" xfId="37667"/>
    <cellStyle name="Обычный 8 12 2 3 2 4 2" xfId="37668"/>
    <cellStyle name="Обычный 8 12 2 3 2 5" xfId="37669"/>
    <cellStyle name="Обычный 8 12 2 3 2 6" xfId="37670"/>
    <cellStyle name="Обычный 8 12 2 3 3" xfId="37671"/>
    <cellStyle name="Обычный 8 12 2 3 3 2" xfId="37672"/>
    <cellStyle name="Обычный 8 12 2 3 3 3" xfId="37673"/>
    <cellStyle name="Обычный 8 12 2 3 4" xfId="37674"/>
    <cellStyle name="Обычный 8 12 2 3 4 2" xfId="37675"/>
    <cellStyle name="Обычный 8 12 2 3 4 3" xfId="37676"/>
    <cellStyle name="Обычный 8 12 2 3 5" xfId="37677"/>
    <cellStyle name="Обычный 8 12 2 3 5 2" xfId="37678"/>
    <cellStyle name="Обычный 8 12 2 3 6" xfId="37679"/>
    <cellStyle name="Обычный 8 12 2 3 7" xfId="37680"/>
    <cellStyle name="Обычный 8 12 2 4" xfId="37681"/>
    <cellStyle name="Обычный 8 12 2 4 2" xfId="37682"/>
    <cellStyle name="Обычный 8 12 2 4 2 2" xfId="37683"/>
    <cellStyle name="Обычный 8 12 2 4 2 3" xfId="37684"/>
    <cellStyle name="Обычный 8 12 2 4 3" xfId="37685"/>
    <cellStyle name="Обычный 8 12 2 4 3 2" xfId="37686"/>
    <cellStyle name="Обычный 8 12 2 4 3 3" xfId="37687"/>
    <cellStyle name="Обычный 8 12 2 4 4" xfId="37688"/>
    <cellStyle name="Обычный 8 12 2 4 4 2" xfId="37689"/>
    <cellStyle name="Обычный 8 12 2 4 5" xfId="37690"/>
    <cellStyle name="Обычный 8 12 2 4 6" xfId="37691"/>
    <cellStyle name="Обычный 8 12 2 5" xfId="37692"/>
    <cellStyle name="Обычный 8 12 2 5 2" xfId="37693"/>
    <cellStyle name="Обычный 8 12 2 5 3" xfId="37694"/>
    <cellStyle name="Обычный 8 12 2 6" xfId="37695"/>
    <cellStyle name="Обычный 8 12 2 6 2" xfId="37696"/>
    <cellStyle name="Обычный 8 12 2 6 3" xfId="37697"/>
    <cellStyle name="Обычный 8 12 2 7" xfId="37698"/>
    <cellStyle name="Обычный 8 12 2 7 2" xfId="37699"/>
    <cellStyle name="Обычный 8 12 2 8" xfId="37700"/>
    <cellStyle name="Обычный 8 12 2 9" xfId="37701"/>
    <cellStyle name="Обычный 8 12 3" xfId="37702"/>
    <cellStyle name="Обычный 8 12 3 2" xfId="37703"/>
    <cellStyle name="Обычный 8 12 3 2 2" xfId="37704"/>
    <cellStyle name="Обычный 8 12 3 2 2 2" xfId="37705"/>
    <cellStyle name="Обычный 8 12 3 2 2 2 2" xfId="37706"/>
    <cellStyle name="Обычный 8 12 3 2 2 2 3" xfId="37707"/>
    <cellStyle name="Обычный 8 12 3 2 2 3" xfId="37708"/>
    <cellStyle name="Обычный 8 12 3 2 2 3 2" xfId="37709"/>
    <cellStyle name="Обычный 8 12 3 2 2 3 3" xfId="37710"/>
    <cellStyle name="Обычный 8 12 3 2 2 4" xfId="37711"/>
    <cellStyle name="Обычный 8 12 3 2 2 4 2" xfId="37712"/>
    <cellStyle name="Обычный 8 12 3 2 2 5" xfId="37713"/>
    <cellStyle name="Обычный 8 12 3 2 2 6" xfId="37714"/>
    <cellStyle name="Обычный 8 12 3 2 3" xfId="37715"/>
    <cellStyle name="Обычный 8 12 3 2 3 2" xfId="37716"/>
    <cellStyle name="Обычный 8 12 3 2 3 3" xfId="37717"/>
    <cellStyle name="Обычный 8 12 3 2 4" xfId="37718"/>
    <cellStyle name="Обычный 8 12 3 2 4 2" xfId="37719"/>
    <cellStyle name="Обычный 8 12 3 2 4 3" xfId="37720"/>
    <cellStyle name="Обычный 8 12 3 2 5" xfId="37721"/>
    <cellStyle name="Обычный 8 12 3 2 5 2" xfId="37722"/>
    <cellStyle name="Обычный 8 12 3 2 6" xfId="37723"/>
    <cellStyle name="Обычный 8 12 3 2 7" xfId="37724"/>
    <cellStyle name="Обычный 8 12 3 3" xfId="37725"/>
    <cellStyle name="Обычный 8 12 3 3 2" xfId="37726"/>
    <cellStyle name="Обычный 8 12 3 3 2 2" xfId="37727"/>
    <cellStyle name="Обычный 8 12 3 3 2 3" xfId="37728"/>
    <cellStyle name="Обычный 8 12 3 3 3" xfId="37729"/>
    <cellStyle name="Обычный 8 12 3 3 3 2" xfId="37730"/>
    <cellStyle name="Обычный 8 12 3 3 3 3" xfId="37731"/>
    <cellStyle name="Обычный 8 12 3 3 4" xfId="37732"/>
    <cellStyle name="Обычный 8 12 3 3 4 2" xfId="37733"/>
    <cellStyle name="Обычный 8 12 3 3 5" xfId="37734"/>
    <cellStyle name="Обычный 8 12 3 3 6" xfId="37735"/>
    <cellStyle name="Обычный 8 12 3 4" xfId="37736"/>
    <cellStyle name="Обычный 8 12 3 4 2" xfId="37737"/>
    <cellStyle name="Обычный 8 12 3 4 3" xfId="37738"/>
    <cellStyle name="Обычный 8 12 3 5" xfId="37739"/>
    <cellStyle name="Обычный 8 12 3 5 2" xfId="37740"/>
    <cellStyle name="Обычный 8 12 3 5 3" xfId="37741"/>
    <cellStyle name="Обычный 8 12 3 6" xfId="37742"/>
    <cellStyle name="Обычный 8 12 3 6 2" xfId="37743"/>
    <cellStyle name="Обычный 8 12 3 7" xfId="37744"/>
    <cellStyle name="Обычный 8 12 3 8" xfId="37745"/>
    <cellStyle name="Обычный 8 12 4" xfId="37746"/>
    <cellStyle name="Обычный 8 12 4 2" xfId="37747"/>
    <cellStyle name="Обычный 8 12 4 2 2" xfId="37748"/>
    <cellStyle name="Обычный 8 12 4 2 2 2" xfId="37749"/>
    <cellStyle name="Обычный 8 12 4 2 2 3" xfId="37750"/>
    <cellStyle name="Обычный 8 12 4 2 3" xfId="37751"/>
    <cellStyle name="Обычный 8 12 4 2 3 2" xfId="37752"/>
    <cellStyle name="Обычный 8 12 4 2 3 3" xfId="37753"/>
    <cellStyle name="Обычный 8 12 4 2 4" xfId="37754"/>
    <cellStyle name="Обычный 8 12 4 2 4 2" xfId="37755"/>
    <cellStyle name="Обычный 8 12 4 2 5" xfId="37756"/>
    <cellStyle name="Обычный 8 12 4 2 6" xfId="37757"/>
    <cellStyle name="Обычный 8 12 4 3" xfId="37758"/>
    <cellStyle name="Обычный 8 12 4 3 2" xfId="37759"/>
    <cellStyle name="Обычный 8 12 4 3 3" xfId="37760"/>
    <cellStyle name="Обычный 8 12 4 4" xfId="37761"/>
    <cellStyle name="Обычный 8 12 4 4 2" xfId="37762"/>
    <cellStyle name="Обычный 8 12 4 4 3" xfId="37763"/>
    <cellStyle name="Обычный 8 12 4 5" xfId="37764"/>
    <cellStyle name="Обычный 8 12 4 5 2" xfId="37765"/>
    <cellStyle name="Обычный 8 12 4 6" xfId="37766"/>
    <cellStyle name="Обычный 8 12 4 7" xfId="37767"/>
    <cellStyle name="Обычный 8 12 5" xfId="37768"/>
    <cellStyle name="Обычный 8 12 5 2" xfId="37769"/>
    <cellStyle name="Обычный 8 12 5 2 2" xfId="37770"/>
    <cellStyle name="Обычный 8 12 5 2 3" xfId="37771"/>
    <cellStyle name="Обычный 8 12 5 3" xfId="37772"/>
    <cellStyle name="Обычный 8 12 5 3 2" xfId="37773"/>
    <cellStyle name="Обычный 8 12 5 3 3" xfId="37774"/>
    <cellStyle name="Обычный 8 12 5 4" xfId="37775"/>
    <cellStyle name="Обычный 8 12 5 4 2" xfId="37776"/>
    <cellStyle name="Обычный 8 12 5 5" xfId="37777"/>
    <cellStyle name="Обычный 8 12 5 6" xfId="37778"/>
    <cellStyle name="Обычный 8 12 6" xfId="37779"/>
    <cellStyle name="Обычный 8 12 6 2" xfId="37780"/>
    <cellStyle name="Обычный 8 12 6 3" xfId="37781"/>
    <cellStyle name="Обычный 8 12 7" xfId="37782"/>
    <cellStyle name="Обычный 8 12 7 2" xfId="37783"/>
    <cellStyle name="Обычный 8 12 7 3" xfId="37784"/>
    <cellStyle name="Обычный 8 12 8" xfId="37785"/>
    <cellStyle name="Обычный 8 12 8 2" xfId="37786"/>
    <cellStyle name="Обычный 8 12 9" xfId="37787"/>
    <cellStyle name="Обычный 8 13" xfId="37788"/>
    <cellStyle name="Обычный 8 13 2" xfId="37789"/>
    <cellStyle name="Обычный 8 13 2 2" xfId="37790"/>
    <cellStyle name="Обычный 8 13 2 2 2" xfId="37791"/>
    <cellStyle name="Обычный 8 13 2 2 2 2" xfId="37792"/>
    <cellStyle name="Обычный 8 13 2 2 2 2 2" xfId="37793"/>
    <cellStyle name="Обычный 8 13 2 2 2 2 3" xfId="37794"/>
    <cellStyle name="Обычный 8 13 2 2 2 3" xfId="37795"/>
    <cellStyle name="Обычный 8 13 2 2 2 3 2" xfId="37796"/>
    <cellStyle name="Обычный 8 13 2 2 2 3 3" xfId="37797"/>
    <cellStyle name="Обычный 8 13 2 2 2 4" xfId="37798"/>
    <cellStyle name="Обычный 8 13 2 2 2 4 2" xfId="37799"/>
    <cellStyle name="Обычный 8 13 2 2 2 5" xfId="37800"/>
    <cellStyle name="Обычный 8 13 2 2 2 6" xfId="37801"/>
    <cellStyle name="Обычный 8 13 2 2 3" xfId="37802"/>
    <cellStyle name="Обычный 8 13 2 2 3 2" xfId="37803"/>
    <cellStyle name="Обычный 8 13 2 2 3 3" xfId="37804"/>
    <cellStyle name="Обычный 8 13 2 2 4" xfId="37805"/>
    <cellStyle name="Обычный 8 13 2 2 4 2" xfId="37806"/>
    <cellStyle name="Обычный 8 13 2 2 4 3" xfId="37807"/>
    <cellStyle name="Обычный 8 13 2 2 5" xfId="37808"/>
    <cellStyle name="Обычный 8 13 2 2 5 2" xfId="37809"/>
    <cellStyle name="Обычный 8 13 2 2 6" xfId="37810"/>
    <cellStyle name="Обычный 8 13 2 2 7" xfId="37811"/>
    <cellStyle name="Обычный 8 13 2 3" xfId="37812"/>
    <cellStyle name="Обычный 8 13 2 3 2" xfId="37813"/>
    <cellStyle name="Обычный 8 13 2 3 2 2" xfId="37814"/>
    <cellStyle name="Обычный 8 13 2 3 2 3" xfId="37815"/>
    <cellStyle name="Обычный 8 13 2 3 3" xfId="37816"/>
    <cellStyle name="Обычный 8 13 2 3 3 2" xfId="37817"/>
    <cellStyle name="Обычный 8 13 2 3 3 3" xfId="37818"/>
    <cellStyle name="Обычный 8 13 2 3 4" xfId="37819"/>
    <cellStyle name="Обычный 8 13 2 3 4 2" xfId="37820"/>
    <cellStyle name="Обычный 8 13 2 3 5" xfId="37821"/>
    <cellStyle name="Обычный 8 13 2 3 6" xfId="37822"/>
    <cellStyle name="Обычный 8 13 2 4" xfId="37823"/>
    <cellStyle name="Обычный 8 13 2 4 2" xfId="37824"/>
    <cellStyle name="Обычный 8 13 2 4 3" xfId="37825"/>
    <cellStyle name="Обычный 8 13 2 5" xfId="37826"/>
    <cellStyle name="Обычный 8 13 2 5 2" xfId="37827"/>
    <cellStyle name="Обычный 8 13 2 5 3" xfId="37828"/>
    <cellStyle name="Обычный 8 13 2 6" xfId="37829"/>
    <cellStyle name="Обычный 8 13 2 6 2" xfId="37830"/>
    <cellStyle name="Обычный 8 13 2 7" xfId="37831"/>
    <cellStyle name="Обычный 8 13 2 8" xfId="37832"/>
    <cellStyle name="Обычный 8 13 3" xfId="37833"/>
    <cellStyle name="Обычный 8 13 3 2" xfId="37834"/>
    <cellStyle name="Обычный 8 13 3 2 2" xfId="37835"/>
    <cellStyle name="Обычный 8 13 3 2 2 2" xfId="37836"/>
    <cellStyle name="Обычный 8 13 3 2 2 3" xfId="37837"/>
    <cellStyle name="Обычный 8 13 3 2 3" xfId="37838"/>
    <cellStyle name="Обычный 8 13 3 2 3 2" xfId="37839"/>
    <cellStyle name="Обычный 8 13 3 2 3 3" xfId="37840"/>
    <cellStyle name="Обычный 8 13 3 2 4" xfId="37841"/>
    <cellStyle name="Обычный 8 13 3 2 4 2" xfId="37842"/>
    <cellStyle name="Обычный 8 13 3 2 5" xfId="37843"/>
    <cellStyle name="Обычный 8 13 3 2 6" xfId="37844"/>
    <cellStyle name="Обычный 8 13 3 3" xfId="37845"/>
    <cellStyle name="Обычный 8 13 3 3 2" xfId="37846"/>
    <cellStyle name="Обычный 8 13 3 3 3" xfId="37847"/>
    <cellStyle name="Обычный 8 13 3 4" xfId="37848"/>
    <cellStyle name="Обычный 8 13 3 4 2" xfId="37849"/>
    <cellStyle name="Обычный 8 13 3 4 3" xfId="37850"/>
    <cellStyle name="Обычный 8 13 3 5" xfId="37851"/>
    <cellStyle name="Обычный 8 13 3 5 2" xfId="37852"/>
    <cellStyle name="Обычный 8 13 3 6" xfId="37853"/>
    <cellStyle name="Обычный 8 13 3 7" xfId="37854"/>
    <cellStyle name="Обычный 8 13 4" xfId="37855"/>
    <cellStyle name="Обычный 8 13 4 2" xfId="37856"/>
    <cellStyle name="Обычный 8 13 4 2 2" xfId="37857"/>
    <cellStyle name="Обычный 8 13 4 2 3" xfId="37858"/>
    <cellStyle name="Обычный 8 13 4 3" xfId="37859"/>
    <cellStyle name="Обычный 8 13 4 3 2" xfId="37860"/>
    <cellStyle name="Обычный 8 13 4 3 3" xfId="37861"/>
    <cellStyle name="Обычный 8 13 4 4" xfId="37862"/>
    <cellStyle name="Обычный 8 13 4 4 2" xfId="37863"/>
    <cellStyle name="Обычный 8 13 4 5" xfId="37864"/>
    <cellStyle name="Обычный 8 13 4 6" xfId="37865"/>
    <cellStyle name="Обычный 8 13 5" xfId="37866"/>
    <cellStyle name="Обычный 8 13 5 2" xfId="37867"/>
    <cellStyle name="Обычный 8 13 5 3" xfId="37868"/>
    <cellStyle name="Обычный 8 13 6" xfId="37869"/>
    <cellStyle name="Обычный 8 13 6 2" xfId="37870"/>
    <cellStyle name="Обычный 8 13 6 3" xfId="37871"/>
    <cellStyle name="Обычный 8 13 7" xfId="37872"/>
    <cellStyle name="Обычный 8 13 7 2" xfId="37873"/>
    <cellStyle name="Обычный 8 13 8" xfId="37874"/>
    <cellStyle name="Обычный 8 13 9" xfId="37875"/>
    <cellStyle name="Обычный 8 14" xfId="37876"/>
    <cellStyle name="Обычный 8 14 2" xfId="37877"/>
    <cellStyle name="Обычный 8 14 2 2" xfId="37878"/>
    <cellStyle name="Обычный 8 14 2 2 2" xfId="37879"/>
    <cellStyle name="Обычный 8 14 2 2 2 2" xfId="37880"/>
    <cellStyle name="Обычный 8 14 2 2 2 3" xfId="37881"/>
    <cellStyle name="Обычный 8 14 2 2 3" xfId="37882"/>
    <cellStyle name="Обычный 8 14 2 2 3 2" xfId="37883"/>
    <cellStyle name="Обычный 8 14 2 2 3 3" xfId="37884"/>
    <cellStyle name="Обычный 8 14 2 2 4" xfId="37885"/>
    <cellStyle name="Обычный 8 14 2 2 4 2" xfId="37886"/>
    <cellStyle name="Обычный 8 14 2 2 5" xfId="37887"/>
    <cellStyle name="Обычный 8 14 2 2 6" xfId="37888"/>
    <cellStyle name="Обычный 8 14 2 3" xfId="37889"/>
    <cellStyle name="Обычный 8 14 2 3 2" xfId="37890"/>
    <cellStyle name="Обычный 8 14 2 3 3" xfId="37891"/>
    <cellStyle name="Обычный 8 14 2 4" xfId="37892"/>
    <cellStyle name="Обычный 8 14 2 4 2" xfId="37893"/>
    <cellStyle name="Обычный 8 14 2 4 3" xfId="37894"/>
    <cellStyle name="Обычный 8 14 2 5" xfId="37895"/>
    <cellStyle name="Обычный 8 14 2 5 2" xfId="37896"/>
    <cellStyle name="Обычный 8 14 2 6" xfId="37897"/>
    <cellStyle name="Обычный 8 14 2 7" xfId="37898"/>
    <cellStyle name="Обычный 8 14 3" xfId="37899"/>
    <cellStyle name="Обычный 8 14 3 2" xfId="37900"/>
    <cellStyle name="Обычный 8 14 3 2 2" xfId="37901"/>
    <cellStyle name="Обычный 8 14 3 2 3" xfId="37902"/>
    <cellStyle name="Обычный 8 14 3 3" xfId="37903"/>
    <cellStyle name="Обычный 8 14 3 3 2" xfId="37904"/>
    <cellStyle name="Обычный 8 14 3 3 3" xfId="37905"/>
    <cellStyle name="Обычный 8 14 3 4" xfId="37906"/>
    <cellStyle name="Обычный 8 14 3 4 2" xfId="37907"/>
    <cellStyle name="Обычный 8 14 3 5" xfId="37908"/>
    <cellStyle name="Обычный 8 14 3 6" xfId="37909"/>
    <cellStyle name="Обычный 8 14 4" xfId="37910"/>
    <cellStyle name="Обычный 8 14 4 2" xfId="37911"/>
    <cellStyle name="Обычный 8 14 4 3" xfId="37912"/>
    <cellStyle name="Обычный 8 14 5" xfId="37913"/>
    <cellStyle name="Обычный 8 14 5 2" xfId="37914"/>
    <cellStyle name="Обычный 8 14 5 3" xfId="37915"/>
    <cellStyle name="Обычный 8 14 6" xfId="37916"/>
    <cellStyle name="Обычный 8 14 6 2" xfId="37917"/>
    <cellStyle name="Обычный 8 14 7" xfId="37918"/>
    <cellStyle name="Обычный 8 14 8" xfId="37919"/>
    <cellStyle name="Обычный 8 15" xfId="37920"/>
    <cellStyle name="Обычный 8 15 2" xfId="37921"/>
    <cellStyle name="Обычный 8 15 2 2" xfId="37922"/>
    <cellStyle name="Обычный 8 15 2 2 2" xfId="37923"/>
    <cellStyle name="Обычный 8 15 2 2 3" xfId="37924"/>
    <cellStyle name="Обычный 8 15 2 3" xfId="37925"/>
    <cellStyle name="Обычный 8 15 2 3 2" xfId="37926"/>
    <cellStyle name="Обычный 8 15 2 3 3" xfId="37927"/>
    <cellStyle name="Обычный 8 15 2 4" xfId="37928"/>
    <cellStyle name="Обычный 8 15 2 4 2" xfId="37929"/>
    <cellStyle name="Обычный 8 15 2 5" xfId="37930"/>
    <cellStyle name="Обычный 8 15 2 6" xfId="37931"/>
    <cellStyle name="Обычный 8 15 3" xfId="37932"/>
    <cellStyle name="Обычный 8 15 3 2" xfId="37933"/>
    <cellStyle name="Обычный 8 15 3 3" xfId="37934"/>
    <cellStyle name="Обычный 8 15 4" xfId="37935"/>
    <cellStyle name="Обычный 8 15 4 2" xfId="37936"/>
    <cellStyle name="Обычный 8 15 4 3" xfId="37937"/>
    <cellStyle name="Обычный 8 15 5" xfId="37938"/>
    <cellStyle name="Обычный 8 15 5 2" xfId="37939"/>
    <cellStyle name="Обычный 8 15 6" xfId="37940"/>
    <cellStyle name="Обычный 8 15 7" xfId="37941"/>
    <cellStyle name="Обычный 8 16" xfId="37942"/>
    <cellStyle name="Обычный 8 16 2" xfId="37943"/>
    <cellStyle name="Обычный 8 16 2 2" xfId="37944"/>
    <cellStyle name="Обычный 8 16 2 3" xfId="37945"/>
    <cellStyle name="Обычный 8 16 3" xfId="37946"/>
    <cellStyle name="Обычный 8 16 3 2" xfId="37947"/>
    <cellStyle name="Обычный 8 16 3 3" xfId="37948"/>
    <cellStyle name="Обычный 8 16 4" xfId="37949"/>
    <cellStyle name="Обычный 8 16 4 2" xfId="37950"/>
    <cellStyle name="Обычный 8 16 5" xfId="37951"/>
    <cellStyle name="Обычный 8 16 6" xfId="37952"/>
    <cellStyle name="Обычный 8 17" xfId="37953"/>
    <cellStyle name="Обычный 8 17 2" xfId="37954"/>
    <cellStyle name="Обычный 8 17 3" xfId="37955"/>
    <cellStyle name="Обычный 8 18" xfId="37956"/>
    <cellStyle name="Обычный 8 18 2" xfId="37957"/>
    <cellStyle name="Обычный 8 18 3" xfId="37958"/>
    <cellStyle name="Обычный 8 19" xfId="37959"/>
    <cellStyle name="Обычный 8 19 2" xfId="37960"/>
    <cellStyle name="Обычный 8 2" xfId="37961"/>
    <cellStyle name="Обычный 8 2 10" xfId="37962"/>
    <cellStyle name="Обычный 8 2 10 2" xfId="37963"/>
    <cellStyle name="Обычный 8 2 10 3" xfId="37964"/>
    <cellStyle name="Обычный 8 2 11" xfId="37965"/>
    <cellStyle name="Обычный 8 2 11 2" xfId="37966"/>
    <cellStyle name="Обычный 8 2 11 3" xfId="37967"/>
    <cellStyle name="Обычный 8 2 12" xfId="37968"/>
    <cellStyle name="Обычный 8 2 12 2" xfId="37969"/>
    <cellStyle name="Обычный 8 2 13" xfId="37970"/>
    <cellStyle name="Обычный 8 2 14" xfId="37971"/>
    <cellStyle name="Обычный 8 2 2" xfId="37972"/>
    <cellStyle name="Обычный 8 2 2 10" xfId="37973"/>
    <cellStyle name="Обычный 8 2 2 10 2" xfId="37974"/>
    <cellStyle name="Обычный 8 2 2 10 3" xfId="37975"/>
    <cellStyle name="Обычный 8 2 2 11" xfId="37976"/>
    <cellStyle name="Обычный 8 2 2 11 2" xfId="37977"/>
    <cellStyle name="Обычный 8 2 2 12" xfId="37978"/>
    <cellStyle name="Обычный 8 2 2 13" xfId="37979"/>
    <cellStyle name="Обычный 8 2 2 2" xfId="37980"/>
    <cellStyle name="Обычный 8 2 2 2 10" xfId="37981"/>
    <cellStyle name="Обычный 8 2 2 2 2" xfId="37982"/>
    <cellStyle name="Обычный 8 2 2 2 2 2" xfId="37983"/>
    <cellStyle name="Обычный 8 2 2 2 2 2 2" xfId="37984"/>
    <cellStyle name="Обычный 8 2 2 2 2 2 2 2" xfId="37985"/>
    <cellStyle name="Обычный 8 2 2 2 2 2 2 2 2" xfId="37986"/>
    <cellStyle name="Обычный 8 2 2 2 2 2 2 2 2 2" xfId="37987"/>
    <cellStyle name="Обычный 8 2 2 2 2 2 2 2 2 3" xfId="37988"/>
    <cellStyle name="Обычный 8 2 2 2 2 2 2 2 3" xfId="37989"/>
    <cellStyle name="Обычный 8 2 2 2 2 2 2 2 3 2" xfId="37990"/>
    <cellStyle name="Обычный 8 2 2 2 2 2 2 2 3 3" xfId="37991"/>
    <cellStyle name="Обычный 8 2 2 2 2 2 2 2 4" xfId="37992"/>
    <cellStyle name="Обычный 8 2 2 2 2 2 2 2 4 2" xfId="37993"/>
    <cellStyle name="Обычный 8 2 2 2 2 2 2 2 5" xfId="37994"/>
    <cellStyle name="Обычный 8 2 2 2 2 2 2 2 6" xfId="37995"/>
    <cellStyle name="Обычный 8 2 2 2 2 2 2 3" xfId="37996"/>
    <cellStyle name="Обычный 8 2 2 2 2 2 2 3 2" xfId="37997"/>
    <cellStyle name="Обычный 8 2 2 2 2 2 2 3 3" xfId="37998"/>
    <cellStyle name="Обычный 8 2 2 2 2 2 2 4" xfId="37999"/>
    <cellStyle name="Обычный 8 2 2 2 2 2 2 4 2" xfId="38000"/>
    <cellStyle name="Обычный 8 2 2 2 2 2 2 4 3" xfId="38001"/>
    <cellStyle name="Обычный 8 2 2 2 2 2 2 5" xfId="38002"/>
    <cellStyle name="Обычный 8 2 2 2 2 2 2 5 2" xfId="38003"/>
    <cellStyle name="Обычный 8 2 2 2 2 2 2 6" xfId="38004"/>
    <cellStyle name="Обычный 8 2 2 2 2 2 2 7" xfId="38005"/>
    <cellStyle name="Обычный 8 2 2 2 2 2 3" xfId="38006"/>
    <cellStyle name="Обычный 8 2 2 2 2 2 3 2" xfId="38007"/>
    <cellStyle name="Обычный 8 2 2 2 2 2 3 2 2" xfId="38008"/>
    <cellStyle name="Обычный 8 2 2 2 2 2 3 2 3" xfId="38009"/>
    <cellStyle name="Обычный 8 2 2 2 2 2 3 3" xfId="38010"/>
    <cellStyle name="Обычный 8 2 2 2 2 2 3 3 2" xfId="38011"/>
    <cellStyle name="Обычный 8 2 2 2 2 2 3 3 3" xfId="38012"/>
    <cellStyle name="Обычный 8 2 2 2 2 2 3 4" xfId="38013"/>
    <cellStyle name="Обычный 8 2 2 2 2 2 3 4 2" xfId="38014"/>
    <cellStyle name="Обычный 8 2 2 2 2 2 3 5" xfId="38015"/>
    <cellStyle name="Обычный 8 2 2 2 2 2 3 6" xfId="38016"/>
    <cellStyle name="Обычный 8 2 2 2 2 2 4" xfId="38017"/>
    <cellStyle name="Обычный 8 2 2 2 2 2 4 2" xfId="38018"/>
    <cellStyle name="Обычный 8 2 2 2 2 2 4 3" xfId="38019"/>
    <cellStyle name="Обычный 8 2 2 2 2 2 5" xfId="38020"/>
    <cellStyle name="Обычный 8 2 2 2 2 2 5 2" xfId="38021"/>
    <cellStyle name="Обычный 8 2 2 2 2 2 5 3" xfId="38022"/>
    <cellStyle name="Обычный 8 2 2 2 2 2 6" xfId="38023"/>
    <cellStyle name="Обычный 8 2 2 2 2 2 6 2" xfId="38024"/>
    <cellStyle name="Обычный 8 2 2 2 2 2 7" xfId="38025"/>
    <cellStyle name="Обычный 8 2 2 2 2 2 8" xfId="38026"/>
    <cellStyle name="Обычный 8 2 2 2 2 3" xfId="38027"/>
    <cellStyle name="Обычный 8 2 2 2 2 3 2" xfId="38028"/>
    <cellStyle name="Обычный 8 2 2 2 2 3 2 2" xfId="38029"/>
    <cellStyle name="Обычный 8 2 2 2 2 3 2 2 2" xfId="38030"/>
    <cellStyle name="Обычный 8 2 2 2 2 3 2 2 3" xfId="38031"/>
    <cellStyle name="Обычный 8 2 2 2 2 3 2 3" xfId="38032"/>
    <cellStyle name="Обычный 8 2 2 2 2 3 2 3 2" xfId="38033"/>
    <cellStyle name="Обычный 8 2 2 2 2 3 2 3 3" xfId="38034"/>
    <cellStyle name="Обычный 8 2 2 2 2 3 2 4" xfId="38035"/>
    <cellStyle name="Обычный 8 2 2 2 2 3 2 4 2" xfId="38036"/>
    <cellStyle name="Обычный 8 2 2 2 2 3 2 5" xfId="38037"/>
    <cellStyle name="Обычный 8 2 2 2 2 3 2 6" xfId="38038"/>
    <cellStyle name="Обычный 8 2 2 2 2 3 3" xfId="38039"/>
    <cellStyle name="Обычный 8 2 2 2 2 3 3 2" xfId="38040"/>
    <cellStyle name="Обычный 8 2 2 2 2 3 3 3" xfId="38041"/>
    <cellStyle name="Обычный 8 2 2 2 2 3 4" xfId="38042"/>
    <cellStyle name="Обычный 8 2 2 2 2 3 4 2" xfId="38043"/>
    <cellStyle name="Обычный 8 2 2 2 2 3 4 3" xfId="38044"/>
    <cellStyle name="Обычный 8 2 2 2 2 3 5" xfId="38045"/>
    <cellStyle name="Обычный 8 2 2 2 2 3 5 2" xfId="38046"/>
    <cellStyle name="Обычный 8 2 2 2 2 3 6" xfId="38047"/>
    <cellStyle name="Обычный 8 2 2 2 2 3 7" xfId="38048"/>
    <cellStyle name="Обычный 8 2 2 2 2 4" xfId="38049"/>
    <cellStyle name="Обычный 8 2 2 2 2 4 2" xfId="38050"/>
    <cellStyle name="Обычный 8 2 2 2 2 4 2 2" xfId="38051"/>
    <cellStyle name="Обычный 8 2 2 2 2 4 2 3" xfId="38052"/>
    <cellStyle name="Обычный 8 2 2 2 2 4 3" xfId="38053"/>
    <cellStyle name="Обычный 8 2 2 2 2 4 3 2" xfId="38054"/>
    <cellStyle name="Обычный 8 2 2 2 2 4 3 3" xfId="38055"/>
    <cellStyle name="Обычный 8 2 2 2 2 4 4" xfId="38056"/>
    <cellStyle name="Обычный 8 2 2 2 2 4 4 2" xfId="38057"/>
    <cellStyle name="Обычный 8 2 2 2 2 4 5" xfId="38058"/>
    <cellStyle name="Обычный 8 2 2 2 2 4 6" xfId="38059"/>
    <cellStyle name="Обычный 8 2 2 2 2 5" xfId="38060"/>
    <cellStyle name="Обычный 8 2 2 2 2 5 2" xfId="38061"/>
    <cellStyle name="Обычный 8 2 2 2 2 5 3" xfId="38062"/>
    <cellStyle name="Обычный 8 2 2 2 2 6" xfId="38063"/>
    <cellStyle name="Обычный 8 2 2 2 2 6 2" xfId="38064"/>
    <cellStyle name="Обычный 8 2 2 2 2 6 3" xfId="38065"/>
    <cellStyle name="Обычный 8 2 2 2 2 7" xfId="38066"/>
    <cellStyle name="Обычный 8 2 2 2 2 7 2" xfId="38067"/>
    <cellStyle name="Обычный 8 2 2 2 2 8" xfId="38068"/>
    <cellStyle name="Обычный 8 2 2 2 2 9" xfId="38069"/>
    <cellStyle name="Обычный 8 2 2 2 3" xfId="38070"/>
    <cellStyle name="Обычный 8 2 2 2 3 2" xfId="38071"/>
    <cellStyle name="Обычный 8 2 2 2 3 2 2" xfId="38072"/>
    <cellStyle name="Обычный 8 2 2 2 3 2 2 2" xfId="38073"/>
    <cellStyle name="Обычный 8 2 2 2 3 2 2 2 2" xfId="38074"/>
    <cellStyle name="Обычный 8 2 2 2 3 2 2 2 3" xfId="38075"/>
    <cellStyle name="Обычный 8 2 2 2 3 2 2 3" xfId="38076"/>
    <cellStyle name="Обычный 8 2 2 2 3 2 2 3 2" xfId="38077"/>
    <cellStyle name="Обычный 8 2 2 2 3 2 2 3 3" xfId="38078"/>
    <cellStyle name="Обычный 8 2 2 2 3 2 2 4" xfId="38079"/>
    <cellStyle name="Обычный 8 2 2 2 3 2 2 4 2" xfId="38080"/>
    <cellStyle name="Обычный 8 2 2 2 3 2 2 5" xfId="38081"/>
    <cellStyle name="Обычный 8 2 2 2 3 2 2 6" xfId="38082"/>
    <cellStyle name="Обычный 8 2 2 2 3 2 3" xfId="38083"/>
    <cellStyle name="Обычный 8 2 2 2 3 2 3 2" xfId="38084"/>
    <cellStyle name="Обычный 8 2 2 2 3 2 3 3" xfId="38085"/>
    <cellStyle name="Обычный 8 2 2 2 3 2 4" xfId="38086"/>
    <cellStyle name="Обычный 8 2 2 2 3 2 4 2" xfId="38087"/>
    <cellStyle name="Обычный 8 2 2 2 3 2 4 3" xfId="38088"/>
    <cellStyle name="Обычный 8 2 2 2 3 2 5" xfId="38089"/>
    <cellStyle name="Обычный 8 2 2 2 3 2 5 2" xfId="38090"/>
    <cellStyle name="Обычный 8 2 2 2 3 2 6" xfId="38091"/>
    <cellStyle name="Обычный 8 2 2 2 3 2 7" xfId="38092"/>
    <cellStyle name="Обычный 8 2 2 2 3 3" xfId="38093"/>
    <cellStyle name="Обычный 8 2 2 2 3 3 2" xfId="38094"/>
    <cellStyle name="Обычный 8 2 2 2 3 3 2 2" xfId="38095"/>
    <cellStyle name="Обычный 8 2 2 2 3 3 2 3" xfId="38096"/>
    <cellStyle name="Обычный 8 2 2 2 3 3 3" xfId="38097"/>
    <cellStyle name="Обычный 8 2 2 2 3 3 3 2" xfId="38098"/>
    <cellStyle name="Обычный 8 2 2 2 3 3 3 3" xfId="38099"/>
    <cellStyle name="Обычный 8 2 2 2 3 3 4" xfId="38100"/>
    <cellStyle name="Обычный 8 2 2 2 3 3 4 2" xfId="38101"/>
    <cellStyle name="Обычный 8 2 2 2 3 3 5" xfId="38102"/>
    <cellStyle name="Обычный 8 2 2 2 3 3 6" xfId="38103"/>
    <cellStyle name="Обычный 8 2 2 2 3 4" xfId="38104"/>
    <cellStyle name="Обычный 8 2 2 2 3 4 2" xfId="38105"/>
    <cellStyle name="Обычный 8 2 2 2 3 4 3" xfId="38106"/>
    <cellStyle name="Обычный 8 2 2 2 3 5" xfId="38107"/>
    <cellStyle name="Обычный 8 2 2 2 3 5 2" xfId="38108"/>
    <cellStyle name="Обычный 8 2 2 2 3 5 3" xfId="38109"/>
    <cellStyle name="Обычный 8 2 2 2 3 6" xfId="38110"/>
    <cellStyle name="Обычный 8 2 2 2 3 6 2" xfId="38111"/>
    <cellStyle name="Обычный 8 2 2 2 3 7" xfId="38112"/>
    <cellStyle name="Обычный 8 2 2 2 3 8" xfId="38113"/>
    <cellStyle name="Обычный 8 2 2 2 4" xfId="38114"/>
    <cellStyle name="Обычный 8 2 2 2 4 2" xfId="38115"/>
    <cellStyle name="Обычный 8 2 2 2 4 2 2" xfId="38116"/>
    <cellStyle name="Обычный 8 2 2 2 4 2 2 2" xfId="38117"/>
    <cellStyle name="Обычный 8 2 2 2 4 2 2 3" xfId="38118"/>
    <cellStyle name="Обычный 8 2 2 2 4 2 3" xfId="38119"/>
    <cellStyle name="Обычный 8 2 2 2 4 2 3 2" xfId="38120"/>
    <cellStyle name="Обычный 8 2 2 2 4 2 3 3" xfId="38121"/>
    <cellStyle name="Обычный 8 2 2 2 4 2 4" xfId="38122"/>
    <cellStyle name="Обычный 8 2 2 2 4 2 4 2" xfId="38123"/>
    <cellStyle name="Обычный 8 2 2 2 4 2 5" xfId="38124"/>
    <cellStyle name="Обычный 8 2 2 2 4 2 6" xfId="38125"/>
    <cellStyle name="Обычный 8 2 2 2 4 3" xfId="38126"/>
    <cellStyle name="Обычный 8 2 2 2 4 3 2" xfId="38127"/>
    <cellStyle name="Обычный 8 2 2 2 4 3 3" xfId="38128"/>
    <cellStyle name="Обычный 8 2 2 2 4 4" xfId="38129"/>
    <cellStyle name="Обычный 8 2 2 2 4 4 2" xfId="38130"/>
    <cellStyle name="Обычный 8 2 2 2 4 4 3" xfId="38131"/>
    <cellStyle name="Обычный 8 2 2 2 4 5" xfId="38132"/>
    <cellStyle name="Обычный 8 2 2 2 4 5 2" xfId="38133"/>
    <cellStyle name="Обычный 8 2 2 2 4 6" xfId="38134"/>
    <cellStyle name="Обычный 8 2 2 2 4 7" xfId="38135"/>
    <cellStyle name="Обычный 8 2 2 2 5" xfId="38136"/>
    <cellStyle name="Обычный 8 2 2 2 5 2" xfId="38137"/>
    <cellStyle name="Обычный 8 2 2 2 5 2 2" xfId="38138"/>
    <cellStyle name="Обычный 8 2 2 2 5 2 3" xfId="38139"/>
    <cellStyle name="Обычный 8 2 2 2 5 3" xfId="38140"/>
    <cellStyle name="Обычный 8 2 2 2 5 3 2" xfId="38141"/>
    <cellStyle name="Обычный 8 2 2 2 5 3 3" xfId="38142"/>
    <cellStyle name="Обычный 8 2 2 2 5 4" xfId="38143"/>
    <cellStyle name="Обычный 8 2 2 2 5 4 2" xfId="38144"/>
    <cellStyle name="Обычный 8 2 2 2 5 5" xfId="38145"/>
    <cellStyle name="Обычный 8 2 2 2 5 6" xfId="38146"/>
    <cellStyle name="Обычный 8 2 2 2 6" xfId="38147"/>
    <cellStyle name="Обычный 8 2 2 2 6 2" xfId="38148"/>
    <cellStyle name="Обычный 8 2 2 2 6 3" xfId="38149"/>
    <cellStyle name="Обычный 8 2 2 2 7" xfId="38150"/>
    <cellStyle name="Обычный 8 2 2 2 7 2" xfId="38151"/>
    <cellStyle name="Обычный 8 2 2 2 7 3" xfId="38152"/>
    <cellStyle name="Обычный 8 2 2 2 8" xfId="38153"/>
    <cellStyle name="Обычный 8 2 2 2 8 2" xfId="38154"/>
    <cellStyle name="Обычный 8 2 2 2 9" xfId="38155"/>
    <cellStyle name="Обычный 8 2 2 3" xfId="38156"/>
    <cellStyle name="Обычный 8 2 2 3 10" xfId="38157"/>
    <cellStyle name="Обычный 8 2 2 3 2" xfId="38158"/>
    <cellStyle name="Обычный 8 2 2 3 2 2" xfId="38159"/>
    <cellStyle name="Обычный 8 2 2 3 2 2 2" xfId="38160"/>
    <cellStyle name="Обычный 8 2 2 3 2 2 2 2" xfId="38161"/>
    <cellStyle name="Обычный 8 2 2 3 2 2 2 2 2" xfId="38162"/>
    <cellStyle name="Обычный 8 2 2 3 2 2 2 2 2 2" xfId="38163"/>
    <cellStyle name="Обычный 8 2 2 3 2 2 2 2 2 3" xfId="38164"/>
    <cellStyle name="Обычный 8 2 2 3 2 2 2 2 3" xfId="38165"/>
    <cellStyle name="Обычный 8 2 2 3 2 2 2 2 3 2" xfId="38166"/>
    <cellStyle name="Обычный 8 2 2 3 2 2 2 2 3 3" xfId="38167"/>
    <cellStyle name="Обычный 8 2 2 3 2 2 2 2 4" xfId="38168"/>
    <cellStyle name="Обычный 8 2 2 3 2 2 2 2 4 2" xfId="38169"/>
    <cellStyle name="Обычный 8 2 2 3 2 2 2 2 5" xfId="38170"/>
    <cellStyle name="Обычный 8 2 2 3 2 2 2 2 6" xfId="38171"/>
    <cellStyle name="Обычный 8 2 2 3 2 2 2 3" xfId="38172"/>
    <cellStyle name="Обычный 8 2 2 3 2 2 2 3 2" xfId="38173"/>
    <cellStyle name="Обычный 8 2 2 3 2 2 2 3 3" xfId="38174"/>
    <cellStyle name="Обычный 8 2 2 3 2 2 2 4" xfId="38175"/>
    <cellStyle name="Обычный 8 2 2 3 2 2 2 4 2" xfId="38176"/>
    <cellStyle name="Обычный 8 2 2 3 2 2 2 4 3" xfId="38177"/>
    <cellStyle name="Обычный 8 2 2 3 2 2 2 5" xfId="38178"/>
    <cellStyle name="Обычный 8 2 2 3 2 2 2 5 2" xfId="38179"/>
    <cellStyle name="Обычный 8 2 2 3 2 2 2 6" xfId="38180"/>
    <cellStyle name="Обычный 8 2 2 3 2 2 2 7" xfId="38181"/>
    <cellStyle name="Обычный 8 2 2 3 2 2 3" xfId="38182"/>
    <cellStyle name="Обычный 8 2 2 3 2 2 3 2" xfId="38183"/>
    <cellStyle name="Обычный 8 2 2 3 2 2 3 2 2" xfId="38184"/>
    <cellStyle name="Обычный 8 2 2 3 2 2 3 2 3" xfId="38185"/>
    <cellStyle name="Обычный 8 2 2 3 2 2 3 3" xfId="38186"/>
    <cellStyle name="Обычный 8 2 2 3 2 2 3 3 2" xfId="38187"/>
    <cellStyle name="Обычный 8 2 2 3 2 2 3 3 3" xfId="38188"/>
    <cellStyle name="Обычный 8 2 2 3 2 2 3 4" xfId="38189"/>
    <cellStyle name="Обычный 8 2 2 3 2 2 3 4 2" xfId="38190"/>
    <cellStyle name="Обычный 8 2 2 3 2 2 3 5" xfId="38191"/>
    <cellStyle name="Обычный 8 2 2 3 2 2 3 6" xfId="38192"/>
    <cellStyle name="Обычный 8 2 2 3 2 2 4" xfId="38193"/>
    <cellStyle name="Обычный 8 2 2 3 2 2 4 2" xfId="38194"/>
    <cellStyle name="Обычный 8 2 2 3 2 2 4 3" xfId="38195"/>
    <cellStyle name="Обычный 8 2 2 3 2 2 5" xfId="38196"/>
    <cellStyle name="Обычный 8 2 2 3 2 2 5 2" xfId="38197"/>
    <cellStyle name="Обычный 8 2 2 3 2 2 5 3" xfId="38198"/>
    <cellStyle name="Обычный 8 2 2 3 2 2 6" xfId="38199"/>
    <cellStyle name="Обычный 8 2 2 3 2 2 6 2" xfId="38200"/>
    <cellStyle name="Обычный 8 2 2 3 2 2 7" xfId="38201"/>
    <cellStyle name="Обычный 8 2 2 3 2 2 8" xfId="38202"/>
    <cellStyle name="Обычный 8 2 2 3 2 3" xfId="38203"/>
    <cellStyle name="Обычный 8 2 2 3 2 3 2" xfId="38204"/>
    <cellStyle name="Обычный 8 2 2 3 2 3 2 2" xfId="38205"/>
    <cellStyle name="Обычный 8 2 2 3 2 3 2 2 2" xfId="38206"/>
    <cellStyle name="Обычный 8 2 2 3 2 3 2 2 3" xfId="38207"/>
    <cellStyle name="Обычный 8 2 2 3 2 3 2 3" xfId="38208"/>
    <cellStyle name="Обычный 8 2 2 3 2 3 2 3 2" xfId="38209"/>
    <cellStyle name="Обычный 8 2 2 3 2 3 2 3 3" xfId="38210"/>
    <cellStyle name="Обычный 8 2 2 3 2 3 2 4" xfId="38211"/>
    <cellStyle name="Обычный 8 2 2 3 2 3 2 4 2" xfId="38212"/>
    <cellStyle name="Обычный 8 2 2 3 2 3 2 5" xfId="38213"/>
    <cellStyle name="Обычный 8 2 2 3 2 3 2 6" xfId="38214"/>
    <cellStyle name="Обычный 8 2 2 3 2 3 3" xfId="38215"/>
    <cellStyle name="Обычный 8 2 2 3 2 3 3 2" xfId="38216"/>
    <cellStyle name="Обычный 8 2 2 3 2 3 3 3" xfId="38217"/>
    <cellStyle name="Обычный 8 2 2 3 2 3 4" xfId="38218"/>
    <cellStyle name="Обычный 8 2 2 3 2 3 4 2" xfId="38219"/>
    <cellStyle name="Обычный 8 2 2 3 2 3 4 3" xfId="38220"/>
    <cellStyle name="Обычный 8 2 2 3 2 3 5" xfId="38221"/>
    <cellStyle name="Обычный 8 2 2 3 2 3 5 2" xfId="38222"/>
    <cellStyle name="Обычный 8 2 2 3 2 3 6" xfId="38223"/>
    <cellStyle name="Обычный 8 2 2 3 2 3 7" xfId="38224"/>
    <cellStyle name="Обычный 8 2 2 3 2 4" xfId="38225"/>
    <cellStyle name="Обычный 8 2 2 3 2 4 2" xfId="38226"/>
    <cellStyle name="Обычный 8 2 2 3 2 4 2 2" xfId="38227"/>
    <cellStyle name="Обычный 8 2 2 3 2 4 2 3" xfId="38228"/>
    <cellStyle name="Обычный 8 2 2 3 2 4 3" xfId="38229"/>
    <cellStyle name="Обычный 8 2 2 3 2 4 3 2" xfId="38230"/>
    <cellStyle name="Обычный 8 2 2 3 2 4 3 3" xfId="38231"/>
    <cellStyle name="Обычный 8 2 2 3 2 4 4" xfId="38232"/>
    <cellStyle name="Обычный 8 2 2 3 2 4 4 2" xfId="38233"/>
    <cellStyle name="Обычный 8 2 2 3 2 4 5" xfId="38234"/>
    <cellStyle name="Обычный 8 2 2 3 2 4 6" xfId="38235"/>
    <cellStyle name="Обычный 8 2 2 3 2 5" xfId="38236"/>
    <cellStyle name="Обычный 8 2 2 3 2 5 2" xfId="38237"/>
    <cellStyle name="Обычный 8 2 2 3 2 5 3" xfId="38238"/>
    <cellStyle name="Обычный 8 2 2 3 2 6" xfId="38239"/>
    <cellStyle name="Обычный 8 2 2 3 2 6 2" xfId="38240"/>
    <cellStyle name="Обычный 8 2 2 3 2 6 3" xfId="38241"/>
    <cellStyle name="Обычный 8 2 2 3 2 7" xfId="38242"/>
    <cellStyle name="Обычный 8 2 2 3 2 7 2" xfId="38243"/>
    <cellStyle name="Обычный 8 2 2 3 2 8" xfId="38244"/>
    <cellStyle name="Обычный 8 2 2 3 2 9" xfId="38245"/>
    <cellStyle name="Обычный 8 2 2 3 3" xfId="38246"/>
    <cellStyle name="Обычный 8 2 2 3 3 2" xfId="38247"/>
    <cellStyle name="Обычный 8 2 2 3 3 2 2" xfId="38248"/>
    <cellStyle name="Обычный 8 2 2 3 3 2 2 2" xfId="38249"/>
    <cellStyle name="Обычный 8 2 2 3 3 2 2 2 2" xfId="38250"/>
    <cellStyle name="Обычный 8 2 2 3 3 2 2 2 3" xfId="38251"/>
    <cellStyle name="Обычный 8 2 2 3 3 2 2 3" xfId="38252"/>
    <cellStyle name="Обычный 8 2 2 3 3 2 2 3 2" xfId="38253"/>
    <cellStyle name="Обычный 8 2 2 3 3 2 2 3 3" xfId="38254"/>
    <cellStyle name="Обычный 8 2 2 3 3 2 2 4" xfId="38255"/>
    <cellStyle name="Обычный 8 2 2 3 3 2 2 4 2" xfId="38256"/>
    <cellStyle name="Обычный 8 2 2 3 3 2 2 5" xfId="38257"/>
    <cellStyle name="Обычный 8 2 2 3 3 2 2 6" xfId="38258"/>
    <cellStyle name="Обычный 8 2 2 3 3 2 3" xfId="38259"/>
    <cellStyle name="Обычный 8 2 2 3 3 2 3 2" xfId="38260"/>
    <cellStyle name="Обычный 8 2 2 3 3 2 3 3" xfId="38261"/>
    <cellStyle name="Обычный 8 2 2 3 3 2 4" xfId="38262"/>
    <cellStyle name="Обычный 8 2 2 3 3 2 4 2" xfId="38263"/>
    <cellStyle name="Обычный 8 2 2 3 3 2 4 3" xfId="38264"/>
    <cellStyle name="Обычный 8 2 2 3 3 2 5" xfId="38265"/>
    <cellStyle name="Обычный 8 2 2 3 3 2 5 2" xfId="38266"/>
    <cellStyle name="Обычный 8 2 2 3 3 2 6" xfId="38267"/>
    <cellStyle name="Обычный 8 2 2 3 3 2 7" xfId="38268"/>
    <cellStyle name="Обычный 8 2 2 3 3 3" xfId="38269"/>
    <cellStyle name="Обычный 8 2 2 3 3 3 2" xfId="38270"/>
    <cellStyle name="Обычный 8 2 2 3 3 3 2 2" xfId="38271"/>
    <cellStyle name="Обычный 8 2 2 3 3 3 2 3" xfId="38272"/>
    <cellStyle name="Обычный 8 2 2 3 3 3 3" xfId="38273"/>
    <cellStyle name="Обычный 8 2 2 3 3 3 3 2" xfId="38274"/>
    <cellStyle name="Обычный 8 2 2 3 3 3 3 3" xfId="38275"/>
    <cellStyle name="Обычный 8 2 2 3 3 3 4" xfId="38276"/>
    <cellStyle name="Обычный 8 2 2 3 3 3 4 2" xfId="38277"/>
    <cellStyle name="Обычный 8 2 2 3 3 3 5" xfId="38278"/>
    <cellStyle name="Обычный 8 2 2 3 3 3 6" xfId="38279"/>
    <cellStyle name="Обычный 8 2 2 3 3 4" xfId="38280"/>
    <cellStyle name="Обычный 8 2 2 3 3 4 2" xfId="38281"/>
    <cellStyle name="Обычный 8 2 2 3 3 4 3" xfId="38282"/>
    <cellStyle name="Обычный 8 2 2 3 3 5" xfId="38283"/>
    <cellStyle name="Обычный 8 2 2 3 3 5 2" xfId="38284"/>
    <cellStyle name="Обычный 8 2 2 3 3 5 3" xfId="38285"/>
    <cellStyle name="Обычный 8 2 2 3 3 6" xfId="38286"/>
    <cellStyle name="Обычный 8 2 2 3 3 6 2" xfId="38287"/>
    <cellStyle name="Обычный 8 2 2 3 3 7" xfId="38288"/>
    <cellStyle name="Обычный 8 2 2 3 3 8" xfId="38289"/>
    <cellStyle name="Обычный 8 2 2 3 4" xfId="38290"/>
    <cellStyle name="Обычный 8 2 2 3 4 2" xfId="38291"/>
    <cellStyle name="Обычный 8 2 2 3 4 2 2" xfId="38292"/>
    <cellStyle name="Обычный 8 2 2 3 4 2 2 2" xfId="38293"/>
    <cellStyle name="Обычный 8 2 2 3 4 2 2 3" xfId="38294"/>
    <cellStyle name="Обычный 8 2 2 3 4 2 3" xfId="38295"/>
    <cellStyle name="Обычный 8 2 2 3 4 2 3 2" xfId="38296"/>
    <cellStyle name="Обычный 8 2 2 3 4 2 3 3" xfId="38297"/>
    <cellStyle name="Обычный 8 2 2 3 4 2 4" xfId="38298"/>
    <cellStyle name="Обычный 8 2 2 3 4 2 4 2" xfId="38299"/>
    <cellStyle name="Обычный 8 2 2 3 4 2 5" xfId="38300"/>
    <cellStyle name="Обычный 8 2 2 3 4 2 6" xfId="38301"/>
    <cellStyle name="Обычный 8 2 2 3 4 3" xfId="38302"/>
    <cellStyle name="Обычный 8 2 2 3 4 3 2" xfId="38303"/>
    <cellStyle name="Обычный 8 2 2 3 4 3 3" xfId="38304"/>
    <cellStyle name="Обычный 8 2 2 3 4 4" xfId="38305"/>
    <cellStyle name="Обычный 8 2 2 3 4 4 2" xfId="38306"/>
    <cellStyle name="Обычный 8 2 2 3 4 4 3" xfId="38307"/>
    <cellStyle name="Обычный 8 2 2 3 4 5" xfId="38308"/>
    <cellStyle name="Обычный 8 2 2 3 4 5 2" xfId="38309"/>
    <cellStyle name="Обычный 8 2 2 3 4 6" xfId="38310"/>
    <cellStyle name="Обычный 8 2 2 3 4 7" xfId="38311"/>
    <cellStyle name="Обычный 8 2 2 3 5" xfId="38312"/>
    <cellStyle name="Обычный 8 2 2 3 5 2" xfId="38313"/>
    <cellStyle name="Обычный 8 2 2 3 5 2 2" xfId="38314"/>
    <cellStyle name="Обычный 8 2 2 3 5 2 3" xfId="38315"/>
    <cellStyle name="Обычный 8 2 2 3 5 3" xfId="38316"/>
    <cellStyle name="Обычный 8 2 2 3 5 3 2" xfId="38317"/>
    <cellStyle name="Обычный 8 2 2 3 5 3 3" xfId="38318"/>
    <cellStyle name="Обычный 8 2 2 3 5 4" xfId="38319"/>
    <cellStyle name="Обычный 8 2 2 3 5 4 2" xfId="38320"/>
    <cellStyle name="Обычный 8 2 2 3 5 5" xfId="38321"/>
    <cellStyle name="Обычный 8 2 2 3 5 6" xfId="38322"/>
    <cellStyle name="Обычный 8 2 2 3 6" xfId="38323"/>
    <cellStyle name="Обычный 8 2 2 3 6 2" xfId="38324"/>
    <cellStyle name="Обычный 8 2 2 3 6 3" xfId="38325"/>
    <cellStyle name="Обычный 8 2 2 3 7" xfId="38326"/>
    <cellStyle name="Обычный 8 2 2 3 7 2" xfId="38327"/>
    <cellStyle name="Обычный 8 2 2 3 7 3" xfId="38328"/>
    <cellStyle name="Обычный 8 2 2 3 8" xfId="38329"/>
    <cellStyle name="Обычный 8 2 2 3 8 2" xfId="38330"/>
    <cellStyle name="Обычный 8 2 2 3 9" xfId="38331"/>
    <cellStyle name="Обычный 8 2 2 4" xfId="38332"/>
    <cellStyle name="Обычный 8 2 2 4 10" xfId="38333"/>
    <cellStyle name="Обычный 8 2 2 4 2" xfId="38334"/>
    <cellStyle name="Обычный 8 2 2 4 2 2" xfId="38335"/>
    <cellStyle name="Обычный 8 2 2 4 2 2 2" xfId="38336"/>
    <cellStyle name="Обычный 8 2 2 4 2 2 2 2" xfId="38337"/>
    <cellStyle name="Обычный 8 2 2 4 2 2 2 2 2" xfId="38338"/>
    <cellStyle name="Обычный 8 2 2 4 2 2 2 2 2 2" xfId="38339"/>
    <cellStyle name="Обычный 8 2 2 4 2 2 2 2 2 3" xfId="38340"/>
    <cellStyle name="Обычный 8 2 2 4 2 2 2 2 3" xfId="38341"/>
    <cellStyle name="Обычный 8 2 2 4 2 2 2 2 3 2" xfId="38342"/>
    <cellStyle name="Обычный 8 2 2 4 2 2 2 2 3 3" xfId="38343"/>
    <cellStyle name="Обычный 8 2 2 4 2 2 2 2 4" xfId="38344"/>
    <cellStyle name="Обычный 8 2 2 4 2 2 2 2 4 2" xfId="38345"/>
    <cellStyle name="Обычный 8 2 2 4 2 2 2 2 5" xfId="38346"/>
    <cellStyle name="Обычный 8 2 2 4 2 2 2 2 6" xfId="38347"/>
    <cellStyle name="Обычный 8 2 2 4 2 2 2 3" xfId="38348"/>
    <cellStyle name="Обычный 8 2 2 4 2 2 2 3 2" xfId="38349"/>
    <cellStyle name="Обычный 8 2 2 4 2 2 2 3 3" xfId="38350"/>
    <cellStyle name="Обычный 8 2 2 4 2 2 2 4" xfId="38351"/>
    <cellStyle name="Обычный 8 2 2 4 2 2 2 4 2" xfId="38352"/>
    <cellStyle name="Обычный 8 2 2 4 2 2 2 4 3" xfId="38353"/>
    <cellStyle name="Обычный 8 2 2 4 2 2 2 5" xfId="38354"/>
    <cellStyle name="Обычный 8 2 2 4 2 2 2 5 2" xfId="38355"/>
    <cellStyle name="Обычный 8 2 2 4 2 2 2 6" xfId="38356"/>
    <cellStyle name="Обычный 8 2 2 4 2 2 2 7" xfId="38357"/>
    <cellStyle name="Обычный 8 2 2 4 2 2 3" xfId="38358"/>
    <cellStyle name="Обычный 8 2 2 4 2 2 3 2" xfId="38359"/>
    <cellStyle name="Обычный 8 2 2 4 2 2 3 2 2" xfId="38360"/>
    <cellStyle name="Обычный 8 2 2 4 2 2 3 2 3" xfId="38361"/>
    <cellStyle name="Обычный 8 2 2 4 2 2 3 3" xfId="38362"/>
    <cellStyle name="Обычный 8 2 2 4 2 2 3 3 2" xfId="38363"/>
    <cellStyle name="Обычный 8 2 2 4 2 2 3 3 3" xfId="38364"/>
    <cellStyle name="Обычный 8 2 2 4 2 2 3 4" xfId="38365"/>
    <cellStyle name="Обычный 8 2 2 4 2 2 3 4 2" xfId="38366"/>
    <cellStyle name="Обычный 8 2 2 4 2 2 3 5" xfId="38367"/>
    <cellStyle name="Обычный 8 2 2 4 2 2 3 6" xfId="38368"/>
    <cellStyle name="Обычный 8 2 2 4 2 2 4" xfId="38369"/>
    <cellStyle name="Обычный 8 2 2 4 2 2 4 2" xfId="38370"/>
    <cellStyle name="Обычный 8 2 2 4 2 2 4 3" xfId="38371"/>
    <cellStyle name="Обычный 8 2 2 4 2 2 5" xfId="38372"/>
    <cellStyle name="Обычный 8 2 2 4 2 2 5 2" xfId="38373"/>
    <cellStyle name="Обычный 8 2 2 4 2 2 5 3" xfId="38374"/>
    <cellStyle name="Обычный 8 2 2 4 2 2 6" xfId="38375"/>
    <cellStyle name="Обычный 8 2 2 4 2 2 6 2" xfId="38376"/>
    <cellStyle name="Обычный 8 2 2 4 2 2 7" xfId="38377"/>
    <cellStyle name="Обычный 8 2 2 4 2 2 8" xfId="38378"/>
    <cellStyle name="Обычный 8 2 2 4 2 3" xfId="38379"/>
    <cellStyle name="Обычный 8 2 2 4 2 3 2" xfId="38380"/>
    <cellStyle name="Обычный 8 2 2 4 2 3 2 2" xfId="38381"/>
    <cellStyle name="Обычный 8 2 2 4 2 3 2 2 2" xfId="38382"/>
    <cellStyle name="Обычный 8 2 2 4 2 3 2 2 3" xfId="38383"/>
    <cellStyle name="Обычный 8 2 2 4 2 3 2 3" xfId="38384"/>
    <cellStyle name="Обычный 8 2 2 4 2 3 2 3 2" xfId="38385"/>
    <cellStyle name="Обычный 8 2 2 4 2 3 2 3 3" xfId="38386"/>
    <cellStyle name="Обычный 8 2 2 4 2 3 2 4" xfId="38387"/>
    <cellStyle name="Обычный 8 2 2 4 2 3 2 4 2" xfId="38388"/>
    <cellStyle name="Обычный 8 2 2 4 2 3 2 5" xfId="38389"/>
    <cellStyle name="Обычный 8 2 2 4 2 3 2 6" xfId="38390"/>
    <cellStyle name="Обычный 8 2 2 4 2 3 3" xfId="38391"/>
    <cellStyle name="Обычный 8 2 2 4 2 3 3 2" xfId="38392"/>
    <cellStyle name="Обычный 8 2 2 4 2 3 3 3" xfId="38393"/>
    <cellStyle name="Обычный 8 2 2 4 2 3 4" xfId="38394"/>
    <cellStyle name="Обычный 8 2 2 4 2 3 4 2" xfId="38395"/>
    <cellStyle name="Обычный 8 2 2 4 2 3 4 3" xfId="38396"/>
    <cellStyle name="Обычный 8 2 2 4 2 3 5" xfId="38397"/>
    <cellStyle name="Обычный 8 2 2 4 2 3 5 2" xfId="38398"/>
    <cellStyle name="Обычный 8 2 2 4 2 3 6" xfId="38399"/>
    <cellStyle name="Обычный 8 2 2 4 2 3 7" xfId="38400"/>
    <cellStyle name="Обычный 8 2 2 4 2 4" xfId="38401"/>
    <cellStyle name="Обычный 8 2 2 4 2 4 2" xfId="38402"/>
    <cellStyle name="Обычный 8 2 2 4 2 4 2 2" xfId="38403"/>
    <cellStyle name="Обычный 8 2 2 4 2 4 2 3" xfId="38404"/>
    <cellStyle name="Обычный 8 2 2 4 2 4 3" xfId="38405"/>
    <cellStyle name="Обычный 8 2 2 4 2 4 3 2" xfId="38406"/>
    <cellStyle name="Обычный 8 2 2 4 2 4 3 3" xfId="38407"/>
    <cellStyle name="Обычный 8 2 2 4 2 4 4" xfId="38408"/>
    <cellStyle name="Обычный 8 2 2 4 2 4 4 2" xfId="38409"/>
    <cellStyle name="Обычный 8 2 2 4 2 4 5" xfId="38410"/>
    <cellStyle name="Обычный 8 2 2 4 2 4 6" xfId="38411"/>
    <cellStyle name="Обычный 8 2 2 4 2 5" xfId="38412"/>
    <cellStyle name="Обычный 8 2 2 4 2 5 2" xfId="38413"/>
    <cellStyle name="Обычный 8 2 2 4 2 5 3" xfId="38414"/>
    <cellStyle name="Обычный 8 2 2 4 2 6" xfId="38415"/>
    <cellStyle name="Обычный 8 2 2 4 2 6 2" xfId="38416"/>
    <cellStyle name="Обычный 8 2 2 4 2 6 3" xfId="38417"/>
    <cellStyle name="Обычный 8 2 2 4 2 7" xfId="38418"/>
    <cellStyle name="Обычный 8 2 2 4 2 7 2" xfId="38419"/>
    <cellStyle name="Обычный 8 2 2 4 2 8" xfId="38420"/>
    <cellStyle name="Обычный 8 2 2 4 2 9" xfId="38421"/>
    <cellStyle name="Обычный 8 2 2 4 3" xfId="38422"/>
    <cellStyle name="Обычный 8 2 2 4 3 2" xfId="38423"/>
    <cellStyle name="Обычный 8 2 2 4 3 2 2" xfId="38424"/>
    <cellStyle name="Обычный 8 2 2 4 3 2 2 2" xfId="38425"/>
    <cellStyle name="Обычный 8 2 2 4 3 2 2 2 2" xfId="38426"/>
    <cellStyle name="Обычный 8 2 2 4 3 2 2 2 3" xfId="38427"/>
    <cellStyle name="Обычный 8 2 2 4 3 2 2 3" xfId="38428"/>
    <cellStyle name="Обычный 8 2 2 4 3 2 2 3 2" xfId="38429"/>
    <cellStyle name="Обычный 8 2 2 4 3 2 2 3 3" xfId="38430"/>
    <cellStyle name="Обычный 8 2 2 4 3 2 2 4" xfId="38431"/>
    <cellStyle name="Обычный 8 2 2 4 3 2 2 4 2" xfId="38432"/>
    <cellStyle name="Обычный 8 2 2 4 3 2 2 5" xfId="38433"/>
    <cellStyle name="Обычный 8 2 2 4 3 2 2 6" xfId="38434"/>
    <cellStyle name="Обычный 8 2 2 4 3 2 3" xfId="38435"/>
    <cellStyle name="Обычный 8 2 2 4 3 2 3 2" xfId="38436"/>
    <cellStyle name="Обычный 8 2 2 4 3 2 3 3" xfId="38437"/>
    <cellStyle name="Обычный 8 2 2 4 3 2 4" xfId="38438"/>
    <cellStyle name="Обычный 8 2 2 4 3 2 4 2" xfId="38439"/>
    <cellStyle name="Обычный 8 2 2 4 3 2 4 3" xfId="38440"/>
    <cellStyle name="Обычный 8 2 2 4 3 2 5" xfId="38441"/>
    <cellStyle name="Обычный 8 2 2 4 3 2 5 2" xfId="38442"/>
    <cellStyle name="Обычный 8 2 2 4 3 2 6" xfId="38443"/>
    <cellStyle name="Обычный 8 2 2 4 3 2 7" xfId="38444"/>
    <cellStyle name="Обычный 8 2 2 4 3 3" xfId="38445"/>
    <cellStyle name="Обычный 8 2 2 4 3 3 2" xfId="38446"/>
    <cellStyle name="Обычный 8 2 2 4 3 3 2 2" xfId="38447"/>
    <cellStyle name="Обычный 8 2 2 4 3 3 2 3" xfId="38448"/>
    <cellStyle name="Обычный 8 2 2 4 3 3 3" xfId="38449"/>
    <cellStyle name="Обычный 8 2 2 4 3 3 3 2" xfId="38450"/>
    <cellStyle name="Обычный 8 2 2 4 3 3 3 3" xfId="38451"/>
    <cellStyle name="Обычный 8 2 2 4 3 3 4" xfId="38452"/>
    <cellStyle name="Обычный 8 2 2 4 3 3 4 2" xfId="38453"/>
    <cellStyle name="Обычный 8 2 2 4 3 3 5" xfId="38454"/>
    <cellStyle name="Обычный 8 2 2 4 3 3 6" xfId="38455"/>
    <cellStyle name="Обычный 8 2 2 4 3 4" xfId="38456"/>
    <cellStyle name="Обычный 8 2 2 4 3 4 2" xfId="38457"/>
    <cellStyle name="Обычный 8 2 2 4 3 4 3" xfId="38458"/>
    <cellStyle name="Обычный 8 2 2 4 3 5" xfId="38459"/>
    <cellStyle name="Обычный 8 2 2 4 3 5 2" xfId="38460"/>
    <cellStyle name="Обычный 8 2 2 4 3 5 3" xfId="38461"/>
    <cellStyle name="Обычный 8 2 2 4 3 6" xfId="38462"/>
    <cellStyle name="Обычный 8 2 2 4 3 6 2" xfId="38463"/>
    <cellStyle name="Обычный 8 2 2 4 3 7" xfId="38464"/>
    <cellStyle name="Обычный 8 2 2 4 3 8" xfId="38465"/>
    <cellStyle name="Обычный 8 2 2 4 4" xfId="38466"/>
    <cellStyle name="Обычный 8 2 2 4 4 2" xfId="38467"/>
    <cellStyle name="Обычный 8 2 2 4 4 2 2" xfId="38468"/>
    <cellStyle name="Обычный 8 2 2 4 4 2 2 2" xfId="38469"/>
    <cellStyle name="Обычный 8 2 2 4 4 2 2 3" xfId="38470"/>
    <cellStyle name="Обычный 8 2 2 4 4 2 3" xfId="38471"/>
    <cellStyle name="Обычный 8 2 2 4 4 2 3 2" xfId="38472"/>
    <cellStyle name="Обычный 8 2 2 4 4 2 3 3" xfId="38473"/>
    <cellStyle name="Обычный 8 2 2 4 4 2 4" xfId="38474"/>
    <cellStyle name="Обычный 8 2 2 4 4 2 4 2" xfId="38475"/>
    <cellStyle name="Обычный 8 2 2 4 4 2 5" xfId="38476"/>
    <cellStyle name="Обычный 8 2 2 4 4 2 6" xfId="38477"/>
    <cellStyle name="Обычный 8 2 2 4 4 3" xfId="38478"/>
    <cellStyle name="Обычный 8 2 2 4 4 3 2" xfId="38479"/>
    <cellStyle name="Обычный 8 2 2 4 4 3 3" xfId="38480"/>
    <cellStyle name="Обычный 8 2 2 4 4 4" xfId="38481"/>
    <cellStyle name="Обычный 8 2 2 4 4 4 2" xfId="38482"/>
    <cellStyle name="Обычный 8 2 2 4 4 4 3" xfId="38483"/>
    <cellStyle name="Обычный 8 2 2 4 4 5" xfId="38484"/>
    <cellStyle name="Обычный 8 2 2 4 4 5 2" xfId="38485"/>
    <cellStyle name="Обычный 8 2 2 4 4 6" xfId="38486"/>
    <cellStyle name="Обычный 8 2 2 4 4 7" xfId="38487"/>
    <cellStyle name="Обычный 8 2 2 4 5" xfId="38488"/>
    <cellStyle name="Обычный 8 2 2 4 5 2" xfId="38489"/>
    <cellStyle name="Обычный 8 2 2 4 5 2 2" xfId="38490"/>
    <cellStyle name="Обычный 8 2 2 4 5 2 3" xfId="38491"/>
    <cellStyle name="Обычный 8 2 2 4 5 3" xfId="38492"/>
    <cellStyle name="Обычный 8 2 2 4 5 3 2" xfId="38493"/>
    <cellStyle name="Обычный 8 2 2 4 5 3 3" xfId="38494"/>
    <cellStyle name="Обычный 8 2 2 4 5 4" xfId="38495"/>
    <cellStyle name="Обычный 8 2 2 4 5 4 2" xfId="38496"/>
    <cellStyle name="Обычный 8 2 2 4 5 5" xfId="38497"/>
    <cellStyle name="Обычный 8 2 2 4 5 6" xfId="38498"/>
    <cellStyle name="Обычный 8 2 2 4 6" xfId="38499"/>
    <cellStyle name="Обычный 8 2 2 4 6 2" xfId="38500"/>
    <cellStyle name="Обычный 8 2 2 4 6 3" xfId="38501"/>
    <cellStyle name="Обычный 8 2 2 4 7" xfId="38502"/>
    <cellStyle name="Обычный 8 2 2 4 7 2" xfId="38503"/>
    <cellStyle name="Обычный 8 2 2 4 7 3" xfId="38504"/>
    <cellStyle name="Обычный 8 2 2 4 8" xfId="38505"/>
    <cellStyle name="Обычный 8 2 2 4 8 2" xfId="38506"/>
    <cellStyle name="Обычный 8 2 2 4 9" xfId="38507"/>
    <cellStyle name="Обычный 8 2 2 5" xfId="38508"/>
    <cellStyle name="Обычный 8 2 2 5 2" xfId="38509"/>
    <cellStyle name="Обычный 8 2 2 5 2 2" xfId="38510"/>
    <cellStyle name="Обычный 8 2 2 5 2 2 2" xfId="38511"/>
    <cellStyle name="Обычный 8 2 2 5 2 2 2 2" xfId="38512"/>
    <cellStyle name="Обычный 8 2 2 5 2 2 2 2 2" xfId="38513"/>
    <cellStyle name="Обычный 8 2 2 5 2 2 2 2 3" xfId="38514"/>
    <cellStyle name="Обычный 8 2 2 5 2 2 2 3" xfId="38515"/>
    <cellStyle name="Обычный 8 2 2 5 2 2 2 3 2" xfId="38516"/>
    <cellStyle name="Обычный 8 2 2 5 2 2 2 3 3" xfId="38517"/>
    <cellStyle name="Обычный 8 2 2 5 2 2 2 4" xfId="38518"/>
    <cellStyle name="Обычный 8 2 2 5 2 2 2 4 2" xfId="38519"/>
    <cellStyle name="Обычный 8 2 2 5 2 2 2 5" xfId="38520"/>
    <cellStyle name="Обычный 8 2 2 5 2 2 2 6" xfId="38521"/>
    <cellStyle name="Обычный 8 2 2 5 2 2 3" xfId="38522"/>
    <cellStyle name="Обычный 8 2 2 5 2 2 3 2" xfId="38523"/>
    <cellStyle name="Обычный 8 2 2 5 2 2 3 3" xfId="38524"/>
    <cellStyle name="Обычный 8 2 2 5 2 2 4" xfId="38525"/>
    <cellStyle name="Обычный 8 2 2 5 2 2 4 2" xfId="38526"/>
    <cellStyle name="Обычный 8 2 2 5 2 2 4 3" xfId="38527"/>
    <cellStyle name="Обычный 8 2 2 5 2 2 5" xfId="38528"/>
    <cellStyle name="Обычный 8 2 2 5 2 2 5 2" xfId="38529"/>
    <cellStyle name="Обычный 8 2 2 5 2 2 6" xfId="38530"/>
    <cellStyle name="Обычный 8 2 2 5 2 2 7" xfId="38531"/>
    <cellStyle name="Обычный 8 2 2 5 2 3" xfId="38532"/>
    <cellStyle name="Обычный 8 2 2 5 2 3 2" xfId="38533"/>
    <cellStyle name="Обычный 8 2 2 5 2 3 2 2" xfId="38534"/>
    <cellStyle name="Обычный 8 2 2 5 2 3 2 3" xfId="38535"/>
    <cellStyle name="Обычный 8 2 2 5 2 3 3" xfId="38536"/>
    <cellStyle name="Обычный 8 2 2 5 2 3 3 2" xfId="38537"/>
    <cellStyle name="Обычный 8 2 2 5 2 3 3 3" xfId="38538"/>
    <cellStyle name="Обычный 8 2 2 5 2 3 4" xfId="38539"/>
    <cellStyle name="Обычный 8 2 2 5 2 3 4 2" xfId="38540"/>
    <cellStyle name="Обычный 8 2 2 5 2 3 5" xfId="38541"/>
    <cellStyle name="Обычный 8 2 2 5 2 3 6" xfId="38542"/>
    <cellStyle name="Обычный 8 2 2 5 2 4" xfId="38543"/>
    <cellStyle name="Обычный 8 2 2 5 2 4 2" xfId="38544"/>
    <cellStyle name="Обычный 8 2 2 5 2 4 3" xfId="38545"/>
    <cellStyle name="Обычный 8 2 2 5 2 5" xfId="38546"/>
    <cellStyle name="Обычный 8 2 2 5 2 5 2" xfId="38547"/>
    <cellStyle name="Обычный 8 2 2 5 2 5 3" xfId="38548"/>
    <cellStyle name="Обычный 8 2 2 5 2 6" xfId="38549"/>
    <cellStyle name="Обычный 8 2 2 5 2 6 2" xfId="38550"/>
    <cellStyle name="Обычный 8 2 2 5 2 7" xfId="38551"/>
    <cellStyle name="Обычный 8 2 2 5 2 8" xfId="38552"/>
    <cellStyle name="Обычный 8 2 2 5 3" xfId="38553"/>
    <cellStyle name="Обычный 8 2 2 5 3 2" xfId="38554"/>
    <cellStyle name="Обычный 8 2 2 5 3 2 2" xfId="38555"/>
    <cellStyle name="Обычный 8 2 2 5 3 2 2 2" xfId="38556"/>
    <cellStyle name="Обычный 8 2 2 5 3 2 2 3" xfId="38557"/>
    <cellStyle name="Обычный 8 2 2 5 3 2 3" xfId="38558"/>
    <cellStyle name="Обычный 8 2 2 5 3 2 3 2" xfId="38559"/>
    <cellStyle name="Обычный 8 2 2 5 3 2 3 3" xfId="38560"/>
    <cellStyle name="Обычный 8 2 2 5 3 2 4" xfId="38561"/>
    <cellStyle name="Обычный 8 2 2 5 3 2 4 2" xfId="38562"/>
    <cellStyle name="Обычный 8 2 2 5 3 2 5" xfId="38563"/>
    <cellStyle name="Обычный 8 2 2 5 3 2 6" xfId="38564"/>
    <cellStyle name="Обычный 8 2 2 5 3 3" xfId="38565"/>
    <cellStyle name="Обычный 8 2 2 5 3 3 2" xfId="38566"/>
    <cellStyle name="Обычный 8 2 2 5 3 3 3" xfId="38567"/>
    <cellStyle name="Обычный 8 2 2 5 3 4" xfId="38568"/>
    <cellStyle name="Обычный 8 2 2 5 3 4 2" xfId="38569"/>
    <cellStyle name="Обычный 8 2 2 5 3 4 3" xfId="38570"/>
    <cellStyle name="Обычный 8 2 2 5 3 5" xfId="38571"/>
    <cellStyle name="Обычный 8 2 2 5 3 5 2" xfId="38572"/>
    <cellStyle name="Обычный 8 2 2 5 3 6" xfId="38573"/>
    <cellStyle name="Обычный 8 2 2 5 3 7" xfId="38574"/>
    <cellStyle name="Обычный 8 2 2 5 4" xfId="38575"/>
    <cellStyle name="Обычный 8 2 2 5 4 2" xfId="38576"/>
    <cellStyle name="Обычный 8 2 2 5 4 2 2" xfId="38577"/>
    <cellStyle name="Обычный 8 2 2 5 4 2 3" xfId="38578"/>
    <cellStyle name="Обычный 8 2 2 5 4 3" xfId="38579"/>
    <cellStyle name="Обычный 8 2 2 5 4 3 2" xfId="38580"/>
    <cellStyle name="Обычный 8 2 2 5 4 3 3" xfId="38581"/>
    <cellStyle name="Обычный 8 2 2 5 4 4" xfId="38582"/>
    <cellStyle name="Обычный 8 2 2 5 4 4 2" xfId="38583"/>
    <cellStyle name="Обычный 8 2 2 5 4 5" xfId="38584"/>
    <cellStyle name="Обычный 8 2 2 5 4 6" xfId="38585"/>
    <cellStyle name="Обычный 8 2 2 5 5" xfId="38586"/>
    <cellStyle name="Обычный 8 2 2 5 5 2" xfId="38587"/>
    <cellStyle name="Обычный 8 2 2 5 5 3" xfId="38588"/>
    <cellStyle name="Обычный 8 2 2 5 6" xfId="38589"/>
    <cellStyle name="Обычный 8 2 2 5 6 2" xfId="38590"/>
    <cellStyle name="Обычный 8 2 2 5 6 3" xfId="38591"/>
    <cellStyle name="Обычный 8 2 2 5 7" xfId="38592"/>
    <cellStyle name="Обычный 8 2 2 5 7 2" xfId="38593"/>
    <cellStyle name="Обычный 8 2 2 5 8" xfId="38594"/>
    <cellStyle name="Обычный 8 2 2 5 9" xfId="38595"/>
    <cellStyle name="Обычный 8 2 2 6" xfId="38596"/>
    <cellStyle name="Обычный 8 2 2 6 2" xfId="38597"/>
    <cellStyle name="Обычный 8 2 2 6 2 2" xfId="38598"/>
    <cellStyle name="Обычный 8 2 2 6 2 2 2" xfId="38599"/>
    <cellStyle name="Обычный 8 2 2 6 2 2 2 2" xfId="38600"/>
    <cellStyle name="Обычный 8 2 2 6 2 2 2 3" xfId="38601"/>
    <cellStyle name="Обычный 8 2 2 6 2 2 3" xfId="38602"/>
    <cellStyle name="Обычный 8 2 2 6 2 2 3 2" xfId="38603"/>
    <cellStyle name="Обычный 8 2 2 6 2 2 3 3" xfId="38604"/>
    <cellStyle name="Обычный 8 2 2 6 2 2 4" xfId="38605"/>
    <cellStyle name="Обычный 8 2 2 6 2 2 4 2" xfId="38606"/>
    <cellStyle name="Обычный 8 2 2 6 2 2 5" xfId="38607"/>
    <cellStyle name="Обычный 8 2 2 6 2 2 6" xfId="38608"/>
    <cellStyle name="Обычный 8 2 2 6 2 3" xfId="38609"/>
    <cellStyle name="Обычный 8 2 2 6 2 3 2" xfId="38610"/>
    <cellStyle name="Обычный 8 2 2 6 2 3 3" xfId="38611"/>
    <cellStyle name="Обычный 8 2 2 6 2 4" xfId="38612"/>
    <cellStyle name="Обычный 8 2 2 6 2 4 2" xfId="38613"/>
    <cellStyle name="Обычный 8 2 2 6 2 4 3" xfId="38614"/>
    <cellStyle name="Обычный 8 2 2 6 2 5" xfId="38615"/>
    <cellStyle name="Обычный 8 2 2 6 2 5 2" xfId="38616"/>
    <cellStyle name="Обычный 8 2 2 6 2 6" xfId="38617"/>
    <cellStyle name="Обычный 8 2 2 6 2 7" xfId="38618"/>
    <cellStyle name="Обычный 8 2 2 6 3" xfId="38619"/>
    <cellStyle name="Обычный 8 2 2 6 3 2" xfId="38620"/>
    <cellStyle name="Обычный 8 2 2 6 3 2 2" xfId="38621"/>
    <cellStyle name="Обычный 8 2 2 6 3 2 3" xfId="38622"/>
    <cellStyle name="Обычный 8 2 2 6 3 3" xfId="38623"/>
    <cellStyle name="Обычный 8 2 2 6 3 3 2" xfId="38624"/>
    <cellStyle name="Обычный 8 2 2 6 3 3 3" xfId="38625"/>
    <cellStyle name="Обычный 8 2 2 6 3 4" xfId="38626"/>
    <cellStyle name="Обычный 8 2 2 6 3 4 2" xfId="38627"/>
    <cellStyle name="Обычный 8 2 2 6 3 5" xfId="38628"/>
    <cellStyle name="Обычный 8 2 2 6 3 6" xfId="38629"/>
    <cellStyle name="Обычный 8 2 2 6 4" xfId="38630"/>
    <cellStyle name="Обычный 8 2 2 6 4 2" xfId="38631"/>
    <cellStyle name="Обычный 8 2 2 6 4 3" xfId="38632"/>
    <cellStyle name="Обычный 8 2 2 6 5" xfId="38633"/>
    <cellStyle name="Обычный 8 2 2 6 5 2" xfId="38634"/>
    <cellStyle name="Обычный 8 2 2 6 5 3" xfId="38635"/>
    <cellStyle name="Обычный 8 2 2 6 6" xfId="38636"/>
    <cellStyle name="Обычный 8 2 2 6 6 2" xfId="38637"/>
    <cellStyle name="Обычный 8 2 2 6 7" xfId="38638"/>
    <cellStyle name="Обычный 8 2 2 6 8" xfId="38639"/>
    <cellStyle name="Обычный 8 2 2 7" xfId="38640"/>
    <cellStyle name="Обычный 8 2 2 7 2" xfId="38641"/>
    <cellStyle name="Обычный 8 2 2 7 2 2" xfId="38642"/>
    <cellStyle name="Обычный 8 2 2 7 2 2 2" xfId="38643"/>
    <cellStyle name="Обычный 8 2 2 7 2 2 3" xfId="38644"/>
    <cellStyle name="Обычный 8 2 2 7 2 3" xfId="38645"/>
    <cellStyle name="Обычный 8 2 2 7 2 3 2" xfId="38646"/>
    <cellStyle name="Обычный 8 2 2 7 2 3 3" xfId="38647"/>
    <cellStyle name="Обычный 8 2 2 7 2 4" xfId="38648"/>
    <cellStyle name="Обычный 8 2 2 7 2 4 2" xfId="38649"/>
    <cellStyle name="Обычный 8 2 2 7 2 5" xfId="38650"/>
    <cellStyle name="Обычный 8 2 2 7 2 6" xfId="38651"/>
    <cellStyle name="Обычный 8 2 2 7 3" xfId="38652"/>
    <cellStyle name="Обычный 8 2 2 7 3 2" xfId="38653"/>
    <cellStyle name="Обычный 8 2 2 7 3 3" xfId="38654"/>
    <cellStyle name="Обычный 8 2 2 7 4" xfId="38655"/>
    <cellStyle name="Обычный 8 2 2 7 4 2" xfId="38656"/>
    <cellStyle name="Обычный 8 2 2 7 4 3" xfId="38657"/>
    <cellStyle name="Обычный 8 2 2 7 5" xfId="38658"/>
    <cellStyle name="Обычный 8 2 2 7 5 2" xfId="38659"/>
    <cellStyle name="Обычный 8 2 2 7 6" xfId="38660"/>
    <cellStyle name="Обычный 8 2 2 7 7" xfId="38661"/>
    <cellStyle name="Обычный 8 2 2 8" xfId="38662"/>
    <cellStyle name="Обычный 8 2 2 8 2" xfId="38663"/>
    <cellStyle name="Обычный 8 2 2 8 2 2" xfId="38664"/>
    <cellStyle name="Обычный 8 2 2 8 2 3" xfId="38665"/>
    <cellStyle name="Обычный 8 2 2 8 3" xfId="38666"/>
    <cellStyle name="Обычный 8 2 2 8 3 2" xfId="38667"/>
    <cellStyle name="Обычный 8 2 2 8 3 3" xfId="38668"/>
    <cellStyle name="Обычный 8 2 2 8 4" xfId="38669"/>
    <cellStyle name="Обычный 8 2 2 8 4 2" xfId="38670"/>
    <cellStyle name="Обычный 8 2 2 8 5" xfId="38671"/>
    <cellStyle name="Обычный 8 2 2 8 6" xfId="38672"/>
    <cellStyle name="Обычный 8 2 2 9" xfId="38673"/>
    <cellStyle name="Обычный 8 2 2 9 2" xfId="38674"/>
    <cellStyle name="Обычный 8 2 2 9 3" xfId="38675"/>
    <cellStyle name="Обычный 8 2 3" xfId="38676"/>
    <cellStyle name="Обычный 8 2 3 10" xfId="38677"/>
    <cellStyle name="Обычный 8 2 3 2" xfId="38678"/>
    <cellStyle name="Обычный 8 2 3 2 2" xfId="38679"/>
    <cellStyle name="Обычный 8 2 3 2 2 2" xfId="38680"/>
    <cellStyle name="Обычный 8 2 3 2 2 2 2" xfId="38681"/>
    <cellStyle name="Обычный 8 2 3 2 2 2 2 2" xfId="38682"/>
    <cellStyle name="Обычный 8 2 3 2 2 2 2 2 2" xfId="38683"/>
    <cellStyle name="Обычный 8 2 3 2 2 2 2 2 3" xfId="38684"/>
    <cellStyle name="Обычный 8 2 3 2 2 2 2 3" xfId="38685"/>
    <cellStyle name="Обычный 8 2 3 2 2 2 2 3 2" xfId="38686"/>
    <cellStyle name="Обычный 8 2 3 2 2 2 2 3 3" xfId="38687"/>
    <cellStyle name="Обычный 8 2 3 2 2 2 2 4" xfId="38688"/>
    <cellStyle name="Обычный 8 2 3 2 2 2 2 4 2" xfId="38689"/>
    <cellStyle name="Обычный 8 2 3 2 2 2 2 5" xfId="38690"/>
    <cellStyle name="Обычный 8 2 3 2 2 2 2 6" xfId="38691"/>
    <cellStyle name="Обычный 8 2 3 2 2 2 3" xfId="38692"/>
    <cellStyle name="Обычный 8 2 3 2 2 2 3 2" xfId="38693"/>
    <cellStyle name="Обычный 8 2 3 2 2 2 3 3" xfId="38694"/>
    <cellStyle name="Обычный 8 2 3 2 2 2 4" xfId="38695"/>
    <cellStyle name="Обычный 8 2 3 2 2 2 4 2" xfId="38696"/>
    <cellStyle name="Обычный 8 2 3 2 2 2 4 3" xfId="38697"/>
    <cellStyle name="Обычный 8 2 3 2 2 2 5" xfId="38698"/>
    <cellStyle name="Обычный 8 2 3 2 2 2 5 2" xfId="38699"/>
    <cellStyle name="Обычный 8 2 3 2 2 2 6" xfId="38700"/>
    <cellStyle name="Обычный 8 2 3 2 2 2 7" xfId="38701"/>
    <cellStyle name="Обычный 8 2 3 2 2 3" xfId="38702"/>
    <cellStyle name="Обычный 8 2 3 2 2 3 2" xfId="38703"/>
    <cellStyle name="Обычный 8 2 3 2 2 3 2 2" xfId="38704"/>
    <cellStyle name="Обычный 8 2 3 2 2 3 2 3" xfId="38705"/>
    <cellStyle name="Обычный 8 2 3 2 2 3 3" xfId="38706"/>
    <cellStyle name="Обычный 8 2 3 2 2 3 3 2" xfId="38707"/>
    <cellStyle name="Обычный 8 2 3 2 2 3 3 3" xfId="38708"/>
    <cellStyle name="Обычный 8 2 3 2 2 3 4" xfId="38709"/>
    <cellStyle name="Обычный 8 2 3 2 2 3 4 2" xfId="38710"/>
    <cellStyle name="Обычный 8 2 3 2 2 3 5" xfId="38711"/>
    <cellStyle name="Обычный 8 2 3 2 2 3 6" xfId="38712"/>
    <cellStyle name="Обычный 8 2 3 2 2 4" xfId="38713"/>
    <cellStyle name="Обычный 8 2 3 2 2 4 2" xfId="38714"/>
    <cellStyle name="Обычный 8 2 3 2 2 4 3" xfId="38715"/>
    <cellStyle name="Обычный 8 2 3 2 2 5" xfId="38716"/>
    <cellStyle name="Обычный 8 2 3 2 2 5 2" xfId="38717"/>
    <cellStyle name="Обычный 8 2 3 2 2 5 3" xfId="38718"/>
    <cellStyle name="Обычный 8 2 3 2 2 6" xfId="38719"/>
    <cellStyle name="Обычный 8 2 3 2 2 6 2" xfId="38720"/>
    <cellStyle name="Обычный 8 2 3 2 2 7" xfId="38721"/>
    <cellStyle name="Обычный 8 2 3 2 2 8" xfId="38722"/>
    <cellStyle name="Обычный 8 2 3 2 3" xfId="38723"/>
    <cellStyle name="Обычный 8 2 3 2 3 2" xfId="38724"/>
    <cellStyle name="Обычный 8 2 3 2 3 2 2" xfId="38725"/>
    <cellStyle name="Обычный 8 2 3 2 3 2 2 2" xfId="38726"/>
    <cellStyle name="Обычный 8 2 3 2 3 2 2 3" xfId="38727"/>
    <cellStyle name="Обычный 8 2 3 2 3 2 3" xfId="38728"/>
    <cellStyle name="Обычный 8 2 3 2 3 2 3 2" xfId="38729"/>
    <cellStyle name="Обычный 8 2 3 2 3 2 3 3" xfId="38730"/>
    <cellStyle name="Обычный 8 2 3 2 3 2 4" xfId="38731"/>
    <cellStyle name="Обычный 8 2 3 2 3 2 4 2" xfId="38732"/>
    <cellStyle name="Обычный 8 2 3 2 3 2 5" xfId="38733"/>
    <cellStyle name="Обычный 8 2 3 2 3 2 6" xfId="38734"/>
    <cellStyle name="Обычный 8 2 3 2 3 3" xfId="38735"/>
    <cellStyle name="Обычный 8 2 3 2 3 3 2" xfId="38736"/>
    <cellStyle name="Обычный 8 2 3 2 3 3 3" xfId="38737"/>
    <cellStyle name="Обычный 8 2 3 2 3 4" xfId="38738"/>
    <cellStyle name="Обычный 8 2 3 2 3 4 2" xfId="38739"/>
    <cellStyle name="Обычный 8 2 3 2 3 4 3" xfId="38740"/>
    <cellStyle name="Обычный 8 2 3 2 3 5" xfId="38741"/>
    <cellStyle name="Обычный 8 2 3 2 3 5 2" xfId="38742"/>
    <cellStyle name="Обычный 8 2 3 2 3 6" xfId="38743"/>
    <cellStyle name="Обычный 8 2 3 2 3 7" xfId="38744"/>
    <cellStyle name="Обычный 8 2 3 2 4" xfId="38745"/>
    <cellStyle name="Обычный 8 2 3 2 4 2" xfId="38746"/>
    <cellStyle name="Обычный 8 2 3 2 4 2 2" xfId="38747"/>
    <cellStyle name="Обычный 8 2 3 2 4 2 3" xfId="38748"/>
    <cellStyle name="Обычный 8 2 3 2 4 3" xfId="38749"/>
    <cellStyle name="Обычный 8 2 3 2 4 3 2" xfId="38750"/>
    <cellStyle name="Обычный 8 2 3 2 4 3 3" xfId="38751"/>
    <cellStyle name="Обычный 8 2 3 2 4 4" xfId="38752"/>
    <cellStyle name="Обычный 8 2 3 2 4 4 2" xfId="38753"/>
    <cellStyle name="Обычный 8 2 3 2 4 5" xfId="38754"/>
    <cellStyle name="Обычный 8 2 3 2 4 6" xfId="38755"/>
    <cellStyle name="Обычный 8 2 3 2 5" xfId="38756"/>
    <cellStyle name="Обычный 8 2 3 2 5 2" xfId="38757"/>
    <cellStyle name="Обычный 8 2 3 2 5 3" xfId="38758"/>
    <cellStyle name="Обычный 8 2 3 2 6" xfId="38759"/>
    <cellStyle name="Обычный 8 2 3 2 6 2" xfId="38760"/>
    <cellStyle name="Обычный 8 2 3 2 6 3" xfId="38761"/>
    <cellStyle name="Обычный 8 2 3 2 7" xfId="38762"/>
    <cellStyle name="Обычный 8 2 3 2 7 2" xfId="38763"/>
    <cellStyle name="Обычный 8 2 3 2 8" xfId="38764"/>
    <cellStyle name="Обычный 8 2 3 2 9" xfId="38765"/>
    <cellStyle name="Обычный 8 2 3 3" xfId="38766"/>
    <cellStyle name="Обычный 8 2 3 3 2" xfId="38767"/>
    <cellStyle name="Обычный 8 2 3 3 2 2" xfId="38768"/>
    <cellStyle name="Обычный 8 2 3 3 2 2 2" xfId="38769"/>
    <cellStyle name="Обычный 8 2 3 3 2 2 2 2" xfId="38770"/>
    <cellStyle name="Обычный 8 2 3 3 2 2 2 3" xfId="38771"/>
    <cellStyle name="Обычный 8 2 3 3 2 2 3" xfId="38772"/>
    <cellStyle name="Обычный 8 2 3 3 2 2 3 2" xfId="38773"/>
    <cellStyle name="Обычный 8 2 3 3 2 2 3 3" xfId="38774"/>
    <cellStyle name="Обычный 8 2 3 3 2 2 4" xfId="38775"/>
    <cellStyle name="Обычный 8 2 3 3 2 2 4 2" xfId="38776"/>
    <cellStyle name="Обычный 8 2 3 3 2 2 5" xfId="38777"/>
    <cellStyle name="Обычный 8 2 3 3 2 2 6" xfId="38778"/>
    <cellStyle name="Обычный 8 2 3 3 2 3" xfId="38779"/>
    <cellStyle name="Обычный 8 2 3 3 2 3 2" xfId="38780"/>
    <cellStyle name="Обычный 8 2 3 3 2 3 3" xfId="38781"/>
    <cellStyle name="Обычный 8 2 3 3 2 4" xfId="38782"/>
    <cellStyle name="Обычный 8 2 3 3 2 4 2" xfId="38783"/>
    <cellStyle name="Обычный 8 2 3 3 2 4 3" xfId="38784"/>
    <cellStyle name="Обычный 8 2 3 3 2 5" xfId="38785"/>
    <cellStyle name="Обычный 8 2 3 3 2 5 2" xfId="38786"/>
    <cellStyle name="Обычный 8 2 3 3 2 6" xfId="38787"/>
    <cellStyle name="Обычный 8 2 3 3 2 7" xfId="38788"/>
    <cellStyle name="Обычный 8 2 3 3 3" xfId="38789"/>
    <cellStyle name="Обычный 8 2 3 3 3 2" xfId="38790"/>
    <cellStyle name="Обычный 8 2 3 3 3 2 2" xfId="38791"/>
    <cellStyle name="Обычный 8 2 3 3 3 2 3" xfId="38792"/>
    <cellStyle name="Обычный 8 2 3 3 3 3" xfId="38793"/>
    <cellStyle name="Обычный 8 2 3 3 3 3 2" xfId="38794"/>
    <cellStyle name="Обычный 8 2 3 3 3 3 3" xfId="38795"/>
    <cellStyle name="Обычный 8 2 3 3 3 4" xfId="38796"/>
    <cellStyle name="Обычный 8 2 3 3 3 4 2" xfId="38797"/>
    <cellStyle name="Обычный 8 2 3 3 3 5" xfId="38798"/>
    <cellStyle name="Обычный 8 2 3 3 3 6" xfId="38799"/>
    <cellStyle name="Обычный 8 2 3 3 4" xfId="38800"/>
    <cellStyle name="Обычный 8 2 3 3 4 2" xfId="38801"/>
    <cellStyle name="Обычный 8 2 3 3 4 3" xfId="38802"/>
    <cellStyle name="Обычный 8 2 3 3 5" xfId="38803"/>
    <cellStyle name="Обычный 8 2 3 3 5 2" xfId="38804"/>
    <cellStyle name="Обычный 8 2 3 3 5 3" xfId="38805"/>
    <cellStyle name="Обычный 8 2 3 3 6" xfId="38806"/>
    <cellStyle name="Обычный 8 2 3 3 6 2" xfId="38807"/>
    <cellStyle name="Обычный 8 2 3 3 7" xfId="38808"/>
    <cellStyle name="Обычный 8 2 3 3 8" xfId="38809"/>
    <cellStyle name="Обычный 8 2 3 4" xfId="38810"/>
    <cellStyle name="Обычный 8 2 3 4 2" xfId="38811"/>
    <cellStyle name="Обычный 8 2 3 4 2 2" xfId="38812"/>
    <cellStyle name="Обычный 8 2 3 4 2 2 2" xfId="38813"/>
    <cellStyle name="Обычный 8 2 3 4 2 2 3" xfId="38814"/>
    <cellStyle name="Обычный 8 2 3 4 2 3" xfId="38815"/>
    <cellStyle name="Обычный 8 2 3 4 2 3 2" xfId="38816"/>
    <cellStyle name="Обычный 8 2 3 4 2 3 3" xfId="38817"/>
    <cellStyle name="Обычный 8 2 3 4 2 4" xfId="38818"/>
    <cellStyle name="Обычный 8 2 3 4 2 4 2" xfId="38819"/>
    <cellStyle name="Обычный 8 2 3 4 2 5" xfId="38820"/>
    <cellStyle name="Обычный 8 2 3 4 2 6" xfId="38821"/>
    <cellStyle name="Обычный 8 2 3 4 3" xfId="38822"/>
    <cellStyle name="Обычный 8 2 3 4 3 2" xfId="38823"/>
    <cellStyle name="Обычный 8 2 3 4 3 3" xfId="38824"/>
    <cellStyle name="Обычный 8 2 3 4 4" xfId="38825"/>
    <cellStyle name="Обычный 8 2 3 4 4 2" xfId="38826"/>
    <cellStyle name="Обычный 8 2 3 4 4 3" xfId="38827"/>
    <cellStyle name="Обычный 8 2 3 4 5" xfId="38828"/>
    <cellStyle name="Обычный 8 2 3 4 5 2" xfId="38829"/>
    <cellStyle name="Обычный 8 2 3 4 6" xfId="38830"/>
    <cellStyle name="Обычный 8 2 3 4 7" xfId="38831"/>
    <cellStyle name="Обычный 8 2 3 5" xfId="38832"/>
    <cellStyle name="Обычный 8 2 3 5 2" xfId="38833"/>
    <cellStyle name="Обычный 8 2 3 5 2 2" xfId="38834"/>
    <cellStyle name="Обычный 8 2 3 5 2 3" xfId="38835"/>
    <cellStyle name="Обычный 8 2 3 5 3" xfId="38836"/>
    <cellStyle name="Обычный 8 2 3 5 3 2" xfId="38837"/>
    <cellStyle name="Обычный 8 2 3 5 3 3" xfId="38838"/>
    <cellStyle name="Обычный 8 2 3 5 4" xfId="38839"/>
    <cellStyle name="Обычный 8 2 3 5 4 2" xfId="38840"/>
    <cellStyle name="Обычный 8 2 3 5 5" xfId="38841"/>
    <cellStyle name="Обычный 8 2 3 5 6" xfId="38842"/>
    <cellStyle name="Обычный 8 2 3 6" xfId="38843"/>
    <cellStyle name="Обычный 8 2 3 6 2" xfId="38844"/>
    <cellStyle name="Обычный 8 2 3 6 3" xfId="38845"/>
    <cellStyle name="Обычный 8 2 3 7" xfId="38846"/>
    <cellStyle name="Обычный 8 2 3 7 2" xfId="38847"/>
    <cellStyle name="Обычный 8 2 3 7 3" xfId="38848"/>
    <cellStyle name="Обычный 8 2 3 8" xfId="38849"/>
    <cellStyle name="Обычный 8 2 3 8 2" xfId="38850"/>
    <cellStyle name="Обычный 8 2 3 9" xfId="38851"/>
    <cellStyle name="Обычный 8 2 4" xfId="38852"/>
    <cellStyle name="Обычный 8 2 4 10" xfId="38853"/>
    <cellStyle name="Обычный 8 2 4 2" xfId="38854"/>
    <cellStyle name="Обычный 8 2 4 2 2" xfId="38855"/>
    <cellStyle name="Обычный 8 2 4 2 2 2" xfId="38856"/>
    <cellStyle name="Обычный 8 2 4 2 2 2 2" xfId="38857"/>
    <cellStyle name="Обычный 8 2 4 2 2 2 2 2" xfId="38858"/>
    <cellStyle name="Обычный 8 2 4 2 2 2 2 2 2" xfId="38859"/>
    <cellStyle name="Обычный 8 2 4 2 2 2 2 2 3" xfId="38860"/>
    <cellStyle name="Обычный 8 2 4 2 2 2 2 3" xfId="38861"/>
    <cellStyle name="Обычный 8 2 4 2 2 2 2 3 2" xfId="38862"/>
    <cellStyle name="Обычный 8 2 4 2 2 2 2 3 3" xfId="38863"/>
    <cellStyle name="Обычный 8 2 4 2 2 2 2 4" xfId="38864"/>
    <cellStyle name="Обычный 8 2 4 2 2 2 2 4 2" xfId="38865"/>
    <cellStyle name="Обычный 8 2 4 2 2 2 2 5" xfId="38866"/>
    <cellStyle name="Обычный 8 2 4 2 2 2 2 6" xfId="38867"/>
    <cellStyle name="Обычный 8 2 4 2 2 2 3" xfId="38868"/>
    <cellStyle name="Обычный 8 2 4 2 2 2 3 2" xfId="38869"/>
    <cellStyle name="Обычный 8 2 4 2 2 2 3 3" xfId="38870"/>
    <cellStyle name="Обычный 8 2 4 2 2 2 4" xfId="38871"/>
    <cellStyle name="Обычный 8 2 4 2 2 2 4 2" xfId="38872"/>
    <cellStyle name="Обычный 8 2 4 2 2 2 4 3" xfId="38873"/>
    <cellStyle name="Обычный 8 2 4 2 2 2 5" xfId="38874"/>
    <cellStyle name="Обычный 8 2 4 2 2 2 5 2" xfId="38875"/>
    <cellStyle name="Обычный 8 2 4 2 2 2 6" xfId="38876"/>
    <cellStyle name="Обычный 8 2 4 2 2 2 7" xfId="38877"/>
    <cellStyle name="Обычный 8 2 4 2 2 3" xfId="38878"/>
    <cellStyle name="Обычный 8 2 4 2 2 3 2" xfId="38879"/>
    <cellStyle name="Обычный 8 2 4 2 2 3 2 2" xfId="38880"/>
    <cellStyle name="Обычный 8 2 4 2 2 3 2 3" xfId="38881"/>
    <cellStyle name="Обычный 8 2 4 2 2 3 3" xfId="38882"/>
    <cellStyle name="Обычный 8 2 4 2 2 3 3 2" xfId="38883"/>
    <cellStyle name="Обычный 8 2 4 2 2 3 3 3" xfId="38884"/>
    <cellStyle name="Обычный 8 2 4 2 2 3 4" xfId="38885"/>
    <cellStyle name="Обычный 8 2 4 2 2 3 4 2" xfId="38886"/>
    <cellStyle name="Обычный 8 2 4 2 2 3 5" xfId="38887"/>
    <cellStyle name="Обычный 8 2 4 2 2 3 6" xfId="38888"/>
    <cellStyle name="Обычный 8 2 4 2 2 4" xfId="38889"/>
    <cellStyle name="Обычный 8 2 4 2 2 4 2" xfId="38890"/>
    <cellStyle name="Обычный 8 2 4 2 2 4 3" xfId="38891"/>
    <cellStyle name="Обычный 8 2 4 2 2 5" xfId="38892"/>
    <cellStyle name="Обычный 8 2 4 2 2 5 2" xfId="38893"/>
    <cellStyle name="Обычный 8 2 4 2 2 5 3" xfId="38894"/>
    <cellStyle name="Обычный 8 2 4 2 2 6" xfId="38895"/>
    <cellStyle name="Обычный 8 2 4 2 2 6 2" xfId="38896"/>
    <cellStyle name="Обычный 8 2 4 2 2 7" xfId="38897"/>
    <cellStyle name="Обычный 8 2 4 2 2 8" xfId="38898"/>
    <cellStyle name="Обычный 8 2 4 2 3" xfId="38899"/>
    <cellStyle name="Обычный 8 2 4 2 3 2" xfId="38900"/>
    <cellStyle name="Обычный 8 2 4 2 3 2 2" xfId="38901"/>
    <cellStyle name="Обычный 8 2 4 2 3 2 2 2" xfId="38902"/>
    <cellStyle name="Обычный 8 2 4 2 3 2 2 3" xfId="38903"/>
    <cellStyle name="Обычный 8 2 4 2 3 2 3" xfId="38904"/>
    <cellStyle name="Обычный 8 2 4 2 3 2 3 2" xfId="38905"/>
    <cellStyle name="Обычный 8 2 4 2 3 2 3 3" xfId="38906"/>
    <cellStyle name="Обычный 8 2 4 2 3 2 4" xfId="38907"/>
    <cellStyle name="Обычный 8 2 4 2 3 2 4 2" xfId="38908"/>
    <cellStyle name="Обычный 8 2 4 2 3 2 5" xfId="38909"/>
    <cellStyle name="Обычный 8 2 4 2 3 2 6" xfId="38910"/>
    <cellStyle name="Обычный 8 2 4 2 3 3" xfId="38911"/>
    <cellStyle name="Обычный 8 2 4 2 3 3 2" xfId="38912"/>
    <cellStyle name="Обычный 8 2 4 2 3 3 3" xfId="38913"/>
    <cellStyle name="Обычный 8 2 4 2 3 4" xfId="38914"/>
    <cellStyle name="Обычный 8 2 4 2 3 4 2" xfId="38915"/>
    <cellStyle name="Обычный 8 2 4 2 3 4 3" xfId="38916"/>
    <cellStyle name="Обычный 8 2 4 2 3 5" xfId="38917"/>
    <cellStyle name="Обычный 8 2 4 2 3 5 2" xfId="38918"/>
    <cellStyle name="Обычный 8 2 4 2 3 6" xfId="38919"/>
    <cellStyle name="Обычный 8 2 4 2 3 7" xfId="38920"/>
    <cellStyle name="Обычный 8 2 4 2 4" xfId="38921"/>
    <cellStyle name="Обычный 8 2 4 2 4 2" xfId="38922"/>
    <cellStyle name="Обычный 8 2 4 2 4 2 2" xfId="38923"/>
    <cellStyle name="Обычный 8 2 4 2 4 2 3" xfId="38924"/>
    <cellStyle name="Обычный 8 2 4 2 4 3" xfId="38925"/>
    <cellStyle name="Обычный 8 2 4 2 4 3 2" xfId="38926"/>
    <cellStyle name="Обычный 8 2 4 2 4 3 3" xfId="38927"/>
    <cellStyle name="Обычный 8 2 4 2 4 4" xfId="38928"/>
    <cellStyle name="Обычный 8 2 4 2 4 4 2" xfId="38929"/>
    <cellStyle name="Обычный 8 2 4 2 4 5" xfId="38930"/>
    <cellStyle name="Обычный 8 2 4 2 4 6" xfId="38931"/>
    <cellStyle name="Обычный 8 2 4 2 5" xfId="38932"/>
    <cellStyle name="Обычный 8 2 4 2 5 2" xfId="38933"/>
    <cellStyle name="Обычный 8 2 4 2 5 3" xfId="38934"/>
    <cellStyle name="Обычный 8 2 4 2 6" xfId="38935"/>
    <cellStyle name="Обычный 8 2 4 2 6 2" xfId="38936"/>
    <cellStyle name="Обычный 8 2 4 2 6 3" xfId="38937"/>
    <cellStyle name="Обычный 8 2 4 2 7" xfId="38938"/>
    <cellStyle name="Обычный 8 2 4 2 7 2" xfId="38939"/>
    <cellStyle name="Обычный 8 2 4 2 8" xfId="38940"/>
    <cellStyle name="Обычный 8 2 4 2 9" xfId="38941"/>
    <cellStyle name="Обычный 8 2 4 3" xfId="38942"/>
    <cellStyle name="Обычный 8 2 4 3 2" xfId="38943"/>
    <cellStyle name="Обычный 8 2 4 3 2 2" xfId="38944"/>
    <cellStyle name="Обычный 8 2 4 3 2 2 2" xfId="38945"/>
    <cellStyle name="Обычный 8 2 4 3 2 2 2 2" xfId="38946"/>
    <cellStyle name="Обычный 8 2 4 3 2 2 2 3" xfId="38947"/>
    <cellStyle name="Обычный 8 2 4 3 2 2 3" xfId="38948"/>
    <cellStyle name="Обычный 8 2 4 3 2 2 3 2" xfId="38949"/>
    <cellStyle name="Обычный 8 2 4 3 2 2 3 3" xfId="38950"/>
    <cellStyle name="Обычный 8 2 4 3 2 2 4" xfId="38951"/>
    <cellStyle name="Обычный 8 2 4 3 2 2 4 2" xfId="38952"/>
    <cellStyle name="Обычный 8 2 4 3 2 2 5" xfId="38953"/>
    <cellStyle name="Обычный 8 2 4 3 2 2 6" xfId="38954"/>
    <cellStyle name="Обычный 8 2 4 3 2 3" xfId="38955"/>
    <cellStyle name="Обычный 8 2 4 3 2 3 2" xfId="38956"/>
    <cellStyle name="Обычный 8 2 4 3 2 3 3" xfId="38957"/>
    <cellStyle name="Обычный 8 2 4 3 2 4" xfId="38958"/>
    <cellStyle name="Обычный 8 2 4 3 2 4 2" xfId="38959"/>
    <cellStyle name="Обычный 8 2 4 3 2 4 3" xfId="38960"/>
    <cellStyle name="Обычный 8 2 4 3 2 5" xfId="38961"/>
    <cellStyle name="Обычный 8 2 4 3 2 5 2" xfId="38962"/>
    <cellStyle name="Обычный 8 2 4 3 2 6" xfId="38963"/>
    <cellStyle name="Обычный 8 2 4 3 2 7" xfId="38964"/>
    <cellStyle name="Обычный 8 2 4 3 3" xfId="38965"/>
    <cellStyle name="Обычный 8 2 4 3 3 2" xfId="38966"/>
    <cellStyle name="Обычный 8 2 4 3 3 2 2" xfId="38967"/>
    <cellStyle name="Обычный 8 2 4 3 3 2 3" xfId="38968"/>
    <cellStyle name="Обычный 8 2 4 3 3 3" xfId="38969"/>
    <cellStyle name="Обычный 8 2 4 3 3 3 2" xfId="38970"/>
    <cellStyle name="Обычный 8 2 4 3 3 3 3" xfId="38971"/>
    <cellStyle name="Обычный 8 2 4 3 3 4" xfId="38972"/>
    <cellStyle name="Обычный 8 2 4 3 3 4 2" xfId="38973"/>
    <cellStyle name="Обычный 8 2 4 3 3 5" xfId="38974"/>
    <cellStyle name="Обычный 8 2 4 3 3 6" xfId="38975"/>
    <cellStyle name="Обычный 8 2 4 3 4" xfId="38976"/>
    <cellStyle name="Обычный 8 2 4 3 4 2" xfId="38977"/>
    <cellStyle name="Обычный 8 2 4 3 4 3" xfId="38978"/>
    <cellStyle name="Обычный 8 2 4 3 5" xfId="38979"/>
    <cellStyle name="Обычный 8 2 4 3 5 2" xfId="38980"/>
    <cellStyle name="Обычный 8 2 4 3 5 3" xfId="38981"/>
    <cellStyle name="Обычный 8 2 4 3 6" xfId="38982"/>
    <cellStyle name="Обычный 8 2 4 3 6 2" xfId="38983"/>
    <cellStyle name="Обычный 8 2 4 3 7" xfId="38984"/>
    <cellStyle name="Обычный 8 2 4 3 8" xfId="38985"/>
    <cellStyle name="Обычный 8 2 4 4" xfId="38986"/>
    <cellStyle name="Обычный 8 2 4 4 2" xfId="38987"/>
    <cellStyle name="Обычный 8 2 4 4 2 2" xfId="38988"/>
    <cellStyle name="Обычный 8 2 4 4 2 2 2" xfId="38989"/>
    <cellStyle name="Обычный 8 2 4 4 2 2 3" xfId="38990"/>
    <cellStyle name="Обычный 8 2 4 4 2 3" xfId="38991"/>
    <cellStyle name="Обычный 8 2 4 4 2 3 2" xfId="38992"/>
    <cellStyle name="Обычный 8 2 4 4 2 3 3" xfId="38993"/>
    <cellStyle name="Обычный 8 2 4 4 2 4" xfId="38994"/>
    <cellStyle name="Обычный 8 2 4 4 2 4 2" xfId="38995"/>
    <cellStyle name="Обычный 8 2 4 4 2 5" xfId="38996"/>
    <cellStyle name="Обычный 8 2 4 4 2 6" xfId="38997"/>
    <cellStyle name="Обычный 8 2 4 4 3" xfId="38998"/>
    <cellStyle name="Обычный 8 2 4 4 3 2" xfId="38999"/>
    <cellStyle name="Обычный 8 2 4 4 3 3" xfId="39000"/>
    <cellStyle name="Обычный 8 2 4 4 4" xfId="39001"/>
    <cellStyle name="Обычный 8 2 4 4 4 2" xfId="39002"/>
    <cellStyle name="Обычный 8 2 4 4 4 3" xfId="39003"/>
    <cellStyle name="Обычный 8 2 4 4 5" xfId="39004"/>
    <cellStyle name="Обычный 8 2 4 4 5 2" xfId="39005"/>
    <cellStyle name="Обычный 8 2 4 4 6" xfId="39006"/>
    <cellStyle name="Обычный 8 2 4 4 7" xfId="39007"/>
    <cellStyle name="Обычный 8 2 4 5" xfId="39008"/>
    <cellStyle name="Обычный 8 2 4 5 2" xfId="39009"/>
    <cellStyle name="Обычный 8 2 4 5 2 2" xfId="39010"/>
    <cellStyle name="Обычный 8 2 4 5 2 3" xfId="39011"/>
    <cellStyle name="Обычный 8 2 4 5 3" xfId="39012"/>
    <cellStyle name="Обычный 8 2 4 5 3 2" xfId="39013"/>
    <cellStyle name="Обычный 8 2 4 5 3 3" xfId="39014"/>
    <cellStyle name="Обычный 8 2 4 5 4" xfId="39015"/>
    <cellStyle name="Обычный 8 2 4 5 4 2" xfId="39016"/>
    <cellStyle name="Обычный 8 2 4 5 5" xfId="39017"/>
    <cellStyle name="Обычный 8 2 4 5 6" xfId="39018"/>
    <cellStyle name="Обычный 8 2 4 6" xfId="39019"/>
    <cellStyle name="Обычный 8 2 4 6 2" xfId="39020"/>
    <cellStyle name="Обычный 8 2 4 6 3" xfId="39021"/>
    <cellStyle name="Обычный 8 2 4 7" xfId="39022"/>
    <cellStyle name="Обычный 8 2 4 7 2" xfId="39023"/>
    <cellStyle name="Обычный 8 2 4 7 3" xfId="39024"/>
    <cellStyle name="Обычный 8 2 4 8" xfId="39025"/>
    <cellStyle name="Обычный 8 2 4 8 2" xfId="39026"/>
    <cellStyle name="Обычный 8 2 4 9" xfId="39027"/>
    <cellStyle name="Обычный 8 2 5" xfId="39028"/>
    <cellStyle name="Обычный 8 2 5 10" xfId="39029"/>
    <cellStyle name="Обычный 8 2 5 2" xfId="39030"/>
    <cellStyle name="Обычный 8 2 5 2 2" xfId="39031"/>
    <cellStyle name="Обычный 8 2 5 2 2 2" xfId="39032"/>
    <cellStyle name="Обычный 8 2 5 2 2 2 2" xfId="39033"/>
    <cellStyle name="Обычный 8 2 5 2 2 2 2 2" xfId="39034"/>
    <cellStyle name="Обычный 8 2 5 2 2 2 2 2 2" xfId="39035"/>
    <cellStyle name="Обычный 8 2 5 2 2 2 2 2 3" xfId="39036"/>
    <cellStyle name="Обычный 8 2 5 2 2 2 2 3" xfId="39037"/>
    <cellStyle name="Обычный 8 2 5 2 2 2 2 3 2" xfId="39038"/>
    <cellStyle name="Обычный 8 2 5 2 2 2 2 3 3" xfId="39039"/>
    <cellStyle name="Обычный 8 2 5 2 2 2 2 4" xfId="39040"/>
    <cellStyle name="Обычный 8 2 5 2 2 2 2 4 2" xfId="39041"/>
    <cellStyle name="Обычный 8 2 5 2 2 2 2 5" xfId="39042"/>
    <cellStyle name="Обычный 8 2 5 2 2 2 2 6" xfId="39043"/>
    <cellStyle name="Обычный 8 2 5 2 2 2 3" xfId="39044"/>
    <cellStyle name="Обычный 8 2 5 2 2 2 3 2" xfId="39045"/>
    <cellStyle name="Обычный 8 2 5 2 2 2 3 3" xfId="39046"/>
    <cellStyle name="Обычный 8 2 5 2 2 2 4" xfId="39047"/>
    <cellStyle name="Обычный 8 2 5 2 2 2 4 2" xfId="39048"/>
    <cellStyle name="Обычный 8 2 5 2 2 2 4 3" xfId="39049"/>
    <cellStyle name="Обычный 8 2 5 2 2 2 5" xfId="39050"/>
    <cellStyle name="Обычный 8 2 5 2 2 2 5 2" xfId="39051"/>
    <cellStyle name="Обычный 8 2 5 2 2 2 6" xfId="39052"/>
    <cellStyle name="Обычный 8 2 5 2 2 2 7" xfId="39053"/>
    <cellStyle name="Обычный 8 2 5 2 2 3" xfId="39054"/>
    <cellStyle name="Обычный 8 2 5 2 2 3 2" xfId="39055"/>
    <cellStyle name="Обычный 8 2 5 2 2 3 2 2" xfId="39056"/>
    <cellStyle name="Обычный 8 2 5 2 2 3 2 3" xfId="39057"/>
    <cellStyle name="Обычный 8 2 5 2 2 3 3" xfId="39058"/>
    <cellStyle name="Обычный 8 2 5 2 2 3 3 2" xfId="39059"/>
    <cellStyle name="Обычный 8 2 5 2 2 3 3 3" xfId="39060"/>
    <cellStyle name="Обычный 8 2 5 2 2 3 4" xfId="39061"/>
    <cellStyle name="Обычный 8 2 5 2 2 3 4 2" xfId="39062"/>
    <cellStyle name="Обычный 8 2 5 2 2 3 5" xfId="39063"/>
    <cellStyle name="Обычный 8 2 5 2 2 3 6" xfId="39064"/>
    <cellStyle name="Обычный 8 2 5 2 2 4" xfId="39065"/>
    <cellStyle name="Обычный 8 2 5 2 2 4 2" xfId="39066"/>
    <cellStyle name="Обычный 8 2 5 2 2 4 3" xfId="39067"/>
    <cellStyle name="Обычный 8 2 5 2 2 5" xfId="39068"/>
    <cellStyle name="Обычный 8 2 5 2 2 5 2" xfId="39069"/>
    <cellStyle name="Обычный 8 2 5 2 2 5 3" xfId="39070"/>
    <cellStyle name="Обычный 8 2 5 2 2 6" xfId="39071"/>
    <cellStyle name="Обычный 8 2 5 2 2 6 2" xfId="39072"/>
    <cellStyle name="Обычный 8 2 5 2 2 7" xfId="39073"/>
    <cellStyle name="Обычный 8 2 5 2 2 8" xfId="39074"/>
    <cellStyle name="Обычный 8 2 5 2 3" xfId="39075"/>
    <cellStyle name="Обычный 8 2 5 2 3 2" xfId="39076"/>
    <cellStyle name="Обычный 8 2 5 2 3 2 2" xfId="39077"/>
    <cellStyle name="Обычный 8 2 5 2 3 2 2 2" xfId="39078"/>
    <cellStyle name="Обычный 8 2 5 2 3 2 2 3" xfId="39079"/>
    <cellStyle name="Обычный 8 2 5 2 3 2 3" xfId="39080"/>
    <cellStyle name="Обычный 8 2 5 2 3 2 3 2" xfId="39081"/>
    <cellStyle name="Обычный 8 2 5 2 3 2 3 3" xfId="39082"/>
    <cellStyle name="Обычный 8 2 5 2 3 2 4" xfId="39083"/>
    <cellStyle name="Обычный 8 2 5 2 3 2 4 2" xfId="39084"/>
    <cellStyle name="Обычный 8 2 5 2 3 2 5" xfId="39085"/>
    <cellStyle name="Обычный 8 2 5 2 3 2 6" xfId="39086"/>
    <cellStyle name="Обычный 8 2 5 2 3 3" xfId="39087"/>
    <cellStyle name="Обычный 8 2 5 2 3 3 2" xfId="39088"/>
    <cellStyle name="Обычный 8 2 5 2 3 3 3" xfId="39089"/>
    <cellStyle name="Обычный 8 2 5 2 3 4" xfId="39090"/>
    <cellStyle name="Обычный 8 2 5 2 3 4 2" xfId="39091"/>
    <cellStyle name="Обычный 8 2 5 2 3 4 3" xfId="39092"/>
    <cellStyle name="Обычный 8 2 5 2 3 5" xfId="39093"/>
    <cellStyle name="Обычный 8 2 5 2 3 5 2" xfId="39094"/>
    <cellStyle name="Обычный 8 2 5 2 3 6" xfId="39095"/>
    <cellStyle name="Обычный 8 2 5 2 3 7" xfId="39096"/>
    <cellStyle name="Обычный 8 2 5 2 4" xfId="39097"/>
    <cellStyle name="Обычный 8 2 5 2 4 2" xfId="39098"/>
    <cellStyle name="Обычный 8 2 5 2 4 2 2" xfId="39099"/>
    <cellStyle name="Обычный 8 2 5 2 4 2 3" xfId="39100"/>
    <cellStyle name="Обычный 8 2 5 2 4 3" xfId="39101"/>
    <cellStyle name="Обычный 8 2 5 2 4 3 2" xfId="39102"/>
    <cellStyle name="Обычный 8 2 5 2 4 3 3" xfId="39103"/>
    <cellStyle name="Обычный 8 2 5 2 4 4" xfId="39104"/>
    <cellStyle name="Обычный 8 2 5 2 4 4 2" xfId="39105"/>
    <cellStyle name="Обычный 8 2 5 2 4 5" xfId="39106"/>
    <cellStyle name="Обычный 8 2 5 2 4 6" xfId="39107"/>
    <cellStyle name="Обычный 8 2 5 2 5" xfId="39108"/>
    <cellStyle name="Обычный 8 2 5 2 5 2" xfId="39109"/>
    <cellStyle name="Обычный 8 2 5 2 5 3" xfId="39110"/>
    <cellStyle name="Обычный 8 2 5 2 6" xfId="39111"/>
    <cellStyle name="Обычный 8 2 5 2 6 2" xfId="39112"/>
    <cellStyle name="Обычный 8 2 5 2 6 3" xfId="39113"/>
    <cellStyle name="Обычный 8 2 5 2 7" xfId="39114"/>
    <cellStyle name="Обычный 8 2 5 2 7 2" xfId="39115"/>
    <cellStyle name="Обычный 8 2 5 2 8" xfId="39116"/>
    <cellStyle name="Обычный 8 2 5 2 9" xfId="39117"/>
    <cellStyle name="Обычный 8 2 5 3" xfId="39118"/>
    <cellStyle name="Обычный 8 2 5 3 2" xfId="39119"/>
    <cellStyle name="Обычный 8 2 5 3 2 2" xfId="39120"/>
    <cellStyle name="Обычный 8 2 5 3 2 2 2" xfId="39121"/>
    <cellStyle name="Обычный 8 2 5 3 2 2 2 2" xfId="39122"/>
    <cellStyle name="Обычный 8 2 5 3 2 2 2 3" xfId="39123"/>
    <cellStyle name="Обычный 8 2 5 3 2 2 3" xfId="39124"/>
    <cellStyle name="Обычный 8 2 5 3 2 2 3 2" xfId="39125"/>
    <cellStyle name="Обычный 8 2 5 3 2 2 3 3" xfId="39126"/>
    <cellStyle name="Обычный 8 2 5 3 2 2 4" xfId="39127"/>
    <cellStyle name="Обычный 8 2 5 3 2 2 4 2" xfId="39128"/>
    <cellStyle name="Обычный 8 2 5 3 2 2 5" xfId="39129"/>
    <cellStyle name="Обычный 8 2 5 3 2 2 6" xfId="39130"/>
    <cellStyle name="Обычный 8 2 5 3 2 3" xfId="39131"/>
    <cellStyle name="Обычный 8 2 5 3 2 3 2" xfId="39132"/>
    <cellStyle name="Обычный 8 2 5 3 2 3 3" xfId="39133"/>
    <cellStyle name="Обычный 8 2 5 3 2 4" xfId="39134"/>
    <cellStyle name="Обычный 8 2 5 3 2 4 2" xfId="39135"/>
    <cellStyle name="Обычный 8 2 5 3 2 4 3" xfId="39136"/>
    <cellStyle name="Обычный 8 2 5 3 2 5" xfId="39137"/>
    <cellStyle name="Обычный 8 2 5 3 2 5 2" xfId="39138"/>
    <cellStyle name="Обычный 8 2 5 3 2 6" xfId="39139"/>
    <cellStyle name="Обычный 8 2 5 3 2 7" xfId="39140"/>
    <cellStyle name="Обычный 8 2 5 3 3" xfId="39141"/>
    <cellStyle name="Обычный 8 2 5 3 3 2" xfId="39142"/>
    <cellStyle name="Обычный 8 2 5 3 3 2 2" xfId="39143"/>
    <cellStyle name="Обычный 8 2 5 3 3 2 3" xfId="39144"/>
    <cellStyle name="Обычный 8 2 5 3 3 3" xfId="39145"/>
    <cellStyle name="Обычный 8 2 5 3 3 3 2" xfId="39146"/>
    <cellStyle name="Обычный 8 2 5 3 3 3 3" xfId="39147"/>
    <cellStyle name="Обычный 8 2 5 3 3 4" xfId="39148"/>
    <cellStyle name="Обычный 8 2 5 3 3 4 2" xfId="39149"/>
    <cellStyle name="Обычный 8 2 5 3 3 5" xfId="39150"/>
    <cellStyle name="Обычный 8 2 5 3 3 6" xfId="39151"/>
    <cellStyle name="Обычный 8 2 5 3 4" xfId="39152"/>
    <cellStyle name="Обычный 8 2 5 3 4 2" xfId="39153"/>
    <cellStyle name="Обычный 8 2 5 3 4 3" xfId="39154"/>
    <cellStyle name="Обычный 8 2 5 3 5" xfId="39155"/>
    <cellStyle name="Обычный 8 2 5 3 5 2" xfId="39156"/>
    <cellStyle name="Обычный 8 2 5 3 5 3" xfId="39157"/>
    <cellStyle name="Обычный 8 2 5 3 6" xfId="39158"/>
    <cellStyle name="Обычный 8 2 5 3 6 2" xfId="39159"/>
    <cellStyle name="Обычный 8 2 5 3 7" xfId="39160"/>
    <cellStyle name="Обычный 8 2 5 3 8" xfId="39161"/>
    <cellStyle name="Обычный 8 2 5 4" xfId="39162"/>
    <cellStyle name="Обычный 8 2 5 4 2" xfId="39163"/>
    <cellStyle name="Обычный 8 2 5 4 2 2" xfId="39164"/>
    <cellStyle name="Обычный 8 2 5 4 2 2 2" xfId="39165"/>
    <cellStyle name="Обычный 8 2 5 4 2 2 3" xfId="39166"/>
    <cellStyle name="Обычный 8 2 5 4 2 3" xfId="39167"/>
    <cellStyle name="Обычный 8 2 5 4 2 3 2" xfId="39168"/>
    <cellStyle name="Обычный 8 2 5 4 2 3 3" xfId="39169"/>
    <cellStyle name="Обычный 8 2 5 4 2 4" xfId="39170"/>
    <cellStyle name="Обычный 8 2 5 4 2 4 2" xfId="39171"/>
    <cellStyle name="Обычный 8 2 5 4 2 5" xfId="39172"/>
    <cellStyle name="Обычный 8 2 5 4 2 6" xfId="39173"/>
    <cellStyle name="Обычный 8 2 5 4 3" xfId="39174"/>
    <cellStyle name="Обычный 8 2 5 4 3 2" xfId="39175"/>
    <cellStyle name="Обычный 8 2 5 4 3 3" xfId="39176"/>
    <cellStyle name="Обычный 8 2 5 4 4" xfId="39177"/>
    <cellStyle name="Обычный 8 2 5 4 4 2" xfId="39178"/>
    <cellStyle name="Обычный 8 2 5 4 4 3" xfId="39179"/>
    <cellStyle name="Обычный 8 2 5 4 5" xfId="39180"/>
    <cellStyle name="Обычный 8 2 5 4 5 2" xfId="39181"/>
    <cellStyle name="Обычный 8 2 5 4 6" xfId="39182"/>
    <cellStyle name="Обычный 8 2 5 4 7" xfId="39183"/>
    <cellStyle name="Обычный 8 2 5 5" xfId="39184"/>
    <cellStyle name="Обычный 8 2 5 5 2" xfId="39185"/>
    <cellStyle name="Обычный 8 2 5 5 2 2" xfId="39186"/>
    <cellStyle name="Обычный 8 2 5 5 2 3" xfId="39187"/>
    <cellStyle name="Обычный 8 2 5 5 3" xfId="39188"/>
    <cellStyle name="Обычный 8 2 5 5 3 2" xfId="39189"/>
    <cellStyle name="Обычный 8 2 5 5 3 3" xfId="39190"/>
    <cellStyle name="Обычный 8 2 5 5 4" xfId="39191"/>
    <cellStyle name="Обычный 8 2 5 5 4 2" xfId="39192"/>
    <cellStyle name="Обычный 8 2 5 5 5" xfId="39193"/>
    <cellStyle name="Обычный 8 2 5 5 6" xfId="39194"/>
    <cellStyle name="Обычный 8 2 5 6" xfId="39195"/>
    <cellStyle name="Обычный 8 2 5 6 2" xfId="39196"/>
    <cellStyle name="Обычный 8 2 5 6 3" xfId="39197"/>
    <cellStyle name="Обычный 8 2 5 7" xfId="39198"/>
    <cellStyle name="Обычный 8 2 5 7 2" xfId="39199"/>
    <cellStyle name="Обычный 8 2 5 7 3" xfId="39200"/>
    <cellStyle name="Обычный 8 2 5 8" xfId="39201"/>
    <cellStyle name="Обычный 8 2 5 8 2" xfId="39202"/>
    <cellStyle name="Обычный 8 2 5 9" xfId="39203"/>
    <cellStyle name="Обычный 8 2 6" xfId="39204"/>
    <cellStyle name="Обычный 8 2 6 2" xfId="39205"/>
    <cellStyle name="Обычный 8 2 6 2 2" xfId="39206"/>
    <cellStyle name="Обычный 8 2 6 2 2 2" xfId="39207"/>
    <cellStyle name="Обычный 8 2 6 2 2 2 2" xfId="39208"/>
    <cellStyle name="Обычный 8 2 6 2 2 2 2 2" xfId="39209"/>
    <cellStyle name="Обычный 8 2 6 2 2 2 2 3" xfId="39210"/>
    <cellStyle name="Обычный 8 2 6 2 2 2 3" xfId="39211"/>
    <cellStyle name="Обычный 8 2 6 2 2 2 3 2" xfId="39212"/>
    <cellStyle name="Обычный 8 2 6 2 2 2 3 3" xfId="39213"/>
    <cellStyle name="Обычный 8 2 6 2 2 2 4" xfId="39214"/>
    <cellStyle name="Обычный 8 2 6 2 2 2 4 2" xfId="39215"/>
    <cellStyle name="Обычный 8 2 6 2 2 2 5" xfId="39216"/>
    <cellStyle name="Обычный 8 2 6 2 2 2 6" xfId="39217"/>
    <cellStyle name="Обычный 8 2 6 2 2 3" xfId="39218"/>
    <cellStyle name="Обычный 8 2 6 2 2 3 2" xfId="39219"/>
    <cellStyle name="Обычный 8 2 6 2 2 3 3" xfId="39220"/>
    <cellStyle name="Обычный 8 2 6 2 2 4" xfId="39221"/>
    <cellStyle name="Обычный 8 2 6 2 2 4 2" xfId="39222"/>
    <cellStyle name="Обычный 8 2 6 2 2 4 3" xfId="39223"/>
    <cellStyle name="Обычный 8 2 6 2 2 5" xfId="39224"/>
    <cellStyle name="Обычный 8 2 6 2 2 5 2" xfId="39225"/>
    <cellStyle name="Обычный 8 2 6 2 2 6" xfId="39226"/>
    <cellStyle name="Обычный 8 2 6 2 2 7" xfId="39227"/>
    <cellStyle name="Обычный 8 2 6 2 3" xfId="39228"/>
    <cellStyle name="Обычный 8 2 6 2 3 2" xfId="39229"/>
    <cellStyle name="Обычный 8 2 6 2 3 2 2" xfId="39230"/>
    <cellStyle name="Обычный 8 2 6 2 3 2 3" xfId="39231"/>
    <cellStyle name="Обычный 8 2 6 2 3 3" xfId="39232"/>
    <cellStyle name="Обычный 8 2 6 2 3 3 2" xfId="39233"/>
    <cellStyle name="Обычный 8 2 6 2 3 3 3" xfId="39234"/>
    <cellStyle name="Обычный 8 2 6 2 3 4" xfId="39235"/>
    <cellStyle name="Обычный 8 2 6 2 3 4 2" xfId="39236"/>
    <cellStyle name="Обычный 8 2 6 2 3 5" xfId="39237"/>
    <cellStyle name="Обычный 8 2 6 2 3 6" xfId="39238"/>
    <cellStyle name="Обычный 8 2 6 2 4" xfId="39239"/>
    <cellStyle name="Обычный 8 2 6 2 4 2" xfId="39240"/>
    <cellStyle name="Обычный 8 2 6 2 4 3" xfId="39241"/>
    <cellStyle name="Обычный 8 2 6 2 5" xfId="39242"/>
    <cellStyle name="Обычный 8 2 6 2 5 2" xfId="39243"/>
    <cellStyle name="Обычный 8 2 6 2 5 3" xfId="39244"/>
    <cellStyle name="Обычный 8 2 6 2 6" xfId="39245"/>
    <cellStyle name="Обычный 8 2 6 2 6 2" xfId="39246"/>
    <cellStyle name="Обычный 8 2 6 2 7" xfId="39247"/>
    <cellStyle name="Обычный 8 2 6 2 8" xfId="39248"/>
    <cellStyle name="Обычный 8 2 6 3" xfId="39249"/>
    <cellStyle name="Обычный 8 2 6 3 2" xfId="39250"/>
    <cellStyle name="Обычный 8 2 6 3 2 2" xfId="39251"/>
    <cellStyle name="Обычный 8 2 6 3 2 2 2" xfId="39252"/>
    <cellStyle name="Обычный 8 2 6 3 2 2 3" xfId="39253"/>
    <cellStyle name="Обычный 8 2 6 3 2 3" xfId="39254"/>
    <cellStyle name="Обычный 8 2 6 3 2 3 2" xfId="39255"/>
    <cellStyle name="Обычный 8 2 6 3 2 3 3" xfId="39256"/>
    <cellStyle name="Обычный 8 2 6 3 2 4" xfId="39257"/>
    <cellStyle name="Обычный 8 2 6 3 2 4 2" xfId="39258"/>
    <cellStyle name="Обычный 8 2 6 3 2 5" xfId="39259"/>
    <cellStyle name="Обычный 8 2 6 3 2 6" xfId="39260"/>
    <cellStyle name="Обычный 8 2 6 3 3" xfId="39261"/>
    <cellStyle name="Обычный 8 2 6 3 3 2" xfId="39262"/>
    <cellStyle name="Обычный 8 2 6 3 3 3" xfId="39263"/>
    <cellStyle name="Обычный 8 2 6 3 4" xfId="39264"/>
    <cellStyle name="Обычный 8 2 6 3 4 2" xfId="39265"/>
    <cellStyle name="Обычный 8 2 6 3 4 3" xfId="39266"/>
    <cellStyle name="Обычный 8 2 6 3 5" xfId="39267"/>
    <cellStyle name="Обычный 8 2 6 3 5 2" xfId="39268"/>
    <cellStyle name="Обычный 8 2 6 3 6" xfId="39269"/>
    <cellStyle name="Обычный 8 2 6 3 7" xfId="39270"/>
    <cellStyle name="Обычный 8 2 6 4" xfId="39271"/>
    <cellStyle name="Обычный 8 2 6 4 2" xfId="39272"/>
    <cellStyle name="Обычный 8 2 6 4 2 2" xfId="39273"/>
    <cellStyle name="Обычный 8 2 6 4 2 3" xfId="39274"/>
    <cellStyle name="Обычный 8 2 6 4 3" xfId="39275"/>
    <cellStyle name="Обычный 8 2 6 4 3 2" xfId="39276"/>
    <cellStyle name="Обычный 8 2 6 4 3 3" xfId="39277"/>
    <cellStyle name="Обычный 8 2 6 4 4" xfId="39278"/>
    <cellStyle name="Обычный 8 2 6 4 4 2" xfId="39279"/>
    <cellStyle name="Обычный 8 2 6 4 5" xfId="39280"/>
    <cellStyle name="Обычный 8 2 6 4 6" xfId="39281"/>
    <cellStyle name="Обычный 8 2 6 5" xfId="39282"/>
    <cellStyle name="Обычный 8 2 6 5 2" xfId="39283"/>
    <cellStyle name="Обычный 8 2 6 5 3" xfId="39284"/>
    <cellStyle name="Обычный 8 2 6 6" xfId="39285"/>
    <cellStyle name="Обычный 8 2 6 6 2" xfId="39286"/>
    <cellStyle name="Обычный 8 2 6 6 3" xfId="39287"/>
    <cellStyle name="Обычный 8 2 6 7" xfId="39288"/>
    <cellStyle name="Обычный 8 2 6 7 2" xfId="39289"/>
    <cellStyle name="Обычный 8 2 6 8" xfId="39290"/>
    <cellStyle name="Обычный 8 2 6 9" xfId="39291"/>
    <cellStyle name="Обычный 8 2 7" xfId="39292"/>
    <cellStyle name="Обычный 8 2 7 2" xfId="39293"/>
    <cellStyle name="Обычный 8 2 7 2 2" xfId="39294"/>
    <cellStyle name="Обычный 8 2 7 2 2 2" xfId="39295"/>
    <cellStyle name="Обычный 8 2 7 2 2 2 2" xfId="39296"/>
    <cellStyle name="Обычный 8 2 7 2 2 2 3" xfId="39297"/>
    <cellStyle name="Обычный 8 2 7 2 2 3" xfId="39298"/>
    <cellStyle name="Обычный 8 2 7 2 2 3 2" xfId="39299"/>
    <cellStyle name="Обычный 8 2 7 2 2 3 3" xfId="39300"/>
    <cellStyle name="Обычный 8 2 7 2 2 4" xfId="39301"/>
    <cellStyle name="Обычный 8 2 7 2 2 4 2" xfId="39302"/>
    <cellStyle name="Обычный 8 2 7 2 2 5" xfId="39303"/>
    <cellStyle name="Обычный 8 2 7 2 2 6" xfId="39304"/>
    <cellStyle name="Обычный 8 2 7 2 3" xfId="39305"/>
    <cellStyle name="Обычный 8 2 7 2 3 2" xfId="39306"/>
    <cellStyle name="Обычный 8 2 7 2 3 3" xfId="39307"/>
    <cellStyle name="Обычный 8 2 7 2 4" xfId="39308"/>
    <cellStyle name="Обычный 8 2 7 2 4 2" xfId="39309"/>
    <cellStyle name="Обычный 8 2 7 2 4 3" xfId="39310"/>
    <cellStyle name="Обычный 8 2 7 2 5" xfId="39311"/>
    <cellStyle name="Обычный 8 2 7 2 5 2" xfId="39312"/>
    <cellStyle name="Обычный 8 2 7 2 6" xfId="39313"/>
    <cellStyle name="Обычный 8 2 7 2 7" xfId="39314"/>
    <cellStyle name="Обычный 8 2 7 3" xfId="39315"/>
    <cellStyle name="Обычный 8 2 7 3 2" xfId="39316"/>
    <cellStyle name="Обычный 8 2 7 3 2 2" xfId="39317"/>
    <cellStyle name="Обычный 8 2 7 3 2 3" xfId="39318"/>
    <cellStyle name="Обычный 8 2 7 3 3" xfId="39319"/>
    <cellStyle name="Обычный 8 2 7 3 3 2" xfId="39320"/>
    <cellStyle name="Обычный 8 2 7 3 3 3" xfId="39321"/>
    <cellStyle name="Обычный 8 2 7 3 4" xfId="39322"/>
    <cellStyle name="Обычный 8 2 7 3 4 2" xfId="39323"/>
    <cellStyle name="Обычный 8 2 7 3 5" xfId="39324"/>
    <cellStyle name="Обычный 8 2 7 3 6" xfId="39325"/>
    <cellStyle name="Обычный 8 2 7 4" xfId="39326"/>
    <cellStyle name="Обычный 8 2 7 4 2" xfId="39327"/>
    <cellStyle name="Обычный 8 2 7 4 3" xfId="39328"/>
    <cellStyle name="Обычный 8 2 7 5" xfId="39329"/>
    <cellStyle name="Обычный 8 2 7 5 2" xfId="39330"/>
    <cellStyle name="Обычный 8 2 7 5 3" xfId="39331"/>
    <cellStyle name="Обычный 8 2 7 6" xfId="39332"/>
    <cellStyle name="Обычный 8 2 7 6 2" xfId="39333"/>
    <cellStyle name="Обычный 8 2 7 7" xfId="39334"/>
    <cellStyle name="Обычный 8 2 7 8" xfId="39335"/>
    <cellStyle name="Обычный 8 2 8" xfId="39336"/>
    <cellStyle name="Обычный 8 2 8 2" xfId="39337"/>
    <cellStyle name="Обычный 8 2 8 2 2" xfId="39338"/>
    <cellStyle name="Обычный 8 2 8 2 2 2" xfId="39339"/>
    <cellStyle name="Обычный 8 2 8 2 2 3" xfId="39340"/>
    <cellStyle name="Обычный 8 2 8 2 3" xfId="39341"/>
    <cellStyle name="Обычный 8 2 8 2 3 2" xfId="39342"/>
    <cellStyle name="Обычный 8 2 8 2 3 3" xfId="39343"/>
    <cellStyle name="Обычный 8 2 8 2 4" xfId="39344"/>
    <cellStyle name="Обычный 8 2 8 2 4 2" xfId="39345"/>
    <cellStyle name="Обычный 8 2 8 2 5" xfId="39346"/>
    <cellStyle name="Обычный 8 2 8 2 6" xfId="39347"/>
    <cellStyle name="Обычный 8 2 8 3" xfId="39348"/>
    <cellStyle name="Обычный 8 2 8 3 2" xfId="39349"/>
    <cellStyle name="Обычный 8 2 8 3 3" xfId="39350"/>
    <cellStyle name="Обычный 8 2 8 4" xfId="39351"/>
    <cellStyle name="Обычный 8 2 8 4 2" xfId="39352"/>
    <cellStyle name="Обычный 8 2 8 4 3" xfId="39353"/>
    <cellStyle name="Обычный 8 2 8 5" xfId="39354"/>
    <cellStyle name="Обычный 8 2 8 5 2" xfId="39355"/>
    <cellStyle name="Обычный 8 2 8 6" xfId="39356"/>
    <cellStyle name="Обычный 8 2 8 7" xfId="39357"/>
    <cellStyle name="Обычный 8 2 9" xfId="39358"/>
    <cellStyle name="Обычный 8 2 9 2" xfId="39359"/>
    <cellStyle name="Обычный 8 2 9 2 2" xfId="39360"/>
    <cellStyle name="Обычный 8 2 9 2 3" xfId="39361"/>
    <cellStyle name="Обычный 8 2 9 3" xfId="39362"/>
    <cellStyle name="Обычный 8 2 9 3 2" xfId="39363"/>
    <cellStyle name="Обычный 8 2 9 3 3" xfId="39364"/>
    <cellStyle name="Обычный 8 2 9 4" xfId="39365"/>
    <cellStyle name="Обычный 8 2 9 4 2" xfId="39366"/>
    <cellStyle name="Обычный 8 2 9 5" xfId="39367"/>
    <cellStyle name="Обычный 8 2 9 6" xfId="39368"/>
    <cellStyle name="Обычный 8 20" xfId="39369"/>
    <cellStyle name="Обычный 8 21" xfId="39370"/>
    <cellStyle name="Обычный 8 22" xfId="39371"/>
    <cellStyle name="Обычный 8 3" xfId="39372"/>
    <cellStyle name="Обычный 8 3 10" xfId="39373"/>
    <cellStyle name="Обычный 8 3 10 2" xfId="39374"/>
    <cellStyle name="Обычный 8 3 10 3" xfId="39375"/>
    <cellStyle name="Обычный 8 3 11" xfId="39376"/>
    <cellStyle name="Обычный 8 3 11 2" xfId="39377"/>
    <cellStyle name="Обычный 8 3 11 3" xfId="39378"/>
    <cellStyle name="Обычный 8 3 12" xfId="39379"/>
    <cellStyle name="Обычный 8 3 12 2" xfId="39380"/>
    <cellStyle name="Обычный 8 3 13" xfId="39381"/>
    <cellStyle name="Обычный 8 3 14" xfId="39382"/>
    <cellStyle name="Обычный 8 3 2" xfId="39383"/>
    <cellStyle name="Обычный 8 3 2 10" xfId="39384"/>
    <cellStyle name="Обычный 8 3 2 10 2" xfId="39385"/>
    <cellStyle name="Обычный 8 3 2 10 3" xfId="39386"/>
    <cellStyle name="Обычный 8 3 2 11" xfId="39387"/>
    <cellStyle name="Обычный 8 3 2 11 2" xfId="39388"/>
    <cellStyle name="Обычный 8 3 2 12" xfId="39389"/>
    <cellStyle name="Обычный 8 3 2 13" xfId="39390"/>
    <cellStyle name="Обычный 8 3 2 2" xfId="39391"/>
    <cellStyle name="Обычный 8 3 2 2 10" xfId="39392"/>
    <cellStyle name="Обычный 8 3 2 2 2" xfId="39393"/>
    <cellStyle name="Обычный 8 3 2 2 2 2" xfId="39394"/>
    <cellStyle name="Обычный 8 3 2 2 2 2 2" xfId="39395"/>
    <cellStyle name="Обычный 8 3 2 2 2 2 2 2" xfId="39396"/>
    <cellStyle name="Обычный 8 3 2 2 2 2 2 2 2" xfId="39397"/>
    <cellStyle name="Обычный 8 3 2 2 2 2 2 2 2 2" xfId="39398"/>
    <cellStyle name="Обычный 8 3 2 2 2 2 2 2 2 3" xfId="39399"/>
    <cellStyle name="Обычный 8 3 2 2 2 2 2 2 3" xfId="39400"/>
    <cellStyle name="Обычный 8 3 2 2 2 2 2 2 3 2" xfId="39401"/>
    <cellStyle name="Обычный 8 3 2 2 2 2 2 2 3 3" xfId="39402"/>
    <cellStyle name="Обычный 8 3 2 2 2 2 2 2 4" xfId="39403"/>
    <cellStyle name="Обычный 8 3 2 2 2 2 2 2 4 2" xfId="39404"/>
    <cellStyle name="Обычный 8 3 2 2 2 2 2 2 5" xfId="39405"/>
    <cellStyle name="Обычный 8 3 2 2 2 2 2 2 6" xfId="39406"/>
    <cellStyle name="Обычный 8 3 2 2 2 2 2 3" xfId="39407"/>
    <cellStyle name="Обычный 8 3 2 2 2 2 2 3 2" xfId="39408"/>
    <cellStyle name="Обычный 8 3 2 2 2 2 2 3 3" xfId="39409"/>
    <cellStyle name="Обычный 8 3 2 2 2 2 2 4" xfId="39410"/>
    <cellStyle name="Обычный 8 3 2 2 2 2 2 4 2" xfId="39411"/>
    <cellStyle name="Обычный 8 3 2 2 2 2 2 4 3" xfId="39412"/>
    <cellStyle name="Обычный 8 3 2 2 2 2 2 5" xfId="39413"/>
    <cellStyle name="Обычный 8 3 2 2 2 2 2 5 2" xfId="39414"/>
    <cellStyle name="Обычный 8 3 2 2 2 2 2 6" xfId="39415"/>
    <cellStyle name="Обычный 8 3 2 2 2 2 2 7" xfId="39416"/>
    <cellStyle name="Обычный 8 3 2 2 2 2 3" xfId="39417"/>
    <cellStyle name="Обычный 8 3 2 2 2 2 3 2" xfId="39418"/>
    <cellStyle name="Обычный 8 3 2 2 2 2 3 2 2" xfId="39419"/>
    <cellStyle name="Обычный 8 3 2 2 2 2 3 2 3" xfId="39420"/>
    <cellStyle name="Обычный 8 3 2 2 2 2 3 3" xfId="39421"/>
    <cellStyle name="Обычный 8 3 2 2 2 2 3 3 2" xfId="39422"/>
    <cellStyle name="Обычный 8 3 2 2 2 2 3 3 3" xfId="39423"/>
    <cellStyle name="Обычный 8 3 2 2 2 2 3 4" xfId="39424"/>
    <cellStyle name="Обычный 8 3 2 2 2 2 3 4 2" xfId="39425"/>
    <cellStyle name="Обычный 8 3 2 2 2 2 3 5" xfId="39426"/>
    <cellStyle name="Обычный 8 3 2 2 2 2 3 6" xfId="39427"/>
    <cellStyle name="Обычный 8 3 2 2 2 2 4" xfId="39428"/>
    <cellStyle name="Обычный 8 3 2 2 2 2 4 2" xfId="39429"/>
    <cellStyle name="Обычный 8 3 2 2 2 2 4 3" xfId="39430"/>
    <cellStyle name="Обычный 8 3 2 2 2 2 5" xfId="39431"/>
    <cellStyle name="Обычный 8 3 2 2 2 2 5 2" xfId="39432"/>
    <cellStyle name="Обычный 8 3 2 2 2 2 5 3" xfId="39433"/>
    <cellStyle name="Обычный 8 3 2 2 2 2 6" xfId="39434"/>
    <cellStyle name="Обычный 8 3 2 2 2 2 6 2" xfId="39435"/>
    <cellStyle name="Обычный 8 3 2 2 2 2 7" xfId="39436"/>
    <cellStyle name="Обычный 8 3 2 2 2 2 8" xfId="39437"/>
    <cellStyle name="Обычный 8 3 2 2 2 3" xfId="39438"/>
    <cellStyle name="Обычный 8 3 2 2 2 3 2" xfId="39439"/>
    <cellStyle name="Обычный 8 3 2 2 2 3 2 2" xfId="39440"/>
    <cellStyle name="Обычный 8 3 2 2 2 3 2 2 2" xfId="39441"/>
    <cellStyle name="Обычный 8 3 2 2 2 3 2 2 3" xfId="39442"/>
    <cellStyle name="Обычный 8 3 2 2 2 3 2 3" xfId="39443"/>
    <cellStyle name="Обычный 8 3 2 2 2 3 2 3 2" xfId="39444"/>
    <cellStyle name="Обычный 8 3 2 2 2 3 2 3 3" xfId="39445"/>
    <cellStyle name="Обычный 8 3 2 2 2 3 2 4" xfId="39446"/>
    <cellStyle name="Обычный 8 3 2 2 2 3 2 4 2" xfId="39447"/>
    <cellStyle name="Обычный 8 3 2 2 2 3 2 5" xfId="39448"/>
    <cellStyle name="Обычный 8 3 2 2 2 3 2 6" xfId="39449"/>
    <cellStyle name="Обычный 8 3 2 2 2 3 3" xfId="39450"/>
    <cellStyle name="Обычный 8 3 2 2 2 3 3 2" xfId="39451"/>
    <cellStyle name="Обычный 8 3 2 2 2 3 3 3" xfId="39452"/>
    <cellStyle name="Обычный 8 3 2 2 2 3 4" xfId="39453"/>
    <cellStyle name="Обычный 8 3 2 2 2 3 4 2" xfId="39454"/>
    <cellStyle name="Обычный 8 3 2 2 2 3 4 3" xfId="39455"/>
    <cellStyle name="Обычный 8 3 2 2 2 3 5" xfId="39456"/>
    <cellStyle name="Обычный 8 3 2 2 2 3 5 2" xfId="39457"/>
    <cellStyle name="Обычный 8 3 2 2 2 3 6" xfId="39458"/>
    <cellStyle name="Обычный 8 3 2 2 2 3 7" xfId="39459"/>
    <cellStyle name="Обычный 8 3 2 2 2 4" xfId="39460"/>
    <cellStyle name="Обычный 8 3 2 2 2 4 2" xfId="39461"/>
    <cellStyle name="Обычный 8 3 2 2 2 4 2 2" xfId="39462"/>
    <cellStyle name="Обычный 8 3 2 2 2 4 2 3" xfId="39463"/>
    <cellStyle name="Обычный 8 3 2 2 2 4 3" xfId="39464"/>
    <cellStyle name="Обычный 8 3 2 2 2 4 3 2" xfId="39465"/>
    <cellStyle name="Обычный 8 3 2 2 2 4 3 3" xfId="39466"/>
    <cellStyle name="Обычный 8 3 2 2 2 4 4" xfId="39467"/>
    <cellStyle name="Обычный 8 3 2 2 2 4 4 2" xfId="39468"/>
    <cellStyle name="Обычный 8 3 2 2 2 4 5" xfId="39469"/>
    <cellStyle name="Обычный 8 3 2 2 2 4 6" xfId="39470"/>
    <cellStyle name="Обычный 8 3 2 2 2 5" xfId="39471"/>
    <cellStyle name="Обычный 8 3 2 2 2 5 2" xfId="39472"/>
    <cellStyle name="Обычный 8 3 2 2 2 5 3" xfId="39473"/>
    <cellStyle name="Обычный 8 3 2 2 2 6" xfId="39474"/>
    <cellStyle name="Обычный 8 3 2 2 2 6 2" xfId="39475"/>
    <cellStyle name="Обычный 8 3 2 2 2 6 3" xfId="39476"/>
    <cellStyle name="Обычный 8 3 2 2 2 7" xfId="39477"/>
    <cellStyle name="Обычный 8 3 2 2 2 7 2" xfId="39478"/>
    <cellStyle name="Обычный 8 3 2 2 2 8" xfId="39479"/>
    <cellStyle name="Обычный 8 3 2 2 2 9" xfId="39480"/>
    <cellStyle name="Обычный 8 3 2 2 3" xfId="39481"/>
    <cellStyle name="Обычный 8 3 2 2 3 2" xfId="39482"/>
    <cellStyle name="Обычный 8 3 2 2 3 2 2" xfId="39483"/>
    <cellStyle name="Обычный 8 3 2 2 3 2 2 2" xfId="39484"/>
    <cellStyle name="Обычный 8 3 2 2 3 2 2 2 2" xfId="39485"/>
    <cellStyle name="Обычный 8 3 2 2 3 2 2 2 3" xfId="39486"/>
    <cellStyle name="Обычный 8 3 2 2 3 2 2 3" xfId="39487"/>
    <cellStyle name="Обычный 8 3 2 2 3 2 2 3 2" xfId="39488"/>
    <cellStyle name="Обычный 8 3 2 2 3 2 2 3 3" xfId="39489"/>
    <cellStyle name="Обычный 8 3 2 2 3 2 2 4" xfId="39490"/>
    <cellStyle name="Обычный 8 3 2 2 3 2 2 4 2" xfId="39491"/>
    <cellStyle name="Обычный 8 3 2 2 3 2 2 5" xfId="39492"/>
    <cellStyle name="Обычный 8 3 2 2 3 2 2 6" xfId="39493"/>
    <cellStyle name="Обычный 8 3 2 2 3 2 3" xfId="39494"/>
    <cellStyle name="Обычный 8 3 2 2 3 2 3 2" xfId="39495"/>
    <cellStyle name="Обычный 8 3 2 2 3 2 3 3" xfId="39496"/>
    <cellStyle name="Обычный 8 3 2 2 3 2 4" xfId="39497"/>
    <cellStyle name="Обычный 8 3 2 2 3 2 4 2" xfId="39498"/>
    <cellStyle name="Обычный 8 3 2 2 3 2 4 3" xfId="39499"/>
    <cellStyle name="Обычный 8 3 2 2 3 2 5" xfId="39500"/>
    <cellStyle name="Обычный 8 3 2 2 3 2 5 2" xfId="39501"/>
    <cellStyle name="Обычный 8 3 2 2 3 2 6" xfId="39502"/>
    <cellStyle name="Обычный 8 3 2 2 3 2 7" xfId="39503"/>
    <cellStyle name="Обычный 8 3 2 2 3 3" xfId="39504"/>
    <cellStyle name="Обычный 8 3 2 2 3 3 2" xfId="39505"/>
    <cellStyle name="Обычный 8 3 2 2 3 3 2 2" xfId="39506"/>
    <cellStyle name="Обычный 8 3 2 2 3 3 2 3" xfId="39507"/>
    <cellStyle name="Обычный 8 3 2 2 3 3 3" xfId="39508"/>
    <cellStyle name="Обычный 8 3 2 2 3 3 3 2" xfId="39509"/>
    <cellStyle name="Обычный 8 3 2 2 3 3 3 3" xfId="39510"/>
    <cellStyle name="Обычный 8 3 2 2 3 3 4" xfId="39511"/>
    <cellStyle name="Обычный 8 3 2 2 3 3 4 2" xfId="39512"/>
    <cellStyle name="Обычный 8 3 2 2 3 3 5" xfId="39513"/>
    <cellStyle name="Обычный 8 3 2 2 3 3 6" xfId="39514"/>
    <cellStyle name="Обычный 8 3 2 2 3 4" xfId="39515"/>
    <cellStyle name="Обычный 8 3 2 2 3 4 2" xfId="39516"/>
    <cellStyle name="Обычный 8 3 2 2 3 4 3" xfId="39517"/>
    <cellStyle name="Обычный 8 3 2 2 3 5" xfId="39518"/>
    <cellStyle name="Обычный 8 3 2 2 3 5 2" xfId="39519"/>
    <cellStyle name="Обычный 8 3 2 2 3 5 3" xfId="39520"/>
    <cellStyle name="Обычный 8 3 2 2 3 6" xfId="39521"/>
    <cellStyle name="Обычный 8 3 2 2 3 6 2" xfId="39522"/>
    <cellStyle name="Обычный 8 3 2 2 3 7" xfId="39523"/>
    <cellStyle name="Обычный 8 3 2 2 3 8" xfId="39524"/>
    <cellStyle name="Обычный 8 3 2 2 4" xfId="39525"/>
    <cellStyle name="Обычный 8 3 2 2 4 2" xfId="39526"/>
    <cellStyle name="Обычный 8 3 2 2 4 2 2" xfId="39527"/>
    <cellStyle name="Обычный 8 3 2 2 4 2 2 2" xfId="39528"/>
    <cellStyle name="Обычный 8 3 2 2 4 2 2 3" xfId="39529"/>
    <cellStyle name="Обычный 8 3 2 2 4 2 3" xfId="39530"/>
    <cellStyle name="Обычный 8 3 2 2 4 2 3 2" xfId="39531"/>
    <cellStyle name="Обычный 8 3 2 2 4 2 3 3" xfId="39532"/>
    <cellStyle name="Обычный 8 3 2 2 4 2 4" xfId="39533"/>
    <cellStyle name="Обычный 8 3 2 2 4 2 4 2" xfId="39534"/>
    <cellStyle name="Обычный 8 3 2 2 4 2 5" xfId="39535"/>
    <cellStyle name="Обычный 8 3 2 2 4 2 6" xfId="39536"/>
    <cellStyle name="Обычный 8 3 2 2 4 3" xfId="39537"/>
    <cellStyle name="Обычный 8 3 2 2 4 3 2" xfId="39538"/>
    <cellStyle name="Обычный 8 3 2 2 4 3 3" xfId="39539"/>
    <cellStyle name="Обычный 8 3 2 2 4 4" xfId="39540"/>
    <cellStyle name="Обычный 8 3 2 2 4 4 2" xfId="39541"/>
    <cellStyle name="Обычный 8 3 2 2 4 4 3" xfId="39542"/>
    <cellStyle name="Обычный 8 3 2 2 4 5" xfId="39543"/>
    <cellStyle name="Обычный 8 3 2 2 4 5 2" xfId="39544"/>
    <cellStyle name="Обычный 8 3 2 2 4 6" xfId="39545"/>
    <cellStyle name="Обычный 8 3 2 2 4 7" xfId="39546"/>
    <cellStyle name="Обычный 8 3 2 2 5" xfId="39547"/>
    <cellStyle name="Обычный 8 3 2 2 5 2" xfId="39548"/>
    <cellStyle name="Обычный 8 3 2 2 5 2 2" xfId="39549"/>
    <cellStyle name="Обычный 8 3 2 2 5 2 3" xfId="39550"/>
    <cellStyle name="Обычный 8 3 2 2 5 3" xfId="39551"/>
    <cellStyle name="Обычный 8 3 2 2 5 3 2" xfId="39552"/>
    <cellStyle name="Обычный 8 3 2 2 5 3 3" xfId="39553"/>
    <cellStyle name="Обычный 8 3 2 2 5 4" xfId="39554"/>
    <cellStyle name="Обычный 8 3 2 2 5 4 2" xfId="39555"/>
    <cellStyle name="Обычный 8 3 2 2 5 5" xfId="39556"/>
    <cellStyle name="Обычный 8 3 2 2 5 6" xfId="39557"/>
    <cellStyle name="Обычный 8 3 2 2 6" xfId="39558"/>
    <cellStyle name="Обычный 8 3 2 2 6 2" xfId="39559"/>
    <cellStyle name="Обычный 8 3 2 2 6 3" xfId="39560"/>
    <cellStyle name="Обычный 8 3 2 2 7" xfId="39561"/>
    <cellStyle name="Обычный 8 3 2 2 7 2" xfId="39562"/>
    <cellStyle name="Обычный 8 3 2 2 7 3" xfId="39563"/>
    <cellStyle name="Обычный 8 3 2 2 8" xfId="39564"/>
    <cellStyle name="Обычный 8 3 2 2 8 2" xfId="39565"/>
    <cellStyle name="Обычный 8 3 2 2 9" xfId="39566"/>
    <cellStyle name="Обычный 8 3 2 3" xfId="39567"/>
    <cellStyle name="Обычный 8 3 2 3 10" xfId="39568"/>
    <cellStyle name="Обычный 8 3 2 3 2" xfId="39569"/>
    <cellStyle name="Обычный 8 3 2 3 2 2" xfId="39570"/>
    <cellStyle name="Обычный 8 3 2 3 2 2 2" xfId="39571"/>
    <cellStyle name="Обычный 8 3 2 3 2 2 2 2" xfId="39572"/>
    <cellStyle name="Обычный 8 3 2 3 2 2 2 2 2" xfId="39573"/>
    <cellStyle name="Обычный 8 3 2 3 2 2 2 2 2 2" xfId="39574"/>
    <cellStyle name="Обычный 8 3 2 3 2 2 2 2 2 3" xfId="39575"/>
    <cellStyle name="Обычный 8 3 2 3 2 2 2 2 3" xfId="39576"/>
    <cellStyle name="Обычный 8 3 2 3 2 2 2 2 3 2" xfId="39577"/>
    <cellStyle name="Обычный 8 3 2 3 2 2 2 2 3 3" xfId="39578"/>
    <cellStyle name="Обычный 8 3 2 3 2 2 2 2 4" xfId="39579"/>
    <cellStyle name="Обычный 8 3 2 3 2 2 2 2 4 2" xfId="39580"/>
    <cellStyle name="Обычный 8 3 2 3 2 2 2 2 5" xfId="39581"/>
    <cellStyle name="Обычный 8 3 2 3 2 2 2 2 6" xfId="39582"/>
    <cellStyle name="Обычный 8 3 2 3 2 2 2 3" xfId="39583"/>
    <cellStyle name="Обычный 8 3 2 3 2 2 2 3 2" xfId="39584"/>
    <cellStyle name="Обычный 8 3 2 3 2 2 2 3 3" xfId="39585"/>
    <cellStyle name="Обычный 8 3 2 3 2 2 2 4" xfId="39586"/>
    <cellStyle name="Обычный 8 3 2 3 2 2 2 4 2" xfId="39587"/>
    <cellStyle name="Обычный 8 3 2 3 2 2 2 4 3" xfId="39588"/>
    <cellStyle name="Обычный 8 3 2 3 2 2 2 5" xfId="39589"/>
    <cellStyle name="Обычный 8 3 2 3 2 2 2 5 2" xfId="39590"/>
    <cellStyle name="Обычный 8 3 2 3 2 2 2 6" xfId="39591"/>
    <cellStyle name="Обычный 8 3 2 3 2 2 2 7" xfId="39592"/>
    <cellStyle name="Обычный 8 3 2 3 2 2 3" xfId="39593"/>
    <cellStyle name="Обычный 8 3 2 3 2 2 3 2" xfId="39594"/>
    <cellStyle name="Обычный 8 3 2 3 2 2 3 2 2" xfId="39595"/>
    <cellStyle name="Обычный 8 3 2 3 2 2 3 2 3" xfId="39596"/>
    <cellStyle name="Обычный 8 3 2 3 2 2 3 3" xfId="39597"/>
    <cellStyle name="Обычный 8 3 2 3 2 2 3 3 2" xfId="39598"/>
    <cellStyle name="Обычный 8 3 2 3 2 2 3 3 3" xfId="39599"/>
    <cellStyle name="Обычный 8 3 2 3 2 2 3 4" xfId="39600"/>
    <cellStyle name="Обычный 8 3 2 3 2 2 3 4 2" xfId="39601"/>
    <cellStyle name="Обычный 8 3 2 3 2 2 3 5" xfId="39602"/>
    <cellStyle name="Обычный 8 3 2 3 2 2 3 6" xfId="39603"/>
    <cellStyle name="Обычный 8 3 2 3 2 2 4" xfId="39604"/>
    <cellStyle name="Обычный 8 3 2 3 2 2 4 2" xfId="39605"/>
    <cellStyle name="Обычный 8 3 2 3 2 2 4 3" xfId="39606"/>
    <cellStyle name="Обычный 8 3 2 3 2 2 5" xfId="39607"/>
    <cellStyle name="Обычный 8 3 2 3 2 2 5 2" xfId="39608"/>
    <cellStyle name="Обычный 8 3 2 3 2 2 5 3" xfId="39609"/>
    <cellStyle name="Обычный 8 3 2 3 2 2 6" xfId="39610"/>
    <cellStyle name="Обычный 8 3 2 3 2 2 6 2" xfId="39611"/>
    <cellStyle name="Обычный 8 3 2 3 2 2 7" xfId="39612"/>
    <cellStyle name="Обычный 8 3 2 3 2 2 8" xfId="39613"/>
    <cellStyle name="Обычный 8 3 2 3 2 3" xfId="39614"/>
    <cellStyle name="Обычный 8 3 2 3 2 3 2" xfId="39615"/>
    <cellStyle name="Обычный 8 3 2 3 2 3 2 2" xfId="39616"/>
    <cellStyle name="Обычный 8 3 2 3 2 3 2 2 2" xfId="39617"/>
    <cellStyle name="Обычный 8 3 2 3 2 3 2 2 3" xfId="39618"/>
    <cellStyle name="Обычный 8 3 2 3 2 3 2 3" xfId="39619"/>
    <cellStyle name="Обычный 8 3 2 3 2 3 2 3 2" xfId="39620"/>
    <cellStyle name="Обычный 8 3 2 3 2 3 2 3 3" xfId="39621"/>
    <cellStyle name="Обычный 8 3 2 3 2 3 2 4" xfId="39622"/>
    <cellStyle name="Обычный 8 3 2 3 2 3 2 4 2" xfId="39623"/>
    <cellStyle name="Обычный 8 3 2 3 2 3 2 5" xfId="39624"/>
    <cellStyle name="Обычный 8 3 2 3 2 3 2 6" xfId="39625"/>
    <cellStyle name="Обычный 8 3 2 3 2 3 3" xfId="39626"/>
    <cellStyle name="Обычный 8 3 2 3 2 3 3 2" xfId="39627"/>
    <cellStyle name="Обычный 8 3 2 3 2 3 3 3" xfId="39628"/>
    <cellStyle name="Обычный 8 3 2 3 2 3 4" xfId="39629"/>
    <cellStyle name="Обычный 8 3 2 3 2 3 4 2" xfId="39630"/>
    <cellStyle name="Обычный 8 3 2 3 2 3 4 3" xfId="39631"/>
    <cellStyle name="Обычный 8 3 2 3 2 3 5" xfId="39632"/>
    <cellStyle name="Обычный 8 3 2 3 2 3 5 2" xfId="39633"/>
    <cellStyle name="Обычный 8 3 2 3 2 3 6" xfId="39634"/>
    <cellStyle name="Обычный 8 3 2 3 2 3 7" xfId="39635"/>
    <cellStyle name="Обычный 8 3 2 3 2 4" xfId="39636"/>
    <cellStyle name="Обычный 8 3 2 3 2 4 2" xfId="39637"/>
    <cellStyle name="Обычный 8 3 2 3 2 4 2 2" xfId="39638"/>
    <cellStyle name="Обычный 8 3 2 3 2 4 2 3" xfId="39639"/>
    <cellStyle name="Обычный 8 3 2 3 2 4 3" xfId="39640"/>
    <cellStyle name="Обычный 8 3 2 3 2 4 3 2" xfId="39641"/>
    <cellStyle name="Обычный 8 3 2 3 2 4 3 3" xfId="39642"/>
    <cellStyle name="Обычный 8 3 2 3 2 4 4" xfId="39643"/>
    <cellStyle name="Обычный 8 3 2 3 2 4 4 2" xfId="39644"/>
    <cellStyle name="Обычный 8 3 2 3 2 4 5" xfId="39645"/>
    <cellStyle name="Обычный 8 3 2 3 2 4 6" xfId="39646"/>
    <cellStyle name="Обычный 8 3 2 3 2 5" xfId="39647"/>
    <cellStyle name="Обычный 8 3 2 3 2 5 2" xfId="39648"/>
    <cellStyle name="Обычный 8 3 2 3 2 5 3" xfId="39649"/>
    <cellStyle name="Обычный 8 3 2 3 2 6" xfId="39650"/>
    <cellStyle name="Обычный 8 3 2 3 2 6 2" xfId="39651"/>
    <cellStyle name="Обычный 8 3 2 3 2 6 3" xfId="39652"/>
    <cellStyle name="Обычный 8 3 2 3 2 7" xfId="39653"/>
    <cellStyle name="Обычный 8 3 2 3 2 7 2" xfId="39654"/>
    <cellStyle name="Обычный 8 3 2 3 2 8" xfId="39655"/>
    <cellStyle name="Обычный 8 3 2 3 2 9" xfId="39656"/>
    <cellStyle name="Обычный 8 3 2 3 3" xfId="39657"/>
    <cellStyle name="Обычный 8 3 2 3 3 2" xfId="39658"/>
    <cellStyle name="Обычный 8 3 2 3 3 2 2" xfId="39659"/>
    <cellStyle name="Обычный 8 3 2 3 3 2 2 2" xfId="39660"/>
    <cellStyle name="Обычный 8 3 2 3 3 2 2 2 2" xfId="39661"/>
    <cellStyle name="Обычный 8 3 2 3 3 2 2 2 3" xfId="39662"/>
    <cellStyle name="Обычный 8 3 2 3 3 2 2 3" xfId="39663"/>
    <cellStyle name="Обычный 8 3 2 3 3 2 2 3 2" xfId="39664"/>
    <cellStyle name="Обычный 8 3 2 3 3 2 2 3 3" xfId="39665"/>
    <cellStyle name="Обычный 8 3 2 3 3 2 2 4" xfId="39666"/>
    <cellStyle name="Обычный 8 3 2 3 3 2 2 4 2" xfId="39667"/>
    <cellStyle name="Обычный 8 3 2 3 3 2 2 5" xfId="39668"/>
    <cellStyle name="Обычный 8 3 2 3 3 2 2 6" xfId="39669"/>
    <cellStyle name="Обычный 8 3 2 3 3 2 3" xfId="39670"/>
    <cellStyle name="Обычный 8 3 2 3 3 2 3 2" xfId="39671"/>
    <cellStyle name="Обычный 8 3 2 3 3 2 3 3" xfId="39672"/>
    <cellStyle name="Обычный 8 3 2 3 3 2 4" xfId="39673"/>
    <cellStyle name="Обычный 8 3 2 3 3 2 4 2" xfId="39674"/>
    <cellStyle name="Обычный 8 3 2 3 3 2 4 3" xfId="39675"/>
    <cellStyle name="Обычный 8 3 2 3 3 2 5" xfId="39676"/>
    <cellStyle name="Обычный 8 3 2 3 3 2 5 2" xfId="39677"/>
    <cellStyle name="Обычный 8 3 2 3 3 2 6" xfId="39678"/>
    <cellStyle name="Обычный 8 3 2 3 3 2 7" xfId="39679"/>
    <cellStyle name="Обычный 8 3 2 3 3 3" xfId="39680"/>
    <cellStyle name="Обычный 8 3 2 3 3 3 2" xfId="39681"/>
    <cellStyle name="Обычный 8 3 2 3 3 3 2 2" xfId="39682"/>
    <cellStyle name="Обычный 8 3 2 3 3 3 2 3" xfId="39683"/>
    <cellStyle name="Обычный 8 3 2 3 3 3 3" xfId="39684"/>
    <cellStyle name="Обычный 8 3 2 3 3 3 3 2" xfId="39685"/>
    <cellStyle name="Обычный 8 3 2 3 3 3 3 3" xfId="39686"/>
    <cellStyle name="Обычный 8 3 2 3 3 3 4" xfId="39687"/>
    <cellStyle name="Обычный 8 3 2 3 3 3 4 2" xfId="39688"/>
    <cellStyle name="Обычный 8 3 2 3 3 3 5" xfId="39689"/>
    <cellStyle name="Обычный 8 3 2 3 3 3 6" xfId="39690"/>
    <cellStyle name="Обычный 8 3 2 3 3 4" xfId="39691"/>
    <cellStyle name="Обычный 8 3 2 3 3 4 2" xfId="39692"/>
    <cellStyle name="Обычный 8 3 2 3 3 4 3" xfId="39693"/>
    <cellStyle name="Обычный 8 3 2 3 3 5" xfId="39694"/>
    <cellStyle name="Обычный 8 3 2 3 3 5 2" xfId="39695"/>
    <cellStyle name="Обычный 8 3 2 3 3 5 3" xfId="39696"/>
    <cellStyle name="Обычный 8 3 2 3 3 6" xfId="39697"/>
    <cellStyle name="Обычный 8 3 2 3 3 6 2" xfId="39698"/>
    <cellStyle name="Обычный 8 3 2 3 3 7" xfId="39699"/>
    <cellStyle name="Обычный 8 3 2 3 3 8" xfId="39700"/>
    <cellStyle name="Обычный 8 3 2 3 4" xfId="39701"/>
    <cellStyle name="Обычный 8 3 2 3 4 2" xfId="39702"/>
    <cellStyle name="Обычный 8 3 2 3 4 2 2" xfId="39703"/>
    <cellStyle name="Обычный 8 3 2 3 4 2 2 2" xfId="39704"/>
    <cellStyle name="Обычный 8 3 2 3 4 2 2 3" xfId="39705"/>
    <cellStyle name="Обычный 8 3 2 3 4 2 3" xfId="39706"/>
    <cellStyle name="Обычный 8 3 2 3 4 2 3 2" xfId="39707"/>
    <cellStyle name="Обычный 8 3 2 3 4 2 3 3" xfId="39708"/>
    <cellStyle name="Обычный 8 3 2 3 4 2 4" xfId="39709"/>
    <cellStyle name="Обычный 8 3 2 3 4 2 4 2" xfId="39710"/>
    <cellStyle name="Обычный 8 3 2 3 4 2 5" xfId="39711"/>
    <cellStyle name="Обычный 8 3 2 3 4 2 6" xfId="39712"/>
    <cellStyle name="Обычный 8 3 2 3 4 3" xfId="39713"/>
    <cellStyle name="Обычный 8 3 2 3 4 3 2" xfId="39714"/>
    <cellStyle name="Обычный 8 3 2 3 4 3 3" xfId="39715"/>
    <cellStyle name="Обычный 8 3 2 3 4 4" xfId="39716"/>
    <cellStyle name="Обычный 8 3 2 3 4 4 2" xfId="39717"/>
    <cellStyle name="Обычный 8 3 2 3 4 4 3" xfId="39718"/>
    <cellStyle name="Обычный 8 3 2 3 4 5" xfId="39719"/>
    <cellStyle name="Обычный 8 3 2 3 4 5 2" xfId="39720"/>
    <cellStyle name="Обычный 8 3 2 3 4 6" xfId="39721"/>
    <cellStyle name="Обычный 8 3 2 3 4 7" xfId="39722"/>
    <cellStyle name="Обычный 8 3 2 3 5" xfId="39723"/>
    <cellStyle name="Обычный 8 3 2 3 5 2" xfId="39724"/>
    <cellStyle name="Обычный 8 3 2 3 5 2 2" xfId="39725"/>
    <cellStyle name="Обычный 8 3 2 3 5 2 3" xfId="39726"/>
    <cellStyle name="Обычный 8 3 2 3 5 3" xfId="39727"/>
    <cellStyle name="Обычный 8 3 2 3 5 3 2" xfId="39728"/>
    <cellStyle name="Обычный 8 3 2 3 5 3 3" xfId="39729"/>
    <cellStyle name="Обычный 8 3 2 3 5 4" xfId="39730"/>
    <cellStyle name="Обычный 8 3 2 3 5 4 2" xfId="39731"/>
    <cellStyle name="Обычный 8 3 2 3 5 5" xfId="39732"/>
    <cellStyle name="Обычный 8 3 2 3 5 6" xfId="39733"/>
    <cellStyle name="Обычный 8 3 2 3 6" xfId="39734"/>
    <cellStyle name="Обычный 8 3 2 3 6 2" xfId="39735"/>
    <cellStyle name="Обычный 8 3 2 3 6 3" xfId="39736"/>
    <cellStyle name="Обычный 8 3 2 3 7" xfId="39737"/>
    <cellStyle name="Обычный 8 3 2 3 7 2" xfId="39738"/>
    <cellStyle name="Обычный 8 3 2 3 7 3" xfId="39739"/>
    <cellStyle name="Обычный 8 3 2 3 8" xfId="39740"/>
    <cellStyle name="Обычный 8 3 2 3 8 2" xfId="39741"/>
    <cellStyle name="Обычный 8 3 2 3 9" xfId="39742"/>
    <cellStyle name="Обычный 8 3 2 4" xfId="39743"/>
    <cellStyle name="Обычный 8 3 2 4 10" xfId="39744"/>
    <cellStyle name="Обычный 8 3 2 4 2" xfId="39745"/>
    <cellStyle name="Обычный 8 3 2 4 2 2" xfId="39746"/>
    <cellStyle name="Обычный 8 3 2 4 2 2 2" xfId="39747"/>
    <cellStyle name="Обычный 8 3 2 4 2 2 2 2" xfId="39748"/>
    <cellStyle name="Обычный 8 3 2 4 2 2 2 2 2" xfId="39749"/>
    <cellStyle name="Обычный 8 3 2 4 2 2 2 2 2 2" xfId="39750"/>
    <cellStyle name="Обычный 8 3 2 4 2 2 2 2 2 3" xfId="39751"/>
    <cellStyle name="Обычный 8 3 2 4 2 2 2 2 3" xfId="39752"/>
    <cellStyle name="Обычный 8 3 2 4 2 2 2 2 3 2" xfId="39753"/>
    <cellStyle name="Обычный 8 3 2 4 2 2 2 2 3 3" xfId="39754"/>
    <cellStyle name="Обычный 8 3 2 4 2 2 2 2 4" xfId="39755"/>
    <cellStyle name="Обычный 8 3 2 4 2 2 2 2 4 2" xfId="39756"/>
    <cellStyle name="Обычный 8 3 2 4 2 2 2 2 5" xfId="39757"/>
    <cellStyle name="Обычный 8 3 2 4 2 2 2 2 6" xfId="39758"/>
    <cellStyle name="Обычный 8 3 2 4 2 2 2 3" xfId="39759"/>
    <cellStyle name="Обычный 8 3 2 4 2 2 2 3 2" xfId="39760"/>
    <cellStyle name="Обычный 8 3 2 4 2 2 2 3 3" xfId="39761"/>
    <cellStyle name="Обычный 8 3 2 4 2 2 2 4" xfId="39762"/>
    <cellStyle name="Обычный 8 3 2 4 2 2 2 4 2" xfId="39763"/>
    <cellStyle name="Обычный 8 3 2 4 2 2 2 4 3" xfId="39764"/>
    <cellStyle name="Обычный 8 3 2 4 2 2 2 5" xfId="39765"/>
    <cellStyle name="Обычный 8 3 2 4 2 2 2 5 2" xfId="39766"/>
    <cellStyle name="Обычный 8 3 2 4 2 2 2 6" xfId="39767"/>
    <cellStyle name="Обычный 8 3 2 4 2 2 2 7" xfId="39768"/>
    <cellStyle name="Обычный 8 3 2 4 2 2 3" xfId="39769"/>
    <cellStyle name="Обычный 8 3 2 4 2 2 3 2" xfId="39770"/>
    <cellStyle name="Обычный 8 3 2 4 2 2 3 2 2" xfId="39771"/>
    <cellStyle name="Обычный 8 3 2 4 2 2 3 2 3" xfId="39772"/>
    <cellStyle name="Обычный 8 3 2 4 2 2 3 3" xfId="39773"/>
    <cellStyle name="Обычный 8 3 2 4 2 2 3 3 2" xfId="39774"/>
    <cellStyle name="Обычный 8 3 2 4 2 2 3 3 3" xfId="39775"/>
    <cellStyle name="Обычный 8 3 2 4 2 2 3 4" xfId="39776"/>
    <cellStyle name="Обычный 8 3 2 4 2 2 3 4 2" xfId="39777"/>
    <cellStyle name="Обычный 8 3 2 4 2 2 3 5" xfId="39778"/>
    <cellStyle name="Обычный 8 3 2 4 2 2 3 6" xfId="39779"/>
    <cellStyle name="Обычный 8 3 2 4 2 2 4" xfId="39780"/>
    <cellStyle name="Обычный 8 3 2 4 2 2 4 2" xfId="39781"/>
    <cellStyle name="Обычный 8 3 2 4 2 2 4 3" xfId="39782"/>
    <cellStyle name="Обычный 8 3 2 4 2 2 5" xfId="39783"/>
    <cellStyle name="Обычный 8 3 2 4 2 2 5 2" xfId="39784"/>
    <cellStyle name="Обычный 8 3 2 4 2 2 5 3" xfId="39785"/>
    <cellStyle name="Обычный 8 3 2 4 2 2 6" xfId="39786"/>
    <cellStyle name="Обычный 8 3 2 4 2 2 6 2" xfId="39787"/>
    <cellStyle name="Обычный 8 3 2 4 2 2 7" xfId="39788"/>
    <cellStyle name="Обычный 8 3 2 4 2 2 8" xfId="39789"/>
    <cellStyle name="Обычный 8 3 2 4 2 3" xfId="39790"/>
    <cellStyle name="Обычный 8 3 2 4 2 3 2" xfId="39791"/>
    <cellStyle name="Обычный 8 3 2 4 2 3 2 2" xfId="39792"/>
    <cellStyle name="Обычный 8 3 2 4 2 3 2 2 2" xfId="39793"/>
    <cellStyle name="Обычный 8 3 2 4 2 3 2 2 3" xfId="39794"/>
    <cellStyle name="Обычный 8 3 2 4 2 3 2 3" xfId="39795"/>
    <cellStyle name="Обычный 8 3 2 4 2 3 2 3 2" xfId="39796"/>
    <cellStyle name="Обычный 8 3 2 4 2 3 2 3 3" xfId="39797"/>
    <cellStyle name="Обычный 8 3 2 4 2 3 2 4" xfId="39798"/>
    <cellStyle name="Обычный 8 3 2 4 2 3 2 4 2" xfId="39799"/>
    <cellStyle name="Обычный 8 3 2 4 2 3 2 5" xfId="39800"/>
    <cellStyle name="Обычный 8 3 2 4 2 3 2 6" xfId="39801"/>
    <cellStyle name="Обычный 8 3 2 4 2 3 3" xfId="39802"/>
    <cellStyle name="Обычный 8 3 2 4 2 3 3 2" xfId="39803"/>
    <cellStyle name="Обычный 8 3 2 4 2 3 3 3" xfId="39804"/>
    <cellStyle name="Обычный 8 3 2 4 2 3 4" xfId="39805"/>
    <cellStyle name="Обычный 8 3 2 4 2 3 4 2" xfId="39806"/>
    <cellStyle name="Обычный 8 3 2 4 2 3 4 3" xfId="39807"/>
    <cellStyle name="Обычный 8 3 2 4 2 3 5" xfId="39808"/>
    <cellStyle name="Обычный 8 3 2 4 2 3 5 2" xfId="39809"/>
    <cellStyle name="Обычный 8 3 2 4 2 3 6" xfId="39810"/>
    <cellStyle name="Обычный 8 3 2 4 2 3 7" xfId="39811"/>
    <cellStyle name="Обычный 8 3 2 4 2 4" xfId="39812"/>
    <cellStyle name="Обычный 8 3 2 4 2 4 2" xfId="39813"/>
    <cellStyle name="Обычный 8 3 2 4 2 4 2 2" xfId="39814"/>
    <cellStyle name="Обычный 8 3 2 4 2 4 2 3" xfId="39815"/>
    <cellStyle name="Обычный 8 3 2 4 2 4 3" xfId="39816"/>
    <cellStyle name="Обычный 8 3 2 4 2 4 3 2" xfId="39817"/>
    <cellStyle name="Обычный 8 3 2 4 2 4 3 3" xfId="39818"/>
    <cellStyle name="Обычный 8 3 2 4 2 4 4" xfId="39819"/>
    <cellStyle name="Обычный 8 3 2 4 2 4 4 2" xfId="39820"/>
    <cellStyle name="Обычный 8 3 2 4 2 4 5" xfId="39821"/>
    <cellStyle name="Обычный 8 3 2 4 2 4 6" xfId="39822"/>
    <cellStyle name="Обычный 8 3 2 4 2 5" xfId="39823"/>
    <cellStyle name="Обычный 8 3 2 4 2 5 2" xfId="39824"/>
    <cellStyle name="Обычный 8 3 2 4 2 5 3" xfId="39825"/>
    <cellStyle name="Обычный 8 3 2 4 2 6" xfId="39826"/>
    <cellStyle name="Обычный 8 3 2 4 2 6 2" xfId="39827"/>
    <cellStyle name="Обычный 8 3 2 4 2 6 3" xfId="39828"/>
    <cellStyle name="Обычный 8 3 2 4 2 7" xfId="39829"/>
    <cellStyle name="Обычный 8 3 2 4 2 7 2" xfId="39830"/>
    <cellStyle name="Обычный 8 3 2 4 2 8" xfId="39831"/>
    <cellStyle name="Обычный 8 3 2 4 2 9" xfId="39832"/>
    <cellStyle name="Обычный 8 3 2 4 3" xfId="39833"/>
    <cellStyle name="Обычный 8 3 2 4 3 2" xfId="39834"/>
    <cellStyle name="Обычный 8 3 2 4 3 2 2" xfId="39835"/>
    <cellStyle name="Обычный 8 3 2 4 3 2 2 2" xfId="39836"/>
    <cellStyle name="Обычный 8 3 2 4 3 2 2 2 2" xfId="39837"/>
    <cellStyle name="Обычный 8 3 2 4 3 2 2 2 3" xfId="39838"/>
    <cellStyle name="Обычный 8 3 2 4 3 2 2 3" xfId="39839"/>
    <cellStyle name="Обычный 8 3 2 4 3 2 2 3 2" xfId="39840"/>
    <cellStyle name="Обычный 8 3 2 4 3 2 2 3 3" xfId="39841"/>
    <cellStyle name="Обычный 8 3 2 4 3 2 2 4" xfId="39842"/>
    <cellStyle name="Обычный 8 3 2 4 3 2 2 4 2" xfId="39843"/>
    <cellStyle name="Обычный 8 3 2 4 3 2 2 5" xfId="39844"/>
    <cellStyle name="Обычный 8 3 2 4 3 2 2 6" xfId="39845"/>
    <cellStyle name="Обычный 8 3 2 4 3 2 3" xfId="39846"/>
    <cellStyle name="Обычный 8 3 2 4 3 2 3 2" xfId="39847"/>
    <cellStyle name="Обычный 8 3 2 4 3 2 3 3" xfId="39848"/>
    <cellStyle name="Обычный 8 3 2 4 3 2 4" xfId="39849"/>
    <cellStyle name="Обычный 8 3 2 4 3 2 4 2" xfId="39850"/>
    <cellStyle name="Обычный 8 3 2 4 3 2 4 3" xfId="39851"/>
    <cellStyle name="Обычный 8 3 2 4 3 2 5" xfId="39852"/>
    <cellStyle name="Обычный 8 3 2 4 3 2 5 2" xfId="39853"/>
    <cellStyle name="Обычный 8 3 2 4 3 2 6" xfId="39854"/>
    <cellStyle name="Обычный 8 3 2 4 3 2 7" xfId="39855"/>
    <cellStyle name="Обычный 8 3 2 4 3 3" xfId="39856"/>
    <cellStyle name="Обычный 8 3 2 4 3 3 2" xfId="39857"/>
    <cellStyle name="Обычный 8 3 2 4 3 3 2 2" xfId="39858"/>
    <cellStyle name="Обычный 8 3 2 4 3 3 2 3" xfId="39859"/>
    <cellStyle name="Обычный 8 3 2 4 3 3 3" xfId="39860"/>
    <cellStyle name="Обычный 8 3 2 4 3 3 3 2" xfId="39861"/>
    <cellStyle name="Обычный 8 3 2 4 3 3 3 3" xfId="39862"/>
    <cellStyle name="Обычный 8 3 2 4 3 3 4" xfId="39863"/>
    <cellStyle name="Обычный 8 3 2 4 3 3 4 2" xfId="39864"/>
    <cellStyle name="Обычный 8 3 2 4 3 3 5" xfId="39865"/>
    <cellStyle name="Обычный 8 3 2 4 3 3 6" xfId="39866"/>
    <cellStyle name="Обычный 8 3 2 4 3 4" xfId="39867"/>
    <cellStyle name="Обычный 8 3 2 4 3 4 2" xfId="39868"/>
    <cellStyle name="Обычный 8 3 2 4 3 4 3" xfId="39869"/>
    <cellStyle name="Обычный 8 3 2 4 3 5" xfId="39870"/>
    <cellStyle name="Обычный 8 3 2 4 3 5 2" xfId="39871"/>
    <cellStyle name="Обычный 8 3 2 4 3 5 3" xfId="39872"/>
    <cellStyle name="Обычный 8 3 2 4 3 6" xfId="39873"/>
    <cellStyle name="Обычный 8 3 2 4 3 6 2" xfId="39874"/>
    <cellStyle name="Обычный 8 3 2 4 3 7" xfId="39875"/>
    <cellStyle name="Обычный 8 3 2 4 3 8" xfId="39876"/>
    <cellStyle name="Обычный 8 3 2 4 4" xfId="39877"/>
    <cellStyle name="Обычный 8 3 2 4 4 2" xfId="39878"/>
    <cellStyle name="Обычный 8 3 2 4 4 2 2" xfId="39879"/>
    <cellStyle name="Обычный 8 3 2 4 4 2 2 2" xfId="39880"/>
    <cellStyle name="Обычный 8 3 2 4 4 2 2 3" xfId="39881"/>
    <cellStyle name="Обычный 8 3 2 4 4 2 3" xfId="39882"/>
    <cellStyle name="Обычный 8 3 2 4 4 2 3 2" xfId="39883"/>
    <cellStyle name="Обычный 8 3 2 4 4 2 3 3" xfId="39884"/>
    <cellStyle name="Обычный 8 3 2 4 4 2 4" xfId="39885"/>
    <cellStyle name="Обычный 8 3 2 4 4 2 4 2" xfId="39886"/>
    <cellStyle name="Обычный 8 3 2 4 4 2 5" xfId="39887"/>
    <cellStyle name="Обычный 8 3 2 4 4 2 6" xfId="39888"/>
    <cellStyle name="Обычный 8 3 2 4 4 3" xfId="39889"/>
    <cellStyle name="Обычный 8 3 2 4 4 3 2" xfId="39890"/>
    <cellStyle name="Обычный 8 3 2 4 4 3 3" xfId="39891"/>
    <cellStyle name="Обычный 8 3 2 4 4 4" xfId="39892"/>
    <cellStyle name="Обычный 8 3 2 4 4 4 2" xfId="39893"/>
    <cellStyle name="Обычный 8 3 2 4 4 4 3" xfId="39894"/>
    <cellStyle name="Обычный 8 3 2 4 4 5" xfId="39895"/>
    <cellStyle name="Обычный 8 3 2 4 4 5 2" xfId="39896"/>
    <cellStyle name="Обычный 8 3 2 4 4 6" xfId="39897"/>
    <cellStyle name="Обычный 8 3 2 4 4 7" xfId="39898"/>
    <cellStyle name="Обычный 8 3 2 4 5" xfId="39899"/>
    <cellStyle name="Обычный 8 3 2 4 5 2" xfId="39900"/>
    <cellStyle name="Обычный 8 3 2 4 5 2 2" xfId="39901"/>
    <cellStyle name="Обычный 8 3 2 4 5 2 3" xfId="39902"/>
    <cellStyle name="Обычный 8 3 2 4 5 3" xfId="39903"/>
    <cellStyle name="Обычный 8 3 2 4 5 3 2" xfId="39904"/>
    <cellStyle name="Обычный 8 3 2 4 5 3 3" xfId="39905"/>
    <cellStyle name="Обычный 8 3 2 4 5 4" xfId="39906"/>
    <cellStyle name="Обычный 8 3 2 4 5 4 2" xfId="39907"/>
    <cellStyle name="Обычный 8 3 2 4 5 5" xfId="39908"/>
    <cellStyle name="Обычный 8 3 2 4 5 6" xfId="39909"/>
    <cellStyle name="Обычный 8 3 2 4 6" xfId="39910"/>
    <cellStyle name="Обычный 8 3 2 4 6 2" xfId="39911"/>
    <cellStyle name="Обычный 8 3 2 4 6 3" xfId="39912"/>
    <cellStyle name="Обычный 8 3 2 4 7" xfId="39913"/>
    <cellStyle name="Обычный 8 3 2 4 7 2" xfId="39914"/>
    <cellStyle name="Обычный 8 3 2 4 7 3" xfId="39915"/>
    <cellStyle name="Обычный 8 3 2 4 8" xfId="39916"/>
    <cellStyle name="Обычный 8 3 2 4 8 2" xfId="39917"/>
    <cellStyle name="Обычный 8 3 2 4 9" xfId="39918"/>
    <cellStyle name="Обычный 8 3 2 5" xfId="39919"/>
    <cellStyle name="Обычный 8 3 2 5 2" xfId="39920"/>
    <cellStyle name="Обычный 8 3 2 5 2 2" xfId="39921"/>
    <cellStyle name="Обычный 8 3 2 5 2 2 2" xfId="39922"/>
    <cellStyle name="Обычный 8 3 2 5 2 2 2 2" xfId="39923"/>
    <cellStyle name="Обычный 8 3 2 5 2 2 2 2 2" xfId="39924"/>
    <cellStyle name="Обычный 8 3 2 5 2 2 2 2 3" xfId="39925"/>
    <cellStyle name="Обычный 8 3 2 5 2 2 2 3" xfId="39926"/>
    <cellStyle name="Обычный 8 3 2 5 2 2 2 3 2" xfId="39927"/>
    <cellStyle name="Обычный 8 3 2 5 2 2 2 3 3" xfId="39928"/>
    <cellStyle name="Обычный 8 3 2 5 2 2 2 4" xfId="39929"/>
    <cellStyle name="Обычный 8 3 2 5 2 2 2 4 2" xfId="39930"/>
    <cellStyle name="Обычный 8 3 2 5 2 2 2 5" xfId="39931"/>
    <cellStyle name="Обычный 8 3 2 5 2 2 2 6" xfId="39932"/>
    <cellStyle name="Обычный 8 3 2 5 2 2 3" xfId="39933"/>
    <cellStyle name="Обычный 8 3 2 5 2 2 3 2" xfId="39934"/>
    <cellStyle name="Обычный 8 3 2 5 2 2 3 3" xfId="39935"/>
    <cellStyle name="Обычный 8 3 2 5 2 2 4" xfId="39936"/>
    <cellStyle name="Обычный 8 3 2 5 2 2 4 2" xfId="39937"/>
    <cellStyle name="Обычный 8 3 2 5 2 2 4 3" xfId="39938"/>
    <cellStyle name="Обычный 8 3 2 5 2 2 5" xfId="39939"/>
    <cellStyle name="Обычный 8 3 2 5 2 2 5 2" xfId="39940"/>
    <cellStyle name="Обычный 8 3 2 5 2 2 6" xfId="39941"/>
    <cellStyle name="Обычный 8 3 2 5 2 2 7" xfId="39942"/>
    <cellStyle name="Обычный 8 3 2 5 2 3" xfId="39943"/>
    <cellStyle name="Обычный 8 3 2 5 2 3 2" xfId="39944"/>
    <cellStyle name="Обычный 8 3 2 5 2 3 2 2" xfId="39945"/>
    <cellStyle name="Обычный 8 3 2 5 2 3 2 3" xfId="39946"/>
    <cellStyle name="Обычный 8 3 2 5 2 3 3" xfId="39947"/>
    <cellStyle name="Обычный 8 3 2 5 2 3 3 2" xfId="39948"/>
    <cellStyle name="Обычный 8 3 2 5 2 3 3 3" xfId="39949"/>
    <cellStyle name="Обычный 8 3 2 5 2 3 4" xfId="39950"/>
    <cellStyle name="Обычный 8 3 2 5 2 3 4 2" xfId="39951"/>
    <cellStyle name="Обычный 8 3 2 5 2 3 5" xfId="39952"/>
    <cellStyle name="Обычный 8 3 2 5 2 3 6" xfId="39953"/>
    <cellStyle name="Обычный 8 3 2 5 2 4" xfId="39954"/>
    <cellStyle name="Обычный 8 3 2 5 2 4 2" xfId="39955"/>
    <cellStyle name="Обычный 8 3 2 5 2 4 3" xfId="39956"/>
    <cellStyle name="Обычный 8 3 2 5 2 5" xfId="39957"/>
    <cellStyle name="Обычный 8 3 2 5 2 5 2" xfId="39958"/>
    <cellStyle name="Обычный 8 3 2 5 2 5 3" xfId="39959"/>
    <cellStyle name="Обычный 8 3 2 5 2 6" xfId="39960"/>
    <cellStyle name="Обычный 8 3 2 5 2 6 2" xfId="39961"/>
    <cellStyle name="Обычный 8 3 2 5 2 7" xfId="39962"/>
    <cellStyle name="Обычный 8 3 2 5 2 8" xfId="39963"/>
    <cellStyle name="Обычный 8 3 2 5 3" xfId="39964"/>
    <cellStyle name="Обычный 8 3 2 5 3 2" xfId="39965"/>
    <cellStyle name="Обычный 8 3 2 5 3 2 2" xfId="39966"/>
    <cellStyle name="Обычный 8 3 2 5 3 2 2 2" xfId="39967"/>
    <cellStyle name="Обычный 8 3 2 5 3 2 2 3" xfId="39968"/>
    <cellStyle name="Обычный 8 3 2 5 3 2 3" xfId="39969"/>
    <cellStyle name="Обычный 8 3 2 5 3 2 3 2" xfId="39970"/>
    <cellStyle name="Обычный 8 3 2 5 3 2 3 3" xfId="39971"/>
    <cellStyle name="Обычный 8 3 2 5 3 2 4" xfId="39972"/>
    <cellStyle name="Обычный 8 3 2 5 3 2 4 2" xfId="39973"/>
    <cellStyle name="Обычный 8 3 2 5 3 2 5" xfId="39974"/>
    <cellStyle name="Обычный 8 3 2 5 3 2 6" xfId="39975"/>
    <cellStyle name="Обычный 8 3 2 5 3 3" xfId="39976"/>
    <cellStyle name="Обычный 8 3 2 5 3 3 2" xfId="39977"/>
    <cellStyle name="Обычный 8 3 2 5 3 3 3" xfId="39978"/>
    <cellStyle name="Обычный 8 3 2 5 3 4" xfId="39979"/>
    <cellStyle name="Обычный 8 3 2 5 3 4 2" xfId="39980"/>
    <cellStyle name="Обычный 8 3 2 5 3 4 3" xfId="39981"/>
    <cellStyle name="Обычный 8 3 2 5 3 5" xfId="39982"/>
    <cellStyle name="Обычный 8 3 2 5 3 5 2" xfId="39983"/>
    <cellStyle name="Обычный 8 3 2 5 3 6" xfId="39984"/>
    <cellStyle name="Обычный 8 3 2 5 3 7" xfId="39985"/>
    <cellStyle name="Обычный 8 3 2 5 4" xfId="39986"/>
    <cellStyle name="Обычный 8 3 2 5 4 2" xfId="39987"/>
    <cellStyle name="Обычный 8 3 2 5 4 2 2" xfId="39988"/>
    <cellStyle name="Обычный 8 3 2 5 4 2 3" xfId="39989"/>
    <cellStyle name="Обычный 8 3 2 5 4 3" xfId="39990"/>
    <cellStyle name="Обычный 8 3 2 5 4 3 2" xfId="39991"/>
    <cellStyle name="Обычный 8 3 2 5 4 3 3" xfId="39992"/>
    <cellStyle name="Обычный 8 3 2 5 4 4" xfId="39993"/>
    <cellStyle name="Обычный 8 3 2 5 4 4 2" xfId="39994"/>
    <cellStyle name="Обычный 8 3 2 5 4 5" xfId="39995"/>
    <cellStyle name="Обычный 8 3 2 5 4 6" xfId="39996"/>
    <cellStyle name="Обычный 8 3 2 5 5" xfId="39997"/>
    <cellStyle name="Обычный 8 3 2 5 5 2" xfId="39998"/>
    <cellStyle name="Обычный 8 3 2 5 5 3" xfId="39999"/>
    <cellStyle name="Обычный 8 3 2 5 6" xfId="40000"/>
    <cellStyle name="Обычный 8 3 2 5 6 2" xfId="40001"/>
    <cellStyle name="Обычный 8 3 2 5 6 3" xfId="40002"/>
    <cellStyle name="Обычный 8 3 2 5 7" xfId="40003"/>
    <cellStyle name="Обычный 8 3 2 5 7 2" xfId="40004"/>
    <cellStyle name="Обычный 8 3 2 5 8" xfId="40005"/>
    <cellStyle name="Обычный 8 3 2 5 9" xfId="40006"/>
    <cellStyle name="Обычный 8 3 2 6" xfId="40007"/>
    <cellStyle name="Обычный 8 3 2 6 2" xfId="40008"/>
    <cellStyle name="Обычный 8 3 2 6 2 2" xfId="40009"/>
    <cellStyle name="Обычный 8 3 2 6 2 2 2" xfId="40010"/>
    <cellStyle name="Обычный 8 3 2 6 2 2 2 2" xfId="40011"/>
    <cellStyle name="Обычный 8 3 2 6 2 2 2 3" xfId="40012"/>
    <cellStyle name="Обычный 8 3 2 6 2 2 3" xfId="40013"/>
    <cellStyle name="Обычный 8 3 2 6 2 2 3 2" xfId="40014"/>
    <cellStyle name="Обычный 8 3 2 6 2 2 3 3" xfId="40015"/>
    <cellStyle name="Обычный 8 3 2 6 2 2 4" xfId="40016"/>
    <cellStyle name="Обычный 8 3 2 6 2 2 4 2" xfId="40017"/>
    <cellStyle name="Обычный 8 3 2 6 2 2 5" xfId="40018"/>
    <cellStyle name="Обычный 8 3 2 6 2 2 6" xfId="40019"/>
    <cellStyle name="Обычный 8 3 2 6 2 3" xfId="40020"/>
    <cellStyle name="Обычный 8 3 2 6 2 3 2" xfId="40021"/>
    <cellStyle name="Обычный 8 3 2 6 2 3 3" xfId="40022"/>
    <cellStyle name="Обычный 8 3 2 6 2 4" xfId="40023"/>
    <cellStyle name="Обычный 8 3 2 6 2 4 2" xfId="40024"/>
    <cellStyle name="Обычный 8 3 2 6 2 4 3" xfId="40025"/>
    <cellStyle name="Обычный 8 3 2 6 2 5" xfId="40026"/>
    <cellStyle name="Обычный 8 3 2 6 2 5 2" xfId="40027"/>
    <cellStyle name="Обычный 8 3 2 6 2 6" xfId="40028"/>
    <cellStyle name="Обычный 8 3 2 6 2 7" xfId="40029"/>
    <cellStyle name="Обычный 8 3 2 6 3" xfId="40030"/>
    <cellStyle name="Обычный 8 3 2 6 3 2" xfId="40031"/>
    <cellStyle name="Обычный 8 3 2 6 3 2 2" xfId="40032"/>
    <cellStyle name="Обычный 8 3 2 6 3 2 3" xfId="40033"/>
    <cellStyle name="Обычный 8 3 2 6 3 3" xfId="40034"/>
    <cellStyle name="Обычный 8 3 2 6 3 3 2" xfId="40035"/>
    <cellStyle name="Обычный 8 3 2 6 3 3 3" xfId="40036"/>
    <cellStyle name="Обычный 8 3 2 6 3 4" xfId="40037"/>
    <cellStyle name="Обычный 8 3 2 6 3 4 2" xfId="40038"/>
    <cellStyle name="Обычный 8 3 2 6 3 5" xfId="40039"/>
    <cellStyle name="Обычный 8 3 2 6 3 6" xfId="40040"/>
    <cellStyle name="Обычный 8 3 2 6 4" xfId="40041"/>
    <cellStyle name="Обычный 8 3 2 6 4 2" xfId="40042"/>
    <cellStyle name="Обычный 8 3 2 6 4 3" xfId="40043"/>
    <cellStyle name="Обычный 8 3 2 6 5" xfId="40044"/>
    <cellStyle name="Обычный 8 3 2 6 5 2" xfId="40045"/>
    <cellStyle name="Обычный 8 3 2 6 5 3" xfId="40046"/>
    <cellStyle name="Обычный 8 3 2 6 6" xfId="40047"/>
    <cellStyle name="Обычный 8 3 2 6 6 2" xfId="40048"/>
    <cellStyle name="Обычный 8 3 2 6 7" xfId="40049"/>
    <cellStyle name="Обычный 8 3 2 6 8" xfId="40050"/>
    <cellStyle name="Обычный 8 3 2 7" xfId="40051"/>
    <cellStyle name="Обычный 8 3 2 7 2" xfId="40052"/>
    <cellStyle name="Обычный 8 3 2 7 2 2" xfId="40053"/>
    <cellStyle name="Обычный 8 3 2 7 2 2 2" xfId="40054"/>
    <cellStyle name="Обычный 8 3 2 7 2 2 3" xfId="40055"/>
    <cellStyle name="Обычный 8 3 2 7 2 3" xfId="40056"/>
    <cellStyle name="Обычный 8 3 2 7 2 3 2" xfId="40057"/>
    <cellStyle name="Обычный 8 3 2 7 2 3 3" xfId="40058"/>
    <cellStyle name="Обычный 8 3 2 7 2 4" xfId="40059"/>
    <cellStyle name="Обычный 8 3 2 7 2 4 2" xfId="40060"/>
    <cellStyle name="Обычный 8 3 2 7 2 5" xfId="40061"/>
    <cellStyle name="Обычный 8 3 2 7 2 6" xfId="40062"/>
    <cellStyle name="Обычный 8 3 2 7 3" xfId="40063"/>
    <cellStyle name="Обычный 8 3 2 7 3 2" xfId="40064"/>
    <cellStyle name="Обычный 8 3 2 7 3 3" xfId="40065"/>
    <cellStyle name="Обычный 8 3 2 7 4" xfId="40066"/>
    <cellStyle name="Обычный 8 3 2 7 4 2" xfId="40067"/>
    <cellStyle name="Обычный 8 3 2 7 4 3" xfId="40068"/>
    <cellStyle name="Обычный 8 3 2 7 5" xfId="40069"/>
    <cellStyle name="Обычный 8 3 2 7 5 2" xfId="40070"/>
    <cellStyle name="Обычный 8 3 2 7 6" xfId="40071"/>
    <cellStyle name="Обычный 8 3 2 7 7" xfId="40072"/>
    <cellStyle name="Обычный 8 3 2 8" xfId="40073"/>
    <cellStyle name="Обычный 8 3 2 8 2" xfId="40074"/>
    <cellStyle name="Обычный 8 3 2 8 2 2" xfId="40075"/>
    <cellStyle name="Обычный 8 3 2 8 2 3" xfId="40076"/>
    <cellStyle name="Обычный 8 3 2 8 3" xfId="40077"/>
    <cellStyle name="Обычный 8 3 2 8 3 2" xfId="40078"/>
    <cellStyle name="Обычный 8 3 2 8 3 3" xfId="40079"/>
    <cellStyle name="Обычный 8 3 2 8 4" xfId="40080"/>
    <cellStyle name="Обычный 8 3 2 8 4 2" xfId="40081"/>
    <cellStyle name="Обычный 8 3 2 8 5" xfId="40082"/>
    <cellStyle name="Обычный 8 3 2 8 6" xfId="40083"/>
    <cellStyle name="Обычный 8 3 2 9" xfId="40084"/>
    <cellStyle name="Обычный 8 3 2 9 2" xfId="40085"/>
    <cellStyle name="Обычный 8 3 2 9 3" xfId="40086"/>
    <cellStyle name="Обычный 8 3 3" xfId="40087"/>
    <cellStyle name="Обычный 8 3 3 10" xfId="40088"/>
    <cellStyle name="Обычный 8 3 3 2" xfId="40089"/>
    <cellStyle name="Обычный 8 3 3 2 2" xfId="40090"/>
    <cellStyle name="Обычный 8 3 3 2 2 2" xfId="40091"/>
    <cellStyle name="Обычный 8 3 3 2 2 2 2" xfId="40092"/>
    <cellStyle name="Обычный 8 3 3 2 2 2 2 2" xfId="40093"/>
    <cellStyle name="Обычный 8 3 3 2 2 2 2 2 2" xfId="40094"/>
    <cellStyle name="Обычный 8 3 3 2 2 2 2 2 3" xfId="40095"/>
    <cellStyle name="Обычный 8 3 3 2 2 2 2 3" xfId="40096"/>
    <cellStyle name="Обычный 8 3 3 2 2 2 2 3 2" xfId="40097"/>
    <cellStyle name="Обычный 8 3 3 2 2 2 2 3 3" xfId="40098"/>
    <cellStyle name="Обычный 8 3 3 2 2 2 2 4" xfId="40099"/>
    <cellStyle name="Обычный 8 3 3 2 2 2 2 4 2" xfId="40100"/>
    <cellStyle name="Обычный 8 3 3 2 2 2 2 5" xfId="40101"/>
    <cellStyle name="Обычный 8 3 3 2 2 2 2 6" xfId="40102"/>
    <cellStyle name="Обычный 8 3 3 2 2 2 3" xfId="40103"/>
    <cellStyle name="Обычный 8 3 3 2 2 2 3 2" xfId="40104"/>
    <cellStyle name="Обычный 8 3 3 2 2 2 3 3" xfId="40105"/>
    <cellStyle name="Обычный 8 3 3 2 2 2 4" xfId="40106"/>
    <cellStyle name="Обычный 8 3 3 2 2 2 4 2" xfId="40107"/>
    <cellStyle name="Обычный 8 3 3 2 2 2 4 3" xfId="40108"/>
    <cellStyle name="Обычный 8 3 3 2 2 2 5" xfId="40109"/>
    <cellStyle name="Обычный 8 3 3 2 2 2 5 2" xfId="40110"/>
    <cellStyle name="Обычный 8 3 3 2 2 2 6" xfId="40111"/>
    <cellStyle name="Обычный 8 3 3 2 2 2 7" xfId="40112"/>
    <cellStyle name="Обычный 8 3 3 2 2 3" xfId="40113"/>
    <cellStyle name="Обычный 8 3 3 2 2 3 2" xfId="40114"/>
    <cellStyle name="Обычный 8 3 3 2 2 3 2 2" xfId="40115"/>
    <cellStyle name="Обычный 8 3 3 2 2 3 2 3" xfId="40116"/>
    <cellStyle name="Обычный 8 3 3 2 2 3 3" xfId="40117"/>
    <cellStyle name="Обычный 8 3 3 2 2 3 3 2" xfId="40118"/>
    <cellStyle name="Обычный 8 3 3 2 2 3 3 3" xfId="40119"/>
    <cellStyle name="Обычный 8 3 3 2 2 3 4" xfId="40120"/>
    <cellStyle name="Обычный 8 3 3 2 2 3 4 2" xfId="40121"/>
    <cellStyle name="Обычный 8 3 3 2 2 3 5" xfId="40122"/>
    <cellStyle name="Обычный 8 3 3 2 2 3 6" xfId="40123"/>
    <cellStyle name="Обычный 8 3 3 2 2 4" xfId="40124"/>
    <cellStyle name="Обычный 8 3 3 2 2 4 2" xfId="40125"/>
    <cellStyle name="Обычный 8 3 3 2 2 4 3" xfId="40126"/>
    <cellStyle name="Обычный 8 3 3 2 2 5" xfId="40127"/>
    <cellStyle name="Обычный 8 3 3 2 2 5 2" xfId="40128"/>
    <cellStyle name="Обычный 8 3 3 2 2 5 3" xfId="40129"/>
    <cellStyle name="Обычный 8 3 3 2 2 6" xfId="40130"/>
    <cellStyle name="Обычный 8 3 3 2 2 6 2" xfId="40131"/>
    <cellStyle name="Обычный 8 3 3 2 2 7" xfId="40132"/>
    <cellStyle name="Обычный 8 3 3 2 2 8" xfId="40133"/>
    <cellStyle name="Обычный 8 3 3 2 3" xfId="40134"/>
    <cellStyle name="Обычный 8 3 3 2 3 2" xfId="40135"/>
    <cellStyle name="Обычный 8 3 3 2 3 2 2" xfId="40136"/>
    <cellStyle name="Обычный 8 3 3 2 3 2 2 2" xfId="40137"/>
    <cellStyle name="Обычный 8 3 3 2 3 2 2 3" xfId="40138"/>
    <cellStyle name="Обычный 8 3 3 2 3 2 3" xfId="40139"/>
    <cellStyle name="Обычный 8 3 3 2 3 2 3 2" xfId="40140"/>
    <cellStyle name="Обычный 8 3 3 2 3 2 3 3" xfId="40141"/>
    <cellStyle name="Обычный 8 3 3 2 3 2 4" xfId="40142"/>
    <cellStyle name="Обычный 8 3 3 2 3 2 4 2" xfId="40143"/>
    <cellStyle name="Обычный 8 3 3 2 3 2 5" xfId="40144"/>
    <cellStyle name="Обычный 8 3 3 2 3 2 6" xfId="40145"/>
    <cellStyle name="Обычный 8 3 3 2 3 3" xfId="40146"/>
    <cellStyle name="Обычный 8 3 3 2 3 3 2" xfId="40147"/>
    <cellStyle name="Обычный 8 3 3 2 3 3 3" xfId="40148"/>
    <cellStyle name="Обычный 8 3 3 2 3 4" xfId="40149"/>
    <cellStyle name="Обычный 8 3 3 2 3 4 2" xfId="40150"/>
    <cellStyle name="Обычный 8 3 3 2 3 4 3" xfId="40151"/>
    <cellStyle name="Обычный 8 3 3 2 3 5" xfId="40152"/>
    <cellStyle name="Обычный 8 3 3 2 3 5 2" xfId="40153"/>
    <cellStyle name="Обычный 8 3 3 2 3 6" xfId="40154"/>
    <cellStyle name="Обычный 8 3 3 2 3 7" xfId="40155"/>
    <cellStyle name="Обычный 8 3 3 2 4" xfId="40156"/>
    <cellStyle name="Обычный 8 3 3 2 4 2" xfId="40157"/>
    <cellStyle name="Обычный 8 3 3 2 4 2 2" xfId="40158"/>
    <cellStyle name="Обычный 8 3 3 2 4 2 3" xfId="40159"/>
    <cellStyle name="Обычный 8 3 3 2 4 3" xfId="40160"/>
    <cellStyle name="Обычный 8 3 3 2 4 3 2" xfId="40161"/>
    <cellStyle name="Обычный 8 3 3 2 4 3 3" xfId="40162"/>
    <cellStyle name="Обычный 8 3 3 2 4 4" xfId="40163"/>
    <cellStyle name="Обычный 8 3 3 2 4 4 2" xfId="40164"/>
    <cellStyle name="Обычный 8 3 3 2 4 5" xfId="40165"/>
    <cellStyle name="Обычный 8 3 3 2 4 6" xfId="40166"/>
    <cellStyle name="Обычный 8 3 3 2 5" xfId="40167"/>
    <cellStyle name="Обычный 8 3 3 2 5 2" xfId="40168"/>
    <cellStyle name="Обычный 8 3 3 2 5 3" xfId="40169"/>
    <cellStyle name="Обычный 8 3 3 2 6" xfId="40170"/>
    <cellStyle name="Обычный 8 3 3 2 6 2" xfId="40171"/>
    <cellStyle name="Обычный 8 3 3 2 6 3" xfId="40172"/>
    <cellStyle name="Обычный 8 3 3 2 7" xfId="40173"/>
    <cellStyle name="Обычный 8 3 3 2 7 2" xfId="40174"/>
    <cellStyle name="Обычный 8 3 3 2 8" xfId="40175"/>
    <cellStyle name="Обычный 8 3 3 2 9" xfId="40176"/>
    <cellStyle name="Обычный 8 3 3 3" xfId="40177"/>
    <cellStyle name="Обычный 8 3 3 3 2" xfId="40178"/>
    <cellStyle name="Обычный 8 3 3 3 2 2" xfId="40179"/>
    <cellStyle name="Обычный 8 3 3 3 2 2 2" xfId="40180"/>
    <cellStyle name="Обычный 8 3 3 3 2 2 2 2" xfId="40181"/>
    <cellStyle name="Обычный 8 3 3 3 2 2 2 3" xfId="40182"/>
    <cellStyle name="Обычный 8 3 3 3 2 2 3" xfId="40183"/>
    <cellStyle name="Обычный 8 3 3 3 2 2 3 2" xfId="40184"/>
    <cellStyle name="Обычный 8 3 3 3 2 2 3 3" xfId="40185"/>
    <cellStyle name="Обычный 8 3 3 3 2 2 4" xfId="40186"/>
    <cellStyle name="Обычный 8 3 3 3 2 2 4 2" xfId="40187"/>
    <cellStyle name="Обычный 8 3 3 3 2 2 5" xfId="40188"/>
    <cellStyle name="Обычный 8 3 3 3 2 2 6" xfId="40189"/>
    <cellStyle name="Обычный 8 3 3 3 2 3" xfId="40190"/>
    <cellStyle name="Обычный 8 3 3 3 2 3 2" xfId="40191"/>
    <cellStyle name="Обычный 8 3 3 3 2 3 3" xfId="40192"/>
    <cellStyle name="Обычный 8 3 3 3 2 4" xfId="40193"/>
    <cellStyle name="Обычный 8 3 3 3 2 4 2" xfId="40194"/>
    <cellStyle name="Обычный 8 3 3 3 2 4 3" xfId="40195"/>
    <cellStyle name="Обычный 8 3 3 3 2 5" xfId="40196"/>
    <cellStyle name="Обычный 8 3 3 3 2 5 2" xfId="40197"/>
    <cellStyle name="Обычный 8 3 3 3 2 6" xfId="40198"/>
    <cellStyle name="Обычный 8 3 3 3 2 7" xfId="40199"/>
    <cellStyle name="Обычный 8 3 3 3 3" xfId="40200"/>
    <cellStyle name="Обычный 8 3 3 3 3 2" xfId="40201"/>
    <cellStyle name="Обычный 8 3 3 3 3 2 2" xfId="40202"/>
    <cellStyle name="Обычный 8 3 3 3 3 2 3" xfId="40203"/>
    <cellStyle name="Обычный 8 3 3 3 3 3" xfId="40204"/>
    <cellStyle name="Обычный 8 3 3 3 3 3 2" xfId="40205"/>
    <cellStyle name="Обычный 8 3 3 3 3 3 3" xfId="40206"/>
    <cellStyle name="Обычный 8 3 3 3 3 4" xfId="40207"/>
    <cellStyle name="Обычный 8 3 3 3 3 4 2" xfId="40208"/>
    <cellStyle name="Обычный 8 3 3 3 3 5" xfId="40209"/>
    <cellStyle name="Обычный 8 3 3 3 3 6" xfId="40210"/>
    <cellStyle name="Обычный 8 3 3 3 4" xfId="40211"/>
    <cellStyle name="Обычный 8 3 3 3 4 2" xfId="40212"/>
    <cellStyle name="Обычный 8 3 3 3 4 3" xfId="40213"/>
    <cellStyle name="Обычный 8 3 3 3 5" xfId="40214"/>
    <cellStyle name="Обычный 8 3 3 3 5 2" xfId="40215"/>
    <cellStyle name="Обычный 8 3 3 3 5 3" xfId="40216"/>
    <cellStyle name="Обычный 8 3 3 3 6" xfId="40217"/>
    <cellStyle name="Обычный 8 3 3 3 6 2" xfId="40218"/>
    <cellStyle name="Обычный 8 3 3 3 7" xfId="40219"/>
    <cellStyle name="Обычный 8 3 3 3 8" xfId="40220"/>
    <cellStyle name="Обычный 8 3 3 4" xfId="40221"/>
    <cellStyle name="Обычный 8 3 3 4 2" xfId="40222"/>
    <cellStyle name="Обычный 8 3 3 4 2 2" xfId="40223"/>
    <cellStyle name="Обычный 8 3 3 4 2 2 2" xfId="40224"/>
    <cellStyle name="Обычный 8 3 3 4 2 2 3" xfId="40225"/>
    <cellStyle name="Обычный 8 3 3 4 2 3" xfId="40226"/>
    <cellStyle name="Обычный 8 3 3 4 2 3 2" xfId="40227"/>
    <cellStyle name="Обычный 8 3 3 4 2 3 3" xfId="40228"/>
    <cellStyle name="Обычный 8 3 3 4 2 4" xfId="40229"/>
    <cellStyle name="Обычный 8 3 3 4 2 4 2" xfId="40230"/>
    <cellStyle name="Обычный 8 3 3 4 2 5" xfId="40231"/>
    <cellStyle name="Обычный 8 3 3 4 2 6" xfId="40232"/>
    <cellStyle name="Обычный 8 3 3 4 3" xfId="40233"/>
    <cellStyle name="Обычный 8 3 3 4 3 2" xfId="40234"/>
    <cellStyle name="Обычный 8 3 3 4 3 3" xfId="40235"/>
    <cellStyle name="Обычный 8 3 3 4 4" xfId="40236"/>
    <cellStyle name="Обычный 8 3 3 4 4 2" xfId="40237"/>
    <cellStyle name="Обычный 8 3 3 4 4 3" xfId="40238"/>
    <cellStyle name="Обычный 8 3 3 4 5" xfId="40239"/>
    <cellStyle name="Обычный 8 3 3 4 5 2" xfId="40240"/>
    <cellStyle name="Обычный 8 3 3 4 6" xfId="40241"/>
    <cellStyle name="Обычный 8 3 3 4 7" xfId="40242"/>
    <cellStyle name="Обычный 8 3 3 5" xfId="40243"/>
    <cellStyle name="Обычный 8 3 3 5 2" xfId="40244"/>
    <cellStyle name="Обычный 8 3 3 5 2 2" xfId="40245"/>
    <cellStyle name="Обычный 8 3 3 5 2 3" xfId="40246"/>
    <cellStyle name="Обычный 8 3 3 5 3" xfId="40247"/>
    <cellStyle name="Обычный 8 3 3 5 3 2" xfId="40248"/>
    <cellStyle name="Обычный 8 3 3 5 3 3" xfId="40249"/>
    <cellStyle name="Обычный 8 3 3 5 4" xfId="40250"/>
    <cellStyle name="Обычный 8 3 3 5 4 2" xfId="40251"/>
    <cellStyle name="Обычный 8 3 3 5 5" xfId="40252"/>
    <cellStyle name="Обычный 8 3 3 5 6" xfId="40253"/>
    <cellStyle name="Обычный 8 3 3 6" xfId="40254"/>
    <cellStyle name="Обычный 8 3 3 6 2" xfId="40255"/>
    <cellStyle name="Обычный 8 3 3 6 3" xfId="40256"/>
    <cellStyle name="Обычный 8 3 3 7" xfId="40257"/>
    <cellStyle name="Обычный 8 3 3 7 2" xfId="40258"/>
    <cellStyle name="Обычный 8 3 3 7 3" xfId="40259"/>
    <cellStyle name="Обычный 8 3 3 8" xfId="40260"/>
    <cellStyle name="Обычный 8 3 3 8 2" xfId="40261"/>
    <cellStyle name="Обычный 8 3 3 9" xfId="40262"/>
    <cellStyle name="Обычный 8 3 4" xfId="40263"/>
    <cellStyle name="Обычный 8 3 4 10" xfId="40264"/>
    <cellStyle name="Обычный 8 3 4 2" xfId="40265"/>
    <cellStyle name="Обычный 8 3 4 2 2" xfId="40266"/>
    <cellStyle name="Обычный 8 3 4 2 2 2" xfId="40267"/>
    <cellStyle name="Обычный 8 3 4 2 2 2 2" xfId="40268"/>
    <cellStyle name="Обычный 8 3 4 2 2 2 2 2" xfId="40269"/>
    <cellStyle name="Обычный 8 3 4 2 2 2 2 2 2" xfId="40270"/>
    <cellStyle name="Обычный 8 3 4 2 2 2 2 2 3" xfId="40271"/>
    <cellStyle name="Обычный 8 3 4 2 2 2 2 3" xfId="40272"/>
    <cellStyle name="Обычный 8 3 4 2 2 2 2 3 2" xfId="40273"/>
    <cellStyle name="Обычный 8 3 4 2 2 2 2 3 3" xfId="40274"/>
    <cellStyle name="Обычный 8 3 4 2 2 2 2 4" xfId="40275"/>
    <cellStyle name="Обычный 8 3 4 2 2 2 2 4 2" xfId="40276"/>
    <cellStyle name="Обычный 8 3 4 2 2 2 2 5" xfId="40277"/>
    <cellStyle name="Обычный 8 3 4 2 2 2 2 6" xfId="40278"/>
    <cellStyle name="Обычный 8 3 4 2 2 2 3" xfId="40279"/>
    <cellStyle name="Обычный 8 3 4 2 2 2 3 2" xfId="40280"/>
    <cellStyle name="Обычный 8 3 4 2 2 2 3 3" xfId="40281"/>
    <cellStyle name="Обычный 8 3 4 2 2 2 4" xfId="40282"/>
    <cellStyle name="Обычный 8 3 4 2 2 2 4 2" xfId="40283"/>
    <cellStyle name="Обычный 8 3 4 2 2 2 4 3" xfId="40284"/>
    <cellStyle name="Обычный 8 3 4 2 2 2 5" xfId="40285"/>
    <cellStyle name="Обычный 8 3 4 2 2 2 5 2" xfId="40286"/>
    <cellStyle name="Обычный 8 3 4 2 2 2 6" xfId="40287"/>
    <cellStyle name="Обычный 8 3 4 2 2 2 7" xfId="40288"/>
    <cellStyle name="Обычный 8 3 4 2 2 3" xfId="40289"/>
    <cellStyle name="Обычный 8 3 4 2 2 3 2" xfId="40290"/>
    <cellStyle name="Обычный 8 3 4 2 2 3 2 2" xfId="40291"/>
    <cellStyle name="Обычный 8 3 4 2 2 3 2 3" xfId="40292"/>
    <cellStyle name="Обычный 8 3 4 2 2 3 3" xfId="40293"/>
    <cellStyle name="Обычный 8 3 4 2 2 3 3 2" xfId="40294"/>
    <cellStyle name="Обычный 8 3 4 2 2 3 3 3" xfId="40295"/>
    <cellStyle name="Обычный 8 3 4 2 2 3 4" xfId="40296"/>
    <cellStyle name="Обычный 8 3 4 2 2 3 4 2" xfId="40297"/>
    <cellStyle name="Обычный 8 3 4 2 2 3 5" xfId="40298"/>
    <cellStyle name="Обычный 8 3 4 2 2 3 6" xfId="40299"/>
    <cellStyle name="Обычный 8 3 4 2 2 4" xfId="40300"/>
    <cellStyle name="Обычный 8 3 4 2 2 4 2" xfId="40301"/>
    <cellStyle name="Обычный 8 3 4 2 2 4 3" xfId="40302"/>
    <cellStyle name="Обычный 8 3 4 2 2 5" xfId="40303"/>
    <cellStyle name="Обычный 8 3 4 2 2 5 2" xfId="40304"/>
    <cellStyle name="Обычный 8 3 4 2 2 5 3" xfId="40305"/>
    <cellStyle name="Обычный 8 3 4 2 2 6" xfId="40306"/>
    <cellStyle name="Обычный 8 3 4 2 2 6 2" xfId="40307"/>
    <cellStyle name="Обычный 8 3 4 2 2 7" xfId="40308"/>
    <cellStyle name="Обычный 8 3 4 2 2 8" xfId="40309"/>
    <cellStyle name="Обычный 8 3 4 2 3" xfId="40310"/>
    <cellStyle name="Обычный 8 3 4 2 3 2" xfId="40311"/>
    <cellStyle name="Обычный 8 3 4 2 3 2 2" xfId="40312"/>
    <cellStyle name="Обычный 8 3 4 2 3 2 2 2" xfId="40313"/>
    <cellStyle name="Обычный 8 3 4 2 3 2 2 3" xfId="40314"/>
    <cellStyle name="Обычный 8 3 4 2 3 2 3" xfId="40315"/>
    <cellStyle name="Обычный 8 3 4 2 3 2 3 2" xfId="40316"/>
    <cellStyle name="Обычный 8 3 4 2 3 2 3 3" xfId="40317"/>
    <cellStyle name="Обычный 8 3 4 2 3 2 4" xfId="40318"/>
    <cellStyle name="Обычный 8 3 4 2 3 2 4 2" xfId="40319"/>
    <cellStyle name="Обычный 8 3 4 2 3 2 5" xfId="40320"/>
    <cellStyle name="Обычный 8 3 4 2 3 2 6" xfId="40321"/>
    <cellStyle name="Обычный 8 3 4 2 3 3" xfId="40322"/>
    <cellStyle name="Обычный 8 3 4 2 3 3 2" xfId="40323"/>
    <cellStyle name="Обычный 8 3 4 2 3 3 3" xfId="40324"/>
    <cellStyle name="Обычный 8 3 4 2 3 4" xfId="40325"/>
    <cellStyle name="Обычный 8 3 4 2 3 4 2" xfId="40326"/>
    <cellStyle name="Обычный 8 3 4 2 3 4 3" xfId="40327"/>
    <cellStyle name="Обычный 8 3 4 2 3 5" xfId="40328"/>
    <cellStyle name="Обычный 8 3 4 2 3 5 2" xfId="40329"/>
    <cellStyle name="Обычный 8 3 4 2 3 6" xfId="40330"/>
    <cellStyle name="Обычный 8 3 4 2 3 7" xfId="40331"/>
    <cellStyle name="Обычный 8 3 4 2 4" xfId="40332"/>
    <cellStyle name="Обычный 8 3 4 2 4 2" xfId="40333"/>
    <cellStyle name="Обычный 8 3 4 2 4 2 2" xfId="40334"/>
    <cellStyle name="Обычный 8 3 4 2 4 2 3" xfId="40335"/>
    <cellStyle name="Обычный 8 3 4 2 4 3" xfId="40336"/>
    <cellStyle name="Обычный 8 3 4 2 4 3 2" xfId="40337"/>
    <cellStyle name="Обычный 8 3 4 2 4 3 3" xfId="40338"/>
    <cellStyle name="Обычный 8 3 4 2 4 4" xfId="40339"/>
    <cellStyle name="Обычный 8 3 4 2 4 4 2" xfId="40340"/>
    <cellStyle name="Обычный 8 3 4 2 4 5" xfId="40341"/>
    <cellStyle name="Обычный 8 3 4 2 4 6" xfId="40342"/>
    <cellStyle name="Обычный 8 3 4 2 5" xfId="40343"/>
    <cellStyle name="Обычный 8 3 4 2 5 2" xfId="40344"/>
    <cellStyle name="Обычный 8 3 4 2 5 3" xfId="40345"/>
    <cellStyle name="Обычный 8 3 4 2 6" xfId="40346"/>
    <cellStyle name="Обычный 8 3 4 2 6 2" xfId="40347"/>
    <cellStyle name="Обычный 8 3 4 2 6 3" xfId="40348"/>
    <cellStyle name="Обычный 8 3 4 2 7" xfId="40349"/>
    <cellStyle name="Обычный 8 3 4 2 7 2" xfId="40350"/>
    <cellStyle name="Обычный 8 3 4 2 8" xfId="40351"/>
    <cellStyle name="Обычный 8 3 4 2 9" xfId="40352"/>
    <cellStyle name="Обычный 8 3 4 3" xfId="40353"/>
    <cellStyle name="Обычный 8 3 4 3 2" xfId="40354"/>
    <cellStyle name="Обычный 8 3 4 3 2 2" xfId="40355"/>
    <cellStyle name="Обычный 8 3 4 3 2 2 2" xfId="40356"/>
    <cellStyle name="Обычный 8 3 4 3 2 2 2 2" xfId="40357"/>
    <cellStyle name="Обычный 8 3 4 3 2 2 2 3" xfId="40358"/>
    <cellStyle name="Обычный 8 3 4 3 2 2 3" xfId="40359"/>
    <cellStyle name="Обычный 8 3 4 3 2 2 3 2" xfId="40360"/>
    <cellStyle name="Обычный 8 3 4 3 2 2 3 3" xfId="40361"/>
    <cellStyle name="Обычный 8 3 4 3 2 2 4" xfId="40362"/>
    <cellStyle name="Обычный 8 3 4 3 2 2 4 2" xfId="40363"/>
    <cellStyle name="Обычный 8 3 4 3 2 2 5" xfId="40364"/>
    <cellStyle name="Обычный 8 3 4 3 2 2 6" xfId="40365"/>
    <cellStyle name="Обычный 8 3 4 3 2 3" xfId="40366"/>
    <cellStyle name="Обычный 8 3 4 3 2 3 2" xfId="40367"/>
    <cellStyle name="Обычный 8 3 4 3 2 3 3" xfId="40368"/>
    <cellStyle name="Обычный 8 3 4 3 2 4" xfId="40369"/>
    <cellStyle name="Обычный 8 3 4 3 2 4 2" xfId="40370"/>
    <cellStyle name="Обычный 8 3 4 3 2 4 3" xfId="40371"/>
    <cellStyle name="Обычный 8 3 4 3 2 5" xfId="40372"/>
    <cellStyle name="Обычный 8 3 4 3 2 5 2" xfId="40373"/>
    <cellStyle name="Обычный 8 3 4 3 2 6" xfId="40374"/>
    <cellStyle name="Обычный 8 3 4 3 2 7" xfId="40375"/>
    <cellStyle name="Обычный 8 3 4 3 3" xfId="40376"/>
    <cellStyle name="Обычный 8 3 4 3 3 2" xfId="40377"/>
    <cellStyle name="Обычный 8 3 4 3 3 2 2" xfId="40378"/>
    <cellStyle name="Обычный 8 3 4 3 3 2 3" xfId="40379"/>
    <cellStyle name="Обычный 8 3 4 3 3 3" xfId="40380"/>
    <cellStyle name="Обычный 8 3 4 3 3 3 2" xfId="40381"/>
    <cellStyle name="Обычный 8 3 4 3 3 3 3" xfId="40382"/>
    <cellStyle name="Обычный 8 3 4 3 3 4" xfId="40383"/>
    <cellStyle name="Обычный 8 3 4 3 3 4 2" xfId="40384"/>
    <cellStyle name="Обычный 8 3 4 3 3 5" xfId="40385"/>
    <cellStyle name="Обычный 8 3 4 3 3 6" xfId="40386"/>
    <cellStyle name="Обычный 8 3 4 3 4" xfId="40387"/>
    <cellStyle name="Обычный 8 3 4 3 4 2" xfId="40388"/>
    <cellStyle name="Обычный 8 3 4 3 4 3" xfId="40389"/>
    <cellStyle name="Обычный 8 3 4 3 5" xfId="40390"/>
    <cellStyle name="Обычный 8 3 4 3 5 2" xfId="40391"/>
    <cellStyle name="Обычный 8 3 4 3 5 3" xfId="40392"/>
    <cellStyle name="Обычный 8 3 4 3 6" xfId="40393"/>
    <cellStyle name="Обычный 8 3 4 3 6 2" xfId="40394"/>
    <cellStyle name="Обычный 8 3 4 3 7" xfId="40395"/>
    <cellStyle name="Обычный 8 3 4 3 8" xfId="40396"/>
    <cellStyle name="Обычный 8 3 4 4" xfId="40397"/>
    <cellStyle name="Обычный 8 3 4 4 2" xfId="40398"/>
    <cellStyle name="Обычный 8 3 4 4 2 2" xfId="40399"/>
    <cellStyle name="Обычный 8 3 4 4 2 2 2" xfId="40400"/>
    <cellStyle name="Обычный 8 3 4 4 2 2 3" xfId="40401"/>
    <cellStyle name="Обычный 8 3 4 4 2 3" xfId="40402"/>
    <cellStyle name="Обычный 8 3 4 4 2 3 2" xfId="40403"/>
    <cellStyle name="Обычный 8 3 4 4 2 3 3" xfId="40404"/>
    <cellStyle name="Обычный 8 3 4 4 2 4" xfId="40405"/>
    <cellStyle name="Обычный 8 3 4 4 2 4 2" xfId="40406"/>
    <cellStyle name="Обычный 8 3 4 4 2 5" xfId="40407"/>
    <cellStyle name="Обычный 8 3 4 4 2 6" xfId="40408"/>
    <cellStyle name="Обычный 8 3 4 4 3" xfId="40409"/>
    <cellStyle name="Обычный 8 3 4 4 3 2" xfId="40410"/>
    <cellStyle name="Обычный 8 3 4 4 3 3" xfId="40411"/>
    <cellStyle name="Обычный 8 3 4 4 4" xfId="40412"/>
    <cellStyle name="Обычный 8 3 4 4 4 2" xfId="40413"/>
    <cellStyle name="Обычный 8 3 4 4 4 3" xfId="40414"/>
    <cellStyle name="Обычный 8 3 4 4 5" xfId="40415"/>
    <cellStyle name="Обычный 8 3 4 4 5 2" xfId="40416"/>
    <cellStyle name="Обычный 8 3 4 4 6" xfId="40417"/>
    <cellStyle name="Обычный 8 3 4 4 7" xfId="40418"/>
    <cellStyle name="Обычный 8 3 4 5" xfId="40419"/>
    <cellStyle name="Обычный 8 3 4 5 2" xfId="40420"/>
    <cellStyle name="Обычный 8 3 4 5 2 2" xfId="40421"/>
    <cellStyle name="Обычный 8 3 4 5 2 3" xfId="40422"/>
    <cellStyle name="Обычный 8 3 4 5 3" xfId="40423"/>
    <cellStyle name="Обычный 8 3 4 5 3 2" xfId="40424"/>
    <cellStyle name="Обычный 8 3 4 5 3 3" xfId="40425"/>
    <cellStyle name="Обычный 8 3 4 5 4" xfId="40426"/>
    <cellStyle name="Обычный 8 3 4 5 4 2" xfId="40427"/>
    <cellStyle name="Обычный 8 3 4 5 5" xfId="40428"/>
    <cellStyle name="Обычный 8 3 4 5 6" xfId="40429"/>
    <cellStyle name="Обычный 8 3 4 6" xfId="40430"/>
    <cellStyle name="Обычный 8 3 4 6 2" xfId="40431"/>
    <cellStyle name="Обычный 8 3 4 6 3" xfId="40432"/>
    <cellStyle name="Обычный 8 3 4 7" xfId="40433"/>
    <cellStyle name="Обычный 8 3 4 7 2" xfId="40434"/>
    <cellStyle name="Обычный 8 3 4 7 3" xfId="40435"/>
    <cellStyle name="Обычный 8 3 4 8" xfId="40436"/>
    <cellStyle name="Обычный 8 3 4 8 2" xfId="40437"/>
    <cellStyle name="Обычный 8 3 4 9" xfId="40438"/>
    <cellStyle name="Обычный 8 3 5" xfId="40439"/>
    <cellStyle name="Обычный 8 3 5 10" xfId="40440"/>
    <cellStyle name="Обычный 8 3 5 2" xfId="40441"/>
    <cellStyle name="Обычный 8 3 5 2 2" xfId="40442"/>
    <cellStyle name="Обычный 8 3 5 2 2 2" xfId="40443"/>
    <cellStyle name="Обычный 8 3 5 2 2 2 2" xfId="40444"/>
    <cellStyle name="Обычный 8 3 5 2 2 2 2 2" xfId="40445"/>
    <cellStyle name="Обычный 8 3 5 2 2 2 2 2 2" xfId="40446"/>
    <cellStyle name="Обычный 8 3 5 2 2 2 2 2 3" xfId="40447"/>
    <cellStyle name="Обычный 8 3 5 2 2 2 2 3" xfId="40448"/>
    <cellStyle name="Обычный 8 3 5 2 2 2 2 3 2" xfId="40449"/>
    <cellStyle name="Обычный 8 3 5 2 2 2 2 3 3" xfId="40450"/>
    <cellStyle name="Обычный 8 3 5 2 2 2 2 4" xfId="40451"/>
    <cellStyle name="Обычный 8 3 5 2 2 2 2 4 2" xfId="40452"/>
    <cellStyle name="Обычный 8 3 5 2 2 2 2 5" xfId="40453"/>
    <cellStyle name="Обычный 8 3 5 2 2 2 2 6" xfId="40454"/>
    <cellStyle name="Обычный 8 3 5 2 2 2 3" xfId="40455"/>
    <cellStyle name="Обычный 8 3 5 2 2 2 3 2" xfId="40456"/>
    <cellStyle name="Обычный 8 3 5 2 2 2 3 3" xfId="40457"/>
    <cellStyle name="Обычный 8 3 5 2 2 2 4" xfId="40458"/>
    <cellStyle name="Обычный 8 3 5 2 2 2 4 2" xfId="40459"/>
    <cellStyle name="Обычный 8 3 5 2 2 2 4 3" xfId="40460"/>
    <cellStyle name="Обычный 8 3 5 2 2 2 5" xfId="40461"/>
    <cellStyle name="Обычный 8 3 5 2 2 2 5 2" xfId="40462"/>
    <cellStyle name="Обычный 8 3 5 2 2 2 6" xfId="40463"/>
    <cellStyle name="Обычный 8 3 5 2 2 2 7" xfId="40464"/>
    <cellStyle name="Обычный 8 3 5 2 2 3" xfId="40465"/>
    <cellStyle name="Обычный 8 3 5 2 2 3 2" xfId="40466"/>
    <cellStyle name="Обычный 8 3 5 2 2 3 2 2" xfId="40467"/>
    <cellStyle name="Обычный 8 3 5 2 2 3 2 3" xfId="40468"/>
    <cellStyle name="Обычный 8 3 5 2 2 3 3" xfId="40469"/>
    <cellStyle name="Обычный 8 3 5 2 2 3 3 2" xfId="40470"/>
    <cellStyle name="Обычный 8 3 5 2 2 3 3 3" xfId="40471"/>
    <cellStyle name="Обычный 8 3 5 2 2 3 4" xfId="40472"/>
    <cellStyle name="Обычный 8 3 5 2 2 3 4 2" xfId="40473"/>
    <cellStyle name="Обычный 8 3 5 2 2 3 5" xfId="40474"/>
    <cellStyle name="Обычный 8 3 5 2 2 3 6" xfId="40475"/>
    <cellStyle name="Обычный 8 3 5 2 2 4" xfId="40476"/>
    <cellStyle name="Обычный 8 3 5 2 2 4 2" xfId="40477"/>
    <cellStyle name="Обычный 8 3 5 2 2 4 3" xfId="40478"/>
    <cellStyle name="Обычный 8 3 5 2 2 5" xfId="40479"/>
    <cellStyle name="Обычный 8 3 5 2 2 5 2" xfId="40480"/>
    <cellStyle name="Обычный 8 3 5 2 2 5 3" xfId="40481"/>
    <cellStyle name="Обычный 8 3 5 2 2 6" xfId="40482"/>
    <cellStyle name="Обычный 8 3 5 2 2 6 2" xfId="40483"/>
    <cellStyle name="Обычный 8 3 5 2 2 7" xfId="40484"/>
    <cellStyle name="Обычный 8 3 5 2 2 8" xfId="40485"/>
    <cellStyle name="Обычный 8 3 5 2 3" xfId="40486"/>
    <cellStyle name="Обычный 8 3 5 2 3 2" xfId="40487"/>
    <cellStyle name="Обычный 8 3 5 2 3 2 2" xfId="40488"/>
    <cellStyle name="Обычный 8 3 5 2 3 2 2 2" xfId="40489"/>
    <cellStyle name="Обычный 8 3 5 2 3 2 2 3" xfId="40490"/>
    <cellStyle name="Обычный 8 3 5 2 3 2 3" xfId="40491"/>
    <cellStyle name="Обычный 8 3 5 2 3 2 3 2" xfId="40492"/>
    <cellStyle name="Обычный 8 3 5 2 3 2 3 3" xfId="40493"/>
    <cellStyle name="Обычный 8 3 5 2 3 2 4" xfId="40494"/>
    <cellStyle name="Обычный 8 3 5 2 3 2 4 2" xfId="40495"/>
    <cellStyle name="Обычный 8 3 5 2 3 2 5" xfId="40496"/>
    <cellStyle name="Обычный 8 3 5 2 3 2 6" xfId="40497"/>
    <cellStyle name="Обычный 8 3 5 2 3 3" xfId="40498"/>
    <cellStyle name="Обычный 8 3 5 2 3 3 2" xfId="40499"/>
    <cellStyle name="Обычный 8 3 5 2 3 3 3" xfId="40500"/>
    <cellStyle name="Обычный 8 3 5 2 3 4" xfId="40501"/>
    <cellStyle name="Обычный 8 3 5 2 3 4 2" xfId="40502"/>
    <cellStyle name="Обычный 8 3 5 2 3 4 3" xfId="40503"/>
    <cellStyle name="Обычный 8 3 5 2 3 5" xfId="40504"/>
    <cellStyle name="Обычный 8 3 5 2 3 5 2" xfId="40505"/>
    <cellStyle name="Обычный 8 3 5 2 3 6" xfId="40506"/>
    <cellStyle name="Обычный 8 3 5 2 3 7" xfId="40507"/>
    <cellStyle name="Обычный 8 3 5 2 4" xfId="40508"/>
    <cellStyle name="Обычный 8 3 5 2 4 2" xfId="40509"/>
    <cellStyle name="Обычный 8 3 5 2 4 2 2" xfId="40510"/>
    <cellStyle name="Обычный 8 3 5 2 4 2 3" xfId="40511"/>
    <cellStyle name="Обычный 8 3 5 2 4 3" xfId="40512"/>
    <cellStyle name="Обычный 8 3 5 2 4 3 2" xfId="40513"/>
    <cellStyle name="Обычный 8 3 5 2 4 3 3" xfId="40514"/>
    <cellStyle name="Обычный 8 3 5 2 4 4" xfId="40515"/>
    <cellStyle name="Обычный 8 3 5 2 4 4 2" xfId="40516"/>
    <cellStyle name="Обычный 8 3 5 2 4 5" xfId="40517"/>
    <cellStyle name="Обычный 8 3 5 2 4 6" xfId="40518"/>
    <cellStyle name="Обычный 8 3 5 2 5" xfId="40519"/>
    <cellStyle name="Обычный 8 3 5 2 5 2" xfId="40520"/>
    <cellStyle name="Обычный 8 3 5 2 5 3" xfId="40521"/>
    <cellStyle name="Обычный 8 3 5 2 6" xfId="40522"/>
    <cellStyle name="Обычный 8 3 5 2 6 2" xfId="40523"/>
    <cellStyle name="Обычный 8 3 5 2 6 3" xfId="40524"/>
    <cellStyle name="Обычный 8 3 5 2 7" xfId="40525"/>
    <cellStyle name="Обычный 8 3 5 2 7 2" xfId="40526"/>
    <cellStyle name="Обычный 8 3 5 2 8" xfId="40527"/>
    <cellStyle name="Обычный 8 3 5 2 9" xfId="40528"/>
    <cellStyle name="Обычный 8 3 5 3" xfId="40529"/>
    <cellStyle name="Обычный 8 3 5 3 2" xfId="40530"/>
    <cellStyle name="Обычный 8 3 5 3 2 2" xfId="40531"/>
    <cellStyle name="Обычный 8 3 5 3 2 2 2" xfId="40532"/>
    <cellStyle name="Обычный 8 3 5 3 2 2 2 2" xfId="40533"/>
    <cellStyle name="Обычный 8 3 5 3 2 2 2 3" xfId="40534"/>
    <cellStyle name="Обычный 8 3 5 3 2 2 3" xfId="40535"/>
    <cellStyle name="Обычный 8 3 5 3 2 2 3 2" xfId="40536"/>
    <cellStyle name="Обычный 8 3 5 3 2 2 3 3" xfId="40537"/>
    <cellStyle name="Обычный 8 3 5 3 2 2 4" xfId="40538"/>
    <cellStyle name="Обычный 8 3 5 3 2 2 4 2" xfId="40539"/>
    <cellStyle name="Обычный 8 3 5 3 2 2 5" xfId="40540"/>
    <cellStyle name="Обычный 8 3 5 3 2 2 6" xfId="40541"/>
    <cellStyle name="Обычный 8 3 5 3 2 3" xfId="40542"/>
    <cellStyle name="Обычный 8 3 5 3 2 3 2" xfId="40543"/>
    <cellStyle name="Обычный 8 3 5 3 2 3 3" xfId="40544"/>
    <cellStyle name="Обычный 8 3 5 3 2 4" xfId="40545"/>
    <cellStyle name="Обычный 8 3 5 3 2 4 2" xfId="40546"/>
    <cellStyle name="Обычный 8 3 5 3 2 4 3" xfId="40547"/>
    <cellStyle name="Обычный 8 3 5 3 2 5" xfId="40548"/>
    <cellStyle name="Обычный 8 3 5 3 2 5 2" xfId="40549"/>
    <cellStyle name="Обычный 8 3 5 3 2 6" xfId="40550"/>
    <cellStyle name="Обычный 8 3 5 3 2 7" xfId="40551"/>
    <cellStyle name="Обычный 8 3 5 3 3" xfId="40552"/>
    <cellStyle name="Обычный 8 3 5 3 3 2" xfId="40553"/>
    <cellStyle name="Обычный 8 3 5 3 3 2 2" xfId="40554"/>
    <cellStyle name="Обычный 8 3 5 3 3 2 3" xfId="40555"/>
    <cellStyle name="Обычный 8 3 5 3 3 3" xfId="40556"/>
    <cellStyle name="Обычный 8 3 5 3 3 3 2" xfId="40557"/>
    <cellStyle name="Обычный 8 3 5 3 3 3 3" xfId="40558"/>
    <cellStyle name="Обычный 8 3 5 3 3 4" xfId="40559"/>
    <cellStyle name="Обычный 8 3 5 3 3 4 2" xfId="40560"/>
    <cellStyle name="Обычный 8 3 5 3 3 5" xfId="40561"/>
    <cellStyle name="Обычный 8 3 5 3 3 6" xfId="40562"/>
    <cellStyle name="Обычный 8 3 5 3 4" xfId="40563"/>
    <cellStyle name="Обычный 8 3 5 3 4 2" xfId="40564"/>
    <cellStyle name="Обычный 8 3 5 3 4 3" xfId="40565"/>
    <cellStyle name="Обычный 8 3 5 3 5" xfId="40566"/>
    <cellStyle name="Обычный 8 3 5 3 5 2" xfId="40567"/>
    <cellStyle name="Обычный 8 3 5 3 5 3" xfId="40568"/>
    <cellStyle name="Обычный 8 3 5 3 6" xfId="40569"/>
    <cellStyle name="Обычный 8 3 5 3 6 2" xfId="40570"/>
    <cellStyle name="Обычный 8 3 5 3 7" xfId="40571"/>
    <cellStyle name="Обычный 8 3 5 3 8" xfId="40572"/>
    <cellStyle name="Обычный 8 3 5 4" xfId="40573"/>
    <cellStyle name="Обычный 8 3 5 4 2" xfId="40574"/>
    <cellStyle name="Обычный 8 3 5 4 2 2" xfId="40575"/>
    <cellStyle name="Обычный 8 3 5 4 2 2 2" xfId="40576"/>
    <cellStyle name="Обычный 8 3 5 4 2 2 3" xfId="40577"/>
    <cellStyle name="Обычный 8 3 5 4 2 3" xfId="40578"/>
    <cellStyle name="Обычный 8 3 5 4 2 3 2" xfId="40579"/>
    <cellStyle name="Обычный 8 3 5 4 2 3 3" xfId="40580"/>
    <cellStyle name="Обычный 8 3 5 4 2 4" xfId="40581"/>
    <cellStyle name="Обычный 8 3 5 4 2 4 2" xfId="40582"/>
    <cellStyle name="Обычный 8 3 5 4 2 5" xfId="40583"/>
    <cellStyle name="Обычный 8 3 5 4 2 6" xfId="40584"/>
    <cellStyle name="Обычный 8 3 5 4 3" xfId="40585"/>
    <cellStyle name="Обычный 8 3 5 4 3 2" xfId="40586"/>
    <cellStyle name="Обычный 8 3 5 4 3 3" xfId="40587"/>
    <cellStyle name="Обычный 8 3 5 4 4" xfId="40588"/>
    <cellStyle name="Обычный 8 3 5 4 4 2" xfId="40589"/>
    <cellStyle name="Обычный 8 3 5 4 4 3" xfId="40590"/>
    <cellStyle name="Обычный 8 3 5 4 5" xfId="40591"/>
    <cellStyle name="Обычный 8 3 5 4 5 2" xfId="40592"/>
    <cellStyle name="Обычный 8 3 5 4 6" xfId="40593"/>
    <cellStyle name="Обычный 8 3 5 4 7" xfId="40594"/>
    <cellStyle name="Обычный 8 3 5 5" xfId="40595"/>
    <cellStyle name="Обычный 8 3 5 5 2" xfId="40596"/>
    <cellStyle name="Обычный 8 3 5 5 2 2" xfId="40597"/>
    <cellStyle name="Обычный 8 3 5 5 2 3" xfId="40598"/>
    <cellStyle name="Обычный 8 3 5 5 3" xfId="40599"/>
    <cellStyle name="Обычный 8 3 5 5 3 2" xfId="40600"/>
    <cellStyle name="Обычный 8 3 5 5 3 3" xfId="40601"/>
    <cellStyle name="Обычный 8 3 5 5 4" xfId="40602"/>
    <cellStyle name="Обычный 8 3 5 5 4 2" xfId="40603"/>
    <cellStyle name="Обычный 8 3 5 5 5" xfId="40604"/>
    <cellStyle name="Обычный 8 3 5 5 6" xfId="40605"/>
    <cellStyle name="Обычный 8 3 5 6" xfId="40606"/>
    <cellStyle name="Обычный 8 3 5 6 2" xfId="40607"/>
    <cellStyle name="Обычный 8 3 5 6 3" xfId="40608"/>
    <cellStyle name="Обычный 8 3 5 7" xfId="40609"/>
    <cellStyle name="Обычный 8 3 5 7 2" xfId="40610"/>
    <cellStyle name="Обычный 8 3 5 7 3" xfId="40611"/>
    <cellStyle name="Обычный 8 3 5 8" xfId="40612"/>
    <cellStyle name="Обычный 8 3 5 8 2" xfId="40613"/>
    <cellStyle name="Обычный 8 3 5 9" xfId="40614"/>
    <cellStyle name="Обычный 8 3 6" xfId="40615"/>
    <cellStyle name="Обычный 8 3 6 2" xfId="40616"/>
    <cellStyle name="Обычный 8 3 6 2 2" xfId="40617"/>
    <cellStyle name="Обычный 8 3 6 2 2 2" xfId="40618"/>
    <cellStyle name="Обычный 8 3 6 2 2 2 2" xfId="40619"/>
    <cellStyle name="Обычный 8 3 6 2 2 2 2 2" xfId="40620"/>
    <cellStyle name="Обычный 8 3 6 2 2 2 2 3" xfId="40621"/>
    <cellStyle name="Обычный 8 3 6 2 2 2 3" xfId="40622"/>
    <cellStyle name="Обычный 8 3 6 2 2 2 3 2" xfId="40623"/>
    <cellStyle name="Обычный 8 3 6 2 2 2 3 3" xfId="40624"/>
    <cellStyle name="Обычный 8 3 6 2 2 2 4" xfId="40625"/>
    <cellStyle name="Обычный 8 3 6 2 2 2 4 2" xfId="40626"/>
    <cellStyle name="Обычный 8 3 6 2 2 2 5" xfId="40627"/>
    <cellStyle name="Обычный 8 3 6 2 2 2 6" xfId="40628"/>
    <cellStyle name="Обычный 8 3 6 2 2 3" xfId="40629"/>
    <cellStyle name="Обычный 8 3 6 2 2 3 2" xfId="40630"/>
    <cellStyle name="Обычный 8 3 6 2 2 3 3" xfId="40631"/>
    <cellStyle name="Обычный 8 3 6 2 2 4" xfId="40632"/>
    <cellStyle name="Обычный 8 3 6 2 2 4 2" xfId="40633"/>
    <cellStyle name="Обычный 8 3 6 2 2 4 3" xfId="40634"/>
    <cellStyle name="Обычный 8 3 6 2 2 5" xfId="40635"/>
    <cellStyle name="Обычный 8 3 6 2 2 5 2" xfId="40636"/>
    <cellStyle name="Обычный 8 3 6 2 2 6" xfId="40637"/>
    <cellStyle name="Обычный 8 3 6 2 2 7" xfId="40638"/>
    <cellStyle name="Обычный 8 3 6 2 3" xfId="40639"/>
    <cellStyle name="Обычный 8 3 6 2 3 2" xfId="40640"/>
    <cellStyle name="Обычный 8 3 6 2 3 2 2" xfId="40641"/>
    <cellStyle name="Обычный 8 3 6 2 3 2 3" xfId="40642"/>
    <cellStyle name="Обычный 8 3 6 2 3 3" xfId="40643"/>
    <cellStyle name="Обычный 8 3 6 2 3 3 2" xfId="40644"/>
    <cellStyle name="Обычный 8 3 6 2 3 3 3" xfId="40645"/>
    <cellStyle name="Обычный 8 3 6 2 3 4" xfId="40646"/>
    <cellStyle name="Обычный 8 3 6 2 3 4 2" xfId="40647"/>
    <cellStyle name="Обычный 8 3 6 2 3 5" xfId="40648"/>
    <cellStyle name="Обычный 8 3 6 2 3 6" xfId="40649"/>
    <cellStyle name="Обычный 8 3 6 2 4" xfId="40650"/>
    <cellStyle name="Обычный 8 3 6 2 4 2" xfId="40651"/>
    <cellStyle name="Обычный 8 3 6 2 4 3" xfId="40652"/>
    <cellStyle name="Обычный 8 3 6 2 5" xfId="40653"/>
    <cellStyle name="Обычный 8 3 6 2 5 2" xfId="40654"/>
    <cellStyle name="Обычный 8 3 6 2 5 3" xfId="40655"/>
    <cellStyle name="Обычный 8 3 6 2 6" xfId="40656"/>
    <cellStyle name="Обычный 8 3 6 2 6 2" xfId="40657"/>
    <cellStyle name="Обычный 8 3 6 2 7" xfId="40658"/>
    <cellStyle name="Обычный 8 3 6 2 8" xfId="40659"/>
    <cellStyle name="Обычный 8 3 6 3" xfId="40660"/>
    <cellStyle name="Обычный 8 3 6 3 2" xfId="40661"/>
    <cellStyle name="Обычный 8 3 6 3 2 2" xfId="40662"/>
    <cellStyle name="Обычный 8 3 6 3 2 2 2" xfId="40663"/>
    <cellStyle name="Обычный 8 3 6 3 2 2 3" xfId="40664"/>
    <cellStyle name="Обычный 8 3 6 3 2 3" xfId="40665"/>
    <cellStyle name="Обычный 8 3 6 3 2 3 2" xfId="40666"/>
    <cellStyle name="Обычный 8 3 6 3 2 3 3" xfId="40667"/>
    <cellStyle name="Обычный 8 3 6 3 2 4" xfId="40668"/>
    <cellStyle name="Обычный 8 3 6 3 2 4 2" xfId="40669"/>
    <cellStyle name="Обычный 8 3 6 3 2 5" xfId="40670"/>
    <cellStyle name="Обычный 8 3 6 3 2 6" xfId="40671"/>
    <cellStyle name="Обычный 8 3 6 3 3" xfId="40672"/>
    <cellStyle name="Обычный 8 3 6 3 3 2" xfId="40673"/>
    <cellStyle name="Обычный 8 3 6 3 3 3" xfId="40674"/>
    <cellStyle name="Обычный 8 3 6 3 4" xfId="40675"/>
    <cellStyle name="Обычный 8 3 6 3 4 2" xfId="40676"/>
    <cellStyle name="Обычный 8 3 6 3 4 3" xfId="40677"/>
    <cellStyle name="Обычный 8 3 6 3 5" xfId="40678"/>
    <cellStyle name="Обычный 8 3 6 3 5 2" xfId="40679"/>
    <cellStyle name="Обычный 8 3 6 3 6" xfId="40680"/>
    <cellStyle name="Обычный 8 3 6 3 7" xfId="40681"/>
    <cellStyle name="Обычный 8 3 6 4" xfId="40682"/>
    <cellStyle name="Обычный 8 3 6 4 2" xfId="40683"/>
    <cellStyle name="Обычный 8 3 6 4 2 2" xfId="40684"/>
    <cellStyle name="Обычный 8 3 6 4 2 3" xfId="40685"/>
    <cellStyle name="Обычный 8 3 6 4 3" xfId="40686"/>
    <cellStyle name="Обычный 8 3 6 4 3 2" xfId="40687"/>
    <cellStyle name="Обычный 8 3 6 4 3 3" xfId="40688"/>
    <cellStyle name="Обычный 8 3 6 4 4" xfId="40689"/>
    <cellStyle name="Обычный 8 3 6 4 4 2" xfId="40690"/>
    <cellStyle name="Обычный 8 3 6 4 5" xfId="40691"/>
    <cellStyle name="Обычный 8 3 6 4 6" xfId="40692"/>
    <cellStyle name="Обычный 8 3 6 5" xfId="40693"/>
    <cellStyle name="Обычный 8 3 6 5 2" xfId="40694"/>
    <cellStyle name="Обычный 8 3 6 5 3" xfId="40695"/>
    <cellStyle name="Обычный 8 3 6 6" xfId="40696"/>
    <cellStyle name="Обычный 8 3 6 6 2" xfId="40697"/>
    <cellStyle name="Обычный 8 3 6 6 3" xfId="40698"/>
    <cellStyle name="Обычный 8 3 6 7" xfId="40699"/>
    <cellStyle name="Обычный 8 3 6 7 2" xfId="40700"/>
    <cellStyle name="Обычный 8 3 6 8" xfId="40701"/>
    <cellStyle name="Обычный 8 3 6 9" xfId="40702"/>
    <cellStyle name="Обычный 8 3 7" xfId="40703"/>
    <cellStyle name="Обычный 8 3 7 2" xfId="40704"/>
    <cellStyle name="Обычный 8 3 7 2 2" xfId="40705"/>
    <cellStyle name="Обычный 8 3 7 2 2 2" xfId="40706"/>
    <cellStyle name="Обычный 8 3 7 2 2 2 2" xfId="40707"/>
    <cellStyle name="Обычный 8 3 7 2 2 2 3" xfId="40708"/>
    <cellStyle name="Обычный 8 3 7 2 2 3" xfId="40709"/>
    <cellStyle name="Обычный 8 3 7 2 2 3 2" xfId="40710"/>
    <cellStyle name="Обычный 8 3 7 2 2 3 3" xfId="40711"/>
    <cellStyle name="Обычный 8 3 7 2 2 4" xfId="40712"/>
    <cellStyle name="Обычный 8 3 7 2 2 4 2" xfId="40713"/>
    <cellStyle name="Обычный 8 3 7 2 2 5" xfId="40714"/>
    <cellStyle name="Обычный 8 3 7 2 2 6" xfId="40715"/>
    <cellStyle name="Обычный 8 3 7 2 3" xfId="40716"/>
    <cellStyle name="Обычный 8 3 7 2 3 2" xfId="40717"/>
    <cellStyle name="Обычный 8 3 7 2 3 3" xfId="40718"/>
    <cellStyle name="Обычный 8 3 7 2 4" xfId="40719"/>
    <cellStyle name="Обычный 8 3 7 2 4 2" xfId="40720"/>
    <cellStyle name="Обычный 8 3 7 2 4 3" xfId="40721"/>
    <cellStyle name="Обычный 8 3 7 2 5" xfId="40722"/>
    <cellStyle name="Обычный 8 3 7 2 5 2" xfId="40723"/>
    <cellStyle name="Обычный 8 3 7 2 6" xfId="40724"/>
    <cellStyle name="Обычный 8 3 7 2 7" xfId="40725"/>
    <cellStyle name="Обычный 8 3 7 3" xfId="40726"/>
    <cellStyle name="Обычный 8 3 7 3 2" xfId="40727"/>
    <cellStyle name="Обычный 8 3 7 3 2 2" xfId="40728"/>
    <cellStyle name="Обычный 8 3 7 3 2 3" xfId="40729"/>
    <cellStyle name="Обычный 8 3 7 3 3" xfId="40730"/>
    <cellStyle name="Обычный 8 3 7 3 3 2" xfId="40731"/>
    <cellStyle name="Обычный 8 3 7 3 3 3" xfId="40732"/>
    <cellStyle name="Обычный 8 3 7 3 4" xfId="40733"/>
    <cellStyle name="Обычный 8 3 7 3 4 2" xfId="40734"/>
    <cellStyle name="Обычный 8 3 7 3 5" xfId="40735"/>
    <cellStyle name="Обычный 8 3 7 3 6" xfId="40736"/>
    <cellStyle name="Обычный 8 3 7 4" xfId="40737"/>
    <cellStyle name="Обычный 8 3 7 4 2" xfId="40738"/>
    <cellStyle name="Обычный 8 3 7 4 3" xfId="40739"/>
    <cellStyle name="Обычный 8 3 7 5" xfId="40740"/>
    <cellStyle name="Обычный 8 3 7 5 2" xfId="40741"/>
    <cellStyle name="Обычный 8 3 7 5 3" xfId="40742"/>
    <cellStyle name="Обычный 8 3 7 6" xfId="40743"/>
    <cellStyle name="Обычный 8 3 7 6 2" xfId="40744"/>
    <cellStyle name="Обычный 8 3 7 7" xfId="40745"/>
    <cellStyle name="Обычный 8 3 7 8" xfId="40746"/>
    <cellStyle name="Обычный 8 3 8" xfId="40747"/>
    <cellStyle name="Обычный 8 3 8 2" xfId="40748"/>
    <cellStyle name="Обычный 8 3 8 2 2" xfId="40749"/>
    <cellStyle name="Обычный 8 3 8 2 2 2" xfId="40750"/>
    <cellStyle name="Обычный 8 3 8 2 2 3" xfId="40751"/>
    <cellStyle name="Обычный 8 3 8 2 3" xfId="40752"/>
    <cellStyle name="Обычный 8 3 8 2 3 2" xfId="40753"/>
    <cellStyle name="Обычный 8 3 8 2 3 3" xfId="40754"/>
    <cellStyle name="Обычный 8 3 8 2 4" xfId="40755"/>
    <cellStyle name="Обычный 8 3 8 2 4 2" xfId="40756"/>
    <cellStyle name="Обычный 8 3 8 2 5" xfId="40757"/>
    <cellStyle name="Обычный 8 3 8 2 6" xfId="40758"/>
    <cellStyle name="Обычный 8 3 8 3" xfId="40759"/>
    <cellStyle name="Обычный 8 3 8 3 2" xfId="40760"/>
    <cellStyle name="Обычный 8 3 8 3 3" xfId="40761"/>
    <cellStyle name="Обычный 8 3 8 4" xfId="40762"/>
    <cellStyle name="Обычный 8 3 8 4 2" xfId="40763"/>
    <cellStyle name="Обычный 8 3 8 4 3" xfId="40764"/>
    <cellStyle name="Обычный 8 3 8 5" xfId="40765"/>
    <cellStyle name="Обычный 8 3 8 5 2" xfId="40766"/>
    <cellStyle name="Обычный 8 3 8 6" xfId="40767"/>
    <cellStyle name="Обычный 8 3 8 7" xfId="40768"/>
    <cellStyle name="Обычный 8 3 9" xfId="40769"/>
    <cellStyle name="Обычный 8 3 9 2" xfId="40770"/>
    <cellStyle name="Обычный 8 3 9 2 2" xfId="40771"/>
    <cellStyle name="Обычный 8 3 9 2 3" xfId="40772"/>
    <cellStyle name="Обычный 8 3 9 3" xfId="40773"/>
    <cellStyle name="Обычный 8 3 9 3 2" xfId="40774"/>
    <cellStyle name="Обычный 8 3 9 3 3" xfId="40775"/>
    <cellStyle name="Обычный 8 3 9 4" xfId="40776"/>
    <cellStyle name="Обычный 8 3 9 4 2" xfId="40777"/>
    <cellStyle name="Обычный 8 3 9 5" xfId="40778"/>
    <cellStyle name="Обычный 8 3 9 6" xfId="40779"/>
    <cellStyle name="Обычный 8 4" xfId="40780"/>
    <cellStyle name="Обычный 8 4 10" xfId="40781"/>
    <cellStyle name="Обычный 8 4 10 2" xfId="40782"/>
    <cellStyle name="Обычный 8 4 10 3" xfId="40783"/>
    <cellStyle name="Обычный 8 4 11" xfId="40784"/>
    <cellStyle name="Обычный 8 4 11 2" xfId="40785"/>
    <cellStyle name="Обычный 8 4 11 3" xfId="40786"/>
    <cellStyle name="Обычный 8 4 12" xfId="40787"/>
    <cellStyle name="Обычный 8 4 12 2" xfId="40788"/>
    <cellStyle name="Обычный 8 4 13" xfId="40789"/>
    <cellStyle name="Обычный 8 4 14" xfId="40790"/>
    <cellStyle name="Обычный 8 4 2" xfId="40791"/>
    <cellStyle name="Обычный 8 4 2 10" xfId="40792"/>
    <cellStyle name="Обычный 8 4 2 10 2" xfId="40793"/>
    <cellStyle name="Обычный 8 4 2 10 3" xfId="40794"/>
    <cellStyle name="Обычный 8 4 2 11" xfId="40795"/>
    <cellStyle name="Обычный 8 4 2 11 2" xfId="40796"/>
    <cellStyle name="Обычный 8 4 2 12" xfId="40797"/>
    <cellStyle name="Обычный 8 4 2 13" xfId="40798"/>
    <cellStyle name="Обычный 8 4 2 2" xfId="40799"/>
    <cellStyle name="Обычный 8 4 2 2 10" xfId="40800"/>
    <cellStyle name="Обычный 8 4 2 2 2" xfId="40801"/>
    <cellStyle name="Обычный 8 4 2 2 2 2" xfId="40802"/>
    <cellStyle name="Обычный 8 4 2 2 2 2 2" xfId="40803"/>
    <cellStyle name="Обычный 8 4 2 2 2 2 2 2" xfId="40804"/>
    <cellStyle name="Обычный 8 4 2 2 2 2 2 2 2" xfId="40805"/>
    <cellStyle name="Обычный 8 4 2 2 2 2 2 2 2 2" xfId="40806"/>
    <cellStyle name="Обычный 8 4 2 2 2 2 2 2 2 3" xfId="40807"/>
    <cellStyle name="Обычный 8 4 2 2 2 2 2 2 3" xfId="40808"/>
    <cellStyle name="Обычный 8 4 2 2 2 2 2 2 3 2" xfId="40809"/>
    <cellStyle name="Обычный 8 4 2 2 2 2 2 2 3 3" xfId="40810"/>
    <cellStyle name="Обычный 8 4 2 2 2 2 2 2 4" xfId="40811"/>
    <cellStyle name="Обычный 8 4 2 2 2 2 2 2 4 2" xfId="40812"/>
    <cellStyle name="Обычный 8 4 2 2 2 2 2 2 5" xfId="40813"/>
    <cellStyle name="Обычный 8 4 2 2 2 2 2 2 6" xfId="40814"/>
    <cellStyle name="Обычный 8 4 2 2 2 2 2 3" xfId="40815"/>
    <cellStyle name="Обычный 8 4 2 2 2 2 2 3 2" xfId="40816"/>
    <cellStyle name="Обычный 8 4 2 2 2 2 2 3 3" xfId="40817"/>
    <cellStyle name="Обычный 8 4 2 2 2 2 2 4" xfId="40818"/>
    <cellStyle name="Обычный 8 4 2 2 2 2 2 4 2" xfId="40819"/>
    <cellStyle name="Обычный 8 4 2 2 2 2 2 4 3" xfId="40820"/>
    <cellStyle name="Обычный 8 4 2 2 2 2 2 5" xfId="40821"/>
    <cellStyle name="Обычный 8 4 2 2 2 2 2 5 2" xfId="40822"/>
    <cellStyle name="Обычный 8 4 2 2 2 2 2 6" xfId="40823"/>
    <cellStyle name="Обычный 8 4 2 2 2 2 2 7" xfId="40824"/>
    <cellStyle name="Обычный 8 4 2 2 2 2 3" xfId="40825"/>
    <cellStyle name="Обычный 8 4 2 2 2 2 3 2" xfId="40826"/>
    <cellStyle name="Обычный 8 4 2 2 2 2 3 2 2" xfId="40827"/>
    <cellStyle name="Обычный 8 4 2 2 2 2 3 2 3" xfId="40828"/>
    <cellStyle name="Обычный 8 4 2 2 2 2 3 3" xfId="40829"/>
    <cellStyle name="Обычный 8 4 2 2 2 2 3 3 2" xfId="40830"/>
    <cellStyle name="Обычный 8 4 2 2 2 2 3 3 3" xfId="40831"/>
    <cellStyle name="Обычный 8 4 2 2 2 2 3 4" xfId="40832"/>
    <cellStyle name="Обычный 8 4 2 2 2 2 3 4 2" xfId="40833"/>
    <cellStyle name="Обычный 8 4 2 2 2 2 3 5" xfId="40834"/>
    <cellStyle name="Обычный 8 4 2 2 2 2 3 6" xfId="40835"/>
    <cellStyle name="Обычный 8 4 2 2 2 2 4" xfId="40836"/>
    <cellStyle name="Обычный 8 4 2 2 2 2 4 2" xfId="40837"/>
    <cellStyle name="Обычный 8 4 2 2 2 2 4 3" xfId="40838"/>
    <cellStyle name="Обычный 8 4 2 2 2 2 5" xfId="40839"/>
    <cellStyle name="Обычный 8 4 2 2 2 2 5 2" xfId="40840"/>
    <cellStyle name="Обычный 8 4 2 2 2 2 5 3" xfId="40841"/>
    <cellStyle name="Обычный 8 4 2 2 2 2 6" xfId="40842"/>
    <cellStyle name="Обычный 8 4 2 2 2 2 6 2" xfId="40843"/>
    <cellStyle name="Обычный 8 4 2 2 2 2 7" xfId="40844"/>
    <cellStyle name="Обычный 8 4 2 2 2 2 8" xfId="40845"/>
    <cellStyle name="Обычный 8 4 2 2 2 3" xfId="40846"/>
    <cellStyle name="Обычный 8 4 2 2 2 3 2" xfId="40847"/>
    <cellStyle name="Обычный 8 4 2 2 2 3 2 2" xfId="40848"/>
    <cellStyle name="Обычный 8 4 2 2 2 3 2 2 2" xfId="40849"/>
    <cellStyle name="Обычный 8 4 2 2 2 3 2 2 3" xfId="40850"/>
    <cellStyle name="Обычный 8 4 2 2 2 3 2 3" xfId="40851"/>
    <cellStyle name="Обычный 8 4 2 2 2 3 2 3 2" xfId="40852"/>
    <cellStyle name="Обычный 8 4 2 2 2 3 2 3 3" xfId="40853"/>
    <cellStyle name="Обычный 8 4 2 2 2 3 2 4" xfId="40854"/>
    <cellStyle name="Обычный 8 4 2 2 2 3 2 4 2" xfId="40855"/>
    <cellStyle name="Обычный 8 4 2 2 2 3 2 5" xfId="40856"/>
    <cellStyle name="Обычный 8 4 2 2 2 3 2 6" xfId="40857"/>
    <cellStyle name="Обычный 8 4 2 2 2 3 3" xfId="40858"/>
    <cellStyle name="Обычный 8 4 2 2 2 3 3 2" xfId="40859"/>
    <cellStyle name="Обычный 8 4 2 2 2 3 3 3" xfId="40860"/>
    <cellStyle name="Обычный 8 4 2 2 2 3 4" xfId="40861"/>
    <cellStyle name="Обычный 8 4 2 2 2 3 4 2" xfId="40862"/>
    <cellStyle name="Обычный 8 4 2 2 2 3 4 3" xfId="40863"/>
    <cellStyle name="Обычный 8 4 2 2 2 3 5" xfId="40864"/>
    <cellStyle name="Обычный 8 4 2 2 2 3 5 2" xfId="40865"/>
    <cellStyle name="Обычный 8 4 2 2 2 3 6" xfId="40866"/>
    <cellStyle name="Обычный 8 4 2 2 2 3 7" xfId="40867"/>
    <cellStyle name="Обычный 8 4 2 2 2 4" xfId="40868"/>
    <cellStyle name="Обычный 8 4 2 2 2 4 2" xfId="40869"/>
    <cellStyle name="Обычный 8 4 2 2 2 4 2 2" xfId="40870"/>
    <cellStyle name="Обычный 8 4 2 2 2 4 2 3" xfId="40871"/>
    <cellStyle name="Обычный 8 4 2 2 2 4 3" xfId="40872"/>
    <cellStyle name="Обычный 8 4 2 2 2 4 3 2" xfId="40873"/>
    <cellStyle name="Обычный 8 4 2 2 2 4 3 3" xfId="40874"/>
    <cellStyle name="Обычный 8 4 2 2 2 4 4" xfId="40875"/>
    <cellStyle name="Обычный 8 4 2 2 2 4 4 2" xfId="40876"/>
    <cellStyle name="Обычный 8 4 2 2 2 4 5" xfId="40877"/>
    <cellStyle name="Обычный 8 4 2 2 2 4 6" xfId="40878"/>
    <cellStyle name="Обычный 8 4 2 2 2 5" xfId="40879"/>
    <cellStyle name="Обычный 8 4 2 2 2 5 2" xfId="40880"/>
    <cellStyle name="Обычный 8 4 2 2 2 5 3" xfId="40881"/>
    <cellStyle name="Обычный 8 4 2 2 2 6" xfId="40882"/>
    <cellStyle name="Обычный 8 4 2 2 2 6 2" xfId="40883"/>
    <cellStyle name="Обычный 8 4 2 2 2 6 3" xfId="40884"/>
    <cellStyle name="Обычный 8 4 2 2 2 7" xfId="40885"/>
    <cellStyle name="Обычный 8 4 2 2 2 7 2" xfId="40886"/>
    <cellStyle name="Обычный 8 4 2 2 2 8" xfId="40887"/>
    <cellStyle name="Обычный 8 4 2 2 2 9" xfId="40888"/>
    <cellStyle name="Обычный 8 4 2 2 3" xfId="40889"/>
    <cellStyle name="Обычный 8 4 2 2 3 2" xfId="40890"/>
    <cellStyle name="Обычный 8 4 2 2 3 2 2" xfId="40891"/>
    <cellStyle name="Обычный 8 4 2 2 3 2 2 2" xfId="40892"/>
    <cellStyle name="Обычный 8 4 2 2 3 2 2 2 2" xfId="40893"/>
    <cellStyle name="Обычный 8 4 2 2 3 2 2 2 3" xfId="40894"/>
    <cellStyle name="Обычный 8 4 2 2 3 2 2 3" xfId="40895"/>
    <cellStyle name="Обычный 8 4 2 2 3 2 2 3 2" xfId="40896"/>
    <cellStyle name="Обычный 8 4 2 2 3 2 2 3 3" xfId="40897"/>
    <cellStyle name="Обычный 8 4 2 2 3 2 2 4" xfId="40898"/>
    <cellStyle name="Обычный 8 4 2 2 3 2 2 4 2" xfId="40899"/>
    <cellStyle name="Обычный 8 4 2 2 3 2 2 5" xfId="40900"/>
    <cellStyle name="Обычный 8 4 2 2 3 2 2 6" xfId="40901"/>
    <cellStyle name="Обычный 8 4 2 2 3 2 3" xfId="40902"/>
    <cellStyle name="Обычный 8 4 2 2 3 2 3 2" xfId="40903"/>
    <cellStyle name="Обычный 8 4 2 2 3 2 3 3" xfId="40904"/>
    <cellStyle name="Обычный 8 4 2 2 3 2 4" xfId="40905"/>
    <cellStyle name="Обычный 8 4 2 2 3 2 4 2" xfId="40906"/>
    <cellStyle name="Обычный 8 4 2 2 3 2 4 3" xfId="40907"/>
    <cellStyle name="Обычный 8 4 2 2 3 2 5" xfId="40908"/>
    <cellStyle name="Обычный 8 4 2 2 3 2 5 2" xfId="40909"/>
    <cellStyle name="Обычный 8 4 2 2 3 2 6" xfId="40910"/>
    <cellStyle name="Обычный 8 4 2 2 3 2 7" xfId="40911"/>
    <cellStyle name="Обычный 8 4 2 2 3 3" xfId="40912"/>
    <cellStyle name="Обычный 8 4 2 2 3 3 2" xfId="40913"/>
    <cellStyle name="Обычный 8 4 2 2 3 3 2 2" xfId="40914"/>
    <cellStyle name="Обычный 8 4 2 2 3 3 2 3" xfId="40915"/>
    <cellStyle name="Обычный 8 4 2 2 3 3 3" xfId="40916"/>
    <cellStyle name="Обычный 8 4 2 2 3 3 3 2" xfId="40917"/>
    <cellStyle name="Обычный 8 4 2 2 3 3 3 3" xfId="40918"/>
    <cellStyle name="Обычный 8 4 2 2 3 3 4" xfId="40919"/>
    <cellStyle name="Обычный 8 4 2 2 3 3 4 2" xfId="40920"/>
    <cellStyle name="Обычный 8 4 2 2 3 3 5" xfId="40921"/>
    <cellStyle name="Обычный 8 4 2 2 3 3 6" xfId="40922"/>
    <cellStyle name="Обычный 8 4 2 2 3 4" xfId="40923"/>
    <cellStyle name="Обычный 8 4 2 2 3 4 2" xfId="40924"/>
    <cellStyle name="Обычный 8 4 2 2 3 4 3" xfId="40925"/>
    <cellStyle name="Обычный 8 4 2 2 3 5" xfId="40926"/>
    <cellStyle name="Обычный 8 4 2 2 3 5 2" xfId="40927"/>
    <cellStyle name="Обычный 8 4 2 2 3 5 3" xfId="40928"/>
    <cellStyle name="Обычный 8 4 2 2 3 6" xfId="40929"/>
    <cellStyle name="Обычный 8 4 2 2 3 6 2" xfId="40930"/>
    <cellStyle name="Обычный 8 4 2 2 3 7" xfId="40931"/>
    <cellStyle name="Обычный 8 4 2 2 3 8" xfId="40932"/>
    <cellStyle name="Обычный 8 4 2 2 4" xfId="40933"/>
    <cellStyle name="Обычный 8 4 2 2 4 2" xfId="40934"/>
    <cellStyle name="Обычный 8 4 2 2 4 2 2" xfId="40935"/>
    <cellStyle name="Обычный 8 4 2 2 4 2 2 2" xfId="40936"/>
    <cellStyle name="Обычный 8 4 2 2 4 2 2 3" xfId="40937"/>
    <cellStyle name="Обычный 8 4 2 2 4 2 3" xfId="40938"/>
    <cellStyle name="Обычный 8 4 2 2 4 2 3 2" xfId="40939"/>
    <cellStyle name="Обычный 8 4 2 2 4 2 3 3" xfId="40940"/>
    <cellStyle name="Обычный 8 4 2 2 4 2 4" xfId="40941"/>
    <cellStyle name="Обычный 8 4 2 2 4 2 4 2" xfId="40942"/>
    <cellStyle name="Обычный 8 4 2 2 4 2 5" xfId="40943"/>
    <cellStyle name="Обычный 8 4 2 2 4 2 6" xfId="40944"/>
    <cellStyle name="Обычный 8 4 2 2 4 3" xfId="40945"/>
    <cellStyle name="Обычный 8 4 2 2 4 3 2" xfId="40946"/>
    <cellStyle name="Обычный 8 4 2 2 4 3 3" xfId="40947"/>
    <cellStyle name="Обычный 8 4 2 2 4 4" xfId="40948"/>
    <cellStyle name="Обычный 8 4 2 2 4 4 2" xfId="40949"/>
    <cellStyle name="Обычный 8 4 2 2 4 4 3" xfId="40950"/>
    <cellStyle name="Обычный 8 4 2 2 4 5" xfId="40951"/>
    <cellStyle name="Обычный 8 4 2 2 4 5 2" xfId="40952"/>
    <cellStyle name="Обычный 8 4 2 2 4 6" xfId="40953"/>
    <cellStyle name="Обычный 8 4 2 2 4 7" xfId="40954"/>
    <cellStyle name="Обычный 8 4 2 2 5" xfId="40955"/>
    <cellStyle name="Обычный 8 4 2 2 5 2" xfId="40956"/>
    <cellStyle name="Обычный 8 4 2 2 5 2 2" xfId="40957"/>
    <cellStyle name="Обычный 8 4 2 2 5 2 3" xfId="40958"/>
    <cellStyle name="Обычный 8 4 2 2 5 3" xfId="40959"/>
    <cellStyle name="Обычный 8 4 2 2 5 3 2" xfId="40960"/>
    <cellStyle name="Обычный 8 4 2 2 5 3 3" xfId="40961"/>
    <cellStyle name="Обычный 8 4 2 2 5 4" xfId="40962"/>
    <cellStyle name="Обычный 8 4 2 2 5 4 2" xfId="40963"/>
    <cellStyle name="Обычный 8 4 2 2 5 5" xfId="40964"/>
    <cellStyle name="Обычный 8 4 2 2 5 6" xfId="40965"/>
    <cellStyle name="Обычный 8 4 2 2 6" xfId="40966"/>
    <cellStyle name="Обычный 8 4 2 2 6 2" xfId="40967"/>
    <cellStyle name="Обычный 8 4 2 2 6 3" xfId="40968"/>
    <cellStyle name="Обычный 8 4 2 2 7" xfId="40969"/>
    <cellStyle name="Обычный 8 4 2 2 7 2" xfId="40970"/>
    <cellStyle name="Обычный 8 4 2 2 7 3" xfId="40971"/>
    <cellStyle name="Обычный 8 4 2 2 8" xfId="40972"/>
    <cellStyle name="Обычный 8 4 2 2 8 2" xfId="40973"/>
    <cellStyle name="Обычный 8 4 2 2 9" xfId="40974"/>
    <cellStyle name="Обычный 8 4 2 3" xfId="40975"/>
    <cellStyle name="Обычный 8 4 2 3 10" xfId="40976"/>
    <cellStyle name="Обычный 8 4 2 3 2" xfId="40977"/>
    <cellStyle name="Обычный 8 4 2 3 2 2" xfId="40978"/>
    <cellStyle name="Обычный 8 4 2 3 2 2 2" xfId="40979"/>
    <cellStyle name="Обычный 8 4 2 3 2 2 2 2" xfId="40980"/>
    <cellStyle name="Обычный 8 4 2 3 2 2 2 2 2" xfId="40981"/>
    <cellStyle name="Обычный 8 4 2 3 2 2 2 2 2 2" xfId="40982"/>
    <cellStyle name="Обычный 8 4 2 3 2 2 2 2 2 3" xfId="40983"/>
    <cellStyle name="Обычный 8 4 2 3 2 2 2 2 3" xfId="40984"/>
    <cellStyle name="Обычный 8 4 2 3 2 2 2 2 3 2" xfId="40985"/>
    <cellStyle name="Обычный 8 4 2 3 2 2 2 2 3 3" xfId="40986"/>
    <cellStyle name="Обычный 8 4 2 3 2 2 2 2 4" xfId="40987"/>
    <cellStyle name="Обычный 8 4 2 3 2 2 2 2 4 2" xfId="40988"/>
    <cellStyle name="Обычный 8 4 2 3 2 2 2 2 5" xfId="40989"/>
    <cellStyle name="Обычный 8 4 2 3 2 2 2 2 6" xfId="40990"/>
    <cellStyle name="Обычный 8 4 2 3 2 2 2 3" xfId="40991"/>
    <cellStyle name="Обычный 8 4 2 3 2 2 2 3 2" xfId="40992"/>
    <cellStyle name="Обычный 8 4 2 3 2 2 2 3 3" xfId="40993"/>
    <cellStyle name="Обычный 8 4 2 3 2 2 2 4" xfId="40994"/>
    <cellStyle name="Обычный 8 4 2 3 2 2 2 4 2" xfId="40995"/>
    <cellStyle name="Обычный 8 4 2 3 2 2 2 4 3" xfId="40996"/>
    <cellStyle name="Обычный 8 4 2 3 2 2 2 5" xfId="40997"/>
    <cellStyle name="Обычный 8 4 2 3 2 2 2 5 2" xfId="40998"/>
    <cellStyle name="Обычный 8 4 2 3 2 2 2 6" xfId="40999"/>
    <cellStyle name="Обычный 8 4 2 3 2 2 2 7" xfId="41000"/>
    <cellStyle name="Обычный 8 4 2 3 2 2 3" xfId="41001"/>
    <cellStyle name="Обычный 8 4 2 3 2 2 3 2" xfId="41002"/>
    <cellStyle name="Обычный 8 4 2 3 2 2 3 2 2" xfId="41003"/>
    <cellStyle name="Обычный 8 4 2 3 2 2 3 2 3" xfId="41004"/>
    <cellStyle name="Обычный 8 4 2 3 2 2 3 3" xfId="41005"/>
    <cellStyle name="Обычный 8 4 2 3 2 2 3 3 2" xfId="41006"/>
    <cellStyle name="Обычный 8 4 2 3 2 2 3 3 3" xfId="41007"/>
    <cellStyle name="Обычный 8 4 2 3 2 2 3 4" xfId="41008"/>
    <cellStyle name="Обычный 8 4 2 3 2 2 3 4 2" xfId="41009"/>
    <cellStyle name="Обычный 8 4 2 3 2 2 3 5" xfId="41010"/>
    <cellStyle name="Обычный 8 4 2 3 2 2 3 6" xfId="41011"/>
    <cellStyle name="Обычный 8 4 2 3 2 2 4" xfId="41012"/>
    <cellStyle name="Обычный 8 4 2 3 2 2 4 2" xfId="41013"/>
    <cellStyle name="Обычный 8 4 2 3 2 2 4 3" xfId="41014"/>
    <cellStyle name="Обычный 8 4 2 3 2 2 5" xfId="41015"/>
    <cellStyle name="Обычный 8 4 2 3 2 2 5 2" xfId="41016"/>
    <cellStyle name="Обычный 8 4 2 3 2 2 5 3" xfId="41017"/>
    <cellStyle name="Обычный 8 4 2 3 2 2 6" xfId="41018"/>
    <cellStyle name="Обычный 8 4 2 3 2 2 6 2" xfId="41019"/>
    <cellStyle name="Обычный 8 4 2 3 2 2 7" xfId="41020"/>
    <cellStyle name="Обычный 8 4 2 3 2 2 8" xfId="41021"/>
    <cellStyle name="Обычный 8 4 2 3 2 3" xfId="41022"/>
    <cellStyle name="Обычный 8 4 2 3 2 3 2" xfId="41023"/>
    <cellStyle name="Обычный 8 4 2 3 2 3 2 2" xfId="41024"/>
    <cellStyle name="Обычный 8 4 2 3 2 3 2 2 2" xfId="41025"/>
    <cellStyle name="Обычный 8 4 2 3 2 3 2 2 3" xfId="41026"/>
    <cellStyle name="Обычный 8 4 2 3 2 3 2 3" xfId="41027"/>
    <cellStyle name="Обычный 8 4 2 3 2 3 2 3 2" xfId="41028"/>
    <cellStyle name="Обычный 8 4 2 3 2 3 2 3 3" xfId="41029"/>
    <cellStyle name="Обычный 8 4 2 3 2 3 2 4" xfId="41030"/>
    <cellStyle name="Обычный 8 4 2 3 2 3 2 4 2" xfId="41031"/>
    <cellStyle name="Обычный 8 4 2 3 2 3 2 5" xfId="41032"/>
    <cellStyle name="Обычный 8 4 2 3 2 3 2 6" xfId="41033"/>
    <cellStyle name="Обычный 8 4 2 3 2 3 3" xfId="41034"/>
    <cellStyle name="Обычный 8 4 2 3 2 3 3 2" xfId="41035"/>
    <cellStyle name="Обычный 8 4 2 3 2 3 3 3" xfId="41036"/>
    <cellStyle name="Обычный 8 4 2 3 2 3 4" xfId="41037"/>
    <cellStyle name="Обычный 8 4 2 3 2 3 4 2" xfId="41038"/>
    <cellStyle name="Обычный 8 4 2 3 2 3 4 3" xfId="41039"/>
    <cellStyle name="Обычный 8 4 2 3 2 3 5" xfId="41040"/>
    <cellStyle name="Обычный 8 4 2 3 2 3 5 2" xfId="41041"/>
    <cellStyle name="Обычный 8 4 2 3 2 3 6" xfId="41042"/>
    <cellStyle name="Обычный 8 4 2 3 2 3 7" xfId="41043"/>
    <cellStyle name="Обычный 8 4 2 3 2 4" xfId="41044"/>
    <cellStyle name="Обычный 8 4 2 3 2 4 2" xfId="41045"/>
    <cellStyle name="Обычный 8 4 2 3 2 4 2 2" xfId="41046"/>
    <cellStyle name="Обычный 8 4 2 3 2 4 2 3" xfId="41047"/>
    <cellStyle name="Обычный 8 4 2 3 2 4 3" xfId="41048"/>
    <cellStyle name="Обычный 8 4 2 3 2 4 3 2" xfId="41049"/>
    <cellStyle name="Обычный 8 4 2 3 2 4 3 3" xfId="41050"/>
    <cellStyle name="Обычный 8 4 2 3 2 4 4" xfId="41051"/>
    <cellStyle name="Обычный 8 4 2 3 2 4 4 2" xfId="41052"/>
    <cellStyle name="Обычный 8 4 2 3 2 4 5" xfId="41053"/>
    <cellStyle name="Обычный 8 4 2 3 2 4 6" xfId="41054"/>
    <cellStyle name="Обычный 8 4 2 3 2 5" xfId="41055"/>
    <cellStyle name="Обычный 8 4 2 3 2 5 2" xfId="41056"/>
    <cellStyle name="Обычный 8 4 2 3 2 5 3" xfId="41057"/>
    <cellStyle name="Обычный 8 4 2 3 2 6" xfId="41058"/>
    <cellStyle name="Обычный 8 4 2 3 2 6 2" xfId="41059"/>
    <cellStyle name="Обычный 8 4 2 3 2 6 3" xfId="41060"/>
    <cellStyle name="Обычный 8 4 2 3 2 7" xfId="41061"/>
    <cellStyle name="Обычный 8 4 2 3 2 7 2" xfId="41062"/>
    <cellStyle name="Обычный 8 4 2 3 2 8" xfId="41063"/>
    <cellStyle name="Обычный 8 4 2 3 2 9" xfId="41064"/>
    <cellStyle name="Обычный 8 4 2 3 3" xfId="41065"/>
    <cellStyle name="Обычный 8 4 2 3 3 2" xfId="41066"/>
    <cellStyle name="Обычный 8 4 2 3 3 2 2" xfId="41067"/>
    <cellStyle name="Обычный 8 4 2 3 3 2 2 2" xfId="41068"/>
    <cellStyle name="Обычный 8 4 2 3 3 2 2 2 2" xfId="41069"/>
    <cellStyle name="Обычный 8 4 2 3 3 2 2 2 3" xfId="41070"/>
    <cellStyle name="Обычный 8 4 2 3 3 2 2 3" xfId="41071"/>
    <cellStyle name="Обычный 8 4 2 3 3 2 2 3 2" xfId="41072"/>
    <cellStyle name="Обычный 8 4 2 3 3 2 2 3 3" xfId="41073"/>
    <cellStyle name="Обычный 8 4 2 3 3 2 2 4" xfId="41074"/>
    <cellStyle name="Обычный 8 4 2 3 3 2 2 4 2" xfId="41075"/>
    <cellStyle name="Обычный 8 4 2 3 3 2 2 5" xfId="41076"/>
    <cellStyle name="Обычный 8 4 2 3 3 2 2 6" xfId="41077"/>
    <cellStyle name="Обычный 8 4 2 3 3 2 3" xfId="41078"/>
    <cellStyle name="Обычный 8 4 2 3 3 2 3 2" xfId="41079"/>
    <cellStyle name="Обычный 8 4 2 3 3 2 3 3" xfId="41080"/>
    <cellStyle name="Обычный 8 4 2 3 3 2 4" xfId="41081"/>
    <cellStyle name="Обычный 8 4 2 3 3 2 4 2" xfId="41082"/>
    <cellStyle name="Обычный 8 4 2 3 3 2 4 3" xfId="41083"/>
    <cellStyle name="Обычный 8 4 2 3 3 2 5" xfId="41084"/>
    <cellStyle name="Обычный 8 4 2 3 3 2 5 2" xfId="41085"/>
    <cellStyle name="Обычный 8 4 2 3 3 2 6" xfId="41086"/>
    <cellStyle name="Обычный 8 4 2 3 3 2 7" xfId="41087"/>
    <cellStyle name="Обычный 8 4 2 3 3 3" xfId="41088"/>
    <cellStyle name="Обычный 8 4 2 3 3 3 2" xfId="41089"/>
    <cellStyle name="Обычный 8 4 2 3 3 3 2 2" xfId="41090"/>
    <cellStyle name="Обычный 8 4 2 3 3 3 2 3" xfId="41091"/>
    <cellStyle name="Обычный 8 4 2 3 3 3 3" xfId="41092"/>
    <cellStyle name="Обычный 8 4 2 3 3 3 3 2" xfId="41093"/>
    <cellStyle name="Обычный 8 4 2 3 3 3 3 3" xfId="41094"/>
    <cellStyle name="Обычный 8 4 2 3 3 3 4" xfId="41095"/>
    <cellStyle name="Обычный 8 4 2 3 3 3 4 2" xfId="41096"/>
    <cellStyle name="Обычный 8 4 2 3 3 3 5" xfId="41097"/>
    <cellStyle name="Обычный 8 4 2 3 3 3 6" xfId="41098"/>
    <cellStyle name="Обычный 8 4 2 3 3 4" xfId="41099"/>
    <cellStyle name="Обычный 8 4 2 3 3 4 2" xfId="41100"/>
    <cellStyle name="Обычный 8 4 2 3 3 4 3" xfId="41101"/>
    <cellStyle name="Обычный 8 4 2 3 3 5" xfId="41102"/>
    <cellStyle name="Обычный 8 4 2 3 3 5 2" xfId="41103"/>
    <cellStyle name="Обычный 8 4 2 3 3 5 3" xfId="41104"/>
    <cellStyle name="Обычный 8 4 2 3 3 6" xfId="41105"/>
    <cellStyle name="Обычный 8 4 2 3 3 6 2" xfId="41106"/>
    <cellStyle name="Обычный 8 4 2 3 3 7" xfId="41107"/>
    <cellStyle name="Обычный 8 4 2 3 3 8" xfId="41108"/>
    <cellStyle name="Обычный 8 4 2 3 4" xfId="41109"/>
    <cellStyle name="Обычный 8 4 2 3 4 2" xfId="41110"/>
    <cellStyle name="Обычный 8 4 2 3 4 2 2" xfId="41111"/>
    <cellStyle name="Обычный 8 4 2 3 4 2 2 2" xfId="41112"/>
    <cellStyle name="Обычный 8 4 2 3 4 2 2 3" xfId="41113"/>
    <cellStyle name="Обычный 8 4 2 3 4 2 3" xfId="41114"/>
    <cellStyle name="Обычный 8 4 2 3 4 2 3 2" xfId="41115"/>
    <cellStyle name="Обычный 8 4 2 3 4 2 3 3" xfId="41116"/>
    <cellStyle name="Обычный 8 4 2 3 4 2 4" xfId="41117"/>
    <cellStyle name="Обычный 8 4 2 3 4 2 4 2" xfId="41118"/>
    <cellStyle name="Обычный 8 4 2 3 4 2 5" xfId="41119"/>
    <cellStyle name="Обычный 8 4 2 3 4 2 6" xfId="41120"/>
    <cellStyle name="Обычный 8 4 2 3 4 3" xfId="41121"/>
    <cellStyle name="Обычный 8 4 2 3 4 3 2" xfId="41122"/>
    <cellStyle name="Обычный 8 4 2 3 4 3 3" xfId="41123"/>
    <cellStyle name="Обычный 8 4 2 3 4 4" xfId="41124"/>
    <cellStyle name="Обычный 8 4 2 3 4 4 2" xfId="41125"/>
    <cellStyle name="Обычный 8 4 2 3 4 4 3" xfId="41126"/>
    <cellStyle name="Обычный 8 4 2 3 4 5" xfId="41127"/>
    <cellStyle name="Обычный 8 4 2 3 4 5 2" xfId="41128"/>
    <cellStyle name="Обычный 8 4 2 3 4 6" xfId="41129"/>
    <cellStyle name="Обычный 8 4 2 3 4 7" xfId="41130"/>
    <cellStyle name="Обычный 8 4 2 3 5" xfId="41131"/>
    <cellStyle name="Обычный 8 4 2 3 5 2" xfId="41132"/>
    <cellStyle name="Обычный 8 4 2 3 5 2 2" xfId="41133"/>
    <cellStyle name="Обычный 8 4 2 3 5 2 3" xfId="41134"/>
    <cellStyle name="Обычный 8 4 2 3 5 3" xfId="41135"/>
    <cellStyle name="Обычный 8 4 2 3 5 3 2" xfId="41136"/>
    <cellStyle name="Обычный 8 4 2 3 5 3 3" xfId="41137"/>
    <cellStyle name="Обычный 8 4 2 3 5 4" xfId="41138"/>
    <cellStyle name="Обычный 8 4 2 3 5 4 2" xfId="41139"/>
    <cellStyle name="Обычный 8 4 2 3 5 5" xfId="41140"/>
    <cellStyle name="Обычный 8 4 2 3 5 6" xfId="41141"/>
    <cellStyle name="Обычный 8 4 2 3 6" xfId="41142"/>
    <cellStyle name="Обычный 8 4 2 3 6 2" xfId="41143"/>
    <cellStyle name="Обычный 8 4 2 3 6 3" xfId="41144"/>
    <cellStyle name="Обычный 8 4 2 3 7" xfId="41145"/>
    <cellStyle name="Обычный 8 4 2 3 7 2" xfId="41146"/>
    <cellStyle name="Обычный 8 4 2 3 7 3" xfId="41147"/>
    <cellStyle name="Обычный 8 4 2 3 8" xfId="41148"/>
    <cellStyle name="Обычный 8 4 2 3 8 2" xfId="41149"/>
    <cellStyle name="Обычный 8 4 2 3 9" xfId="41150"/>
    <cellStyle name="Обычный 8 4 2 4" xfId="41151"/>
    <cellStyle name="Обычный 8 4 2 4 10" xfId="41152"/>
    <cellStyle name="Обычный 8 4 2 4 2" xfId="41153"/>
    <cellStyle name="Обычный 8 4 2 4 2 2" xfId="41154"/>
    <cellStyle name="Обычный 8 4 2 4 2 2 2" xfId="41155"/>
    <cellStyle name="Обычный 8 4 2 4 2 2 2 2" xfId="41156"/>
    <cellStyle name="Обычный 8 4 2 4 2 2 2 2 2" xfId="41157"/>
    <cellStyle name="Обычный 8 4 2 4 2 2 2 2 2 2" xfId="41158"/>
    <cellStyle name="Обычный 8 4 2 4 2 2 2 2 2 3" xfId="41159"/>
    <cellStyle name="Обычный 8 4 2 4 2 2 2 2 3" xfId="41160"/>
    <cellStyle name="Обычный 8 4 2 4 2 2 2 2 3 2" xfId="41161"/>
    <cellStyle name="Обычный 8 4 2 4 2 2 2 2 3 3" xfId="41162"/>
    <cellStyle name="Обычный 8 4 2 4 2 2 2 2 4" xfId="41163"/>
    <cellStyle name="Обычный 8 4 2 4 2 2 2 2 4 2" xfId="41164"/>
    <cellStyle name="Обычный 8 4 2 4 2 2 2 2 5" xfId="41165"/>
    <cellStyle name="Обычный 8 4 2 4 2 2 2 2 6" xfId="41166"/>
    <cellStyle name="Обычный 8 4 2 4 2 2 2 3" xfId="41167"/>
    <cellStyle name="Обычный 8 4 2 4 2 2 2 3 2" xfId="41168"/>
    <cellStyle name="Обычный 8 4 2 4 2 2 2 3 3" xfId="41169"/>
    <cellStyle name="Обычный 8 4 2 4 2 2 2 4" xfId="41170"/>
    <cellStyle name="Обычный 8 4 2 4 2 2 2 4 2" xfId="41171"/>
    <cellStyle name="Обычный 8 4 2 4 2 2 2 4 3" xfId="41172"/>
    <cellStyle name="Обычный 8 4 2 4 2 2 2 5" xfId="41173"/>
    <cellStyle name="Обычный 8 4 2 4 2 2 2 5 2" xfId="41174"/>
    <cellStyle name="Обычный 8 4 2 4 2 2 2 6" xfId="41175"/>
    <cellStyle name="Обычный 8 4 2 4 2 2 2 7" xfId="41176"/>
    <cellStyle name="Обычный 8 4 2 4 2 2 3" xfId="41177"/>
    <cellStyle name="Обычный 8 4 2 4 2 2 3 2" xfId="41178"/>
    <cellStyle name="Обычный 8 4 2 4 2 2 3 2 2" xfId="41179"/>
    <cellStyle name="Обычный 8 4 2 4 2 2 3 2 3" xfId="41180"/>
    <cellStyle name="Обычный 8 4 2 4 2 2 3 3" xfId="41181"/>
    <cellStyle name="Обычный 8 4 2 4 2 2 3 3 2" xfId="41182"/>
    <cellStyle name="Обычный 8 4 2 4 2 2 3 3 3" xfId="41183"/>
    <cellStyle name="Обычный 8 4 2 4 2 2 3 4" xfId="41184"/>
    <cellStyle name="Обычный 8 4 2 4 2 2 3 4 2" xfId="41185"/>
    <cellStyle name="Обычный 8 4 2 4 2 2 3 5" xfId="41186"/>
    <cellStyle name="Обычный 8 4 2 4 2 2 3 6" xfId="41187"/>
    <cellStyle name="Обычный 8 4 2 4 2 2 4" xfId="41188"/>
    <cellStyle name="Обычный 8 4 2 4 2 2 4 2" xfId="41189"/>
    <cellStyle name="Обычный 8 4 2 4 2 2 4 3" xfId="41190"/>
    <cellStyle name="Обычный 8 4 2 4 2 2 5" xfId="41191"/>
    <cellStyle name="Обычный 8 4 2 4 2 2 5 2" xfId="41192"/>
    <cellStyle name="Обычный 8 4 2 4 2 2 5 3" xfId="41193"/>
    <cellStyle name="Обычный 8 4 2 4 2 2 6" xfId="41194"/>
    <cellStyle name="Обычный 8 4 2 4 2 2 6 2" xfId="41195"/>
    <cellStyle name="Обычный 8 4 2 4 2 2 7" xfId="41196"/>
    <cellStyle name="Обычный 8 4 2 4 2 2 8" xfId="41197"/>
    <cellStyle name="Обычный 8 4 2 4 2 3" xfId="41198"/>
    <cellStyle name="Обычный 8 4 2 4 2 3 2" xfId="41199"/>
    <cellStyle name="Обычный 8 4 2 4 2 3 2 2" xfId="41200"/>
    <cellStyle name="Обычный 8 4 2 4 2 3 2 2 2" xfId="41201"/>
    <cellStyle name="Обычный 8 4 2 4 2 3 2 2 3" xfId="41202"/>
    <cellStyle name="Обычный 8 4 2 4 2 3 2 3" xfId="41203"/>
    <cellStyle name="Обычный 8 4 2 4 2 3 2 3 2" xfId="41204"/>
    <cellStyle name="Обычный 8 4 2 4 2 3 2 3 3" xfId="41205"/>
    <cellStyle name="Обычный 8 4 2 4 2 3 2 4" xfId="41206"/>
    <cellStyle name="Обычный 8 4 2 4 2 3 2 4 2" xfId="41207"/>
    <cellStyle name="Обычный 8 4 2 4 2 3 2 5" xfId="41208"/>
    <cellStyle name="Обычный 8 4 2 4 2 3 2 6" xfId="41209"/>
    <cellStyle name="Обычный 8 4 2 4 2 3 3" xfId="41210"/>
    <cellStyle name="Обычный 8 4 2 4 2 3 3 2" xfId="41211"/>
    <cellStyle name="Обычный 8 4 2 4 2 3 3 3" xfId="41212"/>
    <cellStyle name="Обычный 8 4 2 4 2 3 4" xfId="41213"/>
    <cellStyle name="Обычный 8 4 2 4 2 3 4 2" xfId="41214"/>
    <cellStyle name="Обычный 8 4 2 4 2 3 4 3" xfId="41215"/>
    <cellStyle name="Обычный 8 4 2 4 2 3 5" xfId="41216"/>
    <cellStyle name="Обычный 8 4 2 4 2 3 5 2" xfId="41217"/>
    <cellStyle name="Обычный 8 4 2 4 2 3 6" xfId="41218"/>
    <cellStyle name="Обычный 8 4 2 4 2 3 7" xfId="41219"/>
    <cellStyle name="Обычный 8 4 2 4 2 4" xfId="41220"/>
    <cellStyle name="Обычный 8 4 2 4 2 4 2" xfId="41221"/>
    <cellStyle name="Обычный 8 4 2 4 2 4 2 2" xfId="41222"/>
    <cellStyle name="Обычный 8 4 2 4 2 4 2 3" xfId="41223"/>
    <cellStyle name="Обычный 8 4 2 4 2 4 3" xfId="41224"/>
    <cellStyle name="Обычный 8 4 2 4 2 4 3 2" xfId="41225"/>
    <cellStyle name="Обычный 8 4 2 4 2 4 3 3" xfId="41226"/>
    <cellStyle name="Обычный 8 4 2 4 2 4 4" xfId="41227"/>
    <cellStyle name="Обычный 8 4 2 4 2 4 4 2" xfId="41228"/>
    <cellStyle name="Обычный 8 4 2 4 2 4 5" xfId="41229"/>
    <cellStyle name="Обычный 8 4 2 4 2 4 6" xfId="41230"/>
    <cellStyle name="Обычный 8 4 2 4 2 5" xfId="41231"/>
    <cellStyle name="Обычный 8 4 2 4 2 5 2" xfId="41232"/>
    <cellStyle name="Обычный 8 4 2 4 2 5 3" xfId="41233"/>
    <cellStyle name="Обычный 8 4 2 4 2 6" xfId="41234"/>
    <cellStyle name="Обычный 8 4 2 4 2 6 2" xfId="41235"/>
    <cellStyle name="Обычный 8 4 2 4 2 6 3" xfId="41236"/>
    <cellStyle name="Обычный 8 4 2 4 2 7" xfId="41237"/>
    <cellStyle name="Обычный 8 4 2 4 2 7 2" xfId="41238"/>
    <cellStyle name="Обычный 8 4 2 4 2 8" xfId="41239"/>
    <cellStyle name="Обычный 8 4 2 4 2 9" xfId="41240"/>
    <cellStyle name="Обычный 8 4 2 4 3" xfId="41241"/>
    <cellStyle name="Обычный 8 4 2 4 3 2" xfId="41242"/>
    <cellStyle name="Обычный 8 4 2 4 3 2 2" xfId="41243"/>
    <cellStyle name="Обычный 8 4 2 4 3 2 2 2" xfId="41244"/>
    <cellStyle name="Обычный 8 4 2 4 3 2 2 2 2" xfId="41245"/>
    <cellStyle name="Обычный 8 4 2 4 3 2 2 2 3" xfId="41246"/>
    <cellStyle name="Обычный 8 4 2 4 3 2 2 3" xfId="41247"/>
    <cellStyle name="Обычный 8 4 2 4 3 2 2 3 2" xfId="41248"/>
    <cellStyle name="Обычный 8 4 2 4 3 2 2 3 3" xfId="41249"/>
    <cellStyle name="Обычный 8 4 2 4 3 2 2 4" xfId="41250"/>
    <cellStyle name="Обычный 8 4 2 4 3 2 2 4 2" xfId="41251"/>
    <cellStyle name="Обычный 8 4 2 4 3 2 2 5" xfId="41252"/>
    <cellStyle name="Обычный 8 4 2 4 3 2 2 6" xfId="41253"/>
    <cellStyle name="Обычный 8 4 2 4 3 2 3" xfId="41254"/>
    <cellStyle name="Обычный 8 4 2 4 3 2 3 2" xfId="41255"/>
    <cellStyle name="Обычный 8 4 2 4 3 2 3 3" xfId="41256"/>
    <cellStyle name="Обычный 8 4 2 4 3 2 4" xfId="41257"/>
    <cellStyle name="Обычный 8 4 2 4 3 2 4 2" xfId="41258"/>
    <cellStyle name="Обычный 8 4 2 4 3 2 4 3" xfId="41259"/>
    <cellStyle name="Обычный 8 4 2 4 3 2 5" xfId="41260"/>
    <cellStyle name="Обычный 8 4 2 4 3 2 5 2" xfId="41261"/>
    <cellStyle name="Обычный 8 4 2 4 3 2 6" xfId="41262"/>
    <cellStyle name="Обычный 8 4 2 4 3 2 7" xfId="41263"/>
    <cellStyle name="Обычный 8 4 2 4 3 3" xfId="41264"/>
    <cellStyle name="Обычный 8 4 2 4 3 3 2" xfId="41265"/>
    <cellStyle name="Обычный 8 4 2 4 3 3 2 2" xfId="41266"/>
    <cellStyle name="Обычный 8 4 2 4 3 3 2 3" xfId="41267"/>
    <cellStyle name="Обычный 8 4 2 4 3 3 3" xfId="41268"/>
    <cellStyle name="Обычный 8 4 2 4 3 3 3 2" xfId="41269"/>
    <cellStyle name="Обычный 8 4 2 4 3 3 3 3" xfId="41270"/>
    <cellStyle name="Обычный 8 4 2 4 3 3 4" xfId="41271"/>
    <cellStyle name="Обычный 8 4 2 4 3 3 4 2" xfId="41272"/>
    <cellStyle name="Обычный 8 4 2 4 3 3 5" xfId="41273"/>
    <cellStyle name="Обычный 8 4 2 4 3 3 6" xfId="41274"/>
    <cellStyle name="Обычный 8 4 2 4 3 4" xfId="41275"/>
    <cellStyle name="Обычный 8 4 2 4 3 4 2" xfId="41276"/>
    <cellStyle name="Обычный 8 4 2 4 3 4 3" xfId="41277"/>
    <cellStyle name="Обычный 8 4 2 4 3 5" xfId="41278"/>
    <cellStyle name="Обычный 8 4 2 4 3 5 2" xfId="41279"/>
    <cellStyle name="Обычный 8 4 2 4 3 5 3" xfId="41280"/>
    <cellStyle name="Обычный 8 4 2 4 3 6" xfId="41281"/>
    <cellStyle name="Обычный 8 4 2 4 3 6 2" xfId="41282"/>
    <cellStyle name="Обычный 8 4 2 4 3 7" xfId="41283"/>
    <cellStyle name="Обычный 8 4 2 4 3 8" xfId="41284"/>
    <cellStyle name="Обычный 8 4 2 4 4" xfId="41285"/>
    <cellStyle name="Обычный 8 4 2 4 4 2" xfId="41286"/>
    <cellStyle name="Обычный 8 4 2 4 4 2 2" xfId="41287"/>
    <cellStyle name="Обычный 8 4 2 4 4 2 2 2" xfId="41288"/>
    <cellStyle name="Обычный 8 4 2 4 4 2 2 3" xfId="41289"/>
    <cellStyle name="Обычный 8 4 2 4 4 2 3" xfId="41290"/>
    <cellStyle name="Обычный 8 4 2 4 4 2 3 2" xfId="41291"/>
    <cellStyle name="Обычный 8 4 2 4 4 2 3 3" xfId="41292"/>
    <cellStyle name="Обычный 8 4 2 4 4 2 4" xfId="41293"/>
    <cellStyle name="Обычный 8 4 2 4 4 2 4 2" xfId="41294"/>
    <cellStyle name="Обычный 8 4 2 4 4 2 5" xfId="41295"/>
    <cellStyle name="Обычный 8 4 2 4 4 2 6" xfId="41296"/>
    <cellStyle name="Обычный 8 4 2 4 4 3" xfId="41297"/>
    <cellStyle name="Обычный 8 4 2 4 4 3 2" xfId="41298"/>
    <cellStyle name="Обычный 8 4 2 4 4 3 3" xfId="41299"/>
    <cellStyle name="Обычный 8 4 2 4 4 4" xfId="41300"/>
    <cellStyle name="Обычный 8 4 2 4 4 4 2" xfId="41301"/>
    <cellStyle name="Обычный 8 4 2 4 4 4 3" xfId="41302"/>
    <cellStyle name="Обычный 8 4 2 4 4 5" xfId="41303"/>
    <cellStyle name="Обычный 8 4 2 4 4 5 2" xfId="41304"/>
    <cellStyle name="Обычный 8 4 2 4 4 6" xfId="41305"/>
    <cellStyle name="Обычный 8 4 2 4 4 7" xfId="41306"/>
    <cellStyle name="Обычный 8 4 2 4 5" xfId="41307"/>
    <cellStyle name="Обычный 8 4 2 4 5 2" xfId="41308"/>
    <cellStyle name="Обычный 8 4 2 4 5 2 2" xfId="41309"/>
    <cellStyle name="Обычный 8 4 2 4 5 2 3" xfId="41310"/>
    <cellStyle name="Обычный 8 4 2 4 5 3" xfId="41311"/>
    <cellStyle name="Обычный 8 4 2 4 5 3 2" xfId="41312"/>
    <cellStyle name="Обычный 8 4 2 4 5 3 3" xfId="41313"/>
    <cellStyle name="Обычный 8 4 2 4 5 4" xfId="41314"/>
    <cellStyle name="Обычный 8 4 2 4 5 4 2" xfId="41315"/>
    <cellStyle name="Обычный 8 4 2 4 5 5" xfId="41316"/>
    <cellStyle name="Обычный 8 4 2 4 5 6" xfId="41317"/>
    <cellStyle name="Обычный 8 4 2 4 6" xfId="41318"/>
    <cellStyle name="Обычный 8 4 2 4 6 2" xfId="41319"/>
    <cellStyle name="Обычный 8 4 2 4 6 3" xfId="41320"/>
    <cellStyle name="Обычный 8 4 2 4 7" xfId="41321"/>
    <cellStyle name="Обычный 8 4 2 4 7 2" xfId="41322"/>
    <cellStyle name="Обычный 8 4 2 4 7 3" xfId="41323"/>
    <cellStyle name="Обычный 8 4 2 4 8" xfId="41324"/>
    <cellStyle name="Обычный 8 4 2 4 8 2" xfId="41325"/>
    <cellStyle name="Обычный 8 4 2 4 9" xfId="41326"/>
    <cellStyle name="Обычный 8 4 2 5" xfId="41327"/>
    <cellStyle name="Обычный 8 4 2 5 2" xfId="41328"/>
    <cellStyle name="Обычный 8 4 2 5 2 2" xfId="41329"/>
    <cellStyle name="Обычный 8 4 2 5 2 2 2" xfId="41330"/>
    <cellStyle name="Обычный 8 4 2 5 2 2 2 2" xfId="41331"/>
    <cellStyle name="Обычный 8 4 2 5 2 2 2 2 2" xfId="41332"/>
    <cellStyle name="Обычный 8 4 2 5 2 2 2 2 3" xfId="41333"/>
    <cellStyle name="Обычный 8 4 2 5 2 2 2 3" xfId="41334"/>
    <cellStyle name="Обычный 8 4 2 5 2 2 2 3 2" xfId="41335"/>
    <cellStyle name="Обычный 8 4 2 5 2 2 2 3 3" xfId="41336"/>
    <cellStyle name="Обычный 8 4 2 5 2 2 2 4" xfId="41337"/>
    <cellStyle name="Обычный 8 4 2 5 2 2 2 4 2" xfId="41338"/>
    <cellStyle name="Обычный 8 4 2 5 2 2 2 5" xfId="41339"/>
    <cellStyle name="Обычный 8 4 2 5 2 2 2 6" xfId="41340"/>
    <cellStyle name="Обычный 8 4 2 5 2 2 3" xfId="41341"/>
    <cellStyle name="Обычный 8 4 2 5 2 2 3 2" xfId="41342"/>
    <cellStyle name="Обычный 8 4 2 5 2 2 3 3" xfId="41343"/>
    <cellStyle name="Обычный 8 4 2 5 2 2 4" xfId="41344"/>
    <cellStyle name="Обычный 8 4 2 5 2 2 4 2" xfId="41345"/>
    <cellStyle name="Обычный 8 4 2 5 2 2 4 3" xfId="41346"/>
    <cellStyle name="Обычный 8 4 2 5 2 2 5" xfId="41347"/>
    <cellStyle name="Обычный 8 4 2 5 2 2 5 2" xfId="41348"/>
    <cellStyle name="Обычный 8 4 2 5 2 2 6" xfId="41349"/>
    <cellStyle name="Обычный 8 4 2 5 2 2 7" xfId="41350"/>
    <cellStyle name="Обычный 8 4 2 5 2 3" xfId="41351"/>
    <cellStyle name="Обычный 8 4 2 5 2 3 2" xfId="41352"/>
    <cellStyle name="Обычный 8 4 2 5 2 3 2 2" xfId="41353"/>
    <cellStyle name="Обычный 8 4 2 5 2 3 2 3" xfId="41354"/>
    <cellStyle name="Обычный 8 4 2 5 2 3 3" xfId="41355"/>
    <cellStyle name="Обычный 8 4 2 5 2 3 3 2" xfId="41356"/>
    <cellStyle name="Обычный 8 4 2 5 2 3 3 3" xfId="41357"/>
    <cellStyle name="Обычный 8 4 2 5 2 3 4" xfId="41358"/>
    <cellStyle name="Обычный 8 4 2 5 2 3 4 2" xfId="41359"/>
    <cellStyle name="Обычный 8 4 2 5 2 3 5" xfId="41360"/>
    <cellStyle name="Обычный 8 4 2 5 2 3 6" xfId="41361"/>
    <cellStyle name="Обычный 8 4 2 5 2 4" xfId="41362"/>
    <cellStyle name="Обычный 8 4 2 5 2 4 2" xfId="41363"/>
    <cellStyle name="Обычный 8 4 2 5 2 4 3" xfId="41364"/>
    <cellStyle name="Обычный 8 4 2 5 2 5" xfId="41365"/>
    <cellStyle name="Обычный 8 4 2 5 2 5 2" xfId="41366"/>
    <cellStyle name="Обычный 8 4 2 5 2 5 3" xfId="41367"/>
    <cellStyle name="Обычный 8 4 2 5 2 6" xfId="41368"/>
    <cellStyle name="Обычный 8 4 2 5 2 6 2" xfId="41369"/>
    <cellStyle name="Обычный 8 4 2 5 2 7" xfId="41370"/>
    <cellStyle name="Обычный 8 4 2 5 2 8" xfId="41371"/>
    <cellStyle name="Обычный 8 4 2 5 3" xfId="41372"/>
    <cellStyle name="Обычный 8 4 2 5 3 2" xfId="41373"/>
    <cellStyle name="Обычный 8 4 2 5 3 2 2" xfId="41374"/>
    <cellStyle name="Обычный 8 4 2 5 3 2 2 2" xfId="41375"/>
    <cellStyle name="Обычный 8 4 2 5 3 2 2 3" xfId="41376"/>
    <cellStyle name="Обычный 8 4 2 5 3 2 3" xfId="41377"/>
    <cellStyle name="Обычный 8 4 2 5 3 2 3 2" xfId="41378"/>
    <cellStyle name="Обычный 8 4 2 5 3 2 3 3" xfId="41379"/>
    <cellStyle name="Обычный 8 4 2 5 3 2 4" xfId="41380"/>
    <cellStyle name="Обычный 8 4 2 5 3 2 4 2" xfId="41381"/>
    <cellStyle name="Обычный 8 4 2 5 3 2 5" xfId="41382"/>
    <cellStyle name="Обычный 8 4 2 5 3 2 6" xfId="41383"/>
    <cellStyle name="Обычный 8 4 2 5 3 3" xfId="41384"/>
    <cellStyle name="Обычный 8 4 2 5 3 3 2" xfId="41385"/>
    <cellStyle name="Обычный 8 4 2 5 3 3 3" xfId="41386"/>
    <cellStyle name="Обычный 8 4 2 5 3 4" xfId="41387"/>
    <cellStyle name="Обычный 8 4 2 5 3 4 2" xfId="41388"/>
    <cellStyle name="Обычный 8 4 2 5 3 4 3" xfId="41389"/>
    <cellStyle name="Обычный 8 4 2 5 3 5" xfId="41390"/>
    <cellStyle name="Обычный 8 4 2 5 3 5 2" xfId="41391"/>
    <cellStyle name="Обычный 8 4 2 5 3 6" xfId="41392"/>
    <cellStyle name="Обычный 8 4 2 5 3 7" xfId="41393"/>
    <cellStyle name="Обычный 8 4 2 5 4" xfId="41394"/>
    <cellStyle name="Обычный 8 4 2 5 4 2" xfId="41395"/>
    <cellStyle name="Обычный 8 4 2 5 4 2 2" xfId="41396"/>
    <cellStyle name="Обычный 8 4 2 5 4 2 3" xfId="41397"/>
    <cellStyle name="Обычный 8 4 2 5 4 3" xfId="41398"/>
    <cellStyle name="Обычный 8 4 2 5 4 3 2" xfId="41399"/>
    <cellStyle name="Обычный 8 4 2 5 4 3 3" xfId="41400"/>
    <cellStyle name="Обычный 8 4 2 5 4 4" xfId="41401"/>
    <cellStyle name="Обычный 8 4 2 5 4 4 2" xfId="41402"/>
    <cellStyle name="Обычный 8 4 2 5 4 5" xfId="41403"/>
    <cellStyle name="Обычный 8 4 2 5 4 6" xfId="41404"/>
    <cellStyle name="Обычный 8 4 2 5 5" xfId="41405"/>
    <cellStyle name="Обычный 8 4 2 5 5 2" xfId="41406"/>
    <cellStyle name="Обычный 8 4 2 5 5 3" xfId="41407"/>
    <cellStyle name="Обычный 8 4 2 5 6" xfId="41408"/>
    <cellStyle name="Обычный 8 4 2 5 6 2" xfId="41409"/>
    <cellStyle name="Обычный 8 4 2 5 6 3" xfId="41410"/>
    <cellStyle name="Обычный 8 4 2 5 7" xfId="41411"/>
    <cellStyle name="Обычный 8 4 2 5 7 2" xfId="41412"/>
    <cellStyle name="Обычный 8 4 2 5 8" xfId="41413"/>
    <cellStyle name="Обычный 8 4 2 5 9" xfId="41414"/>
    <cellStyle name="Обычный 8 4 2 6" xfId="41415"/>
    <cellStyle name="Обычный 8 4 2 6 2" xfId="41416"/>
    <cellStyle name="Обычный 8 4 2 6 2 2" xfId="41417"/>
    <cellStyle name="Обычный 8 4 2 6 2 2 2" xfId="41418"/>
    <cellStyle name="Обычный 8 4 2 6 2 2 2 2" xfId="41419"/>
    <cellStyle name="Обычный 8 4 2 6 2 2 2 3" xfId="41420"/>
    <cellStyle name="Обычный 8 4 2 6 2 2 3" xfId="41421"/>
    <cellStyle name="Обычный 8 4 2 6 2 2 3 2" xfId="41422"/>
    <cellStyle name="Обычный 8 4 2 6 2 2 3 3" xfId="41423"/>
    <cellStyle name="Обычный 8 4 2 6 2 2 4" xfId="41424"/>
    <cellStyle name="Обычный 8 4 2 6 2 2 4 2" xfId="41425"/>
    <cellStyle name="Обычный 8 4 2 6 2 2 5" xfId="41426"/>
    <cellStyle name="Обычный 8 4 2 6 2 2 6" xfId="41427"/>
    <cellStyle name="Обычный 8 4 2 6 2 3" xfId="41428"/>
    <cellStyle name="Обычный 8 4 2 6 2 3 2" xfId="41429"/>
    <cellStyle name="Обычный 8 4 2 6 2 3 3" xfId="41430"/>
    <cellStyle name="Обычный 8 4 2 6 2 4" xfId="41431"/>
    <cellStyle name="Обычный 8 4 2 6 2 4 2" xfId="41432"/>
    <cellStyle name="Обычный 8 4 2 6 2 4 3" xfId="41433"/>
    <cellStyle name="Обычный 8 4 2 6 2 5" xfId="41434"/>
    <cellStyle name="Обычный 8 4 2 6 2 5 2" xfId="41435"/>
    <cellStyle name="Обычный 8 4 2 6 2 6" xfId="41436"/>
    <cellStyle name="Обычный 8 4 2 6 2 7" xfId="41437"/>
    <cellStyle name="Обычный 8 4 2 6 3" xfId="41438"/>
    <cellStyle name="Обычный 8 4 2 6 3 2" xfId="41439"/>
    <cellStyle name="Обычный 8 4 2 6 3 2 2" xfId="41440"/>
    <cellStyle name="Обычный 8 4 2 6 3 2 3" xfId="41441"/>
    <cellStyle name="Обычный 8 4 2 6 3 3" xfId="41442"/>
    <cellStyle name="Обычный 8 4 2 6 3 3 2" xfId="41443"/>
    <cellStyle name="Обычный 8 4 2 6 3 3 3" xfId="41444"/>
    <cellStyle name="Обычный 8 4 2 6 3 4" xfId="41445"/>
    <cellStyle name="Обычный 8 4 2 6 3 4 2" xfId="41446"/>
    <cellStyle name="Обычный 8 4 2 6 3 5" xfId="41447"/>
    <cellStyle name="Обычный 8 4 2 6 3 6" xfId="41448"/>
    <cellStyle name="Обычный 8 4 2 6 4" xfId="41449"/>
    <cellStyle name="Обычный 8 4 2 6 4 2" xfId="41450"/>
    <cellStyle name="Обычный 8 4 2 6 4 3" xfId="41451"/>
    <cellStyle name="Обычный 8 4 2 6 5" xfId="41452"/>
    <cellStyle name="Обычный 8 4 2 6 5 2" xfId="41453"/>
    <cellStyle name="Обычный 8 4 2 6 5 3" xfId="41454"/>
    <cellStyle name="Обычный 8 4 2 6 6" xfId="41455"/>
    <cellStyle name="Обычный 8 4 2 6 6 2" xfId="41456"/>
    <cellStyle name="Обычный 8 4 2 6 7" xfId="41457"/>
    <cellStyle name="Обычный 8 4 2 6 8" xfId="41458"/>
    <cellStyle name="Обычный 8 4 2 7" xfId="41459"/>
    <cellStyle name="Обычный 8 4 2 7 2" xfId="41460"/>
    <cellStyle name="Обычный 8 4 2 7 2 2" xfId="41461"/>
    <cellStyle name="Обычный 8 4 2 7 2 2 2" xfId="41462"/>
    <cellStyle name="Обычный 8 4 2 7 2 2 3" xfId="41463"/>
    <cellStyle name="Обычный 8 4 2 7 2 3" xfId="41464"/>
    <cellStyle name="Обычный 8 4 2 7 2 3 2" xfId="41465"/>
    <cellStyle name="Обычный 8 4 2 7 2 3 3" xfId="41466"/>
    <cellStyle name="Обычный 8 4 2 7 2 4" xfId="41467"/>
    <cellStyle name="Обычный 8 4 2 7 2 4 2" xfId="41468"/>
    <cellStyle name="Обычный 8 4 2 7 2 5" xfId="41469"/>
    <cellStyle name="Обычный 8 4 2 7 2 6" xfId="41470"/>
    <cellStyle name="Обычный 8 4 2 7 3" xfId="41471"/>
    <cellStyle name="Обычный 8 4 2 7 3 2" xfId="41472"/>
    <cellStyle name="Обычный 8 4 2 7 3 3" xfId="41473"/>
    <cellStyle name="Обычный 8 4 2 7 4" xfId="41474"/>
    <cellStyle name="Обычный 8 4 2 7 4 2" xfId="41475"/>
    <cellStyle name="Обычный 8 4 2 7 4 3" xfId="41476"/>
    <cellStyle name="Обычный 8 4 2 7 5" xfId="41477"/>
    <cellStyle name="Обычный 8 4 2 7 5 2" xfId="41478"/>
    <cellStyle name="Обычный 8 4 2 7 6" xfId="41479"/>
    <cellStyle name="Обычный 8 4 2 7 7" xfId="41480"/>
    <cellStyle name="Обычный 8 4 2 8" xfId="41481"/>
    <cellStyle name="Обычный 8 4 2 8 2" xfId="41482"/>
    <cellStyle name="Обычный 8 4 2 8 2 2" xfId="41483"/>
    <cellStyle name="Обычный 8 4 2 8 2 3" xfId="41484"/>
    <cellStyle name="Обычный 8 4 2 8 3" xfId="41485"/>
    <cellStyle name="Обычный 8 4 2 8 3 2" xfId="41486"/>
    <cellStyle name="Обычный 8 4 2 8 3 3" xfId="41487"/>
    <cellStyle name="Обычный 8 4 2 8 4" xfId="41488"/>
    <cellStyle name="Обычный 8 4 2 8 4 2" xfId="41489"/>
    <cellStyle name="Обычный 8 4 2 8 5" xfId="41490"/>
    <cellStyle name="Обычный 8 4 2 8 6" xfId="41491"/>
    <cellStyle name="Обычный 8 4 2 9" xfId="41492"/>
    <cellStyle name="Обычный 8 4 2 9 2" xfId="41493"/>
    <cellStyle name="Обычный 8 4 2 9 3" xfId="41494"/>
    <cellStyle name="Обычный 8 4 3" xfId="41495"/>
    <cellStyle name="Обычный 8 4 3 10" xfId="41496"/>
    <cellStyle name="Обычный 8 4 3 2" xfId="41497"/>
    <cellStyle name="Обычный 8 4 3 2 2" xfId="41498"/>
    <cellStyle name="Обычный 8 4 3 2 2 2" xfId="41499"/>
    <cellStyle name="Обычный 8 4 3 2 2 2 2" xfId="41500"/>
    <cellStyle name="Обычный 8 4 3 2 2 2 2 2" xfId="41501"/>
    <cellStyle name="Обычный 8 4 3 2 2 2 2 2 2" xfId="41502"/>
    <cellStyle name="Обычный 8 4 3 2 2 2 2 2 3" xfId="41503"/>
    <cellStyle name="Обычный 8 4 3 2 2 2 2 3" xfId="41504"/>
    <cellStyle name="Обычный 8 4 3 2 2 2 2 3 2" xfId="41505"/>
    <cellStyle name="Обычный 8 4 3 2 2 2 2 3 3" xfId="41506"/>
    <cellStyle name="Обычный 8 4 3 2 2 2 2 4" xfId="41507"/>
    <cellStyle name="Обычный 8 4 3 2 2 2 2 4 2" xfId="41508"/>
    <cellStyle name="Обычный 8 4 3 2 2 2 2 5" xfId="41509"/>
    <cellStyle name="Обычный 8 4 3 2 2 2 2 6" xfId="41510"/>
    <cellStyle name="Обычный 8 4 3 2 2 2 3" xfId="41511"/>
    <cellStyle name="Обычный 8 4 3 2 2 2 3 2" xfId="41512"/>
    <cellStyle name="Обычный 8 4 3 2 2 2 3 3" xfId="41513"/>
    <cellStyle name="Обычный 8 4 3 2 2 2 4" xfId="41514"/>
    <cellStyle name="Обычный 8 4 3 2 2 2 4 2" xfId="41515"/>
    <cellStyle name="Обычный 8 4 3 2 2 2 4 3" xfId="41516"/>
    <cellStyle name="Обычный 8 4 3 2 2 2 5" xfId="41517"/>
    <cellStyle name="Обычный 8 4 3 2 2 2 5 2" xfId="41518"/>
    <cellStyle name="Обычный 8 4 3 2 2 2 6" xfId="41519"/>
    <cellStyle name="Обычный 8 4 3 2 2 2 7" xfId="41520"/>
    <cellStyle name="Обычный 8 4 3 2 2 3" xfId="41521"/>
    <cellStyle name="Обычный 8 4 3 2 2 3 2" xfId="41522"/>
    <cellStyle name="Обычный 8 4 3 2 2 3 2 2" xfId="41523"/>
    <cellStyle name="Обычный 8 4 3 2 2 3 2 3" xfId="41524"/>
    <cellStyle name="Обычный 8 4 3 2 2 3 3" xfId="41525"/>
    <cellStyle name="Обычный 8 4 3 2 2 3 3 2" xfId="41526"/>
    <cellStyle name="Обычный 8 4 3 2 2 3 3 3" xfId="41527"/>
    <cellStyle name="Обычный 8 4 3 2 2 3 4" xfId="41528"/>
    <cellStyle name="Обычный 8 4 3 2 2 3 4 2" xfId="41529"/>
    <cellStyle name="Обычный 8 4 3 2 2 3 5" xfId="41530"/>
    <cellStyle name="Обычный 8 4 3 2 2 3 6" xfId="41531"/>
    <cellStyle name="Обычный 8 4 3 2 2 4" xfId="41532"/>
    <cellStyle name="Обычный 8 4 3 2 2 4 2" xfId="41533"/>
    <cellStyle name="Обычный 8 4 3 2 2 4 3" xfId="41534"/>
    <cellStyle name="Обычный 8 4 3 2 2 5" xfId="41535"/>
    <cellStyle name="Обычный 8 4 3 2 2 5 2" xfId="41536"/>
    <cellStyle name="Обычный 8 4 3 2 2 5 3" xfId="41537"/>
    <cellStyle name="Обычный 8 4 3 2 2 6" xfId="41538"/>
    <cellStyle name="Обычный 8 4 3 2 2 6 2" xfId="41539"/>
    <cellStyle name="Обычный 8 4 3 2 2 7" xfId="41540"/>
    <cellStyle name="Обычный 8 4 3 2 2 8" xfId="41541"/>
    <cellStyle name="Обычный 8 4 3 2 3" xfId="41542"/>
    <cellStyle name="Обычный 8 4 3 2 3 2" xfId="41543"/>
    <cellStyle name="Обычный 8 4 3 2 3 2 2" xfId="41544"/>
    <cellStyle name="Обычный 8 4 3 2 3 2 2 2" xfId="41545"/>
    <cellStyle name="Обычный 8 4 3 2 3 2 2 3" xfId="41546"/>
    <cellStyle name="Обычный 8 4 3 2 3 2 3" xfId="41547"/>
    <cellStyle name="Обычный 8 4 3 2 3 2 3 2" xfId="41548"/>
    <cellStyle name="Обычный 8 4 3 2 3 2 3 3" xfId="41549"/>
    <cellStyle name="Обычный 8 4 3 2 3 2 4" xfId="41550"/>
    <cellStyle name="Обычный 8 4 3 2 3 2 4 2" xfId="41551"/>
    <cellStyle name="Обычный 8 4 3 2 3 2 5" xfId="41552"/>
    <cellStyle name="Обычный 8 4 3 2 3 2 6" xfId="41553"/>
    <cellStyle name="Обычный 8 4 3 2 3 3" xfId="41554"/>
    <cellStyle name="Обычный 8 4 3 2 3 3 2" xfId="41555"/>
    <cellStyle name="Обычный 8 4 3 2 3 3 3" xfId="41556"/>
    <cellStyle name="Обычный 8 4 3 2 3 4" xfId="41557"/>
    <cellStyle name="Обычный 8 4 3 2 3 4 2" xfId="41558"/>
    <cellStyle name="Обычный 8 4 3 2 3 4 3" xfId="41559"/>
    <cellStyle name="Обычный 8 4 3 2 3 5" xfId="41560"/>
    <cellStyle name="Обычный 8 4 3 2 3 5 2" xfId="41561"/>
    <cellStyle name="Обычный 8 4 3 2 3 6" xfId="41562"/>
    <cellStyle name="Обычный 8 4 3 2 3 7" xfId="41563"/>
    <cellStyle name="Обычный 8 4 3 2 4" xfId="41564"/>
    <cellStyle name="Обычный 8 4 3 2 4 2" xfId="41565"/>
    <cellStyle name="Обычный 8 4 3 2 4 2 2" xfId="41566"/>
    <cellStyle name="Обычный 8 4 3 2 4 2 3" xfId="41567"/>
    <cellStyle name="Обычный 8 4 3 2 4 3" xfId="41568"/>
    <cellStyle name="Обычный 8 4 3 2 4 3 2" xfId="41569"/>
    <cellStyle name="Обычный 8 4 3 2 4 3 3" xfId="41570"/>
    <cellStyle name="Обычный 8 4 3 2 4 4" xfId="41571"/>
    <cellStyle name="Обычный 8 4 3 2 4 4 2" xfId="41572"/>
    <cellStyle name="Обычный 8 4 3 2 4 5" xfId="41573"/>
    <cellStyle name="Обычный 8 4 3 2 4 6" xfId="41574"/>
    <cellStyle name="Обычный 8 4 3 2 5" xfId="41575"/>
    <cellStyle name="Обычный 8 4 3 2 5 2" xfId="41576"/>
    <cellStyle name="Обычный 8 4 3 2 5 3" xfId="41577"/>
    <cellStyle name="Обычный 8 4 3 2 6" xfId="41578"/>
    <cellStyle name="Обычный 8 4 3 2 6 2" xfId="41579"/>
    <cellStyle name="Обычный 8 4 3 2 6 3" xfId="41580"/>
    <cellStyle name="Обычный 8 4 3 2 7" xfId="41581"/>
    <cellStyle name="Обычный 8 4 3 2 7 2" xfId="41582"/>
    <cellStyle name="Обычный 8 4 3 2 8" xfId="41583"/>
    <cellStyle name="Обычный 8 4 3 2 9" xfId="41584"/>
    <cellStyle name="Обычный 8 4 3 3" xfId="41585"/>
    <cellStyle name="Обычный 8 4 3 3 2" xfId="41586"/>
    <cellStyle name="Обычный 8 4 3 3 2 2" xfId="41587"/>
    <cellStyle name="Обычный 8 4 3 3 2 2 2" xfId="41588"/>
    <cellStyle name="Обычный 8 4 3 3 2 2 2 2" xfId="41589"/>
    <cellStyle name="Обычный 8 4 3 3 2 2 2 3" xfId="41590"/>
    <cellStyle name="Обычный 8 4 3 3 2 2 3" xfId="41591"/>
    <cellStyle name="Обычный 8 4 3 3 2 2 3 2" xfId="41592"/>
    <cellStyle name="Обычный 8 4 3 3 2 2 3 3" xfId="41593"/>
    <cellStyle name="Обычный 8 4 3 3 2 2 4" xfId="41594"/>
    <cellStyle name="Обычный 8 4 3 3 2 2 4 2" xfId="41595"/>
    <cellStyle name="Обычный 8 4 3 3 2 2 5" xfId="41596"/>
    <cellStyle name="Обычный 8 4 3 3 2 2 6" xfId="41597"/>
    <cellStyle name="Обычный 8 4 3 3 2 3" xfId="41598"/>
    <cellStyle name="Обычный 8 4 3 3 2 3 2" xfId="41599"/>
    <cellStyle name="Обычный 8 4 3 3 2 3 3" xfId="41600"/>
    <cellStyle name="Обычный 8 4 3 3 2 4" xfId="41601"/>
    <cellStyle name="Обычный 8 4 3 3 2 4 2" xfId="41602"/>
    <cellStyle name="Обычный 8 4 3 3 2 4 3" xfId="41603"/>
    <cellStyle name="Обычный 8 4 3 3 2 5" xfId="41604"/>
    <cellStyle name="Обычный 8 4 3 3 2 5 2" xfId="41605"/>
    <cellStyle name="Обычный 8 4 3 3 2 6" xfId="41606"/>
    <cellStyle name="Обычный 8 4 3 3 2 7" xfId="41607"/>
    <cellStyle name="Обычный 8 4 3 3 3" xfId="41608"/>
    <cellStyle name="Обычный 8 4 3 3 3 2" xfId="41609"/>
    <cellStyle name="Обычный 8 4 3 3 3 2 2" xfId="41610"/>
    <cellStyle name="Обычный 8 4 3 3 3 2 3" xfId="41611"/>
    <cellStyle name="Обычный 8 4 3 3 3 3" xfId="41612"/>
    <cellStyle name="Обычный 8 4 3 3 3 3 2" xfId="41613"/>
    <cellStyle name="Обычный 8 4 3 3 3 3 3" xfId="41614"/>
    <cellStyle name="Обычный 8 4 3 3 3 4" xfId="41615"/>
    <cellStyle name="Обычный 8 4 3 3 3 4 2" xfId="41616"/>
    <cellStyle name="Обычный 8 4 3 3 3 5" xfId="41617"/>
    <cellStyle name="Обычный 8 4 3 3 3 6" xfId="41618"/>
    <cellStyle name="Обычный 8 4 3 3 4" xfId="41619"/>
    <cellStyle name="Обычный 8 4 3 3 4 2" xfId="41620"/>
    <cellStyle name="Обычный 8 4 3 3 4 3" xfId="41621"/>
    <cellStyle name="Обычный 8 4 3 3 5" xfId="41622"/>
    <cellStyle name="Обычный 8 4 3 3 5 2" xfId="41623"/>
    <cellStyle name="Обычный 8 4 3 3 5 3" xfId="41624"/>
    <cellStyle name="Обычный 8 4 3 3 6" xfId="41625"/>
    <cellStyle name="Обычный 8 4 3 3 6 2" xfId="41626"/>
    <cellStyle name="Обычный 8 4 3 3 7" xfId="41627"/>
    <cellStyle name="Обычный 8 4 3 3 8" xfId="41628"/>
    <cellStyle name="Обычный 8 4 3 4" xfId="41629"/>
    <cellStyle name="Обычный 8 4 3 4 2" xfId="41630"/>
    <cellStyle name="Обычный 8 4 3 4 2 2" xfId="41631"/>
    <cellStyle name="Обычный 8 4 3 4 2 2 2" xfId="41632"/>
    <cellStyle name="Обычный 8 4 3 4 2 2 3" xfId="41633"/>
    <cellStyle name="Обычный 8 4 3 4 2 3" xfId="41634"/>
    <cellStyle name="Обычный 8 4 3 4 2 3 2" xfId="41635"/>
    <cellStyle name="Обычный 8 4 3 4 2 3 3" xfId="41636"/>
    <cellStyle name="Обычный 8 4 3 4 2 4" xfId="41637"/>
    <cellStyle name="Обычный 8 4 3 4 2 4 2" xfId="41638"/>
    <cellStyle name="Обычный 8 4 3 4 2 5" xfId="41639"/>
    <cellStyle name="Обычный 8 4 3 4 2 6" xfId="41640"/>
    <cellStyle name="Обычный 8 4 3 4 3" xfId="41641"/>
    <cellStyle name="Обычный 8 4 3 4 3 2" xfId="41642"/>
    <cellStyle name="Обычный 8 4 3 4 3 3" xfId="41643"/>
    <cellStyle name="Обычный 8 4 3 4 4" xfId="41644"/>
    <cellStyle name="Обычный 8 4 3 4 4 2" xfId="41645"/>
    <cellStyle name="Обычный 8 4 3 4 4 3" xfId="41646"/>
    <cellStyle name="Обычный 8 4 3 4 5" xfId="41647"/>
    <cellStyle name="Обычный 8 4 3 4 5 2" xfId="41648"/>
    <cellStyle name="Обычный 8 4 3 4 6" xfId="41649"/>
    <cellStyle name="Обычный 8 4 3 4 7" xfId="41650"/>
    <cellStyle name="Обычный 8 4 3 5" xfId="41651"/>
    <cellStyle name="Обычный 8 4 3 5 2" xfId="41652"/>
    <cellStyle name="Обычный 8 4 3 5 2 2" xfId="41653"/>
    <cellStyle name="Обычный 8 4 3 5 2 3" xfId="41654"/>
    <cellStyle name="Обычный 8 4 3 5 3" xfId="41655"/>
    <cellStyle name="Обычный 8 4 3 5 3 2" xfId="41656"/>
    <cellStyle name="Обычный 8 4 3 5 3 3" xfId="41657"/>
    <cellStyle name="Обычный 8 4 3 5 4" xfId="41658"/>
    <cellStyle name="Обычный 8 4 3 5 4 2" xfId="41659"/>
    <cellStyle name="Обычный 8 4 3 5 5" xfId="41660"/>
    <cellStyle name="Обычный 8 4 3 5 6" xfId="41661"/>
    <cellStyle name="Обычный 8 4 3 6" xfId="41662"/>
    <cellStyle name="Обычный 8 4 3 6 2" xfId="41663"/>
    <cellStyle name="Обычный 8 4 3 6 3" xfId="41664"/>
    <cellStyle name="Обычный 8 4 3 7" xfId="41665"/>
    <cellStyle name="Обычный 8 4 3 7 2" xfId="41666"/>
    <cellStyle name="Обычный 8 4 3 7 3" xfId="41667"/>
    <cellStyle name="Обычный 8 4 3 8" xfId="41668"/>
    <cellStyle name="Обычный 8 4 3 8 2" xfId="41669"/>
    <cellStyle name="Обычный 8 4 3 9" xfId="41670"/>
    <cellStyle name="Обычный 8 4 4" xfId="41671"/>
    <cellStyle name="Обычный 8 4 4 10" xfId="41672"/>
    <cellStyle name="Обычный 8 4 4 2" xfId="41673"/>
    <cellStyle name="Обычный 8 4 4 2 2" xfId="41674"/>
    <cellStyle name="Обычный 8 4 4 2 2 2" xfId="41675"/>
    <cellStyle name="Обычный 8 4 4 2 2 2 2" xfId="41676"/>
    <cellStyle name="Обычный 8 4 4 2 2 2 2 2" xfId="41677"/>
    <cellStyle name="Обычный 8 4 4 2 2 2 2 2 2" xfId="41678"/>
    <cellStyle name="Обычный 8 4 4 2 2 2 2 2 3" xfId="41679"/>
    <cellStyle name="Обычный 8 4 4 2 2 2 2 3" xfId="41680"/>
    <cellStyle name="Обычный 8 4 4 2 2 2 2 3 2" xfId="41681"/>
    <cellStyle name="Обычный 8 4 4 2 2 2 2 3 3" xfId="41682"/>
    <cellStyle name="Обычный 8 4 4 2 2 2 2 4" xfId="41683"/>
    <cellStyle name="Обычный 8 4 4 2 2 2 2 4 2" xfId="41684"/>
    <cellStyle name="Обычный 8 4 4 2 2 2 2 5" xfId="41685"/>
    <cellStyle name="Обычный 8 4 4 2 2 2 2 6" xfId="41686"/>
    <cellStyle name="Обычный 8 4 4 2 2 2 3" xfId="41687"/>
    <cellStyle name="Обычный 8 4 4 2 2 2 3 2" xfId="41688"/>
    <cellStyle name="Обычный 8 4 4 2 2 2 3 3" xfId="41689"/>
    <cellStyle name="Обычный 8 4 4 2 2 2 4" xfId="41690"/>
    <cellStyle name="Обычный 8 4 4 2 2 2 4 2" xfId="41691"/>
    <cellStyle name="Обычный 8 4 4 2 2 2 4 3" xfId="41692"/>
    <cellStyle name="Обычный 8 4 4 2 2 2 5" xfId="41693"/>
    <cellStyle name="Обычный 8 4 4 2 2 2 5 2" xfId="41694"/>
    <cellStyle name="Обычный 8 4 4 2 2 2 6" xfId="41695"/>
    <cellStyle name="Обычный 8 4 4 2 2 2 7" xfId="41696"/>
    <cellStyle name="Обычный 8 4 4 2 2 3" xfId="41697"/>
    <cellStyle name="Обычный 8 4 4 2 2 3 2" xfId="41698"/>
    <cellStyle name="Обычный 8 4 4 2 2 3 2 2" xfId="41699"/>
    <cellStyle name="Обычный 8 4 4 2 2 3 2 3" xfId="41700"/>
    <cellStyle name="Обычный 8 4 4 2 2 3 3" xfId="41701"/>
    <cellStyle name="Обычный 8 4 4 2 2 3 3 2" xfId="41702"/>
    <cellStyle name="Обычный 8 4 4 2 2 3 3 3" xfId="41703"/>
    <cellStyle name="Обычный 8 4 4 2 2 3 4" xfId="41704"/>
    <cellStyle name="Обычный 8 4 4 2 2 3 4 2" xfId="41705"/>
    <cellStyle name="Обычный 8 4 4 2 2 3 5" xfId="41706"/>
    <cellStyle name="Обычный 8 4 4 2 2 3 6" xfId="41707"/>
    <cellStyle name="Обычный 8 4 4 2 2 4" xfId="41708"/>
    <cellStyle name="Обычный 8 4 4 2 2 4 2" xfId="41709"/>
    <cellStyle name="Обычный 8 4 4 2 2 4 3" xfId="41710"/>
    <cellStyle name="Обычный 8 4 4 2 2 5" xfId="41711"/>
    <cellStyle name="Обычный 8 4 4 2 2 5 2" xfId="41712"/>
    <cellStyle name="Обычный 8 4 4 2 2 5 3" xfId="41713"/>
    <cellStyle name="Обычный 8 4 4 2 2 6" xfId="41714"/>
    <cellStyle name="Обычный 8 4 4 2 2 6 2" xfId="41715"/>
    <cellStyle name="Обычный 8 4 4 2 2 7" xfId="41716"/>
    <cellStyle name="Обычный 8 4 4 2 2 8" xfId="41717"/>
    <cellStyle name="Обычный 8 4 4 2 3" xfId="41718"/>
    <cellStyle name="Обычный 8 4 4 2 3 2" xfId="41719"/>
    <cellStyle name="Обычный 8 4 4 2 3 2 2" xfId="41720"/>
    <cellStyle name="Обычный 8 4 4 2 3 2 2 2" xfId="41721"/>
    <cellStyle name="Обычный 8 4 4 2 3 2 2 3" xfId="41722"/>
    <cellStyle name="Обычный 8 4 4 2 3 2 3" xfId="41723"/>
    <cellStyle name="Обычный 8 4 4 2 3 2 3 2" xfId="41724"/>
    <cellStyle name="Обычный 8 4 4 2 3 2 3 3" xfId="41725"/>
    <cellStyle name="Обычный 8 4 4 2 3 2 4" xfId="41726"/>
    <cellStyle name="Обычный 8 4 4 2 3 2 4 2" xfId="41727"/>
    <cellStyle name="Обычный 8 4 4 2 3 2 5" xfId="41728"/>
    <cellStyle name="Обычный 8 4 4 2 3 2 6" xfId="41729"/>
    <cellStyle name="Обычный 8 4 4 2 3 3" xfId="41730"/>
    <cellStyle name="Обычный 8 4 4 2 3 3 2" xfId="41731"/>
    <cellStyle name="Обычный 8 4 4 2 3 3 3" xfId="41732"/>
    <cellStyle name="Обычный 8 4 4 2 3 4" xfId="41733"/>
    <cellStyle name="Обычный 8 4 4 2 3 4 2" xfId="41734"/>
    <cellStyle name="Обычный 8 4 4 2 3 4 3" xfId="41735"/>
    <cellStyle name="Обычный 8 4 4 2 3 5" xfId="41736"/>
    <cellStyle name="Обычный 8 4 4 2 3 5 2" xfId="41737"/>
    <cellStyle name="Обычный 8 4 4 2 3 6" xfId="41738"/>
    <cellStyle name="Обычный 8 4 4 2 3 7" xfId="41739"/>
    <cellStyle name="Обычный 8 4 4 2 4" xfId="41740"/>
    <cellStyle name="Обычный 8 4 4 2 4 2" xfId="41741"/>
    <cellStyle name="Обычный 8 4 4 2 4 2 2" xfId="41742"/>
    <cellStyle name="Обычный 8 4 4 2 4 2 3" xfId="41743"/>
    <cellStyle name="Обычный 8 4 4 2 4 3" xfId="41744"/>
    <cellStyle name="Обычный 8 4 4 2 4 3 2" xfId="41745"/>
    <cellStyle name="Обычный 8 4 4 2 4 3 3" xfId="41746"/>
    <cellStyle name="Обычный 8 4 4 2 4 4" xfId="41747"/>
    <cellStyle name="Обычный 8 4 4 2 4 4 2" xfId="41748"/>
    <cellStyle name="Обычный 8 4 4 2 4 5" xfId="41749"/>
    <cellStyle name="Обычный 8 4 4 2 4 6" xfId="41750"/>
    <cellStyle name="Обычный 8 4 4 2 5" xfId="41751"/>
    <cellStyle name="Обычный 8 4 4 2 5 2" xfId="41752"/>
    <cellStyle name="Обычный 8 4 4 2 5 3" xfId="41753"/>
    <cellStyle name="Обычный 8 4 4 2 6" xfId="41754"/>
    <cellStyle name="Обычный 8 4 4 2 6 2" xfId="41755"/>
    <cellStyle name="Обычный 8 4 4 2 6 3" xfId="41756"/>
    <cellStyle name="Обычный 8 4 4 2 7" xfId="41757"/>
    <cellStyle name="Обычный 8 4 4 2 7 2" xfId="41758"/>
    <cellStyle name="Обычный 8 4 4 2 8" xfId="41759"/>
    <cellStyle name="Обычный 8 4 4 2 9" xfId="41760"/>
    <cellStyle name="Обычный 8 4 4 3" xfId="41761"/>
    <cellStyle name="Обычный 8 4 4 3 2" xfId="41762"/>
    <cellStyle name="Обычный 8 4 4 3 2 2" xfId="41763"/>
    <cellStyle name="Обычный 8 4 4 3 2 2 2" xfId="41764"/>
    <cellStyle name="Обычный 8 4 4 3 2 2 2 2" xfId="41765"/>
    <cellStyle name="Обычный 8 4 4 3 2 2 2 3" xfId="41766"/>
    <cellStyle name="Обычный 8 4 4 3 2 2 3" xfId="41767"/>
    <cellStyle name="Обычный 8 4 4 3 2 2 3 2" xfId="41768"/>
    <cellStyle name="Обычный 8 4 4 3 2 2 3 3" xfId="41769"/>
    <cellStyle name="Обычный 8 4 4 3 2 2 4" xfId="41770"/>
    <cellStyle name="Обычный 8 4 4 3 2 2 4 2" xfId="41771"/>
    <cellStyle name="Обычный 8 4 4 3 2 2 5" xfId="41772"/>
    <cellStyle name="Обычный 8 4 4 3 2 2 6" xfId="41773"/>
    <cellStyle name="Обычный 8 4 4 3 2 3" xfId="41774"/>
    <cellStyle name="Обычный 8 4 4 3 2 3 2" xfId="41775"/>
    <cellStyle name="Обычный 8 4 4 3 2 3 3" xfId="41776"/>
    <cellStyle name="Обычный 8 4 4 3 2 4" xfId="41777"/>
    <cellStyle name="Обычный 8 4 4 3 2 4 2" xfId="41778"/>
    <cellStyle name="Обычный 8 4 4 3 2 4 3" xfId="41779"/>
    <cellStyle name="Обычный 8 4 4 3 2 5" xfId="41780"/>
    <cellStyle name="Обычный 8 4 4 3 2 5 2" xfId="41781"/>
    <cellStyle name="Обычный 8 4 4 3 2 6" xfId="41782"/>
    <cellStyle name="Обычный 8 4 4 3 2 7" xfId="41783"/>
    <cellStyle name="Обычный 8 4 4 3 3" xfId="41784"/>
    <cellStyle name="Обычный 8 4 4 3 3 2" xfId="41785"/>
    <cellStyle name="Обычный 8 4 4 3 3 2 2" xfId="41786"/>
    <cellStyle name="Обычный 8 4 4 3 3 2 3" xfId="41787"/>
    <cellStyle name="Обычный 8 4 4 3 3 3" xfId="41788"/>
    <cellStyle name="Обычный 8 4 4 3 3 3 2" xfId="41789"/>
    <cellStyle name="Обычный 8 4 4 3 3 3 3" xfId="41790"/>
    <cellStyle name="Обычный 8 4 4 3 3 4" xfId="41791"/>
    <cellStyle name="Обычный 8 4 4 3 3 4 2" xfId="41792"/>
    <cellStyle name="Обычный 8 4 4 3 3 5" xfId="41793"/>
    <cellStyle name="Обычный 8 4 4 3 3 6" xfId="41794"/>
    <cellStyle name="Обычный 8 4 4 3 4" xfId="41795"/>
    <cellStyle name="Обычный 8 4 4 3 4 2" xfId="41796"/>
    <cellStyle name="Обычный 8 4 4 3 4 3" xfId="41797"/>
    <cellStyle name="Обычный 8 4 4 3 5" xfId="41798"/>
    <cellStyle name="Обычный 8 4 4 3 5 2" xfId="41799"/>
    <cellStyle name="Обычный 8 4 4 3 5 3" xfId="41800"/>
    <cellStyle name="Обычный 8 4 4 3 6" xfId="41801"/>
    <cellStyle name="Обычный 8 4 4 3 6 2" xfId="41802"/>
    <cellStyle name="Обычный 8 4 4 3 7" xfId="41803"/>
    <cellStyle name="Обычный 8 4 4 3 8" xfId="41804"/>
    <cellStyle name="Обычный 8 4 4 4" xfId="41805"/>
    <cellStyle name="Обычный 8 4 4 4 2" xfId="41806"/>
    <cellStyle name="Обычный 8 4 4 4 2 2" xfId="41807"/>
    <cellStyle name="Обычный 8 4 4 4 2 2 2" xfId="41808"/>
    <cellStyle name="Обычный 8 4 4 4 2 2 3" xfId="41809"/>
    <cellStyle name="Обычный 8 4 4 4 2 3" xfId="41810"/>
    <cellStyle name="Обычный 8 4 4 4 2 3 2" xfId="41811"/>
    <cellStyle name="Обычный 8 4 4 4 2 3 3" xfId="41812"/>
    <cellStyle name="Обычный 8 4 4 4 2 4" xfId="41813"/>
    <cellStyle name="Обычный 8 4 4 4 2 4 2" xfId="41814"/>
    <cellStyle name="Обычный 8 4 4 4 2 5" xfId="41815"/>
    <cellStyle name="Обычный 8 4 4 4 2 6" xfId="41816"/>
    <cellStyle name="Обычный 8 4 4 4 3" xfId="41817"/>
    <cellStyle name="Обычный 8 4 4 4 3 2" xfId="41818"/>
    <cellStyle name="Обычный 8 4 4 4 3 3" xfId="41819"/>
    <cellStyle name="Обычный 8 4 4 4 4" xfId="41820"/>
    <cellStyle name="Обычный 8 4 4 4 4 2" xfId="41821"/>
    <cellStyle name="Обычный 8 4 4 4 4 3" xfId="41822"/>
    <cellStyle name="Обычный 8 4 4 4 5" xfId="41823"/>
    <cellStyle name="Обычный 8 4 4 4 5 2" xfId="41824"/>
    <cellStyle name="Обычный 8 4 4 4 6" xfId="41825"/>
    <cellStyle name="Обычный 8 4 4 4 7" xfId="41826"/>
    <cellStyle name="Обычный 8 4 4 5" xfId="41827"/>
    <cellStyle name="Обычный 8 4 4 5 2" xfId="41828"/>
    <cellStyle name="Обычный 8 4 4 5 2 2" xfId="41829"/>
    <cellStyle name="Обычный 8 4 4 5 2 3" xfId="41830"/>
    <cellStyle name="Обычный 8 4 4 5 3" xfId="41831"/>
    <cellStyle name="Обычный 8 4 4 5 3 2" xfId="41832"/>
    <cellStyle name="Обычный 8 4 4 5 3 3" xfId="41833"/>
    <cellStyle name="Обычный 8 4 4 5 4" xfId="41834"/>
    <cellStyle name="Обычный 8 4 4 5 4 2" xfId="41835"/>
    <cellStyle name="Обычный 8 4 4 5 5" xfId="41836"/>
    <cellStyle name="Обычный 8 4 4 5 6" xfId="41837"/>
    <cellStyle name="Обычный 8 4 4 6" xfId="41838"/>
    <cellStyle name="Обычный 8 4 4 6 2" xfId="41839"/>
    <cellStyle name="Обычный 8 4 4 6 3" xfId="41840"/>
    <cellStyle name="Обычный 8 4 4 7" xfId="41841"/>
    <cellStyle name="Обычный 8 4 4 7 2" xfId="41842"/>
    <cellStyle name="Обычный 8 4 4 7 3" xfId="41843"/>
    <cellStyle name="Обычный 8 4 4 8" xfId="41844"/>
    <cellStyle name="Обычный 8 4 4 8 2" xfId="41845"/>
    <cellStyle name="Обычный 8 4 4 9" xfId="41846"/>
    <cellStyle name="Обычный 8 4 5" xfId="41847"/>
    <cellStyle name="Обычный 8 4 5 10" xfId="41848"/>
    <cellStyle name="Обычный 8 4 5 2" xfId="41849"/>
    <cellStyle name="Обычный 8 4 5 2 2" xfId="41850"/>
    <cellStyle name="Обычный 8 4 5 2 2 2" xfId="41851"/>
    <cellStyle name="Обычный 8 4 5 2 2 2 2" xfId="41852"/>
    <cellStyle name="Обычный 8 4 5 2 2 2 2 2" xfId="41853"/>
    <cellStyle name="Обычный 8 4 5 2 2 2 2 2 2" xfId="41854"/>
    <cellStyle name="Обычный 8 4 5 2 2 2 2 2 3" xfId="41855"/>
    <cellStyle name="Обычный 8 4 5 2 2 2 2 3" xfId="41856"/>
    <cellStyle name="Обычный 8 4 5 2 2 2 2 3 2" xfId="41857"/>
    <cellStyle name="Обычный 8 4 5 2 2 2 2 3 3" xfId="41858"/>
    <cellStyle name="Обычный 8 4 5 2 2 2 2 4" xfId="41859"/>
    <cellStyle name="Обычный 8 4 5 2 2 2 2 4 2" xfId="41860"/>
    <cellStyle name="Обычный 8 4 5 2 2 2 2 5" xfId="41861"/>
    <cellStyle name="Обычный 8 4 5 2 2 2 2 6" xfId="41862"/>
    <cellStyle name="Обычный 8 4 5 2 2 2 3" xfId="41863"/>
    <cellStyle name="Обычный 8 4 5 2 2 2 3 2" xfId="41864"/>
    <cellStyle name="Обычный 8 4 5 2 2 2 3 3" xfId="41865"/>
    <cellStyle name="Обычный 8 4 5 2 2 2 4" xfId="41866"/>
    <cellStyle name="Обычный 8 4 5 2 2 2 4 2" xfId="41867"/>
    <cellStyle name="Обычный 8 4 5 2 2 2 4 3" xfId="41868"/>
    <cellStyle name="Обычный 8 4 5 2 2 2 5" xfId="41869"/>
    <cellStyle name="Обычный 8 4 5 2 2 2 5 2" xfId="41870"/>
    <cellStyle name="Обычный 8 4 5 2 2 2 6" xfId="41871"/>
    <cellStyle name="Обычный 8 4 5 2 2 2 7" xfId="41872"/>
    <cellStyle name="Обычный 8 4 5 2 2 3" xfId="41873"/>
    <cellStyle name="Обычный 8 4 5 2 2 3 2" xfId="41874"/>
    <cellStyle name="Обычный 8 4 5 2 2 3 2 2" xfId="41875"/>
    <cellStyle name="Обычный 8 4 5 2 2 3 2 3" xfId="41876"/>
    <cellStyle name="Обычный 8 4 5 2 2 3 3" xfId="41877"/>
    <cellStyle name="Обычный 8 4 5 2 2 3 3 2" xfId="41878"/>
    <cellStyle name="Обычный 8 4 5 2 2 3 3 3" xfId="41879"/>
    <cellStyle name="Обычный 8 4 5 2 2 3 4" xfId="41880"/>
    <cellStyle name="Обычный 8 4 5 2 2 3 4 2" xfId="41881"/>
    <cellStyle name="Обычный 8 4 5 2 2 3 5" xfId="41882"/>
    <cellStyle name="Обычный 8 4 5 2 2 3 6" xfId="41883"/>
    <cellStyle name="Обычный 8 4 5 2 2 4" xfId="41884"/>
    <cellStyle name="Обычный 8 4 5 2 2 4 2" xfId="41885"/>
    <cellStyle name="Обычный 8 4 5 2 2 4 3" xfId="41886"/>
    <cellStyle name="Обычный 8 4 5 2 2 5" xfId="41887"/>
    <cellStyle name="Обычный 8 4 5 2 2 5 2" xfId="41888"/>
    <cellStyle name="Обычный 8 4 5 2 2 5 3" xfId="41889"/>
    <cellStyle name="Обычный 8 4 5 2 2 6" xfId="41890"/>
    <cellStyle name="Обычный 8 4 5 2 2 6 2" xfId="41891"/>
    <cellStyle name="Обычный 8 4 5 2 2 7" xfId="41892"/>
    <cellStyle name="Обычный 8 4 5 2 2 8" xfId="41893"/>
    <cellStyle name="Обычный 8 4 5 2 3" xfId="41894"/>
    <cellStyle name="Обычный 8 4 5 2 3 2" xfId="41895"/>
    <cellStyle name="Обычный 8 4 5 2 3 2 2" xfId="41896"/>
    <cellStyle name="Обычный 8 4 5 2 3 2 2 2" xfId="41897"/>
    <cellStyle name="Обычный 8 4 5 2 3 2 2 3" xfId="41898"/>
    <cellStyle name="Обычный 8 4 5 2 3 2 3" xfId="41899"/>
    <cellStyle name="Обычный 8 4 5 2 3 2 3 2" xfId="41900"/>
    <cellStyle name="Обычный 8 4 5 2 3 2 3 3" xfId="41901"/>
    <cellStyle name="Обычный 8 4 5 2 3 2 4" xfId="41902"/>
    <cellStyle name="Обычный 8 4 5 2 3 2 4 2" xfId="41903"/>
    <cellStyle name="Обычный 8 4 5 2 3 2 5" xfId="41904"/>
    <cellStyle name="Обычный 8 4 5 2 3 2 6" xfId="41905"/>
    <cellStyle name="Обычный 8 4 5 2 3 3" xfId="41906"/>
    <cellStyle name="Обычный 8 4 5 2 3 3 2" xfId="41907"/>
    <cellStyle name="Обычный 8 4 5 2 3 3 3" xfId="41908"/>
    <cellStyle name="Обычный 8 4 5 2 3 4" xfId="41909"/>
    <cellStyle name="Обычный 8 4 5 2 3 4 2" xfId="41910"/>
    <cellStyle name="Обычный 8 4 5 2 3 4 3" xfId="41911"/>
    <cellStyle name="Обычный 8 4 5 2 3 5" xfId="41912"/>
    <cellStyle name="Обычный 8 4 5 2 3 5 2" xfId="41913"/>
    <cellStyle name="Обычный 8 4 5 2 3 6" xfId="41914"/>
    <cellStyle name="Обычный 8 4 5 2 3 7" xfId="41915"/>
    <cellStyle name="Обычный 8 4 5 2 4" xfId="41916"/>
    <cellStyle name="Обычный 8 4 5 2 4 2" xfId="41917"/>
    <cellStyle name="Обычный 8 4 5 2 4 2 2" xfId="41918"/>
    <cellStyle name="Обычный 8 4 5 2 4 2 3" xfId="41919"/>
    <cellStyle name="Обычный 8 4 5 2 4 3" xfId="41920"/>
    <cellStyle name="Обычный 8 4 5 2 4 3 2" xfId="41921"/>
    <cellStyle name="Обычный 8 4 5 2 4 3 3" xfId="41922"/>
    <cellStyle name="Обычный 8 4 5 2 4 4" xfId="41923"/>
    <cellStyle name="Обычный 8 4 5 2 4 4 2" xfId="41924"/>
    <cellStyle name="Обычный 8 4 5 2 4 5" xfId="41925"/>
    <cellStyle name="Обычный 8 4 5 2 4 6" xfId="41926"/>
    <cellStyle name="Обычный 8 4 5 2 5" xfId="41927"/>
    <cellStyle name="Обычный 8 4 5 2 5 2" xfId="41928"/>
    <cellStyle name="Обычный 8 4 5 2 5 3" xfId="41929"/>
    <cellStyle name="Обычный 8 4 5 2 6" xfId="41930"/>
    <cellStyle name="Обычный 8 4 5 2 6 2" xfId="41931"/>
    <cellStyle name="Обычный 8 4 5 2 6 3" xfId="41932"/>
    <cellStyle name="Обычный 8 4 5 2 7" xfId="41933"/>
    <cellStyle name="Обычный 8 4 5 2 7 2" xfId="41934"/>
    <cellStyle name="Обычный 8 4 5 2 8" xfId="41935"/>
    <cellStyle name="Обычный 8 4 5 2 9" xfId="41936"/>
    <cellStyle name="Обычный 8 4 5 3" xfId="41937"/>
    <cellStyle name="Обычный 8 4 5 3 2" xfId="41938"/>
    <cellStyle name="Обычный 8 4 5 3 2 2" xfId="41939"/>
    <cellStyle name="Обычный 8 4 5 3 2 2 2" xfId="41940"/>
    <cellStyle name="Обычный 8 4 5 3 2 2 2 2" xfId="41941"/>
    <cellStyle name="Обычный 8 4 5 3 2 2 2 3" xfId="41942"/>
    <cellStyle name="Обычный 8 4 5 3 2 2 3" xfId="41943"/>
    <cellStyle name="Обычный 8 4 5 3 2 2 3 2" xfId="41944"/>
    <cellStyle name="Обычный 8 4 5 3 2 2 3 3" xfId="41945"/>
    <cellStyle name="Обычный 8 4 5 3 2 2 4" xfId="41946"/>
    <cellStyle name="Обычный 8 4 5 3 2 2 4 2" xfId="41947"/>
    <cellStyle name="Обычный 8 4 5 3 2 2 5" xfId="41948"/>
    <cellStyle name="Обычный 8 4 5 3 2 2 6" xfId="41949"/>
    <cellStyle name="Обычный 8 4 5 3 2 3" xfId="41950"/>
    <cellStyle name="Обычный 8 4 5 3 2 3 2" xfId="41951"/>
    <cellStyle name="Обычный 8 4 5 3 2 3 3" xfId="41952"/>
    <cellStyle name="Обычный 8 4 5 3 2 4" xfId="41953"/>
    <cellStyle name="Обычный 8 4 5 3 2 4 2" xfId="41954"/>
    <cellStyle name="Обычный 8 4 5 3 2 4 3" xfId="41955"/>
    <cellStyle name="Обычный 8 4 5 3 2 5" xfId="41956"/>
    <cellStyle name="Обычный 8 4 5 3 2 5 2" xfId="41957"/>
    <cellStyle name="Обычный 8 4 5 3 2 6" xfId="41958"/>
    <cellStyle name="Обычный 8 4 5 3 2 7" xfId="41959"/>
    <cellStyle name="Обычный 8 4 5 3 3" xfId="41960"/>
    <cellStyle name="Обычный 8 4 5 3 3 2" xfId="41961"/>
    <cellStyle name="Обычный 8 4 5 3 3 2 2" xfId="41962"/>
    <cellStyle name="Обычный 8 4 5 3 3 2 3" xfId="41963"/>
    <cellStyle name="Обычный 8 4 5 3 3 3" xfId="41964"/>
    <cellStyle name="Обычный 8 4 5 3 3 3 2" xfId="41965"/>
    <cellStyle name="Обычный 8 4 5 3 3 3 3" xfId="41966"/>
    <cellStyle name="Обычный 8 4 5 3 3 4" xfId="41967"/>
    <cellStyle name="Обычный 8 4 5 3 3 4 2" xfId="41968"/>
    <cellStyle name="Обычный 8 4 5 3 3 5" xfId="41969"/>
    <cellStyle name="Обычный 8 4 5 3 3 6" xfId="41970"/>
    <cellStyle name="Обычный 8 4 5 3 4" xfId="41971"/>
    <cellStyle name="Обычный 8 4 5 3 4 2" xfId="41972"/>
    <cellStyle name="Обычный 8 4 5 3 4 3" xfId="41973"/>
    <cellStyle name="Обычный 8 4 5 3 5" xfId="41974"/>
    <cellStyle name="Обычный 8 4 5 3 5 2" xfId="41975"/>
    <cellStyle name="Обычный 8 4 5 3 5 3" xfId="41976"/>
    <cellStyle name="Обычный 8 4 5 3 6" xfId="41977"/>
    <cellStyle name="Обычный 8 4 5 3 6 2" xfId="41978"/>
    <cellStyle name="Обычный 8 4 5 3 7" xfId="41979"/>
    <cellStyle name="Обычный 8 4 5 3 8" xfId="41980"/>
    <cellStyle name="Обычный 8 4 5 4" xfId="41981"/>
    <cellStyle name="Обычный 8 4 5 4 2" xfId="41982"/>
    <cellStyle name="Обычный 8 4 5 4 2 2" xfId="41983"/>
    <cellStyle name="Обычный 8 4 5 4 2 2 2" xfId="41984"/>
    <cellStyle name="Обычный 8 4 5 4 2 2 3" xfId="41985"/>
    <cellStyle name="Обычный 8 4 5 4 2 3" xfId="41986"/>
    <cellStyle name="Обычный 8 4 5 4 2 3 2" xfId="41987"/>
    <cellStyle name="Обычный 8 4 5 4 2 3 3" xfId="41988"/>
    <cellStyle name="Обычный 8 4 5 4 2 4" xfId="41989"/>
    <cellStyle name="Обычный 8 4 5 4 2 4 2" xfId="41990"/>
    <cellStyle name="Обычный 8 4 5 4 2 5" xfId="41991"/>
    <cellStyle name="Обычный 8 4 5 4 2 6" xfId="41992"/>
    <cellStyle name="Обычный 8 4 5 4 3" xfId="41993"/>
    <cellStyle name="Обычный 8 4 5 4 3 2" xfId="41994"/>
    <cellStyle name="Обычный 8 4 5 4 3 3" xfId="41995"/>
    <cellStyle name="Обычный 8 4 5 4 4" xfId="41996"/>
    <cellStyle name="Обычный 8 4 5 4 4 2" xfId="41997"/>
    <cellStyle name="Обычный 8 4 5 4 4 3" xfId="41998"/>
    <cellStyle name="Обычный 8 4 5 4 5" xfId="41999"/>
    <cellStyle name="Обычный 8 4 5 4 5 2" xfId="42000"/>
    <cellStyle name="Обычный 8 4 5 4 6" xfId="42001"/>
    <cellStyle name="Обычный 8 4 5 4 7" xfId="42002"/>
    <cellStyle name="Обычный 8 4 5 5" xfId="42003"/>
    <cellStyle name="Обычный 8 4 5 5 2" xfId="42004"/>
    <cellStyle name="Обычный 8 4 5 5 2 2" xfId="42005"/>
    <cellStyle name="Обычный 8 4 5 5 2 3" xfId="42006"/>
    <cellStyle name="Обычный 8 4 5 5 3" xfId="42007"/>
    <cellStyle name="Обычный 8 4 5 5 3 2" xfId="42008"/>
    <cellStyle name="Обычный 8 4 5 5 3 3" xfId="42009"/>
    <cellStyle name="Обычный 8 4 5 5 4" xfId="42010"/>
    <cellStyle name="Обычный 8 4 5 5 4 2" xfId="42011"/>
    <cellStyle name="Обычный 8 4 5 5 5" xfId="42012"/>
    <cellStyle name="Обычный 8 4 5 5 6" xfId="42013"/>
    <cellStyle name="Обычный 8 4 5 6" xfId="42014"/>
    <cellStyle name="Обычный 8 4 5 6 2" xfId="42015"/>
    <cellStyle name="Обычный 8 4 5 6 3" xfId="42016"/>
    <cellStyle name="Обычный 8 4 5 7" xfId="42017"/>
    <cellStyle name="Обычный 8 4 5 7 2" xfId="42018"/>
    <cellStyle name="Обычный 8 4 5 7 3" xfId="42019"/>
    <cellStyle name="Обычный 8 4 5 8" xfId="42020"/>
    <cellStyle name="Обычный 8 4 5 8 2" xfId="42021"/>
    <cellStyle name="Обычный 8 4 5 9" xfId="42022"/>
    <cellStyle name="Обычный 8 4 6" xfId="42023"/>
    <cellStyle name="Обычный 8 4 6 2" xfId="42024"/>
    <cellStyle name="Обычный 8 4 6 2 2" xfId="42025"/>
    <cellStyle name="Обычный 8 4 6 2 2 2" xfId="42026"/>
    <cellStyle name="Обычный 8 4 6 2 2 2 2" xfId="42027"/>
    <cellStyle name="Обычный 8 4 6 2 2 2 2 2" xfId="42028"/>
    <cellStyle name="Обычный 8 4 6 2 2 2 2 3" xfId="42029"/>
    <cellStyle name="Обычный 8 4 6 2 2 2 3" xfId="42030"/>
    <cellStyle name="Обычный 8 4 6 2 2 2 3 2" xfId="42031"/>
    <cellStyle name="Обычный 8 4 6 2 2 2 3 3" xfId="42032"/>
    <cellStyle name="Обычный 8 4 6 2 2 2 4" xfId="42033"/>
    <cellStyle name="Обычный 8 4 6 2 2 2 4 2" xfId="42034"/>
    <cellStyle name="Обычный 8 4 6 2 2 2 5" xfId="42035"/>
    <cellStyle name="Обычный 8 4 6 2 2 2 6" xfId="42036"/>
    <cellStyle name="Обычный 8 4 6 2 2 3" xfId="42037"/>
    <cellStyle name="Обычный 8 4 6 2 2 3 2" xfId="42038"/>
    <cellStyle name="Обычный 8 4 6 2 2 3 3" xfId="42039"/>
    <cellStyle name="Обычный 8 4 6 2 2 4" xfId="42040"/>
    <cellStyle name="Обычный 8 4 6 2 2 4 2" xfId="42041"/>
    <cellStyle name="Обычный 8 4 6 2 2 4 3" xfId="42042"/>
    <cellStyle name="Обычный 8 4 6 2 2 5" xfId="42043"/>
    <cellStyle name="Обычный 8 4 6 2 2 5 2" xfId="42044"/>
    <cellStyle name="Обычный 8 4 6 2 2 6" xfId="42045"/>
    <cellStyle name="Обычный 8 4 6 2 2 7" xfId="42046"/>
    <cellStyle name="Обычный 8 4 6 2 3" xfId="42047"/>
    <cellStyle name="Обычный 8 4 6 2 3 2" xfId="42048"/>
    <cellStyle name="Обычный 8 4 6 2 3 2 2" xfId="42049"/>
    <cellStyle name="Обычный 8 4 6 2 3 2 3" xfId="42050"/>
    <cellStyle name="Обычный 8 4 6 2 3 3" xfId="42051"/>
    <cellStyle name="Обычный 8 4 6 2 3 3 2" xfId="42052"/>
    <cellStyle name="Обычный 8 4 6 2 3 3 3" xfId="42053"/>
    <cellStyle name="Обычный 8 4 6 2 3 4" xfId="42054"/>
    <cellStyle name="Обычный 8 4 6 2 3 4 2" xfId="42055"/>
    <cellStyle name="Обычный 8 4 6 2 3 5" xfId="42056"/>
    <cellStyle name="Обычный 8 4 6 2 3 6" xfId="42057"/>
    <cellStyle name="Обычный 8 4 6 2 4" xfId="42058"/>
    <cellStyle name="Обычный 8 4 6 2 4 2" xfId="42059"/>
    <cellStyle name="Обычный 8 4 6 2 4 3" xfId="42060"/>
    <cellStyle name="Обычный 8 4 6 2 5" xfId="42061"/>
    <cellStyle name="Обычный 8 4 6 2 5 2" xfId="42062"/>
    <cellStyle name="Обычный 8 4 6 2 5 3" xfId="42063"/>
    <cellStyle name="Обычный 8 4 6 2 6" xfId="42064"/>
    <cellStyle name="Обычный 8 4 6 2 6 2" xfId="42065"/>
    <cellStyle name="Обычный 8 4 6 2 7" xfId="42066"/>
    <cellStyle name="Обычный 8 4 6 2 8" xfId="42067"/>
    <cellStyle name="Обычный 8 4 6 3" xfId="42068"/>
    <cellStyle name="Обычный 8 4 6 3 2" xfId="42069"/>
    <cellStyle name="Обычный 8 4 6 3 2 2" xfId="42070"/>
    <cellStyle name="Обычный 8 4 6 3 2 2 2" xfId="42071"/>
    <cellStyle name="Обычный 8 4 6 3 2 2 3" xfId="42072"/>
    <cellStyle name="Обычный 8 4 6 3 2 3" xfId="42073"/>
    <cellStyle name="Обычный 8 4 6 3 2 3 2" xfId="42074"/>
    <cellStyle name="Обычный 8 4 6 3 2 3 3" xfId="42075"/>
    <cellStyle name="Обычный 8 4 6 3 2 4" xfId="42076"/>
    <cellStyle name="Обычный 8 4 6 3 2 4 2" xfId="42077"/>
    <cellStyle name="Обычный 8 4 6 3 2 5" xfId="42078"/>
    <cellStyle name="Обычный 8 4 6 3 2 6" xfId="42079"/>
    <cellStyle name="Обычный 8 4 6 3 3" xfId="42080"/>
    <cellStyle name="Обычный 8 4 6 3 3 2" xfId="42081"/>
    <cellStyle name="Обычный 8 4 6 3 3 3" xfId="42082"/>
    <cellStyle name="Обычный 8 4 6 3 4" xfId="42083"/>
    <cellStyle name="Обычный 8 4 6 3 4 2" xfId="42084"/>
    <cellStyle name="Обычный 8 4 6 3 4 3" xfId="42085"/>
    <cellStyle name="Обычный 8 4 6 3 5" xfId="42086"/>
    <cellStyle name="Обычный 8 4 6 3 5 2" xfId="42087"/>
    <cellStyle name="Обычный 8 4 6 3 6" xfId="42088"/>
    <cellStyle name="Обычный 8 4 6 3 7" xfId="42089"/>
    <cellStyle name="Обычный 8 4 6 4" xfId="42090"/>
    <cellStyle name="Обычный 8 4 6 4 2" xfId="42091"/>
    <cellStyle name="Обычный 8 4 6 4 2 2" xfId="42092"/>
    <cellStyle name="Обычный 8 4 6 4 2 3" xfId="42093"/>
    <cellStyle name="Обычный 8 4 6 4 3" xfId="42094"/>
    <cellStyle name="Обычный 8 4 6 4 3 2" xfId="42095"/>
    <cellStyle name="Обычный 8 4 6 4 3 3" xfId="42096"/>
    <cellStyle name="Обычный 8 4 6 4 4" xfId="42097"/>
    <cellStyle name="Обычный 8 4 6 4 4 2" xfId="42098"/>
    <cellStyle name="Обычный 8 4 6 4 5" xfId="42099"/>
    <cellStyle name="Обычный 8 4 6 4 6" xfId="42100"/>
    <cellStyle name="Обычный 8 4 6 5" xfId="42101"/>
    <cellStyle name="Обычный 8 4 6 5 2" xfId="42102"/>
    <cellStyle name="Обычный 8 4 6 5 3" xfId="42103"/>
    <cellStyle name="Обычный 8 4 6 6" xfId="42104"/>
    <cellStyle name="Обычный 8 4 6 6 2" xfId="42105"/>
    <cellStyle name="Обычный 8 4 6 6 3" xfId="42106"/>
    <cellStyle name="Обычный 8 4 6 7" xfId="42107"/>
    <cellStyle name="Обычный 8 4 6 7 2" xfId="42108"/>
    <cellStyle name="Обычный 8 4 6 8" xfId="42109"/>
    <cellStyle name="Обычный 8 4 6 9" xfId="42110"/>
    <cellStyle name="Обычный 8 4 7" xfId="42111"/>
    <cellStyle name="Обычный 8 4 7 2" xfId="42112"/>
    <cellStyle name="Обычный 8 4 7 2 2" xfId="42113"/>
    <cellStyle name="Обычный 8 4 7 2 2 2" xfId="42114"/>
    <cellStyle name="Обычный 8 4 7 2 2 2 2" xfId="42115"/>
    <cellStyle name="Обычный 8 4 7 2 2 2 3" xfId="42116"/>
    <cellStyle name="Обычный 8 4 7 2 2 3" xfId="42117"/>
    <cellStyle name="Обычный 8 4 7 2 2 3 2" xfId="42118"/>
    <cellStyle name="Обычный 8 4 7 2 2 3 3" xfId="42119"/>
    <cellStyle name="Обычный 8 4 7 2 2 4" xfId="42120"/>
    <cellStyle name="Обычный 8 4 7 2 2 4 2" xfId="42121"/>
    <cellStyle name="Обычный 8 4 7 2 2 5" xfId="42122"/>
    <cellStyle name="Обычный 8 4 7 2 2 6" xfId="42123"/>
    <cellStyle name="Обычный 8 4 7 2 3" xfId="42124"/>
    <cellStyle name="Обычный 8 4 7 2 3 2" xfId="42125"/>
    <cellStyle name="Обычный 8 4 7 2 3 3" xfId="42126"/>
    <cellStyle name="Обычный 8 4 7 2 4" xfId="42127"/>
    <cellStyle name="Обычный 8 4 7 2 4 2" xfId="42128"/>
    <cellStyle name="Обычный 8 4 7 2 4 3" xfId="42129"/>
    <cellStyle name="Обычный 8 4 7 2 5" xfId="42130"/>
    <cellStyle name="Обычный 8 4 7 2 5 2" xfId="42131"/>
    <cellStyle name="Обычный 8 4 7 2 6" xfId="42132"/>
    <cellStyle name="Обычный 8 4 7 2 7" xfId="42133"/>
    <cellStyle name="Обычный 8 4 7 3" xfId="42134"/>
    <cellStyle name="Обычный 8 4 7 3 2" xfId="42135"/>
    <cellStyle name="Обычный 8 4 7 3 2 2" xfId="42136"/>
    <cellStyle name="Обычный 8 4 7 3 2 3" xfId="42137"/>
    <cellStyle name="Обычный 8 4 7 3 3" xfId="42138"/>
    <cellStyle name="Обычный 8 4 7 3 3 2" xfId="42139"/>
    <cellStyle name="Обычный 8 4 7 3 3 3" xfId="42140"/>
    <cellStyle name="Обычный 8 4 7 3 4" xfId="42141"/>
    <cellStyle name="Обычный 8 4 7 3 4 2" xfId="42142"/>
    <cellStyle name="Обычный 8 4 7 3 5" xfId="42143"/>
    <cellStyle name="Обычный 8 4 7 3 6" xfId="42144"/>
    <cellStyle name="Обычный 8 4 7 4" xfId="42145"/>
    <cellStyle name="Обычный 8 4 7 4 2" xfId="42146"/>
    <cellStyle name="Обычный 8 4 7 4 3" xfId="42147"/>
    <cellStyle name="Обычный 8 4 7 5" xfId="42148"/>
    <cellStyle name="Обычный 8 4 7 5 2" xfId="42149"/>
    <cellStyle name="Обычный 8 4 7 5 3" xfId="42150"/>
    <cellStyle name="Обычный 8 4 7 6" xfId="42151"/>
    <cellStyle name="Обычный 8 4 7 6 2" xfId="42152"/>
    <cellStyle name="Обычный 8 4 7 7" xfId="42153"/>
    <cellStyle name="Обычный 8 4 7 8" xfId="42154"/>
    <cellStyle name="Обычный 8 4 8" xfId="42155"/>
    <cellStyle name="Обычный 8 4 8 2" xfId="42156"/>
    <cellStyle name="Обычный 8 4 8 2 2" xfId="42157"/>
    <cellStyle name="Обычный 8 4 8 2 2 2" xfId="42158"/>
    <cellStyle name="Обычный 8 4 8 2 2 3" xfId="42159"/>
    <cellStyle name="Обычный 8 4 8 2 3" xfId="42160"/>
    <cellStyle name="Обычный 8 4 8 2 3 2" xfId="42161"/>
    <cellStyle name="Обычный 8 4 8 2 3 3" xfId="42162"/>
    <cellStyle name="Обычный 8 4 8 2 4" xfId="42163"/>
    <cellStyle name="Обычный 8 4 8 2 4 2" xfId="42164"/>
    <cellStyle name="Обычный 8 4 8 2 5" xfId="42165"/>
    <cellStyle name="Обычный 8 4 8 2 6" xfId="42166"/>
    <cellStyle name="Обычный 8 4 8 3" xfId="42167"/>
    <cellStyle name="Обычный 8 4 8 3 2" xfId="42168"/>
    <cellStyle name="Обычный 8 4 8 3 3" xfId="42169"/>
    <cellStyle name="Обычный 8 4 8 4" xfId="42170"/>
    <cellStyle name="Обычный 8 4 8 4 2" xfId="42171"/>
    <cellStyle name="Обычный 8 4 8 4 3" xfId="42172"/>
    <cellStyle name="Обычный 8 4 8 5" xfId="42173"/>
    <cellStyle name="Обычный 8 4 8 5 2" xfId="42174"/>
    <cellStyle name="Обычный 8 4 8 6" xfId="42175"/>
    <cellStyle name="Обычный 8 4 8 7" xfId="42176"/>
    <cellStyle name="Обычный 8 4 9" xfId="42177"/>
    <cellStyle name="Обычный 8 4 9 2" xfId="42178"/>
    <cellStyle name="Обычный 8 4 9 2 2" xfId="42179"/>
    <cellStyle name="Обычный 8 4 9 2 3" xfId="42180"/>
    <cellStyle name="Обычный 8 4 9 3" xfId="42181"/>
    <cellStyle name="Обычный 8 4 9 3 2" xfId="42182"/>
    <cellStyle name="Обычный 8 4 9 3 3" xfId="42183"/>
    <cellStyle name="Обычный 8 4 9 4" xfId="42184"/>
    <cellStyle name="Обычный 8 4 9 4 2" xfId="42185"/>
    <cellStyle name="Обычный 8 4 9 5" xfId="42186"/>
    <cellStyle name="Обычный 8 4 9 6" xfId="42187"/>
    <cellStyle name="Обычный 8 5" xfId="42188"/>
    <cellStyle name="Обычный 8 5 10" xfId="42189"/>
    <cellStyle name="Обычный 8 5 10 2" xfId="42190"/>
    <cellStyle name="Обычный 8 5 10 3" xfId="42191"/>
    <cellStyle name="Обычный 8 5 11" xfId="42192"/>
    <cellStyle name="Обычный 8 5 11 2" xfId="42193"/>
    <cellStyle name="Обычный 8 5 11 3" xfId="42194"/>
    <cellStyle name="Обычный 8 5 12" xfId="42195"/>
    <cellStyle name="Обычный 8 5 12 2" xfId="42196"/>
    <cellStyle name="Обычный 8 5 13" xfId="42197"/>
    <cellStyle name="Обычный 8 5 14" xfId="42198"/>
    <cellStyle name="Обычный 8 5 2" xfId="42199"/>
    <cellStyle name="Обычный 8 5 2 10" xfId="42200"/>
    <cellStyle name="Обычный 8 5 2 10 2" xfId="42201"/>
    <cellStyle name="Обычный 8 5 2 10 3" xfId="42202"/>
    <cellStyle name="Обычный 8 5 2 11" xfId="42203"/>
    <cellStyle name="Обычный 8 5 2 11 2" xfId="42204"/>
    <cellStyle name="Обычный 8 5 2 12" xfId="42205"/>
    <cellStyle name="Обычный 8 5 2 13" xfId="42206"/>
    <cellStyle name="Обычный 8 5 2 2" xfId="42207"/>
    <cellStyle name="Обычный 8 5 2 2 10" xfId="42208"/>
    <cellStyle name="Обычный 8 5 2 2 2" xfId="42209"/>
    <cellStyle name="Обычный 8 5 2 2 2 2" xfId="42210"/>
    <cellStyle name="Обычный 8 5 2 2 2 2 2" xfId="42211"/>
    <cellStyle name="Обычный 8 5 2 2 2 2 2 2" xfId="42212"/>
    <cellStyle name="Обычный 8 5 2 2 2 2 2 2 2" xfId="42213"/>
    <cellStyle name="Обычный 8 5 2 2 2 2 2 2 2 2" xfId="42214"/>
    <cellStyle name="Обычный 8 5 2 2 2 2 2 2 2 3" xfId="42215"/>
    <cellStyle name="Обычный 8 5 2 2 2 2 2 2 3" xfId="42216"/>
    <cellStyle name="Обычный 8 5 2 2 2 2 2 2 3 2" xfId="42217"/>
    <cellStyle name="Обычный 8 5 2 2 2 2 2 2 3 3" xfId="42218"/>
    <cellStyle name="Обычный 8 5 2 2 2 2 2 2 4" xfId="42219"/>
    <cellStyle name="Обычный 8 5 2 2 2 2 2 2 4 2" xfId="42220"/>
    <cellStyle name="Обычный 8 5 2 2 2 2 2 2 5" xfId="42221"/>
    <cellStyle name="Обычный 8 5 2 2 2 2 2 2 6" xfId="42222"/>
    <cellStyle name="Обычный 8 5 2 2 2 2 2 3" xfId="42223"/>
    <cellStyle name="Обычный 8 5 2 2 2 2 2 3 2" xfId="42224"/>
    <cellStyle name="Обычный 8 5 2 2 2 2 2 3 3" xfId="42225"/>
    <cellStyle name="Обычный 8 5 2 2 2 2 2 4" xfId="42226"/>
    <cellStyle name="Обычный 8 5 2 2 2 2 2 4 2" xfId="42227"/>
    <cellStyle name="Обычный 8 5 2 2 2 2 2 4 3" xfId="42228"/>
    <cellStyle name="Обычный 8 5 2 2 2 2 2 5" xfId="42229"/>
    <cellStyle name="Обычный 8 5 2 2 2 2 2 5 2" xfId="42230"/>
    <cellStyle name="Обычный 8 5 2 2 2 2 2 6" xfId="42231"/>
    <cellStyle name="Обычный 8 5 2 2 2 2 2 7" xfId="42232"/>
    <cellStyle name="Обычный 8 5 2 2 2 2 3" xfId="42233"/>
    <cellStyle name="Обычный 8 5 2 2 2 2 3 2" xfId="42234"/>
    <cellStyle name="Обычный 8 5 2 2 2 2 3 2 2" xfId="42235"/>
    <cellStyle name="Обычный 8 5 2 2 2 2 3 2 3" xfId="42236"/>
    <cellStyle name="Обычный 8 5 2 2 2 2 3 3" xfId="42237"/>
    <cellStyle name="Обычный 8 5 2 2 2 2 3 3 2" xfId="42238"/>
    <cellStyle name="Обычный 8 5 2 2 2 2 3 3 3" xfId="42239"/>
    <cellStyle name="Обычный 8 5 2 2 2 2 3 4" xfId="42240"/>
    <cellStyle name="Обычный 8 5 2 2 2 2 3 4 2" xfId="42241"/>
    <cellStyle name="Обычный 8 5 2 2 2 2 3 5" xfId="42242"/>
    <cellStyle name="Обычный 8 5 2 2 2 2 3 6" xfId="42243"/>
    <cellStyle name="Обычный 8 5 2 2 2 2 4" xfId="42244"/>
    <cellStyle name="Обычный 8 5 2 2 2 2 4 2" xfId="42245"/>
    <cellStyle name="Обычный 8 5 2 2 2 2 4 3" xfId="42246"/>
    <cellStyle name="Обычный 8 5 2 2 2 2 5" xfId="42247"/>
    <cellStyle name="Обычный 8 5 2 2 2 2 5 2" xfId="42248"/>
    <cellStyle name="Обычный 8 5 2 2 2 2 5 3" xfId="42249"/>
    <cellStyle name="Обычный 8 5 2 2 2 2 6" xfId="42250"/>
    <cellStyle name="Обычный 8 5 2 2 2 2 6 2" xfId="42251"/>
    <cellStyle name="Обычный 8 5 2 2 2 2 7" xfId="42252"/>
    <cellStyle name="Обычный 8 5 2 2 2 2 8" xfId="42253"/>
    <cellStyle name="Обычный 8 5 2 2 2 3" xfId="42254"/>
    <cellStyle name="Обычный 8 5 2 2 2 3 2" xfId="42255"/>
    <cellStyle name="Обычный 8 5 2 2 2 3 2 2" xfId="42256"/>
    <cellStyle name="Обычный 8 5 2 2 2 3 2 2 2" xfId="42257"/>
    <cellStyle name="Обычный 8 5 2 2 2 3 2 2 3" xfId="42258"/>
    <cellStyle name="Обычный 8 5 2 2 2 3 2 3" xfId="42259"/>
    <cellStyle name="Обычный 8 5 2 2 2 3 2 3 2" xfId="42260"/>
    <cellStyle name="Обычный 8 5 2 2 2 3 2 3 3" xfId="42261"/>
    <cellStyle name="Обычный 8 5 2 2 2 3 2 4" xfId="42262"/>
    <cellStyle name="Обычный 8 5 2 2 2 3 2 4 2" xfId="42263"/>
    <cellStyle name="Обычный 8 5 2 2 2 3 2 5" xfId="42264"/>
    <cellStyle name="Обычный 8 5 2 2 2 3 2 6" xfId="42265"/>
    <cellStyle name="Обычный 8 5 2 2 2 3 3" xfId="42266"/>
    <cellStyle name="Обычный 8 5 2 2 2 3 3 2" xfId="42267"/>
    <cellStyle name="Обычный 8 5 2 2 2 3 3 3" xfId="42268"/>
    <cellStyle name="Обычный 8 5 2 2 2 3 4" xfId="42269"/>
    <cellStyle name="Обычный 8 5 2 2 2 3 4 2" xfId="42270"/>
    <cellStyle name="Обычный 8 5 2 2 2 3 4 3" xfId="42271"/>
    <cellStyle name="Обычный 8 5 2 2 2 3 5" xfId="42272"/>
    <cellStyle name="Обычный 8 5 2 2 2 3 5 2" xfId="42273"/>
    <cellStyle name="Обычный 8 5 2 2 2 3 6" xfId="42274"/>
    <cellStyle name="Обычный 8 5 2 2 2 3 7" xfId="42275"/>
    <cellStyle name="Обычный 8 5 2 2 2 4" xfId="42276"/>
    <cellStyle name="Обычный 8 5 2 2 2 4 2" xfId="42277"/>
    <cellStyle name="Обычный 8 5 2 2 2 4 2 2" xfId="42278"/>
    <cellStyle name="Обычный 8 5 2 2 2 4 2 3" xfId="42279"/>
    <cellStyle name="Обычный 8 5 2 2 2 4 3" xfId="42280"/>
    <cellStyle name="Обычный 8 5 2 2 2 4 3 2" xfId="42281"/>
    <cellStyle name="Обычный 8 5 2 2 2 4 3 3" xfId="42282"/>
    <cellStyle name="Обычный 8 5 2 2 2 4 4" xfId="42283"/>
    <cellStyle name="Обычный 8 5 2 2 2 4 4 2" xfId="42284"/>
    <cellStyle name="Обычный 8 5 2 2 2 4 5" xfId="42285"/>
    <cellStyle name="Обычный 8 5 2 2 2 4 6" xfId="42286"/>
    <cellStyle name="Обычный 8 5 2 2 2 5" xfId="42287"/>
    <cellStyle name="Обычный 8 5 2 2 2 5 2" xfId="42288"/>
    <cellStyle name="Обычный 8 5 2 2 2 5 3" xfId="42289"/>
    <cellStyle name="Обычный 8 5 2 2 2 6" xfId="42290"/>
    <cellStyle name="Обычный 8 5 2 2 2 6 2" xfId="42291"/>
    <cellStyle name="Обычный 8 5 2 2 2 6 3" xfId="42292"/>
    <cellStyle name="Обычный 8 5 2 2 2 7" xfId="42293"/>
    <cellStyle name="Обычный 8 5 2 2 2 7 2" xfId="42294"/>
    <cellStyle name="Обычный 8 5 2 2 2 8" xfId="42295"/>
    <cellStyle name="Обычный 8 5 2 2 2 9" xfId="42296"/>
    <cellStyle name="Обычный 8 5 2 2 3" xfId="42297"/>
    <cellStyle name="Обычный 8 5 2 2 3 2" xfId="42298"/>
    <cellStyle name="Обычный 8 5 2 2 3 2 2" xfId="42299"/>
    <cellStyle name="Обычный 8 5 2 2 3 2 2 2" xfId="42300"/>
    <cellStyle name="Обычный 8 5 2 2 3 2 2 2 2" xfId="42301"/>
    <cellStyle name="Обычный 8 5 2 2 3 2 2 2 3" xfId="42302"/>
    <cellStyle name="Обычный 8 5 2 2 3 2 2 3" xfId="42303"/>
    <cellStyle name="Обычный 8 5 2 2 3 2 2 3 2" xfId="42304"/>
    <cellStyle name="Обычный 8 5 2 2 3 2 2 3 3" xfId="42305"/>
    <cellStyle name="Обычный 8 5 2 2 3 2 2 4" xfId="42306"/>
    <cellStyle name="Обычный 8 5 2 2 3 2 2 4 2" xfId="42307"/>
    <cellStyle name="Обычный 8 5 2 2 3 2 2 5" xfId="42308"/>
    <cellStyle name="Обычный 8 5 2 2 3 2 2 6" xfId="42309"/>
    <cellStyle name="Обычный 8 5 2 2 3 2 3" xfId="42310"/>
    <cellStyle name="Обычный 8 5 2 2 3 2 3 2" xfId="42311"/>
    <cellStyle name="Обычный 8 5 2 2 3 2 3 3" xfId="42312"/>
    <cellStyle name="Обычный 8 5 2 2 3 2 4" xfId="42313"/>
    <cellStyle name="Обычный 8 5 2 2 3 2 4 2" xfId="42314"/>
    <cellStyle name="Обычный 8 5 2 2 3 2 4 3" xfId="42315"/>
    <cellStyle name="Обычный 8 5 2 2 3 2 5" xfId="42316"/>
    <cellStyle name="Обычный 8 5 2 2 3 2 5 2" xfId="42317"/>
    <cellStyle name="Обычный 8 5 2 2 3 2 6" xfId="42318"/>
    <cellStyle name="Обычный 8 5 2 2 3 2 7" xfId="42319"/>
    <cellStyle name="Обычный 8 5 2 2 3 3" xfId="42320"/>
    <cellStyle name="Обычный 8 5 2 2 3 3 2" xfId="42321"/>
    <cellStyle name="Обычный 8 5 2 2 3 3 2 2" xfId="42322"/>
    <cellStyle name="Обычный 8 5 2 2 3 3 2 3" xfId="42323"/>
    <cellStyle name="Обычный 8 5 2 2 3 3 3" xfId="42324"/>
    <cellStyle name="Обычный 8 5 2 2 3 3 3 2" xfId="42325"/>
    <cellStyle name="Обычный 8 5 2 2 3 3 3 3" xfId="42326"/>
    <cellStyle name="Обычный 8 5 2 2 3 3 4" xfId="42327"/>
    <cellStyle name="Обычный 8 5 2 2 3 3 4 2" xfId="42328"/>
    <cellStyle name="Обычный 8 5 2 2 3 3 5" xfId="42329"/>
    <cellStyle name="Обычный 8 5 2 2 3 3 6" xfId="42330"/>
    <cellStyle name="Обычный 8 5 2 2 3 4" xfId="42331"/>
    <cellStyle name="Обычный 8 5 2 2 3 4 2" xfId="42332"/>
    <cellStyle name="Обычный 8 5 2 2 3 4 3" xfId="42333"/>
    <cellStyle name="Обычный 8 5 2 2 3 5" xfId="42334"/>
    <cellStyle name="Обычный 8 5 2 2 3 5 2" xfId="42335"/>
    <cellStyle name="Обычный 8 5 2 2 3 5 3" xfId="42336"/>
    <cellStyle name="Обычный 8 5 2 2 3 6" xfId="42337"/>
    <cellStyle name="Обычный 8 5 2 2 3 6 2" xfId="42338"/>
    <cellStyle name="Обычный 8 5 2 2 3 7" xfId="42339"/>
    <cellStyle name="Обычный 8 5 2 2 3 8" xfId="42340"/>
    <cellStyle name="Обычный 8 5 2 2 4" xfId="42341"/>
    <cellStyle name="Обычный 8 5 2 2 4 2" xfId="42342"/>
    <cellStyle name="Обычный 8 5 2 2 4 2 2" xfId="42343"/>
    <cellStyle name="Обычный 8 5 2 2 4 2 2 2" xfId="42344"/>
    <cellStyle name="Обычный 8 5 2 2 4 2 2 3" xfId="42345"/>
    <cellStyle name="Обычный 8 5 2 2 4 2 3" xfId="42346"/>
    <cellStyle name="Обычный 8 5 2 2 4 2 3 2" xfId="42347"/>
    <cellStyle name="Обычный 8 5 2 2 4 2 3 3" xfId="42348"/>
    <cellStyle name="Обычный 8 5 2 2 4 2 4" xfId="42349"/>
    <cellStyle name="Обычный 8 5 2 2 4 2 4 2" xfId="42350"/>
    <cellStyle name="Обычный 8 5 2 2 4 2 5" xfId="42351"/>
    <cellStyle name="Обычный 8 5 2 2 4 2 6" xfId="42352"/>
    <cellStyle name="Обычный 8 5 2 2 4 3" xfId="42353"/>
    <cellStyle name="Обычный 8 5 2 2 4 3 2" xfId="42354"/>
    <cellStyle name="Обычный 8 5 2 2 4 3 3" xfId="42355"/>
    <cellStyle name="Обычный 8 5 2 2 4 4" xfId="42356"/>
    <cellStyle name="Обычный 8 5 2 2 4 4 2" xfId="42357"/>
    <cellStyle name="Обычный 8 5 2 2 4 4 3" xfId="42358"/>
    <cellStyle name="Обычный 8 5 2 2 4 5" xfId="42359"/>
    <cellStyle name="Обычный 8 5 2 2 4 5 2" xfId="42360"/>
    <cellStyle name="Обычный 8 5 2 2 4 6" xfId="42361"/>
    <cellStyle name="Обычный 8 5 2 2 4 7" xfId="42362"/>
    <cellStyle name="Обычный 8 5 2 2 5" xfId="42363"/>
    <cellStyle name="Обычный 8 5 2 2 5 2" xfId="42364"/>
    <cellStyle name="Обычный 8 5 2 2 5 2 2" xfId="42365"/>
    <cellStyle name="Обычный 8 5 2 2 5 2 3" xfId="42366"/>
    <cellStyle name="Обычный 8 5 2 2 5 3" xfId="42367"/>
    <cellStyle name="Обычный 8 5 2 2 5 3 2" xfId="42368"/>
    <cellStyle name="Обычный 8 5 2 2 5 3 3" xfId="42369"/>
    <cellStyle name="Обычный 8 5 2 2 5 4" xfId="42370"/>
    <cellStyle name="Обычный 8 5 2 2 5 4 2" xfId="42371"/>
    <cellStyle name="Обычный 8 5 2 2 5 5" xfId="42372"/>
    <cellStyle name="Обычный 8 5 2 2 5 6" xfId="42373"/>
    <cellStyle name="Обычный 8 5 2 2 6" xfId="42374"/>
    <cellStyle name="Обычный 8 5 2 2 6 2" xfId="42375"/>
    <cellStyle name="Обычный 8 5 2 2 6 3" xfId="42376"/>
    <cellStyle name="Обычный 8 5 2 2 7" xfId="42377"/>
    <cellStyle name="Обычный 8 5 2 2 7 2" xfId="42378"/>
    <cellStyle name="Обычный 8 5 2 2 7 3" xfId="42379"/>
    <cellStyle name="Обычный 8 5 2 2 8" xfId="42380"/>
    <cellStyle name="Обычный 8 5 2 2 8 2" xfId="42381"/>
    <cellStyle name="Обычный 8 5 2 2 9" xfId="42382"/>
    <cellStyle name="Обычный 8 5 2 3" xfId="42383"/>
    <cellStyle name="Обычный 8 5 2 3 10" xfId="42384"/>
    <cellStyle name="Обычный 8 5 2 3 2" xfId="42385"/>
    <cellStyle name="Обычный 8 5 2 3 2 2" xfId="42386"/>
    <cellStyle name="Обычный 8 5 2 3 2 2 2" xfId="42387"/>
    <cellStyle name="Обычный 8 5 2 3 2 2 2 2" xfId="42388"/>
    <cellStyle name="Обычный 8 5 2 3 2 2 2 2 2" xfId="42389"/>
    <cellStyle name="Обычный 8 5 2 3 2 2 2 2 2 2" xfId="42390"/>
    <cellStyle name="Обычный 8 5 2 3 2 2 2 2 2 3" xfId="42391"/>
    <cellStyle name="Обычный 8 5 2 3 2 2 2 2 3" xfId="42392"/>
    <cellStyle name="Обычный 8 5 2 3 2 2 2 2 3 2" xfId="42393"/>
    <cellStyle name="Обычный 8 5 2 3 2 2 2 2 3 3" xfId="42394"/>
    <cellStyle name="Обычный 8 5 2 3 2 2 2 2 4" xfId="42395"/>
    <cellStyle name="Обычный 8 5 2 3 2 2 2 2 4 2" xfId="42396"/>
    <cellStyle name="Обычный 8 5 2 3 2 2 2 2 5" xfId="42397"/>
    <cellStyle name="Обычный 8 5 2 3 2 2 2 2 6" xfId="42398"/>
    <cellStyle name="Обычный 8 5 2 3 2 2 2 3" xfId="42399"/>
    <cellStyle name="Обычный 8 5 2 3 2 2 2 3 2" xfId="42400"/>
    <cellStyle name="Обычный 8 5 2 3 2 2 2 3 3" xfId="42401"/>
    <cellStyle name="Обычный 8 5 2 3 2 2 2 4" xfId="42402"/>
    <cellStyle name="Обычный 8 5 2 3 2 2 2 4 2" xfId="42403"/>
    <cellStyle name="Обычный 8 5 2 3 2 2 2 4 3" xfId="42404"/>
    <cellStyle name="Обычный 8 5 2 3 2 2 2 5" xfId="42405"/>
    <cellStyle name="Обычный 8 5 2 3 2 2 2 5 2" xfId="42406"/>
    <cellStyle name="Обычный 8 5 2 3 2 2 2 6" xfId="42407"/>
    <cellStyle name="Обычный 8 5 2 3 2 2 2 7" xfId="42408"/>
    <cellStyle name="Обычный 8 5 2 3 2 2 3" xfId="42409"/>
    <cellStyle name="Обычный 8 5 2 3 2 2 3 2" xfId="42410"/>
    <cellStyle name="Обычный 8 5 2 3 2 2 3 2 2" xfId="42411"/>
    <cellStyle name="Обычный 8 5 2 3 2 2 3 2 3" xfId="42412"/>
    <cellStyle name="Обычный 8 5 2 3 2 2 3 3" xfId="42413"/>
    <cellStyle name="Обычный 8 5 2 3 2 2 3 3 2" xfId="42414"/>
    <cellStyle name="Обычный 8 5 2 3 2 2 3 3 3" xfId="42415"/>
    <cellStyle name="Обычный 8 5 2 3 2 2 3 4" xfId="42416"/>
    <cellStyle name="Обычный 8 5 2 3 2 2 3 4 2" xfId="42417"/>
    <cellStyle name="Обычный 8 5 2 3 2 2 3 5" xfId="42418"/>
    <cellStyle name="Обычный 8 5 2 3 2 2 3 6" xfId="42419"/>
    <cellStyle name="Обычный 8 5 2 3 2 2 4" xfId="42420"/>
    <cellStyle name="Обычный 8 5 2 3 2 2 4 2" xfId="42421"/>
    <cellStyle name="Обычный 8 5 2 3 2 2 4 3" xfId="42422"/>
    <cellStyle name="Обычный 8 5 2 3 2 2 5" xfId="42423"/>
    <cellStyle name="Обычный 8 5 2 3 2 2 5 2" xfId="42424"/>
    <cellStyle name="Обычный 8 5 2 3 2 2 5 3" xfId="42425"/>
    <cellStyle name="Обычный 8 5 2 3 2 2 6" xfId="42426"/>
    <cellStyle name="Обычный 8 5 2 3 2 2 6 2" xfId="42427"/>
    <cellStyle name="Обычный 8 5 2 3 2 2 7" xfId="42428"/>
    <cellStyle name="Обычный 8 5 2 3 2 2 8" xfId="42429"/>
    <cellStyle name="Обычный 8 5 2 3 2 3" xfId="42430"/>
    <cellStyle name="Обычный 8 5 2 3 2 3 2" xfId="42431"/>
    <cellStyle name="Обычный 8 5 2 3 2 3 2 2" xfId="42432"/>
    <cellStyle name="Обычный 8 5 2 3 2 3 2 2 2" xfId="42433"/>
    <cellStyle name="Обычный 8 5 2 3 2 3 2 2 3" xfId="42434"/>
    <cellStyle name="Обычный 8 5 2 3 2 3 2 3" xfId="42435"/>
    <cellStyle name="Обычный 8 5 2 3 2 3 2 3 2" xfId="42436"/>
    <cellStyle name="Обычный 8 5 2 3 2 3 2 3 3" xfId="42437"/>
    <cellStyle name="Обычный 8 5 2 3 2 3 2 4" xfId="42438"/>
    <cellStyle name="Обычный 8 5 2 3 2 3 2 4 2" xfId="42439"/>
    <cellStyle name="Обычный 8 5 2 3 2 3 2 5" xfId="42440"/>
    <cellStyle name="Обычный 8 5 2 3 2 3 2 6" xfId="42441"/>
    <cellStyle name="Обычный 8 5 2 3 2 3 3" xfId="42442"/>
    <cellStyle name="Обычный 8 5 2 3 2 3 3 2" xfId="42443"/>
    <cellStyle name="Обычный 8 5 2 3 2 3 3 3" xfId="42444"/>
    <cellStyle name="Обычный 8 5 2 3 2 3 4" xfId="42445"/>
    <cellStyle name="Обычный 8 5 2 3 2 3 4 2" xfId="42446"/>
    <cellStyle name="Обычный 8 5 2 3 2 3 4 3" xfId="42447"/>
    <cellStyle name="Обычный 8 5 2 3 2 3 5" xfId="42448"/>
    <cellStyle name="Обычный 8 5 2 3 2 3 5 2" xfId="42449"/>
    <cellStyle name="Обычный 8 5 2 3 2 3 6" xfId="42450"/>
    <cellStyle name="Обычный 8 5 2 3 2 3 7" xfId="42451"/>
    <cellStyle name="Обычный 8 5 2 3 2 4" xfId="42452"/>
    <cellStyle name="Обычный 8 5 2 3 2 4 2" xfId="42453"/>
    <cellStyle name="Обычный 8 5 2 3 2 4 2 2" xfId="42454"/>
    <cellStyle name="Обычный 8 5 2 3 2 4 2 3" xfId="42455"/>
    <cellStyle name="Обычный 8 5 2 3 2 4 3" xfId="42456"/>
    <cellStyle name="Обычный 8 5 2 3 2 4 3 2" xfId="42457"/>
    <cellStyle name="Обычный 8 5 2 3 2 4 3 3" xfId="42458"/>
    <cellStyle name="Обычный 8 5 2 3 2 4 4" xfId="42459"/>
    <cellStyle name="Обычный 8 5 2 3 2 4 4 2" xfId="42460"/>
    <cellStyle name="Обычный 8 5 2 3 2 4 5" xfId="42461"/>
    <cellStyle name="Обычный 8 5 2 3 2 4 6" xfId="42462"/>
    <cellStyle name="Обычный 8 5 2 3 2 5" xfId="42463"/>
    <cellStyle name="Обычный 8 5 2 3 2 5 2" xfId="42464"/>
    <cellStyle name="Обычный 8 5 2 3 2 5 3" xfId="42465"/>
    <cellStyle name="Обычный 8 5 2 3 2 6" xfId="42466"/>
    <cellStyle name="Обычный 8 5 2 3 2 6 2" xfId="42467"/>
    <cellStyle name="Обычный 8 5 2 3 2 6 3" xfId="42468"/>
    <cellStyle name="Обычный 8 5 2 3 2 7" xfId="42469"/>
    <cellStyle name="Обычный 8 5 2 3 2 7 2" xfId="42470"/>
    <cellStyle name="Обычный 8 5 2 3 2 8" xfId="42471"/>
    <cellStyle name="Обычный 8 5 2 3 2 9" xfId="42472"/>
    <cellStyle name="Обычный 8 5 2 3 3" xfId="42473"/>
    <cellStyle name="Обычный 8 5 2 3 3 2" xfId="42474"/>
    <cellStyle name="Обычный 8 5 2 3 3 2 2" xfId="42475"/>
    <cellStyle name="Обычный 8 5 2 3 3 2 2 2" xfId="42476"/>
    <cellStyle name="Обычный 8 5 2 3 3 2 2 2 2" xfId="42477"/>
    <cellStyle name="Обычный 8 5 2 3 3 2 2 2 3" xfId="42478"/>
    <cellStyle name="Обычный 8 5 2 3 3 2 2 3" xfId="42479"/>
    <cellStyle name="Обычный 8 5 2 3 3 2 2 3 2" xfId="42480"/>
    <cellStyle name="Обычный 8 5 2 3 3 2 2 3 3" xfId="42481"/>
    <cellStyle name="Обычный 8 5 2 3 3 2 2 4" xfId="42482"/>
    <cellStyle name="Обычный 8 5 2 3 3 2 2 4 2" xfId="42483"/>
    <cellStyle name="Обычный 8 5 2 3 3 2 2 5" xfId="42484"/>
    <cellStyle name="Обычный 8 5 2 3 3 2 2 6" xfId="42485"/>
    <cellStyle name="Обычный 8 5 2 3 3 2 3" xfId="42486"/>
    <cellStyle name="Обычный 8 5 2 3 3 2 3 2" xfId="42487"/>
    <cellStyle name="Обычный 8 5 2 3 3 2 3 3" xfId="42488"/>
    <cellStyle name="Обычный 8 5 2 3 3 2 4" xfId="42489"/>
    <cellStyle name="Обычный 8 5 2 3 3 2 4 2" xfId="42490"/>
    <cellStyle name="Обычный 8 5 2 3 3 2 4 3" xfId="42491"/>
    <cellStyle name="Обычный 8 5 2 3 3 2 5" xfId="42492"/>
    <cellStyle name="Обычный 8 5 2 3 3 2 5 2" xfId="42493"/>
    <cellStyle name="Обычный 8 5 2 3 3 2 6" xfId="42494"/>
    <cellStyle name="Обычный 8 5 2 3 3 2 7" xfId="42495"/>
    <cellStyle name="Обычный 8 5 2 3 3 3" xfId="42496"/>
    <cellStyle name="Обычный 8 5 2 3 3 3 2" xfId="42497"/>
    <cellStyle name="Обычный 8 5 2 3 3 3 2 2" xfId="42498"/>
    <cellStyle name="Обычный 8 5 2 3 3 3 2 3" xfId="42499"/>
    <cellStyle name="Обычный 8 5 2 3 3 3 3" xfId="42500"/>
    <cellStyle name="Обычный 8 5 2 3 3 3 3 2" xfId="42501"/>
    <cellStyle name="Обычный 8 5 2 3 3 3 3 3" xfId="42502"/>
    <cellStyle name="Обычный 8 5 2 3 3 3 4" xfId="42503"/>
    <cellStyle name="Обычный 8 5 2 3 3 3 4 2" xfId="42504"/>
    <cellStyle name="Обычный 8 5 2 3 3 3 5" xfId="42505"/>
    <cellStyle name="Обычный 8 5 2 3 3 3 6" xfId="42506"/>
    <cellStyle name="Обычный 8 5 2 3 3 4" xfId="42507"/>
    <cellStyle name="Обычный 8 5 2 3 3 4 2" xfId="42508"/>
    <cellStyle name="Обычный 8 5 2 3 3 4 3" xfId="42509"/>
    <cellStyle name="Обычный 8 5 2 3 3 5" xfId="42510"/>
    <cellStyle name="Обычный 8 5 2 3 3 5 2" xfId="42511"/>
    <cellStyle name="Обычный 8 5 2 3 3 5 3" xfId="42512"/>
    <cellStyle name="Обычный 8 5 2 3 3 6" xfId="42513"/>
    <cellStyle name="Обычный 8 5 2 3 3 6 2" xfId="42514"/>
    <cellStyle name="Обычный 8 5 2 3 3 7" xfId="42515"/>
    <cellStyle name="Обычный 8 5 2 3 3 8" xfId="42516"/>
    <cellStyle name="Обычный 8 5 2 3 4" xfId="42517"/>
    <cellStyle name="Обычный 8 5 2 3 4 2" xfId="42518"/>
    <cellStyle name="Обычный 8 5 2 3 4 2 2" xfId="42519"/>
    <cellStyle name="Обычный 8 5 2 3 4 2 2 2" xfId="42520"/>
    <cellStyle name="Обычный 8 5 2 3 4 2 2 3" xfId="42521"/>
    <cellStyle name="Обычный 8 5 2 3 4 2 3" xfId="42522"/>
    <cellStyle name="Обычный 8 5 2 3 4 2 3 2" xfId="42523"/>
    <cellStyle name="Обычный 8 5 2 3 4 2 3 3" xfId="42524"/>
    <cellStyle name="Обычный 8 5 2 3 4 2 4" xfId="42525"/>
    <cellStyle name="Обычный 8 5 2 3 4 2 4 2" xfId="42526"/>
    <cellStyle name="Обычный 8 5 2 3 4 2 5" xfId="42527"/>
    <cellStyle name="Обычный 8 5 2 3 4 2 6" xfId="42528"/>
    <cellStyle name="Обычный 8 5 2 3 4 3" xfId="42529"/>
    <cellStyle name="Обычный 8 5 2 3 4 3 2" xfId="42530"/>
    <cellStyle name="Обычный 8 5 2 3 4 3 3" xfId="42531"/>
    <cellStyle name="Обычный 8 5 2 3 4 4" xfId="42532"/>
    <cellStyle name="Обычный 8 5 2 3 4 4 2" xfId="42533"/>
    <cellStyle name="Обычный 8 5 2 3 4 4 3" xfId="42534"/>
    <cellStyle name="Обычный 8 5 2 3 4 5" xfId="42535"/>
    <cellStyle name="Обычный 8 5 2 3 4 5 2" xfId="42536"/>
    <cellStyle name="Обычный 8 5 2 3 4 6" xfId="42537"/>
    <cellStyle name="Обычный 8 5 2 3 4 7" xfId="42538"/>
    <cellStyle name="Обычный 8 5 2 3 5" xfId="42539"/>
    <cellStyle name="Обычный 8 5 2 3 5 2" xfId="42540"/>
    <cellStyle name="Обычный 8 5 2 3 5 2 2" xfId="42541"/>
    <cellStyle name="Обычный 8 5 2 3 5 2 3" xfId="42542"/>
    <cellStyle name="Обычный 8 5 2 3 5 3" xfId="42543"/>
    <cellStyle name="Обычный 8 5 2 3 5 3 2" xfId="42544"/>
    <cellStyle name="Обычный 8 5 2 3 5 3 3" xfId="42545"/>
    <cellStyle name="Обычный 8 5 2 3 5 4" xfId="42546"/>
    <cellStyle name="Обычный 8 5 2 3 5 4 2" xfId="42547"/>
    <cellStyle name="Обычный 8 5 2 3 5 5" xfId="42548"/>
    <cellStyle name="Обычный 8 5 2 3 5 6" xfId="42549"/>
    <cellStyle name="Обычный 8 5 2 3 6" xfId="42550"/>
    <cellStyle name="Обычный 8 5 2 3 6 2" xfId="42551"/>
    <cellStyle name="Обычный 8 5 2 3 6 3" xfId="42552"/>
    <cellStyle name="Обычный 8 5 2 3 7" xfId="42553"/>
    <cellStyle name="Обычный 8 5 2 3 7 2" xfId="42554"/>
    <cellStyle name="Обычный 8 5 2 3 7 3" xfId="42555"/>
    <cellStyle name="Обычный 8 5 2 3 8" xfId="42556"/>
    <cellStyle name="Обычный 8 5 2 3 8 2" xfId="42557"/>
    <cellStyle name="Обычный 8 5 2 3 9" xfId="42558"/>
    <cellStyle name="Обычный 8 5 2 4" xfId="42559"/>
    <cellStyle name="Обычный 8 5 2 4 10" xfId="42560"/>
    <cellStyle name="Обычный 8 5 2 4 2" xfId="42561"/>
    <cellStyle name="Обычный 8 5 2 4 2 2" xfId="42562"/>
    <cellStyle name="Обычный 8 5 2 4 2 2 2" xfId="42563"/>
    <cellStyle name="Обычный 8 5 2 4 2 2 2 2" xfId="42564"/>
    <cellStyle name="Обычный 8 5 2 4 2 2 2 2 2" xfId="42565"/>
    <cellStyle name="Обычный 8 5 2 4 2 2 2 2 2 2" xfId="42566"/>
    <cellStyle name="Обычный 8 5 2 4 2 2 2 2 2 3" xfId="42567"/>
    <cellStyle name="Обычный 8 5 2 4 2 2 2 2 3" xfId="42568"/>
    <cellStyle name="Обычный 8 5 2 4 2 2 2 2 3 2" xfId="42569"/>
    <cellStyle name="Обычный 8 5 2 4 2 2 2 2 3 3" xfId="42570"/>
    <cellStyle name="Обычный 8 5 2 4 2 2 2 2 4" xfId="42571"/>
    <cellStyle name="Обычный 8 5 2 4 2 2 2 2 4 2" xfId="42572"/>
    <cellStyle name="Обычный 8 5 2 4 2 2 2 2 5" xfId="42573"/>
    <cellStyle name="Обычный 8 5 2 4 2 2 2 2 6" xfId="42574"/>
    <cellStyle name="Обычный 8 5 2 4 2 2 2 3" xfId="42575"/>
    <cellStyle name="Обычный 8 5 2 4 2 2 2 3 2" xfId="42576"/>
    <cellStyle name="Обычный 8 5 2 4 2 2 2 3 3" xfId="42577"/>
    <cellStyle name="Обычный 8 5 2 4 2 2 2 4" xfId="42578"/>
    <cellStyle name="Обычный 8 5 2 4 2 2 2 4 2" xfId="42579"/>
    <cellStyle name="Обычный 8 5 2 4 2 2 2 4 3" xfId="42580"/>
    <cellStyle name="Обычный 8 5 2 4 2 2 2 5" xfId="42581"/>
    <cellStyle name="Обычный 8 5 2 4 2 2 2 5 2" xfId="42582"/>
    <cellStyle name="Обычный 8 5 2 4 2 2 2 6" xfId="42583"/>
    <cellStyle name="Обычный 8 5 2 4 2 2 2 7" xfId="42584"/>
    <cellStyle name="Обычный 8 5 2 4 2 2 3" xfId="42585"/>
    <cellStyle name="Обычный 8 5 2 4 2 2 3 2" xfId="42586"/>
    <cellStyle name="Обычный 8 5 2 4 2 2 3 2 2" xfId="42587"/>
    <cellStyle name="Обычный 8 5 2 4 2 2 3 2 3" xfId="42588"/>
    <cellStyle name="Обычный 8 5 2 4 2 2 3 3" xfId="42589"/>
    <cellStyle name="Обычный 8 5 2 4 2 2 3 3 2" xfId="42590"/>
    <cellStyle name="Обычный 8 5 2 4 2 2 3 3 3" xfId="42591"/>
    <cellStyle name="Обычный 8 5 2 4 2 2 3 4" xfId="42592"/>
    <cellStyle name="Обычный 8 5 2 4 2 2 3 4 2" xfId="42593"/>
    <cellStyle name="Обычный 8 5 2 4 2 2 3 5" xfId="42594"/>
    <cellStyle name="Обычный 8 5 2 4 2 2 3 6" xfId="42595"/>
    <cellStyle name="Обычный 8 5 2 4 2 2 4" xfId="42596"/>
    <cellStyle name="Обычный 8 5 2 4 2 2 4 2" xfId="42597"/>
    <cellStyle name="Обычный 8 5 2 4 2 2 4 3" xfId="42598"/>
    <cellStyle name="Обычный 8 5 2 4 2 2 5" xfId="42599"/>
    <cellStyle name="Обычный 8 5 2 4 2 2 5 2" xfId="42600"/>
    <cellStyle name="Обычный 8 5 2 4 2 2 5 3" xfId="42601"/>
    <cellStyle name="Обычный 8 5 2 4 2 2 6" xfId="42602"/>
    <cellStyle name="Обычный 8 5 2 4 2 2 6 2" xfId="42603"/>
    <cellStyle name="Обычный 8 5 2 4 2 2 7" xfId="42604"/>
    <cellStyle name="Обычный 8 5 2 4 2 2 8" xfId="42605"/>
    <cellStyle name="Обычный 8 5 2 4 2 3" xfId="42606"/>
    <cellStyle name="Обычный 8 5 2 4 2 3 2" xfId="42607"/>
    <cellStyle name="Обычный 8 5 2 4 2 3 2 2" xfId="42608"/>
    <cellStyle name="Обычный 8 5 2 4 2 3 2 2 2" xfId="42609"/>
    <cellStyle name="Обычный 8 5 2 4 2 3 2 2 3" xfId="42610"/>
    <cellStyle name="Обычный 8 5 2 4 2 3 2 3" xfId="42611"/>
    <cellStyle name="Обычный 8 5 2 4 2 3 2 3 2" xfId="42612"/>
    <cellStyle name="Обычный 8 5 2 4 2 3 2 3 3" xfId="42613"/>
    <cellStyle name="Обычный 8 5 2 4 2 3 2 4" xfId="42614"/>
    <cellStyle name="Обычный 8 5 2 4 2 3 2 4 2" xfId="42615"/>
    <cellStyle name="Обычный 8 5 2 4 2 3 2 5" xfId="42616"/>
    <cellStyle name="Обычный 8 5 2 4 2 3 2 6" xfId="42617"/>
    <cellStyle name="Обычный 8 5 2 4 2 3 3" xfId="42618"/>
    <cellStyle name="Обычный 8 5 2 4 2 3 3 2" xfId="42619"/>
    <cellStyle name="Обычный 8 5 2 4 2 3 3 3" xfId="42620"/>
    <cellStyle name="Обычный 8 5 2 4 2 3 4" xfId="42621"/>
    <cellStyle name="Обычный 8 5 2 4 2 3 4 2" xfId="42622"/>
    <cellStyle name="Обычный 8 5 2 4 2 3 4 3" xfId="42623"/>
    <cellStyle name="Обычный 8 5 2 4 2 3 5" xfId="42624"/>
    <cellStyle name="Обычный 8 5 2 4 2 3 5 2" xfId="42625"/>
    <cellStyle name="Обычный 8 5 2 4 2 3 6" xfId="42626"/>
    <cellStyle name="Обычный 8 5 2 4 2 3 7" xfId="42627"/>
    <cellStyle name="Обычный 8 5 2 4 2 4" xfId="42628"/>
    <cellStyle name="Обычный 8 5 2 4 2 4 2" xfId="42629"/>
    <cellStyle name="Обычный 8 5 2 4 2 4 2 2" xfId="42630"/>
    <cellStyle name="Обычный 8 5 2 4 2 4 2 3" xfId="42631"/>
    <cellStyle name="Обычный 8 5 2 4 2 4 3" xfId="42632"/>
    <cellStyle name="Обычный 8 5 2 4 2 4 3 2" xfId="42633"/>
    <cellStyle name="Обычный 8 5 2 4 2 4 3 3" xfId="42634"/>
    <cellStyle name="Обычный 8 5 2 4 2 4 4" xfId="42635"/>
    <cellStyle name="Обычный 8 5 2 4 2 4 4 2" xfId="42636"/>
    <cellStyle name="Обычный 8 5 2 4 2 4 5" xfId="42637"/>
    <cellStyle name="Обычный 8 5 2 4 2 4 6" xfId="42638"/>
    <cellStyle name="Обычный 8 5 2 4 2 5" xfId="42639"/>
    <cellStyle name="Обычный 8 5 2 4 2 5 2" xfId="42640"/>
    <cellStyle name="Обычный 8 5 2 4 2 5 3" xfId="42641"/>
    <cellStyle name="Обычный 8 5 2 4 2 6" xfId="42642"/>
    <cellStyle name="Обычный 8 5 2 4 2 6 2" xfId="42643"/>
    <cellStyle name="Обычный 8 5 2 4 2 6 3" xfId="42644"/>
    <cellStyle name="Обычный 8 5 2 4 2 7" xfId="42645"/>
    <cellStyle name="Обычный 8 5 2 4 2 7 2" xfId="42646"/>
    <cellStyle name="Обычный 8 5 2 4 2 8" xfId="42647"/>
    <cellStyle name="Обычный 8 5 2 4 2 9" xfId="42648"/>
    <cellStyle name="Обычный 8 5 2 4 3" xfId="42649"/>
    <cellStyle name="Обычный 8 5 2 4 3 2" xfId="42650"/>
    <cellStyle name="Обычный 8 5 2 4 3 2 2" xfId="42651"/>
    <cellStyle name="Обычный 8 5 2 4 3 2 2 2" xfId="42652"/>
    <cellStyle name="Обычный 8 5 2 4 3 2 2 2 2" xfId="42653"/>
    <cellStyle name="Обычный 8 5 2 4 3 2 2 2 3" xfId="42654"/>
    <cellStyle name="Обычный 8 5 2 4 3 2 2 3" xfId="42655"/>
    <cellStyle name="Обычный 8 5 2 4 3 2 2 3 2" xfId="42656"/>
    <cellStyle name="Обычный 8 5 2 4 3 2 2 3 3" xfId="42657"/>
    <cellStyle name="Обычный 8 5 2 4 3 2 2 4" xfId="42658"/>
    <cellStyle name="Обычный 8 5 2 4 3 2 2 4 2" xfId="42659"/>
    <cellStyle name="Обычный 8 5 2 4 3 2 2 5" xfId="42660"/>
    <cellStyle name="Обычный 8 5 2 4 3 2 2 6" xfId="42661"/>
    <cellStyle name="Обычный 8 5 2 4 3 2 3" xfId="42662"/>
    <cellStyle name="Обычный 8 5 2 4 3 2 3 2" xfId="42663"/>
    <cellStyle name="Обычный 8 5 2 4 3 2 3 3" xfId="42664"/>
    <cellStyle name="Обычный 8 5 2 4 3 2 4" xfId="42665"/>
    <cellStyle name="Обычный 8 5 2 4 3 2 4 2" xfId="42666"/>
    <cellStyle name="Обычный 8 5 2 4 3 2 4 3" xfId="42667"/>
    <cellStyle name="Обычный 8 5 2 4 3 2 5" xfId="42668"/>
    <cellStyle name="Обычный 8 5 2 4 3 2 5 2" xfId="42669"/>
    <cellStyle name="Обычный 8 5 2 4 3 2 6" xfId="42670"/>
    <cellStyle name="Обычный 8 5 2 4 3 2 7" xfId="42671"/>
    <cellStyle name="Обычный 8 5 2 4 3 3" xfId="42672"/>
    <cellStyle name="Обычный 8 5 2 4 3 3 2" xfId="42673"/>
    <cellStyle name="Обычный 8 5 2 4 3 3 2 2" xfId="42674"/>
    <cellStyle name="Обычный 8 5 2 4 3 3 2 3" xfId="42675"/>
    <cellStyle name="Обычный 8 5 2 4 3 3 3" xfId="42676"/>
    <cellStyle name="Обычный 8 5 2 4 3 3 3 2" xfId="42677"/>
    <cellStyle name="Обычный 8 5 2 4 3 3 3 3" xfId="42678"/>
    <cellStyle name="Обычный 8 5 2 4 3 3 4" xfId="42679"/>
    <cellStyle name="Обычный 8 5 2 4 3 3 4 2" xfId="42680"/>
    <cellStyle name="Обычный 8 5 2 4 3 3 5" xfId="42681"/>
    <cellStyle name="Обычный 8 5 2 4 3 3 6" xfId="42682"/>
    <cellStyle name="Обычный 8 5 2 4 3 4" xfId="42683"/>
    <cellStyle name="Обычный 8 5 2 4 3 4 2" xfId="42684"/>
    <cellStyle name="Обычный 8 5 2 4 3 4 3" xfId="42685"/>
    <cellStyle name="Обычный 8 5 2 4 3 5" xfId="42686"/>
    <cellStyle name="Обычный 8 5 2 4 3 5 2" xfId="42687"/>
    <cellStyle name="Обычный 8 5 2 4 3 5 3" xfId="42688"/>
    <cellStyle name="Обычный 8 5 2 4 3 6" xfId="42689"/>
    <cellStyle name="Обычный 8 5 2 4 3 6 2" xfId="42690"/>
    <cellStyle name="Обычный 8 5 2 4 3 7" xfId="42691"/>
    <cellStyle name="Обычный 8 5 2 4 3 8" xfId="42692"/>
    <cellStyle name="Обычный 8 5 2 4 4" xfId="42693"/>
    <cellStyle name="Обычный 8 5 2 4 4 2" xfId="42694"/>
    <cellStyle name="Обычный 8 5 2 4 4 2 2" xfId="42695"/>
    <cellStyle name="Обычный 8 5 2 4 4 2 2 2" xfId="42696"/>
    <cellStyle name="Обычный 8 5 2 4 4 2 2 3" xfId="42697"/>
    <cellStyle name="Обычный 8 5 2 4 4 2 3" xfId="42698"/>
    <cellStyle name="Обычный 8 5 2 4 4 2 3 2" xfId="42699"/>
    <cellStyle name="Обычный 8 5 2 4 4 2 3 3" xfId="42700"/>
    <cellStyle name="Обычный 8 5 2 4 4 2 4" xfId="42701"/>
    <cellStyle name="Обычный 8 5 2 4 4 2 4 2" xfId="42702"/>
    <cellStyle name="Обычный 8 5 2 4 4 2 5" xfId="42703"/>
    <cellStyle name="Обычный 8 5 2 4 4 2 6" xfId="42704"/>
    <cellStyle name="Обычный 8 5 2 4 4 3" xfId="42705"/>
    <cellStyle name="Обычный 8 5 2 4 4 3 2" xfId="42706"/>
    <cellStyle name="Обычный 8 5 2 4 4 3 3" xfId="42707"/>
    <cellStyle name="Обычный 8 5 2 4 4 4" xfId="42708"/>
    <cellStyle name="Обычный 8 5 2 4 4 4 2" xfId="42709"/>
    <cellStyle name="Обычный 8 5 2 4 4 4 3" xfId="42710"/>
    <cellStyle name="Обычный 8 5 2 4 4 5" xfId="42711"/>
    <cellStyle name="Обычный 8 5 2 4 4 5 2" xfId="42712"/>
    <cellStyle name="Обычный 8 5 2 4 4 6" xfId="42713"/>
    <cellStyle name="Обычный 8 5 2 4 4 7" xfId="42714"/>
    <cellStyle name="Обычный 8 5 2 4 5" xfId="42715"/>
    <cellStyle name="Обычный 8 5 2 4 5 2" xfId="42716"/>
    <cellStyle name="Обычный 8 5 2 4 5 2 2" xfId="42717"/>
    <cellStyle name="Обычный 8 5 2 4 5 2 3" xfId="42718"/>
    <cellStyle name="Обычный 8 5 2 4 5 3" xfId="42719"/>
    <cellStyle name="Обычный 8 5 2 4 5 3 2" xfId="42720"/>
    <cellStyle name="Обычный 8 5 2 4 5 3 3" xfId="42721"/>
    <cellStyle name="Обычный 8 5 2 4 5 4" xfId="42722"/>
    <cellStyle name="Обычный 8 5 2 4 5 4 2" xfId="42723"/>
    <cellStyle name="Обычный 8 5 2 4 5 5" xfId="42724"/>
    <cellStyle name="Обычный 8 5 2 4 5 6" xfId="42725"/>
    <cellStyle name="Обычный 8 5 2 4 6" xfId="42726"/>
    <cellStyle name="Обычный 8 5 2 4 6 2" xfId="42727"/>
    <cellStyle name="Обычный 8 5 2 4 6 3" xfId="42728"/>
    <cellStyle name="Обычный 8 5 2 4 7" xfId="42729"/>
    <cellStyle name="Обычный 8 5 2 4 7 2" xfId="42730"/>
    <cellStyle name="Обычный 8 5 2 4 7 3" xfId="42731"/>
    <cellStyle name="Обычный 8 5 2 4 8" xfId="42732"/>
    <cellStyle name="Обычный 8 5 2 4 8 2" xfId="42733"/>
    <cellStyle name="Обычный 8 5 2 4 9" xfId="42734"/>
    <cellStyle name="Обычный 8 5 2 5" xfId="42735"/>
    <cellStyle name="Обычный 8 5 2 5 2" xfId="42736"/>
    <cellStyle name="Обычный 8 5 2 5 2 2" xfId="42737"/>
    <cellStyle name="Обычный 8 5 2 5 2 2 2" xfId="42738"/>
    <cellStyle name="Обычный 8 5 2 5 2 2 2 2" xfId="42739"/>
    <cellStyle name="Обычный 8 5 2 5 2 2 2 2 2" xfId="42740"/>
    <cellStyle name="Обычный 8 5 2 5 2 2 2 2 3" xfId="42741"/>
    <cellStyle name="Обычный 8 5 2 5 2 2 2 3" xfId="42742"/>
    <cellStyle name="Обычный 8 5 2 5 2 2 2 3 2" xfId="42743"/>
    <cellStyle name="Обычный 8 5 2 5 2 2 2 3 3" xfId="42744"/>
    <cellStyle name="Обычный 8 5 2 5 2 2 2 4" xfId="42745"/>
    <cellStyle name="Обычный 8 5 2 5 2 2 2 4 2" xfId="42746"/>
    <cellStyle name="Обычный 8 5 2 5 2 2 2 5" xfId="42747"/>
    <cellStyle name="Обычный 8 5 2 5 2 2 2 6" xfId="42748"/>
    <cellStyle name="Обычный 8 5 2 5 2 2 3" xfId="42749"/>
    <cellStyle name="Обычный 8 5 2 5 2 2 3 2" xfId="42750"/>
    <cellStyle name="Обычный 8 5 2 5 2 2 3 3" xfId="42751"/>
    <cellStyle name="Обычный 8 5 2 5 2 2 4" xfId="42752"/>
    <cellStyle name="Обычный 8 5 2 5 2 2 4 2" xfId="42753"/>
    <cellStyle name="Обычный 8 5 2 5 2 2 4 3" xfId="42754"/>
    <cellStyle name="Обычный 8 5 2 5 2 2 5" xfId="42755"/>
    <cellStyle name="Обычный 8 5 2 5 2 2 5 2" xfId="42756"/>
    <cellStyle name="Обычный 8 5 2 5 2 2 6" xfId="42757"/>
    <cellStyle name="Обычный 8 5 2 5 2 2 7" xfId="42758"/>
    <cellStyle name="Обычный 8 5 2 5 2 3" xfId="42759"/>
    <cellStyle name="Обычный 8 5 2 5 2 3 2" xfId="42760"/>
    <cellStyle name="Обычный 8 5 2 5 2 3 2 2" xfId="42761"/>
    <cellStyle name="Обычный 8 5 2 5 2 3 2 3" xfId="42762"/>
    <cellStyle name="Обычный 8 5 2 5 2 3 3" xfId="42763"/>
    <cellStyle name="Обычный 8 5 2 5 2 3 3 2" xfId="42764"/>
    <cellStyle name="Обычный 8 5 2 5 2 3 3 3" xfId="42765"/>
    <cellStyle name="Обычный 8 5 2 5 2 3 4" xfId="42766"/>
    <cellStyle name="Обычный 8 5 2 5 2 3 4 2" xfId="42767"/>
    <cellStyle name="Обычный 8 5 2 5 2 3 5" xfId="42768"/>
    <cellStyle name="Обычный 8 5 2 5 2 3 6" xfId="42769"/>
    <cellStyle name="Обычный 8 5 2 5 2 4" xfId="42770"/>
    <cellStyle name="Обычный 8 5 2 5 2 4 2" xfId="42771"/>
    <cellStyle name="Обычный 8 5 2 5 2 4 3" xfId="42772"/>
    <cellStyle name="Обычный 8 5 2 5 2 5" xfId="42773"/>
    <cellStyle name="Обычный 8 5 2 5 2 5 2" xfId="42774"/>
    <cellStyle name="Обычный 8 5 2 5 2 5 3" xfId="42775"/>
    <cellStyle name="Обычный 8 5 2 5 2 6" xfId="42776"/>
    <cellStyle name="Обычный 8 5 2 5 2 6 2" xfId="42777"/>
    <cellStyle name="Обычный 8 5 2 5 2 7" xfId="42778"/>
    <cellStyle name="Обычный 8 5 2 5 2 8" xfId="42779"/>
    <cellStyle name="Обычный 8 5 2 5 3" xfId="42780"/>
    <cellStyle name="Обычный 8 5 2 5 3 2" xfId="42781"/>
    <cellStyle name="Обычный 8 5 2 5 3 2 2" xfId="42782"/>
    <cellStyle name="Обычный 8 5 2 5 3 2 2 2" xfId="42783"/>
    <cellStyle name="Обычный 8 5 2 5 3 2 2 3" xfId="42784"/>
    <cellStyle name="Обычный 8 5 2 5 3 2 3" xfId="42785"/>
    <cellStyle name="Обычный 8 5 2 5 3 2 3 2" xfId="42786"/>
    <cellStyle name="Обычный 8 5 2 5 3 2 3 3" xfId="42787"/>
    <cellStyle name="Обычный 8 5 2 5 3 2 4" xfId="42788"/>
    <cellStyle name="Обычный 8 5 2 5 3 2 4 2" xfId="42789"/>
    <cellStyle name="Обычный 8 5 2 5 3 2 5" xfId="42790"/>
    <cellStyle name="Обычный 8 5 2 5 3 2 6" xfId="42791"/>
    <cellStyle name="Обычный 8 5 2 5 3 3" xfId="42792"/>
    <cellStyle name="Обычный 8 5 2 5 3 3 2" xfId="42793"/>
    <cellStyle name="Обычный 8 5 2 5 3 3 3" xfId="42794"/>
    <cellStyle name="Обычный 8 5 2 5 3 4" xfId="42795"/>
    <cellStyle name="Обычный 8 5 2 5 3 4 2" xfId="42796"/>
    <cellStyle name="Обычный 8 5 2 5 3 4 3" xfId="42797"/>
    <cellStyle name="Обычный 8 5 2 5 3 5" xfId="42798"/>
    <cellStyle name="Обычный 8 5 2 5 3 5 2" xfId="42799"/>
    <cellStyle name="Обычный 8 5 2 5 3 6" xfId="42800"/>
    <cellStyle name="Обычный 8 5 2 5 3 7" xfId="42801"/>
    <cellStyle name="Обычный 8 5 2 5 4" xfId="42802"/>
    <cellStyle name="Обычный 8 5 2 5 4 2" xfId="42803"/>
    <cellStyle name="Обычный 8 5 2 5 4 2 2" xfId="42804"/>
    <cellStyle name="Обычный 8 5 2 5 4 2 3" xfId="42805"/>
    <cellStyle name="Обычный 8 5 2 5 4 3" xfId="42806"/>
    <cellStyle name="Обычный 8 5 2 5 4 3 2" xfId="42807"/>
    <cellStyle name="Обычный 8 5 2 5 4 3 3" xfId="42808"/>
    <cellStyle name="Обычный 8 5 2 5 4 4" xfId="42809"/>
    <cellStyle name="Обычный 8 5 2 5 4 4 2" xfId="42810"/>
    <cellStyle name="Обычный 8 5 2 5 4 5" xfId="42811"/>
    <cellStyle name="Обычный 8 5 2 5 4 6" xfId="42812"/>
    <cellStyle name="Обычный 8 5 2 5 5" xfId="42813"/>
    <cellStyle name="Обычный 8 5 2 5 5 2" xfId="42814"/>
    <cellStyle name="Обычный 8 5 2 5 5 3" xfId="42815"/>
    <cellStyle name="Обычный 8 5 2 5 6" xfId="42816"/>
    <cellStyle name="Обычный 8 5 2 5 6 2" xfId="42817"/>
    <cellStyle name="Обычный 8 5 2 5 6 3" xfId="42818"/>
    <cellStyle name="Обычный 8 5 2 5 7" xfId="42819"/>
    <cellStyle name="Обычный 8 5 2 5 7 2" xfId="42820"/>
    <cellStyle name="Обычный 8 5 2 5 8" xfId="42821"/>
    <cellStyle name="Обычный 8 5 2 5 9" xfId="42822"/>
    <cellStyle name="Обычный 8 5 2 6" xfId="42823"/>
    <cellStyle name="Обычный 8 5 2 6 2" xfId="42824"/>
    <cellStyle name="Обычный 8 5 2 6 2 2" xfId="42825"/>
    <cellStyle name="Обычный 8 5 2 6 2 2 2" xfId="42826"/>
    <cellStyle name="Обычный 8 5 2 6 2 2 2 2" xfId="42827"/>
    <cellStyle name="Обычный 8 5 2 6 2 2 2 3" xfId="42828"/>
    <cellStyle name="Обычный 8 5 2 6 2 2 3" xfId="42829"/>
    <cellStyle name="Обычный 8 5 2 6 2 2 3 2" xfId="42830"/>
    <cellStyle name="Обычный 8 5 2 6 2 2 3 3" xfId="42831"/>
    <cellStyle name="Обычный 8 5 2 6 2 2 4" xfId="42832"/>
    <cellStyle name="Обычный 8 5 2 6 2 2 4 2" xfId="42833"/>
    <cellStyle name="Обычный 8 5 2 6 2 2 5" xfId="42834"/>
    <cellStyle name="Обычный 8 5 2 6 2 2 6" xfId="42835"/>
    <cellStyle name="Обычный 8 5 2 6 2 3" xfId="42836"/>
    <cellStyle name="Обычный 8 5 2 6 2 3 2" xfId="42837"/>
    <cellStyle name="Обычный 8 5 2 6 2 3 3" xfId="42838"/>
    <cellStyle name="Обычный 8 5 2 6 2 4" xfId="42839"/>
    <cellStyle name="Обычный 8 5 2 6 2 4 2" xfId="42840"/>
    <cellStyle name="Обычный 8 5 2 6 2 4 3" xfId="42841"/>
    <cellStyle name="Обычный 8 5 2 6 2 5" xfId="42842"/>
    <cellStyle name="Обычный 8 5 2 6 2 5 2" xfId="42843"/>
    <cellStyle name="Обычный 8 5 2 6 2 6" xfId="42844"/>
    <cellStyle name="Обычный 8 5 2 6 2 7" xfId="42845"/>
    <cellStyle name="Обычный 8 5 2 6 3" xfId="42846"/>
    <cellStyle name="Обычный 8 5 2 6 3 2" xfId="42847"/>
    <cellStyle name="Обычный 8 5 2 6 3 2 2" xfId="42848"/>
    <cellStyle name="Обычный 8 5 2 6 3 2 3" xfId="42849"/>
    <cellStyle name="Обычный 8 5 2 6 3 3" xfId="42850"/>
    <cellStyle name="Обычный 8 5 2 6 3 3 2" xfId="42851"/>
    <cellStyle name="Обычный 8 5 2 6 3 3 3" xfId="42852"/>
    <cellStyle name="Обычный 8 5 2 6 3 4" xfId="42853"/>
    <cellStyle name="Обычный 8 5 2 6 3 4 2" xfId="42854"/>
    <cellStyle name="Обычный 8 5 2 6 3 5" xfId="42855"/>
    <cellStyle name="Обычный 8 5 2 6 3 6" xfId="42856"/>
    <cellStyle name="Обычный 8 5 2 6 4" xfId="42857"/>
    <cellStyle name="Обычный 8 5 2 6 4 2" xfId="42858"/>
    <cellStyle name="Обычный 8 5 2 6 4 3" xfId="42859"/>
    <cellStyle name="Обычный 8 5 2 6 5" xfId="42860"/>
    <cellStyle name="Обычный 8 5 2 6 5 2" xfId="42861"/>
    <cellStyle name="Обычный 8 5 2 6 5 3" xfId="42862"/>
    <cellStyle name="Обычный 8 5 2 6 6" xfId="42863"/>
    <cellStyle name="Обычный 8 5 2 6 6 2" xfId="42864"/>
    <cellStyle name="Обычный 8 5 2 6 7" xfId="42865"/>
    <cellStyle name="Обычный 8 5 2 6 8" xfId="42866"/>
    <cellStyle name="Обычный 8 5 2 7" xfId="42867"/>
    <cellStyle name="Обычный 8 5 2 7 2" xfId="42868"/>
    <cellStyle name="Обычный 8 5 2 7 2 2" xfId="42869"/>
    <cellStyle name="Обычный 8 5 2 7 2 2 2" xfId="42870"/>
    <cellStyle name="Обычный 8 5 2 7 2 2 3" xfId="42871"/>
    <cellStyle name="Обычный 8 5 2 7 2 3" xfId="42872"/>
    <cellStyle name="Обычный 8 5 2 7 2 3 2" xfId="42873"/>
    <cellStyle name="Обычный 8 5 2 7 2 3 3" xfId="42874"/>
    <cellStyle name="Обычный 8 5 2 7 2 4" xfId="42875"/>
    <cellStyle name="Обычный 8 5 2 7 2 4 2" xfId="42876"/>
    <cellStyle name="Обычный 8 5 2 7 2 5" xfId="42877"/>
    <cellStyle name="Обычный 8 5 2 7 2 6" xfId="42878"/>
    <cellStyle name="Обычный 8 5 2 7 3" xfId="42879"/>
    <cellStyle name="Обычный 8 5 2 7 3 2" xfId="42880"/>
    <cellStyle name="Обычный 8 5 2 7 3 3" xfId="42881"/>
    <cellStyle name="Обычный 8 5 2 7 4" xfId="42882"/>
    <cellStyle name="Обычный 8 5 2 7 4 2" xfId="42883"/>
    <cellStyle name="Обычный 8 5 2 7 4 3" xfId="42884"/>
    <cellStyle name="Обычный 8 5 2 7 5" xfId="42885"/>
    <cellStyle name="Обычный 8 5 2 7 5 2" xfId="42886"/>
    <cellStyle name="Обычный 8 5 2 7 6" xfId="42887"/>
    <cellStyle name="Обычный 8 5 2 7 7" xfId="42888"/>
    <cellStyle name="Обычный 8 5 2 8" xfId="42889"/>
    <cellStyle name="Обычный 8 5 2 8 2" xfId="42890"/>
    <cellStyle name="Обычный 8 5 2 8 2 2" xfId="42891"/>
    <cellStyle name="Обычный 8 5 2 8 2 3" xfId="42892"/>
    <cellStyle name="Обычный 8 5 2 8 3" xfId="42893"/>
    <cellStyle name="Обычный 8 5 2 8 3 2" xfId="42894"/>
    <cellStyle name="Обычный 8 5 2 8 3 3" xfId="42895"/>
    <cellStyle name="Обычный 8 5 2 8 4" xfId="42896"/>
    <cellStyle name="Обычный 8 5 2 8 4 2" xfId="42897"/>
    <cellStyle name="Обычный 8 5 2 8 5" xfId="42898"/>
    <cellStyle name="Обычный 8 5 2 8 6" xfId="42899"/>
    <cellStyle name="Обычный 8 5 2 9" xfId="42900"/>
    <cellStyle name="Обычный 8 5 2 9 2" xfId="42901"/>
    <cellStyle name="Обычный 8 5 2 9 3" xfId="42902"/>
    <cellStyle name="Обычный 8 5 3" xfId="42903"/>
    <cellStyle name="Обычный 8 5 3 10" xfId="42904"/>
    <cellStyle name="Обычный 8 5 3 2" xfId="42905"/>
    <cellStyle name="Обычный 8 5 3 2 2" xfId="42906"/>
    <cellStyle name="Обычный 8 5 3 2 2 2" xfId="42907"/>
    <cellStyle name="Обычный 8 5 3 2 2 2 2" xfId="42908"/>
    <cellStyle name="Обычный 8 5 3 2 2 2 2 2" xfId="42909"/>
    <cellStyle name="Обычный 8 5 3 2 2 2 2 2 2" xfId="42910"/>
    <cellStyle name="Обычный 8 5 3 2 2 2 2 2 3" xfId="42911"/>
    <cellStyle name="Обычный 8 5 3 2 2 2 2 3" xfId="42912"/>
    <cellStyle name="Обычный 8 5 3 2 2 2 2 3 2" xfId="42913"/>
    <cellStyle name="Обычный 8 5 3 2 2 2 2 3 3" xfId="42914"/>
    <cellStyle name="Обычный 8 5 3 2 2 2 2 4" xfId="42915"/>
    <cellStyle name="Обычный 8 5 3 2 2 2 2 4 2" xfId="42916"/>
    <cellStyle name="Обычный 8 5 3 2 2 2 2 5" xfId="42917"/>
    <cellStyle name="Обычный 8 5 3 2 2 2 2 6" xfId="42918"/>
    <cellStyle name="Обычный 8 5 3 2 2 2 3" xfId="42919"/>
    <cellStyle name="Обычный 8 5 3 2 2 2 3 2" xfId="42920"/>
    <cellStyle name="Обычный 8 5 3 2 2 2 3 3" xfId="42921"/>
    <cellStyle name="Обычный 8 5 3 2 2 2 4" xfId="42922"/>
    <cellStyle name="Обычный 8 5 3 2 2 2 4 2" xfId="42923"/>
    <cellStyle name="Обычный 8 5 3 2 2 2 4 3" xfId="42924"/>
    <cellStyle name="Обычный 8 5 3 2 2 2 5" xfId="42925"/>
    <cellStyle name="Обычный 8 5 3 2 2 2 5 2" xfId="42926"/>
    <cellStyle name="Обычный 8 5 3 2 2 2 6" xfId="42927"/>
    <cellStyle name="Обычный 8 5 3 2 2 2 7" xfId="42928"/>
    <cellStyle name="Обычный 8 5 3 2 2 3" xfId="42929"/>
    <cellStyle name="Обычный 8 5 3 2 2 3 2" xfId="42930"/>
    <cellStyle name="Обычный 8 5 3 2 2 3 2 2" xfId="42931"/>
    <cellStyle name="Обычный 8 5 3 2 2 3 2 3" xfId="42932"/>
    <cellStyle name="Обычный 8 5 3 2 2 3 3" xfId="42933"/>
    <cellStyle name="Обычный 8 5 3 2 2 3 3 2" xfId="42934"/>
    <cellStyle name="Обычный 8 5 3 2 2 3 3 3" xfId="42935"/>
    <cellStyle name="Обычный 8 5 3 2 2 3 4" xfId="42936"/>
    <cellStyle name="Обычный 8 5 3 2 2 3 4 2" xfId="42937"/>
    <cellStyle name="Обычный 8 5 3 2 2 3 5" xfId="42938"/>
    <cellStyle name="Обычный 8 5 3 2 2 3 6" xfId="42939"/>
    <cellStyle name="Обычный 8 5 3 2 2 4" xfId="42940"/>
    <cellStyle name="Обычный 8 5 3 2 2 4 2" xfId="42941"/>
    <cellStyle name="Обычный 8 5 3 2 2 4 3" xfId="42942"/>
    <cellStyle name="Обычный 8 5 3 2 2 5" xfId="42943"/>
    <cellStyle name="Обычный 8 5 3 2 2 5 2" xfId="42944"/>
    <cellStyle name="Обычный 8 5 3 2 2 5 3" xfId="42945"/>
    <cellStyle name="Обычный 8 5 3 2 2 6" xfId="42946"/>
    <cellStyle name="Обычный 8 5 3 2 2 6 2" xfId="42947"/>
    <cellStyle name="Обычный 8 5 3 2 2 7" xfId="42948"/>
    <cellStyle name="Обычный 8 5 3 2 2 8" xfId="42949"/>
    <cellStyle name="Обычный 8 5 3 2 3" xfId="42950"/>
    <cellStyle name="Обычный 8 5 3 2 3 2" xfId="42951"/>
    <cellStyle name="Обычный 8 5 3 2 3 2 2" xfId="42952"/>
    <cellStyle name="Обычный 8 5 3 2 3 2 2 2" xfId="42953"/>
    <cellStyle name="Обычный 8 5 3 2 3 2 2 3" xfId="42954"/>
    <cellStyle name="Обычный 8 5 3 2 3 2 3" xfId="42955"/>
    <cellStyle name="Обычный 8 5 3 2 3 2 3 2" xfId="42956"/>
    <cellStyle name="Обычный 8 5 3 2 3 2 3 3" xfId="42957"/>
    <cellStyle name="Обычный 8 5 3 2 3 2 4" xfId="42958"/>
    <cellStyle name="Обычный 8 5 3 2 3 2 4 2" xfId="42959"/>
    <cellStyle name="Обычный 8 5 3 2 3 2 5" xfId="42960"/>
    <cellStyle name="Обычный 8 5 3 2 3 2 6" xfId="42961"/>
    <cellStyle name="Обычный 8 5 3 2 3 3" xfId="42962"/>
    <cellStyle name="Обычный 8 5 3 2 3 3 2" xfId="42963"/>
    <cellStyle name="Обычный 8 5 3 2 3 3 3" xfId="42964"/>
    <cellStyle name="Обычный 8 5 3 2 3 4" xfId="42965"/>
    <cellStyle name="Обычный 8 5 3 2 3 4 2" xfId="42966"/>
    <cellStyle name="Обычный 8 5 3 2 3 4 3" xfId="42967"/>
    <cellStyle name="Обычный 8 5 3 2 3 5" xfId="42968"/>
    <cellStyle name="Обычный 8 5 3 2 3 5 2" xfId="42969"/>
    <cellStyle name="Обычный 8 5 3 2 3 6" xfId="42970"/>
    <cellStyle name="Обычный 8 5 3 2 3 7" xfId="42971"/>
    <cellStyle name="Обычный 8 5 3 2 4" xfId="42972"/>
    <cellStyle name="Обычный 8 5 3 2 4 2" xfId="42973"/>
    <cellStyle name="Обычный 8 5 3 2 4 2 2" xfId="42974"/>
    <cellStyle name="Обычный 8 5 3 2 4 2 3" xfId="42975"/>
    <cellStyle name="Обычный 8 5 3 2 4 3" xfId="42976"/>
    <cellStyle name="Обычный 8 5 3 2 4 3 2" xfId="42977"/>
    <cellStyle name="Обычный 8 5 3 2 4 3 3" xfId="42978"/>
    <cellStyle name="Обычный 8 5 3 2 4 4" xfId="42979"/>
    <cellStyle name="Обычный 8 5 3 2 4 4 2" xfId="42980"/>
    <cellStyle name="Обычный 8 5 3 2 4 5" xfId="42981"/>
    <cellStyle name="Обычный 8 5 3 2 4 6" xfId="42982"/>
    <cellStyle name="Обычный 8 5 3 2 5" xfId="42983"/>
    <cellStyle name="Обычный 8 5 3 2 5 2" xfId="42984"/>
    <cellStyle name="Обычный 8 5 3 2 5 3" xfId="42985"/>
    <cellStyle name="Обычный 8 5 3 2 6" xfId="42986"/>
    <cellStyle name="Обычный 8 5 3 2 6 2" xfId="42987"/>
    <cellStyle name="Обычный 8 5 3 2 6 3" xfId="42988"/>
    <cellStyle name="Обычный 8 5 3 2 7" xfId="42989"/>
    <cellStyle name="Обычный 8 5 3 2 7 2" xfId="42990"/>
    <cellStyle name="Обычный 8 5 3 2 8" xfId="42991"/>
    <cellStyle name="Обычный 8 5 3 2 9" xfId="42992"/>
    <cellStyle name="Обычный 8 5 3 3" xfId="42993"/>
    <cellStyle name="Обычный 8 5 3 3 2" xfId="42994"/>
    <cellStyle name="Обычный 8 5 3 3 2 2" xfId="42995"/>
    <cellStyle name="Обычный 8 5 3 3 2 2 2" xfId="42996"/>
    <cellStyle name="Обычный 8 5 3 3 2 2 2 2" xfId="42997"/>
    <cellStyle name="Обычный 8 5 3 3 2 2 2 3" xfId="42998"/>
    <cellStyle name="Обычный 8 5 3 3 2 2 3" xfId="42999"/>
    <cellStyle name="Обычный 8 5 3 3 2 2 3 2" xfId="43000"/>
    <cellStyle name="Обычный 8 5 3 3 2 2 3 3" xfId="43001"/>
    <cellStyle name="Обычный 8 5 3 3 2 2 4" xfId="43002"/>
    <cellStyle name="Обычный 8 5 3 3 2 2 4 2" xfId="43003"/>
    <cellStyle name="Обычный 8 5 3 3 2 2 5" xfId="43004"/>
    <cellStyle name="Обычный 8 5 3 3 2 2 6" xfId="43005"/>
    <cellStyle name="Обычный 8 5 3 3 2 3" xfId="43006"/>
    <cellStyle name="Обычный 8 5 3 3 2 3 2" xfId="43007"/>
    <cellStyle name="Обычный 8 5 3 3 2 3 3" xfId="43008"/>
    <cellStyle name="Обычный 8 5 3 3 2 4" xfId="43009"/>
    <cellStyle name="Обычный 8 5 3 3 2 4 2" xfId="43010"/>
    <cellStyle name="Обычный 8 5 3 3 2 4 3" xfId="43011"/>
    <cellStyle name="Обычный 8 5 3 3 2 5" xfId="43012"/>
    <cellStyle name="Обычный 8 5 3 3 2 5 2" xfId="43013"/>
    <cellStyle name="Обычный 8 5 3 3 2 6" xfId="43014"/>
    <cellStyle name="Обычный 8 5 3 3 2 7" xfId="43015"/>
    <cellStyle name="Обычный 8 5 3 3 3" xfId="43016"/>
    <cellStyle name="Обычный 8 5 3 3 3 2" xfId="43017"/>
    <cellStyle name="Обычный 8 5 3 3 3 2 2" xfId="43018"/>
    <cellStyle name="Обычный 8 5 3 3 3 2 3" xfId="43019"/>
    <cellStyle name="Обычный 8 5 3 3 3 3" xfId="43020"/>
    <cellStyle name="Обычный 8 5 3 3 3 3 2" xfId="43021"/>
    <cellStyle name="Обычный 8 5 3 3 3 3 3" xfId="43022"/>
    <cellStyle name="Обычный 8 5 3 3 3 4" xfId="43023"/>
    <cellStyle name="Обычный 8 5 3 3 3 4 2" xfId="43024"/>
    <cellStyle name="Обычный 8 5 3 3 3 5" xfId="43025"/>
    <cellStyle name="Обычный 8 5 3 3 3 6" xfId="43026"/>
    <cellStyle name="Обычный 8 5 3 3 4" xfId="43027"/>
    <cellStyle name="Обычный 8 5 3 3 4 2" xfId="43028"/>
    <cellStyle name="Обычный 8 5 3 3 4 3" xfId="43029"/>
    <cellStyle name="Обычный 8 5 3 3 5" xfId="43030"/>
    <cellStyle name="Обычный 8 5 3 3 5 2" xfId="43031"/>
    <cellStyle name="Обычный 8 5 3 3 5 3" xfId="43032"/>
    <cellStyle name="Обычный 8 5 3 3 6" xfId="43033"/>
    <cellStyle name="Обычный 8 5 3 3 6 2" xfId="43034"/>
    <cellStyle name="Обычный 8 5 3 3 7" xfId="43035"/>
    <cellStyle name="Обычный 8 5 3 3 8" xfId="43036"/>
    <cellStyle name="Обычный 8 5 3 4" xfId="43037"/>
    <cellStyle name="Обычный 8 5 3 4 2" xfId="43038"/>
    <cellStyle name="Обычный 8 5 3 4 2 2" xfId="43039"/>
    <cellStyle name="Обычный 8 5 3 4 2 2 2" xfId="43040"/>
    <cellStyle name="Обычный 8 5 3 4 2 2 3" xfId="43041"/>
    <cellStyle name="Обычный 8 5 3 4 2 3" xfId="43042"/>
    <cellStyle name="Обычный 8 5 3 4 2 3 2" xfId="43043"/>
    <cellStyle name="Обычный 8 5 3 4 2 3 3" xfId="43044"/>
    <cellStyle name="Обычный 8 5 3 4 2 4" xfId="43045"/>
    <cellStyle name="Обычный 8 5 3 4 2 4 2" xfId="43046"/>
    <cellStyle name="Обычный 8 5 3 4 2 5" xfId="43047"/>
    <cellStyle name="Обычный 8 5 3 4 2 6" xfId="43048"/>
    <cellStyle name="Обычный 8 5 3 4 3" xfId="43049"/>
    <cellStyle name="Обычный 8 5 3 4 3 2" xfId="43050"/>
    <cellStyle name="Обычный 8 5 3 4 3 3" xfId="43051"/>
    <cellStyle name="Обычный 8 5 3 4 4" xfId="43052"/>
    <cellStyle name="Обычный 8 5 3 4 4 2" xfId="43053"/>
    <cellStyle name="Обычный 8 5 3 4 4 3" xfId="43054"/>
    <cellStyle name="Обычный 8 5 3 4 5" xfId="43055"/>
    <cellStyle name="Обычный 8 5 3 4 5 2" xfId="43056"/>
    <cellStyle name="Обычный 8 5 3 4 6" xfId="43057"/>
    <cellStyle name="Обычный 8 5 3 4 7" xfId="43058"/>
    <cellStyle name="Обычный 8 5 3 5" xfId="43059"/>
    <cellStyle name="Обычный 8 5 3 5 2" xfId="43060"/>
    <cellStyle name="Обычный 8 5 3 5 2 2" xfId="43061"/>
    <cellStyle name="Обычный 8 5 3 5 2 3" xfId="43062"/>
    <cellStyle name="Обычный 8 5 3 5 3" xfId="43063"/>
    <cellStyle name="Обычный 8 5 3 5 3 2" xfId="43064"/>
    <cellStyle name="Обычный 8 5 3 5 3 3" xfId="43065"/>
    <cellStyle name="Обычный 8 5 3 5 4" xfId="43066"/>
    <cellStyle name="Обычный 8 5 3 5 4 2" xfId="43067"/>
    <cellStyle name="Обычный 8 5 3 5 5" xfId="43068"/>
    <cellStyle name="Обычный 8 5 3 5 6" xfId="43069"/>
    <cellStyle name="Обычный 8 5 3 6" xfId="43070"/>
    <cellStyle name="Обычный 8 5 3 6 2" xfId="43071"/>
    <cellStyle name="Обычный 8 5 3 6 3" xfId="43072"/>
    <cellStyle name="Обычный 8 5 3 7" xfId="43073"/>
    <cellStyle name="Обычный 8 5 3 7 2" xfId="43074"/>
    <cellStyle name="Обычный 8 5 3 7 3" xfId="43075"/>
    <cellStyle name="Обычный 8 5 3 8" xfId="43076"/>
    <cellStyle name="Обычный 8 5 3 8 2" xfId="43077"/>
    <cellStyle name="Обычный 8 5 3 9" xfId="43078"/>
    <cellStyle name="Обычный 8 5 4" xfId="43079"/>
    <cellStyle name="Обычный 8 5 4 10" xfId="43080"/>
    <cellStyle name="Обычный 8 5 4 2" xfId="43081"/>
    <cellStyle name="Обычный 8 5 4 2 2" xfId="43082"/>
    <cellStyle name="Обычный 8 5 4 2 2 2" xfId="43083"/>
    <cellStyle name="Обычный 8 5 4 2 2 2 2" xfId="43084"/>
    <cellStyle name="Обычный 8 5 4 2 2 2 2 2" xfId="43085"/>
    <cellStyle name="Обычный 8 5 4 2 2 2 2 2 2" xfId="43086"/>
    <cellStyle name="Обычный 8 5 4 2 2 2 2 2 3" xfId="43087"/>
    <cellStyle name="Обычный 8 5 4 2 2 2 2 3" xfId="43088"/>
    <cellStyle name="Обычный 8 5 4 2 2 2 2 3 2" xfId="43089"/>
    <cellStyle name="Обычный 8 5 4 2 2 2 2 3 3" xfId="43090"/>
    <cellStyle name="Обычный 8 5 4 2 2 2 2 4" xfId="43091"/>
    <cellStyle name="Обычный 8 5 4 2 2 2 2 4 2" xfId="43092"/>
    <cellStyle name="Обычный 8 5 4 2 2 2 2 5" xfId="43093"/>
    <cellStyle name="Обычный 8 5 4 2 2 2 2 6" xfId="43094"/>
    <cellStyle name="Обычный 8 5 4 2 2 2 3" xfId="43095"/>
    <cellStyle name="Обычный 8 5 4 2 2 2 3 2" xfId="43096"/>
    <cellStyle name="Обычный 8 5 4 2 2 2 3 3" xfId="43097"/>
    <cellStyle name="Обычный 8 5 4 2 2 2 4" xfId="43098"/>
    <cellStyle name="Обычный 8 5 4 2 2 2 4 2" xfId="43099"/>
    <cellStyle name="Обычный 8 5 4 2 2 2 4 3" xfId="43100"/>
    <cellStyle name="Обычный 8 5 4 2 2 2 5" xfId="43101"/>
    <cellStyle name="Обычный 8 5 4 2 2 2 5 2" xfId="43102"/>
    <cellStyle name="Обычный 8 5 4 2 2 2 6" xfId="43103"/>
    <cellStyle name="Обычный 8 5 4 2 2 2 7" xfId="43104"/>
    <cellStyle name="Обычный 8 5 4 2 2 3" xfId="43105"/>
    <cellStyle name="Обычный 8 5 4 2 2 3 2" xfId="43106"/>
    <cellStyle name="Обычный 8 5 4 2 2 3 2 2" xfId="43107"/>
    <cellStyle name="Обычный 8 5 4 2 2 3 2 3" xfId="43108"/>
    <cellStyle name="Обычный 8 5 4 2 2 3 3" xfId="43109"/>
    <cellStyle name="Обычный 8 5 4 2 2 3 3 2" xfId="43110"/>
    <cellStyle name="Обычный 8 5 4 2 2 3 3 3" xfId="43111"/>
    <cellStyle name="Обычный 8 5 4 2 2 3 4" xfId="43112"/>
    <cellStyle name="Обычный 8 5 4 2 2 3 4 2" xfId="43113"/>
    <cellStyle name="Обычный 8 5 4 2 2 3 5" xfId="43114"/>
    <cellStyle name="Обычный 8 5 4 2 2 3 6" xfId="43115"/>
    <cellStyle name="Обычный 8 5 4 2 2 4" xfId="43116"/>
    <cellStyle name="Обычный 8 5 4 2 2 4 2" xfId="43117"/>
    <cellStyle name="Обычный 8 5 4 2 2 4 3" xfId="43118"/>
    <cellStyle name="Обычный 8 5 4 2 2 5" xfId="43119"/>
    <cellStyle name="Обычный 8 5 4 2 2 5 2" xfId="43120"/>
    <cellStyle name="Обычный 8 5 4 2 2 5 3" xfId="43121"/>
    <cellStyle name="Обычный 8 5 4 2 2 6" xfId="43122"/>
    <cellStyle name="Обычный 8 5 4 2 2 6 2" xfId="43123"/>
    <cellStyle name="Обычный 8 5 4 2 2 7" xfId="43124"/>
    <cellStyle name="Обычный 8 5 4 2 2 8" xfId="43125"/>
    <cellStyle name="Обычный 8 5 4 2 3" xfId="43126"/>
    <cellStyle name="Обычный 8 5 4 2 3 2" xfId="43127"/>
    <cellStyle name="Обычный 8 5 4 2 3 2 2" xfId="43128"/>
    <cellStyle name="Обычный 8 5 4 2 3 2 2 2" xfId="43129"/>
    <cellStyle name="Обычный 8 5 4 2 3 2 2 3" xfId="43130"/>
    <cellStyle name="Обычный 8 5 4 2 3 2 3" xfId="43131"/>
    <cellStyle name="Обычный 8 5 4 2 3 2 3 2" xfId="43132"/>
    <cellStyle name="Обычный 8 5 4 2 3 2 3 3" xfId="43133"/>
    <cellStyle name="Обычный 8 5 4 2 3 2 4" xfId="43134"/>
    <cellStyle name="Обычный 8 5 4 2 3 2 4 2" xfId="43135"/>
    <cellStyle name="Обычный 8 5 4 2 3 2 5" xfId="43136"/>
    <cellStyle name="Обычный 8 5 4 2 3 2 6" xfId="43137"/>
    <cellStyle name="Обычный 8 5 4 2 3 3" xfId="43138"/>
    <cellStyle name="Обычный 8 5 4 2 3 3 2" xfId="43139"/>
    <cellStyle name="Обычный 8 5 4 2 3 3 3" xfId="43140"/>
    <cellStyle name="Обычный 8 5 4 2 3 4" xfId="43141"/>
    <cellStyle name="Обычный 8 5 4 2 3 4 2" xfId="43142"/>
    <cellStyle name="Обычный 8 5 4 2 3 4 3" xfId="43143"/>
    <cellStyle name="Обычный 8 5 4 2 3 5" xfId="43144"/>
    <cellStyle name="Обычный 8 5 4 2 3 5 2" xfId="43145"/>
    <cellStyle name="Обычный 8 5 4 2 3 6" xfId="43146"/>
    <cellStyle name="Обычный 8 5 4 2 3 7" xfId="43147"/>
    <cellStyle name="Обычный 8 5 4 2 4" xfId="43148"/>
    <cellStyle name="Обычный 8 5 4 2 4 2" xfId="43149"/>
    <cellStyle name="Обычный 8 5 4 2 4 2 2" xfId="43150"/>
    <cellStyle name="Обычный 8 5 4 2 4 2 3" xfId="43151"/>
    <cellStyle name="Обычный 8 5 4 2 4 3" xfId="43152"/>
    <cellStyle name="Обычный 8 5 4 2 4 3 2" xfId="43153"/>
    <cellStyle name="Обычный 8 5 4 2 4 3 3" xfId="43154"/>
    <cellStyle name="Обычный 8 5 4 2 4 4" xfId="43155"/>
    <cellStyle name="Обычный 8 5 4 2 4 4 2" xfId="43156"/>
    <cellStyle name="Обычный 8 5 4 2 4 5" xfId="43157"/>
    <cellStyle name="Обычный 8 5 4 2 4 6" xfId="43158"/>
    <cellStyle name="Обычный 8 5 4 2 5" xfId="43159"/>
    <cellStyle name="Обычный 8 5 4 2 5 2" xfId="43160"/>
    <cellStyle name="Обычный 8 5 4 2 5 3" xfId="43161"/>
    <cellStyle name="Обычный 8 5 4 2 6" xfId="43162"/>
    <cellStyle name="Обычный 8 5 4 2 6 2" xfId="43163"/>
    <cellStyle name="Обычный 8 5 4 2 6 3" xfId="43164"/>
    <cellStyle name="Обычный 8 5 4 2 7" xfId="43165"/>
    <cellStyle name="Обычный 8 5 4 2 7 2" xfId="43166"/>
    <cellStyle name="Обычный 8 5 4 2 8" xfId="43167"/>
    <cellStyle name="Обычный 8 5 4 2 9" xfId="43168"/>
    <cellStyle name="Обычный 8 5 4 3" xfId="43169"/>
    <cellStyle name="Обычный 8 5 4 3 2" xfId="43170"/>
    <cellStyle name="Обычный 8 5 4 3 2 2" xfId="43171"/>
    <cellStyle name="Обычный 8 5 4 3 2 2 2" xfId="43172"/>
    <cellStyle name="Обычный 8 5 4 3 2 2 2 2" xfId="43173"/>
    <cellStyle name="Обычный 8 5 4 3 2 2 2 3" xfId="43174"/>
    <cellStyle name="Обычный 8 5 4 3 2 2 3" xfId="43175"/>
    <cellStyle name="Обычный 8 5 4 3 2 2 3 2" xfId="43176"/>
    <cellStyle name="Обычный 8 5 4 3 2 2 3 3" xfId="43177"/>
    <cellStyle name="Обычный 8 5 4 3 2 2 4" xfId="43178"/>
    <cellStyle name="Обычный 8 5 4 3 2 2 4 2" xfId="43179"/>
    <cellStyle name="Обычный 8 5 4 3 2 2 5" xfId="43180"/>
    <cellStyle name="Обычный 8 5 4 3 2 2 6" xfId="43181"/>
    <cellStyle name="Обычный 8 5 4 3 2 3" xfId="43182"/>
    <cellStyle name="Обычный 8 5 4 3 2 3 2" xfId="43183"/>
    <cellStyle name="Обычный 8 5 4 3 2 3 3" xfId="43184"/>
    <cellStyle name="Обычный 8 5 4 3 2 4" xfId="43185"/>
    <cellStyle name="Обычный 8 5 4 3 2 4 2" xfId="43186"/>
    <cellStyle name="Обычный 8 5 4 3 2 4 3" xfId="43187"/>
    <cellStyle name="Обычный 8 5 4 3 2 5" xfId="43188"/>
    <cellStyle name="Обычный 8 5 4 3 2 5 2" xfId="43189"/>
    <cellStyle name="Обычный 8 5 4 3 2 6" xfId="43190"/>
    <cellStyle name="Обычный 8 5 4 3 2 7" xfId="43191"/>
    <cellStyle name="Обычный 8 5 4 3 3" xfId="43192"/>
    <cellStyle name="Обычный 8 5 4 3 3 2" xfId="43193"/>
    <cellStyle name="Обычный 8 5 4 3 3 2 2" xfId="43194"/>
    <cellStyle name="Обычный 8 5 4 3 3 2 3" xfId="43195"/>
    <cellStyle name="Обычный 8 5 4 3 3 3" xfId="43196"/>
    <cellStyle name="Обычный 8 5 4 3 3 3 2" xfId="43197"/>
    <cellStyle name="Обычный 8 5 4 3 3 3 3" xfId="43198"/>
    <cellStyle name="Обычный 8 5 4 3 3 4" xfId="43199"/>
    <cellStyle name="Обычный 8 5 4 3 3 4 2" xfId="43200"/>
    <cellStyle name="Обычный 8 5 4 3 3 5" xfId="43201"/>
    <cellStyle name="Обычный 8 5 4 3 3 6" xfId="43202"/>
    <cellStyle name="Обычный 8 5 4 3 4" xfId="43203"/>
    <cellStyle name="Обычный 8 5 4 3 4 2" xfId="43204"/>
    <cellStyle name="Обычный 8 5 4 3 4 3" xfId="43205"/>
    <cellStyle name="Обычный 8 5 4 3 5" xfId="43206"/>
    <cellStyle name="Обычный 8 5 4 3 5 2" xfId="43207"/>
    <cellStyle name="Обычный 8 5 4 3 5 3" xfId="43208"/>
    <cellStyle name="Обычный 8 5 4 3 6" xfId="43209"/>
    <cellStyle name="Обычный 8 5 4 3 6 2" xfId="43210"/>
    <cellStyle name="Обычный 8 5 4 3 7" xfId="43211"/>
    <cellStyle name="Обычный 8 5 4 3 8" xfId="43212"/>
    <cellStyle name="Обычный 8 5 4 4" xfId="43213"/>
    <cellStyle name="Обычный 8 5 4 4 2" xfId="43214"/>
    <cellStyle name="Обычный 8 5 4 4 2 2" xfId="43215"/>
    <cellStyle name="Обычный 8 5 4 4 2 2 2" xfId="43216"/>
    <cellStyle name="Обычный 8 5 4 4 2 2 3" xfId="43217"/>
    <cellStyle name="Обычный 8 5 4 4 2 3" xfId="43218"/>
    <cellStyle name="Обычный 8 5 4 4 2 3 2" xfId="43219"/>
    <cellStyle name="Обычный 8 5 4 4 2 3 3" xfId="43220"/>
    <cellStyle name="Обычный 8 5 4 4 2 4" xfId="43221"/>
    <cellStyle name="Обычный 8 5 4 4 2 4 2" xfId="43222"/>
    <cellStyle name="Обычный 8 5 4 4 2 5" xfId="43223"/>
    <cellStyle name="Обычный 8 5 4 4 2 6" xfId="43224"/>
    <cellStyle name="Обычный 8 5 4 4 3" xfId="43225"/>
    <cellStyle name="Обычный 8 5 4 4 3 2" xfId="43226"/>
    <cellStyle name="Обычный 8 5 4 4 3 3" xfId="43227"/>
    <cellStyle name="Обычный 8 5 4 4 4" xfId="43228"/>
    <cellStyle name="Обычный 8 5 4 4 4 2" xfId="43229"/>
    <cellStyle name="Обычный 8 5 4 4 4 3" xfId="43230"/>
    <cellStyle name="Обычный 8 5 4 4 5" xfId="43231"/>
    <cellStyle name="Обычный 8 5 4 4 5 2" xfId="43232"/>
    <cellStyle name="Обычный 8 5 4 4 6" xfId="43233"/>
    <cellStyle name="Обычный 8 5 4 4 7" xfId="43234"/>
    <cellStyle name="Обычный 8 5 4 5" xfId="43235"/>
    <cellStyle name="Обычный 8 5 4 5 2" xfId="43236"/>
    <cellStyle name="Обычный 8 5 4 5 2 2" xfId="43237"/>
    <cellStyle name="Обычный 8 5 4 5 2 3" xfId="43238"/>
    <cellStyle name="Обычный 8 5 4 5 3" xfId="43239"/>
    <cellStyle name="Обычный 8 5 4 5 3 2" xfId="43240"/>
    <cellStyle name="Обычный 8 5 4 5 3 3" xfId="43241"/>
    <cellStyle name="Обычный 8 5 4 5 4" xfId="43242"/>
    <cellStyle name="Обычный 8 5 4 5 4 2" xfId="43243"/>
    <cellStyle name="Обычный 8 5 4 5 5" xfId="43244"/>
    <cellStyle name="Обычный 8 5 4 5 6" xfId="43245"/>
    <cellStyle name="Обычный 8 5 4 6" xfId="43246"/>
    <cellStyle name="Обычный 8 5 4 6 2" xfId="43247"/>
    <cellStyle name="Обычный 8 5 4 6 3" xfId="43248"/>
    <cellStyle name="Обычный 8 5 4 7" xfId="43249"/>
    <cellStyle name="Обычный 8 5 4 7 2" xfId="43250"/>
    <cellStyle name="Обычный 8 5 4 7 3" xfId="43251"/>
    <cellStyle name="Обычный 8 5 4 8" xfId="43252"/>
    <cellStyle name="Обычный 8 5 4 8 2" xfId="43253"/>
    <cellStyle name="Обычный 8 5 4 9" xfId="43254"/>
    <cellStyle name="Обычный 8 5 5" xfId="43255"/>
    <cellStyle name="Обычный 8 5 5 10" xfId="43256"/>
    <cellStyle name="Обычный 8 5 5 2" xfId="43257"/>
    <cellStyle name="Обычный 8 5 5 2 2" xfId="43258"/>
    <cellStyle name="Обычный 8 5 5 2 2 2" xfId="43259"/>
    <cellStyle name="Обычный 8 5 5 2 2 2 2" xfId="43260"/>
    <cellStyle name="Обычный 8 5 5 2 2 2 2 2" xfId="43261"/>
    <cellStyle name="Обычный 8 5 5 2 2 2 2 2 2" xfId="43262"/>
    <cellStyle name="Обычный 8 5 5 2 2 2 2 2 3" xfId="43263"/>
    <cellStyle name="Обычный 8 5 5 2 2 2 2 3" xfId="43264"/>
    <cellStyle name="Обычный 8 5 5 2 2 2 2 3 2" xfId="43265"/>
    <cellStyle name="Обычный 8 5 5 2 2 2 2 3 3" xfId="43266"/>
    <cellStyle name="Обычный 8 5 5 2 2 2 2 4" xfId="43267"/>
    <cellStyle name="Обычный 8 5 5 2 2 2 2 4 2" xfId="43268"/>
    <cellStyle name="Обычный 8 5 5 2 2 2 2 5" xfId="43269"/>
    <cellStyle name="Обычный 8 5 5 2 2 2 2 6" xfId="43270"/>
    <cellStyle name="Обычный 8 5 5 2 2 2 3" xfId="43271"/>
    <cellStyle name="Обычный 8 5 5 2 2 2 3 2" xfId="43272"/>
    <cellStyle name="Обычный 8 5 5 2 2 2 3 3" xfId="43273"/>
    <cellStyle name="Обычный 8 5 5 2 2 2 4" xfId="43274"/>
    <cellStyle name="Обычный 8 5 5 2 2 2 4 2" xfId="43275"/>
    <cellStyle name="Обычный 8 5 5 2 2 2 4 3" xfId="43276"/>
    <cellStyle name="Обычный 8 5 5 2 2 2 5" xfId="43277"/>
    <cellStyle name="Обычный 8 5 5 2 2 2 5 2" xfId="43278"/>
    <cellStyle name="Обычный 8 5 5 2 2 2 6" xfId="43279"/>
    <cellStyle name="Обычный 8 5 5 2 2 2 7" xfId="43280"/>
    <cellStyle name="Обычный 8 5 5 2 2 3" xfId="43281"/>
    <cellStyle name="Обычный 8 5 5 2 2 3 2" xfId="43282"/>
    <cellStyle name="Обычный 8 5 5 2 2 3 2 2" xfId="43283"/>
    <cellStyle name="Обычный 8 5 5 2 2 3 2 3" xfId="43284"/>
    <cellStyle name="Обычный 8 5 5 2 2 3 3" xfId="43285"/>
    <cellStyle name="Обычный 8 5 5 2 2 3 3 2" xfId="43286"/>
    <cellStyle name="Обычный 8 5 5 2 2 3 3 3" xfId="43287"/>
    <cellStyle name="Обычный 8 5 5 2 2 3 4" xfId="43288"/>
    <cellStyle name="Обычный 8 5 5 2 2 3 4 2" xfId="43289"/>
    <cellStyle name="Обычный 8 5 5 2 2 3 5" xfId="43290"/>
    <cellStyle name="Обычный 8 5 5 2 2 3 6" xfId="43291"/>
    <cellStyle name="Обычный 8 5 5 2 2 4" xfId="43292"/>
    <cellStyle name="Обычный 8 5 5 2 2 4 2" xfId="43293"/>
    <cellStyle name="Обычный 8 5 5 2 2 4 3" xfId="43294"/>
    <cellStyle name="Обычный 8 5 5 2 2 5" xfId="43295"/>
    <cellStyle name="Обычный 8 5 5 2 2 5 2" xfId="43296"/>
    <cellStyle name="Обычный 8 5 5 2 2 5 3" xfId="43297"/>
    <cellStyle name="Обычный 8 5 5 2 2 6" xfId="43298"/>
    <cellStyle name="Обычный 8 5 5 2 2 6 2" xfId="43299"/>
    <cellStyle name="Обычный 8 5 5 2 2 7" xfId="43300"/>
    <cellStyle name="Обычный 8 5 5 2 2 8" xfId="43301"/>
    <cellStyle name="Обычный 8 5 5 2 3" xfId="43302"/>
    <cellStyle name="Обычный 8 5 5 2 3 2" xfId="43303"/>
    <cellStyle name="Обычный 8 5 5 2 3 2 2" xfId="43304"/>
    <cellStyle name="Обычный 8 5 5 2 3 2 2 2" xfId="43305"/>
    <cellStyle name="Обычный 8 5 5 2 3 2 2 3" xfId="43306"/>
    <cellStyle name="Обычный 8 5 5 2 3 2 3" xfId="43307"/>
    <cellStyle name="Обычный 8 5 5 2 3 2 3 2" xfId="43308"/>
    <cellStyle name="Обычный 8 5 5 2 3 2 3 3" xfId="43309"/>
    <cellStyle name="Обычный 8 5 5 2 3 2 4" xfId="43310"/>
    <cellStyle name="Обычный 8 5 5 2 3 2 4 2" xfId="43311"/>
    <cellStyle name="Обычный 8 5 5 2 3 2 5" xfId="43312"/>
    <cellStyle name="Обычный 8 5 5 2 3 2 6" xfId="43313"/>
    <cellStyle name="Обычный 8 5 5 2 3 3" xfId="43314"/>
    <cellStyle name="Обычный 8 5 5 2 3 3 2" xfId="43315"/>
    <cellStyle name="Обычный 8 5 5 2 3 3 3" xfId="43316"/>
    <cellStyle name="Обычный 8 5 5 2 3 4" xfId="43317"/>
    <cellStyle name="Обычный 8 5 5 2 3 4 2" xfId="43318"/>
    <cellStyle name="Обычный 8 5 5 2 3 4 3" xfId="43319"/>
    <cellStyle name="Обычный 8 5 5 2 3 5" xfId="43320"/>
    <cellStyle name="Обычный 8 5 5 2 3 5 2" xfId="43321"/>
    <cellStyle name="Обычный 8 5 5 2 3 6" xfId="43322"/>
    <cellStyle name="Обычный 8 5 5 2 3 7" xfId="43323"/>
    <cellStyle name="Обычный 8 5 5 2 4" xfId="43324"/>
    <cellStyle name="Обычный 8 5 5 2 4 2" xfId="43325"/>
    <cellStyle name="Обычный 8 5 5 2 4 2 2" xfId="43326"/>
    <cellStyle name="Обычный 8 5 5 2 4 2 3" xfId="43327"/>
    <cellStyle name="Обычный 8 5 5 2 4 3" xfId="43328"/>
    <cellStyle name="Обычный 8 5 5 2 4 3 2" xfId="43329"/>
    <cellStyle name="Обычный 8 5 5 2 4 3 3" xfId="43330"/>
    <cellStyle name="Обычный 8 5 5 2 4 4" xfId="43331"/>
    <cellStyle name="Обычный 8 5 5 2 4 4 2" xfId="43332"/>
    <cellStyle name="Обычный 8 5 5 2 4 5" xfId="43333"/>
    <cellStyle name="Обычный 8 5 5 2 4 6" xfId="43334"/>
    <cellStyle name="Обычный 8 5 5 2 5" xfId="43335"/>
    <cellStyle name="Обычный 8 5 5 2 5 2" xfId="43336"/>
    <cellStyle name="Обычный 8 5 5 2 5 3" xfId="43337"/>
    <cellStyle name="Обычный 8 5 5 2 6" xfId="43338"/>
    <cellStyle name="Обычный 8 5 5 2 6 2" xfId="43339"/>
    <cellStyle name="Обычный 8 5 5 2 6 3" xfId="43340"/>
    <cellStyle name="Обычный 8 5 5 2 7" xfId="43341"/>
    <cellStyle name="Обычный 8 5 5 2 7 2" xfId="43342"/>
    <cellStyle name="Обычный 8 5 5 2 8" xfId="43343"/>
    <cellStyle name="Обычный 8 5 5 2 9" xfId="43344"/>
    <cellStyle name="Обычный 8 5 5 3" xfId="43345"/>
    <cellStyle name="Обычный 8 5 5 3 2" xfId="43346"/>
    <cellStyle name="Обычный 8 5 5 3 2 2" xfId="43347"/>
    <cellStyle name="Обычный 8 5 5 3 2 2 2" xfId="43348"/>
    <cellStyle name="Обычный 8 5 5 3 2 2 2 2" xfId="43349"/>
    <cellStyle name="Обычный 8 5 5 3 2 2 2 3" xfId="43350"/>
    <cellStyle name="Обычный 8 5 5 3 2 2 3" xfId="43351"/>
    <cellStyle name="Обычный 8 5 5 3 2 2 3 2" xfId="43352"/>
    <cellStyle name="Обычный 8 5 5 3 2 2 3 3" xfId="43353"/>
    <cellStyle name="Обычный 8 5 5 3 2 2 4" xfId="43354"/>
    <cellStyle name="Обычный 8 5 5 3 2 2 4 2" xfId="43355"/>
    <cellStyle name="Обычный 8 5 5 3 2 2 5" xfId="43356"/>
    <cellStyle name="Обычный 8 5 5 3 2 2 6" xfId="43357"/>
    <cellStyle name="Обычный 8 5 5 3 2 3" xfId="43358"/>
    <cellStyle name="Обычный 8 5 5 3 2 3 2" xfId="43359"/>
    <cellStyle name="Обычный 8 5 5 3 2 3 3" xfId="43360"/>
    <cellStyle name="Обычный 8 5 5 3 2 4" xfId="43361"/>
    <cellStyle name="Обычный 8 5 5 3 2 4 2" xfId="43362"/>
    <cellStyle name="Обычный 8 5 5 3 2 4 3" xfId="43363"/>
    <cellStyle name="Обычный 8 5 5 3 2 5" xfId="43364"/>
    <cellStyle name="Обычный 8 5 5 3 2 5 2" xfId="43365"/>
    <cellStyle name="Обычный 8 5 5 3 2 6" xfId="43366"/>
    <cellStyle name="Обычный 8 5 5 3 2 7" xfId="43367"/>
    <cellStyle name="Обычный 8 5 5 3 3" xfId="43368"/>
    <cellStyle name="Обычный 8 5 5 3 3 2" xfId="43369"/>
    <cellStyle name="Обычный 8 5 5 3 3 2 2" xfId="43370"/>
    <cellStyle name="Обычный 8 5 5 3 3 2 3" xfId="43371"/>
    <cellStyle name="Обычный 8 5 5 3 3 3" xfId="43372"/>
    <cellStyle name="Обычный 8 5 5 3 3 3 2" xfId="43373"/>
    <cellStyle name="Обычный 8 5 5 3 3 3 3" xfId="43374"/>
    <cellStyle name="Обычный 8 5 5 3 3 4" xfId="43375"/>
    <cellStyle name="Обычный 8 5 5 3 3 4 2" xfId="43376"/>
    <cellStyle name="Обычный 8 5 5 3 3 5" xfId="43377"/>
    <cellStyle name="Обычный 8 5 5 3 3 6" xfId="43378"/>
    <cellStyle name="Обычный 8 5 5 3 4" xfId="43379"/>
    <cellStyle name="Обычный 8 5 5 3 4 2" xfId="43380"/>
    <cellStyle name="Обычный 8 5 5 3 4 3" xfId="43381"/>
    <cellStyle name="Обычный 8 5 5 3 5" xfId="43382"/>
    <cellStyle name="Обычный 8 5 5 3 5 2" xfId="43383"/>
    <cellStyle name="Обычный 8 5 5 3 5 3" xfId="43384"/>
    <cellStyle name="Обычный 8 5 5 3 6" xfId="43385"/>
    <cellStyle name="Обычный 8 5 5 3 6 2" xfId="43386"/>
    <cellStyle name="Обычный 8 5 5 3 7" xfId="43387"/>
    <cellStyle name="Обычный 8 5 5 3 8" xfId="43388"/>
    <cellStyle name="Обычный 8 5 5 4" xfId="43389"/>
    <cellStyle name="Обычный 8 5 5 4 2" xfId="43390"/>
    <cellStyle name="Обычный 8 5 5 4 2 2" xfId="43391"/>
    <cellStyle name="Обычный 8 5 5 4 2 2 2" xfId="43392"/>
    <cellStyle name="Обычный 8 5 5 4 2 2 3" xfId="43393"/>
    <cellStyle name="Обычный 8 5 5 4 2 3" xfId="43394"/>
    <cellStyle name="Обычный 8 5 5 4 2 3 2" xfId="43395"/>
    <cellStyle name="Обычный 8 5 5 4 2 3 3" xfId="43396"/>
    <cellStyle name="Обычный 8 5 5 4 2 4" xfId="43397"/>
    <cellStyle name="Обычный 8 5 5 4 2 4 2" xfId="43398"/>
    <cellStyle name="Обычный 8 5 5 4 2 5" xfId="43399"/>
    <cellStyle name="Обычный 8 5 5 4 2 6" xfId="43400"/>
    <cellStyle name="Обычный 8 5 5 4 3" xfId="43401"/>
    <cellStyle name="Обычный 8 5 5 4 3 2" xfId="43402"/>
    <cellStyle name="Обычный 8 5 5 4 3 3" xfId="43403"/>
    <cellStyle name="Обычный 8 5 5 4 4" xfId="43404"/>
    <cellStyle name="Обычный 8 5 5 4 4 2" xfId="43405"/>
    <cellStyle name="Обычный 8 5 5 4 4 3" xfId="43406"/>
    <cellStyle name="Обычный 8 5 5 4 5" xfId="43407"/>
    <cellStyle name="Обычный 8 5 5 4 5 2" xfId="43408"/>
    <cellStyle name="Обычный 8 5 5 4 6" xfId="43409"/>
    <cellStyle name="Обычный 8 5 5 4 7" xfId="43410"/>
    <cellStyle name="Обычный 8 5 5 5" xfId="43411"/>
    <cellStyle name="Обычный 8 5 5 5 2" xfId="43412"/>
    <cellStyle name="Обычный 8 5 5 5 2 2" xfId="43413"/>
    <cellStyle name="Обычный 8 5 5 5 2 3" xfId="43414"/>
    <cellStyle name="Обычный 8 5 5 5 3" xfId="43415"/>
    <cellStyle name="Обычный 8 5 5 5 3 2" xfId="43416"/>
    <cellStyle name="Обычный 8 5 5 5 3 3" xfId="43417"/>
    <cellStyle name="Обычный 8 5 5 5 4" xfId="43418"/>
    <cellStyle name="Обычный 8 5 5 5 4 2" xfId="43419"/>
    <cellStyle name="Обычный 8 5 5 5 5" xfId="43420"/>
    <cellStyle name="Обычный 8 5 5 5 6" xfId="43421"/>
    <cellStyle name="Обычный 8 5 5 6" xfId="43422"/>
    <cellStyle name="Обычный 8 5 5 6 2" xfId="43423"/>
    <cellStyle name="Обычный 8 5 5 6 3" xfId="43424"/>
    <cellStyle name="Обычный 8 5 5 7" xfId="43425"/>
    <cellStyle name="Обычный 8 5 5 7 2" xfId="43426"/>
    <cellStyle name="Обычный 8 5 5 7 3" xfId="43427"/>
    <cellStyle name="Обычный 8 5 5 8" xfId="43428"/>
    <cellStyle name="Обычный 8 5 5 8 2" xfId="43429"/>
    <cellStyle name="Обычный 8 5 5 9" xfId="43430"/>
    <cellStyle name="Обычный 8 5 6" xfId="43431"/>
    <cellStyle name="Обычный 8 5 6 2" xfId="43432"/>
    <cellStyle name="Обычный 8 5 6 2 2" xfId="43433"/>
    <cellStyle name="Обычный 8 5 6 2 2 2" xfId="43434"/>
    <cellStyle name="Обычный 8 5 6 2 2 2 2" xfId="43435"/>
    <cellStyle name="Обычный 8 5 6 2 2 2 2 2" xfId="43436"/>
    <cellStyle name="Обычный 8 5 6 2 2 2 2 3" xfId="43437"/>
    <cellStyle name="Обычный 8 5 6 2 2 2 3" xfId="43438"/>
    <cellStyle name="Обычный 8 5 6 2 2 2 3 2" xfId="43439"/>
    <cellStyle name="Обычный 8 5 6 2 2 2 3 3" xfId="43440"/>
    <cellStyle name="Обычный 8 5 6 2 2 2 4" xfId="43441"/>
    <cellStyle name="Обычный 8 5 6 2 2 2 4 2" xfId="43442"/>
    <cellStyle name="Обычный 8 5 6 2 2 2 5" xfId="43443"/>
    <cellStyle name="Обычный 8 5 6 2 2 2 6" xfId="43444"/>
    <cellStyle name="Обычный 8 5 6 2 2 3" xfId="43445"/>
    <cellStyle name="Обычный 8 5 6 2 2 3 2" xfId="43446"/>
    <cellStyle name="Обычный 8 5 6 2 2 3 3" xfId="43447"/>
    <cellStyle name="Обычный 8 5 6 2 2 4" xfId="43448"/>
    <cellStyle name="Обычный 8 5 6 2 2 4 2" xfId="43449"/>
    <cellStyle name="Обычный 8 5 6 2 2 4 3" xfId="43450"/>
    <cellStyle name="Обычный 8 5 6 2 2 5" xfId="43451"/>
    <cellStyle name="Обычный 8 5 6 2 2 5 2" xfId="43452"/>
    <cellStyle name="Обычный 8 5 6 2 2 6" xfId="43453"/>
    <cellStyle name="Обычный 8 5 6 2 2 7" xfId="43454"/>
    <cellStyle name="Обычный 8 5 6 2 3" xfId="43455"/>
    <cellStyle name="Обычный 8 5 6 2 3 2" xfId="43456"/>
    <cellStyle name="Обычный 8 5 6 2 3 2 2" xfId="43457"/>
    <cellStyle name="Обычный 8 5 6 2 3 2 3" xfId="43458"/>
    <cellStyle name="Обычный 8 5 6 2 3 3" xfId="43459"/>
    <cellStyle name="Обычный 8 5 6 2 3 3 2" xfId="43460"/>
    <cellStyle name="Обычный 8 5 6 2 3 3 3" xfId="43461"/>
    <cellStyle name="Обычный 8 5 6 2 3 4" xfId="43462"/>
    <cellStyle name="Обычный 8 5 6 2 3 4 2" xfId="43463"/>
    <cellStyle name="Обычный 8 5 6 2 3 5" xfId="43464"/>
    <cellStyle name="Обычный 8 5 6 2 3 6" xfId="43465"/>
    <cellStyle name="Обычный 8 5 6 2 4" xfId="43466"/>
    <cellStyle name="Обычный 8 5 6 2 4 2" xfId="43467"/>
    <cellStyle name="Обычный 8 5 6 2 4 3" xfId="43468"/>
    <cellStyle name="Обычный 8 5 6 2 5" xfId="43469"/>
    <cellStyle name="Обычный 8 5 6 2 5 2" xfId="43470"/>
    <cellStyle name="Обычный 8 5 6 2 5 3" xfId="43471"/>
    <cellStyle name="Обычный 8 5 6 2 6" xfId="43472"/>
    <cellStyle name="Обычный 8 5 6 2 6 2" xfId="43473"/>
    <cellStyle name="Обычный 8 5 6 2 7" xfId="43474"/>
    <cellStyle name="Обычный 8 5 6 2 8" xfId="43475"/>
    <cellStyle name="Обычный 8 5 6 3" xfId="43476"/>
    <cellStyle name="Обычный 8 5 6 3 2" xfId="43477"/>
    <cellStyle name="Обычный 8 5 6 3 2 2" xfId="43478"/>
    <cellStyle name="Обычный 8 5 6 3 2 2 2" xfId="43479"/>
    <cellStyle name="Обычный 8 5 6 3 2 2 3" xfId="43480"/>
    <cellStyle name="Обычный 8 5 6 3 2 3" xfId="43481"/>
    <cellStyle name="Обычный 8 5 6 3 2 3 2" xfId="43482"/>
    <cellStyle name="Обычный 8 5 6 3 2 3 3" xfId="43483"/>
    <cellStyle name="Обычный 8 5 6 3 2 4" xfId="43484"/>
    <cellStyle name="Обычный 8 5 6 3 2 4 2" xfId="43485"/>
    <cellStyle name="Обычный 8 5 6 3 2 5" xfId="43486"/>
    <cellStyle name="Обычный 8 5 6 3 2 6" xfId="43487"/>
    <cellStyle name="Обычный 8 5 6 3 3" xfId="43488"/>
    <cellStyle name="Обычный 8 5 6 3 3 2" xfId="43489"/>
    <cellStyle name="Обычный 8 5 6 3 3 3" xfId="43490"/>
    <cellStyle name="Обычный 8 5 6 3 4" xfId="43491"/>
    <cellStyle name="Обычный 8 5 6 3 4 2" xfId="43492"/>
    <cellStyle name="Обычный 8 5 6 3 4 3" xfId="43493"/>
    <cellStyle name="Обычный 8 5 6 3 5" xfId="43494"/>
    <cellStyle name="Обычный 8 5 6 3 5 2" xfId="43495"/>
    <cellStyle name="Обычный 8 5 6 3 6" xfId="43496"/>
    <cellStyle name="Обычный 8 5 6 3 7" xfId="43497"/>
    <cellStyle name="Обычный 8 5 6 4" xfId="43498"/>
    <cellStyle name="Обычный 8 5 6 4 2" xfId="43499"/>
    <cellStyle name="Обычный 8 5 6 4 2 2" xfId="43500"/>
    <cellStyle name="Обычный 8 5 6 4 2 3" xfId="43501"/>
    <cellStyle name="Обычный 8 5 6 4 3" xfId="43502"/>
    <cellStyle name="Обычный 8 5 6 4 3 2" xfId="43503"/>
    <cellStyle name="Обычный 8 5 6 4 3 3" xfId="43504"/>
    <cellStyle name="Обычный 8 5 6 4 4" xfId="43505"/>
    <cellStyle name="Обычный 8 5 6 4 4 2" xfId="43506"/>
    <cellStyle name="Обычный 8 5 6 4 5" xfId="43507"/>
    <cellStyle name="Обычный 8 5 6 4 6" xfId="43508"/>
    <cellStyle name="Обычный 8 5 6 5" xfId="43509"/>
    <cellStyle name="Обычный 8 5 6 5 2" xfId="43510"/>
    <cellStyle name="Обычный 8 5 6 5 3" xfId="43511"/>
    <cellStyle name="Обычный 8 5 6 6" xfId="43512"/>
    <cellStyle name="Обычный 8 5 6 6 2" xfId="43513"/>
    <cellStyle name="Обычный 8 5 6 6 3" xfId="43514"/>
    <cellStyle name="Обычный 8 5 6 7" xfId="43515"/>
    <cellStyle name="Обычный 8 5 6 7 2" xfId="43516"/>
    <cellStyle name="Обычный 8 5 6 8" xfId="43517"/>
    <cellStyle name="Обычный 8 5 6 9" xfId="43518"/>
    <cellStyle name="Обычный 8 5 7" xfId="43519"/>
    <cellStyle name="Обычный 8 5 7 2" xfId="43520"/>
    <cellStyle name="Обычный 8 5 7 2 2" xfId="43521"/>
    <cellStyle name="Обычный 8 5 7 2 2 2" xfId="43522"/>
    <cellStyle name="Обычный 8 5 7 2 2 2 2" xfId="43523"/>
    <cellStyle name="Обычный 8 5 7 2 2 2 3" xfId="43524"/>
    <cellStyle name="Обычный 8 5 7 2 2 3" xfId="43525"/>
    <cellStyle name="Обычный 8 5 7 2 2 3 2" xfId="43526"/>
    <cellStyle name="Обычный 8 5 7 2 2 3 3" xfId="43527"/>
    <cellStyle name="Обычный 8 5 7 2 2 4" xfId="43528"/>
    <cellStyle name="Обычный 8 5 7 2 2 4 2" xfId="43529"/>
    <cellStyle name="Обычный 8 5 7 2 2 5" xfId="43530"/>
    <cellStyle name="Обычный 8 5 7 2 2 6" xfId="43531"/>
    <cellStyle name="Обычный 8 5 7 2 3" xfId="43532"/>
    <cellStyle name="Обычный 8 5 7 2 3 2" xfId="43533"/>
    <cellStyle name="Обычный 8 5 7 2 3 3" xfId="43534"/>
    <cellStyle name="Обычный 8 5 7 2 4" xfId="43535"/>
    <cellStyle name="Обычный 8 5 7 2 4 2" xfId="43536"/>
    <cellStyle name="Обычный 8 5 7 2 4 3" xfId="43537"/>
    <cellStyle name="Обычный 8 5 7 2 5" xfId="43538"/>
    <cellStyle name="Обычный 8 5 7 2 5 2" xfId="43539"/>
    <cellStyle name="Обычный 8 5 7 2 6" xfId="43540"/>
    <cellStyle name="Обычный 8 5 7 2 7" xfId="43541"/>
    <cellStyle name="Обычный 8 5 7 3" xfId="43542"/>
    <cellStyle name="Обычный 8 5 7 3 2" xfId="43543"/>
    <cellStyle name="Обычный 8 5 7 3 2 2" xfId="43544"/>
    <cellStyle name="Обычный 8 5 7 3 2 3" xfId="43545"/>
    <cellStyle name="Обычный 8 5 7 3 3" xfId="43546"/>
    <cellStyle name="Обычный 8 5 7 3 3 2" xfId="43547"/>
    <cellStyle name="Обычный 8 5 7 3 3 3" xfId="43548"/>
    <cellStyle name="Обычный 8 5 7 3 4" xfId="43549"/>
    <cellStyle name="Обычный 8 5 7 3 4 2" xfId="43550"/>
    <cellStyle name="Обычный 8 5 7 3 5" xfId="43551"/>
    <cellStyle name="Обычный 8 5 7 3 6" xfId="43552"/>
    <cellStyle name="Обычный 8 5 7 4" xfId="43553"/>
    <cellStyle name="Обычный 8 5 7 4 2" xfId="43554"/>
    <cellStyle name="Обычный 8 5 7 4 3" xfId="43555"/>
    <cellStyle name="Обычный 8 5 7 5" xfId="43556"/>
    <cellStyle name="Обычный 8 5 7 5 2" xfId="43557"/>
    <cellStyle name="Обычный 8 5 7 5 3" xfId="43558"/>
    <cellStyle name="Обычный 8 5 7 6" xfId="43559"/>
    <cellStyle name="Обычный 8 5 7 6 2" xfId="43560"/>
    <cellStyle name="Обычный 8 5 7 7" xfId="43561"/>
    <cellStyle name="Обычный 8 5 7 8" xfId="43562"/>
    <cellStyle name="Обычный 8 5 8" xfId="43563"/>
    <cellStyle name="Обычный 8 5 8 2" xfId="43564"/>
    <cellStyle name="Обычный 8 5 8 2 2" xfId="43565"/>
    <cellStyle name="Обычный 8 5 8 2 2 2" xfId="43566"/>
    <cellStyle name="Обычный 8 5 8 2 2 3" xfId="43567"/>
    <cellStyle name="Обычный 8 5 8 2 3" xfId="43568"/>
    <cellStyle name="Обычный 8 5 8 2 3 2" xfId="43569"/>
    <cellStyle name="Обычный 8 5 8 2 3 3" xfId="43570"/>
    <cellStyle name="Обычный 8 5 8 2 4" xfId="43571"/>
    <cellStyle name="Обычный 8 5 8 2 4 2" xfId="43572"/>
    <cellStyle name="Обычный 8 5 8 2 5" xfId="43573"/>
    <cellStyle name="Обычный 8 5 8 2 6" xfId="43574"/>
    <cellStyle name="Обычный 8 5 8 3" xfId="43575"/>
    <cellStyle name="Обычный 8 5 8 3 2" xfId="43576"/>
    <cellStyle name="Обычный 8 5 8 3 3" xfId="43577"/>
    <cellStyle name="Обычный 8 5 8 4" xfId="43578"/>
    <cellStyle name="Обычный 8 5 8 4 2" xfId="43579"/>
    <cellStyle name="Обычный 8 5 8 4 3" xfId="43580"/>
    <cellStyle name="Обычный 8 5 8 5" xfId="43581"/>
    <cellStyle name="Обычный 8 5 8 5 2" xfId="43582"/>
    <cellStyle name="Обычный 8 5 8 6" xfId="43583"/>
    <cellStyle name="Обычный 8 5 8 7" xfId="43584"/>
    <cellStyle name="Обычный 8 5 9" xfId="43585"/>
    <cellStyle name="Обычный 8 5 9 2" xfId="43586"/>
    <cellStyle name="Обычный 8 5 9 2 2" xfId="43587"/>
    <cellStyle name="Обычный 8 5 9 2 3" xfId="43588"/>
    <cellStyle name="Обычный 8 5 9 3" xfId="43589"/>
    <cellStyle name="Обычный 8 5 9 3 2" xfId="43590"/>
    <cellStyle name="Обычный 8 5 9 3 3" xfId="43591"/>
    <cellStyle name="Обычный 8 5 9 4" xfId="43592"/>
    <cellStyle name="Обычный 8 5 9 4 2" xfId="43593"/>
    <cellStyle name="Обычный 8 5 9 5" xfId="43594"/>
    <cellStyle name="Обычный 8 5 9 6" xfId="43595"/>
    <cellStyle name="Обычный 8 6" xfId="43596"/>
    <cellStyle name="Обычный 8 6 10" xfId="43597"/>
    <cellStyle name="Обычный 8 6 10 2" xfId="43598"/>
    <cellStyle name="Обычный 8 6 10 3" xfId="43599"/>
    <cellStyle name="Обычный 8 6 11" xfId="43600"/>
    <cellStyle name="Обычный 8 6 11 2" xfId="43601"/>
    <cellStyle name="Обычный 8 6 11 3" xfId="43602"/>
    <cellStyle name="Обычный 8 6 12" xfId="43603"/>
    <cellStyle name="Обычный 8 6 12 2" xfId="43604"/>
    <cellStyle name="Обычный 8 6 13" xfId="43605"/>
    <cellStyle name="Обычный 8 6 14" xfId="43606"/>
    <cellStyle name="Обычный 8 6 2" xfId="43607"/>
    <cellStyle name="Обычный 8 6 2 10" xfId="43608"/>
    <cellStyle name="Обычный 8 6 2 10 2" xfId="43609"/>
    <cellStyle name="Обычный 8 6 2 10 3" xfId="43610"/>
    <cellStyle name="Обычный 8 6 2 11" xfId="43611"/>
    <cellStyle name="Обычный 8 6 2 11 2" xfId="43612"/>
    <cellStyle name="Обычный 8 6 2 12" xfId="43613"/>
    <cellStyle name="Обычный 8 6 2 13" xfId="43614"/>
    <cellStyle name="Обычный 8 6 2 2" xfId="43615"/>
    <cellStyle name="Обычный 8 6 2 2 10" xfId="43616"/>
    <cellStyle name="Обычный 8 6 2 2 2" xfId="43617"/>
    <cellStyle name="Обычный 8 6 2 2 2 2" xfId="43618"/>
    <cellStyle name="Обычный 8 6 2 2 2 2 2" xfId="43619"/>
    <cellStyle name="Обычный 8 6 2 2 2 2 2 2" xfId="43620"/>
    <cellStyle name="Обычный 8 6 2 2 2 2 2 2 2" xfId="43621"/>
    <cellStyle name="Обычный 8 6 2 2 2 2 2 2 2 2" xfId="43622"/>
    <cellStyle name="Обычный 8 6 2 2 2 2 2 2 2 3" xfId="43623"/>
    <cellStyle name="Обычный 8 6 2 2 2 2 2 2 3" xfId="43624"/>
    <cellStyle name="Обычный 8 6 2 2 2 2 2 2 3 2" xfId="43625"/>
    <cellStyle name="Обычный 8 6 2 2 2 2 2 2 3 3" xfId="43626"/>
    <cellStyle name="Обычный 8 6 2 2 2 2 2 2 4" xfId="43627"/>
    <cellStyle name="Обычный 8 6 2 2 2 2 2 2 4 2" xfId="43628"/>
    <cellStyle name="Обычный 8 6 2 2 2 2 2 2 5" xfId="43629"/>
    <cellStyle name="Обычный 8 6 2 2 2 2 2 2 6" xfId="43630"/>
    <cellStyle name="Обычный 8 6 2 2 2 2 2 3" xfId="43631"/>
    <cellStyle name="Обычный 8 6 2 2 2 2 2 3 2" xfId="43632"/>
    <cellStyle name="Обычный 8 6 2 2 2 2 2 3 3" xfId="43633"/>
    <cellStyle name="Обычный 8 6 2 2 2 2 2 4" xfId="43634"/>
    <cellStyle name="Обычный 8 6 2 2 2 2 2 4 2" xfId="43635"/>
    <cellStyle name="Обычный 8 6 2 2 2 2 2 4 3" xfId="43636"/>
    <cellStyle name="Обычный 8 6 2 2 2 2 2 5" xfId="43637"/>
    <cellStyle name="Обычный 8 6 2 2 2 2 2 5 2" xfId="43638"/>
    <cellStyle name="Обычный 8 6 2 2 2 2 2 6" xfId="43639"/>
    <cellStyle name="Обычный 8 6 2 2 2 2 2 7" xfId="43640"/>
    <cellStyle name="Обычный 8 6 2 2 2 2 3" xfId="43641"/>
    <cellStyle name="Обычный 8 6 2 2 2 2 3 2" xfId="43642"/>
    <cellStyle name="Обычный 8 6 2 2 2 2 3 2 2" xfId="43643"/>
    <cellStyle name="Обычный 8 6 2 2 2 2 3 2 3" xfId="43644"/>
    <cellStyle name="Обычный 8 6 2 2 2 2 3 3" xfId="43645"/>
    <cellStyle name="Обычный 8 6 2 2 2 2 3 3 2" xfId="43646"/>
    <cellStyle name="Обычный 8 6 2 2 2 2 3 3 3" xfId="43647"/>
    <cellStyle name="Обычный 8 6 2 2 2 2 3 4" xfId="43648"/>
    <cellStyle name="Обычный 8 6 2 2 2 2 3 4 2" xfId="43649"/>
    <cellStyle name="Обычный 8 6 2 2 2 2 3 5" xfId="43650"/>
    <cellStyle name="Обычный 8 6 2 2 2 2 3 6" xfId="43651"/>
    <cellStyle name="Обычный 8 6 2 2 2 2 4" xfId="43652"/>
    <cellStyle name="Обычный 8 6 2 2 2 2 4 2" xfId="43653"/>
    <cellStyle name="Обычный 8 6 2 2 2 2 4 3" xfId="43654"/>
    <cellStyle name="Обычный 8 6 2 2 2 2 5" xfId="43655"/>
    <cellStyle name="Обычный 8 6 2 2 2 2 5 2" xfId="43656"/>
    <cellStyle name="Обычный 8 6 2 2 2 2 5 3" xfId="43657"/>
    <cellStyle name="Обычный 8 6 2 2 2 2 6" xfId="43658"/>
    <cellStyle name="Обычный 8 6 2 2 2 2 6 2" xfId="43659"/>
    <cellStyle name="Обычный 8 6 2 2 2 2 7" xfId="43660"/>
    <cellStyle name="Обычный 8 6 2 2 2 2 8" xfId="43661"/>
    <cellStyle name="Обычный 8 6 2 2 2 3" xfId="43662"/>
    <cellStyle name="Обычный 8 6 2 2 2 3 2" xfId="43663"/>
    <cellStyle name="Обычный 8 6 2 2 2 3 2 2" xfId="43664"/>
    <cellStyle name="Обычный 8 6 2 2 2 3 2 2 2" xfId="43665"/>
    <cellStyle name="Обычный 8 6 2 2 2 3 2 2 3" xfId="43666"/>
    <cellStyle name="Обычный 8 6 2 2 2 3 2 3" xfId="43667"/>
    <cellStyle name="Обычный 8 6 2 2 2 3 2 3 2" xfId="43668"/>
    <cellStyle name="Обычный 8 6 2 2 2 3 2 3 3" xfId="43669"/>
    <cellStyle name="Обычный 8 6 2 2 2 3 2 4" xfId="43670"/>
    <cellStyle name="Обычный 8 6 2 2 2 3 2 4 2" xfId="43671"/>
    <cellStyle name="Обычный 8 6 2 2 2 3 2 5" xfId="43672"/>
    <cellStyle name="Обычный 8 6 2 2 2 3 2 6" xfId="43673"/>
    <cellStyle name="Обычный 8 6 2 2 2 3 3" xfId="43674"/>
    <cellStyle name="Обычный 8 6 2 2 2 3 3 2" xfId="43675"/>
    <cellStyle name="Обычный 8 6 2 2 2 3 3 3" xfId="43676"/>
    <cellStyle name="Обычный 8 6 2 2 2 3 4" xfId="43677"/>
    <cellStyle name="Обычный 8 6 2 2 2 3 4 2" xfId="43678"/>
    <cellStyle name="Обычный 8 6 2 2 2 3 4 3" xfId="43679"/>
    <cellStyle name="Обычный 8 6 2 2 2 3 5" xfId="43680"/>
    <cellStyle name="Обычный 8 6 2 2 2 3 5 2" xfId="43681"/>
    <cellStyle name="Обычный 8 6 2 2 2 3 6" xfId="43682"/>
    <cellStyle name="Обычный 8 6 2 2 2 3 7" xfId="43683"/>
    <cellStyle name="Обычный 8 6 2 2 2 4" xfId="43684"/>
    <cellStyle name="Обычный 8 6 2 2 2 4 2" xfId="43685"/>
    <cellStyle name="Обычный 8 6 2 2 2 4 2 2" xfId="43686"/>
    <cellStyle name="Обычный 8 6 2 2 2 4 2 3" xfId="43687"/>
    <cellStyle name="Обычный 8 6 2 2 2 4 3" xfId="43688"/>
    <cellStyle name="Обычный 8 6 2 2 2 4 3 2" xfId="43689"/>
    <cellStyle name="Обычный 8 6 2 2 2 4 3 3" xfId="43690"/>
    <cellStyle name="Обычный 8 6 2 2 2 4 4" xfId="43691"/>
    <cellStyle name="Обычный 8 6 2 2 2 4 4 2" xfId="43692"/>
    <cellStyle name="Обычный 8 6 2 2 2 4 5" xfId="43693"/>
    <cellStyle name="Обычный 8 6 2 2 2 4 6" xfId="43694"/>
    <cellStyle name="Обычный 8 6 2 2 2 5" xfId="43695"/>
    <cellStyle name="Обычный 8 6 2 2 2 5 2" xfId="43696"/>
    <cellStyle name="Обычный 8 6 2 2 2 5 3" xfId="43697"/>
    <cellStyle name="Обычный 8 6 2 2 2 6" xfId="43698"/>
    <cellStyle name="Обычный 8 6 2 2 2 6 2" xfId="43699"/>
    <cellStyle name="Обычный 8 6 2 2 2 6 3" xfId="43700"/>
    <cellStyle name="Обычный 8 6 2 2 2 7" xfId="43701"/>
    <cellStyle name="Обычный 8 6 2 2 2 7 2" xfId="43702"/>
    <cellStyle name="Обычный 8 6 2 2 2 8" xfId="43703"/>
    <cellStyle name="Обычный 8 6 2 2 2 9" xfId="43704"/>
    <cellStyle name="Обычный 8 6 2 2 3" xfId="43705"/>
    <cellStyle name="Обычный 8 6 2 2 3 2" xfId="43706"/>
    <cellStyle name="Обычный 8 6 2 2 3 2 2" xfId="43707"/>
    <cellStyle name="Обычный 8 6 2 2 3 2 2 2" xfId="43708"/>
    <cellStyle name="Обычный 8 6 2 2 3 2 2 2 2" xfId="43709"/>
    <cellStyle name="Обычный 8 6 2 2 3 2 2 2 3" xfId="43710"/>
    <cellStyle name="Обычный 8 6 2 2 3 2 2 3" xfId="43711"/>
    <cellStyle name="Обычный 8 6 2 2 3 2 2 3 2" xfId="43712"/>
    <cellStyle name="Обычный 8 6 2 2 3 2 2 3 3" xfId="43713"/>
    <cellStyle name="Обычный 8 6 2 2 3 2 2 4" xfId="43714"/>
    <cellStyle name="Обычный 8 6 2 2 3 2 2 4 2" xfId="43715"/>
    <cellStyle name="Обычный 8 6 2 2 3 2 2 5" xfId="43716"/>
    <cellStyle name="Обычный 8 6 2 2 3 2 2 6" xfId="43717"/>
    <cellStyle name="Обычный 8 6 2 2 3 2 3" xfId="43718"/>
    <cellStyle name="Обычный 8 6 2 2 3 2 3 2" xfId="43719"/>
    <cellStyle name="Обычный 8 6 2 2 3 2 3 3" xfId="43720"/>
    <cellStyle name="Обычный 8 6 2 2 3 2 4" xfId="43721"/>
    <cellStyle name="Обычный 8 6 2 2 3 2 4 2" xfId="43722"/>
    <cellStyle name="Обычный 8 6 2 2 3 2 4 3" xfId="43723"/>
    <cellStyle name="Обычный 8 6 2 2 3 2 5" xfId="43724"/>
    <cellStyle name="Обычный 8 6 2 2 3 2 5 2" xfId="43725"/>
    <cellStyle name="Обычный 8 6 2 2 3 2 6" xfId="43726"/>
    <cellStyle name="Обычный 8 6 2 2 3 2 7" xfId="43727"/>
    <cellStyle name="Обычный 8 6 2 2 3 3" xfId="43728"/>
    <cellStyle name="Обычный 8 6 2 2 3 3 2" xfId="43729"/>
    <cellStyle name="Обычный 8 6 2 2 3 3 2 2" xfId="43730"/>
    <cellStyle name="Обычный 8 6 2 2 3 3 2 3" xfId="43731"/>
    <cellStyle name="Обычный 8 6 2 2 3 3 3" xfId="43732"/>
    <cellStyle name="Обычный 8 6 2 2 3 3 3 2" xfId="43733"/>
    <cellStyle name="Обычный 8 6 2 2 3 3 3 3" xfId="43734"/>
    <cellStyle name="Обычный 8 6 2 2 3 3 4" xfId="43735"/>
    <cellStyle name="Обычный 8 6 2 2 3 3 4 2" xfId="43736"/>
    <cellStyle name="Обычный 8 6 2 2 3 3 5" xfId="43737"/>
    <cellStyle name="Обычный 8 6 2 2 3 3 6" xfId="43738"/>
    <cellStyle name="Обычный 8 6 2 2 3 4" xfId="43739"/>
    <cellStyle name="Обычный 8 6 2 2 3 4 2" xfId="43740"/>
    <cellStyle name="Обычный 8 6 2 2 3 4 3" xfId="43741"/>
    <cellStyle name="Обычный 8 6 2 2 3 5" xfId="43742"/>
    <cellStyle name="Обычный 8 6 2 2 3 5 2" xfId="43743"/>
    <cellStyle name="Обычный 8 6 2 2 3 5 3" xfId="43744"/>
    <cellStyle name="Обычный 8 6 2 2 3 6" xfId="43745"/>
    <cellStyle name="Обычный 8 6 2 2 3 6 2" xfId="43746"/>
    <cellStyle name="Обычный 8 6 2 2 3 7" xfId="43747"/>
    <cellStyle name="Обычный 8 6 2 2 3 8" xfId="43748"/>
    <cellStyle name="Обычный 8 6 2 2 4" xfId="43749"/>
    <cellStyle name="Обычный 8 6 2 2 4 2" xfId="43750"/>
    <cellStyle name="Обычный 8 6 2 2 4 2 2" xfId="43751"/>
    <cellStyle name="Обычный 8 6 2 2 4 2 2 2" xfId="43752"/>
    <cellStyle name="Обычный 8 6 2 2 4 2 2 3" xfId="43753"/>
    <cellStyle name="Обычный 8 6 2 2 4 2 3" xfId="43754"/>
    <cellStyle name="Обычный 8 6 2 2 4 2 3 2" xfId="43755"/>
    <cellStyle name="Обычный 8 6 2 2 4 2 3 3" xfId="43756"/>
    <cellStyle name="Обычный 8 6 2 2 4 2 4" xfId="43757"/>
    <cellStyle name="Обычный 8 6 2 2 4 2 4 2" xfId="43758"/>
    <cellStyle name="Обычный 8 6 2 2 4 2 5" xfId="43759"/>
    <cellStyle name="Обычный 8 6 2 2 4 2 6" xfId="43760"/>
    <cellStyle name="Обычный 8 6 2 2 4 3" xfId="43761"/>
    <cellStyle name="Обычный 8 6 2 2 4 3 2" xfId="43762"/>
    <cellStyle name="Обычный 8 6 2 2 4 3 3" xfId="43763"/>
    <cellStyle name="Обычный 8 6 2 2 4 4" xfId="43764"/>
    <cellStyle name="Обычный 8 6 2 2 4 4 2" xfId="43765"/>
    <cellStyle name="Обычный 8 6 2 2 4 4 3" xfId="43766"/>
    <cellStyle name="Обычный 8 6 2 2 4 5" xfId="43767"/>
    <cellStyle name="Обычный 8 6 2 2 4 5 2" xfId="43768"/>
    <cellStyle name="Обычный 8 6 2 2 4 6" xfId="43769"/>
    <cellStyle name="Обычный 8 6 2 2 4 7" xfId="43770"/>
    <cellStyle name="Обычный 8 6 2 2 5" xfId="43771"/>
    <cellStyle name="Обычный 8 6 2 2 5 2" xfId="43772"/>
    <cellStyle name="Обычный 8 6 2 2 5 2 2" xfId="43773"/>
    <cellStyle name="Обычный 8 6 2 2 5 2 3" xfId="43774"/>
    <cellStyle name="Обычный 8 6 2 2 5 3" xfId="43775"/>
    <cellStyle name="Обычный 8 6 2 2 5 3 2" xfId="43776"/>
    <cellStyle name="Обычный 8 6 2 2 5 3 3" xfId="43777"/>
    <cellStyle name="Обычный 8 6 2 2 5 4" xfId="43778"/>
    <cellStyle name="Обычный 8 6 2 2 5 4 2" xfId="43779"/>
    <cellStyle name="Обычный 8 6 2 2 5 5" xfId="43780"/>
    <cellStyle name="Обычный 8 6 2 2 5 6" xfId="43781"/>
    <cellStyle name="Обычный 8 6 2 2 6" xfId="43782"/>
    <cellStyle name="Обычный 8 6 2 2 6 2" xfId="43783"/>
    <cellStyle name="Обычный 8 6 2 2 6 3" xfId="43784"/>
    <cellStyle name="Обычный 8 6 2 2 7" xfId="43785"/>
    <cellStyle name="Обычный 8 6 2 2 7 2" xfId="43786"/>
    <cellStyle name="Обычный 8 6 2 2 7 3" xfId="43787"/>
    <cellStyle name="Обычный 8 6 2 2 8" xfId="43788"/>
    <cellStyle name="Обычный 8 6 2 2 8 2" xfId="43789"/>
    <cellStyle name="Обычный 8 6 2 2 9" xfId="43790"/>
    <cellStyle name="Обычный 8 6 2 3" xfId="43791"/>
    <cellStyle name="Обычный 8 6 2 3 10" xfId="43792"/>
    <cellStyle name="Обычный 8 6 2 3 2" xfId="43793"/>
    <cellStyle name="Обычный 8 6 2 3 2 2" xfId="43794"/>
    <cellStyle name="Обычный 8 6 2 3 2 2 2" xfId="43795"/>
    <cellStyle name="Обычный 8 6 2 3 2 2 2 2" xfId="43796"/>
    <cellStyle name="Обычный 8 6 2 3 2 2 2 2 2" xfId="43797"/>
    <cellStyle name="Обычный 8 6 2 3 2 2 2 2 2 2" xfId="43798"/>
    <cellStyle name="Обычный 8 6 2 3 2 2 2 2 2 3" xfId="43799"/>
    <cellStyle name="Обычный 8 6 2 3 2 2 2 2 3" xfId="43800"/>
    <cellStyle name="Обычный 8 6 2 3 2 2 2 2 3 2" xfId="43801"/>
    <cellStyle name="Обычный 8 6 2 3 2 2 2 2 3 3" xfId="43802"/>
    <cellStyle name="Обычный 8 6 2 3 2 2 2 2 4" xfId="43803"/>
    <cellStyle name="Обычный 8 6 2 3 2 2 2 2 4 2" xfId="43804"/>
    <cellStyle name="Обычный 8 6 2 3 2 2 2 2 5" xfId="43805"/>
    <cellStyle name="Обычный 8 6 2 3 2 2 2 2 6" xfId="43806"/>
    <cellStyle name="Обычный 8 6 2 3 2 2 2 3" xfId="43807"/>
    <cellStyle name="Обычный 8 6 2 3 2 2 2 3 2" xfId="43808"/>
    <cellStyle name="Обычный 8 6 2 3 2 2 2 3 3" xfId="43809"/>
    <cellStyle name="Обычный 8 6 2 3 2 2 2 4" xfId="43810"/>
    <cellStyle name="Обычный 8 6 2 3 2 2 2 4 2" xfId="43811"/>
    <cellStyle name="Обычный 8 6 2 3 2 2 2 4 3" xfId="43812"/>
    <cellStyle name="Обычный 8 6 2 3 2 2 2 5" xfId="43813"/>
    <cellStyle name="Обычный 8 6 2 3 2 2 2 5 2" xfId="43814"/>
    <cellStyle name="Обычный 8 6 2 3 2 2 2 6" xfId="43815"/>
    <cellStyle name="Обычный 8 6 2 3 2 2 2 7" xfId="43816"/>
    <cellStyle name="Обычный 8 6 2 3 2 2 3" xfId="43817"/>
    <cellStyle name="Обычный 8 6 2 3 2 2 3 2" xfId="43818"/>
    <cellStyle name="Обычный 8 6 2 3 2 2 3 2 2" xfId="43819"/>
    <cellStyle name="Обычный 8 6 2 3 2 2 3 2 3" xfId="43820"/>
    <cellStyle name="Обычный 8 6 2 3 2 2 3 3" xfId="43821"/>
    <cellStyle name="Обычный 8 6 2 3 2 2 3 3 2" xfId="43822"/>
    <cellStyle name="Обычный 8 6 2 3 2 2 3 3 3" xfId="43823"/>
    <cellStyle name="Обычный 8 6 2 3 2 2 3 4" xfId="43824"/>
    <cellStyle name="Обычный 8 6 2 3 2 2 3 4 2" xfId="43825"/>
    <cellStyle name="Обычный 8 6 2 3 2 2 3 5" xfId="43826"/>
    <cellStyle name="Обычный 8 6 2 3 2 2 3 6" xfId="43827"/>
    <cellStyle name="Обычный 8 6 2 3 2 2 4" xfId="43828"/>
    <cellStyle name="Обычный 8 6 2 3 2 2 4 2" xfId="43829"/>
    <cellStyle name="Обычный 8 6 2 3 2 2 4 3" xfId="43830"/>
    <cellStyle name="Обычный 8 6 2 3 2 2 5" xfId="43831"/>
    <cellStyle name="Обычный 8 6 2 3 2 2 5 2" xfId="43832"/>
    <cellStyle name="Обычный 8 6 2 3 2 2 5 3" xfId="43833"/>
    <cellStyle name="Обычный 8 6 2 3 2 2 6" xfId="43834"/>
    <cellStyle name="Обычный 8 6 2 3 2 2 6 2" xfId="43835"/>
    <cellStyle name="Обычный 8 6 2 3 2 2 7" xfId="43836"/>
    <cellStyle name="Обычный 8 6 2 3 2 2 8" xfId="43837"/>
    <cellStyle name="Обычный 8 6 2 3 2 3" xfId="43838"/>
    <cellStyle name="Обычный 8 6 2 3 2 3 2" xfId="43839"/>
    <cellStyle name="Обычный 8 6 2 3 2 3 2 2" xfId="43840"/>
    <cellStyle name="Обычный 8 6 2 3 2 3 2 2 2" xfId="43841"/>
    <cellStyle name="Обычный 8 6 2 3 2 3 2 2 3" xfId="43842"/>
    <cellStyle name="Обычный 8 6 2 3 2 3 2 3" xfId="43843"/>
    <cellStyle name="Обычный 8 6 2 3 2 3 2 3 2" xfId="43844"/>
    <cellStyle name="Обычный 8 6 2 3 2 3 2 3 3" xfId="43845"/>
    <cellStyle name="Обычный 8 6 2 3 2 3 2 4" xfId="43846"/>
    <cellStyle name="Обычный 8 6 2 3 2 3 2 4 2" xfId="43847"/>
    <cellStyle name="Обычный 8 6 2 3 2 3 2 5" xfId="43848"/>
    <cellStyle name="Обычный 8 6 2 3 2 3 2 6" xfId="43849"/>
    <cellStyle name="Обычный 8 6 2 3 2 3 3" xfId="43850"/>
    <cellStyle name="Обычный 8 6 2 3 2 3 3 2" xfId="43851"/>
    <cellStyle name="Обычный 8 6 2 3 2 3 3 3" xfId="43852"/>
    <cellStyle name="Обычный 8 6 2 3 2 3 4" xfId="43853"/>
    <cellStyle name="Обычный 8 6 2 3 2 3 4 2" xfId="43854"/>
    <cellStyle name="Обычный 8 6 2 3 2 3 4 3" xfId="43855"/>
    <cellStyle name="Обычный 8 6 2 3 2 3 5" xfId="43856"/>
    <cellStyle name="Обычный 8 6 2 3 2 3 5 2" xfId="43857"/>
    <cellStyle name="Обычный 8 6 2 3 2 3 6" xfId="43858"/>
    <cellStyle name="Обычный 8 6 2 3 2 3 7" xfId="43859"/>
    <cellStyle name="Обычный 8 6 2 3 2 4" xfId="43860"/>
    <cellStyle name="Обычный 8 6 2 3 2 4 2" xfId="43861"/>
    <cellStyle name="Обычный 8 6 2 3 2 4 2 2" xfId="43862"/>
    <cellStyle name="Обычный 8 6 2 3 2 4 2 3" xfId="43863"/>
    <cellStyle name="Обычный 8 6 2 3 2 4 3" xfId="43864"/>
    <cellStyle name="Обычный 8 6 2 3 2 4 3 2" xfId="43865"/>
    <cellStyle name="Обычный 8 6 2 3 2 4 3 3" xfId="43866"/>
    <cellStyle name="Обычный 8 6 2 3 2 4 4" xfId="43867"/>
    <cellStyle name="Обычный 8 6 2 3 2 4 4 2" xfId="43868"/>
    <cellStyle name="Обычный 8 6 2 3 2 4 5" xfId="43869"/>
    <cellStyle name="Обычный 8 6 2 3 2 4 6" xfId="43870"/>
    <cellStyle name="Обычный 8 6 2 3 2 5" xfId="43871"/>
    <cellStyle name="Обычный 8 6 2 3 2 5 2" xfId="43872"/>
    <cellStyle name="Обычный 8 6 2 3 2 5 3" xfId="43873"/>
    <cellStyle name="Обычный 8 6 2 3 2 6" xfId="43874"/>
    <cellStyle name="Обычный 8 6 2 3 2 6 2" xfId="43875"/>
    <cellStyle name="Обычный 8 6 2 3 2 6 3" xfId="43876"/>
    <cellStyle name="Обычный 8 6 2 3 2 7" xfId="43877"/>
    <cellStyle name="Обычный 8 6 2 3 2 7 2" xfId="43878"/>
    <cellStyle name="Обычный 8 6 2 3 2 8" xfId="43879"/>
    <cellStyle name="Обычный 8 6 2 3 2 9" xfId="43880"/>
    <cellStyle name="Обычный 8 6 2 3 3" xfId="43881"/>
    <cellStyle name="Обычный 8 6 2 3 3 2" xfId="43882"/>
    <cellStyle name="Обычный 8 6 2 3 3 2 2" xfId="43883"/>
    <cellStyle name="Обычный 8 6 2 3 3 2 2 2" xfId="43884"/>
    <cellStyle name="Обычный 8 6 2 3 3 2 2 2 2" xfId="43885"/>
    <cellStyle name="Обычный 8 6 2 3 3 2 2 2 3" xfId="43886"/>
    <cellStyle name="Обычный 8 6 2 3 3 2 2 3" xfId="43887"/>
    <cellStyle name="Обычный 8 6 2 3 3 2 2 3 2" xfId="43888"/>
    <cellStyle name="Обычный 8 6 2 3 3 2 2 3 3" xfId="43889"/>
    <cellStyle name="Обычный 8 6 2 3 3 2 2 4" xfId="43890"/>
    <cellStyle name="Обычный 8 6 2 3 3 2 2 4 2" xfId="43891"/>
    <cellStyle name="Обычный 8 6 2 3 3 2 2 5" xfId="43892"/>
    <cellStyle name="Обычный 8 6 2 3 3 2 2 6" xfId="43893"/>
    <cellStyle name="Обычный 8 6 2 3 3 2 3" xfId="43894"/>
    <cellStyle name="Обычный 8 6 2 3 3 2 3 2" xfId="43895"/>
    <cellStyle name="Обычный 8 6 2 3 3 2 3 3" xfId="43896"/>
    <cellStyle name="Обычный 8 6 2 3 3 2 4" xfId="43897"/>
    <cellStyle name="Обычный 8 6 2 3 3 2 4 2" xfId="43898"/>
    <cellStyle name="Обычный 8 6 2 3 3 2 4 3" xfId="43899"/>
    <cellStyle name="Обычный 8 6 2 3 3 2 5" xfId="43900"/>
    <cellStyle name="Обычный 8 6 2 3 3 2 5 2" xfId="43901"/>
    <cellStyle name="Обычный 8 6 2 3 3 2 6" xfId="43902"/>
    <cellStyle name="Обычный 8 6 2 3 3 2 7" xfId="43903"/>
    <cellStyle name="Обычный 8 6 2 3 3 3" xfId="43904"/>
    <cellStyle name="Обычный 8 6 2 3 3 3 2" xfId="43905"/>
    <cellStyle name="Обычный 8 6 2 3 3 3 2 2" xfId="43906"/>
    <cellStyle name="Обычный 8 6 2 3 3 3 2 3" xfId="43907"/>
    <cellStyle name="Обычный 8 6 2 3 3 3 3" xfId="43908"/>
    <cellStyle name="Обычный 8 6 2 3 3 3 3 2" xfId="43909"/>
    <cellStyle name="Обычный 8 6 2 3 3 3 3 3" xfId="43910"/>
    <cellStyle name="Обычный 8 6 2 3 3 3 4" xfId="43911"/>
    <cellStyle name="Обычный 8 6 2 3 3 3 4 2" xfId="43912"/>
    <cellStyle name="Обычный 8 6 2 3 3 3 5" xfId="43913"/>
    <cellStyle name="Обычный 8 6 2 3 3 3 6" xfId="43914"/>
    <cellStyle name="Обычный 8 6 2 3 3 4" xfId="43915"/>
    <cellStyle name="Обычный 8 6 2 3 3 4 2" xfId="43916"/>
    <cellStyle name="Обычный 8 6 2 3 3 4 3" xfId="43917"/>
    <cellStyle name="Обычный 8 6 2 3 3 5" xfId="43918"/>
    <cellStyle name="Обычный 8 6 2 3 3 5 2" xfId="43919"/>
    <cellStyle name="Обычный 8 6 2 3 3 5 3" xfId="43920"/>
    <cellStyle name="Обычный 8 6 2 3 3 6" xfId="43921"/>
    <cellStyle name="Обычный 8 6 2 3 3 6 2" xfId="43922"/>
    <cellStyle name="Обычный 8 6 2 3 3 7" xfId="43923"/>
    <cellStyle name="Обычный 8 6 2 3 3 8" xfId="43924"/>
    <cellStyle name="Обычный 8 6 2 3 4" xfId="43925"/>
    <cellStyle name="Обычный 8 6 2 3 4 2" xfId="43926"/>
    <cellStyle name="Обычный 8 6 2 3 4 2 2" xfId="43927"/>
    <cellStyle name="Обычный 8 6 2 3 4 2 2 2" xfId="43928"/>
    <cellStyle name="Обычный 8 6 2 3 4 2 2 3" xfId="43929"/>
    <cellStyle name="Обычный 8 6 2 3 4 2 3" xfId="43930"/>
    <cellStyle name="Обычный 8 6 2 3 4 2 3 2" xfId="43931"/>
    <cellStyle name="Обычный 8 6 2 3 4 2 3 3" xfId="43932"/>
    <cellStyle name="Обычный 8 6 2 3 4 2 4" xfId="43933"/>
    <cellStyle name="Обычный 8 6 2 3 4 2 4 2" xfId="43934"/>
    <cellStyle name="Обычный 8 6 2 3 4 2 5" xfId="43935"/>
    <cellStyle name="Обычный 8 6 2 3 4 2 6" xfId="43936"/>
    <cellStyle name="Обычный 8 6 2 3 4 3" xfId="43937"/>
    <cellStyle name="Обычный 8 6 2 3 4 3 2" xfId="43938"/>
    <cellStyle name="Обычный 8 6 2 3 4 3 3" xfId="43939"/>
    <cellStyle name="Обычный 8 6 2 3 4 4" xfId="43940"/>
    <cellStyle name="Обычный 8 6 2 3 4 4 2" xfId="43941"/>
    <cellStyle name="Обычный 8 6 2 3 4 4 3" xfId="43942"/>
    <cellStyle name="Обычный 8 6 2 3 4 5" xfId="43943"/>
    <cellStyle name="Обычный 8 6 2 3 4 5 2" xfId="43944"/>
    <cellStyle name="Обычный 8 6 2 3 4 6" xfId="43945"/>
    <cellStyle name="Обычный 8 6 2 3 4 7" xfId="43946"/>
    <cellStyle name="Обычный 8 6 2 3 5" xfId="43947"/>
    <cellStyle name="Обычный 8 6 2 3 5 2" xfId="43948"/>
    <cellStyle name="Обычный 8 6 2 3 5 2 2" xfId="43949"/>
    <cellStyle name="Обычный 8 6 2 3 5 2 3" xfId="43950"/>
    <cellStyle name="Обычный 8 6 2 3 5 3" xfId="43951"/>
    <cellStyle name="Обычный 8 6 2 3 5 3 2" xfId="43952"/>
    <cellStyle name="Обычный 8 6 2 3 5 3 3" xfId="43953"/>
    <cellStyle name="Обычный 8 6 2 3 5 4" xfId="43954"/>
    <cellStyle name="Обычный 8 6 2 3 5 4 2" xfId="43955"/>
    <cellStyle name="Обычный 8 6 2 3 5 5" xfId="43956"/>
    <cellStyle name="Обычный 8 6 2 3 5 6" xfId="43957"/>
    <cellStyle name="Обычный 8 6 2 3 6" xfId="43958"/>
    <cellStyle name="Обычный 8 6 2 3 6 2" xfId="43959"/>
    <cellStyle name="Обычный 8 6 2 3 6 3" xfId="43960"/>
    <cellStyle name="Обычный 8 6 2 3 7" xfId="43961"/>
    <cellStyle name="Обычный 8 6 2 3 7 2" xfId="43962"/>
    <cellStyle name="Обычный 8 6 2 3 7 3" xfId="43963"/>
    <cellStyle name="Обычный 8 6 2 3 8" xfId="43964"/>
    <cellStyle name="Обычный 8 6 2 3 8 2" xfId="43965"/>
    <cellStyle name="Обычный 8 6 2 3 9" xfId="43966"/>
    <cellStyle name="Обычный 8 6 2 4" xfId="43967"/>
    <cellStyle name="Обычный 8 6 2 4 10" xfId="43968"/>
    <cellStyle name="Обычный 8 6 2 4 2" xfId="43969"/>
    <cellStyle name="Обычный 8 6 2 4 2 2" xfId="43970"/>
    <cellStyle name="Обычный 8 6 2 4 2 2 2" xfId="43971"/>
    <cellStyle name="Обычный 8 6 2 4 2 2 2 2" xfId="43972"/>
    <cellStyle name="Обычный 8 6 2 4 2 2 2 2 2" xfId="43973"/>
    <cellStyle name="Обычный 8 6 2 4 2 2 2 2 2 2" xfId="43974"/>
    <cellStyle name="Обычный 8 6 2 4 2 2 2 2 2 3" xfId="43975"/>
    <cellStyle name="Обычный 8 6 2 4 2 2 2 2 3" xfId="43976"/>
    <cellStyle name="Обычный 8 6 2 4 2 2 2 2 3 2" xfId="43977"/>
    <cellStyle name="Обычный 8 6 2 4 2 2 2 2 3 3" xfId="43978"/>
    <cellStyle name="Обычный 8 6 2 4 2 2 2 2 4" xfId="43979"/>
    <cellStyle name="Обычный 8 6 2 4 2 2 2 2 4 2" xfId="43980"/>
    <cellStyle name="Обычный 8 6 2 4 2 2 2 2 5" xfId="43981"/>
    <cellStyle name="Обычный 8 6 2 4 2 2 2 2 6" xfId="43982"/>
    <cellStyle name="Обычный 8 6 2 4 2 2 2 3" xfId="43983"/>
    <cellStyle name="Обычный 8 6 2 4 2 2 2 3 2" xfId="43984"/>
    <cellStyle name="Обычный 8 6 2 4 2 2 2 3 3" xfId="43985"/>
    <cellStyle name="Обычный 8 6 2 4 2 2 2 4" xfId="43986"/>
    <cellStyle name="Обычный 8 6 2 4 2 2 2 4 2" xfId="43987"/>
    <cellStyle name="Обычный 8 6 2 4 2 2 2 4 3" xfId="43988"/>
    <cellStyle name="Обычный 8 6 2 4 2 2 2 5" xfId="43989"/>
    <cellStyle name="Обычный 8 6 2 4 2 2 2 5 2" xfId="43990"/>
    <cellStyle name="Обычный 8 6 2 4 2 2 2 6" xfId="43991"/>
    <cellStyle name="Обычный 8 6 2 4 2 2 2 7" xfId="43992"/>
    <cellStyle name="Обычный 8 6 2 4 2 2 3" xfId="43993"/>
    <cellStyle name="Обычный 8 6 2 4 2 2 3 2" xfId="43994"/>
    <cellStyle name="Обычный 8 6 2 4 2 2 3 2 2" xfId="43995"/>
    <cellStyle name="Обычный 8 6 2 4 2 2 3 2 3" xfId="43996"/>
    <cellStyle name="Обычный 8 6 2 4 2 2 3 3" xfId="43997"/>
    <cellStyle name="Обычный 8 6 2 4 2 2 3 3 2" xfId="43998"/>
    <cellStyle name="Обычный 8 6 2 4 2 2 3 3 3" xfId="43999"/>
    <cellStyle name="Обычный 8 6 2 4 2 2 3 4" xfId="44000"/>
    <cellStyle name="Обычный 8 6 2 4 2 2 3 4 2" xfId="44001"/>
    <cellStyle name="Обычный 8 6 2 4 2 2 3 5" xfId="44002"/>
    <cellStyle name="Обычный 8 6 2 4 2 2 3 6" xfId="44003"/>
    <cellStyle name="Обычный 8 6 2 4 2 2 4" xfId="44004"/>
    <cellStyle name="Обычный 8 6 2 4 2 2 4 2" xfId="44005"/>
    <cellStyle name="Обычный 8 6 2 4 2 2 4 3" xfId="44006"/>
    <cellStyle name="Обычный 8 6 2 4 2 2 5" xfId="44007"/>
    <cellStyle name="Обычный 8 6 2 4 2 2 5 2" xfId="44008"/>
    <cellStyle name="Обычный 8 6 2 4 2 2 5 3" xfId="44009"/>
    <cellStyle name="Обычный 8 6 2 4 2 2 6" xfId="44010"/>
    <cellStyle name="Обычный 8 6 2 4 2 2 6 2" xfId="44011"/>
    <cellStyle name="Обычный 8 6 2 4 2 2 7" xfId="44012"/>
    <cellStyle name="Обычный 8 6 2 4 2 2 8" xfId="44013"/>
    <cellStyle name="Обычный 8 6 2 4 2 3" xfId="44014"/>
    <cellStyle name="Обычный 8 6 2 4 2 3 2" xfId="44015"/>
    <cellStyle name="Обычный 8 6 2 4 2 3 2 2" xfId="44016"/>
    <cellStyle name="Обычный 8 6 2 4 2 3 2 2 2" xfId="44017"/>
    <cellStyle name="Обычный 8 6 2 4 2 3 2 2 3" xfId="44018"/>
    <cellStyle name="Обычный 8 6 2 4 2 3 2 3" xfId="44019"/>
    <cellStyle name="Обычный 8 6 2 4 2 3 2 3 2" xfId="44020"/>
    <cellStyle name="Обычный 8 6 2 4 2 3 2 3 3" xfId="44021"/>
    <cellStyle name="Обычный 8 6 2 4 2 3 2 4" xfId="44022"/>
    <cellStyle name="Обычный 8 6 2 4 2 3 2 4 2" xfId="44023"/>
    <cellStyle name="Обычный 8 6 2 4 2 3 2 5" xfId="44024"/>
    <cellStyle name="Обычный 8 6 2 4 2 3 2 6" xfId="44025"/>
    <cellStyle name="Обычный 8 6 2 4 2 3 3" xfId="44026"/>
    <cellStyle name="Обычный 8 6 2 4 2 3 3 2" xfId="44027"/>
    <cellStyle name="Обычный 8 6 2 4 2 3 3 3" xfId="44028"/>
    <cellStyle name="Обычный 8 6 2 4 2 3 4" xfId="44029"/>
    <cellStyle name="Обычный 8 6 2 4 2 3 4 2" xfId="44030"/>
    <cellStyle name="Обычный 8 6 2 4 2 3 4 3" xfId="44031"/>
    <cellStyle name="Обычный 8 6 2 4 2 3 5" xfId="44032"/>
    <cellStyle name="Обычный 8 6 2 4 2 3 5 2" xfId="44033"/>
    <cellStyle name="Обычный 8 6 2 4 2 3 6" xfId="44034"/>
    <cellStyle name="Обычный 8 6 2 4 2 3 7" xfId="44035"/>
    <cellStyle name="Обычный 8 6 2 4 2 4" xfId="44036"/>
    <cellStyle name="Обычный 8 6 2 4 2 4 2" xfId="44037"/>
    <cellStyle name="Обычный 8 6 2 4 2 4 2 2" xfId="44038"/>
    <cellStyle name="Обычный 8 6 2 4 2 4 2 3" xfId="44039"/>
    <cellStyle name="Обычный 8 6 2 4 2 4 3" xfId="44040"/>
    <cellStyle name="Обычный 8 6 2 4 2 4 3 2" xfId="44041"/>
    <cellStyle name="Обычный 8 6 2 4 2 4 3 3" xfId="44042"/>
    <cellStyle name="Обычный 8 6 2 4 2 4 4" xfId="44043"/>
    <cellStyle name="Обычный 8 6 2 4 2 4 4 2" xfId="44044"/>
    <cellStyle name="Обычный 8 6 2 4 2 4 5" xfId="44045"/>
    <cellStyle name="Обычный 8 6 2 4 2 4 6" xfId="44046"/>
    <cellStyle name="Обычный 8 6 2 4 2 5" xfId="44047"/>
    <cellStyle name="Обычный 8 6 2 4 2 5 2" xfId="44048"/>
    <cellStyle name="Обычный 8 6 2 4 2 5 3" xfId="44049"/>
    <cellStyle name="Обычный 8 6 2 4 2 6" xfId="44050"/>
    <cellStyle name="Обычный 8 6 2 4 2 6 2" xfId="44051"/>
    <cellStyle name="Обычный 8 6 2 4 2 6 3" xfId="44052"/>
    <cellStyle name="Обычный 8 6 2 4 2 7" xfId="44053"/>
    <cellStyle name="Обычный 8 6 2 4 2 7 2" xfId="44054"/>
    <cellStyle name="Обычный 8 6 2 4 2 8" xfId="44055"/>
    <cellStyle name="Обычный 8 6 2 4 2 9" xfId="44056"/>
    <cellStyle name="Обычный 8 6 2 4 3" xfId="44057"/>
    <cellStyle name="Обычный 8 6 2 4 3 2" xfId="44058"/>
    <cellStyle name="Обычный 8 6 2 4 3 2 2" xfId="44059"/>
    <cellStyle name="Обычный 8 6 2 4 3 2 2 2" xfId="44060"/>
    <cellStyle name="Обычный 8 6 2 4 3 2 2 2 2" xfId="44061"/>
    <cellStyle name="Обычный 8 6 2 4 3 2 2 2 3" xfId="44062"/>
    <cellStyle name="Обычный 8 6 2 4 3 2 2 3" xfId="44063"/>
    <cellStyle name="Обычный 8 6 2 4 3 2 2 3 2" xfId="44064"/>
    <cellStyle name="Обычный 8 6 2 4 3 2 2 3 3" xfId="44065"/>
    <cellStyle name="Обычный 8 6 2 4 3 2 2 4" xfId="44066"/>
    <cellStyle name="Обычный 8 6 2 4 3 2 2 4 2" xfId="44067"/>
    <cellStyle name="Обычный 8 6 2 4 3 2 2 5" xfId="44068"/>
    <cellStyle name="Обычный 8 6 2 4 3 2 2 6" xfId="44069"/>
    <cellStyle name="Обычный 8 6 2 4 3 2 3" xfId="44070"/>
    <cellStyle name="Обычный 8 6 2 4 3 2 3 2" xfId="44071"/>
    <cellStyle name="Обычный 8 6 2 4 3 2 3 3" xfId="44072"/>
    <cellStyle name="Обычный 8 6 2 4 3 2 4" xfId="44073"/>
    <cellStyle name="Обычный 8 6 2 4 3 2 4 2" xfId="44074"/>
    <cellStyle name="Обычный 8 6 2 4 3 2 4 3" xfId="44075"/>
    <cellStyle name="Обычный 8 6 2 4 3 2 5" xfId="44076"/>
    <cellStyle name="Обычный 8 6 2 4 3 2 5 2" xfId="44077"/>
    <cellStyle name="Обычный 8 6 2 4 3 2 6" xfId="44078"/>
    <cellStyle name="Обычный 8 6 2 4 3 2 7" xfId="44079"/>
    <cellStyle name="Обычный 8 6 2 4 3 3" xfId="44080"/>
    <cellStyle name="Обычный 8 6 2 4 3 3 2" xfId="44081"/>
    <cellStyle name="Обычный 8 6 2 4 3 3 2 2" xfId="44082"/>
    <cellStyle name="Обычный 8 6 2 4 3 3 2 3" xfId="44083"/>
    <cellStyle name="Обычный 8 6 2 4 3 3 3" xfId="44084"/>
    <cellStyle name="Обычный 8 6 2 4 3 3 3 2" xfId="44085"/>
    <cellStyle name="Обычный 8 6 2 4 3 3 3 3" xfId="44086"/>
    <cellStyle name="Обычный 8 6 2 4 3 3 4" xfId="44087"/>
    <cellStyle name="Обычный 8 6 2 4 3 3 4 2" xfId="44088"/>
    <cellStyle name="Обычный 8 6 2 4 3 3 5" xfId="44089"/>
    <cellStyle name="Обычный 8 6 2 4 3 3 6" xfId="44090"/>
    <cellStyle name="Обычный 8 6 2 4 3 4" xfId="44091"/>
    <cellStyle name="Обычный 8 6 2 4 3 4 2" xfId="44092"/>
    <cellStyle name="Обычный 8 6 2 4 3 4 3" xfId="44093"/>
    <cellStyle name="Обычный 8 6 2 4 3 5" xfId="44094"/>
    <cellStyle name="Обычный 8 6 2 4 3 5 2" xfId="44095"/>
    <cellStyle name="Обычный 8 6 2 4 3 5 3" xfId="44096"/>
    <cellStyle name="Обычный 8 6 2 4 3 6" xfId="44097"/>
    <cellStyle name="Обычный 8 6 2 4 3 6 2" xfId="44098"/>
    <cellStyle name="Обычный 8 6 2 4 3 7" xfId="44099"/>
    <cellStyle name="Обычный 8 6 2 4 3 8" xfId="44100"/>
    <cellStyle name="Обычный 8 6 2 4 4" xfId="44101"/>
    <cellStyle name="Обычный 8 6 2 4 4 2" xfId="44102"/>
    <cellStyle name="Обычный 8 6 2 4 4 2 2" xfId="44103"/>
    <cellStyle name="Обычный 8 6 2 4 4 2 2 2" xfId="44104"/>
    <cellStyle name="Обычный 8 6 2 4 4 2 2 3" xfId="44105"/>
    <cellStyle name="Обычный 8 6 2 4 4 2 3" xfId="44106"/>
    <cellStyle name="Обычный 8 6 2 4 4 2 3 2" xfId="44107"/>
    <cellStyle name="Обычный 8 6 2 4 4 2 3 3" xfId="44108"/>
    <cellStyle name="Обычный 8 6 2 4 4 2 4" xfId="44109"/>
    <cellStyle name="Обычный 8 6 2 4 4 2 4 2" xfId="44110"/>
    <cellStyle name="Обычный 8 6 2 4 4 2 5" xfId="44111"/>
    <cellStyle name="Обычный 8 6 2 4 4 2 6" xfId="44112"/>
    <cellStyle name="Обычный 8 6 2 4 4 3" xfId="44113"/>
    <cellStyle name="Обычный 8 6 2 4 4 3 2" xfId="44114"/>
    <cellStyle name="Обычный 8 6 2 4 4 3 3" xfId="44115"/>
    <cellStyle name="Обычный 8 6 2 4 4 4" xfId="44116"/>
    <cellStyle name="Обычный 8 6 2 4 4 4 2" xfId="44117"/>
    <cellStyle name="Обычный 8 6 2 4 4 4 3" xfId="44118"/>
    <cellStyle name="Обычный 8 6 2 4 4 5" xfId="44119"/>
    <cellStyle name="Обычный 8 6 2 4 4 5 2" xfId="44120"/>
    <cellStyle name="Обычный 8 6 2 4 4 6" xfId="44121"/>
    <cellStyle name="Обычный 8 6 2 4 4 7" xfId="44122"/>
    <cellStyle name="Обычный 8 6 2 4 5" xfId="44123"/>
    <cellStyle name="Обычный 8 6 2 4 5 2" xfId="44124"/>
    <cellStyle name="Обычный 8 6 2 4 5 2 2" xfId="44125"/>
    <cellStyle name="Обычный 8 6 2 4 5 2 3" xfId="44126"/>
    <cellStyle name="Обычный 8 6 2 4 5 3" xfId="44127"/>
    <cellStyle name="Обычный 8 6 2 4 5 3 2" xfId="44128"/>
    <cellStyle name="Обычный 8 6 2 4 5 3 3" xfId="44129"/>
    <cellStyle name="Обычный 8 6 2 4 5 4" xfId="44130"/>
    <cellStyle name="Обычный 8 6 2 4 5 4 2" xfId="44131"/>
    <cellStyle name="Обычный 8 6 2 4 5 5" xfId="44132"/>
    <cellStyle name="Обычный 8 6 2 4 5 6" xfId="44133"/>
    <cellStyle name="Обычный 8 6 2 4 6" xfId="44134"/>
    <cellStyle name="Обычный 8 6 2 4 6 2" xfId="44135"/>
    <cellStyle name="Обычный 8 6 2 4 6 3" xfId="44136"/>
    <cellStyle name="Обычный 8 6 2 4 7" xfId="44137"/>
    <cellStyle name="Обычный 8 6 2 4 7 2" xfId="44138"/>
    <cellStyle name="Обычный 8 6 2 4 7 3" xfId="44139"/>
    <cellStyle name="Обычный 8 6 2 4 8" xfId="44140"/>
    <cellStyle name="Обычный 8 6 2 4 8 2" xfId="44141"/>
    <cellStyle name="Обычный 8 6 2 4 9" xfId="44142"/>
    <cellStyle name="Обычный 8 6 2 5" xfId="44143"/>
    <cellStyle name="Обычный 8 6 2 5 2" xfId="44144"/>
    <cellStyle name="Обычный 8 6 2 5 2 2" xfId="44145"/>
    <cellStyle name="Обычный 8 6 2 5 2 2 2" xfId="44146"/>
    <cellStyle name="Обычный 8 6 2 5 2 2 2 2" xfId="44147"/>
    <cellStyle name="Обычный 8 6 2 5 2 2 2 2 2" xfId="44148"/>
    <cellStyle name="Обычный 8 6 2 5 2 2 2 2 3" xfId="44149"/>
    <cellStyle name="Обычный 8 6 2 5 2 2 2 3" xfId="44150"/>
    <cellStyle name="Обычный 8 6 2 5 2 2 2 3 2" xfId="44151"/>
    <cellStyle name="Обычный 8 6 2 5 2 2 2 3 3" xfId="44152"/>
    <cellStyle name="Обычный 8 6 2 5 2 2 2 4" xfId="44153"/>
    <cellStyle name="Обычный 8 6 2 5 2 2 2 4 2" xfId="44154"/>
    <cellStyle name="Обычный 8 6 2 5 2 2 2 5" xfId="44155"/>
    <cellStyle name="Обычный 8 6 2 5 2 2 2 6" xfId="44156"/>
    <cellStyle name="Обычный 8 6 2 5 2 2 3" xfId="44157"/>
    <cellStyle name="Обычный 8 6 2 5 2 2 3 2" xfId="44158"/>
    <cellStyle name="Обычный 8 6 2 5 2 2 3 3" xfId="44159"/>
    <cellStyle name="Обычный 8 6 2 5 2 2 4" xfId="44160"/>
    <cellStyle name="Обычный 8 6 2 5 2 2 4 2" xfId="44161"/>
    <cellStyle name="Обычный 8 6 2 5 2 2 4 3" xfId="44162"/>
    <cellStyle name="Обычный 8 6 2 5 2 2 5" xfId="44163"/>
    <cellStyle name="Обычный 8 6 2 5 2 2 5 2" xfId="44164"/>
    <cellStyle name="Обычный 8 6 2 5 2 2 6" xfId="44165"/>
    <cellStyle name="Обычный 8 6 2 5 2 2 7" xfId="44166"/>
    <cellStyle name="Обычный 8 6 2 5 2 3" xfId="44167"/>
    <cellStyle name="Обычный 8 6 2 5 2 3 2" xfId="44168"/>
    <cellStyle name="Обычный 8 6 2 5 2 3 2 2" xfId="44169"/>
    <cellStyle name="Обычный 8 6 2 5 2 3 2 3" xfId="44170"/>
    <cellStyle name="Обычный 8 6 2 5 2 3 3" xfId="44171"/>
    <cellStyle name="Обычный 8 6 2 5 2 3 3 2" xfId="44172"/>
    <cellStyle name="Обычный 8 6 2 5 2 3 3 3" xfId="44173"/>
    <cellStyle name="Обычный 8 6 2 5 2 3 4" xfId="44174"/>
    <cellStyle name="Обычный 8 6 2 5 2 3 4 2" xfId="44175"/>
    <cellStyle name="Обычный 8 6 2 5 2 3 5" xfId="44176"/>
    <cellStyle name="Обычный 8 6 2 5 2 3 6" xfId="44177"/>
    <cellStyle name="Обычный 8 6 2 5 2 4" xfId="44178"/>
    <cellStyle name="Обычный 8 6 2 5 2 4 2" xfId="44179"/>
    <cellStyle name="Обычный 8 6 2 5 2 4 3" xfId="44180"/>
    <cellStyle name="Обычный 8 6 2 5 2 5" xfId="44181"/>
    <cellStyle name="Обычный 8 6 2 5 2 5 2" xfId="44182"/>
    <cellStyle name="Обычный 8 6 2 5 2 5 3" xfId="44183"/>
    <cellStyle name="Обычный 8 6 2 5 2 6" xfId="44184"/>
    <cellStyle name="Обычный 8 6 2 5 2 6 2" xfId="44185"/>
    <cellStyle name="Обычный 8 6 2 5 2 7" xfId="44186"/>
    <cellStyle name="Обычный 8 6 2 5 2 8" xfId="44187"/>
    <cellStyle name="Обычный 8 6 2 5 3" xfId="44188"/>
    <cellStyle name="Обычный 8 6 2 5 3 2" xfId="44189"/>
    <cellStyle name="Обычный 8 6 2 5 3 2 2" xfId="44190"/>
    <cellStyle name="Обычный 8 6 2 5 3 2 2 2" xfId="44191"/>
    <cellStyle name="Обычный 8 6 2 5 3 2 2 3" xfId="44192"/>
    <cellStyle name="Обычный 8 6 2 5 3 2 3" xfId="44193"/>
    <cellStyle name="Обычный 8 6 2 5 3 2 3 2" xfId="44194"/>
    <cellStyle name="Обычный 8 6 2 5 3 2 3 3" xfId="44195"/>
    <cellStyle name="Обычный 8 6 2 5 3 2 4" xfId="44196"/>
    <cellStyle name="Обычный 8 6 2 5 3 2 4 2" xfId="44197"/>
    <cellStyle name="Обычный 8 6 2 5 3 2 5" xfId="44198"/>
    <cellStyle name="Обычный 8 6 2 5 3 2 6" xfId="44199"/>
    <cellStyle name="Обычный 8 6 2 5 3 3" xfId="44200"/>
    <cellStyle name="Обычный 8 6 2 5 3 3 2" xfId="44201"/>
    <cellStyle name="Обычный 8 6 2 5 3 3 3" xfId="44202"/>
    <cellStyle name="Обычный 8 6 2 5 3 4" xfId="44203"/>
    <cellStyle name="Обычный 8 6 2 5 3 4 2" xfId="44204"/>
    <cellStyle name="Обычный 8 6 2 5 3 4 3" xfId="44205"/>
    <cellStyle name="Обычный 8 6 2 5 3 5" xfId="44206"/>
    <cellStyle name="Обычный 8 6 2 5 3 5 2" xfId="44207"/>
    <cellStyle name="Обычный 8 6 2 5 3 6" xfId="44208"/>
    <cellStyle name="Обычный 8 6 2 5 3 7" xfId="44209"/>
    <cellStyle name="Обычный 8 6 2 5 4" xfId="44210"/>
    <cellStyle name="Обычный 8 6 2 5 4 2" xfId="44211"/>
    <cellStyle name="Обычный 8 6 2 5 4 2 2" xfId="44212"/>
    <cellStyle name="Обычный 8 6 2 5 4 2 3" xfId="44213"/>
    <cellStyle name="Обычный 8 6 2 5 4 3" xfId="44214"/>
    <cellStyle name="Обычный 8 6 2 5 4 3 2" xfId="44215"/>
    <cellStyle name="Обычный 8 6 2 5 4 3 3" xfId="44216"/>
    <cellStyle name="Обычный 8 6 2 5 4 4" xfId="44217"/>
    <cellStyle name="Обычный 8 6 2 5 4 4 2" xfId="44218"/>
    <cellStyle name="Обычный 8 6 2 5 4 5" xfId="44219"/>
    <cellStyle name="Обычный 8 6 2 5 4 6" xfId="44220"/>
    <cellStyle name="Обычный 8 6 2 5 5" xfId="44221"/>
    <cellStyle name="Обычный 8 6 2 5 5 2" xfId="44222"/>
    <cellStyle name="Обычный 8 6 2 5 5 3" xfId="44223"/>
    <cellStyle name="Обычный 8 6 2 5 6" xfId="44224"/>
    <cellStyle name="Обычный 8 6 2 5 6 2" xfId="44225"/>
    <cellStyle name="Обычный 8 6 2 5 6 3" xfId="44226"/>
    <cellStyle name="Обычный 8 6 2 5 7" xfId="44227"/>
    <cellStyle name="Обычный 8 6 2 5 7 2" xfId="44228"/>
    <cellStyle name="Обычный 8 6 2 5 8" xfId="44229"/>
    <cellStyle name="Обычный 8 6 2 5 9" xfId="44230"/>
    <cellStyle name="Обычный 8 6 2 6" xfId="44231"/>
    <cellStyle name="Обычный 8 6 2 6 2" xfId="44232"/>
    <cellStyle name="Обычный 8 6 2 6 2 2" xfId="44233"/>
    <cellStyle name="Обычный 8 6 2 6 2 2 2" xfId="44234"/>
    <cellStyle name="Обычный 8 6 2 6 2 2 2 2" xfId="44235"/>
    <cellStyle name="Обычный 8 6 2 6 2 2 2 3" xfId="44236"/>
    <cellStyle name="Обычный 8 6 2 6 2 2 3" xfId="44237"/>
    <cellStyle name="Обычный 8 6 2 6 2 2 3 2" xfId="44238"/>
    <cellStyle name="Обычный 8 6 2 6 2 2 3 3" xfId="44239"/>
    <cellStyle name="Обычный 8 6 2 6 2 2 4" xfId="44240"/>
    <cellStyle name="Обычный 8 6 2 6 2 2 4 2" xfId="44241"/>
    <cellStyle name="Обычный 8 6 2 6 2 2 5" xfId="44242"/>
    <cellStyle name="Обычный 8 6 2 6 2 2 6" xfId="44243"/>
    <cellStyle name="Обычный 8 6 2 6 2 3" xfId="44244"/>
    <cellStyle name="Обычный 8 6 2 6 2 3 2" xfId="44245"/>
    <cellStyle name="Обычный 8 6 2 6 2 3 3" xfId="44246"/>
    <cellStyle name="Обычный 8 6 2 6 2 4" xfId="44247"/>
    <cellStyle name="Обычный 8 6 2 6 2 4 2" xfId="44248"/>
    <cellStyle name="Обычный 8 6 2 6 2 4 3" xfId="44249"/>
    <cellStyle name="Обычный 8 6 2 6 2 5" xfId="44250"/>
    <cellStyle name="Обычный 8 6 2 6 2 5 2" xfId="44251"/>
    <cellStyle name="Обычный 8 6 2 6 2 6" xfId="44252"/>
    <cellStyle name="Обычный 8 6 2 6 2 7" xfId="44253"/>
    <cellStyle name="Обычный 8 6 2 6 3" xfId="44254"/>
    <cellStyle name="Обычный 8 6 2 6 3 2" xfId="44255"/>
    <cellStyle name="Обычный 8 6 2 6 3 2 2" xfId="44256"/>
    <cellStyle name="Обычный 8 6 2 6 3 2 3" xfId="44257"/>
    <cellStyle name="Обычный 8 6 2 6 3 3" xfId="44258"/>
    <cellStyle name="Обычный 8 6 2 6 3 3 2" xfId="44259"/>
    <cellStyle name="Обычный 8 6 2 6 3 3 3" xfId="44260"/>
    <cellStyle name="Обычный 8 6 2 6 3 4" xfId="44261"/>
    <cellStyle name="Обычный 8 6 2 6 3 4 2" xfId="44262"/>
    <cellStyle name="Обычный 8 6 2 6 3 5" xfId="44263"/>
    <cellStyle name="Обычный 8 6 2 6 3 6" xfId="44264"/>
    <cellStyle name="Обычный 8 6 2 6 4" xfId="44265"/>
    <cellStyle name="Обычный 8 6 2 6 4 2" xfId="44266"/>
    <cellStyle name="Обычный 8 6 2 6 4 3" xfId="44267"/>
    <cellStyle name="Обычный 8 6 2 6 5" xfId="44268"/>
    <cellStyle name="Обычный 8 6 2 6 5 2" xfId="44269"/>
    <cellStyle name="Обычный 8 6 2 6 5 3" xfId="44270"/>
    <cellStyle name="Обычный 8 6 2 6 6" xfId="44271"/>
    <cellStyle name="Обычный 8 6 2 6 6 2" xfId="44272"/>
    <cellStyle name="Обычный 8 6 2 6 7" xfId="44273"/>
    <cellStyle name="Обычный 8 6 2 6 8" xfId="44274"/>
    <cellStyle name="Обычный 8 6 2 7" xfId="44275"/>
    <cellStyle name="Обычный 8 6 2 7 2" xfId="44276"/>
    <cellStyle name="Обычный 8 6 2 7 2 2" xfId="44277"/>
    <cellStyle name="Обычный 8 6 2 7 2 2 2" xfId="44278"/>
    <cellStyle name="Обычный 8 6 2 7 2 2 3" xfId="44279"/>
    <cellStyle name="Обычный 8 6 2 7 2 3" xfId="44280"/>
    <cellStyle name="Обычный 8 6 2 7 2 3 2" xfId="44281"/>
    <cellStyle name="Обычный 8 6 2 7 2 3 3" xfId="44282"/>
    <cellStyle name="Обычный 8 6 2 7 2 4" xfId="44283"/>
    <cellStyle name="Обычный 8 6 2 7 2 4 2" xfId="44284"/>
    <cellStyle name="Обычный 8 6 2 7 2 5" xfId="44285"/>
    <cellStyle name="Обычный 8 6 2 7 2 6" xfId="44286"/>
    <cellStyle name="Обычный 8 6 2 7 3" xfId="44287"/>
    <cellStyle name="Обычный 8 6 2 7 3 2" xfId="44288"/>
    <cellStyle name="Обычный 8 6 2 7 3 3" xfId="44289"/>
    <cellStyle name="Обычный 8 6 2 7 4" xfId="44290"/>
    <cellStyle name="Обычный 8 6 2 7 4 2" xfId="44291"/>
    <cellStyle name="Обычный 8 6 2 7 4 3" xfId="44292"/>
    <cellStyle name="Обычный 8 6 2 7 5" xfId="44293"/>
    <cellStyle name="Обычный 8 6 2 7 5 2" xfId="44294"/>
    <cellStyle name="Обычный 8 6 2 7 6" xfId="44295"/>
    <cellStyle name="Обычный 8 6 2 7 7" xfId="44296"/>
    <cellStyle name="Обычный 8 6 2 8" xfId="44297"/>
    <cellStyle name="Обычный 8 6 2 8 2" xfId="44298"/>
    <cellStyle name="Обычный 8 6 2 8 2 2" xfId="44299"/>
    <cellStyle name="Обычный 8 6 2 8 2 3" xfId="44300"/>
    <cellStyle name="Обычный 8 6 2 8 3" xfId="44301"/>
    <cellStyle name="Обычный 8 6 2 8 3 2" xfId="44302"/>
    <cellStyle name="Обычный 8 6 2 8 3 3" xfId="44303"/>
    <cellStyle name="Обычный 8 6 2 8 4" xfId="44304"/>
    <cellStyle name="Обычный 8 6 2 8 4 2" xfId="44305"/>
    <cellStyle name="Обычный 8 6 2 8 5" xfId="44306"/>
    <cellStyle name="Обычный 8 6 2 8 6" xfId="44307"/>
    <cellStyle name="Обычный 8 6 2 9" xfId="44308"/>
    <cellStyle name="Обычный 8 6 2 9 2" xfId="44309"/>
    <cellStyle name="Обычный 8 6 2 9 3" xfId="44310"/>
    <cellStyle name="Обычный 8 6 3" xfId="44311"/>
    <cellStyle name="Обычный 8 6 3 10" xfId="44312"/>
    <cellStyle name="Обычный 8 6 3 2" xfId="44313"/>
    <cellStyle name="Обычный 8 6 3 2 2" xfId="44314"/>
    <cellStyle name="Обычный 8 6 3 2 2 2" xfId="44315"/>
    <cellStyle name="Обычный 8 6 3 2 2 2 2" xfId="44316"/>
    <cellStyle name="Обычный 8 6 3 2 2 2 2 2" xfId="44317"/>
    <cellStyle name="Обычный 8 6 3 2 2 2 2 2 2" xfId="44318"/>
    <cellStyle name="Обычный 8 6 3 2 2 2 2 2 3" xfId="44319"/>
    <cellStyle name="Обычный 8 6 3 2 2 2 2 3" xfId="44320"/>
    <cellStyle name="Обычный 8 6 3 2 2 2 2 3 2" xfId="44321"/>
    <cellStyle name="Обычный 8 6 3 2 2 2 2 3 3" xfId="44322"/>
    <cellStyle name="Обычный 8 6 3 2 2 2 2 4" xfId="44323"/>
    <cellStyle name="Обычный 8 6 3 2 2 2 2 4 2" xfId="44324"/>
    <cellStyle name="Обычный 8 6 3 2 2 2 2 5" xfId="44325"/>
    <cellStyle name="Обычный 8 6 3 2 2 2 2 6" xfId="44326"/>
    <cellStyle name="Обычный 8 6 3 2 2 2 3" xfId="44327"/>
    <cellStyle name="Обычный 8 6 3 2 2 2 3 2" xfId="44328"/>
    <cellStyle name="Обычный 8 6 3 2 2 2 3 3" xfId="44329"/>
    <cellStyle name="Обычный 8 6 3 2 2 2 4" xfId="44330"/>
    <cellStyle name="Обычный 8 6 3 2 2 2 4 2" xfId="44331"/>
    <cellStyle name="Обычный 8 6 3 2 2 2 4 3" xfId="44332"/>
    <cellStyle name="Обычный 8 6 3 2 2 2 5" xfId="44333"/>
    <cellStyle name="Обычный 8 6 3 2 2 2 5 2" xfId="44334"/>
    <cellStyle name="Обычный 8 6 3 2 2 2 6" xfId="44335"/>
    <cellStyle name="Обычный 8 6 3 2 2 2 7" xfId="44336"/>
    <cellStyle name="Обычный 8 6 3 2 2 3" xfId="44337"/>
    <cellStyle name="Обычный 8 6 3 2 2 3 2" xfId="44338"/>
    <cellStyle name="Обычный 8 6 3 2 2 3 2 2" xfId="44339"/>
    <cellStyle name="Обычный 8 6 3 2 2 3 2 3" xfId="44340"/>
    <cellStyle name="Обычный 8 6 3 2 2 3 3" xfId="44341"/>
    <cellStyle name="Обычный 8 6 3 2 2 3 3 2" xfId="44342"/>
    <cellStyle name="Обычный 8 6 3 2 2 3 3 3" xfId="44343"/>
    <cellStyle name="Обычный 8 6 3 2 2 3 4" xfId="44344"/>
    <cellStyle name="Обычный 8 6 3 2 2 3 4 2" xfId="44345"/>
    <cellStyle name="Обычный 8 6 3 2 2 3 5" xfId="44346"/>
    <cellStyle name="Обычный 8 6 3 2 2 3 6" xfId="44347"/>
    <cellStyle name="Обычный 8 6 3 2 2 4" xfId="44348"/>
    <cellStyle name="Обычный 8 6 3 2 2 4 2" xfId="44349"/>
    <cellStyle name="Обычный 8 6 3 2 2 4 3" xfId="44350"/>
    <cellStyle name="Обычный 8 6 3 2 2 5" xfId="44351"/>
    <cellStyle name="Обычный 8 6 3 2 2 5 2" xfId="44352"/>
    <cellStyle name="Обычный 8 6 3 2 2 5 3" xfId="44353"/>
    <cellStyle name="Обычный 8 6 3 2 2 6" xfId="44354"/>
    <cellStyle name="Обычный 8 6 3 2 2 6 2" xfId="44355"/>
    <cellStyle name="Обычный 8 6 3 2 2 7" xfId="44356"/>
    <cellStyle name="Обычный 8 6 3 2 2 8" xfId="44357"/>
    <cellStyle name="Обычный 8 6 3 2 3" xfId="44358"/>
    <cellStyle name="Обычный 8 6 3 2 3 2" xfId="44359"/>
    <cellStyle name="Обычный 8 6 3 2 3 2 2" xfId="44360"/>
    <cellStyle name="Обычный 8 6 3 2 3 2 2 2" xfId="44361"/>
    <cellStyle name="Обычный 8 6 3 2 3 2 2 3" xfId="44362"/>
    <cellStyle name="Обычный 8 6 3 2 3 2 3" xfId="44363"/>
    <cellStyle name="Обычный 8 6 3 2 3 2 3 2" xfId="44364"/>
    <cellStyle name="Обычный 8 6 3 2 3 2 3 3" xfId="44365"/>
    <cellStyle name="Обычный 8 6 3 2 3 2 4" xfId="44366"/>
    <cellStyle name="Обычный 8 6 3 2 3 2 4 2" xfId="44367"/>
    <cellStyle name="Обычный 8 6 3 2 3 2 5" xfId="44368"/>
    <cellStyle name="Обычный 8 6 3 2 3 2 6" xfId="44369"/>
    <cellStyle name="Обычный 8 6 3 2 3 3" xfId="44370"/>
    <cellStyle name="Обычный 8 6 3 2 3 3 2" xfId="44371"/>
    <cellStyle name="Обычный 8 6 3 2 3 3 3" xfId="44372"/>
    <cellStyle name="Обычный 8 6 3 2 3 4" xfId="44373"/>
    <cellStyle name="Обычный 8 6 3 2 3 4 2" xfId="44374"/>
    <cellStyle name="Обычный 8 6 3 2 3 4 3" xfId="44375"/>
    <cellStyle name="Обычный 8 6 3 2 3 5" xfId="44376"/>
    <cellStyle name="Обычный 8 6 3 2 3 5 2" xfId="44377"/>
    <cellStyle name="Обычный 8 6 3 2 3 6" xfId="44378"/>
    <cellStyle name="Обычный 8 6 3 2 3 7" xfId="44379"/>
    <cellStyle name="Обычный 8 6 3 2 4" xfId="44380"/>
    <cellStyle name="Обычный 8 6 3 2 4 2" xfId="44381"/>
    <cellStyle name="Обычный 8 6 3 2 4 2 2" xfId="44382"/>
    <cellStyle name="Обычный 8 6 3 2 4 2 3" xfId="44383"/>
    <cellStyle name="Обычный 8 6 3 2 4 3" xfId="44384"/>
    <cellStyle name="Обычный 8 6 3 2 4 3 2" xfId="44385"/>
    <cellStyle name="Обычный 8 6 3 2 4 3 3" xfId="44386"/>
    <cellStyle name="Обычный 8 6 3 2 4 4" xfId="44387"/>
    <cellStyle name="Обычный 8 6 3 2 4 4 2" xfId="44388"/>
    <cellStyle name="Обычный 8 6 3 2 4 5" xfId="44389"/>
    <cellStyle name="Обычный 8 6 3 2 4 6" xfId="44390"/>
    <cellStyle name="Обычный 8 6 3 2 5" xfId="44391"/>
    <cellStyle name="Обычный 8 6 3 2 5 2" xfId="44392"/>
    <cellStyle name="Обычный 8 6 3 2 5 3" xfId="44393"/>
    <cellStyle name="Обычный 8 6 3 2 6" xfId="44394"/>
    <cellStyle name="Обычный 8 6 3 2 6 2" xfId="44395"/>
    <cellStyle name="Обычный 8 6 3 2 6 3" xfId="44396"/>
    <cellStyle name="Обычный 8 6 3 2 7" xfId="44397"/>
    <cellStyle name="Обычный 8 6 3 2 7 2" xfId="44398"/>
    <cellStyle name="Обычный 8 6 3 2 8" xfId="44399"/>
    <cellStyle name="Обычный 8 6 3 2 9" xfId="44400"/>
    <cellStyle name="Обычный 8 6 3 3" xfId="44401"/>
    <cellStyle name="Обычный 8 6 3 3 2" xfId="44402"/>
    <cellStyle name="Обычный 8 6 3 3 2 2" xfId="44403"/>
    <cellStyle name="Обычный 8 6 3 3 2 2 2" xfId="44404"/>
    <cellStyle name="Обычный 8 6 3 3 2 2 2 2" xfId="44405"/>
    <cellStyle name="Обычный 8 6 3 3 2 2 2 3" xfId="44406"/>
    <cellStyle name="Обычный 8 6 3 3 2 2 3" xfId="44407"/>
    <cellStyle name="Обычный 8 6 3 3 2 2 3 2" xfId="44408"/>
    <cellStyle name="Обычный 8 6 3 3 2 2 3 3" xfId="44409"/>
    <cellStyle name="Обычный 8 6 3 3 2 2 4" xfId="44410"/>
    <cellStyle name="Обычный 8 6 3 3 2 2 4 2" xfId="44411"/>
    <cellStyle name="Обычный 8 6 3 3 2 2 5" xfId="44412"/>
    <cellStyle name="Обычный 8 6 3 3 2 2 6" xfId="44413"/>
    <cellStyle name="Обычный 8 6 3 3 2 3" xfId="44414"/>
    <cellStyle name="Обычный 8 6 3 3 2 3 2" xfId="44415"/>
    <cellStyle name="Обычный 8 6 3 3 2 3 3" xfId="44416"/>
    <cellStyle name="Обычный 8 6 3 3 2 4" xfId="44417"/>
    <cellStyle name="Обычный 8 6 3 3 2 4 2" xfId="44418"/>
    <cellStyle name="Обычный 8 6 3 3 2 4 3" xfId="44419"/>
    <cellStyle name="Обычный 8 6 3 3 2 5" xfId="44420"/>
    <cellStyle name="Обычный 8 6 3 3 2 5 2" xfId="44421"/>
    <cellStyle name="Обычный 8 6 3 3 2 6" xfId="44422"/>
    <cellStyle name="Обычный 8 6 3 3 2 7" xfId="44423"/>
    <cellStyle name="Обычный 8 6 3 3 3" xfId="44424"/>
    <cellStyle name="Обычный 8 6 3 3 3 2" xfId="44425"/>
    <cellStyle name="Обычный 8 6 3 3 3 2 2" xfId="44426"/>
    <cellStyle name="Обычный 8 6 3 3 3 2 3" xfId="44427"/>
    <cellStyle name="Обычный 8 6 3 3 3 3" xfId="44428"/>
    <cellStyle name="Обычный 8 6 3 3 3 3 2" xfId="44429"/>
    <cellStyle name="Обычный 8 6 3 3 3 3 3" xfId="44430"/>
    <cellStyle name="Обычный 8 6 3 3 3 4" xfId="44431"/>
    <cellStyle name="Обычный 8 6 3 3 3 4 2" xfId="44432"/>
    <cellStyle name="Обычный 8 6 3 3 3 5" xfId="44433"/>
    <cellStyle name="Обычный 8 6 3 3 3 6" xfId="44434"/>
    <cellStyle name="Обычный 8 6 3 3 4" xfId="44435"/>
    <cellStyle name="Обычный 8 6 3 3 4 2" xfId="44436"/>
    <cellStyle name="Обычный 8 6 3 3 4 3" xfId="44437"/>
    <cellStyle name="Обычный 8 6 3 3 5" xfId="44438"/>
    <cellStyle name="Обычный 8 6 3 3 5 2" xfId="44439"/>
    <cellStyle name="Обычный 8 6 3 3 5 3" xfId="44440"/>
    <cellStyle name="Обычный 8 6 3 3 6" xfId="44441"/>
    <cellStyle name="Обычный 8 6 3 3 6 2" xfId="44442"/>
    <cellStyle name="Обычный 8 6 3 3 7" xfId="44443"/>
    <cellStyle name="Обычный 8 6 3 3 8" xfId="44444"/>
    <cellStyle name="Обычный 8 6 3 4" xfId="44445"/>
    <cellStyle name="Обычный 8 6 3 4 2" xfId="44446"/>
    <cellStyle name="Обычный 8 6 3 4 2 2" xfId="44447"/>
    <cellStyle name="Обычный 8 6 3 4 2 2 2" xfId="44448"/>
    <cellStyle name="Обычный 8 6 3 4 2 2 3" xfId="44449"/>
    <cellStyle name="Обычный 8 6 3 4 2 3" xfId="44450"/>
    <cellStyle name="Обычный 8 6 3 4 2 3 2" xfId="44451"/>
    <cellStyle name="Обычный 8 6 3 4 2 3 3" xfId="44452"/>
    <cellStyle name="Обычный 8 6 3 4 2 4" xfId="44453"/>
    <cellStyle name="Обычный 8 6 3 4 2 4 2" xfId="44454"/>
    <cellStyle name="Обычный 8 6 3 4 2 5" xfId="44455"/>
    <cellStyle name="Обычный 8 6 3 4 2 6" xfId="44456"/>
    <cellStyle name="Обычный 8 6 3 4 3" xfId="44457"/>
    <cellStyle name="Обычный 8 6 3 4 3 2" xfId="44458"/>
    <cellStyle name="Обычный 8 6 3 4 3 3" xfId="44459"/>
    <cellStyle name="Обычный 8 6 3 4 4" xfId="44460"/>
    <cellStyle name="Обычный 8 6 3 4 4 2" xfId="44461"/>
    <cellStyle name="Обычный 8 6 3 4 4 3" xfId="44462"/>
    <cellStyle name="Обычный 8 6 3 4 5" xfId="44463"/>
    <cellStyle name="Обычный 8 6 3 4 5 2" xfId="44464"/>
    <cellStyle name="Обычный 8 6 3 4 6" xfId="44465"/>
    <cellStyle name="Обычный 8 6 3 4 7" xfId="44466"/>
    <cellStyle name="Обычный 8 6 3 5" xfId="44467"/>
    <cellStyle name="Обычный 8 6 3 5 2" xfId="44468"/>
    <cellStyle name="Обычный 8 6 3 5 2 2" xfId="44469"/>
    <cellStyle name="Обычный 8 6 3 5 2 3" xfId="44470"/>
    <cellStyle name="Обычный 8 6 3 5 3" xfId="44471"/>
    <cellStyle name="Обычный 8 6 3 5 3 2" xfId="44472"/>
    <cellStyle name="Обычный 8 6 3 5 3 3" xfId="44473"/>
    <cellStyle name="Обычный 8 6 3 5 4" xfId="44474"/>
    <cellStyle name="Обычный 8 6 3 5 4 2" xfId="44475"/>
    <cellStyle name="Обычный 8 6 3 5 5" xfId="44476"/>
    <cellStyle name="Обычный 8 6 3 5 6" xfId="44477"/>
    <cellStyle name="Обычный 8 6 3 6" xfId="44478"/>
    <cellStyle name="Обычный 8 6 3 6 2" xfId="44479"/>
    <cellStyle name="Обычный 8 6 3 6 3" xfId="44480"/>
    <cellStyle name="Обычный 8 6 3 7" xfId="44481"/>
    <cellStyle name="Обычный 8 6 3 7 2" xfId="44482"/>
    <cellStyle name="Обычный 8 6 3 7 3" xfId="44483"/>
    <cellStyle name="Обычный 8 6 3 8" xfId="44484"/>
    <cellStyle name="Обычный 8 6 3 8 2" xfId="44485"/>
    <cellStyle name="Обычный 8 6 3 9" xfId="44486"/>
    <cellStyle name="Обычный 8 6 4" xfId="44487"/>
    <cellStyle name="Обычный 8 6 4 10" xfId="44488"/>
    <cellStyle name="Обычный 8 6 4 2" xfId="44489"/>
    <cellStyle name="Обычный 8 6 4 2 2" xfId="44490"/>
    <cellStyle name="Обычный 8 6 4 2 2 2" xfId="44491"/>
    <cellStyle name="Обычный 8 6 4 2 2 2 2" xfId="44492"/>
    <cellStyle name="Обычный 8 6 4 2 2 2 2 2" xfId="44493"/>
    <cellStyle name="Обычный 8 6 4 2 2 2 2 2 2" xfId="44494"/>
    <cellStyle name="Обычный 8 6 4 2 2 2 2 2 3" xfId="44495"/>
    <cellStyle name="Обычный 8 6 4 2 2 2 2 3" xfId="44496"/>
    <cellStyle name="Обычный 8 6 4 2 2 2 2 3 2" xfId="44497"/>
    <cellStyle name="Обычный 8 6 4 2 2 2 2 3 3" xfId="44498"/>
    <cellStyle name="Обычный 8 6 4 2 2 2 2 4" xfId="44499"/>
    <cellStyle name="Обычный 8 6 4 2 2 2 2 4 2" xfId="44500"/>
    <cellStyle name="Обычный 8 6 4 2 2 2 2 5" xfId="44501"/>
    <cellStyle name="Обычный 8 6 4 2 2 2 2 6" xfId="44502"/>
    <cellStyle name="Обычный 8 6 4 2 2 2 3" xfId="44503"/>
    <cellStyle name="Обычный 8 6 4 2 2 2 3 2" xfId="44504"/>
    <cellStyle name="Обычный 8 6 4 2 2 2 3 3" xfId="44505"/>
    <cellStyle name="Обычный 8 6 4 2 2 2 4" xfId="44506"/>
    <cellStyle name="Обычный 8 6 4 2 2 2 4 2" xfId="44507"/>
    <cellStyle name="Обычный 8 6 4 2 2 2 4 3" xfId="44508"/>
    <cellStyle name="Обычный 8 6 4 2 2 2 5" xfId="44509"/>
    <cellStyle name="Обычный 8 6 4 2 2 2 5 2" xfId="44510"/>
    <cellStyle name="Обычный 8 6 4 2 2 2 6" xfId="44511"/>
    <cellStyle name="Обычный 8 6 4 2 2 2 7" xfId="44512"/>
    <cellStyle name="Обычный 8 6 4 2 2 3" xfId="44513"/>
    <cellStyle name="Обычный 8 6 4 2 2 3 2" xfId="44514"/>
    <cellStyle name="Обычный 8 6 4 2 2 3 2 2" xfId="44515"/>
    <cellStyle name="Обычный 8 6 4 2 2 3 2 3" xfId="44516"/>
    <cellStyle name="Обычный 8 6 4 2 2 3 3" xfId="44517"/>
    <cellStyle name="Обычный 8 6 4 2 2 3 3 2" xfId="44518"/>
    <cellStyle name="Обычный 8 6 4 2 2 3 3 3" xfId="44519"/>
    <cellStyle name="Обычный 8 6 4 2 2 3 4" xfId="44520"/>
    <cellStyle name="Обычный 8 6 4 2 2 3 4 2" xfId="44521"/>
    <cellStyle name="Обычный 8 6 4 2 2 3 5" xfId="44522"/>
    <cellStyle name="Обычный 8 6 4 2 2 3 6" xfId="44523"/>
    <cellStyle name="Обычный 8 6 4 2 2 4" xfId="44524"/>
    <cellStyle name="Обычный 8 6 4 2 2 4 2" xfId="44525"/>
    <cellStyle name="Обычный 8 6 4 2 2 4 3" xfId="44526"/>
    <cellStyle name="Обычный 8 6 4 2 2 5" xfId="44527"/>
    <cellStyle name="Обычный 8 6 4 2 2 5 2" xfId="44528"/>
    <cellStyle name="Обычный 8 6 4 2 2 5 3" xfId="44529"/>
    <cellStyle name="Обычный 8 6 4 2 2 6" xfId="44530"/>
    <cellStyle name="Обычный 8 6 4 2 2 6 2" xfId="44531"/>
    <cellStyle name="Обычный 8 6 4 2 2 7" xfId="44532"/>
    <cellStyle name="Обычный 8 6 4 2 2 8" xfId="44533"/>
    <cellStyle name="Обычный 8 6 4 2 3" xfId="44534"/>
    <cellStyle name="Обычный 8 6 4 2 3 2" xfId="44535"/>
    <cellStyle name="Обычный 8 6 4 2 3 2 2" xfId="44536"/>
    <cellStyle name="Обычный 8 6 4 2 3 2 2 2" xfId="44537"/>
    <cellStyle name="Обычный 8 6 4 2 3 2 2 3" xfId="44538"/>
    <cellStyle name="Обычный 8 6 4 2 3 2 3" xfId="44539"/>
    <cellStyle name="Обычный 8 6 4 2 3 2 3 2" xfId="44540"/>
    <cellStyle name="Обычный 8 6 4 2 3 2 3 3" xfId="44541"/>
    <cellStyle name="Обычный 8 6 4 2 3 2 4" xfId="44542"/>
    <cellStyle name="Обычный 8 6 4 2 3 2 4 2" xfId="44543"/>
    <cellStyle name="Обычный 8 6 4 2 3 2 5" xfId="44544"/>
    <cellStyle name="Обычный 8 6 4 2 3 2 6" xfId="44545"/>
    <cellStyle name="Обычный 8 6 4 2 3 3" xfId="44546"/>
    <cellStyle name="Обычный 8 6 4 2 3 3 2" xfId="44547"/>
    <cellStyle name="Обычный 8 6 4 2 3 3 3" xfId="44548"/>
    <cellStyle name="Обычный 8 6 4 2 3 4" xfId="44549"/>
    <cellStyle name="Обычный 8 6 4 2 3 4 2" xfId="44550"/>
    <cellStyle name="Обычный 8 6 4 2 3 4 3" xfId="44551"/>
    <cellStyle name="Обычный 8 6 4 2 3 5" xfId="44552"/>
    <cellStyle name="Обычный 8 6 4 2 3 5 2" xfId="44553"/>
    <cellStyle name="Обычный 8 6 4 2 3 6" xfId="44554"/>
    <cellStyle name="Обычный 8 6 4 2 3 7" xfId="44555"/>
    <cellStyle name="Обычный 8 6 4 2 4" xfId="44556"/>
    <cellStyle name="Обычный 8 6 4 2 4 2" xfId="44557"/>
    <cellStyle name="Обычный 8 6 4 2 4 2 2" xfId="44558"/>
    <cellStyle name="Обычный 8 6 4 2 4 2 3" xfId="44559"/>
    <cellStyle name="Обычный 8 6 4 2 4 3" xfId="44560"/>
    <cellStyle name="Обычный 8 6 4 2 4 3 2" xfId="44561"/>
    <cellStyle name="Обычный 8 6 4 2 4 3 3" xfId="44562"/>
    <cellStyle name="Обычный 8 6 4 2 4 4" xfId="44563"/>
    <cellStyle name="Обычный 8 6 4 2 4 4 2" xfId="44564"/>
    <cellStyle name="Обычный 8 6 4 2 4 5" xfId="44565"/>
    <cellStyle name="Обычный 8 6 4 2 4 6" xfId="44566"/>
    <cellStyle name="Обычный 8 6 4 2 5" xfId="44567"/>
    <cellStyle name="Обычный 8 6 4 2 5 2" xfId="44568"/>
    <cellStyle name="Обычный 8 6 4 2 5 3" xfId="44569"/>
    <cellStyle name="Обычный 8 6 4 2 6" xfId="44570"/>
    <cellStyle name="Обычный 8 6 4 2 6 2" xfId="44571"/>
    <cellStyle name="Обычный 8 6 4 2 6 3" xfId="44572"/>
    <cellStyle name="Обычный 8 6 4 2 7" xfId="44573"/>
    <cellStyle name="Обычный 8 6 4 2 7 2" xfId="44574"/>
    <cellStyle name="Обычный 8 6 4 2 8" xfId="44575"/>
    <cellStyle name="Обычный 8 6 4 2 9" xfId="44576"/>
    <cellStyle name="Обычный 8 6 4 3" xfId="44577"/>
    <cellStyle name="Обычный 8 6 4 3 2" xfId="44578"/>
    <cellStyle name="Обычный 8 6 4 3 2 2" xfId="44579"/>
    <cellStyle name="Обычный 8 6 4 3 2 2 2" xfId="44580"/>
    <cellStyle name="Обычный 8 6 4 3 2 2 2 2" xfId="44581"/>
    <cellStyle name="Обычный 8 6 4 3 2 2 2 3" xfId="44582"/>
    <cellStyle name="Обычный 8 6 4 3 2 2 3" xfId="44583"/>
    <cellStyle name="Обычный 8 6 4 3 2 2 3 2" xfId="44584"/>
    <cellStyle name="Обычный 8 6 4 3 2 2 3 3" xfId="44585"/>
    <cellStyle name="Обычный 8 6 4 3 2 2 4" xfId="44586"/>
    <cellStyle name="Обычный 8 6 4 3 2 2 4 2" xfId="44587"/>
    <cellStyle name="Обычный 8 6 4 3 2 2 5" xfId="44588"/>
    <cellStyle name="Обычный 8 6 4 3 2 2 6" xfId="44589"/>
    <cellStyle name="Обычный 8 6 4 3 2 3" xfId="44590"/>
    <cellStyle name="Обычный 8 6 4 3 2 3 2" xfId="44591"/>
    <cellStyle name="Обычный 8 6 4 3 2 3 3" xfId="44592"/>
    <cellStyle name="Обычный 8 6 4 3 2 4" xfId="44593"/>
    <cellStyle name="Обычный 8 6 4 3 2 4 2" xfId="44594"/>
    <cellStyle name="Обычный 8 6 4 3 2 4 3" xfId="44595"/>
    <cellStyle name="Обычный 8 6 4 3 2 5" xfId="44596"/>
    <cellStyle name="Обычный 8 6 4 3 2 5 2" xfId="44597"/>
    <cellStyle name="Обычный 8 6 4 3 2 6" xfId="44598"/>
    <cellStyle name="Обычный 8 6 4 3 2 7" xfId="44599"/>
    <cellStyle name="Обычный 8 6 4 3 3" xfId="44600"/>
    <cellStyle name="Обычный 8 6 4 3 3 2" xfId="44601"/>
    <cellStyle name="Обычный 8 6 4 3 3 2 2" xfId="44602"/>
    <cellStyle name="Обычный 8 6 4 3 3 2 3" xfId="44603"/>
    <cellStyle name="Обычный 8 6 4 3 3 3" xfId="44604"/>
    <cellStyle name="Обычный 8 6 4 3 3 3 2" xfId="44605"/>
    <cellStyle name="Обычный 8 6 4 3 3 3 3" xfId="44606"/>
    <cellStyle name="Обычный 8 6 4 3 3 4" xfId="44607"/>
    <cellStyle name="Обычный 8 6 4 3 3 4 2" xfId="44608"/>
    <cellStyle name="Обычный 8 6 4 3 3 5" xfId="44609"/>
    <cellStyle name="Обычный 8 6 4 3 3 6" xfId="44610"/>
    <cellStyle name="Обычный 8 6 4 3 4" xfId="44611"/>
    <cellStyle name="Обычный 8 6 4 3 4 2" xfId="44612"/>
    <cellStyle name="Обычный 8 6 4 3 4 3" xfId="44613"/>
    <cellStyle name="Обычный 8 6 4 3 5" xfId="44614"/>
    <cellStyle name="Обычный 8 6 4 3 5 2" xfId="44615"/>
    <cellStyle name="Обычный 8 6 4 3 5 3" xfId="44616"/>
    <cellStyle name="Обычный 8 6 4 3 6" xfId="44617"/>
    <cellStyle name="Обычный 8 6 4 3 6 2" xfId="44618"/>
    <cellStyle name="Обычный 8 6 4 3 7" xfId="44619"/>
    <cellStyle name="Обычный 8 6 4 3 8" xfId="44620"/>
    <cellStyle name="Обычный 8 6 4 4" xfId="44621"/>
    <cellStyle name="Обычный 8 6 4 4 2" xfId="44622"/>
    <cellStyle name="Обычный 8 6 4 4 2 2" xfId="44623"/>
    <cellStyle name="Обычный 8 6 4 4 2 2 2" xfId="44624"/>
    <cellStyle name="Обычный 8 6 4 4 2 2 3" xfId="44625"/>
    <cellStyle name="Обычный 8 6 4 4 2 3" xfId="44626"/>
    <cellStyle name="Обычный 8 6 4 4 2 3 2" xfId="44627"/>
    <cellStyle name="Обычный 8 6 4 4 2 3 3" xfId="44628"/>
    <cellStyle name="Обычный 8 6 4 4 2 4" xfId="44629"/>
    <cellStyle name="Обычный 8 6 4 4 2 4 2" xfId="44630"/>
    <cellStyle name="Обычный 8 6 4 4 2 5" xfId="44631"/>
    <cellStyle name="Обычный 8 6 4 4 2 6" xfId="44632"/>
    <cellStyle name="Обычный 8 6 4 4 3" xfId="44633"/>
    <cellStyle name="Обычный 8 6 4 4 3 2" xfId="44634"/>
    <cellStyle name="Обычный 8 6 4 4 3 3" xfId="44635"/>
    <cellStyle name="Обычный 8 6 4 4 4" xfId="44636"/>
    <cellStyle name="Обычный 8 6 4 4 4 2" xfId="44637"/>
    <cellStyle name="Обычный 8 6 4 4 4 3" xfId="44638"/>
    <cellStyle name="Обычный 8 6 4 4 5" xfId="44639"/>
    <cellStyle name="Обычный 8 6 4 4 5 2" xfId="44640"/>
    <cellStyle name="Обычный 8 6 4 4 6" xfId="44641"/>
    <cellStyle name="Обычный 8 6 4 4 7" xfId="44642"/>
    <cellStyle name="Обычный 8 6 4 5" xfId="44643"/>
    <cellStyle name="Обычный 8 6 4 5 2" xfId="44644"/>
    <cellStyle name="Обычный 8 6 4 5 2 2" xfId="44645"/>
    <cellStyle name="Обычный 8 6 4 5 2 3" xfId="44646"/>
    <cellStyle name="Обычный 8 6 4 5 3" xfId="44647"/>
    <cellStyle name="Обычный 8 6 4 5 3 2" xfId="44648"/>
    <cellStyle name="Обычный 8 6 4 5 3 3" xfId="44649"/>
    <cellStyle name="Обычный 8 6 4 5 4" xfId="44650"/>
    <cellStyle name="Обычный 8 6 4 5 4 2" xfId="44651"/>
    <cellStyle name="Обычный 8 6 4 5 5" xfId="44652"/>
    <cellStyle name="Обычный 8 6 4 5 6" xfId="44653"/>
    <cellStyle name="Обычный 8 6 4 6" xfId="44654"/>
    <cellStyle name="Обычный 8 6 4 6 2" xfId="44655"/>
    <cellStyle name="Обычный 8 6 4 6 3" xfId="44656"/>
    <cellStyle name="Обычный 8 6 4 7" xfId="44657"/>
    <cellStyle name="Обычный 8 6 4 7 2" xfId="44658"/>
    <cellStyle name="Обычный 8 6 4 7 3" xfId="44659"/>
    <cellStyle name="Обычный 8 6 4 8" xfId="44660"/>
    <cellStyle name="Обычный 8 6 4 8 2" xfId="44661"/>
    <cellStyle name="Обычный 8 6 4 9" xfId="44662"/>
    <cellStyle name="Обычный 8 6 5" xfId="44663"/>
    <cellStyle name="Обычный 8 6 5 10" xfId="44664"/>
    <cellStyle name="Обычный 8 6 5 2" xfId="44665"/>
    <cellStyle name="Обычный 8 6 5 2 2" xfId="44666"/>
    <cellStyle name="Обычный 8 6 5 2 2 2" xfId="44667"/>
    <cellStyle name="Обычный 8 6 5 2 2 2 2" xfId="44668"/>
    <cellStyle name="Обычный 8 6 5 2 2 2 2 2" xfId="44669"/>
    <cellStyle name="Обычный 8 6 5 2 2 2 2 2 2" xfId="44670"/>
    <cellStyle name="Обычный 8 6 5 2 2 2 2 2 3" xfId="44671"/>
    <cellStyle name="Обычный 8 6 5 2 2 2 2 3" xfId="44672"/>
    <cellStyle name="Обычный 8 6 5 2 2 2 2 3 2" xfId="44673"/>
    <cellStyle name="Обычный 8 6 5 2 2 2 2 3 3" xfId="44674"/>
    <cellStyle name="Обычный 8 6 5 2 2 2 2 4" xfId="44675"/>
    <cellStyle name="Обычный 8 6 5 2 2 2 2 4 2" xfId="44676"/>
    <cellStyle name="Обычный 8 6 5 2 2 2 2 5" xfId="44677"/>
    <cellStyle name="Обычный 8 6 5 2 2 2 2 6" xfId="44678"/>
    <cellStyle name="Обычный 8 6 5 2 2 2 3" xfId="44679"/>
    <cellStyle name="Обычный 8 6 5 2 2 2 3 2" xfId="44680"/>
    <cellStyle name="Обычный 8 6 5 2 2 2 3 3" xfId="44681"/>
    <cellStyle name="Обычный 8 6 5 2 2 2 4" xfId="44682"/>
    <cellStyle name="Обычный 8 6 5 2 2 2 4 2" xfId="44683"/>
    <cellStyle name="Обычный 8 6 5 2 2 2 4 3" xfId="44684"/>
    <cellStyle name="Обычный 8 6 5 2 2 2 5" xfId="44685"/>
    <cellStyle name="Обычный 8 6 5 2 2 2 5 2" xfId="44686"/>
    <cellStyle name="Обычный 8 6 5 2 2 2 6" xfId="44687"/>
    <cellStyle name="Обычный 8 6 5 2 2 2 7" xfId="44688"/>
    <cellStyle name="Обычный 8 6 5 2 2 3" xfId="44689"/>
    <cellStyle name="Обычный 8 6 5 2 2 3 2" xfId="44690"/>
    <cellStyle name="Обычный 8 6 5 2 2 3 2 2" xfId="44691"/>
    <cellStyle name="Обычный 8 6 5 2 2 3 2 3" xfId="44692"/>
    <cellStyle name="Обычный 8 6 5 2 2 3 3" xfId="44693"/>
    <cellStyle name="Обычный 8 6 5 2 2 3 3 2" xfId="44694"/>
    <cellStyle name="Обычный 8 6 5 2 2 3 3 3" xfId="44695"/>
    <cellStyle name="Обычный 8 6 5 2 2 3 4" xfId="44696"/>
    <cellStyle name="Обычный 8 6 5 2 2 3 4 2" xfId="44697"/>
    <cellStyle name="Обычный 8 6 5 2 2 3 5" xfId="44698"/>
    <cellStyle name="Обычный 8 6 5 2 2 3 6" xfId="44699"/>
    <cellStyle name="Обычный 8 6 5 2 2 4" xfId="44700"/>
    <cellStyle name="Обычный 8 6 5 2 2 4 2" xfId="44701"/>
    <cellStyle name="Обычный 8 6 5 2 2 4 3" xfId="44702"/>
    <cellStyle name="Обычный 8 6 5 2 2 5" xfId="44703"/>
    <cellStyle name="Обычный 8 6 5 2 2 5 2" xfId="44704"/>
    <cellStyle name="Обычный 8 6 5 2 2 5 3" xfId="44705"/>
    <cellStyle name="Обычный 8 6 5 2 2 6" xfId="44706"/>
    <cellStyle name="Обычный 8 6 5 2 2 6 2" xfId="44707"/>
    <cellStyle name="Обычный 8 6 5 2 2 7" xfId="44708"/>
    <cellStyle name="Обычный 8 6 5 2 2 8" xfId="44709"/>
    <cellStyle name="Обычный 8 6 5 2 3" xfId="44710"/>
    <cellStyle name="Обычный 8 6 5 2 3 2" xfId="44711"/>
    <cellStyle name="Обычный 8 6 5 2 3 2 2" xfId="44712"/>
    <cellStyle name="Обычный 8 6 5 2 3 2 2 2" xfId="44713"/>
    <cellStyle name="Обычный 8 6 5 2 3 2 2 3" xfId="44714"/>
    <cellStyle name="Обычный 8 6 5 2 3 2 3" xfId="44715"/>
    <cellStyle name="Обычный 8 6 5 2 3 2 3 2" xfId="44716"/>
    <cellStyle name="Обычный 8 6 5 2 3 2 3 3" xfId="44717"/>
    <cellStyle name="Обычный 8 6 5 2 3 2 4" xfId="44718"/>
    <cellStyle name="Обычный 8 6 5 2 3 2 4 2" xfId="44719"/>
    <cellStyle name="Обычный 8 6 5 2 3 2 5" xfId="44720"/>
    <cellStyle name="Обычный 8 6 5 2 3 2 6" xfId="44721"/>
    <cellStyle name="Обычный 8 6 5 2 3 3" xfId="44722"/>
    <cellStyle name="Обычный 8 6 5 2 3 3 2" xfId="44723"/>
    <cellStyle name="Обычный 8 6 5 2 3 3 3" xfId="44724"/>
    <cellStyle name="Обычный 8 6 5 2 3 4" xfId="44725"/>
    <cellStyle name="Обычный 8 6 5 2 3 4 2" xfId="44726"/>
    <cellStyle name="Обычный 8 6 5 2 3 4 3" xfId="44727"/>
    <cellStyle name="Обычный 8 6 5 2 3 5" xfId="44728"/>
    <cellStyle name="Обычный 8 6 5 2 3 5 2" xfId="44729"/>
    <cellStyle name="Обычный 8 6 5 2 3 6" xfId="44730"/>
    <cellStyle name="Обычный 8 6 5 2 3 7" xfId="44731"/>
    <cellStyle name="Обычный 8 6 5 2 4" xfId="44732"/>
    <cellStyle name="Обычный 8 6 5 2 4 2" xfId="44733"/>
    <cellStyle name="Обычный 8 6 5 2 4 2 2" xfId="44734"/>
    <cellStyle name="Обычный 8 6 5 2 4 2 3" xfId="44735"/>
    <cellStyle name="Обычный 8 6 5 2 4 3" xfId="44736"/>
    <cellStyle name="Обычный 8 6 5 2 4 3 2" xfId="44737"/>
    <cellStyle name="Обычный 8 6 5 2 4 3 3" xfId="44738"/>
    <cellStyle name="Обычный 8 6 5 2 4 4" xfId="44739"/>
    <cellStyle name="Обычный 8 6 5 2 4 4 2" xfId="44740"/>
    <cellStyle name="Обычный 8 6 5 2 4 5" xfId="44741"/>
    <cellStyle name="Обычный 8 6 5 2 4 6" xfId="44742"/>
    <cellStyle name="Обычный 8 6 5 2 5" xfId="44743"/>
    <cellStyle name="Обычный 8 6 5 2 5 2" xfId="44744"/>
    <cellStyle name="Обычный 8 6 5 2 5 3" xfId="44745"/>
    <cellStyle name="Обычный 8 6 5 2 6" xfId="44746"/>
    <cellStyle name="Обычный 8 6 5 2 6 2" xfId="44747"/>
    <cellStyle name="Обычный 8 6 5 2 6 3" xfId="44748"/>
    <cellStyle name="Обычный 8 6 5 2 7" xfId="44749"/>
    <cellStyle name="Обычный 8 6 5 2 7 2" xfId="44750"/>
    <cellStyle name="Обычный 8 6 5 2 8" xfId="44751"/>
    <cellStyle name="Обычный 8 6 5 2 9" xfId="44752"/>
    <cellStyle name="Обычный 8 6 5 3" xfId="44753"/>
    <cellStyle name="Обычный 8 6 5 3 2" xfId="44754"/>
    <cellStyle name="Обычный 8 6 5 3 2 2" xfId="44755"/>
    <cellStyle name="Обычный 8 6 5 3 2 2 2" xfId="44756"/>
    <cellStyle name="Обычный 8 6 5 3 2 2 2 2" xfId="44757"/>
    <cellStyle name="Обычный 8 6 5 3 2 2 2 3" xfId="44758"/>
    <cellStyle name="Обычный 8 6 5 3 2 2 3" xfId="44759"/>
    <cellStyle name="Обычный 8 6 5 3 2 2 3 2" xfId="44760"/>
    <cellStyle name="Обычный 8 6 5 3 2 2 3 3" xfId="44761"/>
    <cellStyle name="Обычный 8 6 5 3 2 2 4" xfId="44762"/>
    <cellStyle name="Обычный 8 6 5 3 2 2 4 2" xfId="44763"/>
    <cellStyle name="Обычный 8 6 5 3 2 2 5" xfId="44764"/>
    <cellStyle name="Обычный 8 6 5 3 2 2 6" xfId="44765"/>
    <cellStyle name="Обычный 8 6 5 3 2 3" xfId="44766"/>
    <cellStyle name="Обычный 8 6 5 3 2 3 2" xfId="44767"/>
    <cellStyle name="Обычный 8 6 5 3 2 3 3" xfId="44768"/>
    <cellStyle name="Обычный 8 6 5 3 2 4" xfId="44769"/>
    <cellStyle name="Обычный 8 6 5 3 2 4 2" xfId="44770"/>
    <cellStyle name="Обычный 8 6 5 3 2 4 3" xfId="44771"/>
    <cellStyle name="Обычный 8 6 5 3 2 5" xfId="44772"/>
    <cellStyle name="Обычный 8 6 5 3 2 5 2" xfId="44773"/>
    <cellStyle name="Обычный 8 6 5 3 2 6" xfId="44774"/>
    <cellStyle name="Обычный 8 6 5 3 2 7" xfId="44775"/>
    <cellStyle name="Обычный 8 6 5 3 3" xfId="44776"/>
    <cellStyle name="Обычный 8 6 5 3 3 2" xfId="44777"/>
    <cellStyle name="Обычный 8 6 5 3 3 2 2" xfId="44778"/>
    <cellStyle name="Обычный 8 6 5 3 3 2 3" xfId="44779"/>
    <cellStyle name="Обычный 8 6 5 3 3 3" xfId="44780"/>
    <cellStyle name="Обычный 8 6 5 3 3 3 2" xfId="44781"/>
    <cellStyle name="Обычный 8 6 5 3 3 3 3" xfId="44782"/>
    <cellStyle name="Обычный 8 6 5 3 3 4" xfId="44783"/>
    <cellStyle name="Обычный 8 6 5 3 3 4 2" xfId="44784"/>
    <cellStyle name="Обычный 8 6 5 3 3 5" xfId="44785"/>
    <cellStyle name="Обычный 8 6 5 3 3 6" xfId="44786"/>
    <cellStyle name="Обычный 8 6 5 3 4" xfId="44787"/>
    <cellStyle name="Обычный 8 6 5 3 4 2" xfId="44788"/>
    <cellStyle name="Обычный 8 6 5 3 4 3" xfId="44789"/>
    <cellStyle name="Обычный 8 6 5 3 5" xfId="44790"/>
    <cellStyle name="Обычный 8 6 5 3 5 2" xfId="44791"/>
    <cellStyle name="Обычный 8 6 5 3 5 3" xfId="44792"/>
    <cellStyle name="Обычный 8 6 5 3 6" xfId="44793"/>
    <cellStyle name="Обычный 8 6 5 3 6 2" xfId="44794"/>
    <cellStyle name="Обычный 8 6 5 3 7" xfId="44795"/>
    <cellStyle name="Обычный 8 6 5 3 8" xfId="44796"/>
    <cellStyle name="Обычный 8 6 5 4" xfId="44797"/>
    <cellStyle name="Обычный 8 6 5 4 2" xfId="44798"/>
    <cellStyle name="Обычный 8 6 5 4 2 2" xfId="44799"/>
    <cellStyle name="Обычный 8 6 5 4 2 2 2" xfId="44800"/>
    <cellStyle name="Обычный 8 6 5 4 2 2 3" xfId="44801"/>
    <cellStyle name="Обычный 8 6 5 4 2 3" xfId="44802"/>
    <cellStyle name="Обычный 8 6 5 4 2 3 2" xfId="44803"/>
    <cellStyle name="Обычный 8 6 5 4 2 3 3" xfId="44804"/>
    <cellStyle name="Обычный 8 6 5 4 2 4" xfId="44805"/>
    <cellStyle name="Обычный 8 6 5 4 2 4 2" xfId="44806"/>
    <cellStyle name="Обычный 8 6 5 4 2 5" xfId="44807"/>
    <cellStyle name="Обычный 8 6 5 4 2 6" xfId="44808"/>
    <cellStyle name="Обычный 8 6 5 4 3" xfId="44809"/>
    <cellStyle name="Обычный 8 6 5 4 3 2" xfId="44810"/>
    <cellStyle name="Обычный 8 6 5 4 3 3" xfId="44811"/>
    <cellStyle name="Обычный 8 6 5 4 4" xfId="44812"/>
    <cellStyle name="Обычный 8 6 5 4 4 2" xfId="44813"/>
    <cellStyle name="Обычный 8 6 5 4 4 3" xfId="44814"/>
    <cellStyle name="Обычный 8 6 5 4 5" xfId="44815"/>
    <cellStyle name="Обычный 8 6 5 4 5 2" xfId="44816"/>
    <cellStyle name="Обычный 8 6 5 4 6" xfId="44817"/>
    <cellStyle name="Обычный 8 6 5 4 7" xfId="44818"/>
    <cellStyle name="Обычный 8 6 5 5" xfId="44819"/>
    <cellStyle name="Обычный 8 6 5 5 2" xfId="44820"/>
    <cellStyle name="Обычный 8 6 5 5 2 2" xfId="44821"/>
    <cellStyle name="Обычный 8 6 5 5 2 3" xfId="44822"/>
    <cellStyle name="Обычный 8 6 5 5 3" xfId="44823"/>
    <cellStyle name="Обычный 8 6 5 5 3 2" xfId="44824"/>
    <cellStyle name="Обычный 8 6 5 5 3 3" xfId="44825"/>
    <cellStyle name="Обычный 8 6 5 5 4" xfId="44826"/>
    <cellStyle name="Обычный 8 6 5 5 4 2" xfId="44827"/>
    <cellStyle name="Обычный 8 6 5 5 5" xfId="44828"/>
    <cellStyle name="Обычный 8 6 5 5 6" xfId="44829"/>
    <cellStyle name="Обычный 8 6 5 6" xfId="44830"/>
    <cellStyle name="Обычный 8 6 5 6 2" xfId="44831"/>
    <cellStyle name="Обычный 8 6 5 6 3" xfId="44832"/>
    <cellStyle name="Обычный 8 6 5 7" xfId="44833"/>
    <cellStyle name="Обычный 8 6 5 7 2" xfId="44834"/>
    <cellStyle name="Обычный 8 6 5 7 3" xfId="44835"/>
    <cellStyle name="Обычный 8 6 5 8" xfId="44836"/>
    <cellStyle name="Обычный 8 6 5 8 2" xfId="44837"/>
    <cellStyle name="Обычный 8 6 5 9" xfId="44838"/>
    <cellStyle name="Обычный 8 6 6" xfId="44839"/>
    <cellStyle name="Обычный 8 6 6 2" xfId="44840"/>
    <cellStyle name="Обычный 8 6 6 2 2" xfId="44841"/>
    <cellStyle name="Обычный 8 6 6 2 2 2" xfId="44842"/>
    <cellStyle name="Обычный 8 6 6 2 2 2 2" xfId="44843"/>
    <cellStyle name="Обычный 8 6 6 2 2 2 2 2" xfId="44844"/>
    <cellStyle name="Обычный 8 6 6 2 2 2 2 3" xfId="44845"/>
    <cellStyle name="Обычный 8 6 6 2 2 2 3" xfId="44846"/>
    <cellStyle name="Обычный 8 6 6 2 2 2 3 2" xfId="44847"/>
    <cellStyle name="Обычный 8 6 6 2 2 2 3 3" xfId="44848"/>
    <cellStyle name="Обычный 8 6 6 2 2 2 4" xfId="44849"/>
    <cellStyle name="Обычный 8 6 6 2 2 2 4 2" xfId="44850"/>
    <cellStyle name="Обычный 8 6 6 2 2 2 5" xfId="44851"/>
    <cellStyle name="Обычный 8 6 6 2 2 2 6" xfId="44852"/>
    <cellStyle name="Обычный 8 6 6 2 2 3" xfId="44853"/>
    <cellStyle name="Обычный 8 6 6 2 2 3 2" xfId="44854"/>
    <cellStyle name="Обычный 8 6 6 2 2 3 3" xfId="44855"/>
    <cellStyle name="Обычный 8 6 6 2 2 4" xfId="44856"/>
    <cellStyle name="Обычный 8 6 6 2 2 4 2" xfId="44857"/>
    <cellStyle name="Обычный 8 6 6 2 2 4 3" xfId="44858"/>
    <cellStyle name="Обычный 8 6 6 2 2 5" xfId="44859"/>
    <cellStyle name="Обычный 8 6 6 2 2 5 2" xfId="44860"/>
    <cellStyle name="Обычный 8 6 6 2 2 6" xfId="44861"/>
    <cellStyle name="Обычный 8 6 6 2 2 7" xfId="44862"/>
    <cellStyle name="Обычный 8 6 6 2 3" xfId="44863"/>
    <cellStyle name="Обычный 8 6 6 2 3 2" xfId="44864"/>
    <cellStyle name="Обычный 8 6 6 2 3 2 2" xfId="44865"/>
    <cellStyle name="Обычный 8 6 6 2 3 2 3" xfId="44866"/>
    <cellStyle name="Обычный 8 6 6 2 3 3" xfId="44867"/>
    <cellStyle name="Обычный 8 6 6 2 3 3 2" xfId="44868"/>
    <cellStyle name="Обычный 8 6 6 2 3 3 3" xfId="44869"/>
    <cellStyle name="Обычный 8 6 6 2 3 4" xfId="44870"/>
    <cellStyle name="Обычный 8 6 6 2 3 4 2" xfId="44871"/>
    <cellStyle name="Обычный 8 6 6 2 3 5" xfId="44872"/>
    <cellStyle name="Обычный 8 6 6 2 3 6" xfId="44873"/>
    <cellStyle name="Обычный 8 6 6 2 4" xfId="44874"/>
    <cellStyle name="Обычный 8 6 6 2 4 2" xfId="44875"/>
    <cellStyle name="Обычный 8 6 6 2 4 3" xfId="44876"/>
    <cellStyle name="Обычный 8 6 6 2 5" xfId="44877"/>
    <cellStyle name="Обычный 8 6 6 2 5 2" xfId="44878"/>
    <cellStyle name="Обычный 8 6 6 2 5 3" xfId="44879"/>
    <cellStyle name="Обычный 8 6 6 2 6" xfId="44880"/>
    <cellStyle name="Обычный 8 6 6 2 6 2" xfId="44881"/>
    <cellStyle name="Обычный 8 6 6 2 7" xfId="44882"/>
    <cellStyle name="Обычный 8 6 6 2 8" xfId="44883"/>
    <cellStyle name="Обычный 8 6 6 3" xfId="44884"/>
    <cellStyle name="Обычный 8 6 6 3 2" xfId="44885"/>
    <cellStyle name="Обычный 8 6 6 3 2 2" xfId="44886"/>
    <cellStyle name="Обычный 8 6 6 3 2 2 2" xfId="44887"/>
    <cellStyle name="Обычный 8 6 6 3 2 2 3" xfId="44888"/>
    <cellStyle name="Обычный 8 6 6 3 2 3" xfId="44889"/>
    <cellStyle name="Обычный 8 6 6 3 2 3 2" xfId="44890"/>
    <cellStyle name="Обычный 8 6 6 3 2 3 3" xfId="44891"/>
    <cellStyle name="Обычный 8 6 6 3 2 4" xfId="44892"/>
    <cellStyle name="Обычный 8 6 6 3 2 4 2" xfId="44893"/>
    <cellStyle name="Обычный 8 6 6 3 2 5" xfId="44894"/>
    <cellStyle name="Обычный 8 6 6 3 2 6" xfId="44895"/>
    <cellStyle name="Обычный 8 6 6 3 3" xfId="44896"/>
    <cellStyle name="Обычный 8 6 6 3 3 2" xfId="44897"/>
    <cellStyle name="Обычный 8 6 6 3 3 3" xfId="44898"/>
    <cellStyle name="Обычный 8 6 6 3 4" xfId="44899"/>
    <cellStyle name="Обычный 8 6 6 3 4 2" xfId="44900"/>
    <cellStyle name="Обычный 8 6 6 3 4 3" xfId="44901"/>
    <cellStyle name="Обычный 8 6 6 3 5" xfId="44902"/>
    <cellStyle name="Обычный 8 6 6 3 5 2" xfId="44903"/>
    <cellStyle name="Обычный 8 6 6 3 6" xfId="44904"/>
    <cellStyle name="Обычный 8 6 6 3 7" xfId="44905"/>
    <cellStyle name="Обычный 8 6 6 4" xfId="44906"/>
    <cellStyle name="Обычный 8 6 6 4 2" xfId="44907"/>
    <cellStyle name="Обычный 8 6 6 4 2 2" xfId="44908"/>
    <cellStyle name="Обычный 8 6 6 4 2 3" xfId="44909"/>
    <cellStyle name="Обычный 8 6 6 4 3" xfId="44910"/>
    <cellStyle name="Обычный 8 6 6 4 3 2" xfId="44911"/>
    <cellStyle name="Обычный 8 6 6 4 3 3" xfId="44912"/>
    <cellStyle name="Обычный 8 6 6 4 4" xfId="44913"/>
    <cellStyle name="Обычный 8 6 6 4 4 2" xfId="44914"/>
    <cellStyle name="Обычный 8 6 6 4 5" xfId="44915"/>
    <cellStyle name="Обычный 8 6 6 4 6" xfId="44916"/>
    <cellStyle name="Обычный 8 6 6 5" xfId="44917"/>
    <cellStyle name="Обычный 8 6 6 5 2" xfId="44918"/>
    <cellStyle name="Обычный 8 6 6 5 3" xfId="44919"/>
    <cellStyle name="Обычный 8 6 6 6" xfId="44920"/>
    <cellStyle name="Обычный 8 6 6 6 2" xfId="44921"/>
    <cellStyle name="Обычный 8 6 6 6 3" xfId="44922"/>
    <cellStyle name="Обычный 8 6 6 7" xfId="44923"/>
    <cellStyle name="Обычный 8 6 6 7 2" xfId="44924"/>
    <cellStyle name="Обычный 8 6 6 8" xfId="44925"/>
    <cellStyle name="Обычный 8 6 6 9" xfId="44926"/>
    <cellStyle name="Обычный 8 6 7" xfId="44927"/>
    <cellStyle name="Обычный 8 6 7 2" xfId="44928"/>
    <cellStyle name="Обычный 8 6 7 2 2" xfId="44929"/>
    <cellStyle name="Обычный 8 6 7 2 2 2" xfId="44930"/>
    <cellStyle name="Обычный 8 6 7 2 2 2 2" xfId="44931"/>
    <cellStyle name="Обычный 8 6 7 2 2 2 3" xfId="44932"/>
    <cellStyle name="Обычный 8 6 7 2 2 3" xfId="44933"/>
    <cellStyle name="Обычный 8 6 7 2 2 3 2" xfId="44934"/>
    <cellStyle name="Обычный 8 6 7 2 2 3 3" xfId="44935"/>
    <cellStyle name="Обычный 8 6 7 2 2 4" xfId="44936"/>
    <cellStyle name="Обычный 8 6 7 2 2 4 2" xfId="44937"/>
    <cellStyle name="Обычный 8 6 7 2 2 5" xfId="44938"/>
    <cellStyle name="Обычный 8 6 7 2 2 6" xfId="44939"/>
    <cellStyle name="Обычный 8 6 7 2 3" xfId="44940"/>
    <cellStyle name="Обычный 8 6 7 2 3 2" xfId="44941"/>
    <cellStyle name="Обычный 8 6 7 2 3 3" xfId="44942"/>
    <cellStyle name="Обычный 8 6 7 2 4" xfId="44943"/>
    <cellStyle name="Обычный 8 6 7 2 4 2" xfId="44944"/>
    <cellStyle name="Обычный 8 6 7 2 4 3" xfId="44945"/>
    <cellStyle name="Обычный 8 6 7 2 5" xfId="44946"/>
    <cellStyle name="Обычный 8 6 7 2 5 2" xfId="44947"/>
    <cellStyle name="Обычный 8 6 7 2 6" xfId="44948"/>
    <cellStyle name="Обычный 8 6 7 2 7" xfId="44949"/>
    <cellStyle name="Обычный 8 6 7 3" xfId="44950"/>
    <cellStyle name="Обычный 8 6 7 3 2" xfId="44951"/>
    <cellStyle name="Обычный 8 6 7 3 2 2" xfId="44952"/>
    <cellStyle name="Обычный 8 6 7 3 2 3" xfId="44953"/>
    <cellStyle name="Обычный 8 6 7 3 3" xfId="44954"/>
    <cellStyle name="Обычный 8 6 7 3 3 2" xfId="44955"/>
    <cellStyle name="Обычный 8 6 7 3 3 3" xfId="44956"/>
    <cellStyle name="Обычный 8 6 7 3 4" xfId="44957"/>
    <cellStyle name="Обычный 8 6 7 3 4 2" xfId="44958"/>
    <cellStyle name="Обычный 8 6 7 3 5" xfId="44959"/>
    <cellStyle name="Обычный 8 6 7 3 6" xfId="44960"/>
    <cellStyle name="Обычный 8 6 7 4" xfId="44961"/>
    <cellStyle name="Обычный 8 6 7 4 2" xfId="44962"/>
    <cellStyle name="Обычный 8 6 7 4 3" xfId="44963"/>
    <cellStyle name="Обычный 8 6 7 5" xfId="44964"/>
    <cellStyle name="Обычный 8 6 7 5 2" xfId="44965"/>
    <cellStyle name="Обычный 8 6 7 5 3" xfId="44966"/>
    <cellStyle name="Обычный 8 6 7 6" xfId="44967"/>
    <cellStyle name="Обычный 8 6 7 6 2" xfId="44968"/>
    <cellStyle name="Обычный 8 6 7 7" xfId="44969"/>
    <cellStyle name="Обычный 8 6 7 8" xfId="44970"/>
    <cellStyle name="Обычный 8 6 8" xfId="44971"/>
    <cellStyle name="Обычный 8 6 8 2" xfId="44972"/>
    <cellStyle name="Обычный 8 6 8 2 2" xfId="44973"/>
    <cellStyle name="Обычный 8 6 8 2 2 2" xfId="44974"/>
    <cellStyle name="Обычный 8 6 8 2 2 3" xfId="44975"/>
    <cellStyle name="Обычный 8 6 8 2 3" xfId="44976"/>
    <cellStyle name="Обычный 8 6 8 2 3 2" xfId="44977"/>
    <cellStyle name="Обычный 8 6 8 2 3 3" xfId="44978"/>
    <cellStyle name="Обычный 8 6 8 2 4" xfId="44979"/>
    <cellStyle name="Обычный 8 6 8 2 4 2" xfId="44980"/>
    <cellStyle name="Обычный 8 6 8 2 5" xfId="44981"/>
    <cellStyle name="Обычный 8 6 8 2 6" xfId="44982"/>
    <cellStyle name="Обычный 8 6 8 3" xfId="44983"/>
    <cellStyle name="Обычный 8 6 8 3 2" xfId="44984"/>
    <cellStyle name="Обычный 8 6 8 3 3" xfId="44985"/>
    <cellStyle name="Обычный 8 6 8 4" xfId="44986"/>
    <cellStyle name="Обычный 8 6 8 4 2" xfId="44987"/>
    <cellStyle name="Обычный 8 6 8 4 3" xfId="44988"/>
    <cellStyle name="Обычный 8 6 8 5" xfId="44989"/>
    <cellStyle name="Обычный 8 6 8 5 2" xfId="44990"/>
    <cellStyle name="Обычный 8 6 8 6" xfId="44991"/>
    <cellStyle name="Обычный 8 6 8 7" xfId="44992"/>
    <cellStyle name="Обычный 8 6 9" xfId="44993"/>
    <cellStyle name="Обычный 8 6 9 2" xfId="44994"/>
    <cellStyle name="Обычный 8 6 9 2 2" xfId="44995"/>
    <cellStyle name="Обычный 8 6 9 2 3" xfId="44996"/>
    <cellStyle name="Обычный 8 6 9 3" xfId="44997"/>
    <cellStyle name="Обычный 8 6 9 3 2" xfId="44998"/>
    <cellStyle name="Обычный 8 6 9 3 3" xfId="44999"/>
    <cellStyle name="Обычный 8 6 9 4" xfId="45000"/>
    <cellStyle name="Обычный 8 6 9 4 2" xfId="45001"/>
    <cellStyle name="Обычный 8 6 9 5" xfId="45002"/>
    <cellStyle name="Обычный 8 6 9 6" xfId="45003"/>
    <cellStyle name="Обычный 8 7" xfId="45004"/>
    <cellStyle name="Обычный 8 7 10" xfId="45005"/>
    <cellStyle name="Обычный 8 7 10 2" xfId="45006"/>
    <cellStyle name="Обычный 8 7 10 3" xfId="45007"/>
    <cellStyle name="Обычный 8 7 11" xfId="45008"/>
    <cellStyle name="Обычный 8 7 11 2" xfId="45009"/>
    <cellStyle name="Обычный 8 7 11 3" xfId="45010"/>
    <cellStyle name="Обычный 8 7 12" xfId="45011"/>
    <cellStyle name="Обычный 8 7 12 2" xfId="45012"/>
    <cellStyle name="Обычный 8 7 13" xfId="45013"/>
    <cellStyle name="Обычный 8 7 14" xfId="45014"/>
    <cellStyle name="Обычный 8 7 2" xfId="45015"/>
    <cellStyle name="Обычный 8 7 2 10" xfId="45016"/>
    <cellStyle name="Обычный 8 7 2 10 2" xfId="45017"/>
    <cellStyle name="Обычный 8 7 2 10 3" xfId="45018"/>
    <cellStyle name="Обычный 8 7 2 11" xfId="45019"/>
    <cellStyle name="Обычный 8 7 2 11 2" xfId="45020"/>
    <cellStyle name="Обычный 8 7 2 12" xfId="45021"/>
    <cellStyle name="Обычный 8 7 2 13" xfId="45022"/>
    <cellStyle name="Обычный 8 7 2 2" xfId="45023"/>
    <cellStyle name="Обычный 8 7 2 2 10" xfId="45024"/>
    <cellStyle name="Обычный 8 7 2 2 2" xfId="45025"/>
    <cellStyle name="Обычный 8 7 2 2 2 2" xfId="45026"/>
    <cellStyle name="Обычный 8 7 2 2 2 2 2" xfId="45027"/>
    <cellStyle name="Обычный 8 7 2 2 2 2 2 2" xfId="45028"/>
    <cellStyle name="Обычный 8 7 2 2 2 2 2 2 2" xfId="45029"/>
    <cellStyle name="Обычный 8 7 2 2 2 2 2 2 2 2" xfId="45030"/>
    <cellStyle name="Обычный 8 7 2 2 2 2 2 2 2 3" xfId="45031"/>
    <cellStyle name="Обычный 8 7 2 2 2 2 2 2 3" xfId="45032"/>
    <cellStyle name="Обычный 8 7 2 2 2 2 2 2 3 2" xfId="45033"/>
    <cellStyle name="Обычный 8 7 2 2 2 2 2 2 3 3" xfId="45034"/>
    <cellStyle name="Обычный 8 7 2 2 2 2 2 2 4" xfId="45035"/>
    <cellStyle name="Обычный 8 7 2 2 2 2 2 2 4 2" xfId="45036"/>
    <cellStyle name="Обычный 8 7 2 2 2 2 2 2 5" xfId="45037"/>
    <cellStyle name="Обычный 8 7 2 2 2 2 2 2 6" xfId="45038"/>
    <cellStyle name="Обычный 8 7 2 2 2 2 2 3" xfId="45039"/>
    <cellStyle name="Обычный 8 7 2 2 2 2 2 3 2" xfId="45040"/>
    <cellStyle name="Обычный 8 7 2 2 2 2 2 3 3" xfId="45041"/>
    <cellStyle name="Обычный 8 7 2 2 2 2 2 4" xfId="45042"/>
    <cellStyle name="Обычный 8 7 2 2 2 2 2 4 2" xfId="45043"/>
    <cellStyle name="Обычный 8 7 2 2 2 2 2 4 3" xfId="45044"/>
    <cellStyle name="Обычный 8 7 2 2 2 2 2 5" xfId="45045"/>
    <cellStyle name="Обычный 8 7 2 2 2 2 2 5 2" xfId="45046"/>
    <cellStyle name="Обычный 8 7 2 2 2 2 2 6" xfId="45047"/>
    <cellStyle name="Обычный 8 7 2 2 2 2 2 7" xfId="45048"/>
    <cellStyle name="Обычный 8 7 2 2 2 2 3" xfId="45049"/>
    <cellStyle name="Обычный 8 7 2 2 2 2 3 2" xfId="45050"/>
    <cellStyle name="Обычный 8 7 2 2 2 2 3 2 2" xfId="45051"/>
    <cellStyle name="Обычный 8 7 2 2 2 2 3 2 3" xfId="45052"/>
    <cellStyle name="Обычный 8 7 2 2 2 2 3 3" xfId="45053"/>
    <cellStyle name="Обычный 8 7 2 2 2 2 3 3 2" xfId="45054"/>
    <cellStyle name="Обычный 8 7 2 2 2 2 3 3 3" xfId="45055"/>
    <cellStyle name="Обычный 8 7 2 2 2 2 3 4" xfId="45056"/>
    <cellStyle name="Обычный 8 7 2 2 2 2 3 4 2" xfId="45057"/>
    <cellStyle name="Обычный 8 7 2 2 2 2 3 5" xfId="45058"/>
    <cellStyle name="Обычный 8 7 2 2 2 2 3 6" xfId="45059"/>
    <cellStyle name="Обычный 8 7 2 2 2 2 4" xfId="45060"/>
    <cellStyle name="Обычный 8 7 2 2 2 2 4 2" xfId="45061"/>
    <cellStyle name="Обычный 8 7 2 2 2 2 4 3" xfId="45062"/>
    <cellStyle name="Обычный 8 7 2 2 2 2 5" xfId="45063"/>
    <cellStyle name="Обычный 8 7 2 2 2 2 5 2" xfId="45064"/>
    <cellStyle name="Обычный 8 7 2 2 2 2 5 3" xfId="45065"/>
    <cellStyle name="Обычный 8 7 2 2 2 2 6" xfId="45066"/>
    <cellStyle name="Обычный 8 7 2 2 2 2 6 2" xfId="45067"/>
    <cellStyle name="Обычный 8 7 2 2 2 2 7" xfId="45068"/>
    <cellStyle name="Обычный 8 7 2 2 2 2 8" xfId="45069"/>
    <cellStyle name="Обычный 8 7 2 2 2 3" xfId="45070"/>
    <cellStyle name="Обычный 8 7 2 2 2 3 2" xfId="45071"/>
    <cellStyle name="Обычный 8 7 2 2 2 3 2 2" xfId="45072"/>
    <cellStyle name="Обычный 8 7 2 2 2 3 2 2 2" xfId="45073"/>
    <cellStyle name="Обычный 8 7 2 2 2 3 2 2 3" xfId="45074"/>
    <cellStyle name="Обычный 8 7 2 2 2 3 2 3" xfId="45075"/>
    <cellStyle name="Обычный 8 7 2 2 2 3 2 3 2" xfId="45076"/>
    <cellStyle name="Обычный 8 7 2 2 2 3 2 3 3" xfId="45077"/>
    <cellStyle name="Обычный 8 7 2 2 2 3 2 4" xfId="45078"/>
    <cellStyle name="Обычный 8 7 2 2 2 3 2 4 2" xfId="45079"/>
    <cellStyle name="Обычный 8 7 2 2 2 3 2 5" xfId="45080"/>
    <cellStyle name="Обычный 8 7 2 2 2 3 2 6" xfId="45081"/>
    <cellStyle name="Обычный 8 7 2 2 2 3 3" xfId="45082"/>
    <cellStyle name="Обычный 8 7 2 2 2 3 3 2" xfId="45083"/>
    <cellStyle name="Обычный 8 7 2 2 2 3 3 3" xfId="45084"/>
    <cellStyle name="Обычный 8 7 2 2 2 3 4" xfId="45085"/>
    <cellStyle name="Обычный 8 7 2 2 2 3 4 2" xfId="45086"/>
    <cellStyle name="Обычный 8 7 2 2 2 3 4 3" xfId="45087"/>
    <cellStyle name="Обычный 8 7 2 2 2 3 5" xfId="45088"/>
    <cellStyle name="Обычный 8 7 2 2 2 3 5 2" xfId="45089"/>
    <cellStyle name="Обычный 8 7 2 2 2 3 6" xfId="45090"/>
    <cellStyle name="Обычный 8 7 2 2 2 3 7" xfId="45091"/>
    <cellStyle name="Обычный 8 7 2 2 2 4" xfId="45092"/>
    <cellStyle name="Обычный 8 7 2 2 2 4 2" xfId="45093"/>
    <cellStyle name="Обычный 8 7 2 2 2 4 2 2" xfId="45094"/>
    <cellStyle name="Обычный 8 7 2 2 2 4 2 3" xfId="45095"/>
    <cellStyle name="Обычный 8 7 2 2 2 4 3" xfId="45096"/>
    <cellStyle name="Обычный 8 7 2 2 2 4 3 2" xfId="45097"/>
    <cellStyle name="Обычный 8 7 2 2 2 4 3 3" xfId="45098"/>
    <cellStyle name="Обычный 8 7 2 2 2 4 4" xfId="45099"/>
    <cellStyle name="Обычный 8 7 2 2 2 4 4 2" xfId="45100"/>
    <cellStyle name="Обычный 8 7 2 2 2 4 5" xfId="45101"/>
    <cellStyle name="Обычный 8 7 2 2 2 4 6" xfId="45102"/>
    <cellStyle name="Обычный 8 7 2 2 2 5" xfId="45103"/>
    <cellStyle name="Обычный 8 7 2 2 2 5 2" xfId="45104"/>
    <cellStyle name="Обычный 8 7 2 2 2 5 3" xfId="45105"/>
    <cellStyle name="Обычный 8 7 2 2 2 6" xfId="45106"/>
    <cellStyle name="Обычный 8 7 2 2 2 6 2" xfId="45107"/>
    <cellStyle name="Обычный 8 7 2 2 2 6 3" xfId="45108"/>
    <cellStyle name="Обычный 8 7 2 2 2 7" xfId="45109"/>
    <cellStyle name="Обычный 8 7 2 2 2 7 2" xfId="45110"/>
    <cellStyle name="Обычный 8 7 2 2 2 8" xfId="45111"/>
    <cellStyle name="Обычный 8 7 2 2 2 9" xfId="45112"/>
    <cellStyle name="Обычный 8 7 2 2 3" xfId="45113"/>
    <cellStyle name="Обычный 8 7 2 2 3 2" xfId="45114"/>
    <cellStyle name="Обычный 8 7 2 2 3 2 2" xfId="45115"/>
    <cellStyle name="Обычный 8 7 2 2 3 2 2 2" xfId="45116"/>
    <cellStyle name="Обычный 8 7 2 2 3 2 2 2 2" xfId="45117"/>
    <cellStyle name="Обычный 8 7 2 2 3 2 2 2 3" xfId="45118"/>
    <cellStyle name="Обычный 8 7 2 2 3 2 2 3" xfId="45119"/>
    <cellStyle name="Обычный 8 7 2 2 3 2 2 3 2" xfId="45120"/>
    <cellStyle name="Обычный 8 7 2 2 3 2 2 3 3" xfId="45121"/>
    <cellStyle name="Обычный 8 7 2 2 3 2 2 4" xfId="45122"/>
    <cellStyle name="Обычный 8 7 2 2 3 2 2 4 2" xfId="45123"/>
    <cellStyle name="Обычный 8 7 2 2 3 2 2 5" xfId="45124"/>
    <cellStyle name="Обычный 8 7 2 2 3 2 2 6" xfId="45125"/>
    <cellStyle name="Обычный 8 7 2 2 3 2 3" xfId="45126"/>
    <cellStyle name="Обычный 8 7 2 2 3 2 3 2" xfId="45127"/>
    <cellStyle name="Обычный 8 7 2 2 3 2 3 3" xfId="45128"/>
    <cellStyle name="Обычный 8 7 2 2 3 2 4" xfId="45129"/>
    <cellStyle name="Обычный 8 7 2 2 3 2 4 2" xfId="45130"/>
    <cellStyle name="Обычный 8 7 2 2 3 2 4 3" xfId="45131"/>
    <cellStyle name="Обычный 8 7 2 2 3 2 5" xfId="45132"/>
    <cellStyle name="Обычный 8 7 2 2 3 2 5 2" xfId="45133"/>
    <cellStyle name="Обычный 8 7 2 2 3 2 6" xfId="45134"/>
    <cellStyle name="Обычный 8 7 2 2 3 2 7" xfId="45135"/>
    <cellStyle name="Обычный 8 7 2 2 3 3" xfId="45136"/>
    <cellStyle name="Обычный 8 7 2 2 3 3 2" xfId="45137"/>
    <cellStyle name="Обычный 8 7 2 2 3 3 2 2" xfId="45138"/>
    <cellStyle name="Обычный 8 7 2 2 3 3 2 3" xfId="45139"/>
    <cellStyle name="Обычный 8 7 2 2 3 3 3" xfId="45140"/>
    <cellStyle name="Обычный 8 7 2 2 3 3 3 2" xfId="45141"/>
    <cellStyle name="Обычный 8 7 2 2 3 3 3 3" xfId="45142"/>
    <cellStyle name="Обычный 8 7 2 2 3 3 4" xfId="45143"/>
    <cellStyle name="Обычный 8 7 2 2 3 3 4 2" xfId="45144"/>
    <cellStyle name="Обычный 8 7 2 2 3 3 5" xfId="45145"/>
    <cellStyle name="Обычный 8 7 2 2 3 3 6" xfId="45146"/>
    <cellStyle name="Обычный 8 7 2 2 3 4" xfId="45147"/>
    <cellStyle name="Обычный 8 7 2 2 3 4 2" xfId="45148"/>
    <cellStyle name="Обычный 8 7 2 2 3 4 3" xfId="45149"/>
    <cellStyle name="Обычный 8 7 2 2 3 5" xfId="45150"/>
    <cellStyle name="Обычный 8 7 2 2 3 5 2" xfId="45151"/>
    <cellStyle name="Обычный 8 7 2 2 3 5 3" xfId="45152"/>
    <cellStyle name="Обычный 8 7 2 2 3 6" xfId="45153"/>
    <cellStyle name="Обычный 8 7 2 2 3 6 2" xfId="45154"/>
    <cellStyle name="Обычный 8 7 2 2 3 7" xfId="45155"/>
    <cellStyle name="Обычный 8 7 2 2 3 8" xfId="45156"/>
    <cellStyle name="Обычный 8 7 2 2 4" xfId="45157"/>
    <cellStyle name="Обычный 8 7 2 2 4 2" xfId="45158"/>
    <cellStyle name="Обычный 8 7 2 2 4 2 2" xfId="45159"/>
    <cellStyle name="Обычный 8 7 2 2 4 2 2 2" xfId="45160"/>
    <cellStyle name="Обычный 8 7 2 2 4 2 2 3" xfId="45161"/>
    <cellStyle name="Обычный 8 7 2 2 4 2 3" xfId="45162"/>
    <cellStyle name="Обычный 8 7 2 2 4 2 3 2" xfId="45163"/>
    <cellStyle name="Обычный 8 7 2 2 4 2 3 3" xfId="45164"/>
    <cellStyle name="Обычный 8 7 2 2 4 2 4" xfId="45165"/>
    <cellStyle name="Обычный 8 7 2 2 4 2 4 2" xfId="45166"/>
    <cellStyle name="Обычный 8 7 2 2 4 2 5" xfId="45167"/>
    <cellStyle name="Обычный 8 7 2 2 4 2 6" xfId="45168"/>
    <cellStyle name="Обычный 8 7 2 2 4 3" xfId="45169"/>
    <cellStyle name="Обычный 8 7 2 2 4 3 2" xfId="45170"/>
    <cellStyle name="Обычный 8 7 2 2 4 3 3" xfId="45171"/>
    <cellStyle name="Обычный 8 7 2 2 4 4" xfId="45172"/>
    <cellStyle name="Обычный 8 7 2 2 4 4 2" xfId="45173"/>
    <cellStyle name="Обычный 8 7 2 2 4 4 3" xfId="45174"/>
    <cellStyle name="Обычный 8 7 2 2 4 5" xfId="45175"/>
    <cellStyle name="Обычный 8 7 2 2 4 5 2" xfId="45176"/>
    <cellStyle name="Обычный 8 7 2 2 4 6" xfId="45177"/>
    <cellStyle name="Обычный 8 7 2 2 4 7" xfId="45178"/>
    <cellStyle name="Обычный 8 7 2 2 5" xfId="45179"/>
    <cellStyle name="Обычный 8 7 2 2 5 2" xfId="45180"/>
    <cellStyle name="Обычный 8 7 2 2 5 2 2" xfId="45181"/>
    <cellStyle name="Обычный 8 7 2 2 5 2 3" xfId="45182"/>
    <cellStyle name="Обычный 8 7 2 2 5 3" xfId="45183"/>
    <cellStyle name="Обычный 8 7 2 2 5 3 2" xfId="45184"/>
    <cellStyle name="Обычный 8 7 2 2 5 3 3" xfId="45185"/>
    <cellStyle name="Обычный 8 7 2 2 5 4" xfId="45186"/>
    <cellStyle name="Обычный 8 7 2 2 5 4 2" xfId="45187"/>
    <cellStyle name="Обычный 8 7 2 2 5 5" xfId="45188"/>
    <cellStyle name="Обычный 8 7 2 2 5 6" xfId="45189"/>
    <cellStyle name="Обычный 8 7 2 2 6" xfId="45190"/>
    <cellStyle name="Обычный 8 7 2 2 6 2" xfId="45191"/>
    <cellStyle name="Обычный 8 7 2 2 6 3" xfId="45192"/>
    <cellStyle name="Обычный 8 7 2 2 7" xfId="45193"/>
    <cellStyle name="Обычный 8 7 2 2 7 2" xfId="45194"/>
    <cellStyle name="Обычный 8 7 2 2 7 3" xfId="45195"/>
    <cellStyle name="Обычный 8 7 2 2 8" xfId="45196"/>
    <cellStyle name="Обычный 8 7 2 2 8 2" xfId="45197"/>
    <cellStyle name="Обычный 8 7 2 2 9" xfId="45198"/>
    <cellStyle name="Обычный 8 7 2 3" xfId="45199"/>
    <cellStyle name="Обычный 8 7 2 3 10" xfId="45200"/>
    <cellStyle name="Обычный 8 7 2 3 2" xfId="45201"/>
    <cellStyle name="Обычный 8 7 2 3 2 2" xfId="45202"/>
    <cellStyle name="Обычный 8 7 2 3 2 2 2" xfId="45203"/>
    <cellStyle name="Обычный 8 7 2 3 2 2 2 2" xfId="45204"/>
    <cellStyle name="Обычный 8 7 2 3 2 2 2 2 2" xfId="45205"/>
    <cellStyle name="Обычный 8 7 2 3 2 2 2 2 2 2" xfId="45206"/>
    <cellStyle name="Обычный 8 7 2 3 2 2 2 2 2 3" xfId="45207"/>
    <cellStyle name="Обычный 8 7 2 3 2 2 2 2 3" xfId="45208"/>
    <cellStyle name="Обычный 8 7 2 3 2 2 2 2 3 2" xfId="45209"/>
    <cellStyle name="Обычный 8 7 2 3 2 2 2 2 3 3" xfId="45210"/>
    <cellStyle name="Обычный 8 7 2 3 2 2 2 2 4" xfId="45211"/>
    <cellStyle name="Обычный 8 7 2 3 2 2 2 2 4 2" xfId="45212"/>
    <cellStyle name="Обычный 8 7 2 3 2 2 2 2 5" xfId="45213"/>
    <cellStyle name="Обычный 8 7 2 3 2 2 2 2 6" xfId="45214"/>
    <cellStyle name="Обычный 8 7 2 3 2 2 2 3" xfId="45215"/>
    <cellStyle name="Обычный 8 7 2 3 2 2 2 3 2" xfId="45216"/>
    <cellStyle name="Обычный 8 7 2 3 2 2 2 3 3" xfId="45217"/>
    <cellStyle name="Обычный 8 7 2 3 2 2 2 4" xfId="45218"/>
    <cellStyle name="Обычный 8 7 2 3 2 2 2 4 2" xfId="45219"/>
    <cellStyle name="Обычный 8 7 2 3 2 2 2 4 3" xfId="45220"/>
    <cellStyle name="Обычный 8 7 2 3 2 2 2 5" xfId="45221"/>
    <cellStyle name="Обычный 8 7 2 3 2 2 2 5 2" xfId="45222"/>
    <cellStyle name="Обычный 8 7 2 3 2 2 2 6" xfId="45223"/>
    <cellStyle name="Обычный 8 7 2 3 2 2 2 7" xfId="45224"/>
    <cellStyle name="Обычный 8 7 2 3 2 2 3" xfId="45225"/>
    <cellStyle name="Обычный 8 7 2 3 2 2 3 2" xfId="45226"/>
    <cellStyle name="Обычный 8 7 2 3 2 2 3 2 2" xfId="45227"/>
    <cellStyle name="Обычный 8 7 2 3 2 2 3 2 3" xfId="45228"/>
    <cellStyle name="Обычный 8 7 2 3 2 2 3 3" xfId="45229"/>
    <cellStyle name="Обычный 8 7 2 3 2 2 3 3 2" xfId="45230"/>
    <cellStyle name="Обычный 8 7 2 3 2 2 3 3 3" xfId="45231"/>
    <cellStyle name="Обычный 8 7 2 3 2 2 3 4" xfId="45232"/>
    <cellStyle name="Обычный 8 7 2 3 2 2 3 4 2" xfId="45233"/>
    <cellStyle name="Обычный 8 7 2 3 2 2 3 5" xfId="45234"/>
    <cellStyle name="Обычный 8 7 2 3 2 2 3 6" xfId="45235"/>
    <cellStyle name="Обычный 8 7 2 3 2 2 4" xfId="45236"/>
    <cellStyle name="Обычный 8 7 2 3 2 2 4 2" xfId="45237"/>
    <cellStyle name="Обычный 8 7 2 3 2 2 4 3" xfId="45238"/>
    <cellStyle name="Обычный 8 7 2 3 2 2 5" xfId="45239"/>
    <cellStyle name="Обычный 8 7 2 3 2 2 5 2" xfId="45240"/>
    <cellStyle name="Обычный 8 7 2 3 2 2 5 3" xfId="45241"/>
    <cellStyle name="Обычный 8 7 2 3 2 2 6" xfId="45242"/>
    <cellStyle name="Обычный 8 7 2 3 2 2 6 2" xfId="45243"/>
    <cellStyle name="Обычный 8 7 2 3 2 2 7" xfId="45244"/>
    <cellStyle name="Обычный 8 7 2 3 2 2 8" xfId="45245"/>
    <cellStyle name="Обычный 8 7 2 3 2 3" xfId="45246"/>
    <cellStyle name="Обычный 8 7 2 3 2 3 2" xfId="45247"/>
    <cellStyle name="Обычный 8 7 2 3 2 3 2 2" xfId="45248"/>
    <cellStyle name="Обычный 8 7 2 3 2 3 2 2 2" xfId="45249"/>
    <cellStyle name="Обычный 8 7 2 3 2 3 2 2 3" xfId="45250"/>
    <cellStyle name="Обычный 8 7 2 3 2 3 2 3" xfId="45251"/>
    <cellStyle name="Обычный 8 7 2 3 2 3 2 3 2" xfId="45252"/>
    <cellStyle name="Обычный 8 7 2 3 2 3 2 3 3" xfId="45253"/>
    <cellStyle name="Обычный 8 7 2 3 2 3 2 4" xfId="45254"/>
    <cellStyle name="Обычный 8 7 2 3 2 3 2 4 2" xfId="45255"/>
    <cellStyle name="Обычный 8 7 2 3 2 3 2 5" xfId="45256"/>
    <cellStyle name="Обычный 8 7 2 3 2 3 2 6" xfId="45257"/>
    <cellStyle name="Обычный 8 7 2 3 2 3 3" xfId="45258"/>
    <cellStyle name="Обычный 8 7 2 3 2 3 3 2" xfId="45259"/>
    <cellStyle name="Обычный 8 7 2 3 2 3 3 3" xfId="45260"/>
    <cellStyle name="Обычный 8 7 2 3 2 3 4" xfId="45261"/>
    <cellStyle name="Обычный 8 7 2 3 2 3 4 2" xfId="45262"/>
    <cellStyle name="Обычный 8 7 2 3 2 3 4 3" xfId="45263"/>
    <cellStyle name="Обычный 8 7 2 3 2 3 5" xfId="45264"/>
    <cellStyle name="Обычный 8 7 2 3 2 3 5 2" xfId="45265"/>
    <cellStyle name="Обычный 8 7 2 3 2 3 6" xfId="45266"/>
    <cellStyle name="Обычный 8 7 2 3 2 3 7" xfId="45267"/>
    <cellStyle name="Обычный 8 7 2 3 2 4" xfId="45268"/>
    <cellStyle name="Обычный 8 7 2 3 2 4 2" xfId="45269"/>
    <cellStyle name="Обычный 8 7 2 3 2 4 2 2" xfId="45270"/>
    <cellStyle name="Обычный 8 7 2 3 2 4 2 3" xfId="45271"/>
    <cellStyle name="Обычный 8 7 2 3 2 4 3" xfId="45272"/>
    <cellStyle name="Обычный 8 7 2 3 2 4 3 2" xfId="45273"/>
    <cellStyle name="Обычный 8 7 2 3 2 4 3 3" xfId="45274"/>
    <cellStyle name="Обычный 8 7 2 3 2 4 4" xfId="45275"/>
    <cellStyle name="Обычный 8 7 2 3 2 4 4 2" xfId="45276"/>
    <cellStyle name="Обычный 8 7 2 3 2 4 5" xfId="45277"/>
    <cellStyle name="Обычный 8 7 2 3 2 4 6" xfId="45278"/>
    <cellStyle name="Обычный 8 7 2 3 2 5" xfId="45279"/>
    <cellStyle name="Обычный 8 7 2 3 2 5 2" xfId="45280"/>
    <cellStyle name="Обычный 8 7 2 3 2 5 3" xfId="45281"/>
    <cellStyle name="Обычный 8 7 2 3 2 6" xfId="45282"/>
    <cellStyle name="Обычный 8 7 2 3 2 6 2" xfId="45283"/>
    <cellStyle name="Обычный 8 7 2 3 2 6 3" xfId="45284"/>
    <cellStyle name="Обычный 8 7 2 3 2 7" xfId="45285"/>
    <cellStyle name="Обычный 8 7 2 3 2 7 2" xfId="45286"/>
    <cellStyle name="Обычный 8 7 2 3 2 8" xfId="45287"/>
    <cellStyle name="Обычный 8 7 2 3 2 9" xfId="45288"/>
    <cellStyle name="Обычный 8 7 2 3 3" xfId="45289"/>
    <cellStyle name="Обычный 8 7 2 3 3 2" xfId="45290"/>
    <cellStyle name="Обычный 8 7 2 3 3 2 2" xfId="45291"/>
    <cellStyle name="Обычный 8 7 2 3 3 2 2 2" xfId="45292"/>
    <cellStyle name="Обычный 8 7 2 3 3 2 2 2 2" xfId="45293"/>
    <cellStyle name="Обычный 8 7 2 3 3 2 2 2 3" xfId="45294"/>
    <cellStyle name="Обычный 8 7 2 3 3 2 2 3" xfId="45295"/>
    <cellStyle name="Обычный 8 7 2 3 3 2 2 3 2" xfId="45296"/>
    <cellStyle name="Обычный 8 7 2 3 3 2 2 3 3" xfId="45297"/>
    <cellStyle name="Обычный 8 7 2 3 3 2 2 4" xfId="45298"/>
    <cellStyle name="Обычный 8 7 2 3 3 2 2 4 2" xfId="45299"/>
    <cellStyle name="Обычный 8 7 2 3 3 2 2 5" xfId="45300"/>
    <cellStyle name="Обычный 8 7 2 3 3 2 2 6" xfId="45301"/>
    <cellStyle name="Обычный 8 7 2 3 3 2 3" xfId="45302"/>
    <cellStyle name="Обычный 8 7 2 3 3 2 3 2" xfId="45303"/>
    <cellStyle name="Обычный 8 7 2 3 3 2 3 3" xfId="45304"/>
    <cellStyle name="Обычный 8 7 2 3 3 2 4" xfId="45305"/>
    <cellStyle name="Обычный 8 7 2 3 3 2 4 2" xfId="45306"/>
    <cellStyle name="Обычный 8 7 2 3 3 2 4 3" xfId="45307"/>
    <cellStyle name="Обычный 8 7 2 3 3 2 5" xfId="45308"/>
    <cellStyle name="Обычный 8 7 2 3 3 2 5 2" xfId="45309"/>
    <cellStyle name="Обычный 8 7 2 3 3 2 6" xfId="45310"/>
    <cellStyle name="Обычный 8 7 2 3 3 2 7" xfId="45311"/>
    <cellStyle name="Обычный 8 7 2 3 3 3" xfId="45312"/>
    <cellStyle name="Обычный 8 7 2 3 3 3 2" xfId="45313"/>
    <cellStyle name="Обычный 8 7 2 3 3 3 2 2" xfId="45314"/>
    <cellStyle name="Обычный 8 7 2 3 3 3 2 3" xfId="45315"/>
    <cellStyle name="Обычный 8 7 2 3 3 3 3" xfId="45316"/>
    <cellStyle name="Обычный 8 7 2 3 3 3 3 2" xfId="45317"/>
    <cellStyle name="Обычный 8 7 2 3 3 3 3 3" xfId="45318"/>
    <cellStyle name="Обычный 8 7 2 3 3 3 4" xfId="45319"/>
    <cellStyle name="Обычный 8 7 2 3 3 3 4 2" xfId="45320"/>
    <cellStyle name="Обычный 8 7 2 3 3 3 5" xfId="45321"/>
    <cellStyle name="Обычный 8 7 2 3 3 3 6" xfId="45322"/>
    <cellStyle name="Обычный 8 7 2 3 3 4" xfId="45323"/>
    <cellStyle name="Обычный 8 7 2 3 3 4 2" xfId="45324"/>
    <cellStyle name="Обычный 8 7 2 3 3 4 3" xfId="45325"/>
    <cellStyle name="Обычный 8 7 2 3 3 5" xfId="45326"/>
    <cellStyle name="Обычный 8 7 2 3 3 5 2" xfId="45327"/>
    <cellStyle name="Обычный 8 7 2 3 3 5 3" xfId="45328"/>
    <cellStyle name="Обычный 8 7 2 3 3 6" xfId="45329"/>
    <cellStyle name="Обычный 8 7 2 3 3 6 2" xfId="45330"/>
    <cellStyle name="Обычный 8 7 2 3 3 7" xfId="45331"/>
    <cellStyle name="Обычный 8 7 2 3 3 8" xfId="45332"/>
    <cellStyle name="Обычный 8 7 2 3 4" xfId="45333"/>
    <cellStyle name="Обычный 8 7 2 3 4 2" xfId="45334"/>
    <cellStyle name="Обычный 8 7 2 3 4 2 2" xfId="45335"/>
    <cellStyle name="Обычный 8 7 2 3 4 2 2 2" xfId="45336"/>
    <cellStyle name="Обычный 8 7 2 3 4 2 2 3" xfId="45337"/>
    <cellStyle name="Обычный 8 7 2 3 4 2 3" xfId="45338"/>
    <cellStyle name="Обычный 8 7 2 3 4 2 3 2" xfId="45339"/>
    <cellStyle name="Обычный 8 7 2 3 4 2 3 3" xfId="45340"/>
    <cellStyle name="Обычный 8 7 2 3 4 2 4" xfId="45341"/>
    <cellStyle name="Обычный 8 7 2 3 4 2 4 2" xfId="45342"/>
    <cellStyle name="Обычный 8 7 2 3 4 2 5" xfId="45343"/>
    <cellStyle name="Обычный 8 7 2 3 4 2 6" xfId="45344"/>
    <cellStyle name="Обычный 8 7 2 3 4 3" xfId="45345"/>
    <cellStyle name="Обычный 8 7 2 3 4 3 2" xfId="45346"/>
    <cellStyle name="Обычный 8 7 2 3 4 3 3" xfId="45347"/>
    <cellStyle name="Обычный 8 7 2 3 4 4" xfId="45348"/>
    <cellStyle name="Обычный 8 7 2 3 4 4 2" xfId="45349"/>
    <cellStyle name="Обычный 8 7 2 3 4 4 3" xfId="45350"/>
    <cellStyle name="Обычный 8 7 2 3 4 5" xfId="45351"/>
    <cellStyle name="Обычный 8 7 2 3 4 5 2" xfId="45352"/>
    <cellStyle name="Обычный 8 7 2 3 4 6" xfId="45353"/>
    <cellStyle name="Обычный 8 7 2 3 4 7" xfId="45354"/>
    <cellStyle name="Обычный 8 7 2 3 5" xfId="45355"/>
    <cellStyle name="Обычный 8 7 2 3 5 2" xfId="45356"/>
    <cellStyle name="Обычный 8 7 2 3 5 2 2" xfId="45357"/>
    <cellStyle name="Обычный 8 7 2 3 5 2 3" xfId="45358"/>
    <cellStyle name="Обычный 8 7 2 3 5 3" xfId="45359"/>
    <cellStyle name="Обычный 8 7 2 3 5 3 2" xfId="45360"/>
    <cellStyle name="Обычный 8 7 2 3 5 3 3" xfId="45361"/>
    <cellStyle name="Обычный 8 7 2 3 5 4" xfId="45362"/>
    <cellStyle name="Обычный 8 7 2 3 5 4 2" xfId="45363"/>
    <cellStyle name="Обычный 8 7 2 3 5 5" xfId="45364"/>
    <cellStyle name="Обычный 8 7 2 3 5 6" xfId="45365"/>
    <cellStyle name="Обычный 8 7 2 3 6" xfId="45366"/>
    <cellStyle name="Обычный 8 7 2 3 6 2" xfId="45367"/>
    <cellStyle name="Обычный 8 7 2 3 6 3" xfId="45368"/>
    <cellStyle name="Обычный 8 7 2 3 7" xfId="45369"/>
    <cellStyle name="Обычный 8 7 2 3 7 2" xfId="45370"/>
    <cellStyle name="Обычный 8 7 2 3 7 3" xfId="45371"/>
    <cellStyle name="Обычный 8 7 2 3 8" xfId="45372"/>
    <cellStyle name="Обычный 8 7 2 3 8 2" xfId="45373"/>
    <cellStyle name="Обычный 8 7 2 3 9" xfId="45374"/>
    <cellStyle name="Обычный 8 7 2 4" xfId="45375"/>
    <cellStyle name="Обычный 8 7 2 4 10" xfId="45376"/>
    <cellStyle name="Обычный 8 7 2 4 2" xfId="45377"/>
    <cellStyle name="Обычный 8 7 2 4 2 2" xfId="45378"/>
    <cellStyle name="Обычный 8 7 2 4 2 2 2" xfId="45379"/>
    <cellStyle name="Обычный 8 7 2 4 2 2 2 2" xfId="45380"/>
    <cellStyle name="Обычный 8 7 2 4 2 2 2 2 2" xfId="45381"/>
    <cellStyle name="Обычный 8 7 2 4 2 2 2 2 2 2" xfId="45382"/>
    <cellStyle name="Обычный 8 7 2 4 2 2 2 2 2 3" xfId="45383"/>
    <cellStyle name="Обычный 8 7 2 4 2 2 2 2 3" xfId="45384"/>
    <cellStyle name="Обычный 8 7 2 4 2 2 2 2 3 2" xfId="45385"/>
    <cellStyle name="Обычный 8 7 2 4 2 2 2 2 3 3" xfId="45386"/>
    <cellStyle name="Обычный 8 7 2 4 2 2 2 2 4" xfId="45387"/>
    <cellStyle name="Обычный 8 7 2 4 2 2 2 2 4 2" xfId="45388"/>
    <cellStyle name="Обычный 8 7 2 4 2 2 2 2 5" xfId="45389"/>
    <cellStyle name="Обычный 8 7 2 4 2 2 2 2 6" xfId="45390"/>
    <cellStyle name="Обычный 8 7 2 4 2 2 2 3" xfId="45391"/>
    <cellStyle name="Обычный 8 7 2 4 2 2 2 3 2" xfId="45392"/>
    <cellStyle name="Обычный 8 7 2 4 2 2 2 3 3" xfId="45393"/>
    <cellStyle name="Обычный 8 7 2 4 2 2 2 4" xfId="45394"/>
    <cellStyle name="Обычный 8 7 2 4 2 2 2 4 2" xfId="45395"/>
    <cellStyle name="Обычный 8 7 2 4 2 2 2 4 3" xfId="45396"/>
    <cellStyle name="Обычный 8 7 2 4 2 2 2 5" xfId="45397"/>
    <cellStyle name="Обычный 8 7 2 4 2 2 2 5 2" xfId="45398"/>
    <cellStyle name="Обычный 8 7 2 4 2 2 2 6" xfId="45399"/>
    <cellStyle name="Обычный 8 7 2 4 2 2 2 7" xfId="45400"/>
    <cellStyle name="Обычный 8 7 2 4 2 2 3" xfId="45401"/>
    <cellStyle name="Обычный 8 7 2 4 2 2 3 2" xfId="45402"/>
    <cellStyle name="Обычный 8 7 2 4 2 2 3 2 2" xfId="45403"/>
    <cellStyle name="Обычный 8 7 2 4 2 2 3 2 3" xfId="45404"/>
    <cellStyle name="Обычный 8 7 2 4 2 2 3 3" xfId="45405"/>
    <cellStyle name="Обычный 8 7 2 4 2 2 3 3 2" xfId="45406"/>
    <cellStyle name="Обычный 8 7 2 4 2 2 3 3 3" xfId="45407"/>
    <cellStyle name="Обычный 8 7 2 4 2 2 3 4" xfId="45408"/>
    <cellStyle name="Обычный 8 7 2 4 2 2 3 4 2" xfId="45409"/>
    <cellStyle name="Обычный 8 7 2 4 2 2 3 5" xfId="45410"/>
    <cellStyle name="Обычный 8 7 2 4 2 2 3 6" xfId="45411"/>
    <cellStyle name="Обычный 8 7 2 4 2 2 4" xfId="45412"/>
    <cellStyle name="Обычный 8 7 2 4 2 2 4 2" xfId="45413"/>
    <cellStyle name="Обычный 8 7 2 4 2 2 4 3" xfId="45414"/>
    <cellStyle name="Обычный 8 7 2 4 2 2 5" xfId="45415"/>
    <cellStyle name="Обычный 8 7 2 4 2 2 5 2" xfId="45416"/>
    <cellStyle name="Обычный 8 7 2 4 2 2 5 3" xfId="45417"/>
    <cellStyle name="Обычный 8 7 2 4 2 2 6" xfId="45418"/>
    <cellStyle name="Обычный 8 7 2 4 2 2 6 2" xfId="45419"/>
    <cellStyle name="Обычный 8 7 2 4 2 2 7" xfId="45420"/>
    <cellStyle name="Обычный 8 7 2 4 2 2 8" xfId="45421"/>
    <cellStyle name="Обычный 8 7 2 4 2 3" xfId="45422"/>
    <cellStyle name="Обычный 8 7 2 4 2 3 2" xfId="45423"/>
    <cellStyle name="Обычный 8 7 2 4 2 3 2 2" xfId="45424"/>
    <cellStyle name="Обычный 8 7 2 4 2 3 2 2 2" xfId="45425"/>
    <cellStyle name="Обычный 8 7 2 4 2 3 2 2 3" xfId="45426"/>
    <cellStyle name="Обычный 8 7 2 4 2 3 2 3" xfId="45427"/>
    <cellStyle name="Обычный 8 7 2 4 2 3 2 3 2" xfId="45428"/>
    <cellStyle name="Обычный 8 7 2 4 2 3 2 3 3" xfId="45429"/>
    <cellStyle name="Обычный 8 7 2 4 2 3 2 4" xfId="45430"/>
    <cellStyle name="Обычный 8 7 2 4 2 3 2 4 2" xfId="45431"/>
    <cellStyle name="Обычный 8 7 2 4 2 3 2 5" xfId="45432"/>
    <cellStyle name="Обычный 8 7 2 4 2 3 2 6" xfId="45433"/>
    <cellStyle name="Обычный 8 7 2 4 2 3 3" xfId="45434"/>
    <cellStyle name="Обычный 8 7 2 4 2 3 3 2" xfId="45435"/>
    <cellStyle name="Обычный 8 7 2 4 2 3 3 3" xfId="45436"/>
    <cellStyle name="Обычный 8 7 2 4 2 3 4" xfId="45437"/>
    <cellStyle name="Обычный 8 7 2 4 2 3 4 2" xfId="45438"/>
    <cellStyle name="Обычный 8 7 2 4 2 3 4 3" xfId="45439"/>
    <cellStyle name="Обычный 8 7 2 4 2 3 5" xfId="45440"/>
    <cellStyle name="Обычный 8 7 2 4 2 3 5 2" xfId="45441"/>
    <cellStyle name="Обычный 8 7 2 4 2 3 6" xfId="45442"/>
    <cellStyle name="Обычный 8 7 2 4 2 3 7" xfId="45443"/>
    <cellStyle name="Обычный 8 7 2 4 2 4" xfId="45444"/>
    <cellStyle name="Обычный 8 7 2 4 2 4 2" xfId="45445"/>
    <cellStyle name="Обычный 8 7 2 4 2 4 2 2" xfId="45446"/>
    <cellStyle name="Обычный 8 7 2 4 2 4 2 3" xfId="45447"/>
    <cellStyle name="Обычный 8 7 2 4 2 4 3" xfId="45448"/>
    <cellStyle name="Обычный 8 7 2 4 2 4 3 2" xfId="45449"/>
    <cellStyle name="Обычный 8 7 2 4 2 4 3 3" xfId="45450"/>
    <cellStyle name="Обычный 8 7 2 4 2 4 4" xfId="45451"/>
    <cellStyle name="Обычный 8 7 2 4 2 4 4 2" xfId="45452"/>
    <cellStyle name="Обычный 8 7 2 4 2 4 5" xfId="45453"/>
    <cellStyle name="Обычный 8 7 2 4 2 4 6" xfId="45454"/>
    <cellStyle name="Обычный 8 7 2 4 2 5" xfId="45455"/>
    <cellStyle name="Обычный 8 7 2 4 2 5 2" xfId="45456"/>
    <cellStyle name="Обычный 8 7 2 4 2 5 3" xfId="45457"/>
    <cellStyle name="Обычный 8 7 2 4 2 6" xfId="45458"/>
    <cellStyle name="Обычный 8 7 2 4 2 6 2" xfId="45459"/>
    <cellStyle name="Обычный 8 7 2 4 2 6 3" xfId="45460"/>
    <cellStyle name="Обычный 8 7 2 4 2 7" xfId="45461"/>
    <cellStyle name="Обычный 8 7 2 4 2 7 2" xfId="45462"/>
    <cellStyle name="Обычный 8 7 2 4 2 8" xfId="45463"/>
    <cellStyle name="Обычный 8 7 2 4 2 9" xfId="45464"/>
    <cellStyle name="Обычный 8 7 2 4 3" xfId="45465"/>
    <cellStyle name="Обычный 8 7 2 4 3 2" xfId="45466"/>
    <cellStyle name="Обычный 8 7 2 4 3 2 2" xfId="45467"/>
    <cellStyle name="Обычный 8 7 2 4 3 2 2 2" xfId="45468"/>
    <cellStyle name="Обычный 8 7 2 4 3 2 2 2 2" xfId="45469"/>
    <cellStyle name="Обычный 8 7 2 4 3 2 2 2 3" xfId="45470"/>
    <cellStyle name="Обычный 8 7 2 4 3 2 2 3" xfId="45471"/>
    <cellStyle name="Обычный 8 7 2 4 3 2 2 3 2" xfId="45472"/>
    <cellStyle name="Обычный 8 7 2 4 3 2 2 3 3" xfId="45473"/>
    <cellStyle name="Обычный 8 7 2 4 3 2 2 4" xfId="45474"/>
    <cellStyle name="Обычный 8 7 2 4 3 2 2 4 2" xfId="45475"/>
    <cellStyle name="Обычный 8 7 2 4 3 2 2 5" xfId="45476"/>
    <cellStyle name="Обычный 8 7 2 4 3 2 2 6" xfId="45477"/>
    <cellStyle name="Обычный 8 7 2 4 3 2 3" xfId="45478"/>
    <cellStyle name="Обычный 8 7 2 4 3 2 3 2" xfId="45479"/>
    <cellStyle name="Обычный 8 7 2 4 3 2 3 3" xfId="45480"/>
    <cellStyle name="Обычный 8 7 2 4 3 2 4" xfId="45481"/>
    <cellStyle name="Обычный 8 7 2 4 3 2 4 2" xfId="45482"/>
    <cellStyle name="Обычный 8 7 2 4 3 2 4 3" xfId="45483"/>
    <cellStyle name="Обычный 8 7 2 4 3 2 5" xfId="45484"/>
    <cellStyle name="Обычный 8 7 2 4 3 2 5 2" xfId="45485"/>
    <cellStyle name="Обычный 8 7 2 4 3 2 6" xfId="45486"/>
    <cellStyle name="Обычный 8 7 2 4 3 2 7" xfId="45487"/>
    <cellStyle name="Обычный 8 7 2 4 3 3" xfId="45488"/>
    <cellStyle name="Обычный 8 7 2 4 3 3 2" xfId="45489"/>
    <cellStyle name="Обычный 8 7 2 4 3 3 2 2" xfId="45490"/>
    <cellStyle name="Обычный 8 7 2 4 3 3 2 3" xfId="45491"/>
    <cellStyle name="Обычный 8 7 2 4 3 3 3" xfId="45492"/>
    <cellStyle name="Обычный 8 7 2 4 3 3 3 2" xfId="45493"/>
    <cellStyle name="Обычный 8 7 2 4 3 3 3 3" xfId="45494"/>
    <cellStyle name="Обычный 8 7 2 4 3 3 4" xfId="45495"/>
    <cellStyle name="Обычный 8 7 2 4 3 3 4 2" xfId="45496"/>
    <cellStyle name="Обычный 8 7 2 4 3 3 5" xfId="45497"/>
    <cellStyle name="Обычный 8 7 2 4 3 3 6" xfId="45498"/>
    <cellStyle name="Обычный 8 7 2 4 3 4" xfId="45499"/>
    <cellStyle name="Обычный 8 7 2 4 3 4 2" xfId="45500"/>
    <cellStyle name="Обычный 8 7 2 4 3 4 3" xfId="45501"/>
    <cellStyle name="Обычный 8 7 2 4 3 5" xfId="45502"/>
    <cellStyle name="Обычный 8 7 2 4 3 5 2" xfId="45503"/>
    <cellStyle name="Обычный 8 7 2 4 3 5 3" xfId="45504"/>
    <cellStyle name="Обычный 8 7 2 4 3 6" xfId="45505"/>
    <cellStyle name="Обычный 8 7 2 4 3 6 2" xfId="45506"/>
    <cellStyle name="Обычный 8 7 2 4 3 7" xfId="45507"/>
    <cellStyle name="Обычный 8 7 2 4 3 8" xfId="45508"/>
    <cellStyle name="Обычный 8 7 2 4 4" xfId="45509"/>
    <cellStyle name="Обычный 8 7 2 4 4 2" xfId="45510"/>
    <cellStyle name="Обычный 8 7 2 4 4 2 2" xfId="45511"/>
    <cellStyle name="Обычный 8 7 2 4 4 2 2 2" xfId="45512"/>
    <cellStyle name="Обычный 8 7 2 4 4 2 2 3" xfId="45513"/>
    <cellStyle name="Обычный 8 7 2 4 4 2 3" xfId="45514"/>
    <cellStyle name="Обычный 8 7 2 4 4 2 3 2" xfId="45515"/>
    <cellStyle name="Обычный 8 7 2 4 4 2 3 3" xfId="45516"/>
    <cellStyle name="Обычный 8 7 2 4 4 2 4" xfId="45517"/>
    <cellStyle name="Обычный 8 7 2 4 4 2 4 2" xfId="45518"/>
    <cellStyle name="Обычный 8 7 2 4 4 2 5" xfId="45519"/>
    <cellStyle name="Обычный 8 7 2 4 4 2 6" xfId="45520"/>
    <cellStyle name="Обычный 8 7 2 4 4 3" xfId="45521"/>
    <cellStyle name="Обычный 8 7 2 4 4 3 2" xfId="45522"/>
    <cellStyle name="Обычный 8 7 2 4 4 3 3" xfId="45523"/>
    <cellStyle name="Обычный 8 7 2 4 4 4" xfId="45524"/>
    <cellStyle name="Обычный 8 7 2 4 4 4 2" xfId="45525"/>
    <cellStyle name="Обычный 8 7 2 4 4 4 3" xfId="45526"/>
    <cellStyle name="Обычный 8 7 2 4 4 5" xfId="45527"/>
    <cellStyle name="Обычный 8 7 2 4 4 5 2" xfId="45528"/>
    <cellStyle name="Обычный 8 7 2 4 4 6" xfId="45529"/>
    <cellStyle name="Обычный 8 7 2 4 4 7" xfId="45530"/>
    <cellStyle name="Обычный 8 7 2 4 5" xfId="45531"/>
    <cellStyle name="Обычный 8 7 2 4 5 2" xfId="45532"/>
    <cellStyle name="Обычный 8 7 2 4 5 2 2" xfId="45533"/>
    <cellStyle name="Обычный 8 7 2 4 5 2 3" xfId="45534"/>
    <cellStyle name="Обычный 8 7 2 4 5 3" xfId="45535"/>
    <cellStyle name="Обычный 8 7 2 4 5 3 2" xfId="45536"/>
    <cellStyle name="Обычный 8 7 2 4 5 3 3" xfId="45537"/>
    <cellStyle name="Обычный 8 7 2 4 5 4" xfId="45538"/>
    <cellStyle name="Обычный 8 7 2 4 5 4 2" xfId="45539"/>
    <cellStyle name="Обычный 8 7 2 4 5 5" xfId="45540"/>
    <cellStyle name="Обычный 8 7 2 4 5 6" xfId="45541"/>
    <cellStyle name="Обычный 8 7 2 4 6" xfId="45542"/>
    <cellStyle name="Обычный 8 7 2 4 6 2" xfId="45543"/>
    <cellStyle name="Обычный 8 7 2 4 6 3" xfId="45544"/>
    <cellStyle name="Обычный 8 7 2 4 7" xfId="45545"/>
    <cellStyle name="Обычный 8 7 2 4 7 2" xfId="45546"/>
    <cellStyle name="Обычный 8 7 2 4 7 3" xfId="45547"/>
    <cellStyle name="Обычный 8 7 2 4 8" xfId="45548"/>
    <cellStyle name="Обычный 8 7 2 4 8 2" xfId="45549"/>
    <cellStyle name="Обычный 8 7 2 4 9" xfId="45550"/>
    <cellStyle name="Обычный 8 7 2 5" xfId="45551"/>
    <cellStyle name="Обычный 8 7 2 5 2" xfId="45552"/>
    <cellStyle name="Обычный 8 7 2 5 2 2" xfId="45553"/>
    <cellStyle name="Обычный 8 7 2 5 2 2 2" xfId="45554"/>
    <cellStyle name="Обычный 8 7 2 5 2 2 2 2" xfId="45555"/>
    <cellStyle name="Обычный 8 7 2 5 2 2 2 2 2" xfId="45556"/>
    <cellStyle name="Обычный 8 7 2 5 2 2 2 2 3" xfId="45557"/>
    <cellStyle name="Обычный 8 7 2 5 2 2 2 3" xfId="45558"/>
    <cellStyle name="Обычный 8 7 2 5 2 2 2 3 2" xfId="45559"/>
    <cellStyle name="Обычный 8 7 2 5 2 2 2 3 3" xfId="45560"/>
    <cellStyle name="Обычный 8 7 2 5 2 2 2 4" xfId="45561"/>
    <cellStyle name="Обычный 8 7 2 5 2 2 2 4 2" xfId="45562"/>
    <cellStyle name="Обычный 8 7 2 5 2 2 2 5" xfId="45563"/>
    <cellStyle name="Обычный 8 7 2 5 2 2 2 6" xfId="45564"/>
    <cellStyle name="Обычный 8 7 2 5 2 2 3" xfId="45565"/>
    <cellStyle name="Обычный 8 7 2 5 2 2 3 2" xfId="45566"/>
    <cellStyle name="Обычный 8 7 2 5 2 2 3 3" xfId="45567"/>
    <cellStyle name="Обычный 8 7 2 5 2 2 4" xfId="45568"/>
    <cellStyle name="Обычный 8 7 2 5 2 2 4 2" xfId="45569"/>
    <cellStyle name="Обычный 8 7 2 5 2 2 4 3" xfId="45570"/>
    <cellStyle name="Обычный 8 7 2 5 2 2 5" xfId="45571"/>
    <cellStyle name="Обычный 8 7 2 5 2 2 5 2" xfId="45572"/>
    <cellStyle name="Обычный 8 7 2 5 2 2 6" xfId="45573"/>
    <cellStyle name="Обычный 8 7 2 5 2 2 7" xfId="45574"/>
    <cellStyle name="Обычный 8 7 2 5 2 3" xfId="45575"/>
    <cellStyle name="Обычный 8 7 2 5 2 3 2" xfId="45576"/>
    <cellStyle name="Обычный 8 7 2 5 2 3 2 2" xfId="45577"/>
    <cellStyle name="Обычный 8 7 2 5 2 3 2 3" xfId="45578"/>
    <cellStyle name="Обычный 8 7 2 5 2 3 3" xfId="45579"/>
    <cellStyle name="Обычный 8 7 2 5 2 3 3 2" xfId="45580"/>
    <cellStyle name="Обычный 8 7 2 5 2 3 3 3" xfId="45581"/>
    <cellStyle name="Обычный 8 7 2 5 2 3 4" xfId="45582"/>
    <cellStyle name="Обычный 8 7 2 5 2 3 4 2" xfId="45583"/>
    <cellStyle name="Обычный 8 7 2 5 2 3 5" xfId="45584"/>
    <cellStyle name="Обычный 8 7 2 5 2 3 6" xfId="45585"/>
    <cellStyle name="Обычный 8 7 2 5 2 4" xfId="45586"/>
    <cellStyle name="Обычный 8 7 2 5 2 4 2" xfId="45587"/>
    <cellStyle name="Обычный 8 7 2 5 2 4 3" xfId="45588"/>
    <cellStyle name="Обычный 8 7 2 5 2 5" xfId="45589"/>
    <cellStyle name="Обычный 8 7 2 5 2 5 2" xfId="45590"/>
    <cellStyle name="Обычный 8 7 2 5 2 5 3" xfId="45591"/>
    <cellStyle name="Обычный 8 7 2 5 2 6" xfId="45592"/>
    <cellStyle name="Обычный 8 7 2 5 2 6 2" xfId="45593"/>
    <cellStyle name="Обычный 8 7 2 5 2 7" xfId="45594"/>
    <cellStyle name="Обычный 8 7 2 5 2 8" xfId="45595"/>
    <cellStyle name="Обычный 8 7 2 5 3" xfId="45596"/>
    <cellStyle name="Обычный 8 7 2 5 3 2" xfId="45597"/>
    <cellStyle name="Обычный 8 7 2 5 3 2 2" xfId="45598"/>
    <cellStyle name="Обычный 8 7 2 5 3 2 2 2" xfId="45599"/>
    <cellStyle name="Обычный 8 7 2 5 3 2 2 3" xfId="45600"/>
    <cellStyle name="Обычный 8 7 2 5 3 2 3" xfId="45601"/>
    <cellStyle name="Обычный 8 7 2 5 3 2 3 2" xfId="45602"/>
    <cellStyle name="Обычный 8 7 2 5 3 2 3 3" xfId="45603"/>
    <cellStyle name="Обычный 8 7 2 5 3 2 4" xfId="45604"/>
    <cellStyle name="Обычный 8 7 2 5 3 2 4 2" xfId="45605"/>
    <cellStyle name="Обычный 8 7 2 5 3 2 5" xfId="45606"/>
    <cellStyle name="Обычный 8 7 2 5 3 2 6" xfId="45607"/>
    <cellStyle name="Обычный 8 7 2 5 3 3" xfId="45608"/>
    <cellStyle name="Обычный 8 7 2 5 3 3 2" xfId="45609"/>
    <cellStyle name="Обычный 8 7 2 5 3 3 3" xfId="45610"/>
    <cellStyle name="Обычный 8 7 2 5 3 4" xfId="45611"/>
    <cellStyle name="Обычный 8 7 2 5 3 4 2" xfId="45612"/>
    <cellStyle name="Обычный 8 7 2 5 3 4 3" xfId="45613"/>
    <cellStyle name="Обычный 8 7 2 5 3 5" xfId="45614"/>
    <cellStyle name="Обычный 8 7 2 5 3 5 2" xfId="45615"/>
    <cellStyle name="Обычный 8 7 2 5 3 6" xfId="45616"/>
    <cellStyle name="Обычный 8 7 2 5 3 7" xfId="45617"/>
    <cellStyle name="Обычный 8 7 2 5 4" xfId="45618"/>
    <cellStyle name="Обычный 8 7 2 5 4 2" xfId="45619"/>
    <cellStyle name="Обычный 8 7 2 5 4 2 2" xfId="45620"/>
    <cellStyle name="Обычный 8 7 2 5 4 2 3" xfId="45621"/>
    <cellStyle name="Обычный 8 7 2 5 4 3" xfId="45622"/>
    <cellStyle name="Обычный 8 7 2 5 4 3 2" xfId="45623"/>
    <cellStyle name="Обычный 8 7 2 5 4 3 3" xfId="45624"/>
    <cellStyle name="Обычный 8 7 2 5 4 4" xfId="45625"/>
    <cellStyle name="Обычный 8 7 2 5 4 4 2" xfId="45626"/>
    <cellStyle name="Обычный 8 7 2 5 4 5" xfId="45627"/>
    <cellStyle name="Обычный 8 7 2 5 4 6" xfId="45628"/>
    <cellStyle name="Обычный 8 7 2 5 5" xfId="45629"/>
    <cellStyle name="Обычный 8 7 2 5 5 2" xfId="45630"/>
    <cellStyle name="Обычный 8 7 2 5 5 3" xfId="45631"/>
    <cellStyle name="Обычный 8 7 2 5 6" xfId="45632"/>
    <cellStyle name="Обычный 8 7 2 5 6 2" xfId="45633"/>
    <cellStyle name="Обычный 8 7 2 5 6 3" xfId="45634"/>
    <cellStyle name="Обычный 8 7 2 5 7" xfId="45635"/>
    <cellStyle name="Обычный 8 7 2 5 7 2" xfId="45636"/>
    <cellStyle name="Обычный 8 7 2 5 8" xfId="45637"/>
    <cellStyle name="Обычный 8 7 2 5 9" xfId="45638"/>
    <cellStyle name="Обычный 8 7 2 6" xfId="45639"/>
    <cellStyle name="Обычный 8 7 2 6 2" xfId="45640"/>
    <cellStyle name="Обычный 8 7 2 6 2 2" xfId="45641"/>
    <cellStyle name="Обычный 8 7 2 6 2 2 2" xfId="45642"/>
    <cellStyle name="Обычный 8 7 2 6 2 2 2 2" xfId="45643"/>
    <cellStyle name="Обычный 8 7 2 6 2 2 2 3" xfId="45644"/>
    <cellStyle name="Обычный 8 7 2 6 2 2 3" xfId="45645"/>
    <cellStyle name="Обычный 8 7 2 6 2 2 3 2" xfId="45646"/>
    <cellStyle name="Обычный 8 7 2 6 2 2 3 3" xfId="45647"/>
    <cellStyle name="Обычный 8 7 2 6 2 2 4" xfId="45648"/>
    <cellStyle name="Обычный 8 7 2 6 2 2 4 2" xfId="45649"/>
    <cellStyle name="Обычный 8 7 2 6 2 2 5" xfId="45650"/>
    <cellStyle name="Обычный 8 7 2 6 2 2 6" xfId="45651"/>
    <cellStyle name="Обычный 8 7 2 6 2 3" xfId="45652"/>
    <cellStyle name="Обычный 8 7 2 6 2 3 2" xfId="45653"/>
    <cellStyle name="Обычный 8 7 2 6 2 3 3" xfId="45654"/>
    <cellStyle name="Обычный 8 7 2 6 2 4" xfId="45655"/>
    <cellStyle name="Обычный 8 7 2 6 2 4 2" xfId="45656"/>
    <cellStyle name="Обычный 8 7 2 6 2 4 3" xfId="45657"/>
    <cellStyle name="Обычный 8 7 2 6 2 5" xfId="45658"/>
    <cellStyle name="Обычный 8 7 2 6 2 5 2" xfId="45659"/>
    <cellStyle name="Обычный 8 7 2 6 2 6" xfId="45660"/>
    <cellStyle name="Обычный 8 7 2 6 2 7" xfId="45661"/>
    <cellStyle name="Обычный 8 7 2 6 3" xfId="45662"/>
    <cellStyle name="Обычный 8 7 2 6 3 2" xfId="45663"/>
    <cellStyle name="Обычный 8 7 2 6 3 2 2" xfId="45664"/>
    <cellStyle name="Обычный 8 7 2 6 3 2 3" xfId="45665"/>
    <cellStyle name="Обычный 8 7 2 6 3 3" xfId="45666"/>
    <cellStyle name="Обычный 8 7 2 6 3 3 2" xfId="45667"/>
    <cellStyle name="Обычный 8 7 2 6 3 3 3" xfId="45668"/>
    <cellStyle name="Обычный 8 7 2 6 3 4" xfId="45669"/>
    <cellStyle name="Обычный 8 7 2 6 3 4 2" xfId="45670"/>
    <cellStyle name="Обычный 8 7 2 6 3 5" xfId="45671"/>
    <cellStyle name="Обычный 8 7 2 6 3 6" xfId="45672"/>
    <cellStyle name="Обычный 8 7 2 6 4" xfId="45673"/>
    <cellStyle name="Обычный 8 7 2 6 4 2" xfId="45674"/>
    <cellStyle name="Обычный 8 7 2 6 4 3" xfId="45675"/>
    <cellStyle name="Обычный 8 7 2 6 5" xfId="45676"/>
    <cellStyle name="Обычный 8 7 2 6 5 2" xfId="45677"/>
    <cellStyle name="Обычный 8 7 2 6 5 3" xfId="45678"/>
    <cellStyle name="Обычный 8 7 2 6 6" xfId="45679"/>
    <cellStyle name="Обычный 8 7 2 6 6 2" xfId="45680"/>
    <cellStyle name="Обычный 8 7 2 6 7" xfId="45681"/>
    <cellStyle name="Обычный 8 7 2 6 8" xfId="45682"/>
    <cellStyle name="Обычный 8 7 2 7" xfId="45683"/>
    <cellStyle name="Обычный 8 7 2 7 2" xfId="45684"/>
    <cellStyle name="Обычный 8 7 2 7 2 2" xfId="45685"/>
    <cellStyle name="Обычный 8 7 2 7 2 2 2" xfId="45686"/>
    <cellStyle name="Обычный 8 7 2 7 2 2 3" xfId="45687"/>
    <cellStyle name="Обычный 8 7 2 7 2 3" xfId="45688"/>
    <cellStyle name="Обычный 8 7 2 7 2 3 2" xfId="45689"/>
    <cellStyle name="Обычный 8 7 2 7 2 3 3" xfId="45690"/>
    <cellStyle name="Обычный 8 7 2 7 2 4" xfId="45691"/>
    <cellStyle name="Обычный 8 7 2 7 2 4 2" xfId="45692"/>
    <cellStyle name="Обычный 8 7 2 7 2 5" xfId="45693"/>
    <cellStyle name="Обычный 8 7 2 7 2 6" xfId="45694"/>
    <cellStyle name="Обычный 8 7 2 7 3" xfId="45695"/>
    <cellStyle name="Обычный 8 7 2 7 3 2" xfId="45696"/>
    <cellStyle name="Обычный 8 7 2 7 3 3" xfId="45697"/>
    <cellStyle name="Обычный 8 7 2 7 4" xfId="45698"/>
    <cellStyle name="Обычный 8 7 2 7 4 2" xfId="45699"/>
    <cellStyle name="Обычный 8 7 2 7 4 3" xfId="45700"/>
    <cellStyle name="Обычный 8 7 2 7 5" xfId="45701"/>
    <cellStyle name="Обычный 8 7 2 7 5 2" xfId="45702"/>
    <cellStyle name="Обычный 8 7 2 7 6" xfId="45703"/>
    <cellStyle name="Обычный 8 7 2 7 7" xfId="45704"/>
    <cellStyle name="Обычный 8 7 2 8" xfId="45705"/>
    <cellStyle name="Обычный 8 7 2 8 2" xfId="45706"/>
    <cellStyle name="Обычный 8 7 2 8 2 2" xfId="45707"/>
    <cellStyle name="Обычный 8 7 2 8 2 3" xfId="45708"/>
    <cellStyle name="Обычный 8 7 2 8 3" xfId="45709"/>
    <cellStyle name="Обычный 8 7 2 8 3 2" xfId="45710"/>
    <cellStyle name="Обычный 8 7 2 8 3 3" xfId="45711"/>
    <cellStyle name="Обычный 8 7 2 8 4" xfId="45712"/>
    <cellStyle name="Обычный 8 7 2 8 4 2" xfId="45713"/>
    <cellStyle name="Обычный 8 7 2 8 5" xfId="45714"/>
    <cellStyle name="Обычный 8 7 2 8 6" xfId="45715"/>
    <cellStyle name="Обычный 8 7 2 9" xfId="45716"/>
    <cellStyle name="Обычный 8 7 2 9 2" xfId="45717"/>
    <cellStyle name="Обычный 8 7 2 9 3" xfId="45718"/>
    <cellStyle name="Обычный 8 7 3" xfId="45719"/>
    <cellStyle name="Обычный 8 7 3 10" xfId="45720"/>
    <cellStyle name="Обычный 8 7 3 2" xfId="45721"/>
    <cellStyle name="Обычный 8 7 3 2 2" xfId="45722"/>
    <cellStyle name="Обычный 8 7 3 2 2 2" xfId="45723"/>
    <cellStyle name="Обычный 8 7 3 2 2 2 2" xfId="45724"/>
    <cellStyle name="Обычный 8 7 3 2 2 2 2 2" xfId="45725"/>
    <cellStyle name="Обычный 8 7 3 2 2 2 2 2 2" xfId="45726"/>
    <cellStyle name="Обычный 8 7 3 2 2 2 2 2 3" xfId="45727"/>
    <cellStyle name="Обычный 8 7 3 2 2 2 2 3" xfId="45728"/>
    <cellStyle name="Обычный 8 7 3 2 2 2 2 3 2" xfId="45729"/>
    <cellStyle name="Обычный 8 7 3 2 2 2 2 3 3" xfId="45730"/>
    <cellStyle name="Обычный 8 7 3 2 2 2 2 4" xfId="45731"/>
    <cellStyle name="Обычный 8 7 3 2 2 2 2 4 2" xfId="45732"/>
    <cellStyle name="Обычный 8 7 3 2 2 2 2 5" xfId="45733"/>
    <cellStyle name="Обычный 8 7 3 2 2 2 2 6" xfId="45734"/>
    <cellStyle name="Обычный 8 7 3 2 2 2 3" xfId="45735"/>
    <cellStyle name="Обычный 8 7 3 2 2 2 3 2" xfId="45736"/>
    <cellStyle name="Обычный 8 7 3 2 2 2 3 3" xfId="45737"/>
    <cellStyle name="Обычный 8 7 3 2 2 2 4" xfId="45738"/>
    <cellStyle name="Обычный 8 7 3 2 2 2 4 2" xfId="45739"/>
    <cellStyle name="Обычный 8 7 3 2 2 2 4 3" xfId="45740"/>
    <cellStyle name="Обычный 8 7 3 2 2 2 5" xfId="45741"/>
    <cellStyle name="Обычный 8 7 3 2 2 2 5 2" xfId="45742"/>
    <cellStyle name="Обычный 8 7 3 2 2 2 6" xfId="45743"/>
    <cellStyle name="Обычный 8 7 3 2 2 2 7" xfId="45744"/>
    <cellStyle name="Обычный 8 7 3 2 2 3" xfId="45745"/>
    <cellStyle name="Обычный 8 7 3 2 2 3 2" xfId="45746"/>
    <cellStyle name="Обычный 8 7 3 2 2 3 2 2" xfId="45747"/>
    <cellStyle name="Обычный 8 7 3 2 2 3 2 3" xfId="45748"/>
    <cellStyle name="Обычный 8 7 3 2 2 3 3" xfId="45749"/>
    <cellStyle name="Обычный 8 7 3 2 2 3 3 2" xfId="45750"/>
    <cellStyle name="Обычный 8 7 3 2 2 3 3 3" xfId="45751"/>
    <cellStyle name="Обычный 8 7 3 2 2 3 4" xfId="45752"/>
    <cellStyle name="Обычный 8 7 3 2 2 3 4 2" xfId="45753"/>
    <cellStyle name="Обычный 8 7 3 2 2 3 5" xfId="45754"/>
    <cellStyle name="Обычный 8 7 3 2 2 3 6" xfId="45755"/>
    <cellStyle name="Обычный 8 7 3 2 2 4" xfId="45756"/>
    <cellStyle name="Обычный 8 7 3 2 2 4 2" xfId="45757"/>
    <cellStyle name="Обычный 8 7 3 2 2 4 3" xfId="45758"/>
    <cellStyle name="Обычный 8 7 3 2 2 5" xfId="45759"/>
    <cellStyle name="Обычный 8 7 3 2 2 5 2" xfId="45760"/>
    <cellStyle name="Обычный 8 7 3 2 2 5 3" xfId="45761"/>
    <cellStyle name="Обычный 8 7 3 2 2 6" xfId="45762"/>
    <cellStyle name="Обычный 8 7 3 2 2 6 2" xfId="45763"/>
    <cellStyle name="Обычный 8 7 3 2 2 7" xfId="45764"/>
    <cellStyle name="Обычный 8 7 3 2 2 8" xfId="45765"/>
    <cellStyle name="Обычный 8 7 3 2 3" xfId="45766"/>
    <cellStyle name="Обычный 8 7 3 2 3 2" xfId="45767"/>
    <cellStyle name="Обычный 8 7 3 2 3 2 2" xfId="45768"/>
    <cellStyle name="Обычный 8 7 3 2 3 2 2 2" xfId="45769"/>
    <cellStyle name="Обычный 8 7 3 2 3 2 2 3" xfId="45770"/>
    <cellStyle name="Обычный 8 7 3 2 3 2 3" xfId="45771"/>
    <cellStyle name="Обычный 8 7 3 2 3 2 3 2" xfId="45772"/>
    <cellStyle name="Обычный 8 7 3 2 3 2 3 3" xfId="45773"/>
    <cellStyle name="Обычный 8 7 3 2 3 2 4" xfId="45774"/>
    <cellStyle name="Обычный 8 7 3 2 3 2 4 2" xfId="45775"/>
    <cellStyle name="Обычный 8 7 3 2 3 2 5" xfId="45776"/>
    <cellStyle name="Обычный 8 7 3 2 3 2 6" xfId="45777"/>
    <cellStyle name="Обычный 8 7 3 2 3 3" xfId="45778"/>
    <cellStyle name="Обычный 8 7 3 2 3 3 2" xfId="45779"/>
    <cellStyle name="Обычный 8 7 3 2 3 3 3" xfId="45780"/>
    <cellStyle name="Обычный 8 7 3 2 3 4" xfId="45781"/>
    <cellStyle name="Обычный 8 7 3 2 3 4 2" xfId="45782"/>
    <cellStyle name="Обычный 8 7 3 2 3 4 3" xfId="45783"/>
    <cellStyle name="Обычный 8 7 3 2 3 5" xfId="45784"/>
    <cellStyle name="Обычный 8 7 3 2 3 5 2" xfId="45785"/>
    <cellStyle name="Обычный 8 7 3 2 3 6" xfId="45786"/>
    <cellStyle name="Обычный 8 7 3 2 3 7" xfId="45787"/>
    <cellStyle name="Обычный 8 7 3 2 4" xfId="45788"/>
    <cellStyle name="Обычный 8 7 3 2 4 2" xfId="45789"/>
    <cellStyle name="Обычный 8 7 3 2 4 2 2" xfId="45790"/>
    <cellStyle name="Обычный 8 7 3 2 4 2 3" xfId="45791"/>
    <cellStyle name="Обычный 8 7 3 2 4 3" xfId="45792"/>
    <cellStyle name="Обычный 8 7 3 2 4 3 2" xfId="45793"/>
    <cellStyle name="Обычный 8 7 3 2 4 3 3" xfId="45794"/>
    <cellStyle name="Обычный 8 7 3 2 4 4" xfId="45795"/>
    <cellStyle name="Обычный 8 7 3 2 4 4 2" xfId="45796"/>
    <cellStyle name="Обычный 8 7 3 2 4 5" xfId="45797"/>
    <cellStyle name="Обычный 8 7 3 2 4 6" xfId="45798"/>
    <cellStyle name="Обычный 8 7 3 2 5" xfId="45799"/>
    <cellStyle name="Обычный 8 7 3 2 5 2" xfId="45800"/>
    <cellStyle name="Обычный 8 7 3 2 5 3" xfId="45801"/>
    <cellStyle name="Обычный 8 7 3 2 6" xfId="45802"/>
    <cellStyle name="Обычный 8 7 3 2 6 2" xfId="45803"/>
    <cellStyle name="Обычный 8 7 3 2 6 3" xfId="45804"/>
    <cellStyle name="Обычный 8 7 3 2 7" xfId="45805"/>
    <cellStyle name="Обычный 8 7 3 2 7 2" xfId="45806"/>
    <cellStyle name="Обычный 8 7 3 2 8" xfId="45807"/>
    <cellStyle name="Обычный 8 7 3 2 9" xfId="45808"/>
    <cellStyle name="Обычный 8 7 3 3" xfId="45809"/>
    <cellStyle name="Обычный 8 7 3 3 2" xfId="45810"/>
    <cellStyle name="Обычный 8 7 3 3 2 2" xfId="45811"/>
    <cellStyle name="Обычный 8 7 3 3 2 2 2" xfId="45812"/>
    <cellStyle name="Обычный 8 7 3 3 2 2 2 2" xfId="45813"/>
    <cellStyle name="Обычный 8 7 3 3 2 2 2 3" xfId="45814"/>
    <cellStyle name="Обычный 8 7 3 3 2 2 3" xfId="45815"/>
    <cellStyle name="Обычный 8 7 3 3 2 2 3 2" xfId="45816"/>
    <cellStyle name="Обычный 8 7 3 3 2 2 3 3" xfId="45817"/>
    <cellStyle name="Обычный 8 7 3 3 2 2 4" xfId="45818"/>
    <cellStyle name="Обычный 8 7 3 3 2 2 4 2" xfId="45819"/>
    <cellStyle name="Обычный 8 7 3 3 2 2 5" xfId="45820"/>
    <cellStyle name="Обычный 8 7 3 3 2 2 6" xfId="45821"/>
    <cellStyle name="Обычный 8 7 3 3 2 3" xfId="45822"/>
    <cellStyle name="Обычный 8 7 3 3 2 3 2" xfId="45823"/>
    <cellStyle name="Обычный 8 7 3 3 2 3 3" xfId="45824"/>
    <cellStyle name="Обычный 8 7 3 3 2 4" xfId="45825"/>
    <cellStyle name="Обычный 8 7 3 3 2 4 2" xfId="45826"/>
    <cellStyle name="Обычный 8 7 3 3 2 4 3" xfId="45827"/>
    <cellStyle name="Обычный 8 7 3 3 2 5" xfId="45828"/>
    <cellStyle name="Обычный 8 7 3 3 2 5 2" xfId="45829"/>
    <cellStyle name="Обычный 8 7 3 3 2 6" xfId="45830"/>
    <cellStyle name="Обычный 8 7 3 3 2 7" xfId="45831"/>
    <cellStyle name="Обычный 8 7 3 3 3" xfId="45832"/>
    <cellStyle name="Обычный 8 7 3 3 3 2" xfId="45833"/>
    <cellStyle name="Обычный 8 7 3 3 3 2 2" xfId="45834"/>
    <cellStyle name="Обычный 8 7 3 3 3 2 3" xfId="45835"/>
    <cellStyle name="Обычный 8 7 3 3 3 3" xfId="45836"/>
    <cellStyle name="Обычный 8 7 3 3 3 3 2" xfId="45837"/>
    <cellStyle name="Обычный 8 7 3 3 3 3 3" xfId="45838"/>
    <cellStyle name="Обычный 8 7 3 3 3 4" xfId="45839"/>
    <cellStyle name="Обычный 8 7 3 3 3 4 2" xfId="45840"/>
    <cellStyle name="Обычный 8 7 3 3 3 5" xfId="45841"/>
    <cellStyle name="Обычный 8 7 3 3 3 6" xfId="45842"/>
    <cellStyle name="Обычный 8 7 3 3 4" xfId="45843"/>
    <cellStyle name="Обычный 8 7 3 3 4 2" xfId="45844"/>
    <cellStyle name="Обычный 8 7 3 3 4 3" xfId="45845"/>
    <cellStyle name="Обычный 8 7 3 3 5" xfId="45846"/>
    <cellStyle name="Обычный 8 7 3 3 5 2" xfId="45847"/>
    <cellStyle name="Обычный 8 7 3 3 5 3" xfId="45848"/>
    <cellStyle name="Обычный 8 7 3 3 6" xfId="45849"/>
    <cellStyle name="Обычный 8 7 3 3 6 2" xfId="45850"/>
    <cellStyle name="Обычный 8 7 3 3 7" xfId="45851"/>
    <cellStyle name="Обычный 8 7 3 3 8" xfId="45852"/>
    <cellStyle name="Обычный 8 7 3 4" xfId="45853"/>
    <cellStyle name="Обычный 8 7 3 4 2" xfId="45854"/>
    <cellStyle name="Обычный 8 7 3 4 2 2" xfId="45855"/>
    <cellStyle name="Обычный 8 7 3 4 2 2 2" xfId="45856"/>
    <cellStyle name="Обычный 8 7 3 4 2 2 3" xfId="45857"/>
    <cellStyle name="Обычный 8 7 3 4 2 3" xfId="45858"/>
    <cellStyle name="Обычный 8 7 3 4 2 3 2" xfId="45859"/>
    <cellStyle name="Обычный 8 7 3 4 2 3 3" xfId="45860"/>
    <cellStyle name="Обычный 8 7 3 4 2 4" xfId="45861"/>
    <cellStyle name="Обычный 8 7 3 4 2 4 2" xfId="45862"/>
    <cellStyle name="Обычный 8 7 3 4 2 5" xfId="45863"/>
    <cellStyle name="Обычный 8 7 3 4 2 6" xfId="45864"/>
    <cellStyle name="Обычный 8 7 3 4 3" xfId="45865"/>
    <cellStyle name="Обычный 8 7 3 4 3 2" xfId="45866"/>
    <cellStyle name="Обычный 8 7 3 4 3 3" xfId="45867"/>
    <cellStyle name="Обычный 8 7 3 4 4" xfId="45868"/>
    <cellStyle name="Обычный 8 7 3 4 4 2" xfId="45869"/>
    <cellStyle name="Обычный 8 7 3 4 4 3" xfId="45870"/>
    <cellStyle name="Обычный 8 7 3 4 5" xfId="45871"/>
    <cellStyle name="Обычный 8 7 3 4 5 2" xfId="45872"/>
    <cellStyle name="Обычный 8 7 3 4 6" xfId="45873"/>
    <cellStyle name="Обычный 8 7 3 4 7" xfId="45874"/>
    <cellStyle name="Обычный 8 7 3 5" xfId="45875"/>
    <cellStyle name="Обычный 8 7 3 5 2" xfId="45876"/>
    <cellStyle name="Обычный 8 7 3 5 2 2" xfId="45877"/>
    <cellStyle name="Обычный 8 7 3 5 2 3" xfId="45878"/>
    <cellStyle name="Обычный 8 7 3 5 3" xfId="45879"/>
    <cellStyle name="Обычный 8 7 3 5 3 2" xfId="45880"/>
    <cellStyle name="Обычный 8 7 3 5 3 3" xfId="45881"/>
    <cellStyle name="Обычный 8 7 3 5 4" xfId="45882"/>
    <cellStyle name="Обычный 8 7 3 5 4 2" xfId="45883"/>
    <cellStyle name="Обычный 8 7 3 5 5" xfId="45884"/>
    <cellStyle name="Обычный 8 7 3 5 6" xfId="45885"/>
    <cellStyle name="Обычный 8 7 3 6" xfId="45886"/>
    <cellStyle name="Обычный 8 7 3 6 2" xfId="45887"/>
    <cellStyle name="Обычный 8 7 3 6 3" xfId="45888"/>
    <cellStyle name="Обычный 8 7 3 7" xfId="45889"/>
    <cellStyle name="Обычный 8 7 3 7 2" xfId="45890"/>
    <cellStyle name="Обычный 8 7 3 7 3" xfId="45891"/>
    <cellStyle name="Обычный 8 7 3 8" xfId="45892"/>
    <cellStyle name="Обычный 8 7 3 8 2" xfId="45893"/>
    <cellStyle name="Обычный 8 7 3 9" xfId="45894"/>
    <cellStyle name="Обычный 8 7 4" xfId="45895"/>
    <cellStyle name="Обычный 8 7 4 10" xfId="45896"/>
    <cellStyle name="Обычный 8 7 4 2" xfId="45897"/>
    <cellStyle name="Обычный 8 7 4 2 2" xfId="45898"/>
    <cellStyle name="Обычный 8 7 4 2 2 2" xfId="45899"/>
    <cellStyle name="Обычный 8 7 4 2 2 2 2" xfId="45900"/>
    <cellStyle name="Обычный 8 7 4 2 2 2 2 2" xfId="45901"/>
    <cellStyle name="Обычный 8 7 4 2 2 2 2 2 2" xfId="45902"/>
    <cellStyle name="Обычный 8 7 4 2 2 2 2 2 3" xfId="45903"/>
    <cellStyle name="Обычный 8 7 4 2 2 2 2 3" xfId="45904"/>
    <cellStyle name="Обычный 8 7 4 2 2 2 2 3 2" xfId="45905"/>
    <cellStyle name="Обычный 8 7 4 2 2 2 2 3 3" xfId="45906"/>
    <cellStyle name="Обычный 8 7 4 2 2 2 2 4" xfId="45907"/>
    <cellStyle name="Обычный 8 7 4 2 2 2 2 4 2" xfId="45908"/>
    <cellStyle name="Обычный 8 7 4 2 2 2 2 5" xfId="45909"/>
    <cellStyle name="Обычный 8 7 4 2 2 2 2 6" xfId="45910"/>
    <cellStyle name="Обычный 8 7 4 2 2 2 3" xfId="45911"/>
    <cellStyle name="Обычный 8 7 4 2 2 2 3 2" xfId="45912"/>
    <cellStyle name="Обычный 8 7 4 2 2 2 3 3" xfId="45913"/>
    <cellStyle name="Обычный 8 7 4 2 2 2 4" xfId="45914"/>
    <cellStyle name="Обычный 8 7 4 2 2 2 4 2" xfId="45915"/>
    <cellStyle name="Обычный 8 7 4 2 2 2 4 3" xfId="45916"/>
    <cellStyle name="Обычный 8 7 4 2 2 2 5" xfId="45917"/>
    <cellStyle name="Обычный 8 7 4 2 2 2 5 2" xfId="45918"/>
    <cellStyle name="Обычный 8 7 4 2 2 2 6" xfId="45919"/>
    <cellStyle name="Обычный 8 7 4 2 2 2 7" xfId="45920"/>
    <cellStyle name="Обычный 8 7 4 2 2 3" xfId="45921"/>
    <cellStyle name="Обычный 8 7 4 2 2 3 2" xfId="45922"/>
    <cellStyle name="Обычный 8 7 4 2 2 3 2 2" xfId="45923"/>
    <cellStyle name="Обычный 8 7 4 2 2 3 2 3" xfId="45924"/>
    <cellStyle name="Обычный 8 7 4 2 2 3 3" xfId="45925"/>
    <cellStyle name="Обычный 8 7 4 2 2 3 3 2" xfId="45926"/>
    <cellStyle name="Обычный 8 7 4 2 2 3 3 3" xfId="45927"/>
    <cellStyle name="Обычный 8 7 4 2 2 3 4" xfId="45928"/>
    <cellStyle name="Обычный 8 7 4 2 2 3 4 2" xfId="45929"/>
    <cellStyle name="Обычный 8 7 4 2 2 3 5" xfId="45930"/>
    <cellStyle name="Обычный 8 7 4 2 2 3 6" xfId="45931"/>
    <cellStyle name="Обычный 8 7 4 2 2 4" xfId="45932"/>
    <cellStyle name="Обычный 8 7 4 2 2 4 2" xfId="45933"/>
    <cellStyle name="Обычный 8 7 4 2 2 4 3" xfId="45934"/>
    <cellStyle name="Обычный 8 7 4 2 2 5" xfId="45935"/>
    <cellStyle name="Обычный 8 7 4 2 2 5 2" xfId="45936"/>
    <cellStyle name="Обычный 8 7 4 2 2 5 3" xfId="45937"/>
    <cellStyle name="Обычный 8 7 4 2 2 6" xfId="45938"/>
    <cellStyle name="Обычный 8 7 4 2 2 6 2" xfId="45939"/>
    <cellStyle name="Обычный 8 7 4 2 2 7" xfId="45940"/>
    <cellStyle name="Обычный 8 7 4 2 2 8" xfId="45941"/>
    <cellStyle name="Обычный 8 7 4 2 3" xfId="45942"/>
    <cellStyle name="Обычный 8 7 4 2 3 2" xfId="45943"/>
    <cellStyle name="Обычный 8 7 4 2 3 2 2" xfId="45944"/>
    <cellStyle name="Обычный 8 7 4 2 3 2 2 2" xfId="45945"/>
    <cellStyle name="Обычный 8 7 4 2 3 2 2 3" xfId="45946"/>
    <cellStyle name="Обычный 8 7 4 2 3 2 3" xfId="45947"/>
    <cellStyle name="Обычный 8 7 4 2 3 2 3 2" xfId="45948"/>
    <cellStyle name="Обычный 8 7 4 2 3 2 3 3" xfId="45949"/>
    <cellStyle name="Обычный 8 7 4 2 3 2 4" xfId="45950"/>
    <cellStyle name="Обычный 8 7 4 2 3 2 4 2" xfId="45951"/>
    <cellStyle name="Обычный 8 7 4 2 3 2 5" xfId="45952"/>
    <cellStyle name="Обычный 8 7 4 2 3 2 6" xfId="45953"/>
    <cellStyle name="Обычный 8 7 4 2 3 3" xfId="45954"/>
    <cellStyle name="Обычный 8 7 4 2 3 3 2" xfId="45955"/>
    <cellStyle name="Обычный 8 7 4 2 3 3 3" xfId="45956"/>
    <cellStyle name="Обычный 8 7 4 2 3 4" xfId="45957"/>
    <cellStyle name="Обычный 8 7 4 2 3 4 2" xfId="45958"/>
    <cellStyle name="Обычный 8 7 4 2 3 4 3" xfId="45959"/>
    <cellStyle name="Обычный 8 7 4 2 3 5" xfId="45960"/>
    <cellStyle name="Обычный 8 7 4 2 3 5 2" xfId="45961"/>
    <cellStyle name="Обычный 8 7 4 2 3 6" xfId="45962"/>
    <cellStyle name="Обычный 8 7 4 2 3 7" xfId="45963"/>
    <cellStyle name="Обычный 8 7 4 2 4" xfId="45964"/>
    <cellStyle name="Обычный 8 7 4 2 4 2" xfId="45965"/>
    <cellStyle name="Обычный 8 7 4 2 4 2 2" xfId="45966"/>
    <cellStyle name="Обычный 8 7 4 2 4 2 3" xfId="45967"/>
    <cellStyle name="Обычный 8 7 4 2 4 3" xfId="45968"/>
    <cellStyle name="Обычный 8 7 4 2 4 3 2" xfId="45969"/>
    <cellStyle name="Обычный 8 7 4 2 4 3 3" xfId="45970"/>
    <cellStyle name="Обычный 8 7 4 2 4 4" xfId="45971"/>
    <cellStyle name="Обычный 8 7 4 2 4 4 2" xfId="45972"/>
    <cellStyle name="Обычный 8 7 4 2 4 5" xfId="45973"/>
    <cellStyle name="Обычный 8 7 4 2 4 6" xfId="45974"/>
    <cellStyle name="Обычный 8 7 4 2 5" xfId="45975"/>
    <cellStyle name="Обычный 8 7 4 2 5 2" xfId="45976"/>
    <cellStyle name="Обычный 8 7 4 2 5 3" xfId="45977"/>
    <cellStyle name="Обычный 8 7 4 2 6" xfId="45978"/>
    <cellStyle name="Обычный 8 7 4 2 6 2" xfId="45979"/>
    <cellStyle name="Обычный 8 7 4 2 6 3" xfId="45980"/>
    <cellStyle name="Обычный 8 7 4 2 7" xfId="45981"/>
    <cellStyle name="Обычный 8 7 4 2 7 2" xfId="45982"/>
    <cellStyle name="Обычный 8 7 4 2 8" xfId="45983"/>
    <cellStyle name="Обычный 8 7 4 2 9" xfId="45984"/>
    <cellStyle name="Обычный 8 7 4 3" xfId="45985"/>
    <cellStyle name="Обычный 8 7 4 3 2" xfId="45986"/>
    <cellStyle name="Обычный 8 7 4 3 2 2" xfId="45987"/>
    <cellStyle name="Обычный 8 7 4 3 2 2 2" xfId="45988"/>
    <cellStyle name="Обычный 8 7 4 3 2 2 2 2" xfId="45989"/>
    <cellStyle name="Обычный 8 7 4 3 2 2 2 3" xfId="45990"/>
    <cellStyle name="Обычный 8 7 4 3 2 2 3" xfId="45991"/>
    <cellStyle name="Обычный 8 7 4 3 2 2 3 2" xfId="45992"/>
    <cellStyle name="Обычный 8 7 4 3 2 2 3 3" xfId="45993"/>
    <cellStyle name="Обычный 8 7 4 3 2 2 4" xfId="45994"/>
    <cellStyle name="Обычный 8 7 4 3 2 2 4 2" xfId="45995"/>
    <cellStyle name="Обычный 8 7 4 3 2 2 5" xfId="45996"/>
    <cellStyle name="Обычный 8 7 4 3 2 2 6" xfId="45997"/>
    <cellStyle name="Обычный 8 7 4 3 2 3" xfId="45998"/>
    <cellStyle name="Обычный 8 7 4 3 2 3 2" xfId="45999"/>
    <cellStyle name="Обычный 8 7 4 3 2 3 3" xfId="46000"/>
    <cellStyle name="Обычный 8 7 4 3 2 4" xfId="46001"/>
    <cellStyle name="Обычный 8 7 4 3 2 4 2" xfId="46002"/>
    <cellStyle name="Обычный 8 7 4 3 2 4 3" xfId="46003"/>
    <cellStyle name="Обычный 8 7 4 3 2 5" xfId="46004"/>
    <cellStyle name="Обычный 8 7 4 3 2 5 2" xfId="46005"/>
    <cellStyle name="Обычный 8 7 4 3 2 6" xfId="46006"/>
    <cellStyle name="Обычный 8 7 4 3 2 7" xfId="46007"/>
    <cellStyle name="Обычный 8 7 4 3 3" xfId="46008"/>
    <cellStyle name="Обычный 8 7 4 3 3 2" xfId="46009"/>
    <cellStyle name="Обычный 8 7 4 3 3 2 2" xfId="46010"/>
    <cellStyle name="Обычный 8 7 4 3 3 2 3" xfId="46011"/>
    <cellStyle name="Обычный 8 7 4 3 3 3" xfId="46012"/>
    <cellStyle name="Обычный 8 7 4 3 3 3 2" xfId="46013"/>
    <cellStyle name="Обычный 8 7 4 3 3 3 3" xfId="46014"/>
    <cellStyle name="Обычный 8 7 4 3 3 4" xfId="46015"/>
    <cellStyle name="Обычный 8 7 4 3 3 4 2" xfId="46016"/>
    <cellStyle name="Обычный 8 7 4 3 3 5" xfId="46017"/>
    <cellStyle name="Обычный 8 7 4 3 3 6" xfId="46018"/>
    <cellStyle name="Обычный 8 7 4 3 4" xfId="46019"/>
    <cellStyle name="Обычный 8 7 4 3 4 2" xfId="46020"/>
    <cellStyle name="Обычный 8 7 4 3 4 3" xfId="46021"/>
    <cellStyle name="Обычный 8 7 4 3 5" xfId="46022"/>
    <cellStyle name="Обычный 8 7 4 3 5 2" xfId="46023"/>
    <cellStyle name="Обычный 8 7 4 3 5 3" xfId="46024"/>
    <cellStyle name="Обычный 8 7 4 3 6" xfId="46025"/>
    <cellStyle name="Обычный 8 7 4 3 6 2" xfId="46026"/>
    <cellStyle name="Обычный 8 7 4 3 7" xfId="46027"/>
    <cellStyle name="Обычный 8 7 4 3 8" xfId="46028"/>
    <cellStyle name="Обычный 8 7 4 4" xfId="46029"/>
    <cellStyle name="Обычный 8 7 4 4 2" xfId="46030"/>
    <cellStyle name="Обычный 8 7 4 4 2 2" xfId="46031"/>
    <cellStyle name="Обычный 8 7 4 4 2 2 2" xfId="46032"/>
    <cellStyle name="Обычный 8 7 4 4 2 2 3" xfId="46033"/>
    <cellStyle name="Обычный 8 7 4 4 2 3" xfId="46034"/>
    <cellStyle name="Обычный 8 7 4 4 2 3 2" xfId="46035"/>
    <cellStyle name="Обычный 8 7 4 4 2 3 3" xfId="46036"/>
    <cellStyle name="Обычный 8 7 4 4 2 4" xfId="46037"/>
    <cellStyle name="Обычный 8 7 4 4 2 4 2" xfId="46038"/>
    <cellStyle name="Обычный 8 7 4 4 2 5" xfId="46039"/>
    <cellStyle name="Обычный 8 7 4 4 2 6" xfId="46040"/>
    <cellStyle name="Обычный 8 7 4 4 3" xfId="46041"/>
    <cellStyle name="Обычный 8 7 4 4 3 2" xfId="46042"/>
    <cellStyle name="Обычный 8 7 4 4 3 3" xfId="46043"/>
    <cellStyle name="Обычный 8 7 4 4 4" xfId="46044"/>
    <cellStyle name="Обычный 8 7 4 4 4 2" xfId="46045"/>
    <cellStyle name="Обычный 8 7 4 4 4 3" xfId="46046"/>
    <cellStyle name="Обычный 8 7 4 4 5" xfId="46047"/>
    <cellStyle name="Обычный 8 7 4 4 5 2" xfId="46048"/>
    <cellStyle name="Обычный 8 7 4 4 6" xfId="46049"/>
    <cellStyle name="Обычный 8 7 4 4 7" xfId="46050"/>
    <cellStyle name="Обычный 8 7 4 5" xfId="46051"/>
    <cellStyle name="Обычный 8 7 4 5 2" xfId="46052"/>
    <cellStyle name="Обычный 8 7 4 5 2 2" xfId="46053"/>
    <cellStyle name="Обычный 8 7 4 5 2 3" xfId="46054"/>
    <cellStyle name="Обычный 8 7 4 5 3" xfId="46055"/>
    <cellStyle name="Обычный 8 7 4 5 3 2" xfId="46056"/>
    <cellStyle name="Обычный 8 7 4 5 3 3" xfId="46057"/>
    <cellStyle name="Обычный 8 7 4 5 4" xfId="46058"/>
    <cellStyle name="Обычный 8 7 4 5 4 2" xfId="46059"/>
    <cellStyle name="Обычный 8 7 4 5 5" xfId="46060"/>
    <cellStyle name="Обычный 8 7 4 5 6" xfId="46061"/>
    <cellStyle name="Обычный 8 7 4 6" xfId="46062"/>
    <cellStyle name="Обычный 8 7 4 6 2" xfId="46063"/>
    <cellStyle name="Обычный 8 7 4 6 3" xfId="46064"/>
    <cellStyle name="Обычный 8 7 4 7" xfId="46065"/>
    <cellStyle name="Обычный 8 7 4 7 2" xfId="46066"/>
    <cellStyle name="Обычный 8 7 4 7 3" xfId="46067"/>
    <cellStyle name="Обычный 8 7 4 8" xfId="46068"/>
    <cellStyle name="Обычный 8 7 4 8 2" xfId="46069"/>
    <cellStyle name="Обычный 8 7 4 9" xfId="46070"/>
    <cellStyle name="Обычный 8 7 5" xfId="46071"/>
    <cellStyle name="Обычный 8 7 5 10" xfId="46072"/>
    <cellStyle name="Обычный 8 7 5 2" xfId="46073"/>
    <cellStyle name="Обычный 8 7 5 2 2" xfId="46074"/>
    <cellStyle name="Обычный 8 7 5 2 2 2" xfId="46075"/>
    <cellStyle name="Обычный 8 7 5 2 2 2 2" xfId="46076"/>
    <cellStyle name="Обычный 8 7 5 2 2 2 2 2" xfId="46077"/>
    <cellStyle name="Обычный 8 7 5 2 2 2 2 2 2" xfId="46078"/>
    <cellStyle name="Обычный 8 7 5 2 2 2 2 2 3" xfId="46079"/>
    <cellStyle name="Обычный 8 7 5 2 2 2 2 3" xfId="46080"/>
    <cellStyle name="Обычный 8 7 5 2 2 2 2 3 2" xfId="46081"/>
    <cellStyle name="Обычный 8 7 5 2 2 2 2 3 3" xfId="46082"/>
    <cellStyle name="Обычный 8 7 5 2 2 2 2 4" xfId="46083"/>
    <cellStyle name="Обычный 8 7 5 2 2 2 2 4 2" xfId="46084"/>
    <cellStyle name="Обычный 8 7 5 2 2 2 2 5" xfId="46085"/>
    <cellStyle name="Обычный 8 7 5 2 2 2 2 6" xfId="46086"/>
    <cellStyle name="Обычный 8 7 5 2 2 2 3" xfId="46087"/>
    <cellStyle name="Обычный 8 7 5 2 2 2 3 2" xfId="46088"/>
    <cellStyle name="Обычный 8 7 5 2 2 2 3 3" xfId="46089"/>
    <cellStyle name="Обычный 8 7 5 2 2 2 4" xfId="46090"/>
    <cellStyle name="Обычный 8 7 5 2 2 2 4 2" xfId="46091"/>
    <cellStyle name="Обычный 8 7 5 2 2 2 4 3" xfId="46092"/>
    <cellStyle name="Обычный 8 7 5 2 2 2 5" xfId="46093"/>
    <cellStyle name="Обычный 8 7 5 2 2 2 5 2" xfId="46094"/>
    <cellStyle name="Обычный 8 7 5 2 2 2 6" xfId="46095"/>
    <cellStyle name="Обычный 8 7 5 2 2 2 7" xfId="46096"/>
    <cellStyle name="Обычный 8 7 5 2 2 3" xfId="46097"/>
    <cellStyle name="Обычный 8 7 5 2 2 3 2" xfId="46098"/>
    <cellStyle name="Обычный 8 7 5 2 2 3 2 2" xfId="46099"/>
    <cellStyle name="Обычный 8 7 5 2 2 3 2 3" xfId="46100"/>
    <cellStyle name="Обычный 8 7 5 2 2 3 3" xfId="46101"/>
    <cellStyle name="Обычный 8 7 5 2 2 3 3 2" xfId="46102"/>
    <cellStyle name="Обычный 8 7 5 2 2 3 3 3" xfId="46103"/>
    <cellStyle name="Обычный 8 7 5 2 2 3 4" xfId="46104"/>
    <cellStyle name="Обычный 8 7 5 2 2 3 4 2" xfId="46105"/>
    <cellStyle name="Обычный 8 7 5 2 2 3 5" xfId="46106"/>
    <cellStyle name="Обычный 8 7 5 2 2 3 6" xfId="46107"/>
    <cellStyle name="Обычный 8 7 5 2 2 4" xfId="46108"/>
    <cellStyle name="Обычный 8 7 5 2 2 4 2" xfId="46109"/>
    <cellStyle name="Обычный 8 7 5 2 2 4 3" xfId="46110"/>
    <cellStyle name="Обычный 8 7 5 2 2 5" xfId="46111"/>
    <cellStyle name="Обычный 8 7 5 2 2 5 2" xfId="46112"/>
    <cellStyle name="Обычный 8 7 5 2 2 5 3" xfId="46113"/>
    <cellStyle name="Обычный 8 7 5 2 2 6" xfId="46114"/>
    <cellStyle name="Обычный 8 7 5 2 2 6 2" xfId="46115"/>
    <cellStyle name="Обычный 8 7 5 2 2 7" xfId="46116"/>
    <cellStyle name="Обычный 8 7 5 2 2 8" xfId="46117"/>
    <cellStyle name="Обычный 8 7 5 2 3" xfId="46118"/>
    <cellStyle name="Обычный 8 7 5 2 3 2" xfId="46119"/>
    <cellStyle name="Обычный 8 7 5 2 3 2 2" xfId="46120"/>
    <cellStyle name="Обычный 8 7 5 2 3 2 2 2" xfId="46121"/>
    <cellStyle name="Обычный 8 7 5 2 3 2 2 3" xfId="46122"/>
    <cellStyle name="Обычный 8 7 5 2 3 2 3" xfId="46123"/>
    <cellStyle name="Обычный 8 7 5 2 3 2 3 2" xfId="46124"/>
    <cellStyle name="Обычный 8 7 5 2 3 2 3 3" xfId="46125"/>
    <cellStyle name="Обычный 8 7 5 2 3 2 4" xfId="46126"/>
    <cellStyle name="Обычный 8 7 5 2 3 2 4 2" xfId="46127"/>
    <cellStyle name="Обычный 8 7 5 2 3 2 5" xfId="46128"/>
    <cellStyle name="Обычный 8 7 5 2 3 2 6" xfId="46129"/>
    <cellStyle name="Обычный 8 7 5 2 3 3" xfId="46130"/>
    <cellStyle name="Обычный 8 7 5 2 3 3 2" xfId="46131"/>
    <cellStyle name="Обычный 8 7 5 2 3 3 3" xfId="46132"/>
    <cellStyle name="Обычный 8 7 5 2 3 4" xfId="46133"/>
    <cellStyle name="Обычный 8 7 5 2 3 4 2" xfId="46134"/>
    <cellStyle name="Обычный 8 7 5 2 3 4 3" xfId="46135"/>
    <cellStyle name="Обычный 8 7 5 2 3 5" xfId="46136"/>
    <cellStyle name="Обычный 8 7 5 2 3 5 2" xfId="46137"/>
    <cellStyle name="Обычный 8 7 5 2 3 6" xfId="46138"/>
    <cellStyle name="Обычный 8 7 5 2 3 7" xfId="46139"/>
    <cellStyle name="Обычный 8 7 5 2 4" xfId="46140"/>
    <cellStyle name="Обычный 8 7 5 2 4 2" xfId="46141"/>
    <cellStyle name="Обычный 8 7 5 2 4 2 2" xfId="46142"/>
    <cellStyle name="Обычный 8 7 5 2 4 2 3" xfId="46143"/>
    <cellStyle name="Обычный 8 7 5 2 4 3" xfId="46144"/>
    <cellStyle name="Обычный 8 7 5 2 4 3 2" xfId="46145"/>
    <cellStyle name="Обычный 8 7 5 2 4 3 3" xfId="46146"/>
    <cellStyle name="Обычный 8 7 5 2 4 4" xfId="46147"/>
    <cellStyle name="Обычный 8 7 5 2 4 4 2" xfId="46148"/>
    <cellStyle name="Обычный 8 7 5 2 4 5" xfId="46149"/>
    <cellStyle name="Обычный 8 7 5 2 4 6" xfId="46150"/>
    <cellStyle name="Обычный 8 7 5 2 5" xfId="46151"/>
    <cellStyle name="Обычный 8 7 5 2 5 2" xfId="46152"/>
    <cellStyle name="Обычный 8 7 5 2 5 3" xfId="46153"/>
    <cellStyle name="Обычный 8 7 5 2 6" xfId="46154"/>
    <cellStyle name="Обычный 8 7 5 2 6 2" xfId="46155"/>
    <cellStyle name="Обычный 8 7 5 2 6 3" xfId="46156"/>
    <cellStyle name="Обычный 8 7 5 2 7" xfId="46157"/>
    <cellStyle name="Обычный 8 7 5 2 7 2" xfId="46158"/>
    <cellStyle name="Обычный 8 7 5 2 8" xfId="46159"/>
    <cellStyle name="Обычный 8 7 5 2 9" xfId="46160"/>
    <cellStyle name="Обычный 8 7 5 3" xfId="46161"/>
    <cellStyle name="Обычный 8 7 5 3 2" xfId="46162"/>
    <cellStyle name="Обычный 8 7 5 3 2 2" xfId="46163"/>
    <cellStyle name="Обычный 8 7 5 3 2 2 2" xfId="46164"/>
    <cellStyle name="Обычный 8 7 5 3 2 2 2 2" xfId="46165"/>
    <cellStyle name="Обычный 8 7 5 3 2 2 2 3" xfId="46166"/>
    <cellStyle name="Обычный 8 7 5 3 2 2 3" xfId="46167"/>
    <cellStyle name="Обычный 8 7 5 3 2 2 3 2" xfId="46168"/>
    <cellStyle name="Обычный 8 7 5 3 2 2 3 3" xfId="46169"/>
    <cellStyle name="Обычный 8 7 5 3 2 2 4" xfId="46170"/>
    <cellStyle name="Обычный 8 7 5 3 2 2 4 2" xfId="46171"/>
    <cellStyle name="Обычный 8 7 5 3 2 2 5" xfId="46172"/>
    <cellStyle name="Обычный 8 7 5 3 2 2 6" xfId="46173"/>
    <cellStyle name="Обычный 8 7 5 3 2 3" xfId="46174"/>
    <cellStyle name="Обычный 8 7 5 3 2 3 2" xfId="46175"/>
    <cellStyle name="Обычный 8 7 5 3 2 3 3" xfId="46176"/>
    <cellStyle name="Обычный 8 7 5 3 2 4" xfId="46177"/>
    <cellStyle name="Обычный 8 7 5 3 2 4 2" xfId="46178"/>
    <cellStyle name="Обычный 8 7 5 3 2 4 3" xfId="46179"/>
    <cellStyle name="Обычный 8 7 5 3 2 5" xfId="46180"/>
    <cellStyle name="Обычный 8 7 5 3 2 5 2" xfId="46181"/>
    <cellStyle name="Обычный 8 7 5 3 2 6" xfId="46182"/>
    <cellStyle name="Обычный 8 7 5 3 2 7" xfId="46183"/>
    <cellStyle name="Обычный 8 7 5 3 3" xfId="46184"/>
    <cellStyle name="Обычный 8 7 5 3 3 2" xfId="46185"/>
    <cellStyle name="Обычный 8 7 5 3 3 2 2" xfId="46186"/>
    <cellStyle name="Обычный 8 7 5 3 3 2 3" xfId="46187"/>
    <cellStyle name="Обычный 8 7 5 3 3 3" xfId="46188"/>
    <cellStyle name="Обычный 8 7 5 3 3 3 2" xfId="46189"/>
    <cellStyle name="Обычный 8 7 5 3 3 3 3" xfId="46190"/>
    <cellStyle name="Обычный 8 7 5 3 3 4" xfId="46191"/>
    <cellStyle name="Обычный 8 7 5 3 3 4 2" xfId="46192"/>
    <cellStyle name="Обычный 8 7 5 3 3 5" xfId="46193"/>
    <cellStyle name="Обычный 8 7 5 3 3 6" xfId="46194"/>
    <cellStyle name="Обычный 8 7 5 3 4" xfId="46195"/>
    <cellStyle name="Обычный 8 7 5 3 4 2" xfId="46196"/>
    <cellStyle name="Обычный 8 7 5 3 4 3" xfId="46197"/>
    <cellStyle name="Обычный 8 7 5 3 5" xfId="46198"/>
    <cellStyle name="Обычный 8 7 5 3 5 2" xfId="46199"/>
    <cellStyle name="Обычный 8 7 5 3 5 3" xfId="46200"/>
    <cellStyle name="Обычный 8 7 5 3 6" xfId="46201"/>
    <cellStyle name="Обычный 8 7 5 3 6 2" xfId="46202"/>
    <cellStyle name="Обычный 8 7 5 3 7" xfId="46203"/>
    <cellStyle name="Обычный 8 7 5 3 8" xfId="46204"/>
    <cellStyle name="Обычный 8 7 5 4" xfId="46205"/>
    <cellStyle name="Обычный 8 7 5 4 2" xfId="46206"/>
    <cellStyle name="Обычный 8 7 5 4 2 2" xfId="46207"/>
    <cellStyle name="Обычный 8 7 5 4 2 2 2" xfId="46208"/>
    <cellStyle name="Обычный 8 7 5 4 2 2 3" xfId="46209"/>
    <cellStyle name="Обычный 8 7 5 4 2 3" xfId="46210"/>
    <cellStyle name="Обычный 8 7 5 4 2 3 2" xfId="46211"/>
    <cellStyle name="Обычный 8 7 5 4 2 3 3" xfId="46212"/>
    <cellStyle name="Обычный 8 7 5 4 2 4" xfId="46213"/>
    <cellStyle name="Обычный 8 7 5 4 2 4 2" xfId="46214"/>
    <cellStyle name="Обычный 8 7 5 4 2 5" xfId="46215"/>
    <cellStyle name="Обычный 8 7 5 4 2 6" xfId="46216"/>
    <cellStyle name="Обычный 8 7 5 4 3" xfId="46217"/>
    <cellStyle name="Обычный 8 7 5 4 3 2" xfId="46218"/>
    <cellStyle name="Обычный 8 7 5 4 3 3" xfId="46219"/>
    <cellStyle name="Обычный 8 7 5 4 4" xfId="46220"/>
    <cellStyle name="Обычный 8 7 5 4 4 2" xfId="46221"/>
    <cellStyle name="Обычный 8 7 5 4 4 3" xfId="46222"/>
    <cellStyle name="Обычный 8 7 5 4 5" xfId="46223"/>
    <cellStyle name="Обычный 8 7 5 4 5 2" xfId="46224"/>
    <cellStyle name="Обычный 8 7 5 4 6" xfId="46225"/>
    <cellStyle name="Обычный 8 7 5 4 7" xfId="46226"/>
    <cellStyle name="Обычный 8 7 5 5" xfId="46227"/>
    <cellStyle name="Обычный 8 7 5 5 2" xfId="46228"/>
    <cellStyle name="Обычный 8 7 5 5 2 2" xfId="46229"/>
    <cellStyle name="Обычный 8 7 5 5 2 3" xfId="46230"/>
    <cellStyle name="Обычный 8 7 5 5 3" xfId="46231"/>
    <cellStyle name="Обычный 8 7 5 5 3 2" xfId="46232"/>
    <cellStyle name="Обычный 8 7 5 5 3 3" xfId="46233"/>
    <cellStyle name="Обычный 8 7 5 5 4" xfId="46234"/>
    <cellStyle name="Обычный 8 7 5 5 4 2" xfId="46235"/>
    <cellStyle name="Обычный 8 7 5 5 5" xfId="46236"/>
    <cellStyle name="Обычный 8 7 5 5 6" xfId="46237"/>
    <cellStyle name="Обычный 8 7 5 6" xfId="46238"/>
    <cellStyle name="Обычный 8 7 5 6 2" xfId="46239"/>
    <cellStyle name="Обычный 8 7 5 6 3" xfId="46240"/>
    <cellStyle name="Обычный 8 7 5 7" xfId="46241"/>
    <cellStyle name="Обычный 8 7 5 7 2" xfId="46242"/>
    <cellStyle name="Обычный 8 7 5 7 3" xfId="46243"/>
    <cellStyle name="Обычный 8 7 5 8" xfId="46244"/>
    <cellStyle name="Обычный 8 7 5 8 2" xfId="46245"/>
    <cellStyle name="Обычный 8 7 5 9" xfId="46246"/>
    <cellStyle name="Обычный 8 7 6" xfId="46247"/>
    <cellStyle name="Обычный 8 7 6 2" xfId="46248"/>
    <cellStyle name="Обычный 8 7 6 2 2" xfId="46249"/>
    <cellStyle name="Обычный 8 7 6 2 2 2" xfId="46250"/>
    <cellStyle name="Обычный 8 7 6 2 2 2 2" xfId="46251"/>
    <cellStyle name="Обычный 8 7 6 2 2 2 2 2" xfId="46252"/>
    <cellStyle name="Обычный 8 7 6 2 2 2 2 3" xfId="46253"/>
    <cellStyle name="Обычный 8 7 6 2 2 2 3" xfId="46254"/>
    <cellStyle name="Обычный 8 7 6 2 2 2 3 2" xfId="46255"/>
    <cellStyle name="Обычный 8 7 6 2 2 2 3 3" xfId="46256"/>
    <cellStyle name="Обычный 8 7 6 2 2 2 4" xfId="46257"/>
    <cellStyle name="Обычный 8 7 6 2 2 2 4 2" xfId="46258"/>
    <cellStyle name="Обычный 8 7 6 2 2 2 5" xfId="46259"/>
    <cellStyle name="Обычный 8 7 6 2 2 2 6" xfId="46260"/>
    <cellStyle name="Обычный 8 7 6 2 2 3" xfId="46261"/>
    <cellStyle name="Обычный 8 7 6 2 2 3 2" xfId="46262"/>
    <cellStyle name="Обычный 8 7 6 2 2 3 3" xfId="46263"/>
    <cellStyle name="Обычный 8 7 6 2 2 4" xfId="46264"/>
    <cellStyle name="Обычный 8 7 6 2 2 4 2" xfId="46265"/>
    <cellStyle name="Обычный 8 7 6 2 2 4 3" xfId="46266"/>
    <cellStyle name="Обычный 8 7 6 2 2 5" xfId="46267"/>
    <cellStyle name="Обычный 8 7 6 2 2 5 2" xfId="46268"/>
    <cellStyle name="Обычный 8 7 6 2 2 6" xfId="46269"/>
    <cellStyle name="Обычный 8 7 6 2 2 7" xfId="46270"/>
    <cellStyle name="Обычный 8 7 6 2 3" xfId="46271"/>
    <cellStyle name="Обычный 8 7 6 2 3 2" xfId="46272"/>
    <cellStyle name="Обычный 8 7 6 2 3 2 2" xfId="46273"/>
    <cellStyle name="Обычный 8 7 6 2 3 2 3" xfId="46274"/>
    <cellStyle name="Обычный 8 7 6 2 3 3" xfId="46275"/>
    <cellStyle name="Обычный 8 7 6 2 3 3 2" xfId="46276"/>
    <cellStyle name="Обычный 8 7 6 2 3 3 3" xfId="46277"/>
    <cellStyle name="Обычный 8 7 6 2 3 4" xfId="46278"/>
    <cellStyle name="Обычный 8 7 6 2 3 4 2" xfId="46279"/>
    <cellStyle name="Обычный 8 7 6 2 3 5" xfId="46280"/>
    <cellStyle name="Обычный 8 7 6 2 3 6" xfId="46281"/>
    <cellStyle name="Обычный 8 7 6 2 4" xfId="46282"/>
    <cellStyle name="Обычный 8 7 6 2 4 2" xfId="46283"/>
    <cellStyle name="Обычный 8 7 6 2 4 3" xfId="46284"/>
    <cellStyle name="Обычный 8 7 6 2 5" xfId="46285"/>
    <cellStyle name="Обычный 8 7 6 2 5 2" xfId="46286"/>
    <cellStyle name="Обычный 8 7 6 2 5 3" xfId="46287"/>
    <cellStyle name="Обычный 8 7 6 2 6" xfId="46288"/>
    <cellStyle name="Обычный 8 7 6 2 6 2" xfId="46289"/>
    <cellStyle name="Обычный 8 7 6 2 7" xfId="46290"/>
    <cellStyle name="Обычный 8 7 6 2 8" xfId="46291"/>
    <cellStyle name="Обычный 8 7 6 3" xfId="46292"/>
    <cellStyle name="Обычный 8 7 6 3 2" xfId="46293"/>
    <cellStyle name="Обычный 8 7 6 3 2 2" xfId="46294"/>
    <cellStyle name="Обычный 8 7 6 3 2 2 2" xfId="46295"/>
    <cellStyle name="Обычный 8 7 6 3 2 2 3" xfId="46296"/>
    <cellStyle name="Обычный 8 7 6 3 2 3" xfId="46297"/>
    <cellStyle name="Обычный 8 7 6 3 2 3 2" xfId="46298"/>
    <cellStyle name="Обычный 8 7 6 3 2 3 3" xfId="46299"/>
    <cellStyle name="Обычный 8 7 6 3 2 4" xfId="46300"/>
    <cellStyle name="Обычный 8 7 6 3 2 4 2" xfId="46301"/>
    <cellStyle name="Обычный 8 7 6 3 2 5" xfId="46302"/>
    <cellStyle name="Обычный 8 7 6 3 2 6" xfId="46303"/>
    <cellStyle name="Обычный 8 7 6 3 3" xfId="46304"/>
    <cellStyle name="Обычный 8 7 6 3 3 2" xfId="46305"/>
    <cellStyle name="Обычный 8 7 6 3 3 3" xfId="46306"/>
    <cellStyle name="Обычный 8 7 6 3 4" xfId="46307"/>
    <cellStyle name="Обычный 8 7 6 3 4 2" xfId="46308"/>
    <cellStyle name="Обычный 8 7 6 3 4 3" xfId="46309"/>
    <cellStyle name="Обычный 8 7 6 3 5" xfId="46310"/>
    <cellStyle name="Обычный 8 7 6 3 5 2" xfId="46311"/>
    <cellStyle name="Обычный 8 7 6 3 6" xfId="46312"/>
    <cellStyle name="Обычный 8 7 6 3 7" xfId="46313"/>
    <cellStyle name="Обычный 8 7 6 4" xfId="46314"/>
    <cellStyle name="Обычный 8 7 6 4 2" xfId="46315"/>
    <cellStyle name="Обычный 8 7 6 4 2 2" xfId="46316"/>
    <cellStyle name="Обычный 8 7 6 4 2 3" xfId="46317"/>
    <cellStyle name="Обычный 8 7 6 4 3" xfId="46318"/>
    <cellStyle name="Обычный 8 7 6 4 3 2" xfId="46319"/>
    <cellStyle name="Обычный 8 7 6 4 3 3" xfId="46320"/>
    <cellStyle name="Обычный 8 7 6 4 4" xfId="46321"/>
    <cellStyle name="Обычный 8 7 6 4 4 2" xfId="46322"/>
    <cellStyle name="Обычный 8 7 6 4 5" xfId="46323"/>
    <cellStyle name="Обычный 8 7 6 4 6" xfId="46324"/>
    <cellStyle name="Обычный 8 7 6 5" xfId="46325"/>
    <cellStyle name="Обычный 8 7 6 5 2" xfId="46326"/>
    <cellStyle name="Обычный 8 7 6 5 3" xfId="46327"/>
    <cellStyle name="Обычный 8 7 6 6" xfId="46328"/>
    <cellStyle name="Обычный 8 7 6 6 2" xfId="46329"/>
    <cellStyle name="Обычный 8 7 6 6 3" xfId="46330"/>
    <cellStyle name="Обычный 8 7 6 7" xfId="46331"/>
    <cellStyle name="Обычный 8 7 6 7 2" xfId="46332"/>
    <cellStyle name="Обычный 8 7 6 8" xfId="46333"/>
    <cellStyle name="Обычный 8 7 6 9" xfId="46334"/>
    <cellStyle name="Обычный 8 7 7" xfId="46335"/>
    <cellStyle name="Обычный 8 7 7 2" xfId="46336"/>
    <cellStyle name="Обычный 8 7 7 2 2" xfId="46337"/>
    <cellStyle name="Обычный 8 7 7 2 2 2" xfId="46338"/>
    <cellStyle name="Обычный 8 7 7 2 2 2 2" xfId="46339"/>
    <cellStyle name="Обычный 8 7 7 2 2 2 3" xfId="46340"/>
    <cellStyle name="Обычный 8 7 7 2 2 3" xfId="46341"/>
    <cellStyle name="Обычный 8 7 7 2 2 3 2" xfId="46342"/>
    <cellStyle name="Обычный 8 7 7 2 2 3 3" xfId="46343"/>
    <cellStyle name="Обычный 8 7 7 2 2 4" xfId="46344"/>
    <cellStyle name="Обычный 8 7 7 2 2 4 2" xfId="46345"/>
    <cellStyle name="Обычный 8 7 7 2 2 5" xfId="46346"/>
    <cellStyle name="Обычный 8 7 7 2 2 6" xfId="46347"/>
    <cellStyle name="Обычный 8 7 7 2 3" xfId="46348"/>
    <cellStyle name="Обычный 8 7 7 2 3 2" xfId="46349"/>
    <cellStyle name="Обычный 8 7 7 2 3 3" xfId="46350"/>
    <cellStyle name="Обычный 8 7 7 2 4" xfId="46351"/>
    <cellStyle name="Обычный 8 7 7 2 4 2" xfId="46352"/>
    <cellStyle name="Обычный 8 7 7 2 4 3" xfId="46353"/>
    <cellStyle name="Обычный 8 7 7 2 5" xfId="46354"/>
    <cellStyle name="Обычный 8 7 7 2 5 2" xfId="46355"/>
    <cellStyle name="Обычный 8 7 7 2 6" xfId="46356"/>
    <cellStyle name="Обычный 8 7 7 2 7" xfId="46357"/>
    <cellStyle name="Обычный 8 7 7 3" xfId="46358"/>
    <cellStyle name="Обычный 8 7 7 3 2" xfId="46359"/>
    <cellStyle name="Обычный 8 7 7 3 2 2" xfId="46360"/>
    <cellStyle name="Обычный 8 7 7 3 2 3" xfId="46361"/>
    <cellStyle name="Обычный 8 7 7 3 3" xfId="46362"/>
    <cellStyle name="Обычный 8 7 7 3 3 2" xfId="46363"/>
    <cellStyle name="Обычный 8 7 7 3 3 3" xfId="46364"/>
    <cellStyle name="Обычный 8 7 7 3 4" xfId="46365"/>
    <cellStyle name="Обычный 8 7 7 3 4 2" xfId="46366"/>
    <cellStyle name="Обычный 8 7 7 3 5" xfId="46367"/>
    <cellStyle name="Обычный 8 7 7 3 6" xfId="46368"/>
    <cellStyle name="Обычный 8 7 7 4" xfId="46369"/>
    <cellStyle name="Обычный 8 7 7 4 2" xfId="46370"/>
    <cellStyle name="Обычный 8 7 7 4 3" xfId="46371"/>
    <cellStyle name="Обычный 8 7 7 5" xfId="46372"/>
    <cellStyle name="Обычный 8 7 7 5 2" xfId="46373"/>
    <cellStyle name="Обычный 8 7 7 5 3" xfId="46374"/>
    <cellStyle name="Обычный 8 7 7 6" xfId="46375"/>
    <cellStyle name="Обычный 8 7 7 6 2" xfId="46376"/>
    <cellStyle name="Обычный 8 7 7 7" xfId="46377"/>
    <cellStyle name="Обычный 8 7 7 8" xfId="46378"/>
    <cellStyle name="Обычный 8 7 8" xfId="46379"/>
    <cellStyle name="Обычный 8 7 8 2" xfId="46380"/>
    <cellStyle name="Обычный 8 7 8 2 2" xfId="46381"/>
    <cellStyle name="Обычный 8 7 8 2 2 2" xfId="46382"/>
    <cellStyle name="Обычный 8 7 8 2 2 3" xfId="46383"/>
    <cellStyle name="Обычный 8 7 8 2 3" xfId="46384"/>
    <cellStyle name="Обычный 8 7 8 2 3 2" xfId="46385"/>
    <cellStyle name="Обычный 8 7 8 2 3 3" xfId="46386"/>
    <cellStyle name="Обычный 8 7 8 2 4" xfId="46387"/>
    <cellStyle name="Обычный 8 7 8 2 4 2" xfId="46388"/>
    <cellStyle name="Обычный 8 7 8 2 5" xfId="46389"/>
    <cellStyle name="Обычный 8 7 8 2 6" xfId="46390"/>
    <cellStyle name="Обычный 8 7 8 3" xfId="46391"/>
    <cellStyle name="Обычный 8 7 8 3 2" xfId="46392"/>
    <cellStyle name="Обычный 8 7 8 3 3" xfId="46393"/>
    <cellStyle name="Обычный 8 7 8 4" xfId="46394"/>
    <cellStyle name="Обычный 8 7 8 4 2" xfId="46395"/>
    <cellStyle name="Обычный 8 7 8 4 3" xfId="46396"/>
    <cellStyle name="Обычный 8 7 8 5" xfId="46397"/>
    <cellStyle name="Обычный 8 7 8 5 2" xfId="46398"/>
    <cellStyle name="Обычный 8 7 8 6" xfId="46399"/>
    <cellStyle name="Обычный 8 7 8 7" xfId="46400"/>
    <cellStyle name="Обычный 8 7 9" xfId="46401"/>
    <cellStyle name="Обычный 8 7 9 2" xfId="46402"/>
    <cellStyle name="Обычный 8 7 9 2 2" xfId="46403"/>
    <cellStyle name="Обычный 8 7 9 2 3" xfId="46404"/>
    <cellStyle name="Обычный 8 7 9 3" xfId="46405"/>
    <cellStyle name="Обычный 8 7 9 3 2" xfId="46406"/>
    <cellStyle name="Обычный 8 7 9 3 3" xfId="46407"/>
    <cellStyle name="Обычный 8 7 9 4" xfId="46408"/>
    <cellStyle name="Обычный 8 7 9 4 2" xfId="46409"/>
    <cellStyle name="Обычный 8 7 9 5" xfId="46410"/>
    <cellStyle name="Обычный 8 7 9 6" xfId="46411"/>
    <cellStyle name="Обычный 8 8" xfId="46412"/>
    <cellStyle name="Обычный 8 8 10" xfId="46413"/>
    <cellStyle name="Обычный 8 8 10 2" xfId="46414"/>
    <cellStyle name="Обычный 8 8 10 3" xfId="46415"/>
    <cellStyle name="Обычный 8 8 11" xfId="46416"/>
    <cellStyle name="Обычный 8 8 11 2" xfId="46417"/>
    <cellStyle name="Обычный 8 8 11 3" xfId="46418"/>
    <cellStyle name="Обычный 8 8 12" xfId="46419"/>
    <cellStyle name="Обычный 8 8 12 2" xfId="46420"/>
    <cellStyle name="Обычный 8 8 13" xfId="46421"/>
    <cellStyle name="Обычный 8 8 14" xfId="46422"/>
    <cellStyle name="Обычный 8 8 2" xfId="46423"/>
    <cellStyle name="Обычный 8 8 2 10" xfId="46424"/>
    <cellStyle name="Обычный 8 8 2 10 2" xfId="46425"/>
    <cellStyle name="Обычный 8 8 2 10 3" xfId="46426"/>
    <cellStyle name="Обычный 8 8 2 11" xfId="46427"/>
    <cellStyle name="Обычный 8 8 2 11 2" xfId="46428"/>
    <cellStyle name="Обычный 8 8 2 12" xfId="46429"/>
    <cellStyle name="Обычный 8 8 2 13" xfId="46430"/>
    <cellStyle name="Обычный 8 8 2 2" xfId="46431"/>
    <cellStyle name="Обычный 8 8 2 2 10" xfId="46432"/>
    <cellStyle name="Обычный 8 8 2 2 2" xfId="46433"/>
    <cellStyle name="Обычный 8 8 2 2 2 2" xfId="46434"/>
    <cellStyle name="Обычный 8 8 2 2 2 2 2" xfId="46435"/>
    <cellStyle name="Обычный 8 8 2 2 2 2 2 2" xfId="46436"/>
    <cellStyle name="Обычный 8 8 2 2 2 2 2 2 2" xfId="46437"/>
    <cellStyle name="Обычный 8 8 2 2 2 2 2 2 2 2" xfId="46438"/>
    <cellStyle name="Обычный 8 8 2 2 2 2 2 2 2 3" xfId="46439"/>
    <cellStyle name="Обычный 8 8 2 2 2 2 2 2 3" xfId="46440"/>
    <cellStyle name="Обычный 8 8 2 2 2 2 2 2 3 2" xfId="46441"/>
    <cellStyle name="Обычный 8 8 2 2 2 2 2 2 3 3" xfId="46442"/>
    <cellStyle name="Обычный 8 8 2 2 2 2 2 2 4" xfId="46443"/>
    <cellStyle name="Обычный 8 8 2 2 2 2 2 2 4 2" xfId="46444"/>
    <cellStyle name="Обычный 8 8 2 2 2 2 2 2 5" xfId="46445"/>
    <cellStyle name="Обычный 8 8 2 2 2 2 2 2 6" xfId="46446"/>
    <cellStyle name="Обычный 8 8 2 2 2 2 2 3" xfId="46447"/>
    <cellStyle name="Обычный 8 8 2 2 2 2 2 3 2" xfId="46448"/>
    <cellStyle name="Обычный 8 8 2 2 2 2 2 3 3" xfId="46449"/>
    <cellStyle name="Обычный 8 8 2 2 2 2 2 4" xfId="46450"/>
    <cellStyle name="Обычный 8 8 2 2 2 2 2 4 2" xfId="46451"/>
    <cellStyle name="Обычный 8 8 2 2 2 2 2 4 3" xfId="46452"/>
    <cellStyle name="Обычный 8 8 2 2 2 2 2 5" xfId="46453"/>
    <cellStyle name="Обычный 8 8 2 2 2 2 2 5 2" xfId="46454"/>
    <cellStyle name="Обычный 8 8 2 2 2 2 2 6" xfId="46455"/>
    <cellStyle name="Обычный 8 8 2 2 2 2 2 7" xfId="46456"/>
    <cellStyle name="Обычный 8 8 2 2 2 2 3" xfId="46457"/>
    <cellStyle name="Обычный 8 8 2 2 2 2 3 2" xfId="46458"/>
    <cellStyle name="Обычный 8 8 2 2 2 2 3 2 2" xfId="46459"/>
    <cellStyle name="Обычный 8 8 2 2 2 2 3 2 3" xfId="46460"/>
    <cellStyle name="Обычный 8 8 2 2 2 2 3 3" xfId="46461"/>
    <cellStyle name="Обычный 8 8 2 2 2 2 3 3 2" xfId="46462"/>
    <cellStyle name="Обычный 8 8 2 2 2 2 3 3 3" xfId="46463"/>
    <cellStyle name="Обычный 8 8 2 2 2 2 3 4" xfId="46464"/>
    <cellStyle name="Обычный 8 8 2 2 2 2 3 4 2" xfId="46465"/>
    <cellStyle name="Обычный 8 8 2 2 2 2 3 5" xfId="46466"/>
    <cellStyle name="Обычный 8 8 2 2 2 2 3 6" xfId="46467"/>
    <cellStyle name="Обычный 8 8 2 2 2 2 4" xfId="46468"/>
    <cellStyle name="Обычный 8 8 2 2 2 2 4 2" xfId="46469"/>
    <cellStyle name="Обычный 8 8 2 2 2 2 4 3" xfId="46470"/>
    <cellStyle name="Обычный 8 8 2 2 2 2 5" xfId="46471"/>
    <cellStyle name="Обычный 8 8 2 2 2 2 5 2" xfId="46472"/>
    <cellStyle name="Обычный 8 8 2 2 2 2 5 3" xfId="46473"/>
    <cellStyle name="Обычный 8 8 2 2 2 2 6" xfId="46474"/>
    <cellStyle name="Обычный 8 8 2 2 2 2 6 2" xfId="46475"/>
    <cellStyle name="Обычный 8 8 2 2 2 2 7" xfId="46476"/>
    <cellStyle name="Обычный 8 8 2 2 2 2 8" xfId="46477"/>
    <cellStyle name="Обычный 8 8 2 2 2 3" xfId="46478"/>
    <cellStyle name="Обычный 8 8 2 2 2 3 2" xfId="46479"/>
    <cellStyle name="Обычный 8 8 2 2 2 3 2 2" xfId="46480"/>
    <cellStyle name="Обычный 8 8 2 2 2 3 2 2 2" xfId="46481"/>
    <cellStyle name="Обычный 8 8 2 2 2 3 2 2 3" xfId="46482"/>
    <cellStyle name="Обычный 8 8 2 2 2 3 2 3" xfId="46483"/>
    <cellStyle name="Обычный 8 8 2 2 2 3 2 3 2" xfId="46484"/>
    <cellStyle name="Обычный 8 8 2 2 2 3 2 3 3" xfId="46485"/>
    <cellStyle name="Обычный 8 8 2 2 2 3 2 4" xfId="46486"/>
    <cellStyle name="Обычный 8 8 2 2 2 3 2 4 2" xfId="46487"/>
    <cellStyle name="Обычный 8 8 2 2 2 3 2 5" xfId="46488"/>
    <cellStyle name="Обычный 8 8 2 2 2 3 2 6" xfId="46489"/>
    <cellStyle name="Обычный 8 8 2 2 2 3 3" xfId="46490"/>
    <cellStyle name="Обычный 8 8 2 2 2 3 3 2" xfId="46491"/>
    <cellStyle name="Обычный 8 8 2 2 2 3 3 3" xfId="46492"/>
    <cellStyle name="Обычный 8 8 2 2 2 3 4" xfId="46493"/>
    <cellStyle name="Обычный 8 8 2 2 2 3 4 2" xfId="46494"/>
    <cellStyle name="Обычный 8 8 2 2 2 3 4 3" xfId="46495"/>
    <cellStyle name="Обычный 8 8 2 2 2 3 5" xfId="46496"/>
    <cellStyle name="Обычный 8 8 2 2 2 3 5 2" xfId="46497"/>
    <cellStyle name="Обычный 8 8 2 2 2 3 6" xfId="46498"/>
    <cellStyle name="Обычный 8 8 2 2 2 3 7" xfId="46499"/>
    <cellStyle name="Обычный 8 8 2 2 2 4" xfId="46500"/>
    <cellStyle name="Обычный 8 8 2 2 2 4 2" xfId="46501"/>
    <cellStyle name="Обычный 8 8 2 2 2 4 2 2" xfId="46502"/>
    <cellStyle name="Обычный 8 8 2 2 2 4 2 3" xfId="46503"/>
    <cellStyle name="Обычный 8 8 2 2 2 4 3" xfId="46504"/>
    <cellStyle name="Обычный 8 8 2 2 2 4 3 2" xfId="46505"/>
    <cellStyle name="Обычный 8 8 2 2 2 4 3 3" xfId="46506"/>
    <cellStyle name="Обычный 8 8 2 2 2 4 4" xfId="46507"/>
    <cellStyle name="Обычный 8 8 2 2 2 4 4 2" xfId="46508"/>
    <cellStyle name="Обычный 8 8 2 2 2 4 5" xfId="46509"/>
    <cellStyle name="Обычный 8 8 2 2 2 4 6" xfId="46510"/>
    <cellStyle name="Обычный 8 8 2 2 2 5" xfId="46511"/>
    <cellStyle name="Обычный 8 8 2 2 2 5 2" xfId="46512"/>
    <cellStyle name="Обычный 8 8 2 2 2 5 3" xfId="46513"/>
    <cellStyle name="Обычный 8 8 2 2 2 6" xfId="46514"/>
    <cellStyle name="Обычный 8 8 2 2 2 6 2" xfId="46515"/>
    <cellStyle name="Обычный 8 8 2 2 2 6 3" xfId="46516"/>
    <cellStyle name="Обычный 8 8 2 2 2 7" xfId="46517"/>
    <cellStyle name="Обычный 8 8 2 2 2 7 2" xfId="46518"/>
    <cellStyle name="Обычный 8 8 2 2 2 8" xfId="46519"/>
    <cellStyle name="Обычный 8 8 2 2 2 9" xfId="46520"/>
    <cellStyle name="Обычный 8 8 2 2 3" xfId="46521"/>
    <cellStyle name="Обычный 8 8 2 2 3 2" xfId="46522"/>
    <cellStyle name="Обычный 8 8 2 2 3 2 2" xfId="46523"/>
    <cellStyle name="Обычный 8 8 2 2 3 2 2 2" xfId="46524"/>
    <cellStyle name="Обычный 8 8 2 2 3 2 2 2 2" xfId="46525"/>
    <cellStyle name="Обычный 8 8 2 2 3 2 2 2 3" xfId="46526"/>
    <cellStyle name="Обычный 8 8 2 2 3 2 2 3" xfId="46527"/>
    <cellStyle name="Обычный 8 8 2 2 3 2 2 3 2" xfId="46528"/>
    <cellStyle name="Обычный 8 8 2 2 3 2 2 3 3" xfId="46529"/>
    <cellStyle name="Обычный 8 8 2 2 3 2 2 4" xfId="46530"/>
    <cellStyle name="Обычный 8 8 2 2 3 2 2 4 2" xfId="46531"/>
    <cellStyle name="Обычный 8 8 2 2 3 2 2 5" xfId="46532"/>
    <cellStyle name="Обычный 8 8 2 2 3 2 2 6" xfId="46533"/>
    <cellStyle name="Обычный 8 8 2 2 3 2 3" xfId="46534"/>
    <cellStyle name="Обычный 8 8 2 2 3 2 3 2" xfId="46535"/>
    <cellStyle name="Обычный 8 8 2 2 3 2 3 3" xfId="46536"/>
    <cellStyle name="Обычный 8 8 2 2 3 2 4" xfId="46537"/>
    <cellStyle name="Обычный 8 8 2 2 3 2 4 2" xfId="46538"/>
    <cellStyle name="Обычный 8 8 2 2 3 2 4 3" xfId="46539"/>
    <cellStyle name="Обычный 8 8 2 2 3 2 5" xfId="46540"/>
    <cellStyle name="Обычный 8 8 2 2 3 2 5 2" xfId="46541"/>
    <cellStyle name="Обычный 8 8 2 2 3 2 6" xfId="46542"/>
    <cellStyle name="Обычный 8 8 2 2 3 2 7" xfId="46543"/>
    <cellStyle name="Обычный 8 8 2 2 3 3" xfId="46544"/>
    <cellStyle name="Обычный 8 8 2 2 3 3 2" xfId="46545"/>
    <cellStyle name="Обычный 8 8 2 2 3 3 2 2" xfId="46546"/>
    <cellStyle name="Обычный 8 8 2 2 3 3 2 3" xfId="46547"/>
    <cellStyle name="Обычный 8 8 2 2 3 3 3" xfId="46548"/>
    <cellStyle name="Обычный 8 8 2 2 3 3 3 2" xfId="46549"/>
    <cellStyle name="Обычный 8 8 2 2 3 3 3 3" xfId="46550"/>
    <cellStyle name="Обычный 8 8 2 2 3 3 4" xfId="46551"/>
    <cellStyle name="Обычный 8 8 2 2 3 3 4 2" xfId="46552"/>
    <cellStyle name="Обычный 8 8 2 2 3 3 5" xfId="46553"/>
    <cellStyle name="Обычный 8 8 2 2 3 3 6" xfId="46554"/>
    <cellStyle name="Обычный 8 8 2 2 3 4" xfId="46555"/>
    <cellStyle name="Обычный 8 8 2 2 3 4 2" xfId="46556"/>
    <cellStyle name="Обычный 8 8 2 2 3 4 3" xfId="46557"/>
    <cellStyle name="Обычный 8 8 2 2 3 5" xfId="46558"/>
    <cellStyle name="Обычный 8 8 2 2 3 5 2" xfId="46559"/>
    <cellStyle name="Обычный 8 8 2 2 3 5 3" xfId="46560"/>
    <cellStyle name="Обычный 8 8 2 2 3 6" xfId="46561"/>
    <cellStyle name="Обычный 8 8 2 2 3 6 2" xfId="46562"/>
    <cellStyle name="Обычный 8 8 2 2 3 7" xfId="46563"/>
    <cellStyle name="Обычный 8 8 2 2 3 8" xfId="46564"/>
    <cellStyle name="Обычный 8 8 2 2 4" xfId="46565"/>
    <cellStyle name="Обычный 8 8 2 2 4 2" xfId="46566"/>
    <cellStyle name="Обычный 8 8 2 2 4 2 2" xfId="46567"/>
    <cellStyle name="Обычный 8 8 2 2 4 2 2 2" xfId="46568"/>
    <cellStyle name="Обычный 8 8 2 2 4 2 2 3" xfId="46569"/>
    <cellStyle name="Обычный 8 8 2 2 4 2 3" xfId="46570"/>
    <cellStyle name="Обычный 8 8 2 2 4 2 3 2" xfId="46571"/>
    <cellStyle name="Обычный 8 8 2 2 4 2 3 3" xfId="46572"/>
    <cellStyle name="Обычный 8 8 2 2 4 2 4" xfId="46573"/>
    <cellStyle name="Обычный 8 8 2 2 4 2 4 2" xfId="46574"/>
    <cellStyle name="Обычный 8 8 2 2 4 2 5" xfId="46575"/>
    <cellStyle name="Обычный 8 8 2 2 4 2 6" xfId="46576"/>
    <cellStyle name="Обычный 8 8 2 2 4 3" xfId="46577"/>
    <cellStyle name="Обычный 8 8 2 2 4 3 2" xfId="46578"/>
    <cellStyle name="Обычный 8 8 2 2 4 3 3" xfId="46579"/>
    <cellStyle name="Обычный 8 8 2 2 4 4" xfId="46580"/>
    <cellStyle name="Обычный 8 8 2 2 4 4 2" xfId="46581"/>
    <cellStyle name="Обычный 8 8 2 2 4 4 3" xfId="46582"/>
    <cellStyle name="Обычный 8 8 2 2 4 5" xfId="46583"/>
    <cellStyle name="Обычный 8 8 2 2 4 5 2" xfId="46584"/>
    <cellStyle name="Обычный 8 8 2 2 4 6" xfId="46585"/>
    <cellStyle name="Обычный 8 8 2 2 4 7" xfId="46586"/>
    <cellStyle name="Обычный 8 8 2 2 5" xfId="46587"/>
    <cellStyle name="Обычный 8 8 2 2 5 2" xfId="46588"/>
    <cellStyle name="Обычный 8 8 2 2 5 2 2" xfId="46589"/>
    <cellStyle name="Обычный 8 8 2 2 5 2 3" xfId="46590"/>
    <cellStyle name="Обычный 8 8 2 2 5 3" xfId="46591"/>
    <cellStyle name="Обычный 8 8 2 2 5 3 2" xfId="46592"/>
    <cellStyle name="Обычный 8 8 2 2 5 3 3" xfId="46593"/>
    <cellStyle name="Обычный 8 8 2 2 5 4" xfId="46594"/>
    <cellStyle name="Обычный 8 8 2 2 5 4 2" xfId="46595"/>
    <cellStyle name="Обычный 8 8 2 2 5 5" xfId="46596"/>
    <cellStyle name="Обычный 8 8 2 2 5 6" xfId="46597"/>
    <cellStyle name="Обычный 8 8 2 2 6" xfId="46598"/>
    <cellStyle name="Обычный 8 8 2 2 6 2" xfId="46599"/>
    <cellStyle name="Обычный 8 8 2 2 6 3" xfId="46600"/>
    <cellStyle name="Обычный 8 8 2 2 7" xfId="46601"/>
    <cellStyle name="Обычный 8 8 2 2 7 2" xfId="46602"/>
    <cellStyle name="Обычный 8 8 2 2 7 3" xfId="46603"/>
    <cellStyle name="Обычный 8 8 2 2 8" xfId="46604"/>
    <cellStyle name="Обычный 8 8 2 2 8 2" xfId="46605"/>
    <cellStyle name="Обычный 8 8 2 2 9" xfId="46606"/>
    <cellStyle name="Обычный 8 8 2 3" xfId="46607"/>
    <cellStyle name="Обычный 8 8 2 3 10" xfId="46608"/>
    <cellStyle name="Обычный 8 8 2 3 2" xfId="46609"/>
    <cellStyle name="Обычный 8 8 2 3 2 2" xfId="46610"/>
    <cellStyle name="Обычный 8 8 2 3 2 2 2" xfId="46611"/>
    <cellStyle name="Обычный 8 8 2 3 2 2 2 2" xfId="46612"/>
    <cellStyle name="Обычный 8 8 2 3 2 2 2 2 2" xfId="46613"/>
    <cellStyle name="Обычный 8 8 2 3 2 2 2 2 2 2" xfId="46614"/>
    <cellStyle name="Обычный 8 8 2 3 2 2 2 2 2 3" xfId="46615"/>
    <cellStyle name="Обычный 8 8 2 3 2 2 2 2 3" xfId="46616"/>
    <cellStyle name="Обычный 8 8 2 3 2 2 2 2 3 2" xfId="46617"/>
    <cellStyle name="Обычный 8 8 2 3 2 2 2 2 3 3" xfId="46618"/>
    <cellStyle name="Обычный 8 8 2 3 2 2 2 2 4" xfId="46619"/>
    <cellStyle name="Обычный 8 8 2 3 2 2 2 2 4 2" xfId="46620"/>
    <cellStyle name="Обычный 8 8 2 3 2 2 2 2 5" xfId="46621"/>
    <cellStyle name="Обычный 8 8 2 3 2 2 2 2 6" xfId="46622"/>
    <cellStyle name="Обычный 8 8 2 3 2 2 2 3" xfId="46623"/>
    <cellStyle name="Обычный 8 8 2 3 2 2 2 3 2" xfId="46624"/>
    <cellStyle name="Обычный 8 8 2 3 2 2 2 3 3" xfId="46625"/>
    <cellStyle name="Обычный 8 8 2 3 2 2 2 4" xfId="46626"/>
    <cellStyle name="Обычный 8 8 2 3 2 2 2 4 2" xfId="46627"/>
    <cellStyle name="Обычный 8 8 2 3 2 2 2 4 3" xfId="46628"/>
    <cellStyle name="Обычный 8 8 2 3 2 2 2 5" xfId="46629"/>
    <cellStyle name="Обычный 8 8 2 3 2 2 2 5 2" xfId="46630"/>
    <cellStyle name="Обычный 8 8 2 3 2 2 2 6" xfId="46631"/>
    <cellStyle name="Обычный 8 8 2 3 2 2 2 7" xfId="46632"/>
    <cellStyle name="Обычный 8 8 2 3 2 2 3" xfId="46633"/>
    <cellStyle name="Обычный 8 8 2 3 2 2 3 2" xfId="46634"/>
    <cellStyle name="Обычный 8 8 2 3 2 2 3 2 2" xfId="46635"/>
    <cellStyle name="Обычный 8 8 2 3 2 2 3 2 3" xfId="46636"/>
    <cellStyle name="Обычный 8 8 2 3 2 2 3 3" xfId="46637"/>
    <cellStyle name="Обычный 8 8 2 3 2 2 3 3 2" xfId="46638"/>
    <cellStyle name="Обычный 8 8 2 3 2 2 3 3 3" xfId="46639"/>
    <cellStyle name="Обычный 8 8 2 3 2 2 3 4" xfId="46640"/>
    <cellStyle name="Обычный 8 8 2 3 2 2 3 4 2" xfId="46641"/>
    <cellStyle name="Обычный 8 8 2 3 2 2 3 5" xfId="46642"/>
    <cellStyle name="Обычный 8 8 2 3 2 2 3 6" xfId="46643"/>
    <cellStyle name="Обычный 8 8 2 3 2 2 4" xfId="46644"/>
    <cellStyle name="Обычный 8 8 2 3 2 2 4 2" xfId="46645"/>
    <cellStyle name="Обычный 8 8 2 3 2 2 4 3" xfId="46646"/>
    <cellStyle name="Обычный 8 8 2 3 2 2 5" xfId="46647"/>
    <cellStyle name="Обычный 8 8 2 3 2 2 5 2" xfId="46648"/>
    <cellStyle name="Обычный 8 8 2 3 2 2 5 3" xfId="46649"/>
    <cellStyle name="Обычный 8 8 2 3 2 2 6" xfId="46650"/>
    <cellStyle name="Обычный 8 8 2 3 2 2 6 2" xfId="46651"/>
    <cellStyle name="Обычный 8 8 2 3 2 2 7" xfId="46652"/>
    <cellStyle name="Обычный 8 8 2 3 2 2 8" xfId="46653"/>
    <cellStyle name="Обычный 8 8 2 3 2 3" xfId="46654"/>
    <cellStyle name="Обычный 8 8 2 3 2 3 2" xfId="46655"/>
    <cellStyle name="Обычный 8 8 2 3 2 3 2 2" xfId="46656"/>
    <cellStyle name="Обычный 8 8 2 3 2 3 2 2 2" xfId="46657"/>
    <cellStyle name="Обычный 8 8 2 3 2 3 2 2 3" xfId="46658"/>
    <cellStyle name="Обычный 8 8 2 3 2 3 2 3" xfId="46659"/>
    <cellStyle name="Обычный 8 8 2 3 2 3 2 3 2" xfId="46660"/>
    <cellStyle name="Обычный 8 8 2 3 2 3 2 3 3" xfId="46661"/>
    <cellStyle name="Обычный 8 8 2 3 2 3 2 4" xfId="46662"/>
    <cellStyle name="Обычный 8 8 2 3 2 3 2 4 2" xfId="46663"/>
    <cellStyle name="Обычный 8 8 2 3 2 3 2 5" xfId="46664"/>
    <cellStyle name="Обычный 8 8 2 3 2 3 2 6" xfId="46665"/>
    <cellStyle name="Обычный 8 8 2 3 2 3 3" xfId="46666"/>
    <cellStyle name="Обычный 8 8 2 3 2 3 3 2" xfId="46667"/>
    <cellStyle name="Обычный 8 8 2 3 2 3 3 3" xfId="46668"/>
    <cellStyle name="Обычный 8 8 2 3 2 3 4" xfId="46669"/>
    <cellStyle name="Обычный 8 8 2 3 2 3 4 2" xfId="46670"/>
    <cellStyle name="Обычный 8 8 2 3 2 3 4 3" xfId="46671"/>
    <cellStyle name="Обычный 8 8 2 3 2 3 5" xfId="46672"/>
    <cellStyle name="Обычный 8 8 2 3 2 3 5 2" xfId="46673"/>
    <cellStyle name="Обычный 8 8 2 3 2 3 6" xfId="46674"/>
    <cellStyle name="Обычный 8 8 2 3 2 3 7" xfId="46675"/>
    <cellStyle name="Обычный 8 8 2 3 2 4" xfId="46676"/>
    <cellStyle name="Обычный 8 8 2 3 2 4 2" xfId="46677"/>
    <cellStyle name="Обычный 8 8 2 3 2 4 2 2" xfId="46678"/>
    <cellStyle name="Обычный 8 8 2 3 2 4 2 3" xfId="46679"/>
    <cellStyle name="Обычный 8 8 2 3 2 4 3" xfId="46680"/>
    <cellStyle name="Обычный 8 8 2 3 2 4 3 2" xfId="46681"/>
    <cellStyle name="Обычный 8 8 2 3 2 4 3 3" xfId="46682"/>
    <cellStyle name="Обычный 8 8 2 3 2 4 4" xfId="46683"/>
    <cellStyle name="Обычный 8 8 2 3 2 4 4 2" xfId="46684"/>
    <cellStyle name="Обычный 8 8 2 3 2 4 5" xfId="46685"/>
    <cellStyle name="Обычный 8 8 2 3 2 4 6" xfId="46686"/>
    <cellStyle name="Обычный 8 8 2 3 2 5" xfId="46687"/>
    <cellStyle name="Обычный 8 8 2 3 2 5 2" xfId="46688"/>
    <cellStyle name="Обычный 8 8 2 3 2 5 3" xfId="46689"/>
    <cellStyle name="Обычный 8 8 2 3 2 6" xfId="46690"/>
    <cellStyle name="Обычный 8 8 2 3 2 6 2" xfId="46691"/>
    <cellStyle name="Обычный 8 8 2 3 2 6 3" xfId="46692"/>
    <cellStyle name="Обычный 8 8 2 3 2 7" xfId="46693"/>
    <cellStyle name="Обычный 8 8 2 3 2 7 2" xfId="46694"/>
    <cellStyle name="Обычный 8 8 2 3 2 8" xfId="46695"/>
    <cellStyle name="Обычный 8 8 2 3 2 9" xfId="46696"/>
    <cellStyle name="Обычный 8 8 2 3 3" xfId="46697"/>
    <cellStyle name="Обычный 8 8 2 3 3 2" xfId="46698"/>
    <cellStyle name="Обычный 8 8 2 3 3 2 2" xfId="46699"/>
    <cellStyle name="Обычный 8 8 2 3 3 2 2 2" xfId="46700"/>
    <cellStyle name="Обычный 8 8 2 3 3 2 2 2 2" xfId="46701"/>
    <cellStyle name="Обычный 8 8 2 3 3 2 2 2 3" xfId="46702"/>
    <cellStyle name="Обычный 8 8 2 3 3 2 2 3" xfId="46703"/>
    <cellStyle name="Обычный 8 8 2 3 3 2 2 3 2" xfId="46704"/>
    <cellStyle name="Обычный 8 8 2 3 3 2 2 3 3" xfId="46705"/>
    <cellStyle name="Обычный 8 8 2 3 3 2 2 4" xfId="46706"/>
    <cellStyle name="Обычный 8 8 2 3 3 2 2 4 2" xfId="46707"/>
    <cellStyle name="Обычный 8 8 2 3 3 2 2 5" xfId="46708"/>
    <cellStyle name="Обычный 8 8 2 3 3 2 2 6" xfId="46709"/>
    <cellStyle name="Обычный 8 8 2 3 3 2 3" xfId="46710"/>
    <cellStyle name="Обычный 8 8 2 3 3 2 3 2" xfId="46711"/>
    <cellStyle name="Обычный 8 8 2 3 3 2 3 3" xfId="46712"/>
    <cellStyle name="Обычный 8 8 2 3 3 2 4" xfId="46713"/>
    <cellStyle name="Обычный 8 8 2 3 3 2 4 2" xfId="46714"/>
    <cellStyle name="Обычный 8 8 2 3 3 2 4 3" xfId="46715"/>
    <cellStyle name="Обычный 8 8 2 3 3 2 5" xfId="46716"/>
    <cellStyle name="Обычный 8 8 2 3 3 2 5 2" xfId="46717"/>
    <cellStyle name="Обычный 8 8 2 3 3 2 6" xfId="46718"/>
    <cellStyle name="Обычный 8 8 2 3 3 2 7" xfId="46719"/>
    <cellStyle name="Обычный 8 8 2 3 3 3" xfId="46720"/>
    <cellStyle name="Обычный 8 8 2 3 3 3 2" xfId="46721"/>
    <cellStyle name="Обычный 8 8 2 3 3 3 2 2" xfId="46722"/>
    <cellStyle name="Обычный 8 8 2 3 3 3 2 3" xfId="46723"/>
    <cellStyle name="Обычный 8 8 2 3 3 3 3" xfId="46724"/>
    <cellStyle name="Обычный 8 8 2 3 3 3 3 2" xfId="46725"/>
    <cellStyle name="Обычный 8 8 2 3 3 3 3 3" xfId="46726"/>
    <cellStyle name="Обычный 8 8 2 3 3 3 4" xfId="46727"/>
    <cellStyle name="Обычный 8 8 2 3 3 3 4 2" xfId="46728"/>
    <cellStyle name="Обычный 8 8 2 3 3 3 5" xfId="46729"/>
    <cellStyle name="Обычный 8 8 2 3 3 3 6" xfId="46730"/>
    <cellStyle name="Обычный 8 8 2 3 3 4" xfId="46731"/>
    <cellStyle name="Обычный 8 8 2 3 3 4 2" xfId="46732"/>
    <cellStyle name="Обычный 8 8 2 3 3 4 3" xfId="46733"/>
    <cellStyle name="Обычный 8 8 2 3 3 5" xfId="46734"/>
    <cellStyle name="Обычный 8 8 2 3 3 5 2" xfId="46735"/>
    <cellStyle name="Обычный 8 8 2 3 3 5 3" xfId="46736"/>
    <cellStyle name="Обычный 8 8 2 3 3 6" xfId="46737"/>
    <cellStyle name="Обычный 8 8 2 3 3 6 2" xfId="46738"/>
    <cellStyle name="Обычный 8 8 2 3 3 7" xfId="46739"/>
    <cellStyle name="Обычный 8 8 2 3 3 8" xfId="46740"/>
    <cellStyle name="Обычный 8 8 2 3 4" xfId="46741"/>
    <cellStyle name="Обычный 8 8 2 3 4 2" xfId="46742"/>
    <cellStyle name="Обычный 8 8 2 3 4 2 2" xfId="46743"/>
    <cellStyle name="Обычный 8 8 2 3 4 2 2 2" xfId="46744"/>
    <cellStyle name="Обычный 8 8 2 3 4 2 2 3" xfId="46745"/>
    <cellStyle name="Обычный 8 8 2 3 4 2 3" xfId="46746"/>
    <cellStyle name="Обычный 8 8 2 3 4 2 3 2" xfId="46747"/>
    <cellStyle name="Обычный 8 8 2 3 4 2 3 3" xfId="46748"/>
    <cellStyle name="Обычный 8 8 2 3 4 2 4" xfId="46749"/>
    <cellStyle name="Обычный 8 8 2 3 4 2 4 2" xfId="46750"/>
    <cellStyle name="Обычный 8 8 2 3 4 2 5" xfId="46751"/>
    <cellStyle name="Обычный 8 8 2 3 4 2 6" xfId="46752"/>
    <cellStyle name="Обычный 8 8 2 3 4 3" xfId="46753"/>
    <cellStyle name="Обычный 8 8 2 3 4 3 2" xfId="46754"/>
    <cellStyle name="Обычный 8 8 2 3 4 3 3" xfId="46755"/>
    <cellStyle name="Обычный 8 8 2 3 4 4" xfId="46756"/>
    <cellStyle name="Обычный 8 8 2 3 4 4 2" xfId="46757"/>
    <cellStyle name="Обычный 8 8 2 3 4 4 3" xfId="46758"/>
    <cellStyle name="Обычный 8 8 2 3 4 5" xfId="46759"/>
    <cellStyle name="Обычный 8 8 2 3 4 5 2" xfId="46760"/>
    <cellStyle name="Обычный 8 8 2 3 4 6" xfId="46761"/>
    <cellStyle name="Обычный 8 8 2 3 4 7" xfId="46762"/>
    <cellStyle name="Обычный 8 8 2 3 5" xfId="46763"/>
    <cellStyle name="Обычный 8 8 2 3 5 2" xfId="46764"/>
    <cellStyle name="Обычный 8 8 2 3 5 2 2" xfId="46765"/>
    <cellStyle name="Обычный 8 8 2 3 5 2 3" xfId="46766"/>
    <cellStyle name="Обычный 8 8 2 3 5 3" xfId="46767"/>
    <cellStyle name="Обычный 8 8 2 3 5 3 2" xfId="46768"/>
    <cellStyle name="Обычный 8 8 2 3 5 3 3" xfId="46769"/>
    <cellStyle name="Обычный 8 8 2 3 5 4" xfId="46770"/>
    <cellStyle name="Обычный 8 8 2 3 5 4 2" xfId="46771"/>
    <cellStyle name="Обычный 8 8 2 3 5 5" xfId="46772"/>
    <cellStyle name="Обычный 8 8 2 3 5 6" xfId="46773"/>
    <cellStyle name="Обычный 8 8 2 3 6" xfId="46774"/>
    <cellStyle name="Обычный 8 8 2 3 6 2" xfId="46775"/>
    <cellStyle name="Обычный 8 8 2 3 6 3" xfId="46776"/>
    <cellStyle name="Обычный 8 8 2 3 7" xfId="46777"/>
    <cellStyle name="Обычный 8 8 2 3 7 2" xfId="46778"/>
    <cellStyle name="Обычный 8 8 2 3 7 3" xfId="46779"/>
    <cellStyle name="Обычный 8 8 2 3 8" xfId="46780"/>
    <cellStyle name="Обычный 8 8 2 3 8 2" xfId="46781"/>
    <cellStyle name="Обычный 8 8 2 3 9" xfId="46782"/>
    <cellStyle name="Обычный 8 8 2 4" xfId="46783"/>
    <cellStyle name="Обычный 8 8 2 4 10" xfId="46784"/>
    <cellStyle name="Обычный 8 8 2 4 2" xfId="46785"/>
    <cellStyle name="Обычный 8 8 2 4 2 2" xfId="46786"/>
    <cellStyle name="Обычный 8 8 2 4 2 2 2" xfId="46787"/>
    <cellStyle name="Обычный 8 8 2 4 2 2 2 2" xfId="46788"/>
    <cellStyle name="Обычный 8 8 2 4 2 2 2 2 2" xfId="46789"/>
    <cellStyle name="Обычный 8 8 2 4 2 2 2 2 2 2" xfId="46790"/>
    <cellStyle name="Обычный 8 8 2 4 2 2 2 2 2 3" xfId="46791"/>
    <cellStyle name="Обычный 8 8 2 4 2 2 2 2 3" xfId="46792"/>
    <cellStyle name="Обычный 8 8 2 4 2 2 2 2 3 2" xfId="46793"/>
    <cellStyle name="Обычный 8 8 2 4 2 2 2 2 3 3" xfId="46794"/>
    <cellStyle name="Обычный 8 8 2 4 2 2 2 2 4" xfId="46795"/>
    <cellStyle name="Обычный 8 8 2 4 2 2 2 2 4 2" xfId="46796"/>
    <cellStyle name="Обычный 8 8 2 4 2 2 2 2 5" xfId="46797"/>
    <cellStyle name="Обычный 8 8 2 4 2 2 2 2 6" xfId="46798"/>
    <cellStyle name="Обычный 8 8 2 4 2 2 2 3" xfId="46799"/>
    <cellStyle name="Обычный 8 8 2 4 2 2 2 3 2" xfId="46800"/>
    <cellStyle name="Обычный 8 8 2 4 2 2 2 3 3" xfId="46801"/>
    <cellStyle name="Обычный 8 8 2 4 2 2 2 4" xfId="46802"/>
    <cellStyle name="Обычный 8 8 2 4 2 2 2 4 2" xfId="46803"/>
    <cellStyle name="Обычный 8 8 2 4 2 2 2 4 3" xfId="46804"/>
    <cellStyle name="Обычный 8 8 2 4 2 2 2 5" xfId="46805"/>
    <cellStyle name="Обычный 8 8 2 4 2 2 2 5 2" xfId="46806"/>
    <cellStyle name="Обычный 8 8 2 4 2 2 2 6" xfId="46807"/>
    <cellStyle name="Обычный 8 8 2 4 2 2 2 7" xfId="46808"/>
    <cellStyle name="Обычный 8 8 2 4 2 2 3" xfId="46809"/>
    <cellStyle name="Обычный 8 8 2 4 2 2 3 2" xfId="46810"/>
    <cellStyle name="Обычный 8 8 2 4 2 2 3 2 2" xfId="46811"/>
    <cellStyle name="Обычный 8 8 2 4 2 2 3 2 3" xfId="46812"/>
    <cellStyle name="Обычный 8 8 2 4 2 2 3 3" xfId="46813"/>
    <cellStyle name="Обычный 8 8 2 4 2 2 3 3 2" xfId="46814"/>
    <cellStyle name="Обычный 8 8 2 4 2 2 3 3 3" xfId="46815"/>
    <cellStyle name="Обычный 8 8 2 4 2 2 3 4" xfId="46816"/>
    <cellStyle name="Обычный 8 8 2 4 2 2 3 4 2" xfId="46817"/>
    <cellStyle name="Обычный 8 8 2 4 2 2 3 5" xfId="46818"/>
    <cellStyle name="Обычный 8 8 2 4 2 2 3 6" xfId="46819"/>
    <cellStyle name="Обычный 8 8 2 4 2 2 4" xfId="46820"/>
    <cellStyle name="Обычный 8 8 2 4 2 2 4 2" xfId="46821"/>
    <cellStyle name="Обычный 8 8 2 4 2 2 4 3" xfId="46822"/>
    <cellStyle name="Обычный 8 8 2 4 2 2 5" xfId="46823"/>
    <cellStyle name="Обычный 8 8 2 4 2 2 5 2" xfId="46824"/>
    <cellStyle name="Обычный 8 8 2 4 2 2 5 3" xfId="46825"/>
    <cellStyle name="Обычный 8 8 2 4 2 2 6" xfId="46826"/>
    <cellStyle name="Обычный 8 8 2 4 2 2 6 2" xfId="46827"/>
    <cellStyle name="Обычный 8 8 2 4 2 2 7" xfId="46828"/>
    <cellStyle name="Обычный 8 8 2 4 2 2 8" xfId="46829"/>
    <cellStyle name="Обычный 8 8 2 4 2 3" xfId="46830"/>
    <cellStyle name="Обычный 8 8 2 4 2 3 2" xfId="46831"/>
    <cellStyle name="Обычный 8 8 2 4 2 3 2 2" xfId="46832"/>
    <cellStyle name="Обычный 8 8 2 4 2 3 2 2 2" xfId="46833"/>
    <cellStyle name="Обычный 8 8 2 4 2 3 2 2 3" xfId="46834"/>
    <cellStyle name="Обычный 8 8 2 4 2 3 2 3" xfId="46835"/>
    <cellStyle name="Обычный 8 8 2 4 2 3 2 3 2" xfId="46836"/>
    <cellStyle name="Обычный 8 8 2 4 2 3 2 3 3" xfId="46837"/>
    <cellStyle name="Обычный 8 8 2 4 2 3 2 4" xfId="46838"/>
    <cellStyle name="Обычный 8 8 2 4 2 3 2 4 2" xfId="46839"/>
    <cellStyle name="Обычный 8 8 2 4 2 3 2 5" xfId="46840"/>
    <cellStyle name="Обычный 8 8 2 4 2 3 2 6" xfId="46841"/>
    <cellStyle name="Обычный 8 8 2 4 2 3 3" xfId="46842"/>
    <cellStyle name="Обычный 8 8 2 4 2 3 3 2" xfId="46843"/>
    <cellStyle name="Обычный 8 8 2 4 2 3 3 3" xfId="46844"/>
    <cellStyle name="Обычный 8 8 2 4 2 3 4" xfId="46845"/>
    <cellStyle name="Обычный 8 8 2 4 2 3 4 2" xfId="46846"/>
    <cellStyle name="Обычный 8 8 2 4 2 3 4 3" xfId="46847"/>
    <cellStyle name="Обычный 8 8 2 4 2 3 5" xfId="46848"/>
    <cellStyle name="Обычный 8 8 2 4 2 3 5 2" xfId="46849"/>
    <cellStyle name="Обычный 8 8 2 4 2 3 6" xfId="46850"/>
    <cellStyle name="Обычный 8 8 2 4 2 3 7" xfId="46851"/>
    <cellStyle name="Обычный 8 8 2 4 2 4" xfId="46852"/>
    <cellStyle name="Обычный 8 8 2 4 2 4 2" xfId="46853"/>
    <cellStyle name="Обычный 8 8 2 4 2 4 2 2" xfId="46854"/>
    <cellStyle name="Обычный 8 8 2 4 2 4 2 3" xfId="46855"/>
    <cellStyle name="Обычный 8 8 2 4 2 4 3" xfId="46856"/>
    <cellStyle name="Обычный 8 8 2 4 2 4 3 2" xfId="46857"/>
    <cellStyle name="Обычный 8 8 2 4 2 4 3 3" xfId="46858"/>
    <cellStyle name="Обычный 8 8 2 4 2 4 4" xfId="46859"/>
    <cellStyle name="Обычный 8 8 2 4 2 4 4 2" xfId="46860"/>
    <cellStyle name="Обычный 8 8 2 4 2 4 5" xfId="46861"/>
    <cellStyle name="Обычный 8 8 2 4 2 4 6" xfId="46862"/>
    <cellStyle name="Обычный 8 8 2 4 2 5" xfId="46863"/>
    <cellStyle name="Обычный 8 8 2 4 2 5 2" xfId="46864"/>
    <cellStyle name="Обычный 8 8 2 4 2 5 3" xfId="46865"/>
    <cellStyle name="Обычный 8 8 2 4 2 6" xfId="46866"/>
    <cellStyle name="Обычный 8 8 2 4 2 6 2" xfId="46867"/>
    <cellStyle name="Обычный 8 8 2 4 2 6 3" xfId="46868"/>
    <cellStyle name="Обычный 8 8 2 4 2 7" xfId="46869"/>
    <cellStyle name="Обычный 8 8 2 4 2 7 2" xfId="46870"/>
    <cellStyle name="Обычный 8 8 2 4 2 8" xfId="46871"/>
    <cellStyle name="Обычный 8 8 2 4 2 9" xfId="46872"/>
    <cellStyle name="Обычный 8 8 2 4 3" xfId="46873"/>
    <cellStyle name="Обычный 8 8 2 4 3 2" xfId="46874"/>
    <cellStyle name="Обычный 8 8 2 4 3 2 2" xfId="46875"/>
    <cellStyle name="Обычный 8 8 2 4 3 2 2 2" xfId="46876"/>
    <cellStyle name="Обычный 8 8 2 4 3 2 2 2 2" xfId="46877"/>
    <cellStyle name="Обычный 8 8 2 4 3 2 2 2 3" xfId="46878"/>
    <cellStyle name="Обычный 8 8 2 4 3 2 2 3" xfId="46879"/>
    <cellStyle name="Обычный 8 8 2 4 3 2 2 3 2" xfId="46880"/>
    <cellStyle name="Обычный 8 8 2 4 3 2 2 3 3" xfId="46881"/>
    <cellStyle name="Обычный 8 8 2 4 3 2 2 4" xfId="46882"/>
    <cellStyle name="Обычный 8 8 2 4 3 2 2 4 2" xfId="46883"/>
    <cellStyle name="Обычный 8 8 2 4 3 2 2 5" xfId="46884"/>
    <cellStyle name="Обычный 8 8 2 4 3 2 2 6" xfId="46885"/>
    <cellStyle name="Обычный 8 8 2 4 3 2 3" xfId="46886"/>
    <cellStyle name="Обычный 8 8 2 4 3 2 3 2" xfId="46887"/>
    <cellStyle name="Обычный 8 8 2 4 3 2 3 3" xfId="46888"/>
    <cellStyle name="Обычный 8 8 2 4 3 2 4" xfId="46889"/>
    <cellStyle name="Обычный 8 8 2 4 3 2 4 2" xfId="46890"/>
    <cellStyle name="Обычный 8 8 2 4 3 2 4 3" xfId="46891"/>
    <cellStyle name="Обычный 8 8 2 4 3 2 5" xfId="46892"/>
    <cellStyle name="Обычный 8 8 2 4 3 2 5 2" xfId="46893"/>
    <cellStyle name="Обычный 8 8 2 4 3 2 6" xfId="46894"/>
    <cellStyle name="Обычный 8 8 2 4 3 2 7" xfId="46895"/>
    <cellStyle name="Обычный 8 8 2 4 3 3" xfId="46896"/>
    <cellStyle name="Обычный 8 8 2 4 3 3 2" xfId="46897"/>
    <cellStyle name="Обычный 8 8 2 4 3 3 2 2" xfId="46898"/>
    <cellStyle name="Обычный 8 8 2 4 3 3 2 3" xfId="46899"/>
    <cellStyle name="Обычный 8 8 2 4 3 3 3" xfId="46900"/>
    <cellStyle name="Обычный 8 8 2 4 3 3 3 2" xfId="46901"/>
    <cellStyle name="Обычный 8 8 2 4 3 3 3 3" xfId="46902"/>
    <cellStyle name="Обычный 8 8 2 4 3 3 4" xfId="46903"/>
    <cellStyle name="Обычный 8 8 2 4 3 3 4 2" xfId="46904"/>
    <cellStyle name="Обычный 8 8 2 4 3 3 5" xfId="46905"/>
    <cellStyle name="Обычный 8 8 2 4 3 3 6" xfId="46906"/>
    <cellStyle name="Обычный 8 8 2 4 3 4" xfId="46907"/>
    <cellStyle name="Обычный 8 8 2 4 3 4 2" xfId="46908"/>
    <cellStyle name="Обычный 8 8 2 4 3 4 3" xfId="46909"/>
    <cellStyle name="Обычный 8 8 2 4 3 5" xfId="46910"/>
    <cellStyle name="Обычный 8 8 2 4 3 5 2" xfId="46911"/>
    <cellStyle name="Обычный 8 8 2 4 3 5 3" xfId="46912"/>
    <cellStyle name="Обычный 8 8 2 4 3 6" xfId="46913"/>
    <cellStyle name="Обычный 8 8 2 4 3 6 2" xfId="46914"/>
    <cellStyle name="Обычный 8 8 2 4 3 7" xfId="46915"/>
    <cellStyle name="Обычный 8 8 2 4 3 8" xfId="46916"/>
    <cellStyle name="Обычный 8 8 2 4 4" xfId="46917"/>
    <cellStyle name="Обычный 8 8 2 4 4 2" xfId="46918"/>
    <cellStyle name="Обычный 8 8 2 4 4 2 2" xfId="46919"/>
    <cellStyle name="Обычный 8 8 2 4 4 2 2 2" xfId="46920"/>
    <cellStyle name="Обычный 8 8 2 4 4 2 2 3" xfId="46921"/>
    <cellStyle name="Обычный 8 8 2 4 4 2 3" xfId="46922"/>
    <cellStyle name="Обычный 8 8 2 4 4 2 3 2" xfId="46923"/>
    <cellStyle name="Обычный 8 8 2 4 4 2 3 3" xfId="46924"/>
    <cellStyle name="Обычный 8 8 2 4 4 2 4" xfId="46925"/>
    <cellStyle name="Обычный 8 8 2 4 4 2 4 2" xfId="46926"/>
    <cellStyle name="Обычный 8 8 2 4 4 2 5" xfId="46927"/>
    <cellStyle name="Обычный 8 8 2 4 4 2 6" xfId="46928"/>
    <cellStyle name="Обычный 8 8 2 4 4 3" xfId="46929"/>
    <cellStyle name="Обычный 8 8 2 4 4 3 2" xfId="46930"/>
    <cellStyle name="Обычный 8 8 2 4 4 3 3" xfId="46931"/>
    <cellStyle name="Обычный 8 8 2 4 4 4" xfId="46932"/>
    <cellStyle name="Обычный 8 8 2 4 4 4 2" xfId="46933"/>
    <cellStyle name="Обычный 8 8 2 4 4 4 3" xfId="46934"/>
    <cellStyle name="Обычный 8 8 2 4 4 5" xfId="46935"/>
    <cellStyle name="Обычный 8 8 2 4 4 5 2" xfId="46936"/>
    <cellStyle name="Обычный 8 8 2 4 4 6" xfId="46937"/>
    <cellStyle name="Обычный 8 8 2 4 4 7" xfId="46938"/>
    <cellStyle name="Обычный 8 8 2 4 5" xfId="46939"/>
    <cellStyle name="Обычный 8 8 2 4 5 2" xfId="46940"/>
    <cellStyle name="Обычный 8 8 2 4 5 2 2" xfId="46941"/>
    <cellStyle name="Обычный 8 8 2 4 5 2 3" xfId="46942"/>
    <cellStyle name="Обычный 8 8 2 4 5 3" xfId="46943"/>
    <cellStyle name="Обычный 8 8 2 4 5 3 2" xfId="46944"/>
    <cellStyle name="Обычный 8 8 2 4 5 3 3" xfId="46945"/>
    <cellStyle name="Обычный 8 8 2 4 5 4" xfId="46946"/>
    <cellStyle name="Обычный 8 8 2 4 5 4 2" xfId="46947"/>
    <cellStyle name="Обычный 8 8 2 4 5 5" xfId="46948"/>
    <cellStyle name="Обычный 8 8 2 4 5 6" xfId="46949"/>
    <cellStyle name="Обычный 8 8 2 4 6" xfId="46950"/>
    <cellStyle name="Обычный 8 8 2 4 6 2" xfId="46951"/>
    <cellStyle name="Обычный 8 8 2 4 6 3" xfId="46952"/>
    <cellStyle name="Обычный 8 8 2 4 7" xfId="46953"/>
    <cellStyle name="Обычный 8 8 2 4 7 2" xfId="46954"/>
    <cellStyle name="Обычный 8 8 2 4 7 3" xfId="46955"/>
    <cellStyle name="Обычный 8 8 2 4 8" xfId="46956"/>
    <cellStyle name="Обычный 8 8 2 4 8 2" xfId="46957"/>
    <cellStyle name="Обычный 8 8 2 4 9" xfId="46958"/>
    <cellStyle name="Обычный 8 8 2 5" xfId="46959"/>
    <cellStyle name="Обычный 8 8 2 5 2" xfId="46960"/>
    <cellStyle name="Обычный 8 8 2 5 2 2" xfId="46961"/>
    <cellStyle name="Обычный 8 8 2 5 2 2 2" xfId="46962"/>
    <cellStyle name="Обычный 8 8 2 5 2 2 2 2" xfId="46963"/>
    <cellStyle name="Обычный 8 8 2 5 2 2 2 2 2" xfId="46964"/>
    <cellStyle name="Обычный 8 8 2 5 2 2 2 2 3" xfId="46965"/>
    <cellStyle name="Обычный 8 8 2 5 2 2 2 3" xfId="46966"/>
    <cellStyle name="Обычный 8 8 2 5 2 2 2 3 2" xfId="46967"/>
    <cellStyle name="Обычный 8 8 2 5 2 2 2 3 3" xfId="46968"/>
    <cellStyle name="Обычный 8 8 2 5 2 2 2 4" xfId="46969"/>
    <cellStyle name="Обычный 8 8 2 5 2 2 2 4 2" xfId="46970"/>
    <cellStyle name="Обычный 8 8 2 5 2 2 2 5" xfId="46971"/>
    <cellStyle name="Обычный 8 8 2 5 2 2 2 6" xfId="46972"/>
    <cellStyle name="Обычный 8 8 2 5 2 2 3" xfId="46973"/>
    <cellStyle name="Обычный 8 8 2 5 2 2 3 2" xfId="46974"/>
    <cellStyle name="Обычный 8 8 2 5 2 2 3 3" xfId="46975"/>
    <cellStyle name="Обычный 8 8 2 5 2 2 4" xfId="46976"/>
    <cellStyle name="Обычный 8 8 2 5 2 2 4 2" xfId="46977"/>
    <cellStyle name="Обычный 8 8 2 5 2 2 4 3" xfId="46978"/>
    <cellStyle name="Обычный 8 8 2 5 2 2 5" xfId="46979"/>
    <cellStyle name="Обычный 8 8 2 5 2 2 5 2" xfId="46980"/>
    <cellStyle name="Обычный 8 8 2 5 2 2 6" xfId="46981"/>
    <cellStyle name="Обычный 8 8 2 5 2 2 7" xfId="46982"/>
    <cellStyle name="Обычный 8 8 2 5 2 3" xfId="46983"/>
    <cellStyle name="Обычный 8 8 2 5 2 3 2" xfId="46984"/>
    <cellStyle name="Обычный 8 8 2 5 2 3 2 2" xfId="46985"/>
    <cellStyle name="Обычный 8 8 2 5 2 3 2 3" xfId="46986"/>
    <cellStyle name="Обычный 8 8 2 5 2 3 3" xfId="46987"/>
    <cellStyle name="Обычный 8 8 2 5 2 3 3 2" xfId="46988"/>
    <cellStyle name="Обычный 8 8 2 5 2 3 3 3" xfId="46989"/>
    <cellStyle name="Обычный 8 8 2 5 2 3 4" xfId="46990"/>
    <cellStyle name="Обычный 8 8 2 5 2 3 4 2" xfId="46991"/>
    <cellStyle name="Обычный 8 8 2 5 2 3 5" xfId="46992"/>
    <cellStyle name="Обычный 8 8 2 5 2 3 6" xfId="46993"/>
    <cellStyle name="Обычный 8 8 2 5 2 4" xfId="46994"/>
    <cellStyle name="Обычный 8 8 2 5 2 4 2" xfId="46995"/>
    <cellStyle name="Обычный 8 8 2 5 2 4 3" xfId="46996"/>
    <cellStyle name="Обычный 8 8 2 5 2 5" xfId="46997"/>
    <cellStyle name="Обычный 8 8 2 5 2 5 2" xfId="46998"/>
    <cellStyle name="Обычный 8 8 2 5 2 5 3" xfId="46999"/>
    <cellStyle name="Обычный 8 8 2 5 2 6" xfId="47000"/>
    <cellStyle name="Обычный 8 8 2 5 2 6 2" xfId="47001"/>
    <cellStyle name="Обычный 8 8 2 5 2 7" xfId="47002"/>
    <cellStyle name="Обычный 8 8 2 5 2 8" xfId="47003"/>
    <cellStyle name="Обычный 8 8 2 5 3" xfId="47004"/>
    <cellStyle name="Обычный 8 8 2 5 3 2" xfId="47005"/>
    <cellStyle name="Обычный 8 8 2 5 3 2 2" xfId="47006"/>
    <cellStyle name="Обычный 8 8 2 5 3 2 2 2" xfId="47007"/>
    <cellStyle name="Обычный 8 8 2 5 3 2 2 3" xfId="47008"/>
    <cellStyle name="Обычный 8 8 2 5 3 2 3" xfId="47009"/>
    <cellStyle name="Обычный 8 8 2 5 3 2 3 2" xfId="47010"/>
    <cellStyle name="Обычный 8 8 2 5 3 2 3 3" xfId="47011"/>
    <cellStyle name="Обычный 8 8 2 5 3 2 4" xfId="47012"/>
    <cellStyle name="Обычный 8 8 2 5 3 2 4 2" xfId="47013"/>
    <cellStyle name="Обычный 8 8 2 5 3 2 5" xfId="47014"/>
    <cellStyle name="Обычный 8 8 2 5 3 2 6" xfId="47015"/>
    <cellStyle name="Обычный 8 8 2 5 3 3" xfId="47016"/>
    <cellStyle name="Обычный 8 8 2 5 3 3 2" xfId="47017"/>
    <cellStyle name="Обычный 8 8 2 5 3 3 3" xfId="47018"/>
    <cellStyle name="Обычный 8 8 2 5 3 4" xfId="47019"/>
    <cellStyle name="Обычный 8 8 2 5 3 4 2" xfId="47020"/>
    <cellStyle name="Обычный 8 8 2 5 3 4 3" xfId="47021"/>
    <cellStyle name="Обычный 8 8 2 5 3 5" xfId="47022"/>
    <cellStyle name="Обычный 8 8 2 5 3 5 2" xfId="47023"/>
    <cellStyle name="Обычный 8 8 2 5 3 6" xfId="47024"/>
    <cellStyle name="Обычный 8 8 2 5 3 7" xfId="47025"/>
    <cellStyle name="Обычный 8 8 2 5 4" xfId="47026"/>
    <cellStyle name="Обычный 8 8 2 5 4 2" xfId="47027"/>
    <cellStyle name="Обычный 8 8 2 5 4 2 2" xfId="47028"/>
    <cellStyle name="Обычный 8 8 2 5 4 2 3" xfId="47029"/>
    <cellStyle name="Обычный 8 8 2 5 4 3" xfId="47030"/>
    <cellStyle name="Обычный 8 8 2 5 4 3 2" xfId="47031"/>
    <cellStyle name="Обычный 8 8 2 5 4 3 3" xfId="47032"/>
    <cellStyle name="Обычный 8 8 2 5 4 4" xfId="47033"/>
    <cellStyle name="Обычный 8 8 2 5 4 4 2" xfId="47034"/>
    <cellStyle name="Обычный 8 8 2 5 4 5" xfId="47035"/>
    <cellStyle name="Обычный 8 8 2 5 4 6" xfId="47036"/>
    <cellStyle name="Обычный 8 8 2 5 5" xfId="47037"/>
    <cellStyle name="Обычный 8 8 2 5 5 2" xfId="47038"/>
    <cellStyle name="Обычный 8 8 2 5 5 3" xfId="47039"/>
    <cellStyle name="Обычный 8 8 2 5 6" xfId="47040"/>
    <cellStyle name="Обычный 8 8 2 5 6 2" xfId="47041"/>
    <cellStyle name="Обычный 8 8 2 5 6 3" xfId="47042"/>
    <cellStyle name="Обычный 8 8 2 5 7" xfId="47043"/>
    <cellStyle name="Обычный 8 8 2 5 7 2" xfId="47044"/>
    <cellStyle name="Обычный 8 8 2 5 8" xfId="47045"/>
    <cellStyle name="Обычный 8 8 2 5 9" xfId="47046"/>
    <cellStyle name="Обычный 8 8 2 6" xfId="47047"/>
    <cellStyle name="Обычный 8 8 2 6 2" xfId="47048"/>
    <cellStyle name="Обычный 8 8 2 6 2 2" xfId="47049"/>
    <cellStyle name="Обычный 8 8 2 6 2 2 2" xfId="47050"/>
    <cellStyle name="Обычный 8 8 2 6 2 2 2 2" xfId="47051"/>
    <cellStyle name="Обычный 8 8 2 6 2 2 2 3" xfId="47052"/>
    <cellStyle name="Обычный 8 8 2 6 2 2 3" xfId="47053"/>
    <cellStyle name="Обычный 8 8 2 6 2 2 3 2" xfId="47054"/>
    <cellStyle name="Обычный 8 8 2 6 2 2 3 3" xfId="47055"/>
    <cellStyle name="Обычный 8 8 2 6 2 2 4" xfId="47056"/>
    <cellStyle name="Обычный 8 8 2 6 2 2 4 2" xfId="47057"/>
    <cellStyle name="Обычный 8 8 2 6 2 2 5" xfId="47058"/>
    <cellStyle name="Обычный 8 8 2 6 2 2 6" xfId="47059"/>
    <cellStyle name="Обычный 8 8 2 6 2 3" xfId="47060"/>
    <cellStyle name="Обычный 8 8 2 6 2 3 2" xfId="47061"/>
    <cellStyle name="Обычный 8 8 2 6 2 3 3" xfId="47062"/>
    <cellStyle name="Обычный 8 8 2 6 2 4" xfId="47063"/>
    <cellStyle name="Обычный 8 8 2 6 2 4 2" xfId="47064"/>
    <cellStyle name="Обычный 8 8 2 6 2 4 3" xfId="47065"/>
    <cellStyle name="Обычный 8 8 2 6 2 5" xfId="47066"/>
    <cellStyle name="Обычный 8 8 2 6 2 5 2" xfId="47067"/>
    <cellStyle name="Обычный 8 8 2 6 2 6" xfId="47068"/>
    <cellStyle name="Обычный 8 8 2 6 2 7" xfId="47069"/>
    <cellStyle name="Обычный 8 8 2 6 3" xfId="47070"/>
    <cellStyle name="Обычный 8 8 2 6 3 2" xfId="47071"/>
    <cellStyle name="Обычный 8 8 2 6 3 2 2" xfId="47072"/>
    <cellStyle name="Обычный 8 8 2 6 3 2 3" xfId="47073"/>
    <cellStyle name="Обычный 8 8 2 6 3 3" xfId="47074"/>
    <cellStyle name="Обычный 8 8 2 6 3 3 2" xfId="47075"/>
    <cellStyle name="Обычный 8 8 2 6 3 3 3" xfId="47076"/>
    <cellStyle name="Обычный 8 8 2 6 3 4" xfId="47077"/>
    <cellStyle name="Обычный 8 8 2 6 3 4 2" xfId="47078"/>
    <cellStyle name="Обычный 8 8 2 6 3 5" xfId="47079"/>
    <cellStyle name="Обычный 8 8 2 6 3 6" xfId="47080"/>
    <cellStyle name="Обычный 8 8 2 6 4" xfId="47081"/>
    <cellStyle name="Обычный 8 8 2 6 4 2" xfId="47082"/>
    <cellStyle name="Обычный 8 8 2 6 4 3" xfId="47083"/>
    <cellStyle name="Обычный 8 8 2 6 5" xfId="47084"/>
    <cellStyle name="Обычный 8 8 2 6 5 2" xfId="47085"/>
    <cellStyle name="Обычный 8 8 2 6 5 3" xfId="47086"/>
    <cellStyle name="Обычный 8 8 2 6 6" xfId="47087"/>
    <cellStyle name="Обычный 8 8 2 6 6 2" xfId="47088"/>
    <cellStyle name="Обычный 8 8 2 6 7" xfId="47089"/>
    <cellStyle name="Обычный 8 8 2 6 8" xfId="47090"/>
    <cellStyle name="Обычный 8 8 2 7" xfId="47091"/>
    <cellStyle name="Обычный 8 8 2 7 2" xfId="47092"/>
    <cellStyle name="Обычный 8 8 2 7 2 2" xfId="47093"/>
    <cellStyle name="Обычный 8 8 2 7 2 2 2" xfId="47094"/>
    <cellStyle name="Обычный 8 8 2 7 2 2 3" xfId="47095"/>
    <cellStyle name="Обычный 8 8 2 7 2 3" xfId="47096"/>
    <cellStyle name="Обычный 8 8 2 7 2 3 2" xfId="47097"/>
    <cellStyle name="Обычный 8 8 2 7 2 3 3" xfId="47098"/>
    <cellStyle name="Обычный 8 8 2 7 2 4" xfId="47099"/>
    <cellStyle name="Обычный 8 8 2 7 2 4 2" xfId="47100"/>
    <cellStyle name="Обычный 8 8 2 7 2 5" xfId="47101"/>
    <cellStyle name="Обычный 8 8 2 7 2 6" xfId="47102"/>
    <cellStyle name="Обычный 8 8 2 7 3" xfId="47103"/>
    <cellStyle name="Обычный 8 8 2 7 3 2" xfId="47104"/>
    <cellStyle name="Обычный 8 8 2 7 3 3" xfId="47105"/>
    <cellStyle name="Обычный 8 8 2 7 4" xfId="47106"/>
    <cellStyle name="Обычный 8 8 2 7 4 2" xfId="47107"/>
    <cellStyle name="Обычный 8 8 2 7 4 3" xfId="47108"/>
    <cellStyle name="Обычный 8 8 2 7 5" xfId="47109"/>
    <cellStyle name="Обычный 8 8 2 7 5 2" xfId="47110"/>
    <cellStyle name="Обычный 8 8 2 7 6" xfId="47111"/>
    <cellStyle name="Обычный 8 8 2 7 7" xfId="47112"/>
    <cellStyle name="Обычный 8 8 2 8" xfId="47113"/>
    <cellStyle name="Обычный 8 8 2 8 2" xfId="47114"/>
    <cellStyle name="Обычный 8 8 2 8 2 2" xfId="47115"/>
    <cellStyle name="Обычный 8 8 2 8 2 3" xfId="47116"/>
    <cellStyle name="Обычный 8 8 2 8 3" xfId="47117"/>
    <cellStyle name="Обычный 8 8 2 8 3 2" xfId="47118"/>
    <cellStyle name="Обычный 8 8 2 8 3 3" xfId="47119"/>
    <cellStyle name="Обычный 8 8 2 8 4" xfId="47120"/>
    <cellStyle name="Обычный 8 8 2 8 4 2" xfId="47121"/>
    <cellStyle name="Обычный 8 8 2 8 5" xfId="47122"/>
    <cellStyle name="Обычный 8 8 2 8 6" xfId="47123"/>
    <cellStyle name="Обычный 8 8 2 9" xfId="47124"/>
    <cellStyle name="Обычный 8 8 2 9 2" xfId="47125"/>
    <cellStyle name="Обычный 8 8 2 9 3" xfId="47126"/>
    <cellStyle name="Обычный 8 8 3" xfId="47127"/>
    <cellStyle name="Обычный 8 8 3 10" xfId="47128"/>
    <cellStyle name="Обычный 8 8 3 2" xfId="47129"/>
    <cellStyle name="Обычный 8 8 3 2 2" xfId="47130"/>
    <cellStyle name="Обычный 8 8 3 2 2 2" xfId="47131"/>
    <cellStyle name="Обычный 8 8 3 2 2 2 2" xfId="47132"/>
    <cellStyle name="Обычный 8 8 3 2 2 2 2 2" xfId="47133"/>
    <cellStyle name="Обычный 8 8 3 2 2 2 2 2 2" xfId="47134"/>
    <cellStyle name="Обычный 8 8 3 2 2 2 2 2 3" xfId="47135"/>
    <cellStyle name="Обычный 8 8 3 2 2 2 2 3" xfId="47136"/>
    <cellStyle name="Обычный 8 8 3 2 2 2 2 3 2" xfId="47137"/>
    <cellStyle name="Обычный 8 8 3 2 2 2 2 3 3" xfId="47138"/>
    <cellStyle name="Обычный 8 8 3 2 2 2 2 4" xfId="47139"/>
    <cellStyle name="Обычный 8 8 3 2 2 2 2 4 2" xfId="47140"/>
    <cellStyle name="Обычный 8 8 3 2 2 2 2 5" xfId="47141"/>
    <cellStyle name="Обычный 8 8 3 2 2 2 2 6" xfId="47142"/>
    <cellStyle name="Обычный 8 8 3 2 2 2 3" xfId="47143"/>
    <cellStyle name="Обычный 8 8 3 2 2 2 3 2" xfId="47144"/>
    <cellStyle name="Обычный 8 8 3 2 2 2 3 3" xfId="47145"/>
    <cellStyle name="Обычный 8 8 3 2 2 2 4" xfId="47146"/>
    <cellStyle name="Обычный 8 8 3 2 2 2 4 2" xfId="47147"/>
    <cellStyle name="Обычный 8 8 3 2 2 2 4 3" xfId="47148"/>
    <cellStyle name="Обычный 8 8 3 2 2 2 5" xfId="47149"/>
    <cellStyle name="Обычный 8 8 3 2 2 2 5 2" xfId="47150"/>
    <cellStyle name="Обычный 8 8 3 2 2 2 6" xfId="47151"/>
    <cellStyle name="Обычный 8 8 3 2 2 2 7" xfId="47152"/>
    <cellStyle name="Обычный 8 8 3 2 2 3" xfId="47153"/>
    <cellStyle name="Обычный 8 8 3 2 2 3 2" xfId="47154"/>
    <cellStyle name="Обычный 8 8 3 2 2 3 2 2" xfId="47155"/>
    <cellStyle name="Обычный 8 8 3 2 2 3 2 3" xfId="47156"/>
    <cellStyle name="Обычный 8 8 3 2 2 3 3" xfId="47157"/>
    <cellStyle name="Обычный 8 8 3 2 2 3 3 2" xfId="47158"/>
    <cellStyle name="Обычный 8 8 3 2 2 3 3 3" xfId="47159"/>
    <cellStyle name="Обычный 8 8 3 2 2 3 4" xfId="47160"/>
    <cellStyle name="Обычный 8 8 3 2 2 3 4 2" xfId="47161"/>
    <cellStyle name="Обычный 8 8 3 2 2 3 5" xfId="47162"/>
    <cellStyle name="Обычный 8 8 3 2 2 3 6" xfId="47163"/>
    <cellStyle name="Обычный 8 8 3 2 2 4" xfId="47164"/>
    <cellStyle name="Обычный 8 8 3 2 2 4 2" xfId="47165"/>
    <cellStyle name="Обычный 8 8 3 2 2 4 3" xfId="47166"/>
    <cellStyle name="Обычный 8 8 3 2 2 5" xfId="47167"/>
    <cellStyle name="Обычный 8 8 3 2 2 5 2" xfId="47168"/>
    <cellStyle name="Обычный 8 8 3 2 2 5 3" xfId="47169"/>
    <cellStyle name="Обычный 8 8 3 2 2 6" xfId="47170"/>
    <cellStyle name="Обычный 8 8 3 2 2 6 2" xfId="47171"/>
    <cellStyle name="Обычный 8 8 3 2 2 7" xfId="47172"/>
    <cellStyle name="Обычный 8 8 3 2 2 8" xfId="47173"/>
    <cellStyle name="Обычный 8 8 3 2 3" xfId="47174"/>
    <cellStyle name="Обычный 8 8 3 2 3 2" xfId="47175"/>
    <cellStyle name="Обычный 8 8 3 2 3 2 2" xfId="47176"/>
    <cellStyle name="Обычный 8 8 3 2 3 2 2 2" xfId="47177"/>
    <cellStyle name="Обычный 8 8 3 2 3 2 2 3" xfId="47178"/>
    <cellStyle name="Обычный 8 8 3 2 3 2 3" xfId="47179"/>
    <cellStyle name="Обычный 8 8 3 2 3 2 3 2" xfId="47180"/>
    <cellStyle name="Обычный 8 8 3 2 3 2 3 3" xfId="47181"/>
    <cellStyle name="Обычный 8 8 3 2 3 2 4" xfId="47182"/>
    <cellStyle name="Обычный 8 8 3 2 3 2 4 2" xfId="47183"/>
    <cellStyle name="Обычный 8 8 3 2 3 2 5" xfId="47184"/>
    <cellStyle name="Обычный 8 8 3 2 3 2 6" xfId="47185"/>
    <cellStyle name="Обычный 8 8 3 2 3 3" xfId="47186"/>
    <cellStyle name="Обычный 8 8 3 2 3 3 2" xfId="47187"/>
    <cellStyle name="Обычный 8 8 3 2 3 3 3" xfId="47188"/>
    <cellStyle name="Обычный 8 8 3 2 3 4" xfId="47189"/>
    <cellStyle name="Обычный 8 8 3 2 3 4 2" xfId="47190"/>
    <cellStyle name="Обычный 8 8 3 2 3 4 3" xfId="47191"/>
    <cellStyle name="Обычный 8 8 3 2 3 5" xfId="47192"/>
    <cellStyle name="Обычный 8 8 3 2 3 5 2" xfId="47193"/>
    <cellStyle name="Обычный 8 8 3 2 3 6" xfId="47194"/>
    <cellStyle name="Обычный 8 8 3 2 3 7" xfId="47195"/>
    <cellStyle name="Обычный 8 8 3 2 4" xfId="47196"/>
    <cellStyle name="Обычный 8 8 3 2 4 2" xfId="47197"/>
    <cellStyle name="Обычный 8 8 3 2 4 2 2" xfId="47198"/>
    <cellStyle name="Обычный 8 8 3 2 4 2 3" xfId="47199"/>
    <cellStyle name="Обычный 8 8 3 2 4 3" xfId="47200"/>
    <cellStyle name="Обычный 8 8 3 2 4 3 2" xfId="47201"/>
    <cellStyle name="Обычный 8 8 3 2 4 3 3" xfId="47202"/>
    <cellStyle name="Обычный 8 8 3 2 4 4" xfId="47203"/>
    <cellStyle name="Обычный 8 8 3 2 4 4 2" xfId="47204"/>
    <cellStyle name="Обычный 8 8 3 2 4 5" xfId="47205"/>
    <cellStyle name="Обычный 8 8 3 2 4 6" xfId="47206"/>
    <cellStyle name="Обычный 8 8 3 2 5" xfId="47207"/>
    <cellStyle name="Обычный 8 8 3 2 5 2" xfId="47208"/>
    <cellStyle name="Обычный 8 8 3 2 5 3" xfId="47209"/>
    <cellStyle name="Обычный 8 8 3 2 6" xfId="47210"/>
    <cellStyle name="Обычный 8 8 3 2 6 2" xfId="47211"/>
    <cellStyle name="Обычный 8 8 3 2 6 3" xfId="47212"/>
    <cellStyle name="Обычный 8 8 3 2 7" xfId="47213"/>
    <cellStyle name="Обычный 8 8 3 2 7 2" xfId="47214"/>
    <cellStyle name="Обычный 8 8 3 2 8" xfId="47215"/>
    <cellStyle name="Обычный 8 8 3 2 9" xfId="47216"/>
    <cellStyle name="Обычный 8 8 3 3" xfId="47217"/>
    <cellStyle name="Обычный 8 8 3 3 2" xfId="47218"/>
    <cellStyle name="Обычный 8 8 3 3 2 2" xfId="47219"/>
    <cellStyle name="Обычный 8 8 3 3 2 2 2" xfId="47220"/>
    <cellStyle name="Обычный 8 8 3 3 2 2 2 2" xfId="47221"/>
    <cellStyle name="Обычный 8 8 3 3 2 2 2 3" xfId="47222"/>
    <cellStyle name="Обычный 8 8 3 3 2 2 3" xfId="47223"/>
    <cellStyle name="Обычный 8 8 3 3 2 2 3 2" xfId="47224"/>
    <cellStyle name="Обычный 8 8 3 3 2 2 3 3" xfId="47225"/>
    <cellStyle name="Обычный 8 8 3 3 2 2 4" xfId="47226"/>
    <cellStyle name="Обычный 8 8 3 3 2 2 4 2" xfId="47227"/>
    <cellStyle name="Обычный 8 8 3 3 2 2 5" xfId="47228"/>
    <cellStyle name="Обычный 8 8 3 3 2 2 6" xfId="47229"/>
    <cellStyle name="Обычный 8 8 3 3 2 3" xfId="47230"/>
    <cellStyle name="Обычный 8 8 3 3 2 3 2" xfId="47231"/>
    <cellStyle name="Обычный 8 8 3 3 2 3 3" xfId="47232"/>
    <cellStyle name="Обычный 8 8 3 3 2 4" xfId="47233"/>
    <cellStyle name="Обычный 8 8 3 3 2 4 2" xfId="47234"/>
    <cellStyle name="Обычный 8 8 3 3 2 4 3" xfId="47235"/>
    <cellStyle name="Обычный 8 8 3 3 2 5" xfId="47236"/>
    <cellStyle name="Обычный 8 8 3 3 2 5 2" xfId="47237"/>
    <cellStyle name="Обычный 8 8 3 3 2 6" xfId="47238"/>
    <cellStyle name="Обычный 8 8 3 3 2 7" xfId="47239"/>
    <cellStyle name="Обычный 8 8 3 3 3" xfId="47240"/>
    <cellStyle name="Обычный 8 8 3 3 3 2" xfId="47241"/>
    <cellStyle name="Обычный 8 8 3 3 3 2 2" xfId="47242"/>
    <cellStyle name="Обычный 8 8 3 3 3 2 3" xfId="47243"/>
    <cellStyle name="Обычный 8 8 3 3 3 3" xfId="47244"/>
    <cellStyle name="Обычный 8 8 3 3 3 3 2" xfId="47245"/>
    <cellStyle name="Обычный 8 8 3 3 3 3 3" xfId="47246"/>
    <cellStyle name="Обычный 8 8 3 3 3 4" xfId="47247"/>
    <cellStyle name="Обычный 8 8 3 3 3 4 2" xfId="47248"/>
    <cellStyle name="Обычный 8 8 3 3 3 5" xfId="47249"/>
    <cellStyle name="Обычный 8 8 3 3 3 6" xfId="47250"/>
    <cellStyle name="Обычный 8 8 3 3 4" xfId="47251"/>
    <cellStyle name="Обычный 8 8 3 3 4 2" xfId="47252"/>
    <cellStyle name="Обычный 8 8 3 3 4 3" xfId="47253"/>
    <cellStyle name="Обычный 8 8 3 3 5" xfId="47254"/>
    <cellStyle name="Обычный 8 8 3 3 5 2" xfId="47255"/>
    <cellStyle name="Обычный 8 8 3 3 5 3" xfId="47256"/>
    <cellStyle name="Обычный 8 8 3 3 6" xfId="47257"/>
    <cellStyle name="Обычный 8 8 3 3 6 2" xfId="47258"/>
    <cellStyle name="Обычный 8 8 3 3 7" xfId="47259"/>
    <cellStyle name="Обычный 8 8 3 3 8" xfId="47260"/>
    <cellStyle name="Обычный 8 8 3 4" xfId="47261"/>
    <cellStyle name="Обычный 8 8 3 4 2" xfId="47262"/>
    <cellStyle name="Обычный 8 8 3 4 2 2" xfId="47263"/>
    <cellStyle name="Обычный 8 8 3 4 2 2 2" xfId="47264"/>
    <cellStyle name="Обычный 8 8 3 4 2 2 3" xfId="47265"/>
    <cellStyle name="Обычный 8 8 3 4 2 3" xfId="47266"/>
    <cellStyle name="Обычный 8 8 3 4 2 3 2" xfId="47267"/>
    <cellStyle name="Обычный 8 8 3 4 2 3 3" xfId="47268"/>
    <cellStyle name="Обычный 8 8 3 4 2 4" xfId="47269"/>
    <cellStyle name="Обычный 8 8 3 4 2 4 2" xfId="47270"/>
    <cellStyle name="Обычный 8 8 3 4 2 5" xfId="47271"/>
    <cellStyle name="Обычный 8 8 3 4 2 6" xfId="47272"/>
    <cellStyle name="Обычный 8 8 3 4 3" xfId="47273"/>
    <cellStyle name="Обычный 8 8 3 4 3 2" xfId="47274"/>
    <cellStyle name="Обычный 8 8 3 4 3 3" xfId="47275"/>
    <cellStyle name="Обычный 8 8 3 4 4" xfId="47276"/>
    <cellStyle name="Обычный 8 8 3 4 4 2" xfId="47277"/>
    <cellStyle name="Обычный 8 8 3 4 4 3" xfId="47278"/>
    <cellStyle name="Обычный 8 8 3 4 5" xfId="47279"/>
    <cellStyle name="Обычный 8 8 3 4 5 2" xfId="47280"/>
    <cellStyle name="Обычный 8 8 3 4 6" xfId="47281"/>
    <cellStyle name="Обычный 8 8 3 4 7" xfId="47282"/>
    <cellStyle name="Обычный 8 8 3 5" xfId="47283"/>
    <cellStyle name="Обычный 8 8 3 5 2" xfId="47284"/>
    <cellStyle name="Обычный 8 8 3 5 2 2" xfId="47285"/>
    <cellStyle name="Обычный 8 8 3 5 2 3" xfId="47286"/>
    <cellStyle name="Обычный 8 8 3 5 3" xfId="47287"/>
    <cellStyle name="Обычный 8 8 3 5 3 2" xfId="47288"/>
    <cellStyle name="Обычный 8 8 3 5 3 3" xfId="47289"/>
    <cellStyle name="Обычный 8 8 3 5 4" xfId="47290"/>
    <cellStyle name="Обычный 8 8 3 5 4 2" xfId="47291"/>
    <cellStyle name="Обычный 8 8 3 5 5" xfId="47292"/>
    <cellStyle name="Обычный 8 8 3 5 6" xfId="47293"/>
    <cellStyle name="Обычный 8 8 3 6" xfId="47294"/>
    <cellStyle name="Обычный 8 8 3 6 2" xfId="47295"/>
    <cellStyle name="Обычный 8 8 3 6 3" xfId="47296"/>
    <cellStyle name="Обычный 8 8 3 7" xfId="47297"/>
    <cellStyle name="Обычный 8 8 3 7 2" xfId="47298"/>
    <cellStyle name="Обычный 8 8 3 7 3" xfId="47299"/>
    <cellStyle name="Обычный 8 8 3 8" xfId="47300"/>
    <cellStyle name="Обычный 8 8 3 8 2" xfId="47301"/>
    <cellStyle name="Обычный 8 8 3 9" xfId="47302"/>
    <cellStyle name="Обычный 8 8 4" xfId="47303"/>
    <cellStyle name="Обычный 8 8 4 10" xfId="47304"/>
    <cellStyle name="Обычный 8 8 4 2" xfId="47305"/>
    <cellStyle name="Обычный 8 8 4 2 2" xfId="47306"/>
    <cellStyle name="Обычный 8 8 4 2 2 2" xfId="47307"/>
    <cellStyle name="Обычный 8 8 4 2 2 2 2" xfId="47308"/>
    <cellStyle name="Обычный 8 8 4 2 2 2 2 2" xfId="47309"/>
    <cellStyle name="Обычный 8 8 4 2 2 2 2 2 2" xfId="47310"/>
    <cellStyle name="Обычный 8 8 4 2 2 2 2 2 3" xfId="47311"/>
    <cellStyle name="Обычный 8 8 4 2 2 2 2 3" xfId="47312"/>
    <cellStyle name="Обычный 8 8 4 2 2 2 2 3 2" xfId="47313"/>
    <cellStyle name="Обычный 8 8 4 2 2 2 2 3 3" xfId="47314"/>
    <cellStyle name="Обычный 8 8 4 2 2 2 2 4" xfId="47315"/>
    <cellStyle name="Обычный 8 8 4 2 2 2 2 4 2" xfId="47316"/>
    <cellStyle name="Обычный 8 8 4 2 2 2 2 5" xfId="47317"/>
    <cellStyle name="Обычный 8 8 4 2 2 2 2 6" xfId="47318"/>
    <cellStyle name="Обычный 8 8 4 2 2 2 3" xfId="47319"/>
    <cellStyle name="Обычный 8 8 4 2 2 2 3 2" xfId="47320"/>
    <cellStyle name="Обычный 8 8 4 2 2 2 3 3" xfId="47321"/>
    <cellStyle name="Обычный 8 8 4 2 2 2 4" xfId="47322"/>
    <cellStyle name="Обычный 8 8 4 2 2 2 4 2" xfId="47323"/>
    <cellStyle name="Обычный 8 8 4 2 2 2 4 3" xfId="47324"/>
    <cellStyle name="Обычный 8 8 4 2 2 2 5" xfId="47325"/>
    <cellStyle name="Обычный 8 8 4 2 2 2 5 2" xfId="47326"/>
    <cellStyle name="Обычный 8 8 4 2 2 2 6" xfId="47327"/>
    <cellStyle name="Обычный 8 8 4 2 2 2 7" xfId="47328"/>
    <cellStyle name="Обычный 8 8 4 2 2 3" xfId="47329"/>
    <cellStyle name="Обычный 8 8 4 2 2 3 2" xfId="47330"/>
    <cellStyle name="Обычный 8 8 4 2 2 3 2 2" xfId="47331"/>
    <cellStyle name="Обычный 8 8 4 2 2 3 2 3" xfId="47332"/>
    <cellStyle name="Обычный 8 8 4 2 2 3 3" xfId="47333"/>
    <cellStyle name="Обычный 8 8 4 2 2 3 3 2" xfId="47334"/>
    <cellStyle name="Обычный 8 8 4 2 2 3 3 3" xfId="47335"/>
    <cellStyle name="Обычный 8 8 4 2 2 3 4" xfId="47336"/>
    <cellStyle name="Обычный 8 8 4 2 2 3 4 2" xfId="47337"/>
    <cellStyle name="Обычный 8 8 4 2 2 3 5" xfId="47338"/>
    <cellStyle name="Обычный 8 8 4 2 2 3 6" xfId="47339"/>
    <cellStyle name="Обычный 8 8 4 2 2 4" xfId="47340"/>
    <cellStyle name="Обычный 8 8 4 2 2 4 2" xfId="47341"/>
    <cellStyle name="Обычный 8 8 4 2 2 4 3" xfId="47342"/>
    <cellStyle name="Обычный 8 8 4 2 2 5" xfId="47343"/>
    <cellStyle name="Обычный 8 8 4 2 2 5 2" xfId="47344"/>
    <cellStyle name="Обычный 8 8 4 2 2 5 3" xfId="47345"/>
    <cellStyle name="Обычный 8 8 4 2 2 6" xfId="47346"/>
    <cellStyle name="Обычный 8 8 4 2 2 6 2" xfId="47347"/>
    <cellStyle name="Обычный 8 8 4 2 2 7" xfId="47348"/>
    <cellStyle name="Обычный 8 8 4 2 2 8" xfId="47349"/>
    <cellStyle name="Обычный 8 8 4 2 3" xfId="47350"/>
    <cellStyle name="Обычный 8 8 4 2 3 2" xfId="47351"/>
    <cellStyle name="Обычный 8 8 4 2 3 2 2" xfId="47352"/>
    <cellStyle name="Обычный 8 8 4 2 3 2 2 2" xfId="47353"/>
    <cellStyle name="Обычный 8 8 4 2 3 2 2 3" xfId="47354"/>
    <cellStyle name="Обычный 8 8 4 2 3 2 3" xfId="47355"/>
    <cellStyle name="Обычный 8 8 4 2 3 2 3 2" xfId="47356"/>
    <cellStyle name="Обычный 8 8 4 2 3 2 3 3" xfId="47357"/>
    <cellStyle name="Обычный 8 8 4 2 3 2 4" xfId="47358"/>
    <cellStyle name="Обычный 8 8 4 2 3 2 4 2" xfId="47359"/>
    <cellStyle name="Обычный 8 8 4 2 3 2 5" xfId="47360"/>
    <cellStyle name="Обычный 8 8 4 2 3 2 6" xfId="47361"/>
    <cellStyle name="Обычный 8 8 4 2 3 3" xfId="47362"/>
    <cellStyle name="Обычный 8 8 4 2 3 3 2" xfId="47363"/>
    <cellStyle name="Обычный 8 8 4 2 3 3 3" xfId="47364"/>
    <cellStyle name="Обычный 8 8 4 2 3 4" xfId="47365"/>
    <cellStyle name="Обычный 8 8 4 2 3 4 2" xfId="47366"/>
    <cellStyle name="Обычный 8 8 4 2 3 4 3" xfId="47367"/>
    <cellStyle name="Обычный 8 8 4 2 3 5" xfId="47368"/>
    <cellStyle name="Обычный 8 8 4 2 3 5 2" xfId="47369"/>
    <cellStyle name="Обычный 8 8 4 2 3 6" xfId="47370"/>
    <cellStyle name="Обычный 8 8 4 2 3 7" xfId="47371"/>
    <cellStyle name="Обычный 8 8 4 2 4" xfId="47372"/>
    <cellStyle name="Обычный 8 8 4 2 4 2" xfId="47373"/>
    <cellStyle name="Обычный 8 8 4 2 4 2 2" xfId="47374"/>
    <cellStyle name="Обычный 8 8 4 2 4 2 3" xfId="47375"/>
    <cellStyle name="Обычный 8 8 4 2 4 3" xfId="47376"/>
    <cellStyle name="Обычный 8 8 4 2 4 3 2" xfId="47377"/>
    <cellStyle name="Обычный 8 8 4 2 4 3 3" xfId="47378"/>
    <cellStyle name="Обычный 8 8 4 2 4 4" xfId="47379"/>
    <cellStyle name="Обычный 8 8 4 2 4 4 2" xfId="47380"/>
    <cellStyle name="Обычный 8 8 4 2 4 5" xfId="47381"/>
    <cellStyle name="Обычный 8 8 4 2 4 6" xfId="47382"/>
    <cellStyle name="Обычный 8 8 4 2 5" xfId="47383"/>
    <cellStyle name="Обычный 8 8 4 2 5 2" xfId="47384"/>
    <cellStyle name="Обычный 8 8 4 2 5 3" xfId="47385"/>
    <cellStyle name="Обычный 8 8 4 2 6" xfId="47386"/>
    <cellStyle name="Обычный 8 8 4 2 6 2" xfId="47387"/>
    <cellStyle name="Обычный 8 8 4 2 6 3" xfId="47388"/>
    <cellStyle name="Обычный 8 8 4 2 7" xfId="47389"/>
    <cellStyle name="Обычный 8 8 4 2 7 2" xfId="47390"/>
    <cellStyle name="Обычный 8 8 4 2 8" xfId="47391"/>
    <cellStyle name="Обычный 8 8 4 2 9" xfId="47392"/>
    <cellStyle name="Обычный 8 8 4 3" xfId="47393"/>
    <cellStyle name="Обычный 8 8 4 3 2" xfId="47394"/>
    <cellStyle name="Обычный 8 8 4 3 2 2" xfId="47395"/>
    <cellStyle name="Обычный 8 8 4 3 2 2 2" xfId="47396"/>
    <cellStyle name="Обычный 8 8 4 3 2 2 2 2" xfId="47397"/>
    <cellStyle name="Обычный 8 8 4 3 2 2 2 3" xfId="47398"/>
    <cellStyle name="Обычный 8 8 4 3 2 2 3" xfId="47399"/>
    <cellStyle name="Обычный 8 8 4 3 2 2 3 2" xfId="47400"/>
    <cellStyle name="Обычный 8 8 4 3 2 2 3 3" xfId="47401"/>
    <cellStyle name="Обычный 8 8 4 3 2 2 4" xfId="47402"/>
    <cellStyle name="Обычный 8 8 4 3 2 2 4 2" xfId="47403"/>
    <cellStyle name="Обычный 8 8 4 3 2 2 5" xfId="47404"/>
    <cellStyle name="Обычный 8 8 4 3 2 2 6" xfId="47405"/>
    <cellStyle name="Обычный 8 8 4 3 2 3" xfId="47406"/>
    <cellStyle name="Обычный 8 8 4 3 2 3 2" xfId="47407"/>
    <cellStyle name="Обычный 8 8 4 3 2 3 3" xfId="47408"/>
    <cellStyle name="Обычный 8 8 4 3 2 4" xfId="47409"/>
    <cellStyle name="Обычный 8 8 4 3 2 4 2" xfId="47410"/>
    <cellStyle name="Обычный 8 8 4 3 2 4 3" xfId="47411"/>
    <cellStyle name="Обычный 8 8 4 3 2 5" xfId="47412"/>
    <cellStyle name="Обычный 8 8 4 3 2 5 2" xfId="47413"/>
    <cellStyle name="Обычный 8 8 4 3 2 6" xfId="47414"/>
    <cellStyle name="Обычный 8 8 4 3 2 7" xfId="47415"/>
    <cellStyle name="Обычный 8 8 4 3 3" xfId="47416"/>
    <cellStyle name="Обычный 8 8 4 3 3 2" xfId="47417"/>
    <cellStyle name="Обычный 8 8 4 3 3 2 2" xfId="47418"/>
    <cellStyle name="Обычный 8 8 4 3 3 2 3" xfId="47419"/>
    <cellStyle name="Обычный 8 8 4 3 3 3" xfId="47420"/>
    <cellStyle name="Обычный 8 8 4 3 3 3 2" xfId="47421"/>
    <cellStyle name="Обычный 8 8 4 3 3 3 3" xfId="47422"/>
    <cellStyle name="Обычный 8 8 4 3 3 4" xfId="47423"/>
    <cellStyle name="Обычный 8 8 4 3 3 4 2" xfId="47424"/>
    <cellStyle name="Обычный 8 8 4 3 3 5" xfId="47425"/>
    <cellStyle name="Обычный 8 8 4 3 3 6" xfId="47426"/>
    <cellStyle name="Обычный 8 8 4 3 4" xfId="47427"/>
    <cellStyle name="Обычный 8 8 4 3 4 2" xfId="47428"/>
    <cellStyle name="Обычный 8 8 4 3 4 3" xfId="47429"/>
    <cellStyle name="Обычный 8 8 4 3 5" xfId="47430"/>
    <cellStyle name="Обычный 8 8 4 3 5 2" xfId="47431"/>
    <cellStyle name="Обычный 8 8 4 3 5 3" xfId="47432"/>
    <cellStyle name="Обычный 8 8 4 3 6" xfId="47433"/>
    <cellStyle name="Обычный 8 8 4 3 6 2" xfId="47434"/>
    <cellStyle name="Обычный 8 8 4 3 7" xfId="47435"/>
    <cellStyle name="Обычный 8 8 4 3 8" xfId="47436"/>
    <cellStyle name="Обычный 8 8 4 4" xfId="47437"/>
    <cellStyle name="Обычный 8 8 4 4 2" xfId="47438"/>
    <cellStyle name="Обычный 8 8 4 4 2 2" xfId="47439"/>
    <cellStyle name="Обычный 8 8 4 4 2 2 2" xfId="47440"/>
    <cellStyle name="Обычный 8 8 4 4 2 2 3" xfId="47441"/>
    <cellStyle name="Обычный 8 8 4 4 2 3" xfId="47442"/>
    <cellStyle name="Обычный 8 8 4 4 2 3 2" xfId="47443"/>
    <cellStyle name="Обычный 8 8 4 4 2 3 3" xfId="47444"/>
    <cellStyle name="Обычный 8 8 4 4 2 4" xfId="47445"/>
    <cellStyle name="Обычный 8 8 4 4 2 4 2" xfId="47446"/>
    <cellStyle name="Обычный 8 8 4 4 2 5" xfId="47447"/>
    <cellStyle name="Обычный 8 8 4 4 2 6" xfId="47448"/>
    <cellStyle name="Обычный 8 8 4 4 3" xfId="47449"/>
    <cellStyle name="Обычный 8 8 4 4 3 2" xfId="47450"/>
    <cellStyle name="Обычный 8 8 4 4 3 3" xfId="47451"/>
    <cellStyle name="Обычный 8 8 4 4 4" xfId="47452"/>
    <cellStyle name="Обычный 8 8 4 4 4 2" xfId="47453"/>
    <cellStyle name="Обычный 8 8 4 4 4 3" xfId="47454"/>
    <cellStyle name="Обычный 8 8 4 4 5" xfId="47455"/>
    <cellStyle name="Обычный 8 8 4 4 5 2" xfId="47456"/>
    <cellStyle name="Обычный 8 8 4 4 6" xfId="47457"/>
    <cellStyle name="Обычный 8 8 4 4 7" xfId="47458"/>
    <cellStyle name="Обычный 8 8 4 5" xfId="47459"/>
    <cellStyle name="Обычный 8 8 4 5 2" xfId="47460"/>
    <cellStyle name="Обычный 8 8 4 5 2 2" xfId="47461"/>
    <cellStyle name="Обычный 8 8 4 5 2 3" xfId="47462"/>
    <cellStyle name="Обычный 8 8 4 5 3" xfId="47463"/>
    <cellStyle name="Обычный 8 8 4 5 3 2" xfId="47464"/>
    <cellStyle name="Обычный 8 8 4 5 3 3" xfId="47465"/>
    <cellStyle name="Обычный 8 8 4 5 4" xfId="47466"/>
    <cellStyle name="Обычный 8 8 4 5 4 2" xfId="47467"/>
    <cellStyle name="Обычный 8 8 4 5 5" xfId="47468"/>
    <cellStyle name="Обычный 8 8 4 5 6" xfId="47469"/>
    <cellStyle name="Обычный 8 8 4 6" xfId="47470"/>
    <cellStyle name="Обычный 8 8 4 6 2" xfId="47471"/>
    <cellStyle name="Обычный 8 8 4 6 3" xfId="47472"/>
    <cellStyle name="Обычный 8 8 4 7" xfId="47473"/>
    <cellStyle name="Обычный 8 8 4 7 2" xfId="47474"/>
    <cellStyle name="Обычный 8 8 4 7 3" xfId="47475"/>
    <cellStyle name="Обычный 8 8 4 8" xfId="47476"/>
    <cellStyle name="Обычный 8 8 4 8 2" xfId="47477"/>
    <cellStyle name="Обычный 8 8 4 9" xfId="47478"/>
    <cellStyle name="Обычный 8 8 5" xfId="47479"/>
    <cellStyle name="Обычный 8 8 5 10" xfId="47480"/>
    <cellStyle name="Обычный 8 8 5 2" xfId="47481"/>
    <cellStyle name="Обычный 8 8 5 2 2" xfId="47482"/>
    <cellStyle name="Обычный 8 8 5 2 2 2" xfId="47483"/>
    <cellStyle name="Обычный 8 8 5 2 2 2 2" xfId="47484"/>
    <cellStyle name="Обычный 8 8 5 2 2 2 2 2" xfId="47485"/>
    <cellStyle name="Обычный 8 8 5 2 2 2 2 2 2" xfId="47486"/>
    <cellStyle name="Обычный 8 8 5 2 2 2 2 2 3" xfId="47487"/>
    <cellStyle name="Обычный 8 8 5 2 2 2 2 3" xfId="47488"/>
    <cellStyle name="Обычный 8 8 5 2 2 2 2 3 2" xfId="47489"/>
    <cellStyle name="Обычный 8 8 5 2 2 2 2 3 3" xfId="47490"/>
    <cellStyle name="Обычный 8 8 5 2 2 2 2 4" xfId="47491"/>
    <cellStyle name="Обычный 8 8 5 2 2 2 2 4 2" xfId="47492"/>
    <cellStyle name="Обычный 8 8 5 2 2 2 2 5" xfId="47493"/>
    <cellStyle name="Обычный 8 8 5 2 2 2 2 6" xfId="47494"/>
    <cellStyle name="Обычный 8 8 5 2 2 2 3" xfId="47495"/>
    <cellStyle name="Обычный 8 8 5 2 2 2 3 2" xfId="47496"/>
    <cellStyle name="Обычный 8 8 5 2 2 2 3 3" xfId="47497"/>
    <cellStyle name="Обычный 8 8 5 2 2 2 4" xfId="47498"/>
    <cellStyle name="Обычный 8 8 5 2 2 2 4 2" xfId="47499"/>
    <cellStyle name="Обычный 8 8 5 2 2 2 4 3" xfId="47500"/>
    <cellStyle name="Обычный 8 8 5 2 2 2 5" xfId="47501"/>
    <cellStyle name="Обычный 8 8 5 2 2 2 5 2" xfId="47502"/>
    <cellStyle name="Обычный 8 8 5 2 2 2 6" xfId="47503"/>
    <cellStyle name="Обычный 8 8 5 2 2 2 7" xfId="47504"/>
    <cellStyle name="Обычный 8 8 5 2 2 3" xfId="47505"/>
    <cellStyle name="Обычный 8 8 5 2 2 3 2" xfId="47506"/>
    <cellStyle name="Обычный 8 8 5 2 2 3 2 2" xfId="47507"/>
    <cellStyle name="Обычный 8 8 5 2 2 3 2 3" xfId="47508"/>
    <cellStyle name="Обычный 8 8 5 2 2 3 3" xfId="47509"/>
    <cellStyle name="Обычный 8 8 5 2 2 3 3 2" xfId="47510"/>
    <cellStyle name="Обычный 8 8 5 2 2 3 3 3" xfId="47511"/>
    <cellStyle name="Обычный 8 8 5 2 2 3 4" xfId="47512"/>
    <cellStyle name="Обычный 8 8 5 2 2 3 4 2" xfId="47513"/>
    <cellStyle name="Обычный 8 8 5 2 2 3 5" xfId="47514"/>
    <cellStyle name="Обычный 8 8 5 2 2 3 6" xfId="47515"/>
    <cellStyle name="Обычный 8 8 5 2 2 4" xfId="47516"/>
    <cellStyle name="Обычный 8 8 5 2 2 4 2" xfId="47517"/>
    <cellStyle name="Обычный 8 8 5 2 2 4 3" xfId="47518"/>
    <cellStyle name="Обычный 8 8 5 2 2 5" xfId="47519"/>
    <cellStyle name="Обычный 8 8 5 2 2 5 2" xfId="47520"/>
    <cellStyle name="Обычный 8 8 5 2 2 5 3" xfId="47521"/>
    <cellStyle name="Обычный 8 8 5 2 2 6" xfId="47522"/>
    <cellStyle name="Обычный 8 8 5 2 2 6 2" xfId="47523"/>
    <cellStyle name="Обычный 8 8 5 2 2 7" xfId="47524"/>
    <cellStyle name="Обычный 8 8 5 2 2 8" xfId="47525"/>
    <cellStyle name="Обычный 8 8 5 2 3" xfId="47526"/>
    <cellStyle name="Обычный 8 8 5 2 3 2" xfId="47527"/>
    <cellStyle name="Обычный 8 8 5 2 3 2 2" xfId="47528"/>
    <cellStyle name="Обычный 8 8 5 2 3 2 2 2" xfId="47529"/>
    <cellStyle name="Обычный 8 8 5 2 3 2 2 3" xfId="47530"/>
    <cellStyle name="Обычный 8 8 5 2 3 2 3" xfId="47531"/>
    <cellStyle name="Обычный 8 8 5 2 3 2 3 2" xfId="47532"/>
    <cellStyle name="Обычный 8 8 5 2 3 2 3 3" xfId="47533"/>
    <cellStyle name="Обычный 8 8 5 2 3 2 4" xfId="47534"/>
    <cellStyle name="Обычный 8 8 5 2 3 2 4 2" xfId="47535"/>
    <cellStyle name="Обычный 8 8 5 2 3 2 5" xfId="47536"/>
    <cellStyle name="Обычный 8 8 5 2 3 2 6" xfId="47537"/>
    <cellStyle name="Обычный 8 8 5 2 3 3" xfId="47538"/>
    <cellStyle name="Обычный 8 8 5 2 3 3 2" xfId="47539"/>
    <cellStyle name="Обычный 8 8 5 2 3 3 3" xfId="47540"/>
    <cellStyle name="Обычный 8 8 5 2 3 4" xfId="47541"/>
    <cellStyle name="Обычный 8 8 5 2 3 4 2" xfId="47542"/>
    <cellStyle name="Обычный 8 8 5 2 3 4 3" xfId="47543"/>
    <cellStyle name="Обычный 8 8 5 2 3 5" xfId="47544"/>
    <cellStyle name="Обычный 8 8 5 2 3 5 2" xfId="47545"/>
    <cellStyle name="Обычный 8 8 5 2 3 6" xfId="47546"/>
    <cellStyle name="Обычный 8 8 5 2 3 7" xfId="47547"/>
    <cellStyle name="Обычный 8 8 5 2 4" xfId="47548"/>
    <cellStyle name="Обычный 8 8 5 2 4 2" xfId="47549"/>
    <cellStyle name="Обычный 8 8 5 2 4 2 2" xfId="47550"/>
    <cellStyle name="Обычный 8 8 5 2 4 2 3" xfId="47551"/>
    <cellStyle name="Обычный 8 8 5 2 4 3" xfId="47552"/>
    <cellStyle name="Обычный 8 8 5 2 4 3 2" xfId="47553"/>
    <cellStyle name="Обычный 8 8 5 2 4 3 3" xfId="47554"/>
    <cellStyle name="Обычный 8 8 5 2 4 4" xfId="47555"/>
    <cellStyle name="Обычный 8 8 5 2 4 4 2" xfId="47556"/>
    <cellStyle name="Обычный 8 8 5 2 4 5" xfId="47557"/>
    <cellStyle name="Обычный 8 8 5 2 4 6" xfId="47558"/>
    <cellStyle name="Обычный 8 8 5 2 5" xfId="47559"/>
    <cellStyle name="Обычный 8 8 5 2 5 2" xfId="47560"/>
    <cellStyle name="Обычный 8 8 5 2 5 3" xfId="47561"/>
    <cellStyle name="Обычный 8 8 5 2 6" xfId="47562"/>
    <cellStyle name="Обычный 8 8 5 2 6 2" xfId="47563"/>
    <cellStyle name="Обычный 8 8 5 2 6 3" xfId="47564"/>
    <cellStyle name="Обычный 8 8 5 2 7" xfId="47565"/>
    <cellStyle name="Обычный 8 8 5 2 7 2" xfId="47566"/>
    <cellStyle name="Обычный 8 8 5 2 8" xfId="47567"/>
    <cellStyle name="Обычный 8 8 5 2 9" xfId="47568"/>
    <cellStyle name="Обычный 8 8 5 3" xfId="47569"/>
    <cellStyle name="Обычный 8 8 5 3 2" xfId="47570"/>
    <cellStyle name="Обычный 8 8 5 3 2 2" xfId="47571"/>
    <cellStyle name="Обычный 8 8 5 3 2 2 2" xfId="47572"/>
    <cellStyle name="Обычный 8 8 5 3 2 2 2 2" xfId="47573"/>
    <cellStyle name="Обычный 8 8 5 3 2 2 2 3" xfId="47574"/>
    <cellStyle name="Обычный 8 8 5 3 2 2 3" xfId="47575"/>
    <cellStyle name="Обычный 8 8 5 3 2 2 3 2" xfId="47576"/>
    <cellStyle name="Обычный 8 8 5 3 2 2 3 3" xfId="47577"/>
    <cellStyle name="Обычный 8 8 5 3 2 2 4" xfId="47578"/>
    <cellStyle name="Обычный 8 8 5 3 2 2 4 2" xfId="47579"/>
    <cellStyle name="Обычный 8 8 5 3 2 2 5" xfId="47580"/>
    <cellStyle name="Обычный 8 8 5 3 2 2 6" xfId="47581"/>
    <cellStyle name="Обычный 8 8 5 3 2 3" xfId="47582"/>
    <cellStyle name="Обычный 8 8 5 3 2 3 2" xfId="47583"/>
    <cellStyle name="Обычный 8 8 5 3 2 3 3" xfId="47584"/>
    <cellStyle name="Обычный 8 8 5 3 2 4" xfId="47585"/>
    <cellStyle name="Обычный 8 8 5 3 2 4 2" xfId="47586"/>
    <cellStyle name="Обычный 8 8 5 3 2 4 3" xfId="47587"/>
    <cellStyle name="Обычный 8 8 5 3 2 5" xfId="47588"/>
    <cellStyle name="Обычный 8 8 5 3 2 5 2" xfId="47589"/>
    <cellStyle name="Обычный 8 8 5 3 2 6" xfId="47590"/>
    <cellStyle name="Обычный 8 8 5 3 2 7" xfId="47591"/>
    <cellStyle name="Обычный 8 8 5 3 3" xfId="47592"/>
    <cellStyle name="Обычный 8 8 5 3 3 2" xfId="47593"/>
    <cellStyle name="Обычный 8 8 5 3 3 2 2" xfId="47594"/>
    <cellStyle name="Обычный 8 8 5 3 3 2 3" xfId="47595"/>
    <cellStyle name="Обычный 8 8 5 3 3 3" xfId="47596"/>
    <cellStyle name="Обычный 8 8 5 3 3 3 2" xfId="47597"/>
    <cellStyle name="Обычный 8 8 5 3 3 3 3" xfId="47598"/>
    <cellStyle name="Обычный 8 8 5 3 3 4" xfId="47599"/>
    <cellStyle name="Обычный 8 8 5 3 3 4 2" xfId="47600"/>
    <cellStyle name="Обычный 8 8 5 3 3 5" xfId="47601"/>
    <cellStyle name="Обычный 8 8 5 3 3 6" xfId="47602"/>
    <cellStyle name="Обычный 8 8 5 3 4" xfId="47603"/>
    <cellStyle name="Обычный 8 8 5 3 4 2" xfId="47604"/>
    <cellStyle name="Обычный 8 8 5 3 4 3" xfId="47605"/>
    <cellStyle name="Обычный 8 8 5 3 5" xfId="47606"/>
    <cellStyle name="Обычный 8 8 5 3 5 2" xfId="47607"/>
    <cellStyle name="Обычный 8 8 5 3 5 3" xfId="47608"/>
    <cellStyle name="Обычный 8 8 5 3 6" xfId="47609"/>
    <cellStyle name="Обычный 8 8 5 3 6 2" xfId="47610"/>
    <cellStyle name="Обычный 8 8 5 3 7" xfId="47611"/>
    <cellStyle name="Обычный 8 8 5 3 8" xfId="47612"/>
    <cellStyle name="Обычный 8 8 5 4" xfId="47613"/>
    <cellStyle name="Обычный 8 8 5 4 2" xfId="47614"/>
    <cellStyle name="Обычный 8 8 5 4 2 2" xfId="47615"/>
    <cellStyle name="Обычный 8 8 5 4 2 2 2" xfId="47616"/>
    <cellStyle name="Обычный 8 8 5 4 2 2 3" xfId="47617"/>
    <cellStyle name="Обычный 8 8 5 4 2 3" xfId="47618"/>
    <cellStyle name="Обычный 8 8 5 4 2 3 2" xfId="47619"/>
    <cellStyle name="Обычный 8 8 5 4 2 3 3" xfId="47620"/>
    <cellStyle name="Обычный 8 8 5 4 2 4" xfId="47621"/>
    <cellStyle name="Обычный 8 8 5 4 2 4 2" xfId="47622"/>
    <cellStyle name="Обычный 8 8 5 4 2 5" xfId="47623"/>
    <cellStyle name="Обычный 8 8 5 4 2 6" xfId="47624"/>
    <cellStyle name="Обычный 8 8 5 4 3" xfId="47625"/>
    <cellStyle name="Обычный 8 8 5 4 3 2" xfId="47626"/>
    <cellStyle name="Обычный 8 8 5 4 3 3" xfId="47627"/>
    <cellStyle name="Обычный 8 8 5 4 4" xfId="47628"/>
    <cellStyle name="Обычный 8 8 5 4 4 2" xfId="47629"/>
    <cellStyle name="Обычный 8 8 5 4 4 3" xfId="47630"/>
    <cellStyle name="Обычный 8 8 5 4 5" xfId="47631"/>
    <cellStyle name="Обычный 8 8 5 4 5 2" xfId="47632"/>
    <cellStyle name="Обычный 8 8 5 4 6" xfId="47633"/>
    <cellStyle name="Обычный 8 8 5 4 7" xfId="47634"/>
    <cellStyle name="Обычный 8 8 5 5" xfId="47635"/>
    <cellStyle name="Обычный 8 8 5 5 2" xfId="47636"/>
    <cellStyle name="Обычный 8 8 5 5 2 2" xfId="47637"/>
    <cellStyle name="Обычный 8 8 5 5 2 3" xfId="47638"/>
    <cellStyle name="Обычный 8 8 5 5 3" xfId="47639"/>
    <cellStyle name="Обычный 8 8 5 5 3 2" xfId="47640"/>
    <cellStyle name="Обычный 8 8 5 5 3 3" xfId="47641"/>
    <cellStyle name="Обычный 8 8 5 5 4" xfId="47642"/>
    <cellStyle name="Обычный 8 8 5 5 4 2" xfId="47643"/>
    <cellStyle name="Обычный 8 8 5 5 5" xfId="47644"/>
    <cellStyle name="Обычный 8 8 5 5 6" xfId="47645"/>
    <cellStyle name="Обычный 8 8 5 6" xfId="47646"/>
    <cellStyle name="Обычный 8 8 5 6 2" xfId="47647"/>
    <cellStyle name="Обычный 8 8 5 6 3" xfId="47648"/>
    <cellStyle name="Обычный 8 8 5 7" xfId="47649"/>
    <cellStyle name="Обычный 8 8 5 7 2" xfId="47650"/>
    <cellStyle name="Обычный 8 8 5 7 3" xfId="47651"/>
    <cellStyle name="Обычный 8 8 5 8" xfId="47652"/>
    <cellStyle name="Обычный 8 8 5 8 2" xfId="47653"/>
    <cellStyle name="Обычный 8 8 5 9" xfId="47654"/>
    <cellStyle name="Обычный 8 8 6" xfId="47655"/>
    <cellStyle name="Обычный 8 8 6 2" xfId="47656"/>
    <cellStyle name="Обычный 8 8 6 2 2" xfId="47657"/>
    <cellStyle name="Обычный 8 8 6 2 2 2" xfId="47658"/>
    <cellStyle name="Обычный 8 8 6 2 2 2 2" xfId="47659"/>
    <cellStyle name="Обычный 8 8 6 2 2 2 2 2" xfId="47660"/>
    <cellStyle name="Обычный 8 8 6 2 2 2 2 3" xfId="47661"/>
    <cellStyle name="Обычный 8 8 6 2 2 2 3" xfId="47662"/>
    <cellStyle name="Обычный 8 8 6 2 2 2 3 2" xfId="47663"/>
    <cellStyle name="Обычный 8 8 6 2 2 2 3 3" xfId="47664"/>
    <cellStyle name="Обычный 8 8 6 2 2 2 4" xfId="47665"/>
    <cellStyle name="Обычный 8 8 6 2 2 2 4 2" xfId="47666"/>
    <cellStyle name="Обычный 8 8 6 2 2 2 5" xfId="47667"/>
    <cellStyle name="Обычный 8 8 6 2 2 2 6" xfId="47668"/>
    <cellStyle name="Обычный 8 8 6 2 2 3" xfId="47669"/>
    <cellStyle name="Обычный 8 8 6 2 2 3 2" xfId="47670"/>
    <cellStyle name="Обычный 8 8 6 2 2 3 3" xfId="47671"/>
    <cellStyle name="Обычный 8 8 6 2 2 4" xfId="47672"/>
    <cellStyle name="Обычный 8 8 6 2 2 4 2" xfId="47673"/>
    <cellStyle name="Обычный 8 8 6 2 2 4 3" xfId="47674"/>
    <cellStyle name="Обычный 8 8 6 2 2 5" xfId="47675"/>
    <cellStyle name="Обычный 8 8 6 2 2 5 2" xfId="47676"/>
    <cellStyle name="Обычный 8 8 6 2 2 6" xfId="47677"/>
    <cellStyle name="Обычный 8 8 6 2 2 7" xfId="47678"/>
    <cellStyle name="Обычный 8 8 6 2 3" xfId="47679"/>
    <cellStyle name="Обычный 8 8 6 2 3 2" xfId="47680"/>
    <cellStyle name="Обычный 8 8 6 2 3 2 2" xfId="47681"/>
    <cellStyle name="Обычный 8 8 6 2 3 2 3" xfId="47682"/>
    <cellStyle name="Обычный 8 8 6 2 3 3" xfId="47683"/>
    <cellStyle name="Обычный 8 8 6 2 3 3 2" xfId="47684"/>
    <cellStyle name="Обычный 8 8 6 2 3 3 3" xfId="47685"/>
    <cellStyle name="Обычный 8 8 6 2 3 4" xfId="47686"/>
    <cellStyle name="Обычный 8 8 6 2 3 4 2" xfId="47687"/>
    <cellStyle name="Обычный 8 8 6 2 3 5" xfId="47688"/>
    <cellStyle name="Обычный 8 8 6 2 3 6" xfId="47689"/>
    <cellStyle name="Обычный 8 8 6 2 4" xfId="47690"/>
    <cellStyle name="Обычный 8 8 6 2 4 2" xfId="47691"/>
    <cellStyle name="Обычный 8 8 6 2 4 3" xfId="47692"/>
    <cellStyle name="Обычный 8 8 6 2 5" xfId="47693"/>
    <cellStyle name="Обычный 8 8 6 2 5 2" xfId="47694"/>
    <cellStyle name="Обычный 8 8 6 2 5 3" xfId="47695"/>
    <cellStyle name="Обычный 8 8 6 2 6" xfId="47696"/>
    <cellStyle name="Обычный 8 8 6 2 6 2" xfId="47697"/>
    <cellStyle name="Обычный 8 8 6 2 7" xfId="47698"/>
    <cellStyle name="Обычный 8 8 6 2 8" xfId="47699"/>
    <cellStyle name="Обычный 8 8 6 3" xfId="47700"/>
    <cellStyle name="Обычный 8 8 6 3 2" xfId="47701"/>
    <cellStyle name="Обычный 8 8 6 3 2 2" xfId="47702"/>
    <cellStyle name="Обычный 8 8 6 3 2 2 2" xfId="47703"/>
    <cellStyle name="Обычный 8 8 6 3 2 2 3" xfId="47704"/>
    <cellStyle name="Обычный 8 8 6 3 2 3" xfId="47705"/>
    <cellStyle name="Обычный 8 8 6 3 2 3 2" xfId="47706"/>
    <cellStyle name="Обычный 8 8 6 3 2 3 3" xfId="47707"/>
    <cellStyle name="Обычный 8 8 6 3 2 4" xfId="47708"/>
    <cellStyle name="Обычный 8 8 6 3 2 4 2" xfId="47709"/>
    <cellStyle name="Обычный 8 8 6 3 2 5" xfId="47710"/>
    <cellStyle name="Обычный 8 8 6 3 2 6" xfId="47711"/>
    <cellStyle name="Обычный 8 8 6 3 3" xfId="47712"/>
    <cellStyle name="Обычный 8 8 6 3 3 2" xfId="47713"/>
    <cellStyle name="Обычный 8 8 6 3 3 3" xfId="47714"/>
    <cellStyle name="Обычный 8 8 6 3 4" xfId="47715"/>
    <cellStyle name="Обычный 8 8 6 3 4 2" xfId="47716"/>
    <cellStyle name="Обычный 8 8 6 3 4 3" xfId="47717"/>
    <cellStyle name="Обычный 8 8 6 3 5" xfId="47718"/>
    <cellStyle name="Обычный 8 8 6 3 5 2" xfId="47719"/>
    <cellStyle name="Обычный 8 8 6 3 6" xfId="47720"/>
    <cellStyle name="Обычный 8 8 6 3 7" xfId="47721"/>
    <cellStyle name="Обычный 8 8 6 4" xfId="47722"/>
    <cellStyle name="Обычный 8 8 6 4 2" xfId="47723"/>
    <cellStyle name="Обычный 8 8 6 4 2 2" xfId="47724"/>
    <cellStyle name="Обычный 8 8 6 4 2 3" xfId="47725"/>
    <cellStyle name="Обычный 8 8 6 4 3" xfId="47726"/>
    <cellStyle name="Обычный 8 8 6 4 3 2" xfId="47727"/>
    <cellStyle name="Обычный 8 8 6 4 3 3" xfId="47728"/>
    <cellStyle name="Обычный 8 8 6 4 4" xfId="47729"/>
    <cellStyle name="Обычный 8 8 6 4 4 2" xfId="47730"/>
    <cellStyle name="Обычный 8 8 6 4 5" xfId="47731"/>
    <cellStyle name="Обычный 8 8 6 4 6" xfId="47732"/>
    <cellStyle name="Обычный 8 8 6 5" xfId="47733"/>
    <cellStyle name="Обычный 8 8 6 5 2" xfId="47734"/>
    <cellStyle name="Обычный 8 8 6 5 3" xfId="47735"/>
    <cellStyle name="Обычный 8 8 6 6" xfId="47736"/>
    <cellStyle name="Обычный 8 8 6 6 2" xfId="47737"/>
    <cellStyle name="Обычный 8 8 6 6 3" xfId="47738"/>
    <cellStyle name="Обычный 8 8 6 7" xfId="47739"/>
    <cellStyle name="Обычный 8 8 6 7 2" xfId="47740"/>
    <cellStyle name="Обычный 8 8 6 8" xfId="47741"/>
    <cellStyle name="Обычный 8 8 6 9" xfId="47742"/>
    <cellStyle name="Обычный 8 8 7" xfId="47743"/>
    <cellStyle name="Обычный 8 8 7 2" xfId="47744"/>
    <cellStyle name="Обычный 8 8 7 2 2" xfId="47745"/>
    <cellStyle name="Обычный 8 8 7 2 2 2" xfId="47746"/>
    <cellStyle name="Обычный 8 8 7 2 2 2 2" xfId="47747"/>
    <cellStyle name="Обычный 8 8 7 2 2 2 3" xfId="47748"/>
    <cellStyle name="Обычный 8 8 7 2 2 3" xfId="47749"/>
    <cellStyle name="Обычный 8 8 7 2 2 3 2" xfId="47750"/>
    <cellStyle name="Обычный 8 8 7 2 2 3 3" xfId="47751"/>
    <cellStyle name="Обычный 8 8 7 2 2 4" xfId="47752"/>
    <cellStyle name="Обычный 8 8 7 2 2 4 2" xfId="47753"/>
    <cellStyle name="Обычный 8 8 7 2 2 5" xfId="47754"/>
    <cellStyle name="Обычный 8 8 7 2 2 6" xfId="47755"/>
    <cellStyle name="Обычный 8 8 7 2 3" xfId="47756"/>
    <cellStyle name="Обычный 8 8 7 2 3 2" xfId="47757"/>
    <cellStyle name="Обычный 8 8 7 2 3 3" xfId="47758"/>
    <cellStyle name="Обычный 8 8 7 2 4" xfId="47759"/>
    <cellStyle name="Обычный 8 8 7 2 4 2" xfId="47760"/>
    <cellStyle name="Обычный 8 8 7 2 4 3" xfId="47761"/>
    <cellStyle name="Обычный 8 8 7 2 5" xfId="47762"/>
    <cellStyle name="Обычный 8 8 7 2 5 2" xfId="47763"/>
    <cellStyle name="Обычный 8 8 7 2 6" xfId="47764"/>
    <cellStyle name="Обычный 8 8 7 2 7" xfId="47765"/>
    <cellStyle name="Обычный 8 8 7 3" xfId="47766"/>
    <cellStyle name="Обычный 8 8 7 3 2" xfId="47767"/>
    <cellStyle name="Обычный 8 8 7 3 2 2" xfId="47768"/>
    <cellStyle name="Обычный 8 8 7 3 2 3" xfId="47769"/>
    <cellStyle name="Обычный 8 8 7 3 3" xfId="47770"/>
    <cellStyle name="Обычный 8 8 7 3 3 2" xfId="47771"/>
    <cellStyle name="Обычный 8 8 7 3 3 3" xfId="47772"/>
    <cellStyle name="Обычный 8 8 7 3 4" xfId="47773"/>
    <cellStyle name="Обычный 8 8 7 3 4 2" xfId="47774"/>
    <cellStyle name="Обычный 8 8 7 3 5" xfId="47775"/>
    <cellStyle name="Обычный 8 8 7 3 6" xfId="47776"/>
    <cellStyle name="Обычный 8 8 7 4" xfId="47777"/>
    <cellStyle name="Обычный 8 8 7 4 2" xfId="47778"/>
    <cellStyle name="Обычный 8 8 7 4 3" xfId="47779"/>
    <cellStyle name="Обычный 8 8 7 5" xfId="47780"/>
    <cellStyle name="Обычный 8 8 7 5 2" xfId="47781"/>
    <cellStyle name="Обычный 8 8 7 5 3" xfId="47782"/>
    <cellStyle name="Обычный 8 8 7 6" xfId="47783"/>
    <cellStyle name="Обычный 8 8 7 6 2" xfId="47784"/>
    <cellStyle name="Обычный 8 8 7 7" xfId="47785"/>
    <cellStyle name="Обычный 8 8 7 8" xfId="47786"/>
    <cellStyle name="Обычный 8 8 8" xfId="47787"/>
    <cellStyle name="Обычный 8 8 8 2" xfId="47788"/>
    <cellStyle name="Обычный 8 8 8 2 2" xfId="47789"/>
    <cellStyle name="Обычный 8 8 8 2 2 2" xfId="47790"/>
    <cellStyle name="Обычный 8 8 8 2 2 3" xfId="47791"/>
    <cellStyle name="Обычный 8 8 8 2 3" xfId="47792"/>
    <cellStyle name="Обычный 8 8 8 2 3 2" xfId="47793"/>
    <cellStyle name="Обычный 8 8 8 2 3 3" xfId="47794"/>
    <cellStyle name="Обычный 8 8 8 2 4" xfId="47795"/>
    <cellStyle name="Обычный 8 8 8 2 4 2" xfId="47796"/>
    <cellStyle name="Обычный 8 8 8 2 5" xfId="47797"/>
    <cellStyle name="Обычный 8 8 8 2 6" xfId="47798"/>
    <cellStyle name="Обычный 8 8 8 3" xfId="47799"/>
    <cellStyle name="Обычный 8 8 8 3 2" xfId="47800"/>
    <cellStyle name="Обычный 8 8 8 3 3" xfId="47801"/>
    <cellStyle name="Обычный 8 8 8 4" xfId="47802"/>
    <cellStyle name="Обычный 8 8 8 4 2" xfId="47803"/>
    <cellStyle name="Обычный 8 8 8 4 3" xfId="47804"/>
    <cellStyle name="Обычный 8 8 8 5" xfId="47805"/>
    <cellStyle name="Обычный 8 8 8 5 2" xfId="47806"/>
    <cellStyle name="Обычный 8 8 8 6" xfId="47807"/>
    <cellStyle name="Обычный 8 8 8 7" xfId="47808"/>
    <cellStyle name="Обычный 8 8 9" xfId="47809"/>
    <cellStyle name="Обычный 8 8 9 2" xfId="47810"/>
    <cellStyle name="Обычный 8 8 9 2 2" xfId="47811"/>
    <cellStyle name="Обычный 8 8 9 2 3" xfId="47812"/>
    <cellStyle name="Обычный 8 8 9 3" xfId="47813"/>
    <cellStyle name="Обычный 8 8 9 3 2" xfId="47814"/>
    <cellStyle name="Обычный 8 8 9 3 3" xfId="47815"/>
    <cellStyle name="Обычный 8 8 9 4" xfId="47816"/>
    <cellStyle name="Обычный 8 8 9 4 2" xfId="47817"/>
    <cellStyle name="Обычный 8 8 9 5" xfId="47818"/>
    <cellStyle name="Обычный 8 8 9 6" xfId="47819"/>
    <cellStyle name="Обычный 8 9" xfId="47820"/>
    <cellStyle name="Обычный 8 9 10" xfId="47821"/>
    <cellStyle name="Обычный 8 9 10 2" xfId="47822"/>
    <cellStyle name="Обычный 8 9 10 3" xfId="47823"/>
    <cellStyle name="Обычный 8 9 11" xfId="47824"/>
    <cellStyle name="Обычный 8 9 11 2" xfId="47825"/>
    <cellStyle name="Обычный 8 9 12" xfId="47826"/>
    <cellStyle name="Обычный 8 9 13" xfId="47827"/>
    <cellStyle name="Обычный 8 9 2" xfId="47828"/>
    <cellStyle name="Обычный 8 9 2 10" xfId="47829"/>
    <cellStyle name="Обычный 8 9 2 2" xfId="47830"/>
    <cellStyle name="Обычный 8 9 2 2 2" xfId="47831"/>
    <cellStyle name="Обычный 8 9 2 2 2 2" xfId="47832"/>
    <cellStyle name="Обычный 8 9 2 2 2 2 2" xfId="47833"/>
    <cellStyle name="Обычный 8 9 2 2 2 2 2 2" xfId="47834"/>
    <cellStyle name="Обычный 8 9 2 2 2 2 2 2 2" xfId="47835"/>
    <cellStyle name="Обычный 8 9 2 2 2 2 2 2 3" xfId="47836"/>
    <cellStyle name="Обычный 8 9 2 2 2 2 2 3" xfId="47837"/>
    <cellStyle name="Обычный 8 9 2 2 2 2 2 3 2" xfId="47838"/>
    <cellStyle name="Обычный 8 9 2 2 2 2 2 3 3" xfId="47839"/>
    <cellStyle name="Обычный 8 9 2 2 2 2 2 4" xfId="47840"/>
    <cellStyle name="Обычный 8 9 2 2 2 2 2 4 2" xfId="47841"/>
    <cellStyle name="Обычный 8 9 2 2 2 2 2 5" xfId="47842"/>
    <cellStyle name="Обычный 8 9 2 2 2 2 2 6" xfId="47843"/>
    <cellStyle name="Обычный 8 9 2 2 2 2 3" xfId="47844"/>
    <cellStyle name="Обычный 8 9 2 2 2 2 3 2" xfId="47845"/>
    <cellStyle name="Обычный 8 9 2 2 2 2 3 3" xfId="47846"/>
    <cellStyle name="Обычный 8 9 2 2 2 2 4" xfId="47847"/>
    <cellStyle name="Обычный 8 9 2 2 2 2 4 2" xfId="47848"/>
    <cellStyle name="Обычный 8 9 2 2 2 2 4 3" xfId="47849"/>
    <cellStyle name="Обычный 8 9 2 2 2 2 5" xfId="47850"/>
    <cellStyle name="Обычный 8 9 2 2 2 2 5 2" xfId="47851"/>
    <cellStyle name="Обычный 8 9 2 2 2 2 6" xfId="47852"/>
    <cellStyle name="Обычный 8 9 2 2 2 2 7" xfId="47853"/>
    <cellStyle name="Обычный 8 9 2 2 2 3" xfId="47854"/>
    <cellStyle name="Обычный 8 9 2 2 2 3 2" xfId="47855"/>
    <cellStyle name="Обычный 8 9 2 2 2 3 2 2" xfId="47856"/>
    <cellStyle name="Обычный 8 9 2 2 2 3 2 3" xfId="47857"/>
    <cellStyle name="Обычный 8 9 2 2 2 3 3" xfId="47858"/>
    <cellStyle name="Обычный 8 9 2 2 2 3 3 2" xfId="47859"/>
    <cellStyle name="Обычный 8 9 2 2 2 3 3 3" xfId="47860"/>
    <cellStyle name="Обычный 8 9 2 2 2 3 4" xfId="47861"/>
    <cellStyle name="Обычный 8 9 2 2 2 3 4 2" xfId="47862"/>
    <cellStyle name="Обычный 8 9 2 2 2 3 5" xfId="47863"/>
    <cellStyle name="Обычный 8 9 2 2 2 3 6" xfId="47864"/>
    <cellStyle name="Обычный 8 9 2 2 2 4" xfId="47865"/>
    <cellStyle name="Обычный 8 9 2 2 2 4 2" xfId="47866"/>
    <cellStyle name="Обычный 8 9 2 2 2 4 3" xfId="47867"/>
    <cellStyle name="Обычный 8 9 2 2 2 5" xfId="47868"/>
    <cellStyle name="Обычный 8 9 2 2 2 5 2" xfId="47869"/>
    <cellStyle name="Обычный 8 9 2 2 2 5 3" xfId="47870"/>
    <cellStyle name="Обычный 8 9 2 2 2 6" xfId="47871"/>
    <cellStyle name="Обычный 8 9 2 2 2 6 2" xfId="47872"/>
    <cellStyle name="Обычный 8 9 2 2 2 7" xfId="47873"/>
    <cellStyle name="Обычный 8 9 2 2 2 8" xfId="47874"/>
    <cellStyle name="Обычный 8 9 2 2 3" xfId="47875"/>
    <cellStyle name="Обычный 8 9 2 2 3 2" xfId="47876"/>
    <cellStyle name="Обычный 8 9 2 2 3 2 2" xfId="47877"/>
    <cellStyle name="Обычный 8 9 2 2 3 2 2 2" xfId="47878"/>
    <cellStyle name="Обычный 8 9 2 2 3 2 2 3" xfId="47879"/>
    <cellStyle name="Обычный 8 9 2 2 3 2 3" xfId="47880"/>
    <cellStyle name="Обычный 8 9 2 2 3 2 3 2" xfId="47881"/>
    <cellStyle name="Обычный 8 9 2 2 3 2 3 3" xfId="47882"/>
    <cellStyle name="Обычный 8 9 2 2 3 2 4" xfId="47883"/>
    <cellStyle name="Обычный 8 9 2 2 3 2 4 2" xfId="47884"/>
    <cellStyle name="Обычный 8 9 2 2 3 2 5" xfId="47885"/>
    <cellStyle name="Обычный 8 9 2 2 3 2 6" xfId="47886"/>
    <cellStyle name="Обычный 8 9 2 2 3 3" xfId="47887"/>
    <cellStyle name="Обычный 8 9 2 2 3 3 2" xfId="47888"/>
    <cellStyle name="Обычный 8 9 2 2 3 3 3" xfId="47889"/>
    <cellStyle name="Обычный 8 9 2 2 3 4" xfId="47890"/>
    <cellStyle name="Обычный 8 9 2 2 3 4 2" xfId="47891"/>
    <cellStyle name="Обычный 8 9 2 2 3 4 3" xfId="47892"/>
    <cellStyle name="Обычный 8 9 2 2 3 5" xfId="47893"/>
    <cellStyle name="Обычный 8 9 2 2 3 5 2" xfId="47894"/>
    <cellStyle name="Обычный 8 9 2 2 3 6" xfId="47895"/>
    <cellStyle name="Обычный 8 9 2 2 3 7" xfId="47896"/>
    <cellStyle name="Обычный 8 9 2 2 4" xfId="47897"/>
    <cellStyle name="Обычный 8 9 2 2 4 2" xfId="47898"/>
    <cellStyle name="Обычный 8 9 2 2 4 2 2" xfId="47899"/>
    <cellStyle name="Обычный 8 9 2 2 4 2 3" xfId="47900"/>
    <cellStyle name="Обычный 8 9 2 2 4 3" xfId="47901"/>
    <cellStyle name="Обычный 8 9 2 2 4 3 2" xfId="47902"/>
    <cellStyle name="Обычный 8 9 2 2 4 3 3" xfId="47903"/>
    <cellStyle name="Обычный 8 9 2 2 4 4" xfId="47904"/>
    <cellStyle name="Обычный 8 9 2 2 4 4 2" xfId="47905"/>
    <cellStyle name="Обычный 8 9 2 2 4 5" xfId="47906"/>
    <cellStyle name="Обычный 8 9 2 2 4 6" xfId="47907"/>
    <cellStyle name="Обычный 8 9 2 2 5" xfId="47908"/>
    <cellStyle name="Обычный 8 9 2 2 5 2" xfId="47909"/>
    <cellStyle name="Обычный 8 9 2 2 5 3" xfId="47910"/>
    <cellStyle name="Обычный 8 9 2 2 6" xfId="47911"/>
    <cellStyle name="Обычный 8 9 2 2 6 2" xfId="47912"/>
    <cellStyle name="Обычный 8 9 2 2 6 3" xfId="47913"/>
    <cellStyle name="Обычный 8 9 2 2 7" xfId="47914"/>
    <cellStyle name="Обычный 8 9 2 2 7 2" xfId="47915"/>
    <cellStyle name="Обычный 8 9 2 2 8" xfId="47916"/>
    <cellStyle name="Обычный 8 9 2 2 9" xfId="47917"/>
    <cellStyle name="Обычный 8 9 2 3" xfId="47918"/>
    <cellStyle name="Обычный 8 9 2 3 2" xfId="47919"/>
    <cellStyle name="Обычный 8 9 2 3 2 2" xfId="47920"/>
    <cellStyle name="Обычный 8 9 2 3 2 2 2" xfId="47921"/>
    <cellStyle name="Обычный 8 9 2 3 2 2 2 2" xfId="47922"/>
    <cellStyle name="Обычный 8 9 2 3 2 2 2 3" xfId="47923"/>
    <cellStyle name="Обычный 8 9 2 3 2 2 3" xfId="47924"/>
    <cellStyle name="Обычный 8 9 2 3 2 2 3 2" xfId="47925"/>
    <cellStyle name="Обычный 8 9 2 3 2 2 3 3" xfId="47926"/>
    <cellStyle name="Обычный 8 9 2 3 2 2 4" xfId="47927"/>
    <cellStyle name="Обычный 8 9 2 3 2 2 4 2" xfId="47928"/>
    <cellStyle name="Обычный 8 9 2 3 2 2 5" xfId="47929"/>
    <cellStyle name="Обычный 8 9 2 3 2 2 6" xfId="47930"/>
    <cellStyle name="Обычный 8 9 2 3 2 3" xfId="47931"/>
    <cellStyle name="Обычный 8 9 2 3 2 3 2" xfId="47932"/>
    <cellStyle name="Обычный 8 9 2 3 2 3 3" xfId="47933"/>
    <cellStyle name="Обычный 8 9 2 3 2 4" xfId="47934"/>
    <cellStyle name="Обычный 8 9 2 3 2 4 2" xfId="47935"/>
    <cellStyle name="Обычный 8 9 2 3 2 4 3" xfId="47936"/>
    <cellStyle name="Обычный 8 9 2 3 2 5" xfId="47937"/>
    <cellStyle name="Обычный 8 9 2 3 2 5 2" xfId="47938"/>
    <cellStyle name="Обычный 8 9 2 3 2 6" xfId="47939"/>
    <cellStyle name="Обычный 8 9 2 3 2 7" xfId="47940"/>
    <cellStyle name="Обычный 8 9 2 3 3" xfId="47941"/>
    <cellStyle name="Обычный 8 9 2 3 3 2" xfId="47942"/>
    <cellStyle name="Обычный 8 9 2 3 3 2 2" xfId="47943"/>
    <cellStyle name="Обычный 8 9 2 3 3 2 3" xfId="47944"/>
    <cellStyle name="Обычный 8 9 2 3 3 3" xfId="47945"/>
    <cellStyle name="Обычный 8 9 2 3 3 3 2" xfId="47946"/>
    <cellStyle name="Обычный 8 9 2 3 3 3 3" xfId="47947"/>
    <cellStyle name="Обычный 8 9 2 3 3 4" xfId="47948"/>
    <cellStyle name="Обычный 8 9 2 3 3 4 2" xfId="47949"/>
    <cellStyle name="Обычный 8 9 2 3 3 5" xfId="47950"/>
    <cellStyle name="Обычный 8 9 2 3 3 6" xfId="47951"/>
    <cellStyle name="Обычный 8 9 2 3 4" xfId="47952"/>
    <cellStyle name="Обычный 8 9 2 3 4 2" xfId="47953"/>
    <cellStyle name="Обычный 8 9 2 3 4 3" xfId="47954"/>
    <cellStyle name="Обычный 8 9 2 3 5" xfId="47955"/>
    <cellStyle name="Обычный 8 9 2 3 5 2" xfId="47956"/>
    <cellStyle name="Обычный 8 9 2 3 5 3" xfId="47957"/>
    <cellStyle name="Обычный 8 9 2 3 6" xfId="47958"/>
    <cellStyle name="Обычный 8 9 2 3 6 2" xfId="47959"/>
    <cellStyle name="Обычный 8 9 2 3 7" xfId="47960"/>
    <cellStyle name="Обычный 8 9 2 3 8" xfId="47961"/>
    <cellStyle name="Обычный 8 9 2 4" xfId="47962"/>
    <cellStyle name="Обычный 8 9 2 4 2" xfId="47963"/>
    <cellStyle name="Обычный 8 9 2 4 2 2" xfId="47964"/>
    <cellStyle name="Обычный 8 9 2 4 2 2 2" xfId="47965"/>
    <cellStyle name="Обычный 8 9 2 4 2 2 3" xfId="47966"/>
    <cellStyle name="Обычный 8 9 2 4 2 3" xfId="47967"/>
    <cellStyle name="Обычный 8 9 2 4 2 3 2" xfId="47968"/>
    <cellStyle name="Обычный 8 9 2 4 2 3 3" xfId="47969"/>
    <cellStyle name="Обычный 8 9 2 4 2 4" xfId="47970"/>
    <cellStyle name="Обычный 8 9 2 4 2 4 2" xfId="47971"/>
    <cellStyle name="Обычный 8 9 2 4 2 5" xfId="47972"/>
    <cellStyle name="Обычный 8 9 2 4 2 6" xfId="47973"/>
    <cellStyle name="Обычный 8 9 2 4 3" xfId="47974"/>
    <cellStyle name="Обычный 8 9 2 4 3 2" xfId="47975"/>
    <cellStyle name="Обычный 8 9 2 4 3 3" xfId="47976"/>
    <cellStyle name="Обычный 8 9 2 4 4" xfId="47977"/>
    <cellStyle name="Обычный 8 9 2 4 4 2" xfId="47978"/>
    <cellStyle name="Обычный 8 9 2 4 4 3" xfId="47979"/>
    <cellStyle name="Обычный 8 9 2 4 5" xfId="47980"/>
    <cellStyle name="Обычный 8 9 2 4 5 2" xfId="47981"/>
    <cellStyle name="Обычный 8 9 2 4 6" xfId="47982"/>
    <cellStyle name="Обычный 8 9 2 4 7" xfId="47983"/>
    <cellStyle name="Обычный 8 9 2 5" xfId="47984"/>
    <cellStyle name="Обычный 8 9 2 5 2" xfId="47985"/>
    <cellStyle name="Обычный 8 9 2 5 2 2" xfId="47986"/>
    <cellStyle name="Обычный 8 9 2 5 2 3" xfId="47987"/>
    <cellStyle name="Обычный 8 9 2 5 3" xfId="47988"/>
    <cellStyle name="Обычный 8 9 2 5 3 2" xfId="47989"/>
    <cellStyle name="Обычный 8 9 2 5 3 3" xfId="47990"/>
    <cellStyle name="Обычный 8 9 2 5 4" xfId="47991"/>
    <cellStyle name="Обычный 8 9 2 5 4 2" xfId="47992"/>
    <cellStyle name="Обычный 8 9 2 5 5" xfId="47993"/>
    <cellStyle name="Обычный 8 9 2 5 6" xfId="47994"/>
    <cellStyle name="Обычный 8 9 2 6" xfId="47995"/>
    <cellStyle name="Обычный 8 9 2 6 2" xfId="47996"/>
    <cellStyle name="Обычный 8 9 2 6 3" xfId="47997"/>
    <cellStyle name="Обычный 8 9 2 7" xfId="47998"/>
    <cellStyle name="Обычный 8 9 2 7 2" xfId="47999"/>
    <cellStyle name="Обычный 8 9 2 7 3" xfId="48000"/>
    <cellStyle name="Обычный 8 9 2 8" xfId="48001"/>
    <cellStyle name="Обычный 8 9 2 8 2" xfId="48002"/>
    <cellStyle name="Обычный 8 9 2 9" xfId="48003"/>
    <cellStyle name="Обычный 8 9 3" xfId="48004"/>
    <cellStyle name="Обычный 8 9 3 10" xfId="48005"/>
    <cellStyle name="Обычный 8 9 3 2" xfId="48006"/>
    <cellStyle name="Обычный 8 9 3 2 2" xfId="48007"/>
    <cellStyle name="Обычный 8 9 3 2 2 2" xfId="48008"/>
    <cellStyle name="Обычный 8 9 3 2 2 2 2" xfId="48009"/>
    <cellStyle name="Обычный 8 9 3 2 2 2 2 2" xfId="48010"/>
    <cellStyle name="Обычный 8 9 3 2 2 2 2 2 2" xfId="48011"/>
    <cellStyle name="Обычный 8 9 3 2 2 2 2 2 3" xfId="48012"/>
    <cellStyle name="Обычный 8 9 3 2 2 2 2 3" xfId="48013"/>
    <cellStyle name="Обычный 8 9 3 2 2 2 2 3 2" xfId="48014"/>
    <cellStyle name="Обычный 8 9 3 2 2 2 2 3 3" xfId="48015"/>
    <cellStyle name="Обычный 8 9 3 2 2 2 2 4" xfId="48016"/>
    <cellStyle name="Обычный 8 9 3 2 2 2 2 4 2" xfId="48017"/>
    <cellStyle name="Обычный 8 9 3 2 2 2 2 5" xfId="48018"/>
    <cellStyle name="Обычный 8 9 3 2 2 2 2 6" xfId="48019"/>
    <cellStyle name="Обычный 8 9 3 2 2 2 3" xfId="48020"/>
    <cellStyle name="Обычный 8 9 3 2 2 2 3 2" xfId="48021"/>
    <cellStyle name="Обычный 8 9 3 2 2 2 3 3" xfId="48022"/>
    <cellStyle name="Обычный 8 9 3 2 2 2 4" xfId="48023"/>
    <cellStyle name="Обычный 8 9 3 2 2 2 4 2" xfId="48024"/>
    <cellStyle name="Обычный 8 9 3 2 2 2 4 3" xfId="48025"/>
    <cellStyle name="Обычный 8 9 3 2 2 2 5" xfId="48026"/>
    <cellStyle name="Обычный 8 9 3 2 2 2 5 2" xfId="48027"/>
    <cellStyle name="Обычный 8 9 3 2 2 2 6" xfId="48028"/>
    <cellStyle name="Обычный 8 9 3 2 2 2 7" xfId="48029"/>
    <cellStyle name="Обычный 8 9 3 2 2 3" xfId="48030"/>
    <cellStyle name="Обычный 8 9 3 2 2 3 2" xfId="48031"/>
    <cellStyle name="Обычный 8 9 3 2 2 3 2 2" xfId="48032"/>
    <cellStyle name="Обычный 8 9 3 2 2 3 2 3" xfId="48033"/>
    <cellStyle name="Обычный 8 9 3 2 2 3 3" xfId="48034"/>
    <cellStyle name="Обычный 8 9 3 2 2 3 3 2" xfId="48035"/>
    <cellStyle name="Обычный 8 9 3 2 2 3 3 3" xfId="48036"/>
    <cellStyle name="Обычный 8 9 3 2 2 3 4" xfId="48037"/>
    <cellStyle name="Обычный 8 9 3 2 2 3 4 2" xfId="48038"/>
    <cellStyle name="Обычный 8 9 3 2 2 3 5" xfId="48039"/>
    <cellStyle name="Обычный 8 9 3 2 2 3 6" xfId="48040"/>
    <cellStyle name="Обычный 8 9 3 2 2 4" xfId="48041"/>
    <cellStyle name="Обычный 8 9 3 2 2 4 2" xfId="48042"/>
    <cellStyle name="Обычный 8 9 3 2 2 4 3" xfId="48043"/>
    <cellStyle name="Обычный 8 9 3 2 2 5" xfId="48044"/>
    <cellStyle name="Обычный 8 9 3 2 2 5 2" xfId="48045"/>
    <cellStyle name="Обычный 8 9 3 2 2 5 3" xfId="48046"/>
    <cellStyle name="Обычный 8 9 3 2 2 6" xfId="48047"/>
    <cellStyle name="Обычный 8 9 3 2 2 6 2" xfId="48048"/>
    <cellStyle name="Обычный 8 9 3 2 2 7" xfId="48049"/>
    <cellStyle name="Обычный 8 9 3 2 2 8" xfId="48050"/>
    <cellStyle name="Обычный 8 9 3 2 3" xfId="48051"/>
    <cellStyle name="Обычный 8 9 3 2 3 2" xfId="48052"/>
    <cellStyle name="Обычный 8 9 3 2 3 2 2" xfId="48053"/>
    <cellStyle name="Обычный 8 9 3 2 3 2 2 2" xfId="48054"/>
    <cellStyle name="Обычный 8 9 3 2 3 2 2 3" xfId="48055"/>
    <cellStyle name="Обычный 8 9 3 2 3 2 3" xfId="48056"/>
    <cellStyle name="Обычный 8 9 3 2 3 2 3 2" xfId="48057"/>
    <cellStyle name="Обычный 8 9 3 2 3 2 3 3" xfId="48058"/>
    <cellStyle name="Обычный 8 9 3 2 3 2 4" xfId="48059"/>
    <cellStyle name="Обычный 8 9 3 2 3 2 4 2" xfId="48060"/>
    <cellStyle name="Обычный 8 9 3 2 3 2 5" xfId="48061"/>
    <cellStyle name="Обычный 8 9 3 2 3 2 6" xfId="48062"/>
    <cellStyle name="Обычный 8 9 3 2 3 3" xfId="48063"/>
    <cellStyle name="Обычный 8 9 3 2 3 3 2" xfId="48064"/>
    <cellStyle name="Обычный 8 9 3 2 3 3 3" xfId="48065"/>
    <cellStyle name="Обычный 8 9 3 2 3 4" xfId="48066"/>
    <cellStyle name="Обычный 8 9 3 2 3 4 2" xfId="48067"/>
    <cellStyle name="Обычный 8 9 3 2 3 4 3" xfId="48068"/>
    <cellStyle name="Обычный 8 9 3 2 3 5" xfId="48069"/>
    <cellStyle name="Обычный 8 9 3 2 3 5 2" xfId="48070"/>
    <cellStyle name="Обычный 8 9 3 2 3 6" xfId="48071"/>
    <cellStyle name="Обычный 8 9 3 2 3 7" xfId="48072"/>
    <cellStyle name="Обычный 8 9 3 2 4" xfId="48073"/>
    <cellStyle name="Обычный 8 9 3 2 4 2" xfId="48074"/>
    <cellStyle name="Обычный 8 9 3 2 4 2 2" xfId="48075"/>
    <cellStyle name="Обычный 8 9 3 2 4 2 3" xfId="48076"/>
    <cellStyle name="Обычный 8 9 3 2 4 3" xfId="48077"/>
    <cellStyle name="Обычный 8 9 3 2 4 3 2" xfId="48078"/>
    <cellStyle name="Обычный 8 9 3 2 4 3 3" xfId="48079"/>
    <cellStyle name="Обычный 8 9 3 2 4 4" xfId="48080"/>
    <cellStyle name="Обычный 8 9 3 2 4 4 2" xfId="48081"/>
    <cellStyle name="Обычный 8 9 3 2 4 5" xfId="48082"/>
    <cellStyle name="Обычный 8 9 3 2 4 6" xfId="48083"/>
    <cellStyle name="Обычный 8 9 3 2 5" xfId="48084"/>
    <cellStyle name="Обычный 8 9 3 2 5 2" xfId="48085"/>
    <cellStyle name="Обычный 8 9 3 2 5 3" xfId="48086"/>
    <cellStyle name="Обычный 8 9 3 2 6" xfId="48087"/>
    <cellStyle name="Обычный 8 9 3 2 6 2" xfId="48088"/>
    <cellStyle name="Обычный 8 9 3 2 6 3" xfId="48089"/>
    <cellStyle name="Обычный 8 9 3 2 7" xfId="48090"/>
    <cellStyle name="Обычный 8 9 3 2 7 2" xfId="48091"/>
    <cellStyle name="Обычный 8 9 3 2 8" xfId="48092"/>
    <cellStyle name="Обычный 8 9 3 2 9" xfId="48093"/>
    <cellStyle name="Обычный 8 9 3 3" xfId="48094"/>
    <cellStyle name="Обычный 8 9 3 3 2" xfId="48095"/>
    <cellStyle name="Обычный 8 9 3 3 2 2" xfId="48096"/>
    <cellStyle name="Обычный 8 9 3 3 2 2 2" xfId="48097"/>
    <cellStyle name="Обычный 8 9 3 3 2 2 2 2" xfId="48098"/>
    <cellStyle name="Обычный 8 9 3 3 2 2 2 3" xfId="48099"/>
    <cellStyle name="Обычный 8 9 3 3 2 2 3" xfId="48100"/>
    <cellStyle name="Обычный 8 9 3 3 2 2 3 2" xfId="48101"/>
    <cellStyle name="Обычный 8 9 3 3 2 2 3 3" xfId="48102"/>
    <cellStyle name="Обычный 8 9 3 3 2 2 4" xfId="48103"/>
    <cellStyle name="Обычный 8 9 3 3 2 2 4 2" xfId="48104"/>
    <cellStyle name="Обычный 8 9 3 3 2 2 5" xfId="48105"/>
    <cellStyle name="Обычный 8 9 3 3 2 2 6" xfId="48106"/>
    <cellStyle name="Обычный 8 9 3 3 2 3" xfId="48107"/>
    <cellStyle name="Обычный 8 9 3 3 2 3 2" xfId="48108"/>
    <cellStyle name="Обычный 8 9 3 3 2 3 3" xfId="48109"/>
    <cellStyle name="Обычный 8 9 3 3 2 4" xfId="48110"/>
    <cellStyle name="Обычный 8 9 3 3 2 4 2" xfId="48111"/>
    <cellStyle name="Обычный 8 9 3 3 2 4 3" xfId="48112"/>
    <cellStyle name="Обычный 8 9 3 3 2 5" xfId="48113"/>
    <cellStyle name="Обычный 8 9 3 3 2 5 2" xfId="48114"/>
    <cellStyle name="Обычный 8 9 3 3 2 6" xfId="48115"/>
    <cellStyle name="Обычный 8 9 3 3 2 7" xfId="48116"/>
    <cellStyle name="Обычный 8 9 3 3 3" xfId="48117"/>
    <cellStyle name="Обычный 8 9 3 3 3 2" xfId="48118"/>
    <cellStyle name="Обычный 8 9 3 3 3 2 2" xfId="48119"/>
    <cellStyle name="Обычный 8 9 3 3 3 2 3" xfId="48120"/>
    <cellStyle name="Обычный 8 9 3 3 3 3" xfId="48121"/>
    <cellStyle name="Обычный 8 9 3 3 3 3 2" xfId="48122"/>
    <cellStyle name="Обычный 8 9 3 3 3 3 3" xfId="48123"/>
    <cellStyle name="Обычный 8 9 3 3 3 4" xfId="48124"/>
    <cellStyle name="Обычный 8 9 3 3 3 4 2" xfId="48125"/>
    <cellStyle name="Обычный 8 9 3 3 3 5" xfId="48126"/>
    <cellStyle name="Обычный 8 9 3 3 3 6" xfId="48127"/>
    <cellStyle name="Обычный 8 9 3 3 4" xfId="48128"/>
    <cellStyle name="Обычный 8 9 3 3 4 2" xfId="48129"/>
    <cellStyle name="Обычный 8 9 3 3 4 3" xfId="48130"/>
    <cellStyle name="Обычный 8 9 3 3 5" xfId="48131"/>
    <cellStyle name="Обычный 8 9 3 3 5 2" xfId="48132"/>
    <cellStyle name="Обычный 8 9 3 3 5 3" xfId="48133"/>
    <cellStyle name="Обычный 8 9 3 3 6" xfId="48134"/>
    <cellStyle name="Обычный 8 9 3 3 6 2" xfId="48135"/>
    <cellStyle name="Обычный 8 9 3 3 7" xfId="48136"/>
    <cellStyle name="Обычный 8 9 3 3 8" xfId="48137"/>
    <cellStyle name="Обычный 8 9 3 4" xfId="48138"/>
    <cellStyle name="Обычный 8 9 3 4 2" xfId="48139"/>
    <cellStyle name="Обычный 8 9 3 4 2 2" xfId="48140"/>
    <cellStyle name="Обычный 8 9 3 4 2 2 2" xfId="48141"/>
    <cellStyle name="Обычный 8 9 3 4 2 2 3" xfId="48142"/>
    <cellStyle name="Обычный 8 9 3 4 2 3" xfId="48143"/>
    <cellStyle name="Обычный 8 9 3 4 2 3 2" xfId="48144"/>
    <cellStyle name="Обычный 8 9 3 4 2 3 3" xfId="48145"/>
    <cellStyle name="Обычный 8 9 3 4 2 4" xfId="48146"/>
    <cellStyle name="Обычный 8 9 3 4 2 4 2" xfId="48147"/>
    <cellStyle name="Обычный 8 9 3 4 2 5" xfId="48148"/>
    <cellStyle name="Обычный 8 9 3 4 2 6" xfId="48149"/>
    <cellStyle name="Обычный 8 9 3 4 3" xfId="48150"/>
    <cellStyle name="Обычный 8 9 3 4 3 2" xfId="48151"/>
    <cellStyle name="Обычный 8 9 3 4 3 3" xfId="48152"/>
    <cellStyle name="Обычный 8 9 3 4 4" xfId="48153"/>
    <cellStyle name="Обычный 8 9 3 4 4 2" xfId="48154"/>
    <cellStyle name="Обычный 8 9 3 4 4 3" xfId="48155"/>
    <cellStyle name="Обычный 8 9 3 4 5" xfId="48156"/>
    <cellStyle name="Обычный 8 9 3 4 5 2" xfId="48157"/>
    <cellStyle name="Обычный 8 9 3 4 6" xfId="48158"/>
    <cellStyle name="Обычный 8 9 3 4 7" xfId="48159"/>
    <cellStyle name="Обычный 8 9 3 5" xfId="48160"/>
    <cellStyle name="Обычный 8 9 3 5 2" xfId="48161"/>
    <cellStyle name="Обычный 8 9 3 5 2 2" xfId="48162"/>
    <cellStyle name="Обычный 8 9 3 5 2 3" xfId="48163"/>
    <cellStyle name="Обычный 8 9 3 5 3" xfId="48164"/>
    <cellStyle name="Обычный 8 9 3 5 3 2" xfId="48165"/>
    <cellStyle name="Обычный 8 9 3 5 3 3" xfId="48166"/>
    <cellStyle name="Обычный 8 9 3 5 4" xfId="48167"/>
    <cellStyle name="Обычный 8 9 3 5 4 2" xfId="48168"/>
    <cellStyle name="Обычный 8 9 3 5 5" xfId="48169"/>
    <cellStyle name="Обычный 8 9 3 5 6" xfId="48170"/>
    <cellStyle name="Обычный 8 9 3 6" xfId="48171"/>
    <cellStyle name="Обычный 8 9 3 6 2" xfId="48172"/>
    <cellStyle name="Обычный 8 9 3 6 3" xfId="48173"/>
    <cellStyle name="Обычный 8 9 3 7" xfId="48174"/>
    <cellStyle name="Обычный 8 9 3 7 2" xfId="48175"/>
    <cellStyle name="Обычный 8 9 3 7 3" xfId="48176"/>
    <cellStyle name="Обычный 8 9 3 8" xfId="48177"/>
    <cellStyle name="Обычный 8 9 3 8 2" xfId="48178"/>
    <cellStyle name="Обычный 8 9 3 9" xfId="48179"/>
    <cellStyle name="Обычный 8 9 4" xfId="48180"/>
    <cellStyle name="Обычный 8 9 4 10" xfId="48181"/>
    <cellStyle name="Обычный 8 9 4 2" xfId="48182"/>
    <cellStyle name="Обычный 8 9 4 2 2" xfId="48183"/>
    <cellStyle name="Обычный 8 9 4 2 2 2" xfId="48184"/>
    <cellStyle name="Обычный 8 9 4 2 2 2 2" xfId="48185"/>
    <cellStyle name="Обычный 8 9 4 2 2 2 2 2" xfId="48186"/>
    <cellStyle name="Обычный 8 9 4 2 2 2 2 2 2" xfId="48187"/>
    <cellStyle name="Обычный 8 9 4 2 2 2 2 2 3" xfId="48188"/>
    <cellStyle name="Обычный 8 9 4 2 2 2 2 3" xfId="48189"/>
    <cellStyle name="Обычный 8 9 4 2 2 2 2 3 2" xfId="48190"/>
    <cellStyle name="Обычный 8 9 4 2 2 2 2 3 3" xfId="48191"/>
    <cellStyle name="Обычный 8 9 4 2 2 2 2 4" xfId="48192"/>
    <cellStyle name="Обычный 8 9 4 2 2 2 2 4 2" xfId="48193"/>
    <cellStyle name="Обычный 8 9 4 2 2 2 2 5" xfId="48194"/>
    <cellStyle name="Обычный 8 9 4 2 2 2 2 6" xfId="48195"/>
    <cellStyle name="Обычный 8 9 4 2 2 2 3" xfId="48196"/>
    <cellStyle name="Обычный 8 9 4 2 2 2 3 2" xfId="48197"/>
    <cellStyle name="Обычный 8 9 4 2 2 2 3 3" xfId="48198"/>
    <cellStyle name="Обычный 8 9 4 2 2 2 4" xfId="48199"/>
    <cellStyle name="Обычный 8 9 4 2 2 2 4 2" xfId="48200"/>
    <cellStyle name="Обычный 8 9 4 2 2 2 4 3" xfId="48201"/>
    <cellStyle name="Обычный 8 9 4 2 2 2 5" xfId="48202"/>
    <cellStyle name="Обычный 8 9 4 2 2 2 5 2" xfId="48203"/>
    <cellStyle name="Обычный 8 9 4 2 2 2 6" xfId="48204"/>
    <cellStyle name="Обычный 8 9 4 2 2 2 7" xfId="48205"/>
    <cellStyle name="Обычный 8 9 4 2 2 3" xfId="48206"/>
    <cellStyle name="Обычный 8 9 4 2 2 3 2" xfId="48207"/>
    <cellStyle name="Обычный 8 9 4 2 2 3 2 2" xfId="48208"/>
    <cellStyle name="Обычный 8 9 4 2 2 3 2 3" xfId="48209"/>
    <cellStyle name="Обычный 8 9 4 2 2 3 3" xfId="48210"/>
    <cellStyle name="Обычный 8 9 4 2 2 3 3 2" xfId="48211"/>
    <cellStyle name="Обычный 8 9 4 2 2 3 3 3" xfId="48212"/>
    <cellStyle name="Обычный 8 9 4 2 2 3 4" xfId="48213"/>
    <cellStyle name="Обычный 8 9 4 2 2 3 4 2" xfId="48214"/>
    <cellStyle name="Обычный 8 9 4 2 2 3 5" xfId="48215"/>
    <cellStyle name="Обычный 8 9 4 2 2 3 6" xfId="48216"/>
    <cellStyle name="Обычный 8 9 4 2 2 4" xfId="48217"/>
    <cellStyle name="Обычный 8 9 4 2 2 4 2" xfId="48218"/>
    <cellStyle name="Обычный 8 9 4 2 2 4 3" xfId="48219"/>
    <cellStyle name="Обычный 8 9 4 2 2 5" xfId="48220"/>
    <cellStyle name="Обычный 8 9 4 2 2 5 2" xfId="48221"/>
    <cellStyle name="Обычный 8 9 4 2 2 5 3" xfId="48222"/>
    <cellStyle name="Обычный 8 9 4 2 2 6" xfId="48223"/>
    <cellStyle name="Обычный 8 9 4 2 2 6 2" xfId="48224"/>
    <cellStyle name="Обычный 8 9 4 2 2 7" xfId="48225"/>
    <cellStyle name="Обычный 8 9 4 2 2 8" xfId="48226"/>
    <cellStyle name="Обычный 8 9 4 2 3" xfId="48227"/>
    <cellStyle name="Обычный 8 9 4 2 3 2" xfId="48228"/>
    <cellStyle name="Обычный 8 9 4 2 3 2 2" xfId="48229"/>
    <cellStyle name="Обычный 8 9 4 2 3 2 2 2" xfId="48230"/>
    <cellStyle name="Обычный 8 9 4 2 3 2 2 3" xfId="48231"/>
    <cellStyle name="Обычный 8 9 4 2 3 2 3" xfId="48232"/>
    <cellStyle name="Обычный 8 9 4 2 3 2 3 2" xfId="48233"/>
    <cellStyle name="Обычный 8 9 4 2 3 2 3 3" xfId="48234"/>
    <cellStyle name="Обычный 8 9 4 2 3 2 4" xfId="48235"/>
    <cellStyle name="Обычный 8 9 4 2 3 2 4 2" xfId="48236"/>
    <cellStyle name="Обычный 8 9 4 2 3 2 5" xfId="48237"/>
    <cellStyle name="Обычный 8 9 4 2 3 2 6" xfId="48238"/>
    <cellStyle name="Обычный 8 9 4 2 3 3" xfId="48239"/>
    <cellStyle name="Обычный 8 9 4 2 3 3 2" xfId="48240"/>
    <cellStyle name="Обычный 8 9 4 2 3 3 3" xfId="48241"/>
    <cellStyle name="Обычный 8 9 4 2 3 4" xfId="48242"/>
    <cellStyle name="Обычный 8 9 4 2 3 4 2" xfId="48243"/>
    <cellStyle name="Обычный 8 9 4 2 3 4 3" xfId="48244"/>
    <cellStyle name="Обычный 8 9 4 2 3 5" xfId="48245"/>
    <cellStyle name="Обычный 8 9 4 2 3 5 2" xfId="48246"/>
    <cellStyle name="Обычный 8 9 4 2 3 6" xfId="48247"/>
    <cellStyle name="Обычный 8 9 4 2 3 7" xfId="48248"/>
    <cellStyle name="Обычный 8 9 4 2 4" xfId="48249"/>
    <cellStyle name="Обычный 8 9 4 2 4 2" xfId="48250"/>
    <cellStyle name="Обычный 8 9 4 2 4 2 2" xfId="48251"/>
    <cellStyle name="Обычный 8 9 4 2 4 2 3" xfId="48252"/>
    <cellStyle name="Обычный 8 9 4 2 4 3" xfId="48253"/>
    <cellStyle name="Обычный 8 9 4 2 4 3 2" xfId="48254"/>
    <cellStyle name="Обычный 8 9 4 2 4 3 3" xfId="48255"/>
    <cellStyle name="Обычный 8 9 4 2 4 4" xfId="48256"/>
    <cellStyle name="Обычный 8 9 4 2 4 4 2" xfId="48257"/>
    <cellStyle name="Обычный 8 9 4 2 4 5" xfId="48258"/>
    <cellStyle name="Обычный 8 9 4 2 4 6" xfId="48259"/>
    <cellStyle name="Обычный 8 9 4 2 5" xfId="48260"/>
    <cellStyle name="Обычный 8 9 4 2 5 2" xfId="48261"/>
    <cellStyle name="Обычный 8 9 4 2 5 3" xfId="48262"/>
    <cellStyle name="Обычный 8 9 4 2 6" xfId="48263"/>
    <cellStyle name="Обычный 8 9 4 2 6 2" xfId="48264"/>
    <cellStyle name="Обычный 8 9 4 2 6 3" xfId="48265"/>
    <cellStyle name="Обычный 8 9 4 2 7" xfId="48266"/>
    <cellStyle name="Обычный 8 9 4 2 7 2" xfId="48267"/>
    <cellStyle name="Обычный 8 9 4 2 8" xfId="48268"/>
    <cellStyle name="Обычный 8 9 4 2 9" xfId="48269"/>
    <cellStyle name="Обычный 8 9 4 3" xfId="48270"/>
    <cellStyle name="Обычный 8 9 4 3 2" xfId="48271"/>
    <cellStyle name="Обычный 8 9 4 3 2 2" xfId="48272"/>
    <cellStyle name="Обычный 8 9 4 3 2 2 2" xfId="48273"/>
    <cellStyle name="Обычный 8 9 4 3 2 2 2 2" xfId="48274"/>
    <cellStyle name="Обычный 8 9 4 3 2 2 2 3" xfId="48275"/>
    <cellStyle name="Обычный 8 9 4 3 2 2 3" xfId="48276"/>
    <cellStyle name="Обычный 8 9 4 3 2 2 3 2" xfId="48277"/>
    <cellStyle name="Обычный 8 9 4 3 2 2 3 3" xfId="48278"/>
    <cellStyle name="Обычный 8 9 4 3 2 2 4" xfId="48279"/>
    <cellStyle name="Обычный 8 9 4 3 2 2 4 2" xfId="48280"/>
    <cellStyle name="Обычный 8 9 4 3 2 2 5" xfId="48281"/>
    <cellStyle name="Обычный 8 9 4 3 2 2 6" xfId="48282"/>
    <cellStyle name="Обычный 8 9 4 3 2 3" xfId="48283"/>
    <cellStyle name="Обычный 8 9 4 3 2 3 2" xfId="48284"/>
    <cellStyle name="Обычный 8 9 4 3 2 3 3" xfId="48285"/>
    <cellStyle name="Обычный 8 9 4 3 2 4" xfId="48286"/>
    <cellStyle name="Обычный 8 9 4 3 2 4 2" xfId="48287"/>
    <cellStyle name="Обычный 8 9 4 3 2 4 3" xfId="48288"/>
    <cellStyle name="Обычный 8 9 4 3 2 5" xfId="48289"/>
    <cellStyle name="Обычный 8 9 4 3 2 5 2" xfId="48290"/>
    <cellStyle name="Обычный 8 9 4 3 2 6" xfId="48291"/>
    <cellStyle name="Обычный 8 9 4 3 2 7" xfId="48292"/>
    <cellStyle name="Обычный 8 9 4 3 3" xfId="48293"/>
    <cellStyle name="Обычный 8 9 4 3 3 2" xfId="48294"/>
    <cellStyle name="Обычный 8 9 4 3 3 2 2" xfId="48295"/>
    <cellStyle name="Обычный 8 9 4 3 3 2 3" xfId="48296"/>
    <cellStyle name="Обычный 8 9 4 3 3 3" xfId="48297"/>
    <cellStyle name="Обычный 8 9 4 3 3 3 2" xfId="48298"/>
    <cellStyle name="Обычный 8 9 4 3 3 3 3" xfId="48299"/>
    <cellStyle name="Обычный 8 9 4 3 3 4" xfId="48300"/>
    <cellStyle name="Обычный 8 9 4 3 3 4 2" xfId="48301"/>
    <cellStyle name="Обычный 8 9 4 3 3 5" xfId="48302"/>
    <cellStyle name="Обычный 8 9 4 3 3 6" xfId="48303"/>
    <cellStyle name="Обычный 8 9 4 3 4" xfId="48304"/>
    <cellStyle name="Обычный 8 9 4 3 4 2" xfId="48305"/>
    <cellStyle name="Обычный 8 9 4 3 4 3" xfId="48306"/>
    <cellStyle name="Обычный 8 9 4 3 5" xfId="48307"/>
    <cellStyle name="Обычный 8 9 4 3 5 2" xfId="48308"/>
    <cellStyle name="Обычный 8 9 4 3 5 3" xfId="48309"/>
    <cellStyle name="Обычный 8 9 4 3 6" xfId="48310"/>
    <cellStyle name="Обычный 8 9 4 3 6 2" xfId="48311"/>
    <cellStyle name="Обычный 8 9 4 3 7" xfId="48312"/>
    <cellStyle name="Обычный 8 9 4 3 8" xfId="48313"/>
    <cellStyle name="Обычный 8 9 4 4" xfId="48314"/>
    <cellStyle name="Обычный 8 9 4 4 2" xfId="48315"/>
    <cellStyle name="Обычный 8 9 4 4 2 2" xfId="48316"/>
    <cellStyle name="Обычный 8 9 4 4 2 2 2" xfId="48317"/>
    <cellStyle name="Обычный 8 9 4 4 2 2 3" xfId="48318"/>
    <cellStyle name="Обычный 8 9 4 4 2 3" xfId="48319"/>
    <cellStyle name="Обычный 8 9 4 4 2 3 2" xfId="48320"/>
    <cellStyle name="Обычный 8 9 4 4 2 3 3" xfId="48321"/>
    <cellStyle name="Обычный 8 9 4 4 2 4" xfId="48322"/>
    <cellStyle name="Обычный 8 9 4 4 2 4 2" xfId="48323"/>
    <cellStyle name="Обычный 8 9 4 4 2 5" xfId="48324"/>
    <cellStyle name="Обычный 8 9 4 4 2 6" xfId="48325"/>
    <cellStyle name="Обычный 8 9 4 4 3" xfId="48326"/>
    <cellStyle name="Обычный 8 9 4 4 3 2" xfId="48327"/>
    <cellStyle name="Обычный 8 9 4 4 3 3" xfId="48328"/>
    <cellStyle name="Обычный 8 9 4 4 4" xfId="48329"/>
    <cellStyle name="Обычный 8 9 4 4 4 2" xfId="48330"/>
    <cellStyle name="Обычный 8 9 4 4 4 3" xfId="48331"/>
    <cellStyle name="Обычный 8 9 4 4 5" xfId="48332"/>
    <cellStyle name="Обычный 8 9 4 4 5 2" xfId="48333"/>
    <cellStyle name="Обычный 8 9 4 4 6" xfId="48334"/>
    <cellStyle name="Обычный 8 9 4 4 7" xfId="48335"/>
    <cellStyle name="Обычный 8 9 4 5" xfId="48336"/>
    <cellStyle name="Обычный 8 9 4 5 2" xfId="48337"/>
    <cellStyle name="Обычный 8 9 4 5 2 2" xfId="48338"/>
    <cellStyle name="Обычный 8 9 4 5 2 3" xfId="48339"/>
    <cellStyle name="Обычный 8 9 4 5 3" xfId="48340"/>
    <cellStyle name="Обычный 8 9 4 5 3 2" xfId="48341"/>
    <cellStyle name="Обычный 8 9 4 5 3 3" xfId="48342"/>
    <cellStyle name="Обычный 8 9 4 5 4" xfId="48343"/>
    <cellStyle name="Обычный 8 9 4 5 4 2" xfId="48344"/>
    <cellStyle name="Обычный 8 9 4 5 5" xfId="48345"/>
    <cellStyle name="Обычный 8 9 4 5 6" xfId="48346"/>
    <cellStyle name="Обычный 8 9 4 6" xfId="48347"/>
    <cellStyle name="Обычный 8 9 4 6 2" xfId="48348"/>
    <cellStyle name="Обычный 8 9 4 6 3" xfId="48349"/>
    <cellStyle name="Обычный 8 9 4 7" xfId="48350"/>
    <cellStyle name="Обычный 8 9 4 7 2" xfId="48351"/>
    <cellStyle name="Обычный 8 9 4 7 3" xfId="48352"/>
    <cellStyle name="Обычный 8 9 4 8" xfId="48353"/>
    <cellStyle name="Обычный 8 9 4 8 2" xfId="48354"/>
    <cellStyle name="Обычный 8 9 4 9" xfId="48355"/>
    <cellStyle name="Обычный 8 9 5" xfId="48356"/>
    <cellStyle name="Обычный 8 9 5 2" xfId="48357"/>
    <cellStyle name="Обычный 8 9 5 2 2" xfId="48358"/>
    <cellStyle name="Обычный 8 9 5 2 2 2" xfId="48359"/>
    <cellStyle name="Обычный 8 9 5 2 2 2 2" xfId="48360"/>
    <cellStyle name="Обычный 8 9 5 2 2 2 2 2" xfId="48361"/>
    <cellStyle name="Обычный 8 9 5 2 2 2 2 3" xfId="48362"/>
    <cellStyle name="Обычный 8 9 5 2 2 2 3" xfId="48363"/>
    <cellStyle name="Обычный 8 9 5 2 2 2 3 2" xfId="48364"/>
    <cellStyle name="Обычный 8 9 5 2 2 2 3 3" xfId="48365"/>
    <cellStyle name="Обычный 8 9 5 2 2 2 4" xfId="48366"/>
    <cellStyle name="Обычный 8 9 5 2 2 2 4 2" xfId="48367"/>
    <cellStyle name="Обычный 8 9 5 2 2 2 5" xfId="48368"/>
    <cellStyle name="Обычный 8 9 5 2 2 2 6" xfId="48369"/>
    <cellStyle name="Обычный 8 9 5 2 2 3" xfId="48370"/>
    <cellStyle name="Обычный 8 9 5 2 2 3 2" xfId="48371"/>
    <cellStyle name="Обычный 8 9 5 2 2 3 3" xfId="48372"/>
    <cellStyle name="Обычный 8 9 5 2 2 4" xfId="48373"/>
    <cellStyle name="Обычный 8 9 5 2 2 4 2" xfId="48374"/>
    <cellStyle name="Обычный 8 9 5 2 2 4 3" xfId="48375"/>
    <cellStyle name="Обычный 8 9 5 2 2 5" xfId="48376"/>
    <cellStyle name="Обычный 8 9 5 2 2 5 2" xfId="48377"/>
    <cellStyle name="Обычный 8 9 5 2 2 6" xfId="48378"/>
    <cellStyle name="Обычный 8 9 5 2 2 7" xfId="48379"/>
    <cellStyle name="Обычный 8 9 5 2 3" xfId="48380"/>
    <cellStyle name="Обычный 8 9 5 2 3 2" xfId="48381"/>
    <cellStyle name="Обычный 8 9 5 2 3 2 2" xfId="48382"/>
    <cellStyle name="Обычный 8 9 5 2 3 2 3" xfId="48383"/>
    <cellStyle name="Обычный 8 9 5 2 3 3" xfId="48384"/>
    <cellStyle name="Обычный 8 9 5 2 3 3 2" xfId="48385"/>
    <cellStyle name="Обычный 8 9 5 2 3 3 3" xfId="48386"/>
    <cellStyle name="Обычный 8 9 5 2 3 4" xfId="48387"/>
    <cellStyle name="Обычный 8 9 5 2 3 4 2" xfId="48388"/>
    <cellStyle name="Обычный 8 9 5 2 3 5" xfId="48389"/>
    <cellStyle name="Обычный 8 9 5 2 3 6" xfId="48390"/>
    <cellStyle name="Обычный 8 9 5 2 4" xfId="48391"/>
    <cellStyle name="Обычный 8 9 5 2 4 2" xfId="48392"/>
    <cellStyle name="Обычный 8 9 5 2 4 3" xfId="48393"/>
    <cellStyle name="Обычный 8 9 5 2 5" xfId="48394"/>
    <cellStyle name="Обычный 8 9 5 2 5 2" xfId="48395"/>
    <cellStyle name="Обычный 8 9 5 2 5 3" xfId="48396"/>
    <cellStyle name="Обычный 8 9 5 2 6" xfId="48397"/>
    <cellStyle name="Обычный 8 9 5 2 6 2" xfId="48398"/>
    <cellStyle name="Обычный 8 9 5 2 7" xfId="48399"/>
    <cellStyle name="Обычный 8 9 5 2 8" xfId="48400"/>
    <cellStyle name="Обычный 8 9 5 3" xfId="48401"/>
    <cellStyle name="Обычный 8 9 5 3 2" xfId="48402"/>
    <cellStyle name="Обычный 8 9 5 3 2 2" xfId="48403"/>
    <cellStyle name="Обычный 8 9 5 3 2 2 2" xfId="48404"/>
    <cellStyle name="Обычный 8 9 5 3 2 2 3" xfId="48405"/>
    <cellStyle name="Обычный 8 9 5 3 2 3" xfId="48406"/>
    <cellStyle name="Обычный 8 9 5 3 2 3 2" xfId="48407"/>
    <cellStyle name="Обычный 8 9 5 3 2 3 3" xfId="48408"/>
    <cellStyle name="Обычный 8 9 5 3 2 4" xfId="48409"/>
    <cellStyle name="Обычный 8 9 5 3 2 4 2" xfId="48410"/>
    <cellStyle name="Обычный 8 9 5 3 2 5" xfId="48411"/>
    <cellStyle name="Обычный 8 9 5 3 2 6" xfId="48412"/>
    <cellStyle name="Обычный 8 9 5 3 3" xfId="48413"/>
    <cellStyle name="Обычный 8 9 5 3 3 2" xfId="48414"/>
    <cellStyle name="Обычный 8 9 5 3 3 3" xfId="48415"/>
    <cellStyle name="Обычный 8 9 5 3 4" xfId="48416"/>
    <cellStyle name="Обычный 8 9 5 3 4 2" xfId="48417"/>
    <cellStyle name="Обычный 8 9 5 3 4 3" xfId="48418"/>
    <cellStyle name="Обычный 8 9 5 3 5" xfId="48419"/>
    <cellStyle name="Обычный 8 9 5 3 5 2" xfId="48420"/>
    <cellStyle name="Обычный 8 9 5 3 6" xfId="48421"/>
    <cellStyle name="Обычный 8 9 5 3 7" xfId="48422"/>
    <cellStyle name="Обычный 8 9 5 4" xfId="48423"/>
    <cellStyle name="Обычный 8 9 5 4 2" xfId="48424"/>
    <cellStyle name="Обычный 8 9 5 4 2 2" xfId="48425"/>
    <cellStyle name="Обычный 8 9 5 4 2 3" xfId="48426"/>
    <cellStyle name="Обычный 8 9 5 4 3" xfId="48427"/>
    <cellStyle name="Обычный 8 9 5 4 3 2" xfId="48428"/>
    <cellStyle name="Обычный 8 9 5 4 3 3" xfId="48429"/>
    <cellStyle name="Обычный 8 9 5 4 4" xfId="48430"/>
    <cellStyle name="Обычный 8 9 5 4 4 2" xfId="48431"/>
    <cellStyle name="Обычный 8 9 5 4 5" xfId="48432"/>
    <cellStyle name="Обычный 8 9 5 4 6" xfId="48433"/>
    <cellStyle name="Обычный 8 9 5 5" xfId="48434"/>
    <cellStyle name="Обычный 8 9 5 5 2" xfId="48435"/>
    <cellStyle name="Обычный 8 9 5 5 3" xfId="48436"/>
    <cellStyle name="Обычный 8 9 5 6" xfId="48437"/>
    <cellStyle name="Обычный 8 9 5 6 2" xfId="48438"/>
    <cellStyle name="Обычный 8 9 5 6 3" xfId="48439"/>
    <cellStyle name="Обычный 8 9 5 7" xfId="48440"/>
    <cellStyle name="Обычный 8 9 5 7 2" xfId="48441"/>
    <cellStyle name="Обычный 8 9 5 8" xfId="48442"/>
    <cellStyle name="Обычный 8 9 5 9" xfId="48443"/>
    <cellStyle name="Обычный 8 9 6" xfId="48444"/>
    <cellStyle name="Обычный 8 9 6 2" xfId="48445"/>
    <cellStyle name="Обычный 8 9 6 2 2" xfId="48446"/>
    <cellStyle name="Обычный 8 9 6 2 2 2" xfId="48447"/>
    <cellStyle name="Обычный 8 9 6 2 2 2 2" xfId="48448"/>
    <cellStyle name="Обычный 8 9 6 2 2 2 3" xfId="48449"/>
    <cellStyle name="Обычный 8 9 6 2 2 3" xfId="48450"/>
    <cellStyle name="Обычный 8 9 6 2 2 3 2" xfId="48451"/>
    <cellStyle name="Обычный 8 9 6 2 2 3 3" xfId="48452"/>
    <cellStyle name="Обычный 8 9 6 2 2 4" xfId="48453"/>
    <cellStyle name="Обычный 8 9 6 2 2 4 2" xfId="48454"/>
    <cellStyle name="Обычный 8 9 6 2 2 5" xfId="48455"/>
    <cellStyle name="Обычный 8 9 6 2 2 6" xfId="48456"/>
    <cellStyle name="Обычный 8 9 6 2 3" xfId="48457"/>
    <cellStyle name="Обычный 8 9 6 2 3 2" xfId="48458"/>
    <cellStyle name="Обычный 8 9 6 2 3 3" xfId="48459"/>
    <cellStyle name="Обычный 8 9 6 2 4" xfId="48460"/>
    <cellStyle name="Обычный 8 9 6 2 4 2" xfId="48461"/>
    <cellStyle name="Обычный 8 9 6 2 4 3" xfId="48462"/>
    <cellStyle name="Обычный 8 9 6 2 5" xfId="48463"/>
    <cellStyle name="Обычный 8 9 6 2 5 2" xfId="48464"/>
    <cellStyle name="Обычный 8 9 6 2 6" xfId="48465"/>
    <cellStyle name="Обычный 8 9 6 2 7" xfId="48466"/>
    <cellStyle name="Обычный 8 9 6 3" xfId="48467"/>
    <cellStyle name="Обычный 8 9 6 3 2" xfId="48468"/>
    <cellStyle name="Обычный 8 9 6 3 2 2" xfId="48469"/>
    <cellStyle name="Обычный 8 9 6 3 2 3" xfId="48470"/>
    <cellStyle name="Обычный 8 9 6 3 3" xfId="48471"/>
    <cellStyle name="Обычный 8 9 6 3 3 2" xfId="48472"/>
    <cellStyle name="Обычный 8 9 6 3 3 3" xfId="48473"/>
    <cellStyle name="Обычный 8 9 6 3 4" xfId="48474"/>
    <cellStyle name="Обычный 8 9 6 3 4 2" xfId="48475"/>
    <cellStyle name="Обычный 8 9 6 3 5" xfId="48476"/>
    <cellStyle name="Обычный 8 9 6 3 6" xfId="48477"/>
    <cellStyle name="Обычный 8 9 6 4" xfId="48478"/>
    <cellStyle name="Обычный 8 9 6 4 2" xfId="48479"/>
    <cellStyle name="Обычный 8 9 6 4 3" xfId="48480"/>
    <cellStyle name="Обычный 8 9 6 5" xfId="48481"/>
    <cellStyle name="Обычный 8 9 6 5 2" xfId="48482"/>
    <cellStyle name="Обычный 8 9 6 5 3" xfId="48483"/>
    <cellStyle name="Обычный 8 9 6 6" xfId="48484"/>
    <cellStyle name="Обычный 8 9 6 6 2" xfId="48485"/>
    <cellStyle name="Обычный 8 9 6 7" xfId="48486"/>
    <cellStyle name="Обычный 8 9 6 8" xfId="48487"/>
    <cellStyle name="Обычный 8 9 7" xfId="48488"/>
    <cellStyle name="Обычный 8 9 7 2" xfId="48489"/>
    <cellStyle name="Обычный 8 9 7 2 2" xfId="48490"/>
    <cellStyle name="Обычный 8 9 7 2 2 2" xfId="48491"/>
    <cellStyle name="Обычный 8 9 7 2 2 3" xfId="48492"/>
    <cellStyle name="Обычный 8 9 7 2 3" xfId="48493"/>
    <cellStyle name="Обычный 8 9 7 2 3 2" xfId="48494"/>
    <cellStyle name="Обычный 8 9 7 2 3 3" xfId="48495"/>
    <cellStyle name="Обычный 8 9 7 2 4" xfId="48496"/>
    <cellStyle name="Обычный 8 9 7 2 4 2" xfId="48497"/>
    <cellStyle name="Обычный 8 9 7 2 5" xfId="48498"/>
    <cellStyle name="Обычный 8 9 7 2 6" xfId="48499"/>
    <cellStyle name="Обычный 8 9 7 3" xfId="48500"/>
    <cellStyle name="Обычный 8 9 7 3 2" xfId="48501"/>
    <cellStyle name="Обычный 8 9 7 3 3" xfId="48502"/>
    <cellStyle name="Обычный 8 9 7 4" xfId="48503"/>
    <cellStyle name="Обычный 8 9 7 4 2" xfId="48504"/>
    <cellStyle name="Обычный 8 9 7 4 3" xfId="48505"/>
    <cellStyle name="Обычный 8 9 7 5" xfId="48506"/>
    <cellStyle name="Обычный 8 9 7 5 2" xfId="48507"/>
    <cellStyle name="Обычный 8 9 7 6" xfId="48508"/>
    <cellStyle name="Обычный 8 9 7 7" xfId="48509"/>
    <cellStyle name="Обычный 8 9 8" xfId="48510"/>
    <cellStyle name="Обычный 8 9 8 2" xfId="48511"/>
    <cellStyle name="Обычный 8 9 8 2 2" xfId="48512"/>
    <cellStyle name="Обычный 8 9 8 2 3" xfId="48513"/>
    <cellStyle name="Обычный 8 9 8 3" xfId="48514"/>
    <cellStyle name="Обычный 8 9 8 3 2" xfId="48515"/>
    <cellStyle name="Обычный 8 9 8 3 3" xfId="48516"/>
    <cellStyle name="Обычный 8 9 8 4" xfId="48517"/>
    <cellStyle name="Обычный 8 9 8 4 2" xfId="48518"/>
    <cellStyle name="Обычный 8 9 8 5" xfId="48519"/>
    <cellStyle name="Обычный 8 9 8 6" xfId="48520"/>
    <cellStyle name="Обычный 8 9 9" xfId="48521"/>
    <cellStyle name="Обычный 8 9 9 2" xfId="48522"/>
    <cellStyle name="Обычный 8 9 9 3" xfId="48523"/>
    <cellStyle name="Обычный 9" xfId="48524"/>
    <cellStyle name="Обычный 9 10" xfId="48525"/>
    <cellStyle name="Обычный 9 10 10" xfId="48526"/>
    <cellStyle name="Обычный 9 10 2" xfId="48527"/>
    <cellStyle name="Обычный 9 10 2 2" xfId="48528"/>
    <cellStyle name="Обычный 9 10 2 2 2" xfId="48529"/>
    <cellStyle name="Обычный 9 10 2 2 2 2" xfId="48530"/>
    <cellStyle name="Обычный 9 10 2 2 2 2 2" xfId="48531"/>
    <cellStyle name="Обычный 9 10 2 2 2 2 2 2" xfId="48532"/>
    <cellStyle name="Обычный 9 10 2 2 2 2 2 3" xfId="48533"/>
    <cellStyle name="Обычный 9 10 2 2 2 2 3" xfId="48534"/>
    <cellStyle name="Обычный 9 10 2 2 2 2 3 2" xfId="48535"/>
    <cellStyle name="Обычный 9 10 2 2 2 2 3 3" xfId="48536"/>
    <cellStyle name="Обычный 9 10 2 2 2 2 4" xfId="48537"/>
    <cellStyle name="Обычный 9 10 2 2 2 2 4 2" xfId="48538"/>
    <cellStyle name="Обычный 9 10 2 2 2 2 5" xfId="48539"/>
    <cellStyle name="Обычный 9 10 2 2 2 2 6" xfId="48540"/>
    <cellStyle name="Обычный 9 10 2 2 2 3" xfId="48541"/>
    <cellStyle name="Обычный 9 10 2 2 2 3 2" xfId="48542"/>
    <cellStyle name="Обычный 9 10 2 2 2 3 3" xfId="48543"/>
    <cellStyle name="Обычный 9 10 2 2 2 4" xfId="48544"/>
    <cellStyle name="Обычный 9 10 2 2 2 4 2" xfId="48545"/>
    <cellStyle name="Обычный 9 10 2 2 2 4 3" xfId="48546"/>
    <cellStyle name="Обычный 9 10 2 2 2 5" xfId="48547"/>
    <cellStyle name="Обычный 9 10 2 2 2 5 2" xfId="48548"/>
    <cellStyle name="Обычный 9 10 2 2 2 6" xfId="48549"/>
    <cellStyle name="Обычный 9 10 2 2 2 7" xfId="48550"/>
    <cellStyle name="Обычный 9 10 2 2 3" xfId="48551"/>
    <cellStyle name="Обычный 9 10 2 2 3 2" xfId="48552"/>
    <cellStyle name="Обычный 9 10 2 2 3 2 2" xfId="48553"/>
    <cellStyle name="Обычный 9 10 2 2 3 2 3" xfId="48554"/>
    <cellStyle name="Обычный 9 10 2 2 3 3" xfId="48555"/>
    <cellStyle name="Обычный 9 10 2 2 3 3 2" xfId="48556"/>
    <cellStyle name="Обычный 9 10 2 2 3 3 3" xfId="48557"/>
    <cellStyle name="Обычный 9 10 2 2 3 4" xfId="48558"/>
    <cellStyle name="Обычный 9 10 2 2 3 4 2" xfId="48559"/>
    <cellStyle name="Обычный 9 10 2 2 3 5" xfId="48560"/>
    <cellStyle name="Обычный 9 10 2 2 3 6" xfId="48561"/>
    <cellStyle name="Обычный 9 10 2 2 4" xfId="48562"/>
    <cellStyle name="Обычный 9 10 2 2 4 2" xfId="48563"/>
    <cellStyle name="Обычный 9 10 2 2 4 3" xfId="48564"/>
    <cellStyle name="Обычный 9 10 2 2 5" xfId="48565"/>
    <cellStyle name="Обычный 9 10 2 2 5 2" xfId="48566"/>
    <cellStyle name="Обычный 9 10 2 2 5 3" xfId="48567"/>
    <cellStyle name="Обычный 9 10 2 2 6" xfId="48568"/>
    <cellStyle name="Обычный 9 10 2 2 6 2" xfId="48569"/>
    <cellStyle name="Обычный 9 10 2 2 7" xfId="48570"/>
    <cellStyle name="Обычный 9 10 2 2 8" xfId="48571"/>
    <cellStyle name="Обычный 9 10 2 3" xfId="48572"/>
    <cellStyle name="Обычный 9 10 2 3 2" xfId="48573"/>
    <cellStyle name="Обычный 9 10 2 3 2 2" xfId="48574"/>
    <cellStyle name="Обычный 9 10 2 3 2 2 2" xfId="48575"/>
    <cellStyle name="Обычный 9 10 2 3 2 2 3" xfId="48576"/>
    <cellStyle name="Обычный 9 10 2 3 2 3" xfId="48577"/>
    <cellStyle name="Обычный 9 10 2 3 2 3 2" xfId="48578"/>
    <cellStyle name="Обычный 9 10 2 3 2 3 3" xfId="48579"/>
    <cellStyle name="Обычный 9 10 2 3 2 4" xfId="48580"/>
    <cellStyle name="Обычный 9 10 2 3 2 4 2" xfId="48581"/>
    <cellStyle name="Обычный 9 10 2 3 2 5" xfId="48582"/>
    <cellStyle name="Обычный 9 10 2 3 2 6" xfId="48583"/>
    <cellStyle name="Обычный 9 10 2 3 3" xfId="48584"/>
    <cellStyle name="Обычный 9 10 2 3 3 2" xfId="48585"/>
    <cellStyle name="Обычный 9 10 2 3 3 3" xfId="48586"/>
    <cellStyle name="Обычный 9 10 2 3 4" xfId="48587"/>
    <cellStyle name="Обычный 9 10 2 3 4 2" xfId="48588"/>
    <cellStyle name="Обычный 9 10 2 3 4 3" xfId="48589"/>
    <cellStyle name="Обычный 9 10 2 3 5" xfId="48590"/>
    <cellStyle name="Обычный 9 10 2 3 5 2" xfId="48591"/>
    <cellStyle name="Обычный 9 10 2 3 6" xfId="48592"/>
    <cellStyle name="Обычный 9 10 2 3 7" xfId="48593"/>
    <cellStyle name="Обычный 9 10 2 4" xfId="48594"/>
    <cellStyle name="Обычный 9 10 2 4 2" xfId="48595"/>
    <cellStyle name="Обычный 9 10 2 4 2 2" xfId="48596"/>
    <cellStyle name="Обычный 9 10 2 4 2 3" xfId="48597"/>
    <cellStyle name="Обычный 9 10 2 4 3" xfId="48598"/>
    <cellStyle name="Обычный 9 10 2 4 3 2" xfId="48599"/>
    <cellStyle name="Обычный 9 10 2 4 3 3" xfId="48600"/>
    <cellStyle name="Обычный 9 10 2 4 4" xfId="48601"/>
    <cellStyle name="Обычный 9 10 2 4 4 2" xfId="48602"/>
    <cellStyle name="Обычный 9 10 2 4 5" xfId="48603"/>
    <cellStyle name="Обычный 9 10 2 4 6" xfId="48604"/>
    <cellStyle name="Обычный 9 10 2 5" xfId="48605"/>
    <cellStyle name="Обычный 9 10 2 5 2" xfId="48606"/>
    <cellStyle name="Обычный 9 10 2 5 3" xfId="48607"/>
    <cellStyle name="Обычный 9 10 2 6" xfId="48608"/>
    <cellStyle name="Обычный 9 10 2 6 2" xfId="48609"/>
    <cellStyle name="Обычный 9 10 2 6 3" xfId="48610"/>
    <cellStyle name="Обычный 9 10 2 7" xfId="48611"/>
    <cellStyle name="Обычный 9 10 2 7 2" xfId="48612"/>
    <cellStyle name="Обычный 9 10 2 8" xfId="48613"/>
    <cellStyle name="Обычный 9 10 2 9" xfId="48614"/>
    <cellStyle name="Обычный 9 10 3" xfId="48615"/>
    <cellStyle name="Обычный 9 10 3 2" xfId="48616"/>
    <cellStyle name="Обычный 9 10 3 2 2" xfId="48617"/>
    <cellStyle name="Обычный 9 10 3 2 2 2" xfId="48618"/>
    <cellStyle name="Обычный 9 10 3 2 2 2 2" xfId="48619"/>
    <cellStyle name="Обычный 9 10 3 2 2 2 3" xfId="48620"/>
    <cellStyle name="Обычный 9 10 3 2 2 3" xfId="48621"/>
    <cellStyle name="Обычный 9 10 3 2 2 3 2" xfId="48622"/>
    <cellStyle name="Обычный 9 10 3 2 2 3 3" xfId="48623"/>
    <cellStyle name="Обычный 9 10 3 2 2 4" xfId="48624"/>
    <cellStyle name="Обычный 9 10 3 2 2 4 2" xfId="48625"/>
    <cellStyle name="Обычный 9 10 3 2 2 5" xfId="48626"/>
    <cellStyle name="Обычный 9 10 3 2 2 6" xfId="48627"/>
    <cellStyle name="Обычный 9 10 3 2 3" xfId="48628"/>
    <cellStyle name="Обычный 9 10 3 2 3 2" xfId="48629"/>
    <cellStyle name="Обычный 9 10 3 2 3 3" xfId="48630"/>
    <cellStyle name="Обычный 9 10 3 2 4" xfId="48631"/>
    <cellStyle name="Обычный 9 10 3 2 4 2" xfId="48632"/>
    <cellStyle name="Обычный 9 10 3 2 4 3" xfId="48633"/>
    <cellStyle name="Обычный 9 10 3 2 5" xfId="48634"/>
    <cellStyle name="Обычный 9 10 3 2 5 2" xfId="48635"/>
    <cellStyle name="Обычный 9 10 3 2 6" xfId="48636"/>
    <cellStyle name="Обычный 9 10 3 2 7" xfId="48637"/>
    <cellStyle name="Обычный 9 10 3 3" xfId="48638"/>
    <cellStyle name="Обычный 9 10 3 3 2" xfId="48639"/>
    <cellStyle name="Обычный 9 10 3 3 2 2" xfId="48640"/>
    <cellStyle name="Обычный 9 10 3 3 2 3" xfId="48641"/>
    <cellStyle name="Обычный 9 10 3 3 3" xfId="48642"/>
    <cellStyle name="Обычный 9 10 3 3 3 2" xfId="48643"/>
    <cellStyle name="Обычный 9 10 3 3 3 3" xfId="48644"/>
    <cellStyle name="Обычный 9 10 3 3 4" xfId="48645"/>
    <cellStyle name="Обычный 9 10 3 3 4 2" xfId="48646"/>
    <cellStyle name="Обычный 9 10 3 3 5" xfId="48647"/>
    <cellStyle name="Обычный 9 10 3 3 6" xfId="48648"/>
    <cellStyle name="Обычный 9 10 3 4" xfId="48649"/>
    <cellStyle name="Обычный 9 10 3 4 2" xfId="48650"/>
    <cellStyle name="Обычный 9 10 3 4 3" xfId="48651"/>
    <cellStyle name="Обычный 9 10 3 5" xfId="48652"/>
    <cellStyle name="Обычный 9 10 3 5 2" xfId="48653"/>
    <cellStyle name="Обычный 9 10 3 5 3" xfId="48654"/>
    <cellStyle name="Обычный 9 10 3 6" xfId="48655"/>
    <cellStyle name="Обычный 9 10 3 6 2" xfId="48656"/>
    <cellStyle name="Обычный 9 10 3 7" xfId="48657"/>
    <cellStyle name="Обычный 9 10 3 8" xfId="48658"/>
    <cellStyle name="Обычный 9 10 4" xfId="48659"/>
    <cellStyle name="Обычный 9 10 4 2" xfId="48660"/>
    <cellStyle name="Обычный 9 10 4 2 2" xfId="48661"/>
    <cellStyle name="Обычный 9 10 4 2 2 2" xfId="48662"/>
    <cellStyle name="Обычный 9 10 4 2 2 3" xfId="48663"/>
    <cellStyle name="Обычный 9 10 4 2 3" xfId="48664"/>
    <cellStyle name="Обычный 9 10 4 2 3 2" xfId="48665"/>
    <cellStyle name="Обычный 9 10 4 2 3 3" xfId="48666"/>
    <cellStyle name="Обычный 9 10 4 2 4" xfId="48667"/>
    <cellStyle name="Обычный 9 10 4 2 4 2" xfId="48668"/>
    <cellStyle name="Обычный 9 10 4 2 5" xfId="48669"/>
    <cellStyle name="Обычный 9 10 4 2 6" xfId="48670"/>
    <cellStyle name="Обычный 9 10 4 3" xfId="48671"/>
    <cellStyle name="Обычный 9 10 4 3 2" xfId="48672"/>
    <cellStyle name="Обычный 9 10 4 3 3" xfId="48673"/>
    <cellStyle name="Обычный 9 10 4 4" xfId="48674"/>
    <cellStyle name="Обычный 9 10 4 4 2" xfId="48675"/>
    <cellStyle name="Обычный 9 10 4 4 3" xfId="48676"/>
    <cellStyle name="Обычный 9 10 4 5" xfId="48677"/>
    <cellStyle name="Обычный 9 10 4 5 2" xfId="48678"/>
    <cellStyle name="Обычный 9 10 4 6" xfId="48679"/>
    <cellStyle name="Обычный 9 10 4 7" xfId="48680"/>
    <cellStyle name="Обычный 9 10 5" xfId="48681"/>
    <cellStyle name="Обычный 9 10 5 2" xfId="48682"/>
    <cellStyle name="Обычный 9 10 5 2 2" xfId="48683"/>
    <cellStyle name="Обычный 9 10 5 2 3" xfId="48684"/>
    <cellStyle name="Обычный 9 10 5 3" xfId="48685"/>
    <cellStyle name="Обычный 9 10 5 3 2" xfId="48686"/>
    <cellStyle name="Обычный 9 10 5 3 3" xfId="48687"/>
    <cellStyle name="Обычный 9 10 5 4" xfId="48688"/>
    <cellStyle name="Обычный 9 10 5 4 2" xfId="48689"/>
    <cellStyle name="Обычный 9 10 5 5" xfId="48690"/>
    <cellStyle name="Обычный 9 10 5 6" xfId="48691"/>
    <cellStyle name="Обычный 9 10 6" xfId="48692"/>
    <cellStyle name="Обычный 9 10 6 2" xfId="48693"/>
    <cellStyle name="Обычный 9 10 6 3" xfId="48694"/>
    <cellStyle name="Обычный 9 10 7" xfId="48695"/>
    <cellStyle name="Обычный 9 10 7 2" xfId="48696"/>
    <cellStyle name="Обычный 9 10 7 3" xfId="48697"/>
    <cellStyle name="Обычный 9 10 8" xfId="48698"/>
    <cellStyle name="Обычный 9 10 8 2" xfId="48699"/>
    <cellStyle name="Обычный 9 10 9" xfId="48700"/>
    <cellStyle name="Обычный 9 11" xfId="48701"/>
    <cellStyle name="Обычный 9 11 10" xfId="48702"/>
    <cellStyle name="Обычный 9 11 2" xfId="48703"/>
    <cellStyle name="Обычный 9 11 2 2" xfId="48704"/>
    <cellStyle name="Обычный 9 11 2 2 2" xfId="48705"/>
    <cellStyle name="Обычный 9 11 2 2 2 2" xfId="48706"/>
    <cellStyle name="Обычный 9 11 2 2 2 2 2" xfId="48707"/>
    <cellStyle name="Обычный 9 11 2 2 2 2 2 2" xfId="48708"/>
    <cellStyle name="Обычный 9 11 2 2 2 2 2 3" xfId="48709"/>
    <cellStyle name="Обычный 9 11 2 2 2 2 3" xfId="48710"/>
    <cellStyle name="Обычный 9 11 2 2 2 2 3 2" xfId="48711"/>
    <cellStyle name="Обычный 9 11 2 2 2 2 3 3" xfId="48712"/>
    <cellStyle name="Обычный 9 11 2 2 2 2 4" xfId="48713"/>
    <cellStyle name="Обычный 9 11 2 2 2 2 4 2" xfId="48714"/>
    <cellStyle name="Обычный 9 11 2 2 2 2 5" xfId="48715"/>
    <cellStyle name="Обычный 9 11 2 2 2 2 6" xfId="48716"/>
    <cellStyle name="Обычный 9 11 2 2 2 3" xfId="48717"/>
    <cellStyle name="Обычный 9 11 2 2 2 3 2" xfId="48718"/>
    <cellStyle name="Обычный 9 11 2 2 2 3 3" xfId="48719"/>
    <cellStyle name="Обычный 9 11 2 2 2 4" xfId="48720"/>
    <cellStyle name="Обычный 9 11 2 2 2 4 2" xfId="48721"/>
    <cellStyle name="Обычный 9 11 2 2 2 4 3" xfId="48722"/>
    <cellStyle name="Обычный 9 11 2 2 2 5" xfId="48723"/>
    <cellStyle name="Обычный 9 11 2 2 2 5 2" xfId="48724"/>
    <cellStyle name="Обычный 9 11 2 2 2 6" xfId="48725"/>
    <cellStyle name="Обычный 9 11 2 2 2 7" xfId="48726"/>
    <cellStyle name="Обычный 9 11 2 2 3" xfId="48727"/>
    <cellStyle name="Обычный 9 11 2 2 3 2" xfId="48728"/>
    <cellStyle name="Обычный 9 11 2 2 3 2 2" xfId="48729"/>
    <cellStyle name="Обычный 9 11 2 2 3 2 3" xfId="48730"/>
    <cellStyle name="Обычный 9 11 2 2 3 3" xfId="48731"/>
    <cellStyle name="Обычный 9 11 2 2 3 3 2" xfId="48732"/>
    <cellStyle name="Обычный 9 11 2 2 3 3 3" xfId="48733"/>
    <cellStyle name="Обычный 9 11 2 2 3 4" xfId="48734"/>
    <cellStyle name="Обычный 9 11 2 2 3 4 2" xfId="48735"/>
    <cellStyle name="Обычный 9 11 2 2 3 5" xfId="48736"/>
    <cellStyle name="Обычный 9 11 2 2 3 6" xfId="48737"/>
    <cellStyle name="Обычный 9 11 2 2 4" xfId="48738"/>
    <cellStyle name="Обычный 9 11 2 2 4 2" xfId="48739"/>
    <cellStyle name="Обычный 9 11 2 2 4 3" xfId="48740"/>
    <cellStyle name="Обычный 9 11 2 2 5" xfId="48741"/>
    <cellStyle name="Обычный 9 11 2 2 5 2" xfId="48742"/>
    <cellStyle name="Обычный 9 11 2 2 5 3" xfId="48743"/>
    <cellStyle name="Обычный 9 11 2 2 6" xfId="48744"/>
    <cellStyle name="Обычный 9 11 2 2 6 2" xfId="48745"/>
    <cellStyle name="Обычный 9 11 2 2 7" xfId="48746"/>
    <cellStyle name="Обычный 9 11 2 2 8" xfId="48747"/>
    <cellStyle name="Обычный 9 11 2 3" xfId="48748"/>
    <cellStyle name="Обычный 9 11 2 3 2" xfId="48749"/>
    <cellStyle name="Обычный 9 11 2 3 2 2" xfId="48750"/>
    <cellStyle name="Обычный 9 11 2 3 2 2 2" xfId="48751"/>
    <cellStyle name="Обычный 9 11 2 3 2 2 3" xfId="48752"/>
    <cellStyle name="Обычный 9 11 2 3 2 3" xfId="48753"/>
    <cellStyle name="Обычный 9 11 2 3 2 3 2" xfId="48754"/>
    <cellStyle name="Обычный 9 11 2 3 2 3 3" xfId="48755"/>
    <cellStyle name="Обычный 9 11 2 3 2 4" xfId="48756"/>
    <cellStyle name="Обычный 9 11 2 3 2 4 2" xfId="48757"/>
    <cellStyle name="Обычный 9 11 2 3 2 5" xfId="48758"/>
    <cellStyle name="Обычный 9 11 2 3 2 6" xfId="48759"/>
    <cellStyle name="Обычный 9 11 2 3 3" xfId="48760"/>
    <cellStyle name="Обычный 9 11 2 3 3 2" xfId="48761"/>
    <cellStyle name="Обычный 9 11 2 3 3 3" xfId="48762"/>
    <cellStyle name="Обычный 9 11 2 3 4" xfId="48763"/>
    <cellStyle name="Обычный 9 11 2 3 4 2" xfId="48764"/>
    <cellStyle name="Обычный 9 11 2 3 4 3" xfId="48765"/>
    <cellStyle name="Обычный 9 11 2 3 5" xfId="48766"/>
    <cellStyle name="Обычный 9 11 2 3 5 2" xfId="48767"/>
    <cellStyle name="Обычный 9 11 2 3 6" xfId="48768"/>
    <cellStyle name="Обычный 9 11 2 3 7" xfId="48769"/>
    <cellStyle name="Обычный 9 11 2 4" xfId="48770"/>
    <cellStyle name="Обычный 9 11 2 4 2" xfId="48771"/>
    <cellStyle name="Обычный 9 11 2 4 2 2" xfId="48772"/>
    <cellStyle name="Обычный 9 11 2 4 2 3" xfId="48773"/>
    <cellStyle name="Обычный 9 11 2 4 3" xfId="48774"/>
    <cellStyle name="Обычный 9 11 2 4 3 2" xfId="48775"/>
    <cellStyle name="Обычный 9 11 2 4 3 3" xfId="48776"/>
    <cellStyle name="Обычный 9 11 2 4 4" xfId="48777"/>
    <cellStyle name="Обычный 9 11 2 4 4 2" xfId="48778"/>
    <cellStyle name="Обычный 9 11 2 4 5" xfId="48779"/>
    <cellStyle name="Обычный 9 11 2 4 6" xfId="48780"/>
    <cellStyle name="Обычный 9 11 2 5" xfId="48781"/>
    <cellStyle name="Обычный 9 11 2 5 2" xfId="48782"/>
    <cellStyle name="Обычный 9 11 2 5 3" xfId="48783"/>
    <cellStyle name="Обычный 9 11 2 6" xfId="48784"/>
    <cellStyle name="Обычный 9 11 2 6 2" xfId="48785"/>
    <cellStyle name="Обычный 9 11 2 6 3" xfId="48786"/>
    <cellStyle name="Обычный 9 11 2 7" xfId="48787"/>
    <cellStyle name="Обычный 9 11 2 7 2" xfId="48788"/>
    <cellStyle name="Обычный 9 11 2 8" xfId="48789"/>
    <cellStyle name="Обычный 9 11 2 9" xfId="48790"/>
    <cellStyle name="Обычный 9 11 3" xfId="48791"/>
    <cellStyle name="Обычный 9 11 3 2" xfId="48792"/>
    <cellStyle name="Обычный 9 11 3 2 2" xfId="48793"/>
    <cellStyle name="Обычный 9 11 3 2 2 2" xfId="48794"/>
    <cellStyle name="Обычный 9 11 3 2 2 2 2" xfId="48795"/>
    <cellStyle name="Обычный 9 11 3 2 2 2 3" xfId="48796"/>
    <cellStyle name="Обычный 9 11 3 2 2 3" xfId="48797"/>
    <cellStyle name="Обычный 9 11 3 2 2 3 2" xfId="48798"/>
    <cellStyle name="Обычный 9 11 3 2 2 3 3" xfId="48799"/>
    <cellStyle name="Обычный 9 11 3 2 2 4" xfId="48800"/>
    <cellStyle name="Обычный 9 11 3 2 2 4 2" xfId="48801"/>
    <cellStyle name="Обычный 9 11 3 2 2 5" xfId="48802"/>
    <cellStyle name="Обычный 9 11 3 2 2 6" xfId="48803"/>
    <cellStyle name="Обычный 9 11 3 2 3" xfId="48804"/>
    <cellStyle name="Обычный 9 11 3 2 3 2" xfId="48805"/>
    <cellStyle name="Обычный 9 11 3 2 3 3" xfId="48806"/>
    <cellStyle name="Обычный 9 11 3 2 4" xfId="48807"/>
    <cellStyle name="Обычный 9 11 3 2 4 2" xfId="48808"/>
    <cellStyle name="Обычный 9 11 3 2 4 3" xfId="48809"/>
    <cellStyle name="Обычный 9 11 3 2 5" xfId="48810"/>
    <cellStyle name="Обычный 9 11 3 2 5 2" xfId="48811"/>
    <cellStyle name="Обычный 9 11 3 2 6" xfId="48812"/>
    <cellStyle name="Обычный 9 11 3 2 7" xfId="48813"/>
    <cellStyle name="Обычный 9 11 3 3" xfId="48814"/>
    <cellStyle name="Обычный 9 11 3 3 2" xfId="48815"/>
    <cellStyle name="Обычный 9 11 3 3 2 2" xfId="48816"/>
    <cellStyle name="Обычный 9 11 3 3 2 3" xfId="48817"/>
    <cellStyle name="Обычный 9 11 3 3 3" xfId="48818"/>
    <cellStyle name="Обычный 9 11 3 3 3 2" xfId="48819"/>
    <cellStyle name="Обычный 9 11 3 3 3 3" xfId="48820"/>
    <cellStyle name="Обычный 9 11 3 3 4" xfId="48821"/>
    <cellStyle name="Обычный 9 11 3 3 4 2" xfId="48822"/>
    <cellStyle name="Обычный 9 11 3 3 5" xfId="48823"/>
    <cellStyle name="Обычный 9 11 3 3 6" xfId="48824"/>
    <cellStyle name="Обычный 9 11 3 4" xfId="48825"/>
    <cellStyle name="Обычный 9 11 3 4 2" xfId="48826"/>
    <cellStyle name="Обычный 9 11 3 4 3" xfId="48827"/>
    <cellStyle name="Обычный 9 11 3 5" xfId="48828"/>
    <cellStyle name="Обычный 9 11 3 5 2" xfId="48829"/>
    <cellStyle name="Обычный 9 11 3 5 3" xfId="48830"/>
    <cellStyle name="Обычный 9 11 3 6" xfId="48831"/>
    <cellStyle name="Обычный 9 11 3 6 2" xfId="48832"/>
    <cellStyle name="Обычный 9 11 3 7" xfId="48833"/>
    <cellStyle name="Обычный 9 11 3 8" xfId="48834"/>
    <cellStyle name="Обычный 9 11 4" xfId="48835"/>
    <cellStyle name="Обычный 9 11 4 2" xfId="48836"/>
    <cellStyle name="Обычный 9 11 4 2 2" xfId="48837"/>
    <cellStyle name="Обычный 9 11 4 2 2 2" xfId="48838"/>
    <cellStyle name="Обычный 9 11 4 2 2 3" xfId="48839"/>
    <cellStyle name="Обычный 9 11 4 2 3" xfId="48840"/>
    <cellStyle name="Обычный 9 11 4 2 3 2" xfId="48841"/>
    <cellStyle name="Обычный 9 11 4 2 3 3" xfId="48842"/>
    <cellStyle name="Обычный 9 11 4 2 4" xfId="48843"/>
    <cellStyle name="Обычный 9 11 4 2 4 2" xfId="48844"/>
    <cellStyle name="Обычный 9 11 4 2 5" xfId="48845"/>
    <cellStyle name="Обычный 9 11 4 2 6" xfId="48846"/>
    <cellStyle name="Обычный 9 11 4 3" xfId="48847"/>
    <cellStyle name="Обычный 9 11 4 3 2" xfId="48848"/>
    <cellStyle name="Обычный 9 11 4 3 3" xfId="48849"/>
    <cellStyle name="Обычный 9 11 4 4" xfId="48850"/>
    <cellStyle name="Обычный 9 11 4 4 2" xfId="48851"/>
    <cellStyle name="Обычный 9 11 4 4 3" xfId="48852"/>
    <cellStyle name="Обычный 9 11 4 5" xfId="48853"/>
    <cellStyle name="Обычный 9 11 4 5 2" xfId="48854"/>
    <cellStyle name="Обычный 9 11 4 6" xfId="48855"/>
    <cellStyle name="Обычный 9 11 4 7" xfId="48856"/>
    <cellStyle name="Обычный 9 11 5" xfId="48857"/>
    <cellStyle name="Обычный 9 11 5 2" xfId="48858"/>
    <cellStyle name="Обычный 9 11 5 2 2" xfId="48859"/>
    <cellStyle name="Обычный 9 11 5 2 3" xfId="48860"/>
    <cellStyle name="Обычный 9 11 5 3" xfId="48861"/>
    <cellStyle name="Обычный 9 11 5 3 2" xfId="48862"/>
    <cellStyle name="Обычный 9 11 5 3 3" xfId="48863"/>
    <cellStyle name="Обычный 9 11 5 4" xfId="48864"/>
    <cellStyle name="Обычный 9 11 5 4 2" xfId="48865"/>
    <cellStyle name="Обычный 9 11 5 5" xfId="48866"/>
    <cellStyle name="Обычный 9 11 5 6" xfId="48867"/>
    <cellStyle name="Обычный 9 11 6" xfId="48868"/>
    <cellStyle name="Обычный 9 11 6 2" xfId="48869"/>
    <cellStyle name="Обычный 9 11 6 3" xfId="48870"/>
    <cellStyle name="Обычный 9 11 7" xfId="48871"/>
    <cellStyle name="Обычный 9 11 7 2" xfId="48872"/>
    <cellStyle name="Обычный 9 11 7 3" xfId="48873"/>
    <cellStyle name="Обычный 9 11 8" xfId="48874"/>
    <cellStyle name="Обычный 9 11 8 2" xfId="48875"/>
    <cellStyle name="Обычный 9 11 9" xfId="48876"/>
    <cellStyle name="Обычный 9 12" xfId="48877"/>
    <cellStyle name="Обычный 9 12 10" xfId="48878"/>
    <cellStyle name="Обычный 9 12 2" xfId="48879"/>
    <cellStyle name="Обычный 9 12 2 2" xfId="48880"/>
    <cellStyle name="Обычный 9 12 2 2 2" xfId="48881"/>
    <cellStyle name="Обычный 9 12 2 2 2 2" xfId="48882"/>
    <cellStyle name="Обычный 9 12 2 2 2 2 2" xfId="48883"/>
    <cellStyle name="Обычный 9 12 2 2 2 2 2 2" xfId="48884"/>
    <cellStyle name="Обычный 9 12 2 2 2 2 2 3" xfId="48885"/>
    <cellStyle name="Обычный 9 12 2 2 2 2 3" xfId="48886"/>
    <cellStyle name="Обычный 9 12 2 2 2 2 3 2" xfId="48887"/>
    <cellStyle name="Обычный 9 12 2 2 2 2 3 3" xfId="48888"/>
    <cellStyle name="Обычный 9 12 2 2 2 2 4" xfId="48889"/>
    <cellStyle name="Обычный 9 12 2 2 2 2 4 2" xfId="48890"/>
    <cellStyle name="Обычный 9 12 2 2 2 2 5" xfId="48891"/>
    <cellStyle name="Обычный 9 12 2 2 2 2 6" xfId="48892"/>
    <cellStyle name="Обычный 9 12 2 2 2 3" xfId="48893"/>
    <cellStyle name="Обычный 9 12 2 2 2 3 2" xfId="48894"/>
    <cellStyle name="Обычный 9 12 2 2 2 3 3" xfId="48895"/>
    <cellStyle name="Обычный 9 12 2 2 2 4" xfId="48896"/>
    <cellStyle name="Обычный 9 12 2 2 2 4 2" xfId="48897"/>
    <cellStyle name="Обычный 9 12 2 2 2 4 3" xfId="48898"/>
    <cellStyle name="Обычный 9 12 2 2 2 5" xfId="48899"/>
    <cellStyle name="Обычный 9 12 2 2 2 5 2" xfId="48900"/>
    <cellStyle name="Обычный 9 12 2 2 2 6" xfId="48901"/>
    <cellStyle name="Обычный 9 12 2 2 2 7" xfId="48902"/>
    <cellStyle name="Обычный 9 12 2 2 3" xfId="48903"/>
    <cellStyle name="Обычный 9 12 2 2 3 2" xfId="48904"/>
    <cellStyle name="Обычный 9 12 2 2 3 2 2" xfId="48905"/>
    <cellStyle name="Обычный 9 12 2 2 3 2 3" xfId="48906"/>
    <cellStyle name="Обычный 9 12 2 2 3 3" xfId="48907"/>
    <cellStyle name="Обычный 9 12 2 2 3 3 2" xfId="48908"/>
    <cellStyle name="Обычный 9 12 2 2 3 3 3" xfId="48909"/>
    <cellStyle name="Обычный 9 12 2 2 3 4" xfId="48910"/>
    <cellStyle name="Обычный 9 12 2 2 3 4 2" xfId="48911"/>
    <cellStyle name="Обычный 9 12 2 2 3 5" xfId="48912"/>
    <cellStyle name="Обычный 9 12 2 2 3 6" xfId="48913"/>
    <cellStyle name="Обычный 9 12 2 2 4" xfId="48914"/>
    <cellStyle name="Обычный 9 12 2 2 4 2" xfId="48915"/>
    <cellStyle name="Обычный 9 12 2 2 4 3" xfId="48916"/>
    <cellStyle name="Обычный 9 12 2 2 5" xfId="48917"/>
    <cellStyle name="Обычный 9 12 2 2 5 2" xfId="48918"/>
    <cellStyle name="Обычный 9 12 2 2 5 3" xfId="48919"/>
    <cellStyle name="Обычный 9 12 2 2 6" xfId="48920"/>
    <cellStyle name="Обычный 9 12 2 2 6 2" xfId="48921"/>
    <cellStyle name="Обычный 9 12 2 2 7" xfId="48922"/>
    <cellStyle name="Обычный 9 12 2 2 8" xfId="48923"/>
    <cellStyle name="Обычный 9 12 2 3" xfId="48924"/>
    <cellStyle name="Обычный 9 12 2 3 2" xfId="48925"/>
    <cellStyle name="Обычный 9 12 2 3 2 2" xfId="48926"/>
    <cellStyle name="Обычный 9 12 2 3 2 2 2" xfId="48927"/>
    <cellStyle name="Обычный 9 12 2 3 2 2 3" xfId="48928"/>
    <cellStyle name="Обычный 9 12 2 3 2 3" xfId="48929"/>
    <cellStyle name="Обычный 9 12 2 3 2 3 2" xfId="48930"/>
    <cellStyle name="Обычный 9 12 2 3 2 3 3" xfId="48931"/>
    <cellStyle name="Обычный 9 12 2 3 2 4" xfId="48932"/>
    <cellStyle name="Обычный 9 12 2 3 2 4 2" xfId="48933"/>
    <cellStyle name="Обычный 9 12 2 3 2 5" xfId="48934"/>
    <cellStyle name="Обычный 9 12 2 3 2 6" xfId="48935"/>
    <cellStyle name="Обычный 9 12 2 3 3" xfId="48936"/>
    <cellStyle name="Обычный 9 12 2 3 3 2" xfId="48937"/>
    <cellStyle name="Обычный 9 12 2 3 3 3" xfId="48938"/>
    <cellStyle name="Обычный 9 12 2 3 4" xfId="48939"/>
    <cellStyle name="Обычный 9 12 2 3 4 2" xfId="48940"/>
    <cellStyle name="Обычный 9 12 2 3 4 3" xfId="48941"/>
    <cellStyle name="Обычный 9 12 2 3 5" xfId="48942"/>
    <cellStyle name="Обычный 9 12 2 3 5 2" xfId="48943"/>
    <cellStyle name="Обычный 9 12 2 3 6" xfId="48944"/>
    <cellStyle name="Обычный 9 12 2 3 7" xfId="48945"/>
    <cellStyle name="Обычный 9 12 2 4" xfId="48946"/>
    <cellStyle name="Обычный 9 12 2 4 2" xfId="48947"/>
    <cellStyle name="Обычный 9 12 2 4 2 2" xfId="48948"/>
    <cellStyle name="Обычный 9 12 2 4 2 3" xfId="48949"/>
    <cellStyle name="Обычный 9 12 2 4 3" xfId="48950"/>
    <cellStyle name="Обычный 9 12 2 4 3 2" xfId="48951"/>
    <cellStyle name="Обычный 9 12 2 4 3 3" xfId="48952"/>
    <cellStyle name="Обычный 9 12 2 4 4" xfId="48953"/>
    <cellStyle name="Обычный 9 12 2 4 4 2" xfId="48954"/>
    <cellStyle name="Обычный 9 12 2 4 5" xfId="48955"/>
    <cellStyle name="Обычный 9 12 2 4 6" xfId="48956"/>
    <cellStyle name="Обычный 9 12 2 5" xfId="48957"/>
    <cellStyle name="Обычный 9 12 2 5 2" xfId="48958"/>
    <cellStyle name="Обычный 9 12 2 5 3" xfId="48959"/>
    <cellStyle name="Обычный 9 12 2 6" xfId="48960"/>
    <cellStyle name="Обычный 9 12 2 6 2" xfId="48961"/>
    <cellStyle name="Обычный 9 12 2 6 3" xfId="48962"/>
    <cellStyle name="Обычный 9 12 2 7" xfId="48963"/>
    <cellStyle name="Обычный 9 12 2 7 2" xfId="48964"/>
    <cellStyle name="Обычный 9 12 2 8" xfId="48965"/>
    <cellStyle name="Обычный 9 12 2 9" xfId="48966"/>
    <cellStyle name="Обычный 9 12 3" xfId="48967"/>
    <cellStyle name="Обычный 9 12 3 2" xfId="48968"/>
    <cellStyle name="Обычный 9 12 3 2 2" xfId="48969"/>
    <cellStyle name="Обычный 9 12 3 2 2 2" xfId="48970"/>
    <cellStyle name="Обычный 9 12 3 2 2 2 2" xfId="48971"/>
    <cellStyle name="Обычный 9 12 3 2 2 2 3" xfId="48972"/>
    <cellStyle name="Обычный 9 12 3 2 2 3" xfId="48973"/>
    <cellStyle name="Обычный 9 12 3 2 2 3 2" xfId="48974"/>
    <cellStyle name="Обычный 9 12 3 2 2 3 3" xfId="48975"/>
    <cellStyle name="Обычный 9 12 3 2 2 4" xfId="48976"/>
    <cellStyle name="Обычный 9 12 3 2 2 4 2" xfId="48977"/>
    <cellStyle name="Обычный 9 12 3 2 2 5" xfId="48978"/>
    <cellStyle name="Обычный 9 12 3 2 2 6" xfId="48979"/>
    <cellStyle name="Обычный 9 12 3 2 3" xfId="48980"/>
    <cellStyle name="Обычный 9 12 3 2 3 2" xfId="48981"/>
    <cellStyle name="Обычный 9 12 3 2 3 3" xfId="48982"/>
    <cellStyle name="Обычный 9 12 3 2 4" xfId="48983"/>
    <cellStyle name="Обычный 9 12 3 2 4 2" xfId="48984"/>
    <cellStyle name="Обычный 9 12 3 2 4 3" xfId="48985"/>
    <cellStyle name="Обычный 9 12 3 2 5" xfId="48986"/>
    <cellStyle name="Обычный 9 12 3 2 5 2" xfId="48987"/>
    <cellStyle name="Обычный 9 12 3 2 6" xfId="48988"/>
    <cellStyle name="Обычный 9 12 3 2 7" xfId="48989"/>
    <cellStyle name="Обычный 9 12 3 3" xfId="48990"/>
    <cellStyle name="Обычный 9 12 3 3 2" xfId="48991"/>
    <cellStyle name="Обычный 9 12 3 3 2 2" xfId="48992"/>
    <cellStyle name="Обычный 9 12 3 3 2 3" xfId="48993"/>
    <cellStyle name="Обычный 9 12 3 3 3" xfId="48994"/>
    <cellStyle name="Обычный 9 12 3 3 3 2" xfId="48995"/>
    <cellStyle name="Обычный 9 12 3 3 3 3" xfId="48996"/>
    <cellStyle name="Обычный 9 12 3 3 4" xfId="48997"/>
    <cellStyle name="Обычный 9 12 3 3 4 2" xfId="48998"/>
    <cellStyle name="Обычный 9 12 3 3 5" xfId="48999"/>
    <cellStyle name="Обычный 9 12 3 3 6" xfId="49000"/>
    <cellStyle name="Обычный 9 12 3 4" xfId="49001"/>
    <cellStyle name="Обычный 9 12 3 4 2" xfId="49002"/>
    <cellStyle name="Обычный 9 12 3 4 3" xfId="49003"/>
    <cellStyle name="Обычный 9 12 3 5" xfId="49004"/>
    <cellStyle name="Обычный 9 12 3 5 2" xfId="49005"/>
    <cellStyle name="Обычный 9 12 3 5 3" xfId="49006"/>
    <cellStyle name="Обычный 9 12 3 6" xfId="49007"/>
    <cellStyle name="Обычный 9 12 3 6 2" xfId="49008"/>
    <cellStyle name="Обычный 9 12 3 7" xfId="49009"/>
    <cellStyle name="Обычный 9 12 3 8" xfId="49010"/>
    <cellStyle name="Обычный 9 12 4" xfId="49011"/>
    <cellStyle name="Обычный 9 12 4 2" xfId="49012"/>
    <cellStyle name="Обычный 9 12 4 2 2" xfId="49013"/>
    <cellStyle name="Обычный 9 12 4 2 2 2" xfId="49014"/>
    <cellStyle name="Обычный 9 12 4 2 2 3" xfId="49015"/>
    <cellStyle name="Обычный 9 12 4 2 3" xfId="49016"/>
    <cellStyle name="Обычный 9 12 4 2 3 2" xfId="49017"/>
    <cellStyle name="Обычный 9 12 4 2 3 3" xfId="49018"/>
    <cellStyle name="Обычный 9 12 4 2 4" xfId="49019"/>
    <cellStyle name="Обычный 9 12 4 2 4 2" xfId="49020"/>
    <cellStyle name="Обычный 9 12 4 2 5" xfId="49021"/>
    <cellStyle name="Обычный 9 12 4 2 6" xfId="49022"/>
    <cellStyle name="Обычный 9 12 4 3" xfId="49023"/>
    <cellStyle name="Обычный 9 12 4 3 2" xfId="49024"/>
    <cellStyle name="Обычный 9 12 4 3 3" xfId="49025"/>
    <cellStyle name="Обычный 9 12 4 4" xfId="49026"/>
    <cellStyle name="Обычный 9 12 4 4 2" xfId="49027"/>
    <cellStyle name="Обычный 9 12 4 4 3" xfId="49028"/>
    <cellStyle name="Обычный 9 12 4 5" xfId="49029"/>
    <cellStyle name="Обычный 9 12 4 5 2" xfId="49030"/>
    <cellStyle name="Обычный 9 12 4 6" xfId="49031"/>
    <cellStyle name="Обычный 9 12 4 7" xfId="49032"/>
    <cellStyle name="Обычный 9 12 5" xfId="49033"/>
    <cellStyle name="Обычный 9 12 5 2" xfId="49034"/>
    <cellStyle name="Обычный 9 12 5 2 2" xfId="49035"/>
    <cellStyle name="Обычный 9 12 5 2 3" xfId="49036"/>
    <cellStyle name="Обычный 9 12 5 3" xfId="49037"/>
    <cellStyle name="Обычный 9 12 5 3 2" xfId="49038"/>
    <cellStyle name="Обычный 9 12 5 3 3" xfId="49039"/>
    <cellStyle name="Обычный 9 12 5 4" xfId="49040"/>
    <cellStyle name="Обычный 9 12 5 4 2" xfId="49041"/>
    <cellStyle name="Обычный 9 12 5 5" xfId="49042"/>
    <cellStyle name="Обычный 9 12 5 6" xfId="49043"/>
    <cellStyle name="Обычный 9 12 6" xfId="49044"/>
    <cellStyle name="Обычный 9 12 6 2" xfId="49045"/>
    <cellStyle name="Обычный 9 12 6 3" xfId="49046"/>
    <cellStyle name="Обычный 9 12 7" xfId="49047"/>
    <cellStyle name="Обычный 9 12 7 2" xfId="49048"/>
    <cellStyle name="Обычный 9 12 7 3" xfId="49049"/>
    <cellStyle name="Обычный 9 12 8" xfId="49050"/>
    <cellStyle name="Обычный 9 12 8 2" xfId="49051"/>
    <cellStyle name="Обычный 9 12 9" xfId="49052"/>
    <cellStyle name="Обычный 9 13" xfId="49053"/>
    <cellStyle name="Обычный 9 13 2" xfId="49054"/>
    <cellStyle name="Обычный 9 13 2 2" xfId="49055"/>
    <cellStyle name="Обычный 9 13 2 2 2" xfId="49056"/>
    <cellStyle name="Обычный 9 13 2 2 2 2" xfId="49057"/>
    <cellStyle name="Обычный 9 13 2 2 2 2 2" xfId="49058"/>
    <cellStyle name="Обычный 9 13 2 2 2 2 3" xfId="49059"/>
    <cellStyle name="Обычный 9 13 2 2 2 3" xfId="49060"/>
    <cellStyle name="Обычный 9 13 2 2 2 3 2" xfId="49061"/>
    <cellStyle name="Обычный 9 13 2 2 2 3 3" xfId="49062"/>
    <cellStyle name="Обычный 9 13 2 2 2 4" xfId="49063"/>
    <cellStyle name="Обычный 9 13 2 2 2 4 2" xfId="49064"/>
    <cellStyle name="Обычный 9 13 2 2 2 5" xfId="49065"/>
    <cellStyle name="Обычный 9 13 2 2 2 6" xfId="49066"/>
    <cellStyle name="Обычный 9 13 2 2 3" xfId="49067"/>
    <cellStyle name="Обычный 9 13 2 2 3 2" xfId="49068"/>
    <cellStyle name="Обычный 9 13 2 2 3 3" xfId="49069"/>
    <cellStyle name="Обычный 9 13 2 2 4" xfId="49070"/>
    <cellStyle name="Обычный 9 13 2 2 4 2" xfId="49071"/>
    <cellStyle name="Обычный 9 13 2 2 4 3" xfId="49072"/>
    <cellStyle name="Обычный 9 13 2 2 5" xfId="49073"/>
    <cellStyle name="Обычный 9 13 2 2 5 2" xfId="49074"/>
    <cellStyle name="Обычный 9 13 2 2 6" xfId="49075"/>
    <cellStyle name="Обычный 9 13 2 2 7" xfId="49076"/>
    <cellStyle name="Обычный 9 13 2 3" xfId="49077"/>
    <cellStyle name="Обычный 9 13 2 3 2" xfId="49078"/>
    <cellStyle name="Обычный 9 13 2 3 2 2" xfId="49079"/>
    <cellStyle name="Обычный 9 13 2 3 2 3" xfId="49080"/>
    <cellStyle name="Обычный 9 13 2 3 3" xfId="49081"/>
    <cellStyle name="Обычный 9 13 2 3 3 2" xfId="49082"/>
    <cellStyle name="Обычный 9 13 2 3 3 3" xfId="49083"/>
    <cellStyle name="Обычный 9 13 2 3 4" xfId="49084"/>
    <cellStyle name="Обычный 9 13 2 3 4 2" xfId="49085"/>
    <cellStyle name="Обычный 9 13 2 3 5" xfId="49086"/>
    <cellStyle name="Обычный 9 13 2 3 6" xfId="49087"/>
    <cellStyle name="Обычный 9 13 2 4" xfId="49088"/>
    <cellStyle name="Обычный 9 13 2 4 2" xfId="49089"/>
    <cellStyle name="Обычный 9 13 2 4 3" xfId="49090"/>
    <cellStyle name="Обычный 9 13 2 5" xfId="49091"/>
    <cellStyle name="Обычный 9 13 2 5 2" xfId="49092"/>
    <cellStyle name="Обычный 9 13 2 5 3" xfId="49093"/>
    <cellStyle name="Обычный 9 13 2 6" xfId="49094"/>
    <cellStyle name="Обычный 9 13 2 6 2" xfId="49095"/>
    <cellStyle name="Обычный 9 13 2 7" xfId="49096"/>
    <cellStyle name="Обычный 9 13 2 8" xfId="49097"/>
    <cellStyle name="Обычный 9 13 3" xfId="49098"/>
    <cellStyle name="Обычный 9 13 3 2" xfId="49099"/>
    <cellStyle name="Обычный 9 13 3 2 2" xfId="49100"/>
    <cellStyle name="Обычный 9 13 3 2 2 2" xfId="49101"/>
    <cellStyle name="Обычный 9 13 3 2 2 3" xfId="49102"/>
    <cellStyle name="Обычный 9 13 3 2 3" xfId="49103"/>
    <cellStyle name="Обычный 9 13 3 2 3 2" xfId="49104"/>
    <cellStyle name="Обычный 9 13 3 2 3 3" xfId="49105"/>
    <cellStyle name="Обычный 9 13 3 2 4" xfId="49106"/>
    <cellStyle name="Обычный 9 13 3 2 4 2" xfId="49107"/>
    <cellStyle name="Обычный 9 13 3 2 5" xfId="49108"/>
    <cellStyle name="Обычный 9 13 3 2 6" xfId="49109"/>
    <cellStyle name="Обычный 9 13 3 3" xfId="49110"/>
    <cellStyle name="Обычный 9 13 3 3 2" xfId="49111"/>
    <cellStyle name="Обычный 9 13 3 3 3" xfId="49112"/>
    <cellStyle name="Обычный 9 13 3 4" xfId="49113"/>
    <cellStyle name="Обычный 9 13 3 4 2" xfId="49114"/>
    <cellStyle name="Обычный 9 13 3 4 3" xfId="49115"/>
    <cellStyle name="Обычный 9 13 3 5" xfId="49116"/>
    <cellStyle name="Обычный 9 13 3 5 2" xfId="49117"/>
    <cellStyle name="Обычный 9 13 3 6" xfId="49118"/>
    <cellStyle name="Обычный 9 13 3 7" xfId="49119"/>
    <cellStyle name="Обычный 9 13 4" xfId="49120"/>
    <cellStyle name="Обычный 9 13 4 2" xfId="49121"/>
    <cellStyle name="Обычный 9 13 4 2 2" xfId="49122"/>
    <cellStyle name="Обычный 9 13 4 2 3" xfId="49123"/>
    <cellStyle name="Обычный 9 13 4 3" xfId="49124"/>
    <cellStyle name="Обычный 9 13 4 3 2" xfId="49125"/>
    <cellStyle name="Обычный 9 13 4 3 3" xfId="49126"/>
    <cellStyle name="Обычный 9 13 4 4" xfId="49127"/>
    <cellStyle name="Обычный 9 13 4 4 2" xfId="49128"/>
    <cellStyle name="Обычный 9 13 4 5" xfId="49129"/>
    <cellStyle name="Обычный 9 13 4 6" xfId="49130"/>
    <cellStyle name="Обычный 9 13 5" xfId="49131"/>
    <cellStyle name="Обычный 9 13 5 2" xfId="49132"/>
    <cellStyle name="Обычный 9 13 5 3" xfId="49133"/>
    <cellStyle name="Обычный 9 13 6" xfId="49134"/>
    <cellStyle name="Обычный 9 13 6 2" xfId="49135"/>
    <cellStyle name="Обычный 9 13 6 3" xfId="49136"/>
    <cellStyle name="Обычный 9 13 7" xfId="49137"/>
    <cellStyle name="Обычный 9 13 7 2" xfId="49138"/>
    <cellStyle name="Обычный 9 13 8" xfId="49139"/>
    <cellStyle name="Обычный 9 13 9" xfId="49140"/>
    <cellStyle name="Обычный 9 14" xfId="49141"/>
    <cellStyle name="Обычный 9 14 2" xfId="49142"/>
    <cellStyle name="Обычный 9 14 2 2" xfId="49143"/>
    <cellStyle name="Обычный 9 14 2 2 2" xfId="49144"/>
    <cellStyle name="Обычный 9 14 2 2 2 2" xfId="49145"/>
    <cellStyle name="Обычный 9 14 2 2 2 3" xfId="49146"/>
    <cellStyle name="Обычный 9 14 2 2 3" xfId="49147"/>
    <cellStyle name="Обычный 9 14 2 2 3 2" xfId="49148"/>
    <cellStyle name="Обычный 9 14 2 2 3 3" xfId="49149"/>
    <cellStyle name="Обычный 9 14 2 2 4" xfId="49150"/>
    <cellStyle name="Обычный 9 14 2 2 4 2" xfId="49151"/>
    <cellStyle name="Обычный 9 14 2 2 5" xfId="49152"/>
    <cellStyle name="Обычный 9 14 2 2 6" xfId="49153"/>
    <cellStyle name="Обычный 9 14 2 3" xfId="49154"/>
    <cellStyle name="Обычный 9 14 2 3 2" xfId="49155"/>
    <cellStyle name="Обычный 9 14 2 3 3" xfId="49156"/>
    <cellStyle name="Обычный 9 14 2 4" xfId="49157"/>
    <cellStyle name="Обычный 9 14 2 4 2" xfId="49158"/>
    <cellStyle name="Обычный 9 14 2 4 3" xfId="49159"/>
    <cellStyle name="Обычный 9 14 2 5" xfId="49160"/>
    <cellStyle name="Обычный 9 14 2 5 2" xfId="49161"/>
    <cellStyle name="Обычный 9 14 2 6" xfId="49162"/>
    <cellStyle name="Обычный 9 14 2 7" xfId="49163"/>
    <cellStyle name="Обычный 9 14 3" xfId="49164"/>
    <cellStyle name="Обычный 9 14 3 2" xfId="49165"/>
    <cellStyle name="Обычный 9 14 3 2 2" xfId="49166"/>
    <cellStyle name="Обычный 9 14 3 2 3" xfId="49167"/>
    <cellStyle name="Обычный 9 14 3 3" xfId="49168"/>
    <cellStyle name="Обычный 9 14 3 3 2" xfId="49169"/>
    <cellStyle name="Обычный 9 14 3 3 3" xfId="49170"/>
    <cellStyle name="Обычный 9 14 3 4" xfId="49171"/>
    <cellStyle name="Обычный 9 14 3 4 2" xfId="49172"/>
    <cellStyle name="Обычный 9 14 3 5" xfId="49173"/>
    <cellStyle name="Обычный 9 14 3 6" xfId="49174"/>
    <cellStyle name="Обычный 9 14 4" xfId="49175"/>
    <cellStyle name="Обычный 9 14 4 2" xfId="49176"/>
    <cellStyle name="Обычный 9 14 4 3" xfId="49177"/>
    <cellStyle name="Обычный 9 14 5" xfId="49178"/>
    <cellStyle name="Обычный 9 14 5 2" xfId="49179"/>
    <cellStyle name="Обычный 9 14 5 3" xfId="49180"/>
    <cellStyle name="Обычный 9 14 6" xfId="49181"/>
    <cellStyle name="Обычный 9 14 6 2" xfId="49182"/>
    <cellStyle name="Обычный 9 14 7" xfId="49183"/>
    <cellStyle name="Обычный 9 14 8" xfId="49184"/>
    <cellStyle name="Обычный 9 15" xfId="49185"/>
    <cellStyle name="Обычный 9 15 2" xfId="49186"/>
    <cellStyle name="Обычный 9 15 2 2" xfId="49187"/>
    <cellStyle name="Обычный 9 15 2 2 2" xfId="49188"/>
    <cellStyle name="Обычный 9 15 2 2 3" xfId="49189"/>
    <cellStyle name="Обычный 9 15 2 3" xfId="49190"/>
    <cellStyle name="Обычный 9 15 2 3 2" xfId="49191"/>
    <cellStyle name="Обычный 9 15 2 3 3" xfId="49192"/>
    <cellStyle name="Обычный 9 15 2 4" xfId="49193"/>
    <cellStyle name="Обычный 9 15 2 4 2" xfId="49194"/>
    <cellStyle name="Обычный 9 15 2 5" xfId="49195"/>
    <cellStyle name="Обычный 9 15 2 6" xfId="49196"/>
    <cellStyle name="Обычный 9 15 3" xfId="49197"/>
    <cellStyle name="Обычный 9 15 3 2" xfId="49198"/>
    <cellStyle name="Обычный 9 15 3 3" xfId="49199"/>
    <cellStyle name="Обычный 9 15 4" xfId="49200"/>
    <cellStyle name="Обычный 9 15 4 2" xfId="49201"/>
    <cellStyle name="Обычный 9 15 4 3" xfId="49202"/>
    <cellStyle name="Обычный 9 15 5" xfId="49203"/>
    <cellStyle name="Обычный 9 15 5 2" xfId="49204"/>
    <cellStyle name="Обычный 9 15 6" xfId="49205"/>
    <cellStyle name="Обычный 9 15 7" xfId="49206"/>
    <cellStyle name="Обычный 9 16" xfId="49207"/>
    <cellStyle name="Обычный 9 16 2" xfId="49208"/>
    <cellStyle name="Обычный 9 16 2 2" xfId="49209"/>
    <cellStyle name="Обычный 9 16 2 3" xfId="49210"/>
    <cellStyle name="Обычный 9 16 3" xfId="49211"/>
    <cellStyle name="Обычный 9 16 3 2" xfId="49212"/>
    <cellStyle name="Обычный 9 16 3 3" xfId="49213"/>
    <cellStyle name="Обычный 9 16 4" xfId="49214"/>
    <cellStyle name="Обычный 9 16 4 2" xfId="49215"/>
    <cellStyle name="Обычный 9 16 5" xfId="49216"/>
    <cellStyle name="Обычный 9 16 6" xfId="49217"/>
    <cellStyle name="Обычный 9 17" xfId="49218"/>
    <cellStyle name="Обычный 9 17 2" xfId="49219"/>
    <cellStyle name="Обычный 9 17 3" xfId="49220"/>
    <cellStyle name="Обычный 9 18" xfId="49221"/>
    <cellStyle name="Обычный 9 18 2" xfId="49222"/>
    <cellStyle name="Обычный 9 18 3" xfId="49223"/>
    <cellStyle name="Обычный 9 19" xfId="49224"/>
    <cellStyle name="Обычный 9 19 2" xfId="49225"/>
    <cellStyle name="Обычный 9 2" xfId="49226"/>
    <cellStyle name="Обычный 9 2 10" xfId="49227"/>
    <cellStyle name="Обычный 9 2 10 2" xfId="49228"/>
    <cellStyle name="Обычный 9 2 10 3" xfId="49229"/>
    <cellStyle name="Обычный 9 2 11" xfId="49230"/>
    <cellStyle name="Обычный 9 2 11 2" xfId="49231"/>
    <cellStyle name="Обычный 9 2 11 3" xfId="49232"/>
    <cellStyle name="Обычный 9 2 12" xfId="49233"/>
    <cellStyle name="Обычный 9 2 12 2" xfId="49234"/>
    <cellStyle name="Обычный 9 2 13" xfId="49235"/>
    <cellStyle name="Обычный 9 2 14" xfId="49236"/>
    <cellStyle name="Обычный 9 2 2" xfId="49237"/>
    <cellStyle name="Обычный 9 2 2 10" xfId="49238"/>
    <cellStyle name="Обычный 9 2 2 10 2" xfId="49239"/>
    <cellStyle name="Обычный 9 2 2 10 3" xfId="49240"/>
    <cellStyle name="Обычный 9 2 2 11" xfId="49241"/>
    <cellStyle name="Обычный 9 2 2 11 2" xfId="49242"/>
    <cellStyle name="Обычный 9 2 2 12" xfId="49243"/>
    <cellStyle name="Обычный 9 2 2 13" xfId="49244"/>
    <cellStyle name="Обычный 9 2 2 2" xfId="49245"/>
    <cellStyle name="Обычный 9 2 2 2 10" xfId="49246"/>
    <cellStyle name="Обычный 9 2 2 2 2" xfId="49247"/>
    <cellStyle name="Обычный 9 2 2 2 2 2" xfId="49248"/>
    <cellStyle name="Обычный 9 2 2 2 2 2 2" xfId="49249"/>
    <cellStyle name="Обычный 9 2 2 2 2 2 2 2" xfId="49250"/>
    <cellStyle name="Обычный 9 2 2 2 2 2 2 2 2" xfId="49251"/>
    <cellStyle name="Обычный 9 2 2 2 2 2 2 2 2 2" xfId="49252"/>
    <cellStyle name="Обычный 9 2 2 2 2 2 2 2 2 3" xfId="49253"/>
    <cellStyle name="Обычный 9 2 2 2 2 2 2 2 3" xfId="49254"/>
    <cellStyle name="Обычный 9 2 2 2 2 2 2 2 3 2" xfId="49255"/>
    <cellStyle name="Обычный 9 2 2 2 2 2 2 2 3 3" xfId="49256"/>
    <cellStyle name="Обычный 9 2 2 2 2 2 2 2 4" xfId="49257"/>
    <cellStyle name="Обычный 9 2 2 2 2 2 2 2 4 2" xfId="49258"/>
    <cellStyle name="Обычный 9 2 2 2 2 2 2 2 5" xfId="49259"/>
    <cellStyle name="Обычный 9 2 2 2 2 2 2 2 6" xfId="49260"/>
    <cellStyle name="Обычный 9 2 2 2 2 2 2 3" xfId="49261"/>
    <cellStyle name="Обычный 9 2 2 2 2 2 2 3 2" xfId="49262"/>
    <cellStyle name="Обычный 9 2 2 2 2 2 2 3 3" xfId="49263"/>
    <cellStyle name="Обычный 9 2 2 2 2 2 2 4" xfId="49264"/>
    <cellStyle name="Обычный 9 2 2 2 2 2 2 4 2" xfId="49265"/>
    <cellStyle name="Обычный 9 2 2 2 2 2 2 4 3" xfId="49266"/>
    <cellStyle name="Обычный 9 2 2 2 2 2 2 5" xfId="49267"/>
    <cellStyle name="Обычный 9 2 2 2 2 2 2 5 2" xfId="49268"/>
    <cellStyle name="Обычный 9 2 2 2 2 2 2 6" xfId="49269"/>
    <cellStyle name="Обычный 9 2 2 2 2 2 2 7" xfId="49270"/>
    <cellStyle name="Обычный 9 2 2 2 2 2 3" xfId="49271"/>
    <cellStyle name="Обычный 9 2 2 2 2 2 3 2" xfId="49272"/>
    <cellStyle name="Обычный 9 2 2 2 2 2 3 2 2" xfId="49273"/>
    <cellStyle name="Обычный 9 2 2 2 2 2 3 2 3" xfId="49274"/>
    <cellStyle name="Обычный 9 2 2 2 2 2 3 3" xfId="49275"/>
    <cellStyle name="Обычный 9 2 2 2 2 2 3 3 2" xfId="49276"/>
    <cellStyle name="Обычный 9 2 2 2 2 2 3 3 3" xfId="49277"/>
    <cellStyle name="Обычный 9 2 2 2 2 2 3 4" xfId="49278"/>
    <cellStyle name="Обычный 9 2 2 2 2 2 3 4 2" xfId="49279"/>
    <cellStyle name="Обычный 9 2 2 2 2 2 3 5" xfId="49280"/>
    <cellStyle name="Обычный 9 2 2 2 2 2 3 6" xfId="49281"/>
    <cellStyle name="Обычный 9 2 2 2 2 2 4" xfId="49282"/>
    <cellStyle name="Обычный 9 2 2 2 2 2 4 2" xfId="49283"/>
    <cellStyle name="Обычный 9 2 2 2 2 2 4 3" xfId="49284"/>
    <cellStyle name="Обычный 9 2 2 2 2 2 5" xfId="49285"/>
    <cellStyle name="Обычный 9 2 2 2 2 2 5 2" xfId="49286"/>
    <cellStyle name="Обычный 9 2 2 2 2 2 5 3" xfId="49287"/>
    <cellStyle name="Обычный 9 2 2 2 2 2 6" xfId="49288"/>
    <cellStyle name="Обычный 9 2 2 2 2 2 6 2" xfId="49289"/>
    <cellStyle name="Обычный 9 2 2 2 2 2 7" xfId="49290"/>
    <cellStyle name="Обычный 9 2 2 2 2 2 8" xfId="49291"/>
    <cellStyle name="Обычный 9 2 2 2 2 3" xfId="49292"/>
    <cellStyle name="Обычный 9 2 2 2 2 3 2" xfId="49293"/>
    <cellStyle name="Обычный 9 2 2 2 2 3 2 2" xfId="49294"/>
    <cellStyle name="Обычный 9 2 2 2 2 3 2 2 2" xfId="49295"/>
    <cellStyle name="Обычный 9 2 2 2 2 3 2 2 3" xfId="49296"/>
    <cellStyle name="Обычный 9 2 2 2 2 3 2 3" xfId="49297"/>
    <cellStyle name="Обычный 9 2 2 2 2 3 2 3 2" xfId="49298"/>
    <cellStyle name="Обычный 9 2 2 2 2 3 2 3 3" xfId="49299"/>
    <cellStyle name="Обычный 9 2 2 2 2 3 2 4" xfId="49300"/>
    <cellStyle name="Обычный 9 2 2 2 2 3 2 4 2" xfId="49301"/>
    <cellStyle name="Обычный 9 2 2 2 2 3 2 5" xfId="49302"/>
    <cellStyle name="Обычный 9 2 2 2 2 3 2 6" xfId="49303"/>
    <cellStyle name="Обычный 9 2 2 2 2 3 3" xfId="49304"/>
    <cellStyle name="Обычный 9 2 2 2 2 3 3 2" xfId="49305"/>
    <cellStyle name="Обычный 9 2 2 2 2 3 3 3" xfId="49306"/>
    <cellStyle name="Обычный 9 2 2 2 2 3 4" xfId="49307"/>
    <cellStyle name="Обычный 9 2 2 2 2 3 4 2" xfId="49308"/>
    <cellStyle name="Обычный 9 2 2 2 2 3 4 3" xfId="49309"/>
    <cellStyle name="Обычный 9 2 2 2 2 3 5" xfId="49310"/>
    <cellStyle name="Обычный 9 2 2 2 2 3 5 2" xfId="49311"/>
    <cellStyle name="Обычный 9 2 2 2 2 3 6" xfId="49312"/>
    <cellStyle name="Обычный 9 2 2 2 2 3 7" xfId="49313"/>
    <cellStyle name="Обычный 9 2 2 2 2 4" xfId="49314"/>
    <cellStyle name="Обычный 9 2 2 2 2 4 2" xfId="49315"/>
    <cellStyle name="Обычный 9 2 2 2 2 4 2 2" xfId="49316"/>
    <cellStyle name="Обычный 9 2 2 2 2 4 2 3" xfId="49317"/>
    <cellStyle name="Обычный 9 2 2 2 2 4 3" xfId="49318"/>
    <cellStyle name="Обычный 9 2 2 2 2 4 3 2" xfId="49319"/>
    <cellStyle name="Обычный 9 2 2 2 2 4 3 3" xfId="49320"/>
    <cellStyle name="Обычный 9 2 2 2 2 4 4" xfId="49321"/>
    <cellStyle name="Обычный 9 2 2 2 2 4 4 2" xfId="49322"/>
    <cellStyle name="Обычный 9 2 2 2 2 4 5" xfId="49323"/>
    <cellStyle name="Обычный 9 2 2 2 2 4 6" xfId="49324"/>
    <cellStyle name="Обычный 9 2 2 2 2 5" xfId="49325"/>
    <cellStyle name="Обычный 9 2 2 2 2 5 2" xfId="49326"/>
    <cellStyle name="Обычный 9 2 2 2 2 5 3" xfId="49327"/>
    <cellStyle name="Обычный 9 2 2 2 2 6" xfId="49328"/>
    <cellStyle name="Обычный 9 2 2 2 2 6 2" xfId="49329"/>
    <cellStyle name="Обычный 9 2 2 2 2 6 3" xfId="49330"/>
    <cellStyle name="Обычный 9 2 2 2 2 7" xfId="49331"/>
    <cellStyle name="Обычный 9 2 2 2 2 7 2" xfId="49332"/>
    <cellStyle name="Обычный 9 2 2 2 2 8" xfId="49333"/>
    <cellStyle name="Обычный 9 2 2 2 2 9" xfId="49334"/>
    <cellStyle name="Обычный 9 2 2 2 3" xfId="49335"/>
    <cellStyle name="Обычный 9 2 2 2 3 2" xfId="49336"/>
    <cellStyle name="Обычный 9 2 2 2 3 2 2" xfId="49337"/>
    <cellStyle name="Обычный 9 2 2 2 3 2 2 2" xfId="49338"/>
    <cellStyle name="Обычный 9 2 2 2 3 2 2 2 2" xfId="49339"/>
    <cellStyle name="Обычный 9 2 2 2 3 2 2 2 3" xfId="49340"/>
    <cellStyle name="Обычный 9 2 2 2 3 2 2 3" xfId="49341"/>
    <cellStyle name="Обычный 9 2 2 2 3 2 2 3 2" xfId="49342"/>
    <cellStyle name="Обычный 9 2 2 2 3 2 2 3 3" xfId="49343"/>
    <cellStyle name="Обычный 9 2 2 2 3 2 2 4" xfId="49344"/>
    <cellStyle name="Обычный 9 2 2 2 3 2 2 4 2" xfId="49345"/>
    <cellStyle name="Обычный 9 2 2 2 3 2 2 5" xfId="49346"/>
    <cellStyle name="Обычный 9 2 2 2 3 2 2 6" xfId="49347"/>
    <cellStyle name="Обычный 9 2 2 2 3 2 3" xfId="49348"/>
    <cellStyle name="Обычный 9 2 2 2 3 2 3 2" xfId="49349"/>
    <cellStyle name="Обычный 9 2 2 2 3 2 3 3" xfId="49350"/>
    <cellStyle name="Обычный 9 2 2 2 3 2 4" xfId="49351"/>
    <cellStyle name="Обычный 9 2 2 2 3 2 4 2" xfId="49352"/>
    <cellStyle name="Обычный 9 2 2 2 3 2 4 3" xfId="49353"/>
    <cellStyle name="Обычный 9 2 2 2 3 2 5" xfId="49354"/>
    <cellStyle name="Обычный 9 2 2 2 3 2 5 2" xfId="49355"/>
    <cellStyle name="Обычный 9 2 2 2 3 2 6" xfId="49356"/>
    <cellStyle name="Обычный 9 2 2 2 3 2 7" xfId="49357"/>
    <cellStyle name="Обычный 9 2 2 2 3 3" xfId="49358"/>
    <cellStyle name="Обычный 9 2 2 2 3 3 2" xfId="49359"/>
    <cellStyle name="Обычный 9 2 2 2 3 3 2 2" xfId="49360"/>
    <cellStyle name="Обычный 9 2 2 2 3 3 2 3" xfId="49361"/>
    <cellStyle name="Обычный 9 2 2 2 3 3 3" xfId="49362"/>
    <cellStyle name="Обычный 9 2 2 2 3 3 3 2" xfId="49363"/>
    <cellStyle name="Обычный 9 2 2 2 3 3 3 3" xfId="49364"/>
    <cellStyle name="Обычный 9 2 2 2 3 3 4" xfId="49365"/>
    <cellStyle name="Обычный 9 2 2 2 3 3 4 2" xfId="49366"/>
    <cellStyle name="Обычный 9 2 2 2 3 3 5" xfId="49367"/>
    <cellStyle name="Обычный 9 2 2 2 3 3 6" xfId="49368"/>
    <cellStyle name="Обычный 9 2 2 2 3 4" xfId="49369"/>
    <cellStyle name="Обычный 9 2 2 2 3 4 2" xfId="49370"/>
    <cellStyle name="Обычный 9 2 2 2 3 4 3" xfId="49371"/>
    <cellStyle name="Обычный 9 2 2 2 3 5" xfId="49372"/>
    <cellStyle name="Обычный 9 2 2 2 3 5 2" xfId="49373"/>
    <cellStyle name="Обычный 9 2 2 2 3 5 3" xfId="49374"/>
    <cellStyle name="Обычный 9 2 2 2 3 6" xfId="49375"/>
    <cellStyle name="Обычный 9 2 2 2 3 6 2" xfId="49376"/>
    <cellStyle name="Обычный 9 2 2 2 3 7" xfId="49377"/>
    <cellStyle name="Обычный 9 2 2 2 3 8" xfId="49378"/>
    <cellStyle name="Обычный 9 2 2 2 4" xfId="49379"/>
    <cellStyle name="Обычный 9 2 2 2 4 2" xfId="49380"/>
    <cellStyle name="Обычный 9 2 2 2 4 2 2" xfId="49381"/>
    <cellStyle name="Обычный 9 2 2 2 4 2 2 2" xfId="49382"/>
    <cellStyle name="Обычный 9 2 2 2 4 2 2 3" xfId="49383"/>
    <cellStyle name="Обычный 9 2 2 2 4 2 3" xfId="49384"/>
    <cellStyle name="Обычный 9 2 2 2 4 2 3 2" xfId="49385"/>
    <cellStyle name="Обычный 9 2 2 2 4 2 3 3" xfId="49386"/>
    <cellStyle name="Обычный 9 2 2 2 4 2 4" xfId="49387"/>
    <cellStyle name="Обычный 9 2 2 2 4 2 4 2" xfId="49388"/>
    <cellStyle name="Обычный 9 2 2 2 4 2 5" xfId="49389"/>
    <cellStyle name="Обычный 9 2 2 2 4 2 6" xfId="49390"/>
    <cellStyle name="Обычный 9 2 2 2 4 3" xfId="49391"/>
    <cellStyle name="Обычный 9 2 2 2 4 3 2" xfId="49392"/>
    <cellStyle name="Обычный 9 2 2 2 4 3 3" xfId="49393"/>
    <cellStyle name="Обычный 9 2 2 2 4 4" xfId="49394"/>
    <cellStyle name="Обычный 9 2 2 2 4 4 2" xfId="49395"/>
    <cellStyle name="Обычный 9 2 2 2 4 4 3" xfId="49396"/>
    <cellStyle name="Обычный 9 2 2 2 4 5" xfId="49397"/>
    <cellStyle name="Обычный 9 2 2 2 4 5 2" xfId="49398"/>
    <cellStyle name="Обычный 9 2 2 2 4 6" xfId="49399"/>
    <cellStyle name="Обычный 9 2 2 2 4 7" xfId="49400"/>
    <cellStyle name="Обычный 9 2 2 2 5" xfId="49401"/>
    <cellStyle name="Обычный 9 2 2 2 5 2" xfId="49402"/>
    <cellStyle name="Обычный 9 2 2 2 5 2 2" xfId="49403"/>
    <cellStyle name="Обычный 9 2 2 2 5 2 3" xfId="49404"/>
    <cellStyle name="Обычный 9 2 2 2 5 3" xfId="49405"/>
    <cellStyle name="Обычный 9 2 2 2 5 3 2" xfId="49406"/>
    <cellStyle name="Обычный 9 2 2 2 5 3 3" xfId="49407"/>
    <cellStyle name="Обычный 9 2 2 2 5 4" xfId="49408"/>
    <cellStyle name="Обычный 9 2 2 2 5 4 2" xfId="49409"/>
    <cellStyle name="Обычный 9 2 2 2 5 5" xfId="49410"/>
    <cellStyle name="Обычный 9 2 2 2 5 6" xfId="49411"/>
    <cellStyle name="Обычный 9 2 2 2 6" xfId="49412"/>
    <cellStyle name="Обычный 9 2 2 2 6 2" xfId="49413"/>
    <cellStyle name="Обычный 9 2 2 2 6 3" xfId="49414"/>
    <cellStyle name="Обычный 9 2 2 2 7" xfId="49415"/>
    <cellStyle name="Обычный 9 2 2 2 7 2" xfId="49416"/>
    <cellStyle name="Обычный 9 2 2 2 7 3" xfId="49417"/>
    <cellStyle name="Обычный 9 2 2 2 8" xfId="49418"/>
    <cellStyle name="Обычный 9 2 2 2 8 2" xfId="49419"/>
    <cellStyle name="Обычный 9 2 2 2 9" xfId="49420"/>
    <cellStyle name="Обычный 9 2 2 3" xfId="49421"/>
    <cellStyle name="Обычный 9 2 2 3 10" xfId="49422"/>
    <cellStyle name="Обычный 9 2 2 3 2" xfId="49423"/>
    <cellStyle name="Обычный 9 2 2 3 2 2" xfId="49424"/>
    <cellStyle name="Обычный 9 2 2 3 2 2 2" xfId="49425"/>
    <cellStyle name="Обычный 9 2 2 3 2 2 2 2" xfId="49426"/>
    <cellStyle name="Обычный 9 2 2 3 2 2 2 2 2" xfId="49427"/>
    <cellStyle name="Обычный 9 2 2 3 2 2 2 2 2 2" xfId="49428"/>
    <cellStyle name="Обычный 9 2 2 3 2 2 2 2 2 3" xfId="49429"/>
    <cellStyle name="Обычный 9 2 2 3 2 2 2 2 3" xfId="49430"/>
    <cellStyle name="Обычный 9 2 2 3 2 2 2 2 3 2" xfId="49431"/>
    <cellStyle name="Обычный 9 2 2 3 2 2 2 2 3 3" xfId="49432"/>
    <cellStyle name="Обычный 9 2 2 3 2 2 2 2 4" xfId="49433"/>
    <cellStyle name="Обычный 9 2 2 3 2 2 2 2 4 2" xfId="49434"/>
    <cellStyle name="Обычный 9 2 2 3 2 2 2 2 5" xfId="49435"/>
    <cellStyle name="Обычный 9 2 2 3 2 2 2 2 6" xfId="49436"/>
    <cellStyle name="Обычный 9 2 2 3 2 2 2 3" xfId="49437"/>
    <cellStyle name="Обычный 9 2 2 3 2 2 2 3 2" xfId="49438"/>
    <cellStyle name="Обычный 9 2 2 3 2 2 2 3 3" xfId="49439"/>
    <cellStyle name="Обычный 9 2 2 3 2 2 2 4" xfId="49440"/>
    <cellStyle name="Обычный 9 2 2 3 2 2 2 4 2" xfId="49441"/>
    <cellStyle name="Обычный 9 2 2 3 2 2 2 4 3" xfId="49442"/>
    <cellStyle name="Обычный 9 2 2 3 2 2 2 5" xfId="49443"/>
    <cellStyle name="Обычный 9 2 2 3 2 2 2 5 2" xfId="49444"/>
    <cellStyle name="Обычный 9 2 2 3 2 2 2 6" xfId="49445"/>
    <cellStyle name="Обычный 9 2 2 3 2 2 2 7" xfId="49446"/>
    <cellStyle name="Обычный 9 2 2 3 2 2 3" xfId="49447"/>
    <cellStyle name="Обычный 9 2 2 3 2 2 3 2" xfId="49448"/>
    <cellStyle name="Обычный 9 2 2 3 2 2 3 2 2" xfId="49449"/>
    <cellStyle name="Обычный 9 2 2 3 2 2 3 2 3" xfId="49450"/>
    <cellStyle name="Обычный 9 2 2 3 2 2 3 3" xfId="49451"/>
    <cellStyle name="Обычный 9 2 2 3 2 2 3 3 2" xfId="49452"/>
    <cellStyle name="Обычный 9 2 2 3 2 2 3 3 3" xfId="49453"/>
    <cellStyle name="Обычный 9 2 2 3 2 2 3 4" xfId="49454"/>
    <cellStyle name="Обычный 9 2 2 3 2 2 3 4 2" xfId="49455"/>
    <cellStyle name="Обычный 9 2 2 3 2 2 3 5" xfId="49456"/>
    <cellStyle name="Обычный 9 2 2 3 2 2 3 6" xfId="49457"/>
    <cellStyle name="Обычный 9 2 2 3 2 2 4" xfId="49458"/>
    <cellStyle name="Обычный 9 2 2 3 2 2 4 2" xfId="49459"/>
    <cellStyle name="Обычный 9 2 2 3 2 2 4 3" xfId="49460"/>
    <cellStyle name="Обычный 9 2 2 3 2 2 5" xfId="49461"/>
    <cellStyle name="Обычный 9 2 2 3 2 2 5 2" xfId="49462"/>
    <cellStyle name="Обычный 9 2 2 3 2 2 5 3" xfId="49463"/>
    <cellStyle name="Обычный 9 2 2 3 2 2 6" xfId="49464"/>
    <cellStyle name="Обычный 9 2 2 3 2 2 6 2" xfId="49465"/>
    <cellStyle name="Обычный 9 2 2 3 2 2 7" xfId="49466"/>
    <cellStyle name="Обычный 9 2 2 3 2 2 8" xfId="49467"/>
    <cellStyle name="Обычный 9 2 2 3 2 3" xfId="49468"/>
    <cellStyle name="Обычный 9 2 2 3 2 3 2" xfId="49469"/>
    <cellStyle name="Обычный 9 2 2 3 2 3 2 2" xfId="49470"/>
    <cellStyle name="Обычный 9 2 2 3 2 3 2 2 2" xfId="49471"/>
    <cellStyle name="Обычный 9 2 2 3 2 3 2 2 3" xfId="49472"/>
    <cellStyle name="Обычный 9 2 2 3 2 3 2 3" xfId="49473"/>
    <cellStyle name="Обычный 9 2 2 3 2 3 2 3 2" xfId="49474"/>
    <cellStyle name="Обычный 9 2 2 3 2 3 2 3 3" xfId="49475"/>
    <cellStyle name="Обычный 9 2 2 3 2 3 2 4" xfId="49476"/>
    <cellStyle name="Обычный 9 2 2 3 2 3 2 4 2" xfId="49477"/>
    <cellStyle name="Обычный 9 2 2 3 2 3 2 5" xfId="49478"/>
    <cellStyle name="Обычный 9 2 2 3 2 3 2 6" xfId="49479"/>
    <cellStyle name="Обычный 9 2 2 3 2 3 3" xfId="49480"/>
    <cellStyle name="Обычный 9 2 2 3 2 3 3 2" xfId="49481"/>
    <cellStyle name="Обычный 9 2 2 3 2 3 3 3" xfId="49482"/>
    <cellStyle name="Обычный 9 2 2 3 2 3 4" xfId="49483"/>
    <cellStyle name="Обычный 9 2 2 3 2 3 4 2" xfId="49484"/>
    <cellStyle name="Обычный 9 2 2 3 2 3 4 3" xfId="49485"/>
    <cellStyle name="Обычный 9 2 2 3 2 3 5" xfId="49486"/>
    <cellStyle name="Обычный 9 2 2 3 2 3 5 2" xfId="49487"/>
    <cellStyle name="Обычный 9 2 2 3 2 3 6" xfId="49488"/>
    <cellStyle name="Обычный 9 2 2 3 2 3 7" xfId="49489"/>
    <cellStyle name="Обычный 9 2 2 3 2 4" xfId="49490"/>
    <cellStyle name="Обычный 9 2 2 3 2 4 2" xfId="49491"/>
    <cellStyle name="Обычный 9 2 2 3 2 4 2 2" xfId="49492"/>
    <cellStyle name="Обычный 9 2 2 3 2 4 2 3" xfId="49493"/>
    <cellStyle name="Обычный 9 2 2 3 2 4 3" xfId="49494"/>
    <cellStyle name="Обычный 9 2 2 3 2 4 3 2" xfId="49495"/>
    <cellStyle name="Обычный 9 2 2 3 2 4 3 3" xfId="49496"/>
    <cellStyle name="Обычный 9 2 2 3 2 4 4" xfId="49497"/>
    <cellStyle name="Обычный 9 2 2 3 2 4 4 2" xfId="49498"/>
    <cellStyle name="Обычный 9 2 2 3 2 4 5" xfId="49499"/>
    <cellStyle name="Обычный 9 2 2 3 2 4 6" xfId="49500"/>
    <cellStyle name="Обычный 9 2 2 3 2 5" xfId="49501"/>
    <cellStyle name="Обычный 9 2 2 3 2 5 2" xfId="49502"/>
    <cellStyle name="Обычный 9 2 2 3 2 5 3" xfId="49503"/>
    <cellStyle name="Обычный 9 2 2 3 2 6" xfId="49504"/>
    <cellStyle name="Обычный 9 2 2 3 2 6 2" xfId="49505"/>
    <cellStyle name="Обычный 9 2 2 3 2 6 3" xfId="49506"/>
    <cellStyle name="Обычный 9 2 2 3 2 7" xfId="49507"/>
    <cellStyle name="Обычный 9 2 2 3 2 7 2" xfId="49508"/>
    <cellStyle name="Обычный 9 2 2 3 2 8" xfId="49509"/>
    <cellStyle name="Обычный 9 2 2 3 2 9" xfId="49510"/>
    <cellStyle name="Обычный 9 2 2 3 3" xfId="49511"/>
    <cellStyle name="Обычный 9 2 2 3 3 2" xfId="49512"/>
    <cellStyle name="Обычный 9 2 2 3 3 2 2" xfId="49513"/>
    <cellStyle name="Обычный 9 2 2 3 3 2 2 2" xfId="49514"/>
    <cellStyle name="Обычный 9 2 2 3 3 2 2 2 2" xfId="49515"/>
    <cellStyle name="Обычный 9 2 2 3 3 2 2 2 3" xfId="49516"/>
    <cellStyle name="Обычный 9 2 2 3 3 2 2 3" xfId="49517"/>
    <cellStyle name="Обычный 9 2 2 3 3 2 2 3 2" xfId="49518"/>
    <cellStyle name="Обычный 9 2 2 3 3 2 2 3 3" xfId="49519"/>
    <cellStyle name="Обычный 9 2 2 3 3 2 2 4" xfId="49520"/>
    <cellStyle name="Обычный 9 2 2 3 3 2 2 4 2" xfId="49521"/>
    <cellStyle name="Обычный 9 2 2 3 3 2 2 5" xfId="49522"/>
    <cellStyle name="Обычный 9 2 2 3 3 2 2 6" xfId="49523"/>
    <cellStyle name="Обычный 9 2 2 3 3 2 3" xfId="49524"/>
    <cellStyle name="Обычный 9 2 2 3 3 2 3 2" xfId="49525"/>
    <cellStyle name="Обычный 9 2 2 3 3 2 3 3" xfId="49526"/>
    <cellStyle name="Обычный 9 2 2 3 3 2 4" xfId="49527"/>
    <cellStyle name="Обычный 9 2 2 3 3 2 4 2" xfId="49528"/>
    <cellStyle name="Обычный 9 2 2 3 3 2 4 3" xfId="49529"/>
    <cellStyle name="Обычный 9 2 2 3 3 2 5" xfId="49530"/>
    <cellStyle name="Обычный 9 2 2 3 3 2 5 2" xfId="49531"/>
    <cellStyle name="Обычный 9 2 2 3 3 2 6" xfId="49532"/>
    <cellStyle name="Обычный 9 2 2 3 3 2 7" xfId="49533"/>
    <cellStyle name="Обычный 9 2 2 3 3 3" xfId="49534"/>
    <cellStyle name="Обычный 9 2 2 3 3 3 2" xfId="49535"/>
    <cellStyle name="Обычный 9 2 2 3 3 3 2 2" xfId="49536"/>
    <cellStyle name="Обычный 9 2 2 3 3 3 2 3" xfId="49537"/>
    <cellStyle name="Обычный 9 2 2 3 3 3 3" xfId="49538"/>
    <cellStyle name="Обычный 9 2 2 3 3 3 3 2" xfId="49539"/>
    <cellStyle name="Обычный 9 2 2 3 3 3 3 3" xfId="49540"/>
    <cellStyle name="Обычный 9 2 2 3 3 3 4" xfId="49541"/>
    <cellStyle name="Обычный 9 2 2 3 3 3 4 2" xfId="49542"/>
    <cellStyle name="Обычный 9 2 2 3 3 3 5" xfId="49543"/>
    <cellStyle name="Обычный 9 2 2 3 3 3 6" xfId="49544"/>
    <cellStyle name="Обычный 9 2 2 3 3 4" xfId="49545"/>
    <cellStyle name="Обычный 9 2 2 3 3 4 2" xfId="49546"/>
    <cellStyle name="Обычный 9 2 2 3 3 4 3" xfId="49547"/>
    <cellStyle name="Обычный 9 2 2 3 3 5" xfId="49548"/>
    <cellStyle name="Обычный 9 2 2 3 3 5 2" xfId="49549"/>
    <cellStyle name="Обычный 9 2 2 3 3 5 3" xfId="49550"/>
    <cellStyle name="Обычный 9 2 2 3 3 6" xfId="49551"/>
    <cellStyle name="Обычный 9 2 2 3 3 6 2" xfId="49552"/>
    <cellStyle name="Обычный 9 2 2 3 3 7" xfId="49553"/>
    <cellStyle name="Обычный 9 2 2 3 3 8" xfId="49554"/>
    <cellStyle name="Обычный 9 2 2 3 4" xfId="49555"/>
    <cellStyle name="Обычный 9 2 2 3 4 2" xfId="49556"/>
    <cellStyle name="Обычный 9 2 2 3 4 2 2" xfId="49557"/>
    <cellStyle name="Обычный 9 2 2 3 4 2 2 2" xfId="49558"/>
    <cellStyle name="Обычный 9 2 2 3 4 2 2 3" xfId="49559"/>
    <cellStyle name="Обычный 9 2 2 3 4 2 3" xfId="49560"/>
    <cellStyle name="Обычный 9 2 2 3 4 2 3 2" xfId="49561"/>
    <cellStyle name="Обычный 9 2 2 3 4 2 3 3" xfId="49562"/>
    <cellStyle name="Обычный 9 2 2 3 4 2 4" xfId="49563"/>
    <cellStyle name="Обычный 9 2 2 3 4 2 4 2" xfId="49564"/>
    <cellStyle name="Обычный 9 2 2 3 4 2 5" xfId="49565"/>
    <cellStyle name="Обычный 9 2 2 3 4 2 6" xfId="49566"/>
    <cellStyle name="Обычный 9 2 2 3 4 3" xfId="49567"/>
    <cellStyle name="Обычный 9 2 2 3 4 3 2" xfId="49568"/>
    <cellStyle name="Обычный 9 2 2 3 4 3 3" xfId="49569"/>
    <cellStyle name="Обычный 9 2 2 3 4 4" xfId="49570"/>
    <cellStyle name="Обычный 9 2 2 3 4 4 2" xfId="49571"/>
    <cellStyle name="Обычный 9 2 2 3 4 4 3" xfId="49572"/>
    <cellStyle name="Обычный 9 2 2 3 4 5" xfId="49573"/>
    <cellStyle name="Обычный 9 2 2 3 4 5 2" xfId="49574"/>
    <cellStyle name="Обычный 9 2 2 3 4 6" xfId="49575"/>
    <cellStyle name="Обычный 9 2 2 3 4 7" xfId="49576"/>
    <cellStyle name="Обычный 9 2 2 3 5" xfId="49577"/>
    <cellStyle name="Обычный 9 2 2 3 5 2" xfId="49578"/>
    <cellStyle name="Обычный 9 2 2 3 5 2 2" xfId="49579"/>
    <cellStyle name="Обычный 9 2 2 3 5 2 3" xfId="49580"/>
    <cellStyle name="Обычный 9 2 2 3 5 3" xfId="49581"/>
    <cellStyle name="Обычный 9 2 2 3 5 3 2" xfId="49582"/>
    <cellStyle name="Обычный 9 2 2 3 5 3 3" xfId="49583"/>
    <cellStyle name="Обычный 9 2 2 3 5 4" xfId="49584"/>
    <cellStyle name="Обычный 9 2 2 3 5 4 2" xfId="49585"/>
    <cellStyle name="Обычный 9 2 2 3 5 5" xfId="49586"/>
    <cellStyle name="Обычный 9 2 2 3 5 6" xfId="49587"/>
    <cellStyle name="Обычный 9 2 2 3 6" xfId="49588"/>
    <cellStyle name="Обычный 9 2 2 3 6 2" xfId="49589"/>
    <cellStyle name="Обычный 9 2 2 3 6 3" xfId="49590"/>
    <cellStyle name="Обычный 9 2 2 3 7" xfId="49591"/>
    <cellStyle name="Обычный 9 2 2 3 7 2" xfId="49592"/>
    <cellStyle name="Обычный 9 2 2 3 7 3" xfId="49593"/>
    <cellStyle name="Обычный 9 2 2 3 8" xfId="49594"/>
    <cellStyle name="Обычный 9 2 2 3 8 2" xfId="49595"/>
    <cellStyle name="Обычный 9 2 2 3 9" xfId="49596"/>
    <cellStyle name="Обычный 9 2 2 4" xfId="49597"/>
    <cellStyle name="Обычный 9 2 2 4 10" xfId="49598"/>
    <cellStyle name="Обычный 9 2 2 4 2" xfId="49599"/>
    <cellStyle name="Обычный 9 2 2 4 2 2" xfId="49600"/>
    <cellStyle name="Обычный 9 2 2 4 2 2 2" xfId="49601"/>
    <cellStyle name="Обычный 9 2 2 4 2 2 2 2" xfId="49602"/>
    <cellStyle name="Обычный 9 2 2 4 2 2 2 2 2" xfId="49603"/>
    <cellStyle name="Обычный 9 2 2 4 2 2 2 2 2 2" xfId="49604"/>
    <cellStyle name="Обычный 9 2 2 4 2 2 2 2 2 3" xfId="49605"/>
    <cellStyle name="Обычный 9 2 2 4 2 2 2 2 3" xfId="49606"/>
    <cellStyle name="Обычный 9 2 2 4 2 2 2 2 3 2" xfId="49607"/>
    <cellStyle name="Обычный 9 2 2 4 2 2 2 2 3 3" xfId="49608"/>
    <cellStyle name="Обычный 9 2 2 4 2 2 2 2 4" xfId="49609"/>
    <cellStyle name="Обычный 9 2 2 4 2 2 2 2 4 2" xfId="49610"/>
    <cellStyle name="Обычный 9 2 2 4 2 2 2 2 5" xfId="49611"/>
    <cellStyle name="Обычный 9 2 2 4 2 2 2 2 6" xfId="49612"/>
    <cellStyle name="Обычный 9 2 2 4 2 2 2 3" xfId="49613"/>
    <cellStyle name="Обычный 9 2 2 4 2 2 2 3 2" xfId="49614"/>
    <cellStyle name="Обычный 9 2 2 4 2 2 2 3 3" xfId="49615"/>
    <cellStyle name="Обычный 9 2 2 4 2 2 2 4" xfId="49616"/>
    <cellStyle name="Обычный 9 2 2 4 2 2 2 4 2" xfId="49617"/>
    <cellStyle name="Обычный 9 2 2 4 2 2 2 4 3" xfId="49618"/>
    <cellStyle name="Обычный 9 2 2 4 2 2 2 5" xfId="49619"/>
    <cellStyle name="Обычный 9 2 2 4 2 2 2 5 2" xfId="49620"/>
    <cellStyle name="Обычный 9 2 2 4 2 2 2 6" xfId="49621"/>
    <cellStyle name="Обычный 9 2 2 4 2 2 2 7" xfId="49622"/>
    <cellStyle name="Обычный 9 2 2 4 2 2 3" xfId="49623"/>
    <cellStyle name="Обычный 9 2 2 4 2 2 3 2" xfId="49624"/>
    <cellStyle name="Обычный 9 2 2 4 2 2 3 2 2" xfId="49625"/>
    <cellStyle name="Обычный 9 2 2 4 2 2 3 2 3" xfId="49626"/>
    <cellStyle name="Обычный 9 2 2 4 2 2 3 3" xfId="49627"/>
    <cellStyle name="Обычный 9 2 2 4 2 2 3 3 2" xfId="49628"/>
    <cellStyle name="Обычный 9 2 2 4 2 2 3 3 3" xfId="49629"/>
    <cellStyle name="Обычный 9 2 2 4 2 2 3 4" xfId="49630"/>
    <cellStyle name="Обычный 9 2 2 4 2 2 3 4 2" xfId="49631"/>
    <cellStyle name="Обычный 9 2 2 4 2 2 3 5" xfId="49632"/>
    <cellStyle name="Обычный 9 2 2 4 2 2 3 6" xfId="49633"/>
    <cellStyle name="Обычный 9 2 2 4 2 2 4" xfId="49634"/>
    <cellStyle name="Обычный 9 2 2 4 2 2 4 2" xfId="49635"/>
    <cellStyle name="Обычный 9 2 2 4 2 2 4 3" xfId="49636"/>
    <cellStyle name="Обычный 9 2 2 4 2 2 5" xfId="49637"/>
    <cellStyle name="Обычный 9 2 2 4 2 2 5 2" xfId="49638"/>
    <cellStyle name="Обычный 9 2 2 4 2 2 5 3" xfId="49639"/>
    <cellStyle name="Обычный 9 2 2 4 2 2 6" xfId="49640"/>
    <cellStyle name="Обычный 9 2 2 4 2 2 6 2" xfId="49641"/>
    <cellStyle name="Обычный 9 2 2 4 2 2 7" xfId="49642"/>
    <cellStyle name="Обычный 9 2 2 4 2 2 8" xfId="49643"/>
    <cellStyle name="Обычный 9 2 2 4 2 3" xfId="49644"/>
    <cellStyle name="Обычный 9 2 2 4 2 3 2" xfId="49645"/>
    <cellStyle name="Обычный 9 2 2 4 2 3 2 2" xfId="49646"/>
    <cellStyle name="Обычный 9 2 2 4 2 3 2 2 2" xfId="49647"/>
    <cellStyle name="Обычный 9 2 2 4 2 3 2 2 3" xfId="49648"/>
    <cellStyle name="Обычный 9 2 2 4 2 3 2 3" xfId="49649"/>
    <cellStyle name="Обычный 9 2 2 4 2 3 2 3 2" xfId="49650"/>
    <cellStyle name="Обычный 9 2 2 4 2 3 2 3 3" xfId="49651"/>
    <cellStyle name="Обычный 9 2 2 4 2 3 2 4" xfId="49652"/>
    <cellStyle name="Обычный 9 2 2 4 2 3 2 4 2" xfId="49653"/>
    <cellStyle name="Обычный 9 2 2 4 2 3 2 5" xfId="49654"/>
    <cellStyle name="Обычный 9 2 2 4 2 3 2 6" xfId="49655"/>
    <cellStyle name="Обычный 9 2 2 4 2 3 3" xfId="49656"/>
    <cellStyle name="Обычный 9 2 2 4 2 3 3 2" xfId="49657"/>
    <cellStyle name="Обычный 9 2 2 4 2 3 3 3" xfId="49658"/>
    <cellStyle name="Обычный 9 2 2 4 2 3 4" xfId="49659"/>
    <cellStyle name="Обычный 9 2 2 4 2 3 4 2" xfId="49660"/>
    <cellStyle name="Обычный 9 2 2 4 2 3 4 3" xfId="49661"/>
    <cellStyle name="Обычный 9 2 2 4 2 3 5" xfId="49662"/>
    <cellStyle name="Обычный 9 2 2 4 2 3 5 2" xfId="49663"/>
    <cellStyle name="Обычный 9 2 2 4 2 3 6" xfId="49664"/>
    <cellStyle name="Обычный 9 2 2 4 2 3 7" xfId="49665"/>
    <cellStyle name="Обычный 9 2 2 4 2 4" xfId="49666"/>
    <cellStyle name="Обычный 9 2 2 4 2 4 2" xfId="49667"/>
    <cellStyle name="Обычный 9 2 2 4 2 4 2 2" xfId="49668"/>
    <cellStyle name="Обычный 9 2 2 4 2 4 2 3" xfId="49669"/>
    <cellStyle name="Обычный 9 2 2 4 2 4 3" xfId="49670"/>
    <cellStyle name="Обычный 9 2 2 4 2 4 3 2" xfId="49671"/>
    <cellStyle name="Обычный 9 2 2 4 2 4 3 3" xfId="49672"/>
    <cellStyle name="Обычный 9 2 2 4 2 4 4" xfId="49673"/>
    <cellStyle name="Обычный 9 2 2 4 2 4 4 2" xfId="49674"/>
    <cellStyle name="Обычный 9 2 2 4 2 4 5" xfId="49675"/>
    <cellStyle name="Обычный 9 2 2 4 2 4 6" xfId="49676"/>
    <cellStyle name="Обычный 9 2 2 4 2 5" xfId="49677"/>
    <cellStyle name="Обычный 9 2 2 4 2 5 2" xfId="49678"/>
    <cellStyle name="Обычный 9 2 2 4 2 5 3" xfId="49679"/>
    <cellStyle name="Обычный 9 2 2 4 2 6" xfId="49680"/>
    <cellStyle name="Обычный 9 2 2 4 2 6 2" xfId="49681"/>
    <cellStyle name="Обычный 9 2 2 4 2 6 3" xfId="49682"/>
    <cellStyle name="Обычный 9 2 2 4 2 7" xfId="49683"/>
    <cellStyle name="Обычный 9 2 2 4 2 7 2" xfId="49684"/>
    <cellStyle name="Обычный 9 2 2 4 2 8" xfId="49685"/>
    <cellStyle name="Обычный 9 2 2 4 2 9" xfId="49686"/>
    <cellStyle name="Обычный 9 2 2 4 3" xfId="49687"/>
    <cellStyle name="Обычный 9 2 2 4 3 2" xfId="49688"/>
    <cellStyle name="Обычный 9 2 2 4 3 2 2" xfId="49689"/>
    <cellStyle name="Обычный 9 2 2 4 3 2 2 2" xfId="49690"/>
    <cellStyle name="Обычный 9 2 2 4 3 2 2 2 2" xfId="49691"/>
    <cellStyle name="Обычный 9 2 2 4 3 2 2 2 3" xfId="49692"/>
    <cellStyle name="Обычный 9 2 2 4 3 2 2 3" xfId="49693"/>
    <cellStyle name="Обычный 9 2 2 4 3 2 2 3 2" xfId="49694"/>
    <cellStyle name="Обычный 9 2 2 4 3 2 2 3 3" xfId="49695"/>
    <cellStyle name="Обычный 9 2 2 4 3 2 2 4" xfId="49696"/>
    <cellStyle name="Обычный 9 2 2 4 3 2 2 4 2" xfId="49697"/>
    <cellStyle name="Обычный 9 2 2 4 3 2 2 5" xfId="49698"/>
    <cellStyle name="Обычный 9 2 2 4 3 2 2 6" xfId="49699"/>
    <cellStyle name="Обычный 9 2 2 4 3 2 3" xfId="49700"/>
    <cellStyle name="Обычный 9 2 2 4 3 2 3 2" xfId="49701"/>
    <cellStyle name="Обычный 9 2 2 4 3 2 3 3" xfId="49702"/>
    <cellStyle name="Обычный 9 2 2 4 3 2 4" xfId="49703"/>
    <cellStyle name="Обычный 9 2 2 4 3 2 4 2" xfId="49704"/>
    <cellStyle name="Обычный 9 2 2 4 3 2 4 3" xfId="49705"/>
    <cellStyle name="Обычный 9 2 2 4 3 2 5" xfId="49706"/>
    <cellStyle name="Обычный 9 2 2 4 3 2 5 2" xfId="49707"/>
    <cellStyle name="Обычный 9 2 2 4 3 2 6" xfId="49708"/>
    <cellStyle name="Обычный 9 2 2 4 3 2 7" xfId="49709"/>
    <cellStyle name="Обычный 9 2 2 4 3 3" xfId="49710"/>
    <cellStyle name="Обычный 9 2 2 4 3 3 2" xfId="49711"/>
    <cellStyle name="Обычный 9 2 2 4 3 3 2 2" xfId="49712"/>
    <cellStyle name="Обычный 9 2 2 4 3 3 2 3" xfId="49713"/>
    <cellStyle name="Обычный 9 2 2 4 3 3 3" xfId="49714"/>
    <cellStyle name="Обычный 9 2 2 4 3 3 3 2" xfId="49715"/>
    <cellStyle name="Обычный 9 2 2 4 3 3 3 3" xfId="49716"/>
    <cellStyle name="Обычный 9 2 2 4 3 3 4" xfId="49717"/>
    <cellStyle name="Обычный 9 2 2 4 3 3 4 2" xfId="49718"/>
    <cellStyle name="Обычный 9 2 2 4 3 3 5" xfId="49719"/>
    <cellStyle name="Обычный 9 2 2 4 3 3 6" xfId="49720"/>
    <cellStyle name="Обычный 9 2 2 4 3 4" xfId="49721"/>
    <cellStyle name="Обычный 9 2 2 4 3 4 2" xfId="49722"/>
    <cellStyle name="Обычный 9 2 2 4 3 4 3" xfId="49723"/>
    <cellStyle name="Обычный 9 2 2 4 3 5" xfId="49724"/>
    <cellStyle name="Обычный 9 2 2 4 3 5 2" xfId="49725"/>
    <cellStyle name="Обычный 9 2 2 4 3 5 3" xfId="49726"/>
    <cellStyle name="Обычный 9 2 2 4 3 6" xfId="49727"/>
    <cellStyle name="Обычный 9 2 2 4 3 6 2" xfId="49728"/>
    <cellStyle name="Обычный 9 2 2 4 3 7" xfId="49729"/>
    <cellStyle name="Обычный 9 2 2 4 3 8" xfId="49730"/>
    <cellStyle name="Обычный 9 2 2 4 4" xfId="49731"/>
    <cellStyle name="Обычный 9 2 2 4 4 2" xfId="49732"/>
    <cellStyle name="Обычный 9 2 2 4 4 2 2" xfId="49733"/>
    <cellStyle name="Обычный 9 2 2 4 4 2 2 2" xfId="49734"/>
    <cellStyle name="Обычный 9 2 2 4 4 2 2 3" xfId="49735"/>
    <cellStyle name="Обычный 9 2 2 4 4 2 3" xfId="49736"/>
    <cellStyle name="Обычный 9 2 2 4 4 2 3 2" xfId="49737"/>
    <cellStyle name="Обычный 9 2 2 4 4 2 3 3" xfId="49738"/>
    <cellStyle name="Обычный 9 2 2 4 4 2 4" xfId="49739"/>
    <cellStyle name="Обычный 9 2 2 4 4 2 4 2" xfId="49740"/>
    <cellStyle name="Обычный 9 2 2 4 4 2 5" xfId="49741"/>
    <cellStyle name="Обычный 9 2 2 4 4 2 6" xfId="49742"/>
    <cellStyle name="Обычный 9 2 2 4 4 3" xfId="49743"/>
    <cellStyle name="Обычный 9 2 2 4 4 3 2" xfId="49744"/>
    <cellStyle name="Обычный 9 2 2 4 4 3 3" xfId="49745"/>
    <cellStyle name="Обычный 9 2 2 4 4 4" xfId="49746"/>
    <cellStyle name="Обычный 9 2 2 4 4 4 2" xfId="49747"/>
    <cellStyle name="Обычный 9 2 2 4 4 4 3" xfId="49748"/>
    <cellStyle name="Обычный 9 2 2 4 4 5" xfId="49749"/>
    <cellStyle name="Обычный 9 2 2 4 4 5 2" xfId="49750"/>
    <cellStyle name="Обычный 9 2 2 4 4 6" xfId="49751"/>
    <cellStyle name="Обычный 9 2 2 4 4 7" xfId="49752"/>
    <cellStyle name="Обычный 9 2 2 4 5" xfId="49753"/>
    <cellStyle name="Обычный 9 2 2 4 5 2" xfId="49754"/>
    <cellStyle name="Обычный 9 2 2 4 5 2 2" xfId="49755"/>
    <cellStyle name="Обычный 9 2 2 4 5 2 3" xfId="49756"/>
    <cellStyle name="Обычный 9 2 2 4 5 3" xfId="49757"/>
    <cellStyle name="Обычный 9 2 2 4 5 3 2" xfId="49758"/>
    <cellStyle name="Обычный 9 2 2 4 5 3 3" xfId="49759"/>
    <cellStyle name="Обычный 9 2 2 4 5 4" xfId="49760"/>
    <cellStyle name="Обычный 9 2 2 4 5 4 2" xfId="49761"/>
    <cellStyle name="Обычный 9 2 2 4 5 5" xfId="49762"/>
    <cellStyle name="Обычный 9 2 2 4 5 6" xfId="49763"/>
    <cellStyle name="Обычный 9 2 2 4 6" xfId="49764"/>
    <cellStyle name="Обычный 9 2 2 4 6 2" xfId="49765"/>
    <cellStyle name="Обычный 9 2 2 4 6 3" xfId="49766"/>
    <cellStyle name="Обычный 9 2 2 4 7" xfId="49767"/>
    <cellStyle name="Обычный 9 2 2 4 7 2" xfId="49768"/>
    <cellStyle name="Обычный 9 2 2 4 7 3" xfId="49769"/>
    <cellStyle name="Обычный 9 2 2 4 8" xfId="49770"/>
    <cellStyle name="Обычный 9 2 2 4 8 2" xfId="49771"/>
    <cellStyle name="Обычный 9 2 2 4 9" xfId="49772"/>
    <cellStyle name="Обычный 9 2 2 5" xfId="49773"/>
    <cellStyle name="Обычный 9 2 2 5 2" xfId="49774"/>
    <cellStyle name="Обычный 9 2 2 5 2 2" xfId="49775"/>
    <cellStyle name="Обычный 9 2 2 5 2 2 2" xfId="49776"/>
    <cellStyle name="Обычный 9 2 2 5 2 2 2 2" xfId="49777"/>
    <cellStyle name="Обычный 9 2 2 5 2 2 2 2 2" xfId="49778"/>
    <cellStyle name="Обычный 9 2 2 5 2 2 2 2 3" xfId="49779"/>
    <cellStyle name="Обычный 9 2 2 5 2 2 2 3" xfId="49780"/>
    <cellStyle name="Обычный 9 2 2 5 2 2 2 3 2" xfId="49781"/>
    <cellStyle name="Обычный 9 2 2 5 2 2 2 3 3" xfId="49782"/>
    <cellStyle name="Обычный 9 2 2 5 2 2 2 4" xfId="49783"/>
    <cellStyle name="Обычный 9 2 2 5 2 2 2 4 2" xfId="49784"/>
    <cellStyle name="Обычный 9 2 2 5 2 2 2 5" xfId="49785"/>
    <cellStyle name="Обычный 9 2 2 5 2 2 2 6" xfId="49786"/>
    <cellStyle name="Обычный 9 2 2 5 2 2 3" xfId="49787"/>
    <cellStyle name="Обычный 9 2 2 5 2 2 3 2" xfId="49788"/>
    <cellStyle name="Обычный 9 2 2 5 2 2 3 3" xfId="49789"/>
    <cellStyle name="Обычный 9 2 2 5 2 2 4" xfId="49790"/>
    <cellStyle name="Обычный 9 2 2 5 2 2 4 2" xfId="49791"/>
    <cellStyle name="Обычный 9 2 2 5 2 2 4 3" xfId="49792"/>
    <cellStyle name="Обычный 9 2 2 5 2 2 5" xfId="49793"/>
    <cellStyle name="Обычный 9 2 2 5 2 2 5 2" xfId="49794"/>
    <cellStyle name="Обычный 9 2 2 5 2 2 6" xfId="49795"/>
    <cellStyle name="Обычный 9 2 2 5 2 2 7" xfId="49796"/>
    <cellStyle name="Обычный 9 2 2 5 2 3" xfId="49797"/>
    <cellStyle name="Обычный 9 2 2 5 2 3 2" xfId="49798"/>
    <cellStyle name="Обычный 9 2 2 5 2 3 2 2" xfId="49799"/>
    <cellStyle name="Обычный 9 2 2 5 2 3 2 3" xfId="49800"/>
    <cellStyle name="Обычный 9 2 2 5 2 3 3" xfId="49801"/>
    <cellStyle name="Обычный 9 2 2 5 2 3 3 2" xfId="49802"/>
    <cellStyle name="Обычный 9 2 2 5 2 3 3 3" xfId="49803"/>
    <cellStyle name="Обычный 9 2 2 5 2 3 4" xfId="49804"/>
    <cellStyle name="Обычный 9 2 2 5 2 3 4 2" xfId="49805"/>
    <cellStyle name="Обычный 9 2 2 5 2 3 5" xfId="49806"/>
    <cellStyle name="Обычный 9 2 2 5 2 3 6" xfId="49807"/>
    <cellStyle name="Обычный 9 2 2 5 2 4" xfId="49808"/>
    <cellStyle name="Обычный 9 2 2 5 2 4 2" xfId="49809"/>
    <cellStyle name="Обычный 9 2 2 5 2 4 3" xfId="49810"/>
    <cellStyle name="Обычный 9 2 2 5 2 5" xfId="49811"/>
    <cellStyle name="Обычный 9 2 2 5 2 5 2" xfId="49812"/>
    <cellStyle name="Обычный 9 2 2 5 2 5 3" xfId="49813"/>
    <cellStyle name="Обычный 9 2 2 5 2 6" xfId="49814"/>
    <cellStyle name="Обычный 9 2 2 5 2 6 2" xfId="49815"/>
    <cellStyle name="Обычный 9 2 2 5 2 7" xfId="49816"/>
    <cellStyle name="Обычный 9 2 2 5 2 8" xfId="49817"/>
    <cellStyle name="Обычный 9 2 2 5 3" xfId="49818"/>
    <cellStyle name="Обычный 9 2 2 5 3 2" xfId="49819"/>
    <cellStyle name="Обычный 9 2 2 5 3 2 2" xfId="49820"/>
    <cellStyle name="Обычный 9 2 2 5 3 2 2 2" xfId="49821"/>
    <cellStyle name="Обычный 9 2 2 5 3 2 2 3" xfId="49822"/>
    <cellStyle name="Обычный 9 2 2 5 3 2 3" xfId="49823"/>
    <cellStyle name="Обычный 9 2 2 5 3 2 3 2" xfId="49824"/>
    <cellStyle name="Обычный 9 2 2 5 3 2 3 3" xfId="49825"/>
    <cellStyle name="Обычный 9 2 2 5 3 2 4" xfId="49826"/>
    <cellStyle name="Обычный 9 2 2 5 3 2 4 2" xfId="49827"/>
    <cellStyle name="Обычный 9 2 2 5 3 2 5" xfId="49828"/>
    <cellStyle name="Обычный 9 2 2 5 3 2 6" xfId="49829"/>
    <cellStyle name="Обычный 9 2 2 5 3 3" xfId="49830"/>
    <cellStyle name="Обычный 9 2 2 5 3 3 2" xfId="49831"/>
    <cellStyle name="Обычный 9 2 2 5 3 3 3" xfId="49832"/>
    <cellStyle name="Обычный 9 2 2 5 3 4" xfId="49833"/>
    <cellStyle name="Обычный 9 2 2 5 3 4 2" xfId="49834"/>
    <cellStyle name="Обычный 9 2 2 5 3 4 3" xfId="49835"/>
    <cellStyle name="Обычный 9 2 2 5 3 5" xfId="49836"/>
    <cellStyle name="Обычный 9 2 2 5 3 5 2" xfId="49837"/>
    <cellStyle name="Обычный 9 2 2 5 3 6" xfId="49838"/>
    <cellStyle name="Обычный 9 2 2 5 3 7" xfId="49839"/>
    <cellStyle name="Обычный 9 2 2 5 4" xfId="49840"/>
    <cellStyle name="Обычный 9 2 2 5 4 2" xfId="49841"/>
    <cellStyle name="Обычный 9 2 2 5 4 2 2" xfId="49842"/>
    <cellStyle name="Обычный 9 2 2 5 4 2 3" xfId="49843"/>
    <cellStyle name="Обычный 9 2 2 5 4 3" xfId="49844"/>
    <cellStyle name="Обычный 9 2 2 5 4 3 2" xfId="49845"/>
    <cellStyle name="Обычный 9 2 2 5 4 3 3" xfId="49846"/>
    <cellStyle name="Обычный 9 2 2 5 4 4" xfId="49847"/>
    <cellStyle name="Обычный 9 2 2 5 4 4 2" xfId="49848"/>
    <cellStyle name="Обычный 9 2 2 5 4 5" xfId="49849"/>
    <cellStyle name="Обычный 9 2 2 5 4 6" xfId="49850"/>
    <cellStyle name="Обычный 9 2 2 5 5" xfId="49851"/>
    <cellStyle name="Обычный 9 2 2 5 5 2" xfId="49852"/>
    <cellStyle name="Обычный 9 2 2 5 5 3" xfId="49853"/>
    <cellStyle name="Обычный 9 2 2 5 6" xfId="49854"/>
    <cellStyle name="Обычный 9 2 2 5 6 2" xfId="49855"/>
    <cellStyle name="Обычный 9 2 2 5 6 3" xfId="49856"/>
    <cellStyle name="Обычный 9 2 2 5 7" xfId="49857"/>
    <cellStyle name="Обычный 9 2 2 5 7 2" xfId="49858"/>
    <cellStyle name="Обычный 9 2 2 5 8" xfId="49859"/>
    <cellStyle name="Обычный 9 2 2 5 9" xfId="49860"/>
    <cellStyle name="Обычный 9 2 2 6" xfId="49861"/>
    <cellStyle name="Обычный 9 2 2 6 2" xfId="49862"/>
    <cellStyle name="Обычный 9 2 2 6 2 2" xfId="49863"/>
    <cellStyle name="Обычный 9 2 2 6 2 2 2" xfId="49864"/>
    <cellStyle name="Обычный 9 2 2 6 2 2 2 2" xfId="49865"/>
    <cellStyle name="Обычный 9 2 2 6 2 2 2 3" xfId="49866"/>
    <cellStyle name="Обычный 9 2 2 6 2 2 3" xfId="49867"/>
    <cellStyle name="Обычный 9 2 2 6 2 2 3 2" xfId="49868"/>
    <cellStyle name="Обычный 9 2 2 6 2 2 3 3" xfId="49869"/>
    <cellStyle name="Обычный 9 2 2 6 2 2 4" xfId="49870"/>
    <cellStyle name="Обычный 9 2 2 6 2 2 4 2" xfId="49871"/>
    <cellStyle name="Обычный 9 2 2 6 2 2 5" xfId="49872"/>
    <cellStyle name="Обычный 9 2 2 6 2 2 6" xfId="49873"/>
    <cellStyle name="Обычный 9 2 2 6 2 3" xfId="49874"/>
    <cellStyle name="Обычный 9 2 2 6 2 3 2" xfId="49875"/>
    <cellStyle name="Обычный 9 2 2 6 2 3 3" xfId="49876"/>
    <cellStyle name="Обычный 9 2 2 6 2 4" xfId="49877"/>
    <cellStyle name="Обычный 9 2 2 6 2 4 2" xfId="49878"/>
    <cellStyle name="Обычный 9 2 2 6 2 4 3" xfId="49879"/>
    <cellStyle name="Обычный 9 2 2 6 2 5" xfId="49880"/>
    <cellStyle name="Обычный 9 2 2 6 2 5 2" xfId="49881"/>
    <cellStyle name="Обычный 9 2 2 6 2 6" xfId="49882"/>
    <cellStyle name="Обычный 9 2 2 6 2 7" xfId="49883"/>
    <cellStyle name="Обычный 9 2 2 6 3" xfId="49884"/>
    <cellStyle name="Обычный 9 2 2 6 3 2" xfId="49885"/>
    <cellStyle name="Обычный 9 2 2 6 3 2 2" xfId="49886"/>
    <cellStyle name="Обычный 9 2 2 6 3 2 3" xfId="49887"/>
    <cellStyle name="Обычный 9 2 2 6 3 3" xfId="49888"/>
    <cellStyle name="Обычный 9 2 2 6 3 3 2" xfId="49889"/>
    <cellStyle name="Обычный 9 2 2 6 3 3 3" xfId="49890"/>
    <cellStyle name="Обычный 9 2 2 6 3 4" xfId="49891"/>
    <cellStyle name="Обычный 9 2 2 6 3 4 2" xfId="49892"/>
    <cellStyle name="Обычный 9 2 2 6 3 5" xfId="49893"/>
    <cellStyle name="Обычный 9 2 2 6 3 6" xfId="49894"/>
    <cellStyle name="Обычный 9 2 2 6 4" xfId="49895"/>
    <cellStyle name="Обычный 9 2 2 6 4 2" xfId="49896"/>
    <cellStyle name="Обычный 9 2 2 6 4 3" xfId="49897"/>
    <cellStyle name="Обычный 9 2 2 6 5" xfId="49898"/>
    <cellStyle name="Обычный 9 2 2 6 5 2" xfId="49899"/>
    <cellStyle name="Обычный 9 2 2 6 5 3" xfId="49900"/>
    <cellStyle name="Обычный 9 2 2 6 6" xfId="49901"/>
    <cellStyle name="Обычный 9 2 2 6 6 2" xfId="49902"/>
    <cellStyle name="Обычный 9 2 2 6 7" xfId="49903"/>
    <cellStyle name="Обычный 9 2 2 6 8" xfId="49904"/>
    <cellStyle name="Обычный 9 2 2 7" xfId="49905"/>
    <cellStyle name="Обычный 9 2 2 7 2" xfId="49906"/>
    <cellStyle name="Обычный 9 2 2 7 2 2" xfId="49907"/>
    <cellStyle name="Обычный 9 2 2 7 2 2 2" xfId="49908"/>
    <cellStyle name="Обычный 9 2 2 7 2 2 3" xfId="49909"/>
    <cellStyle name="Обычный 9 2 2 7 2 3" xfId="49910"/>
    <cellStyle name="Обычный 9 2 2 7 2 3 2" xfId="49911"/>
    <cellStyle name="Обычный 9 2 2 7 2 3 3" xfId="49912"/>
    <cellStyle name="Обычный 9 2 2 7 2 4" xfId="49913"/>
    <cellStyle name="Обычный 9 2 2 7 2 4 2" xfId="49914"/>
    <cellStyle name="Обычный 9 2 2 7 2 5" xfId="49915"/>
    <cellStyle name="Обычный 9 2 2 7 2 6" xfId="49916"/>
    <cellStyle name="Обычный 9 2 2 7 3" xfId="49917"/>
    <cellStyle name="Обычный 9 2 2 7 3 2" xfId="49918"/>
    <cellStyle name="Обычный 9 2 2 7 3 3" xfId="49919"/>
    <cellStyle name="Обычный 9 2 2 7 4" xfId="49920"/>
    <cellStyle name="Обычный 9 2 2 7 4 2" xfId="49921"/>
    <cellStyle name="Обычный 9 2 2 7 4 3" xfId="49922"/>
    <cellStyle name="Обычный 9 2 2 7 5" xfId="49923"/>
    <cellStyle name="Обычный 9 2 2 7 5 2" xfId="49924"/>
    <cellStyle name="Обычный 9 2 2 7 6" xfId="49925"/>
    <cellStyle name="Обычный 9 2 2 7 7" xfId="49926"/>
    <cellStyle name="Обычный 9 2 2 8" xfId="49927"/>
    <cellStyle name="Обычный 9 2 2 8 2" xfId="49928"/>
    <cellStyle name="Обычный 9 2 2 8 2 2" xfId="49929"/>
    <cellStyle name="Обычный 9 2 2 8 2 3" xfId="49930"/>
    <cellStyle name="Обычный 9 2 2 8 3" xfId="49931"/>
    <cellStyle name="Обычный 9 2 2 8 3 2" xfId="49932"/>
    <cellStyle name="Обычный 9 2 2 8 3 3" xfId="49933"/>
    <cellStyle name="Обычный 9 2 2 8 4" xfId="49934"/>
    <cellStyle name="Обычный 9 2 2 8 4 2" xfId="49935"/>
    <cellStyle name="Обычный 9 2 2 8 5" xfId="49936"/>
    <cellStyle name="Обычный 9 2 2 8 6" xfId="49937"/>
    <cellStyle name="Обычный 9 2 2 9" xfId="49938"/>
    <cellStyle name="Обычный 9 2 2 9 2" xfId="49939"/>
    <cellStyle name="Обычный 9 2 2 9 3" xfId="49940"/>
    <cellStyle name="Обычный 9 2 3" xfId="49941"/>
    <cellStyle name="Обычный 9 2 3 10" xfId="49942"/>
    <cellStyle name="Обычный 9 2 3 2" xfId="49943"/>
    <cellStyle name="Обычный 9 2 3 2 2" xfId="49944"/>
    <cellStyle name="Обычный 9 2 3 2 2 2" xfId="49945"/>
    <cellStyle name="Обычный 9 2 3 2 2 2 2" xfId="49946"/>
    <cellStyle name="Обычный 9 2 3 2 2 2 2 2" xfId="49947"/>
    <cellStyle name="Обычный 9 2 3 2 2 2 2 2 2" xfId="49948"/>
    <cellStyle name="Обычный 9 2 3 2 2 2 2 2 3" xfId="49949"/>
    <cellStyle name="Обычный 9 2 3 2 2 2 2 3" xfId="49950"/>
    <cellStyle name="Обычный 9 2 3 2 2 2 2 3 2" xfId="49951"/>
    <cellStyle name="Обычный 9 2 3 2 2 2 2 3 3" xfId="49952"/>
    <cellStyle name="Обычный 9 2 3 2 2 2 2 4" xfId="49953"/>
    <cellStyle name="Обычный 9 2 3 2 2 2 2 4 2" xfId="49954"/>
    <cellStyle name="Обычный 9 2 3 2 2 2 2 5" xfId="49955"/>
    <cellStyle name="Обычный 9 2 3 2 2 2 2 6" xfId="49956"/>
    <cellStyle name="Обычный 9 2 3 2 2 2 3" xfId="49957"/>
    <cellStyle name="Обычный 9 2 3 2 2 2 3 2" xfId="49958"/>
    <cellStyle name="Обычный 9 2 3 2 2 2 3 3" xfId="49959"/>
    <cellStyle name="Обычный 9 2 3 2 2 2 4" xfId="49960"/>
    <cellStyle name="Обычный 9 2 3 2 2 2 4 2" xfId="49961"/>
    <cellStyle name="Обычный 9 2 3 2 2 2 4 3" xfId="49962"/>
    <cellStyle name="Обычный 9 2 3 2 2 2 5" xfId="49963"/>
    <cellStyle name="Обычный 9 2 3 2 2 2 5 2" xfId="49964"/>
    <cellStyle name="Обычный 9 2 3 2 2 2 6" xfId="49965"/>
    <cellStyle name="Обычный 9 2 3 2 2 2 7" xfId="49966"/>
    <cellStyle name="Обычный 9 2 3 2 2 3" xfId="49967"/>
    <cellStyle name="Обычный 9 2 3 2 2 3 2" xfId="49968"/>
    <cellStyle name="Обычный 9 2 3 2 2 3 2 2" xfId="49969"/>
    <cellStyle name="Обычный 9 2 3 2 2 3 2 3" xfId="49970"/>
    <cellStyle name="Обычный 9 2 3 2 2 3 3" xfId="49971"/>
    <cellStyle name="Обычный 9 2 3 2 2 3 3 2" xfId="49972"/>
    <cellStyle name="Обычный 9 2 3 2 2 3 3 3" xfId="49973"/>
    <cellStyle name="Обычный 9 2 3 2 2 3 4" xfId="49974"/>
    <cellStyle name="Обычный 9 2 3 2 2 3 4 2" xfId="49975"/>
    <cellStyle name="Обычный 9 2 3 2 2 3 5" xfId="49976"/>
    <cellStyle name="Обычный 9 2 3 2 2 3 6" xfId="49977"/>
    <cellStyle name="Обычный 9 2 3 2 2 4" xfId="49978"/>
    <cellStyle name="Обычный 9 2 3 2 2 4 2" xfId="49979"/>
    <cellStyle name="Обычный 9 2 3 2 2 4 3" xfId="49980"/>
    <cellStyle name="Обычный 9 2 3 2 2 5" xfId="49981"/>
    <cellStyle name="Обычный 9 2 3 2 2 5 2" xfId="49982"/>
    <cellStyle name="Обычный 9 2 3 2 2 5 3" xfId="49983"/>
    <cellStyle name="Обычный 9 2 3 2 2 6" xfId="49984"/>
    <cellStyle name="Обычный 9 2 3 2 2 6 2" xfId="49985"/>
    <cellStyle name="Обычный 9 2 3 2 2 7" xfId="49986"/>
    <cellStyle name="Обычный 9 2 3 2 2 8" xfId="49987"/>
    <cellStyle name="Обычный 9 2 3 2 3" xfId="49988"/>
    <cellStyle name="Обычный 9 2 3 2 3 2" xfId="49989"/>
    <cellStyle name="Обычный 9 2 3 2 3 2 2" xfId="49990"/>
    <cellStyle name="Обычный 9 2 3 2 3 2 2 2" xfId="49991"/>
    <cellStyle name="Обычный 9 2 3 2 3 2 2 3" xfId="49992"/>
    <cellStyle name="Обычный 9 2 3 2 3 2 3" xfId="49993"/>
    <cellStyle name="Обычный 9 2 3 2 3 2 3 2" xfId="49994"/>
    <cellStyle name="Обычный 9 2 3 2 3 2 3 3" xfId="49995"/>
    <cellStyle name="Обычный 9 2 3 2 3 2 4" xfId="49996"/>
    <cellStyle name="Обычный 9 2 3 2 3 2 4 2" xfId="49997"/>
    <cellStyle name="Обычный 9 2 3 2 3 2 5" xfId="49998"/>
    <cellStyle name="Обычный 9 2 3 2 3 2 6" xfId="49999"/>
    <cellStyle name="Обычный 9 2 3 2 3 3" xfId="50000"/>
    <cellStyle name="Обычный 9 2 3 2 3 3 2" xfId="50001"/>
    <cellStyle name="Обычный 9 2 3 2 3 3 3" xfId="50002"/>
    <cellStyle name="Обычный 9 2 3 2 3 4" xfId="50003"/>
    <cellStyle name="Обычный 9 2 3 2 3 4 2" xfId="50004"/>
    <cellStyle name="Обычный 9 2 3 2 3 4 3" xfId="50005"/>
    <cellStyle name="Обычный 9 2 3 2 3 5" xfId="50006"/>
    <cellStyle name="Обычный 9 2 3 2 3 5 2" xfId="50007"/>
    <cellStyle name="Обычный 9 2 3 2 3 6" xfId="50008"/>
    <cellStyle name="Обычный 9 2 3 2 3 7" xfId="50009"/>
    <cellStyle name="Обычный 9 2 3 2 4" xfId="50010"/>
    <cellStyle name="Обычный 9 2 3 2 4 2" xfId="50011"/>
    <cellStyle name="Обычный 9 2 3 2 4 2 2" xfId="50012"/>
    <cellStyle name="Обычный 9 2 3 2 4 2 3" xfId="50013"/>
    <cellStyle name="Обычный 9 2 3 2 4 3" xfId="50014"/>
    <cellStyle name="Обычный 9 2 3 2 4 3 2" xfId="50015"/>
    <cellStyle name="Обычный 9 2 3 2 4 3 3" xfId="50016"/>
    <cellStyle name="Обычный 9 2 3 2 4 4" xfId="50017"/>
    <cellStyle name="Обычный 9 2 3 2 4 4 2" xfId="50018"/>
    <cellStyle name="Обычный 9 2 3 2 4 5" xfId="50019"/>
    <cellStyle name="Обычный 9 2 3 2 4 6" xfId="50020"/>
    <cellStyle name="Обычный 9 2 3 2 5" xfId="50021"/>
    <cellStyle name="Обычный 9 2 3 2 5 2" xfId="50022"/>
    <cellStyle name="Обычный 9 2 3 2 5 3" xfId="50023"/>
    <cellStyle name="Обычный 9 2 3 2 6" xfId="50024"/>
    <cellStyle name="Обычный 9 2 3 2 6 2" xfId="50025"/>
    <cellStyle name="Обычный 9 2 3 2 6 3" xfId="50026"/>
    <cellStyle name="Обычный 9 2 3 2 7" xfId="50027"/>
    <cellStyle name="Обычный 9 2 3 2 7 2" xfId="50028"/>
    <cellStyle name="Обычный 9 2 3 2 8" xfId="50029"/>
    <cellStyle name="Обычный 9 2 3 2 9" xfId="50030"/>
    <cellStyle name="Обычный 9 2 3 3" xfId="50031"/>
    <cellStyle name="Обычный 9 2 3 3 2" xfId="50032"/>
    <cellStyle name="Обычный 9 2 3 3 2 2" xfId="50033"/>
    <cellStyle name="Обычный 9 2 3 3 2 2 2" xfId="50034"/>
    <cellStyle name="Обычный 9 2 3 3 2 2 2 2" xfId="50035"/>
    <cellStyle name="Обычный 9 2 3 3 2 2 2 3" xfId="50036"/>
    <cellStyle name="Обычный 9 2 3 3 2 2 3" xfId="50037"/>
    <cellStyle name="Обычный 9 2 3 3 2 2 3 2" xfId="50038"/>
    <cellStyle name="Обычный 9 2 3 3 2 2 3 3" xfId="50039"/>
    <cellStyle name="Обычный 9 2 3 3 2 2 4" xfId="50040"/>
    <cellStyle name="Обычный 9 2 3 3 2 2 4 2" xfId="50041"/>
    <cellStyle name="Обычный 9 2 3 3 2 2 5" xfId="50042"/>
    <cellStyle name="Обычный 9 2 3 3 2 2 6" xfId="50043"/>
    <cellStyle name="Обычный 9 2 3 3 2 3" xfId="50044"/>
    <cellStyle name="Обычный 9 2 3 3 2 3 2" xfId="50045"/>
    <cellStyle name="Обычный 9 2 3 3 2 3 3" xfId="50046"/>
    <cellStyle name="Обычный 9 2 3 3 2 4" xfId="50047"/>
    <cellStyle name="Обычный 9 2 3 3 2 4 2" xfId="50048"/>
    <cellStyle name="Обычный 9 2 3 3 2 4 3" xfId="50049"/>
    <cellStyle name="Обычный 9 2 3 3 2 5" xfId="50050"/>
    <cellStyle name="Обычный 9 2 3 3 2 5 2" xfId="50051"/>
    <cellStyle name="Обычный 9 2 3 3 2 6" xfId="50052"/>
    <cellStyle name="Обычный 9 2 3 3 2 7" xfId="50053"/>
    <cellStyle name="Обычный 9 2 3 3 3" xfId="50054"/>
    <cellStyle name="Обычный 9 2 3 3 3 2" xfId="50055"/>
    <cellStyle name="Обычный 9 2 3 3 3 2 2" xfId="50056"/>
    <cellStyle name="Обычный 9 2 3 3 3 2 3" xfId="50057"/>
    <cellStyle name="Обычный 9 2 3 3 3 3" xfId="50058"/>
    <cellStyle name="Обычный 9 2 3 3 3 3 2" xfId="50059"/>
    <cellStyle name="Обычный 9 2 3 3 3 3 3" xfId="50060"/>
    <cellStyle name="Обычный 9 2 3 3 3 4" xfId="50061"/>
    <cellStyle name="Обычный 9 2 3 3 3 4 2" xfId="50062"/>
    <cellStyle name="Обычный 9 2 3 3 3 5" xfId="50063"/>
    <cellStyle name="Обычный 9 2 3 3 3 6" xfId="50064"/>
    <cellStyle name="Обычный 9 2 3 3 4" xfId="50065"/>
    <cellStyle name="Обычный 9 2 3 3 4 2" xfId="50066"/>
    <cellStyle name="Обычный 9 2 3 3 4 3" xfId="50067"/>
    <cellStyle name="Обычный 9 2 3 3 5" xfId="50068"/>
    <cellStyle name="Обычный 9 2 3 3 5 2" xfId="50069"/>
    <cellStyle name="Обычный 9 2 3 3 5 3" xfId="50070"/>
    <cellStyle name="Обычный 9 2 3 3 6" xfId="50071"/>
    <cellStyle name="Обычный 9 2 3 3 6 2" xfId="50072"/>
    <cellStyle name="Обычный 9 2 3 3 7" xfId="50073"/>
    <cellStyle name="Обычный 9 2 3 3 8" xfId="50074"/>
    <cellStyle name="Обычный 9 2 3 4" xfId="50075"/>
    <cellStyle name="Обычный 9 2 3 4 2" xfId="50076"/>
    <cellStyle name="Обычный 9 2 3 4 2 2" xfId="50077"/>
    <cellStyle name="Обычный 9 2 3 4 2 2 2" xfId="50078"/>
    <cellStyle name="Обычный 9 2 3 4 2 2 3" xfId="50079"/>
    <cellStyle name="Обычный 9 2 3 4 2 3" xfId="50080"/>
    <cellStyle name="Обычный 9 2 3 4 2 3 2" xfId="50081"/>
    <cellStyle name="Обычный 9 2 3 4 2 3 3" xfId="50082"/>
    <cellStyle name="Обычный 9 2 3 4 2 4" xfId="50083"/>
    <cellStyle name="Обычный 9 2 3 4 2 4 2" xfId="50084"/>
    <cellStyle name="Обычный 9 2 3 4 2 5" xfId="50085"/>
    <cellStyle name="Обычный 9 2 3 4 2 6" xfId="50086"/>
    <cellStyle name="Обычный 9 2 3 4 3" xfId="50087"/>
    <cellStyle name="Обычный 9 2 3 4 3 2" xfId="50088"/>
    <cellStyle name="Обычный 9 2 3 4 3 3" xfId="50089"/>
    <cellStyle name="Обычный 9 2 3 4 4" xfId="50090"/>
    <cellStyle name="Обычный 9 2 3 4 4 2" xfId="50091"/>
    <cellStyle name="Обычный 9 2 3 4 4 3" xfId="50092"/>
    <cellStyle name="Обычный 9 2 3 4 5" xfId="50093"/>
    <cellStyle name="Обычный 9 2 3 4 5 2" xfId="50094"/>
    <cellStyle name="Обычный 9 2 3 4 6" xfId="50095"/>
    <cellStyle name="Обычный 9 2 3 4 7" xfId="50096"/>
    <cellStyle name="Обычный 9 2 3 5" xfId="50097"/>
    <cellStyle name="Обычный 9 2 3 5 2" xfId="50098"/>
    <cellStyle name="Обычный 9 2 3 5 2 2" xfId="50099"/>
    <cellStyle name="Обычный 9 2 3 5 2 3" xfId="50100"/>
    <cellStyle name="Обычный 9 2 3 5 3" xfId="50101"/>
    <cellStyle name="Обычный 9 2 3 5 3 2" xfId="50102"/>
    <cellStyle name="Обычный 9 2 3 5 3 3" xfId="50103"/>
    <cellStyle name="Обычный 9 2 3 5 4" xfId="50104"/>
    <cellStyle name="Обычный 9 2 3 5 4 2" xfId="50105"/>
    <cellStyle name="Обычный 9 2 3 5 5" xfId="50106"/>
    <cellStyle name="Обычный 9 2 3 5 6" xfId="50107"/>
    <cellStyle name="Обычный 9 2 3 6" xfId="50108"/>
    <cellStyle name="Обычный 9 2 3 6 2" xfId="50109"/>
    <cellStyle name="Обычный 9 2 3 6 3" xfId="50110"/>
    <cellStyle name="Обычный 9 2 3 7" xfId="50111"/>
    <cellStyle name="Обычный 9 2 3 7 2" xfId="50112"/>
    <cellStyle name="Обычный 9 2 3 7 3" xfId="50113"/>
    <cellStyle name="Обычный 9 2 3 8" xfId="50114"/>
    <cellStyle name="Обычный 9 2 3 8 2" xfId="50115"/>
    <cellStyle name="Обычный 9 2 3 9" xfId="50116"/>
    <cellStyle name="Обычный 9 2 4" xfId="50117"/>
    <cellStyle name="Обычный 9 2 4 10" xfId="50118"/>
    <cellStyle name="Обычный 9 2 4 2" xfId="50119"/>
    <cellStyle name="Обычный 9 2 4 2 2" xfId="50120"/>
    <cellStyle name="Обычный 9 2 4 2 2 2" xfId="50121"/>
    <cellStyle name="Обычный 9 2 4 2 2 2 2" xfId="50122"/>
    <cellStyle name="Обычный 9 2 4 2 2 2 2 2" xfId="50123"/>
    <cellStyle name="Обычный 9 2 4 2 2 2 2 2 2" xfId="50124"/>
    <cellStyle name="Обычный 9 2 4 2 2 2 2 2 3" xfId="50125"/>
    <cellStyle name="Обычный 9 2 4 2 2 2 2 3" xfId="50126"/>
    <cellStyle name="Обычный 9 2 4 2 2 2 2 3 2" xfId="50127"/>
    <cellStyle name="Обычный 9 2 4 2 2 2 2 3 3" xfId="50128"/>
    <cellStyle name="Обычный 9 2 4 2 2 2 2 4" xfId="50129"/>
    <cellStyle name="Обычный 9 2 4 2 2 2 2 4 2" xfId="50130"/>
    <cellStyle name="Обычный 9 2 4 2 2 2 2 5" xfId="50131"/>
    <cellStyle name="Обычный 9 2 4 2 2 2 2 6" xfId="50132"/>
    <cellStyle name="Обычный 9 2 4 2 2 2 3" xfId="50133"/>
    <cellStyle name="Обычный 9 2 4 2 2 2 3 2" xfId="50134"/>
    <cellStyle name="Обычный 9 2 4 2 2 2 3 3" xfId="50135"/>
    <cellStyle name="Обычный 9 2 4 2 2 2 4" xfId="50136"/>
    <cellStyle name="Обычный 9 2 4 2 2 2 4 2" xfId="50137"/>
    <cellStyle name="Обычный 9 2 4 2 2 2 4 3" xfId="50138"/>
    <cellStyle name="Обычный 9 2 4 2 2 2 5" xfId="50139"/>
    <cellStyle name="Обычный 9 2 4 2 2 2 5 2" xfId="50140"/>
    <cellStyle name="Обычный 9 2 4 2 2 2 6" xfId="50141"/>
    <cellStyle name="Обычный 9 2 4 2 2 2 7" xfId="50142"/>
    <cellStyle name="Обычный 9 2 4 2 2 3" xfId="50143"/>
    <cellStyle name="Обычный 9 2 4 2 2 3 2" xfId="50144"/>
    <cellStyle name="Обычный 9 2 4 2 2 3 2 2" xfId="50145"/>
    <cellStyle name="Обычный 9 2 4 2 2 3 2 3" xfId="50146"/>
    <cellStyle name="Обычный 9 2 4 2 2 3 3" xfId="50147"/>
    <cellStyle name="Обычный 9 2 4 2 2 3 3 2" xfId="50148"/>
    <cellStyle name="Обычный 9 2 4 2 2 3 3 3" xfId="50149"/>
    <cellStyle name="Обычный 9 2 4 2 2 3 4" xfId="50150"/>
    <cellStyle name="Обычный 9 2 4 2 2 3 4 2" xfId="50151"/>
    <cellStyle name="Обычный 9 2 4 2 2 3 5" xfId="50152"/>
    <cellStyle name="Обычный 9 2 4 2 2 3 6" xfId="50153"/>
    <cellStyle name="Обычный 9 2 4 2 2 4" xfId="50154"/>
    <cellStyle name="Обычный 9 2 4 2 2 4 2" xfId="50155"/>
    <cellStyle name="Обычный 9 2 4 2 2 4 3" xfId="50156"/>
    <cellStyle name="Обычный 9 2 4 2 2 5" xfId="50157"/>
    <cellStyle name="Обычный 9 2 4 2 2 5 2" xfId="50158"/>
    <cellStyle name="Обычный 9 2 4 2 2 5 3" xfId="50159"/>
    <cellStyle name="Обычный 9 2 4 2 2 6" xfId="50160"/>
    <cellStyle name="Обычный 9 2 4 2 2 6 2" xfId="50161"/>
    <cellStyle name="Обычный 9 2 4 2 2 7" xfId="50162"/>
    <cellStyle name="Обычный 9 2 4 2 2 8" xfId="50163"/>
    <cellStyle name="Обычный 9 2 4 2 3" xfId="50164"/>
    <cellStyle name="Обычный 9 2 4 2 3 2" xfId="50165"/>
    <cellStyle name="Обычный 9 2 4 2 3 2 2" xfId="50166"/>
    <cellStyle name="Обычный 9 2 4 2 3 2 2 2" xfId="50167"/>
    <cellStyle name="Обычный 9 2 4 2 3 2 2 3" xfId="50168"/>
    <cellStyle name="Обычный 9 2 4 2 3 2 3" xfId="50169"/>
    <cellStyle name="Обычный 9 2 4 2 3 2 3 2" xfId="50170"/>
    <cellStyle name="Обычный 9 2 4 2 3 2 3 3" xfId="50171"/>
    <cellStyle name="Обычный 9 2 4 2 3 2 4" xfId="50172"/>
    <cellStyle name="Обычный 9 2 4 2 3 2 4 2" xfId="50173"/>
    <cellStyle name="Обычный 9 2 4 2 3 2 5" xfId="50174"/>
    <cellStyle name="Обычный 9 2 4 2 3 2 6" xfId="50175"/>
    <cellStyle name="Обычный 9 2 4 2 3 3" xfId="50176"/>
    <cellStyle name="Обычный 9 2 4 2 3 3 2" xfId="50177"/>
    <cellStyle name="Обычный 9 2 4 2 3 3 3" xfId="50178"/>
    <cellStyle name="Обычный 9 2 4 2 3 4" xfId="50179"/>
    <cellStyle name="Обычный 9 2 4 2 3 4 2" xfId="50180"/>
    <cellStyle name="Обычный 9 2 4 2 3 4 3" xfId="50181"/>
    <cellStyle name="Обычный 9 2 4 2 3 5" xfId="50182"/>
    <cellStyle name="Обычный 9 2 4 2 3 5 2" xfId="50183"/>
    <cellStyle name="Обычный 9 2 4 2 3 6" xfId="50184"/>
    <cellStyle name="Обычный 9 2 4 2 3 7" xfId="50185"/>
    <cellStyle name="Обычный 9 2 4 2 4" xfId="50186"/>
    <cellStyle name="Обычный 9 2 4 2 4 2" xfId="50187"/>
    <cellStyle name="Обычный 9 2 4 2 4 2 2" xfId="50188"/>
    <cellStyle name="Обычный 9 2 4 2 4 2 3" xfId="50189"/>
    <cellStyle name="Обычный 9 2 4 2 4 3" xfId="50190"/>
    <cellStyle name="Обычный 9 2 4 2 4 3 2" xfId="50191"/>
    <cellStyle name="Обычный 9 2 4 2 4 3 3" xfId="50192"/>
    <cellStyle name="Обычный 9 2 4 2 4 4" xfId="50193"/>
    <cellStyle name="Обычный 9 2 4 2 4 4 2" xfId="50194"/>
    <cellStyle name="Обычный 9 2 4 2 4 5" xfId="50195"/>
    <cellStyle name="Обычный 9 2 4 2 4 6" xfId="50196"/>
    <cellStyle name="Обычный 9 2 4 2 5" xfId="50197"/>
    <cellStyle name="Обычный 9 2 4 2 5 2" xfId="50198"/>
    <cellStyle name="Обычный 9 2 4 2 5 3" xfId="50199"/>
    <cellStyle name="Обычный 9 2 4 2 6" xfId="50200"/>
    <cellStyle name="Обычный 9 2 4 2 6 2" xfId="50201"/>
    <cellStyle name="Обычный 9 2 4 2 6 3" xfId="50202"/>
    <cellStyle name="Обычный 9 2 4 2 7" xfId="50203"/>
    <cellStyle name="Обычный 9 2 4 2 7 2" xfId="50204"/>
    <cellStyle name="Обычный 9 2 4 2 8" xfId="50205"/>
    <cellStyle name="Обычный 9 2 4 2 9" xfId="50206"/>
    <cellStyle name="Обычный 9 2 4 3" xfId="50207"/>
    <cellStyle name="Обычный 9 2 4 3 2" xfId="50208"/>
    <cellStyle name="Обычный 9 2 4 3 2 2" xfId="50209"/>
    <cellStyle name="Обычный 9 2 4 3 2 2 2" xfId="50210"/>
    <cellStyle name="Обычный 9 2 4 3 2 2 2 2" xfId="50211"/>
    <cellStyle name="Обычный 9 2 4 3 2 2 2 3" xfId="50212"/>
    <cellStyle name="Обычный 9 2 4 3 2 2 3" xfId="50213"/>
    <cellStyle name="Обычный 9 2 4 3 2 2 3 2" xfId="50214"/>
    <cellStyle name="Обычный 9 2 4 3 2 2 3 3" xfId="50215"/>
    <cellStyle name="Обычный 9 2 4 3 2 2 4" xfId="50216"/>
    <cellStyle name="Обычный 9 2 4 3 2 2 4 2" xfId="50217"/>
    <cellStyle name="Обычный 9 2 4 3 2 2 5" xfId="50218"/>
    <cellStyle name="Обычный 9 2 4 3 2 2 6" xfId="50219"/>
    <cellStyle name="Обычный 9 2 4 3 2 3" xfId="50220"/>
    <cellStyle name="Обычный 9 2 4 3 2 3 2" xfId="50221"/>
    <cellStyle name="Обычный 9 2 4 3 2 3 3" xfId="50222"/>
    <cellStyle name="Обычный 9 2 4 3 2 4" xfId="50223"/>
    <cellStyle name="Обычный 9 2 4 3 2 4 2" xfId="50224"/>
    <cellStyle name="Обычный 9 2 4 3 2 4 3" xfId="50225"/>
    <cellStyle name="Обычный 9 2 4 3 2 5" xfId="50226"/>
    <cellStyle name="Обычный 9 2 4 3 2 5 2" xfId="50227"/>
    <cellStyle name="Обычный 9 2 4 3 2 6" xfId="50228"/>
    <cellStyle name="Обычный 9 2 4 3 2 7" xfId="50229"/>
    <cellStyle name="Обычный 9 2 4 3 3" xfId="50230"/>
    <cellStyle name="Обычный 9 2 4 3 3 2" xfId="50231"/>
    <cellStyle name="Обычный 9 2 4 3 3 2 2" xfId="50232"/>
    <cellStyle name="Обычный 9 2 4 3 3 2 3" xfId="50233"/>
    <cellStyle name="Обычный 9 2 4 3 3 3" xfId="50234"/>
    <cellStyle name="Обычный 9 2 4 3 3 3 2" xfId="50235"/>
    <cellStyle name="Обычный 9 2 4 3 3 3 3" xfId="50236"/>
    <cellStyle name="Обычный 9 2 4 3 3 4" xfId="50237"/>
    <cellStyle name="Обычный 9 2 4 3 3 4 2" xfId="50238"/>
    <cellStyle name="Обычный 9 2 4 3 3 5" xfId="50239"/>
    <cellStyle name="Обычный 9 2 4 3 3 6" xfId="50240"/>
    <cellStyle name="Обычный 9 2 4 3 4" xfId="50241"/>
    <cellStyle name="Обычный 9 2 4 3 4 2" xfId="50242"/>
    <cellStyle name="Обычный 9 2 4 3 4 3" xfId="50243"/>
    <cellStyle name="Обычный 9 2 4 3 5" xfId="50244"/>
    <cellStyle name="Обычный 9 2 4 3 5 2" xfId="50245"/>
    <cellStyle name="Обычный 9 2 4 3 5 3" xfId="50246"/>
    <cellStyle name="Обычный 9 2 4 3 6" xfId="50247"/>
    <cellStyle name="Обычный 9 2 4 3 6 2" xfId="50248"/>
    <cellStyle name="Обычный 9 2 4 3 7" xfId="50249"/>
    <cellStyle name="Обычный 9 2 4 3 8" xfId="50250"/>
    <cellStyle name="Обычный 9 2 4 4" xfId="50251"/>
    <cellStyle name="Обычный 9 2 4 4 2" xfId="50252"/>
    <cellStyle name="Обычный 9 2 4 4 2 2" xfId="50253"/>
    <cellStyle name="Обычный 9 2 4 4 2 2 2" xfId="50254"/>
    <cellStyle name="Обычный 9 2 4 4 2 2 3" xfId="50255"/>
    <cellStyle name="Обычный 9 2 4 4 2 3" xfId="50256"/>
    <cellStyle name="Обычный 9 2 4 4 2 3 2" xfId="50257"/>
    <cellStyle name="Обычный 9 2 4 4 2 3 3" xfId="50258"/>
    <cellStyle name="Обычный 9 2 4 4 2 4" xfId="50259"/>
    <cellStyle name="Обычный 9 2 4 4 2 4 2" xfId="50260"/>
    <cellStyle name="Обычный 9 2 4 4 2 5" xfId="50261"/>
    <cellStyle name="Обычный 9 2 4 4 2 6" xfId="50262"/>
    <cellStyle name="Обычный 9 2 4 4 3" xfId="50263"/>
    <cellStyle name="Обычный 9 2 4 4 3 2" xfId="50264"/>
    <cellStyle name="Обычный 9 2 4 4 3 3" xfId="50265"/>
    <cellStyle name="Обычный 9 2 4 4 4" xfId="50266"/>
    <cellStyle name="Обычный 9 2 4 4 4 2" xfId="50267"/>
    <cellStyle name="Обычный 9 2 4 4 4 3" xfId="50268"/>
    <cellStyle name="Обычный 9 2 4 4 5" xfId="50269"/>
    <cellStyle name="Обычный 9 2 4 4 5 2" xfId="50270"/>
    <cellStyle name="Обычный 9 2 4 4 6" xfId="50271"/>
    <cellStyle name="Обычный 9 2 4 4 7" xfId="50272"/>
    <cellStyle name="Обычный 9 2 4 5" xfId="50273"/>
    <cellStyle name="Обычный 9 2 4 5 2" xfId="50274"/>
    <cellStyle name="Обычный 9 2 4 5 2 2" xfId="50275"/>
    <cellStyle name="Обычный 9 2 4 5 2 3" xfId="50276"/>
    <cellStyle name="Обычный 9 2 4 5 3" xfId="50277"/>
    <cellStyle name="Обычный 9 2 4 5 3 2" xfId="50278"/>
    <cellStyle name="Обычный 9 2 4 5 3 3" xfId="50279"/>
    <cellStyle name="Обычный 9 2 4 5 4" xfId="50280"/>
    <cellStyle name="Обычный 9 2 4 5 4 2" xfId="50281"/>
    <cellStyle name="Обычный 9 2 4 5 5" xfId="50282"/>
    <cellStyle name="Обычный 9 2 4 5 6" xfId="50283"/>
    <cellStyle name="Обычный 9 2 4 6" xfId="50284"/>
    <cellStyle name="Обычный 9 2 4 6 2" xfId="50285"/>
    <cellStyle name="Обычный 9 2 4 6 3" xfId="50286"/>
    <cellStyle name="Обычный 9 2 4 7" xfId="50287"/>
    <cellStyle name="Обычный 9 2 4 7 2" xfId="50288"/>
    <cellStyle name="Обычный 9 2 4 7 3" xfId="50289"/>
    <cellStyle name="Обычный 9 2 4 8" xfId="50290"/>
    <cellStyle name="Обычный 9 2 4 8 2" xfId="50291"/>
    <cellStyle name="Обычный 9 2 4 9" xfId="50292"/>
    <cellStyle name="Обычный 9 2 5" xfId="50293"/>
    <cellStyle name="Обычный 9 2 5 10" xfId="50294"/>
    <cellStyle name="Обычный 9 2 5 2" xfId="50295"/>
    <cellStyle name="Обычный 9 2 5 2 2" xfId="50296"/>
    <cellStyle name="Обычный 9 2 5 2 2 2" xfId="50297"/>
    <cellStyle name="Обычный 9 2 5 2 2 2 2" xfId="50298"/>
    <cellStyle name="Обычный 9 2 5 2 2 2 2 2" xfId="50299"/>
    <cellStyle name="Обычный 9 2 5 2 2 2 2 2 2" xfId="50300"/>
    <cellStyle name="Обычный 9 2 5 2 2 2 2 2 3" xfId="50301"/>
    <cellStyle name="Обычный 9 2 5 2 2 2 2 3" xfId="50302"/>
    <cellStyle name="Обычный 9 2 5 2 2 2 2 3 2" xfId="50303"/>
    <cellStyle name="Обычный 9 2 5 2 2 2 2 3 3" xfId="50304"/>
    <cellStyle name="Обычный 9 2 5 2 2 2 2 4" xfId="50305"/>
    <cellStyle name="Обычный 9 2 5 2 2 2 2 4 2" xfId="50306"/>
    <cellStyle name="Обычный 9 2 5 2 2 2 2 5" xfId="50307"/>
    <cellStyle name="Обычный 9 2 5 2 2 2 2 6" xfId="50308"/>
    <cellStyle name="Обычный 9 2 5 2 2 2 3" xfId="50309"/>
    <cellStyle name="Обычный 9 2 5 2 2 2 3 2" xfId="50310"/>
    <cellStyle name="Обычный 9 2 5 2 2 2 3 3" xfId="50311"/>
    <cellStyle name="Обычный 9 2 5 2 2 2 4" xfId="50312"/>
    <cellStyle name="Обычный 9 2 5 2 2 2 4 2" xfId="50313"/>
    <cellStyle name="Обычный 9 2 5 2 2 2 4 3" xfId="50314"/>
    <cellStyle name="Обычный 9 2 5 2 2 2 5" xfId="50315"/>
    <cellStyle name="Обычный 9 2 5 2 2 2 5 2" xfId="50316"/>
    <cellStyle name="Обычный 9 2 5 2 2 2 6" xfId="50317"/>
    <cellStyle name="Обычный 9 2 5 2 2 2 7" xfId="50318"/>
    <cellStyle name="Обычный 9 2 5 2 2 3" xfId="50319"/>
    <cellStyle name="Обычный 9 2 5 2 2 3 2" xfId="50320"/>
    <cellStyle name="Обычный 9 2 5 2 2 3 2 2" xfId="50321"/>
    <cellStyle name="Обычный 9 2 5 2 2 3 2 3" xfId="50322"/>
    <cellStyle name="Обычный 9 2 5 2 2 3 3" xfId="50323"/>
    <cellStyle name="Обычный 9 2 5 2 2 3 3 2" xfId="50324"/>
    <cellStyle name="Обычный 9 2 5 2 2 3 3 3" xfId="50325"/>
    <cellStyle name="Обычный 9 2 5 2 2 3 4" xfId="50326"/>
    <cellStyle name="Обычный 9 2 5 2 2 3 4 2" xfId="50327"/>
    <cellStyle name="Обычный 9 2 5 2 2 3 5" xfId="50328"/>
    <cellStyle name="Обычный 9 2 5 2 2 3 6" xfId="50329"/>
    <cellStyle name="Обычный 9 2 5 2 2 4" xfId="50330"/>
    <cellStyle name="Обычный 9 2 5 2 2 4 2" xfId="50331"/>
    <cellStyle name="Обычный 9 2 5 2 2 4 3" xfId="50332"/>
    <cellStyle name="Обычный 9 2 5 2 2 5" xfId="50333"/>
    <cellStyle name="Обычный 9 2 5 2 2 5 2" xfId="50334"/>
    <cellStyle name="Обычный 9 2 5 2 2 5 3" xfId="50335"/>
    <cellStyle name="Обычный 9 2 5 2 2 6" xfId="50336"/>
    <cellStyle name="Обычный 9 2 5 2 2 6 2" xfId="50337"/>
    <cellStyle name="Обычный 9 2 5 2 2 7" xfId="50338"/>
    <cellStyle name="Обычный 9 2 5 2 2 8" xfId="50339"/>
    <cellStyle name="Обычный 9 2 5 2 3" xfId="50340"/>
    <cellStyle name="Обычный 9 2 5 2 3 2" xfId="50341"/>
    <cellStyle name="Обычный 9 2 5 2 3 2 2" xfId="50342"/>
    <cellStyle name="Обычный 9 2 5 2 3 2 2 2" xfId="50343"/>
    <cellStyle name="Обычный 9 2 5 2 3 2 2 3" xfId="50344"/>
    <cellStyle name="Обычный 9 2 5 2 3 2 3" xfId="50345"/>
    <cellStyle name="Обычный 9 2 5 2 3 2 3 2" xfId="50346"/>
    <cellStyle name="Обычный 9 2 5 2 3 2 3 3" xfId="50347"/>
    <cellStyle name="Обычный 9 2 5 2 3 2 4" xfId="50348"/>
    <cellStyle name="Обычный 9 2 5 2 3 2 4 2" xfId="50349"/>
    <cellStyle name="Обычный 9 2 5 2 3 2 5" xfId="50350"/>
    <cellStyle name="Обычный 9 2 5 2 3 2 6" xfId="50351"/>
    <cellStyle name="Обычный 9 2 5 2 3 3" xfId="50352"/>
    <cellStyle name="Обычный 9 2 5 2 3 3 2" xfId="50353"/>
    <cellStyle name="Обычный 9 2 5 2 3 3 3" xfId="50354"/>
    <cellStyle name="Обычный 9 2 5 2 3 4" xfId="50355"/>
    <cellStyle name="Обычный 9 2 5 2 3 4 2" xfId="50356"/>
    <cellStyle name="Обычный 9 2 5 2 3 4 3" xfId="50357"/>
    <cellStyle name="Обычный 9 2 5 2 3 5" xfId="50358"/>
    <cellStyle name="Обычный 9 2 5 2 3 5 2" xfId="50359"/>
    <cellStyle name="Обычный 9 2 5 2 3 6" xfId="50360"/>
    <cellStyle name="Обычный 9 2 5 2 3 7" xfId="50361"/>
    <cellStyle name="Обычный 9 2 5 2 4" xfId="50362"/>
    <cellStyle name="Обычный 9 2 5 2 4 2" xfId="50363"/>
    <cellStyle name="Обычный 9 2 5 2 4 2 2" xfId="50364"/>
    <cellStyle name="Обычный 9 2 5 2 4 2 3" xfId="50365"/>
    <cellStyle name="Обычный 9 2 5 2 4 3" xfId="50366"/>
    <cellStyle name="Обычный 9 2 5 2 4 3 2" xfId="50367"/>
    <cellStyle name="Обычный 9 2 5 2 4 3 3" xfId="50368"/>
    <cellStyle name="Обычный 9 2 5 2 4 4" xfId="50369"/>
    <cellStyle name="Обычный 9 2 5 2 4 4 2" xfId="50370"/>
    <cellStyle name="Обычный 9 2 5 2 4 5" xfId="50371"/>
    <cellStyle name="Обычный 9 2 5 2 4 6" xfId="50372"/>
    <cellStyle name="Обычный 9 2 5 2 5" xfId="50373"/>
    <cellStyle name="Обычный 9 2 5 2 5 2" xfId="50374"/>
    <cellStyle name="Обычный 9 2 5 2 5 3" xfId="50375"/>
    <cellStyle name="Обычный 9 2 5 2 6" xfId="50376"/>
    <cellStyle name="Обычный 9 2 5 2 6 2" xfId="50377"/>
    <cellStyle name="Обычный 9 2 5 2 6 3" xfId="50378"/>
    <cellStyle name="Обычный 9 2 5 2 7" xfId="50379"/>
    <cellStyle name="Обычный 9 2 5 2 7 2" xfId="50380"/>
    <cellStyle name="Обычный 9 2 5 2 8" xfId="50381"/>
    <cellStyle name="Обычный 9 2 5 2 9" xfId="50382"/>
    <cellStyle name="Обычный 9 2 5 3" xfId="50383"/>
    <cellStyle name="Обычный 9 2 5 3 2" xfId="50384"/>
    <cellStyle name="Обычный 9 2 5 3 2 2" xfId="50385"/>
    <cellStyle name="Обычный 9 2 5 3 2 2 2" xfId="50386"/>
    <cellStyle name="Обычный 9 2 5 3 2 2 2 2" xfId="50387"/>
    <cellStyle name="Обычный 9 2 5 3 2 2 2 3" xfId="50388"/>
    <cellStyle name="Обычный 9 2 5 3 2 2 3" xfId="50389"/>
    <cellStyle name="Обычный 9 2 5 3 2 2 3 2" xfId="50390"/>
    <cellStyle name="Обычный 9 2 5 3 2 2 3 3" xfId="50391"/>
    <cellStyle name="Обычный 9 2 5 3 2 2 4" xfId="50392"/>
    <cellStyle name="Обычный 9 2 5 3 2 2 4 2" xfId="50393"/>
    <cellStyle name="Обычный 9 2 5 3 2 2 5" xfId="50394"/>
    <cellStyle name="Обычный 9 2 5 3 2 2 6" xfId="50395"/>
    <cellStyle name="Обычный 9 2 5 3 2 3" xfId="50396"/>
    <cellStyle name="Обычный 9 2 5 3 2 3 2" xfId="50397"/>
    <cellStyle name="Обычный 9 2 5 3 2 3 3" xfId="50398"/>
    <cellStyle name="Обычный 9 2 5 3 2 4" xfId="50399"/>
    <cellStyle name="Обычный 9 2 5 3 2 4 2" xfId="50400"/>
    <cellStyle name="Обычный 9 2 5 3 2 4 3" xfId="50401"/>
    <cellStyle name="Обычный 9 2 5 3 2 5" xfId="50402"/>
    <cellStyle name="Обычный 9 2 5 3 2 5 2" xfId="50403"/>
    <cellStyle name="Обычный 9 2 5 3 2 6" xfId="50404"/>
    <cellStyle name="Обычный 9 2 5 3 2 7" xfId="50405"/>
    <cellStyle name="Обычный 9 2 5 3 3" xfId="50406"/>
    <cellStyle name="Обычный 9 2 5 3 3 2" xfId="50407"/>
    <cellStyle name="Обычный 9 2 5 3 3 2 2" xfId="50408"/>
    <cellStyle name="Обычный 9 2 5 3 3 2 3" xfId="50409"/>
    <cellStyle name="Обычный 9 2 5 3 3 3" xfId="50410"/>
    <cellStyle name="Обычный 9 2 5 3 3 3 2" xfId="50411"/>
    <cellStyle name="Обычный 9 2 5 3 3 3 3" xfId="50412"/>
    <cellStyle name="Обычный 9 2 5 3 3 4" xfId="50413"/>
    <cellStyle name="Обычный 9 2 5 3 3 4 2" xfId="50414"/>
    <cellStyle name="Обычный 9 2 5 3 3 5" xfId="50415"/>
    <cellStyle name="Обычный 9 2 5 3 3 6" xfId="50416"/>
    <cellStyle name="Обычный 9 2 5 3 4" xfId="50417"/>
    <cellStyle name="Обычный 9 2 5 3 4 2" xfId="50418"/>
    <cellStyle name="Обычный 9 2 5 3 4 3" xfId="50419"/>
    <cellStyle name="Обычный 9 2 5 3 5" xfId="50420"/>
    <cellStyle name="Обычный 9 2 5 3 5 2" xfId="50421"/>
    <cellStyle name="Обычный 9 2 5 3 5 3" xfId="50422"/>
    <cellStyle name="Обычный 9 2 5 3 6" xfId="50423"/>
    <cellStyle name="Обычный 9 2 5 3 6 2" xfId="50424"/>
    <cellStyle name="Обычный 9 2 5 3 7" xfId="50425"/>
    <cellStyle name="Обычный 9 2 5 3 8" xfId="50426"/>
    <cellStyle name="Обычный 9 2 5 4" xfId="50427"/>
    <cellStyle name="Обычный 9 2 5 4 2" xfId="50428"/>
    <cellStyle name="Обычный 9 2 5 4 2 2" xfId="50429"/>
    <cellStyle name="Обычный 9 2 5 4 2 2 2" xfId="50430"/>
    <cellStyle name="Обычный 9 2 5 4 2 2 3" xfId="50431"/>
    <cellStyle name="Обычный 9 2 5 4 2 3" xfId="50432"/>
    <cellStyle name="Обычный 9 2 5 4 2 3 2" xfId="50433"/>
    <cellStyle name="Обычный 9 2 5 4 2 3 3" xfId="50434"/>
    <cellStyle name="Обычный 9 2 5 4 2 4" xfId="50435"/>
    <cellStyle name="Обычный 9 2 5 4 2 4 2" xfId="50436"/>
    <cellStyle name="Обычный 9 2 5 4 2 5" xfId="50437"/>
    <cellStyle name="Обычный 9 2 5 4 2 6" xfId="50438"/>
    <cellStyle name="Обычный 9 2 5 4 3" xfId="50439"/>
    <cellStyle name="Обычный 9 2 5 4 3 2" xfId="50440"/>
    <cellStyle name="Обычный 9 2 5 4 3 3" xfId="50441"/>
    <cellStyle name="Обычный 9 2 5 4 4" xfId="50442"/>
    <cellStyle name="Обычный 9 2 5 4 4 2" xfId="50443"/>
    <cellStyle name="Обычный 9 2 5 4 4 3" xfId="50444"/>
    <cellStyle name="Обычный 9 2 5 4 5" xfId="50445"/>
    <cellStyle name="Обычный 9 2 5 4 5 2" xfId="50446"/>
    <cellStyle name="Обычный 9 2 5 4 6" xfId="50447"/>
    <cellStyle name="Обычный 9 2 5 4 7" xfId="50448"/>
    <cellStyle name="Обычный 9 2 5 5" xfId="50449"/>
    <cellStyle name="Обычный 9 2 5 5 2" xfId="50450"/>
    <cellStyle name="Обычный 9 2 5 5 2 2" xfId="50451"/>
    <cellStyle name="Обычный 9 2 5 5 2 3" xfId="50452"/>
    <cellStyle name="Обычный 9 2 5 5 3" xfId="50453"/>
    <cellStyle name="Обычный 9 2 5 5 3 2" xfId="50454"/>
    <cellStyle name="Обычный 9 2 5 5 3 3" xfId="50455"/>
    <cellStyle name="Обычный 9 2 5 5 4" xfId="50456"/>
    <cellStyle name="Обычный 9 2 5 5 4 2" xfId="50457"/>
    <cellStyle name="Обычный 9 2 5 5 5" xfId="50458"/>
    <cellStyle name="Обычный 9 2 5 5 6" xfId="50459"/>
    <cellStyle name="Обычный 9 2 5 6" xfId="50460"/>
    <cellStyle name="Обычный 9 2 5 6 2" xfId="50461"/>
    <cellStyle name="Обычный 9 2 5 6 3" xfId="50462"/>
    <cellStyle name="Обычный 9 2 5 7" xfId="50463"/>
    <cellStyle name="Обычный 9 2 5 7 2" xfId="50464"/>
    <cellStyle name="Обычный 9 2 5 7 3" xfId="50465"/>
    <cellStyle name="Обычный 9 2 5 8" xfId="50466"/>
    <cellStyle name="Обычный 9 2 5 8 2" xfId="50467"/>
    <cellStyle name="Обычный 9 2 5 9" xfId="50468"/>
    <cellStyle name="Обычный 9 2 6" xfId="50469"/>
    <cellStyle name="Обычный 9 2 6 2" xfId="50470"/>
    <cellStyle name="Обычный 9 2 6 2 2" xfId="50471"/>
    <cellStyle name="Обычный 9 2 6 2 2 2" xfId="50472"/>
    <cellStyle name="Обычный 9 2 6 2 2 2 2" xfId="50473"/>
    <cellStyle name="Обычный 9 2 6 2 2 2 2 2" xfId="50474"/>
    <cellStyle name="Обычный 9 2 6 2 2 2 2 3" xfId="50475"/>
    <cellStyle name="Обычный 9 2 6 2 2 2 3" xfId="50476"/>
    <cellStyle name="Обычный 9 2 6 2 2 2 3 2" xfId="50477"/>
    <cellStyle name="Обычный 9 2 6 2 2 2 3 3" xfId="50478"/>
    <cellStyle name="Обычный 9 2 6 2 2 2 4" xfId="50479"/>
    <cellStyle name="Обычный 9 2 6 2 2 2 4 2" xfId="50480"/>
    <cellStyle name="Обычный 9 2 6 2 2 2 5" xfId="50481"/>
    <cellStyle name="Обычный 9 2 6 2 2 2 6" xfId="50482"/>
    <cellStyle name="Обычный 9 2 6 2 2 3" xfId="50483"/>
    <cellStyle name="Обычный 9 2 6 2 2 3 2" xfId="50484"/>
    <cellStyle name="Обычный 9 2 6 2 2 3 3" xfId="50485"/>
    <cellStyle name="Обычный 9 2 6 2 2 4" xfId="50486"/>
    <cellStyle name="Обычный 9 2 6 2 2 4 2" xfId="50487"/>
    <cellStyle name="Обычный 9 2 6 2 2 4 3" xfId="50488"/>
    <cellStyle name="Обычный 9 2 6 2 2 5" xfId="50489"/>
    <cellStyle name="Обычный 9 2 6 2 2 5 2" xfId="50490"/>
    <cellStyle name="Обычный 9 2 6 2 2 6" xfId="50491"/>
    <cellStyle name="Обычный 9 2 6 2 2 7" xfId="50492"/>
    <cellStyle name="Обычный 9 2 6 2 3" xfId="50493"/>
    <cellStyle name="Обычный 9 2 6 2 3 2" xfId="50494"/>
    <cellStyle name="Обычный 9 2 6 2 3 2 2" xfId="50495"/>
    <cellStyle name="Обычный 9 2 6 2 3 2 3" xfId="50496"/>
    <cellStyle name="Обычный 9 2 6 2 3 3" xfId="50497"/>
    <cellStyle name="Обычный 9 2 6 2 3 3 2" xfId="50498"/>
    <cellStyle name="Обычный 9 2 6 2 3 3 3" xfId="50499"/>
    <cellStyle name="Обычный 9 2 6 2 3 4" xfId="50500"/>
    <cellStyle name="Обычный 9 2 6 2 3 4 2" xfId="50501"/>
    <cellStyle name="Обычный 9 2 6 2 3 5" xfId="50502"/>
    <cellStyle name="Обычный 9 2 6 2 3 6" xfId="50503"/>
    <cellStyle name="Обычный 9 2 6 2 4" xfId="50504"/>
    <cellStyle name="Обычный 9 2 6 2 4 2" xfId="50505"/>
    <cellStyle name="Обычный 9 2 6 2 4 3" xfId="50506"/>
    <cellStyle name="Обычный 9 2 6 2 5" xfId="50507"/>
    <cellStyle name="Обычный 9 2 6 2 5 2" xfId="50508"/>
    <cellStyle name="Обычный 9 2 6 2 5 3" xfId="50509"/>
    <cellStyle name="Обычный 9 2 6 2 6" xfId="50510"/>
    <cellStyle name="Обычный 9 2 6 2 6 2" xfId="50511"/>
    <cellStyle name="Обычный 9 2 6 2 7" xfId="50512"/>
    <cellStyle name="Обычный 9 2 6 2 8" xfId="50513"/>
    <cellStyle name="Обычный 9 2 6 3" xfId="50514"/>
    <cellStyle name="Обычный 9 2 6 3 2" xfId="50515"/>
    <cellStyle name="Обычный 9 2 6 3 2 2" xfId="50516"/>
    <cellStyle name="Обычный 9 2 6 3 2 2 2" xfId="50517"/>
    <cellStyle name="Обычный 9 2 6 3 2 2 3" xfId="50518"/>
    <cellStyle name="Обычный 9 2 6 3 2 3" xfId="50519"/>
    <cellStyle name="Обычный 9 2 6 3 2 3 2" xfId="50520"/>
    <cellStyle name="Обычный 9 2 6 3 2 3 3" xfId="50521"/>
    <cellStyle name="Обычный 9 2 6 3 2 4" xfId="50522"/>
    <cellStyle name="Обычный 9 2 6 3 2 4 2" xfId="50523"/>
    <cellStyle name="Обычный 9 2 6 3 2 5" xfId="50524"/>
    <cellStyle name="Обычный 9 2 6 3 2 6" xfId="50525"/>
    <cellStyle name="Обычный 9 2 6 3 3" xfId="50526"/>
    <cellStyle name="Обычный 9 2 6 3 3 2" xfId="50527"/>
    <cellStyle name="Обычный 9 2 6 3 3 3" xfId="50528"/>
    <cellStyle name="Обычный 9 2 6 3 4" xfId="50529"/>
    <cellStyle name="Обычный 9 2 6 3 4 2" xfId="50530"/>
    <cellStyle name="Обычный 9 2 6 3 4 3" xfId="50531"/>
    <cellStyle name="Обычный 9 2 6 3 5" xfId="50532"/>
    <cellStyle name="Обычный 9 2 6 3 5 2" xfId="50533"/>
    <cellStyle name="Обычный 9 2 6 3 6" xfId="50534"/>
    <cellStyle name="Обычный 9 2 6 3 7" xfId="50535"/>
    <cellStyle name="Обычный 9 2 6 4" xfId="50536"/>
    <cellStyle name="Обычный 9 2 6 4 2" xfId="50537"/>
    <cellStyle name="Обычный 9 2 6 4 2 2" xfId="50538"/>
    <cellStyle name="Обычный 9 2 6 4 2 3" xfId="50539"/>
    <cellStyle name="Обычный 9 2 6 4 3" xfId="50540"/>
    <cellStyle name="Обычный 9 2 6 4 3 2" xfId="50541"/>
    <cellStyle name="Обычный 9 2 6 4 3 3" xfId="50542"/>
    <cellStyle name="Обычный 9 2 6 4 4" xfId="50543"/>
    <cellStyle name="Обычный 9 2 6 4 4 2" xfId="50544"/>
    <cellStyle name="Обычный 9 2 6 4 5" xfId="50545"/>
    <cellStyle name="Обычный 9 2 6 4 6" xfId="50546"/>
    <cellStyle name="Обычный 9 2 6 5" xfId="50547"/>
    <cellStyle name="Обычный 9 2 6 5 2" xfId="50548"/>
    <cellStyle name="Обычный 9 2 6 5 3" xfId="50549"/>
    <cellStyle name="Обычный 9 2 6 6" xfId="50550"/>
    <cellStyle name="Обычный 9 2 6 6 2" xfId="50551"/>
    <cellStyle name="Обычный 9 2 6 6 3" xfId="50552"/>
    <cellStyle name="Обычный 9 2 6 7" xfId="50553"/>
    <cellStyle name="Обычный 9 2 6 7 2" xfId="50554"/>
    <cellStyle name="Обычный 9 2 6 8" xfId="50555"/>
    <cellStyle name="Обычный 9 2 6 9" xfId="50556"/>
    <cellStyle name="Обычный 9 2 7" xfId="50557"/>
    <cellStyle name="Обычный 9 2 7 2" xfId="50558"/>
    <cellStyle name="Обычный 9 2 7 2 2" xfId="50559"/>
    <cellStyle name="Обычный 9 2 7 2 2 2" xfId="50560"/>
    <cellStyle name="Обычный 9 2 7 2 2 2 2" xfId="50561"/>
    <cellStyle name="Обычный 9 2 7 2 2 2 3" xfId="50562"/>
    <cellStyle name="Обычный 9 2 7 2 2 3" xfId="50563"/>
    <cellStyle name="Обычный 9 2 7 2 2 3 2" xfId="50564"/>
    <cellStyle name="Обычный 9 2 7 2 2 3 3" xfId="50565"/>
    <cellStyle name="Обычный 9 2 7 2 2 4" xfId="50566"/>
    <cellStyle name="Обычный 9 2 7 2 2 4 2" xfId="50567"/>
    <cellStyle name="Обычный 9 2 7 2 2 5" xfId="50568"/>
    <cellStyle name="Обычный 9 2 7 2 2 6" xfId="50569"/>
    <cellStyle name="Обычный 9 2 7 2 3" xfId="50570"/>
    <cellStyle name="Обычный 9 2 7 2 3 2" xfId="50571"/>
    <cellStyle name="Обычный 9 2 7 2 3 3" xfId="50572"/>
    <cellStyle name="Обычный 9 2 7 2 4" xfId="50573"/>
    <cellStyle name="Обычный 9 2 7 2 4 2" xfId="50574"/>
    <cellStyle name="Обычный 9 2 7 2 4 3" xfId="50575"/>
    <cellStyle name="Обычный 9 2 7 2 5" xfId="50576"/>
    <cellStyle name="Обычный 9 2 7 2 5 2" xfId="50577"/>
    <cellStyle name="Обычный 9 2 7 2 6" xfId="50578"/>
    <cellStyle name="Обычный 9 2 7 2 7" xfId="50579"/>
    <cellStyle name="Обычный 9 2 7 3" xfId="50580"/>
    <cellStyle name="Обычный 9 2 7 3 2" xfId="50581"/>
    <cellStyle name="Обычный 9 2 7 3 2 2" xfId="50582"/>
    <cellStyle name="Обычный 9 2 7 3 2 3" xfId="50583"/>
    <cellStyle name="Обычный 9 2 7 3 3" xfId="50584"/>
    <cellStyle name="Обычный 9 2 7 3 3 2" xfId="50585"/>
    <cellStyle name="Обычный 9 2 7 3 3 3" xfId="50586"/>
    <cellStyle name="Обычный 9 2 7 3 4" xfId="50587"/>
    <cellStyle name="Обычный 9 2 7 3 4 2" xfId="50588"/>
    <cellStyle name="Обычный 9 2 7 3 5" xfId="50589"/>
    <cellStyle name="Обычный 9 2 7 3 6" xfId="50590"/>
    <cellStyle name="Обычный 9 2 7 4" xfId="50591"/>
    <cellStyle name="Обычный 9 2 7 4 2" xfId="50592"/>
    <cellStyle name="Обычный 9 2 7 4 3" xfId="50593"/>
    <cellStyle name="Обычный 9 2 7 5" xfId="50594"/>
    <cellStyle name="Обычный 9 2 7 5 2" xfId="50595"/>
    <cellStyle name="Обычный 9 2 7 5 3" xfId="50596"/>
    <cellStyle name="Обычный 9 2 7 6" xfId="50597"/>
    <cellStyle name="Обычный 9 2 7 6 2" xfId="50598"/>
    <cellStyle name="Обычный 9 2 7 7" xfId="50599"/>
    <cellStyle name="Обычный 9 2 7 8" xfId="50600"/>
    <cellStyle name="Обычный 9 2 8" xfId="50601"/>
    <cellStyle name="Обычный 9 2 8 2" xfId="50602"/>
    <cellStyle name="Обычный 9 2 8 2 2" xfId="50603"/>
    <cellStyle name="Обычный 9 2 8 2 2 2" xfId="50604"/>
    <cellStyle name="Обычный 9 2 8 2 2 3" xfId="50605"/>
    <cellStyle name="Обычный 9 2 8 2 3" xfId="50606"/>
    <cellStyle name="Обычный 9 2 8 2 3 2" xfId="50607"/>
    <cellStyle name="Обычный 9 2 8 2 3 3" xfId="50608"/>
    <cellStyle name="Обычный 9 2 8 2 4" xfId="50609"/>
    <cellStyle name="Обычный 9 2 8 2 4 2" xfId="50610"/>
    <cellStyle name="Обычный 9 2 8 2 5" xfId="50611"/>
    <cellStyle name="Обычный 9 2 8 2 6" xfId="50612"/>
    <cellStyle name="Обычный 9 2 8 3" xfId="50613"/>
    <cellStyle name="Обычный 9 2 8 3 2" xfId="50614"/>
    <cellStyle name="Обычный 9 2 8 3 3" xfId="50615"/>
    <cellStyle name="Обычный 9 2 8 4" xfId="50616"/>
    <cellStyle name="Обычный 9 2 8 4 2" xfId="50617"/>
    <cellStyle name="Обычный 9 2 8 4 3" xfId="50618"/>
    <cellStyle name="Обычный 9 2 8 5" xfId="50619"/>
    <cellStyle name="Обычный 9 2 8 5 2" xfId="50620"/>
    <cellStyle name="Обычный 9 2 8 6" xfId="50621"/>
    <cellStyle name="Обычный 9 2 8 7" xfId="50622"/>
    <cellStyle name="Обычный 9 2 9" xfId="50623"/>
    <cellStyle name="Обычный 9 2 9 2" xfId="50624"/>
    <cellStyle name="Обычный 9 2 9 2 2" xfId="50625"/>
    <cellStyle name="Обычный 9 2 9 2 3" xfId="50626"/>
    <cellStyle name="Обычный 9 2 9 3" xfId="50627"/>
    <cellStyle name="Обычный 9 2 9 3 2" xfId="50628"/>
    <cellStyle name="Обычный 9 2 9 3 3" xfId="50629"/>
    <cellStyle name="Обычный 9 2 9 4" xfId="50630"/>
    <cellStyle name="Обычный 9 2 9 4 2" xfId="50631"/>
    <cellStyle name="Обычный 9 2 9 5" xfId="50632"/>
    <cellStyle name="Обычный 9 2 9 6" xfId="50633"/>
    <cellStyle name="Обычный 9 20" xfId="50634"/>
    <cellStyle name="Обычный 9 21" xfId="50635"/>
    <cellStyle name="Обычный 9 3" xfId="50636"/>
    <cellStyle name="Обычный 9 3 10" xfId="50637"/>
    <cellStyle name="Обычный 9 3 10 2" xfId="50638"/>
    <cellStyle name="Обычный 9 3 10 3" xfId="50639"/>
    <cellStyle name="Обычный 9 3 11" xfId="50640"/>
    <cellStyle name="Обычный 9 3 11 2" xfId="50641"/>
    <cellStyle name="Обычный 9 3 11 3" xfId="50642"/>
    <cellStyle name="Обычный 9 3 12" xfId="50643"/>
    <cellStyle name="Обычный 9 3 12 2" xfId="50644"/>
    <cellStyle name="Обычный 9 3 13" xfId="50645"/>
    <cellStyle name="Обычный 9 3 14" xfId="50646"/>
    <cellStyle name="Обычный 9 3 2" xfId="50647"/>
    <cellStyle name="Обычный 9 3 2 10" xfId="50648"/>
    <cellStyle name="Обычный 9 3 2 10 2" xfId="50649"/>
    <cellStyle name="Обычный 9 3 2 10 3" xfId="50650"/>
    <cellStyle name="Обычный 9 3 2 11" xfId="50651"/>
    <cellStyle name="Обычный 9 3 2 11 2" xfId="50652"/>
    <cellStyle name="Обычный 9 3 2 12" xfId="50653"/>
    <cellStyle name="Обычный 9 3 2 13" xfId="50654"/>
    <cellStyle name="Обычный 9 3 2 2" xfId="50655"/>
    <cellStyle name="Обычный 9 3 2 2 10" xfId="50656"/>
    <cellStyle name="Обычный 9 3 2 2 2" xfId="50657"/>
    <cellStyle name="Обычный 9 3 2 2 2 2" xfId="50658"/>
    <cellStyle name="Обычный 9 3 2 2 2 2 2" xfId="50659"/>
    <cellStyle name="Обычный 9 3 2 2 2 2 2 2" xfId="50660"/>
    <cellStyle name="Обычный 9 3 2 2 2 2 2 2 2" xfId="50661"/>
    <cellStyle name="Обычный 9 3 2 2 2 2 2 2 2 2" xfId="50662"/>
    <cellStyle name="Обычный 9 3 2 2 2 2 2 2 2 3" xfId="50663"/>
    <cellStyle name="Обычный 9 3 2 2 2 2 2 2 3" xfId="50664"/>
    <cellStyle name="Обычный 9 3 2 2 2 2 2 2 3 2" xfId="50665"/>
    <cellStyle name="Обычный 9 3 2 2 2 2 2 2 3 3" xfId="50666"/>
    <cellStyle name="Обычный 9 3 2 2 2 2 2 2 4" xfId="50667"/>
    <cellStyle name="Обычный 9 3 2 2 2 2 2 2 4 2" xfId="50668"/>
    <cellStyle name="Обычный 9 3 2 2 2 2 2 2 5" xfId="50669"/>
    <cellStyle name="Обычный 9 3 2 2 2 2 2 2 6" xfId="50670"/>
    <cellStyle name="Обычный 9 3 2 2 2 2 2 3" xfId="50671"/>
    <cellStyle name="Обычный 9 3 2 2 2 2 2 3 2" xfId="50672"/>
    <cellStyle name="Обычный 9 3 2 2 2 2 2 3 3" xfId="50673"/>
    <cellStyle name="Обычный 9 3 2 2 2 2 2 4" xfId="50674"/>
    <cellStyle name="Обычный 9 3 2 2 2 2 2 4 2" xfId="50675"/>
    <cellStyle name="Обычный 9 3 2 2 2 2 2 4 3" xfId="50676"/>
    <cellStyle name="Обычный 9 3 2 2 2 2 2 5" xfId="50677"/>
    <cellStyle name="Обычный 9 3 2 2 2 2 2 5 2" xfId="50678"/>
    <cellStyle name="Обычный 9 3 2 2 2 2 2 6" xfId="50679"/>
    <cellStyle name="Обычный 9 3 2 2 2 2 2 7" xfId="50680"/>
    <cellStyle name="Обычный 9 3 2 2 2 2 3" xfId="50681"/>
    <cellStyle name="Обычный 9 3 2 2 2 2 3 2" xfId="50682"/>
    <cellStyle name="Обычный 9 3 2 2 2 2 3 2 2" xfId="50683"/>
    <cellStyle name="Обычный 9 3 2 2 2 2 3 2 3" xfId="50684"/>
    <cellStyle name="Обычный 9 3 2 2 2 2 3 3" xfId="50685"/>
    <cellStyle name="Обычный 9 3 2 2 2 2 3 3 2" xfId="50686"/>
    <cellStyle name="Обычный 9 3 2 2 2 2 3 3 3" xfId="50687"/>
    <cellStyle name="Обычный 9 3 2 2 2 2 3 4" xfId="50688"/>
    <cellStyle name="Обычный 9 3 2 2 2 2 3 4 2" xfId="50689"/>
    <cellStyle name="Обычный 9 3 2 2 2 2 3 5" xfId="50690"/>
    <cellStyle name="Обычный 9 3 2 2 2 2 3 6" xfId="50691"/>
    <cellStyle name="Обычный 9 3 2 2 2 2 4" xfId="50692"/>
    <cellStyle name="Обычный 9 3 2 2 2 2 4 2" xfId="50693"/>
    <cellStyle name="Обычный 9 3 2 2 2 2 4 3" xfId="50694"/>
    <cellStyle name="Обычный 9 3 2 2 2 2 5" xfId="50695"/>
    <cellStyle name="Обычный 9 3 2 2 2 2 5 2" xfId="50696"/>
    <cellStyle name="Обычный 9 3 2 2 2 2 5 3" xfId="50697"/>
    <cellStyle name="Обычный 9 3 2 2 2 2 6" xfId="50698"/>
    <cellStyle name="Обычный 9 3 2 2 2 2 6 2" xfId="50699"/>
    <cellStyle name="Обычный 9 3 2 2 2 2 7" xfId="50700"/>
    <cellStyle name="Обычный 9 3 2 2 2 2 8" xfId="50701"/>
    <cellStyle name="Обычный 9 3 2 2 2 3" xfId="50702"/>
    <cellStyle name="Обычный 9 3 2 2 2 3 2" xfId="50703"/>
    <cellStyle name="Обычный 9 3 2 2 2 3 2 2" xfId="50704"/>
    <cellStyle name="Обычный 9 3 2 2 2 3 2 2 2" xfId="50705"/>
    <cellStyle name="Обычный 9 3 2 2 2 3 2 2 3" xfId="50706"/>
    <cellStyle name="Обычный 9 3 2 2 2 3 2 3" xfId="50707"/>
    <cellStyle name="Обычный 9 3 2 2 2 3 2 3 2" xfId="50708"/>
    <cellStyle name="Обычный 9 3 2 2 2 3 2 3 3" xfId="50709"/>
    <cellStyle name="Обычный 9 3 2 2 2 3 2 4" xfId="50710"/>
    <cellStyle name="Обычный 9 3 2 2 2 3 2 4 2" xfId="50711"/>
    <cellStyle name="Обычный 9 3 2 2 2 3 2 5" xfId="50712"/>
    <cellStyle name="Обычный 9 3 2 2 2 3 2 6" xfId="50713"/>
    <cellStyle name="Обычный 9 3 2 2 2 3 3" xfId="50714"/>
    <cellStyle name="Обычный 9 3 2 2 2 3 3 2" xfId="50715"/>
    <cellStyle name="Обычный 9 3 2 2 2 3 3 3" xfId="50716"/>
    <cellStyle name="Обычный 9 3 2 2 2 3 4" xfId="50717"/>
    <cellStyle name="Обычный 9 3 2 2 2 3 4 2" xfId="50718"/>
    <cellStyle name="Обычный 9 3 2 2 2 3 4 3" xfId="50719"/>
    <cellStyle name="Обычный 9 3 2 2 2 3 5" xfId="50720"/>
    <cellStyle name="Обычный 9 3 2 2 2 3 5 2" xfId="50721"/>
    <cellStyle name="Обычный 9 3 2 2 2 3 6" xfId="50722"/>
    <cellStyle name="Обычный 9 3 2 2 2 3 7" xfId="50723"/>
    <cellStyle name="Обычный 9 3 2 2 2 4" xfId="50724"/>
    <cellStyle name="Обычный 9 3 2 2 2 4 2" xfId="50725"/>
    <cellStyle name="Обычный 9 3 2 2 2 4 2 2" xfId="50726"/>
    <cellStyle name="Обычный 9 3 2 2 2 4 2 3" xfId="50727"/>
    <cellStyle name="Обычный 9 3 2 2 2 4 3" xfId="50728"/>
    <cellStyle name="Обычный 9 3 2 2 2 4 3 2" xfId="50729"/>
    <cellStyle name="Обычный 9 3 2 2 2 4 3 3" xfId="50730"/>
    <cellStyle name="Обычный 9 3 2 2 2 4 4" xfId="50731"/>
    <cellStyle name="Обычный 9 3 2 2 2 4 4 2" xfId="50732"/>
    <cellStyle name="Обычный 9 3 2 2 2 4 5" xfId="50733"/>
    <cellStyle name="Обычный 9 3 2 2 2 4 6" xfId="50734"/>
    <cellStyle name="Обычный 9 3 2 2 2 5" xfId="50735"/>
    <cellStyle name="Обычный 9 3 2 2 2 5 2" xfId="50736"/>
    <cellStyle name="Обычный 9 3 2 2 2 5 3" xfId="50737"/>
    <cellStyle name="Обычный 9 3 2 2 2 6" xfId="50738"/>
    <cellStyle name="Обычный 9 3 2 2 2 6 2" xfId="50739"/>
    <cellStyle name="Обычный 9 3 2 2 2 6 3" xfId="50740"/>
    <cellStyle name="Обычный 9 3 2 2 2 7" xfId="50741"/>
    <cellStyle name="Обычный 9 3 2 2 2 7 2" xfId="50742"/>
    <cellStyle name="Обычный 9 3 2 2 2 8" xfId="50743"/>
    <cellStyle name="Обычный 9 3 2 2 2 9" xfId="50744"/>
    <cellStyle name="Обычный 9 3 2 2 3" xfId="50745"/>
    <cellStyle name="Обычный 9 3 2 2 3 2" xfId="50746"/>
    <cellStyle name="Обычный 9 3 2 2 3 2 2" xfId="50747"/>
    <cellStyle name="Обычный 9 3 2 2 3 2 2 2" xfId="50748"/>
    <cellStyle name="Обычный 9 3 2 2 3 2 2 2 2" xfId="50749"/>
    <cellStyle name="Обычный 9 3 2 2 3 2 2 2 3" xfId="50750"/>
    <cellStyle name="Обычный 9 3 2 2 3 2 2 3" xfId="50751"/>
    <cellStyle name="Обычный 9 3 2 2 3 2 2 3 2" xfId="50752"/>
    <cellStyle name="Обычный 9 3 2 2 3 2 2 3 3" xfId="50753"/>
    <cellStyle name="Обычный 9 3 2 2 3 2 2 4" xfId="50754"/>
    <cellStyle name="Обычный 9 3 2 2 3 2 2 4 2" xfId="50755"/>
    <cellStyle name="Обычный 9 3 2 2 3 2 2 5" xfId="50756"/>
    <cellStyle name="Обычный 9 3 2 2 3 2 2 6" xfId="50757"/>
    <cellStyle name="Обычный 9 3 2 2 3 2 3" xfId="50758"/>
    <cellStyle name="Обычный 9 3 2 2 3 2 3 2" xfId="50759"/>
    <cellStyle name="Обычный 9 3 2 2 3 2 3 3" xfId="50760"/>
    <cellStyle name="Обычный 9 3 2 2 3 2 4" xfId="50761"/>
    <cellStyle name="Обычный 9 3 2 2 3 2 4 2" xfId="50762"/>
    <cellStyle name="Обычный 9 3 2 2 3 2 4 3" xfId="50763"/>
    <cellStyle name="Обычный 9 3 2 2 3 2 5" xfId="50764"/>
    <cellStyle name="Обычный 9 3 2 2 3 2 5 2" xfId="50765"/>
    <cellStyle name="Обычный 9 3 2 2 3 2 6" xfId="50766"/>
    <cellStyle name="Обычный 9 3 2 2 3 2 7" xfId="50767"/>
    <cellStyle name="Обычный 9 3 2 2 3 3" xfId="50768"/>
    <cellStyle name="Обычный 9 3 2 2 3 3 2" xfId="50769"/>
    <cellStyle name="Обычный 9 3 2 2 3 3 2 2" xfId="50770"/>
    <cellStyle name="Обычный 9 3 2 2 3 3 2 3" xfId="50771"/>
    <cellStyle name="Обычный 9 3 2 2 3 3 3" xfId="50772"/>
    <cellStyle name="Обычный 9 3 2 2 3 3 3 2" xfId="50773"/>
    <cellStyle name="Обычный 9 3 2 2 3 3 3 3" xfId="50774"/>
    <cellStyle name="Обычный 9 3 2 2 3 3 4" xfId="50775"/>
    <cellStyle name="Обычный 9 3 2 2 3 3 4 2" xfId="50776"/>
    <cellStyle name="Обычный 9 3 2 2 3 3 5" xfId="50777"/>
    <cellStyle name="Обычный 9 3 2 2 3 3 6" xfId="50778"/>
    <cellStyle name="Обычный 9 3 2 2 3 4" xfId="50779"/>
    <cellStyle name="Обычный 9 3 2 2 3 4 2" xfId="50780"/>
    <cellStyle name="Обычный 9 3 2 2 3 4 3" xfId="50781"/>
    <cellStyle name="Обычный 9 3 2 2 3 5" xfId="50782"/>
    <cellStyle name="Обычный 9 3 2 2 3 5 2" xfId="50783"/>
    <cellStyle name="Обычный 9 3 2 2 3 5 3" xfId="50784"/>
    <cellStyle name="Обычный 9 3 2 2 3 6" xfId="50785"/>
    <cellStyle name="Обычный 9 3 2 2 3 6 2" xfId="50786"/>
    <cellStyle name="Обычный 9 3 2 2 3 7" xfId="50787"/>
    <cellStyle name="Обычный 9 3 2 2 3 8" xfId="50788"/>
    <cellStyle name="Обычный 9 3 2 2 4" xfId="50789"/>
    <cellStyle name="Обычный 9 3 2 2 4 2" xfId="50790"/>
    <cellStyle name="Обычный 9 3 2 2 4 2 2" xfId="50791"/>
    <cellStyle name="Обычный 9 3 2 2 4 2 2 2" xfId="50792"/>
    <cellStyle name="Обычный 9 3 2 2 4 2 2 3" xfId="50793"/>
    <cellStyle name="Обычный 9 3 2 2 4 2 3" xfId="50794"/>
    <cellStyle name="Обычный 9 3 2 2 4 2 3 2" xfId="50795"/>
    <cellStyle name="Обычный 9 3 2 2 4 2 3 3" xfId="50796"/>
    <cellStyle name="Обычный 9 3 2 2 4 2 4" xfId="50797"/>
    <cellStyle name="Обычный 9 3 2 2 4 2 4 2" xfId="50798"/>
    <cellStyle name="Обычный 9 3 2 2 4 2 5" xfId="50799"/>
    <cellStyle name="Обычный 9 3 2 2 4 2 6" xfId="50800"/>
    <cellStyle name="Обычный 9 3 2 2 4 3" xfId="50801"/>
    <cellStyle name="Обычный 9 3 2 2 4 3 2" xfId="50802"/>
    <cellStyle name="Обычный 9 3 2 2 4 3 3" xfId="50803"/>
    <cellStyle name="Обычный 9 3 2 2 4 4" xfId="50804"/>
    <cellStyle name="Обычный 9 3 2 2 4 4 2" xfId="50805"/>
    <cellStyle name="Обычный 9 3 2 2 4 4 3" xfId="50806"/>
    <cellStyle name="Обычный 9 3 2 2 4 5" xfId="50807"/>
    <cellStyle name="Обычный 9 3 2 2 4 5 2" xfId="50808"/>
    <cellStyle name="Обычный 9 3 2 2 4 6" xfId="50809"/>
    <cellStyle name="Обычный 9 3 2 2 4 7" xfId="50810"/>
    <cellStyle name="Обычный 9 3 2 2 5" xfId="50811"/>
    <cellStyle name="Обычный 9 3 2 2 5 2" xfId="50812"/>
    <cellStyle name="Обычный 9 3 2 2 5 2 2" xfId="50813"/>
    <cellStyle name="Обычный 9 3 2 2 5 2 3" xfId="50814"/>
    <cellStyle name="Обычный 9 3 2 2 5 3" xfId="50815"/>
    <cellStyle name="Обычный 9 3 2 2 5 3 2" xfId="50816"/>
    <cellStyle name="Обычный 9 3 2 2 5 3 3" xfId="50817"/>
    <cellStyle name="Обычный 9 3 2 2 5 4" xfId="50818"/>
    <cellStyle name="Обычный 9 3 2 2 5 4 2" xfId="50819"/>
    <cellStyle name="Обычный 9 3 2 2 5 5" xfId="50820"/>
    <cellStyle name="Обычный 9 3 2 2 5 6" xfId="50821"/>
    <cellStyle name="Обычный 9 3 2 2 6" xfId="50822"/>
    <cellStyle name="Обычный 9 3 2 2 6 2" xfId="50823"/>
    <cellStyle name="Обычный 9 3 2 2 6 3" xfId="50824"/>
    <cellStyle name="Обычный 9 3 2 2 7" xfId="50825"/>
    <cellStyle name="Обычный 9 3 2 2 7 2" xfId="50826"/>
    <cellStyle name="Обычный 9 3 2 2 7 3" xfId="50827"/>
    <cellStyle name="Обычный 9 3 2 2 8" xfId="50828"/>
    <cellStyle name="Обычный 9 3 2 2 8 2" xfId="50829"/>
    <cellStyle name="Обычный 9 3 2 2 9" xfId="50830"/>
    <cellStyle name="Обычный 9 3 2 3" xfId="50831"/>
    <cellStyle name="Обычный 9 3 2 3 10" xfId="50832"/>
    <cellStyle name="Обычный 9 3 2 3 2" xfId="50833"/>
    <cellStyle name="Обычный 9 3 2 3 2 2" xfId="50834"/>
    <cellStyle name="Обычный 9 3 2 3 2 2 2" xfId="50835"/>
    <cellStyle name="Обычный 9 3 2 3 2 2 2 2" xfId="50836"/>
    <cellStyle name="Обычный 9 3 2 3 2 2 2 2 2" xfId="50837"/>
    <cellStyle name="Обычный 9 3 2 3 2 2 2 2 2 2" xfId="50838"/>
    <cellStyle name="Обычный 9 3 2 3 2 2 2 2 2 3" xfId="50839"/>
    <cellStyle name="Обычный 9 3 2 3 2 2 2 2 3" xfId="50840"/>
    <cellStyle name="Обычный 9 3 2 3 2 2 2 2 3 2" xfId="50841"/>
    <cellStyle name="Обычный 9 3 2 3 2 2 2 2 3 3" xfId="50842"/>
    <cellStyle name="Обычный 9 3 2 3 2 2 2 2 4" xfId="50843"/>
    <cellStyle name="Обычный 9 3 2 3 2 2 2 2 4 2" xfId="50844"/>
    <cellStyle name="Обычный 9 3 2 3 2 2 2 2 5" xfId="50845"/>
    <cellStyle name="Обычный 9 3 2 3 2 2 2 2 6" xfId="50846"/>
    <cellStyle name="Обычный 9 3 2 3 2 2 2 3" xfId="50847"/>
    <cellStyle name="Обычный 9 3 2 3 2 2 2 3 2" xfId="50848"/>
    <cellStyle name="Обычный 9 3 2 3 2 2 2 3 3" xfId="50849"/>
    <cellStyle name="Обычный 9 3 2 3 2 2 2 4" xfId="50850"/>
    <cellStyle name="Обычный 9 3 2 3 2 2 2 4 2" xfId="50851"/>
    <cellStyle name="Обычный 9 3 2 3 2 2 2 4 3" xfId="50852"/>
    <cellStyle name="Обычный 9 3 2 3 2 2 2 5" xfId="50853"/>
    <cellStyle name="Обычный 9 3 2 3 2 2 2 5 2" xfId="50854"/>
    <cellStyle name="Обычный 9 3 2 3 2 2 2 6" xfId="50855"/>
    <cellStyle name="Обычный 9 3 2 3 2 2 2 7" xfId="50856"/>
    <cellStyle name="Обычный 9 3 2 3 2 2 3" xfId="50857"/>
    <cellStyle name="Обычный 9 3 2 3 2 2 3 2" xfId="50858"/>
    <cellStyle name="Обычный 9 3 2 3 2 2 3 2 2" xfId="50859"/>
    <cellStyle name="Обычный 9 3 2 3 2 2 3 2 3" xfId="50860"/>
    <cellStyle name="Обычный 9 3 2 3 2 2 3 3" xfId="50861"/>
    <cellStyle name="Обычный 9 3 2 3 2 2 3 3 2" xfId="50862"/>
    <cellStyle name="Обычный 9 3 2 3 2 2 3 3 3" xfId="50863"/>
    <cellStyle name="Обычный 9 3 2 3 2 2 3 4" xfId="50864"/>
    <cellStyle name="Обычный 9 3 2 3 2 2 3 4 2" xfId="50865"/>
    <cellStyle name="Обычный 9 3 2 3 2 2 3 5" xfId="50866"/>
    <cellStyle name="Обычный 9 3 2 3 2 2 3 6" xfId="50867"/>
    <cellStyle name="Обычный 9 3 2 3 2 2 4" xfId="50868"/>
    <cellStyle name="Обычный 9 3 2 3 2 2 4 2" xfId="50869"/>
    <cellStyle name="Обычный 9 3 2 3 2 2 4 3" xfId="50870"/>
    <cellStyle name="Обычный 9 3 2 3 2 2 5" xfId="50871"/>
    <cellStyle name="Обычный 9 3 2 3 2 2 5 2" xfId="50872"/>
    <cellStyle name="Обычный 9 3 2 3 2 2 5 3" xfId="50873"/>
    <cellStyle name="Обычный 9 3 2 3 2 2 6" xfId="50874"/>
    <cellStyle name="Обычный 9 3 2 3 2 2 6 2" xfId="50875"/>
    <cellStyle name="Обычный 9 3 2 3 2 2 7" xfId="50876"/>
    <cellStyle name="Обычный 9 3 2 3 2 2 8" xfId="50877"/>
    <cellStyle name="Обычный 9 3 2 3 2 3" xfId="50878"/>
    <cellStyle name="Обычный 9 3 2 3 2 3 2" xfId="50879"/>
    <cellStyle name="Обычный 9 3 2 3 2 3 2 2" xfId="50880"/>
    <cellStyle name="Обычный 9 3 2 3 2 3 2 2 2" xfId="50881"/>
    <cellStyle name="Обычный 9 3 2 3 2 3 2 2 3" xfId="50882"/>
    <cellStyle name="Обычный 9 3 2 3 2 3 2 3" xfId="50883"/>
    <cellStyle name="Обычный 9 3 2 3 2 3 2 3 2" xfId="50884"/>
    <cellStyle name="Обычный 9 3 2 3 2 3 2 3 3" xfId="50885"/>
    <cellStyle name="Обычный 9 3 2 3 2 3 2 4" xfId="50886"/>
    <cellStyle name="Обычный 9 3 2 3 2 3 2 4 2" xfId="50887"/>
    <cellStyle name="Обычный 9 3 2 3 2 3 2 5" xfId="50888"/>
    <cellStyle name="Обычный 9 3 2 3 2 3 2 6" xfId="50889"/>
    <cellStyle name="Обычный 9 3 2 3 2 3 3" xfId="50890"/>
    <cellStyle name="Обычный 9 3 2 3 2 3 3 2" xfId="50891"/>
    <cellStyle name="Обычный 9 3 2 3 2 3 3 3" xfId="50892"/>
    <cellStyle name="Обычный 9 3 2 3 2 3 4" xfId="50893"/>
    <cellStyle name="Обычный 9 3 2 3 2 3 4 2" xfId="50894"/>
    <cellStyle name="Обычный 9 3 2 3 2 3 4 3" xfId="50895"/>
    <cellStyle name="Обычный 9 3 2 3 2 3 5" xfId="50896"/>
    <cellStyle name="Обычный 9 3 2 3 2 3 5 2" xfId="50897"/>
    <cellStyle name="Обычный 9 3 2 3 2 3 6" xfId="50898"/>
    <cellStyle name="Обычный 9 3 2 3 2 3 7" xfId="50899"/>
    <cellStyle name="Обычный 9 3 2 3 2 4" xfId="50900"/>
    <cellStyle name="Обычный 9 3 2 3 2 4 2" xfId="50901"/>
    <cellStyle name="Обычный 9 3 2 3 2 4 2 2" xfId="50902"/>
    <cellStyle name="Обычный 9 3 2 3 2 4 2 3" xfId="50903"/>
    <cellStyle name="Обычный 9 3 2 3 2 4 3" xfId="50904"/>
    <cellStyle name="Обычный 9 3 2 3 2 4 3 2" xfId="50905"/>
    <cellStyle name="Обычный 9 3 2 3 2 4 3 3" xfId="50906"/>
    <cellStyle name="Обычный 9 3 2 3 2 4 4" xfId="50907"/>
    <cellStyle name="Обычный 9 3 2 3 2 4 4 2" xfId="50908"/>
    <cellStyle name="Обычный 9 3 2 3 2 4 5" xfId="50909"/>
    <cellStyle name="Обычный 9 3 2 3 2 4 6" xfId="50910"/>
    <cellStyle name="Обычный 9 3 2 3 2 5" xfId="50911"/>
    <cellStyle name="Обычный 9 3 2 3 2 5 2" xfId="50912"/>
    <cellStyle name="Обычный 9 3 2 3 2 5 3" xfId="50913"/>
    <cellStyle name="Обычный 9 3 2 3 2 6" xfId="50914"/>
    <cellStyle name="Обычный 9 3 2 3 2 6 2" xfId="50915"/>
    <cellStyle name="Обычный 9 3 2 3 2 6 3" xfId="50916"/>
    <cellStyle name="Обычный 9 3 2 3 2 7" xfId="50917"/>
    <cellStyle name="Обычный 9 3 2 3 2 7 2" xfId="50918"/>
    <cellStyle name="Обычный 9 3 2 3 2 8" xfId="50919"/>
    <cellStyle name="Обычный 9 3 2 3 2 9" xfId="50920"/>
    <cellStyle name="Обычный 9 3 2 3 3" xfId="50921"/>
    <cellStyle name="Обычный 9 3 2 3 3 2" xfId="50922"/>
    <cellStyle name="Обычный 9 3 2 3 3 2 2" xfId="50923"/>
    <cellStyle name="Обычный 9 3 2 3 3 2 2 2" xfId="50924"/>
    <cellStyle name="Обычный 9 3 2 3 3 2 2 2 2" xfId="50925"/>
    <cellStyle name="Обычный 9 3 2 3 3 2 2 2 3" xfId="50926"/>
    <cellStyle name="Обычный 9 3 2 3 3 2 2 3" xfId="50927"/>
    <cellStyle name="Обычный 9 3 2 3 3 2 2 3 2" xfId="50928"/>
    <cellStyle name="Обычный 9 3 2 3 3 2 2 3 3" xfId="50929"/>
    <cellStyle name="Обычный 9 3 2 3 3 2 2 4" xfId="50930"/>
    <cellStyle name="Обычный 9 3 2 3 3 2 2 4 2" xfId="50931"/>
    <cellStyle name="Обычный 9 3 2 3 3 2 2 5" xfId="50932"/>
    <cellStyle name="Обычный 9 3 2 3 3 2 2 6" xfId="50933"/>
    <cellStyle name="Обычный 9 3 2 3 3 2 3" xfId="50934"/>
    <cellStyle name="Обычный 9 3 2 3 3 2 3 2" xfId="50935"/>
    <cellStyle name="Обычный 9 3 2 3 3 2 3 3" xfId="50936"/>
    <cellStyle name="Обычный 9 3 2 3 3 2 4" xfId="50937"/>
    <cellStyle name="Обычный 9 3 2 3 3 2 4 2" xfId="50938"/>
    <cellStyle name="Обычный 9 3 2 3 3 2 4 3" xfId="50939"/>
    <cellStyle name="Обычный 9 3 2 3 3 2 5" xfId="50940"/>
    <cellStyle name="Обычный 9 3 2 3 3 2 5 2" xfId="50941"/>
    <cellStyle name="Обычный 9 3 2 3 3 2 6" xfId="50942"/>
    <cellStyle name="Обычный 9 3 2 3 3 2 7" xfId="50943"/>
    <cellStyle name="Обычный 9 3 2 3 3 3" xfId="50944"/>
    <cellStyle name="Обычный 9 3 2 3 3 3 2" xfId="50945"/>
    <cellStyle name="Обычный 9 3 2 3 3 3 2 2" xfId="50946"/>
    <cellStyle name="Обычный 9 3 2 3 3 3 2 3" xfId="50947"/>
    <cellStyle name="Обычный 9 3 2 3 3 3 3" xfId="50948"/>
    <cellStyle name="Обычный 9 3 2 3 3 3 3 2" xfId="50949"/>
    <cellStyle name="Обычный 9 3 2 3 3 3 3 3" xfId="50950"/>
    <cellStyle name="Обычный 9 3 2 3 3 3 4" xfId="50951"/>
    <cellStyle name="Обычный 9 3 2 3 3 3 4 2" xfId="50952"/>
    <cellStyle name="Обычный 9 3 2 3 3 3 5" xfId="50953"/>
    <cellStyle name="Обычный 9 3 2 3 3 3 6" xfId="50954"/>
    <cellStyle name="Обычный 9 3 2 3 3 4" xfId="50955"/>
    <cellStyle name="Обычный 9 3 2 3 3 4 2" xfId="50956"/>
    <cellStyle name="Обычный 9 3 2 3 3 4 3" xfId="50957"/>
    <cellStyle name="Обычный 9 3 2 3 3 5" xfId="50958"/>
    <cellStyle name="Обычный 9 3 2 3 3 5 2" xfId="50959"/>
    <cellStyle name="Обычный 9 3 2 3 3 5 3" xfId="50960"/>
    <cellStyle name="Обычный 9 3 2 3 3 6" xfId="50961"/>
    <cellStyle name="Обычный 9 3 2 3 3 6 2" xfId="50962"/>
    <cellStyle name="Обычный 9 3 2 3 3 7" xfId="50963"/>
    <cellStyle name="Обычный 9 3 2 3 3 8" xfId="50964"/>
    <cellStyle name="Обычный 9 3 2 3 4" xfId="50965"/>
    <cellStyle name="Обычный 9 3 2 3 4 2" xfId="50966"/>
    <cellStyle name="Обычный 9 3 2 3 4 2 2" xfId="50967"/>
    <cellStyle name="Обычный 9 3 2 3 4 2 2 2" xfId="50968"/>
    <cellStyle name="Обычный 9 3 2 3 4 2 2 3" xfId="50969"/>
    <cellStyle name="Обычный 9 3 2 3 4 2 3" xfId="50970"/>
    <cellStyle name="Обычный 9 3 2 3 4 2 3 2" xfId="50971"/>
    <cellStyle name="Обычный 9 3 2 3 4 2 3 3" xfId="50972"/>
    <cellStyle name="Обычный 9 3 2 3 4 2 4" xfId="50973"/>
    <cellStyle name="Обычный 9 3 2 3 4 2 4 2" xfId="50974"/>
    <cellStyle name="Обычный 9 3 2 3 4 2 5" xfId="50975"/>
    <cellStyle name="Обычный 9 3 2 3 4 2 6" xfId="50976"/>
    <cellStyle name="Обычный 9 3 2 3 4 3" xfId="50977"/>
    <cellStyle name="Обычный 9 3 2 3 4 3 2" xfId="50978"/>
    <cellStyle name="Обычный 9 3 2 3 4 3 3" xfId="50979"/>
    <cellStyle name="Обычный 9 3 2 3 4 4" xfId="50980"/>
    <cellStyle name="Обычный 9 3 2 3 4 4 2" xfId="50981"/>
    <cellStyle name="Обычный 9 3 2 3 4 4 3" xfId="50982"/>
    <cellStyle name="Обычный 9 3 2 3 4 5" xfId="50983"/>
    <cellStyle name="Обычный 9 3 2 3 4 5 2" xfId="50984"/>
    <cellStyle name="Обычный 9 3 2 3 4 6" xfId="50985"/>
    <cellStyle name="Обычный 9 3 2 3 4 7" xfId="50986"/>
    <cellStyle name="Обычный 9 3 2 3 5" xfId="50987"/>
    <cellStyle name="Обычный 9 3 2 3 5 2" xfId="50988"/>
    <cellStyle name="Обычный 9 3 2 3 5 2 2" xfId="50989"/>
    <cellStyle name="Обычный 9 3 2 3 5 2 3" xfId="50990"/>
    <cellStyle name="Обычный 9 3 2 3 5 3" xfId="50991"/>
    <cellStyle name="Обычный 9 3 2 3 5 3 2" xfId="50992"/>
    <cellStyle name="Обычный 9 3 2 3 5 3 3" xfId="50993"/>
    <cellStyle name="Обычный 9 3 2 3 5 4" xfId="50994"/>
    <cellStyle name="Обычный 9 3 2 3 5 4 2" xfId="50995"/>
    <cellStyle name="Обычный 9 3 2 3 5 5" xfId="50996"/>
    <cellStyle name="Обычный 9 3 2 3 5 6" xfId="50997"/>
    <cellStyle name="Обычный 9 3 2 3 6" xfId="50998"/>
    <cellStyle name="Обычный 9 3 2 3 6 2" xfId="50999"/>
    <cellStyle name="Обычный 9 3 2 3 6 3" xfId="51000"/>
    <cellStyle name="Обычный 9 3 2 3 7" xfId="51001"/>
    <cellStyle name="Обычный 9 3 2 3 7 2" xfId="51002"/>
    <cellStyle name="Обычный 9 3 2 3 7 3" xfId="51003"/>
    <cellStyle name="Обычный 9 3 2 3 8" xfId="51004"/>
    <cellStyle name="Обычный 9 3 2 3 8 2" xfId="51005"/>
    <cellStyle name="Обычный 9 3 2 3 9" xfId="51006"/>
    <cellStyle name="Обычный 9 3 2 4" xfId="51007"/>
    <cellStyle name="Обычный 9 3 2 4 10" xfId="51008"/>
    <cellStyle name="Обычный 9 3 2 4 2" xfId="51009"/>
    <cellStyle name="Обычный 9 3 2 4 2 2" xfId="51010"/>
    <cellStyle name="Обычный 9 3 2 4 2 2 2" xfId="51011"/>
    <cellStyle name="Обычный 9 3 2 4 2 2 2 2" xfId="51012"/>
    <cellStyle name="Обычный 9 3 2 4 2 2 2 2 2" xfId="51013"/>
    <cellStyle name="Обычный 9 3 2 4 2 2 2 2 2 2" xfId="51014"/>
    <cellStyle name="Обычный 9 3 2 4 2 2 2 2 2 3" xfId="51015"/>
    <cellStyle name="Обычный 9 3 2 4 2 2 2 2 3" xfId="51016"/>
    <cellStyle name="Обычный 9 3 2 4 2 2 2 2 3 2" xfId="51017"/>
    <cellStyle name="Обычный 9 3 2 4 2 2 2 2 3 3" xfId="51018"/>
    <cellStyle name="Обычный 9 3 2 4 2 2 2 2 4" xfId="51019"/>
    <cellStyle name="Обычный 9 3 2 4 2 2 2 2 4 2" xfId="51020"/>
    <cellStyle name="Обычный 9 3 2 4 2 2 2 2 5" xfId="51021"/>
    <cellStyle name="Обычный 9 3 2 4 2 2 2 2 6" xfId="51022"/>
    <cellStyle name="Обычный 9 3 2 4 2 2 2 3" xfId="51023"/>
    <cellStyle name="Обычный 9 3 2 4 2 2 2 3 2" xfId="51024"/>
    <cellStyle name="Обычный 9 3 2 4 2 2 2 3 3" xfId="51025"/>
    <cellStyle name="Обычный 9 3 2 4 2 2 2 4" xfId="51026"/>
    <cellStyle name="Обычный 9 3 2 4 2 2 2 4 2" xfId="51027"/>
    <cellStyle name="Обычный 9 3 2 4 2 2 2 4 3" xfId="51028"/>
    <cellStyle name="Обычный 9 3 2 4 2 2 2 5" xfId="51029"/>
    <cellStyle name="Обычный 9 3 2 4 2 2 2 5 2" xfId="51030"/>
    <cellStyle name="Обычный 9 3 2 4 2 2 2 6" xfId="51031"/>
    <cellStyle name="Обычный 9 3 2 4 2 2 2 7" xfId="51032"/>
    <cellStyle name="Обычный 9 3 2 4 2 2 3" xfId="51033"/>
    <cellStyle name="Обычный 9 3 2 4 2 2 3 2" xfId="51034"/>
    <cellStyle name="Обычный 9 3 2 4 2 2 3 2 2" xfId="51035"/>
    <cellStyle name="Обычный 9 3 2 4 2 2 3 2 3" xfId="51036"/>
    <cellStyle name="Обычный 9 3 2 4 2 2 3 3" xfId="51037"/>
    <cellStyle name="Обычный 9 3 2 4 2 2 3 3 2" xfId="51038"/>
    <cellStyle name="Обычный 9 3 2 4 2 2 3 3 3" xfId="51039"/>
    <cellStyle name="Обычный 9 3 2 4 2 2 3 4" xfId="51040"/>
    <cellStyle name="Обычный 9 3 2 4 2 2 3 4 2" xfId="51041"/>
    <cellStyle name="Обычный 9 3 2 4 2 2 3 5" xfId="51042"/>
    <cellStyle name="Обычный 9 3 2 4 2 2 3 6" xfId="51043"/>
    <cellStyle name="Обычный 9 3 2 4 2 2 4" xfId="51044"/>
    <cellStyle name="Обычный 9 3 2 4 2 2 4 2" xfId="51045"/>
    <cellStyle name="Обычный 9 3 2 4 2 2 4 3" xfId="51046"/>
    <cellStyle name="Обычный 9 3 2 4 2 2 5" xfId="51047"/>
    <cellStyle name="Обычный 9 3 2 4 2 2 5 2" xfId="51048"/>
    <cellStyle name="Обычный 9 3 2 4 2 2 5 3" xfId="51049"/>
    <cellStyle name="Обычный 9 3 2 4 2 2 6" xfId="51050"/>
    <cellStyle name="Обычный 9 3 2 4 2 2 6 2" xfId="51051"/>
    <cellStyle name="Обычный 9 3 2 4 2 2 7" xfId="51052"/>
    <cellStyle name="Обычный 9 3 2 4 2 2 8" xfId="51053"/>
    <cellStyle name="Обычный 9 3 2 4 2 3" xfId="51054"/>
    <cellStyle name="Обычный 9 3 2 4 2 3 2" xfId="51055"/>
    <cellStyle name="Обычный 9 3 2 4 2 3 2 2" xfId="51056"/>
    <cellStyle name="Обычный 9 3 2 4 2 3 2 2 2" xfId="51057"/>
    <cellStyle name="Обычный 9 3 2 4 2 3 2 2 3" xfId="51058"/>
    <cellStyle name="Обычный 9 3 2 4 2 3 2 3" xfId="51059"/>
    <cellStyle name="Обычный 9 3 2 4 2 3 2 3 2" xfId="51060"/>
    <cellStyle name="Обычный 9 3 2 4 2 3 2 3 3" xfId="51061"/>
    <cellStyle name="Обычный 9 3 2 4 2 3 2 4" xfId="51062"/>
    <cellStyle name="Обычный 9 3 2 4 2 3 2 4 2" xfId="51063"/>
    <cellStyle name="Обычный 9 3 2 4 2 3 2 5" xfId="51064"/>
    <cellStyle name="Обычный 9 3 2 4 2 3 2 6" xfId="51065"/>
    <cellStyle name="Обычный 9 3 2 4 2 3 3" xfId="51066"/>
    <cellStyle name="Обычный 9 3 2 4 2 3 3 2" xfId="51067"/>
    <cellStyle name="Обычный 9 3 2 4 2 3 3 3" xfId="51068"/>
    <cellStyle name="Обычный 9 3 2 4 2 3 4" xfId="51069"/>
    <cellStyle name="Обычный 9 3 2 4 2 3 4 2" xfId="51070"/>
    <cellStyle name="Обычный 9 3 2 4 2 3 4 3" xfId="51071"/>
    <cellStyle name="Обычный 9 3 2 4 2 3 5" xfId="51072"/>
    <cellStyle name="Обычный 9 3 2 4 2 3 5 2" xfId="51073"/>
    <cellStyle name="Обычный 9 3 2 4 2 3 6" xfId="51074"/>
    <cellStyle name="Обычный 9 3 2 4 2 3 7" xfId="51075"/>
    <cellStyle name="Обычный 9 3 2 4 2 4" xfId="51076"/>
    <cellStyle name="Обычный 9 3 2 4 2 4 2" xfId="51077"/>
    <cellStyle name="Обычный 9 3 2 4 2 4 2 2" xfId="51078"/>
    <cellStyle name="Обычный 9 3 2 4 2 4 2 3" xfId="51079"/>
    <cellStyle name="Обычный 9 3 2 4 2 4 3" xfId="51080"/>
    <cellStyle name="Обычный 9 3 2 4 2 4 3 2" xfId="51081"/>
    <cellStyle name="Обычный 9 3 2 4 2 4 3 3" xfId="51082"/>
    <cellStyle name="Обычный 9 3 2 4 2 4 4" xfId="51083"/>
    <cellStyle name="Обычный 9 3 2 4 2 4 4 2" xfId="51084"/>
    <cellStyle name="Обычный 9 3 2 4 2 4 5" xfId="51085"/>
    <cellStyle name="Обычный 9 3 2 4 2 4 6" xfId="51086"/>
    <cellStyle name="Обычный 9 3 2 4 2 5" xfId="51087"/>
    <cellStyle name="Обычный 9 3 2 4 2 5 2" xfId="51088"/>
    <cellStyle name="Обычный 9 3 2 4 2 5 3" xfId="51089"/>
    <cellStyle name="Обычный 9 3 2 4 2 6" xfId="51090"/>
    <cellStyle name="Обычный 9 3 2 4 2 6 2" xfId="51091"/>
    <cellStyle name="Обычный 9 3 2 4 2 6 3" xfId="51092"/>
    <cellStyle name="Обычный 9 3 2 4 2 7" xfId="51093"/>
    <cellStyle name="Обычный 9 3 2 4 2 7 2" xfId="51094"/>
    <cellStyle name="Обычный 9 3 2 4 2 8" xfId="51095"/>
    <cellStyle name="Обычный 9 3 2 4 2 9" xfId="51096"/>
    <cellStyle name="Обычный 9 3 2 4 3" xfId="51097"/>
    <cellStyle name="Обычный 9 3 2 4 3 2" xfId="51098"/>
    <cellStyle name="Обычный 9 3 2 4 3 2 2" xfId="51099"/>
    <cellStyle name="Обычный 9 3 2 4 3 2 2 2" xfId="51100"/>
    <cellStyle name="Обычный 9 3 2 4 3 2 2 2 2" xfId="51101"/>
    <cellStyle name="Обычный 9 3 2 4 3 2 2 2 3" xfId="51102"/>
    <cellStyle name="Обычный 9 3 2 4 3 2 2 3" xfId="51103"/>
    <cellStyle name="Обычный 9 3 2 4 3 2 2 3 2" xfId="51104"/>
    <cellStyle name="Обычный 9 3 2 4 3 2 2 3 3" xfId="51105"/>
    <cellStyle name="Обычный 9 3 2 4 3 2 2 4" xfId="51106"/>
    <cellStyle name="Обычный 9 3 2 4 3 2 2 4 2" xfId="51107"/>
    <cellStyle name="Обычный 9 3 2 4 3 2 2 5" xfId="51108"/>
    <cellStyle name="Обычный 9 3 2 4 3 2 2 6" xfId="51109"/>
    <cellStyle name="Обычный 9 3 2 4 3 2 3" xfId="51110"/>
    <cellStyle name="Обычный 9 3 2 4 3 2 3 2" xfId="51111"/>
    <cellStyle name="Обычный 9 3 2 4 3 2 3 3" xfId="51112"/>
    <cellStyle name="Обычный 9 3 2 4 3 2 4" xfId="51113"/>
    <cellStyle name="Обычный 9 3 2 4 3 2 4 2" xfId="51114"/>
    <cellStyle name="Обычный 9 3 2 4 3 2 4 3" xfId="51115"/>
    <cellStyle name="Обычный 9 3 2 4 3 2 5" xfId="51116"/>
    <cellStyle name="Обычный 9 3 2 4 3 2 5 2" xfId="51117"/>
    <cellStyle name="Обычный 9 3 2 4 3 2 6" xfId="51118"/>
    <cellStyle name="Обычный 9 3 2 4 3 2 7" xfId="51119"/>
    <cellStyle name="Обычный 9 3 2 4 3 3" xfId="51120"/>
    <cellStyle name="Обычный 9 3 2 4 3 3 2" xfId="51121"/>
    <cellStyle name="Обычный 9 3 2 4 3 3 2 2" xfId="51122"/>
    <cellStyle name="Обычный 9 3 2 4 3 3 2 3" xfId="51123"/>
    <cellStyle name="Обычный 9 3 2 4 3 3 3" xfId="51124"/>
    <cellStyle name="Обычный 9 3 2 4 3 3 3 2" xfId="51125"/>
    <cellStyle name="Обычный 9 3 2 4 3 3 3 3" xfId="51126"/>
    <cellStyle name="Обычный 9 3 2 4 3 3 4" xfId="51127"/>
    <cellStyle name="Обычный 9 3 2 4 3 3 4 2" xfId="51128"/>
    <cellStyle name="Обычный 9 3 2 4 3 3 5" xfId="51129"/>
    <cellStyle name="Обычный 9 3 2 4 3 3 6" xfId="51130"/>
    <cellStyle name="Обычный 9 3 2 4 3 4" xfId="51131"/>
    <cellStyle name="Обычный 9 3 2 4 3 4 2" xfId="51132"/>
    <cellStyle name="Обычный 9 3 2 4 3 4 3" xfId="51133"/>
    <cellStyle name="Обычный 9 3 2 4 3 5" xfId="51134"/>
    <cellStyle name="Обычный 9 3 2 4 3 5 2" xfId="51135"/>
    <cellStyle name="Обычный 9 3 2 4 3 5 3" xfId="51136"/>
    <cellStyle name="Обычный 9 3 2 4 3 6" xfId="51137"/>
    <cellStyle name="Обычный 9 3 2 4 3 6 2" xfId="51138"/>
    <cellStyle name="Обычный 9 3 2 4 3 7" xfId="51139"/>
    <cellStyle name="Обычный 9 3 2 4 3 8" xfId="51140"/>
    <cellStyle name="Обычный 9 3 2 4 4" xfId="51141"/>
    <cellStyle name="Обычный 9 3 2 4 4 2" xfId="51142"/>
    <cellStyle name="Обычный 9 3 2 4 4 2 2" xfId="51143"/>
    <cellStyle name="Обычный 9 3 2 4 4 2 2 2" xfId="51144"/>
    <cellStyle name="Обычный 9 3 2 4 4 2 2 3" xfId="51145"/>
    <cellStyle name="Обычный 9 3 2 4 4 2 3" xfId="51146"/>
    <cellStyle name="Обычный 9 3 2 4 4 2 3 2" xfId="51147"/>
    <cellStyle name="Обычный 9 3 2 4 4 2 3 3" xfId="51148"/>
    <cellStyle name="Обычный 9 3 2 4 4 2 4" xfId="51149"/>
    <cellStyle name="Обычный 9 3 2 4 4 2 4 2" xfId="51150"/>
    <cellStyle name="Обычный 9 3 2 4 4 2 5" xfId="51151"/>
    <cellStyle name="Обычный 9 3 2 4 4 2 6" xfId="51152"/>
    <cellStyle name="Обычный 9 3 2 4 4 3" xfId="51153"/>
    <cellStyle name="Обычный 9 3 2 4 4 3 2" xfId="51154"/>
    <cellStyle name="Обычный 9 3 2 4 4 3 3" xfId="51155"/>
    <cellStyle name="Обычный 9 3 2 4 4 4" xfId="51156"/>
    <cellStyle name="Обычный 9 3 2 4 4 4 2" xfId="51157"/>
    <cellStyle name="Обычный 9 3 2 4 4 4 3" xfId="51158"/>
    <cellStyle name="Обычный 9 3 2 4 4 5" xfId="51159"/>
    <cellStyle name="Обычный 9 3 2 4 4 5 2" xfId="51160"/>
    <cellStyle name="Обычный 9 3 2 4 4 6" xfId="51161"/>
    <cellStyle name="Обычный 9 3 2 4 4 7" xfId="51162"/>
    <cellStyle name="Обычный 9 3 2 4 5" xfId="51163"/>
    <cellStyle name="Обычный 9 3 2 4 5 2" xfId="51164"/>
    <cellStyle name="Обычный 9 3 2 4 5 2 2" xfId="51165"/>
    <cellStyle name="Обычный 9 3 2 4 5 2 3" xfId="51166"/>
    <cellStyle name="Обычный 9 3 2 4 5 3" xfId="51167"/>
    <cellStyle name="Обычный 9 3 2 4 5 3 2" xfId="51168"/>
    <cellStyle name="Обычный 9 3 2 4 5 3 3" xfId="51169"/>
    <cellStyle name="Обычный 9 3 2 4 5 4" xfId="51170"/>
    <cellStyle name="Обычный 9 3 2 4 5 4 2" xfId="51171"/>
    <cellStyle name="Обычный 9 3 2 4 5 5" xfId="51172"/>
    <cellStyle name="Обычный 9 3 2 4 5 6" xfId="51173"/>
    <cellStyle name="Обычный 9 3 2 4 6" xfId="51174"/>
    <cellStyle name="Обычный 9 3 2 4 6 2" xfId="51175"/>
    <cellStyle name="Обычный 9 3 2 4 6 3" xfId="51176"/>
    <cellStyle name="Обычный 9 3 2 4 7" xfId="51177"/>
    <cellStyle name="Обычный 9 3 2 4 7 2" xfId="51178"/>
    <cellStyle name="Обычный 9 3 2 4 7 3" xfId="51179"/>
    <cellStyle name="Обычный 9 3 2 4 8" xfId="51180"/>
    <cellStyle name="Обычный 9 3 2 4 8 2" xfId="51181"/>
    <cellStyle name="Обычный 9 3 2 4 9" xfId="51182"/>
    <cellStyle name="Обычный 9 3 2 5" xfId="51183"/>
    <cellStyle name="Обычный 9 3 2 5 2" xfId="51184"/>
    <cellStyle name="Обычный 9 3 2 5 2 2" xfId="51185"/>
    <cellStyle name="Обычный 9 3 2 5 2 2 2" xfId="51186"/>
    <cellStyle name="Обычный 9 3 2 5 2 2 2 2" xfId="51187"/>
    <cellStyle name="Обычный 9 3 2 5 2 2 2 2 2" xfId="51188"/>
    <cellStyle name="Обычный 9 3 2 5 2 2 2 2 3" xfId="51189"/>
    <cellStyle name="Обычный 9 3 2 5 2 2 2 3" xfId="51190"/>
    <cellStyle name="Обычный 9 3 2 5 2 2 2 3 2" xfId="51191"/>
    <cellStyle name="Обычный 9 3 2 5 2 2 2 3 3" xfId="51192"/>
    <cellStyle name="Обычный 9 3 2 5 2 2 2 4" xfId="51193"/>
    <cellStyle name="Обычный 9 3 2 5 2 2 2 4 2" xfId="51194"/>
    <cellStyle name="Обычный 9 3 2 5 2 2 2 5" xfId="51195"/>
    <cellStyle name="Обычный 9 3 2 5 2 2 2 6" xfId="51196"/>
    <cellStyle name="Обычный 9 3 2 5 2 2 3" xfId="51197"/>
    <cellStyle name="Обычный 9 3 2 5 2 2 3 2" xfId="51198"/>
    <cellStyle name="Обычный 9 3 2 5 2 2 3 3" xfId="51199"/>
    <cellStyle name="Обычный 9 3 2 5 2 2 4" xfId="51200"/>
    <cellStyle name="Обычный 9 3 2 5 2 2 4 2" xfId="51201"/>
    <cellStyle name="Обычный 9 3 2 5 2 2 4 3" xfId="51202"/>
    <cellStyle name="Обычный 9 3 2 5 2 2 5" xfId="51203"/>
    <cellStyle name="Обычный 9 3 2 5 2 2 5 2" xfId="51204"/>
    <cellStyle name="Обычный 9 3 2 5 2 2 6" xfId="51205"/>
    <cellStyle name="Обычный 9 3 2 5 2 2 7" xfId="51206"/>
    <cellStyle name="Обычный 9 3 2 5 2 3" xfId="51207"/>
    <cellStyle name="Обычный 9 3 2 5 2 3 2" xfId="51208"/>
    <cellStyle name="Обычный 9 3 2 5 2 3 2 2" xfId="51209"/>
    <cellStyle name="Обычный 9 3 2 5 2 3 2 3" xfId="51210"/>
    <cellStyle name="Обычный 9 3 2 5 2 3 3" xfId="51211"/>
    <cellStyle name="Обычный 9 3 2 5 2 3 3 2" xfId="51212"/>
    <cellStyle name="Обычный 9 3 2 5 2 3 3 3" xfId="51213"/>
    <cellStyle name="Обычный 9 3 2 5 2 3 4" xfId="51214"/>
    <cellStyle name="Обычный 9 3 2 5 2 3 4 2" xfId="51215"/>
    <cellStyle name="Обычный 9 3 2 5 2 3 5" xfId="51216"/>
    <cellStyle name="Обычный 9 3 2 5 2 3 6" xfId="51217"/>
    <cellStyle name="Обычный 9 3 2 5 2 4" xfId="51218"/>
    <cellStyle name="Обычный 9 3 2 5 2 4 2" xfId="51219"/>
    <cellStyle name="Обычный 9 3 2 5 2 4 3" xfId="51220"/>
    <cellStyle name="Обычный 9 3 2 5 2 5" xfId="51221"/>
    <cellStyle name="Обычный 9 3 2 5 2 5 2" xfId="51222"/>
    <cellStyle name="Обычный 9 3 2 5 2 5 3" xfId="51223"/>
    <cellStyle name="Обычный 9 3 2 5 2 6" xfId="51224"/>
    <cellStyle name="Обычный 9 3 2 5 2 6 2" xfId="51225"/>
    <cellStyle name="Обычный 9 3 2 5 2 7" xfId="51226"/>
    <cellStyle name="Обычный 9 3 2 5 2 8" xfId="51227"/>
    <cellStyle name="Обычный 9 3 2 5 3" xfId="51228"/>
    <cellStyle name="Обычный 9 3 2 5 3 2" xfId="51229"/>
    <cellStyle name="Обычный 9 3 2 5 3 2 2" xfId="51230"/>
    <cellStyle name="Обычный 9 3 2 5 3 2 2 2" xfId="51231"/>
    <cellStyle name="Обычный 9 3 2 5 3 2 2 3" xfId="51232"/>
    <cellStyle name="Обычный 9 3 2 5 3 2 3" xfId="51233"/>
    <cellStyle name="Обычный 9 3 2 5 3 2 3 2" xfId="51234"/>
    <cellStyle name="Обычный 9 3 2 5 3 2 3 3" xfId="51235"/>
    <cellStyle name="Обычный 9 3 2 5 3 2 4" xfId="51236"/>
    <cellStyle name="Обычный 9 3 2 5 3 2 4 2" xfId="51237"/>
    <cellStyle name="Обычный 9 3 2 5 3 2 5" xfId="51238"/>
    <cellStyle name="Обычный 9 3 2 5 3 2 6" xfId="51239"/>
    <cellStyle name="Обычный 9 3 2 5 3 3" xfId="51240"/>
    <cellStyle name="Обычный 9 3 2 5 3 3 2" xfId="51241"/>
    <cellStyle name="Обычный 9 3 2 5 3 3 3" xfId="51242"/>
    <cellStyle name="Обычный 9 3 2 5 3 4" xfId="51243"/>
    <cellStyle name="Обычный 9 3 2 5 3 4 2" xfId="51244"/>
    <cellStyle name="Обычный 9 3 2 5 3 4 3" xfId="51245"/>
    <cellStyle name="Обычный 9 3 2 5 3 5" xfId="51246"/>
    <cellStyle name="Обычный 9 3 2 5 3 5 2" xfId="51247"/>
    <cellStyle name="Обычный 9 3 2 5 3 6" xfId="51248"/>
    <cellStyle name="Обычный 9 3 2 5 3 7" xfId="51249"/>
    <cellStyle name="Обычный 9 3 2 5 4" xfId="51250"/>
    <cellStyle name="Обычный 9 3 2 5 4 2" xfId="51251"/>
    <cellStyle name="Обычный 9 3 2 5 4 2 2" xfId="51252"/>
    <cellStyle name="Обычный 9 3 2 5 4 2 3" xfId="51253"/>
    <cellStyle name="Обычный 9 3 2 5 4 3" xfId="51254"/>
    <cellStyle name="Обычный 9 3 2 5 4 3 2" xfId="51255"/>
    <cellStyle name="Обычный 9 3 2 5 4 3 3" xfId="51256"/>
    <cellStyle name="Обычный 9 3 2 5 4 4" xfId="51257"/>
    <cellStyle name="Обычный 9 3 2 5 4 4 2" xfId="51258"/>
    <cellStyle name="Обычный 9 3 2 5 4 5" xfId="51259"/>
    <cellStyle name="Обычный 9 3 2 5 4 6" xfId="51260"/>
    <cellStyle name="Обычный 9 3 2 5 5" xfId="51261"/>
    <cellStyle name="Обычный 9 3 2 5 5 2" xfId="51262"/>
    <cellStyle name="Обычный 9 3 2 5 5 3" xfId="51263"/>
    <cellStyle name="Обычный 9 3 2 5 6" xfId="51264"/>
    <cellStyle name="Обычный 9 3 2 5 6 2" xfId="51265"/>
    <cellStyle name="Обычный 9 3 2 5 6 3" xfId="51266"/>
    <cellStyle name="Обычный 9 3 2 5 7" xfId="51267"/>
    <cellStyle name="Обычный 9 3 2 5 7 2" xfId="51268"/>
    <cellStyle name="Обычный 9 3 2 5 8" xfId="51269"/>
    <cellStyle name="Обычный 9 3 2 5 9" xfId="51270"/>
    <cellStyle name="Обычный 9 3 2 6" xfId="51271"/>
    <cellStyle name="Обычный 9 3 2 6 2" xfId="51272"/>
    <cellStyle name="Обычный 9 3 2 6 2 2" xfId="51273"/>
    <cellStyle name="Обычный 9 3 2 6 2 2 2" xfId="51274"/>
    <cellStyle name="Обычный 9 3 2 6 2 2 2 2" xfId="51275"/>
    <cellStyle name="Обычный 9 3 2 6 2 2 2 3" xfId="51276"/>
    <cellStyle name="Обычный 9 3 2 6 2 2 3" xfId="51277"/>
    <cellStyle name="Обычный 9 3 2 6 2 2 3 2" xfId="51278"/>
    <cellStyle name="Обычный 9 3 2 6 2 2 3 3" xfId="51279"/>
    <cellStyle name="Обычный 9 3 2 6 2 2 4" xfId="51280"/>
    <cellStyle name="Обычный 9 3 2 6 2 2 4 2" xfId="51281"/>
    <cellStyle name="Обычный 9 3 2 6 2 2 5" xfId="51282"/>
    <cellStyle name="Обычный 9 3 2 6 2 2 6" xfId="51283"/>
    <cellStyle name="Обычный 9 3 2 6 2 3" xfId="51284"/>
    <cellStyle name="Обычный 9 3 2 6 2 3 2" xfId="51285"/>
    <cellStyle name="Обычный 9 3 2 6 2 3 3" xfId="51286"/>
    <cellStyle name="Обычный 9 3 2 6 2 4" xfId="51287"/>
    <cellStyle name="Обычный 9 3 2 6 2 4 2" xfId="51288"/>
    <cellStyle name="Обычный 9 3 2 6 2 4 3" xfId="51289"/>
    <cellStyle name="Обычный 9 3 2 6 2 5" xfId="51290"/>
    <cellStyle name="Обычный 9 3 2 6 2 5 2" xfId="51291"/>
    <cellStyle name="Обычный 9 3 2 6 2 6" xfId="51292"/>
    <cellStyle name="Обычный 9 3 2 6 2 7" xfId="51293"/>
    <cellStyle name="Обычный 9 3 2 6 3" xfId="51294"/>
    <cellStyle name="Обычный 9 3 2 6 3 2" xfId="51295"/>
    <cellStyle name="Обычный 9 3 2 6 3 2 2" xfId="51296"/>
    <cellStyle name="Обычный 9 3 2 6 3 2 3" xfId="51297"/>
    <cellStyle name="Обычный 9 3 2 6 3 3" xfId="51298"/>
    <cellStyle name="Обычный 9 3 2 6 3 3 2" xfId="51299"/>
    <cellStyle name="Обычный 9 3 2 6 3 3 3" xfId="51300"/>
    <cellStyle name="Обычный 9 3 2 6 3 4" xfId="51301"/>
    <cellStyle name="Обычный 9 3 2 6 3 4 2" xfId="51302"/>
    <cellStyle name="Обычный 9 3 2 6 3 5" xfId="51303"/>
    <cellStyle name="Обычный 9 3 2 6 3 6" xfId="51304"/>
    <cellStyle name="Обычный 9 3 2 6 4" xfId="51305"/>
    <cellStyle name="Обычный 9 3 2 6 4 2" xfId="51306"/>
    <cellStyle name="Обычный 9 3 2 6 4 3" xfId="51307"/>
    <cellStyle name="Обычный 9 3 2 6 5" xfId="51308"/>
    <cellStyle name="Обычный 9 3 2 6 5 2" xfId="51309"/>
    <cellStyle name="Обычный 9 3 2 6 5 3" xfId="51310"/>
    <cellStyle name="Обычный 9 3 2 6 6" xfId="51311"/>
    <cellStyle name="Обычный 9 3 2 6 6 2" xfId="51312"/>
    <cellStyle name="Обычный 9 3 2 6 7" xfId="51313"/>
    <cellStyle name="Обычный 9 3 2 6 8" xfId="51314"/>
    <cellStyle name="Обычный 9 3 2 7" xfId="51315"/>
    <cellStyle name="Обычный 9 3 2 7 2" xfId="51316"/>
    <cellStyle name="Обычный 9 3 2 7 2 2" xfId="51317"/>
    <cellStyle name="Обычный 9 3 2 7 2 2 2" xfId="51318"/>
    <cellStyle name="Обычный 9 3 2 7 2 2 3" xfId="51319"/>
    <cellStyle name="Обычный 9 3 2 7 2 3" xfId="51320"/>
    <cellStyle name="Обычный 9 3 2 7 2 3 2" xfId="51321"/>
    <cellStyle name="Обычный 9 3 2 7 2 3 3" xfId="51322"/>
    <cellStyle name="Обычный 9 3 2 7 2 4" xfId="51323"/>
    <cellStyle name="Обычный 9 3 2 7 2 4 2" xfId="51324"/>
    <cellStyle name="Обычный 9 3 2 7 2 5" xfId="51325"/>
    <cellStyle name="Обычный 9 3 2 7 2 6" xfId="51326"/>
    <cellStyle name="Обычный 9 3 2 7 3" xfId="51327"/>
    <cellStyle name="Обычный 9 3 2 7 3 2" xfId="51328"/>
    <cellStyle name="Обычный 9 3 2 7 3 3" xfId="51329"/>
    <cellStyle name="Обычный 9 3 2 7 4" xfId="51330"/>
    <cellStyle name="Обычный 9 3 2 7 4 2" xfId="51331"/>
    <cellStyle name="Обычный 9 3 2 7 4 3" xfId="51332"/>
    <cellStyle name="Обычный 9 3 2 7 5" xfId="51333"/>
    <cellStyle name="Обычный 9 3 2 7 5 2" xfId="51334"/>
    <cellStyle name="Обычный 9 3 2 7 6" xfId="51335"/>
    <cellStyle name="Обычный 9 3 2 7 7" xfId="51336"/>
    <cellStyle name="Обычный 9 3 2 8" xfId="51337"/>
    <cellStyle name="Обычный 9 3 2 8 2" xfId="51338"/>
    <cellStyle name="Обычный 9 3 2 8 2 2" xfId="51339"/>
    <cellStyle name="Обычный 9 3 2 8 2 3" xfId="51340"/>
    <cellStyle name="Обычный 9 3 2 8 3" xfId="51341"/>
    <cellStyle name="Обычный 9 3 2 8 3 2" xfId="51342"/>
    <cellStyle name="Обычный 9 3 2 8 3 3" xfId="51343"/>
    <cellStyle name="Обычный 9 3 2 8 4" xfId="51344"/>
    <cellStyle name="Обычный 9 3 2 8 4 2" xfId="51345"/>
    <cellStyle name="Обычный 9 3 2 8 5" xfId="51346"/>
    <cellStyle name="Обычный 9 3 2 8 6" xfId="51347"/>
    <cellStyle name="Обычный 9 3 2 9" xfId="51348"/>
    <cellStyle name="Обычный 9 3 2 9 2" xfId="51349"/>
    <cellStyle name="Обычный 9 3 2 9 3" xfId="51350"/>
    <cellStyle name="Обычный 9 3 3" xfId="51351"/>
    <cellStyle name="Обычный 9 3 3 10" xfId="51352"/>
    <cellStyle name="Обычный 9 3 3 2" xfId="51353"/>
    <cellStyle name="Обычный 9 3 3 2 2" xfId="51354"/>
    <cellStyle name="Обычный 9 3 3 2 2 2" xfId="51355"/>
    <cellStyle name="Обычный 9 3 3 2 2 2 2" xfId="51356"/>
    <cellStyle name="Обычный 9 3 3 2 2 2 2 2" xfId="51357"/>
    <cellStyle name="Обычный 9 3 3 2 2 2 2 2 2" xfId="51358"/>
    <cellStyle name="Обычный 9 3 3 2 2 2 2 2 3" xfId="51359"/>
    <cellStyle name="Обычный 9 3 3 2 2 2 2 3" xfId="51360"/>
    <cellStyle name="Обычный 9 3 3 2 2 2 2 3 2" xfId="51361"/>
    <cellStyle name="Обычный 9 3 3 2 2 2 2 3 3" xfId="51362"/>
    <cellStyle name="Обычный 9 3 3 2 2 2 2 4" xfId="51363"/>
    <cellStyle name="Обычный 9 3 3 2 2 2 2 4 2" xfId="51364"/>
    <cellStyle name="Обычный 9 3 3 2 2 2 2 5" xfId="51365"/>
    <cellStyle name="Обычный 9 3 3 2 2 2 2 6" xfId="51366"/>
    <cellStyle name="Обычный 9 3 3 2 2 2 3" xfId="51367"/>
    <cellStyle name="Обычный 9 3 3 2 2 2 3 2" xfId="51368"/>
    <cellStyle name="Обычный 9 3 3 2 2 2 3 3" xfId="51369"/>
    <cellStyle name="Обычный 9 3 3 2 2 2 4" xfId="51370"/>
    <cellStyle name="Обычный 9 3 3 2 2 2 4 2" xfId="51371"/>
    <cellStyle name="Обычный 9 3 3 2 2 2 4 3" xfId="51372"/>
    <cellStyle name="Обычный 9 3 3 2 2 2 5" xfId="51373"/>
    <cellStyle name="Обычный 9 3 3 2 2 2 5 2" xfId="51374"/>
    <cellStyle name="Обычный 9 3 3 2 2 2 6" xfId="51375"/>
    <cellStyle name="Обычный 9 3 3 2 2 2 7" xfId="51376"/>
    <cellStyle name="Обычный 9 3 3 2 2 3" xfId="51377"/>
    <cellStyle name="Обычный 9 3 3 2 2 3 2" xfId="51378"/>
    <cellStyle name="Обычный 9 3 3 2 2 3 2 2" xfId="51379"/>
    <cellStyle name="Обычный 9 3 3 2 2 3 2 3" xfId="51380"/>
    <cellStyle name="Обычный 9 3 3 2 2 3 3" xfId="51381"/>
    <cellStyle name="Обычный 9 3 3 2 2 3 3 2" xfId="51382"/>
    <cellStyle name="Обычный 9 3 3 2 2 3 3 3" xfId="51383"/>
    <cellStyle name="Обычный 9 3 3 2 2 3 4" xfId="51384"/>
    <cellStyle name="Обычный 9 3 3 2 2 3 4 2" xfId="51385"/>
    <cellStyle name="Обычный 9 3 3 2 2 3 5" xfId="51386"/>
    <cellStyle name="Обычный 9 3 3 2 2 3 6" xfId="51387"/>
    <cellStyle name="Обычный 9 3 3 2 2 4" xfId="51388"/>
    <cellStyle name="Обычный 9 3 3 2 2 4 2" xfId="51389"/>
    <cellStyle name="Обычный 9 3 3 2 2 4 3" xfId="51390"/>
    <cellStyle name="Обычный 9 3 3 2 2 5" xfId="51391"/>
    <cellStyle name="Обычный 9 3 3 2 2 5 2" xfId="51392"/>
    <cellStyle name="Обычный 9 3 3 2 2 5 3" xfId="51393"/>
    <cellStyle name="Обычный 9 3 3 2 2 6" xfId="51394"/>
    <cellStyle name="Обычный 9 3 3 2 2 6 2" xfId="51395"/>
    <cellStyle name="Обычный 9 3 3 2 2 7" xfId="51396"/>
    <cellStyle name="Обычный 9 3 3 2 2 8" xfId="51397"/>
    <cellStyle name="Обычный 9 3 3 2 3" xfId="51398"/>
    <cellStyle name="Обычный 9 3 3 2 3 2" xfId="51399"/>
    <cellStyle name="Обычный 9 3 3 2 3 2 2" xfId="51400"/>
    <cellStyle name="Обычный 9 3 3 2 3 2 2 2" xfId="51401"/>
    <cellStyle name="Обычный 9 3 3 2 3 2 2 3" xfId="51402"/>
    <cellStyle name="Обычный 9 3 3 2 3 2 3" xfId="51403"/>
    <cellStyle name="Обычный 9 3 3 2 3 2 3 2" xfId="51404"/>
    <cellStyle name="Обычный 9 3 3 2 3 2 3 3" xfId="51405"/>
    <cellStyle name="Обычный 9 3 3 2 3 2 4" xfId="51406"/>
    <cellStyle name="Обычный 9 3 3 2 3 2 4 2" xfId="51407"/>
    <cellStyle name="Обычный 9 3 3 2 3 2 5" xfId="51408"/>
    <cellStyle name="Обычный 9 3 3 2 3 2 6" xfId="51409"/>
    <cellStyle name="Обычный 9 3 3 2 3 3" xfId="51410"/>
    <cellStyle name="Обычный 9 3 3 2 3 3 2" xfId="51411"/>
    <cellStyle name="Обычный 9 3 3 2 3 3 3" xfId="51412"/>
    <cellStyle name="Обычный 9 3 3 2 3 4" xfId="51413"/>
    <cellStyle name="Обычный 9 3 3 2 3 4 2" xfId="51414"/>
    <cellStyle name="Обычный 9 3 3 2 3 4 3" xfId="51415"/>
    <cellStyle name="Обычный 9 3 3 2 3 5" xfId="51416"/>
    <cellStyle name="Обычный 9 3 3 2 3 5 2" xfId="51417"/>
    <cellStyle name="Обычный 9 3 3 2 3 6" xfId="51418"/>
    <cellStyle name="Обычный 9 3 3 2 3 7" xfId="51419"/>
    <cellStyle name="Обычный 9 3 3 2 4" xfId="51420"/>
    <cellStyle name="Обычный 9 3 3 2 4 2" xfId="51421"/>
    <cellStyle name="Обычный 9 3 3 2 4 2 2" xfId="51422"/>
    <cellStyle name="Обычный 9 3 3 2 4 2 3" xfId="51423"/>
    <cellStyle name="Обычный 9 3 3 2 4 3" xfId="51424"/>
    <cellStyle name="Обычный 9 3 3 2 4 3 2" xfId="51425"/>
    <cellStyle name="Обычный 9 3 3 2 4 3 3" xfId="51426"/>
    <cellStyle name="Обычный 9 3 3 2 4 4" xfId="51427"/>
    <cellStyle name="Обычный 9 3 3 2 4 4 2" xfId="51428"/>
    <cellStyle name="Обычный 9 3 3 2 4 5" xfId="51429"/>
    <cellStyle name="Обычный 9 3 3 2 4 6" xfId="51430"/>
    <cellStyle name="Обычный 9 3 3 2 5" xfId="51431"/>
    <cellStyle name="Обычный 9 3 3 2 5 2" xfId="51432"/>
    <cellStyle name="Обычный 9 3 3 2 5 3" xfId="51433"/>
    <cellStyle name="Обычный 9 3 3 2 6" xfId="51434"/>
    <cellStyle name="Обычный 9 3 3 2 6 2" xfId="51435"/>
    <cellStyle name="Обычный 9 3 3 2 6 3" xfId="51436"/>
    <cellStyle name="Обычный 9 3 3 2 7" xfId="51437"/>
    <cellStyle name="Обычный 9 3 3 2 7 2" xfId="51438"/>
    <cellStyle name="Обычный 9 3 3 2 8" xfId="51439"/>
    <cellStyle name="Обычный 9 3 3 2 9" xfId="51440"/>
    <cellStyle name="Обычный 9 3 3 3" xfId="51441"/>
    <cellStyle name="Обычный 9 3 3 3 2" xfId="51442"/>
    <cellStyle name="Обычный 9 3 3 3 2 2" xfId="51443"/>
    <cellStyle name="Обычный 9 3 3 3 2 2 2" xfId="51444"/>
    <cellStyle name="Обычный 9 3 3 3 2 2 2 2" xfId="51445"/>
    <cellStyle name="Обычный 9 3 3 3 2 2 2 3" xfId="51446"/>
    <cellStyle name="Обычный 9 3 3 3 2 2 3" xfId="51447"/>
    <cellStyle name="Обычный 9 3 3 3 2 2 3 2" xfId="51448"/>
    <cellStyle name="Обычный 9 3 3 3 2 2 3 3" xfId="51449"/>
    <cellStyle name="Обычный 9 3 3 3 2 2 4" xfId="51450"/>
    <cellStyle name="Обычный 9 3 3 3 2 2 4 2" xfId="51451"/>
    <cellStyle name="Обычный 9 3 3 3 2 2 5" xfId="51452"/>
    <cellStyle name="Обычный 9 3 3 3 2 2 6" xfId="51453"/>
    <cellStyle name="Обычный 9 3 3 3 2 3" xfId="51454"/>
    <cellStyle name="Обычный 9 3 3 3 2 3 2" xfId="51455"/>
    <cellStyle name="Обычный 9 3 3 3 2 3 3" xfId="51456"/>
    <cellStyle name="Обычный 9 3 3 3 2 4" xfId="51457"/>
    <cellStyle name="Обычный 9 3 3 3 2 4 2" xfId="51458"/>
    <cellStyle name="Обычный 9 3 3 3 2 4 3" xfId="51459"/>
    <cellStyle name="Обычный 9 3 3 3 2 5" xfId="51460"/>
    <cellStyle name="Обычный 9 3 3 3 2 5 2" xfId="51461"/>
    <cellStyle name="Обычный 9 3 3 3 2 6" xfId="51462"/>
    <cellStyle name="Обычный 9 3 3 3 2 7" xfId="51463"/>
    <cellStyle name="Обычный 9 3 3 3 3" xfId="51464"/>
    <cellStyle name="Обычный 9 3 3 3 3 2" xfId="51465"/>
    <cellStyle name="Обычный 9 3 3 3 3 2 2" xfId="51466"/>
    <cellStyle name="Обычный 9 3 3 3 3 2 3" xfId="51467"/>
    <cellStyle name="Обычный 9 3 3 3 3 3" xfId="51468"/>
    <cellStyle name="Обычный 9 3 3 3 3 3 2" xfId="51469"/>
    <cellStyle name="Обычный 9 3 3 3 3 3 3" xfId="51470"/>
    <cellStyle name="Обычный 9 3 3 3 3 4" xfId="51471"/>
    <cellStyle name="Обычный 9 3 3 3 3 4 2" xfId="51472"/>
    <cellStyle name="Обычный 9 3 3 3 3 5" xfId="51473"/>
    <cellStyle name="Обычный 9 3 3 3 3 6" xfId="51474"/>
    <cellStyle name="Обычный 9 3 3 3 4" xfId="51475"/>
    <cellStyle name="Обычный 9 3 3 3 4 2" xfId="51476"/>
    <cellStyle name="Обычный 9 3 3 3 4 3" xfId="51477"/>
    <cellStyle name="Обычный 9 3 3 3 5" xfId="51478"/>
    <cellStyle name="Обычный 9 3 3 3 5 2" xfId="51479"/>
    <cellStyle name="Обычный 9 3 3 3 5 3" xfId="51480"/>
    <cellStyle name="Обычный 9 3 3 3 6" xfId="51481"/>
    <cellStyle name="Обычный 9 3 3 3 6 2" xfId="51482"/>
    <cellStyle name="Обычный 9 3 3 3 7" xfId="51483"/>
    <cellStyle name="Обычный 9 3 3 3 8" xfId="51484"/>
    <cellStyle name="Обычный 9 3 3 4" xfId="51485"/>
    <cellStyle name="Обычный 9 3 3 4 2" xfId="51486"/>
    <cellStyle name="Обычный 9 3 3 4 2 2" xfId="51487"/>
    <cellStyle name="Обычный 9 3 3 4 2 2 2" xfId="51488"/>
    <cellStyle name="Обычный 9 3 3 4 2 2 3" xfId="51489"/>
    <cellStyle name="Обычный 9 3 3 4 2 3" xfId="51490"/>
    <cellStyle name="Обычный 9 3 3 4 2 3 2" xfId="51491"/>
    <cellStyle name="Обычный 9 3 3 4 2 3 3" xfId="51492"/>
    <cellStyle name="Обычный 9 3 3 4 2 4" xfId="51493"/>
    <cellStyle name="Обычный 9 3 3 4 2 4 2" xfId="51494"/>
    <cellStyle name="Обычный 9 3 3 4 2 5" xfId="51495"/>
    <cellStyle name="Обычный 9 3 3 4 2 6" xfId="51496"/>
    <cellStyle name="Обычный 9 3 3 4 3" xfId="51497"/>
    <cellStyle name="Обычный 9 3 3 4 3 2" xfId="51498"/>
    <cellStyle name="Обычный 9 3 3 4 3 3" xfId="51499"/>
    <cellStyle name="Обычный 9 3 3 4 4" xfId="51500"/>
    <cellStyle name="Обычный 9 3 3 4 4 2" xfId="51501"/>
    <cellStyle name="Обычный 9 3 3 4 4 3" xfId="51502"/>
    <cellStyle name="Обычный 9 3 3 4 5" xfId="51503"/>
    <cellStyle name="Обычный 9 3 3 4 5 2" xfId="51504"/>
    <cellStyle name="Обычный 9 3 3 4 6" xfId="51505"/>
    <cellStyle name="Обычный 9 3 3 4 7" xfId="51506"/>
    <cellStyle name="Обычный 9 3 3 5" xfId="51507"/>
    <cellStyle name="Обычный 9 3 3 5 2" xfId="51508"/>
    <cellStyle name="Обычный 9 3 3 5 2 2" xfId="51509"/>
    <cellStyle name="Обычный 9 3 3 5 2 3" xfId="51510"/>
    <cellStyle name="Обычный 9 3 3 5 3" xfId="51511"/>
    <cellStyle name="Обычный 9 3 3 5 3 2" xfId="51512"/>
    <cellStyle name="Обычный 9 3 3 5 3 3" xfId="51513"/>
    <cellStyle name="Обычный 9 3 3 5 4" xfId="51514"/>
    <cellStyle name="Обычный 9 3 3 5 4 2" xfId="51515"/>
    <cellStyle name="Обычный 9 3 3 5 5" xfId="51516"/>
    <cellStyle name="Обычный 9 3 3 5 6" xfId="51517"/>
    <cellStyle name="Обычный 9 3 3 6" xfId="51518"/>
    <cellStyle name="Обычный 9 3 3 6 2" xfId="51519"/>
    <cellStyle name="Обычный 9 3 3 6 3" xfId="51520"/>
    <cellStyle name="Обычный 9 3 3 7" xfId="51521"/>
    <cellStyle name="Обычный 9 3 3 7 2" xfId="51522"/>
    <cellStyle name="Обычный 9 3 3 7 3" xfId="51523"/>
    <cellStyle name="Обычный 9 3 3 8" xfId="51524"/>
    <cellStyle name="Обычный 9 3 3 8 2" xfId="51525"/>
    <cellStyle name="Обычный 9 3 3 9" xfId="51526"/>
    <cellStyle name="Обычный 9 3 4" xfId="51527"/>
    <cellStyle name="Обычный 9 3 4 10" xfId="51528"/>
    <cellStyle name="Обычный 9 3 4 2" xfId="51529"/>
    <cellStyle name="Обычный 9 3 4 2 2" xfId="51530"/>
    <cellStyle name="Обычный 9 3 4 2 2 2" xfId="51531"/>
    <cellStyle name="Обычный 9 3 4 2 2 2 2" xfId="51532"/>
    <cellStyle name="Обычный 9 3 4 2 2 2 2 2" xfId="51533"/>
    <cellStyle name="Обычный 9 3 4 2 2 2 2 2 2" xfId="51534"/>
    <cellStyle name="Обычный 9 3 4 2 2 2 2 2 3" xfId="51535"/>
    <cellStyle name="Обычный 9 3 4 2 2 2 2 3" xfId="51536"/>
    <cellStyle name="Обычный 9 3 4 2 2 2 2 3 2" xfId="51537"/>
    <cellStyle name="Обычный 9 3 4 2 2 2 2 3 3" xfId="51538"/>
    <cellStyle name="Обычный 9 3 4 2 2 2 2 4" xfId="51539"/>
    <cellStyle name="Обычный 9 3 4 2 2 2 2 4 2" xfId="51540"/>
    <cellStyle name="Обычный 9 3 4 2 2 2 2 5" xfId="51541"/>
    <cellStyle name="Обычный 9 3 4 2 2 2 2 6" xfId="51542"/>
    <cellStyle name="Обычный 9 3 4 2 2 2 3" xfId="51543"/>
    <cellStyle name="Обычный 9 3 4 2 2 2 3 2" xfId="51544"/>
    <cellStyle name="Обычный 9 3 4 2 2 2 3 3" xfId="51545"/>
    <cellStyle name="Обычный 9 3 4 2 2 2 4" xfId="51546"/>
    <cellStyle name="Обычный 9 3 4 2 2 2 4 2" xfId="51547"/>
    <cellStyle name="Обычный 9 3 4 2 2 2 4 3" xfId="51548"/>
    <cellStyle name="Обычный 9 3 4 2 2 2 5" xfId="51549"/>
    <cellStyle name="Обычный 9 3 4 2 2 2 5 2" xfId="51550"/>
    <cellStyle name="Обычный 9 3 4 2 2 2 6" xfId="51551"/>
    <cellStyle name="Обычный 9 3 4 2 2 2 7" xfId="51552"/>
    <cellStyle name="Обычный 9 3 4 2 2 3" xfId="51553"/>
    <cellStyle name="Обычный 9 3 4 2 2 3 2" xfId="51554"/>
    <cellStyle name="Обычный 9 3 4 2 2 3 2 2" xfId="51555"/>
    <cellStyle name="Обычный 9 3 4 2 2 3 2 3" xfId="51556"/>
    <cellStyle name="Обычный 9 3 4 2 2 3 3" xfId="51557"/>
    <cellStyle name="Обычный 9 3 4 2 2 3 3 2" xfId="51558"/>
    <cellStyle name="Обычный 9 3 4 2 2 3 3 3" xfId="51559"/>
    <cellStyle name="Обычный 9 3 4 2 2 3 4" xfId="51560"/>
    <cellStyle name="Обычный 9 3 4 2 2 3 4 2" xfId="51561"/>
    <cellStyle name="Обычный 9 3 4 2 2 3 5" xfId="51562"/>
    <cellStyle name="Обычный 9 3 4 2 2 3 6" xfId="51563"/>
    <cellStyle name="Обычный 9 3 4 2 2 4" xfId="51564"/>
    <cellStyle name="Обычный 9 3 4 2 2 4 2" xfId="51565"/>
    <cellStyle name="Обычный 9 3 4 2 2 4 3" xfId="51566"/>
    <cellStyle name="Обычный 9 3 4 2 2 5" xfId="51567"/>
    <cellStyle name="Обычный 9 3 4 2 2 5 2" xfId="51568"/>
    <cellStyle name="Обычный 9 3 4 2 2 5 3" xfId="51569"/>
    <cellStyle name="Обычный 9 3 4 2 2 6" xfId="51570"/>
    <cellStyle name="Обычный 9 3 4 2 2 6 2" xfId="51571"/>
    <cellStyle name="Обычный 9 3 4 2 2 7" xfId="51572"/>
    <cellStyle name="Обычный 9 3 4 2 2 8" xfId="51573"/>
    <cellStyle name="Обычный 9 3 4 2 3" xfId="51574"/>
    <cellStyle name="Обычный 9 3 4 2 3 2" xfId="51575"/>
    <cellStyle name="Обычный 9 3 4 2 3 2 2" xfId="51576"/>
    <cellStyle name="Обычный 9 3 4 2 3 2 2 2" xfId="51577"/>
    <cellStyle name="Обычный 9 3 4 2 3 2 2 3" xfId="51578"/>
    <cellStyle name="Обычный 9 3 4 2 3 2 3" xfId="51579"/>
    <cellStyle name="Обычный 9 3 4 2 3 2 3 2" xfId="51580"/>
    <cellStyle name="Обычный 9 3 4 2 3 2 3 3" xfId="51581"/>
    <cellStyle name="Обычный 9 3 4 2 3 2 4" xfId="51582"/>
    <cellStyle name="Обычный 9 3 4 2 3 2 4 2" xfId="51583"/>
    <cellStyle name="Обычный 9 3 4 2 3 2 5" xfId="51584"/>
    <cellStyle name="Обычный 9 3 4 2 3 2 6" xfId="51585"/>
    <cellStyle name="Обычный 9 3 4 2 3 3" xfId="51586"/>
    <cellStyle name="Обычный 9 3 4 2 3 3 2" xfId="51587"/>
    <cellStyle name="Обычный 9 3 4 2 3 3 3" xfId="51588"/>
    <cellStyle name="Обычный 9 3 4 2 3 4" xfId="51589"/>
    <cellStyle name="Обычный 9 3 4 2 3 4 2" xfId="51590"/>
    <cellStyle name="Обычный 9 3 4 2 3 4 3" xfId="51591"/>
    <cellStyle name="Обычный 9 3 4 2 3 5" xfId="51592"/>
    <cellStyle name="Обычный 9 3 4 2 3 5 2" xfId="51593"/>
    <cellStyle name="Обычный 9 3 4 2 3 6" xfId="51594"/>
    <cellStyle name="Обычный 9 3 4 2 3 7" xfId="51595"/>
    <cellStyle name="Обычный 9 3 4 2 4" xfId="51596"/>
    <cellStyle name="Обычный 9 3 4 2 4 2" xfId="51597"/>
    <cellStyle name="Обычный 9 3 4 2 4 2 2" xfId="51598"/>
    <cellStyle name="Обычный 9 3 4 2 4 2 3" xfId="51599"/>
    <cellStyle name="Обычный 9 3 4 2 4 3" xfId="51600"/>
    <cellStyle name="Обычный 9 3 4 2 4 3 2" xfId="51601"/>
    <cellStyle name="Обычный 9 3 4 2 4 3 3" xfId="51602"/>
    <cellStyle name="Обычный 9 3 4 2 4 4" xfId="51603"/>
    <cellStyle name="Обычный 9 3 4 2 4 4 2" xfId="51604"/>
    <cellStyle name="Обычный 9 3 4 2 4 5" xfId="51605"/>
    <cellStyle name="Обычный 9 3 4 2 4 6" xfId="51606"/>
    <cellStyle name="Обычный 9 3 4 2 5" xfId="51607"/>
    <cellStyle name="Обычный 9 3 4 2 5 2" xfId="51608"/>
    <cellStyle name="Обычный 9 3 4 2 5 3" xfId="51609"/>
    <cellStyle name="Обычный 9 3 4 2 6" xfId="51610"/>
    <cellStyle name="Обычный 9 3 4 2 6 2" xfId="51611"/>
    <cellStyle name="Обычный 9 3 4 2 6 3" xfId="51612"/>
    <cellStyle name="Обычный 9 3 4 2 7" xfId="51613"/>
    <cellStyle name="Обычный 9 3 4 2 7 2" xfId="51614"/>
    <cellStyle name="Обычный 9 3 4 2 8" xfId="51615"/>
    <cellStyle name="Обычный 9 3 4 2 9" xfId="51616"/>
    <cellStyle name="Обычный 9 3 4 3" xfId="51617"/>
    <cellStyle name="Обычный 9 3 4 3 2" xfId="51618"/>
    <cellStyle name="Обычный 9 3 4 3 2 2" xfId="51619"/>
    <cellStyle name="Обычный 9 3 4 3 2 2 2" xfId="51620"/>
    <cellStyle name="Обычный 9 3 4 3 2 2 2 2" xfId="51621"/>
    <cellStyle name="Обычный 9 3 4 3 2 2 2 3" xfId="51622"/>
    <cellStyle name="Обычный 9 3 4 3 2 2 3" xfId="51623"/>
    <cellStyle name="Обычный 9 3 4 3 2 2 3 2" xfId="51624"/>
    <cellStyle name="Обычный 9 3 4 3 2 2 3 3" xfId="51625"/>
    <cellStyle name="Обычный 9 3 4 3 2 2 4" xfId="51626"/>
    <cellStyle name="Обычный 9 3 4 3 2 2 4 2" xfId="51627"/>
    <cellStyle name="Обычный 9 3 4 3 2 2 5" xfId="51628"/>
    <cellStyle name="Обычный 9 3 4 3 2 2 6" xfId="51629"/>
    <cellStyle name="Обычный 9 3 4 3 2 3" xfId="51630"/>
    <cellStyle name="Обычный 9 3 4 3 2 3 2" xfId="51631"/>
    <cellStyle name="Обычный 9 3 4 3 2 3 3" xfId="51632"/>
    <cellStyle name="Обычный 9 3 4 3 2 4" xfId="51633"/>
    <cellStyle name="Обычный 9 3 4 3 2 4 2" xfId="51634"/>
    <cellStyle name="Обычный 9 3 4 3 2 4 3" xfId="51635"/>
    <cellStyle name="Обычный 9 3 4 3 2 5" xfId="51636"/>
    <cellStyle name="Обычный 9 3 4 3 2 5 2" xfId="51637"/>
    <cellStyle name="Обычный 9 3 4 3 2 6" xfId="51638"/>
    <cellStyle name="Обычный 9 3 4 3 2 7" xfId="51639"/>
    <cellStyle name="Обычный 9 3 4 3 3" xfId="51640"/>
    <cellStyle name="Обычный 9 3 4 3 3 2" xfId="51641"/>
    <cellStyle name="Обычный 9 3 4 3 3 2 2" xfId="51642"/>
    <cellStyle name="Обычный 9 3 4 3 3 2 3" xfId="51643"/>
    <cellStyle name="Обычный 9 3 4 3 3 3" xfId="51644"/>
    <cellStyle name="Обычный 9 3 4 3 3 3 2" xfId="51645"/>
    <cellStyle name="Обычный 9 3 4 3 3 3 3" xfId="51646"/>
    <cellStyle name="Обычный 9 3 4 3 3 4" xfId="51647"/>
    <cellStyle name="Обычный 9 3 4 3 3 4 2" xfId="51648"/>
    <cellStyle name="Обычный 9 3 4 3 3 5" xfId="51649"/>
    <cellStyle name="Обычный 9 3 4 3 3 6" xfId="51650"/>
    <cellStyle name="Обычный 9 3 4 3 4" xfId="51651"/>
    <cellStyle name="Обычный 9 3 4 3 4 2" xfId="51652"/>
    <cellStyle name="Обычный 9 3 4 3 4 3" xfId="51653"/>
    <cellStyle name="Обычный 9 3 4 3 5" xfId="51654"/>
    <cellStyle name="Обычный 9 3 4 3 5 2" xfId="51655"/>
    <cellStyle name="Обычный 9 3 4 3 5 3" xfId="51656"/>
    <cellStyle name="Обычный 9 3 4 3 6" xfId="51657"/>
    <cellStyle name="Обычный 9 3 4 3 6 2" xfId="51658"/>
    <cellStyle name="Обычный 9 3 4 3 7" xfId="51659"/>
    <cellStyle name="Обычный 9 3 4 3 8" xfId="51660"/>
    <cellStyle name="Обычный 9 3 4 4" xfId="51661"/>
    <cellStyle name="Обычный 9 3 4 4 2" xfId="51662"/>
    <cellStyle name="Обычный 9 3 4 4 2 2" xfId="51663"/>
    <cellStyle name="Обычный 9 3 4 4 2 2 2" xfId="51664"/>
    <cellStyle name="Обычный 9 3 4 4 2 2 3" xfId="51665"/>
    <cellStyle name="Обычный 9 3 4 4 2 3" xfId="51666"/>
    <cellStyle name="Обычный 9 3 4 4 2 3 2" xfId="51667"/>
    <cellStyle name="Обычный 9 3 4 4 2 3 3" xfId="51668"/>
    <cellStyle name="Обычный 9 3 4 4 2 4" xfId="51669"/>
    <cellStyle name="Обычный 9 3 4 4 2 4 2" xfId="51670"/>
    <cellStyle name="Обычный 9 3 4 4 2 5" xfId="51671"/>
    <cellStyle name="Обычный 9 3 4 4 2 6" xfId="51672"/>
    <cellStyle name="Обычный 9 3 4 4 3" xfId="51673"/>
    <cellStyle name="Обычный 9 3 4 4 3 2" xfId="51674"/>
    <cellStyle name="Обычный 9 3 4 4 3 3" xfId="51675"/>
    <cellStyle name="Обычный 9 3 4 4 4" xfId="51676"/>
    <cellStyle name="Обычный 9 3 4 4 4 2" xfId="51677"/>
    <cellStyle name="Обычный 9 3 4 4 4 3" xfId="51678"/>
    <cellStyle name="Обычный 9 3 4 4 5" xfId="51679"/>
    <cellStyle name="Обычный 9 3 4 4 5 2" xfId="51680"/>
    <cellStyle name="Обычный 9 3 4 4 6" xfId="51681"/>
    <cellStyle name="Обычный 9 3 4 4 7" xfId="51682"/>
    <cellStyle name="Обычный 9 3 4 5" xfId="51683"/>
    <cellStyle name="Обычный 9 3 4 5 2" xfId="51684"/>
    <cellStyle name="Обычный 9 3 4 5 2 2" xfId="51685"/>
    <cellStyle name="Обычный 9 3 4 5 2 3" xfId="51686"/>
    <cellStyle name="Обычный 9 3 4 5 3" xfId="51687"/>
    <cellStyle name="Обычный 9 3 4 5 3 2" xfId="51688"/>
    <cellStyle name="Обычный 9 3 4 5 3 3" xfId="51689"/>
    <cellStyle name="Обычный 9 3 4 5 4" xfId="51690"/>
    <cellStyle name="Обычный 9 3 4 5 4 2" xfId="51691"/>
    <cellStyle name="Обычный 9 3 4 5 5" xfId="51692"/>
    <cellStyle name="Обычный 9 3 4 5 6" xfId="51693"/>
    <cellStyle name="Обычный 9 3 4 6" xfId="51694"/>
    <cellStyle name="Обычный 9 3 4 6 2" xfId="51695"/>
    <cellStyle name="Обычный 9 3 4 6 3" xfId="51696"/>
    <cellStyle name="Обычный 9 3 4 7" xfId="51697"/>
    <cellStyle name="Обычный 9 3 4 7 2" xfId="51698"/>
    <cellStyle name="Обычный 9 3 4 7 3" xfId="51699"/>
    <cellStyle name="Обычный 9 3 4 8" xfId="51700"/>
    <cellStyle name="Обычный 9 3 4 8 2" xfId="51701"/>
    <cellStyle name="Обычный 9 3 4 9" xfId="51702"/>
    <cellStyle name="Обычный 9 3 5" xfId="51703"/>
    <cellStyle name="Обычный 9 3 5 10" xfId="51704"/>
    <cellStyle name="Обычный 9 3 5 2" xfId="51705"/>
    <cellStyle name="Обычный 9 3 5 2 2" xfId="51706"/>
    <cellStyle name="Обычный 9 3 5 2 2 2" xfId="51707"/>
    <cellStyle name="Обычный 9 3 5 2 2 2 2" xfId="51708"/>
    <cellStyle name="Обычный 9 3 5 2 2 2 2 2" xfId="51709"/>
    <cellStyle name="Обычный 9 3 5 2 2 2 2 2 2" xfId="51710"/>
    <cellStyle name="Обычный 9 3 5 2 2 2 2 2 3" xfId="51711"/>
    <cellStyle name="Обычный 9 3 5 2 2 2 2 3" xfId="51712"/>
    <cellStyle name="Обычный 9 3 5 2 2 2 2 3 2" xfId="51713"/>
    <cellStyle name="Обычный 9 3 5 2 2 2 2 3 3" xfId="51714"/>
    <cellStyle name="Обычный 9 3 5 2 2 2 2 4" xfId="51715"/>
    <cellStyle name="Обычный 9 3 5 2 2 2 2 4 2" xfId="51716"/>
    <cellStyle name="Обычный 9 3 5 2 2 2 2 5" xfId="51717"/>
    <cellStyle name="Обычный 9 3 5 2 2 2 2 6" xfId="51718"/>
    <cellStyle name="Обычный 9 3 5 2 2 2 3" xfId="51719"/>
    <cellStyle name="Обычный 9 3 5 2 2 2 3 2" xfId="51720"/>
    <cellStyle name="Обычный 9 3 5 2 2 2 3 3" xfId="51721"/>
    <cellStyle name="Обычный 9 3 5 2 2 2 4" xfId="51722"/>
    <cellStyle name="Обычный 9 3 5 2 2 2 4 2" xfId="51723"/>
    <cellStyle name="Обычный 9 3 5 2 2 2 4 3" xfId="51724"/>
    <cellStyle name="Обычный 9 3 5 2 2 2 5" xfId="51725"/>
    <cellStyle name="Обычный 9 3 5 2 2 2 5 2" xfId="51726"/>
    <cellStyle name="Обычный 9 3 5 2 2 2 6" xfId="51727"/>
    <cellStyle name="Обычный 9 3 5 2 2 2 7" xfId="51728"/>
    <cellStyle name="Обычный 9 3 5 2 2 3" xfId="51729"/>
    <cellStyle name="Обычный 9 3 5 2 2 3 2" xfId="51730"/>
    <cellStyle name="Обычный 9 3 5 2 2 3 2 2" xfId="51731"/>
    <cellStyle name="Обычный 9 3 5 2 2 3 2 3" xfId="51732"/>
    <cellStyle name="Обычный 9 3 5 2 2 3 3" xfId="51733"/>
    <cellStyle name="Обычный 9 3 5 2 2 3 3 2" xfId="51734"/>
    <cellStyle name="Обычный 9 3 5 2 2 3 3 3" xfId="51735"/>
    <cellStyle name="Обычный 9 3 5 2 2 3 4" xfId="51736"/>
    <cellStyle name="Обычный 9 3 5 2 2 3 4 2" xfId="51737"/>
    <cellStyle name="Обычный 9 3 5 2 2 3 5" xfId="51738"/>
    <cellStyle name="Обычный 9 3 5 2 2 3 6" xfId="51739"/>
    <cellStyle name="Обычный 9 3 5 2 2 4" xfId="51740"/>
    <cellStyle name="Обычный 9 3 5 2 2 4 2" xfId="51741"/>
    <cellStyle name="Обычный 9 3 5 2 2 4 3" xfId="51742"/>
    <cellStyle name="Обычный 9 3 5 2 2 5" xfId="51743"/>
    <cellStyle name="Обычный 9 3 5 2 2 5 2" xfId="51744"/>
    <cellStyle name="Обычный 9 3 5 2 2 5 3" xfId="51745"/>
    <cellStyle name="Обычный 9 3 5 2 2 6" xfId="51746"/>
    <cellStyle name="Обычный 9 3 5 2 2 6 2" xfId="51747"/>
    <cellStyle name="Обычный 9 3 5 2 2 7" xfId="51748"/>
    <cellStyle name="Обычный 9 3 5 2 2 8" xfId="51749"/>
    <cellStyle name="Обычный 9 3 5 2 3" xfId="51750"/>
    <cellStyle name="Обычный 9 3 5 2 3 2" xfId="51751"/>
    <cellStyle name="Обычный 9 3 5 2 3 2 2" xfId="51752"/>
    <cellStyle name="Обычный 9 3 5 2 3 2 2 2" xfId="51753"/>
    <cellStyle name="Обычный 9 3 5 2 3 2 2 3" xfId="51754"/>
    <cellStyle name="Обычный 9 3 5 2 3 2 3" xfId="51755"/>
    <cellStyle name="Обычный 9 3 5 2 3 2 3 2" xfId="51756"/>
    <cellStyle name="Обычный 9 3 5 2 3 2 3 3" xfId="51757"/>
    <cellStyle name="Обычный 9 3 5 2 3 2 4" xfId="51758"/>
    <cellStyle name="Обычный 9 3 5 2 3 2 4 2" xfId="51759"/>
    <cellStyle name="Обычный 9 3 5 2 3 2 5" xfId="51760"/>
    <cellStyle name="Обычный 9 3 5 2 3 2 6" xfId="51761"/>
    <cellStyle name="Обычный 9 3 5 2 3 3" xfId="51762"/>
    <cellStyle name="Обычный 9 3 5 2 3 3 2" xfId="51763"/>
    <cellStyle name="Обычный 9 3 5 2 3 3 3" xfId="51764"/>
    <cellStyle name="Обычный 9 3 5 2 3 4" xfId="51765"/>
    <cellStyle name="Обычный 9 3 5 2 3 4 2" xfId="51766"/>
    <cellStyle name="Обычный 9 3 5 2 3 4 3" xfId="51767"/>
    <cellStyle name="Обычный 9 3 5 2 3 5" xfId="51768"/>
    <cellStyle name="Обычный 9 3 5 2 3 5 2" xfId="51769"/>
    <cellStyle name="Обычный 9 3 5 2 3 6" xfId="51770"/>
    <cellStyle name="Обычный 9 3 5 2 3 7" xfId="51771"/>
    <cellStyle name="Обычный 9 3 5 2 4" xfId="51772"/>
    <cellStyle name="Обычный 9 3 5 2 4 2" xfId="51773"/>
    <cellStyle name="Обычный 9 3 5 2 4 2 2" xfId="51774"/>
    <cellStyle name="Обычный 9 3 5 2 4 2 3" xfId="51775"/>
    <cellStyle name="Обычный 9 3 5 2 4 3" xfId="51776"/>
    <cellStyle name="Обычный 9 3 5 2 4 3 2" xfId="51777"/>
    <cellStyle name="Обычный 9 3 5 2 4 3 3" xfId="51778"/>
    <cellStyle name="Обычный 9 3 5 2 4 4" xfId="51779"/>
    <cellStyle name="Обычный 9 3 5 2 4 4 2" xfId="51780"/>
    <cellStyle name="Обычный 9 3 5 2 4 5" xfId="51781"/>
    <cellStyle name="Обычный 9 3 5 2 4 6" xfId="51782"/>
    <cellStyle name="Обычный 9 3 5 2 5" xfId="51783"/>
    <cellStyle name="Обычный 9 3 5 2 5 2" xfId="51784"/>
    <cellStyle name="Обычный 9 3 5 2 5 3" xfId="51785"/>
    <cellStyle name="Обычный 9 3 5 2 6" xfId="51786"/>
    <cellStyle name="Обычный 9 3 5 2 6 2" xfId="51787"/>
    <cellStyle name="Обычный 9 3 5 2 6 3" xfId="51788"/>
    <cellStyle name="Обычный 9 3 5 2 7" xfId="51789"/>
    <cellStyle name="Обычный 9 3 5 2 7 2" xfId="51790"/>
    <cellStyle name="Обычный 9 3 5 2 8" xfId="51791"/>
    <cellStyle name="Обычный 9 3 5 2 9" xfId="51792"/>
    <cellStyle name="Обычный 9 3 5 3" xfId="51793"/>
    <cellStyle name="Обычный 9 3 5 3 2" xfId="51794"/>
    <cellStyle name="Обычный 9 3 5 3 2 2" xfId="51795"/>
    <cellStyle name="Обычный 9 3 5 3 2 2 2" xfId="51796"/>
    <cellStyle name="Обычный 9 3 5 3 2 2 2 2" xfId="51797"/>
    <cellStyle name="Обычный 9 3 5 3 2 2 2 3" xfId="51798"/>
    <cellStyle name="Обычный 9 3 5 3 2 2 3" xfId="51799"/>
    <cellStyle name="Обычный 9 3 5 3 2 2 3 2" xfId="51800"/>
    <cellStyle name="Обычный 9 3 5 3 2 2 3 3" xfId="51801"/>
    <cellStyle name="Обычный 9 3 5 3 2 2 4" xfId="51802"/>
    <cellStyle name="Обычный 9 3 5 3 2 2 4 2" xfId="51803"/>
    <cellStyle name="Обычный 9 3 5 3 2 2 5" xfId="51804"/>
    <cellStyle name="Обычный 9 3 5 3 2 2 6" xfId="51805"/>
    <cellStyle name="Обычный 9 3 5 3 2 3" xfId="51806"/>
    <cellStyle name="Обычный 9 3 5 3 2 3 2" xfId="51807"/>
    <cellStyle name="Обычный 9 3 5 3 2 3 3" xfId="51808"/>
    <cellStyle name="Обычный 9 3 5 3 2 4" xfId="51809"/>
    <cellStyle name="Обычный 9 3 5 3 2 4 2" xfId="51810"/>
    <cellStyle name="Обычный 9 3 5 3 2 4 3" xfId="51811"/>
    <cellStyle name="Обычный 9 3 5 3 2 5" xfId="51812"/>
    <cellStyle name="Обычный 9 3 5 3 2 5 2" xfId="51813"/>
    <cellStyle name="Обычный 9 3 5 3 2 6" xfId="51814"/>
    <cellStyle name="Обычный 9 3 5 3 2 7" xfId="51815"/>
    <cellStyle name="Обычный 9 3 5 3 3" xfId="51816"/>
    <cellStyle name="Обычный 9 3 5 3 3 2" xfId="51817"/>
    <cellStyle name="Обычный 9 3 5 3 3 2 2" xfId="51818"/>
    <cellStyle name="Обычный 9 3 5 3 3 2 3" xfId="51819"/>
    <cellStyle name="Обычный 9 3 5 3 3 3" xfId="51820"/>
    <cellStyle name="Обычный 9 3 5 3 3 3 2" xfId="51821"/>
    <cellStyle name="Обычный 9 3 5 3 3 3 3" xfId="51822"/>
    <cellStyle name="Обычный 9 3 5 3 3 4" xfId="51823"/>
    <cellStyle name="Обычный 9 3 5 3 3 4 2" xfId="51824"/>
    <cellStyle name="Обычный 9 3 5 3 3 5" xfId="51825"/>
    <cellStyle name="Обычный 9 3 5 3 3 6" xfId="51826"/>
    <cellStyle name="Обычный 9 3 5 3 4" xfId="51827"/>
    <cellStyle name="Обычный 9 3 5 3 4 2" xfId="51828"/>
    <cellStyle name="Обычный 9 3 5 3 4 3" xfId="51829"/>
    <cellStyle name="Обычный 9 3 5 3 5" xfId="51830"/>
    <cellStyle name="Обычный 9 3 5 3 5 2" xfId="51831"/>
    <cellStyle name="Обычный 9 3 5 3 5 3" xfId="51832"/>
    <cellStyle name="Обычный 9 3 5 3 6" xfId="51833"/>
    <cellStyle name="Обычный 9 3 5 3 6 2" xfId="51834"/>
    <cellStyle name="Обычный 9 3 5 3 7" xfId="51835"/>
    <cellStyle name="Обычный 9 3 5 3 8" xfId="51836"/>
    <cellStyle name="Обычный 9 3 5 4" xfId="51837"/>
    <cellStyle name="Обычный 9 3 5 4 2" xfId="51838"/>
    <cellStyle name="Обычный 9 3 5 4 2 2" xfId="51839"/>
    <cellStyle name="Обычный 9 3 5 4 2 2 2" xfId="51840"/>
    <cellStyle name="Обычный 9 3 5 4 2 2 3" xfId="51841"/>
    <cellStyle name="Обычный 9 3 5 4 2 3" xfId="51842"/>
    <cellStyle name="Обычный 9 3 5 4 2 3 2" xfId="51843"/>
    <cellStyle name="Обычный 9 3 5 4 2 3 3" xfId="51844"/>
    <cellStyle name="Обычный 9 3 5 4 2 4" xfId="51845"/>
    <cellStyle name="Обычный 9 3 5 4 2 4 2" xfId="51846"/>
    <cellStyle name="Обычный 9 3 5 4 2 5" xfId="51847"/>
    <cellStyle name="Обычный 9 3 5 4 2 6" xfId="51848"/>
    <cellStyle name="Обычный 9 3 5 4 3" xfId="51849"/>
    <cellStyle name="Обычный 9 3 5 4 3 2" xfId="51850"/>
    <cellStyle name="Обычный 9 3 5 4 3 3" xfId="51851"/>
    <cellStyle name="Обычный 9 3 5 4 4" xfId="51852"/>
    <cellStyle name="Обычный 9 3 5 4 4 2" xfId="51853"/>
    <cellStyle name="Обычный 9 3 5 4 4 3" xfId="51854"/>
    <cellStyle name="Обычный 9 3 5 4 5" xfId="51855"/>
    <cellStyle name="Обычный 9 3 5 4 5 2" xfId="51856"/>
    <cellStyle name="Обычный 9 3 5 4 6" xfId="51857"/>
    <cellStyle name="Обычный 9 3 5 4 7" xfId="51858"/>
    <cellStyle name="Обычный 9 3 5 5" xfId="51859"/>
    <cellStyle name="Обычный 9 3 5 5 2" xfId="51860"/>
    <cellStyle name="Обычный 9 3 5 5 2 2" xfId="51861"/>
    <cellStyle name="Обычный 9 3 5 5 2 3" xfId="51862"/>
    <cellStyle name="Обычный 9 3 5 5 3" xfId="51863"/>
    <cellStyle name="Обычный 9 3 5 5 3 2" xfId="51864"/>
    <cellStyle name="Обычный 9 3 5 5 3 3" xfId="51865"/>
    <cellStyle name="Обычный 9 3 5 5 4" xfId="51866"/>
    <cellStyle name="Обычный 9 3 5 5 4 2" xfId="51867"/>
    <cellStyle name="Обычный 9 3 5 5 5" xfId="51868"/>
    <cellStyle name="Обычный 9 3 5 5 6" xfId="51869"/>
    <cellStyle name="Обычный 9 3 5 6" xfId="51870"/>
    <cellStyle name="Обычный 9 3 5 6 2" xfId="51871"/>
    <cellStyle name="Обычный 9 3 5 6 3" xfId="51872"/>
    <cellStyle name="Обычный 9 3 5 7" xfId="51873"/>
    <cellStyle name="Обычный 9 3 5 7 2" xfId="51874"/>
    <cellStyle name="Обычный 9 3 5 7 3" xfId="51875"/>
    <cellStyle name="Обычный 9 3 5 8" xfId="51876"/>
    <cellStyle name="Обычный 9 3 5 8 2" xfId="51877"/>
    <cellStyle name="Обычный 9 3 5 9" xfId="51878"/>
    <cellStyle name="Обычный 9 3 6" xfId="51879"/>
    <cellStyle name="Обычный 9 3 6 2" xfId="51880"/>
    <cellStyle name="Обычный 9 3 6 2 2" xfId="51881"/>
    <cellStyle name="Обычный 9 3 6 2 2 2" xfId="51882"/>
    <cellStyle name="Обычный 9 3 6 2 2 2 2" xfId="51883"/>
    <cellStyle name="Обычный 9 3 6 2 2 2 2 2" xfId="51884"/>
    <cellStyle name="Обычный 9 3 6 2 2 2 2 3" xfId="51885"/>
    <cellStyle name="Обычный 9 3 6 2 2 2 3" xfId="51886"/>
    <cellStyle name="Обычный 9 3 6 2 2 2 3 2" xfId="51887"/>
    <cellStyle name="Обычный 9 3 6 2 2 2 3 3" xfId="51888"/>
    <cellStyle name="Обычный 9 3 6 2 2 2 4" xfId="51889"/>
    <cellStyle name="Обычный 9 3 6 2 2 2 4 2" xfId="51890"/>
    <cellStyle name="Обычный 9 3 6 2 2 2 5" xfId="51891"/>
    <cellStyle name="Обычный 9 3 6 2 2 2 6" xfId="51892"/>
    <cellStyle name="Обычный 9 3 6 2 2 3" xfId="51893"/>
    <cellStyle name="Обычный 9 3 6 2 2 3 2" xfId="51894"/>
    <cellStyle name="Обычный 9 3 6 2 2 3 3" xfId="51895"/>
    <cellStyle name="Обычный 9 3 6 2 2 4" xfId="51896"/>
    <cellStyle name="Обычный 9 3 6 2 2 4 2" xfId="51897"/>
    <cellStyle name="Обычный 9 3 6 2 2 4 3" xfId="51898"/>
    <cellStyle name="Обычный 9 3 6 2 2 5" xfId="51899"/>
    <cellStyle name="Обычный 9 3 6 2 2 5 2" xfId="51900"/>
    <cellStyle name="Обычный 9 3 6 2 2 6" xfId="51901"/>
    <cellStyle name="Обычный 9 3 6 2 2 7" xfId="51902"/>
    <cellStyle name="Обычный 9 3 6 2 3" xfId="51903"/>
    <cellStyle name="Обычный 9 3 6 2 3 2" xfId="51904"/>
    <cellStyle name="Обычный 9 3 6 2 3 2 2" xfId="51905"/>
    <cellStyle name="Обычный 9 3 6 2 3 2 3" xfId="51906"/>
    <cellStyle name="Обычный 9 3 6 2 3 3" xfId="51907"/>
    <cellStyle name="Обычный 9 3 6 2 3 3 2" xfId="51908"/>
    <cellStyle name="Обычный 9 3 6 2 3 3 3" xfId="51909"/>
    <cellStyle name="Обычный 9 3 6 2 3 4" xfId="51910"/>
    <cellStyle name="Обычный 9 3 6 2 3 4 2" xfId="51911"/>
    <cellStyle name="Обычный 9 3 6 2 3 5" xfId="51912"/>
    <cellStyle name="Обычный 9 3 6 2 3 6" xfId="51913"/>
    <cellStyle name="Обычный 9 3 6 2 4" xfId="51914"/>
    <cellStyle name="Обычный 9 3 6 2 4 2" xfId="51915"/>
    <cellStyle name="Обычный 9 3 6 2 4 3" xfId="51916"/>
    <cellStyle name="Обычный 9 3 6 2 5" xfId="51917"/>
    <cellStyle name="Обычный 9 3 6 2 5 2" xfId="51918"/>
    <cellStyle name="Обычный 9 3 6 2 5 3" xfId="51919"/>
    <cellStyle name="Обычный 9 3 6 2 6" xfId="51920"/>
    <cellStyle name="Обычный 9 3 6 2 6 2" xfId="51921"/>
    <cellStyle name="Обычный 9 3 6 2 7" xfId="51922"/>
    <cellStyle name="Обычный 9 3 6 2 8" xfId="51923"/>
    <cellStyle name="Обычный 9 3 6 3" xfId="51924"/>
    <cellStyle name="Обычный 9 3 6 3 2" xfId="51925"/>
    <cellStyle name="Обычный 9 3 6 3 2 2" xfId="51926"/>
    <cellStyle name="Обычный 9 3 6 3 2 2 2" xfId="51927"/>
    <cellStyle name="Обычный 9 3 6 3 2 2 3" xfId="51928"/>
    <cellStyle name="Обычный 9 3 6 3 2 3" xfId="51929"/>
    <cellStyle name="Обычный 9 3 6 3 2 3 2" xfId="51930"/>
    <cellStyle name="Обычный 9 3 6 3 2 3 3" xfId="51931"/>
    <cellStyle name="Обычный 9 3 6 3 2 4" xfId="51932"/>
    <cellStyle name="Обычный 9 3 6 3 2 4 2" xfId="51933"/>
    <cellStyle name="Обычный 9 3 6 3 2 5" xfId="51934"/>
    <cellStyle name="Обычный 9 3 6 3 2 6" xfId="51935"/>
    <cellStyle name="Обычный 9 3 6 3 3" xfId="51936"/>
    <cellStyle name="Обычный 9 3 6 3 3 2" xfId="51937"/>
    <cellStyle name="Обычный 9 3 6 3 3 3" xfId="51938"/>
    <cellStyle name="Обычный 9 3 6 3 4" xfId="51939"/>
    <cellStyle name="Обычный 9 3 6 3 4 2" xfId="51940"/>
    <cellStyle name="Обычный 9 3 6 3 4 3" xfId="51941"/>
    <cellStyle name="Обычный 9 3 6 3 5" xfId="51942"/>
    <cellStyle name="Обычный 9 3 6 3 5 2" xfId="51943"/>
    <cellStyle name="Обычный 9 3 6 3 6" xfId="51944"/>
    <cellStyle name="Обычный 9 3 6 3 7" xfId="51945"/>
    <cellStyle name="Обычный 9 3 6 4" xfId="51946"/>
    <cellStyle name="Обычный 9 3 6 4 2" xfId="51947"/>
    <cellStyle name="Обычный 9 3 6 4 2 2" xfId="51948"/>
    <cellStyle name="Обычный 9 3 6 4 2 3" xfId="51949"/>
    <cellStyle name="Обычный 9 3 6 4 3" xfId="51950"/>
    <cellStyle name="Обычный 9 3 6 4 3 2" xfId="51951"/>
    <cellStyle name="Обычный 9 3 6 4 3 3" xfId="51952"/>
    <cellStyle name="Обычный 9 3 6 4 4" xfId="51953"/>
    <cellStyle name="Обычный 9 3 6 4 4 2" xfId="51954"/>
    <cellStyle name="Обычный 9 3 6 4 5" xfId="51955"/>
    <cellStyle name="Обычный 9 3 6 4 6" xfId="51956"/>
    <cellStyle name="Обычный 9 3 6 5" xfId="51957"/>
    <cellStyle name="Обычный 9 3 6 5 2" xfId="51958"/>
    <cellStyle name="Обычный 9 3 6 5 3" xfId="51959"/>
    <cellStyle name="Обычный 9 3 6 6" xfId="51960"/>
    <cellStyle name="Обычный 9 3 6 6 2" xfId="51961"/>
    <cellStyle name="Обычный 9 3 6 6 3" xfId="51962"/>
    <cellStyle name="Обычный 9 3 6 7" xfId="51963"/>
    <cellStyle name="Обычный 9 3 6 7 2" xfId="51964"/>
    <cellStyle name="Обычный 9 3 6 8" xfId="51965"/>
    <cellStyle name="Обычный 9 3 6 9" xfId="51966"/>
    <cellStyle name="Обычный 9 3 7" xfId="51967"/>
    <cellStyle name="Обычный 9 3 7 2" xfId="51968"/>
    <cellStyle name="Обычный 9 3 7 2 2" xfId="51969"/>
    <cellStyle name="Обычный 9 3 7 2 2 2" xfId="51970"/>
    <cellStyle name="Обычный 9 3 7 2 2 2 2" xfId="51971"/>
    <cellStyle name="Обычный 9 3 7 2 2 2 3" xfId="51972"/>
    <cellStyle name="Обычный 9 3 7 2 2 3" xfId="51973"/>
    <cellStyle name="Обычный 9 3 7 2 2 3 2" xfId="51974"/>
    <cellStyle name="Обычный 9 3 7 2 2 3 3" xfId="51975"/>
    <cellStyle name="Обычный 9 3 7 2 2 4" xfId="51976"/>
    <cellStyle name="Обычный 9 3 7 2 2 4 2" xfId="51977"/>
    <cellStyle name="Обычный 9 3 7 2 2 5" xfId="51978"/>
    <cellStyle name="Обычный 9 3 7 2 2 6" xfId="51979"/>
    <cellStyle name="Обычный 9 3 7 2 3" xfId="51980"/>
    <cellStyle name="Обычный 9 3 7 2 3 2" xfId="51981"/>
    <cellStyle name="Обычный 9 3 7 2 3 3" xfId="51982"/>
    <cellStyle name="Обычный 9 3 7 2 4" xfId="51983"/>
    <cellStyle name="Обычный 9 3 7 2 4 2" xfId="51984"/>
    <cellStyle name="Обычный 9 3 7 2 4 3" xfId="51985"/>
    <cellStyle name="Обычный 9 3 7 2 5" xfId="51986"/>
    <cellStyle name="Обычный 9 3 7 2 5 2" xfId="51987"/>
    <cellStyle name="Обычный 9 3 7 2 6" xfId="51988"/>
    <cellStyle name="Обычный 9 3 7 2 7" xfId="51989"/>
    <cellStyle name="Обычный 9 3 7 3" xfId="51990"/>
    <cellStyle name="Обычный 9 3 7 3 2" xfId="51991"/>
    <cellStyle name="Обычный 9 3 7 3 2 2" xfId="51992"/>
    <cellStyle name="Обычный 9 3 7 3 2 3" xfId="51993"/>
    <cellStyle name="Обычный 9 3 7 3 3" xfId="51994"/>
    <cellStyle name="Обычный 9 3 7 3 3 2" xfId="51995"/>
    <cellStyle name="Обычный 9 3 7 3 3 3" xfId="51996"/>
    <cellStyle name="Обычный 9 3 7 3 4" xfId="51997"/>
    <cellStyle name="Обычный 9 3 7 3 4 2" xfId="51998"/>
    <cellStyle name="Обычный 9 3 7 3 5" xfId="51999"/>
    <cellStyle name="Обычный 9 3 7 3 6" xfId="52000"/>
    <cellStyle name="Обычный 9 3 7 4" xfId="52001"/>
    <cellStyle name="Обычный 9 3 7 4 2" xfId="52002"/>
    <cellStyle name="Обычный 9 3 7 4 3" xfId="52003"/>
    <cellStyle name="Обычный 9 3 7 5" xfId="52004"/>
    <cellStyle name="Обычный 9 3 7 5 2" xfId="52005"/>
    <cellStyle name="Обычный 9 3 7 5 3" xfId="52006"/>
    <cellStyle name="Обычный 9 3 7 6" xfId="52007"/>
    <cellStyle name="Обычный 9 3 7 6 2" xfId="52008"/>
    <cellStyle name="Обычный 9 3 7 7" xfId="52009"/>
    <cellStyle name="Обычный 9 3 7 8" xfId="52010"/>
    <cellStyle name="Обычный 9 3 8" xfId="52011"/>
    <cellStyle name="Обычный 9 3 8 2" xfId="52012"/>
    <cellStyle name="Обычный 9 3 8 2 2" xfId="52013"/>
    <cellStyle name="Обычный 9 3 8 2 2 2" xfId="52014"/>
    <cellStyle name="Обычный 9 3 8 2 2 3" xfId="52015"/>
    <cellStyle name="Обычный 9 3 8 2 3" xfId="52016"/>
    <cellStyle name="Обычный 9 3 8 2 3 2" xfId="52017"/>
    <cellStyle name="Обычный 9 3 8 2 3 3" xfId="52018"/>
    <cellStyle name="Обычный 9 3 8 2 4" xfId="52019"/>
    <cellStyle name="Обычный 9 3 8 2 4 2" xfId="52020"/>
    <cellStyle name="Обычный 9 3 8 2 5" xfId="52021"/>
    <cellStyle name="Обычный 9 3 8 2 6" xfId="52022"/>
    <cellStyle name="Обычный 9 3 8 3" xfId="52023"/>
    <cellStyle name="Обычный 9 3 8 3 2" xfId="52024"/>
    <cellStyle name="Обычный 9 3 8 3 3" xfId="52025"/>
    <cellStyle name="Обычный 9 3 8 4" xfId="52026"/>
    <cellStyle name="Обычный 9 3 8 4 2" xfId="52027"/>
    <cellStyle name="Обычный 9 3 8 4 3" xfId="52028"/>
    <cellStyle name="Обычный 9 3 8 5" xfId="52029"/>
    <cellStyle name="Обычный 9 3 8 5 2" xfId="52030"/>
    <cellStyle name="Обычный 9 3 8 6" xfId="52031"/>
    <cellStyle name="Обычный 9 3 8 7" xfId="52032"/>
    <cellStyle name="Обычный 9 3 9" xfId="52033"/>
    <cellStyle name="Обычный 9 3 9 2" xfId="52034"/>
    <cellStyle name="Обычный 9 3 9 2 2" xfId="52035"/>
    <cellStyle name="Обычный 9 3 9 2 3" xfId="52036"/>
    <cellStyle name="Обычный 9 3 9 3" xfId="52037"/>
    <cellStyle name="Обычный 9 3 9 3 2" xfId="52038"/>
    <cellStyle name="Обычный 9 3 9 3 3" xfId="52039"/>
    <cellStyle name="Обычный 9 3 9 4" xfId="52040"/>
    <cellStyle name="Обычный 9 3 9 4 2" xfId="52041"/>
    <cellStyle name="Обычный 9 3 9 5" xfId="52042"/>
    <cellStyle name="Обычный 9 3 9 6" xfId="52043"/>
    <cellStyle name="Обычный 9 4" xfId="52044"/>
    <cellStyle name="Обычный 9 4 10" xfId="52045"/>
    <cellStyle name="Обычный 9 4 10 2" xfId="52046"/>
    <cellStyle name="Обычный 9 4 10 3" xfId="52047"/>
    <cellStyle name="Обычный 9 4 11" xfId="52048"/>
    <cellStyle name="Обычный 9 4 11 2" xfId="52049"/>
    <cellStyle name="Обычный 9 4 11 3" xfId="52050"/>
    <cellStyle name="Обычный 9 4 12" xfId="52051"/>
    <cellStyle name="Обычный 9 4 12 2" xfId="52052"/>
    <cellStyle name="Обычный 9 4 13" xfId="52053"/>
    <cellStyle name="Обычный 9 4 14" xfId="52054"/>
    <cellStyle name="Обычный 9 4 2" xfId="52055"/>
    <cellStyle name="Обычный 9 4 2 10" xfId="52056"/>
    <cellStyle name="Обычный 9 4 2 10 2" xfId="52057"/>
    <cellStyle name="Обычный 9 4 2 10 3" xfId="52058"/>
    <cellStyle name="Обычный 9 4 2 11" xfId="52059"/>
    <cellStyle name="Обычный 9 4 2 11 2" xfId="52060"/>
    <cellStyle name="Обычный 9 4 2 12" xfId="52061"/>
    <cellStyle name="Обычный 9 4 2 13" xfId="52062"/>
    <cellStyle name="Обычный 9 4 2 2" xfId="52063"/>
    <cellStyle name="Обычный 9 4 2 2 10" xfId="52064"/>
    <cellStyle name="Обычный 9 4 2 2 2" xfId="52065"/>
    <cellStyle name="Обычный 9 4 2 2 2 2" xfId="52066"/>
    <cellStyle name="Обычный 9 4 2 2 2 2 2" xfId="52067"/>
    <cellStyle name="Обычный 9 4 2 2 2 2 2 2" xfId="52068"/>
    <cellStyle name="Обычный 9 4 2 2 2 2 2 2 2" xfId="52069"/>
    <cellStyle name="Обычный 9 4 2 2 2 2 2 2 2 2" xfId="52070"/>
    <cellStyle name="Обычный 9 4 2 2 2 2 2 2 2 3" xfId="52071"/>
    <cellStyle name="Обычный 9 4 2 2 2 2 2 2 3" xfId="52072"/>
    <cellStyle name="Обычный 9 4 2 2 2 2 2 2 3 2" xfId="52073"/>
    <cellStyle name="Обычный 9 4 2 2 2 2 2 2 3 3" xfId="52074"/>
    <cellStyle name="Обычный 9 4 2 2 2 2 2 2 4" xfId="52075"/>
    <cellStyle name="Обычный 9 4 2 2 2 2 2 2 4 2" xfId="52076"/>
    <cellStyle name="Обычный 9 4 2 2 2 2 2 2 5" xfId="52077"/>
    <cellStyle name="Обычный 9 4 2 2 2 2 2 2 6" xfId="52078"/>
    <cellStyle name="Обычный 9 4 2 2 2 2 2 3" xfId="52079"/>
    <cellStyle name="Обычный 9 4 2 2 2 2 2 3 2" xfId="52080"/>
    <cellStyle name="Обычный 9 4 2 2 2 2 2 3 3" xfId="52081"/>
    <cellStyle name="Обычный 9 4 2 2 2 2 2 4" xfId="52082"/>
    <cellStyle name="Обычный 9 4 2 2 2 2 2 4 2" xfId="52083"/>
    <cellStyle name="Обычный 9 4 2 2 2 2 2 4 3" xfId="52084"/>
    <cellStyle name="Обычный 9 4 2 2 2 2 2 5" xfId="52085"/>
    <cellStyle name="Обычный 9 4 2 2 2 2 2 5 2" xfId="52086"/>
    <cellStyle name="Обычный 9 4 2 2 2 2 2 6" xfId="52087"/>
    <cellStyle name="Обычный 9 4 2 2 2 2 2 7" xfId="52088"/>
    <cellStyle name="Обычный 9 4 2 2 2 2 3" xfId="52089"/>
    <cellStyle name="Обычный 9 4 2 2 2 2 3 2" xfId="52090"/>
    <cellStyle name="Обычный 9 4 2 2 2 2 3 2 2" xfId="52091"/>
    <cellStyle name="Обычный 9 4 2 2 2 2 3 2 3" xfId="52092"/>
    <cellStyle name="Обычный 9 4 2 2 2 2 3 3" xfId="52093"/>
    <cellStyle name="Обычный 9 4 2 2 2 2 3 3 2" xfId="52094"/>
    <cellStyle name="Обычный 9 4 2 2 2 2 3 3 3" xfId="52095"/>
    <cellStyle name="Обычный 9 4 2 2 2 2 3 4" xfId="52096"/>
    <cellStyle name="Обычный 9 4 2 2 2 2 3 4 2" xfId="52097"/>
    <cellStyle name="Обычный 9 4 2 2 2 2 3 5" xfId="52098"/>
    <cellStyle name="Обычный 9 4 2 2 2 2 3 6" xfId="52099"/>
    <cellStyle name="Обычный 9 4 2 2 2 2 4" xfId="52100"/>
    <cellStyle name="Обычный 9 4 2 2 2 2 4 2" xfId="52101"/>
    <cellStyle name="Обычный 9 4 2 2 2 2 4 3" xfId="52102"/>
    <cellStyle name="Обычный 9 4 2 2 2 2 5" xfId="52103"/>
    <cellStyle name="Обычный 9 4 2 2 2 2 5 2" xfId="52104"/>
    <cellStyle name="Обычный 9 4 2 2 2 2 5 3" xfId="52105"/>
    <cellStyle name="Обычный 9 4 2 2 2 2 6" xfId="52106"/>
    <cellStyle name="Обычный 9 4 2 2 2 2 6 2" xfId="52107"/>
    <cellStyle name="Обычный 9 4 2 2 2 2 7" xfId="52108"/>
    <cellStyle name="Обычный 9 4 2 2 2 2 8" xfId="52109"/>
    <cellStyle name="Обычный 9 4 2 2 2 3" xfId="52110"/>
    <cellStyle name="Обычный 9 4 2 2 2 3 2" xfId="52111"/>
    <cellStyle name="Обычный 9 4 2 2 2 3 2 2" xfId="52112"/>
    <cellStyle name="Обычный 9 4 2 2 2 3 2 2 2" xfId="52113"/>
    <cellStyle name="Обычный 9 4 2 2 2 3 2 2 3" xfId="52114"/>
    <cellStyle name="Обычный 9 4 2 2 2 3 2 3" xfId="52115"/>
    <cellStyle name="Обычный 9 4 2 2 2 3 2 3 2" xfId="52116"/>
    <cellStyle name="Обычный 9 4 2 2 2 3 2 3 3" xfId="52117"/>
    <cellStyle name="Обычный 9 4 2 2 2 3 2 4" xfId="52118"/>
    <cellStyle name="Обычный 9 4 2 2 2 3 2 4 2" xfId="52119"/>
    <cellStyle name="Обычный 9 4 2 2 2 3 2 5" xfId="52120"/>
    <cellStyle name="Обычный 9 4 2 2 2 3 2 6" xfId="52121"/>
    <cellStyle name="Обычный 9 4 2 2 2 3 3" xfId="52122"/>
    <cellStyle name="Обычный 9 4 2 2 2 3 3 2" xfId="52123"/>
    <cellStyle name="Обычный 9 4 2 2 2 3 3 3" xfId="52124"/>
    <cellStyle name="Обычный 9 4 2 2 2 3 4" xfId="52125"/>
    <cellStyle name="Обычный 9 4 2 2 2 3 4 2" xfId="52126"/>
    <cellStyle name="Обычный 9 4 2 2 2 3 4 3" xfId="52127"/>
    <cellStyle name="Обычный 9 4 2 2 2 3 5" xfId="52128"/>
    <cellStyle name="Обычный 9 4 2 2 2 3 5 2" xfId="52129"/>
    <cellStyle name="Обычный 9 4 2 2 2 3 6" xfId="52130"/>
    <cellStyle name="Обычный 9 4 2 2 2 3 7" xfId="52131"/>
    <cellStyle name="Обычный 9 4 2 2 2 4" xfId="52132"/>
    <cellStyle name="Обычный 9 4 2 2 2 4 2" xfId="52133"/>
    <cellStyle name="Обычный 9 4 2 2 2 4 2 2" xfId="52134"/>
    <cellStyle name="Обычный 9 4 2 2 2 4 2 3" xfId="52135"/>
    <cellStyle name="Обычный 9 4 2 2 2 4 3" xfId="52136"/>
    <cellStyle name="Обычный 9 4 2 2 2 4 3 2" xfId="52137"/>
    <cellStyle name="Обычный 9 4 2 2 2 4 3 3" xfId="52138"/>
    <cellStyle name="Обычный 9 4 2 2 2 4 4" xfId="52139"/>
    <cellStyle name="Обычный 9 4 2 2 2 4 4 2" xfId="52140"/>
    <cellStyle name="Обычный 9 4 2 2 2 4 5" xfId="52141"/>
    <cellStyle name="Обычный 9 4 2 2 2 4 6" xfId="52142"/>
    <cellStyle name="Обычный 9 4 2 2 2 5" xfId="52143"/>
    <cellStyle name="Обычный 9 4 2 2 2 5 2" xfId="52144"/>
    <cellStyle name="Обычный 9 4 2 2 2 5 3" xfId="52145"/>
    <cellStyle name="Обычный 9 4 2 2 2 6" xfId="52146"/>
    <cellStyle name="Обычный 9 4 2 2 2 6 2" xfId="52147"/>
    <cellStyle name="Обычный 9 4 2 2 2 6 3" xfId="52148"/>
    <cellStyle name="Обычный 9 4 2 2 2 7" xfId="52149"/>
    <cellStyle name="Обычный 9 4 2 2 2 7 2" xfId="52150"/>
    <cellStyle name="Обычный 9 4 2 2 2 8" xfId="52151"/>
    <cellStyle name="Обычный 9 4 2 2 2 9" xfId="52152"/>
    <cellStyle name="Обычный 9 4 2 2 3" xfId="52153"/>
    <cellStyle name="Обычный 9 4 2 2 3 2" xfId="52154"/>
    <cellStyle name="Обычный 9 4 2 2 3 2 2" xfId="52155"/>
    <cellStyle name="Обычный 9 4 2 2 3 2 2 2" xfId="52156"/>
    <cellStyle name="Обычный 9 4 2 2 3 2 2 2 2" xfId="52157"/>
    <cellStyle name="Обычный 9 4 2 2 3 2 2 2 3" xfId="52158"/>
    <cellStyle name="Обычный 9 4 2 2 3 2 2 3" xfId="52159"/>
    <cellStyle name="Обычный 9 4 2 2 3 2 2 3 2" xfId="52160"/>
    <cellStyle name="Обычный 9 4 2 2 3 2 2 3 3" xfId="52161"/>
    <cellStyle name="Обычный 9 4 2 2 3 2 2 4" xfId="52162"/>
    <cellStyle name="Обычный 9 4 2 2 3 2 2 4 2" xfId="52163"/>
    <cellStyle name="Обычный 9 4 2 2 3 2 2 5" xfId="52164"/>
    <cellStyle name="Обычный 9 4 2 2 3 2 2 6" xfId="52165"/>
    <cellStyle name="Обычный 9 4 2 2 3 2 3" xfId="52166"/>
    <cellStyle name="Обычный 9 4 2 2 3 2 3 2" xfId="52167"/>
    <cellStyle name="Обычный 9 4 2 2 3 2 3 3" xfId="52168"/>
    <cellStyle name="Обычный 9 4 2 2 3 2 4" xfId="52169"/>
    <cellStyle name="Обычный 9 4 2 2 3 2 4 2" xfId="52170"/>
    <cellStyle name="Обычный 9 4 2 2 3 2 4 3" xfId="52171"/>
    <cellStyle name="Обычный 9 4 2 2 3 2 5" xfId="52172"/>
    <cellStyle name="Обычный 9 4 2 2 3 2 5 2" xfId="52173"/>
    <cellStyle name="Обычный 9 4 2 2 3 2 6" xfId="52174"/>
    <cellStyle name="Обычный 9 4 2 2 3 2 7" xfId="52175"/>
    <cellStyle name="Обычный 9 4 2 2 3 3" xfId="52176"/>
    <cellStyle name="Обычный 9 4 2 2 3 3 2" xfId="52177"/>
    <cellStyle name="Обычный 9 4 2 2 3 3 2 2" xfId="52178"/>
    <cellStyle name="Обычный 9 4 2 2 3 3 2 3" xfId="52179"/>
    <cellStyle name="Обычный 9 4 2 2 3 3 3" xfId="52180"/>
    <cellStyle name="Обычный 9 4 2 2 3 3 3 2" xfId="52181"/>
    <cellStyle name="Обычный 9 4 2 2 3 3 3 3" xfId="52182"/>
    <cellStyle name="Обычный 9 4 2 2 3 3 4" xfId="52183"/>
    <cellStyle name="Обычный 9 4 2 2 3 3 4 2" xfId="52184"/>
    <cellStyle name="Обычный 9 4 2 2 3 3 5" xfId="52185"/>
    <cellStyle name="Обычный 9 4 2 2 3 3 6" xfId="52186"/>
    <cellStyle name="Обычный 9 4 2 2 3 4" xfId="52187"/>
    <cellStyle name="Обычный 9 4 2 2 3 4 2" xfId="52188"/>
    <cellStyle name="Обычный 9 4 2 2 3 4 3" xfId="52189"/>
    <cellStyle name="Обычный 9 4 2 2 3 5" xfId="52190"/>
    <cellStyle name="Обычный 9 4 2 2 3 5 2" xfId="52191"/>
    <cellStyle name="Обычный 9 4 2 2 3 5 3" xfId="52192"/>
    <cellStyle name="Обычный 9 4 2 2 3 6" xfId="52193"/>
    <cellStyle name="Обычный 9 4 2 2 3 6 2" xfId="52194"/>
    <cellStyle name="Обычный 9 4 2 2 3 7" xfId="52195"/>
    <cellStyle name="Обычный 9 4 2 2 3 8" xfId="52196"/>
    <cellStyle name="Обычный 9 4 2 2 4" xfId="52197"/>
    <cellStyle name="Обычный 9 4 2 2 4 2" xfId="52198"/>
    <cellStyle name="Обычный 9 4 2 2 4 2 2" xfId="52199"/>
    <cellStyle name="Обычный 9 4 2 2 4 2 2 2" xfId="52200"/>
    <cellStyle name="Обычный 9 4 2 2 4 2 2 3" xfId="52201"/>
    <cellStyle name="Обычный 9 4 2 2 4 2 3" xfId="52202"/>
    <cellStyle name="Обычный 9 4 2 2 4 2 3 2" xfId="52203"/>
    <cellStyle name="Обычный 9 4 2 2 4 2 3 3" xfId="52204"/>
    <cellStyle name="Обычный 9 4 2 2 4 2 4" xfId="52205"/>
    <cellStyle name="Обычный 9 4 2 2 4 2 4 2" xfId="52206"/>
    <cellStyle name="Обычный 9 4 2 2 4 2 5" xfId="52207"/>
    <cellStyle name="Обычный 9 4 2 2 4 2 6" xfId="52208"/>
    <cellStyle name="Обычный 9 4 2 2 4 3" xfId="52209"/>
    <cellStyle name="Обычный 9 4 2 2 4 3 2" xfId="52210"/>
    <cellStyle name="Обычный 9 4 2 2 4 3 3" xfId="52211"/>
    <cellStyle name="Обычный 9 4 2 2 4 4" xfId="52212"/>
    <cellStyle name="Обычный 9 4 2 2 4 4 2" xfId="52213"/>
    <cellStyle name="Обычный 9 4 2 2 4 4 3" xfId="52214"/>
    <cellStyle name="Обычный 9 4 2 2 4 5" xfId="52215"/>
    <cellStyle name="Обычный 9 4 2 2 4 5 2" xfId="52216"/>
    <cellStyle name="Обычный 9 4 2 2 4 6" xfId="52217"/>
    <cellStyle name="Обычный 9 4 2 2 4 7" xfId="52218"/>
    <cellStyle name="Обычный 9 4 2 2 5" xfId="52219"/>
    <cellStyle name="Обычный 9 4 2 2 5 2" xfId="52220"/>
    <cellStyle name="Обычный 9 4 2 2 5 2 2" xfId="52221"/>
    <cellStyle name="Обычный 9 4 2 2 5 2 3" xfId="52222"/>
    <cellStyle name="Обычный 9 4 2 2 5 3" xfId="52223"/>
    <cellStyle name="Обычный 9 4 2 2 5 3 2" xfId="52224"/>
    <cellStyle name="Обычный 9 4 2 2 5 3 3" xfId="52225"/>
    <cellStyle name="Обычный 9 4 2 2 5 4" xfId="52226"/>
    <cellStyle name="Обычный 9 4 2 2 5 4 2" xfId="52227"/>
    <cellStyle name="Обычный 9 4 2 2 5 5" xfId="52228"/>
    <cellStyle name="Обычный 9 4 2 2 5 6" xfId="52229"/>
    <cellStyle name="Обычный 9 4 2 2 6" xfId="52230"/>
    <cellStyle name="Обычный 9 4 2 2 6 2" xfId="52231"/>
    <cellStyle name="Обычный 9 4 2 2 6 3" xfId="52232"/>
    <cellStyle name="Обычный 9 4 2 2 7" xfId="52233"/>
    <cellStyle name="Обычный 9 4 2 2 7 2" xfId="52234"/>
    <cellStyle name="Обычный 9 4 2 2 7 3" xfId="52235"/>
    <cellStyle name="Обычный 9 4 2 2 8" xfId="52236"/>
    <cellStyle name="Обычный 9 4 2 2 8 2" xfId="52237"/>
    <cellStyle name="Обычный 9 4 2 2 9" xfId="52238"/>
    <cellStyle name="Обычный 9 4 2 3" xfId="52239"/>
    <cellStyle name="Обычный 9 4 2 3 10" xfId="52240"/>
    <cellStyle name="Обычный 9 4 2 3 2" xfId="52241"/>
    <cellStyle name="Обычный 9 4 2 3 2 2" xfId="52242"/>
    <cellStyle name="Обычный 9 4 2 3 2 2 2" xfId="52243"/>
    <cellStyle name="Обычный 9 4 2 3 2 2 2 2" xfId="52244"/>
    <cellStyle name="Обычный 9 4 2 3 2 2 2 2 2" xfId="52245"/>
    <cellStyle name="Обычный 9 4 2 3 2 2 2 2 2 2" xfId="52246"/>
    <cellStyle name="Обычный 9 4 2 3 2 2 2 2 2 3" xfId="52247"/>
    <cellStyle name="Обычный 9 4 2 3 2 2 2 2 3" xfId="52248"/>
    <cellStyle name="Обычный 9 4 2 3 2 2 2 2 3 2" xfId="52249"/>
    <cellStyle name="Обычный 9 4 2 3 2 2 2 2 3 3" xfId="52250"/>
    <cellStyle name="Обычный 9 4 2 3 2 2 2 2 4" xfId="52251"/>
    <cellStyle name="Обычный 9 4 2 3 2 2 2 2 4 2" xfId="52252"/>
    <cellStyle name="Обычный 9 4 2 3 2 2 2 2 5" xfId="52253"/>
    <cellStyle name="Обычный 9 4 2 3 2 2 2 2 6" xfId="52254"/>
    <cellStyle name="Обычный 9 4 2 3 2 2 2 3" xfId="52255"/>
    <cellStyle name="Обычный 9 4 2 3 2 2 2 3 2" xfId="52256"/>
    <cellStyle name="Обычный 9 4 2 3 2 2 2 3 3" xfId="52257"/>
    <cellStyle name="Обычный 9 4 2 3 2 2 2 4" xfId="52258"/>
    <cellStyle name="Обычный 9 4 2 3 2 2 2 4 2" xfId="52259"/>
    <cellStyle name="Обычный 9 4 2 3 2 2 2 4 3" xfId="52260"/>
    <cellStyle name="Обычный 9 4 2 3 2 2 2 5" xfId="52261"/>
    <cellStyle name="Обычный 9 4 2 3 2 2 2 5 2" xfId="52262"/>
    <cellStyle name="Обычный 9 4 2 3 2 2 2 6" xfId="52263"/>
    <cellStyle name="Обычный 9 4 2 3 2 2 2 7" xfId="52264"/>
    <cellStyle name="Обычный 9 4 2 3 2 2 3" xfId="52265"/>
    <cellStyle name="Обычный 9 4 2 3 2 2 3 2" xfId="52266"/>
    <cellStyle name="Обычный 9 4 2 3 2 2 3 2 2" xfId="52267"/>
    <cellStyle name="Обычный 9 4 2 3 2 2 3 2 3" xfId="52268"/>
    <cellStyle name="Обычный 9 4 2 3 2 2 3 3" xfId="52269"/>
    <cellStyle name="Обычный 9 4 2 3 2 2 3 3 2" xfId="52270"/>
    <cellStyle name="Обычный 9 4 2 3 2 2 3 3 3" xfId="52271"/>
    <cellStyle name="Обычный 9 4 2 3 2 2 3 4" xfId="52272"/>
    <cellStyle name="Обычный 9 4 2 3 2 2 3 4 2" xfId="52273"/>
    <cellStyle name="Обычный 9 4 2 3 2 2 3 5" xfId="52274"/>
    <cellStyle name="Обычный 9 4 2 3 2 2 3 6" xfId="52275"/>
    <cellStyle name="Обычный 9 4 2 3 2 2 4" xfId="52276"/>
    <cellStyle name="Обычный 9 4 2 3 2 2 4 2" xfId="52277"/>
    <cellStyle name="Обычный 9 4 2 3 2 2 4 3" xfId="52278"/>
    <cellStyle name="Обычный 9 4 2 3 2 2 5" xfId="52279"/>
    <cellStyle name="Обычный 9 4 2 3 2 2 5 2" xfId="52280"/>
    <cellStyle name="Обычный 9 4 2 3 2 2 5 3" xfId="52281"/>
    <cellStyle name="Обычный 9 4 2 3 2 2 6" xfId="52282"/>
    <cellStyle name="Обычный 9 4 2 3 2 2 6 2" xfId="52283"/>
    <cellStyle name="Обычный 9 4 2 3 2 2 7" xfId="52284"/>
    <cellStyle name="Обычный 9 4 2 3 2 2 8" xfId="52285"/>
    <cellStyle name="Обычный 9 4 2 3 2 3" xfId="52286"/>
    <cellStyle name="Обычный 9 4 2 3 2 3 2" xfId="52287"/>
    <cellStyle name="Обычный 9 4 2 3 2 3 2 2" xfId="52288"/>
    <cellStyle name="Обычный 9 4 2 3 2 3 2 2 2" xfId="52289"/>
    <cellStyle name="Обычный 9 4 2 3 2 3 2 2 3" xfId="52290"/>
    <cellStyle name="Обычный 9 4 2 3 2 3 2 3" xfId="52291"/>
    <cellStyle name="Обычный 9 4 2 3 2 3 2 3 2" xfId="52292"/>
    <cellStyle name="Обычный 9 4 2 3 2 3 2 3 3" xfId="52293"/>
    <cellStyle name="Обычный 9 4 2 3 2 3 2 4" xfId="52294"/>
    <cellStyle name="Обычный 9 4 2 3 2 3 2 4 2" xfId="52295"/>
    <cellStyle name="Обычный 9 4 2 3 2 3 2 5" xfId="52296"/>
    <cellStyle name="Обычный 9 4 2 3 2 3 2 6" xfId="52297"/>
    <cellStyle name="Обычный 9 4 2 3 2 3 3" xfId="52298"/>
    <cellStyle name="Обычный 9 4 2 3 2 3 3 2" xfId="52299"/>
    <cellStyle name="Обычный 9 4 2 3 2 3 3 3" xfId="52300"/>
    <cellStyle name="Обычный 9 4 2 3 2 3 4" xfId="52301"/>
    <cellStyle name="Обычный 9 4 2 3 2 3 4 2" xfId="52302"/>
    <cellStyle name="Обычный 9 4 2 3 2 3 4 3" xfId="52303"/>
    <cellStyle name="Обычный 9 4 2 3 2 3 5" xfId="52304"/>
    <cellStyle name="Обычный 9 4 2 3 2 3 5 2" xfId="52305"/>
    <cellStyle name="Обычный 9 4 2 3 2 3 6" xfId="52306"/>
    <cellStyle name="Обычный 9 4 2 3 2 3 7" xfId="52307"/>
    <cellStyle name="Обычный 9 4 2 3 2 4" xfId="52308"/>
    <cellStyle name="Обычный 9 4 2 3 2 4 2" xfId="52309"/>
    <cellStyle name="Обычный 9 4 2 3 2 4 2 2" xfId="52310"/>
    <cellStyle name="Обычный 9 4 2 3 2 4 2 3" xfId="52311"/>
    <cellStyle name="Обычный 9 4 2 3 2 4 3" xfId="52312"/>
    <cellStyle name="Обычный 9 4 2 3 2 4 3 2" xfId="52313"/>
    <cellStyle name="Обычный 9 4 2 3 2 4 3 3" xfId="52314"/>
    <cellStyle name="Обычный 9 4 2 3 2 4 4" xfId="52315"/>
    <cellStyle name="Обычный 9 4 2 3 2 4 4 2" xfId="52316"/>
    <cellStyle name="Обычный 9 4 2 3 2 4 5" xfId="52317"/>
    <cellStyle name="Обычный 9 4 2 3 2 4 6" xfId="52318"/>
    <cellStyle name="Обычный 9 4 2 3 2 5" xfId="52319"/>
    <cellStyle name="Обычный 9 4 2 3 2 5 2" xfId="52320"/>
    <cellStyle name="Обычный 9 4 2 3 2 5 3" xfId="52321"/>
    <cellStyle name="Обычный 9 4 2 3 2 6" xfId="52322"/>
    <cellStyle name="Обычный 9 4 2 3 2 6 2" xfId="52323"/>
    <cellStyle name="Обычный 9 4 2 3 2 6 3" xfId="52324"/>
    <cellStyle name="Обычный 9 4 2 3 2 7" xfId="52325"/>
    <cellStyle name="Обычный 9 4 2 3 2 7 2" xfId="52326"/>
    <cellStyle name="Обычный 9 4 2 3 2 8" xfId="52327"/>
    <cellStyle name="Обычный 9 4 2 3 2 9" xfId="52328"/>
    <cellStyle name="Обычный 9 4 2 3 3" xfId="52329"/>
    <cellStyle name="Обычный 9 4 2 3 3 2" xfId="52330"/>
    <cellStyle name="Обычный 9 4 2 3 3 2 2" xfId="52331"/>
    <cellStyle name="Обычный 9 4 2 3 3 2 2 2" xfId="52332"/>
    <cellStyle name="Обычный 9 4 2 3 3 2 2 2 2" xfId="52333"/>
    <cellStyle name="Обычный 9 4 2 3 3 2 2 2 3" xfId="52334"/>
    <cellStyle name="Обычный 9 4 2 3 3 2 2 3" xfId="52335"/>
    <cellStyle name="Обычный 9 4 2 3 3 2 2 3 2" xfId="52336"/>
    <cellStyle name="Обычный 9 4 2 3 3 2 2 3 3" xfId="52337"/>
    <cellStyle name="Обычный 9 4 2 3 3 2 2 4" xfId="52338"/>
    <cellStyle name="Обычный 9 4 2 3 3 2 2 4 2" xfId="52339"/>
    <cellStyle name="Обычный 9 4 2 3 3 2 2 5" xfId="52340"/>
    <cellStyle name="Обычный 9 4 2 3 3 2 2 6" xfId="52341"/>
    <cellStyle name="Обычный 9 4 2 3 3 2 3" xfId="52342"/>
    <cellStyle name="Обычный 9 4 2 3 3 2 3 2" xfId="52343"/>
    <cellStyle name="Обычный 9 4 2 3 3 2 3 3" xfId="52344"/>
    <cellStyle name="Обычный 9 4 2 3 3 2 4" xfId="52345"/>
    <cellStyle name="Обычный 9 4 2 3 3 2 4 2" xfId="52346"/>
    <cellStyle name="Обычный 9 4 2 3 3 2 4 3" xfId="52347"/>
    <cellStyle name="Обычный 9 4 2 3 3 2 5" xfId="52348"/>
    <cellStyle name="Обычный 9 4 2 3 3 2 5 2" xfId="52349"/>
    <cellStyle name="Обычный 9 4 2 3 3 2 6" xfId="52350"/>
    <cellStyle name="Обычный 9 4 2 3 3 2 7" xfId="52351"/>
    <cellStyle name="Обычный 9 4 2 3 3 3" xfId="52352"/>
    <cellStyle name="Обычный 9 4 2 3 3 3 2" xfId="52353"/>
    <cellStyle name="Обычный 9 4 2 3 3 3 2 2" xfId="52354"/>
    <cellStyle name="Обычный 9 4 2 3 3 3 2 3" xfId="52355"/>
    <cellStyle name="Обычный 9 4 2 3 3 3 3" xfId="52356"/>
    <cellStyle name="Обычный 9 4 2 3 3 3 3 2" xfId="52357"/>
    <cellStyle name="Обычный 9 4 2 3 3 3 3 3" xfId="52358"/>
    <cellStyle name="Обычный 9 4 2 3 3 3 4" xfId="52359"/>
    <cellStyle name="Обычный 9 4 2 3 3 3 4 2" xfId="52360"/>
    <cellStyle name="Обычный 9 4 2 3 3 3 5" xfId="52361"/>
    <cellStyle name="Обычный 9 4 2 3 3 3 6" xfId="52362"/>
    <cellStyle name="Обычный 9 4 2 3 3 4" xfId="52363"/>
    <cellStyle name="Обычный 9 4 2 3 3 4 2" xfId="52364"/>
    <cellStyle name="Обычный 9 4 2 3 3 4 3" xfId="52365"/>
    <cellStyle name="Обычный 9 4 2 3 3 5" xfId="52366"/>
    <cellStyle name="Обычный 9 4 2 3 3 5 2" xfId="52367"/>
    <cellStyle name="Обычный 9 4 2 3 3 5 3" xfId="52368"/>
    <cellStyle name="Обычный 9 4 2 3 3 6" xfId="52369"/>
    <cellStyle name="Обычный 9 4 2 3 3 6 2" xfId="52370"/>
    <cellStyle name="Обычный 9 4 2 3 3 7" xfId="52371"/>
    <cellStyle name="Обычный 9 4 2 3 3 8" xfId="52372"/>
    <cellStyle name="Обычный 9 4 2 3 4" xfId="52373"/>
    <cellStyle name="Обычный 9 4 2 3 4 2" xfId="52374"/>
    <cellStyle name="Обычный 9 4 2 3 4 2 2" xfId="52375"/>
    <cellStyle name="Обычный 9 4 2 3 4 2 2 2" xfId="52376"/>
    <cellStyle name="Обычный 9 4 2 3 4 2 2 3" xfId="52377"/>
    <cellStyle name="Обычный 9 4 2 3 4 2 3" xfId="52378"/>
    <cellStyle name="Обычный 9 4 2 3 4 2 3 2" xfId="52379"/>
    <cellStyle name="Обычный 9 4 2 3 4 2 3 3" xfId="52380"/>
    <cellStyle name="Обычный 9 4 2 3 4 2 4" xfId="52381"/>
    <cellStyle name="Обычный 9 4 2 3 4 2 4 2" xfId="52382"/>
    <cellStyle name="Обычный 9 4 2 3 4 2 5" xfId="52383"/>
    <cellStyle name="Обычный 9 4 2 3 4 2 6" xfId="52384"/>
    <cellStyle name="Обычный 9 4 2 3 4 3" xfId="52385"/>
    <cellStyle name="Обычный 9 4 2 3 4 3 2" xfId="52386"/>
    <cellStyle name="Обычный 9 4 2 3 4 3 3" xfId="52387"/>
    <cellStyle name="Обычный 9 4 2 3 4 4" xfId="52388"/>
    <cellStyle name="Обычный 9 4 2 3 4 4 2" xfId="52389"/>
    <cellStyle name="Обычный 9 4 2 3 4 4 3" xfId="52390"/>
    <cellStyle name="Обычный 9 4 2 3 4 5" xfId="52391"/>
    <cellStyle name="Обычный 9 4 2 3 4 5 2" xfId="52392"/>
    <cellStyle name="Обычный 9 4 2 3 4 6" xfId="52393"/>
    <cellStyle name="Обычный 9 4 2 3 4 7" xfId="52394"/>
    <cellStyle name="Обычный 9 4 2 3 5" xfId="52395"/>
    <cellStyle name="Обычный 9 4 2 3 5 2" xfId="52396"/>
    <cellStyle name="Обычный 9 4 2 3 5 2 2" xfId="52397"/>
    <cellStyle name="Обычный 9 4 2 3 5 2 3" xfId="52398"/>
    <cellStyle name="Обычный 9 4 2 3 5 3" xfId="52399"/>
    <cellStyle name="Обычный 9 4 2 3 5 3 2" xfId="52400"/>
    <cellStyle name="Обычный 9 4 2 3 5 3 3" xfId="52401"/>
    <cellStyle name="Обычный 9 4 2 3 5 4" xfId="52402"/>
    <cellStyle name="Обычный 9 4 2 3 5 4 2" xfId="52403"/>
    <cellStyle name="Обычный 9 4 2 3 5 5" xfId="52404"/>
    <cellStyle name="Обычный 9 4 2 3 5 6" xfId="52405"/>
    <cellStyle name="Обычный 9 4 2 3 6" xfId="52406"/>
    <cellStyle name="Обычный 9 4 2 3 6 2" xfId="52407"/>
    <cellStyle name="Обычный 9 4 2 3 6 3" xfId="52408"/>
    <cellStyle name="Обычный 9 4 2 3 7" xfId="52409"/>
    <cellStyle name="Обычный 9 4 2 3 7 2" xfId="52410"/>
    <cellStyle name="Обычный 9 4 2 3 7 3" xfId="52411"/>
    <cellStyle name="Обычный 9 4 2 3 8" xfId="52412"/>
    <cellStyle name="Обычный 9 4 2 3 8 2" xfId="52413"/>
    <cellStyle name="Обычный 9 4 2 3 9" xfId="52414"/>
    <cellStyle name="Обычный 9 4 2 4" xfId="52415"/>
    <cellStyle name="Обычный 9 4 2 4 10" xfId="52416"/>
    <cellStyle name="Обычный 9 4 2 4 2" xfId="52417"/>
    <cellStyle name="Обычный 9 4 2 4 2 2" xfId="52418"/>
    <cellStyle name="Обычный 9 4 2 4 2 2 2" xfId="52419"/>
    <cellStyle name="Обычный 9 4 2 4 2 2 2 2" xfId="52420"/>
    <cellStyle name="Обычный 9 4 2 4 2 2 2 2 2" xfId="52421"/>
    <cellStyle name="Обычный 9 4 2 4 2 2 2 2 2 2" xfId="52422"/>
    <cellStyle name="Обычный 9 4 2 4 2 2 2 2 2 3" xfId="52423"/>
    <cellStyle name="Обычный 9 4 2 4 2 2 2 2 3" xfId="52424"/>
    <cellStyle name="Обычный 9 4 2 4 2 2 2 2 3 2" xfId="52425"/>
    <cellStyle name="Обычный 9 4 2 4 2 2 2 2 3 3" xfId="52426"/>
    <cellStyle name="Обычный 9 4 2 4 2 2 2 2 4" xfId="52427"/>
    <cellStyle name="Обычный 9 4 2 4 2 2 2 2 4 2" xfId="52428"/>
    <cellStyle name="Обычный 9 4 2 4 2 2 2 2 5" xfId="52429"/>
    <cellStyle name="Обычный 9 4 2 4 2 2 2 2 6" xfId="52430"/>
    <cellStyle name="Обычный 9 4 2 4 2 2 2 3" xfId="52431"/>
    <cellStyle name="Обычный 9 4 2 4 2 2 2 3 2" xfId="52432"/>
    <cellStyle name="Обычный 9 4 2 4 2 2 2 3 3" xfId="52433"/>
    <cellStyle name="Обычный 9 4 2 4 2 2 2 4" xfId="52434"/>
    <cellStyle name="Обычный 9 4 2 4 2 2 2 4 2" xfId="52435"/>
    <cellStyle name="Обычный 9 4 2 4 2 2 2 4 3" xfId="52436"/>
    <cellStyle name="Обычный 9 4 2 4 2 2 2 5" xfId="52437"/>
    <cellStyle name="Обычный 9 4 2 4 2 2 2 5 2" xfId="52438"/>
    <cellStyle name="Обычный 9 4 2 4 2 2 2 6" xfId="52439"/>
    <cellStyle name="Обычный 9 4 2 4 2 2 2 7" xfId="52440"/>
    <cellStyle name="Обычный 9 4 2 4 2 2 3" xfId="52441"/>
    <cellStyle name="Обычный 9 4 2 4 2 2 3 2" xfId="52442"/>
    <cellStyle name="Обычный 9 4 2 4 2 2 3 2 2" xfId="52443"/>
    <cellStyle name="Обычный 9 4 2 4 2 2 3 2 3" xfId="52444"/>
    <cellStyle name="Обычный 9 4 2 4 2 2 3 3" xfId="52445"/>
    <cellStyle name="Обычный 9 4 2 4 2 2 3 3 2" xfId="52446"/>
    <cellStyle name="Обычный 9 4 2 4 2 2 3 3 3" xfId="52447"/>
    <cellStyle name="Обычный 9 4 2 4 2 2 3 4" xfId="52448"/>
    <cellStyle name="Обычный 9 4 2 4 2 2 3 4 2" xfId="52449"/>
    <cellStyle name="Обычный 9 4 2 4 2 2 3 5" xfId="52450"/>
    <cellStyle name="Обычный 9 4 2 4 2 2 3 6" xfId="52451"/>
    <cellStyle name="Обычный 9 4 2 4 2 2 4" xfId="52452"/>
    <cellStyle name="Обычный 9 4 2 4 2 2 4 2" xfId="52453"/>
    <cellStyle name="Обычный 9 4 2 4 2 2 4 3" xfId="52454"/>
    <cellStyle name="Обычный 9 4 2 4 2 2 5" xfId="52455"/>
    <cellStyle name="Обычный 9 4 2 4 2 2 5 2" xfId="52456"/>
    <cellStyle name="Обычный 9 4 2 4 2 2 5 3" xfId="52457"/>
    <cellStyle name="Обычный 9 4 2 4 2 2 6" xfId="52458"/>
    <cellStyle name="Обычный 9 4 2 4 2 2 6 2" xfId="52459"/>
    <cellStyle name="Обычный 9 4 2 4 2 2 7" xfId="52460"/>
    <cellStyle name="Обычный 9 4 2 4 2 2 8" xfId="52461"/>
    <cellStyle name="Обычный 9 4 2 4 2 3" xfId="52462"/>
    <cellStyle name="Обычный 9 4 2 4 2 3 2" xfId="52463"/>
    <cellStyle name="Обычный 9 4 2 4 2 3 2 2" xfId="52464"/>
    <cellStyle name="Обычный 9 4 2 4 2 3 2 2 2" xfId="52465"/>
    <cellStyle name="Обычный 9 4 2 4 2 3 2 2 3" xfId="52466"/>
    <cellStyle name="Обычный 9 4 2 4 2 3 2 3" xfId="52467"/>
    <cellStyle name="Обычный 9 4 2 4 2 3 2 3 2" xfId="52468"/>
    <cellStyle name="Обычный 9 4 2 4 2 3 2 3 3" xfId="52469"/>
    <cellStyle name="Обычный 9 4 2 4 2 3 2 4" xfId="52470"/>
    <cellStyle name="Обычный 9 4 2 4 2 3 2 4 2" xfId="52471"/>
    <cellStyle name="Обычный 9 4 2 4 2 3 2 5" xfId="52472"/>
    <cellStyle name="Обычный 9 4 2 4 2 3 2 6" xfId="52473"/>
    <cellStyle name="Обычный 9 4 2 4 2 3 3" xfId="52474"/>
    <cellStyle name="Обычный 9 4 2 4 2 3 3 2" xfId="52475"/>
    <cellStyle name="Обычный 9 4 2 4 2 3 3 3" xfId="52476"/>
    <cellStyle name="Обычный 9 4 2 4 2 3 4" xfId="52477"/>
    <cellStyle name="Обычный 9 4 2 4 2 3 4 2" xfId="52478"/>
    <cellStyle name="Обычный 9 4 2 4 2 3 4 3" xfId="52479"/>
    <cellStyle name="Обычный 9 4 2 4 2 3 5" xfId="52480"/>
    <cellStyle name="Обычный 9 4 2 4 2 3 5 2" xfId="52481"/>
    <cellStyle name="Обычный 9 4 2 4 2 3 6" xfId="52482"/>
    <cellStyle name="Обычный 9 4 2 4 2 3 7" xfId="52483"/>
    <cellStyle name="Обычный 9 4 2 4 2 4" xfId="52484"/>
    <cellStyle name="Обычный 9 4 2 4 2 4 2" xfId="52485"/>
    <cellStyle name="Обычный 9 4 2 4 2 4 2 2" xfId="52486"/>
    <cellStyle name="Обычный 9 4 2 4 2 4 2 3" xfId="52487"/>
    <cellStyle name="Обычный 9 4 2 4 2 4 3" xfId="52488"/>
    <cellStyle name="Обычный 9 4 2 4 2 4 3 2" xfId="52489"/>
    <cellStyle name="Обычный 9 4 2 4 2 4 3 3" xfId="52490"/>
    <cellStyle name="Обычный 9 4 2 4 2 4 4" xfId="52491"/>
    <cellStyle name="Обычный 9 4 2 4 2 4 4 2" xfId="52492"/>
    <cellStyle name="Обычный 9 4 2 4 2 4 5" xfId="52493"/>
    <cellStyle name="Обычный 9 4 2 4 2 4 6" xfId="52494"/>
    <cellStyle name="Обычный 9 4 2 4 2 5" xfId="52495"/>
    <cellStyle name="Обычный 9 4 2 4 2 5 2" xfId="52496"/>
    <cellStyle name="Обычный 9 4 2 4 2 5 3" xfId="52497"/>
    <cellStyle name="Обычный 9 4 2 4 2 6" xfId="52498"/>
    <cellStyle name="Обычный 9 4 2 4 2 6 2" xfId="52499"/>
    <cellStyle name="Обычный 9 4 2 4 2 6 3" xfId="52500"/>
    <cellStyle name="Обычный 9 4 2 4 2 7" xfId="52501"/>
    <cellStyle name="Обычный 9 4 2 4 2 7 2" xfId="52502"/>
    <cellStyle name="Обычный 9 4 2 4 2 8" xfId="52503"/>
    <cellStyle name="Обычный 9 4 2 4 2 9" xfId="52504"/>
    <cellStyle name="Обычный 9 4 2 4 3" xfId="52505"/>
    <cellStyle name="Обычный 9 4 2 4 3 2" xfId="52506"/>
    <cellStyle name="Обычный 9 4 2 4 3 2 2" xfId="52507"/>
    <cellStyle name="Обычный 9 4 2 4 3 2 2 2" xfId="52508"/>
    <cellStyle name="Обычный 9 4 2 4 3 2 2 2 2" xfId="52509"/>
    <cellStyle name="Обычный 9 4 2 4 3 2 2 2 3" xfId="52510"/>
    <cellStyle name="Обычный 9 4 2 4 3 2 2 3" xfId="52511"/>
    <cellStyle name="Обычный 9 4 2 4 3 2 2 3 2" xfId="52512"/>
    <cellStyle name="Обычный 9 4 2 4 3 2 2 3 3" xfId="52513"/>
    <cellStyle name="Обычный 9 4 2 4 3 2 2 4" xfId="52514"/>
    <cellStyle name="Обычный 9 4 2 4 3 2 2 4 2" xfId="52515"/>
    <cellStyle name="Обычный 9 4 2 4 3 2 2 5" xfId="52516"/>
    <cellStyle name="Обычный 9 4 2 4 3 2 2 6" xfId="52517"/>
    <cellStyle name="Обычный 9 4 2 4 3 2 3" xfId="52518"/>
    <cellStyle name="Обычный 9 4 2 4 3 2 3 2" xfId="52519"/>
    <cellStyle name="Обычный 9 4 2 4 3 2 3 3" xfId="52520"/>
    <cellStyle name="Обычный 9 4 2 4 3 2 4" xfId="52521"/>
    <cellStyle name="Обычный 9 4 2 4 3 2 4 2" xfId="52522"/>
    <cellStyle name="Обычный 9 4 2 4 3 2 4 3" xfId="52523"/>
    <cellStyle name="Обычный 9 4 2 4 3 2 5" xfId="52524"/>
    <cellStyle name="Обычный 9 4 2 4 3 2 5 2" xfId="52525"/>
    <cellStyle name="Обычный 9 4 2 4 3 2 6" xfId="52526"/>
    <cellStyle name="Обычный 9 4 2 4 3 2 7" xfId="52527"/>
    <cellStyle name="Обычный 9 4 2 4 3 3" xfId="52528"/>
    <cellStyle name="Обычный 9 4 2 4 3 3 2" xfId="52529"/>
    <cellStyle name="Обычный 9 4 2 4 3 3 2 2" xfId="52530"/>
    <cellStyle name="Обычный 9 4 2 4 3 3 2 3" xfId="52531"/>
    <cellStyle name="Обычный 9 4 2 4 3 3 3" xfId="52532"/>
    <cellStyle name="Обычный 9 4 2 4 3 3 3 2" xfId="52533"/>
    <cellStyle name="Обычный 9 4 2 4 3 3 3 3" xfId="52534"/>
    <cellStyle name="Обычный 9 4 2 4 3 3 4" xfId="52535"/>
    <cellStyle name="Обычный 9 4 2 4 3 3 4 2" xfId="52536"/>
    <cellStyle name="Обычный 9 4 2 4 3 3 5" xfId="52537"/>
    <cellStyle name="Обычный 9 4 2 4 3 3 6" xfId="52538"/>
    <cellStyle name="Обычный 9 4 2 4 3 4" xfId="52539"/>
    <cellStyle name="Обычный 9 4 2 4 3 4 2" xfId="52540"/>
    <cellStyle name="Обычный 9 4 2 4 3 4 3" xfId="52541"/>
    <cellStyle name="Обычный 9 4 2 4 3 5" xfId="52542"/>
    <cellStyle name="Обычный 9 4 2 4 3 5 2" xfId="52543"/>
    <cellStyle name="Обычный 9 4 2 4 3 5 3" xfId="52544"/>
    <cellStyle name="Обычный 9 4 2 4 3 6" xfId="52545"/>
    <cellStyle name="Обычный 9 4 2 4 3 6 2" xfId="52546"/>
    <cellStyle name="Обычный 9 4 2 4 3 7" xfId="52547"/>
    <cellStyle name="Обычный 9 4 2 4 3 8" xfId="52548"/>
    <cellStyle name="Обычный 9 4 2 4 4" xfId="52549"/>
    <cellStyle name="Обычный 9 4 2 4 4 2" xfId="52550"/>
    <cellStyle name="Обычный 9 4 2 4 4 2 2" xfId="52551"/>
    <cellStyle name="Обычный 9 4 2 4 4 2 2 2" xfId="52552"/>
    <cellStyle name="Обычный 9 4 2 4 4 2 2 3" xfId="52553"/>
    <cellStyle name="Обычный 9 4 2 4 4 2 3" xfId="52554"/>
    <cellStyle name="Обычный 9 4 2 4 4 2 3 2" xfId="52555"/>
    <cellStyle name="Обычный 9 4 2 4 4 2 3 3" xfId="52556"/>
    <cellStyle name="Обычный 9 4 2 4 4 2 4" xfId="52557"/>
    <cellStyle name="Обычный 9 4 2 4 4 2 4 2" xfId="52558"/>
    <cellStyle name="Обычный 9 4 2 4 4 2 5" xfId="52559"/>
    <cellStyle name="Обычный 9 4 2 4 4 2 6" xfId="52560"/>
    <cellStyle name="Обычный 9 4 2 4 4 3" xfId="52561"/>
    <cellStyle name="Обычный 9 4 2 4 4 3 2" xfId="52562"/>
    <cellStyle name="Обычный 9 4 2 4 4 3 3" xfId="52563"/>
    <cellStyle name="Обычный 9 4 2 4 4 4" xfId="52564"/>
    <cellStyle name="Обычный 9 4 2 4 4 4 2" xfId="52565"/>
    <cellStyle name="Обычный 9 4 2 4 4 4 3" xfId="52566"/>
    <cellStyle name="Обычный 9 4 2 4 4 5" xfId="52567"/>
    <cellStyle name="Обычный 9 4 2 4 4 5 2" xfId="52568"/>
    <cellStyle name="Обычный 9 4 2 4 4 6" xfId="52569"/>
    <cellStyle name="Обычный 9 4 2 4 4 7" xfId="52570"/>
    <cellStyle name="Обычный 9 4 2 4 5" xfId="52571"/>
    <cellStyle name="Обычный 9 4 2 4 5 2" xfId="52572"/>
    <cellStyle name="Обычный 9 4 2 4 5 2 2" xfId="52573"/>
    <cellStyle name="Обычный 9 4 2 4 5 2 3" xfId="52574"/>
    <cellStyle name="Обычный 9 4 2 4 5 3" xfId="52575"/>
    <cellStyle name="Обычный 9 4 2 4 5 3 2" xfId="52576"/>
    <cellStyle name="Обычный 9 4 2 4 5 3 3" xfId="52577"/>
    <cellStyle name="Обычный 9 4 2 4 5 4" xfId="52578"/>
    <cellStyle name="Обычный 9 4 2 4 5 4 2" xfId="52579"/>
    <cellStyle name="Обычный 9 4 2 4 5 5" xfId="52580"/>
    <cellStyle name="Обычный 9 4 2 4 5 6" xfId="52581"/>
    <cellStyle name="Обычный 9 4 2 4 6" xfId="52582"/>
    <cellStyle name="Обычный 9 4 2 4 6 2" xfId="52583"/>
    <cellStyle name="Обычный 9 4 2 4 6 3" xfId="52584"/>
    <cellStyle name="Обычный 9 4 2 4 7" xfId="52585"/>
    <cellStyle name="Обычный 9 4 2 4 7 2" xfId="52586"/>
    <cellStyle name="Обычный 9 4 2 4 7 3" xfId="52587"/>
    <cellStyle name="Обычный 9 4 2 4 8" xfId="52588"/>
    <cellStyle name="Обычный 9 4 2 4 8 2" xfId="52589"/>
    <cellStyle name="Обычный 9 4 2 4 9" xfId="52590"/>
    <cellStyle name="Обычный 9 4 2 5" xfId="52591"/>
    <cellStyle name="Обычный 9 4 2 5 2" xfId="52592"/>
    <cellStyle name="Обычный 9 4 2 5 2 2" xfId="52593"/>
    <cellStyle name="Обычный 9 4 2 5 2 2 2" xfId="52594"/>
    <cellStyle name="Обычный 9 4 2 5 2 2 2 2" xfId="52595"/>
    <cellStyle name="Обычный 9 4 2 5 2 2 2 2 2" xfId="52596"/>
    <cellStyle name="Обычный 9 4 2 5 2 2 2 2 3" xfId="52597"/>
    <cellStyle name="Обычный 9 4 2 5 2 2 2 3" xfId="52598"/>
    <cellStyle name="Обычный 9 4 2 5 2 2 2 3 2" xfId="52599"/>
    <cellStyle name="Обычный 9 4 2 5 2 2 2 3 3" xfId="52600"/>
    <cellStyle name="Обычный 9 4 2 5 2 2 2 4" xfId="52601"/>
    <cellStyle name="Обычный 9 4 2 5 2 2 2 4 2" xfId="52602"/>
    <cellStyle name="Обычный 9 4 2 5 2 2 2 5" xfId="52603"/>
    <cellStyle name="Обычный 9 4 2 5 2 2 2 6" xfId="52604"/>
    <cellStyle name="Обычный 9 4 2 5 2 2 3" xfId="52605"/>
    <cellStyle name="Обычный 9 4 2 5 2 2 3 2" xfId="52606"/>
    <cellStyle name="Обычный 9 4 2 5 2 2 3 3" xfId="52607"/>
    <cellStyle name="Обычный 9 4 2 5 2 2 4" xfId="52608"/>
    <cellStyle name="Обычный 9 4 2 5 2 2 4 2" xfId="52609"/>
    <cellStyle name="Обычный 9 4 2 5 2 2 4 3" xfId="52610"/>
    <cellStyle name="Обычный 9 4 2 5 2 2 5" xfId="52611"/>
    <cellStyle name="Обычный 9 4 2 5 2 2 5 2" xfId="52612"/>
    <cellStyle name="Обычный 9 4 2 5 2 2 6" xfId="52613"/>
    <cellStyle name="Обычный 9 4 2 5 2 2 7" xfId="52614"/>
    <cellStyle name="Обычный 9 4 2 5 2 3" xfId="52615"/>
    <cellStyle name="Обычный 9 4 2 5 2 3 2" xfId="52616"/>
    <cellStyle name="Обычный 9 4 2 5 2 3 2 2" xfId="52617"/>
    <cellStyle name="Обычный 9 4 2 5 2 3 2 3" xfId="52618"/>
    <cellStyle name="Обычный 9 4 2 5 2 3 3" xfId="52619"/>
    <cellStyle name="Обычный 9 4 2 5 2 3 3 2" xfId="52620"/>
    <cellStyle name="Обычный 9 4 2 5 2 3 3 3" xfId="52621"/>
    <cellStyle name="Обычный 9 4 2 5 2 3 4" xfId="52622"/>
    <cellStyle name="Обычный 9 4 2 5 2 3 4 2" xfId="52623"/>
    <cellStyle name="Обычный 9 4 2 5 2 3 5" xfId="52624"/>
    <cellStyle name="Обычный 9 4 2 5 2 3 6" xfId="52625"/>
    <cellStyle name="Обычный 9 4 2 5 2 4" xfId="52626"/>
    <cellStyle name="Обычный 9 4 2 5 2 4 2" xfId="52627"/>
    <cellStyle name="Обычный 9 4 2 5 2 4 3" xfId="52628"/>
    <cellStyle name="Обычный 9 4 2 5 2 5" xfId="52629"/>
    <cellStyle name="Обычный 9 4 2 5 2 5 2" xfId="52630"/>
    <cellStyle name="Обычный 9 4 2 5 2 5 3" xfId="52631"/>
    <cellStyle name="Обычный 9 4 2 5 2 6" xfId="52632"/>
    <cellStyle name="Обычный 9 4 2 5 2 6 2" xfId="52633"/>
    <cellStyle name="Обычный 9 4 2 5 2 7" xfId="52634"/>
    <cellStyle name="Обычный 9 4 2 5 2 8" xfId="52635"/>
    <cellStyle name="Обычный 9 4 2 5 3" xfId="52636"/>
    <cellStyle name="Обычный 9 4 2 5 3 2" xfId="52637"/>
    <cellStyle name="Обычный 9 4 2 5 3 2 2" xfId="52638"/>
    <cellStyle name="Обычный 9 4 2 5 3 2 2 2" xfId="52639"/>
    <cellStyle name="Обычный 9 4 2 5 3 2 2 3" xfId="52640"/>
    <cellStyle name="Обычный 9 4 2 5 3 2 3" xfId="52641"/>
    <cellStyle name="Обычный 9 4 2 5 3 2 3 2" xfId="52642"/>
    <cellStyle name="Обычный 9 4 2 5 3 2 3 3" xfId="52643"/>
    <cellStyle name="Обычный 9 4 2 5 3 2 4" xfId="52644"/>
    <cellStyle name="Обычный 9 4 2 5 3 2 4 2" xfId="52645"/>
    <cellStyle name="Обычный 9 4 2 5 3 2 5" xfId="52646"/>
    <cellStyle name="Обычный 9 4 2 5 3 2 6" xfId="52647"/>
    <cellStyle name="Обычный 9 4 2 5 3 3" xfId="52648"/>
    <cellStyle name="Обычный 9 4 2 5 3 3 2" xfId="52649"/>
    <cellStyle name="Обычный 9 4 2 5 3 3 3" xfId="52650"/>
    <cellStyle name="Обычный 9 4 2 5 3 4" xfId="52651"/>
    <cellStyle name="Обычный 9 4 2 5 3 4 2" xfId="52652"/>
    <cellStyle name="Обычный 9 4 2 5 3 4 3" xfId="52653"/>
    <cellStyle name="Обычный 9 4 2 5 3 5" xfId="52654"/>
    <cellStyle name="Обычный 9 4 2 5 3 5 2" xfId="52655"/>
    <cellStyle name="Обычный 9 4 2 5 3 6" xfId="52656"/>
    <cellStyle name="Обычный 9 4 2 5 3 7" xfId="52657"/>
    <cellStyle name="Обычный 9 4 2 5 4" xfId="52658"/>
    <cellStyle name="Обычный 9 4 2 5 4 2" xfId="52659"/>
    <cellStyle name="Обычный 9 4 2 5 4 2 2" xfId="52660"/>
    <cellStyle name="Обычный 9 4 2 5 4 2 3" xfId="52661"/>
    <cellStyle name="Обычный 9 4 2 5 4 3" xfId="52662"/>
    <cellStyle name="Обычный 9 4 2 5 4 3 2" xfId="52663"/>
    <cellStyle name="Обычный 9 4 2 5 4 3 3" xfId="52664"/>
    <cellStyle name="Обычный 9 4 2 5 4 4" xfId="52665"/>
    <cellStyle name="Обычный 9 4 2 5 4 4 2" xfId="52666"/>
    <cellStyle name="Обычный 9 4 2 5 4 5" xfId="52667"/>
    <cellStyle name="Обычный 9 4 2 5 4 6" xfId="52668"/>
    <cellStyle name="Обычный 9 4 2 5 5" xfId="52669"/>
    <cellStyle name="Обычный 9 4 2 5 5 2" xfId="52670"/>
    <cellStyle name="Обычный 9 4 2 5 5 3" xfId="52671"/>
    <cellStyle name="Обычный 9 4 2 5 6" xfId="52672"/>
    <cellStyle name="Обычный 9 4 2 5 6 2" xfId="52673"/>
    <cellStyle name="Обычный 9 4 2 5 6 3" xfId="52674"/>
    <cellStyle name="Обычный 9 4 2 5 7" xfId="52675"/>
    <cellStyle name="Обычный 9 4 2 5 7 2" xfId="52676"/>
    <cellStyle name="Обычный 9 4 2 5 8" xfId="52677"/>
    <cellStyle name="Обычный 9 4 2 5 9" xfId="52678"/>
    <cellStyle name="Обычный 9 4 2 6" xfId="52679"/>
    <cellStyle name="Обычный 9 4 2 6 2" xfId="52680"/>
    <cellStyle name="Обычный 9 4 2 6 2 2" xfId="52681"/>
    <cellStyle name="Обычный 9 4 2 6 2 2 2" xfId="52682"/>
    <cellStyle name="Обычный 9 4 2 6 2 2 2 2" xfId="52683"/>
    <cellStyle name="Обычный 9 4 2 6 2 2 2 3" xfId="52684"/>
    <cellStyle name="Обычный 9 4 2 6 2 2 3" xfId="52685"/>
    <cellStyle name="Обычный 9 4 2 6 2 2 3 2" xfId="52686"/>
    <cellStyle name="Обычный 9 4 2 6 2 2 3 3" xfId="52687"/>
    <cellStyle name="Обычный 9 4 2 6 2 2 4" xfId="52688"/>
    <cellStyle name="Обычный 9 4 2 6 2 2 4 2" xfId="52689"/>
    <cellStyle name="Обычный 9 4 2 6 2 2 5" xfId="52690"/>
    <cellStyle name="Обычный 9 4 2 6 2 2 6" xfId="52691"/>
    <cellStyle name="Обычный 9 4 2 6 2 3" xfId="52692"/>
    <cellStyle name="Обычный 9 4 2 6 2 3 2" xfId="52693"/>
    <cellStyle name="Обычный 9 4 2 6 2 3 3" xfId="52694"/>
    <cellStyle name="Обычный 9 4 2 6 2 4" xfId="52695"/>
    <cellStyle name="Обычный 9 4 2 6 2 4 2" xfId="52696"/>
    <cellStyle name="Обычный 9 4 2 6 2 4 3" xfId="52697"/>
    <cellStyle name="Обычный 9 4 2 6 2 5" xfId="52698"/>
    <cellStyle name="Обычный 9 4 2 6 2 5 2" xfId="52699"/>
    <cellStyle name="Обычный 9 4 2 6 2 6" xfId="52700"/>
    <cellStyle name="Обычный 9 4 2 6 2 7" xfId="52701"/>
    <cellStyle name="Обычный 9 4 2 6 3" xfId="52702"/>
    <cellStyle name="Обычный 9 4 2 6 3 2" xfId="52703"/>
    <cellStyle name="Обычный 9 4 2 6 3 2 2" xfId="52704"/>
    <cellStyle name="Обычный 9 4 2 6 3 2 3" xfId="52705"/>
    <cellStyle name="Обычный 9 4 2 6 3 3" xfId="52706"/>
    <cellStyle name="Обычный 9 4 2 6 3 3 2" xfId="52707"/>
    <cellStyle name="Обычный 9 4 2 6 3 3 3" xfId="52708"/>
    <cellStyle name="Обычный 9 4 2 6 3 4" xfId="52709"/>
    <cellStyle name="Обычный 9 4 2 6 3 4 2" xfId="52710"/>
    <cellStyle name="Обычный 9 4 2 6 3 5" xfId="52711"/>
    <cellStyle name="Обычный 9 4 2 6 3 6" xfId="52712"/>
    <cellStyle name="Обычный 9 4 2 6 4" xfId="52713"/>
    <cellStyle name="Обычный 9 4 2 6 4 2" xfId="52714"/>
    <cellStyle name="Обычный 9 4 2 6 4 3" xfId="52715"/>
    <cellStyle name="Обычный 9 4 2 6 5" xfId="52716"/>
    <cellStyle name="Обычный 9 4 2 6 5 2" xfId="52717"/>
    <cellStyle name="Обычный 9 4 2 6 5 3" xfId="52718"/>
    <cellStyle name="Обычный 9 4 2 6 6" xfId="52719"/>
    <cellStyle name="Обычный 9 4 2 6 6 2" xfId="52720"/>
    <cellStyle name="Обычный 9 4 2 6 7" xfId="52721"/>
    <cellStyle name="Обычный 9 4 2 6 8" xfId="52722"/>
    <cellStyle name="Обычный 9 4 2 7" xfId="52723"/>
    <cellStyle name="Обычный 9 4 2 7 2" xfId="52724"/>
    <cellStyle name="Обычный 9 4 2 7 2 2" xfId="52725"/>
    <cellStyle name="Обычный 9 4 2 7 2 2 2" xfId="52726"/>
    <cellStyle name="Обычный 9 4 2 7 2 2 3" xfId="52727"/>
    <cellStyle name="Обычный 9 4 2 7 2 3" xfId="52728"/>
    <cellStyle name="Обычный 9 4 2 7 2 3 2" xfId="52729"/>
    <cellStyle name="Обычный 9 4 2 7 2 3 3" xfId="52730"/>
    <cellStyle name="Обычный 9 4 2 7 2 4" xfId="52731"/>
    <cellStyle name="Обычный 9 4 2 7 2 4 2" xfId="52732"/>
    <cellStyle name="Обычный 9 4 2 7 2 5" xfId="52733"/>
    <cellStyle name="Обычный 9 4 2 7 2 6" xfId="52734"/>
    <cellStyle name="Обычный 9 4 2 7 3" xfId="52735"/>
    <cellStyle name="Обычный 9 4 2 7 3 2" xfId="52736"/>
    <cellStyle name="Обычный 9 4 2 7 3 3" xfId="52737"/>
    <cellStyle name="Обычный 9 4 2 7 4" xfId="52738"/>
    <cellStyle name="Обычный 9 4 2 7 4 2" xfId="52739"/>
    <cellStyle name="Обычный 9 4 2 7 4 3" xfId="52740"/>
    <cellStyle name="Обычный 9 4 2 7 5" xfId="52741"/>
    <cellStyle name="Обычный 9 4 2 7 5 2" xfId="52742"/>
    <cellStyle name="Обычный 9 4 2 7 6" xfId="52743"/>
    <cellStyle name="Обычный 9 4 2 7 7" xfId="52744"/>
    <cellStyle name="Обычный 9 4 2 8" xfId="52745"/>
    <cellStyle name="Обычный 9 4 2 8 2" xfId="52746"/>
    <cellStyle name="Обычный 9 4 2 8 2 2" xfId="52747"/>
    <cellStyle name="Обычный 9 4 2 8 2 3" xfId="52748"/>
    <cellStyle name="Обычный 9 4 2 8 3" xfId="52749"/>
    <cellStyle name="Обычный 9 4 2 8 3 2" xfId="52750"/>
    <cellStyle name="Обычный 9 4 2 8 3 3" xfId="52751"/>
    <cellStyle name="Обычный 9 4 2 8 4" xfId="52752"/>
    <cellStyle name="Обычный 9 4 2 8 4 2" xfId="52753"/>
    <cellStyle name="Обычный 9 4 2 8 5" xfId="52754"/>
    <cellStyle name="Обычный 9 4 2 8 6" xfId="52755"/>
    <cellStyle name="Обычный 9 4 2 9" xfId="52756"/>
    <cellStyle name="Обычный 9 4 2 9 2" xfId="52757"/>
    <cellStyle name="Обычный 9 4 2 9 3" xfId="52758"/>
    <cellStyle name="Обычный 9 4 3" xfId="52759"/>
    <cellStyle name="Обычный 9 4 3 10" xfId="52760"/>
    <cellStyle name="Обычный 9 4 3 2" xfId="52761"/>
    <cellStyle name="Обычный 9 4 3 2 2" xfId="52762"/>
    <cellStyle name="Обычный 9 4 3 2 2 2" xfId="52763"/>
    <cellStyle name="Обычный 9 4 3 2 2 2 2" xfId="52764"/>
    <cellStyle name="Обычный 9 4 3 2 2 2 2 2" xfId="52765"/>
    <cellStyle name="Обычный 9 4 3 2 2 2 2 2 2" xfId="52766"/>
    <cellStyle name="Обычный 9 4 3 2 2 2 2 2 3" xfId="52767"/>
    <cellStyle name="Обычный 9 4 3 2 2 2 2 3" xfId="52768"/>
    <cellStyle name="Обычный 9 4 3 2 2 2 2 3 2" xfId="52769"/>
    <cellStyle name="Обычный 9 4 3 2 2 2 2 3 3" xfId="52770"/>
    <cellStyle name="Обычный 9 4 3 2 2 2 2 4" xfId="52771"/>
    <cellStyle name="Обычный 9 4 3 2 2 2 2 4 2" xfId="52772"/>
    <cellStyle name="Обычный 9 4 3 2 2 2 2 5" xfId="52773"/>
    <cellStyle name="Обычный 9 4 3 2 2 2 2 6" xfId="52774"/>
    <cellStyle name="Обычный 9 4 3 2 2 2 3" xfId="52775"/>
    <cellStyle name="Обычный 9 4 3 2 2 2 3 2" xfId="52776"/>
    <cellStyle name="Обычный 9 4 3 2 2 2 3 3" xfId="52777"/>
    <cellStyle name="Обычный 9 4 3 2 2 2 4" xfId="52778"/>
    <cellStyle name="Обычный 9 4 3 2 2 2 4 2" xfId="52779"/>
    <cellStyle name="Обычный 9 4 3 2 2 2 4 3" xfId="52780"/>
    <cellStyle name="Обычный 9 4 3 2 2 2 5" xfId="52781"/>
    <cellStyle name="Обычный 9 4 3 2 2 2 5 2" xfId="52782"/>
    <cellStyle name="Обычный 9 4 3 2 2 2 6" xfId="52783"/>
    <cellStyle name="Обычный 9 4 3 2 2 2 7" xfId="52784"/>
    <cellStyle name="Обычный 9 4 3 2 2 3" xfId="52785"/>
    <cellStyle name="Обычный 9 4 3 2 2 3 2" xfId="52786"/>
    <cellStyle name="Обычный 9 4 3 2 2 3 2 2" xfId="52787"/>
    <cellStyle name="Обычный 9 4 3 2 2 3 2 3" xfId="52788"/>
    <cellStyle name="Обычный 9 4 3 2 2 3 3" xfId="52789"/>
    <cellStyle name="Обычный 9 4 3 2 2 3 3 2" xfId="52790"/>
    <cellStyle name="Обычный 9 4 3 2 2 3 3 3" xfId="52791"/>
    <cellStyle name="Обычный 9 4 3 2 2 3 4" xfId="52792"/>
    <cellStyle name="Обычный 9 4 3 2 2 3 4 2" xfId="52793"/>
    <cellStyle name="Обычный 9 4 3 2 2 3 5" xfId="52794"/>
    <cellStyle name="Обычный 9 4 3 2 2 3 6" xfId="52795"/>
    <cellStyle name="Обычный 9 4 3 2 2 4" xfId="52796"/>
    <cellStyle name="Обычный 9 4 3 2 2 4 2" xfId="52797"/>
    <cellStyle name="Обычный 9 4 3 2 2 4 3" xfId="52798"/>
    <cellStyle name="Обычный 9 4 3 2 2 5" xfId="52799"/>
    <cellStyle name="Обычный 9 4 3 2 2 5 2" xfId="52800"/>
    <cellStyle name="Обычный 9 4 3 2 2 5 3" xfId="52801"/>
    <cellStyle name="Обычный 9 4 3 2 2 6" xfId="52802"/>
    <cellStyle name="Обычный 9 4 3 2 2 6 2" xfId="52803"/>
    <cellStyle name="Обычный 9 4 3 2 2 7" xfId="52804"/>
    <cellStyle name="Обычный 9 4 3 2 2 8" xfId="52805"/>
    <cellStyle name="Обычный 9 4 3 2 3" xfId="52806"/>
    <cellStyle name="Обычный 9 4 3 2 3 2" xfId="52807"/>
    <cellStyle name="Обычный 9 4 3 2 3 2 2" xfId="52808"/>
    <cellStyle name="Обычный 9 4 3 2 3 2 2 2" xfId="52809"/>
    <cellStyle name="Обычный 9 4 3 2 3 2 2 3" xfId="52810"/>
    <cellStyle name="Обычный 9 4 3 2 3 2 3" xfId="52811"/>
    <cellStyle name="Обычный 9 4 3 2 3 2 3 2" xfId="52812"/>
    <cellStyle name="Обычный 9 4 3 2 3 2 3 3" xfId="52813"/>
    <cellStyle name="Обычный 9 4 3 2 3 2 4" xfId="52814"/>
    <cellStyle name="Обычный 9 4 3 2 3 2 4 2" xfId="52815"/>
    <cellStyle name="Обычный 9 4 3 2 3 2 5" xfId="52816"/>
    <cellStyle name="Обычный 9 4 3 2 3 2 6" xfId="52817"/>
    <cellStyle name="Обычный 9 4 3 2 3 3" xfId="52818"/>
    <cellStyle name="Обычный 9 4 3 2 3 3 2" xfId="52819"/>
    <cellStyle name="Обычный 9 4 3 2 3 3 3" xfId="52820"/>
    <cellStyle name="Обычный 9 4 3 2 3 4" xfId="52821"/>
    <cellStyle name="Обычный 9 4 3 2 3 4 2" xfId="52822"/>
    <cellStyle name="Обычный 9 4 3 2 3 4 3" xfId="52823"/>
    <cellStyle name="Обычный 9 4 3 2 3 5" xfId="52824"/>
    <cellStyle name="Обычный 9 4 3 2 3 5 2" xfId="52825"/>
    <cellStyle name="Обычный 9 4 3 2 3 6" xfId="52826"/>
    <cellStyle name="Обычный 9 4 3 2 3 7" xfId="52827"/>
    <cellStyle name="Обычный 9 4 3 2 4" xfId="52828"/>
    <cellStyle name="Обычный 9 4 3 2 4 2" xfId="52829"/>
    <cellStyle name="Обычный 9 4 3 2 4 2 2" xfId="52830"/>
    <cellStyle name="Обычный 9 4 3 2 4 2 3" xfId="52831"/>
    <cellStyle name="Обычный 9 4 3 2 4 3" xfId="52832"/>
    <cellStyle name="Обычный 9 4 3 2 4 3 2" xfId="52833"/>
    <cellStyle name="Обычный 9 4 3 2 4 3 3" xfId="52834"/>
    <cellStyle name="Обычный 9 4 3 2 4 4" xfId="52835"/>
    <cellStyle name="Обычный 9 4 3 2 4 4 2" xfId="52836"/>
    <cellStyle name="Обычный 9 4 3 2 4 5" xfId="52837"/>
    <cellStyle name="Обычный 9 4 3 2 4 6" xfId="52838"/>
    <cellStyle name="Обычный 9 4 3 2 5" xfId="52839"/>
    <cellStyle name="Обычный 9 4 3 2 5 2" xfId="52840"/>
    <cellStyle name="Обычный 9 4 3 2 5 3" xfId="52841"/>
    <cellStyle name="Обычный 9 4 3 2 6" xfId="52842"/>
    <cellStyle name="Обычный 9 4 3 2 6 2" xfId="52843"/>
    <cellStyle name="Обычный 9 4 3 2 6 3" xfId="52844"/>
    <cellStyle name="Обычный 9 4 3 2 7" xfId="52845"/>
    <cellStyle name="Обычный 9 4 3 2 7 2" xfId="52846"/>
    <cellStyle name="Обычный 9 4 3 2 8" xfId="52847"/>
    <cellStyle name="Обычный 9 4 3 2 9" xfId="52848"/>
    <cellStyle name="Обычный 9 4 3 3" xfId="52849"/>
    <cellStyle name="Обычный 9 4 3 3 2" xfId="52850"/>
    <cellStyle name="Обычный 9 4 3 3 2 2" xfId="52851"/>
    <cellStyle name="Обычный 9 4 3 3 2 2 2" xfId="52852"/>
    <cellStyle name="Обычный 9 4 3 3 2 2 2 2" xfId="52853"/>
    <cellStyle name="Обычный 9 4 3 3 2 2 2 3" xfId="52854"/>
    <cellStyle name="Обычный 9 4 3 3 2 2 3" xfId="52855"/>
    <cellStyle name="Обычный 9 4 3 3 2 2 3 2" xfId="52856"/>
    <cellStyle name="Обычный 9 4 3 3 2 2 3 3" xfId="52857"/>
    <cellStyle name="Обычный 9 4 3 3 2 2 4" xfId="52858"/>
    <cellStyle name="Обычный 9 4 3 3 2 2 4 2" xfId="52859"/>
    <cellStyle name="Обычный 9 4 3 3 2 2 5" xfId="52860"/>
    <cellStyle name="Обычный 9 4 3 3 2 2 6" xfId="52861"/>
    <cellStyle name="Обычный 9 4 3 3 2 3" xfId="52862"/>
    <cellStyle name="Обычный 9 4 3 3 2 3 2" xfId="52863"/>
    <cellStyle name="Обычный 9 4 3 3 2 3 3" xfId="52864"/>
    <cellStyle name="Обычный 9 4 3 3 2 4" xfId="52865"/>
    <cellStyle name="Обычный 9 4 3 3 2 4 2" xfId="52866"/>
    <cellStyle name="Обычный 9 4 3 3 2 4 3" xfId="52867"/>
    <cellStyle name="Обычный 9 4 3 3 2 5" xfId="52868"/>
    <cellStyle name="Обычный 9 4 3 3 2 5 2" xfId="52869"/>
    <cellStyle name="Обычный 9 4 3 3 2 6" xfId="52870"/>
    <cellStyle name="Обычный 9 4 3 3 2 7" xfId="52871"/>
    <cellStyle name="Обычный 9 4 3 3 3" xfId="52872"/>
    <cellStyle name="Обычный 9 4 3 3 3 2" xfId="52873"/>
    <cellStyle name="Обычный 9 4 3 3 3 2 2" xfId="52874"/>
    <cellStyle name="Обычный 9 4 3 3 3 2 3" xfId="52875"/>
    <cellStyle name="Обычный 9 4 3 3 3 3" xfId="52876"/>
    <cellStyle name="Обычный 9 4 3 3 3 3 2" xfId="52877"/>
    <cellStyle name="Обычный 9 4 3 3 3 3 3" xfId="52878"/>
    <cellStyle name="Обычный 9 4 3 3 3 4" xfId="52879"/>
    <cellStyle name="Обычный 9 4 3 3 3 4 2" xfId="52880"/>
    <cellStyle name="Обычный 9 4 3 3 3 5" xfId="52881"/>
    <cellStyle name="Обычный 9 4 3 3 3 6" xfId="52882"/>
    <cellStyle name="Обычный 9 4 3 3 4" xfId="52883"/>
    <cellStyle name="Обычный 9 4 3 3 4 2" xfId="52884"/>
    <cellStyle name="Обычный 9 4 3 3 4 3" xfId="52885"/>
    <cellStyle name="Обычный 9 4 3 3 5" xfId="52886"/>
    <cellStyle name="Обычный 9 4 3 3 5 2" xfId="52887"/>
    <cellStyle name="Обычный 9 4 3 3 5 3" xfId="52888"/>
    <cellStyle name="Обычный 9 4 3 3 6" xfId="52889"/>
    <cellStyle name="Обычный 9 4 3 3 6 2" xfId="52890"/>
    <cellStyle name="Обычный 9 4 3 3 7" xfId="52891"/>
    <cellStyle name="Обычный 9 4 3 3 8" xfId="52892"/>
    <cellStyle name="Обычный 9 4 3 4" xfId="52893"/>
    <cellStyle name="Обычный 9 4 3 4 2" xfId="52894"/>
    <cellStyle name="Обычный 9 4 3 4 2 2" xfId="52895"/>
    <cellStyle name="Обычный 9 4 3 4 2 2 2" xfId="52896"/>
    <cellStyle name="Обычный 9 4 3 4 2 2 3" xfId="52897"/>
    <cellStyle name="Обычный 9 4 3 4 2 3" xfId="52898"/>
    <cellStyle name="Обычный 9 4 3 4 2 3 2" xfId="52899"/>
    <cellStyle name="Обычный 9 4 3 4 2 3 3" xfId="52900"/>
    <cellStyle name="Обычный 9 4 3 4 2 4" xfId="52901"/>
    <cellStyle name="Обычный 9 4 3 4 2 4 2" xfId="52902"/>
    <cellStyle name="Обычный 9 4 3 4 2 5" xfId="52903"/>
    <cellStyle name="Обычный 9 4 3 4 2 6" xfId="52904"/>
    <cellStyle name="Обычный 9 4 3 4 3" xfId="52905"/>
    <cellStyle name="Обычный 9 4 3 4 3 2" xfId="52906"/>
    <cellStyle name="Обычный 9 4 3 4 3 3" xfId="52907"/>
    <cellStyle name="Обычный 9 4 3 4 4" xfId="52908"/>
    <cellStyle name="Обычный 9 4 3 4 4 2" xfId="52909"/>
    <cellStyle name="Обычный 9 4 3 4 4 3" xfId="52910"/>
    <cellStyle name="Обычный 9 4 3 4 5" xfId="52911"/>
    <cellStyle name="Обычный 9 4 3 4 5 2" xfId="52912"/>
    <cellStyle name="Обычный 9 4 3 4 6" xfId="52913"/>
    <cellStyle name="Обычный 9 4 3 4 7" xfId="52914"/>
    <cellStyle name="Обычный 9 4 3 5" xfId="52915"/>
    <cellStyle name="Обычный 9 4 3 5 2" xfId="52916"/>
    <cellStyle name="Обычный 9 4 3 5 2 2" xfId="52917"/>
    <cellStyle name="Обычный 9 4 3 5 2 3" xfId="52918"/>
    <cellStyle name="Обычный 9 4 3 5 3" xfId="52919"/>
    <cellStyle name="Обычный 9 4 3 5 3 2" xfId="52920"/>
    <cellStyle name="Обычный 9 4 3 5 3 3" xfId="52921"/>
    <cellStyle name="Обычный 9 4 3 5 4" xfId="52922"/>
    <cellStyle name="Обычный 9 4 3 5 4 2" xfId="52923"/>
    <cellStyle name="Обычный 9 4 3 5 5" xfId="52924"/>
    <cellStyle name="Обычный 9 4 3 5 6" xfId="52925"/>
    <cellStyle name="Обычный 9 4 3 6" xfId="52926"/>
    <cellStyle name="Обычный 9 4 3 6 2" xfId="52927"/>
    <cellStyle name="Обычный 9 4 3 6 3" xfId="52928"/>
    <cellStyle name="Обычный 9 4 3 7" xfId="52929"/>
    <cellStyle name="Обычный 9 4 3 7 2" xfId="52930"/>
    <cellStyle name="Обычный 9 4 3 7 3" xfId="52931"/>
    <cellStyle name="Обычный 9 4 3 8" xfId="52932"/>
    <cellStyle name="Обычный 9 4 3 8 2" xfId="52933"/>
    <cellStyle name="Обычный 9 4 3 9" xfId="52934"/>
    <cellStyle name="Обычный 9 4 4" xfId="52935"/>
    <cellStyle name="Обычный 9 4 4 10" xfId="52936"/>
    <cellStyle name="Обычный 9 4 4 2" xfId="52937"/>
    <cellStyle name="Обычный 9 4 4 2 2" xfId="52938"/>
    <cellStyle name="Обычный 9 4 4 2 2 2" xfId="52939"/>
    <cellStyle name="Обычный 9 4 4 2 2 2 2" xfId="52940"/>
    <cellStyle name="Обычный 9 4 4 2 2 2 2 2" xfId="52941"/>
    <cellStyle name="Обычный 9 4 4 2 2 2 2 2 2" xfId="52942"/>
    <cellStyle name="Обычный 9 4 4 2 2 2 2 2 3" xfId="52943"/>
    <cellStyle name="Обычный 9 4 4 2 2 2 2 3" xfId="52944"/>
    <cellStyle name="Обычный 9 4 4 2 2 2 2 3 2" xfId="52945"/>
    <cellStyle name="Обычный 9 4 4 2 2 2 2 3 3" xfId="52946"/>
    <cellStyle name="Обычный 9 4 4 2 2 2 2 4" xfId="52947"/>
    <cellStyle name="Обычный 9 4 4 2 2 2 2 4 2" xfId="52948"/>
    <cellStyle name="Обычный 9 4 4 2 2 2 2 5" xfId="52949"/>
    <cellStyle name="Обычный 9 4 4 2 2 2 2 6" xfId="52950"/>
    <cellStyle name="Обычный 9 4 4 2 2 2 3" xfId="52951"/>
    <cellStyle name="Обычный 9 4 4 2 2 2 3 2" xfId="52952"/>
    <cellStyle name="Обычный 9 4 4 2 2 2 3 3" xfId="52953"/>
    <cellStyle name="Обычный 9 4 4 2 2 2 4" xfId="52954"/>
    <cellStyle name="Обычный 9 4 4 2 2 2 4 2" xfId="52955"/>
    <cellStyle name="Обычный 9 4 4 2 2 2 4 3" xfId="52956"/>
    <cellStyle name="Обычный 9 4 4 2 2 2 5" xfId="52957"/>
    <cellStyle name="Обычный 9 4 4 2 2 2 5 2" xfId="52958"/>
    <cellStyle name="Обычный 9 4 4 2 2 2 6" xfId="52959"/>
    <cellStyle name="Обычный 9 4 4 2 2 2 7" xfId="52960"/>
    <cellStyle name="Обычный 9 4 4 2 2 3" xfId="52961"/>
    <cellStyle name="Обычный 9 4 4 2 2 3 2" xfId="52962"/>
    <cellStyle name="Обычный 9 4 4 2 2 3 2 2" xfId="52963"/>
    <cellStyle name="Обычный 9 4 4 2 2 3 2 3" xfId="52964"/>
    <cellStyle name="Обычный 9 4 4 2 2 3 3" xfId="52965"/>
    <cellStyle name="Обычный 9 4 4 2 2 3 3 2" xfId="52966"/>
    <cellStyle name="Обычный 9 4 4 2 2 3 3 3" xfId="52967"/>
    <cellStyle name="Обычный 9 4 4 2 2 3 4" xfId="52968"/>
    <cellStyle name="Обычный 9 4 4 2 2 3 4 2" xfId="52969"/>
    <cellStyle name="Обычный 9 4 4 2 2 3 5" xfId="52970"/>
    <cellStyle name="Обычный 9 4 4 2 2 3 6" xfId="52971"/>
    <cellStyle name="Обычный 9 4 4 2 2 4" xfId="52972"/>
    <cellStyle name="Обычный 9 4 4 2 2 4 2" xfId="52973"/>
    <cellStyle name="Обычный 9 4 4 2 2 4 3" xfId="52974"/>
    <cellStyle name="Обычный 9 4 4 2 2 5" xfId="52975"/>
    <cellStyle name="Обычный 9 4 4 2 2 5 2" xfId="52976"/>
    <cellStyle name="Обычный 9 4 4 2 2 5 3" xfId="52977"/>
    <cellStyle name="Обычный 9 4 4 2 2 6" xfId="52978"/>
    <cellStyle name="Обычный 9 4 4 2 2 6 2" xfId="52979"/>
    <cellStyle name="Обычный 9 4 4 2 2 7" xfId="52980"/>
    <cellStyle name="Обычный 9 4 4 2 2 8" xfId="52981"/>
    <cellStyle name="Обычный 9 4 4 2 3" xfId="52982"/>
    <cellStyle name="Обычный 9 4 4 2 3 2" xfId="52983"/>
    <cellStyle name="Обычный 9 4 4 2 3 2 2" xfId="52984"/>
    <cellStyle name="Обычный 9 4 4 2 3 2 2 2" xfId="52985"/>
    <cellStyle name="Обычный 9 4 4 2 3 2 2 3" xfId="52986"/>
    <cellStyle name="Обычный 9 4 4 2 3 2 3" xfId="52987"/>
    <cellStyle name="Обычный 9 4 4 2 3 2 3 2" xfId="52988"/>
    <cellStyle name="Обычный 9 4 4 2 3 2 3 3" xfId="52989"/>
    <cellStyle name="Обычный 9 4 4 2 3 2 4" xfId="52990"/>
    <cellStyle name="Обычный 9 4 4 2 3 2 4 2" xfId="52991"/>
    <cellStyle name="Обычный 9 4 4 2 3 2 5" xfId="52992"/>
    <cellStyle name="Обычный 9 4 4 2 3 2 6" xfId="52993"/>
    <cellStyle name="Обычный 9 4 4 2 3 3" xfId="52994"/>
    <cellStyle name="Обычный 9 4 4 2 3 3 2" xfId="52995"/>
    <cellStyle name="Обычный 9 4 4 2 3 3 3" xfId="52996"/>
    <cellStyle name="Обычный 9 4 4 2 3 4" xfId="52997"/>
    <cellStyle name="Обычный 9 4 4 2 3 4 2" xfId="52998"/>
    <cellStyle name="Обычный 9 4 4 2 3 4 3" xfId="52999"/>
    <cellStyle name="Обычный 9 4 4 2 3 5" xfId="53000"/>
    <cellStyle name="Обычный 9 4 4 2 3 5 2" xfId="53001"/>
    <cellStyle name="Обычный 9 4 4 2 3 6" xfId="53002"/>
    <cellStyle name="Обычный 9 4 4 2 3 7" xfId="53003"/>
    <cellStyle name="Обычный 9 4 4 2 4" xfId="53004"/>
    <cellStyle name="Обычный 9 4 4 2 4 2" xfId="53005"/>
    <cellStyle name="Обычный 9 4 4 2 4 2 2" xfId="53006"/>
    <cellStyle name="Обычный 9 4 4 2 4 2 3" xfId="53007"/>
    <cellStyle name="Обычный 9 4 4 2 4 3" xfId="53008"/>
    <cellStyle name="Обычный 9 4 4 2 4 3 2" xfId="53009"/>
    <cellStyle name="Обычный 9 4 4 2 4 3 3" xfId="53010"/>
    <cellStyle name="Обычный 9 4 4 2 4 4" xfId="53011"/>
    <cellStyle name="Обычный 9 4 4 2 4 4 2" xfId="53012"/>
    <cellStyle name="Обычный 9 4 4 2 4 5" xfId="53013"/>
    <cellStyle name="Обычный 9 4 4 2 4 6" xfId="53014"/>
    <cellStyle name="Обычный 9 4 4 2 5" xfId="53015"/>
    <cellStyle name="Обычный 9 4 4 2 5 2" xfId="53016"/>
    <cellStyle name="Обычный 9 4 4 2 5 3" xfId="53017"/>
    <cellStyle name="Обычный 9 4 4 2 6" xfId="53018"/>
    <cellStyle name="Обычный 9 4 4 2 6 2" xfId="53019"/>
    <cellStyle name="Обычный 9 4 4 2 6 3" xfId="53020"/>
    <cellStyle name="Обычный 9 4 4 2 7" xfId="53021"/>
    <cellStyle name="Обычный 9 4 4 2 7 2" xfId="53022"/>
    <cellStyle name="Обычный 9 4 4 2 8" xfId="53023"/>
    <cellStyle name="Обычный 9 4 4 2 9" xfId="53024"/>
    <cellStyle name="Обычный 9 4 4 3" xfId="53025"/>
    <cellStyle name="Обычный 9 4 4 3 2" xfId="53026"/>
    <cellStyle name="Обычный 9 4 4 3 2 2" xfId="53027"/>
    <cellStyle name="Обычный 9 4 4 3 2 2 2" xfId="53028"/>
    <cellStyle name="Обычный 9 4 4 3 2 2 2 2" xfId="53029"/>
    <cellStyle name="Обычный 9 4 4 3 2 2 2 3" xfId="53030"/>
    <cellStyle name="Обычный 9 4 4 3 2 2 3" xfId="53031"/>
    <cellStyle name="Обычный 9 4 4 3 2 2 3 2" xfId="53032"/>
    <cellStyle name="Обычный 9 4 4 3 2 2 3 3" xfId="53033"/>
    <cellStyle name="Обычный 9 4 4 3 2 2 4" xfId="53034"/>
    <cellStyle name="Обычный 9 4 4 3 2 2 4 2" xfId="53035"/>
    <cellStyle name="Обычный 9 4 4 3 2 2 5" xfId="53036"/>
    <cellStyle name="Обычный 9 4 4 3 2 2 6" xfId="53037"/>
    <cellStyle name="Обычный 9 4 4 3 2 3" xfId="53038"/>
    <cellStyle name="Обычный 9 4 4 3 2 3 2" xfId="53039"/>
    <cellStyle name="Обычный 9 4 4 3 2 3 3" xfId="53040"/>
    <cellStyle name="Обычный 9 4 4 3 2 4" xfId="53041"/>
    <cellStyle name="Обычный 9 4 4 3 2 4 2" xfId="53042"/>
    <cellStyle name="Обычный 9 4 4 3 2 4 3" xfId="53043"/>
    <cellStyle name="Обычный 9 4 4 3 2 5" xfId="53044"/>
    <cellStyle name="Обычный 9 4 4 3 2 5 2" xfId="53045"/>
    <cellStyle name="Обычный 9 4 4 3 2 6" xfId="53046"/>
    <cellStyle name="Обычный 9 4 4 3 2 7" xfId="53047"/>
    <cellStyle name="Обычный 9 4 4 3 3" xfId="53048"/>
    <cellStyle name="Обычный 9 4 4 3 3 2" xfId="53049"/>
    <cellStyle name="Обычный 9 4 4 3 3 2 2" xfId="53050"/>
    <cellStyle name="Обычный 9 4 4 3 3 2 3" xfId="53051"/>
    <cellStyle name="Обычный 9 4 4 3 3 3" xfId="53052"/>
    <cellStyle name="Обычный 9 4 4 3 3 3 2" xfId="53053"/>
    <cellStyle name="Обычный 9 4 4 3 3 3 3" xfId="53054"/>
    <cellStyle name="Обычный 9 4 4 3 3 4" xfId="53055"/>
    <cellStyle name="Обычный 9 4 4 3 3 4 2" xfId="53056"/>
    <cellStyle name="Обычный 9 4 4 3 3 5" xfId="53057"/>
    <cellStyle name="Обычный 9 4 4 3 3 6" xfId="53058"/>
    <cellStyle name="Обычный 9 4 4 3 4" xfId="53059"/>
    <cellStyle name="Обычный 9 4 4 3 4 2" xfId="53060"/>
    <cellStyle name="Обычный 9 4 4 3 4 3" xfId="53061"/>
    <cellStyle name="Обычный 9 4 4 3 5" xfId="53062"/>
    <cellStyle name="Обычный 9 4 4 3 5 2" xfId="53063"/>
    <cellStyle name="Обычный 9 4 4 3 5 3" xfId="53064"/>
    <cellStyle name="Обычный 9 4 4 3 6" xfId="53065"/>
    <cellStyle name="Обычный 9 4 4 3 6 2" xfId="53066"/>
    <cellStyle name="Обычный 9 4 4 3 7" xfId="53067"/>
    <cellStyle name="Обычный 9 4 4 3 8" xfId="53068"/>
    <cellStyle name="Обычный 9 4 4 4" xfId="53069"/>
    <cellStyle name="Обычный 9 4 4 4 2" xfId="53070"/>
    <cellStyle name="Обычный 9 4 4 4 2 2" xfId="53071"/>
    <cellStyle name="Обычный 9 4 4 4 2 2 2" xfId="53072"/>
    <cellStyle name="Обычный 9 4 4 4 2 2 3" xfId="53073"/>
    <cellStyle name="Обычный 9 4 4 4 2 3" xfId="53074"/>
    <cellStyle name="Обычный 9 4 4 4 2 3 2" xfId="53075"/>
    <cellStyle name="Обычный 9 4 4 4 2 3 3" xfId="53076"/>
    <cellStyle name="Обычный 9 4 4 4 2 4" xfId="53077"/>
    <cellStyle name="Обычный 9 4 4 4 2 4 2" xfId="53078"/>
    <cellStyle name="Обычный 9 4 4 4 2 5" xfId="53079"/>
    <cellStyle name="Обычный 9 4 4 4 2 6" xfId="53080"/>
    <cellStyle name="Обычный 9 4 4 4 3" xfId="53081"/>
    <cellStyle name="Обычный 9 4 4 4 3 2" xfId="53082"/>
    <cellStyle name="Обычный 9 4 4 4 3 3" xfId="53083"/>
    <cellStyle name="Обычный 9 4 4 4 4" xfId="53084"/>
    <cellStyle name="Обычный 9 4 4 4 4 2" xfId="53085"/>
    <cellStyle name="Обычный 9 4 4 4 4 3" xfId="53086"/>
    <cellStyle name="Обычный 9 4 4 4 5" xfId="53087"/>
    <cellStyle name="Обычный 9 4 4 4 5 2" xfId="53088"/>
    <cellStyle name="Обычный 9 4 4 4 6" xfId="53089"/>
    <cellStyle name="Обычный 9 4 4 4 7" xfId="53090"/>
    <cellStyle name="Обычный 9 4 4 5" xfId="53091"/>
    <cellStyle name="Обычный 9 4 4 5 2" xfId="53092"/>
    <cellStyle name="Обычный 9 4 4 5 2 2" xfId="53093"/>
    <cellStyle name="Обычный 9 4 4 5 2 3" xfId="53094"/>
    <cellStyle name="Обычный 9 4 4 5 3" xfId="53095"/>
    <cellStyle name="Обычный 9 4 4 5 3 2" xfId="53096"/>
    <cellStyle name="Обычный 9 4 4 5 3 3" xfId="53097"/>
    <cellStyle name="Обычный 9 4 4 5 4" xfId="53098"/>
    <cellStyle name="Обычный 9 4 4 5 4 2" xfId="53099"/>
    <cellStyle name="Обычный 9 4 4 5 5" xfId="53100"/>
    <cellStyle name="Обычный 9 4 4 5 6" xfId="53101"/>
    <cellStyle name="Обычный 9 4 4 6" xfId="53102"/>
    <cellStyle name="Обычный 9 4 4 6 2" xfId="53103"/>
    <cellStyle name="Обычный 9 4 4 6 3" xfId="53104"/>
    <cellStyle name="Обычный 9 4 4 7" xfId="53105"/>
    <cellStyle name="Обычный 9 4 4 7 2" xfId="53106"/>
    <cellStyle name="Обычный 9 4 4 7 3" xfId="53107"/>
    <cellStyle name="Обычный 9 4 4 8" xfId="53108"/>
    <cellStyle name="Обычный 9 4 4 8 2" xfId="53109"/>
    <cellStyle name="Обычный 9 4 4 9" xfId="53110"/>
    <cellStyle name="Обычный 9 4 5" xfId="53111"/>
    <cellStyle name="Обычный 9 4 5 10" xfId="53112"/>
    <cellStyle name="Обычный 9 4 5 2" xfId="53113"/>
    <cellStyle name="Обычный 9 4 5 2 2" xfId="53114"/>
    <cellStyle name="Обычный 9 4 5 2 2 2" xfId="53115"/>
    <cellStyle name="Обычный 9 4 5 2 2 2 2" xfId="53116"/>
    <cellStyle name="Обычный 9 4 5 2 2 2 2 2" xfId="53117"/>
    <cellStyle name="Обычный 9 4 5 2 2 2 2 2 2" xfId="53118"/>
    <cellStyle name="Обычный 9 4 5 2 2 2 2 2 3" xfId="53119"/>
    <cellStyle name="Обычный 9 4 5 2 2 2 2 3" xfId="53120"/>
    <cellStyle name="Обычный 9 4 5 2 2 2 2 3 2" xfId="53121"/>
    <cellStyle name="Обычный 9 4 5 2 2 2 2 3 3" xfId="53122"/>
    <cellStyle name="Обычный 9 4 5 2 2 2 2 4" xfId="53123"/>
    <cellStyle name="Обычный 9 4 5 2 2 2 2 4 2" xfId="53124"/>
    <cellStyle name="Обычный 9 4 5 2 2 2 2 5" xfId="53125"/>
    <cellStyle name="Обычный 9 4 5 2 2 2 2 6" xfId="53126"/>
    <cellStyle name="Обычный 9 4 5 2 2 2 3" xfId="53127"/>
    <cellStyle name="Обычный 9 4 5 2 2 2 3 2" xfId="53128"/>
    <cellStyle name="Обычный 9 4 5 2 2 2 3 3" xfId="53129"/>
    <cellStyle name="Обычный 9 4 5 2 2 2 4" xfId="53130"/>
    <cellStyle name="Обычный 9 4 5 2 2 2 4 2" xfId="53131"/>
    <cellStyle name="Обычный 9 4 5 2 2 2 4 3" xfId="53132"/>
    <cellStyle name="Обычный 9 4 5 2 2 2 5" xfId="53133"/>
    <cellStyle name="Обычный 9 4 5 2 2 2 5 2" xfId="53134"/>
    <cellStyle name="Обычный 9 4 5 2 2 2 6" xfId="53135"/>
    <cellStyle name="Обычный 9 4 5 2 2 2 7" xfId="53136"/>
    <cellStyle name="Обычный 9 4 5 2 2 3" xfId="53137"/>
    <cellStyle name="Обычный 9 4 5 2 2 3 2" xfId="53138"/>
    <cellStyle name="Обычный 9 4 5 2 2 3 2 2" xfId="53139"/>
    <cellStyle name="Обычный 9 4 5 2 2 3 2 3" xfId="53140"/>
    <cellStyle name="Обычный 9 4 5 2 2 3 3" xfId="53141"/>
    <cellStyle name="Обычный 9 4 5 2 2 3 3 2" xfId="53142"/>
    <cellStyle name="Обычный 9 4 5 2 2 3 3 3" xfId="53143"/>
    <cellStyle name="Обычный 9 4 5 2 2 3 4" xfId="53144"/>
    <cellStyle name="Обычный 9 4 5 2 2 3 4 2" xfId="53145"/>
    <cellStyle name="Обычный 9 4 5 2 2 3 5" xfId="53146"/>
    <cellStyle name="Обычный 9 4 5 2 2 3 6" xfId="53147"/>
    <cellStyle name="Обычный 9 4 5 2 2 4" xfId="53148"/>
    <cellStyle name="Обычный 9 4 5 2 2 4 2" xfId="53149"/>
    <cellStyle name="Обычный 9 4 5 2 2 4 3" xfId="53150"/>
    <cellStyle name="Обычный 9 4 5 2 2 5" xfId="53151"/>
    <cellStyle name="Обычный 9 4 5 2 2 5 2" xfId="53152"/>
    <cellStyle name="Обычный 9 4 5 2 2 5 3" xfId="53153"/>
    <cellStyle name="Обычный 9 4 5 2 2 6" xfId="53154"/>
    <cellStyle name="Обычный 9 4 5 2 2 6 2" xfId="53155"/>
    <cellStyle name="Обычный 9 4 5 2 2 7" xfId="53156"/>
    <cellStyle name="Обычный 9 4 5 2 2 8" xfId="53157"/>
    <cellStyle name="Обычный 9 4 5 2 3" xfId="53158"/>
    <cellStyle name="Обычный 9 4 5 2 3 2" xfId="53159"/>
    <cellStyle name="Обычный 9 4 5 2 3 2 2" xfId="53160"/>
    <cellStyle name="Обычный 9 4 5 2 3 2 2 2" xfId="53161"/>
    <cellStyle name="Обычный 9 4 5 2 3 2 2 3" xfId="53162"/>
    <cellStyle name="Обычный 9 4 5 2 3 2 3" xfId="53163"/>
    <cellStyle name="Обычный 9 4 5 2 3 2 3 2" xfId="53164"/>
    <cellStyle name="Обычный 9 4 5 2 3 2 3 3" xfId="53165"/>
    <cellStyle name="Обычный 9 4 5 2 3 2 4" xfId="53166"/>
    <cellStyle name="Обычный 9 4 5 2 3 2 4 2" xfId="53167"/>
    <cellStyle name="Обычный 9 4 5 2 3 2 5" xfId="53168"/>
    <cellStyle name="Обычный 9 4 5 2 3 2 6" xfId="53169"/>
    <cellStyle name="Обычный 9 4 5 2 3 3" xfId="53170"/>
    <cellStyle name="Обычный 9 4 5 2 3 3 2" xfId="53171"/>
    <cellStyle name="Обычный 9 4 5 2 3 3 3" xfId="53172"/>
    <cellStyle name="Обычный 9 4 5 2 3 4" xfId="53173"/>
    <cellStyle name="Обычный 9 4 5 2 3 4 2" xfId="53174"/>
    <cellStyle name="Обычный 9 4 5 2 3 4 3" xfId="53175"/>
    <cellStyle name="Обычный 9 4 5 2 3 5" xfId="53176"/>
    <cellStyle name="Обычный 9 4 5 2 3 5 2" xfId="53177"/>
    <cellStyle name="Обычный 9 4 5 2 3 6" xfId="53178"/>
    <cellStyle name="Обычный 9 4 5 2 3 7" xfId="53179"/>
    <cellStyle name="Обычный 9 4 5 2 4" xfId="53180"/>
    <cellStyle name="Обычный 9 4 5 2 4 2" xfId="53181"/>
    <cellStyle name="Обычный 9 4 5 2 4 2 2" xfId="53182"/>
    <cellStyle name="Обычный 9 4 5 2 4 2 3" xfId="53183"/>
    <cellStyle name="Обычный 9 4 5 2 4 3" xfId="53184"/>
    <cellStyle name="Обычный 9 4 5 2 4 3 2" xfId="53185"/>
    <cellStyle name="Обычный 9 4 5 2 4 3 3" xfId="53186"/>
    <cellStyle name="Обычный 9 4 5 2 4 4" xfId="53187"/>
    <cellStyle name="Обычный 9 4 5 2 4 4 2" xfId="53188"/>
    <cellStyle name="Обычный 9 4 5 2 4 5" xfId="53189"/>
    <cellStyle name="Обычный 9 4 5 2 4 6" xfId="53190"/>
    <cellStyle name="Обычный 9 4 5 2 5" xfId="53191"/>
    <cellStyle name="Обычный 9 4 5 2 5 2" xfId="53192"/>
    <cellStyle name="Обычный 9 4 5 2 5 3" xfId="53193"/>
    <cellStyle name="Обычный 9 4 5 2 6" xfId="53194"/>
    <cellStyle name="Обычный 9 4 5 2 6 2" xfId="53195"/>
    <cellStyle name="Обычный 9 4 5 2 6 3" xfId="53196"/>
    <cellStyle name="Обычный 9 4 5 2 7" xfId="53197"/>
    <cellStyle name="Обычный 9 4 5 2 7 2" xfId="53198"/>
    <cellStyle name="Обычный 9 4 5 2 8" xfId="53199"/>
    <cellStyle name="Обычный 9 4 5 2 9" xfId="53200"/>
    <cellStyle name="Обычный 9 4 5 3" xfId="53201"/>
    <cellStyle name="Обычный 9 4 5 3 2" xfId="53202"/>
    <cellStyle name="Обычный 9 4 5 3 2 2" xfId="53203"/>
    <cellStyle name="Обычный 9 4 5 3 2 2 2" xfId="53204"/>
    <cellStyle name="Обычный 9 4 5 3 2 2 2 2" xfId="53205"/>
    <cellStyle name="Обычный 9 4 5 3 2 2 2 3" xfId="53206"/>
    <cellStyle name="Обычный 9 4 5 3 2 2 3" xfId="53207"/>
    <cellStyle name="Обычный 9 4 5 3 2 2 3 2" xfId="53208"/>
    <cellStyle name="Обычный 9 4 5 3 2 2 3 3" xfId="53209"/>
    <cellStyle name="Обычный 9 4 5 3 2 2 4" xfId="53210"/>
    <cellStyle name="Обычный 9 4 5 3 2 2 4 2" xfId="53211"/>
    <cellStyle name="Обычный 9 4 5 3 2 2 5" xfId="53212"/>
    <cellStyle name="Обычный 9 4 5 3 2 2 6" xfId="53213"/>
    <cellStyle name="Обычный 9 4 5 3 2 3" xfId="53214"/>
    <cellStyle name="Обычный 9 4 5 3 2 3 2" xfId="53215"/>
    <cellStyle name="Обычный 9 4 5 3 2 3 3" xfId="53216"/>
    <cellStyle name="Обычный 9 4 5 3 2 4" xfId="53217"/>
    <cellStyle name="Обычный 9 4 5 3 2 4 2" xfId="53218"/>
    <cellStyle name="Обычный 9 4 5 3 2 4 3" xfId="53219"/>
    <cellStyle name="Обычный 9 4 5 3 2 5" xfId="53220"/>
    <cellStyle name="Обычный 9 4 5 3 2 5 2" xfId="53221"/>
    <cellStyle name="Обычный 9 4 5 3 2 6" xfId="53222"/>
    <cellStyle name="Обычный 9 4 5 3 2 7" xfId="53223"/>
    <cellStyle name="Обычный 9 4 5 3 3" xfId="53224"/>
    <cellStyle name="Обычный 9 4 5 3 3 2" xfId="53225"/>
    <cellStyle name="Обычный 9 4 5 3 3 2 2" xfId="53226"/>
    <cellStyle name="Обычный 9 4 5 3 3 2 3" xfId="53227"/>
    <cellStyle name="Обычный 9 4 5 3 3 3" xfId="53228"/>
    <cellStyle name="Обычный 9 4 5 3 3 3 2" xfId="53229"/>
    <cellStyle name="Обычный 9 4 5 3 3 3 3" xfId="53230"/>
    <cellStyle name="Обычный 9 4 5 3 3 4" xfId="53231"/>
    <cellStyle name="Обычный 9 4 5 3 3 4 2" xfId="53232"/>
    <cellStyle name="Обычный 9 4 5 3 3 5" xfId="53233"/>
    <cellStyle name="Обычный 9 4 5 3 3 6" xfId="53234"/>
    <cellStyle name="Обычный 9 4 5 3 4" xfId="53235"/>
    <cellStyle name="Обычный 9 4 5 3 4 2" xfId="53236"/>
    <cellStyle name="Обычный 9 4 5 3 4 3" xfId="53237"/>
    <cellStyle name="Обычный 9 4 5 3 5" xfId="53238"/>
    <cellStyle name="Обычный 9 4 5 3 5 2" xfId="53239"/>
    <cellStyle name="Обычный 9 4 5 3 5 3" xfId="53240"/>
    <cellStyle name="Обычный 9 4 5 3 6" xfId="53241"/>
    <cellStyle name="Обычный 9 4 5 3 6 2" xfId="53242"/>
    <cellStyle name="Обычный 9 4 5 3 7" xfId="53243"/>
    <cellStyle name="Обычный 9 4 5 3 8" xfId="53244"/>
    <cellStyle name="Обычный 9 4 5 4" xfId="53245"/>
    <cellStyle name="Обычный 9 4 5 4 2" xfId="53246"/>
    <cellStyle name="Обычный 9 4 5 4 2 2" xfId="53247"/>
    <cellStyle name="Обычный 9 4 5 4 2 2 2" xfId="53248"/>
    <cellStyle name="Обычный 9 4 5 4 2 2 3" xfId="53249"/>
    <cellStyle name="Обычный 9 4 5 4 2 3" xfId="53250"/>
    <cellStyle name="Обычный 9 4 5 4 2 3 2" xfId="53251"/>
    <cellStyle name="Обычный 9 4 5 4 2 3 3" xfId="53252"/>
    <cellStyle name="Обычный 9 4 5 4 2 4" xfId="53253"/>
    <cellStyle name="Обычный 9 4 5 4 2 4 2" xfId="53254"/>
    <cellStyle name="Обычный 9 4 5 4 2 5" xfId="53255"/>
    <cellStyle name="Обычный 9 4 5 4 2 6" xfId="53256"/>
    <cellStyle name="Обычный 9 4 5 4 3" xfId="53257"/>
    <cellStyle name="Обычный 9 4 5 4 3 2" xfId="53258"/>
    <cellStyle name="Обычный 9 4 5 4 3 3" xfId="53259"/>
    <cellStyle name="Обычный 9 4 5 4 4" xfId="53260"/>
    <cellStyle name="Обычный 9 4 5 4 4 2" xfId="53261"/>
    <cellStyle name="Обычный 9 4 5 4 4 3" xfId="53262"/>
    <cellStyle name="Обычный 9 4 5 4 5" xfId="53263"/>
    <cellStyle name="Обычный 9 4 5 4 5 2" xfId="53264"/>
    <cellStyle name="Обычный 9 4 5 4 6" xfId="53265"/>
    <cellStyle name="Обычный 9 4 5 4 7" xfId="53266"/>
    <cellStyle name="Обычный 9 4 5 5" xfId="53267"/>
    <cellStyle name="Обычный 9 4 5 5 2" xfId="53268"/>
    <cellStyle name="Обычный 9 4 5 5 2 2" xfId="53269"/>
    <cellStyle name="Обычный 9 4 5 5 2 3" xfId="53270"/>
    <cellStyle name="Обычный 9 4 5 5 3" xfId="53271"/>
    <cellStyle name="Обычный 9 4 5 5 3 2" xfId="53272"/>
    <cellStyle name="Обычный 9 4 5 5 3 3" xfId="53273"/>
    <cellStyle name="Обычный 9 4 5 5 4" xfId="53274"/>
    <cellStyle name="Обычный 9 4 5 5 4 2" xfId="53275"/>
    <cellStyle name="Обычный 9 4 5 5 5" xfId="53276"/>
    <cellStyle name="Обычный 9 4 5 5 6" xfId="53277"/>
    <cellStyle name="Обычный 9 4 5 6" xfId="53278"/>
    <cellStyle name="Обычный 9 4 5 6 2" xfId="53279"/>
    <cellStyle name="Обычный 9 4 5 6 3" xfId="53280"/>
    <cellStyle name="Обычный 9 4 5 7" xfId="53281"/>
    <cellStyle name="Обычный 9 4 5 7 2" xfId="53282"/>
    <cellStyle name="Обычный 9 4 5 7 3" xfId="53283"/>
    <cellStyle name="Обычный 9 4 5 8" xfId="53284"/>
    <cellStyle name="Обычный 9 4 5 8 2" xfId="53285"/>
    <cellStyle name="Обычный 9 4 5 9" xfId="53286"/>
    <cellStyle name="Обычный 9 4 6" xfId="53287"/>
    <cellStyle name="Обычный 9 4 6 2" xfId="53288"/>
    <cellStyle name="Обычный 9 4 6 2 2" xfId="53289"/>
    <cellStyle name="Обычный 9 4 6 2 2 2" xfId="53290"/>
    <cellStyle name="Обычный 9 4 6 2 2 2 2" xfId="53291"/>
    <cellStyle name="Обычный 9 4 6 2 2 2 2 2" xfId="53292"/>
    <cellStyle name="Обычный 9 4 6 2 2 2 2 3" xfId="53293"/>
    <cellStyle name="Обычный 9 4 6 2 2 2 3" xfId="53294"/>
    <cellStyle name="Обычный 9 4 6 2 2 2 3 2" xfId="53295"/>
    <cellStyle name="Обычный 9 4 6 2 2 2 3 3" xfId="53296"/>
    <cellStyle name="Обычный 9 4 6 2 2 2 4" xfId="53297"/>
    <cellStyle name="Обычный 9 4 6 2 2 2 4 2" xfId="53298"/>
    <cellStyle name="Обычный 9 4 6 2 2 2 5" xfId="53299"/>
    <cellStyle name="Обычный 9 4 6 2 2 2 6" xfId="53300"/>
    <cellStyle name="Обычный 9 4 6 2 2 3" xfId="53301"/>
    <cellStyle name="Обычный 9 4 6 2 2 3 2" xfId="53302"/>
    <cellStyle name="Обычный 9 4 6 2 2 3 3" xfId="53303"/>
    <cellStyle name="Обычный 9 4 6 2 2 4" xfId="53304"/>
    <cellStyle name="Обычный 9 4 6 2 2 4 2" xfId="53305"/>
    <cellStyle name="Обычный 9 4 6 2 2 4 3" xfId="53306"/>
    <cellStyle name="Обычный 9 4 6 2 2 5" xfId="53307"/>
    <cellStyle name="Обычный 9 4 6 2 2 5 2" xfId="53308"/>
    <cellStyle name="Обычный 9 4 6 2 2 6" xfId="53309"/>
    <cellStyle name="Обычный 9 4 6 2 2 7" xfId="53310"/>
    <cellStyle name="Обычный 9 4 6 2 3" xfId="53311"/>
    <cellStyle name="Обычный 9 4 6 2 3 2" xfId="53312"/>
    <cellStyle name="Обычный 9 4 6 2 3 2 2" xfId="53313"/>
    <cellStyle name="Обычный 9 4 6 2 3 2 3" xfId="53314"/>
    <cellStyle name="Обычный 9 4 6 2 3 3" xfId="53315"/>
    <cellStyle name="Обычный 9 4 6 2 3 3 2" xfId="53316"/>
    <cellStyle name="Обычный 9 4 6 2 3 3 3" xfId="53317"/>
    <cellStyle name="Обычный 9 4 6 2 3 4" xfId="53318"/>
    <cellStyle name="Обычный 9 4 6 2 3 4 2" xfId="53319"/>
    <cellStyle name="Обычный 9 4 6 2 3 5" xfId="53320"/>
    <cellStyle name="Обычный 9 4 6 2 3 6" xfId="53321"/>
    <cellStyle name="Обычный 9 4 6 2 4" xfId="53322"/>
    <cellStyle name="Обычный 9 4 6 2 4 2" xfId="53323"/>
    <cellStyle name="Обычный 9 4 6 2 4 3" xfId="53324"/>
    <cellStyle name="Обычный 9 4 6 2 5" xfId="53325"/>
    <cellStyle name="Обычный 9 4 6 2 5 2" xfId="53326"/>
    <cellStyle name="Обычный 9 4 6 2 5 3" xfId="53327"/>
    <cellStyle name="Обычный 9 4 6 2 6" xfId="53328"/>
    <cellStyle name="Обычный 9 4 6 2 6 2" xfId="53329"/>
    <cellStyle name="Обычный 9 4 6 2 7" xfId="53330"/>
    <cellStyle name="Обычный 9 4 6 2 8" xfId="53331"/>
    <cellStyle name="Обычный 9 4 6 3" xfId="53332"/>
    <cellStyle name="Обычный 9 4 6 3 2" xfId="53333"/>
    <cellStyle name="Обычный 9 4 6 3 2 2" xfId="53334"/>
    <cellStyle name="Обычный 9 4 6 3 2 2 2" xfId="53335"/>
    <cellStyle name="Обычный 9 4 6 3 2 2 3" xfId="53336"/>
    <cellStyle name="Обычный 9 4 6 3 2 3" xfId="53337"/>
    <cellStyle name="Обычный 9 4 6 3 2 3 2" xfId="53338"/>
    <cellStyle name="Обычный 9 4 6 3 2 3 3" xfId="53339"/>
    <cellStyle name="Обычный 9 4 6 3 2 4" xfId="53340"/>
    <cellStyle name="Обычный 9 4 6 3 2 4 2" xfId="53341"/>
    <cellStyle name="Обычный 9 4 6 3 2 5" xfId="53342"/>
    <cellStyle name="Обычный 9 4 6 3 2 6" xfId="53343"/>
    <cellStyle name="Обычный 9 4 6 3 3" xfId="53344"/>
    <cellStyle name="Обычный 9 4 6 3 3 2" xfId="53345"/>
    <cellStyle name="Обычный 9 4 6 3 3 3" xfId="53346"/>
    <cellStyle name="Обычный 9 4 6 3 4" xfId="53347"/>
    <cellStyle name="Обычный 9 4 6 3 4 2" xfId="53348"/>
    <cellStyle name="Обычный 9 4 6 3 4 3" xfId="53349"/>
    <cellStyle name="Обычный 9 4 6 3 5" xfId="53350"/>
    <cellStyle name="Обычный 9 4 6 3 5 2" xfId="53351"/>
    <cellStyle name="Обычный 9 4 6 3 6" xfId="53352"/>
    <cellStyle name="Обычный 9 4 6 3 7" xfId="53353"/>
    <cellStyle name="Обычный 9 4 6 4" xfId="53354"/>
    <cellStyle name="Обычный 9 4 6 4 2" xfId="53355"/>
    <cellStyle name="Обычный 9 4 6 4 2 2" xfId="53356"/>
    <cellStyle name="Обычный 9 4 6 4 2 3" xfId="53357"/>
    <cellStyle name="Обычный 9 4 6 4 3" xfId="53358"/>
    <cellStyle name="Обычный 9 4 6 4 3 2" xfId="53359"/>
    <cellStyle name="Обычный 9 4 6 4 3 3" xfId="53360"/>
    <cellStyle name="Обычный 9 4 6 4 4" xfId="53361"/>
    <cellStyle name="Обычный 9 4 6 4 4 2" xfId="53362"/>
    <cellStyle name="Обычный 9 4 6 4 5" xfId="53363"/>
    <cellStyle name="Обычный 9 4 6 4 6" xfId="53364"/>
    <cellStyle name="Обычный 9 4 6 5" xfId="53365"/>
    <cellStyle name="Обычный 9 4 6 5 2" xfId="53366"/>
    <cellStyle name="Обычный 9 4 6 5 3" xfId="53367"/>
    <cellStyle name="Обычный 9 4 6 6" xfId="53368"/>
    <cellStyle name="Обычный 9 4 6 6 2" xfId="53369"/>
    <cellStyle name="Обычный 9 4 6 6 3" xfId="53370"/>
    <cellStyle name="Обычный 9 4 6 7" xfId="53371"/>
    <cellStyle name="Обычный 9 4 6 7 2" xfId="53372"/>
    <cellStyle name="Обычный 9 4 6 8" xfId="53373"/>
    <cellStyle name="Обычный 9 4 6 9" xfId="53374"/>
    <cellStyle name="Обычный 9 4 7" xfId="53375"/>
    <cellStyle name="Обычный 9 4 7 2" xfId="53376"/>
    <cellStyle name="Обычный 9 4 7 2 2" xfId="53377"/>
    <cellStyle name="Обычный 9 4 7 2 2 2" xfId="53378"/>
    <cellStyle name="Обычный 9 4 7 2 2 2 2" xfId="53379"/>
    <cellStyle name="Обычный 9 4 7 2 2 2 3" xfId="53380"/>
    <cellStyle name="Обычный 9 4 7 2 2 3" xfId="53381"/>
    <cellStyle name="Обычный 9 4 7 2 2 3 2" xfId="53382"/>
    <cellStyle name="Обычный 9 4 7 2 2 3 3" xfId="53383"/>
    <cellStyle name="Обычный 9 4 7 2 2 4" xfId="53384"/>
    <cellStyle name="Обычный 9 4 7 2 2 4 2" xfId="53385"/>
    <cellStyle name="Обычный 9 4 7 2 2 5" xfId="53386"/>
    <cellStyle name="Обычный 9 4 7 2 2 6" xfId="53387"/>
    <cellStyle name="Обычный 9 4 7 2 3" xfId="53388"/>
    <cellStyle name="Обычный 9 4 7 2 3 2" xfId="53389"/>
    <cellStyle name="Обычный 9 4 7 2 3 3" xfId="53390"/>
    <cellStyle name="Обычный 9 4 7 2 4" xfId="53391"/>
    <cellStyle name="Обычный 9 4 7 2 4 2" xfId="53392"/>
    <cellStyle name="Обычный 9 4 7 2 4 3" xfId="53393"/>
    <cellStyle name="Обычный 9 4 7 2 5" xfId="53394"/>
    <cellStyle name="Обычный 9 4 7 2 5 2" xfId="53395"/>
    <cellStyle name="Обычный 9 4 7 2 6" xfId="53396"/>
    <cellStyle name="Обычный 9 4 7 2 7" xfId="53397"/>
    <cellStyle name="Обычный 9 4 7 3" xfId="53398"/>
    <cellStyle name="Обычный 9 4 7 3 2" xfId="53399"/>
    <cellStyle name="Обычный 9 4 7 3 2 2" xfId="53400"/>
    <cellStyle name="Обычный 9 4 7 3 2 3" xfId="53401"/>
    <cellStyle name="Обычный 9 4 7 3 3" xfId="53402"/>
    <cellStyle name="Обычный 9 4 7 3 3 2" xfId="53403"/>
    <cellStyle name="Обычный 9 4 7 3 3 3" xfId="53404"/>
    <cellStyle name="Обычный 9 4 7 3 4" xfId="53405"/>
    <cellStyle name="Обычный 9 4 7 3 4 2" xfId="53406"/>
    <cellStyle name="Обычный 9 4 7 3 5" xfId="53407"/>
    <cellStyle name="Обычный 9 4 7 3 6" xfId="53408"/>
    <cellStyle name="Обычный 9 4 7 4" xfId="53409"/>
    <cellStyle name="Обычный 9 4 7 4 2" xfId="53410"/>
    <cellStyle name="Обычный 9 4 7 4 3" xfId="53411"/>
    <cellStyle name="Обычный 9 4 7 5" xfId="53412"/>
    <cellStyle name="Обычный 9 4 7 5 2" xfId="53413"/>
    <cellStyle name="Обычный 9 4 7 5 3" xfId="53414"/>
    <cellStyle name="Обычный 9 4 7 6" xfId="53415"/>
    <cellStyle name="Обычный 9 4 7 6 2" xfId="53416"/>
    <cellStyle name="Обычный 9 4 7 7" xfId="53417"/>
    <cellStyle name="Обычный 9 4 7 8" xfId="53418"/>
    <cellStyle name="Обычный 9 4 8" xfId="53419"/>
    <cellStyle name="Обычный 9 4 8 2" xfId="53420"/>
    <cellStyle name="Обычный 9 4 8 2 2" xfId="53421"/>
    <cellStyle name="Обычный 9 4 8 2 2 2" xfId="53422"/>
    <cellStyle name="Обычный 9 4 8 2 2 3" xfId="53423"/>
    <cellStyle name="Обычный 9 4 8 2 3" xfId="53424"/>
    <cellStyle name="Обычный 9 4 8 2 3 2" xfId="53425"/>
    <cellStyle name="Обычный 9 4 8 2 3 3" xfId="53426"/>
    <cellStyle name="Обычный 9 4 8 2 4" xfId="53427"/>
    <cellStyle name="Обычный 9 4 8 2 4 2" xfId="53428"/>
    <cellStyle name="Обычный 9 4 8 2 5" xfId="53429"/>
    <cellStyle name="Обычный 9 4 8 2 6" xfId="53430"/>
    <cellStyle name="Обычный 9 4 8 3" xfId="53431"/>
    <cellStyle name="Обычный 9 4 8 3 2" xfId="53432"/>
    <cellStyle name="Обычный 9 4 8 3 3" xfId="53433"/>
    <cellStyle name="Обычный 9 4 8 4" xfId="53434"/>
    <cellStyle name="Обычный 9 4 8 4 2" xfId="53435"/>
    <cellStyle name="Обычный 9 4 8 4 3" xfId="53436"/>
    <cellStyle name="Обычный 9 4 8 5" xfId="53437"/>
    <cellStyle name="Обычный 9 4 8 5 2" xfId="53438"/>
    <cellStyle name="Обычный 9 4 8 6" xfId="53439"/>
    <cellStyle name="Обычный 9 4 8 7" xfId="53440"/>
    <cellStyle name="Обычный 9 4 9" xfId="53441"/>
    <cellStyle name="Обычный 9 4 9 2" xfId="53442"/>
    <cellStyle name="Обычный 9 4 9 2 2" xfId="53443"/>
    <cellStyle name="Обычный 9 4 9 2 3" xfId="53444"/>
    <cellStyle name="Обычный 9 4 9 3" xfId="53445"/>
    <cellStyle name="Обычный 9 4 9 3 2" xfId="53446"/>
    <cellStyle name="Обычный 9 4 9 3 3" xfId="53447"/>
    <cellStyle name="Обычный 9 4 9 4" xfId="53448"/>
    <cellStyle name="Обычный 9 4 9 4 2" xfId="53449"/>
    <cellStyle name="Обычный 9 4 9 5" xfId="53450"/>
    <cellStyle name="Обычный 9 4 9 6" xfId="53451"/>
    <cellStyle name="Обычный 9 5" xfId="53452"/>
    <cellStyle name="Обычный 9 5 10" xfId="53453"/>
    <cellStyle name="Обычный 9 5 10 2" xfId="53454"/>
    <cellStyle name="Обычный 9 5 10 3" xfId="53455"/>
    <cellStyle name="Обычный 9 5 11" xfId="53456"/>
    <cellStyle name="Обычный 9 5 11 2" xfId="53457"/>
    <cellStyle name="Обычный 9 5 11 3" xfId="53458"/>
    <cellStyle name="Обычный 9 5 12" xfId="53459"/>
    <cellStyle name="Обычный 9 5 12 2" xfId="53460"/>
    <cellStyle name="Обычный 9 5 13" xfId="53461"/>
    <cellStyle name="Обычный 9 5 14" xfId="53462"/>
    <cellStyle name="Обычный 9 5 2" xfId="53463"/>
    <cellStyle name="Обычный 9 5 2 10" xfId="53464"/>
    <cellStyle name="Обычный 9 5 2 10 2" xfId="53465"/>
    <cellStyle name="Обычный 9 5 2 10 3" xfId="53466"/>
    <cellStyle name="Обычный 9 5 2 11" xfId="53467"/>
    <cellStyle name="Обычный 9 5 2 11 2" xfId="53468"/>
    <cellStyle name="Обычный 9 5 2 12" xfId="53469"/>
    <cellStyle name="Обычный 9 5 2 13" xfId="53470"/>
    <cellStyle name="Обычный 9 5 2 2" xfId="53471"/>
    <cellStyle name="Обычный 9 5 2 2 10" xfId="53472"/>
    <cellStyle name="Обычный 9 5 2 2 2" xfId="53473"/>
    <cellStyle name="Обычный 9 5 2 2 2 2" xfId="53474"/>
    <cellStyle name="Обычный 9 5 2 2 2 2 2" xfId="53475"/>
    <cellStyle name="Обычный 9 5 2 2 2 2 2 2" xfId="53476"/>
    <cellStyle name="Обычный 9 5 2 2 2 2 2 2 2" xfId="53477"/>
    <cellStyle name="Обычный 9 5 2 2 2 2 2 2 2 2" xfId="53478"/>
    <cellStyle name="Обычный 9 5 2 2 2 2 2 2 2 3" xfId="53479"/>
    <cellStyle name="Обычный 9 5 2 2 2 2 2 2 3" xfId="53480"/>
    <cellStyle name="Обычный 9 5 2 2 2 2 2 2 3 2" xfId="53481"/>
    <cellStyle name="Обычный 9 5 2 2 2 2 2 2 3 3" xfId="53482"/>
    <cellStyle name="Обычный 9 5 2 2 2 2 2 2 4" xfId="53483"/>
    <cellStyle name="Обычный 9 5 2 2 2 2 2 2 4 2" xfId="53484"/>
    <cellStyle name="Обычный 9 5 2 2 2 2 2 2 5" xfId="53485"/>
    <cellStyle name="Обычный 9 5 2 2 2 2 2 2 6" xfId="53486"/>
    <cellStyle name="Обычный 9 5 2 2 2 2 2 3" xfId="53487"/>
    <cellStyle name="Обычный 9 5 2 2 2 2 2 3 2" xfId="53488"/>
    <cellStyle name="Обычный 9 5 2 2 2 2 2 3 3" xfId="53489"/>
    <cellStyle name="Обычный 9 5 2 2 2 2 2 4" xfId="53490"/>
    <cellStyle name="Обычный 9 5 2 2 2 2 2 4 2" xfId="53491"/>
    <cellStyle name="Обычный 9 5 2 2 2 2 2 4 3" xfId="53492"/>
    <cellStyle name="Обычный 9 5 2 2 2 2 2 5" xfId="53493"/>
    <cellStyle name="Обычный 9 5 2 2 2 2 2 5 2" xfId="53494"/>
    <cellStyle name="Обычный 9 5 2 2 2 2 2 6" xfId="53495"/>
    <cellStyle name="Обычный 9 5 2 2 2 2 2 7" xfId="53496"/>
    <cellStyle name="Обычный 9 5 2 2 2 2 3" xfId="53497"/>
    <cellStyle name="Обычный 9 5 2 2 2 2 3 2" xfId="53498"/>
    <cellStyle name="Обычный 9 5 2 2 2 2 3 2 2" xfId="53499"/>
    <cellStyle name="Обычный 9 5 2 2 2 2 3 2 3" xfId="53500"/>
    <cellStyle name="Обычный 9 5 2 2 2 2 3 3" xfId="53501"/>
    <cellStyle name="Обычный 9 5 2 2 2 2 3 3 2" xfId="53502"/>
    <cellStyle name="Обычный 9 5 2 2 2 2 3 3 3" xfId="53503"/>
    <cellStyle name="Обычный 9 5 2 2 2 2 3 4" xfId="53504"/>
    <cellStyle name="Обычный 9 5 2 2 2 2 3 4 2" xfId="53505"/>
    <cellStyle name="Обычный 9 5 2 2 2 2 3 5" xfId="53506"/>
    <cellStyle name="Обычный 9 5 2 2 2 2 3 6" xfId="53507"/>
    <cellStyle name="Обычный 9 5 2 2 2 2 4" xfId="53508"/>
    <cellStyle name="Обычный 9 5 2 2 2 2 4 2" xfId="53509"/>
    <cellStyle name="Обычный 9 5 2 2 2 2 4 3" xfId="53510"/>
    <cellStyle name="Обычный 9 5 2 2 2 2 5" xfId="53511"/>
    <cellStyle name="Обычный 9 5 2 2 2 2 5 2" xfId="53512"/>
    <cellStyle name="Обычный 9 5 2 2 2 2 5 3" xfId="53513"/>
    <cellStyle name="Обычный 9 5 2 2 2 2 6" xfId="53514"/>
    <cellStyle name="Обычный 9 5 2 2 2 2 6 2" xfId="53515"/>
    <cellStyle name="Обычный 9 5 2 2 2 2 7" xfId="53516"/>
    <cellStyle name="Обычный 9 5 2 2 2 2 8" xfId="53517"/>
    <cellStyle name="Обычный 9 5 2 2 2 3" xfId="53518"/>
    <cellStyle name="Обычный 9 5 2 2 2 3 2" xfId="53519"/>
    <cellStyle name="Обычный 9 5 2 2 2 3 2 2" xfId="53520"/>
    <cellStyle name="Обычный 9 5 2 2 2 3 2 2 2" xfId="53521"/>
    <cellStyle name="Обычный 9 5 2 2 2 3 2 2 3" xfId="53522"/>
    <cellStyle name="Обычный 9 5 2 2 2 3 2 3" xfId="53523"/>
    <cellStyle name="Обычный 9 5 2 2 2 3 2 3 2" xfId="53524"/>
    <cellStyle name="Обычный 9 5 2 2 2 3 2 3 3" xfId="53525"/>
    <cellStyle name="Обычный 9 5 2 2 2 3 2 4" xfId="53526"/>
    <cellStyle name="Обычный 9 5 2 2 2 3 2 4 2" xfId="53527"/>
    <cellStyle name="Обычный 9 5 2 2 2 3 2 5" xfId="53528"/>
    <cellStyle name="Обычный 9 5 2 2 2 3 2 6" xfId="53529"/>
    <cellStyle name="Обычный 9 5 2 2 2 3 3" xfId="53530"/>
    <cellStyle name="Обычный 9 5 2 2 2 3 3 2" xfId="53531"/>
    <cellStyle name="Обычный 9 5 2 2 2 3 3 3" xfId="53532"/>
    <cellStyle name="Обычный 9 5 2 2 2 3 4" xfId="53533"/>
    <cellStyle name="Обычный 9 5 2 2 2 3 4 2" xfId="53534"/>
    <cellStyle name="Обычный 9 5 2 2 2 3 4 3" xfId="53535"/>
    <cellStyle name="Обычный 9 5 2 2 2 3 5" xfId="53536"/>
    <cellStyle name="Обычный 9 5 2 2 2 3 5 2" xfId="53537"/>
    <cellStyle name="Обычный 9 5 2 2 2 3 6" xfId="53538"/>
    <cellStyle name="Обычный 9 5 2 2 2 3 7" xfId="53539"/>
    <cellStyle name="Обычный 9 5 2 2 2 4" xfId="53540"/>
    <cellStyle name="Обычный 9 5 2 2 2 4 2" xfId="53541"/>
    <cellStyle name="Обычный 9 5 2 2 2 4 2 2" xfId="53542"/>
    <cellStyle name="Обычный 9 5 2 2 2 4 2 3" xfId="53543"/>
    <cellStyle name="Обычный 9 5 2 2 2 4 3" xfId="53544"/>
    <cellStyle name="Обычный 9 5 2 2 2 4 3 2" xfId="53545"/>
    <cellStyle name="Обычный 9 5 2 2 2 4 3 3" xfId="53546"/>
    <cellStyle name="Обычный 9 5 2 2 2 4 4" xfId="53547"/>
    <cellStyle name="Обычный 9 5 2 2 2 4 4 2" xfId="53548"/>
    <cellStyle name="Обычный 9 5 2 2 2 4 5" xfId="53549"/>
    <cellStyle name="Обычный 9 5 2 2 2 4 6" xfId="53550"/>
    <cellStyle name="Обычный 9 5 2 2 2 5" xfId="53551"/>
    <cellStyle name="Обычный 9 5 2 2 2 5 2" xfId="53552"/>
    <cellStyle name="Обычный 9 5 2 2 2 5 3" xfId="53553"/>
    <cellStyle name="Обычный 9 5 2 2 2 6" xfId="53554"/>
    <cellStyle name="Обычный 9 5 2 2 2 6 2" xfId="53555"/>
    <cellStyle name="Обычный 9 5 2 2 2 6 3" xfId="53556"/>
    <cellStyle name="Обычный 9 5 2 2 2 7" xfId="53557"/>
    <cellStyle name="Обычный 9 5 2 2 2 7 2" xfId="53558"/>
    <cellStyle name="Обычный 9 5 2 2 2 8" xfId="53559"/>
    <cellStyle name="Обычный 9 5 2 2 2 9" xfId="53560"/>
    <cellStyle name="Обычный 9 5 2 2 3" xfId="53561"/>
    <cellStyle name="Обычный 9 5 2 2 3 2" xfId="53562"/>
    <cellStyle name="Обычный 9 5 2 2 3 2 2" xfId="53563"/>
    <cellStyle name="Обычный 9 5 2 2 3 2 2 2" xfId="53564"/>
    <cellStyle name="Обычный 9 5 2 2 3 2 2 2 2" xfId="53565"/>
    <cellStyle name="Обычный 9 5 2 2 3 2 2 2 3" xfId="53566"/>
    <cellStyle name="Обычный 9 5 2 2 3 2 2 3" xfId="53567"/>
    <cellStyle name="Обычный 9 5 2 2 3 2 2 3 2" xfId="53568"/>
    <cellStyle name="Обычный 9 5 2 2 3 2 2 3 3" xfId="53569"/>
    <cellStyle name="Обычный 9 5 2 2 3 2 2 4" xfId="53570"/>
    <cellStyle name="Обычный 9 5 2 2 3 2 2 4 2" xfId="53571"/>
    <cellStyle name="Обычный 9 5 2 2 3 2 2 5" xfId="53572"/>
    <cellStyle name="Обычный 9 5 2 2 3 2 2 6" xfId="53573"/>
    <cellStyle name="Обычный 9 5 2 2 3 2 3" xfId="53574"/>
    <cellStyle name="Обычный 9 5 2 2 3 2 3 2" xfId="53575"/>
    <cellStyle name="Обычный 9 5 2 2 3 2 3 3" xfId="53576"/>
    <cellStyle name="Обычный 9 5 2 2 3 2 4" xfId="53577"/>
    <cellStyle name="Обычный 9 5 2 2 3 2 4 2" xfId="53578"/>
    <cellStyle name="Обычный 9 5 2 2 3 2 4 3" xfId="53579"/>
    <cellStyle name="Обычный 9 5 2 2 3 2 5" xfId="53580"/>
    <cellStyle name="Обычный 9 5 2 2 3 2 5 2" xfId="53581"/>
    <cellStyle name="Обычный 9 5 2 2 3 2 6" xfId="53582"/>
    <cellStyle name="Обычный 9 5 2 2 3 2 7" xfId="53583"/>
    <cellStyle name="Обычный 9 5 2 2 3 3" xfId="53584"/>
    <cellStyle name="Обычный 9 5 2 2 3 3 2" xfId="53585"/>
    <cellStyle name="Обычный 9 5 2 2 3 3 2 2" xfId="53586"/>
    <cellStyle name="Обычный 9 5 2 2 3 3 2 3" xfId="53587"/>
    <cellStyle name="Обычный 9 5 2 2 3 3 3" xfId="53588"/>
    <cellStyle name="Обычный 9 5 2 2 3 3 3 2" xfId="53589"/>
    <cellStyle name="Обычный 9 5 2 2 3 3 3 3" xfId="53590"/>
    <cellStyle name="Обычный 9 5 2 2 3 3 4" xfId="53591"/>
    <cellStyle name="Обычный 9 5 2 2 3 3 4 2" xfId="53592"/>
    <cellStyle name="Обычный 9 5 2 2 3 3 5" xfId="53593"/>
    <cellStyle name="Обычный 9 5 2 2 3 3 6" xfId="53594"/>
    <cellStyle name="Обычный 9 5 2 2 3 4" xfId="53595"/>
    <cellStyle name="Обычный 9 5 2 2 3 4 2" xfId="53596"/>
    <cellStyle name="Обычный 9 5 2 2 3 4 3" xfId="53597"/>
    <cellStyle name="Обычный 9 5 2 2 3 5" xfId="53598"/>
    <cellStyle name="Обычный 9 5 2 2 3 5 2" xfId="53599"/>
    <cellStyle name="Обычный 9 5 2 2 3 5 3" xfId="53600"/>
    <cellStyle name="Обычный 9 5 2 2 3 6" xfId="53601"/>
    <cellStyle name="Обычный 9 5 2 2 3 6 2" xfId="53602"/>
    <cellStyle name="Обычный 9 5 2 2 3 7" xfId="53603"/>
    <cellStyle name="Обычный 9 5 2 2 3 8" xfId="53604"/>
    <cellStyle name="Обычный 9 5 2 2 4" xfId="53605"/>
    <cellStyle name="Обычный 9 5 2 2 4 2" xfId="53606"/>
    <cellStyle name="Обычный 9 5 2 2 4 2 2" xfId="53607"/>
    <cellStyle name="Обычный 9 5 2 2 4 2 2 2" xfId="53608"/>
    <cellStyle name="Обычный 9 5 2 2 4 2 2 3" xfId="53609"/>
    <cellStyle name="Обычный 9 5 2 2 4 2 3" xfId="53610"/>
    <cellStyle name="Обычный 9 5 2 2 4 2 3 2" xfId="53611"/>
    <cellStyle name="Обычный 9 5 2 2 4 2 3 3" xfId="53612"/>
    <cellStyle name="Обычный 9 5 2 2 4 2 4" xfId="53613"/>
    <cellStyle name="Обычный 9 5 2 2 4 2 4 2" xfId="53614"/>
    <cellStyle name="Обычный 9 5 2 2 4 2 5" xfId="53615"/>
    <cellStyle name="Обычный 9 5 2 2 4 2 6" xfId="53616"/>
    <cellStyle name="Обычный 9 5 2 2 4 3" xfId="53617"/>
    <cellStyle name="Обычный 9 5 2 2 4 3 2" xfId="53618"/>
    <cellStyle name="Обычный 9 5 2 2 4 3 3" xfId="53619"/>
    <cellStyle name="Обычный 9 5 2 2 4 4" xfId="53620"/>
    <cellStyle name="Обычный 9 5 2 2 4 4 2" xfId="53621"/>
    <cellStyle name="Обычный 9 5 2 2 4 4 3" xfId="53622"/>
    <cellStyle name="Обычный 9 5 2 2 4 5" xfId="53623"/>
    <cellStyle name="Обычный 9 5 2 2 4 5 2" xfId="53624"/>
    <cellStyle name="Обычный 9 5 2 2 4 6" xfId="53625"/>
    <cellStyle name="Обычный 9 5 2 2 4 7" xfId="53626"/>
    <cellStyle name="Обычный 9 5 2 2 5" xfId="53627"/>
    <cellStyle name="Обычный 9 5 2 2 5 2" xfId="53628"/>
    <cellStyle name="Обычный 9 5 2 2 5 2 2" xfId="53629"/>
    <cellStyle name="Обычный 9 5 2 2 5 2 3" xfId="53630"/>
    <cellStyle name="Обычный 9 5 2 2 5 3" xfId="53631"/>
    <cellStyle name="Обычный 9 5 2 2 5 3 2" xfId="53632"/>
    <cellStyle name="Обычный 9 5 2 2 5 3 3" xfId="53633"/>
    <cellStyle name="Обычный 9 5 2 2 5 4" xfId="53634"/>
    <cellStyle name="Обычный 9 5 2 2 5 4 2" xfId="53635"/>
    <cellStyle name="Обычный 9 5 2 2 5 5" xfId="53636"/>
    <cellStyle name="Обычный 9 5 2 2 5 6" xfId="53637"/>
    <cellStyle name="Обычный 9 5 2 2 6" xfId="53638"/>
    <cellStyle name="Обычный 9 5 2 2 6 2" xfId="53639"/>
    <cellStyle name="Обычный 9 5 2 2 6 3" xfId="53640"/>
    <cellStyle name="Обычный 9 5 2 2 7" xfId="53641"/>
    <cellStyle name="Обычный 9 5 2 2 7 2" xfId="53642"/>
    <cellStyle name="Обычный 9 5 2 2 7 3" xfId="53643"/>
    <cellStyle name="Обычный 9 5 2 2 8" xfId="53644"/>
    <cellStyle name="Обычный 9 5 2 2 8 2" xfId="53645"/>
    <cellStyle name="Обычный 9 5 2 2 9" xfId="53646"/>
    <cellStyle name="Обычный 9 5 2 3" xfId="53647"/>
    <cellStyle name="Обычный 9 5 2 3 10" xfId="53648"/>
    <cellStyle name="Обычный 9 5 2 3 2" xfId="53649"/>
    <cellStyle name="Обычный 9 5 2 3 2 2" xfId="53650"/>
    <cellStyle name="Обычный 9 5 2 3 2 2 2" xfId="53651"/>
    <cellStyle name="Обычный 9 5 2 3 2 2 2 2" xfId="53652"/>
    <cellStyle name="Обычный 9 5 2 3 2 2 2 2 2" xfId="53653"/>
    <cellStyle name="Обычный 9 5 2 3 2 2 2 2 2 2" xfId="53654"/>
    <cellStyle name="Обычный 9 5 2 3 2 2 2 2 2 3" xfId="53655"/>
    <cellStyle name="Обычный 9 5 2 3 2 2 2 2 3" xfId="53656"/>
    <cellStyle name="Обычный 9 5 2 3 2 2 2 2 3 2" xfId="53657"/>
    <cellStyle name="Обычный 9 5 2 3 2 2 2 2 3 3" xfId="53658"/>
    <cellStyle name="Обычный 9 5 2 3 2 2 2 2 4" xfId="53659"/>
    <cellStyle name="Обычный 9 5 2 3 2 2 2 2 4 2" xfId="53660"/>
    <cellStyle name="Обычный 9 5 2 3 2 2 2 2 5" xfId="53661"/>
    <cellStyle name="Обычный 9 5 2 3 2 2 2 2 6" xfId="53662"/>
    <cellStyle name="Обычный 9 5 2 3 2 2 2 3" xfId="53663"/>
    <cellStyle name="Обычный 9 5 2 3 2 2 2 3 2" xfId="53664"/>
    <cellStyle name="Обычный 9 5 2 3 2 2 2 3 3" xfId="53665"/>
    <cellStyle name="Обычный 9 5 2 3 2 2 2 4" xfId="53666"/>
    <cellStyle name="Обычный 9 5 2 3 2 2 2 4 2" xfId="53667"/>
    <cellStyle name="Обычный 9 5 2 3 2 2 2 4 3" xfId="53668"/>
    <cellStyle name="Обычный 9 5 2 3 2 2 2 5" xfId="53669"/>
    <cellStyle name="Обычный 9 5 2 3 2 2 2 5 2" xfId="53670"/>
    <cellStyle name="Обычный 9 5 2 3 2 2 2 6" xfId="53671"/>
    <cellStyle name="Обычный 9 5 2 3 2 2 2 7" xfId="53672"/>
    <cellStyle name="Обычный 9 5 2 3 2 2 3" xfId="53673"/>
    <cellStyle name="Обычный 9 5 2 3 2 2 3 2" xfId="53674"/>
    <cellStyle name="Обычный 9 5 2 3 2 2 3 2 2" xfId="53675"/>
    <cellStyle name="Обычный 9 5 2 3 2 2 3 2 3" xfId="53676"/>
    <cellStyle name="Обычный 9 5 2 3 2 2 3 3" xfId="53677"/>
    <cellStyle name="Обычный 9 5 2 3 2 2 3 3 2" xfId="53678"/>
    <cellStyle name="Обычный 9 5 2 3 2 2 3 3 3" xfId="53679"/>
    <cellStyle name="Обычный 9 5 2 3 2 2 3 4" xfId="53680"/>
    <cellStyle name="Обычный 9 5 2 3 2 2 3 4 2" xfId="53681"/>
    <cellStyle name="Обычный 9 5 2 3 2 2 3 5" xfId="53682"/>
    <cellStyle name="Обычный 9 5 2 3 2 2 3 6" xfId="53683"/>
    <cellStyle name="Обычный 9 5 2 3 2 2 4" xfId="53684"/>
    <cellStyle name="Обычный 9 5 2 3 2 2 4 2" xfId="53685"/>
    <cellStyle name="Обычный 9 5 2 3 2 2 4 3" xfId="53686"/>
    <cellStyle name="Обычный 9 5 2 3 2 2 5" xfId="53687"/>
    <cellStyle name="Обычный 9 5 2 3 2 2 5 2" xfId="53688"/>
    <cellStyle name="Обычный 9 5 2 3 2 2 5 3" xfId="53689"/>
    <cellStyle name="Обычный 9 5 2 3 2 2 6" xfId="53690"/>
    <cellStyle name="Обычный 9 5 2 3 2 2 6 2" xfId="53691"/>
    <cellStyle name="Обычный 9 5 2 3 2 2 7" xfId="53692"/>
    <cellStyle name="Обычный 9 5 2 3 2 2 8" xfId="53693"/>
    <cellStyle name="Обычный 9 5 2 3 2 3" xfId="53694"/>
    <cellStyle name="Обычный 9 5 2 3 2 3 2" xfId="53695"/>
    <cellStyle name="Обычный 9 5 2 3 2 3 2 2" xfId="53696"/>
    <cellStyle name="Обычный 9 5 2 3 2 3 2 2 2" xfId="53697"/>
    <cellStyle name="Обычный 9 5 2 3 2 3 2 2 3" xfId="53698"/>
    <cellStyle name="Обычный 9 5 2 3 2 3 2 3" xfId="53699"/>
    <cellStyle name="Обычный 9 5 2 3 2 3 2 3 2" xfId="53700"/>
    <cellStyle name="Обычный 9 5 2 3 2 3 2 3 3" xfId="53701"/>
    <cellStyle name="Обычный 9 5 2 3 2 3 2 4" xfId="53702"/>
    <cellStyle name="Обычный 9 5 2 3 2 3 2 4 2" xfId="53703"/>
    <cellStyle name="Обычный 9 5 2 3 2 3 2 5" xfId="53704"/>
    <cellStyle name="Обычный 9 5 2 3 2 3 2 6" xfId="53705"/>
    <cellStyle name="Обычный 9 5 2 3 2 3 3" xfId="53706"/>
    <cellStyle name="Обычный 9 5 2 3 2 3 3 2" xfId="53707"/>
    <cellStyle name="Обычный 9 5 2 3 2 3 3 3" xfId="53708"/>
    <cellStyle name="Обычный 9 5 2 3 2 3 4" xfId="53709"/>
    <cellStyle name="Обычный 9 5 2 3 2 3 4 2" xfId="53710"/>
    <cellStyle name="Обычный 9 5 2 3 2 3 4 3" xfId="53711"/>
    <cellStyle name="Обычный 9 5 2 3 2 3 5" xfId="53712"/>
    <cellStyle name="Обычный 9 5 2 3 2 3 5 2" xfId="53713"/>
    <cellStyle name="Обычный 9 5 2 3 2 3 6" xfId="53714"/>
    <cellStyle name="Обычный 9 5 2 3 2 3 7" xfId="53715"/>
    <cellStyle name="Обычный 9 5 2 3 2 4" xfId="53716"/>
    <cellStyle name="Обычный 9 5 2 3 2 4 2" xfId="53717"/>
    <cellStyle name="Обычный 9 5 2 3 2 4 2 2" xfId="53718"/>
    <cellStyle name="Обычный 9 5 2 3 2 4 2 3" xfId="53719"/>
    <cellStyle name="Обычный 9 5 2 3 2 4 3" xfId="53720"/>
    <cellStyle name="Обычный 9 5 2 3 2 4 3 2" xfId="53721"/>
    <cellStyle name="Обычный 9 5 2 3 2 4 3 3" xfId="53722"/>
    <cellStyle name="Обычный 9 5 2 3 2 4 4" xfId="53723"/>
    <cellStyle name="Обычный 9 5 2 3 2 4 4 2" xfId="53724"/>
    <cellStyle name="Обычный 9 5 2 3 2 4 5" xfId="53725"/>
    <cellStyle name="Обычный 9 5 2 3 2 4 6" xfId="53726"/>
    <cellStyle name="Обычный 9 5 2 3 2 5" xfId="53727"/>
    <cellStyle name="Обычный 9 5 2 3 2 5 2" xfId="53728"/>
    <cellStyle name="Обычный 9 5 2 3 2 5 3" xfId="53729"/>
    <cellStyle name="Обычный 9 5 2 3 2 6" xfId="53730"/>
    <cellStyle name="Обычный 9 5 2 3 2 6 2" xfId="53731"/>
    <cellStyle name="Обычный 9 5 2 3 2 6 3" xfId="53732"/>
    <cellStyle name="Обычный 9 5 2 3 2 7" xfId="53733"/>
    <cellStyle name="Обычный 9 5 2 3 2 7 2" xfId="53734"/>
    <cellStyle name="Обычный 9 5 2 3 2 8" xfId="53735"/>
    <cellStyle name="Обычный 9 5 2 3 2 9" xfId="53736"/>
    <cellStyle name="Обычный 9 5 2 3 3" xfId="53737"/>
    <cellStyle name="Обычный 9 5 2 3 3 2" xfId="53738"/>
    <cellStyle name="Обычный 9 5 2 3 3 2 2" xfId="53739"/>
    <cellStyle name="Обычный 9 5 2 3 3 2 2 2" xfId="53740"/>
    <cellStyle name="Обычный 9 5 2 3 3 2 2 2 2" xfId="53741"/>
    <cellStyle name="Обычный 9 5 2 3 3 2 2 2 3" xfId="53742"/>
    <cellStyle name="Обычный 9 5 2 3 3 2 2 3" xfId="53743"/>
    <cellStyle name="Обычный 9 5 2 3 3 2 2 3 2" xfId="53744"/>
    <cellStyle name="Обычный 9 5 2 3 3 2 2 3 3" xfId="53745"/>
    <cellStyle name="Обычный 9 5 2 3 3 2 2 4" xfId="53746"/>
    <cellStyle name="Обычный 9 5 2 3 3 2 2 4 2" xfId="53747"/>
    <cellStyle name="Обычный 9 5 2 3 3 2 2 5" xfId="53748"/>
    <cellStyle name="Обычный 9 5 2 3 3 2 2 6" xfId="53749"/>
    <cellStyle name="Обычный 9 5 2 3 3 2 3" xfId="53750"/>
    <cellStyle name="Обычный 9 5 2 3 3 2 3 2" xfId="53751"/>
    <cellStyle name="Обычный 9 5 2 3 3 2 3 3" xfId="53752"/>
    <cellStyle name="Обычный 9 5 2 3 3 2 4" xfId="53753"/>
    <cellStyle name="Обычный 9 5 2 3 3 2 4 2" xfId="53754"/>
    <cellStyle name="Обычный 9 5 2 3 3 2 4 3" xfId="53755"/>
    <cellStyle name="Обычный 9 5 2 3 3 2 5" xfId="53756"/>
    <cellStyle name="Обычный 9 5 2 3 3 2 5 2" xfId="53757"/>
    <cellStyle name="Обычный 9 5 2 3 3 2 6" xfId="53758"/>
    <cellStyle name="Обычный 9 5 2 3 3 2 7" xfId="53759"/>
    <cellStyle name="Обычный 9 5 2 3 3 3" xfId="53760"/>
    <cellStyle name="Обычный 9 5 2 3 3 3 2" xfId="53761"/>
    <cellStyle name="Обычный 9 5 2 3 3 3 2 2" xfId="53762"/>
    <cellStyle name="Обычный 9 5 2 3 3 3 2 3" xfId="53763"/>
    <cellStyle name="Обычный 9 5 2 3 3 3 3" xfId="53764"/>
    <cellStyle name="Обычный 9 5 2 3 3 3 3 2" xfId="53765"/>
    <cellStyle name="Обычный 9 5 2 3 3 3 3 3" xfId="53766"/>
    <cellStyle name="Обычный 9 5 2 3 3 3 4" xfId="53767"/>
    <cellStyle name="Обычный 9 5 2 3 3 3 4 2" xfId="53768"/>
    <cellStyle name="Обычный 9 5 2 3 3 3 5" xfId="53769"/>
    <cellStyle name="Обычный 9 5 2 3 3 3 6" xfId="53770"/>
    <cellStyle name="Обычный 9 5 2 3 3 4" xfId="53771"/>
    <cellStyle name="Обычный 9 5 2 3 3 4 2" xfId="53772"/>
    <cellStyle name="Обычный 9 5 2 3 3 4 3" xfId="53773"/>
    <cellStyle name="Обычный 9 5 2 3 3 5" xfId="53774"/>
    <cellStyle name="Обычный 9 5 2 3 3 5 2" xfId="53775"/>
    <cellStyle name="Обычный 9 5 2 3 3 5 3" xfId="53776"/>
    <cellStyle name="Обычный 9 5 2 3 3 6" xfId="53777"/>
    <cellStyle name="Обычный 9 5 2 3 3 6 2" xfId="53778"/>
    <cellStyle name="Обычный 9 5 2 3 3 7" xfId="53779"/>
    <cellStyle name="Обычный 9 5 2 3 3 8" xfId="53780"/>
    <cellStyle name="Обычный 9 5 2 3 4" xfId="53781"/>
    <cellStyle name="Обычный 9 5 2 3 4 2" xfId="53782"/>
    <cellStyle name="Обычный 9 5 2 3 4 2 2" xfId="53783"/>
    <cellStyle name="Обычный 9 5 2 3 4 2 2 2" xfId="53784"/>
    <cellStyle name="Обычный 9 5 2 3 4 2 2 3" xfId="53785"/>
    <cellStyle name="Обычный 9 5 2 3 4 2 3" xfId="53786"/>
    <cellStyle name="Обычный 9 5 2 3 4 2 3 2" xfId="53787"/>
    <cellStyle name="Обычный 9 5 2 3 4 2 3 3" xfId="53788"/>
    <cellStyle name="Обычный 9 5 2 3 4 2 4" xfId="53789"/>
    <cellStyle name="Обычный 9 5 2 3 4 2 4 2" xfId="53790"/>
    <cellStyle name="Обычный 9 5 2 3 4 2 5" xfId="53791"/>
    <cellStyle name="Обычный 9 5 2 3 4 2 6" xfId="53792"/>
    <cellStyle name="Обычный 9 5 2 3 4 3" xfId="53793"/>
    <cellStyle name="Обычный 9 5 2 3 4 3 2" xfId="53794"/>
    <cellStyle name="Обычный 9 5 2 3 4 3 3" xfId="53795"/>
    <cellStyle name="Обычный 9 5 2 3 4 4" xfId="53796"/>
    <cellStyle name="Обычный 9 5 2 3 4 4 2" xfId="53797"/>
    <cellStyle name="Обычный 9 5 2 3 4 4 3" xfId="53798"/>
    <cellStyle name="Обычный 9 5 2 3 4 5" xfId="53799"/>
    <cellStyle name="Обычный 9 5 2 3 4 5 2" xfId="53800"/>
    <cellStyle name="Обычный 9 5 2 3 4 6" xfId="53801"/>
    <cellStyle name="Обычный 9 5 2 3 4 7" xfId="53802"/>
    <cellStyle name="Обычный 9 5 2 3 5" xfId="53803"/>
    <cellStyle name="Обычный 9 5 2 3 5 2" xfId="53804"/>
    <cellStyle name="Обычный 9 5 2 3 5 2 2" xfId="53805"/>
    <cellStyle name="Обычный 9 5 2 3 5 2 3" xfId="53806"/>
    <cellStyle name="Обычный 9 5 2 3 5 3" xfId="53807"/>
    <cellStyle name="Обычный 9 5 2 3 5 3 2" xfId="53808"/>
    <cellStyle name="Обычный 9 5 2 3 5 3 3" xfId="53809"/>
    <cellStyle name="Обычный 9 5 2 3 5 4" xfId="53810"/>
    <cellStyle name="Обычный 9 5 2 3 5 4 2" xfId="53811"/>
    <cellStyle name="Обычный 9 5 2 3 5 5" xfId="53812"/>
    <cellStyle name="Обычный 9 5 2 3 5 6" xfId="53813"/>
    <cellStyle name="Обычный 9 5 2 3 6" xfId="53814"/>
    <cellStyle name="Обычный 9 5 2 3 6 2" xfId="53815"/>
    <cellStyle name="Обычный 9 5 2 3 6 3" xfId="53816"/>
    <cellStyle name="Обычный 9 5 2 3 7" xfId="53817"/>
    <cellStyle name="Обычный 9 5 2 3 7 2" xfId="53818"/>
    <cellStyle name="Обычный 9 5 2 3 7 3" xfId="53819"/>
    <cellStyle name="Обычный 9 5 2 3 8" xfId="53820"/>
    <cellStyle name="Обычный 9 5 2 3 8 2" xfId="53821"/>
    <cellStyle name="Обычный 9 5 2 3 9" xfId="53822"/>
    <cellStyle name="Обычный 9 5 2 4" xfId="53823"/>
    <cellStyle name="Обычный 9 5 2 4 10" xfId="53824"/>
    <cellStyle name="Обычный 9 5 2 4 2" xfId="53825"/>
    <cellStyle name="Обычный 9 5 2 4 2 2" xfId="53826"/>
    <cellStyle name="Обычный 9 5 2 4 2 2 2" xfId="53827"/>
    <cellStyle name="Обычный 9 5 2 4 2 2 2 2" xfId="53828"/>
    <cellStyle name="Обычный 9 5 2 4 2 2 2 2 2" xfId="53829"/>
    <cellStyle name="Обычный 9 5 2 4 2 2 2 2 2 2" xfId="53830"/>
    <cellStyle name="Обычный 9 5 2 4 2 2 2 2 2 3" xfId="53831"/>
    <cellStyle name="Обычный 9 5 2 4 2 2 2 2 3" xfId="53832"/>
    <cellStyle name="Обычный 9 5 2 4 2 2 2 2 3 2" xfId="53833"/>
    <cellStyle name="Обычный 9 5 2 4 2 2 2 2 3 3" xfId="53834"/>
    <cellStyle name="Обычный 9 5 2 4 2 2 2 2 4" xfId="53835"/>
    <cellStyle name="Обычный 9 5 2 4 2 2 2 2 4 2" xfId="53836"/>
    <cellStyle name="Обычный 9 5 2 4 2 2 2 2 5" xfId="53837"/>
    <cellStyle name="Обычный 9 5 2 4 2 2 2 2 6" xfId="53838"/>
    <cellStyle name="Обычный 9 5 2 4 2 2 2 3" xfId="53839"/>
    <cellStyle name="Обычный 9 5 2 4 2 2 2 3 2" xfId="53840"/>
    <cellStyle name="Обычный 9 5 2 4 2 2 2 3 3" xfId="53841"/>
    <cellStyle name="Обычный 9 5 2 4 2 2 2 4" xfId="53842"/>
    <cellStyle name="Обычный 9 5 2 4 2 2 2 4 2" xfId="53843"/>
    <cellStyle name="Обычный 9 5 2 4 2 2 2 4 3" xfId="53844"/>
    <cellStyle name="Обычный 9 5 2 4 2 2 2 5" xfId="53845"/>
    <cellStyle name="Обычный 9 5 2 4 2 2 2 5 2" xfId="53846"/>
    <cellStyle name="Обычный 9 5 2 4 2 2 2 6" xfId="53847"/>
    <cellStyle name="Обычный 9 5 2 4 2 2 2 7" xfId="53848"/>
    <cellStyle name="Обычный 9 5 2 4 2 2 3" xfId="53849"/>
    <cellStyle name="Обычный 9 5 2 4 2 2 3 2" xfId="53850"/>
    <cellStyle name="Обычный 9 5 2 4 2 2 3 2 2" xfId="53851"/>
    <cellStyle name="Обычный 9 5 2 4 2 2 3 2 3" xfId="53852"/>
    <cellStyle name="Обычный 9 5 2 4 2 2 3 3" xfId="53853"/>
    <cellStyle name="Обычный 9 5 2 4 2 2 3 3 2" xfId="53854"/>
    <cellStyle name="Обычный 9 5 2 4 2 2 3 3 3" xfId="53855"/>
    <cellStyle name="Обычный 9 5 2 4 2 2 3 4" xfId="53856"/>
    <cellStyle name="Обычный 9 5 2 4 2 2 3 4 2" xfId="53857"/>
    <cellStyle name="Обычный 9 5 2 4 2 2 3 5" xfId="53858"/>
    <cellStyle name="Обычный 9 5 2 4 2 2 3 6" xfId="53859"/>
    <cellStyle name="Обычный 9 5 2 4 2 2 4" xfId="53860"/>
    <cellStyle name="Обычный 9 5 2 4 2 2 4 2" xfId="53861"/>
    <cellStyle name="Обычный 9 5 2 4 2 2 4 3" xfId="53862"/>
    <cellStyle name="Обычный 9 5 2 4 2 2 5" xfId="53863"/>
    <cellStyle name="Обычный 9 5 2 4 2 2 5 2" xfId="53864"/>
    <cellStyle name="Обычный 9 5 2 4 2 2 5 3" xfId="53865"/>
    <cellStyle name="Обычный 9 5 2 4 2 2 6" xfId="53866"/>
    <cellStyle name="Обычный 9 5 2 4 2 2 6 2" xfId="53867"/>
    <cellStyle name="Обычный 9 5 2 4 2 2 7" xfId="53868"/>
    <cellStyle name="Обычный 9 5 2 4 2 2 8" xfId="53869"/>
    <cellStyle name="Обычный 9 5 2 4 2 3" xfId="53870"/>
    <cellStyle name="Обычный 9 5 2 4 2 3 2" xfId="53871"/>
    <cellStyle name="Обычный 9 5 2 4 2 3 2 2" xfId="53872"/>
    <cellStyle name="Обычный 9 5 2 4 2 3 2 2 2" xfId="53873"/>
    <cellStyle name="Обычный 9 5 2 4 2 3 2 2 3" xfId="53874"/>
    <cellStyle name="Обычный 9 5 2 4 2 3 2 3" xfId="53875"/>
    <cellStyle name="Обычный 9 5 2 4 2 3 2 3 2" xfId="53876"/>
    <cellStyle name="Обычный 9 5 2 4 2 3 2 3 3" xfId="53877"/>
    <cellStyle name="Обычный 9 5 2 4 2 3 2 4" xfId="53878"/>
    <cellStyle name="Обычный 9 5 2 4 2 3 2 4 2" xfId="53879"/>
    <cellStyle name="Обычный 9 5 2 4 2 3 2 5" xfId="53880"/>
    <cellStyle name="Обычный 9 5 2 4 2 3 2 6" xfId="53881"/>
    <cellStyle name="Обычный 9 5 2 4 2 3 3" xfId="53882"/>
    <cellStyle name="Обычный 9 5 2 4 2 3 3 2" xfId="53883"/>
    <cellStyle name="Обычный 9 5 2 4 2 3 3 3" xfId="53884"/>
    <cellStyle name="Обычный 9 5 2 4 2 3 4" xfId="53885"/>
    <cellStyle name="Обычный 9 5 2 4 2 3 4 2" xfId="53886"/>
    <cellStyle name="Обычный 9 5 2 4 2 3 4 3" xfId="53887"/>
    <cellStyle name="Обычный 9 5 2 4 2 3 5" xfId="53888"/>
    <cellStyle name="Обычный 9 5 2 4 2 3 5 2" xfId="53889"/>
    <cellStyle name="Обычный 9 5 2 4 2 3 6" xfId="53890"/>
    <cellStyle name="Обычный 9 5 2 4 2 3 7" xfId="53891"/>
    <cellStyle name="Обычный 9 5 2 4 2 4" xfId="53892"/>
    <cellStyle name="Обычный 9 5 2 4 2 4 2" xfId="53893"/>
    <cellStyle name="Обычный 9 5 2 4 2 4 2 2" xfId="53894"/>
    <cellStyle name="Обычный 9 5 2 4 2 4 2 3" xfId="53895"/>
    <cellStyle name="Обычный 9 5 2 4 2 4 3" xfId="53896"/>
    <cellStyle name="Обычный 9 5 2 4 2 4 3 2" xfId="53897"/>
    <cellStyle name="Обычный 9 5 2 4 2 4 3 3" xfId="53898"/>
    <cellStyle name="Обычный 9 5 2 4 2 4 4" xfId="53899"/>
    <cellStyle name="Обычный 9 5 2 4 2 4 4 2" xfId="53900"/>
    <cellStyle name="Обычный 9 5 2 4 2 4 5" xfId="53901"/>
    <cellStyle name="Обычный 9 5 2 4 2 4 6" xfId="53902"/>
    <cellStyle name="Обычный 9 5 2 4 2 5" xfId="53903"/>
    <cellStyle name="Обычный 9 5 2 4 2 5 2" xfId="53904"/>
    <cellStyle name="Обычный 9 5 2 4 2 5 3" xfId="53905"/>
    <cellStyle name="Обычный 9 5 2 4 2 6" xfId="53906"/>
    <cellStyle name="Обычный 9 5 2 4 2 6 2" xfId="53907"/>
    <cellStyle name="Обычный 9 5 2 4 2 6 3" xfId="53908"/>
    <cellStyle name="Обычный 9 5 2 4 2 7" xfId="53909"/>
    <cellStyle name="Обычный 9 5 2 4 2 7 2" xfId="53910"/>
    <cellStyle name="Обычный 9 5 2 4 2 8" xfId="53911"/>
    <cellStyle name="Обычный 9 5 2 4 2 9" xfId="53912"/>
    <cellStyle name="Обычный 9 5 2 4 3" xfId="53913"/>
    <cellStyle name="Обычный 9 5 2 4 3 2" xfId="53914"/>
    <cellStyle name="Обычный 9 5 2 4 3 2 2" xfId="53915"/>
    <cellStyle name="Обычный 9 5 2 4 3 2 2 2" xfId="53916"/>
    <cellStyle name="Обычный 9 5 2 4 3 2 2 2 2" xfId="53917"/>
    <cellStyle name="Обычный 9 5 2 4 3 2 2 2 3" xfId="53918"/>
    <cellStyle name="Обычный 9 5 2 4 3 2 2 3" xfId="53919"/>
    <cellStyle name="Обычный 9 5 2 4 3 2 2 3 2" xfId="53920"/>
    <cellStyle name="Обычный 9 5 2 4 3 2 2 3 3" xfId="53921"/>
    <cellStyle name="Обычный 9 5 2 4 3 2 2 4" xfId="53922"/>
    <cellStyle name="Обычный 9 5 2 4 3 2 2 4 2" xfId="53923"/>
    <cellStyle name="Обычный 9 5 2 4 3 2 2 5" xfId="53924"/>
    <cellStyle name="Обычный 9 5 2 4 3 2 2 6" xfId="53925"/>
    <cellStyle name="Обычный 9 5 2 4 3 2 3" xfId="53926"/>
    <cellStyle name="Обычный 9 5 2 4 3 2 3 2" xfId="53927"/>
    <cellStyle name="Обычный 9 5 2 4 3 2 3 3" xfId="53928"/>
    <cellStyle name="Обычный 9 5 2 4 3 2 4" xfId="53929"/>
    <cellStyle name="Обычный 9 5 2 4 3 2 4 2" xfId="53930"/>
    <cellStyle name="Обычный 9 5 2 4 3 2 4 3" xfId="53931"/>
    <cellStyle name="Обычный 9 5 2 4 3 2 5" xfId="53932"/>
    <cellStyle name="Обычный 9 5 2 4 3 2 5 2" xfId="53933"/>
    <cellStyle name="Обычный 9 5 2 4 3 2 6" xfId="53934"/>
    <cellStyle name="Обычный 9 5 2 4 3 2 7" xfId="53935"/>
    <cellStyle name="Обычный 9 5 2 4 3 3" xfId="53936"/>
    <cellStyle name="Обычный 9 5 2 4 3 3 2" xfId="53937"/>
    <cellStyle name="Обычный 9 5 2 4 3 3 2 2" xfId="53938"/>
    <cellStyle name="Обычный 9 5 2 4 3 3 2 3" xfId="53939"/>
    <cellStyle name="Обычный 9 5 2 4 3 3 3" xfId="53940"/>
    <cellStyle name="Обычный 9 5 2 4 3 3 3 2" xfId="53941"/>
    <cellStyle name="Обычный 9 5 2 4 3 3 3 3" xfId="53942"/>
    <cellStyle name="Обычный 9 5 2 4 3 3 4" xfId="53943"/>
    <cellStyle name="Обычный 9 5 2 4 3 3 4 2" xfId="53944"/>
    <cellStyle name="Обычный 9 5 2 4 3 3 5" xfId="53945"/>
    <cellStyle name="Обычный 9 5 2 4 3 3 6" xfId="53946"/>
    <cellStyle name="Обычный 9 5 2 4 3 4" xfId="53947"/>
    <cellStyle name="Обычный 9 5 2 4 3 4 2" xfId="53948"/>
    <cellStyle name="Обычный 9 5 2 4 3 4 3" xfId="53949"/>
    <cellStyle name="Обычный 9 5 2 4 3 5" xfId="53950"/>
    <cellStyle name="Обычный 9 5 2 4 3 5 2" xfId="53951"/>
    <cellStyle name="Обычный 9 5 2 4 3 5 3" xfId="53952"/>
    <cellStyle name="Обычный 9 5 2 4 3 6" xfId="53953"/>
    <cellStyle name="Обычный 9 5 2 4 3 6 2" xfId="53954"/>
    <cellStyle name="Обычный 9 5 2 4 3 7" xfId="53955"/>
    <cellStyle name="Обычный 9 5 2 4 3 8" xfId="53956"/>
    <cellStyle name="Обычный 9 5 2 4 4" xfId="53957"/>
    <cellStyle name="Обычный 9 5 2 4 4 2" xfId="53958"/>
    <cellStyle name="Обычный 9 5 2 4 4 2 2" xfId="53959"/>
    <cellStyle name="Обычный 9 5 2 4 4 2 2 2" xfId="53960"/>
    <cellStyle name="Обычный 9 5 2 4 4 2 2 3" xfId="53961"/>
    <cellStyle name="Обычный 9 5 2 4 4 2 3" xfId="53962"/>
    <cellStyle name="Обычный 9 5 2 4 4 2 3 2" xfId="53963"/>
    <cellStyle name="Обычный 9 5 2 4 4 2 3 3" xfId="53964"/>
    <cellStyle name="Обычный 9 5 2 4 4 2 4" xfId="53965"/>
    <cellStyle name="Обычный 9 5 2 4 4 2 4 2" xfId="53966"/>
    <cellStyle name="Обычный 9 5 2 4 4 2 5" xfId="53967"/>
    <cellStyle name="Обычный 9 5 2 4 4 2 6" xfId="53968"/>
    <cellStyle name="Обычный 9 5 2 4 4 3" xfId="53969"/>
    <cellStyle name="Обычный 9 5 2 4 4 3 2" xfId="53970"/>
    <cellStyle name="Обычный 9 5 2 4 4 3 3" xfId="53971"/>
    <cellStyle name="Обычный 9 5 2 4 4 4" xfId="53972"/>
    <cellStyle name="Обычный 9 5 2 4 4 4 2" xfId="53973"/>
    <cellStyle name="Обычный 9 5 2 4 4 4 3" xfId="53974"/>
    <cellStyle name="Обычный 9 5 2 4 4 5" xfId="53975"/>
    <cellStyle name="Обычный 9 5 2 4 4 5 2" xfId="53976"/>
    <cellStyle name="Обычный 9 5 2 4 4 6" xfId="53977"/>
    <cellStyle name="Обычный 9 5 2 4 4 7" xfId="53978"/>
    <cellStyle name="Обычный 9 5 2 4 5" xfId="53979"/>
    <cellStyle name="Обычный 9 5 2 4 5 2" xfId="53980"/>
    <cellStyle name="Обычный 9 5 2 4 5 2 2" xfId="53981"/>
    <cellStyle name="Обычный 9 5 2 4 5 2 3" xfId="53982"/>
    <cellStyle name="Обычный 9 5 2 4 5 3" xfId="53983"/>
    <cellStyle name="Обычный 9 5 2 4 5 3 2" xfId="53984"/>
    <cellStyle name="Обычный 9 5 2 4 5 3 3" xfId="53985"/>
    <cellStyle name="Обычный 9 5 2 4 5 4" xfId="53986"/>
    <cellStyle name="Обычный 9 5 2 4 5 4 2" xfId="53987"/>
    <cellStyle name="Обычный 9 5 2 4 5 5" xfId="53988"/>
    <cellStyle name="Обычный 9 5 2 4 5 6" xfId="53989"/>
    <cellStyle name="Обычный 9 5 2 4 6" xfId="53990"/>
    <cellStyle name="Обычный 9 5 2 4 6 2" xfId="53991"/>
    <cellStyle name="Обычный 9 5 2 4 6 3" xfId="53992"/>
    <cellStyle name="Обычный 9 5 2 4 7" xfId="53993"/>
    <cellStyle name="Обычный 9 5 2 4 7 2" xfId="53994"/>
    <cellStyle name="Обычный 9 5 2 4 7 3" xfId="53995"/>
    <cellStyle name="Обычный 9 5 2 4 8" xfId="53996"/>
    <cellStyle name="Обычный 9 5 2 4 8 2" xfId="53997"/>
    <cellStyle name="Обычный 9 5 2 4 9" xfId="53998"/>
    <cellStyle name="Обычный 9 5 2 5" xfId="53999"/>
    <cellStyle name="Обычный 9 5 2 5 2" xfId="54000"/>
    <cellStyle name="Обычный 9 5 2 5 2 2" xfId="54001"/>
    <cellStyle name="Обычный 9 5 2 5 2 2 2" xfId="54002"/>
    <cellStyle name="Обычный 9 5 2 5 2 2 2 2" xfId="54003"/>
    <cellStyle name="Обычный 9 5 2 5 2 2 2 2 2" xfId="54004"/>
    <cellStyle name="Обычный 9 5 2 5 2 2 2 2 3" xfId="54005"/>
    <cellStyle name="Обычный 9 5 2 5 2 2 2 3" xfId="54006"/>
    <cellStyle name="Обычный 9 5 2 5 2 2 2 3 2" xfId="54007"/>
    <cellStyle name="Обычный 9 5 2 5 2 2 2 3 3" xfId="54008"/>
    <cellStyle name="Обычный 9 5 2 5 2 2 2 4" xfId="54009"/>
    <cellStyle name="Обычный 9 5 2 5 2 2 2 4 2" xfId="54010"/>
    <cellStyle name="Обычный 9 5 2 5 2 2 2 5" xfId="54011"/>
    <cellStyle name="Обычный 9 5 2 5 2 2 2 6" xfId="54012"/>
    <cellStyle name="Обычный 9 5 2 5 2 2 3" xfId="54013"/>
    <cellStyle name="Обычный 9 5 2 5 2 2 3 2" xfId="54014"/>
    <cellStyle name="Обычный 9 5 2 5 2 2 3 3" xfId="54015"/>
    <cellStyle name="Обычный 9 5 2 5 2 2 4" xfId="54016"/>
    <cellStyle name="Обычный 9 5 2 5 2 2 4 2" xfId="54017"/>
    <cellStyle name="Обычный 9 5 2 5 2 2 4 3" xfId="54018"/>
    <cellStyle name="Обычный 9 5 2 5 2 2 5" xfId="54019"/>
    <cellStyle name="Обычный 9 5 2 5 2 2 5 2" xfId="54020"/>
    <cellStyle name="Обычный 9 5 2 5 2 2 6" xfId="54021"/>
    <cellStyle name="Обычный 9 5 2 5 2 2 7" xfId="54022"/>
    <cellStyle name="Обычный 9 5 2 5 2 3" xfId="54023"/>
    <cellStyle name="Обычный 9 5 2 5 2 3 2" xfId="54024"/>
    <cellStyle name="Обычный 9 5 2 5 2 3 2 2" xfId="54025"/>
    <cellStyle name="Обычный 9 5 2 5 2 3 2 3" xfId="54026"/>
    <cellStyle name="Обычный 9 5 2 5 2 3 3" xfId="54027"/>
    <cellStyle name="Обычный 9 5 2 5 2 3 3 2" xfId="54028"/>
    <cellStyle name="Обычный 9 5 2 5 2 3 3 3" xfId="54029"/>
    <cellStyle name="Обычный 9 5 2 5 2 3 4" xfId="54030"/>
    <cellStyle name="Обычный 9 5 2 5 2 3 4 2" xfId="54031"/>
    <cellStyle name="Обычный 9 5 2 5 2 3 5" xfId="54032"/>
    <cellStyle name="Обычный 9 5 2 5 2 3 6" xfId="54033"/>
    <cellStyle name="Обычный 9 5 2 5 2 4" xfId="54034"/>
    <cellStyle name="Обычный 9 5 2 5 2 4 2" xfId="54035"/>
    <cellStyle name="Обычный 9 5 2 5 2 4 3" xfId="54036"/>
    <cellStyle name="Обычный 9 5 2 5 2 5" xfId="54037"/>
    <cellStyle name="Обычный 9 5 2 5 2 5 2" xfId="54038"/>
    <cellStyle name="Обычный 9 5 2 5 2 5 3" xfId="54039"/>
    <cellStyle name="Обычный 9 5 2 5 2 6" xfId="54040"/>
    <cellStyle name="Обычный 9 5 2 5 2 6 2" xfId="54041"/>
    <cellStyle name="Обычный 9 5 2 5 2 7" xfId="54042"/>
    <cellStyle name="Обычный 9 5 2 5 2 8" xfId="54043"/>
    <cellStyle name="Обычный 9 5 2 5 3" xfId="54044"/>
    <cellStyle name="Обычный 9 5 2 5 3 2" xfId="54045"/>
    <cellStyle name="Обычный 9 5 2 5 3 2 2" xfId="54046"/>
    <cellStyle name="Обычный 9 5 2 5 3 2 2 2" xfId="54047"/>
    <cellStyle name="Обычный 9 5 2 5 3 2 2 3" xfId="54048"/>
    <cellStyle name="Обычный 9 5 2 5 3 2 3" xfId="54049"/>
    <cellStyle name="Обычный 9 5 2 5 3 2 3 2" xfId="54050"/>
    <cellStyle name="Обычный 9 5 2 5 3 2 3 3" xfId="54051"/>
    <cellStyle name="Обычный 9 5 2 5 3 2 4" xfId="54052"/>
    <cellStyle name="Обычный 9 5 2 5 3 2 4 2" xfId="54053"/>
    <cellStyle name="Обычный 9 5 2 5 3 2 5" xfId="54054"/>
    <cellStyle name="Обычный 9 5 2 5 3 2 6" xfId="54055"/>
    <cellStyle name="Обычный 9 5 2 5 3 3" xfId="54056"/>
    <cellStyle name="Обычный 9 5 2 5 3 3 2" xfId="54057"/>
    <cellStyle name="Обычный 9 5 2 5 3 3 3" xfId="54058"/>
    <cellStyle name="Обычный 9 5 2 5 3 4" xfId="54059"/>
    <cellStyle name="Обычный 9 5 2 5 3 4 2" xfId="54060"/>
    <cellStyle name="Обычный 9 5 2 5 3 4 3" xfId="54061"/>
    <cellStyle name="Обычный 9 5 2 5 3 5" xfId="54062"/>
    <cellStyle name="Обычный 9 5 2 5 3 5 2" xfId="54063"/>
    <cellStyle name="Обычный 9 5 2 5 3 6" xfId="54064"/>
    <cellStyle name="Обычный 9 5 2 5 3 7" xfId="54065"/>
    <cellStyle name="Обычный 9 5 2 5 4" xfId="54066"/>
    <cellStyle name="Обычный 9 5 2 5 4 2" xfId="54067"/>
    <cellStyle name="Обычный 9 5 2 5 4 2 2" xfId="54068"/>
    <cellStyle name="Обычный 9 5 2 5 4 2 3" xfId="54069"/>
    <cellStyle name="Обычный 9 5 2 5 4 3" xfId="54070"/>
    <cellStyle name="Обычный 9 5 2 5 4 3 2" xfId="54071"/>
    <cellStyle name="Обычный 9 5 2 5 4 3 3" xfId="54072"/>
    <cellStyle name="Обычный 9 5 2 5 4 4" xfId="54073"/>
    <cellStyle name="Обычный 9 5 2 5 4 4 2" xfId="54074"/>
    <cellStyle name="Обычный 9 5 2 5 4 5" xfId="54075"/>
    <cellStyle name="Обычный 9 5 2 5 4 6" xfId="54076"/>
    <cellStyle name="Обычный 9 5 2 5 5" xfId="54077"/>
    <cellStyle name="Обычный 9 5 2 5 5 2" xfId="54078"/>
    <cellStyle name="Обычный 9 5 2 5 5 3" xfId="54079"/>
    <cellStyle name="Обычный 9 5 2 5 6" xfId="54080"/>
    <cellStyle name="Обычный 9 5 2 5 6 2" xfId="54081"/>
    <cellStyle name="Обычный 9 5 2 5 6 3" xfId="54082"/>
    <cellStyle name="Обычный 9 5 2 5 7" xfId="54083"/>
    <cellStyle name="Обычный 9 5 2 5 7 2" xfId="54084"/>
    <cellStyle name="Обычный 9 5 2 5 8" xfId="54085"/>
    <cellStyle name="Обычный 9 5 2 5 9" xfId="54086"/>
    <cellStyle name="Обычный 9 5 2 6" xfId="54087"/>
    <cellStyle name="Обычный 9 5 2 6 2" xfId="54088"/>
    <cellStyle name="Обычный 9 5 2 6 2 2" xfId="54089"/>
    <cellStyle name="Обычный 9 5 2 6 2 2 2" xfId="54090"/>
    <cellStyle name="Обычный 9 5 2 6 2 2 2 2" xfId="54091"/>
    <cellStyle name="Обычный 9 5 2 6 2 2 2 3" xfId="54092"/>
    <cellStyle name="Обычный 9 5 2 6 2 2 3" xfId="54093"/>
    <cellStyle name="Обычный 9 5 2 6 2 2 3 2" xfId="54094"/>
    <cellStyle name="Обычный 9 5 2 6 2 2 3 3" xfId="54095"/>
    <cellStyle name="Обычный 9 5 2 6 2 2 4" xfId="54096"/>
    <cellStyle name="Обычный 9 5 2 6 2 2 4 2" xfId="54097"/>
    <cellStyle name="Обычный 9 5 2 6 2 2 5" xfId="54098"/>
    <cellStyle name="Обычный 9 5 2 6 2 2 6" xfId="54099"/>
    <cellStyle name="Обычный 9 5 2 6 2 3" xfId="54100"/>
    <cellStyle name="Обычный 9 5 2 6 2 3 2" xfId="54101"/>
    <cellStyle name="Обычный 9 5 2 6 2 3 3" xfId="54102"/>
    <cellStyle name="Обычный 9 5 2 6 2 4" xfId="54103"/>
    <cellStyle name="Обычный 9 5 2 6 2 4 2" xfId="54104"/>
    <cellStyle name="Обычный 9 5 2 6 2 4 3" xfId="54105"/>
    <cellStyle name="Обычный 9 5 2 6 2 5" xfId="54106"/>
    <cellStyle name="Обычный 9 5 2 6 2 5 2" xfId="54107"/>
    <cellStyle name="Обычный 9 5 2 6 2 6" xfId="54108"/>
    <cellStyle name="Обычный 9 5 2 6 2 7" xfId="54109"/>
    <cellStyle name="Обычный 9 5 2 6 3" xfId="54110"/>
    <cellStyle name="Обычный 9 5 2 6 3 2" xfId="54111"/>
    <cellStyle name="Обычный 9 5 2 6 3 2 2" xfId="54112"/>
    <cellStyle name="Обычный 9 5 2 6 3 2 3" xfId="54113"/>
    <cellStyle name="Обычный 9 5 2 6 3 3" xfId="54114"/>
    <cellStyle name="Обычный 9 5 2 6 3 3 2" xfId="54115"/>
    <cellStyle name="Обычный 9 5 2 6 3 3 3" xfId="54116"/>
    <cellStyle name="Обычный 9 5 2 6 3 4" xfId="54117"/>
    <cellStyle name="Обычный 9 5 2 6 3 4 2" xfId="54118"/>
    <cellStyle name="Обычный 9 5 2 6 3 5" xfId="54119"/>
    <cellStyle name="Обычный 9 5 2 6 3 6" xfId="54120"/>
    <cellStyle name="Обычный 9 5 2 6 4" xfId="54121"/>
    <cellStyle name="Обычный 9 5 2 6 4 2" xfId="54122"/>
    <cellStyle name="Обычный 9 5 2 6 4 3" xfId="54123"/>
    <cellStyle name="Обычный 9 5 2 6 5" xfId="54124"/>
    <cellStyle name="Обычный 9 5 2 6 5 2" xfId="54125"/>
    <cellStyle name="Обычный 9 5 2 6 5 3" xfId="54126"/>
    <cellStyle name="Обычный 9 5 2 6 6" xfId="54127"/>
    <cellStyle name="Обычный 9 5 2 6 6 2" xfId="54128"/>
    <cellStyle name="Обычный 9 5 2 6 7" xfId="54129"/>
    <cellStyle name="Обычный 9 5 2 6 8" xfId="54130"/>
    <cellStyle name="Обычный 9 5 2 7" xfId="54131"/>
    <cellStyle name="Обычный 9 5 2 7 2" xfId="54132"/>
    <cellStyle name="Обычный 9 5 2 7 2 2" xfId="54133"/>
    <cellStyle name="Обычный 9 5 2 7 2 2 2" xfId="54134"/>
    <cellStyle name="Обычный 9 5 2 7 2 2 3" xfId="54135"/>
    <cellStyle name="Обычный 9 5 2 7 2 3" xfId="54136"/>
    <cellStyle name="Обычный 9 5 2 7 2 3 2" xfId="54137"/>
    <cellStyle name="Обычный 9 5 2 7 2 3 3" xfId="54138"/>
    <cellStyle name="Обычный 9 5 2 7 2 4" xfId="54139"/>
    <cellStyle name="Обычный 9 5 2 7 2 4 2" xfId="54140"/>
    <cellStyle name="Обычный 9 5 2 7 2 5" xfId="54141"/>
    <cellStyle name="Обычный 9 5 2 7 2 6" xfId="54142"/>
    <cellStyle name="Обычный 9 5 2 7 3" xfId="54143"/>
    <cellStyle name="Обычный 9 5 2 7 3 2" xfId="54144"/>
    <cellStyle name="Обычный 9 5 2 7 3 3" xfId="54145"/>
    <cellStyle name="Обычный 9 5 2 7 4" xfId="54146"/>
    <cellStyle name="Обычный 9 5 2 7 4 2" xfId="54147"/>
    <cellStyle name="Обычный 9 5 2 7 4 3" xfId="54148"/>
    <cellStyle name="Обычный 9 5 2 7 5" xfId="54149"/>
    <cellStyle name="Обычный 9 5 2 7 5 2" xfId="54150"/>
    <cellStyle name="Обычный 9 5 2 7 6" xfId="54151"/>
    <cellStyle name="Обычный 9 5 2 7 7" xfId="54152"/>
    <cellStyle name="Обычный 9 5 2 8" xfId="54153"/>
    <cellStyle name="Обычный 9 5 2 8 2" xfId="54154"/>
    <cellStyle name="Обычный 9 5 2 8 2 2" xfId="54155"/>
    <cellStyle name="Обычный 9 5 2 8 2 3" xfId="54156"/>
    <cellStyle name="Обычный 9 5 2 8 3" xfId="54157"/>
    <cellStyle name="Обычный 9 5 2 8 3 2" xfId="54158"/>
    <cellStyle name="Обычный 9 5 2 8 3 3" xfId="54159"/>
    <cellStyle name="Обычный 9 5 2 8 4" xfId="54160"/>
    <cellStyle name="Обычный 9 5 2 8 4 2" xfId="54161"/>
    <cellStyle name="Обычный 9 5 2 8 5" xfId="54162"/>
    <cellStyle name="Обычный 9 5 2 8 6" xfId="54163"/>
    <cellStyle name="Обычный 9 5 2 9" xfId="54164"/>
    <cellStyle name="Обычный 9 5 2 9 2" xfId="54165"/>
    <cellStyle name="Обычный 9 5 2 9 3" xfId="54166"/>
    <cellStyle name="Обычный 9 5 3" xfId="54167"/>
    <cellStyle name="Обычный 9 5 3 10" xfId="54168"/>
    <cellStyle name="Обычный 9 5 3 2" xfId="54169"/>
    <cellStyle name="Обычный 9 5 3 2 2" xfId="54170"/>
    <cellStyle name="Обычный 9 5 3 2 2 2" xfId="54171"/>
    <cellStyle name="Обычный 9 5 3 2 2 2 2" xfId="54172"/>
    <cellStyle name="Обычный 9 5 3 2 2 2 2 2" xfId="54173"/>
    <cellStyle name="Обычный 9 5 3 2 2 2 2 2 2" xfId="54174"/>
    <cellStyle name="Обычный 9 5 3 2 2 2 2 2 3" xfId="54175"/>
    <cellStyle name="Обычный 9 5 3 2 2 2 2 3" xfId="54176"/>
    <cellStyle name="Обычный 9 5 3 2 2 2 2 3 2" xfId="54177"/>
    <cellStyle name="Обычный 9 5 3 2 2 2 2 3 3" xfId="54178"/>
    <cellStyle name="Обычный 9 5 3 2 2 2 2 4" xfId="54179"/>
    <cellStyle name="Обычный 9 5 3 2 2 2 2 4 2" xfId="54180"/>
    <cellStyle name="Обычный 9 5 3 2 2 2 2 5" xfId="54181"/>
    <cellStyle name="Обычный 9 5 3 2 2 2 2 6" xfId="54182"/>
    <cellStyle name="Обычный 9 5 3 2 2 2 3" xfId="54183"/>
    <cellStyle name="Обычный 9 5 3 2 2 2 3 2" xfId="54184"/>
    <cellStyle name="Обычный 9 5 3 2 2 2 3 3" xfId="54185"/>
    <cellStyle name="Обычный 9 5 3 2 2 2 4" xfId="54186"/>
    <cellStyle name="Обычный 9 5 3 2 2 2 4 2" xfId="54187"/>
    <cellStyle name="Обычный 9 5 3 2 2 2 4 3" xfId="54188"/>
    <cellStyle name="Обычный 9 5 3 2 2 2 5" xfId="54189"/>
    <cellStyle name="Обычный 9 5 3 2 2 2 5 2" xfId="54190"/>
    <cellStyle name="Обычный 9 5 3 2 2 2 6" xfId="54191"/>
    <cellStyle name="Обычный 9 5 3 2 2 2 7" xfId="54192"/>
    <cellStyle name="Обычный 9 5 3 2 2 3" xfId="54193"/>
    <cellStyle name="Обычный 9 5 3 2 2 3 2" xfId="54194"/>
    <cellStyle name="Обычный 9 5 3 2 2 3 2 2" xfId="54195"/>
    <cellStyle name="Обычный 9 5 3 2 2 3 2 3" xfId="54196"/>
    <cellStyle name="Обычный 9 5 3 2 2 3 3" xfId="54197"/>
    <cellStyle name="Обычный 9 5 3 2 2 3 3 2" xfId="54198"/>
    <cellStyle name="Обычный 9 5 3 2 2 3 3 3" xfId="54199"/>
    <cellStyle name="Обычный 9 5 3 2 2 3 4" xfId="54200"/>
    <cellStyle name="Обычный 9 5 3 2 2 3 4 2" xfId="54201"/>
    <cellStyle name="Обычный 9 5 3 2 2 3 5" xfId="54202"/>
    <cellStyle name="Обычный 9 5 3 2 2 3 6" xfId="54203"/>
    <cellStyle name="Обычный 9 5 3 2 2 4" xfId="54204"/>
    <cellStyle name="Обычный 9 5 3 2 2 4 2" xfId="54205"/>
    <cellStyle name="Обычный 9 5 3 2 2 4 3" xfId="54206"/>
    <cellStyle name="Обычный 9 5 3 2 2 5" xfId="54207"/>
    <cellStyle name="Обычный 9 5 3 2 2 5 2" xfId="54208"/>
    <cellStyle name="Обычный 9 5 3 2 2 5 3" xfId="54209"/>
    <cellStyle name="Обычный 9 5 3 2 2 6" xfId="54210"/>
    <cellStyle name="Обычный 9 5 3 2 2 6 2" xfId="54211"/>
    <cellStyle name="Обычный 9 5 3 2 2 7" xfId="54212"/>
    <cellStyle name="Обычный 9 5 3 2 2 8" xfId="54213"/>
    <cellStyle name="Обычный 9 5 3 2 3" xfId="54214"/>
    <cellStyle name="Обычный 9 5 3 2 3 2" xfId="54215"/>
    <cellStyle name="Обычный 9 5 3 2 3 2 2" xfId="54216"/>
    <cellStyle name="Обычный 9 5 3 2 3 2 2 2" xfId="54217"/>
    <cellStyle name="Обычный 9 5 3 2 3 2 2 3" xfId="54218"/>
    <cellStyle name="Обычный 9 5 3 2 3 2 3" xfId="54219"/>
    <cellStyle name="Обычный 9 5 3 2 3 2 3 2" xfId="54220"/>
    <cellStyle name="Обычный 9 5 3 2 3 2 3 3" xfId="54221"/>
    <cellStyle name="Обычный 9 5 3 2 3 2 4" xfId="54222"/>
    <cellStyle name="Обычный 9 5 3 2 3 2 4 2" xfId="54223"/>
    <cellStyle name="Обычный 9 5 3 2 3 2 5" xfId="54224"/>
    <cellStyle name="Обычный 9 5 3 2 3 2 6" xfId="54225"/>
    <cellStyle name="Обычный 9 5 3 2 3 3" xfId="54226"/>
    <cellStyle name="Обычный 9 5 3 2 3 3 2" xfId="54227"/>
    <cellStyle name="Обычный 9 5 3 2 3 3 3" xfId="54228"/>
    <cellStyle name="Обычный 9 5 3 2 3 4" xfId="54229"/>
    <cellStyle name="Обычный 9 5 3 2 3 4 2" xfId="54230"/>
    <cellStyle name="Обычный 9 5 3 2 3 4 3" xfId="54231"/>
    <cellStyle name="Обычный 9 5 3 2 3 5" xfId="54232"/>
    <cellStyle name="Обычный 9 5 3 2 3 5 2" xfId="54233"/>
    <cellStyle name="Обычный 9 5 3 2 3 6" xfId="54234"/>
    <cellStyle name="Обычный 9 5 3 2 3 7" xfId="54235"/>
    <cellStyle name="Обычный 9 5 3 2 4" xfId="54236"/>
    <cellStyle name="Обычный 9 5 3 2 4 2" xfId="54237"/>
    <cellStyle name="Обычный 9 5 3 2 4 2 2" xfId="54238"/>
    <cellStyle name="Обычный 9 5 3 2 4 2 3" xfId="54239"/>
    <cellStyle name="Обычный 9 5 3 2 4 3" xfId="54240"/>
    <cellStyle name="Обычный 9 5 3 2 4 3 2" xfId="54241"/>
    <cellStyle name="Обычный 9 5 3 2 4 3 3" xfId="54242"/>
    <cellStyle name="Обычный 9 5 3 2 4 4" xfId="54243"/>
    <cellStyle name="Обычный 9 5 3 2 4 4 2" xfId="54244"/>
    <cellStyle name="Обычный 9 5 3 2 4 5" xfId="54245"/>
    <cellStyle name="Обычный 9 5 3 2 4 6" xfId="54246"/>
    <cellStyle name="Обычный 9 5 3 2 5" xfId="54247"/>
    <cellStyle name="Обычный 9 5 3 2 5 2" xfId="54248"/>
    <cellStyle name="Обычный 9 5 3 2 5 3" xfId="54249"/>
    <cellStyle name="Обычный 9 5 3 2 6" xfId="54250"/>
    <cellStyle name="Обычный 9 5 3 2 6 2" xfId="54251"/>
    <cellStyle name="Обычный 9 5 3 2 6 3" xfId="54252"/>
    <cellStyle name="Обычный 9 5 3 2 7" xfId="54253"/>
    <cellStyle name="Обычный 9 5 3 2 7 2" xfId="54254"/>
    <cellStyle name="Обычный 9 5 3 2 8" xfId="54255"/>
    <cellStyle name="Обычный 9 5 3 2 9" xfId="54256"/>
    <cellStyle name="Обычный 9 5 3 3" xfId="54257"/>
    <cellStyle name="Обычный 9 5 3 3 2" xfId="54258"/>
    <cellStyle name="Обычный 9 5 3 3 2 2" xfId="54259"/>
    <cellStyle name="Обычный 9 5 3 3 2 2 2" xfId="54260"/>
    <cellStyle name="Обычный 9 5 3 3 2 2 2 2" xfId="54261"/>
    <cellStyle name="Обычный 9 5 3 3 2 2 2 3" xfId="54262"/>
    <cellStyle name="Обычный 9 5 3 3 2 2 3" xfId="54263"/>
    <cellStyle name="Обычный 9 5 3 3 2 2 3 2" xfId="54264"/>
    <cellStyle name="Обычный 9 5 3 3 2 2 3 3" xfId="54265"/>
    <cellStyle name="Обычный 9 5 3 3 2 2 4" xfId="54266"/>
    <cellStyle name="Обычный 9 5 3 3 2 2 4 2" xfId="54267"/>
    <cellStyle name="Обычный 9 5 3 3 2 2 5" xfId="54268"/>
    <cellStyle name="Обычный 9 5 3 3 2 2 6" xfId="54269"/>
    <cellStyle name="Обычный 9 5 3 3 2 3" xfId="54270"/>
    <cellStyle name="Обычный 9 5 3 3 2 3 2" xfId="54271"/>
    <cellStyle name="Обычный 9 5 3 3 2 3 3" xfId="54272"/>
    <cellStyle name="Обычный 9 5 3 3 2 4" xfId="54273"/>
    <cellStyle name="Обычный 9 5 3 3 2 4 2" xfId="54274"/>
    <cellStyle name="Обычный 9 5 3 3 2 4 3" xfId="54275"/>
    <cellStyle name="Обычный 9 5 3 3 2 5" xfId="54276"/>
    <cellStyle name="Обычный 9 5 3 3 2 5 2" xfId="54277"/>
    <cellStyle name="Обычный 9 5 3 3 2 6" xfId="54278"/>
    <cellStyle name="Обычный 9 5 3 3 2 7" xfId="54279"/>
    <cellStyle name="Обычный 9 5 3 3 3" xfId="54280"/>
    <cellStyle name="Обычный 9 5 3 3 3 2" xfId="54281"/>
    <cellStyle name="Обычный 9 5 3 3 3 2 2" xfId="54282"/>
    <cellStyle name="Обычный 9 5 3 3 3 2 3" xfId="54283"/>
    <cellStyle name="Обычный 9 5 3 3 3 3" xfId="54284"/>
    <cellStyle name="Обычный 9 5 3 3 3 3 2" xfId="54285"/>
    <cellStyle name="Обычный 9 5 3 3 3 3 3" xfId="54286"/>
    <cellStyle name="Обычный 9 5 3 3 3 4" xfId="54287"/>
    <cellStyle name="Обычный 9 5 3 3 3 4 2" xfId="54288"/>
    <cellStyle name="Обычный 9 5 3 3 3 5" xfId="54289"/>
    <cellStyle name="Обычный 9 5 3 3 3 6" xfId="54290"/>
    <cellStyle name="Обычный 9 5 3 3 4" xfId="54291"/>
    <cellStyle name="Обычный 9 5 3 3 4 2" xfId="54292"/>
    <cellStyle name="Обычный 9 5 3 3 4 3" xfId="54293"/>
    <cellStyle name="Обычный 9 5 3 3 5" xfId="54294"/>
    <cellStyle name="Обычный 9 5 3 3 5 2" xfId="54295"/>
    <cellStyle name="Обычный 9 5 3 3 5 3" xfId="54296"/>
    <cellStyle name="Обычный 9 5 3 3 6" xfId="54297"/>
    <cellStyle name="Обычный 9 5 3 3 6 2" xfId="54298"/>
    <cellStyle name="Обычный 9 5 3 3 7" xfId="54299"/>
    <cellStyle name="Обычный 9 5 3 3 8" xfId="54300"/>
    <cellStyle name="Обычный 9 5 3 4" xfId="54301"/>
    <cellStyle name="Обычный 9 5 3 4 2" xfId="54302"/>
    <cellStyle name="Обычный 9 5 3 4 2 2" xfId="54303"/>
    <cellStyle name="Обычный 9 5 3 4 2 2 2" xfId="54304"/>
    <cellStyle name="Обычный 9 5 3 4 2 2 3" xfId="54305"/>
    <cellStyle name="Обычный 9 5 3 4 2 3" xfId="54306"/>
    <cellStyle name="Обычный 9 5 3 4 2 3 2" xfId="54307"/>
    <cellStyle name="Обычный 9 5 3 4 2 3 3" xfId="54308"/>
    <cellStyle name="Обычный 9 5 3 4 2 4" xfId="54309"/>
    <cellStyle name="Обычный 9 5 3 4 2 4 2" xfId="54310"/>
    <cellStyle name="Обычный 9 5 3 4 2 5" xfId="54311"/>
    <cellStyle name="Обычный 9 5 3 4 2 6" xfId="54312"/>
    <cellStyle name="Обычный 9 5 3 4 3" xfId="54313"/>
    <cellStyle name="Обычный 9 5 3 4 3 2" xfId="54314"/>
    <cellStyle name="Обычный 9 5 3 4 3 3" xfId="54315"/>
    <cellStyle name="Обычный 9 5 3 4 4" xfId="54316"/>
    <cellStyle name="Обычный 9 5 3 4 4 2" xfId="54317"/>
    <cellStyle name="Обычный 9 5 3 4 4 3" xfId="54318"/>
    <cellStyle name="Обычный 9 5 3 4 5" xfId="54319"/>
    <cellStyle name="Обычный 9 5 3 4 5 2" xfId="54320"/>
    <cellStyle name="Обычный 9 5 3 4 6" xfId="54321"/>
    <cellStyle name="Обычный 9 5 3 4 7" xfId="54322"/>
    <cellStyle name="Обычный 9 5 3 5" xfId="54323"/>
    <cellStyle name="Обычный 9 5 3 5 2" xfId="54324"/>
    <cellStyle name="Обычный 9 5 3 5 2 2" xfId="54325"/>
    <cellStyle name="Обычный 9 5 3 5 2 3" xfId="54326"/>
    <cellStyle name="Обычный 9 5 3 5 3" xfId="54327"/>
    <cellStyle name="Обычный 9 5 3 5 3 2" xfId="54328"/>
    <cellStyle name="Обычный 9 5 3 5 3 3" xfId="54329"/>
    <cellStyle name="Обычный 9 5 3 5 4" xfId="54330"/>
    <cellStyle name="Обычный 9 5 3 5 4 2" xfId="54331"/>
    <cellStyle name="Обычный 9 5 3 5 5" xfId="54332"/>
    <cellStyle name="Обычный 9 5 3 5 6" xfId="54333"/>
    <cellStyle name="Обычный 9 5 3 6" xfId="54334"/>
    <cellStyle name="Обычный 9 5 3 6 2" xfId="54335"/>
    <cellStyle name="Обычный 9 5 3 6 3" xfId="54336"/>
    <cellStyle name="Обычный 9 5 3 7" xfId="54337"/>
    <cellStyle name="Обычный 9 5 3 7 2" xfId="54338"/>
    <cellStyle name="Обычный 9 5 3 7 3" xfId="54339"/>
    <cellStyle name="Обычный 9 5 3 8" xfId="54340"/>
    <cellStyle name="Обычный 9 5 3 8 2" xfId="54341"/>
    <cellStyle name="Обычный 9 5 3 9" xfId="54342"/>
    <cellStyle name="Обычный 9 5 4" xfId="54343"/>
    <cellStyle name="Обычный 9 5 4 10" xfId="54344"/>
    <cellStyle name="Обычный 9 5 4 2" xfId="54345"/>
    <cellStyle name="Обычный 9 5 4 2 2" xfId="54346"/>
    <cellStyle name="Обычный 9 5 4 2 2 2" xfId="54347"/>
    <cellStyle name="Обычный 9 5 4 2 2 2 2" xfId="54348"/>
    <cellStyle name="Обычный 9 5 4 2 2 2 2 2" xfId="54349"/>
    <cellStyle name="Обычный 9 5 4 2 2 2 2 2 2" xfId="54350"/>
    <cellStyle name="Обычный 9 5 4 2 2 2 2 2 3" xfId="54351"/>
    <cellStyle name="Обычный 9 5 4 2 2 2 2 3" xfId="54352"/>
    <cellStyle name="Обычный 9 5 4 2 2 2 2 3 2" xfId="54353"/>
    <cellStyle name="Обычный 9 5 4 2 2 2 2 3 3" xfId="54354"/>
    <cellStyle name="Обычный 9 5 4 2 2 2 2 4" xfId="54355"/>
    <cellStyle name="Обычный 9 5 4 2 2 2 2 4 2" xfId="54356"/>
    <cellStyle name="Обычный 9 5 4 2 2 2 2 5" xfId="54357"/>
    <cellStyle name="Обычный 9 5 4 2 2 2 2 6" xfId="54358"/>
    <cellStyle name="Обычный 9 5 4 2 2 2 3" xfId="54359"/>
    <cellStyle name="Обычный 9 5 4 2 2 2 3 2" xfId="54360"/>
    <cellStyle name="Обычный 9 5 4 2 2 2 3 3" xfId="54361"/>
    <cellStyle name="Обычный 9 5 4 2 2 2 4" xfId="54362"/>
    <cellStyle name="Обычный 9 5 4 2 2 2 4 2" xfId="54363"/>
    <cellStyle name="Обычный 9 5 4 2 2 2 4 3" xfId="54364"/>
    <cellStyle name="Обычный 9 5 4 2 2 2 5" xfId="54365"/>
    <cellStyle name="Обычный 9 5 4 2 2 2 5 2" xfId="54366"/>
    <cellStyle name="Обычный 9 5 4 2 2 2 6" xfId="54367"/>
    <cellStyle name="Обычный 9 5 4 2 2 2 7" xfId="54368"/>
    <cellStyle name="Обычный 9 5 4 2 2 3" xfId="54369"/>
    <cellStyle name="Обычный 9 5 4 2 2 3 2" xfId="54370"/>
    <cellStyle name="Обычный 9 5 4 2 2 3 2 2" xfId="54371"/>
    <cellStyle name="Обычный 9 5 4 2 2 3 2 3" xfId="54372"/>
    <cellStyle name="Обычный 9 5 4 2 2 3 3" xfId="54373"/>
    <cellStyle name="Обычный 9 5 4 2 2 3 3 2" xfId="54374"/>
    <cellStyle name="Обычный 9 5 4 2 2 3 3 3" xfId="54375"/>
    <cellStyle name="Обычный 9 5 4 2 2 3 4" xfId="54376"/>
    <cellStyle name="Обычный 9 5 4 2 2 3 4 2" xfId="54377"/>
    <cellStyle name="Обычный 9 5 4 2 2 3 5" xfId="54378"/>
    <cellStyle name="Обычный 9 5 4 2 2 3 6" xfId="54379"/>
    <cellStyle name="Обычный 9 5 4 2 2 4" xfId="54380"/>
    <cellStyle name="Обычный 9 5 4 2 2 4 2" xfId="54381"/>
    <cellStyle name="Обычный 9 5 4 2 2 4 3" xfId="54382"/>
    <cellStyle name="Обычный 9 5 4 2 2 5" xfId="54383"/>
    <cellStyle name="Обычный 9 5 4 2 2 5 2" xfId="54384"/>
    <cellStyle name="Обычный 9 5 4 2 2 5 3" xfId="54385"/>
    <cellStyle name="Обычный 9 5 4 2 2 6" xfId="54386"/>
    <cellStyle name="Обычный 9 5 4 2 2 6 2" xfId="54387"/>
    <cellStyle name="Обычный 9 5 4 2 2 7" xfId="54388"/>
    <cellStyle name="Обычный 9 5 4 2 2 8" xfId="54389"/>
    <cellStyle name="Обычный 9 5 4 2 3" xfId="54390"/>
    <cellStyle name="Обычный 9 5 4 2 3 2" xfId="54391"/>
    <cellStyle name="Обычный 9 5 4 2 3 2 2" xfId="54392"/>
    <cellStyle name="Обычный 9 5 4 2 3 2 2 2" xfId="54393"/>
    <cellStyle name="Обычный 9 5 4 2 3 2 2 3" xfId="54394"/>
    <cellStyle name="Обычный 9 5 4 2 3 2 3" xfId="54395"/>
    <cellStyle name="Обычный 9 5 4 2 3 2 3 2" xfId="54396"/>
    <cellStyle name="Обычный 9 5 4 2 3 2 3 3" xfId="54397"/>
    <cellStyle name="Обычный 9 5 4 2 3 2 4" xfId="54398"/>
    <cellStyle name="Обычный 9 5 4 2 3 2 4 2" xfId="54399"/>
    <cellStyle name="Обычный 9 5 4 2 3 2 5" xfId="54400"/>
    <cellStyle name="Обычный 9 5 4 2 3 2 6" xfId="54401"/>
    <cellStyle name="Обычный 9 5 4 2 3 3" xfId="54402"/>
    <cellStyle name="Обычный 9 5 4 2 3 3 2" xfId="54403"/>
    <cellStyle name="Обычный 9 5 4 2 3 3 3" xfId="54404"/>
    <cellStyle name="Обычный 9 5 4 2 3 4" xfId="54405"/>
    <cellStyle name="Обычный 9 5 4 2 3 4 2" xfId="54406"/>
    <cellStyle name="Обычный 9 5 4 2 3 4 3" xfId="54407"/>
    <cellStyle name="Обычный 9 5 4 2 3 5" xfId="54408"/>
    <cellStyle name="Обычный 9 5 4 2 3 5 2" xfId="54409"/>
    <cellStyle name="Обычный 9 5 4 2 3 6" xfId="54410"/>
    <cellStyle name="Обычный 9 5 4 2 3 7" xfId="54411"/>
    <cellStyle name="Обычный 9 5 4 2 4" xfId="54412"/>
    <cellStyle name="Обычный 9 5 4 2 4 2" xfId="54413"/>
    <cellStyle name="Обычный 9 5 4 2 4 2 2" xfId="54414"/>
    <cellStyle name="Обычный 9 5 4 2 4 2 3" xfId="54415"/>
    <cellStyle name="Обычный 9 5 4 2 4 3" xfId="54416"/>
    <cellStyle name="Обычный 9 5 4 2 4 3 2" xfId="54417"/>
    <cellStyle name="Обычный 9 5 4 2 4 3 3" xfId="54418"/>
    <cellStyle name="Обычный 9 5 4 2 4 4" xfId="54419"/>
    <cellStyle name="Обычный 9 5 4 2 4 4 2" xfId="54420"/>
    <cellStyle name="Обычный 9 5 4 2 4 5" xfId="54421"/>
    <cellStyle name="Обычный 9 5 4 2 4 6" xfId="54422"/>
    <cellStyle name="Обычный 9 5 4 2 5" xfId="54423"/>
    <cellStyle name="Обычный 9 5 4 2 5 2" xfId="54424"/>
    <cellStyle name="Обычный 9 5 4 2 5 3" xfId="54425"/>
    <cellStyle name="Обычный 9 5 4 2 6" xfId="54426"/>
    <cellStyle name="Обычный 9 5 4 2 6 2" xfId="54427"/>
    <cellStyle name="Обычный 9 5 4 2 6 3" xfId="54428"/>
    <cellStyle name="Обычный 9 5 4 2 7" xfId="54429"/>
    <cellStyle name="Обычный 9 5 4 2 7 2" xfId="54430"/>
    <cellStyle name="Обычный 9 5 4 2 8" xfId="54431"/>
    <cellStyle name="Обычный 9 5 4 2 9" xfId="54432"/>
    <cellStyle name="Обычный 9 5 4 3" xfId="54433"/>
    <cellStyle name="Обычный 9 5 4 3 2" xfId="54434"/>
    <cellStyle name="Обычный 9 5 4 3 2 2" xfId="54435"/>
    <cellStyle name="Обычный 9 5 4 3 2 2 2" xfId="54436"/>
    <cellStyle name="Обычный 9 5 4 3 2 2 2 2" xfId="54437"/>
    <cellStyle name="Обычный 9 5 4 3 2 2 2 3" xfId="54438"/>
    <cellStyle name="Обычный 9 5 4 3 2 2 3" xfId="54439"/>
    <cellStyle name="Обычный 9 5 4 3 2 2 3 2" xfId="54440"/>
    <cellStyle name="Обычный 9 5 4 3 2 2 3 3" xfId="54441"/>
    <cellStyle name="Обычный 9 5 4 3 2 2 4" xfId="54442"/>
    <cellStyle name="Обычный 9 5 4 3 2 2 4 2" xfId="54443"/>
    <cellStyle name="Обычный 9 5 4 3 2 2 5" xfId="54444"/>
    <cellStyle name="Обычный 9 5 4 3 2 2 6" xfId="54445"/>
    <cellStyle name="Обычный 9 5 4 3 2 3" xfId="54446"/>
    <cellStyle name="Обычный 9 5 4 3 2 3 2" xfId="54447"/>
    <cellStyle name="Обычный 9 5 4 3 2 3 3" xfId="54448"/>
    <cellStyle name="Обычный 9 5 4 3 2 4" xfId="54449"/>
    <cellStyle name="Обычный 9 5 4 3 2 4 2" xfId="54450"/>
    <cellStyle name="Обычный 9 5 4 3 2 4 3" xfId="54451"/>
    <cellStyle name="Обычный 9 5 4 3 2 5" xfId="54452"/>
    <cellStyle name="Обычный 9 5 4 3 2 5 2" xfId="54453"/>
    <cellStyle name="Обычный 9 5 4 3 2 6" xfId="54454"/>
    <cellStyle name="Обычный 9 5 4 3 2 7" xfId="54455"/>
    <cellStyle name="Обычный 9 5 4 3 3" xfId="54456"/>
    <cellStyle name="Обычный 9 5 4 3 3 2" xfId="54457"/>
    <cellStyle name="Обычный 9 5 4 3 3 2 2" xfId="54458"/>
    <cellStyle name="Обычный 9 5 4 3 3 2 3" xfId="54459"/>
    <cellStyle name="Обычный 9 5 4 3 3 3" xfId="54460"/>
    <cellStyle name="Обычный 9 5 4 3 3 3 2" xfId="54461"/>
    <cellStyle name="Обычный 9 5 4 3 3 3 3" xfId="54462"/>
    <cellStyle name="Обычный 9 5 4 3 3 4" xfId="54463"/>
    <cellStyle name="Обычный 9 5 4 3 3 4 2" xfId="54464"/>
    <cellStyle name="Обычный 9 5 4 3 3 5" xfId="54465"/>
    <cellStyle name="Обычный 9 5 4 3 3 6" xfId="54466"/>
    <cellStyle name="Обычный 9 5 4 3 4" xfId="54467"/>
    <cellStyle name="Обычный 9 5 4 3 4 2" xfId="54468"/>
    <cellStyle name="Обычный 9 5 4 3 4 3" xfId="54469"/>
    <cellStyle name="Обычный 9 5 4 3 5" xfId="54470"/>
    <cellStyle name="Обычный 9 5 4 3 5 2" xfId="54471"/>
    <cellStyle name="Обычный 9 5 4 3 5 3" xfId="54472"/>
    <cellStyle name="Обычный 9 5 4 3 6" xfId="54473"/>
    <cellStyle name="Обычный 9 5 4 3 6 2" xfId="54474"/>
    <cellStyle name="Обычный 9 5 4 3 7" xfId="54475"/>
    <cellStyle name="Обычный 9 5 4 3 8" xfId="54476"/>
    <cellStyle name="Обычный 9 5 4 4" xfId="54477"/>
    <cellStyle name="Обычный 9 5 4 4 2" xfId="54478"/>
    <cellStyle name="Обычный 9 5 4 4 2 2" xfId="54479"/>
    <cellStyle name="Обычный 9 5 4 4 2 2 2" xfId="54480"/>
    <cellStyle name="Обычный 9 5 4 4 2 2 3" xfId="54481"/>
    <cellStyle name="Обычный 9 5 4 4 2 3" xfId="54482"/>
    <cellStyle name="Обычный 9 5 4 4 2 3 2" xfId="54483"/>
    <cellStyle name="Обычный 9 5 4 4 2 3 3" xfId="54484"/>
    <cellStyle name="Обычный 9 5 4 4 2 4" xfId="54485"/>
    <cellStyle name="Обычный 9 5 4 4 2 4 2" xfId="54486"/>
    <cellStyle name="Обычный 9 5 4 4 2 5" xfId="54487"/>
    <cellStyle name="Обычный 9 5 4 4 2 6" xfId="54488"/>
    <cellStyle name="Обычный 9 5 4 4 3" xfId="54489"/>
    <cellStyle name="Обычный 9 5 4 4 3 2" xfId="54490"/>
    <cellStyle name="Обычный 9 5 4 4 3 3" xfId="54491"/>
    <cellStyle name="Обычный 9 5 4 4 4" xfId="54492"/>
    <cellStyle name="Обычный 9 5 4 4 4 2" xfId="54493"/>
    <cellStyle name="Обычный 9 5 4 4 4 3" xfId="54494"/>
    <cellStyle name="Обычный 9 5 4 4 5" xfId="54495"/>
    <cellStyle name="Обычный 9 5 4 4 5 2" xfId="54496"/>
    <cellStyle name="Обычный 9 5 4 4 6" xfId="54497"/>
    <cellStyle name="Обычный 9 5 4 4 7" xfId="54498"/>
    <cellStyle name="Обычный 9 5 4 5" xfId="54499"/>
    <cellStyle name="Обычный 9 5 4 5 2" xfId="54500"/>
    <cellStyle name="Обычный 9 5 4 5 2 2" xfId="54501"/>
    <cellStyle name="Обычный 9 5 4 5 2 3" xfId="54502"/>
    <cellStyle name="Обычный 9 5 4 5 3" xfId="54503"/>
    <cellStyle name="Обычный 9 5 4 5 3 2" xfId="54504"/>
    <cellStyle name="Обычный 9 5 4 5 3 3" xfId="54505"/>
    <cellStyle name="Обычный 9 5 4 5 4" xfId="54506"/>
    <cellStyle name="Обычный 9 5 4 5 4 2" xfId="54507"/>
    <cellStyle name="Обычный 9 5 4 5 5" xfId="54508"/>
    <cellStyle name="Обычный 9 5 4 5 6" xfId="54509"/>
    <cellStyle name="Обычный 9 5 4 6" xfId="54510"/>
    <cellStyle name="Обычный 9 5 4 6 2" xfId="54511"/>
    <cellStyle name="Обычный 9 5 4 6 3" xfId="54512"/>
    <cellStyle name="Обычный 9 5 4 7" xfId="54513"/>
    <cellStyle name="Обычный 9 5 4 7 2" xfId="54514"/>
    <cellStyle name="Обычный 9 5 4 7 3" xfId="54515"/>
    <cellStyle name="Обычный 9 5 4 8" xfId="54516"/>
    <cellStyle name="Обычный 9 5 4 8 2" xfId="54517"/>
    <cellStyle name="Обычный 9 5 4 9" xfId="54518"/>
    <cellStyle name="Обычный 9 5 5" xfId="54519"/>
    <cellStyle name="Обычный 9 5 5 10" xfId="54520"/>
    <cellStyle name="Обычный 9 5 5 2" xfId="54521"/>
    <cellStyle name="Обычный 9 5 5 2 2" xfId="54522"/>
    <cellStyle name="Обычный 9 5 5 2 2 2" xfId="54523"/>
    <cellStyle name="Обычный 9 5 5 2 2 2 2" xfId="54524"/>
    <cellStyle name="Обычный 9 5 5 2 2 2 2 2" xfId="54525"/>
    <cellStyle name="Обычный 9 5 5 2 2 2 2 2 2" xfId="54526"/>
    <cellStyle name="Обычный 9 5 5 2 2 2 2 2 3" xfId="54527"/>
    <cellStyle name="Обычный 9 5 5 2 2 2 2 3" xfId="54528"/>
    <cellStyle name="Обычный 9 5 5 2 2 2 2 3 2" xfId="54529"/>
    <cellStyle name="Обычный 9 5 5 2 2 2 2 3 3" xfId="54530"/>
    <cellStyle name="Обычный 9 5 5 2 2 2 2 4" xfId="54531"/>
    <cellStyle name="Обычный 9 5 5 2 2 2 2 4 2" xfId="54532"/>
    <cellStyle name="Обычный 9 5 5 2 2 2 2 5" xfId="54533"/>
    <cellStyle name="Обычный 9 5 5 2 2 2 2 6" xfId="54534"/>
    <cellStyle name="Обычный 9 5 5 2 2 2 3" xfId="54535"/>
    <cellStyle name="Обычный 9 5 5 2 2 2 3 2" xfId="54536"/>
    <cellStyle name="Обычный 9 5 5 2 2 2 3 3" xfId="54537"/>
    <cellStyle name="Обычный 9 5 5 2 2 2 4" xfId="54538"/>
    <cellStyle name="Обычный 9 5 5 2 2 2 4 2" xfId="54539"/>
    <cellStyle name="Обычный 9 5 5 2 2 2 4 3" xfId="54540"/>
    <cellStyle name="Обычный 9 5 5 2 2 2 5" xfId="54541"/>
    <cellStyle name="Обычный 9 5 5 2 2 2 5 2" xfId="54542"/>
    <cellStyle name="Обычный 9 5 5 2 2 2 6" xfId="54543"/>
    <cellStyle name="Обычный 9 5 5 2 2 2 7" xfId="54544"/>
    <cellStyle name="Обычный 9 5 5 2 2 3" xfId="54545"/>
    <cellStyle name="Обычный 9 5 5 2 2 3 2" xfId="54546"/>
    <cellStyle name="Обычный 9 5 5 2 2 3 2 2" xfId="54547"/>
    <cellStyle name="Обычный 9 5 5 2 2 3 2 3" xfId="54548"/>
    <cellStyle name="Обычный 9 5 5 2 2 3 3" xfId="54549"/>
    <cellStyle name="Обычный 9 5 5 2 2 3 3 2" xfId="54550"/>
    <cellStyle name="Обычный 9 5 5 2 2 3 3 3" xfId="54551"/>
    <cellStyle name="Обычный 9 5 5 2 2 3 4" xfId="54552"/>
    <cellStyle name="Обычный 9 5 5 2 2 3 4 2" xfId="54553"/>
    <cellStyle name="Обычный 9 5 5 2 2 3 5" xfId="54554"/>
    <cellStyle name="Обычный 9 5 5 2 2 3 6" xfId="54555"/>
    <cellStyle name="Обычный 9 5 5 2 2 4" xfId="54556"/>
    <cellStyle name="Обычный 9 5 5 2 2 4 2" xfId="54557"/>
    <cellStyle name="Обычный 9 5 5 2 2 4 3" xfId="54558"/>
    <cellStyle name="Обычный 9 5 5 2 2 5" xfId="54559"/>
    <cellStyle name="Обычный 9 5 5 2 2 5 2" xfId="54560"/>
    <cellStyle name="Обычный 9 5 5 2 2 5 3" xfId="54561"/>
    <cellStyle name="Обычный 9 5 5 2 2 6" xfId="54562"/>
    <cellStyle name="Обычный 9 5 5 2 2 6 2" xfId="54563"/>
    <cellStyle name="Обычный 9 5 5 2 2 7" xfId="54564"/>
    <cellStyle name="Обычный 9 5 5 2 2 8" xfId="54565"/>
    <cellStyle name="Обычный 9 5 5 2 3" xfId="54566"/>
    <cellStyle name="Обычный 9 5 5 2 3 2" xfId="54567"/>
    <cellStyle name="Обычный 9 5 5 2 3 2 2" xfId="54568"/>
    <cellStyle name="Обычный 9 5 5 2 3 2 2 2" xfId="54569"/>
    <cellStyle name="Обычный 9 5 5 2 3 2 2 3" xfId="54570"/>
    <cellStyle name="Обычный 9 5 5 2 3 2 3" xfId="54571"/>
    <cellStyle name="Обычный 9 5 5 2 3 2 3 2" xfId="54572"/>
    <cellStyle name="Обычный 9 5 5 2 3 2 3 3" xfId="54573"/>
    <cellStyle name="Обычный 9 5 5 2 3 2 4" xfId="54574"/>
    <cellStyle name="Обычный 9 5 5 2 3 2 4 2" xfId="54575"/>
    <cellStyle name="Обычный 9 5 5 2 3 2 5" xfId="54576"/>
    <cellStyle name="Обычный 9 5 5 2 3 2 6" xfId="54577"/>
    <cellStyle name="Обычный 9 5 5 2 3 3" xfId="54578"/>
    <cellStyle name="Обычный 9 5 5 2 3 3 2" xfId="54579"/>
    <cellStyle name="Обычный 9 5 5 2 3 3 3" xfId="54580"/>
    <cellStyle name="Обычный 9 5 5 2 3 4" xfId="54581"/>
    <cellStyle name="Обычный 9 5 5 2 3 4 2" xfId="54582"/>
    <cellStyle name="Обычный 9 5 5 2 3 4 3" xfId="54583"/>
    <cellStyle name="Обычный 9 5 5 2 3 5" xfId="54584"/>
    <cellStyle name="Обычный 9 5 5 2 3 5 2" xfId="54585"/>
    <cellStyle name="Обычный 9 5 5 2 3 6" xfId="54586"/>
    <cellStyle name="Обычный 9 5 5 2 3 7" xfId="54587"/>
    <cellStyle name="Обычный 9 5 5 2 4" xfId="54588"/>
    <cellStyle name="Обычный 9 5 5 2 4 2" xfId="54589"/>
    <cellStyle name="Обычный 9 5 5 2 4 2 2" xfId="54590"/>
    <cellStyle name="Обычный 9 5 5 2 4 2 3" xfId="54591"/>
    <cellStyle name="Обычный 9 5 5 2 4 3" xfId="54592"/>
    <cellStyle name="Обычный 9 5 5 2 4 3 2" xfId="54593"/>
    <cellStyle name="Обычный 9 5 5 2 4 3 3" xfId="54594"/>
    <cellStyle name="Обычный 9 5 5 2 4 4" xfId="54595"/>
    <cellStyle name="Обычный 9 5 5 2 4 4 2" xfId="54596"/>
    <cellStyle name="Обычный 9 5 5 2 4 5" xfId="54597"/>
    <cellStyle name="Обычный 9 5 5 2 4 6" xfId="54598"/>
    <cellStyle name="Обычный 9 5 5 2 5" xfId="54599"/>
    <cellStyle name="Обычный 9 5 5 2 5 2" xfId="54600"/>
    <cellStyle name="Обычный 9 5 5 2 5 3" xfId="54601"/>
    <cellStyle name="Обычный 9 5 5 2 6" xfId="54602"/>
    <cellStyle name="Обычный 9 5 5 2 6 2" xfId="54603"/>
    <cellStyle name="Обычный 9 5 5 2 6 3" xfId="54604"/>
    <cellStyle name="Обычный 9 5 5 2 7" xfId="54605"/>
    <cellStyle name="Обычный 9 5 5 2 7 2" xfId="54606"/>
    <cellStyle name="Обычный 9 5 5 2 8" xfId="54607"/>
    <cellStyle name="Обычный 9 5 5 2 9" xfId="54608"/>
    <cellStyle name="Обычный 9 5 5 3" xfId="54609"/>
    <cellStyle name="Обычный 9 5 5 3 2" xfId="54610"/>
    <cellStyle name="Обычный 9 5 5 3 2 2" xfId="54611"/>
    <cellStyle name="Обычный 9 5 5 3 2 2 2" xfId="54612"/>
    <cellStyle name="Обычный 9 5 5 3 2 2 2 2" xfId="54613"/>
    <cellStyle name="Обычный 9 5 5 3 2 2 2 3" xfId="54614"/>
    <cellStyle name="Обычный 9 5 5 3 2 2 3" xfId="54615"/>
    <cellStyle name="Обычный 9 5 5 3 2 2 3 2" xfId="54616"/>
    <cellStyle name="Обычный 9 5 5 3 2 2 3 3" xfId="54617"/>
    <cellStyle name="Обычный 9 5 5 3 2 2 4" xfId="54618"/>
    <cellStyle name="Обычный 9 5 5 3 2 2 4 2" xfId="54619"/>
    <cellStyle name="Обычный 9 5 5 3 2 2 5" xfId="54620"/>
    <cellStyle name="Обычный 9 5 5 3 2 2 6" xfId="54621"/>
    <cellStyle name="Обычный 9 5 5 3 2 3" xfId="54622"/>
    <cellStyle name="Обычный 9 5 5 3 2 3 2" xfId="54623"/>
    <cellStyle name="Обычный 9 5 5 3 2 3 3" xfId="54624"/>
    <cellStyle name="Обычный 9 5 5 3 2 4" xfId="54625"/>
    <cellStyle name="Обычный 9 5 5 3 2 4 2" xfId="54626"/>
    <cellStyle name="Обычный 9 5 5 3 2 4 3" xfId="54627"/>
    <cellStyle name="Обычный 9 5 5 3 2 5" xfId="54628"/>
    <cellStyle name="Обычный 9 5 5 3 2 5 2" xfId="54629"/>
    <cellStyle name="Обычный 9 5 5 3 2 6" xfId="54630"/>
    <cellStyle name="Обычный 9 5 5 3 2 7" xfId="54631"/>
    <cellStyle name="Обычный 9 5 5 3 3" xfId="54632"/>
    <cellStyle name="Обычный 9 5 5 3 3 2" xfId="54633"/>
    <cellStyle name="Обычный 9 5 5 3 3 2 2" xfId="54634"/>
    <cellStyle name="Обычный 9 5 5 3 3 2 3" xfId="54635"/>
    <cellStyle name="Обычный 9 5 5 3 3 3" xfId="54636"/>
    <cellStyle name="Обычный 9 5 5 3 3 3 2" xfId="54637"/>
    <cellStyle name="Обычный 9 5 5 3 3 3 3" xfId="54638"/>
    <cellStyle name="Обычный 9 5 5 3 3 4" xfId="54639"/>
    <cellStyle name="Обычный 9 5 5 3 3 4 2" xfId="54640"/>
    <cellStyle name="Обычный 9 5 5 3 3 5" xfId="54641"/>
    <cellStyle name="Обычный 9 5 5 3 3 6" xfId="54642"/>
    <cellStyle name="Обычный 9 5 5 3 4" xfId="54643"/>
    <cellStyle name="Обычный 9 5 5 3 4 2" xfId="54644"/>
    <cellStyle name="Обычный 9 5 5 3 4 3" xfId="54645"/>
    <cellStyle name="Обычный 9 5 5 3 5" xfId="54646"/>
    <cellStyle name="Обычный 9 5 5 3 5 2" xfId="54647"/>
    <cellStyle name="Обычный 9 5 5 3 5 3" xfId="54648"/>
    <cellStyle name="Обычный 9 5 5 3 6" xfId="54649"/>
    <cellStyle name="Обычный 9 5 5 3 6 2" xfId="54650"/>
    <cellStyle name="Обычный 9 5 5 3 7" xfId="54651"/>
    <cellStyle name="Обычный 9 5 5 3 8" xfId="54652"/>
    <cellStyle name="Обычный 9 5 5 4" xfId="54653"/>
    <cellStyle name="Обычный 9 5 5 4 2" xfId="54654"/>
    <cellStyle name="Обычный 9 5 5 4 2 2" xfId="54655"/>
    <cellStyle name="Обычный 9 5 5 4 2 2 2" xfId="54656"/>
    <cellStyle name="Обычный 9 5 5 4 2 2 3" xfId="54657"/>
    <cellStyle name="Обычный 9 5 5 4 2 3" xfId="54658"/>
    <cellStyle name="Обычный 9 5 5 4 2 3 2" xfId="54659"/>
    <cellStyle name="Обычный 9 5 5 4 2 3 3" xfId="54660"/>
    <cellStyle name="Обычный 9 5 5 4 2 4" xfId="54661"/>
    <cellStyle name="Обычный 9 5 5 4 2 4 2" xfId="54662"/>
    <cellStyle name="Обычный 9 5 5 4 2 5" xfId="54663"/>
    <cellStyle name="Обычный 9 5 5 4 2 6" xfId="54664"/>
    <cellStyle name="Обычный 9 5 5 4 3" xfId="54665"/>
    <cellStyle name="Обычный 9 5 5 4 3 2" xfId="54666"/>
    <cellStyle name="Обычный 9 5 5 4 3 3" xfId="54667"/>
    <cellStyle name="Обычный 9 5 5 4 4" xfId="54668"/>
    <cellStyle name="Обычный 9 5 5 4 4 2" xfId="54669"/>
    <cellStyle name="Обычный 9 5 5 4 4 3" xfId="54670"/>
    <cellStyle name="Обычный 9 5 5 4 5" xfId="54671"/>
    <cellStyle name="Обычный 9 5 5 4 5 2" xfId="54672"/>
    <cellStyle name="Обычный 9 5 5 4 6" xfId="54673"/>
    <cellStyle name="Обычный 9 5 5 4 7" xfId="54674"/>
    <cellStyle name="Обычный 9 5 5 5" xfId="54675"/>
    <cellStyle name="Обычный 9 5 5 5 2" xfId="54676"/>
    <cellStyle name="Обычный 9 5 5 5 2 2" xfId="54677"/>
    <cellStyle name="Обычный 9 5 5 5 2 3" xfId="54678"/>
    <cellStyle name="Обычный 9 5 5 5 3" xfId="54679"/>
    <cellStyle name="Обычный 9 5 5 5 3 2" xfId="54680"/>
    <cellStyle name="Обычный 9 5 5 5 3 3" xfId="54681"/>
    <cellStyle name="Обычный 9 5 5 5 4" xfId="54682"/>
    <cellStyle name="Обычный 9 5 5 5 4 2" xfId="54683"/>
    <cellStyle name="Обычный 9 5 5 5 5" xfId="54684"/>
    <cellStyle name="Обычный 9 5 5 5 6" xfId="54685"/>
    <cellStyle name="Обычный 9 5 5 6" xfId="54686"/>
    <cellStyle name="Обычный 9 5 5 6 2" xfId="54687"/>
    <cellStyle name="Обычный 9 5 5 6 3" xfId="54688"/>
    <cellStyle name="Обычный 9 5 5 7" xfId="54689"/>
    <cellStyle name="Обычный 9 5 5 7 2" xfId="54690"/>
    <cellStyle name="Обычный 9 5 5 7 3" xfId="54691"/>
    <cellStyle name="Обычный 9 5 5 8" xfId="54692"/>
    <cellStyle name="Обычный 9 5 5 8 2" xfId="54693"/>
    <cellStyle name="Обычный 9 5 5 9" xfId="54694"/>
    <cellStyle name="Обычный 9 5 6" xfId="54695"/>
    <cellStyle name="Обычный 9 5 6 2" xfId="54696"/>
    <cellStyle name="Обычный 9 5 6 2 2" xfId="54697"/>
    <cellStyle name="Обычный 9 5 6 2 2 2" xfId="54698"/>
    <cellStyle name="Обычный 9 5 6 2 2 2 2" xfId="54699"/>
    <cellStyle name="Обычный 9 5 6 2 2 2 2 2" xfId="54700"/>
    <cellStyle name="Обычный 9 5 6 2 2 2 2 3" xfId="54701"/>
    <cellStyle name="Обычный 9 5 6 2 2 2 3" xfId="54702"/>
    <cellStyle name="Обычный 9 5 6 2 2 2 3 2" xfId="54703"/>
    <cellStyle name="Обычный 9 5 6 2 2 2 3 3" xfId="54704"/>
    <cellStyle name="Обычный 9 5 6 2 2 2 4" xfId="54705"/>
    <cellStyle name="Обычный 9 5 6 2 2 2 4 2" xfId="54706"/>
    <cellStyle name="Обычный 9 5 6 2 2 2 5" xfId="54707"/>
    <cellStyle name="Обычный 9 5 6 2 2 2 6" xfId="54708"/>
    <cellStyle name="Обычный 9 5 6 2 2 3" xfId="54709"/>
    <cellStyle name="Обычный 9 5 6 2 2 3 2" xfId="54710"/>
    <cellStyle name="Обычный 9 5 6 2 2 3 3" xfId="54711"/>
    <cellStyle name="Обычный 9 5 6 2 2 4" xfId="54712"/>
    <cellStyle name="Обычный 9 5 6 2 2 4 2" xfId="54713"/>
    <cellStyle name="Обычный 9 5 6 2 2 4 3" xfId="54714"/>
    <cellStyle name="Обычный 9 5 6 2 2 5" xfId="54715"/>
    <cellStyle name="Обычный 9 5 6 2 2 5 2" xfId="54716"/>
    <cellStyle name="Обычный 9 5 6 2 2 6" xfId="54717"/>
    <cellStyle name="Обычный 9 5 6 2 2 7" xfId="54718"/>
    <cellStyle name="Обычный 9 5 6 2 3" xfId="54719"/>
    <cellStyle name="Обычный 9 5 6 2 3 2" xfId="54720"/>
    <cellStyle name="Обычный 9 5 6 2 3 2 2" xfId="54721"/>
    <cellStyle name="Обычный 9 5 6 2 3 2 3" xfId="54722"/>
    <cellStyle name="Обычный 9 5 6 2 3 3" xfId="54723"/>
    <cellStyle name="Обычный 9 5 6 2 3 3 2" xfId="54724"/>
    <cellStyle name="Обычный 9 5 6 2 3 3 3" xfId="54725"/>
    <cellStyle name="Обычный 9 5 6 2 3 4" xfId="54726"/>
    <cellStyle name="Обычный 9 5 6 2 3 4 2" xfId="54727"/>
    <cellStyle name="Обычный 9 5 6 2 3 5" xfId="54728"/>
    <cellStyle name="Обычный 9 5 6 2 3 6" xfId="54729"/>
    <cellStyle name="Обычный 9 5 6 2 4" xfId="54730"/>
    <cellStyle name="Обычный 9 5 6 2 4 2" xfId="54731"/>
    <cellStyle name="Обычный 9 5 6 2 4 3" xfId="54732"/>
    <cellStyle name="Обычный 9 5 6 2 5" xfId="54733"/>
    <cellStyle name="Обычный 9 5 6 2 5 2" xfId="54734"/>
    <cellStyle name="Обычный 9 5 6 2 5 3" xfId="54735"/>
    <cellStyle name="Обычный 9 5 6 2 6" xfId="54736"/>
    <cellStyle name="Обычный 9 5 6 2 6 2" xfId="54737"/>
    <cellStyle name="Обычный 9 5 6 2 7" xfId="54738"/>
    <cellStyle name="Обычный 9 5 6 2 8" xfId="54739"/>
    <cellStyle name="Обычный 9 5 6 3" xfId="54740"/>
    <cellStyle name="Обычный 9 5 6 3 2" xfId="54741"/>
    <cellStyle name="Обычный 9 5 6 3 2 2" xfId="54742"/>
    <cellStyle name="Обычный 9 5 6 3 2 2 2" xfId="54743"/>
    <cellStyle name="Обычный 9 5 6 3 2 2 3" xfId="54744"/>
    <cellStyle name="Обычный 9 5 6 3 2 3" xfId="54745"/>
    <cellStyle name="Обычный 9 5 6 3 2 3 2" xfId="54746"/>
    <cellStyle name="Обычный 9 5 6 3 2 3 3" xfId="54747"/>
    <cellStyle name="Обычный 9 5 6 3 2 4" xfId="54748"/>
    <cellStyle name="Обычный 9 5 6 3 2 4 2" xfId="54749"/>
    <cellStyle name="Обычный 9 5 6 3 2 5" xfId="54750"/>
    <cellStyle name="Обычный 9 5 6 3 2 6" xfId="54751"/>
    <cellStyle name="Обычный 9 5 6 3 3" xfId="54752"/>
    <cellStyle name="Обычный 9 5 6 3 3 2" xfId="54753"/>
    <cellStyle name="Обычный 9 5 6 3 3 3" xfId="54754"/>
    <cellStyle name="Обычный 9 5 6 3 4" xfId="54755"/>
    <cellStyle name="Обычный 9 5 6 3 4 2" xfId="54756"/>
    <cellStyle name="Обычный 9 5 6 3 4 3" xfId="54757"/>
    <cellStyle name="Обычный 9 5 6 3 5" xfId="54758"/>
    <cellStyle name="Обычный 9 5 6 3 5 2" xfId="54759"/>
    <cellStyle name="Обычный 9 5 6 3 6" xfId="54760"/>
    <cellStyle name="Обычный 9 5 6 3 7" xfId="54761"/>
    <cellStyle name="Обычный 9 5 6 4" xfId="54762"/>
    <cellStyle name="Обычный 9 5 6 4 2" xfId="54763"/>
    <cellStyle name="Обычный 9 5 6 4 2 2" xfId="54764"/>
    <cellStyle name="Обычный 9 5 6 4 2 3" xfId="54765"/>
    <cellStyle name="Обычный 9 5 6 4 3" xfId="54766"/>
    <cellStyle name="Обычный 9 5 6 4 3 2" xfId="54767"/>
    <cellStyle name="Обычный 9 5 6 4 3 3" xfId="54768"/>
    <cellStyle name="Обычный 9 5 6 4 4" xfId="54769"/>
    <cellStyle name="Обычный 9 5 6 4 4 2" xfId="54770"/>
    <cellStyle name="Обычный 9 5 6 4 5" xfId="54771"/>
    <cellStyle name="Обычный 9 5 6 4 6" xfId="54772"/>
    <cellStyle name="Обычный 9 5 6 5" xfId="54773"/>
    <cellStyle name="Обычный 9 5 6 5 2" xfId="54774"/>
    <cellStyle name="Обычный 9 5 6 5 3" xfId="54775"/>
    <cellStyle name="Обычный 9 5 6 6" xfId="54776"/>
    <cellStyle name="Обычный 9 5 6 6 2" xfId="54777"/>
    <cellStyle name="Обычный 9 5 6 6 3" xfId="54778"/>
    <cellStyle name="Обычный 9 5 6 7" xfId="54779"/>
    <cellStyle name="Обычный 9 5 6 7 2" xfId="54780"/>
    <cellStyle name="Обычный 9 5 6 8" xfId="54781"/>
    <cellStyle name="Обычный 9 5 6 9" xfId="54782"/>
    <cellStyle name="Обычный 9 5 7" xfId="54783"/>
    <cellStyle name="Обычный 9 5 7 2" xfId="54784"/>
    <cellStyle name="Обычный 9 5 7 2 2" xfId="54785"/>
    <cellStyle name="Обычный 9 5 7 2 2 2" xfId="54786"/>
    <cellStyle name="Обычный 9 5 7 2 2 2 2" xfId="54787"/>
    <cellStyle name="Обычный 9 5 7 2 2 2 3" xfId="54788"/>
    <cellStyle name="Обычный 9 5 7 2 2 3" xfId="54789"/>
    <cellStyle name="Обычный 9 5 7 2 2 3 2" xfId="54790"/>
    <cellStyle name="Обычный 9 5 7 2 2 3 3" xfId="54791"/>
    <cellStyle name="Обычный 9 5 7 2 2 4" xfId="54792"/>
    <cellStyle name="Обычный 9 5 7 2 2 4 2" xfId="54793"/>
    <cellStyle name="Обычный 9 5 7 2 2 5" xfId="54794"/>
    <cellStyle name="Обычный 9 5 7 2 2 6" xfId="54795"/>
    <cellStyle name="Обычный 9 5 7 2 3" xfId="54796"/>
    <cellStyle name="Обычный 9 5 7 2 3 2" xfId="54797"/>
    <cellStyle name="Обычный 9 5 7 2 3 3" xfId="54798"/>
    <cellStyle name="Обычный 9 5 7 2 4" xfId="54799"/>
    <cellStyle name="Обычный 9 5 7 2 4 2" xfId="54800"/>
    <cellStyle name="Обычный 9 5 7 2 4 3" xfId="54801"/>
    <cellStyle name="Обычный 9 5 7 2 5" xfId="54802"/>
    <cellStyle name="Обычный 9 5 7 2 5 2" xfId="54803"/>
    <cellStyle name="Обычный 9 5 7 2 6" xfId="54804"/>
    <cellStyle name="Обычный 9 5 7 2 7" xfId="54805"/>
    <cellStyle name="Обычный 9 5 7 3" xfId="54806"/>
    <cellStyle name="Обычный 9 5 7 3 2" xfId="54807"/>
    <cellStyle name="Обычный 9 5 7 3 2 2" xfId="54808"/>
    <cellStyle name="Обычный 9 5 7 3 2 3" xfId="54809"/>
    <cellStyle name="Обычный 9 5 7 3 3" xfId="54810"/>
    <cellStyle name="Обычный 9 5 7 3 3 2" xfId="54811"/>
    <cellStyle name="Обычный 9 5 7 3 3 3" xfId="54812"/>
    <cellStyle name="Обычный 9 5 7 3 4" xfId="54813"/>
    <cellStyle name="Обычный 9 5 7 3 4 2" xfId="54814"/>
    <cellStyle name="Обычный 9 5 7 3 5" xfId="54815"/>
    <cellStyle name="Обычный 9 5 7 3 6" xfId="54816"/>
    <cellStyle name="Обычный 9 5 7 4" xfId="54817"/>
    <cellStyle name="Обычный 9 5 7 4 2" xfId="54818"/>
    <cellStyle name="Обычный 9 5 7 4 3" xfId="54819"/>
    <cellStyle name="Обычный 9 5 7 5" xfId="54820"/>
    <cellStyle name="Обычный 9 5 7 5 2" xfId="54821"/>
    <cellStyle name="Обычный 9 5 7 5 3" xfId="54822"/>
    <cellStyle name="Обычный 9 5 7 6" xfId="54823"/>
    <cellStyle name="Обычный 9 5 7 6 2" xfId="54824"/>
    <cellStyle name="Обычный 9 5 7 7" xfId="54825"/>
    <cellStyle name="Обычный 9 5 7 8" xfId="54826"/>
    <cellStyle name="Обычный 9 5 8" xfId="54827"/>
    <cellStyle name="Обычный 9 5 8 2" xfId="54828"/>
    <cellStyle name="Обычный 9 5 8 2 2" xfId="54829"/>
    <cellStyle name="Обычный 9 5 8 2 2 2" xfId="54830"/>
    <cellStyle name="Обычный 9 5 8 2 2 3" xfId="54831"/>
    <cellStyle name="Обычный 9 5 8 2 3" xfId="54832"/>
    <cellStyle name="Обычный 9 5 8 2 3 2" xfId="54833"/>
    <cellStyle name="Обычный 9 5 8 2 3 3" xfId="54834"/>
    <cellStyle name="Обычный 9 5 8 2 4" xfId="54835"/>
    <cellStyle name="Обычный 9 5 8 2 4 2" xfId="54836"/>
    <cellStyle name="Обычный 9 5 8 2 5" xfId="54837"/>
    <cellStyle name="Обычный 9 5 8 2 6" xfId="54838"/>
    <cellStyle name="Обычный 9 5 8 3" xfId="54839"/>
    <cellStyle name="Обычный 9 5 8 3 2" xfId="54840"/>
    <cellStyle name="Обычный 9 5 8 3 3" xfId="54841"/>
    <cellStyle name="Обычный 9 5 8 4" xfId="54842"/>
    <cellStyle name="Обычный 9 5 8 4 2" xfId="54843"/>
    <cellStyle name="Обычный 9 5 8 4 3" xfId="54844"/>
    <cellStyle name="Обычный 9 5 8 5" xfId="54845"/>
    <cellStyle name="Обычный 9 5 8 5 2" xfId="54846"/>
    <cellStyle name="Обычный 9 5 8 6" xfId="54847"/>
    <cellStyle name="Обычный 9 5 8 7" xfId="54848"/>
    <cellStyle name="Обычный 9 5 9" xfId="54849"/>
    <cellStyle name="Обычный 9 5 9 2" xfId="54850"/>
    <cellStyle name="Обычный 9 5 9 2 2" xfId="54851"/>
    <cellStyle name="Обычный 9 5 9 2 3" xfId="54852"/>
    <cellStyle name="Обычный 9 5 9 3" xfId="54853"/>
    <cellStyle name="Обычный 9 5 9 3 2" xfId="54854"/>
    <cellStyle name="Обычный 9 5 9 3 3" xfId="54855"/>
    <cellStyle name="Обычный 9 5 9 4" xfId="54856"/>
    <cellStyle name="Обычный 9 5 9 4 2" xfId="54857"/>
    <cellStyle name="Обычный 9 5 9 5" xfId="54858"/>
    <cellStyle name="Обычный 9 5 9 6" xfId="54859"/>
    <cellStyle name="Обычный 9 6" xfId="54860"/>
    <cellStyle name="Обычный 9 6 10" xfId="54861"/>
    <cellStyle name="Обычный 9 6 10 2" xfId="54862"/>
    <cellStyle name="Обычный 9 6 10 3" xfId="54863"/>
    <cellStyle name="Обычный 9 6 11" xfId="54864"/>
    <cellStyle name="Обычный 9 6 11 2" xfId="54865"/>
    <cellStyle name="Обычный 9 6 11 3" xfId="54866"/>
    <cellStyle name="Обычный 9 6 12" xfId="54867"/>
    <cellStyle name="Обычный 9 6 12 2" xfId="54868"/>
    <cellStyle name="Обычный 9 6 13" xfId="54869"/>
    <cellStyle name="Обычный 9 6 14" xfId="54870"/>
    <cellStyle name="Обычный 9 6 2" xfId="54871"/>
    <cellStyle name="Обычный 9 6 2 10" xfId="54872"/>
    <cellStyle name="Обычный 9 6 2 10 2" xfId="54873"/>
    <cellStyle name="Обычный 9 6 2 10 3" xfId="54874"/>
    <cellStyle name="Обычный 9 6 2 11" xfId="54875"/>
    <cellStyle name="Обычный 9 6 2 11 2" xfId="54876"/>
    <cellStyle name="Обычный 9 6 2 12" xfId="54877"/>
    <cellStyle name="Обычный 9 6 2 13" xfId="54878"/>
    <cellStyle name="Обычный 9 6 2 2" xfId="54879"/>
    <cellStyle name="Обычный 9 6 2 2 10" xfId="54880"/>
    <cellStyle name="Обычный 9 6 2 2 2" xfId="54881"/>
    <cellStyle name="Обычный 9 6 2 2 2 2" xfId="54882"/>
    <cellStyle name="Обычный 9 6 2 2 2 2 2" xfId="54883"/>
    <cellStyle name="Обычный 9 6 2 2 2 2 2 2" xfId="54884"/>
    <cellStyle name="Обычный 9 6 2 2 2 2 2 2 2" xfId="54885"/>
    <cellStyle name="Обычный 9 6 2 2 2 2 2 2 2 2" xfId="54886"/>
    <cellStyle name="Обычный 9 6 2 2 2 2 2 2 2 3" xfId="54887"/>
    <cellStyle name="Обычный 9 6 2 2 2 2 2 2 3" xfId="54888"/>
    <cellStyle name="Обычный 9 6 2 2 2 2 2 2 3 2" xfId="54889"/>
    <cellStyle name="Обычный 9 6 2 2 2 2 2 2 3 3" xfId="54890"/>
    <cellStyle name="Обычный 9 6 2 2 2 2 2 2 4" xfId="54891"/>
    <cellStyle name="Обычный 9 6 2 2 2 2 2 2 4 2" xfId="54892"/>
    <cellStyle name="Обычный 9 6 2 2 2 2 2 2 5" xfId="54893"/>
    <cellStyle name="Обычный 9 6 2 2 2 2 2 2 6" xfId="54894"/>
    <cellStyle name="Обычный 9 6 2 2 2 2 2 3" xfId="54895"/>
    <cellStyle name="Обычный 9 6 2 2 2 2 2 3 2" xfId="54896"/>
    <cellStyle name="Обычный 9 6 2 2 2 2 2 3 3" xfId="54897"/>
    <cellStyle name="Обычный 9 6 2 2 2 2 2 4" xfId="54898"/>
    <cellStyle name="Обычный 9 6 2 2 2 2 2 4 2" xfId="54899"/>
    <cellStyle name="Обычный 9 6 2 2 2 2 2 4 3" xfId="54900"/>
    <cellStyle name="Обычный 9 6 2 2 2 2 2 5" xfId="54901"/>
    <cellStyle name="Обычный 9 6 2 2 2 2 2 5 2" xfId="54902"/>
    <cellStyle name="Обычный 9 6 2 2 2 2 2 6" xfId="54903"/>
    <cellStyle name="Обычный 9 6 2 2 2 2 2 7" xfId="54904"/>
    <cellStyle name="Обычный 9 6 2 2 2 2 3" xfId="54905"/>
    <cellStyle name="Обычный 9 6 2 2 2 2 3 2" xfId="54906"/>
    <cellStyle name="Обычный 9 6 2 2 2 2 3 2 2" xfId="54907"/>
    <cellStyle name="Обычный 9 6 2 2 2 2 3 2 3" xfId="54908"/>
    <cellStyle name="Обычный 9 6 2 2 2 2 3 3" xfId="54909"/>
    <cellStyle name="Обычный 9 6 2 2 2 2 3 3 2" xfId="54910"/>
    <cellStyle name="Обычный 9 6 2 2 2 2 3 3 3" xfId="54911"/>
    <cellStyle name="Обычный 9 6 2 2 2 2 3 4" xfId="54912"/>
    <cellStyle name="Обычный 9 6 2 2 2 2 3 4 2" xfId="54913"/>
    <cellStyle name="Обычный 9 6 2 2 2 2 3 5" xfId="54914"/>
    <cellStyle name="Обычный 9 6 2 2 2 2 3 6" xfId="54915"/>
    <cellStyle name="Обычный 9 6 2 2 2 2 4" xfId="54916"/>
    <cellStyle name="Обычный 9 6 2 2 2 2 4 2" xfId="54917"/>
    <cellStyle name="Обычный 9 6 2 2 2 2 4 3" xfId="54918"/>
    <cellStyle name="Обычный 9 6 2 2 2 2 5" xfId="54919"/>
    <cellStyle name="Обычный 9 6 2 2 2 2 5 2" xfId="54920"/>
    <cellStyle name="Обычный 9 6 2 2 2 2 5 3" xfId="54921"/>
    <cellStyle name="Обычный 9 6 2 2 2 2 6" xfId="54922"/>
    <cellStyle name="Обычный 9 6 2 2 2 2 6 2" xfId="54923"/>
    <cellStyle name="Обычный 9 6 2 2 2 2 7" xfId="54924"/>
    <cellStyle name="Обычный 9 6 2 2 2 2 8" xfId="54925"/>
    <cellStyle name="Обычный 9 6 2 2 2 3" xfId="54926"/>
    <cellStyle name="Обычный 9 6 2 2 2 3 2" xfId="54927"/>
    <cellStyle name="Обычный 9 6 2 2 2 3 2 2" xfId="54928"/>
    <cellStyle name="Обычный 9 6 2 2 2 3 2 2 2" xfId="54929"/>
    <cellStyle name="Обычный 9 6 2 2 2 3 2 2 3" xfId="54930"/>
    <cellStyle name="Обычный 9 6 2 2 2 3 2 3" xfId="54931"/>
    <cellStyle name="Обычный 9 6 2 2 2 3 2 3 2" xfId="54932"/>
    <cellStyle name="Обычный 9 6 2 2 2 3 2 3 3" xfId="54933"/>
    <cellStyle name="Обычный 9 6 2 2 2 3 2 4" xfId="54934"/>
    <cellStyle name="Обычный 9 6 2 2 2 3 2 4 2" xfId="54935"/>
    <cellStyle name="Обычный 9 6 2 2 2 3 2 5" xfId="54936"/>
    <cellStyle name="Обычный 9 6 2 2 2 3 2 6" xfId="54937"/>
    <cellStyle name="Обычный 9 6 2 2 2 3 3" xfId="54938"/>
    <cellStyle name="Обычный 9 6 2 2 2 3 3 2" xfId="54939"/>
    <cellStyle name="Обычный 9 6 2 2 2 3 3 3" xfId="54940"/>
    <cellStyle name="Обычный 9 6 2 2 2 3 4" xfId="54941"/>
    <cellStyle name="Обычный 9 6 2 2 2 3 4 2" xfId="54942"/>
    <cellStyle name="Обычный 9 6 2 2 2 3 4 3" xfId="54943"/>
    <cellStyle name="Обычный 9 6 2 2 2 3 5" xfId="54944"/>
    <cellStyle name="Обычный 9 6 2 2 2 3 5 2" xfId="54945"/>
    <cellStyle name="Обычный 9 6 2 2 2 3 6" xfId="54946"/>
    <cellStyle name="Обычный 9 6 2 2 2 3 7" xfId="54947"/>
    <cellStyle name="Обычный 9 6 2 2 2 4" xfId="54948"/>
    <cellStyle name="Обычный 9 6 2 2 2 4 2" xfId="54949"/>
    <cellStyle name="Обычный 9 6 2 2 2 4 2 2" xfId="54950"/>
    <cellStyle name="Обычный 9 6 2 2 2 4 2 3" xfId="54951"/>
    <cellStyle name="Обычный 9 6 2 2 2 4 3" xfId="54952"/>
    <cellStyle name="Обычный 9 6 2 2 2 4 3 2" xfId="54953"/>
    <cellStyle name="Обычный 9 6 2 2 2 4 3 3" xfId="54954"/>
    <cellStyle name="Обычный 9 6 2 2 2 4 4" xfId="54955"/>
    <cellStyle name="Обычный 9 6 2 2 2 4 4 2" xfId="54956"/>
    <cellStyle name="Обычный 9 6 2 2 2 4 5" xfId="54957"/>
    <cellStyle name="Обычный 9 6 2 2 2 4 6" xfId="54958"/>
    <cellStyle name="Обычный 9 6 2 2 2 5" xfId="54959"/>
    <cellStyle name="Обычный 9 6 2 2 2 5 2" xfId="54960"/>
    <cellStyle name="Обычный 9 6 2 2 2 5 3" xfId="54961"/>
    <cellStyle name="Обычный 9 6 2 2 2 6" xfId="54962"/>
    <cellStyle name="Обычный 9 6 2 2 2 6 2" xfId="54963"/>
    <cellStyle name="Обычный 9 6 2 2 2 6 3" xfId="54964"/>
    <cellStyle name="Обычный 9 6 2 2 2 7" xfId="54965"/>
    <cellStyle name="Обычный 9 6 2 2 2 7 2" xfId="54966"/>
    <cellStyle name="Обычный 9 6 2 2 2 8" xfId="54967"/>
    <cellStyle name="Обычный 9 6 2 2 2 9" xfId="54968"/>
    <cellStyle name="Обычный 9 6 2 2 3" xfId="54969"/>
    <cellStyle name="Обычный 9 6 2 2 3 2" xfId="54970"/>
    <cellStyle name="Обычный 9 6 2 2 3 2 2" xfId="54971"/>
    <cellStyle name="Обычный 9 6 2 2 3 2 2 2" xfId="54972"/>
    <cellStyle name="Обычный 9 6 2 2 3 2 2 2 2" xfId="54973"/>
    <cellStyle name="Обычный 9 6 2 2 3 2 2 2 3" xfId="54974"/>
    <cellStyle name="Обычный 9 6 2 2 3 2 2 3" xfId="54975"/>
    <cellStyle name="Обычный 9 6 2 2 3 2 2 3 2" xfId="54976"/>
    <cellStyle name="Обычный 9 6 2 2 3 2 2 3 3" xfId="54977"/>
    <cellStyle name="Обычный 9 6 2 2 3 2 2 4" xfId="54978"/>
    <cellStyle name="Обычный 9 6 2 2 3 2 2 4 2" xfId="54979"/>
    <cellStyle name="Обычный 9 6 2 2 3 2 2 5" xfId="54980"/>
    <cellStyle name="Обычный 9 6 2 2 3 2 2 6" xfId="54981"/>
    <cellStyle name="Обычный 9 6 2 2 3 2 3" xfId="54982"/>
    <cellStyle name="Обычный 9 6 2 2 3 2 3 2" xfId="54983"/>
    <cellStyle name="Обычный 9 6 2 2 3 2 3 3" xfId="54984"/>
    <cellStyle name="Обычный 9 6 2 2 3 2 4" xfId="54985"/>
    <cellStyle name="Обычный 9 6 2 2 3 2 4 2" xfId="54986"/>
    <cellStyle name="Обычный 9 6 2 2 3 2 4 3" xfId="54987"/>
    <cellStyle name="Обычный 9 6 2 2 3 2 5" xfId="54988"/>
    <cellStyle name="Обычный 9 6 2 2 3 2 5 2" xfId="54989"/>
    <cellStyle name="Обычный 9 6 2 2 3 2 6" xfId="54990"/>
    <cellStyle name="Обычный 9 6 2 2 3 2 7" xfId="54991"/>
    <cellStyle name="Обычный 9 6 2 2 3 3" xfId="54992"/>
    <cellStyle name="Обычный 9 6 2 2 3 3 2" xfId="54993"/>
    <cellStyle name="Обычный 9 6 2 2 3 3 2 2" xfId="54994"/>
    <cellStyle name="Обычный 9 6 2 2 3 3 2 3" xfId="54995"/>
    <cellStyle name="Обычный 9 6 2 2 3 3 3" xfId="54996"/>
    <cellStyle name="Обычный 9 6 2 2 3 3 3 2" xfId="54997"/>
    <cellStyle name="Обычный 9 6 2 2 3 3 3 3" xfId="54998"/>
    <cellStyle name="Обычный 9 6 2 2 3 3 4" xfId="54999"/>
    <cellStyle name="Обычный 9 6 2 2 3 3 4 2" xfId="55000"/>
    <cellStyle name="Обычный 9 6 2 2 3 3 5" xfId="55001"/>
    <cellStyle name="Обычный 9 6 2 2 3 3 6" xfId="55002"/>
    <cellStyle name="Обычный 9 6 2 2 3 4" xfId="55003"/>
    <cellStyle name="Обычный 9 6 2 2 3 4 2" xfId="55004"/>
    <cellStyle name="Обычный 9 6 2 2 3 4 3" xfId="55005"/>
    <cellStyle name="Обычный 9 6 2 2 3 5" xfId="55006"/>
    <cellStyle name="Обычный 9 6 2 2 3 5 2" xfId="55007"/>
    <cellStyle name="Обычный 9 6 2 2 3 5 3" xfId="55008"/>
    <cellStyle name="Обычный 9 6 2 2 3 6" xfId="55009"/>
    <cellStyle name="Обычный 9 6 2 2 3 6 2" xfId="55010"/>
    <cellStyle name="Обычный 9 6 2 2 3 7" xfId="55011"/>
    <cellStyle name="Обычный 9 6 2 2 3 8" xfId="55012"/>
    <cellStyle name="Обычный 9 6 2 2 4" xfId="55013"/>
    <cellStyle name="Обычный 9 6 2 2 4 2" xfId="55014"/>
    <cellStyle name="Обычный 9 6 2 2 4 2 2" xfId="55015"/>
    <cellStyle name="Обычный 9 6 2 2 4 2 2 2" xfId="55016"/>
    <cellStyle name="Обычный 9 6 2 2 4 2 2 3" xfId="55017"/>
    <cellStyle name="Обычный 9 6 2 2 4 2 3" xfId="55018"/>
    <cellStyle name="Обычный 9 6 2 2 4 2 3 2" xfId="55019"/>
    <cellStyle name="Обычный 9 6 2 2 4 2 3 3" xfId="55020"/>
    <cellStyle name="Обычный 9 6 2 2 4 2 4" xfId="55021"/>
    <cellStyle name="Обычный 9 6 2 2 4 2 4 2" xfId="55022"/>
    <cellStyle name="Обычный 9 6 2 2 4 2 5" xfId="55023"/>
    <cellStyle name="Обычный 9 6 2 2 4 2 6" xfId="55024"/>
    <cellStyle name="Обычный 9 6 2 2 4 3" xfId="55025"/>
    <cellStyle name="Обычный 9 6 2 2 4 3 2" xfId="55026"/>
    <cellStyle name="Обычный 9 6 2 2 4 3 3" xfId="55027"/>
    <cellStyle name="Обычный 9 6 2 2 4 4" xfId="55028"/>
    <cellStyle name="Обычный 9 6 2 2 4 4 2" xfId="55029"/>
    <cellStyle name="Обычный 9 6 2 2 4 4 3" xfId="55030"/>
    <cellStyle name="Обычный 9 6 2 2 4 5" xfId="55031"/>
    <cellStyle name="Обычный 9 6 2 2 4 5 2" xfId="55032"/>
    <cellStyle name="Обычный 9 6 2 2 4 6" xfId="55033"/>
    <cellStyle name="Обычный 9 6 2 2 4 7" xfId="55034"/>
    <cellStyle name="Обычный 9 6 2 2 5" xfId="55035"/>
    <cellStyle name="Обычный 9 6 2 2 5 2" xfId="55036"/>
    <cellStyle name="Обычный 9 6 2 2 5 2 2" xfId="55037"/>
    <cellStyle name="Обычный 9 6 2 2 5 2 3" xfId="55038"/>
    <cellStyle name="Обычный 9 6 2 2 5 3" xfId="55039"/>
    <cellStyle name="Обычный 9 6 2 2 5 3 2" xfId="55040"/>
    <cellStyle name="Обычный 9 6 2 2 5 3 3" xfId="55041"/>
    <cellStyle name="Обычный 9 6 2 2 5 4" xfId="55042"/>
    <cellStyle name="Обычный 9 6 2 2 5 4 2" xfId="55043"/>
    <cellStyle name="Обычный 9 6 2 2 5 5" xfId="55044"/>
    <cellStyle name="Обычный 9 6 2 2 5 6" xfId="55045"/>
    <cellStyle name="Обычный 9 6 2 2 6" xfId="55046"/>
    <cellStyle name="Обычный 9 6 2 2 6 2" xfId="55047"/>
    <cellStyle name="Обычный 9 6 2 2 6 3" xfId="55048"/>
    <cellStyle name="Обычный 9 6 2 2 7" xfId="55049"/>
    <cellStyle name="Обычный 9 6 2 2 7 2" xfId="55050"/>
    <cellStyle name="Обычный 9 6 2 2 7 3" xfId="55051"/>
    <cellStyle name="Обычный 9 6 2 2 8" xfId="55052"/>
    <cellStyle name="Обычный 9 6 2 2 8 2" xfId="55053"/>
    <cellStyle name="Обычный 9 6 2 2 9" xfId="55054"/>
    <cellStyle name="Обычный 9 6 2 3" xfId="55055"/>
    <cellStyle name="Обычный 9 6 2 3 10" xfId="55056"/>
    <cellStyle name="Обычный 9 6 2 3 2" xfId="55057"/>
    <cellStyle name="Обычный 9 6 2 3 2 2" xfId="55058"/>
    <cellStyle name="Обычный 9 6 2 3 2 2 2" xfId="55059"/>
    <cellStyle name="Обычный 9 6 2 3 2 2 2 2" xfId="55060"/>
    <cellStyle name="Обычный 9 6 2 3 2 2 2 2 2" xfId="55061"/>
    <cellStyle name="Обычный 9 6 2 3 2 2 2 2 2 2" xfId="55062"/>
    <cellStyle name="Обычный 9 6 2 3 2 2 2 2 2 3" xfId="55063"/>
    <cellStyle name="Обычный 9 6 2 3 2 2 2 2 3" xfId="55064"/>
    <cellStyle name="Обычный 9 6 2 3 2 2 2 2 3 2" xfId="55065"/>
    <cellStyle name="Обычный 9 6 2 3 2 2 2 2 3 3" xfId="55066"/>
    <cellStyle name="Обычный 9 6 2 3 2 2 2 2 4" xfId="55067"/>
    <cellStyle name="Обычный 9 6 2 3 2 2 2 2 4 2" xfId="55068"/>
    <cellStyle name="Обычный 9 6 2 3 2 2 2 2 5" xfId="55069"/>
    <cellStyle name="Обычный 9 6 2 3 2 2 2 2 6" xfId="55070"/>
    <cellStyle name="Обычный 9 6 2 3 2 2 2 3" xfId="55071"/>
    <cellStyle name="Обычный 9 6 2 3 2 2 2 3 2" xfId="55072"/>
    <cellStyle name="Обычный 9 6 2 3 2 2 2 3 3" xfId="55073"/>
    <cellStyle name="Обычный 9 6 2 3 2 2 2 4" xfId="55074"/>
    <cellStyle name="Обычный 9 6 2 3 2 2 2 4 2" xfId="55075"/>
    <cellStyle name="Обычный 9 6 2 3 2 2 2 4 3" xfId="55076"/>
    <cellStyle name="Обычный 9 6 2 3 2 2 2 5" xfId="55077"/>
    <cellStyle name="Обычный 9 6 2 3 2 2 2 5 2" xfId="55078"/>
    <cellStyle name="Обычный 9 6 2 3 2 2 2 6" xfId="55079"/>
    <cellStyle name="Обычный 9 6 2 3 2 2 2 7" xfId="55080"/>
    <cellStyle name="Обычный 9 6 2 3 2 2 3" xfId="55081"/>
    <cellStyle name="Обычный 9 6 2 3 2 2 3 2" xfId="55082"/>
    <cellStyle name="Обычный 9 6 2 3 2 2 3 2 2" xfId="55083"/>
    <cellStyle name="Обычный 9 6 2 3 2 2 3 2 3" xfId="55084"/>
    <cellStyle name="Обычный 9 6 2 3 2 2 3 3" xfId="55085"/>
    <cellStyle name="Обычный 9 6 2 3 2 2 3 3 2" xfId="55086"/>
    <cellStyle name="Обычный 9 6 2 3 2 2 3 3 3" xfId="55087"/>
    <cellStyle name="Обычный 9 6 2 3 2 2 3 4" xfId="55088"/>
    <cellStyle name="Обычный 9 6 2 3 2 2 3 4 2" xfId="55089"/>
    <cellStyle name="Обычный 9 6 2 3 2 2 3 5" xfId="55090"/>
    <cellStyle name="Обычный 9 6 2 3 2 2 3 6" xfId="55091"/>
    <cellStyle name="Обычный 9 6 2 3 2 2 4" xfId="55092"/>
    <cellStyle name="Обычный 9 6 2 3 2 2 4 2" xfId="55093"/>
    <cellStyle name="Обычный 9 6 2 3 2 2 4 3" xfId="55094"/>
    <cellStyle name="Обычный 9 6 2 3 2 2 5" xfId="55095"/>
    <cellStyle name="Обычный 9 6 2 3 2 2 5 2" xfId="55096"/>
    <cellStyle name="Обычный 9 6 2 3 2 2 5 3" xfId="55097"/>
    <cellStyle name="Обычный 9 6 2 3 2 2 6" xfId="55098"/>
    <cellStyle name="Обычный 9 6 2 3 2 2 6 2" xfId="55099"/>
    <cellStyle name="Обычный 9 6 2 3 2 2 7" xfId="55100"/>
    <cellStyle name="Обычный 9 6 2 3 2 2 8" xfId="55101"/>
    <cellStyle name="Обычный 9 6 2 3 2 3" xfId="55102"/>
    <cellStyle name="Обычный 9 6 2 3 2 3 2" xfId="55103"/>
    <cellStyle name="Обычный 9 6 2 3 2 3 2 2" xfId="55104"/>
    <cellStyle name="Обычный 9 6 2 3 2 3 2 2 2" xfId="55105"/>
    <cellStyle name="Обычный 9 6 2 3 2 3 2 2 3" xfId="55106"/>
    <cellStyle name="Обычный 9 6 2 3 2 3 2 3" xfId="55107"/>
    <cellStyle name="Обычный 9 6 2 3 2 3 2 3 2" xfId="55108"/>
    <cellStyle name="Обычный 9 6 2 3 2 3 2 3 3" xfId="55109"/>
    <cellStyle name="Обычный 9 6 2 3 2 3 2 4" xfId="55110"/>
    <cellStyle name="Обычный 9 6 2 3 2 3 2 4 2" xfId="55111"/>
    <cellStyle name="Обычный 9 6 2 3 2 3 2 5" xfId="55112"/>
    <cellStyle name="Обычный 9 6 2 3 2 3 2 6" xfId="55113"/>
    <cellStyle name="Обычный 9 6 2 3 2 3 3" xfId="55114"/>
    <cellStyle name="Обычный 9 6 2 3 2 3 3 2" xfId="55115"/>
    <cellStyle name="Обычный 9 6 2 3 2 3 3 3" xfId="55116"/>
    <cellStyle name="Обычный 9 6 2 3 2 3 4" xfId="55117"/>
    <cellStyle name="Обычный 9 6 2 3 2 3 4 2" xfId="55118"/>
    <cellStyle name="Обычный 9 6 2 3 2 3 4 3" xfId="55119"/>
    <cellStyle name="Обычный 9 6 2 3 2 3 5" xfId="55120"/>
    <cellStyle name="Обычный 9 6 2 3 2 3 5 2" xfId="55121"/>
    <cellStyle name="Обычный 9 6 2 3 2 3 6" xfId="55122"/>
    <cellStyle name="Обычный 9 6 2 3 2 3 7" xfId="55123"/>
    <cellStyle name="Обычный 9 6 2 3 2 4" xfId="55124"/>
    <cellStyle name="Обычный 9 6 2 3 2 4 2" xfId="55125"/>
    <cellStyle name="Обычный 9 6 2 3 2 4 2 2" xfId="55126"/>
    <cellStyle name="Обычный 9 6 2 3 2 4 2 3" xfId="55127"/>
    <cellStyle name="Обычный 9 6 2 3 2 4 3" xfId="55128"/>
    <cellStyle name="Обычный 9 6 2 3 2 4 3 2" xfId="55129"/>
    <cellStyle name="Обычный 9 6 2 3 2 4 3 3" xfId="55130"/>
    <cellStyle name="Обычный 9 6 2 3 2 4 4" xfId="55131"/>
    <cellStyle name="Обычный 9 6 2 3 2 4 4 2" xfId="55132"/>
    <cellStyle name="Обычный 9 6 2 3 2 4 5" xfId="55133"/>
    <cellStyle name="Обычный 9 6 2 3 2 4 6" xfId="55134"/>
    <cellStyle name="Обычный 9 6 2 3 2 5" xfId="55135"/>
    <cellStyle name="Обычный 9 6 2 3 2 5 2" xfId="55136"/>
    <cellStyle name="Обычный 9 6 2 3 2 5 3" xfId="55137"/>
    <cellStyle name="Обычный 9 6 2 3 2 6" xfId="55138"/>
    <cellStyle name="Обычный 9 6 2 3 2 6 2" xfId="55139"/>
    <cellStyle name="Обычный 9 6 2 3 2 6 3" xfId="55140"/>
    <cellStyle name="Обычный 9 6 2 3 2 7" xfId="55141"/>
    <cellStyle name="Обычный 9 6 2 3 2 7 2" xfId="55142"/>
    <cellStyle name="Обычный 9 6 2 3 2 8" xfId="55143"/>
    <cellStyle name="Обычный 9 6 2 3 2 9" xfId="55144"/>
    <cellStyle name="Обычный 9 6 2 3 3" xfId="55145"/>
    <cellStyle name="Обычный 9 6 2 3 3 2" xfId="55146"/>
    <cellStyle name="Обычный 9 6 2 3 3 2 2" xfId="55147"/>
    <cellStyle name="Обычный 9 6 2 3 3 2 2 2" xfId="55148"/>
    <cellStyle name="Обычный 9 6 2 3 3 2 2 2 2" xfId="55149"/>
    <cellStyle name="Обычный 9 6 2 3 3 2 2 2 3" xfId="55150"/>
    <cellStyle name="Обычный 9 6 2 3 3 2 2 3" xfId="55151"/>
    <cellStyle name="Обычный 9 6 2 3 3 2 2 3 2" xfId="55152"/>
    <cellStyle name="Обычный 9 6 2 3 3 2 2 3 3" xfId="55153"/>
    <cellStyle name="Обычный 9 6 2 3 3 2 2 4" xfId="55154"/>
    <cellStyle name="Обычный 9 6 2 3 3 2 2 4 2" xfId="55155"/>
    <cellStyle name="Обычный 9 6 2 3 3 2 2 5" xfId="55156"/>
    <cellStyle name="Обычный 9 6 2 3 3 2 2 6" xfId="55157"/>
    <cellStyle name="Обычный 9 6 2 3 3 2 3" xfId="55158"/>
    <cellStyle name="Обычный 9 6 2 3 3 2 3 2" xfId="55159"/>
    <cellStyle name="Обычный 9 6 2 3 3 2 3 3" xfId="55160"/>
    <cellStyle name="Обычный 9 6 2 3 3 2 4" xfId="55161"/>
    <cellStyle name="Обычный 9 6 2 3 3 2 4 2" xfId="55162"/>
    <cellStyle name="Обычный 9 6 2 3 3 2 4 3" xfId="55163"/>
    <cellStyle name="Обычный 9 6 2 3 3 2 5" xfId="55164"/>
    <cellStyle name="Обычный 9 6 2 3 3 2 5 2" xfId="55165"/>
    <cellStyle name="Обычный 9 6 2 3 3 2 6" xfId="55166"/>
    <cellStyle name="Обычный 9 6 2 3 3 2 7" xfId="55167"/>
    <cellStyle name="Обычный 9 6 2 3 3 3" xfId="55168"/>
    <cellStyle name="Обычный 9 6 2 3 3 3 2" xfId="55169"/>
    <cellStyle name="Обычный 9 6 2 3 3 3 2 2" xfId="55170"/>
    <cellStyle name="Обычный 9 6 2 3 3 3 2 3" xfId="55171"/>
    <cellStyle name="Обычный 9 6 2 3 3 3 3" xfId="55172"/>
    <cellStyle name="Обычный 9 6 2 3 3 3 3 2" xfId="55173"/>
    <cellStyle name="Обычный 9 6 2 3 3 3 3 3" xfId="55174"/>
    <cellStyle name="Обычный 9 6 2 3 3 3 4" xfId="55175"/>
    <cellStyle name="Обычный 9 6 2 3 3 3 4 2" xfId="55176"/>
    <cellStyle name="Обычный 9 6 2 3 3 3 5" xfId="55177"/>
    <cellStyle name="Обычный 9 6 2 3 3 3 6" xfId="55178"/>
    <cellStyle name="Обычный 9 6 2 3 3 4" xfId="55179"/>
    <cellStyle name="Обычный 9 6 2 3 3 4 2" xfId="55180"/>
    <cellStyle name="Обычный 9 6 2 3 3 4 3" xfId="55181"/>
    <cellStyle name="Обычный 9 6 2 3 3 5" xfId="55182"/>
    <cellStyle name="Обычный 9 6 2 3 3 5 2" xfId="55183"/>
    <cellStyle name="Обычный 9 6 2 3 3 5 3" xfId="55184"/>
    <cellStyle name="Обычный 9 6 2 3 3 6" xfId="55185"/>
    <cellStyle name="Обычный 9 6 2 3 3 6 2" xfId="55186"/>
    <cellStyle name="Обычный 9 6 2 3 3 7" xfId="55187"/>
    <cellStyle name="Обычный 9 6 2 3 3 8" xfId="55188"/>
    <cellStyle name="Обычный 9 6 2 3 4" xfId="55189"/>
    <cellStyle name="Обычный 9 6 2 3 4 2" xfId="55190"/>
    <cellStyle name="Обычный 9 6 2 3 4 2 2" xfId="55191"/>
    <cellStyle name="Обычный 9 6 2 3 4 2 2 2" xfId="55192"/>
    <cellStyle name="Обычный 9 6 2 3 4 2 2 3" xfId="55193"/>
    <cellStyle name="Обычный 9 6 2 3 4 2 3" xfId="55194"/>
    <cellStyle name="Обычный 9 6 2 3 4 2 3 2" xfId="55195"/>
    <cellStyle name="Обычный 9 6 2 3 4 2 3 3" xfId="55196"/>
    <cellStyle name="Обычный 9 6 2 3 4 2 4" xfId="55197"/>
    <cellStyle name="Обычный 9 6 2 3 4 2 4 2" xfId="55198"/>
    <cellStyle name="Обычный 9 6 2 3 4 2 5" xfId="55199"/>
    <cellStyle name="Обычный 9 6 2 3 4 2 6" xfId="55200"/>
    <cellStyle name="Обычный 9 6 2 3 4 3" xfId="55201"/>
    <cellStyle name="Обычный 9 6 2 3 4 3 2" xfId="55202"/>
    <cellStyle name="Обычный 9 6 2 3 4 3 3" xfId="55203"/>
    <cellStyle name="Обычный 9 6 2 3 4 4" xfId="55204"/>
    <cellStyle name="Обычный 9 6 2 3 4 4 2" xfId="55205"/>
    <cellStyle name="Обычный 9 6 2 3 4 4 3" xfId="55206"/>
    <cellStyle name="Обычный 9 6 2 3 4 5" xfId="55207"/>
    <cellStyle name="Обычный 9 6 2 3 4 5 2" xfId="55208"/>
    <cellStyle name="Обычный 9 6 2 3 4 6" xfId="55209"/>
    <cellStyle name="Обычный 9 6 2 3 4 7" xfId="55210"/>
    <cellStyle name="Обычный 9 6 2 3 5" xfId="55211"/>
    <cellStyle name="Обычный 9 6 2 3 5 2" xfId="55212"/>
    <cellStyle name="Обычный 9 6 2 3 5 2 2" xfId="55213"/>
    <cellStyle name="Обычный 9 6 2 3 5 2 3" xfId="55214"/>
    <cellStyle name="Обычный 9 6 2 3 5 3" xfId="55215"/>
    <cellStyle name="Обычный 9 6 2 3 5 3 2" xfId="55216"/>
    <cellStyle name="Обычный 9 6 2 3 5 3 3" xfId="55217"/>
    <cellStyle name="Обычный 9 6 2 3 5 4" xfId="55218"/>
    <cellStyle name="Обычный 9 6 2 3 5 4 2" xfId="55219"/>
    <cellStyle name="Обычный 9 6 2 3 5 5" xfId="55220"/>
    <cellStyle name="Обычный 9 6 2 3 5 6" xfId="55221"/>
    <cellStyle name="Обычный 9 6 2 3 6" xfId="55222"/>
    <cellStyle name="Обычный 9 6 2 3 6 2" xfId="55223"/>
    <cellStyle name="Обычный 9 6 2 3 6 3" xfId="55224"/>
    <cellStyle name="Обычный 9 6 2 3 7" xfId="55225"/>
    <cellStyle name="Обычный 9 6 2 3 7 2" xfId="55226"/>
    <cellStyle name="Обычный 9 6 2 3 7 3" xfId="55227"/>
    <cellStyle name="Обычный 9 6 2 3 8" xfId="55228"/>
    <cellStyle name="Обычный 9 6 2 3 8 2" xfId="55229"/>
    <cellStyle name="Обычный 9 6 2 3 9" xfId="55230"/>
    <cellStyle name="Обычный 9 6 2 4" xfId="55231"/>
    <cellStyle name="Обычный 9 6 2 4 10" xfId="55232"/>
    <cellStyle name="Обычный 9 6 2 4 2" xfId="55233"/>
    <cellStyle name="Обычный 9 6 2 4 2 2" xfId="55234"/>
    <cellStyle name="Обычный 9 6 2 4 2 2 2" xfId="55235"/>
    <cellStyle name="Обычный 9 6 2 4 2 2 2 2" xfId="55236"/>
    <cellStyle name="Обычный 9 6 2 4 2 2 2 2 2" xfId="55237"/>
    <cellStyle name="Обычный 9 6 2 4 2 2 2 2 2 2" xfId="55238"/>
    <cellStyle name="Обычный 9 6 2 4 2 2 2 2 2 3" xfId="55239"/>
    <cellStyle name="Обычный 9 6 2 4 2 2 2 2 3" xfId="55240"/>
    <cellStyle name="Обычный 9 6 2 4 2 2 2 2 3 2" xfId="55241"/>
    <cellStyle name="Обычный 9 6 2 4 2 2 2 2 3 3" xfId="55242"/>
    <cellStyle name="Обычный 9 6 2 4 2 2 2 2 4" xfId="55243"/>
    <cellStyle name="Обычный 9 6 2 4 2 2 2 2 4 2" xfId="55244"/>
    <cellStyle name="Обычный 9 6 2 4 2 2 2 2 5" xfId="55245"/>
    <cellStyle name="Обычный 9 6 2 4 2 2 2 2 6" xfId="55246"/>
    <cellStyle name="Обычный 9 6 2 4 2 2 2 3" xfId="55247"/>
    <cellStyle name="Обычный 9 6 2 4 2 2 2 3 2" xfId="55248"/>
    <cellStyle name="Обычный 9 6 2 4 2 2 2 3 3" xfId="55249"/>
    <cellStyle name="Обычный 9 6 2 4 2 2 2 4" xfId="55250"/>
    <cellStyle name="Обычный 9 6 2 4 2 2 2 4 2" xfId="55251"/>
    <cellStyle name="Обычный 9 6 2 4 2 2 2 4 3" xfId="55252"/>
    <cellStyle name="Обычный 9 6 2 4 2 2 2 5" xfId="55253"/>
    <cellStyle name="Обычный 9 6 2 4 2 2 2 5 2" xfId="55254"/>
    <cellStyle name="Обычный 9 6 2 4 2 2 2 6" xfId="55255"/>
    <cellStyle name="Обычный 9 6 2 4 2 2 2 7" xfId="55256"/>
    <cellStyle name="Обычный 9 6 2 4 2 2 3" xfId="55257"/>
    <cellStyle name="Обычный 9 6 2 4 2 2 3 2" xfId="55258"/>
    <cellStyle name="Обычный 9 6 2 4 2 2 3 2 2" xfId="55259"/>
    <cellStyle name="Обычный 9 6 2 4 2 2 3 2 3" xfId="55260"/>
    <cellStyle name="Обычный 9 6 2 4 2 2 3 3" xfId="55261"/>
    <cellStyle name="Обычный 9 6 2 4 2 2 3 3 2" xfId="55262"/>
    <cellStyle name="Обычный 9 6 2 4 2 2 3 3 3" xfId="55263"/>
    <cellStyle name="Обычный 9 6 2 4 2 2 3 4" xfId="55264"/>
    <cellStyle name="Обычный 9 6 2 4 2 2 3 4 2" xfId="55265"/>
    <cellStyle name="Обычный 9 6 2 4 2 2 3 5" xfId="55266"/>
    <cellStyle name="Обычный 9 6 2 4 2 2 3 6" xfId="55267"/>
    <cellStyle name="Обычный 9 6 2 4 2 2 4" xfId="55268"/>
    <cellStyle name="Обычный 9 6 2 4 2 2 4 2" xfId="55269"/>
    <cellStyle name="Обычный 9 6 2 4 2 2 4 3" xfId="55270"/>
    <cellStyle name="Обычный 9 6 2 4 2 2 5" xfId="55271"/>
    <cellStyle name="Обычный 9 6 2 4 2 2 5 2" xfId="55272"/>
    <cellStyle name="Обычный 9 6 2 4 2 2 5 3" xfId="55273"/>
    <cellStyle name="Обычный 9 6 2 4 2 2 6" xfId="55274"/>
    <cellStyle name="Обычный 9 6 2 4 2 2 6 2" xfId="55275"/>
    <cellStyle name="Обычный 9 6 2 4 2 2 7" xfId="55276"/>
    <cellStyle name="Обычный 9 6 2 4 2 2 8" xfId="55277"/>
    <cellStyle name="Обычный 9 6 2 4 2 3" xfId="55278"/>
    <cellStyle name="Обычный 9 6 2 4 2 3 2" xfId="55279"/>
    <cellStyle name="Обычный 9 6 2 4 2 3 2 2" xfId="55280"/>
    <cellStyle name="Обычный 9 6 2 4 2 3 2 2 2" xfId="55281"/>
    <cellStyle name="Обычный 9 6 2 4 2 3 2 2 3" xfId="55282"/>
    <cellStyle name="Обычный 9 6 2 4 2 3 2 3" xfId="55283"/>
    <cellStyle name="Обычный 9 6 2 4 2 3 2 3 2" xfId="55284"/>
    <cellStyle name="Обычный 9 6 2 4 2 3 2 3 3" xfId="55285"/>
    <cellStyle name="Обычный 9 6 2 4 2 3 2 4" xfId="55286"/>
    <cellStyle name="Обычный 9 6 2 4 2 3 2 4 2" xfId="55287"/>
    <cellStyle name="Обычный 9 6 2 4 2 3 2 5" xfId="55288"/>
    <cellStyle name="Обычный 9 6 2 4 2 3 2 6" xfId="55289"/>
    <cellStyle name="Обычный 9 6 2 4 2 3 3" xfId="55290"/>
    <cellStyle name="Обычный 9 6 2 4 2 3 3 2" xfId="55291"/>
    <cellStyle name="Обычный 9 6 2 4 2 3 3 3" xfId="55292"/>
    <cellStyle name="Обычный 9 6 2 4 2 3 4" xfId="55293"/>
    <cellStyle name="Обычный 9 6 2 4 2 3 4 2" xfId="55294"/>
    <cellStyle name="Обычный 9 6 2 4 2 3 4 3" xfId="55295"/>
    <cellStyle name="Обычный 9 6 2 4 2 3 5" xfId="55296"/>
    <cellStyle name="Обычный 9 6 2 4 2 3 5 2" xfId="55297"/>
    <cellStyle name="Обычный 9 6 2 4 2 3 6" xfId="55298"/>
    <cellStyle name="Обычный 9 6 2 4 2 3 7" xfId="55299"/>
    <cellStyle name="Обычный 9 6 2 4 2 4" xfId="55300"/>
    <cellStyle name="Обычный 9 6 2 4 2 4 2" xfId="55301"/>
    <cellStyle name="Обычный 9 6 2 4 2 4 2 2" xfId="55302"/>
    <cellStyle name="Обычный 9 6 2 4 2 4 2 3" xfId="55303"/>
    <cellStyle name="Обычный 9 6 2 4 2 4 3" xfId="55304"/>
    <cellStyle name="Обычный 9 6 2 4 2 4 3 2" xfId="55305"/>
    <cellStyle name="Обычный 9 6 2 4 2 4 3 3" xfId="55306"/>
    <cellStyle name="Обычный 9 6 2 4 2 4 4" xfId="55307"/>
    <cellStyle name="Обычный 9 6 2 4 2 4 4 2" xfId="55308"/>
    <cellStyle name="Обычный 9 6 2 4 2 4 5" xfId="55309"/>
    <cellStyle name="Обычный 9 6 2 4 2 4 6" xfId="55310"/>
    <cellStyle name="Обычный 9 6 2 4 2 5" xfId="55311"/>
    <cellStyle name="Обычный 9 6 2 4 2 5 2" xfId="55312"/>
    <cellStyle name="Обычный 9 6 2 4 2 5 3" xfId="55313"/>
    <cellStyle name="Обычный 9 6 2 4 2 6" xfId="55314"/>
    <cellStyle name="Обычный 9 6 2 4 2 6 2" xfId="55315"/>
    <cellStyle name="Обычный 9 6 2 4 2 6 3" xfId="55316"/>
    <cellStyle name="Обычный 9 6 2 4 2 7" xfId="55317"/>
    <cellStyle name="Обычный 9 6 2 4 2 7 2" xfId="55318"/>
    <cellStyle name="Обычный 9 6 2 4 2 8" xfId="55319"/>
    <cellStyle name="Обычный 9 6 2 4 2 9" xfId="55320"/>
    <cellStyle name="Обычный 9 6 2 4 3" xfId="55321"/>
    <cellStyle name="Обычный 9 6 2 4 3 2" xfId="55322"/>
    <cellStyle name="Обычный 9 6 2 4 3 2 2" xfId="55323"/>
    <cellStyle name="Обычный 9 6 2 4 3 2 2 2" xfId="55324"/>
    <cellStyle name="Обычный 9 6 2 4 3 2 2 2 2" xfId="55325"/>
    <cellStyle name="Обычный 9 6 2 4 3 2 2 2 3" xfId="55326"/>
    <cellStyle name="Обычный 9 6 2 4 3 2 2 3" xfId="55327"/>
    <cellStyle name="Обычный 9 6 2 4 3 2 2 3 2" xfId="55328"/>
    <cellStyle name="Обычный 9 6 2 4 3 2 2 3 3" xfId="55329"/>
    <cellStyle name="Обычный 9 6 2 4 3 2 2 4" xfId="55330"/>
    <cellStyle name="Обычный 9 6 2 4 3 2 2 4 2" xfId="55331"/>
    <cellStyle name="Обычный 9 6 2 4 3 2 2 5" xfId="55332"/>
    <cellStyle name="Обычный 9 6 2 4 3 2 2 6" xfId="55333"/>
    <cellStyle name="Обычный 9 6 2 4 3 2 3" xfId="55334"/>
    <cellStyle name="Обычный 9 6 2 4 3 2 3 2" xfId="55335"/>
    <cellStyle name="Обычный 9 6 2 4 3 2 3 3" xfId="55336"/>
    <cellStyle name="Обычный 9 6 2 4 3 2 4" xfId="55337"/>
    <cellStyle name="Обычный 9 6 2 4 3 2 4 2" xfId="55338"/>
    <cellStyle name="Обычный 9 6 2 4 3 2 4 3" xfId="55339"/>
    <cellStyle name="Обычный 9 6 2 4 3 2 5" xfId="55340"/>
    <cellStyle name="Обычный 9 6 2 4 3 2 5 2" xfId="55341"/>
    <cellStyle name="Обычный 9 6 2 4 3 2 6" xfId="55342"/>
    <cellStyle name="Обычный 9 6 2 4 3 2 7" xfId="55343"/>
    <cellStyle name="Обычный 9 6 2 4 3 3" xfId="55344"/>
    <cellStyle name="Обычный 9 6 2 4 3 3 2" xfId="55345"/>
    <cellStyle name="Обычный 9 6 2 4 3 3 2 2" xfId="55346"/>
    <cellStyle name="Обычный 9 6 2 4 3 3 2 3" xfId="55347"/>
    <cellStyle name="Обычный 9 6 2 4 3 3 3" xfId="55348"/>
    <cellStyle name="Обычный 9 6 2 4 3 3 3 2" xfId="55349"/>
    <cellStyle name="Обычный 9 6 2 4 3 3 3 3" xfId="55350"/>
    <cellStyle name="Обычный 9 6 2 4 3 3 4" xfId="55351"/>
    <cellStyle name="Обычный 9 6 2 4 3 3 4 2" xfId="55352"/>
    <cellStyle name="Обычный 9 6 2 4 3 3 5" xfId="55353"/>
    <cellStyle name="Обычный 9 6 2 4 3 3 6" xfId="55354"/>
    <cellStyle name="Обычный 9 6 2 4 3 4" xfId="55355"/>
    <cellStyle name="Обычный 9 6 2 4 3 4 2" xfId="55356"/>
    <cellStyle name="Обычный 9 6 2 4 3 4 3" xfId="55357"/>
    <cellStyle name="Обычный 9 6 2 4 3 5" xfId="55358"/>
    <cellStyle name="Обычный 9 6 2 4 3 5 2" xfId="55359"/>
    <cellStyle name="Обычный 9 6 2 4 3 5 3" xfId="55360"/>
    <cellStyle name="Обычный 9 6 2 4 3 6" xfId="55361"/>
    <cellStyle name="Обычный 9 6 2 4 3 6 2" xfId="55362"/>
    <cellStyle name="Обычный 9 6 2 4 3 7" xfId="55363"/>
    <cellStyle name="Обычный 9 6 2 4 3 8" xfId="55364"/>
    <cellStyle name="Обычный 9 6 2 4 4" xfId="55365"/>
    <cellStyle name="Обычный 9 6 2 4 4 2" xfId="55366"/>
    <cellStyle name="Обычный 9 6 2 4 4 2 2" xfId="55367"/>
    <cellStyle name="Обычный 9 6 2 4 4 2 2 2" xfId="55368"/>
    <cellStyle name="Обычный 9 6 2 4 4 2 2 3" xfId="55369"/>
    <cellStyle name="Обычный 9 6 2 4 4 2 3" xfId="55370"/>
    <cellStyle name="Обычный 9 6 2 4 4 2 3 2" xfId="55371"/>
    <cellStyle name="Обычный 9 6 2 4 4 2 3 3" xfId="55372"/>
    <cellStyle name="Обычный 9 6 2 4 4 2 4" xfId="55373"/>
    <cellStyle name="Обычный 9 6 2 4 4 2 4 2" xfId="55374"/>
    <cellStyle name="Обычный 9 6 2 4 4 2 5" xfId="55375"/>
    <cellStyle name="Обычный 9 6 2 4 4 2 6" xfId="55376"/>
    <cellStyle name="Обычный 9 6 2 4 4 3" xfId="55377"/>
    <cellStyle name="Обычный 9 6 2 4 4 3 2" xfId="55378"/>
    <cellStyle name="Обычный 9 6 2 4 4 3 3" xfId="55379"/>
    <cellStyle name="Обычный 9 6 2 4 4 4" xfId="55380"/>
    <cellStyle name="Обычный 9 6 2 4 4 4 2" xfId="55381"/>
    <cellStyle name="Обычный 9 6 2 4 4 4 3" xfId="55382"/>
    <cellStyle name="Обычный 9 6 2 4 4 5" xfId="55383"/>
    <cellStyle name="Обычный 9 6 2 4 4 5 2" xfId="55384"/>
    <cellStyle name="Обычный 9 6 2 4 4 6" xfId="55385"/>
    <cellStyle name="Обычный 9 6 2 4 4 7" xfId="55386"/>
    <cellStyle name="Обычный 9 6 2 4 5" xfId="55387"/>
    <cellStyle name="Обычный 9 6 2 4 5 2" xfId="55388"/>
    <cellStyle name="Обычный 9 6 2 4 5 2 2" xfId="55389"/>
    <cellStyle name="Обычный 9 6 2 4 5 2 3" xfId="55390"/>
    <cellStyle name="Обычный 9 6 2 4 5 3" xfId="55391"/>
    <cellStyle name="Обычный 9 6 2 4 5 3 2" xfId="55392"/>
    <cellStyle name="Обычный 9 6 2 4 5 3 3" xfId="55393"/>
    <cellStyle name="Обычный 9 6 2 4 5 4" xfId="55394"/>
    <cellStyle name="Обычный 9 6 2 4 5 4 2" xfId="55395"/>
    <cellStyle name="Обычный 9 6 2 4 5 5" xfId="55396"/>
    <cellStyle name="Обычный 9 6 2 4 5 6" xfId="55397"/>
    <cellStyle name="Обычный 9 6 2 4 6" xfId="55398"/>
    <cellStyle name="Обычный 9 6 2 4 6 2" xfId="55399"/>
    <cellStyle name="Обычный 9 6 2 4 6 3" xfId="55400"/>
    <cellStyle name="Обычный 9 6 2 4 7" xfId="55401"/>
    <cellStyle name="Обычный 9 6 2 4 7 2" xfId="55402"/>
    <cellStyle name="Обычный 9 6 2 4 7 3" xfId="55403"/>
    <cellStyle name="Обычный 9 6 2 4 8" xfId="55404"/>
    <cellStyle name="Обычный 9 6 2 4 8 2" xfId="55405"/>
    <cellStyle name="Обычный 9 6 2 4 9" xfId="55406"/>
    <cellStyle name="Обычный 9 6 2 5" xfId="55407"/>
    <cellStyle name="Обычный 9 6 2 5 2" xfId="55408"/>
    <cellStyle name="Обычный 9 6 2 5 2 2" xfId="55409"/>
    <cellStyle name="Обычный 9 6 2 5 2 2 2" xfId="55410"/>
    <cellStyle name="Обычный 9 6 2 5 2 2 2 2" xfId="55411"/>
    <cellStyle name="Обычный 9 6 2 5 2 2 2 2 2" xfId="55412"/>
    <cellStyle name="Обычный 9 6 2 5 2 2 2 2 3" xfId="55413"/>
    <cellStyle name="Обычный 9 6 2 5 2 2 2 3" xfId="55414"/>
    <cellStyle name="Обычный 9 6 2 5 2 2 2 3 2" xfId="55415"/>
    <cellStyle name="Обычный 9 6 2 5 2 2 2 3 3" xfId="55416"/>
    <cellStyle name="Обычный 9 6 2 5 2 2 2 4" xfId="55417"/>
    <cellStyle name="Обычный 9 6 2 5 2 2 2 4 2" xfId="55418"/>
    <cellStyle name="Обычный 9 6 2 5 2 2 2 5" xfId="55419"/>
    <cellStyle name="Обычный 9 6 2 5 2 2 2 6" xfId="55420"/>
    <cellStyle name="Обычный 9 6 2 5 2 2 3" xfId="55421"/>
    <cellStyle name="Обычный 9 6 2 5 2 2 3 2" xfId="55422"/>
    <cellStyle name="Обычный 9 6 2 5 2 2 3 3" xfId="55423"/>
    <cellStyle name="Обычный 9 6 2 5 2 2 4" xfId="55424"/>
    <cellStyle name="Обычный 9 6 2 5 2 2 4 2" xfId="55425"/>
    <cellStyle name="Обычный 9 6 2 5 2 2 4 3" xfId="55426"/>
    <cellStyle name="Обычный 9 6 2 5 2 2 5" xfId="55427"/>
    <cellStyle name="Обычный 9 6 2 5 2 2 5 2" xfId="55428"/>
    <cellStyle name="Обычный 9 6 2 5 2 2 6" xfId="55429"/>
    <cellStyle name="Обычный 9 6 2 5 2 2 7" xfId="55430"/>
    <cellStyle name="Обычный 9 6 2 5 2 3" xfId="55431"/>
    <cellStyle name="Обычный 9 6 2 5 2 3 2" xfId="55432"/>
    <cellStyle name="Обычный 9 6 2 5 2 3 2 2" xfId="55433"/>
    <cellStyle name="Обычный 9 6 2 5 2 3 2 3" xfId="55434"/>
    <cellStyle name="Обычный 9 6 2 5 2 3 3" xfId="55435"/>
    <cellStyle name="Обычный 9 6 2 5 2 3 3 2" xfId="55436"/>
    <cellStyle name="Обычный 9 6 2 5 2 3 3 3" xfId="55437"/>
    <cellStyle name="Обычный 9 6 2 5 2 3 4" xfId="55438"/>
    <cellStyle name="Обычный 9 6 2 5 2 3 4 2" xfId="55439"/>
    <cellStyle name="Обычный 9 6 2 5 2 3 5" xfId="55440"/>
    <cellStyle name="Обычный 9 6 2 5 2 3 6" xfId="55441"/>
    <cellStyle name="Обычный 9 6 2 5 2 4" xfId="55442"/>
    <cellStyle name="Обычный 9 6 2 5 2 4 2" xfId="55443"/>
    <cellStyle name="Обычный 9 6 2 5 2 4 3" xfId="55444"/>
    <cellStyle name="Обычный 9 6 2 5 2 5" xfId="55445"/>
    <cellStyle name="Обычный 9 6 2 5 2 5 2" xfId="55446"/>
    <cellStyle name="Обычный 9 6 2 5 2 5 3" xfId="55447"/>
    <cellStyle name="Обычный 9 6 2 5 2 6" xfId="55448"/>
    <cellStyle name="Обычный 9 6 2 5 2 6 2" xfId="55449"/>
    <cellStyle name="Обычный 9 6 2 5 2 7" xfId="55450"/>
    <cellStyle name="Обычный 9 6 2 5 2 8" xfId="55451"/>
    <cellStyle name="Обычный 9 6 2 5 3" xfId="55452"/>
    <cellStyle name="Обычный 9 6 2 5 3 2" xfId="55453"/>
    <cellStyle name="Обычный 9 6 2 5 3 2 2" xfId="55454"/>
    <cellStyle name="Обычный 9 6 2 5 3 2 2 2" xfId="55455"/>
    <cellStyle name="Обычный 9 6 2 5 3 2 2 3" xfId="55456"/>
    <cellStyle name="Обычный 9 6 2 5 3 2 3" xfId="55457"/>
    <cellStyle name="Обычный 9 6 2 5 3 2 3 2" xfId="55458"/>
    <cellStyle name="Обычный 9 6 2 5 3 2 3 3" xfId="55459"/>
    <cellStyle name="Обычный 9 6 2 5 3 2 4" xfId="55460"/>
    <cellStyle name="Обычный 9 6 2 5 3 2 4 2" xfId="55461"/>
    <cellStyle name="Обычный 9 6 2 5 3 2 5" xfId="55462"/>
    <cellStyle name="Обычный 9 6 2 5 3 2 6" xfId="55463"/>
    <cellStyle name="Обычный 9 6 2 5 3 3" xfId="55464"/>
    <cellStyle name="Обычный 9 6 2 5 3 3 2" xfId="55465"/>
    <cellStyle name="Обычный 9 6 2 5 3 3 3" xfId="55466"/>
    <cellStyle name="Обычный 9 6 2 5 3 4" xfId="55467"/>
    <cellStyle name="Обычный 9 6 2 5 3 4 2" xfId="55468"/>
    <cellStyle name="Обычный 9 6 2 5 3 4 3" xfId="55469"/>
    <cellStyle name="Обычный 9 6 2 5 3 5" xfId="55470"/>
    <cellStyle name="Обычный 9 6 2 5 3 5 2" xfId="55471"/>
    <cellStyle name="Обычный 9 6 2 5 3 6" xfId="55472"/>
    <cellStyle name="Обычный 9 6 2 5 3 7" xfId="55473"/>
    <cellStyle name="Обычный 9 6 2 5 4" xfId="55474"/>
    <cellStyle name="Обычный 9 6 2 5 4 2" xfId="55475"/>
    <cellStyle name="Обычный 9 6 2 5 4 2 2" xfId="55476"/>
    <cellStyle name="Обычный 9 6 2 5 4 2 3" xfId="55477"/>
    <cellStyle name="Обычный 9 6 2 5 4 3" xfId="55478"/>
    <cellStyle name="Обычный 9 6 2 5 4 3 2" xfId="55479"/>
    <cellStyle name="Обычный 9 6 2 5 4 3 3" xfId="55480"/>
    <cellStyle name="Обычный 9 6 2 5 4 4" xfId="55481"/>
    <cellStyle name="Обычный 9 6 2 5 4 4 2" xfId="55482"/>
    <cellStyle name="Обычный 9 6 2 5 4 5" xfId="55483"/>
    <cellStyle name="Обычный 9 6 2 5 4 6" xfId="55484"/>
    <cellStyle name="Обычный 9 6 2 5 5" xfId="55485"/>
    <cellStyle name="Обычный 9 6 2 5 5 2" xfId="55486"/>
    <cellStyle name="Обычный 9 6 2 5 5 3" xfId="55487"/>
    <cellStyle name="Обычный 9 6 2 5 6" xfId="55488"/>
    <cellStyle name="Обычный 9 6 2 5 6 2" xfId="55489"/>
    <cellStyle name="Обычный 9 6 2 5 6 3" xfId="55490"/>
    <cellStyle name="Обычный 9 6 2 5 7" xfId="55491"/>
    <cellStyle name="Обычный 9 6 2 5 7 2" xfId="55492"/>
    <cellStyle name="Обычный 9 6 2 5 8" xfId="55493"/>
    <cellStyle name="Обычный 9 6 2 5 9" xfId="55494"/>
    <cellStyle name="Обычный 9 6 2 6" xfId="55495"/>
    <cellStyle name="Обычный 9 6 2 6 2" xfId="55496"/>
    <cellStyle name="Обычный 9 6 2 6 2 2" xfId="55497"/>
    <cellStyle name="Обычный 9 6 2 6 2 2 2" xfId="55498"/>
    <cellStyle name="Обычный 9 6 2 6 2 2 2 2" xfId="55499"/>
    <cellStyle name="Обычный 9 6 2 6 2 2 2 3" xfId="55500"/>
    <cellStyle name="Обычный 9 6 2 6 2 2 3" xfId="55501"/>
    <cellStyle name="Обычный 9 6 2 6 2 2 3 2" xfId="55502"/>
    <cellStyle name="Обычный 9 6 2 6 2 2 3 3" xfId="55503"/>
    <cellStyle name="Обычный 9 6 2 6 2 2 4" xfId="55504"/>
    <cellStyle name="Обычный 9 6 2 6 2 2 4 2" xfId="55505"/>
    <cellStyle name="Обычный 9 6 2 6 2 2 5" xfId="55506"/>
    <cellStyle name="Обычный 9 6 2 6 2 2 6" xfId="55507"/>
    <cellStyle name="Обычный 9 6 2 6 2 3" xfId="55508"/>
    <cellStyle name="Обычный 9 6 2 6 2 3 2" xfId="55509"/>
    <cellStyle name="Обычный 9 6 2 6 2 3 3" xfId="55510"/>
    <cellStyle name="Обычный 9 6 2 6 2 4" xfId="55511"/>
    <cellStyle name="Обычный 9 6 2 6 2 4 2" xfId="55512"/>
    <cellStyle name="Обычный 9 6 2 6 2 4 3" xfId="55513"/>
    <cellStyle name="Обычный 9 6 2 6 2 5" xfId="55514"/>
    <cellStyle name="Обычный 9 6 2 6 2 5 2" xfId="55515"/>
    <cellStyle name="Обычный 9 6 2 6 2 6" xfId="55516"/>
    <cellStyle name="Обычный 9 6 2 6 2 7" xfId="55517"/>
    <cellStyle name="Обычный 9 6 2 6 3" xfId="55518"/>
    <cellStyle name="Обычный 9 6 2 6 3 2" xfId="55519"/>
    <cellStyle name="Обычный 9 6 2 6 3 2 2" xfId="55520"/>
    <cellStyle name="Обычный 9 6 2 6 3 2 3" xfId="55521"/>
    <cellStyle name="Обычный 9 6 2 6 3 3" xfId="55522"/>
    <cellStyle name="Обычный 9 6 2 6 3 3 2" xfId="55523"/>
    <cellStyle name="Обычный 9 6 2 6 3 3 3" xfId="55524"/>
    <cellStyle name="Обычный 9 6 2 6 3 4" xfId="55525"/>
    <cellStyle name="Обычный 9 6 2 6 3 4 2" xfId="55526"/>
    <cellStyle name="Обычный 9 6 2 6 3 5" xfId="55527"/>
    <cellStyle name="Обычный 9 6 2 6 3 6" xfId="55528"/>
    <cellStyle name="Обычный 9 6 2 6 4" xfId="55529"/>
    <cellStyle name="Обычный 9 6 2 6 4 2" xfId="55530"/>
    <cellStyle name="Обычный 9 6 2 6 4 3" xfId="55531"/>
    <cellStyle name="Обычный 9 6 2 6 5" xfId="55532"/>
    <cellStyle name="Обычный 9 6 2 6 5 2" xfId="55533"/>
    <cellStyle name="Обычный 9 6 2 6 5 3" xfId="55534"/>
    <cellStyle name="Обычный 9 6 2 6 6" xfId="55535"/>
    <cellStyle name="Обычный 9 6 2 6 6 2" xfId="55536"/>
    <cellStyle name="Обычный 9 6 2 6 7" xfId="55537"/>
    <cellStyle name="Обычный 9 6 2 6 8" xfId="55538"/>
    <cellStyle name="Обычный 9 6 2 7" xfId="55539"/>
    <cellStyle name="Обычный 9 6 2 7 2" xfId="55540"/>
    <cellStyle name="Обычный 9 6 2 7 2 2" xfId="55541"/>
    <cellStyle name="Обычный 9 6 2 7 2 2 2" xfId="55542"/>
    <cellStyle name="Обычный 9 6 2 7 2 2 3" xfId="55543"/>
    <cellStyle name="Обычный 9 6 2 7 2 3" xfId="55544"/>
    <cellStyle name="Обычный 9 6 2 7 2 3 2" xfId="55545"/>
    <cellStyle name="Обычный 9 6 2 7 2 3 3" xfId="55546"/>
    <cellStyle name="Обычный 9 6 2 7 2 4" xfId="55547"/>
    <cellStyle name="Обычный 9 6 2 7 2 4 2" xfId="55548"/>
    <cellStyle name="Обычный 9 6 2 7 2 5" xfId="55549"/>
    <cellStyle name="Обычный 9 6 2 7 2 6" xfId="55550"/>
    <cellStyle name="Обычный 9 6 2 7 3" xfId="55551"/>
    <cellStyle name="Обычный 9 6 2 7 3 2" xfId="55552"/>
    <cellStyle name="Обычный 9 6 2 7 3 3" xfId="55553"/>
    <cellStyle name="Обычный 9 6 2 7 4" xfId="55554"/>
    <cellStyle name="Обычный 9 6 2 7 4 2" xfId="55555"/>
    <cellStyle name="Обычный 9 6 2 7 4 3" xfId="55556"/>
    <cellStyle name="Обычный 9 6 2 7 5" xfId="55557"/>
    <cellStyle name="Обычный 9 6 2 7 5 2" xfId="55558"/>
    <cellStyle name="Обычный 9 6 2 7 6" xfId="55559"/>
    <cellStyle name="Обычный 9 6 2 7 7" xfId="55560"/>
    <cellStyle name="Обычный 9 6 2 8" xfId="55561"/>
    <cellStyle name="Обычный 9 6 2 8 2" xfId="55562"/>
    <cellStyle name="Обычный 9 6 2 8 2 2" xfId="55563"/>
    <cellStyle name="Обычный 9 6 2 8 2 3" xfId="55564"/>
    <cellStyle name="Обычный 9 6 2 8 3" xfId="55565"/>
    <cellStyle name="Обычный 9 6 2 8 3 2" xfId="55566"/>
    <cellStyle name="Обычный 9 6 2 8 3 3" xfId="55567"/>
    <cellStyle name="Обычный 9 6 2 8 4" xfId="55568"/>
    <cellStyle name="Обычный 9 6 2 8 4 2" xfId="55569"/>
    <cellStyle name="Обычный 9 6 2 8 5" xfId="55570"/>
    <cellStyle name="Обычный 9 6 2 8 6" xfId="55571"/>
    <cellStyle name="Обычный 9 6 2 9" xfId="55572"/>
    <cellStyle name="Обычный 9 6 2 9 2" xfId="55573"/>
    <cellStyle name="Обычный 9 6 2 9 3" xfId="55574"/>
    <cellStyle name="Обычный 9 6 3" xfId="55575"/>
    <cellStyle name="Обычный 9 6 3 10" xfId="55576"/>
    <cellStyle name="Обычный 9 6 3 2" xfId="55577"/>
    <cellStyle name="Обычный 9 6 3 2 2" xfId="55578"/>
    <cellStyle name="Обычный 9 6 3 2 2 2" xfId="55579"/>
    <cellStyle name="Обычный 9 6 3 2 2 2 2" xfId="55580"/>
    <cellStyle name="Обычный 9 6 3 2 2 2 2 2" xfId="55581"/>
    <cellStyle name="Обычный 9 6 3 2 2 2 2 2 2" xfId="55582"/>
    <cellStyle name="Обычный 9 6 3 2 2 2 2 2 3" xfId="55583"/>
    <cellStyle name="Обычный 9 6 3 2 2 2 2 3" xfId="55584"/>
    <cellStyle name="Обычный 9 6 3 2 2 2 2 3 2" xfId="55585"/>
    <cellStyle name="Обычный 9 6 3 2 2 2 2 3 3" xfId="55586"/>
    <cellStyle name="Обычный 9 6 3 2 2 2 2 4" xfId="55587"/>
    <cellStyle name="Обычный 9 6 3 2 2 2 2 4 2" xfId="55588"/>
    <cellStyle name="Обычный 9 6 3 2 2 2 2 5" xfId="55589"/>
    <cellStyle name="Обычный 9 6 3 2 2 2 2 6" xfId="55590"/>
    <cellStyle name="Обычный 9 6 3 2 2 2 3" xfId="55591"/>
    <cellStyle name="Обычный 9 6 3 2 2 2 3 2" xfId="55592"/>
    <cellStyle name="Обычный 9 6 3 2 2 2 3 3" xfId="55593"/>
    <cellStyle name="Обычный 9 6 3 2 2 2 4" xfId="55594"/>
    <cellStyle name="Обычный 9 6 3 2 2 2 4 2" xfId="55595"/>
    <cellStyle name="Обычный 9 6 3 2 2 2 4 3" xfId="55596"/>
    <cellStyle name="Обычный 9 6 3 2 2 2 5" xfId="55597"/>
    <cellStyle name="Обычный 9 6 3 2 2 2 5 2" xfId="55598"/>
    <cellStyle name="Обычный 9 6 3 2 2 2 6" xfId="55599"/>
    <cellStyle name="Обычный 9 6 3 2 2 2 7" xfId="55600"/>
    <cellStyle name="Обычный 9 6 3 2 2 3" xfId="55601"/>
    <cellStyle name="Обычный 9 6 3 2 2 3 2" xfId="55602"/>
    <cellStyle name="Обычный 9 6 3 2 2 3 2 2" xfId="55603"/>
    <cellStyle name="Обычный 9 6 3 2 2 3 2 3" xfId="55604"/>
    <cellStyle name="Обычный 9 6 3 2 2 3 3" xfId="55605"/>
    <cellStyle name="Обычный 9 6 3 2 2 3 3 2" xfId="55606"/>
    <cellStyle name="Обычный 9 6 3 2 2 3 3 3" xfId="55607"/>
    <cellStyle name="Обычный 9 6 3 2 2 3 4" xfId="55608"/>
    <cellStyle name="Обычный 9 6 3 2 2 3 4 2" xfId="55609"/>
    <cellStyle name="Обычный 9 6 3 2 2 3 5" xfId="55610"/>
    <cellStyle name="Обычный 9 6 3 2 2 3 6" xfId="55611"/>
    <cellStyle name="Обычный 9 6 3 2 2 4" xfId="55612"/>
    <cellStyle name="Обычный 9 6 3 2 2 4 2" xfId="55613"/>
    <cellStyle name="Обычный 9 6 3 2 2 4 3" xfId="55614"/>
    <cellStyle name="Обычный 9 6 3 2 2 5" xfId="55615"/>
    <cellStyle name="Обычный 9 6 3 2 2 5 2" xfId="55616"/>
    <cellStyle name="Обычный 9 6 3 2 2 5 3" xfId="55617"/>
    <cellStyle name="Обычный 9 6 3 2 2 6" xfId="55618"/>
    <cellStyle name="Обычный 9 6 3 2 2 6 2" xfId="55619"/>
    <cellStyle name="Обычный 9 6 3 2 2 7" xfId="55620"/>
    <cellStyle name="Обычный 9 6 3 2 2 8" xfId="55621"/>
    <cellStyle name="Обычный 9 6 3 2 3" xfId="55622"/>
    <cellStyle name="Обычный 9 6 3 2 3 2" xfId="55623"/>
    <cellStyle name="Обычный 9 6 3 2 3 2 2" xfId="55624"/>
    <cellStyle name="Обычный 9 6 3 2 3 2 2 2" xfId="55625"/>
    <cellStyle name="Обычный 9 6 3 2 3 2 2 3" xfId="55626"/>
    <cellStyle name="Обычный 9 6 3 2 3 2 3" xfId="55627"/>
    <cellStyle name="Обычный 9 6 3 2 3 2 3 2" xfId="55628"/>
    <cellStyle name="Обычный 9 6 3 2 3 2 3 3" xfId="55629"/>
    <cellStyle name="Обычный 9 6 3 2 3 2 4" xfId="55630"/>
    <cellStyle name="Обычный 9 6 3 2 3 2 4 2" xfId="55631"/>
    <cellStyle name="Обычный 9 6 3 2 3 2 5" xfId="55632"/>
    <cellStyle name="Обычный 9 6 3 2 3 2 6" xfId="55633"/>
    <cellStyle name="Обычный 9 6 3 2 3 3" xfId="55634"/>
    <cellStyle name="Обычный 9 6 3 2 3 3 2" xfId="55635"/>
    <cellStyle name="Обычный 9 6 3 2 3 3 3" xfId="55636"/>
    <cellStyle name="Обычный 9 6 3 2 3 4" xfId="55637"/>
    <cellStyle name="Обычный 9 6 3 2 3 4 2" xfId="55638"/>
    <cellStyle name="Обычный 9 6 3 2 3 4 3" xfId="55639"/>
    <cellStyle name="Обычный 9 6 3 2 3 5" xfId="55640"/>
    <cellStyle name="Обычный 9 6 3 2 3 5 2" xfId="55641"/>
    <cellStyle name="Обычный 9 6 3 2 3 6" xfId="55642"/>
    <cellStyle name="Обычный 9 6 3 2 3 7" xfId="55643"/>
    <cellStyle name="Обычный 9 6 3 2 4" xfId="55644"/>
    <cellStyle name="Обычный 9 6 3 2 4 2" xfId="55645"/>
    <cellStyle name="Обычный 9 6 3 2 4 2 2" xfId="55646"/>
    <cellStyle name="Обычный 9 6 3 2 4 2 3" xfId="55647"/>
    <cellStyle name="Обычный 9 6 3 2 4 3" xfId="55648"/>
    <cellStyle name="Обычный 9 6 3 2 4 3 2" xfId="55649"/>
    <cellStyle name="Обычный 9 6 3 2 4 3 3" xfId="55650"/>
    <cellStyle name="Обычный 9 6 3 2 4 4" xfId="55651"/>
    <cellStyle name="Обычный 9 6 3 2 4 4 2" xfId="55652"/>
    <cellStyle name="Обычный 9 6 3 2 4 5" xfId="55653"/>
    <cellStyle name="Обычный 9 6 3 2 4 6" xfId="55654"/>
    <cellStyle name="Обычный 9 6 3 2 5" xfId="55655"/>
    <cellStyle name="Обычный 9 6 3 2 5 2" xfId="55656"/>
    <cellStyle name="Обычный 9 6 3 2 5 3" xfId="55657"/>
    <cellStyle name="Обычный 9 6 3 2 6" xfId="55658"/>
    <cellStyle name="Обычный 9 6 3 2 6 2" xfId="55659"/>
    <cellStyle name="Обычный 9 6 3 2 6 3" xfId="55660"/>
    <cellStyle name="Обычный 9 6 3 2 7" xfId="55661"/>
    <cellStyle name="Обычный 9 6 3 2 7 2" xfId="55662"/>
    <cellStyle name="Обычный 9 6 3 2 8" xfId="55663"/>
    <cellStyle name="Обычный 9 6 3 2 9" xfId="55664"/>
    <cellStyle name="Обычный 9 6 3 3" xfId="55665"/>
    <cellStyle name="Обычный 9 6 3 3 2" xfId="55666"/>
    <cellStyle name="Обычный 9 6 3 3 2 2" xfId="55667"/>
    <cellStyle name="Обычный 9 6 3 3 2 2 2" xfId="55668"/>
    <cellStyle name="Обычный 9 6 3 3 2 2 2 2" xfId="55669"/>
    <cellStyle name="Обычный 9 6 3 3 2 2 2 3" xfId="55670"/>
    <cellStyle name="Обычный 9 6 3 3 2 2 3" xfId="55671"/>
    <cellStyle name="Обычный 9 6 3 3 2 2 3 2" xfId="55672"/>
    <cellStyle name="Обычный 9 6 3 3 2 2 3 3" xfId="55673"/>
    <cellStyle name="Обычный 9 6 3 3 2 2 4" xfId="55674"/>
    <cellStyle name="Обычный 9 6 3 3 2 2 4 2" xfId="55675"/>
    <cellStyle name="Обычный 9 6 3 3 2 2 5" xfId="55676"/>
    <cellStyle name="Обычный 9 6 3 3 2 2 6" xfId="55677"/>
    <cellStyle name="Обычный 9 6 3 3 2 3" xfId="55678"/>
    <cellStyle name="Обычный 9 6 3 3 2 3 2" xfId="55679"/>
    <cellStyle name="Обычный 9 6 3 3 2 3 3" xfId="55680"/>
    <cellStyle name="Обычный 9 6 3 3 2 4" xfId="55681"/>
    <cellStyle name="Обычный 9 6 3 3 2 4 2" xfId="55682"/>
    <cellStyle name="Обычный 9 6 3 3 2 4 3" xfId="55683"/>
    <cellStyle name="Обычный 9 6 3 3 2 5" xfId="55684"/>
    <cellStyle name="Обычный 9 6 3 3 2 5 2" xfId="55685"/>
    <cellStyle name="Обычный 9 6 3 3 2 6" xfId="55686"/>
    <cellStyle name="Обычный 9 6 3 3 2 7" xfId="55687"/>
    <cellStyle name="Обычный 9 6 3 3 3" xfId="55688"/>
    <cellStyle name="Обычный 9 6 3 3 3 2" xfId="55689"/>
    <cellStyle name="Обычный 9 6 3 3 3 2 2" xfId="55690"/>
    <cellStyle name="Обычный 9 6 3 3 3 2 3" xfId="55691"/>
    <cellStyle name="Обычный 9 6 3 3 3 3" xfId="55692"/>
    <cellStyle name="Обычный 9 6 3 3 3 3 2" xfId="55693"/>
    <cellStyle name="Обычный 9 6 3 3 3 3 3" xfId="55694"/>
    <cellStyle name="Обычный 9 6 3 3 3 4" xfId="55695"/>
    <cellStyle name="Обычный 9 6 3 3 3 4 2" xfId="55696"/>
    <cellStyle name="Обычный 9 6 3 3 3 5" xfId="55697"/>
    <cellStyle name="Обычный 9 6 3 3 3 6" xfId="55698"/>
    <cellStyle name="Обычный 9 6 3 3 4" xfId="55699"/>
    <cellStyle name="Обычный 9 6 3 3 4 2" xfId="55700"/>
    <cellStyle name="Обычный 9 6 3 3 4 3" xfId="55701"/>
    <cellStyle name="Обычный 9 6 3 3 5" xfId="55702"/>
    <cellStyle name="Обычный 9 6 3 3 5 2" xfId="55703"/>
    <cellStyle name="Обычный 9 6 3 3 5 3" xfId="55704"/>
    <cellStyle name="Обычный 9 6 3 3 6" xfId="55705"/>
    <cellStyle name="Обычный 9 6 3 3 6 2" xfId="55706"/>
    <cellStyle name="Обычный 9 6 3 3 7" xfId="55707"/>
    <cellStyle name="Обычный 9 6 3 3 8" xfId="55708"/>
    <cellStyle name="Обычный 9 6 3 4" xfId="55709"/>
    <cellStyle name="Обычный 9 6 3 4 2" xfId="55710"/>
    <cellStyle name="Обычный 9 6 3 4 2 2" xfId="55711"/>
    <cellStyle name="Обычный 9 6 3 4 2 2 2" xfId="55712"/>
    <cellStyle name="Обычный 9 6 3 4 2 2 3" xfId="55713"/>
    <cellStyle name="Обычный 9 6 3 4 2 3" xfId="55714"/>
    <cellStyle name="Обычный 9 6 3 4 2 3 2" xfId="55715"/>
    <cellStyle name="Обычный 9 6 3 4 2 3 3" xfId="55716"/>
    <cellStyle name="Обычный 9 6 3 4 2 4" xfId="55717"/>
    <cellStyle name="Обычный 9 6 3 4 2 4 2" xfId="55718"/>
    <cellStyle name="Обычный 9 6 3 4 2 5" xfId="55719"/>
    <cellStyle name="Обычный 9 6 3 4 2 6" xfId="55720"/>
    <cellStyle name="Обычный 9 6 3 4 3" xfId="55721"/>
    <cellStyle name="Обычный 9 6 3 4 3 2" xfId="55722"/>
    <cellStyle name="Обычный 9 6 3 4 3 3" xfId="55723"/>
    <cellStyle name="Обычный 9 6 3 4 4" xfId="55724"/>
    <cellStyle name="Обычный 9 6 3 4 4 2" xfId="55725"/>
    <cellStyle name="Обычный 9 6 3 4 4 3" xfId="55726"/>
    <cellStyle name="Обычный 9 6 3 4 5" xfId="55727"/>
    <cellStyle name="Обычный 9 6 3 4 5 2" xfId="55728"/>
    <cellStyle name="Обычный 9 6 3 4 6" xfId="55729"/>
    <cellStyle name="Обычный 9 6 3 4 7" xfId="55730"/>
    <cellStyle name="Обычный 9 6 3 5" xfId="55731"/>
    <cellStyle name="Обычный 9 6 3 5 2" xfId="55732"/>
    <cellStyle name="Обычный 9 6 3 5 2 2" xfId="55733"/>
    <cellStyle name="Обычный 9 6 3 5 2 3" xfId="55734"/>
    <cellStyle name="Обычный 9 6 3 5 3" xfId="55735"/>
    <cellStyle name="Обычный 9 6 3 5 3 2" xfId="55736"/>
    <cellStyle name="Обычный 9 6 3 5 3 3" xfId="55737"/>
    <cellStyle name="Обычный 9 6 3 5 4" xfId="55738"/>
    <cellStyle name="Обычный 9 6 3 5 4 2" xfId="55739"/>
    <cellStyle name="Обычный 9 6 3 5 5" xfId="55740"/>
    <cellStyle name="Обычный 9 6 3 5 6" xfId="55741"/>
    <cellStyle name="Обычный 9 6 3 6" xfId="55742"/>
    <cellStyle name="Обычный 9 6 3 6 2" xfId="55743"/>
    <cellStyle name="Обычный 9 6 3 6 3" xfId="55744"/>
    <cellStyle name="Обычный 9 6 3 7" xfId="55745"/>
    <cellStyle name="Обычный 9 6 3 7 2" xfId="55746"/>
    <cellStyle name="Обычный 9 6 3 7 3" xfId="55747"/>
    <cellStyle name="Обычный 9 6 3 8" xfId="55748"/>
    <cellStyle name="Обычный 9 6 3 8 2" xfId="55749"/>
    <cellStyle name="Обычный 9 6 3 9" xfId="55750"/>
    <cellStyle name="Обычный 9 6 4" xfId="55751"/>
    <cellStyle name="Обычный 9 6 4 10" xfId="55752"/>
    <cellStyle name="Обычный 9 6 4 2" xfId="55753"/>
    <cellStyle name="Обычный 9 6 4 2 2" xfId="55754"/>
    <cellStyle name="Обычный 9 6 4 2 2 2" xfId="55755"/>
    <cellStyle name="Обычный 9 6 4 2 2 2 2" xfId="55756"/>
    <cellStyle name="Обычный 9 6 4 2 2 2 2 2" xfId="55757"/>
    <cellStyle name="Обычный 9 6 4 2 2 2 2 2 2" xfId="55758"/>
    <cellStyle name="Обычный 9 6 4 2 2 2 2 2 3" xfId="55759"/>
    <cellStyle name="Обычный 9 6 4 2 2 2 2 3" xfId="55760"/>
    <cellStyle name="Обычный 9 6 4 2 2 2 2 3 2" xfId="55761"/>
    <cellStyle name="Обычный 9 6 4 2 2 2 2 3 3" xfId="55762"/>
    <cellStyle name="Обычный 9 6 4 2 2 2 2 4" xfId="55763"/>
    <cellStyle name="Обычный 9 6 4 2 2 2 2 4 2" xfId="55764"/>
    <cellStyle name="Обычный 9 6 4 2 2 2 2 5" xfId="55765"/>
    <cellStyle name="Обычный 9 6 4 2 2 2 2 6" xfId="55766"/>
    <cellStyle name="Обычный 9 6 4 2 2 2 3" xfId="55767"/>
    <cellStyle name="Обычный 9 6 4 2 2 2 3 2" xfId="55768"/>
    <cellStyle name="Обычный 9 6 4 2 2 2 3 3" xfId="55769"/>
    <cellStyle name="Обычный 9 6 4 2 2 2 4" xfId="55770"/>
    <cellStyle name="Обычный 9 6 4 2 2 2 4 2" xfId="55771"/>
    <cellStyle name="Обычный 9 6 4 2 2 2 4 3" xfId="55772"/>
    <cellStyle name="Обычный 9 6 4 2 2 2 5" xfId="55773"/>
    <cellStyle name="Обычный 9 6 4 2 2 2 5 2" xfId="55774"/>
    <cellStyle name="Обычный 9 6 4 2 2 2 6" xfId="55775"/>
    <cellStyle name="Обычный 9 6 4 2 2 2 7" xfId="55776"/>
    <cellStyle name="Обычный 9 6 4 2 2 3" xfId="55777"/>
    <cellStyle name="Обычный 9 6 4 2 2 3 2" xfId="55778"/>
    <cellStyle name="Обычный 9 6 4 2 2 3 2 2" xfId="55779"/>
    <cellStyle name="Обычный 9 6 4 2 2 3 2 3" xfId="55780"/>
    <cellStyle name="Обычный 9 6 4 2 2 3 3" xfId="55781"/>
    <cellStyle name="Обычный 9 6 4 2 2 3 3 2" xfId="55782"/>
    <cellStyle name="Обычный 9 6 4 2 2 3 3 3" xfId="55783"/>
    <cellStyle name="Обычный 9 6 4 2 2 3 4" xfId="55784"/>
    <cellStyle name="Обычный 9 6 4 2 2 3 4 2" xfId="55785"/>
    <cellStyle name="Обычный 9 6 4 2 2 3 5" xfId="55786"/>
    <cellStyle name="Обычный 9 6 4 2 2 3 6" xfId="55787"/>
    <cellStyle name="Обычный 9 6 4 2 2 4" xfId="55788"/>
    <cellStyle name="Обычный 9 6 4 2 2 4 2" xfId="55789"/>
    <cellStyle name="Обычный 9 6 4 2 2 4 3" xfId="55790"/>
    <cellStyle name="Обычный 9 6 4 2 2 5" xfId="55791"/>
    <cellStyle name="Обычный 9 6 4 2 2 5 2" xfId="55792"/>
    <cellStyle name="Обычный 9 6 4 2 2 5 3" xfId="55793"/>
    <cellStyle name="Обычный 9 6 4 2 2 6" xfId="55794"/>
    <cellStyle name="Обычный 9 6 4 2 2 6 2" xfId="55795"/>
    <cellStyle name="Обычный 9 6 4 2 2 7" xfId="55796"/>
    <cellStyle name="Обычный 9 6 4 2 2 8" xfId="55797"/>
    <cellStyle name="Обычный 9 6 4 2 3" xfId="55798"/>
    <cellStyle name="Обычный 9 6 4 2 3 2" xfId="55799"/>
    <cellStyle name="Обычный 9 6 4 2 3 2 2" xfId="55800"/>
    <cellStyle name="Обычный 9 6 4 2 3 2 2 2" xfId="55801"/>
    <cellStyle name="Обычный 9 6 4 2 3 2 2 3" xfId="55802"/>
    <cellStyle name="Обычный 9 6 4 2 3 2 3" xfId="55803"/>
    <cellStyle name="Обычный 9 6 4 2 3 2 3 2" xfId="55804"/>
    <cellStyle name="Обычный 9 6 4 2 3 2 3 3" xfId="55805"/>
    <cellStyle name="Обычный 9 6 4 2 3 2 4" xfId="55806"/>
    <cellStyle name="Обычный 9 6 4 2 3 2 4 2" xfId="55807"/>
    <cellStyle name="Обычный 9 6 4 2 3 2 5" xfId="55808"/>
    <cellStyle name="Обычный 9 6 4 2 3 2 6" xfId="55809"/>
    <cellStyle name="Обычный 9 6 4 2 3 3" xfId="55810"/>
    <cellStyle name="Обычный 9 6 4 2 3 3 2" xfId="55811"/>
    <cellStyle name="Обычный 9 6 4 2 3 3 3" xfId="55812"/>
    <cellStyle name="Обычный 9 6 4 2 3 4" xfId="55813"/>
    <cellStyle name="Обычный 9 6 4 2 3 4 2" xfId="55814"/>
    <cellStyle name="Обычный 9 6 4 2 3 4 3" xfId="55815"/>
    <cellStyle name="Обычный 9 6 4 2 3 5" xfId="55816"/>
    <cellStyle name="Обычный 9 6 4 2 3 5 2" xfId="55817"/>
    <cellStyle name="Обычный 9 6 4 2 3 6" xfId="55818"/>
    <cellStyle name="Обычный 9 6 4 2 3 7" xfId="55819"/>
    <cellStyle name="Обычный 9 6 4 2 4" xfId="55820"/>
    <cellStyle name="Обычный 9 6 4 2 4 2" xfId="55821"/>
    <cellStyle name="Обычный 9 6 4 2 4 2 2" xfId="55822"/>
    <cellStyle name="Обычный 9 6 4 2 4 2 3" xfId="55823"/>
    <cellStyle name="Обычный 9 6 4 2 4 3" xfId="55824"/>
    <cellStyle name="Обычный 9 6 4 2 4 3 2" xfId="55825"/>
    <cellStyle name="Обычный 9 6 4 2 4 3 3" xfId="55826"/>
    <cellStyle name="Обычный 9 6 4 2 4 4" xfId="55827"/>
    <cellStyle name="Обычный 9 6 4 2 4 4 2" xfId="55828"/>
    <cellStyle name="Обычный 9 6 4 2 4 5" xfId="55829"/>
    <cellStyle name="Обычный 9 6 4 2 4 6" xfId="55830"/>
    <cellStyle name="Обычный 9 6 4 2 5" xfId="55831"/>
    <cellStyle name="Обычный 9 6 4 2 5 2" xfId="55832"/>
    <cellStyle name="Обычный 9 6 4 2 5 3" xfId="55833"/>
    <cellStyle name="Обычный 9 6 4 2 6" xfId="55834"/>
    <cellStyle name="Обычный 9 6 4 2 6 2" xfId="55835"/>
    <cellStyle name="Обычный 9 6 4 2 6 3" xfId="55836"/>
    <cellStyle name="Обычный 9 6 4 2 7" xfId="55837"/>
    <cellStyle name="Обычный 9 6 4 2 7 2" xfId="55838"/>
    <cellStyle name="Обычный 9 6 4 2 8" xfId="55839"/>
    <cellStyle name="Обычный 9 6 4 2 9" xfId="55840"/>
    <cellStyle name="Обычный 9 6 4 3" xfId="55841"/>
    <cellStyle name="Обычный 9 6 4 3 2" xfId="55842"/>
    <cellStyle name="Обычный 9 6 4 3 2 2" xfId="55843"/>
    <cellStyle name="Обычный 9 6 4 3 2 2 2" xfId="55844"/>
    <cellStyle name="Обычный 9 6 4 3 2 2 2 2" xfId="55845"/>
    <cellStyle name="Обычный 9 6 4 3 2 2 2 3" xfId="55846"/>
    <cellStyle name="Обычный 9 6 4 3 2 2 3" xfId="55847"/>
    <cellStyle name="Обычный 9 6 4 3 2 2 3 2" xfId="55848"/>
    <cellStyle name="Обычный 9 6 4 3 2 2 3 3" xfId="55849"/>
    <cellStyle name="Обычный 9 6 4 3 2 2 4" xfId="55850"/>
    <cellStyle name="Обычный 9 6 4 3 2 2 4 2" xfId="55851"/>
    <cellStyle name="Обычный 9 6 4 3 2 2 5" xfId="55852"/>
    <cellStyle name="Обычный 9 6 4 3 2 2 6" xfId="55853"/>
    <cellStyle name="Обычный 9 6 4 3 2 3" xfId="55854"/>
    <cellStyle name="Обычный 9 6 4 3 2 3 2" xfId="55855"/>
    <cellStyle name="Обычный 9 6 4 3 2 3 3" xfId="55856"/>
    <cellStyle name="Обычный 9 6 4 3 2 4" xfId="55857"/>
    <cellStyle name="Обычный 9 6 4 3 2 4 2" xfId="55858"/>
    <cellStyle name="Обычный 9 6 4 3 2 4 3" xfId="55859"/>
    <cellStyle name="Обычный 9 6 4 3 2 5" xfId="55860"/>
    <cellStyle name="Обычный 9 6 4 3 2 5 2" xfId="55861"/>
    <cellStyle name="Обычный 9 6 4 3 2 6" xfId="55862"/>
    <cellStyle name="Обычный 9 6 4 3 2 7" xfId="55863"/>
    <cellStyle name="Обычный 9 6 4 3 3" xfId="55864"/>
    <cellStyle name="Обычный 9 6 4 3 3 2" xfId="55865"/>
    <cellStyle name="Обычный 9 6 4 3 3 2 2" xfId="55866"/>
    <cellStyle name="Обычный 9 6 4 3 3 2 3" xfId="55867"/>
    <cellStyle name="Обычный 9 6 4 3 3 3" xfId="55868"/>
    <cellStyle name="Обычный 9 6 4 3 3 3 2" xfId="55869"/>
    <cellStyle name="Обычный 9 6 4 3 3 3 3" xfId="55870"/>
    <cellStyle name="Обычный 9 6 4 3 3 4" xfId="55871"/>
    <cellStyle name="Обычный 9 6 4 3 3 4 2" xfId="55872"/>
    <cellStyle name="Обычный 9 6 4 3 3 5" xfId="55873"/>
    <cellStyle name="Обычный 9 6 4 3 3 6" xfId="55874"/>
    <cellStyle name="Обычный 9 6 4 3 4" xfId="55875"/>
    <cellStyle name="Обычный 9 6 4 3 4 2" xfId="55876"/>
    <cellStyle name="Обычный 9 6 4 3 4 3" xfId="55877"/>
    <cellStyle name="Обычный 9 6 4 3 5" xfId="55878"/>
    <cellStyle name="Обычный 9 6 4 3 5 2" xfId="55879"/>
    <cellStyle name="Обычный 9 6 4 3 5 3" xfId="55880"/>
    <cellStyle name="Обычный 9 6 4 3 6" xfId="55881"/>
    <cellStyle name="Обычный 9 6 4 3 6 2" xfId="55882"/>
    <cellStyle name="Обычный 9 6 4 3 7" xfId="55883"/>
    <cellStyle name="Обычный 9 6 4 3 8" xfId="55884"/>
    <cellStyle name="Обычный 9 6 4 4" xfId="55885"/>
    <cellStyle name="Обычный 9 6 4 4 2" xfId="55886"/>
    <cellStyle name="Обычный 9 6 4 4 2 2" xfId="55887"/>
    <cellStyle name="Обычный 9 6 4 4 2 2 2" xfId="55888"/>
    <cellStyle name="Обычный 9 6 4 4 2 2 3" xfId="55889"/>
    <cellStyle name="Обычный 9 6 4 4 2 3" xfId="55890"/>
    <cellStyle name="Обычный 9 6 4 4 2 3 2" xfId="55891"/>
    <cellStyle name="Обычный 9 6 4 4 2 3 3" xfId="55892"/>
    <cellStyle name="Обычный 9 6 4 4 2 4" xfId="55893"/>
    <cellStyle name="Обычный 9 6 4 4 2 4 2" xfId="55894"/>
    <cellStyle name="Обычный 9 6 4 4 2 5" xfId="55895"/>
    <cellStyle name="Обычный 9 6 4 4 2 6" xfId="55896"/>
    <cellStyle name="Обычный 9 6 4 4 3" xfId="55897"/>
    <cellStyle name="Обычный 9 6 4 4 3 2" xfId="55898"/>
    <cellStyle name="Обычный 9 6 4 4 3 3" xfId="55899"/>
    <cellStyle name="Обычный 9 6 4 4 4" xfId="55900"/>
    <cellStyle name="Обычный 9 6 4 4 4 2" xfId="55901"/>
    <cellStyle name="Обычный 9 6 4 4 4 3" xfId="55902"/>
    <cellStyle name="Обычный 9 6 4 4 5" xfId="55903"/>
    <cellStyle name="Обычный 9 6 4 4 5 2" xfId="55904"/>
    <cellStyle name="Обычный 9 6 4 4 6" xfId="55905"/>
    <cellStyle name="Обычный 9 6 4 4 7" xfId="55906"/>
    <cellStyle name="Обычный 9 6 4 5" xfId="55907"/>
    <cellStyle name="Обычный 9 6 4 5 2" xfId="55908"/>
    <cellStyle name="Обычный 9 6 4 5 2 2" xfId="55909"/>
    <cellStyle name="Обычный 9 6 4 5 2 3" xfId="55910"/>
    <cellStyle name="Обычный 9 6 4 5 3" xfId="55911"/>
    <cellStyle name="Обычный 9 6 4 5 3 2" xfId="55912"/>
    <cellStyle name="Обычный 9 6 4 5 3 3" xfId="55913"/>
    <cellStyle name="Обычный 9 6 4 5 4" xfId="55914"/>
    <cellStyle name="Обычный 9 6 4 5 4 2" xfId="55915"/>
    <cellStyle name="Обычный 9 6 4 5 5" xfId="55916"/>
    <cellStyle name="Обычный 9 6 4 5 6" xfId="55917"/>
    <cellStyle name="Обычный 9 6 4 6" xfId="55918"/>
    <cellStyle name="Обычный 9 6 4 6 2" xfId="55919"/>
    <cellStyle name="Обычный 9 6 4 6 3" xfId="55920"/>
    <cellStyle name="Обычный 9 6 4 7" xfId="55921"/>
    <cellStyle name="Обычный 9 6 4 7 2" xfId="55922"/>
    <cellStyle name="Обычный 9 6 4 7 3" xfId="55923"/>
    <cellStyle name="Обычный 9 6 4 8" xfId="55924"/>
    <cellStyle name="Обычный 9 6 4 8 2" xfId="55925"/>
    <cellStyle name="Обычный 9 6 4 9" xfId="55926"/>
    <cellStyle name="Обычный 9 6 5" xfId="55927"/>
    <cellStyle name="Обычный 9 6 5 10" xfId="55928"/>
    <cellStyle name="Обычный 9 6 5 2" xfId="55929"/>
    <cellStyle name="Обычный 9 6 5 2 2" xfId="55930"/>
    <cellStyle name="Обычный 9 6 5 2 2 2" xfId="55931"/>
    <cellStyle name="Обычный 9 6 5 2 2 2 2" xfId="55932"/>
    <cellStyle name="Обычный 9 6 5 2 2 2 2 2" xfId="55933"/>
    <cellStyle name="Обычный 9 6 5 2 2 2 2 2 2" xfId="55934"/>
    <cellStyle name="Обычный 9 6 5 2 2 2 2 2 3" xfId="55935"/>
    <cellStyle name="Обычный 9 6 5 2 2 2 2 3" xfId="55936"/>
    <cellStyle name="Обычный 9 6 5 2 2 2 2 3 2" xfId="55937"/>
    <cellStyle name="Обычный 9 6 5 2 2 2 2 3 3" xfId="55938"/>
    <cellStyle name="Обычный 9 6 5 2 2 2 2 4" xfId="55939"/>
    <cellStyle name="Обычный 9 6 5 2 2 2 2 4 2" xfId="55940"/>
    <cellStyle name="Обычный 9 6 5 2 2 2 2 5" xfId="55941"/>
    <cellStyle name="Обычный 9 6 5 2 2 2 2 6" xfId="55942"/>
    <cellStyle name="Обычный 9 6 5 2 2 2 3" xfId="55943"/>
    <cellStyle name="Обычный 9 6 5 2 2 2 3 2" xfId="55944"/>
    <cellStyle name="Обычный 9 6 5 2 2 2 3 3" xfId="55945"/>
    <cellStyle name="Обычный 9 6 5 2 2 2 4" xfId="55946"/>
    <cellStyle name="Обычный 9 6 5 2 2 2 4 2" xfId="55947"/>
    <cellStyle name="Обычный 9 6 5 2 2 2 4 3" xfId="55948"/>
    <cellStyle name="Обычный 9 6 5 2 2 2 5" xfId="55949"/>
    <cellStyle name="Обычный 9 6 5 2 2 2 5 2" xfId="55950"/>
    <cellStyle name="Обычный 9 6 5 2 2 2 6" xfId="55951"/>
    <cellStyle name="Обычный 9 6 5 2 2 2 7" xfId="55952"/>
    <cellStyle name="Обычный 9 6 5 2 2 3" xfId="55953"/>
    <cellStyle name="Обычный 9 6 5 2 2 3 2" xfId="55954"/>
    <cellStyle name="Обычный 9 6 5 2 2 3 2 2" xfId="55955"/>
    <cellStyle name="Обычный 9 6 5 2 2 3 2 3" xfId="55956"/>
    <cellStyle name="Обычный 9 6 5 2 2 3 3" xfId="55957"/>
    <cellStyle name="Обычный 9 6 5 2 2 3 3 2" xfId="55958"/>
    <cellStyle name="Обычный 9 6 5 2 2 3 3 3" xfId="55959"/>
    <cellStyle name="Обычный 9 6 5 2 2 3 4" xfId="55960"/>
    <cellStyle name="Обычный 9 6 5 2 2 3 4 2" xfId="55961"/>
    <cellStyle name="Обычный 9 6 5 2 2 3 5" xfId="55962"/>
    <cellStyle name="Обычный 9 6 5 2 2 3 6" xfId="55963"/>
    <cellStyle name="Обычный 9 6 5 2 2 4" xfId="55964"/>
    <cellStyle name="Обычный 9 6 5 2 2 4 2" xfId="55965"/>
    <cellStyle name="Обычный 9 6 5 2 2 4 3" xfId="55966"/>
    <cellStyle name="Обычный 9 6 5 2 2 5" xfId="55967"/>
    <cellStyle name="Обычный 9 6 5 2 2 5 2" xfId="55968"/>
    <cellStyle name="Обычный 9 6 5 2 2 5 3" xfId="55969"/>
    <cellStyle name="Обычный 9 6 5 2 2 6" xfId="55970"/>
    <cellStyle name="Обычный 9 6 5 2 2 6 2" xfId="55971"/>
    <cellStyle name="Обычный 9 6 5 2 2 7" xfId="55972"/>
    <cellStyle name="Обычный 9 6 5 2 2 8" xfId="55973"/>
    <cellStyle name="Обычный 9 6 5 2 3" xfId="55974"/>
    <cellStyle name="Обычный 9 6 5 2 3 2" xfId="55975"/>
    <cellStyle name="Обычный 9 6 5 2 3 2 2" xfId="55976"/>
    <cellStyle name="Обычный 9 6 5 2 3 2 2 2" xfId="55977"/>
    <cellStyle name="Обычный 9 6 5 2 3 2 2 3" xfId="55978"/>
    <cellStyle name="Обычный 9 6 5 2 3 2 3" xfId="55979"/>
    <cellStyle name="Обычный 9 6 5 2 3 2 3 2" xfId="55980"/>
    <cellStyle name="Обычный 9 6 5 2 3 2 3 3" xfId="55981"/>
    <cellStyle name="Обычный 9 6 5 2 3 2 4" xfId="55982"/>
    <cellStyle name="Обычный 9 6 5 2 3 2 4 2" xfId="55983"/>
    <cellStyle name="Обычный 9 6 5 2 3 2 5" xfId="55984"/>
    <cellStyle name="Обычный 9 6 5 2 3 2 6" xfId="55985"/>
    <cellStyle name="Обычный 9 6 5 2 3 3" xfId="55986"/>
    <cellStyle name="Обычный 9 6 5 2 3 3 2" xfId="55987"/>
    <cellStyle name="Обычный 9 6 5 2 3 3 3" xfId="55988"/>
    <cellStyle name="Обычный 9 6 5 2 3 4" xfId="55989"/>
    <cellStyle name="Обычный 9 6 5 2 3 4 2" xfId="55990"/>
    <cellStyle name="Обычный 9 6 5 2 3 4 3" xfId="55991"/>
    <cellStyle name="Обычный 9 6 5 2 3 5" xfId="55992"/>
    <cellStyle name="Обычный 9 6 5 2 3 5 2" xfId="55993"/>
    <cellStyle name="Обычный 9 6 5 2 3 6" xfId="55994"/>
    <cellStyle name="Обычный 9 6 5 2 3 7" xfId="55995"/>
    <cellStyle name="Обычный 9 6 5 2 4" xfId="55996"/>
    <cellStyle name="Обычный 9 6 5 2 4 2" xfId="55997"/>
    <cellStyle name="Обычный 9 6 5 2 4 2 2" xfId="55998"/>
    <cellStyle name="Обычный 9 6 5 2 4 2 3" xfId="55999"/>
    <cellStyle name="Обычный 9 6 5 2 4 3" xfId="56000"/>
    <cellStyle name="Обычный 9 6 5 2 4 3 2" xfId="56001"/>
    <cellStyle name="Обычный 9 6 5 2 4 3 3" xfId="56002"/>
    <cellStyle name="Обычный 9 6 5 2 4 4" xfId="56003"/>
    <cellStyle name="Обычный 9 6 5 2 4 4 2" xfId="56004"/>
    <cellStyle name="Обычный 9 6 5 2 4 5" xfId="56005"/>
    <cellStyle name="Обычный 9 6 5 2 4 6" xfId="56006"/>
    <cellStyle name="Обычный 9 6 5 2 5" xfId="56007"/>
    <cellStyle name="Обычный 9 6 5 2 5 2" xfId="56008"/>
    <cellStyle name="Обычный 9 6 5 2 5 3" xfId="56009"/>
    <cellStyle name="Обычный 9 6 5 2 6" xfId="56010"/>
    <cellStyle name="Обычный 9 6 5 2 6 2" xfId="56011"/>
    <cellStyle name="Обычный 9 6 5 2 6 3" xfId="56012"/>
    <cellStyle name="Обычный 9 6 5 2 7" xfId="56013"/>
    <cellStyle name="Обычный 9 6 5 2 7 2" xfId="56014"/>
    <cellStyle name="Обычный 9 6 5 2 8" xfId="56015"/>
    <cellStyle name="Обычный 9 6 5 2 9" xfId="56016"/>
    <cellStyle name="Обычный 9 6 5 3" xfId="56017"/>
    <cellStyle name="Обычный 9 6 5 3 2" xfId="56018"/>
    <cellStyle name="Обычный 9 6 5 3 2 2" xfId="56019"/>
    <cellStyle name="Обычный 9 6 5 3 2 2 2" xfId="56020"/>
    <cellStyle name="Обычный 9 6 5 3 2 2 2 2" xfId="56021"/>
    <cellStyle name="Обычный 9 6 5 3 2 2 2 3" xfId="56022"/>
    <cellStyle name="Обычный 9 6 5 3 2 2 3" xfId="56023"/>
    <cellStyle name="Обычный 9 6 5 3 2 2 3 2" xfId="56024"/>
    <cellStyle name="Обычный 9 6 5 3 2 2 3 3" xfId="56025"/>
    <cellStyle name="Обычный 9 6 5 3 2 2 4" xfId="56026"/>
    <cellStyle name="Обычный 9 6 5 3 2 2 4 2" xfId="56027"/>
    <cellStyle name="Обычный 9 6 5 3 2 2 5" xfId="56028"/>
    <cellStyle name="Обычный 9 6 5 3 2 2 6" xfId="56029"/>
    <cellStyle name="Обычный 9 6 5 3 2 3" xfId="56030"/>
    <cellStyle name="Обычный 9 6 5 3 2 3 2" xfId="56031"/>
    <cellStyle name="Обычный 9 6 5 3 2 3 3" xfId="56032"/>
    <cellStyle name="Обычный 9 6 5 3 2 4" xfId="56033"/>
    <cellStyle name="Обычный 9 6 5 3 2 4 2" xfId="56034"/>
    <cellStyle name="Обычный 9 6 5 3 2 4 3" xfId="56035"/>
    <cellStyle name="Обычный 9 6 5 3 2 5" xfId="56036"/>
    <cellStyle name="Обычный 9 6 5 3 2 5 2" xfId="56037"/>
    <cellStyle name="Обычный 9 6 5 3 2 6" xfId="56038"/>
    <cellStyle name="Обычный 9 6 5 3 2 7" xfId="56039"/>
    <cellStyle name="Обычный 9 6 5 3 3" xfId="56040"/>
    <cellStyle name="Обычный 9 6 5 3 3 2" xfId="56041"/>
    <cellStyle name="Обычный 9 6 5 3 3 2 2" xfId="56042"/>
    <cellStyle name="Обычный 9 6 5 3 3 2 3" xfId="56043"/>
    <cellStyle name="Обычный 9 6 5 3 3 3" xfId="56044"/>
    <cellStyle name="Обычный 9 6 5 3 3 3 2" xfId="56045"/>
    <cellStyle name="Обычный 9 6 5 3 3 3 3" xfId="56046"/>
    <cellStyle name="Обычный 9 6 5 3 3 4" xfId="56047"/>
    <cellStyle name="Обычный 9 6 5 3 3 4 2" xfId="56048"/>
    <cellStyle name="Обычный 9 6 5 3 3 5" xfId="56049"/>
    <cellStyle name="Обычный 9 6 5 3 3 6" xfId="56050"/>
    <cellStyle name="Обычный 9 6 5 3 4" xfId="56051"/>
    <cellStyle name="Обычный 9 6 5 3 4 2" xfId="56052"/>
    <cellStyle name="Обычный 9 6 5 3 4 3" xfId="56053"/>
    <cellStyle name="Обычный 9 6 5 3 5" xfId="56054"/>
    <cellStyle name="Обычный 9 6 5 3 5 2" xfId="56055"/>
    <cellStyle name="Обычный 9 6 5 3 5 3" xfId="56056"/>
    <cellStyle name="Обычный 9 6 5 3 6" xfId="56057"/>
    <cellStyle name="Обычный 9 6 5 3 6 2" xfId="56058"/>
    <cellStyle name="Обычный 9 6 5 3 7" xfId="56059"/>
    <cellStyle name="Обычный 9 6 5 3 8" xfId="56060"/>
    <cellStyle name="Обычный 9 6 5 4" xfId="56061"/>
    <cellStyle name="Обычный 9 6 5 4 2" xfId="56062"/>
    <cellStyle name="Обычный 9 6 5 4 2 2" xfId="56063"/>
    <cellStyle name="Обычный 9 6 5 4 2 2 2" xfId="56064"/>
    <cellStyle name="Обычный 9 6 5 4 2 2 3" xfId="56065"/>
    <cellStyle name="Обычный 9 6 5 4 2 3" xfId="56066"/>
    <cellStyle name="Обычный 9 6 5 4 2 3 2" xfId="56067"/>
    <cellStyle name="Обычный 9 6 5 4 2 3 3" xfId="56068"/>
    <cellStyle name="Обычный 9 6 5 4 2 4" xfId="56069"/>
    <cellStyle name="Обычный 9 6 5 4 2 4 2" xfId="56070"/>
    <cellStyle name="Обычный 9 6 5 4 2 5" xfId="56071"/>
    <cellStyle name="Обычный 9 6 5 4 2 6" xfId="56072"/>
    <cellStyle name="Обычный 9 6 5 4 3" xfId="56073"/>
    <cellStyle name="Обычный 9 6 5 4 3 2" xfId="56074"/>
    <cellStyle name="Обычный 9 6 5 4 3 3" xfId="56075"/>
    <cellStyle name="Обычный 9 6 5 4 4" xfId="56076"/>
    <cellStyle name="Обычный 9 6 5 4 4 2" xfId="56077"/>
    <cellStyle name="Обычный 9 6 5 4 4 3" xfId="56078"/>
    <cellStyle name="Обычный 9 6 5 4 5" xfId="56079"/>
    <cellStyle name="Обычный 9 6 5 4 5 2" xfId="56080"/>
    <cellStyle name="Обычный 9 6 5 4 6" xfId="56081"/>
    <cellStyle name="Обычный 9 6 5 4 7" xfId="56082"/>
    <cellStyle name="Обычный 9 6 5 5" xfId="56083"/>
    <cellStyle name="Обычный 9 6 5 5 2" xfId="56084"/>
    <cellStyle name="Обычный 9 6 5 5 2 2" xfId="56085"/>
    <cellStyle name="Обычный 9 6 5 5 2 3" xfId="56086"/>
    <cellStyle name="Обычный 9 6 5 5 3" xfId="56087"/>
    <cellStyle name="Обычный 9 6 5 5 3 2" xfId="56088"/>
    <cellStyle name="Обычный 9 6 5 5 3 3" xfId="56089"/>
    <cellStyle name="Обычный 9 6 5 5 4" xfId="56090"/>
    <cellStyle name="Обычный 9 6 5 5 4 2" xfId="56091"/>
    <cellStyle name="Обычный 9 6 5 5 5" xfId="56092"/>
    <cellStyle name="Обычный 9 6 5 5 6" xfId="56093"/>
    <cellStyle name="Обычный 9 6 5 6" xfId="56094"/>
    <cellStyle name="Обычный 9 6 5 6 2" xfId="56095"/>
    <cellStyle name="Обычный 9 6 5 6 3" xfId="56096"/>
    <cellStyle name="Обычный 9 6 5 7" xfId="56097"/>
    <cellStyle name="Обычный 9 6 5 7 2" xfId="56098"/>
    <cellStyle name="Обычный 9 6 5 7 3" xfId="56099"/>
    <cellStyle name="Обычный 9 6 5 8" xfId="56100"/>
    <cellStyle name="Обычный 9 6 5 8 2" xfId="56101"/>
    <cellStyle name="Обычный 9 6 5 9" xfId="56102"/>
    <cellStyle name="Обычный 9 6 6" xfId="56103"/>
    <cellStyle name="Обычный 9 6 6 2" xfId="56104"/>
    <cellStyle name="Обычный 9 6 6 2 2" xfId="56105"/>
    <cellStyle name="Обычный 9 6 6 2 2 2" xfId="56106"/>
    <cellStyle name="Обычный 9 6 6 2 2 2 2" xfId="56107"/>
    <cellStyle name="Обычный 9 6 6 2 2 2 2 2" xfId="56108"/>
    <cellStyle name="Обычный 9 6 6 2 2 2 2 3" xfId="56109"/>
    <cellStyle name="Обычный 9 6 6 2 2 2 3" xfId="56110"/>
    <cellStyle name="Обычный 9 6 6 2 2 2 3 2" xfId="56111"/>
    <cellStyle name="Обычный 9 6 6 2 2 2 3 3" xfId="56112"/>
    <cellStyle name="Обычный 9 6 6 2 2 2 4" xfId="56113"/>
    <cellStyle name="Обычный 9 6 6 2 2 2 4 2" xfId="56114"/>
    <cellStyle name="Обычный 9 6 6 2 2 2 5" xfId="56115"/>
    <cellStyle name="Обычный 9 6 6 2 2 2 6" xfId="56116"/>
    <cellStyle name="Обычный 9 6 6 2 2 3" xfId="56117"/>
    <cellStyle name="Обычный 9 6 6 2 2 3 2" xfId="56118"/>
    <cellStyle name="Обычный 9 6 6 2 2 3 3" xfId="56119"/>
    <cellStyle name="Обычный 9 6 6 2 2 4" xfId="56120"/>
    <cellStyle name="Обычный 9 6 6 2 2 4 2" xfId="56121"/>
    <cellStyle name="Обычный 9 6 6 2 2 4 3" xfId="56122"/>
    <cellStyle name="Обычный 9 6 6 2 2 5" xfId="56123"/>
    <cellStyle name="Обычный 9 6 6 2 2 5 2" xfId="56124"/>
    <cellStyle name="Обычный 9 6 6 2 2 6" xfId="56125"/>
    <cellStyle name="Обычный 9 6 6 2 2 7" xfId="56126"/>
    <cellStyle name="Обычный 9 6 6 2 3" xfId="56127"/>
    <cellStyle name="Обычный 9 6 6 2 3 2" xfId="56128"/>
    <cellStyle name="Обычный 9 6 6 2 3 2 2" xfId="56129"/>
    <cellStyle name="Обычный 9 6 6 2 3 2 3" xfId="56130"/>
    <cellStyle name="Обычный 9 6 6 2 3 3" xfId="56131"/>
    <cellStyle name="Обычный 9 6 6 2 3 3 2" xfId="56132"/>
    <cellStyle name="Обычный 9 6 6 2 3 3 3" xfId="56133"/>
    <cellStyle name="Обычный 9 6 6 2 3 4" xfId="56134"/>
    <cellStyle name="Обычный 9 6 6 2 3 4 2" xfId="56135"/>
    <cellStyle name="Обычный 9 6 6 2 3 5" xfId="56136"/>
    <cellStyle name="Обычный 9 6 6 2 3 6" xfId="56137"/>
    <cellStyle name="Обычный 9 6 6 2 4" xfId="56138"/>
    <cellStyle name="Обычный 9 6 6 2 4 2" xfId="56139"/>
    <cellStyle name="Обычный 9 6 6 2 4 3" xfId="56140"/>
    <cellStyle name="Обычный 9 6 6 2 5" xfId="56141"/>
    <cellStyle name="Обычный 9 6 6 2 5 2" xfId="56142"/>
    <cellStyle name="Обычный 9 6 6 2 5 3" xfId="56143"/>
    <cellStyle name="Обычный 9 6 6 2 6" xfId="56144"/>
    <cellStyle name="Обычный 9 6 6 2 6 2" xfId="56145"/>
    <cellStyle name="Обычный 9 6 6 2 7" xfId="56146"/>
    <cellStyle name="Обычный 9 6 6 2 8" xfId="56147"/>
    <cellStyle name="Обычный 9 6 6 3" xfId="56148"/>
    <cellStyle name="Обычный 9 6 6 3 2" xfId="56149"/>
    <cellStyle name="Обычный 9 6 6 3 2 2" xfId="56150"/>
    <cellStyle name="Обычный 9 6 6 3 2 2 2" xfId="56151"/>
    <cellStyle name="Обычный 9 6 6 3 2 2 3" xfId="56152"/>
    <cellStyle name="Обычный 9 6 6 3 2 3" xfId="56153"/>
    <cellStyle name="Обычный 9 6 6 3 2 3 2" xfId="56154"/>
    <cellStyle name="Обычный 9 6 6 3 2 3 3" xfId="56155"/>
    <cellStyle name="Обычный 9 6 6 3 2 4" xfId="56156"/>
    <cellStyle name="Обычный 9 6 6 3 2 4 2" xfId="56157"/>
    <cellStyle name="Обычный 9 6 6 3 2 5" xfId="56158"/>
    <cellStyle name="Обычный 9 6 6 3 2 6" xfId="56159"/>
    <cellStyle name="Обычный 9 6 6 3 3" xfId="56160"/>
    <cellStyle name="Обычный 9 6 6 3 3 2" xfId="56161"/>
    <cellStyle name="Обычный 9 6 6 3 3 3" xfId="56162"/>
    <cellStyle name="Обычный 9 6 6 3 4" xfId="56163"/>
    <cellStyle name="Обычный 9 6 6 3 4 2" xfId="56164"/>
    <cellStyle name="Обычный 9 6 6 3 4 3" xfId="56165"/>
    <cellStyle name="Обычный 9 6 6 3 5" xfId="56166"/>
    <cellStyle name="Обычный 9 6 6 3 5 2" xfId="56167"/>
    <cellStyle name="Обычный 9 6 6 3 6" xfId="56168"/>
    <cellStyle name="Обычный 9 6 6 3 7" xfId="56169"/>
    <cellStyle name="Обычный 9 6 6 4" xfId="56170"/>
    <cellStyle name="Обычный 9 6 6 4 2" xfId="56171"/>
    <cellStyle name="Обычный 9 6 6 4 2 2" xfId="56172"/>
    <cellStyle name="Обычный 9 6 6 4 2 3" xfId="56173"/>
    <cellStyle name="Обычный 9 6 6 4 3" xfId="56174"/>
    <cellStyle name="Обычный 9 6 6 4 3 2" xfId="56175"/>
    <cellStyle name="Обычный 9 6 6 4 3 3" xfId="56176"/>
    <cellStyle name="Обычный 9 6 6 4 4" xfId="56177"/>
    <cellStyle name="Обычный 9 6 6 4 4 2" xfId="56178"/>
    <cellStyle name="Обычный 9 6 6 4 5" xfId="56179"/>
    <cellStyle name="Обычный 9 6 6 4 6" xfId="56180"/>
    <cellStyle name="Обычный 9 6 6 5" xfId="56181"/>
    <cellStyle name="Обычный 9 6 6 5 2" xfId="56182"/>
    <cellStyle name="Обычный 9 6 6 5 3" xfId="56183"/>
    <cellStyle name="Обычный 9 6 6 6" xfId="56184"/>
    <cellStyle name="Обычный 9 6 6 6 2" xfId="56185"/>
    <cellStyle name="Обычный 9 6 6 6 3" xfId="56186"/>
    <cellStyle name="Обычный 9 6 6 7" xfId="56187"/>
    <cellStyle name="Обычный 9 6 6 7 2" xfId="56188"/>
    <cellStyle name="Обычный 9 6 6 8" xfId="56189"/>
    <cellStyle name="Обычный 9 6 6 9" xfId="56190"/>
    <cellStyle name="Обычный 9 6 7" xfId="56191"/>
    <cellStyle name="Обычный 9 6 7 2" xfId="56192"/>
    <cellStyle name="Обычный 9 6 7 2 2" xfId="56193"/>
    <cellStyle name="Обычный 9 6 7 2 2 2" xfId="56194"/>
    <cellStyle name="Обычный 9 6 7 2 2 2 2" xfId="56195"/>
    <cellStyle name="Обычный 9 6 7 2 2 2 3" xfId="56196"/>
    <cellStyle name="Обычный 9 6 7 2 2 3" xfId="56197"/>
    <cellStyle name="Обычный 9 6 7 2 2 3 2" xfId="56198"/>
    <cellStyle name="Обычный 9 6 7 2 2 3 3" xfId="56199"/>
    <cellStyle name="Обычный 9 6 7 2 2 4" xfId="56200"/>
    <cellStyle name="Обычный 9 6 7 2 2 4 2" xfId="56201"/>
    <cellStyle name="Обычный 9 6 7 2 2 5" xfId="56202"/>
    <cellStyle name="Обычный 9 6 7 2 2 6" xfId="56203"/>
    <cellStyle name="Обычный 9 6 7 2 3" xfId="56204"/>
    <cellStyle name="Обычный 9 6 7 2 3 2" xfId="56205"/>
    <cellStyle name="Обычный 9 6 7 2 3 3" xfId="56206"/>
    <cellStyle name="Обычный 9 6 7 2 4" xfId="56207"/>
    <cellStyle name="Обычный 9 6 7 2 4 2" xfId="56208"/>
    <cellStyle name="Обычный 9 6 7 2 4 3" xfId="56209"/>
    <cellStyle name="Обычный 9 6 7 2 5" xfId="56210"/>
    <cellStyle name="Обычный 9 6 7 2 5 2" xfId="56211"/>
    <cellStyle name="Обычный 9 6 7 2 6" xfId="56212"/>
    <cellStyle name="Обычный 9 6 7 2 7" xfId="56213"/>
    <cellStyle name="Обычный 9 6 7 3" xfId="56214"/>
    <cellStyle name="Обычный 9 6 7 3 2" xfId="56215"/>
    <cellStyle name="Обычный 9 6 7 3 2 2" xfId="56216"/>
    <cellStyle name="Обычный 9 6 7 3 2 3" xfId="56217"/>
    <cellStyle name="Обычный 9 6 7 3 3" xfId="56218"/>
    <cellStyle name="Обычный 9 6 7 3 3 2" xfId="56219"/>
    <cellStyle name="Обычный 9 6 7 3 3 3" xfId="56220"/>
    <cellStyle name="Обычный 9 6 7 3 4" xfId="56221"/>
    <cellStyle name="Обычный 9 6 7 3 4 2" xfId="56222"/>
    <cellStyle name="Обычный 9 6 7 3 5" xfId="56223"/>
    <cellStyle name="Обычный 9 6 7 3 6" xfId="56224"/>
    <cellStyle name="Обычный 9 6 7 4" xfId="56225"/>
    <cellStyle name="Обычный 9 6 7 4 2" xfId="56226"/>
    <cellStyle name="Обычный 9 6 7 4 3" xfId="56227"/>
    <cellStyle name="Обычный 9 6 7 5" xfId="56228"/>
    <cellStyle name="Обычный 9 6 7 5 2" xfId="56229"/>
    <cellStyle name="Обычный 9 6 7 5 3" xfId="56230"/>
    <cellStyle name="Обычный 9 6 7 6" xfId="56231"/>
    <cellStyle name="Обычный 9 6 7 6 2" xfId="56232"/>
    <cellStyle name="Обычный 9 6 7 7" xfId="56233"/>
    <cellStyle name="Обычный 9 6 7 8" xfId="56234"/>
    <cellStyle name="Обычный 9 6 8" xfId="56235"/>
    <cellStyle name="Обычный 9 6 8 2" xfId="56236"/>
    <cellStyle name="Обычный 9 6 8 2 2" xfId="56237"/>
    <cellStyle name="Обычный 9 6 8 2 2 2" xfId="56238"/>
    <cellStyle name="Обычный 9 6 8 2 2 3" xfId="56239"/>
    <cellStyle name="Обычный 9 6 8 2 3" xfId="56240"/>
    <cellStyle name="Обычный 9 6 8 2 3 2" xfId="56241"/>
    <cellStyle name="Обычный 9 6 8 2 3 3" xfId="56242"/>
    <cellStyle name="Обычный 9 6 8 2 4" xfId="56243"/>
    <cellStyle name="Обычный 9 6 8 2 4 2" xfId="56244"/>
    <cellStyle name="Обычный 9 6 8 2 5" xfId="56245"/>
    <cellStyle name="Обычный 9 6 8 2 6" xfId="56246"/>
    <cellStyle name="Обычный 9 6 8 3" xfId="56247"/>
    <cellStyle name="Обычный 9 6 8 3 2" xfId="56248"/>
    <cellStyle name="Обычный 9 6 8 3 3" xfId="56249"/>
    <cellStyle name="Обычный 9 6 8 4" xfId="56250"/>
    <cellStyle name="Обычный 9 6 8 4 2" xfId="56251"/>
    <cellStyle name="Обычный 9 6 8 4 3" xfId="56252"/>
    <cellStyle name="Обычный 9 6 8 5" xfId="56253"/>
    <cellStyle name="Обычный 9 6 8 5 2" xfId="56254"/>
    <cellStyle name="Обычный 9 6 8 6" xfId="56255"/>
    <cellStyle name="Обычный 9 6 8 7" xfId="56256"/>
    <cellStyle name="Обычный 9 6 9" xfId="56257"/>
    <cellStyle name="Обычный 9 6 9 2" xfId="56258"/>
    <cellStyle name="Обычный 9 6 9 2 2" xfId="56259"/>
    <cellStyle name="Обычный 9 6 9 2 3" xfId="56260"/>
    <cellStyle name="Обычный 9 6 9 3" xfId="56261"/>
    <cellStyle name="Обычный 9 6 9 3 2" xfId="56262"/>
    <cellStyle name="Обычный 9 6 9 3 3" xfId="56263"/>
    <cellStyle name="Обычный 9 6 9 4" xfId="56264"/>
    <cellStyle name="Обычный 9 6 9 4 2" xfId="56265"/>
    <cellStyle name="Обычный 9 6 9 5" xfId="56266"/>
    <cellStyle name="Обычный 9 6 9 6" xfId="56267"/>
    <cellStyle name="Обычный 9 7" xfId="56268"/>
    <cellStyle name="Обычный 9 7 10" xfId="56269"/>
    <cellStyle name="Обычный 9 7 10 2" xfId="56270"/>
    <cellStyle name="Обычный 9 7 10 3" xfId="56271"/>
    <cellStyle name="Обычный 9 7 11" xfId="56272"/>
    <cellStyle name="Обычный 9 7 11 2" xfId="56273"/>
    <cellStyle name="Обычный 9 7 11 3" xfId="56274"/>
    <cellStyle name="Обычный 9 7 12" xfId="56275"/>
    <cellStyle name="Обычный 9 7 12 2" xfId="56276"/>
    <cellStyle name="Обычный 9 7 13" xfId="56277"/>
    <cellStyle name="Обычный 9 7 14" xfId="56278"/>
    <cellStyle name="Обычный 9 7 2" xfId="56279"/>
    <cellStyle name="Обычный 9 7 2 10" xfId="56280"/>
    <cellStyle name="Обычный 9 7 2 10 2" xfId="56281"/>
    <cellStyle name="Обычный 9 7 2 10 3" xfId="56282"/>
    <cellStyle name="Обычный 9 7 2 11" xfId="56283"/>
    <cellStyle name="Обычный 9 7 2 11 2" xfId="56284"/>
    <cellStyle name="Обычный 9 7 2 12" xfId="56285"/>
    <cellStyle name="Обычный 9 7 2 13" xfId="56286"/>
    <cellStyle name="Обычный 9 7 2 2" xfId="56287"/>
    <cellStyle name="Обычный 9 7 2 2 10" xfId="56288"/>
    <cellStyle name="Обычный 9 7 2 2 2" xfId="56289"/>
    <cellStyle name="Обычный 9 7 2 2 2 2" xfId="56290"/>
    <cellStyle name="Обычный 9 7 2 2 2 2 2" xfId="56291"/>
    <cellStyle name="Обычный 9 7 2 2 2 2 2 2" xfId="56292"/>
    <cellStyle name="Обычный 9 7 2 2 2 2 2 2 2" xfId="56293"/>
    <cellStyle name="Обычный 9 7 2 2 2 2 2 2 2 2" xfId="56294"/>
    <cellStyle name="Обычный 9 7 2 2 2 2 2 2 2 3" xfId="56295"/>
    <cellStyle name="Обычный 9 7 2 2 2 2 2 2 3" xfId="56296"/>
    <cellStyle name="Обычный 9 7 2 2 2 2 2 2 3 2" xfId="56297"/>
    <cellStyle name="Обычный 9 7 2 2 2 2 2 2 3 3" xfId="56298"/>
    <cellStyle name="Обычный 9 7 2 2 2 2 2 2 4" xfId="56299"/>
    <cellStyle name="Обычный 9 7 2 2 2 2 2 2 4 2" xfId="56300"/>
    <cellStyle name="Обычный 9 7 2 2 2 2 2 2 5" xfId="56301"/>
    <cellStyle name="Обычный 9 7 2 2 2 2 2 2 6" xfId="56302"/>
    <cellStyle name="Обычный 9 7 2 2 2 2 2 3" xfId="56303"/>
    <cellStyle name="Обычный 9 7 2 2 2 2 2 3 2" xfId="56304"/>
    <cellStyle name="Обычный 9 7 2 2 2 2 2 3 3" xfId="56305"/>
    <cellStyle name="Обычный 9 7 2 2 2 2 2 4" xfId="56306"/>
    <cellStyle name="Обычный 9 7 2 2 2 2 2 4 2" xfId="56307"/>
    <cellStyle name="Обычный 9 7 2 2 2 2 2 4 3" xfId="56308"/>
    <cellStyle name="Обычный 9 7 2 2 2 2 2 5" xfId="56309"/>
    <cellStyle name="Обычный 9 7 2 2 2 2 2 5 2" xfId="56310"/>
    <cellStyle name="Обычный 9 7 2 2 2 2 2 6" xfId="56311"/>
    <cellStyle name="Обычный 9 7 2 2 2 2 2 7" xfId="56312"/>
    <cellStyle name="Обычный 9 7 2 2 2 2 3" xfId="56313"/>
    <cellStyle name="Обычный 9 7 2 2 2 2 3 2" xfId="56314"/>
    <cellStyle name="Обычный 9 7 2 2 2 2 3 2 2" xfId="56315"/>
    <cellStyle name="Обычный 9 7 2 2 2 2 3 2 3" xfId="56316"/>
    <cellStyle name="Обычный 9 7 2 2 2 2 3 3" xfId="56317"/>
    <cellStyle name="Обычный 9 7 2 2 2 2 3 3 2" xfId="56318"/>
    <cellStyle name="Обычный 9 7 2 2 2 2 3 3 3" xfId="56319"/>
    <cellStyle name="Обычный 9 7 2 2 2 2 3 4" xfId="56320"/>
    <cellStyle name="Обычный 9 7 2 2 2 2 3 4 2" xfId="56321"/>
    <cellStyle name="Обычный 9 7 2 2 2 2 3 5" xfId="56322"/>
    <cellStyle name="Обычный 9 7 2 2 2 2 3 6" xfId="56323"/>
    <cellStyle name="Обычный 9 7 2 2 2 2 4" xfId="56324"/>
    <cellStyle name="Обычный 9 7 2 2 2 2 4 2" xfId="56325"/>
    <cellStyle name="Обычный 9 7 2 2 2 2 4 3" xfId="56326"/>
    <cellStyle name="Обычный 9 7 2 2 2 2 5" xfId="56327"/>
    <cellStyle name="Обычный 9 7 2 2 2 2 5 2" xfId="56328"/>
    <cellStyle name="Обычный 9 7 2 2 2 2 5 3" xfId="56329"/>
    <cellStyle name="Обычный 9 7 2 2 2 2 6" xfId="56330"/>
    <cellStyle name="Обычный 9 7 2 2 2 2 6 2" xfId="56331"/>
    <cellStyle name="Обычный 9 7 2 2 2 2 7" xfId="56332"/>
    <cellStyle name="Обычный 9 7 2 2 2 2 8" xfId="56333"/>
    <cellStyle name="Обычный 9 7 2 2 2 3" xfId="56334"/>
    <cellStyle name="Обычный 9 7 2 2 2 3 2" xfId="56335"/>
    <cellStyle name="Обычный 9 7 2 2 2 3 2 2" xfId="56336"/>
    <cellStyle name="Обычный 9 7 2 2 2 3 2 2 2" xfId="56337"/>
    <cellStyle name="Обычный 9 7 2 2 2 3 2 2 3" xfId="56338"/>
    <cellStyle name="Обычный 9 7 2 2 2 3 2 3" xfId="56339"/>
    <cellStyle name="Обычный 9 7 2 2 2 3 2 3 2" xfId="56340"/>
    <cellStyle name="Обычный 9 7 2 2 2 3 2 3 3" xfId="56341"/>
    <cellStyle name="Обычный 9 7 2 2 2 3 2 4" xfId="56342"/>
    <cellStyle name="Обычный 9 7 2 2 2 3 2 4 2" xfId="56343"/>
    <cellStyle name="Обычный 9 7 2 2 2 3 2 5" xfId="56344"/>
    <cellStyle name="Обычный 9 7 2 2 2 3 2 6" xfId="56345"/>
    <cellStyle name="Обычный 9 7 2 2 2 3 3" xfId="56346"/>
    <cellStyle name="Обычный 9 7 2 2 2 3 3 2" xfId="56347"/>
    <cellStyle name="Обычный 9 7 2 2 2 3 3 3" xfId="56348"/>
    <cellStyle name="Обычный 9 7 2 2 2 3 4" xfId="56349"/>
    <cellStyle name="Обычный 9 7 2 2 2 3 4 2" xfId="56350"/>
    <cellStyle name="Обычный 9 7 2 2 2 3 4 3" xfId="56351"/>
    <cellStyle name="Обычный 9 7 2 2 2 3 5" xfId="56352"/>
    <cellStyle name="Обычный 9 7 2 2 2 3 5 2" xfId="56353"/>
    <cellStyle name="Обычный 9 7 2 2 2 3 6" xfId="56354"/>
    <cellStyle name="Обычный 9 7 2 2 2 3 7" xfId="56355"/>
    <cellStyle name="Обычный 9 7 2 2 2 4" xfId="56356"/>
    <cellStyle name="Обычный 9 7 2 2 2 4 2" xfId="56357"/>
    <cellStyle name="Обычный 9 7 2 2 2 4 2 2" xfId="56358"/>
    <cellStyle name="Обычный 9 7 2 2 2 4 2 3" xfId="56359"/>
    <cellStyle name="Обычный 9 7 2 2 2 4 3" xfId="56360"/>
    <cellStyle name="Обычный 9 7 2 2 2 4 3 2" xfId="56361"/>
    <cellStyle name="Обычный 9 7 2 2 2 4 3 3" xfId="56362"/>
    <cellStyle name="Обычный 9 7 2 2 2 4 4" xfId="56363"/>
    <cellStyle name="Обычный 9 7 2 2 2 4 4 2" xfId="56364"/>
    <cellStyle name="Обычный 9 7 2 2 2 4 5" xfId="56365"/>
    <cellStyle name="Обычный 9 7 2 2 2 4 6" xfId="56366"/>
    <cellStyle name="Обычный 9 7 2 2 2 5" xfId="56367"/>
    <cellStyle name="Обычный 9 7 2 2 2 5 2" xfId="56368"/>
    <cellStyle name="Обычный 9 7 2 2 2 5 3" xfId="56369"/>
    <cellStyle name="Обычный 9 7 2 2 2 6" xfId="56370"/>
    <cellStyle name="Обычный 9 7 2 2 2 6 2" xfId="56371"/>
    <cellStyle name="Обычный 9 7 2 2 2 6 3" xfId="56372"/>
    <cellStyle name="Обычный 9 7 2 2 2 7" xfId="56373"/>
    <cellStyle name="Обычный 9 7 2 2 2 7 2" xfId="56374"/>
    <cellStyle name="Обычный 9 7 2 2 2 8" xfId="56375"/>
    <cellStyle name="Обычный 9 7 2 2 2 9" xfId="56376"/>
    <cellStyle name="Обычный 9 7 2 2 3" xfId="56377"/>
    <cellStyle name="Обычный 9 7 2 2 3 2" xfId="56378"/>
    <cellStyle name="Обычный 9 7 2 2 3 2 2" xfId="56379"/>
    <cellStyle name="Обычный 9 7 2 2 3 2 2 2" xfId="56380"/>
    <cellStyle name="Обычный 9 7 2 2 3 2 2 2 2" xfId="56381"/>
    <cellStyle name="Обычный 9 7 2 2 3 2 2 2 3" xfId="56382"/>
    <cellStyle name="Обычный 9 7 2 2 3 2 2 3" xfId="56383"/>
    <cellStyle name="Обычный 9 7 2 2 3 2 2 3 2" xfId="56384"/>
    <cellStyle name="Обычный 9 7 2 2 3 2 2 3 3" xfId="56385"/>
    <cellStyle name="Обычный 9 7 2 2 3 2 2 4" xfId="56386"/>
    <cellStyle name="Обычный 9 7 2 2 3 2 2 4 2" xfId="56387"/>
    <cellStyle name="Обычный 9 7 2 2 3 2 2 5" xfId="56388"/>
    <cellStyle name="Обычный 9 7 2 2 3 2 2 6" xfId="56389"/>
    <cellStyle name="Обычный 9 7 2 2 3 2 3" xfId="56390"/>
    <cellStyle name="Обычный 9 7 2 2 3 2 3 2" xfId="56391"/>
    <cellStyle name="Обычный 9 7 2 2 3 2 3 3" xfId="56392"/>
    <cellStyle name="Обычный 9 7 2 2 3 2 4" xfId="56393"/>
    <cellStyle name="Обычный 9 7 2 2 3 2 4 2" xfId="56394"/>
    <cellStyle name="Обычный 9 7 2 2 3 2 4 3" xfId="56395"/>
    <cellStyle name="Обычный 9 7 2 2 3 2 5" xfId="56396"/>
    <cellStyle name="Обычный 9 7 2 2 3 2 5 2" xfId="56397"/>
    <cellStyle name="Обычный 9 7 2 2 3 2 6" xfId="56398"/>
    <cellStyle name="Обычный 9 7 2 2 3 2 7" xfId="56399"/>
    <cellStyle name="Обычный 9 7 2 2 3 3" xfId="56400"/>
    <cellStyle name="Обычный 9 7 2 2 3 3 2" xfId="56401"/>
    <cellStyle name="Обычный 9 7 2 2 3 3 2 2" xfId="56402"/>
    <cellStyle name="Обычный 9 7 2 2 3 3 2 3" xfId="56403"/>
    <cellStyle name="Обычный 9 7 2 2 3 3 3" xfId="56404"/>
    <cellStyle name="Обычный 9 7 2 2 3 3 3 2" xfId="56405"/>
    <cellStyle name="Обычный 9 7 2 2 3 3 3 3" xfId="56406"/>
    <cellStyle name="Обычный 9 7 2 2 3 3 4" xfId="56407"/>
    <cellStyle name="Обычный 9 7 2 2 3 3 4 2" xfId="56408"/>
    <cellStyle name="Обычный 9 7 2 2 3 3 5" xfId="56409"/>
    <cellStyle name="Обычный 9 7 2 2 3 3 6" xfId="56410"/>
    <cellStyle name="Обычный 9 7 2 2 3 4" xfId="56411"/>
    <cellStyle name="Обычный 9 7 2 2 3 4 2" xfId="56412"/>
    <cellStyle name="Обычный 9 7 2 2 3 4 3" xfId="56413"/>
    <cellStyle name="Обычный 9 7 2 2 3 5" xfId="56414"/>
    <cellStyle name="Обычный 9 7 2 2 3 5 2" xfId="56415"/>
    <cellStyle name="Обычный 9 7 2 2 3 5 3" xfId="56416"/>
    <cellStyle name="Обычный 9 7 2 2 3 6" xfId="56417"/>
    <cellStyle name="Обычный 9 7 2 2 3 6 2" xfId="56418"/>
    <cellStyle name="Обычный 9 7 2 2 3 7" xfId="56419"/>
    <cellStyle name="Обычный 9 7 2 2 3 8" xfId="56420"/>
    <cellStyle name="Обычный 9 7 2 2 4" xfId="56421"/>
    <cellStyle name="Обычный 9 7 2 2 4 2" xfId="56422"/>
    <cellStyle name="Обычный 9 7 2 2 4 2 2" xfId="56423"/>
    <cellStyle name="Обычный 9 7 2 2 4 2 2 2" xfId="56424"/>
    <cellStyle name="Обычный 9 7 2 2 4 2 2 3" xfId="56425"/>
    <cellStyle name="Обычный 9 7 2 2 4 2 3" xfId="56426"/>
    <cellStyle name="Обычный 9 7 2 2 4 2 3 2" xfId="56427"/>
    <cellStyle name="Обычный 9 7 2 2 4 2 3 3" xfId="56428"/>
    <cellStyle name="Обычный 9 7 2 2 4 2 4" xfId="56429"/>
    <cellStyle name="Обычный 9 7 2 2 4 2 4 2" xfId="56430"/>
    <cellStyle name="Обычный 9 7 2 2 4 2 5" xfId="56431"/>
    <cellStyle name="Обычный 9 7 2 2 4 2 6" xfId="56432"/>
    <cellStyle name="Обычный 9 7 2 2 4 3" xfId="56433"/>
    <cellStyle name="Обычный 9 7 2 2 4 3 2" xfId="56434"/>
    <cellStyle name="Обычный 9 7 2 2 4 3 3" xfId="56435"/>
    <cellStyle name="Обычный 9 7 2 2 4 4" xfId="56436"/>
    <cellStyle name="Обычный 9 7 2 2 4 4 2" xfId="56437"/>
    <cellStyle name="Обычный 9 7 2 2 4 4 3" xfId="56438"/>
    <cellStyle name="Обычный 9 7 2 2 4 5" xfId="56439"/>
    <cellStyle name="Обычный 9 7 2 2 4 5 2" xfId="56440"/>
    <cellStyle name="Обычный 9 7 2 2 4 6" xfId="56441"/>
    <cellStyle name="Обычный 9 7 2 2 4 7" xfId="56442"/>
    <cellStyle name="Обычный 9 7 2 2 5" xfId="56443"/>
    <cellStyle name="Обычный 9 7 2 2 5 2" xfId="56444"/>
    <cellStyle name="Обычный 9 7 2 2 5 2 2" xfId="56445"/>
    <cellStyle name="Обычный 9 7 2 2 5 2 3" xfId="56446"/>
    <cellStyle name="Обычный 9 7 2 2 5 3" xfId="56447"/>
    <cellStyle name="Обычный 9 7 2 2 5 3 2" xfId="56448"/>
    <cellStyle name="Обычный 9 7 2 2 5 3 3" xfId="56449"/>
    <cellStyle name="Обычный 9 7 2 2 5 4" xfId="56450"/>
    <cellStyle name="Обычный 9 7 2 2 5 4 2" xfId="56451"/>
    <cellStyle name="Обычный 9 7 2 2 5 5" xfId="56452"/>
    <cellStyle name="Обычный 9 7 2 2 5 6" xfId="56453"/>
    <cellStyle name="Обычный 9 7 2 2 6" xfId="56454"/>
    <cellStyle name="Обычный 9 7 2 2 6 2" xfId="56455"/>
    <cellStyle name="Обычный 9 7 2 2 6 3" xfId="56456"/>
    <cellStyle name="Обычный 9 7 2 2 7" xfId="56457"/>
    <cellStyle name="Обычный 9 7 2 2 7 2" xfId="56458"/>
    <cellStyle name="Обычный 9 7 2 2 7 3" xfId="56459"/>
    <cellStyle name="Обычный 9 7 2 2 8" xfId="56460"/>
    <cellStyle name="Обычный 9 7 2 2 8 2" xfId="56461"/>
    <cellStyle name="Обычный 9 7 2 2 9" xfId="56462"/>
    <cellStyle name="Обычный 9 7 2 3" xfId="56463"/>
    <cellStyle name="Обычный 9 7 2 3 10" xfId="56464"/>
    <cellStyle name="Обычный 9 7 2 3 2" xfId="56465"/>
    <cellStyle name="Обычный 9 7 2 3 2 2" xfId="56466"/>
    <cellStyle name="Обычный 9 7 2 3 2 2 2" xfId="56467"/>
    <cellStyle name="Обычный 9 7 2 3 2 2 2 2" xfId="56468"/>
    <cellStyle name="Обычный 9 7 2 3 2 2 2 2 2" xfId="56469"/>
    <cellStyle name="Обычный 9 7 2 3 2 2 2 2 2 2" xfId="56470"/>
    <cellStyle name="Обычный 9 7 2 3 2 2 2 2 2 3" xfId="56471"/>
    <cellStyle name="Обычный 9 7 2 3 2 2 2 2 3" xfId="56472"/>
    <cellStyle name="Обычный 9 7 2 3 2 2 2 2 3 2" xfId="56473"/>
    <cellStyle name="Обычный 9 7 2 3 2 2 2 2 3 3" xfId="56474"/>
    <cellStyle name="Обычный 9 7 2 3 2 2 2 2 4" xfId="56475"/>
    <cellStyle name="Обычный 9 7 2 3 2 2 2 2 4 2" xfId="56476"/>
    <cellStyle name="Обычный 9 7 2 3 2 2 2 2 5" xfId="56477"/>
    <cellStyle name="Обычный 9 7 2 3 2 2 2 2 6" xfId="56478"/>
    <cellStyle name="Обычный 9 7 2 3 2 2 2 3" xfId="56479"/>
    <cellStyle name="Обычный 9 7 2 3 2 2 2 3 2" xfId="56480"/>
    <cellStyle name="Обычный 9 7 2 3 2 2 2 3 3" xfId="56481"/>
    <cellStyle name="Обычный 9 7 2 3 2 2 2 4" xfId="56482"/>
    <cellStyle name="Обычный 9 7 2 3 2 2 2 4 2" xfId="56483"/>
    <cellStyle name="Обычный 9 7 2 3 2 2 2 4 3" xfId="56484"/>
    <cellStyle name="Обычный 9 7 2 3 2 2 2 5" xfId="56485"/>
    <cellStyle name="Обычный 9 7 2 3 2 2 2 5 2" xfId="56486"/>
    <cellStyle name="Обычный 9 7 2 3 2 2 2 6" xfId="56487"/>
    <cellStyle name="Обычный 9 7 2 3 2 2 2 7" xfId="56488"/>
    <cellStyle name="Обычный 9 7 2 3 2 2 3" xfId="56489"/>
    <cellStyle name="Обычный 9 7 2 3 2 2 3 2" xfId="56490"/>
    <cellStyle name="Обычный 9 7 2 3 2 2 3 2 2" xfId="56491"/>
    <cellStyle name="Обычный 9 7 2 3 2 2 3 2 3" xfId="56492"/>
    <cellStyle name="Обычный 9 7 2 3 2 2 3 3" xfId="56493"/>
    <cellStyle name="Обычный 9 7 2 3 2 2 3 3 2" xfId="56494"/>
    <cellStyle name="Обычный 9 7 2 3 2 2 3 3 3" xfId="56495"/>
    <cellStyle name="Обычный 9 7 2 3 2 2 3 4" xfId="56496"/>
    <cellStyle name="Обычный 9 7 2 3 2 2 3 4 2" xfId="56497"/>
    <cellStyle name="Обычный 9 7 2 3 2 2 3 5" xfId="56498"/>
    <cellStyle name="Обычный 9 7 2 3 2 2 3 6" xfId="56499"/>
    <cellStyle name="Обычный 9 7 2 3 2 2 4" xfId="56500"/>
    <cellStyle name="Обычный 9 7 2 3 2 2 4 2" xfId="56501"/>
    <cellStyle name="Обычный 9 7 2 3 2 2 4 3" xfId="56502"/>
    <cellStyle name="Обычный 9 7 2 3 2 2 5" xfId="56503"/>
    <cellStyle name="Обычный 9 7 2 3 2 2 5 2" xfId="56504"/>
    <cellStyle name="Обычный 9 7 2 3 2 2 5 3" xfId="56505"/>
    <cellStyle name="Обычный 9 7 2 3 2 2 6" xfId="56506"/>
    <cellStyle name="Обычный 9 7 2 3 2 2 6 2" xfId="56507"/>
    <cellStyle name="Обычный 9 7 2 3 2 2 7" xfId="56508"/>
    <cellStyle name="Обычный 9 7 2 3 2 2 8" xfId="56509"/>
    <cellStyle name="Обычный 9 7 2 3 2 3" xfId="56510"/>
    <cellStyle name="Обычный 9 7 2 3 2 3 2" xfId="56511"/>
    <cellStyle name="Обычный 9 7 2 3 2 3 2 2" xfId="56512"/>
    <cellStyle name="Обычный 9 7 2 3 2 3 2 2 2" xfId="56513"/>
    <cellStyle name="Обычный 9 7 2 3 2 3 2 2 3" xfId="56514"/>
    <cellStyle name="Обычный 9 7 2 3 2 3 2 3" xfId="56515"/>
    <cellStyle name="Обычный 9 7 2 3 2 3 2 3 2" xfId="56516"/>
    <cellStyle name="Обычный 9 7 2 3 2 3 2 3 3" xfId="56517"/>
    <cellStyle name="Обычный 9 7 2 3 2 3 2 4" xfId="56518"/>
    <cellStyle name="Обычный 9 7 2 3 2 3 2 4 2" xfId="56519"/>
    <cellStyle name="Обычный 9 7 2 3 2 3 2 5" xfId="56520"/>
    <cellStyle name="Обычный 9 7 2 3 2 3 2 6" xfId="56521"/>
    <cellStyle name="Обычный 9 7 2 3 2 3 3" xfId="56522"/>
    <cellStyle name="Обычный 9 7 2 3 2 3 3 2" xfId="56523"/>
    <cellStyle name="Обычный 9 7 2 3 2 3 3 3" xfId="56524"/>
    <cellStyle name="Обычный 9 7 2 3 2 3 4" xfId="56525"/>
    <cellStyle name="Обычный 9 7 2 3 2 3 4 2" xfId="56526"/>
    <cellStyle name="Обычный 9 7 2 3 2 3 4 3" xfId="56527"/>
    <cellStyle name="Обычный 9 7 2 3 2 3 5" xfId="56528"/>
    <cellStyle name="Обычный 9 7 2 3 2 3 5 2" xfId="56529"/>
    <cellStyle name="Обычный 9 7 2 3 2 3 6" xfId="56530"/>
    <cellStyle name="Обычный 9 7 2 3 2 3 7" xfId="56531"/>
    <cellStyle name="Обычный 9 7 2 3 2 4" xfId="56532"/>
    <cellStyle name="Обычный 9 7 2 3 2 4 2" xfId="56533"/>
    <cellStyle name="Обычный 9 7 2 3 2 4 2 2" xfId="56534"/>
    <cellStyle name="Обычный 9 7 2 3 2 4 2 3" xfId="56535"/>
    <cellStyle name="Обычный 9 7 2 3 2 4 3" xfId="56536"/>
    <cellStyle name="Обычный 9 7 2 3 2 4 3 2" xfId="56537"/>
    <cellStyle name="Обычный 9 7 2 3 2 4 3 3" xfId="56538"/>
    <cellStyle name="Обычный 9 7 2 3 2 4 4" xfId="56539"/>
    <cellStyle name="Обычный 9 7 2 3 2 4 4 2" xfId="56540"/>
    <cellStyle name="Обычный 9 7 2 3 2 4 5" xfId="56541"/>
    <cellStyle name="Обычный 9 7 2 3 2 4 6" xfId="56542"/>
    <cellStyle name="Обычный 9 7 2 3 2 5" xfId="56543"/>
    <cellStyle name="Обычный 9 7 2 3 2 5 2" xfId="56544"/>
    <cellStyle name="Обычный 9 7 2 3 2 5 3" xfId="56545"/>
    <cellStyle name="Обычный 9 7 2 3 2 6" xfId="56546"/>
    <cellStyle name="Обычный 9 7 2 3 2 6 2" xfId="56547"/>
    <cellStyle name="Обычный 9 7 2 3 2 6 3" xfId="56548"/>
    <cellStyle name="Обычный 9 7 2 3 2 7" xfId="56549"/>
    <cellStyle name="Обычный 9 7 2 3 2 7 2" xfId="56550"/>
    <cellStyle name="Обычный 9 7 2 3 2 8" xfId="56551"/>
    <cellStyle name="Обычный 9 7 2 3 2 9" xfId="56552"/>
    <cellStyle name="Обычный 9 7 2 3 3" xfId="56553"/>
    <cellStyle name="Обычный 9 7 2 3 3 2" xfId="56554"/>
    <cellStyle name="Обычный 9 7 2 3 3 2 2" xfId="56555"/>
    <cellStyle name="Обычный 9 7 2 3 3 2 2 2" xfId="56556"/>
    <cellStyle name="Обычный 9 7 2 3 3 2 2 2 2" xfId="56557"/>
    <cellStyle name="Обычный 9 7 2 3 3 2 2 2 3" xfId="56558"/>
    <cellStyle name="Обычный 9 7 2 3 3 2 2 3" xfId="56559"/>
    <cellStyle name="Обычный 9 7 2 3 3 2 2 3 2" xfId="56560"/>
    <cellStyle name="Обычный 9 7 2 3 3 2 2 3 3" xfId="56561"/>
    <cellStyle name="Обычный 9 7 2 3 3 2 2 4" xfId="56562"/>
    <cellStyle name="Обычный 9 7 2 3 3 2 2 4 2" xfId="56563"/>
    <cellStyle name="Обычный 9 7 2 3 3 2 2 5" xfId="56564"/>
    <cellStyle name="Обычный 9 7 2 3 3 2 2 6" xfId="56565"/>
    <cellStyle name="Обычный 9 7 2 3 3 2 3" xfId="56566"/>
    <cellStyle name="Обычный 9 7 2 3 3 2 3 2" xfId="56567"/>
    <cellStyle name="Обычный 9 7 2 3 3 2 3 3" xfId="56568"/>
    <cellStyle name="Обычный 9 7 2 3 3 2 4" xfId="56569"/>
    <cellStyle name="Обычный 9 7 2 3 3 2 4 2" xfId="56570"/>
    <cellStyle name="Обычный 9 7 2 3 3 2 4 3" xfId="56571"/>
    <cellStyle name="Обычный 9 7 2 3 3 2 5" xfId="56572"/>
    <cellStyle name="Обычный 9 7 2 3 3 2 5 2" xfId="56573"/>
    <cellStyle name="Обычный 9 7 2 3 3 2 6" xfId="56574"/>
    <cellStyle name="Обычный 9 7 2 3 3 2 7" xfId="56575"/>
    <cellStyle name="Обычный 9 7 2 3 3 3" xfId="56576"/>
    <cellStyle name="Обычный 9 7 2 3 3 3 2" xfId="56577"/>
    <cellStyle name="Обычный 9 7 2 3 3 3 2 2" xfId="56578"/>
    <cellStyle name="Обычный 9 7 2 3 3 3 2 3" xfId="56579"/>
    <cellStyle name="Обычный 9 7 2 3 3 3 3" xfId="56580"/>
    <cellStyle name="Обычный 9 7 2 3 3 3 3 2" xfId="56581"/>
    <cellStyle name="Обычный 9 7 2 3 3 3 3 3" xfId="56582"/>
    <cellStyle name="Обычный 9 7 2 3 3 3 4" xfId="56583"/>
    <cellStyle name="Обычный 9 7 2 3 3 3 4 2" xfId="56584"/>
    <cellStyle name="Обычный 9 7 2 3 3 3 5" xfId="56585"/>
    <cellStyle name="Обычный 9 7 2 3 3 3 6" xfId="56586"/>
    <cellStyle name="Обычный 9 7 2 3 3 4" xfId="56587"/>
    <cellStyle name="Обычный 9 7 2 3 3 4 2" xfId="56588"/>
    <cellStyle name="Обычный 9 7 2 3 3 4 3" xfId="56589"/>
    <cellStyle name="Обычный 9 7 2 3 3 5" xfId="56590"/>
    <cellStyle name="Обычный 9 7 2 3 3 5 2" xfId="56591"/>
    <cellStyle name="Обычный 9 7 2 3 3 5 3" xfId="56592"/>
    <cellStyle name="Обычный 9 7 2 3 3 6" xfId="56593"/>
    <cellStyle name="Обычный 9 7 2 3 3 6 2" xfId="56594"/>
    <cellStyle name="Обычный 9 7 2 3 3 7" xfId="56595"/>
    <cellStyle name="Обычный 9 7 2 3 3 8" xfId="56596"/>
    <cellStyle name="Обычный 9 7 2 3 4" xfId="56597"/>
    <cellStyle name="Обычный 9 7 2 3 4 2" xfId="56598"/>
    <cellStyle name="Обычный 9 7 2 3 4 2 2" xfId="56599"/>
    <cellStyle name="Обычный 9 7 2 3 4 2 2 2" xfId="56600"/>
    <cellStyle name="Обычный 9 7 2 3 4 2 2 3" xfId="56601"/>
    <cellStyle name="Обычный 9 7 2 3 4 2 3" xfId="56602"/>
    <cellStyle name="Обычный 9 7 2 3 4 2 3 2" xfId="56603"/>
    <cellStyle name="Обычный 9 7 2 3 4 2 3 3" xfId="56604"/>
    <cellStyle name="Обычный 9 7 2 3 4 2 4" xfId="56605"/>
    <cellStyle name="Обычный 9 7 2 3 4 2 4 2" xfId="56606"/>
    <cellStyle name="Обычный 9 7 2 3 4 2 5" xfId="56607"/>
    <cellStyle name="Обычный 9 7 2 3 4 2 6" xfId="56608"/>
    <cellStyle name="Обычный 9 7 2 3 4 3" xfId="56609"/>
    <cellStyle name="Обычный 9 7 2 3 4 3 2" xfId="56610"/>
    <cellStyle name="Обычный 9 7 2 3 4 3 3" xfId="56611"/>
    <cellStyle name="Обычный 9 7 2 3 4 4" xfId="56612"/>
    <cellStyle name="Обычный 9 7 2 3 4 4 2" xfId="56613"/>
    <cellStyle name="Обычный 9 7 2 3 4 4 3" xfId="56614"/>
    <cellStyle name="Обычный 9 7 2 3 4 5" xfId="56615"/>
    <cellStyle name="Обычный 9 7 2 3 4 5 2" xfId="56616"/>
    <cellStyle name="Обычный 9 7 2 3 4 6" xfId="56617"/>
    <cellStyle name="Обычный 9 7 2 3 4 7" xfId="56618"/>
    <cellStyle name="Обычный 9 7 2 3 5" xfId="56619"/>
    <cellStyle name="Обычный 9 7 2 3 5 2" xfId="56620"/>
    <cellStyle name="Обычный 9 7 2 3 5 2 2" xfId="56621"/>
    <cellStyle name="Обычный 9 7 2 3 5 2 3" xfId="56622"/>
    <cellStyle name="Обычный 9 7 2 3 5 3" xfId="56623"/>
    <cellStyle name="Обычный 9 7 2 3 5 3 2" xfId="56624"/>
    <cellStyle name="Обычный 9 7 2 3 5 3 3" xfId="56625"/>
    <cellStyle name="Обычный 9 7 2 3 5 4" xfId="56626"/>
    <cellStyle name="Обычный 9 7 2 3 5 4 2" xfId="56627"/>
    <cellStyle name="Обычный 9 7 2 3 5 5" xfId="56628"/>
    <cellStyle name="Обычный 9 7 2 3 5 6" xfId="56629"/>
    <cellStyle name="Обычный 9 7 2 3 6" xfId="56630"/>
    <cellStyle name="Обычный 9 7 2 3 6 2" xfId="56631"/>
    <cellStyle name="Обычный 9 7 2 3 6 3" xfId="56632"/>
    <cellStyle name="Обычный 9 7 2 3 7" xfId="56633"/>
    <cellStyle name="Обычный 9 7 2 3 7 2" xfId="56634"/>
    <cellStyle name="Обычный 9 7 2 3 7 3" xfId="56635"/>
    <cellStyle name="Обычный 9 7 2 3 8" xfId="56636"/>
    <cellStyle name="Обычный 9 7 2 3 8 2" xfId="56637"/>
    <cellStyle name="Обычный 9 7 2 3 9" xfId="56638"/>
    <cellStyle name="Обычный 9 7 2 4" xfId="56639"/>
    <cellStyle name="Обычный 9 7 2 4 10" xfId="56640"/>
    <cellStyle name="Обычный 9 7 2 4 2" xfId="56641"/>
    <cellStyle name="Обычный 9 7 2 4 2 2" xfId="56642"/>
    <cellStyle name="Обычный 9 7 2 4 2 2 2" xfId="56643"/>
    <cellStyle name="Обычный 9 7 2 4 2 2 2 2" xfId="56644"/>
    <cellStyle name="Обычный 9 7 2 4 2 2 2 2 2" xfId="56645"/>
    <cellStyle name="Обычный 9 7 2 4 2 2 2 2 2 2" xfId="56646"/>
    <cellStyle name="Обычный 9 7 2 4 2 2 2 2 2 3" xfId="56647"/>
    <cellStyle name="Обычный 9 7 2 4 2 2 2 2 3" xfId="56648"/>
    <cellStyle name="Обычный 9 7 2 4 2 2 2 2 3 2" xfId="56649"/>
    <cellStyle name="Обычный 9 7 2 4 2 2 2 2 3 3" xfId="56650"/>
    <cellStyle name="Обычный 9 7 2 4 2 2 2 2 4" xfId="56651"/>
    <cellStyle name="Обычный 9 7 2 4 2 2 2 2 4 2" xfId="56652"/>
    <cellStyle name="Обычный 9 7 2 4 2 2 2 2 5" xfId="56653"/>
    <cellStyle name="Обычный 9 7 2 4 2 2 2 2 6" xfId="56654"/>
    <cellStyle name="Обычный 9 7 2 4 2 2 2 3" xfId="56655"/>
    <cellStyle name="Обычный 9 7 2 4 2 2 2 3 2" xfId="56656"/>
    <cellStyle name="Обычный 9 7 2 4 2 2 2 3 3" xfId="56657"/>
    <cellStyle name="Обычный 9 7 2 4 2 2 2 4" xfId="56658"/>
    <cellStyle name="Обычный 9 7 2 4 2 2 2 4 2" xfId="56659"/>
    <cellStyle name="Обычный 9 7 2 4 2 2 2 4 3" xfId="56660"/>
    <cellStyle name="Обычный 9 7 2 4 2 2 2 5" xfId="56661"/>
    <cellStyle name="Обычный 9 7 2 4 2 2 2 5 2" xfId="56662"/>
    <cellStyle name="Обычный 9 7 2 4 2 2 2 6" xfId="56663"/>
    <cellStyle name="Обычный 9 7 2 4 2 2 2 7" xfId="56664"/>
    <cellStyle name="Обычный 9 7 2 4 2 2 3" xfId="56665"/>
    <cellStyle name="Обычный 9 7 2 4 2 2 3 2" xfId="56666"/>
    <cellStyle name="Обычный 9 7 2 4 2 2 3 2 2" xfId="56667"/>
    <cellStyle name="Обычный 9 7 2 4 2 2 3 2 3" xfId="56668"/>
    <cellStyle name="Обычный 9 7 2 4 2 2 3 3" xfId="56669"/>
    <cellStyle name="Обычный 9 7 2 4 2 2 3 3 2" xfId="56670"/>
    <cellStyle name="Обычный 9 7 2 4 2 2 3 3 3" xfId="56671"/>
    <cellStyle name="Обычный 9 7 2 4 2 2 3 4" xfId="56672"/>
    <cellStyle name="Обычный 9 7 2 4 2 2 3 4 2" xfId="56673"/>
    <cellStyle name="Обычный 9 7 2 4 2 2 3 5" xfId="56674"/>
    <cellStyle name="Обычный 9 7 2 4 2 2 3 6" xfId="56675"/>
    <cellStyle name="Обычный 9 7 2 4 2 2 4" xfId="56676"/>
    <cellStyle name="Обычный 9 7 2 4 2 2 4 2" xfId="56677"/>
    <cellStyle name="Обычный 9 7 2 4 2 2 4 3" xfId="56678"/>
    <cellStyle name="Обычный 9 7 2 4 2 2 5" xfId="56679"/>
    <cellStyle name="Обычный 9 7 2 4 2 2 5 2" xfId="56680"/>
    <cellStyle name="Обычный 9 7 2 4 2 2 5 3" xfId="56681"/>
    <cellStyle name="Обычный 9 7 2 4 2 2 6" xfId="56682"/>
    <cellStyle name="Обычный 9 7 2 4 2 2 6 2" xfId="56683"/>
    <cellStyle name="Обычный 9 7 2 4 2 2 7" xfId="56684"/>
    <cellStyle name="Обычный 9 7 2 4 2 2 8" xfId="56685"/>
    <cellStyle name="Обычный 9 7 2 4 2 3" xfId="56686"/>
    <cellStyle name="Обычный 9 7 2 4 2 3 2" xfId="56687"/>
    <cellStyle name="Обычный 9 7 2 4 2 3 2 2" xfId="56688"/>
    <cellStyle name="Обычный 9 7 2 4 2 3 2 2 2" xfId="56689"/>
    <cellStyle name="Обычный 9 7 2 4 2 3 2 2 3" xfId="56690"/>
    <cellStyle name="Обычный 9 7 2 4 2 3 2 3" xfId="56691"/>
    <cellStyle name="Обычный 9 7 2 4 2 3 2 3 2" xfId="56692"/>
    <cellStyle name="Обычный 9 7 2 4 2 3 2 3 3" xfId="56693"/>
    <cellStyle name="Обычный 9 7 2 4 2 3 2 4" xfId="56694"/>
    <cellStyle name="Обычный 9 7 2 4 2 3 2 4 2" xfId="56695"/>
    <cellStyle name="Обычный 9 7 2 4 2 3 2 5" xfId="56696"/>
    <cellStyle name="Обычный 9 7 2 4 2 3 2 6" xfId="56697"/>
    <cellStyle name="Обычный 9 7 2 4 2 3 3" xfId="56698"/>
    <cellStyle name="Обычный 9 7 2 4 2 3 3 2" xfId="56699"/>
    <cellStyle name="Обычный 9 7 2 4 2 3 3 3" xfId="56700"/>
    <cellStyle name="Обычный 9 7 2 4 2 3 4" xfId="56701"/>
    <cellStyle name="Обычный 9 7 2 4 2 3 4 2" xfId="56702"/>
    <cellStyle name="Обычный 9 7 2 4 2 3 4 3" xfId="56703"/>
    <cellStyle name="Обычный 9 7 2 4 2 3 5" xfId="56704"/>
    <cellStyle name="Обычный 9 7 2 4 2 3 5 2" xfId="56705"/>
    <cellStyle name="Обычный 9 7 2 4 2 3 6" xfId="56706"/>
    <cellStyle name="Обычный 9 7 2 4 2 3 7" xfId="56707"/>
    <cellStyle name="Обычный 9 7 2 4 2 4" xfId="56708"/>
    <cellStyle name="Обычный 9 7 2 4 2 4 2" xfId="56709"/>
    <cellStyle name="Обычный 9 7 2 4 2 4 2 2" xfId="56710"/>
    <cellStyle name="Обычный 9 7 2 4 2 4 2 3" xfId="56711"/>
    <cellStyle name="Обычный 9 7 2 4 2 4 3" xfId="56712"/>
    <cellStyle name="Обычный 9 7 2 4 2 4 3 2" xfId="56713"/>
    <cellStyle name="Обычный 9 7 2 4 2 4 3 3" xfId="56714"/>
    <cellStyle name="Обычный 9 7 2 4 2 4 4" xfId="56715"/>
    <cellStyle name="Обычный 9 7 2 4 2 4 4 2" xfId="56716"/>
    <cellStyle name="Обычный 9 7 2 4 2 4 5" xfId="56717"/>
    <cellStyle name="Обычный 9 7 2 4 2 4 6" xfId="56718"/>
    <cellStyle name="Обычный 9 7 2 4 2 5" xfId="56719"/>
    <cellStyle name="Обычный 9 7 2 4 2 5 2" xfId="56720"/>
    <cellStyle name="Обычный 9 7 2 4 2 5 3" xfId="56721"/>
    <cellStyle name="Обычный 9 7 2 4 2 6" xfId="56722"/>
    <cellStyle name="Обычный 9 7 2 4 2 6 2" xfId="56723"/>
    <cellStyle name="Обычный 9 7 2 4 2 6 3" xfId="56724"/>
    <cellStyle name="Обычный 9 7 2 4 2 7" xfId="56725"/>
    <cellStyle name="Обычный 9 7 2 4 2 7 2" xfId="56726"/>
    <cellStyle name="Обычный 9 7 2 4 2 8" xfId="56727"/>
    <cellStyle name="Обычный 9 7 2 4 2 9" xfId="56728"/>
    <cellStyle name="Обычный 9 7 2 4 3" xfId="56729"/>
    <cellStyle name="Обычный 9 7 2 4 3 2" xfId="56730"/>
    <cellStyle name="Обычный 9 7 2 4 3 2 2" xfId="56731"/>
    <cellStyle name="Обычный 9 7 2 4 3 2 2 2" xfId="56732"/>
    <cellStyle name="Обычный 9 7 2 4 3 2 2 2 2" xfId="56733"/>
    <cellStyle name="Обычный 9 7 2 4 3 2 2 2 3" xfId="56734"/>
    <cellStyle name="Обычный 9 7 2 4 3 2 2 3" xfId="56735"/>
    <cellStyle name="Обычный 9 7 2 4 3 2 2 3 2" xfId="56736"/>
    <cellStyle name="Обычный 9 7 2 4 3 2 2 3 3" xfId="56737"/>
    <cellStyle name="Обычный 9 7 2 4 3 2 2 4" xfId="56738"/>
    <cellStyle name="Обычный 9 7 2 4 3 2 2 4 2" xfId="56739"/>
    <cellStyle name="Обычный 9 7 2 4 3 2 2 5" xfId="56740"/>
    <cellStyle name="Обычный 9 7 2 4 3 2 2 6" xfId="56741"/>
    <cellStyle name="Обычный 9 7 2 4 3 2 3" xfId="56742"/>
    <cellStyle name="Обычный 9 7 2 4 3 2 3 2" xfId="56743"/>
    <cellStyle name="Обычный 9 7 2 4 3 2 3 3" xfId="56744"/>
    <cellStyle name="Обычный 9 7 2 4 3 2 4" xfId="56745"/>
    <cellStyle name="Обычный 9 7 2 4 3 2 4 2" xfId="56746"/>
    <cellStyle name="Обычный 9 7 2 4 3 2 4 3" xfId="56747"/>
    <cellStyle name="Обычный 9 7 2 4 3 2 5" xfId="56748"/>
    <cellStyle name="Обычный 9 7 2 4 3 2 5 2" xfId="56749"/>
    <cellStyle name="Обычный 9 7 2 4 3 2 6" xfId="56750"/>
    <cellStyle name="Обычный 9 7 2 4 3 2 7" xfId="56751"/>
    <cellStyle name="Обычный 9 7 2 4 3 3" xfId="56752"/>
    <cellStyle name="Обычный 9 7 2 4 3 3 2" xfId="56753"/>
    <cellStyle name="Обычный 9 7 2 4 3 3 2 2" xfId="56754"/>
    <cellStyle name="Обычный 9 7 2 4 3 3 2 3" xfId="56755"/>
    <cellStyle name="Обычный 9 7 2 4 3 3 3" xfId="56756"/>
    <cellStyle name="Обычный 9 7 2 4 3 3 3 2" xfId="56757"/>
    <cellStyle name="Обычный 9 7 2 4 3 3 3 3" xfId="56758"/>
    <cellStyle name="Обычный 9 7 2 4 3 3 4" xfId="56759"/>
    <cellStyle name="Обычный 9 7 2 4 3 3 4 2" xfId="56760"/>
    <cellStyle name="Обычный 9 7 2 4 3 3 5" xfId="56761"/>
    <cellStyle name="Обычный 9 7 2 4 3 3 6" xfId="56762"/>
    <cellStyle name="Обычный 9 7 2 4 3 4" xfId="56763"/>
    <cellStyle name="Обычный 9 7 2 4 3 4 2" xfId="56764"/>
    <cellStyle name="Обычный 9 7 2 4 3 4 3" xfId="56765"/>
    <cellStyle name="Обычный 9 7 2 4 3 5" xfId="56766"/>
    <cellStyle name="Обычный 9 7 2 4 3 5 2" xfId="56767"/>
    <cellStyle name="Обычный 9 7 2 4 3 5 3" xfId="56768"/>
    <cellStyle name="Обычный 9 7 2 4 3 6" xfId="56769"/>
    <cellStyle name="Обычный 9 7 2 4 3 6 2" xfId="56770"/>
    <cellStyle name="Обычный 9 7 2 4 3 7" xfId="56771"/>
    <cellStyle name="Обычный 9 7 2 4 3 8" xfId="56772"/>
    <cellStyle name="Обычный 9 7 2 4 4" xfId="56773"/>
    <cellStyle name="Обычный 9 7 2 4 4 2" xfId="56774"/>
    <cellStyle name="Обычный 9 7 2 4 4 2 2" xfId="56775"/>
    <cellStyle name="Обычный 9 7 2 4 4 2 2 2" xfId="56776"/>
    <cellStyle name="Обычный 9 7 2 4 4 2 2 3" xfId="56777"/>
    <cellStyle name="Обычный 9 7 2 4 4 2 3" xfId="56778"/>
    <cellStyle name="Обычный 9 7 2 4 4 2 3 2" xfId="56779"/>
    <cellStyle name="Обычный 9 7 2 4 4 2 3 3" xfId="56780"/>
    <cellStyle name="Обычный 9 7 2 4 4 2 4" xfId="56781"/>
    <cellStyle name="Обычный 9 7 2 4 4 2 4 2" xfId="56782"/>
    <cellStyle name="Обычный 9 7 2 4 4 2 5" xfId="56783"/>
    <cellStyle name="Обычный 9 7 2 4 4 2 6" xfId="56784"/>
    <cellStyle name="Обычный 9 7 2 4 4 3" xfId="56785"/>
    <cellStyle name="Обычный 9 7 2 4 4 3 2" xfId="56786"/>
    <cellStyle name="Обычный 9 7 2 4 4 3 3" xfId="56787"/>
    <cellStyle name="Обычный 9 7 2 4 4 4" xfId="56788"/>
    <cellStyle name="Обычный 9 7 2 4 4 4 2" xfId="56789"/>
    <cellStyle name="Обычный 9 7 2 4 4 4 3" xfId="56790"/>
    <cellStyle name="Обычный 9 7 2 4 4 5" xfId="56791"/>
    <cellStyle name="Обычный 9 7 2 4 4 5 2" xfId="56792"/>
    <cellStyle name="Обычный 9 7 2 4 4 6" xfId="56793"/>
    <cellStyle name="Обычный 9 7 2 4 4 7" xfId="56794"/>
    <cellStyle name="Обычный 9 7 2 4 5" xfId="56795"/>
    <cellStyle name="Обычный 9 7 2 4 5 2" xfId="56796"/>
    <cellStyle name="Обычный 9 7 2 4 5 2 2" xfId="56797"/>
    <cellStyle name="Обычный 9 7 2 4 5 2 3" xfId="56798"/>
    <cellStyle name="Обычный 9 7 2 4 5 3" xfId="56799"/>
    <cellStyle name="Обычный 9 7 2 4 5 3 2" xfId="56800"/>
    <cellStyle name="Обычный 9 7 2 4 5 3 3" xfId="56801"/>
    <cellStyle name="Обычный 9 7 2 4 5 4" xfId="56802"/>
    <cellStyle name="Обычный 9 7 2 4 5 4 2" xfId="56803"/>
    <cellStyle name="Обычный 9 7 2 4 5 5" xfId="56804"/>
    <cellStyle name="Обычный 9 7 2 4 5 6" xfId="56805"/>
    <cellStyle name="Обычный 9 7 2 4 6" xfId="56806"/>
    <cellStyle name="Обычный 9 7 2 4 6 2" xfId="56807"/>
    <cellStyle name="Обычный 9 7 2 4 6 3" xfId="56808"/>
    <cellStyle name="Обычный 9 7 2 4 7" xfId="56809"/>
    <cellStyle name="Обычный 9 7 2 4 7 2" xfId="56810"/>
    <cellStyle name="Обычный 9 7 2 4 7 3" xfId="56811"/>
    <cellStyle name="Обычный 9 7 2 4 8" xfId="56812"/>
    <cellStyle name="Обычный 9 7 2 4 8 2" xfId="56813"/>
    <cellStyle name="Обычный 9 7 2 4 9" xfId="56814"/>
    <cellStyle name="Обычный 9 7 2 5" xfId="56815"/>
    <cellStyle name="Обычный 9 7 2 5 2" xfId="56816"/>
    <cellStyle name="Обычный 9 7 2 5 2 2" xfId="56817"/>
    <cellStyle name="Обычный 9 7 2 5 2 2 2" xfId="56818"/>
    <cellStyle name="Обычный 9 7 2 5 2 2 2 2" xfId="56819"/>
    <cellStyle name="Обычный 9 7 2 5 2 2 2 2 2" xfId="56820"/>
    <cellStyle name="Обычный 9 7 2 5 2 2 2 2 3" xfId="56821"/>
    <cellStyle name="Обычный 9 7 2 5 2 2 2 3" xfId="56822"/>
    <cellStyle name="Обычный 9 7 2 5 2 2 2 3 2" xfId="56823"/>
    <cellStyle name="Обычный 9 7 2 5 2 2 2 3 3" xfId="56824"/>
    <cellStyle name="Обычный 9 7 2 5 2 2 2 4" xfId="56825"/>
    <cellStyle name="Обычный 9 7 2 5 2 2 2 4 2" xfId="56826"/>
    <cellStyle name="Обычный 9 7 2 5 2 2 2 5" xfId="56827"/>
    <cellStyle name="Обычный 9 7 2 5 2 2 2 6" xfId="56828"/>
    <cellStyle name="Обычный 9 7 2 5 2 2 3" xfId="56829"/>
    <cellStyle name="Обычный 9 7 2 5 2 2 3 2" xfId="56830"/>
    <cellStyle name="Обычный 9 7 2 5 2 2 3 3" xfId="56831"/>
    <cellStyle name="Обычный 9 7 2 5 2 2 4" xfId="56832"/>
    <cellStyle name="Обычный 9 7 2 5 2 2 4 2" xfId="56833"/>
    <cellStyle name="Обычный 9 7 2 5 2 2 4 3" xfId="56834"/>
    <cellStyle name="Обычный 9 7 2 5 2 2 5" xfId="56835"/>
    <cellStyle name="Обычный 9 7 2 5 2 2 5 2" xfId="56836"/>
    <cellStyle name="Обычный 9 7 2 5 2 2 6" xfId="56837"/>
    <cellStyle name="Обычный 9 7 2 5 2 2 7" xfId="56838"/>
    <cellStyle name="Обычный 9 7 2 5 2 3" xfId="56839"/>
    <cellStyle name="Обычный 9 7 2 5 2 3 2" xfId="56840"/>
    <cellStyle name="Обычный 9 7 2 5 2 3 2 2" xfId="56841"/>
    <cellStyle name="Обычный 9 7 2 5 2 3 2 3" xfId="56842"/>
    <cellStyle name="Обычный 9 7 2 5 2 3 3" xfId="56843"/>
    <cellStyle name="Обычный 9 7 2 5 2 3 3 2" xfId="56844"/>
    <cellStyle name="Обычный 9 7 2 5 2 3 3 3" xfId="56845"/>
    <cellStyle name="Обычный 9 7 2 5 2 3 4" xfId="56846"/>
    <cellStyle name="Обычный 9 7 2 5 2 3 4 2" xfId="56847"/>
    <cellStyle name="Обычный 9 7 2 5 2 3 5" xfId="56848"/>
    <cellStyle name="Обычный 9 7 2 5 2 3 6" xfId="56849"/>
    <cellStyle name="Обычный 9 7 2 5 2 4" xfId="56850"/>
    <cellStyle name="Обычный 9 7 2 5 2 4 2" xfId="56851"/>
    <cellStyle name="Обычный 9 7 2 5 2 4 3" xfId="56852"/>
    <cellStyle name="Обычный 9 7 2 5 2 5" xfId="56853"/>
    <cellStyle name="Обычный 9 7 2 5 2 5 2" xfId="56854"/>
    <cellStyle name="Обычный 9 7 2 5 2 5 3" xfId="56855"/>
    <cellStyle name="Обычный 9 7 2 5 2 6" xfId="56856"/>
    <cellStyle name="Обычный 9 7 2 5 2 6 2" xfId="56857"/>
    <cellStyle name="Обычный 9 7 2 5 2 7" xfId="56858"/>
    <cellStyle name="Обычный 9 7 2 5 2 8" xfId="56859"/>
    <cellStyle name="Обычный 9 7 2 5 3" xfId="56860"/>
    <cellStyle name="Обычный 9 7 2 5 3 2" xfId="56861"/>
    <cellStyle name="Обычный 9 7 2 5 3 2 2" xfId="56862"/>
    <cellStyle name="Обычный 9 7 2 5 3 2 2 2" xfId="56863"/>
    <cellStyle name="Обычный 9 7 2 5 3 2 2 3" xfId="56864"/>
    <cellStyle name="Обычный 9 7 2 5 3 2 3" xfId="56865"/>
    <cellStyle name="Обычный 9 7 2 5 3 2 3 2" xfId="56866"/>
    <cellStyle name="Обычный 9 7 2 5 3 2 3 3" xfId="56867"/>
    <cellStyle name="Обычный 9 7 2 5 3 2 4" xfId="56868"/>
    <cellStyle name="Обычный 9 7 2 5 3 2 4 2" xfId="56869"/>
    <cellStyle name="Обычный 9 7 2 5 3 2 5" xfId="56870"/>
    <cellStyle name="Обычный 9 7 2 5 3 2 6" xfId="56871"/>
    <cellStyle name="Обычный 9 7 2 5 3 3" xfId="56872"/>
    <cellStyle name="Обычный 9 7 2 5 3 3 2" xfId="56873"/>
    <cellStyle name="Обычный 9 7 2 5 3 3 3" xfId="56874"/>
    <cellStyle name="Обычный 9 7 2 5 3 4" xfId="56875"/>
    <cellStyle name="Обычный 9 7 2 5 3 4 2" xfId="56876"/>
    <cellStyle name="Обычный 9 7 2 5 3 4 3" xfId="56877"/>
    <cellStyle name="Обычный 9 7 2 5 3 5" xfId="56878"/>
    <cellStyle name="Обычный 9 7 2 5 3 5 2" xfId="56879"/>
    <cellStyle name="Обычный 9 7 2 5 3 6" xfId="56880"/>
    <cellStyle name="Обычный 9 7 2 5 3 7" xfId="56881"/>
    <cellStyle name="Обычный 9 7 2 5 4" xfId="56882"/>
    <cellStyle name="Обычный 9 7 2 5 4 2" xfId="56883"/>
    <cellStyle name="Обычный 9 7 2 5 4 2 2" xfId="56884"/>
    <cellStyle name="Обычный 9 7 2 5 4 2 3" xfId="56885"/>
    <cellStyle name="Обычный 9 7 2 5 4 3" xfId="56886"/>
    <cellStyle name="Обычный 9 7 2 5 4 3 2" xfId="56887"/>
    <cellStyle name="Обычный 9 7 2 5 4 3 3" xfId="56888"/>
    <cellStyle name="Обычный 9 7 2 5 4 4" xfId="56889"/>
    <cellStyle name="Обычный 9 7 2 5 4 4 2" xfId="56890"/>
    <cellStyle name="Обычный 9 7 2 5 4 5" xfId="56891"/>
    <cellStyle name="Обычный 9 7 2 5 4 6" xfId="56892"/>
    <cellStyle name="Обычный 9 7 2 5 5" xfId="56893"/>
    <cellStyle name="Обычный 9 7 2 5 5 2" xfId="56894"/>
    <cellStyle name="Обычный 9 7 2 5 5 3" xfId="56895"/>
    <cellStyle name="Обычный 9 7 2 5 6" xfId="56896"/>
    <cellStyle name="Обычный 9 7 2 5 6 2" xfId="56897"/>
    <cellStyle name="Обычный 9 7 2 5 6 3" xfId="56898"/>
    <cellStyle name="Обычный 9 7 2 5 7" xfId="56899"/>
    <cellStyle name="Обычный 9 7 2 5 7 2" xfId="56900"/>
    <cellStyle name="Обычный 9 7 2 5 8" xfId="56901"/>
    <cellStyle name="Обычный 9 7 2 5 9" xfId="56902"/>
    <cellStyle name="Обычный 9 7 2 6" xfId="56903"/>
    <cellStyle name="Обычный 9 7 2 6 2" xfId="56904"/>
    <cellStyle name="Обычный 9 7 2 6 2 2" xfId="56905"/>
    <cellStyle name="Обычный 9 7 2 6 2 2 2" xfId="56906"/>
    <cellStyle name="Обычный 9 7 2 6 2 2 2 2" xfId="56907"/>
    <cellStyle name="Обычный 9 7 2 6 2 2 2 3" xfId="56908"/>
    <cellStyle name="Обычный 9 7 2 6 2 2 3" xfId="56909"/>
    <cellStyle name="Обычный 9 7 2 6 2 2 3 2" xfId="56910"/>
    <cellStyle name="Обычный 9 7 2 6 2 2 3 3" xfId="56911"/>
    <cellStyle name="Обычный 9 7 2 6 2 2 4" xfId="56912"/>
    <cellStyle name="Обычный 9 7 2 6 2 2 4 2" xfId="56913"/>
    <cellStyle name="Обычный 9 7 2 6 2 2 5" xfId="56914"/>
    <cellStyle name="Обычный 9 7 2 6 2 2 6" xfId="56915"/>
    <cellStyle name="Обычный 9 7 2 6 2 3" xfId="56916"/>
    <cellStyle name="Обычный 9 7 2 6 2 3 2" xfId="56917"/>
    <cellStyle name="Обычный 9 7 2 6 2 3 3" xfId="56918"/>
    <cellStyle name="Обычный 9 7 2 6 2 4" xfId="56919"/>
    <cellStyle name="Обычный 9 7 2 6 2 4 2" xfId="56920"/>
    <cellStyle name="Обычный 9 7 2 6 2 4 3" xfId="56921"/>
    <cellStyle name="Обычный 9 7 2 6 2 5" xfId="56922"/>
    <cellStyle name="Обычный 9 7 2 6 2 5 2" xfId="56923"/>
    <cellStyle name="Обычный 9 7 2 6 2 6" xfId="56924"/>
    <cellStyle name="Обычный 9 7 2 6 2 7" xfId="56925"/>
    <cellStyle name="Обычный 9 7 2 6 3" xfId="56926"/>
    <cellStyle name="Обычный 9 7 2 6 3 2" xfId="56927"/>
    <cellStyle name="Обычный 9 7 2 6 3 2 2" xfId="56928"/>
    <cellStyle name="Обычный 9 7 2 6 3 2 3" xfId="56929"/>
    <cellStyle name="Обычный 9 7 2 6 3 3" xfId="56930"/>
    <cellStyle name="Обычный 9 7 2 6 3 3 2" xfId="56931"/>
    <cellStyle name="Обычный 9 7 2 6 3 3 3" xfId="56932"/>
    <cellStyle name="Обычный 9 7 2 6 3 4" xfId="56933"/>
    <cellStyle name="Обычный 9 7 2 6 3 4 2" xfId="56934"/>
    <cellStyle name="Обычный 9 7 2 6 3 5" xfId="56935"/>
    <cellStyle name="Обычный 9 7 2 6 3 6" xfId="56936"/>
    <cellStyle name="Обычный 9 7 2 6 4" xfId="56937"/>
    <cellStyle name="Обычный 9 7 2 6 4 2" xfId="56938"/>
    <cellStyle name="Обычный 9 7 2 6 4 3" xfId="56939"/>
    <cellStyle name="Обычный 9 7 2 6 5" xfId="56940"/>
    <cellStyle name="Обычный 9 7 2 6 5 2" xfId="56941"/>
    <cellStyle name="Обычный 9 7 2 6 5 3" xfId="56942"/>
    <cellStyle name="Обычный 9 7 2 6 6" xfId="56943"/>
    <cellStyle name="Обычный 9 7 2 6 6 2" xfId="56944"/>
    <cellStyle name="Обычный 9 7 2 6 7" xfId="56945"/>
    <cellStyle name="Обычный 9 7 2 6 8" xfId="56946"/>
    <cellStyle name="Обычный 9 7 2 7" xfId="56947"/>
    <cellStyle name="Обычный 9 7 2 7 2" xfId="56948"/>
    <cellStyle name="Обычный 9 7 2 7 2 2" xfId="56949"/>
    <cellStyle name="Обычный 9 7 2 7 2 2 2" xfId="56950"/>
    <cellStyle name="Обычный 9 7 2 7 2 2 3" xfId="56951"/>
    <cellStyle name="Обычный 9 7 2 7 2 3" xfId="56952"/>
    <cellStyle name="Обычный 9 7 2 7 2 3 2" xfId="56953"/>
    <cellStyle name="Обычный 9 7 2 7 2 3 3" xfId="56954"/>
    <cellStyle name="Обычный 9 7 2 7 2 4" xfId="56955"/>
    <cellStyle name="Обычный 9 7 2 7 2 4 2" xfId="56956"/>
    <cellStyle name="Обычный 9 7 2 7 2 5" xfId="56957"/>
    <cellStyle name="Обычный 9 7 2 7 2 6" xfId="56958"/>
    <cellStyle name="Обычный 9 7 2 7 3" xfId="56959"/>
    <cellStyle name="Обычный 9 7 2 7 3 2" xfId="56960"/>
    <cellStyle name="Обычный 9 7 2 7 3 3" xfId="56961"/>
    <cellStyle name="Обычный 9 7 2 7 4" xfId="56962"/>
    <cellStyle name="Обычный 9 7 2 7 4 2" xfId="56963"/>
    <cellStyle name="Обычный 9 7 2 7 4 3" xfId="56964"/>
    <cellStyle name="Обычный 9 7 2 7 5" xfId="56965"/>
    <cellStyle name="Обычный 9 7 2 7 5 2" xfId="56966"/>
    <cellStyle name="Обычный 9 7 2 7 6" xfId="56967"/>
    <cellStyle name="Обычный 9 7 2 7 7" xfId="56968"/>
    <cellStyle name="Обычный 9 7 2 8" xfId="56969"/>
    <cellStyle name="Обычный 9 7 2 8 2" xfId="56970"/>
    <cellStyle name="Обычный 9 7 2 8 2 2" xfId="56971"/>
    <cellStyle name="Обычный 9 7 2 8 2 3" xfId="56972"/>
    <cellStyle name="Обычный 9 7 2 8 3" xfId="56973"/>
    <cellStyle name="Обычный 9 7 2 8 3 2" xfId="56974"/>
    <cellStyle name="Обычный 9 7 2 8 3 3" xfId="56975"/>
    <cellStyle name="Обычный 9 7 2 8 4" xfId="56976"/>
    <cellStyle name="Обычный 9 7 2 8 4 2" xfId="56977"/>
    <cellStyle name="Обычный 9 7 2 8 5" xfId="56978"/>
    <cellStyle name="Обычный 9 7 2 8 6" xfId="56979"/>
    <cellStyle name="Обычный 9 7 2 9" xfId="56980"/>
    <cellStyle name="Обычный 9 7 2 9 2" xfId="56981"/>
    <cellStyle name="Обычный 9 7 2 9 3" xfId="56982"/>
    <cellStyle name="Обычный 9 7 3" xfId="56983"/>
    <cellStyle name="Обычный 9 7 3 10" xfId="56984"/>
    <cellStyle name="Обычный 9 7 3 2" xfId="56985"/>
    <cellStyle name="Обычный 9 7 3 2 2" xfId="56986"/>
    <cellStyle name="Обычный 9 7 3 2 2 2" xfId="56987"/>
    <cellStyle name="Обычный 9 7 3 2 2 2 2" xfId="56988"/>
    <cellStyle name="Обычный 9 7 3 2 2 2 2 2" xfId="56989"/>
    <cellStyle name="Обычный 9 7 3 2 2 2 2 2 2" xfId="56990"/>
    <cellStyle name="Обычный 9 7 3 2 2 2 2 2 3" xfId="56991"/>
    <cellStyle name="Обычный 9 7 3 2 2 2 2 3" xfId="56992"/>
    <cellStyle name="Обычный 9 7 3 2 2 2 2 3 2" xfId="56993"/>
    <cellStyle name="Обычный 9 7 3 2 2 2 2 3 3" xfId="56994"/>
    <cellStyle name="Обычный 9 7 3 2 2 2 2 4" xfId="56995"/>
    <cellStyle name="Обычный 9 7 3 2 2 2 2 4 2" xfId="56996"/>
    <cellStyle name="Обычный 9 7 3 2 2 2 2 5" xfId="56997"/>
    <cellStyle name="Обычный 9 7 3 2 2 2 2 6" xfId="56998"/>
    <cellStyle name="Обычный 9 7 3 2 2 2 3" xfId="56999"/>
    <cellStyle name="Обычный 9 7 3 2 2 2 3 2" xfId="57000"/>
    <cellStyle name="Обычный 9 7 3 2 2 2 3 3" xfId="57001"/>
    <cellStyle name="Обычный 9 7 3 2 2 2 4" xfId="57002"/>
    <cellStyle name="Обычный 9 7 3 2 2 2 4 2" xfId="57003"/>
    <cellStyle name="Обычный 9 7 3 2 2 2 4 3" xfId="57004"/>
    <cellStyle name="Обычный 9 7 3 2 2 2 5" xfId="57005"/>
    <cellStyle name="Обычный 9 7 3 2 2 2 5 2" xfId="57006"/>
    <cellStyle name="Обычный 9 7 3 2 2 2 6" xfId="57007"/>
    <cellStyle name="Обычный 9 7 3 2 2 2 7" xfId="57008"/>
    <cellStyle name="Обычный 9 7 3 2 2 3" xfId="57009"/>
    <cellStyle name="Обычный 9 7 3 2 2 3 2" xfId="57010"/>
    <cellStyle name="Обычный 9 7 3 2 2 3 2 2" xfId="57011"/>
    <cellStyle name="Обычный 9 7 3 2 2 3 2 3" xfId="57012"/>
    <cellStyle name="Обычный 9 7 3 2 2 3 3" xfId="57013"/>
    <cellStyle name="Обычный 9 7 3 2 2 3 3 2" xfId="57014"/>
    <cellStyle name="Обычный 9 7 3 2 2 3 3 3" xfId="57015"/>
    <cellStyle name="Обычный 9 7 3 2 2 3 4" xfId="57016"/>
    <cellStyle name="Обычный 9 7 3 2 2 3 4 2" xfId="57017"/>
    <cellStyle name="Обычный 9 7 3 2 2 3 5" xfId="57018"/>
    <cellStyle name="Обычный 9 7 3 2 2 3 6" xfId="57019"/>
    <cellStyle name="Обычный 9 7 3 2 2 4" xfId="57020"/>
    <cellStyle name="Обычный 9 7 3 2 2 4 2" xfId="57021"/>
    <cellStyle name="Обычный 9 7 3 2 2 4 3" xfId="57022"/>
    <cellStyle name="Обычный 9 7 3 2 2 5" xfId="57023"/>
    <cellStyle name="Обычный 9 7 3 2 2 5 2" xfId="57024"/>
    <cellStyle name="Обычный 9 7 3 2 2 5 3" xfId="57025"/>
    <cellStyle name="Обычный 9 7 3 2 2 6" xfId="57026"/>
    <cellStyle name="Обычный 9 7 3 2 2 6 2" xfId="57027"/>
    <cellStyle name="Обычный 9 7 3 2 2 7" xfId="57028"/>
    <cellStyle name="Обычный 9 7 3 2 2 8" xfId="57029"/>
    <cellStyle name="Обычный 9 7 3 2 3" xfId="57030"/>
    <cellStyle name="Обычный 9 7 3 2 3 2" xfId="57031"/>
    <cellStyle name="Обычный 9 7 3 2 3 2 2" xfId="57032"/>
    <cellStyle name="Обычный 9 7 3 2 3 2 2 2" xfId="57033"/>
    <cellStyle name="Обычный 9 7 3 2 3 2 2 3" xfId="57034"/>
    <cellStyle name="Обычный 9 7 3 2 3 2 3" xfId="57035"/>
    <cellStyle name="Обычный 9 7 3 2 3 2 3 2" xfId="57036"/>
    <cellStyle name="Обычный 9 7 3 2 3 2 3 3" xfId="57037"/>
    <cellStyle name="Обычный 9 7 3 2 3 2 4" xfId="57038"/>
    <cellStyle name="Обычный 9 7 3 2 3 2 4 2" xfId="57039"/>
    <cellStyle name="Обычный 9 7 3 2 3 2 5" xfId="57040"/>
    <cellStyle name="Обычный 9 7 3 2 3 2 6" xfId="57041"/>
    <cellStyle name="Обычный 9 7 3 2 3 3" xfId="57042"/>
    <cellStyle name="Обычный 9 7 3 2 3 3 2" xfId="57043"/>
    <cellStyle name="Обычный 9 7 3 2 3 3 3" xfId="57044"/>
    <cellStyle name="Обычный 9 7 3 2 3 4" xfId="57045"/>
    <cellStyle name="Обычный 9 7 3 2 3 4 2" xfId="57046"/>
    <cellStyle name="Обычный 9 7 3 2 3 4 3" xfId="57047"/>
    <cellStyle name="Обычный 9 7 3 2 3 5" xfId="57048"/>
    <cellStyle name="Обычный 9 7 3 2 3 5 2" xfId="57049"/>
    <cellStyle name="Обычный 9 7 3 2 3 6" xfId="57050"/>
    <cellStyle name="Обычный 9 7 3 2 3 7" xfId="57051"/>
    <cellStyle name="Обычный 9 7 3 2 4" xfId="57052"/>
    <cellStyle name="Обычный 9 7 3 2 4 2" xfId="57053"/>
    <cellStyle name="Обычный 9 7 3 2 4 2 2" xfId="57054"/>
    <cellStyle name="Обычный 9 7 3 2 4 2 3" xfId="57055"/>
    <cellStyle name="Обычный 9 7 3 2 4 3" xfId="57056"/>
    <cellStyle name="Обычный 9 7 3 2 4 3 2" xfId="57057"/>
    <cellStyle name="Обычный 9 7 3 2 4 3 3" xfId="57058"/>
    <cellStyle name="Обычный 9 7 3 2 4 4" xfId="57059"/>
    <cellStyle name="Обычный 9 7 3 2 4 4 2" xfId="57060"/>
    <cellStyle name="Обычный 9 7 3 2 4 5" xfId="57061"/>
    <cellStyle name="Обычный 9 7 3 2 4 6" xfId="57062"/>
    <cellStyle name="Обычный 9 7 3 2 5" xfId="57063"/>
    <cellStyle name="Обычный 9 7 3 2 5 2" xfId="57064"/>
    <cellStyle name="Обычный 9 7 3 2 5 3" xfId="57065"/>
    <cellStyle name="Обычный 9 7 3 2 6" xfId="57066"/>
    <cellStyle name="Обычный 9 7 3 2 6 2" xfId="57067"/>
    <cellStyle name="Обычный 9 7 3 2 6 3" xfId="57068"/>
    <cellStyle name="Обычный 9 7 3 2 7" xfId="57069"/>
    <cellStyle name="Обычный 9 7 3 2 7 2" xfId="57070"/>
    <cellStyle name="Обычный 9 7 3 2 8" xfId="57071"/>
    <cellStyle name="Обычный 9 7 3 2 9" xfId="57072"/>
    <cellStyle name="Обычный 9 7 3 3" xfId="57073"/>
    <cellStyle name="Обычный 9 7 3 3 2" xfId="57074"/>
    <cellStyle name="Обычный 9 7 3 3 2 2" xfId="57075"/>
    <cellStyle name="Обычный 9 7 3 3 2 2 2" xfId="57076"/>
    <cellStyle name="Обычный 9 7 3 3 2 2 2 2" xfId="57077"/>
    <cellStyle name="Обычный 9 7 3 3 2 2 2 3" xfId="57078"/>
    <cellStyle name="Обычный 9 7 3 3 2 2 3" xfId="57079"/>
    <cellStyle name="Обычный 9 7 3 3 2 2 3 2" xfId="57080"/>
    <cellStyle name="Обычный 9 7 3 3 2 2 3 3" xfId="57081"/>
    <cellStyle name="Обычный 9 7 3 3 2 2 4" xfId="57082"/>
    <cellStyle name="Обычный 9 7 3 3 2 2 4 2" xfId="57083"/>
    <cellStyle name="Обычный 9 7 3 3 2 2 5" xfId="57084"/>
    <cellStyle name="Обычный 9 7 3 3 2 2 6" xfId="57085"/>
    <cellStyle name="Обычный 9 7 3 3 2 3" xfId="57086"/>
    <cellStyle name="Обычный 9 7 3 3 2 3 2" xfId="57087"/>
    <cellStyle name="Обычный 9 7 3 3 2 3 3" xfId="57088"/>
    <cellStyle name="Обычный 9 7 3 3 2 4" xfId="57089"/>
    <cellStyle name="Обычный 9 7 3 3 2 4 2" xfId="57090"/>
    <cellStyle name="Обычный 9 7 3 3 2 4 3" xfId="57091"/>
    <cellStyle name="Обычный 9 7 3 3 2 5" xfId="57092"/>
    <cellStyle name="Обычный 9 7 3 3 2 5 2" xfId="57093"/>
    <cellStyle name="Обычный 9 7 3 3 2 6" xfId="57094"/>
    <cellStyle name="Обычный 9 7 3 3 2 7" xfId="57095"/>
    <cellStyle name="Обычный 9 7 3 3 3" xfId="57096"/>
    <cellStyle name="Обычный 9 7 3 3 3 2" xfId="57097"/>
    <cellStyle name="Обычный 9 7 3 3 3 2 2" xfId="57098"/>
    <cellStyle name="Обычный 9 7 3 3 3 2 3" xfId="57099"/>
    <cellStyle name="Обычный 9 7 3 3 3 3" xfId="57100"/>
    <cellStyle name="Обычный 9 7 3 3 3 3 2" xfId="57101"/>
    <cellStyle name="Обычный 9 7 3 3 3 3 3" xfId="57102"/>
    <cellStyle name="Обычный 9 7 3 3 3 4" xfId="57103"/>
    <cellStyle name="Обычный 9 7 3 3 3 4 2" xfId="57104"/>
    <cellStyle name="Обычный 9 7 3 3 3 5" xfId="57105"/>
    <cellStyle name="Обычный 9 7 3 3 3 6" xfId="57106"/>
    <cellStyle name="Обычный 9 7 3 3 4" xfId="57107"/>
    <cellStyle name="Обычный 9 7 3 3 4 2" xfId="57108"/>
    <cellStyle name="Обычный 9 7 3 3 4 3" xfId="57109"/>
    <cellStyle name="Обычный 9 7 3 3 5" xfId="57110"/>
    <cellStyle name="Обычный 9 7 3 3 5 2" xfId="57111"/>
    <cellStyle name="Обычный 9 7 3 3 5 3" xfId="57112"/>
    <cellStyle name="Обычный 9 7 3 3 6" xfId="57113"/>
    <cellStyle name="Обычный 9 7 3 3 6 2" xfId="57114"/>
    <cellStyle name="Обычный 9 7 3 3 7" xfId="57115"/>
    <cellStyle name="Обычный 9 7 3 3 8" xfId="57116"/>
    <cellStyle name="Обычный 9 7 3 4" xfId="57117"/>
    <cellStyle name="Обычный 9 7 3 4 2" xfId="57118"/>
    <cellStyle name="Обычный 9 7 3 4 2 2" xfId="57119"/>
    <cellStyle name="Обычный 9 7 3 4 2 2 2" xfId="57120"/>
    <cellStyle name="Обычный 9 7 3 4 2 2 3" xfId="57121"/>
    <cellStyle name="Обычный 9 7 3 4 2 3" xfId="57122"/>
    <cellStyle name="Обычный 9 7 3 4 2 3 2" xfId="57123"/>
    <cellStyle name="Обычный 9 7 3 4 2 3 3" xfId="57124"/>
    <cellStyle name="Обычный 9 7 3 4 2 4" xfId="57125"/>
    <cellStyle name="Обычный 9 7 3 4 2 4 2" xfId="57126"/>
    <cellStyle name="Обычный 9 7 3 4 2 5" xfId="57127"/>
    <cellStyle name="Обычный 9 7 3 4 2 6" xfId="57128"/>
    <cellStyle name="Обычный 9 7 3 4 3" xfId="57129"/>
    <cellStyle name="Обычный 9 7 3 4 3 2" xfId="57130"/>
    <cellStyle name="Обычный 9 7 3 4 3 3" xfId="57131"/>
    <cellStyle name="Обычный 9 7 3 4 4" xfId="57132"/>
    <cellStyle name="Обычный 9 7 3 4 4 2" xfId="57133"/>
    <cellStyle name="Обычный 9 7 3 4 4 3" xfId="57134"/>
    <cellStyle name="Обычный 9 7 3 4 5" xfId="57135"/>
    <cellStyle name="Обычный 9 7 3 4 5 2" xfId="57136"/>
    <cellStyle name="Обычный 9 7 3 4 6" xfId="57137"/>
    <cellStyle name="Обычный 9 7 3 4 7" xfId="57138"/>
    <cellStyle name="Обычный 9 7 3 5" xfId="57139"/>
    <cellStyle name="Обычный 9 7 3 5 2" xfId="57140"/>
    <cellStyle name="Обычный 9 7 3 5 2 2" xfId="57141"/>
    <cellStyle name="Обычный 9 7 3 5 2 3" xfId="57142"/>
    <cellStyle name="Обычный 9 7 3 5 3" xfId="57143"/>
    <cellStyle name="Обычный 9 7 3 5 3 2" xfId="57144"/>
    <cellStyle name="Обычный 9 7 3 5 3 3" xfId="57145"/>
    <cellStyle name="Обычный 9 7 3 5 4" xfId="57146"/>
    <cellStyle name="Обычный 9 7 3 5 4 2" xfId="57147"/>
    <cellStyle name="Обычный 9 7 3 5 5" xfId="57148"/>
    <cellStyle name="Обычный 9 7 3 5 6" xfId="57149"/>
    <cellStyle name="Обычный 9 7 3 6" xfId="57150"/>
    <cellStyle name="Обычный 9 7 3 6 2" xfId="57151"/>
    <cellStyle name="Обычный 9 7 3 6 3" xfId="57152"/>
    <cellStyle name="Обычный 9 7 3 7" xfId="57153"/>
    <cellStyle name="Обычный 9 7 3 7 2" xfId="57154"/>
    <cellStyle name="Обычный 9 7 3 7 3" xfId="57155"/>
    <cellStyle name="Обычный 9 7 3 8" xfId="57156"/>
    <cellStyle name="Обычный 9 7 3 8 2" xfId="57157"/>
    <cellStyle name="Обычный 9 7 3 9" xfId="57158"/>
    <cellStyle name="Обычный 9 7 4" xfId="57159"/>
    <cellStyle name="Обычный 9 7 4 10" xfId="57160"/>
    <cellStyle name="Обычный 9 7 4 2" xfId="57161"/>
    <cellStyle name="Обычный 9 7 4 2 2" xfId="57162"/>
    <cellStyle name="Обычный 9 7 4 2 2 2" xfId="57163"/>
    <cellStyle name="Обычный 9 7 4 2 2 2 2" xfId="57164"/>
    <cellStyle name="Обычный 9 7 4 2 2 2 2 2" xfId="57165"/>
    <cellStyle name="Обычный 9 7 4 2 2 2 2 2 2" xfId="57166"/>
    <cellStyle name="Обычный 9 7 4 2 2 2 2 2 3" xfId="57167"/>
    <cellStyle name="Обычный 9 7 4 2 2 2 2 3" xfId="57168"/>
    <cellStyle name="Обычный 9 7 4 2 2 2 2 3 2" xfId="57169"/>
    <cellStyle name="Обычный 9 7 4 2 2 2 2 3 3" xfId="57170"/>
    <cellStyle name="Обычный 9 7 4 2 2 2 2 4" xfId="57171"/>
    <cellStyle name="Обычный 9 7 4 2 2 2 2 4 2" xfId="57172"/>
    <cellStyle name="Обычный 9 7 4 2 2 2 2 5" xfId="57173"/>
    <cellStyle name="Обычный 9 7 4 2 2 2 2 6" xfId="57174"/>
    <cellStyle name="Обычный 9 7 4 2 2 2 3" xfId="57175"/>
    <cellStyle name="Обычный 9 7 4 2 2 2 3 2" xfId="57176"/>
    <cellStyle name="Обычный 9 7 4 2 2 2 3 3" xfId="57177"/>
    <cellStyle name="Обычный 9 7 4 2 2 2 4" xfId="57178"/>
    <cellStyle name="Обычный 9 7 4 2 2 2 4 2" xfId="57179"/>
    <cellStyle name="Обычный 9 7 4 2 2 2 4 3" xfId="57180"/>
    <cellStyle name="Обычный 9 7 4 2 2 2 5" xfId="57181"/>
    <cellStyle name="Обычный 9 7 4 2 2 2 5 2" xfId="57182"/>
    <cellStyle name="Обычный 9 7 4 2 2 2 6" xfId="57183"/>
    <cellStyle name="Обычный 9 7 4 2 2 2 7" xfId="57184"/>
    <cellStyle name="Обычный 9 7 4 2 2 3" xfId="57185"/>
    <cellStyle name="Обычный 9 7 4 2 2 3 2" xfId="57186"/>
    <cellStyle name="Обычный 9 7 4 2 2 3 2 2" xfId="57187"/>
    <cellStyle name="Обычный 9 7 4 2 2 3 2 3" xfId="57188"/>
    <cellStyle name="Обычный 9 7 4 2 2 3 3" xfId="57189"/>
    <cellStyle name="Обычный 9 7 4 2 2 3 3 2" xfId="57190"/>
    <cellStyle name="Обычный 9 7 4 2 2 3 3 3" xfId="57191"/>
    <cellStyle name="Обычный 9 7 4 2 2 3 4" xfId="57192"/>
    <cellStyle name="Обычный 9 7 4 2 2 3 4 2" xfId="57193"/>
    <cellStyle name="Обычный 9 7 4 2 2 3 5" xfId="57194"/>
    <cellStyle name="Обычный 9 7 4 2 2 3 6" xfId="57195"/>
    <cellStyle name="Обычный 9 7 4 2 2 4" xfId="57196"/>
    <cellStyle name="Обычный 9 7 4 2 2 4 2" xfId="57197"/>
    <cellStyle name="Обычный 9 7 4 2 2 4 3" xfId="57198"/>
    <cellStyle name="Обычный 9 7 4 2 2 5" xfId="57199"/>
    <cellStyle name="Обычный 9 7 4 2 2 5 2" xfId="57200"/>
    <cellStyle name="Обычный 9 7 4 2 2 5 3" xfId="57201"/>
    <cellStyle name="Обычный 9 7 4 2 2 6" xfId="57202"/>
    <cellStyle name="Обычный 9 7 4 2 2 6 2" xfId="57203"/>
    <cellStyle name="Обычный 9 7 4 2 2 7" xfId="57204"/>
    <cellStyle name="Обычный 9 7 4 2 2 8" xfId="57205"/>
    <cellStyle name="Обычный 9 7 4 2 3" xfId="57206"/>
    <cellStyle name="Обычный 9 7 4 2 3 2" xfId="57207"/>
    <cellStyle name="Обычный 9 7 4 2 3 2 2" xfId="57208"/>
    <cellStyle name="Обычный 9 7 4 2 3 2 2 2" xfId="57209"/>
    <cellStyle name="Обычный 9 7 4 2 3 2 2 3" xfId="57210"/>
    <cellStyle name="Обычный 9 7 4 2 3 2 3" xfId="57211"/>
    <cellStyle name="Обычный 9 7 4 2 3 2 3 2" xfId="57212"/>
    <cellStyle name="Обычный 9 7 4 2 3 2 3 3" xfId="57213"/>
    <cellStyle name="Обычный 9 7 4 2 3 2 4" xfId="57214"/>
    <cellStyle name="Обычный 9 7 4 2 3 2 4 2" xfId="57215"/>
    <cellStyle name="Обычный 9 7 4 2 3 2 5" xfId="57216"/>
    <cellStyle name="Обычный 9 7 4 2 3 2 6" xfId="57217"/>
    <cellStyle name="Обычный 9 7 4 2 3 3" xfId="57218"/>
    <cellStyle name="Обычный 9 7 4 2 3 3 2" xfId="57219"/>
    <cellStyle name="Обычный 9 7 4 2 3 3 3" xfId="57220"/>
    <cellStyle name="Обычный 9 7 4 2 3 4" xfId="57221"/>
    <cellStyle name="Обычный 9 7 4 2 3 4 2" xfId="57222"/>
    <cellStyle name="Обычный 9 7 4 2 3 4 3" xfId="57223"/>
    <cellStyle name="Обычный 9 7 4 2 3 5" xfId="57224"/>
    <cellStyle name="Обычный 9 7 4 2 3 5 2" xfId="57225"/>
    <cellStyle name="Обычный 9 7 4 2 3 6" xfId="57226"/>
    <cellStyle name="Обычный 9 7 4 2 3 7" xfId="57227"/>
    <cellStyle name="Обычный 9 7 4 2 4" xfId="57228"/>
    <cellStyle name="Обычный 9 7 4 2 4 2" xfId="57229"/>
    <cellStyle name="Обычный 9 7 4 2 4 2 2" xfId="57230"/>
    <cellStyle name="Обычный 9 7 4 2 4 2 3" xfId="57231"/>
    <cellStyle name="Обычный 9 7 4 2 4 3" xfId="57232"/>
    <cellStyle name="Обычный 9 7 4 2 4 3 2" xfId="57233"/>
    <cellStyle name="Обычный 9 7 4 2 4 3 3" xfId="57234"/>
    <cellStyle name="Обычный 9 7 4 2 4 4" xfId="57235"/>
    <cellStyle name="Обычный 9 7 4 2 4 4 2" xfId="57236"/>
    <cellStyle name="Обычный 9 7 4 2 4 5" xfId="57237"/>
    <cellStyle name="Обычный 9 7 4 2 4 6" xfId="57238"/>
    <cellStyle name="Обычный 9 7 4 2 5" xfId="57239"/>
    <cellStyle name="Обычный 9 7 4 2 5 2" xfId="57240"/>
    <cellStyle name="Обычный 9 7 4 2 5 3" xfId="57241"/>
    <cellStyle name="Обычный 9 7 4 2 6" xfId="57242"/>
    <cellStyle name="Обычный 9 7 4 2 6 2" xfId="57243"/>
    <cellStyle name="Обычный 9 7 4 2 6 3" xfId="57244"/>
    <cellStyle name="Обычный 9 7 4 2 7" xfId="57245"/>
    <cellStyle name="Обычный 9 7 4 2 7 2" xfId="57246"/>
    <cellStyle name="Обычный 9 7 4 2 8" xfId="57247"/>
    <cellStyle name="Обычный 9 7 4 2 9" xfId="57248"/>
    <cellStyle name="Обычный 9 7 4 3" xfId="57249"/>
    <cellStyle name="Обычный 9 7 4 3 2" xfId="57250"/>
    <cellStyle name="Обычный 9 7 4 3 2 2" xfId="57251"/>
    <cellStyle name="Обычный 9 7 4 3 2 2 2" xfId="57252"/>
    <cellStyle name="Обычный 9 7 4 3 2 2 2 2" xfId="57253"/>
    <cellStyle name="Обычный 9 7 4 3 2 2 2 3" xfId="57254"/>
    <cellStyle name="Обычный 9 7 4 3 2 2 3" xfId="57255"/>
    <cellStyle name="Обычный 9 7 4 3 2 2 3 2" xfId="57256"/>
    <cellStyle name="Обычный 9 7 4 3 2 2 3 3" xfId="57257"/>
    <cellStyle name="Обычный 9 7 4 3 2 2 4" xfId="57258"/>
    <cellStyle name="Обычный 9 7 4 3 2 2 4 2" xfId="57259"/>
    <cellStyle name="Обычный 9 7 4 3 2 2 5" xfId="57260"/>
    <cellStyle name="Обычный 9 7 4 3 2 2 6" xfId="57261"/>
    <cellStyle name="Обычный 9 7 4 3 2 3" xfId="57262"/>
    <cellStyle name="Обычный 9 7 4 3 2 3 2" xfId="57263"/>
    <cellStyle name="Обычный 9 7 4 3 2 3 3" xfId="57264"/>
    <cellStyle name="Обычный 9 7 4 3 2 4" xfId="57265"/>
    <cellStyle name="Обычный 9 7 4 3 2 4 2" xfId="57266"/>
    <cellStyle name="Обычный 9 7 4 3 2 4 3" xfId="57267"/>
    <cellStyle name="Обычный 9 7 4 3 2 5" xfId="57268"/>
    <cellStyle name="Обычный 9 7 4 3 2 5 2" xfId="57269"/>
    <cellStyle name="Обычный 9 7 4 3 2 6" xfId="57270"/>
    <cellStyle name="Обычный 9 7 4 3 2 7" xfId="57271"/>
    <cellStyle name="Обычный 9 7 4 3 3" xfId="57272"/>
    <cellStyle name="Обычный 9 7 4 3 3 2" xfId="57273"/>
    <cellStyle name="Обычный 9 7 4 3 3 2 2" xfId="57274"/>
    <cellStyle name="Обычный 9 7 4 3 3 2 3" xfId="57275"/>
    <cellStyle name="Обычный 9 7 4 3 3 3" xfId="57276"/>
    <cellStyle name="Обычный 9 7 4 3 3 3 2" xfId="57277"/>
    <cellStyle name="Обычный 9 7 4 3 3 3 3" xfId="57278"/>
    <cellStyle name="Обычный 9 7 4 3 3 4" xfId="57279"/>
    <cellStyle name="Обычный 9 7 4 3 3 4 2" xfId="57280"/>
    <cellStyle name="Обычный 9 7 4 3 3 5" xfId="57281"/>
    <cellStyle name="Обычный 9 7 4 3 3 6" xfId="57282"/>
    <cellStyle name="Обычный 9 7 4 3 4" xfId="57283"/>
    <cellStyle name="Обычный 9 7 4 3 4 2" xfId="57284"/>
    <cellStyle name="Обычный 9 7 4 3 4 3" xfId="57285"/>
    <cellStyle name="Обычный 9 7 4 3 5" xfId="57286"/>
    <cellStyle name="Обычный 9 7 4 3 5 2" xfId="57287"/>
    <cellStyle name="Обычный 9 7 4 3 5 3" xfId="57288"/>
    <cellStyle name="Обычный 9 7 4 3 6" xfId="57289"/>
    <cellStyle name="Обычный 9 7 4 3 6 2" xfId="57290"/>
    <cellStyle name="Обычный 9 7 4 3 7" xfId="57291"/>
    <cellStyle name="Обычный 9 7 4 3 8" xfId="57292"/>
    <cellStyle name="Обычный 9 7 4 4" xfId="57293"/>
    <cellStyle name="Обычный 9 7 4 4 2" xfId="57294"/>
    <cellStyle name="Обычный 9 7 4 4 2 2" xfId="57295"/>
    <cellStyle name="Обычный 9 7 4 4 2 2 2" xfId="57296"/>
    <cellStyle name="Обычный 9 7 4 4 2 2 3" xfId="57297"/>
    <cellStyle name="Обычный 9 7 4 4 2 3" xfId="57298"/>
    <cellStyle name="Обычный 9 7 4 4 2 3 2" xfId="57299"/>
    <cellStyle name="Обычный 9 7 4 4 2 3 3" xfId="57300"/>
    <cellStyle name="Обычный 9 7 4 4 2 4" xfId="57301"/>
    <cellStyle name="Обычный 9 7 4 4 2 4 2" xfId="57302"/>
    <cellStyle name="Обычный 9 7 4 4 2 5" xfId="57303"/>
    <cellStyle name="Обычный 9 7 4 4 2 6" xfId="57304"/>
    <cellStyle name="Обычный 9 7 4 4 3" xfId="57305"/>
    <cellStyle name="Обычный 9 7 4 4 3 2" xfId="57306"/>
    <cellStyle name="Обычный 9 7 4 4 3 3" xfId="57307"/>
    <cellStyle name="Обычный 9 7 4 4 4" xfId="57308"/>
    <cellStyle name="Обычный 9 7 4 4 4 2" xfId="57309"/>
    <cellStyle name="Обычный 9 7 4 4 4 3" xfId="57310"/>
    <cellStyle name="Обычный 9 7 4 4 5" xfId="57311"/>
    <cellStyle name="Обычный 9 7 4 4 5 2" xfId="57312"/>
    <cellStyle name="Обычный 9 7 4 4 6" xfId="57313"/>
    <cellStyle name="Обычный 9 7 4 4 7" xfId="57314"/>
    <cellStyle name="Обычный 9 7 4 5" xfId="57315"/>
    <cellStyle name="Обычный 9 7 4 5 2" xfId="57316"/>
    <cellStyle name="Обычный 9 7 4 5 2 2" xfId="57317"/>
    <cellStyle name="Обычный 9 7 4 5 2 3" xfId="57318"/>
    <cellStyle name="Обычный 9 7 4 5 3" xfId="57319"/>
    <cellStyle name="Обычный 9 7 4 5 3 2" xfId="57320"/>
    <cellStyle name="Обычный 9 7 4 5 3 3" xfId="57321"/>
    <cellStyle name="Обычный 9 7 4 5 4" xfId="57322"/>
    <cellStyle name="Обычный 9 7 4 5 4 2" xfId="57323"/>
    <cellStyle name="Обычный 9 7 4 5 5" xfId="57324"/>
    <cellStyle name="Обычный 9 7 4 5 6" xfId="57325"/>
    <cellStyle name="Обычный 9 7 4 6" xfId="57326"/>
    <cellStyle name="Обычный 9 7 4 6 2" xfId="57327"/>
    <cellStyle name="Обычный 9 7 4 6 3" xfId="57328"/>
    <cellStyle name="Обычный 9 7 4 7" xfId="57329"/>
    <cellStyle name="Обычный 9 7 4 7 2" xfId="57330"/>
    <cellStyle name="Обычный 9 7 4 7 3" xfId="57331"/>
    <cellStyle name="Обычный 9 7 4 8" xfId="57332"/>
    <cellStyle name="Обычный 9 7 4 8 2" xfId="57333"/>
    <cellStyle name="Обычный 9 7 4 9" xfId="57334"/>
    <cellStyle name="Обычный 9 7 5" xfId="57335"/>
    <cellStyle name="Обычный 9 7 5 10" xfId="57336"/>
    <cellStyle name="Обычный 9 7 5 2" xfId="57337"/>
    <cellStyle name="Обычный 9 7 5 2 2" xfId="57338"/>
    <cellStyle name="Обычный 9 7 5 2 2 2" xfId="57339"/>
    <cellStyle name="Обычный 9 7 5 2 2 2 2" xfId="57340"/>
    <cellStyle name="Обычный 9 7 5 2 2 2 2 2" xfId="57341"/>
    <cellStyle name="Обычный 9 7 5 2 2 2 2 2 2" xfId="57342"/>
    <cellStyle name="Обычный 9 7 5 2 2 2 2 2 3" xfId="57343"/>
    <cellStyle name="Обычный 9 7 5 2 2 2 2 3" xfId="57344"/>
    <cellStyle name="Обычный 9 7 5 2 2 2 2 3 2" xfId="57345"/>
    <cellStyle name="Обычный 9 7 5 2 2 2 2 3 3" xfId="57346"/>
    <cellStyle name="Обычный 9 7 5 2 2 2 2 4" xfId="57347"/>
    <cellStyle name="Обычный 9 7 5 2 2 2 2 4 2" xfId="57348"/>
    <cellStyle name="Обычный 9 7 5 2 2 2 2 5" xfId="57349"/>
    <cellStyle name="Обычный 9 7 5 2 2 2 2 6" xfId="57350"/>
    <cellStyle name="Обычный 9 7 5 2 2 2 3" xfId="57351"/>
    <cellStyle name="Обычный 9 7 5 2 2 2 3 2" xfId="57352"/>
    <cellStyle name="Обычный 9 7 5 2 2 2 3 3" xfId="57353"/>
    <cellStyle name="Обычный 9 7 5 2 2 2 4" xfId="57354"/>
    <cellStyle name="Обычный 9 7 5 2 2 2 4 2" xfId="57355"/>
    <cellStyle name="Обычный 9 7 5 2 2 2 4 3" xfId="57356"/>
    <cellStyle name="Обычный 9 7 5 2 2 2 5" xfId="57357"/>
    <cellStyle name="Обычный 9 7 5 2 2 2 5 2" xfId="57358"/>
    <cellStyle name="Обычный 9 7 5 2 2 2 6" xfId="57359"/>
    <cellStyle name="Обычный 9 7 5 2 2 2 7" xfId="57360"/>
    <cellStyle name="Обычный 9 7 5 2 2 3" xfId="57361"/>
    <cellStyle name="Обычный 9 7 5 2 2 3 2" xfId="57362"/>
    <cellStyle name="Обычный 9 7 5 2 2 3 2 2" xfId="57363"/>
    <cellStyle name="Обычный 9 7 5 2 2 3 2 3" xfId="57364"/>
    <cellStyle name="Обычный 9 7 5 2 2 3 3" xfId="57365"/>
    <cellStyle name="Обычный 9 7 5 2 2 3 3 2" xfId="57366"/>
    <cellStyle name="Обычный 9 7 5 2 2 3 3 3" xfId="57367"/>
    <cellStyle name="Обычный 9 7 5 2 2 3 4" xfId="57368"/>
    <cellStyle name="Обычный 9 7 5 2 2 3 4 2" xfId="57369"/>
    <cellStyle name="Обычный 9 7 5 2 2 3 5" xfId="57370"/>
    <cellStyle name="Обычный 9 7 5 2 2 3 6" xfId="57371"/>
    <cellStyle name="Обычный 9 7 5 2 2 4" xfId="57372"/>
    <cellStyle name="Обычный 9 7 5 2 2 4 2" xfId="57373"/>
    <cellStyle name="Обычный 9 7 5 2 2 4 3" xfId="57374"/>
    <cellStyle name="Обычный 9 7 5 2 2 5" xfId="57375"/>
    <cellStyle name="Обычный 9 7 5 2 2 5 2" xfId="57376"/>
    <cellStyle name="Обычный 9 7 5 2 2 5 3" xfId="57377"/>
    <cellStyle name="Обычный 9 7 5 2 2 6" xfId="57378"/>
    <cellStyle name="Обычный 9 7 5 2 2 6 2" xfId="57379"/>
    <cellStyle name="Обычный 9 7 5 2 2 7" xfId="57380"/>
    <cellStyle name="Обычный 9 7 5 2 2 8" xfId="57381"/>
    <cellStyle name="Обычный 9 7 5 2 3" xfId="57382"/>
    <cellStyle name="Обычный 9 7 5 2 3 2" xfId="57383"/>
    <cellStyle name="Обычный 9 7 5 2 3 2 2" xfId="57384"/>
    <cellStyle name="Обычный 9 7 5 2 3 2 2 2" xfId="57385"/>
    <cellStyle name="Обычный 9 7 5 2 3 2 2 3" xfId="57386"/>
    <cellStyle name="Обычный 9 7 5 2 3 2 3" xfId="57387"/>
    <cellStyle name="Обычный 9 7 5 2 3 2 3 2" xfId="57388"/>
    <cellStyle name="Обычный 9 7 5 2 3 2 3 3" xfId="57389"/>
    <cellStyle name="Обычный 9 7 5 2 3 2 4" xfId="57390"/>
    <cellStyle name="Обычный 9 7 5 2 3 2 4 2" xfId="57391"/>
    <cellStyle name="Обычный 9 7 5 2 3 2 5" xfId="57392"/>
    <cellStyle name="Обычный 9 7 5 2 3 2 6" xfId="57393"/>
    <cellStyle name="Обычный 9 7 5 2 3 3" xfId="57394"/>
    <cellStyle name="Обычный 9 7 5 2 3 3 2" xfId="57395"/>
    <cellStyle name="Обычный 9 7 5 2 3 3 3" xfId="57396"/>
    <cellStyle name="Обычный 9 7 5 2 3 4" xfId="57397"/>
    <cellStyle name="Обычный 9 7 5 2 3 4 2" xfId="57398"/>
    <cellStyle name="Обычный 9 7 5 2 3 4 3" xfId="57399"/>
    <cellStyle name="Обычный 9 7 5 2 3 5" xfId="57400"/>
    <cellStyle name="Обычный 9 7 5 2 3 5 2" xfId="57401"/>
    <cellStyle name="Обычный 9 7 5 2 3 6" xfId="57402"/>
    <cellStyle name="Обычный 9 7 5 2 3 7" xfId="57403"/>
    <cellStyle name="Обычный 9 7 5 2 4" xfId="57404"/>
    <cellStyle name="Обычный 9 7 5 2 4 2" xfId="57405"/>
    <cellStyle name="Обычный 9 7 5 2 4 2 2" xfId="57406"/>
    <cellStyle name="Обычный 9 7 5 2 4 2 3" xfId="57407"/>
    <cellStyle name="Обычный 9 7 5 2 4 3" xfId="57408"/>
    <cellStyle name="Обычный 9 7 5 2 4 3 2" xfId="57409"/>
    <cellStyle name="Обычный 9 7 5 2 4 3 3" xfId="57410"/>
    <cellStyle name="Обычный 9 7 5 2 4 4" xfId="57411"/>
    <cellStyle name="Обычный 9 7 5 2 4 4 2" xfId="57412"/>
    <cellStyle name="Обычный 9 7 5 2 4 5" xfId="57413"/>
    <cellStyle name="Обычный 9 7 5 2 4 6" xfId="57414"/>
    <cellStyle name="Обычный 9 7 5 2 5" xfId="57415"/>
    <cellStyle name="Обычный 9 7 5 2 5 2" xfId="57416"/>
    <cellStyle name="Обычный 9 7 5 2 5 3" xfId="57417"/>
    <cellStyle name="Обычный 9 7 5 2 6" xfId="57418"/>
    <cellStyle name="Обычный 9 7 5 2 6 2" xfId="57419"/>
    <cellStyle name="Обычный 9 7 5 2 6 3" xfId="57420"/>
    <cellStyle name="Обычный 9 7 5 2 7" xfId="57421"/>
    <cellStyle name="Обычный 9 7 5 2 7 2" xfId="57422"/>
    <cellStyle name="Обычный 9 7 5 2 8" xfId="57423"/>
    <cellStyle name="Обычный 9 7 5 2 9" xfId="57424"/>
    <cellStyle name="Обычный 9 7 5 3" xfId="57425"/>
    <cellStyle name="Обычный 9 7 5 3 2" xfId="57426"/>
    <cellStyle name="Обычный 9 7 5 3 2 2" xfId="57427"/>
    <cellStyle name="Обычный 9 7 5 3 2 2 2" xfId="57428"/>
    <cellStyle name="Обычный 9 7 5 3 2 2 2 2" xfId="57429"/>
    <cellStyle name="Обычный 9 7 5 3 2 2 2 3" xfId="57430"/>
    <cellStyle name="Обычный 9 7 5 3 2 2 3" xfId="57431"/>
    <cellStyle name="Обычный 9 7 5 3 2 2 3 2" xfId="57432"/>
    <cellStyle name="Обычный 9 7 5 3 2 2 3 3" xfId="57433"/>
    <cellStyle name="Обычный 9 7 5 3 2 2 4" xfId="57434"/>
    <cellStyle name="Обычный 9 7 5 3 2 2 4 2" xfId="57435"/>
    <cellStyle name="Обычный 9 7 5 3 2 2 5" xfId="57436"/>
    <cellStyle name="Обычный 9 7 5 3 2 2 6" xfId="57437"/>
    <cellStyle name="Обычный 9 7 5 3 2 3" xfId="57438"/>
    <cellStyle name="Обычный 9 7 5 3 2 3 2" xfId="57439"/>
    <cellStyle name="Обычный 9 7 5 3 2 3 3" xfId="57440"/>
    <cellStyle name="Обычный 9 7 5 3 2 4" xfId="57441"/>
    <cellStyle name="Обычный 9 7 5 3 2 4 2" xfId="57442"/>
    <cellStyle name="Обычный 9 7 5 3 2 4 3" xfId="57443"/>
    <cellStyle name="Обычный 9 7 5 3 2 5" xfId="57444"/>
    <cellStyle name="Обычный 9 7 5 3 2 5 2" xfId="57445"/>
    <cellStyle name="Обычный 9 7 5 3 2 6" xfId="57446"/>
    <cellStyle name="Обычный 9 7 5 3 2 7" xfId="57447"/>
    <cellStyle name="Обычный 9 7 5 3 3" xfId="57448"/>
    <cellStyle name="Обычный 9 7 5 3 3 2" xfId="57449"/>
    <cellStyle name="Обычный 9 7 5 3 3 2 2" xfId="57450"/>
    <cellStyle name="Обычный 9 7 5 3 3 2 3" xfId="57451"/>
    <cellStyle name="Обычный 9 7 5 3 3 3" xfId="57452"/>
    <cellStyle name="Обычный 9 7 5 3 3 3 2" xfId="57453"/>
    <cellStyle name="Обычный 9 7 5 3 3 3 3" xfId="57454"/>
    <cellStyle name="Обычный 9 7 5 3 3 4" xfId="57455"/>
    <cellStyle name="Обычный 9 7 5 3 3 4 2" xfId="57456"/>
    <cellStyle name="Обычный 9 7 5 3 3 5" xfId="57457"/>
    <cellStyle name="Обычный 9 7 5 3 3 6" xfId="57458"/>
    <cellStyle name="Обычный 9 7 5 3 4" xfId="57459"/>
    <cellStyle name="Обычный 9 7 5 3 4 2" xfId="57460"/>
    <cellStyle name="Обычный 9 7 5 3 4 3" xfId="57461"/>
    <cellStyle name="Обычный 9 7 5 3 5" xfId="57462"/>
    <cellStyle name="Обычный 9 7 5 3 5 2" xfId="57463"/>
    <cellStyle name="Обычный 9 7 5 3 5 3" xfId="57464"/>
    <cellStyle name="Обычный 9 7 5 3 6" xfId="57465"/>
    <cellStyle name="Обычный 9 7 5 3 6 2" xfId="57466"/>
    <cellStyle name="Обычный 9 7 5 3 7" xfId="57467"/>
    <cellStyle name="Обычный 9 7 5 3 8" xfId="57468"/>
    <cellStyle name="Обычный 9 7 5 4" xfId="57469"/>
    <cellStyle name="Обычный 9 7 5 4 2" xfId="57470"/>
    <cellStyle name="Обычный 9 7 5 4 2 2" xfId="57471"/>
    <cellStyle name="Обычный 9 7 5 4 2 2 2" xfId="57472"/>
    <cellStyle name="Обычный 9 7 5 4 2 2 3" xfId="57473"/>
    <cellStyle name="Обычный 9 7 5 4 2 3" xfId="57474"/>
    <cellStyle name="Обычный 9 7 5 4 2 3 2" xfId="57475"/>
    <cellStyle name="Обычный 9 7 5 4 2 3 3" xfId="57476"/>
    <cellStyle name="Обычный 9 7 5 4 2 4" xfId="57477"/>
    <cellStyle name="Обычный 9 7 5 4 2 4 2" xfId="57478"/>
    <cellStyle name="Обычный 9 7 5 4 2 5" xfId="57479"/>
    <cellStyle name="Обычный 9 7 5 4 2 6" xfId="57480"/>
    <cellStyle name="Обычный 9 7 5 4 3" xfId="57481"/>
    <cellStyle name="Обычный 9 7 5 4 3 2" xfId="57482"/>
    <cellStyle name="Обычный 9 7 5 4 3 3" xfId="57483"/>
    <cellStyle name="Обычный 9 7 5 4 4" xfId="57484"/>
    <cellStyle name="Обычный 9 7 5 4 4 2" xfId="57485"/>
    <cellStyle name="Обычный 9 7 5 4 4 3" xfId="57486"/>
    <cellStyle name="Обычный 9 7 5 4 5" xfId="57487"/>
    <cellStyle name="Обычный 9 7 5 4 5 2" xfId="57488"/>
    <cellStyle name="Обычный 9 7 5 4 6" xfId="57489"/>
    <cellStyle name="Обычный 9 7 5 4 7" xfId="57490"/>
    <cellStyle name="Обычный 9 7 5 5" xfId="57491"/>
    <cellStyle name="Обычный 9 7 5 5 2" xfId="57492"/>
    <cellStyle name="Обычный 9 7 5 5 2 2" xfId="57493"/>
    <cellStyle name="Обычный 9 7 5 5 2 3" xfId="57494"/>
    <cellStyle name="Обычный 9 7 5 5 3" xfId="57495"/>
    <cellStyle name="Обычный 9 7 5 5 3 2" xfId="57496"/>
    <cellStyle name="Обычный 9 7 5 5 3 3" xfId="57497"/>
    <cellStyle name="Обычный 9 7 5 5 4" xfId="57498"/>
    <cellStyle name="Обычный 9 7 5 5 4 2" xfId="57499"/>
    <cellStyle name="Обычный 9 7 5 5 5" xfId="57500"/>
    <cellStyle name="Обычный 9 7 5 5 6" xfId="57501"/>
    <cellStyle name="Обычный 9 7 5 6" xfId="57502"/>
    <cellStyle name="Обычный 9 7 5 6 2" xfId="57503"/>
    <cellStyle name="Обычный 9 7 5 6 3" xfId="57504"/>
    <cellStyle name="Обычный 9 7 5 7" xfId="57505"/>
    <cellStyle name="Обычный 9 7 5 7 2" xfId="57506"/>
    <cellStyle name="Обычный 9 7 5 7 3" xfId="57507"/>
    <cellStyle name="Обычный 9 7 5 8" xfId="57508"/>
    <cellStyle name="Обычный 9 7 5 8 2" xfId="57509"/>
    <cellStyle name="Обычный 9 7 5 9" xfId="57510"/>
    <cellStyle name="Обычный 9 7 6" xfId="57511"/>
    <cellStyle name="Обычный 9 7 6 2" xfId="57512"/>
    <cellStyle name="Обычный 9 7 6 2 2" xfId="57513"/>
    <cellStyle name="Обычный 9 7 6 2 2 2" xfId="57514"/>
    <cellStyle name="Обычный 9 7 6 2 2 2 2" xfId="57515"/>
    <cellStyle name="Обычный 9 7 6 2 2 2 2 2" xfId="57516"/>
    <cellStyle name="Обычный 9 7 6 2 2 2 2 3" xfId="57517"/>
    <cellStyle name="Обычный 9 7 6 2 2 2 3" xfId="57518"/>
    <cellStyle name="Обычный 9 7 6 2 2 2 3 2" xfId="57519"/>
    <cellStyle name="Обычный 9 7 6 2 2 2 3 3" xfId="57520"/>
    <cellStyle name="Обычный 9 7 6 2 2 2 4" xfId="57521"/>
    <cellStyle name="Обычный 9 7 6 2 2 2 4 2" xfId="57522"/>
    <cellStyle name="Обычный 9 7 6 2 2 2 5" xfId="57523"/>
    <cellStyle name="Обычный 9 7 6 2 2 2 6" xfId="57524"/>
    <cellStyle name="Обычный 9 7 6 2 2 3" xfId="57525"/>
    <cellStyle name="Обычный 9 7 6 2 2 3 2" xfId="57526"/>
    <cellStyle name="Обычный 9 7 6 2 2 3 3" xfId="57527"/>
    <cellStyle name="Обычный 9 7 6 2 2 4" xfId="57528"/>
    <cellStyle name="Обычный 9 7 6 2 2 4 2" xfId="57529"/>
    <cellStyle name="Обычный 9 7 6 2 2 4 3" xfId="57530"/>
    <cellStyle name="Обычный 9 7 6 2 2 5" xfId="57531"/>
    <cellStyle name="Обычный 9 7 6 2 2 5 2" xfId="57532"/>
    <cellStyle name="Обычный 9 7 6 2 2 6" xfId="57533"/>
    <cellStyle name="Обычный 9 7 6 2 2 7" xfId="57534"/>
    <cellStyle name="Обычный 9 7 6 2 3" xfId="57535"/>
    <cellStyle name="Обычный 9 7 6 2 3 2" xfId="57536"/>
    <cellStyle name="Обычный 9 7 6 2 3 2 2" xfId="57537"/>
    <cellStyle name="Обычный 9 7 6 2 3 2 3" xfId="57538"/>
    <cellStyle name="Обычный 9 7 6 2 3 3" xfId="57539"/>
    <cellStyle name="Обычный 9 7 6 2 3 3 2" xfId="57540"/>
    <cellStyle name="Обычный 9 7 6 2 3 3 3" xfId="57541"/>
    <cellStyle name="Обычный 9 7 6 2 3 4" xfId="57542"/>
    <cellStyle name="Обычный 9 7 6 2 3 4 2" xfId="57543"/>
    <cellStyle name="Обычный 9 7 6 2 3 5" xfId="57544"/>
    <cellStyle name="Обычный 9 7 6 2 3 6" xfId="57545"/>
    <cellStyle name="Обычный 9 7 6 2 4" xfId="57546"/>
    <cellStyle name="Обычный 9 7 6 2 4 2" xfId="57547"/>
    <cellStyle name="Обычный 9 7 6 2 4 3" xfId="57548"/>
    <cellStyle name="Обычный 9 7 6 2 5" xfId="57549"/>
    <cellStyle name="Обычный 9 7 6 2 5 2" xfId="57550"/>
    <cellStyle name="Обычный 9 7 6 2 5 3" xfId="57551"/>
    <cellStyle name="Обычный 9 7 6 2 6" xfId="57552"/>
    <cellStyle name="Обычный 9 7 6 2 6 2" xfId="57553"/>
    <cellStyle name="Обычный 9 7 6 2 7" xfId="57554"/>
    <cellStyle name="Обычный 9 7 6 2 8" xfId="57555"/>
    <cellStyle name="Обычный 9 7 6 3" xfId="57556"/>
    <cellStyle name="Обычный 9 7 6 3 2" xfId="57557"/>
    <cellStyle name="Обычный 9 7 6 3 2 2" xfId="57558"/>
    <cellStyle name="Обычный 9 7 6 3 2 2 2" xfId="57559"/>
    <cellStyle name="Обычный 9 7 6 3 2 2 3" xfId="57560"/>
    <cellStyle name="Обычный 9 7 6 3 2 3" xfId="57561"/>
    <cellStyle name="Обычный 9 7 6 3 2 3 2" xfId="57562"/>
    <cellStyle name="Обычный 9 7 6 3 2 3 3" xfId="57563"/>
    <cellStyle name="Обычный 9 7 6 3 2 4" xfId="57564"/>
    <cellStyle name="Обычный 9 7 6 3 2 4 2" xfId="57565"/>
    <cellStyle name="Обычный 9 7 6 3 2 5" xfId="57566"/>
    <cellStyle name="Обычный 9 7 6 3 2 6" xfId="57567"/>
    <cellStyle name="Обычный 9 7 6 3 3" xfId="57568"/>
    <cellStyle name="Обычный 9 7 6 3 3 2" xfId="57569"/>
    <cellStyle name="Обычный 9 7 6 3 3 3" xfId="57570"/>
    <cellStyle name="Обычный 9 7 6 3 4" xfId="57571"/>
    <cellStyle name="Обычный 9 7 6 3 4 2" xfId="57572"/>
    <cellStyle name="Обычный 9 7 6 3 4 3" xfId="57573"/>
    <cellStyle name="Обычный 9 7 6 3 5" xfId="57574"/>
    <cellStyle name="Обычный 9 7 6 3 5 2" xfId="57575"/>
    <cellStyle name="Обычный 9 7 6 3 6" xfId="57576"/>
    <cellStyle name="Обычный 9 7 6 3 7" xfId="57577"/>
    <cellStyle name="Обычный 9 7 6 4" xfId="57578"/>
    <cellStyle name="Обычный 9 7 6 4 2" xfId="57579"/>
    <cellStyle name="Обычный 9 7 6 4 2 2" xfId="57580"/>
    <cellStyle name="Обычный 9 7 6 4 2 3" xfId="57581"/>
    <cellStyle name="Обычный 9 7 6 4 3" xfId="57582"/>
    <cellStyle name="Обычный 9 7 6 4 3 2" xfId="57583"/>
    <cellStyle name="Обычный 9 7 6 4 3 3" xfId="57584"/>
    <cellStyle name="Обычный 9 7 6 4 4" xfId="57585"/>
    <cellStyle name="Обычный 9 7 6 4 4 2" xfId="57586"/>
    <cellStyle name="Обычный 9 7 6 4 5" xfId="57587"/>
    <cellStyle name="Обычный 9 7 6 4 6" xfId="57588"/>
    <cellStyle name="Обычный 9 7 6 5" xfId="57589"/>
    <cellStyle name="Обычный 9 7 6 5 2" xfId="57590"/>
    <cellStyle name="Обычный 9 7 6 5 3" xfId="57591"/>
    <cellStyle name="Обычный 9 7 6 6" xfId="57592"/>
    <cellStyle name="Обычный 9 7 6 6 2" xfId="57593"/>
    <cellStyle name="Обычный 9 7 6 6 3" xfId="57594"/>
    <cellStyle name="Обычный 9 7 6 7" xfId="57595"/>
    <cellStyle name="Обычный 9 7 6 7 2" xfId="57596"/>
    <cellStyle name="Обычный 9 7 6 8" xfId="57597"/>
    <cellStyle name="Обычный 9 7 6 9" xfId="57598"/>
    <cellStyle name="Обычный 9 7 7" xfId="57599"/>
    <cellStyle name="Обычный 9 7 7 2" xfId="57600"/>
    <cellStyle name="Обычный 9 7 7 2 2" xfId="57601"/>
    <cellStyle name="Обычный 9 7 7 2 2 2" xfId="57602"/>
    <cellStyle name="Обычный 9 7 7 2 2 2 2" xfId="57603"/>
    <cellStyle name="Обычный 9 7 7 2 2 2 3" xfId="57604"/>
    <cellStyle name="Обычный 9 7 7 2 2 3" xfId="57605"/>
    <cellStyle name="Обычный 9 7 7 2 2 3 2" xfId="57606"/>
    <cellStyle name="Обычный 9 7 7 2 2 3 3" xfId="57607"/>
    <cellStyle name="Обычный 9 7 7 2 2 4" xfId="57608"/>
    <cellStyle name="Обычный 9 7 7 2 2 4 2" xfId="57609"/>
    <cellStyle name="Обычный 9 7 7 2 2 5" xfId="57610"/>
    <cellStyle name="Обычный 9 7 7 2 2 6" xfId="57611"/>
    <cellStyle name="Обычный 9 7 7 2 3" xfId="57612"/>
    <cellStyle name="Обычный 9 7 7 2 3 2" xfId="57613"/>
    <cellStyle name="Обычный 9 7 7 2 3 3" xfId="57614"/>
    <cellStyle name="Обычный 9 7 7 2 4" xfId="57615"/>
    <cellStyle name="Обычный 9 7 7 2 4 2" xfId="57616"/>
    <cellStyle name="Обычный 9 7 7 2 4 3" xfId="57617"/>
    <cellStyle name="Обычный 9 7 7 2 5" xfId="57618"/>
    <cellStyle name="Обычный 9 7 7 2 5 2" xfId="57619"/>
    <cellStyle name="Обычный 9 7 7 2 6" xfId="57620"/>
    <cellStyle name="Обычный 9 7 7 2 7" xfId="57621"/>
    <cellStyle name="Обычный 9 7 7 3" xfId="57622"/>
    <cellStyle name="Обычный 9 7 7 3 2" xfId="57623"/>
    <cellStyle name="Обычный 9 7 7 3 2 2" xfId="57624"/>
    <cellStyle name="Обычный 9 7 7 3 2 3" xfId="57625"/>
    <cellStyle name="Обычный 9 7 7 3 3" xfId="57626"/>
    <cellStyle name="Обычный 9 7 7 3 3 2" xfId="57627"/>
    <cellStyle name="Обычный 9 7 7 3 3 3" xfId="57628"/>
    <cellStyle name="Обычный 9 7 7 3 4" xfId="57629"/>
    <cellStyle name="Обычный 9 7 7 3 4 2" xfId="57630"/>
    <cellStyle name="Обычный 9 7 7 3 5" xfId="57631"/>
    <cellStyle name="Обычный 9 7 7 3 6" xfId="57632"/>
    <cellStyle name="Обычный 9 7 7 4" xfId="57633"/>
    <cellStyle name="Обычный 9 7 7 4 2" xfId="57634"/>
    <cellStyle name="Обычный 9 7 7 4 3" xfId="57635"/>
    <cellStyle name="Обычный 9 7 7 5" xfId="57636"/>
    <cellStyle name="Обычный 9 7 7 5 2" xfId="57637"/>
    <cellStyle name="Обычный 9 7 7 5 3" xfId="57638"/>
    <cellStyle name="Обычный 9 7 7 6" xfId="57639"/>
    <cellStyle name="Обычный 9 7 7 6 2" xfId="57640"/>
    <cellStyle name="Обычный 9 7 7 7" xfId="57641"/>
    <cellStyle name="Обычный 9 7 7 8" xfId="57642"/>
    <cellStyle name="Обычный 9 7 8" xfId="57643"/>
    <cellStyle name="Обычный 9 7 8 2" xfId="57644"/>
    <cellStyle name="Обычный 9 7 8 2 2" xfId="57645"/>
    <cellStyle name="Обычный 9 7 8 2 2 2" xfId="57646"/>
    <cellStyle name="Обычный 9 7 8 2 2 3" xfId="57647"/>
    <cellStyle name="Обычный 9 7 8 2 3" xfId="57648"/>
    <cellStyle name="Обычный 9 7 8 2 3 2" xfId="57649"/>
    <cellStyle name="Обычный 9 7 8 2 3 3" xfId="57650"/>
    <cellStyle name="Обычный 9 7 8 2 4" xfId="57651"/>
    <cellStyle name="Обычный 9 7 8 2 4 2" xfId="57652"/>
    <cellStyle name="Обычный 9 7 8 2 5" xfId="57653"/>
    <cellStyle name="Обычный 9 7 8 2 6" xfId="57654"/>
    <cellStyle name="Обычный 9 7 8 3" xfId="57655"/>
    <cellStyle name="Обычный 9 7 8 3 2" xfId="57656"/>
    <cellStyle name="Обычный 9 7 8 3 3" xfId="57657"/>
    <cellStyle name="Обычный 9 7 8 4" xfId="57658"/>
    <cellStyle name="Обычный 9 7 8 4 2" xfId="57659"/>
    <cellStyle name="Обычный 9 7 8 4 3" xfId="57660"/>
    <cellStyle name="Обычный 9 7 8 5" xfId="57661"/>
    <cellStyle name="Обычный 9 7 8 5 2" xfId="57662"/>
    <cellStyle name="Обычный 9 7 8 6" xfId="57663"/>
    <cellStyle name="Обычный 9 7 8 7" xfId="57664"/>
    <cellStyle name="Обычный 9 7 9" xfId="57665"/>
    <cellStyle name="Обычный 9 7 9 2" xfId="57666"/>
    <cellStyle name="Обычный 9 7 9 2 2" xfId="57667"/>
    <cellStyle name="Обычный 9 7 9 2 3" xfId="57668"/>
    <cellStyle name="Обычный 9 7 9 3" xfId="57669"/>
    <cellStyle name="Обычный 9 7 9 3 2" xfId="57670"/>
    <cellStyle name="Обычный 9 7 9 3 3" xfId="57671"/>
    <cellStyle name="Обычный 9 7 9 4" xfId="57672"/>
    <cellStyle name="Обычный 9 7 9 4 2" xfId="57673"/>
    <cellStyle name="Обычный 9 7 9 5" xfId="57674"/>
    <cellStyle name="Обычный 9 7 9 6" xfId="57675"/>
    <cellStyle name="Обычный 9 8" xfId="57676"/>
    <cellStyle name="Обычный 9 8 10" xfId="57677"/>
    <cellStyle name="Обычный 9 8 10 2" xfId="57678"/>
    <cellStyle name="Обычный 9 8 10 3" xfId="57679"/>
    <cellStyle name="Обычный 9 8 11" xfId="57680"/>
    <cellStyle name="Обычный 9 8 11 2" xfId="57681"/>
    <cellStyle name="Обычный 9 8 11 3" xfId="57682"/>
    <cellStyle name="Обычный 9 8 12" xfId="57683"/>
    <cellStyle name="Обычный 9 8 12 2" xfId="57684"/>
    <cellStyle name="Обычный 9 8 13" xfId="57685"/>
    <cellStyle name="Обычный 9 8 14" xfId="57686"/>
    <cellStyle name="Обычный 9 8 2" xfId="57687"/>
    <cellStyle name="Обычный 9 8 2 10" xfId="57688"/>
    <cellStyle name="Обычный 9 8 2 10 2" xfId="57689"/>
    <cellStyle name="Обычный 9 8 2 10 3" xfId="57690"/>
    <cellStyle name="Обычный 9 8 2 11" xfId="57691"/>
    <cellStyle name="Обычный 9 8 2 11 2" xfId="57692"/>
    <cellStyle name="Обычный 9 8 2 12" xfId="57693"/>
    <cellStyle name="Обычный 9 8 2 13" xfId="57694"/>
    <cellStyle name="Обычный 9 8 2 2" xfId="57695"/>
    <cellStyle name="Обычный 9 8 2 2 10" xfId="57696"/>
    <cellStyle name="Обычный 9 8 2 2 2" xfId="57697"/>
    <cellStyle name="Обычный 9 8 2 2 2 2" xfId="57698"/>
    <cellStyle name="Обычный 9 8 2 2 2 2 2" xfId="57699"/>
    <cellStyle name="Обычный 9 8 2 2 2 2 2 2" xfId="57700"/>
    <cellStyle name="Обычный 9 8 2 2 2 2 2 2 2" xfId="57701"/>
    <cellStyle name="Обычный 9 8 2 2 2 2 2 2 2 2" xfId="57702"/>
    <cellStyle name="Обычный 9 8 2 2 2 2 2 2 2 3" xfId="57703"/>
    <cellStyle name="Обычный 9 8 2 2 2 2 2 2 3" xfId="57704"/>
    <cellStyle name="Обычный 9 8 2 2 2 2 2 2 3 2" xfId="57705"/>
    <cellStyle name="Обычный 9 8 2 2 2 2 2 2 3 3" xfId="57706"/>
    <cellStyle name="Обычный 9 8 2 2 2 2 2 2 4" xfId="57707"/>
    <cellStyle name="Обычный 9 8 2 2 2 2 2 2 4 2" xfId="57708"/>
    <cellStyle name="Обычный 9 8 2 2 2 2 2 2 5" xfId="57709"/>
    <cellStyle name="Обычный 9 8 2 2 2 2 2 2 6" xfId="57710"/>
    <cellStyle name="Обычный 9 8 2 2 2 2 2 3" xfId="57711"/>
    <cellStyle name="Обычный 9 8 2 2 2 2 2 3 2" xfId="57712"/>
    <cellStyle name="Обычный 9 8 2 2 2 2 2 3 3" xfId="57713"/>
    <cellStyle name="Обычный 9 8 2 2 2 2 2 4" xfId="57714"/>
    <cellStyle name="Обычный 9 8 2 2 2 2 2 4 2" xfId="57715"/>
    <cellStyle name="Обычный 9 8 2 2 2 2 2 4 3" xfId="57716"/>
    <cellStyle name="Обычный 9 8 2 2 2 2 2 5" xfId="57717"/>
    <cellStyle name="Обычный 9 8 2 2 2 2 2 5 2" xfId="57718"/>
    <cellStyle name="Обычный 9 8 2 2 2 2 2 6" xfId="57719"/>
    <cellStyle name="Обычный 9 8 2 2 2 2 2 7" xfId="57720"/>
    <cellStyle name="Обычный 9 8 2 2 2 2 3" xfId="57721"/>
    <cellStyle name="Обычный 9 8 2 2 2 2 3 2" xfId="57722"/>
    <cellStyle name="Обычный 9 8 2 2 2 2 3 2 2" xfId="57723"/>
    <cellStyle name="Обычный 9 8 2 2 2 2 3 2 3" xfId="57724"/>
    <cellStyle name="Обычный 9 8 2 2 2 2 3 3" xfId="57725"/>
    <cellStyle name="Обычный 9 8 2 2 2 2 3 3 2" xfId="57726"/>
    <cellStyle name="Обычный 9 8 2 2 2 2 3 3 3" xfId="57727"/>
    <cellStyle name="Обычный 9 8 2 2 2 2 3 4" xfId="57728"/>
    <cellStyle name="Обычный 9 8 2 2 2 2 3 4 2" xfId="57729"/>
    <cellStyle name="Обычный 9 8 2 2 2 2 3 5" xfId="57730"/>
    <cellStyle name="Обычный 9 8 2 2 2 2 3 6" xfId="57731"/>
    <cellStyle name="Обычный 9 8 2 2 2 2 4" xfId="57732"/>
    <cellStyle name="Обычный 9 8 2 2 2 2 4 2" xfId="57733"/>
    <cellStyle name="Обычный 9 8 2 2 2 2 4 3" xfId="57734"/>
    <cellStyle name="Обычный 9 8 2 2 2 2 5" xfId="57735"/>
    <cellStyle name="Обычный 9 8 2 2 2 2 5 2" xfId="57736"/>
    <cellStyle name="Обычный 9 8 2 2 2 2 5 3" xfId="57737"/>
    <cellStyle name="Обычный 9 8 2 2 2 2 6" xfId="57738"/>
    <cellStyle name="Обычный 9 8 2 2 2 2 6 2" xfId="57739"/>
    <cellStyle name="Обычный 9 8 2 2 2 2 7" xfId="57740"/>
    <cellStyle name="Обычный 9 8 2 2 2 2 8" xfId="57741"/>
    <cellStyle name="Обычный 9 8 2 2 2 3" xfId="57742"/>
    <cellStyle name="Обычный 9 8 2 2 2 3 2" xfId="57743"/>
    <cellStyle name="Обычный 9 8 2 2 2 3 2 2" xfId="57744"/>
    <cellStyle name="Обычный 9 8 2 2 2 3 2 2 2" xfId="57745"/>
    <cellStyle name="Обычный 9 8 2 2 2 3 2 2 3" xfId="57746"/>
    <cellStyle name="Обычный 9 8 2 2 2 3 2 3" xfId="57747"/>
    <cellStyle name="Обычный 9 8 2 2 2 3 2 3 2" xfId="57748"/>
    <cellStyle name="Обычный 9 8 2 2 2 3 2 3 3" xfId="57749"/>
    <cellStyle name="Обычный 9 8 2 2 2 3 2 4" xfId="57750"/>
    <cellStyle name="Обычный 9 8 2 2 2 3 2 4 2" xfId="57751"/>
    <cellStyle name="Обычный 9 8 2 2 2 3 2 5" xfId="57752"/>
    <cellStyle name="Обычный 9 8 2 2 2 3 2 6" xfId="57753"/>
    <cellStyle name="Обычный 9 8 2 2 2 3 3" xfId="57754"/>
    <cellStyle name="Обычный 9 8 2 2 2 3 3 2" xfId="57755"/>
    <cellStyle name="Обычный 9 8 2 2 2 3 3 3" xfId="57756"/>
    <cellStyle name="Обычный 9 8 2 2 2 3 4" xfId="57757"/>
    <cellStyle name="Обычный 9 8 2 2 2 3 4 2" xfId="57758"/>
    <cellStyle name="Обычный 9 8 2 2 2 3 4 3" xfId="57759"/>
    <cellStyle name="Обычный 9 8 2 2 2 3 5" xfId="57760"/>
    <cellStyle name="Обычный 9 8 2 2 2 3 5 2" xfId="57761"/>
    <cellStyle name="Обычный 9 8 2 2 2 3 6" xfId="57762"/>
    <cellStyle name="Обычный 9 8 2 2 2 3 7" xfId="57763"/>
    <cellStyle name="Обычный 9 8 2 2 2 4" xfId="57764"/>
    <cellStyle name="Обычный 9 8 2 2 2 4 2" xfId="57765"/>
    <cellStyle name="Обычный 9 8 2 2 2 4 2 2" xfId="57766"/>
    <cellStyle name="Обычный 9 8 2 2 2 4 2 3" xfId="57767"/>
    <cellStyle name="Обычный 9 8 2 2 2 4 3" xfId="57768"/>
    <cellStyle name="Обычный 9 8 2 2 2 4 3 2" xfId="57769"/>
    <cellStyle name="Обычный 9 8 2 2 2 4 3 3" xfId="57770"/>
    <cellStyle name="Обычный 9 8 2 2 2 4 4" xfId="57771"/>
    <cellStyle name="Обычный 9 8 2 2 2 4 4 2" xfId="57772"/>
    <cellStyle name="Обычный 9 8 2 2 2 4 5" xfId="57773"/>
    <cellStyle name="Обычный 9 8 2 2 2 4 6" xfId="57774"/>
    <cellStyle name="Обычный 9 8 2 2 2 5" xfId="57775"/>
    <cellStyle name="Обычный 9 8 2 2 2 5 2" xfId="57776"/>
    <cellStyle name="Обычный 9 8 2 2 2 5 3" xfId="57777"/>
    <cellStyle name="Обычный 9 8 2 2 2 6" xfId="57778"/>
    <cellStyle name="Обычный 9 8 2 2 2 6 2" xfId="57779"/>
    <cellStyle name="Обычный 9 8 2 2 2 6 3" xfId="57780"/>
    <cellStyle name="Обычный 9 8 2 2 2 7" xfId="57781"/>
    <cellStyle name="Обычный 9 8 2 2 2 7 2" xfId="57782"/>
    <cellStyle name="Обычный 9 8 2 2 2 8" xfId="57783"/>
    <cellStyle name="Обычный 9 8 2 2 2 9" xfId="57784"/>
    <cellStyle name="Обычный 9 8 2 2 3" xfId="57785"/>
    <cellStyle name="Обычный 9 8 2 2 3 2" xfId="57786"/>
    <cellStyle name="Обычный 9 8 2 2 3 2 2" xfId="57787"/>
    <cellStyle name="Обычный 9 8 2 2 3 2 2 2" xfId="57788"/>
    <cellStyle name="Обычный 9 8 2 2 3 2 2 2 2" xfId="57789"/>
    <cellStyle name="Обычный 9 8 2 2 3 2 2 2 3" xfId="57790"/>
    <cellStyle name="Обычный 9 8 2 2 3 2 2 3" xfId="57791"/>
    <cellStyle name="Обычный 9 8 2 2 3 2 2 3 2" xfId="57792"/>
    <cellStyle name="Обычный 9 8 2 2 3 2 2 3 3" xfId="57793"/>
    <cellStyle name="Обычный 9 8 2 2 3 2 2 4" xfId="57794"/>
    <cellStyle name="Обычный 9 8 2 2 3 2 2 4 2" xfId="57795"/>
    <cellStyle name="Обычный 9 8 2 2 3 2 2 5" xfId="57796"/>
    <cellStyle name="Обычный 9 8 2 2 3 2 2 6" xfId="57797"/>
    <cellStyle name="Обычный 9 8 2 2 3 2 3" xfId="57798"/>
    <cellStyle name="Обычный 9 8 2 2 3 2 3 2" xfId="57799"/>
    <cellStyle name="Обычный 9 8 2 2 3 2 3 3" xfId="57800"/>
    <cellStyle name="Обычный 9 8 2 2 3 2 4" xfId="57801"/>
    <cellStyle name="Обычный 9 8 2 2 3 2 4 2" xfId="57802"/>
    <cellStyle name="Обычный 9 8 2 2 3 2 4 3" xfId="57803"/>
    <cellStyle name="Обычный 9 8 2 2 3 2 5" xfId="57804"/>
    <cellStyle name="Обычный 9 8 2 2 3 2 5 2" xfId="57805"/>
    <cellStyle name="Обычный 9 8 2 2 3 2 6" xfId="57806"/>
    <cellStyle name="Обычный 9 8 2 2 3 2 7" xfId="57807"/>
    <cellStyle name="Обычный 9 8 2 2 3 3" xfId="57808"/>
    <cellStyle name="Обычный 9 8 2 2 3 3 2" xfId="57809"/>
    <cellStyle name="Обычный 9 8 2 2 3 3 2 2" xfId="57810"/>
    <cellStyle name="Обычный 9 8 2 2 3 3 2 3" xfId="57811"/>
    <cellStyle name="Обычный 9 8 2 2 3 3 3" xfId="57812"/>
    <cellStyle name="Обычный 9 8 2 2 3 3 3 2" xfId="57813"/>
    <cellStyle name="Обычный 9 8 2 2 3 3 3 3" xfId="57814"/>
    <cellStyle name="Обычный 9 8 2 2 3 3 4" xfId="57815"/>
    <cellStyle name="Обычный 9 8 2 2 3 3 4 2" xfId="57816"/>
    <cellStyle name="Обычный 9 8 2 2 3 3 5" xfId="57817"/>
    <cellStyle name="Обычный 9 8 2 2 3 3 6" xfId="57818"/>
    <cellStyle name="Обычный 9 8 2 2 3 4" xfId="57819"/>
    <cellStyle name="Обычный 9 8 2 2 3 4 2" xfId="57820"/>
    <cellStyle name="Обычный 9 8 2 2 3 4 3" xfId="57821"/>
    <cellStyle name="Обычный 9 8 2 2 3 5" xfId="57822"/>
    <cellStyle name="Обычный 9 8 2 2 3 5 2" xfId="57823"/>
    <cellStyle name="Обычный 9 8 2 2 3 5 3" xfId="57824"/>
    <cellStyle name="Обычный 9 8 2 2 3 6" xfId="57825"/>
    <cellStyle name="Обычный 9 8 2 2 3 6 2" xfId="57826"/>
    <cellStyle name="Обычный 9 8 2 2 3 7" xfId="57827"/>
    <cellStyle name="Обычный 9 8 2 2 3 8" xfId="57828"/>
    <cellStyle name="Обычный 9 8 2 2 4" xfId="57829"/>
    <cellStyle name="Обычный 9 8 2 2 4 2" xfId="57830"/>
    <cellStyle name="Обычный 9 8 2 2 4 2 2" xfId="57831"/>
    <cellStyle name="Обычный 9 8 2 2 4 2 2 2" xfId="57832"/>
    <cellStyle name="Обычный 9 8 2 2 4 2 2 3" xfId="57833"/>
    <cellStyle name="Обычный 9 8 2 2 4 2 3" xfId="57834"/>
    <cellStyle name="Обычный 9 8 2 2 4 2 3 2" xfId="57835"/>
    <cellStyle name="Обычный 9 8 2 2 4 2 3 3" xfId="57836"/>
    <cellStyle name="Обычный 9 8 2 2 4 2 4" xfId="57837"/>
    <cellStyle name="Обычный 9 8 2 2 4 2 4 2" xfId="57838"/>
    <cellStyle name="Обычный 9 8 2 2 4 2 5" xfId="57839"/>
    <cellStyle name="Обычный 9 8 2 2 4 2 6" xfId="57840"/>
    <cellStyle name="Обычный 9 8 2 2 4 3" xfId="57841"/>
    <cellStyle name="Обычный 9 8 2 2 4 3 2" xfId="57842"/>
    <cellStyle name="Обычный 9 8 2 2 4 3 3" xfId="57843"/>
    <cellStyle name="Обычный 9 8 2 2 4 4" xfId="57844"/>
    <cellStyle name="Обычный 9 8 2 2 4 4 2" xfId="57845"/>
    <cellStyle name="Обычный 9 8 2 2 4 4 3" xfId="57846"/>
    <cellStyle name="Обычный 9 8 2 2 4 5" xfId="57847"/>
    <cellStyle name="Обычный 9 8 2 2 4 5 2" xfId="57848"/>
    <cellStyle name="Обычный 9 8 2 2 4 6" xfId="57849"/>
    <cellStyle name="Обычный 9 8 2 2 4 7" xfId="57850"/>
    <cellStyle name="Обычный 9 8 2 2 5" xfId="57851"/>
    <cellStyle name="Обычный 9 8 2 2 5 2" xfId="57852"/>
    <cellStyle name="Обычный 9 8 2 2 5 2 2" xfId="57853"/>
    <cellStyle name="Обычный 9 8 2 2 5 2 3" xfId="57854"/>
    <cellStyle name="Обычный 9 8 2 2 5 3" xfId="57855"/>
    <cellStyle name="Обычный 9 8 2 2 5 3 2" xfId="57856"/>
    <cellStyle name="Обычный 9 8 2 2 5 3 3" xfId="57857"/>
    <cellStyle name="Обычный 9 8 2 2 5 4" xfId="57858"/>
    <cellStyle name="Обычный 9 8 2 2 5 4 2" xfId="57859"/>
    <cellStyle name="Обычный 9 8 2 2 5 5" xfId="57860"/>
    <cellStyle name="Обычный 9 8 2 2 5 6" xfId="57861"/>
    <cellStyle name="Обычный 9 8 2 2 6" xfId="57862"/>
    <cellStyle name="Обычный 9 8 2 2 6 2" xfId="57863"/>
    <cellStyle name="Обычный 9 8 2 2 6 3" xfId="57864"/>
    <cellStyle name="Обычный 9 8 2 2 7" xfId="57865"/>
    <cellStyle name="Обычный 9 8 2 2 7 2" xfId="57866"/>
    <cellStyle name="Обычный 9 8 2 2 7 3" xfId="57867"/>
    <cellStyle name="Обычный 9 8 2 2 8" xfId="57868"/>
    <cellStyle name="Обычный 9 8 2 2 8 2" xfId="57869"/>
    <cellStyle name="Обычный 9 8 2 2 9" xfId="57870"/>
    <cellStyle name="Обычный 9 8 2 3" xfId="57871"/>
    <cellStyle name="Обычный 9 8 2 3 10" xfId="57872"/>
    <cellStyle name="Обычный 9 8 2 3 2" xfId="57873"/>
    <cellStyle name="Обычный 9 8 2 3 2 2" xfId="57874"/>
    <cellStyle name="Обычный 9 8 2 3 2 2 2" xfId="57875"/>
    <cellStyle name="Обычный 9 8 2 3 2 2 2 2" xfId="57876"/>
    <cellStyle name="Обычный 9 8 2 3 2 2 2 2 2" xfId="57877"/>
    <cellStyle name="Обычный 9 8 2 3 2 2 2 2 2 2" xfId="57878"/>
    <cellStyle name="Обычный 9 8 2 3 2 2 2 2 2 3" xfId="57879"/>
    <cellStyle name="Обычный 9 8 2 3 2 2 2 2 3" xfId="57880"/>
    <cellStyle name="Обычный 9 8 2 3 2 2 2 2 3 2" xfId="57881"/>
    <cellStyle name="Обычный 9 8 2 3 2 2 2 2 3 3" xfId="57882"/>
    <cellStyle name="Обычный 9 8 2 3 2 2 2 2 4" xfId="57883"/>
    <cellStyle name="Обычный 9 8 2 3 2 2 2 2 4 2" xfId="57884"/>
    <cellStyle name="Обычный 9 8 2 3 2 2 2 2 5" xfId="57885"/>
    <cellStyle name="Обычный 9 8 2 3 2 2 2 2 6" xfId="57886"/>
    <cellStyle name="Обычный 9 8 2 3 2 2 2 3" xfId="57887"/>
    <cellStyle name="Обычный 9 8 2 3 2 2 2 3 2" xfId="57888"/>
    <cellStyle name="Обычный 9 8 2 3 2 2 2 3 3" xfId="57889"/>
    <cellStyle name="Обычный 9 8 2 3 2 2 2 4" xfId="57890"/>
    <cellStyle name="Обычный 9 8 2 3 2 2 2 4 2" xfId="57891"/>
    <cellStyle name="Обычный 9 8 2 3 2 2 2 4 3" xfId="57892"/>
    <cellStyle name="Обычный 9 8 2 3 2 2 2 5" xfId="57893"/>
    <cellStyle name="Обычный 9 8 2 3 2 2 2 5 2" xfId="57894"/>
    <cellStyle name="Обычный 9 8 2 3 2 2 2 6" xfId="57895"/>
    <cellStyle name="Обычный 9 8 2 3 2 2 2 7" xfId="57896"/>
    <cellStyle name="Обычный 9 8 2 3 2 2 3" xfId="57897"/>
    <cellStyle name="Обычный 9 8 2 3 2 2 3 2" xfId="57898"/>
    <cellStyle name="Обычный 9 8 2 3 2 2 3 2 2" xfId="57899"/>
    <cellStyle name="Обычный 9 8 2 3 2 2 3 2 3" xfId="57900"/>
    <cellStyle name="Обычный 9 8 2 3 2 2 3 3" xfId="57901"/>
    <cellStyle name="Обычный 9 8 2 3 2 2 3 3 2" xfId="57902"/>
    <cellStyle name="Обычный 9 8 2 3 2 2 3 3 3" xfId="57903"/>
    <cellStyle name="Обычный 9 8 2 3 2 2 3 4" xfId="57904"/>
    <cellStyle name="Обычный 9 8 2 3 2 2 3 4 2" xfId="57905"/>
    <cellStyle name="Обычный 9 8 2 3 2 2 3 5" xfId="57906"/>
    <cellStyle name="Обычный 9 8 2 3 2 2 3 6" xfId="57907"/>
    <cellStyle name="Обычный 9 8 2 3 2 2 4" xfId="57908"/>
    <cellStyle name="Обычный 9 8 2 3 2 2 4 2" xfId="57909"/>
    <cellStyle name="Обычный 9 8 2 3 2 2 4 3" xfId="57910"/>
    <cellStyle name="Обычный 9 8 2 3 2 2 5" xfId="57911"/>
    <cellStyle name="Обычный 9 8 2 3 2 2 5 2" xfId="57912"/>
    <cellStyle name="Обычный 9 8 2 3 2 2 5 3" xfId="57913"/>
    <cellStyle name="Обычный 9 8 2 3 2 2 6" xfId="57914"/>
    <cellStyle name="Обычный 9 8 2 3 2 2 6 2" xfId="57915"/>
    <cellStyle name="Обычный 9 8 2 3 2 2 7" xfId="57916"/>
    <cellStyle name="Обычный 9 8 2 3 2 2 8" xfId="57917"/>
    <cellStyle name="Обычный 9 8 2 3 2 3" xfId="57918"/>
    <cellStyle name="Обычный 9 8 2 3 2 3 2" xfId="57919"/>
    <cellStyle name="Обычный 9 8 2 3 2 3 2 2" xfId="57920"/>
    <cellStyle name="Обычный 9 8 2 3 2 3 2 2 2" xfId="57921"/>
    <cellStyle name="Обычный 9 8 2 3 2 3 2 2 3" xfId="57922"/>
    <cellStyle name="Обычный 9 8 2 3 2 3 2 3" xfId="57923"/>
    <cellStyle name="Обычный 9 8 2 3 2 3 2 3 2" xfId="57924"/>
    <cellStyle name="Обычный 9 8 2 3 2 3 2 3 3" xfId="57925"/>
    <cellStyle name="Обычный 9 8 2 3 2 3 2 4" xfId="57926"/>
    <cellStyle name="Обычный 9 8 2 3 2 3 2 4 2" xfId="57927"/>
    <cellStyle name="Обычный 9 8 2 3 2 3 2 5" xfId="57928"/>
    <cellStyle name="Обычный 9 8 2 3 2 3 2 6" xfId="57929"/>
    <cellStyle name="Обычный 9 8 2 3 2 3 3" xfId="57930"/>
    <cellStyle name="Обычный 9 8 2 3 2 3 3 2" xfId="57931"/>
    <cellStyle name="Обычный 9 8 2 3 2 3 3 3" xfId="57932"/>
    <cellStyle name="Обычный 9 8 2 3 2 3 4" xfId="57933"/>
    <cellStyle name="Обычный 9 8 2 3 2 3 4 2" xfId="57934"/>
    <cellStyle name="Обычный 9 8 2 3 2 3 4 3" xfId="57935"/>
    <cellStyle name="Обычный 9 8 2 3 2 3 5" xfId="57936"/>
    <cellStyle name="Обычный 9 8 2 3 2 3 5 2" xfId="57937"/>
    <cellStyle name="Обычный 9 8 2 3 2 3 6" xfId="57938"/>
    <cellStyle name="Обычный 9 8 2 3 2 3 7" xfId="57939"/>
    <cellStyle name="Обычный 9 8 2 3 2 4" xfId="57940"/>
    <cellStyle name="Обычный 9 8 2 3 2 4 2" xfId="57941"/>
    <cellStyle name="Обычный 9 8 2 3 2 4 2 2" xfId="57942"/>
    <cellStyle name="Обычный 9 8 2 3 2 4 2 3" xfId="57943"/>
    <cellStyle name="Обычный 9 8 2 3 2 4 3" xfId="57944"/>
    <cellStyle name="Обычный 9 8 2 3 2 4 3 2" xfId="57945"/>
    <cellStyle name="Обычный 9 8 2 3 2 4 3 3" xfId="57946"/>
    <cellStyle name="Обычный 9 8 2 3 2 4 4" xfId="57947"/>
    <cellStyle name="Обычный 9 8 2 3 2 4 4 2" xfId="57948"/>
    <cellStyle name="Обычный 9 8 2 3 2 4 5" xfId="57949"/>
    <cellStyle name="Обычный 9 8 2 3 2 4 6" xfId="57950"/>
    <cellStyle name="Обычный 9 8 2 3 2 5" xfId="57951"/>
    <cellStyle name="Обычный 9 8 2 3 2 5 2" xfId="57952"/>
    <cellStyle name="Обычный 9 8 2 3 2 5 3" xfId="57953"/>
    <cellStyle name="Обычный 9 8 2 3 2 6" xfId="57954"/>
    <cellStyle name="Обычный 9 8 2 3 2 6 2" xfId="57955"/>
    <cellStyle name="Обычный 9 8 2 3 2 6 3" xfId="57956"/>
    <cellStyle name="Обычный 9 8 2 3 2 7" xfId="57957"/>
    <cellStyle name="Обычный 9 8 2 3 2 7 2" xfId="57958"/>
    <cellStyle name="Обычный 9 8 2 3 2 8" xfId="57959"/>
    <cellStyle name="Обычный 9 8 2 3 2 9" xfId="57960"/>
    <cellStyle name="Обычный 9 8 2 3 3" xfId="57961"/>
    <cellStyle name="Обычный 9 8 2 3 3 2" xfId="57962"/>
    <cellStyle name="Обычный 9 8 2 3 3 2 2" xfId="57963"/>
    <cellStyle name="Обычный 9 8 2 3 3 2 2 2" xfId="57964"/>
    <cellStyle name="Обычный 9 8 2 3 3 2 2 2 2" xfId="57965"/>
    <cellStyle name="Обычный 9 8 2 3 3 2 2 2 3" xfId="57966"/>
    <cellStyle name="Обычный 9 8 2 3 3 2 2 3" xfId="57967"/>
    <cellStyle name="Обычный 9 8 2 3 3 2 2 3 2" xfId="57968"/>
    <cellStyle name="Обычный 9 8 2 3 3 2 2 3 3" xfId="57969"/>
    <cellStyle name="Обычный 9 8 2 3 3 2 2 4" xfId="57970"/>
    <cellStyle name="Обычный 9 8 2 3 3 2 2 4 2" xfId="57971"/>
    <cellStyle name="Обычный 9 8 2 3 3 2 2 5" xfId="57972"/>
    <cellStyle name="Обычный 9 8 2 3 3 2 2 6" xfId="57973"/>
    <cellStyle name="Обычный 9 8 2 3 3 2 3" xfId="57974"/>
    <cellStyle name="Обычный 9 8 2 3 3 2 3 2" xfId="57975"/>
    <cellStyle name="Обычный 9 8 2 3 3 2 3 3" xfId="57976"/>
    <cellStyle name="Обычный 9 8 2 3 3 2 4" xfId="57977"/>
    <cellStyle name="Обычный 9 8 2 3 3 2 4 2" xfId="57978"/>
    <cellStyle name="Обычный 9 8 2 3 3 2 4 3" xfId="57979"/>
    <cellStyle name="Обычный 9 8 2 3 3 2 5" xfId="57980"/>
    <cellStyle name="Обычный 9 8 2 3 3 2 5 2" xfId="57981"/>
    <cellStyle name="Обычный 9 8 2 3 3 2 6" xfId="57982"/>
    <cellStyle name="Обычный 9 8 2 3 3 2 7" xfId="57983"/>
    <cellStyle name="Обычный 9 8 2 3 3 3" xfId="57984"/>
    <cellStyle name="Обычный 9 8 2 3 3 3 2" xfId="57985"/>
    <cellStyle name="Обычный 9 8 2 3 3 3 2 2" xfId="57986"/>
    <cellStyle name="Обычный 9 8 2 3 3 3 2 3" xfId="57987"/>
    <cellStyle name="Обычный 9 8 2 3 3 3 3" xfId="57988"/>
    <cellStyle name="Обычный 9 8 2 3 3 3 3 2" xfId="57989"/>
    <cellStyle name="Обычный 9 8 2 3 3 3 3 3" xfId="57990"/>
    <cellStyle name="Обычный 9 8 2 3 3 3 4" xfId="57991"/>
    <cellStyle name="Обычный 9 8 2 3 3 3 4 2" xfId="57992"/>
    <cellStyle name="Обычный 9 8 2 3 3 3 5" xfId="57993"/>
    <cellStyle name="Обычный 9 8 2 3 3 3 6" xfId="57994"/>
    <cellStyle name="Обычный 9 8 2 3 3 4" xfId="57995"/>
    <cellStyle name="Обычный 9 8 2 3 3 4 2" xfId="57996"/>
    <cellStyle name="Обычный 9 8 2 3 3 4 3" xfId="57997"/>
    <cellStyle name="Обычный 9 8 2 3 3 5" xfId="57998"/>
    <cellStyle name="Обычный 9 8 2 3 3 5 2" xfId="57999"/>
    <cellStyle name="Обычный 9 8 2 3 3 5 3" xfId="58000"/>
    <cellStyle name="Обычный 9 8 2 3 3 6" xfId="58001"/>
    <cellStyle name="Обычный 9 8 2 3 3 6 2" xfId="58002"/>
    <cellStyle name="Обычный 9 8 2 3 3 7" xfId="58003"/>
    <cellStyle name="Обычный 9 8 2 3 3 8" xfId="58004"/>
    <cellStyle name="Обычный 9 8 2 3 4" xfId="58005"/>
    <cellStyle name="Обычный 9 8 2 3 4 2" xfId="58006"/>
    <cellStyle name="Обычный 9 8 2 3 4 2 2" xfId="58007"/>
    <cellStyle name="Обычный 9 8 2 3 4 2 2 2" xfId="58008"/>
    <cellStyle name="Обычный 9 8 2 3 4 2 2 3" xfId="58009"/>
    <cellStyle name="Обычный 9 8 2 3 4 2 3" xfId="58010"/>
    <cellStyle name="Обычный 9 8 2 3 4 2 3 2" xfId="58011"/>
    <cellStyle name="Обычный 9 8 2 3 4 2 3 3" xfId="58012"/>
    <cellStyle name="Обычный 9 8 2 3 4 2 4" xfId="58013"/>
    <cellStyle name="Обычный 9 8 2 3 4 2 4 2" xfId="58014"/>
    <cellStyle name="Обычный 9 8 2 3 4 2 5" xfId="58015"/>
    <cellStyle name="Обычный 9 8 2 3 4 2 6" xfId="58016"/>
    <cellStyle name="Обычный 9 8 2 3 4 3" xfId="58017"/>
    <cellStyle name="Обычный 9 8 2 3 4 3 2" xfId="58018"/>
    <cellStyle name="Обычный 9 8 2 3 4 3 3" xfId="58019"/>
    <cellStyle name="Обычный 9 8 2 3 4 4" xfId="58020"/>
    <cellStyle name="Обычный 9 8 2 3 4 4 2" xfId="58021"/>
    <cellStyle name="Обычный 9 8 2 3 4 4 3" xfId="58022"/>
    <cellStyle name="Обычный 9 8 2 3 4 5" xfId="58023"/>
    <cellStyle name="Обычный 9 8 2 3 4 5 2" xfId="58024"/>
    <cellStyle name="Обычный 9 8 2 3 4 6" xfId="58025"/>
    <cellStyle name="Обычный 9 8 2 3 4 7" xfId="58026"/>
    <cellStyle name="Обычный 9 8 2 3 5" xfId="58027"/>
    <cellStyle name="Обычный 9 8 2 3 5 2" xfId="58028"/>
    <cellStyle name="Обычный 9 8 2 3 5 2 2" xfId="58029"/>
    <cellStyle name="Обычный 9 8 2 3 5 2 3" xfId="58030"/>
    <cellStyle name="Обычный 9 8 2 3 5 3" xfId="58031"/>
    <cellStyle name="Обычный 9 8 2 3 5 3 2" xfId="58032"/>
    <cellStyle name="Обычный 9 8 2 3 5 3 3" xfId="58033"/>
    <cellStyle name="Обычный 9 8 2 3 5 4" xfId="58034"/>
    <cellStyle name="Обычный 9 8 2 3 5 4 2" xfId="58035"/>
    <cellStyle name="Обычный 9 8 2 3 5 5" xfId="58036"/>
    <cellStyle name="Обычный 9 8 2 3 5 6" xfId="58037"/>
    <cellStyle name="Обычный 9 8 2 3 6" xfId="58038"/>
    <cellStyle name="Обычный 9 8 2 3 6 2" xfId="58039"/>
    <cellStyle name="Обычный 9 8 2 3 6 3" xfId="58040"/>
    <cellStyle name="Обычный 9 8 2 3 7" xfId="58041"/>
    <cellStyle name="Обычный 9 8 2 3 7 2" xfId="58042"/>
    <cellStyle name="Обычный 9 8 2 3 7 3" xfId="58043"/>
    <cellStyle name="Обычный 9 8 2 3 8" xfId="58044"/>
    <cellStyle name="Обычный 9 8 2 3 8 2" xfId="58045"/>
    <cellStyle name="Обычный 9 8 2 3 9" xfId="58046"/>
    <cellStyle name="Обычный 9 8 2 4" xfId="58047"/>
    <cellStyle name="Обычный 9 8 2 4 10" xfId="58048"/>
    <cellStyle name="Обычный 9 8 2 4 2" xfId="58049"/>
    <cellStyle name="Обычный 9 8 2 4 2 2" xfId="58050"/>
    <cellStyle name="Обычный 9 8 2 4 2 2 2" xfId="58051"/>
    <cellStyle name="Обычный 9 8 2 4 2 2 2 2" xfId="58052"/>
    <cellStyle name="Обычный 9 8 2 4 2 2 2 2 2" xfId="58053"/>
    <cellStyle name="Обычный 9 8 2 4 2 2 2 2 2 2" xfId="58054"/>
    <cellStyle name="Обычный 9 8 2 4 2 2 2 2 2 3" xfId="58055"/>
    <cellStyle name="Обычный 9 8 2 4 2 2 2 2 3" xfId="58056"/>
    <cellStyle name="Обычный 9 8 2 4 2 2 2 2 3 2" xfId="58057"/>
    <cellStyle name="Обычный 9 8 2 4 2 2 2 2 3 3" xfId="58058"/>
    <cellStyle name="Обычный 9 8 2 4 2 2 2 2 4" xfId="58059"/>
    <cellStyle name="Обычный 9 8 2 4 2 2 2 2 4 2" xfId="58060"/>
    <cellStyle name="Обычный 9 8 2 4 2 2 2 2 5" xfId="58061"/>
    <cellStyle name="Обычный 9 8 2 4 2 2 2 2 6" xfId="58062"/>
    <cellStyle name="Обычный 9 8 2 4 2 2 2 3" xfId="58063"/>
    <cellStyle name="Обычный 9 8 2 4 2 2 2 3 2" xfId="58064"/>
    <cellStyle name="Обычный 9 8 2 4 2 2 2 3 3" xfId="58065"/>
    <cellStyle name="Обычный 9 8 2 4 2 2 2 4" xfId="58066"/>
    <cellStyle name="Обычный 9 8 2 4 2 2 2 4 2" xfId="58067"/>
    <cellStyle name="Обычный 9 8 2 4 2 2 2 4 3" xfId="58068"/>
    <cellStyle name="Обычный 9 8 2 4 2 2 2 5" xfId="58069"/>
    <cellStyle name="Обычный 9 8 2 4 2 2 2 5 2" xfId="58070"/>
    <cellStyle name="Обычный 9 8 2 4 2 2 2 6" xfId="58071"/>
    <cellStyle name="Обычный 9 8 2 4 2 2 2 7" xfId="58072"/>
    <cellStyle name="Обычный 9 8 2 4 2 2 3" xfId="58073"/>
    <cellStyle name="Обычный 9 8 2 4 2 2 3 2" xfId="58074"/>
    <cellStyle name="Обычный 9 8 2 4 2 2 3 2 2" xfId="58075"/>
    <cellStyle name="Обычный 9 8 2 4 2 2 3 2 3" xfId="58076"/>
    <cellStyle name="Обычный 9 8 2 4 2 2 3 3" xfId="58077"/>
    <cellStyle name="Обычный 9 8 2 4 2 2 3 3 2" xfId="58078"/>
    <cellStyle name="Обычный 9 8 2 4 2 2 3 3 3" xfId="58079"/>
    <cellStyle name="Обычный 9 8 2 4 2 2 3 4" xfId="58080"/>
    <cellStyle name="Обычный 9 8 2 4 2 2 3 4 2" xfId="58081"/>
    <cellStyle name="Обычный 9 8 2 4 2 2 3 5" xfId="58082"/>
    <cellStyle name="Обычный 9 8 2 4 2 2 3 6" xfId="58083"/>
    <cellStyle name="Обычный 9 8 2 4 2 2 4" xfId="58084"/>
    <cellStyle name="Обычный 9 8 2 4 2 2 4 2" xfId="58085"/>
    <cellStyle name="Обычный 9 8 2 4 2 2 4 3" xfId="58086"/>
    <cellStyle name="Обычный 9 8 2 4 2 2 5" xfId="58087"/>
    <cellStyle name="Обычный 9 8 2 4 2 2 5 2" xfId="58088"/>
    <cellStyle name="Обычный 9 8 2 4 2 2 5 3" xfId="58089"/>
    <cellStyle name="Обычный 9 8 2 4 2 2 6" xfId="58090"/>
    <cellStyle name="Обычный 9 8 2 4 2 2 6 2" xfId="58091"/>
    <cellStyle name="Обычный 9 8 2 4 2 2 7" xfId="58092"/>
    <cellStyle name="Обычный 9 8 2 4 2 2 8" xfId="58093"/>
    <cellStyle name="Обычный 9 8 2 4 2 3" xfId="58094"/>
    <cellStyle name="Обычный 9 8 2 4 2 3 2" xfId="58095"/>
    <cellStyle name="Обычный 9 8 2 4 2 3 2 2" xfId="58096"/>
    <cellStyle name="Обычный 9 8 2 4 2 3 2 2 2" xfId="58097"/>
    <cellStyle name="Обычный 9 8 2 4 2 3 2 2 3" xfId="58098"/>
    <cellStyle name="Обычный 9 8 2 4 2 3 2 3" xfId="58099"/>
    <cellStyle name="Обычный 9 8 2 4 2 3 2 3 2" xfId="58100"/>
    <cellStyle name="Обычный 9 8 2 4 2 3 2 3 3" xfId="58101"/>
    <cellStyle name="Обычный 9 8 2 4 2 3 2 4" xfId="58102"/>
    <cellStyle name="Обычный 9 8 2 4 2 3 2 4 2" xfId="58103"/>
    <cellStyle name="Обычный 9 8 2 4 2 3 2 5" xfId="58104"/>
    <cellStyle name="Обычный 9 8 2 4 2 3 2 6" xfId="58105"/>
    <cellStyle name="Обычный 9 8 2 4 2 3 3" xfId="58106"/>
    <cellStyle name="Обычный 9 8 2 4 2 3 3 2" xfId="58107"/>
    <cellStyle name="Обычный 9 8 2 4 2 3 3 3" xfId="58108"/>
    <cellStyle name="Обычный 9 8 2 4 2 3 4" xfId="58109"/>
    <cellStyle name="Обычный 9 8 2 4 2 3 4 2" xfId="58110"/>
    <cellStyle name="Обычный 9 8 2 4 2 3 4 3" xfId="58111"/>
    <cellStyle name="Обычный 9 8 2 4 2 3 5" xfId="58112"/>
    <cellStyle name="Обычный 9 8 2 4 2 3 5 2" xfId="58113"/>
    <cellStyle name="Обычный 9 8 2 4 2 3 6" xfId="58114"/>
    <cellStyle name="Обычный 9 8 2 4 2 3 7" xfId="58115"/>
    <cellStyle name="Обычный 9 8 2 4 2 4" xfId="58116"/>
    <cellStyle name="Обычный 9 8 2 4 2 4 2" xfId="58117"/>
    <cellStyle name="Обычный 9 8 2 4 2 4 2 2" xfId="58118"/>
    <cellStyle name="Обычный 9 8 2 4 2 4 2 3" xfId="58119"/>
    <cellStyle name="Обычный 9 8 2 4 2 4 3" xfId="58120"/>
    <cellStyle name="Обычный 9 8 2 4 2 4 3 2" xfId="58121"/>
    <cellStyle name="Обычный 9 8 2 4 2 4 3 3" xfId="58122"/>
    <cellStyle name="Обычный 9 8 2 4 2 4 4" xfId="58123"/>
    <cellStyle name="Обычный 9 8 2 4 2 4 4 2" xfId="58124"/>
    <cellStyle name="Обычный 9 8 2 4 2 4 5" xfId="58125"/>
    <cellStyle name="Обычный 9 8 2 4 2 4 6" xfId="58126"/>
    <cellStyle name="Обычный 9 8 2 4 2 5" xfId="58127"/>
    <cellStyle name="Обычный 9 8 2 4 2 5 2" xfId="58128"/>
    <cellStyle name="Обычный 9 8 2 4 2 5 3" xfId="58129"/>
    <cellStyle name="Обычный 9 8 2 4 2 6" xfId="58130"/>
    <cellStyle name="Обычный 9 8 2 4 2 6 2" xfId="58131"/>
    <cellStyle name="Обычный 9 8 2 4 2 6 3" xfId="58132"/>
    <cellStyle name="Обычный 9 8 2 4 2 7" xfId="58133"/>
    <cellStyle name="Обычный 9 8 2 4 2 7 2" xfId="58134"/>
    <cellStyle name="Обычный 9 8 2 4 2 8" xfId="58135"/>
    <cellStyle name="Обычный 9 8 2 4 2 9" xfId="58136"/>
    <cellStyle name="Обычный 9 8 2 4 3" xfId="58137"/>
    <cellStyle name="Обычный 9 8 2 4 3 2" xfId="58138"/>
    <cellStyle name="Обычный 9 8 2 4 3 2 2" xfId="58139"/>
    <cellStyle name="Обычный 9 8 2 4 3 2 2 2" xfId="58140"/>
    <cellStyle name="Обычный 9 8 2 4 3 2 2 2 2" xfId="58141"/>
    <cellStyle name="Обычный 9 8 2 4 3 2 2 2 3" xfId="58142"/>
    <cellStyle name="Обычный 9 8 2 4 3 2 2 3" xfId="58143"/>
    <cellStyle name="Обычный 9 8 2 4 3 2 2 3 2" xfId="58144"/>
    <cellStyle name="Обычный 9 8 2 4 3 2 2 3 3" xfId="58145"/>
    <cellStyle name="Обычный 9 8 2 4 3 2 2 4" xfId="58146"/>
    <cellStyle name="Обычный 9 8 2 4 3 2 2 4 2" xfId="58147"/>
    <cellStyle name="Обычный 9 8 2 4 3 2 2 5" xfId="58148"/>
    <cellStyle name="Обычный 9 8 2 4 3 2 2 6" xfId="58149"/>
    <cellStyle name="Обычный 9 8 2 4 3 2 3" xfId="58150"/>
    <cellStyle name="Обычный 9 8 2 4 3 2 3 2" xfId="58151"/>
    <cellStyle name="Обычный 9 8 2 4 3 2 3 3" xfId="58152"/>
    <cellStyle name="Обычный 9 8 2 4 3 2 4" xfId="58153"/>
    <cellStyle name="Обычный 9 8 2 4 3 2 4 2" xfId="58154"/>
    <cellStyle name="Обычный 9 8 2 4 3 2 4 3" xfId="58155"/>
    <cellStyle name="Обычный 9 8 2 4 3 2 5" xfId="58156"/>
    <cellStyle name="Обычный 9 8 2 4 3 2 5 2" xfId="58157"/>
    <cellStyle name="Обычный 9 8 2 4 3 2 6" xfId="58158"/>
    <cellStyle name="Обычный 9 8 2 4 3 2 7" xfId="58159"/>
    <cellStyle name="Обычный 9 8 2 4 3 3" xfId="58160"/>
    <cellStyle name="Обычный 9 8 2 4 3 3 2" xfId="58161"/>
    <cellStyle name="Обычный 9 8 2 4 3 3 2 2" xfId="58162"/>
    <cellStyle name="Обычный 9 8 2 4 3 3 2 3" xfId="58163"/>
    <cellStyle name="Обычный 9 8 2 4 3 3 3" xfId="58164"/>
    <cellStyle name="Обычный 9 8 2 4 3 3 3 2" xfId="58165"/>
    <cellStyle name="Обычный 9 8 2 4 3 3 3 3" xfId="58166"/>
    <cellStyle name="Обычный 9 8 2 4 3 3 4" xfId="58167"/>
    <cellStyle name="Обычный 9 8 2 4 3 3 4 2" xfId="58168"/>
    <cellStyle name="Обычный 9 8 2 4 3 3 5" xfId="58169"/>
    <cellStyle name="Обычный 9 8 2 4 3 3 6" xfId="58170"/>
    <cellStyle name="Обычный 9 8 2 4 3 4" xfId="58171"/>
    <cellStyle name="Обычный 9 8 2 4 3 4 2" xfId="58172"/>
    <cellStyle name="Обычный 9 8 2 4 3 4 3" xfId="58173"/>
    <cellStyle name="Обычный 9 8 2 4 3 5" xfId="58174"/>
    <cellStyle name="Обычный 9 8 2 4 3 5 2" xfId="58175"/>
    <cellStyle name="Обычный 9 8 2 4 3 5 3" xfId="58176"/>
    <cellStyle name="Обычный 9 8 2 4 3 6" xfId="58177"/>
    <cellStyle name="Обычный 9 8 2 4 3 6 2" xfId="58178"/>
    <cellStyle name="Обычный 9 8 2 4 3 7" xfId="58179"/>
    <cellStyle name="Обычный 9 8 2 4 3 8" xfId="58180"/>
    <cellStyle name="Обычный 9 8 2 4 4" xfId="58181"/>
    <cellStyle name="Обычный 9 8 2 4 4 2" xfId="58182"/>
    <cellStyle name="Обычный 9 8 2 4 4 2 2" xfId="58183"/>
    <cellStyle name="Обычный 9 8 2 4 4 2 2 2" xfId="58184"/>
    <cellStyle name="Обычный 9 8 2 4 4 2 2 3" xfId="58185"/>
    <cellStyle name="Обычный 9 8 2 4 4 2 3" xfId="58186"/>
    <cellStyle name="Обычный 9 8 2 4 4 2 3 2" xfId="58187"/>
    <cellStyle name="Обычный 9 8 2 4 4 2 3 3" xfId="58188"/>
    <cellStyle name="Обычный 9 8 2 4 4 2 4" xfId="58189"/>
    <cellStyle name="Обычный 9 8 2 4 4 2 4 2" xfId="58190"/>
    <cellStyle name="Обычный 9 8 2 4 4 2 5" xfId="58191"/>
    <cellStyle name="Обычный 9 8 2 4 4 2 6" xfId="58192"/>
    <cellStyle name="Обычный 9 8 2 4 4 3" xfId="58193"/>
    <cellStyle name="Обычный 9 8 2 4 4 3 2" xfId="58194"/>
    <cellStyle name="Обычный 9 8 2 4 4 3 3" xfId="58195"/>
    <cellStyle name="Обычный 9 8 2 4 4 4" xfId="58196"/>
    <cellStyle name="Обычный 9 8 2 4 4 4 2" xfId="58197"/>
    <cellStyle name="Обычный 9 8 2 4 4 4 3" xfId="58198"/>
    <cellStyle name="Обычный 9 8 2 4 4 5" xfId="58199"/>
    <cellStyle name="Обычный 9 8 2 4 4 5 2" xfId="58200"/>
    <cellStyle name="Обычный 9 8 2 4 4 6" xfId="58201"/>
    <cellStyle name="Обычный 9 8 2 4 4 7" xfId="58202"/>
    <cellStyle name="Обычный 9 8 2 4 5" xfId="58203"/>
    <cellStyle name="Обычный 9 8 2 4 5 2" xfId="58204"/>
    <cellStyle name="Обычный 9 8 2 4 5 2 2" xfId="58205"/>
    <cellStyle name="Обычный 9 8 2 4 5 2 3" xfId="58206"/>
    <cellStyle name="Обычный 9 8 2 4 5 3" xfId="58207"/>
    <cellStyle name="Обычный 9 8 2 4 5 3 2" xfId="58208"/>
    <cellStyle name="Обычный 9 8 2 4 5 3 3" xfId="58209"/>
    <cellStyle name="Обычный 9 8 2 4 5 4" xfId="58210"/>
    <cellStyle name="Обычный 9 8 2 4 5 4 2" xfId="58211"/>
    <cellStyle name="Обычный 9 8 2 4 5 5" xfId="58212"/>
    <cellStyle name="Обычный 9 8 2 4 5 6" xfId="58213"/>
    <cellStyle name="Обычный 9 8 2 4 6" xfId="58214"/>
    <cellStyle name="Обычный 9 8 2 4 6 2" xfId="58215"/>
    <cellStyle name="Обычный 9 8 2 4 6 3" xfId="58216"/>
    <cellStyle name="Обычный 9 8 2 4 7" xfId="58217"/>
    <cellStyle name="Обычный 9 8 2 4 7 2" xfId="58218"/>
    <cellStyle name="Обычный 9 8 2 4 7 3" xfId="58219"/>
    <cellStyle name="Обычный 9 8 2 4 8" xfId="58220"/>
    <cellStyle name="Обычный 9 8 2 4 8 2" xfId="58221"/>
    <cellStyle name="Обычный 9 8 2 4 9" xfId="58222"/>
    <cellStyle name="Обычный 9 8 2 5" xfId="58223"/>
    <cellStyle name="Обычный 9 8 2 5 2" xfId="58224"/>
    <cellStyle name="Обычный 9 8 2 5 2 2" xfId="58225"/>
    <cellStyle name="Обычный 9 8 2 5 2 2 2" xfId="58226"/>
    <cellStyle name="Обычный 9 8 2 5 2 2 2 2" xfId="58227"/>
    <cellStyle name="Обычный 9 8 2 5 2 2 2 2 2" xfId="58228"/>
    <cellStyle name="Обычный 9 8 2 5 2 2 2 2 3" xfId="58229"/>
    <cellStyle name="Обычный 9 8 2 5 2 2 2 3" xfId="58230"/>
    <cellStyle name="Обычный 9 8 2 5 2 2 2 3 2" xfId="58231"/>
    <cellStyle name="Обычный 9 8 2 5 2 2 2 3 3" xfId="58232"/>
    <cellStyle name="Обычный 9 8 2 5 2 2 2 4" xfId="58233"/>
    <cellStyle name="Обычный 9 8 2 5 2 2 2 4 2" xfId="58234"/>
    <cellStyle name="Обычный 9 8 2 5 2 2 2 5" xfId="58235"/>
    <cellStyle name="Обычный 9 8 2 5 2 2 2 6" xfId="58236"/>
    <cellStyle name="Обычный 9 8 2 5 2 2 3" xfId="58237"/>
    <cellStyle name="Обычный 9 8 2 5 2 2 3 2" xfId="58238"/>
    <cellStyle name="Обычный 9 8 2 5 2 2 3 3" xfId="58239"/>
    <cellStyle name="Обычный 9 8 2 5 2 2 4" xfId="58240"/>
    <cellStyle name="Обычный 9 8 2 5 2 2 4 2" xfId="58241"/>
    <cellStyle name="Обычный 9 8 2 5 2 2 4 3" xfId="58242"/>
    <cellStyle name="Обычный 9 8 2 5 2 2 5" xfId="58243"/>
    <cellStyle name="Обычный 9 8 2 5 2 2 5 2" xfId="58244"/>
    <cellStyle name="Обычный 9 8 2 5 2 2 6" xfId="58245"/>
    <cellStyle name="Обычный 9 8 2 5 2 2 7" xfId="58246"/>
    <cellStyle name="Обычный 9 8 2 5 2 3" xfId="58247"/>
    <cellStyle name="Обычный 9 8 2 5 2 3 2" xfId="58248"/>
    <cellStyle name="Обычный 9 8 2 5 2 3 2 2" xfId="58249"/>
    <cellStyle name="Обычный 9 8 2 5 2 3 2 3" xfId="58250"/>
    <cellStyle name="Обычный 9 8 2 5 2 3 3" xfId="58251"/>
    <cellStyle name="Обычный 9 8 2 5 2 3 3 2" xfId="58252"/>
    <cellStyle name="Обычный 9 8 2 5 2 3 3 3" xfId="58253"/>
    <cellStyle name="Обычный 9 8 2 5 2 3 4" xfId="58254"/>
    <cellStyle name="Обычный 9 8 2 5 2 3 4 2" xfId="58255"/>
    <cellStyle name="Обычный 9 8 2 5 2 3 5" xfId="58256"/>
    <cellStyle name="Обычный 9 8 2 5 2 3 6" xfId="58257"/>
    <cellStyle name="Обычный 9 8 2 5 2 4" xfId="58258"/>
    <cellStyle name="Обычный 9 8 2 5 2 4 2" xfId="58259"/>
    <cellStyle name="Обычный 9 8 2 5 2 4 3" xfId="58260"/>
    <cellStyle name="Обычный 9 8 2 5 2 5" xfId="58261"/>
    <cellStyle name="Обычный 9 8 2 5 2 5 2" xfId="58262"/>
    <cellStyle name="Обычный 9 8 2 5 2 5 3" xfId="58263"/>
    <cellStyle name="Обычный 9 8 2 5 2 6" xfId="58264"/>
    <cellStyle name="Обычный 9 8 2 5 2 6 2" xfId="58265"/>
    <cellStyle name="Обычный 9 8 2 5 2 7" xfId="58266"/>
    <cellStyle name="Обычный 9 8 2 5 2 8" xfId="58267"/>
    <cellStyle name="Обычный 9 8 2 5 3" xfId="58268"/>
    <cellStyle name="Обычный 9 8 2 5 3 2" xfId="58269"/>
    <cellStyle name="Обычный 9 8 2 5 3 2 2" xfId="58270"/>
    <cellStyle name="Обычный 9 8 2 5 3 2 2 2" xfId="58271"/>
    <cellStyle name="Обычный 9 8 2 5 3 2 2 3" xfId="58272"/>
    <cellStyle name="Обычный 9 8 2 5 3 2 3" xfId="58273"/>
    <cellStyle name="Обычный 9 8 2 5 3 2 3 2" xfId="58274"/>
    <cellStyle name="Обычный 9 8 2 5 3 2 3 3" xfId="58275"/>
    <cellStyle name="Обычный 9 8 2 5 3 2 4" xfId="58276"/>
    <cellStyle name="Обычный 9 8 2 5 3 2 4 2" xfId="58277"/>
    <cellStyle name="Обычный 9 8 2 5 3 2 5" xfId="58278"/>
    <cellStyle name="Обычный 9 8 2 5 3 2 6" xfId="58279"/>
    <cellStyle name="Обычный 9 8 2 5 3 3" xfId="58280"/>
    <cellStyle name="Обычный 9 8 2 5 3 3 2" xfId="58281"/>
    <cellStyle name="Обычный 9 8 2 5 3 3 3" xfId="58282"/>
    <cellStyle name="Обычный 9 8 2 5 3 4" xfId="58283"/>
    <cellStyle name="Обычный 9 8 2 5 3 4 2" xfId="58284"/>
    <cellStyle name="Обычный 9 8 2 5 3 4 3" xfId="58285"/>
    <cellStyle name="Обычный 9 8 2 5 3 5" xfId="58286"/>
    <cellStyle name="Обычный 9 8 2 5 3 5 2" xfId="58287"/>
    <cellStyle name="Обычный 9 8 2 5 3 6" xfId="58288"/>
    <cellStyle name="Обычный 9 8 2 5 3 7" xfId="58289"/>
    <cellStyle name="Обычный 9 8 2 5 4" xfId="58290"/>
    <cellStyle name="Обычный 9 8 2 5 4 2" xfId="58291"/>
    <cellStyle name="Обычный 9 8 2 5 4 2 2" xfId="58292"/>
    <cellStyle name="Обычный 9 8 2 5 4 2 3" xfId="58293"/>
    <cellStyle name="Обычный 9 8 2 5 4 3" xfId="58294"/>
    <cellStyle name="Обычный 9 8 2 5 4 3 2" xfId="58295"/>
    <cellStyle name="Обычный 9 8 2 5 4 3 3" xfId="58296"/>
    <cellStyle name="Обычный 9 8 2 5 4 4" xfId="58297"/>
    <cellStyle name="Обычный 9 8 2 5 4 4 2" xfId="58298"/>
    <cellStyle name="Обычный 9 8 2 5 4 5" xfId="58299"/>
    <cellStyle name="Обычный 9 8 2 5 4 6" xfId="58300"/>
    <cellStyle name="Обычный 9 8 2 5 5" xfId="58301"/>
    <cellStyle name="Обычный 9 8 2 5 5 2" xfId="58302"/>
    <cellStyle name="Обычный 9 8 2 5 5 3" xfId="58303"/>
    <cellStyle name="Обычный 9 8 2 5 6" xfId="58304"/>
    <cellStyle name="Обычный 9 8 2 5 6 2" xfId="58305"/>
    <cellStyle name="Обычный 9 8 2 5 6 3" xfId="58306"/>
    <cellStyle name="Обычный 9 8 2 5 7" xfId="58307"/>
    <cellStyle name="Обычный 9 8 2 5 7 2" xfId="58308"/>
    <cellStyle name="Обычный 9 8 2 5 8" xfId="58309"/>
    <cellStyle name="Обычный 9 8 2 5 9" xfId="58310"/>
    <cellStyle name="Обычный 9 8 2 6" xfId="58311"/>
    <cellStyle name="Обычный 9 8 2 6 2" xfId="58312"/>
    <cellStyle name="Обычный 9 8 2 6 2 2" xfId="58313"/>
    <cellStyle name="Обычный 9 8 2 6 2 2 2" xfId="58314"/>
    <cellStyle name="Обычный 9 8 2 6 2 2 2 2" xfId="58315"/>
    <cellStyle name="Обычный 9 8 2 6 2 2 2 3" xfId="58316"/>
    <cellStyle name="Обычный 9 8 2 6 2 2 3" xfId="58317"/>
    <cellStyle name="Обычный 9 8 2 6 2 2 3 2" xfId="58318"/>
    <cellStyle name="Обычный 9 8 2 6 2 2 3 3" xfId="58319"/>
    <cellStyle name="Обычный 9 8 2 6 2 2 4" xfId="58320"/>
    <cellStyle name="Обычный 9 8 2 6 2 2 4 2" xfId="58321"/>
    <cellStyle name="Обычный 9 8 2 6 2 2 5" xfId="58322"/>
    <cellStyle name="Обычный 9 8 2 6 2 2 6" xfId="58323"/>
    <cellStyle name="Обычный 9 8 2 6 2 3" xfId="58324"/>
    <cellStyle name="Обычный 9 8 2 6 2 3 2" xfId="58325"/>
    <cellStyle name="Обычный 9 8 2 6 2 3 3" xfId="58326"/>
    <cellStyle name="Обычный 9 8 2 6 2 4" xfId="58327"/>
    <cellStyle name="Обычный 9 8 2 6 2 4 2" xfId="58328"/>
    <cellStyle name="Обычный 9 8 2 6 2 4 3" xfId="58329"/>
    <cellStyle name="Обычный 9 8 2 6 2 5" xfId="58330"/>
    <cellStyle name="Обычный 9 8 2 6 2 5 2" xfId="58331"/>
    <cellStyle name="Обычный 9 8 2 6 2 6" xfId="58332"/>
    <cellStyle name="Обычный 9 8 2 6 2 7" xfId="58333"/>
    <cellStyle name="Обычный 9 8 2 6 3" xfId="58334"/>
    <cellStyle name="Обычный 9 8 2 6 3 2" xfId="58335"/>
    <cellStyle name="Обычный 9 8 2 6 3 2 2" xfId="58336"/>
    <cellStyle name="Обычный 9 8 2 6 3 2 3" xfId="58337"/>
    <cellStyle name="Обычный 9 8 2 6 3 3" xfId="58338"/>
    <cellStyle name="Обычный 9 8 2 6 3 3 2" xfId="58339"/>
    <cellStyle name="Обычный 9 8 2 6 3 3 3" xfId="58340"/>
    <cellStyle name="Обычный 9 8 2 6 3 4" xfId="58341"/>
    <cellStyle name="Обычный 9 8 2 6 3 4 2" xfId="58342"/>
    <cellStyle name="Обычный 9 8 2 6 3 5" xfId="58343"/>
    <cellStyle name="Обычный 9 8 2 6 3 6" xfId="58344"/>
    <cellStyle name="Обычный 9 8 2 6 4" xfId="58345"/>
    <cellStyle name="Обычный 9 8 2 6 4 2" xfId="58346"/>
    <cellStyle name="Обычный 9 8 2 6 4 3" xfId="58347"/>
    <cellStyle name="Обычный 9 8 2 6 5" xfId="58348"/>
    <cellStyle name="Обычный 9 8 2 6 5 2" xfId="58349"/>
    <cellStyle name="Обычный 9 8 2 6 5 3" xfId="58350"/>
    <cellStyle name="Обычный 9 8 2 6 6" xfId="58351"/>
    <cellStyle name="Обычный 9 8 2 6 6 2" xfId="58352"/>
    <cellStyle name="Обычный 9 8 2 6 7" xfId="58353"/>
    <cellStyle name="Обычный 9 8 2 6 8" xfId="58354"/>
    <cellStyle name="Обычный 9 8 2 7" xfId="58355"/>
    <cellStyle name="Обычный 9 8 2 7 2" xfId="58356"/>
    <cellStyle name="Обычный 9 8 2 7 2 2" xfId="58357"/>
    <cellStyle name="Обычный 9 8 2 7 2 2 2" xfId="58358"/>
    <cellStyle name="Обычный 9 8 2 7 2 2 3" xfId="58359"/>
    <cellStyle name="Обычный 9 8 2 7 2 3" xfId="58360"/>
    <cellStyle name="Обычный 9 8 2 7 2 3 2" xfId="58361"/>
    <cellStyle name="Обычный 9 8 2 7 2 3 3" xfId="58362"/>
    <cellStyle name="Обычный 9 8 2 7 2 4" xfId="58363"/>
    <cellStyle name="Обычный 9 8 2 7 2 4 2" xfId="58364"/>
    <cellStyle name="Обычный 9 8 2 7 2 5" xfId="58365"/>
    <cellStyle name="Обычный 9 8 2 7 2 6" xfId="58366"/>
    <cellStyle name="Обычный 9 8 2 7 3" xfId="58367"/>
    <cellStyle name="Обычный 9 8 2 7 3 2" xfId="58368"/>
    <cellStyle name="Обычный 9 8 2 7 3 3" xfId="58369"/>
    <cellStyle name="Обычный 9 8 2 7 4" xfId="58370"/>
    <cellStyle name="Обычный 9 8 2 7 4 2" xfId="58371"/>
    <cellStyle name="Обычный 9 8 2 7 4 3" xfId="58372"/>
    <cellStyle name="Обычный 9 8 2 7 5" xfId="58373"/>
    <cellStyle name="Обычный 9 8 2 7 5 2" xfId="58374"/>
    <cellStyle name="Обычный 9 8 2 7 6" xfId="58375"/>
    <cellStyle name="Обычный 9 8 2 7 7" xfId="58376"/>
    <cellStyle name="Обычный 9 8 2 8" xfId="58377"/>
    <cellStyle name="Обычный 9 8 2 8 2" xfId="58378"/>
    <cellStyle name="Обычный 9 8 2 8 2 2" xfId="58379"/>
    <cellStyle name="Обычный 9 8 2 8 2 3" xfId="58380"/>
    <cellStyle name="Обычный 9 8 2 8 3" xfId="58381"/>
    <cellStyle name="Обычный 9 8 2 8 3 2" xfId="58382"/>
    <cellStyle name="Обычный 9 8 2 8 3 3" xfId="58383"/>
    <cellStyle name="Обычный 9 8 2 8 4" xfId="58384"/>
    <cellStyle name="Обычный 9 8 2 8 4 2" xfId="58385"/>
    <cellStyle name="Обычный 9 8 2 8 5" xfId="58386"/>
    <cellStyle name="Обычный 9 8 2 8 6" xfId="58387"/>
    <cellStyle name="Обычный 9 8 2 9" xfId="58388"/>
    <cellStyle name="Обычный 9 8 2 9 2" xfId="58389"/>
    <cellStyle name="Обычный 9 8 2 9 3" xfId="58390"/>
    <cellStyle name="Обычный 9 8 3" xfId="58391"/>
    <cellStyle name="Обычный 9 8 3 10" xfId="58392"/>
    <cellStyle name="Обычный 9 8 3 2" xfId="58393"/>
    <cellStyle name="Обычный 9 8 3 2 2" xfId="58394"/>
    <cellStyle name="Обычный 9 8 3 2 2 2" xfId="58395"/>
    <cellStyle name="Обычный 9 8 3 2 2 2 2" xfId="58396"/>
    <cellStyle name="Обычный 9 8 3 2 2 2 2 2" xfId="58397"/>
    <cellStyle name="Обычный 9 8 3 2 2 2 2 2 2" xfId="58398"/>
    <cellStyle name="Обычный 9 8 3 2 2 2 2 2 3" xfId="58399"/>
    <cellStyle name="Обычный 9 8 3 2 2 2 2 3" xfId="58400"/>
    <cellStyle name="Обычный 9 8 3 2 2 2 2 3 2" xfId="58401"/>
    <cellStyle name="Обычный 9 8 3 2 2 2 2 3 3" xfId="58402"/>
    <cellStyle name="Обычный 9 8 3 2 2 2 2 4" xfId="58403"/>
    <cellStyle name="Обычный 9 8 3 2 2 2 2 4 2" xfId="58404"/>
    <cellStyle name="Обычный 9 8 3 2 2 2 2 5" xfId="58405"/>
    <cellStyle name="Обычный 9 8 3 2 2 2 2 6" xfId="58406"/>
    <cellStyle name="Обычный 9 8 3 2 2 2 3" xfId="58407"/>
    <cellStyle name="Обычный 9 8 3 2 2 2 3 2" xfId="58408"/>
    <cellStyle name="Обычный 9 8 3 2 2 2 3 3" xfId="58409"/>
    <cellStyle name="Обычный 9 8 3 2 2 2 4" xfId="58410"/>
    <cellStyle name="Обычный 9 8 3 2 2 2 4 2" xfId="58411"/>
    <cellStyle name="Обычный 9 8 3 2 2 2 4 3" xfId="58412"/>
    <cellStyle name="Обычный 9 8 3 2 2 2 5" xfId="58413"/>
    <cellStyle name="Обычный 9 8 3 2 2 2 5 2" xfId="58414"/>
    <cellStyle name="Обычный 9 8 3 2 2 2 6" xfId="58415"/>
    <cellStyle name="Обычный 9 8 3 2 2 2 7" xfId="58416"/>
    <cellStyle name="Обычный 9 8 3 2 2 3" xfId="58417"/>
    <cellStyle name="Обычный 9 8 3 2 2 3 2" xfId="58418"/>
    <cellStyle name="Обычный 9 8 3 2 2 3 2 2" xfId="58419"/>
    <cellStyle name="Обычный 9 8 3 2 2 3 2 3" xfId="58420"/>
    <cellStyle name="Обычный 9 8 3 2 2 3 3" xfId="58421"/>
    <cellStyle name="Обычный 9 8 3 2 2 3 3 2" xfId="58422"/>
    <cellStyle name="Обычный 9 8 3 2 2 3 3 3" xfId="58423"/>
    <cellStyle name="Обычный 9 8 3 2 2 3 4" xfId="58424"/>
    <cellStyle name="Обычный 9 8 3 2 2 3 4 2" xfId="58425"/>
    <cellStyle name="Обычный 9 8 3 2 2 3 5" xfId="58426"/>
    <cellStyle name="Обычный 9 8 3 2 2 3 6" xfId="58427"/>
    <cellStyle name="Обычный 9 8 3 2 2 4" xfId="58428"/>
    <cellStyle name="Обычный 9 8 3 2 2 4 2" xfId="58429"/>
    <cellStyle name="Обычный 9 8 3 2 2 4 3" xfId="58430"/>
    <cellStyle name="Обычный 9 8 3 2 2 5" xfId="58431"/>
    <cellStyle name="Обычный 9 8 3 2 2 5 2" xfId="58432"/>
    <cellStyle name="Обычный 9 8 3 2 2 5 3" xfId="58433"/>
    <cellStyle name="Обычный 9 8 3 2 2 6" xfId="58434"/>
    <cellStyle name="Обычный 9 8 3 2 2 6 2" xfId="58435"/>
    <cellStyle name="Обычный 9 8 3 2 2 7" xfId="58436"/>
    <cellStyle name="Обычный 9 8 3 2 2 8" xfId="58437"/>
    <cellStyle name="Обычный 9 8 3 2 3" xfId="58438"/>
    <cellStyle name="Обычный 9 8 3 2 3 2" xfId="58439"/>
    <cellStyle name="Обычный 9 8 3 2 3 2 2" xfId="58440"/>
    <cellStyle name="Обычный 9 8 3 2 3 2 2 2" xfId="58441"/>
    <cellStyle name="Обычный 9 8 3 2 3 2 2 3" xfId="58442"/>
    <cellStyle name="Обычный 9 8 3 2 3 2 3" xfId="58443"/>
    <cellStyle name="Обычный 9 8 3 2 3 2 3 2" xfId="58444"/>
    <cellStyle name="Обычный 9 8 3 2 3 2 3 3" xfId="58445"/>
    <cellStyle name="Обычный 9 8 3 2 3 2 4" xfId="58446"/>
    <cellStyle name="Обычный 9 8 3 2 3 2 4 2" xfId="58447"/>
    <cellStyle name="Обычный 9 8 3 2 3 2 5" xfId="58448"/>
    <cellStyle name="Обычный 9 8 3 2 3 2 6" xfId="58449"/>
    <cellStyle name="Обычный 9 8 3 2 3 3" xfId="58450"/>
    <cellStyle name="Обычный 9 8 3 2 3 3 2" xfId="58451"/>
    <cellStyle name="Обычный 9 8 3 2 3 3 3" xfId="58452"/>
    <cellStyle name="Обычный 9 8 3 2 3 4" xfId="58453"/>
    <cellStyle name="Обычный 9 8 3 2 3 4 2" xfId="58454"/>
    <cellStyle name="Обычный 9 8 3 2 3 4 3" xfId="58455"/>
    <cellStyle name="Обычный 9 8 3 2 3 5" xfId="58456"/>
    <cellStyle name="Обычный 9 8 3 2 3 5 2" xfId="58457"/>
    <cellStyle name="Обычный 9 8 3 2 3 6" xfId="58458"/>
    <cellStyle name="Обычный 9 8 3 2 3 7" xfId="58459"/>
    <cellStyle name="Обычный 9 8 3 2 4" xfId="58460"/>
    <cellStyle name="Обычный 9 8 3 2 4 2" xfId="58461"/>
    <cellStyle name="Обычный 9 8 3 2 4 2 2" xfId="58462"/>
    <cellStyle name="Обычный 9 8 3 2 4 2 3" xfId="58463"/>
    <cellStyle name="Обычный 9 8 3 2 4 3" xfId="58464"/>
    <cellStyle name="Обычный 9 8 3 2 4 3 2" xfId="58465"/>
    <cellStyle name="Обычный 9 8 3 2 4 3 3" xfId="58466"/>
    <cellStyle name="Обычный 9 8 3 2 4 4" xfId="58467"/>
    <cellStyle name="Обычный 9 8 3 2 4 4 2" xfId="58468"/>
    <cellStyle name="Обычный 9 8 3 2 4 5" xfId="58469"/>
    <cellStyle name="Обычный 9 8 3 2 4 6" xfId="58470"/>
    <cellStyle name="Обычный 9 8 3 2 5" xfId="58471"/>
    <cellStyle name="Обычный 9 8 3 2 5 2" xfId="58472"/>
    <cellStyle name="Обычный 9 8 3 2 5 3" xfId="58473"/>
    <cellStyle name="Обычный 9 8 3 2 6" xfId="58474"/>
    <cellStyle name="Обычный 9 8 3 2 6 2" xfId="58475"/>
    <cellStyle name="Обычный 9 8 3 2 6 3" xfId="58476"/>
    <cellStyle name="Обычный 9 8 3 2 7" xfId="58477"/>
    <cellStyle name="Обычный 9 8 3 2 7 2" xfId="58478"/>
    <cellStyle name="Обычный 9 8 3 2 8" xfId="58479"/>
    <cellStyle name="Обычный 9 8 3 2 9" xfId="58480"/>
    <cellStyle name="Обычный 9 8 3 3" xfId="58481"/>
    <cellStyle name="Обычный 9 8 3 3 2" xfId="58482"/>
    <cellStyle name="Обычный 9 8 3 3 2 2" xfId="58483"/>
    <cellStyle name="Обычный 9 8 3 3 2 2 2" xfId="58484"/>
    <cellStyle name="Обычный 9 8 3 3 2 2 2 2" xfId="58485"/>
    <cellStyle name="Обычный 9 8 3 3 2 2 2 3" xfId="58486"/>
    <cellStyle name="Обычный 9 8 3 3 2 2 3" xfId="58487"/>
    <cellStyle name="Обычный 9 8 3 3 2 2 3 2" xfId="58488"/>
    <cellStyle name="Обычный 9 8 3 3 2 2 3 3" xfId="58489"/>
    <cellStyle name="Обычный 9 8 3 3 2 2 4" xfId="58490"/>
    <cellStyle name="Обычный 9 8 3 3 2 2 4 2" xfId="58491"/>
    <cellStyle name="Обычный 9 8 3 3 2 2 5" xfId="58492"/>
    <cellStyle name="Обычный 9 8 3 3 2 2 6" xfId="58493"/>
    <cellStyle name="Обычный 9 8 3 3 2 3" xfId="58494"/>
    <cellStyle name="Обычный 9 8 3 3 2 3 2" xfId="58495"/>
    <cellStyle name="Обычный 9 8 3 3 2 3 3" xfId="58496"/>
    <cellStyle name="Обычный 9 8 3 3 2 4" xfId="58497"/>
    <cellStyle name="Обычный 9 8 3 3 2 4 2" xfId="58498"/>
    <cellStyle name="Обычный 9 8 3 3 2 4 3" xfId="58499"/>
    <cellStyle name="Обычный 9 8 3 3 2 5" xfId="58500"/>
    <cellStyle name="Обычный 9 8 3 3 2 5 2" xfId="58501"/>
    <cellStyle name="Обычный 9 8 3 3 2 6" xfId="58502"/>
    <cellStyle name="Обычный 9 8 3 3 2 7" xfId="58503"/>
    <cellStyle name="Обычный 9 8 3 3 3" xfId="58504"/>
    <cellStyle name="Обычный 9 8 3 3 3 2" xfId="58505"/>
    <cellStyle name="Обычный 9 8 3 3 3 2 2" xfId="58506"/>
    <cellStyle name="Обычный 9 8 3 3 3 2 3" xfId="58507"/>
    <cellStyle name="Обычный 9 8 3 3 3 3" xfId="58508"/>
    <cellStyle name="Обычный 9 8 3 3 3 3 2" xfId="58509"/>
    <cellStyle name="Обычный 9 8 3 3 3 3 3" xfId="58510"/>
    <cellStyle name="Обычный 9 8 3 3 3 4" xfId="58511"/>
    <cellStyle name="Обычный 9 8 3 3 3 4 2" xfId="58512"/>
    <cellStyle name="Обычный 9 8 3 3 3 5" xfId="58513"/>
    <cellStyle name="Обычный 9 8 3 3 3 6" xfId="58514"/>
    <cellStyle name="Обычный 9 8 3 3 4" xfId="58515"/>
    <cellStyle name="Обычный 9 8 3 3 4 2" xfId="58516"/>
    <cellStyle name="Обычный 9 8 3 3 4 3" xfId="58517"/>
    <cellStyle name="Обычный 9 8 3 3 5" xfId="58518"/>
    <cellStyle name="Обычный 9 8 3 3 5 2" xfId="58519"/>
    <cellStyle name="Обычный 9 8 3 3 5 3" xfId="58520"/>
    <cellStyle name="Обычный 9 8 3 3 6" xfId="58521"/>
    <cellStyle name="Обычный 9 8 3 3 6 2" xfId="58522"/>
    <cellStyle name="Обычный 9 8 3 3 7" xfId="58523"/>
    <cellStyle name="Обычный 9 8 3 3 8" xfId="58524"/>
    <cellStyle name="Обычный 9 8 3 4" xfId="58525"/>
    <cellStyle name="Обычный 9 8 3 4 2" xfId="58526"/>
    <cellStyle name="Обычный 9 8 3 4 2 2" xfId="58527"/>
    <cellStyle name="Обычный 9 8 3 4 2 2 2" xfId="58528"/>
    <cellStyle name="Обычный 9 8 3 4 2 2 3" xfId="58529"/>
    <cellStyle name="Обычный 9 8 3 4 2 3" xfId="58530"/>
    <cellStyle name="Обычный 9 8 3 4 2 3 2" xfId="58531"/>
    <cellStyle name="Обычный 9 8 3 4 2 3 3" xfId="58532"/>
    <cellStyle name="Обычный 9 8 3 4 2 4" xfId="58533"/>
    <cellStyle name="Обычный 9 8 3 4 2 4 2" xfId="58534"/>
    <cellStyle name="Обычный 9 8 3 4 2 5" xfId="58535"/>
    <cellStyle name="Обычный 9 8 3 4 2 6" xfId="58536"/>
    <cellStyle name="Обычный 9 8 3 4 3" xfId="58537"/>
    <cellStyle name="Обычный 9 8 3 4 3 2" xfId="58538"/>
    <cellStyle name="Обычный 9 8 3 4 3 3" xfId="58539"/>
    <cellStyle name="Обычный 9 8 3 4 4" xfId="58540"/>
    <cellStyle name="Обычный 9 8 3 4 4 2" xfId="58541"/>
    <cellStyle name="Обычный 9 8 3 4 4 3" xfId="58542"/>
    <cellStyle name="Обычный 9 8 3 4 5" xfId="58543"/>
    <cellStyle name="Обычный 9 8 3 4 5 2" xfId="58544"/>
    <cellStyle name="Обычный 9 8 3 4 6" xfId="58545"/>
    <cellStyle name="Обычный 9 8 3 4 7" xfId="58546"/>
    <cellStyle name="Обычный 9 8 3 5" xfId="58547"/>
    <cellStyle name="Обычный 9 8 3 5 2" xfId="58548"/>
    <cellStyle name="Обычный 9 8 3 5 2 2" xfId="58549"/>
    <cellStyle name="Обычный 9 8 3 5 2 3" xfId="58550"/>
    <cellStyle name="Обычный 9 8 3 5 3" xfId="58551"/>
    <cellStyle name="Обычный 9 8 3 5 3 2" xfId="58552"/>
    <cellStyle name="Обычный 9 8 3 5 3 3" xfId="58553"/>
    <cellStyle name="Обычный 9 8 3 5 4" xfId="58554"/>
    <cellStyle name="Обычный 9 8 3 5 4 2" xfId="58555"/>
    <cellStyle name="Обычный 9 8 3 5 5" xfId="58556"/>
    <cellStyle name="Обычный 9 8 3 5 6" xfId="58557"/>
    <cellStyle name="Обычный 9 8 3 6" xfId="58558"/>
    <cellStyle name="Обычный 9 8 3 6 2" xfId="58559"/>
    <cellStyle name="Обычный 9 8 3 6 3" xfId="58560"/>
    <cellStyle name="Обычный 9 8 3 7" xfId="58561"/>
    <cellStyle name="Обычный 9 8 3 7 2" xfId="58562"/>
    <cellStyle name="Обычный 9 8 3 7 3" xfId="58563"/>
    <cellStyle name="Обычный 9 8 3 8" xfId="58564"/>
    <cellStyle name="Обычный 9 8 3 8 2" xfId="58565"/>
    <cellStyle name="Обычный 9 8 3 9" xfId="58566"/>
    <cellStyle name="Обычный 9 8 4" xfId="58567"/>
    <cellStyle name="Обычный 9 8 4 10" xfId="58568"/>
    <cellStyle name="Обычный 9 8 4 2" xfId="58569"/>
    <cellStyle name="Обычный 9 8 4 2 2" xfId="58570"/>
    <cellStyle name="Обычный 9 8 4 2 2 2" xfId="58571"/>
    <cellStyle name="Обычный 9 8 4 2 2 2 2" xfId="58572"/>
    <cellStyle name="Обычный 9 8 4 2 2 2 2 2" xfId="58573"/>
    <cellStyle name="Обычный 9 8 4 2 2 2 2 2 2" xfId="58574"/>
    <cellStyle name="Обычный 9 8 4 2 2 2 2 2 3" xfId="58575"/>
    <cellStyle name="Обычный 9 8 4 2 2 2 2 3" xfId="58576"/>
    <cellStyle name="Обычный 9 8 4 2 2 2 2 3 2" xfId="58577"/>
    <cellStyle name="Обычный 9 8 4 2 2 2 2 3 3" xfId="58578"/>
    <cellStyle name="Обычный 9 8 4 2 2 2 2 4" xfId="58579"/>
    <cellStyle name="Обычный 9 8 4 2 2 2 2 4 2" xfId="58580"/>
    <cellStyle name="Обычный 9 8 4 2 2 2 2 5" xfId="58581"/>
    <cellStyle name="Обычный 9 8 4 2 2 2 2 6" xfId="58582"/>
    <cellStyle name="Обычный 9 8 4 2 2 2 3" xfId="58583"/>
    <cellStyle name="Обычный 9 8 4 2 2 2 3 2" xfId="58584"/>
    <cellStyle name="Обычный 9 8 4 2 2 2 3 3" xfId="58585"/>
    <cellStyle name="Обычный 9 8 4 2 2 2 4" xfId="58586"/>
    <cellStyle name="Обычный 9 8 4 2 2 2 4 2" xfId="58587"/>
    <cellStyle name="Обычный 9 8 4 2 2 2 4 3" xfId="58588"/>
    <cellStyle name="Обычный 9 8 4 2 2 2 5" xfId="58589"/>
    <cellStyle name="Обычный 9 8 4 2 2 2 5 2" xfId="58590"/>
    <cellStyle name="Обычный 9 8 4 2 2 2 6" xfId="58591"/>
    <cellStyle name="Обычный 9 8 4 2 2 2 7" xfId="58592"/>
    <cellStyle name="Обычный 9 8 4 2 2 3" xfId="58593"/>
    <cellStyle name="Обычный 9 8 4 2 2 3 2" xfId="58594"/>
    <cellStyle name="Обычный 9 8 4 2 2 3 2 2" xfId="58595"/>
    <cellStyle name="Обычный 9 8 4 2 2 3 2 3" xfId="58596"/>
    <cellStyle name="Обычный 9 8 4 2 2 3 3" xfId="58597"/>
    <cellStyle name="Обычный 9 8 4 2 2 3 3 2" xfId="58598"/>
    <cellStyle name="Обычный 9 8 4 2 2 3 3 3" xfId="58599"/>
    <cellStyle name="Обычный 9 8 4 2 2 3 4" xfId="58600"/>
    <cellStyle name="Обычный 9 8 4 2 2 3 4 2" xfId="58601"/>
    <cellStyle name="Обычный 9 8 4 2 2 3 5" xfId="58602"/>
    <cellStyle name="Обычный 9 8 4 2 2 3 6" xfId="58603"/>
    <cellStyle name="Обычный 9 8 4 2 2 4" xfId="58604"/>
    <cellStyle name="Обычный 9 8 4 2 2 4 2" xfId="58605"/>
    <cellStyle name="Обычный 9 8 4 2 2 4 3" xfId="58606"/>
    <cellStyle name="Обычный 9 8 4 2 2 5" xfId="58607"/>
    <cellStyle name="Обычный 9 8 4 2 2 5 2" xfId="58608"/>
    <cellStyle name="Обычный 9 8 4 2 2 5 3" xfId="58609"/>
    <cellStyle name="Обычный 9 8 4 2 2 6" xfId="58610"/>
    <cellStyle name="Обычный 9 8 4 2 2 6 2" xfId="58611"/>
    <cellStyle name="Обычный 9 8 4 2 2 7" xfId="58612"/>
    <cellStyle name="Обычный 9 8 4 2 2 8" xfId="58613"/>
    <cellStyle name="Обычный 9 8 4 2 3" xfId="58614"/>
    <cellStyle name="Обычный 9 8 4 2 3 2" xfId="58615"/>
    <cellStyle name="Обычный 9 8 4 2 3 2 2" xfId="58616"/>
    <cellStyle name="Обычный 9 8 4 2 3 2 2 2" xfId="58617"/>
    <cellStyle name="Обычный 9 8 4 2 3 2 2 3" xfId="58618"/>
    <cellStyle name="Обычный 9 8 4 2 3 2 3" xfId="58619"/>
    <cellStyle name="Обычный 9 8 4 2 3 2 3 2" xfId="58620"/>
    <cellStyle name="Обычный 9 8 4 2 3 2 3 3" xfId="58621"/>
    <cellStyle name="Обычный 9 8 4 2 3 2 4" xfId="58622"/>
    <cellStyle name="Обычный 9 8 4 2 3 2 4 2" xfId="58623"/>
    <cellStyle name="Обычный 9 8 4 2 3 2 5" xfId="58624"/>
    <cellStyle name="Обычный 9 8 4 2 3 2 6" xfId="58625"/>
    <cellStyle name="Обычный 9 8 4 2 3 3" xfId="58626"/>
    <cellStyle name="Обычный 9 8 4 2 3 3 2" xfId="58627"/>
    <cellStyle name="Обычный 9 8 4 2 3 3 3" xfId="58628"/>
    <cellStyle name="Обычный 9 8 4 2 3 4" xfId="58629"/>
    <cellStyle name="Обычный 9 8 4 2 3 4 2" xfId="58630"/>
    <cellStyle name="Обычный 9 8 4 2 3 4 3" xfId="58631"/>
    <cellStyle name="Обычный 9 8 4 2 3 5" xfId="58632"/>
    <cellStyle name="Обычный 9 8 4 2 3 5 2" xfId="58633"/>
    <cellStyle name="Обычный 9 8 4 2 3 6" xfId="58634"/>
    <cellStyle name="Обычный 9 8 4 2 3 7" xfId="58635"/>
    <cellStyle name="Обычный 9 8 4 2 4" xfId="58636"/>
    <cellStyle name="Обычный 9 8 4 2 4 2" xfId="58637"/>
    <cellStyle name="Обычный 9 8 4 2 4 2 2" xfId="58638"/>
    <cellStyle name="Обычный 9 8 4 2 4 2 3" xfId="58639"/>
    <cellStyle name="Обычный 9 8 4 2 4 3" xfId="58640"/>
    <cellStyle name="Обычный 9 8 4 2 4 3 2" xfId="58641"/>
    <cellStyle name="Обычный 9 8 4 2 4 3 3" xfId="58642"/>
    <cellStyle name="Обычный 9 8 4 2 4 4" xfId="58643"/>
    <cellStyle name="Обычный 9 8 4 2 4 4 2" xfId="58644"/>
    <cellStyle name="Обычный 9 8 4 2 4 5" xfId="58645"/>
    <cellStyle name="Обычный 9 8 4 2 4 6" xfId="58646"/>
    <cellStyle name="Обычный 9 8 4 2 5" xfId="58647"/>
    <cellStyle name="Обычный 9 8 4 2 5 2" xfId="58648"/>
    <cellStyle name="Обычный 9 8 4 2 5 3" xfId="58649"/>
    <cellStyle name="Обычный 9 8 4 2 6" xfId="58650"/>
    <cellStyle name="Обычный 9 8 4 2 6 2" xfId="58651"/>
    <cellStyle name="Обычный 9 8 4 2 6 3" xfId="58652"/>
    <cellStyle name="Обычный 9 8 4 2 7" xfId="58653"/>
    <cellStyle name="Обычный 9 8 4 2 7 2" xfId="58654"/>
    <cellStyle name="Обычный 9 8 4 2 8" xfId="58655"/>
    <cellStyle name="Обычный 9 8 4 2 9" xfId="58656"/>
    <cellStyle name="Обычный 9 8 4 3" xfId="58657"/>
    <cellStyle name="Обычный 9 8 4 3 2" xfId="58658"/>
    <cellStyle name="Обычный 9 8 4 3 2 2" xfId="58659"/>
    <cellStyle name="Обычный 9 8 4 3 2 2 2" xfId="58660"/>
    <cellStyle name="Обычный 9 8 4 3 2 2 2 2" xfId="58661"/>
    <cellStyle name="Обычный 9 8 4 3 2 2 2 3" xfId="58662"/>
    <cellStyle name="Обычный 9 8 4 3 2 2 3" xfId="58663"/>
    <cellStyle name="Обычный 9 8 4 3 2 2 3 2" xfId="58664"/>
    <cellStyle name="Обычный 9 8 4 3 2 2 3 3" xfId="58665"/>
    <cellStyle name="Обычный 9 8 4 3 2 2 4" xfId="58666"/>
    <cellStyle name="Обычный 9 8 4 3 2 2 4 2" xfId="58667"/>
    <cellStyle name="Обычный 9 8 4 3 2 2 5" xfId="58668"/>
    <cellStyle name="Обычный 9 8 4 3 2 2 6" xfId="58669"/>
    <cellStyle name="Обычный 9 8 4 3 2 3" xfId="58670"/>
    <cellStyle name="Обычный 9 8 4 3 2 3 2" xfId="58671"/>
    <cellStyle name="Обычный 9 8 4 3 2 3 3" xfId="58672"/>
    <cellStyle name="Обычный 9 8 4 3 2 4" xfId="58673"/>
    <cellStyle name="Обычный 9 8 4 3 2 4 2" xfId="58674"/>
    <cellStyle name="Обычный 9 8 4 3 2 4 3" xfId="58675"/>
    <cellStyle name="Обычный 9 8 4 3 2 5" xfId="58676"/>
    <cellStyle name="Обычный 9 8 4 3 2 5 2" xfId="58677"/>
    <cellStyle name="Обычный 9 8 4 3 2 6" xfId="58678"/>
    <cellStyle name="Обычный 9 8 4 3 2 7" xfId="58679"/>
    <cellStyle name="Обычный 9 8 4 3 3" xfId="58680"/>
    <cellStyle name="Обычный 9 8 4 3 3 2" xfId="58681"/>
    <cellStyle name="Обычный 9 8 4 3 3 2 2" xfId="58682"/>
    <cellStyle name="Обычный 9 8 4 3 3 2 3" xfId="58683"/>
    <cellStyle name="Обычный 9 8 4 3 3 3" xfId="58684"/>
    <cellStyle name="Обычный 9 8 4 3 3 3 2" xfId="58685"/>
    <cellStyle name="Обычный 9 8 4 3 3 3 3" xfId="58686"/>
    <cellStyle name="Обычный 9 8 4 3 3 4" xfId="58687"/>
    <cellStyle name="Обычный 9 8 4 3 3 4 2" xfId="58688"/>
    <cellStyle name="Обычный 9 8 4 3 3 5" xfId="58689"/>
    <cellStyle name="Обычный 9 8 4 3 3 6" xfId="58690"/>
    <cellStyle name="Обычный 9 8 4 3 4" xfId="58691"/>
    <cellStyle name="Обычный 9 8 4 3 4 2" xfId="58692"/>
    <cellStyle name="Обычный 9 8 4 3 4 3" xfId="58693"/>
    <cellStyle name="Обычный 9 8 4 3 5" xfId="58694"/>
    <cellStyle name="Обычный 9 8 4 3 5 2" xfId="58695"/>
    <cellStyle name="Обычный 9 8 4 3 5 3" xfId="58696"/>
    <cellStyle name="Обычный 9 8 4 3 6" xfId="58697"/>
    <cellStyle name="Обычный 9 8 4 3 6 2" xfId="58698"/>
    <cellStyle name="Обычный 9 8 4 3 7" xfId="58699"/>
    <cellStyle name="Обычный 9 8 4 3 8" xfId="58700"/>
    <cellStyle name="Обычный 9 8 4 4" xfId="58701"/>
    <cellStyle name="Обычный 9 8 4 4 2" xfId="58702"/>
    <cellStyle name="Обычный 9 8 4 4 2 2" xfId="58703"/>
    <cellStyle name="Обычный 9 8 4 4 2 2 2" xfId="58704"/>
    <cellStyle name="Обычный 9 8 4 4 2 2 3" xfId="58705"/>
    <cellStyle name="Обычный 9 8 4 4 2 3" xfId="58706"/>
    <cellStyle name="Обычный 9 8 4 4 2 3 2" xfId="58707"/>
    <cellStyle name="Обычный 9 8 4 4 2 3 3" xfId="58708"/>
    <cellStyle name="Обычный 9 8 4 4 2 4" xfId="58709"/>
    <cellStyle name="Обычный 9 8 4 4 2 4 2" xfId="58710"/>
    <cellStyle name="Обычный 9 8 4 4 2 5" xfId="58711"/>
    <cellStyle name="Обычный 9 8 4 4 2 6" xfId="58712"/>
    <cellStyle name="Обычный 9 8 4 4 3" xfId="58713"/>
    <cellStyle name="Обычный 9 8 4 4 3 2" xfId="58714"/>
    <cellStyle name="Обычный 9 8 4 4 3 3" xfId="58715"/>
    <cellStyle name="Обычный 9 8 4 4 4" xfId="58716"/>
    <cellStyle name="Обычный 9 8 4 4 4 2" xfId="58717"/>
    <cellStyle name="Обычный 9 8 4 4 4 3" xfId="58718"/>
    <cellStyle name="Обычный 9 8 4 4 5" xfId="58719"/>
    <cellStyle name="Обычный 9 8 4 4 5 2" xfId="58720"/>
    <cellStyle name="Обычный 9 8 4 4 6" xfId="58721"/>
    <cellStyle name="Обычный 9 8 4 4 7" xfId="58722"/>
    <cellStyle name="Обычный 9 8 4 5" xfId="58723"/>
    <cellStyle name="Обычный 9 8 4 5 2" xfId="58724"/>
    <cellStyle name="Обычный 9 8 4 5 2 2" xfId="58725"/>
    <cellStyle name="Обычный 9 8 4 5 2 3" xfId="58726"/>
    <cellStyle name="Обычный 9 8 4 5 3" xfId="58727"/>
    <cellStyle name="Обычный 9 8 4 5 3 2" xfId="58728"/>
    <cellStyle name="Обычный 9 8 4 5 3 3" xfId="58729"/>
    <cellStyle name="Обычный 9 8 4 5 4" xfId="58730"/>
    <cellStyle name="Обычный 9 8 4 5 4 2" xfId="58731"/>
    <cellStyle name="Обычный 9 8 4 5 5" xfId="58732"/>
    <cellStyle name="Обычный 9 8 4 5 6" xfId="58733"/>
    <cellStyle name="Обычный 9 8 4 6" xfId="58734"/>
    <cellStyle name="Обычный 9 8 4 6 2" xfId="58735"/>
    <cellStyle name="Обычный 9 8 4 6 3" xfId="58736"/>
    <cellStyle name="Обычный 9 8 4 7" xfId="58737"/>
    <cellStyle name="Обычный 9 8 4 7 2" xfId="58738"/>
    <cellStyle name="Обычный 9 8 4 7 3" xfId="58739"/>
    <cellStyle name="Обычный 9 8 4 8" xfId="58740"/>
    <cellStyle name="Обычный 9 8 4 8 2" xfId="58741"/>
    <cellStyle name="Обычный 9 8 4 9" xfId="58742"/>
    <cellStyle name="Обычный 9 8 5" xfId="58743"/>
    <cellStyle name="Обычный 9 8 5 10" xfId="58744"/>
    <cellStyle name="Обычный 9 8 5 2" xfId="58745"/>
    <cellStyle name="Обычный 9 8 5 2 2" xfId="58746"/>
    <cellStyle name="Обычный 9 8 5 2 2 2" xfId="58747"/>
    <cellStyle name="Обычный 9 8 5 2 2 2 2" xfId="58748"/>
    <cellStyle name="Обычный 9 8 5 2 2 2 2 2" xfId="58749"/>
    <cellStyle name="Обычный 9 8 5 2 2 2 2 2 2" xfId="58750"/>
    <cellStyle name="Обычный 9 8 5 2 2 2 2 2 3" xfId="58751"/>
    <cellStyle name="Обычный 9 8 5 2 2 2 2 3" xfId="58752"/>
    <cellStyle name="Обычный 9 8 5 2 2 2 2 3 2" xfId="58753"/>
    <cellStyle name="Обычный 9 8 5 2 2 2 2 3 3" xfId="58754"/>
    <cellStyle name="Обычный 9 8 5 2 2 2 2 4" xfId="58755"/>
    <cellStyle name="Обычный 9 8 5 2 2 2 2 4 2" xfId="58756"/>
    <cellStyle name="Обычный 9 8 5 2 2 2 2 5" xfId="58757"/>
    <cellStyle name="Обычный 9 8 5 2 2 2 2 6" xfId="58758"/>
    <cellStyle name="Обычный 9 8 5 2 2 2 3" xfId="58759"/>
    <cellStyle name="Обычный 9 8 5 2 2 2 3 2" xfId="58760"/>
    <cellStyle name="Обычный 9 8 5 2 2 2 3 3" xfId="58761"/>
    <cellStyle name="Обычный 9 8 5 2 2 2 4" xfId="58762"/>
    <cellStyle name="Обычный 9 8 5 2 2 2 4 2" xfId="58763"/>
    <cellStyle name="Обычный 9 8 5 2 2 2 4 3" xfId="58764"/>
    <cellStyle name="Обычный 9 8 5 2 2 2 5" xfId="58765"/>
    <cellStyle name="Обычный 9 8 5 2 2 2 5 2" xfId="58766"/>
    <cellStyle name="Обычный 9 8 5 2 2 2 6" xfId="58767"/>
    <cellStyle name="Обычный 9 8 5 2 2 2 7" xfId="58768"/>
    <cellStyle name="Обычный 9 8 5 2 2 3" xfId="58769"/>
    <cellStyle name="Обычный 9 8 5 2 2 3 2" xfId="58770"/>
    <cellStyle name="Обычный 9 8 5 2 2 3 2 2" xfId="58771"/>
    <cellStyle name="Обычный 9 8 5 2 2 3 2 3" xfId="58772"/>
    <cellStyle name="Обычный 9 8 5 2 2 3 3" xfId="58773"/>
    <cellStyle name="Обычный 9 8 5 2 2 3 3 2" xfId="58774"/>
    <cellStyle name="Обычный 9 8 5 2 2 3 3 3" xfId="58775"/>
    <cellStyle name="Обычный 9 8 5 2 2 3 4" xfId="58776"/>
    <cellStyle name="Обычный 9 8 5 2 2 3 4 2" xfId="58777"/>
    <cellStyle name="Обычный 9 8 5 2 2 3 5" xfId="58778"/>
    <cellStyle name="Обычный 9 8 5 2 2 3 6" xfId="58779"/>
    <cellStyle name="Обычный 9 8 5 2 2 4" xfId="58780"/>
    <cellStyle name="Обычный 9 8 5 2 2 4 2" xfId="58781"/>
    <cellStyle name="Обычный 9 8 5 2 2 4 3" xfId="58782"/>
    <cellStyle name="Обычный 9 8 5 2 2 5" xfId="58783"/>
    <cellStyle name="Обычный 9 8 5 2 2 5 2" xfId="58784"/>
    <cellStyle name="Обычный 9 8 5 2 2 5 3" xfId="58785"/>
    <cellStyle name="Обычный 9 8 5 2 2 6" xfId="58786"/>
    <cellStyle name="Обычный 9 8 5 2 2 6 2" xfId="58787"/>
    <cellStyle name="Обычный 9 8 5 2 2 7" xfId="58788"/>
    <cellStyle name="Обычный 9 8 5 2 2 8" xfId="58789"/>
    <cellStyle name="Обычный 9 8 5 2 3" xfId="58790"/>
    <cellStyle name="Обычный 9 8 5 2 3 2" xfId="58791"/>
    <cellStyle name="Обычный 9 8 5 2 3 2 2" xfId="58792"/>
    <cellStyle name="Обычный 9 8 5 2 3 2 2 2" xfId="58793"/>
    <cellStyle name="Обычный 9 8 5 2 3 2 2 3" xfId="58794"/>
    <cellStyle name="Обычный 9 8 5 2 3 2 3" xfId="58795"/>
    <cellStyle name="Обычный 9 8 5 2 3 2 3 2" xfId="58796"/>
    <cellStyle name="Обычный 9 8 5 2 3 2 3 3" xfId="58797"/>
    <cellStyle name="Обычный 9 8 5 2 3 2 4" xfId="58798"/>
    <cellStyle name="Обычный 9 8 5 2 3 2 4 2" xfId="58799"/>
    <cellStyle name="Обычный 9 8 5 2 3 2 5" xfId="58800"/>
    <cellStyle name="Обычный 9 8 5 2 3 2 6" xfId="58801"/>
    <cellStyle name="Обычный 9 8 5 2 3 3" xfId="58802"/>
    <cellStyle name="Обычный 9 8 5 2 3 3 2" xfId="58803"/>
    <cellStyle name="Обычный 9 8 5 2 3 3 3" xfId="58804"/>
    <cellStyle name="Обычный 9 8 5 2 3 4" xfId="58805"/>
    <cellStyle name="Обычный 9 8 5 2 3 4 2" xfId="58806"/>
    <cellStyle name="Обычный 9 8 5 2 3 4 3" xfId="58807"/>
    <cellStyle name="Обычный 9 8 5 2 3 5" xfId="58808"/>
    <cellStyle name="Обычный 9 8 5 2 3 5 2" xfId="58809"/>
    <cellStyle name="Обычный 9 8 5 2 3 6" xfId="58810"/>
    <cellStyle name="Обычный 9 8 5 2 3 7" xfId="58811"/>
    <cellStyle name="Обычный 9 8 5 2 4" xfId="58812"/>
    <cellStyle name="Обычный 9 8 5 2 4 2" xfId="58813"/>
    <cellStyle name="Обычный 9 8 5 2 4 2 2" xfId="58814"/>
    <cellStyle name="Обычный 9 8 5 2 4 2 3" xfId="58815"/>
    <cellStyle name="Обычный 9 8 5 2 4 3" xfId="58816"/>
    <cellStyle name="Обычный 9 8 5 2 4 3 2" xfId="58817"/>
    <cellStyle name="Обычный 9 8 5 2 4 3 3" xfId="58818"/>
    <cellStyle name="Обычный 9 8 5 2 4 4" xfId="58819"/>
    <cellStyle name="Обычный 9 8 5 2 4 4 2" xfId="58820"/>
    <cellStyle name="Обычный 9 8 5 2 4 5" xfId="58821"/>
    <cellStyle name="Обычный 9 8 5 2 4 6" xfId="58822"/>
    <cellStyle name="Обычный 9 8 5 2 5" xfId="58823"/>
    <cellStyle name="Обычный 9 8 5 2 5 2" xfId="58824"/>
    <cellStyle name="Обычный 9 8 5 2 5 3" xfId="58825"/>
    <cellStyle name="Обычный 9 8 5 2 6" xfId="58826"/>
    <cellStyle name="Обычный 9 8 5 2 6 2" xfId="58827"/>
    <cellStyle name="Обычный 9 8 5 2 6 3" xfId="58828"/>
    <cellStyle name="Обычный 9 8 5 2 7" xfId="58829"/>
    <cellStyle name="Обычный 9 8 5 2 7 2" xfId="58830"/>
    <cellStyle name="Обычный 9 8 5 2 8" xfId="58831"/>
    <cellStyle name="Обычный 9 8 5 2 9" xfId="58832"/>
    <cellStyle name="Обычный 9 8 5 3" xfId="58833"/>
    <cellStyle name="Обычный 9 8 5 3 2" xfId="58834"/>
    <cellStyle name="Обычный 9 8 5 3 2 2" xfId="58835"/>
    <cellStyle name="Обычный 9 8 5 3 2 2 2" xfId="58836"/>
    <cellStyle name="Обычный 9 8 5 3 2 2 2 2" xfId="58837"/>
    <cellStyle name="Обычный 9 8 5 3 2 2 2 3" xfId="58838"/>
    <cellStyle name="Обычный 9 8 5 3 2 2 3" xfId="58839"/>
    <cellStyle name="Обычный 9 8 5 3 2 2 3 2" xfId="58840"/>
    <cellStyle name="Обычный 9 8 5 3 2 2 3 3" xfId="58841"/>
    <cellStyle name="Обычный 9 8 5 3 2 2 4" xfId="58842"/>
    <cellStyle name="Обычный 9 8 5 3 2 2 4 2" xfId="58843"/>
    <cellStyle name="Обычный 9 8 5 3 2 2 5" xfId="58844"/>
    <cellStyle name="Обычный 9 8 5 3 2 2 6" xfId="58845"/>
    <cellStyle name="Обычный 9 8 5 3 2 3" xfId="58846"/>
    <cellStyle name="Обычный 9 8 5 3 2 3 2" xfId="58847"/>
    <cellStyle name="Обычный 9 8 5 3 2 3 3" xfId="58848"/>
    <cellStyle name="Обычный 9 8 5 3 2 4" xfId="58849"/>
    <cellStyle name="Обычный 9 8 5 3 2 4 2" xfId="58850"/>
    <cellStyle name="Обычный 9 8 5 3 2 4 3" xfId="58851"/>
    <cellStyle name="Обычный 9 8 5 3 2 5" xfId="58852"/>
    <cellStyle name="Обычный 9 8 5 3 2 5 2" xfId="58853"/>
    <cellStyle name="Обычный 9 8 5 3 2 6" xfId="58854"/>
    <cellStyle name="Обычный 9 8 5 3 2 7" xfId="58855"/>
    <cellStyle name="Обычный 9 8 5 3 3" xfId="58856"/>
    <cellStyle name="Обычный 9 8 5 3 3 2" xfId="58857"/>
    <cellStyle name="Обычный 9 8 5 3 3 2 2" xfId="58858"/>
    <cellStyle name="Обычный 9 8 5 3 3 2 3" xfId="58859"/>
    <cellStyle name="Обычный 9 8 5 3 3 3" xfId="58860"/>
    <cellStyle name="Обычный 9 8 5 3 3 3 2" xfId="58861"/>
    <cellStyle name="Обычный 9 8 5 3 3 3 3" xfId="58862"/>
    <cellStyle name="Обычный 9 8 5 3 3 4" xfId="58863"/>
    <cellStyle name="Обычный 9 8 5 3 3 4 2" xfId="58864"/>
    <cellStyle name="Обычный 9 8 5 3 3 5" xfId="58865"/>
    <cellStyle name="Обычный 9 8 5 3 3 6" xfId="58866"/>
    <cellStyle name="Обычный 9 8 5 3 4" xfId="58867"/>
    <cellStyle name="Обычный 9 8 5 3 4 2" xfId="58868"/>
    <cellStyle name="Обычный 9 8 5 3 4 3" xfId="58869"/>
    <cellStyle name="Обычный 9 8 5 3 5" xfId="58870"/>
    <cellStyle name="Обычный 9 8 5 3 5 2" xfId="58871"/>
    <cellStyle name="Обычный 9 8 5 3 5 3" xfId="58872"/>
    <cellStyle name="Обычный 9 8 5 3 6" xfId="58873"/>
    <cellStyle name="Обычный 9 8 5 3 6 2" xfId="58874"/>
    <cellStyle name="Обычный 9 8 5 3 7" xfId="58875"/>
    <cellStyle name="Обычный 9 8 5 3 8" xfId="58876"/>
    <cellStyle name="Обычный 9 8 5 4" xfId="58877"/>
    <cellStyle name="Обычный 9 8 5 4 2" xfId="58878"/>
    <cellStyle name="Обычный 9 8 5 4 2 2" xfId="58879"/>
    <cellStyle name="Обычный 9 8 5 4 2 2 2" xfId="58880"/>
    <cellStyle name="Обычный 9 8 5 4 2 2 3" xfId="58881"/>
    <cellStyle name="Обычный 9 8 5 4 2 3" xfId="58882"/>
    <cellStyle name="Обычный 9 8 5 4 2 3 2" xfId="58883"/>
    <cellStyle name="Обычный 9 8 5 4 2 3 3" xfId="58884"/>
    <cellStyle name="Обычный 9 8 5 4 2 4" xfId="58885"/>
    <cellStyle name="Обычный 9 8 5 4 2 4 2" xfId="58886"/>
    <cellStyle name="Обычный 9 8 5 4 2 5" xfId="58887"/>
    <cellStyle name="Обычный 9 8 5 4 2 6" xfId="58888"/>
    <cellStyle name="Обычный 9 8 5 4 3" xfId="58889"/>
    <cellStyle name="Обычный 9 8 5 4 3 2" xfId="58890"/>
    <cellStyle name="Обычный 9 8 5 4 3 3" xfId="58891"/>
    <cellStyle name="Обычный 9 8 5 4 4" xfId="58892"/>
    <cellStyle name="Обычный 9 8 5 4 4 2" xfId="58893"/>
    <cellStyle name="Обычный 9 8 5 4 4 3" xfId="58894"/>
    <cellStyle name="Обычный 9 8 5 4 5" xfId="58895"/>
    <cellStyle name="Обычный 9 8 5 4 5 2" xfId="58896"/>
    <cellStyle name="Обычный 9 8 5 4 6" xfId="58897"/>
    <cellStyle name="Обычный 9 8 5 4 7" xfId="58898"/>
    <cellStyle name="Обычный 9 8 5 5" xfId="58899"/>
    <cellStyle name="Обычный 9 8 5 5 2" xfId="58900"/>
    <cellStyle name="Обычный 9 8 5 5 2 2" xfId="58901"/>
    <cellStyle name="Обычный 9 8 5 5 2 3" xfId="58902"/>
    <cellStyle name="Обычный 9 8 5 5 3" xfId="58903"/>
    <cellStyle name="Обычный 9 8 5 5 3 2" xfId="58904"/>
    <cellStyle name="Обычный 9 8 5 5 3 3" xfId="58905"/>
    <cellStyle name="Обычный 9 8 5 5 4" xfId="58906"/>
    <cellStyle name="Обычный 9 8 5 5 4 2" xfId="58907"/>
    <cellStyle name="Обычный 9 8 5 5 5" xfId="58908"/>
    <cellStyle name="Обычный 9 8 5 5 6" xfId="58909"/>
    <cellStyle name="Обычный 9 8 5 6" xfId="58910"/>
    <cellStyle name="Обычный 9 8 5 6 2" xfId="58911"/>
    <cellStyle name="Обычный 9 8 5 6 3" xfId="58912"/>
    <cellStyle name="Обычный 9 8 5 7" xfId="58913"/>
    <cellStyle name="Обычный 9 8 5 7 2" xfId="58914"/>
    <cellStyle name="Обычный 9 8 5 7 3" xfId="58915"/>
    <cellStyle name="Обычный 9 8 5 8" xfId="58916"/>
    <cellStyle name="Обычный 9 8 5 8 2" xfId="58917"/>
    <cellStyle name="Обычный 9 8 5 9" xfId="58918"/>
    <cellStyle name="Обычный 9 8 6" xfId="58919"/>
    <cellStyle name="Обычный 9 8 6 2" xfId="58920"/>
    <cellStyle name="Обычный 9 8 6 2 2" xfId="58921"/>
    <cellStyle name="Обычный 9 8 6 2 2 2" xfId="58922"/>
    <cellStyle name="Обычный 9 8 6 2 2 2 2" xfId="58923"/>
    <cellStyle name="Обычный 9 8 6 2 2 2 2 2" xfId="58924"/>
    <cellStyle name="Обычный 9 8 6 2 2 2 2 3" xfId="58925"/>
    <cellStyle name="Обычный 9 8 6 2 2 2 3" xfId="58926"/>
    <cellStyle name="Обычный 9 8 6 2 2 2 3 2" xfId="58927"/>
    <cellStyle name="Обычный 9 8 6 2 2 2 3 3" xfId="58928"/>
    <cellStyle name="Обычный 9 8 6 2 2 2 4" xfId="58929"/>
    <cellStyle name="Обычный 9 8 6 2 2 2 4 2" xfId="58930"/>
    <cellStyle name="Обычный 9 8 6 2 2 2 5" xfId="58931"/>
    <cellStyle name="Обычный 9 8 6 2 2 2 6" xfId="58932"/>
    <cellStyle name="Обычный 9 8 6 2 2 3" xfId="58933"/>
    <cellStyle name="Обычный 9 8 6 2 2 3 2" xfId="58934"/>
    <cellStyle name="Обычный 9 8 6 2 2 3 3" xfId="58935"/>
    <cellStyle name="Обычный 9 8 6 2 2 4" xfId="58936"/>
    <cellStyle name="Обычный 9 8 6 2 2 4 2" xfId="58937"/>
    <cellStyle name="Обычный 9 8 6 2 2 4 3" xfId="58938"/>
    <cellStyle name="Обычный 9 8 6 2 2 5" xfId="58939"/>
    <cellStyle name="Обычный 9 8 6 2 2 5 2" xfId="58940"/>
    <cellStyle name="Обычный 9 8 6 2 2 6" xfId="58941"/>
    <cellStyle name="Обычный 9 8 6 2 2 7" xfId="58942"/>
    <cellStyle name="Обычный 9 8 6 2 3" xfId="58943"/>
    <cellStyle name="Обычный 9 8 6 2 3 2" xfId="58944"/>
    <cellStyle name="Обычный 9 8 6 2 3 2 2" xfId="58945"/>
    <cellStyle name="Обычный 9 8 6 2 3 2 3" xfId="58946"/>
    <cellStyle name="Обычный 9 8 6 2 3 3" xfId="58947"/>
    <cellStyle name="Обычный 9 8 6 2 3 3 2" xfId="58948"/>
    <cellStyle name="Обычный 9 8 6 2 3 3 3" xfId="58949"/>
    <cellStyle name="Обычный 9 8 6 2 3 4" xfId="58950"/>
    <cellStyle name="Обычный 9 8 6 2 3 4 2" xfId="58951"/>
    <cellStyle name="Обычный 9 8 6 2 3 5" xfId="58952"/>
    <cellStyle name="Обычный 9 8 6 2 3 6" xfId="58953"/>
    <cellStyle name="Обычный 9 8 6 2 4" xfId="58954"/>
    <cellStyle name="Обычный 9 8 6 2 4 2" xfId="58955"/>
    <cellStyle name="Обычный 9 8 6 2 4 3" xfId="58956"/>
    <cellStyle name="Обычный 9 8 6 2 5" xfId="58957"/>
    <cellStyle name="Обычный 9 8 6 2 5 2" xfId="58958"/>
    <cellStyle name="Обычный 9 8 6 2 5 3" xfId="58959"/>
    <cellStyle name="Обычный 9 8 6 2 6" xfId="58960"/>
    <cellStyle name="Обычный 9 8 6 2 6 2" xfId="58961"/>
    <cellStyle name="Обычный 9 8 6 2 7" xfId="58962"/>
    <cellStyle name="Обычный 9 8 6 2 8" xfId="58963"/>
    <cellStyle name="Обычный 9 8 6 3" xfId="58964"/>
    <cellStyle name="Обычный 9 8 6 3 2" xfId="58965"/>
    <cellStyle name="Обычный 9 8 6 3 2 2" xfId="58966"/>
    <cellStyle name="Обычный 9 8 6 3 2 2 2" xfId="58967"/>
    <cellStyle name="Обычный 9 8 6 3 2 2 3" xfId="58968"/>
    <cellStyle name="Обычный 9 8 6 3 2 3" xfId="58969"/>
    <cellStyle name="Обычный 9 8 6 3 2 3 2" xfId="58970"/>
    <cellStyle name="Обычный 9 8 6 3 2 3 3" xfId="58971"/>
    <cellStyle name="Обычный 9 8 6 3 2 4" xfId="58972"/>
    <cellStyle name="Обычный 9 8 6 3 2 4 2" xfId="58973"/>
    <cellStyle name="Обычный 9 8 6 3 2 5" xfId="58974"/>
    <cellStyle name="Обычный 9 8 6 3 2 6" xfId="58975"/>
    <cellStyle name="Обычный 9 8 6 3 3" xfId="58976"/>
    <cellStyle name="Обычный 9 8 6 3 3 2" xfId="58977"/>
    <cellStyle name="Обычный 9 8 6 3 3 3" xfId="58978"/>
    <cellStyle name="Обычный 9 8 6 3 4" xfId="58979"/>
    <cellStyle name="Обычный 9 8 6 3 4 2" xfId="58980"/>
    <cellStyle name="Обычный 9 8 6 3 4 3" xfId="58981"/>
    <cellStyle name="Обычный 9 8 6 3 5" xfId="58982"/>
    <cellStyle name="Обычный 9 8 6 3 5 2" xfId="58983"/>
    <cellStyle name="Обычный 9 8 6 3 6" xfId="58984"/>
    <cellStyle name="Обычный 9 8 6 3 7" xfId="58985"/>
    <cellStyle name="Обычный 9 8 6 4" xfId="58986"/>
    <cellStyle name="Обычный 9 8 6 4 2" xfId="58987"/>
    <cellStyle name="Обычный 9 8 6 4 2 2" xfId="58988"/>
    <cellStyle name="Обычный 9 8 6 4 2 3" xfId="58989"/>
    <cellStyle name="Обычный 9 8 6 4 3" xfId="58990"/>
    <cellStyle name="Обычный 9 8 6 4 3 2" xfId="58991"/>
    <cellStyle name="Обычный 9 8 6 4 3 3" xfId="58992"/>
    <cellStyle name="Обычный 9 8 6 4 4" xfId="58993"/>
    <cellStyle name="Обычный 9 8 6 4 4 2" xfId="58994"/>
    <cellStyle name="Обычный 9 8 6 4 5" xfId="58995"/>
    <cellStyle name="Обычный 9 8 6 4 6" xfId="58996"/>
    <cellStyle name="Обычный 9 8 6 5" xfId="58997"/>
    <cellStyle name="Обычный 9 8 6 5 2" xfId="58998"/>
    <cellStyle name="Обычный 9 8 6 5 3" xfId="58999"/>
    <cellStyle name="Обычный 9 8 6 6" xfId="59000"/>
    <cellStyle name="Обычный 9 8 6 6 2" xfId="59001"/>
    <cellStyle name="Обычный 9 8 6 6 3" xfId="59002"/>
    <cellStyle name="Обычный 9 8 6 7" xfId="59003"/>
    <cellStyle name="Обычный 9 8 6 7 2" xfId="59004"/>
    <cellStyle name="Обычный 9 8 6 8" xfId="59005"/>
    <cellStyle name="Обычный 9 8 6 9" xfId="59006"/>
    <cellStyle name="Обычный 9 8 7" xfId="59007"/>
    <cellStyle name="Обычный 9 8 7 2" xfId="59008"/>
    <cellStyle name="Обычный 9 8 7 2 2" xfId="59009"/>
    <cellStyle name="Обычный 9 8 7 2 2 2" xfId="59010"/>
    <cellStyle name="Обычный 9 8 7 2 2 2 2" xfId="59011"/>
    <cellStyle name="Обычный 9 8 7 2 2 2 3" xfId="59012"/>
    <cellStyle name="Обычный 9 8 7 2 2 3" xfId="59013"/>
    <cellStyle name="Обычный 9 8 7 2 2 3 2" xfId="59014"/>
    <cellStyle name="Обычный 9 8 7 2 2 3 3" xfId="59015"/>
    <cellStyle name="Обычный 9 8 7 2 2 4" xfId="59016"/>
    <cellStyle name="Обычный 9 8 7 2 2 4 2" xfId="59017"/>
    <cellStyle name="Обычный 9 8 7 2 2 5" xfId="59018"/>
    <cellStyle name="Обычный 9 8 7 2 2 6" xfId="59019"/>
    <cellStyle name="Обычный 9 8 7 2 3" xfId="59020"/>
    <cellStyle name="Обычный 9 8 7 2 3 2" xfId="59021"/>
    <cellStyle name="Обычный 9 8 7 2 3 3" xfId="59022"/>
    <cellStyle name="Обычный 9 8 7 2 4" xfId="59023"/>
    <cellStyle name="Обычный 9 8 7 2 4 2" xfId="59024"/>
    <cellStyle name="Обычный 9 8 7 2 4 3" xfId="59025"/>
    <cellStyle name="Обычный 9 8 7 2 5" xfId="59026"/>
    <cellStyle name="Обычный 9 8 7 2 5 2" xfId="59027"/>
    <cellStyle name="Обычный 9 8 7 2 6" xfId="59028"/>
    <cellStyle name="Обычный 9 8 7 2 7" xfId="59029"/>
    <cellStyle name="Обычный 9 8 7 3" xfId="59030"/>
    <cellStyle name="Обычный 9 8 7 3 2" xfId="59031"/>
    <cellStyle name="Обычный 9 8 7 3 2 2" xfId="59032"/>
    <cellStyle name="Обычный 9 8 7 3 2 3" xfId="59033"/>
    <cellStyle name="Обычный 9 8 7 3 3" xfId="59034"/>
    <cellStyle name="Обычный 9 8 7 3 3 2" xfId="59035"/>
    <cellStyle name="Обычный 9 8 7 3 3 3" xfId="59036"/>
    <cellStyle name="Обычный 9 8 7 3 4" xfId="59037"/>
    <cellStyle name="Обычный 9 8 7 3 4 2" xfId="59038"/>
    <cellStyle name="Обычный 9 8 7 3 5" xfId="59039"/>
    <cellStyle name="Обычный 9 8 7 3 6" xfId="59040"/>
    <cellStyle name="Обычный 9 8 7 4" xfId="59041"/>
    <cellStyle name="Обычный 9 8 7 4 2" xfId="59042"/>
    <cellStyle name="Обычный 9 8 7 4 3" xfId="59043"/>
    <cellStyle name="Обычный 9 8 7 5" xfId="59044"/>
    <cellStyle name="Обычный 9 8 7 5 2" xfId="59045"/>
    <cellStyle name="Обычный 9 8 7 5 3" xfId="59046"/>
    <cellStyle name="Обычный 9 8 7 6" xfId="59047"/>
    <cellStyle name="Обычный 9 8 7 6 2" xfId="59048"/>
    <cellStyle name="Обычный 9 8 7 7" xfId="59049"/>
    <cellStyle name="Обычный 9 8 7 8" xfId="59050"/>
    <cellStyle name="Обычный 9 8 8" xfId="59051"/>
    <cellStyle name="Обычный 9 8 8 2" xfId="59052"/>
    <cellStyle name="Обычный 9 8 8 2 2" xfId="59053"/>
    <cellStyle name="Обычный 9 8 8 2 2 2" xfId="59054"/>
    <cellStyle name="Обычный 9 8 8 2 2 3" xfId="59055"/>
    <cellStyle name="Обычный 9 8 8 2 3" xfId="59056"/>
    <cellStyle name="Обычный 9 8 8 2 3 2" xfId="59057"/>
    <cellStyle name="Обычный 9 8 8 2 3 3" xfId="59058"/>
    <cellStyle name="Обычный 9 8 8 2 4" xfId="59059"/>
    <cellStyle name="Обычный 9 8 8 2 4 2" xfId="59060"/>
    <cellStyle name="Обычный 9 8 8 2 5" xfId="59061"/>
    <cellStyle name="Обычный 9 8 8 2 6" xfId="59062"/>
    <cellStyle name="Обычный 9 8 8 3" xfId="59063"/>
    <cellStyle name="Обычный 9 8 8 3 2" xfId="59064"/>
    <cellStyle name="Обычный 9 8 8 3 3" xfId="59065"/>
    <cellStyle name="Обычный 9 8 8 4" xfId="59066"/>
    <cellStyle name="Обычный 9 8 8 4 2" xfId="59067"/>
    <cellStyle name="Обычный 9 8 8 4 3" xfId="59068"/>
    <cellStyle name="Обычный 9 8 8 5" xfId="59069"/>
    <cellStyle name="Обычный 9 8 8 5 2" xfId="59070"/>
    <cellStyle name="Обычный 9 8 8 6" xfId="59071"/>
    <cellStyle name="Обычный 9 8 8 7" xfId="59072"/>
    <cellStyle name="Обычный 9 8 9" xfId="59073"/>
    <cellStyle name="Обычный 9 8 9 2" xfId="59074"/>
    <cellStyle name="Обычный 9 8 9 2 2" xfId="59075"/>
    <cellStyle name="Обычный 9 8 9 2 3" xfId="59076"/>
    <cellStyle name="Обычный 9 8 9 3" xfId="59077"/>
    <cellStyle name="Обычный 9 8 9 3 2" xfId="59078"/>
    <cellStyle name="Обычный 9 8 9 3 3" xfId="59079"/>
    <cellStyle name="Обычный 9 8 9 4" xfId="59080"/>
    <cellStyle name="Обычный 9 8 9 4 2" xfId="59081"/>
    <cellStyle name="Обычный 9 8 9 5" xfId="59082"/>
    <cellStyle name="Обычный 9 8 9 6" xfId="59083"/>
    <cellStyle name="Обычный 9 9" xfId="59084"/>
    <cellStyle name="Обычный 9 9 10" xfId="59085"/>
    <cellStyle name="Обычный 9 9 10 2" xfId="59086"/>
    <cellStyle name="Обычный 9 9 10 3" xfId="59087"/>
    <cellStyle name="Обычный 9 9 11" xfId="59088"/>
    <cellStyle name="Обычный 9 9 11 2" xfId="59089"/>
    <cellStyle name="Обычный 9 9 12" xfId="59090"/>
    <cellStyle name="Обычный 9 9 13" xfId="59091"/>
    <cellStyle name="Обычный 9 9 2" xfId="59092"/>
    <cellStyle name="Обычный 9 9 2 10" xfId="59093"/>
    <cellStyle name="Обычный 9 9 2 2" xfId="59094"/>
    <cellStyle name="Обычный 9 9 2 2 2" xfId="59095"/>
    <cellStyle name="Обычный 9 9 2 2 2 2" xfId="59096"/>
    <cellStyle name="Обычный 9 9 2 2 2 2 2" xfId="59097"/>
    <cellStyle name="Обычный 9 9 2 2 2 2 2 2" xfId="59098"/>
    <cellStyle name="Обычный 9 9 2 2 2 2 2 2 2" xfId="59099"/>
    <cellStyle name="Обычный 9 9 2 2 2 2 2 2 3" xfId="59100"/>
    <cellStyle name="Обычный 9 9 2 2 2 2 2 3" xfId="59101"/>
    <cellStyle name="Обычный 9 9 2 2 2 2 2 3 2" xfId="59102"/>
    <cellStyle name="Обычный 9 9 2 2 2 2 2 3 3" xfId="59103"/>
    <cellStyle name="Обычный 9 9 2 2 2 2 2 4" xfId="59104"/>
    <cellStyle name="Обычный 9 9 2 2 2 2 2 4 2" xfId="59105"/>
    <cellStyle name="Обычный 9 9 2 2 2 2 2 5" xfId="59106"/>
    <cellStyle name="Обычный 9 9 2 2 2 2 2 6" xfId="59107"/>
    <cellStyle name="Обычный 9 9 2 2 2 2 3" xfId="59108"/>
    <cellStyle name="Обычный 9 9 2 2 2 2 3 2" xfId="59109"/>
    <cellStyle name="Обычный 9 9 2 2 2 2 3 3" xfId="59110"/>
    <cellStyle name="Обычный 9 9 2 2 2 2 4" xfId="59111"/>
    <cellStyle name="Обычный 9 9 2 2 2 2 4 2" xfId="59112"/>
    <cellStyle name="Обычный 9 9 2 2 2 2 4 3" xfId="59113"/>
    <cellStyle name="Обычный 9 9 2 2 2 2 5" xfId="59114"/>
    <cellStyle name="Обычный 9 9 2 2 2 2 5 2" xfId="59115"/>
    <cellStyle name="Обычный 9 9 2 2 2 2 6" xfId="59116"/>
    <cellStyle name="Обычный 9 9 2 2 2 2 7" xfId="59117"/>
    <cellStyle name="Обычный 9 9 2 2 2 3" xfId="59118"/>
    <cellStyle name="Обычный 9 9 2 2 2 3 2" xfId="59119"/>
    <cellStyle name="Обычный 9 9 2 2 2 3 2 2" xfId="59120"/>
    <cellStyle name="Обычный 9 9 2 2 2 3 2 3" xfId="59121"/>
    <cellStyle name="Обычный 9 9 2 2 2 3 3" xfId="59122"/>
    <cellStyle name="Обычный 9 9 2 2 2 3 3 2" xfId="59123"/>
    <cellStyle name="Обычный 9 9 2 2 2 3 3 3" xfId="59124"/>
    <cellStyle name="Обычный 9 9 2 2 2 3 4" xfId="59125"/>
    <cellStyle name="Обычный 9 9 2 2 2 3 4 2" xfId="59126"/>
    <cellStyle name="Обычный 9 9 2 2 2 3 5" xfId="59127"/>
    <cellStyle name="Обычный 9 9 2 2 2 3 6" xfId="59128"/>
    <cellStyle name="Обычный 9 9 2 2 2 4" xfId="59129"/>
    <cellStyle name="Обычный 9 9 2 2 2 4 2" xfId="59130"/>
    <cellStyle name="Обычный 9 9 2 2 2 4 3" xfId="59131"/>
    <cellStyle name="Обычный 9 9 2 2 2 5" xfId="59132"/>
    <cellStyle name="Обычный 9 9 2 2 2 5 2" xfId="59133"/>
    <cellStyle name="Обычный 9 9 2 2 2 5 3" xfId="59134"/>
    <cellStyle name="Обычный 9 9 2 2 2 6" xfId="59135"/>
    <cellStyle name="Обычный 9 9 2 2 2 6 2" xfId="59136"/>
    <cellStyle name="Обычный 9 9 2 2 2 7" xfId="59137"/>
    <cellStyle name="Обычный 9 9 2 2 2 8" xfId="59138"/>
    <cellStyle name="Обычный 9 9 2 2 3" xfId="59139"/>
    <cellStyle name="Обычный 9 9 2 2 3 2" xfId="59140"/>
    <cellStyle name="Обычный 9 9 2 2 3 2 2" xfId="59141"/>
    <cellStyle name="Обычный 9 9 2 2 3 2 2 2" xfId="59142"/>
    <cellStyle name="Обычный 9 9 2 2 3 2 2 3" xfId="59143"/>
    <cellStyle name="Обычный 9 9 2 2 3 2 3" xfId="59144"/>
    <cellStyle name="Обычный 9 9 2 2 3 2 3 2" xfId="59145"/>
    <cellStyle name="Обычный 9 9 2 2 3 2 3 3" xfId="59146"/>
    <cellStyle name="Обычный 9 9 2 2 3 2 4" xfId="59147"/>
    <cellStyle name="Обычный 9 9 2 2 3 2 4 2" xfId="59148"/>
    <cellStyle name="Обычный 9 9 2 2 3 2 5" xfId="59149"/>
    <cellStyle name="Обычный 9 9 2 2 3 2 6" xfId="59150"/>
    <cellStyle name="Обычный 9 9 2 2 3 3" xfId="59151"/>
    <cellStyle name="Обычный 9 9 2 2 3 3 2" xfId="59152"/>
    <cellStyle name="Обычный 9 9 2 2 3 3 3" xfId="59153"/>
    <cellStyle name="Обычный 9 9 2 2 3 4" xfId="59154"/>
    <cellStyle name="Обычный 9 9 2 2 3 4 2" xfId="59155"/>
    <cellStyle name="Обычный 9 9 2 2 3 4 3" xfId="59156"/>
    <cellStyle name="Обычный 9 9 2 2 3 5" xfId="59157"/>
    <cellStyle name="Обычный 9 9 2 2 3 5 2" xfId="59158"/>
    <cellStyle name="Обычный 9 9 2 2 3 6" xfId="59159"/>
    <cellStyle name="Обычный 9 9 2 2 3 7" xfId="59160"/>
    <cellStyle name="Обычный 9 9 2 2 4" xfId="59161"/>
    <cellStyle name="Обычный 9 9 2 2 4 2" xfId="59162"/>
    <cellStyle name="Обычный 9 9 2 2 4 2 2" xfId="59163"/>
    <cellStyle name="Обычный 9 9 2 2 4 2 3" xfId="59164"/>
    <cellStyle name="Обычный 9 9 2 2 4 3" xfId="59165"/>
    <cellStyle name="Обычный 9 9 2 2 4 3 2" xfId="59166"/>
    <cellStyle name="Обычный 9 9 2 2 4 3 3" xfId="59167"/>
    <cellStyle name="Обычный 9 9 2 2 4 4" xfId="59168"/>
    <cellStyle name="Обычный 9 9 2 2 4 4 2" xfId="59169"/>
    <cellStyle name="Обычный 9 9 2 2 4 5" xfId="59170"/>
    <cellStyle name="Обычный 9 9 2 2 4 6" xfId="59171"/>
    <cellStyle name="Обычный 9 9 2 2 5" xfId="59172"/>
    <cellStyle name="Обычный 9 9 2 2 5 2" xfId="59173"/>
    <cellStyle name="Обычный 9 9 2 2 5 3" xfId="59174"/>
    <cellStyle name="Обычный 9 9 2 2 6" xfId="59175"/>
    <cellStyle name="Обычный 9 9 2 2 6 2" xfId="59176"/>
    <cellStyle name="Обычный 9 9 2 2 6 3" xfId="59177"/>
    <cellStyle name="Обычный 9 9 2 2 7" xfId="59178"/>
    <cellStyle name="Обычный 9 9 2 2 7 2" xfId="59179"/>
    <cellStyle name="Обычный 9 9 2 2 8" xfId="59180"/>
    <cellStyle name="Обычный 9 9 2 2 9" xfId="59181"/>
    <cellStyle name="Обычный 9 9 2 3" xfId="59182"/>
    <cellStyle name="Обычный 9 9 2 3 2" xfId="59183"/>
    <cellStyle name="Обычный 9 9 2 3 2 2" xfId="59184"/>
    <cellStyle name="Обычный 9 9 2 3 2 2 2" xfId="59185"/>
    <cellStyle name="Обычный 9 9 2 3 2 2 2 2" xfId="59186"/>
    <cellStyle name="Обычный 9 9 2 3 2 2 2 3" xfId="59187"/>
    <cellStyle name="Обычный 9 9 2 3 2 2 3" xfId="59188"/>
    <cellStyle name="Обычный 9 9 2 3 2 2 3 2" xfId="59189"/>
    <cellStyle name="Обычный 9 9 2 3 2 2 3 3" xfId="59190"/>
    <cellStyle name="Обычный 9 9 2 3 2 2 4" xfId="59191"/>
    <cellStyle name="Обычный 9 9 2 3 2 2 4 2" xfId="59192"/>
    <cellStyle name="Обычный 9 9 2 3 2 2 5" xfId="59193"/>
    <cellStyle name="Обычный 9 9 2 3 2 2 6" xfId="59194"/>
    <cellStyle name="Обычный 9 9 2 3 2 3" xfId="59195"/>
    <cellStyle name="Обычный 9 9 2 3 2 3 2" xfId="59196"/>
    <cellStyle name="Обычный 9 9 2 3 2 3 3" xfId="59197"/>
    <cellStyle name="Обычный 9 9 2 3 2 4" xfId="59198"/>
    <cellStyle name="Обычный 9 9 2 3 2 4 2" xfId="59199"/>
    <cellStyle name="Обычный 9 9 2 3 2 4 3" xfId="59200"/>
    <cellStyle name="Обычный 9 9 2 3 2 5" xfId="59201"/>
    <cellStyle name="Обычный 9 9 2 3 2 5 2" xfId="59202"/>
    <cellStyle name="Обычный 9 9 2 3 2 6" xfId="59203"/>
    <cellStyle name="Обычный 9 9 2 3 2 7" xfId="59204"/>
    <cellStyle name="Обычный 9 9 2 3 3" xfId="59205"/>
    <cellStyle name="Обычный 9 9 2 3 3 2" xfId="59206"/>
    <cellStyle name="Обычный 9 9 2 3 3 2 2" xfId="59207"/>
    <cellStyle name="Обычный 9 9 2 3 3 2 3" xfId="59208"/>
    <cellStyle name="Обычный 9 9 2 3 3 3" xfId="59209"/>
    <cellStyle name="Обычный 9 9 2 3 3 3 2" xfId="59210"/>
    <cellStyle name="Обычный 9 9 2 3 3 3 3" xfId="59211"/>
    <cellStyle name="Обычный 9 9 2 3 3 4" xfId="59212"/>
    <cellStyle name="Обычный 9 9 2 3 3 4 2" xfId="59213"/>
    <cellStyle name="Обычный 9 9 2 3 3 5" xfId="59214"/>
    <cellStyle name="Обычный 9 9 2 3 3 6" xfId="59215"/>
    <cellStyle name="Обычный 9 9 2 3 4" xfId="59216"/>
    <cellStyle name="Обычный 9 9 2 3 4 2" xfId="59217"/>
    <cellStyle name="Обычный 9 9 2 3 4 3" xfId="59218"/>
    <cellStyle name="Обычный 9 9 2 3 5" xfId="59219"/>
    <cellStyle name="Обычный 9 9 2 3 5 2" xfId="59220"/>
    <cellStyle name="Обычный 9 9 2 3 5 3" xfId="59221"/>
    <cellStyle name="Обычный 9 9 2 3 6" xfId="59222"/>
    <cellStyle name="Обычный 9 9 2 3 6 2" xfId="59223"/>
    <cellStyle name="Обычный 9 9 2 3 7" xfId="59224"/>
    <cellStyle name="Обычный 9 9 2 3 8" xfId="59225"/>
    <cellStyle name="Обычный 9 9 2 4" xfId="59226"/>
    <cellStyle name="Обычный 9 9 2 4 2" xfId="59227"/>
    <cellStyle name="Обычный 9 9 2 4 2 2" xfId="59228"/>
    <cellStyle name="Обычный 9 9 2 4 2 2 2" xfId="59229"/>
    <cellStyle name="Обычный 9 9 2 4 2 2 3" xfId="59230"/>
    <cellStyle name="Обычный 9 9 2 4 2 3" xfId="59231"/>
    <cellStyle name="Обычный 9 9 2 4 2 3 2" xfId="59232"/>
    <cellStyle name="Обычный 9 9 2 4 2 3 3" xfId="59233"/>
    <cellStyle name="Обычный 9 9 2 4 2 4" xfId="59234"/>
    <cellStyle name="Обычный 9 9 2 4 2 4 2" xfId="59235"/>
    <cellStyle name="Обычный 9 9 2 4 2 5" xfId="59236"/>
    <cellStyle name="Обычный 9 9 2 4 2 6" xfId="59237"/>
    <cellStyle name="Обычный 9 9 2 4 3" xfId="59238"/>
    <cellStyle name="Обычный 9 9 2 4 3 2" xfId="59239"/>
    <cellStyle name="Обычный 9 9 2 4 3 3" xfId="59240"/>
    <cellStyle name="Обычный 9 9 2 4 4" xfId="59241"/>
    <cellStyle name="Обычный 9 9 2 4 4 2" xfId="59242"/>
    <cellStyle name="Обычный 9 9 2 4 4 3" xfId="59243"/>
    <cellStyle name="Обычный 9 9 2 4 5" xfId="59244"/>
    <cellStyle name="Обычный 9 9 2 4 5 2" xfId="59245"/>
    <cellStyle name="Обычный 9 9 2 4 6" xfId="59246"/>
    <cellStyle name="Обычный 9 9 2 4 7" xfId="59247"/>
    <cellStyle name="Обычный 9 9 2 5" xfId="59248"/>
    <cellStyle name="Обычный 9 9 2 5 2" xfId="59249"/>
    <cellStyle name="Обычный 9 9 2 5 2 2" xfId="59250"/>
    <cellStyle name="Обычный 9 9 2 5 2 3" xfId="59251"/>
    <cellStyle name="Обычный 9 9 2 5 3" xfId="59252"/>
    <cellStyle name="Обычный 9 9 2 5 3 2" xfId="59253"/>
    <cellStyle name="Обычный 9 9 2 5 3 3" xfId="59254"/>
    <cellStyle name="Обычный 9 9 2 5 4" xfId="59255"/>
    <cellStyle name="Обычный 9 9 2 5 4 2" xfId="59256"/>
    <cellStyle name="Обычный 9 9 2 5 5" xfId="59257"/>
    <cellStyle name="Обычный 9 9 2 5 6" xfId="59258"/>
    <cellStyle name="Обычный 9 9 2 6" xfId="59259"/>
    <cellStyle name="Обычный 9 9 2 6 2" xfId="59260"/>
    <cellStyle name="Обычный 9 9 2 6 3" xfId="59261"/>
    <cellStyle name="Обычный 9 9 2 7" xfId="59262"/>
    <cellStyle name="Обычный 9 9 2 7 2" xfId="59263"/>
    <cellStyle name="Обычный 9 9 2 7 3" xfId="59264"/>
    <cellStyle name="Обычный 9 9 2 8" xfId="59265"/>
    <cellStyle name="Обычный 9 9 2 8 2" xfId="59266"/>
    <cellStyle name="Обычный 9 9 2 9" xfId="59267"/>
    <cellStyle name="Обычный 9 9 3" xfId="59268"/>
    <cellStyle name="Обычный 9 9 3 10" xfId="59269"/>
    <cellStyle name="Обычный 9 9 3 2" xfId="59270"/>
    <cellStyle name="Обычный 9 9 3 2 2" xfId="59271"/>
    <cellStyle name="Обычный 9 9 3 2 2 2" xfId="59272"/>
    <cellStyle name="Обычный 9 9 3 2 2 2 2" xfId="59273"/>
    <cellStyle name="Обычный 9 9 3 2 2 2 2 2" xfId="59274"/>
    <cellStyle name="Обычный 9 9 3 2 2 2 2 2 2" xfId="59275"/>
    <cellStyle name="Обычный 9 9 3 2 2 2 2 2 3" xfId="59276"/>
    <cellStyle name="Обычный 9 9 3 2 2 2 2 3" xfId="59277"/>
    <cellStyle name="Обычный 9 9 3 2 2 2 2 3 2" xfId="59278"/>
    <cellStyle name="Обычный 9 9 3 2 2 2 2 3 3" xfId="59279"/>
    <cellStyle name="Обычный 9 9 3 2 2 2 2 4" xfId="59280"/>
    <cellStyle name="Обычный 9 9 3 2 2 2 2 4 2" xfId="59281"/>
    <cellStyle name="Обычный 9 9 3 2 2 2 2 5" xfId="59282"/>
    <cellStyle name="Обычный 9 9 3 2 2 2 2 6" xfId="59283"/>
    <cellStyle name="Обычный 9 9 3 2 2 2 3" xfId="59284"/>
    <cellStyle name="Обычный 9 9 3 2 2 2 3 2" xfId="59285"/>
    <cellStyle name="Обычный 9 9 3 2 2 2 3 3" xfId="59286"/>
    <cellStyle name="Обычный 9 9 3 2 2 2 4" xfId="59287"/>
    <cellStyle name="Обычный 9 9 3 2 2 2 4 2" xfId="59288"/>
    <cellStyle name="Обычный 9 9 3 2 2 2 4 3" xfId="59289"/>
    <cellStyle name="Обычный 9 9 3 2 2 2 5" xfId="59290"/>
    <cellStyle name="Обычный 9 9 3 2 2 2 5 2" xfId="59291"/>
    <cellStyle name="Обычный 9 9 3 2 2 2 6" xfId="59292"/>
    <cellStyle name="Обычный 9 9 3 2 2 2 7" xfId="59293"/>
    <cellStyle name="Обычный 9 9 3 2 2 3" xfId="59294"/>
    <cellStyle name="Обычный 9 9 3 2 2 3 2" xfId="59295"/>
    <cellStyle name="Обычный 9 9 3 2 2 3 2 2" xfId="59296"/>
    <cellStyle name="Обычный 9 9 3 2 2 3 2 3" xfId="59297"/>
    <cellStyle name="Обычный 9 9 3 2 2 3 3" xfId="59298"/>
    <cellStyle name="Обычный 9 9 3 2 2 3 3 2" xfId="59299"/>
    <cellStyle name="Обычный 9 9 3 2 2 3 3 3" xfId="59300"/>
    <cellStyle name="Обычный 9 9 3 2 2 3 4" xfId="59301"/>
    <cellStyle name="Обычный 9 9 3 2 2 3 4 2" xfId="59302"/>
    <cellStyle name="Обычный 9 9 3 2 2 3 5" xfId="59303"/>
    <cellStyle name="Обычный 9 9 3 2 2 3 6" xfId="59304"/>
    <cellStyle name="Обычный 9 9 3 2 2 4" xfId="59305"/>
    <cellStyle name="Обычный 9 9 3 2 2 4 2" xfId="59306"/>
    <cellStyle name="Обычный 9 9 3 2 2 4 3" xfId="59307"/>
    <cellStyle name="Обычный 9 9 3 2 2 5" xfId="59308"/>
    <cellStyle name="Обычный 9 9 3 2 2 5 2" xfId="59309"/>
    <cellStyle name="Обычный 9 9 3 2 2 5 3" xfId="59310"/>
    <cellStyle name="Обычный 9 9 3 2 2 6" xfId="59311"/>
    <cellStyle name="Обычный 9 9 3 2 2 6 2" xfId="59312"/>
    <cellStyle name="Обычный 9 9 3 2 2 7" xfId="59313"/>
    <cellStyle name="Обычный 9 9 3 2 2 8" xfId="59314"/>
    <cellStyle name="Обычный 9 9 3 2 3" xfId="59315"/>
    <cellStyle name="Обычный 9 9 3 2 3 2" xfId="59316"/>
    <cellStyle name="Обычный 9 9 3 2 3 2 2" xfId="59317"/>
    <cellStyle name="Обычный 9 9 3 2 3 2 2 2" xfId="59318"/>
    <cellStyle name="Обычный 9 9 3 2 3 2 2 3" xfId="59319"/>
    <cellStyle name="Обычный 9 9 3 2 3 2 3" xfId="59320"/>
    <cellStyle name="Обычный 9 9 3 2 3 2 3 2" xfId="59321"/>
    <cellStyle name="Обычный 9 9 3 2 3 2 3 3" xfId="59322"/>
    <cellStyle name="Обычный 9 9 3 2 3 2 4" xfId="59323"/>
    <cellStyle name="Обычный 9 9 3 2 3 2 4 2" xfId="59324"/>
    <cellStyle name="Обычный 9 9 3 2 3 2 5" xfId="59325"/>
    <cellStyle name="Обычный 9 9 3 2 3 2 6" xfId="59326"/>
    <cellStyle name="Обычный 9 9 3 2 3 3" xfId="59327"/>
    <cellStyle name="Обычный 9 9 3 2 3 3 2" xfId="59328"/>
    <cellStyle name="Обычный 9 9 3 2 3 3 3" xfId="59329"/>
    <cellStyle name="Обычный 9 9 3 2 3 4" xfId="59330"/>
    <cellStyle name="Обычный 9 9 3 2 3 4 2" xfId="59331"/>
    <cellStyle name="Обычный 9 9 3 2 3 4 3" xfId="59332"/>
    <cellStyle name="Обычный 9 9 3 2 3 5" xfId="59333"/>
    <cellStyle name="Обычный 9 9 3 2 3 5 2" xfId="59334"/>
    <cellStyle name="Обычный 9 9 3 2 3 6" xfId="59335"/>
    <cellStyle name="Обычный 9 9 3 2 3 7" xfId="59336"/>
    <cellStyle name="Обычный 9 9 3 2 4" xfId="59337"/>
    <cellStyle name="Обычный 9 9 3 2 4 2" xfId="59338"/>
    <cellStyle name="Обычный 9 9 3 2 4 2 2" xfId="59339"/>
    <cellStyle name="Обычный 9 9 3 2 4 2 3" xfId="59340"/>
    <cellStyle name="Обычный 9 9 3 2 4 3" xfId="59341"/>
    <cellStyle name="Обычный 9 9 3 2 4 3 2" xfId="59342"/>
    <cellStyle name="Обычный 9 9 3 2 4 3 3" xfId="59343"/>
    <cellStyle name="Обычный 9 9 3 2 4 4" xfId="59344"/>
    <cellStyle name="Обычный 9 9 3 2 4 4 2" xfId="59345"/>
    <cellStyle name="Обычный 9 9 3 2 4 5" xfId="59346"/>
    <cellStyle name="Обычный 9 9 3 2 4 6" xfId="59347"/>
    <cellStyle name="Обычный 9 9 3 2 5" xfId="59348"/>
    <cellStyle name="Обычный 9 9 3 2 5 2" xfId="59349"/>
    <cellStyle name="Обычный 9 9 3 2 5 3" xfId="59350"/>
    <cellStyle name="Обычный 9 9 3 2 6" xfId="59351"/>
    <cellStyle name="Обычный 9 9 3 2 6 2" xfId="59352"/>
    <cellStyle name="Обычный 9 9 3 2 6 3" xfId="59353"/>
    <cellStyle name="Обычный 9 9 3 2 7" xfId="59354"/>
    <cellStyle name="Обычный 9 9 3 2 7 2" xfId="59355"/>
    <cellStyle name="Обычный 9 9 3 2 8" xfId="59356"/>
    <cellStyle name="Обычный 9 9 3 2 9" xfId="59357"/>
    <cellStyle name="Обычный 9 9 3 3" xfId="59358"/>
    <cellStyle name="Обычный 9 9 3 3 2" xfId="59359"/>
    <cellStyle name="Обычный 9 9 3 3 2 2" xfId="59360"/>
    <cellStyle name="Обычный 9 9 3 3 2 2 2" xfId="59361"/>
    <cellStyle name="Обычный 9 9 3 3 2 2 2 2" xfId="59362"/>
    <cellStyle name="Обычный 9 9 3 3 2 2 2 3" xfId="59363"/>
    <cellStyle name="Обычный 9 9 3 3 2 2 3" xfId="59364"/>
    <cellStyle name="Обычный 9 9 3 3 2 2 3 2" xfId="59365"/>
    <cellStyle name="Обычный 9 9 3 3 2 2 3 3" xfId="59366"/>
    <cellStyle name="Обычный 9 9 3 3 2 2 4" xfId="59367"/>
    <cellStyle name="Обычный 9 9 3 3 2 2 4 2" xfId="59368"/>
    <cellStyle name="Обычный 9 9 3 3 2 2 5" xfId="59369"/>
    <cellStyle name="Обычный 9 9 3 3 2 2 6" xfId="59370"/>
    <cellStyle name="Обычный 9 9 3 3 2 3" xfId="59371"/>
    <cellStyle name="Обычный 9 9 3 3 2 3 2" xfId="59372"/>
    <cellStyle name="Обычный 9 9 3 3 2 3 3" xfId="59373"/>
    <cellStyle name="Обычный 9 9 3 3 2 4" xfId="59374"/>
    <cellStyle name="Обычный 9 9 3 3 2 4 2" xfId="59375"/>
    <cellStyle name="Обычный 9 9 3 3 2 4 3" xfId="59376"/>
    <cellStyle name="Обычный 9 9 3 3 2 5" xfId="59377"/>
    <cellStyle name="Обычный 9 9 3 3 2 5 2" xfId="59378"/>
    <cellStyle name="Обычный 9 9 3 3 2 6" xfId="59379"/>
    <cellStyle name="Обычный 9 9 3 3 2 7" xfId="59380"/>
    <cellStyle name="Обычный 9 9 3 3 3" xfId="59381"/>
    <cellStyle name="Обычный 9 9 3 3 3 2" xfId="59382"/>
    <cellStyle name="Обычный 9 9 3 3 3 2 2" xfId="59383"/>
    <cellStyle name="Обычный 9 9 3 3 3 2 3" xfId="59384"/>
    <cellStyle name="Обычный 9 9 3 3 3 3" xfId="59385"/>
    <cellStyle name="Обычный 9 9 3 3 3 3 2" xfId="59386"/>
    <cellStyle name="Обычный 9 9 3 3 3 3 3" xfId="59387"/>
    <cellStyle name="Обычный 9 9 3 3 3 4" xfId="59388"/>
    <cellStyle name="Обычный 9 9 3 3 3 4 2" xfId="59389"/>
    <cellStyle name="Обычный 9 9 3 3 3 5" xfId="59390"/>
    <cellStyle name="Обычный 9 9 3 3 3 6" xfId="59391"/>
    <cellStyle name="Обычный 9 9 3 3 4" xfId="59392"/>
    <cellStyle name="Обычный 9 9 3 3 4 2" xfId="59393"/>
    <cellStyle name="Обычный 9 9 3 3 4 3" xfId="59394"/>
    <cellStyle name="Обычный 9 9 3 3 5" xfId="59395"/>
    <cellStyle name="Обычный 9 9 3 3 5 2" xfId="59396"/>
    <cellStyle name="Обычный 9 9 3 3 5 3" xfId="59397"/>
    <cellStyle name="Обычный 9 9 3 3 6" xfId="59398"/>
    <cellStyle name="Обычный 9 9 3 3 6 2" xfId="59399"/>
    <cellStyle name="Обычный 9 9 3 3 7" xfId="59400"/>
    <cellStyle name="Обычный 9 9 3 3 8" xfId="59401"/>
    <cellStyle name="Обычный 9 9 3 4" xfId="59402"/>
    <cellStyle name="Обычный 9 9 3 4 2" xfId="59403"/>
    <cellStyle name="Обычный 9 9 3 4 2 2" xfId="59404"/>
    <cellStyle name="Обычный 9 9 3 4 2 2 2" xfId="59405"/>
    <cellStyle name="Обычный 9 9 3 4 2 2 3" xfId="59406"/>
    <cellStyle name="Обычный 9 9 3 4 2 3" xfId="59407"/>
    <cellStyle name="Обычный 9 9 3 4 2 3 2" xfId="59408"/>
    <cellStyle name="Обычный 9 9 3 4 2 3 3" xfId="59409"/>
    <cellStyle name="Обычный 9 9 3 4 2 4" xfId="59410"/>
    <cellStyle name="Обычный 9 9 3 4 2 4 2" xfId="59411"/>
    <cellStyle name="Обычный 9 9 3 4 2 5" xfId="59412"/>
    <cellStyle name="Обычный 9 9 3 4 2 6" xfId="59413"/>
    <cellStyle name="Обычный 9 9 3 4 3" xfId="59414"/>
    <cellStyle name="Обычный 9 9 3 4 3 2" xfId="59415"/>
    <cellStyle name="Обычный 9 9 3 4 3 3" xfId="59416"/>
    <cellStyle name="Обычный 9 9 3 4 4" xfId="59417"/>
    <cellStyle name="Обычный 9 9 3 4 4 2" xfId="59418"/>
    <cellStyle name="Обычный 9 9 3 4 4 3" xfId="59419"/>
    <cellStyle name="Обычный 9 9 3 4 5" xfId="59420"/>
    <cellStyle name="Обычный 9 9 3 4 5 2" xfId="59421"/>
    <cellStyle name="Обычный 9 9 3 4 6" xfId="59422"/>
    <cellStyle name="Обычный 9 9 3 4 7" xfId="59423"/>
    <cellStyle name="Обычный 9 9 3 5" xfId="59424"/>
    <cellStyle name="Обычный 9 9 3 5 2" xfId="59425"/>
    <cellStyle name="Обычный 9 9 3 5 2 2" xfId="59426"/>
    <cellStyle name="Обычный 9 9 3 5 2 3" xfId="59427"/>
    <cellStyle name="Обычный 9 9 3 5 3" xfId="59428"/>
    <cellStyle name="Обычный 9 9 3 5 3 2" xfId="59429"/>
    <cellStyle name="Обычный 9 9 3 5 3 3" xfId="59430"/>
    <cellStyle name="Обычный 9 9 3 5 4" xfId="59431"/>
    <cellStyle name="Обычный 9 9 3 5 4 2" xfId="59432"/>
    <cellStyle name="Обычный 9 9 3 5 5" xfId="59433"/>
    <cellStyle name="Обычный 9 9 3 5 6" xfId="59434"/>
    <cellStyle name="Обычный 9 9 3 6" xfId="59435"/>
    <cellStyle name="Обычный 9 9 3 6 2" xfId="59436"/>
    <cellStyle name="Обычный 9 9 3 6 3" xfId="59437"/>
    <cellStyle name="Обычный 9 9 3 7" xfId="59438"/>
    <cellStyle name="Обычный 9 9 3 7 2" xfId="59439"/>
    <cellStyle name="Обычный 9 9 3 7 3" xfId="59440"/>
    <cellStyle name="Обычный 9 9 3 8" xfId="59441"/>
    <cellStyle name="Обычный 9 9 3 8 2" xfId="59442"/>
    <cellStyle name="Обычный 9 9 3 9" xfId="59443"/>
    <cellStyle name="Обычный 9 9 4" xfId="59444"/>
    <cellStyle name="Обычный 9 9 4 10" xfId="59445"/>
    <cellStyle name="Обычный 9 9 4 2" xfId="59446"/>
    <cellStyle name="Обычный 9 9 4 2 2" xfId="59447"/>
    <cellStyle name="Обычный 9 9 4 2 2 2" xfId="59448"/>
    <cellStyle name="Обычный 9 9 4 2 2 2 2" xfId="59449"/>
    <cellStyle name="Обычный 9 9 4 2 2 2 2 2" xfId="59450"/>
    <cellStyle name="Обычный 9 9 4 2 2 2 2 2 2" xfId="59451"/>
    <cellStyle name="Обычный 9 9 4 2 2 2 2 2 3" xfId="59452"/>
    <cellStyle name="Обычный 9 9 4 2 2 2 2 3" xfId="59453"/>
    <cellStyle name="Обычный 9 9 4 2 2 2 2 3 2" xfId="59454"/>
    <cellStyle name="Обычный 9 9 4 2 2 2 2 3 3" xfId="59455"/>
    <cellStyle name="Обычный 9 9 4 2 2 2 2 4" xfId="59456"/>
    <cellStyle name="Обычный 9 9 4 2 2 2 2 4 2" xfId="59457"/>
    <cellStyle name="Обычный 9 9 4 2 2 2 2 5" xfId="59458"/>
    <cellStyle name="Обычный 9 9 4 2 2 2 2 6" xfId="59459"/>
    <cellStyle name="Обычный 9 9 4 2 2 2 3" xfId="59460"/>
    <cellStyle name="Обычный 9 9 4 2 2 2 3 2" xfId="59461"/>
    <cellStyle name="Обычный 9 9 4 2 2 2 3 3" xfId="59462"/>
    <cellStyle name="Обычный 9 9 4 2 2 2 4" xfId="59463"/>
    <cellStyle name="Обычный 9 9 4 2 2 2 4 2" xfId="59464"/>
    <cellStyle name="Обычный 9 9 4 2 2 2 4 3" xfId="59465"/>
    <cellStyle name="Обычный 9 9 4 2 2 2 5" xfId="59466"/>
    <cellStyle name="Обычный 9 9 4 2 2 2 5 2" xfId="59467"/>
    <cellStyle name="Обычный 9 9 4 2 2 2 6" xfId="59468"/>
    <cellStyle name="Обычный 9 9 4 2 2 2 7" xfId="59469"/>
    <cellStyle name="Обычный 9 9 4 2 2 3" xfId="59470"/>
    <cellStyle name="Обычный 9 9 4 2 2 3 2" xfId="59471"/>
    <cellStyle name="Обычный 9 9 4 2 2 3 2 2" xfId="59472"/>
    <cellStyle name="Обычный 9 9 4 2 2 3 2 3" xfId="59473"/>
    <cellStyle name="Обычный 9 9 4 2 2 3 3" xfId="59474"/>
    <cellStyle name="Обычный 9 9 4 2 2 3 3 2" xfId="59475"/>
    <cellStyle name="Обычный 9 9 4 2 2 3 3 3" xfId="59476"/>
    <cellStyle name="Обычный 9 9 4 2 2 3 4" xfId="59477"/>
    <cellStyle name="Обычный 9 9 4 2 2 3 4 2" xfId="59478"/>
    <cellStyle name="Обычный 9 9 4 2 2 3 5" xfId="59479"/>
    <cellStyle name="Обычный 9 9 4 2 2 3 6" xfId="59480"/>
    <cellStyle name="Обычный 9 9 4 2 2 4" xfId="59481"/>
    <cellStyle name="Обычный 9 9 4 2 2 4 2" xfId="59482"/>
    <cellStyle name="Обычный 9 9 4 2 2 4 3" xfId="59483"/>
    <cellStyle name="Обычный 9 9 4 2 2 5" xfId="59484"/>
    <cellStyle name="Обычный 9 9 4 2 2 5 2" xfId="59485"/>
    <cellStyle name="Обычный 9 9 4 2 2 5 3" xfId="59486"/>
    <cellStyle name="Обычный 9 9 4 2 2 6" xfId="59487"/>
    <cellStyle name="Обычный 9 9 4 2 2 6 2" xfId="59488"/>
    <cellStyle name="Обычный 9 9 4 2 2 7" xfId="59489"/>
    <cellStyle name="Обычный 9 9 4 2 2 8" xfId="59490"/>
    <cellStyle name="Обычный 9 9 4 2 3" xfId="59491"/>
    <cellStyle name="Обычный 9 9 4 2 3 2" xfId="59492"/>
    <cellStyle name="Обычный 9 9 4 2 3 2 2" xfId="59493"/>
    <cellStyle name="Обычный 9 9 4 2 3 2 2 2" xfId="59494"/>
    <cellStyle name="Обычный 9 9 4 2 3 2 2 3" xfId="59495"/>
    <cellStyle name="Обычный 9 9 4 2 3 2 3" xfId="59496"/>
    <cellStyle name="Обычный 9 9 4 2 3 2 3 2" xfId="59497"/>
    <cellStyle name="Обычный 9 9 4 2 3 2 3 3" xfId="59498"/>
    <cellStyle name="Обычный 9 9 4 2 3 2 4" xfId="59499"/>
    <cellStyle name="Обычный 9 9 4 2 3 2 4 2" xfId="59500"/>
    <cellStyle name="Обычный 9 9 4 2 3 2 5" xfId="59501"/>
    <cellStyle name="Обычный 9 9 4 2 3 2 6" xfId="59502"/>
    <cellStyle name="Обычный 9 9 4 2 3 3" xfId="59503"/>
    <cellStyle name="Обычный 9 9 4 2 3 3 2" xfId="59504"/>
    <cellStyle name="Обычный 9 9 4 2 3 3 3" xfId="59505"/>
    <cellStyle name="Обычный 9 9 4 2 3 4" xfId="59506"/>
    <cellStyle name="Обычный 9 9 4 2 3 4 2" xfId="59507"/>
    <cellStyle name="Обычный 9 9 4 2 3 4 3" xfId="59508"/>
    <cellStyle name="Обычный 9 9 4 2 3 5" xfId="59509"/>
    <cellStyle name="Обычный 9 9 4 2 3 5 2" xfId="59510"/>
    <cellStyle name="Обычный 9 9 4 2 3 6" xfId="59511"/>
    <cellStyle name="Обычный 9 9 4 2 3 7" xfId="59512"/>
    <cellStyle name="Обычный 9 9 4 2 4" xfId="59513"/>
    <cellStyle name="Обычный 9 9 4 2 4 2" xfId="59514"/>
    <cellStyle name="Обычный 9 9 4 2 4 2 2" xfId="59515"/>
    <cellStyle name="Обычный 9 9 4 2 4 2 3" xfId="59516"/>
    <cellStyle name="Обычный 9 9 4 2 4 3" xfId="59517"/>
    <cellStyle name="Обычный 9 9 4 2 4 3 2" xfId="59518"/>
    <cellStyle name="Обычный 9 9 4 2 4 3 3" xfId="59519"/>
    <cellStyle name="Обычный 9 9 4 2 4 4" xfId="59520"/>
    <cellStyle name="Обычный 9 9 4 2 4 4 2" xfId="59521"/>
    <cellStyle name="Обычный 9 9 4 2 4 5" xfId="59522"/>
    <cellStyle name="Обычный 9 9 4 2 4 6" xfId="59523"/>
    <cellStyle name="Обычный 9 9 4 2 5" xfId="59524"/>
    <cellStyle name="Обычный 9 9 4 2 5 2" xfId="59525"/>
    <cellStyle name="Обычный 9 9 4 2 5 3" xfId="59526"/>
    <cellStyle name="Обычный 9 9 4 2 6" xfId="59527"/>
    <cellStyle name="Обычный 9 9 4 2 6 2" xfId="59528"/>
    <cellStyle name="Обычный 9 9 4 2 6 3" xfId="59529"/>
    <cellStyle name="Обычный 9 9 4 2 7" xfId="59530"/>
    <cellStyle name="Обычный 9 9 4 2 7 2" xfId="59531"/>
    <cellStyle name="Обычный 9 9 4 2 8" xfId="59532"/>
    <cellStyle name="Обычный 9 9 4 2 9" xfId="59533"/>
    <cellStyle name="Обычный 9 9 4 3" xfId="59534"/>
    <cellStyle name="Обычный 9 9 4 3 2" xfId="59535"/>
    <cellStyle name="Обычный 9 9 4 3 2 2" xfId="59536"/>
    <cellStyle name="Обычный 9 9 4 3 2 2 2" xfId="59537"/>
    <cellStyle name="Обычный 9 9 4 3 2 2 2 2" xfId="59538"/>
    <cellStyle name="Обычный 9 9 4 3 2 2 2 3" xfId="59539"/>
    <cellStyle name="Обычный 9 9 4 3 2 2 3" xfId="59540"/>
    <cellStyle name="Обычный 9 9 4 3 2 2 3 2" xfId="59541"/>
    <cellStyle name="Обычный 9 9 4 3 2 2 3 3" xfId="59542"/>
    <cellStyle name="Обычный 9 9 4 3 2 2 4" xfId="59543"/>
    <cellStyle name="Обычный 9 9 4 3 2 2 4 2" xfId="59544"/>
    <cellStyle name="Обычный 9 9 4 3 2 2 5" xfId="59545"/>
    <cellStyle name="Обычный 9 9 4 3 2 2 6" xfId="59546"/>
    <cellStyle name="Обычный 9 9 4 3 2 3" xfId="59547"/>
    <cellStyle name="Обычный 9 9 4 3 2 3 2" xfId="59548"/>
    <cellStyle name="Обычный 9 9 4 3 2 3 3" xfId="59549"/>
    <cellStyle name="Обычный 9 9 4 3 2 4" xfId="59550"/>
    <cellStyle name="Обычный 9 9 4 3 2 4 2" xfId="59551"/>
    <cellStyle name="Обычный 9 9 4 3 2 4 3" xfId="59552"/>
    <cellStyle name="Обычный 9 9 4 3 2 5" xfId="59553"/>
    <cellStyle name="Обычный 9 9 4 3 2 5 2" xfId="59554"/>
    <cellStyle name="Обычный 9 9 4 3 2 6" xfId="59555"/>
    <cellStyle name="Обычный 9 9 4 3 2 7" xfId="59556"/>
    <cellStyle name="Обычный 9 9 4 3 3" xfId="59557"/>
    <cellStyle name="Обычный 9 9 4 3 3 2" xfId="59558"/>
    <cellStyle name="Обычный 9 9 4 3 3 2 2" xfId="59559"/>
    <cellStyle name="Обычный 9 9 4 3 3 2 3" xfId="59560"/>
    <cellStyle name="Обычный 9 9 4 3 3 3" xfId="59561"/>
    <cellStyle name="Обычный 9 9 4 3 3 3 2" xfId="59562"/>
    <cellStyle name="Обычный 9 9 4 3 3 3 3" xfId="59563"/>
    <cellStyle name="Обычный 9 9 4 3 3 4" xfId="59564"/>
    <cellStyle name="Обычный 9 9 4 3 3 4 2" xfId="59565"/>
    <cellStyle name="Обычный 9 9 4 3 3 5" xfId="59566"/>
    <cellStyle name="Обычный 9 9 4 3 3 6" xfId="59567"/>
    <cellStyle name="Обычный 9 9 4 3 4" xfId="59568"/>
    <cellStyle name="Обычный 9 9 4 3 4 2" xfId="59569"/>
    <cellStyle name="Обычный 9 9 4 3 4 3" xfId="59570"/>
    <cellStyle name="Обычный 9 9 4 3 5" xfId="59571"/>
    <cellStyle name="Обычный 9 9 4 3 5 2" xfId="59572"/>
    <cellStyle name="Обычный 9 9 4 3 5 3" xfId="59573"/>
    <cellStyle name="Обычный 9 9 4 3 6" xfId="59574"/>
    <cellStyle name="Обычный 9 9 4 3 6 2" xfId="59575"/>
    <cellStyle name="Обычный 9 9 4 3 7" xfId="59576"/>
    <cellStyle name="Обычный 9 9 4 3 8" xfId="59577"/>
    <cellStyle name="Обычный 9 9 4 4" xfId="59578"/>
    <cellStyle name="Обычный 9 9 4 4 2" xfId="59579"/>
    <cellStyle name="Обычный 9 9 4 4 2 2" xfId="59580"/>
    <cellStyle name="Обычный 9 9 4 4 2 2 2" xfId="59581"/>
    <cellStyle name="Обычный 9 9 4 4 2 2 3" xfId="59582"/>
    <cellStyle name="Обычный 9 9 4 4 2 3" xfId="59583"/>
    <cellStyle name="Обычный 9 9 4 4 2 3 2" xfId="59584"/>
    <cellStyle name="Обычный 9 9 4 4 2 3 3" xfId="59585"/>
    <cellStyle name="Обычный 9 9 4 4 2 4" xfId="59586"/>
    <cellStyle name="Обычный 9 9 4 4 2 4 2" xfId="59587"/>
    <cellStyle name="Обычный 9 9 4 4 2 5" xfId="59588"/>
    <cellStyle name="Обычный 9 9 4 4 2 6" xfId="59589"/>
    <cellStyle name="Обычный 9 9 4 4 3" xfId="59590"/>
    <cellStyle name="Обычный 9 9 4 4 3 2" xfId="59591"/>
    <cellStyle name="Обычный 9 9 4 4 3 3" xfId="59592"/>
    <cellStyle name="Обычный 9 9 4 4 4" xfId="59593"/>
    <cellStyle name="Обычный 9 9 4 4 4 2" xfId="59594"/>
    <cellStyle name="Обычный 9 9 4 4 4 3" xfId="59595"/>
    <cellStyle name="Обычный 9 9 4 4 5" xfId="59596"/>
    <cellStyle name="Обычный 9 9 4 4 5 2" xfId="59597"/>
    <cellStyle name="Обычный 9 9 4 4 6" xfId="59598"/>
    <cellStyle name="Обычный 9 9 4 4 7" xfId="59599"/>
    <cellStyle name="Обычный 9 9 4 5" xfId="59600"/>
    <cellStyle name="Обычный 9 9 4 5 2" xfId="59601"/>
    <cellStyle name="Обычный 9 9 4 5 2 2" xfId="59602"/>
    <cellStyle name="Обычный 9 9 4 5 2 3" xfId="59603"/>
    <cellStyle name="Обычный 9 9 4 5 3" xfId="59604"/>
    <cellStyle name="Обычный 9 9 4 5 3 2" xfId="59605"/>
    <cellStyle name="Обычный 9 9 4 5 3 3" xfId="59606"/>
    <cellStyle name="Обычный 9 9 4 5 4" xfId="59607"/>
    <cellStyle name="Обычный 9 9 4 5 4 2" xfId="59608"/>
    <cellStyle name="Обычный 9 9 4 5 5" xfId="59609"/>
    <cellStyle name="Обычный 9 9 4 5 6" xfId="59610"/>
    <cellStyle name="Обычный 9 9 4 6" xfId="59611"/>
    <cellStyle name="Обычный 9 9 4 6 2" xfId="59612"/>
    <cellStyle name="Обычный 9 9 4 6 3" xfId="59613"/>
    <cellStyle name="Обычный 9 9 4 7" xfId="59614"/>
    <cellStyle name="Обычный 9 9 4 7 2" xfId="59615"/>
    <cellStyle name="Обычный 9 9 4 7 3" xfId="59616"/>
    <cellStyle name="Обычный 9 9 4 8" xfId="59617"/>
    <cellStyle name="Обычный 9 9 4 8 2" xfId="59618"/>
    <cellStyle name="Обычный 9 9 4 9" xfId="59619"/>
    <cellStyle name="Обычный 9 9 5" xfId="59620"/>
    <cellStyle name="Обычный 9 9 5 2" xfId="59621"/>
    <cellStyle name="Обычный 9 9 5 2 2" xfId="59622"/>
    <cellStyle name="Обычный 9 9 5 2 2 2" xfId="59623"/>
    <cellStyle name="Обычный 9 9 5 2 2 2 2" xfId="59624"/>
    <cellStyle name="Обычный 9 9 5 2 2 2 2 2" xfId="59625"/>
    <cellStyle name="Обычный 9 9 5 2 2 2 2 3" xfId="59626"/>
    <cellStyle name="Обычный 9 9 5 2 2 2 3" xfId="59627"/>
    <cellStyle name="Обычный 9 9 5 2 2 2 3 2" xfId="59628"/>
    <cellStyle name="Обычный 9 9 5 2 2 2 3 3" xfId="59629"/>
    <cellStyle name="Обычный 9 9 5 2 2 2 4" xfId="59630"/>
    <cellStyle name="Обычный 9 9 5 2 2 2 4 2" xfId="59631"/>
    <cellStyle name="Обычный 9 9 5 2 2 2 5" xfId="59632"/>
    <cellStyle name="Обычный 9 9 5 2 2 2 6" xfId="59633"/>
    <cellStyle name="Обычный 9 9 5 2 2 3" xfId="59634"/>
    <cellStyle name="Обычный 9 9 5 2 2 3 2" xfId="59635"/>
    <cellStyle name="Обычный 9 9 5 2 2 3 3" xfId="59636"/>
    <cellStyle name="Обычный 9 9 5 2 2 4" xfId="59637"/>
    <cellStyle name="Обычный 9 9 5 2 2 4 2" xfId="59638"/>
    <cellStyle name="Обычный 9 9 5 2 2 4 3" xfId="59639"/>
    <cellStyle name="Обычный 9 9 5 2 2 5" xfId="59640"/>
    <cellStyle name="Обычный 9 9 5 2 2 5 2" xfId="59641"/>
    <cellStyle name="Обычный 9 9 5 2 2 6" xfId="59642"/>
    <cellStyle name="Обычный 9 9 5 2 2 7" xfId="59643"/>
    <cellStyle name="Обычный 9 9 5 2 3" xfId="59644"/>
    <cellStyle name="Обычный 9 9 5 2 3 2" xfId="59645"/>
    <cellStyle name="Обычный 9 9 5 2 3 2 2" xfId="59646"/>
    <cellStyle name="Обычный 9 9 5 2 3 2 3" xfId="59647"/>
    <cellStyle name="Обычный 9 9 5 2 3 3" xfId="59648"/>
    <cellStyle name="Обычный 9 9 5 2 3 3 2" xfId="59649"/>
    <cellStyle name="Обычный 9 9 5 2 3 3 3" xfId="59650"/>
    <cellStyle name="Обычный 9 9 5 2 3 4" xfId="59651"/>
    <cellStyle name="Обычный 9 9 5 2 3 4 2" xfId="59652"/>
    <cellStyle name="Обычный 9 9 5 2 3 5" xfId="59653"/>
    <cellStyle name="Обычный 9 9 5 2 3 6" xfId="59654"/>
    <cellStyle name="Обычный 9 9 5 2 4" xfId="59655"/>
    <cellStyle name="Обычный 9 9 5 2 4 2" xfId="59656"/>
    <cellStyle name="Обычный 9 9 5 2 4 3" xfId="59657"/>
    <cellStyle name="Обычный 9 9 5 2 5" xfId="59658"/>
    <cellStyle name="Обычный 9 9 5 2 5 2" xfId="59659"/>
    <cellStyle name="Обычный 9 9 5 2 5 3" xfId="59660"/>
    <cellStyle name="Обычный 9 9 5 2 6" xfId="59661"/>
    <cellStyle name="Обычный 9 9 5 2 6 2" xfId="59662"/>
    <cellStyle name="Обычный 9 9 5 2 7" xfId="59663"/>
    <cellStyle name="Обычный 9 9 5 2 8" xfId="59664"/>
    <cellStyle name="Обычный 9 9 5 3" xfId="59665"/>
    <cellStyle name="Обычный 9 9 5 3 2" xfId="59666"/>
    <cellStyle name="Обычный 9 9 5 3 2 2" xfId="59667"/>
    <cellStyle name="Обычный 9 9 5 3 2 2 2" xfId="59668"/>
    <cellStyle name="Обычный 9 9 5 3 2 2 3" xfId="59669"/>
    <cellStyle name="Обычный 9 9 5 3 2 3" xfId="59670"/>
    <cellStyle name="Обычный 9 9 5 3 2 3 2" xfId="59671"/>
    <cellStyle name="Обычный 9 9 5 3 2 3 3" xfId="59672"/>
    <cellStyle name="Обычный 9 9 5 3 2 4" xfId="59673"/>
    <cellStyle name="Обычный 9 9 5 3 2 4 2" xfId="59674"/>
    <cellStyle name="Обычный 9 9 5 3 2 5" xfId="59675"/>
    <cellStyle name="Обычный 9 9 5 3 2 6" xfId="59676"/>
    <cellStyle name="Обычный 9 9 5 3 3" xfId="59677"/>
    <cellStyle name="Обычный 9 9 5 3 3 2" xfId="59678"/>
    <cellStyle name="Обычный 9 9 5 3 3 3" xfId="59679"/>
    <cellStyle name="Обычный 9 9 5 3 4" xfId="59680"/>
    <cellStyle name="Обычный 9 9 5 3 4 2" xfId="59681"/>
    <cellStyle name="Обычный 9 9 5 3 4 3" xfId="59682"/>
    <cellStyle name="Обычный 9 9 5 3 5" xfId="59683"/>
    <cellStyle name="Обычный 9 9 5 3 5 2" xfId="59684"/>
    <cellStyle name="Обычный 9 9 5 3 6" xfId="59685"/>
    <cellStyle name="Обычный 9 9 5 3 7" xfId="59686"/>
    <cellStyle name="Обычный 9 9 5 4" xfId="59687"/>
    <cellStyle name="Обычный 9 9 5 4 2" xfId="59688"/>
    <cellStyle name="Обычный 9 9 5 4 2 2" xfId="59689"/>
    <cellStyle name="Обычный 9 9 5 4 2 3" xfId="59690"/>
    <cellStyle name="Обычный 9 9 5 4 3" xfId="59691"/>
    <cellStyle name="Обычный 9 9 5 4 3 2" xfId="59692"/>
    <cellStyle name="Обычный 9 9 5 4 3 3" xfId="59693"/>
    <cellStyle name="Обычный 9 9 5 4 4" xfId="59694"/>
    <cellStyle name="Обычный 9 9 5 4 4 2" xfId="59695"/>
    <cellStyle name="Обычный 9 9 5 4 5" xfId="59696"/>
    <cellStyle name="Обычный 9 9 5 4 6" xfId="59697"/>
    <cellStyle name="Обычный 9 9 5 5" xfId="59698"/>
    <cellStyle name="Обычный 9 9 5 5 2" xfId="59699"/>
    <cellStyle name="Обычный 9 9 5 5 3" xfId="59700"/>
    <cellStyle name="Обычный 9 9 5 6" xfId="59701"/>
    <cellStyle name="Обычный 9 9 5 6 2" xfId="59702"/>
    <cellStyle name="Обычный 9 9 5 6 3" xfId="59703"/>
    <cellStyle name="Обычный 9 9 5 7" xfId="59704"/>
    <cellStyle name="Обычный 9 9 5 7 2" xfId="59705"/>
    <cellStyle name="Обычный 9 9 5 8" xfId="59706"/>
    <cellStyle name="Обычный 9 9 5 9" xfId="59707"/>
    <cellStyle name="Обычный 9 9 6" xfId="59708"/>
    <cellStyle name="Обычный 9 9 6 2" xfId="59709"/>
    <cellStyle name="Обычный 9 9 6 2 2" xfId="59710"/>
    <cellStyle name="Обычный 9 9 6 2 2 2" xfId="59711"/>
    <cellStyle name="Обычный 9 9 6 2 2 2 2" xfId="59712"/>
    <cellStyle name="Обычный 9 9 6 2 2 2 3" xfId="59713"/>
    <cellStyle name="Обычный 9 9 6 2 2 3" xfId="59714"/>
    <cellStyle name="Обычный 9 9 6 2 2 3 2" xfId="59715"/>
    <cellStyle name="Обычный 9 9 6 2 2 3 3" xfId="59716"/>
    <cellStyle name="Обычный 9 9 6 2 2 4" xfId="59717"/>
    <cellStyle name="Обычный 9 9 6 2 2 4 2" xfId="59718"/>
    <cellStyle name="Обычный 9 9 6 2 2 5" xfId="59719"/>
    <cellStyle name="Обычный 9 9 6 2 2 6" xfId="59720"/>
    <cellStyle name="Обычный 9 9 6 2 3" xfId="59721"/>
    <cellStyle name="Обычный 9 9 6 2 3 2" xfId="59722"/>
    <cellStyle name="Обычный 9 9 6 2 3 3" xfId="59723"/>
    <cellStyle name="Обычный 9 9 6 2 4" xfId="59724"/>
    <cellStyle name="Обычный 9 9 6 2 4 2" xfId="59725"/>
    <cellStyle name="Обычный 9 9 6 2 4 3" xfId="59726"/>
    <cellStyle name="Обычный 9 9 6 2 5" xfId="59727"/>
    <cellStyle name="Обычный 9 9 6 2 5 2" xfId="59728"/>
    <cellStyle name="Обычный 9 9 6 2 6" xfId="59729"/>
    <cellStyle name="Обычный 9 9 6 2 7" xfId="59730"/>
    <cellStyle name="Обычный 9 9 6 3" xfId="59731"/>
    <cellStyle name="Обычный 9 9 6 3 2" xfId="59732"/>
    <cellStyle name="Обычный 9 9 6 3 2 2" xfId="59733"/>
    <cellStyle name="Обычный 9 9 6 3 2 3" xfId="59734"/>
    <cellStyle name="Обычный 9 9 6 3 3" xfId="59735"/>
    <cellStyle name="Обычный 9 9 6 3 3 2" xfId="59736"/>
    <cellStyle name="Обычный 9 9 6 3 3 3" xfId="59737"/>
    <cellStyle name="Обычный 9 9 6 3 4" xfId="59738"/>
    <cellStyle name="Обычный 9 9 6 3 4 2" xfId="59739"/>
    <cellStyle name="Обычный 9 9 6 3 5" xfId="59740"/>
    <cellStyle name="Обычный 9 9 6 3 6" xfId="59741"/>
    <cellStyle name="Обычный 9 9 6 4" xfId="59742"/>
    <cellStyle name="Обычный 9 9 6 4 2" xfId="59743"/>
    <cellStyle name="Обычный 9 9 6 4 3" xfId="59744"/>
    <cellStyle name="Обычный 9 9 6 5" xfId="59745"/>
    <cellStyle name="Обычный 9 9 6 5 2" xfId="59746"/>
    <cellStyle name="Обычный 9 9 6 5 3" xfId="59747"/>
    <cellStyle name="Обычный 9 9 6 6" xfId="59748"/>
    <cellStyle name="Обычный 9 9 6 6 2" xfId="59749"/>
    <cellStyle name="Обычный 9 9 6 7" xfId="59750"/>
    <cellStyle name="Обычный 9 9 6 8" xfId="59751"/>
    <cellStyle name="Обычный 9 9 7" xfId="59752"/>
    <cellStyle name="Обычный 9 9 7 2" xfId="59753"/>
    <cellStyle name="Обычный 9 9 7 2 2" xfId="59754"/>
    <cellStyle name="Обычный 9 9 7 2 2 2" xfId="59755"/>
    <cellStyle name="Обычный 9 9 7 2 2 3" xfId="59756"/>
    <cellStyle name="Обычный 9 9 7 2 3" xfId="59757"/>
    <cellStyle name="Обычный 9 9 7 2 3 2" xfId="59758"/>
    <cellStyle name="Обычный 9 9 7 2 3 3" xfId="59759"/>
    <cellStyle name="Обычный 9 9 7 2 4" xfId="59760"/>
    <cellStyle name="Обычный 9 9 7 2 4 2" xfId="59761"/>
    <cellStyle name="Обычный 9 9 7 2 5" xfId="59762"/>
    <cellStyle name="Обычный 9 9 7 2 6" xfId="59763"/>
    <cellStyle name="Обычный 9 9 7 3" xfId="59764"/>
    <cellStyle name="Обычный 9 9 7 3 2" xfId="59765"/>
    <cellStyle name="Обычный 9 9 7 3 3" xfId="59766"/>
    <cellStyle name="Обычный 9 9 7 4" xfId="59767"/>
    <cellStyle name="Обычный 9 9 7 4 2" xfId="59768"/>
    <cellStyle name="Обычный 9 9 7 4 3" xfId="59769"/>
    <cellStyle name="Обычный 9 9 7 5" xfId="59770"/>
    <cellStyle name="Обычный 9 9 7 5 2" xfId="59771"/>
    <cellStyle name="Обычный 9 9 7 6" xfId="59772"/>
    <cellStyle name="Обычный 9 9 7 7" xfId="59773"/>
    <cellStyle name="Обычный 9 9 8" xfId="59774"/>
    <cellStyle name="Обычный 9 9 8 2" xfId="59775"/>
    <cellStyle name="Обычный 9 9 8 2 2" xfId="59776"/>
    <cellStyle name="Обычный 9 9 8 2 3" xfId="59777"/>
    <cellStyle name="Обычный 9 9 8 3" xfId="59778"/>
    <cellStyle name="Обычный 9 9 8 3 2" xfId="59779"/>
    <cellStyle name="Обычный 9 9 8 3 3" xfId="59780"/>
    <cellStyle name="Обычный 9 9 8 4" xfId="59781"/>
    <cellStyle name="Обычный 9 9 8 4 2" xfId="59782"/>
    <cellStyle name="Обычный 9 9 8 5" xfId="59783"/>
    <cellStyle name="Обычный 9 9 8 6" xfId="59784"/>
    <cellStyle name="Обычный 9 9 9" xfId="59785"/>
    <cellStyle name="Обычный 9 9 9 2" xfId="59786"/>
    <cellStyle name="Обычный 9 9 9 3" xfId="59787"/>
    <cellStyle name="Плохой 2" xfId="59788"/>
    <cellStyle name="Плохой 3" xfId="59789"/>
    <cellStyle name="Пояснение 2" xfId="59790"/>
    <cellStyle name="Пояснение 3" xfId="59791"/>
    <cellStyle name="Примечание 2" xfId="59792"/>
    <cellStyle name="Примечание 2 2" xfId="59793"/>
    <cellStyle name="Примечание 2 3" xfId="59794"/>
    <cellStyle name="Примечание 3" xfId="59795"/>
    <cellStyle name="Процентный 2" xfId="59796"/>
    <cellStyle name="Связанная ячейка 2" xfId="59797"/>
    <cellStyle name="Связанная ячейка 3" xfId="59798"/>
    <cellStyle name="Стиль 1" xfId="59799"/>
    <cellStyle name="Текст предупреждения 2" xfId="59800"/>
    <cellStyle name="Текст предупреждения 3" xfId="59801"/>
    <cellStyle name="Тысячи [0]_17PRIL-3" xfId="59802"/>
    <cellStyle name="Тысячи_17PRIL-3" xfId="59803"/>
    <cellStyle name="Финансовый 2" xfId="59804"/>
    <cellStyle name="Финансовый 3" xfId="59805"/>
    <cellStyle name="Хороший 2" xfId="59806"/>
    <cellStyle name="Хороший 3" xfId="59807"/>
  </cellStyles>
  <dxfs count="29">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medium">
          <color auto="1"/>
        </left>
        <right style="thin">
          <color auto="1"/>
        </right>
        <top style="medium">
          <color auto="1"/>
        </top>
        <bottom style="none"/>
        <diagonal/>
      </border>
    </dxf>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thin">
          <color auto="1"/>
        </left>
        <right style="thin">
          <color auto="1"/>
        </right>
        <top style="medium">
          <color auto="1"/>
        </top>
        <bottom style="none"/>
        <diagonal/>
      </border>
    </dxf>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thin">
          <color auto="1"/>
        </left>
        <right style="thin">
          <color auto="1"/>
        </right>
        <top style="thin">
          <color auto="1"/>
        </top>
        <bottom style="thin">
          <color auto="1"/>
        </bottom>
        <diagonal/>
      </border>
    </dxf>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thin">
          <color auto="1"/>
        </left>
        <right style="thin">
          <color auto="1"/>
        </right>
        <top style="thin">
          <color auto="1"/>
        </top>
        <bottom style="thin">
          <color auto="1"/>
        </bottom>
        <diagonal/>
      </border>
    </dxf>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thin">
          <color auto="1"/>
        </left>
        <right style="thin">
          <color auto="1"/>
        </right>
        <top style="medium">
          <color auto="1"/>
        </top>
        <bottom style="none"/>
        <diagonal/>
      </border>
    </dxf>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thin">
          <color auto="1"/>
        </left>
        <right style="thin">
          <color auto="1"/>
        </right>
        <top style="medium">
          <color auto="1"/>
        </top>
        <bottom style="none"/>
        <diagonal/>
      </border>
    </dxf>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thin">
          <color auto="1"/>
        </left>
        <right style="thin">
          <color auto="1"/>
        </right>
        <top style="medium">
          <color auto="1"/>
        </top>
        <bottom style="none"/>
        <diagonal/>
      </border>
    </dxf>
    <dxf>
      <font>
        <strike val="0"/>
        <u val="none"/>
        <vertAlign val="baseline"/>
        <sz val="10.000000"/>
      </font>
      <alignment horizontal="left" indent="0" relativeIndent="0" shrinkToFit="0" textRotation="0" vertical="top" wrapText="0"/>
    </dxf>
    <dxf>
      <font>
        <strike val="0"/>
        <u val="none"/>
        <vertAlign val="baseline"/>
        <sz val="10.000000"/>
      </font>
      <alignment horizontal="left" indent="0" relativeIndent="0" shrinkToFit="0" textRotation="0" vertical="top" wrapText="0"/>
    </dxf>
    <dxf>
      <font>
        <strike val="0"/>
        <u val="none"/>
        <vertAlign val="baseline"/>
        <sz val="10.000000"/>
      </font>
      <alignment horizontal="left" indent="0" relativeIndent="0" shrinkToFit="0" textRotation="0" vertical="top" wrapText="0"/>
    </dxf>
    <dxf>
      <font>
        <strike val="0"/>
        <u val="none"/>
        <vertAlign val="baseline"/>
        <sz val="10.000000"/>
      </font>
      <alignment horizontal="left" indent="0" relativeIndent="0" shrinkToFit="0" textRotation="0" vertical="top" wrapText="0"/>
    </dxf>
    <dxf>
      <font>
        <strike val="0"/>
        <u val="none"/>
        <vertAlign val="baseline"/>
        <sz val="10.000000"/>
      </font>
      <alignment horizontal="left" indent="0" relativeIndent="0" shrinkToFit="0" textRotation="0" vertical="top" wrapText="0"/>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medium">
          <color auto="1"/>
        </left>
        <right style="thin">
          <color auto="1"/>
        </right>
        <top style="medium">
          <color auto="1"/>
        </top>
        <bottom style="none"/>
        <diagonal/>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medium">
          <color auto="1"/>
        </top>
        <bottom style="none"/>
        <diagonal/>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thin">
          <color auto="1"/>
        </top>
        <bottom style="thin">
          <color auto="1"/>
        </bottom>
        <diagonal/>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thin">
          <color auto="1"/>
        </top>
        <bottom style="thin">
          <color auto="1"/>
        </bottom>
        <diagonal/>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medium">
          <color auto="1"/>
        </top>
        <bottom style="none"/>
        <diagonal/>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medium">
          <color auto="1"/>
        </top>
        <bottom style="none"/>
        <diagonal/>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medium">
          <color auto="1"/>
        </top>
        <bottom style="none"/>
        <diagonal/>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medium">
          <color auto="1"/>
        </top>
        <bottom style="none"/>
        <diagonal/>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medium">
          <color auto="1"/>
        </top>
        <bottom style="none"/>
        <diagonal/>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medium">
          <color auto="1"/>
        </right>
        <top style="medium">
          <color auto="1"/>
        </top>
        <bottom style="none"/>
        <diagonal/>
      </border>
    </dxf>
    <dxf>
      <font>
        <b val="0"/>
        <i val="0"/>
        <strike val="0"/>
        <u val="none"/>
        <vertAlign val="baseline"/>
        <sz val="8.000000"/>
        <name val="Calibri"/>
        <scheme val="minor"/>
      </font>
      <alignment indent="0" relativeIndent="0" shrinkToFit="0" textRotation="0" vertical="bottom" wrapText="1"/>
      <border>
        <left style="thin">
          <color auto="1"/>
        </left>
        <right style="thin">
          <color auto="1"/>
        </right>
        <top style="thin">
          <color auto="1"/>
        </top>
        <bottom style="thin">
          <color auto="1"/>
        </bottom>
        <diagonal/>
      </border>
    </dxf>
    <dxf>
      <font>
        <b val="0"/>
        <i val="0"/>
        <strike val="0"/>
        <u val="none"/>
        <vertAlign val="baseline"/>
        <sz val="8.000000"/>
        <name val="Calibri"/>
        <scheme val="minor"/>
      </font>
      <alignment indent="0" relativeIndent="0" shrinkToFit="0" textRotation="0" vertical="bottom" wrapText="1"/>
      <border>
        <left style="thin">
          <color auto="1"/>
        </left>
        <right style="thin">
          <color auto="1"/>
        </right>
        <top style="thin">
          <color auto="1"/>
        </top>
        <bottom style="thin">
          <color auto="1"/>
        </bottom>
        <diagonal/>
      </border>
    </dxf>
    <dxf>
      <font>
        <b val="0"/>
        <i val="0"/>
        <strike val="0"/>
        <u val="none"/>
        <vertAlign val="baseline"/>
        <sz val="8.000000"/>
        <name val="Calibri"/>
        <scheme val="minor"/>
      </font>
      <alignment indent="0" relativeIndent="0" shrinkToFit="0" textRotation="0" vertical="bottom" wrapText="1"/>
      <border>
        <left style="thin">
          <color auto="1"/>
        </left>
        <right style="thin">
          <color auto="1"/>
        </right>
        <top style="thin">
          <color auto="1"/>
        </top>
        <bottom style="thin">
          <color auto="1"/>
        </bottom>
        <diagonal/>
      </border>
    </dxf>
    <dxf>
      <font>
        <b val="0"/>
        <i val="0"/>
        <strike val="0"/>
        <u val="none"/>
        <vertAlign val="baseline"/>
        <sz val="10.000000"/>
        <name val="Calibri"/>
        <scheme val="minor"/>
      </font>
      <alignment indent="0" relativeIndent="0" shrinkToFit="0" textRotation="0" vertical="bottom" wrapText="0"/>
    </dxf>
    <dxf>
      <font>
        <b val="0"/>
        <i val="0"/>
        <strike val="0"/>
        <u val="none"/>
        <vertAlign val="baseline"/>
        <sz val="10.000000"/>
        <name val="Calibri"/>
        <scheme val="minor"/>
      </font>
      <alignment indent="0" relativeIndent="0" shrinkToFit="0" textRotation="0" vertical="bottom" wrapText="0"/>
    </dxf>
    <dxf>
      <font>
        <b val="0"/>
        <i val="0"/>
        <strike val="0"/>
        <u val="none"/>
        <vertAlign val="baseline"/>
        <sz val="10.000000"/>
        <name val="Calibri"/>
        <scheme val="minor"/>
      </font>
      <alignment indent="0" relativeIndent="0" shrinkToFit="0" textRotation="0" vertical="bottom" wrapText="0"/>
    </dxf>
    <dxf>
      <font>
        <b val="0"/>
        <i val="0"/>
        <strike val="0"/>
        <u val="none"/>
        <vertAlign val="baseline"/>
        <sz val="10.000000"/>
        <name val="Calibri"/>
        <scheme val="minor"/>
      </font>
      <alignment indent="0" relativeIndent="0" shrinkToFit="0" textRotation="0" vertical="bottom" wrapText="0"/>
      <border>
        <left style="thin">
          <color auto="1"/>
        </left>
        <right style="thin">
          <color auto="1"/>
        </right>
        <top style="thin">
          <color auto="1"/>
        </top>
        <bottom style="thin">
          <color auto="1"/>
        </bottom>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7" Type="http://schemas.openxmlformats.org/officeDocument/2006/relationships/worksheet" Target="worksheets/sheet4.xml"/><Relationship  Id="rId6" Type="http://schemas.openxmlformats.org/officeDocument/2006/relationships/worksheet" Target="worksheets/sheet3.xml"/><Relationship  Id="rId14" Type="http://schemas.openxmlformats.org/officeDocument/2006/relationships/sharedStrings" Target="sharedStrings.xml"/><Relationship  Id="rId13" Type="http://schemas.openxmlformats.org/officeDocument/2006/relationships/theme" Target="theme/theme1.xml"/><Relationship  Id="rId4" Type="http://schemas.openxmlformats.org/officeDocument/2006/relationships/worksheet" Target="worksheets/sheet1.xml"/><Relationship  Id="rId3" Type="http://schemas.openxmlformats.org/officeDocument/2006/relationships/customXml" Target="../customXml/item1.xml"/><Relationship  Id="rId12" Type="http://schemas.openxmlformats.org/officeDocument/2006/relationships/worksheet" Target="worksheets/sheet9.xml"/><Relationship  Id="rId10" Type="http://schemas.openxmlformats.org/officeDocument/2006/relationships/worksheet" Target="worksheets/sheet7.xml"/><Relationship  Id="rId5" Type="http://schemas.openxmlformats.org/officeDocument/2006/relationships/worksheet" Target="worksheets/sheet2.xml"/><Relationship  Id="rId11" Type="http://schemas.openxmlformats.org/officeDocument/2006/relationships/worksheet" Target="worksheets/sheet8.xml"/><Relationship  Id="rId8" Type="http://schemas.openxmlformats.org/officeDocument/2006/relationships/worksheet" Target="worksheets/sheet5.xml"/><Relationship  Id="rId2" Type="http://schemas.openxmlformats.org/officeDocument/2006/relationships/externalLink" Target="externalLinks/externalLink2.xml"/><Relationship  Id="rId9" Type="http://schemas.openxmlformats.org/officeDocument/2006/relationships/worksheet" Target="worksheets/sheet6.xml"/><Relationship  Id="rId15" Type="http://schemas.openxmlformats.org/officeDocument/2006/relationships/styles" Target="styles.xml"/><Relationship  Id="rId1" Type="http://schemas.openxmlformats.org/officeDocument/2006/relationships/externalLink" Target="externalLinks/externalLink1.xml"/></Relationships>
</file>

<file path=xl/drawings/_rels/drawing1.xml.rels><?xml version="1.0" encoding="UTF-8" standalone="yes"?><Relationships xmlns="http://schemas.openxmlformats.org/package/2006/relationships"></Relationships>
</file>

<file path=xl/drawings/_rels/drawing2.xml.rels><?xml version="1.0" encoding="UTF-8" standalone="yes"?><Relationships xmlns="http://schemas.openxmlformats.org/package/2006/relationships"></Relationships>
</file>

<file path=xl/drawings/_rels/drawing3.xml.rels><?xml version="1.0" encoding="UTF-8" standalone="yes"?><Relationships xmlns="http://schemas.openxmlformats.org/package/2006/relationships"></Relationships>
</file>

<file path=xl/drawings/_rels/drawing4.xml.rels><?xml version="1.0" encoding="UTF-8" standalone="yes"?><Relationships xmlns="http://schemas.openxmlformats.org/package/2006/relationships"></Relationships>
</file>

<file path=xl/drawings/_rels/drawing5.xml.rels><?xml version="1.0" encoding="UTF-8" standalone="yes"?><Relationships xmlns="http://schemas.openxmlformats.org/package/2006/relationships"></Relationships>
</file>

<file path=xl/drawings/_rels/drawing6.xml.rels><?xml version="1.0" encoding="UTF-8" standalone="yes"?><Relationships xmlns="http://schemas.openxmlformats.org/package/2006/relationships"></Relationships>
</file>

<file path=xl/drawings/_rels/drawing7.xml.rels><?xml version="1.0" encoding="UTF-8" standalone="yes"?><Relationships xmlns="http://schemas.openxmlformats.org/package/2006/relationships"></Relationships>
</file>

<file path=xl/drawings/_rels/drawing8.xml.rels><?xml version="1.0" encoding="UTF-8" standalone="yes"?><Relationships xmlns="http://schemas.openxmlformats.org/package/2006/relationships"></Relationships>
</file>

<file path=xl/drawings/_rels/drawing9.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a:stretch/>
      </xdr:blipFill>
      <xdr:spPr bwMode="auto">
        <a:xfrm>
          <a:off x="0" y="0"/>
          <a:ext cx="1587" cy="15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a:stretch/>
      </xdr:blipFill>
      <xdr:spPr bwMode="auto">
        <a:xfrm>
          <a:off x="0" y="0"/>
          <a:ext cx="1587" cy="1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a:stretch/>
      </xdr:blipFill>
      <xdr:spPr bwMode="auto">
        <a:xfrm>
          <a:off x="0" y="0"/>
          <a:ext cx="1587" cy="15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a:stretch/>
      </xdr:blipFill>
      <xdr:spPr bwMode="auto">
        <a:xfrm>
          <a:off x="0" y="0"/>
          <a:ext cx="1587" cy="15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a:stretch/>
      </xdr:blipFill>
      <xdr:spPr bwMode="auto">
        <a:xfrm>
          <a:off x="0" y="0"/>
          <a:ext cx="1587" cy="158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a:stretch/>
      </xdr:blipFill>
      <xdr:spPr bwMode="auto">
        <a:xfrm>
          <a:off x="0" y="0"/>
          <a:ext cx="1587" cy="15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a:stretch/>
      </xdr:blipFill>
      <xdr:spPr bwMode="auto">
        <a:xfrm>
          <a:off x="0" y="0"/>
          <a:ext cx="1587" cy="15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a:stretch/>
      </xdr:blipFill>
      <xdr:spPr bwMode="auto">
        <a:xfrm>
          <a:off x="0" y="0"/>
          <a:ext cx="1587" cy="15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a:stretch/>
      </xdr:blipFill>
      <xdr:spPr bwMode="auto">
        <a:xfrm>
          <a:off x="0" y="0"/>
          <a:ext cx="1587" cy="1587"/>
        </a:xfrm>
        <a:prstGeom prst="rect">
          <a:avLst/>
        </a:prstGeom>
      </xdr:spPr>
    </xdr:pic>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Users/17243159/Desktop/S2T_029_000001_v1.33.xlsx" TargetMode="External"/></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Users/Bogoslovskiy-NY/Documents/&#1059;&#1042;&#1044;&#1054;-3/S2T_029_000001_20190525_v0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itle"/>
      <sheetName val="S2T"/>
      <sheetName val="Source columns"/>
      <sheetName val="Target tables"/>
      <sheetName val="Target columns"/>
      <sheetName val="Additional objects"/>
      <sheetName val="Dict"/>
      <sheetName val="Алгоритмы УВДО"/>
      <sheetName val="Глоссарий"/>
    </sheetNames>
    <sheetDataSet>
      <sheetData sheetId="0"/>
      <sheetData sheetId="1"/>
      <sheetData sheetId="2"/>
      <sheetData sheetId="3"/>
      <sheetData sheetId="4">
        <row r="1">
          <cell r="D1">
            <v>4</v>
          </cell>
          <cell r="H1">
            <v>8</v>
          </cell>
        </row>
      </sheetData>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itle"/>
      <sheetName val="S2T"/>
      <sheetName val="Source columns"/>
      <sheetName val="Target tables"/>
      <sheetName val="Target columns"/>
      <sheetName val="Additional objects"/>
      <sheetName val="Глоссарий"/>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source_columns" ref="A2:G117">
  <autoFilter ref="A2:G117"/>
  <tableColumns count="7">
    <tableColumn id="1" name="Seek" dataDxfId="0"/>
    <tableColumn id="2" name="Название таблицы STAGE" dataDxfId="1"/>
    <tableColumn id="3" name="Название поля" dataDxfId="2"/>
    <tableColumn id="4" name="Тип поля" dataDxfId="3"/>
    <tableColumn id="5" name="Первичный ключ" dataDxfId="4"/>
    <tableColumn id="6" name="NULL?" dataDxfId="5"/>
    <tableColumn id="7" name="Описание поля" dataDxfId="6"/>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rget_tables" ref="A2:E25">
  <autoFilter ref="A2:E25"/>
  <tableColumns count="5">
    <tableColumn id="1" name="Table Name" dataDxfId="7"/>
    <tableColumn id="2" name="Table Entity Definition" dataDxfId="8"/>
    <tableColumn id="3" name="Table Entity Note" dataDxfId="9"/>
    <tableColumn id="4" name="Table Is In Subject Area Name" dataDxfId="10"/>
    <tableColumn id="5" name="Суффикс N-таблицы" dataDxfId="11"/>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rget_columns" ref="A2:J249">
  <autoFilter ref="A2:J249"/>
  <tableColumns count="10">
    <tableColumn id="1" name="Seek" dataDxfId="12"/>
    <tableColumn id="2" name="Column Table Name" dataDxfId="13"/>
    <tableColumn id="3" name="ColumnName" dataDxfId="14"/>
    <tableColumn id="4" name="Column Datatype" dataDxfId="15"/>
    <tableColumn id="5" name="Column Null Option" dataDxfId="16"/>
    <tableColumn id="6" name="Column Physical Only" dataDxfId="17"/>
    <tableColumn id="7" name="Column Is PK" dataDxfId="18"/>
    <tableColumn id="8" name="Column Is FK" dataDxfId="19"/>
    <tableColumn id="9" name="Column Attribute Definition" dataDxfId="20"/>
    <tableColumn id="10" name="Column Attribute Note" dataDxfId="21"/>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Таблица119" ref="A2:G49">
  <autoFilter ref="A2:G49"/>
  <tableColumns count="7">
    <tableColumn id="1" name="Название объекта" dataDxfId="22"/>
    <tableColumn id="2" name="Тип объекта" dataDxfId="23"/>
    <tableColumn id="3" name="SQL" dataDxfId="24"/>
    <tableColumn id="4" name="СОД" dataDxfId="25"/>
    <tableColumn id="5" name="Словесное описание" dataDxfId="26"/>
    <tableColumn id="6" name="Комментарий" dataDxfId="27"/>
    <tableColumn id="7" name="Дата " dataDxfId="28"/>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Роль_в_истории" ref="C1:C7">
  <autoFilter ref="C1:C7"/>
  <tableColumns count="1">
    <tableColumn id="1" name="Роль в истории"/>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displayName="СОД" ref="A1:A6">
  <autoFilter ref="A1:A6"/>
  <tableColumns count="1">
    <tableColumn id="1" name="СОД"/>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displayName="Буль" ref="E1:E3">
  <autoFilter ref="E1:E3"/>
  <tableColumns count="1">
    <tableColumn id="1" name="Буль"/>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displayName="Valid_from_workaround" ref="G1:G4">
  <autoFilter ref="G1:G4"/>
  <tableColumns count="1">
    <tableColumn id="1" name="Valid from workaround"/>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displayName="S2T_Type" ref="K1:K3">
  <autoFilter ref="K1:K3"/>
  <tableColumns count="1">
    <tableColumn id="1" name="Тип S2T"/>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2.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3.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table" Target="../tables/table4.xml"/></Relationships>
</file>

<file path=xl/worksheets/_rels/sheet9.xml.rels><?xml version="1.0" encoding="UTF-8" standalone="yes"?><Relationships xmlns="http://schemas.openxmlformats.org/package/2006/relationships"><Relationship  Id="rId6" Type="http://schemas.openxmlformats.org/officeDocument/2006/relationships/table" Target="../tables/table9.xml"/><Relationship  Id="rId1" Type="http://schemas.openxmlformats.org/officeDocument/2006/relationships/drawing" Target="../drawings/drawing9.xml"/><Relationship  Id="rId2" Type="http://schemas.openxmlformats.org/officeDocument/2006/relationships/table" Target="../tables/table5.xml"/><Relationship  Id="rId3" Type="http://schemas.openxmlformats.org/officeDocument/2006/relationships/table" Target="../tables/table6.xml"/><Relationship  Id="rId4" Type="http://schemas.openxmlformats.org/officeDocument/2006/relationships/table" Target="../tables/table7.xml"/><Relationship  Id="rId5"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90" workbookViewId="0">
      <selection activeCell="A1" activeCellId="0" sqref="A1"/>
    </sheetView>
  </sheetViews>
  <sheetFormatPr defaultColWidth="8.7109375" defaultRowHeight="14.25"/>
  <cols>
    <col bestFit="1" customWidth="1" min="1" max="1" style="1" width="7.5703125"/>
    <col customWidth="1" min="2" max="2" style="1" width="9.7109375"/>
    <col bestFit="1" customWidth="1" min="3" max="3" style="1" width="27.28515625"/>
    <col customWidth="1" min="4" max="4" style="1" width="62"/>
    <col customWidth="1" min="5" max="5" style="1" width="21.28515625"/>
    <col customWidth="1" min="6" max="6" style="1" width="39.42578125"/>
    <col min="7" max="16384" style="1" width="8.7109375"/>
  </cols>
  <sheetData>
    <row r="1" ht="25.5">
      <c r="A1" s="2" t="s">
        <v>0</v>
      </c>
      <c r="B1" s="2" t="s">
        <v>1</v>
      </c>
      <c r="C1" s="2" t="s">
        <v>2</v>
      </c>
      <c r="D1" s="2" t="s">
        <v>3</v>
      </c>
      <c r="E1" s="2" t="s">
        <v>4</v>
      </c>
      <c r="F1" s="2" t="s">
        <v>5</v>
      </c>
    </row>
    <row r="2" s="3" customFormat="1" ht="12">
      <c r="A2" s="4"/>
      <c r="B2" s="5"/>
      <c r="C2" s="5"/>
      <c r="D2" s="4"/>
      <c r="E2" s="4"/>
      <c r="F2" s="4"/>
    </row>
    <row r="3" s="3" customFormat="1" ht="12">
      <c r="A3" s="4"/>
      <c r="B3" s="5"/>
      <c r="C3" s="5"/>
      <c r="D3" s="4"/>
      <c r="E3" s="4"/>
      <c r="F3" s="4"/>
    </row>
    <row r="4" s="3" customFormat="1" ht="12">
      <c r="A4" s="4"/>
      <c r="B4" s="5"/>
      <c r="C4" s="5"/>
      <c r="D4" s="4"/>
      <c r="E4" s="4"/>
      <c r="F4" s="4"/>
    </row>
    <row r="5" s="3" customFormat="1" ht="12">
      <c r="A5" s="4"/>
      <c r="B5" s="5"/>
      <c r="C5" s="5"/>
      <c r="D5" s="4"/>
      <c r="E5" s="4"/>
      <c r="F5" s="4"/>
    </row>
    <row r="6" s="3" customFormat="1" ht="12">
      <c r="A6" s="4"/>
      <c r="B6" s="5"/>
      <c r="C6" s="5"/>
      <c r="D6" s="4"/>
      <c r="E6" s="4"/>
      <c r="F6" s="4"/>
    </row>
    <row r="7" s="3" customFormat="1" ht="12">
      <c r="A7" s="4"/>
      <c r="B7" s="5"/>
      <c r="C7" s="5"/>
      <c r="D7" s="4"/>
      <c r="E7" s="4"/>
      <c r="F7" s="4"/>
    </row>
    <row r="8" s="3" customFormat="1" ht="12">
      <c r="A8" s="4"/>
      <c r="B8" s="5"/>
      <c r="C8" s="5"/>
      <c r="D8" s="4"/>
      <c r="E8" s="4"/>
      <c r="F8" s="4"/>
    </row>
    <row r="9" s="3" customFormat="1" ht="12">
      <c r="A9" s="4"/>
      <c r="B9" s="5"/>
      <c r="C9" s="5"/>
      <c r="D9" s="4"/>
      <c r="E9" s="4"/>
      <c r="F9" s="4"/>
    </row>
    <row r="10" s="3" customFormat="1" ht="12">
      <c r="A10" s="4"/>
      <c r="B10" s="5"/>
      <c r="C10" s="5"/>
      <c r="D10" s="4"/>
      <c r="E10" s="4"/>
      <c r="F10" s="4"/>
    </row>
    <row r="11" s="3" customFormat="1" ht="12">
      <c r="A11" s="4"/>
      <c r="B11" s="5"/>
      <c r="C11" s="5"/>
      <c r="D11" s="4"/>
      <c r="E11" s="4"/>
      <c r="F11" s="4"/>
    </row>
    <row r="12" s="3" customFormat="1" ht="12">
      <c r="A12" s="4"/>
      <c r="B12" s="5"/>
      <c r="C12" s="5"/>
      <c r="D12" s="4"/>
      <c r="E12" s="4"/>
      <c r="F12" s="4"/>
    </row>
    <row r="13" s="3" customFormat="1" ht="12">
      <c r="A13" s="4"/>
      <c r="B13" s="5"/>
      <c r="C13" s="5"/>
      <c r="D13" s="4"/>
      <c r="E13" s="4"/>
      <c r="F13" s="4"/>
    </row>
    <row r="14" s="3" customFormat="1" ht="12">
      <c r="A14" s="4"/>
      <c r="B14" s="5"/>
      <c r="C14" s="5"/>
      <c r="D14" s="4"/>
      <c r="E14" s="4"/>
      <c r="F14" s="4"/>
    </row>
    <row r="15" s="3" customFormat="1" ht="12">
      <c r="A15" s="4"/>
      <c r="B15" s="5"/>
      <c r="C15" s="5"/>
      <c r="D15" s="4"/>
      <c r="E15" s="4"/>
      <c r="F15" s="4"/>
    </row>
    <row r="16" s="3" customFormat="1" ht="12">
      <c r="A16" s="4"/>
      <c r="B16" s="5"/>
      <c r="C16" s="5"/>
      <c r="D16" s="4"/>
      <c r="E16" s="4"/>
      <c r="F16" s="4"/>
    </row>
    <row r="17" s="3" customFormat="1" ht="12">
      <c r="A17" s="4"/>
      <c r="B17" s="5"/>
      <c r="C17" s="5"/>
      <c r="D17" s="4"/>
      <c r="E17" s="4"/>
      <c r="F17" s="4"/>
    </row>
    <row r="18" s="3" customFormat="1" ht="12">
      <c r="A18" s="4"/>
      <c r="B18" s="5"/>
      <c r="C18" s="5"/>
      <c r="D18" s="4"/>
      <c r="E18" s="4"/>
      <c r="F18" s="4"/>
    </row>
    <row r="19" s="3" customFormat="1" ht="12">
      <c r="A19" s="4"/>
      <c r="B19" s="5"/>
      <c r="C19" s="5"/>
      <c r="D19" s="4"/>
      <c r="E19" s="4"/>
      <c r="F19" s="4"/>
    </row>
    <row r="20" s="3" customFormat="1" ht="12">
      <c r="A20" s="4"/>
      <c r="B20" s="5"/>
      <c r="C20" s="5"/>
      <c r="D20" s="4"/>
      <c r="E20" s="4"/>
      <c r="F20" s="4"/>
    </row>
    <row r="21" s="3" customFormat="1" ht="12">
      <c r="A21" s="4"/>
      <c r="B21" s="5"/>
      <c r="C21" s="5"/>
      <c r="D21" s="4"/>
      <c r="E21" s="4"/>
      <c r="F21" s="4"/>
    </row>
    <row r="22" s="3" customFormat="1" ht="12">
      <c r="A22" s="4"/>
      <c r="B22" s="5"/>
      <c r="C22" s="5"/>
      <c r="D22" s="4"/>
      <c r="E22" s="4"/>
      <c r="F22" s="4"/>
    </row>
    <row r="23" s="3" customFormat="1" ht="12">
      <c r="A23" s="4"/>
      <c r="B23" s="5"/>
      <c r="C23" s="5"/>
      <c r="D23" s="4"/>
      <c r="E23" s="4"/>
      <c r="F23" s="4"/>
    </row>
    <row r="24" s="6" customFormat="1" ht="12">
      <c r="A24" s="7"/>
      <c r="B24" s="8"/>
      <c r="C24" s="8"/>
      <c r="D24" s="9"/>
      <c r="E24" s="7"/>
      <c r="F24" s="9"/>
    </row>
    <row r="25" s="6" customFormat="1" ht="12">
      <c r="A25" s="7"/>
      <c r="B25" s="8"/>
      <c r="C25" s="9"/>
      <c r="D25" s="9"/>
      <c r="E25" s="7"/>
      <c r="F25" s="9"/>
    </row>
    <row r="26" s="3" customFormat="1" ht="12"/>
    <row r="27" s="3" customFormat="1" ht="12"/>
    <row r="28" s="3" customFormat="1" ht="12"/>
    <row r="29" s="3" customFormat="1" ht="12"/>
    <row r="30" s="3" customFormat="1" ht="12"/>
    <row r="31" s="3" customFormat="1" ht="12"/>
    <row r="32" s="3" customFormat="1" ht="12"/>
    <row r="33" s="3" customFormat="1" ht="12"/>
    <row r="34" s="3" customFormat="1" ht="12"/>
    <row r="35" s="3" customFormat="1" ht="12"/>
    <row r="36" s="3" customFormat="1" ht="12"/>
    <row r="37" s="3" customFormat="1" ht="12"/>
    <row r="38" s="3" customFormat="1" ht="12"/>
    <row r="39" s="3" customFormat="1" ht="12"/>
    <row r="40" s="3" customFormat="1" ht="12"/>
    <row r="41" s="3" customFormat="1" ht="12"/>
    <row r="42" s="3" customFormat="1" ht="12"/>
    <row r="43" s="3" customFormat="1" ht="12"/>
    <row r="44" s="3" customFormat="1" ht="12"/>
    <row r="45" s="3" customFormat="1" ht="12"/>
    <row r="46" s="3" customFormat="1" ht="12"/>
    <row r="47" s="3" customFormat="1" ht="12"/>
    <row r="48" s="3" customFormat="1" ht="12"/>
    <row r="49" s="3" customFormat="1" ht="12"/>
    <row r="50" s="3" customFormat="1" ht="12"/>
    <row r="51" s="3" customFormat="1" ht="12"/>
    <row r="52" s="3" customFormat="1" ht="12"/>
    <row r="53" s="3" customFormat="1" ht="12"/>
    <row r="54" s="3" customFormat="1" ht="12"/>
    <row r="55" s="3" customFormat="1" ht="12"/>
    <row r="56" s="3" customFormat="1" ht="12"/>
    <row r="57" s="3" customFormat="1" ht="12"/>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1">
    <outlinePr applyStyles="0" summaryBelow="1" summaryRight="1" showOutlineSymbols="1"/>
    <pageSetUpPr autoPageBreaks="1" fitToPage="0"/>
  </sheetPr>
  <sheetViews>
    <sheetView showRuler="1" zoomScale="100" workbookViewId="0">
      <pane xSplit="4" ySplit="2" topLeftCell="E3" activePane="bottomRight" state="frozen"/>
      <selection activeCell="N100" activeCellId="0" sqref="N100"/>
    </sheetView>
  </sheetViews>
  <sheetFormatPr defaultColWidth="20.7109375" defaultRowHeight="15" customHeight="1" outlineLevelCol="1"/>
  <cols>
    <col customWidth="1" min="1" max="1" style="11" width="7.7109375"/>
    <col customWidth="1" hidden="1" min="2" max="3" outlineLevel="1" style="10" width="6"/>
    <col collapsed="1" customWidth="1" min="4" max="4" style="12" width="15.28515625"/>
    <col customWidth="1" hidden="1" min="5" max="5" outlineLevel="1" style="10" width="8.5703125"/>
    <col customWidth="1" hidden="1" min="6" max="6" outlineLevel="1" style="10" width="10.28515625"/>
    <col customWidth="1" hidden="1" min="7" max="7" outlineLevel="1" style="10" width="8.28515625"/>
    <col customWidth="1" hidden="1" min="8" max="8" outlineLevel="1" style="10" width="13"/>
    <col customWidth="1" hidden="1" min="9" max="9" outlineLevel="1" style="10" width="26.28515625"/>
    <col collapsed="1" customWidth="1" min="10" max="10" style="10" width="25.28515625"/>
    <col customWidth="1" min="11" max="11" style="10" width="28.42578125"/>
    <col customWidth="1" hidden="1" min="12" max="12" outlineLevel="1" style="10" width="12.5703125"/>
    <col customWidth="1" hidden="1" min="13" max="13" outlineLevel="1" style="13" width="27.28515625"/>
    <col collapsed="1" customWidth="1" min="14" max="14" style="13" width="27.28515625"/>
    <col customWidth="1" min="15" max="15" style="10" width="26.28515625"/>
    <col customWidth="1" min="16" max="16" style="10" width="45.42578125"/>
    <col customWidth="1" min="17" max="17" style="10" width="38.42578125"/>
    <col customWidth="1" min="18" max="18" style="10" width="15.28515625"/>
    <col customWidth="1" min="19" max="19" style="13" width="19.7109375"/>
    <col customWidth="1" min="20" max="20" style="11" width="36.7109375"/>
    <col customWidth="1" min="21" max="21" style="14" width="12.5703125"/>
    <col customWidth="1" min="22" max="22" style="10" width="36.7109375"/>
    <col min="23" max="16384" style="10" width="20.7109375"/>
  </cols>
  <sheetData>
    <row r="1" ht="15" customHeight="1"/>
    <row r="2" s="15" customFormat="1" ht="39.75" customHeight="1">
      <c r="A2" s="16" t="s">
        <v>6</v>
      </c>
      <c r="B2" s="16" t="s">
        <v>7</v>
      </c>
      <c r="C2" s="17" t="s">
        <v>8</v>
      </c>
      <c r="D2" s="18" t="s">
        <v>9</v>
      </c>
      <c r="E2" s="16" t="s">
        <v>10</v>
      </c>
      <c r="F2" s="16" t="s">
        <v>11</v>
      </c>
      <c r="G2" s="16" t="s">
        <v>12</v>
      </c>
      <c r="H2" s="16" t="s">
        <v>13</v>
      </c>
      <c r="I2" s="17" t="s">
        <v>14</v>
      </c>
      <c r="J2" s="19" t="s">
        <v>15</v>
      </c>
      <c r="K2" s="20" t="s">
        <v>16</v>
      </c>
      <c r="L2" s="20" t="s">
        <v>17</v>
      </c>
      <c r="M2" s="20" t="s">
        <v>18</v>
      </c>
      <c r="N2" s="21" t="s">
        <v>19</v>
      </c>
      <c r="O2" s="21" t="s">
        <v>20</v>
      </c>
      <c r="P2" s="20" t="s">
        <v>21</v>
      </c>
      <c r="Q2" s="20" t="s">
        <v>22</v>
      </c>
      <c r="R2" s="22" t="s">
        <v>23</v>
      </c>
      <c r="S2" s="22" t="s">
        <v>24</v>
      </c>
      <c r="T2" s="23" t="s">
        <v>25</v>
      </c>
      <c r="U2" s="24" t="s">
        <v>1</v>
      </c>
      <c r="V2" s="23" t="s">
        <v>26</v>
      </c>
    </row>
    <row r="3" ht="15" customHeight="1">
      <c r="A3" s="25">
        <v>10</v>
      </c>
      <c r="B3" s="26"/>
      <c r="C3" s="26"/>
      <c r="D3" s="27" t="s">
        <v>27</v>
      </c>
      <c r="E3" s="28" t="str">
        <f>IFERROR(VLOOKUP($D3&amp;$J3, target_columns[], 4, 0),"")</f>
        <v>date</v>
      </c>
      <c r="F3" s="28" t="str">
        <f>IFERROR(VLOOKUP($D3&amp;$J3, target_columns[], 7, 0),"")</f>
        <v>No</v>
      </c>
      <c r="G3" s="28" t="str">
        <f>IFERROR(VLOOKUP($D3&amp;$J3, target_columns[], 8, 0),"")</f>
        <v>No</v>
      </c>
      <c r="H3" s="28" t="str">
        <f>IFERROR(VLOOKUP($D3&amp;$J3, target_columns[], 5, 0),"")</f>
        <v>NULL</v>
      </c>
      <c r="I3" s="28" t="str">
        <f>IFERROR(VLOOKUP($D3&amp;$J3, target_columns[], 10, 0),"")</f>
        <v xml:space="preserve">Дата открытия</v>
      </c>
      <c r="J3" s="27" t="s">
        <v>28</v>
      </c>
      <c r="K3" s="26" t="s">
        <v>29</v>
      </c>
      <c r="L3" s="28" t="str">
        <f>IFERROR(VLOOKUP(UPPER(K3&amp;N3), source_columns[], 4,0),"")</f>
        <v/>
      </c>
      <c r="M3" s="28" t="str">
        <f>IFERROR(VLOOKUP(UPPER(K3&amp;N3), source_columns[], 7,0),"")</f>
        <v/>
      </c>
      <c r="N3" s="26" t="s">
        <v>30</v>
      </c>
      <c r="O3" s="26"/>
      <c r="P3" s="29"/>
      <c r="Q3" s="28" t="str">
        <f>"n306000041_"&amp;IFERROR(VLOOKUP(D3,target_tables[],5,0),"&lt;not found&gt;")</f>
        <v>n306000041_agr_rko</v>
      </c>
      <c r="R3" s="26" t="s">
        <v>31</v>
      </c>
      <c r="S3" s="30" t="s">
        <v>32</v>
      </c>
      <c r="T3" s="26" t="s">
        <v>33</v>
      </c>
      <c r="U3" s="31">
        <v>45370</v>
      </c>
      <c r="V3" s="26"/>
    </row>
    <row r="4" ht="15" customHeight="1">
      <c r="A4" s="32">
        <v>20</v>
      </c>
      <c r="B4" s="26"/>
      <c r="C4" s="26"/>
      <c r="D4" s="27" t="s">
        <v>27</v>
      </c>
      <c r="E4" s="28" t="str">
        <f>IFERROR(VLOOKUP($D4&amp;$J4,target_columns[],4,0),"")</f>
        <v>date</v>
      </c>
      <c r="F4" s="28" t="str">
        <f>IFERROR(VLOOKUP($D4&amp;$J4,target_columns[],7,0),"")</f>
        <v>No</v>
      </c>
      <c r="G4" s="28" t="str">
        <f>IFERROR(VLOOKUP($D4&amp;$J4,target_columns[],8,0),"")</f>
        <v>No</v>
      </c>
      <c r="H4" s="28" t="str">
        <f>IFERROR(VLOOKUP($D4&amp;$J4,target_columns[],5,0),"")</f>
        <v>NULL</v>
      </c>
      <c r="I4" s="28" t="str">
        <f>IFERROR(VLOOKUP($D4&amp;$J4,target_columns[],10,0),"")</f>
        <v xml:space="preserve">Дата закрытия</v>
      </c>
      <c r="J4" s="27" t="s">
        <v>34</v>
      </c>
      <c r="K4" s="26" t="s">
        <v>29</v>
      </c>
      <c r="L4" s="28" t="str">
        <f>IFERROR(VLOOKUP(UPPER(K4&amp;N4),source_columns[],4,0),"")</f>
        <v/>
      </c>
      <c r="M4" s="28" t="str">
        <f>IFERROR(VLOOKUP(UPPER(K4&amp;N4),source_columns[],7,0),"")</f>
        <v/>
      </c>
      <c r="N4" s="26" t="s">
        <v>35</v>
      </c>
      <c r="O4" s="26"/>
      <c r="P4" s="33"/>
      <c r="Q4" s="28" t="str">
        <f>"n306000041_"&amp;IFERROR(VLOOKUP(D4,target_tables[],5,0),"&lt;not found&gt;")</f>
        <v>n306000041_agr_rko</v>
      </c>
      <c r="R4" s="26" t="s">
        <v>31</v>
      </c>
      <c r="S4" s="34"/>
      <c r="T4" s="26" t="s">
        <v>33</v>
      </c>
      <c r="U4" s="31">
        <v>45370</v>
      </c>
      <c r="V4" s="26"/>
    </row>
    <row r="5" ht="15" customHeight="1">
      <c r="A5" s="32">
        <v>30</v>
      </c>
      <c r="B5" s="26"/>
      <c r="C5" s="26"/>
      <c r="D5" s="27" t="s">
        <v>27</v>
      </c>
      <c r="E5" s="28" t="str">
        <f>IFERROR(VLOOKUP($D5&amp;$J5,target_columns[],4,0),"")</f>
        <v>text</v>
      </c>
      <c r="F5" s="28" t="str">
        <f>IFERROR(VLOOKUP($D5&amp;$J5,target_columns[],7,0),"")</f>
        <v>No</v>
      </c>
      <c r="G5" s="28" t="str">
        <f>IFERROR(VLOOKUP($D5&amp;$J5,target_columns[],8,0),"")</f>
        <v>No</v>
      </c>
      <c r="H5" s="28" t="str">
        <f>IFERROR(VLOOKUP($D5&amp;$J5,target_columns[],5,0),"")</f>
        <v>NULL</v>
      </c>
      <c r="I5" s="28" t="str">
        <f>IFERROR(VLOOKUP($D5&amp;$J5,target_columns[],10,0),"")</f>
        <v xml:space="preserve">Номер договора</v>
      </c>
      <c r="J5" s="27" t="s">
        <v>36</v>
      </c>
      <c r="K5" s="26" t="s">
        <v>29</v>
      </c>
      <c r="L5" s="28" t="str">
        <f>IFERROR(VLOOKUP(UPPER(K5&amp;N5),source_columns[],4,0),"")</f>
        <v/>
      </c>
      <c r="M5" s="28" t="str">
        <f>IFERROR(VLOOKUP(UPPER(K5&amp;N5),source_columns[],7,0),"")</f>
        <v/>
      </c>
      <c r="N5" s="35" t="s">
        <v>37</v>
      </c>
      <c r="O5" s="26"/>
      <c r="P5" s="33"/>
      <c r="Q5" s="28" t="str">
        <f>"n306000041_"&amp;IFERROR(VLOOKUP(D5,target_tables[],5,0),"&lt;not found&gt;")</f>
        <v>n306000041_agr_rko</v>
      </c>
      <c r="R5" s="26" t="s">
        <v>31</v>
      </c>
      <c r="S5" s="34"/>
      <c r="T5" s="26" t="s">
        <v>33</v>
      </c>
      <c r="U5" s="31">
        <v>45370</v>
      </c>
      <c r="V5" s="26"/>
    </row>
    <row r="6" ht="15" customHeight="1">
      <c r="A6" s="32">
        <v>40</v>
      </c>
      <c r="B6" s="26"/>
      <c r="C6" s="26"/>
      <c r="D6" s="27" t="s">
        <v>27</v>
      </c>
      <c r="E6" s="28" t="str">
        <f>IFERROR(VLOOKUP($D6&amp;$J6,target_columns[],4,0),"")</f>
        <v>bigint</v>
      </c>
      <c r="F6" s="28" t="str">
        <f>IFERROR(VLOOKUP($D6&amp;$J6,target_columns[],7,0),"")</f>
        <v>No</v>
      </c>
      <c r="G6" s="28" t="str">
        <f>IFERROR(VLOOKUP($D6&amp;$J6,target_columns[],8,0),"")</f>
        <v>No</v>
      </c>
      <c r="H6" s="28" t="str">
        <f>IFERROR(VLOOKUP($D6&amp;$J6,target_columns[],5,0),"")</f>
        <v>NULL</v>
      </c>
      <c r="I6" s="28" t="str">
        <f>IFERROR(VLOOKUP($D6&amp;$J6,target_columns[],10,0),"")</f>
        <v xml:space="preserve">Уникальный идентификатор договора в системе-источнике</v>
      </c>
      <c r="J6" s="27" t="s">
        <v>38</v>
      </c>
      <c r="K6" s="26" t="s">
        <v>29</v>
      </c>
      <c r="L6" s="28" t="str">
        <f>IFERROR(VLOOKUP(UPPER(K6&amp;N6),source_columns[],4,0),"")</f>
        <v/>
      </c>
      <c r="M6" s="28" t="str">
        <f>IFERROR(VLOOKUP(UPPER(K6&amp;N6),source_columns[],7,0),"")</f>
        <v/>
      </c>
      <c r="N6" s="36" t="s">
        <v>39</v>
      </c>
      <c r="O6" s="26"/>
      <c r="P6" s="33"/>
      <c r="Q6" s="28" t="str">
        <f>"n306000041_"&amp;IFERROR(VLOOKUP(D6,target_tables[],5,0),"&lt;not found&gt;")</f>
        <v>n306000041_agr_rko</v>
      </c>
      <c r="R6" s="26" t="s">
        <v>31</v>
      </c>
      <c r="S6" s="34"/>
      <c r="T6" s="26" t="s">
        <v>33</v>
      </c>
      <c r="U6" s="31">
        <v>45370</v>
      </c>
      <c r="V6" s="26"/>
    </row>
    <row r="7" ht="15" customHeight="1">
      <c r="A7" s="32">
        <v>50</v>
      </c>
      <c r="B7" s="26"/>
      <c r="C7" s="26"/>
      <c r="D7" s="27" t="s">
        <v>27</v>
      </c>
      <c r="E7" s="28" t="str">
        <f>IFERROR(VLOOKUP($D7&amp;$J7,target_columns[],4,0),"")</f>
        <v>uuid</v>
      </c>
      <c r="F7" s="28" t="str">
        <f>IFERROR(VLOOKUP($D7&amp;$J7,target_columns[],7,0),"")</f>
        <v>No</v>
      </c>
      <c r="G7" s="28" t="str">
        <f>IFERROR(VLOOKUP($D7&amp;$J7,target_columns[],8,0),"")</f>
        <v>Yes</v>
      </c>
      <c r="H7" s="28" t="str">
        <f>IFERROR(VLOOKUP($D7&amp;$J7,target_columns[],5,0),"")</f>
        <v>NULL</v>
      </c>
      <c r="I7" s="28" t="str">
        <f>IFERROR(VLOOKUP($D7&amp;$J7,target_columns[],10,0),"")</f>
        <v xml:space="preserve">Валюта договора</v>
      </c>
      <c r="J7" s="27" t="s">
        <v>40</v>
      </c>
      <c r="K7" s="26" t="s">
        <v>29</v>
      </c>
      <c r="L7" s="28" t="str">
        <f>IFERROR(VLOOKUP(UPPER(K7&amp;N7),source_columns[],4,0),"")</f>
        <v/>
      </c>
      <c r="M7" s="28" t="str">
        <f>IFERROR(VLOOKUP(UPPER(K7&amp;N7),source_columns[],7,0),"")</f>
        <v/>
      </c>
      <c r="N7" s="36" t="s">
        <v>41</v>
      </c>
      <c r="O7" s="26"/>
      <c r="P7" s="33"/>
      <c r="Q7" s="28" t="str">
        <f>"n306000041_"&amp;IFERROR(VLOOKUP(D7,target_tables[],5,0),"&lt;not found&gt;")</f>
        <v>n306000041_agr_rko</v>
      </c>
      <c r="R7" s="26" t="s">
        <v>31</v>
      </c>
      <c r="S7" s="34"/>
      <c r="T7" s="26" t="s">
        <v>33</v>
      </c>
      <c r="U7" s="31">
        <v>45370</v>
      </c>
      <c r="V7" s="26"/>
    </row>
    <row r="8" ht="15" customHeight="1">
      <c r="A8" s="32">
        <v>60</v>
      </c>
      <c r="B8" s="26"/>
      <c r="C8" s="26"/>
      <c r="D8" s="27" t="s">
        <v>27</v>
      </c>
      <c r="E8" s="28" t="str">
        <f>IFERROR(VLOOKUP($D8&amp;$J8,target_columns[],4,0),"")</f>
        <v>uuid</v>
      </c>
      <c r="F8" s="28" t="str">
        <f>IFERROR(VLOOKUP($D8&amp;$J8,target_columns[],7,0),"")</f>
        <v>No</v>
      </c>
      <c r="G8" s="28" t="str">
        <f>IFERROR(VLOOKUP($D8&amp;$J8,target_columns[],8,0),"")</f>
        <v>Yes</v>
      </c>
      <c r="H8" s="28" t="str">
        <f>IFERROR(VLOOKUP($D8&amp;$J8,target_columns[],5,0),"")</f>
        <v>NULL</v>
      </c>
      <c r="I8" s="28" t="str">
        <f>IFERROR(VLOOKUP($D8&amp;$J8,target_columns[],10,0),"")</f>
        <v xml:space="preserve">Целевое назначение договора (счета)</v>
      </c>
      <c r="J8" s="27" t="s">
        <v>42</v>
      </c>
      <c r="K8" s="26" t="s">
        <v>29</v>
      </c>
      <c r="L8" s="28" t="str">
        <f>IFERROR(VLOOKUP(UPPER(K8&amp;N8),source_columns[],4,0),"")</f>
        <v/>
      </c>
      <c r="M8" s="28" t="str">
        <f>IFERROR(VLOOKUP(UPPER(K8&amp;N8),source_columns[],7,0),"")</f>
        <v/>
      </c>
      <c r="N8" s="35" t="s">
        <v>43</v>
      </c>
      <c r="O8" s="26"/>
      <c r="P8" s="33"/>
      <c r="Q8" s="28" t="str">
        <f>"n306000041_"&amp;IFERROR(VLOOKUP(D8,target_tables[],5,0),"&lt;not found&gt;")</f>
        <v>n306000041_agr_rko</v>
      </c>
      <c r="R8" s="26" t="s">
        <v>31</v>
      </c>
      <c r="S8" s="34"/>
      <c r="T8" s="26" t="s">
        <v>33</v>
      </c>
      <c r="U8" s="31">
        <v>45370</v>
      </c>
      <c r="V8" s="26"/>
    </row>
    <row r="9" s="37" customFormat="1" ht="15" customHeight="1">
      <c r="A9" s="38">
        <v>70</v>
      </c>
      <c r="B9" s="39"/>
      <c r="C9" s="39"/>
      <c r="D9" s="40" t="s">
        <v>27</v>
      </c>
      <c r="E9" s="41" t="str">
        <f>IFERROR(VLOOKUP($D9&amp;$J9,target_columns[],4,0),"")</f>
        <v>uuid</v>
      </c>
      <c r="F9" s="41" t="str">
        <f>IFERROR(VLOOKUP($D9&amp;$J9,target_columns[],7,0),"")</f>
        <v>Yes</v>
      </c>
      <c r="G9" s="41" t="str">
        <f>IFERROR(VLOOKUP($D9&amp;$J9,target_columns[],8,0),"")</f>
        <v>No</v>
      </c>
      <c r="H9" s="41" t="str">
        <f>IFERROR(VLOOKUP($D9&amp;$J9,target_columns[],5,0),"")</f>
        <v xml:space="preserve">NOT NULL</v>
      </c>
      <c r="I9" s="41" t="str">
        <f>IFERROR(VLOOKUP($D9&amp;$J9,target_columns[],10,0),"")</f>
        <v xml:space="preserve">Уникальный идентификатор договора</v>
      </c>
      <c r="J9" s="40" t="s">
        <v>44</v>
      </c>
      <c r="K9" s="39" t="s">
        <v>29</v>
      </c>
      <c r="L9" s="41" t="str">
        <f>IFERROR(VLOOKUP(UPPER(K9&amp;N9),source_columns[],4,0),"")</f>
        <v/>
      </c>
      <c r="M9" s="41" t="str">
        <f>IFERROR(VLOOKUP(UPPER(K9&amp;N9),source_columns[],7,0),"")</f>
        <v/>
      </c>
      <c r="N9" s="39" t="s">
        <v>45</v>
      </c>
      <c r="O9" s="39"/>
      <c r="P9" s="42"/>
      <c r="Q9" s="28" t="str">
        <f>"n306000041_"&amp;IFERROR(VLOOKUP(D9,target_tables[],5,0),"&lt;not found&gt;")</f>
        <v>n306000041_agr_rko</v>
      </c>
      <c r="R9" s="39" t="s">
        <v>46</v>
      </c>
      <c r="S9" s="34"/>
      <c r="T9" s="39" t="s">
        <v>33</v>
      </c>
      <c r="U9" s="43">
        <v>45370</v>
      </c>
      <c r="V9" s="39"/>
    </row>
    <row r="10" ht="15" customHeight="1">
      <c r="A10" s="44">
        <v>100</v>
      </c>
      <c r="B10" s="45"/>
      <c r="C10" s="45"/>
      <c r="D10" s="46" t="s">
        <v>47</v>
      </c>
      <c r="E10" s="47" t="str">
        <f>IFERROR(VLOOKUP($D10&amp;$J10, target_columns[], 4, 0),"")</f>
        <v>uuid</v>
      </c>
      <c r="F10" s="47" t="str">
        <f>IFERROR(VLOOKUP($D10&amp;$J10, target_columns[], 7, 0),"")</f>
        <v>Yes</v>
      </c>
      <c r="G10" s="47" t="str">
        <f>IFERROR(VLOOKUP($D10&amp;$J10, target_columns[], 8, 0),"")</f>
        <v>Yes</v>
      </c>
      <c r="H10" s="47" t="str">
        <f>IFERROR(VLOOKUP($D10&amp;$J10, target_columns[], 5, 0),"")</f>
        <v xml:space="preserve">NOT NULL</v>
      </c>
      <c r="I10" s="47" t="str">
        <f>IFERROR(VLOOKUP($D10&amp;$J10, target_columns[], 10, 0),"")</f>
        <v xml:space="preserve">Уникальный идентификатор договора</v>
      </c>
      <c r="J10" s="46" t="s">
        <v>44</v>
      </c>
      <c r="K10" s="45" t="s">
        <v>29</v>
      </c>
      <c r="L10" s="47" t="str">
        <f>IFERROR(VLOOKUP(UPPER(K10&amp;N10), source_columns[], 4,0),"")</f>
        <v/>
      </c>
      <c r="M10" s="47" t="str">
        <f>IFERROR(VLOOKUP(UPPER(K10&amp;N10), source_columns[], 7,0),"")</f>
        <v/>
      </c>
      <c r="N10" s="45" t="s">
        <v>45</v>
      </c>
      <c r="O10" s="45"/>
      <c r="P10" s="29"/>
      <c r="Q10" s="28" t="str">
        <f>"n306000041_"&amp;IFERROR(VLOOKUP(D10,target_tables[],5,0),"&lt;not found&gt;")</f>
        <v>n306000041_agr_rko_cust</v>
      </c>
      <c r="R10" s="45" t="s">
        <v>46</v>
      </c>
      <c r="S10" s="48" t="s">
        <v>48</v>
      </c>
      <c r="T10" s="45" t="s">
        <v>33</v>
      </c>
      <c r="U10" s="49">
        <v>45370</v>
      </c>
      <c r="V10" s="45"/>
    </row>
    <row r="11" ht="15" customHeight="1">
      <c r="A11" s="32">
        <v>110</v>
      </c>
      <c r="B11" s="26"/>
      <c r="C11" s="26"/>
      <c r="D11" s="46" t="s">
        <v>47</v>
      </c>
      <c r="E11" s="28" t="str">
        <f>IFERROR(VLOOKUP($D11&amp;$J11,target_columns[],4,0),"")</f>
        <v>date</v>
      </c>
      <c r="F11" s="28" t="str">
        <f>IFERROR(VLOOKUP($D11&amp;$J11,target_columns[],7,0),"")</f>
        <v>Yes</v>
      </c>
      <c r="G11" s="28" t="str">
        <f>IFERROR(VLOOKUP($D11&amp;$J11,target_columns[],8,0),"")</f>
        <v>No</v>
      </c>
      <c r="H11" s="28" t="str">
        <f>IFERROR(VLOOKUP($D11&amp;$J11,target_columns[],5,0),"")</f>
        <v>NULL</v>
      </c>
      <c r="I11" s="28" t="str">
        <f>IFERROR(VLOOKUP($D11&amp;$J11,target_columns[],10,0),"")</f>
        <v xml:space="preserve">Дата начала действия связи</v>
      </c>
      <c r="J11" s="27" t="s">
        <v>49</v>
      </c>
      <c r="K11" s="26" t="s">
        <v>50</v>
      </c>
      <c r="L11" s="28" t="str">
        <f>IFERROR(VLOOKUP(UPPER(K11&amp;N11),source_columns[],4,0),"")</f>
        <v/>
      </c>
      <c r="M11" s="28" t="str">
        <f>IFERROR(VLOOKUP(UPPER(K11&amp;N11),source_columns[],7,0),"")</f>
        <v/>
      </c>
      <c r="N11" s="26" t="s">
        <v>51</v>
      </c>
      <c r="O11" s="26" t="s">
        <v>52</v>
      </c>
      <c r="P11" s="33"/>
      <c r="Q11" s="28" t="str">
        <f>"n306000041_"&amp;IFERROR(VLOOKUP(D11,target_tables[],5,0),"&lt;not found&gt;")</f>
        <v>n306000041_agr_rko_cust</v>
      </c>
      <c r="R11" s="26" t="s">
        <v>53</v>
      </c>
      <c r="S11" s="34"/>
      <c r="T11" s="26" t="s">
        <v>33</v>
      </c>
      <c r="U11" s="31">
        <v>45370</v>
      </c>
      <c r="V11" s="26"/>
    </row>
    <row r="12" ht="15" customHeight="1">
      <c r="A12" s="32">
        <v>120</v>
      </c>
      <c r="B12" s="26"/>
      <c r="C12" s="26"/>
      <c r="D12" s="46" t="s">
        <v>47</v>
      </c>
      <c r="E12" s="28" t="str">
        <f>IFERROR(VLOOKUP($D12&amp;$J12,target_columns[],4,0),"")</f>
        <v>date</v>
      </c>
      <c r="F12" s="28" t="str">
        <f>IFERROR(VLOOKUP($D12&amp;$J12,target_columns[],7,0),"")</f>
        <v>No</v>
      </c>
      <c r="G12" s="28" t="str">
        <f>IFERROR(VLOOKUP($D12&amp;$J12,target_columns[],8,0),"")</f>
        <v>No</v>
      </c>
      <c r="H12" s="28" t="str">
        <f>IFERROR(VLOOKUP($D12&amp;$J12,target_columns[],5,0),"")</f>
        <v>NULL</v>
      </c>
      <c r="I12" s="28" t="str">
        <f>IFERROR(VLOOKUP($D12&amp;$J12,target_columns[],10,0),"")</f>
        <v xml:space="preserve">Дата окончания действия связи</v>
      </c>
      <c r="J12" s="27" t="s">
        <v>54</v>
      </c>
      <c r="K12" s="26" t="s">
        <v>50</v>
      </c>
      <c r="L12" s="28" t="str">
        <f>IFERROR(VLOOKUP(UPPER(K12&amp;N12),source_columns[],4,0),"")</f>
        <v/>
      </c>
      <c r="M12" s="28" t="str">
        <f>IFERROR(VLOOKUP(UPPER(K12&amp;N12),source_columns[],7,0),"")</f>
        <v/>
      </c>
      <c r="N12" s="26" t="s">
        <v>50</v>
      </c>
      <c r="O12" s="39" t="s">
        <v>55</v>
      </c>
      <c r="P12" s="33"/>
      <c r="Q12" s="28" t="str">
        <f>"n306000041_"&amp;IFERROR(VLOOKUP(D12,target_tables[],5,0),"&lt;not found&gt;")</f>
        <v>n306000041_agr_rko_cust</v>
      </c>
      <c r="R12" s="26" t="s">
        <v>56</v>
      </c>
      <c r="S12" s="34"/>
      <c r="T12" s="26" t="s">
        <v>33</v>
      </c>
      <c r="U12" s="31">
        <v>45370</v>
      </c>
      <c r="V12" s="26"/>
    </row>
    <row r="13" s="37" customFormat="1" ht="15" customHeight="1">
      <c r="A13" s="50">
        <v>130</v>
      </c>
      <c r="B13" s="39"/>
      <c r="C13" s="39"/>
      <c r="D13" s="51" t="s">
        <v>47</v>
      </c>
      <c r="E13" s="41" t="str">
        <f>IFERROR(VLOOKUP($D13&amp;$J13,target_columns[],4,0),"")</f>
        <v>uuid</v>
      </c>
      <c r="F13" s="41" t="str">
        <f>IFERROR(VLOOKUP($D13&amp;$J13,target_columns[],7,0),"")</f>
        <v>No</v>
      </c>
      <c r="G13" s="41" t="str">
        <f>IFERROR(VLOOKUP($D13&amp;$J13,target_columns[],8,0),"")</f>
        <v>Yes</v>
      </c>
      <c r="H13" s="41" t="str">
        <f>IFERROR(VLOOKUP($D13&amp;$J13,target_columns[],5,0),"")</f>
        <v>NULL</v>
      </c>
      <c r="I13" s="41" t="str">
        <f>IFERROR(VLOOKUP($D13&amp;$J13,target_columns[],10,0),"")</f>
        <v xml:space="preserve">Клиент по договору</v>
      </c>
      <c r="J13" s="40" t="s">
        <v>57</v>
      </c>
      <c r="K13" s="39" t="s">
        <v>29</v>
      </c>
      <c r="L13" s="41" t="str">
        <f>IFERROR(VLOOKUP(UPPER(K13&amp;N13),source_columns[],4,0),"")</f>
        <v/>
      </c>
      <c r="M13" s="41" t="str">
        <f>IFERROR(VLOOKUP(UPPER(K13&amp;N13),source_columns[],7,0),"")</f>
        <v/>
      </c>
      <c r="N13" s="52" t="s">
        <v>58</v>
      </c>
      <c r="O13" s="39"/>
      <c r="P13" s="33"/>
      <c r="Q13" s="28" t="str">
        <f>"n306000041_"&amp;IFERROR(VLOOKUP(D13,target_tables[],5,0),"&lt;not found&gt;")</f>
        <v>n306000041_agr_rko_cust</v>
      </c>
      <c r="R13" s="39" t="s">
        <v>31</v>
      </c>
      <c r="S13" s="53"/>
      <c r="T13" s="39" t="s">
        <v>33</v>
      </c>
      <c r="U13" s="43">
        <v>45370</v>
      </c>
      <c r="V13" s="39"/>
    </row>
    <row r="14" ht="15" customHeight="1">
      <c r="A14" s="44">
        <v>180</v>
      </c>
      <c r="B14" s="45"/>
      <c r="C14" s="45"/>
      <c r="D14" s="27" t="s">
        <v>59</v>
      </c>
      <c r="E14" s="47" t="str">
        <f>IFERROR(VLOOKUP($D14&amp;$J14,target_columns[],4,0),"")</f>
        <v>uuid</v>
      </c>
      <c r="F14" s="47" t="str">
        <f>IFERROR(VLOOKUP($D14&amp;$J14,target_columns[],7,0),"")</f>
        <v>Yes</v>
      </c>
      <c r="G14" s="47" t="str">
        <f>IFERROR(VLOOKUP($D14&amp;$J14,target_columns[],8,0),"")</f>
        <v>Yes</v>
      </c>
      <c r="H14" s="47" t="str">
        <f>IFERROR(VLOOKUP($D14&amp;$J14,target_columns[],5,0),"")</f>
        <v xml:space="preserve">NOT NULL</v>
      </c>
      <c r="I14" s="47" t="str">
        <f>IFERROR(VLOOKUP($D14&amp;$J14,target_columns[],10,0),"")</f>
        <v xml:space="preserve">Уникальный идентификатор договора</v>
      </c>
      <c r="J14" s="46" t="s">
        <v>44</v>
      </c>
      <c r="K14" s="45" t="s">
        <v>29</v>
      </c>
      <c r="L14" s="28" t="str">
        <f>IFERROR(VLOOKUP(UPPER(K14&amp;N14),source_columns[],4,0),"")</f>
        <v/>
      </c>
      <c r="M14" s="28" t="str">
        <f>IFERROR(VLOOKUP(UPPER(K14&amp;N14),source_columns[],7,0),"")</f>
        <v/>
      </c>
      <c r="N14" s="45" t="s">
        <v>45</v>
      </c>
      <c r="O14" s="26"/>
      <c r="P14" s="54"/>
      <c r="Q14" s="28" t="str">
        <f>"n306000041_"&amp;IFERROR(VLOOKUP(D14,target_tables[],5,0),"&lt;not found&gt;")</f>
        <v>n306000041_agr_rko_int_org</v>
      </c>
      <c r="R14" s="45" t="s">
        <v>46</v>
      </c>
      <c r="S14" s="48" t="s">
        <v>48</v>
      </c>
      <c r="T14" s="45" t="s">
        <v>33</v>
      </c>
      <c r="U14" s="31">
        <v>45370</v>
      </c>
      <c r="V14" s="45"/>
    </row>
    <row r="15" ht="15" customHeight="1">
      <c r="A15" s="32">
        <v>190</v>
      </c>
      <c r="B15" s="26"/>
      <c r="C15" s="26"/>
      <c r="D15" s="27" t="s">
        <v>59</v>
      </c>
      <c r="E15" s="28" t="str">
        <f>IFERROR(VLOOKUP($D15&amp;$J15,target_columns[],4,0),"")</f>
        <v>date</v>
      </c>
      <c r="F15" s="28" t="str">
        <f>IFERROR(VLOOKUP($D15&amp;$J15,target_columns[],7,0),"")</f>
        <v>Yes</v>
      </c>
      <c r="G15" s="28" t="str">
        <f>IFERROR(VLOOKUP($D15&amp;$J15,target_columns[],8,0),"")</f>
        <v>No</v>
      </c>
      <c r="H15" s="28" t="str">
        <f>IFERROR(VLOOKUP($D15&amp;$J15,target_columns[],5,0),"")</f>
        <v>NULL</v>
      </c>
      <c r="I15" s="28" t="str">
        <f>IFERROR(VLOOKUP($D15&amp;$J15,target_columns[],10,0),"")</f>
        <v xml:space="preserve">Дата начала действия связи</v>
      </c>
      <c r="J15" s="27" t="s">
        <v>49</v>
      </c>
      <c r="K15" s="26" t="s">
        <v>50</v>
      </c>
      <c r="L15" s="28" t="str">
        <f>IFERROR(VLOOKUP(UPPER(K15&amp;N15),source_columns[],4,0),"")</f>
        <v/>
      </c>
      <c r="M15" s="28" t="str">
        <f>IFERROR(VLOOKUP(UPPER(K15&amp;N15),source_columns[],7,0),"")</f>
        <v/>
      </c>
      <c r="N15" s="26" t="s">
        <v>51</v>
      </c>
      <c r="O15" s="26" t="s">
        <v>52</v>
      </c>
      <c r="P15" s="55"/>
      <c r="Q15" s="28" t="str">
        <f>"n306000041_"&amp;IFERROR(VLOOKUP(D15,target_tables[],5,0),"&lt;not found&gt;")</f>
        <v>n306000041_agr_rko_int_org</v>
      </c>
      <c r="R15" s="26" t="s">
        <v>53</v>
      </c>
      <c r="S15" s="34"/>
      <c r="T15" s="26" t="s">
        <v>33</v>
      </c>
      <c r="U15" s="31">
        <v>45370</v>
      </c>
      <c r="V15" s="26"/>
    </row>
    <row r="16" ht="15" customHeight="1">
      <c r="A16" s="32">
        <v>200</v>
      </c>
      <c r="B16" s="26"/>
      <c r="C16" s="26"/>
      <c r="D16" s="56" t="s">
        <v>59</v>
      </c>
      <c r="E16" s="28" t="str">
        <f>IFERROR(VLOOKUP($D16&amp;$J16,target_columns[],4,0),"")</f>
        <v>date</v>
      </c>
      <c r="F16" s="28" t="str">
        <f>IFERROR(VLOOKUP($D16&amp;$J16,target_columns[],7,0),"")</f>
        <v>No</v>
      </c>
      <c r="G16" s="28" t="str">
        <f>IFERROR(VLOOKUP($D16&amp;$J16,target_columns[],8,0),"")</f>
        <v>No</v>
      </c>
      <c r="H16" s="28" t="str">
        <f>IFERROR(VLOOKUP($D16&amp;$J16,target_columns[],5,0),"")</f>
        <v>NULL</v>
      </c>
      <c r="I16" s="28" t="str">
        <f>IFERROR(VLOOKUP($D16&amp;$J16,target_columns[],10,0),"")</f>
        <v xml:space="preserve">Дата окончания действия связи</v>
      </c>
      <c r="J16" s="56" t="s">
        <v>54</v>
      </c>
      <c r="K16" s="26" t="s">
        <v>50</v>
      </c>
      <c r="L16" s="28" t="str">
        <f>IFERROR(VLOOKUP(UPPER(K16&amp;N16),source_columns[],4,0),"")</f>
        <v/>
      </c>
      <c r="M16" s="28" t="str">
        <f>IFERROR(VLOOKUP(UPPER(K16&amp;N16),source_columns[],7,0),"")</f>
        <v/>
      </c>
      <c r="N16" s="26" t="s">
        <v>50</v>
      </c>
      <c r="O16" s="39" t="s">
        <v>55</v>
      </c>
      <c r="P16" s="55"/>
      <c r="Q16" s="28" t="str">
        <f>"n306000041_"&amp;IFERROR(VLOOKUP(D16,target_tables[],5,0),"&lt;not found&gt;")</f>
        <v>n306000041_agr_rko_int_org</v>
      </c>
      <c r="R16" s="26" t="s">
        <v>56</v>
      </c>
      <c r="S16" s="34"/>
      <c r="T16" s="26" t="s">
        <v>33</v>
      </c>
      <c r="U16" s="31">
        <v>45370</v>
      </c>
      <c r="V16" s="26"/>
    </row>
    <row r="17" ht="15" customHeight="1">
      <c r="A17" s="38">
        <v>210</v>
      </c>
      <c r="B17" s="39"/>
      <c r="C17" s="39"/>
      <c r="D17" s="57" t="s">
        <v>59</v>
      </c>
      <c r="E17" s="41" t="str">
        <f>IFERROR(VLOOKUP($D17&amp;$J17,target_columns[],4,0),"")</f>
        <v>uuid</v>
      </c>
      <c r="F17" s="41" t="str">
        <f>IFERROR(VLOOKUP($D17&amp;$J17,target_columns[],7,0),"")</f>
        <v>No</v>
      </c>
      <c r="G17" s="41" t="str">
        <f>IFERROR(VLOOKUP($D17&amp;$J17,target_columns[],8,0),"")</f>
        <v>Yes</v>
      </c>
      <c r="H17" s="41" t="str">
        <f>IFERROR(VLOOKUP($D17&amp;$J17,target_columns[],5,0),"")</f>
        <v>NULL</v>
      </c>
      <c r="I17" s="41" t="str">
        <f>IFERROR(VLOOKUP($D17&amp;$J17,target_columns[],10,0),"")</f>
        <v xml:space="preserve">Подразделение сопровождения договора</v>
      </c>
      <c r="J17" s="40" t="s">
        <v>60</v>
      </c>
      <c r="K17" s="39" t="s">
        <v>29</v>
      </c>
      <c r="L17" s="41" t="str">
        <f>IFERROR(VLOOKUP(UPPER(K17&amp;N17),source_columns[],4,0),"")</f>
        <v/>
      </c>
      <c r="M17" s="41" t="str">
        <f>IFERROR(VLOOKUP(UPPER(K17&amp;N17),source_columns[],7,0),"")</f>
        <v/>
      </c>
      <c r="N17" s="39" t="s">
        <v>61</v>
      </c>
      <c r="O17" s="39"/>
      <c r="P17" s="58"/>
      <c r="Q17" s="28" t="str">
        <f>"n306000041_"&amp;IFERROR(VLOOKUP(D17,target_tables[],5,0),"&lt;not found&gt;")</f>
        <v>n306000041_agr_rko_int_org</v>
      </c>
      <c r="R17" s="39" t="s">
        <v>31</v>
      </c>
      <c r="S17" s="53"/>
      <c r="T17" s="39" t="s">
        <v>33</v>
      </c>
      <c r="U17" s="31">
        <v>45370</v>
      </c>
      <c r="V17" s="39"/>
    </row>
    <row r="18" ht="15" customHeight="1">
      <c r="A18" s="44">
        <v>260</v>
      </c>
      <c r="B18" s="45"/>
      <c r="C18" s="45"/>
      <c r="D18" s="27" t="s">
        <v>62</v>
      </c>
      <c r="E18" s="47" t="str">
        <f>IFERROR(VLOOKUP($D18&amp;$J18,target_columns[],4,0),"")</f>
        <v>uuid</v>
      </c>
      <c r="F18" s="47" t="str">
        <f>IFERROR(VLOOKUP($D18&amp;$J18,target_columns[],7,0),"")</f>
        <v>Yes</v>
      </c>
      <c r="G18" s="47" t="str">
        <f>IFERROR(VLOOKUP($D18&amp;$J18,target_columns[],8,0),"")</f>
        <v>Yes</v>
      </c>
      <c r="H18" s="47" t="str">
        <f>IFERROR(VLOOKUP($D18&amp;$J18,target_columns[],5,0),"")</f>
        <v xml:space="preserve">NOT NULL</v>
      </c>
      <c r="I18" s="47" t="str">
        <f>IFERROR(VLOOKUP($D18&amp;$J18,target_columns[],10,0),"")</f>
        <v xml:space="preserve">Уникальный идентификатор договора</v>
      </c>
      <c r="J18" s="26" t="s">
        <v>44</v>
      </c>
      <c r="K18" s="45" t="s">
        <v>29</v>
      </c>
      <c r="L18" s="28" t="str">
        <f>IFERROR(VLOOKUP(UPPER(K18&amp;N18),source_columns[],4,0),"")</f>
        <v/>
      </c>
      <c r="M18" s="28" t="str">
        <f>IFERROR(VLOOKUP(UPPER(K18&amp;N18),source_columns[],7,0),"")</f>
        <v/>
      </c>
      <c r="N18" s="45" t="s">
        <v>45</v>
      </c>
      <c r="O18" s="26"/>
      <c r="P18" s="54"/>
      <c r="Q18" s="28" t="str">
        <f>"n306000041_"&amp;IFERROR(VLOOKUP(D18,target_tables[],5,0),"&lt;not found&gt;")</f>
        <v>n306000041_agr_rko_stts</v>
      </c>
      <c r="R18" s="45" t="s">
        <v>46</v>
      </c>
      <c r="S18" s="48" t="s">
        <v>48</v>
      </c>
      <c r="T18" s="45" t="s">
        <v>33</v>
      </c>
      <c r="U18" s="31">
        <v>45370</v>
      </c>
      <c r="V18" s="45"/>
    </row>
    <row r="19" ht="15" customHeight="1">
      <c r="A19" s="32">
        <v>270</v>
      </c>
      <c r="B19" s="26"/>
      <c r="C19" s="26"/>
      <c r="D19" s="27" t="s">
        <v>62</v>
      </c>
      <c r="E19" s="28" t="str">
        <f>IFERROR(VLOOKUP($D19&amp;$J19,target_columns[],4,0),"")</f>
        <v>date</v>
      </c>
      <c r="F19" s="28" t="str">
        <f>IFERROR(VLOOKUP($D19&amp;$J19,target_columns[],7,0),"")</f>
        <v>Yes</v>
      </c>
      <c r="G19" s="28" t="str">
        <f>IFERROR(VLOOKUP($D19&amp;$J19,target_columns[],8,0),"")</f>
        <v>No</v>
      </c>
      <c r="H19" s="28" t="str">
        <f>IFERROR(VLOOKUP($D19&amp;$J19,target_columns[],5,0),"")</f>
        <v>NULL</v>
      </c>
      <c r="I19" s="28" t="str">
        <f>IFERROR(VLOOKUP($D19&amp;$J19,target_columns[],10,0),"")</f>
        <v xml:space="preserve">Дата начала действия связи</v>
      </c>
      <c r="J19" s="26" t="s">
        <v>49</v>
      </c>
      <c r="K19" s="26" t="s">
        <v>50</v>
      </c>
      <c r="L19" s="28" t="str">
        <f>IFERROR(VLOOKUP(UPPER(K19&amp;N19),source_columns[],4,0),"")</f>
        <v/>
      </c>
      <c r="M19" s="28" t="str">
        <f>IFERROR(VLOOKUP(UPPER(K19&amp;N19),source_columns[],7,0),"")</f>
        <v/>
      </c>
      <c r="N19" s="26" t="s">
        <v>51</v>
      </c>
      <c r="O19" s="26" t="s">
        <v>52</v>
      </c>
      <c r="P19" s="55"/>
      <c r="Q19" s="28" t="str">
        <f>"n306000041_"&amp;IFERROR(VLOOKUP(D19,target_tables[],5,0),"&lt;not found&gt;")</f>
        <v>n306000041_agr_rko_stts</v>
      </c>
      <c r="R19" s="26" t="s">
        <v>53</v>
      </c>
      <c r="S19" s="34"/>
      <c r="T19" s="26" t="s">
        <v>33</v>
      </c>
      <c r="U19" s="31">
        <v>45370</v>
      </c>
      <c r="V19" s="26"/>
    </row>
    <row r="20" ht="15" customHeight="1">
      <c r="A20" s="32">
        <v>280</v>
      </c>
      <c r="B20" s="26"/>
      <c r="C20" s="26"/>
      <c r="D20" s="27" t="s">
        <v>62</v>
      </c>
      <c r="E20" s="28" t="str">
        <f>IFERROR(VLOOKUP($D20&amp;$J20,target_columns[],4,0),"")</f>
        <v>date</v>
      </c>
      <c r="F20" s="28" t="str">
        <f>IFERROR(VLOOKUP($D20&amp;$J20,target_columns[],7,0),"")</f>
        <v>No</v>
      </c>
      <c r="G20" s="28" t="str">
        <f>IFERROR(VLOOKUP($D20&amp;$J20,target_columns[],8,0),"")</f>
        <v>No</v>
      </c>
      <c r="H20" s="28" t="str">
        <f>IFERROR(VLOOKUP($D20&amp;$J20,target_columns[],5,0),"")</f>
        <v>NULL</v>
      </c>
      <c r="I20" s="28" t="str">
        <f>IFERROR(VLOOKUP($D20&amp;$J20,target_columns[],10,0),"")</f>
        <v xml:space="preserve">Дата окончания действия связи</v>
      </c>
      <c r="J20" s="26" t="s">
        <v>54</v>
      </c>
      <c r="K20" s="26" t="s">
        <v>50</v>
      </c>
      <c r="L20" s="28" t="str">
        <f>IFERROR(VLOOKUP(UPPER(K20&amp;N20),source_columns[],4,0),"")</f>
        <v/>
      </c>
      <c r="M20" s="28" t="str">
        <f>IFERROR(VLOOKUP(UPPER(K20&amp;N20),source_columns[],7,0),"")</f>
        <v/>
      </c>
      <c r="N20" s="26" t="s">
        <v>50</v>
      </c>
      <c r="O20" s="26" t="s">
        <v>55</v>
      </c>
      <c r="P20" s="55"/>
      <c r="Q20" s="28" t="str">
        <f>"n306000041_"&amp;IFERROR(VLOOKUP(D20,target_tables[],5,0),"&lt;not found&gt;")</f>
        <v>n306000041_agr_rko_stts</v>
      </c>
      <c r="R20" s="26" t="s">
        <v>56</v>
      </c>
      <c r="S20" s="34"/>
      <c r="T20" s="26" t="s">
        <v>33</v>
      </c>
      <c r="U20" s="31">
        <v>45370</v>
      </c>
      <c r="V20" s="26"/>
    </row>
    <row r="21" s="37" customFormat="1" ht="15" customHeight="1">
      <c r="A21" s="38">
        <v>290</v>
      </c>
      <c r="B21" s="39"/>
      <c r="C21" s="39"/>
      <c r="D21" s="40" t="s">
        <v>62</v>
      </c>
      <c r="E21" s="41" t="str">
        <f>IFERROR(VLOOKUP($D21&amp;$J21,target_columns[],4,0),"")</f>
        <v>uuid</v>
      </c>
      <c r="F21" s="41" t="str">
        <f>IFERROR(VLOOKUP($D21&amp;$J21,target_columns[],7,0),"")</f>
        <v>No</v>
      </c>
      <c r="G21" s="41" t="str">
        <f>IFERROR(VLOOKUP($D21&amp;$J21,target_columns[],8,0),"")</f>
        <v>Yes</v>
      </c>
      <c r="H21" s="41" t="str">
        <f>IFERROR(VLOOKUP($D21&amp;$J21,target_columns[],5,0),"")</f>
        <v>NULL</v>
      </c>
      <c r="I21" s="41" t="str">
        <f>IFERROR(VLOOKUP($D21&amp;$J21,target_columns[],10,0),"")</f>
        <v xml:space="preserve">Статус договора</v>
      </c>
      <c r="J21" s="59" t="s">
        <v>63</v>
      </c>
      <c r="K21" s="60" t="s">
        <v>29</v>
      </c>
      <c r="L21" s="41" t="str">
        <f>IFERROR(VLOOKUP(UPPER(K21&amp;N21),source_columns[],4,0),"")</f>
        <v/>
      </c>
      <c r="M21" s="41" t="str">
        <f>IFERROR(VLOOKUP(UPPER(K21&amp;N21),source_columns[],7,0),"")</f>
        <v/>
      </c>
      <c r="N21" s="52" t="s">
        <v>64</v>
      </c>
      <c r="O21" s="39"/>
      <c r="P21" s="58"/>
      <c r="Q21" s="28" t="str">
        <f>"n306000041_"&amp;IFERROR(VLOOKUP(D21,target_tables[],5,0),"&lt;not found&gt;")</f>
        <v>n306000041_agr_rko_stts</v>
      </c>
      <c r="R21" s="39" t="s">
        <v>31</v>
      </c>
      <c r="S21" s="53"/>
      <c r="T21" s="39" t="s">
        <v>33</v>
      </c>
      <c r="U21" s="43">
        <v>45370</v>
      </c>
      <c r="V21" s="39"/>
    </row>
    <row r="22" ht="15" customHeight="1">
      <c r="A22" s="44">
        <v>300</v>
      </c>
      <c r="B22" s="45"/>
      <c r="C22" s="45"/>
      <c r="D22" s="46" t="s">
        <v>65</v>
      </c>
      <c r="E22" s="47" t="str">
        <f>IFERROR(VLOOKUP($D22&amp;$J22,target_columns[],4,0),"")</f>
        <v>uuid</v>
      </c>
      <c r="F22" s="47" t="str">
        <f>IFERROR(VLOOKUP($D22&amp;$J22,target_columns[],7,0),"")</f>
        <v>Yes</v>
      </c>
      <c r="G22" s="47" t="str">
        <f>IFERROR(VLOOKUP($D22&amp;$J22,target_columns[],8,0),"")</f>
        <v>No</v>
      </c>
      <c r="H22" s="47" t="str">
        <f>IFERROR(VLOOKUP($D22&amp;$J22,target_columns[],5,0),"")</f>
        <v xml:space="preserve">NOT NULL</v>
      </c>
      <c r="I22" s="47" t="str">
        <f>IFERROR(VLOOKUP($D22&amp;$J22,target_columns[],10,0),"")</f>
        <v xml:space="preserve">Уникальный идентификатор регистра</v>
      </c>
      <c r="J22" s="46" t="s">
        <v>66</v>
      </c>
      <c r="K22" s="45" t="s">
        <v>67</v>
      </c>
      <c r="L22" s="47" t="str">
        <f>IFERROR(VLOOKUP(UPPER(K22&amp;N22),source_columns[],4,0),"")</f>
        <v/>
      </c>
      <c r="M22" s="47" t="str">
        <f>IFERROR(VLOOKUP(UPPER(K22&amp;N22),source_columns[],7,0),"")</f>
        <v/>
      </c>
      <c r="N22" s="61" t="s">
        <v>68</v>
      </c>
      <c r="O22" s="45"/>
      <c r="P22" s="62"/>
      <c r="Q22" s="28" t="str">
        <f>"n306000041_"&amp;IFERROR(VLOOKUP(D22,target_tables[],5,0),"&lt;not found&gt;")</f>
        <v>n306000041_registry</v>
      </c>
      <c r="R22" s="45" t="s">
        <v>46</v>
      </c>
      <c r="S22" s="48" t="s">
        <v>69</v>
      </c>
      <c r="T22" s="45" t="s">
        <v>33</v>
      </c>
      <c r="U22" s="49">
        <v>45370</v>
      </c>
      <c r="V22" s="45"/>
    </row>
    <row r="23" ht="15" customHeight="1">
      <c r="A23" s="32">
        <v>310</v>
      </c>
      <c r="B23" s="26"/>
      <c r="C23" s="26"/>
      <c r="D23" s="27" t="s">
        <v>65</v>
      </c>
      <c r="E23" s="28" t="str">
        <f>IFERROR(VLOOKUP($D23&amp;$J23,target_columns[],4,0),"")</f>
        <v>date</v>
      </c>
      <c r="F23" s="28" t="str">
        <f>IFERROR(VLOOKUP($D23&amp;$J23,target_columns[],7,0),"")</f>
        <v>No</v>
      </c>
      <c r="G23" s="28" t="str">
        <f>IFERROR(VLOOKUP($D23&amp;$J23,target_columns[],8,0),"")</f>
        <v>No</v>
      </c>
      <c r="H23" s="28" t="str">
        <f>IFERROR(VLOOKUP($D23&amp;$J23,target_columns[],5,0),"")</f>
        <v>NULL</v>
      </c>
      <c r="I23" s="28" t="str">
        <f>IFERROR(VLOOKUP($D23&amp;$J23,target_columns[],10,0),"")</f>
        <v xml:space="preserve">Дата опердня, в которую был открыт регистр</v>
      </c>
      <c r="J23" s="27" t="s">
        <v>49</v>
      </c>
      <c r="K23" s="26" t="s">
        <v>67</v>
      </c>
      <c r="L23" s="28" t="str">
        <f>IFERROR(VLOOKUP(UPPER(K23&amp;N23),source_columns[],4,0),"")</f>
        <v>timestamp</v>
      </c>
      <c r="M23" s="28" t="str">
        <f>IFERROR(VLOOKUP(UPPER(K23&amp;N23),source_columns[],7,0),"")</f>
        <v xml:space="preserve">Дата открытия</v>
      </c>
      <c r="N23" s="35" t="s">
        <v>30</v>
      </c>
      <c r="O23" s="26"/>
      <c r="P23" s="63"/>
      <c r="Q23" s="28" t="str">
        <f>"n306000041_"&amp;IFERROR(VLOOKUP(D23,target_tables[],5,0),"&lt;not found&gt;")</f>
        <v>n306000041_registry</v>
      </c>
      <c r="R23" s="26" t="s">
        <v>31</v>
      </c>
      <c r="S23" s="34"/>
      <c r="T23" s="26" t="s">
        <v>33</v>
      </c>
      <c r="U23" s="31">
        <v>45370</v>
      </c>
      <c r="V23" s="26"/>
    </row>
    <row r="24" ht="15" customHeight="1">
      <c r="A24" s="32">
        <v>320</v>
      </c>
      <c r="B24" s="26"/>
      <c r="C24" s="26"/>
      <c r="D24" s="27" t="s">
        <v>65</v>
      </c>
      <c r="E24" s="28" t="str">
        <f>IFERROR(VLOOKUP($D24&amp;$J24,target_columns[],4,0),"")</f>
        <v>date</v>
      </c>
      <c r="F24" s="28" t="str">
        <f>IFERROR(VLOOKUP($D24&amp;$J24,target_columns[],7,0),"")</f>
        <v>No</v>
      </c>
      <c r="G24" s="28" t="str">
        <f>IFERROR(VLOOKUP($D24&amp;$J24,target_columns[],8,0),"")</f>
        <v>No</v>
      </c>
      <c r="H24" s="28" t="str">
        <f>IFERROR(VLOOKUP($D24&amp;$J24,target_columns[],5,0),"")</f>
        <v>NULL</v>
      </c>
      <c r="I24" s="28" t="str">
        <f>IFERROR(VLOOKUP($D24&amp;$J24,target_columns[],10,0),"")</f>
        <v xml:space="preserve">Дата опердня, в которую был закрыт регистр</v>
      </c>
      <c r="J24" s="27" t="s">
        <v>54</v>
      </c>
      <c r="K24" s="26" t="s">
        <v>67</v>
      </c>
      <c r="L24" s="28" t="str">
        <f>IFERROR(VLOOKUP(UPPER(K24&amp;N24),source_columns[],4,0),"")</f>
        <v/>
      </c>
      <c r="M24" s="28" t="str">
        <f>IFERROR(VLOOKUP(UPPER(K24&amp;N24),source_columns[],7,0),"")</f>
        <v/>
      </c>
      <c r="N24" s="35" t="s">
        <v>70</v>
      </c>
      <c r="O24" s="26"/>
      <c r="P24" s="63"/>
      <c r="Q24" s="28" t="str">
        <f>"n306000041_"&amp;IFERROR(VLOOKUP(D24,target_tables[],5,0),"&lt;not found&gt;")</f>
        <v>n306000041_registry</v>
      </c>
      <c r="R24" s="26" t="s">
        <v>31</v>
      </c>
      <c r="S24" s="34"/>
      <c r="T24" s="26" t="s">
        <v>33</v>
      </c>
      <c r="U24" s="31">
        <v>45370</v>
      </c>
      <c r="V24" s="26"/>
    </row>
    <row r="25" ht="15" customHeight="1">
      <c r="A25" s="32">
        <v>330</v>
      </c>
      <c r="B25" s="26"/>
      <c r="C25" s="26"/>
      <c r="D25" s="27" t="s">
        <v>65</v>
      </c>
      <c r="E25" s="28" t="str">
        <f>IFERROR(VLOOKUP($D25&amp;$J25,target_columns[],4,0),"")</f>
        <v>uuid</v>
      </c>
      <c r="F25" s="28" t="str">
        <f>IFERROR(VLOOKUP($D25&amp;$J25,target_columns[],7,0),"")</f>
        <v>No</v>
      </c>
      <c r="G25" s="28" t="str">
        <f>IFERROR(VLOOKUP($D25&amp;$J25,target_columns[],8,0),"")</f>
        <v>Yes</v>
      </c>
      <c r="H25" s="28" t="str">
        <f>IFERROR(VLOOKUP($D25&amp;$J25,target_columns[],5,0),"")</f>
        <v>NULL</v>
      </c>
      <c r="I25" s="28" t="str">
        <f>IFERROR(VLOOKUP($D25&amp;$J25,target_columns[],10,0),"")</f>
        <v>Договор</v>
      </c>
      <c r="J25" s="27" t="s">
        <v>71</v>
      </c>
      <c r="K25" s="26" t="s">
        <v>67</v>
      </c>
      <c r="L25" s="28" t="str">
        <f>IFERROR(VLOOKUP(UPPER(K25&amp;N25),source_columns[],4,0),"")</f>
        <v/>
      </c>
      <c r="M25" s="28" t="str">
        <f>IFERROR(VLOOKUP(UPPER(K25&amp;N25),source_columns[],7,0),"")</f>
        <v/>
      </c>
      <c r="N25" s="35" t="s">
        <v>72</v>
      </c>
      <c r="O25" s="26"/>
      <c r="P25" s="63"/>
      <c r="Q25" s="28" t="str">
        <f>"n306000041_"&amp;IFERROR(VLOOKUP(D25,target_tables[],5,0),"&lt;not found&gt;")</f>
        <v>n306000041_registry</v>
      </c>
      <c r="R25" s="26" t="s">
        <v>31</v>
      </c>
      <c r="S25" s="34"/>
      <c r="T25" s="26" t="s">
        <v>33</v>
      </c>
      <c r="U25" s="31">
        <v>45370</v>
      </c>
      <c r="V25" s="26"/>
    </row>
    <row r="26" ht="15" customHeight="1">
      <c r="A26" s="32">
        <v>340</v>
      </c>
      <c r="B26" s="26"/>
      <c r="C26" s="26"/>
      <c r="D26" s="27" t="s">
        <v>65</v>
      </c>
      <c r="E26" s="28" t="str">
        <f>IFERROR(VLOOKUP($D26&amp;$J26,target_columns[],4,0),"")</f>
        <v>text</v>
      </c>
      <c r="F26" s="28" t="str">
        <f>IFERROR(VLOOKUP($D26&amp;$J26,target_columns[],7,0),"")</f>
        <v>No</v>
      </c>
      <c r="G26" s="28" t="str">
        <f>IFERROR(VLOOKUP($D26&amp;$J26,target_columns[],8,0),"")</f>
        <v>No</v>
      </c>
      <c r="H26" s="28" t="str">
        <f>IFERROR(VLOOKUP($D26&amp;$J26,target_columns[],5,0),"")</f>
        <v>NULL</v>
      </c>
      <c r="I26" s="28" t="str">
        <f>IFERROR(VLOOKUP($D26&amp;$J26,target_columns[],10,0),"")</f>
        <v xml:space="preserve">Лицевой счет</v>
      </c>
      <c r="J26" s="27" t="s">
        <v>73</v>
      </c>
      <c r="K26" s="26" t="s">
        <v>67</v>
      </c>
      <c r="L26" s="28" t="str">
        <f>IFERROR(VLOOKUP(UPPER(K26&amp;N26),source_columns[],4,0),"")</f>
        <v>text</v>
      </c>
      <c r="M26" s="28" t="str">
        <f>IFERROR(VLOOKUP(UPPER(K26&amp;N26),source_columns[],7,0),"")</f>
        <v xml:space="preserve">Номер счета</v>
      </c>
      <c r="N26" s="35" t="s">
        <v>74</v>
      </c>
      <c r="O26" s="26"/>
      <c r="P26" s="63"/>
      <c r="Q26" s="28" t="str">
        <f>"n306000041_"&amp;IFERROR(VLOOKUP(D26,target_tables[],5,0),"&lt;not found&gt;")</f>
        <v>n306000041_registry</v>
      </c>
      <c r="R26" s="26" t="s">
        <v>31</v>
      </c>
      <c r="S26" s="34"/>
      <c r="T26" s="26" t="s">
        <v>33</v>
      </c>
      <c r="U26" s="31">
        <v>45370</v>
      </c>
      <c r="V26" s="26"/>
    </row>
    <row r="27" ht="15" customHeight="1">
      <c r="A27" s="32">
        <v>350</v>
      </c>
      <c r="B27" s="26"/>
      <c r="C27" s="26"/>
      <c r="D27" s="27" t="s">
        <v>65</v>
      </c>
      <c r="E27" s="28" t="str">
        <f>IFERROR(VLOOKUP($D27&amp;$J27,target_columns[],4,0),"")</f>
        <v>uuid</v>
      </c>
      <c r="F27" s="28" t="str">
        <f>IFERROR(VLOOKUP($D27&amp;$J27,target_columns[],7,0),"")</f>
        <v>No</v>
      </c>
      <c r="G27" s="28" t="str">
        <f>IFERROR(VLOOKUP($D27&amp;$J27,target_columns[],8,0),"")</f>
        <v>No</v>
      </c>
      <c r="H27" s="28" t="str">
        <f>IFERROR(VLOOKUP($D27&amp;$J27,target_columns[],5,0),"")</f>
        <v>NULL</v>
      </c>
      <c r="I27" s="28" t="str">
        <f>IFERROR(VLOOKUP($D27&amp;$J27,target_columns[],10,0),"")</f>
        <v xml:space="preserve">Уникальный идентификатор валюты</v>
      </c>
      <c r="J27" s="27" t="s">
        <v>40</v>
      </c>
      <c r="K27" s="26" t="s">
        <v>67</v>
      </c>
      <c r="L27" s="28" t="str">
        <f>IFERROR(VLOOKUP(UPPER(K27&amp;N27),source_columns[],4,0),"")</f>
        <v/>
      </c>
      <c r="M27" s="28" t="str">
        <f>IFERROR(VLOOKUP(UPPER(K27&amp;N27),source_columns[],7,0),"")</f>
        <v/>
      </c>
      <c r="N27" s="36" t="s">
        <v>41</v>
      </c>
      <c r="O27" s="26"/>
      <c r="P27" s="63"/>
      <c r="Q27" s="28" t="str">
        <f>"n306000041_"&amp;IFERROR(VLOOKUP(D27,target_tables[],5,0),"&lt;not found&gt;")</f>
        <v>n306000041_registry</v>
      </c>
      <c r="R27" s="26" t="s">
        <v>31</v>
      </c>
      <c r="S27" s="34"/>
      <c r="T27" s="26" t="s">
        <v>33</v>
      </c>
      <c r="U27" s="31">
        <v>45370</v>
      </c>
      <c r="V27" s="26"/>
    </row>
    <row r="28" ht="15" customHeight="1">
      <c r="A28" s="32">
        <v>360</v>
      </c>
      <c r="B28" s="26"/>
      <c r="C28" s="26"/>
      <c r="D28" s="27" t="s">
        <v>65</v>
      </c>
      <c r="E28" s="28" t="str">
        <f>IFERROR(VLOOKUP($D28&amp;$J28,target_columns[],4,0),"")</f>
        <v>bigint</v>
      </c>
      <c r="F28" s="28" t="str">
        <f>IFERROR(VLOOKUP($D28&amp;$J28,target_columns[],7,0),"")</f>
        <v>No</v>
      </c>
      <c r="G28" s="28" t="str">
        <f>IFERROR(VLOOKUP($D28&amp;$J28,target_columns[],8,0),"")</f>
        <v>No</v>
      </c>
      <c r="H28" s="28" t="str">
        <f>IFERROR(VLOOKUP($D28&amp;$J28,target_columns[],5,0),"")</f>
        <v>NULL</v>
      </c>
      <c r="I28" s="28" t="str">
        <f>IFERROR(VLOOKUP($D28&amp;$J28,target_columns[],10,0),"")</f>
        <v xml:space="preserve">Уникальный идентификатор регистра в источнике</v>
      </c>
      <c r="J28" s="27" t="s">
        <v>75</v>
      </c>
      <c r="K28" s="26" t="s">
        <v>67</v>
      </c>
      <c r="L28" s="28" t="str">
        <f>IFERROR(VLOOKUP(UPPER(K28&amp;N28),source_columns[],4,0),"")</f>
        <v>bigint</v>
      </c>
      <c r="M28" s="28" t="str">
        <f>IFERROR(VLOOKUP(UPPER(K28&amp;N28),source_columns[],7,0),"")</f>
        <v xml:space="preserve">Уникальный  идентификатор</v>
      </c>
      <c r="N28" s="35" t="s">
        <v>76</v>
      </c>
      <c r="O28" s="26"/>
      <c r="P28" s="33"/>
      <c r="Q28" s="28" t="str">
        <f>"n306000041_"&amp;IFERROR(VLOOKUP(D28,target_tables[],5,0),"&lt;not found&gt;")</f>
        <v>n306000041_registry</v>
      </c>
      <c r="R28" s="26" t="s">
        <v>31</v>
      </c>
      <c r="S28" s="34"/>
      <c r="T28" s="26" t="s">
        <v>33</v>
      </c>
      <c r="U28" s="31">
        <v>45370</v>
      </c>
      <c r="V28" s="26"/>
    </row>
    <row r="29" s="37" customFormat="1" ht="15" customHeight="1">
      <c r="A29" s="38">
        <v>370</v>
      </c>
      <c r="B29" s="39"/>
      <c r="C29" s="39"/>
      <c r="D29" s="40" t="s">
        <v>65</v>
      </c>
      <c r="E29" s="41" t="str">
        <f>IFERROR(VLOOKUP($D29&amp;$J29,target_columns[],4,0),"")</f>
        <v>uuid</v>
      </c>
      <c r="F29" s="41" t="str">
        <f>IFERROR(VLOOKUP($D29&amp;$J29,target_columns[],7,0),"")</f>
        <v>No</v>
      </c>
      <c r="G29" s="41" t="str">
        <f>IFERROR(VLOOKUP($D29&amp;$J29,target_columns[],8,0),"")</f>
        <v>Yes</v>
      </c>
      <c r="H29" s="41" t="str">
        <f>IFERROR(VLOOKUP($D29&amp;$J29,target_columns[],5,0),"")</f>
        <v>NULL</v>
      </c>
      <c r="I29" s="41" t="str">
        <f>IFERROR(VLOOKUP($D29&amp;$J29,target_columns[],10,0),"")</f>
        <v xml:space="preserve">Тип регистра</v>
      </c>
      <c r="J29" s="40" t="s">
        <v>77</v>
      </c>
      <c r="K29" s="39" t="s">
        <v>67</v>
      </c>
      <c r="L29" s="41" t="str">
        <f>IFERROR(VLOOKUP(UPPER(K29&amp;N29),source_columns[],4,0),"")</f>
        <v/>
      </c>
      <c r="M29" s="41" t="str">
        <f>IFERROR(VLOOKUP(UPPER(K29&amp;N29),source_columns[],7,0),"")</f>
        <v/>
      </c>
      <c r="N29" s="52" t="s">
        <v>78</v>
      </c>
      <c r="O29" s="39"/>
      <c r="P29" s="42"/>
      <c r="Q29" s="28" t="str">
        <f>"n306000041_"&amp;IFERROR(VLOOKUP(D29,target_tables[],5,0),"&lt;not found&gt;")</f>
        <v>n306000041_registry</v>
      </c>
      <c r="R29" s="39" t="s">
        <v>31</v>
      </c>
      <c r="S29" s="53"/>
      <c r="T29" s="39" t="s">
        <v>33</v>
      </c>
      <c r="U29" s="43">
        <v>45370</v>
      </c>
      <c r="V29" s="39"/>
    </row>
    <row r="30" ht="15" customHeight="1">
      <c r="A30" s="44">
        <v>380</v>
      </c>
      <c r="B30" s="45"/>
      <c r="C30" s="45"/>
      <c r="D30" s="27" t="s">
        <v>79</v>
      </c>
      <c r="E30" s="47" t="str">
        <f>IFERROR(VLOOKUP($D30&amp;$J30,target_columns[],4,0),"")</f>
        <v/>
      </c>
      <c r="F30" s="47" t="str">
        <f>IFERROR(VLOOKUP($D30&amp;$J30,target_columns[],7,0),"")</f>
        <v/>
      </c>
      <c r="G30" s="47" t="str">
        <f>IFERROR(VLOOKUP($D30&amp;$J30,target_columns[],8,0),"")</f>
        <v/>
      </c>
      <c r="H30" s="47" t="str">
        <f>IFERROR(VLOOKUP($D30&amp;$J30,target_columns[],5,0),"")</f>
        <v/>
      </c>
      <c r="I30" s="47" t="str">
        <f>IFERROR(VLOOKUP($D30&amp;$J30,target_columns[],10,0),"")</f>
        <v/>
      </c>
      <c r="J30" s="46" t="s">
        <v>66</v>
      </c>
      <c r="K30" s="45" t="s">
        <v>67</v>
      </c>
      <c r="L30" s="28" t="str">
        <f>IFERROR(VLOOKUP(UPPER(K30&amp;N30),source_columns[],4,0),"")</f>
        <v/>
      </c>
      <c r="M30" s="28" t="str">
        <f>IFERROR(VLOOKUP(UPPER(K30&amp;N30),source_columns[],7,0),"")</f>
        <v/>
      </c>
      <c r="N30" s="45" t="s">
        <v>45</v>
      </c>
      <c r="O30" s="26"/>
      <c r="P30" s="54"/>
      <c r="Q30" s="28" t="str">
        <f>"n306000041_"&amp;IFERROR(VLOOKUP(D30,target_tables[],5,0),"&lt;not found&gt;")</f>
        <v>n306000041_REGISTRY_STTS</v>
      </c>
      <c r="R30" s="45" t="s">
        <v>46</v>
      </c>
      <c r="S30" s="48" t="s">
        <v>48</v>
      </c>
      <c r="T30" s="45" t="s">
        <v>33</v>
      </c>
      <c r="U30" s="31">
        <v>45370</v>
      </c>
      <c r="V30" s="45"/>
    </row>
    <row r="31" ht="15" customHeight="1">
      <c r="A31" s="32">
        <v>390</v>
      </c>
      <c r="B31" s="26"/>
      <c r="C31" s="26"/>
      <c r="D31" s="27" t="s">
        <v>79</v>
      </c>
      <c r="E31" s="28" t="str">
        <f>IFERROR(VLOOKUP($D31&amp;$J31,target_columns[],4,0),"")</f>
        <v/>
      </c>
      <c r="F31" s="28" t="str">
        <f>IFERROR(VLOOKUP($D31&amp;$J31,target_columns[],7,0),"")</f>
        <v/>
      </c>
      <c r="G31" s="28" t="str">
        <f>IFERROR(VLOOKUP($D31&amp;$J31,target_columns[],8,0),"")</f>
        <v/>
      </c>
      <c r="H31" s="28" t="str">
        <f>IFERROR(VLOOKUP($D31&amp;$J31,target_columns[],5,0),"")</f>
        <v/>
      </c>
      <c r="I31" s="28" t="str">
        <f>IFERROR(VLOOKUP($D31&amp;$J31,target_columns[],10,0),"")</f>
        <v/>
      </c>
      <c r="J31" s="26" t="s">
        <v>49</v>
      </c>
      <c r="K31" s="26" t="s">
        <v>50</v>
      </c>
      <c r="L31" s="28" t="str">
        <f>IFERROR(VLOOKUP(UPPER(K31&amp;N31),source_columns[],4,0),"")</f>
        <v/>
      </c>
      <c r="M31" s="28" t="str">
        <f>IFERROR(VLOOKUP(UPPER(K31&amp;N31),source_columns[],7,0),"")</f>
        <v/>
      </c>
      <c r="N31" s="26" t="s">
        <v>51</v>
      </c>
      <c r="O31" s="26" t="s">
        <v>52</v>
      </c>
      <c r="P31" s="55"/>
      <c r="Q31" s="28" t="str">
        <f>"n306000041_"&amp;IFERROR(VLOOKUP(D31,target_tables[],5,0),"&lt;not found&gt;")</f>
        <v>n306000041_REGISTRY_STTS</v>
      </c>
      <c r="R31" s="26" t="s">
        <v>53</v>
      </c>
      <c r="S31" s="34"/>
      <c r="T31" s="26" t="s">
        <v>33</v>
      </c>
      <c r="U31" s="31">
        <v>45370</v>
      </c>
      <c r="V31" s="26"/>
    </row>
    <row r="32" ht="15" customHeight="1">
      <c r="A32" s="32">
        <v>400</v>
      </c>
      <c r="B32" s="26"/>
      <c r="C32" s="26"/>
      <c r="D32" s="27" t="s">
        <v>79</v>
      </c>
      <c r="E32" s="28" t="str">
        <f>IFERROR(VLOOKUP($D32&amp;$J32,target_columns[],4,0),"")</f>
        <v/>
      </c>
      <c r="F32" s="28" t="str">
        <f>IFERROR(VLOOKUP($D32&amp;$J32,target_columns[],7,0),"")</f>
        <v/>
      </c>
      <c r="G32" s="28" t="str">
        <f>IFERROR(VLOOKUP($D32&amp;$J32,target_columns[],8,0),"")</f>
        <v/>
      </c>
      <c r="H32" s="28" t="str">
        <f>IFERROR(VLOOKUP($D32&amp;$J32,target_columns[],5,0),"")</f>
        <v/>
      </c>
      <c r="I32" s="28" t="str">
        <f>IFERROR(VLOOKUP($D32&amp;$J32,target_columns[],10,0),"")</f>
        <v/>
      </c>
      <c r="J32" s="26" t="s">
        <v>54</v>
      </c>
      <c r="K32" s="26" t="s">
        <v>50</v>
      </c>
      <c r="L32" s="28" t="str">
        <f>IFERROR(VLOOKUP(UPPER(K32&amp;N32),source_columns[],4,0),"")</f>
        <v/>
      </c>
      <c r="M32" s="28" t="str">
        <f>IFERROR(VLOOKUP(UPPER(K32&amp;N32),source_columns[],7,0),"")</f>
        <v/>
      </c>
      <c r="N32" s="26" t="s">
        <v>50</v>
      </c>
      <c r="O32" s="26" t="s">
        <v>55</v>
      </c>
      <c r="P32" s="55"/>
      <c r="Q32" s="28" t="str">
        <f>"n306000041_"&amp;IFERROR(VLOOKUP(D32,target_tables[],5,0),"&lt;not found&gt;")</f>
        <v>n306000041_REGISTRY_STTS</v>
      </c>
      <c r="R32" s="26" t="s">
        <v>56</v>
      </c>
      <c r="S32" s="34"/>
      <c r="T32" s="26" t="s">
        <v>33</v>
      </c>
      <c r="U32" s="31">
        <v>45370</v>
      </c>
      <c r="V32" s="26"/>
    </row>
    <row r="33" s="37" customFormat="1" ht="15" customHeight="1">
      <c r="A33" s="38">
        <v>410</v>
      </c>
      <c r="B33" s="39"/>
      <c r="C33" s="39"/>
      <c r="D33" s="40" t="s">
        <v>79</v>
      </c>
      <c r="E33" s="41" t="str">
        <f>IFERROR(VLOOKUP($D33&amp;$J33,target_columns[],4,0),"")</f>
        <v>UUID</v>
      </c>
      <c r="F33" s="41" t="str">
        <f>IFERROR(VLOOKUP($D33&amp;$J33,target_columns[],7,0),"")</f>
        <v>No</v>
      </c>
      <c r="G33" s="41" t="str">
        <f>IFERROR(VLOOKUP($D33&amp;$J33,target_columns[],8,0),"")</f>
        <v>Yes</v>
      </c>
      <c r="H33" s="41" t="str">
        <f>IFERROR(VLOOKUP($D33&amp;$J33,target_columns[],5,0),"")</f>
        <v>NULL</v>
      </c>
      <c r="I33" s="41" t="str">
        <f>IFERROR(VLOOKUP($D33&amp;$J33,target_columns[],10,0),"")</f>
        <v xml:space="preserve">Идентификатор типа статуса регистра</v>
      </c>
      <c r="J33" s="59" t="s">
        <v>80</v>
      </c>
      <c r="K33" s="39" t="s">
        <v>67</v>
      </c>
      <c r="L33" s="41" t="str">
        <f>IFERROR(VLOOKUP(UPPER(K33&amp;N33),source_columns[],4,0),"")</f>
        <v/>
      </c>
      <c r="M33" s="41" t="str">
        <f>IFERROR(VLOOKUP(UPPER(K33&amp;N33),source_columns[],7,0),"")</f>
        <v/>
      </c>
      <c r="N33" s="52" t="s">
        <v>81</v>
      </c>
      <c r="O33" s="39"/>
      <c r="P33" s="58"/>
      <c r="Q33" s="28" t="str">
        <f>"n306000041_"&amp;IFERROR(VLOOKUP(D33,target_tables[],5,0),"&lt;not found&gt;")</f>
        <v>n306000041_REGISTRY_STTS</v>
      </c>
      <c r="R33" s="39" t="s">
        <v>31</v>
      </c>
      <c r="S33" s="53"/>
      <c r="T33" s="39" t="s">
        <v>33</v>
      </c>
      <c r="U33" s="43">
        <v>45370</v>
      </c>
      <c r="V33" s="39"/>
    </row>
    <row r="34" ht="15" customHeight="1">
      <c r="A34" s="44">
        <v>420</v>
      </c>
      <c r="B34" s="45"/>
      <c r="C34" s="45"/>
      <c r="D34" s="27" t="s">
        <v>82</v>
      </c>
      <c r="E34" s="47" t="str">
        <f>IFERROR(VLOOKUP($D34&amp;$J34,target_columns[],4,0),"")</f>
        <v>uuid</v>
      </c>
      <c r="F34" s="47" t="str">
        <f>IFERROR(VLOOKUP($D34&amp;$J34,target_columns[],7,0),"")</f>
        <v>Yes</v>
      </c>
      <c r="G34" s="47" t="str">
        <f>IFERROR(VLOOKUP($D34&amp;$J34,target_columns[],8,0),"")</f>
        <v>No</v>
      </c>
      <c r="H34" s="47" t="str">
        <f>IFERROR(VLOOKUP($D34&amp;$J34,target_columns[],5,0),"")</f>
        <v xml:space="preserve">NOT NULL</v>
      </c>
      <c r="I34" s="47" t="str">
        <f>IFERROR(VLOOKUP($D34&amp;$J34,target_columns[],10,0),"")</f>
        <v xml:space="preserve">Уникальный идентификатор типа регистра</v>
      </c>
      <c r="J34" s="27" t="s">
        <v>77</v>
      </c>
      <c r="K34" s="26" t="s">
        <v>83</v>
      </c>
      <c r="L34" s="28" t="str">
        <f>IFERROR(VLOOKUP(UPPER(K34&amp;N34),source_columns[],4,0),"")</f>
        <v/>
      </c>
      <c r="M34" s="28" t="str">
        <f>IFERROR(VLOOKUP(UPPER(K34&amp;N34),source_columns[],7,0),"")</f>
        <v/>
      </c>
      <c r="N34" s="35" t="s">
        <v>45</v>
      </c>
      <c r="O34" s="26"/>
      <c r="P34" s="54"/>
      <c r="Q34" s="28" t="str">
        <f>"n306000041_"&amp;IFERROR(VLOOKUP(D34,target_tables[],5,0),"&lt;not found&gt;")</f>
        <v>n306000041_registry_type</v>
      </c>
      <c r="R34" s="45" t="s">
        <v>46</v>
      </c>
      <c r="S34" s="48" t="s">
        <v>69</v>
      </c>
      <c r="T34" s="45" t="s">
        <v>33</v>
      </c>
      <c r="U34" s="31">
        <v>45370</v>
      </c>
      <c r="V34" s="45"/>
    </row>
    <row r="35" ht="15" customHeight="1">
      <c r="A35" s="44">
        <v>430</v>
      </c>
      <c r="B35" s="45"/>
      <c r="C35" s="45"/>
      <c r="D35" s="27" t="s">
        <v>82</v>
      </c>
      <c r="E35" s="47" t="str">
        <f>IFERROR(VLOOKUP($D35&amp;$J35,target_columns[],4,0),"")</f>
        <v>text</v>
      </c>
      <c r="F35" s="47" t="str">
        <f>IFERROR(VLOOKUP($D35&amp;$J35,target_columns[],7,0),"")</f>
        <v>No</v>
      </c>
      <c r="G35" s="47" t="str">
        <f>IFERROR(VLOOKUP($D35&amp;$J35,target_columns[],8,0),"")</f>
        <v>No</v>
      </c>
      <c r="H35" s="47" t="str">
        <f>IFERROR(VLOOKUP($D35&amp;$J35,target_columns[],5,0),"")</f>
        <v>NULL</v>
      </c>
      <c r="I35" s="47" t="str">
        <f>IFERROR(VLOOKUP($D35&amp;$J35,target_columns[],10,0),"")</f>
        <v xml:space="preserve">Наименование типа регистра</v>
      </c>
      <c r="J35" s="27" t="s">
        <v>84</v>
      </c>
      <c r="K35" s="26" t="s">
        <v>83</v>
      </c>
      <c r="L35" s="28" t="str">
        <f>IFERROR(VLOOKUP(UPPER(K35&amp;N35),source_columns[],4,0),"")</f>
        <v/>
      </c>
      <c r="M35" s="28" t="str">
        <f>IFERROR(VLOOKUP(UPPER(K35&amp;N35),source_columns[],7,0),"")</f>
        <v/>
      </c>
      <c r="N35" s="35" t="s">
        <v>85</v>
      </c>
      <c r="O35" s="26"/>
      <c r="P35" s="64"/>
      <c r="Q35" s="28" t="str">
        <f>"n306000041_"&amp;IFERROR(VLOOKUP(D35,target_tables[],5,0),"&lt;not found&gt;")</f>
        <v>n306000041_registry_type</v>
      </c>
      <c r="R35" s="45" t="s">
        <v>31</v>
      </c>
      <c r="S35" s="34"/>
      <c r="T35" s="45" t="s">
        <v>33</v>
      </c>
      <c r="U35" s="31">
        <v>45370</v>
      </c>
      <c r="V35" s="45"/>
    </row>
    <row r="36" ht="15" customHeight="1">
      <c r="A36" s="38">
        <v>440</v>
      </c>
      <c r="B36" s="39"/>
      <c r="C36" s="39"/>
      <c r="D36" s="40" t="s">
        <v>82</v>
      </c>
      <c r="E36" s="41" t="str">
        <f>IFERROR(VLOOKUP($D36&amp;$J36,target_columns[],4,0),"")</f>
        <v>text</v>
      </c>
      <c r="F36" s="41" t="str">
        <f>IFERROR(VLOOKUP($D36&amp;$J36,target_columns[],7,0),"")</f>
        <v>No</v>
      </c>
      <c r="G36" s="41" t="str">
        <f>IFERROR(VLOOKUP($D36&amp;$J36,target_columns[],8,0),"")</f>
        <v>No</v>
      </c>
      <c r="H36" s="41" t="str">
        <f>IFERROR(VLOOKUP($D36&amp;$J36,target_columns[],5,0),"")</f>
        <v>NULL</v>
      </c>
      <c r="I36" s="41" t="str">
        <f>IFERROR(VLOOKUP($D36&amp;$J36,target_columns[],10,0),"")</f>
        <v xml:space="preserve">Код регистра</v>
      </c>
      <c r="J36" s="40" t="s">
        <v>86</v>
      </c>
      <c r="K36" s="39" t="s">
        <v>83</v>
      </c>
      <c r="L36" s="41" t="str">
        <f>IFERROR(VLOOKUP(UPPER(K36&amp;N36),source_columns[],4,0),"")</f>
        <v/>
      </c>
      <c r="M36" s="41" t="str">
        <f>IFERROR(VLOOKUP(UPPER(K36&amp;N36),source_columns[],7,0),"")</f>
        <v/>
      </c>
      <c r="N36" s="65" t="s">
        <v>76</v>
      </c>
      <c r="O36" s="39"/>
      <c r="P36" s="58"/>
      <c r="Q36" s="28" t="str">
        <f>"n306000041_"&amp;IFERROR(VLOOKUP(D36,target_tables[],5,0),"&lt;not found&gt;")</f>
        <v>n306000041_registry_type</v>
      </c>
      <c r="R36" s="39" t="s">
        <v>31</v>
      </c>
      <c r="S36" s="53"/>
      <c r="T36" s="39" t="s">
        <v>33</v>
      </c>
      <c r="U36" s="31">
        <v>45370</v>
      </c>
      <c r="V36" s="39"/>
    </row>
    <row r="37" ht="15" customHeight="1">
      <c r="A37" s="44">
        <v>450</v>
      </c>
      <c r="B37" s="45"/>
      <c r="C37" s="45"/>
      <c r="D37" s="27" t="s">
        <v>87</v>
      </c>
      <c r="E37" s="47" t="str">
        <f>IFERROR(VLOOKUP($D37&amp;$J37,target_columns[],4,0),"")</f>
        <v>uuid</v>
      </c>
      <c r="F37" s="47" t="str">
        <f>IFERROR(VLOOKUP($D37&amp;$J37,target_columns[],7,0),"")</f>
        <v>Yes</v>
      </c>
      <c r="G37" s="47" t="str">
        <f>IFERROR(VLOOKUP($D37&amp;$J37,target_columns[],8,0),"")</f>
        <v>No</v>
      </c>
      <c r="H37" s="47" t="str">
        <f>IFERROR(VLOOKUP($D37&amp;$J37,target_columns[],5,0),"")</f>
        <v xml:space="preserve">NOT NULL</v>
      </c>
      <c r="I37" s="47" t="str">
        <f>IFERROR(VLOOKUP($D37&amp;$J37,target_columns[],10,0),"")</f>
        <v xml:space="preserve">Идентификатор заявки</v>
      </c>
      <c r="J37" s="27" t="s">
        <v>88</v>
      </c>
      <c r="K37" s="26" t="s">
        <v>89</v>
      </c>
      <c r="L37" s="28" t="str">
        <f>IFERROR(VLOOKUP(UPPER(K37&amp;N37),source_columns[],4,0),"")</f>
        <v/>
      </c>
      <c r="M37" s="28" t="str">
        <f>IFERROR(VLOOKUP(UPPER(K37&amp;N37),source_columns[],7,0),"")</f>
        <v/>
      </c>
      <c r="N37" s="26" t="s">
        <v>45</v>
      </c>
      <c r="O37" s="26"/>
      <c r="P37" s="66" t="s">
        <v>90</v>
      </c>
      <c r="Q37" s="28" t="str">
        <f>"n306000041_"&amp;IFERROR(VLOOKUP(D37,target_tables[],5,0),"&lt;not found&gt;")</f>
        <v>n306000041_appl</v>
      </c>
      <c r="R37" s="45" t="s">
        <v>46</v>
      </c>
      <c r="S37" s="48" t="s">
        <v>32</v>
      </c>
      <c r="T37" s="45" t="s">
        <v>33</v>
      </c>
      <c r="U37" s="31">
        <v>45370</v>
      </c>
      <c r="V37" s="45"/>
    </row>
    <row r="38" ht="15" customHeight="1">
      <c r="A38" s="44">
        <v>460</v>
      </c>
      <c r="B38" s="45"/>
      <c r="C38" s="45"/>
      <c r="D38" s="27" t="s">
        <v>87</v>
      </c>
      <c r="E38" s="47" t="str">
        <f>IFERROR(VLOOKUP($D38&amp;$J38,target_columns[],4,0),"")</f>
        <v>uuid</v>
      </c>
      <c r="F38" s="47" t="str">
        <f>IFERROR(VLOOKUP($D38&amp;$J38,target_columns[],7,0),"")</f>
        <v>No</v>
      </c>
      <c r="G38" s="47" t="str">
        <f>IFERROR(VLOOKUP($D38&amp;$J38,target_columns[],8,0),"")</f>
        <v>Yes</v>
      </c>
      <c r="H38" s="47" t="str">
        <f>IFERROR(VLOOKUP($D38&amp;$J38,target_columns[],5,0),"")</f>
        <v>NULL</v>
      </c>
      <c r="I38" s="47" t="str">
        <f>IFERROR(VLOOKUP($D38&amp;$J38,target_columns[],10,0),"")</f>
        <v xml:space="preserve">Тип заявки</v>
      </c>
      <c r="J38" s="56" t="s">
        <v>91</v>
      </c>
      <c r="K38" s="26" t="s">
        <v>89</v>
      </c>
      <c r="L38" s="28" t="str">
        <f>IFERROR(VLOOKUP(UPPER(K38&amp;N38),source_columns[],4,0),"")</f>
        <v/>
      </c>
      <c r="M38" s="28" t="str">
        <f>IFERROR(VLOOKUP(UPPER(K38&amp;N38),source_columns[],7,0),"")</f>
        <v/>
      </c>
      <c r="N38" s="26" t="s">
        <v>92</v>
      </c>
      <c r="O38" s="26"/>
      <c r="P38" s="55"/>
      <c r="Q38" s="28" t="str">
        <f>"n306000041_"&amp;IFERROR(VLOOKUP(D38,target_tables[],5,0),"&lt;not found&gt;")</f>
        <v>n306000041_appl</v>
      </c>
      <c r="R38" s="45" t="s">
        <v>31</v>
      </c>
      <c r="S38" s="67"/>
      <c r="T38" s="45" t="s">
        <v>33</v>
      </c>
      <c r="U38" s="31">
        <v>45370</v>
      </c>
      <c r="V38" s="45"/>
    </row>
    <row r="39" ht="15" customHeight="1">
      <c r="A39" s="44">
        <v>470</v>
      </c>
      <c r="B39" s="45"/>
      <c r="C39" s="45"/>
      <c r="D39" s="27" t="s">
        <v>87</v>
      </c>
      <c r="E39" s="47" t="str">
        <f>IFERROR(VLOOKUP($D39&amp;$J39,target_columns[],4,0),"")</f>
        <v>uuid</v>
      </c>
      <c r="F39" s="47" t="str">
        <f>IFERROR(VLOOKUP($D39&amp;$J39,target_columns[],7,0),"")</f>
        <v>No</v>
      </c>
      <c r="G39" s="47" t="str">
        <f>IFERROR(VLOOKUP($D39&amp;$J39,target_columns[],8,0),"")</f>
        <v>Yes</v>
      </c>
      <c r="H39" s="47" t="str">
        <f>IFERROR(VLOOKUP($D39&amp;$J39,target_columns[],5,0),"")</f>
        <v>NULL</v>
      </c>
      <c r="I39" s="47" t="str">
        <f>IFERROR(VLOOKUP($D39&amp;$J39,target_columns[],10,0),"")</f>
        <v xml:space="preserve">Система-источник заявки</v>
      </c>
      <c r="J39" s="26" t="s">
        <v>93</v>
      </c>
      <c r="K39" s="26" t="s">
        <v>89</v>
      </c>
      <c r="L39" s="28" t="str">
        <f>IFERROR(VLOOKUP(UPPER(K39&amp;N39),source_columns[],4,0),"")</f>
        <v/>
      </c>
      <c r="M39" s="28" t="str">
        <f>IFERROR(VLOOKUP(UPPER(K39&amp;N39),source_columns[],7,0),"")</f>
        <v/>
      </c>
      <c r="N39" s="26" t="s">
        <v>94</v>
      </c>
      <c r="O39" s="26"/>
      <c r="P39" s="55"/>
      <c r="Q39" s="28" t="str">
        <f>"n306000041_"&amp;IFERROR(VLOOKUP(D39,target_tables[],5,0),"&lt;not found&gt;")</f>
        <v>n306000041_appl</v>
      </c>
      <c r="R39" s="45" t="s">
        <v>31</v>
      </c>
      <c r="S39" s="67"/>
      <c r="T39" s="45" t="s">
        <v>33</v>
      </c>
      <c r="U39" s="31">
        <v>45370</v>
      </c>
      <c r="V39" s="45"/>
    </row>
    <row r="40" ht="15" customHeight="1">
      <c r="A40" s="44">
        <v>471</v>
      </c>
      <c r="B40" s="45"/>
      <c r="C40" s="45"/>
      <c r="D40" s="27" t="s">
        <v>87</v>
      </c>
      <c r="E40" s="47" t="str">
        <f>IFERROR(VLOOKUP($D40&amp;$J40,target_columns[],4,0),"")</f>
        <v>text</v>
      </c>
      <c r="F40" s="47" t="str">
        <f>IFERROR(VLOOKUP($D40&amp;$J40,target_columns[],7,0),"")</f>
        <v>No</v>
      </c>
      <c r="G40" s="47" t="str">
        <f>IFERROR(VLOOKUP($D40&amp;$J40,target_columns[],8,0),"")</f>
        <v>No</v>
      </c>
      <c r="H40" s="47" t="str">
        <f>IFERROR(VLOOKUP($D40&amp;$J40,target_columns[],5,0),"")</f>
        <v>NULL</v>
      </c>
      <c r="I40" s="47" t="str">
        <f>IFERROR(VLOOKUP($D40&amp;$J40,target_columns[],10,0),"")</f>
        <v xml:space="preserve">Текст ошибки</v>
      </c>
      <c r="J40" s="26" t="s">
        <v>95</v>
      </c>
      <c r="K40" s="26" t="s">
        <v>89</v>
      </c>
      <c r="L40" s="28" t="str">
        <f>IFERROR(VLOOKUP(UPPER(K40&amp;N40),source_columns[],4,0),"")</f>
        <v/>
      </c>
      <c r="M40" s="28" t="str">
        <f>IFERROR(VLOOKUP(UPPER(K40&amp;N40),source_columns[],7,0),"")</f>
        <v/>
      </c>
      <c r="N40" s="26" t="s">
        <v>96</v>
      </c>
      <c r="O40" s="26"/>
      <c r="P40" s="55"/>
      <c r="Q40" s="28" t="str">
        <f>"n306000041_"&amp;IFERROR(VLOOKUP(D40,target_tables[],5,0),"&lt;not found&gt;")</f>
        <v>n306000041_appl</v>
      </c>
      <c r="R40" s="45" t="s">
        <v>31</v>
      </c>
      <c r="S40" s="67"/>
      <c r="T40" s="45" t="s">
        <v>33</v>
      </c>
      <c r="U40" s="31">
        <v>45370</v>
      </c>
      <c r="V40" s="45"/>
    </row>
    <row r="41" ht="15" customHeight="1">
      <c r="A41" s="44">
        <v>472</v>
      </c>
      <c r="B41" s="45"/>
      <c r="C41" s="45"/>
      <c r="D41" s="27" t="s">
        <v>87</v>
      </c>
      <c r="E41" s="47" t="str">
        <f>IFERROR(VLOOKUP($D41&amp;$J41,target_columns[],4,0),"")</f>
        <v>text</v>
      </c>
      <c r="F41" s="47" t="str">
        <f>IFERROR(VLOOKUP($D41&amp;$J41,target_columns[],7,0),"")</f>
        <v>No</v>
      </c>
      <c r="G41" s="47" t="str">
        <f>IFERROR(VLOOKUP($D41&amp;$J41,target_columns[],8,0),"")</f>
        <v>No</v>
      </c>
      <c r="H41" s="47" t="str">
        <f>IFERROR(VLOOKUP($D41&amp;$J41,target_columns[],5,0),"")</f>
        <v>NULL</v>
      </c>
      <c r="I41" s="47" t="str">
        <f>IFERROR(VLOOKUP($D41&amp;$J41,target_columns[],10,0),"")</f>
        <v xml:space="preserve">Номер договора ДБО</v>
      </c>
      <c r="J41" s="26" t="s">
        <v>97</v>
      </c>
      <c r="K41" s="68" t="s">
        <v>98</v>
      </c>
      <c r="L41" s="28" t="str">
        <f>IFERROR(VLOOKUP(UPPER(K41&amp;N41),source_columns[],4,0),"")</f>
        <v/>
      </c>
      <c r="M41" s="28" t="str">
        <f>IFERROR(VLOOKUP(UPPER(K41&amp;N41),source_columns[],7,0),"")</f>
        <v/>
      </c>
      <c r="N41" s="26" t="s">
        <v>99</v>
      </c>
      <c r="O41" s="26"/>
      <c r="P41" s="55"/>
      <c r="Q41" s="28" t="str">
        <f>"n306000041_"&amp;IFERROR(VLOOKUP(D41,target_tables[],5,0),"&lt;not found&gt;")</f>
        <v>n306000041_appl</v>
      </c>
      <c r="R41" s="45" t="s">
        <v>31</v>
      </c>
      <c r="S41" s="67"/>
      <c r="T41" s="45" t="s">
        <v>33</v>
      </c>
      <c r="U41" s="31">
        <v>45370</v>
      </c>
      <c r="V41" s="45"/>
    </row>
    <row r="42" ht="15" customHeight="1">
      <c r="A42" s="44">
        <v>473</v>
      </c>
      <c r="B42" s="45"/>
      <c r="C42" s="45"/>
      <c r="D42" s="27" t="s">
        <v>87</v>
      </c>
      <c r="E42" s="47" t="str">
        <f>IFERROR(VLOOKUP($D42&amp;$J42,target_columns[],4,0),"")</f>
        <v>uuid</v>
      </c>
      <c r="F42" s="47" t="str">
        <f>IFERROR(VLOOKUP($D42&amp;$J42,target_columns[],7,0),"")</f>
        <v>No</v>
      </c>
      <c r="G42" s="47" t="str">
        <f>IFERROR(VLOOKUP($D42&amp;$J42,target_columns[],8,0),"")</f>
        <v>Yes</v>
      </c>
      <c r="H42" s="47" t="str">
        <f>IFERROR(VLOOKUP($D42&amp;$J42,target_columns[],5,0),"")</f>
        <v>NULL</v>
      </c>
      <c r="I42" s="47" t="str">
        <f>IFERROR(VLOOKUP($D42&amp;$J42,target_columns[],10,0),"")</f>
        <v xml:space="preserve">Подразделение оформления заявки</v>
      </c>
      <c r="J42" s="26" t="s">
        <v>100</v>
      </c>
      <c r="K42" s="68" t="s">
        <v>101</v>
      </c>
      <c r="L42" s="28" t="str">
        <f>IFERROR(VLOOKUP(UPPER(K42&amp;N42),source_columns[],4,0),"")</f>
        <v/>
      </c>
      <c r="M42" s="28" t="str">
        <f>IFERROR(VLOOKUP(UPPER(K42&amp;N42),source_columns[],7,0),"")</f>
        <v/>
      </c>
      <c r="N42" s="26" t="s">
        <v>102</v>
      </c>
      <c r="O42" s="26"/>
      <c r="P42" s="55"/>
      <c r="Q42" s="28" t="str">
        <f>"n306000041_"&amp;IFERROR(VLOOKUP(D42,target_tables[],5,0),"&lt;not found&gt;")</f>
        <v>n306000041_appl</v>
      </c>
      <c r="R42" s="45" t="s">
        <v>31</v>
      </c>
      <c r="S42" s="67"/>
      <c r="T42" s="45" t="s">
        <v>33</v>
      </c>
      <c r="U42" s="31">
        <v>46156</v>
      </c>
      <c r="V42" s="45"/>
    </row>
    <row r="43" ht="15" customHeight="1">
      <c r="A43" s="44">
        <v>480</v>
      </c>
      <c r="B43" s="45"/>
      <c r="C43" s="45"/>
      <c r="D43" s="27" t="s">
        <v>87</v>
      </c>
      <c r="E43" s="47" t="str">
        <f>IFERROR(VLOOKUP($D43&amp;$J43,target_columns[],4,0),"")</f>
        <v>uuid</v>
      </c>
      <c r="F43" s="47" t="str">
        <f>IFERROR(VLOOKUP($D43&amp;$J43,target_columns[],7,0),"")</f>
        <v>No</v>
      </c>
      <c r="G43" s="47" t="str">
        <f>IFERROR(VLOOKUP($D43&amp;$J43,target_columns[],8,0),"")</f>
        <v>Yes</v>
      </c>
      <c r="H43" s="47" t="str">
        <f>IFERROR(VLOOKUP($D43&amp;$J43,target_columns[],5,0),"")</f>
        <v>NULL</v>
      </c>
      <c r="I43" s="47" t="str">
        <f>IFERROR(VLOOKUP($D43&amp;$J43,target_columns[],10,0),"")</f>
        <v xml:space="preserve">Канал поступления заявки</v>
      </c>
      <c r="J43" s="26" t="s">
        <v>103</v>
      </c>
      <c r="K43" s="26" t="s">
        <v>89</v>
      </c>
      <c r="L43" s="28" t="str">
        <f>IFERROR(VLOOKUP(UPPER(K43&amp;N43),source_columns[],4,0),"")</f>
        <v/>
      </c>
      <c r="M43" s="28" t="str">
        <f>IFERROR(VLOOKUP(UPPER(K43&amp;N43),source_columns[],7,0),"")</f>
        <v/>
      </c>
      <c r="N43" s="26" t="s">
        <v>104</v>
      </c>
      <c r="O43" s="26"/>
      <c r="P43" s="55"/>
      <c r="Q43" s="28" t="str">
        <f>"n306000041_"&amp;IFERROR(VLOOKUP(D43,target_tables[],5,0),"&lt;not found&gt;")</f>
        <v>n306000041_appl</v>
      </c>
      <c r="R43" s="45" t="s">
        <v>31</v>
      </c>
      <c r="S43" s="67"/>
      <c r="T43" s="45" t="s">
        <v>33</v>
      </c>
      <c r="U43" s="31">
        <v>45370</v>
      </c>
      <c r="V43" s="45"/>
    </row>
    <row r="44" ht="15" customHeight="1">
      <c r="A44" s="44">
        <v>490</v>
      </c>
      <c r="B44" s="45"/>
      <c r="C44" s="45"/>
      <c r="D44" s="27" t="s">
        <v>87</v>
      </c>
      <c r="E44" s="47" t="str">
        <f>IFERROR(VLOOKUP($D44&amp;$J44,target_columns[],4,0),"")</f>
        <v>uuid</v>
      </c>
      <c r="F44" s="47" t="str">
        <f>IFERROR(VLOOKUP($D44&amp;$J44,target_columns[],7,0),"")</f>
        <v>No</v>
      </c>
      <c r="G44" s="47" t="str">
        <f>IFERROR(VLOOKUP($D44&amp;$J44,target_columns[],8,0),"")</f>
        <v>Yes</v>
      </c>
      <c r="H44" s="47" t="str">
        <f>IFERROR(VLOOKUP($D44&amp;$J44,target_columns[],5,0),"")</f>
        <v>NULL</v>
      </c>
      <c r="I44" s="47" t="str">
        <f>IFERROR(VLOOKUP($D44&amp;$J44,target_columns[],10,0),"")</f>
        <v xml:space="preserve">Договор, открытый по заявке</v>
      </c>
      <c r="J44" s="26" t="s">
        <v>71</v>
      </c>
      <c r="K44" s="26" t="s">
        <v>105</v>
      </c>
      <c r="L44" s="28" t="str">
        <f>IFERROR(VLOOKUP(UPPER(K44&amp;N44),source_columns[],4,0),"")</f>
        <v/>
      </c>
      <c r="M44" s="28" t="str">
        <f>IFERROR(VLOOKUP(UPPER(K44&amp;N44),source_columns[],7,0),"")</f>
        <v/>
      </c>
      <c r="N44" s="26" t="s">
        <v>106</v>
      </c>
      <c r="O44" s="26"/>
      <c r="P44" s="55"/>
      <c r="Q44" s="28" t="str">
        <f>"n306000041_"&amp;IFERROR(VLOOKUP(D44,target_tables[],5,0),"&lt;not found&gt;")</f>
        <v>n306000041_appl</v>
      </c>
      <c r="R44" s="45" t="s">
        <v>31</v>
      </c>
      <c r="S44" s="67"/>
      <c r="T44" s="45" t="s">
        <v>33</v>
      </c>
      <c r="U44" s="31">
        <v>45370</v>
      </c>
      <c r="V44" s="45"/>
    </row>
    <row r="45" ht="15" customHeight="1">
      <c r="A45" s="44">
        <v>500</v>
      </c>
      <c r="B45" s="45"/>
      <c r="C45" s="45"/>
      <c r="D45" s="27" t="s">
        <v>87</v>
      </c>
      <c r="E45" s="47" t="str">
        <f>IFERROR(VLOOKUP($D45&amp;$J45,target_columns[],4,0),"")</f>
        <v>uuid</v>
      </c>
      <c r="F45" s="47" t="str">
        <f>IFERROR(VLOOKUP($D45&amp;$J45,target_columns[],7,0),"")</f>
        <v>No</v>
      </c>
      <c r="G45" s="47" t="str">
        <f>IFERROR(VLOOKUP($D45&amp;$J45,target_columns[],8,0),"")</f>
        <v>Yes</v>
      </c>
      <c r="H45" s="47" t="str">
        <f>IFERROR(VLOOKUP($D45&amp;$J45,target_columns[],5,0),"")</f>
        <v>NULL</v>
      </c>
      <c r="I45" s="47" t="str">
        <f>IFERROR(VLOOKUP($D45&amp;$J45,target_columns[],10,0),"")</f>
        <v xml:space="preserve">Регистр, открытый по заявке</v>
      </c>
      <c r="J45" s="26" t="s">
        <v>66</v>
      </c>
      <c r="K45" s="26" t="s">
        <v>105</v>
      </c>
      <c r="L45" s="28" t="str">
        <f>IFERROR(VLOOKUP(UPPER(K45&amp;N45),source_columns[],4,0),"")</f>
        <v/>
      </c>
      <c r="M45" s="28" t="str">
        <f>IFERROR(VLOOKUP(UPPER(K45&amp;N45),source_columns[],7,0),"")</f>
        <v/>
      </c>
      <c r="N45" s="26" t="s">
        <v>107</v>
      </c>
      <c r="O45" s="26"/>
      <c r="P45" s="55"/>
      <c r="Q45" s="28" t="str">
        <f>"n306000041_"&amp;IFERROR(VLOOKUP(D45,target_tables[],5,0),"&lt;not found&gt;")</f>
        <v>n306000041_appl</v>
      </c>
      <c r="R45" s="45" t="s">
        <v>31</v>
      </c>
      <c r="S45" s="67"/>
      <c r="T45" s="45" t="s">
        <v>33</v>
      </c>
      <c r="U45" s="31">
        <v>45370</v>
      </c>
      <c r="V45" s="45"/>
    </row>
    <row r="46" ht="15" customHeight="1">
      <c r="A46" s="44">
        <v>510</v>
      </c>
      <c r="B46" s="45"/>
      <c r="C46" s="45"/>
      <c r="D46" s="27" t="s">
        <v>87</v>
      </c>
      <c r="E46" s="47" t="str">
        <f>IFERROR(VLOOKUP($D46&amp;$J46,target_columns[],4,0),"")</f>
        <v>date</v>
      </c>
      <c r="F46" s="47" t="str">
        <f>IFERROR(VLOOKUP($D46&amp;$J46,target_columns[],7,0),"")</f>
        <v>No</v>
      </c>
      <c r="G46" s="47" t="str">
        <f>IFERROR(VLOOKUP($D46&amp;$J46,target_columns[],8,0),"")</f>
        <v>No</v>
      </c>
      <c r="H46" s="47" t="str">
        <f>IFERROR(VLOOKUP($D46&amp;$J46,target_columns[],5,0),"")</f>
        <v>NULL</v>
      </c>
      <c r="I46" s="47" t="str">
        <f>IFERROR(VLOOKUP($D46&amp;$J46,target_columns[],10,0),"")</f>
        <v xml:space="preserve">Дата поступления заявки</v>
      </c>
      <c r="J46" s="26" t="s">
        <v>108</v>
      </c>
      <c r="K46" s="26" t="s">
        <v>89</v>
      </c>
      <c r="L46" s="28" t="str">
        <f>IFERROR(VLOOKUP(UPPER(K46&amp;N46),source_columns[],4,0),"")</f>
        <v/>
      </c>
      <c r="M46" s="28" t="str">
        <f>IFERROR(VLOOKUP(UPPER(K46&amp;N46),source_columns[],7,0),"")</f>
        <v/>
      </c>
      <c r="N46" s="26" t="s">
        <v>109</v>
      </c>
      <c r="O46" s="26" t="s">
        <v>110</v>
      </c>
      <c r="P46" s="55"/>
      <c r="Q46" s="28" t="str">
        <f>"n306000041_"&amp;IFERROR(VLOOKUP(D46,target_tables[],5,0),"&lt;not found&gt;")</f>
        <v>n306000041_appl</v>
      </c>
      <c r="R46" s="45" t="s">
        <v>31</v>
      </c>
      <c r="S46" s="67"/>
      <c r="T46" s="45" t="s">
        <v>33</v>
      </c>
      <c r="U46" s="31">
        <v>45370</v>
      </c>
      <c r="V46" s="45"/>
    </row>
    <row r="47" ht="15" customHeight="1">
      <c r="A47" s="44">
        <v>520</v>
      </c>
      <c r="B47" s="45"/>
      <c r="C47" s="45"/>
      <c r="D47" s="27" t="s">
        <v>87</v>
      </c>
      <c r="E47" s="47" t="str">
        <f>IFERROR(VLOOKUP($D47&amp;$J47,target_columns[],4,0),"")</f>
        <v>uuid</v>
      </c>
      <c r="F47" s="47" t="str">
        <f>IFERROR(VLOOKUP($D47&amp;$J47,target_columns[],7,0),"")</f>
        <v>No</v>
      </c>
      <c r="G47" s="47" t="str">
        <f>IFERROR(VLOOKUP($D47&amp;$J47,target_columns[],8,0),"")</f>
        <v>Yes</v>
      </c>
      <c r="H47" s="47" t="str">
        <f>IFERROR(VLOOKUP($D47&amp;$J47,target_columns[],5,0),"")</f>
        <v>NULL</v>
      </c>
      <c r="I47" s="47" t="str">
        <f>IFERROR(VLOOKUP($D47&amp;$J47,target_columns[],10,0),"")</f>
        <v xml:space="preserve">Клиент по заявке</v>
      </c>
      <c r="J47" s="26" t="s">
        <v>57</v>
      </c>
      <c r="K47" s="26" t="s">
        <v>111</v>
      </c>
      <c r="L47" s="28" t="str">
        <f>IFERROR(VLOOKUP(UPPER(K47&amp;N47),source_columns[],4,0),"")</f>
        <v/>
      </c>
      <c r="M47" s="28" t="str">
        <f>IFERROR(VLOOKUP(UPPER(K47&amp;N47),source_columns[],7,0),"")</f>
        <v/>
      </c>
      <c r="N47" s="26" t="s">
        <v>112</v>
      </c>
      <c r="O47" s="26"/>
      <c r="P47" s="55"/>
      <c r="Q47" s="28" t="str">
        <f>"n306000041_"&amp;IFERROR(VLOOKUP(D47,target_tables[],5,0),"&lt;not found&gt;")</f>
        <v>n306000041_appl</v>
      </c>
      <c r="R47" s="45" t="s">
        <v>31</v>
      </c>
      <c r="S47" s="67"/>
      <c r="T47" s="45" t="s">
        <v>33</v>
      </c>
      <c r="U47" s="31">
        <v>45370</v>
      </c>
      <c r="V47" s="45"/>
    </row>
    <row r="48" s="37" customFormat="1" ht="15" customHeight="1">
      <c r="A48" s="69">
        <v>530</v>
      </c>
      <c r="B48" s="60"/>
      <c r="C48" s="60"/>
      <c r="D48" s="40" t="s">
        <v>87</v>
      </c>
      <c r="E48" s="70" t="str">
        <f>IFERROR(VLOOKUP($D48&amp;$J48,target_columns[],4,0),"")</f>
        <v>bigint</v>
      </c>
      <c r="F48" s="70" t="str">
        <f>IFERROR(VLOOKUP($D48&amp;$J48,target_columns[],7,0),"")</f>
        <v>No</v>
      </c>
      <c r="G48" s="70" t="str">
        <f>IFERROR(VLOOKUP($D48&amp;$J48,target_columns[],8,0),"")</f>
        <v>No</v>
      </c>
      <c r="H48" s="70" t="str">
        <f>IFERROR(VLOOKUP($D48&amp;$J48,target_columns[],5,0),"")</f>
        <v>NULL</v>
      </c>
      <c r="I48" s="70" t="str">
        <f>IFERROR(VLOOKUP($D48&amp;$J48,target_columns[],10,0),"")</f>
        <v xml:space="preserve">Идентификатор заявки в системе-источнике</v>
      </c>
      <c r="J48" s="39" t="s">
        <v>113</v>
      </c>
      <c r="K48" s="39" t="s">
        <v>89</v>
      </c>
      <c r="L48" s="41" t="str">
        <f>IFERROR(VLOOKUP(UPPER(K48&amp;N48),source_columns[],4,0),"")</f>
        <v>bigint</v>
      </c>
      <c r="M48" s="41" t="str">
        <f>IFERROR(VLOOKUP(UPPER(K48&amp;N48),source_columns[],7,0),"")</f>
        <v xml:space="preserve">Уникальный  идентификатор</v>
      </c>
      <c r="N48" s="39" t="s">
        <v>114</v>
      </c>
      <c r="O48" s="39"/>
      <c r="P48" s="58"/>
      <c r="Q48" s="28" t="str">
        <f>"n306000041_"&amp;IFERROR(VLOOKUP(D48,target_tables[],5,0),"&lt;not found&gt;")</f>
        <v>n306000041_appl</v>
      </c>
      <c r="R48" s="45" t="s">
        <v>31</v>
      </c>
      <c r="S48" s="71"/>
      <c r="T48" s="60" t="s">
        <v>33</v>
      </c>
      <c r="U48" s="43">
        <v>45370</v>
      </c>
      <c r="V48" s="60"/>
    </row>
    <row r="49" ht="15" customHeight="1">
      <c r="A49" s="44">
        <v>540</v>
      </c>
      <c r="B49" s="45"/>
      <c r="C49" s="45"/>
      <c r="D49" s="46" t="s">
        <v>115</v>
      </c>
      <c r="E49" s="47" t="str">
        <f>IFERROR(VLOOKUP($D49&amp;$J49,target_columns[],4,0),"")</f>
        <v>uuid</v>
      </c>
      <c r="F49" s="47" t="str">
        <f>IFERROR(VLOOKUP($D49&amp;$J49,target_columns[],7,0),"")</f>
        <v>Yes</v>
      </c>
      <c r="G49" s="47" t="str">
        <f>IFERROR(VLOOKUP($D49&amp;$J49,target_columns[],8,0),"")</f>
        <v>Yes</v>
      </c>
      <c r="H49" s="47" t="str">
        <f>IFERROR(VLOOKUP($D49&amp;$J49,target_columns[],5,0),"")</f>
        <v xml:space="preserve">NOT NULL</v>
      </c>
      <c r="I49" s="47" t="str">
        <f>IFERROR(VLOOKUP($D49&amp;$J49,target_columns[],10,0),"")</f>
        <v xml:space="preserve">Уникальный идентификатор заявки</v>
      </c>
      <c r="J49" s="46" t="s">
        <v>88</v>
      </c>
      <c r="K49" s="26" t="s">
        <v>89</v>
      </c>
      <c r="L49" s="47" t="str">
        <f>IFERROR(VLOOKUP(UPPER(K49&amp;N49),source_columns[],4,0),"")</f>
        <v/>
      </c>
      <c r="M49" s="47" t="str">
        <f>IFERROR(VLOOKUP(UPPER(K49&amp;N49),source_columns[],7,0),"")</f>
        <v/>
      </c>
      <c r="N49" s="45" t="s">
        <v>45</v>
      </c>
      <c r="O49" s="45"/>
      <c r="P49" s="54"/>
      <c r="Q49" s="28" t="str">
        <f>"n306000041_"&amp;IFERROR(VLOOKUP(D49,target_tables[],5,0),"&lt;not found&gt;")</f>
        <v>n306000041_appl_stts</v>
      </c>
      <c r="R49" s="45" t="s">
        <v>46</v>
      </c>
      <c r="S49" s="48" t="s">
        <v>48</v>
      </c>
      <c r="T49" s="45" t="s">
        <v>33</v>
      </c>
      <c r="U49" s="49">
        <v>45370</v>
      </c>
      <c r="V49" s="45"/>
    </row>
    <row r="50" ht="15" customHeight="1">
      <c r="A50" s="44">
        <v>550</v>
      </c>
      <c r="B50" s="45"/>
      <c r="C50" s="45"/>
      <c r="D50" s="46" t="s">
        <v>115</v>
      </c>
      <c r="E50" s="47" t="str">
        <f>IFERROR(VLOOKUP($D50&amp;$J50,target_columns[],4,0),"")</f>
        <v>uuid</v>
      </c>
      <c r="F50" s="47" t="str">
        <f>IFERROR(VLOOKUP($D50&amp;$J50,target_columns[],7,0),"")</f>
        <v>No</v>
      </c>
      <c r="G50" s="47" t="str">
        <f>IFERROR(VLOOKUP($D50&amp;$J50,target_columns[],8,0),"")</f>
        <v>Yes</v>
      </c>
      <c r="H50" s="47" t="str">
        <f>IFERROR(VLOOKUP($D50&amp;$J50,target_columns[],5,0),"")</f>
        <v>NULL</v>
      </c>
      <c r="I50" s="47" t="str">
        <f>IFERROR(VLOOKUP($D50&amp;$J50,target_columns[],10,0),"")</f>
        <v xml:space="preserve">Статус заявки</v>
      </c>
      <c r="J50" s="46" t="s">
        <v>116</v>
      </c>
      <c r="K50" s="26" t="s">
        <v>89</v>
      </c>
      <c r="L50" s="47" t="str">
        <f>IFERROR(VLOOKUP(UPPER(K50&amp;N50),source_columns[],4,0),"")</f>
        <v/>
      </c>
      <c r="M50" s="47" t="str">
        <f>IFERROR(VLOOKUP(UPPER(K50&amp;N50),source_columns[],7,0),"")</f>
        <v/>
      </c>
      <c r="N50" s="45" t="s">
        <v>117</v>
      </c>
      <c r="O50" s="45"/>
      <c r="P50" s="55"/>
      <c r="Q50" s="28" t="str">
        <f>"n306000041_"&amp;IFERROR(VLOOKUP(D50,target_tables[],5,0),"&lt;not found&gt;")</f>
        <v>n306000041_appl_stts</v>
      </c>
      <c r="R50" s="45" t="s">
        <v>31</v>
      </c>
      <c r="S50" s="67"/>
      <c r="T50" s="45" t="s">
        <v>33</v>
      </c>
      <c r="U50" s="49">
        <v>45370</v>
      </c>
      <c r="V50" s="45"/>
    </row>
    <row r="51" ht="15" customHeight="1">
      <c r="A51" s="44">
        <v>560</v>
      </c>
      <c r="B51" s="45"/>
      <c r="C51" s="45"/>
      <c r="D51" s="46" t="s">
        <v>115</v>
      </c>
      <c r="E51" s="47" t="str">
        <f>IFERROR(VLOOKUP($D51&amp;$J51,target_columns[],4,0),"")</f>
        <v>date</v>
      </c>
      <c r="F51" s="47" t="str">
        <f>IFERROR(VLOOKUP($D51&amp;$J51,target_columns[],7,0),"")</f>
        <v>No</v>
      </c>
      <c r="G51" s="47" t="str">
        <f>IFERROR(VLOOKUP($D51&amp;$J51,target_columns[],8,0),"")</f>
        <v>No</v>
      </c>
      <c r="H51" s="47" t="str">
        <f>IFERROR(VLOOKUP($D51&amp;$J51,target_columns[],5,0),"")</f>
        <v>NULL</v>
      </c>
      <c r="I51" s="47" t="str">
        <f>IFERROR(VLOOKUP($D51&amp;$J51,target_columns[],10,0),"")</f>
        <v xml:space="preserve">Дата начала</v>
      </c>
      <c r="J51" s="46" t="s">
        <v>49</v>
      </c>
      <c r="K51" s="26" t="s">
        <v>50</v>
      </c>
      <c r="L51" s="47" t="str">
        <f>IFERROR(VLOOKUP(UPPER(K51&amp;N51),source_columns[],4,0),"")</f>
        <v/>
      </c>
      <c r="M51" s="47" t="str">
        <f>IFERROR(VLOOKUP(UPPER(K51&amp;N51),source_columns[],7,0),"")</f>
        <v/>
      </c>
      <c r="N51" s="26" t="s">
        <v>51</v>
      </c>
      <c r="O51" s="26" t="s">
        <v>52</v>
      </c>
      <c r="P51" s="55"/>
      <c r="Q51" s="28" t="str">
        <f>"n306000041_"&amp;IFERROR(VLOOKUP(D51,target_tables[],5,0),"&lt;not found&gt;")</f>
        <v>n306000041_appl_stts</v>
      </c>
      <c r="R51" s="45" t="s">
        <v>53</v>
      </c>
      <c r="S51" s="67"/>
      <c r="T51" s="45" t="s">
        <v>33</v>
      </c>
      <c r="U51" s="49">
        <v>45370</v>
      </c>
      <c r="V51" s="45"/>
    </row>
    <row r="52" ht="15" customHeight="1">
      <c r="A52" s="44">
        <v>570</v>
      </c>
      <c r="B52" s="45"/>
      <c r="C52" s="45"/>
      <c r="D52" s="46" t="s">
        <v>115</v>
      </c>
      <c r="E52" s="47" t="str">
        <f>IFERROR(VLOOKUP($D52&amp;$J52,target_columns[],4,0),"")</f>
        <v>date</v>
      </c>
      <c r="F52" s="47" t="str">
        <f>IFERROR(VLOOKUP($D52&amp;$J52,target_columns[],7,0),"")</f>
        <v>No</v>
      </c>
      <c r="G52" s="47" t="str">
        <f>IFERROR(VLOOKUP($D52&amp;$J52,target_columns[],8,0),"")</f>
        <v>No</v>
      </c>
      <c r="H52" s="47" t="str">
        <f>IFERROR(VLOOKUP($D52&amp;$J52,target_columns[],5,0),"")</f>
        <v>NULL</v>
      </c>
      <c r="I52" s="47" t="str">
        <f>IFERROR(VLOOKUP($D52&amp;$J52,target_columns[],10,0),"")</f>
        <v xml:space="preserve">Дата окончания</v>
      </c>
      <c r="J52" s="46" t="s">
        <v>54</v>
      </c>
      <c r="K52" s="26" t="s">
        <v>50</v>
      </c>
      <c r="L52" s="47" t="str">
        <f>IFERROR(VLOOKUP(UPPER(K52&amp;N52),source_columns[],4,0),"")</f>
        <v/>
      </c>
      <c r="M52" s="47" t="str">
        <f>IFERROR(VLOOKUP(UPPER(K52&amp;N52),source_columns[],7,0),"")</f>
        <v/>
      </c>
      <c r="N52" s="26" t="s">
        <v>50</v>
      </c>
      <c r="O52" s="26" t="s">
        <v>55</v>
      </c>
      <c r="P52" s="55"/>
      <c r="Q52" s="28" t="str">
        <f>"n306000041_"&amp;IFERROR(VLOOKUP(D52,target_tables[],5,0),"&lt;not found&gt;")</f>
        <v>n306000041_appl_stts</v>
      </c>
      <c r="R52" s="45" t="s">
        <v>56</v>
      </c>
      <c r="S52" s="67"/>
      <c r="T52" s="45" t="s">
        <v>33</v>
      </c>
      <c r="U52" s="49">
        <v>45370</v>
      </c>
      <c r="V52" s="45"/>
    </row>
    <row r="53" s="37" customFormat="1" ht="15" customHeight="1">
      <c r="A53" s="69">
        <v>580</v>
      </c>
      <c r="B53" s="60"/>
      <c r="C53" s="60"/>
      <c r="D53" s="51" t="s">
        <v>115</v>
      </c>
      <c r="E53" s="70" t="str">
        <f>IFERROR(VLOOKUP($D53&amp;$J53,target_columns[],4,0),"")</f>
        <v>uuid</v>
      </c>
      <c r="F53" s="70" t="str">
        <f>IFERROR(VLOOKUP($D53&amp;$J53,target_columns[],7,0),"")</f>
        <v>No</v>
      </c>
      <c r="G53" s="70" t="str">
        <f>IFERROR(VLOOKUP($D53&amp;$J53,target_columns[],8,0),"")</f>
        <v>Yes</v>
      </c>
      <c r="H53" s="70" t="str">
        <f>IFERROR(VLOOKUP($D53&amp;$J53,target_columns[],5,0),"")</f>
        <v>NULL</v>
      </c>
      <c r="I53" s="70" t="str">
        <f>IFERROR(VLOOKUP($D53&amp;$J53,target_columns[],10,0),"")</f>
        <v xml:space="preserve">Роль статуса заявки</v>
      </c>
      <c r="J53" s="51" t="s">
        <v>118</v>
      </c>
      <c r="K53" s="60" t="s">
        <v>50</v>
      </c>
      <c r="L53" s="70" t="str">
        <f>IFERROR(VLOOKUP(UPPER(K53&amp;N53),source_columns[],4,0),"")</f>
        <v/>
      </c>
      <c r="M53" s="70" t="str">
        <f>IFERROR(VLOOKUP(UPPER(K53&amp;N53),source_columns[],7,0),"")</f>
        <v/>
      </c>
      <c r="N53" s="72" t="s">
        <v>119</v>
      </c>
      <c r="O53" s="72" t="s">
        <v>120</v>
      </c>
      <c r="P53" s="55"/>
      <c r="Q53" s="28" t="str">
        <f>"n306000041_"&amp;IFERROR(VLOOKUP(D53,target_tables[],5,0),"&lt;not found&gt;")</f>
        <v>n306000041_appl_stts</v>
      </c>
      <c r="R53" s="60" t="s">
        <v>46</v>
      </c>
      <c r="S53" s="67"/>
      <c r="T53" s="60" t="s">
        <v>33</v>
      </c>
      <c r="U53" s="73">
        <v>45370</v>
      </c>
      <c r="V53" s="60"/>
    </row>
    <row r="54" ht="15" customHeight="1">
      <c r="A54" s="44">
        <v>540</v>
      </c>
      <c r="B54" s="45"/>
      <c r="C54" s="45"/>
      <c r="D54" s="46" t="s">
        <v>121</v>
      </c>
      <c r="E54" s="47" t="str">
        <f>IFERROR(VLOOKUP($D54&amp;$J54,target_columns[],4,0),"")</f>
        <v>uuid</v>
      </c>
      <c r="F54" s="47" t="str">
        <f>IFERROR(VLOOKUP($D54&amp;$J54,target_columns[],7,0),"")</f>
        <v>Yes</v>
      </c>
      <c r="G54" s="47" t="str">
        <f>IFERROR(VLOOKUP($D54&amp;$J54,target_columns[],8,0),"")</f>
        <v>No</v>
      </c>
      <c r="H54" s="47" t="str">
        <f>IFERROR(VLOOKUP($D54&amp;$J54,target_columns[],5,0),"")</f>
        <v xml:space="preserve">NOT NULL</v>
      </c>
      <c r="I54" s="47" t="str">
        <f>IFERROR(VLOOKUP($D54&amp;$J54,target_columns[],10,0),"")</f>
        <v xml:space="preserve">Уникальный идентификатор ограничения</v>
      </c>
      <c r="J54" s="46" t="s">
        <v>122</v>
      </c>
      <c r="K54" s="45" t="s">
        <v>123</v>
      </c>
      <c r="L54" s="47" t="str">
        <f>IFERROR(VLOOKUP(UPPER(K54&amp;N54),source_columns[],4,0),"")</f>
        <v/>
      </c>
      <c r="M54" s="47" t="str">
        <f>IFERROR(VLOOKUP(UPPER(K54&amp;N54),source_columns[],7,0),"")</f>
        <v/>
      </c>
      <c r="N54" s="45" t="s">
        <v>45</v>
      </c>
      <c r="O54" s="45"/>
      <c r="P54" s="64"/>
      <c r="Q54" s="28" t="str">
        <f>"n306000041_"&amp;IFERROR(VLOOKUP(D54,target_tables[],5,0),"&lt;not found&gt;")</f>
        <v>n306000041_agr_rko_limit</v>
      </c>
      <c r="R54" s="45" t="s">
        <v>46</v>
      </c>
      <c r="S54" s="34" t="s">
        <v>32</v>
      </c>
      <c r="T54" s="45" t="s">
        <v>33</v>
      </c>
      <c r="U54" s="49">
        <v>45370</v>
      </c>
      <c r="V54" s="45"/>
    </row>
    <row r="55" ht="15" customHeight="1">
      <c r="A55" s="44">
        <v>550</v>
      </c>
      <c r="B55" s="45"/>
      <c r="C55" s="45"/>
      <c r="D55" s="46" t="s">
        <v>121</v>
      </c>
      <c r="E55" s="47" t="str">
        <f>IFERROR(VLOOKUP($D55&amp;$J55,target_columns[],4,0),"")</f>
        <v>bigint</v>
      </c>
      <c r="F55" s="47" t="str">
        <f>IFERROR(VLOOKUP($D55&amp;$J55,target_columns[],7,0),"")</f>
        <v>No</v>
      </c>
      <c r="G55" s="47" t="str">
        <f>IFERROR(VLOOKUP($D55&amp;$J55,target_columns[],8,0),"")</f>
        <v>No</v>
      </c>
      <c r="H55" s="47" t="str">
        <f>IFERROR(VLOOKUP($D55&amp;$J55,target_columns[],5,0),"")</f>
        <v>NULL</v>
      </c>
      <c r="I55" s="47" t="str">
        <f>IFERROR(VLOOKUP($D55&amp;$J55,target_columns[],10,0),"")</f>
        <v xml:space="preserve">Уникальный идентификатор ограничения в системе-источнике</v>
      </c>
      <c r="J55" s="46" t="s">
        <v>124</v>
      </c>
      <c r="K55" s="45" t="s">
        <v>123</v>
      </c>
      <c r="L55" s="47" t="str">
        <f>IFERROR(VLOOKUP(UPPER(K55&amp;N55),source_columns[],4,0),"")</f>
        <v/>
      </c>
      <c r="M55" s="47" t="str">
        <f>IFERROR(VLOOKUP(UPPER(K55&amp;N55),source_columns[],7,0),"")</f>
        <v/>
      </c>
      <c r="N55" s="45" t="s">
        <v>114</v>
      </c>
      <c r="O55" s="45"/>
      <c r="P55" s="55"/>
      <c r="Q55" s="28" t="str">
        <f>"n306000041_"&amp;IFERROR(VLOOKUP(D55,target_tables[],5,0),"&lt;not found&gt;")</f>
        <v>n306000041_agr_rko_limit</v>
      </c>
      <c r="R55" s="45" t="s">
        <v>31</v>
      </c>
      <c r="S55" s="67"/>
      <c r="T55" s="45" t="s">
        <v>33</v>
      </c>
      <c r="U55" s="49">
        <v>45370</v>
      </c>
      <c r="V55" s="45"/>
    </row>
    <row r="56" ht="15" customHeight="1">
      <c r="A56" s="44">
        <v>560</v>
      </c>
      <c r="B56" s="45"/>
      <c r="C56" s="45"/>
      <c r="D56" s="46" t="s">
        <v>121</v>
      </c>
      <c r="E56" s="47" t="str">
        <f>IFERROR(VLOOKUP($D56&amp;$J56,target_columns[],4,0),"")</f>
        <v>uuid</v>
      </c>
      <c r="F56" s="47" t="str">
        <f>IFERROR(VLOOKUP($D56&amp;$J56,target_columns[],7,0),"")</f>
        <v>No</v>
      </c>
      <c r="G56" s="47" t="str">
        <f>IFERROR(VLOOKUP($D56&amp;$J56,target_columns[],8,0),"")</f>
        <v>Yes</v>
      </c>
      <c r="H56" s="47" t="str">
        <f>IFERROR(VLOOKUP($D56&amp;$J56,target_columns[],5,0),"")</f>
        <v>NULL</v>
      </c>
      <c r="I56" s="47" t="str">
        <f>IFERROR(VLOOKUP($D56&amp;$J56,target_columns[],10,0),"")</f>
        <v xml:space="preserve">Тип ограничения</v>
      </c>
      <c r="J56" s="46" t="s">
        <v>125</v>
      </c>
      <c r="K56" s="45" t="s">
        <v>123</v>
      </c>
      <c r="L56" s="47" t="str">
        <f>IFERROR(VLOOKUP(UPPER(K56&amp;N56),source_columns[],4,0),"")</f>
        <v/>
      </c>
      <c r="M56" s="47" t="str">
        <f>IFERROR(VLOOKUP(UPPER(K56&amp;N56),source_columns[],7,0),"")</f>
        <v/>
      </c>
      <c r="N56" s="45" t="s">
        <v>126</v>
      </c>
      <c r="O56" s="45"/>
      <c r="P56" s="55"/>
      <c r="Q56" s="28" t="str">
        <f>"n306000041_"&amp;IFERROR(VLOOKUP(D56,target_tables[],5,0),"&lt;not found&gt;")</f>
        <v>n306000041_agr_rko_limit</v>
      </c>
      <c r="R56" s="45" t="s">
        <v>31</v>
      </c>
      <c r="S56" s="67"/>
      <c r="T56" s="45" t="s">
        <v>33</v>
      </c>
      <c r="U56" s="49">
        <v>45370</v>
      </c>
      <c r="V56" s="45"/>
    </row>
    <row r="57" ht="15" customHeight="1">
      <c r="A57" s="44">
        <v>570</v>
      </c>
      <c r="B57" s="45"/>
      <c r="C57" s="45"/>
      <c r="D57" s="46" t="s">
        <v>121</v>
      </c>
      <c r="E57" s="47" t="str">
        <f>IFERROR(VLOOKUP($D57&amp;$J57,target_columns[],4,0),"")</f>
        <v>timestamp</v>
      </c>
      <c r="F57" s="47" t="str">
        <f>IFERROR(VLOOKUP($D57&amp;$J57,target_columns[],7,0),"")</f>
        <v>No</v>
      </c>
      <c r="G57" s="47" t="str">
        <f>IFERROR(VLOOKUP($D57&amp;$J57,target_columns[],8,0),"")</f>
        <v>No</v>
      </c>
      <c r="H57" s="47" t="str">
        <f>IFERROR(VLOOKUP($D57&amp;$J57,target_columns[],5,0),"")</f>
        <v>NULL</v>
      </c>
      <c r="I57" s="47" t="str">
        <f>IFERROR(VLOOKUP($D57&amp;$J57,target_columns[],10,0),"")</f>
        <v xml:space="preserve">Дата начала действия ограничения</v>
      </c>
      <c r="J57" s="46" t="s">
        <v>127</v>
      </c>
      <c r="K57" s="45" t="s">
        <v>123</v>
      </c>
      <c r="L57" s="47" t="str">
        <f>IFERROR(VLOOKUP(UPPER(K57&amp;N57),source_columns[],4,0),"")</f>
        <v/>
      </c>
      <c r="M57" s="47" t="str">
        <f>IFERROR(VLOOKUP(UPPER(K57&amp;N57),source_columns[],7,0),"")</f>
        <v/>
      </c>
      <c r="N57" s="45" t="s">
        <v>128</v>
      </c>
      <c r="O57" s="45"/>
      <c r="P57" s="55"/>
      <c r="Q57" s="28" t="str">
        <f>"n306000041_"&amp;IFERROR(VLOOKUP(D57,target_tables[],5,0),"&lt;not found&gt;")</f>
        <v>n306000041_agr_rko_limit</v>
      </c>
      <c r="R57" s="45" t="s">
        <v>31</v>
      </c>
      <c r="S57" s="67"/>
      <c r="T57" s="45" t="s">
        <v>33</v>
      </c>
      <c r="U57" s="49">
        <v>45370</v>
      </c>
      <c r="V57" s="45"/>
    </row>
    <row r="58" ht="15" customHeight="1">
      <c r="A58" s="44">
        <v>580</v>
      </c>
      <c r="B58" s="45"/>
      <c r="C58" s="45"/>
      <c r="D58" s="46" t="s">
        <v>121</v>
      </c>
      <c r="E58" s="47" t="str">
        <f>IFERROR(VLOOKUP($D58&amp;$J58,target_columns[],4,0),"")</f>
        <v>timestamp</v>
      </c>
      <c r="F58" s="47" t="str">
        <f>IFERROR(VLOOKUP($D58&amp;$J58,target_columns[],7,0),"")</f>
        <v>No</v>
      </c>
      <c r="G58" s="47" t="str">
        <f>IFERROR(VLOOKUP($D58&amp;$J58,target_columns[],8,0),"")</f>
        <v>No</v>
      </c>
      <c r="H58" s="47" t="str">
        <f>IFERROR(VLOOKUP($D58&amp;$J58,target_columns[],5,0),"")</f>
        <v>NULL</v>
      </c>
      <c r="I58" s="47" t="str">
        <f>IFERROR(VLOOKUP($D58&amp;$J58,target_columns[],10,0),"")</f>
        <v xml:space="preserve">Дата окончания действия ограничения</v>
      </c>
      <c r="J58" s="46" t="s">
        <v>129</v>
      </c>
      <c r="K58" s="45" t="s">
        <v>123</v>
      </c>
      <c r="L58" s="47" t="str">
        <f>IFERROR(VLOOKUP(UPPER(K58&amp;N58),source_columns[],4,0),"")</f>
        <v/>
      </c>
      <c r="M58" s="47" t="str">
        <f>IFERROR(VLOOKUP(UPPER(K58&amp;N58),source_columns[],7,0),"")</f>
        <v/>
      </c>
      <c r="N58" s="45" t="s">
        <v>130</v>
      </c>
      <c r="O58" s="45"/>
      <c r="P58" s="55"/>
      <c r="Q58" s="28" t="str">
        <f>"n306000041_"&amp;IFERROR(VLOOKUP(D58,target_tables[],5,0),"&lt;not found&gt;")</f>
        <v>n306000041_agr_rko_limit</v>
      </c>
      <c r="R58" s="45" t="s">
        <v>31</v>
      </c>
      <c r="S58" s="67"/>
      <c r="T58" s="45" t="s">
        <v>33</v>
      </c>
      <c r="U58" s="49">
        <v>45370</v>
      </c>
      <c r="V58" s="45"/>
    </row>
    <row r="59" ht="15" customHeight="1">
      <c r="A59" s="44">
        <v>590</v>
      </c>
      <c r="B59" s="45"/>
      <c r="C59" s="45"/>
      <c r="D59" s="46" t="s">
        <v>121</v>
      </c>
      <c r="E59" s="47" t="str">
        <f>IFERROR(VLOOKUP($D59&amp;$J59,target_columns[],4,0),"")</f>
        <v>numeric</v>
      </c>
      <c r="F59" s="47" t="str">
        <f>IFERROR(VLOOKUP($D59&amp;$J59,target_columns[],7,0),"")</f>
        <v>No</v>
      </c>
      <c r="G59" s="47" t="str">
        <f>IFERROR(VLOOKUP($D59&amp;$J59,target_columns[],8,0),"")</f>
        <v>No</v>
      </c>
      <c r="H59" s="47" t="str">
        <f>IFERROR(VLOOKUP($D59&amp;$J59,target_columns[],5,0),"")</f>
        <v>NULL</v>
      </c>
      <c r="I59" s="47" t="str">
        <f>IFERROR(VLOOKUP($D59&amp;$J59,target_columns[],10,0),"")</f>
        <v xml:space="preserve">Сумма ограничения</v>
      </c>
      <c r="J59" s="46" t="s">
        <v>131</v>
      </c>
      <c r="K59" s="45" t="s">
        <v>123</v>
      </c>
      <c r="L59" s="47" t="str">
        <f>IFERROR(VLOOKUP(UPPER(K59&amp;N59),source_columns[],4,0),"")</f>
        <v/>
      </c>
      <c r="M59" s="47" t="str">
        <f>IFERROR(VLOOKUP(UPPER(K59&amp;N59),source_columns[],7,0),"")</f>
        <v/>
      </c>
      <c r="N59" s="45" t="s">
        <v>132</v>
      </c>
      <c r="O59" s="45"/>
      <c r="P59" s="55"/>
      <c r="Q59" s="28" t="str">
        <f>"n306000041_"&amp;IFERROR(VLOOKUP(D59,target_tables[],5,0),"&lt;not found&gt;")</f>
        <v>n306000041_agr_rko_limit</v>
      </c>
      <c r="R59" s="45" t="s">
        <v>31</v>
      </c>
      <c r="S59" s="67"/>
      <c r="T59" s="45" t="s">
        <v>33</v>
      </c>
      <c r="U59" s="49">
        <v>45370</v>
      </c>
      <c r="V59" s="45"/>
    </row>
    <row r="60" ht="15" customHeight="1">
      <c r="A60" s="44">
        <v>600</v>
      </c>
      <c r="B60" s="45"/>
      <c r="C60" s="45"/>
      <c r="D60" s="46" t="s">
        <v>121</v>
      </c>
      <c r="E60" s="47" t="str">
        <f>IFERROR(VLOOKUP($D60&amp;$J60,target_columns[],4,0),"")</f>
        <v>text</v>
      </c>
      <c r="F60" s="47" t="str">
        <f>IFERROR(VLOOKUP($D60&amp;$J60,target_columns[],7,0),"")</f>
        <v>No</v>
      </c>
      <c r="G60" s="47" t="str">
        <f>IFERROR(VLOOKUP($D60&amp;$J60,target_columns[],8,0),"")</f>
        <v>No</v>
      </c>
      <c r="H60" s="47" t="str">
        <f>IFERROR(VLOOKUP($D60&amp;$J60,target_columns[],5,0),"")</f>
        <v>NULL</v>
      </c>
      <c r="I60" s="47" t="str">
        <f>IFERROR(VLOOKUP($D60&amp;$J60,target_columns[],10,0),"")</f>
        <v xml:space="preserve">Основание введения ограничения</v>
      </c>
      <c r="J60" s="46" t="s">
        <v>133</v>
      </c>
      <c r="K60" s="45" t="s">
        <v>123</v>
      </c>
      <c r="L60" s="47" t="str">
        <f>IFERROR(VLOOKUP(UPPER(K60&amp;N60),source_columns[],4,0),"")</f>
        <v/>
      </c>
      <c r="M60" s="47" t="str">
        <f>IFERROR(VLOOKUP(UPPER(K60&amp;N60),source_columns[],7,0),"")</f>
        <v/>
      </c>
      <c r="N60" s="45" t="s">
        <v>134</v>
      </c>
      <c r="O60" s="45"/>
      <c r="P60" s="55"/>
      <c r="Q60" s="28" t="str">
        <f>"n306000041_"&amp;IFERROR(VLOOKUP(D60,target_tables[],5,0),"&lt;not found&gt;")</f>
        <v>n306000041_agr_rko_limit</v>
      </c>
      <c r="R60" s="45" t="s">
        <v>31</v>
      </c>
      <c r="S60" s="67"/>
      <c r="T60" s="45" t="s">
        <v>33</v>
      </c>
      <c r="U60" s="49">
        <v>45370</v>
      </c>
      <c r="V60" s="45"/>
    </row>
    <row r="61" ht="15" customHeight="1">
      <c r="A61" s="44">
        <v>610</v>
      </c>
      <c r="B61" s="45"/>
      <c r="C61" s="45"/>
      <c r="D61" s="46" t="s">
        <v>121</v>
      </c>
      <c r="E61" s="47" t="str">
        <f>IFERROR(VLOOKUP($D61&amp;$J61,target_columns[],4,0),"")</f>
        <v>uuid</v>
      </c>
      <c r="F61" s="47" t="str">
        <f>IFERROR(VLOOKUP($D61&amp;$J61,target_columns[],7,0),"")</f>
        <v>No</v>
      </c>
      <c r="G61" s="47" t="str">
        <f>IFERROR(VLOOKUP($D61&amp;$J61,target_columns[],8,0),"")</f>
        <v>Yes</v>
      </c>
      <c r="H61" s="47" t="str">
        <f>IFERROR(VLOOKUP($D61&amp;$J61,target_columns[],5,0),"")</f>
        <v>NULL</v>
      </c>
      <c r="I61" s="47" t="str">
        <f>IFERROR(VLOOKUP($D61&amp;$J61,target_columns[],10,0),"")</f>
        <v xml:space="preserve">Валюта суммы ограничения</v>
      </c>
      <c r="J61" s="46" t="s">
        <v>40</v>
      </c>
      <c r="K61" s="45" t="s">
        <v>123</v>
      </c>
      <c r="L61" s="47" t="str">
        <f>IFERROR(VLOOKUP(UPPER(K61&amp;N61),source_columns[],4,0),"")</f>
        <v/>
      </c>
      <c r="M61" s="47" t="str">
        <f>IFERROR(VLOOKUP(UPPER(K61&amp;N61),source_columns[],7,0),"")</f>
        <v/>
      </c>
      <c r="N61" s="45" t="s">
        <v>135</v>
      </c>
      <c r="O61" s="45"/>
      <c r="P61" s="55"/>
      <c r="Q61" s="28" t="str">
        <f>"n306000041_"&amp;IFERROR(VLOOKUP(D61,target_tables[],5,0),"&lt;not found&gt;")</f>
        <v>n306000041_agr_rko_limit</v>
      </c>
      <c r="R61" s="45" t="s">
        <v>31</v>
      </c>
      <c r="S61" s="67"/>
      <c r="T61" s="45" t="s">
        <v>33</v>
      </c>
      <c r="U61" s="49">
        <v>45370</v>
      </c>
      <c r="V61" s="45"/>
    </row>
    <row r="62" ht="15" customHeight="1">
      <c r="A62" s="44">
        <v>620</v>
      </c>
      <c r="B62" s="45"/>
      <c r="C62" s="45"/>
      <c r="D62" s="46" t="s">
        <v>121</v>
      </c>
      <c r="E62" s="47" t="str">
        <f>IFERROR(VLOOKUP($D62&amp;$J62,target_columns[],4,0),"")</f>
        <v>date</v>
      </c>
      <c r="F62" s="47" t="str">
        <f>IFERROR(VLOOKUP($D62&amp;$J62,target_columns[],7,0),"")</f>
        <v>No</v>
      </c>
      <c r="G62" s="47" t="str">
        <f>IFERROR(VLOOKUP($D62&amp;$J62,target_columns[],8,0),"")</f>
        <v>No</v>
      </c>
      <c r="H62" s="47" t="str">
        <f>IFERROR(VLOOKUP($D62&amp;$J62,target_columns[],5,0),"")</f>
        <v>NULL</v>
      </c>
      <c r="I62" s="47" t="str">
        <f>IFERROR(VLOOKUP($D62&amp;$J62,target_columns[],10,0),"")</f>
        <v xml:space="preserve">Дата решения об оганичении</v>
      </c>
      <c r="J62" s="46" t="s">
        <v>136</v>
      </c>
      <c r="K62" s="45" t="s">
        <v>123</v>
      </c>
      <c r="L62" s="47" t="str">
        <f>IFERROR(VLOOKUP(UPPER(K62&amp;N62),source_columns[],4,0),"")</f>
        <v/>
      </c>
      <c r="M62" s="47" t="str">
        <f>IFERROR(VLOOKUP(UPPER(K62&amp;N62),source_columns[],7,0),"")</f>
        <v/>
      </c>
      <c r="N62" s="45" t="s">
        <v>137</v>
      </c>
      <c r="O62" s="45"/>
      <c r="P62" s="55"/>
      <c r="Q62" s="28" t="str">
        <f>"n306000041_"&amp;IFERROR(VLOOKUP(D62,target_tables[],5,0),"&lt;not found&gt;")</f>
        <v>n306000041_agr_rko_limit</v>
      </c>
      <c r="R62" s="45" t="s">
        <v>31</v>
      </c>
      <c r="S62" s="67"/>
      <c r="T62" s="45" t="s">
        <v>33</v>
      </c>
      <c r="U62" s="49">
        <v>45370</v>
      </c>
      <c r="V62" s="45"/>
    </row>
    <row r="63" ht="15" customHeight="1">
      <c r="A63" s="44">
        <v>630</v>
      </c>
      <c r="B63" s="45"/>
      <c r="C63" s="45"/>
      <c r="D63" s="46" t="s">
        <v>121</v>
      </c>
      <c r="E63" s="47" t="str">
        <f>IFERROR(VLOOKUP($D63&amp;$J63,target_columns[],4,0),"")</f>
        <v>text</v>
      </c>
      <c r="F63" s="47" t="str">
        <f>IFERROR(VLOOKUP($D63&amp;$J63,target_columns[],7,0),"")</f>
        <v>No</v>
      </c>
      <c r="G63" s="47" t="str">
        <f>IFERROR(VLOOKUP($D63&amp;$J63,target_columns[],8,0),"")</f>
        <v>No</v>
      </c>
      <c r="H63" s="47" t="str">
        <f>IFERROR(VLOOKUP($D63&amp;$J63,target_columns[],5,0),"")</f>
        <v>NULL</v>
      </c>
      <c r="I63" s="47" t="str">
        <f>IFERROR(VLOOKUP($D63&amp;$J63,target_columns[],10,0),"")</f>
        <v xml:space="preserve">Признак действующего ограничения</v>
      </c>
      <c r="J63" s="46" t="s">
        <v>138</v>
      </c>
      <c r="K63" s="45" t="s">
        <v>123</v>
      </c>
      <c r="L63" s="47" t="str">
        <f>IFERROR(VLOOKUP(UPPER(K63&amp;N63),source_columns[],4,0),"")</f>
        <v/>
      </c>
      <c r="M63" s="47" t="str">
        <f>IFERROR(VLOOKUP(UPPER(K63&amp;N63),source_columns[],7,0),"")</f>
        <v/>
      </c>
      <c r="N63" s="45" t="s">
        <v>139</v>
      </c>
      <c r="O63" s="45" t="s">
        <v>140</v>
      </c>
      <c r="P63" s="55"/>
      <c r="Q63" s="28" t="str">
        <f>"n306000041_"&amp;IFERROR(VLOOKUP(D63,target_tables[],5,0),"&lt;not found&gt;")</f>
        <v>n306000041_agr_rko_limit</v>
      </c>
      <c r="R63" s="45" t="s">
        <v>31</v>
      </c>
      <c r="S63" s="67"/>
      <c r="T63" s="45" t="s">
        <v>33</v>
      </c>
      <c r="U63" s="49">
        <v>45370</v>
      </c>
      <c r="V63" s="45"/>
    </row>
    <row r="64" ht="15" customHeight="1">
      <c r="A64" s="44">
        <v>640</v>
      </c>
      <c r="B64" s="45"/>
      <c r="C64" s="45"/>
      <c r="D64" s="46" t="s">
        <v>121</v>
      </c>
      <c r="E64" s="47" t="str">
        <f>IFERROR(VLOOKUP($D64&amp;$J64,target_columns[],4,0),"")</f>
        <v>text</v>
      </c>
      <c r="F64" s="47" t="str">
        <f>IFERROR(VLOOKUP($D64&amp;$J64,target_columns[],7,0),"")</f>
        <v>No</v>
      </c>
      <c r="G64" s="47" t="str">
        <f>IFERROR(VLOOKUP($D64&amp;$J64,target_columns[],8,0),"")</f>
        <v>No</v>
      </c>
      <c r="H64" s="47" t="str">
        <f>IFERROR(VLOOKUP($D64&amp;$J64,target_columns[],5,0),"")</f>
        <v>NULL</v>
      </c>
      <c r="I64" s="47" t="str">
        <f>IFERROR(VLOOKUP($D64&amp;$J64,target_columns[],10,0),"")</f>
        <v xml:space="preserve">Основание снятия ограничения</v>
      </c>
      <c r="J64" s="46" t="s">
        <v>141</v>
      </c>
      <c r="K64" s="45" t="s">
        <v>123</v>
      </c>
      <c r="L64" s="47" t="str">
        <f>IFERROR(VLOOKUP(UPPER(K64&amp;N64),source_columns[],4,0),"")</f>
        <v/>
      </c>
      <c r="M64" s="47" t="str">
        <f>IFERROR(VLOOKUP(UPPER(K64&amp;N64),source_columns[],7,0),"")</f>
        <v/>
      </c>
      <c r="N64" s="45" t="s">
        <v>142</v>
      </c>
      <c r="O64" s="45"/>
      <c r="P64" s="55"/>
      <c r="Q64" s="28" t="str">
        <f>"n306000041_"&amp;IFERROR(VLOOKUP(D64,target_tables[],5,0),"&lt;not found&gt;")</f>
        <v>n306000041_agr_rko_limit</v>
      </c>
      <c r="R64" s="45" t="s">
        <v>31</v>
      </c>
      <c r="S64" s="67"/>
      <c r="T64" s="45" t="s">
        <v>33</v>
      </c>
      <c r="U64" s="49">
        <v>45370</v>
      </c>
      <c r="V64" s="45"/>
    </row>
    <row r="65" s="37" customFormat="1" ht="15" customHeight="1">
      <c r="A65" s="69">
        <v>650</v>
      </c>
      <c r="B65" s="60"/>
      <c r="C65" s="60"/>
      <c r="D65" s="51" t="s">
        <v>121</v>
      </c>
      <c r="E65" s="70" t="str">
        <f>IFERROR(VLOOKUP($D65&amp;$J65,target_columns[],4,0),"")</f>
        <v>uuid</v>
      </c>
      <c r="F65" s="70" t="str">
        <f>IFERROR(VLOOKUP($D65&amp;$J65,target_columns[],7,0),"")</f>
        <v>No</v>
      </c>
      <c r="G65" s="70" t="str">
        <f>IFERROR(VLOOKUP($D65&amp;$J65,target_columns[],8,0),"")</f>
        <v>Yes</v>
      </c>
      <c r="H65" s="70" t="str">
        <f>IFERROR(VLOOKUP($D65&amp;$J65,target_columns[],5,0),"")</f>
        <v>NULL</v>
      </c>
      <c r="I65" s="70" t="str">
        <f>IFERROR(VLOOKUP($D65&amp;$J65,target_columns[],10,0),"")</f>
        <v xml:space="preserve">Договор РКО, на который действует ограничение</v>
      </c>
      <c r="J65" s="51" t="s">
        <v>44</v>
      </c>
      <c r="K65" s="60" t="s">
        <v>123</v>
      </c>
      <c r="L65" s="70" t="str">
        <f>IFERROR(VLOOKUP(UPPER(K65&amp;N65),source_columns[],4,0),"")</f>
        <v/>
      </c>
      <c r="M65" s="70" t="str">
        <f>IFERROR(VLOOKUP(UPPER(K65&amp;N65),source_columns[],7,0),"")</f>
        <v/>
      </c>
      <c r="N65" s="60" t="s">
        <v>72</v>
      </c>
      <c r="O65" s="60"/>
      <c r="P65" s="55"/>
      <c r="Q65" s="28" t="str">
        <f>"n306000041_"&amp;IFERROR(VLOOKUP(D65,target_tables[],5,0),"&lt;not found&gt;")</f>
        <v>n306000041_agr_rko_limit</v>
      </c>
      <c r="R65" s="60" t="s">
        <v>31</v>
      </c>
      <c r="S65" s="67"/>
      <c r="T65" s="60" t="s">
        <v>33</v>
      </c>
      <c r="U65" s="73">
        <v>45370</v>
      </c>
      <c r="V65" s="60"/>
    </row>
    <row r="66" ht="15" customHeight="1">
      <c r="A66" s="44">
        <v>660</v>
      </c>
      <c r="B66" s="45"/>
      <c r="C66" s="45"/>
      <c r="D66" s="46" t="s">
        <v>143</v>
      </c>
      <c r="E66" s="47" t="str">
        <f>IFERROR(VLOOKUP($D66&amp;$J66,target_columns[],4,0),"")</f>
        <v>uuid</v>
      </c>
      <c r="F66" s="47" t="str">
        <f>IFERROR(VLOOKUP($D66&amp;$J66,target_columns[],7,0),"")</f>
        <v>Yes</v>
      </c>
      <c r="G66" s="47" t="str">
        <f>IFERROR(VLOOKUP($D66&amp;$J66,target_columns[],8,0),"")</f>
        <v>No</v>
      </c>
      <c r="H66" s="47" t="str">
        <f>IFERROR(VLOOKUP($D66&amp;$J66,target_columns[],5,0),"")</f>
        <v xml:space="preserve">NOT NULL</v>
      </c>
      <c r="I66" s="47" t="str">
        <f>IFERROR(VLOOKUP($D66&amp;$J66,target_columns[],10,0),"")</f>
        <v xml:space="preserve">Уникальный идентификатор целевого назначения договора</v>
      </c>
      <c r="J66" s="46" t="s">
        <v>42</v>
      </c>
      <c r="K66" s="45" t="s">
        <v>144</v>
      </c>
      <c r="L66" s="47" t="str">
        <f>IFERROR(VLOOKUP(UPPER(K66&amp;N66),source_columns[],4,0),"")</f>
        <v/>
      </c>
      <c r="M66" s="47" t="str">
        <f>IFERROR(VLOOKUP(UPPER(K66&amp;N66),source_columns[],7,0),"")</f>
        <v/>
      </c>
      <c r="N66" s="45" t="s">
        <v>45</v>
      </c>
      <c r="O66" s="45"/>
      <c r="P66" s="64"/>
      <c r="Q66" s="28" t="str">
        <f>"n306000041_"&amp;IFERROR(VLOOKUP(D66,target_tables[],5,0),"&lt;not found&gt;")</f>
        <v>n306000041_rko_purpose_type</v>
      </c>
      <c r="R66" s="45" t="s">
        <v>46</v>
      </c>
      <c r="S66" s="34" t="s">
        <v>69</v>
      </c>
      <c r="T66" s="45" t="s">
        <v>33</v>
      </c>
      <c r="U66" s="49">
        <v>45370</v>
      </c>
      <c r="V66" s="45"/>
    </row>
    <row r="67" ht="15" customHeight="1">
      <c r="A67" s="44">
        <v>670</v>
      </c>
      <c r="B67" s="45"/>
      <c r="C67" s="45"/>
      <c r="D67" s="46" t="s">
        <v>143</v>
      </c>
      <c r="E67" s="47" t="str">
        <f>IFERROR(VLOOKUP($D67&amp;$J67,target_columns[],4,0),"")</f>
        <v>text</v>
      </c>
      <c r="F67" s="47" t="str">
        <f>IFERROR(VLOOKUP($D67&amp;$J67,target_columns[],7,0),"")</f>
        <v>No</v>
      </c>
      <c r="G67" s="47" t="str">
        <f>IFERROR(VLOOKUP($D67&amp;$J67,target_columns[],8,0),"")</f>
        <v>No</v>
      </c>
      <c r="H67" s="47" t="str">
        <f>IFERROR(VLOOKUP($D67&amp;$J67,target_columns[],5,0),"")</f>
        <v>NULL</v>
      </c>
      <c r="I67" s="47" t="str">
        <f>IFERROR(VLOOKUP($D67&amp;$J67,target_columns[],10,0),"")</f>
        <v xml:space="preserve">Код целевого назначения договора</v>
      </c>
      <c r="J67" s="46" t="s">
        <v>145</v>
      </c>
      <c r="K67" s="45" t="s">
        <v>144</v>
      </c>
      <c r="L67" s="47" t="str">
        <f>IFERROR(VLOOKUP(UPPER(K67&amp;N67),source_columns[],4,0),"")</f>
        <v/>
      </c>
      <c r="M67" s="47" t="str">
        <f>IFERROR(VLOOKUP(UPPER(K67&amp;N67),source_columns[],7,0),"")</f>
        <v/>
      </c>
      <c r="N67" s="45" t="s">
        <v>114</v>
      </c>
      <c r="O67" s="45"/>
      <c r="P67" s="55"/>
      <c r="Q67" s="28" t="str">
        <f>"n306000041_"&amp;IFERROR(VLOOKUP(D67,target_tables[],5,0),"&lt;not found&gt;")</f>
        <v>n306000041_rko_purpose_type</v>
      </c>
      <c r="R67" s="45" t="s">
        <v>31</v>
      </c>
      <c r="S67" s="67"/>
      <c r="T67" s="45" t="s">
        <v>33</v>
      </c>
      <c r="U67" s="49">
        <v>45370</v>
      </c>
      <c r="V67" s="45"/>
    </row>
    <row r="68" s="37" customFormat="1" ht="15" customHeight="1">
      <c r="A68" s="38">
        <v>680</v>
      </c>
      <c r="B68" s="60"/>
      <c r="C68" s="60"/>
      <c r="D68" s="51" t="s">
        <v>143</v>
      </c>
      <c r="E68" s="70" t="str">
        <f>IFERROR(VLOOKUP($D68&amp;$J68,target_columns[],4,0),"")</f>
        <v>text</v>
      </c>
      <c r="F68" s="70" t="str">
        <f>IFERROR(VLOOKUP($D68&amp;$J68,target_columns[],7,0),"")</f>
        <v>No</v>
      </c>
      <c r="G68" s="70" t="str">
        <f>IFERROR(VLOOKUP($D68&amp;$J68,target_columns[],8,0),"")</f>
        <v>No</v>
      </c>
      <c r="H68" s="70" t="str">
        <f>IFERROR(VLOOKUP($D68&amp;$J68,target_columns[],5,0),"")</f>
        <v>NULL</v>
      </c>
      <c r="I68" s="70" t="str">
        <f>IFERROR(VLOOKUP($D68&amp;$J68,target_columns[],10,0),"")</f>
        <v xml:space="preserve">Наименование целевого назначения договора</v>
      </c>
      <c r="J68" s="51" t="s">
        <v>146</v>
      </c>
      <c r="K68" s="60" t="s">
        <v>144</v>
      </c>
      <c r="L68" s="70" t="str">
        <f>IFERROR(VLOOKUP(UPPER(K68&amp;N68),source_columns[],4,0),"")</f>
        <v/>
      </c>
      <c r="M68" s="70" t="str">
        <f>IFERROR(VLOOKUP(UPPER(K68&amp;N68),source_columns[],7,0),"")</f>
        <v/>
      </c>
      <c r="N68" s="60" t="s">
        <v>85</v>
      </c>
      <c r="O68" s="60"/>
      <c r="P68" s="55"/>
      <c r="Q68" s="28" t="str">
        <f>"n306000041_"&amp;IFERROR(VLOOKUP(D68,target_tables[],5,0),"&lt;not found&gt;")</f>
        <v>n306000041_rko_purpose_type</v>
      </c>
      <c r="R68" s="60" t="s">
        <v>31</v>
      </c>
      <c r="S68" s="67"/>
      <c r="T68" s="60" t="s">
        <v>33</v>
      </c>
      <c r="U68" s="73">
        <v>45370</v>
      </c>
      <c r="V68" s="60"/>
    </row>
    <row r="69" ht="15" customHeight="1">
      <c r="A69" s="44">
        <v>690</v>
      </c>
      <c r="B69" s="45"/>
      <c r="C69" s="45"/>
      <c r="D69" s="46" t="s">
        <v>147</v>
      </c>
      <c r="E69" s="47" t="str">
        <f>IFERROR(VLOOKUP($D69&amp;$J69,target_columns[],4,0),"")</f>
        <v>uuid</v>
      </c>
      <c r="F69" s="47" t="str">
        <f>IFERROR(VLOOKUP($D69&amp;$J69,target_columns[],7,0),"")</f>
        <v>Yes</v>
      </c>
      <c r="G69" s="47" t="str">
        <f>IFERROR(VLOOKUP($D69&amp;$J69,target_columns[],8,0),"")</f>
        <v>No</v>
      </c>
      <c r="H69" s="47" t="str">
        <f>IFERROR(VLOOKUP($D69&amp;$J69,target_columns[],5,0),"")</f>
        <v xml:space="preserve">NOT NULL</v>
      </c>
      <c r="I69" s="47" t="str">
        <f>IFERROR(VLOOKUP($D69&amp;$J69,target_columns[],10,0),"")</f>
        <v xml:space="preserve">Идентификатор типа статуса регистра</v>
      </c>
      <c r="J69" s="46" t="s">
        <v>80</v>
      </c>
      <c r="K69" s="45" t="s">
        <v>148</v>
      </c>
      <c r="L69" s="47" t="str">
        <f>IFERROR(VLOOKUP(UPPER(K69&amp;N69),source_columns[],4,0),"")</f>
        <v/>
      </c>
      <c r="M69" s="47" t="str">
        <f>IFERROR(VLOOKUP(UPPER(K69&amp;N69),source_columns[],7,0),"")</f>
        <v/>
      </c>
      <c r="N69" s="45" t="s">
        <v>45</v>
      </c>
      <c r="O69" s="45"/>
      <c r="P69" s="64"/>
      <c r="Q69" s="28" t="str">
        <f>"n306000041_"&amp;IFERROR(VLOOKUP(D69,target_tables[],5,0),"&lt;not found&gt;")</f>
        <v>n306000041_REGISTRY_STTS_TYPE</v>
      </c>
      <c r="R69" s="45" t="s">
        <v>46</v>
      </c>
      <c r="S69" s="34" t="s">
        <v>69</v>
      </c>
      <c r="T69" s="45" t="s">
        <v>33</v>
      </c>
      <c r="U69" s="49">
        <v>45370</v>
      </c>
      <c r="V69" s="45"/>
    </row>
    <row r="70" ht="15" customHeight="1">
      <c r="A70" s="44">
        <v>700</v>
      </c>
      <c r="B70" s="45"/>
      <c r="C70" s="45"/>
      <c r="D70" s="46" t="s">
        <v>147</v>
      </c>
      <c r="E70" s="47" t="str">
        <f>IFERROR(VLOOKUP($D70&amp;$J70,target_columns[],4,0),"")</f>
        <v>text</v>
      </c>
      <c r="F70" s="47" t="str">
        <f>IFERROR(VLOOKUP($D70&amp;$J70,target_columns[],7,0),"")</f>
        <v>No</v>
      </c>
      <c r="G70" s="47" t="str">
        <f>IFERROR(VLOOKUP($D70&amp;$J70,target_columns[],8,0),"")</f>
        <v>No</v>
      </c>
      <c r="H70" s="47" t="str">
        <f>IFERROR(VLOOKUP($D70&amp;$J70,target_columns[],5,0),"")</f>
        <v>NULL</v>
      </c>
      <c r="I70" s="47" t="str">
        <f>IFERROR(VLOOKUP($D70&amp;$J70,target_columns[],10,0),"")</f>
        <v xml:space="preserve">Код типа статуса регистра</v>
      </c>
      <c r="J70" s="46" t="s">
        <v>149</v>
      </c>
      <c r="K70" s="45" t="s">
        <v>148</v>
      </c>
      <c r="L70" s="47" t="str">
        <f>IFERROR(VLOOKUP(UPPER(K70&amp;N70),source_columns[],4,0),"")</f>
        <v/>
      </c>
      <c r="M70" s="47" t="str">
        <f>IFERROR(VLOOKUP(UPPER(K70&amp;N70),source_columns[],7,0),"")</f>
        <v/>
      </c>
      <c r="N70" s="45" t="s">
        <v>114</v>
      </c>
      <c r="O70" s="45"/>
      <c r="P70" s="55"/>
      <c r="Q70" s="28" t="str">
        <f>"n306000041_"&amp;IFERROR(VLOOKUP(D70,target_tables[],5,0),"&lt;not found&gt;")</f>
        <v>n306000041_REGISTRY_STTS_TYPE</v>
      </c>
      <c r="R70" s="45" t="s">
        <v>31</v>
      </c>
      <c r="S70" s="67"/>
      <c r="T70" s="45" t="s">
        <v>33</v>
      </c>
      <c r="U70" s="49">
        <v>45370</v>
      </c>
      <c r="V70" s="45"/>
    </row>
    <row r="71" s="37" customFormat="1" ht="15" customHeight="1">
      <c r="A71" s="69">
        <v>710</v>
      </c>
      <c r="B71" s="60"/>
      <c r="C71" s="60"/>
      <c r="D71" s="51" t="s">
        <v>147</v>
      </c>
      <c r="E71" s="70" t="str">
        <f>IFERROR(VLOOKUP($D71&amp;$J71,target_columns[],4,0),"")</f>
        <v>text</v>
      </c>
      <c r="F71" s="70" t="str">
        <f>IFERROR(VLOOKUP($D71&amp;$J71,target_columns[],7,0),"")</f>
        <v>No</v>
      </c>
      <c r="G71" s="70" t="str">
        <f>IFERROR(VLOOKUP($D71&amp;$J71,target_columns[],8,0),"")</f>
        <v>No</v>
      </c>
      <c r="H71" s="70" t="str">
        <f>IFERROR(VLOOKUP($D71&amp;$J71,target_columns[],5,0),"")</f>
        <v>NULL</v>
      </c>
      <c r="I71" s="70" t="str">
        <f>IFERROR(VLOOKUP($D71&amp;$J71,target_columns[],10,0),"")</f>
        <v xml:space="preserve">Наименование типа статуса регистра</v>
      </c>
      <c r="J71" s="51" t="s">
        <v>150</v>
      </c>
      <c r="K71" s="60" t="s">
        <v>148</v>
      </c>
      <c r="L71" s="70" t="str">
        <f>IFERROR(VLOOKUP(UPPER(K71&amp;N71),source_columns[],4,0),"")</f>
        <v/>
      </c>
      <c r="M71" s="70" t="str">
        <f>IFERROR(VLOOKUP(UPPER(K71&amp;N71),source_columns[],7,0),"")</f>
        <v/>
      </c>
      <c r="N71" s="60" t="s">
        <v>85</v>
      </c>
      <c r="O71" s="60"/>
      <c r="P71" s="74"/>
      <c r="Q71" s="28" t="str">
        <f>"n306000041_"&amp;IFERROR(VLOOKUP(D71,target_tables[],5,0),"&lt;not found&gt;")</f>
        <v>n306000041_REGISTRY_STTS_TYPE</v>
      </c>
      <c r="R71" s="60" t="s">
        <v>31</v>
      </c>
      <c r="S71" s="67"/>
      <c r="T71" s="60" t="s">
        <v>33</v>
      </c>
      <c r="U71" s="73">
        <v>45370</v>
      </c>
      <c r="V71" s="60"/>
    </row>
    <row r="72" ht="15" customHeight="1">
      <c r="A72" s="44">
        <v>720</v>
      </c>
      <c r="B72" s="45"/>
      <c r="C72" s="45"/>
      <c r="D72" s="46" t="s">
        <v>151</v>
      </c>
      <c r="E72" s="47" t="str">
        <f>IFERROR(VLOOKUP($D72&amp;$J72,target_columns[],4,0),"")</f>
        <v>uuid</v>
      </c>
      <c r="F72" s="47" t="str">
        <f>IFERROR(VLOOKUP($D72&amp;$J72,target_columns[],7,0),"")</f>
        <v>Yes</v>
      </c>
      <c r="G72" s="47" t="str">
        <f>IFERROR(VLOOKUP($D72&amp;$J72,target_columns[],8,0),"")</f>
        <v>No</v>
      </c>
      <c r="H72" s="47" t="str">
        <f>IFERROR(VLOOKUP($D72&amp;$J72,target_columns[],5,0),"")</f>
        <v xml:space="preserve">NOT NULL</v>
      </c>
      <c r="I72" s="47" t="str">
        <f>IFERROR(VLOOKUP($D72&amp;$J72,target_columns[],10,0),"")</f>
        <v xml:space="preserve">Идентификатор типа заявки</v>
      </c>
      <c r="J72" s="46" t="s">
        <v>152</v>
      </c>
      <c r="K72" s="45" t="s">
        <v>89</v>
      </c>
      <c r="L72" s="47" t="str">
        <f>IFERROR(VLOOKUP(UPPER(K72&amp;N72),source_columns[],4,0),"")</f>
        <v/>
      </c>
      <c r="M72" s="47" t="str">
        <f>IFERROR(VLOOKUP(UPPER(K72&amp;N72),source_columns[],7,0),"")</f>
        <v/>
      </c>
      <c r="N72" s="45" t="s">
        <v>92</v>
      </c>
      <c r="O72" s="45"/>
      <c r="P72" s="29" t="s">
        <v>153</v>
      </c>
      <c r="Q72" s="28" t="str">
        <f>"n306000041_"&amp;IFERROR(VLOOKUP(D72,target_tables[],5,0),"&lt;not found&gt;")</f>
        <v>n306000041_APPL_TYPE</v>
      </c>
      <c r="R72" s="45" t="s">
        <v>46</v>
      </c>
      <c r="S72" s="29" t="s">
        <v>69</v>
      </c>
      <c r="T72" s="45" t="s">
        <v>33</v>
      </c>
      <c r="U72" s="49">
        <v>45370</v>
      </c>
      <c r="V72" s="45"/>
    </row>
    <row r="73" s="37" customFormat="1" ht="15" customHeight="1">
      <c r="A73" s="69">
        <v>730</v>
      </c>
      <c r="B73" s="60"/>
      <c r="C73" s="60"/>
      <c r="D73" s="51" t="s">
        <v>151</v>
      </c>
      <c r="E73" s="70" t="str">
        <f>IFERROR(VLOOKUP($D73&amp;$J73,target_columns[],4,0),"")</f>
        <v>text</v>
      </c>
      <c r="F73" s="70" t="str">
        <f>IFERROR(VLOOKUP($D73&amp;$J73,target_columns[],7,0),"")</f>
        <v>No</v>
      </c>
      <c r="G73" s="70" t="str">
        <f>IFERROR(VLOOKUP($D73&amp;$J73,target_columns[],8,0),"")</f>
        <v>No</v>
      </c>
      <c r="H73" s="70" t="str">
        <f>IFERROR(VLOOKUP($D73&amp;$J73,target_columns[],5,0),"")</f>
        <v>NULL</v>
      </c>
      <c r="I73" s="70" t="str">
        <f>IFERROR(VLOOKUP($D73&amp;$J73,target_columns[],10,0),"")</f>
        <v xml:space="preserve">Код типа заявки</v>
      </c>
      <c r="J73" s="51" t="s">
        <v>154</v>
      </c>
      <c r="K73" s="39" t="s">
        <v>89</v>
      </c>
      <c r="L73" s="70" t="str">
        <f>IFERROR(VLOOKUP(UPPER(K73&amp;N73),source_columns[],4,0),"")</f>
        <v/>
      </c>
      <c r="M73" s="70" t="str">
        <f>IFERROR(VLOOKUP(UPPER(K73&amp;N73),source_columns[],7,0),"")</f>
        <v/>
      </c>
      <c r="N73" s="39" t="s">
        <v>155</v>
      </c>
      <c r="O73" s="60"/>
      <c r="P73" s="74"/>
      <c r="Q73" s="28" t="str">
        <f>"n306000041_"&amp;IFERROR(VLOOKUP(D73,target_tables[],5,0),"&lt;not found&gt;")</f>
        <v>n306000041_APPL_TYPE</v>
      </c>
      <c r="R73" s="60" t="s">
        <v>31</v>
      </c>
      <c r="S73" s="74"/>
      <c r="T73" s="60" t="s">
        <v>33</v>
      </c>
      <c r="U73" s="73">
        <v>45370</v>
      </c>
      <c r="V73" s="60"/>
    </row>
    <row r="74" ht="15" customHeight="1">
      <c r="A74" s="44">
        <v>740</v>
      </c>
      <c r="B74" s="45"/>
      <c r="C74" s="45"/>
      <c r="D74" s="46" t="s">
        <v>156</v>
      </c>
      <c r="E74" s="47" t="str">
        <f>IFERROR(VLOOKUP($D74&amp;$J74,target_columns[],4,0),"")</f>
        <v>uuid</v>
      </c>
      <c r="F74" s="47" t="str">
        <f>IFERROR(VLOOKUP($D74&amp;$J74,target_columns[],7,0),"")</f>
        <v>Yes</v>
      </c>
      <c r="G74" s="47" t="str">
        <f>IFERROR(VLOOKUP($D74&amp;$J74,target_columns[],8,0),"")</f>
        <v>No</v>
      </c>
      <c r="H74" s="47" t="str">
        <f>IFERROR(VLOOKUP($D74&amp;$J74,target_columns[],5,0),"")</f>
        <v xml:space="preserve">NOT NULL</v>
      </c>
      <c r="I74" s="47" t="str">
        <f>IFERROR(VLOOKUP($D74&amp;$J74,target_columns[],10,0),"")</f>
        <v xml:space="preserve">Идентификатор внешней системы</v>
      </c>
      <c r="J74" s="46" t="s">
        <v>157</v>
      </c>
      <c r="K74" s="45" t="s">
        <v>89</v>
      </c>
      <c r="L74" s="47" t="str">
        <f>IFERROR(VLOOKUP(UPPER(K74&amp;N74),source_columns[],4,0),"")</f>
        <v/>
      </c>
      <c r="M74" s="47" t="str">
        <f>IFERROR(VLOOKUP(UPPER(K74&amp;N74),source_columns[],7,0),"")</f>
        <v/>
      </c>
      <c r="N74" s="45" t="s">
        <v>94</v>
      </c>
      <c r="O74" s="45"/>
      <c r="P74" s="29" t="s">
        <v>158</v>
      </c>
      <c r="Q74" s="28" t="str">
        <f>"n306000041_"&amp;IFERROR(VLOOKUP(D74,target_tables[],5,0),"&lt;not found&gt;")</f>
        <v>n306000041_SRC_SYSTEM_TYPE</v>
      </c>
      <c r="R74" s="45" t="s">
        <v>46</v>
      </c>
      <c r="S74" s="29" t="s">
        <v>69</v>
      </c>
      <c r="T74" s="45" t="s">
        <v>33</v>
      </c>
      <c r="U74" s="49">
        <v>45370</v>
      </c>
      <c r="V74" s="45"/>
    </row>
    <row r="75" s="37" customFormat="1" ht="15" customHeight="1">
      <c r="A75" s="69">
        <v>750</v>
      </c>
      <c r="B75" s="60"/>
      <c r="C75" s="60"/>
      <c r="D75" s="51" t="s">
        <v>156</v>
      </c>
      <c r="E75" s="70" t="str">
        <f>IFERROR(VLOOKUP($D75&amp;$J75,target_columns[],4,0),"")</f>
        <v>text</v>
      </c>
      <c r="F75" s="70" t="str">
        <f>IFERROR(VLOOKUP($D75&amp;$J75,target_columns[],7,0),"")</f>
        <v>No</v>
      </c>
      <c r="G75" s="70" t="str">
        <f>IFERROR(VLOOKUP($D75&amp;$J75,target_columns[],8,0),"")</f>
        <v>No</v>
      </c>
      <c r="H75" s="70" t="str">
        <f>IFERROR(VLOOKUP($D75&amp;$J75,target_columns[],5,0),"")</f>
        <v>NULL</v>
      </c>
      <c r="I75" s="70" t="str">
        <f>IFERROR(VLOOKUP($D75&amp;$J75,target_columns[],10,0),"")</f>
        <v xml:space="preserve">Код внешней системы </v>
      </c>
      <c r="J75" s="51" t="s">
        <v>159</v>
      </c>
      <c r="K75" s="39" t="s">
        <v>89</v>
      </c>
      <c r="L75" s="70" t="str">
        <f>IFERROR(VLOOKUP(UPPER(K75&amp;N75),source_columns[],4,0),"")</f>
        <v/>
      </c>
      <c r="M75" s="70" t="str">
        <f>IFERROR(VLOOKUP(UPPER(K75&amp;N75),source_columns[],7,0),"")</f>
        <v/>
      </c>
      <c r="N75" s="39" t="s">
        <v>160</v>
      </c>
      <c r="O75" s="60"/>
      <c r="P75" s="74"/>
      <c r="Q75" s="28" t="str">
        <f>"n306000041_"&amp;IFERROR(VLOOKUP(D75,target_tables[],5,0),"&lt;not found&gt;")</f>
        <v>n306000041_SRC_SYSTEM_TYPE</v>
      </c>
      <c r="R75" s="60" t="s">
        <v>31</v>
      </c>
      <c r="S75" s="74"/>
      <c r="T75" s="60" t="s">
        <v>33</v>
      </c>
      <c r="U75" s="73">
        <v>45370</v>
      </c>
      <c r="V75" s="60"/>
    </row>
    <row r="76" ht="15" customHeight="1">
      <c r="A76" s="44">
        <v>760</v>
      </c>
      <c r="B76" s="45"/>
      <c r="C76" s="45"/>
      <c r="D76" s="46" t="s">
        <v>161</v>
      </c>
      <c r="E76" s="47" t="str">
        <f>IFERROR(VLOOKUP($D76&amp;$J76,target_columns[],4,0),"")</f>
        <v>uuid</v>
      </c>
      <c r="F76" s="47" t="str">
        <f>IFERROR(VLOOKUP($D76&amp;$J76,target_columns[],7,0),"")</f>
        <v>Yes</v>
      </c>
      <c r="G76" s="47" t="str">
        <f>IFERROR(VLOOKUP($D76&amp;$J76,target_columns[],8,0),"")</f>
        <v>No</v>
      </c>
      <c r="H76" s="47" t="str">
        <f>IFERROR(VLOOKUP($D76&amp;$J76,target_columns[],5,0),"")</f>
        <v xml:space="preserve">NOT NULL</v>
      </c>
      <c r="I76" s="47" t="str">
        <f>IFERROR(VLOOKUP($D76&amp;$J76,target_columns[],10,0),"")</f>
        <v xml:space="preserve">Уникальный идентификатор вида канала</v>
      </c>
      <c r="J76" s="46" t="s">
        <v>162</v>
      </c>
      <c r="K76" s="45" t="s">
        <v>89</v>
      </c>
      <c r="L76" s="47" t="str">
        <f>IFERROR(VLOOKUP(UPPER(K76&amp;N76),source_columns[],4,0),"")</f>
        <v/>
      </c>
      <c r="M76" s="47" t="str">
        <f>IFERROR(VLOOKUP(UPPER(K76&amp;N76),source_columns[],7,0),"")</f>
        <v/>
      </c>
      <c r="N76" s="45" t="s">
        <v>104</v>
      </c>
      <c r="O76" s="45"/>
      <c r="P76" s="29" t="s">
        <v>163</v>
      </c>
      <c r="Q76" s="28" t="str">
        <f>"n306000041_"&amp;IFERROR(VLOOKUP(D76,target_tables[],5,0),"&lt;not found&gt;")</f>
        <v>n306000041_CHNL_TYPE</v>
      </c>
      <c r="R76" s="45" t="s">
        <v>46</v>
      </c>
      <c r="S76" s="29" t="s">
        <v>69</v>
      </c>
      <c r="T76" s="45" t="s">
        <v>33</v>
      </c>
      <c r="U76" s="49">
        <v>45370</v>
      </c>
      <c r="V76" s="45"/>
    </row>
    <row r="77" s="37" customFormat="1" ht="15" customHeight="1">
      <c r="A77" s="69">
        <v>770</v>
      </c>
      <c r="B77" s="60"/>
      <c r="C77" s="60"/>
      <c r="D77" s="51" t="s">
        <v>161</v>
      </c>
      <c r="E77" s="70" t="str">
        <f>IFERROR(VLOOKUP($D77&amp;$J77,target_columns[],4,0),"")</f>
        <v>text</v>
      </c>
      <c r="F77" s="70" t="str">
        <f>IFERROR(VLOOKUP($D77&amp;$J77,target_columns[],7,0),"")</f>
        <v>No</v>
      </c>
      <c r="G77" s="70" t="str">
        <f>IFERROR(VLOOKUP($D77&amp;$J77,target_columns[],8,0),"")</f>
        <v>No</v>
      </c>
      <c r="H77" s="70" t="str">
        <f>IFERROR(VLOOKUP($D77&amp;$J77,target_columns[],5,0),"")</f>
        <v>NULL</v>
      </c>
      <c r="I77" s="70" t="str">
        <f>IFERROR(VLOOKUP($D77&amp;$J77,target_columns[],10,0),"")</f>
        <v xml:space="preserve">Код вида канала</v>
      </c>
      <c r="J77" s="51" t="s">
        <v>164</v>
      </c>
      <c r="K77" s="39" t="s">
        <v>89</v>
      </c>
      <c r="L77" s="70" t="str">
        <f>IFERROR(VLOOKUP(UPPER(K77&amp;N77),source_columns[],4,0),"")</f>
        <v/>
      </c>
      <c r="M77" s="70" t="str">
        <f>IFERROR(VLOOKUP(UPPER(K77&amp;N77),source_columns[],7,0),"")</f>
        <v/>
      </c>
      <c r="N77" s="39" t="s">
        <v>165</v>
      </c>
      <c r="O77" s="60"/>
      <c r="P77" s="74"/>
      <c r="Q77" s="28" t="str">
        <f>"n306000041_"&amp;IFERROR(VLOOKUP(D77,target_tables[],5,0),"&lt;not found&gt;")</f>
        <v>n306000041_CHNL_TYPE</v>
      </c>
      <c r="R77" s="60" t="s">
        <v>31</v>
      </c>
      <c r="S77" s="74"/>
      <c r="T77" s="60" t="s">
        <v>33</v>
      </c>
      <c r="U77" s="73">
        <v>45370</v>
      </c>
      <c r="V77" s="60"/>
    </row>
    <row r="78" ht="15" customHeight="1">
      <c r="A78" s="44">
        <v>780</v>
      </c>
      <c r="B78" s="45"/>
      <c r="C78" s="45"/>
      <c r="D78" s="46" t="s">
        <v>166</v>
      </c>
      <c r="E78" s="47" t="str">
        <f>IFERROR(VLOOKUP($D78&amp;$J78,target_columns[],4,0),"")</f>
        <v>uuid</v>
      </c>
      <c r="F78" s="47" t="str">
        <f>IFERROR(VLOOKUP($D78&amp;$J78,target_columns[],7,0),"")</f>
        <v>Yes</v>
      </c>
      <c r="G78" s="47" t="str">
        <f>IFERROR(VLOOKUP($D78&amp;$J78,target_columns[],8,0),"")</f>
        <v>No</v>
      </c>
      <c r="H78" s="47" t="str">
        <f>IFERROR(VLOOKUP($D78&amp;$J78,target_columns[],5,0),"")</f>
        <v xml:space="preserve">NOT NULL</v>
      </c>
      <c r="I78" s="47" t="str">
        <f>IFERROR(VLOOKUP($D78&amp;$J78,target_columns[],10,0),"")</f>
        <v xml:space="preserve">Идентификатор статуса заявки события</v>
      </c>
      <c r="J78" s="46" t="s">
        <v>167</v>
      </c>
      <c r="K78" s="45" t="s">
        <v>168</v>
      </c>
      <c r="L78" s="47" t="str">
        <f>IFERROR(VLOOKUP(UPPER(K78&amp;N78),source_columns[],4,0),"")</f>
        <v/>
      </c>
      <c r="M78" s="47" t="str">
        <f>IFERROR(VLOOKUP(UPPER(K78&amp;N78),source_columns[],7,0),"")</f>
        <v/>
      </c>
      <c r="N78" s="45" t="s">
        <v>45</v>
      </c>
      <c r="O78" s="45"/>
      <c r="P78" s="29"/>
      <c r="Q78" s="28" t="str">
        <f>"n306000041_"&amp;IFERROR(VLOOKUP(D78,target_tables[],5,0),"&lt;not found&gt;")</f>
        <v>n306000041_APPL_STTS_TYPE</v>
      </c>
      <c r="R78" s="45" t="s">
        <v>46</v>
      </c>
      <c r="S78" s="29" t="s">
        <v>69</v>
      </c>
      <c r="T78" s="45" t="s">
        <v>33</v>
      </c>
      <c r="U78" s="49">
        <v>45370</v>
      </c>
      <c r="V78" s="45"/>
    </row>
    <row r="79" ht="15" customHeight="1">
      <c r="A79" s="44">
        <v>790</v>
      </c>
      <c r="B79" s="45"/>
      <c r="C79" s="45"/>
      <c r="D79" s="46" t="s">
        <v>166</v>
      </c>
      <c r="E79" s="47" t="str">
        <f>IFERROR(VLOOKUP($D79&amp;$J79,target_columns[],4,0),"")</f>
        <v>text</v>
      </c>
      <c r="F79" s="47" t="str">
        <f>IFERROR(VLOOKUP($D79&amp;$J79,target_columns[],7,0),"")</f>
        <v>No</v>
      </c>
      <c r="G79" s="47" t="str">
        <f>IFERROR(VLOOKUP($D79&amp;$J79,target_columns[],8,0),"")</f>
        <v>No</v>
      </c>
      <c r="H79" s="47" t="str">
        <f>IFERROR(VLOOKUP($D79&amp;$J79,target_columns[],5,0),"")</f>
        <v>NULL</v>
      </c>
      <c r="I79" s="47" t="str">
        <f>IFERROR(VLOOKUP($D79&amp;$J79,target_columns[],10,0),"")</f>
        <v xml:space="preserve">Код статуса заявки события</v>
      </c>
      <c r="J79" s="46" t="s">
        <v>169</v>
      </c>
      <c r="K79" s="26" t="s">
        <v>168</v>
      </c>
      <c r="L79" s="47" t="str">
        <f>IFERROR(VLOOKUP(UPPER(K79&amp;N79),source_columns[],4,0),"")</f>
        <v/>
      </c>
      <c r="M79" s="47" t="str">
        <f>IFERROR(VLOOKUP(UPPER(K79&amp;N79),source_columns[],7,0),"")</f>
        <v/>
      </c>
      <c r="N79" s="26" t="s">
        <v>170</v>
      </c>
      <c r="O79" s="45"/>
      <c r="P79" s="55"/>
      <c r="Q79" s="28" t="str">
        <f>"n306000041_"&amp;IFERROR(VLOOKUP(D79,target_tables[],5,0),"&lt;not found&gt;")</f>
        <v>n306000041_APPL_STTS_TYPE</v>
      </c>
      <c r="R79" s="45" t="s">
        <v>31</v>
      </c>
      <c r="S79" s="55"/>
      <c r="T79" s="45" t="s">
        <v>33</v>
      </c>
      <c r="U79" s="49">
        <v>45370</v>
      </c>
      <c r="V79" s="45"/>
    </row>
    <row r="80" ht="15" customHeight="1">
      <c r="A80" s="44">
        <v>800</v>
      </c>
      <c r="B80" s="45"/>
      <c r="C80" s="45"/>
      <c r="D80" s="46" t="s">
        <v>166</v>
      </c>
      <c r="E80" s="47" t="str">
        <f>IFERROR(VLOOKUP($D80&amp;$J80,target_columns[],4,0),"")</f>
        <v>text</v>
      </c>
      <c r="F80" s="47" t="str">
        <f>IFERROR(VLOOKUP($D80&amp;$J80,target_columns[],7,0),"")</f>
        <v>No</v>
      </c>
      <c r="G80" s="47" t="str">
        <f>IFERROR(VLOOKUP($D80&amp;$J80,target_columns[],8,0),"")</f>
        <v>No</v>
      </c>
      <c r="H80" s="47" t="str">
        <f>IFERROR(VLOOKUP($D80&amp;$J80,target_columns[],5,0),"")</f>
        <v>NULL</v>
      </c>
      <c r="I80" s="47" t="str">
        <f>IFERROR(VLOOKUP($D80&amp;$J80,target_columns[],10,0),"")</f>
        <v xml:space="preserve">Наименование статуса заявки события</v>
      </c>
      <c r="J80" s="46" t="s">
        <v>171</v>
      </c>
      <c r="K80" s="26" t="s">
        <v>168</v>
      </c>
      <c r="L80" s="47" t="str">
        <f>IFERROR(VLOOKUP(UPPER(K80&amp;N80),source_columns[],4,0),"")</f>
        <v/>
      </c>
      <c r="M80" s="47" t="str">
        <f>IFERROR(VLOOKUP(UPPER(K80&amp;N80),source_columns[],7,0),"")</f>
        <v/>
      </c>
      <c r="N80" s="26" t="s">
        <v>85</v>
      </c>
      <c r="O80" s="45"/>
      <c r="P80" s="33"/>
      <c r="Q80" s="28" t="str">
        <f>"n306000041_"&amp;IFERROR(VLOOKUP(D80,target_tables[],5,0),"&lt;not found&gt;")</f>
        <v>n306000041_APPL_STTS_TYPE</v>
      </c>
      <c r="R80" s="45" t="s">
        <v>31</v>
      </c>
      <c r="S80" s="55"/>
      <c r="T80" s="45" t="s">
        <v>33</v>
      </c>
      <c r="U80" s="49">
        <v>45370</v>
      </c>
      <c r="V80" s="45"/>
    </row>
    <row r="81" s="37" customFormat="1" ht="15" customHeight="1">
      <c r="A81" s="69">
        <v>810</v>
      </c>
      <c r="B81" s="60"/>
      <c r="C81" s="60"/>
      <c r="D81" s="51" t="s">
        <v>166</v>
      </c>
      <c r="E81" s="70" t="str">
        <f>IFERROR(VLOOKUP($D81&amp;$J81,target_columns[],4,0),"")</f>
        <v>bigint</v>
      </c>
      <c r="F81" s="70" t="str">
        <f>IFERROR(VLOOKUP($D81&amp;$J81,target_columns[],7,0),"")</f>
        <v>No</v>
      </c>
      <c r="G81" s="70" t="str">
        <f>IFERROR(VLOOKUP($D81&amp;$J81,target_columns[],8,0),"")</f>
        <v>No</v>
      </c>
      <c r="H81" s="70" t="str">
        <f>IFERROR(VLOOKUP($D81&amp;$J81,target_columns[],5,0),"")</f>
        <v>NULL</v>
      </c>
      <c r="I81" s="70" t="str">
        <f>IFERROR(VLOOKUP($D81&amp;$J81,target_columns[],10,0),"")</f>
        <v xml:space="preserve">Идентификатор статуса заявки события в системе-источнике</v>
      </c>
      <c r="J81" s="51" t="s">
        <v>172</v>
      </c>
      <c r="K81" s="39" t="s">
        <v>168</v>
      </c>
      <c r="L81" s="70" t="str">
        <f>IFERROR(VLOOKUP(UPPER(K81&amp;N81),source_columns[],4,0),"")</f>
        <v/>
      </c>
      <c r="M81" s="70" t="str">
        <f>IFERROR(VLOOKUP(UPPER(K81&amp;N81),source_columns[],7,0),"")</f>
        <v/>
      </c>
      <c r="N81" s="39" t="s">
        <v>39</v>
      </c>
      <c r="O81" s="60"/>
      <c r="P81" s="75"/>
      <c r="Q81" s="28" t="str">
        <f>"n306000041_"&amp;IFERROR(VLOOKUP(D81,target_tables[],5,0),"&lt;not found&gt;")</f>
        <v>n306000041_APPL_STTS_TYPE</v>
      </c>
      <c r="R81" s="60" t="s">
        <v>31</v>
      </c>
      <c r="S81" s="74"/>
      <c r="T81" s="60" t="s">
        <v>33</v>
      </c>
      <c r="U81" s="73">
        <v>45370</v>
      </c>
      <c r="V81" s="60"/>
    </row>
    <row r="82" ht="15" customHeight="1">
      <c r="A82" s="44">
        <v>820</v>
      </c>
      <c r="B82" s="45"/>
      <c r="C82" s="45"/>
      <c r="D82" s="46" t="s">
        <v>173</v>
      </c>
      <c r="E82" s="47" t="str">
        <f>IFERROR(VLOOKUP($D82&amp;$J82,target_columns[],4,0),"")</f>
        <v>uuid</v>
      </c>
      <c r="F82" s="47" t="str">
        <f>IFERROR(VLOOKUP($D82&amp;$J82,target_columns[],7,0),"")</f>
        <v>Yes</v>
      </c>
      <c r="G82" s="47" t="str">
        <f>IFERROR(VLOOKUP($D82&amp;$J82,target_columns[],8,0),"")</f>
        <v>No</v>
      </c>
      <c r="H82" s="47" t="str">
        <f>IFERROR(VLOOKUP($D82&amp;$J82,target_columns[],5,0),"")</f>
        <v xml:space="preserve">NOT NULL</v>
      </c>
      <c r="I82" s="47" t="str">
        <f>IFERROR(VLOOKUP($D82&amp;$J82,target_columns[],10,0),"")</f>
        <v xml:space="preserve">Идентификатор статуса заявки события</v>
      </c>
      <c r="J82" s="46" t="s">
        <v>174</v>
      </c>
      <c r="K82" s="45" t="s">
        <v>175</v>
      </c>
      <c r="L82" s="47" t="str">
        <f>IFERROR(VLOOKUP(UPPER(K82&amp;N82),source_columns[],4,0),"")</f>
        <v/>
      </c>
      <c r="M82" s="47" t="str">
        <f>IFERROR(VLOOKUP(UPPER(K82&amp;N82),source_columns[],7,0),"")</f>
        <v/>
      </c>
      <c r="N82" s="45" t="s">
        <v>45</v>
      </c>
      <c r="O82" s="45"/>
      <c r="P82" s="76"/>
      <c r="Q82" s="28" t="str">
        <f>"n306000041_"&amp;IFERROR(VLOOKUP(D82,target_tables[],5,0),"&lt;not found&gt;")</f>
        <v>n306000041_AGR_RKO_STTS_TYPE</v>
      </c>
      <c r="R82" s="45" t="s">
        <v>46</v>
      </c>
      <c r="S82" s="29" t="s">
        <v>69</v>
      </c>
      <c r="T82" s="45" t="s">
        <v>33</v>
      </c>
      <c r="U82" s="49">
        <v>45370</v>
      </c>
      <c r="V82" s="45"/>
    </row>
    <row r="83" ht="15" customHeight="1">
      <c r="A83" s="44">
        <v>830</v>
      </c>
      <c r="B83" s="45"/>
      <c r="C83" s="45"/>
      <c r="D83" s="46" t="s">
        <v>173</v>
      </c>
      <c r="E83" s="47" t="str">
        <f>IFERROR(VLOOKUP($D83&amp;$J83,target_columns[],4,0),"")</f>
        <v>text</v>
      </c>
      <c r="F83" s="47" t="str">
        <f>IFERROR(VLOOKUP($D83&amp;$J83,target_columns[],7,0),"")</f>
        <v>No</v>
      </c>
      <c r="G83" s="47" t="str">
        <f>IFERROR(VLOOKUP($D83&amp;$J83,target_columns[],8,0),"")</f>
        <v>No</v>
      </c>
      <c r="H83" s="47" t="str">
        <f>IFERROR(VLOOKUP($D83&amp;$J83,target_columns[],5,0),"")</f>
        <v>NULL</v>
      </c>
      <c r="I83" s="47" t="str">
        <f>IFERROR(VLOOKUP($D83&amp;$J83,target_columns[],10,0),"")</f>
        <v xml:space="preserve">Код статуса заявки события</v>
      </c>
      <c r="J83" s="46" t="s">
        <v>176</v>
      </c>
      <c r="K83" s="45" t="s">
        <v>175</v>
      </c>
      <c r="L83" s="47" t="str">
        <f>IFERROR(VLOOKUP(UPPER(K83&amp;N83),source_columns[],4,0),"")</f>
        <v/>
      </c>
      <c r="M83" s="47" t="str">
        <f>IFERROR(VLOOKUP(UPPER(K83&amp;N83),source_columns[],7,0),"")</f>
        <v/>
      </c>
      <c r="N83" s="45" t="s">
        <v>114</v>
      </c>
      <c r="O83" s="45"/>
      <c r="P83" s="33"/>
      <c r="Q83" s="28" t="str">
        <f>"n306000041_"&amp;IFERROR(VLOOKUP(D83,target_tables[],5,0),"&lt;not found&gt;")</f>
        <v>n306000041_AGR_RKO_STTS_TYPE</v>
      </c>
      <c r="R83" s="45" t="s">
        <v>31</v>
      </c>
      <c r="S83" s="55"/>
      <c r="T83" s="45" t="s">
        <v>33</v>
      </c>
      <c r="U83" s="49">
        <v>45370</v>
      </c>
      <c r="V83" s="45"/>
    </row>
    <row r="84" s="37" customFormat="1" ht="15" customHeight="1">
      <c r="A84" s="69">
        <v>840</v>
      </c>
      <c r="B84" s="60"/>
      <c r="C84" s="60"/>
      <c r="D84" s="51" t="s">
        <v>173</v>
      </c>
      <c r="E84" s="70" t="str">
        <f>IFERROR(VLOOKUP($D84&amp;$J84,target_columns[],4,0),"")</f>
        <v>text</v>
      </c>
      <c r="F84" s="70" t="str">
        <f>IFERROR(VLOOKUP($D84&amp;$J84,target_columns[],7,0),"")</f>
        <v>No</v>
      </c>
      <c r="G84" s="70" t="str">
        <f>IFERROR(VLOOKUP($D84&amp;$J84,target_columns[],8,0),"")</f>
        <v>No</v>
      </c>
      <c r="H84" s="70" t="str">
        <f>IFERROR(VLOOKUP($D84&amp;$J84,target_columns[],5,0),"")</f>
        <v>NULL</v>
      </c>
      <c r="I84" s="70" t="str">
        <f>IFERROR(VLOOKUP($D84&amp;$J84,target_columns[],10,0),"")</f>
        <v xml:space="preserve">Наименование статуса заявки события</v>
      </c>
      <c r="J84" s="51" t="s">
        <v>177</v>
      </c>
      <c r="K84" s="60" t="s">
        <v>175</v>
      </c>
      <c r="L84" s="70" t="str">
        <f>IFERROR(VLOOKUP(UPPER(K84&amp;N84),source_columns[],4,0),"")</f>
        <v/>
      </c>
      <c r="M84" s="70" t="str">
        <f>IFERROR(VLOOKUP(UPPER(K84&amp;N84),source_columns[],7,0),"")</f>
        <v/>
      </c>
      <c r="N84" s="39" t="s">
        <v>85</v>
      </c>
      <c r="O84" s="60"/>
      <c r="P84" s="75"/>
      <c r="Q84" s="28" t="str">
        <f>"n306000041_"&amp;IFERROR(VLOOKUP(D84,target_tables[],5,0),"&lt;not found&gt;")</f>
        <v>n306000041_AGR_RKO_STTS_TYPE</v>
      </c>
      <c r="R84" s="60" t="s">
        <v>31</v>
      </c>
      <c r="S84" s="74"/>
      <c r="T84" s="60" t="s">
        <v>33</v>
      </c>
      <c r="U84" s="73">
        <v>45370</v>
      </c>
      <c r="V84" s="60"/>
    </row>
    <row r="85" ht="15" customHeight="1">
      <c r="A85" s="44">
        <v>850</v>
      </c>
      <c r="B85" s="45"/>
      <c r="C85" s="45"/>
      <c r="D85" s="46" t="s">
        <v>178</v>
      </c>
      <c r="E85" s="47" t="str">
        <f>IFERROR(VLOOKUP($D85&amp;$J85,target_columns[],4,0),"")</f>
        <v>uuid</v>
      </c>
      <c r="F85" s="47" t="str">
        <f>IFERROR(VLOOKUP($D85&amp;$J85,target_columns[],7,0),"")</f>
        <v>Yes</v>
      </c>
      <c r="G85" s="47" t="str">
        <f>IFERROR(VLOOKUP($D85&amp;$J85,target_columns[],8,0),"")</f>
        <v>No</v>
      </c>
      <c r="H85" s="47" t="str">
        <f>IFERROR(VLOOKUP($D85&amp;$J85,target_columns[],5,0),"")</f>
        <v xml:space="preserve">NOT NULL</v>
      </c>
      <c r="I85" s="47" t="str">
        <f>IFERROR(VLOOKUP($D85&amp;$J85,target_columns[],10,0),"")</f>
        <v xml:space="preserve">Идентификатор типа ограничения</v>
      </c>
      <c r="J85" s="46" t="s">
        <v>125</v>
      </c>
      <c r="K85" s="45" t="s">
        <v>179</v>
      </c>
      <c r="L85" s="47" t="str">
        <f>IFERROR(VLOOKUP(UPPER(K85&amp;N85),source_columns[],4,0),"")</f>
        <v/>
      </c>
      <c r="M85" s="47" t="str">
        <f>IFERROR(VLOOKUP(UPPER(K85&amp;N85),source_columns[],7,0),"")</f>
        <v/>
      </c>
      <c r="N85" s="45" t="s">
        <v>45</v>
      </c>
      <c r="O85" s="45"/>
      <c r="P85" s="76"/>
      <c r="Q85" s="28" t="str">
        <f>"n306000041_"&amp;IFERROR(VLOOKUP(D85,target_tables[],5,0),"&lt;not found&gt;")</f>
        <v>n306000041_agr_rko_limit_type</v>
      </c>
      <c r="R85" s="45" t="s">
        <v>46</v>
      </c>
      <c r="S85" s="29" t="s">
        <v>69</v>
      </c>
      <c r="T85" s="45" t="s">
        <v>33</v>
      </c>
      <c r="U85" s="49">
        <v>45370</v>
      </c>
      <c r="V85" s="45"/>
    </row>
    <row r="86" ht="15" customHeight="1">
      <c r="A86" s="44">
        <v>860</v>
      </c>
      <c r="B86" s="45"/>
      <c r="C86" s="45"/>
      <c r="D86" s="46" t="s">
        <v>178</v>
      </c>
      <c r="E86" s="47" t="str">
        <f>IFERROR(VLOOKUP($D86&amp;$J86,target_columns[],4,0),"")</f>
        <v>text</v>
      </c>
      <c r="F86" s="47" t="str">
        <f>IFERROR(VLOOKUP($D86&amp;$J86,target_columns[],7,0),"")</f>
        <v>No</v>
      </c>
      <c r="G86" s="47" t="str">
        <f>IFERROR(VLOOKUP($D86&amp;$J86,target_columns[],8,0),"")</f>
        <v>No</v>
      </c>
      <c r="H86" s="47" t="str">
        <f>IFERROR(VLOOKUP($D86&amp;$J86,target_columns[],5,0),"")</f>
        <v>NULL</v>
      </c>
      <c r="I86" s="47" t="str">
        <f>IFERROR(VLOOKUP($D86&amp;$J86,target_columns[],10,0),"")</f>
        <v xml:space="preserve">Код типа ограничения</v>
      </c>
      <c r="J86" s="46" t="s">
        <v>180</v>
      </c>
      <c r="K86" s="45" t="s">
        <v>179</v>
      </c>
      <c r="L86" s="47" t="str">
        <f>IFERROR(VLOOKUP(UPPER(K86&amp;N86),source_columns[],4,0),"")</f>
        <v/>
      </c>
      <c r="M86" s="47" t="str">
        <f>IFERROR(VLOOKUP(UPPER(K86&amp;N86),source_columns[],7,0),"")</f>
        <v/>
      </c>
      <c r="N86" s="45" t="s">
        <v>114</v>
      </c>
      <c r="O86" s="45"/>
      <c r="P86" s="33"/>
      <c r="Q86" s="28" t="str">
        <f>"n306000041_"&amp;IFERROR(VLOOKUP(D86,target_tables[],5,0),"&lt;not found&gt;")</f>
        <v>n306000041_agr_rko_limit_type</v>
      </c>
      <c r="R86" s="45" t="s">
        <v>31</v>
      </c>
      <c r="S86" s="55"/>
      <c r="T86" s="45" t="s">
        <v>33</v>
      </c>
      <c r="U86" s="49">
        <v>45370</v>
      </c>
      <c r="V86" s="45"/>
    </row>
    <row r="87" s="37" customFormat="1" ht="15" customHeight="1">
      <c r="A87" s="69">
        <v>870</v>
      </c>
      <c r="B87" s="60"/>
      <c r="C87" s="60"/>
      <c r="D87" s="51" t="s">
        <v>178</v>
      </c>
      <c r="E87" s="70" t="str">
        <f>IFERROR(VLOOKUP($D87&amp;$J87,target_columns[],4,0),"")</f>
        <v>text</v>
      </c>
      <c r="F87" s="70" t="str">
        <f>IFERROR(VLOOKUP($D87&amp;$J87,target_columns[],7,0),"")</f>
        <v>No</v>
      </c>
      <c r="G87" s="70" t="str">
        <f>IFERROR(VLOOKUP($D87&amp;$J87,target_columns[],8,0),"")</f>
        <v>No</v>
      </c>
      <c r="H87" s="70" t="str">
        <f>IFERROR(VLOOKUP($D87&amp;$J87,target_columns[],5,0),"")</f>
        <v>NULL</v>
      </c>
      <c r="I87" s="70" t="str">
        <f>IFERROR(VLOOKUP($D87&amp;$J87,target_columns[],10,0),"")</f>
        <v xml:space="preserve">Наименование типа ограничения</v>
      </c>
      <c r="J87" s="51" t="s">
        <v>181</v>
      </c>
      <c r="K87" s="60" t="s">
        <v>179</v>
      </c>
      <c r="L87" s="70" t="str">
        <f>IFERROR(VLOOKUP(UPPER(K87&amp;N87),source_columns[],4,0),"")</f>
        <v/>
      </c>
      <c r="M87" s="70" t="str">
        <f>IFERROR(VLOOKUP(UPPER(K87&amp;N87),source_columns[],7,0),"")</f>
        <v/>
      </c>
      <c r="N87" s="39" t="s">
        <v>85</v>
      </c>
      <c r="O87" s="60"/>
      <c r="P87" s="42"/>
      <c r="Q87" s="28" t="str">
        <f>"n306000041_"&amp;IFERROR(VLOOKUP(D87,target_tables[],5,0),"&lt;not found&gt;")</f>
        <v>n306000041_agr_rko_limit_type</v>
      </c>
      <c r="R87" s="60" t="s">
        <v>31</v>
      </c>
      <c r="S87" s="74"/>
      <c r="T87" s="60" t="s">
        <v>33</v>
      </c>
      <c r="U87" s="73">
        <v>45370</v>
      </c>
      <c r="V87" s="60"/>
    </row>
    <row r="88" ht="15" customHeight="1">
      <c r="A88" s="44">
        <v>880</v>
      </c>
      <c r="B88" s="45"/>
      <c r="C88" s="45"/>
      <c r="D88" s="46" t="s">
        <v>182</v>
      </c>
      <c r="E88" s="47" t="str">
        <f>IFERROR(VLOOKUP($D88&amp;$J88,target_columns[],4,0),"")</f>
        <v/>
      </c>
      <c r="F88" s="47" t="str">
        <f>IFERROR(VLOOKUP($D88&amp;$J88,target_columns[],7,0),"")</f>
        <v/>
      </c>
      <c r="G88" s="47" t="str">
        <f>IFERROR(VLOOKUP($D88&amp;$J88,target_columns[],8,0),"")</f>
        <v/>
      </c>
      <c r="H88" s="47" t="str">
        <f>IFERROR(VLOOKUP($D88&amp;$J88,target_columns[],5,0),"")</f>
        <v/>
      </c>
      <c r="I88" s="47" t="str">
        <f>IFERROR(VLOOKUP($D88&amp;$J88,target_columns[],10,0),"")</f>
        <v/>
      </c>
      <c r="J88" s="46" t="s">
        <v>183</v>
      </c>
      <c r="K88" s="45" t="s">
        <v>184</v>
      </c>
      <c r="L88" s="47" t="str">
        <f>IFERROR(VLOOKUP(UPPER(K88&amp;N88),source_columns[],4,0),"")</f>
        <v/>
      </c>
      <c r="M88" s="47" t="str">
        <f>IFERROR(VLOOKUP(UPPER(K88&amp;N88),source_columns[],7,0),"")</f>
        <v/>
      </c>
      <c r="N88" s="45" t="s">
        <v>45</v>
      </c>
      <c r="O88" s="45"/>
      <c r="P88" s="63"/>
      <c r="Q88" s="28" t="str">
        <f>"n306000041_"&amp;IFERROR(VLOOKUP(D88,target_tables[],5,0),"&lt;not found&gt;")</f>
        <v>n306000041_crncy</v>
      </c>
      <c r="R88" s="45" t="s">
        <v>46</v>
      </c>
      <c r="S88" s="29" t="s">
        <v>69</v>
      </c>
      <c r="T88" s="45" t="s">
        <v>33</v>
      </c>
      <c r="U88" s="49">
        <v>45370</v>
      </c>
      <c r="V88" s="45"/>
    </row>
    <row r="89" ht="15" customHeight="1">
      <c r="A89" s="44">
        <v>890</v>
      </c>
      <c r="B89" s="45"/>
      <c r="C89" s="45"/>
      <c r="D89" s="46" t="s">
        <v>182</v>
      </c>
      <c r="E89" s="47" t="str">
        <f>IFERROR(VLOOKUP($D89&amp;$J89,target_columns[],4,0),"")</f>
        <v/>
      </c>
      <c r="F89" s="47" t="str">
        <f>IFERROR(VLOOKUP($D89&amp;$J89,target_columns[],7,0),"")</f>
        <v/>
      </c>
      <c r="G89" s="47" t="str">
        <f>IFERROR(VLOOKUP($D89&amp;$J89,target_columns[],8,0),"")</f>
        <v/>
      </c>
      <c r="H89" s="47" t="str">
        <f>IFERROR(VLOOKUP($D89&amp;$J89,target_columns[],5,0),"")</f>
        <v/>
      </c>
      <c r="I89" s="47" t="str">
        <f>IFERROR(VLOOKUP($D89&amp;$J89,target_columns[],10,0),"")</f>
        <v/>
      </c>
      <c r="J89" s="46" t="s">
        <v>185</v>
      </c>
      <c r="K89" s="45" t="s">
        <v>184</v>
      </c>
      <c r="L89" s="47" t="str">
        <f>IFERROR(VLOOKUP(UPPER(K89&amp;N89),source_columns[],4,0),"")</f>
        <v/>
      </c>
      <c r="M89" s="47" t="str">
        <f>IFERROR(VLOOKUP(UPPER(K89&amp;N89),source_columns[],7,0),"")</f>
        <v/>
      </c>
      <c r="N89" s="45" t="s">
        <v>114</v>
      </c>
      <c r="O89" s="45"/>
      <c r="P89" s="33"/>
      <c r="Q89" s="28" t="str">
        <f>"n306000041_"&amp;IFERROR(VLOOKUP(D89,target_tables[],5,0),"&lt;not found&gt;")</f>
        <v>n306000041_crncy</v>
      </c>
      <c r="R89" s="45" t="s">
        <v>31</v>
      </c>
      <c r="S89" s="55"/>
      <c r="T89" s="45" t="s">
        <v>33</v>
      </c>
      <c r="U89" s="49">
        <v>45370</v>
      </c>
      <c r="V89" s="45"/>
    </row>
    <row r="90" ht="15" customHeight="1">
      <c r="A90" s="44">
        <v>900</v>
      </c>
      <c r="B90" s="45"/>
      <c r="C90" s="45"/>
      <c r="D90" s="46" t="s">
        <v>182</v>
      </c>
      <c r="E90" s="47" t="str">
        <f>IFERROR(VLOOKUP($D90&amp;$J90,target_columns[],4,0),"")</f>
        <v/>
      </c>
      <c r="F90" s="47" t="str">
        <f>IFERROR(VLOOKUP($D90&amp;$J90,target_columns[],7,0),"")</f>
        <v/>
      </c>
      <c r="G90" s="47" t="str">
        <f>IFERROR(VLOOKUP($D90&amp;$J90,target_columns[],8,0),"")</f>
        <v/>
      </c>
      <c r="H90" s="47" t="str">
        <f>IFERROR(VLOOKUP($D90&amp;$J90,target_columns[],5,0),"")</f>
        <v/>
      </c>
      <c r="I90" s="47" t="str">
        <f>IFERROR(VLOOKUP($D90&amp;$J90,target_columns[],10,0),"")</f>
        <v/>
      </c>
      <c r="J90" s="46" t="s">
        <v>186</v>
      </c>
      <c r="K90" s="45" t="s">
        <v>184</v>
      </c>
      <c r="L90" s="47" t="str">
        <f>IFERROR(VLOOKUP(UPPER(K90&amp;N90),source_columns[],4,0),"")</f>
        <v/>
      </c>
      <c r="M90" s="47" t="str">
        <f>IFERROR(VLOOKUP(UPPER(K90&amp;N90),source_columns[],7,0),"")</f>
        <v/>
      </c>
      <c r="N90" s="45" t="s">
        <v>85</v>
      </c>
      <c r="O90" s="45"/>
      <c r="P90" s="33"/>
      <c r="Q90" s="28" t="str">
        <f>"n306000041_"&amp;IFERROR(VLOOKUP(D90,target_tables[],5,0),"&lt;not found&gt;")</f>
        <v>n306000041_crncy</v>
      </c>
      <c r="R90" s="45" t="s">
        <v>31</v>
      </c>
      <c r="S90" s="55"/>
      <c r="T90" s="45" t="s">
        <v>33</v>
      </c>
      <c r="U90" s="49">
        <v>45370</v>
      </c>
      <c r="V90" s="45"/>
    </row>
    <row r="91" s="37" customFormat="1" ht="15" customHeight="1">
      <c r="A91" s="69">
        <v>910</v>
      </c>
      <c r="B91" s="60"/>
      <c r="C91" s="60"/>
      <c r="D91" s="51" t="s">
        <v>182</v>
      </c>
      <c r="E91" s="70" t="str">
        <f>IFERROR(VLOOKUP($D91&amp;$J91,target_columns[],4,0),"")</f>
        <v>text</v>
      </c>
      <c r="F91" s="70" t="str">
        <f>IFERROR(VLOOKUP($D91&amp;$J91,target_columns[],7,0),"")</f>
        <v>No</v>
      </c>
      <c r="G91" s="70" t="str">
        <f>IFERROR(VLOOKUP($D91&amp;$J91,target_columns[],8,0),"")</f>
        <v>No</v>
      </c>
      <c r="H91" s="70" t="str">
        <f>IFERROR(VLOOKUP($D91&amp;$J91,target_columns[],5,0),"")</f>
        <v>NULL</v>
      </c>
      <c r="I91" s="70" t="str">
        <f>IFERROR(VLOOKUP($D91&amp;$J91,target_columns[],10,0),"")</f>
        <v xml:space="preserve">Цифровой код валюты</v>
      </c>
      <c r="J91" s="51" t="s">
        <v>187</v>
      </c>
      <c r="K91" s="60" t="s">
        <v>184</v>
      </c>
      <c r="L91" s="70" t="str">
        <f>IFERROR(VLOOKUP(UPPER(K91&amp;N91),source_columns[],4,0),"")</f>
        <v>text</v>
      </c>
      <c r="M91" s="70" t="str">
        <f>IFERROR(VLOOKUP(UPPER(K91&amp;N91),source_columns[],7,0),"")</f>
        <v xml:space="preserve">Цифровой код валюты из общероссийского классификатора валют</v>
      </c>
      <c r="N91" s="60" t="s">
        <v>37</v>
      </c>
      <c r="O91" s="60"/>
      <c r="P91" s="42"/>
      <c r="Q91" s="28" t="str">
        <f>"n306000041_"&amp;IFERROR(VLOOKUP(D91,target_tables[],5,0),"&lt;not found&gt;")</f>
        <v>n306000041_crncy</v>
      </c>
      <c r="R91" s="60" t="s">
        <v>31</v>
      </c>
      <c r="S91" s="74"/>
      <c r="T91" s="60" t="s">
        <v>33</v>
      </c>
      <c r="U91" s="73">
        <v>45370</v>
      </c>
      <c r="V91" s="60"/>
    </row>
    <row r="92" ht="15" customHeight="1">
      <c r="A92" s="44">
        <v>920</v>
      </c>
      <c r="B92" s="45"/>
      <c r="C92" s="45"/>
      <c r="D92" s="46" t="s">
        <v>188</v>
      </c>
      <c r="E92" s="47" t="str">
        <f>IFERROR(VLOOKUP($D92&amp;$J92,target_columns[],4,0),"")</f>
        <v>uuid</v>
      </c>
      <c r="F92" s="47" t="str">
        <f>IFERROR(VLOOKUP($D92&amp;$J92,target_columns[],7,0),"")</f>
        <v>Yes</v>
      </c>
      <c r="G92" s="47" t="str">
        <f>IFERROR(VLOOKUP($D92&amp;$J92,target_columns[],8,0),"")</f>
        <v>No</v>
      </c>
      <c r="H92" s="47" t="str">
        <f>IFERROR(VLOOKUP($D92&amp;$J92,target_columns[],5,0),"")</f>
        <v xml:space="preserve">NOT NULL</v>
      </c>
      <c r="I92" s="47" t="str">
        <f>IFERROR(VLOOKUP($D92&amp;$J92,target_columns[],10,0),"")</f>
        <v xml:space="preserve">идентификатор подразделения</v>
      </c>
      <c r="J92" s="46" t="s">
        <v>60</v>
      </c>
      <c r="K92" s="45" t="s">
        <v>29</v>
      </c>
      <c r="L92" s="47" t="str">
        <f>IFERROR(VLOOKUP(UPPER(K92&amp;N92),source_columns[],4,0),"")</f>
        <v/>
      </c>
      <c r="M92" s="47" t="str">
        <f>IFERROR(VLOOKUP(UPPER(K92&amp;N92),source_columns[],7,0),"")</f>
        <v/>
      </c>
      <c r="N92" s="45" t="s">
        <v>61</v>
      </c>
      <c r="O92" s="45"/>
      <c r="P92" s="77" t="s">
        <v>189</v>
      </c>
      <c r="Q92" s="28" t="str">
        <f>"n306000041_"&amp;IFERROR(VLOOKUP(D92,target_tables[],5,0),"&lt;not found&gt;")</f>
        <v>n306000041_int_org</v>
      </c>
      <c r="R92" s="45" t="s">
        <v>46</v>
      </c>
      <c r="S92" s="29" t="s">
        <v>69</v>
      </c>
      <c r="T92" s="45" t="s">
        <v>33</v>
      </c>
      <c r="U92" s="49">
        <v>45370</v>
      </c>
      <c r="V92" s="45"/>
    </row>
    <row r="93" ht="15" customHeight="1">
      <c r="A93" s="38">
        <v>930</v>
      </c>
      <c r="B93" s="39"/>
      <c r="C93" s="39"/>
      <c r="D93" s="40" t="s">
        <v>188</v>
      </c>
      <c r="E93" s="41" t="str">
        <f>IFERROR(VLOOKUP($D93&amp;$J93,target_columns[],4,0),"")</f>
        <v>text</v>
      </c>
      <c r="F93" s="41" t="str">
        <f>IFERROR(VLOOKUP($D93&amp;$J93,target_columns[],7,0),"")</f>
        <v>No</v>
      </c>
      <c r="G93" s="41" t="str">
        <f>IFERROR(VLOOKUP($D93&amp;$J93,target_columns[],8,0),"")</f>
        <v>No</v>
      </c>
      <c r="H93" s="41" t="str">
        <f>IFERROR(VLOOKUP($D93&amp;$J93,target_columns[],5,0),"")</f>
        <v>NULL</v>
      </c>
      <c r="I93" s="41" t="str">
        <f>IFERROR(VLOOKUP($D93&amp;$J93,target_columns[],10,0),"")</f>
        <v xml:space="preserve">внутренний номер огранизации, такой как номер филиала или номер рабочей группы</v>
      </c>
      <c r="J93" s="40" t="s">
        <v>190</v>
      </c>
      <c r="K93" s="39" t="s">
        <v>29</v>
      </c>
      <c r="L93" s="41" t="str">
        <f>IFERROR(VLOOKUP(UPPER(K93&amp;N93),source_columns[],4,0),"")</f>
        <v/>
      </c>
      <c r="M93" s="41" t="str">
        <f>IFERROR(VLOOKUP(UPPER(K93&amp;N93),source_columns[],7,0),"")</f>
        <v/>
      </c>
      <c r="N93" s="39" t="s">
        <v>191</v>
      </c>
      <c r="O93" s="39"/>
      <c r="P93" s="74"/>
      <c r="Q93" s="28" t="str">
        <f>"n306000041_"&amp;IFERROR(VLOOKUP(D93,target_tables[],5,0),"&lt;not found&gt;")</f>
        <v>n306000041_int_org</v>
      </c>
      <c r="R93" s="39" t="s">
        <v>31</v>
      </c>
      <c r="S93" s="58"/>
      <c r="T93" s="39" t="s">
        <v>33</v>
      </c>
      <c r="U93" s="43">
        <v>45370</v>
      </c>
      <c r="V93" s="39"/>
    </row>
    <row r="94" ht="15" customHeight="1">
      <c r="A94" s="44">
        <v>940</v>
      </c>
      <c r="B94" s="45"/>
      <c r="C94" s="45"/>
      <c r="D94" s="45" t="s">
        <v>192</v>
      </c>
      <c r="E94" s="47" t="str">
        <f>IFERROR(VLOOKUP($D94&amp;$J94,target_columns[],4,0),"")</f>
        <v>uuid</v>
      </c>
      <c r="F94" s="47" t="str">
        <f>IFERROR(VLOOKUP($D94&amp;$J94,target_columns[],7,0),"")</f>
        <v>Yes</v>
      </c>
      <c r="G94" s="47" t="str">
        <f>IFERROR(VLOOKUP($D94&amp;$J94,target_columns[],8,0),"")</f>
        <v>No</v>
      </c>
      <c r="H94" s="47" t="str">
        <f>IFERROR(VLOOKUP($D94&amp;$J94,target_columns[],5,0),"")</f>
        <v xml:space="preserve">NOT NULL</v>
      </c>
      <c r="I94" s="47" t="str">
        <f>IFERROR(VLOOKUP($D94&amp;$J94,target_columns[],10,0),"")</f>
        <v xml:space="preserve">Уникальный идентификатор ограничения</v>
      </c>
      <c r="J94" s="45" t="s">
        <v>122</v>
      </c>
      <c r="K94" s="45" t="s">
        <v>123</v>
      </c>
      <c r="L94" s="47" t="str">
        <f>IFERROR(VLOOKUP(UPPER(K94&amp;N94),source_columns[],4,0),"")</f>
        <v/>
      </c>
      <c r="M94" s="47" t="str">
        <f>IFERROR(VLOOKUP(UPPER(K94&amp;N94),source_columns[],7,0),"")</f>
        <v/>
      </c>
      <c r="N94" s="45" t="s">
        <v>45</v>
      </c>
      <c r="O94" s="45"/>
      <c r="P94" s="76"/>
      <c r="Q94" s="28" t="str">
        <f>"n306000041_"&amp;IFERROR(VLOOKUP(D94,target_tables[],5,0),"&lt;not found&gt;")</f>
        <v>n306000041_arg_rko_limit_stts</v>
      </c>
      <c r="R94" s="45" t="s">
        <v>46</v>
      </c>
      <c r="S94" s="54" t="s">
        <v>48</v>
      </c>
      <c r="T94" s="45" t="s">
        <v>33</v>
      </c>
      <c r="U94" s="49">
        <v>45404</v>
      </c>
      <c r="V94" s="45"/>
    </row>
    <row r="95" ht="15" customHeight="1">
      <c r="A95" s="44">
        <v>950</v>
      </c>
      <c r="B95" s="45"/>
      <c r="C95" s="45"/>
      <c r="D95" s="45" t="s">
        <v>192</v>
      </c>
      <c r="E95" s="47" t="str">
        <f>IFERROR(VLOOKUP($D95&amp;$J95,target_columns[],4,0),"")</f>
        <v>uuid</v>
      </c>
      <c r="F95" s="47" t="str">
        <f>IFERROR(VLOOKUP($D95&amp;$J95,target_columns[],7,0),"")</f>
        <v>No</v>
      </c>
      <c r="G95" s="47" t="str">
        <f>IFERROR(VLOOKUP($D95&amp;$J95,target_columns[],8,0),"")</f>
        <v>Yes</v>
      </c>
      <c r="H95" s="47" t="str">
        <f>IFERROR(VLOOKUP($D95&amp;$J95,target_columns[],5,0),"")</f>
        <v>NULL</v>
      </c>
      <c r="I95" s="47" t="str">
        <f>IFERROR(VLOOKUP($D95&amp;$J95,target_columns[],10,0),"")</f>
        <v xml:space="preserve">Статус ограничения</v>
      </c>
      <c r="J95" s="45" t="s">
        <v>193</v>
      </c>
      <c r="K95" s="45" t="s">
        <v>123</v>
      </c>
      <c r="L95" s="47" t="str">
        <f>IFERROR(VLOOKUP(UPPER(K95&amp;N95),source_columns[],4,0),"")</f>
        <v/>
      </c>
      <c r="M95" s="47" t="str">
        <f>IFERROR(VLOOKUP(UPPER(K95&amp;N95),source_columns[],7,0),"")</f>
        <v/>
      </c>
      <c r="N95" s="45" t="s">
        <v>139</v>
      </c>
      <c r="O95" s="45" t="s">
        <v>194</v>
      </c>
      <c r="P95" s="33"/>
      <c r="Q95" s="28" t="str">
        <f>"n306000041_"&amp;IFERROR(VLOOKUP(D95,target_tables[],5,0),"&lt;not found&gt;")</f>
        <v>n306000041_arg_rko_limit_stts</v>
      </c>
      <c r="R95" s="45" t="s">
        <v>31</v>
      </c>
      <c r="S95" s="55"/>
      <c r="T95" s="45" t="s">
        <v>33</v>
      </c>
      <c r="U95" s="49">
        <v>45404</v>
      </c>
      <c r="V95" s="45"/>
    </row>
    <row r="96" ht="15" customHeight="1">
      <c r="A96" s="44">
        <v>960</v>
      </c>
      <c r="B96" s="45"/>
      <c r="C96" s="45"/>
      <c r="D96" s="45" t="s">
        <v>192</v>
      </c>
      <c r="E96" s="47" t="str">
        <f>IFERROR(VLOOKUP($D96&amp;$J96,target_columns[],4,0),"")</f>
        <v>date</v>
      </c>
      <c r="F96" s="47" t="str">
        <f>IFERROR(VLOOKUP($D96&amp;$J96,target_columns[],7,0),"")</f>
        <v>No</v>
      </c>
      <c r="G96" s="47" t="str">
        <f>IFERROR(VLOOKUP($D96&amp;$J96,target_columns[],8,0),"")</f>
        <v>No</v>
      </c>
      <c r="H96" s="47" t="str">
        <f>IFERROR(VLOOKUP($D96&amp;$J96,target_columns[],5,0),"")</f>
        <v>NULL</v>
      </c>
      <c r="I96" s="47" t="str">
        <f>IFERROR(VLOOKUP($D96&amp;$J96,target_columns[],10,0),"")</f>
        <v xml:space="preserve">Дата начала статус</v>
      </c>
      <c r="J96" s="45" t="s">
        <v>49</v>
      </c>
      <c r="K96" s="45" t="s">
        <v>123</v>
      </c>
      <c r="L96" s="47" t="str">
        <f>IFERROR(VLOOKUP(UPPER(K96&amp;N96),source_columns[],4,0),"")</f>
        <v/>
      </c>
      <c r="M96" s="47" t="str">
        <f>IFERROR(VLOOKUP(UPPER(K96&amp;N96),source_columns[],7,0),"")</f>
        <v/>
      </c>
      <c r="N96" s="45" t="s">
        <v>51</v>
      </c>
      <c r="O96" s="45"/>
      <c r="P96" s="33"/>
      <c r="Q96" s="28" t="str">
        <f>"n306000041_"&amp;IFERROR(VLOOKUP(D96,target_tables[],5,0),"&lt;not found&gt;")</f>
        <v>n306000041_arg_rko_limit_stts</v>
      </c>
      <c r="R96" s="45" t="s">
        <v>53</v>
      </c>
      <c r="S96" s="55"/>
      <c r="T96" s="45" t="s">
        <v>33</v>
      </c>
      <c r="U96" s="49">
        <v>45404</v>
      </c>
      <c r="V96" s="45"/>
    </row>
    <row r="97" ht="15" customHeight="1">
      <c r="A97" s="38">
        <v>970</v>
      </c>
      <c r="B97" s="39"/>
      <c r="C97" s="39"/>
      <c r="D97" s="39" t="s">
        <v>192</v>
      </c>
      <c r="E97" s="41" t="str">
        <f>IFERROR(VLOOKUP($D97&amp;$J97,target_columns[],4,0),"")</f>
        <v>date</v>
      </c>
      <c r="F97" s="41" t="str">
        <f>IFERROR(VLOOKUP($D97&amp;$J97,target_columns[],7,0),"")</f>
        <v>No</v>
      </c>
      <c r="G97" s="41" t="str">
        <f>IFERROR(VLOOKUP($D97&amp;$J97,target_columns[],8,0),"")</f>
        <v>No</v>
      </c>
      <c r="H97" s="41" t="str">
        <f>IFERROR(VLOOKUP($D97&amp;$J97,target_columns[],5,0),"")</f>
        <v>NULL</v>
      </c>
      <c r="I97" s="41" t="str">
        <f>IFERROR(VLOOKUP($D97&amp;$J97,target_columns[],10,0),"")</f>
        <v xml:space="preserve">Дата окончания статуса</v>
      </c>
      <c r="J97" s="39" t="s">
        <v>54</v>
      </c>
      <c r="K97" s="39" t="s">
        <v>123</v>
      </c>
      <c r="L97" s="41" t="str">
        <f>IFERROR(VLOOKUP(UPPER(K97&amp;N97),source_columns[],4,0),"")</f>
        <v/>
      </c>
      <c r="M97" s="41" t="str">
        <f>IFERROR(VLOOKUP(UPPER(K97&amp;N97),source_columns[],7,0),"")</f>
        <v/>
      </c>
      <c r="N97" s="39" t="s">
        <v>50</v>
      </c>
      <c r="O97" s="39"/>
      <c r="P97" s="42"/>
      <c r="Q97" s="28" t="str">
        <f>"n306000041_"&amp;IFERROR(VLOOKUP(D97,target_tables[],5,0),"&lt;not found&gt;")</f>
        <v>n306000041_arg_rko_limit_stts</v>
      </c>
      <c r="R97" s="45" t="s">
        <v>56</v>
      </c>
      <c r="S97" s="74"/>
      <c r="T97" s="45" t="s">
        <v>33</v>
      </c>
      <c r="U97" s="49">
        <v>45404</v>
      </c>
      <c r="V97" s="45"/>
    </row>
    <row r="98" ht="15" customHeight="1">
      <c r="A98" s="78">
        <v>980</v>
      </c>
      <c r="B98" s="45"/>
      <c r="C98" s="45"/>
      <c r="D98" s="27" t="s">
        <v>195</v>
      </c>
      <c r="E98" s="28" t="str">
        <f>IFERROR(VLOOKUP($D98&amp;$J98, target_columns[], 4, 0),"")</f>
        <v>DATE</v>
      </c>
      <c r="F98" s="28" t="str">
        <f>IFERROR(VLOOKUP($D98&amp;$J98, target_columns[], 7, 0),"")</f>
        <v>Yes</v>
      </c>
      <c r="G98" s="28" t="str">
        <f>IFERROR(VLOOKUP($D98&amp;$J98, target_columns[], 8, 0),"")</f>
        <v>No</v>
      </c>
      <c r="H98" s="28" t="str">
        <f>IFERROR(VLOOKUP($D98&amp;$J98, target_columns[], 5, 0),"")</f>
        <v xml:space="preserve">NOT NULL</v>
      </c>
      <c r="I98" s="28" t="str">
        <f>IFERROR(VLOOKUP($D98&amp;$J98, target_columns[], 10, 0),"")</f>
        <v xml:space="preserve">Дата начала действия</v>
      </c>
      <c r="J98" s="27" t="s">
        <v>49</v>
      </c>
      <c r="K98" s="26" t="s">
        <v>29</v>
      </c>
      <c r="L98" s="28"/>
      <c r="M98" s="28"/>
      <c r="N98" s="45" t="s">
        <v>51</v>
      </c>
      <c r="O98" s="26" t="s">
        <v>52</v>
      </c>
      <c r="P98" s="29"/>
      <c r="Q98" s="28" t="str">
        <f>"n306000041_"&amp;IFERROR(VLOOKUP(D98,target_tables[],5,0),"&lt;not found&gt;")</f>
        <v>n306000041_agr_rko_idfn</v>
      </c>
      <c r="R98" s="45" t="s">
        <v>53</v>
      </c>
      <c r="S98" s="54" t="s">
        <v>48</v>
      </c>
      <c r="T98" s="26" t="s">
        <v>196</v>
      </c>
      <c r="U98" s="31">
        <v>45975</v>
      </c>
      <c r="V98" s="26"/>
    </row>
    <row r="99" ht="15" customHeight="1">
      <c r="A99" s="78">
        <v>990</v>
      </c>
      <c r="B99" s="26"/>
      <c r="C99" s="26"/>
      <c r="D99" s="27" t="s">
        <v>195</v>
      </c>
      <c r="E99" s="28" t="str">
        <f>IFERROR(VLOOKUP($D99&amp;$J99,target_columns[],4,0),"")</f>
        <v>DATE</v>
      </c>
      <c r="F99" s="28" t="str">
        <f>IFERROR(VLOOKUP($D99&amp;$J99,target_columns[],7,0),"")</f>
        <v>No</v>
      </c>
      <c r="G99" s="28" t="str">
        <f>IFERROR(VLOOKUP($D99&amp;$J99,target_columns[],8,0),"")</f>
        <v>No</v>
      </c>
      <c r="H99" s="28" t="str">
        <f>IFERROR(VLOOKUP($D99&amp;$J99,target_columns[],5,0),"")</f>
        <v>NULL</v>
      </c>
      <c r="I99" s="28" t="str">
        <f>IFERROR(VLOOKUP($D99&amp;$J99,target_columns[],10,0),"")</f>
        <v xml:space="preserve">Дата окончания действия</v>
      </c>
      <c r="J99" s="27" t="s">
        <v>54</v>
      </c>
      <c r="K99" s="26" t="s">
        <v>29</v>
      </c>
      <c r="L99" s="28"/>
      <c r="M99" s="28"/>
      <c r="N99" s="26" t="s">
        <v>50</v>
      </c>
      <c r="O99" s="26" t="s">
        <v>55</v>
      </c>
      <c r="P99" s="33"/>
      <c r="Q99" s="28" t="str">
        <f>"n306000041_"&amp;IFERROR(VLOOKUP(D99,target_tables[],5,0),"&lt;not found&gt;")</f>
        <v>n306000041_agr_rko_idfn</v>
      </c>
      <c r="R99" s="45" t="s">
        <v>56</v>
      </c>
      <c r="S99" s="55"/>
      <c r="T99" s="26" t="s">
        <v>196</v>
      </c>
      <c r="U99" s="31">
        <v>45975</v>
      </c>
      <c r="V99" s="26"/>
    </row>
    <row r="100" ht="15" customHeight="1">
      <c r="A100" s="78">
        <v>1000</v>
      </c>
      <c r="B100" s="26"/>
      <c r="C100" s="26"/>
      <c r="D100" s="27" t="s">
        <v>195</v>
      </c>
      <c r="E100" s="28" t="str">
        <f>IFERROR(VLOOKUP($D100&amp;$J100,target_columns[],4,0),"")</f>
        <v>UUID</v>
      </c>
      <c r="F100" s="28" t="str">
        <f>IFERROR(VLOOKUP($D100&amp;$J100,target_columns[],7,0),"")</f>
        <v>No</v>
      </c>
      <c r="G100" s="28" t="str">
        <f>IFERROR(VLOOKUP($D100&amp;$J100,target_columns[],8,0),"")</f>
        <v>Yes</v>
      </c>
      <c r="H100" s="28" t="str">
        <f>IFERROR(VLOOKUP($D100&amp;$J100,target_columns[],5,0),"")</f>
        <v>NULL</v>
      </c>
      <c r="I100" s="28" t="str">
        <f>IFERROR(VLOOKUP($D100&amp;$J100,target_columns[],10,0),"")</f>
        <v xml:space="preserve">Идентификатор назначения договора</v>
      </c>
      <c r="J100" s="27" t="s">
        <v>42</v>
      </c>
      <c r="K100" s="26" t="s">
        <v>29</v>
      </c>
      <c r="L100" s="28" t="str">
        <f>IFERROR(VLOOKUP(UPPER(K100&amp;N100),source_columns[],4,0),"")</f>
        <v/>
      </c>
      <c r="M100" s="28" t="str">
        <f>IFERROR(VLOOKUP(UPPER(K100&amp;N100),source_columns[],7,0),"")</f>
        <v/>
      </c>
      <c r="N100" s="35" t="s">
        <v>43</v>
      </c>
      <c r="O100" s="26"/>
      <c r="P100" s="33"/>
      <c r="Q100" s="28" t="str">
        <f>"n306000041_"&amp;IFERROR(VLOOKUP(D100,target_tables[],5,0),"&lt;not found&gt;")</f>
        <v>n306000041_agr_rko_idfn</v>
      </c>
      <c r="R100" s="26" t="s">
        <v>31</v>
      </c>
      <c r="S100" s="55"/>
      <c r="T100" s="26" t="s">
        <v>196</v>
      </c>
      <c r="U100" s="31">
        <v>45975</v>
      </c>
      <c r="V100" s="26"/>
    </row>
    <row r="101" ht="15" customHeight="1">
      <c r="A101" s="78">
        <v>1010</v>
      </c>
      <c r="B101" s="26"/>
      <c r="C101" s="26"/>
      <c r="D101" s="40" t="s">
        <v>195</v>
      </c>
      <c r="E101" s="41" t="str">
        <f>IFERROR(VLOOKUP($D101&amp;$J101,target_columns[],4,0),"")</f>
        <v>UUID</v>
      </c>
      <c r="F101" s="41" t="str">
        <f>IFERROR(VLOOKUP($D101&amp;$J101,target_columns[],7,0),"")</f>
        <v>Yes</v>
      </c>
      <c r="G101" s="41" t="str">
        <f>IFERROR(VLOOKUP($D101&amp;$J101,target_columns[],8,0),"")</f>
        <v>Yes</v>
      </c>
      <c r="H101" s="41" t="str">
        <f>IFERROR(VLOOKUP($D101&amp;$J101,target_columns[],5,0),"")</f>
        <v xml:space="preserve">NOT NULL</v>
      </c>
      <c r="I101" s="41" t="str">
        <f>IFERROR(VLOOKUP($D101&amp;$J101,target_columns[],10,0),"")</f>
        <v xml:space="preserve">Идентификатор договора</v>
      </c>
      <c r="J101" s="40" t="s">
        <v>44</v>
      </c>
      <c r="K101" s="39" t="s">
        <v>29</v>
      </c>
      <c r="L101" s="41" t="str">
        <f>IFERROR(VLOOKUP(UPPER(K101&amp;N101),source_columns[],4,0),"")</f>
        <v/>
      </c>
      <c r="M101" s="41" t="str">
        <f>IFERROR(VLOOKUP(UPPER(K101&amp;N101),source_columns[],7,0),"")</f>
        <v/>
      </c>
      <c r="N101" s="39" t="s">
        <v>45</v>
      </c>
      <c r="O101" s="39"/>
      <c r="P101" s="42"/>
      <c r="Q101" s="28" t="str">
        <f>"n306000041_"&amp;IFERROR(VLOOKUP(D101,target_tables[],5,0),"&lt;not found&gt;")</f>
        <v>n306000041_agr_rko_idfn</v>
      </c>
      <c r="R101" s="39" t="s">
        <v>46</v>
      </c>
      <c r="S101" s="74"/>
      <c r="T101" s="39" t="s">
        <v>196</v>
      </c>
      <c r="U101" s="43">
        <v>45975</v>
      </c>
      <c r="V101" s="39"/>
    </row>
    <row r="102" ht="15" customHeight="1">
      <c r="A102" s="32"/>
      <c r="B102" s="26"/>
      <c r="C102" s="26"/>
      <c r="D102" s="26"/>
      <c r="E102" s="28"/>
      <c r="F102" s="28"/>
      <c r="G102" s="28"/>
      <c r="H102" s="28"/>
      <c r="I102" s="28"/>
      <c r="J102" s="26"/>
      <c r="K102" s="26"/>
      <c r="L102" s="28"/>
      <c r="M102" s="28"/>
      <c r="N102" s="26"/>
      <c r="O102" s="26"/>
      <c r="P102" s="26"/>
      <c r="Q102" s="28"/>
      <c r="R102" s="26"/>
      <c r="S102" s="79"/>
      <c r="T102" s="26"/>
      <c r="U102" s="31">
        <v>45370</v>
      </c>
      <c r="V102" s="80"/>
    </row>
    <row r="103" ht="15" customHeight="1">
      <c r="A103" s="32"/>
      <c r="B103" s="26"/>
      <c r="C103" s="26"/>
      <c r="D103" s="26"/>
      <c r="E103" s="28"/>
      <c r="F103" s="28"/>
      <c r="G103" s="28"/>
      <c r="H103" s="28"/>
      <c r="I103" s="28"/>
      <c r="J103" s="26"/>
      <c r="K103" s="26"/>
      <c r="L103" s="28"/>
      <c r="M103" s="28"/>
      <c r="N103" s="26"/>
      <c r="O103" s="26"/>
      <c r="P103" s="26"/>
      <c r="Q103" s="28"/>
      <c r="R103" s="26"/>
      <c r="S103" s="79"/>
      <c r="T103" s="26"/>
      <c r="U103" s="31">
        <v>45370</v>
      </c>
      <c r="V103" s="80"/>
    </row>
    <row r="104" ht="15" customHeight="1">
      <c r="A104" s="32"/>
      <c r="B104" s="26"/>
      <c r="C104" s="26"/>
      <c r="D104" s="26"/>
      <c r="E104" s="28"/>
      <c r="F104" s="28"/>
      <c r="G104" s="28"/>
      <c r="H104" s="28"/>
      <c r="I104" s="28"/>
      <c r="J104" s="26"/>
      <c r="K104" s="26"/>
      <c r="L104" s="28"/>
      <c r="M104" s="28"/>
      <c r="N104" s="26"/>
      <c r="O104" s="26"/>
      <c r="P104" s="26"/>
      <c r="Q104" s="28"/>
      <c r="R104" s="26"/>
      <c r="S104" s="79"/>
      <c r="T104" s="26"/>
      <c r="U104" s="31">
        <v>45370</v>
      </c>
      <c r="V104" s="80"/>
    </row>
    <row r="105" ht="15" customHeight="1">
      <c r="A105" s="32"/>
      <c r="B105" s="26"/>
      <c r="C105" s="26"/>
      <c r="D105" s="26"/>
      <c r="E105" s="28"/>
      <c r="F105" s="28"/>
      <c r="G105" s="28"/>
      <c r="H105" s="28"/>
      <c r="I105" s="28"/>
      <c r="J105" s="26"/>
      <c r="K105" s="26"/>
      <c r="L105" s="28"/>
      <c r="M105" s="28"/>
      <c r="N105" s="26"/>
      <c r="O105" s="26"/>
      <c r="P105" s="26"/>
      <c r="Q105" s="28"/>
      <c r="R105" s="26"/>
      <c r="S105" s="79"/>
      <c r="T105" s="26"/>
      <c r="U105" s="31">
        <v>45370</v>
      </c>
      <c r="V105" s="80"/>
    </row>
    <row r="106" ht="15" customHeight="1">
      <c r="A106" s="32"/>
      <c r="B106" s="26"/>
      <c r="C106" s="26"/>
      <c r="D106" s="26"/>
      <c r="E106" s="28"/>
      <c r="F106" s="28"/>
      <c r="G106" s="28"/>
      <c r="H106" s="28"/>
      <c r="I106" s="28"/>
      <c r="J106" s="26"/>
      <c r="K106" s="26"/>
      <c r="L106" s="28"/>
      <c r="M106" s="28"/>
      <c r="N106" s="26"/>
      <c r="O106" s="26"/>
      <c r="P106" s="26"/>
      <c r="Q106" s="28"/>
      <c r="R106" s="26"/>
      <c r="S106" s="79"/>
      <c r="T106" s="26"/>
      <c r="U106" s="31">
        <v>45370</v>
      </c>
      <c r="V106" s="80"/>
    </row>
    <row r="107" ht="15" customHeight="1">
      <c r="A107" s="32"/>
      <c r="B107" s="26"/>
      <c r="C107" s="26"/>
      <c r="D107" s="26"/>
      <c r="E107" s="28"/>
      <c r="F107" s="28"/>
      <c r="G107" s="28"/>
      <c r="H107" s="28"/>
      <c r="I107" s="28"/>
      <c r="J107" s="26"/>
      <c r="K107" s="26"/>
      <c r="L107" s="28"/>
      <c r="M107" s="28"/>
      <c r="N107" s="26"/>
      <c r="O107" s="26"/>
      <c r="P107" s="26"/>
      <c r="Q107" s="28"/>
      <c r="R107" s="26"/>
      <c r="S107" s="79"/>
      <c r="T107" s="26"/>
      <c r="U107" s="31">
        <v>45370</v>
      </c>
      <c r="V107" s="26"/>
    </row>
    <row r="108" ht="15" customHeight="1">
      <c r="A108" s="32"/>
      <c r="B108" s="26"/>
      <c r="C108" s="26"/>
      <c r="D108" s="26"/>
      <c r="E108" s="28"/>
      <c r="F108" s="28"/>
      <c r="G108" s="28"/>
      <c r="H108" s="28"/>
      <c r="I108" s="28"/>
      <c r="J108" s="26"/>
      <c r="K108" s="26"/>
      <c r="L108" s="28"/>
      <c r="M108" s="28"/>
      <c r="N108" s="26"/>
      <c r="O108" s="26"/>
      <c r="P108" s="26"/>
      <c r="Q108" s="28"/>
      <c r="R108" s="26"/>
      <c r="S108" s="79"/>
      <c r="T108" s="26"/>
      <c r="U108" s="31">
        <v>45370</v>
      </c>
      <c r="V108" s="80"/>
    </row>
    <row r="109" ht="15" customHeight="1">
      <c r="A109" s="32"/>
      <c r="B109" s="26"/>
      <c r="C109" s="26"/>
      <c r="D109" s="26"/>
      <c r="E109" s="28"/>
      <c r="F109" s="28"/>
      <c r="G109" s="28"/>
      <c r="H109" s="28"/>
      <c r="I109" s="28"/>
      <c r="J109" s="26"/>
      <c r="K109" s="26"/>
      <c r="L109" s="28"/>
      <c r="M109" s="28"/>
      <c r="N109" s="26"/>
      <c r="O109" s="26"/>
      <c r="P109" s="26"/>
      <c r="Q109" s="28"/>
      <c r="R109" s="26"/>
      <c r="S109" s="79"/>
      <c r="T109" s="26"/>
      <c r="U109" s="31">
        <v>45370</v>
      </c>
      <c r="V109" s="26"/>
    </row>
    <row r="110" ht="15" customHeight="1">
      <c r="A110" s="32"/>
      <c r="B110" s="26"/>
      <c r="C110" s="26"/>
      <c r="D110" s="26"/>
      <c r="E110" s="28"/>
      <c r="F110" s="28"/>
      <c r="G110" s="28"/>
      <c r="H110" s="28"/>
      <c r="I110" s="28"/>
      <c r="J110" s="26"/>
      <c r="K110" s="26"/>
      <c r="L110" s="28"/>
      <c r="M110" s="28"/>
      <c r="N110" s="26"/>
      <c r="O110" s="26"/>
      <c r="P110" s="26"/>
      <c r="Q110" s="28"/>
      <c r="R110" s="26"/>
      <c r="S110" s="79"/>
      <c r="T110" s="26"/>
      <c r="U110" s="31">
        <v>45370</v>
      </c>
      <c r="V110" s="26"/>
    </row>
    <row r="111" ht="15" customHeight="1">
      <c r="A111" s="32"/>
      <c r="B111" s="26"/>
      <c r="C111" s="26"/>
      <c r="D111" s="26"/>
      <c r="E111" s="28"/>
      <c r="F111" s="28"/>
      <c r="G111" s="28"/>
      <c r="H111" s="28"/>
      <c r="I111" s="28"/>
      <c r="J111" s="26"/>
      <c r="K111" s="26"/>
      <c r="L111" s="28"/>
      <c r="M111" s="28"/>
      <c r="N111" s="26"/>
      <c r="O111" s="26"/>
      <c r="P111" s="26"/>
      <c r="Q111" s="28"/>
      <c r="R111" s="26"/>
      <c r="S111" s="79"/>
      <c r="T111" s="26"/>
      <c r="U111" s="31">
        <v>45370</v>
      </c>
      <c r="V111" s="26"/>
    </row>
    <row r="112" ht="15" customHeight="1">
      <c r="A112" s="32"/>
      <c r="B112" s="26"/>
      <c r="C112" s="26"/>
      <c r="D112" s="26"/>
      <c r="E112" s="28"/>
      <c r="F112" s="28"/>
      <c r="G112" s="28"/>
      <c r="H112" s="28"/>
      <c r="I112" s="28"/>
      <c r="J112" s="26"/>
      <c r="K112" s="26"/>
      <c r="L112" s="28"/>
      <c r="M112" s="28"/>
      <c r="N112" s="26"/>
      <c r="O112" s="26"/>
      <c r="P112" s="26"/>
      <c r="Q112" s="28"/>
      <c r="R112" s="26"/>
      <c r="S112" s="79"/>
      <c r="T112" s="26"/>
      <c r="U112" s="31">
        <v>45370</v>
      </c>
      <c r="V112" s="26"/>
    </row>
    <row r="113" ht="15" customHeight="1">
      <c r="A113" s="32"/>
      <c r="B113" s="26"/>
      <c r="C113" s="26"/>
      <c r="D113" s="26"/>
      <c r="E113" s="28"/>
      <c r="F113" s="28"/>
      <c r="G113" s="28"/>
      <c r="H113" s="28"/>
      <c r="I113" s="28"/>
      <c r="J113" s="26"/>
      <c r="K113" s="26"/>
      <c r="L113" s="28"/>
      <c r="M113" s="28"/>
      <c r="N113" s="26"/>
      <c r="O113" s="26"/>
      <c r="P113" s="26"/>
      <c r="Q113" s="28"/>
      <c r="R113" s="26"/>
      <c r="S113" s="79"/>
      <c r="T113" s="26"/>
      <c r="U113" s="31">
        <v>45370</v>
      </c>
      <c r="V113" s="26"/>
    </row>
    <row r="114" ht="15" customHeight="1">
      <c r="A114" s="32"/>
      <c r="B114" s="26"/>
      <c r="C114" s="26"/>
      <c r="D114" s="26"/>
      <c r="E114" s="28"/>
      <c r="F114" s="28"/>
      <c r="G114" s="28"/>
      <c r="H114" s="28"/>
      <c r="I114" s="28"/>
      <c r="J114" s="26"/>
      <c r="K114" s="26"/>
      <c r="L114" s="28"/>
      <c r="M114" s="28"/>
      <c r="N114" s="26"/>
      <c r="O114" s="26"/>
      <c r="P114" s="26"/>
      <c r="Q114" s="28"/>
      <c r="R114" s="26"/>
      <c r="S114" s="79"/>
      <c r="T114" s="26"/>
      <c r="U114" s="31">
        <v>45370</v>
      </c>
      <c r="V114" s="26"/>
    </row>
    <row r="115" ht="15" customHeight="1">
      <c r="A115" s="32"/>
      <c r="B115" s="26"/>
      <c r="C115" s="26"/>
      <c r="D115" s="26"/>
      <c r="E115" s="28"/>
      <c r="F115" s="28"/>
      <c r="G115" s="28"/>
      <c r="H115" s="28"/>
      <c r="I115" s="28"/>
      <c r="J115" s="26"/>
      <c r="K115" s="26"/>
      <c r="L115" s="28"/>
      <c r="M115" s="28"/>
      <c r="N115" s="26"/>
      <c r="O115" s="26"/>
      <c r="P115" s="26"/>
      <c r="Q115" s="28"/>
      <c r="R115" s="26"/>
      <c r="S115" s="79"/>
      <c r="T115" s="26"/>
      <c r="U115" s="31">
        <v>45370</v>
      </c>
      <c r="V115" s="26"/>
    </row>
    <row r="116" ht="15" customHeight="1">
      <c r="A116" s="32"/>
      <c r="B116" s="26"/>
      <c r="C116" s="26"/>
      <c r="D116" s="26"/>
      <c r="E116" s="28"/>
      <c r="F116" s="28"/>
      <c r="G116" s="28"/>
      <c r="H116" s="28"/>
      <c r="I116" s="28"/>
      <c r="J116" s="26"/>
      <c r="K116" s="26"/>
      <c r="L116" s="28"/>
      <c r="M116" s="28"/>
      <c r="N116" s="26"/>
      <c r="O116" s="26"/>
      <c r="P116" s="26"/>
      <c r="Q116" s="28"/>
      <c r="R116" s="26"/>
      <c r="S116" s="79"/>
      <c r="T116" s="26"/>
      <c r="U116" s="31">
        <v>45370</v>
      </c>
      <c r="V116" s="26"/>
    </row>
    <row r="117" ht="15" customHeight="1">
      <c r="A117" s="32"/>
      <c r="B117" s="26"/>
      <c r="C117" s="26"/>
      <c r="D117" s="26"/>
      <c r="E117" s="28"/>
      <c r="F117" s="28"/>
      <c r="G117" s="28"/>
      <c r="H117" s="28"/>
      <c r="I117" s="28"/>
      <c r="J117" s="26"/>
      <c r="K117" s="26"/>
      <c r="L117" s="28"/>
      <c r="M117" s="28"/>
      <c r="N117" s="26"/>
      <c r="O117" s="26"/>
      <c r="P117" s="26"/>
      <c r="Q117" s="28"/>
      <c r="R117" s="26"/>
      <c r="S117" s="79"/>
      <c r="T117" s="26"/>
      <c r="U117" s="31">
        <v>45370</v>
      </c>
      <c r="V117" s="26"/>
    </row>
    <row r="118" ht="15" customHeight="1">
      <c r="A118" s="32"/>
      <c r="B118" s="26"/>
      <c r="C118" s="26"/>
      <c r="D118" s="27"/>
      <c r="E118" s="28"/>
      <c r="F118" s="28"/>
      <c r="G118" s="28"/>
      <c r="H118" s="28"/>
      <c r="I118" s="28"/>
      <c r="J118" s="26"/>
      <c r="K118" s="26"/>
      <c r="L118" s="28"/>
      <c r="M118" s="28"/>
      <c r="N118" s="26"/>
      <c r="O118" s="26"/>
      <c r="P118" s="26"/>
      <c r="Q118" s="28"/>
      <c r="R118" s="26"/>
      <c r="S118" s="79"/>
      <c r="T118" s="26"/>
      <c r="U118" s="31">
        <v>45370</v>
      </c>
      <c r="V118" s="26"/>
    </row>
    <row r="119" ht="15" customHeight="1">
      <c r="A119" s="32"/>
      <c r="B119" s="26"/>
      <c r="C119" s="26"/>
      <c r="D119" s="27"/>
      <c r="E119" s="28"/>
      <c r="F119" s="28"/>
      <c r="G119" s="28"/>
      <c r="H119" s="28"/>
      <c r="I119" s="28"/>
      <c r="J119" s="26"/>
      <c r="K119" s="26"/>
      <c r="L119" s="28"/>
      <c r="M119" s="28"/>
      <c r="N119" s="26"/>
      <c r="O119" s="26"/>
      <c r="P119" s="26"/>
      <c r="Q119" s="28"/>
      <c r="R119" s="26"/>
      <c r="S119" s="79"/>
      <c r="T119" s="26"/>
      <c r="U119" s="31">
        <v>45493</v>
      </c>
      <c r="V119" s="26"/>
    </row>
    <row r="120" ht="15" customHeight="1">
      <c r="A120" s="32"/>
      <c r="B120" s="26"/>
      <c r="C120" s="26"/>
      <c r="D120" s="27"/>
      <c r="E120" s="28"/>
      <c r="F120" s="28"/>
      <c r="G120" s="28"/>
      <c r="H120" s="28"/>
      <c r="I120" s="28"/>
      <c r="J120" s="26"/>
      <c r="K120" s="26"/>
      <c r="L120" s="28"/>
      <c r="M120" s="28"/>
      <c r="N120" s="26"/>
      <c r="O120" s="26"/>
      <c r="P120" s="26"/>
      <c r="Q120" s="28"/>
      <c r="R120" s="26"/>
      <c r="S120" s="79"/>
      <c r="T120" s="26"/>
      <c r="U120" s="31">
        <v>45494</v>
      </c>
      <c r="V120" s="26"/>
    </row>
    <row r="121" ht="15" customHeight="1">
      <c r="A121" s="32"/>
      <c r="B121" s="26"/>
      <c r="C121" s="26"/>
      <c r="D121" s="27"/>
      <c r="E121" s="28"/>
      <c r="F121" s="28"/>
      <c r="G121" s="28"/>
      <c r="H121" s="28"/>
      <c r="I121" s="28"/>
      <c r="J121" s="26"/>
      <c r="K121" s="26"/>
      <c r="L121" s="28"/>
      <c r="M121" s="28"/>
      <c r="N121" s="26"/>
      <c r="O121" s="26"/>
      <c r="P121" s="26"/>
      <c r="Q121" s="28"/>
      <c r="R121" s="26"/>
      <c r="S121" s="79"/>
      <c r="T121" s="26"/>
      <c r="U121" s="31">
        <v>45495</v>
      </c>
      <c r="V121" s="26"/>
    </row>
    <row r="122" ht="15" customHeight="1">
      <c r="A122" s="32"/>
      <c r="B122" s="26"/>
      <c r="C122" s="26"/>
      <c r="D122" s="27"/>
      <c r="E122" s="28"/>
      <c r="F122" s="28"/>
      <c r="G122" s="28"/>
      <c r="H122" s="28"/>
      <c r="I122" s="28"/>
      <c r="J122" s="26"/>
      <c r="K122" s="26"/>
      <c r="L122" s="28"/>
      <c r="M122" s="28"/>
      <c r="N122" s="26"/>
      <c r="O122" s="26"/>
      <c r="P122" s="26"/>
      <c r="Q122" s="28"/>
      <c r="R122" s="26"/>
      <c r="S122" s="79"/>
      <c r="T122" s="26"/>
      <c r="U122" s="31">
        <v>45496</v>
      </c>
      <c r="V122" s="26"/>
    </row>
    <row r="123" ht="15" customHeight="1">
      <c r="A123" s="32"/>
      <c r="B123" s="26"/>
      <c r="C123" s="26"/>
      <c r="D123" s="27"/>
      <c r="E123" s="28"/>
      <c r="F123" s="28"/>
      <c r="G123" s="28"/>
      <c r="H123" s="28"/>
      <c r="I123" s="28"/>
      <c r="J123" s="26"/>
      <c r="K123" s="26"/>
      <c r="L123" s="28"/>
      <c r="M123" s="28"/>
      <c r="N123" s="26"/>
      <c r="O123" s="26"/>
      <c r="P123" s="26"/>
      <c r="Q123" s="28"/>
      <c r="R123" s="26"/>
      <c r="S123" s="79"/>
      <c r="T123" s="26"/>
      <c r="U123" s="31">
        <v>45497</v>
      </c>
      <c r="V123" s="26"/>
    </row>
    <row r="124" ht="15" customHeight="1">
      <c r="A124" s="32"/>
      <c r="B124" s="26"/>
      <c r="C124" s="26"/>
      <c r="D124" s="27"/>
      <c r="E124" s="28"/>
      <c r="F124" s="28"/>
      <c r="G124" s="28"/>
      <c r="H124" s="28"/>
      <c r="I124" s="28"/>
      <c r="J124" s="26"/>
      <c r="K124" s="26"/>
      <c r="L124" s="28"/>
      <c r="M124" s="28"/>
      <c r="N124" s="26"/>
      <c r="O124" s="26"/>
      <c r="P124" s="26"/>
      <c r="Q124" s="28"/>
      <c r="R124" s="26"/>
      <c r="S124" s="79"/>
      <c r="T124" s="26"/>
      <c r="U124" s="31">
        <v>45498</v>
      </c>
      <c r="V124" s="26"/>
    </row>
    <row r="125" ht="15" customHeight="1">
      <c r="A125" s="32"/>
      <c r="B125" s="26"/>
      <c r="C125" s="26"/>
      <c r="D125" s="81"/>
      <c r="E125" s="28"/>
      <c r="F125" s="28"/>
      <c r="G125" s="28"/>
      <c r="H125" s="28"/>
      <c r="I125" s="28"/>
      <c r="J125" s="26"/>
      <c r="K125" s="26"/>
      <c r="L125" s="28"/>
      <c r="M125" s="28"/>
      <c r="N125" s="26"/>
      <c r="O125" s="26"/>
      <c r="P125" s="26"/>
      <c r="Q125" s="28"/>
      <c r="R125" s="26"/>
      <c r="S125" s="79"/>
      <c r="T125" s="26"/>
      <c r="U125" s="31"/>
      <c r="V125" s="26"/>
    </row>
    <row r="126" ht="15" customHeight="1">
      <c r="A126" s="32"/>
      <c r="B126" s="26"/>
      <c r="C126" s="26"/>
      <c r="D126" s="81"/>
      <c r="E126" s="28"/>
      <c r="F126" s="28"/>
      <c r="G126" s="28"/>
      <c r="H126" s="28"/>
      <c r="I126" s="28"/>
      <c r="J126" s="26"/>
      <c r="K126" s="26"/>
      <c r="L126" s="28"/>
      <c r="M126" s="28"/>
      <c r="N126" s="26"/>
      <c r="O126" s="26"/>
      <c r="P126" s="26"/>
      <c r="Q126" s="28"/>
      <c r="R126" s="26"/>
      <c r="S126" s="79"/>
      <c r="T126" s="26"/>
      <c r="U126" s="31"/>
      <c r="V126" s="26"/>
    </row>
    <row r="127" ht="15" customHeight="1">
      <c r="A127" s="32"/>
      <c r="B127" s="26"/>
      <c r="C127" s="26"/>
      <c r="D127" s="81"/>
      <c r="E127" s="28"/>
      <c r="F127" s="28"/>
      <c r="G127" s="28"/>
      <c r="H127" s="28"/>
      <c r="I127" s="28"/>
      <c r="J127" s="26"/>
      <c r="K127" s="26"/>
      <c r="L127" s="28"/>
      <c r="M127" s="28"/>
      <c r="N127" s="26"/>
      <c r="O127" s="26"/>
      <c r="P127" s="26"/>
      <c r="Q127" s="28"/>
      <c r="R127" s="26"/>
      <c r="S127" s="79"/>
      <c r="T127" s="26"/>
      <c r="U127" s="31"/>
      <c r="V127" s="80"/>
    </row>
    <row r="128" ht="15" customHeight="1">
      <c r="A128" s="32"/>
      <c r="B128" s="26"/>
      <c r="C128" s="26"/>
      <c r="D128" s="27"/>
      <c r="E128" s="28"/>
      <c r="F128" s="28"/>
      <c r="G128" s="28"/>
      <c r="H128" s="28"/>
      <c r="I128" s="28"/>
      <c r="J128" s="26"/>
      <c r="K128" s="26"/>
      <c r="L128" s="28"/>
      <c r="M128" s="28"/>
      <c r="N128" s="26"/>
      <c r="O128" s="26"/>
      <c r="P128" s="26"/>
      <c r="Q128" s="28"/>
      <c r="R128" s="26"/>
      <c r="S128" s="79"/>
      <c r="T128" s="26"/>
      <c r="U128" s="31"/>
      <c r="V128" s="26"/>
    </row>
    <row r="129" ht="15" customHeight="1">
      <c r="A129" s="32"/>
      <c r="B129" s="26"/>
      <c r="C129" s="26"/>
      <c r="D129" s="27"/>
      <c r="E129" s="28"/>
      <c r="F129" s="28"/>
      <c r="G129" s="28"/>
      <c r="H129" s="28"/>
      <c r="I129" s="28"/>
      <c r="J129" s="26"/>
      <c r="K129" s="26"/>
      <c r="L129" s="28"/>
      <c r="M129" s="28"/>
      <c r="N129" s="26"/>
      <c r="O129" s="26"/>
      <c r="P129" s="26"/>
      <c r="Q129" s="28"/>
      <c r="R129" s="26"/>
      <c r="S129" s="79"/>
      <c r="T129" s="26"/>
      <c r="U129" s="31"/>
      <c r="V129" s="26"/>
    </row>
    <row r="130" ht="15" customHeight="1">
      <c r="A130" s="32"/>
      <c r="B130" s="26"/>
      <c r="C130" s="26"/>
      <c r="D130" s="27"/>
      <c r="E130" s="28"/>
      <c r="F130" s="28"/>
      <c r="G130" s="28"/>
      <c r="H130" s="28"/>
      <c r="I130" s="28"/>
      <c r="J130" s="26"/>
      <c r="K130" s="26"/>
      <c r="L130" s="28"/>
      <c r="M130" s="28"/>
      <c r="N130" s="26"/>
      <c r="O130" s="26"/>
      <c r="P130" s="26"/>
      <c r="Q130" s="28"/>
      <c r="R130" s="26"/>
      <c r="S130" s="79"/>
      <c r="T130" s="26"/>
      <c r="U130" s="31"/>
      <c r="V130" s="26"/>
    </row>
    <row r="131" ht="15" customHeight="1">
      <c r="A131" s="32"/>
      <c r="B131" s="26"/>
      <c r="C131" s="26"/>
      <c r="D131" s="27"/>
      <c r="E131" s="28"/>
      <c r="F131" s="28"/>
      <c r="G131" s="28"/>
      <c r="H131" s="28"/>
      <c r="I131" s="28"/>
      <c r="J131" s="26"/>
      <c r="K131" s="26"/>
      <c r="L131" s="28"/>
      <c r="M131" s="28"/>
      <c r="N131" s="26"/>
      <c r="O131" s="26"/>
      <c r="P131" s="26"/>
      <c r="Q131" s="28"/>
      <c r="R131" s="26"/>
      <c r="S131" s="79"/>
      <c r="T131" s="26"/>
      <c r="U131" s="31"/>
      <c r="V131" s="26"/>
    </row>
    <row r="132" ht="15" customHeight="1">
      <c r="A132" s="32"/>
      <c r="B132" s="26"/>
      <c r="C132" s="26"/>
      <c r="D132" s="27"/>
      <c r="E132" s="28"/>
      <c r="F132" s="28"/>
      <c r="G132" s="28"/>
      <c r="H132" s="28"/>
      <c r="I132" s="28"/>
      <c r="J132" s="26"/>
      <c r="K132" s="26"/>
      <c r="L132" s="28"/>
      <c r="M132" s="28"/>
      <c r="N132" s="26"/>
      <c r="O132" s="26"/>
      <c r="P132" s="26"/>
      <c r="Q132" s="28"/>
      <c r="R132" s="26"/>
      <c r="S132" s="79"/>
      <c r="T132" s="26"/>
      <c r="U132" s="31"/>
      <c r="V132" s="26"/>
    </row>
    <row r="133" ht="15" customHeight="1">
      <c r="A133" s="32"/>
      <c r="B133" s="26"/>
      <c r="C133" s="26"/>
      <c r="D133" s="27"/>
      <c r="E133" s="28"/>
      <c r="F133" s="28"/>
      <c r="G133" s="28"/>
      <c r="H133" s="28"/>
      <c r="I133" s="28"/>
      <c r="J133" s="26"/>
      <c r="K133" s="26"/>
      <c r="L133" s="28"/>
      <c r="M133" s="28"/>
      <c r="N133" s="26"/>
      <c r="O133" s="26"/>
      <c r="P133" s="26"/>
      <c r="Q133" s="28"/>
      <c r="R133" s="26"/>
      <c r="S133" s="79"/>
      <c r="T133" s="26"/>
      <c r="U133" s="31"/>
      <c r="V133" s="26"/>
    </row>
    <row r="134" ht="15" customHeight="1">
      <c r="A134" s="32"/>
      <c r="B134" s="26"/>
      <c r="C134" s="26"/>
      <c r="D134" s="27"/>
      <c r="E134" s="28"/>
      <c r="F134" s="28"/>
      <c r="G134" s="28"/>
      <c r="H134" s="28"/>
      <c r="I134" s="28"/>
      <c r="J134" s="26"/>
      <c r="K134" s="26"/>
      <c r="L134" s="28"/>
      <c r="M134" s="28"/>
      <c r="N134" s="26"/>
      <c r="O134" s="26"/>
      <c r="P134" s="26"/>
      <c r="Q134" s="28"/>
      <c r="R134" s="26"/>
      <c r="S134" s="79"/>
      <c r="T134" s="26"/>
      <c r="U134" s="31"/>
      <c r="V134" s="26"/>
    </row>
    <row r="135" ht="15" customHeight="1">
      <c r="A135" s="32"/>
      <c r="B135" s="26"/>
      <c r="C135" s="26"/>
      <c r="D135" s="27"/>
      <c r="E135" s="28"/>
      <c r="F135" s="28"/>
      <c r="G135" s="28"/>
      <c r="H135" s="28"/>
      <c r="I135" s="28"/>
      <c r="J135" s="26"/>
      <c r="K135" s="26"/>
      <c r="L135" s="28"/>
      <c r="M135" s="28"/>
      <c r="N135" s="26"/>
      <c r="O135" s="26"/>
      <c r="P135" s="26"/>
      <c r="Q135" s="28"/>
      <c r="R135" s="26"/>
      <c r="S135" s="79"/>
      <c r="T135" s="26"/>
      <c r="U135" s="31"/>
      <c r="V135" s="26"/>
    </row>
    <row r="136" ht="15" customHeight="1">
      <c r="A136" s="32"/>
      <c r="B136" s="26"/>
      <c r="C136" s="26"/>
      <c r="D136" s="27"/>
      <c r="E136" s="28"/>
      <c r="F136" s="28"/>
      <c r="G136" s="28"/>
      <c r="H136" s="28"/>
      <c r="I136" s="28"/>
      <c r="J136" s="26"/>
      <c r="K136" s="26"/>
      <c r="L136" s="28"/>
      <c r="M136" s="28"/>
      <c r="N136" s="26"/>
      <c r="O136" s="26"/>
      <c r="P136" s="26"/>
      <c r="Q136" s="28"/>
      <c r="R136" s="26"/>
      <c r="S136" s="79"/>
      <c r="T136" s="26"/>
      <c r="U136" s="31"/>
      <c r="V136" s="26"/>
    </row>
    <row r="137" ht="15" customHeight="1">
      <c r="A137" s="32"/>
      <c r="B137" s="26"/>
      <c r="C137" s="26"/>
      <c r="D137" s="27"/>
      <c r="E137" s="28"/>
      <c r="F137" s="28"/>
      <c r="G137" s="28"/>
      <c r="H137" s="28"/>
      <c r="I137" s="28"/>
      <c r="J137" s="26"/>
      <c r="K137" s="26"/>
      <c r="L137" s="28"/>
      <c r="M137" s="28"/>
      <c r="N137" s="26"/>
      <c r="O137" s="26"/>
      <c r="P137" s="26"/>
      <c r="Q137" s="28"/>
      <c r="R137" s="26"/>
      <c r="S137" s="79"/>
      <c r="T137" s="26"/>
      <c r="U137" s="31"/>
      <c r="V137" s="26"/>
    </row>
    <row r="138" ht="15" customHeight="1">
      <c r="A138" s="32"/>
      <c r="B138" s="26"/>
      <c r="C138" s="26"/>
      <c r="D138" s="27"/>
      <c r="E138" s="28"/>
      <c r="F138" s="28"/>
      <c r="G138" s="28"/>
      <c r="H138" s="28"/>
      <c r="I138" s="28"/>
      <c r="J138" s="26"/>
      <c r="K138" s="26"/>
      <c r="L138" s="28"/>
      <c r="M138" s="28"/>
      <c r="N138" s="26"/>
      <c r="O138" s="26"/>
      <c r="P138" s="26"/>
      <c r="Q138" s="28"/>
      <c r="R138" s="26"/>
      <c r="S138" s="79"/>
      <c r="T138" s="26"/>
      <c r="U138" s="31"/>
      <c r="V138" s="82"/>
    </row>
    <row r="139" ht="15" customHeight="1">
      <c r="A139" s="32"/>
      <c r="B139" s="26"/>
      <c r="C139" s="26"/>
      <c r="D139" s="27"/>
      <c r="E139" s="28"/>
      <c r="F139" s="28"/>
      <c r="G139" s="28"/>
      <c r="H139" s="28"/>
      <c r="I139" s="28"/>
      <c r="J139" s="26"/>
      <c r="K139" s="26"/>
      <c r="L139" s="28"/>
      <c r="M139" s="28"/>
      <c r="N139" s="26"/>
      <c r="O139" s="26"/>
      <c r="P139" s="26"/>
      <c r="Q139" s="28"/>
      <c r="R139" s="26"/>
      <c r="S139" s="79"/>
      <c r="T139" s="26"/>
      <c r="U139" s="31"/>
      <c r="V139" s="26"/>
    </row>
    <row r="140" ht="15" customHeight="1">
      <c r="A140" s="32"/>
      <c r="B140" s="26"/>
      <c r="C140" s="26"/>
      <c r="D140" s="27"/>
      <c r="E140" s="28"/>
      <c r="F140" s="28"/>
      <c r="G140" s="28"/>
      <c r="H140" s="28"/>
      <c r="I140" s="28"/>
      <c r="J140" s="26"/>
      <c r="K140" s="26"/>
      <c r="L140" s="28"/>
      <c r="M140" s="28"/>
      <c r="N140" s="26"/>
      <c r="O140" s="26"/>
      <c r="P140" s="26"/>
      <c r="Q140" s="28"/>
      <c r="R140" s="26"/>
      <c r="S140" s="79"/>
      <c r="T140" s="26"/>
      <c r="U140" s="31"/>
      <c r="V140" s="26"/>
    </row>
    <row r="141" ht="15" customHeight="1">
      <c r="A141" s="32"/>
      <c r="B141" s="26"/>
      <c r="C141" s="26"/>
      <c r="D141" s="27"/>
      <c r="E141" s="28"/>
      <c r="F141" s="28"/>
      <c r="G141" s="28"/>
      <c r="H141" s="28"/>
      <c r="I141" s="28"/>
      <c r="J141" s="26"/>
      <c r="K141" s="26"/>
      <c r="L141" s="28"/>
      <c r="M141" s="28"/>
      <c r="N141" s="26"/>
      <c r="O141" s="26"/>
      <c r="P141" s="26"/>
      <c r="Q141" s="28"/>
      <c r="R141" s="26"/>
      <c r="S141" s="79"/>
      <c r="T141" s="26"/>
      <c r="U141" s="31"/>
      <c r="V141" s="26"/>
    </row>
    <row r="142" ht="15" customHeight="1">
      <c r="A142" s="32"/>
      <c r="B142" s="26"/>
      <c r="C142" s="26"/>
      <c r="D142" s="27"/>
      <c r="E142" s="28"/>
      <c r="F142" s="28"/>
      <c r="G142" s="28"/>
      <c r="H142" s="28"/>
      <c r="I142" s="28"/>
      <c r="J142" s="26"/>
      <c r="K142" s="26"/>
      <c r="L142" s="28"/>
      <c r="M142" s="28"/>
      <c r="N142" s="26"/>
      <c r="O142" s="26"/>
      <c r="P142" s="26"/>
      <c r="Q142" s="28"/>
      <c r="R142" s="26"/>
      <c r="S142" s="79"/>
      <c r="T142" s="26"/>
      <c r="U142" s="31"/>
      <c r="V142" s="26"/>
    </row>
    <row r="143" ht="15" customHeight="1">
      <c r="A143" s="32"/>
      <c r="B143" s="26"/>
      <c r="C143" s="26"/>
      <c r="D143" s="27"/>
      <c r="E143" s="28"/>
      <c r="F143" s="28"/>
      <c r="G143" s="28"/>
      <c r="H143" s="28"/>
      <c r="I143" s="28"/>
      <c r="J143" s="26"/>
      <c r="K143" s="26"/>
      <c r="L143" s="28"/>
      <c r="M143" s="28"/>
      <c r="N143" s="26"/>
      <c r="O143" s="26"/>
      <c r="P143" s="26"/>
      <c r="Q143" s="28"/>
      <c r="R143" s="26"/>
      <c r="S143" s="79"/>
      <c r="T143" s="26"/>
      <c r="U143" s="31"/>
      <c r="V143" s="82"/>
    </row>
    <row r="144" ht="15" customHeight="1">
      <c r="A144" s="32"/>
      <c r="B144" s="26"/>
      <c r="C144" s="26"/>
      <c r="D144" s="27"/>
      <c r="E144" s="28"/>
      <c r="F144" s="28"/>
      <c r="G144" s="28"/>
      <c r="H144" s="28"/>
      <c r="I144" s="28"/>
      <c r="J144" s="26"/>
      <c r="K144" s="26"/>
      <c r="L144" s="28"/>
      <c r="M144" s="28"/>
      <c r="N144" s="26"/>
      <c r="O144" s="26"/>
      <c r="P144" s="26"/>
      <c r="Q144" s="28"/>
      <c r="R144" s="26"/>
      <c r="S144" s="79"/>
      <c r="T144" s="26"/>
      <c r="U144" s="31"/>
      <c r="V144" s="26"/>
    </row>
    <row r="145" ht="15" customHeight="1">
      <c r="A145" s="32"/>
      <c r="B145" s="26"/>
      <c r="C145" s="26"/>
      <c r="D145" s="27"/>
      <c r="E145" s="28"/>
      <c r="F145" s="28"/>
      <c r="G145" s="28"/>
      <c r="H145" s="28"/>
      <c r="I145" s="28"/>
      <c r="J145" s="26"/>
      <c r="K145" s="26"/>
      <c r="L145" s="28"/>
      <c r="M145" s="28"/>
      <c r="N145" s="26"/>
      <c r="O145" s="26"/>
      <c r="P145" s="26"/>
      <c r="Q145" s="28"/>
      <c r="R145" s="26"/>
      <c r="S145" s="79"/>
      <c r="T145" s="26"/>
      <c r="U145" s="31"/>
      <c r="V145" s="26"/>
    </row>
    <row r="146" ht="15" customHeight="1">
      <c r="A146" s="32"/>
      <c r="B146" s="26"/>
      <c r="C146" s="26"/>
      <c r="D146" s="27"/>
      <c r="E146" s="28"/>
      <c r="F146" s="28"/>
      <c r="G146" s="28"/>
      <c r="H146" s="28"/>
      <c r="I146" s="28"/>
      <c r="J146" s="26"/>
      <c r="K146" s="26"/>
      <c r="L146" s="28"/>
      <c r="M146" s="28"/>
      <c r="N146" s="26"/>
      <c r="O146" s="26"/>
      <c r="P146" s="26"/>
      <c r="Q146" s="28"/>
      <c r="R146" s="26"/>
      <c r="S146" s="79"/>
      <c r="T146" s="26"/>
      <c r="U146" s="31"/>
      <c r="V146" s="26"/>
    </row>
    <row r="147" ht="15" customHeight="1">
      <c r="A147" s="32"/>
      <c r="B147" s="26"/>
      <c r="C147" s="26"/>
      <c r="D147" s="27"/>
      <c r="E147" s="28"/>
      <c r="F147" s="28"/>
      <c r="G147" s="28"/>
      <c r="H147" s="28"/>
      <c r="I147" s="28"/>
      <c r="J147" s="26"/>
      <c r="K147" s="26"/>
      <c r="L147" s="28"/>
      <c r="M147" s="28"/>
      <c r="N147" s="26"/>
      <c r="O147" s="26"/>
      <c r="P147" s="26"/>
      <c r="Q147" s="28"/>
      <c r="R147" s="26"/>
      <c r="S147" s="79"/>
      <c r="T147" s="26"/>
      <c r="U147" s="31"/>
      <c r="V147" s="26"/>
    </row>
    <row r="148" ht="15" customHeight="1">
      <c r="A148" s="32"/>
      <c r="B148" s="26"/>
      <c r="C148" s="26"/>
      <c r="D148" s="27"/>
      <c r="E148" s="28"/>
      <c r="F148" s="28"/>
      <c r="G148" s="28"/>
      <c r="H148" s="28"/>
      <c r="I148" s="28"/>
      <c r="J148" s="26"/>
      <c r="K148" s="26"/>
      <c r="L148" s="28"/>
      <c r="M148" s="28"/>
      <c r="N148" s="26"/>
      <c r="O148" s="26"/>
      <c r="P148" s="26"/>
      <c r="Q148" s="28"/>
      <c r="R148" s="26"/>
      <c r="S148" s="79"/>
      <c r="T148" s="26"/>
      <c r="U148" s="31"/>
      <c r="V148" s="80"/>
    </row>
    <row r="149" ht="15" customHeight="1">
      <c r="A149" s="32"/>
      <c r="B149" s="26"/>
      <c r="C149" s="26"/>
      <c r="D149" s="27"/>
      <c r="E149" s="28"/>
      <c r="F149" s="28"/>
      <c r="G149" s="28"/>
      <c r="H149" s="28"/>
      <c r="I149" s="28"/>
      <c r="J149" s="26"/>
      <c r="K149" s="26"/>
      <c r="L149" s="28"/>
      <c r="M149" s="28"/>
      <c r="N149" s="26"/>
      <c r="O149" s="26"/>
      <c r="P149" s="26"/>
      <c r="Q149" s="28"/>
      <c r="R149" s="26"/>
      <c r="S149" s="79"/>
      <c r="T149" s="26"/>
      <c r="U149" s="31"/>
      <c r="V149" s="26"/>
    </row>
    <row r="150" ht="15" customHeight="1">
      <c r="A150" s="32"/>
      <c r="B150" s="26"/>
      <c r="C150" s="26"/>
      <c r="D150" s="27"/>
      <c r="E150" s="28"/>
      <c r="F150" s="28"/>
      <c r="G150" s="28"/>
      <c r="H150" s="28"/>
      <c r="I150" s="28"/>
      <c r="J150" s="26"/>
      <c r="K150" s="26"/>
      <c r="L150" s="28"/>
      <c r="M150" s="28"/>
      <c r="N150" s="26"/>
      <c r="O150" s="26"/>
      <c r="P150" s="26"/>
      <c r="Q150" s="28"/>
      <c r="R150" s="26"/>
      <c r="S150" s="79"/>
      <c r="T150" s="26"/>
      <c r="U150" s="31"/>
      <c r="V150" s="26"/>
    </row>
    <row r="151" ht="15" customHeight="1">
      <c r="A151" s="32"/>
      <c r="B151" s="26"/>
      <c r="C151" s="26"/>
      <c r="D151" s="27"/>
      <c r="E151" s="28"/>
      <c r="F151" s="28"/>
      <c r="G151" s="28"/>
      <c r="H151" s="28"/>
      <c r="I151" s="28"/>
      <c r="J151" s="26"/>
      <c r="K151" s="26"/>
      <c r="L151" s="28"/>
      <c r="M151" s="28"/>
      <c r="N151" s="26"/>
      <c r="O151" s="26"/>
      <c r="P151" s="26"/>
      <c r="Q151" s="28"/>
      <c r="R151" s="26"/>
      <c r="S151" s="79"/>
      <c r="T151" s="26"/>
      <c r="U151" s="31"/>
      <c r="V151" s="26"/>
    </row>
    <row r="152" ht="15" customHeight="1">
      <c r="A152" s="32"/>
      <c r="B152" s="26"/>
      <c r="C152" s="26"/>
      <c r="D152" s="27"/>
      <c r="E152" s="28"/>
      <c r="F152" s="28"/>
      <c r="G152" s="28"/>
      <c r="H152" s="28"/>
      <c r="I152" s="28"/>
      <c r="J152" s="26"/>
      <c r="K152" s="26"/>
      <c r="L152" s="28"/>
      <c r="M152" s="28"/>
      <c r="N152" s="26"/>
      <c r="O152" s="26"/>
      <c r="P152" s="26"/>
      <c r="Q152" s="28"/>
      <c r="R152" s="26"/>
      <c r="S152" s="79"/>
      <c r="T152" s="26"/>
      <c r="U152" s="31"/>
      <c r="V152" s="26"/>
    </row>
    <row r="153" ht="15" customHeight="1">
      <c r="A153" s="32"/>
      <c r="B153" s="26"/>
      <c r="C153" s="26"/>
      <c r="D153" s="27"/>
      <c r="E153" s="28"/>
      <c r="F153" s="28"/>
      <c r="G153" s="28"/>
      <c r="H153" s="28"/>
      <c r="I153" s="28"/>
      <c r="J153" s="26"/>
      <c r="K153" s="26"/>
      <c r="L153" s="28"/>
      <c r="M153" s="28"/>
      <c r="N153" s="26"/>
      <c r="O153" s="26"/>
      <c r="P153" s="26"/>
      <c r="Q153" s="28"/>
      <c r="R153" s="26"/>
      <c r="S153" s="79"/>
      <c r="T153" s="26"/>
      <c r="U153" s="31"/>
      <c r="V153" s="80"/>
    </row>
    <row r="154" ht="15" customHeight="1">
      <c r="A154" s="32"/>
      <c r="B154" s="26"/>
      <c r="C154" s="26"/>
      <c r="D154" s="27"/>
      <c r="E154" s="28"/>
      <c r="F154" s="28"/>
      <c r="G154" s="28"/>
      <c r="H154" s="28"/>
      <c r="I154" s="28"/>
      <c r="J154" s="26"/>
      <c r="K154" s="26"/>
      <c r="L154" s="28"/>
      <c r="M154" s="28"/>
      <c r="N154" s="26"/>
      <c r="O154" s="26"/>
      <c r="P154" s="26"/>
      <c r="Q154" s="28"/>
      <c r="R154" s="26"/>
      <c r="S154" s="79"/>
      <c r="T154" s="26"/>
      <c r="U154" s="31"/>
      <c r="V154" s="26"/>
    </row>
    <row r="155" ht="15" customHeight="1">
      <c r="A155" s="32"/>
      <c r="B155" s="26"/>
      <c r="C155" s="26"/>
      <c r="D155" s="27"/>
      <c r="E155" s="28"/>
      <c r="F155" s="28"/>
      <c r="G155" s="28"/>
      <c r="H155" s="28"/>
      <c r="I155" s="28"/>
      <c r="J155" s="26"/>
      <c r="K155" s="26"/>
      <c r="L155" s="28"/>
      <c r="M155" s="28"/>
      <c r="N155" s="26"/>
      <c r="O155" s="26"/>
      <c r="P155" s="26"/>
      <c r="Q155" s="28"/>
      <c r="R155" s="26"/>
      <c r="S155" s="79"/>
      <c r="T155" s="26"/>
      <c r="U155" s="31"/>
      <c r="V155" s="26"/>
    </row>
    <row r="156" ht="15" customHeight="1">
      <c r="A156" s="32"/>
      <c r="B156" s="26"/>
      <c r="C156" s="26"/>
      <c r="D156" s="27"/>
      <c r="E156" s="28"/>
      <c r="F156" s="28"/>
      <c r="G156" s="28"/>
      <c r="H156" s="28"/>
      <c r="I156" s="28"/>
      <c r="J156" s="26"/>
      <c r="K156" s="26"/>
      <c r="L156" s="28"/>
      <c r="M156" s="28"/>
      <c r="N156" s="26"/>
      <c r="O156" s="26"/>
      <c r="P156" s="26"/>
      <c r="Q156" s="28"/>
      <c r="R156" s="26"/>
      <c r="S156" s="79"/>
      <c r="T156" s="26"/>
      <c r="U156" s="31"/>
      <c r="V156" s="26"/>
    </row>
    <row r="157" ht="15" customHeight="1">
      <c r="A157" s="32"/>
      <c r="B157" s="26"/>
      <c r="C157" s="26"/>
      <c r="D157" s="27"/>
      <c r="E157" s="28"/>
      <c r="F157" s="28"/>
      <c r="G157" s="28"/>
      <c r="H157" s="28"/>
      <c r="I157" s="28"/>
      <c r="J157" s="26"/>
      <c r="K157" s="26"/>
      <c r="L157" s="28"/>
      <c r="M157" s="28"/>
      <c r="N157" s="26"/>
      <c r="O157" s="26"/>
      <c r="P157" s="26"/>
      <c r="Q157" s="28"/>
      <c r="R157" s="26"/>
      <c r="S157" s="79"/>
      <c r="T157" s="26"/>
      <c r="U157" s="31"/>
      <c r="V157" s="26"/>
    </row>
    <row r="158" ht="15" customHeight="1">
      <c r="A158" s="32"/>
      <c r="B158" s="26"/>
      <c r="C158" s="26"/>
      <c r="D158" s="27"/>
      <c r="E158" s="28"/>
      <c r="F158" s="28"/>
      <c r="G158" s="28"/>
      <c r="H158" s="28"/>
      <c r="I158" s="28"/>
      <c r="J158" s="26"/>
      <c r="K158" s="26"/>
      <c r="L158" s="28"/>
      <c r="M158" s="28"/>
      <c r="N158" s="26"/>
      <c r="O158" s="26"/>
      <c r="P158" s="26"/>
      <c r="Q158" s="28"/>
      <c r="R158" s="26"/>
      <c r="S158" s="79"/>
      <c r="T158" s="26"/>
      <c r="U158" s="31"/>
      <c r="V158" s="80"/>
    </row>
    <row r="159" ht="15" customHeight="1">
      <c r="A159" s="32"/>
      <c r="B159" s="26"/>
      <c r="C159" s="26"/>
      <c r="D159" s="27"/>
      <c r="E159" s="28"/>
      <c r="F159" s="28"/>
      <c r="G159" s="28"/>
      <c r="H159" s="28"/>
      <c r="I159" s="28"/>
      <c r="J159" s="26"/>
      <c r="K159" s="26"/>
      <c r="L159" s="28"/>
      <c r="M159" s="28"/>
      <c r="N159" s="26"/>
      <c r="O159" s="26"/>
      <c r="P159" s="26"/>
      <c r="Q159" s="28"/>
      <c r="R159" s="26"/>
      <c r="S159" s="79"/>
      <c r="T159" s="26"/>
      <c r="U159" s="31"/>
      <c r="V159" s="26"/>
    </row>
    <row r="160" ht="15" customHeight="1">
      <c r="A160" s="32"/>
      <c r="B160" s="26"/>
      <c r="C160" s="26"/>
      <c r="D160" s="27"/>
      <c r="E160" s="28"/>
      <c r="F160" s="28"/>
      <c r="G160" s="28"/>
      <c r="H160" s="28"/>
      <c r="I160" s="28"/>
      <c r="J160" s="26"/>
      <c r="K160" s="26"/>
      <c r="L160" s="28"/>
      <c r="M160" s="28"/>
      <c r="N160" s="26"/>
      <c r="O160" s="26"/>
      <c r="P160" s="26"/>
      <c r="Q160" s="28"/>
      <c r="R160" s="26"/>
      <c r="S160" s="79"/>
      <c r="T160" s="26"/>
      <c r="U160" s="31"/>
      <c r="V160" s="26"/>
    </row>
    <row r="161" ht="15" customHeight="1">
      <c r="A161" s="32"/>
      <c r="B161" s="26"/>
      <c r="C161" s="26"/>
      <c r="D161" s="81"/>
      <c r="E161" s="28"/>
      <c r="F161" s="28"/>
      <c r="G161" s="28"/>
      <c r="H161" s="28"/>
      <c r="I161" s="28"/>
      <c r="J161" s="26"/>
      <c r="K161" s="26"/>
      <c r="L161" s="28"/>
      <c r="M161" s="28"/>
      <c r="N161" s="26"/>
      <c r="O161" s="26"/>
      <c r="P161" s="26"/>
      <c r="Q161" s="28"/>
      <c r="R161" s="26"/>
      <c r="S161" s="79"/>
      <c r="T161" s="26"/>
      <c r="U161" s="31"/>
      <c r="V161" s="26"/>
    </row>
    <row r="162" ht="15" customHeight="1">
      <c r="A162" s="32"/>
      <c r="B162" s="26"/>
      <c r="C162" s="26"/>
      <c r="D162" s="81"/>
      <c r="E162" s="28"/>
      <c r="F162" s="28"/>
      <c r="G162" s="28"/>
      <c r="H162" s="28"/>
      <c r="I162" s="28"/>
      <c r="J162" s="26"/>
      <c r="K162" s="26"/>
      <c r="L162" s="28"/>
      <c r="M162" s="28"/>
      <c r="N162" s="26"/>
      <c r="O162" s="26"/>
      <c r="P162" s="26"/>
      <c r="Q162" s="28"/>
      <c r="R162" s="26"/>
      <c r="S162" s="79"/>
      <c r="T162" s="26"/>
      <c r="U162" s="31"/>
      <c r="V162" s="26"/>
    </row>
    <row r="163" s="26" customFormat="1" ht="15" customHeight="1">
      <c r="A163" s="32"/>
      <c r="D163" s="81"/>
      <c r="E163" s="28"/>
      <c r="F163" s="28"/>
      <c r="G163" s="28"/>
      <c r="H163" s="28"/>
      <c r="I163" s="28"/>
      <c r="L163" s="28"/>
      <c r="M163" s="28"/>
      <c r="Q163" s="28"/>
      <c r="S163" s="79"/>
      <c r="U163" s="31"/>
      <c r="V163" s="80"/>
      <c r="W163" s="83"/>
    </row>
    <row r="164" ht="15" customHeight="1">
      <c r="A164" s="32"/>
      <c r="B164" s="26"/>
      <c r="C164" s="26"/>
      <c r="D164" s="81"/>
      <c r="E164" s="28"/>
      <c r="F164" s="28"/>
      <c r="G164" s="28"/>
      <c r="H164" s="28"/>
      <c r="I164" s="28"/>
      <c r="J164" s="26"/>
      <c r="K164" s="26"/>
      <c r="L164" s="28"/>
      <c r="M164" s="28"/>
      <c r="N164" s="26"/>
      <c r="O164" s="26"/>
      <c r="P164" s="26"/>
      <c r="Q164" s="28"/>
      <c r="R164" s="26"/>
      <c r="S164" s="79"/>
      <c r="T164" s="26"/>
      <c r="U164" s="31"/>
      <c r="V164" s="80"/>
    </row>
    <row r="165" ht="15" customHeight="1">
      <c r="A165" s="32"/>
      <c r="B165" s="26"/>
      <c r="C165" s="26"/>
      <c r="D165" s="27"/>
      <c r="E165" s="28"/>
      <c r="F165" s="28"/>
      <c r="G165" s="28"/>
      <c r="H165" s="28"/>
      <c r="I165" s="28"/>
      <c r="J165" s="26"/>
      <c r="K165" s="26"/>
      <c r="L165" s="28"/>
      <c r="M165" s="28"/>
      <c r="N165" s="26"/>
      <c r="O165" s="26"/>
      <c r="P165" s="26"/>
      <c r="Q165" s="28"/>
      <c r="R165" s="26"/>
      <c r="S165" s="79"/>
      <c r="T165" s="26"/>
      <c r="U165" s="31"/>
      <c r="V165" s="26"/>
    </row>
    <row r="166" ht="15" customHeight="1">
      <c r="A166" s="32"/>
      <c r="B166" s="26"/>
      <c r="C166" s="26"/>
      <c r="D166" s="27"/>
      <c r="E166" s="28"/>
      <c r="F166" s="28"/>
      <c r="G166" s="28"/>
      <c r="H166" s="28"/>
      <c r="I166" s="28"/>
      <c r="J166" s="26"/>
      <c r="K166" s="26"/>
      <c r="L166" s="28"/>
      <c r="M166" s="28"/>
      <c r="N166" s="26"/>
      <c r="O166" s="26"/>
      <c r="P166" s="26"/>
      <c r="Q166" s="28"/>
      <c r="R166" s="26"/>
      <c r="S166" s="79"/>
      <c r="T166" s="26"/>
      <c r="U166" s="31"/>
      <c r="V166" s="26"/>
    </row>
    <row r="167" ht="15" customHeight="1">
      <c r="A167" s="32"/>
      <c r="B167" s="26"/>
      <c r="C167" s="26"/>
      <c r="D167" s="27"/>
      <c r="E167" s="28"/>
      <c r="F167" s="28"/>
      <c r="G167" s="28"/>
      <c r="H167" s="28"/>
      <c r="I167" s="28"/>
      <c r="J167" s="26"/>
      <c r="K167" s="26"/>
      <c r="L167" s="28"/>
      <c r="M167" s="28"/>
      <c r="N167" s="26"/>
      <c r="O167" s="26"/>
      <c r="P167" s="26"/>
      <c r="Q167" s="28"/>
      <c r="R167" s="26"/>
      <c r="S167" s="79"/>
      <c r="T167" s="26"/>
      <c r="U167" s="31"/>
      <c r="V167" s="82"/>
    </row>
    <row r="168" ht="15" customHeight="1">
      <c r="A168" s="32"/>
      <c r="B168" s="26"/>
      <c r="C168" s="26"/>
      <c r="D168" s="27"/>
      <c r="E168" s="28"/>
      <c r="F168" s="28"/>
      <c r="G168" s="28"/>
      <c r="H168" s="28"/>
      <c r="I168" s="28"/>
      <c r="J168" s="26"/>
      <c r="K168" s="26"/>
      <c r="L168" s="28"/>
      <c r="M168" s="28"/>
      <c r="N168" s="26"/>
      <c r="O168" s="26"/>
      <c r="P168" s="26"/>
      <c r="Q168" s="28"/>
      <c r="R168" s="26"/>
      <c r="S168" s="79"/>
      <c r="T168" s="26"/>
      <c r="U168" s="31"/>
      <c r="V168" s="26"/>
    </row>
    <row r="169" ht="15" customHeight="1">
      <c r="A169" s="32"/>
      <c r="B169" s="26"/>
      <c r="C169" s="26"/>
      <c r="D169" s="27"/>
      <c r="E169" s="28"/>
      <c r="F169" s="28"/>
      <c r="G169" s="28"/>
      <c r="H169" s="28"/>
      <c r="I169" s="28"/>
      <c r="J169" s="26"/>
      <c r="K169" s="26"/>
      <c r="L169" s="28"/>
      <c r="M169" s="28"/>
      <c r="N169" s="26"/>
      <c r="O169" s="26"/>
      <c r="P169" s="26"/>
      <c r="Q169" s="28"/>
      <c r="R169" s="26"/>
      <c r="S169" s="79"/>
      <c r="T169" s="26"/>
      <c r="U169" s="31"/>
      <c r="V169" s="26"/>
    </row>
    <row r="170" ht="15" customHeight="1">
      <c r="A170" s="32"/>
      <c r="B170" s="26"/>
      <c r="C170" s="26"/>
      <c r="D170" s="27"/>
      <c r="E170" s="28"/>
      <c r="F170" s="28"/>
      <c r="G170" s="28"/>
      <c r="H170" s="28"/>
      <c r="I170" s="28"/>
      <c r="J170" s="26"/>
      <c r="K170" s="26"/>
      <c r="L170" s="28"/>
      <c r="M170" s="28"/>
      <c r="N170" s="26"/>
      <c r="O170" s="26"/>
      <c r="P170" s="26"/>
      <c r="Q170" s="28"/>
      <c r="R170" s="26"/>
      <c r="S170" s="79"/>
      <c r="T170" s="26"/>
      <c r="U170" s="31"/>
      <c r="V170" s="26"/>
    </row>
    <row r="171" ht="15" customHeight="1">
      <c r="A171" s="32"/>
      <c r="B171" s="26"/>
      <c r="C171" s="26"/>
      <c r="D171" s="27"/>
      <c r="E171" s="28"/>
      <c r="F171" s="28"/>
      <c r="G171" s="28"/>
      <c r="H171" s="28"/>
      <c r="I171" s="28"/>
      <c r="J171" s="26"/>
      <c r="K171" s="26"/>
      <c r="L171" s="28"/>
      <c r="M171" s="28"/>
      <c r="N171" s="26"/>
      <c r="O171" s="26"/>
      <c r="P171" s="26"/>
      <c r="Q171" s="28"/>
      <c r="R171" s="26"/>
      <c r="S171" s="79"/>
      <c r="T171" s="26"/>
      <c r="U171" s="31"/>
      <c r="V171" s="26"/>
    </row>
    <row r="172" ht="15" customHeight="1">
      <c r="A172" s="32"/>
      <c r="B172" s="26"/>
      <c r="C172" s="26"/>
      <c r="D172" s="27"/>
      <c r="E172" s="28"/>
      <c r="F172" s="28"/>
      <c r="G172" s="28"/>
      <c r="H172" s="28"/>
      <c r="I172" s="28"/>
      <c r="J172" s="26"/>
      <c r="K172" s="26"/>
      <c r="L172" s="28"/>
      <c r="M172" s="28"/>
      <c r="N172" s="26"/>
      <c r="O172" s="26"/>
      <c r="P172" s="26"/>
      <c r="Q172" s="28"/>
      <c r="R172" s="26"/>
      <c r="S172" s="79"/>
      <c r="T172" s="26"/>
      <c r="U172" s="31"/>
      <c r="V172" s="82"/>
    </row>
    <row r="173" ht="15" customHeight="1">
      <c r="A173" s="32"/>
      <c r="B173" s="26"/>
      <c r="C173" s="26"/>
      <c r="D173" s="27"/>
      <c r="E173" s="28"/>
      <c r="F173" s="28"/>
      <c r="G173" s="28"/>
      <c r="H173" s="28"/>
      <c r="I173" s="28"/>
      <c r="J173" s="26"/>
      <c r="K173" s="26"/>
      <c r="L173" s="28"/>
      <c r="M173" s="28"/>
      <c r="N173" s="26"/>
      <c r="O173" s="26"/>
      <c r="P173" s="26"/>
      <c r="Q173" s="28"/>
      <c r="R173" s="26"/>
      <c r="S173" s="79"/>
      <c r="T173" s="26"/>
      <c r="U173" s="31"/>
      <c r="V173" s="26"/>
    </row>
    <row r="174" ht="15" customHeight="1">
      <c r="A174" s="32"/>
      <c r="B174" s="26"/>
      <c r="C174" s="26"/>
      <c r="D174" s="27"/>
      <c r="E174" s="28"/>
      <c r="F174" s="28"/>
      <c r="G174" s="28"/>
      <c r="H174" s="28"/>
      <c r="I174" s="28"/>
      <c r="J174" s="26"/>
      <c r="K174" s="26"/>
      <c r="L174" s="28"/>
      <c r="M174" s="28"/>
      <c r="N174" s="26"/>
      <c r="O174" s="26"/>
      <c r="P174" s="26"/>
      <c r="Q174" s="28"/>
      <c r="R174" s="26"/>
      <c r="S174" s="79"/>
      <c r="T174" s="26"/>
      <c r="U174" s="31"/>
      <c r="V174" s="26"/>
    </row>
    <row r="175" ht="15" customHeight="1">
      <c r="A175" s="32"/>
      <c r="B175" s="26"/>
      <c r="C175" s="26"/>
      <c r="D175" s="81"/>
      <c r="E175" s="28"/>
      <c r="F175" s="28"/>
      <c r="G175" s="28"/>
      <c r="H175" s="28"/>
      <c r="I175" s="28"/>
      <c r="J175" s="26"/>
      <c r="K175" s="26"/>
      <c r="L175" s="28"/>
      <c r="M175" s="28"/>
      <c r="N175" s="26"/>
      <c r="O175" s="26"/>
      <c r="P175" s="26"/>
      <c r="Q175" s="28"/>
      <c r="R175" s="26"/>
      <c r="S175" s="79"/>
      <c r="T175" s="26"/>
      <c r="U175" s="31"/>
      <c r="V175" s="26"/>
    </row>
    <row r="176" ht="15" customHeight="1">
      <c r="A176" s="32"/>
      <c r="B176" s="26"/>
      <c r="C176" s="26"/>
      <c r="D176" s="81"/>
      <c r="E176" s="28"/>
      <c r="F176" s="28"/>
      <c r="G176" s="28"/>
      <c r="H176" s="28"/>
      <c r="I176" s="28"/>
      <c r="J176" s="26"/>
      <c r="K176" s="26"/>
      <c r="L176" s="28"/>
      <c r="M176" s="28"/>
      <c r="N176" s="26"/>
      <c r="O176" s="26"/>
      <c r="P176" s="26"/>
      <c r="Q176" s="28"/>
      <c r="R176" s="26"/>
      <c r="S176" s="79"/>
      <c r="T176" s="26"/>
      <c r="U176" s="31"/>
      <c r="V176" s="26"/>
    </row>
    <row r="177" ht="15" customHeight="1">
      <c r="A177" s="32"/>
      <c r="B177" s="26"/>
      <c r="C177" s="26"/>
      <c r="D177" s="81"/>
      <c r="E177" s="28"/>
      <c r="F177" s="28"/>
      <c r="G177" s="28"/>
      <c r="H177" s="28"/>
      <c r="I177" s="28"/>
      <c r="J177" s="26"/>
      <c r="K177" s="26"/>
      <c r="L177" s="28"/>
      <c r="M177" s="28"/>
      <c r="N177" s="26"/>
      <c r="O177" s="26"/>
      <c r="P177" s="26"/>
      <c r="Q177" s="28"/>
      <c r="R177" s="26"/>
      <c r="S177" s="79"/>
      <c r="T177" s="26"/>
      <c r="U177" s="31"/>
      <c r="V177" s="80"/>
    </row>
    <row r="178" ht="15" customHeight="1">
      <c r="A178" s="32"/>
      <c r="B178" s="26"/>
      <c r="C178" s="26"/>
      <c r="D178" s="81"/>
      <c r="E178" s="28"/>
      <c r="F178" s="28"/>
      <c r="G178" s="28"/>
      <c r="H178" s="28"/>
      <c r="I178" s="28"/>
      <c r="J178" s="26"/>
      <c r="K178" s="26"/>
      <c r="L178" s="28"/>
      <c r="M178" s="28"/>
      <c r="N178" s="26"/>
      <c r="O178" s="26"/>
      <c r="P178" s="26"/>
      <c r="Q178" s="28"/>
      <c r="R178" s="26"/>
      <c r="S178" s="79"/>
      <c r="T178" s="26"/>
      <c r="U178" s="31"/>
      <c r="V178" s="26"/>
    </row>
    <row r="179" ht="15" customHeight="1">
      <c r="A179" s="32"/>
      <c r="B179" s="26"/>
      <c r="C179" s="26"/>
      <c r="D179" s="26"/>
      <c r="E179" s="28"/>
      <c r="F179" s="28"/>
      <c r="G179" s="28"/>
      <c r="H179" s="28"/>
      <c r="I179" s="28"/>
      <c r="J179" s="26"/>
      <c r="K179" s="26"/>
      <c r="L179" s="28"/>
      <c r="M179" s="28"/>
      <c r="N179" s="26"/>
      <c r="O179" s="26"/>
      <c r="P179" s="26"/>
      <c r="Q179" s="28"/>
      <c r="R179" s="26"/>
      <c r="S179" s="79"/>
      <c r="T179" s="26"/>
      <c r="U179" s="31"/>
      <c r="V179" s="80"/>
    </row>
    <row r="180" ht="15" customHeight="1">
      <c r="A180" s="32"/>
      <c r="B180" s="26"/>
      <c r="C180" s="26"/>
      <c r="D180" s="81"/>
      <c r="E180" s="28"/>
      <c r="F180" s="28"/>
      <c r="G180" s="28"/>
      <c r="H180" s="28"/>
      <c r="I180" s="28"/>
      <c r="J180" s="26"/>
      <c r="K180" s="26"/>
      <c r="L180" s="28"/>
      <c r="M180" s="28"/>
      <c r="N180" s="26"/>
      <c r="O180" s="26"/>
      <c r="P180" s="26"/>
      <c r="Q180" s="28"/>
      <c r="R180" s="26"/>
      <c r="S180" s="79"/>
      <c r="T180" s="26"/>
      <c r="U180" s="31"/>
      <c r="V180" s="26"/>
    </row>
    <row r="181" ht="15" customHeight="1">
      <c r="A181" s="32"/>
      <c r="B181" s="26"/>
      <c r="C181" s="26"/>
      <c r="D181" s="26"/>
      <c r="E181" s="28"/>
      <c r="F181" s="28"/>
      <c r="G181" s="28"/>
      <c r="H181" s="28"/>
      <c r="I181" s="28"/>
      <c r="J181" s="26"/>
      <c r="K181" s="26"/>
      <c r="L181" s="28"/>
      <c r="M181" s="28"/>
      <c r="N181" s="26"/>
      <c r="O181" s="26"/>
      <c r="P181" s="26"/>
      <c r="Q181" s="28"/>
      <c r="R181" s="26"/>
      <c r="S181" s="79"/>
      <c r="T181" s="26"/>
      <c r="U181" s="31"/>
      <c r="V181" s="80"/>
    </row>
    <row r="182" ht="15" customHeight="1">
      <c r="A182" s="32"/>
      <c r="B182" s="26"/>
      <c r="C182" s="26"/>
      <c r="D182" s="27"/>
      <c r="E182" s="28"/>
      <c r="F182" s="28"/>
      <c r="G182" s="28"/>
      <c r="H182" s="28"/>
      <c r="I182" s="28"/>
      <c r="J182" s="26"/>
      <c r="K182" s="26"/>
      <c r="L182" s="28"/>
      <c r="M182" s="28"/>
      <c r="N182" s="26"/>
      <c r="O182" s="26"/>
      <c r="P182" s="26"/>
      <c r="Q182" s="28"/>
      <c r="R182" s="26"/>
      <c r="S182" s="79"/>
      <c r="T182" s="26"/>
      <c r="U182" s="31"/>
      <c r="V182" s="26"/>
    </row>
    <row r="183" ht="15" customHeight="1">
      <c r="A183" s="32"/>
      <c r="B183" s="26"/>
      <c r="C183" s="26"/>
      <c r="D183" s="27"/>
      <c r="E183" s="28"/>
      <c r="F183" s="28"/>
      <c r="G183" s="28"/>
      <c r="H183" s="28"/>
      <c r="I183" s="28"/>
      <c r="J183" s="26"/>
      <c r="K183" s="26"/>
      <c r="L183" s="28"/>
      <c r="M183" s="28"/>
      <c r="N183" s="26"/>
      <c r="O183" s="26"/>
      <c r="P183" s="26"/>
      <c r="Q183" s="28"/>
      <c r="R183" s="26"/>
      <c r="S183" s="79"/>
      <c r="T183" s="26"/>
      <c r="U183" s="31"/>
      <c r="V183" s="80"/>
    </row>
    <row r="184" ht="15" customHeight="1">
      <c r="A184" s="32"/>
      <c r="B184" s="26"/>
      <c r="C184" s="26"/>
      <c r="D184" s="27"/>
      <c r="E184" s="28"/>
      <c r="F184" s="28"/>
      <c r="G184" s="28"/>
      <c r="H184" s="28"/>
      <c r="I184" s="28"/>
      <c r="J184" s="26"/>
      <c r="K184" s="26"/>
      <c r="L184" s="28"/>
      <c r="M184" s="28"/>
      <c r="N184" s="26"/>
      <c r="O184" s="26"/>
      <c r="P184" s="26"/>
      <c r="Q184" s="28"/>
      <c r="R184" s="26"/>
      <c r="S184" s="79"/>
      <c r="T184" s="26"/>
      <c r="U184" s="31"/>
      <c r="V184" s="26"/>
    </row>
    <row r="185" ht="15" customHeight="1">
      <c r="A185" s="32"/>
      <c r="B185" s="26"/>
      <c r="C185" s="26"/>
      <c r="D185" s="27"/>
      <c r="E185" s="28"/>
      <c r="F185" s="28"/>
      <c r="G185" s="28"/>
      <c r="H185" s="28"/>
      <c r="I185" s="28"/>
      <c r="J185" s="26"/>
      <c r="K185" s="26"/>
      <c r="L185" s="28"/>
      <c r="M185" s="28"/>
      <c r="N185" s="26"/>
      <c r="O185" s="26"/>
      <c r="P185" s="26"/>
      <c r="Q185" s="28"/>
      <c r="R185" s="26"/>
      <c r="S185" s="79"/>
      <c r="T185" s="26"/>
      <c r="U185" s="31"/>
      <c r="V185" s="26"/>
    </row>
    <row r="186" ht="15" customHeight="1">
      <c r="A186" s="32"/>
      <c r="B186" s="26"/>
      <c r="C186" s="26"/>
      <c r="D186" s="27"/>
      <c r="E186" s="28"/>
      <c r="F186" s="28"/>
      <c r="G186" s="28"/>
      <c r="H186" s="28"/>
      <c r="I186" s="28"/>
      <c r="J186" s="26"/>
      <c r="K186" s="26"/>
      <c r="L186" s="28"/>
      <c r="M186" s="28"/>
      <c r="N186" s="26"/>
      <c r="O186" s="26"/>
      <c r="P186" s="26"/>
      <c r="Q186" s="28"/>
      <c r="R186" s="26"/>
      <c r="S186" s="79"/>
      <c r="T186" s="26"/>
      <c r="U186" s="31"/>
      <c r="V186" s="26"/>
    </row>
    <row r="187" ht="15" customHeight="1">
      <c r="A187" s="32"/>
      <c r="B187" s="26"/>
      <c r="C187" s="26"/>
      <c r="D187" s="27"/>
      <c r="E187" s="28"/>
      <c r="F187" s="28"/>
      <c r="G187" s="28"/>
      <c r="H187" s="28"/>
      <c r="I187" s="28"/>
      <c r="J187" s="26"/>
      <c r="K187" s="26"/>
      <c r="L187" s="28"/>
      <c r="M187" s="28"/>
      <c r="N187" s="26"/>
      <c r="O187" s="26"/>
      <c r="P187" s="26"/>
      <c r="Q187" s="28"/>
      <c r="R187" s="26"/>
      <c r="S187" s="79"/>
      <c r="T187" s="26"/>
      <c r="U187" s="31"/>
      <c r="V187" s="26"/>
    </row>
    <row r="188" ht="15" customHeight="1">
      <c r="A188" s="32"/>
      <c r="B188" s="26"/>
      <c r="C188" s="26"/>
      <c r="D188" s="27"/>
      <c r="E188" s="28"/>
      <c r="F188" s="28"/>
      <c r="G188" s="28"/>
      <c r="H188" s="28"/>
      <c r="I188" s="28"/>
      <c r="J188" s="26"/>
      <c r="K188" s="26"/>
      <c r="L188" s="28"/>
      <c r="M188" s="28"/>
      <c r="N188" s="26"/>
      <c r="O188" s="26"/>
      <c r="P188" s="26"/>
      <c r="Q188" s="28"/>
      <c r="R188" s="26"/>
      <c r="S188" s="79"/>
      <c r="T188" s="26"/>
      <c r="U188" s="31"/>
      <c r="V188" s="26"/>
    </row>
    <row r="189" ht="15" customHeight="1">
      <c r="A189" s="32"/>
      <c r="B189" s="26"/>
      <c r="C189" s="26"/>
      <c r="D189" s="27"/>
      <c r="E189" s="28"/>
      <c r="F189" s="28"/>
      <c r="G189" s="28"/>
      <c r="H189" s="28"/>
      <c r="I189" s="28"/>
      <c r="J189" s="26"/>
      <c r="K189" s="26"/>
      <c r="L189" s="28"/>
      <c r="M189" s="28"/>
      <c r="N189" s="26"/>
      <c r="O189" s="26"/>
      <c r="P189" s="26"/>
      <c r="Q189" s="28"/>
      <c r="R189" s="26"/>
      <c r="S189" s="79"/>
      <c r="T189" s="26"/>
      <c r="U189" s="31"/>
      <c r="V189" s="26"/>
    </row>
    <row r="190" ht="15" customHeight="1">
      <c r="A190" s="32"/>
      <c r="B190" s="26"/>
      <c r="C190" s="26"/>
      <c r="D190" s="79"/>
      <c r="E190" s="28"/>
      <c r="F190" s="28"/>
      <c r="G190" s="28"/>
      <c r="H190" s="28"/>
      <c r="I190" s="28"/>
      <c r="J190" s="26"/>
      <c r="K190" s="26"/>
      <c r="L190" s="28"/>
      <c r="M190" s="28"/>
      <c r="N190" s="26"/>
      <c r="O190" s="26"/>
      <c r="P190" s="26"/>
      <c r="Q190" s="28"/>
      <c r="R190" s="26"/>
      <c r="S190" s="79"/>
      <c r="T190" s="26"/>
      <c r="U190" s="31"/>
      <c r="V190" s="26"/>
    </row>
    <row r="191" ht="15" customHeight="1">
      <c r="A191" s="32"/>
      <c r="B191" s="26"/>
      <c r="C191" s="26"/>
      <c r="D191" s="79"/>
      <c r="E191" s="28"/>
      <c r="F191" s="28"/>
      <c r="G191" s="28"/>
      <c r="H191" s="28"/>
      <c r="I191" s="28"/>
      <c r="J191" s="26"/>
      <c r="K191" s="26"/>
      <c r="L191" s="28"/>
      <c r="M191" s="28"/>
      <c r="N191" s="26"/>
      <c r="O191" s="26"/>
      <c r="P191" s="26"/>
      <c r="Q191" s="28"/>
      <c r="R191" s="26"/>
      <c r="S191" s="79"/>
      <c r="T191" s="26"/>
      <c r="U191" s="31"/>
      <c r="V191" s="26"/>
    </row>
    <row r="192" ht="15" customHeight="1">
      <c r="A192" s="32"/>
      <c r="B192" s="26"/>
      <c r="C192" s="26"/>
      <c r="D192" s="79"/>
      <c r="E192" s="28"/>
      <c r="F192" s="28"/>
      <c r="G192" s="28"/>
      <c r="H192" s="28"/>
      <c r="I192" s="28"/>
      <c r="J192" s="26"/>
      <c r="K192" s="26"/>
      <c r="L192" s="28"/>
      <c r="M192" s="28"/>
      <c r="N192" s="26"/>
      <c r="O192" s="26"/>
      <c r="P192" s="26"/>
      <c r="Q192" s="28"/>
      <c r="R192" s="26"/>
      <c r="S192" s="79"/>
      <c r="T192" s="26"/>
      <c r="U192" s="31"/>
      <c r="V192" s="26"/>
    </row>
    <row r="193" ht="15" customHeight="1">
      <c r="A193" s="32"/>
      <c r="B193" s="26"/>
      <c r="C193" s="26"/>
      <c r="D193" s="79"/>
      <c r="E193" s="28"/>
      <c r="F193" s="28"/>
      <c r="G193" s="28"/>
      <c r="H193" s="28"/>
      <c r="I193" s="28"/>
      <c r="J193" s="26"/>
      <c r="K193" s="26"/>
      <c r="L193" s="28"/>
      <c r="M193" s="28"/>
      <c r="N193" s="26"/>
      <c r="O193" s="26"/>
      <c r="P193" s="26"/>
      <c r="Q193" s="28"/>
      <c r="R193" s="26"/>
      <c r="S193" s="79"/>
      <c r="T193" s="26"/>
      <c r="U193" s="31"/>
      <c r="V193" s="26"/>
    </row>
    <row r="194" ht="15" customHeight="1">
      <c r="A194" s="32"/>
      <c r="B194" s="26"/>
      <c r="C194" s="26"/>
      <c r="D194" s="79"/>
      <c r="E194" s="28"/>
      <c r="F194" s="28"/>
      <c r="G194" s="28"/>
      <c r="H194" s="28"/>
      <c r="I194" s="28"/>
      <c r="J194" s="26"/>
      <c r="K194" s="26"/>
      <c r="L194" s="28"/>
      <c r="M194" s="28"/>
      <c r="N194" s="26"/>
      <c r="O194" s="26"/>
      <c r="P194" s="26"/>
      <c r="Q194" s="28"/>
      <c r="R194" s="26"/>
      <c r="S194" s="79"/>
      <c r="T194" s="26"/>
      <c r="U194" s="31"/>
      <c r="V194" s="26"/>
    </row>
    <row r="195" ht="15" customHeight="1">
      <c r="A195" s="32"/>
      <c r="B195" s="26"/>
      <c r="C195" s="26"/>
      <c r="D195" s="79"/>
      <c r="E195" s="28"/>
      <c r="F195" s="28"/>
      <c r="G195" s="28"/>
      <c r="H195" s="28"/>
      <c r="I195" s="28"/>
      <c r="J195" s="26"/>
      <c r="K195" s="26"/>
      <c r="L195" s="28"/>
      <c r="M195" s="28"/>
      <c r="N195" s="26"/>
      <c r="O195" s="26"/>
      <c r="P195" s="26"/>
      <c r="Q195" s="28"/>
      <c r="R195" s="26"/>
      <c r="S195" s="79"/>
      <c r="T195" s="26"/>
      <c r="U195" s="31"/>
      <c r="V195" s="26"/>
    </row>
    <row r="196" ht="15" customHeight="1">
      <c r="A196" s="32"/>
      <c r="B196" s="26"/>
      <c r="C196" s="26"/>
      <c r="D196" s="79"/>
      <c r="E196" s="28"/>
      <c r="F196" s="28"/>
      <c r="G196" s="28"/>
      <c r="H196" s="28"/>
      <c r="I196" s="28"/>
      <c r="J196" s="26"/>
      <c r="K196" s="26"/>
      <c r="L196" s="28"/>
      <c r="M196" s="28"/>
      <c r="N196" s="26"/>
      <c r="O196" s="26"/>
      <c r="P196" s="26"/>
      <c r="Q196" s="28"/>
      <c r="R196" s="26"/>
      <c r="S196" s="79"/>
      <c r="T196" s="26"/>
      <c r="U196" s="31"/>
      <c r="V196" s="26"/>
    </row>
    <row r="197" ht="15" customHeight="1">
      <c r="A197" s="32"/>
      <c r="B197" s="26"/>
      <c r="C197" s="26"/>
      <c r="D197" s="27"/>
      <c r="E197" s="28"/>
      <c r="F197" s="28"/>
      <c r="G197" s="28"/>
      <c r="H197" s="28"/>
      <c r="I197" s="28"/>
      <c r="J197" s="26"/>
      <c r="K197" s="26"/>
      <c r="L197" s="28"/>
      <c r="M197" s="28"/>
      <c r="N197" s="26"/>
      <c r="O197" s="26"/>
      <c r="P197" s="26"/>
      <c r="Q197" s="28"/>
      <c r="R197" s="26"/>
      <c r="S197" s="79"/>
      <c r="T197" s="26"/>
      <c r="U197" s="31"/>
      <c r="V197" s="26"/>
    </row>
    <row r="198" ht="15" customHeight="1">
      <c r="A198" s="32"/>
      <c r="B198" s="26"/>
      <c r="C198" s="26"/>
      <c r="D198" s="27"/>
      <c r="E198" s="28"/>
      <c r="F198" s="28"/>
      <c r="G198" s="28"/>
      <c r="H198" s="28"/>
      <c r="I198" s="28"/>
      <c r="J198" s="26"/>
      <c r="K198" s="26"/>
      <c r="L198" s="28"/>
      <c r="M198" s="28"/>
      <c r="N198" s="26"/>
      <c r="O198" s="26"/>
      <c r="P198" s="26"/>
      <c r="Q198" s="28"/>
      <c r="R198" s="26"/>
      <c r="S198" s="79"/>
      <c r="T198" s="26"/>
      <c r="U198" s="31"/>
      <c r="V198" s="26"/>
    </row>
    <row r="199" ht="15" customHeight="1">
      <c r="A199" s="32"/>
      <c r="B199" s="26"/>
      <c r="C199" s="26"/>
      <c r="D199" s="27"/>
      <c r="E199" s="28"/>
      <c r="F199" s="28"/>
      <c r="G199" s="28"/>
      <c r="H199" s="28"/>
      <c r="I199" s="28"/>
      <c r="J199" s="26"/>
      <c r="K199" s="26"/>
      <c r="L199" s="28"/>
      <c r="M199" s="28"/>
      <c r="N199" s="26"/>
      <c r="O199" s="26"/>
      <c r="P199" s="26"/>
      <c r="Q199" s="28"/>
      <c r="R199" s="26"/>
      <c r="S199" s="79"/>
      <c r="T199" s="26"/>
      <c r="U199" s="31"/>
      <c r="V199" s="26"/>
    </row>
    <row r="200" ht="15" customHeight="1">
      <c r="A200" s="32"/>
      <c r="B200" s="26"/>
      <c r="C200" s="26"/>
      <c r="D200" s="27"/>
      <c r="E200" s="28"/>
      <c r="F200" s="28"/>
      <c r="G200" s="28"/>
      <c r="H200" s="28"/>
      <c r="I200" s="28"/>
      <c r="J200" s="26"/>
      <c r="K200" s="26"/>
      <c r="L200" s="28"/>
      <c r="M200" s="28"/>
      <c r="N200" s="26"/>
      <c r="O200" s="26"/>
      <c r="P200" s="26"/>
      <c r="Q200" s="28"/>
      <c r="R200" s="26"/>
      <c r="S200" s="79"/>
      <c r="T200" s="26"/>
      <c r="U200" s="31"/>
      <c r="V200" s="26"/>
    </row>
    <row r="201" ht="15" customHeight="1">
      <c r="A201" s="32"/>
      <c r="B201" s="26"/>
      <c r="C201" s="26"/>
      <c r="D201" s="27"/>
      <c r="E201" s="28"/>
      <c r="F201" s="28"/>
      <c r="G201" s="28"/>
      <c r="H201" s="28"/>
      <c r="I201" s="28"/>
      <c r="J201" s="26"/>
      <c r="K201" s="26"/>
      <c r="L201" s="28"/>
      <c r="M201" s="28"/>
      <c r="N201" s="26"/>
      <c r="O201" s="26"/>
      <c r="P201" s="26"/>
      <c r="Q201" s="28"/>
      <c r="R201" s="26"/>
      <c r="S201" s="79"/>
      <c r="T201" s="26"/>
      <c r="U201" s="31"/>
      <c r="V201" s="26"/>
    </row>
    <row r="202" ht="15" customHeight="1">
      <c r="A202" s="32"/>
      <c r="B202" s="26"/>
      <c r="C202" s="26"/>
      <c r="D202" s="27"/>
      <c r="E202" s="28"/>
      <c r="F202" s="28"/>
      <c r="G202" s="28"/>
      <c r="H202" s="28"/>
      <c r="I202" s="28"/>
      <c r="J202" s="26"/>
      <c r="K202" s="26"/>
      <c r="L202" s="28"/>
      <c r="M202" s="28"/>
      <c r="N202" s="26"/>
      <c r="O202" s="26"/>
      <c r="P202" s="26"/>
      <c r="Q202" s="28"/>
      <c r="R202" s="26"/>
      <c r="S202" s="79"/>
      <c r="T202" s="26"/>
      <c r="U202" s="31"/>
      <c r="V202" s="26"/>
    </row>
    <row r="203" ht="15" customHeight="1">
      <c r="A203" s="32"/>
      <c r="B203" s="26"/>
      <c r="C203" s="26"/>
      <c r="D203" s="27"/>
      <c r="E203" s="28"/>
      <c r="F203" s="28"/>
      <c r="G203" s="28"/>
      <c r="H203" s="28"/>
      <c r="I203" s="28"/>
      <c r="J203" s="26"/>
      <c r="K203" s="26"/>
      <c r="L203" s="28"/>
      <c r="M203" s="28"/>
      <c r="N203" s="26"/>
      <c r="O203" s="26"/>
      <c r="P203" s="26"/>
      <c r="Q203" s="28"/>
      <c r="R203" s="26"/>
      <c r="S203" s="79"/>
      <c r="T203" s="26"/>
      <c r="U203" s="31"/>
      <c r="V203" s="26"/>
    </row>
    <row r="204" ht="15" customHeight="1">
      <c r="A204" s="32"/>
      <c r="B204" s="26"/>
      <c r="C204" s="26"/>
      <c r="D204" s="27"/>
      <c r="E204" s="28"/>
      <c r="F204" s="28"/>
      <c r="G204" s="28"/>
      <c r="H204" s="28"/>
      <c r="I204" s="28"/>
      <c r="J204" s="26"/>
      <c r="K204" s="26"/>
      <c r="L204" s="28"/>
      <c r="M204" s="28"/>
      <c r="N204" s="26"/>
      <c r="O204" s="26"/>
      <c r="P204" s="26"/>
      <c r="Q204" s="28"/>
      <c r="R204" s="26"/>
      <c r="S204" s="79"/>
      <c r="T204" s="26"/>
      <c r="U204" s="31"/>
      <c r="V204" s="26"/>
    </row>
    <row r="205" ht="15" customHeight="1">
      <c r="A205" s="32"/>
      <c r="B205" s="26"/>
      <c r="C205" s="26"/>
      <c r="D205" s="79"/>
      <c r="E205" s="28"/>
      <c r="F205" s="28"/>
      <c r="G205" s="28"/>
      <c r="H205" s="28"/>
      <c r="I205" s="28"/>
      <c r="J205" s="26"/>
      <c r="K205" s="26"/>
      <c r="L205" s="28"/>
      <c r="M205" s="28"/>
      <c r="N205" s="26"/>
      <c r="O205" s="26"/>
      <c r="P205" s="26"/>
      <c r="Q205" s="28"/>
      <c r="R205" s="26"/>
      <c r="S205" s="79"/>
      <c r="T205" s="26"/>
      <c r="U205" s="31"/>
      <c r="V205" s="26"/>
    </row>
    <row r="206" ht="15" customHeight="1">
      <c r="A206" s="32"/>
      <c r="B206" s="26"/>
      <c r="C206" s="26"/>
      <c r="D206" s="79"/>
      <c r="E206" s="28"/>
      <c r="F206" s="28"/>
      <c r="G206" s="28"/>
      <c r="H206" s="28"/>
      <c r="I206" s="28"/>
      <c r="J206" s="26"/>
      <c r="K206" s="26"/>
      <c r="L206" s="28"/>
      <c r="M206" s="28"/>
      <c r="N206" s="26"/>
      <c r="O206" s="26"/>
      <c r="P206" s="26"/>
      <c r="Q206" s="28"/>
      <c r="R206" s="26"/>
      <c r="S206" s="79"/>
      <c r="T206" s="26"/>
      <c r="U206" s="31"/>
      <c r="V206" s="26"/>
    </row>
    <row r="207" ht="15" customHeight="1">
      <c r="A207" s="32"/>
      <c r="B207" s="26"/>
      <c r="C207" s="26"/>
      <c r="D207" s="79"/>
      <c r="E207" s="28"/>
      <c r="F207" s="28"/>
      <c r="G207" s="28"/>
      <c r="H207" s="28"/>
      <c r="I207" s="28"/>
      <c r="J207" s="26"/>
      <c r="K207" s="26"/>
      <c r="L207" s="28"/>
      <c r="M207" s="28"/>
      <c r="N207" s="26"/>
      <c r="O207" s="26"/>
      <c r="P207" s="26"/>
      <c r="Q207" s="28"/>
      <c r="R207" s="26"/>
      <c r="S207" s="79"/>
      <c r="T207" s="26"/>
      <c r="U207" s="31"/>
      <c r="V207" s="26"/>
    </row>
    <row r="208" ht="15" customHeight="1">
      <c r="A208" s="32"/>
      <c r="B208" s="26"/>
      <c r="C208" s="26"/>
      <c r="D208" s="79"/>
      <c r="E208" s="28"/>
      <c r="F208" s="28"/>
      <c r="G208" s="28"/>
      <c r="H208" s="28"/>
      <c r="I208" s="28"/>
      <c r="J208" s="26"/>
      <c r="K208" s="26"/>
      <c r="L208" s="28"/>
      <c r="M208" s="28"/>
      <c r="N208" s="26"/>
      <c r="O208" s="26"/>
      <c r="P208" s="26"/>
      <c r="Q208" s="28"/>
      <c r="R208" s="26"/>
      <c r="S208" s="79"/>
      <c r="T208" s="26"/>
      <c r="U208" s="31"/>
      <c r="V208" s="26"/>
    </row>
    <row r="209" ht="15" customHeight="1">
      <c r="A209" s="32"/>
      <c r="B209" s="26"/>
      <c r="C209" s="26"/>
      <c r="D209" s="79"/>
      <c r="E209" s="28"/>
      <c r="F209" s="28"/>
      <c r="G209" s="28"/>
      <c r="H209" s="28"/>
      <c r="I209" s="28"/>
      <c r="J209" s="26"/>
      <c r="K209" s="26"/>
      <c r="L209" s="28"/>
      <c r="M209" s="28"/>
      <c r="N209" s="26"/>
      <c r="O209" s="26"/>
      <c r="P209" s="26"/>
      <c r="Q209" s="28"/>
      <c r="R209" s="26"/>
      <c r="S209" s="79"/>
      <c r="T209" s="26"/>
      <c r="U209" s="31"/>
      <c r="V209" s="26"/>
    </row>
    <row r="210" ht="15" customHeight="1">
      <c r="A210" s="32"/>
      <c r="B210" s="26"/>
      <c r="C210" s="26"/>
      <c r="D210" s="79"/>
      <c r="E210" s="28"/>
      <c r="F210" s="28"/>
      <c r="G210" s="28"/>
      <c r="H210" s="28"/>
      <c r="I210" s="28"/>
      <c r="J210" s="26"/>
      <c r="K210" s="26"/>
      <c r="L210" s="28"/>
      <c r="M210" s="28"/>
      <c r="N210" s="26"/>
      <c r="O210" s="26"/>
      <c r="P210" s="26"/>
      <c r="Q210" s="28"/>
      <c r="R210" s="26"/>
      <c r="S210" s="79"/>
      <c r="T210" s="26"/>
      <c r="U210" s="31"/>
      <c r="V210" s="26"/>
    </row>
    <row r="211" ht="15" customHeight="1">
      <c r="A211" s="32"/>
      <c r="B211" s="26"/>
      <c r="C211" s="26"/>
      <c r="D211" s="27"/>
      <c r="E211" s="28"/>
      <c r="F211" s="28"/>
      <c r="G211" s="28"/>
      <c r="H211" s="28"/>
      <c r="I211" s="28"/>
      <c r="J211" s="26"/>
      <c r="K211" s="26"/>
      <c r="L211" s="28"/>
      <c r="M211" s="28"/>
      <c r="N211" s="26"/>
      <c r="O211" s="26"/>
      <c r="P211" s="26"/>
      <c r="Q211" s="28"/>
      <c r="R211" s="26"/>
      <c r="S211" s="79"/>
      <c r="T211" s="26"/>
      <c r="U211" s="31"/>
      <c r="V211" s="26"/>
    </row>
    <row r="212" ht="15" customHeight="1">
      <c r="A212" s="32"/>
      <c r="B212" s="26"/>
      <c r="C212" s="26"/>
      <c r="D212" s="79"/>
      <c r="E212" s="28"/>
      <c r="F212" s="28"/>
      <c r="G212" s="28"/>
      <c r="H212" s="28"/>
      <c r="I212" s="28"/>
      <c r="J212" s="26"/>
      <c r="K212" s="26"/>
      <c r="L212" s="28"/>
      <c r="M212" s="28"/>
      <c r="N212" s="26"/>
      <c r="O212" s="26"/>
      <c r="P212" s="26"/>
      <c r="Q212" s="28"/>
      <c r="R212" s="26"/>
      <c r="S212" s="79"/>
      <c r="T212" s="26"/>
      <c r="U212" s="31"/>
      <c r="V212" s="26"/>
    </row>
    <row r="213" ht="15" customHeight="1">
      <c r="A213" s="32"/>
      <c r="B213" s="26"/>
      <c r="C213" s="26"/>
      <c r="D213" s="27"/>
      <c r="E213" s="28"/>
      <c r="F213" s="28"/>
      <c r="G213" s="28"/>
      <c r="H213" s="28"/>
      <c r="I213" s="28"/>
      <c r="J213" s="26"/>
      <c r="K213" s="26"/>
      <c r="L213" s="28"/>
      <c r="M213" s="28"/>
      <c r="N213" s="26"/>
      <c r="O213" s="26"/>
      <c r="P213" s="26"/>
      <c r="Q213" s="28"/>
      <c r="R213" s="26"/>
      <c r="S213" s="79"/>
      <c r="T213" s="26"/>
      <c r="U213" s="31"/>
      <c r="V213" s="26"/>
    </row>
    <row r="214" ht="15" customHeight="1">
      <c r="A214" s="32"/>
      <c r="B214" s="26"/>
      <c r="C214" s="26"/>
      <c r="D214" s="27"/>
      <c r="E214" s="28"/>
      <c r="F214" s="28"/>
      <c r="G214" s="28"/>
      <c r="H214" s="28"/>
      <c r="I214" s="28"/>
      <c r="J214" s="26"/>
      <c r="K214" s="26"/>
      <c r="L214" s="28"/>
      <c r="M214" s="28"/>
      <c r="N214" s="26"/>
      <c r="O214" s="26"/>
      <c r="P214" s="26"/>
      <c r="Q214" s="28"/>
      <c r="R214" s="26"/>
      <c r="S214" s="79"/>
      <c r="T214" s="26"/>
      <c r="U214" s="31"/>
      <c r="V214" s="80"/>
    </row>
    <row r="215" ht="15" customHeight="1">
      <c r="A215" s="32"/>
      <c r="B215" s="26"/>
      <c r="C215" s="26"/>
      <c r="D215" s="27"/>
      <c r="E215" s="28"/>
      <c r="F215" s="28"/>
      <c r="G215" s="28"/>
      <c r="H215" s="28"/>
      <c r="I215" s="28"/>
      <c r="J215" s="26"/>
      <c r="K215" s="26"/>
      <c r="L215" s="28"/>
      <c r="M215" s="28"/>
      <c r="N215" s="26"/>
      <c r="O215" s="26"/>
      <c r="P215" s="26"/>
      <c r="Q215" s="28"/>
      <c r="R215" s="26"/>
      <c r="S215" s="79"/>
      <c r="T215" s="26"/>
      <c r="U215" s="31"/>
      <c r="V215" s="26"/>
    </row>
    <row r="216" ht="15" customHeight="1">
      <c r="A216" s="32"/>
      <c r="B216" s="26"/>
      <c r="C216" s="26"/>
      <c r="D216" s="27"/>
      <c r="E216" s="28"/>
      <c r="F216" s="28"/>
      <c r="G216" s="28"/>
      <c r="H216" s="28"/>
      <c r="I216" s="28"/>
      <c r="J216" s="26"/>
      <c r="K216" s="26"/>
      <c r="L216" s="28"/>
      <c r="M216" s="28"/>
      <c r="N216" s="26"/>
      <c r="O216" s="26"/>
      <c r="P216" s="26"/>
      <c r="Q216" s="28"/>
      <c r="R216" s="26"/>
      <c r="S216" s="79"/>
      <c r="T216" s="26"/>
      <c r="U216" s="31"/>
      <c r="V216" s="26"/>
    </row>
    <row r="217" ht="15" customHeight="1">
      <c r="A217" s="32"/>
      <c r="B217" s="26"/>
      <c r="C217" s="26"/>
      <c r="D217" s="27"/>
      <c r="E217" s="28"/>
      <c r="F217" s="28"/>
      <c r="G217" s="28"/>
      <c r="H217" s="28"/>
      <c r="I217" s="28"/>
      <c r="J217" s="26"/>
      <c r="K217" s="26"/>
      <c r="L217" s="28"/>
      <c r="M217" s="28"/>
      <c r="N217" s="26"/>
      <c r="O217" s="26"/>
      <c r="P217" s="26"/>
      <c r="Q217" s="28"/>
      <c r="R217" s="26"/>
      <c r="S217" s="79"/>
      <c r="T217" s="26"/>
      <c r="U217" s="31"/>
      <c r="V217" s="26"/>
    </row>
    <row r="218" ht="15" customHeight="1">
      <c r="A218" s="32"/>
      <c r="B218" s="26"/>
      <c r="C218" s="26"/>
      <c r="D218" s="27"/>
      <c r="E218" s="28"/>
      <c r="F218" s="28"/>
      <c r="G218" s="28"/>
      <c r="H218" s="28"/>
      <c r="I218" s="28"/>
      <c r="J218" s="26"/>
      <c r="K218" s="26"/>
      <c r="L218" s="28"/>
      <c r="M218" s="28"/>
      <c r="N218" s="26"/>
      <c r="O218" s="26"/>
      <c r="P218" s="26"/>
      <c r="Q218" s="28"/>
      <c r="R218" s="26"/>
      <c r="S218" s="79"/>
      <c r="T218" s="26"/>
      <c r="U218" s="31"/>
      <c r="V218" s="26"/>
    </row>
    <row r="219" ht="15" customHeight="1">
      <c r="A219" s="32"/>
      <c r="B219" s="26"/>
      <c r="C219" s="26"/>
      <c r="D219" s="27"/>
      <c r="E219" s="28"/>
      <c r="F219" s="28"/>
      <c r="G219" s="28"/>
      <c r="H219" s="28"/>
      <c r="I219" s="28"/>
      <c r="J219" s="26"/>
      <c r="K219" s="26"/>
      <c r="L219" s="28"/>
      <c r="M219" s="28"/>
      <c r="N219" s="26"/>
      <c r="O219" s="26"/>
      <c r="P219" s="26"/>
      <c r="Q219" s="28"/>
      <c r="R219" s="26"/>
      <c r="S219" s="79"/>
      <c r="T219" s="26"/>
      <c r="U219" s="31"/>
      <c r="V219" s="26"/>
    </row>
    <row r="220" ht="15" customHeight="1">
      <c r="A220" s="32"/>
      <c r="B220" s="26"/>
      <c r="C220" s="26"/>
      <c r="D220" s="27"/>
      <c r="E220" s="28"/>
      <c r="F220" s="28"/>
      <c r="G220" s="28"/>
      <c r="H220" s="28"/>
      <c r="I220" s="28"/>
      <c r="J220" s="26"/>
      <c r="K220" s="26"/>
      <c r="L220" s="28"/>
      <c r="M220" s="28"/>
      <c r="N220" s="26"/>
      <c r="O220" s="26"/>
      <c r="P220" s="26"/>
      <c r="Q220" s="28"/>
      <c r="R220" s="26"/>
      <c r="S220" s="79"/>
      <c r="T220" s="26"/>
      <c r="U220" s="31"/>
      <c r="V220" s="26"/>
    </row>
    <row r="221" ht="15" customHeight="1">
      <c r="A221" s="32"/>
      <c r="B221" s="26"/>
      <c r="C221" s="26"/>
      <c r="D221" s="79"/>
      <c r="E221" s="28"/>
      <c r="F221" s="28"/>
      <c r="G221" s="28"/>
      <c r="H221" s="28"/>
      <c r="I221" s="28"/>
      <c r="J221" s="26"/>
      <c r="K221" s="26"/>
      <c r="L221" s="28"/>
      <c r="M221" s="28"/>
      <c r="N221" s="26"/>
      <c r="O221" s="26"/>
      <c r="P221" s="26"/>
      <c r="Q221" s="28"/>
      <c r="R221" s="26"/>
      <c r="S221" s="79"/>
      <c r="T221" s="26"/>
      <c r="U221" s="31"/>
      <c r="V221" s="26"/>
    </row>
    <row r="222" ht="15" customHeight="1">
      <c r="A222" s="32"/>
      <c r="B222" s="26"/>
      <c r="C222" s="26"/>
      <c r="D222" s="79"/>
      <c r="E222" s="28"/>
      <c r="F222" s="28"/>
      <c r="G222" s="28"/>
      <c r="H222" s="28"/>
      <c r="I222" s="28"/>
      <c r="J222" s="26"/>
      <c r="K222" s="26"/>
      <c r="L222" s="28"/>
      <c r="M222" s="28"/>
      <c r="N222" s="26"/>
      <c r="O222" s="26"/>
      <c r="P222" s="26"/>
      <c r="Q222" s="28"/>
      <c r="R222" s="26"/>
      <c r="S222" s="79"/>
      <c r="T222" s="26"/>
      <c r="U222" s="31"/>
      <c r="V222" s="26"/>
    </row>
    <row r="223" ht="15" customHeight="1">
      <c r="A223" s="32"/>
      <c r="B223" s="26"/>
      <c r="C223" s="26"/>
      <c r="D223" s="79"/>
      <c r="E223" s="28"/>
      <c r="F223" s="28"/>
      <c r="G223" s="28"/>
      <c r="H223" s="28"/>
      <c r="I223" s="28"/>
      <c r="J223" s="26"/>
      <c r="K223" s="26"/>
      <c r="L223" s="28"/>
      <c r="M223" s="28"/>
      <c r="N223" s="26"/>
      <c r="O223" s="26"/>
      <c r="P223" s="26"/>
      <c r="Q223" s="28"/>
      <c r="R223" s="26"/>
      <c r="S223" s="79"/>
      <c r="T223" s="26"/>
      <c r="U223" s="31"/>
      <c r="V223" s="26"/>
    </row>
    <row r="224" ht="15" customHeight="1">
      <c r="A224" s="32"/>
      <c r="B224" s="26"/>
      <c r="C224" s="26"/>
      <c r="D224" s="79"/>
      <c r="E224" s="28"/>
      <c r="F224" s="28"/>
      <c r="G224" s="28"/>
      <c r="H224" s="28"/>
      <c r="I224" s="28"/>
      <c r="J224" s="26"/>
      <c r="K224" s="26"/>
      <c r="L224" s="28"/>
      <c r="M224" s="28"/>
      <c r="N224" s="26"/>
      <c r="O224" s="26"/>
      <c r="P224" s="26"/>
      <c r="Q224" s="28"/>
      <c r="R224" s="26"/>
      <c r="S224" s="79"/>
      <c r="T224" s="26"/>
      <c r="U224" s="31"/>
      <c r="V224" s="26"/>
    </row>
    <row r="225" ht="15" customHeight="1">
      <c r="A225" s="32"/>
      <c r="B225" s="26"/>
      <c r="C225" s="26"/>
      <c r="D225" s="79"/>
      <c r="E225" s="28"/>
      <c r="F225" s="28"/>
      <c r="G225" s="28"/>
      <c r="H225" s="28"/>
      <c r="I225" s="28"/>
      <c r="J225" s="26"/>
      <c r="K225" s="26"/>
      <c r="L225" s="28"/>
      <c r="M225" s="28"/>
      <c r="N225" s="26"/>
      <c r="O225" s="26"/>
      <c r="P225" s="26"/>
      <c r="Q225" s="28"/>
      <c r="R225" s="26"/>
      <c r="S225" s="79"/>
      <c r="T225" s="26"/>
      <c r="U225" s="31"/>
      <c r="V225" s="26"/>
    </row>
    <row r="226" ht="15" customHeight="1">
      <c r="A226" s="32"/>
      <c r="B226" s="26"/>
      <c r="C226" s="26"/>
      <c r="D226" s="79"/>
      <c r="E226" s="28"/>
      <c r="F226" s="28"/>
      <c r="G226" s="28"/>
      <c r="H226" s="28"/>
      <c r="I226" s="28"/>
      <c r="J226" s="26"/>
      <c r="K226" s="26"/>
      <c r="L226" s="28"/>
      <c r="M226" s="28"/>
      <c r="N226" s="26"/>
      <c r="O226" s="26"/>
      <c r="P226" s="26"/>
      <c r="Q226" s="28"/>
      <c r="R226" s="26"/>
      <c r="S226" s="79"/>
      <c r="T226" s="26"/>
      <c r="U226" s="31"/>
      <c r="V226" s="26"/>
    </row>
    <row r="227" ht="15" customHeight="1">
      <c r="A227" s="32"/>
      <c r="B227" s="26"/>
      <c r="C227" s="26"/>
      <c r="D227" s="79"/>
      <c r="E227" s="28"/>
      <c r="F227" s="28"/>
      <c r="G227" s="28"/>
      <c r="H227" s="28"/>
      <c r="I227" s="28"/>
      <c r="J227" s="26"/>
      <c r="K227" s="26"/>
      <c r="L227" s="28"/>
      <c r="M227" s="28"/>
      <c r="N227" s="26"/>
      <c r="O227" s="26"/>
      <c r="P227" s="26"/>
      <c r="Q227" s="28"/>
      <c r="R227" s="26"/>
      <c r="S227" s="79"/>
      <c r="T227" s="26"/>
      <c r="U227" s="31"/>
      <c r="V227" s="26"/>
    </row>
    <row r="228" ht="15" customHeight="1">
      <c r="A228" s="32"/>
      <c r="B228" s="26"/>
      <c r="C228" s="26"/>
      <c r="D228" s="27"/>
      <c r="E228" s="28"/>
      <c r="F228" s="28"/>
      <c r="G228" s="28"/>
      <c r="H228" s="28"/>
      <c r="I228" s="28"/>
      <c r="J228" s="26"/>
      <c r="K228" s="26"/>
      <c r="L228" s="28"/>
      <c r="M228" s="28"/>
      <c r="N228" s="26"/>
      <c r="O228" s="26"/>
      <c r="P228" s="26"/>
      <c r="Q228" s="28"/>
      <c r="R228" s="26"/>
      <c r="S228" s="79"/>
      <c r="T228" s="26"/>
      <c r="U228" s="31"/>
      <c r="V228" s="26"/>
    </row>
    <row r="229" ht="15" customHeight="1">
      <c r="A229" s="32"/>
      <c r="B229" s="26"/>
      <c r="C229" s="26"/>
      <c r="D229" s="27"/>
      <c r="E229" s="28"/>
      <c r="F229" s="28"/>
      <c r="G229" s="28"/>
      <c r="H229" s="28"/>
      <c r="I229" s="28"/>
      <c r="J229" s="26"/>
      <c r="K229" s="26"/>
      <c r="L229" s="28"/>
      <c r="M229" s="28"/>
      <c r="N229" s="26"/>
      <c r="O229" s="26"/>
      <c r="P229" s="26"/>
      <c r="Q229" s="28"/>
      <c r="R229" s="26"/>
      <c r="S229" s="79"/>
      <c r="T229" s="26"/>
      <c r="U229" s="31"/>
      <c r="V229" s="26"/>
    </row>
    <row r="230" ht="15" customHeight="1">
      <c r="A230" s="32"/>
      <c r="B230" s="26"/>
      <c r="C230" s="26"/>
      <c r="D230" s="27"/>
      <c r="E230" s="28"/>
      <c r="F230" s="28"/>
      <c r="G230" s="28"/>
      <c r="H230" s="28"/>
      <c r="I230" s="28"/>
      <c r="J230" s="26"/>
      <c r="K230" s="26"/>
      <c r="L230" s="28"/>
      <c r="M230" s="28"/>
      <c r="N230" s="26"/>
      <c r="O230" s="26"/>
      <c r="P230" s="26"/>
      <c r="Q230" s="28"/>
      <c r="R230" s="26"/>
      <c r="S230" s="79"/>
      <c r="T230" s="26"/>
      <c r="U230" s="31"/>
      <c r="V230" s="26"/>
    </row>
    <row r="231" ht="15" customHeight="1">
      <c r="A231" s="32"/>
      <c r="B231" s="26"/>
      <c r="C231" s="26"/>
      <c r="D231" s="27"/>
      <c r="E231" s="28"/>
      <c r="F231" s="28"/>
      <c r="G231" s="28"/>
      <c r="H231" s="28"/>
      <c r="I231" s="28"/>
      <c r="J231" s="26"/>
      <c r="K231" s="26"/>
      <c r="L231" s="28"/>
      <c r="M231" s="28"/>
      <c r="N231" s="26"/>
      <c r="O231" s="26"/>
      <c r="P231" s="26"/>
      <c r="Q231" s="28"/>
      <c r="R231" s="26"/>
      <c r="S231" s="79"/>
      <c r="T231" s="26"/>
      <c r="U231" s="31"/>
      <c r="V231" s="26"/>
    </row>
    <row r="232" ht="15" customHeight="1">
      <c r="A232" s="32"/>
      <c r="B232" s="26"/>
      <c r="C232" s="26"/>
      <c r="D232" s="27"/>
      <c r="E232" s="28"/>
      <c r="F232" s="28"/>
      <c r="G232" s="28"/>
      <c r="H232" s="28"/>
      <c r="I232" s="28"/>
      <c r="J232" s="26"/>
      <c r="K232" s="26"/>
      <c r="L232" s="28"/>
      <c r="M232" s="28"/>
      <c r="N232" s="26"/>
      <c r="O232" s="26"/>
      <c r="P232" s="26"/>
      <c r="Q232" s="28"/>
      <c r="R232" s="26"/>
      <c r="S232" s="79"/>
      <c r="T232" s="26"/>
      <c r="U232" s="31"/>
      <c r="V232" s="26"/>
    </row>
    <row r="233" ht="15" customHeight="1">
      <c r="A233" s="32"/>
      <c r="B233" s="26"/>
      <c r="C233" s="26"/>
      <c r="D233" s="27"/>
      <c r="E233" s="28"/>
      <c r="F233" s="28"/>
      <c r="G233" s="28"/>
      <c r="H233" s="28"/>
      <c r="I233" s="28"/>
      <c r="J233" s="26"/>
      <c r="K233" s="26"/>
      <c r="L233" s="28"/>
      <c r="M233" s="28"/>
      <c r="N233" s="26"/>
      <c r="O233" s="26"/>
      <c r="P233" s="26"/>
      <c r="Q233" s="28"/>
      <c r="R233" s="26"/>
      <c r="S233" s="79"/>
      <c r="T233" s="26"/>
      <c r="U233" s="31"/>
      <c r="V233" s="26"/>
    </row>
    <row r="234" ht="15" customHeight="1">
      <c r="A234" s="32"/>
      <c r="B234" s="26"/>
      <c r="C234" s="26"/>
      <c r="D234" s="27"/>
      <c r="E234" s="28"/>
      <c r="F234" s="28"/>
      <c r="G234" s="28"/>
      <c r="H234" s="28"/>
      <c r="I234" s="28"/>
      <c r="J234" s="26"/>
      <c r="K234" s="26"/>
      <c r="L234" s="28"/>
      <c r="M234" s="28"/>
      <c r="N234" s="26"/>
      <c r="O234" s="26"/>
      <c r="P234" s="26"/>
      <c r="Q234" s="28"/>
      <c r="R234" s="26"/>
      <c r="S234" s="79"/>
      <c r="T234" s="26"/>
      <c r="U234" s="31"/>
      <c r="V234" s="26"/>
    </row>
    <row r="235" ht="15" customHeight="1">
      <c r="A235" s="32"/>
      <c r="B235" s="26"/>
      <c r="C235" s="26"/>
      <c r="D235" s="27"/>
      <c r="E235" s="28"/>
      <c r="F235" s="28"/>
      <c r="G235" s="28"/>
      <c r="H235" s="28"/>
      <c r="I235" s="28"/>
      <c r="J235" s="26"/>
      <c r="K235" s="26"/>
      <c r="L235" s="28"/>
      <c r="M235" s="28"/>
      <c r="N235" s="26"/>
      <c r="O235" s="26"/>
      <c r="P235" s="26"/>
      <c r="Q235" s="28"/>
      <c r="R235" s="26"/>
      <c r="S235" s="79"/>
      <c r="T235" s="26"/>
      <c r="U235" s="31"/>
      <c r="V235" s="26"/>
    </row>
    <row r="236" ht="15" customHeight="1">
      <c r="A236" s="32"/>
      <c r="B236" s="26"/>
      <c r="C236" s="26"/>
      <c r="D236" s="79"/>
      <c r="E236" s="28"/>
      <c r="F236" s="28"/>
      <c r="G236" s="28"/>
      <c r="H236" s="28"/>
      <c r="I236" s="28"/>
      <c r="J236" s="26"/>
      <c r="K236" s="26"/>
      <c r="L236" s="28"/>
      <c r="M236" s="28"/>
      <c r="N236" s="26"/>
      <c r="O236" s="26"/>
      <c r="P236" s="26"/>
      <c r="Q236" s="28"/>
      <c r="R236" s="26"/>
      <c r="S236" s="79"/>
      <c r="T236" s="26"/>
      <c r="U236" s="31"/>
      <c r="V236" s="26"/>
    </row>
    <row r="237" ht="15" customHeight="1">
      <c r="A237" s="32"/>
      <c r="B237" s="26"/>
      <c r="C237" s="26"/>
      <c r="D237" s="79"/>
      <c r="E237" s="28"/>
      <c r="F237" s="28"/>
      <c r="G237" s="28"/>
      <c r="H237" s="28"/>
      <c r="I237" s="28"/>
      <c r="J237" s="26"/>
      <c r="K237" s="26"/>
      <c r="L237" s="28"/>
      <c r="M237" s="28"/>
      <c r="N237" s="26"/>
      <c r="O237" s="26"/>
      <c r="P237" s="26"/>
      <c r="Q237" s="28"/>
      <c r="R237" s="26"/>
      <c r="S237" s="79"/>
      <c r="T237" s="26"/>
      <c r="U237" s="31"/>
      <c r="V237" s="26"/>
    </row>
    <row r="238" ht="15" customHeight="1">
      <c r="A238" s="32"/>
      <c r="B238" s="26"/>
      <c r="C238" s="26"/>
      <c r="D238" s="79"/>
      <c r="E238" s="28"/>
      <c r="F238" s="28"/>
      <c r="G238" s="28"/>
      <c r="H238" s="28"/>
      <c r="I238" s="28"/>
      <c r="J238" s="26"/>
      <c r="K238" s="26"/>
      <c r="L238" s="28"/>
      <c r="M238" s="28"/>
      <c r="N238" s="26"/>
      <c r="O238" s="26"/>
      <c r="P238" s="26"/>
      <c r="Q238" s="28"/>
      <c r="R238" s="26"/>
      <c r="S238" s="79"/>
      <c r="T238" s="26"/>
      <c r="U238" s="31"/>
      <c r="V238" s="26"/>
    </row>
    <row r="239" ht="15" customHeight="1">
      <c r="A239" s="32"/>
      <c r="B239" s="26"/>
      <c r="C239" s="26"/>
      <c r="D239" s="79"/>
      <c r="E239" s="28"/>
      <c r="F239" s="28"/>
      <c r="G239" s="28"/>
      <c r="H239" s="28"/>
      <c r="I239" s="28"/>
      <c r="J239" s="26"/>
      <c r="K239" s="26"/>
      <c r="L239" s="28"/>
      <c r="M239" s="28"/>
      <c r="N239" s="26"/>
      <c r="O239" s="26"/>
      <c r="P239" s="26"/>
      <c r="Q239" s="28"/>
      <c r="R239" s="26"/>
      <c r="S239" s="79"/>
      <c r="T239" s="26"/>
      <c r="U239" s="31"/>
      <c r="V239" s="26"/>
    </row>
    <row r="240" ht="15" customHeight="1">
      <c r="A240" s="32"/>
      <c r="B240" s="26"/>
      <c r="C240" s="26"/>
      <c r="D240" s="79"/>
      <c r="E240" s="28"/>
      <c r="F240" s="28"/>
      <c r="G240" s="28"/>
      <c r="H240" s="28"/>
      <c r="I240" s="28"/>
      <c r="J240" s="26"/>
      <c r="K240" s="26"/>
      <c r="L240" s="28"/>
      <c r="M240" s="28"/>
      <c r="N240" s="26"/>
      <c r="O240" s="26"/>
      <c r="P240" s="26"/>
      <c r="Q240" s="28"/>
      <c r="R240" s="26"/>
      <c r="S240" s="79"/>
      <c r="T240" s="26"/>
      <c r="U240" s="31"/>
      <c r="V240" s="26"/>
    </row>
    <row r="241" ht="15" customHeight="1">
      <c r="A241" s="32"/>
      <c r="B241" s="26"/>
      <c r="C241" s="26"/>
      <c r="D241" s="79"/>
      <c r="E241" s="28"/>
      <c r="F241" s="28"/>
      <c r="G241" s="28"/>
      <c r="H241" s="28"/>
      <c r="I241" s="28"/>
      <c r="J241" s="26"/>
      <c r="K241" s="26"/>
      <c r="L241" s="28"/>
      <c r="M241" s="28"/>
      <c r="N241" s="26"/>
      <c r="O241" s="26"/>
      <c r="P241" s="26"/>
      <c r="Q241" s="28"/>
      <c r="R241" s="26"/>
      <c r="S241" s="79"/>
      <c r="T241" s="26"/>
      <c r="U241" s="31"/>
      <c r="V241" s="26"/>
    </row>
    <row r="242" ht="15" customHeight="1">
      <c r="A242" s="32"/>
      <c r="B242" s="26"/>
      <c r="C242" s="26"/>
      <c r="D242" s="27"/>
      <c r="E242" s="28"/>
      <c r="F242" s="28"/>
      <c r="G242" s="28"/>
      <c r="H242" s="28"/>
      <c r="I242" s="28"/>
      <c r="J242" s="26"/>
      <c r="K242" s="26"/>
      <c r="L242" s="28"/>
      <c r="M242" s="28"/>
      <c r="N242" s="26"/>
      <c r="O242" s="26"/>
      <c r="P242" s="26"/>
      <c r="Q242" s="28"/>
      <c r="R242" s="26"/>
      <c r="S242" s="79"/>
      <c r="T242" s="26"/>
      <c r="U242" s="31"/>
      <c r="V242" s="26"/>
    </row>
    <row r="243" ht="15" customHeight="1">
      <c r="A243" s="32"/>
      <c r="B243" s="26"/>
      <c r="C243" s="26"/>
      <c r="D243" s="79"/>
      <c r="E243" s="28"/>
      <c r="F243" s="28"/>
      <c r="G243" s="28"/>
      <c r="H243" s="28"/>
      <c r="I243" s="28"/>
      <c r="J243" s="26"/>
      <c r="K243" s="26"/>
      <c r="L243" s="28"/>
      <c r="M243" s="28"/>
      <c r="N243" s="26"/>
      <c r="O243" s="26"/>
      <c r="P243" s="26"/>
      <c r="Q243" s="28"/>
      <c r="R243" s="26"/>
      <c r="S243" s="79"/>
      <c r="T243" s="26"/>
      <c r="U243" s="31"/>
      <c r="V243" s="26"/>
    </row>
    <row r="244" ht="15" customHeight="1">
      <c r="A244" s="32"/>
      <c r="B244" s="26"/>
      <c r="C244" s="26"/>
      <c r="D244" s="27"/>
      <c r="E244" s="28"/>
      <c r="F244" s="28"/>
      <c r="G244" s="28"/>
      <c r="H244" s="28"/>
      <c r="I244" s="28"/>
      <c r="J244" s="26"/>
      <c r="K244" s="26"/>
      <c r="L244" s="28"/>
      <c r="M244" s="28"/>
      <c r="N244" s="26"/>
      <c r="O244" s="26"/>
      <c r="P244" s="26"/>
      <c r="Q244" s="28"/>
      <c r="R244" s="26"/>
      <c r="S244" s="79"/>
      <c r="T244" s="26"/>
      <c r="U244" s="31"/>
      <c r="V244" s="26"/>
    </row>
    <row r="245" ht="15" customHeight="1">
      <c r="A245" s="32"/>
      <c r="B245" s="26"/>
      <c r="C245" s="26"/>
      <c r="D245" s="27"/>
      <c r="E245" s="28"/>
      <c r="F245" s="28"/>
      <c r="G245" s="28"/>
      <c r="H245" s="28"/>
      <c r="I245" s="28"/>
      <c r="J245" s="26"/>
      <c r="K245" s="26"/>
      <c r="L245" s="28"/>
      <c r="M245" s="28"/>
      <c r="N245" s="26"/>
      <c r="O245" s="26"/>
      <c r="P245" s="26"/>
      <c r="Q245" s="28"/>
      <c r="R245" s="26"/>
      <c r="S245" s="79"/>
      <c r="T245" s="26"/>
      <c r="U245" s="31"/>
      <c r="V245" s="80"/>
    </row>
    <row r="246" ht="15" customHeight="1">
      <c r="A246" s="32"/>
      <c r="B246" s="26"/>
      <c r="C246" s="26"/>
      <c r="D246" s="27"/>
      <c r="E246" s="28"/>
      <c r="F246" s="28"/>
      <c r="G246" s="28"/>
      <c r="H246" s="28"/>
      <c r="I246" s="28"/>
      <c r="J246" s="26"/>
      <c r="K246" s="26"/>
      <c r="L246" s="28"/>
      <c r="M246" s="28"/>
      <c r="N246" s="26"/>
      <c r="O246" s="26"/>
      <c r="P246" s="26"/>
      <c r="Q246" s="28"/>
      <c r="R246" s="26"/>
      <c r="S246" s="79"/>
      <c r="T246" s="26"/>
      <c r="U246" s="31"/>
      <c r="V246" s="26"/>
    </row>
    <row r="247" ht="15" customHeight="1">
      <c r="A247" s="32"/>
      <c r="B247" s="26"/>
      <c r="C247" s="26"/>
      <c r="D247" s="27"/>
      <c r="E247" s="28"/>
      <c r="F247" s="28"/>
      <c r="G247" s="28"/>
      <c r="H247" s="28"/>
      <c r="I247" s="28"/>
      <c r="J247" s="26"/>
      <c r="K247" s="26"/>
      <c r="L247" s="28"/>
      <c r="M247" s="28"/>
      <c r="N247" s="26"/>
      <c r="O247" s="26"/>
      <c r="P247" s="26"/>
      <c r="Q247" s="28"/>
      <c r="R247" s="26"/>
      <c r="S247" s="79"/>
      <c r="T247" s="26"/>
      <c r="U247" s="31"/>
      <c r="V247" s="26"/>
    </row>
    <row r="248" ht="15" customHeight="1">
      <c r="A248" s="32"/>
      <c r="B248" s="26"/>
      <c r="C248" s="26"/>
      <c r="D248" s="27"/>
      <c r="E248" s="28"/>
      <c r="F248" s="28"/>
      <c r="G248" s="28"/>
      <c r="H248" s="28"/>
      <c r="I248" s="28"/>
      <c r="J248" s="26"/>
      <c r="K248" s="26"/>
      <c r="L248" s="28"/>
      <c r="M248" s="28"/>
      <c r="N248" s="26"/>
      <c r="O248" s="26"/>
      <c r="P248" s="26"/>
      <c r="Q248" s="28"/>
      <c r="R248" s="26"/>
      <c r="S248" s="79"/>
      <c r="T248" s="26"/>
      <c r="U248" s="31"/>
      <c r="V248" s="26"/>
    </row>
    <row r="249" ht="15" customHeight="1">
      <c r="A249" s="32"/>
      <c r="B249" s="26"/>
      <c r="C249" s="26"/>
      <c r="D249" s="27"/>
      <c r="E249" s="28"/>
      <c r="F249" s="28"/>
      <c r="G249" s="28"/>
      <c r="H249" s="28"/>
      <c r="I249" s="28"/>
      <c r="J249" s="26"/>
      <c r="K249" s="26"/>
      <c r="L249" s="28"/>
      <c r="M249" s="28"/>
      <c r="N249" s="26"/>
      <c r="O249" s="26"/>
      <c r="P249" s="26"/>
      <c r="Q249" s="28"/>
      <c r="R249" s="26"/>
      <c r="S249" s="79"/>
      <c r="T249" s="26"/>
      <c r="U249" s="31"/>
      <c r="V249" s="26"/>
    </row>
    <row r="250" ht="15" customHeight="1">
      <c r="A250" s="32"/>
      <c r="B250" s="26"/>
      <c r="C250" s="26"/>
      <c r="D250" s="27"/>
      <c r="E250" s="28"/>
      <c r="F250" s="28"/>
      <c r="G250" s="28"/>
      <c r="H250" s="28"/>
      <c r="I250" s="28"/>
      <c r="J250" s="26"/>
      <c r="K250" s="26"/>
      <c r="L250" s="28"/>
      <c r="M250" s="28"/>
      <c r="N250" s="26"/>
      <c r="O250" s="26"/>
      <c r="P250" s="26"/>
      <c r="Q250" s="28"/>
      <c r="R250" s="26"/>
      <c r="S250" s="79"/>
      <c r="T250" s="26"/>
      <c r="U250" s="31"/>
      <c r="V250" s="26"/>
    </row>
    <row r="251" ht="15" customHeight="1">
      <c r="A251" s="32"/>
      <c r="B251" s="26"/>
      <c r="C251" s="26"/>
      <c r="D251" s="27"/>
      <c r="E251" s="28"/>
      <c r="F251" s="28"/>
      <c r="G251" s="28"/>
      <c r="H251" s="28"/>
      <c r="I251" s="28"/>
      <c r="J251" s="26"/>
      <c r="K251" s="26"/>
      <c r="L251" s="28"/>
      <c r="M251" s="28"/>
      <c r="N251" s="26"/>
      <c r="O251" s="26"/>
      <c r="P251" s="26"/>
      <c r="Q251" s="28"/>
      <c r="R251" s="26"/>
      <c r="S251" s="79"/>
      <c r="T251" s="26"/>
      <c r="U251" s="31"/>
      <c r="V251" s="26"/>
    </row>
    <row r="252" ht="15" customHeight="1">
      <c r="A252" s="32"/>
      <c r="B252" s="26"/>
      <c r="C252" s="26"/>
      <c r="D252" s="79"/>
      <c r="E252" s="28"/>
      <c r="F252" s="28"/>
      <c r="G252" s="28"/>
      <c r="H252" s="28"/>
      <c r="I252" s="28"/>
      <c r="J252" s="26"/>
      <c r="K252" s="26"/>
      <c r="L252" s="28"/>
      <c r="M252" s="28"/>
      <c r="N252" s="26"/>
      <c r="O252" s="26"/>
      <c r="P252" s="26"/>
      <c r="Q252" s="28"/>
      <c r="R252" s="26"/>
      <c r="S252" s="79"/>
      <c r="T252" s="26"/>
      <c r="U252" s="31"/>
      <c r="V252" s="26"/>
    </row>
    <row r="253" ht="15" customHeight="1">
      <c r="A253" s="32"/>
      <c r="B253" s="26"/>
      <c r="C253" s="26"/>
      <c r="D253" s="79"/>
      <c r="E253" s="28"/>
      <c r="F253" s="28"/>
      <c r="G253" s="28"/>
      <c r="H253" s="28"/>
      <c r="I253" s="28"/>
      <c r="J253" s="26"/>
      <c r="K253" s="26"/>
      <c r="L253" s="28"/>
      <c r="M253" s="28"/>
      <c r="N253" s="26"/>
      <c r="O253" s="26"/>
      <c r="P253" s="26"/>
      <c r="Q253" s="28"/>
      <c r="R253" s="26"/>
      <c r="S253" s="79"/>
      <c r="T253" s="26"/>
      <c r="U253" s="31"/>
      <c r="V253" s="26"/>
    </row>
    <row r="254" ht="15" customHeight="1">
      <c r="A254" s="32"/>
      <c r="B254" s="26"/>
      <c r="C254" s="26"/>
      <c r="D254" s="79"/>
      <c r="E254" s="28"/>
      <c r="F254" s="28"/>
      <c r="G254" s="28"/>
      <c r="H254" s="28"/>
      <c r="I254" s="28"/>
      <c r="J254" s="26"/>
      <c r="K254" s="26"/>
      <c r="L254" s="28"/>
      <c r="M254" s="28"/>
      <c r="N254" s="26"/>
      <c r="O254" s="26"/>
      <c r="P254" s="26"/>
      <c r="Q254" s="28"/>
      <c r="R254" s="26"/>
      <c r="S254" s="79"/>
      <c r="T254" s="26"/>
      <c r="U254" s="31"/>
      <c r="V254" s="26"/>
    </row>
    <row r="255" ht="15" customHeight="1">
      <c r="A255" s="32"/>
      <c r="B255" s="26"/>
      <c r="C255" s="26"/>
      <c r="D255" s="79"/>
      <c r="E255" s="28"/>
      <c r="F255" s="28"/>
      <c r="G255" s="28"/>
      <c r="H255" s="28"/>
      <c r="I255" s="28"/>
      <c r="J255" s="26"/>
      <c r="K255" s="26"/>
      <c r="L255" s="28"/>
      <c r="M255" s="28"/>
      <c r="N255" s="26"/>
      <c r="O255" s="26"/>
      <c r="P255" s="26"/>
      <c r="Q255" s="28"/>
      <c r="R255" s="26"/>
      <c r="S255" s="79"/>
      <c r="T255" s="26"/>
      <c r="U255" s="31"/>
      <c r="V255" s="26"/>
    </row>
    <row r="256" ht="15" customHeight="1">
      <c r="A256" s="32"/>
      <c r="B256" s="26"/>
      <c r="C256" s="26"/>
      <c r="D256" s="79"/>
      <c r="E256" s="28"/>
      <c r="F256" s="28"/>
      <c r="G256" s="28"/>
      <c r="H256" s="28"/>
      <c r="I256" s="28"/>
      <c r="J256" s="26"/>
      <c r="K256" s="26"/>
      <c r="L256" s="28"/>
      <c r="M256" s="28"/>
      <c r="N256" s="26"/>
      <c r="O256" s="26"/>
      <c r="P256" s="26"/>
      <c r="Q256" s="28"/>
      <c r="R256" s="26"/>
      <c r="S256" s="79"/>
      <c r="T256" s="26"/>
      <c r="U256" s="31"/>
      <c r="V256" s="26"/>
    </row>
    <row r="257" ht="15" customHeight="1">
      <c r="A257" s="32"/>
      <c r="B257" s="26"/>
      <c r="C257" s="26"/>
      <c r="D257" s="79"/>
      <c r="E257" s="28"/>
      <c r="F257" s="28"/>
      <c r="G257" s="28"/>
      <c r="H257" s="28"/>
      <c r="I257" s="28"/>
      <c r="J257" s="26"/>
      <c r="K257" s="26"/>
      <c r="L257" s="28"/>
      <c r="M257" s="28"/>
      <c r="N257" s="26"/>
      <c r="O257" s="26"/>
      <c r="P257" s="26"/>
      <c r="Q257" s="28"/>
      <c r="R257" s="26"/>
      <c r="S257" s="79"/>
      <c r="T257" s="26"/>
      <c r="U257" s="31"/>
      <c r="V257" s="26"/>
    </row>
    <row r="258" ht="15" customHeight="1">
      <c r="A258" s="32"/>
      <c r="B258" s="26"/>
      <c r="C258" s="26"/>
      <c r="D258" s="79"/>
      <c r="E258" s="28"/>
      <c r="F258" s="28"/>
      <c r="G258" s="28"/>
      <c r="H258" s="28"/>
      <c r="I258" s="28"/>
      <c r="J258" s="26"/>
      <c r="K258" s="26"/>
      <c r="L258" s="28"/>
      <c r="M258" s="28"/>
      <c r="N258" s="26"/>
      <c r="O258" s="26"/>
      <c r="P258" s="26"/>
      <c r="Q258" s="28"/>
      <c r="R258" s="26"/>
      <c r="S258" s="79"/>
      <c r="T258" s="26"/>
      <c r="U258" s="31"/>
      <c r="V258" s="26"/>
    </row>
    <row r="259" ht="15" customHeight="1">
      <c r="A259" s="32"/>
      <c r="B259" s="26"/>
      <c r="C259" s="26"/>
      <c r="D259" s="27"/>
      <c r="E259" s="28"/>
      <c r="F259" s="28"/>
      <c r="G259" s="28"/>
      <c r="H259" s="28"/>
      <c r="I259" s="28"/>
      <c r="J259" s="26"/>
      <c r="K259" s="26"/>
      <c r="L259" s="28"/>
      <c r="M259" s="28"/>
      <c r="N259" s="26"/>
      <c r="O259" s="26"/>
      <c r="P259" s="26"/>
      <c r="Q259" s="28"/>
      <c r="R259" s="26"/>
      <c r="S259" s="79"/>
      <c r="T259" s="26"/>
      <c r="U259" s="31"/>
      <c r="V259" s="26"/>
    </row>
    <row r="260" ht="15" customHeight="1">
      <c r="A260" s="32"/>
      <c r="B260" s="26"/>
      <c r="C260" s="26"/>
      <c r="D260" s="27"/>
      <c r="E260" s="28"/>
      <c r="F260" s="28"/>
      <c r="G260" s="28"/>
      <c r="H260" s="28"/>
      <c r="I260" s="28"/>
      <c r="J260" s="26"/>
      <c r="K260" s="26"/>
      <c r="L260" s="28"/>
      <c r="M260" s="28"/>
      <c r="N260" s="26"/>
      <c r="O260" s="26"/>
      <c r="P260" s="26"/>
      <c r="Q260" s="28"/>
      <c r="R260" s="26"/>
      <c r="S260" s="79"/>
      <c r="T260" s="26"/>
      <c r="U260" s="31"/>
      <c r="V260" s="26"/>
    </row>
    <row r="261" ht="15" customHeight="1">
      <c r="A261" s="32"/>
      <c r="B261" s="26"/>
      <c r="C261" s="26"/>
      <c r="D261" s="27"/>
      <c r="E261" s="28"/>
      <c r="F261" s="28"/>
      <c r="G261" s="28"/>
      <c r="H261" s="28"/>
      <c r="I261" s="28"/>
      <c r="J261" s="26"/>
      <c r="K261" s="26"/>
      <c r="L261" s="28"/>
      <c r="M261" s="28"/>
      <c r="N261" s="26"/>
      <c r="O261" s="26"/>
      <c r="P261" s="26"/>
      <c r="Q261" s="28"/>
      <c r="R261" s="26"/>
      <c r="S261" s="79"/>
      <c r="T261" s="26"/>
      <c r="U261" s="31"/>
      <c r="V261" s="26"/>
    </row>
    <row r="262" ht="15" customHeight="1">
      <c r="A262" s="32"/>
      <c r="B262" s="26"/>
      <c r="C262" s="26"/>
      <c r="D262" s="27"/>
      <c r="E262" s="28"/>
      <c r="F262" s="28"/>
      <c r="G262" s="28"/>
      <c r="H262" s="28"/>
      <c r="I262" s="28"/>
      <c r="J262" s="26"/>
      <c r="K262" s="26"/>
      <c r="L262" s="28"/>
      <c r="M262" s="28"/>
      <c r="N262" s="26"/>
      <c r="O262" s="26"/>
      <c r="P262" s="26"/>
      <c r="Q262" s="28"/>
      <c r="R262" s="26"/>
      <c r="S262" s="79"/>
      <c r="T262" s="26"/>
      <c r="U262" s="31"/>
      <c r="V262" s="26"/>
    </row>
    <row r="263" ht="15" customHeight="1">
      <c r="A263" s="32"/>
      <c r="B263" s="26"/>
      <c r="C263" s="26"/>
      <c r="D263" s="27"/>
      <c r="E263" s="28"/>
      <c r="F263" s="28"/>
      <c r="G263" s="28"/>
      <c r="H263" s="28"/>
      <c r="I263" s="28"/>
      <c r="J263" s="26"/>
      <c r="K263" s="26"/>
      <c r="L263" s="28"/>
      <c r="M263" s="28"/>
      <c r="N263" s="26"/>
      <c r="O263" s="26"/>
      <c r="P263" s="26"/>
      <c r="Q263" s="28"/>
      <c r="R263" s="26"/>
      <c r="S263" s="79"/>
      <c r="T263" s="26"/>
      <c r="U263" s="31"/>
      <c r="V263" s="26"/>
    </row>
    <row r="264" ht="15" customHeight="1">
      <c r="A264" s="32"/>
      <c r="B264" s="26"/>
      <c r="C264" s="26"/>
      <c r="D264" s="27"/>
      <c r="E264" s="28"/>
      <c r="F264" s="28"/>
      <c r="G264" s="28"/>
      <c r="H264" s="28"/>
      <c r="I264" s="28"/>
      <c r="J264" s="26"/>
      <c r="K264" s="26"/>
      <c r="L264" s="28"/>
      <c r="M264" s="28"/>
      <c r="N264" s="26"/>
      <c r="O264" s="26"/>
      <c r="P264" s="26"/>
      <c r="Q264" s="28"/>
      <c r="R264" s="26"/>
      <c r="S264" s="79"/>
      <c r="T264" s="26"/>
      <c r="U264" s="31"/>
      <c r="V264" s="26"/>
    </row>
    <row r="265" ht="15" customHeight="1">
      <c r="A265" s="32"/>
      <c r="B265" s="26"/>
      <c r="C265" s="26"/>
      <c r="D265" s="27"/>
      <c r="E265" s="28"/>
      <c r="F265" s="28"/>
      <c r="G265" s="28"/>
      <c r="H265" s="28"/>
      <c r="I265" s="28"/>
      <c r="J265" s="26"/>
      <c r="K265" s="26"/>
      <c r="L265" s="28"/>
      <c r="M265" s="28"/>
      <c r="N265" s="26"/>
      <c r="O265" s="26"/>
      <c r="P265" s="26"/>
      <c r="Q265" s="28"/>
      <c r="R265" s="26"/>
      <c r="S265" s="79"/>
      <c r="T265" s="26"/>
      <c r="U265" s="31"/>
      <c r="V265" s="26"/>
    </row>
    <row r="266" ht="15" customHeight="1">
      <c r="A266" s="32"/>
      <c r="B266" s="26"/>
      <c r="C266" s="26"/>
      <c r="D266" s="27"/>
      <c r="E266" s="28"/>
      <c r="F266" s="28"/>
      <c r="G266" s="28"/>
      <c r="H266" s="28"/>
      <c r="I266" s="28"/>
      <c r="J266" s="26"/>
      <c r="K266" s="26"/>
      <c r="L266" s="28"/>
      <c r="M266" s="28"/>
      <c r="N266" s="26"/>
      <c r="O266" s="26"/>
      <c r="P266" s="26"/>
      <c r="Q266" s="28"/>
      <c r="R266" s="26"/>
      <c r="S266" s="79"/>
      <c r="T266" s="26"/>
      <c r="U266" s="31"/>
      <c r="V266" s="26"/>
    </row>
    <row r="267" ht="15" customHeight="1">
      <c r="A267" s="32"/>
      <c r="B267" s="26"/>
      <c r="C267" s="26"/>
      <c r="D267" s="79"/>
      <c r="E267" s="28"/>
      <c r="F267" s="28"/>
      <c r="G267" s="28"/>
      <c r="H267" s="28"/>
      <c r="I267" s="28"/>
      <c r="J267" s="26"/>
      <c r="K267" s="26"/>
      <c r="L267" s="28"/>
      <c r="M267" s="28"/>
      <c r="N267" s="26"/>
      <c r="O267" s="26"/>
      <c r="P267" s="26"/>
      <c r="Q267" s="28"/>
      <c r="R267" s="26"/>
      <c r="S267" s="79"/>
      <c r="T267" s="26"/>
      <c r="U267" s="31"/>
      <c r="V267" s="26"/>
    </row>
    <row r="268" ht="15" customHeight="1">
      <c r="A268" s="32"/>
      <c r="B268" s="26"/>
      <c r="C268" s="26"/>
      <c r="D268" s="79"/>
      <c r="E268" s="28"/>
      <c r="F268" s="28"/>
      <c r="G268" s="28"/>
      <c r="H268" s="28"/>
      <c r="I268" s="28"/>
      <c r="J268" s="26"/>
      <c r="K268" s="26"/>
      <c r="L268" s="28"/>
      <c r="M268" s="28"/>
      <c r="N268" s="26"/>
      <c r="O268" s="26"/>
      <c r="P268" s="26"/>
      <c r="Q268" s="28"/>
      <c r="R268" s="26"/>
      <c r="S268" s="79"/>
      <c r="T268" s="26"/>
      <c r="U268" s="31"/>
      <c r="V268" s="26"/>
    </row>
    <row r="269" ht="15" customHeight="1">
      <c r="A269" s="32"/>
      <c r="B269" s="26"/>
      <c r="C269" s="26"/>
      <c r="D269" s="79"/>
      <c r="E269" s="28"/>
      <c r="F269" s="28"/>
      <c r="G269" s="28"/>
      <c r="H269" s="28"/>
      <c r="I269" s="28"/>
      <c r="J269" s="26"/>
      <c r="K269" s="26"/>
      <c r="L269" s="28"/>
      <c r="M269" s="28"/>
      <c r="N269" s="26"/>
      <c r="O269" s="26"/>
      <c r="P269" s="26"/>
      <c r="Q269" s="28"/>
      <c r="R269" s="26"/>
      <c r="S269" s="79"/>
      <c r="T269" s="26"/>
      <c r="U269" s="31"/>
      <c r="V269" s="26"/>
    </row>
    <row r="270" ht="15" customHeight="1">
      <c r="A270" s="32"/>
      <c r="B270" s="26"/>
      <c r="C270" s="26"/>
      <c r="D270" s="79"/>
      <c r="E270" s="28"/>
      <c r="F270" s="28"/>
      <c r="G270" s="28"/>
      <c r="H270" s="28"/>
      <c r="I270" s="28"/>
      <c r="J270" s="26"/>
      <c r="K270" s="26"/>
      <c r="L270" s="28"/>
      <c r="M270" s="28"/>
      <c r="N270" s="26"/>
      <c r="O270" s="26"/>
      <c r="P270" s="26"/>
      <c r="Q270" s="28"/>
      <c r="R270" s="26"/>
      <c r="S270" s="79"/>
      <c r="T270" s="26"/>
      <c r="U270" s="31"/>
      <c r="V270" s="26"/>
    </row>
    <row r="271" ht="15" customHeight="1">
      <c r="A271" s="32"/>
      <c r="B271" s="26"/>
      <c r="C271" s="26"/>
      <c r="D271" s="79"/>
      <c r="E271" s="28"/>
      <c r="F271" s="28"/>
      <c r="G271" s="28"/>
      <c r="H271" s="28"/>
      <c r="I271" s="28"/>
      <c r="J271" s="26"/>
      <c r="K271" s="26"/>
      <c r="L271" s="28"/>
      <c r="M271" s="28"/>
      <c r="N271" s="26"/>
      <c r="O271" s="26"/>
      <c r="P271" s="26"/>
      <c r="Q271" s="28"/>
      <c r="R271" s="26"/>
      <c r="S271" s="79"/>
      <c r="T271" s="26"/>
      <c r="U271" s="31"/>
      <c r="V271" s="26"/>
    </row>
    <row r="272" ht="15" customHeight="1">
      <c r="A272" s="32"/>
      <c r="B272" s="26"/>
      <c r="C272" s="26"/>
      <c r="D272" s="79"/>
      <c r="E272" s="28"/>
      <c r="F272" s="28"/>
      <c r="G272" s="28"/>
      <c r="H272" s="28"/>
      <c r="I272" s="28"/>
      <c r="J272" s="26"/>
      <c r="K272" s="26"/>
      <c r="L272" s="28"/>
      <c r="M272" s="28"/>
      <c r="N272" s="26"/>
      <c r="O272" s="26"/>
      <c r="P272" s="26"/>
      <c r="Q272" s="28"/>
      <c r="R272" s="26"/>
      <c r="S272" s="79"/>
      <c r="T272" s="26"/>
      <c r="U272" s="31"/>
      <c r="V272" s="26"/>
    </row>
    <row r="273" ht="15" customHeight="1">
      <c r="A273" s="32"/>
      <c r="B273" s="26"/>
      <c r="C273" s="26"/>
      <c r="D273" s="27"/>
      <c r="E273" s="28"/>
      <c r="F273" s="28"/>
      <c r="G273" s="28"/>
      <c r="H273" s="28"/>
      <c r="I273" s="28"/>
      <c r="J273" s="26"/>
      <c r="K273" s="26"/>
      <c r="L273" s="28"/>
      <c r="M273" s="28"/>
      <c r="N273" s="26"/>
      <c r="O273" s="26"/>
      <c r="P273" s="26"/>
      <c r="Q273" s="28"/>
      <c r="R273" s="26"/>
      <c r="S273" s="79"/>
      <c r="T273" s="26"/>
      <c r="U273" s="31"/>
      <c r="V273" s="26"/>
    </row>
    <row r="274" ht="15" customHeight="1">
      <c r="A274" s="32"/>
      <c r="B274" s="26"/>
      <c r="C274" s="26"/>
      <c r="D274" s="79"/>
      <c r="E274" s="28"/>
      <c r="F274" s="28"/>
      <c r="G274" s="28"/>
      <c r="H274" s="28"/>
      <c r="I274" s="28"/>
      <c r="J274" s="26"/>
      <c r="K274" s="26"/>
      <c r="L274" s="28"/>
      <c r="M274" s="28"/>
      <c r="N274" s="26"/>
      <c r="O274" s="26"/>
      <c r="P274" s="26"/>
      <c r="Q274" s="28"/>
      <c r="R274" s="26"/>
      <c r="S274" s="79"/>
      <c r="T274" s="26"/>
      <c r="U274" s="31"/>
      <c r="V274" s="26"/>
    </row>
    <row r="275" ht="15" customHeight="1">
      <c r="A275" s="32"/>
      <c r="B275" s="26"/>
      <c r="C275" s="26"/>
      <c r="D275" s="81"/>
      <c r="E275" s="28"/>
      <c r="F275" s="28"/>
      <c r="G275" s="28"/>
      <c r="H275" s="28"/>
      <c r="I275" s="28"/>
      <c r="J275" s="26"/>
      <c r="K275" s="26"/>
      <c r="L275" s="28"/>
      <c r="M275" s="28"/>
      <c r="N275" s="26"/>
      <c r="O275" s="26"/>
      <c r="P275" s="26"/>
      <c r="Q275" s="28"/>
      <c r="R275" s="26"/>
      <c r="S275" s="79"/>
      <c r="T275" s="26"/>
      <c r="U275" s="31"/>
      <c r="V275" s="26"/>
    </row>
    <row r="276" ht="15" customHeight="1">
      <c r="A276" s="32"/>
      <c r="B276" s="26"/>
      <c r="C276" s="26"/>
      <c r="D276" s="81"/>
      <c r="E276" s="28"/>
      <c r="F276" s="28"/>
      <c r="G276" s="28"/>
      <c r="H276" s="28"/>
      <c r="I276" s="28"/>
      <c r="J276" s="26"/>
      <c r="K276" s="26"/>
      <c r="L276" s="28"/>
      <c r="M276" s="28"/>
      <c r="N276" s="26"/>
      <c r="O276" s="26"/>
      <c r="P276" s="26"/>
      <c r="Q276" s="28"/>
      <c r="R276" s="26"/>
      <c r="S276" s="79"/>
      <c r="T276" s="26"/>
      <c r="U276" s="31"/>
      <c r="V276" s="26"/>
    </row>
    <row r="277" ht="15" customHeight="1">
      <c r="A277" s="32"/>
      <c r="B277" s="26"/>
      <c r="C277" s="26"/>
      <c r="D277" s="81"/>
      <c r="E277" s="28"/>
      <c r="F277" s="28"/>
      <c r="G277" s="28"/>
      <c r="H277" s="28"/>
      <c r="I277" s="28"/>
      <c r="J277" s="26"/>
      <c r="K277" s="26"/>
      <c r="L277" s="28"/>
      <c r="M277" s="28"/>
      <c r="N277" s="26"/>
      <c r="O277" s="26"/>
      <c r="P277" s="26"/>
      <c r="Q277" s="28"/>
      <c r="R277" s="26"/>
      <c r="S277" s="79"/>
      <c r="T277" s="26"/>
      <c r="U277" s="31"/>
      <c r="V277" s="80"/>
    </row>
    <row r="278" ht="15" customHeight="1">
      <c r="A278" s="32"/>
      <c r="B278" s="26"/>
      <c r="C278" s="26"/>
      <c r="D278" s="81"/>
      <c r="E278" s="28"/>
      <c r="F278" s="28"/>
      <c r="G278" s="28"/>
      <c r="H278" s="28"/>
      <c r="I278" s="28"/>
      <c r="J278" s="26"/>
      <c r="K278" s="26"/>
      <c r="L278" s="28"/>
      <c r="M278" s="28"/>
      <c r="N278" s="26"/>
      <c r="O278" s="26"/>
      <c r="P278" s="26"/>
      <c r="Q278" s="28"/>
      <c r="R278" s="26"/>
      <c r="S278" s="79"/>
      <c r="T278" s="26"/>
      <c r="U278" s="31"/>
      <c r="V278" s="26"/>
    </row>
    <row r="279" ht="15" customHeight="1">
      <c r="A279" s="32"/>
      <c r="B279" s="26"/>
      <c r="C279" s="26"/>
      <c r="D279" s="81"/>
      <c r="E279" s="28"/>
      <c r="F279" s="28"/>
      <c r="G279" s="28"/>
      <c r="H279" s="28"/>
      <c r="I279" s="28"/>
      <c r="J279" s="26"/>
      <c r="K279" s="26"/>
      <c r="L279" s="28"/>
      <c r="M279" s="28"/>
      <c r="N279" s="26"/>
      <c r="O279" s="26"/>
      <c r="P279" s="26"/>
      <c r="Q279" s="28"/>
      <c r="R279" s="26"/>
      <c r="S279" s="79"/>
      <c r="T279" s="26"/>
      <c r="U279" s="31"/>
      <c r="V279" s="26"/>
    </row>
    <row r="280" ht="15" customHeight="1">
      <c r="A280" s="32"/>
      <c r="B280" s="26"/>
      <c r="C280" s="26"/>
      <c r="D280" s="81"/>
      <c r="E280" s="28"/>
      <c r="F280" s="28"/>
      <c r="G280" s="28"/>
      <c r="H280" s="28"/>
      <c r="I280" s="28"/>
      <c r="J280" s="26"/>
      <c r="K280" s="26"/>
      <c r="L280" s="28"/>
      <c r="M280" s="28"/>
      <c r="N280" s="26"/>
      <c r="O280" s="26"/>
      <c r="P280" s="26"/>
      <c r="Q280" s="28"/>
      <c r="R280" s="26"/>
      <c r="S280" s="79"/>
      <c r="T280" s="26"/>
      <c r="U280" s="31"/>
      <c r="V280" s="80"/>
    </row>
    <row r="281" ht="15" customHeight="1">
      <c r="A281" s="32"/>
      <c r="B281" s="26"/>
      <c r="C281" s="26"/>
      <c r="D281" s="81"/>
      <c r="E281" s="28"/>
      <c r="F281" s="28"/>
      <c r="G281" s="28"/>
      <c r="H281" s="28"/>
      <c r="I281" s="28"/>
      <c r="J281" s="26"/>
      <c r="K281" s="26"/>
      <c r="L281" s="28"/>
      <c r="M281" s="28"/>
      <c r="N281" s="26"/>
      <c r="O281" s="26"/>
      <c r="P281" s="26"/>
      <c r="Q281" s="28"/>
      <c r="R281" s="26"/>
      <c r="S281" s="79"/>
      <c r="T281" s="26"/>
      <c r="U281" s="31"/>
      <c r="V281" s="26"/>
    </row>
    <row r="282" ht="15" customHeight="1">
      <c r="A282" s="32"/>
      <c r="B282" s="26"/>
      <c r="C282" s="26"/>
      <c r="D282" s="81"/>
      <c r="E282" s="28"/>
      <c r="F282" s="28"/>
      <c r="G282" s="28"/>
      <c r="H282" s="28"/>
      <c r="I282" s="28"/>
      <c r="J282" s="26"/>
      <c r="K282" s="26"/>
      <c r="L282" s="28"/>
      <c r="M282" s="28"/>
      <c r="N282" s="26"/>
      <c r="O282" s="26"/>
      <c r="P282" s="26"/>
      <c r="Q282" s="28"/>
      <c r="R282" s="26"/>
      <c r="S282" s="79"/>
      <c r="T282" s="26"/>
      <c r="U282" s="31"/>
      <c r="V282" s="26"/>
    </row>
    <row r="283" ht="15" customHeight="1">
      <c r="A283" s="32"/>
      <c r="B283" s="26"/>
      <c r="C283" s="26"/>
      <c r="D283" s="81"/>
      <c r="E283" s="28"/>
      <c r="F283" s="28"/>
      <c r="G283" s="28"/>
      <c r="H283" s="28"/>
      <c r="I283" s="28"/>
      <c r="J283" s="26"/>
      <c r="K283" s="26"/>
      <c r="L283" s="28"/>
      <c r="M283" s="28"/>
      <c r="N283" s="26"/>
      <c r="O283" s="26"/>
      <c r="P283" s="26"/>
      <c r="Q283" s="28"/>
      <c r="R283" s="26"/>
      <c r="S283" s="79"/>
      <c r="T283" s="26"/>
      <c r="U283" s="31"/>
      <c r="V283" s="80"/>
    </row>
    <row r="284" ht="15" customHeight="1">
      <c r="A284" s="32"/>
      <c r="B284" s="26"/>
      <c r="C284" s="26"/>
      <c r="D284" s="27"/>
      <c r="E284" s="28"/>
      <c r="F284" s="28"/>
      <c r="G284" s="28"/>
      <c r="H284" s="28"/>
      <c r="I284" s="28"/>
      <c r="J284" s="26"/>
      <c r="K284" s="26"/>
      <c r="L284" s="28"/>
      <c r="M284" s="28"/>
      <c r="N284" s="26"/>
      <c r="O284" s="26"/>
      <c r="P284" s="26"/>
      <c r="Q284" s="28"/>
      <c r="R284" s="26"/>
      <c r="S284" s="79"/>
      <c r="T284" s="26"/>
      <c r="U284" s="31"/>
      <c r="V284" s="26"/>
    </row>
    <row r="285" ht="15" customHeight="1">
      <c r="A285" s="32"/>
      <c r="B285" s="26"/>
      <c r="C285" s="26"/>
      <c r="D285" s="27"/>
      <c r="E285" s="28"/>
      <c r="F285" s="28"/>
      <c r="G285" s="28"/>
      <c r="H285" s="28"/>
      <c r="I285" s="28"/>
      <c r="J285" s="26"/>
      <c r="K285" s="26"/>
      <c r="L285" s="28"/>
      <c r="M285" s="28"/>
      <c r="N285" s="26"/>
      <c r="O285" s="26"/>
      <c r="P285" s="26"/>
      <c r="Q285" s="28"/>
      <c r="R285" s="26"/>
      <c r="S285" s="79"/>
      <c r="T285" s="26"/>
      <c r="U285" s="31"/>
      <c r="V285" s="80"/>
    </row>
    <row r="286" ht="15" customHeight="1">
      <c r="A286" s="32"/>
      <c r="B286" s="26"/>
      <c r="C286" s="26"/>
      <c r="D286" s="27"/>
      <c r="E286" s="28"/>
      <c r="F286" s="28"/>
      <c r="G286" s="28"/>
      <c r="H286" s="28"/>
      <c r="I286" s="28"/>
      <c r="J286" s="26"/>
      <c r="K286" s="26"/>
      <c r="L286" s="28"/>
      <c r="M286" s="28"/>
      <c r="N286" s="26"/>
      <c r="O286" s="26"/>
      <c r="P286" s="26"/>
      <c r="Q286" s="28"/>
      <c r="R286" s="26"/>
      <c r="S286" s="79"/>
      <c r="T286" s="26"/>
      <c r="U286" s="31"/>
      <c r="V286" s="26"/>
    </row>
    <row r="287" ht="15" customHeight="1">
      <c r="A287" s="32"/>
      <c r="B287" s="26"/>
      <c r="C287" s="26"/>
      <c r="D287" s="27"/>
      <c r="E287" s="28"/>
      <c r="F287" s="28"/>
      <c r="G287" s="28"/>
      <c r="H287" s="28"/>
      <c r="I287" s="28"/>
      <c r="J287" s="26"/>
      <c r="K287" s="26"/>
      <c r="L287" s="28"/>
      <c r="M287" s="28"/>
      <c r="N287" s="26"/>
      <c r="O287" s="26"/>
      <c r="P287" s="26"/>
      <c r="Q287" s="28"/>
      <c r="R287" s="26"/>
      <c r="S287" s="79"/>
      <c r="T287" s="26"/>
      <c r="U287" s="31"/>
      <c r="V287" s="26"/>
    </row>
    <row r="288" ht="15" customHeight="1">
      <c r="A288" s="32"/>
      <c r="B288" s="26"/>
      <c r="C288" s="26"/>
      <c r="D288" s="27"/>
      <c r="E288" s="28"/>
      <c r="F288" s="28"/>
      <c r="G288" s="28"/>
      <c r="H288" s="28"/>
      <c r="I288" s="28"/>
      <c r="J288" s="26"/>
      <c r="K288" s="26"/>
      <c r="L288" s="28"/>
      <c r="M288" s="28"/>
      <c r="N288" s="26"/>
      <c r="O288" s="26"/>
      <c r="P288" s="26"/>
      <c r="Q288" s="28"/>
      <c r="R288" s="26"/>
      <c r="S288" s="79"/>
      <c r="T288" s="26"/>
      <c r="U288" s="31"/>
      <c r="V288" s="26"/>
    </row>
    <row r="289" ht="15" customHeight="1">
      <c r="A289" s="32"/>
      <c r="B289" s="26"/>
      <c r="C289" s="26"/>
      <c r="D289" s="27"/>
      <c r="E289" s="28"/>
      <c r="F289" s="28"/>
      <c r="G289" s="28"/>
      <c r="H289" s="28"/>
      <c r="I289" s="28"/>
      <c r="J289" s="26"/>
      <c r="K289" s="26"/>
      <c r="L289" s="28"/>
      <c r="M289" s="28"/>
      <c r="N289" s="26"/>
      <c r="O289" s="26"/>
      <c r="P289" s="26"/>
      <c r="Q289" s="28"/>
      <c r="R289" s="26"/>
      <c r="S289" s="79"/>
      <c r="T289" s="26"/>
      <c r="U289" s="31"/>
      <c r="V289" s="26"/>
    </row>
    <row r="290" ht="15" customHeight="1">
      <c r="A290" s="32"/>
      <c r="B290" s="26"/>
      <c r="C290" s="26"/>
      <c r="D290" s="27"/>
      <c r="E290" s="28"/>
      <c r="F290" s="28"/>
      <c r="G290" s="28"/>
      <c r="H290" s="28"/>
      <c r="I290" s="28"/>
      <c r="J290" s="26"/>
      <c r="K290" s="26"/>
      <c r="L290" s="28"/>
      <c r="M290" s="28"/>
      <c r="N290" s="26"/>
      <c r="O290" s="26"/>
      <c r="P290" s="26"/>
      <c r="Q290" s="28"/>
      <c r="R290" s="26"/>
      <c r="S290" s="79"/>
      <c r="T290" s="26"/>
      <c r="U290" s="31"/>
      <c r="V290" s="26"/>
    </row>
    <row r="291" ht="15" customHeight="1">
      <c r="A291" s="32"/>
      <c r="B291" s="26"/>
      <c r="C291" s="26"/>
      <c r="D291" s="26"/>
      <c r="E291" s="28"/>
      <c r="F291" s="28"/>
      <c r="G291" s="28"/>
      <c r="H291" s="28"/>
      <c r="I291" s="28"/>
      <c r="J291" s="26"/>
      <c r="K291" s="26"/>
      <c r="L291" s="28"/>
      <c r="M291" s="28"/>
      <c r="N291" s="26"/>
      <c r="O291" s="26"/>
      <c r="P291" s="26"/>
      <c r="Q291" s="28"/>
      <c r="R291" s="26"/>
      <c r="S291" s="79"/>
      <c r="T291" s="26"/>
      <c r="U291" s="31"/>
      <c r="V291" s="26"/>
    </row>
    <row r="292" ht="15" customHeight="1">
      <c r="A292" s="32"/>
      <c r="B292" s="26"/>
      <c r="C292" s="26"/>
      <c r="D292" s="26"/>
      <c r="E292" s="28"/>
      <c r="F292" s="28"/>
      <c r="G292" s="28"/>
      <c r="H292" s="28"/>
      <c r="I292" s="28"/>
      <c r="J292" s="26"/>
      <c r="K292" s="26"/>
      <c r="L292" s="28"/>
      <c r="M292" s="28"/>
      <c r="N292" s="26"/>
      <c r="O292" s="26"/>
      <c r="P292" s="26"/>
      <c r="Q292" s="28"/>
      <c r="R292" s="26"/>
      <c r="S292" s="79"/>
      <c r="T292" s="26"/>
      <c r="U292" s="31"/>
      <c r="V292" s="80"/>
    </row>
    <row r="293" ht="15" customHeight="1">
      <c r="A293" s="32"/>
      <c r="B293" s="26"/>
      <c r="C293" s="26"/>
      <c r="D293" s="26"/>
      <c r="E293" s="28"/>
      <c r="F293" s="28"/>
      <c r="G293" s="28"/>
      <c r="H293" s="28"/>
      <c r="I293" s="28"/>
      <c r="J293" s="26"/>
      <c r="K293" s="26"/>
      <c r="L293" s="28"/>
      <c r="M293" s="28"/>
      <c r="N293" s="26"/>
      <c r="O293" s="26"/>
      <c r="P293" s="26"/>
      <c r="Q293" s="28"/>
      <c r="R293" s="26"/>
      <c r="S293" s="79"/>
      <c r="T293" s="26"/>
      <c r="U293" s="31"/>
      <c r="V293" s="26"/>
    </row>
    <row r="294" ht="15" customHeight="1">
      <c r="A294" s="32"/>
      <c r="B294" s="26"/>
      <c r="C294" s="26"/>
      <c r="D294" s="26"/>
      <c r="E294" s="28"/>
      <c r="F294" s="28"/>
      <c r="G294" s="28"/>
      <c r="H294" s="28"/>
      <c r="I294" s="28"/>
      <c r="J294" s="26"/>
      <c r="K294" s="26"/>
      <c r="L294" s="28"/>
      <c r="M294" s="28"/>
      <c r="N294" s="26"/>
      <c r="O294" s="26"/>
      <c r="P294" s="26"/>
      <c r="Q294" s="28"/>
      <c r="R294" s="26"/>
      <c r="S294" s="79"/>
      <c r="T294" s="26"/>
      <c r="U294" s="31"/>
      <c r="V294" s="26"/>
    </row>
    <row r="295" ht="15" customHeight="1">
      <c r="A295" s="32"/>
      <c r="B295" s="26"/>
      <c r="C295" s="26"/>
      <c r="D295" s="26"/>
      <c r="E295" s="28"/>
      <c r="F295" s="28"/>
      <c r="G295" s="28"/>
      <c r="H295" s="28"/>
      <c r="I295" s="28"/>
      <c r="J295" s="26"/>
      <c r="K295" s="26"/>
      <c r="L295" s="28"/>
      <c r="M295" s="28"/>
      <c r="N295" s="26"/>
      <c r="O295" s="26"/>
      <c r="P295" s="26"/>
      <c r="Q295" s="28"/>
      <c r="R295" s="26"/>
      <c r="S295" s="79"/>
      <c r="T295" s="26"/>
      <c r="U295" s="31"/>
      <c r="V295" s="26"/>
    </row>
    <row r="296" ht="15" customHeight="1">
      <c r="A296" s="32"/>
      <c r="B296" s="26"/>
      <c r="C296" s="26"/>
      <c r="D296" s="26"/>
      <c r="E296" s="28"/>
      <c r="F296" s="28"/>
      <c r="G296" s="28"/>
      <c r="H296" s="28"/>
      <c r="I296" s="28"/>
      <c r="J296" s="26"/>
      <c r="K296" s="26"/>
      <c r="L296" s="28"/>
      <c r="M296" s="28"/>
      <c r="N296" s="26"/>
      <c r="O296" s="26"/>
      <c r="P296" s="26"/>
      <c r="Q296" s="28"/>
      <c r="R296" s="26"/>
      <c r="S296" s="79"/>
      <c r="T296" s="26"/>
      <c r="U296" s="31"/>
      <c r="V296" s="26"/>
    </row>
    <row r="297" ht="15" customHeight="1">
      <c r="A297" s="32"/>
      <c r="B297" s="26"/>
      <c r="C297" s="26"/>
      <c r="D297" s="26"/>
      <c r="E297" s="28"/>
      <c r="F297" s="28"/>
      <c r="G297" s="28"/>
      <c r="H297" s="28"/>
      <c r="I297" s="28"/>
      <c r="J297" s="26"/>
      <c r="K297" s="26"/>
      <c r="L297" s="28"/>
      <c r="M297" s="28"/>
      <c r="N297" s="26"/>
      <c r="O297" s="26"/>
      <c r="P297" s="26"/>
      <c r="Q297" s="28"/>
      <c r="R297" s="26"/>
      <c r="S297" s="79"/>
      <c r="T297" s="26"/>
      <c r="U297" s="31"/>
      <c r="V297" s="26"/>
    </row>
    <row r="298" ht="15" customHeight="1">
      <c r="A298" s="32"/>
      <c r="B298" s="26"/>
      <c r="C298" s="26"/>
      <c r="D298" s="26"/>
      <c r="E298" s="28"/>
      <c r="F298" s="28"/>
      <c r="G298" s="28"/>
      <c r="H298" s="28"/>
      <c r="I298" s="28"/>
      <c r="J298" s="26"/>
      <c r="K298" s="26"/>
      <c r="L298" s="28"/>
      <c r="M298" s="28"/>
      <c r="N298" s="26"/>
      <c r="O298" s="26"/>
      <c r="P298" s="26"/>
      <c r="Q298" s="28"/>
      <c r="R298" s="26"/>
      <c r="S298" s="79"/>
      <c r="T298" s="26"/>
      <c r="U298" s="31"/>
      <c r="V298" s="26"/>
    </row>
    <row r="299" ht="15" customHeight="1">
      <c r="A299" s="32"/>
      <c r="B299" s="26"/>
      <c r="C299" s="26"/>
      <c r="D299" s="26"/>
      <c r="E299" s="28"/>
      <c r="F299" s="28"/>
      <c r="G299" s="28"/>
      <c r="H299" s="28"/>
      <c r="I299" s="28"/>
      <c r="J299" s="26"/>
      <c r="K299" s="26"/>
      <c r="L299" s="28"/>
      <c r="M299" s="28"/>
      <c r="N299" s="26"/>
      <c r="O299" s="26"/>
      <c r="P299" s="26"/>
      <c r="Q299" s="28"/>
      <c r="R299" s="26"/>
      <c r="S299" s="79"/>
      <c r="T299" s="26"/>
      <c r="U299" s="31"/>
      <c r="V299" s="26"/>
    </row>
    <row r="300" ht="15" customHeight="1">
      <c r="A300" s="32"/>
      <c r="B300" s="26"/>
      <c r="C300" s="26"/>
      <c r="D300" s="26"/>
      <c r="E300" s="28"/>
      <c r="F300" s="28"/>
      <c r="G300" s="28"/>
      <c r="H300" s="28"/>
      <c r="I300" s="28"/>
      <c r="J300" s="26"/>
      <c r="K300" s="26"/>
      <c r="L300" s="28"/>
      <c r="M300" s="28"/>
      <c r="N300" s="26"/>
      <c r="O300" s="26"/>
      <c r="P300" s="26"/>
      <c r="Q300" s="28"/>
      <c r="R300" s="26"/>
      <c r="S300" s="79"/>
      <c r="T300" s="26"/>
      <c r="U300" s="31"/>
      <c r="V300" s="26"/>
    </row>
    <row r="301" ht="15" customHeight="1">
      <c r="A301" s="32"/>
      <c r="B301" s="26"/>
      <c r="C301" s="26"/>
      <c r="D301" s="26"/>
      <c r="E301" s="28"/>
      <c r="F301" s="28"/>
      <c r="G301" s="28"/>
      <c r="H301" s="28"/>
      <c r="I301" s="28"/>
      <c r="J301" s="26"/>
      <c r="K301" s="26"/>
      <c r="L301" s="28"/>
      <c r="M301" s="28"/>
      <c r="N301" s="26"/>
      <c r="O301" s="26"/>
      <c r="P301" s="26"/>
      <c r="Q301" s="28"/>
      <c r="R301" s="26"/>
      <c r="S301" s="79"/>
      <c r="T301" s="26"/>
      <c r="U301" s="31"/>
      <c r="V301" s="26"/>
    </row>
    <row r="302" ht="15" customHeight="1">
      <c r="A302" s="32"/>
      <c r="B302" s="26"/>
      <c r="C302" s="26"/>
      <c r="D302" s="26"/>
      <c r="E302" s="28"/>
      <c r="F302" s="28"/>
      <c r="G302" s="28"/>
      <c r="H302" s="28"/>
      <c r="I302" s="28"/>
      <c r="J302" s="26"/>
      <c r="K302" s="26"/>
      <c r="L302" s="28"/>
      <c r="M302" s="28"/>
      <c r="N302" s="26"/>
      <c r="O302" s="26"/>
      <c r="P302" s="26"/>
      <c r="Q302" s="28"/>
      <c r="R302" s="26"/>
      <c r="S302" s="79"/>
      <c r="T302" s="26"/>
      <c r="U302" s="31"/>
      <c r="V302" s="26"/>
    </row>
    <row r="303" ht="15" customHeight="1">
      <c r="A303" s="32"/>
      <c r="B303" s="26"/>
      <c r="C303" s="26"/>
      <c r="D303" s="26"/>
      <c r="E303" s="28"/>
      <c r="F303" s="28"/>
      <c r="G303" s="28"/>
      <c r="H303" s="28"/>
      <c r="I303" s="28"/>
      <c r="J303" s="26"/>
      <c r="K303" s="26"/>
      <c r="L303" s="28"/>
      <c r="M303" s="28"/>
      <c r="N303" s="26"/>
      <c r="O303" s="26"/>
      <c r="P303" s="26"/>
      <c r="Q303" s="28"/>
      <c r="R303" s="26"/>
      <c r="S303" s="79"/>
      <c r="T303" s="26"/>
      <c r="U303" s="31"/>
      <c r="V303" s="80"/>
    </row>
    <row r="304" ht="15" customHeight="1">
      <c r="A304" s="32"/>
      <c r="B304" s="26"/>
      <c r="C304" s="26"/>
      <c r="D304" s="26"/>
      <c r="E304" s="28"/>
      <c r="F304" s="28"/>
      <c r="G304" s="28"/>
      <c r="H304" s="28"/>
      <c r="I304" s="28"/>
      <c r="J304" s="26"/>
      <c r="K304" s="26"/>
      <c r="L304" s="28"/>
      <c r="M304" s="28"/>
      <c r="N304" s="26"/>
      <c r="O304" s="26"/>
      <c r="P304" s="26"/>
      <c r="Q304" s="28"/>
      <c r="R304" s="26"/>
      <c r="S304" s="79"/>
      <c r="T304" s="26"/>
      <c r="U304" s="31"/>
      <c r="V304" s="26"/>
    </row>
    <row r="305" ht="15" customHeight="1">
      <c r="A305" s="32"/>
      <c r="B305" s="26"/>
      <c r="C305" s="26"/>
      <c r="D305" s="26"/>
      <c r="E305" s="28"/>
      <c r="F305" s="28"/>
      <c r="G305" s="28"/>
      <c r="H305" s="28"/>
      <c r="I305" s="28"/>
      <c r="J305" s="26"/>
      <c r="K305" s="26"/>
      <c r="L305" s="28"/>
      <c r="M305" s="28"/>
      <c r="N305" s="26"/>
      <c r="O305" s="26"/>
      <c r="P305" s="26"/>
      <c r="Q305" s="28"/>
      <c r="R305" s="26"/>
      <c r="S305" s="79"/>
      <c r="T305" s="26"/>
      <c r="U305" s="31"/>
      <c r="V305" s="26"/>
    </row>
    <row r="306" ht="15" customHeight="1">
      <c r="A306" s="32"/>
      <c r="B306" s="26"/>
      <c r="C306" s="26"/>
      <c r="D306" s="26"/>
      <c r="E306" s="28"/>
      <c r="F306" s="28"/>
      <c r="G306" s="28"/>
      <c r="H306" s="28"/>
      <c r="I306" s="28"/>
      <c r="J306" s="26"/>
      <c r="K306" s="26"/>
      <c r="L306" s="28"/>
      <c r="M306" s="28"/>
      <c r="N306" s="26"/>
      <c r="O306" s="26"/>
      <c r="P306" s="26"/>
      <c r="Q306" s="28"/>
      <c r="R306" s="26"/>
      <c r="S306" s="79"/>
      <c r="T306" s="26"/>
      <c r="U306" s="31"/>
      <c r="V306" s="26"/>
    </row>
    <row r="307" ht="15" customHeight="1">
      <c r="A307" s="32"/>
      <c r="B307" s="26"/>
      <c r="C307" s="26"/>
      <c r="D307" s="26"/>
      <c r="E307" s="28"/>
      <c r="F307" s="28"/>
      <c r="G307" s="28"/>
      <c r="H307" s="28"/>
      <c r="I307" s="28"/>
      <c r="J307" s="26"/>
      <c r="K307" s="26"/>
      <c r="L307" s="28"/>
      <c r="M307" s="28"/>
      <c r="N307" s="26"/>
      <c r="O307" s="26"/>
      <c r="P307" s="26"/>
      <c r="Q307" s="28"/>
      <c r="R307" s="26"/>
      <c r="S307" s="79"/>
      <c r="T307" s="26"/>
      <c r="U307" s="31"/>
      <c r="V307" s="26"/>
    </row>
    <row r="308" ht="15" customHeight="1">
      <c r="A308" s="32"/>
      <c r="B308" s="26"/>
      <c r="C308" s="26"/>
      <c r="D308" s="26"/>
      <c r="E308" s="28"/>
      <c r="F308" s="28"/>
      <c r="G308" s="28"/>
      <c r="H308" s="28"/>
      <c r="I308" s="28"/>
      <c r="J308" s="26"/>
      <c r="K308" s="26"/>
      <c r="L308" s="28"/>
      <c r="M308" s="28"/>
      <c r="N308" s="26"/>
      <c r="O308" s="26"/>
      <c r="P308" s="26"/>
      <c r="Q308" s="28"/>
      <c r="R308" s="26"/>
      <c r="S308" s="79"/>
      <c r="T308" s="26"/>
      <c r="U308" s="31"/>
      <c r="V308" s="26"/>
    </row>
    <row r="309" ht="15" customHeight="1">
      <c r="A309" s="32"/>
      <c r="B309" s="26"/>
      <c r="C309" s="26"/>
      <c r="D309" s="26"/>
      <c r="E309" s="28"/>
      <c r="F309" s="28"/>
      <c r="G309" s="28"/>
      <c r="H309" s="28"/>
      <c r="I309" s="28"/>
      <c r="J309" s="26"/>
      <c r="K309" s="26"/>
      <c r="L309" s="28"/>
      <c r="M309" s="28"/>
      <c r="N309" s="26"/>
      <c r="O309" s="26"/>
      <c r="P309" s="26"/>
      <c r="Q309" s="28"/>
      <c r="R309" s="26"/>
      <c r="S309" s="79"/>
      <c r="T309" s="26"/>
      <c r="U309" s="31"/>
      <c r="V309" s="26"/>
    </row>
    <row r="310" ht="15" customHeight="1">
      <c r="A310" s="32"/>
      <c r="B310" s="26"/>
      <c r="C310" s="26"/>
      <c r="D310" s="26"/>
      <c r="E310" s="28"/>
      <c r="F310" s="28"/>
      <c r="G310" s="28"/>
      <c r="H310" s="28"/>
      <c r="I310" s="28"/>
      <c r="J310" s="26"/>
      <c r="K310" s="26"/>
      <c r="L310" s="28"/>
      <c r="M310" s="28"/>
      <c r="N310" s="26"/>
      <c r="O310" s="26"/>
      <c r="P310" s="26"/>
      <c r="Q310" s="28"/>
      <c r="R310" s="26"/>
      <c r="S310" s="79"/>
      <c r="T310" s="26"/>
      <c r="U310" s="31"/>
      <c r="V310" s="26"/>
    </row>
    <row r="311" ht="15" customHeight="1">
      <c r="A311" s="32"/>
      <c r="B311" s="26"/>
      <c r="C311" s="26"/>
      <c r="D311" s="26"/>
      <c r="E311" s="28"/>
      <c r="F311" s="28"/>
      <c r="G311" s="28"/>
      <c r="H311" s="28"/>
      <c r="I311" s="28"/>
      <c r="J311" s="26"/>
      <c r="K311" s="26"/>
      <c r="L311" s="28"/>
      <c r="M311" s="28"/>
      <c r="N311" s="26"/>
      <c r="O311" s="26"/>
      <c r="P311" s="26"/>
      <c r="Q311" s="28"/>
      <c r="R311" s="26"/>
      <c r="S311" s="79"/>
      <c r="T311" s="26"/>
      <c r="U311" s="31"/>
      <c r="V311" s="26"/>
    </row>
    <row r="312" ht="15" customHeight="1">
      <c r="A312" s="32"/>
      <c r="B312" s="26"/>
      <c r="C312" s="26"/>
      <c r="D312" s="26"/>
      <c r="E312" s="28"/>
      <c r="F312" s="28"/>
      <c r="G312" s="28"/>
      <c r="H312" s="28"/>
      <c r="I312" s="28"/>
      <c r="J312" s="26"/>
      <c r="K312" s="26"/>
      <c r="L312" s="28"/>
      <c r="M312" s="28"/>
      <c r="N312" s="26"/>
      <c r="O312" s="26"/>
      <c r="P312" s="26"/>
      <c r="Q312" s="28"/>
      <c r="R312" s="26"/>
      <c r="S312" s="79"/>
      <c r="T312" s="26"/>
      <c r="U312" s="31"/>
      <c r="V312" s="26"/>
    </row>
    <row r="313" ht="15" customHeight="1">
      <c r="A313" s="32"/>
      <c r="B313" s="26"/>
      <c r="C313" s="26"/>
      <c r="D313" s="26"/>
      <c r="E313" s="28"/>
      <c r="F313" s="28"/>
      <c r="G313" s="28"/>
      <c r="H313" s="28"/>
      <c r="I313" s="28"/>
      <c r="J313" s="26"/>
      <c r="K313" s="26"/>
      <c r="L313" s="28"/>
      <c r="M313" s="28"/>
      <c r="N313" s="26"/>
      <c r="O313" s="26"/>
      <c r="P313" s="26"/>
      <c r="Q313" s="28"/>
      <c r="R313" s="26"/>
      <c r="S313" s="79"/>
      <c r="T313" s="26"/>
      <c r="U313" s="31"/>
      <c r="V313" s="26"/>
    </row>
    <row r="314" ht="15" customHeight="1">
      <c r="A314" s="32"/>
      <c r="B314" s="26"/>
      <c r="C314" s="26"/>
      <c r="D314" s="26"/>
      <c r="E314" s="28"/>
      <c r="F314" s="28"/>
      <c r="G314" s="28"/>
      <c r="H314" s="28"/>
      <c r="I314" s="28"/>
      <c r="J314" s="26"/>
      <c r="K314" s="26"/>
      <c r="L314" s="28"/>
      <c r="M314" s="28"/>
      <c r="N314" s="26"/>
      <c r="O314" s="26"/>
      <c r="P314" s="26"/>
      <c r="Q314" s="28"/>
      <c r="R314" s="26"/>
      <c r="S314" s="79"/>
      <c r="T314" s="26"/>
      <c r="U314" s="31"/>
      <c r="V314" s="80"/>
    </row>
    <row r="315" ht="15" customHeight="1">
      <c r="A315" s="32"/>
      <c r="B315" s="26"/>
      <c r="C315" s="26"/>
      <c r="D315" s="26"/>
      <c r="E315" s="28"/>
      <c r="F315" s="28"/>
      <c r="G315" s="28"/>
      <c r="H315" s="28"/>
      <c r="I315" s="28"/>
      <c r="J315" s="26"/>
      <c r="K315" s="26"/>
      <c r="L315" s="28"/>
      <c r="M315" s="28"/>
      <c r="N315" s="26"/>
      <c r="O315" s="26"/>
      <c r="P315" s="26"/>
      <c r="Q315" s="28"/>
      <c r="R315" s="26"/>
      <c r="S315" s="79"/>
      <c r="T315" s="26"/>
      <c r="U315" s="31"/>
      <c r="V315" s="26"/>
    </row>
    <row r="316" ht="15" customHeight="1">
      <c r="A316" s="32"/>
      <c r="B316" s="26"/>
      <c r="C316" s="26"/>
      <c r="D316" s="26"/>
      <c r="E316" s="28"/>
      <c r="F316" s="28"/>
      <c r="G316" s="28"/>
      <c r="H316" s="28"/>
      <c r="I316" s="28"/>
      <c r="J316" s="26"/>
      <c r="K316" s="26"/>
      <c r="L316" s="28"/>
      <c r="M316" s="28"/>
      <c r="N316" s="26"/>
      <c r="O316" s="26"/>
      <c r="P316" s="26"/>
      <c r="Q316" s="28"/>
      <c r="R316" s="26"/>
      <c r="S316" s="79"/>
      <c r="T316" s="26"/>
      <c r="U316" s="31"/>
      <c r="V316" s="26"/>
    </row>
    <row r="317" ht="15" customHeight="1">
      <c r="A317" s="32"/>
      <c r="B317" s="26"/>
      <c r="C317" s="26"/>
      <c r="D317" s="26"/>
      <c r="E317" s="28"/>
      <c r="F317" s="28"/>
      <c r="G317" s="28"/>
      <c r="H317" s="28"/>
      <c r="I317" s="28"/>
      <c r="J317" s="26"/>
      <c r="K317" s="26"/>
      <c r="L317" s="28"/>
      <c r="M317" s="28"/>
      <c r="N317" s="26"/>
      <c r="O317" s="26"/>
      <c r="P317" s="26"/>
      <c r="Q317" s="28"/>
      <c r="R317" s="26"/>
      <c r="S317" s="79"/>
      <c r="T317" s="26"/>
      <c r="U317" s="31"/>
      <c r="V317" s="26"/>
    </row>
    <row r="318" ht="15" customHeight="1">
      <c r="A318" s="32"/>
      <c r="B318" s="26"/>
      <c r="C318" s="26"/>
      <c r="D318" s="26"/>
      <c r="E318" s="28"/>
      <c r="F318" s="28"/>
      <c r="G318" s="28"/>
      <c r="H318" s="28"/>
      <c r="I318" s="28"/>
      <c r="J318" s="26"/>
      <c r="K318" s="26"/>
      <c r="L318" s="28"/>
      <c r="M318" s="28"/>
      <c r="N318" s="26"/>
      <c r="O318" s="26"/>
      <c r="P318" s="26"/>
      <c r="Q318" s="28"/>
      <c r="R318" s="26"/>
      <c r="S318" s="79"/>
      <c r="T318" s="26"/>
      <c r="U318" s="31"/>
      <c r="V318" s="26"/>
    </row>
    <row r="319" ht="15" customHeight="1">
      <c r="A319" s="32"/>
      <c r="B319" s="26"/>
      <c r="C319" s="26"/>
      <c r="D319" s="26"/>
      <c r="E319" s="28"/>
      <c r="F319" s="28"/>
      <c r="G319" s="28"/>
      <c r="H319" s="28"/>
      <c r="I319" s="28"/>
      <c r="J319" s="26"/>
      <c r="K319" s="26"/>
      <c r="L319" s="28"/>
      <c r="M319" s="28"/>
      <c r="N319" s="26"/>
      <c r="O319" s="26"/>
      <c r="P319" s="26"/>
      <c r="Q319" s="28"/>
      <c r="R319" s="26"/>
      <c r="S319" s="79"/>
      <c r="T319" s="26"/>
      <c r="U319" s="31"/>
      <c r="V319" s="26"/>
    </row>
    <row r="320" ht="15" customHeight="1">
      <c r="A320" s="32"/>
      <c r="B320" s="26"/>
      <c r="C320" s="26"/>
      <c r="D320" s="26"/>
      <c r="E320" s="28"/>
      <c r="F320" s="28"/>
      <c r="G320" s="28"/>
      <c r="H320" s="28"/>
      <c r="I320" s="28"/>
      <c r="J320" s="26"/>
      <c r="K320" s="26"/>
      <c r="L320" s="28"/>
      <c r="M320" s="28"/>
      <c r="N320" s="26"/>
      <c r="O320" s="26"/>
      <c r="P320" s="26"/>
      <c r="Q320" s="28"/>
      <c r="R320" s="26"/>
      <c r="S320" s="79"/>
      <c r="T320" s="26"/>
      <c r="U320" s="31"/>
      <c r="V320" s="26"/>
    </row>
    <row r="321" ht="15" customHeight="1">
      <c r="A321" s="32"/>
      <c r="B321" s="26"/>
      <c r="C321" s="26"/>
      <c r="D321" s="26"/>
      <c r="E321" s="28"/>
      <c r="F321" s="28"/>
      <c r="G321" s="28"/>
      <c r="H321" s="28"/>
      <c r="I321" s="28"/>
      <c r="J321" s="26"/>
      <c r="K321" s="26"/>
      <c r="L321" s="28"/>
      <c r="M321" s="28"/>
      <c r="N321" s="26"/>
      <c r="O321" s="26"/>
      <c r="P321" s="26"/>
      <c r="Q321" s="28"/>
      <c r="R321" s="26"/>
      <c r="S321" s="79"/>
      <c r="T321" s="26"/>
      <c r="U321" s="31"/>
      <c r="V321" s="26"/>
    </row>
    <row r="322" ht="15" customHeight="1">
      <c r="A322" s="32"/>
      <c r="B322" s="26"/>
      <c r="C322" s="26"/>
      <c r="D322" s="26"/>
      <c r="E322" s="28"/>
      <c r="F322" s="28"/>
      <c r="G322" s="28"/>
      <c r="H322" s="28"/>
      <c r="I322" s="28"/>
      <c r="J322" s="26"/>
      <c r="K322" s="26"/>
      <c r="L322" s="28"/>
      <c r="M322" s="28"/>
      <c r="N322" s="26"/>
      <c r="O322" s="26"/>
      <c r="P322" s="26"/>
      <c r="Q322" s="28"/>
      <c r="R322" s="26"/>
      <c r="S322" s="79"/>
      <c r="T322" s="26"/>
      <c r="U322" s="31"/>
      <c r="V322" s="26"/>
    </row>
    <row r="323" ht="15" customHeight="1">
      <c r="A323" s="32"/>
      <c r="B323" s="26"/>
      <c r="C323" s="26"/>
      <c r="D323" s="26"/>
      <c r="E323" s="28"/>
      <c r="F323" s="28"/>
      <c r="G323" s="28"/>
      <c r="H323" s="28"/>
      <c r="I323" s="28"/>
      <c r="J323" s="26"/>
      <c r="K323" s="26"/>
      <c r="L323" s="28"/>
      <c r="M323" s="28"/>
      <c r="N323" s="26"/>
      <c r="O323" s="26"/>
      <c r="P323" s="26"/>
      <c r="Q323" s="28"/>
      <c r="R323" s="26"/>
      <c r="S323" s="79"/>
      <c r="T323" s="26"/>
      <c r="U323" s="31"/>
      <c r="V323" s="26"/>
    </row>
    <row r="324" ht="15" customHeight="1">
      <c r="A324" s="32"/>
      <c r="B324" s="26"/>
      <c r="C324" s="26"/>
      <c r="D324" s="27"/>
      <c r="E324" s="28"/>
      <c r="F324" s="28"/>
      <c r="G324" s="28"/>
      <c r="H324" s="28"/>
      <c r="I324" s="28"/>
      <c r="J324" s="26"/>
      <c r="K324" s="26"/>
      <c r="L324" s="28"/>
      <c r="M324" s="28"/>
      <c r="N324" s="26"/>
      <c r="O324" s="26"/>
      <c r="P324" s="26"/>
      <c r="Q324" s="28"/>
      <c r="R324" s="26"/>
      <c r="S324" s="79"/>
      <c r="T324" s="26"/>
      <c r="U324" s="31"/>
      <c r="V324" s="26"/>
    </row>
    <row r="325" ht="15" customHeight="1">
      <c r="A325" s="32"/>
      <c r="B325" s="26"/>
      <c r="C325" s="26"/>
      <c r="D325" s="27"/>
      <c r="E325" s="28"/>
      <c r="F325" s="28"/>
      <c r="G325" s="28"/>
      <c r="H325" s="28"/>
      <c r="I325" s="28"/>
      <c r="J325" s="26"/>
      <c r="K325" s="26"/>
      <c r="L325" s="28"/>
      <c r="M325" s="28"/>
      <c r="N325" s="26"/>
      <c r="O325" s="26"/>
      <c r="P325" s="26"/>
      <c r="Q325" s="28"/>
      <c r="R325" s="26"/>
      <c r="S325" s="79"/>
      <c r="T325" s="26"/>
      <c r="U325" s="31"/>
      <c r="V325" s="26"/>
    </row>
    <row r="326" ht="15" customHeight="1">
      <c r="A326" s="32"/>
      <c r="B326" s="26"/>
      <c r="C326" s="26"/>
      <c r="D326" s="27"/>
      <c r="E326" s="28"/>
      <c r="F326" s="28"/>
      <c r="G326" s="28"/>
      <c r="H326" s="28"/>
      <c r="I326" s="28"/>
      <c r="J326" s="26"/>
      <c r="K326" s="26"/>
      <c r="L326" s="28"/>
      <c r="M326" s="28"/>
      <c r="N326" s="26"/>
      <c r="O326" s="26"/>
      <c r="P326" s="26"/>
      <c r="Q326" s="28"/>
      <c r="R326" s="26"/>
      <c r="S326" s="79"/>
      <c r="T326" s="26"/>
      <c r="U326" s="31"/>
      <c r="V326" s="80"/>
    </row>
    <row r="327" ht="15" customHeight="1">
      <c r="A327" s="32"/>
      <c r="B327" s="26"/>
      <c r="C327" s="26"/>
      <c r="D327" s="27"/>
      <c r="E327" s="28"/>
      <c r="F327" s="28"/>
      <c r="G327" s="28"/>
      <c r="H327" s="28"/>
      <c r="I327" s="28"/>
      <c r="J327" s="26"/>
      <c r="K327" s="26"/>
      <c r="L327" s="28"/>
      <c r="M327" s="28"/>
      <c r="N327" s="26"/>
      <c r="O327" s="26"/>
      <c r="P327" s="26"/>
      <c r="Q327" s="28"/>
      <c r="R327" s="26"/>
      <c r="S327" s="79"/>
      <c r="T327" s="26"/>
      <c r="U327" s="31"/>
      <c r="V327" s="26"/>
    </row>
    <row r="328" ht="15" customHeight="1">
      <c r="A328" s="32"/>
      <c r="B328" s="26"/>
      <c r="C328" s="26"/>
      <c r="D328" s="27"/>
      <c r="E328" s="28"/>
      <c r="F328" s="28"/>
      <c r="G328" s="28"/>
      <c r="H328" s="28"/>
      <c r="I328" s="28"/>
      <c r="J328" s="26"/>
      <c r="K328" s="26"/>
      <c r="L328" s="28"/>
      <c r="M328" s="28"/>
      <c r="N328" s="26"/>
      <c r="O328" s="26"/>
      <c r="P328" s="26"/>
      <c r="Q328" s="28"/>
      <c r="R328" s="26"/>
      <c r="S328" s="79"/>
      <c r="T328" s="26"/>
      <c r="U328" s="31"/>
      <c r="V328" s="26"/>
    </row>
    <row r="329" ht="15" customHeight="1">
      <c r="A329" s="32"/>
      <c r="B329" s="26"/>
      <c r="C329" s="26"/>
      <c r="D329" s="27"/>
      <c r="E329" s="28"/>
      <c r="F329" s="28"/>
      <c r="G329" s="28"/>
      <c r="H329" s="28"/>
      <c r="I329" s="28"/>
      <c r="J329" s="26"/>
      <c r="K329" s="26"/>
      <c r="L329" s="28"/>
      <c r="M329" s="28"/>
      <c r="N329" s="26"/>
      <c r="O329" s="26"/>
      <c r="P329" s="26"/>
      <c r="Q329" s="28"/>
      <c r="R329" s="26"/>
      <c r="S329" s="79"/>
      <c r="T329" s="26"/>
      <c r="U329" s="31"/>
      <c r="V329" s="26"/>
    </row>
    <row r="330" ht="15" customHeight="1">
      <c r="A330" s="32"/>
      <c r="B330" s="26"/>
      <c r="C330" s="26"/>
      <c r="D330" s="27"/>
      <c r="E330" s="28"/>
      <c r="F330" s="28"/>
      <c r="G330" s="28"/>
      <c r="H330" s="28"/>
      <c r="I330" s="28"/>
      <c r="J330" s="26"/>
      <c r="K330" s="26"/>
      <c r="L330" s="28"/>
      <c r="M330" s="28"/>
      <c r="N330" s="26"/>
      <c r="O330" s="26"/>
      <c r="P330" s="26"/>
      <c r="Q330" s="28"/>
      <c r="R330" s="26"/>
      <c r="S330" s="79"/>
      <c r="T330" s="26"/>
      <c r="U330" s="31"/>
      <c r="V330" s="26"/>
    </row>
    <row r="331" ht="15" customHeight="1">
      <c r="A331" s="32"/>
      <c r="B331" s="26"/>
      <c r="C331" s="26"/>
      <c r="D331" s="27"/>
      <c r="E331" s="28"/>
      <c r="F331" s="28"/>
      <c r="G331" s="28"/>
      <c r="H331" s="28"/>
      <c r="I331" s="28"/>
      <c r="J331" s="26"/>
      <c r="K331" s="26"/>
      <c r="L331" s="28"/>
      <c r="M331" s="28"/>
      <c r="N331" s="26"/>
      <c r="O331" s="26"/>
      <c r="P331" s="26"/>
      <c r="Q331" s="28"/>
      <c r="R331" s="26"/>
      <c r="S331" s="79"/>
      <c r="T331" s="26"/>
      <c r="U331" s="31"/>
      <c r="V331" s="80"/>
    </row>
    <row r="332" ht="15" customHeight="1">
      <c r="A332" s="32"/>
      <c r="B332" s="26"/>
      <c r="C332" s="26"/>
      <c r="D332" s="27"/>
      <c r="E332" s="28"/>
      <c r="F332" s="28"/>
      <c r="G332" s="28"/>
      <c r="H332" s="28"/>
      <c r="I332" s="28"/>
      <c r="J332" s="26"/>
      <c r="K332" s="26"/>
      <c r="L332" s="28"/>
      <c r="M332" s="28"/>
      <c r="N332" s="26"/>
      <c r="O332" s="26"/>
      <c r="P332" s="26"/>
      <c r="Q332" s="28"/>
      <c r="R332" s="26"/>
      <c r="S332" s="79"/>
      <c r="T332" s="26"/>
      <c r="U332" s="31"/>
      <c r="V332" s="26"/>
    </row>
    <row r="333" ht="15" customHeight="1">
      <c r="A333" s="32"/>
      <c r="B333" s="26"/>
      <c r="C333" s="26"/>
      <c r="D333" s="27"/>
      <c r="E333" s="28"/>
      <c r="F333" s="28"/>
      <c r="G333" s="28"/>
      <c r="H333" s="28"/>
      <c r="I333" s="28"/>
      <c r="J333" s="26"/>
      <c r="K333" s="26"/>
      <c r="L333" s="28"/>
      <c r="M333" s="28"/>
      <c r="N333" s="26"/>
      <c r="O333" s="26"/>
      <c r="P333" s="26"/>
      <c r="Q333" s="28"/>
      <c r="R333" s="26"/>
      <c r="S333" s="79"/>
      <c r="T333" s="26"/>
      <c r="U333" s="31"/>
      <c r="V333" s="26"/>
    </row>
    <row r="334" ht="15" customHeight="1">
      <c r="A334" s="32"/>
      <c r="B334" s="26"/>
      <c r="C334" s="26"/>
      <c r="D334" s="27"/>
      <c r="E334" s="28"/>
      <c r="F334" s="28"/>
      <c r="G334" s="28"/>
      <c r="H334" s="28"/>
      <c r="I334" s="28"/>
      <c r="J334" s="26"/>
      <c r="K334" s="26"/>
      <c r="L334" s="28"/>
      <c r="M334" s="28"/>
      <c r="N334" s="26"/>
      <c r="O334" s="26"/>
      <c r="P334" s="26"/>
      <c r="Q334" s="28"/>
      <c r="R334" s="26"/>
      <c r="S334" s="79"/>
      <c r="T334" s="26"/>
      <c r="U334" s="31"/>
      <c r="V334" s="26"/>
    </row>
    <row r="335" ht="15" customHeight="1">
      <c r="A335" s="32"/>
      <c r="B335" s="26"/>
      <c r="C335" s="26"/>
      <c r="D335" s="27"/>
      <c r="E335" s="28"/>
      <c r="F335" s="28"/>
      <c r="G335" s="28"/>
      <c r="H335" s="28"/>
      <c r="I335" s="28"/>
      <c r="J335" s="26"/>
      <c r="K335" s="26"/>
      <c r="L335" s="28"/>
      <c r="M335" s="28"/>
      <c r="N335" s="26"/>
      <c r="O335" s="26"/>
      <c r="P335" s="26"/>
      <c r="Q335" s="28"/>
      <c r="R335" s="26"/>
      <c r="S335" s="79"/>
      <c r="T335" s="26"/>
      <c r="U335" s="31"/>
      <c r="V335" s="26"/>
    </row>
    <row r="336" ht="15" customHeight="1">
      <c r="A336" s="32"/>
      <c r="B336" s="26"/>
      <c r="C336" s="26"/>
      <c r="D336" s="27"/>
      <c r="E336" s="28"/>
      <c r="F336" s="28"/>
      <c r="G336" s="28"/>
      <c r="H336" s="28"/>
      <c r="I336" s="28"/>
      <c r="J336" s="26"/>
      <c r="K336" s="26"/>
      <c r="L336" s="28"/>
      <c r="M336" s="28"/>
      <c r="N336" s="26"/>
      <c r="O336" s="26"/>
      <c r="P336" s="26"/>
      <c r="Q336" s="28"/>
      <c r="R336" s="26"/>
      <c r="S336" s="79"/>
      <c r="T336" s="26"/>
      <c r="U336" s="31"/>
      <c r="V336" s="80"/>
    </row>
    <row r="337" ht="15" customHeight="1">
      <c r="A337" s="32"/>
      <c r="B337" s="26"/>
      <c r="C337" s="26"/>
      <c r="D337" s="27"/>
      <c r="E337" s="28"/>
      <c r="F337" s="28"/>
      <c r="G337" s="28"/>
      <c r="H337" s="28"/>
      <c r="I337" s="28"/>
      <c r="J337" s="26"/>
      <c r="K337" s="26"/>
      <c r="L337" s="28"/>
      <c r="M337" s="28"/>
      <c r="N337" s="26"/>
      <c r="O337" s="26"/>
      <c r="P337" s="26"/>
      <c r="Q337" s="28"/>
      <c r="R337" s="26"/>
      <c r="S337" s="79"/>
      <c r="T337" s="26"/>
      <c r="U337" s="31"/>
      <c r="V337" s="26"/>
    </row>
    <row r="338" ht="15" customHeight="1">
      <c r="A338" s="32"/>
      <c r="B338" s="26"/>
      <c r="C338" s="26"/>
      <c r="D338" s="27"/>
      <c r="E338" s="28"/>
      <c r="F338" s="28"/>
      <c r="G338" s="28"/>
      <c r="H338" s="28"/>
      <c r="I338" s="28"/>
      <c r="J338" s="26"/>
      <c r="K338" s="26"/>
      <c r="L338" s="28"/>
      <c r="M338" s="28"/>
      <c r="N338" s="26"/>
      <c r="O338" s="26"/>
      <c r="P338" s="26"/>
      <c r="Q338" s="28"/>
      <c r="R338" s="26"/>
      <c r="S338" s="79"/>
      <c r="T338" s="26"/>
      <c r="U338" s="31"/>
      <c r="V338" s="26"/>
    </row>
    <row r="339" ht="15" customHeight="1">
      <c r="A339" s="32"/>
      <c r="B339" s="26"/>
      <c r="C339" s="26"/>
      <c r="D339" s="81"/>
      <c r="E339" s="28"/>
      <c r="F339" s="28"/>
      <c r="G339" s="28"/>
      <c r="H339" s="28"/>
      <c r="I339" s="28"/>
      <c r="J339" s="26"/>
      <c r="K339" s="26"/>
      <c r="L339" s="28"/>
      <c r="M339" s="28"/>
      <c r="N339" s="26"/>
      <c r="O339" s="26"/>
      <c r="P339" s="26"/>
      <c r="Q339" s="28"/>
      <c r="R339" s="26"/>
      <c r="S339" s="79"/>
      <c r="T339" s="26"/>
      <c r="U339" s="31"/>
      <c r="V339" s="26"/>
    </row>
    <row r="340" ht="15" customHeight="1">
      <c r="A340" s="32"/>
      <c r="B340" s="26"/>
      <c r="C340" s="26"/>
      <c r="D340" s="81"/>
      <c r="E340" s="28"/>
      <c r="F340" s="28"/>
      <c r="G340" s="28"/>
      <c r="H340" s="28"/>
      <c r="I340" s="28"/>
      <c r="J340" s="26"/>
      <c r="K340" s="26"/>
      <c r="L340" s="28"/>
      <c r="M340" s="28"/>
      <c r="N340" s="26"/>
      <c r="O340" s="26"/>
      <c r="P340" s="26"/>
      <c r="Q340" s="28"/>
      <c r="R340" s="26"/>
      <c r="S340" s="79"/>
      <c r="T340" s="26"/>
      <c r="U340" s="31"/>
      <c r="V340" s="26"/>
    </row>
    <row r="341" ht="15" customHeight="1">
      <c r="A341" s="32"/>
      <c r="B341" s="26"/>
      <c r="C341" s="26"/>
      <c r="D341" s="81"/>
      <c r="E341" s="28"/>
      <c r="F341" s="28"/>
      <c r="G341" s="28"/>
      <c r="H341" s="28"/>
      <c r="I341" s="28"/>
      <c r="J341" s="26"/>
      <c r="K341" s="26"/>
      <c r="L341" s="28"/>
      <c r="M341" s="28"/>
      <c r="N341" s="26"/>
      <c r="O341" s="26"/>
      <c r="P341" s="26"/>
      <c r="Q341" s="28"/>
      <c r="R341" s="26"/>
      <c r="S341" s="79"/>
      <c r="T341" s="26"/>
      <c r="U341" s="31"/>
      <c r="V341" s="80"/>
    </row>
    <row r="342" ht="15" customHeight="1">
      <c r="A342" s="32"/>
      <c r="B342" s="26"/>
      <c r="C342" s="26"/>
      <c r="D342" s="27"/>
      <c r="E342" s="28"/>
      <c r="F342" s="28"/>
      <c r="G342" s="28"/>
      <c r="H342" s="28"/>
      <c r="I342" s="28"/>
      <c r="J342" s="26"/>
      <c r="K342" s="26"/>
      <c r="L342" s="28"/>
      <c r="M342" s="28"/>
      <c r="N342" s="26"/>
      <c r="O342" s="26"/>
      <c r="P342" s="26"/>
      <c r="Q342" s="28"/>
      <c r="R342" s="26"/>
      <c r="S342" s="79"/>
      <c r="T342" s="26"/>
      <c r="U342" s="31"/>
      <c r="V342" s="26"/>
    </row>
    <row r="343" ht="15" customHeight="1">
      <c r="A343" s="32"/>
      <c r="B343" s="26"/>
      <c r="C343" s="26"/>
      <c r="D343" s="27"/>
      <c r="E343" s="28"/>
      <c r="F343" s="28"/>
      <c r="G343" s="28"/>
      <c r="H343" s="28"/>
      <c r="I343" s="28"/>
      <c r="J343" s="26"/>
      <c r="K343" s="26"/>
      <c r="L343" s="28"/>
      <c r="M343" s="28"/>
      <c r="N343" s="26"/>
      <c r="O343" s="26"/>
      <c r="P343" s="26"/>
      <c r="Q343" s="28"/>
      <c r="R343" s="26"/>
      <c r="S343" s="79"/>
      <c r="T343" s="26"/>
      <c r="U343" s="31"/>
      <c r="V343" s="26"/>
    </row>
    <row r="344" ht="15" customHeight="1">
      <c r="A344" s="32"/>
      <c r="B344" s="26"/>
      <c r="C344" s="26"/>
      <c r="D344" s="27"/>
      <c r="E344" s="28"/>
      <c r="F344" s="28"/>
      <c r="G344" s="28"/>
      <c r="H344" s="28"/>
      <c r="I344" s="28"/>
      <c r="J344" s="26"/>
      <c r="K344" s="26"/>
      <c r="L344" s="28"/>
      <c r="M344" s="28"/>
      <c r="N344" s="26"/>
      <c r="O344" s="26"/>
      <c r="P344" s="26"/>
      <c r="Q344" s="28"/>
      <c r="R344" s="26"/>
      <c r="S344" s="79"/>
      <c r="T344" s="26"/>
      <c r="U344" s="31"/>
      <c r="V344" s="26"/>
    </row>
    <row r="345" ht="15" customHeight="1">
      <c r="A345" s="32"/>
      <c r="B345" s="26"/>
      <c r="C345" s="26"/>
      <c r="D345" s="27"/>
      <c r="E345" s="28"/>
      <c r="F345" s="28"/>
      <c r="G345" s="28"/>
      <c r="H345" s="28"/>
      <c r="I345" s="28"/>
      <c r="J345" s="26"/>
      <c r="K345" s="26"/>
      <c r="L345" s="28"/>
      <c r="M345" s="28"/>
      <c r="N345" s="26"/>
      <c r="O345" s="26"/>
      <c r="P345" s="26"/>
      <c r="Q345" s="28"/>
      <c r="R345" s="26"/>
      <c r="S345" s="79"/>
      <c r="T345" s="26"/>
      <c r="U345" s="31"/>
      <c r="V345" s="26"/>
    </row>
    <row r="346" ht="15" customHeight="1">
      <c r="A346" s="32"/>
      <c r="B346" s="26"/>
      <c r="C346" s="26"/>
      <c r="D346" s="27"/>
      <c r="E346" s="28"/>
      <c r="F346" s="28"/>
      <c r="G346" s="28"/>
      <c r="H346" s="28"/>
      <c r="I346" s="28"/>
      <c r="J346" s="26"/>
      <c r="K346" s="26"/>
      <c r="L346" s="28"/>
      <c r="M346" s="28"/>
      <c r="N346" s="26"/>
      <c r="O346" s="26"/>
      <c r="P346" s="26"/>
      <c r="Q346" s="28"/>
      <c r="R346" s="26"/>
      <c r="S346" s="79"/>
      <c r="T346" s="26"/>
      <c r="U346" s="31"/>
      <c r="V346" s="26"/>
    </row>
    <row r="347" ht="15" customHeight="1">
      <c r="A347" s="32"/>
      <c r="B347" s="26"/>
      <c r="C347" s="26"/>
      <c r="D347" s="27"/>
      <c r="E347" s="28"/>
      <c r="F347" s="28"/>
      <c r="G347" s="28"/>
      <c r="H347" s="28"/>
      <c r="I347" s="28"/>
      <c r="J347" s="26"/>
      <c r="K347" s="26"/>
      <c r="L347" s="28"/>
      <c r="M347" s="28"/>
      <c r="N347" s="26"/>
      <c r="O347" s="26"/>
      <c r="P347" s="26"/>
      <c r="Q347" s="28"/>
      <c r="R347" s="26"/>
      <c r="S347" s="79"/>
      <c r="T347" s="26"/>
      <c r="U347" s="31"/>
      <c r="V347" s="26"/>
    </row>
    <row r="348" ht="15" customHeight="1">
      <c r="A348" s="32"/>
      <c r="B348" s="26"/>
      <c r="C348" s="26"/>
      <c r="D348" s="27"/>
      <c r="E348" s="28"/>
      <c r="F348" s="28"/>
      <c r="G348" s="28"/>
      <c r="H348" s="28"/>
      <c r="I348" s="28"/>
      <c r="J348" s="26"/>
      <c r="K348" s="26"/>
      <c r="L348" s="28"/>
      <c r="M348" s="28"/>
      <c r="N348" s="26"/>
      <c r="O348" s="26"/>
      <c r="P348" s="26"/>
      <c r="Q348" s="28"/>
      <c r="R348" s="26"/>
      <c r="S348" s="79"/>
      <c r="T348" s="26"/>
      <c r="U348" s="31"/>
      <c r="V348" s="26"/>
    </row>
    <row r="349" ht="15" customHeight="1">
      <c r="A349" s="32"/>
      <c r="B349" s="26"/>
      <c r="C349" s="26"/>
      <c r="D349" s="27"/>
      <c r="E349" s="28"/>
      <c r="F349" s="28"/>
      <c r="G349" s="28"/>
      <c r="H349" s="28"/>
      <c r="I349" s="28"/>
      <c r="J349" s="26"/>
      <c r="K349" s="26"/>
      <c r="L349" s="28"/>
      <c r="M349" s="28"/>
      <c r="N349" s="26"/>
      <c r="O349" s="26"/>
      <c r="P349" s="26"/>
      <c r="Q349" s="28"/>
      <c r="R349" s="26"/>
      <c r="S349" s="79"/>
      <c r="T349" s="26"/>
      <c r="U349" s="31"/>
      <c r="V349" s="26"/>
    </row>
    <row r="350" ht="15" customHeight="1">
      <c r="A350" s="32"/>
      <c r="B350" s="26"/>
      <c r="C350" s="26"/>
      <c r="D350" s="27"/>
      <c r="E350" s="28"/>
      <c r="F350" s="28"/>
      <c r="G350" s="28"/>
      <c r="H350" s="28"/>
      <c r="I350" s="28"/>
      <c r="J350" s="26"/>
      <c r="K350" s="26"/>
      <c r="L350" s="28"/>
      <c r="M350" s="28"/>
      <c r="N350" s="26"/>
      <c r="O350" s="26"/>
      <c r="P350" s="26"/>
      <c r="Q350" s="28"/>
      <c r="R350" s="26"/>
      <c r="S350" s="79"/>
      <c r="T350" s="26"/>
      <c r="U350" s="31"/>
      <c r="V350" s="26"/>
    </row>
    <row r="351" ht="15" customHeight="1">
      <c r="A351" s="32"/>
      <c r="B351" s="26"/>
      <c r="C351" s="26"/>
      <c r="D351" s="27"/>
      <c r="E351" s="28"/>
      <c r="F351" s="28"/>
      <c r="G351" s="28"/>
      <c r="H351" s="28"/>
      <c r="I351" s="28"/>
      <c r="J351" s="26"/>
      <c r="K351" s="26"/>
      <c r="L351" s="28"/>
      <c r="M351" s="28"/>
      <c r="N351" s="26"/>
      <c r="O351" s="26"/>
      <c r="P351" s="26"/>
      <c r="Q351" s="28"/>
      <c r="R351" s="26"/>
      <c r="S351" s="79"/>
      <c r="T351" s="26"/>
      <c r="U351" s="31"/>
      <c r="V351" s="26"/>
    </row>
    <row r="352" ht="15" customHeight="1">
      <c r="A352" s="32"/>
      <c r="B352" s="26"/>
      <c r="C352" s="26"/>
      <c r="D352" s="27"/>
      <c r="E352" s="28"/>
      <c r="F352" s="28"/>
      <c r="G352" s="28"/>
      <c r="H352" s="28"/>
      <c r="I352" s="28"/>
      <c r="J352" s="26"/>
      <c r="K352" s="26"/>
      <c r="L352" s="28"/>
      <c r="M352" s="28"/>
      <c r="N352" s="26"/>
      <c r="O352" s="26"/>
      <c r="P352" s="26"/>
      <c r="Q352" s="28"/>
      <c r="R352" s="26"/>
      <c r="S352" s="79"/>
      <c r="T352" s="26"/>
      <c r="U352" s="31"/>
      <c r="V352" s="26"/>
    </row>
    <row r="353" ht="15" customHeight="1">
      <c r="A353" s="32"/>
      <c r="B353" s="26"/>
      <c r="C353" s="26"/>
      <c r="D353" s="27"/>
      <c r="E353" s="28"/>
      <c r="F353" s="28"/>
      <c r="G353" s="28"/>
      <c r="H353" s="28"/>
      <c r="I353" s="28"/>
      <c r="J353" s="26"/>
      <c r="K353" s="26"/>
      <c r="L353" s="28"/>
      <c r="M353" s="28"/>
      <c r="N353" s="26"/>
      <c r="O353" s="26"/>
      <c r="P353" s="26"/>
      <c r="Q353" s="28"/>
      <c r="R353" s="26"/>
      <c r="S353" s="79"/>
      <c r="T353" s="26"/>
      <c r="U353" s="31"/>
      <c r="V353" s="26"/>
    </row>
    <row r="354" ht="15" customHeight="1">
      <c r="A354" s="32"/>
      <c r="B354" s="26"/>
      <c r="C354" s="26"/>
      <c r="D354" s="27"/>
      <c r="E354" s="28"/>
      <c r="F354" s="28"/>
      <c r="G354" s="28"/>
      <c r="H354" s="28"/>
      <c r="I354" s="28"/>
      <c r="J354" s="26"/>
      <c r="K354" s="26"/>
      <c r="L354" s="28"/>
      <c r="M354" s="28"/>
      <c r="N354" s="26"/>
      <c r="O354" s="26"/>
      <c r="P354" s="26"/>
      <c r="Q354" s="28"/>
      <c r="R354" s="26"/>
      <c r="S354" s="79"/>
      <c r="T354" s="26"/>
      <c r="U354" s="31"/>
      <c r="V354" s="26"/>
    </row>
    <row r="355" ht="15" customHeight="1">
      <c r="A355" s="32"/>
      <c r="B355" s="26"/>
      <c r="C355" s="26"/>
      <c r="D355" s="27"/>
      <c r="E355" s="28"/>
      <c r="F355" s="28"/>
      <c r="G355" s="28"/>
      <c r="H355" s="28"/>
      <c r="I355" s="28"/>
      <c r="J355" s="26"/>
      <c r="K355" s="26"/>
      <c r="L355" s="28"/>
      <c r="M355" s="28"/>
      <c r="N355" s="26"/>
      <c r="O355" s="26"/>
      <c r="P355" s="26"/>
      <c r="Q355" s="28"/>
      <c r="R355" s="26"/>
      <c r="S355" s="79"/>
      <c r="T355" s="26"/>
      <c r="U355" s="31"/>
      <c r="V355" s="26"/>
    </row>
    <row r="356" ht="15" customHeight="1">
      <c r="A356" s="32"/>
      <c r="B356" s="26"/>
      <c r="C356" s="26"/>
      <c r="D356" s="27"/>
      <c r="E356" s="28"/>
      <c r="F356" s="28"/>
      <c r="G356" s="28"/>
      <c r="H356" s="28"/>
      <c r="I356" s="28"/>
      <c r="J356" s="26"/>
      <c r="K356" s="26"/>
      <c r="L356" s="28"/>
      <c r="M356" s="28"/>
      <c r="N356" s="26"/>
      <c r="O356" s="26"/>
      <c r="P356" s="26"/>
      <c r="Q356" s="28"/>
      <c r="R356" s="26"/>
      <c r="S356" s="79"/>
      <c r="T356" s="26"/>
      <c r="U356" s="31"/>
      <c r="V356" s="26"/>
    </row>
    <row r="357" ht="15" customHeight="1">
      <c r="A357" s="32"/>
      <c r="B357" s="26"/>
      <c r="C357" s="26"/>
      <c r="D357" s="27"/>
      <c r="E357" s="28"/>
      <c r="F357" s="28"/>
      <c r="G357" s="28"/>
      <c r="H357" s="28"/>
      <c r="I357" s="28"/>
      <c r="J357" s="26"/>
      <c r="K357" s="26"/>
      <c r="L357" s="28"/>
      <c r="M357" s="28"/>
      <c r="N357" s="26"/>
      <c r="O357" s="26"/>
      <c r="P357" s="26"/>
      <c r="Q357" s="28"/>
      <c r="R357" s="26"/>
      <c r="S357" s="79"/>
      <c r="T357" s="26"/>
      <c r="U357" s="31"/>
      <c r="V357" s="26"/>
    </row>
    <row r="358" ht="15" customHeight="1">
      <c r="A358" s="32"/>
      <c r="B358" s="26"/>
      <c r="C358" s="26"/>
      <c r="D358" s="27"/>
      <c r="E358" s="28"/>
      <c r="F358" s="28"/>
      <c r="G358" s="28"/>
      <c r="H358" s="28"/>
      <c r="I358" s="28"/>
      <c r="J358" s="26"/>
      <c r="K358" s="26"/>
      <c r="L358" s="28"/>
      <c r="M358" s="28"/>
      <c r="N358" s="26"/>
      <c r="O358" s="26"/>
      <c r="P358" s="26"/>
      <c r="Q358" s="28"/>
      <c r="R358" s="26"/>
      <c r="S358" s="79"/>
      <c r="T358" s="26"/>
      <c r="U358" s="31"/>
      <c r="V358" s="26"/>
    </row>
    <row r="359" ht="15" customHeight="1">
      <c r="A359" s="32"/>
      <c r="B359" s="26"/>
      <c r="C359" s="26"/>
      <c r="D359" s="27"/>
      <c r="E359" s="28"/>
      <c r="F359" s="28"/>
      <c r="G359" s="28"/>
      <c r="H359" s="28"/>
      <c r="I359" s="28"/>
      <c r="J359" s="26"/>
      <c r="K359" s="26"/>
      <c r="L359" s="28"/>
      <c r="M359" s="28"/>
      <c r="N359" s="26"/>
      <c r="O359" s="26"/>
      <c r="P359" s="26"/>
      <c r="Q359" s="28"/>
      <c r="R359" s="26"/>
      <c r="S359" s="79"/>
      <c r="T359" s="26"/>
      <c r="U359" s="31"/>
      <c r="V359" s="26"/>
    </row>
    <row r="360" ht="15" customHeight="1">
      <c r="A360" s="32"/>
      <c r="B360" s="26"/>
      <c r="C360" s="26"/>
      <c r="D360" s="27"/>
      <c r="E360" s="28"/>
      <c r="F360" s="28"/>
      <c r="G360" s="28"/>
      <c r="H360" s="28"/>
      <c r="I360" s="28"/>
      <c r="J360" s="26"/>
      <c r="K360" s="26"/>
      <c r="L360" s="28"/>
      <c r="M360" s="28"/>
      <c r="N360" s="26"/>
      <c r="O360" s="26"/>
      <c r="P360" s="26"/>
      <c r="Q360" s="28"/>
      <c r="R360" s="26"/>
      <c r="S360" s="79"/>
      <c r="T360" s="26"/>
      <c r="U360" s="31"/>
      <c r="V360" s="26"/>
    </row>
    <row r="361" ht="15" customHeight="1">
      <c r="A361" s="32"/>
      <c r="B361" s="26"/>
      <c r="C361" s="26"/>
      <c r="D361" s="27"/>
      <c r="E361" s="28"/>
      <c r="F361" s="28"/>
      <c r="G361" s="28"/>
      <c r="H361" s="28"/>
      <c r="I361" s="28"/>
      <c r="J361" s="26"/>
      <c r="K361" s="26"/>
      <c r="L361" s="28"/>
      <c r="M361" s="28"/>
      <c r="N361" s="26"/>
      <c r="O361" s="26"/>
      <c r="P361" s="26"/>
      <c r="Q361" s="28"/>
      <c r="R361" s="26"/>
      <c r="S361" s="79"/>
      <c r="T361" s="26"/>
      <c r="U361" s="31"/>
      <c r="V361" s="26"/>
    </row>
    <row r="362" ht="15" customHeight="1">
      <c r="A362" s="32"/>
      <c r="B362" s="26"/>
      <c r="C362" s="26"/>
      <c r="D362" s="27"/>
      <c r="E362" s="28"/>
      <c r="F362" s="28"/>
      <c r="G362" s="28"/>
      <c r="H362" s="28"/>
      <c r="I362" s="28"/>
      <c r="J362" s="26"/>
      <c r="K362" s="26"/>
      <c r="L362" s="28"/>
      <c r="M362" s="28"/>
      <c r="N362" s="26"/>
      <c r="O362" s="26"/>
      <c r="P362" s="26"/>
      <c r="Q362" s="28"/>
      <c r="R362" s="26"/>
      <c r="S362" s="79"/>
      <c r="T362" s="26"/>
      <c r="U362" s="31"/>
      <c r="V362" s="26"/>
    </row>
    <row r="363" ht="15" customHeight="1">
      <c r="A363" s="32"/>
      <c r="B363" s="26"/>
      <c r="C363" s="26"/>
      <c r="D363" s="27"/>
      <c r="E363" s="28"/>
      <c r="F363" s="28"/>
      <c r="G363" s="28"/>
      <c r="H363" s="28"/>
      <c r="I363" s="28"/>
      <c r="J363" s="26"/>
      <c r="K363" s="26"/>
      <c r="L363" s="28"/>
      <c r="M363" s="28"/>
      <c r="N363" s="26"/>
      <c r="O363" s="26"/>
      <c r="P363" s="26"/>
      <c r="Q363" s="28"/>
      <c r="R363" s="26"/>
      <c r="S363" s="79"/>
      <c r="T363" s="26"/>
      <c r="U363" s="31"/>
      <c r="V363" s="26"/>
    </row>
    <row r="364" ht="15" customHeight="1">
      <c r="A364" s="32"/>
      <c r="B364" s="26"/>
      <c r="C364" s="26"/>
      <c r="D364" s="27"/>
      <c r="E364" s="28"/>
      <c r="F364" s="28"/>
      <c r="G364" s="28"/>
      <c r="H364" s="28"/>
      <c r="I364" s="28"/>
      <c r="J364" s="26"/>
      <c r="K364" s="26"/>
      <c r="L364" s="28"/>
      <c r="M364" s="28"/>
      <c r="N364" s="26"/>
      <c r="O364" s="26"/>
      <c r="P364" s="26"/>
      <c r="Q364" s="28"/>
      <c r="R364" s="26"/>
      <c r="S364" s="79"/>
      <c r="T364" s="26"/>
      <c r="U364" s="31"/>
      <c r="V364" s="26"/>
    </row>
    <row r="365" ht="15" customHeight="1">
      <c r="A365" s="32"/>
      <c r="B365" s="26"/>
      <c r="C365" s="26"/>
      <c r="D365" s="27"/>
      <c r="E365" s="28"/>
      <c r="F365" s="28"/>
      <c r="G365" s="28"/>
      <c r="H365" s="28"/>
      <c r="I365" s="28"/>
      <c r="J365" s="26"/>
      <c r="K365" s="26"/>
      <c r="L365" s="28"/>
      <c r="M365" s="28"/>
      <c r="N365" s="26"/>
      <c r="O365" s="26"/>
      <c r="P365" s="26"/>
      <c r="Q365" s="28"/>
      <c r="R365" s="26"/>
      <c r="S365" s="79"/>
      <c r="T365" s="26"/>
      <c r="U365" s="31"/>
      <c r="V365" s="26"/>
    </row>
    <row r="366" ht="15" customHeight="1">
      <c r="A366" s="32"/>
      <c r="B366" s="26"/>
      <c r="C366" s="26"/>
      <c r="D366" s="27"/>
      <c r="E366" s="28"/>
      <c r="F366" s="28"/>
      <c r="G366" s="28"/>
      <c r="H366" s="28"/>
      <c r="I366" s="28"/>
      <c r="J366" s="26"/>
      <c r="K366" s="26"/>
      <c r="L366" s="28"/>
      <c r="M366" s="28"/>
      <c r="N366" s="26"/>
      <c r="O366" s="26"/>
      <c r="P366" s="26"/>
      <c r="Q366" s="28"/>
      <c r="R366" s="26"/>
      <c r="S366" s="79"/>
      <c r="T366" s="26"/>
      <c r="U366" s="31"/>
      <c r="V366" s="26"/>
    </row>
    <row r="367" ht="15" customHeight="1">
      <c r="A367" s="32"/>
      <c r="B367" s="26"/>
      <c r="C367" s="26"/>
      <c r="D367" s="27"/>
      <c r="E367" s="28"/>
      <c r="F367" s="28"/>
      <c r="G367" s="28"/>
      <c r="H367" s="28"/>
      <c r="I367" s="28"/>
      <c r="J367" s="26"/>
      <c r="K367" s="26"/>
      <c r="L367" s="28"/>
      <c r="M367" s="28"/>
      <c r="N367" s="26"/>
      <c r="O367" s="26"/>
      <c r="P367" s="26"/>
      <c r="Q367" s="28"/>
      <c r="R367" s="26"/>
      <c r="S367" s="79"/>
      <c r="T367" s="26"/>
      <c r="U367" s="31"/>
      <c r="V367" s="26"/>
    </row>
    <row r="368" ht="15" customHeight="1">
      <c r="A368" s="32"/>
      <c r="B368" s="26"/>
      <c r="C368" s="26"/>
      <c r="D368" s="27"/>
      <c r="E368" s="28"/>
      <c r="F368" s="28"/>
      <c r="G368" s="28"/>
      <c r="H368" s="28"/>
      <c r="I368" s="28"/>
      <c r="J368" s="26"/>
      <c r="K368" s="26"/>
      <c r="L368" s="28"/>
      <c r="M368" s="28"/>
      <c r="N368" s="26"/>
      <c r="O368" s="26"/>
      <c r="P368" s="26"/>
      <c r="Q368" s="28"/>
      <c r="R368" s="26"/>
      <c r="S368" s="79"/>
      <c r="T368" s="26"/>
      <c r="U368" s="31"/>
      <c r="V368" s="26"/>
    </row>
    <row r="369" ht="15" customHeight="1">
      <c r="A369" s="32"/>
      <c r="B369" s="26"/>
      <c r="C369" s="26"/>
      <c r="D369" s="27"/>
      <c r="E369" s="28"/>
      <c r="F369" s="28"/>
      <c r="G369" s="28"/>
      <c r="H369" s="28"/>
      <c r="I369" s="28"/>
      <c r="J369" s="26"/>
      <c r="K369" s="26"/>
      <c r="L369" s="28"/>
      <c r="M369" s="28"/>
      <c r="N369" s="26"/>
      <c r="O369" s="26"/>
      <c r="P369" s="26"/>
      <c r="Q369" s="28"/>
      <c r="R369" s="26"/>
      <c r="S369" s="79"/>
      <c r="T369" s="26"/>
      <c r="U369" s="31"/>
      <c r="V369" s="26"/>
    </row>
    <row r="370" ht="15" customHeight="1">
      <c r="A370" s="32"/>
      <c r="B370" s="26"/>
      <c r="C370" s="26"/>
      <c r="D370" s="81"/>
      <c r="E370" s="28"/>
      <c r="F370" s="28"/>
      <c r="G370" s="28"/>
      <c r="H370" s="28"/>
      <c r="I370" s="28"/>
      <c r="J370" s="26"/>
      <c r="K370" s="26"/>
      <c r="L370" s="28"/>
      <c r="M370" s="28"/>
      <c r="N370" s="26"/>
      <c r="O370" s="26"/>
      <c r="P370" s="26"/>
      <c r="Q370" s="28"/>
      <c r="R370" s="26"/>
      <c r="S370" s="79"/>
      <c r="T370" s="26"/>
      <c r="U370" s="31"/>
      <c r="V370" s="26"/>
    </row>
    <row r="371" ht="15" customHeight="1">
      <c r="A371" s="32"/>
      <c r="B371" s="26"/>
      <c r="C371" s="26"/>
      <c r="D371" s="81"/>
      <c r="E371" s="28"/>
      <c r="F371" s="28"/>
      <c r="G371" s="28"/>
      <c r="H371" s="28"/>
      <c r="I371" s="28"/>
      <c r="J371" s="26"/>
      <c r="K371" s="26"/>
      <c r="L371" s="28"/>
      <c r="M371" s="28"/>
      <c r="N371" s="26"/>
      <c r="O371" s="26"/>
      <c r="P371" s="26"/>
      <c r="Q371" s="28"/>
      <c r="R371" s="26"/>
      <c r="S371" s="79"/>
      <c r="T371" s="26"/>
      <c r="U371" s="31"/>
      <c r="V371" s="80"/>
    </row>
    <row r="372" ht="15" customHeight="1">
      <c r="A372" s="32"/>
      <c r="B372" s="26"/>
      <c r="C372" s="26"/>
      <c r="D372" s="27"/>
      <c r="E372" s="28"/>
      <c r="F372" s="28"/>
      <c r="G372" s="28"/>
      <c r="H372" s="28"/>
      <c r="I372" s="28"/>
      <c r="J372" s="26"/>
      <c r="K372" s="26"/>
      <c r="L372" s="28"/>
      <c r="M372" s="28"/>
      <c r="N372" s="26"/>
      <c r="O372" s="26"/>
      <c r="P372" s="26"/>
      <c r="Q372" s="28"/>
      <c r="R372" s="26"/>
      <c r="S372" s="79"/>
      <c r="T372" s="26"/>
      <c r="U372" s="31"/>
      <c r="V372" s="26"/>
    </row>
    <row r="373" ht="15" customHeight="1">
      <c r="A373" s="32"/>
      <c r="B373" s="26"/>
      <c r="C373" s="26"/>
      <c r="D373" s="27"/>
      <c r="E373" s="28"/>
      <c r="F373" s="28"/>
      <c r="G373" s="28"/>
      <c r="H373" s="28"/>
      <c r="I373" s="28"/>
      <c r="J373" s="26"/>
      <c r="K373" s="26"/>
      <c r="L373" s="28"/>
      <c r="M373" s="28"/>
      <c r="N373" s="26"/>
      <c r="O373" s="26"/>
      <c r="P373" s="26"/>
      <c r="Q373" s="28"/>
      <c r="R373" s="26"/>
      <c r="S373" s="79"/>
      <c r="T373" s="26"/>
      <c r="U373" s="31"/>
      <c r="V373" s="26"/>
    </row>
    <row r="374" ht="15" customHeight="1">
      <c r="A374" s="32"/>
      <c r="B374" s="26"/>
      <c r="C374" s="26"/>
      <c r="D374" s="27"/>
      <c r="E374" s="28"/>
      <c r="F374" s="28"/>
      <c r="G374" s="28"/>
      <c r="H374" s="28"/>
      <c r="I374" s="28"/>
      <c r="J374" s="26"/>
      <c r="K374" s="26"/>
      <c r="L374" s="28"/>
      <c r="M374" s="28"/>
      <c r="N374" s="26"/>
      <c r="O374" s="26"/>
      <c r="P374" s="26"/>
      <c r="Q374" s="28"/>
      <c r="R374" s="26"/>
      <c r="S374" s="79"/>
      <c r="T374" s="26"/>
      <c r="U374" s="31"/>
      <c r="V374" s="80"/>
    </row>
    <row r="375" ht="15" customHeight="1">
      <c r="A375" s="32"/>
      <c r="B375" s="26"/>
      <c r="C375" s="26"/>
      <c r="D375" s="27"/>
      <c r="E375" s="28"/>
      <c r="F375" s="28"/>
      <c r="G375" s="28"/>
      <c r="H375" s="28"/>
      <c r="I375" s="28"/>
      <c r="J375" s="26"/>
      <c r="K375" s="26"/>
      <c r="L375" s="28"/>
      <c r="M375" s="28"/>
      <c r="N375" s="26"/>
      <c r="O375" s="26"/>
      <c r="P375" s="26"/>
      <c r="Q375" s="28"/>
      <c r="R375" s="26"/>
      <c r="S375" s="79"/>
      <c r="T375" s="26"/>
      <c r="U375" s="31"/>
      <c r="V375" s="26"/>
    </row>
    <row r="376" ht="15" customHeight="1">
      <c r="A376" s="32"/>
      <c r="B376" s="26"/>
      <c r="C376" s="26"/>
      <c r="D376" s="27"/>
      <c r="E376" s="28"/>
      <c r="F376" s="28"/>
      <c r="G376" s="28"/>
      <c r="H376" s="28"/>
      <c r="I376" s="28"/>
      <c r="J376" s="26"/>
      <c r="K376" s="26"/>
      <c r="L376" s="28"/>
      <c r="M376" s="28"/>
      <c r="N376" s="26"/>
      <c r="O376" s="26"/>
      <c r="P376" s="26"/>
      <c r="Q376" s="28"/>
      <c r="R376" s="26"/>
      <c r="S376" s="79"/>
      <c r="T376" s="26"/>
      <c r="U376" s="31"/>
      <c r="V376" s="26"/>
    </row>
    <row r="377" ht="15" customHeight="1">
      <c r="A377" s="32"/>
      <c r="B377" s="26"/>
      <c r="C377" s="26"/>
      <c r="D377" s="27"/>
      <c r="E377" s="28"/>
      <c r="F377" s="28"/>
      <c r="G377" s="28"/>
      <c r="H377" s="28"/>
      <c r="I377" s="28"/>
      <c r="J377" s="26"/>
      <c r="K377" s="26"/>
      <c r="L377" s="28"/>
      <c r="M377" s="28"/>
      <c r="N377" s="26"/>
      <c r="O377" s="26"/>
      <c r="P377" s="26"/>
      <c r="Q377" s="28"/>
      <c r="R377" s="26"/>
      <c r="S377" s="79"/>
      <c r="T377" s="26"/>
      <c r="U377" s="31"/>
      <c r="V377" s="26"/>
    </row>
    <row r="378" ht="15" customHeight="1">
      <c r="A378" s="32"/>
      <c r="B378" s="26"/>
      <c r="C378" s="26"/>
      <c r="D378" s="27"/>
      <c r="E378" s="28"/>
      <c r="F378" s="28"/>
      <c r="G378" s="28"/>
      <c r="H378" s="28"/>
      <c r="I378" s="28"/>
      <c r="J378" s="26"/>
      <c r="K378" s="26"/>
      <c r="L378" s="28"/>
      <c r="M378" s="28"/>
      <c r="N378" s="26"/>
      <c r="O378" s="26"/>
      <c r="P378" s="26"/>
      <c r="Q378" s="28"/>
      <c r="R378" s="26"/>
      <c r="S378" s="79"/>
      <c r="T378" s="26"/>
      <c r="U378" s="31"/>
      <c r="V378" s="80"/>
    </row>
    <row r="379" ht="15" customHeight="1">
      <c r="A379" s="32"/>
      <c r="B379" s="26"/>
      <c r="C379" s="26"/>
      <c r="D379" s="27"/>
      <c r="E379" s="28"/>
      <c r="F379" s="28"/>
      <c r="G379" s="28"/>
      <c r="H379" s="28"/>
      <c r="I379" s="28"/>
      <c r="J379" s="26"/>
      <c r="K379" s="26"/>
      <c r="L379" s="28"/>
      <c r="M379" s="28"/>
      <c r="N379" s="26"/>
      <c r="O379" s="26"/>
      <c r="P379" s="26"/>
      <c r="Q379" s="28"/>
      <c r="R379" s="26"/>
      <c r="S379" s="79"/>
      <c r="T379" s="26"/>
      <c r="U379" s="31"/>
      <c r="V379" s="26"/>
    </row>
    <row r="380" ht="15" customHeight="1">
      <c r="A380" s="32"/>
      <c r="B380" s="26"/>
      <c r="C380" s="26"/>
      <c r="D380" s="27"/>
      <c r="E380" s="28"/>
      <c r="F380" s="28"/>
      <c r="G380" s="28"/>
      <c r="H380" s="28"/>
      <c r="I380" s="28"/>
      <c r="J380" s="26"/>
      <c r="K380" s="26"/>
      <c r="L380" s="28"/>
      <c r="M380" s="28"/>
      <c r="N380" s="26"/>
      <c r="O380" s="26"/>
      <c r="P380" s="26"/>
      <c r="Q380" s="28"/>
      <c r="R380" s="26"/>
      <c r="S380" s="79"/>
      <c r="T380" s="26"/>
      <c r="U380" s="31"/>
      <c r="V380" s="26"/>
    </row>
    <row r="381" ht="15" customHeight="1">
      <c r="A381" s="32"/>
      <c r="B381" s="26"/>
      <c r="C381" s="26"/>
      <c r="D381" s="27"/>
      <c r="E381" s="28"/>
      <c r="F381" s="28"/>
      <c r="G381" s="28"/>
      <c r="H381" s="28"/>
      <c r="I381" s="28"/>
      <c r="J381" s="26"/>
      <c r="K381" s="26"/>
      <c r="L381" s="28"/>
      <c r="M381" s="28"/>
      <c r="N381" s="26"/>
      <c r="O381" s="26"/>
      <c r="P381" s="26"/>
      <c r="Q381" s="28"/>
      <c r="R381" s="26"/>
      <c r="S381" s="79"/>
      <c r="T381" s="26"/>
      <c r="U381" s="31"/>
      <c r="V381" s="80"/>
    </row>
    <row r="382" ht="15" customHeight="1">
      <c r="A382" s="32"/>
      <c r="B382" s="26"/>
      <c r="C382" s="26"/>
      <c r="D382" s="27"/>
      <c r="E382" s="28"/>
      <c r="F382" s="28"/>
      <c r="G382" s="28"/>
      <c r="H382" s="28"/>
      <c r="I382" s="28"/>
      <c r="J382" s="26"/>
      <c r="K382" s="26"/>
      <c r="L382" s="28"/>
      <c r="M382" s="28"/>
      <c r="N382" s="26"/>
      <c r="O382" s="26"/>
      <c r="P382" s="26"/>
      <c r="Q382" s="28"/>
      <c r="R382" s="26"/>
      <c r="S382" s="79"/>
      <c r="T382" s="26"/>
      <c r="U382" s="31"/>
      <c r="V382" s="26"/>
    </row>
    <row r="383" ht="15" customHeight="1">
      <c r="A383" s="32"/>
      <c r="B383" s="26"/>
      <c r="C383" s="26"/>
      <c r="D383" s="27"/>
      <c r="E383" s="28"/>
      <c r="F383" s="28"/>
      <c r="G383" s="28"/>
      <c r="H383" s="28"/>
      <c r="I383" s="28"/>
      <c r="J383" s="26"/>
      <c r="K383" s="26"/>
      <c r="L383" s="28"/>
      <c r="M383" s="28"/>
      <c r="N383" s="26"/>
      <c r="O383" s="26"/>
      <c r="P383" s="26"/>
      <c r="Q383" s="28"/>
      <c r="R383" s="26"/>
      <c r="S383" s="79"/>
      <c r="T383" s="26"/>
      <c r="U383" s="31"/>
      <c r="V383" s="26"/>
    </row>
    <row r="384" ht="15" customHeight="1">
      <c r="A384" s="32"/>
      <c r="B384" s="26"/>
      <c r="C384" s="26"/>
      <c r="D384" s="27"/>
      <c r="E384" s="28"/>
      <c r="F384" s="28"/>
      <c r="G384" s="28"/>
      <c r="H384" s="28"/>
      <c r="I384" s="28"/>
      <c r="J384" s="26"/>
      <c r="K384" s="26"/>
      <c r="L384" s="28"/>
      <c r="M384" s="28"/>
      <c r="N384" s="26"/>
      <c r="O384" s="26"/>
      <c r="P384" s="26"/>
      <c r="Q384" s="28"/>
      <c r="R384" s="26"/>
      <c r="S384" s="79"/>
      <c r="T384" s="26"/>
      <c r="U384" s="31"/>
      <c r="V384" s="26"/>
    </row>
    <row r="385" ht="15" customHeight="1">
      <c r="A385" s="32"/>
      <c r="B385" s="26"/>
      <c r="C385" s="26"/>
      <c r="D385" s="27"/>
      <c r="E385" s="28"/>
      <c r="F385" s="28"/>
      <c r="G385" s="28"/>
      <c r="H385" s="28"/>
      <c r="I385" s="28"/>
      <c r="J385" s="26"/>
      <c r="K385" s="26"/>
      <c r="L385" s="28"/>
      <c r="M385" s="28"/>
      <c r="N385" s="26"/>
      <c r="O385" s="26"/>
      <c r="P385" s="26"/>
      <c r="Q385" s="28"/>
      <c r="R385" s="26"/>
      <c r="S385" s="79"/>
      <c r="T385" s="26"/>
      <c r="U385" s="31"/>
      <c r="V385" s="80"/>
    </row>
    <row r="386" ht="15" customHeight="1">
      <c r="A386" s="32"/>
      <c r="B386" s="26"/>
      <c r="C386" s="26"/>
      <c r="D386" s="27"/>
      <c r="E386" s="28"/>
      <c r="F386" s="28"/>
      <c r="G386" s="28"/>
      <c r="H386" s="28"/>
      <c r="I386" s="28"/>
      <c r="J386" s="26"/>
      <c r="K386" s="26"/>
      <c r="L386" s="28"/>
      <c r="M386" s="28"/>
      <c r="N386" s="26"/>
      <c r="O386" s="26"/>
      <c r="P386" s="26"/>
      <c r="Q386" s="28"/>
      <c r="R386" s="26"/>
      <c r="S386" s="79"/>
      <c r="T386" s="26"/>
      <c r="U386" s="31"/>
      <c r="V386" s="26"/>
    </row>
    <row r="387" ht="15" customHeight="1">
      <c r="A387" s="32"/>
      <c r="B387" s="26"/>
      <c r="C387" s="26"/>
      <c r="D387" s="27"/>
      <c r="E387" s="28"/>
      <c r="F387" s="28"/>
      <c r="G387" s="28"/>
      <c r="H387" s="28"/>
      <c r="I387" s="28"/>
      <c r="J387" s="26"/>
      <c r="K387" s="26"/>
      <c r="L387" s="28"/>
      <c r="M387" s="28"/>
      <c r="N387" s="26"/>
      <c r="O387" s="26"/>
      <c r="P387" s="26"/>
      <c r="Q387" s="28"/>
      <c r="R387" s="26"/>
      <c r="S387" s="79"/>
      <c r="T387" s="26"/>
      <c r="U387" s="31"/>
      <c r="V387" s="26"/>
    </row>
    <row r="388" ht="15" customHeight="1">
      <c r="A388" s="32"/>
      <c r="B388" s="26"/>
      <c r="C388" s="26"/>
      <c r="D388" s="27"/>
      <c r="E388" s="28"/>
      <c r="F388" s="28"/>
      <c r="G388" s="28"/>
      <c r="H388" s="28"/>
      <c r="I388" s="28"/>
      <c r="J388" s="26"/>
      <c r="K388" s="26"/>
      <c r="L388" s="28"/>
      <c r="M388" s="28"/>
      <c r="N388" s="26"/>
      <c r="O388" s="26"/>
      <c r="P388" s="26"/>
      <c r="Q388" s="28"/>
      <c r="R388" s="26"/>
      <c r="S388" s="79"/>
      <c r="T388" s="26"/>
      <c r="U388" s="31"/>
      <c r="V388" s="80"/>
    </row>
    <row r="389" ht="15" customHeight="1">
      <c r="A389" s="32"/>
      <c r="B389" s="26"/>
      <c r="C389" s="26"/>
      <c r="D389" s="27"/>
      <c r="E389" s="28"/>
      <c r="F389" s="28"/>
      <c r="G389" s="28"/>
      <c r="H389" s="28"/>
      <c r="I389" s="28"/>
      <c r="J389" s="26"/>
      <c r="K389" s="26"/>
      <c r="L389" s="28"/>
      <c r="M389" s="28"/>
      <c r="N389" s="26"/>
      <c r="O389" s="26"/>
      <c r="P389" s="26"/>
      <c r="Q389" s="28"/>
      <c r="R389" s="26"/>
      <c r="S389" s="79"/>
      <c r="T389" s="26"/>
      <c r="U389" s="31"/>
      <c r="V389" s="26"/>
    </row>
    <row r="390" ht="15" customHeight="1">
      <c r="A390" s="32"/>
      <c r="B390" s="26"/>
      <c r="C390" s="26"/>
      <c r="D390" s="27"/>
      <c r="E390" s="28"/>
      <c r="F390" s="28"/>
      <c r="G390" s="28"/>
      <c r="H390" s="28"/>
      <c r="I390" s="28"/>
      <c r="J390" s="26"/>
      <c r="K390" s="26"/>
      <c r="L390" s="28"/>
      <c r="M390" s="28"/>
      <c r="N390" s="26"/>
      <c r="O390" s="26"/>
      <c r="P390" s="26"/>
      <c r="Q390" s="28"/>
      <c r="R390" s="26"/>
      <c r="S390" s="79"/>
      <c r="T390" s="26"/>
      <c r="U390" s="31"/>
      <c r="V390" s="26"/>
    </row>
    <row r="391" ht="15" customHeight="1">
      <c r="A391" s="32"/>
      <c r="B391" s="26"/>
      <c r="C391" s="26"/>
      <c r="D391" s="27"/>
      <c r="E391" s="28"/>
      <c r="F391" s="28"/>
      <c r="G391" s="28"/>
      <c r="H391" s="28"/>
      <c r="I391" s="28"/>
      <c r="J391" s="26"/>
      <c r="K391" s="26"/>
      <c r="L391" s="28"/>
      <c r="M391" s="28"/>
      <c r="N391" s="26"/>
      <c r="O391" s="26"/>
      <c r="P391" s="26"/>
      <c r="Q391" s="28"/>
      <c r="R391" s="26"/>
      <c r="S391" s="79"/>
      <c r="T391" s="26"/>
      <c r="U391" s="31"/>
      <c r="V391" s="26"/>
    </row>
    <row r="392" ht="15" customHeight="1">
      <c r="A392" s="32"/>
      <c r="B392" s="26"/>
      <c r="C392" s="26"/>
      <c r="D392" s="27"/>
      <c r="E392" s="28"/>
      <c r="F392" s="28"/>
      <c r="G392" s="28"/>
      <c r="H392" s="28"/>
      <c r="I392" s="28"/>
      <c r="J392" s="26"/>
      <c r="K392" s="26"/>
      <c r="L392" s="28"/>
      <c r="M392" s="28"/>
      <c r="N392" s="26"/>
      <c r="O392" s="26"/>
      <c r="P392" s="26"/>
      <c r="Q392" s="28"/>
      <c r="R392" s="26"/>
      <c r="S392" s="79"/>
      <c r="T392" s="26"/>
      <c r="U392" s="31"/>
      <c r="V392" s="80"/>
    </row>
    <row r="393" ht="15" customHeight="1">
      <c r="A393" s="32"/>
      <c r="B393" s="26"/>
      <c r="C393" s="26"/>
      <c r="D393" s="27"/>
      <c r="E393" s="28"/>
      <c r="F393" s="28"/>
      <c r="G393" s="28"/>
      <c r="H393" s="28"/>
      <c r="I393" s="28"/>
      <c r="J393" s="26"/>
      <c r="K393" s="26"/>
      <c r="L393" s="28"/>
      <c r="M393" s="28"/>
      <c r="N393" s="26"/>
      <c r="O393" s="26"/>
      <c r="P393" s="26"/>
      <c r="Q393" s="28"/>
      <c r="R393" s="26"/>
      <c r="S393" s="79"/>
      <c r="T393" s="26"/>
      <c r="U393" s="31"/>
      <c r="V393" s="26"/>
    </row>
    <row r="394" ht="15" customHeight="1">
      <c r="A394" s="32"/>
      <c r="B394" s="26"/>
      <c r="C394" s="26"/>
      <c r="D394" s="27"/>
      <c r="E394" s="28"/>
      <c r="F394" s="28"/>
      <c r="G394" s="28"/>
      <c r="H394" s="28"/>
      <c r="I394" s="28"/>
      <c r="J394" s="26"/>
      <c r="K394" s="26"/>
      <c r="L394" s="28"/>
      <c r="M394" s="28"/>
      <c r="N394" s="26"/>
      <c r="O394" s="26"/>
      <c r="P394" s="26"/>
      <c r="Q394" s="28"/>
      <c r="R394" s="26"/>
      <c r="S394" s="79"/>
      <c r="T394" s="26"/>
      <c r="U394" s="31"/>
      <c r="V394" s="26"/>
    </row>
    <row r="395" ht="15" customHeight="1">
      <c r="A395" s="32"/>
      <c r="B395" s="26"/>
      <c r="C395" s="26"/>
      <c r="D395" s="27"/>
      <c r="E395" s="28"/>
      <c r="F395" s="28"/>
      <c r="G395" s="28"/>
      <c r="H395" s="28"/>
      <c r="I395" s="28"/>
      <c r="J395" s="26"/>
      <c r="K395" s="26"/>
      <c r="L395" s="28"/>
      <c r="M395" s="28"/>
      <c r="N395" s="26"/>
      <c r="O395" s="26"/>
      <c r="P395" s="26"/>
      <c r="Q395" s="28"/>
      <c r="R395" s="26"/>
      <c r="S395" s="79"/>
      <c r="T395" s="26"/>
      <c r="U395" s="31"/>
      <c r="V395" s="26"/>
    </row>
    <row r="396" ht="15" customHeight="1">
      <c r="A396" s="32"/>
      <c r="B396" s="26"/>
      <c r="C396" s="26"/>
      <c r="D396" s="27"/>
      <c r="E396" s="28"/>
      <c r="F396" s="28"/>
      <c r="G396" s="28"/>
      <c r="H396" s="28"/>
      <c r="I396" s="28"/>
      <c r="J396" s="26"/>
      <c r="K396" s="26"/>
      <c r="L396" s="28"/>
      <c r="M396" s="28"/>
      <c r="N396" s="26"/>
      <c r="O396" s="26"/>
      <c r="P396" s="26"/>
      <c r="Q396" s="28"/>
      <c r="R396" s="26"/>
      <c r="S396" s="79"/>
      <c r="T396" s="26"/>
      <c r="U396" s="31"/>
      <c r="V396" s="26"/>
    </row>
    <row r="397" ht="15" customHeight="1">
      <c r="A397" s="32"/>
      <c r="B397" s="26"/>
      <c r="C397" s="26"/>
      <c r="D397" s="27"/>
      <c r="E397" s="28"/>
      <c r="F397" s="28"/>
      <c r="G397" s="28"/>
      <c r="H397" s="28"/>
      <c r="I397" s="28"/>
      <c r="J397" s="26"/>
      <c r="K397" s="26"/>
      <c r="L397" s="28"/>
      <c r="M397" s="28"/>
      <c r="N397" s="26"/>
      <c r="O397" s="26"/>
      <c r="P397" s="26"/>
      <c r="Q397" s="28"/>
      <c r="R397" s="26"/>
      <c r="S397" s="79"/>
      <c r="T397" s="26"/>
      <c r="U397" s="31"/>
      <c r="V397" s="26"/>
    </row>
    <row r="398" ht="15" customHeight="1">
      <c r="A398" s="32"/>
      <c r="B398" s="26"/>
      <c r="C398" s="26"/>
      <c r="D398" s="27"/>
      <c r="E398" s="28"/>
      <c r="F398" s="28"/>
      <c r="G398" s="28"/>
      <c r="H398" s="28"/>
      <c r="I398" s="28"/>
      <c r="J398" s="26"/>
      <c r="K398" s="26"/>
      <c r="L398" s="28"/>
      <c r="M398" s="28"/>
      <c r="N398" s="26"/>
      <c r="O398" s="26"/>
      <c r="P398" s="26"/>
      <c r="Q398" s="28"/>
      <c r="R398" s="26"/>
      <c r="S398" s="79"/>
      <c r="T398" s="26"/>
      <c r="U398" s="31"/>
      <c r="V398" s="26"/>
    </row>
    <row r="399" ht="15" customHeight="1">
      <c r="A399" s="32"/>
      <c r="B399" s="26"/>
      <c r="C399" s="26"/>
      <c r="D399" s="27"/>
      <c r="E399" s="28"/>
      <c r="F399" s="28"/>
      <c r="G399" s="28"/>
      <c r="H399" s="28"/>
      <c r="I399" s="28"/>
      <c r="J399" s="26"/>
      <c r="K399" s="26"/>
      <c r="L399" s="28"/>
      <c r="M399" s="28"/>
      <c r="N399" s="26"/>
      <c r="O399" s="26"/>
      <c r="P399" s="26"/>
      <c r="Q399" s="28"/>
      <c r="R399" s="26"/>
      <c r="S399" s="79"/>
      <c r="T399" s="26"/>
      <c r="U399" s="31"/>
      <c r="V399" s="80"/>
    </row>
    <row r="400" ht="15" customHeight="1">
      <c r="A400" s="32"/>
      <c r="B400" s="26"/>
      <c r="C400" s="26"/>
      <c r="D400" s="27"/>
      <c r="E400" s="28"/>
      <c r="F400" s="28"/>
      <c r="G400" s="28"/>
      <c r="H400" s="28"/>
      <c r="I400" s="28"/>
      <c r="J400" s="26"/>
      <c r="K400" s="26"/>
      <c r="L400" s="28"/>
      <c r="M400" s="28"/>
      <c r="N400" s="26"/>
      <c r="O400" s="26"/>
      <c r="P400" s="26"/>
      <c r="Q400" s="28"/>
      <c r="R400" s="26"/>
      <c r="S400" s="79"/>
      <c r="T400" s="26"/>
      <c r="U400" s="31"/>
      <c r="V400" s="26"/>
    </row>
    <row r="401" ht="15" customHeight="1">
      <c r="A401" s="32"/>
      <c r="B401" s="26"/>
      <c r="C401" s="26"/>
      <c r="D401" s="27"/>
      <c r="E401" s="28"/>
      <c r="F401" s="28"/>
      <c r="G401" s="28"/>
      <c r="H401" s="28"/>
      <c r="I401" s="28"/>
      <c r="J401" s="26"/>
      <c r="K401" s="26"/>
      <c r="L401" s="28"/>
      <c r="M401" s="28"/>
      <c r="N401" s="26"/>
      <c r="O401" s="26"/>
      <c r="P401" s="26"/>
      <c r="Q401" s="28"/>
      <c r="R401" s="26"/>
      <c r="S401" s="79"/>
      <c r="T401" s="26"/>
      <c r="U401" s="31"/>
      <c r="V401" s="80"/>
    </row>
    <row r="402" ht="15" customHeight="1">
      <c r="A402" s="32"/>
      <c r="B402" s="26"/>
      <c r="C402" s="26"/>
      <c r="D402" s="27"/>
      <c r="E402" s="28"/>
      <c r="F402" s="28"/>
      <c r="G402" s="28"/>
      <c r="H402" s="28"/>
      <c r="I402" s="28"/>
      <c r="J402" s="26"/>
      <c r="K402" s="26"/>
      <c r="L402" s="28"/>
      <c r="M402" s="28"/>
      <c r="N402" s="26"/>
      <c r="O402" s="26"/>
      <c r="P402" s="26"/>
      <c r="Q402" s="28"/>
      <c r="R402" s="26"/>
      <c r="S402" s="79"/>
      <c r="T402" s="26"/>
      <c r="U402" s="31"/>
      <c r="V402" s="80"/>
    </row>
    <row r="403" ht="15" customHeight="1">
      <c r="A403" s="32"/>
      <c r="B403" s="26"/>
      <c r="C403" s="26"/>
      <c r="D403" s="27"/>
      <c r="E403" s="28"/>
      <c r="F403" s="28"/>
      <c r="G403" s="28"/>
      <c r="H403" s="28"/>
      <c r="I403" s="28"/>
      <c r="J403" s="26"/>
      <c r="K403" s="26"/>
      <c r="L403" s="28"/>
      <c r="M403" s="28"/>
      <c r="N403" s="26"/>
      <c r="O403" s="26"/>
      <c r="P403" s="26"/>
      <c r="Q403" s="28"/>
      <c r="R403" s="26"/>
      <c r="S403" s="79"/>
      <c r="T403" s="26"/>
      <c r="U403" s="31"/>
      <c r="V403" s="26"/>
    </row>
    <row r="404" ht="15" customHeight="1">
      <c r="A404" s="32"/>
      <c r="B404" s="26"/>
      <c r="C404" s="26"/>
      <c r="D404" s="27"/>
      <c r="E404" s="28"/>
      <c r="F404" s="28"/>
      <c r="G404" s="28"/>
      <c r="H404" s="28"/>
      <c r="I404" s="28"/>
      <c r="J404" s="26"/>
      <c r="K404" s="26"/>
      <c r="L404" s="28"/>
      <c r="M404" s="28"/>
      <c r="N404" s="26"/>
      <c r="O404" s="26"/>
      <c r="P404" s="26"/>
      <c r="Q404" s="28"/>
      <c r="R404" s="26"/>
      <c r="S404" s="79"/>
      <c r="T404" s="26"/>
      <c r="U404" s="31"/>
      <c r="V404" s="26"/>
    </row>
    <row r="405" ht="15" customHeight="1">
      <c r="A405" s="32"/>
      <c r="B405" s="26"/>
      <c r="C405" s="26"/>
      <c r="D405" s="27"/>
      <c r="E405" s="28"/>
      <c r="F405" s="28"/>
      <c r="G405" s="28"/>
      <c r="H405" s="28"/>
      <c r="I405" s="28"/>
      <c r="J405" s="26"/>
      <c r="K405" s="26"/>
      <c r="L405" s="28"/>
      <c r="M405" s="28"/>
      <c r="N405" s="26"/>
      <c r="O405" s="26"/>
      <c r="P405" s="26"/>
      <c r="Q405" s="28"/>
      <c r="R405" s="26"/>
      <c r="S405" s="79"/>
      <c r="T405" s="26"/>
      <c r="U405" s="31"/>
      <c r="V405" s="26"/>
    </row>
    <row r="406" ht="15" customHeight="1">
      <c r="A406" s="32"/>
      <c r="B406" s="26"/>
      <c r="C406" s="26"/>
      <c r="D406" s="27"/>
      <c r="E406" s="28"/>
      <c r="F406" s="28"/>
      <c r="G406" s="28"/>
      <c r="H406" s="28"/>
      <c r="I406" s="28"/>
      <c r="J406" s="26"/>
      <c r="K406" s="26"/>
      <c r="L406" s="28"/>
      <c r="M406" s="28"/>
      <c r="N406" s="26"/>
      <c r="O406" s="26"/>
      <c r="P406" s="26"/>
      <c r="Q406" s="28"/>
      <c r="R406" s="26"/>
      <c r="S406" s="79"/>
      <c r="T406" s="26"/>
      <c r="U406" s="31"/>
      <c r="V406" s="80"/>
    </row>
    <row r="407" ht="15" customHeight="1">
      <c r="A407" s="32"/>
      <c r="B407" s="26"/>
      <c r="C407" s="26"/>
      <c r="D407" s="27"/>
      <c r="E407" s="28"/>
      <c r="F407" s="28"/>
      <c r="G407" s="28"/>
      <c r="H407" s="28"/>
      <c r="I407" s="28"/>
      <c r="J407" s="26"/>
      <c r="K407" s="26"/>
      <c r="L407" s="28"/>
      <c r="M407" s="28"/>
      <c r="N407" s="26"/>
      <c r="O407" s="26"/>
      <c r="P407" s="26"/>
      <c r="Q407" s="28"/>
      <c r="R407" s="26"/>
      <c r="S407" s="79"/>
      <c r="T407" s="26"/>
      <c r="U407" s="31"/>
      <c r="V407" s="26"/>
    </row>
    <row r="408" ht="15" customHeight="1">
      <c r="A408" s="32"/>
      <c r="B408" s="26"/>
      <c r="C408" s="26"/>
      <c r="D408" s="27"/>
      <c r="E408" s="28"/>
      <c r="F408" s="28"/>
      <c r="G408" s="28"/>
      <c r="H408" s="28"/>
      <c r="I408" s="28"/>
      <c r="J408" s="26"/>
      <c r="K408" s="26"/>
      <c r="L408" s="28"/>
      <c r="M408" s="28"/>
      <c r="N408" s="26"/>
      <c r="O408" s="26"/>
      <c r="P408" s="26"/>
      <c r="Q408" s="28"/>
      <c r="R408" s="26"/>
      <c r="S408" s="79"/>
      <c r="T408" s="26"/>
      <c r="U408" s="31"/>
      <c r="V408" s="80"/>
    </row>
    <row r="409" ht="15" customHeight="1">
      <c r="A409" s="32"/>
      <c r="B409" s="26"/>
      <c r="C409" s="26"/>
      <c r="D409" s="27"/>
      <c r="E409" s="28"/>
      <c r="F409" s="28"/>
      <c r="G409" s="28"/>
      <c r="H409" s="28"/>
      <c r="I409" s="28"/>
      <c r="J409" s="26"/>
      <c r="K409" s="26"/>
      <c r="L409" s="28"/>
      <c r="M409" s="28"/>
      <c r="N409" s="26"/>
      <c r="O409" s="26"/>
      <c r="P409" s="26"/>
      <c r="Q409" s="28"/>
      <c r="R409" s="26"/>
      <c r="S409" s="79"/>
      <c r="T409" s="26"/>
      <c r="U409" s="31"/>
      <c r="V409" s="26"/>
    </row>
    <row r="410" ht="15" customHeight="1">
      <c r="A410" s="32"/>
      <c r="B410" s="26"/>
      <c r="C410" s="26"/>
      <c r="D410" s="27"/>
      <c r="E410" s="28"/>
      <c r="F410" s="28"/>
      <c r="G410" s="28"/>
      <c r="H410" s="28"/>
      <c r="I410" s="28"/>
      <c r="J410" s="26"/>
      <c r="K410" s="26"/>
      <c r="L410" s="28"/>
      <c r="M410" s="28"/>
      <c r="N410" s="26"/>
      <c r="O410" s="26"/>
      <c r="P410" s="26"/>
      <c r="Q410" s="28"/>
      <c r="R410" s="26"/>
      <c r="S410" s="79"/>
      <c r="T410" s="26"/>
      <c r="U410" s="31"/>
      <c r="V410" s="26"/>
    </row>
    <row r="411" ht="15" customHeight="1">
      <c r="A411" s="32"/>
      <c r="B411" s="26"/>
      <c r="C411" s="26"/>
      <c r="D411" s="27"/>
      <c r="E411" s="28"/>
      <c r="F411" s="28"/>
      <c r="G411" s="28"/>
      <c r="H411" s="28"/>
      <c r="I411" s="28"/>
      <c r="J411" s="26"/>
      <c r="K411" s="26"/>
      <c r="L411" s="28"/>
      <c r="M411" s="28"/>
      <c r="N411" s="26"/>
      <c r="O411" s="26"/>
      <c r="P411" s="26"/>
      <c r="Q411" s="28"/>
      <c r="R411" s="26"/>
      <c r="S411" s="79"/>
      <c r="T411" s="26"/>
      <c r="U411" s="31"/>
      <c r="V411" s="26"/>
    </row>
    <row r="412" ht="15" customHeight="1">
      <c r="A412" s="32"/>
      <c r="B412" s="26"/>
      <c r="C412" s="26"/>
      <c r="D412" s="27"/>
      <c r="E412" s="28"/>
      <c r="F412" s="28"/>
      <c r="G412" s="28"/>
      <c r="H412" s="28"/>
      <c r="I412" s="28"/>
      <c r="J412" s="26"/>
      <c r="K412" s="26"/>
      <c r="L412" s="28"/>
      <c r="M412" s="28"/>
      <c r="N412" s="26"/>
      <c r="O412" s="26"/>
      <c r="P412" s="26"/>
      <c r="Q412" s="28"/>
      <c r="R412" s="26"/>
      <c r="S412" s="79"/>
      <c r="T412" s="26"/>
      <c r="U412" s="31"/>
      <c r="V412" s="26"/>
    </row>
    <row r="413" ht="15" customHeight="1">
      <c r="A413" s="32"/>
      <c r="B413" s="26"/>
      <c r="C413" s="26"/>
      <c r="D413" s="27"/>
      <c r="E413" s="28"/>
      <c r="F413" s="28"/>
      <c r="G413" s="28"/>
      <c r="H413" s="28"/>
      <c r="I413" s="28"/>
      <c r="J413" s="26"/>
      <c r="K413" s="26"/>
      <c r="L413" s="28"/>
      <c r="M413" s="28"/>
      <c r="N413" s="26"/>
      <c r="O413" s="26"/>
      <c r="P413" s="26"/>
      <c r="Q413" s="28"/>
      <c r="R413" s="26"/>
      <c r="S413" s="79"/>
      <c r="T413" s="26"/>
      <c r="U413" s="31"/>
      <c r="V413" s="80"/>
    </row>
    <row r="414" ht="15" customHeight="1">
      <c r="A414" s="32"/>
      <c r="B414" s="26"/>
      <c r="C414" s="26"/>
      <c r="D414" s="27"/>
      <c r="E414" s="28"/>
      <c r="F414" s="28"/>
      <c r="G414" s="28"/>
      <c r="H414" s="28"/>
      <c r="I414" s="28"/>
      <c r="J414" s="26"/>
      <c r="K414" s="26"/>
      <c r="L414" s="28"/>
      <c r="M414" s="28"/>
      <c r="N414" s="26"/>
      <c r="O414" s="26"/>
      <c r="P414" s="26"/>
      <c r="Q414" s="28"/>
      <c r="R414" s="26"/>
      <c r="S414" s="79"/>
      <c r="T414" s="26"/>
      <c r="U414" s="31"/>
      <c r="V414" s="26"/>
    </row>
    <row r="415" ht="15" customHeight="1">
      <c r="A415" s="32"/>
      <c r="B415" s="26"/>
      <c r="C415" s="26"/>
      <c r="D415" s="27"/>
      <c r="E415" s="28"/>
      <c r="F415" s="28"/>
      <c r="G415" s="28"/>
      <c r="H415" s="28"/>
      <c r="I415" s="28"/>
      <c r="J415" s="26"/>
      <c r="K415" s="26"/>
      <c r="L415" s="28"/>
      <c r="M415" s="28"/>
      <c r="N415" s="26"/>
      <c r="O415" s="26"/>
      <c r="P415" s="26"/>
      <c r="Q415" s="28"/>
      <c r="R415" s="26"/>
      <c r="S415" s="79"/>
      <c r="T415" s="26"/>
      <c r="U415" s="31"/>
      <c r="V415" s="26"/>
    </row>
    <row r="416" ht="15" customHeight="1">
      <c r="A416" s="32"/>
      <c r="B416" s="26"/>
      <c r="C416" s="26"/>
      <c r="D416" s="27"/>
      <c r="E416" s="28"/>
      <c r="F416" s="28"/>
      <c r="G416" s="28"/>
      <c r="H416" s="28"/>
      <c r="I416" s="28"/>
      <c r="J416" s="26"/>
      <c r="K416" s="26"/>
      <c r="L416" s="28"/>
      <c r="M416" s="28"/>
      <c r="N416" s="26"/>
      <c r="O416" s="26"/>
      <c r="P416" s="26"/>
      <c r="Q416" s="28"/>
      <c r="R416" s="26"/>
      <c r="S416" s="79"/>
      <c r="T416" s="26"/>
      <c r="U416" s="31"/>
      <c r="V416" s="26"/>
    </row>
    <row r="417" ht="15" customHeight="1">
      <c r="A417" s="32"/>
      <c r="B417" s="26"/>
      <c r="C417" s="26"/>
      <c r="D417" s="27"/>
      <c r="E417" s="28"/>
      <c r="F417" s="28"/>
      <c r="G417" s="28"/>
      <c r="H417" s="28"/>
      <c r="I417" s="28"/>
      <c r="J417" s="26"/>
      <c r="K417" s="26"/>
      <c r="L417" s="28"/>
      <c r="M417" s="28"/>
      <c r="N417" s="26"/>
      <c r="O417" s="26"/>
      <c r="P417" s="26"/>
      <c r="Q417" s="28"/>
      <c r="R417" s="26"/>
      <c r="S417" s="79"/>
      <c r="T417" s="26"/>
      <c r="U417" s="31"/>
      <c r="V417" s="26"/>
    </row>
    <row r="418" ht="15" customHeight="1">
      <c r="A418" s="32"/>
      <c r="B418" s="26"/>
      <c r="C418" s="26"/>
      <c r="D418" s="27"/>
      <c r="E418" s="28"/>
      <c r="F418" s="28"/>
      <c r="G418" s="28"/>
      <c r="H418" s="28"/>
      <c r="I418" s="28"/>
      <c r="J418" s="26"/>
      <c r="K418" s="26"/>
      <c r="L418" s="28"/>
      <c r="M418" s="28"/>
      <c r="N418" s="26"/>
      <c r="O418" s="26"/>
      <c r="P418" s="26"/>
      <c r="Q418" s="28"/>
      <c r="R418" s="26"/>
      <c r="S418" s="79"/>
      <c r="T418" s="26"/>
      <c r="U418" s="31"/>
      <c r="V418" s="26"/>
    </row>
    <row r="419" ht="15" customHeight="1">
      <c r="A419" s="32"/>
      <c r="B419" s="26"/>
      <c r="C419" s="26"/>
      <c r="D419" s="27"/>
      <c r="E419" s="28"/>
      <c r="F419" s="28"/>
      <c r="G419" s="28"/>
      <c r="H419" s="28"/>
      <c r="I419" s="28"/>
      <c r="J419" s="26"/>
      <c r="K419" s="26"/>
      <c r="L419" s="28"/>
      <c r="M419" s="28"/>
      <c r="N419" s="26"/>
      <c r="O419" s="26"/>
      <c r="P419" s="26"/>
      <c r="Q419" s="28"/>
      <c r="R419" s="26"/>
      <c r="S419" s="79"/>
      <c r="T419" s="26"/>
      <c r="U419" s="31"/>
      <c r="V419" s="26"/>
    </row>
    <row r="420" ht="15" customHeight="1">
      <c r="A420" s="32"/>
      <c r="B420" s="26"/>
      <c r="C420" s="26"/>
      <c r="D420" s="27"/>
      <c r="E420" s="28"/>
      <c r="F420" s="28"/>
      <c r="G420" s="28"/>
      <c r="H420" s="28"/>
      <c r="I420" s="28"/>
      <c r="J420" s="26"/>
      <c r="K420" s="26"/>
      <c r="L420" s="28"/>
      <c r="M420" s="28"/>
      <c r="N420" s="26"/>
      <c r="O420" s="26"/>
      <c r="P420" s="26"/>
      <c r="Q420" s="28"/>
      <c r="R420" s="26"/>
      <c r="S420" s="79"/>
      <c r="T420" s="26"/>
      <c r="U420" s="31"/>
      <c r="V420" s="80"/>
    </row>
    <row r="421" ht="15" customHeight="1">
      <c r="A421" s="32"/>
      <c r="B421" s="26"/>
      <c r="C421" s="26"/>
      <c r="D421" s="27"/>
      <c r="E421" s="28"/>
      <c r="F421" s="28"/>
      <c r="G421" s="28"/>
      <c r="H421" s="28"/>
      <c r="I421" s="28"/>
      <c r="J421" s="26"/>
      <c r="K421" s="26"/>
      <c r="L421" s="28"/>
      <c r="M421" s="28"/>
      <c r="N421" s="26"/>
      <c r="O421" s="26"/>
      <c r="P421" s="26"/>
      <c r="Q421" s="28"/>
      <c r="R421" s="26"/>
      <c r="S421" s="79"/>
      <c r="T421" s="26"/>
      <c r="U421" s="31"/>
      <c r="V421" s="26"/>
    </row>
    <row r="422" ht="15" customHeight="1">
      <c r="A422" s="32"/>
      <c r="B422" s="26"/>
      <c r="C422" s="26"/>
      <c r="D422" s="27"/>
      <c r="E422" s="28"/>
      <c r="F422" s="28"/>
      <c r="G422" s="28"/>
      <c r="H422" s="28"/>
      <c r="I422" s="28"/>
      <c r="J422" s="26"/>
      <c r="K422" s="26"/>
      <c r="L422" s="28"/>
      <c r="M422" s="28"/>
      <c r="N422" s="26"/>
      <c r="O422" s="26"/>
      <c r="P422" s="26"/>
      <c r="Q422" s="28"/>
      <c r="R422" s="26"/>
      <c r="S422" s="79"/>
      <c r="T422" s="26"/>
      <c r="U422" s="31"/>
      <c r="V422" s="26"/>
    </row>
    <row r="423" ht="15" customHeight="1">
      <c r="A423" s="32"/>
      <c r="B423" s="26"/>
      <c r="C423" s="26"/>
      <c r="D423" s="27"/>
      <c r="E423" s="28"/>
      <c r="F423" s="28"/>
      <c r="G423" s="28"/>
      <c r="H423" s="28"/>
      <c r="I423" s="28"/>
      <c r="J423" s="26"/>
      <c r="K423" s="26"/>
      <c r="L423" s="28"/>
      <c r="M423" s="28"/>
      <c r="N423" s="26"/>
      <c r="O423" s="26"/>
      <c r="P423" s="26"/>
      <c r="Q423" s="28"/>
      <c r="R423" s="26"/>
      <c r="S423" s="79"/>
      <c r="T423" s="26"/>
      <c r="U423" s="31"/>
      <c r="V423" s="80"/>
    </row>
    <row r="424" ht="15" customHeight="1">
      <c r="A424" s="32"/>
      <c r="B424" s="26"/>
      <c r="C424" s="26"/>
      <c r="D424" s="27"/>
      <c r="E424" s="28"/>
      <c r="F424" s="28"/>
      <c r="G424" s="28"/>
      <c r="H424" s="28"/>
      <c r="I424" s="28"/>
      <c r="J424" s="26"/>
      <c r="K424" s="26"/>
      <c r="L424" s="28"/>
      <c r="M424" s="28"/>
      <c r="N424" s="26"/>
      <c r="O424" s="26"/>
      <c r="P424" s="26"/>
      <c r="Q424" s="28"/>
      <c r="R424" s="26"/>
      <c r="S424" s="79"/>
      <c r="T424" s="26"/>
      <c r="U424" s="31"/>
      <c r="V424" s="26"/>
    </row>
    <row r="425" ht="15" customHeight="1">
      <c r="A425" s="32"/>
      <c r="B425" s="26"/>
      <c r="C425" s="26"/>
      <c r="D425" s="27"/>
      <c r="E425" s="28"/>
      <c r="F425" s="28"/>
      <c r="G425" s="28"/>
      <c r="H425" s="28"/>
      <c r="I425" s="28"/>
      <c r="J425" s="26"/>
      <c r="K425" s="26"/>
      <c r="L425" s="28"/>
      <c r="M425" s="28"/>
      <c r="N425" s="26"/>
      <c r="O425" s="26"/>
      <c r="P425" s="26"/>
      <c r="Q425" s="28"/>
      <c r="R425" s="26"/>
      <c r="S425" s="79"/>
      <c r="T425" s="26"/>
      <c r="U425" s="31"/>
      <c r="V425" s="26"/>
    </row>
    <row r="426" ht="15" customHeight="1">
      <c r="A426" s="32"/>
      <c r="B426" s="26"/>
      <c r="C426" s="26"/>
      <c r="D426" s="27"/>
      <c r="E426" s="28"/>
      <c r="F426" s="28"/>
      <c r="G426" s="28"/>
      <c r="H426" s="28"/>
      <c r="I426" s="28"/>
      <c r="J426" s="26"/>
      <c r="K426" s="26"/>
      <c r="L426" s="28"/>
      <c r="M426" s="28"/>
      <c r="N426" s="26"/>
      <c r="O426" s="26"/>
      <c r="P426" s="26"/>
      <c r="Q426" s="28"/>
      <c r="R426" s="26"/>
      <c r="S426" s="79"/>
      <c r="T426" s="26"/>
      <c r="U426" s="31"/>
      <c r="V426" s="26"/>
    </row>
    <row r="427" ht="15" customHeight="1">
      <c r="A427" s="32"/>
      <c r="B427" s="26"/>
      <c r="C427" s="26"/>
      <c r="D427" s="27"/>
      <c r="E427" s="28"/>
      <c r="F427" s="28"/>
      <c r="G427" s="28"/>
      <c r="H427" s="28"/>
      <c r="I427" s="28"/>
      <c r="J427" s="26"/>
      <c r="K427" s="26"/>
      <c r="L427" s="28"/>
      <c r="M427" s="28"/>
      <c r="N427" s="26"/>
      <c r="O427" s="26"/>
      <c r="P427" s="26"/>
      <c r="Q427" s="28"/>
      <c r="R427" s="26"/>
      <c r="S427" s="79"/>
      <c r="T427" s="26"/>
      <c r="U427" s="31"/>
      <c r="V427" s="80"/>
    </row>
    <row r="428" ht="15" customHeight="1">
      <c r="A428" s="32"/>
      <c r="B428" s="26"/>
      <c r="C428" s="26"/>
      <c r="D428" s="27"/>
      <c r="E428" s="28"/>
      <c r="F428" s="28"/>
      <c r="G428" s="28"/>
      <c r="H428" s="28"/>
      <c r="I428" s="28"/>
      <c r="J428" s="26"/>
      <c r="K428" s="26"/>
      <c r="L428" s="28"/>
      <c r="M428" s="28"/>
      <c r="N428" s="26"/>
      <c r="O428" s="26"/>
      <c r="P428" s="26"/>
      <c r="Q428" s="28"/>
      <c r="R428" s="26"/>
      <c r="S428" s="79"/>
      <c r="T428" s="26"/>
      <c r="U428" s="31"/>
      <c r="V428" s="26"/>
    </row>
    <row r="429" ht="15" customHeight="1">
      <c r="A429" s="32"/>
      <c r="B429" s="26"/>
      <c r="C429" s="26"/>
      <c r="D429" s="27"/>
      <c r="E429" s="28"/>
      <c r="F429" s="28"/>
      <c r="G429" s="28"/>
      <c r="H429" s="28"/>
      <c r="I429" s="28"/>
      <c r="J429" s="26"/>
      <c r="K429" s="26"/>
      <c r="L429" s="28"/>
      <c r="M429" s="28"/>
      <c r="N429" s="26"/>
      <c r="O429" s="26"/>
      <c r="P429" s="26"/>
      <c r="Q429" s="28"/>
      <c r="R429" s="26"/>
      <c r="S429" s="79"/>
      <c r="T429" s="26"/>
      <c r="U429" s="31"/>
      <c r="V429" s="26"/>
    </row>
    <row r="430" ht="15" customHeight="1">
      <c r="A430" s="32"/>
      <c r="B430" s="26"/>
      <c r="C430" s="26"/>
      <c r="D430" s="27"/>
      <c r="E430" s="28"/>
      <c r="F430" s="28"/>
      <c r="G430" s="28"/>
      <c r="H430" s="28"/>
      <c r="I430" s="28"/>
      <c r="J430" s="26"/>
      <c r="K430" s="26"/>
      <c r="L430" s="28"/>
      <c r="M430" s="28"/>
      <c r="N430" s="26"/>
      <c r="O430" s="26"/>
      <c r="P430" s="26"/>
      <c r="Q430" s="28"/>
      <c r="R430" s="26"/>
      <c r="S430" s="79"/>
      <c r="T430" s="26"/>
      <c r="U430" s="31"/>
      <c r="V430" s="80"/>
    </row>
    <row r="431" ht="15" customHeight="1">
      <c r="A431" s="32"/>
      <c r="B431" s="26"/>
      <c r="C431" s="26"/>
      <c r="D431" s="27"/>
      <c r="E431" s="28"/>
      <c r="F431" s="28"/>
      <c r="G431" s="28"/>
      <c r="H431" s="28"/>
      <c r="I431" s="28"/>
      <c r="J431" s="26"/>
      <c r="K431" s="26"/>
      <c r="L431" s="28"/>
      <c r="M431" s="28"/>
      <c r="N431" s="26"/>
      <c r="O431" s="26"/>
      <c r="P431" s="26"/>
      <c r="Q431" s="28"/>
      <c r="R431" s="26"/>
      <c r="S431" s="79"/>
      <c r="T431" s="26"/>
      <c r="U431" s="31"/>
      <c r="V431" s="26"/>
    </row>
    <row r="432" ht="15" customHeight="1">
      <c r="A432" s="32"/>
      <c r="B432" s="26"/>
      <c r="C432" s="26"/>
      <c r="D432" s="27"/>
      <c r="E432" s="28"/>
      <c r="F432" s="28"/>
      <c r="G432" s="28"/>
      <c r="H432" s="28"/>
      <c r="I432" s="28"/>
      <c r="J432" s="26"/>
      <c r="K432" s="26"/>
      <c r="L432" s="28"/>
      <c r="M432" s="28"/>
      <c r="N432" s="26"/>
      <c r="O432" s="26"/>
      <c r="P432" s="26"/>
      <c r="Q432" s="28"/>
      <c r="R432" s="26"/>
      <c r="S432" s="79"/>
      <c r="T432" s="26"/>
      <c r="U432" s="31"/>
      <c r="V432" s="26"/>
    </row>
    <row r="433" ht="15" customHeight="1">
      <c r="A433" s="32"/>
      <c r="B433" s="26"/>
      <c r="C433" s="26"/>
      <c r="D433" s="27"/>
      <c r="E433" s="28"/>
      <c r="F433" s="28"/>
      <c r="G433" s="28"/>
      <c r="H433" s="28"/>
      <c r="I433" s="28"/>
      <c r="J433" s="26"/>
      <c r="K433" s="26"/>
      <c r="L433" s="28"/>
      <c r="M433" s="28"/>
      <c r="N433" s="26"/>
      <c r="O433" s="26"/>
      <c r="P433" s="26"/>
      <c r="Q433" s="28"/>
      <c r="R433" s="26"/>
      <c r="S433" s="79"/>
      <c r="T433" s="26"/>
      <c r="U433" s="31"/>
      <c r="V433" s="26"/>
    </row>
    <row r="434" ht="15" customHeight="1">
      <c r="A434" s="32"/>
      <c r="B434" s="26"/>
      <c r="C434" s="26"/>
      <c r="D434" s="27"/>
      <c r="E434" s="28"/>
      <c r="F434" s="28"/>
      <c r="G434" s="28"/>
      <c r="H434" s="28"/>
      <c r="I434" s="28"/>
      <c r="J434" s="26"/>
      <c r="K434" s="26"/>
      <c r="L434" s="28"/>
      <c r="M434" s="28"/>
      <c r="N434" s="26"/>
      <c r="O434" s="26"/>
      <c r="P434" s="26"/>
      <c r="Q434" s="28"/>
      <c r="R434" s="26"/>
      <c r="S434" s="79"/>
      <c r="T434" s="26"/>
      <c r="U434" s="31"/>
      <c r="V434" s="80"/>
    </row>
    <row r="435" ht="15" customHeight="1">
      <c r="A435" s="32"/>
      <c r="B435" s="26"/>
      <c r="C435" s="26"/>
      <c r="D435" s="27"/>
      <c r="E435" s="28"/>
      <c r="F435" s="28"/>
      <c r="G435" s="28"/>
      <c r="H435" s="28"/>
      <c r="I435" s="28"/>
      <c r="J435" s="26"/>
      <c r="K435" s="26"/>
      <c r="L435" s="28"/>
      <c r="M435" s="28"/>
      <c r="N435" s="26"/>
      <c r="O435" s="26"/>
      <c r="P435" s="26"/>
      <c r="Q435" s="28"/>
      <c r="R435" s="26"/>
      <c r="S435" s="79"/>
      <c r="T435" s="26"/>
      <c r="U435" s="31"/>
      <c r="V435" s="26"/>
    </row>
    <row r="436" ht="15" customHeight="1">
      <c r="A436" s="32"/>
      <c r="B436" s="26"/>
      <c r="C436" s="26"/>
      <c r="D436" s="27"/>
      <c r="E436" s="28"/>
      <c r="F436" s="28"/>
      <c r="G436" s="28"/>
      <c r="H436" s="28"/>
      <c r="I436" s="28"/>
      <c r="J436" s="26"/>
      <c r="K436" s="26"/>
      <c r="L436" s="28"/>
      <c r="M436" s="28"/>
      <c r="N436" s="26"/>
      <c r="O436" s="26"/>
      <c r="P436" s="26"/>
      <c r="Q436" s="28"/>
      <c r="R436" s="26"/>
      <c r="S436" s="79"/>
      <c r="T436" s="26"/>
      <c r="U436" s="31"/>
      <c r="V436" s="26"/>
    </row>
    <row r="437" ht="15" customHeight="1">
      <c r="A437" s="32"/>
      <c r="B437" s="26"/>
      <c r="C437" s="26"/>
      <c r="D437" s="27"/>
      <c r="E437" s="28"/>
      <c r="F437" s="28"/>
      <c r="G437" s="28"/>
      <c r="H437" s="28"/>
      <c r="I437" s="28"/>
      <c r="J437" s="26"/>
      <c r="K437" s="26"/>
      <c r="L437" s="28"/>
      <c r="M437" s="28"/>
      <c r="N437" s="26"/>
      <c r="O437" s="26"/>
      <c r="P437" s="26"/>
      <c r="Q437" s="28"/>
      <c r="R437" s="26"/>
      <c r="S437" s="79"/>
      <c r="T437" s="26"/>
      <c r="U437" s="31"/>
      <c r="V437" s="79"/>
    </row>
    <row r="438" ht="15" customHeight="1">
      <c r="A438" s="32"/>
      <c r="B438" s="26"/>
      <c r="C438" s="26"/>
      <c r="D438" s="27"/>
      <c r="E438" s="28"/>
      <c r="F438" s="28"/>
      <c r="G438" s="28"/>
      <c r="H438" s="28"/>
      <c r="I438" s="28"/>
      <c r="J438" s="26"/>
      <c r="K438" s="26"/>
      <c r="L438" s="28"/>
      <c r="M438" s="28"/>
      <c r="N438" s="26"/>
      <c r="O438" s="26"/>
      <c r="P438" s="26"/>
      <c r="Q438" s="28"/>
      <c r="R438" s="26"/>
      <c r="S438" s="79"/>
      <c r="T438" s="26"/>
      <c r="U438" s="31"/>
      <c r="V438" s="79"/>
    </row>
    <row r="439" ht="15" customHeight="1">
      <c r="A439" s="32"/>
      <c r="B439" s="26"/>
      <c r="C439" s="26"/>
      <c r="D439" s="27"/>
      <c r="E439" s="28"/>
      <c r="F439" s="28"/>
      <c r="G439" s="28"/>
      <c r="H439" s="28"/>
      <c r="I439" s="28"/>
      <c r="J439" s="26"/>
      <c r="K439" s="26"/>
      <c r="L439" s="28"/>
      <c r="M439" s="28"/>
      <c r="N439" s="26"/>
      <c r="O439" s="26"/>
      <c r="P439" s="26"/>
      <c r="Q439" s="28"/>
      <c r="R439" s="26"/>
      <c r="S439" s="79"/>
      <c r="T439" s="26"/>
      <c r="U439" s="31"/>
      <c r="V439" s="79"/>
    </row>
    <row r="440" ht="15" customHeight="1">
      <c r="A440" s="32"/>
      <c r="B440" s="26"/>
      <c r="C440" s="26"/>
      <c r="D440" s="27"/>
      <c r="E440" s="28"/>
      <c r="F440" s="28"/>
      <c r="G440" s="28"/>
      <c r="H440" s="28"/>
      <c r="I440" s="28"/>
      <c r="J440" s="26"/>
      <c r="K440" s="26"/>
      <c r="L440" s="28"/>
      <c r="M440" s="28"/>
      <c r="N440" s="26"/>
      <c r="O440" s="26"/>
      <c r="P440" s="26"/>
      <c r="Q440" s="28"/>
      <c r="R440" s="26"/>
      <c r="S440" s="79"/>
      <c r="T440" s="26"/>
      <c r="U440" s="31"/>
      <c r="V440" s="79"/>
    </row>
    <row r="441" ht="15" customHeight="1">
      <c r="A441" s="32"/>
      <c r="B441" s="26"/>
      <c r="C441" s="26"/>
      <c r="D441" s="27"/>
      <c r="E441" s="28"/>
      <c r="F441" s="28"/>
      <c r="G441" s="28"/>
      <c r="H441" s="28"/>
      <c r="I441" s="28"/>
      <c r="J441" s="26"/>
      <c r="K441" s="26"/>
      <c r="L441" s="28"/>
      <c r="M441" s="28"/>
      <c r="N441" s="26"/>
      <c r="O441" s="26"/>
      <c r="P441" s="26"/>
      <c r="Q441" s="28"/>
      <c r="R441" s="26"/>
      <c r="S441" s="79"/>
      <c r="T441" s="26"/>
      <c r="U441" s="31"/>
      <c r="V441" s="79"/>
    </row>
    <row r="442" ht="15" customHeight="1">
      <c r="A442" s="32"/>
      <c r="B442" s="26"/>
      <c r="C442" s="26"/>
      <c r="D442" s="27"/>
      <c r="E442" s="28"/>
      <c r="F442" s="28"/>
      <c r="G442" s="28"/>
      <c r="H442" s="28"/>
      <c r="I442" s="28"/>
      <c r="J442" s="26"/>
      <c r="K442" s="26"/>
      <c r="L442" s="28"/>
      <c r="M442" s="28"/>
      <c r="N442" s="26"/>
      <c r="O442" s="26"/>
      <c r="P442" s="26"/>
      <c r="Q442" s="28"/>
      <c r="R442" s="26"/>
      <c r="S442" s="79"/>
      <c r="T442" s="27"/>
      <c r="U442" s="31"/>
      <c r="V442" s="79"/>
    </row>
    <row r="443" ht="15" customHeight="1">
      <c r="A443" s="32"/>
      <c r="B443" s="26"/>
      <c r="C443" s="26"/>
      <c r="D443" s="27"/>
      <c r="E443" s="28"/>
      <c r="F443" s="28"/>
      <c r="G443" s="28"/>
      <c r="H443" s="28"/>
      <c r="I443" s="28"/>
      <c r="J443" s="26"/>
      <c r="K443" s="26"/>
      <c r="L443" s="28"/>
      <c r="M443" s="28"/>
      <c r="N443" s="26"/>
      <c r="O443" s="26"/>
      <c r="P443" s="26"/>
      <c r="Q443" s="28"/>
      <c r="R443" s="26"/>
      <c r="S443" s="79"/>
      <c r="T443" s="26"/>
      <c r="U443" s="31"/>
      <c r="V443" s="26"/>
    </row>
    <row r="444" ht="15" customHeight="1">
      <c r="A444" s="32"/>
      <c r="B444" s="26"/>
      <c r="C444" s="26"/>
      <c r="D444" s="27"/>
      <c r="E444" s="28"/>
      <c r="F444" s="28"/>
      <c r="G444" s="28"/>
      <c r="H444" s="28"/>
      <c r="I444" s="28"/>
      <c r="J444" s="26"/>
      <c r="K444" s="26"/>
      <c r="L444" s="28"/>
      <c r="M444" s="28"/>
      <c r="N444" s="26"/>
      <c r="O444" s="26"/>
      <c r="P444" s="26"/>
      <c r="Q444" s="28"/>
      <c r="R444" s="26"/>
      <c r="S444" s="79"/>
      <c r="T444" s="26"/>
      <c r="U444" s="31"/>
      <c r="V444" s="26"/>
    </row>
    <row r="445" ht="15" customHeight="1">
      <c r="A445" s="32"/>
      <c r="B445" s="26"/>
      <c r="C445" s="26"/>
      <c r="D445" s="27"/>
      <c r="E445" s="28"/>
      <c r="F445" s="28"/>
      <c r="G445" s="28"/>
      <c r="H445" s="28"/>
      <c r="I445" s="28"/>
      <c r="J445" s="26"/>
      <c r="K445" s="26"/>
      <c r="L445" s="28"/>
      <c r="M445" s="28"/>
      <c r="N445" s="26"/>
      <c r="O445" s="26"/>
      <c r="P445" s="26"/>
      <c r="Q445" s="28"/>
      <c r="R445" s="26"/>
      <c r="S445" s="79"/>
      <c r="T445" s="26"/>
      <c r="U445" s="31"/>
      <c r="V445" s="26"/>
    </row>
    <row r="446" ht="15" customHeight="1">
      <c r="A446" s="32"/>
      <c r="B446" s="26"/>
      <c r="C446" s="26"/>
      <c r="D446" s="27"/>
      <c r="E446" s="28"/>
      <c r="F446" s="28"/>
      <c r="G446" s="28"/>
      <c r="H446" s="28"/>
      <c r="I446" s="28"/>
      <c r="J446" s="26"/>
      <c r="K446" s="26"/>
      <c r="L446" s="28"/>
      <c r="M446" s="28"/>
      <c r="N446" s="26"/>
      <c r="O446" s="26"/>
      <c r="P446" s="26"/>
      <c r="Q446" s="28"/>
      <c r="R446" s="26"/>
      <c r="S446" s="79"/>
      <c r="T446" s="26"/>
      <c r="U446" s="31"/>
      <c r="V446" s="26"/>
    </row>
    <row r="447" ht="15" customHeight="1">
      <c r="A447" s="32"/>
      <c r="B447" s="26"/>
      <c r="C447" s="26"/>
      <c r="D447" s="27"/>
      <c r="E447" s="28"/>
      <c r="F447" s="28"/>
      <c r="G447" s="28"/>
      <c r="H447" s="28"/>
      <c r="I447" s="28"/>
      <c r="J447" s="26"/>
      <c r="K447" s="26"/>
      <c r="L447" s="28"/>
      <c r="M447" s="28"/>
      <c r="N447" s="26"/>
      <c r="O447" s="26"/>
      <c r="P447" s="26"/>
      <c r="Q447" s="28"/>
      <c r="R447" s="26"/>
      <c r="S447" s="79"/>
      <c r="T447" s="27"/>
      <c r="U447" s="31"/>
      <c r="V447" s="27"/>
    </row>
    <row r="448" ht="15" customHeight="1">
      <c r="A448" s="32"/>
      <c r="B448" s="26"/>
      <c r="C448" s="26"/>
      <c r="D448" s="26"/>
      <c r="E448" s="28"/>
      <c r="F448" s="28"/>
      <c r="G448" s="28"/>
      <c r="H448" s="28"/>
      <c r="I448" s="28"/>
      <c r="J448" s="26"/>
      <c r="K448" s="26"/>
      <c r="L448" s="28"/>
      <c r="M448" s="28"/>
      <c r="N448" s="26"/>
      <c r="O448" s="26"/>
      <c r="P448" s="26"/>
      <c r="Q448" s="28"/>
      <c r="R448" s="26"/>
      <c r="S448" s="79"/>
      <c r="T448" s="26"/>
      <c r="U448" s="31"/>
      <c r="V448" s="26"/>
    </row>
    <row r="449" ht="15" customHeight="1">
      <c r="A449" s="32"/>
      <c r="B449" s="26"/>
      <c r="C449" s="26"/>
      <c r="D449" s="26"/>
      <c r="E449" s="28"/>
      <c r="F449" s="28"/>
      <c r="G449" s="28"/>
      <c r="H449" s="28"/>
      <c r="I449" s="28"/>
      <c r="J449" s="26"/>
      <c r="K449" s="26"/>
      <c r="L449" s="28"/>
      <c r="M449" s="28"/>
      <c r="N449" s="26"/>
      <c r="O449" s="26"/>
      <c r="P449" s="26"/>
      <c r="Q449" s="28"/>
      <c r="R449" s="26"/>
      <c r="S449" s="79"/>
      <c r="T449" s="26"/>
      <c r="U449" s="31"/>
      <c r="V449" s="26"/>
    </row>
    <row r="450" ht="15" customHeight="1">
      <c r="A450" s="32"/>
      <c r="B450" s="26"/>
      <c r="C450" s="26"/>
      <c r="D450" s="26"/>
      <c r="E450" s="28"/>
      <c r="F450" s="28"/>
      <c r="G450" s="28"/>
      <c r="H450" s="28"/>
      <c r="I450" s="28"/>
      <c r="J450" s="26"/>
      <c r="K450" s="26"/>
      <c r="L450" s="28"/>
      <c r="M450" s="28"/>
      <c r="N450" s="26"/>
      <c r="O450" s="26"/>
      <c r="P450" s="26"/>
      <c r="Q450" s="28"/>
      <c r="R450" s="26"/>
      <c r="S450" s="79"/>
      <c r="T450" s="26"/>
      <c r="U450" s="31"/>
      <c r="V450" s="26"/>
    </row>
    <row r="451" ht="15" customHeight="1">
      <c r="A451" s="32"/>
      <c r="B451" s="26"/>
      <c r="C451" s="26"/>
      <c r="D451" s="27"/>
      <c r="E451" s="28"/>
      <c r="F451" s="28"/>
      <c r="G451" s="28"/>
      <c r="H451" s="28"/>
      <c r="I451" s="28"/>
      <c r="J451" s="26"/>
      <c r="K451" s="26"/>
      <c r="L451" s="28"/>
      <c r="M451" s="28"/>
      <c r="N451" s="26"/>
      <c r="O451" s="26"/>
      <c r="P451" s="26"/>
      <c r="Q451" s="28"/>
      <c r="R451" s="26"/>
      <c r="S451" s="79"/>
      <c r="T451" s="26"/>
      <c r="U451" s="31"/>
      <c r="V451" s="84"/>
    </row>
    <row r="452" ht="15" customHeight="1">
      <c r="A452" s="32"/>
      <c r="B452" s="26"/>
      <c r="C452" s="26"/>
      <c r="D452" s="27"/>
      <c r="E452" s="28"/>
      <c r="F452" s="28"/>
      <c r="G452" s="28"/>
      <c r="H452" s="28"/>
      <c r="I452" s="28"/>
      <c r="J452" s="26"/>
      <c r="K452" s="26"/>
      <c r="L452" s="28"/>
      <c r="M452" s="28"/>
      <c r="N452" s="26"/>
      <c r="O452" s="26"/>
      <c r="P452" s="26"/>
      <c r="Q452" s="28"/>
      <c r="R452" s="26"/>
      <c r="S452" s="79"/>
      <c r="T452" s="26"/>
      <c r="U452" s="31"/>
      <c r="V452" s="26"/>
    </row>
    <row r="453" ht="15" customHeight="1">
      <c r="A453" s="32"/>
      <c r="B453" s="26"/>
      <c r="C453" s="26"/>
      <c r="D453" s="27"/>
      <c r="E453" s="28"/>
      <c r="F453" s="28"/>
      <c r="G453" s="28"/>
      <c r="H453" s="28"/>
      <c r="I453" s="28"/>
      <c r="J453" s="26"/>
      <c r="K453" s="26"/>
      <c r="L453" s="28"/>
      <c r="M453" s="28"/>
      <c r="N453" s="26"/>
      <c r="O453" s="26"/>
      <c r="P453" s="26"/>
      <c r="Q453" s="28"/>
      <c r="R453" s="26"/>
      <c r="S453" s="79"/>
      <c r="T453" s="26"/>
      <c r="U453" s="31"/>
      <c r="V453" s="26"/>
    </row>
    <row r="454" ht="15" customHeight="1">
      <c r="A454" s="32"/>
      <c r="B454" s="26"/>
      <c r="C454" s="26"/>
      <c r="D454" s="27"/>
      <c r="E454" s="28"/>
      <c r="F454" s="28"/>
      <c r="G454" s="28"/>
      <c r="H454" s="28"/>
      <c r="I454" s="28"/>
      <c r="J454" s="26"/>
      <c r="K454" s="26"/>
      <c r="L454" s="28"/>
      <c r="M454" s="28"/>
      <c r="N454" s="26"/>
      <c r="O454" s="26"/>
      <c r="P454" s="26"/>
      <c r="Q454" s="28"/>
      <c r="R454" s="26"/>
      <c r="S454" s="79"/>
      <c r="T454" s="26"/>
      <c r="U454" s="31"/>
      <c r="V454" s="85"/>
    </row>
  </sheetData>
  <autoFilter ref="A2:V454"/>
  <mergeCells count="42">
    <mergeCell ref="S3:S9"/>
    <mergeCell ref="P10:P13"/>
    <mergeCell ref="S10:S13"/>
    <mergeCell ref="P14:P17"/>
    <mergeCell ref="S14:S17"/>
    <mergeCell ref="P18:P21"/>
    <mergeCell ref="S18:S21"/>
    <mergeCell ref="P22:P29"/>
    <mergeCell ref="S22:S29"/>
    <mergeCell ref="P30:P33"/>
    <mergeCell ref="S30:S33"/>
    <mergeCell ref="P34:P36"/>
    <mergeCell ref="S34:S36"/>
    <mergeCell ref="P37:P48"/>
    <mergeCell ref="S37:S48"/>
    <mergeCell ref="P49:P53"/>
    <mergeCell ref="S49:S53"/>
    <mergeCell ref="P54:P65"/>
    <mergeCell ref="S54:S65"/>
    <mergeCell ref="P66:P68"/>
    <mergeCell ref="S66:S68"/>
    <mergeCell ref="P69:P71"/>
    <mergeCell ref="S69:S71"/>
    <mergeCell ref="P72:P73"/>
    <mergeCell ref="S72:S73"/>
    <mergeCell ref="P74:P75"/>
    <mergeCell ref="S74:S75"/>
    <mergeCell ref="P76:P77"/>
    <mergeCell ref="S76:S77"/>
    <mergeCell ref="P78:P81"/>
    <mergeCell ref="S78:S81"/>
    <mergeCell ref="P82:P84"/>
    <mergeCell ref="S82:S84"/>
    <mergeCell ref="P85:P87"/>
    <mergeCell ref="S85:S87"/>
    <mergeCell ref="P88:P91"/>
    <mergeCell ref="S88:S91"/>
    <mergeCell ref="P92:P93"/>
    <mergeCell ref="S92:S93"/>
    <mergeCell ref="P94:P97"/>
    <mergeCell ref="S94:S97"/>
    <mergeCell ref="S98:S101"/>
  </mergeCells>
  <dataValidations count="3" disablePrompts="0">
    <dataValidation sqref="S284 S107 S3 S182 S291 S313 S244 S213 S302" type="list" allowBlank="1" errorStyle="stop" imeMode="noControl" operator="between" showDropDown="0" showErrorMessage="1" showInputMessage="1">
      <formula1>Глоссарий!$A$4:$A$6</formula1>
    </dataValidation>
    <dataValidation sqref="S451 S118:S119 S437 S443 S165 S448 S455:S1048576 S141 S346 S128 S405 S419 S398 S391 S161 S356 S360 S136 S426 S170 S146 S151 S412 S132 S384 S433 S377 S372 S125 S370 S156 S175 S178 S180 S275 S278 S281 S324 S329 S334 S339 S342" type="list" allowBlank="1" errorStyle="stop" imeMode="noControl" operator="between" showDropDown="0" showErrorMessage="1" showInputMessage="1">
      <formula1>Глоссарий!$A$2:$A$6</formula1>
    </dataValidation>
    <dataValidation sqref="S104" type="list" allowBlank="1" errorStyle="stop" imeMode="noControl" operator="between" showDropDown="0" showErrorMessage="1" showInputMessage="1">
      <formula1>'C:\Users\Bogoslovskiy-NY\Documents\УВДО-3\[S2T_029_000001_20190525_v09.xlsx]Глоссарий'!#REF!</formula1>
    </dataValidation>
  </dataValidation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200" copies="1"/>
  <headerFooter/>
  <drawing r:id="rId1"/>
  <extLst>
    <ext xmlns:x14="http://schemas.microsoft.com/office/spreadsheetml/2009/9/main" uri="{78C0D931-6437-407d-A8EE-F0AAD7539E65}">
      <x14:conditionalFormattings>
        <x14:conditionalFormatting xmlns:xm="http://schemas.microsoft.com/office/excel/2006/main">
          <x14:cfRule type="expression" priority="387" id="{00DD007C-0092-4750-8DEB-00A900660028}">
            <xm:f>$B13&lt;&gt;#REF!</xm:f>
            <x14:dxf>
              <border>
                <left style="none"/>
                <right style="none"/>
                <top style="none"/>
                <bottom style="thin">
                  <color auto="1"/>
                </bottom>
                <diagonal/>
                <vertical style="none"/>
                <horizontal style="none"/>
              </border>
            </x14:dxf>
          </x14:cfRule>
          <xm:sqref>N13</xm:sqref>
        </x14:conditionalFormatting>
        <x14:conditionalFormatting xmlns:xm="http://schemas.microsoft.com/office/excel/2006/main">
          <x14:cfRule type="expression" priority="64" id="{003A0001-000D-46D1-9E79-00D6007B00D8}">
            <xm:f>$B17&lt;&gt;#REF!</xm:f>
            <x14:dxf>
              <border>
                <left style="none"/>
                <right style="none"/>
                <top style="none"/>
                <bottom style="thin">
                  <color auto="1"/>
                </bottom>
                <diagonal/>
                <vertical style="none"/>
                <horizontal style="none"/>
              </border>
            </x14:dxf>
          </x14:cfRule>
          <xm:sqref>J17</xm:sqref>
        </x14:conditionalFormatting>
        <x14:conditionalFormatting xmlns:xm="http://schemas.microsoft.com/office/excel/2006/main">
          <x14:cfRule type="expression" priority="63" id="{005000A5-009D-4FAB-A4CD-00C800490092}">
            <xm:f>$B16&lt;&gt;#REF!</xm:f>
            <x14:dxf>
              <border>
                <left style="none"/>
                <right style="none"/>
                <top style="none"/>
                <bottom style="thin">
                  <color auto="1"/>
                </bottom>
                <diagonal/>
                <vertical style="none"/>
                <horizontal style="none"/>
              </border>
            </x14:dxf>
          </x14:cfRule>
          <xm:sqref>D16</xm:sqref>
        </x14:conditionalFormatting>
        <x14:conditionalFormatting xmlns:xm="http://schemas.microsoft.com/office/excel/2006/main">
          <x14:cfRule type="expression" priority="62" id="{00AA000C-007C-4B82-87B8-00C0002100AF}">
            <xm:f>$B16&lt;&gt;$B17</xm:f>
            <x14:dxf>
              <border>
                <left style="none"/>
                <right style="none"/>
                <top style="none"/>
                <bottom style="thin">
                  <color auto="1"/>
                </bottom>
                <diagonal/>
                <vertical style="none"/>
                <horizontal style="none"/>
              </border>
            </x14:dxf>
          </x14:cfRule>
          <xm:sqref>J16</xm:sqref>
        </x14:conditionalFormatting>
        <x14:conditionalFormatting xmlns:xm="http://schemas.microsoft.com/office/excel/2006/main">
          <x14:cfRule type="expression" priority="39" id="{0020000F-008E-4E48-8042-001200B600E2}">
            <xm:f>$B6&lt;&gt;$B7</xm:f>
            <x14:dxf>
              <border>
                <left style="none"/>
                <right style="none"/>
                <top style="none"/>
                <bottom style="thin">
                  <color auto="1"/>
                </bottom>
                <diagonal/>
                <vertical style="none"/>
                <horizontal style="none"/>
              </border>
            </x14:dxf>
          </x14:cfRule>
          <xm:sqref>N6</xm:sqref>
        </x14:conditionalFormatting>
        <x14:conditionalFormatting xmlns:xm="http://schemas.microsoft.com/office/excel/2006/main">
          <x14:cfRule type="expression" priority="34" id="{00850014-0080-42F3-B1D4-007F00E50009}">
            <xm:f>$B7&lt;&gt;$B8</xm:f>
            <x14:dxf>
              <border>
                <left style="none"/>
                <right style="none"/>
                <top style="none"/>
                <bottom style="thin">
                  <color auto="1"/>
                </bottom>
                <diagonal/>
                <vertical style="none"/>
                <horizontal style="none"/>
              </border>
            </x14:dxf>
          </x14:cfRule>
          <xm:sqref>N7</xm:sqref>
        </x14:conditionalFormatting>
        <x14:conditionalFormatting xmlns:xm="http://schemas.microsoft.com/office/excel/2006/main">
          <x14:cfRule type="expression" priority="33" id="{002800C6-00E5-4679-8306-004000DC00CA}">
            <xm:f>$B21&lt;&gt;$B22</xm:f>
            <x14:dxf>
              <border>
                <left style="none"/>
                <right style="none"/>
                <top style="none"/>
                <bottom style="thin">
                  <color auto="1"/>
                </bottom>
                <diagonal/>
                <vertical style="none"/>
                <horizontal style="none"/>
              </border>
            </x14:dxf>
          </x14:cfRule>
          <xm:sqref>N21</xm:sqref>
        </x14:conditionalFormatting>
        <x14:conditionalFormatting xmlns:xm="http://schemas.microsoft.com/office/excel/2006/main">
          <x14:cfRule type="expression" priority="32" id="{00E40033-00BC-4C02-8CD5-00AF00860007}">
            <xm:f>$B21&lt;&gt;$B22</xm:f>
            <x14:dxf>
              <border>
                <left style="none"/>
                <right style="none"/>
                <top style="none"/>
                <bottom style="thin">
                  <color auto="1"/>
                </bottom>
                <diagonal/>
                <vertical style="none"/>
                <horizontal style="none"/>
              </border>
            </x14:dxf>
          </x14:cfRule>
          <xm:sqref>N21</xm:sqref>
        </x14:conditionalFormatting>
        <x14:conditionalFormatting xmlns:xm="http://schemas.microsoft.com/office/excel/2006/main">
          <x14:cfRule type="expression" priority="31" id="{00DC00DA-0026-45D3-95A4-001600450072}">
            <xm:f>$B27&lt;&gt;$B28</xm:f>
            <x14:dxf>
              <border>
                <left style="none"/>
                <right style="none"/>
                <top style="none"/>
                <bottom style="thin">
                  <color auto="1"/>
                </bottom>
                <diagonal/>
                <vertical style="none"/>
                <horizontal style="none"/>
              </border>
            </x14:dxf>
          </x14:cfRule>
          <xm:sqref>N27</xm:sqref>
        </x14:conditionalFormatting>
        <x14:conditionalFormatting xmlns:xm="http://schemas.microsoft.com/office/excel/2006/main">
          <x14:cfRule type="expression" priority="30" id="{00A30084-00CA-46D9-96A4-00B60059000B}">
            <xm:f>$B27&lt;&gt;$B28</xm:f>
            <x14:dxf>
              <border>
                <left style="none"/>
                <right style="none"/>
                <top style="none"/>
                <bottom style="thin">
                  <color auto="1"/>
                </bottom>
                <diagonal/>
                <vertical style="none"/>
                <horizontal style="none"/>
              </border>
            </x14:dxf>
          </x14:cfRule>
          <xm:sqref>N27</xm:sqref>
        </x14:conditionalFormatting>
        <x14:conditionalFormatting xmlns:xm="http://schemas.microsoft.com/office/excel/2006/main">
          <x14:cfRule type="expression" priority="29" id="{00B00049-00DF-48A9-A01B-001900C400A7}">
            <xm:f>$B29&lt;&gt;$B30</xm:f>
            <x14:dxf>
              <border>
                <left style="none"/>
                <right style="none"/>
                <top style="none"/>
                <bottom style="thin">
                  <color auto="1"/>
                </bottom>
                <diagonal/>
                <vertical style="none"/>
                <horizontal style="none"/>
              </border>
            </x14:dxf>
          </x14:cfRule>
          <xm:sqref>N29</xm:sqref>
        </x14:conditionalFormatting>
        <x14:conditionalFormatting xmlns:xm="http://schemas.microsoft.com/office/excel/2006/main">
          <x14:cfRule type="expression" priority="28" id="{0026004B-006C-4AB4-BD01-003900F80065}">
            <xm:f>$B29&lt;&gt;$B30</xm:f>
            <x14:dxf>
              <border>
                <left style="none"/>
                <right style="none"/>
                <top style="none"/>
                <bottom style="thin">
                  <color auto="1"/>
                </bottom>
                <diagonal/>
                <vertical style="none"/>
                <horizontal style="none"/>
              </border>
            </x14:dxf>
          </x14:cfRule>
          <xm:sqref>N29</xm:sqref>
        </x14:conditionalFormatting>
        <x14:conditionalFormatting xmlns:xm="http://schemas.microsoft.com/office/excel/2006/main">
          <x14:cfRule type="expression" priority="27" id="{00930060-00BA-4F87-A085-00E0006100B1}">
            <xm:f>$B21&lt;&gt;#REF!</xm:f>
            <x14:dxf>
              <border>
                <left style="none"/>
                <right style="none"/>
                <top style="none"/>
                <bottom style="thin">
                  <color auto="1"/>
                </bottom>
                <diagonal/>
                <vertical style="none"/>
                <horizontal style="none"/>
              </border>
            </x14:dxf>
          </x14:cfRule>
          <xm:sqref>J21</xm:sqref>
        </x14:conditionalFormatting>
        <x14:conditionalFormatting xmlns:xm="http://schemas.microsoft.com/office/excel/2006/main">
          <x14:cfRule type="expression" priority="25" id="{00880090-0015-46E1-A283-009100160013}">
            <xm:f>$B33&lt;&gt;$B34</xm:f>
            <x14:dxf>
              <border>
                <left style="none"/>
                <right style="none"/>
                <top style="none"/>
                <bottom style="thin">
                  <color auto="1"/>
                </bottom>
                <diagonal/>
                <vertical style="none"/>
                <horizontal style="none"/>
              </border>
            </x14:dxf>
          </x14:cfRule>
          <xm:sqref>N33</xm:sqref>
        </x14:conditionalFormatting>
        <x14:conditionalFormatting xmlns:xm="http://schemas.microsoft.com/office/excel/2006/main">
          <x14:cfRule type="expression" priority="24" id="{00ED0033-00F1-4588-9600-00A800A900D9}">
            <xm:f>$B33&lt;&gt;$B34</xm:f>
            <x14:dxf>
              <border>
                <left style="none"/>
                <right style="none"/>
                <top style="none"/>
                <bottom style="thin">
                  <color auto="1"/>
                </bottom>
                <diagonal/>
                <vertical style="none"/>
                <horizontal style="none"/>
              </border>
            </x14:dxf>
          </x14:cfRule>
          <xm:sqref>N33</xm:sqref>
        </x14:conditionalFormatting>
        <x14:conditionalFormatting xmlns:xm="http://schemas.microsoft.com/office/excel/2006/main">
          <x14:cfRule type="expression" priority="23" id="{008B00C5-009F-44D9-9E9D-0054006D00EA}">
            <xm:f>$B33&lt;&gt;#REF!</xm:f>
            <x14:dxf>
              <border>
                <left style="none"/>
                <right style="none"/>
                <top style="none"/>
                <bottom style="thin">
                  <color auto="1"/>
                </bottom>
                <diagonal/>
                <vertical style="none"/>
                <horizontal style="none"/>
              </border>
            </x14:dxf>
          </x14:cfRule>
          <xm:sqref>J33</xm:sqref>
        </x14:conditionalFormatting>
        <x14:conditionalFormatting xmlns:xm="http://schemas.microsoft.com/office/excel/2006/main">
          <x14:cfRule type="expression" priority="21" id="{0073001B-0070-4C60-817E-000F00A50001}">
            <xm:f>$B38&lt;&gt;$B39</xm:f>
            <x14:dxf>
              <border>
                <left style="none"/>
                <right style="none"/>
                <top style="none"/>
                <bottom style="thin">
                  <color auto="1"/>
                </bottom>
                <diagonal/>
                <vertical style="none"/>
                <horizontal style="none"/>
              </border>
            </x14:dxf>
          </x14:cfRule>
          <xm:sqref>J38</xm:sqref>
        </x14:conditionalFormatting>
        <x14:conditionalFormatting xmlns:xm="http://schemas.microsoft.com/office/excel/2006/main">
          <x14:cfRule type="expression" priority="8" id="{009C00EF-00F1-4BC2-A5DF-006000AD0086}">
            <xm:f>$B41&lt;&gt;$B43</xm:f>
            <x14:dxf>
              <border>
                <left style="none"/>
                <right style="none"/>
                <top style="none"/>
                <bottom style="thin">
                  <color auto="1"/>
                </bottom>
                <diagonal/>
                <vertical style="none"/>
                <horizontal style="none"/>
              </border>
            </x14:dxf>
          </x14:cfRule>
          <xm:sqref>K41:K42</xm:sqref>
        </x14:conditionalFormatting>
      </x14:conditionalFormattings>
    </ext>
    <ext xmlns:x14="http://schemas.microsoft.com/office/spreadsheetml/2009/9/main" uri="{CCE6A557-97BC-4b89-ADB6-D9C93CAAB3DF}">
      <x14:dataValidations xmlns:xm="http://schemas.microsoft.com/office/excel/2006/main" count="2" disablePrompts="0">
        <x14:dataValidation xr:uid="{00730010-0052-4789-8416-001F0098009A}" type="list" allowBlank="1" errorStyle="stop" imeMode="noControl" operator="between" showDropDown="0" showErrorMessage="1" showInputMessage="1">
          <x14:formula1>
            <xm:f>LOV_hist_role</xm:f>
          </x14:formula1>
          <xm:sqref>R63245:R128779 IJ63244:IJ128778 SF63244:SF128778 ACB63244:ACB128778 ALX63244:ALX128778 AVT63244:AVT128778 BFP63244:BFP128778 BPL63244:BPL128778 BZH63244:BZH128778 CJD63244:CJD128778 CSZ63244:CSZ128778 DCV63244:DCV128778 DMR63244:DMR128778 DWN63244:DWN128778 EGJ63244:EGJ128778 EQF63244:EQF128778 FAB63244:FAB128778 FJX63244:FJX128778 FTT63244:FTT128778 GDP63244:GDP128778 GNL63244:GNL128778 GXH63244:GXH128778 HHD63244:HHD128778 HQZ63244:HQZ128778 IAV63244:IAV128778 IKR63244:IKR128778 IUN63244:IUN128778 JEJ63244:JEJ128778 JOF63244:JOF128778 JYB63244:JYB128778 KHX63244:KHX128778 KRT63244:KRT128778 LBP63244:LBP128778 LLL63244:LLL128778 LVH63244:LVH128778 MFD63244:MFD128778 MOZ63244:MOZ128778 MYV63244:MYV128778 NIR63244:NIR128778 NSN63244:NSN128778 OCJ63244:OCJ128778 OMF63244:OMF128778 OWB63244:OWB128778 PFX63244:PFX128778 PPT63244:PPT128778 PZP63244:PZP128778 QJL63244:QJL128778 QTH63244:QTH128778 RDD63244:RDD128778 RMZ63244:RMZ128778 RWV63244:RWV128778 SGR63244:SGR128778 SQN63244:SQN128778 TAJ63244:TAJ128778 TKF63244:TKF128778 TUB63244:TUB128778 UDX63244:UDX128778 UNT63244:UNT128778 UXP63244:UXP128778 VHL63244:VHL128778 VRH63244:VRH128778 WBD63244:WBD128778 WKZ63244:WKZ128778 WUV63244:WUV128778 R980749:R1048576 IJ128780:IJ194314 SF128780:SF194314 ACB128780:ACB194314 ALX128780:ALX194314 AVT128780:AVT194314 BFP128780:BFP194314 BPL128780:BPL194314 BZH128780:BZH194314 CJD128780:CJD194314 CSZ128780:CSZ194314 DCV128780:DCV194314 DMR128780:DMR194314 DWN128780:DWN194314 EGJ128780:EGJ194314 EQF128780:EQF194314 FAB128780:FAB194314 FJX128780:FJX194314 FTT128780:FTT194314 GDP128780:GDP194314 GNL128780:GNL194314 GXH128780:GXH194314 HHD128780:HHD194314 HQZ128780:HQZ194314 IAV128780:IAV194314 IKR128780:IKR194314 IUN128780:IUN194314 JEJ128780:JEJ194314 JOF128780:JOF194314 JYB128780:JYB194314 KHX128780:KHX194314 KRT128780:KRT194314 LBP128780:LBP194314 LLL128780:LLL194314 LVH128780:LVH194314 MFD128780:MFD194314 MOZ128780:MOZ194314 MYV128780:MYV194314 NIR128780:NIR194314 NSN128780:NSN194314 OCJ128780:OCJ194314 OMF128780:OMF194314 OWB128780:OWB194314 PFX128780:PFX194314 PPT128780:PPT194314 PZP128780:PZP194314 QJL128780:QJL194314 QTH128780:QTH194314 RDD128780:RDD194314 RMZ128780:RMZ194314 RWV128780:RWV194314 SGR128780:SGR194314 SQN128780:SQN194314 TAJ128780:TAJ194314 TKF128780:TKF194314 TUB128780:TUB194314 UDX128780:UDX194314 UNT128780:UNT194314 UXP128780:UXP194314 VHL128780:VHL194314 VRH128780:VRH194314 WBD128780:WBD194314 WKZ128780:WKZ194314 WUV128780:WUV194314 R915213:R980747 IJ194316:IJ259850 SF194316:SF259850 ACB194316:ACB259850 ALX194316:ALX259850 AVT194316:AVT259850 BFP194316:BFP259850 BPL194316:BPL259850 BZH194316:BZH259850 CJD194316:CJD259850 CSZ194316:CSZ259850 DCV194316:DCV259850 DMR194316:DMR259850 DWN194316:DWN259850 EGJ194316:EGJ259850 EQF194316:EQF259850 FAB194316:FAB259850 FJX194316:FJX259850 FTT194316:FTT259850 GDP194316:GDP259850 GNL194316:GNL259850 GXH194316:GXH259850 HHD194316:HHD259850 HQZ194316:HQZ259850 IAV194316:IAV259850 IKR194316:IKR259850 IUN194316:IUN259850 JEJ194316:JEJ259850 JOF194316:JOF259850 JYB194316:JYB259850 KHX194316:KHX259850 KRT194316:KRT259850 LBP194316:LBP259850 LLL194316:LLL259850 LVH194316:LVH259850 MFD194316:MFD259850 MOZ194316:MOZ259850 MYV194316:MYV259850 NIR194316:NIR259850 NSN194316:NSN259850 OCJ194316:OCJ259850 OMF194316:OMF259850 OWB194316:OWB259850 PFX194316:PFX259850 PPT194316:PPT259850 PZP194316:PZP259850 QJL194316:QJL259850 QTH194316:QTH259850 RDD194316:RDD259850 RMZ194316:RMZ259850 RWV194316:RWV259850 SGR194316:SGR259850 SQN194316:SQN259850 TAJ194316:TAJ259850 TKF194316:TKF259850 TUB194316:TUB259850 UDX194316:UDX259850 UNT194316:UNT259850 UXP194316:UXP259850 VHL194316:VHL259850 VRH194316:VRH259850 WBD194316:WBD259850 WKZ194316:WKZ259850 WUV194316:WUV259850 R849677:R915211 IJ259852:IJ325386 SF259852:SF325386 ACB259852:ACB325386 ALX259852:ALX325386 AVT259852:AVT325386 BFP259852:BFP325386 BPL259852:BPL325386 BZH259852:BZH325386 CJD259852:CJD325386 CSZ259852:CSZ325386 DCV259852:DCV325386 DMR259852:DMR325386 DWN259852:DWN325386 EGJ259852:EGJ325386 EQF259852:EQF325386 FAB259852:FAB325386 FJX259852:FJX325386 FTT259852:FTT325386 GDP259852:GDP325386 GNL259852:GNL325386 GXH259852:GXH325386 HHD259852:HHD325386 HQZ259852:HQZ325386 IAV259852:IAV325386 IKR259852:IKR325386 IUN259852:IUN325386 JEJ259852:JEJ325386 JOF259852:JOF325386 JYB259852:JYB325386 KHX259852:KHX325386 KRT259852:KRT325386 LBP259852:LBP325386 LLL259852:LLL325386 LVH259852:LVH325386 MFD259852:MFD325386 MOZ259852:MOZ325386 MYV259852:MYV325386 NIR259852:NIR325386 NSN259852:NSN325386 OCJ259852:OCJ325386 OMF259852:OMF325386 OWB259852:OWB325386 PFX259852:PFX325386 PPT259852:PPT325386 PZP259852:PZP325386 QJL259852:QJL325386 QTH259852:QTH325386 RDD259852:RDD325386 RMZ259852:RMZ325386 RWV259852:RWV325386 SGR259852:SGR325386 SQN259852:SQN325386 TAJ259852:TAJ325386 TKF259852:TKF325386 TUB259852:TUB325386 UDX259852:UDX325386 UNT259852:UNT325386 UXP259852:UXP325386 VHL259852:VHL325386 VRH259852:VRH325386 WBD259852:WBD325386 WKZ259852:WKZ325386 WUV259852:WUV325386 R784141:R849675 IJ325388:IJ390922 SF325388:SF390922 ACB325388:ACB390922 ALX325388:ALX390922 AVT325388:AVT390922 BFP325388:BFP390922 BPL325388:BPL390922 BZH325388:BZH390922 CJD325388:CJD390922 CSZ325388:CSZ390922 DCV325388:DCV390922 DMR325388:DMR390922 DWN325388:DWN390922 EGJ325388:EGJ390922 EQF325388:EQF390922 FAB325388:FAB390922 FJX325388:FJX390922 FTT325388:FTT390922 GDP325388:GDP390922 GNL325388:GNL390922 GXH325388:GXH390922 HHD325388:HHD390922 HQZ325388:HQZ390922 IAV325388:IAV390922 IKR325388:IKR390922 IUN325388:IUN390922 JEJ325388:JEJ390922 JOF325388:JOF390922 JYB325388:JYB390922 KHX325388:KHX390922 KRT325388:KRT390922 LBP325388:LBP390922 LLL325388:LLL390922 LVH325388:LVH390922 MFD325388:MFD390922 MOZ325388:MOZ390922 MYV325388:MYV390922 NIR325388:NIR390922 NSN325388:NSN390922 OCJ325388:OCJ390922 OMF325388:OMF390922 OWB325388:OWB390922 PFX325388:PFX390922 PPT325388:PPT390922 PZP325388:PZP390922 QJL325388:QJL390922 QTH325388:QTH390922 RDD325388:RDD390922 RMZ325388:RMZ390922 RWV325388:RWV390922 SGR325388:SGR390922 SQN325388:SQN390922 TAJ325388:TAJ390922 TKF325388:TKF390922 TUB325388:TUB390922 UDX325388:UDX390922 UNT325388:UNT390922 UXP325388:UXP390922 VHL325388:VHL390922 VRH325388:VRH390922 WBD325388:WBD390922 WKZ325388:WKZ390922 WUV325388:WUV390922 R718605:R784139 IJ390924:IJ456458 SF390924:SF456458 ACB390924:ACB456458 ALX390924:ALX456458 AVT390924:AVT456458 BFP390924:BFP456458 BPL390924:BPL456458 BZH390924:BZH456458 CJD390924:CJD456458 CSZ390924:CSZ456458 DCV390924:DCV456458 DMR390924:DMR456458 DWN390924:DWN456458 EGJ390924:EGJ456458 EQF390924:EQF456458 FAB390924:FAB456458 FJX390924:FJX456458 FTT390924:FTT456458 GDP390924:GDP456458 GNL390924:GNL456458 GXH390924:GXH456458 HHD390924:HHD456458 HQZ390924:HQZ456458 IAV390924:IAV456458 IKR390924:IKR456458 IUN390924:IUN456458 JEJ390924:JEJ456458 JOF390924:JOF456458 JYB390924:JYB456458 KHX390924:KHX456458 KRT390924:KRT456458 LBP390924:LBP456458 LLL390924:LLL456458 LVH390924:LVH456458 MFD390924:MFD456458 MOZ390924:MOZ456458 MYV390924:MYV456458 NIR390924:NIR456458 NSN390924:NSN456458 OCJ390924:OCJ456458 OMF390924:OMF456458 OWB390924:OWB456458 PFX390924:PFX456458 PPT390924:PPT456458 PZP390924:PZP456458 QJL390924:QJL456458 QTH390924:QTH456458 RDD390924:RDD456458 RMZ390924:RMZ456458 RWV390924:RWV456458 SGR390924:SGR456458 SQN390924:SQN456458 TAJ390924:TAJ456458 TKF390924:TKF456458 TUB390924:TUB456458 UDX390924:UDX456458 UNT390924:UNT456458 UXP390924:UXP456458 VHL390924:VHL456458 VRH390924:VRH456458 WBD390924:WBD456458 WKZ390924:WKZ456458 WUV390924:WUV456458 R653069:R718603 IJ456460:IJ521994 SF456460:SF521994 ACB456460:ACB521994 ALX456460:ALX521994 AVT456460:AVT521994 BFP456460:BFP521994 BPL456460:BPL521994 BZH456460:BZH521994 CJD456460:CJD521994 CSZ456460:CSZ521994 DCV456460:DCV521994 DMR456460:DMR521994 DWN456460:DWN521994 EGJ456460:EGJ521994 EQF456460:EQF521994 FAB456460:FAB521994 FJX456460:FJX521994 FTT456460:FTT521994 GDP456460:GDP521994 GNL456460:GNL521994 GXH456460:GXH521994 HHD456460:HHD521994 HQZ456460:HQZ521994 IAV456460:IAV521994 IKR456460:IKR521994 IUN456460:IUN521994 JEJ456460:JEJ521994 JOF456460:JOF521994 JYB456460:JYB521994 KHX456460:KHX521994 KRT456460:KRT521994 LBP456460:LBP521994 LLL456460:LLL521994 LVH456460:LVH521994 MFD456460:MFD521994 MOZ456460:MOZ521994 MYV456460:MYV521994 NIR456460:NIR521994 NSN456460:NSN521994 OCJ456460:OCJ521994 OMF456460:OMF521994 OWB456460:OWB521994 PFX456460:PFX521994 PPT456460:PPT521994 PZP456460:PZP521994 QJL456460:QJL521994 QTH456460:QTH521994 RDD456460:RDD521994 RMZ456460:RMZ521994 RWV456460:RWV521994 SGR456460:SGR521994 SQN456460:SQN521994 TAJ456460:TAJ521994 TKF456460:TKF521994 TUB456460:TUB521994 UDX456460:UDX521994 UNT456460:UNT521994 UXP456460:UXP521994 VHL456460:VHL521994 VRH456460:VRH521994 WBD456460:WBD521994 WKZ456460:WKZ521994 WUV456460:WUV521994 R587533:R653067 IJ521996:IJ587530 SF521996:SF587530 ACB521996:ACB587530 ALX521996:ALX587530 AVT521996:AVT587530 BFP521996:BFP587530 BPL521996:BPL587530 BZH521996:BZH587530 CJD521996:CJD587530 CSZ521996:CSZ587530 DCV521996:DCV587530 DMR521996:DMR587530 DWN521996:DWN587530 EGJ521996:EGJ587530 EQF521996:EQF587530 FAB521996:FAB587530 FJX521996:FJX587530 FTT521996:FTT587530 GDP521996:GDP587530 GNL521996:GNL587530 GXH521996:GXH587530 HHD521996:HHD587530 HQZ521996:HQZ587530 IAV521996:IAV587530 IKR521996:IKR587530 IUN521996:IUN587530 JEJ521996:JEJ587530 JOF521996:JOF587530 JYB521996:JYB587530 KHX521996:KHX587530 KRT521996:KRT587530 LBP521996:LBP587530 LLL521996:LLL587530 LVH521996:LVH587530 MFD521996:MFD587530 MOZ521996:MOZ587530 MYV521996:MYV587530 NIR521996:NIR587530 NSN521996:NSN587530 OCJ521996:OCJ587530 OMF521996:OMF587530 OWB521996:OWB587530 PFX521996:PFX587530 PPT521996:PPT587530 PZP521996:PZP587530 QJL521996:QJL587530 QTH521996:QTH587530 RDD521996:RDD587530 RMZ521996:RMZ587530 RWV521996:RWV587530 SGR521996:SGR587530 SQN521996:SQN587530 TAJ521996:TAJ587530 TKF521996:TKF587530 TUB521996:TUB587530 UDX521996:UDX587530 UNT521996:UNT587530 UXP521996:UXP587530 VHL521996:VHL587530 VRH521996:VRH587530 WBD521996:WBD587530 WKZ521996:WKZ587530 WUV521996:WUV587530 R521997:R587531 IJ587532:IJ653066 SF587532:SF653066 ACB587532:ACB653066 ALX587532:ALX653066 AVT587532:AVT653066 BFP587532:BFP653066 BPL587532:BPL653066 BZH587532:BZH653066 CJD587532:CJD653066 CSZ587532:CSZ653066 DCV587532:DCV653066 DMR587532:DMR653066 DWN587532:DWN653066 EGJ587532:EGJ653066 EQF587532:EQF653066 FAB587532:FAB653066 FJX587532:FJX653066 FTT587532:FTT653066 GDP587532:GDP653066 GNL587532:GNL653066 GXH587532:GXH653066 HHD587532:HHD653066 HQZ587532:HQZ653066 IAV587532:IAV653066 IKR587532:IKR653066 IUN587532:IUN653066 JEJ587532:JEJ653066 JOF587532:JOF653066 JYB587532:JYB653066 KHX587532:KHX653066 KRT587532:KRT653066 LBP587532:LBP653066 LLL587532:LLL653066 LVH587532:LVH653066 MFD587532:MFD653066 MOZ587532:MOZ653066 MYV587532:MYV653066 NIR587532:NIR653066 NSN587532:NSN653066 OCJ587532:OCJ653066 OMF587532:OMF653066 OWB587532:OWB653066 PFX587532:PFX653066 PPT587532:PPT653066 PZP587532:PZP653066 QJL587532:QJL653066 QTH587532:QTH653066 RDD587532:RDD653066 RMZ587532:RMZ653066 RWV587532:RWV653066 SGR587532:SGR653066 SQN587532:SQN653066 TAJ587532:TAJ653066 TKF587532:TKF653066 TUB587532:TUB653066 UDX587532:UDX653066 UNT587532:UNT653066 UXP587532:UXP653066 VHL587532:VHL653066 VRH587532:VRH653066 WBD587532:WBD653066 WKZ587532:WKZ653066 WUV587532:WUV653066 R456461:R521995 IJ653068:IJ718602 SF653068:SF718602 ACB653068:ACB718602 ALX653068:ALX718602 AVT653068:AVT718602 BFP653068:BFP718602 BPL653068:BPL718602 BZH653068:BZH718602 CJD653068:CJD718602 CSZ653068:CSZ718602 DCV653068:DCV718602 DMR653068:DMR718602 DWN653068:DWN718602 EGJ653068:EGJ718602 EQF653068:EQF718602 FAB653068:FAB718602 FJX653068:FJX718602 FTT653068:FTT718602 GDP653068:GDP718602 GNL653068:GNL718602 GXH653068:GXH718602 HHD653068:HHD718602 HQZ653068:HQZ718602 IAV653068:IAV718602 IKR653068:IKR718602 IUN653068:IUN718602 JEJ653068:JEJ718602 JOF653068:JOF718602 JYB653068:JYB718602 KHX653068:KHX718602 KRT653068:KRT718602 LBP653068:LBP718602 LLL653068:LLL718602 LVH653068:LVH718602 MFD653068:MFD718602 MOZ653068:MOZ718602 MYV653068:MYV718602 NIR653068:NIR718602 NSN653068:NSN718602 OCJ653068:OCJ718602 OMF653068:OMF718602 OWB653068:OWB718602 PFX653068:PFX718602 PPT653068:PPT718602 PZP653068:PZP718602 QJL653068:QJL718602 QTH653068:QTH718602 RDD653068:RDD718602 RMZ653068:RMZ718602 RWV653068:RWV718602 SGR653068:SGR718602 SQN653068:SQN718602 TAJ653068:TAJ718602 TKF653068:TKF718602 TUB653068:TUB718602 UDX653068:UDX718602 UNT653068:UNT718602 UXP653068:UXP718602 VHL653068:VHL718602 VRH653068:VRH718602 WBD653068:WBD718602 WKZ653068:WKZ718602 WUV653068:WUV718602 R390925:R456459 IJ718604:IJ784138 SF718604:SF784138 ACB718604:ACB784138 ALX718604:ALX784138 AVT718604:AVT784138 BFP718604:BFP784138 BPL718604:BPL784138 BZH718604:BZH784138 CJD718604:CJD784138 CSZ718604:CSZ784138 DCV718604:DCV784138 DMR718604:DMR784138 DWN718604:DWN784138 EGJ718604:EGJ784138 EQF718604:EQF784138 FAB718604:FAB784138 FJX718604:FJX784138 FTT718604:FTT784138 GDP718604:GDP784138 GNL718604:GNL784138 GXH718604:GXH784138 HHD718604:HHD784138 HQZ718604:HQZ784138 IAV718604:IAV784138 IKR718604:IKR784138 IUN718604:IUN784138 JEJ718604:JEJ784138 JOF718604:JOF784138 JYB718604:JYB784138 KHX718604:KHX784138 KRT718604:KRT784138 LBP718604:LBP784138 LLL718604:LLL784138 LVH718604:LVH784138 MFD718604:MFD784138 MOZ718604:MOZ784138 MYV718604:MYV784138 NIR718604:NIR784138 NSN718604:NSN784138 OCJ718604:OCJ784138 OMF718604:OMF784138 OWB718604:OWB784138 PFX718604:PFX784138 PPT718604:PPT784138 PZP718604:PZP784138 QJL718604:QJL784138 QTH718604:QTH784138 RDD718604:RDD784138 RMZ718604:RMZ784138 RWV718604:RWV784138 SGR718604:SGR784138 SQN718604:SQN784138 TAJ718604:TAJ784138 TKF718604:TKF784138 TUB718604:TUB784138 UDX718604:UDX784138 UNT718604:UNT784138 UXP718604:UXP784138 VHL718604:VHL784138 VRH718604:VRH784138 WBD718604:WBD784138 WKZ718604:WKZ784138 WUV718604:WUV784138 R325389:R390923 IJ784140:IJ849674 SF784140:SF849674 ACB784140:ACB849674 ALX784140:ALX849674 AVT784140:AVT849674 BFP784140:BFP849674 BPL784140:BPL849674 BZH784140:BZH849674 CJD784140:CJD849674 CSZ784140:CSZ849674 DCV784140:DCV849674 DMR784140:DMR849674 DWN784140:DWN849674 EGJ784140:EGJ849674 EQF784140:EQF849674 FAB784140:FAB849674 FJX784140:FJX849674 FTT784140:FTT849674 GDP784140:GDP849674 GNL784140:GNL849674 GXH784140:GXH849674 HHD784140:HHD849674 HQZ784140:HQZ849674 IAV784140:IAV849674 IKR784140:IKR849674 IUN784140:IUN849674 JEJ784140:JEJ849674 JOF784140:JOF849674 JYB784140:JYB849674 KHX784140:KHX849674 KRT784140:KRT849674 LBP784140:LBP849674 LLL784140:LLL849674 LVH784140:LVH849674 MFD784140:MFD849674 MOZ784140:MOZ849674 MYV784140:MYV849674 NIR784140:NIR849674 NSN784140:NSN849674 OCJ784140:OCJ849674 OMF784140:OMF849674 OWB784140:OWB849674 PFX784140:PFX849674 PPT784140:PPT849674 PZP784140:PZP849674 QJL784140:QJL849674 QTH784140:QTH849674 RDD784140:RDD849674 RMZ784140:RMZ849674 RWV784140:RWV849674 SGR784140:SGR849674 SQN784140:SQN849674 TAJ784140:TAJ849674 TKF784140:TKF849674 TUB784140:TUB849674 UDX784140:UDX849674 UNT784140:UNT849674 UXP784140:UXP849674 VHL784140:VHL849674 VRH784140:VRH849674 WBD784140:WBD849674 WKZ784140:WKZ849674 WUV784140:WUV849674 R259853:R325387 IJ849676:IJ915210 SF849676:SF915210 ACB849676:ACB915210 ALX849676:ALX915210 AVT849676:AVT915210 BFP849676:BFP915210 BPL849676:BPL915210 BZH849676:BZH915210 CJD849676:CJD915210 CSZ849676:CSZ915210 DCV849676:DCV915210 DMR849676:DMR915210 DWN849676:DWN915210 EGJ849676:EGJ915210 EQF849676:EQF915210 FAB849676:FAB915210 FJX849676:FJX915210 FTT849676:FTT915210 GDP849676:GDP915210 GNL849676:GNL915210 GXH849676:GXH915210 HHD849676:HHD915210 HQZ849676:HQZ915210 IAV849676:IAV915210 IKR849676:IKR915210 IUN849676:IUN915210 JEJ849676:JEJ915210 JOF849676:JOF915210 JYB849676:JYB915210 KHX849676:KHX915210 KRT849676:KRT915210 LBP849676:LBP915210 LLL849676:LLL915210 LVH849676:LVH915210 MFD849676:MFD915210 MOZ849676:MOZ915210 MYV849676:MYV915210 NIR849676:NIR915210 NSN849676:NSN915210 OCJ849676:OCJ915210 OMF849676:OMF915210 OWB849676:OWB915210 PFX849676:PFX915210 PPT849676:PPT915210 PZP849676:PZP915210 QJL849676:QJL915210 QTH849676:QTH915210 RDD849676:RDD915210 RMZ849676:RMZ915210 RWV849676:RWV915210 SGR849676:SGR915210 SQN849676:SQN915210 TAJ849676:TAJ915210 TKF849676:TKF915210 TUB849676:TUB915210 UDX849676:UDX915210 UNT849676:UNT915210 UXP849676:UXP915210 VHL849676:VHL915210 VRH849676:VRH915210 WBD849676:WBD915210 WKZ849676:WKZ915210 WUV849676:WUV915210 R194317:R259851 IJ915212:IJ980746 SF915212:SF980746 ACB915212:ACB980746 ALX915212:ALX980746 AVT915212:AVT980746 BFP915212:BFP980746 BPL915212:BPL980746 BZH915212:BZH980746 CJD915212:CJD980746 CSZ915212:CSZ980746 DCV915212:DCV980746 DMR915212:DMR980746 DWN915212:DWN980746 EGJ915212:EGJ980746 EQF915212:EQF980746 FAB915212:FAB980746 FJX915212:FJX980746 FTT915212:FTT980746 GDP915212:GDP980746 GNL915212:GNL980746 GXH915212:GXH980746 HHD915212:HHD980746 HQZ915212:HQZ980746 IAV915212:IAV980746 IKR915212:IKR980746 IUN915212:IUN980746 JEJ915212:JEJ980746 JOF915212:JOF980746 JYB915212:JYB980746 KHX915212:KHX980746 KRT915212:KRT980746 LBP915212:LBP980746 LLL915212:LLL980746 LVH915212:LVH980746 MFD915212:MFD980746 MOZ915212:MOZ980746 MYV915212:MYV980746 NIR915212:NIR980746 NSN915212:NSN980746 OCJ915212:OCJ980746 OMF915212:OMF980746 OWB915212:OWB980746 PFX915212:PFX980746 PPT915212:PPT980746 PZP915212:PZP980746 QJL915212:QJL980746 QTH915212:QTH980746 RDD915212:RDD980746 RMZ915212:RMZ980746 RWV915212:RWV980746 SGR915212:SGR980746 SQN915212:SQN980746 TAJ915212:TAJ980746 TKF915212:TKF980746 TUB915212:TUB980746 UDX915212:UDX980746 UNT915212:UNT980746 UXP915212:UXP980746 VHL915212:VHL980746 VRH915212:VRH980746 WBD915212:WBD980746 WKZ915212:WKZ980746 WUV915212:WUV980746 R128781:R194315 IJ980748:IJ1048576 SF980748:SF1048576 ACB980748:ACB1048576 ALX980748:ALX1048576 AVT980748:AVT1048576 BFP980748:BFP1048576 BPL980748:BPL1048576 BZH980748:BZH1048576 CJD980748:CJD1048576 CSZ980748:CSZ1048576 DCV980748:DCV1048576 DMR980748:DMR1048576 DWN980748:DWN1048576 EGJ980748:EGJ1048576 EQF980748:EQF1048576 FAB980748:FAB1048576 FJX980748:FJX1048576 FTT980748:FTT1048576 GDP980748:GDP1048576 GNL980748:GNL1048576 GXH980748:GXH1048576 HHD980748:HHD1048576 HQZ980748:HQZ1048576 IAV980748:IAV1048576 IKR980748:IKR1048576 IUN980748:IUN1048576 JEJ980748:JEJ1048576 JOF980748:JOF1048576 JYB980748:JYB1048576 KHX980748:KHX1048576 KRT980748:KRT1048576 LBP980748:LBP1048576 LLL980748:LLL1048576 LVH980748:LVH1048576 MFD980748:MFD1048576 MOZ980748:MOZ1048576 MYV980748:MYV1048576 NIR980748:NIR1048576 NSN980748:NSN1048576 OCJ980748:OCJ1048576 OMF980748:OMF1048576 OWB980748:OWB1048576 PFX980748:PFX1048576 PPT980748:PPT1048576 PZP980748:PZP1048576 QJL980748:QJL1048576 QTH980748:QTH1048576 RDD980748:RDD1048576 RMZ980748:RMZ1048576 RWV980748:RWV1048576 SGR980748:SGR1048576 SQN980748:SQN1048576 TAJ980748:TAJ1048576 TKF980748:TKF1048576 TUB980748:TUB1048576 UDX980748:UDX1048576 UNT980748:UNT1048576 UXP980748:UXP1048576 VHL980748:VHL1048576 VRH980748:VRH1048576 WBD980748:WBD1048576 WKZ980748:WKZ1048576 WUV980748:WUV1048576 R455:R63243 R102:R106 BFP2:BFP63242 AVT2:AVT63242 PZP2:PZP63242 VHL2:VHL63242 QJL2:QJL63242 PPT2:PPT63242 ALX2:ALX63242 PFX2:PFX63242 VRH2:VRH63242 OWB2:OWB63242 UXP2:UXP63242 OMF2:OMF63242 IJ2:IJ63242 OCJ2:OCJ63242 NSN2:NSN63242 UNT2:UNT63242 NIR2:NIR63242 WUV2:WUV63242 MYV2:MYV63242 MOZ2:MOZ63242 UDX2:UDX63242 MFD2:MFD63242 LVH2:LVH63242 LLL2:LLL63242 TUB2:TUB63242 LBP2:LBP63242 SF2:SF63242 KRT2:KRT63242 KHX2:KHX63242 TKF2:TKF63242 JYB2:JYB63242 WKZ2:WKZ63242 JOF2:JOF63242 JEJ2:JEJ63242 TAJ2:TAJ63242 IUN2:IUN63242 IKR2:IKR63242 IAV2:IAV63242 SQN2:SQN63242 HQZ2:HQZ63242 HHD2:HHD63242 GXH2:GXH63242 SGR2:SGR63242 GNL2:GNL63242 WBD2:WBD63242 GDP2:GDP63242 FTT2:FTT63242 RWV2:RWV63242 FJX2:FJX63242 ACB2:ACB63242 FAB2:FAB63242 EQF2:EQF63242 RMZ2:RMZ63242 EGJ2:EGJ63242 DWN2:DWN63242 DMR2:DMR63242 RDD2:RDD63242 DCV2:DCV63242 CSZ2:CSZ63242 CJD2:CJD63242 QTH2:QTH63242 BZH2:BZH63242 BPL2:BPL63242</xm:sqref>
        </x14:dataValidation>
        <x14:dataValidation xr:uid="{00050024-00D7-4704-8224-0012006500BF}" type="list" allowBlank="1" errorStyle="stop" imeMode="noControl" operator="between" showDropDown="0" showErrorMessage="1" showInputMessage="1">
          <x14:formula1>
            <xm:f>"Ключ,Начало,Конец,-"</xm:f>
          </x14:formula1>
          <xm:sqref>R107:R454 R3:R101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5"/>
    <outlinePr applyStyles="0" summaryBelow="1" summaryRight="1" showOutlineSymbols="1"/>
    <pageSetUpPr autoPageBreaks="1" fitToPage="0"/>
  </sheetPr>
  <sheetViews>
    <sheetView showRuler="1" topLeftCell="A1" zoomScale="115" workbookViewId="0">
      <pane ySplit="2" topLeftCell="A3" activePane="bottomLeft" state="frozen"/>
      <selection activeCell="C114" activeCellId="0" sqref="C114"/>
    </sheetView>
  </sheetViews>
  <sheetFormatPr defaultColWidth="20.28515625" defaultRowHeight="15" customHeight="1" outlineLevelCol="1"/>
  <cols>
    <col customWidth="1" min="1" max="1" style="86" width="5.85546875"/>
    <col customWidth="1" min="2" max="2" style="87" width="31.140625"/>
    <col customWidth="1" min="3" max="3" style="87" width="31"/>
    <col customWidth="1" min="4" max="4" style="87" width="11"/>
    <col customWidth="1" min="5" max="5" style="87" width="8.140625"/>
    <col customWidth="1" min="6" max="6" style="86" width="8.42578125"/>
    <col customWidth="1" min="7" max="7" style="86" width="36.7109375"/>
    <col customWidth="1" min="8" max="8" style="86" width="15.42578125"/>
    <col customWidth="1" hidden="1" min="9" max="9" outlineLevel="1" style="86" width="32.42578125"/>
    <col customWidth="1" hidden="1" min="10" max="10" outlineLevel="1" style="86" width="24.7109375"/>
    <col collapsed="1" customWidth="1" min="11" max="11" style="86" width="32.7109375"/>
    <col min="12" max="16384" style="86" width="20.28515625"/>
  </cols>
  <sheetData>
    <row r="1" ht="15" customHeight="1">
      <c r="D1" s="88">
        <f>COLUMN()</f>
        <v>4</v>
      </c>
      <c r="E1" s="88">
        <f>COLUMN()</f>
        <v>5</v>
      </c>
      <c r="F1" s="88">
        <f>COLUMN()</f>
        <v>6</v>
      </c>
      <c r="G1" s="88">
        <f>COLUMN()</f>
        <v>7</v>
      </c>
      <c r="I1" s="89" t="s">
        <v>197</v>
      </c>
      <c r="J1" s="90"/>
      <c r="K1" s="91"/>
    </row>
    <row r="2" s="92" customFormat="1" ht="30" customHeight="1">
      <c r="A2" s="93" t="s">
        <v>198</v>
      </c>
      <c r="B2" s="93" t="s">
        <v>199</v>
      </c>
      <c r="C2" s="93" t="s">
        <v>200</v>
      </c>
      <c r="D2" s="93" t="s">
        <v>201</v>
      </c>
      <c r="E2" s="93" t="s">
        <v>202</v>
      </c>
      <c r="F2" s="93" t="s">
        <v>13</v>
      </c>
      <c r="G2" s="93" t="s">
        <v>203</v>
      </c>
      <c r="H2" s="94" t="s">
        <v>204</v>
      </c>
      <c r="I2" s="93" t="s">
        <v>198</v>
      </c>
      <c r="J2" s="93" t="s">
        <v>201</v>
      </c>
      <c r="K2" s="93" t="s">
        <v>205</v>
      </c>
    </row>
    <row r="3" s="95" customFormat="1" ht="15" customHeight="1">
      <c r="A3" s="96" t="str">
        <f>source_columns[[#This Row],[Название таблицы STAGE]]&amp;source_columns[[#This Row],[Название поля]]</f>
        <v>b3060000410001_registerObjectID</v>
      </c>
      <c r="B3" s="96" t="s">
        <v>67</v>
      </c>
      <c r="C3" s="96" t="s">
        <v>114</v>
      </c>
      <c r="D3" s="96" t="s">
        <v>206</v>
      </c>
      <c r="E3" s="96" t="s">
        <v>207</v>
      </c>
      <c r="F3" s="96" t="s">
        <v>208</v>
      </c>
      <c r="G3" s="96" t="s">
        <v>209</v>
      </c>
      <c r="H3" s="96" t="s">
        <v>210</v>
      </c>
      <c r="I3" s="96"/>
      <c r="J3" s="96"/>
      <c r="K3" s="97" t="str">
        <f>IF(I3="","",IF(ISNA(VLOOKUP(I3,$A$3:$D$117,4,FALSE)),"Ошибка. Seek не найден",IF(VLOOKUP(I3,$A$3:$D$117,4,FALSE)=J3,"ОК","Ошибка. Тип данных в S2T: "&amp;VLOOKUP(I3,$A$3:$D$117,4,FALSE))))</f>
        <v/>
      </c>
    </row>
    <row r="4" ht="15" customHeight="1">
      <c r="A4" s="96" t="str">
        <f>source_columns[[#This Row],[Название таблицы STAGE]]&amp;source_columns[[#This Row],[Название поля]]</f>
        <v>b3060000410001_registerbeginDate</v>
      </c>
      <c r="B4" s="96" t="s">
        <v>67</v>
      </c>
      <c r="C4" s="96" t="s">
        <v>211</v>
      </c>
      <c r="D4" s="96" t="s">
        <v>212</v>
      </c>
      <c r="E4" s="96" t="s">
        <v>213</v>
      </c>
      <c r="F4" s="96" t="s">
        <v>214</v>
      </c>
      <c r="G4" s="96" t="s">
        <v>215</v>
      </c>
      <c r="H4" s="96"/>
      <c r="I4" s="96"/>
      <c r="J4" s="96"/>
      <c r="K4" s="97" t="str">
        <f>IF(I4="","",IF(ISNA(VLOOKUP(I4,$A$3:$D$117,4,FALSE)),"Ошибка. Seek не найден",IF(VLOOKUP(I4,$A$3:$D$117,4,FALSE)=J4,"ОК","Ошибка. Тип данных в S2T: "&amp;VLOOKUP(I4,$A$3:$D$117,4,FALSE))))</f>
        <v/>
      </c>
    </row>
    <row r="5" ht="15" customHeight="1">
      <c r="A5" s="96" t="str">
        <f>source_columns[[#This Row],[Название таблицы STAGE]]&amp;source_columns[[#This Row],[Название поля]]</f>
        <v>b3060000410001_registerendDate</v>
      </c>
      <c r="B5" s="96" t="s">
        <v>67</v>
      </c>
      <c r="C5" s="96" t="s">
        <v>216</v>
      </c>
      <c r="D5" s="96" t="s">
        <v>212</v>
      </c>
      <c r="E5" s="96" t="s">
        <v>213</v>
      </c>
      <c r="F5" s="96" t="s">
        <v>214</v>
      </c>
      <c r="G5" s="96" t="s">
        <v>217</v>
      </c>
      <c r="H5" s="96"/>
      <c r="I5" s="96"/>
      <c r="J5" s="96"/>
      <c r="K5" s="97" t="str">
        <f>IF(I5="","",IF(ISNA(VLOOKUP(I5,$A$3:$D$117,4,FALSE)),"Ошибка. Seek не найден",IF(VLOOKUP(I5,$A$3:$D$117,4,FALSE)=J5,"ОК","Ошибка. Тип данных в S2T: "&amp;VLOOKUP(I5,$A$3:$D$117,4,FALSE))))</f>
        <v/>
      </c>
    </row>
    <row r="6" ht="15" customHeight="1">
      <c r="A6" s="96" t="str">
        <f>source_columns[[#This Row],[Название таблицы STAGE]]&amp;source_columns[[#This Row],[Название поля]]</f>
        <v>b3060000410001_registercurrency_short_foreign_key_uid</v>
      </c>
      <c r="B6" s="96" t="s">
        <v>67</v>
      </c>
      <c r="C6" s="96" t="s">
        <v>41</v>
      </c>
      <c r="D6" s="96" t="s">
        <v>218</v>
      </c>
      <c r="E6" s="96" t="s">
        <v>213</v>
      </c>
      <c r="F6" s="96" t="s">
        <v>214</v>
      </c>
      <c r="G6" s="96" t="s">
        <v>219</v>
      </c>
      <c r="H6" s="96"/>
      <c r="I6" s="96"/>
      <c r="J6" s="96"/>
      <c r="K6" s="97" t="str">
        <f>IF(I6="","",IF(ISNA(VLOOKUP(I6,$A$3:$D$117,4,FALSE)),"Ошибка. Seek не найден",IF(VLOOKUP(I6,$A$3:$D$117,4,FALSE)=J6,"ОК","Ошибка. Тип данных в S2T: "&amp;VLOOKUP(I6,$A$3:$D$117,4,FALSE))))</f>
        <v/>
      </c>
    </row>
    <row r="7" ht="15" customHeight="1">
      <c r="A7" s="96" t="str">
        <f>source_columns[[#This Row],[Название таблицы STAGE]]&amp;source_columns[[#This Row],[Название поля]]</f>
        <v>b3060000410001_registercurrency_short_foreign_key</v>
      </c>
      <c r="B7" s="96" t="s">
        <v>67</v>
      </c>
      <c r="C7" s="96" t="s">
        <v>220</v>
      </c>
      <c r="D7" s="96" t="s">
        <v>221</v>
      </c>
      <c r="E7" s="96" t="s">
        <v>213</v>
      </c>
      <c r="F7" s="96" t="s">
        <v>214</v>
      </c>
      <c r="G7" s="96" t="s">
        <v>219</v>
      </c>
      <c r="H7" s="96"/>
      <c r="I7" s="96"/>
      <c r="J7" s="96"/>
      <c r="K7" s="97" t="str">
        <f>IF(I7="","",IF(ISNA(VLOOKUP(I7,$A$3:$D$117,4,FALSE)),"Ошибка. Seek не найден",IF(VLOOKUP(I7,$A$3:$D$117,4,FALSE)=J7,"ОК","Ошибка. Тип данных в S2T: "&amp;VLOOKUP(I7,$A$3:$D$117,4,FALSE))))</f>
        <v/>
      </c>
    </row>
    <row r="8" ht="15" customHeight="1">
      <c r="A8" s="96" t="str">
        <f>source_columns[[#This Row],[Название таблицы STAGE]]&amp;source_columns[[#This Row],[Название поля]]</f>
        <v>b3060000410001_registernumber</v>
      </c>
      <c r="B8" s="96" t="s">
        <v>67</v>
      </c>
      <c r="C8" s="96" t="s">
        <v>74</v>
      </c>
      <c r="D8" s="96" t="s">
        <v>221</v>
      </c>
      <c r="E8" s="96" t="s">
        <v>213</v>
      </c>
      <c r="F8" s="96" t="s">
        <v>214</v>
      </c>
      <c r="G8" s="96" t="s">
        <v>222</v>
      </c>
      <c r="H8" s="96"/>
      <c r="I8" s="96"/>
      <c r="J8" s="96"/>
      <c r="K8" s="97" t="str">
        <f>IF(I8="","",IF(ISNA(VLOOKUP(I8,$A$3:$D$117,4,FALSE)),"Ошибка. Seek не найден",IF(VLOOKUP(I8,$A$3:$D$117,4,FALSE)=J8,"ОК","Ошибка. Тип данных в S2T: "&amp;VLOOKUP(I8,$A$3:$D$117,4,FALSE))))</f>
        <v/>
      </c>
    </row>
    <row r="9" ht="15" customHeight="1">
      <c r="A9" s="96" t="str">
        <f>source_columns[[#This Row],[Название таблицы STAGE]]&amp;source_columns[[#This Row],[Название поля]]</f>
        <v>b3060000410001_registerObjectID_uid</v>
      </c>
      <c r="B9" s="96" t="s">
        <v>67</v>
      </c>
      <c r="C9" s="96" t="s">
        <v>45</v>
      </c>
      <c r="D9" s="96" t="s">
        <v>218</v>
      </c>
      <c r="E9" s="96" t="s">
        <v>213</v>
      </c>
      <c r="F9" s="96" t="s">
        <v>214</v>
      </c>
      <c r="G9" s="96"/>
      <c r="H9" s="96"/>
      <c r="I9" s="96"/>
      <c r="J9" s="96"/>
      <c r="K9" s="97" t="str">
        <f>IF(I9="","",IF(ISNA(VLOOKUP(I9,$A$3:$D$117,4,FALSE)),"Ошибка. Seek не найден",IF(VLOOKUP(I9,$A$3:$D$117,4,FALSE)=J9,"ОК","Ошибка. Тип данных в S2T: "&amp;VLOOKUP(I9,$A$3:$D$117,4,FALSE))))</f>
        <v/>
      </c>
    </row>
    <row r="10" ht="15" customHeight="1">
      <c r="A10" s="96" t="str">
        <f>source_columns[[#This Row],[Название таблицы STAGE]]&amp;source_columns[[#This Row],[Название поля]]</f>
        <v>b3060000410001_registerproduct_short_foreign_key</v>
      </c>
      <c r="B10" s="96" t="s">
        <v>67</v>
      </c>
      <c r="C10" s="96" t="s">
        <v>223</v>
      </c>
      <c r="D10" s="96" t="s">
        <v>206</v>
      </c>
      <c r="E10" s="96" t="s">
        <v>213</v>
      </c>
      <c r="F10" s="96" t="s">
        <v>214</v>
      </c>
      <c r="G10" s="96" t="s">
        <v>224</v>
      </c>
      <c r="H10" s="96"/>
      <c r="I10" s="96"/>
      <c r="J10" s="96"/>
      <c r="K10" s="97" t="str">
        <f>IF(I10="","",IF(ISNA(VLOOKUP(I10,$A$3:$D$117,4,FALSE)),"Ошибка. Seek не найден",IF(VLOOKUP(I10,$A$3:$D$117,4,FALSE)=J10,"ОК","Ошибка. Тип данных в S2T: "&amp;VLOOKUP(I10,$A$3:$D$117,4,FALSE))))</f>
        <v/>
      </c>
    </row>
    <row r="11" ht="15" customHeight="1">
      <c r="A11" s="96" t="str">
        <f>source_columns[[#This Row],[Название таблицы STAGE]]&amp;source_columns[[#This Row],[Название поля]]</f>
        <v>b3060000410001_registerproduct_short_foreign_key_uid</v>
      </c>
      <c r="B11" s="96" t="s">
        <v>67</v>
      </c>
      <c r="C11" s="96" t="s">
        <v>72</v>
      </c>
      <c r="D11" s="96" t="s">
        <v>218</v>
      </c>
      <c r="E11" s="96" t="s">
        <v>213</v>
      </c>
      <c r="F11" s="96" t="s">
        <v>214</v>
      </c>
      <c r="G11" s="96" t="s">
        <v>224</v>
      </c>
      <c r="H11" s="96"/>
      <c r="I11" s="96"/>
      <c r="J11" s="96"/>
      <c r="K11" s="97" t="str">
        <f>IF(I11="","",IF(ISNA(VLOOKUP(I11,$A$3:$D$117,4,FALSE)),"Ошибка. Seek не найден",IF(VLOOKUP(I11,$A$3:$D$117,4,FALSE)=J11,"ОК","Ошибка. Тип данных в S2T: "&amp;VLOOKUP(I11,$A$3:$D$117,4,FALSE))))</f>
        <v/>
      </c>
    </row>
    <row r="12" ht="15" customHeight="1">
      <c r="A12" s="96" t="str">
        <f>source_columns[[#This Row],[Название таблицы STAGE]]&amp;source_columns[[#This Row],[Название поля]]</f>
        <v>b3060000410001_registerregisterType_short_foreign_key</v>
      </c>
      <c r="B12" s="96" t="s">
        <v>67</v>
      </c>
      <c r="C12" s="96" t="s">
        <v>225</v>
      </c>
      <c r="D12" s="96" t="s">
        <v>221</v>
      </c>
      <c r="E12" s="96" t="s">
        <v>213</v>
      </c>
      <c r="F12" s="96" t="s">
        <v>214</v>
      </c>
      <c r="G12" s="96" t="s">
        <v>226</v>
      </c>
      <c r="H12" s="96"/>
      <c r="I12" s="96"/>
      <c r="J12" s="96"/>
      <c r="K12" s="97" t="str">
        <f>IF(I12="","",IF(ISNA(VLOOKUP(I12,$A$3:$D$117,4,FALSE)),"Ошибка. Seek не найден",IF(VLOOKUP(I12,$A$3:$D$117,4,FALSE)=J12,"ОК","Ошибка. Тип данных в S2T: "&amp;VLOOKUP(I12,$A$3:$D$117,4,FALSE))))</f>
        <v/>
      </c>
    </row>
    <row r="13" ht="15" customHeight="1">
      <c r="A13" s="96" t="str">
        <f>source_columns[[#This Row],[Название таблицы STAGE]]&amp;source_columns[[#This Row],[Название поля]]</f>
        <v>b3060000410001_registerstatus_short_foreign_key_uid</v>
      </c>
      <c r="B13" s="96" t="s">
        <v>67</v>
      </c>
      <c r="C13" s="96" t="s">
        <v>81</v>
      </c>
      <c r="D13" s="96" t="s">
        <v>218</v>
      </c>
      <c r="E13" s="96" t="s">
        <v>213</v>
      </c>
      <c r="F13" s="96" t="s">
        <v>214</v>
      </c>
      <c r="G13" s="96" t="s">
        <v>227</v>
      </c>
      <c r="H13" s="96"/>
      <c r="I13" s="96"/>
      <c r="J13" s="96"/>
      <c r="K13" s="96"/>
    </row>
    <row r="14" ht="15" customHeight="1">
      <c r="A14" s="96" t="str">
        <f>source_columns[[#This Row],[Название таблицы STAGE]]&amp;source_columns[[#This Row],[Название поля]]</f>
        <v>b3060000410001_registerregisterType_short_foreign_key_uid</v>
      </c>
      <c r="B14" s="96" t="s">
        <v>67</v>
      </c>
      <c r="C14" s="96" t="s">
        <v>78</v>
      </c>
      <c r="D14" s="96" t="s">
        <v>218</v>
      </c>
      <c r="E14" s="96" t="s">
        <v>213</v>
      </c>
      <c r="F14" s="96" t="s">
        <v>214</v>
      </c>
      <c r="G14" s="96" t="s">
        <v>226</v>
      </c>
      <c r="H14" s="96"/>
      <c r="I14" s="96"/>
      <c r="J14" s="96"/>
      <c r="K14" s="97" t="str">
        <f>IF(I14="","",IF(ISNA(VLOOKUP(I14,$A$3:$D$117,4,FALSE)),"Ошибка. Seek не найден",IF(VLOOKUP(I14,$A$3:$D$117,4,FALSE)=J14,"ОК","Ошибка. Тип данных в S2T: "&amp;VLOOKUP(I14,$A$3:$D$117,4,FALSE))))</f>
        <v/>
      </c>
    </row>
    <row r="15" ht="15" customHeight="1">
      <c r="A15" s="96" t="str">
        <f>source_columns[[#This Row],[Название таблицы STAGE]]&amp;source_columns[[#This Row],[Название поля]]</f>
        <v>b3060000410001_registerstatus_short_foreign_key</v>
      </c>
      <c r="B15" s="96" t="s">
        <v>67</v>
      </c>
      <c r="C15" s="96" t="s">
        <v>228</v>
      </c>
      <c r="D15" s="96" t="s">
        <v>221</v>
      </c>
      <c r="E15" s="96" t="s">
        <v>213</v>
      </c>
      <c r="F15" s="96" t="s">
        <v>214</v>
      </c>
      <c r="G15" s="96" t="s">
        <v>227</v>
      </c>
      <c r="H15" s="96"/>
      <c r="I15" s="96"/>
      <c r="J15" s="96"/>
      <c r="K15" s="96"/>
    </row>
    <row r="16" ht="15" customHeight="1">
      <c r="A16" s="96" t="str">
        <f>source_columns[[#This Row],[Название таблицы STAGE]]&amp;source_columns[[#This Row],[Название поля]]</f>
        <v>b3060000410002_createrkoextObjectID</v>
      </c>
      <c r="B16" s="96" t="s">
        <v>89</v>
      </c>
      <c r="C16" s="96" t="s">
        <v>114</v>
      </c>
      <c r="D16" s="96" t="s">
        <v>206</v>
      </c>
      <c r="E16" s="96" t="s">
        <v>207</v>
      </c>
      <c r="F16" s="96" t="s">
        <v>208</v>
      </c>
      <c r="G16" s="96" t="s">
        <v>209</v>
      </c>
      <c r="H16" s="96" t="s">
        <v>229</v>
      </c>
      <c r="I16" s="96"/>
      <c r="J16" s="96"/>
      <c r="K16" s="96"/>
    </row>
    <row r="17" ht="15" customHeight="1">
      <c r="A17" s="96" t="str">
        <f>source_columns[[#This Row],[Название таблицы STAGE]]&amp;source_columns[[#This Row],[Название поля]]</f>
        <v>b3060000410002_createrkoexterrCode</v>
      </c>
      <c r="B17" s="96" t="s">
        <v>89</v>
      </c>
      <c r="C17" s="96" t="s">
        <v>230</v>
      </c>
      <c r="D17" s="96" t="s">
        <v>221</v>
      </c>
      <c r="E17" s="96" t="s">
        <v>213</v>
      </c>
      <c r="F17" s="96" t="s">
        <v>214</v>
      </c>
      <c r="G17" s="96" t="s">
        <v>231</v>
      </c>
      <c r="H17" s="96"/>
      <c r="I17" s="96"/>
      <c r="J17" s="96"/>
      <c r="K17" s="97" t="str">
        <f>IF(I17="","",IF(ISNA(VLOOKUP(I17,$A$3:$D$117,4,FALSE)),"Ошибка. Seek не найден",IF(VLOOKUP(I17,$A$3:$D$117,4,FALSE)=J17,"ОК","Ошибка. Тип данных в S2T: "&amp;VLOOKUP(I17,$A$3:$D$117,4,FALSE))))</f>
        <v/>
      </c>
    </row>
    <row r="18" ht="15" customHeight="1">
      <c r="A18" s="96" t="str">
        <f>source_columns[[#This Row],[Название таблицы STAGE]]&amp;source_columns[[#This Row],[Название поля]]</f>
        <v>b3060000410002_createrkoextchannel</v>
      </c>
      <c r="B18" s="96" t="s">
        <v>89</v>
      </c>
      <c r="C18" s="96" t="s">
        <v>165</v>
      </c>
      <c r="D18" s="96" t="s">
        <v>221</v>
      </c>
      <c r="E18" s="96" t="s">
        <v>213</v>
      </c>
      <c r="F18" s="96" t="s">
        <v>214</v>
      </c>
      <c r="G18" s="96" t="s">
        <v>232</v>
      </c>
      <c r="H18" s="96"/>
      <c r="I18" s="96"/>
      <c r="J18" s="96"/>
      <c r="K18" s="97" t="str">
        <f>IF(I18="","",IF(ISNA(VLOOKUP(I18,$A$3:$D$117,4,FALSE)),"Ошибка. Seek не найден",IF(VLOOKUP(I18,$A$3:$D$117,4,FALSE)=J18,"ОК","Ошибка. Тип данных в S2T: "&amp;VLOOKUP(I18,$A$3:$D$117,4,FALSE))))</f>
        <v/>
      </c>
    </row>
    <row r="19" ht="15" customHeight="1">
      <c r="A19" s="96" t="str">
        <f>source_columns[[#This Row],[Название таблицы STAGE]]&amp;source_columns[[#This Row],[Название поля]]</f>
        <v>b3060000410002_createrkoextchannel_uid</v>
      </c>
      <c r="B19" s="96" t="s">
        <v>89</v>
      </c>
      <c r="C19" s="96" t="s">
        <v>104</v>
      </c>
      <c r="D19" s="96" t="s">
        <v>218</v>
      </c>
      <c r="E19" s="96" t="s">
        <v>213</v>
      </c>
      <c r="F19" s="96" t="s">
        <v>214</v>
      </c>
      <c r="G19" s="96" t="s">
        <v>232</v>
      </c>
      <c r="H19" s="96"/>
      <c r="I19" s="96"/>
      <c r="J19" s="96"/>
      <c r="K19" s="97" t="str">
        <f>IF(I19="","",IF(ISNA(VLOOKUP(I19,$A$3:$D$117,4,FALSE)),"Ошибка. Seek не найден",IF(VLOOKUP(I19,$A$3:$D$117,4,FALSE)=J19,"ОК","Ошибка. Тип данных в S2T: "&amp;VLOOKUP(I19,$A$3:$D$117,4,FALSE))))</f>
        <v/>
      </c>
    </row>
    <row r="20" ht="15" customHeight="1">
      <c r="A20" s="96" t="str">
        <f>source_columns[[#This Row],[Название таблицы STAGE]]&amp;source_columns[[#This Row],[Название поля]]</f>
        <v>b3060000410002_createrkoextcreatedProduct_entityId</v>
      </c>
      <c r="B20" s="96" t="s">
        <v>89</v>
      </c>
      <c r="C20" s="96" t="s">
        <v>233</v>
      </c>
      <c r="D20" s="96" t="s">
        <v>206</v>
      </c>
      <c r="E20" s="96" t="s">
        <v>213</v>
      </c>
      <c r="F20" s="96" t="s">
        <v>214</v>
      </c>
      <c r="G20" s="96" t="s">
        <v>224</v>
      </c>
      <c r="H20" s="96"/>
      <c r="I20" s="96"/>
      <c r="J20" s="96"/>
      <c r="K20" s="97" t="str">
        <f>IF(I20="","",IF(ISNA(VLOOKUP(I20,$A$3:$D$117,4,FALSE)),"Ошибка. Seek не найден",IF(VLOOKUP(I20,$A$3:$D$117,4,FALSE)=J20,"ОК","Ошибка. Тип данных в S2T: "&amp;VLOOKUP(I20,$A$3:$D$117,4,FALSE))))</f>
        <v/>
      </c>
    </row>
    <row r="21" ht="15" customHeight="1">
      <c r="A21" s="96" t="str">
        <f>source_columns[[#This Row],[Название таблицы STAGE]]&amp;source_columns[[#This Row],[Название поля]]</f>
        <v>b3060000410002_createrkoextoperationType_uid</v>
      </c>
      <c r="B21" s="96" t="s">
        <v>89</v>
      </c>
      <c r="C21" s="96" t="s">
        <v>92</v>
      </c>
      <c r="D21" s="96" t="s">
        <v>218</v>
      </c>
      <c r="E21" s="96" t="s">
        <v>213</v>
      </c>
      <c r="F21" s="96" t="s">
        <v>214</v>
      </c>
      <c r="G21" s="96" t="s">
        <v>234</v>
      </c>
      <c r="H21" s="96"/>
      <c r="I21" s="96"/>
      <c r="J21" s="96"/>
      <c r="K21" s="97" t="str">
        <f>IF(I21="","",IF(ISNA(VLOOKUP(I21,$A$3:$D$117,4,FALSE)),"Ошибка. Seek не найден",IF(VLOOKUP(I21,$A$3:$D$117,4,FALSE)=J21,"ОК","Ошибка. Тип данных в S2T: "&amp;VLOOKUP(I21,$A$3:$D$117,4,FALSE))))</f>
        <v/>
      </c>
    </row>
    <row r="22" ht="15" customHeight="1">
      <c r="A22" s="96" t="str">
        <f>source_columns[[#This Row],[Название таблицы STAGE]]&amp;source_columns[[#This Row],[Название поля]]</f>
        <v>b3060000410002_createrkoextrqtm</v>
      </c>
      <c r="B22" s="96" t="s">
        <v>89</v>
      </c>
      <c r="C22" s="96" t="s">
        <v>109</v>
      </c>
      <c r="D22" s="96" t="s">
        <v>212</v>
      </c>
      <c r="E22" s="96" t="s">
        <v>213</v>
      </c>
      <c r="F22" s="96" t="s">
        <v>214</v>
      </c>
      <c r="G22" s="96" t="s">
        <v>235</v>
      </c>
      <c r="H22" s="96"/>
      <c r="I22" s="96"/>
      <c r="J22" s="96"/>
      <c r="K22" s="97" t="str">
        <f>IF(I22="","",IF(ISNA(VLOOKUP(I22,$A$3:$D$117,4,FALSE)),"Ошибка. Seek не найден",IF(VLOOKUP(I22,$A$3:$D$117,4,FALSE)=J22,"ОК","Ошибка. Тип данных в S2T: "&amp;VLOOKUP(I22,$A$3:$D$117,4,FALSE))))</f>
        <v/>
      </c>
    </row>
    <row r="23" ht="15" customHeight="1">
      <c r="A23" s="96" t="str">
        <f>source_columns[[#This Row],[Название таблицы STAGE]]&amp;source_columns[[#This Row],[Название поля]]</f>
        <v>b3060000410002_createrkoextstatusForRko_short_foreign_key</v>
      </c>
      <c r="B23" s="96" t="s">
        <v>89</v>
      </c>
      <c r="C23" s="98" t="s">
        <v>236</v>
      </c>
      <c r="D23" s="96" t="s">
        <v>206</v>
      </c>
      <c r="E23" s="96" t="s">
        <v>213</v>
      </c>
      <c r="F23" s="96" t="s">
        <v>214</v>
      </c>
      <c r="G23" s="96" t="s">
        <v>237</v>
      </c>
      <c r="H23" s="96"/>
      <c r="I23" s="96"/>
      <c r="J23" s="96"/>
      <c r="K23" s="97" t="str">
        <f>IF(I23="","",IF(ISNA(VLOOKUP(I23,$A$3:$D$117,4,FALSE)),"Ошибка. Seek не найден",IF(VLOOKUP(I23,$A$3:$D$117,4,FALSE)=J23,"ОК","Ошибка. Тип данных в S2T: "&amp;VLOOKUP(I23,$A$3:$D$117,4,FALSE))))</f>
        <v/>
      </c>
    </row>
    <row r="24" ht="15" customHeight="1">
      <c r="A24" s="96" t="str">
        <f>source_columns[[#This Row],[Название таблицы STAGE]]&amp;source_columns[[#This Row],[Название поля]]</f>
        <v>b3060000410002_createrkoextstatusForRko_short_foreign_key_uid</v>
      </c>
      <c r="B24" s="96" t="s">
        <v>89</v>
      </c>
      <c r="C24" s="98" t="s">
        <v>117</v>
      </c>
      <c r="D24" s="96" t="s">
        <v>218</v>
      </c>
      <c r="E24" s="96" t="s">
        <v>213</v>
      </c>
      <c r="F24" s="96" t="s">
        <v>214</v>
      </c>
      <c r="G24" s="96" t="s">
        <v>237</v>
      </c>
      <c r="H24" s="96"/>
      <c r="I24" s="96"/>
      <c r="J24" s="96"/>
      <c r="K24" s="97" t="str">
        <f>IF(I24="","",IF(ISNA(VLOOKUP(I24,$A$3:$D$117,4,FALSE)),"Ошибка. Seek не найден",IF(VLOOKUP(I24,$A$3:$D$117,4,FALSE)=J24,"ОК","Ошибка. Тип данных в S2T: "&amp;VLOOKUP(I24,$A$3:$D$117,4,FALSE))))</f>
        <v/>
      </c>
    </row>
    <row r="25" ht="15" customHeight="1">
      <c r="A25" s="96" t="str">
        <f>source_columns[[#This Row],[Название таблицы STAGE]]&amp;source_columns[[#This Row],[Название поля]]</f>
        <v>b3060000410002_createrkoextoperationType</v>
      </c>
      <c r="B25" s="96" t="s">
        <v>89</v>
      </c>
      <c r="C25" s="96" t="s">
        <v>155</v>
      </c>
      <c r="D25" s="96" t="s">
        <v>221</v>
      </c>
      <c r="E25" s="96" t="s">
        <v>213</v>
      </c>
      <c r="F25" s="96" t="s">
        <v>214</v>
      </c>
      <c r="G25" s="96" t="s">
        <v>234</v>
      </c>
      <c r="H25" s="96"/>
      <c r="I25" s="96"/>
      <c r="J25" s="96"/>
      <c r="K25" s="97" t="str">
        <f>IF(I25="","",IF(ISNA(VLOOKUP(I25,$A$3:$D$117,4,FALSE)),"Ошибка. Seek не найден",IF(VLOOKUP(I25,$A$3:$D$117,4,FALSE)=J25,"ОК","Ошибка. Тип данных в S2T: "&amp;VLOOKUP(I25,$A$3:$D$117,4,FALSE))))</f>
        <v/>
      </c>
    </row>
    <row r="26" ht="15" customHeight="1">
      <c r="A26" s="96" t="str">
        <f>source_columns[[#This Row],[Название таблицы STAGE]]&amp;source_columns[[#This Row],[Название поля]]</f>
        <v>b3060000410002_createrkoextspName_uid</v>
      </c>
      <c r="B26" s="96" t="s">
        <v>89</v>
      </c>
      <c r="C26" s="96" t="s">
        <v>94</v>
      </c>
      <c r="D26" s="96" t="s">
        <v>218</v>
      </c>
      <c r="E26" s="96" t="s">
        <v>213</v>
      </c>
      <c r="F26" s="96" t="s">
        <v>214</v>
      </c>
      <c r="G26" s="96" t="s">
        <v>238</v>
      </c>
      <c r="H26" s="96"/>
      <c r="I26" s="96"/>
      <c r="J26" s="96"/>
      <c r="K26" s="97" t="str">
        <f>IF(I26="","",IF(ISNA(VLOOKUP(I26,$A$3:$D$117,4,FALSE)),"Ошибка. Seek не найден",IF(VLOOKUP(I26,$A$3:$D$117,4,FALSE)=J26,"ОК","Ошибка. Тип данных в S2T: "&amp;VLOOKUP(I26,$A$3:$D$117,4,FALSE))))</f>
        <v/>
      </c>
    </row>
    <row r="27" ht="15" customHeight="1">
      <c r="A27" s="96" t="str">
        <f>source_columns[[#This Row],[Название таблицы STAGE]]&amp;source_columns[[#This Row],[Название поля]]</f>
        <v>b3060000410002_createrkoextspName</v>
      </c>
      <c r="B27" s="96" t="s">
        <v>89</v>
      </c>
      <c r="C27" s="96" t="s">
        <v>160</v>
      </c>
      <c r="D27" s="96" t="s">
        <v>221</v>
      </c>
      <c r="E27" s="96" t="s">
        <v>213</v>
      </c>
      <c r="F27" s="96" t="s">
        <v>214</v>
      </c>
      <c r="G27" s="96" t="s">
        <v>238</v>
      </c>
      <c r="H27" s="96"/>
      <c r="I27" s="96"/>
      <c r="J27" s="96"/>
      <c r="K27" s="97" t="str">
        <f>IF(I27="","",IF(ISNA(VLOOKUP(I27,$A$3:$D$117,4,FALSE)),"Ошибка. Seek не найден",IF(VLOOKUP(I27,$A$3:$D$117,4,FALSE)=J27,"ОК","Ошибка. Тип данных в S2T: "&amp;VLOOKUP(I27,$A$3:$D$117,4,FALSE))))</f>
        <v/>
      </c>
    </row>
    <row r="28" ht="15" customHeight="1">
      <c r="A28" s="96" t="str">
        <f>source_columns[[#This Row],[Название таблицы STAGE]]&amp;source_columns[[#This Row],[Название поля]]</f>
        <v>b3060000410002_createrkoextObjectID_uid</v>
      </c>
      <c r="B28" s="96" t="s">
        <v>89</v>
      </c>
      <c r="C28" s="96" t="s">
        <v>45</v>
      </c>
      <c r="D28" s="96" t="s">
        <v>218</v>
      </c>
      <c r="E28" s="96" t="s">
        <v>213</v>
      </c>
      <c r="F28" s="96" t="s">
        <v>214</v>
      </c>
      <c r="G28" s="96"/>
      <c r="H28" s="96"/>
      <c r="I28" s="96"/>
      <c r="J28" s="96"/>
      <c r="K28" s="96"/>
    </row>
    <row r="29" ht="15" customHeight="1">
      <c r="A29" s="96" t="str">
        <f>source_columns[[#This Row],[Название таблицы STAGE]]&amp;source_columns[[#This Row],[Название поля]]</f>
        <v>b3060000410003_partyObjectID</v>
      </c>
      <c r="B29" s="96" t="s">
        <v>111</v>
      </c>
      <c r="C29" s="96" t="s">
        <v>114</v>
      </c>
      <c r="D29" s="96" t="s">
        <v>206</v>
      </c>
      <c r="E29" s="96" t="s">
        <v>207</v>
      </c>
      <c r="F29" s="96" t="s">
        <v>208</v>
      </c>
      <c r="G29" s="96" t="s">
        <v>209</v>
      </c>
      <c r="H29" s="96" t="s">
        <v>239</v>
      </c>
      <c r="I29" s="96"/>
      <c r="J29" s="96"/>
      <c r="K29" s="96"/>
    </row>
    <row r="30" ht="15" customHeight="1">
      <c r="A30" s="96" t="str">
        <f>source_columns[[#This Row],[Название таблицы STAGE]]&amp;source_columns[[#This Row],[Название поля]]</f>
        <v>b3060000410003_partyepkID</v>
      </c>
      <c r="B30" s="96" t="s">
        <v>111</v>
      </c>
      <c r="C30" s="96" t="s">
        <v>240</v>
      </c>
      <c r="D30" s="96" t="s">
        <v>206</v>
      </c>
      <c r="E30" s="96" t="s">
        <v>213</v>
      </c>
      <c r="F30" s="96" t="s">
        <v>214</v>
      </c>
      <c r="G30" s="96" t="s">
        <v>241</v>
      </c>
      <c r="H30" s="96"/>
      <c r="I30" s="96"/>
      <c r="J30" s="96"/>
      <c r="K30" s="97" t="str">
        <f>IF(I30="","",IF(ISNA(VLOOKUP(I30,$A$3:$D$117,4,FALSE)),"Ошибка. Seek не найден",IF(VLOOKUP(I30,$A$3:$D$117,4,FALSE)=J30,"ОК","Ошибка. Тип данных в S2T: "&amp;VLOOKUP(I30,$A$3:$D$117,4,FALSE))))</f>
        <v/>
      </c>
    </row>
    <row r="31" ht="15" customHeight="1">
      <c r="A31" s="96" t="str">
        <f>source_columns[[#This Row],[Название таблицы STAGE]]&amp;source_columns[[#This Row],[Название поля]]</f>
        <v>b3060000410003_partyepkID_uuid</v>
      </c>
      <c r="B31" s="96" t="s">
        <v>111</v>
      </c>
      <c r="C31" s="96" t="s">
        <v>112</v>
      </c>
      <c r="D31" s="96" t="s">
        <v>218</v>
      </c>
      <c r="E31" s="96" t="s">
        <v>213</v>
      </c>
      <c r="F31" s="96" t="s">
        <v>214</v>
      </c>
      <c r="G31" s="96" t="s">
        <v>241</v>
      </c>
      <c r="H31" s="96"/>
      <c r="I31" s="96"/>
      <c r="J31" s="96"/>
      <c r="K31" s="97" t="str">
        <f>IF(I31="","",IF(ISNA(VLOOKUP(I31,$A$3:$D$117,4,FALSE)),"Ошибка. Seek не найден",IF(VLOOKUP(I31,$A$3:$D$117,4,FALSE)=J31,"ОК","Ошибка. Тип данных в S2T: "&amp;VLOOKUP(I31,$A$3:$D$117,4,FALSE))))</f>
        <v/>
      </c>
    </row>
    <row r="32" ht="15" customHeight="1">
      <c r="A32" s="96" t="str">
        <f>source_columns[[#This Row],[Название таблицы STAGE]]&amp;source_columns[[#This Row],[Название поля]]</f>
        <v>b3060000410003_partycreateRkoExt_short_foreign_key</v>
      </c>
      <c r="B32" s="96" t="s">
        <v>111</v>
      </c>
      <c r="C32" s="96" t="s">
        <v>242</v>
      </c>
      <c r="D32" s="96" t="s">
        <v>206</v>
      </c>
      <c r="E32" s="96" t="s">
        <v>213</v>
      </c>
      <c r="F32" s="96" t="s">
        <v>214</v>
      </c>
      <c r="G32" s="96" t="s">
        <v>243</v>
      </c>
      <c r="H32" s="96"/>
      <c r="I32" s="96"/>
      <c r="J32" s="96"/>
      <c r="K32" s="97" t="str">
        <f>IF(I32="","",IF(ISNA(VLOOKUP(I32,$A$3:$D$117,4,FALSE)),"Ошибка. Seek не найден",IF(VLOOKUP(I32,$A$3:$D$117,4,FALSE)=J32,"ОК","Ошибка. Тип данных в S2T: "&amp;VLOOKUP(I32,$A$3:$D$117,4,FALSE))))</f>
        <v/>
      </c>
    </row>
    <row r="33" ht="15" customHeight="1">
      <c r="A33" s="96" t="str">
        <f>source_columns[[#This Row],[Название таблицы STAGE]]&amp;source_columns[[#This Row],[Название поля]]</f>
        <v>b3060000410003_partycreateRkoExt_short_foreign_key_uid</v>
      </c>
      <c r="B33" s="96" t="s">
        <v>111</v>
      </c>
      <c r="C33" s="96" t="s">
        <v>244</v>
      </c>
      <c r="D33" s="96" t="s">
        <v>218</v>
      </c>
      <c r="E33" s="96" t="s">
        <v>213</v>
      </c>
      <c r="F33" s="96" t="s">
        <v>214</v>
      </c>
      <c r="G33" s="96" t="s">
        <v>243</v>
      </c>
      <c r="H33" s="96"/>
      <c r="I33" s="96"/>
      <c r="J33" s="96"/>
      <c r="K33" s="97" t="str">
        <f>IF(I33="","",IF(ISNA(VLOOKUP(I33,$A$3:$D$117,4,FALSE)),"Ошибка. Seek не найден",IF(VLOOKUP(I33,$A$3:$D$117,4,FALSE)=J33,"ОК","Ошибка. Тип данных в S2T: "&amp;VLOOKUP(I33,$A$3:$D$117,4,FALSE))))</f>
        <v/>
      </c>
    </row>
    <row r="34" ht="15" customHeight="1">
      <c r="A34" s="96" t="str">
        <f>source_columns[[#This Row],[Название таблицы STAGE]]&amp;source_columns[[#This Row],[Название поля]]</f>
        <v>b3060000410004_productObjectID</v>
      </c>
      <c r="B34" s="96" t="s">
        <v>29</v>
      </c>
      <c r="C34" s="96" t="s">
        <v>114</v>
      </c>
      <c r="D34" s="96" t="s">
        <v>206</v>
      </c>
      <c r="E34" s="96" t="s">
        <v>207</v>
      </c>
      <c r="F34" s="96" t="s">
        <v>208</v>
      </c>
      <c r="G34" s="96" t="s">
        <v>209</v>
      </c>
      <c r="H34" s="96" t="s">
        <v>245</v>
      </c>
      <c r="I34" s="96"/>
      <c r="J34" s="96"/>
      <c r="K34" s="97" t="str">
        <f>IF(I34="","",IF(ISNA(VLOOKUP(I34,$A$3:$D$117,4,FALSE)),"Ошибка. Seek не найден",IF(VLOOKUP(I34,$A$3:$D$117,4,FALSE)=J34,"ОК","Ошибка. Тип данных в S2T: "&amp;VLOOKUP(I34,$A$3:$D$117,4,FALSE))))</f>
        <v/>
      </c>
    </row>
    <row r="35" ht="15" customHeight="1">
      <c r="A35" s="96" t="str">
        <f>source_columns[[#This Row],[Название таблицы STAGE]]&amp;source_columns[[#This Row],[Название поля]]</f>
        <v>b3060000410004_productbeginDate</v>
      </c>
      <c r="B35" s="96" t="s">
        <v>29</v>
      </c>
      <c r="C35" s="96" t="s">
        <v>211</v>
      </c>
      <c r="D35" s="96" t="s">
        <v>212</v>
      </c>
      <c r="E35" s="96" t="s">
        <v>213</v>
      </c>
      <c r="F35" s="96" t="s">
        <v>214</v>
      </c>
      <c r="G35" s="96" t="s">
        <v>215</v>
      </c>
      <c r="H35" s="96"/>
      <c r="I35" s="96"/>
      <c r="J35" s="96"/>
      <c r="K35" s="97" t="str">
        <f>IF(I35="","",IF(ISNA(VLOOKUP(I35,$A$3:$D$117,4,FALSE)),"Ошибка. Seek не найден",IF(VLOOKUP(I35,$A$3:$D$117,4,FALSE)=J35,"ОК","Ошибка. Тип данных в S2T: "&amp;VLOOKUP(I35,$A$3:$D$117,4,FALSE))))</f>
        <v/>
      </c>
    </row>
    <row r="36" ht="15" customHeight="1">
      <c r="A36" s="96" t="str">
        <f>source_columns[[#This Row],[Название таблицы STAGE]]&amp;source_columns[[#This Row],[Название поля]]</f>
        <v>b3060000410004_productcloseDate</v>
      </c>
      <c r="B36" s="96" t="s">
        <v>29</v>
      </c>
      <c r="C36" s="96" t="s">
        <v>246</v>
      </c>
      <c r="D36" s="96" t="s">
        <v>212</v>
      </c>
      <c r="E36" s="96" t="s">
        <v>213</v>
      </c>
      <c r="F36" s="96" t="s">
        <v>214</v>
      </c>
      <c r="G36" s="96" t="s">
        <v>217</v>
      </c>
      <c r="H36" s="96"/>
      <c r="I36" s="96"/>
      <c r="J36" s="96"/>
      <c r="K36" s="97" t="str">
        <f>IF(I36="","",IF(ISNA(VLOOKUP(I36,$A$3:$D$117,4,FALSE)),"Ошибка. Seek не найден",IF(VLOOKUP(I36,$A$3:$D$117,4,FALSE)=J36,"ОК","Ошибка. Тип данных в S2T: "&amp;VLOOKUP(I36,$A$3:$D$117,4,FALSE))))</f>
        <v/>
      </c>
    </row>
    <row r="37" ht="15" customHeight="1">
      <c r="A37" s="96" t="str">
        <f>source_columns[[#This Row],[Название таблицы STAGE]]&amp;source_columns[[#This Row],[Название поля]]</f>
        <v>b3060000410004_productcurrency_short_foreign_key</v>
      </c>
      <c r="B37" s="96" t="s">
        <v>29</v>
      </c>
      <c r="C37" s="96" t="s">
        <v>220</v>
      </c>
      <c r="D37" s="96" t="s">
        <v>221</v>
      </c>
      <c r="E37" s="96" t="s">
        <v>213</v>
      </c>
      <c r="F37" s="96" t="s">
        <v>214</v>
      </c>
      <c r="G37" s="96" t="s">
        <v>247</v>
      </c>
      <c r="H37" s="96"/>
      <c r="I37" s="96"/>
      <c r="J37" s="96"/>
      <c r="K37" s="97" t="str">
        <f>IF(I37="","",IF(ISNA(VLOOKUP(I37,$A$3:$D$117,4,FALSE)),"Ошибка. Seek не найден",IF(VLOOKUP(I37,$A$3:$D$117,4,FALSE)=J37,"ОК","Ошибка. Тип данных в S2T: "&amp;VLOOKUP(I37,$A$3:$D$117,4,FALSE))))</f>
        <v/>
      </c>
    </row>
    <row r="38" ht="15" customHeight="1">
      <c r="A38" s="96" t="str">
        <f>source_columns[[#This Row],[Название таблицы STAGE]]&amp;source_columns[[#This Row],[Название поля]]</f>
        <v>b3060000410004_productcurrency_short_foreign_key_uid</v>
      </c>
      <c r="B38" s="96" t="s">
        <v>29</v>
      </c>
      <c r="C38" s="96" t="s">
        <v>41</v>
      </c>
      <c r="D38" s="96" t="s">
        <v>218</v>
      </c>
      <c r="E38" s="96" t="s">
        <v>213</v>
      </c>
      <c r="F38" s="96" t="s">
        <v>214</v>
      </c>
      <c r="G38" s="96" t="s">
        <v>247</v>
      </c>
      <c r="H38" s="96"/>
      <c r="I38" s="96"/>
      <c r="J38" s="96"/>
      <c r="K38" s="97" t="str">
        <f>IF(I38="","",IF(ISNA(VLOOKUP(I38,$A$3:$D$117,4,FALSE)),"Ошибка. Seek не найден",IF(VLOOKUP(I38,$A$3:$D$117,4,FALSE)=J38,"ОК","Ошибка. Тип данных в S2T: "&amp;VLOOKUP(I38,$A$3:$D$117,4,FALSE))))</f>
        <v/>
      </c>
    </row>
    <row r="39" ht="15" customHeight="1">
      <c r="A39" s="96" t="str">
        <f>source_columns[[#This Row],[Название таблицы STAGE]]&amp;source_columns[[#This Row],[Название поля]]</f>
        <v>b3060000410004_productdivisionId</v>
      </c>
      <c r="B39" s="96" t="s">
        <v>29</v>
      </c>
      <c r="C39" s="96" t="s">
        <v>191</v>
      </c>
      <c r="D39" s="96" t="s">
        <v>221</v>
      </c>
      <c r="E39" s="96" t="s">
        <v>213</v>
      </c>
      <c r="F39" s="96" t="s">
        <v>214</v>
      </c>
      <c r="G39" s="96" t="s">
        <v>248</v>
      </c>
      <c r="H39" s="96"/>
      <c r="I39" s="96"/>
      <c r="J39" s="96"/>
      <c r="K39" s="96"/>
    </row>
    <row r="40" ht="15" customHeight="1">
      <c r="A40" s="96" t="str">
        <f>source_columns[[#This Row],[Название таблицы STAGE]]&amp;source_columns[[#This Row],[Название поля]]</f>
        <v>b3060000410004_productdivisionId_uid</v>
      </c>
      <c r="B40" s="96" t="s">
        <v>29</v>
      </c>
      <c r="C40" s="96" t="s">
        <v>61</v>
      </c>
      <c r="D40" s="96" t="s">
        <v>218</v>
      </c>
      <c r="E40" s="96" t="s">
        <v>213</v>
      </c>
      <c r="F40" s="96" t="s">
        <v>214</v>
      </c>
      <c r="G40" s="96" t="s">
        <v>248</v>
      </c>
      <c r="H40" s="96"/>
      <c r="I40" s="96"/>
      <c r="J40" s="96"/>
      <c r="K40" s="96"/>
    </row>
    <row r="41" ht="15" customHeight="1">
      <c r="A41" s="96" t="str">
        <f>source_columns[[#This Row],[Название таблицы STAGE]]&amp;source_columns[[#This Row],[Название поля]]</f>
        <v>b3060000410004_productendDate</v>
      </c>
      <c r="B41" s="96" t="s">
        <v>29</v>
      </c>
      <c r="C41" s="96" t="s">
        <v>216</v>
      </c>
      <c r="D41" s="96" t="s">
        <v>212</v>
      </c>
      <c r="E41" s="96" t="s">
        <v>213</v>
      </c>
      <c r="F41" s="96" t="s">
        <v>214</v>
      </c>
      <c r="G41" s="96" t="s">
        <v>249</v>
      </c>
      <c r="H41" s="96"/>
      <c r="I41" s="96"/>
      <c r="J41" s="96"/>
      <c r="K41" s="96"/>
    </row>
    <row r="42" ht="15" customHeight="1">
      <c r="A42" s="96" t="str">
        <f>source_columns[[#This Row],[Название таблицы STAGE]]&amp;source_columns[[#This Row],[Название поля]]</f>
        <v>b3060000410004_productnum</v>
      </c>
      <c r="B42" s="96" t="s">
        <v>29</v>
      </c>
      <c r="C42" s="96" t="s">
        <v>37</v>
      </c>
      <c r="D42" s="96" t="s">
        <v>221</v>
      </c>
      <c r="E42" s="96" t="s">
        <v>213</v>
      </c>
      <c r="F42" s="96" t="s">
        <v>214</v>
      </c>
      <c r="G42" s="96" t="s">
        <v>250</v>
      </c>
      <c r="H42" s="96"/>
      <c r="I42" s="96"/>
      <c r="J42" s="96"/>
      <c r="K42" s="97" t="str">
        <f>IF(I42="","",IF(ISNA(VLOOKUP(I42,$A$3:$D$117,4,FALSE)),"Ошибка. Seek не найден",IF(VLOOKUP(I42,$A$3:$D$117,4,FALSE)=J42,"ОК","Ошибка. Тип данных в S2T: "&amp;VLOOKUP(I42,$A$3:$D$117,4,FALSE))))</f>
        <v/>
      </c>
    </row>
    <row r="43" ht="15" customHeight="1">
      <c r="A43" s="96" t="str">
        <f>source_columns[[#This Row],[Название таблицы STAGE]]&amp;source_columns[[#This Row],[Название поля]]</f>
        <v>b3060000410004_productTarget_short_foreign_key</v>
      </c>
      <c r="B43" s="96" t="s">
        <v>29</v>
      </c>
      <c r="C43" s="96" t="s">
        <v>251</v>
      </c>
      <c r="D43" s="96" t="s">
        <v>221</v>
      </c>
      <c r="E43" s="96" t="s">
        <v>213</v>
      </c>
      <c r="F43" s="96" t="s">
        <v>214</v>
      </c>
      <c r="G43" s="96" t="s">
        <v>252</v>
      </c>
      <c r="H43" s="96"/>
      <c r="I43" s="96"/>
      <c r="J43" s="96"/>
      <c r="K43" s="97"/>
    </row>
    <row r="44" ht="15" customHeight="1">
      <c r="A44" s="96" t="str">
        <f>source_columns[[#This Row],[Название таблицы STAGE]]&amp;source_columns[[#This Row],[Название поля]]</f>
        <v>b3060000410004_productTarget_short_foreign_key_uid</v>
      </c>
      <c r="B44" s="96" t="s">
        <v>29</v>
      </c>
      <c r="C44" s="96" t="s">
        <v>43</v>
      </c>
      <c r="D44" s="96" t="s">
        <v>218</v>
      </c>
      <c r="E44" s="96" t="s">
        <v>213</v>
      </c>
      <c r="F44" s="96" t="s">
        <v>214</v>
      </c>
      <c r="G44" s="96" t="s">
        <v>252</v>
      </c>
      <c r="H44" s="96"/>
      <c r="I44" s="96"/>
      <c r="J44" s="96"/>
      <c r="K44" s="97"/>
    </row>
    <row r="45" ht="15" customHeight="1">
      <c r="A45" s="96" t="str">
        <f>source_columns[[#This Row],[Название таблицы STAGE]]&amp;source_columns[[#This Row],[Название поля]]</f>
        <v>b3060000410004_productObjectID_uid</v>
      </c>
      <c r="B45" s="96" t="s">
        <v>29</v>
      </c>
      <c r="C45" s="96" t="s">
        <v>45</v>
      </c>
      <c r="D45" s="96" t="s">
        <v>218</v>
      </c>
      <c r="E45" s="96" t="s">
        <v>213</v>
      </c>
      <c r="F45" s="96" t="s">
        <v>214</v>
      </c>
      <c r="G45" s="96" t="s">
        <v>209</v>
      </c>
      <c r="H45" s="96"/>
      <c r="I45" s="96"/>
      <c r="J45" s="96"/>
      <c r="K45" s="97" t="str">
        <f>IF(I45="","",IF(ISNA(VLOOKUP(I45,$A$3:$D$117,4,FALSE)),"Ошибка. Seek не найден",IF(VLOOKUP(I45,$A$3:$D$117,4,FALSE)=J45,"ОК","Ошибка. Тип данных в S2T: "&amp;VLOOKUP(I45,$A$3:$D$117,4,FALSE))))</f>
        <v/>
      </c>
    </row>
    <row r="46" ht="15" customHeight="1">
      <c r="A46" s="96" t="str">
        <f>source_columns[[#This Row],[Название таблицы STAGE]]&amp;source_columns[[#This Row],[Название поля]]</f>
        <v>b3060000410004_productownerEpkId_entityId</v>
      </c>
      <c r="B46" s="96" t="s">
        <v>29</v>
      </c>
      <c r="C46" s="96" t="s">
        <v>253</v>
      </c>
      <c r="D46" s="96" t="s">
        <v>206</v>
      </c>
      <c r="E46" s="96" t="s">
        <v>213</v>
      </c>
      <c r="F46" s="96" t="s">
        <v>214</v>
      </c>
      <c r="G46" s="96" t="s">
        <v>254</v>
      </c>
      <c r="H46" s="96"/>
      <c r="I46" s="96"/>
      <c r="J46" s="96"/>
      <c r="K46" s="97" t="str">
        <f>IF(I46="","",IF(ISNA(VLOOKUP(I46,$A$3:$D$117,4,FALSE)),"Ошибка. Seek не найден",IF(VLOOKUP(I46,$A$3:$D$117,4,FALSE)=J46,"ОК","Ошибка. Тип данных в S2T: "&amp;VLOOKUP(I46,$A$3:$D$117,4,FALSE))))</f>
        <v/>
      </c>
    </row>
    <row r="47" ht="15" customHeight="1">
      <c r="A47" s="96" t="str">
        <f>source_columns[[#This Row],[Название таблицы STAGE]]&amp;source_columns[[#This Row],[Название поля]]</f>
        <v>b3060000410004_productownerEpkId_entityId_uid</v>
      </c>
      <c r="B47" s="96" t="s">
        <v>29</v>
      </c>
      <c r="C47" s="96" t="s">
        <v>58</v>
      </c>
      <c r="D47" s="96" t="s">
        <v>218</v>
      </c>
      <c r="E47" s="96" t="s">
        <v>213</v>
      </c>
      <c r="F47" s="96" t="s">
        <v>214</v>
      </c>
      <c r="G47" s="96" t="s">
        <v>254</v>
      </c>
      <c r="H47" s="96"/>
      <c r="I47" s="96"/>
      <c r="J47" s="96"/>
      <c r="K47" s="97" t="str">
        <f>IF(I47="","",IF(ISNA(VLOOKUP(I47,$A$3:$D$117,4,FALSE)),"Ошибка. Seek не найден",IF(VLOOKUP(I47,$A$3:$D$117,4,FALSE)=J47,"ОК","Ошибка. Тип данных в S2T: "&amp;VLOOKUP(I47,$A$3:$D$117,4,FALSE))))</f>
        <v/>
      </c>
    </row>
    <row r="48" ht="15" customHeight="1">
      <c r="A48" s="96" t="str">
        <f>source_columns[[#This Row],[Название таблицы STAGE]]&amp;source_columns[[#This Row],[Название поля]]</f>
        <v>b3060000410004_productstatusCode_short_foreign_key_uid</v>
      </c>
      <c r="B48" s="96" t="s">
        <v>29</v>
      </c>
      <c r="C48" s="96" t="s">
        <v>64</v>
      </c>
      <c r="D48" s="96" t="s">
        <v>218</v>
      </c>
      <c r="E48" s="96" t="s">
        <v>213</v>
      </c>
      <c r="F48" s="96" t="s">
        <v>214</v>
      </c>
      <c r="G48" s="96" t="s">
        <v>255</v>
      </c>
      <c r="H48" s="96"/>
      <c r="I48" s="96"/>
      <c r="J48" s="96"/>
      <c r="K48" s="97" t="str">
        <f>IF(I48="","",IF(ISNA(VLOOKUP(I48,$A$3:$D$117,4,FALSE)),"Ошибка. Seek не найден",IF(VLOOKUP(I48,$A$3:$D$117,4,FALSE)=J48,"ОК","Ошибка. Тип данных в S2T: "&amp;VLOOKUP(I48,$A$3:$D$117,4,FALSE))))</f>
        <v/>
      </c>
    </row>
    <row r="49" ht="15" customHeight="1">
      <c r="A49" s="96" t="str">
        <f>source_columns[[#This Row],[Название таблицы STAGE]]&amp;source_columns[[#This Row],[Название поля]]</f>
        <v>b3060000410004_productstatusCode_short_foreign_key</v>
      </c>
      <c r="B49" s="96" t="s">
        <v>29</v>
      </c>
      <c r="C49" s="96" t="s">
        <v>256</v>
      </c>
      <c r="D49" s="96" t="s">
        <v>221</v>
      </c>
      <c r="E49" s="96" t="s">
        <v>213</v>
      </c>
      <c r="F49" s="96" t="s">
        <v>214</v>
      </c>
      <c r="G49" s="96" t="s">
        <v>255</v>
      </c>
      <c r="H49" s="96"/>
      <c r="I49" s="96"/>
      <c r="J49" s="96"/>
      <c r="K49" s="97" t="str">
        <f>IF(I49="","",IF(ISNA(VLOOKUP(I49,$A$3:$D$117,4,FALSE)),"Ошибка. Seek не найден",IF(VLOOKUP(I49,$A$3:$D$117,4,FALSE)=J49,"ОК","Ошибка. Тип данных в S2T: "&amp;VLOOKUP(I49,$A$3:$D$117,4,FALSE))))</f>
        <v/>
      </c>
    </row>
    <row r="50" ht="15" customHeight="1">
      <c r="A50" s="96" t="str">
        <f>source_columns[[#This Row],[Название таблицы STAGE]]&amp;source_columns[[#This Row],[Название поля]]</f>
        <v>b3060000410005_productstatusObjectID</v>
      </c>
      <c r="B50" s="96" t="s">
        <v>175</v>
      </c>
      <c r="C50" s="96" t="s">
        <v>114</v>
      </c>
      <c r="D50" s="96" t="s">
        <v>221</v>
      </c>
      <c r="E50" s="96" t="s">
        <v>207</v>
      </c>
      <c r="F50" s="96" t="s">
        <v>208</v>
      </c>
      <c r="G50" s="96" t="s">
        <v>209</v>
      </c>
      <c r="H50" s="96" t="s">
        <v>257</v>
      </c>
      <c r="I50" s="96"/>
      <c r="J50" s="96"/>
      <c r="K50" s="97" t="str">
        <f>IF(I50="","",IF(ISNA(VLOOKUP(I50,$A$3:$D$117,4,FALSE)),"Ошибка. Seek не найден",IF(VLOOKUP(I50,$A$3:$D$117,4,FALSE)=J50,"ОК","Ошибка. Тип данных в S2T: "&amp;VLOOKUP(I50,$A$3:$D$117,4,FALSE))))</f>
        <v/>
      </c>
    </row>
    <row r="51" ht="15" customHeight="1">
      <c r="A51" s="96" t="str">
        <f>source_columns[[#This Row],[Название таблицы STAGE]]&amp;source_columns[[#This Row],[Название поля]]</f>
        <v>b3060000410005_productstatusObjectID_uid</v>
      </c>
      <c r="B51" s="96" t="s">
        <v>175</v>
      </c>
      <c r="C51" s="96" t="s">
        <v>45</v>
      </c>
      <c r="D51" s="96" t="s">
        <v>218</v>
      </c>
      <c r="E51" s="96" t="s">
        <v>213</v>
      </c>
      <c r="F51" s="96" t="s">
        <v>214</v>
      </c>
      <c r="G51" s="96"/>
      <c r="H51" s="96"/>
      <c r="I51" s="96"/>
      <c r="J51" s="96"/>
      <c r="K51" s="96"/>
    </row>
    <row r="52" ht="15" customHeight="1">
      <c r="A52" s="96" t="str">
        <f>source_columns[[#This Row],[Название таблицы STAGE]]&amp;source_columns[[#This Row],[Название поля]]</f>
        <v>b3060000410005_productstatusname</v>
      </c>
      <c r="B52" s="96" t="s">
        <v>175</v>
      </c>
      <c r="C52" s="96" t="s">
        <v>85</v>
      </c>
      <c r="D52" s="96" t="s">
        <v>221</v>
      </c>
      <c r="E52" s="96" t="s">
        <v>213</v>
      </c>
      <c r="F52" s="96" t="s">
        <v>214</v>
      </c>
      <c r="G52" s="96" t="s">
        <v>258</v>
      </c>
      <c r="H52" s="96"/>
      <c r="I52" s="96"/>
      <c r="J52" s="96"/>
      <c r="K52" s="96"/>
    </row>
    <row r="53" ht="15" customHeight="1">
      <c r="A53" s="96" t="str">
        <f>source_columns[[#This Row],[Название таблицы STAGE]]&amp;source_columns[[#This Row],[Название поля]]</f>
        <v>b3060000410006_registertypeObjectID</v>
      </c>
      <c r="B53" s="96" t="s">
        <v>83</v>
      </c>
      <c r="C53" s="96" t="s">
        <v>114</v>
      </c>
      <c r="D53" s="96" t="s">
        <v>221</v>
      </c>
      <c r="E53" s="96" t="s">
        <v>207</v>
      </c>
      <c r="F53" s="96" t="s">
        <v>208</v>
      </c>
      <c r="G53" s="96" t="s">
        <v>209</v>
      </c>
      <c r="H53" s="96" t="s">
        <v>226</v>
      </c>
      <c r="I53" s="96"/>
      <c r="J53" s="96"/>
      <c r="K53" s="96"/>
    </row>
    <row r="54" ht="15" customHeight="1">
      <c r="A54" s="96" t="str">
        <f>source_columns[[#This Row],[Название таблицы STAGE]]&amp;source_columns[[#This Row],[Название поля]]</f>
        <v>b3060000410006_registertypeObjectID_uid</v>
      </c>
      <c r="B54" s="96" t="s">
        <v>83</v>
      </c>
      <c r="C54" s="96" t="s">
        <v>45</v>
      </c>
      <c r="D54" s="96" t="s">
        <v>218</v>
      </c>
      <c r="E54" s="96" t="s">
        <v>213</v>
      </c>
      <c r="F54" s="96" t="s">
        <v>214</v>
      </c>
      <c r="G54" s="96"/>
      <c r="H54" s="96"/>
      <c r="I54" s="96"/>
      <c r="J54" s="96"/>
      <c r="K54" s="96"/>
    </row>
    <row r="55" ht="15" customHeight="1">
      <c r="A55" s="96" t="str">
        <f>source_columns[[#This Row],[Название таблицы STAGE]]&amp;source_columns[[#This Row],[Название поля]]</f>
        <v>b3060000410006_registertypename</v>
      </c>
      <c r="B55" s="96" t="s">
        <v>83</v>
      </c>
      <c r="C55" s="96" t="s">
        <v>85</v>
      </c>
      <c r="D55" s="96" t="s">
        <v>221</v>
      </c>
      <c r="E55" s="96" t="s">
        <v>213</v>
      </c>
      <c r="F55" s="96" t="s">
        <v>214</v>
      </c>
      <c r="G55" s="96" t="s">
        <v>259</v>
      </c>
      <c r="H55" s="96"/>
      <c r="I55" s="96"/>
      <c r="J55" s="96"/>
      <c r="K55" s="96"/>
    </row>
    <row r="56" ht="15" customHeight="1">
      <c r="A56" s="96" t="str">
        <f>source_columns[[#This Row],[Название таблицы STAGE]]&amp;source_columns[[#This Row],[Название поля]]</f>
        <v>b3060000410007_currencyinternationalName</v>
      </c>
      <c r="B56" s="96" t="s">
        <v>184</v>
      </c>
      <c r="C56" s="96" t="s">
        <v>260</v>
      </c>
      <c r="D56" s="96" t="s">
        <v>221</v>
      </c>
      <c r="E56" s="96" t="s">
        <v>213</v>
      </c>
      <c r="F56" s="96" t="s">
        <v>214</v>
      </c>
      <c r="G56" s="96" t="s">
        <v>261</v>
      </c>
      <c r="H56" s="96" t="s">
        <v>262</v>
      </c>
      <c r="I56" s="96"/>
      <c r="J56" s="96"/>
      <c r="K56" s="97" t="str">
        <f>IF(I56="","",IF(ISNA(VLOOKUP(I56,$A$3:$D$117,4,FALSE)),"Ошибка. Seek не найден",IF(VLOOKUP(I56,$A$3:$D$117,4,FALSE)=J56,"ОК","Ошибка. Тип данных в S2T: "&amp;VLOOKUP(I56,$A$3:$D$117,4,FALSE))))</f>
        <v/>
      </c>
    </row>
    <row r="57" ht="15" customHeight="1">
      <c r="A57" s="96" t="str">
        <f>source_columns[[#This Row],[Название таблицы STAGE]]&amp;source_columns[[#This Row],[Название поля]]</f>
        <v>b3060000410007_currencymeasureCode</v>
      </c>
      <c r="B57" s="96" t="s">
        <v>184</v>
      </c>
      <c r="C57" s="96" t="s">
        <v>263</v>
      </c>
      <c r="D57" s="96" t="s">
        <v>221</v>
      </c>
      <c r="E57" s="96" t="s">
        <v>213</v>
      </c>
      <c r="F57" s="96" t="s">
        <v>214</v>
      </c>
      <c r="G57" s="96" t="s">
        <v>264</v>
      </c>
      <c r="H57" s="96"/>
    </row>
    <row r="58" ht="15" customHeight="1">
      <c r="A58" s="96" t="str">
        <f>source_columns[[#This Row],[Название таблицы STAGE]]&amp;source_columns[[#This Row],[Название поля]]</f>
        <v>b3060000410007_currencymeasureName</v>
      </c>
      <c r="B58" s="96" t="s">
        <v>184</v>
      </c>
      <c r="C58" s="96" t="s">
        <v>265</v>
      </c>
      <c r="D58" s="96" t="s">
        <v>221</v>
      </c>
      <c r="E58" s="96" t="s">
        <v>213</v>
      </c>
      <c r="F58" s="96" t="s">
        <v>214</v>
      </c>
      <c r="G58" s="96" t="s">
        <v>266</v>
      </c>
      <c r="H58" s="96"/>
    </row>
    <row r="59" ht="15" customHeight="1">
      <c r="A59" s="96" t="str">
        <f>source_columns[[#This Row],[Название таблицы STAGE]]&amp;source_columns[[#This Row],[Название поля]]</f>
        <v>b3060000410007_currencyname</v>
      </c>
      <c r="B59" s="96" t="s">
        <v>184</v>
      </c>
      <c r="C59" s="96" t="s">
        <v>85</v>
      </c>
      <c r="D59" s="96" t="s">
        <v>221</v>
      </c>
      <c r="E59" s="96" t="s">
        <v>213</v>
      </c>
      <c r="F59" s="96" t="s">
        <v>214</v>
      </c>
      <c r="G59" s="96" t="s">
        <v>267</v>
      </c>
      <c r="H59" s="96"/>
    </row>
    <row r="60" ht="15" customHeight="1">
      <c r="A60" s="96" t="str">
        <f>source_columns[[#This Row],[Название таблицы STAGE]]&amp;source_columns[[#This Row],[Название поля]]</f>
        <v>b3060000410007_currencynum</v>
      </c>
      <c r="B60" s="96" t="s">
        <v>184</v>
      </c>
      <c r="C60" s="96" t="s">
        <v>37</v>
      </c>
      <c r="D60" s="96" t="s">
        <v>221</v>
      </c>
      <c r="E60" s="96" t="s">
        <v>213</v>
      </c>
      <c r="F60" s="96" t="s">
        <v>214</v>
      </c>
      <c r="G60" s="96" t="s">
        <v>268</v>
      </c>
      <c r="H60" s="96"/>
    </row>
    <row r="61" ht="15" customHeight="1">
      <c r="A61" s="96" t="str">
        <f>source_columns[[#This Row],[Название таблицы STAGE]]&amp;source_columns[[#This Row],[Название поля]]</f>
        <v>b3060000410007_currencyobjectId</v>
      </c>
      <c r="B61" s="96" t="s">
        <v>184</v>
      </c>
      <c r="C61" s="96" t="s">
        <v>269</v>
      </c>
      <c r="D61" s="96" t="s">
        <v>221</v>
      </c>
      <c r="E61" s="96" t="s">
        <v>207</v>
      </c>
      <c r="F61" s="96" t="s">
        <v>208</v>
      </c>
      <c r="G61" s="96" t="s">
        <v>270</v>
      </c>
      <c r="H61" s="96"/>
    </row>
    <row r="62" ht="15" customHeight="1">
      <c r="A62" s="96" t="str">
        <f>source_columns[[#This Row],[Название таблицы STAGE]]&amp;source_columns[[#This Row],[Название поля]]</f>
        <v>b3060000410007_currencyobjectId_uid</v>
      </c>
      <c r="B62" s="96" t="s">
        <v>184</v>
      </c>
      <c r="C62" s="96" t="s">
        <v>271</v>
      </c>
      <c r="D62" s="96" t="s">
        <v>218</v>
      </c>
      <c r="E62" s="96" t="s">
        <v>213</v>
      </c>
      <c r="F62" s="96" t="s">
        <v>214</v>
      </c>
      <c r="G62" s="96"/>
      <c r="H62" s="96"/>
    </row>
    <row r="63" ht="15" customHeight="1">
      <c r="A63" s="96" t="str">
        <f>source_columns[[#This Row],[Название таблицы STAGE]]&amp;source_columns[[#This Row],[Название поля]]</f>
        <v>b3060000410008_createrkoextresultaccountId</v>
      </c>
      <c r="B63" s="96" t="s">
        <v>105</v>
      </c>
      <c r="C63" s="96" t="s">
        <v>272</v>
      </c>
      <c r="D63" s="96" t="s">
        <v>206</v>
      </c>
      <c r="E63" s="96" t="s">
        <v>213</v>
      </c>
      <c r="F63" s="96" t="s">
        <v>214</v>
      </c>
      <c r="G63" s="96" t="s">
        <v>273</v>
      </c>
      <c r="H63" s="96" t="s">
        <v>274</v>
      </c>
    </row>
    <row r="64" ht="15" customHeight="1">
      <c r="A64" s="96" t="str">
        <f>source_columns[[#This Row],[Название таблицы STAGE]]&amp;source_columns[[#This Row],[Название поля]]</f>
        <v>b3060000410008_createrkoextresultaccountNum</v>
      </c>
      <c r="B64" s="96" t="s">
        <v>105</v>
      </c>
      <c r="C64" s="96" t="s">
        <v>275</v>
      </c>
      <c r="D64" s="96" t="s">
        <v>221</v>
      </c>
      <c r="E64" s="96" t="s">
        <v>213</v>
      </c>
      <c r="F64" s="96" t="s">
        <v>214</v>
      </c>
      <c r="G64" s="96" t="s">
        <v>276</v>
      </c>
      <c r="H64" s="96"/>
    </row>
    <row r="65" ht="15" customHeight="1">
      <c r="A65" s="96" t="str">
        <f>source_columns[[#This Row],[Название таблицы STAGE]]&amp;source_columns[[#This Row],[Название поля]]</f>
        <v>b3060000410008_createrkoextresultobjectId</v>
      </c>
      <c r="B65" s="96" t="s">
        <v>105</v>
      </c>
      <c r="C65" s="96" t="s">
        <v>269</v>
      </c>
      <c r="D65" s="96" t="s">
        <v>206</v>
      </c>
      <c r="E65" s="96" t="s">
        <v>207</v>
      </c>
      <c r="F65" s="96" t="s">
        <v>208</v>
      </c>
      <c r="G65" s="96" t="s">
        <v>209</v>
      </c>
      <c r="H65" s="96"/>
    </row>
    <row r="66" ht="15" customHeight="1">
      <c r="A66" s="96" t="str">
        <f>source_columns[[#This Row],[Название таблицы STAGE]]&amp;source_columns[[#This Row],[Название поля]]</f>
        <v>b3060000410008_createrkoextresultcreaterkoext_short_foreign_key</v>
      </c>
      <c r="B66" s="96" t="s">
        <v>105</v>
      </c>
      <c r="C66" s="96" t="s">
        <v>277</v>
      </c>
      <c r="D66" s="96" t="s">
        <v>206</v>
      </c>
      <c r="E66" s="96" t="s">
        <v>213</v>
      </c>
      <c r="F66" s="96" t="s">
        <v>214</v>
      </c>
      <c r="G66" s="96" t="s">
        <v>243</v>
      </c>
      <c r="H66" s="96"/>
    </row>
    <row r="67" ht="15" customHeight="1">
      <c r="A67" s="99" t="str">
        <f>source_columns[[#This Row],[Название таблицы STAGE]]&amp;source_columns[[#This Row],[Название поля]]</f>
        <v>b3060000410008_createrkoextresultobjectId_uid</v>
      </c>
      <c r="B67" s="99" t="s">
        <v>105</v>
      </c>
      <c r="C67" s="99" t="s">
        <v>271</v>
      </c>
      <c r="D67" s="99" t="s">
        <v>218</v>
      </c>
      <c r="E67" s="99" t="s">
        <v>213</v>
      </c>
      <c r="F67" s="99" t="s">
        <v>214</v>
      </c>
      <c r="G67" s="96"/>
      <c r="H67" s="96"/>
    </row>
    <row r="68" ht="15" customHeight="1">
      <c r="A68" s="96" t="str">
        <f>source_columns[[#This Row],[Название таблицы STAGE]]&amp;source_columns[[#This Row],[Название поля]]</f>
        <v>b3060000410008_createrkoextresultaccountId_uid</v>
      </c>
      <c r="B68" s="96" t="s">
        <v>105</v>
      </c>
      <c r="C68" s="96" t="s">
        <v>107</v>
      </c>
      <c r="D68" s="96" t="s">
        <v>218</v>
      </c>
      <c r="E68" s="96" t="s">
        <v>213</v>
      </c>
      <c r="F68" s="96" t="s">
        <v>214</v>
      </c>
      <c r="G68" s="96" t="s">
        <v>273</v>
      </c>
      <c r="H68" s="96"/>
    </row>
    <row r="69" ht="15" customHeight="1">
      <c r="A69" s="96" t="str">
        <f>source_columns[[#This Row],[Название таблицы STAGE]]&amp;source_columns[[#This Row],[Название поля]]</f>
        <v>b3060000410008_createrkoextresultproductPartyID</v>
      </c>
      <c r="B69" s="96" t="s">
        <v>105</v>
      </c>
      <c r="C69" s="96" t="s">
        <v>278</v>
      </c>
      <c r="D69" s="96" t="s">
        <v>206</v>
      </c>
      <c r="E69" s="96" t="s">
        <v>213</v>
      </c>
      <c r="F69" s="96" t="s">
        <v>214</v>
      </c>
      <c r="G69" s="96" t="s">
        <v>279</v>
      </c>
      <c r="H69" s="96"/>
    </row>
    <row r="70" ht="15" customHeight="1">
      <c r="A70" s="96" t="str">
        <f>source_columns[[#This Row],[Название таблицы STAGE]]&amp;source_columns[[#This Row],[Название поля]]</f>
        <v>b3060000410008_createrkoextresultproductPartyID_uid</v>
      </c>
      <c r="B70" s="96" t="s">
        <v>105</v>
      </c>
      <c r="C70" s="96" t="s">
        <v>106</v>
      </c>
      <c r="D70" s="96" t="s">
        <v>218</v>
      </c>
      <c r="E70" s="96" t="s">
        <v>213</v>
      </c>
      <c r="F70" s="96" t="s">
        <v>214</v>
      </c>
      <c r="G70" s="96"/>
      <c r="H70" s="96"/>
    </row>
    <row r="71" ht="15" customHeight="1">
      <c r="A71" s="96" t="str">
        <f>source_columns[[#This Row],[Название таблицы STAGE]]&amp;source_columns[[#This Row],[Название поля]]</f>
        <v>b3060000410009_RestrictionProductobjectId</v>
      </c>
      <c r="B71" s="96" t="s">
        <v>123</v>
      </c>
      <c r="C71" s="96" t="s">
        <v>269</v>
      </c>
      <c r="D71" s="96" t="s">
        <v>206</v>
      </c>
      <c r="E71" s="96" t="s">
        <v>207</v>
      </c>
      <c r="F71" s="96" t="s">
        <v>208</v>
      </c>
      <c r="G71" s="96" t="s">
        <v>209</v>
      </c>
      <c r="H71" s="96" t="s">
        <v>280</v>
      </c>
    </row>
    <row r="72" ht="15" customHeight="1">
      <c r="A72" s="96" t="str">
        <f>source_columns[[#This Row],[Название таблицы STAGE]]&amp;source_columns[[#This Row],[Название поля]]</f>
        <v>b3060000410009_RestrictionProductobjectId_uid</v>
      </c>
      <c r="B72" s="96" t="s">
        <v>123</v>
      </c>
      <c r="C72" s="96" t="s">
        <v>271</v>
      </c>
      <c r="D72" s="96" t="s">
        <v>218</v>
      </c>
      <c r="E72" s="96" t="s">
        <v>213</v>
      </c>
      <c r="F72" s="96" t="s">
        <v>214</v>
      </c>
      <c r="G72" s="96"/>
      <c r="H72" s="96"/>
    </row>
    <row r="73" ht="15" customHeight="1">
      <c r="A73" s="96" t="str">
        <f>source_columns[[#This Row],[Название таблицы STAGE]]&amp;source_columns[[#This Row],[Название поля]]</f>
        <v>b3060000410009_RestrictionProductdateBegin</v>
      </c>
      <c r="B73" s="96" t="s">
        <v>123</v>
      </c>
      <c r="C73" s="96" t="s">
        <v>281</v>
      </c>
      <c r="D73" s="96" t="s">
        <v>212</v>
      </c>
      <c r="E73" s="96" t="s">
        <v>213</v>
      </c>
      <c r="F73" s="96" t="s">
        <v>214</v>
      </c>
      <c r="G73" s="96" t="s">
        <v>282</v>
      </c>
      <c r="H73" s="96"/>
    </row>
    <row r="74" ht="15" customHeight="1">
      <c r="A74" s="96" t="str">
        <f>source_columns[[#This Row],[Название таблицы STAGE]]&amp;source_columns[[#This Row],[Название поля]]</f>
        <v>b3060000410009_RestrictionProductdateEnd</v>
      </c>
      <c r="B74" s="96" t="s">
        <v>123</v>
      </c>
      <c r="C74" s="96" t="s">
        <v>283</v>
      </c>
      <c r="D74" s="96" t="s">
        <v>212</v>
      </c>
      <c r="E74" s="96" t="s">
        <v>213</v>
      </c>
      <c r="F74" s="96" t="s">
        <v>214</v>
      </c>
      <c r="G74" s="96" t="s">
        <v>284</v>
      </c>
      <c r="H74" s="96"/>
    </row>
    <row r="75" ht="15" customHeight="1">
      <c r="A75" s="96" t="str">
        <f>source_columns[[#This Row],[Название таблицы STAGE]]&amp;source_columns[[#This Row],[Название поля]]</f>
        <v>b3060000410009_RestrictionProductinactive</v>
      </c>
      <c r="B75" s="96" t="s">
        <v>123</v>
      </c>
      <c r="C75" s="96" t="s">
        <v>139</v>
      </c>
      <c r="D75" s="96" t="s">
        <v>285</v>
      </c>
      <c r="E75" s="96" t="s">
        <v>213</v>
      </c>
      <c r="F75" s="96" t="s">
        <v>214</v>
      </c>
      <c r="G75" s="96" t="s">
        <v>286</v>
      </c>
      <c r="H75" s="96"/>
    </row>
    <row r="76" ht="15" customHeight="1">
      <c r="A76" s="96" t="str">
        <f>source_columns[[#This Row],[Название таблицы STAGE]]&amp;source_columns[[#This Row],[Название поля]]</f>
        <v>b3060000410009_RestrictionProductproduct_short_foreign_key</v>
      </c>
      <c r="B76" s="96" t="s">
        <v>123</v>
      </c>
      <c r="C76" s="96" t="s">
        <v>223</v>
      </c>
      <c r="D76" s="96" t="s">
        <v>206</v>
      </c>
      <c r="E76" s="96" t="s">
        <v>213</v>
      </c>
      <c r="F76" s="96" t="s">
        <v>214</v>
      </c>
      <c r="G76" s="96" t="s">
        <v>287</v>
      </c>
      <c r="H76" s="96"/>
    </row>
    <row r="77" ht="15" customHeight="1">
      <c r="A77" s="96" t="str">
        <f>source_columns[[#This Row],[Название таблицы STAGE]]&amp;source_columns[[#This Row],[Название поля]]</f>
        <v>b3060000410009_RestrictionProductproduct_short_foreign_key_uid</v>
      </c>
      <c r="B77" s="96" t="s">
        <v>123</v>
      </c>
      <c r="C77" s="96" t="s">
        <v>72</v>
      </c>
      <c r="D77" s="96" t="s">
        <v>218</v>
      </c>
      <c r="E77" s="96" t="s">
        <v>213</v>
      </c>
      <c r="F77" s="96" t="s">
        <v>214</v>
      </c>
      <c r="G77" s="96" t="s">
        <v>287</v>
      </c>
      <c r="H77" s="96"/>
    </row>
    <row r="78" ht="15" customHeight="1">
      <c r="A78" s="96" t="str">
        <f>source_columns[[#This Row],[Название таблицы STAGE]]&amp;source_columns[[#This Row],[Название поля]]</f>
        <v>b3060000410009_RestrictionProductreasonClose</v>
      </c>
      <c r="B78" s="96" t="s">
        <v>123</v>
      </c>
      <c r="C78" s="96" t="s">
        <v>142</v>
      </c>
      <c r="D78" s="96" t="s">
        <v>221</v>
      </c>
      <c r="E78" s="96" t="s">
        <v>213</v>
      </c>
      <c r="F78" s="96" t="s">
        <v>214</v>
      </c>
      <c r="G78" s="96" t="s">
        <v>288</v>
      </c>
      <c r="H78" s="96"/>
    </row>
    <row r="79" ht="15" customHeight="1">
      <c r="A79" s="96" t="str">
        <f>source_columns[[#This Row],[Название таблицы STAGE]]&amp;source_columns[[#This Row],[Название поля]]</f>
        <v>b3060000410009_RestrictionProductreasonDocDate</v>
      </c>
      <c r="B79" s="96" t="s">
        <v>123</v>
      </c>
      <c r="C79" s="96" t="s">
        <v>137</v>
      </c>
      <c r="D79" s="96" t="s">
        <v>212</v>
      </c>
      <c r="E79" s="96" t="s">
        <v>213</v>
      </c>
      <c r="F79" s="96" t="s">
        <v>214</v>
      </c>
      <c r="G79" s="96" t="s">
        <v>289</v>
      </c>
      <c r="H79" s="96"/>
    </row>
    <row r="80" ht="15" customHeight="1">
      <c r="A80" s="96" t="str">
        <f>source_columns[[#This Row],[Название таблицы STAGE]]&amp;source_columns[[#This Row],[Название поля]]</f>
        <v>b3060000410009_RestrictionProductreasonDocNum</v>
      </c>
      <c r="B80" s="96" t="s">
        <v>123</v>
      </c>
      <c r="C80" s="96" t="s">
        <v>290</v>
      </c>
      <c r="D80" s="96" t="s">
        <v>221</v>
      </c>
      <c r="E80" s="96" t="s">
        <v>213</v>
      </c>
      <c r="F80" s="96" t="s">
        <v>214</v>
      </c>
      <c r="G80" s="96" t="s">
        <v>291</v>
      </c>
      <c r="H80" s="96"/>
    </row>
    <row r="81" ht="15" customHeight="1">
      <c r="A81" s="96" t="str">
        <f>source_columns[[#This Row],[Название таблицы STAGE]]&amp;source_columns[[#This Row],[Название поля]]</f>
        <v>b3060000410009_RestrictionProductreasonOpen</v>
      </c>
      <c r="B81" s="96" t="s">
        <v>123</v>
      </c>
      <c r="C81" s="96" t="s">
        <v>134</v>
      </c>
      <c r="D81" s="96" t="s">
        <v>221</v>
      </c>
      <c r="E81" s="96" t="s">
        <v>213</v>
      </c>
      <c r="F81" s="96" t="s">
        <v>214</v>
      </c>
      <c r="G81" s="96" t="s">
        <v>292</v>
      </c>
      <c r="H81" s="96"/>
    </row>
    <row r="82" ht="15" customHeight="1">
      <c r="A82" s="96" t="str">
        <f>source_columns[[#This Row],[Название таблицы STAGE]]&amp;source_columns[[#This Row],[Название поля]]</f>
        <v>b3060000410009_RestrictionProductrestrictionSumCurrency_short_foreign_key</v>
      </c>
      <c r="B82" s="96" t="s">
        <v>123</v>
      </c>
      <c r="C82" s="96" t="s">
        <v>293</v>
      </c>
      <c r="D82" s="96" t="s">
        <v>221</v>
      </c>
      <c r="E82" s="96" t="s">
        <v>213</v>
      </c>
      <c r="F82" s="96" t="s">
        <v>214</v>
      </c>
      <c r="G82" s="96" t="s">
        <v>294</v>
      </c>
      <c r="H82" s="96"/>
    </row>
    <row r="83" ht="15" customHeight="1">
      <c r="A83" s="96" t="str">
        <f>source_columns[[#This Row],[Название таблицы STAGE]]&amp;source_columns[[#This Row],[Название поля]]</f>
        <v>b3060000410009_RestrictionProductrestrictionSumCurrency_short_foreign_key_uid</v>
      </c>
      <c r="B83" s="96" t="s">
        <v>123</v>
      </c>
      <c r="C83" s="96" t="s">
        <v>135</v>
      </c>
      <c r="D83" s="96" t="s">
        <v>218</v>
      </c>
      <c r="E83" s="96" t="s">
        <v>213</v>
      </c>
      <c r="F83" s="96" t="s">
        <v>214</v>
      </c>
      <c r="G83" s="96" t="s">
        <v>294</v>
      </c>
      <c r="H83" s="96"/>
    </row>
    <row r="84" ht="15" customHeight="1">
      <c r="A84" s="96" t="str">
        <f>source_columns[[#This Row],[Название таблицы STAGE]]&amp;source_columns[[#This Row],[Название поля]]</f>
        <v>b3060000410009_RestrictionProductrestrictionType_short_foreign_key</v>
      </c>
      <c r="B84" s="96" t="s">
        <v>123</v>
      </c>
      <c r="C84" s="96" t="s">
        <v>295</v>
      </c>
      <c r="D84" s="96" t="s">
        <v>221</v>
      </c>
      <c r="E84" s="96" t="s">
        <v>213</v>
      </c>
      <c r="F84" s="96" t="s">
        <v>214</v>
      </c>
      <c r="G84" s="96" t="s">
        <v>296</v>
      </c>
      <c r="H84" s="96"/>
    </row>
    <row r="85" ht="15" customHeight="1">
      <c r="A85" s="96" t="str">
        <f>source_columns[[#This Row],[Название таблицы STAGE]]&amp;source_columns[[#This Row],[Название поля]]</f>
        <v>b3060000410009_RestrictionProductrestrictionSumLimit</v>
      </c>
      <c r="B85" s="96" t="s">
        <v>123</v>
      </c>
      <c r="C85" s="96" t="s">
        <v>132</v>
      </c>
      <c r="D85" s="96" t="s">
        <v>297</v>
      </c>
      <c r="E85" s="96" t="s">
        <v>213</v>
      </c>
      <c r="F85" s="96" t="s">
        <v>214</v>
      </c>
      <c r="G85" s="96" t="s">
        <v>298</v>
      </c>
      <c r="H85" s="96"/>
    </row>
    <row r="86" ht="15" customHeight="1">
      <c r="A86" s="96" t="str">
        <f>source_columns[[#This Row],[Название таблицы STAGE]]&amp;source_columns[[#This Row],[Название поля]]</f>
        <v>b3060000410009_RestrictionProductrestrictionType_short_foreign_key_uuid</v>
      </c>
      <c r="B86" s="96" t="s">
        <v>123</v>
      </c>
      <c r="C86" s="96" t="s">
        <v>126</v>
      </c>
      <c r="D86" s="96" t="s">
        <v>218</v>
      </c>
      <c r="E86" s="96" t="s">
        <v>213</v>
      </c>
      <c r="F86" s="96" t="s">
        <v>214</v>
      </c>
      <c r="G86" s="96" t="s">
        <v>296</v>
      </c>
      <c r="H86" s="96"/>
    </row>
    <row r="87" ht="15" customHeight="1">
      <c r="A87" s="96" t="str">
        <f>source_columns[[#This Row],[Название таблицы STAGE]]&amp;source_columns[[#This Row],[Название поля]]</f>
        <v>b3060000410010_RestrictionProductTypeobjectId</v>
      </c>
      <c r="B87" s="96" t="s">
        <v>179</v>
      </c>
      <c r="C87" s="96" t="s">
        <v>269</v>
      </c>
      <c r="D87" s="96" t="s">
        <v>221</v>
      </c>
      <c r="E87" s="96" t="s">
        <v>207</v>
      </c>
      <c r="F87" s="96" t="s">
        <v>208</v>
      </c>
      <c r="G87" s="96" t="s">
        <v>209</v>
      </c>
      <c r="H87" s="96" t="s">
        <v>299</v>
      </c>
    </row>
    <row r="88" ht="15" customHeight="1">
      <c r="A88" s="96" t="str">
        <f>source_columns[[#This Row],[Название таблицы STAGE]]&amp;source_columns[[#This Row],[Название поля]]</f>
        <v>b3060000410010_RestrictionProductTypeobjectId_uid</v>
      </c>
      <c r="B88" s="96" t="s">
        <v>179</v>
      </c>
      <c r="C88" s="96" t="s">
        <v>271</v>
      </c>
      <c r="D88" s="96" t="s">
        <v>218</v>
      </c>
      <c r="E88" s="96" t="s">
        <v>213</v>
      </c>
      <c r="F88" s="96" t="s">
        <v>214</v>
      </c>
      <c r="G88" s="96"/>
      <c r="H88" s="96"/>
    </row>
    <row r="89" ht="15" customHeight="1">
      <c r="A89" s="96" t="str">
        <f>source_columns[[#This Row],[Название таблицы STAGE]]&amp;source_columns[[#This Row],[Название поля]]</f>
        <v>b3060000410010_RestrictionProductTypecode</v>
      </c>
      <c r="B89" s="96" t="s">
        <v>179</v>
      </c>
      <c r="C89" s="96" t="s">
        <v>170</v>
      </c>
      <c r="D89" s="96" t="s">
        <v>221</v>
      </c>
      <c r="E89" s="96" t="s">
        <v>213</v>
      </c>
      <c r="F89" s="96" t="s">
        <v>214</v>
      </c>
      <c r="G89" s="96" t="s">
        <v>300</v>
      </c>
      <c r="H89" s="96"/>
    </row>
    <row r="90" ht="15" customHeight="1">
      <c r="A90" s="96" t="str">
        <f>source_columns[[#This Row],[Название таблицы STAGE]]&amp;source_columns[[#This Row],[Название поля]]</f>
        <v>b3060000410010_RestrictionProductTypename</v>
      </c>
      <c r="B90" s="96" t="s">
        <v>179</v>
      </c>
      <c r="C90" s="96" t="s">
        <v>85</v>
      </c>
      <c r="D90" s="96" t="s">
        <v>221</v>
      </c>
      <c r="E90" s="96" t="s">
        <v>213</v>
      </c>
      <c r="F90" s="96" t="s">
        <v>214</v>
      </c>
      <c r="G90" s="96" t="s">
        <v>301</v>
      </c>
      <c r="H90" s="96"/>
    </row>
    <row r="91" ht="15" customHeight="1">
      <c r="A91" s="96" t="str">
        <f>source_columns[[#This Row],[Название таблицы STAGE]]&amp;source_columns[[#This Row],[Название поля]]</f>
        <v>b3060000410011_RegisterStatusobjectId</v>
      </c>
      <c r="B91" s="96" t="s">
        <v>148</v>
      </c>
      <c r="C91" s="96" t="s">
        <v>269</v>
      </c>
      <c r="D91" s="96" t="s">
        <v>221</v>
      </c>
      <c r="E91" s="96" t="s">
        <v>207</v>
      </c>
      <c r="F91" s="96" t="s">
        <v>208</v>
      </c>
      <c r="G91" s="96" t="s">
        <v>209</v>
      </c>
      <c r="H91" s="100"/>
    </row>
    <row r="92" ht="15" customHeight="1">
      <c r="A92" s="96" t="str">
        <f>source_columns[[#This Row],[Название таблицы STAGE]]&amp;source_columns[[#This Row],[Название поля]]</f>
        <v>b3060000410011_RegisterStatusobjectId_uid</v>
      </c>
      <c r="B92" s="96" t="s">
        <v>148</v>
      </c>
      <c r="C92" s="96" t="s">
        <v>271</v>
      </c>
      <c r="D92" s="96" t="s">
        <v>218</v>
      </c>
      <c r="E92" s="96" t="s">
        <v>213</v>
      </c>
      <c r="F92" s="96" t="s">
        <v>214</v>
      </c>
      <c r="G92" s="96"/>
      <c r="H92" s="100"/>
    </row>
    <row r="93" ht="15" customHeight="1">
      <c r="A93" s="96" t="str">
        <f>source_columns[[#This Row],[Название таблицы STAGE]]&amp;source_columns[[#This Row],[Название поля]]</f>
        <v>b3060000410011_RegisterStatusname</v>
      </c>
      <c r="B93" s="96" t="s">
        <v>148</v>
      </c>
      <c r="C93" s="96" t="s">
        <v>85</v>
      </c>
      <c r="D93" s="96" t="s">
        <v>221</v>
      </c>
      <c r="E93" s="96" t="s">
        <v>213</v>
      </c>
      <c r="F93" s="96" t="s">
        <v>214</v>
      </c>
      <c r="G93" s="96" t="s">
        <v>302</v>
      </c>
      <c r="H93" s="100"/>
    </row>
    <row r="94" ht="15" customHeight="1">
      <c r="A94" s="96" t="str">
        <f>source_columns[[#This Row],[Название таблицы STAGE]]&amp;source_columns[[#This Row],[Название поля]]</f>
        <v>b3060000410012_producttargetobjectId</v>
      </c>
      <c r="B94" s="96" t="s">
        <v>144</v>
      </c>
      <c r="C94" s="96" t="s">
        <v>269</v>
      </c>
      <c r="D94" s="96" t="s">
        <v>221</v>
      </c>
      <c r="E94" s="96" t="s">
        <v>207</v>
      </c>
      <c r="F94" s="96" t="s">
        <v>208</v>
      </c>
      <c r="G94" s="96" t="s">
        <v>209</v>
      </c>
      <c r="H94" s="96" t="s">
        <v>303</v>
      </c>
    </row>
    <row r="95" ht="15" customHeight="1">
      <c r="A95" s="96" t="str">
        <f>source_columns[[#This Row],[Название таблицы STAGE]]&amp;source_columns[[#This Row],[Название поля]]</f>
        <v>b3060000410012_producttargetobjectId_uid</v>
      </c>
      <c r="B95" s="96" t="s">
        <v>144</v>
      </c>
      <c r="C95" s="96" t="s">
        <v>271</v>
      </c>
      <c r="D95" s="96" t="s">
        <v>218</v>
      </c>
      <c r="E95" s="96" t="s">
        <v>213</v>
      </c>
      <c r="F95" s="96" t="s">
        <v>214</v>
      </c>
      <c r="G95" s="96"/>
      <c r="H95" s="100"/>
    </row>
    <row r="96" ht="15" customHeight="1">
      <c r="A96" s="96" t="str">
        <f>source_columns[[#This Row],[Название таблицы STAGE]]&amp;source_columns[[#This Row],[Название поля]]</f>
        <v>b3060000410012_producttargetname</v>
      </c>
      <c r="B96" s="96" t="s">
        <v>144</v>
      </c>
      <c r="C96" s="96" t="s">
        <v>85</v>
      </c>
      <c r="D96" s="96" t="s">
        <v>221</v>
      </c>
      <c r="E96" s="96" t="s">
        <v>213</v>
      </c>
      <c r="F96" s="96" t="s">
        <v>214</v>
      </c>
      <c r="G96" s="96" t="s">
        <v>302</v>
      </c>
      <c r="H96" s="100"/>
    </row>
    <row r="97" ht="15" customHeight="1">
      <c r="A97" s="96" t="str">
        <f>source_columns[[#This Row],[Название таблицы STAGE]]&amp;source_columns[[#This Row],[Название поля]]</f>
        <v>b3060000410012_producttargetdescription</v>
      </c>
      <c r="B97" s="96" t="s">
        <v>144</v>
      </c>
      <c r="C97" s="96" t="s">
        <v>304</v>
      </c>
      <c r="D97" s="96" t="s">
        <v>221</v>
      </c>
      <c r="E97" s="96" t="s">
        <v>213</v>
      </c>
      <c r="F97" s="96" t="s">
        <v>214</v>
      </c>
      <c r="G97" s="96"/>
      <c r="H97" s="100"/>
    </row>
    <row r="98" ht="15" customHeight="1">
      <c r="A98" s="96" t="str">
        <f>source_columns[[#This Row],[Название таблицы STAGE]]&amp;source_columns[[#This Row],[Название поля]]</f>
        <v>b3060000410013_StatusobjectId</v>
      </c>
      <c r="B98" s="96" t="s">
        <v>168</v>
      </c>
      <c r="C98" s="96" t="s">
        <v>269</v>
      </c>
      <c r="D98" s="96" t="s">
        <v>206</v>
      </c>
      <c r="E98" s="96" t="s">
        <v>207</v>
      </c>
      <c r="F98" s="96" t="s">
        <v>208</v>
      </c>
      <c r="G98" s="96" t="s">
        <v>209</v>
      </c>
      <c r="H98" s="96" t="s">
        <v>305</v>
      </c>
    </row>
    <row r="99" ht="15" customHeight="1">
      <c r="A99" s="96" t="str">
        <f>source_columns[[#This Row],[Название таблицы STAGE]]&amp;source_columns[[#This Row],[Название поля]]</f>
        <v>b3060000410013_StatusobjectId_uid</v>
      </c>
      <c r="B99" s="96" t="s">
        <v>168</v>
      </c>
      <c r="C99" s="96" t="s">
        <v>271</v>
      </c>
      <c r="D99" s="96" t="s">
        <v>218</v>
      </c>
      <c r="E99" s="96" t="s">
        <v>213</v>
      </c>
      <c r="F99" s="96" t="s">
        <v>214</v>
      </c>
      <c r="G99" s="96"/>
      <c r="H99" s="100"/>
    </row>
    <row r="100" ht="15" customHeight="1">
      <c r="A100" s="96" t="str">
        <f>source_columns[[#This Row],[Название таблицы STAGE]]&amp;source_columns[[#This Row],[Название поля]]</f>
        <v>b3060000410013_Statusname</v>
      </c>
      <c r="B100" s="96" t="s">
        <v>168</v>
      </c>
      <c r="C100" s="96" t="s">
        <v>85</v>
      </c>
      <c r="D100" s="96" t="s">
        <v>221</v>
      </c>
      <c r="E100" s="96" t="s">
        <v>213</v>
      </c>
      <c r="F100" s="96" t="s">
        <v>214</v>
      </c>
      <c r="G100" s="96" t="s">
        <v>306</v>
      </c>
      <c r="H100" s="100"/>
    </row>
    <row r="101" ht="15" customHeight="1">
      <c r="A101" s="96" t="str">
        <f>source_columns[[#This Row],[Название таблицы STAGE]]&amp;source_columns[[#This Row],[Название поля]]</f>
        <v>b3060000410013_Statuscode</v>
      </c>
      <c r="B101" s="96" t="s">
        <v>168</v>
      </c>
      <c r="C101" s="96" t="s">
        <v>170</v>
      </c>
      <c r="D101" s="96" t="s">
        <v>221</v>
      </c>
      <c r="E101" s="96" t="s">
        <v>213</v>
      </c>
      <c r="F101" s="96" t="s">
        <v>214</v>
      </c>
      <c r="G101" s="96" t="s">
        <v>307</v>
      </c>
      <c r="H101" s="100"/>
    </row>
    <row r="102" ht="15" customHeight="1">
      <c r="A102" s="96" t="str">
        <f>source_columns[[#This Row],[Название таблицы STAGE]]&amp;source_columns[[#This Row],[Название поля]]</f>
        <v>b3060000410013_Statusdescription</v>
      </c>
      <c r="B102" s="96" t="s">
        <v>168</v>
      </c>
      <c r="C102" s="96" t="s">
        <v>304</v>
      </c>
      <c r="D102" s="96" t="s">
        <v>221</v>
      </c>
      <c r="E102" s="96" t="s">
        <v>213</v>
      </c>
      <c r="F102" s="96" t="s">
        <v>214</v>
      </c>
      <c r="G102" s="96" t="s">
        <v>308</v>
      </c>
      <c r="H102" s="100"/>
    </row>
    <row r="103" ht="15" customHeight="1">
      <c r="A103" s="96" t="str">
        <f>source_columns[[#This Row],[Название таблицы STAGE]]&amp;source_columns[[#This Row],[Название поля]]</f>
        <v>b3060000410014_optionalParamobjectID</v>
      </c>
      <c r="B103" s="96" t="s">
        <v>98</v>
      </c>
      <c r="C103" s="96" t="s">
        <v>76</v>
      </c>
      <c r="D103" s="96" t="s">
        <v>206</v>
      </c>
      <c r="E103" s="96" t="s">
        <v>207</v>
      </c>
      <c r="F103" s="96" t="s">
        <v>208</v>
      </c>
      <c r="G103" s="96" t="s">
        <v>209</v>
      </c>
      <c r="H103" s="100" t="s">
        <v>309</v>
      </c>
    </row>
    <row r="104" ht="15" customHeight="1">
      <c r="A104" s="96" t="str">
        <f>source_columns[[#This Row],[Название таблицы STAGE]]&amp;source_columns[[#This Row],[Название поля]]</f>
        <v>b3060000410014_optionalParamcreaterkoext_short_foreign_key</v>
      </c>
      <c r="B104" s="96" t="s">
        <v>98</v>
      </c>
      <c r="C104" s="96" t="s">
        <v>277</v>
      </c>
      <c r="D104" s="96" t="s">
        <v>206</v>
      </c>
      <c r="E104" s="96" t="s">
        <v>213</v>
      </c>
      <c r="F104" s="96" t="s">
        <v>214</v>
      </c>
      <c r="G104" s="96" t="s">
        <v>310</v>
      </c>
      <c r="H104" s="100"/>
    </row>
    <row r="105" ht="15" customHeight="1">
      <c r="A105" s="96" t="str">
        <f>source_columns[[#This Row],[Название таблицы STAGE]]&amp;source_columns[[#This Row],[Название поля]]</f>
        <v>b3060000410014_optionalParamsbbolnumdog</v>
      </c>
      <c r="B105" s="96" t="s">
        <v>98</v>
      </c>
      <c r="C105" s="96" t="s">
        <v>99</v>
      </c>
      <c r="D105" s="96" t="s">
        <v>221</v>
      </c>
      <c r="E105" s="96" t="s">
        <v>213</v>
      </c>
      <c r="F105" s="96" t="s">
        <v>214</v>
      </c>
      <c r="G105" s="96" t="s">
        <v>311</v>
      </c>
      <c r="H105" s="100"/>
    </row>
    <row r="106" ht="15" customHeight="1">
      <c r="A106" s="101" t="str">
        <f>source_columns[[#This Row],[Название таблицы STAGE]]&amp;source_columns[[#This Row],[Название поля]]</f>
        <v>b3060000410015_MigrateEntityMapProductdivisionEksCode</v>
      </c>
      <c r="B106" s="101" t="s">
        <v>312</v>
      </c>
      <c r="C106" s="101" t="s">
        <v>313</v>
      </c>
      <c r="D106" s="101" t="s">
        <v>221</v>
      </c>
      <c r="E106" s="101" t="s">
        <v>213</v>
      </c>
      <c r="F106" s="101" t="s">
        <v>214</v>
      </c>
      <c r="G106" s="101" t="s">
        <v>314</v>
      </c>
      <c r="H106" s="100" t="s">
        <v>315</v>
      </c>
    </row>
    <row r="107" ht="15" customHeight="1">
      <c r="A107" s="101" t="str">
        <f>source_columns[[#This Row],[Название таблицы STAGE]]&amp;source_columns[[#This Row],[Название поля]]</f>
        <v>b3060000410015_MigrateEntityMapProductdivisionEksId</v>
      </c>
      <c r="B107" s="101" t="s">
        <v>312</v>
      </c>
      <c r="C107" s="101" t="s">
        <v>316</v>
      </c>
      <c r="D107" s="101" t="s">
        <v>206</v>
      </c>
      <c r="E107" s="101" t="s">
        <v>213</v>
      </c>
      <c r="F107" s="101" t="s">
        <v>214</v>
      </c>
      <c r="G107" s="101" t="s">
        <v>317</v>
      </c>
      <c r="H107" s="100"/>
    </row>
    <row r="108" ht="15" customHeight="1">
      <c r="A108" s="101" t="str">
        <f>source_columns[[#This Row],[Название таблицы STAGE]]&amp;source_columns[[#This Row],[Название поля]]</f>
        <v>b3060000410015_MigrateEntityMapProducteksId</v>
      </c>
      <c r="B108" s="101" t="s">
        <v>312</v>
      </c>
      <c r="C108" s="101" t="s">
        <v>318</v>
      </c>
      <c r="D108" s="101" t="s">
        <v>206</v>
      </c>
      <c r="E108" s="101" t="s">
        <v>213</v>
      </c>
      <c r="F108" s="101" t="s">
        <v>214</v>
      </c>
      <c r="G108" s="101" t="s">
        <v>319</v>
      </c>
      <c r="H108" s="100"/>
    </row>
    <row r="109" ht="15" customHeight="1">
      <c r="A109" s="101" t="str">
        <f>source_columns[[#This Row],[Название таблицы STAGE]]&amp;source_columns[[#This Row],[Название поля]]</f>
        <v>b3060000410015_MigrateEntityMapProducteksScn</v>
      </c>
      <c r="B109" s="101" t="s">
        <v>312</v>
      </c>
      <c r="C109" s="101" t="s">
        <v>320</v>
      </c>
      <c r="D109" s="101" t="s">
        <v>321</v>
      </c>
      <c r="E109" s="101" t="s">
        <v>213</v>
      </c>
      <c r="F109" s="101" t="s">
        <v>214</v>
      </c>
      <c r="G109" s="101" t="s">
        <v>322</v>
      </c>
      <c r="H109" s="100"/>
    </row>
    <row r="110" ht="15" customHeight="1">
      <c r="A110" s="101" t="str">
        <f>source_columns[[#This Row],[Название таблицы STAGE]]&amp;source_columns[[#This Row],[Название поля]]</f>
        <v>b3060000410015_MigrateEntityMapProductobjectId</v>
      </c>
      <c r="B110" s="101" t="s">
        <v>312</v>
      </c>
      <c r="C110" s="101" t="s">
        <v>269</v>
      </c>
      <c r="D110" s="101" t="s">
        <v>206</v>
      </c>
      <c r="E110" s="101" t="s">
        <v>207</v>
      </c>
      <c r="F110" s="101" t="s">
        <v>208</v>
      </c>
      <c r="G110" s="101" t="s">
        <v>270</v>
      </c>
      <c r="H110" s="100"/>
    </row>
    <row r="111" ht="15" customHeight="1">
      <c r="A111" s="101" t="str">
        <f>source_columns[[#This Row],[Название таблицы STAGE]]&amp;source_columns[[#This Row],[Название поля]]</f>
        <v>b3060000410015_MigrateEntityMapProductownerEksId</v>
      </c>
      <c r="B111" s="101" t="s">
        <v>312</v>
      </c>
      <c r="C111" s="101" t="s">
        <v>323</v>
      </c>
      <c r="D111" s="101" t="s">
        <v>206</v>
      </c>
      <c r="E111" s="101" t="s">
        <v>213</v>
      </c>
      <c r="F111" s="101" t="s">
        <v>214</v>
      </c>
      <c r="G111" s="101" t="s">
        <v>324</v>
      </c>
      <c r="H111" s="100"/>
    </row>
    <row r="112" ht="15" customHeight="1">
      <c r="A112" s="101" t="str">
        <f>source_columns[[#This Row],[Название таблицы STAGE]]&amp;source_columns[[#This Row],[Название поля]]</f>
        <v>b3060000410015_MigrateEntityMapProductproduct_entityId</v>
      </c>
      <c r="B112" s="101" t="s">
        <v>312</v>
      </c>
      <c r="C112" s="101" t="s">
        <v>325</v>
      </c>
      <c r="D112" s="101" t="s">
        <v>206</v>
      </c>
      <c r="E112" s="101" t="s">
        <v>213</v>
      </c>
      <c r="F112" s="101" t="s">
        <v>214</v>
      </c>
      <c r="G112" s="101" t="s">
        <v>326</v>
      </c>
      <c r="H112" s="100"/>
    </row>
    <row r="113" ht="15" customHeight="1">
      <c r="A113" s="96" t="str">
        <f>source_columns[[#This Row],[Название таблицы STAGE]]&amp;source_columns[[#This Row],[Название поля]]</f>
        <v>b3060000410016_departobjectid</v>
      </c>
      <c r="B113" s="96" t="s">
        <v>101</v>
      </c>
      <c r="C113" s="96" t="s">
        <v>39</v>
      </c>
      <c r="D113" s="96" t="s">
        <v>206</v>
      </c>
      <c r="E113" s="96" t="s">
        <v>207</v>
      </c>
      <c r="F113" s="96" t="s">
        <v>208</v>
      </c>
      <c r="G113" s="96" t="s">
        <v>270</v>
      </c>
      <c r="H113" s="100" t="s">
        <v>327</v>
      </c>
    </row>
    <row r="114" ht="15" customHeight="1">
      <c r="A114" s="96" t="str">
        <f>source_columns[[#This Row],[Название таблицы STAGE]]&amp;source_columns[[#This Row],[Название поля]]</f>
        <v>b3060000410016_departbusinessportcode</v>
      </c>
      <c r="B114" s="96" t="s">
        <v>101</v>
      </c>
      <c r="C114" s="102" t="s">
        <v>328</v>
      </c>
      <c r="D114" s="96" t="s">
        <v>221</v>
      </c>
      <c r="E114" s="96" t="s">
        <v>213</v>
      </c>
      <c r="F114" s="96" t="s">
        <v>214</v>
      </c>
      <c r="G114" s="96"/>
      <c r="H114" s="100"/>
    </row>
    <row r="115" ht="15" customHeight="1">
      <c r="A115" s="96" t="str">
        <f>source_columns[[#This Row],[Название таблицы STAGE]]&amp;source_columns[[#This Row],[Название поля]]</f>
        <v>b3060000410016_departsubdivisioncode_uid</v>
      </c>
      <c r="B115" s="96" t="s">
        <v>101</v>
      </c>
      <c r="C115" s="96" t="s">
        <v>102</v>
      </c>
      <c r="D115" s="96" t="s">
        <v>218</v>
      </c>
      <c r="E115" s="96" t="s">
        <v>213</v>
      </c>
      <c r="F115" s="96" t="s">
        <v>214</v>
      </c>
      <c r="G115" s="96" t="s">
        <v>248</v>
      </c>
      <c r="H115" s="100"/>
    </row>
    <row r="116" ht="15" customHeight="1">
      <c r="A116" s="96" t="str">
        <f>source_columns[[#This Row],[Название таблицы STAGE]]&amp;source_columns[[#This Row],[Название поля]]</f>
        <v>b3060000410016_departcreaterkoext_short_foreign_key</v>
      </c>
      <c r="B116" s="96" t="s">
        <v>101</v>
      </c>
      <c r="C116" s="96" t="s">
        <v>277</v>
      </c>
      <c r="D116" s="96" t="s">
        <v>206</v>
      </c>
      <c r="E116" s="96" t="s">
        <v>213</v>
      </c>
      <c r="F116" s="96" t="s">
        <v>214</v>
      </c>
      <c r="G116" s="96" t="s">
        <v>243</v>
      </c>
      <c r="H116" s="100"/>
    </row>
    <row r="117" ht="15" customHeight="1">
      <c r="A117" s="96" t="str">
        <f>source_columns[[#This Row],[Название таблицы STAGE]]&amp;source_columns[[#This Row],[Название поля]]</f>
        <v>b3060000410016_departsubdivisioncode</v>
      </c>
      <c r="B117" s="96" t="s">
        <v>101</v>
      </c>
      <c r="C117" s="96" t="s">
        <v>329</v>
      </c>
      <c r="D117" s="96" t="s">
        <v>221</v>
      </c>
      <c r="E117" s="96" t="s">
        <v>213</v>
      </c>
      <c r="F117" s="96" t="s">
        <v>214</v>
      </c>
      <c r="G117" s="96" t="s">
        <v>248</v>
      </c>
      <c r="H117" s="100"/>
    </row>
    <row r="118" ht="15" customHeight="1">
      <c r="A118" s="100"/>
      <c r="B118" s="100"/>
      <c r="C118" s="100"/>
      <c r="D118" s="100"/>
      <c r="E118" s="100"/>
      <c r="F118" s="100"/>
      <c r="G118" s="100"/>
      <c r="H118" s="100"/>
    </row>
    <row r="119" ht="15" customHeight="1">
      <c r="A119" s="100"/>
      <c r="B119" s="100"/>
      <c r="C119" s="100"/>
      <c r="D119" s="100"/>
      <c r="E119" s="100"/>
      <c r="F119" s="100"/>
      <c r="G119" s="100"/>
      <c r="H119" s="100"/>
    </row>
    <row r="120" ht="15" customHeight="1">
      <c r="A120" s="100"/>
      <c r="B120" s="100"/>
      <c r="C120" s="100"/>
      <c r="D120" s="100"/>
      <c r="E120" s="100"/>
      <c r="F120" s="100"/>
      <c r="G120" s="100"/>
      <c r="H120" s="100"/>
    </row>
    <row r="121" ht="15" customHeight="1">
      <c r="A121" s="100"/>
      <c r="B121" s="100"/>
      <c r="C121" s="100"/>
      <c r="D121" s="100"/>
      <c r="E121" s="100"/>
      <c r="F121" s="100"/>
      <c r="G121" s="100"/>
      <c r="H121" s="100"/>
    </row>
    <row r="122" ht="15" customHeight="1">
      <c r="A122" s="100"/>
      <c r="B122" s="100"/>
      <c r="C122" s="100"/>
      <c r="D122" s="100"/>
      <c r="E122" s="100"/>
      <c r="F122" s="100"/>
      <c r="G122" s="100"/>
      <c r="H122" s="100"/>
    </row>
    <row r="123" ht="15" customHeight="1">
      <c r="A123" s="100"/>
      <c r="B123" s="100"/>
      <c r="C123" s="100"/>
      <c r="D123" s="100"/>
      <c r="E123" s="100"/>
      <c r="F123" s="100"/>
      <c r="G123" s="100"/>
      <c r="H123" s="100"/>
    </row>
    <row r="124" ht="15" customHeight="1">
      <c r="A124" s="100"/>
      <c r="B124" s="100"/>
      <c r="C124" s="100"/>
      <c r="D124" s="100"/>
      <c r="E124" s="100"/>
      <c r="F124" s="100"/>
      <c r="G124" s="100"/>
      <c r="H124" s="100"/>
    </row>
    <row r="125" ht="15" customHeight="1">
      <c r="A125" s="100"/>
      <c r="B125" s="100"/>
      <c r="C125" s="100"/>
      <c r="D125" s="100"/>
      <c r="E125" s="100"/>
      <c r="F125" s="100"/>
      <c r="G125" s="100"/>
      <c r="H125" s="100"/>
    </row>
    <row r="126" ht="15" customHeight="1">
      <c r="A126" s="100"/>
      <c r="B126" s="100"/>
      <c r="C126" s="100"/>
      <c r="D126" s="100"/>
      <c r="E126" s="100"/>
      <c r="F126" s="100"/>
      <c r="G126" s="100"/>
      <c r="H126" s="100"/>
    </row>
    <row r="127" ht="15" customHeight="1">
      <c r="A127" s="100"/>
      <c r="B127" s="100"/>
      <c r="C127" s="100"/>
      <c r="D127" s="100"/>
      <c r="E127" s="100"/>
      <c r="F127" s="100"/>
      <c r="G127" s="100"/>
      <c r="H127" s="100"/>
    </row>
    <row r="128" ht="15" customHeight="1">
      <c r="A128" s="100"/>
      <c r="B128" s="100"/>
      <c r="C128" s="100"/>
      <c r="D128" s="100"/>
      <c r="E128" s="100"/>
      <c r="F128" s="100"/>
      <c r="G128" s="100"/>
      <c r="H128" s="100"/>
    </row>
    <row r="129" ht="15" customHeight="1">
      <c r="A129" s="100"/>
      <c r="B129" s="100"/>
      <c r="C129" s="100"/>
      <c r="D129" s="100"/>
      <c r="E129" s="100"/>
      <c r="F129" s="100"/>
      <c r="G129" s="100"/>
      <c r="H129" s="100"/>
    </row>
    <row r="130" ht="15" customHeight="1">
      <c r="A130" s="100"/>
      <c r="B130" s="100"/>
      <c r="C130" s="100"/>
      <c r="D130" s="100"/>
      <c r="E130" s="100"/>
      <c r="F130" s="100"/>
      <c r="G130" s="100"/>
      <c r="H130" s="100"/>
    </row>
    <row r="131" ht="15" customHeight="1">
      <c r="A131" s="100"/>
      <c r="B131" s="100"/>
      <c r="C131" s="100"/>
      <c r="D131" s="100"/>
      <c r="E131" s="100"/>
      <c r="F131" s="100"/>
      <c r="G131" s="100"/>
      <c r="H131" s="100"/>
    </row>
    <row r="132" ht="15" customHeight="1">
      <c r="A132" s="100"/>
      <c r="B132" s="100"/>
      <c r="C132" s="100"/>
      <c r="D132" s="100"/>
      <c r="E132" s="100"/>
      <c r="F132" s="100"/>
      <c r="G132" s="100"/>
      <c r="H132" s="100"/>
    </row>
    <row r="133" ht="15" customHeight="1">
      <c r="A133" s="100"/>
      <c r="B133" s="100"/>
      <c r="C133" s="100"/>
      <c r="D133" s="100"/>
      <c r="E133" s="100"/>
      <c r="F133" s="100"/>
      <c r="G133" s="100"/>
      <c r="H133" s="100"/>
    </row>
    <row r="134" ht="15" customHeight="1">
      <c r="A134" s="100"/>
      <c r="B134" s="100"/>
      <c r="C134" s="100"/>
      <c r="D134" s="100"/>
      <c r="E134" s="100"/>
      <c r="F134" s="100"/>
      <c r="G134" s="100"/>
      <c r="H134" s="100"/>
    </row>
    <row r="135" ht="15" customHeight="1">
      <c r="A135" s="100"/>
      <c r="B135" s="100"/>
      <c r="C135" s="100"/>
      <c r="D135" s="100"/>
      <c r="E135" s="100"/>
      <c r="F135" s="100"/>
      <c r="G135" s="100"/>
      <c r="H135" s="100"/>
    </row>
    <row r="136" ht="15" customHeight="1">
      <c r="A136" s="100"/>
      <c r="B136" s="100"/>
      <c r="C136" s="100"/>
      <c r="D136" s="100"/>
      <c r="E136" s="100"/>
      <c r="F136" s="100"/>
      <c r="G136" s="100"/>
      <c r="H136" s="100"/>
    </row>
    <row r="137" ht="15" customHeight="1">
      <c r="A137" s="100"/>
      <c r="B137" s="100"/>
      <c r="C137" s="100"/>
      <c r="D137" s="100"/>
      <c r="E137" s="100"/>
      <c r="F137" s="100"/>
      <c r="G137" s="100"/>
      <c r="H137" s="100"/>
    </row>
    <row r="138" ht="15" customHeight="1">
      <c r="A138" s="100"/>
      <c r="B138" s="100"/>
      <c r="C138" s="100"/>
      <c r="D138" s="100"/>
      <c r="E138" s="100"/>
      <c r="F138" s="100"/>
      <c r="G138" s="100"/>
      <c r="H138" s="100"/>
    </row>
    <row r="139" ht="15" customHeight="1">
      <c r="A139" s="100"/>
      <c r="B139" s="100"/>
      <c r="C139" s="100"/>
      <c r="D139" s="100"/>
      <c r="E139" s="100"/>
      <c r="F139" s="100"/>
      <c r="G139" s="100"/>
      <c r="H139" s="100"/>
    </row>
    <row r="140" ht="15" customHeight="1">
      <c r="A140" s="100"/>
      <c r="B140" s="100"/>
      <c r="C140" s="100"/>
      <c r="D140" s="100"/>
      <c r="E140" s="100"/>
      <c r="F140" s="100"/>
      <c r="G140" s="100"/>
      <c r="H140" s="100"/>
    </row>
    <row r="141" ht="15" customHeight="1">
      <c r="A141" s="100"/>
      <c r="B141" s="100"/>
      <c r="C141" s="100"/>
      <c r="D141" s="100"/>
      <c r="E141" s="100"/>
      <c r="F141" s="100"/>
      <c r="G141" s="100"/>
      <c r="H141" s="100"/>
    </row>
    <row r="142" ht="15" customHeight="1">
      <c r="A142" s="100"/>
      <c r="B142" s="100"/>
      <c r="C142" s="100"/>
      <c r="D142" s="100"/>
      <c r="E142" s="100"/>
      <c r="F142" s="100"/>
      <c r="G142" s="100"/>
      <c r="H142" s="100"/>
    </row>
    <row r="143" ht="15" customHeight="1">
      <c r="A143" s="100"/>
      <c r="B143" s="100"/>
      <c r="C143" s="100"/>
      <c r="D143" s="100"/>
      <c r="E143" s="100"/>
      <c r="F143" s="100"/>
      <c r="G143" s="100"/>
      <c r="H143" s="100"/>
    </row>
    <row r="144" ht="15" customHeight="1">
      <c r="A144" s="100"/>
      <c r="B144" s="100"/>
      <c r="C144" s="100"/>
      <c r="D144" s="100"/>
      <c r="E144" s="100"/>
      <c r="F144" s="100"/>
      <c r="G144" s="100"/>
      <c r="H144" s="100"/>
    </row>
    <row r="145" ht="15" customHeight="1">
      <c r="A145" s="100"/>
      <c r="B145" s="100"/>
      <c r="C145" s="100"/>
      <c r="D145" s="100"/>
      <c r="E145" s="100"/>
      <c r="F145" s="100"/>
      <c r="G145" s="100"/>
      <c r="H145" s="100"/>
    </row>
    <row r="146" ht="15" customHeight="1">
      <c r="A146" s="100"/>
      <c r="B146" s="100"/>
      <c r="C146" s="100"/>
      <c r="D146" s="100"/>
      <c r="E146" s="100"/>
      <c r="F146" s="100"/>
      <c r="G146" s="100"/>
      <c r="H146" s="100"/>
    </row>
    <row r="147" ht="15" customHeight="1">
      <c r="A147" s="100"/>
      <c r="B147" s="100"/>
      <c r="C147" s="100"/>
      <c r="D147" s="100"/>
      <c r="E147" s="100"/>
      <c r="F147" s="100"/>
      <c r="G147" s="100"/>
      <c r="H147" s="100"/>
    </row>
    <row r="148" ht="15" customHeight="1">
      <c r="A148" s="100"/>
      <c r="B148" s="100"/>
      <c r="C148" s="100"/>
      <c r="D148" s="100"/>
      <c r="E148" s="100"/>
      <c r="F148" s="100"/>
      <c r="G148" s="100"/>
      <c r="H148" s="100"/>
    </row>
    <row r="149" ht="15" customHeight="1">
      <c r="A149" s="100"/>
      <c r="B149" s="100"/>
      <c r="C149" s="100"/>
      <c r="D149" s="100"/>
      <c r="E149" s="100"/>
      <c r="F149" s="100"/>
      <c r="G149" s="100"/>
      <c r="H149" s="100"/>
    </row>
    <row r="150" ht="15" customHeight="1">
      <c r="A150" s="100"/>
      <c r="B150" s="100"/>
      <c r="C150" s="100"/>
      <c r="D150" s="100"/>
      <c r="E150" s="100"/>
      <c r="F150" s="100"/>
      <c r="G150" s="100"/>
      <c r="H150" s="100"/>
    </row>
    <row r="151" ht="15" customHeight="1">
      <c r="A151" s="100"/>
      <c r="B151" s="100"/>
      <c r="C151" s="100"/>
      <c r="D151" s="100"/>
      <c r="E151" s="100"/>
      <c r="F151" s="100"/>
      <c r="G151" s="100"/>
      <c r="H151" s="100"/>
    </row>
    <row r="152" ht="15" customHeight="1">
      <c r="A152" s="100"/>
      <c r="B152" s="100"/>
      <c r="C152" s="100"/>
      <c r="D152" s="100"/>
      <c r="E152" s="100"/>
      <c r="F152" s="100"/>
      <c r="G152" s="100"/>
      <c r="H152" s="100"/>
    </row>
    <row r="153" ht="15" customHeight="1">
      <c r="A153" s="100"/>
      <c r="B153" s="100"/>
      <c r="C153" s="100"/>
      <c r="D153" s="100"/>
      <c r="E153" s="100"/>
      <c r="F153" s="100"/>
      <c r="G153" s="100"/>
      <c r="H153" s="100"/>
    </row>
    <row r="154" ht="15" customHeight="1">
      <c r="A154" s="100"/>
      <c r="B154" s="100"/>
      <c r="C154" s="100"/>
      <c r="D154" s="100"/>
      <c r="E154" s="100"/>
      <c r="F154" s="100"/>
      <c r="G154" s="100"/>
      <c r="H154" s="100"/>
    </row>
    <row r="155" ht="15" customHeight="1">
      <c r="A155" s="100"/>
      <c r="B155" s="100"/>
      <c r="C155" s="100"/>
      <c r="D155" s="100"/>
      <c r="E155" s="100"/>
      <c r="F155" s="100"/>
      <c r="G155" s="100"/>
      <c r="H155" s="100"/>
    </row>
    <row r="156" ht="15" customHeight="1">
      <c r="A156" s="100"/>
      <c r="B156" s="100"/>
      <c r="C156" s="100"/>
      <c r="D156" s="100"/>
      <c r="E156" s="100"/>
      <c r="F156" s="100"/>
      <c r="G156" s="100"/>
      <c r="H156" s="100"/>
    </row>
    <row r="157" ht="15" customHeight="1">
      <c r="A157" s="100"/>
      <c r="B157" s="100"/>
      <c r="C157" s="100"/>
      <c r="D157" s="100"/>
      <c r="E157" s="100"/>
      <c r="F157" s="100"/>
      <c r="G157" s="100"/>
      <c r="H157" s="100"/>
    </row>
    <row r="158" ht="15" customHeight="1">
      <c r="A158" s="100"/>
      <c r="B158" s="100"/>
      <c r="C158" s="100"/>
      <c r="D158" s="100"/>
      <c r="E158" s="100"/>
      <c r="F158" s="100"/>
      <c r="G158" s="100"/>
      <c r="H158" s="100"/>
    </row>
    <row r="159" ht="15" customHeight="1">
      <c r="A159" s="100"/>
      <c r="B159" s="100"/>
      <c r="C159" s="100"/>
      <c r="D159" s="100"/>
      <c r="E159" s="100"/>
      <c r="F159" s="100"/>
      <c r="G159" s="100"/>
      <c r="H159" s="100"/>
    </row>
    <row r="160" ht="15" customHeight="1">
      <c r="A160" s="100"/>
      <c r="B160" s="100"/>
      <c r="C160" s="100"/>
      <c r="D160" s="100"/>
      <c r="E160" s="100"/>
      <c r="F160" s="100"/>
      <c r="G160" s="100"/>
      <c r="H160" s="100"/>
    </row>
    <row r="161" ht="15" customHeight="1">
      <c r="A161" s="100"/>
      <c r="B161" s="100"/>
      <c r="C161" s="100"/>
      <c r="D161" s="100"/>
      <c r="E161" s="100"/>
      <c r="F161" s="100"/>
      <c r="G161" s="100"/>
      <c r="H161" s="100"/>
    </row>
    <row r="162" ht="15" customHeight="1">
      <c r="A162" s="100"/>
      <c r="B162" s="100"/>
      <c r="C162" s="100"/>
      <c r="D162" s="100"/>
      <c r="E162" s="100"/>
      <c r="F162" s="100"/>
      <c r="G162" s="100"/>
      <c r="H162" s="100"/>
    </row>
    <row r="163" ht="15" customHeight="1">
      <c r="A163" s="100"/>
      <c r="B163" s="100"/>
      <c r="C163" s="100"/>
      <c r="D163" s="100"/>
      <c r="E163" s="100"/>
      <c r="F163" s="100"/>
      <c r="G163" s="100"/>
      <c r="H163" s="100"/>
    </row>
    <row r="164" ht="15" customHeight="1">
      <c r="A164" s="100"/>
      <c r="B164" s="100"/>
      <c r="C164" s="100"/>
      <c r="D164" s="100"/>
      <c r="E164" s="100"/>
      <c r="F164" s="100"/>
      <c r="G164" s="100"/>
      <c r="H164" s="100"/>
    </row>
    <row r="165" ht="15" customHeight="1">
      <c r="A165" s="100"/>
      <c r="B165" s="100"/>
      <c r="C165" s="100"/>
      <c r="D165" s="100"/>
      <c r="E165" s="100"/>
      <c r="F165" s="100"/>
      <c r="G165" s="100"/>
      <c r="H165" s="100"/>
    </row>
    <row r="166" ht="15" customHeight="1">
      <c r="A166" s="100"/>
      <c r="B166" s="100"/>
      <c r="C166" s="100"/>
      <c r="D166" s="100"/>
      <c r="E166" s="100"/>
      <c r="F166" s="100"/>
      <c r="G166" s="100"/>
      <c r="H166" s="100"/>
    </row>
    <row r="167" ht="15" customHeight="1">
      <c r="A167" s="100"/>
      <c r="B167" s="100"/>
      <c r="C167" s="100"/>
      <c r="D167" s="100"/>
      <c r="E167" s="100"/>
      <c r="F167" s="100"/>
      <c r="G167" s="100"/>
      <c r="H167" s="100"/>
    </row>
    <row r="168" ht="15" customHeight="1">
      <c r="A168" s="100"/>
      <c r="B168" s="100"/>
      <c r="C168" s="100"/>
      <c r="D168" s="100"/>
      <c r="E168" s="100"/>
      <c r="F168" s="100"/>
      <c r="G168" s="100"/>
      <c r="H168" s="100"/>
    </row>
    <row r="169" ht="15" customHeight="1">
      <c r="A169" s="100"/>
      <c r="B169" s="100"/>
      <c r="C169" s="100"/>
      <c r="D169" s="100"/>
      <c r="E169" s="100"/>
      <c r="F169" s="100"/>
      <c r="G169" s="100"/>
      <c r="H169" s="100"/>
    </row>
    <row r="170" ht="15" customHeight="1">
      <c r="A170" s="100"/>
      <c r="B170" s="100"/>
      <c r="C170" s="100"/>
      <c r="D170" s="100"/>
      <c r="E170" s="100"/>
      <c r="F170" s="100"/>
      <c r="G170" s="100"/>
      <c r="H170" s="100"/>
    </row>
    <row r="171" ht="15" customHeight="1">
      <c r="A171" s="100"/>
      <c r="B171" s="100"/>
      <c r="C171" s="100"/>
      <c r="D171" s="100"/>
      <c r="E171" s="100"/>
      <c r="F171" s="100"/>
      <c r="G171" s="100"/>
      <c r="H171" s="100"/>
    </row>
    <row r="172" ht="15" customHeight="1">
      <c r="A172" s="100"/>
      <c r="B172" s="100"/>
      <c r="C172" s="100"/>
      <c r="D172" s="100"/>
      <c r="E172" s="100"/>
      <c r="F172" s="100"/>
      <c r="G172" s="100"/>
      <c r="H172" s="100"/>
    </row>
    <row r="173" ht="15" customHeight="1">
      <c r="A173" s="100"/>
      <c r="B173" s="100"/>
      <c r="C173" s="100"/>
      <c r="D173" s="100"/>
      <c r="E173" s="100"/>
      <c r="F173" s="100"/>
      <c r="G173" s="100"/>
      <c r="H173" s="100"/>
    </row>
    <row r="174" ht="15" customHeight="1">
      <c r="A174" s="100"/>
      <c r="B174" s="100"/>
      <c r="C174" s="100"/>
      <c r="D174" s="100"/>
      <c r="E174" s="100"/>
      <c r="F174" s="100"/>
      <c r="G174" s="100"/>
      <c r="H174" s="100"/>
    </row>
    <row r="175" ht="15" customHeight="1">
      <c r="A175" s="100"/>
      <c r="B175" s="100"/>
      <c r="C175" s="100"/>
      <c r="D175" s="100"/>
      <c r="E175" s="100"/>
      <c r="F175" s="100"/>
      <c r="G175" s="100"/>
      <c r="H175" s="100"/>
    </row>
    <row r="176" ht="15" customHeight="1">
      <c r="A176" s="100"/>
      <c r="B176" s="100"/>
      <c r="C176" s="100"/>
      <c r="D176" s="100"/>
      <c r="E176" s="100"/>
      <c r="F176" s="100"/>
      <c r="G176" s="100"/>
      <c r="H176" s="100"/>
    </row>
    <row r="177" ht="15" customHeight="1">
      <c r="A177" s="100"/>
      <c r="B177" s="100"/>
      <c r="C177" s="100"/>
      <c r="D177" s="100"/>
      <c r="E177" s="100"/>
      <c r="F177" s="100"/>
      <c r="G177" s="100"/>
      <c r="H177" s="100"/>
    </row>
    <row r="178" ht="15" customHeight="1">
      <c r="A178" s="100"/>
      <c r="B178" s="100"/>
      <c r="C178" s="100"/>
      <c r="D178" s="100"/>
      <c r="E178" s="100"/>
      <c r="F178" s="100"/>
      <c r="G178" s="100"/>
      <c r="H178" s="100"/>
    </row>
    <row r="179" ht="15" customHeight="1">
      <c r="A179" s="100"/>
      <c r="B179" s="100"/>
      <c r="C179" s="100"/>
      <c r="D179" s="100"/>
      <c r="E179" s="100"/>
      <c r="F179" s="100"/>
      <c r="G179" s="100"/>
      <c r="H179" s="100"/>
    </row>
    <row r="180" ht="15" customHeight="1">
      <c r="A180" s="100"/>
      <c r="B180" s="100"/>
      <c r="C180" s="100"/>
      <c r="D180" s="100"/>
      <c r="E180" s="100"/>
      <c r="F180" s="100"/>
      <c r="G180" s="100"/>
      <c r="H180" s="100"/>
    </row>
    <row r="181" ht="15" customHeight="1">
      <c r="A181" s="100"/>
      <c r="B181" s="100"/>
      <c r="C181" s="100"/>
      <c r="D181" s="100"/>
      <c r="E181" s="100"/>
      <c r="F181" s="100"/>
      <c r="G181" s="100"/>
      <c r="H181" s="100"/>
    </row>
    <row r="182" ht="15" customHeight="1">
      <c r="A182" s="100"/>
      <c r="B182" s="100"/>
      <c r="C182" s="100"/>
      <c r="D182" s="100"/>
      <c r="E182" s="100"/>
      <c r="F182" s="100"/>
      <c r="G182" s="100"/>
      <c r="H182" s="100"/>
    </row>
    <row r="183" ht="15" customHeight="1">
      <c r="A183" s="100"/>
      <c r="B183" s="100"/>
      <c r="C183" s="100"/>
      <c r="D183" s="100"/>
      <c r="E183" s="100"/>
      <c r="F183" s="100"/>
      <c r="G183" s="100"/>
      <c r="H183" s="100"/>
    </row>
    <row r="184" ht="15" customHeight="1">
      <c r="A184" s="100"/>
      <c r="B184" s="100"/>
      <c r="C184" s="100"/>
      <c r="D184" s="100"/>
      <c r="E184" s="100"/>
      <c r="F184" s="100"/>
      <c r="G184" s="100"/>
      <c r="H184" s="100"/>
    </row>
    <row r="185" ht="15" customHeight="1">
      <c r="A185" s="100"/>
      <c r="B185" s="100"/>
      <c r="C185" s="100"/>
      <c r="D185" s="100"/>
      <c r="E185" s="100"/>
      <c r="F185" s="100"/>
      <c r="G185" s="100"/>
      <c r="H185" s="100"/>
    </row>
    <row r="186" ht="15" customHeight="1">
      <c r="A186" s="100"/>
      <c r="B186" s="100"/>
      <c r="C186" s="100"/>
      <c r="D186" s="100"/>
      <c r="E186" s="100"/>
      <c r="F186" s="100"/>
      <c r="G186" s="100"/>
      <c r="H186" s="100"/>
    </row>
    <row r="187" ht="15" customHeight="1">
      <c r="A187" s="100"/>
      <c r="B187" s="100"/>
      <c r="C187" s="100"/>
      <c r="D187" s="100"/>
      <c r="E187" s="100"/>
      <c r="F187" s="100"/>
      <c r="G187" s="100"/>
      <c r="H187" s="100"/>
    </row>
    <row r="188" ht="15" customHeight="1">
      <c r="A188" s="100"/>
      <c r="B188" s="100"/>
      <c r="C188" s="100"/>
      <c r="D188" s="100"/>
      <c r="E188" s="100"/>
      <c r="F188" s="100"/>
      <c r="G188" s="100"/>
      <c r="H188" s="100"/>
    </row>
    <row r="189" ht="15" customHeight="1">
      <c r="A189" s="100"/>
      <c r="B189" s="100"/>
      <c r="C189" s="100"/>
      <c r="D189" s="100"/>
      <c r="E189" s="100"/>
      <c r="F189" s="100"/>
      <c r="G189" s="100"/>
      <c r="H189" s="100"/>
    </row>
    <row r="190" ht="15" customHeight="1">
      <c r="A190" s="100"/>
      <c r="B190" s="100"/>
      <c r="C190" s="100"/>
      <c r="D190" s="100"/>
      <c r="E190" s="100"/>
      <c r="F190" s="100"/>
      <c r="G190" s="100"/>
      <c r="H190" s="100"/>
    </row>
    <row r="191" ht="15" customHeight="1">
      <c r="A191" s="100"/>
      <c r="B191" s="100"/>
      <c r="C191" s="100"/>
      <c r="D191" s="100"/>
      <c r="E191" s="100"/>
      <c r="F191" s="100"/>
      <c r="G191" s="100"/>
      <c r="H191" s="100"/>
    </row>
    <row r="192" ht="15" customHeight="1">
      <c r="A192" s="100"/>
      <c r="B192" s="100"/>
      <c r="C192" s="100"/>
      <c r="D192" s="100"/>
      <c r="E192" s="100"/>
      <c r="F192" s="100"/>
      <c r="G192" s="100"/>
      <c r="H192" s="100"/>
    </row>
    <row r="193" ht="15" customHeight="1">
      <c r="A193" s="100"/>
      <c r="B193" s="100"/>
      <c r="C193" s="100"/>
      <c r="D193" s="100"/>
      <c r="E193" s="100"/>
      <c r="F193" s="100"/>
      <c r="G193" s="100"/>
      <c r="H193" s="100"/>
    </row>
    <row r="194" ht="15" customHeight="1">
      <c r="A194" s="100"/>
      <c r="B194" s="100"/>
      <c r="C194" s="100"/>
      <c r="D194" s="100"/>
      <c r="E194" s="100"/>
      <c r="F194" s="100"/>
      <c r="G194" s="100"/>
      <c r="H194" s="100"/>
    </row>
    <row r="195" ht="15" customHeight="1">
      <c r="A195" s="100"/>
      <c r="B195" s="100"/>
      <c r="C195" s="100"/>
      <c r="D195" s="100"/>
      <c r="E195" s="100"/>
      <c r="F195" s="100"/>
      <c r="G195" s="100"/>
      <c r="H195" s="100"/>
    </row>
    <row r="196" ht="15" customHeight="1">
      <c r="A196" s="100"/>
      <c r="B196" s="100"/>
      <c r="C196" s="100"/>
      <c r="D196" s="100"/>
      <c r="E196" s="100"/>
      <c r="F196" s="100"/>
      <c r="G196" s="100"/>
      <c r="H196" s="100"/>
    </row>
    <row r="197" ht="15" customHeight="1">
      <c r="A197" s="100"/>
      <c r="B197" s="100"/>
      <c r="C197" s="100"/>
      <c r="D197" s="100"/>
      <c r="E197" s="100"/>
      <c r="F197" s="100"/>
      <c r="G197" s="100"/>
      <c r="H197" s="100"/>
    </row>
    <row r="198" ht="15" customHeight="1">
      <c r="A198" s="100"/>
      <c r="B198" s="100"/>
      <c r="C198" s="100"/>
      <c r="D198" s="100"/>
      <c r="E198" s="100"/>
      <c r="F198" s="100"/>
      <c r="G198" s="100"/>
      <c r="H198" s="100"/>
    </row>
    <row r="199" ht="15" customHeight="1">
      <c r="A199" s="100"/>
      <c r="B199" s="100"/>
      <c r="C199" s="100"/>
      <c r="D199" s="100"/>
      <c r="E199" s="100"/>
      <c r="F199" s="100"/>
      <c r="G199" s="100"/>
      <c r="H199" s="100"/>
    </row>
    <row r="200" ht="15" customHeight="1">
      <c r="A200" s="100"/>
      <c r="B200" s="100"/>
      <c r="C200" s="100"/>
      <c r="D200" s="100"/>
      <c r="E200" s="100"/>
      <c r="F200" s="100"/>
      <c r="G200" s="100"/>
      <c r="H200" s="100"/>
    </row>
    <row r="201" ht="15" customHeight="1">
      <c r="A201" s="100"/>
      <c r="B201" s="100"/>
      <c r="C201" s="100"/>
      <c r="D201" s="100"/>
      <c r="E201" s="100"/>
      <c r="F201" s="100"/>
      <c r="G201" s="100"/>
      <c r="H201" s="100"/>
    </row>
    <row r="202" ht="15" customHeight="1">
      <c r="A202" s="100"/>
      <c r="B202" s="100"/>
      <c r="C202" s="100"/>
      <c r="D202" s="100"/>
      <c r="E202" s="100"/>
      <c r="F202" s="100"/>
      <c r="G202" s="100"/>
      <c r="H202" s="100"/>
    </row>
    <row r="203" ht="15" customHeight="1">
      <c r="A203" s="100"/>
      <c r="B203" s="100"/>
      <c r="C203" s="100"/>
      <c r="D203" s="100"/>
      <c r="E203" s="100"/>
      <c r="F203" s="100"/>
      <c r="G203" s="100"/>
      <c r="H203" s="100"/>
    </row>
    <row r="204" ht="15" customHeight="1">
      <c r="A204" s="100"/>
      <c r="B204" s="100"/>
      <c r="C204" s="100"/>
      <c r="D204" s="100"/>
      <c r="E204" s="100"/>
      <c r="F204" s="100"/>
      <c r="G204" s="100"/>
      <c r="H204" s="100"/>
    </row>
    <row r="205" ht="15" customHeight="1">
      <c r="A205" s="100"/>
      <c r="B205" s="100"/>
      <c r="C205" s="100"/>
      <c r="D205" s="100"/>
      <c r="E205" s="100"/>
      <c r="F205" s="100"/>
      <c r="G205" s="100"/>
      <c r="H205" s="100"/>
    </row>
    <row r="206" ht="15" customHeight="1">
      <c r="A206" s="100"/>
      <c r="B206" s="100"/>
      <c r="C206" s="100"/>
      <c r="D206" s="100"/>
      <c r="E206" s="100"/>
      <c r="F206" s="100"/>
      <c r="G206" s="100"/>
      <c r="H206" s="100"/>
    </row>
    <row r="207" ht="15" customHeight="1">
      <c r="A207" s="100"/>
      <c r="B207" s="100"/>
      <c r="C207" s="100"/>
      <c r="D207" s="100"/>
      <c r="E207" s="100"/>
      <c r="F207" s="100"/>
      <c r="G207" s="100"/>
      <c r="H207" s="100"/>
    </row>
    <row r="208" ht="15" customHeight="1">
      <c r="A208" s="100"/>
      <c r="B208" s="100"/>
      <c r="C208" s="100"/>
      <c r="D208" s="100"/>
      <c r="E208" s="100"/>
      <c r="F208" s="100"/>
      <c r="G208" s="100"/>
      <c r="H208" s="100"/>
    </row>
    <row r="209" ht="15" customHeight="1">
      <c r="A209" s="100"/>
      <c r="B209" s="100"/>
      <c r="C209" s="100"/>
      <c r="D209" s="100"/>
      <c r="E209" s="100"/>
      <c r="F209" s="100"/>
      <c r="G209" s="100"/>
      <c r="H209" s="100"/>
    </row>
    <row r="210" ht="15" customHeight="1">
      <c r="A210" s="100"/>
      <c r="B210" s="100"/>
      <c r="C210" s="100"/>
      <c r="D210" s="100"/>
      <c r="E210" s="100"/>
      <c r="F210" s="100"/>
      <c r="G210" s="100"/>
      <c r="H210" s="100"/>
    </row>
    <row r="211" ht="15" customHeight="1">
      <c r="A211" s="100"/>
      <c r="B211" s="100"/>
      <c r="C211" s="100"/>
      <c r="D211" s="100"/>
      <c r="E211" s="100"/>
      <c r="F211" s="100"/>
      <c r="G211" s="100"/>
      <c r="H211" s="100"/>
    </row>
    <row r="212" ht="15" customHeight="1">
      <c r="A212" s="100"/>
      <c r="B212" s="100"/>
      <c r="C212" s="100"/>
      <c r="D212" s="100"/>
      <c r="E212" s="100"/>
      <c r="F212" s="100"/>
      <c r="G212" s="100"/>
      <c r="H212" s="100"/>
    </row>
    <row r="213" ht="15" customHeight="1">
      <c r="A213" s="100"/>
      <c r="B213" s="100"/>
      <c r="C213" s="100"/>
      <c r="D213" s="100"/>
      <c r="E213" s="100"/>
      <c r="F213" s="100"/>
      <c r="G213" s="100"/>
      <c r="H213" s="100"/>
    </row>
    <row r="214" ht="15" customHeight="1">
      <c r="A214" s="100"/>
      <c r="B214" s="100"/>
      <c r="C214" s="100"/>
      <c r="D214" s="100"/>
      <c r="E214" s="100"/>
      <c r="F214" s="100"/>
      <c r="G214" s="100"/>
      <c r="H214" s="100"/>
    </row>
    <row r="215" ht="15" customHeight="1">
      <c r="A215" s="100"/>
      <c r="B215" s="100"/>
      <c r="C215" s="100"/>
      <c r="D215" s="100"/>
      <c r="E215" s="100"/>
      <c r="F215" s="100"/>
      <c r="G215" s="100"/>
      <c r="H215" s="100"/>
    </row>
    <row r="216" ht="15" customHeight="1">
      <c r="A216" s="100"/>
      <c r="B216" s="100"/>
      <c r="C216" s="100"/>
      <c r="D216" s="100"/>
      <c r="E216" s="100"/>
      <c r="F216" s="100"/>
      <c r="G216" s="100"/>
      <c r="H216" s="100"/>
    </row>
    <row r="217" ht="15" customHeight="1">
      <c r="A217" s="100"/>
      <c r="B217" s="100"/>
      <c r="C217" s="100"/>
      <c r="D217" s="100"/>
      <c r="E217" s="100"/>
      <c r="F217" s="100"/>
      <c r="G217" s="100"/>
      <c r="H217" s="100"/>
    </row>
    <row r="218" ht="15" customHeight="1">
      <c r="A218" s="100"/>
      <c r="B218" s="100"/>
      <c r="C218" s="100"/>
      <c r="D218" s="100"/>
      <c r="E218" s="100"/>
      <c r="F218" s="100"/>
      <c r="G218" s="100"/>
      <c r="H218" s="100"/>
    </row>
    <row r="219" ht="15" customHeight="1">
      <c r="A219" s="100"/>
      <c r="B219" s="100"/>
      <c r="C219" s="100"/>
      <c r="D219" s="100"/>
      <c r="E219" s="100"/>
      <c r="F219" s="100"/>
      <c r="G219" s="100"/>
      <c r="H219" s="100"/>
    </row>
    <row r="220" ht="15" customHeight="1">
      <c r="A220" s="100"/>
      <c r="B220" s="100"/>
      <c r="C220" s="100"/>
      <c r="D220" s="100"/>
      <c r="E220" s="100"/>
      <c r="F220" s="100"/>
      <c r="G220" s="100"/>
      <c r="H220" s="100"/>
    </row>
    <row r="221" ht="15" customHeight="1">
      <c r="A221" s="100"/>
      <c r="B221" s="100"/>
      <c r="C221" s="100"/>
      <c r="D221" s="100"/>
      <c r="E221" s="100"/>
      <c r="F221" s="100"/>
      <c r="G221" s="100"/>
      <c r="H221" s="100"/>
    </row>
    <row r="222" ht="15" customHeight="1">
      <c r="A222" s="100"/>
      <c r="B222" s="100"/>
      <c r="C222" s="100"/>
      <c r="D222" s="100"/>
      <c r="E222" s="100"/>
      <c r="F222" s="100"/>
      <c r="G222" s="100"/>
      <c r="H222" s="100"/>
    </row>
    <row r="223" ht="15" customHeight="1">
      <c r="A223" s="100"/>
      <c r="B223" s="100"/>
      <c r="C223" s="100"/>
      <c r="D223" s="100"/>
      <c r="E223" s="100"/>
      <c r="F223" s="100"/>
      <c r="G223" s="100"/>
      <c r="H223" s="100"/>
    </row>
    <row r="224" ht="15" customHeight="1">
      <c r="A224" s="100"/>
      <c r="B224" s="100"/>
      <c r="C224" s="100"/>
      <c r="D224" s="100"/>
      <c r="E224" s="100"/>
      <c r="F224" s="100"/>
      <c r="G224" s="100"/>
      <c r="H224" s="100"/>
    </row>
    <row r="225" ht="15" customHeight="1">
      <c r="A225" s="100"/>
      <c r="B225" s="100"/>
      <c r="C225" s="100"/>
      <c r="D225" s="100"/>
      <c r="E225" s="100"/>
      <c r="F225" s="100"/>
      <c r="G225" s="100"/>
      <c r="H225" s="100"/>
    </row>
    <row r="226" ht="15" customHeight="1">
      <c r="A226" s="100"/>
      <c r="B226" s="100"/>
      <c r="C226" s="100"/>
      <c r="D226" s="100"/>
      <c r="E226" s="100"/>
      <c r="F226" s="100"/>
      <c r="G226" s="100"/>
      <c r="H226" s="100"/>
    </row>
    <row r="227" ht="15" customHeight="1">
      <c r="A227" s="100"/>
      <c r="B227" s="100"/>
      <c r="C227" s="100"/>
      <c r="D227" s="100"/>
      <c r="E227" s="100"/>
      <c r="F227" s="100"/>
      <c r="G227" s="100"/>
      <c r="H227" s="100"/>
    </row>
    <row r="228" ht="15" customHeight="1">
      <c r="A228" s="100"/>
      <c r="B228" s="100"/>
      <c r="C228" s="100"/>
      <c r="D228" s="100"/>
      <c r="E228" s="100"/>
      <c r="F228" s="100"/>
      <c r="G228" s="100"/>
      <c r="H228" s="100"/>
    </row>
    <row r="229" ht="15" customHeight="1">
      <c r="A229" s="100"/>
      <c r="B229" s="100"/>
      <c r="C229" s="100"/>
      <c r="D229" s="100"/>
      <c r="E229" s="100"/>
      <c r="F229" s="100"/>
      <c r="G229" s="100"/>
      <c r="H229" s="100"/>
    </row>
    <row r="230" ht="15" customHeight="1">
      <c r="A230" s="100"/>
      <c r="B230" s="100"/>
      <c r="C230" s="100"/>
      <c r="D230" s="100"/>
      <c r="E230" s="100"/>
      <c r="F230" s="100"/>
      <c r="G230" s="100"/>
      <c r="H230" s="100"/>
    </row>
    <row r="231" ht="15" customHeight="1">
      <c r="A231" s="100"/>
      <c r="B231" s="100"/>
      <c r="C231" s="100"/>
      <c r="D231" s="100"/>
      <c r="E231" s="100"/>
      <c r="F231" s="100"/>
      <c r="G231" s="100"/>
      <c r="H231" s="100"/>
    </row>
    <row r="232" ht="15" customHeight="1">
      <c r="A232" s="100"/>
      <c r="B232" s="100"/>
      <c r="C232" s="100"/>
      <c r="D232" s="100"/>
      <c r="E232" s="100"/>
      <c r="F232" s="100"/>
      <c r="G232" s="100"/>
      <c r="H232" s="100"/>
    </row>
    <row r="233" ht="15" customHeight="1">
      <c r="A233" s="100"/>
      <c r="B233" s="100"/>
      <c r="C233" s="100"/>
      <c r="D233" s="100"/>
      <c r="E233" s="100"/>
      <c r="F233" s="100"/>
      <c r="G233" s="100"/>
      <c r="H233" s="100"/>
    </row>
    <row r="234" ht="15" customHeight="1">
      <c r="A234" s="100"/>
      <c r="B234" s="100"/>
      <c r="C234" s="100"/>
      <c r="D234" s="100"/>
      <c r="E234" s="100"/>
      <c r="F234" s="100"/>
      <c r="G234" s="100"/>
      <c r="H234" s="100"/>
    </row>
    <row r="235" ht="15" customHeight="1">
      <c r="A235" s="100"/>
      <c r="B235" s="100"/>
      <c r="C235" s="100"/>
      <c r="D235" s="100"/>
      <c r="E235" s="100"/>
      <c r="F235" s="100"/>
      <c r="G235" s="100"/>
      <c r="H235" s="100"/>
    </row>
    <row r="236" ht="15" customHeight="1">
      <c r="A236" s="100"/>
      <c r="B236" s="100"/>
      <c r="C236" s="100"/>
      <c r="D236" s="100"/>
      <c r="E236" s="100"/>
      <c r="F236" s="100"/>
      <c r="G236" s="100"/>
      <c r="H236" s="100"/>
    </row>
    <row r="237" ht="15" customHeight="1">
      <c r="A237" s="100"/>
      <c r="B237" s="100"/>
      <c r="C237" s="100"/>
      <c r="D237" s="100"/>
      <c r="E237" s="100"/>
      <c r="F237" s="100"/>
      <c r="G237" s="100"/>
      <c r="H237" s="100"/>
    </row>
    <row r="238" ht="15" customHeight="1">
      <c r="A238" s="100"/>
      <c r="B238" s="100"/>
      <c r="C238" s="100"/>
      <c r="D238" s="100"/>
      <c r="E238" s="100"/>
      <c r="F238" s="100"/>
      <c r="G238" s="100"/>
    </row>
    <row r="239" ht="15" customHeight="1">
      <c r="A239" s="100"/>
      <c r="B239" s="100"/>
      <c r="C239" s="100"/>
      <c r="D239" s="100"/>
      <c r="E239" s="100"/>
      <c r="F239" s="100"/>
      <c r="G239" s="100"/>
    </row>
    <row r="240" ht="15" customHeight="1">
      <c r="A240" s="100"/>
      <c r="B240" s="100"/>
      <c r="C240" s="100"/>
      <c r="D240" s="100"/>
      <c r="E240" s="100"/>
      <c r="F240" s="100"/>
      <c r="G240" s="100"/>
    </row>
    <row r="241" ht="15" customHeight="1">
      <c r="A241" s="100"/>
      <c r="B241" s="100"/>
      <c r="C241" s="100"/>
      <c r="D241" s="100"/>
      <c r="E241" s="100"/>
      <c r="F241" s="100"/>
      <c r="G241" s="100"/>
    </row>
    <row r="242" ht="15" customHeight="1">
      <c r="A242" s="100"/>
      <c r="B242" s="100"/>
      <c r="C242" s="100"/>
      <c r="D242" s="100"/>
      <c r="E242" s="100"/>
      <c r="F242" s="100"/>
      <c r="G242" s="100"/>
    </row>
    <row r="243" ht="15" customHeight="1">
      <c r="A243" s="100"/>
      <c r="B243" s="100"/>
      <c r="C243" s="100"/>
      <c r="D243" s="100"/>
      <c r="E243" s="100"/>
      <c r="F243" s="100"/>
      <c r="G243" s="100"/>
    </row>
  </sheetData>
  <mergeCells count="1">
    <mergeCell ref="I1:K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562" id="{002A0050-00A9-4FA3-B699-008E0033007C}">
            <xm:f>$B112&lt;&gt;#REF!</xm:f>
            <x14:dxf>
              <border>
                <left style="none"/>
                <right style="none"/>
                <top style="none"/>
                <bottom style="thin">
                  <color auto="1"/>
                </bottom>
                <diagonal/>
                <vertical style="none"/>
                <horizontal style="none"/>
              </border>
            </x14:dxf>
          </x14:cfRule>
          <xm:sqref>H107</xm:sqref>
        </x14:conditionalFormatting>
        <x14:conditionalFormatting xmlns:xm="http://schemas.microsoft.com/office/excel/2006/main">
          <x14:cfRule type="expression" priority="561" id="{003C00B5-0081-43A1-BC70-009100B00056}">
            <xm:f>#REF!&lt;&gt;$B113</xm:f>
            <x14:dxf>
              <border>
                <left style="none"/>
                <right style="none"/>
                <top style="none"/>
                <bottom style="thin">
                  <color auto="1"/>
                </bottom>
                <diagonal/>
                <vertical style="none"/>
                <horizontal style="none"/>
              </border>
            </x14:dxf>
          </x14:cfRule>
          <xm:sqref>H108</xm:sqref>
        </x14:conditionalFormatting>
        <x14:conditionalFormatting xmlns:xm="http://schemas.microsoft.com/office/excel/2006/main">
          <x14:cfRule type="expression" priority="557" id="{00E60016-006F-4826-99B5-005F00D40019}">
            <xm:f>#REF!&lt;&gt;#REF!</xm:f>
            <x14:dxf>
              <border>
                <left style="none"/>
                <right style="none"/>
                <top style="none"/>
                <bottom style="thin">
                  <color auto="1"/>
                </bottom>
                <diagonal/>
                <vertical style="none"/>
                <horizontal style="none"/>
              </border>
            </x14:dxf>
          </x14:cfRule>
          <xm:sqref>H101</xm:sqref>
        </x14:conditionalFormatting>
        <x14:conditionalFormatting xmlns:xm="http://schemas.microsoft.com/office/excel/2006/main">
          <x14:cfRule type="expression" priority="556" id="{007B00DE-00A3-4AFF-9AF4-007F002800D4}">
            <xm:f>#REF!&lt;&gt;$B103</xm:f>
            <x14:dxf>
              <border>
                <left style="none"/>
                <right style="none"/>
                <top style="none"/>
                <bottom style="thin">
                  <color auto="1"/>
                </bottom>
                <diagonal/>
                <vertical style="none"/>
                <horizontal style="none"/>
              </border>
            </x14:dxf>
          </x14:cfRule>
          <xm:sqref>H102</xm:sqref>
        </x14:conditionalFormatting>
        <x14:conditionalFormatting xmlns:xm="http://schemas.microsoft.com/office/excel/2006/main">
          <x14:cfRule type="expression" priority="553" id="{006C00A4-00A8-4716-8AB4-0058006C00D6}">
            <xm:f>$B102&lt;&gt;#REF!</xm:f>
            <x14:dxf>
              <border>
                <left style="none"/>
                <right style="none"/>
                <top style="none"/>
                <bottom style="thin">
                  <color auto="1"/>
                </bottom>
                <diagonal/>
                <vertical style="none"/>
                <horizontal style="none"/>
              </border>
            </x14:dxf>
          </x14:cfRule>
          <xm:sqref>A102:G102</xm:sqref>
        </x14:conditionalFormatting>
        <x14:conditionalFormatting xmlns:xm="http://schemas.microsoft.com/office/excel/2006/main">
          <x14:cfRule type="expression" priority="549" id="{00CF0036-003A-45B6-927D-008500350058}">
            <xm:f>$B102&lt;&gt;#REF!</xm:f>
            <x14:dxf>
              <border>
                <left style="none"/>
                <right style="none"/>
                <top style="none"/>
                <bottom style="thin">
                  <color auto="1"/>
                </bottom>
                <diagonal/>
                <vertical style="none"/>
                <horizontal style="none"/>
              </border>
            </x14:dxf>
          </x14:cfRule>
          <xm:sqref>H97</xm:sqref>
        </x14:conditionalFormatting>
        <x14:conditionalFormatting xmlns:xm="http://schemas.microsoft.com/office/excel/2006/main">
          <x14:cfRule type="expression" priority="548" id="{00D9001B-0088-4F04-82E6-00720095000E}">
            <xm:f>#REF!&lt;&gt;#REF!</xm:f>
            <x14:dxf>
              <border>
                <left style="none"/>
                <right style="none"/>
                <top style="none"/>
                <bottom style="thin">
                  <color auto="1"/>
                </bottom>
                <diagonal/>
                <vertical style="none"/>
                <horizontal style="none"/>
              </border>
            </x14:dxf>
          </x14:cfRule>
          <xm:sqref>H98:H100</xm:sqref>
        </x14:conditionalFormatting>
        <x14:conditionalFormatting xmlns:xm="http://schemas.microsoft.com/office/excel/2006/main">
          <x14:cfRule type="expression" priority="544" id="{0013002A-0090-4D3D-8132-00B2009A00B0}">
            <xm:f>$B9&lt;&gt;$B19</xm:f>
            <x14:dxf>
              <border>
                <left style="none"/>
                <right style="none"/>
                <top style="none"/>
                <bottom style="thin">
                  <color auto="1"/>
                </bottom>
                <diagonal/>
                <vertical style="none"/>
                <horizontal style="none"/>
              </border>
            </x14:dxf>
          </x14:cfRule>
          <xm:sqref>I9:K9</xm:sqref>
        </x14:conditionalFormatting>
        <x14:conditionalFormatting xmlns:xm="http://schemas.microsoft.com/office/excel/2006/main">
          <x14:cfRule type="expression" priority="537" id="{0083007F-0031-4C2A-9515-008D008200FD}">
            <xm:f>$B89&lt;&gt;#REF!</xm:f>
            <x14:dxf>
              <border>
                <left style="none"/>
                <right style="none"/>
                <top style="none"/>
                <bottom style="thin">
                  <color auto="1"/>
                </bottom>
                <diagonal/>
                <vertical style="none"/>
                <horizontal style="none"/>
              </border>
            </x14:dxf>
          </x14:cfRule>
          <xm:sqref>H83</xm:sqref>
        </x14:conditionalFormatting>
        <x14:conditionalFormatting xmlns:xm="http://schemas.microsoft.com/office/excel/2006/main">
          <x14:cfRule type="expression" priority="534" id="{004E00ED-00B3-4E3F-BDB2-007D00050067}">
            <xm:f>#REF!&lt;&gt;$B90</xm:f>
            <x14:dxf>
              <border>
                <left style="none"/>
                <right style="none"/>
                <top style="none"/>
                <bottom style="thin">
                  <color auto="1"/>
                </bottom>
                <diagonal/>
                <vertical style="none"/>
                <horizontal style="none"/>
              </border>
            </x14:dxf>
          </x14:cfRule>
          <xm:sqref>H85</xm:sqref>
        </x14:conditionalFormatting>
        <x14:conditionalFormatting xmlns:xm="http://schemas.microsoft.com/office/excel/2006/main">
          <x14:cfRule type="expression" priority="533" id="{00970025-009E-4AE7-9D75-0083005F0048}">
            <xm:f>$B89&lt;&gt;#REF!</xm:f>
            <x14:dxf>
              <border>
                <left style="none"/>
                <right style="none"/>
                <top style="none"/>
                <bottom style="thin">
                  <color auto="1"/>
                </bottom>
                <diagonal/>
                <vertical style="none"/>
                <horizontal style="none"/>
              </border>
            </x14:dxf>
          </x14:cfRule>
          <xm:sqref>A89 C89:H89</xm:sqref>
        </x14:conditionalFormatting>
        <x14:conditionalFormatting xmlns:xm="http://schemas.microsoft.com/office/excel/2006/main">
          <x14:cfRule type="expression" priority="531" id="{00650088-0070-4668-AA12-004600D70038}">
            <xm:f>$B85&lt;&gt;$B86</xm:f>
            <x14:dxf>
              <border>
                <left style="none"/>
                <right style="none"/>
                <top style="none"/>
                <bottom style="thin">
                  <color auto="1"/>
                </bottom>
                <diagonal/>
                <vertical style="none"/>
                <horizontal style="none"/>
              </border>
            </x14:dxf>
          </x14:cfRule>
          <xm:sqref>H78:H81 H113:H115</xm:sqref>
        </x14:conditionalFormatting>
        <x14:conditionalFormatting xmlns:xm="http://schemas.microsoft.com/office/excel/2006/main">
          <x14:cfRule type="expression" priority="525" id="{00AE00A0-00F7-4147-94A2-0078001600F3}">
            <xm:f>$B81&lt;&gt;$B83</xm:f>
            <x14:dxf>
              <border>
                <left style="none"/>
                <right style="none"/>
                <top style="none"/>
                <bottom style="thin">
                  <color auto="1"/>
                </bottom>
                <diagonal/>
                <vertical style="none"/>
                <horizontal style="none"/>
              </border>
            </x14:dxf>
          </x14:cfRule>
          <xm:sqref>H75 H77</xm:sqref>
        </x14:conditionalFormatting>
        <x14:conditionalFormatting xmlns:xm="http://schemas.microsoft.com/office/excel/2006/main">
          <x14:cfRule type="expression" priority="518" id="{0018008A-00B9-4BD0-90D0-00CC001D00FC}">
            <xm:f>$B67&lt;&gt;$B68</xm:f>
            <x14:dxf>
              <border>
                <left style="none"/>
                <right style="none"/>
                <top style="none"/>
                <bottom style="thin">
                  <color auto="1"/>
                </bottom>
                <diagonal/>
                <vertical style="none"/>
                <horizontal style="none"/>
              </border>
            </x14:dxf>
          </x14:cfRule>
          <xm:sqref>H61:H66 H71:H74 H116:H237 H111:H112</xm:sqref>
        </x14:conditionalFormatting>
        <x14:conditionalFormatting xmlns:xm="http://schemas.microsoft.com/office/excel/2006/main">
          <x14:cfRule type="expression" priority="517" id="{00E30096-008A-4CAB-A4BD-0065000D0018}">
            <xm:f>$B65&lt;&gt;$B67</xm:f>
            <x14:dxf>
              <border>
                <left style="none"/>
                <right style="none"/>
                <top style="none"/>
                <bottom style="thin">
                  <color auto="1"/>
                </bottom>
                <diagonal/>
                <vertical style="none"/>
                <horizontal style="none"/>
              </border>
            </x14:dxf>
          </x14:cfRule>
          <xm:sqref>H60 H70 H110</xm:sqref>
        </x14:conditionalFormatting>
        <x14:conditionalFormatting xmlns:xm="http://schemas.microsoft.com/office/excel/2006/main">
          <x14:cfRule type="expression" priority="507" id="{003F002F-00E0-4A4C-B287-005800DC0062}">
            <xm:f>$B10&lt;&gt;$B19</xm:f>
            <x14:dxf>
              <border>
                <left style="none"/>
                <right style="none"/>
                <top style="none"/>
                <bottom style="thin">
                  <color auto="1"/>
                </bottom>
                <diagonal/>
                <vertical style="none"/>
                <horizontal style="none"/>
              </border>
            </x14:dxf>
          </x14:cfRule>
          <xm:sqref>I10:K11</xm:sqref>
        </x14:conditionalFormatting>
        <x14:conditionalFormatting xmlns:xm="http://schemas.microsoft.com/office/excel/2006/main">
          <x14:cfRule type="expression" priority="474" id="{009B00EC-00FD-4A9E-A7FB-005D00A700F6}">
            <xm:f>$B94&lt;&gt;$B95</xm:f>
            <x14:dxf>
              <border>
                <left style="none"/>
                <right style="none"/>
                <top style="none"/>
                <bottom style="thin">
                  <color auto="1"/>
                </bottom>
                <diagonal/>
                <vertical style="none"/>
                <horizontal style="none"/>
              </border>
            </x14:dxf>
          </x14:cfRule>
          <xm:sqref>H92:H93</xm:sqref>
        </x14:conditionalFormatting>
        <x14:conditionalFormatting xmlns:xm="http://schemas.microsoft.com/office/excel/2006/main">
          <x14:cfRule type="expression" priority="472" id="{00890004-0061-4871-9944-00D700B8001B}">
            <xm:f>#REF!&lt;&gt;$B94</xm:f>
            <x14:dxf>
              <border>
                <left style="none"/>
                <right style="none"/>
                <top style="none"/>
                <bottom style="thin">
                  <color auto="1"/>
                </bottom>
                <diagonal/>
                <vertical style="none"/>
                <horizontal style="none"/>
              </border>
            </x14:dxf>
          </x14:cfRule>
          <xm:sqref>H91</xm:sqref>
        </x14:conditionalFormatting>
        <x14:conditionalFormatting xmlns:xm="http://schemas.microsoft.com/office/excel/2006/main">
          <x14:cfRule type="expression" priority="466" id="{005500FC-001E-4BF3-9B66-00880069006E}">
            <xm:f>$B90&lt;&gt;#REF!</xm:f>
            <x14:dxf>
              <border>
                <left style="none"/>
                <right style="none"/>
                <top style="none"/>
                <bottom style="thin">
                  <color auto="1"/>
                </bottom>
                <diagonal/>
                <vertical style="none"/>
                <horizontal style="none"/>
              </border>
            </x14:dxf>
          </x14:cfRule>
          <xm:sqref>H86</xm:sqref>
        </x14:conditionalFormatting>
        <x14:conditionalFormatting xmlns:xm="http://schemas.microsoft.com/office/excel/2006/main">
          <x14:cfRule type="expression" priority="465" id="{002B0086-004E-4434-959A-001F005400FA}">
            <xm:f>#REF!&lt;&gt;#REF!</xm:f>
            <x14:dxf>
              <border>
                <left style="none"/>
                <right style="none"/>
                <top style="none"/>
                <bottom style="thin">
                  <color auto="1"/>
                </bottom>
                <diagonal/>
                <vertical style="none"/>
                <horizontal style="none"/>
              </border>
            </x14:dxf>
          </x14:cfRule>
          <xm:sqref>H87:H90</xm:sqref>
        </x14:conditionalFormatting>
        <x14:conditionalFormatting xmlns:xm="http://schemas.microsoft.com/office/excel/2006/main">
          <x14:cfRule type="expression" priority="463" id="{00FC002F-0055-47E1-926B-006900E300F5}">
            <xm:f>$B90&lt;&gt;#REF!</xm:f>
            <x14:dxf>
              <border>
                <left style="none"/>
                <right style="none"/>
                <top style="none"/>
                <bottom style="thin">
                  <color auto="1"/>
                </bottom>
                <diagonal/>
                <vertical style="none"/>
                <horizontal style="none"/>
              </border>
            </x14:dxf>
          </x14:cfRule>
          <xm:sqref>A90 C90:H90</xm:sqref>
        </x14:conditionalFormatting>
        <x14:conditionalFormatting xmlns:xm="http://schemas.microsoft.com/office/excel/2006/main">
          <x14:cfRule type="expression" priority="461" id="{00D50009-00EB-4D67-A920-00E70006000E}">
            <xm:f>$B38&lt;&gt;$B42</xm:f>
            <x14:dxf>
              <border>
                <left style="none"/>
                <right style="none"/>
                <top style="none"/>
                <bottom style="thin">
                  <color auto="1"/>
                </bottom>
                <diagonal/>
                <vertical style="none"/>
                <horizontal style="none"/>
              </border>
            </x14:dxf>
          </x14:cfRule>
          <xm:sqref>A38 D38:F38 I38:K38</xm:sqref>
        </x14:conditionalFormatting>
        <x14:conditionalFormatting xmlns:xm="http://schemas.microsoft.com/office/excel/2006/main">
          <x14:cfRule type="expression" priority="453" id="{00AA009D-00EA-48B0-947F-00EE00910054}">
            <xm:f>$B63&lt;&gt;$B65</xm:f>
            <x14:dxf>
              <border>
                <left style="none"/>
                <right style="none"/>
                <top style="none"/>
                <bottom style="thin">
                  <color auto="1"/>
                </bottom>
                <diagonal/>
                <vertical style="none"/>
                <horizontal style="none"/>
              </border>
            </x14:dxf>
          </x14:cfRule>
          <xm:sqref>H59 H109</xm:sqref>
        </x14:conditionalFormatting>
        <x14:conditionalFormatting xmlns:xm="http://schemas.microsoft.com/office/excel/2006/main">
          <x14:cfRule type="expression" priority="452" id="{0001009D-0078-490B-A424-00F100BD003E}">
            <xm:f>$B72&lt;&gt;$B73</xm:f>
            <x14:dxf>
              <border>
                <left style="none"/>
                <right style="none"/>
                <top style="none"/>
                <bottom style="thin">
                  <color auto="1"/>
                </bottom>
                <diagonal/>
                <vertical style="none"/>
                <horizontal style="none"/>
              </border>
            </x14:dxf>
          </x14:cfRule>
          <xm:sqref>H67:H69 H94:H96 H103:H106</xm:sqref>
        </x14:conditionalFormatting>
        <x14:conditionalFormatting xmlns:xm="http://schemas.microsoft.com/office/excel/2006/main">
          <x14:cfRule type="expression" priority="448" id="{006A0038-00C4-4E5C-B6E9-00950006005B}">
            <xm:f>$B62&lt;&gt;$B63</xm:f>
            <x14:dxf>
              <border>
                <left style="none"/>
                <right style="none"/>
                <top style="none"/>
                <bottom style="thin">
                  <color auto="1"/>
                </bottom>
                <diagonal/>
                <vertical style="none"/>
                <horizontal style="none"/>
              </border>
            </x14:dxf>
          </x14:cfRule>
          <xm:sqref>H58</xm:sqref>
        </x14:conditionalFormatting>
        <x14:conditionalFormatting xmlns:xm="http://schemas.microsoft.com/office/excel/2006/main">
          <x14:cfRule type="expression" priority="447" id="{00600006-00F2-4D0B-8671-00E9002000CA}">
            <xm:f>$B50&lt;&gt;$B56</xm:f>
            <x14:dxf>
              <border>
                <left style="none"/>
                <right style="none"/>
                <top style="none"/>
                <bottom style="thin">
                  <color auto="1"/>
                </bottom>
                <diagonal/>
                <vertical style="none"/>
                <horizontal style="none"/>
              </border>
            </x14:dxf>
          </x14:cfRule>
          <xm:sqref>I50:K51</xm:sqref>
        </x14:conditionalFormatting>
        <x14:conditionalFormatting xmlns:xm="http://schemas.microsoft.com/office/excel/2006/main">
          <x14:cfRule type="expression" priority="443" id="{001C00DE-0045-48DE-9CEF-00A800F40084}">
            <xm:f>$B15&lt;&gt;$B20</xm:f>
            <x14:dxf>
              <border>
                <left style="none"/>
                <right style="none"/>
                <top style="none"/>
                <bottom style="thin">
                  <color auto="1"/>
                </bottom>
                <diagonal/>
                <vertical style="none"/>
                <horizontal style="none"/>
              </border>
            </x14:dxf>
          </x14:cfRule>
          <xm:sqref>H57 G28:G29 G35:G36 I40:K40 A40 D40:G40 B44:C44 E44:G44 G45 I15:K16 D16:G16 A16</xm:sqref>
        </x14:conditionalFormatting>
        <x14:conditionalFormatting xmlns:xm="http://schemas.microsoft.com/office/excel/2006/main">
          <x14:cfRule type="expression" priority="441" id="{00A3000F-002C-4648-9058-008E00D00002}">
            <xm:f>$B55&lt;&gt;#REF!</xm:f>
            <x14:dxf>
              <border>
                <left style="none"/>
                <right style="none"/>
                <top style="none"/>
                <bottom style="thin">
                  <color auto="1"/>
                </bottom>
                <diagonal/>
                <vertical style="none"/>
                <horizontal style="none"/>
              </border>
            </x14:dxf>
          </x14:cfRule>
          <xm:sqref>I55:K55</xm:sqref>
        </x14:conditionalFormatting>
        <x14:conditionalFormatting xmlns:xm="http://schemas.microsoft.com/office/excel/2006/main">
          <x14:cfRule type="expression" priority="438" id="{003200F8-0018-4068-B11B-00E000A40032}">
            <xm:f>$B56&lt;&gt;#REF!</xm:f>
            <x14:dxf>
              <border>
                <left style="none"/>
                <right style="none"/>
                <top style="none"/>
                <bottom style="thin">
                  <color auto="1"/>
                </bottom>
                <diagonal/>
                <vertical style="none"/>
                <horizontal style="none"/>
              </border>
            </x14:dxf>
          </x14:cfRule>
          <xm:sqref>I56:K56</xm:sqref>
        </x14:conditionalFormatting>
        <x14:conditionalFormatting xmlns:xm="http://schemas.microsoft.com/office/excel/2006/main">
          <x14:cfRule type="expression" priority="384" id="{005800A4-0069-46D4-BDA9-006300E20038}">
            <xm:f>$B3&lt;&gt;$B5</xm:f>
            <x14:dxf>
              <border>
                <left style="none"/>
                <right style="none"/>
                <top style="none"/>
                <bottom style="thin">
                  <color auto="1"/>
                </bottom>
                <diagonal/>
                <vertical style="none"/>
                <horizontal style="none"/>
              </border>
            </x14:dxf>
          </x14:cfRule>
          <xm:sqref>A38:H38 B9:D9 A3:K3 A29:H29 A31:C31 A36:K36 A45:K45 A75 A81 A83 A47:K47 A65:A66 C65:H66 C83:H83 C81:H81 C75:H75 H9 H31:K31 F31 A113:G113 D115:F115</xm:sqref>
        </x14:conditionalFormatting>
        <x14:conditionalFormatting xmlns:xm="http://schemas.microsoft.com/office/excel/2006/main">
          <x14:cfRule type="expression" priority="381" id="{00940057-006B-4091-B094-008C004C005D}">
            <xm:f>$B19&lt;&gt;#REF!</xm:f>
            <x14:dxf>
              <border>
                <left style="none"/>
                <right style="none"/>
                <top style="none"/>
                <bottom style="thin">
                  <color auto="1"/>
                </bottom>
                <diagonal/>
                <vertical style="none"/>
                <horizontal style="none"/>
              </border>
            </x14:dxf>
          </x14:cfRule>
          <xm:sqref>I19:K19 A19 D19:F19 D19:D21 D28:D29</xm:sqref>
        </x14:conditionalFormatting>
        <x14:conditionalFormatting xmlns:xm="http://schemas.microsoft.com/office/excel/2006/main">
          <x14:cfRule type="expression" priority="363" id="{00440026-00B1-4A11-AF11-00A200E5003B}">
            <xm:f>$B5&lt;&gt;$B6</xm:f>
            <x14:dxf>
              <border>
                <left style="none"/>
                <right style="none"/>
                <top style="none"/>
                <bottom style="thin">
                  <color auto="1"/>
                </bottom>
                <diagonal/>
                <vertical style="none"/>
                <horizontal style="none"/>
              </border>
            </x14:dxf>
          </x14:cfRule>
          <xm:sqref>A40:H41 I20:K20 A19:F20 A8:K8 A5:K6 B14:D15 B28:H28 A34:K35 G41:G44 A46:K46 A77:A80 D85:H85 I49:K49 A87:H87 A67:H71 A72:A74 C72:H74 A85:A86 C86:H86 C77:H80 B72:B86 A88 C88:H88 B88:B90 A91:G101 H14:H15 A49:H64 A106:G111 A33:C33 H33:K33 B27:C27 H27 F33 H19:H20 A116:G243</xm:sqref>
        </x14:conditionalFormatting>
        <x14:conditionalFormatting xmlns:xm="http://schemas.microsoft.com/office/excel/2006/main">
          <x14:cfRule type="expression" priority="357" id="{005700EF-00CB-461F-98EB-00D200060055}">
            <xm:f>$B9&lt;&gt;#REF!</xm:f>
            <x14:dxf>
              <border>
                <left style="none"/>
                <right style="none"/>
                <top style="none"/>
                <bottom style="thin">
                  <color auto="1"/>
                </bottom>
                <diagonal/>
                <vertical style="none"/>
                <horizontal style="none"/>
              </border>
            </x14:dxf>
          </x14:cfRule>
          <xm:sqref>D9 D15</xm:sqref>
        </x14:conditionalFormatting>
        <x14:conditionalFormatting xmlns:xm="http://schemas.microsoft.com/office/excel/2006/main">
          <x14:cfRule type="expression" priority="355" id="{001800DA-003F-49BB-8469-009B005200AD}">
            <xm:f>$B6&lt;&gt;#REF!</xm:f>
            <x14:dxf>
              <border>
                <left style="none"/>
                <right style="none"/>
                <top style="none"/>
                <bottom style="thin">
                  <color auto="1"/>
                </bottom>
                <diagonal/>
                <vertical style="none"/>
                <horizontal style="none"/>
              </border>
            </x14:dxf>
          </x14:cfRule>
          <xm:sqref>D6</xm:sqref>
        </x14:conditionalFormatting>
        <x14:conditionalFormatting xmlns:xm="http://schemas.microsoft.com/office/excel/2006/main">
          <x14:cfRule type="expression" priority="354" id="{000C00B1-00AA-4ED1-A11C-00530066008B}">
            <xm:f>$B5&lt;&gt;#REF!</xm:f>
            <x14:dxf>
              <border>
                <left style="none"/>
                <right style="none"/>
                <top style="none"/>
                <bottom style="thin">
                  <color auto="1"/>
                </bottom>
                <diagonal/>
                <vertical style="none"/>
                <horizontal style="none"/>
              </border>
            </x14:dxf>
          </x14:cfRule>
          <xm:sqref>D5</xm:sqref>
        </x14:conditionalFormatting>
        <x14:conditionalFormatting xmlns:xm="http://schemas.microsoft.com/office/excel/2006/main">
          <x14:cfRule type="expression" priority="352" id="{005900E5-00B6-4404-AB7D-008F0053008F}">
            <xm:f>$B16&lt;&gt;$B19</xm:f>
            <x14:dxf>
              <border>
                <left style="none"/>
                <right style="none"/>
                <top style="none"/>
                <bottom style="thin">
                  <color auto="1"/>
                </bottom>
                <diagonal/>
                <vertical style="none"/>
                <horizontal style="none"/>
              </border>
            </x14:dxf>
          </x14:cfRule>
          <xm:sqref>A42:K42 G44:K44 A44 D44 G49:G50 A16:H16</xm:sqref>
        </x14:conditionalFormatting>
        <x14:conditionalFormatting xmlns:xm="http://schemas.microsoft.com/office/excel/2006/main">
          <x14:cfRule type="expression" priority="349" id="{002F0033-0005-4382-81E4-001600B700BC}">
            <xm:f>$B5&lt;&gt;$B8</xm:f>
            <x14:dxf>
              <border>
                <left style="none"/>
                <right style="none"/>
                <top style="none"/>
                <bottom style="thin">
                  <color auto="1"/>
                </bottom>
                <diagonal/>
                <vertical style="none"/>
                <horizontal style="none"/>
              </border>
            </x14:dxf>
          </x14:cfRule>
          <xm:sqref>I54:K54 G5:G6 B11:D11 E28:F28 H11</xm:sqref>
        </x14:conditionalFormatting>
        <x14:conditionalFormatting xmlns:xm="http://schemas.microsoft.com/office/excel/2006/main">
          <x14:cfRule type="expression" priority="348" id="{0099002A-008B-4E0E-88C8-00B100CE0057}">
            <xm:f>$B3&lt;&gt;$B7</xm:f>
            <x14:dxf>
              <border>
                <left style="none"/>
                <right style="none"/>
                <top style="none"/>
                <bottom style="thin">
                  <color auto="1"/>
                </bottom>
                <diagonal/>
                <vertical style="none"/>
                <horizontal style="none"/>
              </border>
            </x14:dxf>
          </x14:cfRule>
          <xm:sqref>G3 I27:K27 I29:K29 A29 D29:F29 G34 G38 A43:K43 G46:G47</xm:sqref>
        </x14:conditionalFormatting>
        <x14:conditionalFormatting xmlns:xm="http://schemas.microsoft.com/office/excel/2006/main">
          <x14:cfRule type="expression" priority="347" id="{00B600CF-0067-4227-96B7-00B6007D00F1}">
            <xm:f>$B8&lt;&gt;$B14</xm:f>
            <x14:dxf>
              <border>
                <left style="none"/>
                <right style="none"/>
                <top style="none"/>
                <bottom style="thin">
                  <color auto="1"/>
                </bottom>
                <diagonal/>
                <vertical style="none"/>
                <horizontal style="none"/>
              </border>
            </x14:dxf>
          </x14:cfRule>
          <xm:sqref>G8 A41 I41:K41 G46:G47 G44 D41:G41 A21:F22 H21:K22</xm:sqref>
        </x14:conditionalFormatting>
        <x14:conditionalFormatting xmlns:xm="http://schemas.microsoft.com/office/excel/2006/main">
          <x14:cfRule type="expression" priority="346" id="{00D10017-003C-4815-9C74-0057005F00BA}">
            <xm:f>$B11&lt;&gt;#REF!</xm:f>
            <x14:dxf>
              <border>
                <left style="none"/>
                <right style="none"/>
                <top style="none"/>
                <bottom style="thin">
                  <color auto="1"/>
                </bottom>
                <diagonal/>
                <vertical style="none"/>
                <horizontal style="none"/>
              </border>
            </x14:dxf>
          </x14:cfRule>
          <xm:sqref>D11</xm:sqref>
        </x14:conditionalFormatting>
        <x14:conditionalFormatting xmlns:xm="http://schemas.microsoft.com/office/excel/2006/main">
          <x14:cfRule type="expression" priority="344" id="{008900A6-00E0-4932-A1FF-00AD002D00F4}">
            <xm:f>$B14&lt;&gt;$B21</xm:f>
            <x14:dxf>
              <border>
                <left style="none"/>
                <right style="none"/>
                <top style="none"/>
                <bottom style="thin">
                  <color auto="1"/>
                </bottom>
                <diagonal/>
                <vertical style="none"/>
                <horizontal style="none"/>
              </border>
            </x14:dxf>
          </x14:cfRule>
          <xm:sqref>I14:K14</xm:sqref>
        </x14:conditionalFormatting>
        <x14:conditionalFormatting xmlns:xm="http://schemas.microsoft.com/office/excel/2006/main">
          <x14:cfRule type="expression" priority="343" id="{00D30056-00C5-4BE2-9874-009B005700AE}">
            <xm:f>$B14&lt;&gt;#REF!</xm:f>
            <x14:dxf>
              <border>
                <left style="none"/>
                <right style="none"/>
                <top style="none"/>
                <bottom style="thin">
                  <color auto="1"/>
                </bottom>
                <diagonal/>
                <vertical style="none"/>
                <horizontal style="none"/>
              </border>
            </x14:dxf>
          </x14:cfRule>
          <xm:sqref>D14</xm:sqref>
        </x14:conditionalFormatting>
        <x14:conditionalFormatting xmlns:xm="http://schemas.microsoft.com/office/excel/2006/main">
          <x14:cfRule type="expression" priority="342" id="{002E0020-0066-4974-A695-0096000C0042}">
            <xm:f>$B53&lt;&gt;$B56</xm:f>
            <x14:dxf>
              <border>
                <left style="none"/>
                <right style="none"/>
                <top style="none"/>
                <bottom style="thin">
                  <color auto="1"/>
                </bottom>
                <diagonal/>
                <vertical style="none"/>
                <horizontal style="none"/>
              </border>
            </x14:dxf>
          </x14:cfRule>
          <xm:sqref>I53:K53</xm:sqref>
        </x14:conditionalFormatting>
        <x14:conditionalFormatting xmlns:xm="http://schemas.microsoft.com/office/excel/2006/main">
          <x14:cfRule type="expression" priority="341" id="{00A800AB-0004-49B4-AA68-00ED007700C5}">
            <xm:f>$B52&lt;&gt;$B55</xm:f>
            <x14:dxf>
              <border>
                <left style="none"/>
                <right style="none"/>
                <top style="none"/>
                <bottom style="thin">
                  <color auto="1"/>
                </bottom>
                <diagonal/>
                <vertical style="none"/>
                <horizontal style="none"/>
              </border>
            </x14:dxf>
          </x14:cfRule>
          <xm:sqref>I52:K52</xm:sqref>
        </x14:conditionalFormatting>
        <x14:conditionalFormatting xmlns:xm="http://schemas.microsoft.com/office/excel/2006/main">
          <x14:cfRule type="expression" priority="339" id="{00E700EE-00C4-4438-A7F9-001E00580032}">
            <xm:f>$B28&lt;&gt;$B31</xm:f>
            <x14:dxf>
              <border>
                <left style="none"/>
                <right style="none"/>
                <top style="none"/>
                <bottom style="thin">
                  <color auto="1"/>
                </bottom>
                <diagonal/>
                <vertical style="none"/>
                <horizontal style="none"/>
              </border>
            </x14:dxf>
          </x14:cfRule>
          <xm:sqref>I28:K28</xm:sqref>
        </x14:conditionalFormatting>
        <x14:conditionalFormatting xmlns:xm="http://schemas.microsoft.com/office/excel/2006/main">
          <x14:cfRule type="expression" priority="337" id="{009100D1-00F9-4A4F-92A6-00A30089001B}">
            <xm:f>$B28&lt;&gt;$B33</xm:f>
            <x14:dxf>
              <border>
                <left style="none"/>
                <right style="none"/>
                <top style="none"/>
                <bottom style="thin">
                  <color auto="1"/>
                </bottom>
                <diagonal/>
                <vertical style="none"/>
                <horizontal style="none"/>
              </border>
            </x14:dxf>
          </x14:cfRule>
          <xm:sqref>D28</xm:sqref>
        </x14:conditionalFormatting>
        <x14:conditionalFormatting xmlns:xm="http://schemas.microsoft.com/office/excel/2006/main">
          <x14:cfRule type="expression" priority="335" id="{009200A8-001B-41CD-81C0-00FB00670006}">
            <xm:f>$B9&lt;&gt;$B11</xm:f>
            <x14:dxf>
              <border>
                <left style="none"/>
                <right style="none"/>
                <top style="none"/>
                <bottom style="thin">
                  <color auto="1"/>
                </bottom>
                <diagonal/>
                <vertical style="none"/>
                <horizontal style="none"/>
              </border>
            </x14:dxf>
          </x14:cfRule>
          <xm:sqref>B9</xm:sqref>
        </x14:conditionalFormatting>
        <x14:conditionalFormatting xmlns:xm="http://schemas.microsoft.com/office/excel/2006/main">
          <x14:cfRule type="expression" priority="333" id="{00CC00EE-0018-419A-8FE3-006C00950092}">
            <xm:f>$B11&lt;&gt;$B14</xm:f>
            <x14:dxf>
              <border>
                <left style="none"/>
                <right style="none"/>
                <top style="none"/>
                <bottom style="thin">
                  <color auto="1"/>
                </bottom>
                <diagonal/>
                <vertical style="none"/>
                <horizontal style="none"/>
              </border>
            </x14:dxf>
          </x14:cfRule>
          <xm:sqref>B11</xm:sqref>
        </x14:conditionalFormatting>
        <x14:conditionalFormatting xmlns:xm="http://schemas.microsoft.com/office/excel/2006/main">
          <x14:cfRule type="expression" priority="332" id="{00ED0090-001E-46D1-B210-0030000D0070}">
            <xm:f>$B14&lt;&gt;$B15</xm:f>
            <x14:dxf>
              <border>
                <left style="none"/>
                <right style="none"/>
                <top style="none"/>
                <bottom style="thin">
                  <color auto="1"/>
                </bottom>
                <diagonal/>
                <vertical style="none"/>
                <horizontal style="none"/>
              </border>
            </x14:dxf>
          </x14:cfRule>
          <xm:sqref>B14</xm:sqref>
        </x14:conditionalFormatting>
        <x14:conditionalFormatting xmlns:xm="http://schemas.microsoft.com/office/excel/2006/main">
          <x14:cfRule type="expression" priority="331" id="{00330088-00BB-402D-AD0C-00EA003300A8}">
            <xm:f>$B15&lt;&gt;$B16</xm:f>
            <x14:dxf>
              <border>
                <left style="none"/>
                <right style="none"/>
                <top style="none"/>
                <bottom style="thin">
                  <color auto="1"/>
                </bottom>
                <diagonal/>
                <vertical style="none"/>
                <horizontal style="none"/>
              </border>
            </x14:dxf>
          </x14:cfRule>
          <xm:sqref>B15</xm:sqref>
        </x14:conditionalFormatting>
        <x14:conditionalFormatting xmlns:xm="http://schemas.microsoft.com/office/excel/2006/main">
          <x14:cfRule type="expression" priority="330" id="{00310083-0055-4B9E-8F12-00AD00830023}">
            <xm:f>$B16&lt;&gt;$B19</xm:f>
            <x14:dxf>
              <border>
                <left style="none"/>
                <right style="none"/>
                <top style="none"/>
                <bottom style="thin">
                  <color auto="1"/>
                </bottom>
                <diagonal/>
                <vertical style="none"/>
                <horizontal style="none"/>
              </border>
            </x14:dxf>
          </x14:cfRule>
          <xm:sqref>B16</xm:sqref>
        </x14:conditionalFormatting>
        <x14:conditionalFormatting xmlns:xm="http://schemas.microsoft.com/office/excel/2006/main">
          <x14:cfRule type="expression" priority="327" id="{00780051-0066-4E07-9962-007700EF00EB}">
            <xm:f>$B19&lt;&gt;$B20</xm:f>
            <x14:dxf>
              <border>
                <left style="none"/>
                <right style="none"/>
                <top style="none"/>
                <bottom style="thin">
                  <color auto="1"/>
                </bottom>
                <diagonal/>
                <vertical style="none"/>
                <horizontal style="none"/>
              </border>
            </x14:dxf>
          </x14:cfRule>
          <xm:sqref>B19</xm:sqref>
        </x14:conditionalFormatting>
        <x14:conditionalFormatting xmlns:xm="http://schemas.microsoft.com/office/excel/2006/main">
          <x14:cfRule type="expression" priority="326" id="{00480031-00B1-44A0-8B3C-002100810073}">
            <xm:f>$B20&lt;&gt;$B21</xm:f>
            <x14:dxf>
              <border>
                <left style="none"/>
                <right style="none"/>
                <top style="none"/>
                <bottom style="thin">
                  <color auto="1"/>
                </bottom>
                <diagonal/>
                <vertical style="none"/>
                <horizontal style="none"/>
              </border>
            </x14:dxf>
          </x14:cfRule>
          <xm:sqref>B20</xm:sqref>
        </x14:conditionalFormatting>
        <x14:conditionalFormatting xmlns:xm="http://schemas.microsoft.com/office/excel/2006/main">
          <x14:cfRule type="expression" priority="325" id="{00FA0044-00C7-4CD7-A29F-003F001C00E4}">
            <xm:f>$B21&lt;&gt;$B27</xm:f>
            <x14:dxf>
              <border>
                <left style="none"/>
                <right style="none"/>
                <top style="none"/>
                <bottom style="thin">
                  <color auto="1"/>
                </bottom>
                <diagonal/>
                <vertical style="none"/>
                <horizontal style="none"/>
              </border>
            </x14:dxf>
          </x14:cfRule>
          <xm:sqref>B21</xm:sqref>
        </x14:conditionalFormatting>
        <x14:conditionalFormatting xmlns:xm="http://schemas.microsoft.com/office/excel/2006/main">
          <x14:cfRule type="expression" priority="324" id="{0032001A-006E-4547-ACDA-00EB00F1004B}">
            <xm:f>$B27&lt;&gt;$B28</xm:f>
            <x14:dxf>
              <border>
                <left style="none"/>
                <right style="none"/>
                <top style="none"/>
                <bottom style="thin">
                  <color auto="1"/>
                </bottom>
                <diagonal/>
                <vertical style="none"/>
                <horizontal style="none"/>
              </border>
            </x14:dxf>
          </x14:cfRule>
          <xm:sqref>B27</xm:sqref>
        </x14:conditionalFormatting>
        <x14:conditionalFormatting xmlns:xm="http://schemas.microsoft.com/office/excel/2006/main">
          <x14:cfRule type="expression" priority="323" id="{006B00DD-0008-48F8-8F54-00B70092005D}">
            <xm:f>$B28&lt;&gt;$B29</xm:f>
            <x14:dxf>
              <border>
                <left style="none"/>
                <right style="none"/>
                <top style="none"/>
                <bottom style="thin">
                  <color auto="1"/>
                </bottom>
                <diagonal/>
                <vertical style="none"/>
                <horizontal style="none"/>
              </border>
            </x14:dxf>
          </x14:cfRule>
          <xm:sqref>B28</xm:sqref>
        </x14:conditionalFormatting>
        <x14:conditionalFormatting xmlns:xm="http://schemas.microsoft.com/office/excel/2006/main">
          <x14:cfRule type="expression" priority="322" id="{00930071-00E1-4CAF-B3DC-00AF00FE0089}">
            <xm:f>$B29&lt;&gt;$B31</xm:f>
            <x14:dxf>
              <border>
                <left style="none"/>
                <right style="none"/>
                <top style="none"/>
                <bottom style="thin">
                  <color auto="1"/>
                </bottom>
                <diagonal/>
                <vertical style="none"/>
                <horizontal style="none"/>
              </border>
            </x14:dxf>
          </x14:cfRule>
          <xm:sqref>B29</xm:sqref>
        </x14:conditionalFormatting>
        <x14:conditionalFormatting xmlns:xm="http://schemas.microsoft.com/office/excel/2006/main">
          <x14:cfRule type="expression" priority="314" id="{00C300CF-00E9-4F78-B348-00A500B000FD}">
            <xm:f>$B31&lt;&gt;$B33</xm:f>
            <x14:dxf>
              <border>
                <left style="none"/>
                <right style="none"/>
                <top style="none"/>
                <bottom style="thin">
                  <color auto="1"/>
                </bottom>
                <diagonal/>
                <vertical style="none"/>
                <horizontal style="none"/>
              </border>
            </x14:dxf>
          </x14:cfRule>
          <xm:sqref>B31</xm:sqref>
        </x14:conditionalFormatting>
        <x14:conditionalFormatting xmlns:xm="http://schemas.microsoft.com/office/excel/2006/main">
          <x14:cfRule type="expression" priority="313" id="{00850054-00C7-4528-883D-00AC00BA00DB}">
            <xm:f>$B33&lt;&gt;$B34</xm:f>
            <x14:dxf>
              <border>
                <left style="none"/>
                <right style="none"/>
                <top style="none"/>
                <bottom style="thin">
                  <color auto="1"/>
                </bottom>
                <diagonal/>
                <vertical style="none"/>
                <horizontal style="none"/>
              </border>
            </x14:dxf>
          </x14:cfRule>
          <xm:sqref>B33</xm:sqref>
        </x14:conditionalFormatting>
        <x14:conditionalFormatting xmlns:xm="http://schemas.microsoft.com/office/excel/2006/main">
          <x14:cfRule type="expression" priority="312" id="{009C00BC-00C7-4C13-8FF4-00EA000B0059}">
            <xm:f>$B34&lt;&gt;$B35</xm:f>
            <x14:dxf>
              <border>
                <left style="none"/>
                <right style="none"/>
                <top style="none"/>
                <bottom style="thin">
                  <color auto="1"/>
                </bottom>
                <diagonal/>
                <vertical style="none"/>
                <horizontal style="none"/>
              </border>
            </x14:dxf>
          </x14:cfRule>
          <xm:sqref>B34</xm:sqref>
        </x14:conditionalFormatting>
        <x14:conditionalFormatting xmlns:xm="http://schemas.microsoft.com/office/excel/2006/main">
          <x14:cfRule type="expression" priority="303" id="{00490008-0037-424C-B679-00C6006B00C5}">
            <xm:f>$B34&lt;&gt;$B38</xm:f>
            <x14:dxf>
              <border>
                <left style="none"/>
                <right style="none"/>
                <top style="none"/>
                <bottom style="thin">
                  <color auto="1"/>
                </bottom>
                <diagonal/>
                <vertical style="none"/>
                <horizontal style="none"/>
              </border>
            </x14:dxf>
          </x14:cfRule>
          <xm:sqref>D34:F34</xm:sqref>
        </x14:conditionalFormatting>
        <x14:conditionalFormatting xmlns:xm="http://schemas.microsoft.com/office/excel/2006/main">
          <x14:cfRule type="expression" priority="300" id="{00710023-00ED-4596-A724-001E00AD00E8}">
            <xm:f>$B35&lt;&gt;$B36</xm:f>
            <x14:dxf>
              <border>
                <left style="none"/>
                <right style="none"/>
                <top style="none"/>
                <bottom style="thin">
                  <color auto="1"/>
                </bottom>
                <diagonal/>
                <vertical style="none"/>
                <horizontal style="none"/>
              </border>
            </x14:dxf>
          </x14:cfRule>
          <xm:sqref>B35</xm:sqref>
        </x14:conditionalFormatting>
        <x14:conditionalFormatting xmlns:xm="http://schemas.microsoft.com/office/excel/2006/main">
          <x14:cfRule type="expression" priority="299" id="{00EF0054-00E7-4196-B9E6-009300CF00A7}">
            <xm:f>$B36&lt;&gt;$B38</xm:f>
            <x14:dxf>
              <border>
                <left style="none"/>
                <right style="none"/>
                <top style="none"/>
                <bottom style="thin">
                  <color auto="1"/>
                </bottom>
                <diagonal/>
                <vertical style="none"/>
                <horizontal style="none"/>
              </border>
            </x14:dxf>
          </x14:cfRule>
          <xm:sqref>B36</xm:sqref>
        </x14:conditionalFormatting>
        <x14:conditionalFormatting xmlns:xm="http://schemas.microsoft.com/office/excel/2006/main">
          <x14:cfRule type="expression" priority="298" id="{00CC00A2-00FC-4906-AA3D-0040003F00F2}">
            <xm:f>$B38&lt;&gt;$B40</xm:f>
            <x14:dxf>
              <border>
                <left style="none"/>
                <right style="none"/>
                <top style="none"/>
                <bottom style="thin">
                  <color auto="1"/>
                </bottom>
                <diagonal/>
                <vertical style="none"/>
                <horizontal style="none"/>
              </border>
            </x14:dxf>
          </x14:cfRule>
          <xm:sqref>B38</xm:sqref>
        </x14:conditionalFormatting>
        <x14:conditionalFormatting xmlns:xm="http://schemas.microsoft.com/office/excel/2006/main">
          <x14:cfRule type="expression" priority="296" id="{008700FE-0048-449F-A8CE-004000680068}">
            <xm:f>$B41&lt;&gt;$B42</xm:f>
            <x14:dxf>
              <border>
                <left style="none"/>
                <right style="none"/>
                <top style="none"/>
                <bottom style="thin">
                  <color auto="1"/>
                </bottom>
                <diagonal/>
                <vertical style="none"/>
                <horizontal style="none"/>
              </border>
            </x14:dxf>
          </x14:cfRule>
          <xm:sqref>B41</xm:sqref>
        </x14:conditionalFormatting>
        <x14:conditionalFormatting xmlns:xm="http://schemas.microsoft.com/office/excel/2006/main">
          <x14:cfRule type="expression" priority="292" id="{00B000FD-000A-4F09-B0EE-00E7001C00F5}">
            <xm:f>$B47&lt;&gt;$B49</xm:f>
            <x14:dxf>
              <border>
                <left style="none"/>
                <right style="none"/>
                <top style="none"/>
                <bottom style="thin">
                  <color auto="1"/>
                </bottom>
                <diagonal/>
                <vertical style="none"/>
                <horizontal style="none"/>
              </border>
            </x14:dxf>
          </x14:cfRule>
          <xm:sqref>B47</xm:sqref>
        </x14:conditionalFormatting>
        <x14:conditionalFormatting xmlns:xm="http://schemas.microsoft.com/office/excel/2006/main">
          <x14:cfRule type="expression" priority="261" id="{006B0060-00D3-4C78-9A20-007F009100DA}">
            <xm:f>$B49&lt;&gt;$B50</xm:f>
            <x14:dxf>
              <border>
                <left style="none"/>
                <right style="none"/>
                <top style="none"/>
                <bottom style="thin">
                  <color auto="1"/>
                </bottom>
                <diagonal/>
                <vertical style="none"/>
                <horizontal style="none"/>
              </border>
            </x14:dxf>
          </x14:cfRule>
          <xm:sqref>B49:B62</xm:sqref>
        </x14:conditionalFormatting>
        <x14:conditionalFormatting xmlns:xm="http://schemas.microsoft.com/office/excel/2006/main">
          <x14:cfRule type="expression" priority="260" id="{000500E5-0012-4D9D-97ED-007000A00012}">
            <xm:f>$B49&lt;&gt;$B50</xm:f>
            <x14:dxf>
              <border>
                <left style="none"/>
                <right style="none"/>
                <top style="none"/>
                <bottom style="thin">
                  <color auto="1"/>
                </bottom>
                <diagonal/>
                <vertical style="none"/>
                <horizontal style="none"/>
              </border>
            </x14:dxf>
          </x14:cfRule>
          <xm:sqref>A49:A62</xm:sqref>
        </x14:conditionalFormatting>
        <x14:conditionalFormatting xmlns:xm="http://schemas.microsoft.com/office/excel/2006/main">
          <x14:cfRule type="expression" priority="256" id="{006300A1-00B7-496E-81A4-00B90025007A}">
            <xm:f>$B50&lt;&gt;$B51</xm:f>
            <x14:dxf>
              <border>
                <left style="none"/>
                <right style="none"/>
                <top style="none"/>
                <bottom style="thin">
                  <color auto="1"/>
                </bottom>
                <diagonal/>
                <vertical style="none"/>
                <horizontal style="none"/>
              </border>
            </x14:dxf>
          </x14:cfRule>
          <xm:sqref>F51:G62 F50</xm:sqref>
        </x14:conditionalFormatting>
        <x14:conditionalFormatting xmlns:xm="http://schemas.microsoft.com/office/excel/2006/main">
          <x14:cfRule type="expression" priority="126" id="{006D008C-00ED-4193-8A7B-00EF008900D3}">
            <xm:f>$B39&lt;&gt;$B44</xm:f>
            <x14:dxf>
              <border>
                <left style="none"/>
                <right style="none"/>
                <top style="none"/>
                <bottom style="thin">
                  <color auto="1"/>
                </bottom>
                <diagonal/>
                <vertical style="none"/>
                <horizontal style="none"/>
              </border>
            </x14:dxf>
          </x14:cfRule>
          <xm:sqref>I39:K39 A39 D39:G39</xm:sqref>
        </x14:conditionalFormatting>
        <x14:conditionalFormatting xmlns:xm="http://schemas.microsoft.com/office/excel/2006/main">
          <x14:cfRule type="expression" priority="125" id="{00F10061-003E-43DF-AC37-00DE000B007E}">
            <xm:f>$B39&lt;&gt;$B40</xm:f>
            <x14:dxf>
              <border>
                <left style="none"/>
                <right style="none"/>
                <top style="none"/>
                <bottom style="thin">
                  <color auto="1"/>
                </bottom>
                <diagonal/>
                <vertical style="none"/>
                <horizontal style="none"/>
              </border>
            </x14:dxf>
          </x14:cfRule>
          <xm:sqref>A39:H39</xm:sqref>
        </x14:conditionalFormatting>
        <x14:conditionalFormatting xmlns:xm="http://schemas.microsoft.com/office/excel/2006/main">
          <x14:cfRule type="expression" priority="123" id="{005F0080-00EF-49E4-A4E6-000A00D200DE}">
            <xm:f>$B25&lt;&gt;$B28</xm:f>
            <x14:dxf>
              <border>
                <left style="none"/>
                <right style="none"/>
                <top style="none"/>
                <bottom style="thin">
                  <color auto="1"/>
                </bottom>
                <diagonal/>
                <vertical style="none"/>
                <horizontal style="none"/>
              </border>
            </x14:dxf>
          </x14:cfRule>
          <xm:sqref>A25:C25 H25:K25</xm:sqref>
        </x14:conditionalFormatting>
        <x14:conditionalFormatting xmlns:xm="http://schemas.microsoft.com/office/excel/2006/main">
          <x14:cfRule type="expression" priority="121" id="{00C500E6-001A-40F1-8209-0079003A0015}">
            <xm:f>$B25&lt;&gt;$B28</xm:f>
            <x14:dxf>
              <border>
                <left style="none"/>
                <right style="none"/>
                <top style="none"/>
                <bottom style="thin">
                  <color auto="1"/>
                </bottom>
                <diagonal/>
                <vertical style="none"/>
                <horizontal style="none"/>
              </border>
            </x14:dxf>
          </x14:cfRule>
          <xm:sqref>B25</xm:sqref>
        </x14:conditionalFormatting>
        <x14:conditionalFormatting xmlns:xm="http://schemas.microsoft.com/office/excel/2006/main">
          <x14:cfRule type="expression" priority="120" id="{004100A4-002E-4CC3-B2B7-00A100D600A3}">
            <xm:f>$B18&lt;&gt;$B25</xm:f>
            <x14:dxf>
              <border>
                <left style="none"/>
                <right style="none"/>
                <top style="none"/>
                <bottom style="thin">
                  <color auto="1"/>
                </bottom>
                <diagonal/>
                <vertical style="none"/>
                <horizontal style="none"/>
              </border>
            </x14:dxf>
          </x14:cfRule>
          <xm:sqref>G18</xm:sqref>
        </x14:conditionalFormatting>
        <x14:conditionalFormatting xmlns:xm="http://schemas.microsoft.com/office/excel/2006/main">
          <x14:cfRule type="expression" priority="119" id="{009F000A-0099-48C0-860C-003700820039}">
            <xm:f>$B18&lt;&gt;#REF!</xm:f>
            <x14:dxf>
              <border>
                <left style="none"/>
                <right style="none"/>
                <top style="none"/>
                <bottom style="thin">
                  <color auto="1"/>
                </bottom>
                <diagonal/>
                <vertical style="none"/>
                <horizontal style="none"/>
              </border>
            </x14:dxf>
          </x14:cfRule>
          <xm:sqref>I18:K18 A18 D18:F18</xm:sqref>
        </x14:conditionalFormatting>
        <x14:conditionalFormatting xmlns:xm="http://schemas.microsoft.com/office/excel/2006/main">
          <x14:cfRule type="expression" priority="118" id="{001900AE-009B-4704-A597-001A0014006B}">
            <xm:f>$B18&lt;&gt;$B19</xm:f>
            <x14:dxf>
              <border>
                <left style="none"/>
                <right style="none"/>
                <top style="none"/>
                <bottom style="thin">
                  <color auto="1"/>
                </bottom>
                <diagonal/>
                <vertical style="none"/>
                <horizontal style="none"/>
              </border>
            </x14:dxf>
          </x14:cfRule>
          <xm:sqref>A18:H18</xm:sqref>
        </x14:conditionalFormatting>
        <x14:conditionalFormatting xmlns:xm="http://schemas.microsoft.com/office/excel/2006/main">
          <x14:cfRule type="expression" priority="117" id="{00E5008B-0082-4F42-BD42-009C002700D5}">
            <xm:f>$B18&lt;&gt;$B19</xm:f>
            <x14:dxf>
              <border>
                <left style="none"/>
                <right style="none"/>
                <top style="none"/>
                <bottom style="thin">
                  <color auto="1"/>
                </bottom>
                <diagonal/>
                <vertical style="none"/>
                <horizontal style="none"/>
              </border>
            </x14:dxf>
          </x14:cfRule>
          <xm:sqref>B18</xm:sqref>
        </x14:conditionalFormatting>
        <x14:conditionalFormatting xmlns:xm="http://schemas.microsoft.com/office/excel/2006/main">
          <x14:cfRule type="expression" priority="115" id="{0094005C-00C1-4E5B-BC32-001C002D0058}">
            <xm:f>$B26&lt;&gt;$B27</xm:f>
            <x14:dxf>
              <border>
                <left style="none"/>
                <right style="none"/>
                <top style="none"/>
                <bottom style="thin">
                  <color auto="1"/>
                </bottom>
                <diagonal/>
                <vertical style="none"/>
                <horizontal style="none"/>
              </border>
            </x14:dxf>
          </x14:cfRule>
          <xm:sqref>B26:C26 H26</xm:sqref>
        </x14:conditionalFormatting>
        <x14:conditionalFormatting xmlns:xm="http://schemas.microsoft.com/office/excel/2006/main">
          <x14:cfRule type="expression" priority="114" id="{009800A3-00B7-492D-8CE0-00AD00940043}">
            <xm:f>$B26&lt;&gt;$B29</xm:f>
            <x14:dxf>
              <border>
                <left style="none"/>
                <right style="none"/>
                <top style="none"/>
                <bottom style="thin">
                  <color auto="1"/>
                </bottom>
                <diagonal/>
                <vertical style="none"/>
                <horizontal style="none"/>
              </border>
            </x14:dxf>
          </x14:cfRule>
          <xm:sqref>I26:K26</xm:sqref>
        </x14:conditionalFormatting>
        <x14:conditionalFormatting xmlns:xm="http://schemas.microsoft.com/office/excel/2006/main">
          <x14:cfRule type="expression" priority="113" id="{002D00E8-0096-4858-92F5-00E700BD00CB}">
            <xm:f>$B26&lt;&gt;$B27</xm:f>
            <x14:dxf>
              <border>
                <left style="none"/>
                <right style="none"/>
                <top style="none"/>
                <bottom style="thin">
                  <color auto="1"/>
                </bottom>
                <diagonal/>
                <vertical style="none"/>
                <horizontal style="none"/>
              </border>
            </x14:dxf>
          </x14:cfRule>
          <xm:sqref>B26</xm:sqref>
        </x14:conditionalFormatting>
        <x14:conditionalFormatting xmlns:xm="http://schemas.microsoft.com/office/excel/2006/main">
          <x14:cfRule type="expression" priority="110" id="{005F00E5-007F-4607-9FE7-00F4008400BD}">
            <xm:f>$B22&lt;&gt;#REF!</xm:f>
            <x14:dxf>
              <border>
                <left style="none"/>
                <right style="none"/>
                <top style="none"/>
                <bottom style="thin">
                  <color auto="1"/>
                </bottom>
                <diagonal/>
                <vertical style="none"/>
                <horizontal style="none"/>
              </border>
            </x14:dxf>
          </x14:cfRule>
          <xm:sqref>D22</xm:sqref>
        </x14:conditionalFormatting>
        <x14:conditionalFormatting xmlns:xm="http://schemas.microsoft.com/office/excel/2006/main">
          <x14:cfRule type="expression" priority="108" id="{0006009C-00D7-41C2-ADD4-007B000100AC}">
            <xm:f>$B42&lt;&gt;$B49</xm:f>
            <x14:dxf>
              <border>
                <left style="none"/>
                <right style="none"/>
                <top style="none"/>
                <bottom style="thin">
                  <color auto="1"/>
                </bottom>
                <diagonal/>
                <vertical style="none"/>
                <horizontal style="none"/>
              </border>
            </x14:dxf>
          </x14:cfRule>
          <xm:sqref>G42:G45</xm:sqref>
        </x14:conditionalFormatting>
        <x14:conditionalFormatting xmlns:xm="http://schemas.microsoft.com/office/excel/2006/main">
          <x14:cfRule type="expression" priority="106" id="{00CB0030-00AD-4A00-ABFC-000A0049006B}">
            <xm:f>$B7&lt;&gt;$B8</xm:f>
            <x14:dxf>
              <border>
                <left style="none"/>
                <right style="none"/>
                <top style="none"/>
                <bottom style="thin">
                  <color auto="1"/>
                </bottom>
                <diagonal/>
                <vertical style="none"/>
                <horizontal style="none"/>
              </border>
            </x14:dxf>
          </x14:cfRule>
          <xm:sqref>A7:K7</xm:sqref>
        </x14:conditionalFormatting>
        <x14:conditionalFormatting xmlns:xm="http://schemas.microsoft.com/office/excel/2006/main">
          <x14:cfRule type="expression" priority="105" id="{006B00F0-0083-4AAE-8B0C-009B0018006A}">
            <xm:f>$B7&lt;&gt;#REF!</xm:f>
            <x14:dxf>
              <border>
                <left style="none"/>
                <right style="none"/>
                <top style="none"/>
                <bottom style="thin">
                  <color auto="1"/>
                </bottom>
                <diagonal/>
                <vertical style="none"/>
                <horizontal style="none"/>
              </border>
            </x14:dxf>
          </x14:cfRule>
          <xm:sqref>D7</xm:sqref>
        </x14:conditionalFormatting>
        <x14:conditionalFormatting xmlns:xm="http://schemas.microsoft.com/office/excel/2006/main">
          <x14:cfRule type="expression" priority="104" id="{0010006E-0050-4E64-9598-006B00E40008}">
            <xm:f>$B7&lt;&gt;$B11</xm:f>
            <x14:dxf>
              <border>
                <left style="none"/>
                <right style="none"/>
                <top style="none"/>
                <bottom style="thin">
                  <color auto="1"/>
                </bottom>
                <diagonal/>
                <vertical style="none"/>
                <horizontal style="none"/>
              </border>
            </x14:dxf>
          </x14:cfRule>
          <xm:sqref>G7</xm:sqref>
        </x14:conditionalFormatting>
        <x14:conditionalFormatting xmlns:xm="http://schemas.microsoft.com/office/excel/2006/main">
          <x14:cfRule type="expression" priority="103" id="{002C001A-00B4-4BC1-8464-001800E90051}">
            <xm:f>$B7&lt;&gt;$B8</xm:f>
            <x14:dxf>
              <border>
                <left style="none"/>
                <right style="none"/>
                <top style="none"/>
                <bottom style="thin">
                  <color auto="1"/>
                </bottom>
                <diagonal/>
                <vertical style="none"/>
                <horizontal style="none"/>
              </border>
            </x14:dxf>
          </x14:cfRule>
          <xm:sqref>C7</xm:sqref>
        </x14:conditionalFormatting>
        <x14:conditionalFormatting xmlns:xm="http://schemas.microsoft.com/office/excel/2006/main">
          <x14:cfRule type="expression" priority="102" id="{003B00C8-00F5-4DD1-9B7B-00C5002400FD}">
            <xm:f>$B10&lt;&gt;$B11</xm:f>
            <x14:dxf>
              <border>
                <left style="none"/>
                <right style="none"/>
                <top style="none"/>
                <bottom style="thin">
                  <color auto="1"/>
                </bottom>
                <diagonal/>
                <vertical style="none"/>
                <horizontal style="none"/>
              </border>
            </x14:dxf>
          </x14:cfRule>
          <xm:sqref>B10:D10 H10</xm:sqref>
        </x14:conditionalFormatting>
        <x14:conditionalFormatting xmlns:xm="http://schemas.microsoft.com/office/excel/2006/main">
          <x14:cfRule type="expression" priority="99" id="{00EF0027-00EF-4CE7-858A-00FE0063000D}">
            <xm:f>$B10&lt;&gt;#REF!</xm:f>
            <x14:dxf>
              <border>
                <left style="none"/>
                <right style="none"/>
                <top style="none"/>
                <bottom style="thin">
                  <color auto="1"/>
                </bottom>
                <diagonal/>
                <vertical style="none"/>
                <horizontal style="none"/>
              </border>
            </x14:dxf>
          </x14:cfRule>
          <xm:sqref>D10</xm:sqref>
        </x14:conditionalFormatting>
        <x14:conditionalFormatting xmlns:xm="http://schemas.microsoft.com/office/excel/2006/main">
          <x14:cfRule type="expression" priority="98" id="{00330048-006C-4EE2-808F-00FE009200D3}">
            <xm:f>$B10&lt;&gt;$B11</xm:f>
            <x14:dxf>
              <border>
                <left style="none"/>
                <right style="none"/>
                <top style="none"/>
                <bottom style="thin">
                  <color auto="1"/>
                </bottom>
                <diagonal/>
                <vertical style="none"/>
                <horizontal style="none"/>
              </border>
            </x14:dxf>
          </x14:cfRule>
          <xm:sqref>B10</xm:sqref>
        </x14:conditionalFormatting>
        <x14:conditionalFormatting xmlns:xm="http://schemas.microsoft.com/office/excel/2006/main">
          <x14:cfRule type="expression" priority="97" id="{00110043-0061-4114-AE6A-004700600056}">
            <xm:f>$B4&lt;&gt;$B5</xm:f>
            <x14:dxf>
              <border>
                <left style="none"/>
                <right style="none"/>
                <top style="none"/>
                <bottom style="thin">
                  <color auto="1"/>
                </bottom>
                <diagonal/>
                <vertical style="none"/>
                <horizontal style="none"/>
              </border>
            </x14:dxf>
          </x14:cfRule>
          <xm:sqref>A4:K4</xm:sqref>
        </x14:conditionalFormatting>
        <x14:conditionalFormatting xmlns:xm="http://schemas.microsoft.com/office/excel/2006/main">
          <x14:cfRule type="expression" priority="96" id="{000B0092-00D6-42FE-A743-000E00080085}">
            <xm:f>$B4&lt;&gt;#REF!</xm:f>
            <x14:dxf>
              <border>
                <left style="none"/>
                <right style="none"/>
                <top style="none"/>
                <bottom style="thin">
                  <color auto="1"/>
                </bottom>
                <diagonal/>
                <vertical style="none"/>
                <horizontal style="none"/>
              </border>
            </x14:dxf>
          </x14:cfRule>
          <xm:sqref>D4</xm:sqref>
        </x14:conditionalFormatting>
        <x14:conditionalFormatting xmlns:xm="http://schemas.microsoft.com/office/excel/2006/main">
          <x14:cfRule type="expression" priority="95" id="{00530010-00EE-497F-B7B4-00C70090003A}">
            <xm:f>$B4&lt;&gt;$B7</xm:f>
            <x14:dxf>
              <border>
                <left style="none"/>
                <right style="none"/>
                <top style="none"/>
                <bottom style="thin">
                  <color auto="1"/>
                </bottom>
                <diagonal/>
                <vertical style="none"/>
                <horizontal style="none"/>
              </border>
            </x14:dxf>
          </x14:cfRule>
          <xm:sqref>G4</xm:sqref>
        </x14:conditionalFormatting>
        <x14:conditionalFormatting xmlns:xm="http://schemas.microsoft.com/office/excel/2006/main">
          <x14:cfRule type="expression" priority="94" id="{00D00095-00D2-4A7A-AC37-008A000E0080}">
            <xm:f>$B12&lt;&gt;$B14</xm:f>
            <x14:dxf>
              <border>
                <left style="none"/>
                <right style="none"/>
                <top style="none"/>
                <bottom style="thin">
                  <color auto="1"/>
                </bottom>
                <diagonal/>
                <vertical style="none"/>
                <horizontal style="none"/>
              </border>
            </x14:dxf>
          </x14:cfRule>
          <xm:sqref>B12:D12 H12</xm:sqref>
        </x14:conditionalFormatting>
        <x14:conditionalFormatting xmlns:xm="http://schemas.microsoft.com/office/excel/2006/main">
          <x14:cfRule type="expression" priority="90" id="{00C40057-002B-443E-ADA5-00E700DD0032}">
            <xm:f>$B12&lt;&gt;$B20</xm:f>
            <x14:dxf>
              <border>
                <left style="none"/>
                <right style="none"/>
                <top style="none"/>
                <bottom style="thin">
                  <color auto="1"/>
                </bottom>
                <diagonal/>
                <vertical style="none"/>
                <horizontal style="none"/>
              </border>
            </x14:dxf>
          </x14:cfRule>
          <xm:sqref>I12:K12</xm:sqref>
        </x14:conditionalFormatting>
        <x14:conditionalFormatting xmlns:xm="http://schemas.microsoft.com/office/excel/2006/main">
          <x14:cfRule type="expression" priority="89" id="{0076003D-00AC-483C-96D4-001A00650033}">
            <xm:f>$B12&lt;&gt;#REF!</xm:f>
            <x14:dxf>
              <border>
                <left style="none"/>
                <right style="none"/>
                <top style="none"/>
                <bottom style="thin">
                  <color auto="1"/>
                </bottom>
                <diagonal/>
                <vertical style="none"/>
                <horizontal style="none"/>
              </border>
            </x14:dxf>
          </x14:cfRule>
          <xm:sqref>D12</xm:sqref>
        </x14:conditionalFormatting>
        <x14:conditionalFormatting xmlns:xm="http://schemas.microsoft.com/office/excel/2006/main">
          <x14:cfRule type="expression" priority="88" id="{0072000F-00A7-4CF2-8F65-00970004003D}">
            <xm:f>$B12&lt;&gt;$B14</xm:f>
            <x14:dxf>
              <border>
                <left style="none"/>
                <right style="none"/>
                <top style="none"/>
                <bottom style="thin">
                  <color auto="1"/>
                </bottom>
                <diagonal/>
                <vertical style="none"/>
                <horizontal style="none"/>
              </border>
            </x14:dxf>
          </x14:cfRule>
          <xm:sqref>B12</xm:sqref>
        </x14:conditionalFormatting>
        <x14:conditionalFormatting xmlns:xm="http://schemas.microsoft.com/office/excel/2006/main">
          <x14:cfRule type="expression" priority="87" id="{009F0000-0069-496C-8487-00D4009A00B5}">
            <xm:f>$B13&lt;&gt;$B14</xm:f>
            <x14:dxf>
              <border>
                <left style="none"/>
                <right style="none"/>
                <top style="none"/>
                <bottom style="thin">
                  <color auto="1"/>
                </bottom>
                <diagonal/>
                <vertical style="none"/>
                <horizontal style="none"/>
              </border>
            </x14:dxf>
          </x14:cfRule>
          <xm:sqref>B13:D13 H13</xm:sqref>
        </x14:conditionalFormatting>
        <x14:conditionalFormatting xmlns:xm="http://schemas.microsoft.com/office/excel/2006/main">
          <x14:cfRule type="expression" priority="86" id="{00460049-003D-4412-9402-00E500E70046}">
            <xm:f>$B13&lt;&gt;#REF!</xm:f>
            <x14:dxf>
              <border>
                <left style="none"/>
                <right style="none"/>
                <top style="none"/>
                <bottom style="thin">
                  <color auto="1"/>
                </bottom>
                <diagonal/>
                <vertical style="none"/>
                <horizontal style="none"/>
              </border>
            </x14:dxf>
          </x14:cfRule>
          <xm:sqref>D13</xm:sqref>
        </x14:conditionalFormatting>
        <x14:conditionalFormatting xmlns:xm="http://schemas.microsoft.com/office/excel/2006/main">
          <x14:cfRule type="expression" priority="85" id="{004D0054-00B4-4710-A896-0077006300A2}">
            <xm:f>$B13&lt;&gt;$B18</xm:f>
            <x14:dxf>
              <border>
                <left style="none"/>
                <right style="none"/>
                <top style="none"/>
                <bottom style="thin">
                  <color auto="1"/>
                </bottom>
                <diagonal/>
                <vertical style="none"/>
                <horizontal style="none"/>
              </border>
            </x14:dxf>
          </x14:cfRule>
          <xm:sqref>I13:K13</xm:sqref>
        </x14:conditionalFormatting>
        <x14:conditionalFormatting xmlns:xm="http://schemas.microsoft.com/office/excel/2006/main">
          <x14:cfRule type="expression" priority="84" id="{0047001C-0019-4792-A0B2-000900EB00B8}">
            <xm:f>$B13&lt;&gt;$B14</xm:f>
            <x14:dxf>
              <border>
                <left style="none"/>
                <right style="none"/>
                <top style="none"/>
                <bottom style="thin">
                  <color auto="1"/>
                </bottom>
                <diagonal/>
                <vertical style="none"/>
                <horizontal style="none"/>
              </border>
            </x14:dxf>
          </x14:cfRule>
          <xm:sqref>B13</xm:sqref>
        </x14:conditionalFormatting>
        <x14:conditionalFormatting xmlns:xm="http://schemas.microsoft.com/office/excel/2006/main">
          <x14:cfRule type="expression" priority="83" id="{00A000BE-0077-4B5A-8DE2-007700F000B3}">
            <xm:f>$B9&lt;&gt;$B10</xm:f>
            <x14:dxf>
              <border>
                <left style="none"/>
                <right style="none"/>
                <top style="none"/>
                <bottom style="thin">
                  <color auto="1"/>
                </bottom>
                <diagonal/>
                <vertical style="none"/>
                <horizontal style="none"/>
              </border>
            </x14:dxf>
          </x14:cfRule>
          <xm:sqref>A9:A15</xm:sqref>
        </x14:conditionalFormatting>
        <x14:conditionalFormatting xmlns:xm="http://schemas.microsoft.com/office/excel/2006/main">
          <x14:cfRule type="expression" priority="81" id="{008300B7-006E-45E1-9E62-002500A4005E}">
            <xm:f>$B30&lt;&gt;$B31</xm:f>
            <x14:dxf>
              <border>
                <left style="none"/>
                <right style="none"/>
                <top style="none"/>
                <bottom style="thin">
                  <color auto="1"/>
                </bottom>
                <diagonal/>
                <vertical style="none"/>
                <horizontal style="none"/>
              </border>
            </x14:dxf>
          </x14:cfRule>
          <xm:sqref>A30:C30 H30:K30 F30</xm:sqref>
        </x14:conditionalFormatting>
        <x14:conditionalFormatting xmlns:xm="http://schemas.microsoft.com/office/excel/2006/main">
          <x14:cfRule type="expression" priority="78" id="{009B002F-00B6-41E3-958E-0062002E00D2}">
            <xm:f>$B30&lt;&gt;$B31</xm:f>
            <x14:dxf>
              <border>
                <left style="none"/>
                <right style="none"/>
                <top style="none"/>
                <bottom style="thin">
                  <color auto="1"/>
                </bottom>
                <diagonal/>
                <vertical style="none"/>
                <horizontal style="none"/>
              </border>
            </x14:dxf>
          </x14:cfRule>
          <xm:sqref>B30</xm:sqref>
        </x14:conditionalFormatting>
        <x14:conditionalFormatting xmlns:xm="http://schemas.microsoft.com/office/excel/2006/main">
          <x14:cfRule type="expression" priority="76" id="{0004007C-0062-4151-B467-0046003800A2}">
            <xm:f>$B32&lt;&gt;$B33</xm:f>
            <x14:dxf>
              <border>
                <left style="none"/>
                <right style="none"/>
                <top style="none"/>
                <bottom style="thin">
                  <color auto="1"/>
                </bottom>
                <diagonal/>
                <vertical style="none"/>
                <horizontal style="none"/>
              </border>
            </x14:dxf>
          </x14:cfRule>
          <xm:sqref>A32:C32 H32:K32 F32</xm:sqref>
        </x14:conditionalFormatting>
        <x14:conditionalFormatting xmlns:xm="http://schemas.microsoft.com/office/excel/2006/main">
          <x14:cfRule type="expression" priority="73" id="{00C8004D-00E2-476A-BEA3-002400F30053}">
            <xm:f>$B32&lt;&gt;$B33</xm:f>
            <x14:dxf>
              <border>
                <left style="none"/>
                <right style="none"/>
                <top style="none"/>
                <bottom style="thin">
                  <color auto="1"/>
                </bottom>
                <diagonal/>
                <vertical style="none"/>
                <horizontal style="none"/>
              </border>
            </x14:dxf>
          </x14:cfRule>
          <xm:sqref>B32</xm:sqref>
        </x14:conditionalFormatting>
        <x14:conditionalFormatting xmlns:xm="http://schemas.microsoft.com/office/excel/2006/main">
          <x14:cfRule type="expression" priority="72" id="{00B300EB-00F0-45E1-8603-003900730086}">
            <xm:f>$B37&lt;&gt;$B41</xm:f>
            <x14:dxf>
              <border>
                <left style="none"/>
                <right style="none"/>
                <top style="none"/>
                <bottom style="thin">
                  <color auto="1"/>
                </bottom>
                <diagonal/>
                <vertical style="none"/>
                <horizontal style="none"/>
              </border>
            </x14:dxf>
          </x14:cfRule>
          <xm:sqref>A37 D37:F37 I37:K37</xm:sqref>
        </x14:conditionalFormatting>
        <x14:conditionalFormatting xmlns:xm="http://schemas.microsoft.com/office/excel/2006/main">
          <x14:cfRule type="expression" priority="71" id="{00A5009D-00C4-4203-9800-0095004D001F}">
            <xm:f>$B37&lt;&gt;$B39</xm:f>
            <x14:dxf>
              <border>
                <left style="none"/>
                <right style="none"/>
                <top style="none"/>
                <bottom style="thin">
                  <color auto="1"/>
                </bottom>
                <diagonal/>
                <vertical style="none"/>
                <horizontal style="none"/>
              </border>
            </x14:dxf>
          </x14:cfRule>
          <xm:sqref>A37:H37</xm:sqref>
        </x14:conditionalFormatting>
        <x14:conditionalFormatting xmlns:xm="http://schemas.microsoft.com/office/excel/2006/main">
          <x14:cfRule type="expression" priority="70" id="{00990053-0056-4446-92D6-00DA00E300FD}">
            <xm:f>$B37&lt;&gt;$B41</xm:f>
            <x14:dxf>
              <border>
                <left style="none"/>
                <right style="none"/>
                <top style="none"/>
                <bottom style="thin">
                  <color auto="1"/>
                </bottom>
                <diagonal/>
                <vertical style="none"/>
                <horizontal style="none"/>
              </border>
            </x14:dxf>
          </x14:cfRule>
          <xm:sqref>G37</xm:sqref>
        </x14:conditionalFormatting>
        <x14:conditionalFormatting xmlns:xm="http://schemas.microsoft.com/office/excel/2006/main">
          <x14:cfRule type="expression" priority="69" id="{00E0007B-0093-4D59-9F25-004600770049}">
            <xm:f>$B37&lt;&gt;$B39</xm:f>
            <x14:dxf>
              <border>
                <left style="none"/>
                <right style="none"/>
                <top style="none"/>
                <bottom style="thin">
                  <color auto="1"/>
                </bottom>
                <diagonal/>
                <vertical style="none"/>
                <horizontal style="none"/>
              </border>
            </x14:dxf>
          </x14:cfRule>
          <xm:sqref>B37</xm:sqref>
        </x14:conditionalFormatting>
        <x14:conditionalFormatting xmlns:xm="http://schemas.microsoft.com/office/excel/2006/main">
          <x14:cfRule type="expression" priority="59" id="{00C4009B-0032-48A5-AEE4-004700B50006}">
            <xm:f>$B81&lt;&gt;$B83</xm:f>
            <x14:dxf>
              <border>
                <left style="none"/>
                <right style="none"/>
                <top style="none"/>
                <bottom style="thin">
                  <color auto="1"/>
                </bottom>
                <diagonal/>
                <vertical style="none"/>
                <horizontal style="none"/>
              </border>
            </x14:dxf>
          </x14:cfRule>
          <xm:sqref>H76</xm:sqref>
        </x14:conditionalFormatting>
        <x14:conditionalFormatting xmlns:xm="http://schemas.microsoft.com/office/excel/2006/main">
          <x14:cfRule type="expression" priority="58" id="{00F20028-0064-48F5-869F-00C60031007F}">
            <xm:f>$B76&lt;&gt;$B77</xm:f>
            <x14:dxf>
              <border>
                <left style="none"/>
                <right style="none"/>
                <top style="none"/>
                <bottom style="thin">
                  <color auto="1"/>
                </bottom>
                <diagonal/>
                <vertical style="none"/>
                <horizontal style="none"/>
              </border>
            </x14:dxf>
          </x14:cfRule>
          <xm:sqref>A76 C76:H76</xm:sqref>
        </x14:conditionalFormatting>
        <x14:conditionalFormatting xmlns:xm="http://schemas.microsoft.com/office/excel/2006/main">
          <x14:cfRule type="expression" priority="57" id="{00A10026-0094-4658-BDD0-004100020047}">
            <xm:f>$B88&lt;&gt;$B89</xm:f>
            <x14:dxf>
              <border>
                <left style="none"/>
                <right style="none"/>
                <top style="none"/>
                <bottom style="thin">
                  <color auto="1"/>
                </bottom>
                <diagonal/>
                <vertical style="none"/>
                <horizontal style="none"/>
              </border>
            </x14:dxf>
          </x14:cfRule>
          <xm:sqref>H82</xm:sqref>
        </x14:conditionalFormatting>
        <x14:conditionalFormatting xmlns:xm="http://schemas.microsoft.com/office/excel/2006/main">
          <x14:cfRule type="expression" priority="56" id="{00060044-00D0-4200-A650-0054006C000B}">
            <xm:f>$B82&lt;&gt;$B83</xm:f>
            <x14:dxf>
              <border>
                <left style="none"/>
                <right style="none"/>
                <top style="none"/>
                <bottom style="thin">
                  <color auto="1"/>
                </bottom>
                <diagonal/>
                <vertical style="none"/>
                <horizontal style="none"/>
              </border>
            </x14:dxf>
          </x14:cfRule>
          <xm:sqref>A82 C82:H82</xm:sqref>
        </x14:conditionalFormatting>
        <x14:conditionalFormatting xmlns:xm="http://schemas.microsoft.com/office/excel/2006/main">
          <x14:cfRule type="expression" priority="55" id="{003E00EF-008A-4BBE-AE74-00EE008C0085}">
            <xm:f>$B89&lt;&gt;#REF!</xm:f>
            <x14:dxf>
              <border>
                <left style="none"/>
                <right style="none"/>
                <top style="none"/>
                <bottom style="thin">
                  <color auto="1"/>
                </bottom>
                <diagonal/>
                <vertical style="none"/>
                <horizontal style="none"/>
              </border>
            </x14:dxf>
          </x14:cfRule>
          <xm:sqref>H84</xm:sqref>
        </x14:conditionalFormatting>
        <x14:conditionalFormatting xmlns:xm="http://schemas.microsoft.com/office/excel/2006/main">
          <x14:cfRule type="expression" priority="54" id="{006100A3-00E9-4419-8CA3-00C100B500BB}">
            <xm:f>$B84&lt;&gt;$B85</xm:f>
            <x14:dxf>
              <border>
                <left style="none"/>
                <right style="none"/>
                <top style="none"/>
                <bottom style="thin">
                  <color auto="1"/>
                </bottom>
                <diagonal/>
                <vertical style="none"/>
                <horizontal style="none"/>
              </border>
            </x14:dxf>
          </x14:cfRule>
          <xm:sqref>A84 C84:H84</xm:sqref>
        </x14:conditionalFormatting>
        <x14:conditionalFormatting xmlns:xm="http://schemas.microsoft.com/office/excel/2006/main">
          <x14:cfRule type="expression" priority="53" id="{008300E6-0015-4F78-90BD-00EE00E400EC}">
            <xm:f>$B48&lt;&gt;$B49</xm:f>
            <x14:dxf>
              <border>
                <left style="none"/>
                <right style="none"/>
                <top style="none"/>
                <bottom style="thin">
                  <color auto="1"/>
                </bottom>
                <diagonal/>
                <vertical style="none"/>
                <horizontal style="none"/>
              </border>
            </x14:dxf>
          </x14:cfRule>
          <xm:sqref>A48:K48</xm:sqref>
        </x14:conditionalFormatting>
        <x14:conditionalFormatting xmlns:xm="http://schemas.microsoft.com/office/excel/2006/main">
          <x14:cfRule type="expression" priority="52" id="{008F0088-002C-410A-898E-00E7003A0081}">
            <xm:f>$B48&lt;&gt;$B51</xm:f>
            <x14:dxf>
              <border>
                <left style="none"/>
                <right style="none"/>
                <top style="none"/>
                <bottom style="thin">
                  <color auto="1"/>
                </bottom>
                <diagonal/>
                <vertical style="none"/>
                <horizontal style="none"/>
              </border>
            </x14:dxf>
          </x14:cfRule>
          <xm:sqref>G48</xm:sqref>
        </x14:conditionalFormatting>
        <x14:conditionalFormatting xmlns:xm="http://schemas.microsoft.com/office/excel/2006/main">
          <x14:cfRule type="expression" priority="51" id="{00BB00B4-00A9-4300-9BF0-00BA007600B8}">
            <xm:f>$B48&lt;&gt;$B49</xm:f>
            <x14:dxf>
              <border>
                <left style="none"/>
                <right style="none"/>
                <top style="none"/>
                <bottom style="thin">
                  <color auto="1"/>
                </bottom>
                <diagonal/>
                <vertical style="none"/>
                <horizontal style="none"/>
              </border>
            </x14:dxf>
          </x14:cfRule>
          <xm:sqref>B48</xm:sqref>
        </x14:conditionalFormatting>
        <x14:conditionalFormatting xmlns:xm="http://schemas.microsoft.com/office/excel/2006/main">
          <x14:cfRule type="expression" priority="50" id="{004B00D9-000F-475F-A822-006C0075005E}">
            <xm:f>$B48&lt;&gt;$B49</xm:f>
            <x14:dxf>
              <border>
                <left style="none"/>
                <right style="none"/>
                <top style="none"/>
                <bottom style="thin">
                  <color auto="1"/>
                </bottom>
                <diagonal/>
                <vertical style="none"/>
                <horizontal style="none"/>
              </border>
            </x14:dxf>
          </x14:cfRule>
          <xm:sqref>A48</xm:sqref>
        </x14:conditionalFormatting>
        <x14:conditionalFormatting xmlns:xm="http://schemas.microsoft.com/office/excel/2006/main">
          <x14:cfRule type="expression" priority="49" id="{005E00EE-0075-47DC-8DC6-008F00C700F3}">
            <xm:f>$B85&lt;&gt;$B87</xm:f>
            <x14:dxf>
              <border>
                <left style="none"/>
                <right style="none"/>
                <top style="none"/>
                <bottom style="thin">
                  <color auto="1"/>
                </bottom>
                <diagonal/>
                <vertical style="none"/>
                <horizontal style="none"/>
              </border>
            </x14:dxf>
          </x14:cfRule>
          <xm:sqref>C85</xm:sqref>
        </x14:conditionalFormatting>
        <x14:conditionalFormatting xmlns:xm="http://schemas.microsoft.com/office/excel/2006/main">
          <x14:cfRule type="expression" priority="47" id="{00B9004A-0067-4901-96FC-00DF00D500B0}">
            <xm:f>$B23&lt;&gt;$B29</xm:f>
            <x14:dxf>
              <border>
                <left style="none"/>
                <right style="none"/>
                <top style="none"/>
                <bottom style="thin">
                  <color auto="1"/>
                </bottom>
                <diagonal/>
                <vertical style="none"/>
                <horizontal style="none"/>
              </border>
            </x14:dxf>
          </x14:cfRule>
          <xm:sqref>A23 H23:K23</xm:sqref>
        </x14:conditionalFormatting>
        <x14:conditionalFormatting xmlns:xm="http://schemas.microsoft.com/office/excel/2006/main">
          <x14:cfRule type="expression" priority="44" id="{000B009A-00E4-4AAD-836A-0030000400DE}">
            <xm:f>$B24&lt;&gt;$B30</xm:f>
            <x14:dxf>
              <border>
                <left style="none"/>
                <right style="none"/>
                <top style="none"/>
                <bottom style="thin">
                  <color auto="1"/>
                </bottom>
                <diagonal/>
                <vertical style="none"/>
                <horizontal style="none"/>
              </border>
            </x14:dxf>
          </x14:cfRule>
          <xm:sqref>A24 H24:K24</xm:sqref>
        </x14:conditionalFormatting>
        <x14:conditionalFormatting xmlns:xm="http://schemas.microsoft.com/office/excel/2006/main">
          <x14:cfRule type="expression" priority="42" id="{00080004-005C-4015-8230-00830006005A}">
            <xm:f>$B65&lt;&gt;$B66</xm:f>
            <x14:dxf>
              <border>
                <left style="none"/>
                <right style="none"/>
                <top style="none"/>
                <bottom style="thin">
                  <color auto="1"/>
                </bottom>
                <diagonal/>
                <vertical style="none"/>
                <horizontal style="none"/>
              </border>
            </x14:dxf>
          </x14:cfRule>
          <xm:sqref>B65</xm:sqref>
        </x14:conditionalFormatting>
        <x14:conditionalFormatting xmlns:xm="http://schemas.microsoft.com/office/excel/2006/main">
          <x14:cfRule type="expression" priority="41" id="{00B9005E-0061-4009-85EE-007300930024}">
            <xm:f>$B66&lt;&gt;$B67</xm:f>
            <x14:dxf>
              <border>
                <left style="none"/>
                <right style="none"/>
                <top style="none"/>
                <bottom style="thin">
                  <color auto="1"/>
                </bottom>
                <diagonal/>
                <vertical style="none"/>
                <horizontal style="none"/>
              </border>
            </x14:dxf>
          </x14:cfRule>
          <xm:sqref>B66</xm:sqref>
        </x14:conditionalFormatting>
        <x14:conditionalFormatting xmlns:xm="http://schemas.microsoft.com/office/excel/2006/main">
          <x14:cfRule type="expression" priority="40" id="{008300F1-00BD-49A5-9892-0073003E0036}">
            <xm:f>$B17&lt;&gt;$B24</xm:f>
            <x14:dxf>
              <border>
                <left style="none"/>
                <right style="none"/>
                <top style="none"/>
                <bottom style="thin">
                  <color auto="1"/>
                </bottom>
                <diagonal/>
                <vertical style="none"/>
                <horizontal style="none"/>
              </border>
            </x14:dxf>
          </x14:cfRule>
          <xm:sqref>G17</xm:sqref>
        </x14:conditionalFormatting>
        <x14:conditionalFormatting xmlns:xm="http://schemas.microsoft.com/office/excel/2006/main">
          <x14:cfRule type="expression" priority="39" id="{0060007A-00FC-4906-827D-0062002100C1}">
            <xm:f>$B17&lt;&gt;#REF!</xm:f>
            <x14:dxf>
              <border>
                <left style="none"/>
                <right style="none"/>
                <top style="none"/>
                <bottom style="thin">
                  <color auto="1"/>
                </bottom>
                <diagonal/>
                <vertical style="none"/>
                <horizontal style="none"/>
              </border>
            </x14:dxf>
          </x14:cfRule>
          <xm:sqref>I17:K17 A17 D17:F17</xm:sqref>
        </x14:conditionalFormatting>
        <x14:conditionalFormatting xmlns:xm="http://schemas.microsoft.com/office/excel/2006/main">
          <x14:cfRule type="expression" priority="38" id="{007E001F-001D-4B5A-B27E-001900FD0002}">
            <xm:f>$B17&lt;&gt;$B18</xm:f>
            <x14:dxf>
              <border>
                <left style="none"/>
                <right style="none"/>
                <top style="none"/>
                <bottom style="thin">
                  <color auto="1"/>
                </bottom>
                <diagonal/>
                <vertical style="none"/>
                <horizontal style="none"/>
              </border>
            </x14:dxf>
          </x14:cfRule>
          <xm:sqref>A17:H17</xm:sqref>
        </x14:conditionalFormatting>
        <x14:conditionalFormatting xmlns:xm="http://schemas.microsoft.com/office/excel/2006/main">
          <x14:cfRule type="expression" priority="37" id="{00290072-00DD-43F3-9AA5-007E009200B0}">
            <xm:f>$B17&lt;&gt;$B18</xm:f>
            <x14:dxf>
              <border>
                <left style="none"/>
                <right style="none"/>
                <top style="none"/>
                <bottom style="thin">
                  <color auto="1"/>
                </bottom>
                <diagonal/>
                <vertical style="none"/>
                <horizontal style="none"/>
              </border>
            </x14:dxf>
          </x14:cfRule>
          <xm:sqref>B17</xm:sqref>
        </x14:conditionalFormatting>
        <x14:conditionalFormatting xmlns:xm="http://schemas.microsoft.com/office/excel/2006/main">
          <x14:cfRule type="expression" priority="31" id="{00650044-0053-40A3-A9B7-006100E6001B}">
            <xm:f>$B103&lt;&gt;$B104</xm:f>
            <x14:dxf>
              <border>
                <left style="none"/>
                <right style="none"/>
                <top style="none"/>
                <bottom style="thin">
                  <color auto="1"/>
                </bottom>
                <diagonal/>
                <vertical style="none"/>
                <horizontal style="none"/>
              </border>
            </x14:dxf>
          </x14:cfRule>
          <xm:sqref>B103:B105</xm:sqref>
        </x14:conditionalFormatting>
        <x14:conditionalFormatting xmlns:xm="http://schemas.microsoft.com/office/excel/2006/main">
          <x14:cfRule type="expression" priority="30" id="{00A400DA-004D-4CA2-95E7-00D300A60074}">
            <xm:f>$B103&lt;&gt;$B104</xm:f>
            <x14:dxf>
              <border>
                <left style="none"/>
                <right style="none"/>
                <top style="none"/>
                <bottom style="thin">
                  <color auto="1"/>
                </bottom>
                <diagonal/>
                <vertical style="none"/>
                <horizontal style="none"/>
              </border>
            </x14:dxf>
          </x14:cfRule>
          <xm:sqref>A103:A105</xm:sqref>
        </x14:conditionalFormatting>
        <x14:conditionalFormatting xmlns:xm="http://schemas.microsoft.com/office/excel/2006/main">
          <x14:cfRule type="expression" priority="29" id="{00C10023-00DA-4910-AAAC-00BB00F3004B}">
            <xm:f>$B103&lt;&gt;$B104</xm:f>
            <x14:dxf>
              <border>
                <left style="none"/>
                <right style="none"/>
                <top style="none"/>
                <bottom style="thin">
                  <color auto="1"/>
                </bottom>
                <diagonal/>
                <vertical style="none"/>
                <horizontal style="none"/>
              </border>
            </x14:dxf>
          </x14:cfRule>
          <xm:sqref>C103:G105</xm:sqref>
        </x14:conditionalFormatting>
        <x14:conditionalFormatting xmlns:xm="http://schemas.microsoft.com/office/excel/2006/main">
          <x14:cfRule type="expression" priority="28" id="{00990088-00ED-427E-AC33-007A00A1006C}">
            <xm:f>$B9&lt;&gt;$B12</xm:f>
            <x14:dxf>
              <border>
                <left style="none"/>
                <right style="none"/>
                <top style="none"/>
                <bottom style="thin">
                  <color auto="1"/>
                </bottom>
                <diagonal/>
                <vertical style="none"/>
                <horizontal style="none"/>
              </border>
            </x14:dxf>
          </x14:cfRule>
          <xm:sqref>E9:G15</xm:sqref>
        </x14:conditionalFormatting>
        <x14:conditionalFormatting xmlns:xm="http://schemas.microsoft.com/office/excel/2006/main">
          <x14:cfRule type="expression" priority="17" id="{00B100DB-009E-413D-A03C-005A00EA00D3}">
            <xm:f>$B31&lt;&gt;$B32</xm:f>
            <x14:dxf>
              <border>
                <left style="none"/>
                <right style="none"/>
                <top style="none"/>
                <bottom style="thin">
                  <color auto="1"/>
                </bottom>
                <diagonal/>
                <vertical style="none"/>
                <horizontal style="none"/>
              </border>
            </x14:dxf>
          </x14:cfRule>
          <xm:sqref>G31:G33</xm:sqref>
        </x14:conditionalFormatting>
        <x14:conditionalFormatting xmlns:xm="http://schemas.microsoft.com/office/excel/2006/main">
          <x14:cfRule type="expression" priority="16" id="{0047008A-0006-48FC-8F0B-002C00AF0044}">
            <xm:f>$B31&lt;&gt;$B32</xm:f>
            <x14:dxf>
              <border>
                <left style="none"/>
                <right style="none"/>
                <top style="none"/>
                <bottom style="thin">
                  <color auto="1"/>
                </bottom>
                <diagonal/>
                <vertical style="none"/>
                <horizontal style="none"/>
              </border>
            </x14:dxf>
          </x14:cfRule>
          <xm:sqref>G31:G33</xm:sqref>
        </x14:conditionalFormatting>
        <x14:conditionalFormatting xmlns:xm="http://schemas.microsoft.com/office/excel/2006/main">
          <x14:cfRule type="expression" priority="15" id="{008B00CB-000F-411F-8BD2-00EC004500FA}">
            <xm:f>$B30&lt;&gt;$B31</xm:f>
            <x14:dxf>
              <border>
                <left style="none"/>
                <right style="none"/>
                <top style="none"/>
                <bottom style="thin">
                  <color auto="1"/>
                </bottom>
                <diagonal/>
                <vertical style="none"/>
                <horizontal style="none"/>
              </border>
            </x14:dxf>
          </x14:cfRule>
          <xm:sqref>G30</xm:sqref>
        </x14:conditionalFormatting>
        <x14:conditionalFormatting xmlns:xm="http://schemas.microsoft.com/office/excel/2006/main">
          <x14:cfRule type="expression" priority="14" id="{000600C9-0072-4033-9306-00EA004600B1}">
            <xm:f>$B25&lt;&gt;$B26</xm:f>
            <x14:dxf>
              <border>
                <left style="none"/>
                <right style="none"/>
                <top style="none"/>
                <bottom style="thin">
                  <color auto="1"/>
                </bottom>
                <diagonal/>
                <vertical style="none"/>
                <horizontal style="none"/>
              </border>
            </x14:dxf>
          </x14:cfRule>
          <xm:sqref>D26:G27 D25:F25</xm:sqref>
        </x14:conditionalFormatting>
        <x14:conditionalFormatting xmlns:xm="http://schemas.microsoft.com/office/excel/2006/main">
          <x14:cfRule type="expression" priority="13" id="{0005004B-0058-49C1-AA3C-007C0023005C}">
            <xm:f>$B25&lt;&gt;$B26</xm:f>
            <x14:dxf>
              <border>
                <left style="none"/>
                <right style="none"/>
                <top style="none"/>
                <bottom style="thin">
                  <color auto="1"/>
                </bottom>
                <diagonal/>
                <vertical style="none"/>
                <horizontal style="none"/>
              </border>
            </x14:dxf>
          </x14:cfRule>
          <xm:sqref>D26:G27 D25:F25</xm:sqref>
        </x14:conditionalFormatting>
        <x14:conditionalFormatting xmlns:xm="http://schemas.microsoft.com/office/excel/2006/main">
          <x14:cfRule type="expression" priority="12" id="{0077004B-0075-4C7D-9EFF-00EB00770007}">
            <xm:f>$B26&lt;&gt;$B27</xm:f>
            <x14:dxf>
              <border>
                <left style="none"/>
                <right style="none"/>
                <top style="none"/>
                <bottom style="thin">
                  <color auto="1"/>
                </bottom>
                <diagonal/>
                <vertical style="none"/>
                <horizontal style="none"/>
              </border>
            </x14:dxf>
          </x14:cfRule>
          <xm:sqref>A26:A28</xm:sqref>
        </x14:conditionalFormatting>
        <x14:conditionalFormatting xmlns:xm="http://schemas.microsoft.com/office/excel/2006/main">
          <x14:cfRule type="expression" priority="11" id="{00F80064-004D-4447-AD25-0082003700BA}">
            <xm:f>$B30&lt;&gt;$B31</xm:f>
            <x14:dxf>
              <border>
                <left style="none"/>
                <right style="none"/>
                <top style="none"/>
                <bottom style="thin">
                  <color auto="1"/>
                </bottom>
                <diagonal/>
                <vertical style="none"/>
                <horizontal style="none"/>
              </border>
            </x14:dxf>
          </x14:cfRule>
          <xm:sqref>D30:E33</xm:sqref>
        </x14:conditionalFormatting>
        <x14:conditionalFormatting xmlns:xm="http://schemas.microsoft.com/office/excel/2006/main">
          <x14:cfRule type="expression" priority="10" id="{001D00CC-00F0-4FC0-AF48-0027004E0093}">
            <xm:f>$B23&lt;&gt;$B26</xm:f>
            <x14:dxf>
              <border>
                <left style="none"/>
                <right style="none"/>
                <top style="none"/>
                <bottom style="thin">
                  <color auto="1"/>
                </bottom>
                <diagonal/>
                <vertical style="none"/>
                <horizontal style="none"/>
              </border>
            </x14:dxf>
          </x14:cfRule>
          <xm:sqref>B23:F24</xm:sqref>
        </x14:conditionalFormatting>
        <x14:conditionalFormatting xmlns:xm="http://schemas.microsoft.com/office/excel/2006/main">
          <x14:cfRule type="expression" priority="9" id="{00A800D9-0001-43A1-8606-00B600490013}">
            <xm:f>$B19&lt;&gt;$B20</xm:f>
            <x14:dxf>
              <border>
                <left style="none"/>
                <right style="none"/>
                <top style="none"/>
                <bottom style="thin">
                  <color auto="1"/>
                </bottom>
                <diagonal/>
                <vertical style="none"/>
                <horizontal style="none"/>
              </border>
            </x14:dxf>
          </x14:cfRule>
          <xm:sqref>G19:G25</xm:sqref>
        </x14:conditionalFormatting>
        <x14:conditionalFormatting xmlns:xm="http://schemas.microsoft.com/office/excel/2006/main">
          <x14:cfRule type="expression" priority="4" id="{00F3006D-00F6-4439-A780-00AB00C40078}">
            <xm:f>$B112&lt;&gt;$B113</xm:f>
            <x14:dxf>
              <border>
                <left style="none"/>
                <right style="none"/>
                <top style="none"/>
                <bottom style="thin">
                  <color auto="1"/>
                </bottom>
                <diagonal/>
                <vertical style="none"/>
                <horizontal style="none"/>
              </border>
            </x14:dxf>
          </x14:cfRule>
          <xm:sqref>A112:G112</xm:sqref>
        </x14:conditionalFormatting>
        <x14:conditionalFormatting xmlns:xm="http://schemas.microsoft.com/office/excel/2006/main">
          <x14:cfRule type="expression" priority="3" id="{00D0006D-0030-463D-A782-00CC00EF002E}">
            <xm:f>$B114&lt;&gt;$B115</xm:f>
            <x14:dxf>
              <border>
                <left style="none"/>
                <right style="none"/>
                <top style="none"/>
                <bottom style="thin">
                  <color auto="1"/>
                </bottom>
                <diagonal/>
                <vertical style="none"/>
                <horizontal style="none"/>
              </border>
            </x14:dxf>
          </x14:cfRule>
          <xm:sqref>A115:B115</xm:sqref>
        </x14:conditionalFormatting>
        <x14:conditionalFormatting xmlns:xm="http://schemas.microsoft.com/office/excel/2006/main">
          <x14:cfRule type="expression" priority="2" id="{0098005C-0063-4C85-B29D-00970094007E}">
            <xm:f>$B114&lt;&gt;$B115</xm:f>
            <x14:dxf>
              <border>
                <left style="none"/>
                <right style="none"/>
                <top style="none"/>
                <bottom style="thin">
                  <color auto="1"/>
                </bottom>
                <diagonal/>
                <vertical style="none"/>
                <horizontal style="none"/>
              </border>
            </x14:dxf>
          </x14:cfRule>
          <xm:sqref>C115</xm:sqref>
        </x14:conditionalFormatting>
        <x14:conditionalFormatting xmlns:xm="http://schemas.microsoft.com/office/excel/2006/main">
          <x14:cfRule type="expression" priority="1" id="{008C00F5-0046-4714-A68C-006D001200AC}">
            <xm:f>$B114&lt;&gt;$B115</xm:f>
            <x14:dxf>
              <border>
                <left style="none"/>
                <right style="none"/>
                <top style="none"/>
                <bottom style="thin">
                  <color auto="1"/>
                </bottom>
                <diagonal/>
                <vertical style="none"/>
                <horizontal style="none"/>
              </border>
            </x14:dxf>
          </x14:cfRule>
          <xm:sqref>G115</xm:sqref>
        </x14:conditionalFormatting>
        <x14:conditionalFormatting xmlns:xm="http://schemas.microsoft.com/office/excel/2006/main">
          <x14:cfRule type="expression" priority="384" id="{00C50038-00F0-4797-BD17-008200A1000B}">
            <xm:f>$B3&lt;&gt;$B5</xm:f>
            <x14:dxf>
              <border>
                <left style="none"/>
                <right style="none"/>
                <top style="none"/>
                <bottom style="thin">
                  <color auto="1"/>
                </bottom>
                <diagonal/>
                <vertical style="none"/>
                <horizontal style="none"/>
              </border>
            </x14:dxf>
          </x14:cfRule>
          <xm:sqref>A114</xm:sqref>
        </x14:conditionalFormatting>
        <x14:conditionalFormatting xmlns:xm="http://schemas.microsoft.com/office/excel/2006/main">
          <x14:cfRule type="expression" priority="384" id="{00B300ED-00A7-4B35-AF3F-003A000400DF}">
            <xm:f>$B3&lt;&gt;$B5</xm:f>
            <x14:dxf>
              <border>
                <left style="none"/>
                <right style="none"/>
                <top style="none"/>
                <bottom style="thin">
                  <color auto="1"/>
                </bottom>
                <diagonal/>
                <vertical style="none"/>
                <horizontal style="none"/>
              </border>
            </x14:dxf>
          </x14:cfRule>
          <xm:sqref>B114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5"/>
    <outlinePr applyStyles="0" summaryBelow="1" summaryRight="1" showOutlineSymbols="1"/>
    <pageSetUpPr autoPageBreaks="1" fitToPage="0"/>
  </sheetPr>
  <sheetViews>
    <sheetView showRuler="1" zoomScale="100" workbookViewId="0">
      <pane ySplit="2" topLeftCell="A3" activePane="bottomLeft" state="frozen"/>
      <selection activeCell="C27" activeCellId="0" sqref="C27"/>
    </sheetView>
  </sheetViews>
  <sheetFormatPr defaultColWidth="9.28515625" defaultRowHeight="15" customHeight="1"/>
  <cols>
    <col bestFit="1" customWidth="1" min="1" max="1" style="103" width="30.5703125"/>
    <col customWidth="1" min="2" max="2" style="103" width="46.5703125"/>
    <col customWidth="1" min="3" max="3" style="103" width="17"/>
    <col customWidth="1" min="4" max="4" style="103" width="48.28515625"/>
    <col customWidth="1" min="5" max="5" style="103" width="27.5703125"/>
    <col min="6" max="16384" style="103" width="9.28515625"/>
  </cols>
  <sheetData>
    <row r="1" ht="15" customHeight="1">
      <c r="D1" s="104">
        <f>COLUMN()</f>
        <v>4</v>
      </c>
      <c r="E1" s="104">
        <f>COLUMN()</f>
        <v>5</v>
      </c>
    </row>
    <row r="2" ht="15" customHeight="1">
      <c r="A2" s="105" t="s">
        <v>330</v>
      </c>
      <c r="B2" s="105" t="s">
        <v>331</v>
      </c>
      <c r="C2" s="105" t="s">
        <v>332</v>
      </c>
      <c r="D2" s="105" t="s">
        <v>333</v>
      </c>
      <c r="E2" s="105" t="s">
        <v>334</v>
      </c>
    </row>
    <row r="3" ht="15" customHeight="1">
      <c r="A3" s="106" t="s">
        <v>27</v>
      </c>
      <c r="B3" s="107" t="s">
        <v>335</v>
      </c>
      <c r="C3" s="107"/>
      <c r="D3" s="107"/>
      <c r="E3" s="106" t="s">
        <v>336</v>
      </c>
    </row>
    <row r="4" ht="15" customHeight="1">
      <c r="A4" s="106" t="s">
        <v>47</v>
      </c>
      <c r="B4" s="106" t="s">
        <v>337</v>
      </c>
      <c r="C4" s="106"/>
      <c r="D4" s="106"/>
      <c r="E4" s="106" t="s">
        <v>338</v>
      </c>
    </row>
    <row r="5" ht="15" customHeight="1">
      <c r="A5" s="106" t="s">
        <v>62</v>
      </c>
      <c r="B5" s="106" t="s">
        <v>255</v>
      </c>
      <c r="C5" s="106"/>
      <c r="D5" s="106"/>
      <c r="E5" s="106" t="s">
        <v>339</v>
      </c>
    </row>
    <row r="6" ht="15" customHeight="1">
      <c r="A6" s="106" t="s">
        <v>59</v>
      </c>
      <c r="B6" s="106" t="s">
        <v>340</v>
      </c>
      <c r="C6" s="106"/>
      <c r="D6" s="106"/>
      <c r="E6" s="106" t="s">
        <v>341</v>
      </c>
    </row>
    <row r="7" ht="15" customHeight="1">
      <c r="A7" s="106" t="s">
        <v>65</v>
      </c>
      <c r="B7" s="106" t="s">
        <v>273</v>
      </c>
      <c r="C7" s="106"/>
      <c r="D7" s="106"/>
      <c r="E7" s="106" t="s">
        <v>342</v>
      </c>
    </row>
    <row r="8" ht="15" customHeight="1">
      <c r="A8" s="106" t="s">
        <v>182</v>
      </c>
      <c r="B8" s="106" t="s">
        <v>219</v>
      </c>
      <c r="C8" s="106"/>
      <c r="D8" s="106"/>
      <c r="E8" s="106" t="s">
        <v>343</v>
      </c>
    </row>
    <row r="9" s="108" customFormat="1" ht="15" customHeight="1">
      <c r="A9" s="106" t="s">
        <v>82</v>
      </c>
      <c r="B9" s="106" t="s">
        <v>226</v>
      </c>
      <c r="C9" s="106"/>
      <c r="D9" s="106"/>
      <c r="E9" s="106" t="s">
        <v>344</v>
      </c>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c r="CA9" s="103"/>
      <c r="CB9" s="103"/>
      <c r="CC9" s="103"/>
      <c r="CD9" s="103"/>
      <c r="CE9" s="103"/>
      <c r="CF9" s="103"/>
      <c r="CG9" s="103"/>
      <c r="CH9" s="103"/>
      <c r="CI9" s="103"/>
      <c r="CJ9" s="103"/>
      <c r="CK9" s="103"/>
      <c r="CL9" s="103"/>
      <c r="CM9" s="103"/>
      <c r="CN9" s="103"/>
      <c r="CO9" s="103"/>
      <c r="CP9" s="103"/>
      <c r="CQ9" s="103"/>
      <c r="CR9" s="103"/>
      <c r="CS9" s="103"/>
      <c r="CT9" s="103"/>
      <c r="CU9" s="103"/>
      <c r="CV9" s="103"/>
      <c r="CW9" s="103"/>
      <c r="CX9" s="103"/>
      <c r="CY9" s="103"/>
      <c r="CZ9" s="103"/>
      <c r="DA9" s="103"/>
      <c r="DB9" s="103"/>
      <c r="DC9" s="103"/>
      <c r="DD9" s="103"/>
      <c r="DE9" s="103"/>
      <c r="DF9" s="103"/>
      <c r="DG9" s="103"/>
      <c r="DH9" s="103"/>
      <c r="DI9" s="103"/>
      <c r="DJ9" s="103"/>
      <c r="DK9" s="103"/>
      <c r="DL9" s="103"/>
      <c r="DM9" s="103"/>
      <c r="DN9" s="103"/>
      <c r="DO9" s="103"/>
      <c r="DP9" s="103"/>
      <c r="DQ9" s="103"/>
      <c r="DR9" s="103"/>
      <c r="DS9" s="103"/>
      <c r="DT9" s="103"/>
      <c r="DU9" s="103"/>
      <c r="DV9" s="103"/>
      <c r="DW9" s="103"/>
      <c r="DX9" s="103"/>
      <c r="DY9" s="103"/>
      <c r="DZ9" s="103"/>
      <c r="EA9" s="103"/>
      <c r="EB9" s="103"/>
      <c r="EC9" s="103"/>
      <c r="ED9" s="103"/>
      <c r="EE9" s="103"/>
      <c r="EF9" s="103"/>
      <c r="EG9" s="103"/>
      <c r="EH9" s="103"/>
      <c r="EI9" s="103"/>
      <c r="EJ9" s="103"/>
      <c r="EK9" s="103"/>
      <c r="EL9" s="103"/>
      <c r="EM9" s="103"/>
      <c r="EN9" s="103"/>
      <c r="EO9" s="103"/>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3"/>
      <c r="FO9" s="103"/>
      <c r="FP9" s="103"/>
      <c r="FQ9" s="103"/>
      <c r="FR9" s="103"/>
      <c r="FS9" s="103"/>
      <c r="FT9" s="103"/>
      <c r="FU9" s="103"/>
      <c r="FV9" s="103"/>
      <c r="FW9" s="103"/>
      <c r="FX9" s="103"/>
      <c r="FY9" s="103"/>
      <c r="FZ9" s="103"/>
      <c r="GA9" s="103"/>
      <c r="GB9" s="103"/>
      <c r="GC9" s="103"/>
      <c r="GD9" s="103"/>
      <c r="GE9" s="103"/>
      <c r="GF9" s="103"/>
      <c r="GG9" s="103"/>
      <c r="GH9" s="103"/>
      <c r="GI9" s="103"/>
      <c r="GJ9" s="103"/>
      <c r="GK9" s="103"/>
      <c r="GL9" s="103"/>
      <c r="GM9" s="103"/>
      <c r="GN9" s="103"/>
      <c r="GO9" s="103"/>
      <c r="GP9" s="103"/>
      <c r="GQ9" s="103"/>
      <c r="GR9" s="103"/>
      <c r="GS9" s="103"/>
      <c r="GT9" s="103"/>
      <c r="GU9" s="103"/>
      <c r="GV9" s="103"/>
      <c r="GW9" s="103"/>
      <c r="GX9" s="103"/>
      <c r="GY9" s="103"/>
      <c r="GZ9" s="103"/>
      <c r="HA9" s="103"/>
      <c r="HB9" s="103"/>
      <c r="HC9" s="103"/>
      <c r="HD9" s="103"/>
      <c r="HE9" s="103"/>
      <c r="HF9" s="103"/>
      <c r="HG9" s="103"/>
      <c r="HH9" s="103"/>
      <c r="HI9" s="103"/>
      <c r="HJ9" s="103"/>
      <c r="HK9" s="103"/>
      <c r="HL9" s="103"/>
      <c r="HM9" s="103"/>
      <c r="HN9" s="103"/>
      <c r="HO9" s="103"/>
      <c r="HP9" s="103"/>
      <c r="HQ9" s="103"/>
      <c r="HR9" s="103"/>
      <c r="HS9" s="103"/>
      <c r="HT9" s="103"/>
      <c r="HU9" s="103"/>
      <c r="HV9" s="103"/>
      <c r="HW9" s="103"/>
      <c r="HX9" s="103"/>
      <c r="HY9" s="103"/>
      <c r="HZ9" s="103"/>
      <c r="IA9" s="103"/>
      <c r="IB9" s="103"/>
      <c r="IC9" s="103"/>
      <c r="ID9" s="103"/>
      <c r="IE9" s="103"/>
      <c r="IF9" s="103"/>
      <c r="IG9" s="103"/>
      <c r="IH9" s="103"/>
      <c r="II9" s="103"/>
      <c r="IJ9" s="103"/>
      <c r="IK9" s="103"/>
      <c r="IL9" s="103"/>
      <c r="IM9" s="103"/>
      <c r="IN9" s="103"/>
      <c r="IO9" s="103"/>
      <c r="IP9" s="103"/>
      <c r="IQ9" s="103"/>
      <c r="IR9" s="103"/>
      <c r="IS9" s="103"/>
      <c r="IT9" s="103"/>
      <c r="IU9" s="103"/>
      <c r="IV9" s="103"/>
      <c r="IW9" s="103"/>
      <c r="IX9" s="103"/>
      <c r="IY9" s="103"/>
      <c r="IZ9" s="103"/>
      <c r="JA9" s="103"/>
      <c r="JB9" s="103"/>
      <c r="JC9" s="103"/>
      <c r="JD9" s="103"/>
      <c r="JE9" s="103"/>
      <c r="JF9" s="103"/>
      <c r="JG9" s="103"/>
      <c r="JH9" s="103"/>
      <c r="JI9" s="103"/>
      <c r="JJ9" s="103"/>
      <c r="JK9" s="103"/>
      <c r="JL9" s="103"/>
      <c r="JM9" s="103"/>
      <c r="JN9" s="103"/>
      <c r="JO9" s="103"/>
      <c r="JP9" s="103"/>
      <c r="JQ9" s="103"/>
      <c r="JR9" s="103"/>
      <c r="JS9" s="103"/>
      <c r="JT9" s="103"/>
      <c r="JU9" s="103"/>
      <c r="JV9" s="103"/>
      <c r="JW9" s="103"/>
      <c r="JX9" s="103"/>
      <c r="JY9" s="103"/>
      <c r="JZ9" s="103"/>
      <c r="KA9" s="103"/>
      <c r="KB9" s="103"/>
      <c r="KC9" s="103"/>
      <c r="KD9" s="103"/>
      <c r="KE9" s="103"/>
      <c r="KF9" s="103"/>
      <c r="KG9" s="103"/>
      <c r="KH9" s="103"/>
      <c r="KI9" s="103"/>
      <c r="KJ9" s="103"/>
      <c r="KK9" s="103"/>
      <c r="KL9" s="103"/>
      <c r="KM9" s="103"/>
      <c r="KN9" s="103"/>
      <c r="KO9" s="103"/>
      <c r="KP9" s="103"/>
      <c r="KQ9" s="103"/>
      <c r="KR9" s="103"/>
      <c r="KS9" s="103"/>
      <c r="KT9" s="103"/>
      <c r="KU9" s="103"/>
      <c r="KV9" s="103"/>
      <c r="KW9" s="103"/>
      <c r="KX9" s="103"/>
      <c r="KY9" s="103"/>
      <c r="KZ9" s="103"/>
      <c r="LA9" s="103"/>
      <c r="LB9" s="103"/>
      <c r="LC9" s="103"/>
      <c r="LD9" s="103"/>
      <c r="LE9" s="103"/>
      <c r="LF9" s="103"/>
      <c r="LG9" s="103"/>
      <c r="LH9" s="103"/>
      <c r="LI9" s="103"/>
      <c r="LJ9" s="103"/>
      <c r="LK9" s="103"/>
      <c r="LL9" s="103"/>
      <c r="LM9" s="103"/>
      <c r="LN9" s="103"/>
      <c r="LO9" s="103"/>
      <c r="LP9" s="103"/>
      <c r="LQ9" s="103"/>
      <c r="LR9" s="103"/>
      <c r="LS9" s="103"/>
      <c r="LT9" s="103"/>
      <c r="LU9" s="103"/>
      <c r="LV9" s="103"/>
      <c r="LW9" s="103"/>
      <c r="LX9" s="103"/>
      <c r="LY9" s="103"/>
      <c r="LZ9" s="103"/>
      <c r="MA9" s="103"/>
      <c r="MB9" s="103"/>
      <c r="MC9" s="103"/>
      <c r="MD9" s="103"/>
      <c r="ME9" s="103"/>
      <c r="MF9" s="103"/>
      <c r="MG9" s="103"/>
      <c r="MH9" s="103"/>
      <c r="MI9" s="103"/>
      <c r="MJ9" s="103"/>
      <c r="MK9" s="103"/>
      <c r="ML9" s="103"/>
      <c r="MM9" s="103"/>
      <c r="MN9" s="103"/>
      <c r="MO9" s="103"/>
      <c r="MP9" s="103"/>
      <c r="MQ9" s="103"/>
      <c r="MR9" s="103"/>
      <c r="MS9" s="103"/>
      <c r="MT9" s="103"/>
      <c r="MU9" s="103"/>
      <c r="MV9" s="103"/>
      <c r="MW9" s="103"/>
      <c r="MX9" s="103"/>
      <c r="MY9" s="103"/>
      <c r="MZ9" s="103"/>
      <c r="NA9" s="103"/>
      <c r="NB9" s="103"/>
      <c r="NC9" s="103"/>
      <c r="ND9" s="103"/>
      <c r="NE9" s="103"/>
      <c r="NF9" s="103"/>
      <c r="NG9" s="103"/>
      <c r="NH9" s="103"/>
      <c r="NI9" s="103"/>
      <c r="NJ9" s="103"/>
      <c r="NK9" s="103"/>
      <c r="NL9" s="103"/>
      <c r="NM9" s="103"/>
      <c r="NN9" s="103"/>
      <c r="NO9" s="103"/>
      <c r="NP9" s="103"/>
      <c r="NQ9" s="103"/>
      <c r="NR9" s="103"/>
      <c r="NS9" s="103"/>
      <c r="NT9" s="103"/>
      <c r="NU9" s="103"/>
      <c r="NV9" s="103"/>
      <c r="NW9" s="103"/>
      <c r="NX9" s="103"/>
      <c r="NY9" s="103"/>
      <c r="NZ9" s="103"/>
      <c r="OA9" s="103"/>
      <c r="OB9" s="103"/>
      <c r="OC9" s="103"/>
      <c r="OD9" s="103"/>
      <c r="OE9" s="103"/>
      <c r="OF9" s="103"/>
      <c r="OG9" s="103"/>
      <c r="OH9" s="103"/>
      <c r="OI9" s="103"/>
      <c r="OJ9" s="103"/>
      <c r="OK9" s="103"/>
      <c r="OL9" s="103"/>
      <c r="OM9" s="103"/>
      <c r="ON9" s="103"/>
      <c r="OO9" s="103"/>
      <c r="OP9" s="103"/>
      <c r="OQ9" s="103"/>
      <c r="OR9" s="103"/>
      <c r="OS9" s="103"/>
      <c r="OT9" s="103"/>
      <c r="OU9" s="103"/>
      <c r="OV9" s="103"/>
      <c r="OW9" s="103"/>
      <c r="OX9" s="103"/>
      <c r="OY9" s="103"/>
      <c r="OZ9" s="103"/>
      <c r="PA9" s="103"/>
      <c r="PB9" s="103"/>
      <c r="PC9" s="103"/>
      <c r="PD9" s="103"/>
      <c r="PE9" s="103"/>
      <c r="PF9" s="103"/>
      <c r="PG9" s="103"/>
      <c r="PH9" s="103"/>
      <c r="PI9" s="103"/>
      <c r="PJ9" s="103"/>
      <c r="PK9" s="103"/>
      <c r="PL9" s="103"/>
      <c r="PM9" s="103"/>
      <c r="PN9" s="103"/>
      <c r="PO9" s="103"/>
      <c r="PP9" s="103"/>
      <c r="PQ9" s="103"/>
      <c r="PR9" s="103"/>
      <c r="PS9" s="103"/>
      <c r="PT9" s="103"/>
      <c r="PU9" s="103"/>
      <c r="PV9" s="103"/>
      <c r="PW9" s="103"/>
      <c r="PX9" s="103"/>
      <c r="PY9" s="103"/>
      <c r="PZ9" s="103"/>
      <c r="QA9" s="103"/>
      <c r="QB9" s="103"/>
      <c r="QC9" s="103"/>
      <c r="QD9" s="103"/>
      <c r="QE9" s="103"/>
      <c r="QF9" s="103"/>
      <c r="QG9" s="103"/>
      <c r="QH9" s="103"/>
      <c r="QI9" s="103"/>
      <c r="QJ9" s="103"/>
      <c r="QK9" s="103"/>
      <c r="QL9" s="103"/>
      <c r="QM9" s="103"/>
      <c r="QN9" s="103"/>
      <c r="QO9" s="103"/>
      <c r="QP9" s="103"/>
      <c r="QQ9" s="103"/>
      <c r="QR9" s="103"/>
      <c r="QS9" s="103"/>
      <c r="QT9" s="103"/>
      <c r="QU9" s="103"/>
      <c r="QV9" s="103"/>
      <c r="QW9" s="103"/>
      <c r="QX9" s="103"/>
      <c r="QY9" s="103"/>
      <c r="QZ9" s="103"/>
      <c r="RA9" s="103"/>
      <c r="RB9" s="103"/>
      <c r="RC9" s="103"/>
      <c r="RD9" s="103"/>
      <c r="RE9" s="103"/>
      <c r="RF9" s="103"/>
      <c r="RG9" s="103"/>
      <c r="RH9" s="103"/>
      <c r="RI9" s="103"/>
      <c r="RJ9" s="103"/>
      <c r="RK9" s="103"/>
      <c r="RL9" s="103"/>
      <c r="RM9" s="103"/>
      <c r="RN9" s="103"/>
      <c r="RO9" s="103"/>
      <c r="RP9" s="103"/>
      <c r="RQ9" s="103"/>
      <c r="RR9" s="103"/>
      <c r="RS9" s="103"/>
      <c r="RT9" s="103"/>
      <c r="RU9" s="103"/>
      <c r="RV9" s="103"/>
      <c r="RW9" s="103"/>
      <c r="RX9" s="103"/>
      <c r="RY9" s="103"/>
      <c r="RZ9" s="103"/>
      <c r="SA9" s="103"/>
      <c r="SB9" s="103"/>
      <c r="SC9" s="103"/>
      <c r="SD9" s="103"/>
      <c r="SE9" s="103"/>
      <c r="SF9" s="103"/>
      <c r="SG9" s="103"/>
      <c r="SH9" s="103"/>
      <c r="SI9" s="103"/>
      <c r="SJ9" s="103"/>
      <c r="SK9" s="103"/>
      <c r="SL9" s="103"/>
      <c r="SM9" s="103"/>
      <c r="SN9" s="103"/>
      <c r="SO9" s="103"/>
      <c r="SP9" s="103"/>
      <c r="SQ9" s="103"/>
      <c r="SR9" s="103"/>
      <c r="SS9" s="103"/>
      <c r="ST9" s="103"/>
      <c r="SU9" s="103"/>
      <c r="SV9" s="103"/>
      <c r="SW9" s="103"/>
      <c r="SX9" s="103"/>
      <c r="SY9" s="103"/>
      <c r="SZ9" s="103"/>
      <c r="TA9" s="103"/>
      <c r="TB9" s="103"/>
      <c r="TC9" s="103"/>
      <c r="TD9" s="103"/>
      <c r="TE9" s="103"/>
      <c r="TF9" s="103"/>
      <c r="TG9" s="103"/>
      <c r="TH9" s="103"/>
      <c r="TI9" s="103"/>
      <c r="TJ9" s="103"/>
      <c r="TK9" s="103"/>
      <c r="TL9" s="103"/>
      <c r="TM9" s="103"/>
      <c r="TN9" s="103"/>
      <c r="TO9" s="103"/>
      <c r="TP9" s="103"/>
      <c r="TQ9" s="103"/>
      <c r="TR9" s="103"/>
      <c r="TS9" s="103"/>
      <c r="TT9" s="103"/>
      <c r="TU9" s="103"/>
      <c r="TV9" s="103"/>
      <c r="TW9" s="103"/>
      <c r="TX9" s="103"/>
      <c r="TY9" s="103"/>
      <c r="TZ9" s="103"/>
      <c r="UA9" s="103"/>
      <c r="UB9" s="103"/>
      <c r="UC9" s="103"/>
      <c r="UD9" s="103"/>
      <c r="UE9" s="103"/>
      <c r="UF9" s="103"/>
      <c r="UG9" s="103"/>
      <c r="UH9" s="103"/>
      <c r="UI9" s="103"/>
      <c r="UJ9" s="103"/>
      <c r="UK9" s="103"/>
      <c r="UL9" s="103"/>
      <c r="UM9" s="103"/>
      <c r="UN9" s="103"/>
      <c r="UO9" s="103"/>
      <c r="UP9" s="103"/>
      <c r="UQ9" s="103"/>
      <c r="UR9" s="103"/>
      <c r="US9" s="103"/>
      <c r="UT9" s="103"/>
      <c r="UU9" s="103"/>
      <c r="UV9" s="103"/>
      <c r="UW9" s="103"/>
      <c r="UX9" s="103"/>
      <c r="UY9" s="103"/>
      <c r="UZ9" s="103"/>
      <c r="VA9" s="103"/>
      <c r="VB9" s="103"/>
      <c r="VC9" s="103"/>
      <c r="VD9" s="103"/>
      <c r="VE9" s="103"/>
      <c r="VF9" s="103"/>
      <c r="VG9" s="103"/>
      <c r="VH9" s="103"/>
      <c r="VI9" s="103"/>
      <c r="VJ9" s="103"/>
      <c r="VK9" s="103"/>
      <c r="VL9" s="103"/>
      <c r="VM9" s="103"/>
      <c r="VN9" s="103"/>
      <c r="VO9" s="103"/>
      <c r="VP9" s="103"/>
      <c r="VQ9" s="103"/>
      <c r="VR9" s="103"/>
      <c r="VS9" s="103"/>
      <c r="VT9" s="103"/>
      <c r="VU9" s="103"/>
      <c r="VV9" s="103"/>
      <c r="VW9" s="103"/>
      <c r="VX9" s="103"/>
      <c r="VY9" s="103"/>
      <c r="VZ9" s="103"/>
      <c r="WA9" s="103"/>
      <c r="WB9" s="103"/>
      <c r="WC9" s="103"/>
      <c r="WD9" s="103"/>
      <c r="WE9" s="103"/>
      <c r="WF9" s="103"/>
      <c r="WG9" s="103"/>
      <c r="WH9" s="103"/>
      <c r="WI9" s="103"/>
      <c r="WJ9" s="103"/>
      <c r="WK9" s="103"/>
      <c r="WL9" s="103"/>
      <c r="WM9" s="103"/>
      <c r="WN9" s="103"/>
      <c r="WO9" s="103"/>
      <c r="WP9" s="103"/>
      <c r="WQ9" s="103"/>
      <c r="WR9" s="103"/>
      <c r="WS9" s="103"/>
      <c r="WT9" s="103"/>
      <c r="WU9" s="103"/>
      <c r="WV9" s="103"/>
      <c r="WW9" s="103"/>
      <c r="WX9" s="103"/>
      <c r="WY9" s="103"/>
      <c r="WZ9" s="103"/>
      <c r="XA9" s="103"/>
      <c r="XB9" s="103"/>
      <c r="XC9" s="103"/>
      <c r="XD9" s="103"/>
      <c r="XE9" s="103"/>
      <c r="XF9" s="103"/>
      <c r="XG9" s="103"/>
      <c r="XH9" s="103"/>
      <c r="XI9" s="103"/>
      <c r="XJ9" s="103"/>
      <c r="XK9" s="103"/>
      <c r="XL9" s="103"/>
      <c r="XM9" s="103"/>
      <c r="XN9" s="103"/>
      <c r="XO9" s="103"/>
      <c r="XP9" s="103"/>
      <c r="XQ9" s="103"/>
      <c r="XR9" s="103"/>
      <c r="XS9" s="103"/>
      <c r="XT9" s="103"/>
      <c r="XU9" s="103"/>
      <c r="XV9" s="103"/>
      <c r="XW9" s="103"/>
      <c r="XX9" s="103"/>
      <c r="XY9" s="103"/>
      <c r="XZ9" s="103"/>
      <c r="YA9" s="103"/>
      <c r="YB9" s="103"/>
      <c r="YC9" s="103"/>
      <c r="YD9" s="103"/>
      <c r="YE9" s="103"/>
      <c r="YF9" s="103"/>
      <c r="YG9" s="103"/>
      <c r="YH9" s="103"/>
      <c r="YI9" s="103"/>
      <c r="YJ9" s="103"/>
      <c r="YK9" s="103"/>
      <c r="YL9" s="103"/>
      <c r="YM9" s="103"/>
      <c r="YN9" s="103"/>
      <c r="YO9" s="103"/>
      <c r="YP9" s="103"/>
      <c r="YQ9" s="103"/>
      <c r="YR9" s="103"/>
      <c r="YS9" s="103"/>
      <c r="YT9" s="103"/>
      <c r="YU9" s="103"/>
      <c r="YV9" s="103"/>
      <c r="YW9" s="103"/>
      <c r="YX9" s="103"/>
      <c r="YY9" s="103"/>
      <c r="YZ9" s="103"/>
      <c r="ZA9" s="103"/>
      <c r="ZB9" s="103"/>
      <c r="ZC9" s="103"/>
      <c r="ZD9" s="103"/>
      <c r="ZE9" s="103"/>
      <c r="ZF9" s="103"/>
      <c r="ZG9" s="103"/>
      <c r="ZH9" s="103"/>
      <c r="ZI9" s="103"/>
      <c r="ZJ9" s="103"/>
      <c r="ZK9" s="103"/>
      <c r="ZL9" s="103"/>
      <c r="ZM9" s="103"/>
      <c r="ZN9" s="103"/>
      <c r="ZO9" s="103"/>
      <c r="ZP9" s="103"/>
      <c r="ZQ9" s="103"/>
      <c r="ZR9" s="103"/>
      <c r="ZS9" s="103"/>
      <c r="ZT9" s="103"/>
      <c r="ZU9" s="103"/>
      <c r="ZV9" s="103"/>
      <c r="ZW9" s="103"/>
      <c r="ZX9" s="103"/>
      <c r="ZY9" s="103"/>
      <c r="ZZ9" s="103"/>
      <c r="AAA9" s="103"/>
      <c r="AAB9" s="103"/>
      <c r="AAC9" s="103"/>
      <c r="AAD9" s="103"/>
      <c r="AAE9" s="103"/>
      <c r="AAF9" s="103"/>
      <c r="AAG9" s="103"/>
      <c r="AAH9" s="103"/>
      <c r="AAI9" s="103"/>
      <c r="AAJ9" s="103"/>
      <c r="AAK9" s="103"/>
      <c r="AAL9" s="103"/>
      <c r="AAM9" s="103"/>
      <c r="AAN9" s="103"/>
      <c r="AAO9" s="103"/>
      <c r="AAP9" s="103"/>
      <c r="AAQ9" s="103"/>
      <c r="AAR9" s="103"/>
      <c r="AAS9" s="103"/>
      <c r="AAT9" s="103"/>
      <c r="AAU9" s="103"/>
      <c r="AAV9" s="103"/>
      <c r="AAW9" s="103"/>
      <c r="AAX9" s="103"/>
      <c r="AAY9" s="103"/>
      <c r="AAZ9" s="103"/>
      <c r="ABA9" s="103"/>
      <c r="ABB9" s="103"/>
      <c r="ABC9" s="103"/>
      <c r="ABD9" s="103"/>
      <c r="ABE9" s="103"/>
      <c r="ABF9" s="103"/>
      <c r="ABG9" s="103"/>
      <c r="ABH9" s="103"/>
      <c r="ABI9" s="103"/>
      <c r="ABJ9" s="103"/>
      <c r="ABK9" s="103"/>
      <c r="ABL9" s="103"/>
      <c r="ABM9" s="103"/>
      <c r="ABN9" s="103"/>
      <c r="ABO9" s="103"/>
      <c r="ABP9" s="103"/>
      <c r="ABQ9" s="103"/>
      <c r="ABR9" s="103"/>
      <c r="ABS9" s="103"/>
      <c r="ABT9" s="103"/>
      <c r="ABU9" s="103"/>
      <c r="ABV9" s="103"/>
      <c r="ABW9" s="103"/>
      <c r="ABX9" s="103"/>
      <c r="ABY9" s="103"/>
      <c r="ABZ9" s="103"/>
      <c r="ACA9" s="103"/>
      <c r="ACB9" s="103"/>
      <c r="ACC9" s="103"/>
      <c r="ACD9" s="103"/>
      <c r="ACE9" s="103"/>
      <c r="ACF9" s="103"/>
      <c r="ACG9" s="103"/>
      <c r="ACH9" s="103"/>
      <c r="ACI9" s="103"/>
      <c r="ACJ9" s="103"/>
      <c r="ACK9" s="103"/>
      <c r="ACL9" s="103"/>
      <c r="ACM9" s="103"/>
      <c r="ACN9" s="103"/>
      <c r="ACO9" s="103"/>
      <c r="ACP9" s="103"/>
      <c r="ACQ9" s="103"/>
      <c r="ACR9" s="103"/>
      <c r="ACS9" s="103"/>
      <c r="ACT9" s="103"/>
      <c r="ACU9" s="103"/>
      <c r="ACV9" s="103"/>
      <c r="ACW9" s="103"/>
      <c r="ACX9" s="103"/>
      <c r="ACY9" s="103"/>
      <c r="ACZ9" s="103"/>
      <c r="ADA9" s="103"/>
      <c r="ADB9" s="103"/>
      <c r="ADC9" s="103"/>
      <c r="ADD9" s="103"/>
      <c r="ADE9" s="103"/>
      <c r="ADF9" s="103"/>
      <c r="ADG9" s="103"/>
      <c r="ADH9" s="103"/>
      <c r="ADI9" s="103"/>
      <c r="ADJ9" s="103"/>
      <c r="ADK9" s="103"/>
      <c r="ADL9" s="103"/>
      <c r="ADM9" s="103"/>
      <c r="ADN9" s="103"/>
      <c r="ADO9" s="103"/>
      <c r="ADP9" s="103"/>
      <c r="ADQ9" s="103"/>
      <c r="ADR9" s="103"/>
      <c r="ADS9" s="103"/>
      <c r="ADT9" s="103"/>
      <c r="ADU9" s="103"/>
      <c r="ADV9" s="103"/>
      <c r="ADW9" s="103"/>
      <c r="ADX9" s="103"/>
      <c r="ADY9" s="103"/>
      <c r="ADZ9" s="103"/>
      <c r="AEA9" s="103"/>
      <c r="AEB9" s="103"/>
      <c r="AEC9" s="103"/>
      <c r="AED9" s="103"/>
      <c r="AEE9" s="103"/>
      <c r="AEF9" s="103"/>
      <c r="AEG9" s="103"/>
      <c r="AEH9" s="103"/>
      <c r="AEI9" s="103"/>
      <c r="AEJ9" s="103"/>
      <c r="AEK9" s="103"/>
      <c r="AEL9" s="103"/>
      <c r="AEM9" s="103"/>
      <c r="AEN9" s="103"/>
      <c r="AEO9" s="103"/>
      <c r="AEP9" s="103"/>
      <c r="AEQ9" s="103"/>
      <c r="AER9" s="103"/>
      <c r="AES9" s="103"/>
      <c r="AET9" s="103"/>
      <c r="AEU9" s="103"/>
      <c r="AEV9" s="103"/>
      <c r="AEW9" s="103"/>
      <c r="AEX9" s="103"/>
      <c r="AEY9" s="103"/>
      <c r="AEZ9" s="103"/>
      <c r="AFA9" s="103"/>
      <c r="AFB9" s="103"/>
      <c r="AFC9" s="103"/>
      <c r="AFD9" s="103"/>
      <c r="AFE9" s="103"/>
      <c r="AFF9" s="103"/>
      <c r="AFG9" s="103"/>
      <c r="AFH9" s="103"/>
      <c r="AFI9" s="103"/>
      <c r="AFJ9" s="103"/>
      <c r="AFK9" s="103"/>
      <c r="AFL9" s="103"/>
      <c r="AFM9" s="103"/>
      <c r="AFN9" s="103"/>
      <c r="AFO9" s="103"/>
      <c r="AFP9" s="103"/>
      <c r="AFQ9" s="103"/>
      <c r="AFR9" s="103"/>
      <c r="AFS9" s="103"/>
      <c r="AFT9" s="103"/>
      <c r="AFU9" s="103"/>
      <c r="AFV9" s="103"/>
      <c r="AFW9" s="103"/>
      <c r="AFX9" s="103"/>
      <c r="AFY9" s="103"/>
      <c r="AFZ9" s="103"/>
      <c r="AGA9" s="103"/>
      <c r="AGB9" s="103"/>
      <c r="AGC9" s="103"/>
      <c r="AGD9" s="103"/>
      <c r="AGE9" s="103"/>
      <c r="AGF9" s="103"/>
      <c r="AGG9" s="103"/>
      <c r="AGH9" s="103"/>
      <c r="AGI9" s="103"/>
      <c r="AGJ9" s="103"/>
      <c r="AGK9" s="103"/>
      <c r="AGL9" s="103"/>
      <c r="AGM9" s="103"/>
      <c r="AGN9" s="103"/>
      <c r="AGO9" s="103"/>
      <c r="AGP9" s="103"/>
      <c r="AGQ9" s="103"/>
      <c r="AGR9" s="103"/>
      <c r="AGS9" s="103"/>
      <c r="AGT9" s="103"/>
      <c r="AGU9" s="103"/>
      <c r="AGV9" s="103"/>
      <c r="AGW9" s="103"/>
      <c r="AGX9" s="103"/>
      <c r="AGY9" s="103"/>
      <c r="AGZ9" s="103"/>
      <c r="AHA9" s="103"/>
      <c r="AHB9" s="103"/>
      <c r="AHC9" s="103"/>
      <c r="AHD9" s="103"/>
      <c r="AHE9" s="103"/>
      <c r="AHF9" s="103"/>
      <c r="AHG9" s="103"/>
      <c r="AHH9" s="103"/>
      <c r="AHI9" s="103"/>
      <c r="AHJ9" s="103"/>
      <c r="AHK9" s="103"/>
      <c r="AHL9" s="103"/>
      <c r="AHM9" s="103"/>
      <c r="AHN9" s="103"/>
      <c r="AHO9" s="103"/>
      <c r="AHP9" s="103"/>
      <c r="AHQ9" s="103"/>
      <c r="AHR9" s="103"/>
      <c r="AHS9" s="103"/>
      <c r="AHT9" s="103"/>
      <c r="AHU9" s="103"/>
      <c r="AHV9" s="103"/>
      <c r="AHW9" s="103"/>
      <c r="AHX9" s="103"/>
      <c r="AHY9" s="103"/>
      <c r="AHZ9" s="103"/>
      <c r="AIA9" s="103"/>
      <c r="AIB9" s="103"/>
      <c r="AIC9" s="103"/>
      <c r="AID9" s="103"/>
      <c r="AIE9" s="103"/>
      <c r="AIF9" s="103"/>
      <c r="AIG9" s="103"/>
      <c r="AIH9" s="103"/>
      <c r="AII9" s="103"/>
      <c r="AIJ9" s="103"/>
      <c r="AIK9" s="103"/>
      <c r="AIL9" s="103"/>
      <c r="AIM9" s="103"/>
      <c r="AIN9" s="103"/>
      <c r="AIO9" s="103"/>
      <c r="AIP9" s="103"/>
      <c r="AIQ9" s="103"/>
      <c r="AIR9" s="103"/>
      <c r="AIS9" s="103"/>
      <c r="AIT9" s="103"/>
      <c r="AIU9" s="103"/>
      <c r="AIV9" s="103"/>
      <c r="AIW9" s="103"/>
      <c r="AIX9" s="103"/>
      <c r="AIY9" s="103"/>
      <c r="AIZ9" s="103"/>
      <c r="AJA9" s="103"/>
      <c r="AJB9" s="103"/>
      <c r="AJC9" s="103"/>
      <c r="AJD9" s="103"/>
      <c r="AJE9" s="103"/>
      <c r="AJF9" s="103"/>
      <c r="AJG9" s="103"/>
      <c r="AJH9" s="103"/>
      <c r="AJI9" s="103"/>
      <c r="AJJ9" s="103"/>
      <c r="AJK9" s="103"/>
      <c r="AJL9" s="103"/>
      <c r="AJM9" s="103"/>
      <c r="AJN9" s="103"/>
      <c r="AJO9" s="103"/>
      <c r="AJP9" s="103"/>
      <c r="AJQ9" s="103"/>
      <c r="AJR9" s="103"/>
      <c r="AJS9" s="103"/>
      <c r="AJT9" s="103"/>
      <c r="AJU9" s="103"/>
      <c r="AJV9" s="103"/>
      <c r="AJW9" s="103"/>
      <c r="AJX9" s="103"/>
      <c r="AJY9" s="103"/>
      <c r="AJZ9" s="103"/>
      <c r="AKA9" s="103"/>
      <c r="AKB9" s="103"/>
      <c r="AKC9" s="103"/>
      <c r="AKD9" s="103"/>
      <c r="AKE9" s="103"/>
      <c r="AKF9" s="103"/>
      <c r="AKG9" s="103"/>
      <c r="AKH9" s="103"/>
      <c r="AKI9" s="103"/>
      <c r="AKJ9" s="103"/>
      <c r="AKK9" s="103"/>
      <c r="AKL9" s="103"/>
      <c r="AKM9" s="103"/>
      <c r="AKN9" s="103"/>
      <c r="AKO9" s="103"/>
      <c r="AKP9" s="103"/>
      <c r="AKQ9" s="103"/>
      <c r="AKR9" s="103"/>
      <c r="AKS9" s="103"/>
      <c r="AKT9" s="103"/>
      <c r="AKU9" s="103"/>
      <c r="AKV9" s="103"/>
      <c r="AKW9" s="103"/>
      <c r="AKX9" s="103"/>
      <c r="AKY9" s="103"/>
      <c r="AKZ9" s="103"/>
      <c r="ALA9" s="103"/>
      <c r="ALB9" s="103"/>
      <c r="ALC9" s="103"/>
      <c r="ALD9" s="103"/>
      <c r="ALE9" s="103"/>
      <c r="ALF9" s="103"/>
      <c r="ALG9" s="103"/>
      <c r="ALH9" s="103"/>
      <c r="ALI9" s="103"/>
      <c r="ALJ9" s="103"/>
      <c r="ALK9" s="103"/>
      <c r="ALL9" s="103"/>
      <c r="ALM9" s="103"/>
      <c r="ALN9" s="103"/>
      <c r="ALO9" s="103"/>
      <c r="ALP9" s="103"/>
      <c r="ALQ9" s="103"/>
      <c r="ALR9" s="103"/>
      <c r="ALS9" s="103"/>
      <c r="ALT9" s="103"/>
      <c r="ALU9" s="103"/>
      <c r="ALV9" s="103"/>
      <c r="ALW9" s="103"/>
      <c r="ALX9" s="103"/>
      <c r="ALY9" s="103"/>
      <c r="ALZ9" s="103"/>
      <c r="AMA9" s="103"/>
      <c r="AMB9" s="103"/>
      <c r="AMC9" s="103"/>
      <c r="AMD9" s="103"/>
      <c r="AME9" s="103"/>
      <c r="AMF9" s="103"/>
      <c r="AMG9" s="103"/>
      <c r="AMH9" s="103"/>
      <c r="AMI9" s="103"/>
      <c r="AMJ9" s="103"/>
      <c r="AMK9" s="103"/>
      <c r="AML9" s="103"/>
      <c r="AMM9" s="103"/>
      <c r="AMN9" s="103"/>
      <c r="AMO9" s="103"/>
      <c r="AMP9" s="103"/>
      <c r="AMQ9" s="103"/>
      <c r="AMR9" s="103"/>
      <c r="AMS9" s="103"/>
      <c r="AMT9" s="103"/>
      <c r="AMU9" s="103"/>
      <c r="AMV9" s="103"/>
      <c r="AMW9" s="103"/>
      <c r="AMX9" s="103"/>
      <c r="AMY9" s="103"/>
      <c r="AMZ9" s="103"/>
      <c r="ANA9" s="103"/>
      <c r="ANB9" s="103"/>
      <c r="ANC9" s="103"/>
      <c r="AND9" s="103"/>
      <c r="ANE9" s="103"/>
      <c r="ANF9" s="103"/>
      <c r="ANG9" s="103"/>
      <c r="ANH9" s="103"/>
      <c r="ANI9" s="103"/>
      <c r="ANJ9" s="103"/>
      <c r="ANK9" s="103"/>
      <c r="ANL9" s="103"/>
      <c r="ANM9" s="103"/>
      <c r="ANN9" s="103"/>
      <c r="ANO9" s="103"/>
      <c r="ANP9" s="103"/>
      <c r="ANQ9" s="103"/>
      <c r="ANR9" s="103"/>
      <c r="ANS9" s="103"/>
      <c r="ANT9" s="103"/>
      <c r="ANU9" s="103"/>
      <c r="ANV9" s="103"/>
      <c r="ANW9" s="103"/>
      <c r="ANX9" s="103"/>
      <c r="ANY9" s="103"/>
      <c r="ANZ9" s="103"/>
      <c r="AOA9" s="103"/>
      <c r="AOB9" s="103"/>
      <c r="AOC9" s="103"/>
      <c r="AOD9" s="103"/>
      <c r="AOE9" s="103"/>
      <c r="AOF9" s="103"/>
      <c r="AOG9" s="103"/>
      <c r="AOH9" s="103"/>
      <c r="AOI9" s="103"/>
      <c r="AOJ9" s="103"/>
      <c r="AOK9" s="103"/>
      <c r="AOL9" s="103"/>
      <c r="AOM9" s="103"/>
      <c r="AON9" s="103"/>
      <c r="AOO9" s="103"/>
      <c r="AOP9" s="103"/>
      <c r="AOQ9" s="103"/>
      <c r="AOR9" s="103"/>
      <c r="AOS9" s="103"/>
      <c r="AOT9" s="103"/>
      <c r="AOU9" s="103"/>
      <c r="AOV9" s="103"/>
      <c r="AOW9" s="103"/>
      <c r="AOX9" s="103"/>
      <c r="AOY9" s="103"/>
      <c r="AOZ9" s="103"/>
      <c r="APA9" s="103"/>
      <c r="APB9" s="103"/>
      <c r="APC9" s="103"/>
      <c r="APD9" s="103"/>
      <c r="APE9" s="103"/>
      <c r="APF9" s="103"/>
      <c r="APG9" s="103"/>
      <c r="APH9" s="103"/>
      <c r="API9" s="103"/>
      <c r="APJ9" s="103"/>
      <c r="APK9" s="103"/>
      <c r="APL9" s="103"/>
      <c r="APM9" s="103"/>
      <c r="APN9" s="103"/>
      <c r="APO9" s="103"/>
      <c r="APP9" s="103"/>
      <c r="APQ9" s="103"/>
      <c r="APR9" s="103"/>
      <c r="APS9" s="103"/>
      <c r="APT9" s="103"/>
      <c r="APU9" s="103"/>
      <c r="APV9" s="103"/>
      <c r="APW9" s="103"/>
      <c r="APX9" s="103"/>
      <c r="APY9" s="103"/>
      <c r="APZ9" s="103"/>
      <c r="AQA9" s="103"/>
      <c r="AQB9" s="103"/>
      <c r="AQC9" s="103"/>
      <c r="AQD9" s="103"/>
      <c r="AQE9" s="103"/>
      <c r="AQF9" s="103"/>
      <c r="AQG9" s="103"/>
      <c r="AQH9" s="103"/>
      <c r="AQI9" s="103"/>
      <c r="AQJ9" s="103"/>
      <c r="AQK9" s="103"/>
      <c r="AQL9" s="103"/>
      <c r="AQM9" s="103"/>
      <c r="AQN9" s="103"/>
      <c r="AQO9" s="103"/>
      <c r="AQP9" s="103"/>
      <c r="AQQ9" s="103"/>
      <c r="AQR9" s="103"/>
      <c r="AQS9" s="103"/>
      <c r="AQT9" s="103"/>
      <c r="AQU9" s="103"/>
      <c r="AQV9" s="103"/>
      <c r="AQW9" s="103"/>
      <c r="AQX9" s="103"/>
      <c r="AQY9" s="103"/>
      <c r="AQZ9" s="103"/>
      <c r="ARA9" s="103"/>
      <c r="ARB9" s="103"/>
      <c r="ARC9" s="103"/>
      <c r="ARD9" s="103"/>
      <c r="ARE9" s="103"/>
      <c r="ARF9" s="103"/>
      <c r="ARG9" s="103"/>
      <c r="ARH9" s="103"/>
      <c r="ARI9" s="103"/>
      <c r="ARJ9" s="103"/>
      <c r="ARK9" s="103"/>
      <c r="ARL9" s="103"/>
      <c r="ARM9" s="103"/>
      <c r="ARN9" s="103"/>
      <c r="ARO9" s="103"/>
      <c r="ARP9" s="103"/>
      <c r="ARQ9" s="103"/>
      <c r="ARR9" s="103"/>
      <c r="ARS9" s="103"/>
      <c r="ART9" s="103"/>
      <c r="ARU9" s="103"/>
      <c r="ARV9" s="103"/>
      <c r="ARW9" s="103"/>
      <c r="ARX9" s="103"/>
      <c r="ARY9" s="103"/>
      <c r="ARZ9" s="103"/>
      <c r="ASA9" s="103"/>
      <c r="ASB9" s="103"/>
      <c r="ASC9" s="103"/>
      <c r="ASD9" s="103"/>
      <c r="ASE9" s="103"/>
      <c r="ASF9" s="103"/>
      <c r="ASG9" s="103"/>
      <c r="ASH9" s="103"/>
      <c r="ASI9" s="103"/>
      <c r="ASJ9" s="103"/>
      <c r="ASK9" s="103"/>
      <c r="ASL9" s="103"/>
      <c r="ASM9" s="103"/>
      <c r="ASN9" s="103"/>
      <c r="ASO9" s="103"/>
      <c r="ASP9" s="103"/>
      <c r="ASQ9" s="103"/>
      <c r="ASR9" s="103"/>
      <c r="ASS9" s="103"/>
      <c r="AST9" s="103"/>
      <c r="ASU9" s="103"/>
      <c r="ASV9" s="103"/>
      <c r="ASW9" s="103"/>
      <c r="ASX9" s="103"/>
      <c r="ASY9" s="103"/>
      <c r="ASZ9" s="103"/>
      <c r="ATA9" s="103"/>
      <c r="ATB9" s="103"/>
      <c r="ATC9" s="103"/>
      <c r="ATD9" s="103"/>
      <c r="ATE9" s="103"/>
      <c r="ATF9" s="103"/>
      <c r="ATG9" s="103"/>
      <c r="ATH9" s="103"/>
      <c r="ATI9" s="103"/>
      <c r="ATJ9" s="103"/>
      <c r="ATK9" s="103"/>
      <c r="ATL9" s="103"/>
      <c r="ATM9" s="103"/>
      <c r="ATN9" s="103"/>
      <c r="ATO9" s="103"/>
      <c r="ATP9" s="103"/>
      <c r="ATQ9" s="103"/>
      <c r="ATR9" s="103"/>
      <c r="ATS9" s="103"/>
      <c r="ATT9" s="103"/>
      <c r="ATU9" s="103"/>
      <c r="ATV9" s="103"/>
      <c r="ATW9" s="103"/>
      <c r="ATX9" s="103"/>
      <c r="ATY9" s="103"/>
      <c r="ATZ9" s="103"/>
      <c r="AUA9" s="103"/>
      <c r="AUB9" s="103"/>
      <c r="AUC9" s="103"/>
      <c r="AUD9" s="103"/>
      <c r="AUE9" s="103"/>
      <c r="AUF9" s="103"/>
      <c r="AUG9" s="103"/>
      <c r="AUH9" s="103"/>
      <c r="AUI9" s="103"/>
      <c r="AUJ9" s="103"/>
      <c r="AUK9" s="103"/>
      <c r="AUL9" s="103"/>
      <c r="AUM9" s="103"/>
      <c r="AUN9" s="103"/>
      <c r="AUO9" s="103"/>
      <c r="AUP9" s="103"/>
      <c r="AUQ9" s="103"/>
      <c r="AUR9" s="103"/>
      <c r="AUS9" s="103"/>
      <c r="AUT9" s="103"/>
      <c r="AUU9" s="103"/>
      <c r="AUV9" s="103"/>
      <c r="AUW9" s="103"/>
      <c r="AUX9" s="103"/>
      <c r="AUY9" s="103"/>
      <c r="AUZ9" s="103"/>
      <c r="AVA9" s="103"/>
      <c r="AVB9" s="103"/>
      <c r="AVC9" s="103"/>
      <c r="AVD9" s="103"/>
      <c r="AVE9" s="103"/>
      <c r="AVF9" s="103"/>
      <c r="AVG9" s="103"/>
      <c r="AVH9" s="103"/>
      <c r="AVI9" s="103"/>
      <c r="AVJ9" s="103"/>
      <c r="AVK9" s="103"/>
      <c r="AVL9" s="103"/>
      <c r="AVM9" s="103"/>
      <c r="AVN9" s="103"/>
      <c r="AVO9" s="103"/>
      <c r="AVP9" s="103"/>
      <c r="AVQ9" s="103"/>
      <c r="AVR9" s="103"/>
      <c r="AVS9" s="103"/>
      <c r="AVT9" s="103"/>
      <c r="AVU9" s="103"/>
      <c r="AVV9" s="103"/>
      <c r="AVW9" s="103"/>
      <c r="AVX9" s="103"/>
      <c r="AVY9" s="103"/>
      <c r="AVZ9" s="103"/>
      <c r="AWA9" s="103"/>
      <c r="AWB9" s="103"/>
      <c r="AWC9" s="103"/>
      <c r="AWD9" s="103"/>
      <c r="AWE9" s="103"/>
      <c r="AWF9" s="103"/>
      <c r="AWG9" s="103"/>
      <c r="AWH9" s="103"/>
      <c r="AWI9" s="103"/>
      <c r="AWJ9" s="103"/>
      <c r="AWK9" s="103"/>
      <c r="AWL9" s="103"/>
      <c r="AWM9" s="103"/>
      <c r="AWN9" s="103"/>
      <c r="AWO9" s="103"/>
      <c r="AWP9" s="103"/>
      <c r="AWQ9" s="103"/>
      <c r="AWR9" s="103"/>
      <c r="AWS9" s="103"/>
      <c r="AWT9" s="103"/>
      <c r="AWU9" s="103"/>
      <c r="AWV9" s="103"/>
      <c r="AWW9" s="103"/>
      <c r="AWX9" s="103"/>
      <c r="AWY9" s="103"/>
      <c r="AWZ9" s="103"/>
      <c r="AXA9" s="103"/>
      <c r="AXB9" s="103"/>
      <c r="AXC9" s="103"/>
      <c r="AXD9" s="103"/>
      <c r="AXE9" s="103"/>
      <c r="AXF9" s="103"/>
      <c r="AXG9" s="103"/>
      <c r="AXH9" s="103"/>
      <c r="AXI9" s="103"/>
      <c r="AXJ9" s="103"/>
      <c r="AXK9" s="103"/>
      <c r="AXL9" s="103"/>
      <c r="AXM9" s="103"/>
      <c r="AXN9" s="103"/>
      <c r="AXO9" s="103"/>
      <c r="AXP9" s="103"/>
      <c r="AXQ9" s="103"/>
      <c r="AXR9" s="103"/>
      <c r="AXS9" s="103"/>
      <c r="AXT9" s="103"/>
      <c r="AXU9" s="103"/>
      <c r="AXV9" s="103"/>
      <c r="AXW9" s="103"/>
      <c r="AXX9" s="103"/>
      <c r="AXY9" s="103"/>
      <c r="AXZ9" s="103"/>
      <c r="AYA9" s="103"/>
      <c r="AYB9" s="103"/>
      <c r="AYC9" s="103"/>
      <c r="AYD9" s="103"/>
      <c r="AYE9" s="103"/>
      <c r="AYF9" s="103"/>
      <c r="AYG9" s="103"/>
      <c r="AYH9" s="103"/>
      <c r="AYI9" s="103"/>
      <c r="AYJ9" s="103"/>
      <c r="AYK9" s="103"/>
      <c r="AYL9" s="103"/>
      <c r="AYM9" s="103"/>
      <c r="AYN9" s="103"/>
      <c r="AYO9" s="103"/>
      <c r="AYP9" s="103"/>
      <c r="AYQ9" s="103"/>
      <c r="AYR9" s="103"/>
      <c r="AYS9" s="103"/>
      <c r="AYT9" s="103"/>
      <c r="AYU9" s="103"/>
      <c r="AYV9" s="103"/>
      <c r="AYW9" s="103"/>
      <c r="AYX9" s="103"/>
      <c r="AYY9" s="103"/>
      <c r="AYZ9" s="103"/>
      <c r="AZA9" s="103"/>
      <c r="AZB9" s="103"/>
      <c r="AZC9" s="103"/>
      <c r="AZD9" s="103"/>
      <c r="AZE9" s="103"/>
      <c r="AZF9" s="103"/>
      <c r="AZG9" s="103"/>
      <c r="AZH9" s="103"/>
      <c r="AZI9" s="103"/>
      <c r="AZJ9" s="103"/>
      <c r="AZK9" s="103"/>
      <c r="AZL9" s="103"/>
      <c r="AZM9" s="103"/>
      <c r="AZN9" s="103"/>
      <c r="AZO9" s="103"/>
      <c r="AZP9" s="103"/>
      <c r="AZQ9" s="103"/>
      <c r="AZR9" s="103"/>
      <c r="AZS9" s="103"/>
      <c r="AZT9" s="103"/>
      <c r="AZU9" s="103"/>
      <c r="AZV9" s="103"/>
      <c r="AZW9" s="103"/>
      <c r="AZX9" s="103"/>
      <c r="AZY9" s="103"/>
      <c r="AZZ9" s="103"/>
      <c r="BAA9" s="103"/>
      <c r="BAB9" s="103"/>
      <c r="BAC9" s="103"/>
      <c r="BAD9" s="103"/>
      <c r="BAE9" s="103"/>
      <c r="BAF9" s="103"/>
      <c r="BAG9" s="103"/>
      <c r="BAH9" s="103"/>
      <c r="BAI9" s="103"/>
      <c r="BAJ9" s="103"/>
      <c r="BAK9" s="103"/>
      <c r="BAL9" s="103"/>
      <c r="BAM9" s="103"/>
      <c r="BAN9" s="103"/>
      <c r="BAO9" s="103"/>
      <c r="BAP9" s="103"/>
      <c r="BAQ9" s="103"/>
      <c r="BAR9" s="103"/>
      <c r="BAS9" s="103"/>
      <c r="BAT9" s="103"/>
      <c r="BAU9" s="103"/>
      <c r="BAV9" s="103"/>
      <c r="BAW9" s="103"/>
      <c r="BAX9" s="103"/>
      <c r="BAY9" s="103"/>
      <c r="BAZ9" s="103"/>
      <c r="BBA9" s="103"/>
      <c r="BBB9" s="103"/>
      <c r="BBC9" s="103"/>
      <c r="BBD9" s="103"/>
      <c r="BBE9" s="103"/>
      <c r="BBF9" s="103"/>
      <c r="BBG9" s="103"/>
      <c r="BBH9" s="103"/>
      <c r="BBI9" s="103"/>
      <c r="BBJ9" s="103"/>
      <c r="BBK9" s="103"/>
      <c r="BBL9" s="103"/>
      <c r="BBM9" s="103"/>
      <c r="BBN9" s="103"/>
      <c r="BBO9" s="103"/>
      <c r="BBP9" s="103"/>
      <c r="BBQ9" s="103"/>
      <c r="BBR9" s="103"/>
      <c r="BBS9" s="103"/>
      <c r="BBT9" s="103"/>
      <c r="BBU9" s="103"/>
      <c r="BBV9" s="103"/>
      <c r="BBW9" s="103"/>
      <c r="BBX9" s="103"/>
      <c r="BBY9" s="103"/>
      <c r="BBZ9" s="103"/>
      <c r="BCA9" s="103"/>
      <c r="BCB9" s="103"/>
      <c r="BCC9" s="103"/>
      <c r="BCD9" s="103"/>
      <c r="BCE9" s="103"/>
      <c r="BCF9" s="103"/>
      <c r="BCG9" s="103"/>
      <c r="BCH9" s="103"/>
      <c r="BCI9" s="103"/>
      <c r="BCJ9" s="103"/>
      <c r="BCK9" s="103"/>
      <c r="BCL9" s="103"/>
      <c r="BCM9" s="103"/>
      <c r="BCN9" s="103"/>
      <c r="BCO9" s="103"/>
      <c r="BCP9" s="103"/>
      <c r="BCQ9" s="103"/>
      <c r="BCR9" s="103"/>
      <c r="BCS9" s="103"/>
      <c r="BCT9" s="103"/>
      <c r="BCU9" s="103"/>
      <c r="BCV9" s="103"/>
      <c r="BCW9" s="103"/>
      <c r="BCX9" s="103"/>
      <c r="BCY9" s="103"/>
      <c r="BCZ9" s="103"/>
      <c r="BDA9" s="103"/>
      <c r="BDB9" s="103"/>
      <c r="BDC9" s="103"/>
      <c r="BDD9" s="103"/>
      <c r="BDE9" s="103"/>
      <c r="BDF9" s="103"/>
      <c r="BDG9" s="103"/>
      <c r="BDH9" s="103"/>
      <c r="BDI9" s="103"/>
      <c r="BDJ9" s="103"/>
      <c r="BDK9" s="103"/>
      <c r="BDL9" s="103"/>
      <c r="BDM9" s="103"/>
      <c r="BDN9" s="103"/>
      <c r="BDO9" s="103"/>
      <c r="BDP9" s="103"/>
      <c r="BDQ9" s="103"/>
      <c r="BDR9" s="103"/>
      <c r="BDS9" s="103"/>
      <c r="BDT9" s="103"/>
      <c r="BDU9" s="103"/>
      <c r="BDV9" s="103"/>
      <c r="BDW9" s="103"/>
      <c r="BDX9" s="103"/>
      <c r="BDY9" s="103"/>
      <c r="BDZ9" s="103"/>
      <c r="BEA9" s="103"/>
      <c r="BEB9" s="103"/>
      <c r="BEC9" s="103"/>
      <c r="BED9" s="103"/>
      <c r="BEE9" s="103"/>
      <c r="BEF9" s="103"/>
      <c r="BEG9" s="103"/>
      <c r="BEH9" s="103"/>
      <c r="BEI9" s="103"/>
      <c r="BEJ9" s="103"/>
      <c r="BEK9" s="103"/>
      <c r="BEL9" s="103"/>
      <c r="BEM9" s="103"/>
      <c r="BEN9" s="103"/>
      <c r="BEO9" s="103"/>
      <c r="BEP9" s="103"/>
      <c r="BEQ9" s="103"/>
      <c r="BER9" s="103"/>
      <c r="BES9" s="103"/>
      <c r="BET9" s="103"/>
      <c r="BEU9" s="103"/>
      <c r="BEV9" s="103"/>
      <c r="BEW9" s="103"/>
      <c r="BEX9" s="103"/>
      <c r="BEY9" s="103"/>
      <c r="BEZ9" s="103"/>
      <c r="BFA9" s="103"/>
      <c r="BFB9" s="103"/>
      <c r="BFC9" s="103"/>
      <c r="BFD9" s="103"/>
      <c r="BFE9" s="103"/>
      <c r="BFF9" s="103"/>
      <c r="BFG9" s="103"/>
      <c r="BFH9" s="103"/>
      <c r="BFI9" s="103"/>
      <c r="BFJ9" s="103"/>
      <c r="BFK9" s="103"/>
      <c r="BFL9" s="103"/>
      <c r="BFM9" s="103"/>
      <c r="BFN9" s="103"/>
      <c r="BFO9" s="103"/>
      <c r="BFP9" s="103"/>
      <c r="BFQ9" s="103"/>
      <c r="BFR9" s="103"/>
      <c r="BFS9" s="103"/>
      <c r="BFT9" s="103"/>
      <c r="BFU9" s="103"/>
      <c r="BFV9" s="103"/>
      <c r="BFW9" s="103"/>
      <c r="BFX9" s="103"/>
      <c r="BFY9" s="103"/>
      <c r="BFZ9" s="103"/>
      <c r="BGA9" s="103"/>
      <c r="BGB9" s="103"/>
      <c r="BGC9" s="103"/>
      <c r="BGD9" s="103"/>
      <c r="BGE9" s="103"/>
      <c r="BGF9" s="103"/>
      <c r="BGG9" s="103"/>
      <c r="BGH9" s="103"/>
      <c r="BGI9" s="103"/>
      <c r="BGJ9" s="103"/>
      <c r="BGK9" s="103"/>
      <c r="BGL9" s="103"/>
      <c r="BGM9" s="103"/>
      <c r="BGN9" s="103"/>
      <c r="BGO9" s="103"/>
      <c r="BGP9" s="103"/>
      <c r="BGQ9" s="103"/>
      <c r="BGR9" s="103"/>
      <c r="BGS9" s="103"/>
      <c r="BGT9" s="103"/>
      <c r="BGU9" s="103"/>
      <c r="BGV9" s="103"/>
      <c r="BGW9" s="103"/>
      <c r="BGX9" s="103"/>
      <c r="BGY9" s="103"/>
      <c r="BGZ9" s="103"/>
      <c r="BHA9" s="103"/>
      <c r="BHB9" s="103"/>
      <c r="BHC9" s="103"/>
      <c r="BHD9" s="103"/>
      <c r="BHE9" s="103"/>
      <c r="BHF9" s="103"/>
      <c r="BHG9" s="103"/>
      <c r="BHH9" s="103"/>
      <c r="BHI9" s="103"/>
      <c r="BHJ9" s="103"/>
      <c r="BHK9" s="103"/>
      <c r="BHL9" s="103"/>
      <c r="BHM9" s="103"/>
      <c r="BHN9" s="103"/>
      <c r="BHO9" s="103"/>
      <c r="BHP9" s="103"/>
      <c r="BHQ9" s="103"/>
      <c r="BHR9" s="103"/>
      <c r="BHS9" s="103"/>
      <c r="BHT9" s="103"/>
      <c r="BHU9" s="103"/>
      <c r="BHV9" s="103"/>
      <c r="BHW9" s="103"/>
      <c r="BHX9" s="103"/>
      <c r="BHY9" s="103"/>
      <c r="BHZ9" s="103"/>
      <c r="BIA9" s="103"/>
      <c r="BIB9" s="103"/>
      <c r="BIC9" s="103"/>
      <c r="BID9" s="103"/>
      <c r="BIE9" s="103"/>
      <c r="BIF9" s="103"/>
      <c r="BIG9" s="103"/>
      <c r="BIH9" s="103"/>
      <c r="BII9" s="103"/>
      <c r="BIJ9" s="103"/>
      <c r="BIK9" s="103"/>
      <c r="BIL9" s="103"/>
      <c r="BIM9" s="103"/>
      <c r="BIN9" s="103"/>
      <c r="BIO9" s="103"/>
      <c r="BIP9" s="103"/>
      <c r="BIQ9" s="103"/>
      <c r="BIR9" s="103"/>
      <c r="BIS9" s="103"/>
      <c r="BIT9" s="103"/>
      <c r="BIU9" s="103"/>
      <c r="BIV9" s="103"/>
      <c r="BIW9" s="103"/>
      <c r="BIX9" s="103"/>
      <c r="BIY9" s="103"/>
      <c r="BIZ9" s="103"/>
      <c r="BJA9" s="103"/>
      <c r="BJB9" s="103"/>
      <c r="BJC9" s="103"/>
      <c r="BJD9" s="103"/>
      <c r="BJE9" s="103"/>
      <c r="BJF9" s="103"/>
      <c r="BJG9" s="103"/>
      <c r="BJH9" s="103"/>
      <c r="BJI9" s="103"/>
      <c r="BJJ9" s="103"/>
      <c r="BJK9" s="103"/>
      <c r="BJL9" s="103"/>
      <c r="BJM9" s="103"/>
      <c r="BJN9" s="103"/>
      <c r="BJO9" s="103"/>
      <c r="BJP9" s="103"/>
      <c r="BJQ9" s="103"/>
      <c r="BJR9" s="103"/>
      <c r="BJS9" s="103"/>
      <c r="BJT9" s="103"/>
      <c r="BJU9" s="103"/>
      <c r="BJV9" s="103"/>
      <c r="BJW9" s="103"/>
      <c r="BJX9" s="103"/>
      <c r="BJY9" s="103"/>
      <c r="BJZ9" s="103"/>
      <c r="BKA9" s="103"/>
      <c r="BKB9" s="103"/>
      <c r="BKC9" s="103"/>
      <c r="BKD9" s="103"/>
      <c r="BKE9" s="103"/>
      <c r="BKF9" s="103"/>
      <c r="BKG9" s="103"/>
      <c r="BKH9" s="103"/>
      <c r="BKI9" s="103"/>
      <c r="BKJ9" s="103"/>
      <c r="BKK9" s="103"/>
      <c r="BKL9" s="103"/>
      <c r="BKM9" s="103"/>
      <c r="BKN9" s="103"/>
      <c r="BKO9" s="103"/>
      <c r="BKP9" s="103"/>
      <c r="BKQ9" s="103"/>
      <c r="BKR9" s="103"/>
      <c r="BKS9" s="103"/>
      <c r="BKT9" s="103"/>
      <c r="BKU9" s="103"/>
      <c r="BKV9" s="103"/>
      <c r="BKW9" s="103"/>
      <c r="BKX9" s="103"/>
      <c r="BKY9" s="103"/>
      <c r="BKZ9" s="103"/>
      <c r="BLA9" s="103"/>
      <c r="BLB9" s="103"/>
      <c r="BLC9" s="103"/>
      <c r="BLD9" s="103"/>
      <c r="BLE9" s="103"/>
      <c r="BLF9" s="103"/>
      <c r="BLG9" s="103"/>
      <c r="BLH9" s="103"/>
      <c r="BLI9" s="103"/>
      <c r="BLJ9" s="103"/>
      <c r="BLK9" s="103"/>
      <c r="BLL9" s="103"/>
      <c r="BLM9" s="103"/>
      <c r="BLN9" s="103"/>
      <c r="BLO9" s="103"/>
      <c r="BLP9" s="103"/>
      <c r="BLQ9" s="103"/>
      <c r="BLR9" s="103"/>
      <c r="BLS9" s="103"/>
      <c r="BLT9" s="103"/>
      <c r="BLU9" s="103"/>
      <c r="BLV9" s="103"/>
      <c r="BLW9" s="103"/>
      <c r="BLX9" s="103"/>
      <c r="BLY9" s="103"/>
      <c r="BLZ9" s="103"/>
      <c r="BMA9" s="103"/>
      <c r="BMB9" s="103"/>
      <c r="BMC9" s="103"/>
      <c r="BMD9" s="103"/>
      <c r="BME9" s="103"/>
      <c r="BMF9" s="103"/>
      <c r="BMG9" s="103"/>
      <c r="BMH9" s="103"/>
      <c r="BMI9" s="103"/>
      <c r="BMJ9" s="103"/>
      <c r="BMK9" s="103"/>
      <c r="BML9" s="103"/>
      <c r="BMM9" s="103"/>
      <c r="BMN9" s="103"/>
      <c r="BMO9" s="103"/>
      <c r="BMP9" s="103"/>
      <c r="BMQ9" s="103"/>
      <c r="BMR9" s="103"/>
      <c r="BMS9" s="103"/>
      <c r="BMT9" s="103"/>
      <c r="BMU9" s="103"/>
      <c r="BMV9" s="103"/>
      <c r="BMW9" s="103"/>
      <c r="BMX9" s="103"/>
      <c r="BMY9" s="103"/>
      <c r="BMZ9" s="103"/>
      <c r="BNA9" s="103"/>
      <c r="BNB9" s="103"/>
      <c r="BNC9" s="103"/>
      <c r="BND9" s="103"/>
      <c r="BNE9" s="103"/>
      <c r="BNF9" s="103"/>
      <c r="BNG9" s="103"/>
      <c r="BNH9" s="103"/>
      <c r="BNI9" s="103"/>
      <c r="BNJ9" s="103"/>
      <c r="BNK9" s="103"/>
      <c r="BNL9" s="103"/>
      <c r="BNM9" s="103"/>
      <c r="BNN9" s="103"/>
      <c r="BNO9" s="103"/>
      <c r="BNP9" s="103"/>
      <c r="BNQ9" s="103"/>
      <c r="BNR9" s="103"/>
      <c r="BNS9" s="103"/>
      <c r="BNT9" s="103"/>
      <c r="BNU9" s="103"/>
      <c r="BNV9" s="103"/>
      <c r="BNW9" s="103"/>
      <c r="BNX9" s="103"/>
      <c r="BNY9" s="103"/>
      <c r="BNZ9" s="103"/>
      <c r="BOA9" s="103"/>
      <c r="BOB9" s="103"/>
      <c r="BOC9" s="103"/>
      <c r="BOD9" s="103"/>
      <c r="BOE9" s="103"/>
      <c r="BOF9" s="103"/>
      <c r="BOG9" s="103"/>
      <c r="BOH9" s="103"/>
      <c r="BOI9" s="103"/>
      <c r="BOJ9" s="103"/>
      <c r="BOK9" s="103"/>
      <c r="BOL9" s="103"/>
      <c r="BOM9" s="103"/>
      <c r="BON9" s="103"/>
      <c r="BOO9" s="103"/>
      <c r="BOP9" s="103"/>
      <c r="BOQ9" s="103"/>
      <c r="BOR9" s="103"/>
      <c r="BOS9" s="103"/>
      <c r="BOT9" s="103"/>
      <c r="BOU9" s="103"/>
      <c r="BOV9" s="103"/>
      <c r="BOW9" s="103"/>
      <c r="BOX9" s="103"/>
      <c r="BOY9" s="103"/>
      <c r="BOZ9" s="103"/>
      <c r="BPA9" s="103"/>
      <c r="BPB9" s="103"/>
      <c r="BPC9" s="103"/>
      <c r="BPD9" s="103"/>
      <c r="BPE9" s="103"/>
      <c r="BPF9" s="103"/>
      <c r="BPG9" s="103"/>
      <c r="BPH9" s="103"/>
      <c r="BPI9" s="103"/>
      <c r="BPJ9" s="103"/>
      <c r="BPK9" s="103"/>
      <c r="BPL9" s="103"/>
      <c r="BPM9" s="103"/>
      <c r="BPN9" s="103"/>
      <c r="BPO9" s="103"/>
      <c r="BPP9" s="103"/>
      <c r="BPQ9" s="103"/>
      <c r="BPR9" s="103"/>
      <c r="BPS9" s="103"/>
      <c r="BPT9" s="103"/>
      <c r="BPU9" s="103"/>
      <c r="BPV9" s="103"/>
      <c r="BPW9" s="103"/>
      <c r="BPX9" s="103"/>
      <c r="BPY9" s="103"/>
      <c r="BPZ9" s="103"/>
      <c r="BQA9" s="103"/>
      <c r="BQB9" s="103"/>
      <c r="BQC9" s="103"/>
      <c r="BQD9" s="103"/>
      <c r="BQE9" s="103"/>
      <c r="BQF9" s="103"/>
      <c r="BQG9" s="103"/>
      <c r="BQH9" s="103"/>
      <c r="BQI9" s="103"/>
      <c r="BQJ9" s="103"/>
      <c r="BQK9" s="103"/>
      <c r="BQL9" s="103"/>
      <c r="BQM9" s="103"/>
      <c r="BQN9" s="103"/>
      <c r="BQO9" s="103"/>
      <c r="BQP9" s="103"/>
      <c r="BQQ9" s="103"/>
      <c r="BQR9" s="103"/>
      <c r="BQS9" s="103"/>
      <c r="BQT9" s="103"/>
      <c r="BQU9" s="103"/>
      <c r="BQV9" s="103"/>
      <c r="BQW9" s="103"/>
      <c r="BQX9" s="103"/>
      <c r="BQY9" s="103"/>
      <c r="BQZ9" s="103"/>
      <c r="BRA9" s="103"/>
      <c r="BRB9" s="103"/>
      <c r="BRC9" s="103"/>
      <c r="BRD9" s="103"/>
      <c r="BRE9" s="103"/>
      <c r="BRF9" s="103"/>
      <c r="BRG9" s="103"/>
      <c r="BRH9" s="103"/>
      <c r="BRI9" s="103"/>
      <c r="BRJ9" s="103"/>
      <c r="BRK9" s="103"/>
      <c r="BRL9" s="103"/>
      <c r="BRM9" s="103"/>
      <c r="BRN9" s="103"/>
      <c r="BRO9" s="103"/>
      <c r="BRP9" s="103"/>
      <c r="BRQ9" s="103"/>
      <c r="BRR9" s="103"/>
      <c r="BRS9" s="103"/>
      <c r="BRT9" s="103"/>
      <c r="BRU9" s="103"/>
      <c r="BRV9" s="103"/>
      <c r="BRW9" s="103"/>
      <c r="BRX9" s="103"/>
      <c r="BRY9" s="103"/>
      <c r="BRZ9" s="103"/>
      <c r="BSA9" s="103"/>
      <c r="BSB9" s="103"/>
      <c r="BSC9" s="103"/>
      <c r="BSD9" s="103"/>
      <c r="BSE9" s="103"/>
      <c r="BSF9" s="103"/>
      <c r="BSG9" s="103"/>
      <c r="BSH9" s="103"/>
      <c r="BSI9" s="103"/>
      <c r="BSJ9" s="103"/>
      <c r="BSK9" s="103"/>
      <c r="BSL9" s="103"/>
      <c r="BSM9" s="103"/>
      <c r="BSN9" s="103"/>
      <c r="BSO9" s="103"/>
      <c r="BSP9" s="103"/>
      <c r="BSQ9" s="103"/>
      <c r="BSR9" s="103"/>
      <c r="BSS9" s="103"/>
      <c r="BST9" s="103"/>
      <c r="BSU9" s="103"/>
      <c r="BSV9" s="103"/>
      <c r="BSW9" s="103"/>
      <c r="BSX9" s="103"/>
      <c r="BSY9" s="103"/>
      <c r="BSZ9" s="103"/>
      <c r="BTA9" s="103"/>
      <c r="BTB9" s="103"/>
      <c r="BTC9" s="103"/>
      <c r="BTD9" s="103"/>
      <c r="BTE9" s="103"/>
      <c r="BTF9" s="103"/>
      <c r="BTG9" s="103"/>
      <c r="BTH9" s="103"/>
      <c r="BTI9" s="103"/>
      <c r="BTJ9" s="103"/>
      <c r="BTK9" s="103"/>
      <c r="BTL9" s="103"/>
      <c r="BTM9" s="103"/>
      <c r="BTN9" s="103"/>
      <c r="BTO9" s="103"/>
      <c r="BTP9" s="103"/>
      <c r="BTQ9" s="103"/>
      <c r="BTR9" s="103"/>
      <c r="BTS9" s="103"/>
      <c r="BTT9" s="103"/>
      <c r="BTU9" s="103"/>
      <c r="BTV9" s="103"/>
      <c r="BTW9" s="103"/>
      <c r="BTX9" s="103"/>
      <c r="BTY9" s="103"/>
      <c r="BTZ9" s="103"/>
      <c r="BUA9" s="103"/>
      <c r="BUB9" s="103"/>
      <c r="BUC9" s="103"/>
      <c r="BUD9" s="103"/>
      <c r="BUE9" s="103"/>
      <c r="BUF9" s="103"/>
      <c r="BUG9" s="103"/>
      <c r="BUH9" s="103"/>
      <c r="BUI9" s="103"/>
      <c r="BUJ9" s="103"/>
      <c r="BUK9" s="103"/>
      <c r="BUL9" s="103"/>
      <c r="BUM9" s="103"/>
      <c r="BUN9" s="103"/>
      <c r="BUO9" s="103"/>
      <c r="BUP9" s="103"/>
      <c r="BUQ9" s="103"/>
      <c r="BUR9" s="103"/>
      <c r="BUS9" s="103"/>
      <c r="BUT9" s="103"/>
      <c r="BUU9" s="103"/>
      <c r="BUV9" s="103"/>
      <c r="BUW9" s="103"/>
      <c r="BUX9" s="103"/>
      <c r="BUY9" s="103"/>
      <c r="BUZ9" s="103"/>
      <c r="BVA9" s="103"/>
      <c r="BVB9" s="103"/>
      <c r="BVC9" s="103"/>
      <c r="BVD9" s="103"/>
      <c r="BVE9" s="103"/>
      <c r="BVF9" s="103"/>
      <c r="BVG9" s="103"/>
      <c r="BVH9" s="103"/>
      <c r="BVI9" s="103"/>
      <c r="BVJ9" s="103"/>
      <c r="BVK9" s="103"/>
      <c r="BVL9" s="103"/>
      <c r="BVM9" s="103"/>
      <c r="BVN9" s="103"/>
      <c r="BVO9" s="103"/>
      <c r="BVP9" s="103"/>
      <c r="BVQ9" s="103"/>
      <c r="BVR9" s="103"/>
      <c r="BVS9" s="103"/>
      <c r="BVT9" s="103"/>
      <c r="BVU9" s="103"/>
      <c r="BVV9" s="103"/>
      <c r="BVW9" s="103"/>
      <c r="BVX9" s="103"/>
      <c r="BVY9" s="103"/>
      <c r="BVZ9" s="103"/>
      <c r="BWA9" s="103"/>
      <c r="BWB9" s="103"/>
      <c r="BWC9" s="103"/>
      <c r="BWD9" s="103"/>
      <c r="BWE9" s="103"/>
      <c r="BWF9" s="103"/>
      <c r="BWG9" s="103"/>
      <c r="BWH9" s="103"/>
      <c r="BWI9" s="103"/>
      <c r="BWJ9" s="103"/>
      <c r="BWK9" s="103"/>
      <c r="BWL9" s="103"/>
      <c r="BWM9" s="103"/>
      <c r="BWN9" s="103"/>
      <c r="BWO9" s="103"/>
      <c r="BWP9" s="103"/>
      <c r="BWQ9" s="103"/>
      <c r="BWR9" s="103"/>
      <c r="BWS9" s="103"/>
      <c r="BWT9" s="103"/>
      <c r="BWU9" s="103"/>
      <c r="BWV9" s="103"/>
      <c r="BWW9" s="103"/>
      <c r="BWX9" s="103"/>
      <c r="BWY9" s="103"/>
      <c r="BWZ9" s="103"/>
      <c r="BXA9" s="103"/>
      <c r="BXB9" s="103"/>
      <c r="BXC9" s="103"/>
      <c r="BXD9" s="103"/>
      <c r="BXE9" s="103"/>
      <c r="BXF9" s="103"/>
      <c r="BXG9" s="103"/>
      <c r="BXH9" s="103"/>
      <c r="BXI9" s="103"/>
      <c r="BXJ9" s="103"/>
      <c r="BXK9" s="103"/>
      <c r="BXL9" s="103"/>
      <c r="BXM9" s="103"/>
      <c r="BXN9" s="103"/>
      <c r="BXO9" s="103"/>
      <c r="BXP9" s="103"/>
      <c r="BXQ9" s="103"/>
      <c r="BXR9" s="103"/>
      <c r="BXS9" s="103"/>
      <c r="BXT9" s="103"/>
      <c r="BXU9" s="103"/>
      <c r="BXV9" s="103"/>
      <c r="BXW9" s="103"/>
      <c r="BXX9" s="103"/>
      <c r="BXY9" s="103"/>
      <c r="BXZ9" s="103"/>
      <c r="BYA9" s="103"/>
      <c r="BYB9" s="103"/>
      <c r="BYC9" s="103"/>
      <c r="BYD9" s="103"/>
      <c r="BYE9" s="103"/>
      <c r="BYF9" s="103"/>
      <c r="BYG9" s="103"/>
      <c r="BYH9" s="103"/>
      <c r="BYI9" s="103"/>
      <c r="BYJ9" s="103"/>
      <c r="BYK9" s="103"/>
      <c r="BYL9" s="103"/>
      <c r="BYM9" s="103"/>
      <c r="BYN9" s="103"/>
      <c r="BYO9" s="103"/>
      <c r="BYP9" s="103"/>
      <c r="BYQ9" s="103"/>
      <c r="BYR9" s="103"/>
      <c r="BYS9" s="103"/>
      <c r="BYT9" s="103"/>
      <c r="BYU9" s="103"/>
      <c r="BYV9" s="103"/>
      <c r="BYW9" s="103"/>
      <c r="BYX9" s="103"/>
      <c r="BYY9" s="103"/>
      <c r="BYZ9" s="103"/>
      <c r="BZA9" s="103"/>
      <c r="BZB9" s="103"/>
      <c r="BZC9" s="103"/>
      <c r="BZD9" s="103"/>
      <c r="BZE9" s="103"/>
      <c r="BZF9" s="103"/>
      <c r="BZG9" s="103"/>
      <c r="BZH9" s="103"/>
      <c r="BZI9" s="103"/>
      <c r="BZJ9" s="103"/>
      <c r="BZK9" s="103"/>
      <c r="BZL9" s="103"/>
      <c r="BZM9" s="103"/>
      <c r="BZN9" s="103"/>
      <c r="BZO9" s="103"/>
      <c r="BZP9" s="103"/>
      <c r="BZQ9" s="103"/>
      <c r="BZR9" s="103"/>
      <c r="BZS9" s="103"/>
      <c r="BZT9" s="103"/>
      <c r="BZU9" s="103"/>
      <c r="BZV9" s="103"/>
      <c r="BZW9" s="103"/>
      <c r="BZX9" s="103"/>
      <c r="BZY9" s="103"/>
      <c r="BZZ9" s="103"/>
      <c r="CAA9" s="103"/>
      <c r="CAB9" s="103"/>
      <c r="CAC9" s="103"/>
      <c r="CAD9" s="103"/>
      <c r="CAE9" s="103"/>
      <c r="CAF9" s="103"/>
      <c r="CAG9" s="103"/>
      <c r="CAH9" s="103"/>
      <c r="CAI9" s="103"/>
      <c r="CAJ9" s="103"/>
      <c r="CAK9" s="103"/>
      <c r="CAL9" s="103"/>
      <c r="CAM9" s="103"/>
      <c r="CAN9" s="103"/>
      <c r="CAO9" s="103"/>
      <c r="CAP9" s="103"/>
      <c r="CAQ9" s="103"/>
      <c r="CAR9" s="103"/>
      <c r="CAS9" s="103"/>
      <c r="CAT9" s="103"/>
      <c r="CAU9" s="103"/>
      <c r="CAV9" s="103"/>
      <c r="CAW9" s="103"/>
      <c r="CAX9" s="103"/>
      <c r="CAY9" s="103"/>
      <c r="CAZ9" s="103"/>
      <c r="CBA9" s="103"/>
      <c r="CBB9" s="103"/>
      <c r="CBC9" s="103"/>
      <c r="CBD9" s="103"/>
      <c r="CBE9" s="103"/>
      <c r="CBF9" s="103"/>
      <c r="CBG9" s="103"/>
      <c r="CBH9" s="103"/>
      <c r="CBI9" s="103"/>
      <c r="CBJ9" s="103"/>
      <c r="CBK9" s="103"/>
      <c r="CBL9" s="103"/>
      <c r="CBM9" s="103"/>
      <c r="CBN9" s="103"/>
      <c r="CBO9" s="103"/>
      <c r="CBP9" s="103"/>
      <c r="CBQ9" s="103"/>
      <c r="CBR9" s="103"/>
      <c r="CBS9" s="103"/>
      <c r="CBT9" s="103"/>
      <c r="CBU9" s="103"/>
      <c r="CBV9" s="103"/>
      <c r="CBW9" s="103"/>
      <c r="CBX9" s="103"/>
      <c r="CBY9" s="103"/>
      <c r="CBZ9" s="103"/>
      <c r="CCA9" s="103"/>
      <c r="CCB9" s="103"/>
      <c r="CCC9" s="103"/>
      <c r="CCD9" s="103"/>
      <c r="CCE9" s="103"/>
      <c r="CCF9" s="103"/>
      <c r="CCG9" s="103"/>
      <c r="CCH9" s="103"/>
      <c r="CCI9" s="103"/>
      <c r="CCJ9" s="103"/>
      <c r="CCK9" s="103"/>
      <c r="CCL9" s="103"/>
      <c r="CCM9" s="103"/>
      <c r="CCN9" s="103"/>
      <c r="CCO9" s="103"/>
      <c r="CCP9" s="103"/>
      <c r="CCQ9" s="103"/>
      <c r="CCR9" s="103"/>
      <c r="CCS9" s="103"/>
      <c r="CCT9" s="103"/>
      <c r="CCU9" s="103"/>
      <c r="CCV9" s="103"/>
      <c r="CCW9" s="103"/>
      <c r="CCX9" s="103"/>
      <c r="CCY9" s="103"/>
      <c r="CCZ9" s="103"/>
      <c r="CDA9" s="103"/>
      <c r="CDB9" s="103"/>
      <c r="CDC9" s="103"/>
      <c r="CDD9" s="103"/>
      <c r="CDE9" s="103"/>
      <c r="CDF9" s="103"/>
      <c r="CDG9" s="103"/>
      <c r="CDH9" s="103"/>
      <c r="CDI9" s="103"/>
      <c r="CDJ9" s="103"/>
      <c r="CDK9" s="103"/>
      <c r="CDL9" s="103"/>
      <c r="CDM9" s="103"/>
      <c r="CDN9" s="103"/>
      <c r="CDO9" s="103"/>
      <c r="CDP9" s="103"/>
      <c r="CDQ9" s="103"/>
      <c r="CDR9" s="103"/>
      <c r="CDS9" s="103"/>
      <c r="CDT9" s="103"/>
      <c r="CDU9" s="103"/>
      <c r="CDV9" s="103"/>
      <c r="CDW9" s="103"/>
      <c r="CDX9" s="103"/>
      <c r="CDY9" s="103"/>
      <c r="CDZ9" s="103"/>
      <c r="CEA9" s="103"/>
      <c r="CEB9" s="103"/>
      <c r="CEC9" s="103"/>
      <c r="CED9" s="103"/>
      <c r="CEE9" s="103"/>
      <c r="CEF9" s="103"/>
      <c r="CEG9" s="103"/>
      <c r="CEH9" s="103"/>
      <c r="CEI9" s="103"/>
      <c r="CEJ9" s="103"/>
      <c r="CEK9" s="103"/>
      <c r="CEL9" s="103"/>
      <c r="CEM9" s="103"/>
      <c r="CEN9" s="103"/>
      <c r="CEO9" s="103"/>
      <c r="CEP9" s="103"/>
      <c r="CEQ9" s="103"/>
      <c r="CER9" s="103"/>
      <c r="CES9" s="103"/>
      <c r="CET9" s="103"/>
      <c r="CEU9" s="103"/>
      <c r="CEV9" s="103"/>
      <c r="CEW9" s="103"/>
      <c r="CEX9" s="103"/>
      <c r="CEY9" s="103"/>
      <c r="CEZ9" s="103"/>
      <c r="CFA9" s="103"/>
      <c r="CFB9" s="103"/>
      <c r="CFC9" s="103"/>
      <c r="CFD9" s="103"/>
      <c r="CFE9" s="103"/>
      <c r="CFF9" s="103"/>
      <c r="CFG9" s="103"/>
      <c r="CFH9" s="103"/>
      <c r="CFI9" s="103"/>
      <c r="CFJ9" s="103"/>
      <c r="CFK9" s="103"/>
      <c r="CFL9" s="103"/>
      <c r="CFM9" s="103"/>
      <c r="CFN9" s="103"/>
      <c r="CFO9" s="103"/>
      <c r="CFP9" s="103"/>
      <c r="CFQ9" s="103"/>
      <c r="CFR9" s="103"/>
      <c r="CFS9" s="103"/>
      <c r="CFT9" s="103"/>
      <c r="CFU9" s="103"/>
      <c r="CFV9" s="103"/>
      <c r="CFW9" s="103"/>
      <c r="CFX9" s="103"/>
      <c r="CFY9" s="103"/>
      <c r="CFZ9" s="103"/>
      <c r="CGA9" s="103"/>
      <c r="CGB9" s="103"/>
      <c r="CGC9" s="103"/>
      <c r="CGD9" s="103"/>
      <c r="CGE9" s="103"/>
      <c r="CGF9" s="103"/>
      <c r="CGG9" s="103"/>
      <c r="CGH9" s="103"/>
      <c r="CGI9" s="103"/>
      <c r="CGJ9" s="103"/>
      <c r="CGK9" s="103"/>
      <c r="CGL9" s="103"/>
      <c r="CGM9" s="103"/>
      <c r="CGN9" s="103"/>
      <c r="CGO9" s="103"/>
      <c r="CGP9" s="103"/>
      <c r="CGQ9" s="103"/>
      <c r="CGR9" s="103"/>
      <c r="CGS9" s="103"/>
      <c r="CGT9" s="103"/>
      <c r="CGU9" s="103"/>
      <c r="CGV9" s="103"/>
      <c r="CGW9" s="103"/>
      <c r="CGX9" s="103"/>
      <c r="CGY9" s="103"/>
      <c r="CGZ9" s="103"/>
      <c r="CHA9" s="103"/>
      <c r="CHB9" s="103"/>
      <c r="CHC9" s="103"/>
      <c r="CHD9" s="103"/>
      <c r="CHE9" s="103"/>
      <c r="CHF9" s="103"/>
      <c r="CHG9" s="103"/>
      <c r="CHH9" s="103"/>
      <c r="CHI9" s="103"/>
      <c r="CHJ9" s="103"/>
      <c r="CHK9" s="103"/>
      <c r="CHL9" s="103"/>
      <c r="CHM9" s="103"/>
      <c r="CHN9" s="103"/>
      <c r="CHO9" s="103"/>
      <c r="CHP9" s="103"/>
      <c r="CHQ9" s="103"/>
      <c r="CHR9" s="103"/>
      <c r="CHS9" s="103"/>
      <c r="CHT9" s="103"/>
      <c r="CHU9" s="103"/>
      <c r="CHV9" s="103"/>
      <c r="CHW9" s="103"/>
      <c r="CHX9" s="103"/>
      <c r="CHY9" s="103"/>
      <c r="CHZ9" s="103"/>
      <c r="CIA9" s="103"/>
      <c r="CIB9" s="103"/>
      <c r="CIC9" s="103"/>
      <c r="CID9" s="103"/>
      <c r="CIE9" s="103"/>
      <c r="CIF9" s="103"/>
      <c r="CIG9" s="103"/>
      <c r="CIH9" s="103"/>
      <c r="CII9" s="103"/>
      <c r="CIJ9" s="103"/>
      <c r="CIK9" s="103"/>
      <c r="CIL9" s="103"/>
      <c r="CIM9" s="103"/>
      <c r="CIN9" s="103"/>
      <c r="CIO9" s="103"/>
      <c r="CIP9" s="103"/>
      <c r="CIQ9" s="103"/>
      <c r="CIR9" s="103"/>
      <c r="CIS9" s="103"/>
      <c r="CIT9" s="103"/>
      <c r="CIU9" s="103"/>
      <c r="CIV9" s="103"/>
      <c r="CIW9" s="103"/>
      <c r="CIX9" s="103"/>
      <c r="CIY9" s="103"/>
      <c r="CIZ9" s="103"/>
      <c r="CJA9" s="103"/>
      <c r="CJB9" s="103"/>
      <c r="CJC9" s="103"/>
      <c r="CJD9" s="103"/>
      <c r="CJE9" s="103"/>
      <c r="CJF9" s="103"/>
      <c r="CJG9" s="103"/>
      <c r="CJH9" s="103"/>
      <c r="CJI9" s="103"/>
      <c r="CJJ9" s="103"/>
      <c r="CJK9" s="103"/>
      <c r="CJL9" s="103"/>
      <c r="CJM9" s="103"/>
      <c r="CJN9" s="103"/>
      <c r="CJO9" s="103"/>
      <c r="CJP9" s="103"/>
      <c r="CJQ9" s="103"/>
      <c r="CJR9" s="103"/>
      <c r="CJS9" s="103"/>
      <c r="CJT9" s="103"/>
      <c r="CJU9" s="103"/>
      <c r="CJV9" s="103"/>
      <c r="CJW9" s="103"/>
      <c r="CJX9" s="103"/>
      <c r="CJY9" s="103"/>
      <c r="CJZ9" s="103"/>
      <c r="CKA9" s="103"/>
      <c r="CKB9" s="103"/>
      <c r="CKC9" s="103"/>
      <c r="CKD9" s="103"/>
      <c r="CKE9" s="103"/>
      <c r="CKF9" s="103"/>
      <c r="CKG9" s="103"/>
      <c r="CKH9" s="103"/>
      <c r="CKI9" s="103"/>
      <c r="CKJ9" s="103"/>
      <c r="CKK9" s="103"/>
      <c r="CKL9" s="103"/>
      <c r="CKM9" s="103"/>
      <c r="CKN9" s="103"/>
      <c r="CKO9" s="103"/>
      <c r="CKP9" s="103"/>
      <c r="CKQ9" s="103"/>
      <c r="CKR9" s="103"/>
      <c r="CKS9" s="103"/>
      <c r="CKT9" s="103"/>
      <c r="CKU9" s="103"/>
      <c r="CKV9" s="103"/>
      <c r="CKW9" s="103"/>
      <c r="CKX9" s="103"/>
      <c r="CKY9" s="103"/>
      <c r="CKZ9" s="103"/>
      <c r="CLA9" s="103"/>
      <c r="CLB9" s="103"/>
      <c r="CLC9" s="103"/>
      <c r="CLD9" s="103"/>
      <c r="CLE9" s="103"/>
      <c r="CLF9" s="103"/>
      <c r="CLG9" s="103"/>
      <c r="CLH9" s="103"/>
      <c r="CLI9" s="103"/>
      <c r="CLJ9" s="103"/>
      <c r="CLK9" s="103"/>
      <c r="CLL9" s="103"/>
      <c r="CLM9" s="103"/>
      <c r="CLN9" s="103"/>
      <c r="CLO9" s="103"/>
      <c r="CLP9" s="103"/>
      <c r="CLQ9" s="103"/>
      <c r="CLR9" s="103"/>
      <c r="CLS9" s="103"/>
      <c r="CLT9" s="103"/>
      <c r="CLU9" s="103"/>
      <c r="CLV9" s="103"/>
      <c r="CLW9" s="103"/>
      <c r="CLX9" s="103"/>
      <c r="CLY9" s="103"/>
      <c r="CLZ9" s="103"/>
      <c r="CMA9" s="103"/>
      <c r="CMB9" s="103"/>
      <c r="CMC9" s="103"/>
      <c r="CMD9" s="103"/>
      <c r="CME9" s="103"/>
      <c r="CMF9" s="103"/>
      <c r="CMG9" s="103"/>
      <c r="CMH9" s="103"/>
      <c r="CMI9" s="103"/>
      <c r="CMJ9" s="103"/>
      <c r="CMK9" s="103"/>
      <c r="CML9" s="103"/>
      <c r="CMM9" s="103"/>
      <c r="CMN9" s="103"/>
      <c r="CMO9" s="103"/>
      <c r="CMP9" s="103"/>
      <c r="CMQ9" s="103"/>
      <c r="CMR9" s="103"/>
      <c r="CMS9" s="103"/>
      <c r="CMT9" s="103"/>
      <c r="CMU9" s="103"/>
      <c r="CMV9" s="103"/>
      <c r="CMW9" s="103"/>
      <c r="CMX9" s="103"/>
      <c r="CMY9" s="103"/>
      <c r="CMZ9" s="103"/>
      <c r="CNA9" s="103"/>
      <c r="CNB9" s="103"/>
      <c r="CNC9" s="103"/>
      <c r="CND9" s="103"/>
      <c r="CNE9" s="103"/>
      <c r="CNF9" s="103"/>
      <c r="CNG9" s="103"/>
      <c r="CNH9" s="103"/>
      <c r="CNI9" s="103"/>
      <c r="CNJ9" s="103"/>
      <c r="CNK9" s="103"/>
      <c r="CNL9" s="103"/>
      <c r="CNM9" s="103"/>
      <c r="CNN9" s="103"/>
      <c r="CNO9" s="103"/>
      <c r="CNP9" s="103"/>
      <c r="CNQ9" s="103"/>
      <c r="CNR9" s="103"/>
      <c r="CNS9" s="103"/>
      <c r="CNT9" s="103"/>
      <c r="CNU9" s="103"/>
      <c r="CNV9" s="103"/>
      <c r="CNW9" s="103"/>
      <c r="CNX9" s="103"/>
      <c r="CNY9" s="103"/>
      <c r="CNZ9" s="103"/>
      <c r="COA9" s="103"/>
      <c r="COB9" s="103"/>
      <c r="COC9" s="103"/>
      <c r="COD9" s="103"/>
      <c r="COE9" s="103"/>
      <c r="COF9" s="103"/>
      <c r="COG9" s="103"/>
      <c r="COH9" s="103"/>
      <c r="COI9" s="103"/>
      <c r="COJ9" s="103"/>
      <c r="COK9" s="103"/>
      <c r="COL9" s="103"/>
      <c r="COM9" s="103"/>
      <c r="CON9" s="103"/>
      <c r="COO9" s="103"/>
      <c r="COP9" s="103"/>
      <c r="COQ9" s="103"/>
      <c r="COR9" s="103"/>
      <c r="COS9" s="103"/>
      <c r="COT9" s="103"/>
      <c r="COU9" s="103"/>
      <c r="COV9" s="103"/>
      <c r="COW9" s="103"/>
      <c r="COX9" s="103"/>
      <c r="COY9" s="103"/>
      <c r="COZ9" s="103"/>
      <c r="CPA9" s="103"/>
      <c r="CPB9" s="103"/>
      <c r="CPC9" s="103"/>
      <c r="CPD9" s="103"/>
      <c r="CPE9" s="103"/>
      <c r="CPF9" s="103"/>
      <c r="CPG9" s="103"/>
      <c r="CPH9" s="103"/>
      <c r="CPI9" s="103"/>
      <c r="CPJ9" s="103"/>
      <c r="CPK9" s="103"/>
      <c r="CPL9" s="103"/>
      <c r="CPM9" s="103"/>
      <c r="CPN9" s="103"/>
      <c r="CPO9" s="103"/>
      <c r="CPP9" s="103"/>
      <c r="CPQ9" s="103"/>
      <c r="CPR9" s="103"/>
      <c r="CPS9" s="103"/>
      <c r="CPT9" s="103"/>
      <c r="CPU9" s="103"/>
      <c r="CPV9" s="103"/>
      <c r="CPW9" s="103"/>
      <c r="CPX9" s="103"/>
      <c r="CPY9" s="103"/>
      <c r="CPZ9" s="103"/>
      <c r="CQA9" s="103"/>
      <c r="CQB9" s="103"/>
      <c r="CQC9" s="103"/>
      <c r="CQD9" s="103"/>
      <c r="CQE9" s="103"/>
      <c r="CQF9" s="103"/>
      <c r="CQG9" s="103"/>
      <c r="CQH9" s="103"/>
      <c r="CQI9" s="103"/>
      <c r="CQJ9" s="103"/>
      <c r="CQK9" s="103"/>
      <c r="CQL9" s="103"/>
      <c r="CQM9" s="103"/>
      <c r="CQN9" s="103"/>
      <c r="CQO9" s="103"/>
      <c r="CQP9" s="103"/>
      <c r="CQQ9" s="103"/>
      <c r="CQR9" s="103"/>
      <c r="CQS9" s="103"/>
      <c r="CQT9" s="103"/>
      <c r="CQU9" s="103"/>
      <c r="CQV9" s="103"/>
      <c r="CQW9" s="103"/>
      <c r="CQX9" s="103"/>
      <c r="CQY9" s="103"/>
      <c r="CQZ9" s="103"/>
      <c r="CRA9" s="103"/>
      <c r="CRB9" s="103"/>
      <c r="CRC9" s="103"/>
      <c r="CRD9" s="103"/>
      <c r="CRE9" s="103"/>
      <c r="CRF9" s="103"/>
      <c r="CRG9" s="103"/>
      <c r="CRH9" s="103"/>
      <c r="CRI9" s="103"/>
      <c r="CRJ9" s="103"/>
      <c r="CRK9" s="103"/>
      <c r="CRL9" s="103"/>
      <c r="CRM9" s="103"/>
      <c r="CRN9" s="103"/>
      <c r="CRO9" s="103"/>
      <c r="CRP9" s="103"/>
      <c r="CRQ9" s="103"/>
      <c r="CRR9" s="103"/>
      <c r="CRS9" s="103"/>
      <c r="CRT9" s="103"/>
      <c r="CRU9" s="103"/>
      <c r="CRV9" s="103"/>
      <c r="CRW9" s="103"/>
      <c r="CRX9" s="103"/>
      <c r="CRY9" s="103"/>
      <c r="CRZ9" s="103"/>
      <c r="CSA9" s="103"/>
      <c r="CSB9" s="103"/>
      <c r="CSC9" s="103"/>
      <c r="CSD9" s="103"/>
      <c r="CSE9" s="103"/>
      <c r="CSF9" s="103"/>
      <c r="CSG9" s="103"/>
      <c r="CSH9" s="103"/>
      <c r="CSI9" s="103"/>
      <c r="CSJ9" s="103"/>
      <c r="CSK9" s="103"/>
      <c r="CSL9" s="103"/>
      <c r="CSM9" s="103"/>
      <c r="CSN9" s="103"/>
      <c r="CSO9" s="103"/>
      <c r="CSP9" s="103"/>
      <c r="CSQ9" s="103"/>
      <c r="CSR9" s="103"/>
      <c r="CSS9" s="103"/>
      <c r="CST9" s="103"/>
      <c r="CSU9" s="103"/>
      <c r="CSV9" s="103"/>
      <c r="CSW9" s="103"/>
      <c r="CSX9" s="103"/>
      <c r="CSY9" s="103"/>
      <c r="CSZ9" s="103"/>
      <c r="CTA9" s="103"/>
      <c r="CTB9" s="103"/>
      <c r="CTC9" s="103"/>
      <c r="CTD9" s="103"/>
      <c r="CTE9" s="103"/>
      <c r="CTF9" s="103"/>
      <c r="CTG9" s="103"/>
      <c r="CTH9" s="103"/>
      <c r="CTI9" s="103"/>
      <c r="CTJ9" s="103"/>
      <c r="CTK9" s="103"/>
      <c r="CTL9" s="103"/>
      <c r="CTM9" s="103"/>
      <c r="CTN9" s="103"/>
      <c r="CTO9" s="103"/>
      <c r="CTP9" s="103"/>
      <c r="CTQ9" s="103"/>
      <c r="CTR9" s="103"/>
      <c r="CTS9" s="103"/>
      <c r="CTT9" s="103"/>
      <c r="CTU9" s="103"/>
      <c r="CTV9" s="103"/>
      <c r="CTW9" s="103"/>
      <c r="CTX9" s="103"/>
      <c r="CTY9" s="103"/>
      <c r="CTZ9" s="103"/>
      <c r="CUA9" s="103"/>
      <c r="CUB9" s="103"/>
      <c r="CUC9" s="103"/>
      <c r="CUD9" s="103"/>
      <c r="CUE9" s="103"/>
      <c r="CUF9" s="103"/>
      <c r="CUG9" s="103"/>
      <c r="CUH9" s="103"/>
      <c r="CUI9" s="103"/>
      <c r="CUJ9" s="103"/>
      <c r="CUK9" s="103"/>
      <c r="CUL9" s="103"/>
      <c r="CUM9" s="103"/>
      <c r="CUN9" s="103"/>
      <c r="CUO9" s="103"/>
      <c r="CUP9" s="103"/>
      <c r="CUQ9" s="103"/>
      <c r="CUR9" s="103"/>
      <c r="CUS9" s="103"/>
      <c r="CUT9" s="103"/>
      <c r="CUU9" s="103"/>
      <c r="CUV9" s="103"/>
      <c r="CUW9" s="103"/>
      <c r="CUX9" s="103"/>
      <c r="CUY9" s="103"/>
      <c r="CUZ9" s="103"/>
      <c r="CVA9" s="103"/>
      <c r="CVB9" s="103"/>
      <c r="CVC9" s="103"/>
      <c r="CVD9" s="103"/>
      <c r="CVE9" s="103"/>
      <c r="CVF9" s="103"/>
      <c r="CVG9" s="103"/>
      <c r="CVH9" s="103"/>
      <c r="CVI9" s="103"/>
      <c r="CVJ9" s="103"/>
      <c r="CVK9" s="103"/>
      <c r="CVL9" s="103"/>
      <c r="CVM9" s="103"/>
      <c r="CVN9" s="103"/>
      <c r="CVO9" s="103"/>
      <c r="CVP9" s="103"/>
      <c r="CVQ9" s="103"/>
      <c r="CVR9" s="103"/>
      <c r="CVS9" s="103"/>
      <c r="CVT9" s="103"/>
      <c r="CVU9" s="103"/>
      <c r="CVV9" s="103"/>
      <c r="CVW9" s="103"/>
      <c r="CVX9" s="103"/>
      <c r="CVY9" s="103"/>
      <c r="CVZ9" s="103"/>
      <c r="CWA9" s="103"/>
      <c r="CWB9" s="103"/>
      <c r="CWC9" s="103"/>
      <c r="CWD9" s="103"/>
      <c r="CWE9" s="103"/>
      <c r="CWF9" s="103"/>
      <c r="CWG9" s="103"/>
      <c r="CWH9" s="103"/>
      <c r="CWI9" s="103"/>
      <c r="CWJ9" s="103"/>
      <c r="CWK9" s="103"/>
      <c r="CWL9" s="103"/>
      <c r="CWM9" s="103"/>
      <c r="CWN9" s="103"/>
      <c r="CWO9" s="103"/>
      <c r="CWP9" s="103"/>
      <c r="CWQ9" s="103"/>
      <c r="CWR9" s="103"/>
      <c r="CWS9" s="103"/>
      <c r="CWT9" s="103"/>
      <c r="CWU9" s="103"/>
      <c r="CWV9" s="103"/>
      <c r="CWW9" s="103"/>
      <c r="CWX9" s="103"/>
      <c r="CWY9" s="103"/>
      <c r="CWZ9" s="103"/>
      <c r="CXA9" s="103"/>
      <c r="CXB9" s="103"/>
      <c r="CXC9" s="103"/>
      <c r="CXD9" s="103"/>
      <c r="CXE9" s="103"/>
      <c r="CXF9" s="103"/>
      <c r="CXG9" s="103"/>
      <c r="CXH9" s="103"/>
      <c r="CXI9" s="103"/>
      <c r="CXJ9" s="103"/>
      <c r="CXK9" s="103"/>
      <c r="CXL9" s="103"/>
      <c r="CXM9" s="103"/>
      <c r="CXN9" s="103"/>
      <c r="CXO9" s="103"/>
      <c r="CXP9" s="103"/>
      <c r="CXQ9" s="103"/>
      <c r="CXR9" s="103"/>
      <c r="CXS9" s="103"/>
      <c r="CXT9" s="103"/>
      <c r="CXU9" s="103"/>
      <c r="CXV9" s="103"/>
      <c r="CXW9" s="103"/>
      <c r="CXX9" s="103"/>
      <c r="CXY9" s="103"/>
      <c r="CXZ9" s="103"/>
      <c r="CYA9" s="103"/>
      <c r="CYB9" s="103"/>
      <c r="CYC9" s="103"/>
      <c r="CYD9" s="103"/>
      <c r="CYE9" s="103"/>
      <c r="CYF9" s="103"/>
      <c r="CYG9" s="103"/>
      <c r="CYH9" s="103"/>
      <c r="CYI9" s="103"/>
      <c r="CYJ9" s="103"/>
      <c r="CYK9" s="103"/>
      <c r="CYL9" s="103"/>
      <c r="CYM9" s="103"/>
      <c r="CYN9" s="103"/>
      <c r="CYO9" s="103"/>
      <c r="CYP9" s="103"/>
      <c r="CYQ9" s="103"/>
      <c r="CYR9" s="103"/>
      <c r="CYS9" s="103"/>
      <c r="CYT9" s="103"/>
      <c r="CYU9" s="103"/>
      <c r="CYV9" s="103"/>
      <c r="CYW9" s="103"/>
      <c r="CYX9" s="103"/>
      <c r="CYY9" s="103"/>
      <c r="CYZ9" s="103"/>
      <c r="CZA9" s="103"/>
      <c r="CZB9" s="103"/>
      <c r="CZC9" s="103"/>
      <c r="CZD9" s="103"/>
      <c r="CZE9" s="103"/>
      <c r="CZF9" s="103"/>
      <c r="CZG9" s="103"/>
      <c r="CZH9" s="103"/>
      <c r="CZI9" s="103"/>
      <c r="CZJ9" s="103"/>
      <c r="CZK9" s="103"/>
      <c r="CZL9" s="103"/>
      <c r="CZM9" s="103"/>
      <c r="CZN9" s="103"/>
      <c r="CZO9" s="103"/>
      <c r="CZP9" s="103"/>
      <c r="CZQ9" s="103"/>
      <c r="CZR9" s="103"/>
      <c r="CZS9" s="103"/>
      <c r="CZT9" s="103"/>
      <c r="CZU9" s="103"/>
      <c r="CZV9" s="103"/>
      <c r="CZW9" s="103"/>
      <c r="CZX9" s="103"/>
      <c r="CZY9" s="103"/>
      <c r="CZZ9" s="103"/>
      <c r="DAA9" s="103"/>
      <c r="DAB9" s="103"/>
      <c r="DAC9" s="103"/>
      <c r="DAD9" s="103"/>
      <c r="DAE9" s="103"/>
      <c r="DAF9" s="103"/>
      <c r="DAG9" s="103"/>
      <c r="DAH9" s="103"/>
      <c r="DAI9" s="103"/>
      <c r="DAJ9" s="103"/>
      <c r="DAK9" s="103"/>
      <c r="DAL9" s="103"/>
      <c r="DAM9" s="103"/>
      <c r="DAN9" s="103"/>
      <c r="DAO9" s="103"/>
      <c r="DAP9" s="103"/>
      <c r="DAQ9" s="103"/>
      <c r="DAR9" s="103"/>
      <c r="DAS9" s="103"/>
      <c r="DAT9" s="103"/>
      <c r="DAU9" s="103"/>
      <c r="DAV9" s="103"/>
      <c r="DAW9" s="103"/>
      <c r="DAX9" s="103"/>
      <c r="DAY9" s="103"/>
      <c r="DAZ9" s="103"/>
      <c r="DBA9" s="103"/>
      <c r="DBB9" s="103"/>
      <c r="DBC9" s="103"/>
      <c r="DBD9" s="103"/>
      <c r="DBE9" s="103"/>
      <c r="DBF9" s="103"/>
      <c r="DBG9" s="103"/>
      <c r="DBH9" s="103"/>
      <c r="DBI9" s="103"/>
      <c r="DBJ9" s="103"/>
      <c r="DBK9" s="103"/>
      <c r="DBL9" s="103"/>
      <c r="DBM9" s="103"/>
      <c r="DBN9" s="103"/>
      <c r="DBO9" s="103"/>
      <c r="DBP9" s="103"/>
      <c r="DBQ9" s="103"/>
      <c r="DBR9" s="103"/>
      <c r="DBS9" s="103"/>
      <c r="DBT9" s="103"/>
      <c r="DBU9" s="103"/>
      <c r="DBV9" s="103"/>
      <c r="DBW9" s="103"/>
      <c r="DBX9" s="103"/>
      <c r="DBY9" s="103"/>
      <c r="DBZ9" s="103"/>
      <c r="DCA9" s="103"/>
      <c r="DCB9" s="103"/>
      <c r="DCC9" s="103"/>
      <c r="DCD9" s="103"/>
      <c r="DCE9" s="103"/>
      <c r="DCF9" s="103"/>
      <c r="DCG9" s="103"/>
      <c r="DCH9" s="103"/>
      <c r="DCI9" s="103"/>
      <c r="DCJ9" s="103"/>
      <c r="DCK9" s="103"/>
      <c r="DCL9" s="103"/>
      <c r="DCM9" s="103"/>
      <c r="DCN9" s="103"/>
      <c r="DCO9" s="103"/>
      <c r="DCP9" s="103"/>
      <c r="DCQ9" s="103"/>
      <c r="DCR9" s="103"/>
      <c r="DCS9" s="103"/>
      <c r="DCT9" s="103"/>
      <c r="DCU9" s="103"/>
      <c r="DCV9" s="103"/>
      <c r="DCW9" s="103"/>
      <c r="DCX9" s="103"/>
      <c r="DCY9" s="103"/>
      <c r="DCZ9" s="103"/>
      <c r="DDA9" s="103"/>
      <c r="DDB9" s="103"/>
      <c r="DDC9" s="103"/>
      <c r="DDD9" s="103"/>
      <c r="DDE9" s="103"/>
      <c r="DDF9" s="103"/>
      <c r="DDG9" s="103"/>
      <c r="DDH9" s="103"/>
      <c r="DDI9" s="103"/>
      <c r="DDJ9" s="103"/>
      <c r="DDK9" s="103"/>
      <c r="DDL9" s="103"/>
      <c r="DDM9" s="103"/>
      <c r="DDN9" s="103"/>
      <c r="DDO9" s="103"/>
      <c r="DDP9" s="103"/>
      <c r="DDQ9" s="103"/>
      <c r="DDR9" s="103"/>
      <c r="DDS9" s="103"/>
      <c r="DDT9" s="103"/>
      <c r="DDU9" s="103"/>
      <c r="DDV9" s="103"/>
      <c r="DDW9" s="103"/>
      <c r="DDX9" s="103"/>
      <c r="DDY9" s="103"/>
      <c r="DDZ9" s="103"/>
      <c r="DEA9" s="103"/>
      <c r="DEB9" s="103"/>
      <c r="DEC9" s="103"/>
      <c r="DED9" s="103"/>
      <c r="DEE9" s="103"/>
      <c r="DEF9" s="103"/>
      <c r="DEG9" s="103"/>
      <c r="DEH9" s="103"/>
      <c r="DEI9" s="103"/>
      <c r="DEJ9" s="103"/>
      <c r="DEK9" s="103"/>
      <c r="DEL9" s="103"/>
      <c r="DEM9" s="103"/>
      <c r="DEN9" s="103"/>
      <c r="DEO9" s="103"/>
      <c r="DEP9" s="103"/>
      <c r="DEQ9" s="103"/>
      <c r="DER9" s="103"/>
      <c r="DES9" s="103"/>
      <c r="DET9" s="103"/>
      <c r="DEU9" s="103"/>
      <c r="DEV9" s="103"/>
      <c r="DEW9" s="103"/>
      <c r="DEX9" s="103"/>
      <c r="DEY9" s="103"/>
      <c r="DEZ9" s="103"/>
      <c r="DFA9" s="103"/>
      <c r="DFB9" s="103"/>
      <c r="DFC9" s="103"/>
      <c r="DFD9" s="103"/>
      <c r="DFE9" s="103"/>
      <c r="DFF9" s="103"/>
      <c r="DFG9" s="103"/>
      <c r="DFH9" s="103"/>
      <c r="DFI9" s="103"/>
      <c r="DFJ9" s="103"/>
      <c r="DFK9" s="103"/>
      <c r="DFL9" s="103"/>
      <c r="DFM9" s="103"/>
      <c r="DFN9" s="103"/>
      <c r="DFO9" s="103"/>
      <c r="DFP9" s="103"/>
      <c r="DFQ9" s="103"/>
      <c r="DFR9" s="103"/>
      <c r="DFS9" s="103"/>
      <c r="DFT9" s="103"/>
      <c r="DFU9" s="103"/>
      <c r="DFV9" s="103"/>
      <c r="DFW9" s="103"/>
      <c r="DFX9" s="103"/>
      <c r="DFY9" s="103"/>
      <c r="DFZ9" s="103"/>
      <c r="DGA9" s="103"/>
      <c r="DGB9" s="103"/>
      <c r="DGC9" s="103"/>
      <c r="DGD9" s="103"/>
      <c r="DGE9" s="103"/>
      <c r="DGF9" s="103"/>
      <c r="DGG9" s="103"/>
      <c r="DGH9" s="103"/>
      <c r="DGI9" s="103"/>
      <c r="DGJ9" s="103"/>
      <c r="DGK9" s="103"/>
      <c r="DGL9" s="103"/>
      <c r="DGM9" s="103"/>
      <c r="DGN9" s="103"/>
      <c r="DGO9" s="103"/>
      <c r="DGP9" s="103"/>
      <c r="DGQ9" s="103"/>
      <c r="DGR9" s="103"/>
      <c r="DGS9" s="103"/>
      <c r="DGT9" s="103"/>
      <c r="DGU9" s="103"/>
      <c r="DGV9" s="103"/>
      <c r="DGW9" s="103"/>
      <c r="DGX9" s="103"/>
      <c r="DGY9" s="103"/>
      <c r="DGZ9" s="103"/>
      <c r="DHA9" s="103"/>
      <c r="DHB9" s="103"/>
      <c r="DHC9" s="103"/>
      <c r="DHD9" s="103"/>
      <c r="DHE9" s="103"/>
      <c r="DHF9" s="103"/>
      <c r="DHG9" s="103"/>
      <c r="DHH9" s="103"/>
      <c r="DHI9" s="103"/>
      <c r="DHJ9" s="103"/>
      <c r="DHK9" s="103"/>
      <c r="DHL9" s="103"/>
      <c r="DHM9" s="103"/>
      <c r="DHN9" s="103"/>
      <c r="DHO9" s="103"/>
      <c r="DHP9" s="103"/>
      <c r="DHQ9" s="103"/>
      <c r="DHR9" s="103"/>
      <c r="DHS9" s="103"/>
      <c r="DHT9" s="103"/>
      <c r="DHU9" s="103"/>
      <c r="DHV9" s="103"/>
      <c r="DHW9" s="103"/>
      <c r="DHX9" s="103"/>
      <c r="DHY9" s="103"/>
      <c r="DHZ9" s="103"/>
      <c r="DIA9" s="103"/>
      <c r="DIB9" s="103"/>
      <c r="DIC9" s="103"/>
      <c r="DID9" s="103"/>
      <c r="DIE9" s="103"/>
      <c r="DIF9" s="103"/>
      <c r="DIG9" s="103"/>
      <c r="DIH9" s="103"/>
      <c r="DII9" s="103"/>
      <c r="DIJ9" s="103"/>
      <c r="DIK9" s="103"/>
      <c r="DIL9" s="103"/>
      <c r="DIM9" s="103"/>
      <c r="DIN9" s="103"/>
      <c r="DIO9" s="103"/>
      <c r="DIP9" s="103"/>
      <c r="DIQ9" s="103"/>
      <c r="DIR9" s="103"/>
      <c r="DIS9" s="103"/>
      <c r="DIT9" s="103"/>
      <c r="DIU9" s="103"/>
      <c r="DIV9" s="103"/>
      <c r="DIW9" s="103"/>
      <c r="DIX9" s="103"/>
      <c r="DIY9" s="103"/>
      <c r="DIZ9" s="103"/>
      <c r="DJA9" s="103"/>
      <c r="DJB9" s="103"/>
      <c r="DJC9" s="103"/>
      <c r="DJD9" s="103"/>
      <c r="DJE9" s="103"/>
      <c r="DJF9" s="103"/>
      <c r="DJG9" s="103"/>
      <c r="DJH9" s="103"/>
      <c r="DJI9" s="103"/>
      <c r="DJJ9" s="103"/>
      <c r="DJK9" s="103"/>
      <c r="DJL9" s="103"/>
      <c r="DJM9" s="103"/>
      <c r="DJN9" s="103"/>
      <c r="DJO9" s="103"/>
      <c r="DJP9" s="103"/>
      <c r="DJQ9" s="103"/>
      <c r="DJR9" s="103"/>
      <c r="DJS9" s="103"/>
      <c r="DJT9" s="103"/>
      <c r="DJU9" s="103"/>
      <c r="DJV9" s="103"/>
      <c r="DJW9" s="103"/>
      <c r="DJX9" s="103"/>
      <c r="DJY9" s="103"/>
      <c r="DJZ9" s="103"/>
      <c r="DKA9" s="103"/>
      <c r="DKB9" s="103"/>
      <c r="DKC9" s="103"/>
      <c r="DKD9" s="103"/>
      <c r="DKE9" s="103"/>
      <c r="DKF9" s="103"/>
      <c r="DKG9" s="103"/>
      <c r="DKH9" s="103"/>
      <c r="DKI9" s="103"/>
      <c r="DKJ9" s="103"/>
      <c r="DKK9" s="103"/>
      <c r="DKL9" s="103"/>
      <c r="DKM9" s="103"/>
      <c r="DKN9" s="103"/>
      <c r="DKO9" s="103"/>
      <c r="DKP9" s="103"/>
      <c r="DKQ9" s="103"/>
      <c r="DKR9" s="103"/>
      <c r="DKS9" s="103"/>
      <c r="DKT9" s="103"/>
      <c r="DKU9" s="103"/>
      <c r="DKV9" s="103"/>
      <c r="DKW9" s="103"/>
      <c r="DKX9" s="103"/>
      <c r="DKY9" s="103"/>
      <c r="DKZ9" s="103"/>
      <c r="DLA9" s="103"/>
      <c r="DLB9" s="103"/>
      <c r="DLC9" s="103"/>
      <c r="DLD9" s="103"/>
      <c r="DLE9" s="103"/>
      <c r="DLF9" s="103"/>
      <c r="DLG9" s="103"/>
      <c r="DLH9" s="103"/>
      <c r="DLI9" s="103"/>
      <c r="DLJ9" s="103"/>
      <c r="DLK9" s="103"/>
      <c r="DLL9" s="103"/>
      <c r="DLM9" s="103"/>
      <c r="DLN9" s="103"/>
      <c r="DLO9" s="103"/>
      <c r="DLP9" s="103"/>
      <c r="DLQ9" s="103"/>
      <c r="DLR9" s="103"/>
      <c r="DLS9" s="103"/>
      <c r="DLT9" s="103"/>
      <c r="DLU9" s="103"/>
      <c r="DLV9" s="103"/>
      <c r="DLW9" s="103"/>
      <c r="DLX9" s="103"/>
      <c r="DLY9" s="103"/>
      <c r="DLZ9" s="103"/>
      <c r="DMA9" s="103"/>
      <c r="DMB9" s="103"/>
      <c r="DMC9" s="103"/>
      <c r="DMD9" s="103"/>
      <c r="DME9" s="103"/>
      <c r="DMF9" s="103"/>
      <c r="DMG9" s="103"/>
      <c r="DMH9" s="103"/>
      <c r="DMI9" s="103"/>
      <c r="DMJ9" s="103"/>
      <c r="DMK9" s="103"/>
      <c r="DML9" s="103"/>
      <c r="DMM9" s="103"/>
      <c r="DMN9" s="103"/>
      <c r="DMO9" s="103"/>
      <c r="DMP9" s="103"/>
      <c r="DMQ9" s="103"/>
      <c r="DMR9" s="103"/>
      <c r="DMS9" s="103"/>
      <c r="DMT9" s="103"/>
      <c r="DMU9" s="103"/>
      <c r="DMV9" s="103"/>
      <c r="DMW9" s="103"/>
      <c r="DMX9" s="103"/>
      <c r="DMY9" s="103"/>
      <c r="DMZ9" s="103"/>
      <c r="DNA9" s="103"/>
      <c r="DNB9" s="103"/>
      <c r="DNC9" s="103"/>
      <c r="DND9" s="103"/>
      <c r="DNE9" s="103"/>
      <c r="DNF9" s="103"/>
      <c r="DNG9" s="103"/>
      <c r="DNH9" s="103"/>
      <c r="DNI9" s="103"/>
      <c r="DNJ9" s="103"/>
      <c r="DNK9" s="103"/>
      <c r="DNL9" s="103"/>
      <c r="DNM9" s="103"/>
      <c r="DNN9" s="103"/>
      <c r="DNO9" s="103"/>
      <c r="DNP9" s="103"/>
      <c r="DNQ9" s="103"/>
      <c r="DNR9" s="103"/>
      <c r="DNS9" s="103"/>
      <c r="DNT9" s="103"/>
      <c r="DNU9" s="103"/>
      <c r="DNV9" s="103"/>
      <c r="DNW9" s="103"/>
      <c r="DNX9" s="103"/>
      <c r="DNY9" s="103"/>
      <c r="DNZ9" s="103"/>
      <c r="DOA9" s="103"/>
      <c r="DOB9" s="103"/>
      <c r="DOC9" s="103"/>
      <c r="DOD9" s="103"/>
      <c r="DOE9" s="103"/>
      <c r="DOF9" s="103"/>
      <c r="DOG9" s="103"/>
      <c r="DOH9" s="103"/>
      <c r="DOI9" s="103"/>
      <c r="DOJ9" s="103"/>
      <c r="DOK9" s="103"/>
      <c r="DOL9" s="103"/>
      <c r="DOM9" s="103"/>
      <c r="DON9" s="103"/>
      <c r="DOO9" s="103"/>
      <c r="DOP9" s="103"/>
      <c r="DOQ9" s="103"/>
      <c r="DOR9" s="103"/>
      <c r="DOS9" s="103"/>
      <c r="DOT9" s="103"/>
      <c r="DOU9" s="103"/>
      <c r="DOV9" s="103"/>
      <c r="DOW9" s="103"/>
      <c r="DOX9" s="103"/>
      <c r="DOY9" s="103"/>
      <c r="DOZ9" s="103"/>
      <c r="DPA9" s="103"/>
      <c r="DPB9" s="103"/>
      <c r="DPC9" s="103"/>
      <c r="DPD9" s="103"/>
      <c r="DPE9" s="103"/>
      <c r="DPF9" s="103"/>
      <c r="DPG9" s="103"/>
      <c r="DPH9" s="103"/>
      <c r="DPI9" s="103"/>
      <c r="DPJ9" s="103"/>
      <c r="DPK9" s="103"/>
      <c r="DPL9" s="103"/>
      <c r="DPM9" s="103"/>
      <c r="DPN9" s="103"/>
      <c r="DPO9" s="103"/>
      <c r="DPP9" s="103"/>
      <c r="DPQ9" s="103"/>
      <c r="DPR9" s="103"/>
      <c r="DPS9" s="103"/>
      <c r="DPT9" s="103"/>
      <c r="DPU9" s="103"/>
      <c r="DPV9" s="103"/>
      <c r="DPW9" s="103"/>
      <c r="DPX9" s="103"/>
      <c r="DPY9" s="103"/>
      <c r="DPZ9" s="103"/>
      <c r="DQA9" s="103"/>
      <c r="DQB9" s="103"/>
      <c r="DQC9" s="103"/>
      <c r="DQD9" s="103"/>
      <c r="DQE9" s="103"/>
      <c r="DQF9" s="103"/>
      <c r="DQG9" s="103"/>
      <c r="DQH9" s="103"/>
      <c r="DQI9" s="103"/>
      <c r="DQJ9" s="103"/>
      <c r="DQK9" s="103"/>
      <c r="DQL9" s="103"/>
      <c r="DQM9" s="103"/>
      <c r="DQN9" s="103"/>
      <c r="DQO9" s="103"/>
      <c r="DQP9" s="103"/>
      <c r="DQQ9" s="103"/>
      <c r="DQR9" s="103"/>
      <c r="DQS9" s="103"/>
      <c r="DQT9" s="103"/>
      <c r="DQU9" s="103"/>
      <c r="DQV9" s="103"/>
      <c r="DQW9" s="103"/>
      <c r="DQX9" s="103"/>
      <c r="DQY9" s="103"/>
      <c r="DQZ9" s="103"/>
      <c r="DRA9" s="103"/>
      <c r="DRB9" s="103"/>
      <c r="DRC9" s="103"/>
      <c r="DRD9" s="103"/>
      <c r="DRE9" s="103"/>
      <c r="DRF9" s="103"/>
      <c r="DRG9" s="103"/>
      <c r="DRH9" s="103"/>
      <c r="DRI9" s="103"/>
      <c r="DRJ9" s="103"/>
      <c r="DRK9" s="103"/>
      <c r="DRL9" s="103"/>
      <c r="DRM9" s="103"/>
      <c r="DRN9" s="103"/>
      <c r="DRO9" s="103"/>
      <c r="DRP9" s="103"/>
      <c r="DRQ9" s="103"/>
      <c r="DRR9" s="103"/>
      <c r="DRS9" s="103"/>
      <c r="DRT9" s="103"/>
      <c r="DRU9" s="103"/>
      <c r="DRV9" s="103"/>
      <c r="DRW9" s="103"/>
      <c r="DRX9" s="103"/>
      <c r="DRY9" s="103"/>
      <c r="DRZ9" s="103"/>
      <c r="DSA9" s="103"/>
      <c r="DSB9" s="103"/>
      <c r="DSC9" s="103"/>
      <c r="DSD9" s="103"/>
      <c r="DSE9" s="103"/>
      <c r="DSF9" s="103"/>
      <c r="DSG9" s="103"/>
      <c r="DSH9" s="103"/>
      <c r="DSI9" s="103"/>
      <c r="DSJ9" s="103"/>
      <c r="DSK9" s="103"/>
      <c r="DSL9" s="103"/>
      <c r="DSM9" s="103"/>
      <c r="DSN9" s="103"/>
      <c r="DSO9" s="103"/>
      <c r="DSP9" s="103"/>
      <c r="DSQ9" s="103"/>
      <c r="DSR9" s="103"/>
      <c r="DSS9" s="103"/>
      <c r="DST9" s="103"/>
      <c r="DSU9" s="103"/>
      <c r="DSV9" s="103"/>
      <c r="DSW9" s="103"/>
      <c r="DSX9" s="103"/>
      <c r="DSY9" s="103"/>
      <c r="DSZ9" s="103"/>
      <c r="DTA9" s="103"/>
      <c r="DTB9" s="103"/>
      <c r="DTC9" s="103"/>
      <c r="DTD9" s="103"/>
      <c r="DTE9" s="103"/>
      <c r="DTF9" s="103"/>
      <c r="DTG9" s="103"/>
      <c r="DTH9" s="103"/>
      <c r="DTI9" s="103"/>
      <c r="DTJ9" s="103"/>
      <c r="DTK9" s="103"/>
      <c r="DTL9" s="103"/>
      <c r="DTM9" s="103"/>
      <c r="DTN9" s="103"/>
      <c r="DTO9" s="103"/>
      <c r="DTP9" s="103"/>
      <c r="DTQ9" s="103"/>
      <c r="DTR9" s="103"/>
      <c r="DTS9" s="103"/>
      <c r="DTT9" s="103"/>
      <c r="DTU9" s="103"/>
      <c r="DTV9" s="103"/>
      <c r="DTW9" s="103"/>
      <c r="DTX9" s="103"/>
      <c r="DTY9" s="103"/>
      <c r="DTZ9" s="103"/>
      <c r="DUA9" s="103"/>
      <c r="DUB9" s="103"/>
      <c r="DUC9" s="103"/>
      <c r="DUD9" s="103"/>
      <c r="DUE9" s="103"/>
      <c r="DUF9" s="103"/>
      <c r="DUG9" s="103"/>
      <c r="DUH9" s="103"/>
      <c r="DUI9" s="103"/>
      <c r="DUJ9" s="103"/>
      <c r="DUK9" s="103"/>
      <c r="DUL9" s="103"/>
      <c r="DUM9" s="103"/>
      <c r="DUN9" s="103"/>
      <c r="DUO9" s="103"/>
      <c r="DUP9" s="103"/>
      <c r="DUQ9" s="103"/>
      <c r="DUR9" s="103"/>
      <c r="DUS9" s="103"/>
      <c r="DUT9" s="103"/>
      <c r="DUU9" s="103"/>
      <c r="DUV9" s="103"/>
      <c r="DUW9" s="103"/>
      <c r="DUX9" s="103"/>
      <c r="DUY9" s="103"/>
      <c r="DUZ9" s="103"/>
      <c r="DVA9" s="103"/>
      <c r="DVB9" s="103"/>
      <c r="DVC9" s="103"/>
      <c r="DVD9" s="103"/>
      <c r="DVE9" s="103"/>
      <c r="DVF9" s="103"/>
      <c r="DVG9" s="103"/>
      <c r="DVH9" s="103"/>
      <c r="DVI9" s="103"/>
      <c r="DVJ9" s="103"/>
      <c r="DVK9" s="103"/>
      <c r="DVL9" s="103"/>
      <c r="DVM9" s="103"/>
      <c r="DVN9" s="103"/>
      <c r="DVO9" s="103"/>
      <c r="DVP9" s="103"/>
      <c r="DVQ9" s="103"/>
      <c r="DVR9" s="103"/>
      <c r="DVS9" s="103"/>
      <c r="DVT9" s="103"/>
      <c r="DVU9" s="103"/>
      <c r="DVV9" s="103"/>
      <c r="DVW9" s="103"/>
      <c r="DVX9" s="103"/>
      <c r="DVY9" s="103"/>
      <c r="DVZ9" s="103"/>
      <c r="DWA9" s="103"/>
      <c r="DWB9" s="103"/>
      <c r="DWC9" s="103"/>
      <c r="DWD9" s="103"/>
      <c r="DWE9" s="103"/>
      <c r="DWF9" s="103"/>
      <c r="DWG9" s="103"/>
      <c r="DWH9" s="103"/>
      <c r="DWI9" s="103"/>
      <c r="DWJ9" s="103"/>
      <c r="DWK9" s="103"/>
      <c r="DWL9" s="103"/>
      <c r="DWM9" s="103"/>
      <c r="DWN9" s="103"/>
      <c r="DWO9" s="103"/>
      <c r="DWP9" s="103"/>
      <c r="DWQ9" s="103"/>
      <c r="DWR9" s="103"/>
      <c r="DWS9" s="103"/>
      <c r="DWT9" s="103"/>
      <c r="DWU9" s="103"/>
      <c r="DWV9" s="103"/>
      <c r="DWW9" s="103"/>
      <c r="DWX9" s="103"/>
      <c r="DWY9" s="103"/>
      <c r="DWZ9" s="103"/>
      <c r="DXA9" s="103"/>
      <c r="DXB9" s="103"/>
      <c r="DXC9" s="103"/>
      <c r="DXD9" s="103"/>
      <c r="DXE9" s="103"/>
      <c r="DXF9" s="103"/>
      <c r="DXG9" s="103"/>
      <c r="DXH9" s="103"/>
      <c r="DXI9" s="103"/>
      <c r="DXJ9" s="103"/>
      <c r="DXK9" s="103"/>
      <c r="DXL9" s="103"/>
      <c r="DXM9" s="103"/>
      <c r="DXN9" s="103"/>
      <c r="DXO9" s="103"/>
      <c r="DXP9" s="103"/>
      <c r="DXQ9" s="103"/>
      <c r="DXR9" s="103"/>
      <c r="DXS9" s="103"/>
      <c r="DXT9" s="103"/>
      <c r="DXU9" s="103"/>
      <c r="DXV9" s="103"/>
      <c r="DXW9" s="103"/>
      <c r="DXX9" s="103"/>
      <c r="DXY9" s="103"/>
      <c r="DXZ9" s="103"/>
      <c r="DYA9" s="103"/>
      <c r="DYB9" s="103"/>
      <c r="DYC9" s="103"/>
      <c r="DYD9" s="103"/>
      <c r="DYE9" s="103"/>
      <c r="DYF9" s="103"/>
      <c r="DYG9" s="103"/>
      <c r="DYH9" s="103"/>
      <c r="DYI9" s="103"/>
      <c r="DYJ9" s="103"/>
      <c r="DYK9" s="103"/>
      <c r="DYL9" s="103"/>
      <c r="DYM9" s="103"/>
      <c r="DYN9" s="103"/>
      <c r="DYO9" s="103"/>
      <c r="DYP9" s="103"/>
      <c r="DYQ9" s="103"/>
      <c r="DYR9" s="103"/>
      <c r="DYS9" s="103"/>
      <c r="DYT9" s="103"/>
      <c r="DYU9" s="103"/>
      <c r="DYV9" s="103"/>
      <c r="DYW9" s="103"/>
      <c r="DYX9" s="103"/>
      <c r="DYY9" s="103"/>
      <c r="DYZ9" s="103"/>
      <c r="DZA9" s="103"/>
      <c r="DZB9" s="103"/>
      <c r="DZC9" s="103"/>
      <c r="DZD9" s="103"/>
      <c r="DZE9" s="103"/>
      <c r="DZF9" s="103"/>
      <c r="DZG9" s="103"/>
      <c r="DZH9" s="103"/>
      <c r="DZI9" s="103"/>
      <c r="DZJ9" s="103"/>
      <c r="DZK9" s="103"/>
      <c r="DZL9" s="103"/>
      <c r="DZM9" s="103"/>
      <c r="DZN9" s="103"/>
      <c r="DZO9" s="103"/>
      <c r="DZP9" s="103"/>
      <c r="DZQ9" s="103"/>
      <c r="DZR9" s="103"/>
      <c r="DZS9" s="103"/>
      <c r="DZT9" s="103"/>
      <c r="DZU9" s="103"/>
      <c r="DZV9" s="103"/>
      <c r="DZW9" s="103"/>
      <c r="DZX9" s="103"/>
      <c r="DZY9" s="103"/>
      <c r="DZZ9" s="103"/>
      <c r="EAA9" s="103"/>
      <c r="EAB9" s="103"/>
      <c r="EAC9" s="103"/>
      <c r="EAD9" s="103"/>
      <c r="EAE9" s="103"/>
      <c r="EAF9" s="103"/>
      <c r="EAG9" s="103"/>
      <c r="EAH9" s="103"/>
      <c r="EAI9" s="103"/>
      <c r="EAJ9" s="103"/>
      <c r="EAK9" s="103"/>
      <c r="EAL9" s="103"/>
      <c r="EAM9" s="103"/>
      <c r="EAN9" s="103"/>
      <c r="EAO9" s="103"/>
      <c r="EAP9" s="103"/>
      <c r="EAQ9" s="103"/>
      <c r="EAR9" s="103"/>
      <c r="EAS9" s="103"/>
      <c r="EAT9" s="103"/>
      <c r="EAU9" s="103"/>
      <c r="EAV9" s="103"/>
      <c r="EAW9" s="103"/>
      <c r="EAX9" s="103"/>
      <c r="EAY9" s="103"/>
      <c r="EAZ9" s="103"/>
      <c r="EBA9" s="103"/>
      <c r="EBB9" s="103"/>
      <c r="EBC9" s="103"/>
      <c r="EBD9" s="103"/>
      <c r="EBE9" s="103"/>
      <c r="EBF9" s="103"/>
      <c r="EBG9" s="103"/>
      <c r="EBH9" s="103"/>
      <c r="EBI9" s="103"/>
      <c r="EBJ9" s="103"/>
      <c r="EBK9" s="103"/>
      <c r="EBL9" s="103"/>
      <c r="EBM9" s="103"/>
      <c r="EBN9" s="103"/>
      <c r="EBO9" s="103"/>
      <c r="EBP9" s="103"/>
      <c r="EBQ9" s="103"/>
      <c r="EBR9" s="103"/>
      <c r="EBS9" s="103"/>
      <c r="EBT9" s="103"/>
      <c r="EBU9" s="103"/>
      <c r="EBV9" s="103"/>
      <c r="EBW9" s="103"/>
      <c r="EBX9" s="103"/>
      <c r="EBY9" s="103"/>
      <c r="EBZ9" s="103"/>
      <c r="ECA9" s="103"/>
      <c r="ECB9" s="103"/>
      <c r="ECC9" s="103"/>
      <c r="ECD9" s="103"/>
      <c r="ECE9" s="103"/>
      <c r="ECF9" s="103"/>
      <c r="ECG9" s="103"/>
      <c r="ECH9" s="103"/>
      <c r="ECI9" s="103"/>
      <c r="ECJ9" s="103"/>
      <c r="ECK9" s="103"/>
      <c r="ECL9" s="103"/>
      <c r="ECM9" s="103"/>
      <c r="ECN9" s="103"/>
      <c r="ECO9" s="103"/>
      <c r="ECP9" s="103"/>
      <c r="ECQ9" s="103"/>
      <c r="ECR9" s="103"/>
      <c r="ECS9" s="103"/>
      <c r="ECT9" s="103"/>
      <c r="ECU9" s="103"/>
      <c r="ECV9" s="103"/>
      <c r="ECW9" s="103"/>
      <c r="ECX9" s="103"/>
      <c r="ECY9" s="103"/>
      <c r="ECZ9" s="103"/>
      <c r="EDA9" s="103"/>
      <c r="EDB9" s="103"/>
      <c r="EDC9" s="103"/>
      <c r="EDD9" s="103"/>
      <c r="EDE9" s="103"/>
      <c r="EDF9" s="103"/>
      <c r="EDG9" s="103"/>
      <c r="EDH9" s="103"/>
      <c r="EDI9" s="103"/>
      <c r="EDJ9" s="103"/>
      <c r="EDK9" s="103"/>
      <c r="EDL9" s="103"/>
      <c r="EDM9" s="103"/>
      <c r="EDN9" s="103"/>
      <c r="EDO9" s="103"/>
      <c r="EDP9" s="103"/>
      <c r="EDQ9" s="103"/>
      <c r="EDR9" s="103"/>
      <c r="EDS9" s="103"/>
      <c r="EDT9" s="103"/>
      <c r="EDU9" s="103"/>
      <c r="EDV9" s="103"/>
      <c r="EDW9" s="103"/>
      <c r="EDX9" s="103"/>
      <c r="EDY9" s="103"/>
      <c r="EDZ9" s="103"/>
      <c r="EEA9" s="103"/>
      <c r="EEB9" s="103"/>
      <c r="EEC9" s="103"/>
      <c r="EED9" s="103"/>
      <c r="EEE9" s="103"/>
      <c r="EEF9" s="103"/>
      <c r="EEG9" s="103"/>
      <c r="EEH9" s="103"/>
      <c r="EEI9" s="103"/>
      <c r="EEJ9" s="103"/>
      <c r="EEK9" s="103"/>
      <c r="EEL9" s="103"/>
      <c r="EEM9" s="103"/>
      <c r="EEN9" s="103"/>
      <c r="EEO9" s="103"/>
      <c r="EEP9" s="103"/>
      <c r="EEQ9" s="103"/>
      <c r="EER9" s="103"/>
      <c r="EES9" s="103"/>
      <c r="EET9" s="103"/>
      <c r="EEU9" s="103"/>
      <c r="EEV9" s="103"/>
      <c r="EEW9" s="103"/>
      <c r="EEX9" s="103"/>
      <c r="EEY9" s="103"/>
      <c r="EEZ9" s="103"/>
      <c r="EFA9" s="103"/>
      <c r="EFB9" s="103"/>
      <c r="EFC9" s="103"/>
      <c r="EFD9" s="103"/>
      <c r="EFE9" s="103"/>
      <c r="EFF9" s="103"/>
      <c r="EFG9" s="103"/>
      <c r="EFH9" s="103"/>
      <c r="EFI9" s="103"/>
      <c r="EFJ9" s="103"/>
      <c r="EFK9" s="103"/>
      <c r="EFL9" s="103"/>
      <c r="EFM9" s="103"/>
      <c r="EFN9" s="103"/>
      <c r="EFO9" s="103"/>
      <c r="EFP9" s="103"/>
      <c r="EFQ9" s="103"/>
      <c r="EFR9" s="103"/>
      <c r="EFS9" s="103"/>
      <c r="EFT9" s="103"/>
      <c r="EFU9" s="103"/>
      <c r="EFV9" s="103"/>
      <c r="EFW9" s="103"/>
      <c r="EFX9" s="103"/>
      <c r="EFY9" s="103"/>
      <c r="EFZ9" s="103"/>
      <c r="EGA9" s="103"/>
      <c r="EGB9" s="103"/>
      <c r="EGC9" s="103"/>
      <c r="EGD9" s="103"/>
      <c r="EGE9" s="103"/>
      <c r="EGF9" s="103"/>
      <c r="EGG9" s="103"/>
      <c r="EGH9" s="103"/>
      <c r="EGI9" s="103"/>
      <c r="EGJ9" s="103"/>
      <c r="EGK9" s="103"/>
      <c r="EGL9" s="103"/>
      <c r="EGM9" s="103"/>
      <c r="EGN9" s="103"/>
      <c r="EGO9" s="103"/>
      <c r="EGP9" s="103"/>
      <c r="EGQ9" s="103"/>
      <c r="EGR9" s="103"/>
      <c r="EGS9" s="103"/>
      <c r="EGT9" s="103"/>
      <c r="EGU9" s="103"/>
      <c r="EGV9" s="103"/>
      <c r="EGW9" s="103"/>
      <c r="EGX9" s="103"/>
      <c r="EGY9" s="103"/>
      <c r="EGZ9" s="103"/>
      <c r="EHA9" s="103"/>
      <c r="EHB9" s="103"/>
      <c r="EHC9" s="103"/>
      <c r="EHD9" s="103"/>
      <c r="EHE9" s="103"/>
      <c r="EHF9" s="103"/>
      <c r="EHG9" s="103"/>
      <c r="EHH9" s="103"/>
      <c r="EHI9" s="103"/>
      <c r="EHJ9" s="103"/>
      <c r="EHK9" s="103"/>
      <c r="EHL9" s="103"/>
      <c r="EHM9" s="103"/>
      <c r="EHN9" s="103"/>
      <c r="EHO9" s="103"/>
      <c r="EHP9" s="103"/>
      <c r="EHQ9" s="103"/>
      <c r="EHR9" s="103"/>
      <c r="EHS9" s="103"/>
      <c r="EHT9" s="103"/>
      <c r="EHU9" s="103"/>
      <c r="EHV9" s="103"/>
      <c r="EHW9" s="103"/>
      <c r="EHX9" s="103"/>
      <c r="EHY9" s="103"/>
      <c r="EHZ9" s="103"/>
      <c r="EIA9" s="103"/>
      <c r="EIB9" s="103"/>
      <c r="EIC9" s="103"/>
      <c r="EID9" s="103"/>
      <c r="EIE9" s="103"/>
      <c r="EIF9" s="103"/>
      <c r="EIG9" s="103"/>
      <c r="EIH9" s="103"/>
      <c r="EII9" s="103"/>
      <c r="EIJ9" s="103"/>
      <c r="EIK9" s="103"/>
      <c r="EIL9" s="103"/>
      <c r="EIM9" s="103"/>
      <c r="EIN9" s="103"/>
      <c r="EIO9" s="103"/>
      <c r="EIP9" s="103"/>
      <c r="EIQ9" s="103"/>
      <c r="EIR9" s="103"/>
      <c r="EIS9" s="103"/>
      <c r="EIT9" s="103"/>
      <c r="EIU9" s="103"/>
      <c r="EIV9" s="103"/>
      <c r="EIW9" s="103"/>
      <c r="EIX9" s="103"/>
      <c r="EIY9" s="103"/>
      <c r="EIZ9" s="103"/>
      <c r="EJA9" s="103"/>
      <c r="EJB9" s="103"/>
      <c r="EJC9" s="103"/>
      <c r="EJD9" s="103"/>
      <c r="EJE9" s="103"/>
      <c r="EJF9" s="103"/>
      <c r="EJG9" s="103"/>
      <c r="EJH9" s="103"/>
      <c r="EJI9" s="103"/>
      <c r="EJJ9" s="103"/>
      <c r="EJK9" s="103"/>
      <c r="EJL9" s="103"/>
      <c r="EJM9" s="103"/>
      <c r="EJN9" s="103"/>
      <c r="EJO9" s="103"/>
      <c r="EJP9" s="103"/>
      <c r="EJQ9" s="103"/>
      <c r="EJR9" s="103"/>
      <c r="EJS9" s="103"/>
      <c r="EJT9" s="103"/>
      <c r="EJU9" s="103"/>
      <c r="EJV9" s="103"/>
      <c r="EJW9" s="103"/>
      <c r="EJX9" s="103"/>
      <c r="EJY9" s="103"/>
      <c r="EJZ9" s="103"/>
      <c r="EKA9" s="103"/>
      <c r="EKB9" s="103"/>
      <c r="EKC9" s="103"/>
      <c r="EKD9" s="103"/>
      <c r="EKE9" s="103"/>
      <c r="EKF9" s="103"/>
      <c r="EKG9" s="103"/>
      <c r="EKH9" s="103"/>
      <c r="EKI9" s="103"/>
      <c r="EKJ9" s="103"/>
      <c r="EKK9" s="103"/>
      <c r="EKL9" s="103"/>
      <c r="EKM9" s="103"/>
      <c r="EKN9" s="103"/>
      <c r="EKO9" s="103"/>
      <c r="EKP9" s="103"/>
      <c r="EKQ9" s="103"/>
      <c r="EKR9" s="103"/>
      <c r="EKS9" s="103"/>
      <c r="EKT9" s="103"/>
      <c r="EKU9" s="103"/>
      <c r="EKV9" s="103"/>
      <c r="EKW9" s="103"/>
      <c r="EKX9" s="103"/>
      <c r="EKY9" s="103"/>
      <c r="EKZ9" s="103"/>
      <c r="ELA9" s="103"/>
      <c r="ELB9" s="103"/>
      <c r="ELC9" s="103"/>
      <c r="ELD9" s="103"/>
      <c r="ELE9" s="103"/>
      <c r="ELF9" s="103"/>
      <c r="ELG9" s="103"/>
      <c r="ELH9" s="103"/>
      <c r="ELI9" s="103"/>
      <c r="ELJ9" s="103"/>
      <c r="ELK9" s="103"/>
      <c r="ELL9" s="103"/>
      <c r="ELM9" s="103"/>
      <c r="ELN9" s="103"/>
      <c r="ELO9" s="103"/>
      <c r="ELP9" s="103"/>
      <c r="ELQ9" s="103"/>
      <c r="ELR9" s="103"/>
      <c r="ELS9" s="103"/>
      <c r="ELT9" s="103"/>
      <c r="ELU9" s="103"/>
      <c r="ELV9" s="103"/>
      <c r="ELW9" s="103"/>
      <c r="ELX9" s="103"/>
      <c r="ELY9" s="103"/>
      <c r="ELZ9" s="103"/>
      <c r="EMA9" s="103"/>
      <c r="EMB9" s="103"/>
      <c r="EMC9" s="103"/>
      <c r="EMD9" s="103"/>
      <c r="EME9" s="103"/>
      <c r="EMF9" s="103"/>
      <c r="EMG9" s="103"/>
      <c r="EMH9" s="103"/>
      <c r="EMI9" s="103"/>
      <c r="EMJ9" s="103"/>
      <c r="EMK9" s="103"/>
      <c r="EML9" s="103"/>
      <c r="EMM9" s="103"/>
      <c r="EMN9" s="103"/>
      <c r="EMO9" s="103"/>
      <c r="EMP9" s="103"/>
      <c r="EMQ9" s="103"/>
      <c r="EMR9" s="103"/>
      <c r="EMS9" s="103"/>
      <c r="EMT9" s="103"/>
      <c r="EMU9" s="103"/>
      <c r="EMV9" s="103"/>
      <c r="EMW9" s="103"/>
      <c r="EMX9" s="103"/>
      <c r="EMY9" s="103"/>
      <c r="EMZ9" s="103"/>
      <c r="ENA9" s="103"/>
      <c r="ENB9" s="103"/>
      <c r="ENC9" s="103"/>
      <c r="END9" s="103"/>
      <c r="ENE9" s="103"/>
      <c r="ENF9" s="103"/>
      <c r="ENG9" s="103"/>
      <c r="ENH9" s="103"/>
      <c r="ENI9" s="103"/>
      <c r="ENJ9" s="103"/>
      <c r="ENK9" s="103"/>
      <c r="ENL9" s="103"/>
      <c r="ENM9" s="103"/>
      <c r="ENN9" s="103"/>
      <c r="ENO9" s="103"/>
      <c r="ENP9" s="103"/>
      <c r="ENQ9" s="103"/>
      <c r="ENR9" s="103"/>
      <c r="ENS9" s="103"/>
      <c r="ENT9" s="103"/>
      <c r="ENU9" s="103"/>
      <c r="ENV9" s="103"/>
      <c r="ENW9" s="103"/>
      <c r="ENX9" s="103"/>
      <c r="ENY9" s="103"/>
      <c r="ENZ9" s="103"/>
      <c r="EOA9" s="103"/>
      <c r="EOB9" s="103"/>
      <c r="EOC9" s="103"/>
      <c r="EOD9" s="103"/>
      <c r="EOE9" s="103"/>
      <c r="EOF9" s="103"/>
      <c r="EOG9" s="103"/>
      <c r="EOH9" s="103"/>
      <c r="EOI9" s="103"/>
      <c r="EOJ9" s="103"/>
      <c r="EOK9" s="103"/>
      <c r="EOL9" s="103"/>
      <c r="EOM9" s="103"/>
      <c r="EON9" s="103"/>
      <c r="EOO9" s="103"/>
      <c r="EOP9" s="103"/>
      <c r="EOQ9" s="103"/>
      <c r="EOR9" s="103"/>
      <c r="EOS9" s="103"/>
      <c r="EOT9" s="103"/>
      <c r="EOU9" s="103"/>
      <c r="EOV9" s="103"/>
      <c r="EOW9" s="103"/>
      <c r="EOX9" s="103"/>
      <c r="EOY9" s="103"/>
      <c r="EOZ9" s="103"/>
      <c r="EPA9" s="103"/>
      <c r="EPB9" s="103"/>
      <c r="EPC9" s="103"/>
      <c r="EPD9" s="103"/>
      <c r="EPE9" s="103"/>
      <c r="EPF9" s="103"/>
      <c r="EPG9" s="103"/>
      <c r="EPH9" s="103"/>
      <c r="EPI9" s="103"/>
      <c r="EPJ9" s="103"/>
      <c r="EPK9" s="103"/>
      <c r="EPL9" s="103"/>
      <c r="EPM9" s="103"/>
      <c r="EPN9" s="103"/>
      <c r="EPO9" s="103"/>
      <c r="EPP9" s="103"/>
      <c r="EPQ9" s="103"/>
      <c r="EPR9" s="103"/>
      <c r="EPS9" s="103"/>
      <c r="EPT9" s="103"/>
      <c r="EPU9" s="103"/>
      <c r="EPV9" s="103"/>
      <c r="EPW9" s="103"/>
      <c r="EPX9" s="103"/>
      <c r="EPY9" s="103"/>
      <c r="EPZ9" s="103"/>
      <c r="EQA9" s="103"/>
      <c r="EQB9" s="103"/>
      <c r="EQC9" s="103"/>
      <c r="EQD9" s="103"/>
      <c r="EQE9" s="103"/>
      <c r="EQF9" s="103"/>
      <c r="EQG9" s="103"/>
      <c r="EQH9" s="103"/>
      <c r="EQI9" s="103"/>
      <c r="EQJ9" s="103"/>
      <c r="EQK9" s="103"/>
      <c r="EQL9" s="103"/>
      <c r="EQM9" s="103"/>
      <c r="EQN9" s="103"/>
      <c r="EQO9" s="103"/>
      <c r="EQP9" s="103"/>
      <c r="EQQ9" s="103"/>
      <c r="EQR9" s="103"/>
      <c r="EQS9" s="103"/>
      <c r="EQT9" s="103"/>
      <c r="EQU9" s="103"/>
      <c r="EQV9" s="103"/>
      <c r="EQW9" s="103"/>
      <c r="EQX9" s="103"/>
      <c r="EQY9" s="103"/>
      <c r="EQZ9" s="103"/>
      <c r="ERA9" s="103"/>
      <c r="ERB9" s="103"/>
      <c r="ERC9" s="103"/>
      <c r="ERD9" s="103"/>
      <c r="ERE9" s="103"/>
      <c r="ERF9" s="103"/>
      <c r="ERG9" s="103"/>
      <c r="ERH9" s="103"/>
      <c r="ERI9" s="103"/>
      <c r="ERJ9" s="103"/>
      <c r="ERK9" s="103"/>
      <c r="ERL9" s="103"/>
      <c r="ERM9" s="103"/>
      <c r="ERN9" s="103"/>
      <c r="ERO9" s="103"/>
      <c r="ERP9" s="103"/>
      <c r="ERQ9" s="103"/>
      <c r="ERR9" s="103"/>
      <c r="ERS9" s="103"/>
      <c r="ERT9" s="103"/>
      <c r="ERU9" s="103"/>
      <c r="ERV9" s="103"/>
      <c r="ERW9" s="103"/>
      <c r="ERX9" s="103"/>
      <c r="ERY9" s="103"/>
      <c r="ERZ9" s="103"/>
      <c r="ESA9" s="103"/>
      <c r="ESB9" s="103"/>
      <c r="ESC9" s="103"/>
      <c r="ESD9" s="103"/>
      <c r="ESE9" s="103"/>
      <c r="ESF9" s="103"/>
      <c r="ESG9" s="103"/>
      <c r="ESH9" s="103"/>
      <c r="ESI9" s="103"/>
      <c r="ESJ9" s="103"/>
      <c r="ESK9" s="103"/>
      <c r="ESL9" s="103"/>
      <c r="ESM9" s="103"/>
      <c r="ESN9" s="103"/>
      <c r="ESO9" s="103"/>
      <c r="ESP9" s="103"/>
      <c r="ESQ9" s="103"/>
      <c r="ESR9" s="103"/>
      <c r="ESS9" s="103"/>
      <c r="EST9" s="103"/>
      <c r="ESU9" s="103"/>
      <c r="ESV9" s="103"/>
      <c r="ESW9" s="103"/>
      <c r="ESX9" s="103"/>
      <c r="ESY9" s="103"/>
      <c r="ESZ9" s="103"/>
      <c r="ETA9" s="103"/>
      <c r="ETB9" s="103"/>
      <c r="ETC9" s="103"/>
      <c r="ETD9" s="103"/>
      <c r="ETE9" s="103"/>
      <c r="ETF9" s="103"/>
      <c r="ETG9" s="103"/>
      <c r="ETH9" s="103"/>
      <c r="ETI9" s="103"/>
      <c r="ETJ9" s="103"/>
      <c r="ETK9" s="103"/>
      <c r="ETL9" s="103"/>
      <c r="ETM9" s="103"/>
      <c r="ETN9" s="103"/>
      <c r="ETO9" s="103"/>
      <c r="ETP9" s="103"/>
      <c r="ETQ9" s="103"/>
      <c r="ETR9" s="103"/>
      <c r="ETS9" s="103"/>
      <c r="ETT9" s="103"/>
      <c r="ETU9" s="103"/>
      <c r="ETV9" s="103"/>
      <c r="ETW9" s="103"/>
      <c r="ETX9" s="103"/>
      <c r="ETY9" s="103"/>
      <c r="ETZ9" s="103"/>
      <c r="EUA9" s="103"/>
      <c r="EUB9" s="103"/>
      <c r="EUC9" s="103"/>
      <c r="EUD9" s="103"/>
      <c r="EUE9" s="103"/>
      <c r="EUF9" s="103"/>
      <c r="EUG9" s="103"/>
      <c r="EUH9" s="103"/>
      <c r="EUI9" s="103"/>
      <c r="EUJ9" s="103"/>
      <c r="EUK9" s="103"/>
      <c r="EUL9" s="103"/>
      <c r="EUM9" s="103"/>
      <c r="EUN9" s="103"/>
      <c r="EUO9" s="103"/>
      <c r="EUP9" s="103"/>
      <c r="EUQ9" s="103"/>
      <c r="EUR9" s="103"/>
      <c r="EUS9" s="103"/>
      <c r="EUT9" s="103"/>
      <c r="EUU9" s="103"/>
      <c r="EUV9" s="103"/>
      <c r="EUW9" s="103"/>
      <c r="EUX9" s="103"/>
      <c r="EUY9" s="103"/>
      <c r="EUZ9" s="103"/>
      <c r="EVA9" s="103"/>
      <c r="EVB9" s="103"/>
      <c r="EVC9" s="103"/>
      <c r="EVD9" s="103"/>
      <c r="EVE9" s="103"/>
      <c r="EVF9" s="103"/>
      <c r="EVG9" s="103"/>
      <c r="EVH9" s="103"/>
      <c r="EVI9" s="103"/>
      <c r="EVJ9" s="103"/>
      <c r="EVK9" s="103"/>
      <c r="EVL9" s="103"/>
      <c r="EVM9" s="103"/>
      <c r="EVN9" s="103"/>
      <c r="EVO9" s="103"/>
      <c r="EVP9" s="103"/>
      <c r="EVQ9" s="103"/>
      <c r="EVR9" s="103"/>
      <c r="EVS9" s="103"/>
      <c r="EVT9" s="103"/>
      <c r="EVU9" s="103"/>
      <c r="EVV9" s="103"/>
      <c r="EVW9" s="103"/>
      <c r="EVX9" s="103"/>
      <c r="EVY9" s="103"/>
      <c r="EVZ9" s="103"/>
      <c r="EWA9" s="103"/>
      <c r="EWB9" s="103"/>
      <c r="EWC9" s="103"/>
      <c r="EWD9" s="103"/>
      <c r="EWE9" s="103"/>
      <c r="EWF9" s="103"/>
      <c r="EWG9" s="103"/>
      <c r="EWH9" s="103"/>
      <c r="EWI9" s="103"/>
      <c r="EWJ9" s="103"/>
      <c r="EWK9" s="103"/>
      <c r="EWL9" s="103"/>
      <c r="EWM9" s="103"/>
      <c r="EWN9" s="103"/>
      <c r="EWO9" s="103"/>
      <c r="EWP9" s="103"/>
      <c r="EWQ9" s="103"/>
      <c r="EWR9" s="103"/>
      <c r="EWS9" s="103"/>
      <c r="EWT9" s="103"/>
      <c r="EWU9" s="103"/>
      <c r="EWV9" s="103"/>
      <c r="EWW9" s="103"/>
      <c r="EWX9" s="103"/>
      <c r="EWY9" s="103"/>
      <c r="EWZ9" s="103"/>
      <c r="EXA9" s="103"/>
      <c r="EXB9" s="103"/>
      <c r="EXC9" s="103"/>
      <c r="EXD9" s="103"/>
      <c r="EXE9" s="103"/>
      <c r="EXF9" s="103"/>
      <c r="EXG9" s="103"/>
      <c r="EXH9" s="103"/>
      <c r="EXI9" s="103"/>
      <c r="EXJ9" s="103"/>
      <c r="EXK9" s="103"/>
      <c r="EXL9" s="103"/>
      <c r="EXM9" s="103"/>
      <c r="EXN9" s="103"/>
      <c r="EXO9" s="103"/>
      <c r="EXP9" s="103"/>
      <c r="EXQ9" s="103"/>
      <c r="EXR9" s="103"/>
      <c r="EXS9" s="103"/>
      <c r="EXT9" s="103"/>
      <c r="EXU9" s="103"/>
      <c r="EXV9" s="103"/>
      <c r="EXW9" s="103"/>
      <c r="EXX9" s="103"/>
      <c r="EXY9" s="103"/>
      <c r="EXZ9" s="103"/>
      <c r="EYA9" s="103"/>
      <c r="EYB9" s="103"/>
      <c r="EYC9" s="103"/>
      <c r="EYD9" s="103"/>
      <c r="EYE9" s="103"/>
      <c r="EYF9" s="103"/>
      <c r="EYG9" s="103"/>
      <c r="EYH9" s="103"/>
      <c r="EYI9" s="103"/>
      <c r="EYJ9" s="103"/>
      <c r="EYK9" s="103"/>
      <c r="EYL9" s="103"/>
      <c r="EYM9" s="103"/>
      <c r="EYN9" s="103"/>
      <c r="EYO9" s="103"/>
      <c r="EYP9" s="103"/>
      <c r="EYQ9" s="103"/>
      <c r="EYR9" s="103"/>
      <c r="EYS9" s="103"/>
      <c r="EYT9" s="103"/>
      <c r="EYU9" s="103"/>
      <c r="EYV9" s="103"/>
      <c r="EYW9" s="103"/>
      <c r="EYX9" s="103"/>
      <c r="EYY9" s="103"/>
      <c r="EYZ9" s="103"/>
      <c r="EZA9" s="103"/>
      <c r="EZB9" s="103"/>
      <c r="EZC9" s="103"/>
      <c r="EZD9" s="103"/>
      <c r="EZE9" s="103"/>
      <c r="EZF9" s="103"/>
      <c r="EZG9" s="103"/>
      <c r="EZH9" s="103"/>
      <c r="EZI9" s="103"/>
      <c r="EZJ9" s="103"/>
      <c r="EZK9" s="103"/>
      <c r="EZL9" s="103"/>
      <c r="EZM9" s="103"/>
      <c r="EZN9" s="103"/>
      <c r="EZO9" s="103"/>
      <c r="EZP9" s="103"/>
      <c r="EZQ9" s="103"/>
      <c r="EZR9" s="103"/>
      <c r="EZS9" s="103"/>
      <c r="EZT9" s="103"/>
      <c r="EZU9" s="103"/>
      <c r="EZV9" s="103"/>
      <c r="EZW9" s="103"/>
      <c r="EZX9" s="103"/>
      <c r="EZY9" s="103"/>
      <c r="EZZ9" s="103"/>
      <c r="FAA9" s="103"/>
      <c r="FAB9" s="103"/>
      <c r="FAC9" s="103"/>
      <c r="FAD9" s="103"/>
      <c r="FAE9" s="103"/>
      <c r="FAF9" s="103"/>
      <c r="FAG9" s="103"/>
      <c r="FAH9" s="103"/>
      <c r="FAI9" s="103"/>
      <c r="FAJ9" s="103"/>
      <c r="FAK9" s="103"/>
      <c r="FAL9" s="103"/>
      <c r="FAM9" s="103"/>
      <c r="FAN9" s="103"/>
      <c r="FAO9" s="103"/>
      <c r="FAP9" s="103"/>
      <c r="FAQ9" s="103"/>
      <c r="FAR9" s="103"/>
      <c r="FAS9" s="103"/>
      <c r="FAT9" s="103"/>
      <c r="FAU9" s="103"/>
      <c r="FAV9" s="103"/>
      <c r="FAW9" s="103"/>
      <c r="FAX9" s="103"/>
      <c r="FAY9" s="103"/>
      <c r="FAZ9" s="103"/>
      <c r="FBA9" s="103"/>
      <c r="FBB9" s="103"/>
      <c r="FBC9" s="103"/>
      <c r="FBD9" s="103"/>
      <c r="FBE9" s="103"/>
      <c r="FBF9" s="103"/>
      <c r="FBG9" s="103"/>
      <c r="FBH9" s="103"/>
      <c r="FBI9" s="103"/>
      <c r="FBJ9" s="103"/>
      <c r="FBK9" s="103"/>
      <c r="FBL9" s="103"/>
      <c r="FBM9" s="103"/>
      <c r="FBN9" s="103"/>
      <c r="FBO9" s="103"/>
      <c r="FBP9" s="103"/>
      <c r="FBQ9" s="103"/>
      <c r="FBR9" s="103"/>
      <c r="FBS9" s="103"/>
      <c r="FBT9" s="103"/>
      <c r="FBU9" s="103"/>
      <c r="FBV9" s="103"/>
      <c r="FBW9" s="103"/>
      <c r="FBX9" s="103"/>
      <c r="FBY9" s="103"/>
      <c r="FBZ9" s="103"/>
      <c r="FCA9" s="103"/>
      <c r="FCB9" s="103"/>
      <c r="FCC9" s="103"/>
      <c r="FCD9" s="103"/>
      <c r="FCE9" s="103"/>
      <c r="FCF9" s="103"/>
      <c r="FCG9" s="103"/>
      <c r="FCH9" s="103"/>
      <c r="FCI9" s="103"/>
      <c r="FCJ9" s="103"/>
      <c r="FCK9" s="103"/>
      <c r="FCL9" s="103"/>
      <c r="FCM9" s="103"/>
      <c r="FCN9" s="103"/>
      <c r="FCO9" s="103"/>
      <c r="FCP9" s="103"/>
      <c r="FCQ9" s="103"/>
      <c r="FCR9" s="103"/>
      <c r="FCS9" s="103"/>
      <c r="FCT9" s="103"/>
      <c r="FCU9" s="103"/>
      <c r="FCV9" s="103"/>
      <c r="FCW9" s="103"/>
      <c r="FCX9" s="103"/>
      <c r="FCY9" s="103"/>
      <c r="FCZ9" s="103"/>
      <c r="FDA9" s="103"/>
      <c r="FDB9" s="103"/>
      <c r="FDC9" s="103"/>
      <c r="FDD9" s="103"/>
      <c r="FDE9" s="103"/>
      <c r="FDF9" s="103"/>
      <c r="FDG9" s="103"/>
      <c r="FDH9" s="103"/>
      <c r="FDI9" s="103"/>
      <c r="FDJ9" s="103"/>
      <c r="FDK9" s="103"/>
      <c r="FDL9" s="103"/>
      <c r="FDM9" s="103"/>
      <c r="FDN9" s="103"/>
      <c r="FDO9" s="103"/>
      <c r="FDP9" s="103"/>
      <c r="FDQ9" s="103"/>
      <c r="FDR9" s="103"/>
      <c r="FDS9" s="103"/>
      <c r="FDT9" s="103"/>
      <c r="FDU9" s="103"/>
      <c r="FDV9" s="103"/>
      <c r="FDW9" s="103"/>
      <c r="FDX9" s="103"/>
      <c r="FDY9" s="103"/>
      <c r="FDZ9" s="103"/>
      <c r="FEA9" s="103"/>
      <c r="FEB9" s="103"/>
      <c r="FEC9" s="103"/>
      <c r="FED9" s="103"/>
      <c r="FEE9" s="103"/>
      <c r="FEF9" s="103"/>
      <c r="FEG9" s="103"/>
      <c r="FEH9" s="103"/>
      <c r="FEI9" s="103"/>
      <c r="FEJ9" s="103"/>
      <c r="FEK9" s="103"/>
      <c r="FEL9" s="103"/>
      <c r="FEM9" s="103"/>
      <c r="FEN9" s="103"/>
      <c r="FEO9" s="103"/>
      <c r="FEP9" s="103"/>
      <c r="FEQ9" s="103"/>
      <c r="FER9" s="103"/>
      <c r="FES9" s="103"/>
      <c r="FET9" s="103"/>
      <c r="FEU9" s="103"/>
      <c r="FEV9" s="103"/>
      <c r="FEW9" s="103"/>
      <c r="FEX9" s="103"/>
      <c r="FEY9" s="103"/>
      <c r="FEZ9" s="103"/>
      <c r="FFA9" s="103"/>
      <c r="FFB9" s="103"/>
      <c r="FFC9" s="103"/>
      <c r="FFD9" s="103"/>
      <c r="FFE9" s="103"/>
      <c r="FFF9" s="103"/>
      <c r="FFG9" s="103"/>
      <c r="FFH9" s="103"/>
      <c r="FFI9" s="103"/>
      <c r="FFJ9" s="103"/>
      <c r="FFK9" s="103"/>
      <c r="FFL9" s="103"/>
      <c r="FFM9" s="103"/>
      <c r="FFN9" s="103"/>
      <c r="FFO9" s="103"/>
      <c r="FFP9" s="103"/>
      <c r="FFQ9" s="103"/>
      <c r="FFR9" s="103"/>
      <c r="FFS9" s="103"/>
      <c r="FFT9" s="103"/>
      <c r="FFU9" s="103"/>
      <c r="FFV9" s="103"/>
      <c r="FFW9" s="103"/>
      <c r="FFX9" s="103"/>
      <c r="FFY9" s="103"/>
      <c r="FFZ9" s="103"/>
      <c r="FGA9" s="103"/>
      <c r="FGB9" s="103"/>
      <c r="FGC9" s="103"/>
      <c r="FGD9" s="103"/>
      <c r="FGE9" s="103"/>
      <c r="FGF9" s="103"/>
      <c r="FGG9" s="103"/>
      <c r="FGH9" s="103"/>
      <c r="FGI9" s="103"/>
      <c r="FGJ9" s="103"/>
      <c r="FGK9" s="103"/>
      <c r="FGL9" s="103"/>
      <c r="FGM9" s="103"/>
      <c r="FGN9" s="103"/>
      <c r="FGO9" s="103"/>
      <c r="FGP9" s="103"/>
      <c r="FGQ9" s="103"/>
      <c r="FGR9" s="103"/>
      <c r="FGS9" s="103"/>
      <c r="FGT9" s="103"/>
      <c r="FGU9" s="103"/>
      <c r="FGV9" s="103"/>
      <c r="FGW9" s="103"/>
      <c r="FGX9" s="103"/>
      <c r="FGY9" s="103"/>
      <c r="FGZ9" s="103"/>
      <c r="FHA9" s="103"/>
      <c r="FHB9" s="103"/>
      <c r="FHC9" s="103"/>
      <c r="FHD9" s="103"/>
      <c r="FHE9" s="103"/>
      <c r="FHF9" s="103"/>
      <c r="FHG9" s="103"/>
      <c r="FHH9" s="103"/>
      <c r="FHI9" s="103"/>
      <c r="FHJ9" s="103"/>
      <c r="FHK9" s="103"/>
      <c r="FHL9" s="103"/>
      <c r="FHM9" s="103"/>
      <c r="FHN9" s="103"/>
      <c r="FHO9" s="103"/>
      <c r="FHP9" s="103"/>
      <c r="FHQ9" s="103"/>
      <c r="FHR9" s="103"/>
      <c r="FHS9" s="103"/>
      <c r="FHT9" s="103"/>
      <c r="FHU9" s="103"/>
      <c r="FHV9" s="103"/>
      <c r="FHW9" s="103"/>
      <c r="FHX9" s="103"/>
      <c r="FHY9" s="103"/>
      <c r="FHZ9" s="103"/>
      <c r="FIA9" s="103"/>
      <c r="FIB9" s="103"/>
      <c r="FIC9" s="103"/>
      <c r="FID9" s="103"/>
      <c r="FIE9" s="103"/>
      <c r="FIF9" s="103"/>
      <c r="FIG9" s="103"/>
      <c r="FIH9" s="103"/>
      <c r="FII9" s="103"/>
      <c r="FIJ9" s="103"/>
      <c r="FIK9" s="103"/>
      <c r="FIL9" s="103"/>
      <c r="FIM9" s="103"/>
      <c r="FIN9" s="103"/>
      <c r="FIO9" s="103"/>
      <c r="FIP9" s="103"/>
      <c r="FIQ9" s="103"/>
      <c r="FIR9" s="103"/>
      <c r="FIS9" s="103"/>
      <c r="FIT9" s="103"/>
      <c r="FIU9" s="103"/>
      <c r="FIV9" s="103"/>
      <c r="FIW9" s="103"/>
      <c r="FIX9" s="103"/>
      <c r="FIY9" s="103"/>
      <c r="FIZ9" s="103"/>
      <c r="FJA9" s="103"/>
      <c r="FJB9" s="103"/>
      <c r="FJC9" s="103"/>
      <c r="FJD9" s="103"/>
      <c r="FJE9" s="103"/>
      <c r="FJF9" s="103"/>
      <c r="FJG9" s="103"/>
      <c r="FJH9" s="103"/>
      <c r="FJI9" s="103"/>
      <c r="FJJ9" s="103"/>
      <c r="FJK9" s="103"/>
      <c r="FJL9" s="103"/>
      <c r="FJM9" s="103"/>
      <c r="FJN9" s="103"/>
      <c r="FJO9" s="103"/>
      <c r="FJP9" s="103"/>
      <c r="FJQ9" s="103"/>
      <c r="FJR9" s="103"/>
      <c r="FJS9" s="103"/>
      <c r="FJT9" s="103"/>
      <c r="FJU9" s="103"/>
      <c r="FJV9" s="103"/>
      <c r="FJW9" s="103"/>
      <c r="FJX9" s="103"/>
      <c r="FJY9" s="103"/>
      <c r="FJZ9" s="103"/>
      <c r="FKA9" s="103"/>
      <c r="FKB9" s="103"/>
      <c r="FKC9" s="103"/>
      <c r="FKD9" s="103"/>
      <c r="FKE9" s="103"/>
      <c r="FKF9" s="103"/>
      <c r="FKG9" s="103"/>
      <c r="FKH9" s="103"/>
      <c r="FKI9" s="103"/>
      <c r="FKJ9" s="103"/>
      <c r="FKK9" s="103"/>
      <c r="FKL9" s="103"/>
      <c r="FKM9" s="103"/>
      <c r="FKN9" s="103"/>
      <c r="FKO9" s="103"/>
      <c r="FKP9" s="103"/>
      <c r="FKQ9" s="103"/>
      <c r="FKR9" s="103"/>
      <c r="FKS9" s="103"/>
      <c r="FKT9" s="103"/>
      <c r="FKU9" s="103"/>
      <c r="FKV9" s="103"/>
      <c r="FKW9" s="103"/>
      <c r="FKX9" s="103"/>
      <c r="FKY9" s="103"/>
      <c r="FKZ9" s="103"/>
      <c r="FLA9" s="103"/>
      <c r="FLB9" s="103"/>
      <c r="FLC9" s="103"/>
      <c r="FLD9" s="103"/>
      <c r="FLE9" s="103"/>
      <c r="FLF9" s="103"/>
      <c r="FLG9" s="103"/>
      <c r="FLH9" s="103"/>
      <c r="FLI9" s="103"/>
      <c r="FLJ9" s="103"/>
      <c r="FLK9" s="103"/>
      <c r="FLL9" s="103"/>
      <c r="FLM9" s="103"/>
      <c r="FLN9" s="103"/>
      <c r="FLO9" s="103"/>
      <c r="FLP9" s="103"/>
      <c r="FLQ9" s="103"/>
      <c r="FLR9" s="103"/>
      <c r="FLS9" s="103"/>
      <c r="FLT9" s="103"/>
      <c r="FLU9" s="103"/>
      <c r="FLV9" s="103"/>
      <c r="FLW9" s="103"/>
      <c r="FLX9" s="103"/>
      <c r="FLY9" s="103"/>
      <c r="FLZ9" s="103"/>
      <c r="FMA9" s="103"/>
      <c r="FMB9" s="103"/>
      <c r="FMC9" s="103"/>
      <c r="FMD9" s="103"/>
      <c r="FME9" s="103"/>
      <c r="FMF9" s="103"/>
      <c r="FMG9" s="103"/>
      <c r="FMH9" s="103"/>
      <c r="FMI9" s="103"/>
      <c r="FMJ9" s="103"/>
      <c r="FMK9" s="103"/>
      <c r="FML9" s="103"/>
      <c r="FMM9" s="103"/>
      <c r="FMN9" s="103"/>
      <c r="FMO9" s="103"/>
      <c r="FMP9" s="103"/>
      <c r="FMQ9" s="103"/>
      <c r="FMR9" s="103"/>
      <c r="FMS9" s="103"/>
      <c r="FMT9" s="103"/>
      <c r="FMU9" s="103"/>
      <c r="FMV9" s="103"/>
      <c r="FMW9" s="103"/>
      <c r="FMX9" s="103"/>
      <c r="FMY9" s="103"/>
      <c r="FMZ9" s="103"/>
      <c r="FNA9" s="103"/>
      <c r="FNB9" s="103"/>
      <c r="FNC9" s="103"/>
      <c r="FND9" s="103"/>
      <c r="FNE9" s="103"/>
      <c r="FNF9" s="103"/>
      <c r="FNG9" s="103"/>
      <c r="FNH9" s="103"/>
      <c r="FNI9" s="103"/>
      <c r="FNJ9" s="103"/>
      <c r="FNK9" s="103"/>
      <c r="FNL9" s="103"/>
      <c r="FNM9" s="103"/>
      <c r="FNN9" s="103"/>
      <c r="FNO9" s="103"/>
      <c r="FNP9" s="103"/>
      <c r="FNQ9" s="103"/>
      <c r="FNR9" s="103"/>
      <c r="FNS9" s="103"/>
      <c r="FNT9" s="103"/>
      <c r="FNU9" s="103"/>
      <c r="FNV9" s="103"/>
      <c r="FNW9" s="103"/>
      <c r="FNX9" s="103"/>
      <c r="FNY9" s="103"/>
      <c r="FNZ9" s="103"/>
      <c r="FOA9" s="103"/>
      <c r="FOB9" s="103"/>
      <c r="FOC9" s="103"/>
      <c r="FOD9" s="103"/>
      <c r="FOE9" s="103"/>
      <c r="FOF9" s="103"/>
      <c r="FOG9" s="103"/>
      <c r="FOH9" s="103"/>
      <c r="FOI9" s="103"/>
      <c r="FOJ9" s="103"/>
      <c r="FOK9" s="103"/>
      <c r="FOL9" s="103"/>
      <c r="FOM9" s="103"/>
      <c r="FON9" s="103"/>
      <c r="FOO9" s="103"/>
      <c r="FOP9" s="103"/>
      <c r="FOQ9" s="103"/>
      <c r="FOR9" s="103"/>
      <c r="FOS9" s="103"/>
      <c r="FOT9" s="103"/>
      <c r="FOU9" s="103"/>
      <c r="FOV9" s="103"/>
      <c r="FOW9" s="103"/>
      <c r="FOX9" s="103"/>
      <c r="FOY9" s="103"/>
      <c r="FOZ9" s="103"/>
      <c r="FPA9" s="103"/>
      <c r="FPB9" s="103"/>
      <c r="FPC9" s="103"/>
      <c r="FPD9" s="103"/>
      <c r="FPE9" s="103"/>
      <c r="FPF9" s="103"/>
      <c r="FPG9" s="103"/>
      <c r="FPH9" s="103"/>
      <c r="FPI9" s="103"/>
      <c r="FPJ9" s="103"/>
      <c r="FPK9" s="103"/>
      <c r="FPL9" s="103"/>
      <c r="FPM9" s="103"/>
      <c r="FPN9" s="103"/>
      <c r="FPO9" s="103"/>
      <c r="FPP9" s="103"/>
      <c r="FPQ9" s="103"/>
      <c r="FPR9" s="103"/>
      <c r="FPS9" s="103"/>
      <c r="FPT9" s="103"/>
      <c r="FPU9" s="103"/>
      <c r="FPV9" s="103"/>
      <c r="FPW9" s="103"/>
      <c r="FPX9" s="103"/>
      <c r="FPY9" s="103"/>
      <c r="FPZ9" s="103"/>
      <c r="FQA9" s="103"/>
      <c r="FQB9" s="103"/>
      <c r="FQC9" s="103"/>
      <c r="FQD9" s="103"/>
      <c r="FQE9" s="103"/>
      <c r="FQF9" s="103"/>
      <c r="FQG9" s="103"/>
      <c r="FQH9" s="103"/>
      <c r="FQI9" s="103"/>
      <c r="FQJ9" s="103"/>
      <c r="FQK9" s="103"/>
      <c r="FQL9" s="103"/>
      <c r="FQM9" s="103"/>
      <c r="FQN9" s="103"/>
      <c r="FQO9" s="103"/>
      <c r="FQP9" s="103"/>
      <c r="FQQ9" s="103"/>
      <c r="FQR9" s="103"/>
      <c r="FQS9" s="103"/>
      <c r="FQT9" s="103"/>
      <c r="FQU9" s="103"/>
      <c r="FQV9" s="103"/>
      <c r="FQW9" s="103"/>
      <c r="FQX9" s="103"/>
      <c r="FQY9" s="103"/>
      <c r="FQZ9" s="103"/>
      <c r="FRA9" s="103"/>
      <c r="FRB9" s="103"/>
      <c r="FRC9" s="103"/>
      <c r="FRD9" s="103"/>
      <c r="FRE9" s="103"/>
      <c r="FRF9" s="103"/>
      <c r="FRG9" s="103"/>
      <c r="FRH9" s="103"/>
      <c r="FRI9" s="103"/>
      <c r="FRJ9" s="103"/>
      <c r="FRK9" s="103"/>
      <c r="FRL9" s="103"/>
      <c r="FRM9" s="103"/>
      <c r="FRN9" s="103"/>
      <c r="FRO9" s="103"/>
      <c r="FRP9" s="103"/>
      <c r="FRQ9" s="103"/>
      <c r="FRR9" s="103"/>
      <c r="FRS9" s="103"/>
      <c r="FRT9" s="103"/>
      <c r="FRU9" s="103"/>
      <c r="FRV9" s="103"/>
      <c r="FRW9" s="103"/>
      <c r="FRX9" s="103"/>
      <c r="FRY9" s="103"/>
      <c r="FRZ9" s="103"/>
      <c r="FSA9" s="103"/>
      <c r="FSB9" s="103"/>
      <c r="FSC9" s="103"/>
      <c r="FSD9" s="103"/>
      <c r="FSE9" s="103"/>
      <c r="FSF9" s="103"/>
      <c r="FSG9" s="103"/>
      <c r="FSH9" s="103"/>
      <c r="FSI9" s="103"/>
      <c r="FSJ9" s="103"/>
      <c r="FSK9" s="103"/>
      <c r="FSL9" s="103"/>
      <c r="FSM9" s="103"/>
      <c r="FSN9" s="103"/>
      <c r="FSO9" s="103"/>
      <c r="FSP9" s="103"/>
      <c r="FSQ9" s="103"/>
      <c r="FSR9" s="103"/>
      <c r="FSS9" s="103"/>
      <c r="FST9" s="103"/>
      <c r="FSU9" s="103"/>
      <c r="FSV9" s="103"/>
      <c r="FSW9" s="103"/>
      <c r="FSX9" s="103"/>
      <c r="FSY9" s="103"/>
      <c r="FSZ9" s="103"/>
      <c r="FTA9" s="103"/>
      <c r="FTB9" s="103"/>
      <c r="FTC9" s="103"/>
      <c r="FTD9" s="103"/>
      <c r="FTE9" s="103"/>
      <c r="FTF9" s="103"/>
      <c r="FTG9" s="103"/>
      <c r="FTH9" s="103"/>
      <c r="FTI9" s="103"/>
      <c r="FTJ9" s="103"/>
      <c r="FTK9" s="103"/>
      <c r="FTL9" s="103"/>
      <c r="FTM9" s="103"/>
      <c r="FTN9" s="103"/>
      <c r="FTO9" s="103"/>
      <c r="FTP9" s="103"/>
      <c r="FTQ9" s="103"/>
      <c r="FTR9" s="103"/>
      <c r="FTS9" s="103"/>
      <c r="FTT9" s="103"/>
      <c r="FTU9" s="103"/>
      <c r="FTV9" s="103"/>
      <c r="FTW9" s="103"/>
      <c r="FTX9" s="103"/>
      <c r="FTY9" s="103"/>
      <c r="FTZ9" s="103"/>
      <c r="FUA9" s="103"/>
      <c r="FUB9" s="103"/>
      <c r="FUC9" s="103"/>
      <c r="FUD9" s="103"/>
      <c r="FUE9" s="103"/>
      <c r="FUF9" s="103"/>
      <c r="FUG9" s="103"/>
      <c r="FUH9" s="103"/>
      <c r="FUI9" s="103"/>
      <c r="FUJ9" s="103"/>
      <c r="FUK9" s="103"/>
      <c r="FUL9" s="103"/>
      <c r="FUM9" s="103"/>
      <c r="FUN9" s="103"/>
      <c r="FUO9" s="103"/>
      <c r="FUP9" s="103"/>
      <c r="FUQ9" s="103"/>
      <c r="FUR9" s="103"/>
      <c r="FUS9" s="103"/>
      <c r="FUT9" s="103"/>
      <c r="FUU9" s="103"/>
      <c r="FUV9" s="103"/>
      <c r="FUW9" s="103"/>
      <c r="FUX9" s="103"/>
      <c r="FUY9" s="103"/>
      <c r="FUZ9" s="103"/>
      <c r="FVA9" s="103"/>
      <c r="FVB9" s="103"/>
      <c r="FVC9" s="103"/>
      <c r="FVD9" s="103"/>
      <c r="FVE9" s="103"/>
      <c r="FVF9" s="103"/>
      <c r="FVG9" s="103"/>
      <c r="FVH9" s="103"/>
      <c r="FVI9" s="103"/>
      <c r="FVJ9" s="103"/>
      <c r="FVK9" s="103"/>
      <c r="FVL9" s="103"/>
      <c r="FVM9" s="103"/>
      <c r="FVN9" s="103"/>
      <c r="FVO9" s="103"/>
      <c r="FVP9" s="103"/>
      <c r="FVQ9" s="103"/>
      <c r="FVR9" s="103"/>
      <c r="FVS9" s="103"/>
      <c r="FVT9" s="103"/>
      <c r="FVU9" s="103"/>
      <c r="FVV9" s="103"/>
      <c r="FVW9" s="103"/>
      <c r="FVX9" s="103"/>
      <c r="FVY9" s="103"/>
      <c r="FVZ9" s="103"/>
      <c r="FWA9" s="103"/>
      <c r="FWB9" s="103"/>
      <c r="FWC9" s="103"/>
      <c r="FWD9" s="103"/>
      <c r="FWE9" s="103"/>
      <c r="FWF9" s="103"/>
      <c r="FWG9" s="103"/>
      <c r="FWH9" s="103"/>
      <c r="FWI9" s="103"/>
      <c r="FWJ9" s="103"/>
      <c r="FWK9" s="103"/>
      <c r="FWL9" s="103"/>
      <c r="FWM9" s="103"/>
      <c r="FWN9" s="103"/>
      <c r="FWO9" s="103"/>
      <c r="FWP9" s="103"/>
      <c r="FWQ9" s="103"/>
      <c r="FWR9" s="103"/>
      <c r="FWS9" s="103"/>
      <c r="FWT9" s="103"/>
      <c r="FWU9" s="103"/>
      <c r="FWV9" s="103"/>
      <c r="FWW9" s="103"/>
      <c r="FWX9" s="103"/>
      <c r="FWY9" s="103"/>
      <c r="FWZ9" s="103"/>
      <c r="FXA9" s="103"/>
      <c r="FXB9" s="103"/>
      <c r="FXC9" s="103"/>
      <c r="FXD9" s="103"/>
      <c r="FXE9" s="103"/>
      <c r="FXF9" s="103"/>
      <c r="FXG9" s="103"/>
      <c r="FXH9" s="103"/>
      <c r="FXI9" s="103"/>
      <c r="FXJ9" s="103"/>
      <c r="FXK9" s="103"/>
      <c r="FXL9" s="103"/>
      <c r="FXM9" s="103"/>
      <c r="FXN9" s="103"/>
      <c r="FXO9" s="103"/>
      <c r="FXP9" s="103"/>
      <c r="FXQ9" s="103"/>
      <c r="FXR9" s="103"/>
      <c r="FXS9" s="103"/>
      <c r="FXT9" s="103"/>
      <c r="FXU9" s="103"/>
      <c r="FXV9" s="103"/>
      <c r="FXW9" s="103"/>
      <c r="FXX9" s="103"/>
      <c r="FXY9" s="103"/>
      <c r="FXZ9" s="103"/>
      <c r="FYA9" s="103"/>
      <c r="FYB9" s="103"/>
      <c r="FYC9" s="103"/>
      <c r="FYD9" s="103"/>
      <c r="FYE9" s="103"/>
      <c r="FYF9" s="103"/>
      <c r="FYG9" s="103"/>
      <c r="FYH9" s="103"/>
      <c r="FYI9" s="103"/>
      <c r="FYJ9" s="103"/>
      <c r="FYK9" s="103"/>
      <c r="FYL9" s="103"/>
      <c r="FYM9" s="103"/>
      <c r="FYN9" s="103"/>
      <c r="FYO9" s="103"/>
      <c r="FYP9" s="103"/>
      <c r="FYQ9" s="103"/>
      <c r="FYR9" s="103"/>
      <c r="FYS9" s="103"/>
      <c r="FYT9" s="103"/>
      <c r="FYU9" s="103"/>
      <c r="FYV9" s="103"/>
      <c r="FYW9" s="103"/>
      <c r="FYX9" s="103"/>
      <c r="FYY9" s="103"/>
      <c r="FYZ9" s="103"/>
      <c r="FZA9" s="103"/>
      <c r="FZB9" s="103"/>
      <c r="FZC9" s="103"/>
      <c r="FZD9" s="103"/>
      <c r="FZE9" s="103"/>
      <c r="FZF9" s="103"/>
      <c r="FZG9" s="103"/>
      <c r="FZH9" s="103"/>
      <c r="FZI9" s="103"/>
      <c r="FZJ9" s="103"/>
      <c r="FZK9" s="103"/>
      <c r="FZL9" s="103"/>
      <c r="FZM9" s="103"/>
      <c r="FZN9" s="103"/>
      <c r="FZO9" s="103"/>
      <c r="FZP9" s="103"/>
      <c r="FZQ9" s="103"/>
      <c r="FZR9" s="103"/>
      <c r="FZS9" s="103"/>
      <c r="FZT9" s="103"/>
      <c r="FZU9" s="103"/>
      <c r="FZV9" s="103"/>
      <c r="FZW9" s="103"/>
      <c r="FZX9" s="103"/>
      <c r="FZY9" s="103"/>
      <c r="FZZ9" s="103"/>
      <c r="GAA9" s="103"/>
      <c r="GAB9" s="103"/>
      <c r="GAC9" s="103"/>
      <c r="GAD9" s="103"/>
      <c r="GAE9" s="103"/>
      <c r="GAF9" s="103"/>
      <c r="GAG9" s="103"/>
      <c r="GAH9" s="103"/>
      <c r="GAI9" s="103"/>
      <c r="GAJ9" s="103"/>
      <c r="GAK9" s="103"/>
      <c r="GAL9" s="103"/>
      <c r="GAM9" s="103"/>
      <c r="GAN9" s="103"/>
      <c r="GAO9" s="103"/>
      <c r="GAP9" s="103"/>
      <c r="GAQ9" s="103"/>
      <c r="GAR9" s="103"/>
      <c r="GAS9" s="103"/>
      <c r="GAT9" s="103"/>
      <c r="GAU9" s="103"/>
      <c r="GAV9" s="103"/>
      <c r="GAW9" s="103"/>
      <c r="GAX9" s="103"/>
      <c r="GAY9" s="103"/>
      <c r="GAZ9" s="103"/>
      <c r="GBA9" s="103"/>
      <c r="GBB9" s="103"/>
      <c r="GBC9" s="103"/>
      <c r="GBD9" s="103"/>
      <c r="GBE9" s="103"/>
      <c r="GBF9" s="103"/>
      <c r="GBG9" s="103"/>
      <c r="GBH9" s="103"/>
      <c r="GBI9" s="103"/>
      <c r="GBJ9" s="103"/>
      <c r="GBK9" s="103"/>
      <c r="GBL9" s="103"/>
      <c r="GBM9" s="103"/>
      <c r="GBN9" s="103"/>
      <c r="GBO9" s="103"/>
      <c r="GBP9" s="103"/>
      <c r="GBQ9" s="103"/>
      <c r="GBR9" s="103"/>
      <c r="GBS9" s="103"/>
      <c r="GBT9" s="103"/>
      <c r="GBU9" s="103"/>
      <c r="GBV9" s="103"/>
      <c r="GBW9" s="103"/>
      <c r="GBX9" s="103"/>
      <c r="GBY9" s="103"/>
      <c r="GBZ9" s="103"/>
      <c r="GCA9" s="103"/>
      <c r="GCB9" s="103"/>
      <c r="GCC9" s="103"/>
      <c r="GCD9" s="103"/>
      <c r="GCE9" s="103"/>
      <c r="GCF9" s="103"/>
      <c r="GCG9" s="103"/>
      <c r="GCH9" s="103"/>
      <c r="GCI9" s="103"/>
      <c r="GCJ9" s="103"/>
      <c r="GCK9" s="103"/>
      <c r="GCL9" s="103"/>
      <c r="GCM9" s="103"/>
      <c r="GCN9" s="103"/>
      <c r="GCO9" s="103"/>
      <c r="GCP9" s="103"/>
      <c r="GCQ9" s="103"/>
      <c r="GCR9" s="103"/>
      <c r="GCS9" s="103"/>
      <c r="GCT9" s="103"/>
      <c r="GCU9" s="103"/>
      <c r="GCV9" s="103"/>
      <c r="GCW9" s="103"/>
      <c r="GCX9" s="103"/>
      <c r="GCY9" s="103"/>
      <c r="GCZ9" s="103"/>
      <c r="GDA9" s="103"/>
      <c r="GDB9" s="103"/>
      <c r="GDC9" s="103"/>
      <c r="GDD9" s="103"/>
      <c r="GDE9" s="103"/>
      <c r="GDF9" s="103"/>
      <c r="GDG9" s="103"/>
      <c r="GDH9" s="103"/>
      <c r="GDI9" s="103"/>
      <c r="GDJ9" s="103"/>
      <c r="GDK9" s="103"/>
      <c r="GDL9" s="103"/>
      <c r="GDM9" s="103"/>
      <c r="GDN9" s="103"/>
      <c r="GDO9" s="103"/>
      <c r="GDP9" s="103"/>
      <c r="GDQ9" s="103"/>
      <c r="GDR9" s="103"/>
      <c r="GDS9" s="103"/>
      <c r="GDT9" s="103"/>
      <c r="GDU9" s="103"/>
      <c r="GDV9" s="103"/>
      <c r="GDW9" s="103"/>
      <c r="GDX9" s="103"/>
      <c r="GDY9" s="103"/>
      <c r="GDZ9" s="103"/>
      <c r="GEA9" s="103"/>
      <c r="GEB9" s="103"/>
      <c r="GEC9" s="103"/>
      <c r="GED9" s="103"/>
      <c r="GEE9" s="103"/>
      <c r="GEF9" s="103"/>
      <c r="GEG9" s="103"/>
      <c r="GEH9" s="103"/>
      <c r="GEI9" s="103"/>
      <c r="GEJ9" s="103"/>
      <c r="GEK9" s="103"/>
      <c r="GEL9" s="103"/>
      <c r="GEM9" s="103"/>
      <c r="GEN9" s="103"/>
      <c r="GEO9" s="103"/>
      <c r="GEP9" s="103"/>
      <c r="GEQ9" s="103"/>
      <c r="GER9" s="103"/>
      <c r="GES9" s="103"/>
      <c r="GET9" s="103"/>
      <c r="GEU9" s="103"/>
      <c r="GEV9" s="103"/>
      <c r="GEW9" s="103"/>
      <c r="GEX9" s="103"/>
      <c r="GEY9" s="103"/>
      <c r="GEZ9" s="103"/>
      <c r="GFA9" s="103"/>
      <c r="GFB9" s="103"/>
      <c r="GFC9" s="103"/>
      <c r="GFD9" s="103"/>
      <c r="GFE9" s="103"/>
      <c r="GFF9" s="103"/>
      <c r="GFG9" s="103"/>
      <c r="GFH9" s="103"/>
      <c r="GFI9" s="103"/>
      <c r="GFJ9" s="103"/>
      <c r="GFK9" s="103"/>
      <c r="GFL9" s="103"/>
      <c r="GFM9" s="103"/>
      <c r="GFN9" s="103"/>
      <c r="GFO9" s="103"/>
      <c r="GFP9" s="103"/>
      <c r="GFQ9" s="103"/>
      <c r="GFR9" s="103"/>
      <c r="GFS9" s="103"/>
      <c r="GFT9" s="103"/>
      <c r="GFU9" s="103"/>
      <c r="GFV9" s="103"/>
      <c r="GFW9" s="103"/>
      <c r="GFX9" s="103"/>
      <c r="GFY9" s="103"/>
      <c r="GFZ9" s="103"/>
      <c r="GGA9" s="103"/>
      <c r="GGB9" s="103"/>
      <c r="GGC9" s="103"/>
      <c r="GGD9" s="103"/>
      <c r="GGE9" s="103"/>
      <c r="GGF9" s="103"/>
      <c r="GGG9" s="103"/>
      <c r="GGH9" s="103"/>
      <c r="GGI9" s="103"/>
      <c r="GGJ9" s="103"/>
      <c r="GGK9" s="103"/>
      <c r="GGL9" s="103"/>
      <c r="GGM9" s="103"/>
      <c r="GGN9" s="103"/>
      <c r="GGO9" s="103"/>
      <c r="GGP9" s="103"/>
      <c r="GGQ9" s="103"/>
      <c r="GGR9" s="103"/>
      <c r="GGS9" s="103"/>
      <c r="GGT9" s="103"/>
      <c r="GGU9" s="103"/>
      <c r="GGV9" s="103"/>
      <c r="GGW9" s="103"/>
      <c r="GGX9" s="103"/>
      <c r="GGY9" s="103"/>
      <c r="GGZ9" s="103"/>
      <c r="GHA9" s="103"/>
      <c r="GHB9" s="103"/>
      <c r="GHC9" s="103"/>
      <c r="GHD9" s="103"/>
      <c r="GHE9" s="103"/>
      <c r="GHF9" s="103"/>
      <c r="GHG9" s="103"/>
      <c r="GHH9" s="103"/>
      <c r="GHI9" s="103"/>
      <c r="GHJ9" s="103"/>
      <c r="GHK9" s="103"/>
      <c r="GHL9" s="103"/>
      <c r="GHM9" s="103"/>
      <c r="GHN9" s="103"/>
      <c r="GHO9" s="103"/>
      <c r="GHP9" s="103"/>
      <c r="GHQ9" s="103"/>
      <c r="GHR9" s="103"/>
      <c r="GHS9" s="103"/>
      <c r="GHT9" s="103"/>
      <c r="GHU9" s="103"/>
      <c r="GHV9" s="103"/>
      <c r="GHW9" s="103"/>
      <c r="GHX9" s="103"/>
      <c r="GHY9" s="103"/>
      <c r="GHZ9" s="103"/>
      <c r="GIA9" s="103"/>
      <c r="GIB9" s="103"/>
      <c r="GIC9" s="103"/>
      <c r="GID9" s="103"/>
      <c r="GIE9" s="103"/>
      <c r="GIF9" s="103"/>
      <c r="GIG9" s="103"/>
      <c r="GIH9" s="103"/>
      <c r="GII9" s="103"/>
      <c r="GIJ9" s="103"/>
      <c r="GIK9" s="103"/>
      <c r="GIL9" s="103"/>
      <c r="GIM9" s="103"/>
      <c r="GIN9" s="103"/>
      <c r="GIO9" s="103"/>
      <c r="GIP9" s="103"/>
      <c r="GIQ9" s="103"/>
      <c r="GIR9" s="103"/>
      <c r="GIS9" s="103"/>
      <c r="GIT9" s="103"/>
      <c r="GIU9" s="103"/>
      <c r="GIV9" s="103"/>
      <c r="GIW9" s="103"/>
      <c r="GIX9" s="103"/>
      <c r="GIY9" s="103"/>
      <c r="GIZ9" s="103"/>
      <c r="GJA9" s="103"/>
      <c r="GJB9" s="103"/>
      <c r="GJC9" s="103"/>
      <c r="GJD9" s="103"/>
      <c r="GJE9" s="103"/>
      <c r="GJF9" s="103"/>
      <c r="GJG9" s="103"/>
      <c r="GJH9" s="103"/>
      <c r="GJI9" s="103"/>
      <c r="GJJ9" s="103"/>
      <c r="GJK9" s="103"/>
      <c r="GJL9" s="103"/>
      <c r="GJM9" s="103"/>
      <c r="GJN9" s="103"/>
      <c r="GJO9" s="103"/>
      <c r="GJP9" s="103"/>
      <c r="GJQ9" s="103"/>
      <c r="GJR9" s="103"/>
      <c r="GJS9" s="103"/>
      <c r="GJT9" s="103"/>
      <c r="GJU9" s="103"/>
      <c r="GJV9" s="103"/>
      <c r="GJW9" s="103"/>
      <c r="GJX9" s="103"/>
      <c r="GJY9" s="103"/>
      <c r="GJZ9" s="103"/>
      <c r="GKA9" s="103"/>
      <c r="GKB9" s="103"/>
      <c r="GKC9" s="103"/>
      <c r="GKD9" s="103"/>
      <c r="GKE9" s="103"/>
      <c r="GKF9" s="103"/>
      <c r="GKG9" s="103"/>
      <c r="GKH9" s="103"/>
      <c r="GKI9" s="103"/>
      <c r="GKJ9" s="103"/>
      <c r="GKK9" s="103"/>
      <c r="GKL9" s="103"/>
      <c r="GKM9" s="103"/>
      <c r="GKN9" s="103"/>
      <c r="GKO9" s="103"/>
      <c r="GKP9" s="103"/>
      <c r="GKQ9" s="103"/>
      <c r="GKR9" s="103"/>
      <c r="GKS9" s="103"/>
      <c r="GKT9" s="103"/>
      <c r="GKU9" s="103"/>
      <c r="GKV9" s="103"/>
      <c r="GKW9" s="103"/>
      <c r="GKX9" s="103"/>
      <c r="GKY9" s="103"/>
      <c r="GKZ9" s="103"/>
      <c r="GLA9" s="103"/>
      <c r="GLB9" s="103"/>
      <c r="GLC9" s="103"/>
      <c r="GLD9" s="103"/>
      <c r="GLE9" s="103"/>
      <c r="GLF9" s="103"/>
      <c r="GLG9" s="103"/>
      <c r="GLH9" s="103"/>
      <c r="GLI9" s="103"/>
      <c r="GLJ9" s="103"/>
      <c r="GLK9" s="103"/>
      <c r="GLL9" s="103"/>
      <c r="GLM9" s="103"/>
      <c r="GLN9" s="103"/>
      <c r="GLO9" s="103"/>
      <c r="GLP9" s="103"/>
      <c r="GLQ9" s="103"/>
      <c r="GLR9" s="103"/>
      <c r="GLS9" s="103"/>
      <c r="GLT9" s="103"/>
      <c r="GLU9" s="103"/>
      <c r="GLV9" s="103"/>
      <c r="GLW9" s="103"/>
      <c r="GLX9" s="103"/>
      <c r="GLY9" s="103"/>
      <c r="GLZ9" s="103"/>
      <c r="GMA9" s="103"/>
      <c r="GMB9" s="103"/>
      <c r="GMC9" s="103"/>
      <c r="GMD9" s="103"/>
      <c r="GME9" s="103"/>
      <c r="GMF9" s="103"/>
      <c r="GMG9" s="103"/>
      <c r="GMH9" s="103"/>
      <c r="GMI9" s="103"/>
      <c r="GMJ9" s="103"/>
      <c r="GMK9" s="103"/>
      <c r="GML9" s="103"/>
      <c r="GMM9" s="103"/>
      <c r="GMN9" s="103"/>
      <c r="GMO9" s="103"/>
      <c r="GMP9" s="103"/>
      <c r="GMQ9" s="103"/>
      <c r="GMR9" s="103"/>
      <c r="GMS9" s="103"/>
      <c r="GMT9" s="103"/>
      <c r="GMU9" s="103"/>
      <c r="GMV9" s="103"/>
      <c r="GMW9" s="103"/>
      <c r="GMX9" s="103"/>
      <c r="GMY9" s="103"/>
      <c r="GMZ9" s="103"/>
      <c r="GNA9" s="103"/>
      <c r="GNB9" s="103"/>
      <c r="GNC9" s="103"/>
      <c r="GND9" s="103"/>
      <c r="GNE9" s="103"/>
      <c r="GNF9" s="103"/>
      <c r="GNG9" s="103"/>
      <c r="GNH9" s="103"/>
      <c r="GNI9" s="103"/>
      <c r="GNJ9" s="103"/>
      <c r="GNK9" s="103"/>
      <c r="GNL9" s="103"/>
      <c r="GNM9" s="103"/>
      <c r="GNN9" s="103"/>
      <c r="GNO9" s="103"/>
      <c r="GNP9" s="103"/>
      <c r="GNQ9" s="103"/>
      <c r="GNR9" s="103"/>
      <c r="GNS9" s="103"/>
      <c r="GNT9" s="103"/>
      <c r="GNU9" s="103"/>
      <c r="GNV9" s="103"/>
      <c r="GNW9" s="103"/>
      <c r="GNX9" s="103"/>
      <c r="GNY9" s="103"/>
      <c r="GNZ9" s="103"/>
      <c r="GOA9" s="103"/>
      <c r="GOB9" s="103"/>
      <c r="GOC9" s="103"/>
      <c r="GOD9" s="103"/>
      <c r="GOE9" s="103"/>
      <c r="GOF9" s="103"/>
      <c r="GOG9" s="103"/>
      <c r="GOH9" s="103"/>
      <c r="GOI9" s="103"/>
      <c r="GOJ9" s="103"/>
      <c r="GOK9" s="103"/>
      <c r="GOL9" s="103"/>
      <c r="GOM9" s="103"/>
      <c r="GON9" s="103"/>
      <c r="GOO9" s="103"/>
      <c r="GOP9" s="103"/>
      <c r="GOQ9" s="103"/>
      <c r="GOR9" s="103"/>
      <c r="GOS9" s="103"/>
      <c r="GOT9" s="103"/>
      <c r="GOU9" s="103"/>
      <c r="GOV9" s="103"/>
      <c r="GOW9" s="103"/>
      <c r="GOX9" s="103"/>
      <c r="GOY9" s="103"/>
      <c r="GOZ9" s="103"/>
      <c r="GPA9" s="103"/>
      <c r="GPB9" s="103"/>
      <c r="GPC9" s="103"/>
      <c r="GPD9" s="103"/>
      <c r="GPE9" s="103"/>
      <c r="GPF9" s="103"/>
      <c r="GPG9" s="103"/>
      <c r="GPH9" s="103"/>
      <c r="GPI9" s="103"/>
      <c r="GPJ9" s="103"/>
      <c r="GPK9" s="103"/>
      <c r="GPL9" s="103"/>
      <c r="GPM9" s="103"/>
      <c r="GPN9" s="103"/>
      <c r="GPO9" s="103"/>
      <c r="GPP9" s="103"/>
      <c r="GPQ9" s="103"/>
      <c r="GPR9" s="103"/>
      <c r="GPS9" s="103"/>
      <c r="GPT9" s="103"/>
      <c r="GPU9" s="103"/>
      <c r="GPV9" s="103"/>
      <c r="GPW9" s="103"/>
      <c r="GPX9" s="103"/>
      <c r="GPY9" s="103"/>
      <c r="GPZ9" s="103"/>
      <c r="GQA9" s="103"/>
      <c r="GQB9" s="103"/>
      <c r="GQC9" s="103"/>
      <c r="GQD9" s="103"/>
      <c r="GQE9" s="103"/>
      <c r="GQF9" s="103"/>
      <c r="GQG9" s="103"/>
      <c r="GQH9" s="103"/>
      <c r="GQI9" s="103"/>
      <c r="GQJ9" s="103"/>
      <c r="GQK9" s="103"/>
      <c r="GQL9" s="103"/>
      <c r="GQM9" s="103"/>
      <c r="GQN9" s="103"/>
      <c r="GQO9" s="103"/>
      <c r="GQP9" s="103"/>
      <c r="GQQ9" s="103"/>
      <c r="GQR9" s="103"/>
      <c r="GQS9" s="103"/>
      <c r="GQT9" s="103"/>
      <c r="GQU9" s="103"/>
      <c r="GQV9" s="103"/>
      <c r="GQW9" s="103"/>
      <c r="GQX9" s="103"/>
      <c r="GQY9" s="103"/>
      <c r="GQZ9" s="103"/>
      <c r="GRA9" s="103"/>
      <c r="GRB9" s="103"/>
      <c r="GRC9" s="103"/>
      <c r="GRD9" s="103"/>
      <c r="GRE9" s="103"/>
      <c r="GRF9" s="103"/>
      <c r="GRG9" s="103"/>
      <c r="GRH9" s="103"/>
      <c r="GRI9" s="103"/>
      <c r="GRJ9" s="103"/>
      <c r="GRK9" s="103"/>
      <c r="GRL9" s="103"/>
      <c r="GRM9" s="103"/>
      <c r="GRN9" s="103"/>
      <c r="GRO9" s="103"/>
      <c r="GRP9" s="103"/>
      <c r="GRQ9" s="103"/>
      <c r="GRR9" s="103"/>
      <c r="GRS9" s="103"/>
      <c r="GRT9" s="103"/>
      <c r="GRU9" s="103"/>
      <c r="GRV9" s="103"/>
      <c r="GRW9" s="103"/>
      <c r="GRX9" s="103"/>
      <c r="GRY9" s="103"/>
      <c r="GRZ9" s="103"/>
      <c r="GSA9" s="103"/>
      <c r="GSB9" s="103"/>
      <c r="GSC9" s="103"/>
      <c r="GSD9" s="103"/>
      <c r="GSE9" s="103"/>
      <c r="GSF9" s="103"/>
      <c r="GSG9" s="103"/>
      <c r="GSH9" s="103"/>
      <c r="GSI9" s="103"/>
      <c r="GSJ9" s="103"/>
      <c r="GSK9" s="103"/>
      <c r="GSL9" s="103"/>
      <c r="GSM9" s="103"/>
      <c r="GSN9" s="103"/>
      <c r="GSO9" s="103"/>
      <c r="GSP9" s="103"/>
      <c r="GSQ9" s="103"/>
      <c r="GSR9" s="103"/>
      <c r="GSS9" s="103"/>
      <c r="GST9" s="103"/>
      <c r="GSU9" s="103"/>
      <c r="GSV9" s="103"/>
      <c r="GSW9" s="103"/>
      <c r="GSX9" s="103"/>
      <c r="GSY9" s="103"/>
      <c r="GSZ9" s="103"/>
      <c r="GTA9" s="103"/>
      <c r="GTB9" s="103"/>
      <c r="GTC9" s="103"/>
      <c r="GTD9" s="103"/>
      <c r="GTE9" s="103"/>
      <c r="GTF9" s="103"/>
      <c r="GTG9" s="103"/>
      <c r="GTH9" s="103"/>
      <c r="GTI9" s="103"/>
      <c r="GTJ9" s="103"/>
      <c r="GTK9" s="103"/>
      <c r="GTL9" s="103"/>
      <c r="GTM9" s="103"/>
      <c r="GTN9" s="103"/>
      <c r="GTO9" s="103"/>
      <c r="GTP9" s="103"/>
      <c r="GTQ9" s="103"/>
      <c r="GTR9" s="103"/>
      <c r="GTS9" s="103"/>
      <c r="GTT9" s="103"/>
      <c r="GTU9" s="103"/>
      <c r="GTV9" s="103"/>
      <c r="GTW9" s="103"/>
      <c r="GTX9" s="103"/>
      <c r="GTY9" s="103"/>
      <c r="GTZ9" s="103"/>
      <c r="GUA9" s="103"/>
      <c r="GUB9" s="103"/>
      <c r="GUC9" s="103"/>
      <c r="GUD9" s="103"/>
      <c r="GUE9" s="103"/>
      <c r="GUF9" s="103"/>
      <c r="GUG9" s="103"/>
      <c r="GUH9" s="103"/>
      <c r="GUI9" s="103"/>
      <c r="GUJ9" s="103"/>
      <c r="GUK9" s="103"/>
      <c r="GUL9" s="103"/>
      <c r="GUM9" s="103"/>
      <c r="GUN9" s="103"/>
      <c r="GUO9" s="103"/>
      <c r="GUP9" s="103"/>
      <c r="GUQ9" s="103"/>
      <c r="GUR9" s="103"/>
      <c r="GUS9" s="103"/>
      <c r="GUT9" s="103"/>
      <c r="GUU9" s="103"/>
      <c r="GUV9" s="103"/>
      <c r="GUW9" s="103"/>
      <c r="GUX9" s="103"/>
      <c r="GUY9" s="103"/>
      <c r="GUZ9" s="103"/>
      <c r="GVA9" s="103"/>
      <c r="GVB9" s="103"/>
      <c r="GVC9" s="103"/>
      <c r="GVD9" s="103"/>
      <c r="GVE9" s="103"/>
      <c r="GVF9" s="103"/>
      <c r="GVG9" s="103"/>
      <c r="GVH9" s="103"/>
      <c r="GVI9" s="103"/>
      <c r="GVJ9" s="103"/>
      <c r="GVK9" s="103"/>
      <c r="GVL9" s="103"/>
      <c r="GVM9" s="103"/>
      <c r="GVN9" s="103"/>
      <c r="GVO9" s="103"/>
      <c r="GVP9" s="103"/>
      <c r="GVQ9" s="103"/>
      <c r="GVR9" s="103"/>
      <c r="GVS9" s="103"/>
      <c r="GVT9" s="103"/>
      <c r="GVU9" s="103"/>
      <c r="GVV9" s="103"/>
      <c r="GVW9" s="103"/>
      <c r="GVX9" s="103"/>
      <c r="GVY9" s="103"/>
      <c r="GVZ9" s="103"/>
      <c r="GWA9" s="103"/>
      <c r="GWB9" s="103"/>
      <c r="GWC9" s="103"/>
      <c r="GWD9" s="103"/>
      <c r="GWE9" s="103"/>
      <c r="GWF9" s="103"/>
      <c r="GWG9" s="103"/>
      <c r="GWH9" s="103"/>
      <c r="GWI9" s="103"/>
      <c r="GWJ9" s="103"/>
      <c r="GWK9" s="103"/>
      <c r="GWL9" s="103"/>
      <c r="GWM9" s="103"/>
      <c r="GWN9" s="103"/>
      <c r="GWO9" s="103"/>
      <c r="GWP9" s="103"/>
      <c r="GWQ9" s="103"/>
      <c r="GWR9" s="103"/>
      <c r="GWS9" s="103"/>
      <c r="GWT9" s="103"/>
      <c r="GWU9" s="103"/>
      <c r="GWV9" s="103"/>
      <c r="GWW9" s="103"/>
      <c r="GWX9" s="103"/>
      <c r="GWY9" s="103"/>
      <c r="GWZ9" s="103"/>
      <c r="GXA9" s="103"/>
      <c r="GXB9" s="103"/>
      <c r="GXC9" s="103"/>
      <c r="GXD9" s="103"/>
      <c r="GXE9" s="103"/>
      <c r="GXF9" s="103"/>
      <c r="GXG9" s="103"/>
      <c r="GXH9" s="103"/>
      <c r="GXI9" s="103"/>
      <c r="GXJ9" s="103"/>
      <c r="GXK9" s="103"/>
      <c r="GXL9" s="103"/>
      <c r="GXM9" s="103"/>
      <c r="GXN9" s="103"/>
      <c r="GXO9" s="103"/>
      <c r="GXP9" s="103"/>
      <c r="GXQ9" s="103"/>
      <c r="GXR9" s="103"/>
      <c r="GXS9" s="103"/>
      <c r="GXT9" s="103"/>
      <c r="GXU9" s="103"/>
      <c r="GXV9" s="103"/>
      <c r="GXW9" s="103"/>
      <c r="GXX9" s="103"/>
      <c r="GXY9" s="103"/>
      <c r="GXZ9" s="103"/>
      <c r="GYA9" s="103"/>
      <c r="GYB9" s="103"/>
      <c r="GYC9" s="103"/>
      <c r="GYD9" s="103"/>
      <c r="GYE9" s="103"/>
      <c r="GYF9" s="103"/>
      <c r="GYG9" s="103"/>
      <c r="GYH9" s="103"/>
      <c r="GYI9" s="103"/>
      <c r="GYJ9" s="103"/>
      <c r="GYK9" s="103"/>
      <c r="GYL9" s="103"/>
      <c r="GYM9" s="103"/>
      <c r="GYN9" s="103"/>
      <c r="GYO9" s="103"/>
      <c r="GYP9" s="103"/>
      <c r="GYQ9" s="103"/>
      <c r="GYR9" s="103"/>
      <c r="GYS9" s="103"/>
      <c r="GYT9" s="103"/>
      <c r="GYU9" s="103"/>
      <c r="GYV9" s="103"/>
      <c r="GYW9" s="103"/>
      <c r="GYX9" s="103"/>
      <c r="GYY9" s="103"/>
      <c r="GYZ9" s="103"/>
      <c r="GZA9" s="103"/>
      <c r="GZB9" s="103"/>
      <c r="GZC9" s="103"/>
      <c r="GZD9" s="103"/>
      <c r="GZE9" s="103"/>
      <c r="GZF9" s="103"/>
      <c r="GZG9" s="103"/>
      <c r="GZH9" s="103"/>
      <c r="GZI9" s="103"/>
      <c r="GZJ9" s="103"/>
      <c r="GZK9" s="103"/>
      <c r="GZL9" s="103"/>
      <c r="GZM9" s="103"/>
      <c r="GZN9" s="103"/>
      <c r="GZO9" s="103"/>
      <c r="GZP9" s="103"/>
      <c r="GZQ9" s="103"/>
      <c r="GZR9" s="103"/>
      <c r="GZS9" s="103"/>
      <c r="GZT9" s="103"/>
      <c r="GZU9" s="103"/>
      <c r="GZV9" s="103"/>
      <c r="GZW9" s="103"/>
      <c r="GZX9" s="103"/>
      <c r="GZY9" s="103"/>
      <c r="GZZ9" s="103"/>
      <c r="HAA9" s="103"/>
      <c r="HAB9" s="103"/>
      <c r="HAC9" s="103"/>
      <c r="HAD9" s="103"/>
      <c r="HAE9" s="103"/>
      <c r="HAF9" s="103"/>
      <c r="HAG9" s="103"/>
      <c r="HAH9" s="103"/>
      <c r="HAI9" s="103"/>
      <c r="HAJ9" s="103"/>
      <c r="HAK9" s="103"/>
      <c r="HAL9" s="103"/>
      <c r="HAM9" s="103"/>
      <c r="HAN9" s="103"/>
      <c r="HAO9" s="103"/>
      <c r="HAP9" s="103"/>
      <c r="HAQ9" s="103"/>
      <c r="HAR9" s="103"/>
      <c r="HAS9" s="103"/>
      <c r="HAT9" s="103"/>
      <c r="HAU9" s="103"/>
      <c r="HAV9" s="103"/>
      <c r="HAW9" s="103"/>
      <c r="HAX9" s="103"/>
      <c r="HAY9" s="103"/>
      <c r="HAZ9" s="103"/>
      <c r="HBA9" s="103"/>
      <c r="HBB9" s="103"/>
      <c r="HBC9" s="103"/>
      <c r="HBD9" s="103"/>
      <c r="HBE9" s="103"/>
      <c r="HBF9" s="103"/>
      <c r="HBG9" s="103"/>
      <c r="HBH9" s="103"/>
      <c r="HBI9" s="103"/>
      <c r="HBJ9" s="103"/>
      <c r="HBK9" s="103"/>
      <c r="HBL9" s="103"/>
      <c r="HBM9" s="103"/>
      <c r="HBN9" s="103"/>
      <c r="HBO9" s="103"/>
      <c r="HBP9" s="103"/>
      <c r="HBQ9" s="103"/>
      <c r="HBR9" s="103"/>
      <c r="HBS9" s="103"/>
      <c r="HBT9" s="103"/>
      <c r="HBU9" s="103"/>
      <c r="HBV9" s="103"/>
      <c r="HBW9" s="103"/>
      <c r="HBX9" s="103"/>
      <c r="HBY9" s="103"/>
      <c r="HBZ9" s="103"/>
      <c r="HCA9" s="103"/>
      <c r="HCB9" s="103"/>
      <c r="HCC9" s="103"/>
      <c r="HCD9" s="103"/>
      <c r="HCE9" s="103"/>
      <c r="HCF9" s="103"/>
      <c r="HCG9" s="103"/>
      <c r="HCH9" s="103"/>
      <c r="HCI9" s="103"/>
      <c r="HCJ9" s="103"/>
      <c r="HCK9" s="103"/>
      <c r="HCL9" s="103"/>
      <c r="HCM9" s="103"/>
      <c r="HCN9" s="103"/>
      <c r="HCO9" s="103"/>
      <c r="HCP9" s="103"/>
      <c r="HCQ9" s="103"/>
      <c r="HCR9" s="103"/>
      <c r="HCS9" s="103"/>
      <c r="HCT9" s="103"/>
      <c r="HCU9" s="103"/>
      <c r="HCV9" s="103"/>
      <c r="HCW9" s="103"/>
      <c r="HCX9" s="103"/>
      <c r="HCY9" s="103"/>
      <c r="HCZ9" s="103"/>
      <c r="HDA9" s="103"/>
      <c r="HDB9" s="103"/>
      <c r="HDC9" s="103"/>
      <c r="HDD9" s="103"/>
      <c r="HDE9" s="103"/>
      <c r="HDF9" s="103"/>
      <c r="HDG9" s="103"/>
      <c r="HDH9" s="103"/>
      <c r="HDI9" s="103"/>
      <c r="HDJ9" s="103"/>
      <c r="HDK9" s="103"/>
      <c r="HDL9" s="103"/>
      <c r="HDM9" s="103"/>
      <c r="HDN9" s="103"/>
      <c r="HDO9" s="103"/>
      <c r="HDP9" s="103"/>
      <c r="HDQ9" s="103"/>
      <c r="HDR9" s="103"/>
      <c r="HDS9" s="103"/>
      <c r="HDT9" s="103"/>
      <c r="HDU9" s="103"/>
      <c r="HDV9" s="103"/>
      <c r="HDW9" s="103"/>
      <c r="HDX9" s="103"/>
      <c r="HDY9" s="103"/>
      <c r="HDZ9" s="103"/>
      <c r="HEA9" s="103"/>
      <c r="HEB9" s="103"/>
      <c r="HEC9" s="103"/>
      <c r="HED9" s="103"/>
      <c r="HEE9" s="103"/>
      <c r="HEF9" s="103"/>
      <c r="HEG9" s="103"/>
      <c r="HEH9" s="103"/>
      <c r="HEI9" s="103"/>
      <c r="HEJ9" s="103"/>
      <c r="HEK9" s="103"/>
      <c r="HEL9" s="103"/>
      <c r="HEM9" s="103"/>
      <c r="HEN9" s="103"/>
      <c r="HEO9" s="103"/>
      <c r="HEP9" s="103"/>
      <c r="HEQ9" s="103"/>
      <c r="HER9" s="103"/>
      <c r="HES9" s="103"/>
      <c r="HET9" s="103"/>
      <c r="HEU9" s="103"/>
      <c r="HEV9" s="103"/>
      <c r="HEW9" s="103"/>
      <c r="HEX9" s="103"/>
      <c r="HEY9" s="103"/>
      <c r="HEZ9" s="103"/>
      <c r="HFA9" s="103"/>
      <c r="HFB9" s="103"/>
      <c r="HFC9" s="103"/>
      <c r="HFD9" s="103"/>
      <c r="HFE9" s="103"/>
      <c r="HFF9" s="103"/>
      <c r="HFG9" s="103"/>
      <c r="HFH9" s="103"/>
      <c r="HFI9" s="103"/>
      <c r="HFJ9" s="103"/>
      <c r="HFK9" s="103"/>
      <c r="HFL9" s="103"/>
      <c r="HFM9" s="103"/>
      <c r="HFN9" s="103"/>
      <c r="HFO9" s="103"/>
      <c r="HFP9" s="103"/>
      <c r="HFQ9" s="103"/>
      <c r="HFR9" s="103"/>
      <c r="HFS9" s="103"/>
      <c r="HFT9" s="103"/>
      <c r="HFU9" s="103"/>
      <c r="HFV9" s="103"/>
      <c r="HFW9" s="103"/>
      <c r="HFX9" s="103"/>
      <c r="HFY9" s="103"/>
      <c r="HFZ9" s="103"/>
      <c r="HGA9" s="103"/>
      <c r="HGB9" s="103"/>
      <c r="HGC9" s="103"/>
      <c r="HGD9" s="103"/>
      <c r="HGE9" s="103"/>
      <c r="HGF9" s="103"/>
      <c r="HGG9" s="103"/>
      <c r="HGH9" s="103"/>
      <c r="HGI9" s="103"/>
      <c r="HGJ9" s="103"/>
      <c r="HGK9" s="103"/>
      <c r="HGL9" s="103"/>
      <c r="HGM9" s="103"/>
      <c r="HGN9" s="103"/>
      <c r="HGO9" s="103"/>
      <c r="HGP9" s="103"/>
      <c r="HGQ9" s="103"/>
      <c r="HGR9" s="103"/>
      <c r="HGS9" s="103"/>
      <c r="HGT9" s="103"/>
      <c r="HGU9" s="103"/>
      <c r="HGV9" s="103"/>
      <c r="HGW9" s="103"/>
      <c r="HGX9" s="103"/>
      <c r="HGY9" s="103"/>
      <c r="HGZ9" s="103"/>
      <c r="HHA9" s="103"/>
      <c r="HHB9" s="103"/>
      <c r="HHC9" s="103"/>
      <c r="HHD9" s="103"/>
      <c r="HHE9" s="103"/>
      <c r="HHF9" s="103"/>
      <c r="HHG9" s="103"/>
      <c r="HHH9" s="103"/>
      <c r="HHI9" s="103"/>
      <c r="HHJ9" s="103"/>
      <c r="HHK9" s="103"/>
      <c r="HHL9" s="103"/>
      <c r="HHM9" s="103"/>
      <c r="HHN9" s="103"/>
      <c r="HHO9" s="103"/>
      <c r="HHP9" s="103"/>
      <c r="HHQ9" s="103"/>
      <c r="HHR9" s="103"/>
      <c r="HHS9" s="103"/>
      <c r="HHT9" s="103"/>
      <c r="HHU9" s="103"/>
      <c r="HHV9" s="103"/>
      <c r="HHW9" s="103"/>
      <c r="HHX9" s="103"/>
      <c r="HHY9" s="103"/>
      <c r="HHZ9" s="103"/>
      <c r="HIA9" s="103"/>
      <c r="HIB9" s="103"/>
      <c r="HIC9" s="103"/>
      <c r="HID9" s="103"/>
      <c r="HIE9" s="103"/>
      <c r="HIF9" s="103"/>
      <c r="HIG9" s="103"/>
      <c r="HIH9" s="103"/>
      <c r="HII9" s="103"/>
      <c r="HIJ9" s="103"/>
      <c r="HIK9" s="103"/>
      <c r="HIL9" s="103"/>
      <c r="HIM9" s="103"/>
      <c r="HIN9" s="103"/>
      <c r="HIO9" s="103"/>
      <c r="HIP9" s="103"/>
      <c r="HIQ9" s="103"/>
      <c r="HIR9" s="103"/>
      <c r="HIS9" s="103"/>
      <c r="HIT9" s="103"/>
      <c r="HIU9" s="103"/>
      <c r="HIV9" s="103"/>
      <c r="HIW9" s="103"/>
      <c r="HIX9" s="103"/>
      <c r="HIY9" s="103"/>
      <c r="HIZ9" s="103"/>
      <c r="HJA9" s="103"/>
      <c r="HJB9" s="103"/>
      <c r="HJC9" s="103"/>
      <c r="HJD9" s="103"/>
      <c r="HJE9" s="103"/>
      <c r="HJF9" s="103"/>
      <c r="HJG9" s="103"/>
      <c r="HJH9" s="103"/>
      <c r="HJI9" s="103"/>
      <c r="HJJ9" s="103"/>
      <c r="HJK9" s="103"/>
      <c r="HJL9" s="103"/>
      <c r="HJM9" s="103"/>
      <c r="HJN9" s="103"/>
      <c r="HJO9" s="103"/>
      <c r="HJP9" s="103"/>
      <c r="HJQ9" s="103"/>
      <c r="HJR9" s="103"/>
      <c r="HJS9" s="103"/>
      <c r="HJT9" s="103"/>
      <c r="HJU9" s="103"/>
      <c r="HJV9" s="103"/>
      <c r="HJW9" s="103"/>
      <c r="HJX9" s="103"/>
      <c r="HJY9" s="103"/>
      <c r="HJZ9" s="103"/>
      <c r="HKA9" s="103"/>
      <c r="HKB9" s="103"/>
      <c r="HKC9" s="103"/>
      <c r="HKD9" s="103"/>
      <c r="HKE9" s="103"/>
      <c r="HKF9" s="103"/>
      <c r="HKG9" s="103"/>
      <c r="HKH9" s="103"/>
      <c r="HKI9" s="103"/>
      <c r="HKJ9" s="103"/>
      <c r="HKK9" s="103"/>
      <c r="HKL9" s="103"/>
      <c r="HKM9" s="103"/>
      <c r="HKN9" s="103"/>
      <c r="HKO9" s="103"/>
      <c r="HKP9" s="103"/>
      <c r="HKQ9" s="103"/>
      <c r="HKR9" s="103"/>
      <c r="HKS9" s="103"/>
      <c r="HKT9" s="103"/>
      <c r="HKU9" s="103"/>
      <c r="HKV9" s="103"/>
      <c r="HKW9" s="103"/>
      <c r="HKX9" s="103"/>
      <c r="HKY9" s="103"/>
      <c r="HKZ9" s="103"/>
      <c r="HLA9" s="103"/>
      <c r="HLB9" s="103"/>
      <c r="HLC9" s="103"/>
      <c r="HLD9" s="103"/>
      <c r="HLE9" s="103"/>
      <c r="HLF9" s="103"/>
      <c r="HLG9" s="103"/>
      <c r="HLH9" s="103"/>
      <c r="HLI9" s="103"/>
      <c r="HLJ9" s="103"/>
      <c r="HLK9" s="103"/>
      <c r="HLL9" s="103"/>
      <c r="HLM9" s="103"/>
      <c r="HLN9" s="103"/>
      <c r="HLO9" s="103"/>
      <c r="HLP9" s="103"/>
      <c r="HLQ9" s="103"/>
      <c r="HLR9" s="103"/>
      <c r="HLS9" s="103"/>
      <c r="HLT9" s="103"/>
      <c r="HLU9" s="103"/>
      <c r="HLV9" s="103"/>
      <c r="HLW9" s="103"/>
      <c r="HLX9" s="103"/>
      <c r="HLY9" s="103"/>
      <c r="HLZ9" s="103"/>
      <c r="HMA9" s="103"/>
      <c r="HMB9" s="103"/>
      <c r="HMC9" s="103"/>
      <c r="HMD9" s="103"/>
      <c r="HME9" s="103"/>
      <c r="HMF9" s="103"/>
      <c r="HMG9" s="103"/>
      <c r="HMH9" s="103"/>
      <c r="HMI9" s="103"/>
      <c r="HMJ9" s="103"/>
      <c r="HMK9" s="103"/>
      <c r="HML9" s="103"/>
      <c r="HMM9" s="103"/>
      <c r="HMN9" s="103"/>
      <c r="HMO9" s="103"/>
      <c r="HMP9" s="103"/>
      <c r="HMQ9" s="103"/>
      <c r="HMR9" s="103"/>
      <c r="HMS9" s="103"/>
      <c r="HMT9" s="103"/>
      <c r="HMU9" s="103"/>
      <c r="HMV9" s="103"/>
      <c r="HMW9" s="103"/>
      <c r="HMX9" s="103"/>
      <c r="HMY9" s="103"/>
      <c r="HMZ9" s="103"/>
      <c r="HNA9" s="103"/>
      <c r="HNB9" s="103"/>
      <c r="HNC9" s="103"/>
      <c r="HND9" s="103"/>
      <c r="HNE9" s="103"/>
      <c r="HNF9" s="103"/>
      <c r="HNG9" s="103"/>
      <c r="HNH9" s="103"/>
      <c r="HNI9" s="103"/>
      <c r="HNJ9" s="103"/>
      <c r="HNK9" s="103"/>
      <c r="HNL9" s="103"/>
      <c r="HNM9" s="103"/>
      <c r="HNN9" s="103"/>
      <c r="HNO9" s="103"/>
      <c r="HNP9" s="103"/>
      <c r="HNQ9" s="103"/>
      <c r="HNR9" s="103"/>
      <c r="HNS9" s="103"/>
      <c r="HNT9" s="103"/>
      <c r="HNU9" s="103"/>
      <c r="HNV9" s="103"/>
      <c r="HNW9" s="103"/>
      <c r="HNX9" s="103"/>
      <c r="HNY9" s="103"/>
      <c r="HNZ9" s="103"/>
      <c r="HOA9" s="103"/>
      <c r="HOB9" s="103"/>
      <c r="HOC9" s="103"/>
      <c r="HOD9" s="103"/>
      <c r="HOE9" s="103"/>
      <c r="HOF9" s="103"/>
      <c r="HOG9" s="103"/>
      <c r="HOH9" s="103"/>
      <c r="HOI9" s="103"/>
      <c r="HOJ9" s="103"/>
      <c r="HOK9" s="103"/>
      <c r="HOL9" s="103"/>
      <c r="HOM9" s="103"/>
      <c r="HON9" s="103"/>
      <c r="HOO9" s="103"/>
      <c r="HOP9" s="103"/>
      <c r="HOQ9" s="103"/>
      <c r="HOR9" s="103"/>
      <c r="HOS9" s="103"/>
      <c r="HOT9" s="103"/>
      <c r="HOU9" s="103"/>
      <c r="HOV9" s="103"/>
      <c r="HOW9" s="103"/>
      <c r="HOX9" s="103"/>
      <c r="HOY9" s="103"/>
      <c r="HOZ9" s="103"/>
      <c r="HPA9" s="103"/>
      <c r="HPB9" s="103"/>
      <c r="HPC9" s="103"/>
      <c r="HPD9" s="103"/>
      <c r="HPE9" s="103"/>
      <c r="HPF9" s="103"/>
      <c r="HPG9" s="103"/>
      <c r="HPH9" s="103"/>
      <c r="HPI9" s="103"/>
      <c r="HPJ9" s="103"/>
      <c r="HPK9" s="103"/>
      <c r="HPL9" s="103"/>
      <c r="HPM9" s="103"/>
      <c r="HPN9" s="103"/>
      <c r="HPO9" s="103"/>
      <c r="HPP9" s="103"/>
      <c r="HPQ9" s="103"/>
      <c r="HPR9" s="103"/>
      <c r="HPS9" s="103"/>
      <c r="HPT9" s="103"/>
      <c r="HPU9" s="103"/>
      <c r="HPV9" s="103"/>
      <c r="HPW9" s="103"/>
      <c r="HPX9" s="103"/>
      <c r="HPY9" s="103"/>
      <c r="HPZ9" s="103"/>
      <c r="HQA9" s="103"/>
      <c r="HQB9" s="103"/>
      <c r="HQC9" s="103"/>
      <c r="HQD9" s="103"/>
      <c r="HQE9" s="103"/>
      <c r="HQF9" s="103"/>
      <c r="HQG9" s="103"/>
      <c r="HQH9" s="103"/>
      <c r="HQI9" s="103"/>
      <c r="HQJ9" s="103"/>
      <c r="HQK9" s="103"/>
      <c r="HQL9" s="103"/>
      <c r="HQM9" s="103"/>
      <c r="HQN9" s="103"/>
      <c r="HQO9" s="103"/>
      <c r="HQP9" s="103"/>
      <c r="HQQ9" s="103"/>
      <c r="HQR9" s="103"/>
      <c r="HQS9" s="103"/>
      <c r="HQT9" s="103"/>
      <c r="HQU9" s="103"/>
      <c r="HQV9" s="103"/>
      <c r="HQW9" s="103"/>
      <c r="HQX9" s="103"/>
      <c r="HQY9" s="103"/>
      <c r="HQZ9" s="103"/>
      <c r="HRA9" s="103"/>
      <c r="HRB9" s="103"/>
      <c r="HRC9" s="103"/>
      <c r="HRD9" s="103"/>
      <c r="HRE9" s="103"/>
      <c r="HRF9" s="103"/>
      <c r="HRG9" s="103"/>
      <c r="HRH9" s="103"/>
      <c r="HRI9" s="103"/>
      <c r="HRJ9" s="103"/>
      <c r="HRK9" s="103"/>
      <c r="HRL9" s="103"/>
      <c r="HRM9" s="103"/>
      <c r="HRN9" s="103"/>
      <c r="HRO9" s="103"/>
      <c r="HRP9" s="103"/>
      <c r="HRQ9" s="103"/>
      <c r="HRR9" s="103"/>
      <c r="HRS9" s="103"/>
      <c r="HRT9" s="103"/>
      <c r="HRU9" s="103"/>
      <c r="HRV9" s="103"/>
      <c r="HRW9" s="103"/>
      <c r="HRX9" s="103"/>
      <c r="HRY9" s="103"/>
      <c r="HRZ9" s="103"/>
      <c r="HSA9" s="103"/>
      <c r="HSB9" s="103"/>
      <c r="HSC9" s="103"/>
      <c r="HSD9" s="103"/>
      <c r="HSE9" s="103"/>
      <c r="HSF9" s="103"/>
      <c r="HSG9" s="103"/>
      <c r="HSH9" s="103"/>
      <c r="HSI9" s="103"/>
      <c r="HSJ9" s="103"/>
      <c r="HSK9" s="103"/>
      <c r="HSL9" s="103"/>
      <c r="HSM9" s="103"/>
      <c r="HSN9" s="103"/>
      <c r="HSO9" s="103"/>
      <c r="HSP9" s="103"/>
      <c r="HSQ9" s="103"/>
      <c r="HSR9" s="103"/>
      <c r="HSS9" s="103"/>
      <c r="HST9" s="103"/>
      <c r="HSU9" s="103"/>
      <c r="HSV9" s="103"/>
      <c r="HSW9" s="103"/>
      <c r="HSX9" s="103"/>
      <c r="HSY9" s="103"/>
      <c r="HSZ9" s="103"/>
      <c r="HTA9" s="103"/>
      <c r="HTB9" s="103"/>
      <c r="HTC9" s="103"/>
      <c r="HTD9" s="103"/>
      <c r="HTE9" s="103"/>
      <c r="HTF9" s="103"/>
      <c r="HTG9" s="103"/>
      <c r="HTH9" s="103"/>
      <c r="HTI9" s="103"/>
      <c r="HTJ9" s="103"/>
      <c r="HTK9" s="103"/>
      <c r="HTL9" s="103"/>
      <c r="HTM9" s="103"/>
      <c r="HTN9" s="103"/>
      <c r="HTO9" s="103"/>
      <c r="HTP9" s="103"/>
      <c r="HTQ9" s="103"/>
      <c r="HTR9" s="103"/>
      <c r="HTS9" s="103"/>
      <c r="HTT9" s="103"/>
      <c r="HTU9" s="103"/>
      <c r="HTV9" s="103"/>
      <c r="HTW9" s="103"/>
      <c r="HTX9" s="103"/>
      <c r="HTY9" s="103"/>
      <c r="HTZ9" s="103"/>
      <c r="HUA9" s="103"/>
      <c r="HUB9" s="103"/>
      <c r="HUC9" s="103"/>
      <c r="HUD9" s="103"/>
      <c r="HUE9" s="103"/>
      <c r="HUF9" s="103"/>
      <c r="HUG9" s="103"/>
      <c r="HUH9" s="103"/>
      <c r="HUI9" s="103"/>
      <c r="HUJ9" s="103"/>
      <c r="HUK9" s="103"/>
      <c r="HUL9" s="103"/>
      <c r="HUM9" s="103"/>
      <c r="HUN9" s="103"/>
      <c r="HUO9" s="103"/>
      <c r="HUP9" s="103"/>
      <c r="HUQ9" s="103"/>
      <c r="HUR9" s="103"/>
      <c r="HUS9" s="103"/>
      <c r="HUT9" s="103"/>
      <c r="HUU9" s="103"/>
      <c r="HUV9" s="103"/>
      <c r="HUW9" s="103"/>
      <c r="HUX9" s="103"/>
      <c r="HUY9" s="103"/>
      <c r="HUZ9" s="103"/>
      <c r="HVA9" s="103"/>
      <c r="HVB9" s="103"/>
      <c r="HVC9" s="103"/>
      <c r="HVD9" s="103"/>
      <c r="HVE9" s="103"/>
      <c r="HVF9" s="103"/>
      <c r="HVG9" s="103"/>
      <c r="HVH9" s="103"/>
      <c r="HVI9" s="103"/>
      <c r="HVJ9" s="103"/>
      <c r="HVK9" s="103"/>
      <c r="HVL9" s="103"/>
      <c r="HVM9" s="103"/>
      <c r="HVN9" s="103"/>
      <c r="HVO9" s="103"/>
      <c r="HVP9" s="103"/>
      <c r="HVQ9" s="103"/>
      <c r="HVR9" s="103"/>
      <c r="HVS9" s="103"/>
      <c r="HVT9" s="103"/>
      <c r="HVU9" s="103"/>
      <c r="HVV9" s="103"/>
      <c r="HVW9" s="103"/>
      <c r="HVX9" s="103"/>
      <c r="HVY9" s="103"/>
      <c r="HVZ9" s="103"/>
      <c r="HWA9" s="103"/>
      <c r="HWB9" s="103"/>
      <c r="HWC9" s="103"/>
      <c r="HWD9" s="103"/>
      <c r="HWE9" s="103"/>
      <c r="HWF9" s="103"/>
      <c r="HWG9" s="103"/>
      <c r="HWH9" s="103"/>
      <c r="HWI9" s="103"/>
      <c r="HWJ9" s="103"/>
      <c r="HWK9" s="103"/>
      <c r="HWL9" s="103"/>
      <c r="HWM9" s="103"/>
      <c r="HWN9" s="103"/>
      <c r="HWO9" s="103"/>
      <c r="HWP9" s="103"/>
      <c r="HWQ9" s="103"/>
      <c r="HWR9" s="103"/>
      <c r="HWS9" s="103"/>
      <c r="HWT9" s="103"/>
      <c r="HWU9" s="103"/>
      <c r="HWV9" s="103"/>
      <c r="HWW9" s="103"/>
      <c r="HWX9" s="103"/>
      <c r="HWY9" s="103"/>
      <c r="HWZ9" s="103"/>
      <c r="HXA9" s="103"/>
      <c r="HXB9" s="103"/>
      <c r="HXC9" s="103"/>
      <c r="HXD9" s="103"/>
      <c r="HXE9" s="103"/>
      <c r="HXF9" s="103"/>
      <c r="HXG9" s="103"/>
      <c r="HXH9" s="103"/>
      <c r="HXI9" s="103"/>
      <c r="HXJ9" s="103"/>
      <c r="HXK9" s="103"/>
      <c r="HXL9" s="103"/>
      <c r="HXM9" s="103"/>
      <c r="HXN9" s="103"/>
      <c r="HXO9" s="103"/>
      <c r="HXP9" s="103"/>
      <c r="HXQ9" s="103"/>
      <c r="HXR9" s="103"/>
      <c r="HXS9" s="103"/>
      <c r="HXT9" s="103"/>
      <c r="HXU9" s="103"/>
      <c r="HXV9" s="103"/>
      <c r="HXW9" s="103"/>
      <c r="HXX9" s="103"/>
      <c r="HXY9" s="103"/>
      <c r="HXZ9" s="103"/>
      <c r="HYA9" s="103"/>
      <c r="HYB9" s="103"/>
      <c r="HYC9" s="103"/>
      <c r="HYD9" s="103"/>
      <c r="HYE9" s="103"/>
      <c r="HYF9" s="103"/>
      <c r="HYG9" s="103"/>
      <c r="HYH9" s="103"/>
      <c r="HYI9" s="103"/>
      <c r="HYJ9" s="103"/>
      <c r="HYK9" s="103"/>
      <c r="HYL9" s="103"/>
      <c r="HYM9" s="103"/>
      <c r="HYN9" s="103"/>
      <c r="HYO9" s="103"/>
      <c r="HYP9" s="103"/>
      <c r="HYQ9" s="103"/>
      <c r="HYR9" s="103"/>
      <c r="HYS9" s="103"/>
      <c r="HYT9" s="103"/>
      <c r="HYU9" s="103"/>
      <c r="HYV9" s="103"/>
      <c r="HYW9" s="103"/>
      <c r="HYX9" s="103"/>
      <c r="HYY9" s="103"/>
      <c r="HYZ9" s="103"/>
      <c r="HZA9" s="103"/>
      <c r="HZB9" s="103"/>
      <c r="HZC9" s="103"/>
      <c r="HZD9" s="103"/>
      <c r="HZE9" s="103"/>
      <c r="HZF9" s="103"/>
      <c r="HZG9" s="103"/>
      <c r="HZH9" s="103"/>
      <c r="HZI9" s="103"/>
      <c r="HZJ9" s="103"/>
      <c r="HZK9" s="103"/>
      <c r="HZL9" s="103"/>
      <c r="HZM9" s="103"/>
      <c r="HZN9" s="103"/>
      <c r="HZO9" s="103"/>
      <c r="HZP9" s="103"/>
      <c r="HZQ9" s="103"/>
      <c r="HZR9" s="103"/>
      <c r="HZS9" s="103"/>
      <c r="HZT9" s="103"/>
      <c r="HZU9" s="103"/>
      <c r="HZV9" s="103"/>
      <c r="HZW9" s="103"/>
      <c r="HZX9" s="103"/>
      <c r="HZY9" s="103"/>
      <c r="HZZ9" s="103"/>
      <c r="IAA9" s="103"/>
      <c r="IAB9" s="103"/>
      <c r="IAC9" s="103"/>
      <c r="IAD9" s="103"/>
      <c r="IAE9" s="103"/>
      <c r="IAF9" s="103"/>
      <c r="IAG9" s="103"/>
      <c r="IAH9" s="103"/>
      <c r="IAI9" s="103"/>
      <c r="IAJ9" s="103"/>
      <c r="IAK9" s="103"/>
      <c r="IAL9" s="103"/>
      <c r="IAM9" s="103"/>
      <c r="IAN9" s="103"/>
      <c r="IAO9" s="103"/>
      <c r="IAP9" s="103"/>
      <c r="IAQ9" s="103"/>
      <c r="IAR9" s="103"/>
      <c r="IAS9" s="103"/>
      <c r="IAT9" s="103"/>
      <c r="IAU9" s="103"/>
      <c r="IAV9" s="103"/>
      <c r="IAW9" s="103"/>
      <c r="IAX9" s="103"/>
      <c r="IAY9" s="103"/>
      <c r="IAZ9" s="103"/>
      <c r="IBA9" s="103"/>
      <c r="IBB9" s="103"/>
      <c r="IBC9" s="103"/>
      <c r="IBD9" s="103"/>
      <c r="IBE9" s="103"/>
      <c r="IBF9" s="103"/>
      <c r="IBG9" s="103"/>
      <c r="IBH9" s="103"/>
      <c r="IBI9" s="103"/>
      <c r="IBJ9" s="103"/>
      <c r="IBK9" s="103"/>
      <c r="IBL9" s="103"/>
      <c r="IBM9" s="103"/>
      <c r="IBN9" s="103"/>
      <c r="IBO9" s="103"/>
      <c r="IBP9" s="103"/>
      <c r="IBQ9" s="103"/>
      <c r="IBR9" s="103"/>
      <c r="IBS9" s="103"/>
      <c r="IBT9" s="103"/>
      <c r="IBU9" s="103"/>
      <c r="IBV9" s="103"/>
      <c r="IBW9" s="103"/>
      <c r="IBX9" s="103"/>
      <c r="IBY9" s="103"/>
      <c r="IBZ9" s="103"/>
      <c r="ICA9" s="103"/>
      <c r="ICB9" s="103"/>
      <c r="ICC9" s="103"/>
      <c r="ICD9" s="103"/>
      <c r="ICE9" s="103"/>
      <c r="ICF9" s="103"/>
      <c r="ICG9" s="103"/>
      <c r="ICH9" s="103"/>
      <c r="ICI9" s="103"/>
      <c r="ICJ9" s="103"/>
      <c r="ICK9" s="103"/>
      <c r="ICL9" s="103"/>
      <c r="ICM9" s="103"/>
      <c r="ICN9" s="103"/>
      <c r="ICO9" s="103"/>
      <c r="ICP9" s="103"/>
      <c r="ICQ9" s="103"/>
      <c r="ICR9" s="103"/>
      <c r="ICS9" s="103"/>
      <c r="ICT9" s="103"/>
      <c r="ICU9" s="103"/>
      <c r="ICV9" s="103"/>
      <c r="ICW9" s="103"/>
      <c r="ICX9" s="103"/>
      <c r="ICY9" s="103"/>
      <c r="ICZ9" s="103"/>
      <c r="IDA9" s="103"/>
      <c r="IDB9" s="103"/>
      <c r="IDC9" s="103"/>
      <c r="IDD9" s="103"/>
      <c r="IDE9" s="103"/>
      <c r="IDF9" s="103"/>
      <c r="IDG9" s="103"/>
      <c r="IDH9" s="103"/>
      <c r="IDI9" s="103"/>
      <c r="IDJ9" s="103"/>
      <c r="IDK9" s="103"/>
      <c r="IDL9" s="103"/>
      <c r="IDM9" s="103"/>
      <c r="IDN9" s="103"/>
      <c r="IDO9" s="103"/>
      <c r="IDP9" s="103"/>
      <c r="IDQ9" s="103"/>
      <c r="IDR9" s="103"/>
      <c r="IDS9" s="103"/>
      <c r="IDT9" s="103"/>
      <c r="IDU9" s="103"/>
      <c r="IDV9" s="103"/>
      <c r="IDW9" s="103"/>
      <c r="IDX9" s="103"/>
      <c r="IDY9" s="103"/>
      <c r="IDZ9" s="103"/>
      <c r="IEA9" s="103"/>
      <c r="IEB9" s="103"/>
      <c r="IEC9" s="103"/>
      <c r="IED9" s="103"/>
      <c r="IEE9" s="103"/>
      <c r="IEF9" s="103"/>
      <c r="IEG9" s="103"/>
      <c r="IEH9" s="103"/>
      <c r="IEI9" s="103"/>
      <c r="IEJ9" s="103"/>
      <c r="IEK9" s="103"/>
      <c r="IEL9" s="103"/>
      <c r="IEM9" s="103"/>
      <c r="IEN9" s="103"/>
      <c r="IEO9" s="103"/>
      <c r="IEP9" s="103"/>
      <c r="IEQ9" s="103"/>
      <c r="IER9" s="103"/>
      <c r="IES9" s="103"/>
      <c r="IET9" s="103"/>
      <c r="IEU9" s="103"/>
      <c r="IEV9" s="103"/>
      <c r="IEW9" s="103"/>
      <c r="IEX9" s="103"/>
      <c r="IEY9" s="103"/>
      <c r="IEZ9" s="103"/>
      <c r="IFA9" s="103"/>
      <c r="IFB9" s="103"/>
      <c r="IFC9" s="103"/>
      <c r="IFD9" s="103"/>
      <c r="IFE9" s="103"/>
      <c r="IFF9" s="103"/>
      <c r="IFG9" s="103"/>
      <c r="IFH9" s="103"/>
      <c r="IFI9" s="103"/>
      <c r="IFJ9" s="103"/>
      <c r="IFK9" s="103"/>
      <c r="IFL9" s="103"/>
      <c r="IFM9" s="103"/>
      <c r="IFN9" s="103"/>
      <c r="IFO9" s="103"/>
      <c r="IFP9" s="103"/>
      <c r="IFQ9" s="103"/>
      <c r="IFR9" s="103"/>
      <c r="IFS9" s="103"/>
      <c r="IFT9" s="103"/>
      <c r="IFU9" s="103"/>
      <c r="IFV9" s="103"/>
      <c r="IFW9" s="103"/>
      <c r="IFX9" s="103"/>
      <c r="IFY9" s="103"/>
      <c r="IFZ9" s="103"/>
      <c r="IGA9" s="103"/>
      <c r="IGB9" s="103"/>
      <c r="IGC9" s="103"/>
      <c r="IGD9" s="103"/>
      <c r="IGE9" s="103"/>
      <c r="IGF9" s="103"/>
      <c r="IGG9" s="103"/>
      <c r="IGH9" s="103"/>
      <c r="IGI9" s="103"/>
      <c r="IGJ9" s="103"/>
      <c r="IGK9" s="103"/>
      <c r="IGL9" s="103"/>
      <c r="IGM9" s="103"/>
      <c r="IGN9" s="103"/>
      <c r="IGO9" s="103"/>
      <c r="IGP9" s="103"/>
      <c r="IGQ9" s="103"/>
      <c r="IGR9" s="103"/>
      <c r="IGS9" s="103"/>
      <c r="IGT9" s="103"/>
      <c r="IGU9" s="103"/>
      <c r="IGV9" s="103"/>
      <c r="IGW9" s="103"/>
      <c r="IGX9" s="103"/>
      <c r="IGY9" s="103"/>
      <c r="IGZ9" s="103"/>
      <c r="IHA9" s="103"/>
      <c r="IHB9" s="103"/>
      <c r="IHC9" s="103"/>
      <c r="IHD9" s="103"/>
      <c r="IHE9" s="103"/>
      <c r="IHF9" s="103"/>
      <c r="IHG9" s="103"/>
      <c r="IHH9" s="103"/>
      <c r="IHI9" s="103"/>
      <c r="IHJ9" s="103"/>
      <c r="IHK9" s="103"/>
      <c r="IHL9" s="103"/>
      <c r="IHM9" s="103"/>
      <c r="IHN9" s="103"/>
      <c r="IHO9" s="103"/>
      <c r="IHP9" s="103"/>
      <c r="IHQ9" s="103"/>
      <c r="IHR9" s="103"/>
      <c r="IHS9" s="103"/>
      <c r="IHT9" s="103"/>
      <c r="IHU9" s="103"/>
      <c r="IHV9" s="103"/>
      <c r="IHW9" s="103"/>
      <c r="IHX9" s="103"/>
      <c r="IHY9" s="103"/>
      <c r="IHZ9" s="103"/>
      <c r="IIA9" s="103"/>
      <c r="IIB9" s="103"/>
      <c r="IIC9" s="103"/>
      <c r="IID9" s="103"/>
      <c r="IIE9" s="103"/>
      <c r="IIF9" s="103"/>
      <c r="IIG9" s="103"/>
      <c r="IIH9" s="103"/>
      <c r="III9" s="103"/>
      <c r="IIJ9" s="103"/>
      <c r="IIK9" s="103"/>
      <c r="IIL9" s="103"/>
      <c r="IIM9" s="103"/>
      <c r="IIN9" s="103"/>
      <c r="IIO9" s="103"/>
      <c r="IIP9" s="103"/>
      <c r="IIQ9" s="103"/>
      <c r="IIR9" s="103"/>
      <c r="IIS9" s="103"/>
      <c r="IIT9" s="103"/>
      <c r="IIU9" s="103"/>
      <c r="IIV9" s="103"/>
      <c r="IIW9" s="103"/>
      <c r="IIX9" s="103"/>
      <c r="IIY9" s="103"/>
      <c r="IIZ9" s="103"/>
      <c r="IJA9" s="103"/>
      <c r="IJB9" s="103"/>
      <c r="IJC9" s="103"/>
      <c r="IJD9" s="103"/>
      <c r="IJE9" s="103"/>
      <c r="IJF9" s="103"/>
      <c r="IJG9" s="103"/>
      <c r="IJH9" s="103"/>
      <c r="IJI9" s="103"/>
      <c r="IJJ9" s="103"/>
      <c r="IJK9" s="103"/>
      <c r="IJL9" s="103"/>
      <c r="IJM9" s="103"/>
      <c r="IJN9" s="103"/>
      <c r="IJO9" s="103"/>
      <c r="IJP9" s="103"/>
      <c r="IJQ9" s="103"/>
      <c r="IJR9" s="103"/>
      <c r="IJS9" s="103"/>
      <c r="IJT9" s="103"/>
      <c r="IJU9" s="103"/>
      <c r="IJV9" s="103"/>
      <c r="IJW9" s="103"/>
      <c r="IJX9" s="103"/>
      <c r="IJY9" s="103"/>
      <c r="IJZ9" s="103"/>
      <c r="IKA9" s="103"/>
      <c r="IKB9" s="103"/>
      <c r="IKC9" s="103"/>
      <c r="IKD9" s="103"/>
      <c r="IKE9" s="103"/>
      <c r="IKF9" s="103"/>
      <c r="IKG9" s="103"/>
      <c r="IKH9" s="103"/>
      <c r="IKI9" s="103"/>
      <c r="IKJ9" s="103"/>
      <c r="IKK9" s="103"/>
      <c r="IKL9" s="103"/>
      <c r="IKM9" s="103"/>
      <c r="IKN9" s="103"/>
      <c r="IKO9" s="103"/>
      <c r="IKP9" s="103"/>
      <c r="IKQ9" s="103"/>
      <c r="IKR9" s="103"/>
      <c r="IKS9" s="103"/>
      <c r="IKT9" s="103"/>
      <c r="IKU9" s="103"/>
      <c r="IKV9" s="103"/>
      <c r="IKW9" s="103"/>
      <c r="IKX9" s="103"/>
      <c r="IKY9" s="103"/>
      <c r="IKZ9" s="103"/>
      <c r="ILA9" s="103"/>
      <c r="ILB9" s="103"/>
      <c r="ILC9" s="103"/>
      <c r="ILD9" s="103"/>
      <c r="ILE9" s="103"/>
      <c r="ILF9" s="103"/>
      <c r="ILG9" s="103"/>
      <c r="ILH9" s="103"/>
      <c r="ILI9" s="103"/>
      <c r="ILJ9" s="103"/>
      <c r="ILK9" s="103"/>
      <c r="ILL9" s="103"/>
      <c r="ILM9" s="103"/>
      <c r="ILN9" s="103"/>
      <c r="ILO9" s="103"/>
      <c r="ILP9" s="103"/>
      <c r="ILQ9" s="103"/>
      <c r="ILR9" s="103"/>
      <c r="ILS9" s="103"/>
      <c r="ILT9" s="103"/>
      <c r="ILU9" s="103"/>
      <c r="ILV9" s="103"/>
      <c r="ILW9" s="103"/>
      <c r="ILX9" s="103"/>
      <c r="ILY9" s="103"/>
      <c r="ILZ9" s="103"/>
      <c r="IMA9" s="103"/>
      <c r="IMB9" s="103"/>
      <c r="IMC9" s="103"/>
      <c r="IMD9" s="103"/>
      <c r="IME9" s="103"/>
      <c r="IMF9" s="103"/>
      <c r="IMG9" s="103"/>
      <c r="IMH9" s="103"/>
      <c r="IMI9" s="103"/>
      <c r="IMJ9" s="103"/>
      <c r="IMK9" s="103"/>
      <c r="IML9" s="103"/>
      <c r="IMM9" s="103"/>
      <c r="IMN9" s="103"/>
      <c r="IMO9" s="103"/>
      <c r="IMP9" s="103"/>
      <c r="IMQ9" s="103"/>
      <c r="IMR9" s="103"/>
      <c r="IMS9" s="103"/>
      <c r="IMT9" s="103"/>
      <c r="IMU9" s="103"/>
      <c r="IMV9" s="103"/>
      <c r="IMW9" s="103"/>
      <c r="IMX9" s="103"/>
      <c r="IMY9" s="103"/>
      <c r="IMZ9" s="103"/>
      <c r="INA9" s="103"/>
      <c r="INB9" s="103"/>
      <c r="INC9" s="103"/>
      <c r="IND9" s="103"/>
      <c r="INE9" s="103"/>
      <c r="INF9" s="103"/>
      <c r="ING9" s="103"/>
      <c r="INH9" s="103"/>
      <c r="INI9" s="103"/>
      <c r="INJ9" s="103"/>
      <c r="INK9" s="103"/>
      <c r="INL9" s="103"/>
      <c r="INM9" s="103"/>
      <c r="INN9" s="103"/>
      <c r="INO9" s="103"/>
      <c r="INP9" s="103"/>
      <c r="INQ9" s="103"/>
      <c r="INR9" s="103"/>
      <c r="INS9" s="103"/>
      <c r="INT9" s="103"/>
      <c r="INU9" s="103"/>
      <c r="INV9" s="103"/>
      <c r="INW9" s="103"/>
      <c r="INX9" s="103"/>
      <c r="INY9" s="103"/>
      <c r="INZ9" s="103"/>
      <c r="IOA9" s="103"/>
      <c r="IOB9" s="103"/>
      <c r="IOC9" s="103"/>
      <c r="IOD9" s="103"/>
      <c r="IOE9" s="103"/>
      <c r="IOF9" s="103"/>
      <c r="IOG9" s="103"/>
      <c r="IOH9" s="103"/>
      <c r="IOI9" s="103"/>
      <c r="IOJ9" s="103"/>
      <c r="IOK9" s="103"/>
      <c r="IOL9" s="103"/>
      <c r="IOM9" s="103"/>
      <c r="ION9" s="103"/>
      <c r="IOO9" s="103"/>
      <c r="IOP9" s="103"/>
      <c r="IOQ9" s="103"/>
      <c r="IOR9" s="103"/>
      <c r="IOS9" s="103"/>
      <c r="IOT9" s="103"/>
      <c r="IOU9" s="103"/>
      <c r="IOV9" s="103"/>
      <c r="IOW9" s="103"/>
      <c r="IOX9" s="103"/>
      <c r="IOY9" s="103"/>
      <c r="IOZ9" s="103"/>
      <c r="IPA9" s="103"/>
      <c r="IPB9" s="103"/>
      <c r="IPC9" s="103"/>
      <c r="IPD9" s="103"/>
      <c r="IPE9" s="103"/>
      <c r="IPF9" s="103"/>
      <c r="IPG9" s="103"/>
      <c r="IPH9" s="103"/>
      <c r="IPI9" s="103"/>
      <c r="IPJ9" s="103"/>
      <c r="IPK9" s="103"/>
      <c r="IPL9" s="103"/>
      <c r="IPM9" s="103"/>
      <c r="IPN9" s="103"/>
      <c r="IPO9" s="103"/>
      <c r="IPP9" s="103"/>
      <c r="IPQ9" s="103"/>
      <c r="IPR9" s="103"/>
      <c r="IPS9" s="103"/>
      <c r="IPT9" s="103"/>
      <c r="IPU9" s="103"/>
      <c r="IPV9" s="103"/>
      <c r="IPW9" s="103"/>
      <c r="IPX9" s="103"/>
      <c r="IPY9" s="103"/>
      <c r="IPZ9" s="103"/>
      <c r="IQA9" s="103"/>
      <c r="IQB9" s="103"/>
      <c r="IQC9" s="103"/>
      <c r="IQD9" s="103"/>
      <c r="IQE9" s="103"/>
      <c r="IQF9" s="103"/>
      <c r="IQG9" s="103"/>
      <c r="IQH9" s="103"/>
      <c r="IQI9" s="103"/>
      <c r="IQJ9" s="103"/>
      <c r="IQK9" s="103"/>
      <c r="IQL9" s="103"/>
      <c r="IQM9" s="103"/>
      <c r="IQN9" s="103"/>
      <c r="IQO9" s="103"/>
      <c r="IQP9" s="103"/>
      <c r="IQQ9" s="103"/>
      <c r="IQR9" s="103"/>
      <c r="IQS9" s="103"/>
      <c r="IQT9" s="103"/>
      <c r="IQU9" s="103"/>
      <c r="IQV9" s="103"/>
      <c r="IQW9" s="103"/>
      <c r="IQX9" s="103"/>
      <c r="IQY9" s="103"/>
      <c r="IQZ9" s="103"/>
      <c r="IRA9" s="103"/>
      <c r="IRB9" s="103"/>
      <c r="IRC9" s="103"/>
      <c r="IRD9" s="103"/>
      <c r="IRE9" s="103"/>
      <c r="IRF9" s="103"/>
      <c r="IRG9" s="103"/>
      <c r="IRH9" s="103"/>
      <c r="IRI9" s="103"/>
      <c r="IRJ9" s="103"/>
      <c r="IRK9" s="103"/>
      <c r="IRL9" s="103"/>
      <c r="IRM9" s="103"/>
      <c r="IRN9" s="103"/>
      <c r="IRO9" s="103"/>
      <c r="IRP9" s="103"/>
      <c r="IRQ9" s="103"/>
      <c r="IRR9" s="103"/>
      <c r="IRS9" s="103"/>
      <c r="IRT9" s="103"/>
      <c r="IRU9" s="103"/>
      <c r="IRV9" s="103"/>
      <c r="IRW9" s="103"/>
      <c r="IRX9" s="103"/>
      <c r="IRY9" s="103"/>
      <c r="IRZ9" s="103"/>
      <c r="ISA9" s="103"/>
      <c r="ISB9" s="103"/>
      <c r="ISC9" s="103"/>
      <c r="ISD9" s="103"/>
      <c r="ISE9" s="103"/>
      <c r="ISF9" s="103"/>
      <c r="ISG9" s="103"/>
      <c r="ISH9" s="103"/>
      <c r="ISI9" s="103"/>
      <c r="ISJ9" s="103"/>
      <c r="ISK9" s="103"/>
      <c r="ISL9" s="103"/>
      <c r="ISM9" s="103"/>
      <c r="ISN9" s="103"/>
      <c r="ISO9" s="103"/>
      <c r="ISP9" s="103"/>
      <c r="ISQ9" s="103"/>
      <c r="ISR9" s="103"/>
      <c r="ISS9" s="103"/>
      <c r="IST9" s="103"/>
      <c r="ISU9" s="103"/>
      <c r="ISV9" s="103"/>
      <c r="ISW9" s="103"/>
      <c r="ISX9" s="103"/>
      <c r="ISY9" s="103"/>
      <c r="ISZ9" s="103"/>
      <c r="ITA9" s="103"/>
      <c r="ITB9" s="103"/>
      <c r="ITC9" s="103"/>
      <c r="ITD9" s="103"/>
      <c r="ITE9" s="103"/>
      <c r="ITF9" s="103"/>
      <c r="ITG9" s="103"/>
      <c r="ITH9" s="103"/>
      <c r="ITI9" s="103"/>
      <c r="ITJ9" s="103"/>
      <c r="ITK9" s="103"/>
      <c r="ITL9" s="103"/>
      <c r="ITM9" s="103"/>
      <c r="ITN9" s="103"/>
      <c r="ITO9" s="103"/>
      <c r="ITP9" s="103"/>
      <c r="ITQ9" s="103"/>
      <c r="ITR9" s="103"/>
      <c r="ITS9" s="103"/>
      <c r="ITT9" s="103"/>
      <c r="ITU9" s="103"/>
      <c r="ITV9" s="103"/>
      <c r="ITW9" s="103"/>
      <c r="ITX9" s="103"/>
      <c r="ITY9" s="103"/>
      <c r="ITZ9" s="103"/>
      <c r="IUA9" s="103"/>
      <c r="IUB9" s="103"/>
      <c r="IUC9" s="103"/>
      <c r="IUD9" s="103"/>
      <c r="IUE9" s="103"/>
      <c r="IUF9" s="103"/>
      <c r="IUG9" s="103"/>
      <c r="IUH9" s="103"/>
      <c r="IUI9" s="103"/>
      <c r="IUJ9" s="103"/>
      <c r="IUK9" s="103"/>
      <c r="IUL9" s="103"/>
      <c r="IUM9" s="103"/>
      <c r="IUN9" s="103"/>
      <c r="IUO9" s="103"/>
      <c r="IUP9" s="103"/>
      <c r="IUQ9" s="103"/>
      <c r="IUR9" s="103"/>
      <c r="IUS9" s="103"/>
      <c r="IUT9" s="103"/>
      <c r="IUU9" s="103"/>
      <c r="IUV9" s="103"/>
      <c r="IUW9" s="103"/>
      <c r="IUX9" s="103"/>
      <c r="IUY9" s="103"/>
      <c r="IUZ9" s="103"/>
      <c r="IVA9" s="103"/>
      <c r="IVB9" s="103"/>
      <c r="IVC9" s="103"/>
      <c r="IVD9" s="103"/>
      <c r="IVE9" s="103"/>
      <c r="IVF9" s="103"/>
      <c r="IVG9" s="103"/>
      <c r="IVH9" s="103"/>
      <c r="IVI9" s="103"/>
      <c r="IVJ9" s="103"/>
      <c r="IVK9" s="103"/>
      <c r="IVL9" s="103"/>
      <c r="IVM9" s="103"/>
      <c r="IVN9" s="103"/>
      <c r="IVO9" s="103"/>
      <c r="IVP9" s="103"/>
      <c r="IVQ9" s="103"/>
      <c r="IVR9" s="103"/>
      <c r="IVS9" s="103"/>
      <c r="IVT9" s="103"/>
      <c r="IVU9" s="103"/>
      <c r="IVV9" s="103"/>
      <c r="IVW9" s="103"/>
      <c r="IVX9" s="103"/>
      <c r="IVY9" s="103"/>
      <c r="IVZ9" s="103"/>
      <c r="IWA9" s="103"/>
      <c r="IWB9" s="103"/>
      <c r="IWC9" s="103"/>
      <c r="IWD9" s="103"/>
      <c r="IWE9" s="103"/>
      <c r="IWF9" s="103"/>
      <c r="IWG9" s="103"/>
      <c r="IWH9" s="103"/>
      <c r="IWI9" s="103"/>
      <c r="IWJ9" s="103"/>
      <c r="IWK9" s="103"/>
      <c r="IWL9" s="103"/>
      <c r="IWM9" s="103"/>
      <c r="IWN9" s="103"/>
      <c r="IWO9" s="103"/>
      <c r="IWP9" s="103"/>
      <c r="IWQ9" s="103"/>
      <c r="IWR9" s="103"/>
      <c r="IWS9" s="103"/>
      <c r="IWT9" s="103"/>
      <c r="IWU9" s="103"/>
      <c r="IWV9" s="103"/>
      <c r="IWW9" s="103"/>
      <c r="IWX9" s="103"/>
      <c r="IWY9" s="103"/>
      <c r="IWZ9" s="103"/>
      <c r="IXA9" s="103"/>
      <c r="IXB9" s="103"/>
      <c r="IXC9" s="103"/>
      <c r="IXD9" s="103"/>
      <c r="IXE9" s="103"/>
      <c r="IXF9" s="103"/>
      <c r="IXG9" s="103"/>
      <c r="IXH9" s="103"/>
      <c r="IXI9" s="103"/>
      <c r="IXJ9" s="103"/>
      <c r="IXK9" s="103"/>
      <c r="IXL9" s="103"/>
      <c r="IXM9" s="103"/>
      <c r="IXN9" s="103"/>
      <c r="IXO9" s="103"/>
      <c r="IXP9" s="103"/>
      <c r="IXQ9" s="103"/>
      <c r="IXR9" s="103"/>
      <c r="IXS9" s="103"/>
      <c r="IXT9" s="103"/>
      <c r="IXU9" s="103"/>
      <c r="IXV9" s="103"/>
      <c r="IXW9" s="103"/>
      <c r="IXX9" s="103"/>
      <c r="IXY9" s="103"/>
      <c r="IXZ9" s="103"/>
      <c r="IYA9" s="103"/>
      <c r="IYB9" s="103"/>
      <c r="IYC9" s="103"/>
      <c r="IYD9" s="103"/>
      <c r="IYE9" s="103"/>
      <c r="IYF9" s="103"/>
      <c r="IYG9" s="103"/>
      <c r="IYH9" s="103"/>
      <c r="IYI9" s="103"/>
      <c r="IYJ9" s="103"/>
      <c r="IYK9" s="103"/>
      <c r="IYL9" s="103"/>
      <c r="IYM9" s="103"/>
      <c r="IYN9" s="103"/>
      <c r="IYO9" s="103"/>
      <c r="IYP9" s="103"/>
      <c r="IYQ9" s="103"/>
      <c r="IYR9" s="103"/>
      <c r="IYS9" s="103"/>
      <c r="IYT9" s="103"/>
      <c r="IYU9" s="103"/>
      <c r="IYV9" s="103"/>
      <c r="IYW9" s="103"/>
      <c r="IYX9" s="103"/>
      <c r="IYY9" s="103"/>
      <c r="IYZ9" s="103"/>
      <c r="IZA9" s="103"/>
      <c r="IZB9" s="103"/>
      <c r="IZC9" s="103"/>
      <c r="IZD9" s="103"/>
      <c r="IZE9" s="103"/>
      <c r="IZF9" s="103"/>
      <c r="IZG9" s="103"/>
      <c r="IZH9" s="103"/>
      <c r="IZI9" s="103"/>
      <c r="IZJ9" s="103"/>
      <c r="IZK9" s="103"/>
      <c r="IZL9" s="103"/>
      <c r="IZM9" s="103"/>
      <c r="IZN9" s="103"/>
      <c r="IZO9" s="103"/>
      <c r="IZP9" s="103"/>
      <c r="IZQ9" s="103"/>
      <c r="IZR9" s="103"/>
      <c r="IZS9" s="103"/>
      <c r="IZT9" s="103"/>
      <c r="IZU9" s="103"/>
      <c r="IZV9" s="103"/>
      <c r="IZW9" s="103"/>
      <c r="IZX9" s="103"/>
      <c r="IZY9" s="103"/>
      <c r="IZZ9" s="103"/>
      <c r="JAA9" s="103"/>
      <c r="JAB9" s="103"/>
      <c r="JAC9" s="103"/>
      <c r="JAD9" s="103"/>
      <c r="JAE9" s="103"/>
      <c r="JAF9" s="103"/>
      <c r="JAG9" s="103"/>
      <c r="JAH9" s="103"/>
      <c r="JAI9" s="103"/>
      <c r="JAJ9" s="103"/>
      <c r="JAK9" s="103"/>
      <c r="JAL9" s="103"/>
      <c r="JAM9" s="103"/>
      <c r="JAN9" s="103"/>
      <c r="JAO9" s="103"/>
      <c r="JAP9" s="103"/>
      <c r="JAQ9" s="103"/>
      <c r="JAR9" s="103"/>
      <c r="JAS9" s="103"/>
      <c r="JAT9" s="103"/>
      <c r="JAU9" s="103"/>
      <c r="JAV9" s="103"/>
      <c r="JAW9" s="103"/>
      <c r="JAX9" s="103"/>
      <c r="JAY9" s="103"/>
      <c r="JAZ9" s="103"/>
      <c r="JBA9" s="103"/>
      <c r="JBB9" s="103"/>
      <c r="JBC9" s="103"/>
      <c r="JBD9" s="103"/>
      <c r="JBE9" s="103"/>
      <c r="JBF9" s="103"/>
      <c r="JBG9" s="103"/>
      <c r="JBH9" s="103"/>
      <c r="JBI9" s="103"/>
      <c r="JBJ9" s="103"/>
      <c r="JBK9" s="103"/>
      <c r="JBL9" s="103"/>
      <c r="JBM9" s="103"/>
      <c r="JBN9" s="103"/>
      <c r="JBO9" s="103"/>
      <c r="JBP9" s="103"/>
      <c r="JBQ9" s="103"/>
      <c r="JBR9" s="103"/>
      <c r="JBS9" s="103"/>
      <c r="JBT9" s="103"/>
      <c r="JBU9" s="103"/>
      <c r="JBV9" s="103"/>
      <c r="JBW9" s="103"/>
      <c r="JBX9" s="103"/>
      <c r="JBY9" s="103"/>
      <c r="JBZ9" s="103"/>
      <c r="JCA9" s="103"/>
      <c r="JCB9" s="103"/>
      <c r="JCC9" s="103"/>
      <c r="JCD9" s="103"/>
      <c r="JCE9" s="103"/>
      <c r="JCF9" s="103"/>
      <c r="JCG9" s="103"/>
      <c r="JCH9" s="103"/>
      <c r="JCI9" s="103"/>
      <c r="JCJ9" s="103"/>
      <c r="JCK9" s="103"/>
      <c r="JCL9" s="103"/>
      <c r="JCM9" s="103"/>
      <c r="JCN9" s="103"/>
      <c r="JCO9" s="103"/>
      <c r="JCP9" s="103"/>
      <c r="JCQ9" s="103"/>
      <c r="JCR9" s="103"/>
      <c r="JCS9" s="103"/>
      <c r="JCT9" s="103"/>
      <c r="JCU9" s="103"/>
      <c r="JCV9" s="103"/>
      <c r="JCW9" s="103"/>
      <c r="JCX9" s="103"/>
      <c r="JCY9" s="103"/>
      <c r="JCZ9" s="103"/>
      <c r="JDA9" s="103"/>
      <c r="JDB9" s="103"/>
      <c r="JDC9" s="103"/>
      <c r="JDD9" s="103"/>
      <c r="JDE9" s="103"/>
      <c r="JDF9" s="103"/>
      <c r="JDG9" s="103"/>
      <c r="JDH9" s="103"/>
      <c r="JDI9" s="103"/>
      <c r="JDJ9" s="103"/>
      <c r="JDK9" s="103"/>
      <c r="JDL9" s="103"/>
      <c r="JDM9" s="103"/>
      <c r="JDN9" s="103"/>
      <c r="JDO9" s="103"/>
      <c r="JDP9" s="103"/>
      <c r="JDQ9" s="103"/>
      <c r="JDR9" s="103"/>
      <c r="JDS9" s="103"/>
      <c r="JDT9" s="103"/>
      <c r="JDU9" s="103"/>
      <c r="JDV9" s="103"/>
      <c r="JDW9" s="103"/>
      <c r="JDX9" s="103"/>
      <c r="JDY9" s="103"/>
      <c r="JDZ9" s="103"/>
      <c r="JEA9" s="103"/>
      <c r="JEB9" s="103"/>
      <c r="JEC9" s="103"/>
      <c r="JED9" s="103"/>
      <c r="JEE9" s="103"/>
      <c r="JEF9" s="103"/>
      <c r="JEG9" s="103"/>
      <c r="JEH9" s="103"/>
      <c r="JEI9" s="103"/>
      <c r="JEJ9" s="103"/>
      <c r="JEK9" s="103"/>
      <c r="JEL9" s="103"/>
      <c r="JEM9" s="103"/>
      <c r="JEN9" s="103"/>
      <c r="JEO9" s="103"/>
      <c r="JEP9" s="103"/>
      <c r="JEQ9" s="103"/>
      <c r="JER9" s="103"/>
      <c r="JES9" s="103"/>
      <c r="JET9" s="103"/>
      <c r="JEU9" s="103"/>
      <c r="JEV9" s="103"/>
      <c r="JEW9" s="103"/>
      <c r="JEX9" s="103"/>
      <c r="JEY9" s="103"/>
      <c r="JEZ9" s="103"/>
      <c r="JFA9" s="103"/>
      <c r="JFB9" s="103"/>
      <c r="JFC9" s="103"/>
      <c r="JFD9" s="103"/>
      <c r="JFE9" s="103"/>
      <c r="JFF9" s="103"/>
      <c r="JFG9" s="103"/>
      <c r="JFH9" s="103"/>
      <c r="JFI9" s="103"/>
      <c r="JFJ9" s="103"/>
      <c r="JFK9" s="103"/>
      <c r="JFL9" s="103"/>
      <c r="JFM9" s="103"/>
      <c r="JFN9" s="103"/>
      <c r="JFO9" s="103"/>
      <c r="JFP9" s="103"/>
      <c r="JFQ9" s="103"/>
      <c r="JFR9" s="103"/>
      <c r="JFS9" s="103"/>
      <c r="JFT9" s="103"/>
      <c r="JFU9" s="103"/>
      <c r="JFV9" s="103"/>
      <c r="JFW9" s="103"/>
      <c r="JFX9" s="103"/>
      <c r="JFY9" s="103"/>
      <c r="JFZ9" s="103"/>
      <c r="JGA9" s="103"/>
      <c r="JGB9" s="103"/>
      <c r="JGC9" s="103"/>
      <c r="JGD9" s="103"/>
      <c r="JGE9" s="103"/>
      <c r="JGF9" s="103"/>
      <c r="JGG9" s="103"/>
      <c r="JGH9" s="103"/>
      <c r="JGI9" s="103"/>
      <c r="JGJ9" s="103"/>
      <c r="JGK9" s="103"/>
      <c r="JGL9" s="103"/>
      <c r="JGM9" s="103"/>
      <c r="JGN9" s="103"/>
      <c r="JGO9" s="103"/>
      <c r="JGP9" s="103"/>
      <c r="JGQ9" s="103"/>
      <c r="JGR9" s="103"/>
      <c r="JGS9" s="103"/>
      <c r="JGT9" s="103"/>
      <c r="JGU9" s="103"/>
      <c r="JGV9" s="103"/>
      <c r="JGW9" s="103"/>
      <c r="JGX9" s="103"/>
      <c r="JGY9" s="103"/>
      <c r="JGZ9" s="103"/>
      <c r="JHA9" s="103"/>
      <c r="JHB9" s="103"/>
      <c r="JHC9" s="103"/>
      <c r="JHD9" s="103"/>
      <c r="JHE9" s="103"/>
      <c r="JHF9" s="103"/>
      <c r="JHG9" s="103"/>
      <c r="JHH9" s="103"/>
      <c r="JHI9" s="103"/>
      <c r="JHJ9" s="103"/>
      <c r="JHK9" s="103"/>
      <c r="JHL9" s="103"/>
      <c r="JHM9" s="103"/>
      <c r="JHN9" s="103"/>
      <c r="JHO9" s="103"/>
      <c r="JHP9" s="103"/>
      <c r="JHQ9" s="103"/>
      <c r="JHR9" s="103"/>
      <c r="JHS9" s="103"/>
      <c r="JHT9" s="103"/>
      <c r="JHU9" s="103"/>
      <c r="JHV9" s="103"/>
      <c r="JHW9" s="103"/>
      <c r="JHX9" s="103"/>
      <c r="JHY9" s="103"/>
      <c r="JHZ9" s="103"/>
      <c r="JIA9" s="103"/>
      <c r="JIB9" s="103"/>
      <c r="JIC9" s="103"/>
      <c r="JID9" s="103"/>
      <c r="JIE9" s="103"/>
      <c r="JIF9" s="103"/>
      <c r="JIG9" s="103"/>
      <c r="JIH9" s="103"/>
      <c r="JII9" s="103"/>
      <c r="JIJ9" s="103"/>
      <c r="JIK9" s="103"/>
      <c r="JIL9" s="103"/>
      <c r="JIM9" s="103"/>
      <c r="JIN9" s="103"/>
      <c r="JIO9" s="103"/>
      <c r="JIP9" s="103"/>
      <c r="JIQ9" s="103"/>
      <c r="JIR9" s="103"/>
      <c r="JIS9" s="103"/>
      <c r="JIT9" s="103"/>
      <c r="JIU9" s="103"/>
      <c r="JIV9" s="103"/>
      <c r="JIW9" s="103"/>
      <c r="JIX9" s="103"/>
      <c r="JIY9" s="103"/>
      <c r="JIZ9" s="103"/>
      <c r="JJA9" s="103"/>
      <c r="JJB9" s="103"/>
      <c r="JJC9" s="103"/>
      <c r="JJD9" s="103"/>
      <c r="JJE9" s="103"/>
      <c r="JJF9" s="103"/>
      <c r="JJG9" s="103"/>
      <c r="JJH9" s="103"/>
      <c r="JJI9" s="103"/>
      <c r="JJJ9" s="103"/>
      <c r="JJK9" s="103"/>
      <c r="JJL9" s="103"/>
      <c r="JJM9" s="103"/>
      <c r="JJN9" s="103"/>
      <c r="JJO9" s="103"/>
      <c r="JJP9" s="103"/>
      <c r="JJQ9" s="103"/>
      <c r="JJR9" s="103"/>
      <c r="JJS9" s="103"/>
      <c r="JJT9" s="103"/>
      <c r="JJU9" s="103"/>
      <c r="JJV9" s="103"/>
      <c r="JJW9" s="103"/>
      <c r="JJX9" s="103"/>
      <c r="JJY9" s="103"/>
      <c r="JJZ9" s="103"/>
      <c r="JKA9" s="103"/>
      <c r="JKB9" s="103"/>
      <c r="JKC9" s="103"/>
      <c r="JKD9" s="103"/>
      <c r="JKE9" s="103"/>
      <c r="JKF9" s="103"/>
      <c r="JKG9" s="103"/>
      <c r="JKH9" s="103"/>
      <c r="JKI9" s="103"/>
      <c r="JKJ9" s="103"/>
      <c r="JKK9" s="103"/>
      <c r="JKL9" s="103"/>
      <c r="JKM9" s="103"/>
      <c r="JKN9" s="103"/>
      <c r="JKO9" s="103"/>
      <c r="JKP9" s="103"/>
      <c r="JKQ9" s="103"/>
      <c r="JKR9" s="103"/>
      <c r="JKS9" s="103"/>
      <c r="JKT9" s="103"/>
      <c r="JKU9" s="103"/>
      <c r="JKV9" s="103"/>
      <c r="JKW9" s="103"/>
      <c r="JKX9" s="103"/>
      <c r="JKY9" s="103"/>
      <c r="JKZ9" s="103"/>
      <c r="JLA9" s="103"/>
      <c r="JLB9" s="103"/>
      <c r="JLC9" s="103"/>
      <c r="JLD9" s="103"/>
      <c r="JLE9" s="103"/>
      <c r="JLF9" s="103"/>
      <c r="JLG9" s="103"/>
      <c r="JLH9" s="103"/>
      <c r="JLI9" s="103"/>
      <c r="JLJ9" s="103"/>
      <c r="JLK9" s="103"/>
      <c r="JLL9" s="103"/>
      <c r="JLM9" s="103"/>
      <c r="JLN9" s="103"/>
      <c r="JLO9" s="103"/>
      <c r="JLP9" s="103"/>
      <c r="JLQ9" s="103"/>
      <c r="JLR9" s="103"/>
      <c r="JLS9" s="103"/>
      <c r="JLT9" s="103"/>
      <c r="JLU9" s="103"/>
      <c r="JLV9" s="103"/>
      <c r="JLW9" s="103"/>
      <c r="JLX9" s="103"/>
      <c r="JLY9" s="103"/>
      <c r="JLZ9" s="103"/>
      <c r="JMA9" s="103"/>
      <c r="JMB9" s="103"/>
      <c r="JMC9" s="103"/>
      <c r="JMD9" s="103"/>
      <c r="JME9" s="103"/>
      <c r="JMF9" s="103"/>
      <c r="JMG9" s="103"/>
      <c r="JMH9" s="103"/>
      <c r="JMI9" s="103"/>
      <c r="JMJ9" s="103"/>
      <c r="JMK9" s="103"/>
      <c r="JML9" s="103"/>
      <c r="JMM9" s="103"/>
      <c r="JMN9" s="103"/>
      <c r="JMO9" s="103"/>
      <c r="JMP9" s="103"/>
      <c r="JMQ9" s="103"/>
      <c r="JMR9" s="103"/>
      <c r="JMS9" s="103"/>
      <c r="JMT9" s="103"/>
      <c r="JMU9" s="103"/>
      <c r="JMV9" s="103"/>
      <c r="JMW9" s="103"/>
      <c r="JMX9" s="103"/>
      <c r="JMY9" s="103"/>
      <c r="JMZ9" s="103"/>
      <c r="JNA9" s="103"/>
      <c r="JNB9" s="103"/>
      <c r="JNC9" s="103"/>
      <c r="JND9" s="103"/>
      <c r="JNE9" s="103"/>
      <c r="JNF9" s="103"/>
      <c r="JNG9" s="103"/>
      <c r="JNH9" s="103"/>
      <c r="JNI9" s="103"/>
      <c r="JNJ9" s="103"/>
      <c r="JNK9" s="103"/>
      <c r="JNL9" s="103"/>
      <c r="JNM9" s="103"/>
      <c r="JNN9" s="103"/>
      <c r="JNO9" s="103"/>
      <c r="JNP9" s="103"/>
      <c r="JNQ9" s="103"/>
      <c r="JNR9" s="103"/>
      <c r="JNS9" s="103"/>
      <c r="JNT9" s="103"/>
      <c r="JNU9" s="103"/>
      <c r="JNV9" s="103"/>
      <c r="JNW9" s="103"/>
      <c r="JNX9" s="103"/>
      <c r="JNY9" s="103"/>
      <c r="JNZ9" s="103"/>
      <c r="JOA9" s="103"/>
      <c r="JOB9" s="103"/>
      <c r="JOC9" s="103"/>
      <c r="JOD9" s="103"/>
      <c r="JOE9" s="103"/>
      <c r="JOF9" s="103"/>
      <c r="JOG9" s="103"/>
      <c r="JOH9" s="103"/>
      <c r="JOI9" s="103"/>
      <c r="JOJ9" s="103"/>
      <c r="JOK9" s="103"/>
      <c r="JOL9" s="103"/>
      <c r="JOM9" s="103"/>
      <c r="JON9" s="103"/>
      <c r="JOO9" s="103"/>
      <c r="JOP9" s="103"/>
      <c r="JOQ9" s="103"/>
      <c r="JOR9" s="103"/>
      <c r="JOS9" s="103"/>
      <c r="JOT9" s="103"/>
      <c r="JOU9" s="103"/>
      <c r="JOV9" s="103"/>
      <c r="JOW9" s="103"/>
      <c r="JOX9" s="103"/>
      <c r="JOY9" s="103"/>
      <c r="JOZ9" s="103"/>
      <c r="JPA9" s="103"/>
      <c r="JPB9" s="103"/>
      <c r="JPC9" s="103"/>
      <c r="JPD9" s="103"/>
      <c r="JPE9" s="103"/>
      <c r="JPF9" s="103"/>
      <c r="JPG9" s="103"/>
      <c r="JPH9" s="103"/>
      <c r="JPI9" s="103"/>
      <c r="JPJ9" s="103"/>
      <c r="JPK9" s="103"/>
      <c r="JPL9" s="103"/>
      <c r="JPM9" s="103"/>
      <c r="JPN9" s="103"/>
      <c r="JPO9" s="103"/>
      <c r="JPP9" s="103"/>
      <c r="JPQ9" s="103"/>
      <c r="JPR9" s="103"/>
      <c r="JPS9" s="103"/>
      <c r="JPT9" s="103"/>
      <c r="JPU9" s="103"/>
      <c r="JPV9" s="103"/>
      <c r="JPW9" s="103"/>
      <c r="JPX9" s="103"/>
      <c r="JPY9" s="103"/>
      <c r="JPZ9" s="103"/>
      <c r="JQA9" s="103"/>
      <c r="JQB9" s="103"/>
      <c r="JQC9" s="103"/>
      <c r="JQD9" s="103"/>
      <c r="JQE9" s="103"/>
      <c r="JQF9" s="103"/>
      <c r="JQG9" s="103"/>
      <c r="JQH9" s="103"/>
      <c r="JQI9" s="103"/>
      <c r="JQJ9" s="103"/>
      <c r="JQK9" s="103"/>
      <c r="JQL9" s="103"/>
      <c r="JQM9" s="103"/>
      <c r="JQN9" s="103"/>
      <c r="JQO9" s="103"/>
      <c r="JQP9" s="103"/>
      <c r="JQQ9" s="103"/>
      <c r="JQR9" s="103"/>
      <c r="JQS9" s="103"/>
      <c r="JQT9" s="103"/>
      <c r="JQU9" s="103"/>
      <c r="JQV9" s="103"/>
      <c r="JQW9" s="103"/>
      <c r="JQX9" s="103"/>
      <c r="JQY9" s="103"/>
      <c r="JQZ9" s="103"/>
      <c r="JRA9" s="103"/>
      <c r="JRB9" s="103"/>
      <c r="JRC9" s="103"/>
      <c r="JRD9" s="103"/>
      <c r="JRE9" s="103"/>
      <c r="JRF9" s="103"/>
      <c r="JRG9" s="103"/>
      <c r="JRH9" s="103"/>
      <c r="JRI9" s="103"/>
      <c r="JRJ9" s="103"/>
      <c r="JRK9" s="103"/>
      <c r="JRL9" s="103"/>
      <c r="JRM9" s="103"/>
      <c r="JRN9" s="103"/>
      <c r="JRO9" s="103"/>
      <c r="JRP9" s="103"/>
      <c r="JRQ9" s="103"/>
      <c r="JRR9" s="103"/>
      <c r="JRS9" s="103"/>
      <c r="JRT9" s="103"/>
      <c r="JRU9" s="103"/>
      <c r="JRV9" s="103"/>
      <c r="JRW9" s="103"/>
      <c r="JRX9" s="103"/>
      <c r="JRY9" s="103"/>
      <c r="JRZ9" s="103"/>
      <c r="JSA9" s="103"/>
      <c r="JSB9" s="103"/>
      <c r="JSC9" s="103"/>
      <c r="JSD9" s="103"/>
      <c r="JSE9" s="103"/>
      <c r="JSF9" s="103"/>
      <c r="JSG9" s="103"/>
      <c r="JSH9" s="103"/>
      <c r="JSI9" s="103"/>
      <c r="JSJ9" s="103"/>
      <c r="JSK9" s="103"/>
      <c r="JSL9" s="103"/>
      <c r="JSM9" s="103"/>
      <c r="JSN9" s="103"/>
      <c r="JSO9" s="103"/>
      <c r="JSP9" s="103"/>
      <c r="JSQ9" s="103"/>
      <c r="JSR9" s="103"/>
      <c r="JSS9" s="103"/>
      <c r="JST9" s="103"/>
      <c r="JSU9" s="103"/>
      <c r="JSV9" s="103"/>
      <c r="JSW9" s="103"/>
      <c r="JSX9" s="103"/>
      <c r="JSY9" s="103"/>
      <c r="JSZ9" s="103"/>
      <c r="JTA9" s="103"/>
      <c r="JTB9" s="103"/>
      <c r="JTC9" s="103"/>
      <c r="JTD9" s="103"/>
      <c r="JTE9" s="103"/>
      <c r="JTF9" s="103"/>
      <c r="JTG9" s="103"/>
      <c r="JTH9" s="103"/>
      <c r="JTI9" s="103"/>
      <c r="JTJ9" s="103"/>
      <c r="JTK9" s="103"/>
      <c r="JTL9" s="103"/>
      <c r="JTM9" s="103"/>
      <c r="JTN9" s="103"/>
      <c r="JTO9" s="103"/>
      <c r="JTP9" s="103"/>
      <c r="JTQ9" s="103"/>
      <c r="JTR9" s="103"/>
      <c r="JTS9" s="103"/>
      <c r="JTT9" s="103"/>
      <c r="JTU9" s="103"/>
      <c r="JTV9" s="103"/>
      <c r="JTW9" s="103"/>
      <c r="JTX9" s="103"/>
      <c r="JTY9" s="103"/>
      <c r="JTZ9" s="103"/>
      <c r="JUA9" s="103"/>
      <c r="JUB9" s="103"/>
      <c r="JUC9" s="103"/>
      <c r="JUD9" s="103"/>
      <c r="JUE9" s="103"/>
      <c r="JUF9" s="103"/>
      <c r="JUG9" s="103"/>
      <c r="JUH9" s="103"/>
      <c r="JUI9" s="103"/>
      <c r="JUJ9" s="103"/>
      <c r="JUK9" s="103"/>
      <c r="JUL9" s="103"/>
      <c r="JUM9" s="103"/>
      <c r="JUN9" s="103"/>
      <c r="JUO9" s="103"/>
      <c r="JUP9" s="103"/>
      <c r="JUQ9" s="103"/>
      <c r="JUR9" s="103"/>
      <c r="JUS9" s="103"/>
      <c r="JUT9" s="103"/>
      <c r="JUU9" s="103"/>
      <c r="JUV9" s="103"/>
      <c r="JUW9" s="103"/>
      <c r="JUX9" s="103"/>
      <c r="JUY9" s="103"/>
      <c r="JUZ9" s="103"/>
      <c r="JVA9" s="103"/>
      <c r="JVB9" s="103"/>
      <c r="JVC9" s="103"/>
      <c r="JVD9" s="103"/>
      <c r="JVE9" s="103"/>
      <c r="JVF9" s="103"/>
      <c r="JVG9" s="103"/>
      <c r="JVH9" s="103"/>
      <c r="JVI9" s="103"/>
      <c r="JVJ9" s="103"/>
      <c r="JVK9" s="103"/>
      <c r="JVL9" s="103"/>
      <c r="JVM9" s="103"/>
      <c r="JVN9" s="103"/>
      <c r="JVO9" s="103"/>
      <c r="JVP9" s="103"/>
      <c r="JVQ9" s="103"/>
      <c r="JVR9" s="103"/>
      <c r="JVS9" s="103"/>
      <c r="JVT9" s="103"/>
      <c r="JVU9" s="103"/>
      <c r="JVV9" s="103"/>
      <c r="JVW9" s="103"/>
      <c r="JVX9" s="103"/>
      <c r="JVY9" s="103"/>
      <c r="JVZ9" s="103"/>
      <c r="JWA9" s="103"/>
      <c r="JWB9" s="103"/>
      <c r="JWC9" s="103"/>
      <c r="JWD9" s="103"/>
      <c r="JWE9" s="103"/>
      <c r="JWF9" s="103"/>
      <c r="JWG9" s="103"/>
      <c r="JWH9" s="103"/>
      <c r="JWI9" s="103"/>
      <c r="JWJ9" s="103"/>
      <c r="JWK9" s="103"/>
      <c r="JWL9" s="103"/>
      <c r="JWM9" s="103"/>
      <c r="JWN9" s="103"/>
      <c r="JWO9" s="103"/>
      <c r="JWP9" s="103"/>
      <c r="JWQ9" s="103"/>
      <c r="JWR9" s="103"/>
      <c r="JWS9" s="103"/>
      <c r="JWT9" s="103"/>
      <c r="JWU9" s="103"/>
      <c r="JWV9" s="103"/>
      <c r="JWW9" s="103"/>
      <c r="JWX9" s="103"/>
      <c r="JWY9" s="103"/>
      <c r="JWZ9" s="103"/>
      <c r="JXA9" s="103"/>
      <c r="JXB9" s="103"/>
      <c r="JXC9" s="103"/>
      <c r="JXD9" s="103"/>
      <c r="JXE9" s="103"/>
      <c r="JXF9" s="103"/>
      <c r="JXG9" s="103"/>
      <c r="JXH9" s="103"/>
      <c r="JXI9" s="103"/>
      <c r="JXJ9" s="103"/>
      <c r="JXK9" s="103"/>
      <c r="JXL9" s="103"/>
      <c r="JXM9" s="103"/>
      <c r="JXN9" s="103"/>
      <c r="JXO9" s="103"/>
      <c r="JXP9" s="103"/>
      <c r="JXQ9" s="103"/>
      <c r="JXR9" s="103"/>
      <c r="JXS9" s="103"/>
      <c r="JXT9" s="103"/>
      <c r="JXU9" s="103"/>
      <c r="JXV9" s="103"/>
      <c r="JXW9" s="103"/>
      <c r="JXX9" s="103"/>
      <c r="JXY9" s="103"/>
      <c r="JXZ9" s="103"/>
      <c r="JYA9" s="103"/>
      <c r="JYB9" s="103"/>
      <c r="JYC9" s="103"/>
      <c r="JYD9" s="103"/>
      <c r="JYE9" s="103"/>
      <c r="JYF9" s="103"/>
      <c r="JYG9" s="103"/>
      <c r="JYH9" s="103"/>
      <c r="JYI9" s="103"/>
      <c r="JYJ9" s="103"/>
      <c r="JYK9" s="103"/>
      <c r="JYL9" s="103"/>
      <c r="JYM9" s="103"/>
      <c r="JYN9" s="103"/>
      <c r="JYO9" s="103"/>
      <c r="JYP9" s="103"/>
      <c r="JYQ9" s="103"/>
      <c r="JYR9" s="103"/>
      <c r="JYS9" s="103"/>
      <c r="JYT9" s="103"/>
      <c r="JYU9" s="103"/>
      <c r="JYV9" s="103"/>
      <c r="JYW9" s="103"/>
      <c r="JYX9" s="103"/>
      <c r="JYY9" s="103"/>
      <c r="JYZ9" s="103"/>
      <c r="JZA9" s="103"/>
      <c r="JZB9" s="103"/>
      <c r="JZC9" s="103"/>
      <c r="JZD9" s="103"/>
      <c r="JZE9" s="103"/>
      <c r="JZF9" s="103"/>
      <c r="JZG9" s="103"/>
      <c r="JZH9" s="103"/>
      <c r="JZI9" s="103"/>
      <c r="JZJ9" s="103"/>
      <c r="JZK9" s="103"/>
      <c r="JZL9" s="103"/>
      <c r="JZM9" s="103"/>
      <c r="JZN9" s="103"/>
      <c r="JZO9" s="103"/>
      <c r="JZP9" s="103"/>
      <c r="JZQ9" s="103"/>
      <c r="JZR9" s="103"/>
      <c r="JZS9" s="103"/>
      <c r="JZT9" s="103"/>
      <c r="JZU9" s="103"/>
      <c r="JZV9" s="103"/>
      <c r="JZW9" s="103"/>
      <c r="JZX9" s="103"/>
      <c r="JZY9" s="103"/>
      <c r="JZZ9" s="103"/>
      <c r="KAA9" s="103"/>
      <c r="KAB9" s="103"/>
      <c r="KAC9" s="103"/>
      <c r="KAD9" s="103"/>
      <c r="KAE9" s="103"/>
      <c r="KAF9" s="103"/>
      <c r="KAG9" s="103"/>
      <c r="KAH9" s="103"/>
      <c r="KAI9" s="103"/>
      <c r="KAJ9" s="103"/>
      <c r="KAK9" s="103"/>
      <c r="KAL9" s="103"/>
      <c r="KAM9" s="103"/>
      <c r="KAN9" s="103"/>
      <c r="KAO9" s="103"/>
      <c r="KAP9" s="103"/>
      <c r="KAQ9" s="103"/>
      <c r="KAR9" s="103"/>
      <c r="KAS9" s="103"/>
      <c r="KAT9" s="103"/>
      <c r="KAU9" s="103"/>
      <c r="KAV9" s="103"/>
      <c r="KAW9" s="103"/>
      <c r="KAX9" s="103"/>
      <c r="KAY9" s="103"/>
      <c r="KAZ9" s="103"/>
      <c r="KBA9" s="103"/>
      <c r="KBB9" s="103"/>
      <c r="KBC9" s="103"/>
      <c r="KBD9" s="103"/>
      <c r="KBE9" s="103"/>
      <c r="KBF9" s="103"/>
      <c r="KBG9" s="103"/>
      <c r="KBH9" s="103"/>
      <c r="KBI9" s="103"/>
      <c r="KBJ9" s="103"/>
      <c r="KBK9" s="103"/>
      <c r="KBL9" s="103"/>
      <c r="KBM9" s="103"/>
      <c r="KBN9" s="103"/>
      <c r="KBO9" s="103"/>
      <c r="KBP9" s="103"/>
      <c r="KBQ9" s="103"/>
      <c r="KBR9" s="103"/>
      <c r="KBS9" s="103"/>
      <c r="KBT9" s="103"/>
      <c r="KBU9" s="103"/>
      <c r="KBV9" s="103"/>
      <c r="KBW9" s="103"/>
      <c r="KBX9" s="103"/>
      <c r="KBY9" s="103"/>
      <c r="KBZ9" s="103"/>
      <c r="KCA9" s="103"/>
      <c r="KCB9" s="103"/>
      <c r="KCC9" s="103"/>
      <c r="KCD9" s="103"/>
      <c r="KCE9" s="103"/>
      <c r="KCF9" s="103"/>
      <c r="KCG9" s="103"/>
      <c r="KCH9" s="103"/>
      <c r="KCI9" s="103"/>
      <c r="KCJ9" s="103"/>
      <c r="KCK9" s="103"/>
      <c r="KCL9" s="103"/>
      <c r="KCM9" s="103"/>
      <c r="KCN9" s="103"/>
      <c r="KCO9" s="103"/>
      <c r="KCP9" s="103"/>
      <c r="KCQ9" s="103"/>
      <c r="KCR9" s="103"/>
      <c r="KCS9" s="103"/>
      <c r="KCT9" s="103"/>
      <c r="KCU9" s="103"/>
      <c r="KCV9" s="103"/>
      <c r="KCW9" s="103"/>
      <c r="KCX9" s="103"/>
      <c r="KCY9" s="103"/>
      <c r="KCZ9" s="103"/>
      <c r="KDA9" s="103"/>
      <c r="KDB9" s="103"/>
      <c r="KDC9" s="103"/>
      <c r="KDD9" s="103"/>
      <c r="KDE9" s="103"/>
      <c r="KDF9" s="103"/>
      <c r="KDG9" s="103"/>
      <c r="KDH9" s="103"/>
      <c r="KDI9" s="103"/>
      <c r="KDJ9" s="103"/>
      <c r="KDK9" s="103"/>
      <c r="KDL9" s="103"/>
      <c r="KDM9" s="103"/>
      <c r="KDN9" s="103"/>
      <c r="KDO9" s="103"/>
      <c r="KDP9" s="103"/>
      <c r="KDQ9" s="103"/>
      <c r="KDR9" s="103"/>
      <c r="KDS9" s="103"/>
      <c r="KDT9" s="103"/>
      <c r="KDU9" s="103"/>
      <c r="KDV9" s="103"/>
      <c r="KDW9" s="103"/>
      <c r="KDX9" s="103"/>
      <c r="KDY9" s="103"/>
      <c r="KDZ9" s="103"/>
      <c r="KEA9" s="103"/>
      <c r="KEB9" s="103"/>
      <c r="KEC9" s="103"/>
      <c r="KED9" s="103"/>
      <c r="KEE9" s="103"/>
      <c r="KEF9" s="103"/>
      <c r="KEG9" s="103"/>
      <c r="KEH9" s="103"/>
      <c r="KEI9" s="103"/>
      <c r="KEJ9" s="103"/>
      <c r="KEK9" s="103"/>
      <c r="KEL9" s="103"/>
      <c r="KEM9" s="103"/>
      <c r="KEN9" s="103"/>
      <c r="KEO9" s="103"/>
      <c r="KEP9" s="103"/>
      <c r="KEQ9" s="103"/>
      <c r="KER9" s="103"/>
      <c r="KES9" s="103"/>
      <c r="KET9" s="103"/>
      <c r="KEU9" s="103"/>
      <c r="KEV9" s="103"/>
      <c r="KEW9" s="103"/>
      <c r="KEX9" s="103"/>
      <c r="KEY9" s="103"/>
      <c r="KEZ9" s="103"/>
      <c r="KFA9" s="103"/>
      <c r="KFB9" s="103"/>
      <c r="KFC9" s="103"/>
      <c r="KFD9" s="103"/>
      <c r="KFE9" s="103"/>
      <c r="KFF9" s="103"/>
      <c r="KFG9" s="103"/>
      <c r="KFH9" s="103"/>
      <c r="KFI9" s="103"/>
      <c r="KFJ9" s="103"/>
      <c r="KFK9" s="103"/>
      <c r="KFL9" s="103"/>
      <c r="KFM9" s="103"/>
      <c r="KFN9" s="103"/>
      <c r="KFO9" s="103"/>
      <c r="KFP9" s="103"/>
      <c r="KFQ9" s="103"/>
      <c r="KFR9" s="103"/>
      <c r="KFS9" s="103"/>
      <c r="KFT9" s="103"/>
      <c r="KFU9" s="103"/>
      <c r="KFV9" s="103"/>
      <c r="KFW9" s="103"/>
      <c r="KFX9" s="103"/>
      <c r="KFY9" s="103"/>
      <c r="KFZ9" s="103"/>
      <c r="KGA9" s="103"/>
      <c r="KGB9" s="103"/>
      <c r="KGC9" s="103"/>
      <c r="KGD9" s="103"/>
      <c r="KGE9" s="103"/>
      <c r="KGF9" s="103"/>
      <c r="KGG9" s="103"/>
      <c r="KGH9" s="103"/>
      <c r="KGI9" s="103"/>
      <c r="KGJ9" s="103"/>
      <c r="KGK9" s="103"/>
      <c r="KGL9" s="103"/>
      <c r="KGM9" s="103"/>
      <c r="KGN9" s="103"/>
      <c r="KGO9" s="103"/>
      <c r="KGP9" s="103"/>
      <c r="KGQ9" s="103"/>
      <c r="KGR9" s="103"/>
      <c r="KGS9" s="103"/>
      <c r="KGT9" s="103"/>
      <c r="KGU9" s="103"/>
      <c r="KGV9" s="103"/>
      <c r="KGW9" s="103"/>
      <c r="KGX9" s="103"/>
      <c r="KGY9" s="103"/>
      <c r="KGZ9" s="103"/>
      <c r="KHA9" s="103"/>
      <c r="KHB9" s="103"/>
      <c r="KHC9" s="103"/>
      <c r="KHD9" s="103"/>
      <c r="KHE9" s="103"/>
      <c r="KHF9" s="103"/>
      <c r="KHG9" s="103"/>
      <c r="KHH9" s="103"/>
      <c r="KHI9" s="103"/>
      <c r="KHJ9" s="103"/>
      <c r="KHK9" s="103"/>
      <c r="KHL9" s="103"/>
      <c r="KHM9" s="103"/>
      <c r="KHN9" s="103"/>
      <c r="KHO9" s="103"/>
      <c r="KHP9" s="103"/>
      <c r="KHQ9" s="103"/>
      <c r="KHR9" s="103"/>
      <c r="KHS9" s="103"/>
      <c r="KHT9" s="103"/>
      <c r="KHU9" s="103"/>
      <c r="KHV9" s="103"/>
      <c r="KHW9" s="103"/>
      <c r="KHX9" s="103"/>
      <c r="KHY9" s="103"/>
      <c r="KHZ9" s="103"/>
      <c r="KIA9" s="103"/>
      <c r="KIB9" s="103"/>
      <c r="KIC9" s="103"/>
      <c r="KID9" s="103"/>
      <c r="KIE9" s="103"/>
      <c r="KIF9" s="103"/>
      <c r="KIG9" s="103"/>
      <c r="KIH9" s="103"/>
      <c r="KII9" s="103"/>
      <c r="KIJ9" s="103"/>
      <c r="KIK9" s="103"/>
      <c r="KIL9" s="103"/>
      <c r="KIM9" s="103"/>
      <c r="KIN9" s="103"/>
      <c r="KIO9" s="103"/>
      <c r="KIP9" s="103"/>
      <c r="KIQ9" s="103"/>
      <c r="KIR9" s="103"/>
      <c r="KIS9" s="103"/>
      <c r="KIT9" s="103"/>
      <c r="KIU9" s="103"/>
      <c r="KIV9" s="103"/>
      <c r="KIW9" s="103"/>
      <c r="KIX9" s="103"/>
      <c r="KIY9" s="103"/>
      <c r="KIZ9" s="103"/>
      <c r="KJA9" s="103"/>
      <c r="KJB9" s="103"/>
      <c r="KJC9" s="103"/>
      <c r="KJD9" s="103"/>
      <c r="KJE9" s="103"/>
      <c r="KJF9" s="103"/>
      <c r="KJG9" s="103"/>
      <c r="KJH9" s="103"/>
      <c r="KJI9" s="103"/>
      <c r="KJJ9" s="103"/>
      <c r="KJK9" s="103"/>
      <c r="KJL9" s="103"/>
      <c r="KJM9" s="103"/>
      <c r="KJN9" s="103"/>
      <c r="KJO9" s="103"/>
      <c r="KJP9" s="103"/>
      <c r="KJQ9" s="103"/>
      <c r="KJR9" s="103"/>
      <c r="KJS9" s="103"/>
      <c r="KJT9" s="103"/>
      <c r="KJU9" s="103"/>
      <c r="KJV9" s="103"/>
      <c r="KJW9" s="103"/>
      <c r="KJX9" s="103"/>
      <c r="KJY9" s="103"/>
      <c r="KJZ9" s="103"/>
      <c r="KKA9" s="103"/>
      <c r="KKB9" s="103"/>
      <c r="KKC9" s="103"/>
      <c r="KKD9" s="103"/>
      <c r="KKE9" s="103"/>
      <c r="KKF9" s="103"/>
      <c r="KKG9" s="103"/>
      <c r="KKH9" s="103"/>
      <c r="KKI9" s="103"/>
      <c r="KKJ9" s="103"/>
      <c r="KKK9" s="103"/>
      <c r="KKL9" s="103"/>
      <c r="KKM9" s="103"/>
      <c r="KKN9" s="103"/>
      <c r="KKO9" s="103"/>
      <c r="KKP9" s="103"/>
      <c r="KKQ9" s="103"/>
      <c r="KKR9" s="103"/>
      <c r="KKS9" s="103"/>
      <c r="KKT9" s="103"/>
      <c r="KKU9" s="103"/>
      <c r="KKV9" s="103"/>
      <c r="KKW9" s="103"/>
      <c r="KKX9" s="103"/>
      <c r="KKY9" s="103"/>
      <c r="KKZ9" s="103"/>
      <c r="KLA9" s="103"/>
      <c r="KLB9" s="103"/>
      <c r="KLC9" s="103"/>
      <c r="KLD9" s="103"/>
      <c r="KLE9" s="103"/>
      <c r="KLF9" s="103"/>
      <c r="KLG9" s="103"/>
      <c r="KLH9" s="103"/>
      <c r="KLI9" s="103"/>
      <c r="KLJ9" s="103"/>
      <c r="KLK9" s="103"/>
      <c r="KLL9" s="103"/>
      <c r="KLM9" s="103"/>
      <c r="KLN9" s="103"/>
      <c r="KLO9" s="103"/>
      <c r="KLP9" s="103"/>
      <c r="KLQ9" s="103"/>
      <c r="KLR9" s="103"/>
      <c r="KLS9" s="103"/>
      <c r="KLT9" s="103"/>
      <c r="KLU9" s="103"/>
      <c r="KLV9" s="103"/>
      <c r="KLW9" s="103"/>
      <c r="KLX9" s="103"/>
      <c r="KLY9" s="103"/>
      <c r="KLZ9" s="103"/>
      <c r="KMA9" s="103"/>
      <c r="KMB9" s="103"/>
      <c r="KMC9" s="103"/>
      <c r="KMD9" s="103"/>
      <c r="KME9" s="103"/>
      <c r="KMF9" s="103"/>
      <c r="KMG9" s="103"/>
      <c r="KMH9" s="103"/>
      <c r="KMI9" s="103"/>
      <c r="KMJ9" s="103"/>
      <c r="KMK9" s="103"/>
      <c r="KML9" s="103"/>
      <c r="KMM9" s="103"/>
      <c r="KMN9" s="103"/>
      <c r="KMO9" s="103"/>
      <c r="KMP9" s="103"/>
      <c r="KMQ9" s="103"/>
      <c r="KMR9" s="103"/>
      <c r="KMS9" s="103"/>
      <c r="KMT9" s="103"/>
      <c r="KMU9" s="103"/>
      <c r="KMV9" s="103"/>
      <c r="KMW9" s="103"/>
      <c r="KMX9" s="103"/>
      <c r="KMY9" s="103"/>
      <c r="KMZ9" s="103"/>
      <c r="KNA9" s="103"/>
      <c r="KNB9" s="103"/>
      <c r="KNC9" s="103"/>
      <c r="KND9" s="103"/>
      <c r="KNE9" s="103"/>
      <c r="KNF9" s="103"/>
      <c r="KNG9" s="103"/>
      <c r="KNH9" s="103"/>
      <c r="KNI9" s="103"/>
      <c r="KNJ9" s="103"/>
      <c r="KNK9" s="103"/>
      <c r="KNL9" s="103"/>
      <c r="KNM9" s="103"/>
      <c r="KNN9" s="103"/>
      <c r="KNO9" s="103"/>
      <c r="KNP9" s="103"/>
      <c r="KNQ9" s="103"/>
      <c r="KNR9" s="103"/>
      <c r="KNS9" s="103"/>
      <c r="KNT9" s="103"/>
      <c r="KNU9" s="103"/>
      <c r="KNV9" s="103"/>
      <c r="KNW9" s="103"/>
      <c r="KNX9" s="103"/>
      <c r="KNY9" s="103"/>
      <c r="KNZ9" s="103"/>
      <c r="KOA9" s="103"/>
      <c r="KOB9" s="103"/>
      <c r="KOC9" s="103"/>
      <c r="KOD9" s="103"/>
      <c r="KOE9" s="103"/>
      <c r="KOF9" s="103"/>
      <c r="KOG9" s="103"/>
      <c r="KOH9" s="103"/>
      <c r="KOI9" s="103"/>
      <c r="KOJ9" s="103"/>
      <c r="KOK9" s="103"/>
      <c r="KOL9" s="103"/>
      <c r="KOM9" s="103"/>
      <c r="KON9" s="103"/>
      <c r="KOO9" s="103"/>
      <c r="KOP9" s="103"/>
      <c r="KOQ9" s="103"/>
      <c r="KOR9" s="103"/>
      <c r="KOS9" s="103"/>
      <c r="KOT9" s="103"/>
      <c r="KOU9" s="103"/>
      <c r="KOV9" s="103"/>
      <c r="KOW9" s="103"/>
      <c r="KOX9" s="103"/>
      <c r="KOY9" s="103"/>
      <c r="KOZ9" s="103"/>
      <c r="KPA9" s="103"/>
      <c r="KPB9" s="103"/>
      <c r="KPC9" s="103"/>
      <c r="KPD9" s="103"/>
      <c r="KPE9" s="103"/>
      <c r="KPF9" s="103"/>
      <c r="KPG9" s="103"/>
      <c r="KPH9" s="103"/>
      <c r="KPI9" s="103"/>
      <c r="KPJ9" s="103"/>
      <c r="KPK9" s="103"/>
      <c r="KPL9" s="103"/>
      <c r="KPM9" s="103"/>
      <c r="KPN9" s="103"/>
      <c r="KPO9" s="103"/>
      <c r="KPP9" s="103"/>
      <c r="KPQ9" s="103"/>
      <c r="KPR9" s="103"/>
      <c r="KPS9" s="103"/>
      <c r="KPT9" s="103"/>
      <c r="KPU9" s="103"/>
      <c r="KPV9" s="103"/>
      <c r="KPW9" s="103"/>
      <c r="KPX9" s="103"/>
      <c r="KPY9" s="103"/>
      <c r="KPZ9" s="103"/>
      <c r="KQA9" s="103"/>
      <c r="KQB9" s="103"/>
      <c r="KQC9" s="103"/>
      <c r="KQD9" s="103"/>
      <c r="KQE9" s="103"/>
      <c r="KQF9" s="103"/>
      <c r="KQG9" s="103"/>
      <c r="KQH9" s="103"/>
      <c r="KQI9" s="103"/>
      <c r="KQJ9" s="103"/>
      <c r="KQK9" s="103"/>
      <c r="KQL9" s="103"/>
      <c r="KQM9" s="103"/>
      <c r="KQN9" s="103"/>
      <c r="KQO9" s="103"/>
      <c r="KQP9" s="103"/>
      <c r="KQQ9" s="103"/>
      <c r="KQR9" s="103"/>
      <c r="KQS9" s="103"/>
      <c r="KQT9" s="103"/>
      <c r="KQU9" s="103"/>
      <c r="KQV9" s="103"/>
      <c r="KQW9" s="103"/>
      <c r="KQX9" s="103"/>
      <c r="KQY9" s="103"/>
      <c r="KQZ9" s="103"/>
      <c r="KRA9" s="103"/>
      <c r="KRB9" s="103"/>
      <c r="KRC9" s="103"/>
      <c r="KRD9" s="103"/>
      <c r="KRE9" s="103"/>
      <c r="KRF9" s="103"/>
      <c r="KRG9" s="103"/>
      <c r="KRH9" s="103"/>
      <c r="KRI9" s="103"/>
      <c r="KRJ9" s="103"/>
      <c r="KRK9" s="103"/>
      <c r="KRL9" s="103"/>
      <c r="KRM9" s="103"/>
      <c r="KRN9" s="103"/>
      <c r="KRO9" s="103"/>
      <c r="KRP9" s="103"/>
      <c r="KRQ9" s="103"/>
      <c r="KRR9" s="103"/>
      <c r="KRS9" s="103"/>
      <c r="KRT9" s="103"/>
      <c r="KRU9" s="103"/>
      <c r="KRV9" s="103"/>
      <c r="KRW9" s="103"/>
      <c r="KRX9" s="103"/>
      <c r="KRY9" s="103"/>
      <c r="KRZ9" s="103"/>
      <c r="KSA9" s="103"/>
      <c r="KSB9" s="103"/>
      <c r="KSC9" s="103"/>
      <c r="KSD9" s="103"/>
      <c r="KSE9" s="103"/>
      <c r="KSF9" s="103"/>
      <c r="KSG9" s="103"/>
      <c r="KSH9" s="103"/>
      <c r="KSI9" s="103"/>
      <c r="KSJ9" s="103"/>
      <c r="KSK9" s="103"/>
      <c r="KSL9" s="103"/>
      <c r="KSM9" s="103"/>
      <c r="KSN9" s="103"/>
      <c r="KSO9" s="103"/>
      <c r="KSP9" s="103"/>
      <c r="KSQ9" s="103"/>
      <c r="KSR9" s="103"/>
      <c r="KSS9" s="103"/>
      <c r="KST9" s="103"/>
      <c r="KSU9" s="103"/>
      <c r="KSV9" s="103"/>
      <c r="KSW9" s="103"/>
      <c r="KSX9" s="103"/>
      <c r="KSY9" s="103"/>
      <c r="KSZ9" s="103"/>
      <c r="KTA9" s="103"/>
      <c r="KTB9" s="103"/>
      <c r="KTC9" s="103"/>
      <c r="KTD9" s="103"/>
      <c r="KTE9" s="103"/>
      <c r="KTF9" s="103"/>
      <c r="KTG9" s="103"/>
      <c r="KTH9" s="103"/>
      <c r="KTI9" s="103"/>
      <c r="KTJ9" s="103"/>
      <c r="KTK9" s="103"/>
      <c r="KTL9" s="103"/>
      <c r="KTM9" s="103"/>
      <c r="KTN9" s="103"/>
      <c r="KTO9" s="103"/>
      <c r="KTP9" s="103"/>
      <c r="KTQ9" s="103"/>
      <c r="KTR9" s="103"/>
      <c r="KTS9" s="103"/>
      <c r="KTT9" s="103"/>
      <c r="KTU9" s="103"/>
      <c r="KTV9" s="103"/>
      <c r="KTW9" s="103"/>
      <c r="KTX9" s="103"/>
      <c r="KTY9" s="103"/>
      <c r="KTZ9" s="103"/>
      <c r="KUA9" s="103"/>
      <c r="KUB9" s="103"/>
      <c r="KUC9" s="103"/>
      <c r="KUD9" s="103"/>
      <c r="KUE9" s="103"/>
      <c r="KUF9" s="103"/>
      <c r="KUG9" s="103"/>
      <c r="KUH9" s="103"/>
      <c r="KUI9" s="103"/>
      <c r="KUJ9" s="103"/>
      <c r="KUK9" s="103"/>
      <c r="KUL9" s="103"/>
      <c r="KUM9" s="103"/>
      <c r="KUN9" s="103"/>
      <c r="KUO9" s="103"/>
      <c r="KUP9" s="103"/>
      <c r="KUQ9" s="103"/>
      <c r="KUR9" s="103"/>
      <c r="KUS9" s="103"/>
      <c r="KUT9" s="103"/>
      <c r="KUU9" s="103"/>
      <c r="KUV9" s="103"/>
      <c r="KUW9" s="103"/>
      <c r="KUX9" s="103"/>
      <c r="KUY9" s="103"/>
      <c r="KUZ9" s="103"/>
      <c r="KVA9" s="103"/>
      <c r="KVB9" s="103"/>
      <c r="KVC9" s="103"/>
      <c r="KVD9" s="103"/>
      <c r="KVE9" s="103"/>
      <c r="KVF9" s="103"/>
      <c r="KVG9" s="103"/>
      <c r="KVH9" s="103"/>
      <c r="KVI9" s="103"/>
      <c r="KVJ9" s="103"/>
      <c r="KVK9" s="103"/>
      <c r="KVL9" s="103"/>
      <c r="KVM9" s="103"/>
      <c r="KVN9" s="103"/>
      <c r="KVO9" s="103"/>
      <c r="KVP9" s="103"/>
      <c r="KVQ9" s="103"/>
      <c r="KVR9" s="103"/>
      <c r="KVS9" s="103"/>
      <c r="KVT9" s="103"/>
      <c r="KVU9" s="103"/>
      <c r="KVV9" s="103"/>
      <c r="KVW9" s="103"/>
      <c r="KVX9" s="103"/>
      <c r="KVY9" s="103"/>
      <c r="KVZ9" s="103"/>
      <c r="KWA9" s="103"/>
      <c r="KWB9" s="103"/>
      <c r="KWC9" s="103"/>
      <c r="KWD9" s="103"/>
      <c r="KWE9" s="103"/>
      <c r="KWF9" s="103"/>
      <c r="KWG9" s="103"/>
      <c r="KWH9" s="103"/>
      <c r="KWI9" s="103"/>
      <c r="KWJ9" s="103"/>
      <c r="KWK9" s="103"/>
      <c r="KWL9" s="103"/>
      <c r="KWM9" s="103"/>
      <c r="KWN9" s="103"/>
      <c r="KWO9" s="103"/>
      <c r="KWP9" s="103"/>
      <c r="KWQ9" s="103"/>
      <c r="KWR9" s="103"/>
      <c r="KWS9" s="103"/>
      <c r="KWT9" s="103"/>
      <c r="KWU9" s="103"/>
      <c r="KWV9" s="103"/>
      <c r="KWW9" s="103"/>
      <c r="KWX9" s="103"/>
      <c r="KWY9" s="103"/>
      <c r="KWZ9" s="103"/>
      <c r="KXA9" s="103"/>
      <c r="KXB9" s="103"/>
      <c r="KXC9" s="103"/>
      <c r="KXD9" s="103"/>
      <c r="KXE9" s="103"/>
      <c r="KXF9" s="103"/>
      <c r="KXG9" s="103"/>
      <c r="KXH9" s="103"/>
      <c r="KXI9" s="103"/>
      <c r="KXJ9" s="103"/>
      <c r="KXK9" s="103"/>
      <c r="KXL9" s="103"/>
      <c r="KXM9" s="103"/>
      <c r="KXN9" s="103"/>
      <c r="KXO9" s="103"/>
      <c r="KXP9" s="103"/>
      <c r="KXQ9" s="103"/>
      <c r="KXR9" s="103"/>
      <c r="KXS9" s="103"/>
      <c r="KXT9" s="103"/>
      <c r="KXU9" s="103"/>
      <c r="KXV9" s="103"/>
      <c r="KXW9" s="103"/>
      <c r="KXX9" s="103"/>
      <c r="KXY9" s="103"/>
      <c r="KXZ9" s="103"/>
      <c r="KYA9" s="103"/>
      <c r="KYB9" s="103"/>
      <c r="KYC9" s="103"/>
      <c r="KYD9" s="103"/>
      <c r="KYE9" s="103"/>
      <c r="KYF9" s="103"/>
      <c r="KYG9" s="103"/>
      <c r="KYH9" s="103"/>
      <c r="KYI9" s="103"/>
      <c r="KYJ9" s="103"/>
      <c r="KYK9" s="103"/>
      <c r="KYL9" s="103"/>
      <c r="KYM9" s="103"/>
      <c r="KYN9" s="103"/>
      <c r="KYO9" s="103"/>
      <c r="KYP9" s="103"/>
      <c r="KYQ9" s="103"/>
      <c r="KYR9" s="103"/>
      <c r="KYS9" s="103"/>
      <c r="KYT9" s="103"/>
      <c r="KYU9" s="103"/>
      <c r="KYV9" s="103"/>
      <c r="KYW9" s="103"/>
      <c r="KYX9" s="103"/>
      <c r="KYY9" s="103"/>
      <c r="KYZ9" s="103"/>
      <c r="KZA9" s="103"/>
      <c r="KZB9" s="103"/>
      <c r="KZC9" s="103"/>
      <c r="KZD9" s="103"/>
      <c r="KZE9" s="103"/>
      <c r="KZF9" s="103"/>
      <c r="KZG9" s="103"/>
      <c r="KZH9" s="103"/>
      <c r="KZI9" s="103"/>
      <c r="KZJ9" s="103"/>
      <c r="KZK9" s="103"/>
      <c r="KZL9" s="103"/>
      <c r="KZM9" s="103"/>
      <c r="KZN9" s="103"/>
      <c r="KZO9" s="103"/>
      <c r="KZP9" s="103"/>
      <c r="KZQ9" s="103"/>
      <c r="KZR9" s="103"/>
      <c r="KZS9" s="103"/>
      <c r="KZT9" s="103"/>
      <c r="KZU9" s="103"/>
      <c r="KZV9" s="103"/>
      <c r="KZW9" s="103"/>
      <c r="KZX9" s="103"/>
      <c r="KZY9" s="103"/>
      <c r="KZZ9" s="103"/>
      <c r="LAA9" s="103"/>
      <c r="LAB9" s="103"/>
      <c r="LAC9" s="103"/>
      <c r="LAD9" s="103"/>
      <c r="LAE9" s="103"/>
      <c r="LAF9" s="103"/>
      <c r="LAG9" s="103"/>
      <c r="LAH9" s="103"/>
      <c r="LAI9" s="103"/>
      <c r="LAJ9" s="103"/>
      <c r="LAK9" s="103"/>
      <c r="LAL9" s="103"/>
      <c r="LAM9" s="103"/>
      <c r="LAN9" s="103"/>
      <c r="LAO9" s="103"/>
      <c r="LAP9" s="103"/>
      <c r="LAQ9" s="103"/>
      <c r="LAR9" s="103"/>
      <c r="LAS9" s="103"/>
      <c r="LAT9" s="103"/>
      <c r="LAU9" s="103"/>
      <c r="LAV9" s="103"/>
      <c r="LAW9" s="103"/>
      <c r="LAX9" s="103"/>
      <c r="LAY9" s="103"/>
      <c r="LAZ9" s="103"/>
      <c r="LBA9" s="103"/>
      <c r="LBB9" s="103"/>
      <c r="LBC9" s="103"/>
      <c r="LBD9" s="103"/>
      <c r="LBE9" s="103"/>
      <c r="LBF9" s="103"/>
      <c r="LBG9" s="103"/>
      <c r="LBH9" s="103"/>
      <c r="LBI9" s="103"/>
      <c r="LBJ9" s="103"/>
      <c r="LBK9" s="103"/>
      <c r="LBL9" s="103"/>
      <c r="LBM9" s="103"/>
      <c r="LBN9" s="103"/>
      <c r="LBO9" s="103"/>
      <c r="LBP9" s="103"/>
      <c r="LBQ9" s="103"/>
      <c r="LBR9" s="103"/>
      <c r="LBS9" s="103"/>
      <c r="LBT9" s="103"/>
      <c r="LBU9" s="103"/>
      <c r="LBV9" s="103"/>
      <c r="LBW9" s="103"/>
      <c r="LBX9" s="103"/>
      <c r="LBY9" s="103"/>
      <c r="LBZ9" s="103"/>
      <c r="LCA9" s="103"/>
      <c r="LCB9" s="103"/>
      <c r="LCC9" s="103"/>
      <c r="LCD9" s="103"/>
      <c r="LCE9" s="103"/>
      <c r="LCF9" s="103"/>
      <c r="LCG9" s="103"/>
      <c r="LCH9" s="103"/>
      <c r="LCI9" s="103"/>
      <c r="LCJ9" s="103"/>
      <c r="LCK9" s="103"/>
      <c r="LCL9" s="103"/>
      <c r="LCM9" s="103"/>
      <c r="LCN9" s="103"/>
      <c r="LCO9" s="103"/>
      <c r="LCP9" s="103"/>
      <c r="LCQ9" s="103"/>
      <c r="LCR9" s="103"/>
      <c r="LCS9" s="103"/>
      <c r="LCT9" s="103"/>
      <c r="LCU9" s="103"/>
      <c r="LCV9" s="103"/>
      <c r="LCW9" s="103"/>
      <c r="LCX9" s="103"/>
      <c r="LCY9" s="103"/>
      <c r="LCZ9" s="103"/>
      <c r="LDA9" s="103"/>
      <c r="LDB9" s="103"/>
      <c r="LDC9" s="103"/>
      <c r="LDD9" s="103"/>
      <c r="LDE9" s="103"/>
      <c r="LDF9" s="103"/>
      <c r="LDG9" s="103"/>
      <c r="LDH9" s="103"/>
      <c r="LDI9" s="103"/>
      <c r="LDJ9" s="103"/>
      <c r="LDK9" s="103"/>
      <c r="LDL9" s="103"/>
      <c r="LDM9" s="103"/>
      <c r="LDN9" s="103"/>
      <c r="LDO9" s="103"/>
      <c r="LDP9" s="103"/>
      <c r="LDQ9" s="103"/>
      <c r="LDR9" s="103"/>
      <c r="LDS9" s="103"/>
      <c r="LDT9" s="103"/>
      <c r="LDU9" s="103"/>
      <c r="LDV9" s="103"/>
      <c r="LDW9" s="103"/>
      <c r="LDX9" s="103"/>
      <c r="LDY9" s="103"/>
      <c r="LDZ9" s="103"/>
      <c r="LEA9" s="103"/>
      <c r="LEB9" s="103"/>
      <c r="LEC9" s="103"/>
      <c r="LED9" s="103"/>
      <c r="LEE9" s="103"/>
      <c r="LEF9" s="103"/>
      <c r="LEG9" s="103"/>
      <c r="LEH9" s="103"/>
      <c r="LEI9" s="103"/>
      <c r="LEJ9" s="103"/>
      <c r="LEK9" s="103"/>
      <c r="LEL9" s="103"/>
      <c r="LEM9" s="103"/>
      <c r="LEN9" s="103"/>
      <c r="LEO9" s="103"/>
      <c r="LEP9" s="103"/>
      <c r="LEQ9" s="103"/>
      <c r="LER9" s="103"/>
      <c r="LES9" s="103"/>
      <c r="LET9" s="103"/>
      <c r="LEU9" s="103"/>
      <c r="LEV9" s="103"/>
      <c r="LEW9" s="103"/>
      <c r="LEX9" s="103"/>
      <c r="LEY9" s="103"/>
      <c r="LEZ9" s="103"/>
      <c r="LFA9" s="103"/>
      <c r="LFB9" s="103"/>
      <c r="LFC9" s="103"/>
      <c r="LFD9" s="103"/>
      <c r="LFE9" s="103"/>
      <c r="LFF9" s="103"/>
      <c r="LFG9" s="103"/>
      <c r="LFH9" s="103"/>
      <c r="LFI9" s="103"/>
      <c r="LFJ9" s="103"/>
      <c r="LFK9" s="103"/>
      <c r="LFL9" s="103"/>
      <c r="LFM9" s="103"/>
      <c r="LFN9" s="103"/>
      <c r="LFO9" s="103"/>
      <c r="LFP9" s="103"/>
      <c r="LFQ9" s="103"/>
      <c r="LFR9" s="103"/>
      <c r="LFS9" s="103"/>
      <c r="LFT9" s="103"/>
      <c r="LFU9" s="103"/>
      <c r="LFV9" s="103"/>
      <c r="LFW9" s="103"/>
      <c r="LFX9" s="103"/>
      <c r="LFY9" s="103"/>
      <c r="LFZ9" s="103"/>
      <c r="LGA9" s="103"/>
      <c r="LGB9" s="103"/>
      <c r="LGC9" s="103"/>
      <c r="LGD9" s="103"/>
      <c r="LGE9" s="103"/>
      <c r="LGF9" s="103"/>
      <c r="LGG9" s="103"/>
      <c r="LGH9" s="103"/>
      <c r="LGI9" s="103"/>
      <c r="LGJ9" s="103"/>
      <c r="LGK9" s="103"/>
      <c r="LGL9" s="103"/>
      <c r="LGM9" s="103"/>
      <c r="LGN9" s="103"/>
      <c r="LGO9" s="103"/>
      <c r="LGP9" s="103"/>
      <c r="LGQ9" s="103"/>
      <c r="LGR9" s="103"/>
      <c r="LGS9" s="103"/>
      <c r="LGT9" s="103"/>
      <c r="LGU9" s="103"/>
      <c r="LGV9" s="103"/>
      <c r="LGW9" s="103"/>
      <c r="LGX9" s="103"/>
      <c r="LGY9" s="103"/>
      <c r="LGZ9" s="103"/>
      <c r="LHA9" s="103"/>
      <c r="LHB9" s="103"/>
      <c r="LHC9" s="103"/>
      <c r="LHD9" s="103"/>
      <c r="LHE9" s="103"/>
      <c r="LHF9" s="103"/>
      <c r="LHG9" s="103"/>
      <c r="LHH9" s="103"/>
      <c r="LHI9" s="103"/>
      <c r="LHJ9" s="103"/>
      <c r="LHK9" s="103"/>
      <c r="LHL9" s="103"/>
      <c r="LHM9" s="103"/>
      <c r="LHN9" s="103"/>
      <c r="LHO9" s="103"/>
      <c r="LHP9" s="103"/>
      <c r="LHQ9" s="103"/>
      <c r="LHR9" s="103"/>
      <c r="LHS9" s="103"/>
      <c r="LHT9" s="103"/>
      <c r="LHU9" s="103"/>
      <c r="LHV9" s="103"/>
      <c r="LHW9" s="103"/>
      <c r="LHX9" s="103"/>
      <c r="LHY9" s="103"/>
      <c r="LHZ9" s="103"/>
      <c r="LIA9" s="103"/>
      <c r="LIB9" s="103"/>
      <c r="LIC9" s="103"/>
      <c r="LID9" s="103"/>
      <c r="LIE9" s="103"/>
      <c r="LIF9" s="103"/>
      <c r="LIG9" s="103"/>
      <c r="LIH9" s="103"/>
      <c r="LII9" s="103"/>
      <c r="LIJ9" s="103"/>
      <c r="LIK9" s="103"/>
      <c r="LIL9" s="103"/>
      <c r="LIM9" s="103"/>
      <c r="LIN9" s="103"/>
      <c r="LIO9" s="103"/>
      <c r="LIP9" s="103"/>
      <c r="LIQ9" s="103"/>
      <c r="LIR9" s="103"/>
      <c r="LIS9" s="103"/>
      <c r="LIT9" s="103"/>
      <c r="LIU9" s="103"/>
      <c r="LIV9" s="103"/>
      <c r="LIW9" s="103"/>
      <c r="LIX9" s="103"/>
      <c r="LIY9" s="103"/>
      <c r="LIZ9" s="103"/>
      <c r="LJA9" s="103"/>
      <c r="LJB9" s="103"/>
      <c r="LJC9" s="103"/>
      <c r="LJD9" s="103"/>
      <c r="LJE9" s="103"/>
      <c r="LJF9" s="103"/>
      <c r="LJG9" s="103"/>
      <c r="LJH9" s="103"/>
      <c r="LJI9" s="103"/>
      <c r="LJJ9" s="103"/>
      <c r="LJK9" s="103"/>
      <c r="LJL9" s="103"/>
      <c r="LJM9" s="103"/>
      <c r="LJN9" s="103"/>
      <c r="LJO9" s="103"/>
      <c r="LJP9" s="103"/>
      <c r="LJQ9" s="103"/>
      <c r="LJR9" s="103"/>
      <c r="LJS9" s="103"/>
      <c r="LJT9" s="103"/>
      <c r="LJU9" s="103"/>
      <c r="LJV9" s="103"/>
      <c r="LJW9" s="103"/>
      <c r="LJX9" s="103"/>
      <c r="LJY9" s="103"/>
      <c r="LJZ9" s="103"/>
      <c r="LKA9" s="103"/>
      <c r="LKB9" s="103"/>
      <c r="LKC9" s="103"/>
      <c r="LKD9" s="103"/>
      <c r="LKE9" s="103"/>
      <c r="LKF9" s="103"/>
      <c r="LKG9" s="103"/>
      <c r="LKH9" s="103"/>
      <c r="LKI9" s="103"/>
      <c r="LKJ9" s="103"/>
      <c r="LKK9" s="103"/>
      <c r="LKL9" s="103"/>
      <c r="LKM9" s="103"/>
      <c r="LKN9" s="103"/>
      <c r="LKO9" s="103"/>
      <c r="LKP9" s="103"/>
      <c r="LKQ9" s="103"/>
      <c r="LKR9" s="103"/>
      <c r="LKS9" s="103"/>
      <c r="LKT9" s="103"/>
      <c r="LKU9" s="103"/>
      <c r="LKV9" s="103"/>
      <c r="LKW9" s="103"/>
      <c r="LKX9" s="103"/>
      <c r="LKY9" s="103"/>
      <c r="LKZ9" s="103"/>
      <c r="LLA9" s="103"/>
      <c r="LLB9" s="103"/>
      <c r="LLC9" s="103"/>
      <c r="LLD9" s="103"/>
      <c r="LLE9" s="103"/>
      <c r="LLF9" s="103"/>
      <c r="LLG9" s="103"/>
      <c r="LLH9" s="103"/>
      <c r="LLI9" s="103"/>
      <c r="LLJ9" s="103"/>
      <c r="LLK9" s="103"/>
      <c r="LLL9" s="103"/>
      <c r="LLM9" s="103"/>
      <c r="LLN9" s="103"/>
      <c r="LLO9" s="103"/>
      <c r="LLP9" s="103"/>
      <c r="LLQ9" s="103"/>
      <c r="LLR9" s="103"/>
      <c r="LLS9" s="103"/>
      <c r="LLT9" s="103"/>
      <c r="LLU9" s="103"/>
      <c r="LLV9" s="103"/>
      <c r="LLW9" s="103"/>
      <c r="LLX9" s="103"/>
      <c r="LLY9" s="103"/>
      <c r="LLZ9" s="103"/>
      <c r="LMA9" s="103"/>
      <c r="LMB9" s="103"/>
      <c r="LMC9" s="103"/>
      <c r="LMD9" s="103"/>
      <c r="LME9" s="103"/>
      <c r="LMF9" s="103"/>
      <c r="LMG9" s="103"/>
      <c r="LMH9" s="103"/>
      <c r="LMI9" s="103"/>
      <c r="LMJ9" s="103"/>
      <c r="LMK9" s="103"/>
      <c r="LML9" s="103"/>
      <c r="LMM9" s="103"/>
      <c r="LMN9" s="103"/>
      <c r="LMO9" s="103"/>
      <c r="LMP9" s="103"/>
      <c r="LMQ9" s="103"/>
      <c r="LMR9" s="103"/>
      <c r="LMS9" s="103"/>
      <c r="LMT9" s="103"/>
      <c r="LMU9" s="103"/>
      <c r="LMV9" s="103"/>
      <c r="LMW9" s="103"/>
      <c r="LMX9" s="103"/>
      <c r="LMY9" s="103"/>
      <c r="LMZ9" s="103"/>
      <c r="LNA9" s="103"/>
      <c r="LNB9" s="103"/>
      <c r="LNC9" s="103"/>
      <c r="LND9" s="103"/>
      <c r="LNE9" s="103"/>
      <c r="LNF9" s="103"/>
      <c r="LNG9" s="103"/>
      <c r="LNH9" s="103"/>
      <c r="LNI9" s="103"/>
      <c r="LNJ9" s="103"/>
      <c r="LNK9" s="103"/>
      <c r="LNL9" s="103"/>
      <c r="LNM9" s="103"/>
      <c r="LNN9" s="103"/>
      <c r="LNO9" s="103"/>
      <c r="LNP9" s="103"/>
      <c r="LNQ9" s="103"/>
      <c r="LNR9" s="103"/>
      <c r="LNS9" s="103"/>
      <c r="LNT9" s="103"/>
      <c r="LNU9" s="103"/>
      <c r="LNV9" s="103"/>
      <c r="LNW9" s="103"/>
      <c r="LNX9" s="103"/>
      <c r="LNY9" s="103"/>
      <c r="LNZ9" s="103"/>
      <c r="LOA9" s="103"/>
      <c r="LOB9" s="103"/>
      <c r="LOC9" s="103"/>
      <c r="LOD9" s="103"/>
      <c r="LOE9" s="103"/>
      <c r="LOF9" s="103"/>
      <c r="LOG9" s="103"/>
      <c r="LOH9" s="103"/>
      <c r="LOI9" s="103"/>
      <c r="LOJ9" s="103"/>
      <c r="LOK9" s="103"/>
      <c r="LOL9" s="103"/>
      <c r="LOM9" s="103"/>
      <c r="LON9" s="103"/>
      <c r="LOO9" s="103"/>
      <c r="LOP9" s="103"/>
      <c r="LOQ9" s="103"/>
      <c r="LOR9" s="103"/>
      <c r="LOS9" s="103"/>
      <c r="LOT9" s="103"/>
      <c r="LOU9" s="103"/>
      <c r="LOV9" s="103"/>
      <c r="LOW9" s="103"/>
      <c r="LOX9" s="103"/>
      <c r="LOY9" s="103"/>
      <c r="LOZ9" s="103"/>
      <c r="LPA9" s="103"/>
      <c r="LPB9" s="103"/>
      <c r="LPC9" s="103"/>
      <c r="LPD9" s="103"/>
      <c r="LPE9" s="103"/>
      <c r="LPF9" s="103"/>
      <c r="LPG9" s="103"/>
      <c r="LPH9" s="103"/>
      <c r="LPI9" s="103"/>
      <c r="LPJ9" s="103"/>
      <c r="LPK9" s="103"/>
      <c r="LPL9" s="103"/>
      <c r="LPM9" s="103"/>
      <c r="LPN9" s="103"/>
      <c r="LPO9" s="103"/>
      <c r="LPP9" s="103"/>
      <c r="LPQ9" s="103"/>
      <c r="LPR9" s="103"/>
      <c r="LPS9" s="103"/>
      <c r="LPT9" s="103"/>
      <c r="LPU9" s="103"/>
      <c r="LPV9" s="103"/>
      <c r="LPW9" s="103"/>
      <c r="LPX9" s="103"/>
      <c r="LPY9" s="103"/>
      <c r="LPZ9" s="103"/>
      <c r="LQA9" s="103"/>
      <c r="LQB9" s="103"/>
      <c r="LQC9" s="103"/>
      <c r="LQD9" s="103"/>
      <c r="LQE9" s="103"/>
      <c r="LQF9" s="103"/>
      <c r="LQG9" s="103"/>
      <c r="LQH9" s="103"/>
      <c r="LQI9" s="103"/>
      <c r="LQJ9" s="103"/>
      <c r="LQK9" s="103"/>
      <c r="LQL9" s="103"/>
      <c r="LQM9" s="103"/>
      <c r="LQN9" s="103"/>
      <c r="LQO9" s="103"/>
      <c r="LQP9" s="103"/>
      <c r="LQQ9" s="103"/>
      <c r="LQR9" s="103"/>
      <c r="LQS9" s="103"/>
      <c r="LQT9" s="103"/>
      <c r="LQU9" s="103"/>
      <c r="LQV9" s="103"/>
      <c r="LQW9" s="103"/>
      <c r="LQX9" s="103"/>
      <c r="LQY9" s="103"/>
      <c r="LQZ9" s="103"/>
      <c r="LRA9" s="103"/>
      <c r="LRB9" s="103"/>
      <c r="LRC9" s="103"/>
      <c r="LRD9" s="103"/>
      <c r="LRE9" s="103"/>
      <c r="LRF9" s="103"/>
      <c r="LRG9" s="103"/>
      <c r="LRH9" s="103"/>
      <c r="LRI9" s="103"/>
      <c r="LRJ9" s="103"/>
      <c r="LRK9" s="103"/>
      <c r="LRL9" s="103"/>
      <c r="LRM9" s="103"/>
      <c r="LRN9" s="103"/>
      <c r="LRO9" s="103"/>
      <c r="LRP9" s="103"/>
      <c r="LRQ9" s="103"/>
      <c r="LRR9" s="103"/>
      <c r="LRS9" s="103"/>
      <c r="LRT9" s="103"/>
      <c r="LRU9" s="103"/>
      <c r="LRV9" s="103"/>
      <c r="LRW9" s="103"/>
      <c r="LRX9" s="103"/>
      <c r="LRY9" s="103"/>
      <c r="LRZ9" s="103"/>
      <c r="LSA9" s="103"/>
      <c r="LSB9" s="103"/>
      <c r="LSC9" s="103"/>
      <c r="LSD9" s="103"/>
      <c r="LSE9" s="103"/>
      <c r="LSF9" s="103"/>
      <c r="LSG9" s="103"/>
      <c r="LSH9" s="103"/>
      <c r="LSI9" s="103"/>
      <c r="LSJ9" s="103"/>
      <c r="LSK9" s="103"/>
      <c r="LSL9" s="103"/>
      <c r="LSM9" s="103"/>
      <c r="LSN9" s="103"/>
      <c r="LSO9" s="103"/>
      <c r="LSP9" s="103"/>
      <c r="LSQ9" s="103"/>
      <c r="LSR9" s="103"/>
      <c r="LSS9" s="103"/>
      <c r="LST9" s="103"/>
      <c r="LSU9" s="103"/>
      <c r="LSV9" s="103"/>
      <c r="LSW9" s="103"/>
      <c r="LSX9" s="103"/>
      <c r="LSY9" s="103"/>
      <c r="LSZ9" s="103"/>
      <c r="LTA9" s="103"/>
      <c r="LTB9" s="103"/>
      <c r="LTC9" s="103"/>
      <c r="LTD9" s="103"/>
      <c r="LTE9" s="103"/>
      <c r="LTF9" s="103"/>
      <c r="LTG9" s="103"/>
      <c r="LTH9" s="103"/>
      <c r="LTI9" s="103"/>
      <c r="LTJ9" s="103"/>
      <c r="LTK9" s="103"/>
      <c r="LTL9" s="103"/>
      <c r="LTM9" s="103"/>
      <c r="LTN9" s="103"/>
      <c r="LTO9" s="103"/>
      <c r="LTP9" s="103"/>
      <c r="LTQ9" s="103"/>
      <c r="LTR9" s="103"/>
      <c r="LTS9" s="103"/>
      <c r="LTT9" s="103"/>
      <c r="LTU9" s="103"/>
      <c r="LTV9" s="103"/>
      <c r="LTW9" s="103"/>
      <c r="LTX9" s="103"/>
      <c r="LTY9" s="103"/>
      <c r="LTZ9" s="103"/>
      <c r="LUA9" s="103"/>
      <c r="LUB9" s="103"/>
      <c r="LUC9" s="103"/>
      <c r="LUD9" s="103"/>
      <c r="LUE9" s="103"/>
      <c r="LUF9" s="103"/>
      <c r="LUG9" s="103"/>
      <c r="LUH9" s="103"/>
      <c r="LUI9" s="103"/>
      <c r="LUJ9" s="103"/>
      <c r="LUK9" s="103"/>
      <c r="LUL9" s="103"/>
      <c r="LUM9" s="103"/>
      <c r="LUN9" s="103"/>
      <c r="LUO9" s="103"/>
      <c r="LUP9" s="103"/>
      <c r="LUQ9" s="103"/>
      <c r="LUR9" s="103"/>
      <c r="LUS9" s="103"/>
      <c r="LUT9" s="103"/>
      <c r="LUU9" s="103"/>
      <c r="LUV9" s="103"/>
      <c r="LUW9" s="103"/>
      <c r="LUX9" s="103"/>
      <c r="LUY9" s="103"/>
      <c r="LUZ9" s="103"/>
      <c r="LVA9" s="103"/>
      <c r="LVB9" s="103"/>
      <c r="LVC9" s="103"/>
      <c r="LVD9" s="103"/>
      <c r="LVE9" s="103"/>
      <c r="LVF9" s="103"/>
      <c r="LVG9" s="103"/>
      <c r="LVH9" s="103"/>
      <c r="LVI9" s="103"/>
      <c r="LVJ9" s="103"/>
      <c r="LVK9" s="103"/>
      <c r="LVL9" s="103"/>
      <c r="LVM9" s="103"/>
      <c r="LVN9" s="103"/>
      <c r="LVO9" s="103"/>
      <c r="LVP9" s="103"/>
      <c r="LVQ9" s="103"/>
      <c r="LVR9" s="103"/>
      <c r="LVS9" s="103"/>
      <c r="LVT9" s="103"/>
      <c r="LVU9" s="103"/>
      <c r="LVV9" s="103"/>
      <c r="LVW9" s="103"/>
      <c r="LVX9" s="103"/>
      <c r="LVY9" s="103"/>
      <c r="LVZ9" s="103"/>
      <c r="LWA9" s="103"/>
      <c r="LWB9" s="103"/>
      <c r="LWC9" s="103"/>
      <c r="LWD9" s="103"/>
      <c r="LWE9" s="103"/>
      <c r="LWF9" s="103"/>
      <c r="LWG9" s="103"/>
      <c r="LWH9" s="103"/>
      <c r="LWI9" s="103"/>
      <c r="LWJ9" s="103"/>
      <c r="LWK9" s="103"/>
      <c r="LWL9" s="103"/>
      <c r="LWM9" s="103"/>
      <c r="LWN9" s="103"/>
      <c r="LWO9" s="103"/>
      <c r="LWP9" s="103"/>
      <c r="LWQ9" s="103"/>
      <c r="LWR9" s="103"/>
      <c r="LWS9" s="103"/>
      <c r="LWT9" s="103"/>
      <c r="LWU9" s="103"/>
      <c r="LWV9" s="103"/>
      <c r="LWW9" s="103"/>
      <c r="LWX9" s="103"/>
      <c r="LWY9" s="103"/>
      <c r="LWZ9" s="103"/>
      <c r="LXA9" s="103"/>
      <c r="LXB9" s="103"/>
      <c r="LXC9" s="103"/>
      <c r="LXD9" s="103"/>
      <c r="LXE9" s="103"/>
      <c r="LXF9" s="103"/>
      <c r="LXG9" s="103"/>
      <c r="LXH9" s="103"/>
      <c r="LXI9" s="103"/>
      <c r="LXJ9" s="103"/>
      <c r="LXK9" s="103"/>
      <c r="LXL9" s="103"/>
      <c r="LXM9" s="103"/>
      <c r="LXN9" s="103"/>
      <c r="LXO9" s="103"/>
      <c r="LXP9" s="103"/>
      <c r="LXQ9" s="103"/>
      <c r="LXR9" s="103"/>
      <c r="LXS9" s="103"/>
      <c r="LXT9" s="103"/>
      <c r="LXU9" s="103"/>
      <c r="LXV9" s="103"/>
      <c r="LXW9" s="103"/>
      <c r="LXX9" s="103"/>
      <c r="LXY9" s="103"/>
      <c r="LXZ9" s="103"/>
      <c r="LYA9" s="103"/>
      <c r="LYB9" s="103"/>
      <c r="LYC9" s="103"/>
      <c r="LYD9" s="103"/>
      <c r="LYE9" s="103"/>
      <c r="LYF9" s="103"/>
      <c r="LYG9" s="103"/>
      <c r="LYH9" s="103"/>
      <c r="LYI9" s="103"/>
      <c r="LYJ9" s="103"/>
      <c r="LYK9" s="103"/>
      <c r="LYL9" s="103"/>
      <c r="LYM9" s="103"/>
      <c r="LYN9" s="103"/>
      <c r="LYO9" s="103"/>
      <c r="LYP9" s="103"/>
      <c r="LYQ9" s="103"/>
      <c r="LYR9" s="103"/>
      <c r="LYS9" s="103"/>
      <c r="LYT9" s="103"/>
      <c r="LYU9" s="103"/>
      <c r="LYV9" s="103"/>
      <c r="LYW9" s="103"/>
      <c r="LYX9" s="103"/>
      <c r="LYY9" s="103"/>
      <c r="LYZ9" s="103"/>
      <c r="LZA9" s="103"/>
      <c r="LZB9" s="103"/>
      <c r="LZC9" s="103"/>
      <c r="LZD9" s="103"/>
      <c r="LZE9" s="103"/>
      <c r="LZF9" s="103"/>
      <c r="LZG9" s="103"/>
      <c r="LZH9" s="103"/>
      <c r="LZI9" s="103"/>
      <c r="LZJ9" s="103"/>
      <c r="LZK9" s="103"/>
      <c r="LZL9" s="103"/>
      <c r="LZM9" s="103"/>
      <c r="LZN9" s="103"/>
      <c r="LZO9" s="103"/>
      <c r="LZP9" s="103"/>
      <c r="LZQ9" s="103"/>
      <c r="LZR9" s="103"/>
      <c r="LZS9" s="103"/>
      <c r="LZT9" s="103"/>
      <c r="LZU9" s="103"/>
      <c r="LZV9" s="103"/>
      <c r="LZW9" s="103"/>
      <c r="LZX9" s="103"/>
      <c r="LZY9" s="103"/>
      <c r="LZZ9" s="103"/>
      <c r="MAA9" s="103"/>
      <c r="MAB9" s="103"/>
      <c r="MAC9" s="103"/>
      <c r="MAD9" s="103"/>
      <c r="MAE9" s="103"/>
      <c r="MAF9" s="103"/>
      <c r="MAG9" s="103"/>
      <c r="MAH9" s="103"/>
      <c r="MAI9" s="103"/>
      <c r="MAJ9" s="103"/>
      <c r="MAK9" s="103"/>
      <c r="MAL9" s="103"/>
      <c r="MAM9" s="103"/>
      <c r="MAN9" s="103"/>
      <c r="MAO9" s="103"/>
      <c r="MAP9" s="103"/>
      <c r="MAQ9" s="103"/>
      <c r="MAR9" s="103"/>
      <c r="MAS9" s="103"/>
      <c r="MAT9" s="103"/>
      <c r="MAU9" s="103"/>
      <c r="MAV9" s="103"/>
      <c r="MAW9" s="103"/>
      <c r="MAX9" s="103"/>
      <c r="MAY9" s="103"/>
      <c r="MAZ9" s="103"/>
      <c r="MBA9" s="103"/>
      <c r="MBB9" s="103"/>
      <c r="MBC9" s="103"/>
      <c r="MBD9" s="103"/>
      <c r="MBE9" s="103"/>
      <c r="MBF9" s="103"/>
      <c r="MBG9" s="103"/>
      <c r="MBH9" s="103"/>
      <c r="MBI9" s="103"/>
      <c r="MBJ9" s="103"/>
      <c r="MBK9" s="103"/>
      <c r="MBL9" s="103"/>
      <c r="MBM9" s="103"/>
      <c r="MBN9" s="103"/>
      <c r="MBO9" s="103"/>
      <c r="MBP9" s="103"/>
      <c r="MBQ9" s="103"/>
      <c r="MBR9" s="103"/>
      <c r="MBS9" s="103"/>
      <c r="MBT9" s="103"/>
      <c r="MBU9" s="103"/>
      <c r="MBV9" s="103"/>
      <c r="MBW9" s="103"/>
      <c r="MBX9" s="103"/>
      <c r="MBY9" s="103"/>
      <c r="MBZ9" s="103"/>
      <c r="MCA9" s="103"/>
      <c r="MCB9" s="103"/>
      <c r="MCC9" s="103"/>
      <c r="MCD9" s="103"/>
      <c r="MCE9" s="103"/>
      <c r="MCF9" s="103"/>
      <c r="MCG9" s="103"/>
      <c r="MCH9" s="103"/>
      <c r="MCI9" s="103"/>
      <c r="MCJ9" s="103"/>
      <c r="MCK9" s="103"/>
      <c r="MCL9" s="103"/>
      <c r="MCM9" s="103"/>
      <c r="MCN9" s="103"/>
      <c r="MCO9" s="103"/>
      <c r="MCP9" s="103"/>
      <c r="MCQ9" s="103"/>
      <c r="MCR9" s="103"/>
      <c r="MCS9" s="103"/>
      <c r="MCT9" s="103"/>
      <c r="MCU9" s="103"/>
      <c r="MCV9" s="103"/>
      <c r="MCW9" s="103"/>
      <c r="MCX9" s="103"/>
      <c r="MCY9" s="103"/>
      <c r="MCZ9" s="103"/>
      <c r="MDA9" s="103"/>
      <c r="MDB9" s="103"/>
      <c r="MDC9" s="103"/>
      <c r="MDD9" s="103"/>
      <c r="MDE9" s="103"/>
      <c r="MDF9" s="103"/>
      <c r="MDG9" s="103"/>
      <c r="MDH9" s="103"/>
      <c r="MDI9" s="103"/>
      <c r="MDJ9" s="103"/>
      <c r="MDK9" s="103"/>
      <c r="MDL9" s="103"/>
      <c r="MDM9" s="103"/>
      <c r="MDN9" s="103"/>
      <c r="MDO9" s="103"/>
      <c r="MDP9" s="103"/>
      <c r="MDQ9" s="103"/>
      <c r="MDR9" s="103"/>
      <c r="MDS9" s="103"/>
      <c r="MDT9" s="103"/>
      <c r="MDU9" s="103"/>
      <c r="MDV9" s="103"/>
      <c r="MDW9" s="103"/>
      <c r="MDX9" s="103"/>
      <c r="MDY9" s="103"/>
      <c r="MDZ9" s="103"/>
      <c r="MEA9" s="103"/>
      <c r="MEB9" s="103"/>
      <c r="MEC9" s="103"/>
      <c r="MED9" s="103"/>
      <c r="MEE9" s="103"/>
      <c r="MEF9" s="103"/>
      <c r="MEG9" s="103"/>
      <c r="MEH9" s="103"/>
      <c r="MEI9" s="103"/>
      <c r="MEJ9" s="103"/>
      <c r="MEK9" s="103"/>
      <c r="MEL9" s="103"/>
      <c r="MEM9" s="103"/>
      <c r="MEN9" s="103"/>
      <c r="MEO9" s="103"/>
      <c r="MEP9" s="103"/>
      <c r="MEQ9" s="103"/>
      <c r="MER9" s="103"/>
      <c r="MES9" s="103"/>
      <c r="MET9" s="103"/>
      <c r="MEU9" s="103"/>
      <c r="MEV9" s="103"/>
      <c r="MEW9" s="103"/>
      <c r="MEX9" s="103"/>
      <c r="MEY9" s="103"/>
      <c r="MEZ9" s="103"/>
      <c r="MFA9" s="103"/>
      <c r="MFB9" s="103"/>
      <c r="MFC9" s="103"/>
      <c r="MFD9" s="103"/>
      <c r="MFE9" s="103"/>
      <c r="MFF9" s="103"/>
      <c r="MFG9" s="103"/>
      <c r="MFH9" s="103"/>
      <c r="MFI9" s="103"/>
      <c r="MFJ9" s="103"/>
      <c r="MFK9" s="103"/>
      <c r="MFL9" s="103"/>
      <c r="MFM9" s="103"/>
      <c r="MFN9" s="103"/>
      <c r="MFO9" s="103"/>
      <c r="MFP9" s="103"/>
      <c r="MFQ9" s="103"/>
      <c r="MFR9" s="103"/>
      <c r="MFS9" s="103"/>
      <c r="MFT9" s="103"/>
      <c r="MFU9" s="103"/>
      <c r="MFV9" s="103"/>
      <c r="MFW9" s="103"/>
      <c r="MFX9" s="103"/>
      <c r="MFY9" s="103"/>
      <c r="MFZ9" s="103"/>
      <c r="MGA9" s="103"/>
      <c r="MGB9" s="103"/>
      <c r="MGC9" s="103"/>
      <c r="MGD9" s="103"/>
      <c r="MGE9" s="103"/>
      <c r="MGF9" s="103"/>
      <c r="MGG9" s="103"/>
      <c r="MGH9" s="103"/>
      <c r="MGI9" s="103"/>
      <c r="MGJ9" s="103"/>
      <c r="MGK9" s="103"/>
      <c r="MGL9" s="103"/>
      <c r="MGM9" s="103"/>
      <c r="MGN9" s="103"/>
      <c r="MGO9" s="103"/>
      <c r="MGP9" s="103"/>
      <c r="MGQ9" s="103"/>
      <c r="MGR9" s="103"/>
      <c r="MGS9" s="103"/>
      <c r="MGT9" s="103"/>
      <c r="MGU9" s="103"/>
      <c r="MGV9" s="103"/>
      <c r="MGW9" s="103"/>
      <c r="MGX9" s="103"/>
      <c r="MGY9" s="103"/>
      <c r="MGZ9" s="103"/>
      <c r="MHA9" s="103"/>
      <c r="MHB9" s="103"/>
      <c r="MHC9" s="103"/>
      <c r="MHD9" s="103"/>
      <c r="MHE9" s="103"/>
      <c r="MHF9" s="103"/>
      <c r="MHG9" s="103"/>
      <c r="MHH9" s="103"/>
      <c r="MHI9" s="103"/>
      <c r="MHJ9" s="103"/>
      <c r="MHK9" s="103"/>
      <c r="MHL9" s="103"/>
      <c r="MHM9" s="103"/>
      <c r="MHN9" s="103"/>
      <c r="MHO9" s="103"/>
      <c r="MHP9" s="103"/>
      <c r="MHQ9" s="103"/>
      <c r="MHR9" s="103"/>
      <c r="MHS9" s="103"/>
      <c r="MHT9" s="103"/>
      <c r="MHU9" s="103"/>
      <c r="MHV9" s="103"/>
      <c r="MHW9" s="103"/>
      <c r="MHX9" s="103"/>
      <c r="MHY9" s="103"/>
      <c r="MHZ9" s="103"/>
      <c r="MIA9" s="103"/>
      <c r="MIB9" s="103"/>
      <c r="MIC9" s="103"/>
      <c r="MID9" s="103"/>
      <c r="MIE9" s="103"/>
      <c r="MIF9" s="103"/>
      <c r="MIG9" s="103"/>
      <c r="MIH9" s="103"/>
      <c r="MII9" s="103"/>
      <c r="MIJ9" s="103"/>
      <c r="MIK9" s="103"/>
      <c r="MIL9" s="103"/>
      <c r="MIM9" s="103"/>
      <c r="MIN9" s="103"/>
      <c r="MIO9" s="103"/>
      <c r="MIP9" s="103"/>
      <c r="MIQ9" s="103"/>
      <c r="MIR9" s="103"/>
      <c r="MIS9" s="103"/>
      <c r="MIT9" s="103"/>
      <c r="MIU9" s="103"/>
      <c r="MIV9" s="103"/>
      <c r="MIW9" s="103"/>
      <c r="MIX9" s="103"/>
      <c r="MIY9" s="103"/>
      <c r="MIZ9" s="103"/>
      <c r="MJA9" s="103"/>
      <c r="MJB9" s="103"/>
      <c r="MJC9" s="103"/>
      <c r="MJD9" s="103"/>
      <c r="MJE9" s="103"/>
      <c r="MJF9" s="103"/>
      <c r="MJG9" s="103"/>
      <c r="MJH9" s="103"/>
      <c r="MJI9" s="103"/>
      <c r="MJJ9" s="103"/>
      <c r="MJK9" s="103"/>
      <c r="MJL9" s="103"/>
      <c r="MJM9" s="103"/>
      <c r="MJN9" s="103"/>
      <c r="MJO9" s="103"/>
      <c r="MJP9" s="103"/>
      <c r="MJQ9" s="103"/>
      <c r="MJR9" s="103"/>
      <c r="MJS9" s="103"/>
      <c r="MJT9" s="103"/>
      <c r="MJU9" s="103"/>
      <c r="MJV9" s="103"/>
      <c r="MJW9" s="103"/>
      <c r="MJX9" s="103"/>
      <c r="MJY9" s="103"/>
      <c r="MJZ9" s="103"/>
      <c r="MKA9" s="103"/>
      <c r="MKB9" s="103"/>
      <c r="MKC9" s="103"/>
      <c r="MKD9" s="103"/>
      <c r="MKE9" s="103"/>
      <c r="MKF9" s="103"/>
      <c r="MKG9" s="103"/>
      <c r="MKH9" s="103"/>
      <c r="MKI9" s="103"/>
      <c r="MKJ9" s="103"/>
      <c r="MKK9" s="103"/>
      <c r="MKL9" s="103"/>
      <c r="MKM9" s="103"/>
      <c r="MKN9" s="103"/>
      <c r="MKO9" s="103"/>
      <c r="MKP9" s="103"/>
      <c r="MKQ9" s="103"/>
      <c r="MKR9" s="103"/>
      <c r="MKS9" s="103"/>
      <c r="MKT9" s="103"/>
      <c r="MKU9" s="103"/>
      <c r="MKV9" s="103"/>
      <c r="MKW9" s="103"/>
      <c r="MKX9" s="103"/>
      <c r="MKY9" s="103"/>
      <c r="MKZ9" s="103"/>
      <c r="MLA9" s="103"/>
      <c r="MLB9" s="103"/>
      <c r="MLC9" s="103"/>
      <c r="MLD9" s="103"/>
      <c r="MLE9" s="103"/>
      <c r="MLF9" s="103"/>
      <c r="MLG9" s="103"/>
      <c r="MLH9" s="103"/>
      <c r="MLI9" s="103"/>
      <c r="MLJ9" s="103"/>
      <c r="MLK9" s="103"/>
      <c r="MLL9" s="103"/>
      <c r="MLM9" s="103"/>
      <c r="MLN9" s="103"/>
      <c r="MLO9" s="103"/>
      <c r="MLP9" s="103"/>
      <c r="MLQ9" s="103"/>
      <c r="MLR9" s="103"/>
      <c r="MLS9" s="103"/>
      <c r="MLT9" s="103"/>
      <c r="MLU9" s="103"/>
      <c r="MLV9" s="103"/>
      <c r="MLW9" s="103"/>
      <c r="MLX9" s="103"/>
      <c r="MLY9" s="103"/>
      <c r="MLZ9" s="103"/>
      <c r="MMA9" s="103"/>
      <c r="MMB9" s="103"/>
      <c r="MMC9" s="103"/>
      <c r="MMD9" s="103"/>
      <c r="MME9" s="103"/>
      <c r="MMF9" s="103"/>
      <c r="MMG9" s="103"/>
      <c r="MMH9" s="103"/>
      <c r="MMI9" s="103"/>
      <c r="MMJ9" s="103"/>
      <c r="MMK9" s="103"/>
      <c r="MML9" s="103"/>
      <c r="MMM9" s="103"/>
      <c r="MMN9" s="103"/>
      <c r="MMO9" s="103"/>
      <c r="MMP9" s="103"/>
      <c r="MMQ9" s="103"/>
      <c r="MMR9" s="103"/>
      <c r="MMS9" s="103"/>
      <c r="MMT9" s="103"/>
      <c r="MMU9" s="103"/>
      <c r="MMV9" s="103"/>
      <c r="MMW9" s="103"/>
      <c r="MMX9" s="103"/>
      <c r="MMY9" s="103"/>
      <c r="MMZ9" s="103"/>
      <c r="MNA9" s="103"/>
      <c r="MNB9" s="103"/>
      <c r="MNC9" s="103"/>
      <c r="MND9" s="103"/>
      <c r="MNE9" s="103"/>
      <c r="MNF9" s="103"/>
      <c r="MNG9" s="103"/>
      <c r="MNH9" s="103"/>
      <c r="MNI9" s="103"/>
      <c r="MNJ9" s="103"/>
      <c r="MNK9" s="103"/>
      <c r="MNL9" s="103"/>
      <c r="MNM9" s="103"/>
      <c r="MNN9" s="103"/>
      <c r="MNO9" s="103"/>
      <c r="MNP9" s="103"/>
      <c r="MNQ9" s="103"/>
      <c r="MNR9" s="103"/>
      <c r="MNS9" s="103"/>
      <c r="MNT9" s="103"/>
      <c r="MNU9" s="103"/>
      <c r="MNV9" s="103"/>
      <c r="MNW9" s="103"/>
      <c r="MNX9" s="103"/>
      <c r="MNY9" s="103"/>
      <c r="MNZ9" s="103"/>
      <c r="MOA9" s="103"/>
      <c r="MOB9" s="103"/>
      <c r="MOC9" s="103"/>
      <c r="MOD9" s="103"/>
      <c r="MOE9" s="103"/>
      <c r="MOF9" s="103"/>
      <c r="MOG9" s="103"/>
      <c r="MOH9" s="103"/>
      <c r="MOI9" s="103"/>
      <c r="MOJ9" s="103"/>
      <c r="MOK9" s="103"/>
      <c r="MOL9" s="103"/>
      <c r="MOM9" s="103"/>
      <c r="MON9" s="103"/>
      <c r="MOO9" s="103"/>
      <c r="MOP9" s="103"/>
      <c r="MOQ9" s="103"/>
      <c r="MOR9" s="103"/>
      <c r="MOS9" s="103"/>
      <c r="MOT9" s="103"/>
      <c r="MOU9" s="103"/>
      <c r="MOV9" s="103"/>
      <c r="MOW9" s="103"/>
      <c r="MOX9" s="103"/>
      <c r="MOY9" s="103"/>
      <c r="MOZ9" s="103"/>
      <c r="MPA9" s="103"/>
      <c r="MPB9" s="103"/>
      <c r="MPC9" s="103"/>
      <c r="MPD9" s="103"/>
      <c r="MPE9" s="103"/>
      <c r="MPF9" s="103"/>
      <c r="MPG9" s="103"/>
      <c r="MPH9" s="103"/>
      <c r="MPI9" s="103"/>
      <c r="MPJ9" s="103"/>
      <c r="MPK9" s="103"/>
      <c r="MPL9" s="103"/>
      <c r="MPM9" s="103"/>
      <c r="MPN9" s="103"/>
      <c r="MPO9" s="103"/>
      <c r="MPP9" s="103"/>
      <c r="MPQ9" s="103"/>
      <c r="MPR9" s="103"/>
      <c r="MPS9" s="103"/>
      <c r="MPT9" s="103"/>
      <c r="MPU9" s="103"/>
      <c r="MPV9" s="103"/>
      <c r="MPW9" s="103"/>
      <c r="MPX9" s="103"/>
      <c r="MPY9" s="103"/>
      <c r="MPZ9" s="103"/>
      <c r="MQA9" s="103"/>
      <c r="MQB9" s="103"/>
      <c r="MQC9" s="103"/>
      <c r="MQD9" s="103"/>
      <c r="MQE9" s="103"/>
      <c r="MQF9" s="103"/>
      <c r="MQG9" s="103"/>
      <c r="MQH9" s="103"/>
      <c r="MQI9" s="103"/>
      <c r="MQJ9" s="103"/>
      <c r="MQK9" s="103"/>
      <c r="MQL9" s="103"/>
      <c r="MQM9" s="103"/>
      <c r="MQN9" s="103"/>
      <c r="MQO9" s="103"/>
      <c r="MQP9" s="103"/>
      <c r="MQQ9" s="103"/>
      <c r="MQR9" s="103"/>
      <c r="MQS9" s="103"/>
      <c r="MQT9" s="103"/>
      <c r="MQU9" s="103"/>
      <c r="MQV9" s="103"/>
      <c r="MQW9" s="103"/>
      <c r="MQX9" s="103"/>
      <c r="MQY9" s="103"/>
      <c r="MQZ9" s="103"/>
      <c r="MRA9" s="103"/>
      <c r="MRB9" s="103"/>
      <c r="MRC9" s="103"/>
      <c r="MRD9" s="103"/>
      <c r="MRE9" s="103"/>
      <c r="MRF9" s="103"/>
      <c r="MRG9" s="103"/>
      <c r="MRH9" s="103"/>
      <c r="MRI9" s="103"/>
      <c r="MRJ9" s="103"/>
      <c r="MRK9" s="103"/>
      <c r="MRL9" s="103"/>
      <c r="MRM9" s="103"/>
      <c r="MRN9" s="103"/>
      <c r="MRO9" s="103"/>
      <c r="MRP9" s="103"/>
      <c r="MRQ9" s="103"/>
      <c r="MRR9" s="103"/>
      <c r="MRS9" s="103"/>
      <c r="MRT9" s="103"/>
      <c r="MRU9" s="103"/>
      <c r="MRV9" s="103"/>
      <c r="MRW9" s="103"/>
      <c r="MRX9" s="103"/>
      <c r="MRY9" s="103"/>
      <c r="MRZ9" s="103"/>
      <c r="MSA9" s="103"/>
      <c r="MSB9" s="103"/>
      <c r="MSC9" s="103"/>
      <c r="MSD9" s="103"/>
      <c r="MSE9" s="103"/>
      <c r="MSF9" s="103"/>
      <c r="MSG9" s="103"/>
      <c r="MSH9" s="103"/>
      <c r="MSI9" s="103"/>
      <c r="MSJ9" s="103"/>
      <c r="MSK9" s="103"/>
      <c r="MSL9" s="103"/>
      <c r="MSM9" s="103"/>
      <c r="MSN9" s="103"/>
      <c r="MSO9" s="103"/>
      <c r="MSP9" s="103"/>
      <c r="MSQ9" s="103"/>
      <c r="MSR9" s="103"/>
      <c r="MSS9" s="103"/>
      <c r="MST9" s="103"/>
      <c r="MSU9" s="103"/>
      <c r="MSV9" s="103"/>
      <c r="MSW9" s="103"/>
      <c r="MSX9" s="103"/>
      <c r="MSY9" s="103"/>
      <c r="MSZ9" s="103"/>
      <c r="MTA9" s="103"/>
      <c r="MTB9" s="103"/>
      <c r="MTC9" s="103"/>
      <c r="MTD9" s="103"/>
      <c r="MTE9" s="103"/>
      <c r="MTF9" s="103"/>
      <c r="MTG9" s="103"/>
      <c r="MTH9" s="103"/>
      <c r="MTI9" s="103"/>
      <c r="MTJ9" s="103"/>
      <c r="MTK9" s="103"/>
      <c r="MTL9" s="103"/>
      <c r="MTM9" s="103"/>
      <c r="MTN9" s="103"/>
      <c r="MTO9" s="103"/>
      <c r="MTP9" s="103"/>
      <c r="MTQ9" s="103"/>
      <c r="MTR9" s="103"/>
      <c r="MTS9" s="103"/>
      <c r="MTT9" s="103"/>
      <c r="MTU9" s="103"/>
      <c r="MTV9" s="103"/>
      <c r="MTW9" s="103"/>
      <c r="MTX9" s="103"/>
      <c r="MTY9" s="103"/>
      <c r="MTZ9" s="103"/>
      <c r="MUA9" s="103"/>
      <c r="MUB9" s="103"/>
      <c r="MUC9" s="103"/>
      <c r="MUD9" s="103"/>
      <c r="MUE9" s="103"/>
      <c r="MUF9" s="103"/>
      <c r="MUG9" s="103"/>
      <c r="MUH9" s="103"/>
      <c r="MUI9" s="103"/>
      <c r="MUJ9" s="103"/>
      <c r="MUK9" s="103"/>
      <c r="MUL9" s="103"/>
      <c r="MUM9" s="103"/>
      <c r="MUN9" s="103"/>
      <c r="MUO9" s="103"/>
      <c r="MUP9" s="103"/>
      <c r="MUQ9" s="103"/>
      <c r="MUR9" s="103"/>
      <c r="MUS9" s="103"/>
      <c r="MUT9" s="103"/>
      <c r="MUU9" s="103"/>
      <c r="MUV9" s="103"/>
      <c r="MUW9" s="103"/>
      <c r="MUX9" s="103"/>
      <c r="MUY9" s="103"/>
      <c r="MUZ9" s="103"/>
      <c r="MVA9" s="103"/>
      <c r="MVB9" s="103"/>
      <c r="MVC9" s="103"/>
      <c r="MVD9" s="103"/>
      <c r="MVE9" s="103"/>
      <c r="MVF9" s="103"/>
      <c r="MVG9" s="103"/>
      <c r="MVH9" s="103"/>
      <c r="MVI9" s="103"/>
      <c r="MVJ9" s="103"/>
      <c r="MVK9" s="103"/>
      <c r="MVL9" s="103"/>
      <c r="MVM9" s="103"/>
      <c r="MVN9" s="103"/>
      <c r="MVO9" s="103"/>
      <c r="MVP9" s="103"/>
      <c r="MVQ9" s="103"/>
      <c r="MVR9" s="103"/>
      <c r="MVS9" s="103"/>
      <c r="MVT9" s="103"/>
      <c r="MVU9" s="103"/>
      <c r="MVV9" s="103"/>
      <c r="MVW9" s="103"/>
      <c r="MVX9" s="103"/>
      <c r="MVY9" s="103"/>
      <c r="MVZ9" s="103"/>
      <c r="MWA9" s="103"/>
      <c r="MWB9" s="103"/>
      <c r="MWC9" s="103"/>
      <c r="MWD9" s="103"/>
      <c r="MWE9" s="103"/>
      <c r="MWF9" s="103"/>
      <c r="MWG9" s="103"/>
      <c r="MWH9" s="103"/>
      <c r="MWI9" s="103"/>
      <c r="MWJ9" s="103"/>
      <c r="MWK9" s="103"/>
      <c r="MWL9" s="103"/>
      <c r="MWM9" s="103"/>
      <c r="MWN9" s="103"/>
      <c r="MWO9" s="103"/>
      <c r="MWP9" s="103"/>
      <c r="MWQ9" s="103"/>
      <c r="MWR9" s="103"/>
      <c r="MWS9" s="103"/>
      <c r="MWT9" s="103"/>
      <c r="MWU9" s="103"/>
      <c r="MWV9" s="103"/>
      <c r="MWW9" s="103"/>
      <c r="MWX9" s="103"/>
      <c r="MWY9" s="103"/>
      <c r="MWZ9" s="103"/>
      <c r="MXA9" s="103"/>
      <c r="MXB9" s="103"/>
      <c r="MXC9" s="103"/>
      <c r="MXD9" s="103"/>
      <c r="MXE9" s="103"/>
      <c r="MXF9" s="103"/>
      <c r="MXG9" s="103"/>
      <c r="MXH9" s="103"/>
      <c r="MXI9" s="103"/>
      <c r="MXJ9" s="103"/>
      <c r="MXK9" s="103"/>
      <c r="MXL9" s="103"/>
      <c r="MXM9" s="103"/>
      <c r="MXN9" s="103"/>
      <c r="MXO9" s="103"/>
      <c r="MXP9" s="103"/>
      <c r="MXQ9" s="103"/>
      <c r="MXR9" s="103"/>
      <c r="MXS9" s="103"/>
      <c r="MXT9" s="103"/>
      <c r="MXU9" s="103"/>
      <c r="MXV9" s="103"/>
      <c r="MXW9" s="103"/>
      <c r="MXX9" s="103"/>
      <c r="MXY9" s="103"/>
      <c r="MXZ9" s="103"/>
      <c r="MYA9" s="103"/>
      <c r="MYB9" s="103"/>
      <c r="MYC9" s="103"/>
      <c r="MYD9" s="103"/>
      <c r="MYE9" s="103"/>
      <c r="MYF9" s="103"/>
      <c r="MYG9" s="103"/>
      <c r="MYH9" s="103"/>
      <c r="MYI9" s="103"/>
      <c r="MYJ9" s="103"/>
      <c r="MYK9" s="103"/>
      <c r="MYL9" s="103"/>
      <c r="MYM9" s="103"/>
      <c r="MYN9" s="103"/>
      <c r="MYO9" s="103"/>
      <c r="MYP9" s="103"/>
      <c r="MYQ9" s="103"/>
      <c r="MYR9" s="103"/>
      <c r="MYS9" s="103"/>
      <c r="MYT9" s="103"/>
      <c r="MYU9" s="103"/>
      <c r="MYV9" s="103"/>
      <c r="MYW9" s="103"/>
      <c r="MYX9" s="103"/>
      <c r="MYY9" s="103"/>
      <c r="MYZ9" s="103"/>
      <c r="MZA9" s="103"/>
      <c r="MZB9" s="103"/>
      <c r="MZC9" s="103"/>
      <c r="MZD9" s="103"/>
      <c r="MZE9" s="103"/>
      <c r="MZF9" s="103"/>
      <c r="MZG9" s="103"/>
      <c r="MZH9" s="103"/>
      <c r="MZI9" s="103"/>
      <c r="MZJ9" s="103"/>
      <c r="MZK9" s="103"/>
      <c r="MZL9" s="103"/>
      <c r="MZM9" s="103"/>
      <c r="MZN9" s="103"/>
      <c r="MZO9" s="103"/>
      <c r="MZP9" s="103"/>
      <c r="MZQ9" s="103"/>
      <c r="MZR9" s="103"/>
      <c r="MZS9" s="103"/>
      <c r="MZT9" s="103"/>
      <c r="MZU9" s="103"/>
      <c r="MZV9" s="103"/>
      <c r="MZW9" s="103"/>
      <c r="MZX9" s="103"/>
      <c r="MZY9" s="103"/>
      <c r="MZZ9" s="103"/>
      <c r="NAA9" s="103"/>
      <c r="NAB9" s="103"/>
      <c r="NAC9" s="103"/>
      <c r="NAD9" s="103"/>
      <c r="NAE9" s="103"/>
      <c r="NAF9" s="103"/>
      <c r="NAG9" s="103"/>
      <c r="NAH9" s="103"/>
      <c r="NAI9" s="103"/>
      <c r="NAJ9" s="103"/>
      <c r="NAK9" s="103"/>
      <c r="NAL9" s="103"/>
      <c r="NAM9" s="103"/>
      <c r="NAN9" s="103"/>
      <c r="NAO9" s="103"/>
      <c r="NAP9" s="103"/>
      <c r="NAQ9" s="103"/>
      <c r="NAR9" s="103"/>
      <c r="NAS9" s="103"/>
      <c r="NAT9" s="103"/>
      <c r="NAU9" s="103"/>
      <c r="NAV9" s="103"/>
      <c r="NAW9" s="103"/>
      <c r="NAX9" s="103"/>
      <c r="NAY9" s="103"/>
      <c r="NAZ9" s="103"/>
      <c r="NBA9" s="103"/>
      <c r="NBB9" s="103"/>
      <c r="NBC9" s="103"/>
      <c r="NBD9" s="103"/>
      <c r="NBE9" s="103"/>
      <c r="NBF9" s="103"/>
      <c r="NBG9" s="103"/>
      <c r="NBH9" s="103"/>
      <c r="NBI9" s="103"/>
      <c r="NBJ9" s="103"/>
      <c r="NBK9" s="103"/>
      <c r="NBL9" s="103"/>
      <c r="NBM9" s="103"/>
      <c r="NBN9" s="103"/>
      <c r="NBO9" s="103"/>
      <c r="NBP9" s="103"/>
      <c r="NBQ9" s="103"/>
      <c r="NBR9" s="103"/>
      <c r="NBS9" s="103"/>
      <c r="NBT9" s="103"/>
      <c r="NBU9" s="103"/>
      <c r="NBV9" s="103"/>
      <c r="NBW9" s="103"/>
      <c r="NBX9" s="103"/>
      <c r="NBY9" s="103"/>
      <c r="NBZ9" s="103"/>
      <c r="NCA9" s="103"/>
      <c r="NCB9" s="103"/>
      <c r="NCC9" s="103"/>
      <c r="NCD9" s="103"/>
      <c r="NCE9" s="103"/>
      <c r="NCF9" s="103"/>
      <c r="NCG9" s="103"/>
      <c r="NCH9" s="103"/>
      <c r="NCI9" s="103"/>
      <c r="NCJ9" s="103"/>
      <c r="NCK9" s="103"/>
      <c r="NCL9" s="103"/>
      <c r="NCM9" s="103"/>
      <c r="NCN9" s="103"/>
      <c r="NCO9" s="103"/>
      <c r="NCP9" s="103"/>
      <c r="NCQ9" s="103"/>
      <c r="NCR9" s="103"/>
      <c r="NCS9" s="103"/>
      <c r="NCT9" s="103"/>
      <c r="NCU9" s="103"/>
      <c r="NCV9" s="103"/>
      <c r="NCW9" s="103"/>
      <c r="NCX9" s="103"/>
      <c r="NCY9" s="103"/>
      <c r="NCZ9" s="103"/>
      <c r="NDA9" s="103"/>
      <c r="NDB9" s="103"/>
      <c r="NDC9" s="103"/>
      <c r="NDD9" s="103"/>
      <c r="NDE9" s="103"/>
      <c r="NDF9" s="103"/>
      <c r="NDG9" s="103"/>
      <c r="NDH9" s="103"/>
      <c r="NDI9" s="103"/>
      <c r="NDJ9" s="103"/>
      <c r="NDK9" s="103"/>
      <c r="NDL9" s="103"/>
      <c r="NDM9" s="103"/>
      <c r="NDN9" s="103"/>
      <c r="NDO9" s="103"/>
      <c r="NDP9" s="103"/>
      <c r="NDQ9" s="103"/>
      <c r="NDR9" s="103"/>
      <c r="NDS9" s="103"/>
      <c r="NDT9" s="103"/>
      <c r="NDU9" s="103"/>
      <c r="NDV9" s="103"/>
      <c r="NDW9" s="103"/>
      <c r="NDX9" s="103"/>
      <c r="NDY9" s="103"/>
      <c r="NDZ9" s="103"/>
      <c r="NEA9" s="103"/>
      <c r="NEB9" s="103"/>
      <c r="NEC9" s="103"/>
      <c r="NED9" s="103"/>
      <c r="NEE9" s="103"/>
      <c r="NEF9" s="103"/>
      <c r="NEG9" s="103"/>
      <c r="NEH9" s="103"/>
      <c r="NEI9" s="103"/>
      <c r="NEJ9" s="103"/>
      <c r="NEK9" s="103"/>
      <c r="NEL9" s="103"/>
      <c r="NEM9" s="103"/>
      <c r="NEN9" s="103"/>
      <c r="NEO9" s="103"/>
      <c r="NEP9" s="103"/>
      <c r="NEQ9" s="103"/>
      <c r="NER9" s="103"/>
      <c r="NES9" s="103"/>
      <c r="NET9" s="103"/>
      <c r="NEU9" s="103"/>
      <c r="NEV9" s="103"/>
      <c r="NEW9" s="103"/>
      <c r="NEX9" s="103"/>
      <c r="NEY9" s="103"/>
      <c r="NEZ9" s="103"/>
      <c r="NFA9" s="103"/>
      <c r="NFB9" s="103"/>
      <c r="NFC9" s="103"/>
      <c r="NFD9" s="103"/>
      <c r="NFE9" s="103"/>
      <c r="NFF9" s="103"/>
      <c r="NFG9" s="103"/>
      <c r="NFH9" s="103"/>
      <c r="NFI9" s="103"/>
      <c r="NFJ9" s="103"/>
      <c r="NFK9" s="103"/>
      <c r="NFL9" s="103"/>
      <c r="NFM9" s="103"/>
      <c r="NFN9" s="103"/>
      <c r="NFO9" s="103"/>
      <c r="NFP9" s="103"/>
      <c r="NFQ9" s="103"/>
      <c r="NFR9" s="103"/>
      <c r="NFS9" s="103"/>
      <c r="NFT9" s="103"/>
      <c r="NFU9" s="103"/>
      <c r="NFV9" s="103"/>
      <c r="NFW9" s="103"/>
      <c r="NFX9" s="103"/>
      <c r="NFY9" s="103"/>
      <c r="NFZ9" s="103"/>
      <c r="NGA9" s="103"/>
      <c r="NGB9" s="103"/>
      <c r="NGC9" s="103"/>
      <c r="NGD9" s="103"/>
      <c r="NGE9" s="103"/>
      <c r="NGF9" s="103"/>
      <c r="NGG9" s="103"/>
      <c r="NGH9" s="103"/>
      <c r="NGI9" s="103"/>
      <c r="NGJ9" s="103"/>
      <c r="NGK9" s="103"/>
      <c r="NGL9" s="103"/>
      <c r="NGM9" s="103"/>
      <c r="NGN9" s="103"/>
      <c r="NGO9" s="103"/>
      <c r="NGP9" s="103"/>
      <c r="NGQ9" s="103"/>
      <c r="NGR9" s="103"/>
      <c r="NGS9" s="103"/>
      <c r="NGT9" s="103"/>
      <c r="NGU9" s="103"/>
      <c r="NGV9" s="103"/>
      <c r="NGW9" s="103"/>
      <c r="NGX9" s="103"/>
      <c r="NGY9" s="103"/>
      <c r="NGZ9" s="103"/>
      <c r="NHA9" s="103"/>
      <c r="NHB9" s="103"/>
      <c r="NHC9" s="103"/>
      <c r="NHD9" s="103"/>
      <c r="NHE9" s="103"/>
      <c r="NHF9" s="103"/>
      <c r="NHG9" s="103"/>
      <c r="NHH9" s="103"/>
      <c r="NHI9" s="103"/>
      <c r="NHJ9" s="103"/>
      <c r="NHK9" s="103"/>
      <c r="NHL9" s="103"/>
      <c r="NHM9" s="103"/>
      <c r="NHN9" s="103"/>
      <c r="NHO9" s="103"/>
      <c r="NHP9" s="103"/>
      <c r="NHQ9" s="103"/>
      <c r="NHR9" s="103"/>
      <c r="NHS9" s="103"/>
      <c r="NHT9" s="103"/>
      <c r="NHU9" s="103"/>
      <c r="NHV9" s="103"/>
      <c r="NHW9" s="103"/>
      <c r="NHX9" s="103"/>
      <c r="NHY9" s="103"/>
      <c r="NHZ9" s="103"/>
      <c r="NIA9" s="103"/>
      <c r="NIB9" s="103"/>
      <c r="NIC9" s="103"/>
      <c r="NID9" s="103"/>
      <c r="NIE9" s="103"/>
      <c r="NIF9" s="103"/>
      <c r="NIG9" s="103"/>
      <c r="NIH9" s="103"/>
      <c r="NII9" s="103"/>
      <c r="NIJ9" s="103"/>
      <c r="NIK9" s="103"/>
      <c r="NIL9" s="103"/>
      <c r="NIM9" s="103"/>
      <c r="NIN9" s="103"/>
      <c r="NIO9" s="103"/>
      <c r="NIP9" s="103"/>
      <c r="NIQ9" s="103"/>
      <c r="NIR9" s="103"/>
      <c r="NIS9" s="103"/>
      <c r="NIT9" s="103"/>
      <c r="NIU9" s="103"/>
      <c r="NIV9" s="103"/>
      <c r="NIW9" s="103"/>
      <c r="NIX9" s="103"/>
      <c r="NIY9" s="103"/>
      <c r="NIZ9" s="103"/>
      <c r="NJA9" s="103"/>
      <c r="NJB9" s="103"/>
      <c r="NJC9" s="103"/>
      <c r="NJD9" s="103"/>
      <c r="NJE9" s="103"/>
      <c r="NJF9" s="103"/>
      <c r="NJG9" s="103"/>
      <c r="NJH9" s="103"/>
      <c r="NJI9" s="103"/>
      <c r="NJJ9" s="103"/>
      <c r="NJK9" s="103"/>
      <c r="NJL9" s="103"/>
      <c r="NJM9" s="103"/>
      <c r="NJN9" s="103"/>
      <c r="NJO9" s="103"/>
      <c r="NJP9" s="103"/>
      <c r="NJQ9" s="103"/>
      <c r="NJR9" s="103"/>
      <c r="NJS9" s="103"/>
      <c r="NJT9" s="103"/>
      <c r="NJU9" s="103"/>
      <c r="NJV9" s="103"/>
      <c r="NJW9" s="103"/>
      <c r="NJX9" s="103"/>
      <c r="NJY9" s="103"/>
      <c r="NJZ9" s="103"/>
      <c r="NKA9" s="103"/>
      <c r="NKB9" s="103"/>
      <c r="NKC9" s="103"/>
      <c r="NKD9" s="103"/>
      <c r="NKE9" s="103"/>
      <c r="NKF9" s="103"/>
      <c r="NKG9" s="103"/>
      <c r="NKH9" s="103"/>
      <c r="NKI9" s="103"/>
      <c r="NKJ9" s="103"/>
      <c r="NKK9" s="103"/>
      <c r="NKL9" s="103"/>
      <c r="NKM9" s="103"/>
      <c r="NKN9" s="103"/>
      <c r="NKO9" s="103"/>
      <c r="NKP9" s="103"/>
      <c r="NKQ9" s="103"/>
      <c r="NKR9" s="103"/>
      <c r="NKS9" s="103"/>
      <c r="NKT9" s="103"/>
      <c r="NKU9" s="103"/>
      <c r="NKV9" s="103"/>
      <c r="NKW9" s="103"/>
      <c r="NKX9" s="103"/>
      <c r="NKY9" s="103"/>
      <c r="NKZ9" s="103"/>
      <c r="NLA9" s="103"/>
      <c r="NLB9" s="103"/>
      <c r="NLC9" s="103"/>
      <c r="NLD9" s="103"/>
      <c r="NLE9" s="103"/>
      <c r="NLF9" s="103"/>
      <c r="NLG9" s="103"/>
      <c r="NLH9" s="103"/>
      <c r="NLI9" s="103"/>
      <c r="NLJ9" s="103"/>
      <c r="NLK9" s="103"/>
      <c r="NLL9" s="103"/>
      <c r="NLM9" s="103"/>
      <c r="NLN9" s="103"/>
      <c r="NLO9" s="103"/>
      <c r="NLP9" s="103"/>
      <c r="NLQ9" s="103"/>
      <c r="NLR9" s="103"/>
      <c r="NLS9" s="103"/>
      <c r="NLT9" s="103"/>
      <c r="NLU9" s="103"/>
      <c r="NLV9" s="103"/>
      <c r="NLW9" s="103"/>
      <c r="NLX9" s="103"/>
      <c r="NLY9" s="103"/>
      <c r="NLZ9" s="103"/>
      <c r="NMA9" s="103"/>
      <c r="NMB9" s="103"/>
      <c r="NMC9" s="103"/>
      <c r="NMD9" s="103"/>
      <c r="NME9" s="103"/>
      <c r="NMF9" s="103"/>
      <c r="NMG9" s="103"/>
      <c r="NMH9" s="103"/>
      <c r="NMI9" s="103"/>
      <c r="NMJ9" s="103"/>
      <c r="NMK9" s="103"/>
      <c r="NML9" s="103"/>
      <c r="NMM9" s="103"/>
      <c r="NMN9" s="103"/>
      <c r="NMO9" s="103"/>
      <c r="NMP9" s="103"/>
      <c r="NMQ9" s="103"/>
      <c r="NMR9" s="103"/>
      <c r="NMS9" s="103"/>
      <c r="NMT9" s="103"/>
      <c r="NMU9" s="103"/>
      <c r="NMV9" s="103"/>
      <c r="NMW9" s="103"/>
      <c r="NMX9" s="103"/>
      <c r="NMY9" s="103"/>
      <c r="NMZ9" s="103"/>
      <c r="NNA9" s="103"/>
      <c r="NNB9" s="103"/>
      <c r="NNC9" s="103"/>
      <c r="NND9" s="103"/>
      <c r="NNE9" s="103"/>
      <c r="NNF9" s="103"/>
      <c r="NNG9" s="103"/>
      <c r="NNH9" s="103"/>
      <c r="NNI9" s="103"/>
      <c r="NNJ9" s="103"/>
      <c r="NNK9" s="103"/>
      <c r="NNL9" s="103"/>
      <c r="NNM9" s="103"/>
      <c r="NNN9" s="103"/>
      <c r="NNO9" s="103"/>
      <c r="NNP9" s="103"/>
      <c r="NNQ9" s="103"/>
      <c r="NNR9" s="103"/>
      <c r="NNS9" s="103"/>
      <c r="NNT9" s="103"/>
      <c r="NNU9" s="103"/>
      <c r="NNV9" s="103"/>
      <c r="NNW9" s="103"/>
      <c r="NNX9" s="103"/>
      <c r="NNY9" s="103"/>
      <c r="NNZ9" s="103"/>
      <c r="NOA9" s="103"/>
      <c r="NOB9" s="103"/>
      <c r="NOC9" s="103"/>
      <c r="NOD9" s="103"/>
      <c r="NOE9" s="103"/>
      <c r="NOF9" s="103"/>
      <c r="NOG9" s="103"/>
      <c r="NOH9" s="103"/>
      <c r="NOI9" s="103"/>
      <c r="NOJ9" s="103"/>
      <c r="NOK9" s="103"/>
      <c r="NOL9" s="103"/>
      <c r="NOM9" s="103"/>
      <c r="NON9" s="103"/>
      <c r="NOO9" s="103"/>
      <c r="NOP9" s="103"/>
      <c r="NOQ9" s="103"/>
      <c r="NOR9" s="103"/>
      <c r="NOS9" s="103"/>
      <c r="NOT9" s="103"/>
      <c r="NOU9" s="103"/>
      <c r="NOV9" s="103"/>
      <c r="NOW9" s="103"/>
      <c r="NOX9" s="103"/>
      <c r="NOY9" s="103"/>
      <c r="NOZ9" s="103"/>
      <c r="NPA9" s="103"/>
      <c r="NPB9" s="103"/>
      <c r="NPC9" s="103"/>
      <c r="NPD9" s="103"/>
      <c r="NPE9" s="103"/>
      <c r="NPF9" s="103"/>
      <c r="NPG9" s="103"/>
      <c r="NPH9" s="103"/>
      <c r="NPI9" s="103"/>
      <c r="NPJ9" s="103"/>
      <c r="NPK9" s="103"/>
      <c r="NPL9" s="103"/>
      <c r="NPM9" s="103"/>
      <c r="NPN9" s="103"/>
      <c r="NPO9" s="103"/>
      <c r="NPP9" s="103"/>
      <c r="NPQ9" s="103"/>
      <c r="NPR9" s="103"/>
      <c r="NPS9" s="103"/>
      <c r="NPT9" s="103"/>
      <c r="NPU9" s="103"/>
      <c r="NPV9" s="103"/>
      <c r="NPW9" s="103"/>
      <c r="NPX9" s="103"/>
      <c r="NPY9" s="103"/>
      <c r="NPZ9" s="103"/>
      <c r="NQA9" s="103"/>
      <c r="NQB9" s="103"/>
      <c r="NQC9" s="103"/>
      <c r="NQD9" s="103"/>
      <c r="NQE9" s="103"/>
      <c r="NQF9" s="103"/>
      <c r="NQG9" s="103"/>
      <c r="NQH9" s="103"/>
      <c r="NQI9" s="103"/>
      <c r="NQJ9" s="103"/>
      <c r="NQK9" s="103"/>
      <c r="NQL9" s="103"/>
      <c r="NQM9" s="103"/>
      <c r="NQN9" s="103"/>
      <c r="NQO9" s="103"/>
      <c r="NQP9" s="103"/>
      <c r="NQQ9" s="103"/>
      <c r="NQR9" s="103"/>
      <c r="NQS9" s="103"/>
      <c r="NQT9" s="103"/>
      <c r="NQU9" s="103"/>
      <c r="NQV9" s="103"/>
      <c r="NQW9" s="103"/>
      <c r="NQX9" s="103"/>
      <c r="NQY9" s="103"/>
      <c r="NQZ9" s="103"/>
      <c r="NRA9" s="103"/>
      <c r="NRB9" s="103"/>
      <c r="NRC9" s="103"/>
      <c r="NRD9" s="103"/>
      <c r="NRE9" s="103"/>
      <c r="NRF9" s="103"/>
      <c r="NRG9" s="103"/>
      <c r="NRH9" s="103"/>
      <c r="NRI9" s="103"/>
      <c r="NRJ9" s="103"/>
      <c r="NRK9" s="103"/>
      <c r="NRL9" s="103"/>
      <c r="NRM9" s="103"/>
      <c r="NRN9" s="103"/>
      <c r="NRO9" s="103"/>
      <c r="NRP9" s="103"/>
      <c r="NRQ9" s="103"/>
      <c r="NRR9" s="103"/>
      <c r="NRS9" s="103"/>
      <c r="NRT9" s="103"/>
      <c r="NRU9" s="103"/>
      <c r="NRV9" s="103"/>
      <c r="NRW9" s="103"/>
      <c r="NRX9" s="103"/>
      <c r="NRY9" s="103"/>
      <c r="NRZ9" s="103"/>
      <c r="NSA9" s="103"/>
      <c r="NSB9" s="103"/>
      <c r="NSC9" s="103"/>
      <c r="NSD9" s="103"/>
      <c r="NSE9" s="103"/>
      <c r="NSF9" s="103"/>
      <c r="NSG9" s="103"/>
      <c r="NSH9" s="103"/>
      <c r="NSI9" s="103"/>
      <c r="NSJ9" s="103"/>
      <c r="NSK9" s="103"/>
      <c r="NSL9" s="103"/>
      <c r="NSM9" s="103"/>
      <c r="NSN9" s="103"/>
      <c r="NSO9" s="103"/>
      <c r="NSP9" s="103"/>
      <c r="NSQ9" s="103"/>
      <c r="NSR9" s="103"/>
      <c r="NSS9" s="103"/>
      <c r="NST9" s="103"/>
      <c r="NSU9" s="103"/>
      <c r="NSV9" s="103"/>
      <c r="NSW9" s="103"/>
      <c r="NSX9" s="103"/>
      <c r="NSY9" s="103"/>
      <c r="NSZ9" s="103"/>
      <c r="NTA9" s="103"/>
      <c r="NTB9" s="103"/>
      <c r="NTC9" s="103"/>
      <c r="NTD9" s="103"/>
      <c r="NTE9" s="103"/>
      <c r="NTF9" s="103"/>
      <c r="NTG9" s="103"/>
      <c r="NTH9" s="103"/>
      <c r="NTI9" s="103"/>
      <c r="NTJ9" s="103"/>
      <c r="NTK9" s="103"/>
      <c r="NTL9" s="103"/>
      <c r="NTM9" s="103"/>
      <c r="NTN9" s="103"/>
      <c r="NTO9" s="103"/>
      <c r="NTP9" s="103"/>
      <c r="NTQ9" s="103"/>
      <c r="NTR9" s="103"/>
      <c r="NTS9" s="103"/>
      <c r="NTT9" s="103"/>
      <c r="NTU9" s="103"/>
      <c r="NTV9" s="103"/>
      <c r="NTW9" s="103"/>
      <c r="NTX9" s="103"/>
      <c r="NTY9" s="103"/>
      <c r="NTZ9" s="103"/>
      <c r="NUA9" s="103"/>
      <c r="NUB9" s="103"/>
      <c r="NUC9" s="103"/>
      <c r="NUD9" s="103"/>
      <c r="NUE9" s="103"/>
      <c r="NUF9" s="103"/>
      <c r="NUG9" s="103"/>
      <c r="NUH9" s="103"/>
      <c r="NUI9" s="103"/>
      <c r="NUJ9" s="103"/>
      <c r="NUK9" s="103"/>
      <c r="NUL9" s="103"/>
      <c r="NUM9" s="103"/>
      <c r="NUN9" s="103"/>
      <c r="NUO9" s="103"/>
      <c r="NUP9" s="103"/>
      <c r="NUQ9" s="103"/>
      <c r="NUR9" s="103"/>
      <c r="NUS9" s="103"/>
      <c r="NUT9" s="103"/>
      <c r="NUU9" s="103"/>
      <c r="NUV9" s="103"/>
      <c r="NUW9" s="103"/>
      <c r="NUX9" s="103"/>
      <c r="NUY9" s="103"/>
      <c r="NUZ9" s="103"/>
      <c r="NVA9" s="103"/>
      <c r="NVB9" s="103"/>
      <c r="NVC9" s="103"/>
      <c r="NVD9" s="103"/>
      <c r="NVE9" s="103"/>
      <c r="NVF9" s="103"/>
      <c r="NVG9" s="103"/>
      <c r="NVH9" s="103"/>
      <c r="NVI9" s="103"/>
      <c r="NVJ9" s="103"/>
      <c r="NVK9" s="103"/>
      <c r="NVL9" s="103"/>
      <c r="NVM9" s="103"/>
      <c r="NVN9" s="103"/>
      <c r="NVO9" s="103"/>
      <c r="NVP9" s="103"/>
      <c r="NVQ9" s="103"/>
      <c r="NVR9" s="103"/>
      <c r="NVS9" s="103"/>
      <c r="NVT9" s="103"/>
      <c r="NVU9" s="103"/>
      <c r="NVV9" s="103"/>
      <c r="NVW9" s="103"/>
      <c r="NVX9" s="103"/>
      <c r="NVY9" s="103"/>
      <c r="NVZ9" s="103"/>
      <c r="NWA9" s="103"/>
      <c r="NWB9" s="103"/>
      <c r="NWC9" s="103"/>
      <c r="NWD9" s="103"/>
      <c r="NWE9" s="103"/>
      <c r="NWF9" s="103"/>
      <c r="NWG9" s="103"/>
      <c r="NWH9" s="103"/>
      <c r="NWI9" s="103"/>
      <c r="NWJ9" s="103"/>
      <c r="NWK9" s="103"/>
      <c r="NWL9" s="103"/>
      <c r="NWM9" s="103"/>
      <c r="NWN9" s="103"/>
      <c r="NWO9" s="103"/>
      <c r="NWP9" s="103"/>
      <c r="NWQ9" s="103"/>
      <c r="NWR9" s="103"/>
      <c r="NWS9" s="103"/>
      <c r="NWT9" s="103"/>
      <c r="NWU9" s="103"/>
      <c r="NWV9" s="103"/>
      <c r="NWW9" s="103"/>
      <c r="NWX9" s="103"/>
      <c r="NWY9" s="103"/>
      <c r="NWZ9" s="103"/>
      <c r="NXA9" s="103"/>
      <c r="NXB9" s="103"/>
      <c r="NXC9" s="103"/>
      <c r="NXD9" s="103"/>
      <c r="NXE9" s="103"/>
      <c r="NXF9" s="103"/>
      <c r="NXG9" s="103"/>
      <c r="NXH9" s="103"/>
      <c r="NXI9" s="103"/>
      <c r="NXJ9" s="103"/>
      <c r="NXK9" s="103"/>
      <c r="NXL9" s="103"/>
      <c r="NXM9" s="103"/>
      <c r="NXN9" s="103"/>
      <c r="NXO9" s="103"/>
      <c r="NXP9" s="103"/>
      <c r="NXQ9" s="103"/>
      <c r="NXR9" s="103"/>
      <c r="NXS9" s="103"/>
      <c r="NXT9" s="103"/>
      <c r="NXU9" s="103"/>
      <c r="NXV9" s="103"/>
      <c r="NXW9" s="103"/>
      <c r="NXX9" s="103"/>
      <c r="NXY9" s="103"/>
      <c r="NXZ9" s="103"/>
      <c r="NYA9" s="103"/>
      <c r="NYB9" s="103"/>
      <c r="NYC9" s="103"/>
      <c r="NYD9" s="103"/>
      <c r="NYE9" s="103"/>
      <c r="NYF9" s="103"/>
      <c r="NYG9" s="103"/>
      <c r="NYH9" s="103"/>
      <c r="NYI9" s="103"/>
      <c r="NYJ9" s="103"/>
      <c r="NYK9" s="103"/>
      <c r="NYL9" s="103"/>
      <c r="NYM9" s="103"/>
      <c r="NYN9" s="103"/>
      <c r="NYO9" s="103"/>
      <c r="NYP9" s="103"/>
      <c r="NYQ9" s="103"/>
      <c r="NYR9" s="103"/>
      <c r="NYS9" s="103"/>
      <c r="NYT9" s="103"/>
      <c r="NYU9" s="103"/>
      <c r="NYV9" s="103"/>
      <c r="NYW9" s="103"/>
      <c r="NYX9" s="103"/>
      <c r="NYY9" s="103"/>
      <c r="NYZ9" s="103"/>
      <c r="NZA9" s="103"/>
      <c r="NZB9" s="103"/>
      <c r="NZC9" s="103"/>
      <c r="NZD9" s="103"/>
      <c r="NZE9" s="103"/>
      <c r="NZF9" s="103"/>
      <c r="NZG9" s="103"/>
      <c r="NZH9" s="103"/>
      <c r="NZI9" s="103"/>
      <c r="NZJ9" s="103"/>
      <c r="NZK9" s="103"/>
      <c r="NZL9" s="103"/>
      <c r="NZM9" s="103"/>
      <c r="NZN9" s="103"/>
      <c r="NZO9" s="103"/>
      <c r="NZP9" s="103"/>
      <c r="NZQ9" s="103"/>
      <c r="NZR9" s="103"/>
      <c r="NZS9" s="103"/>
      <c r="NZT9" s="103"/>
      <c r="NZU9" s="103"/>
      <c r="NZV9" s="103"/>
      <c r="NZW9" s="103"/>
      <c r="NZX9" s="103"/>
      <c r="NZY9" s="103"/>
      <c r="NZZ9" s="103"/>
      <c r="OAA9" s="103"/>
      <c r="OAB9" s="103"/>
      <c r="OAC9" s="103"/>
      <c r="OAD9" s="103"/>
      <c r="OAE9" s="103"/>
      <c r="OAF9" s="103"/>
      <c r="OAG9" s="103"/>
      <c r="OAH9" s="103"/>
      <c r="OAI9" s="103"/>
      <c r="OAJ9" s="103"/>
      <c r="OAK9" s="103"/>
      <c r="OAL9" s="103"/>
      <c r="OAM9" s="103"/>
      <c r="OAN9" s="103"/>
      <c r="OAO9" s="103"/>
      <c r="OAP9" s="103"/>
      <c r="OAQ9" s="103"/>
      <c r="OAR9" s="103"/>
      <c r="OAS9" s="103"/>
      <c r="OAT9" s="103"/>
      <c r="OAU9" s="103"/>
      <c r="OAV9" s="103"/>
      <c r="OAW9" s="103"/>
      <c r="OAX9" s="103"/>
      <c r="OAY9" s="103"/>
      <c r="OAZ9" s="103"/>
      <c r="OBA9" s="103"/>
      <c r="OBB9" s="103"/>
      <c r="OBC9" s="103"/>
      <c r="OBD9" s="103"/>
      <c r="OBE9" s="103"/>
      <c r="OBF9" s="103"/>
      <c r="OBG9" s="103"/>
      <c r="OBH9" s="103"/>
      <c r="OBI9" s="103"/>
      <c r="OBJ9" s="103"/>
      <c r="OBK9" s="103"/>
      <c r="OBL9" s="103"/>
      <c r="OBM9" s="103"/>
      <c r="OBN9" s="103"/>
      <c r="OBO9" s="103"/>
      <c r="OBP9" s="103"/>
      <c r="OBQ9" s="103"/>
      <c r="OBR9" s="103"/>
      <c r="OBS9" s="103"/>
      <c r="OBT9" s="103"/>
      <c r="OBU9" s="103"/>
      <c r="OBV9" s="103"/>
      <c r="OBW9" s="103"/>
      <c r="OBX9" s="103"/>
      <c r="OBY9" s="103"/>
      <c r="OBZ9" s="103"/>
      <c r="OCA9" s="103"/>
      <c r="OCB9" s="103"/>
      <c r="OCC9" s="103"/>
      <c r="OCD9" s="103"/>
      <c r="OCE9" s="103"/>
      <c r="OCF9" s="103"/>
      <c r="OCG9" s="103"/>
      <c r="OCH9" s="103"/>
      <c r="OCI9" s="103"/>
      <c r="OCJ9" s="103"/>
      <c r="OCK9" s="103"/>
      <c r="OCL9" s="103"/>
      <c r="OCM9" s="103"/>
      <c r="OCN9" s="103"/>
      <c r="OCO9" s="103"/>
      <c r="OCP9" s="103"/>
      <c r="OCQ9" s="103"/>
      <c r="OCR9" s="103"/>
      <c r="OCS9" s="103"/>
      <c r="OCT9" s="103"/>
      <c r="OCU9" s="103"/>
      <c r="OCV9" s="103"/>
      <c r="OCW9" s="103"/>
      <c r="OCX9" s="103"/>
      <c r="OCY9" s="103"/>
      <c r="OCZ9" s="103"/>
      <c r="ODA9" s="103"/>
      <c r="ODB9" s="103"/>
      <c r="ODC9" s="103"/>
      <c r="ODD9" s="103"/>
      <c r="ODE9" s="103"/>
      <c r="ODF9" s="103"/>
      <c r="ODG9" s="103"/>
      <c r="ODH9" s="103"/>
      <c r="ODI9" s="103"/>
      <c r="ODJ9" s="103"/>
      <c r="ODK9" s="103"/>
      <c r="ODL9" s="103"/>
      <c r="ODM9" s="103"/>
      <c r="ODN9" s="103"/>
      <c r="ODO9" s="103"/>
      <c r="ODP9" s="103"/>
      <c r="ODQ9" s="103"/>
      <c r="ODR9" s="103"/>
      <c r="ODS9" s="103"/>
      <c r="ODT9" s="103"/>
      <c r="ODU9" s="103"/>
      <c r="ODV9" s="103"/>
      <c r="ODW9" s="103"/>
      <c r="ODX9" s="103"/>
      <c r="ODY9" s="103"/>
      <c r="ODZ9" s="103"/>
      <c r="OEA9" s="103"/>
      <c r="OEB9" s="103"/>
      <c r="OEC9" s="103"/>
      <c r="OED9" s="103"/>
      <c r="OEE9" s="103"/>
      <c r="OEF9" s="103"/>
      <c r="OEG9" s="103"/>
      <c r="OEH9" s="103"/>
      <c r="OEI9" s="103"/>
      <c r="OEJ9" s="103"/>
      <c r="OEK9" s="103"/>
      <c r="OEL9" s="103"/>
      <c r="OEM9" s="103"/>
      <c r="OEN9" s="103"/>
      <c r="OEO9" s="103"/>
      <c r="OEP9" s="103"/>
      <c r="OEQ9" s="103"/>
      <c r="OER9" s="103"/>
      <c r="OES9" s="103"/>
      <c r="OET9" s="103"/>
      <c r="OEU9" s="103"/>
      <c r="OEV9" s="103"/>
      <c r="OEW9" s="103"/>
      <c r="OEX9" s="103"/>
      <c r="OEY9" s="103"/>
      <c r="OEZ9" s="103"/>
      <c r="OFA9" s="103"/>
      <c r="OFB9" s="103"/>
      <c r="OFC9" s="103"/>
      <c r="OFD9" s="103"/>
      <c r="OFE9" s="103"/>
      <c r="OFF9" s="103"/>
      <c r="OFG9" s="103"/>
      <c r="OFH9" s="103"/>
      <c r="OFI9" s="103"/>
      <c r="OFJ9" s="103"/>
      <c r="OFK9" s="103"/>
      <c r="OFL9" s="103"/>
      <c r="OFM9" s="103"/>
      <c r="OFN9" s="103"/>
      <c r="OFO9" s="103"/>
      <c r="OFP9" s="103"/>
      <c r="OFQ9" s="103"/>
      <c r="OFR9" s="103"/>
      <c r="OFS9" s="103"/>
      <c r="OFT9" s="103"/>
      <c r="OFU9" s="103"/>
      <c r="OFV9" s="103"/>
      <c r="OFW9" s="103"/>
      <c r="OFX9" s="103"/>
      <c r="OFY9" s="103"/>
      <c r="OFZ9" s="103"/>
      <c r="OGA9" s="103"/>
      <c r="OGB9" s="103"/>
      <c r="OGC9" s="103"/>
      <c r="OGD9" s="103"/>
      <c r="OGE9" s="103"/>
      <c r="OGF9" s="103"/>
      <c r="OGG9" s="103"/>
      <c r="OGH9" s="103"/>
      <c r="OGI9" s="103"/>
      <c r="OGJ9" s="103"/>
      <c r="OGK9" s="103"/>
      <c r="OGL9" s="103"/>
      <c r="OGM9" s="103"/>
      <c r="OGN9" s="103"/>
      <c r="OGO9" s="103"/>
      <c r="OGP9" s="103"/>
      <c r="OGQ9" s="103"/>
      <c r="OGR9" s="103"/>
      <c r="OGS9" s="103"/>
      <c r="OGT9" s="103"/>
      <c r="OGU9" s="103"/>
      <c r="OGV9" s="103"/>
      <c r="OGW9" s="103"/>
      <c r="OGX9" s="103"/>
      <c r="OGY9" s="103"/>
      <c r="OGZ9" s="103"/>
      <c r="OHA9" s="103"/>
      <c r="OHB9" s="103"/>
      <c r="OHC9" s="103"/>
      <c r="OHD9" s="103"/>
      <c r="OHE9" s="103"/>
      <c r="OHF9" s="103"/>
      <c r="OHG9" s="103"/>
      <c r="OHH9" s="103"/>
      <c r="OHI9" s="103"/>
      <c r="OHJ9" s="103"/>
      <c r="OHK9" s="103"/>
      <c r="OHL9" s="103"/>
      <c r="OHM9" s="103"/>
      <c r="OHN9" s="103"/>
      <c r="OHO9" s="103"/>
      <c r="OHP9" s="103"/>
      <c r="OHQ9" s="103"/>
      <c r="OHR9" s="103"/>
      <c r="OHS9" s="103"/>
      <c r="OHT9" s="103"/>
      <c r="OHU9" s="103"/>
      <c r="OHV9" s="103"/>
      <c r="OHW9" s="103"/>
      <c r="OHX9" s="103"/>
      <c r="OHY9" s="103"/>
      <c r="OHZ9" s="103"/>
      <c r="OIA9" s="103"/>
      <c r="OIB9" s="103"/>
      <c r="OIC9" s="103"/>
      <c r="OID9" s="103"/>
      <c r="OIE9" s="103"/>
      <c r="OIF9" s="103"/>
      <c r="OIG9" s="103"/>
      <c r="OIH9" s="103"/>
      <c r="OII9" s="103"/>
      <c r="OIJ9" s="103"/>
      <c r="OIK9" s="103"/>
      <c r="OIL9" s="103"/>
      <c r="OIM9" s="103"/>
      <c r="OIN9" s="103"/>
      <c r="OIO9" s="103"/>
      <c r="OIP9" s="103"/>
      <c r="OIQ9" s="103"/>
      <c r="OIR9" s="103"/>
      <c r="OIS9" s="103"/>
      <c r="OIT9" s="103"/>
      <c r="OIU9" s="103"/>
      <c r="OIV9" s="103"/>
      <c r="OIW9" s="103"/>
      <c r="OIX9" s="103"/>
      <c r="OIY9" s="103"/>
      <c r="OIZ9" s="103"/>
      <c r="OJA9" s="103"/>
      <c r="OJB9" s="103"/>
      <c r="OJC9" s="103"/>
      <c r="OJD9" s="103"/>
      <c r="OJE9" s="103"/>
      <c r="OJF9" s="103"/>
      <c r="OJG9" s="103"/>
      <c r="OJH9" s="103"/>
      <c r="OJI9" s="103"/>
      <c r="OJJ9" s="103"/>
      <c r="OJK9" s="103"/>
      <c r="OJL9" s="103"/>
      <c r="OJM9" s="103"/>
      <c r="OJN9" s="103"/>
      <c r="OJO9" s="103"/>
      <c r="OJP9" s="103"/>
      <c r="OJQ9" s="103"/>
      <c r="OJR9" s="103"/>
      <c r="OJS9" s="103"/>
      <c r="OJT9" s="103"/>
      <c r="OJU9" s="103"/>
      <c r="OJV9" s="103"/>
      <c r="OJW9" s="103"/>
      <c r="OJX9" s="103"/>
      <c r="OJY9" s="103"/>
      <c r="OJZ9" s="103"/>
      <c r="OKA9" s="103"/>
      <c r="OKB9" s="103"/>
      <c r="OKC9" s="103"/>
      <c r="OKD9" s="103"/>
      <c r="OKE9" s="103"/>
      <c r="OKF9" s="103"/>
      <c r="OKG9" s="103"/>
      <c r="OKH9" s="103"/>
      <c r="OKI9" s="103"/>
      <c r="OKJ9" s="103"/>
      <c r="OKK9" s="103"/>
      <c r="OKL9" s="103"/>
      <c r="OKM9" s="103"/>
      <c r="OKN9" s="103"/>
      <c r="OKO9" s="103"/>
      <c r="OKP9" s="103"/>
      <c r="OKQ9" s="103"/>
      <c r="OKR9" s="103"/>
      <c r="OKS9" s="103"/>
      <c r="OKT9" s="103"/>
      <c r="OKU9" s="103"/>
      <c r="OKV9" s="103"/>
      <c r="OKW9" s="103"/>
      <c r="OKX9" s="103"/>
      <c r="OKY9" s="103"/>
      <c r="OKZ9" s="103"/>
      <c r="OLA9" s="103"/>
      <c r="OLB9" s="103"/>
      <c r="OLC9" s="103"/>
      <c r="OLD9" s="103"/>
      <c r="OLE9" s="103"/>
      <c r="OLF9" s="103"/>
      <c r="OLG9" s="103"/>
      <c r="OLH9" s="103"/>
      <c r="OLI9" s="103"/>
      <c r="OLJ9" s="103"/>
      <c r="OLK9" s="103"/>
      <c r="OLL9" s="103"/>
      <c r="OLM9" s="103"/>
      <c r="OLN9" s="103"/>
      <c r="OLO9" s="103"/>
      <c r="OLP9" s="103"/>
      <c r="OLQ9" s="103"/>
      <c r="OLR9" s="103"/>
      <c r="OLS9" s="103"/>
      <c r="OLT9" s="103"/>
      <c r="OLU9" s="103"/>
      <c r="OLV9" s="103"/>
      <c r="OLW9" s="103"/>
      <c r="OLX9" s="103"/>
      <c r="OLY9" s="103"/>
      <c r="OLZ9" s="103"/>
      <c r="OMA9" s="103"/>
      <c r="OMB9" s="103"/>
      <c r="OMC9" s="103"/>
      <c r="OMD9" s="103"/>
      <c r="OME9" s="103"/>
      <c r="OMF9" s="103"/>
      <c r="OMG9" s="103"/>
      <c r="OMH9" s="103"/>
      <c r="OMI9" s="103"/>
      <c r="OMJ9" s="103"/>
      <c r="OMK9" s="103"/>
      <c r="OML9" s="103"/>
      <c r="OMM9" s="103"/>
      <c r="OMN9" s="103"/>
      <c r="OMO9" s="103"/>
      <c r="OMP9" s="103"/>
      <c r="OMQ9" s="103"/>
      <c r="OMR9" s="103"/>
      <c r="OMS9" s="103"/>
      <c r="OMT9" s="103"/>
      <c r="OMU9" s="103"/>
      <c r="OMV9" s="103"/>
      <c r="OMW9" s="103"/>
      <c r="OMX9" s="103"/>
      <c r="OMY9" s="103"/>
      <c r="OMZ9" s="103"/>
      <c r="ONA9" s="103"/>
      <c r="ONB9" s="103"/>
      <c r="ONC9" s="103"/>
      <c r="OND9" s="103"/>
      <c r="ONE9" s="103"/>
      <c r="ONF9" s="103"/>
      <c r="ONG9" s="103"/>
      <c r="ONH9" s="103"/>
      <c r="ONI9" s="103"/>
      <c r="ONJ9" s="103"/>
      <c r="ONK9" s="103"/>
      <c r="ONL9" s="103"/>
      <c r="ONM9" s="103"/>
      <c r="ONN9" s="103"/>
      <c r="ONO9" s="103"/>
      <c r="ONP9" s="103"/>
      <c r="ONQ9" s="103"/>
      <c r="ONR9" s="103"/>
      <c r="ONS9" s="103"/>
      <c r="ONT9" s="103"/>
      <c r="ONU9" s="103"/>
      <c r="ONV9" s="103"/>
      <c r="ONW9" s="103"/>
      <c r="ONX9" s="103"/>
      <c r="ONY9" s="103"/>
      <c r="ONZ9" s="103"/>
      <c r="OOA9" s="103"/>
      <c r="OOB9" s="103"/>
      <c r="OOC9" s="103"/>
      <c r="OOD9" s="103"/>
      <c r="OOE9" s="103"/>
      <c r="OOF9" s="103"/>
      <c r="OOG9" s="103"/>
      <c r="OOH9" s="103"/>
      <c r="OOI9" s="103"/>
      <c r="OOJ9" s="103"/>
      <c r="OOK9" s="103"/>
      <c r="OOL9" s="103"/>
      <c r="OOM9" s="103"/>
      <c r="OON9" s="103"/>
      <c r="OOO9" s="103"/>
      <c r="OOP9" s="103"/>
      <c r="OOQ9" s="103"/>
      <c r="OOR9" s="103"/>
      <c r="OOS9" s="103"/>
      <c r="OOT9" s="103"/>
      <c r="OOU9" s="103"/>
      <c r="OOV9" s="103"/>
      <c r="OOW9" s="103"/>
      <c r="OOX9" s="103"/>
      <c r="OOY9" s="103"/>
      <c r="OOZ9" s="103"/>
      <c r="OPA9" s="103"/>
      <c r="OPB9" s="103"/>
      <c r="OPC9" s="103"/>
      <c r="OPD9" s="103"/>
      <c r="OPE9" s="103"/>
      <c r="OPF9" s="103"/>
      <c r="OPG9" s="103"/>
      <c r="OPH9" s="103"/>
      <c r="OPI9" s="103"/>
      <c r="OPJ9" s="103"/>
      <c r="OPK9" s="103"/>
      <c r="OPL9" s="103"/>
      <c r="OPM9" s="103"/>
      <c r="OPN9" s="103"/>
      <c r="OPO9" s="103"/>
      <c r="OPP9" s="103"/>
      <c r="OPQ9" s="103"/>
      <c r="OPR9" s="103"/>
      <c r="OPS9" s="103"/>
      <c r="OPT9" s="103"/>
      <c r="OPU9" s="103"/>
      <c r="OPV9" s="103"/>
      <c r="OPW9" s="103"/>
      <c r="OPX9" s="103"/>
      <c r="OPY9" s="103"/>
      <c r="OPZ9" s="103"/>
      <c r="OQA9" s="103"/>
      <c r="OQB9" s="103"/>
      <c r="OQC9" s="103"/>
      <c r="OQD9" s="103"/>
      <c r="OQE9" s="103"/>
      <c r="OQF9" s="103"/>
      <c r="OQG9" s="103"/>
      <c r="OQH9" s="103"/>
      <c r="OQI9" s="103"/>
      <c r="OQJ9" s="103"/>
      <c r="OQK9" s="103"/>
      <c r="OQL9" s="103"/>
      <c r="OQM9" s="103"/>
      <c r="OQN9" s="103"/>
      <c r="OQO9" s="103"/>
      <c r="OQP9" s="103"/>
      <c r="OQQ9" s="103"/>
      <c r="OQR9" s="103"/>
      <c r="OQS9" s="103"/>
      <c r="OQT9" s="103"/>
      <c r="OQU9" s="103"/>
      <c r="OQV9" s="103"/>
      <c r="OQW9" s="103"/>
      <c r="OQX9" s="103"/>
      <c r="OQY9" s="103"/>
      <c r="OQZ9" s="103"/>
      <c r="ORA9" s="103"/>
      <c r="ORB9" s="103"/>
      <c r="ORC9" s="103"/>
      <c r="ORD9" s="103"/>
      <c r="ORE9" s="103"/>
      <c r="ORF9" s="103"/>
      <c r="ORG9" s="103"/>
      <c r="ORH9" s="103"/>
      <c r="ORI9" s="103"/>
      <c r="ORJ9" s="103"/>
      <c r="ORK9" s="103"/>
      <c r="ORL9" s="103"/>
      <c r="ORM9" s="103"/>
      <c r="ORN9" s="103"/>
      <c r="ORO9" s="103"/>
      <c r="ORP9" s="103"/>
      <c r="ORQ9" s="103"/>
      <c r="ORR9" s="103"/>
      <c r="ORS9" s="103"/>
      <c r="ORT9" s="103"/>
      <c r="ORU9" s="103"/>
      <c r="ORV9" s="103"/>
      <c r="ORW9" s="103"/>
      <c r="ORX9" s="103"/>
      <c r="ORY9" s="103"/>
      <c r="ORZ9" s="103"/>
      <c r="OSA9" s="103"/>
      <c r="OSB9" s="103"/>
      <c r="OSC9" s="103"/>
      <c r="OSD9" s="103"/>
      <c r="OSE9" s="103"/>
      <c r="OSF9" s="103"/>
      <c r="OSG9" s="103"/>
      <c r="OSH9" s="103"/>
      <c r="OSI9" s="103"/>
      <c r="OSJ9" s="103"/>
      <c r="OSK9" s="103"/>
      <c r="OSL9" s="103"/>
      <c r="OSM9" s="103"/>
      <c r="OSN9" s="103"/>
      <c r="OSO9" s="103"/>
      <c r="OSP9" s="103"/>
      <c r="OSQ9" s="103"/>
      <c r="OSR9" s="103"/>
      <c r="OSS9" s="103"/>
      <c r="OST9" s="103"/>
      <c r="OSU9" s="103"/>
      <c r="OSV9" s="103"/>
      <c r="OSW9" s="103"/>
      <c r="OSX9" s="103"/>
      <c r="OSY9" s="103"/>
      <c r="OSZ9" s="103"/>
      <c r="OTA9" s="103"/>
      <c r="OTB9" s="103"/>
      <c r="OTC9" s="103"/>
      <c r="OTD9" s="103"/>
      <c r="OTE9" s="103"/>
      <c r="OTF9" s="103"/>
      <c r="OTG9" s="103"/>
      <c r="OTH9" s="103"/>
      <c r="OTI9" s="103"/>
      <c r="OTJ9" s="103"/>
      <c r="OTK9" s="103"/>
      <c r="OTL9" s="103"/>
      <c r="OTM9" s="103"/>
      <c r="OTN9" s="103"/>
      <c r="OTO9" s="103"/>
      <c r="OTP9" s="103"/>
      <c r="OTQ9" s="103"/>
      <c r="OTR9" s="103"/>
      <c r="OTS9" s="103"/>
      <c r="OTT9" s="103"/>
      <c r="OTU9" s="103"/>
      <c r="OTV9" s="103"/>
      <c r="OTW9" s="103"/>
      <c r="OTX9" s="103"/>
      <c r="OTY9" s="103"/>
      <c r="OTZ9" s="103"/>
      <c r="OUA9" s="103"/>
      <c r="OUB9" s="103"/>
      <c r="OUC9" s="103"/>
      <c r="OUD9" s="103"/>
      <c r="OUE9" s="103"/>
      <c r="OUF9" s="103"/>
      <c r="OUG9" s="103"/>
      <c r="OUH9" s="103"/>
      <c r="OUI9" s="103"/>
      <c r="OUJ9" s="103"/>
      <c r="OUK9" s="103"/>
      <c r="OUL9" s="103"/>
      <c r="OUM9" s="103"/>
      <c r="OUN9" s="103"/>
      <c r="OUO9" s="103"/>
      <c r="OUP9" s="103"/>
      <c r="OUQ9" s="103"/>
      <c r="OUR9" s="103"/>
      <c r="OUS9" s="103"/>
      <c r="OUT9" s="103"/>
      <c r="OUU9" s="103"/>
      <c r="OUV9" s="103"/>
      <c r="OUW9" s="103"/>
      <c r="OUX9" s="103"/>
      <c r="OUY9" s="103"/>
      <c r="OUZ9" s="103"/>
      <c r="OVA9" s="103"/>
      <c r="OVB9" s="103"/>
      <c r="OVC9" s="103"/>
      <c r="OVD9" s="103"/>
      <c r="OVE9" s="103"/>
      <c r="OVF9" s="103"/>
      <c r="OVG9" s="103"/>
      <c r="OVH9" s="103"/>
      <c r="OVI9" s="103"/>
      <c r="OVJ9" s="103"/>
      <c r="OVK9" s="103"/>
      <c r="OVL9" s="103"/>
      <c r="OVM9" s="103"/>
      <c r="OVN9" s="103"/>
      <c r="OVO9" s="103"/>
      <c r="OVP9" s="103"/>
      <c r="OVQ9" s="103"/>
      <c r="OVR9" s="103"/>
      <c r="OVS9" s="103"/>
      <c r="OVT9" s="103"/>
      <c r="OVU9" s="103"/>
      <c r="OVV9" s="103"/>
      <c r="OVW9" s="103"/>
      <c r="OVX9" s="103"/>
      <c r="OVY9" s="103"/>
      <c r="OVZ9" s="103"/>
      <c r="OWA9" s="103"/>
      <c r="OWB9" s="103"/>
      <c r="OWC9" s="103"/>
      <c r="OWD9" s="103"/>
      <c r="OWE9" s="103"/>
      <c r="OWF9" s="103"/>
      <c r="OWG9" s="103"/>
      <c r="OWH9" s="103"/>
      <c r="OWI9" s="103"/>
      <c r="OWJ9" s="103"/>
      <c r="OWK9" s="103"/>
      <c r="OWL9" s="103"/>
      <c r="OWM9" s="103"/>
      <c r="OWN9" s="103"/>
      <c r="OWO9" s="103"/>
      <c r="OWP9" s="103"/>
      <c r="OWQ9" s="103"/>
      <c r="OWR9" s="103"/>
      <c r="OWS9" s="103"/>
      <c r="OWT9" s="103"/>
      <c r="OWU9" s="103"/>
      <c r="OWV9" s="103"/>
      <c r="OWW9" s="103"/>
      <c r="OWX9" s="103"/>
      <c r="OWY9" s="103"/>
      <c r="OWZ9" s="103"/>
      <c r="OXA9" s="103"/>
      <c r="OXB9" s="103"/>
      <c r="OXC9" s="103"/>
      <c r="OXD9" s="103"/>
      <c r="OXE9" s="103"/>
      <c r="OXF9" s="103"/>
      <c r="OXG9" s="103"/>
      <c r="OXH9" s="103"/>
      <c r="OXI9" s="103"/>
      <c r="OXJ9" s="103"/>
      <c r="OXK9" s="103"/>
      <c r="OXL9" s="103"/>
      <c r="OXM9" s="103"/>
      <c r="OXN9" s="103"/>
      <c r="OXO9" s="103"/>
      <c r="OXP9" s="103"/>
      <c r="OXQ9" s="103"/>
      <c r="OXR9" s="103"/>
      <c r="OXS9" s="103"/>
      <c r="OXT9" s="103"/>
      <c r="OXU9" s="103"/>
      <c r="OXV9" s="103"/>
      <c r="OXW9" s="103"/>
      <c r="OXX9" s="103"/>
      <c r="OXY9" s="103"/>
      <c r="OXZ9" s="103"/>
      <c r="OYA9" s="103"/>
      <c r="OYB9" s="103"/>
      <c r="OYC9" s="103"/>
      <c r="OYD9" s="103"/>
      <c r="OYE9" s="103"/>
      <c r="OYF9" s="103"/>
      <c r="OYG9" s="103"/>
      <c r="OYH9" s="103"/>
      <c r="OYI9" s="103"/>
      <c r="OYJ9" s="103"/>
      <c r="OYK9" s="103"/>
      <c r="OYL9" s="103"/>
      <c r="OYM9" s="103"/>
      <c r="OYN9" s="103"/>
      <c r="OYO9" s="103"/>
      <c r="OYP9" s="103"/>
      <c r="OYQ9" s="103"/>
      <c r="OYR9" s="103"/>
      <c r="OYS9" s="103"/>
      <c r="OYT9" s="103"/>
      <c r="OYU9" s="103"/>
      <c r="OYV9" s="103"/>
      <c r="OYW9" s="103"/>
      <c r="OYX9" s="103"/>
      <c r="OYY9" s="103"/>
      <c r="OYZ9" s="103"/>
      <c r="OZA9" s="103"/>
      <c r="OZB9" s="103"/>
      <c r="OZC9" s="103"/>
      <c r="OZD9" s="103"/>
      <c r="OZE9" s="103"/>
      <c r="OZF9" s="103"/>
      <c r="OZG9" s="103"/>
      <c r="OZH9" s="103"/>
      <c r="OZI9" s="103"/>
      <c r="OZJ9" s="103"/>
      <c r="OZK9" s="103"/>
      <c r="OZL9" s="103"/>
      <c r="OZM9" s="103"/>
      <c r="OZN9" s="103"/>
      <c r="OZO9" s="103"/>
      <c r="OZP9" s="103"/>
      <c r="OZQ9" s="103"/>
      <c r="OZR9" s="103"/>
      <c r="OZS9" s="103"/>
      <c r="OZT9" s="103"/>
      <c r="OZU9" s="103"/>
      <c r="OZV9" s="103"/>
      <c r="OZW9" s="103"/>
      <c r="OZX9" s="103"/>
      <c r="OZY9" s="103"/>
      <c r="OZZ9" s="103"/>
      <c r="PAA9" s="103"/>
      <c r="PAB9" s="103"/>
      <c r="PAC9" s="103"/>
      <c r="PAD9" s="103"/>
      <c r="PAE9" s="103"/>
      <c r="PAF9" s="103"/>
      <c r="PAG9" s="103"/>
      <c r="PAH9" s="103"/>
      <c r="PAI9" s="103"/>
      <c r="PAJ9" s="103"/>
      <c r="PAK9" s="103"/>
      <c r="PAL9" s="103"/>
      <c r="PAM9" s="103"/>
      <c r="PAN9" s="103"/>
      <c r="PAO9" s="103"/>
      <c r="PAP9" s="103"/>
      <c r="PAQ9" s="103"/>
      <c r="PAR9" s="103"/>
      <c r="PAS9" s="103"/>
      <c r="PAT9" s="103"/>
      <c r="PAU9" s="103"/>
      <c r="PAV9" s="103"/>
      <c r="PAW9" s="103"/>
      <c r="PAX9" s="103"/>
      <c r="PAY9" s="103"/>
      <c r="PAZ9" s="103"/>
      <c r="PBA9" s="103"/>
      <c r="PBB9" s="103"/>
      <c r="PBC9" s="103"/>
      <c r="PBD9" s="103"/>
      <c r="PBE9" s="103"/>
      <c r="PBF9" s="103"/>
      <c r="PBG9" s="103"/>
      <c r="PBH9" s="103"/>
      <c r="PBI9" s="103"/>
      <c r="PBJ9" s="103"/>
      <c r="PBK9" s="103"/>
      <c r="PBL9" s="103"/>
      <c r="PBM9" s="103"/>
      <c r="PBN9" s="103"/>
      <c r="PBO9" s="103"/>
      <c r="PBP9" s="103"/>
      <c r="PBQ9" s="103"/>
      <c r="PBR9" s="103"/>
      <c r="PBS9" s="103"/>
      <c r="PBT9" s="103"/>
      <c r="PBU9" s="103"/>
      <c r="PBV9" s="103"/>
      <c r="PBW9" s="103"/>
      <c r="PBX9" s="103"/>
      <c r="PBY9" s="103"/>
      <c r="PBZ9" s="103"/>
      <c r="PCA9" s="103"/>
      <c r="PCB9" s="103"/>
      <c r="PCC9" s="103"/>
      <c r="PCD9" s="103"/>
      <c r="PCE9" s="103"/>
      <c r="PCF9" s="103"/>
      <c r="PCG9" s="103"/>
      <c r="PCH9" s="103"/>
      <c r="PCI9" s="103"/>
      <c r="PCJ9" s="103"/>
      <c r="PCK9" s="103"/>
      <c r="PCL9" s="103"/>
      <c r="PCM9" s="103"/>
      <c r="PCN9" s="103"/>
      <c r="PCO9" s="103"/>
      <c r="PCP9" s="103"/>
      <c r="PCQ9" s="103"/>
      <c r="PCR9" s="103"/>
      <c r="PCS9" s="103"/>
      <c r="PCT9" s="103"/>
      <c r="PCU9" s="103"/>
      <c r="PCV9" s="103"/>
      <c r="PCW9" s="103"/>
      <c r="PCX9" s="103"/>
      <c r="PCY9" s="103"/>
      <c r="PCZ9" s="103"/>
      <c r="PDA9" s="103"/>
      <c r="PDB9" s="103"/>
      <c r="PDC9" s="103"/>
      <c r="PDD9" s="103"/>
      <c r="PDE9" s="103"/>
      <c r="PDF9" s="103"/>
      <c r="PDG9" s="103"/>
      <c r="PDH9" s="103"/>
      <c r="PDI9" s="103"/>
      <c r="PDJ9" s="103"/>
      <c r="PDK9" s="103"/>
      <c r="PDL9" s="103"/>
      <c r="PDM9" s="103"/>
      <c r="PDN9" s="103"/>
      <c r="PDO9" s="103"/>
      <c r="PDP9" s="103"/>
      <c r="PDQ9" s="103"/>
      <c r="PDR9" s="103"/>
      <c r="PDS9" s="103"/>
      <c r="PDT9" s="103"/>
      <c r="PDU9" s="103"/>
      <c r="PDV9" s="103"/>
      <c r="PDW9" s="103"/>
      <c r="PDX9" s="103"/>
      <c r="PDY9" s="103"/>
      <c r="PDZ9" s="103"/>
      <c r="PEA9" s="103"/>
      <c r="PEB9" s="103"/>
      <c r="PEC9" s="103"/>
      <c r="PED9" s="103"/>
      <c r="PEE9" s="103"/>
      <c r="PEF9" s="103"/>
      <c r="PEG9" s="103"/>
      <c r="PEH9" s="103"/>
      <c r="PEI9" s="103"/>
      <c r="PEJ9" s="103"/>
      <c r="PEK9" s="103"/>
      <c r="PEL9" s="103"/>
      <c r="PEM9" s="103"/>
      <c r="PEN9" s="103"/>
      <c r="PEO9" s="103"/>
      <c r="PEP9" s="103"/>
      <c r="PEQ9" s="103"/>
      <c r="PER9" s="103"/>
      <c r="PES9" s="103"/>
      <c r="PET9" s="103"/>
      <c r="PEU9" s="103"/>
      <c r="PEV9" s="103"/>
      <c r="PEW9" s="103"/>
      <c r="PEX9" s="103"/>
      <c r="PEY9" s="103"/>
      <c r="PEZ9" s="103"/>
      <c r="PFA9" s="103"/>
      <c r="PFB9" s="103"/>
      <c r="PFC9" s="103"/>
      <c r="PFD9" s="103"/>
      <c r="PFE9" s="103"/>
      <c r="PFF9" s="103"/>
      <c r="PFG9" s="103"/>
      <c r="PFH9" s="103"/>
      <c r="PFI9" s="103"/>
      <c r="PFJ9" s="103"/>
      <c r="PFK9" s="103"/>
      <c r="PFL9" s="103"/>
      <c r="PFM9" s="103"/>
      <c r="PFN9" s="103"/>
      <c r="PFO9" s="103"/>
      <c r="PFP9" s="103"/>
      <c r="PFQ9" s="103"/>
      <c r="PFR9" s="103"/>
      <c r="PFS9" s="103"/>
      <c r="PFT9" s="103"/>
      <c r="PFU9" s="103"/>
      <c r="PFV9" s="103"/>
      <c r="PFW9" s="103"/>
      <c r="PFX9" s="103"/>
      <c r="PFY9" s="103"/>
      <c r="PFZ9" s="103"/>
      <c r="PGA9" s="103"/>
      <c r="PGB9" s="103"/>
      <c r="PGC9" s="103"/>
      <c r="PGD9" s="103"/>
      <c r="PGE9" s="103"/>
      <c r="PGF9" s="103"/>
      <c r="PGG9" s="103"/>
      <c r="PGH9" s="103"/>
      <c r="PGI9" s="103"/>
      <c r="PGJ9" s="103"/>
      <c r="PGK9" s="103"/>
      <c r="PGL9" s="103"/>
      <c r="PGM9" s="103"/>
      <c r="PGN9" s="103"/>
      <c r="PGO9" s="103"/>
      <c r="PGP9" s="103"/>
      <c r="PGQ9" s="103"/>
      <c r="PGR9" s="103"/>
      <c r="PGS9" s="103"/>
      <c r="PGT9" s="103"/>
      <c r="PGU9" s="103"/>
      <c r="PGV9" s="103"/>
      <c r="PGW9" s="103"/>
      <c r="PGX9" s="103"/>
      <c r="PGY9" s="103"/>
      <c r="PGZ9" s="103"/>
      <c r="PHA9" s="103"/>
      <c r="PHB9" s="103"/>
      <c r="PHC9" s="103"/>
      <c r="PHD9" s="103"/>
      <c r="PHE9" s="103"/>
      <c r="PHF9" s="103"/>
      <c r="PHG9" s="103"/>
      <c r="PHH9" s="103"/>
      <c r="PHI9" s="103"/>
      <c r="PHJ9" s="103"/>
      <c r="PHK9" s="103"/>
      <c r="PHL9" s="103"/>
      <c r="PHM9" s="103"/>
      <c r="PHN9" s="103"/>
      <c r="PHO9" s="103"/>
      <c r="PHP9" s="103"/>
      <c r="PHQ9" s="103"/>
      <c r="PHR9" s="103"/>
      <c r="PHS9" s="103"/>
      <c r="PHT9" s="103"/>
      <c r="PHU9" s="103"/>
      <c r="PHV9" s="103"/>
      <c r="PHW9" s="103"/>
      <c r="PHX9" s="103"/>
      <c r="PHY9" s="103"/>
      <c r="PHZ9" s="103"/>
      <c r="PIA9" s="103"/>
      <c r="PIB9" s="103"/>
      <c r="PIC9" s="103"/>
      <c r="PID9" s="103"/>
      <c r="PIE9" s="103"/>
      <c r="PIF9" s="103"/>
      <c r="PIG9" s="103"/>
      <c r="PIH9" s="103"/>
      <c r="PII9" s="103"/>
      <c r="PIJ9" s="103"/>
      <c r="PIK9" s="103"/>
      <c r="PIL9" s="103"/>
      <c r="PIM9" s="103"/>
      <c r="PIN9" s="103"/>
      <c r="PIO9" s="103"/>
      <c r="PIP9" s="103"/>
      <c r="PIQ9" s="103"/>
      <c r="PIR9" s="103"/>
      <c r="PIS9" s="103"/>
      <c r="PIT9" s="103"/>
      <c r="PIU9" s="103"/>
      <c r="PIV9" s="103"/>
      <c r="PIW9" s="103"/>
      <c r="PIX9" s="103"/>
      <c r="PIY9" s="103"/>
      <c r="PIZ9" s="103"/>
      <c r="PJA9" s="103"/>
      <c r="PJB9" s="103"/>
      <c r="PJC9" s="103"/>
      <c r="PJD9" s="103"/>
      <c r="PJE9" s="103"/>
      <c r="PJF9" s="103"/>
      <c r="PJG9" s="103"/>
      <c r="PJH9" s="103"/>
      <c r="PJI9" s="103"/>
      <c r="PJJ9" s="103"/>
      <c r="PJK9" s="103"/>
      <c r="PJL9" s="103"/>
      <c r="PJM9" s="103"/>
      <c r="PJN9" s="103"/>
      <c r="PJO9" s="103"/>
      <c r="PJP9" s="103"/>
      <c r="PJQ9" s="103"/>
      <c r="PJR9" s="103"/>
      <c r="PJS9" s="103"/>
      <c r="PJT9" s="103"/>
      <c r="PJU9" s="103"/>
      <c r="PJV9" s="103"/>
      <c r="PJW9" s="103"/>
      <c r="PJX9" s="103"/>
      <c r="PJY9" s="103"/>
      <c r="PJZ9" s="103"/>
      <c r="PKA9" s="103"/>
      <c r="PKB9" s="103"/>
      <c r="PKC9" s="103"/>
      <c r="PKD9" s="103"/>
      <c r="PKE9" s="103"/>
      <c r="PKF9" s="103"/>
      <c r="PKG9" s="103"/>
      <c r="PKH9" s="103"/>
      <c r="PKI9" s="103"/>
      <c r="PKJ9" s="103"/>
      <c r="PKK9" s="103"/>
      <c r="PKL9" s="103"/>
      <c r="PKM9" s="103"/>
      <c r="PKN9" s="103"/>
      <c r="PKO9" s="103"/>
      <c r="PKP9" s="103"/>
      <c r="PKQ9" s="103"/>
      <c r="PKR9" s="103"/>
      <c r="PKS9" s="103"/>
      <c r="PKT9" s="103"/>
      <c r="PKU9" s="103"/>
      <c r="PKV9" s="103"/>
      <c r="PKW9" s="103"/>
      <c r="PKX9" s="103"/>
      <c r="PKY9" s="103"/>
      <c r="PKZ9" s="103"/>
      <c r="PLA9" s="103"/>
      <c r="PLB9" s="103"/>
      <c r="PLC9" s="103"/>
      <c r="PLD9" s="103"/>
      <c r="PLE9" s="103"/>
      <c r="PLF9" s="103"/>
      <c r="PLG9" s="103"/>
      <c r="PLH9" s="103"/>
      <c r="PLI9" s="103"/>
      <c r="PLJ9" s="103"/>
      <c r="PLK9" s="103"/>
      <c r="PLL9" s="103"/>
      <c r="PLM9" s="103"/>
      <c r="PLN9" s="103"/>
      <c r="PLO9" s="103"/>
      <c r="PLP9" s="103"/>
      <c r="PLQ9" s="103"/>
      <c r="PLR9" s="103"/>
      <c r="PLS9" s="103"/>
      <c r="PLT9" s="103"/>
      <c r="PLU9" s="103"/>
      <c r="PLV9" s="103"/>
      <c r="PLW9" s="103"/>
      <c r="PLX9" s="103"/>
      <c r="PLY9" s="103"/>
      <c r="PLZ9" s="103"/>
      <c r="PMA9" s="103"/>
      <c r="PMB9" s="103"/>
      <c r="PMC9" s="103"/>
      <c r="PMD9" s="103"/>
      <c r="PME9" s="103"/>
      <c r="PMF9" s="103"/>
      <c r="PMG9" s="103"/>
      <c r="PMH9" s="103"/>
      <c r="PMI9" s="103"/>
      <c r="PMJ9" s="103"/>
      <c r="PMK9" s="103"/>
      <c r="PML9" s="103"/>
      <c r="PMM9" s="103"/>
      <c r="PMN9" s="103"/>
      <c r="PMO9" s="103"/>
      <c r="PMP9" s="103"/>
      <c r="PMQ9" s="103"/>
      <c r="PMR9" s="103"/>
      <c r="PMS9" s="103"/>
      <c r="PMT9" s="103"/>
      <c r="PMU9" s="103"/>
      <c r="PMV9" s="103"/>
      <c r="PMW9" s="103"/>
      <c r="PMX9" s="103"/>
      <c r="PMY9" s="103"/>
      <c r="PMZ9" s="103"/>
      <c r="PNA9" s="103"/>
      <c r="PNB9" s="103"/>
      <c r="PNC9" s="103"/>
      <c r="PND9" s="103"/>
      <c r="PNE9" s="103"/>
      <c r="PNF9" s="103"/>
      <c r="PNG9" s="103"/>
      <c r="PNH9" s="103"/>
      <c r="PNI9" s="103"/>
      <c r="PNJ9" s="103"/>
      <c r="PNK9" s="103"/>
      <c r="PNL9" s="103"/>
      <c r="PNM9" s="103"/>
      <c r="PNN9" s="103"/>
      <c r="PNO9" s="103"/>
      <c r="PNP9" s="103"/>
      <c r="PNQ9" s="103"/>
      <c r="PNR9" s="103"/>
      <c r="PNS9" s="103"/>
      <c r="PNT9" s="103"/>
      <c r="PNU9" s="103"/>
      <c r="PNV9" s="103"/>
      <c r="PNW9" s="103"/>
      <c r="PNX9" s="103"/>
      <c r="PNY9" s="103"/>
      <c r="PNZ9" s="103"/>
      <c r="POA9" s="103"/>
      <c r="POB9" s="103"/>
      <c r="POC9" s="103"/>
      <c r="POD9" s="103"/>
      <c r="POE9" s="103"/>
      <c r="POF9" s="103"/>
      <c r="POG9" s="103"/>
      <c r="POH9" s="103"/>
      <c r="POI9" s="103"/>
      <c r="POJ9" s="103"/>
      <c r="POK9" s="103"/>
      <c r="POL9" s="103"/>
      <c r="POM9" s="103"/>
      <c r="PON9" s="103"/>
      <c r="POO9" s="103"/>
      <c r="POP9" s="103"/>
      <c r="POQ9" s="103"/>
      <c r="POR9" s="103"/>
      <c r="POS9" s="103"/>
      <c r="POT9" s="103"/>
      <c r="POU9" s="103"/>
      <c r="POV9" s="103"/>
      <c r="POW9" s="103"/>
      <c r="POX9" s="103"/>
      <c r="POY9" s="103"/>
      <c r="POZ9" s="103"/>
      <c r="PPA9" s="103"/>
      <c r="PPB9" s="103"/>
      <c r="PPC9" s="103"/>
      <c r="PPD9" s="103"/>
      <c r="PPE9" s="103"/>
      <c r="PPF9" s="103"/>
      <c r="PPG9" s="103"/>
      <c r="PPH9" s="103"/>
      <c r="PPI9" s="103"/>
      <c r="PPJ9" s="103"/>
      <c r="PPK9" s="103"/>
      <c r="PPL9" s="103"/>
      <c r="PPM9" s="103"/>
      <c r="PPN9" s="103"/>
      <c r="PPO9" s="103"/>
      <c r="PPP9" s="103"/>
      <c r="PPQ9" s="103"/>
      <c r="PPR9" s="103"/>
      <c r="PPS9" s="103"/>
      <c r="PPT9" s="103"/>
      <c r="PPU9" s="103"/>
      <c r="PPV9" s="103"/>
      <c r="PPW9" s="103"/>
      <c r="PPX9" s="103"/>
      <c r="PPY9" s="103"/>
      <c r="PPZ9" s="103"/>
      <c r="PQA9" s="103"/>
      <c r="PQB9" s="103"/>
      <c r="PQC9" s="103"/>
      <c r="PQD9" s="103"/>
      <c r="PQE9" s="103"/>
      <c r="PQF9" s="103"/>
      <c r="PQG9" s="103"/>
      <c r="PQH9" s="103"/>
      <c r="PQI9" s="103"/>
      <c r="PQJ9" s="103"/>
      <c r="PQK9" s="103"/>
      <c r="PQL9" s="103"/>
      <c r="PQM9" s="103"/>
      <c r="PQN9" s="103"/>
      <c r="PQO9" s="103"/>
      <c r="PQP9" s="103"/>
      <c r="PQQ9" s="103"/>
      <c r="PQR9" s="103"/>
      <c r="PQS9" s="103"/>
      <c r="PQT9" s="103"/>
      <c r="PQU9" s="103"/>
      <c r="PQV9" s="103"/>
      <c r="PQW9" s="103"/>
      <c r="PQX9" s="103"/>
      <c r="PQY9" s="103"/>
      <c r="PQZ9" s="103"/>
      <c r="PRA9" s="103"/>
      <c r="PRB9" s="103"/>
      <c r="PRC9" s="103"/>
      <c r="PRD9" s="103"/>
      <c r="PRE9" s="103"/>
      <c r="PRF9" s="103"/>
      <c r="PRG9" s="103"/>
      <c r="PRH9" s="103"/>
      <c r="PRI9" s="103"/>
      <c r="PRJ9" s="103"/>
      <c r="PRK9" s="103"/>
      <c r="PRL9" s="103"/>
      <c r="PRM9" s="103"/>
      <c r="PRN9" s="103"/>
      <c r="PRO9" s="103"/>
      <c r="PRP9" s="103"/>
      <c r="PRQ9" s="103"/>
      <c r="PRR9" s="103"/>
      <c r="PRS9" s="103"/>
      <c r="PRT9" s="103"/>
      <c r="PRU9" s="103"/>
      <c r="PRV9" s="103"/>
      <c r="PRW9" s="103"/>
      <c r="PRX9" s="103"/>
      <c r="PRY9" s="103"/>
      <c r="PRZ9" s="103"/>
      <c r="PSA9" s="103"/>
      <c r="PSB9" s="103"/>
      <c r="PSC9" s="103"/>
      <c r="PSD9" s="103"/>
      <c r="PSE9" s="103"/>
      <c r="PSF9" s="103"/>
      <c r="PSG9" s="103"/>
      <c r="PSH9" s="103"/>
      <c r="PSI9" s="103"/>
      <c r="PSJ9" s="103"/>
      <c r="PSK9" s="103"/>
      <c r="PSL9" s="103"/>
      <c r="PSM9" s="103"/>
      <c r="PSN9" s="103"/>
      <c r="PSO9" s="103"/>
      <c r="PSP9" s="103"/>
      <c r="PSQ9" s="103"/>
      <c r="PSR9" s="103"/>
      <c r="PSS9" s="103"/>
      <c r="PST9" s="103"/>
      <c r="PSU9" s="103"/>
      <c r="PSV9" s="103"/>
      <c r="PSW9" s="103"/>
      <c r="PSX9" s="103"/>
      <c r="PSY9" s="103"/>
      <c r="PSZ9" s="103"/>
      <c r="PTA9" s="103"/>
      <c r="PTB9" s="103"/>
      <c r="PTC9" s="103"/>
      <c r="PTD9" s="103"/>
      <c r="PTE9" s="103"/>
      <c r="PTF9" s="103"/>
      <c r="PTG9" s="103"/>
      <c r="PTH9" s="103"/>
      <c r="PTI9" s="103"/>
      <c r="PTJ9" s="103"/>
      <c r="PTK9" s="103"/>
      <c r="PTL9" s="103"/>
      <c r="PTM9" s="103"/>
      <c r="PTN9" s="103"/>
      <c r="PTO9" s="103"/>
      <c r="PTP9" s="103"/>
      <c r="PTQ9" s="103"/>
      <c r="PTR9" s="103"/>
      <c r="PTS9" s="103"/>
      <c r="PTT9" s="103"/>
      <c r="PTU9" s="103"/>
      <c r="PTV9" s="103"/>
      <c r="PTW9" s="103"/>
      <c r="PTX9" s="103"/>
      <c r="PTY9" s="103"/>
      <c r="PTZ9" s="103"/>
      <c r="PUA9" s="103"/>
      <c r="PUB9" s="103"/>
      <c r="PUC9" s="103"/>
      <c r="PUD9" s="103"/>
      <c r="PUE9" s="103"/>
      <c r="PUF9" s="103"/>
      <c r="PUG9" s="103"/>
      <c r="PUH9" s="103"/>
      <c r="PUI9" s="103"/>
      <c r="PUJ9" s="103"/>
      <c r="PUK9" s="103"/>
      <c r="PUL9" s="103"/>
      <c r="PUM9" s="103"/>
      <c r="PUN9" s="103"/>
      <c r="PUO9" s="103"/>
      <c r="PUP9" s="103"/>
      <c r="PUQ9" s="103"/>
      <c r="PUR9" s="103"/>
      <c r="PUS9" s="103"/>
      <c r="PUT9" s="103"/>
      <c r="PUU9" s="103"/>
      <c r="PUV9" s="103"/>
      <c r="PUW9" s="103"/>
      <c r="PUX9" s="103"/>
      <c r="PUY9" s="103"/>
      <c r="PUZ9" s="103"/>
      <c r="PVA9" s="103"/>
      <c r="PVB9" s="103"/>
      <c r="PVC9" s="103"/>
      <c r="PVD9" s="103"/>
      <c r="PVE9" s="103"/>
      <c r="PVF9" s="103"/>
      <c r="PVG9" s="103"/>
      <c r="PVH9" s="103"/>
      <c r="PVI9" s="103"/>
      <c r="PVJ9" s="103"/>
      <c r="PVK9" s="103"/>
      <c r="PVL9" s="103"/>
      <c r="PVM9" s="103"/>
      <c r="PVN9" s="103"/>
      <c r="PVO9" s="103"/>
      <c r="PVP9" s="103"/>
      <c r="PVQ9" s="103"/>
      <c r="PVR9" s="103"/>
      <c r="PVS9" s="103"/>
      <c r="PVT9" s="103"/>
      <c r="PVU9" s="103"/>
      <c r="PVV9" s="103"/>
      <c r="PVW9" s="103"/>
      <c r="PVX9" s="103"/>
      <c r="PVY9" s="103"/>
      <c r="PVZ9" s="103"/>
      <c r="PWA9" s="103"/>
      <c r="PWB9" s="103"/>
      <c r="PWC9" s="103"/>
      <c r="PWD9" s="103"/>
      <c r="PWE9" s="103"/>
      <c r="PWF9" s="103"/>
      <c r="PWG9" s="103"/>
      <c r="PWH9" s="103"/>
      <c r="PWI9" s="103"/>
      <c r="PWJ9" s="103"/>
      <c r="PWK9" s="103"/>
      <c r="PWL9" s="103"/>
      <c r="PWM9" s="103"/>
      <c r="PWN9" s="103"/>
      <c r="PWO9" s="103"/>
      <c r="PWP9" s="103"/>
      <c r="PWQ9" s="103"/>
      <c r="PWR9" s="103"/>
      <c r="PWS9" s="103"/>
      <c r="PWT9" s="103"/>
      <c r="PWU9" s="103"/>
      <c r="PWV9" s="103"/>
      <c r="PWW9" s="103"/>
      <c r="PWX9" s="103"/>
      <c r="PWY9" s="103"/>
      <c r="PWZ9" s="103"/>
      <c r="PXA9" s="103"/>
      <c r="PXB9" s="103"/>
      <c r="PXC9" s="103"/>
      <c r="PXD9" s="103"/>
      <c r="PXE9" s="103"/>
      <c r="PXF9" s="103"/>
      <c r="PXG9" s="103"/>
      <c r="PXH9" s="103"/>
      <c r="PXI9" s="103"/>
      <c r="PXJ9" s="103"/>
      <c r="PXK9" s="103"/>
      <c r="PXL9" s="103"/>
      <c r="PXM9" s="103"/>
      <c r="PXN9" s="103"/>
      <c r="PXO9" s="103"/>
      <c r="PXP9" s="103"/>
      <c r="PXQ9" s="103"/>
      <c r="PXR9" s="103"/>
      <c r="PXS9" s="103"/>
      <c r="PXT9" s="103"/>
      <c r="PXU9" s="103"/>
      <c r="PXV9" s="103"/>
      <c r="PXW9" s="103"/>
      <c r="PXX9" s="103"/>
      <c r="PXY9" s="103"/>
      <c r="PXZ9" s="103"/>
      <c r="PYA9" s="103"/>
      <c r="PYB9" s="103"/>
      <c r="PYC9" s="103"/>
      <c r="PYD9" s="103"/>
      <c r="PYE9" s="103"/>
      <c r="PYF9" s="103"/>
      <c r="PYG9" s="103"/>
      <c r="PYH9" s="103"/>
      <c r="PYI9" s="103"/>
      <c r="PYJ9" s="103"/>
      <c r="PYK9" s="103"/>
      <c r="PYL9" s="103"/>
      <c r="PYM9" s="103"/>
      <c r="PYN9" s="103"/>
      <c r="PYO9" s="103"/>
      <c r="PYP9" s="103"/>
      <c r="PYQ9" s="103"/>
      <c r="PYR9" s="103"/>
      <c r="PYS9" s="103"/>
      <c r="PYT9" s="103"/>
      <c r="PYU9" s="103"/>
      <c r="PYV9" s="103"/>
      <c r="PYW9" s="103"/>
      <c r="PYX9" s="103"/>
      <c r="PYY9" s="103"/>
      <c r="PYZ9" s="103"/>
      <c r="PZA9" s="103"/>
      <c r="PZB9" s="103"/>
      <c r="PZC9" s="103"/>
      <c r="PZD9" s="103"/>
      <c r="PZE9" s="103"/>
      <c r="PZF9" s="103"/>
      <c r="PZG9" s="103"/>
      <c r="PZH9" s="103"/>
      <c r="PZI9" s="103"/>
      <c r="PZJ9" s="103"/>
      <c r="PZK9" s="103"/>
      <c r="PZL9" s="103"/>
      <c r="PZM9" s="103"/>
      <c r="PZN9" s="103"/>
      <c r="PZO9" s="103"/>
      <c r="PZP9" s="103"/>
      <c r="PZQ9" s="103"/>
      <c r="PZR9" s="103"/>
      <c r="PZS9" s="103"/>
      <c r="PZT9" s="103"/>
      <c r="PZU9" s="103"/>
      <c r="PZV9" s="103"/>
      <c r="PZW9" s="103"/>
      <c r="PZX9" s="103"/>
      <c r="PZY9" s="103"/>
      <c r="PZZ9" s="103"/>
      <c r="QAA9" s="103"/>
      <c r="QAB9" s="103"/>
      <c r="QAC9" s="103"/>
      <c r="QAD9" s="103"/>
      <c r="QAE9" s="103"/>
      <c r="QAF9" s="103"/>
      <c r="QAG9" s="103"/>
      <c r="QAH9" s="103"/>
      <c r="QAI9" s="103"/>
      <c r="QAJ9" s="103"/>
      <c r="QAK9" s="103"/>
      <c r="QAL9" s="103"/>
      <c r="QAM9" s="103"/>
      <c r="QAN9" s="103"/>
      <c r="QAO9" s="103"/>
      <c r="QAP9" s="103"/>
      <c r="QAQ9" s="103"/>
      <c r="QAR9" s="103"/>
      <c r="QAS9" s="103"/>
      <c r="QAT9" s="103"/>
      <c r="QAU9" s="103"/>
      <c r="QAV9" s="103"/>
      <c r="QAW9" s="103"/>
      <c r="QAX9" s="103"/>
      <c r="QAY9" s="103"/>
      <c r="QAZ9" s="103"/>
      <c r="QBA9" s="103"/>
      <c r="QBB9" s="103"/>
      <c r="QBC9" s="103"/>
      <c r="QBD9" s="103"/>
      <c r="QBE9" s="103"/>
      <c r="QBF9" s="103"/>
      <c r="QBG9" s="103"/>
      <c r="QBH9" s="103"/>
      <c r="QBI9" s="103"/>
      <c r="QBJ9" s="103"/>
      <c r="QBK9" s="103"/>
      <c r="QBL9" s="103"/>
      <c r="QBM9" s="103"/>
      <c r="QBN9" s="103"/>
      <c r="QBO9" s="103"/>
      <c r="QBP9" s="103"/>
      <c r="QBQ9" s="103"/>
      <c r="QBR9" s="103"/>
      <c r="QBS9" s="103"/>
      <c r="QBT9" s="103"/>
      <c r="QBU9" s="103"/>
      <c r="QBV9" s="103"/>
      <c r="QBW9" s="103"/>
      <c r="QBX9" s="103"/>
      <c r="QBY9" s="103"/>
      <c r="QBZ9" s="103"/>
      <c r="QCA9" s="103"/>
      <c r="QCB9" s="103"/>
      <c r="QCC9" s="103"/>
      <c r="QCD9" s="103"/>
      <c r="QCE9" s="103"/>
      <c r="QCF9" s="103"/>
      <c r="QCG9" s="103"/>
      <c r="QCH9" s="103"/>
      <c r="QCI9" s="103"/>
      <c r="QCJ9" s="103"/>
      <c r="QCK9" s="103"/>
      <c r="QCL9" s="103"/>
      <c r="QCM9" s="103"/>
      <c r="QCN9" s="103"/>
      <c r="QCO9" s="103"/>
      <c r="QCP9" s="103"/>
      <c r="QCQ9" s="103"/>
      <c r="QCR9" s="103"/>
      <c r="QCS9" s="103"/>
      <c r="QCT9" s="103"/>
      <c r="QCU9" s="103"/>
      <c r="QCV9" s="103"/>
      <c r="QCW9" s="103"/>
      <c r="QCX9" s="103"/>
      <c r="QCY9" s="103"/>
      <c r="QCZ9" s="103"/>
      <c r="QDA9" s="103"/>
      <c r="QDB9" s="103"/>
      <c r="QDC9" s="103"/>
      <c r="QDD9" s="103"/>
      <c r="QDE9" s="103"/>
      <c r="QDF9" s="103"/>
      <c r="QDG9" s="103"/>
      <c r="QDH9" s="103"/>
      <c r="QDI9" s="103"/>
      <c r="QDJ9" s="103"/>
      <c r="QDK9" s="103"/>
      <c r="QDL9" s="103"/>
      <c r="QDM9" s="103"/>
      <c r="QDN9" s="103"/>
      <c r="QDO9" s="103"/>
      <c r="QDP9" s="103"/>
      <c r="QDQ9" s="103"/>
      <c r="QDR9" s="103"/>
      <c r="QDS9" s="103"/>
      <c r="QDT9" s="103"/>
      <c r="QDU9" s="103"/>
      <c r="QDV9" s="103"/>
      <c r="QDW9" s="103"/>
      <c r="QDX9" s="103"/>
      <c r="QDY9" s="103"/>
      <c r="QDZ9" s="103"/>
      <c r="QEA9" s="103"/>
      <c r="QEB9" s="103"/>
      <c r="QEC9" s="103"/>
      <c r="QED9" s="103"/>
      <c r="QEE9" s="103"/>
      <c r="QEF9" s="103"/>
      <c r="QEG9" s="103"/>
      <c r="QEH9" s="103"/>
      <c r="QEI9" s="103"/>
      <c r="QEJ9" s="103"/>
      <c r="QEK9" s="103"/>
      <c r="QEL9" s="103"/>
      <c r="QEM9" s="103"/>
      <c r="QEN9" s="103"/>
      <c r="QEO9" s="103"/>
      <c r="QEP9" s="103"/>
      <c r="QEQ9" s="103"/>
      <c r="QER9" s="103"/>
      <c r="QES9" s="103"/>
      <c r="QET9" s="103"/>
      <c r="QEU9" s="103"/>
      <c r="QEV9" s="103"/>
      <c r="QEW9" s="103"/>
      <c r="QEX9" s="103"/>
      <c r="QEY9" s="103"/>
      <c r="QEZ9" s="103"/>
      <c r="QFA9" s="103"/>
      <c r="QFB9" s="103"/>
      <c r="QFC9" s="103"/>
      <c r="QFD9" s="103"/>
      <c r="QFE9" s="103"/>
      <c r="QFF9" s="103"/>
      <c r="QFG9" s="103"/>
      <c r="QFH9" s="103"/>
      <c r="QFI9" s="103"/>
      <c r="QFJ9" s="103"/>
      <c r="QFK9" s="103"/>
      <c r="QFL9" s="103"/>
      <c r="QFM9" s="103"/>
      <c r="QFN9" s="103"/>
      <c r="QFO9" s="103"/>
      <c r="QFP9" s="103"/>
      <c r="QFQ9" s="103"/>
      <c r="QFR9" s="103"/>
      <c r="QFS9" s="103"/>
      <c r="QFT9" s="103"/>
      <c r="QFU9" s="103"/>
      <c r="QFV9" s="103"/>
      <c r="QFW9" s="103"/>
      <c r="QFX9" s="103"/>
      <c r="QFY9" s="103"/>
      <c r="QFZ9" s="103"/>
      <c r="QGA9" s="103"/>
      <c r="QGB9" s="103"/>
      <c r="QGC9" s="103"/>
      <c r="QGD9" s="103"/>
      <c r="QGE9" s="103"/>
      <c r="QGF9" s="103"/>
      <c r="QGG9" s="103"/>
      <c r="QGH9" s="103"/>
      <c r="QGI9" s="103"/>
      <c r="QGJ9" s="103"/>
      <c r="QGK9" s="103"/>
      <c r="QGL9" s="103"/>
      <c r="QGM9" s="103"/>
      <c r="QGN9" s="103"/>
      <c r="QGO9" s="103"/>
      <c r="QGP9" s="103"/>
      <c r="QGQ9" s="103"/>
      <c r="QGR9" s="103"/>
      <c r="QGS9" s="103"/>
      <c r="QGT9" s="103"/>
      <c r="QGU9" s="103"/>
      <c r="QGV9" s="103"/>
      <c r="QGW9" s="103"/>
      <c r="QGX9" s="103"/>
      <c r="QGY9" s="103"/>
      <c r="QGZ9" s="103"/>
      <c r="QHA9" s="103"/>
      <c r="QHB9" s="103"/>
      <c r="QHC9" s="103"/>
      <c r="QHD9" s="103"/>
      <c r="QHE9" s="103"/>
      <c r="QHF9" s="103"/>
      <c r="QHG9" s="103"/>
      <c r="QHH9" s="103"/>
      <c r="QHI9" s="103"/>
      <c r="QHJ9" s="103"/>
      <c r="QHK9" s="103"/>
      <c r="QHL9" s="103"/>
      <c r="QHM9" s="103"/>
      <c r="QHN9" s="103"/>
      <c r="QHO9" s="103"/>
      <c r="QHP9" s="103"/>
      <c r="QHQ9" s="103"/>
      <c r="QHR9" s="103"/>
      <c r="QHS9" s="103"/>
      <c r="QHT9" s="103"/>
      <c r="QHU9" s="103"/>
      <c r="QHV9" s="103"/>
      <c r="QHW9" s="103"/>
      <c r="QHX9" s="103"/>
      <c r="QHY9" s="103"/>
      <c r="QHZ9" s="103"/>
      <c r="QIA9" s="103"/>
      <c r="QIB9" s="103"/>
      <c r="QIC9" s="103"/>
      <c r="QID9" s="103"/>
      <c r="QIE9" s="103"/>
      <c r="QIF9" s="103"/>
      <c r="QIG9" s="103"/>
      <c r="QIH9" s="103"/>
      <c r="QII9" s="103"/>
      <c r="QIJ9" s="103"/>
      <c r="QIK9" s="103"/>
      <c r="QIL9" s="103"/>
      <c r="QIM9" s="103"/>
      <c r="QIN9" s="103"/>
      <c r="QIO9" s="103"/>
      <c r="QIP9" s="103"/>
      <c r="QIQ9" s="103"/>
      <c r="QIR9" s="103"/>
      <c r="QIS9" s="103"/>
      <c r="QIT9" s="103"/>
      <c r="QIU9" s="103"/>
      <c r="QIV9" s="103"/>
      <c r="QIW9" s="103"/>
      <c r="QIX9" s="103"/>
      <c r="QIY9" s="103"/>
      <c r="QIZ9" s="103"/>
      <c r="QJA9" s="103"/>
      <c r="QJB9" s="103"/>
      <c r="QJC9" s="103"/>
      <c r="QJD9" s="103"/>
      <c r="QJE9" s="103"/>
      <c r="QJF9" s="103"/>
      <c r="QJG9" s="103"/>
      <c r="QJH9" s="103"/>
      <c r="QJI9" s="103"/>
      <c r="QJJ9" s="103"/>
      <c r="QJK9" s="103"/>
      <c r="QJL9" s="103"/>
      <c r="QJM9" s="103"/>
      <c r="QJN9" s="103"/>
      <c r="QJO9" s="103"/>
      <c r="QJP9" s="103"/>
      <c r="QJQ9" s="103"/>
      <c r="QJR9" s="103"/>
      <c r="QJS9" s="103"/>
      <c r="QJT9" s="103"/>
      <c r="QJU9" s="103"/>
      <c r="QJV9" s="103"/>
      <c r="QJW9" s="103"/>
      <c r="QJX9" s="103"/>
      <c r="QJY9" s="103"/>
      <c r="QJZ9" s="103"/>
      <c r="QKA9" s="103"/>
      <c r="QKB9" s="103"/>
      <c r="QKC9" s="103"/>
      <c r="QKD9" s="103"/>
      <c r="QKE9" s="103"/>
      <c r="QKF9" s="103"/>
      <c r="QKG9" s="103"/>
      <c r="QKH9" s="103"/>
      <c r="QKI9" s="103"/>
      <c r="QKJ9" s="103"/>
      <c r="QKK9" s="103"/>
      <c r="QKL9" s="103"/>
      <c r="QKM9" s="103"/>
      <c r="QKN9" s="103"/>
      <c r="QKO9" s="103"/>
      <c r="QKP9" s="103"/>
      <c r="QKQ9" s="103"/>
      <c r="QKR9" s="103"/>
      <c r="QKS9" s="103"/>
      <c r="QKT9" s="103"/>
      <c r="QKU9" s="103"/>
      <c r="QKV9" s="103"/>
      <c r="QKW9" s="103"/>
      <c r="QKX9" s="103"/>
      <c r="QKY9" s="103"/>
      <c r="QKZ9" s="103"/>
      <c r="QLA9" s="103"/>
      <c r="QLB9" s="103"/>
      <c r="QLC9" s="103"/>
      <c r="QLD9" s="103"/>
      <c r="QLE9" s="103"/>
      <c r="QLF9" s="103"/>
      <c r="QLG9" s="103"/>
      <c r="QLH9" s="103"/>
      <c r="QLI9" s="103"/>
      <c r="QLJ9" s="103"/>
      <c r="QLK9" s="103"/>
      <c r="QLL9" s="103"/>
      <c r="QLM9" s="103"/>
      <c r="QLN9" s="103"/>
      <c r="QLO9" s="103"/>
      <c r="QLP9" s="103"/>
      <c r="QLQ9" s="103"/>
      <c r="QLR9" s="103"/>
      <c r="QLS9" s="103"/>
      <c r="QLT9" s="103"/>
      <c r="QLU9" s="103"/>
      <c r="QLV9" s="103"/>
      <c r="QLW9" s="103"/>
      <c r="QLX9" s="103"/>
      <c r="QLY9" s="103"/>
      <c r="QLZ9" s="103"/>
      <c r="QMA9" s="103"/>
      <c r="QMB9" s="103"/>
      <c r="QMC9" s="103"/>
      <c r="QMD9" s="103"/>
      <c r="QME9" s="103"/>
      <c r="QMF9" s="103"/>
      <c r="QMG9" s="103"/>
      <c r="QMH9" s="103"/>
      <c r="QMI9" s="103"/>
      <c r="QMJ9" s="103"/>
      <c r="QMK9" s="103"/>
      <c r="QML9" s="103"/>
      <c r="QMM9" s="103"/>
      <c r="QMN9" s="103"/>
      <c r="QMO9" s="103"/>
      <c r="QMP9" s="103"/>
      <c r="QMQ9" s="103"/>
      <c r="QMR9" s="103"/>
      <c r="QMS9" s="103"/>
      <c r="QMT9" s="103"/>
      <c r="QMU9" s="103"/>
      <c r="QMV9" s="103"/>
      <c r="QMW9" s="103"/>
      <c r="QMX9" s="103"/>
      <c r="QMY9" s="103"/>
      <c r="QMZ9" s="103"/>
      <c r="QNA9" s="103"/>
      <c r="QNB9" s="103"/>
      <c r="QNC9" s="103"/>
      <c r="QND9" s="103"/>
      <c r="QNE9" s="103"/>
      <c r="QNF9" s="103"/>
      <c r="QNG9" s="103"/>
      <c r="QNH9" s="103"/>
      <c r="QNI9" s="103"/>
      <c r="QNJ9" s="103"/>
      <c r="QNK9" s="103"/>
      <c r="QNL9" s="103"/>
      <c r="QNM9" s="103"/>
      <c r="QNN9" s="103"/>
      <c r="QNO9" s="103"/>
      <c r="QNP9" s="103"/>
      <c r="QNQ9" s="103"/>
      <c r="QNR9" s="103"/>
      <c r="QNS9" s="103"/>
      <c r="QNT9" s="103"/>
      <c r="QNU9" s="103"/>
      <c r="QNV9" s="103"/>
      <c r="QNW9" s="103"/>
      <c r="QNX9" s="103"/>
      <c r="QNY9" s="103"/>
      <c r="QNZ9" s="103"/>
      <c r="QOA9" s="103"/>
      <c r="QOB9" s="103"/>
      <c r="QOC9" s="103"/>
      <c r="QOD9" s="103"/>
      <c r="QOE9" s="103"/>
      <c r="QOF9" s="103"/>
      <c r="QOG9" s="103"/>
      <c r="QOH9" s="103"/>
      <c r="QOI9" s="103"/>
      <c r="QOJ9" s="103"/>
      <c r="QOK9" s="103"/>
      <c r="QOL9" s="103"/>
      <c r="QOM9" s="103"/>
      <c r="QON9" s="103"/>
      <c r="QOO9" s="103"/>
      <c r="QOP9" s="103"/>
      <c r="QOQ9" s="103"/>
      <c r="QOR9" s="103"/>
      <c r="QOS9" s="103"/>
      <c r="QOT9" s="103"/>
      <c r="QOU9" s="103"/>
      <c r="QOV9" s="103"/>
      <c r="QOW9" s="103"/>
      <c r="QOX9" s="103"/>
      <c r="QOY9" s="103"/>
      <c r="QOZ9" s="103"/>
      <c r="QPA9" s="103"/>
      <c r="QPB9" s="103"/>
      <c r="QPC9" s="103"/>
      <c r="QPD9" s="103"/>
      <c r="QPE9" s="103"/>
      <c r="QPF9" s="103"/>
      <c r="QPG9" s="103"/>
      <c r="QPH9" s="103"/>
      <c r="QPI9" s="103"/>
      <c r="QPJ9" s="103"/>
      <c r="QPK9" s="103"/>
      <c r="QPL9" s="103"/>
      <c r="QPM9" s="103"/>
      <c r="QPN9" s="103"/>
      <c r="QPO9" s="103"/>
      <c r="QPP9" s="103"/>
      <c r="QPQ9" s="103"/>
      <c r="QPR9" s="103"/>
      <c r="QPS9" s="103"/>
      <c r="QPT9" s="103"/>
      <c r="QPU9" s="103"/>
      <c r="QPV9" s="103"/>
      <c r="QPW9" s="103"/>
      <c r="QPX9" s="103"/>
      <c r="QPY9" s="103"/>
      <c r="QPZ9" s="103"/>
      <c r="QQA9" s="103"/>
      <c r="QQB9" s="103"/>
      <c r="QQC9" s="103"/>
      <c r="QQD9" s="103"/>
      <c r="QQE9" s="103"/>
      <c r="QQF9" s="103"/>
      <c r="QQG9" s="103"/>
      <c r="QQH9" s="103"/>
      <c r="QQI9" s="103"/>
      <c r="QQJ9" s="103"/>
      <c r="QQK9" s="103"/>
      <c r="QQL9" s="103"/>
      <c r="QQM9" s="103"/>
      <c r="QQN9" s="103"/>
      <c r="QQO9" s="103"/>
      <c r="QQP9" s="103"/>
      <c r="QQQ9" s="103"/>
      <c r="QQR9" s="103"/>
      <c r="QQS9" s="103"/>
      <c r="QQT9" s="103"/>
      <c r="QQU9" s="103"/>
      <c r="QQV9" s="103"/>
      <c r="QQW9" s="103"/>
      <c r="QQX9" s="103"/>
      <c r="QQY9" s="103"/>
      <c r="QQZ9" s="103"/>
      <c r="QRA9" s="103"/>
      <c r="QRB9" s="103"/>
      <c r="QRC9" s="103"/>
      <c r="QRD9" s="103"/>
      <c r="QRE9" s="103"/>
      <c r="QRF9" s="103"/>
      <c r="QRG9" s="103"/>
      <c r="QRH9" s="103"/>
      <c r="QRI9" s="103"/>
      <c r="QRJ9" s="103"/>
      <c r="QRK9" s="103"/>
      <c r="QRL9" s="103"/>
      <c r="QRM9" s="103"/>
      <c r="QRN9" s="103"/>
      <c r="QRO9" s="103"/>
      <c r="QRP9" s="103"/>
      <c r="QRQ9" s="103"/>
      <c r="QRR9" s="103"/>
      <c r="QRS9" s="103"/>
      <c r="QRT9" s="103"/>
      <c r="QRU9" s="103"/>
      <c r="QRV9" s="103"/>
      <c r="QRW9" s="103"/>
      <c r="QRX9" s="103"/>
      <c r="QRY9" s="103"/>
      <c r="QRZ9" s="103"/>
      <c r="QSA9" s="103"/>
      <c r="QSB9" s="103"/>
      <c r="QSC9" s="103"/>
      <c r="QSD9" s="103"/>
      <c r="QSE9" s="103"/>
      <c r="QSF9" s="103"/>
      <c r="QSG9" s="103"/>
      <c r="QSH9" s="103"/>
      <c r="QSI9" s="103"/>
      <c r="QSJ9" s="103"/>
      <c r="QSK9" s="103"/>
      <c r="QSL9" s="103"/>
      <c r="QSM9" s="103"/>
      <c r="QSN9" s="103"/>
      <c r="QSO9" s="103"/>
      <c r="QSP9" s="103"/>
      <c r="QSQ9" s="103"/>
      <c r="QSR9" s="103"/>
      <c r="QSS9" s="103"/>
      <c r="QST9" s="103"/>
      <c r="QSU9" s="103"/>
      <c r="QSV9" s="103"/>
      <c r="QSW9" s="103"/>
      <c r="QSX9" s="103"/>
      <c r="QSY9" s="103"/>
      <c r="QSZ9" s="103"/>
      <c r="QTA9" s="103"/>
      <c r="QTB9" s="103"/>
      <c r="QTC9" s="103"/>
      <c r="QTD9" s="103"/>
      <c r="QTE9" s="103"/>
      <c r="QTF9" s="103"/>
      <c r="QTG9" s="103"/>
      <c r="QTH9" s="103"/>
      <c r="QTI9" s="103"/>
      <c r="QTJ9" s="103"/>
      <c r="QTK9" s="103"/>
      <c r="QTL9" s="103"/>
      <c r="QTM9" s="103"/>
      <c r="QTN9" s="103"/>
      <c r="QTO9" s="103"/>
      <c r="QTP9" s="103"/>
      <c r="QTQ9" s="103"/>
      <c r="QTR9" s="103"/>
      <c r="QTS9" s="103"/>
      <c r="QTT9" s="103"/>
      <c r="QTU9" s="103"/>
      <c r="QTV9" s="103"/>
      <c r="QTW9" s="103"/>
      <c r="QTX9" s="103"/>
      <c r="QTY9" s="103"/>
      <c r="QTZ9" s="103"/>
      <c r="QUA9" s="103"/>
      <c r="QUB9" s="103"/>
      <c r="QUC9" s="103"/>
      <c r="QUD9" s="103"/>
      <c r="QUE9" s="103"/>
      <c r="QUF9" s="103"/>
      <c r="QUG9" s="103"/>
      <c r="QUH9" s="103"/>
      <c r="QUI9" s="103"/>
      <c r="QUJ9" s="103"/>
      <c r="QUK9" s="103"/>
      <c r="QUL9" s="103"/>
      <c r="QUM9" s="103"/>
      <c r="QUN9" s="103"/>
      <c r="QUO9" s="103"/>
      <c r="QUP9" s="103"/>
      <c r="QUQ9" s="103"/>
      <c r="QUR9" s="103"/>
      <c r="QUS9" s="103"/>
      <c r="QUT9" s="103"/>
      <c r="QUU9" s="103"/>
      <c r="QUV9" s="103"/>
      <c r="QUW9" s="103"/>
      <c r="QUX9" s="103"/>
      <c r="QUY9" s="103"/>
      <c r="QUZ9" s="103"/>
      <c r="QVA9" s="103"/>
      <c r="QVB9" s="103"/>
      <c r="QVC9" s="103"/>
      <c r="QVD9" s="103"/>
      <c r="QVE9" s="103"/>
      <c r="QVF9" s="103"/>
      <c r="QVG9" s="103"/>
      <c r="QVH9" s="103"/>
      <c r="QVI9" s="103"/>
      <c r="QVJ9" s="103"/>
      <c r="QVK9" s="103"/>
      <c r="QVL9" s="103"/>
      <c r="QVM9" s="103"/>
      <c r="QVN9" s="103"/>
      <c r="QVO9" s="103"/>
      <c r="QVP9" s="103"/>
      <c r="QVQ9" s="103"/>
      <c r="QVR9" s="103"/>
      <c r="QVS9" s="103"/>
      <c r="QVT9" s="103"/>
      <c r="QVU9" s="103"/>
      <c r="QVV9" s="103"/>
      <c r="QVW9" s="103"/>
      <c r="QVX9" s="103"/>
      <c r="QVY9" s="103"/>
      <c r="QVZ9" s="103"/>
      <c r="QWA9" s="103"/>
      <c r="QWB9" s="103"/>
      <c r="QWC9" s="103"/>
      <c r="QWD9" s="103"/>
      <c r="QWE9" s="103"/>
      <c r="QWF9" s="103"/>
      <c r="QWG9" s="103"/>
      <c r="QWH9" s="103"/>
      <c r="QWI9" s="103"/>
      <c r="QWJ9" s="103"/>
      <c r="QWK9" s="103"/>
      <c r="QWL9" s="103"/>
      <c r="QWM9" s="103"/>
      <c r="QWN9" s="103"/>
      <c r="QWO9" s="103"/>
      <c r="QWP9" s="103"/>
      <c r="QWQ9" s="103"/>
      <c r="QWR9" s="103"/>
      <c r="QWS9" s="103"/>
      <c r="QWT9" s="103"/>
      <c r="QWU9" s="103"/>
      <c r="QWV9" s="103"/>
      <c r="QWW9" s="103"/>
      <c r="QWX9" s="103"/>
      <c r="QWY9" s="103"/>
      <c r="QWZ9" s="103"/>
      <c r="QXA9" s="103"/>
      <c r="QXB9" s="103"/>
      <c r="QXC9" s="103"/>
      <c r="QXD9" s="103"/>
      <c r="QXE9" s="103"/>
      <c r="QXF9" s="103"/>
      <c r="QXG9" s="103"/>
      <c r="QXH9" s="103"/>
      <c r="QXI9" s="103"/>
      <c r="QXJ9" s="103"/>
      <c r="QXK9" s="103"/>
      <c r="QXL9" s="103"/>
      <c r="QXM9" s="103"/>
      <c r="QXN9" s="103"/>
      <c r="QXO9" s="103"/>
      <c r="QXP9" s="103"/>
      <c r="QXQ9" s="103"/>
      <c r="QXR9" s="103"/>
      <c r="QXS9" s="103"/>
      <c r="QXT9" s="103"/>
      <c r="QXU9" s="103"/>
      <c r="QXV9" s="103"/>
      <c r="QXW9" s="103"/>
      <c r="QXX9" s="103"/>
      <c r="QXY9" s="103"/>
      <c r="QXZ9" s="103"/>
      <c r="QYA9" s="103"/>
      <c r="QYB9" s="103"/>
      <c r="QYC9" s="103"/>
      <c r="QYD9" s="103"/>
      <c r="QYE9" s="103"/>
      <c r="QYF9" s="103"/>
      <c r="QYG9" s="103"/>
      <c r="QYH9" s="103"/>
      <c r="QYI9" s="103"/>
      <c r="QYJ9" s="103"/>
      <c r="QYK9" s="103"/>
      <c r="QYL9" s="103"/>
      <c r="QYM9" s="103"/>
      <c r="QYN9" s="103"/>
      <c r="QYO9" s="103"/>
      <c r="QYP9" s="103"/>
      <c r="QYQ9" s="103"/>
      <c r="QYR9" s="103"/>
      <c r="QYS9" s="103"/>
      <c r="QYT9" s="103"/>
      <c r="QYU9" s="103"/>
      <c r="QYV9" s="103"/>
      <c r="QYW9" s="103"/>
      <c r="QYX9" s="103"/>
      <c r="QYY9" s="103"/>
      <c r="QYZ9" s="103"/>
      <c r="QZA9" s="103"/>
      <c r="QZB9" s="103"/>
      <c r="QZC9" s="103"/>
      <c r="QZD9" s="103"/>
      <c r="QZE9" s="103"/>
      <c r="QZF9" s="103"/>
      <c r="QZG9" s="103"/>
      <c r="QZH9" s="103"/>
      <c r="QZI9" s="103"/>
      <c r="QZJ9" s="103"/>
      <c r="QZK9" s="103"/>
      <c r="QZL9" s="103"/>
      <c r="QZM9" s="103"/>
      <c r="QZN9" s="103"/>
      <c r="QZO9" s="103"/>
      <c r="QZP9" s="103"/>
      <c r="QZQ9" s="103"/>
      <c r="QZR9" s="103"/>
      <c r="QZS9" s="103"/>
      <c r="QZT9" s="103"/>
      <c r="QZU9" s="103"/>
      <c r="QZV9" s="103"/>
      <c r="QZW9" s="103"/>
      <c r="QZX9" s="103"/>
      <c r="QZY9" s="103"/>
      <c r="QZZ9" s="103"/>
      <c r="RAA9" s="103"/>
      <c r="RAB9" s="103"/>
      <c r="RAC9" s="103"/>
      <c r="RAD9" s="103"/>
      <c r="RAE9" s="103"/>
      <c r="RAF9" s="103"/>
      <c r="RAG9" s="103"/>
      <c r="RAH9" s="103"/>
      <c r="RAI9" s="103"/>
      <c r="RAJ9" s="103"/>
      <c r="RAK9" s="103"/>
      <c r="RAL9" s="103"/>
      <c r="RAM9" s="103"/>
      <c r="RAN9" s="103"/>
      <c r="RAO9" s="103"/>
      <c r="RAP9" s="103"/>
      <c r="RAQ9" s="103"/>
      <c r="RAR9" s="103"/>
      <c r="RAS9" s="103"/>
      <c r="RAT9" s="103"/>
      <c r="RAU9" s="103"/>
      <c r="RAV9" s="103"/>
      <c r="RAW9" s="103"/>
      <c r="RAX9" s="103"/>
      <c r="RAY9" s="103"/>
      <c r="RAZ9" s="103"/>
      <c r="RBA9" s="103"/>
      <c r="RBB9" s="103"/>
      <c r="RBC9" s="103"/>
      <c r="RBD9" s="103"/>
      <c r="RBE9" s="103"/>
      <c r="RBF9" s="103"/>
      <c r="RBG9" s="103"/>
      <c r="RBH9" s="103"/>
      <c r="RBI9" s="103"/>
      <c r="RBJ9" s="103"/>
      <c r="RBK9" s="103"/>
      <c r="RBL9" s="103"/>
      <c r="RBM9" s="103"/>
      <c r="RBN9" s="103"/>
      <c r="RBO9" s="103"/>
      <c r="RBP9" s="103"/>
      <c r="RBQ9" s="103"/>
      <c r="RBR9" s="103"/>
      <c r="RBS9" s="103"/>
      <c r="RBT9" s="103"/>
      <c r="RBU9" s="103"/>
      <c r="RBV9" s="103"/>
      <c r="RBW9" s="103"/>
      <c r="RBX9" s="103"/>
      <c r="RBY9" s="103"/>
      <c r="RBZ9" s="103"/>
      <c r="RCA9" s="103"/>
      <c r="RCB9" s="103"/>
      <c r="RCC9" s="103"/>
      <c r="RCD9" s="103"/>
      <c r="RCE9" s="103"/>
      <c r="RCF9" s="103"/>
      <c r="RCG9" s="103"/>
      <c r="RCH9" s="103"/>
      <c r="RCI9" s="103"/>
      <c r="RCJ9" s="103"/>
      <c r="RCK9" s="103"/>
      <c r="RCL9" s="103"/>
      <c r="RCM9" s="103"/>
      <c r="RCN9" s="103"/>
      <c r="RCO9" s="103"/>
      <c r="RCP9" s="103"/>
      <c r="RCQ9" s="103"/>
      <c r="RCR9" s="103"/>
      <c r="RCS9" s="103"/>
      <c r="RCT9" s="103"/>
      <c r="RCU9" s="103"/>
      <c r="RCV9" s="103"/>
      <c r="RCW9" s="103"/>
      <c r="RCX9" s="103"/>
      <c r="RCY9" s="103"/>
      <c r="RCZ9" s="103"/>
      <c r="RDA9" s="103"/>
      <c r="RDB9" s="103"/>
      <c r="RDC9" s="103"/>
      <c r="RDD9" s="103"/>
      <c r="RDE9" s="103"/>
      <c r="RDF9" s="103"/>
      <c r="RDG9" s="103"/>
      <c r="RDH9" s="103"/>
      <c r="RDI9" s="103"/>
      <c r="RDJ9" s="103"/>
      <c r="RDK9" s="103"/>
      <c r="RDL9" s="103"/>
      <c r="RDM9" s="103"/>
      <c r="RDN9" s="103"/>
      <c r="RDO9" s="103"/>
      <c r="RDP9" s="103"/>
      <c r="RDQ9" s="103"/>
      <c r="RDR9" s="103"/>
      <c r="RDS9" s="103"/>
      <c r="RDT9" s="103"/>
      <c r="RDU9" s="103"/>
      <c r="RDV9" s="103"/>
      <c r="RDW9" s="103"/>
      <c r="RDX9" s="103"/>
      <c r="RDY9" s="103"/>
      <c r="RDZ9" s="103"/>
      <c r="REA9" s="103"/>
      <c r="REB9" s="103"/>
      <c r="REC9" s="103"/>
      <c r="RED9" s="103"/>
      <c r="REE9" s="103"/>
      <c r="REF9" s="103"/>
      <c r="REG9" s="103"/>
      <c r="REH9" s="103"/>
      <c r="REI9" s="103"/>
      <c r="REJ9" s="103"/>
      <c r="REK9" s="103"/>
      <c r="REL9" s="103"/>
      <c r="REM9" s="103"/>
      <c r="REN9" s="103"/>
      <c r="REO9" s="103"/>
      <c r="REP9" s="103"/>
      <c r="REQ9" s="103"/>
      <c r="RER9" s="103"/>
      <c r="RES9" s="103"/>
      <c r="RET9" s="103"/>
      <c r="REU9" s="103"/>
      <c r="REV9" s="103"/>
      <c r="REW9" s="103"/>
      <c r="REX9" s="103"/>
      <c r="REY9" s="103"/>
      <c r="REZ9" s="103"/>
      <c r="RFA9" s="103"/>
      <c r="RFB9" s="103"/>
      <c r="RFC9" s="103"/>
      <c r="RFD9" s="103"/>
      <c r="RFE9" s="103"/>
      <c r="RFF9" s="103"/>
      <c r="RFG9" s="103"/>
      <c r="RFH9" s="103"/>
      <c r="RFI9" s="103"/>
      <c r="RFJ9" s="103"/>
      <c r="RFK9" s="103"/>
      <c r="RFL9" s="103"/>
      <c r="RFM9" s="103"/>
      <c r="RFN9" s="103"/>
      <c r="RFO9" s="103"/>
      <c r="RFP9" s="103"/>
      <c r="RFQ9" s="103"/>
      <c r="RFR9" s="103"/>
      <c r="RFS9" s="103"/>
      <c r="RFT9" s="103"/>
      <c r="RFU9" s="103"/>
      <c r="RFV9" s="103"/>
      <c r="RFW9" s="103"/>
      <c r="RFX9" s="103"/>
      <c r="RFY9" s="103"/>
      <c r="RFZ9" s="103"/>
      <c r="RGA9" s="103"/>
      <c r="RGB9" s="103"/>
      <c r="RGC9" s="103"/>
      <c r="RGD9" s="103"/>
      <c r="RGE9" s="103"/>
      <c r="RGF9" s="103"/>
      <c r="RGG9" s="103"/>
      <c r="RGH9" s="103"/>
      <c r="RGI9" s="103"/>
      <c r="RGJ9" s="103"/>
      <c r="RGK9" s="103"/>
      <c r="RGL9" s="103"/>
      <c r="RGM9" s="103"/>
      <c r="RGN9" s="103"/>
      <c r="RGO9" s="103"/>
      <c r="RGP9" s="103"/>
      <c r="RGQ9" s="103"/>
      <c r="RGR9" s="103"/>
      <c r="RGS9" s="103"/>
      <c r="RGT9" s="103"/>
      <c r="RGU9" s="103"/>
      <c r="RGV9" s="103"/>
      <c r="RGW9" s="103"/>
      <c r="RGX9" s="103"/>
      <c r="RGY9" s="103"/>
      <c r="RGZ9" s="103"/>
      <c r="RHA9" s="103"/>
      <c r="RHB9" s="103"/>
      <c r="RHC9" s="103"/>
      <c r="RHD9" s="103"/>
      <c r="RHE9" s="103"/>
      <c r="RHF9" s="103"/>
      <c r="RHG9" s="103"/>
      <c r="RHH9" s="103"/>
      <c r="RHI9" s="103"/>
      <c r="RHJ9" s="103"/>
      <c r="RHK9" s="103"/>
      <c r="RHL9" s="103"/>
      <c r="RHM9" s="103"/>
      <c r="RHN9" s="103"/>
      <c r="RHO9" s="103"/>
      <c r="RHP9" s="103"/>
      <c r="RHQ9" s="103"/>
      <c r="RHR9" s="103"/>
      <c r="RHS9" s="103"/>
      <c r="RHT9" s="103"/>
      <c r="RHU9" s="103"/>
      <c r="RHV9" s="103"/>
      <c r="RHW9" s="103"/>
      <c r="RHX9" s="103"/>
      <c r="RHY9" s="103"/>
      <c r="RHZ9" s="103"/>
      <c r="RIA9" s="103"/>
      <c r="RIB9" s="103"/>
      <c r="RIC9" s="103"/>
      <c r="RID9" s="103"/>
      <c r="RIE9" s="103"/>
      <c r="RIF9" s="103"/>
      <c r="RIG9" s="103"/>
      <c r="RIH9" s="103"/>
      <c r="RII9" s="103"/>
      <c r="RIJ9" s="103"/>
      <c r="RIK9" s="103"/>
      <c r="RIL9" s="103"/>
      <c r="RIM9" s="103"/>
      <c r="RIN9" s="103"/>
      <c r="RIO9" s="103"/>
      <c r="RIP9" s="103"/>
      <c r="RIQ9" s="103"/>
      <c r="RIR9" s="103"/>
      <c r="RIS9" s="103"/>
      <c r="RIT9" s="103"/>
      <c r="RIU9" s="103"/>
      <c r="RIV9" s="103"/>
      <c r="RIW9" s="103"/>
      <c r="RIX9" s="103"/>
      <c r="RIY9" s="103"/>
      <c r="RIZ9" s="103"/>
      <c r="RJA9" s="103"/>
      <c r="RJB9" s="103"/>
      <c r="RJC9" s="103"/>
      <c r="RJD9" s="103"/>
      <c r="RJE9" s="103"/>
      <c r="RJF9" s="103"/>
      <c r="RJG9" s="103"/>
      <c r="RJH9" s="103"/>
      <c r="RJI9" s="103"/>
      <c r="RJJ9" s="103"/>
      <c r="RJK9" s="103"/>
      <c r="RJL9" s="103"/>
      <c r="RJM9" s="103"/>
      <c r="RJN9" s="103"/>
      <c r="RJO9" s="103"/>
      <c r="RJP9" s="103"/>
      <c r="RJQ9" s="103"/>
      <c r="RJR9" s="103"/>
      <c r="RJS9" s="103"/>
      <c r="RJT9" s="103"/>
      <c r="RJU9" s="103"/>
      <c r="RJV9" s="103"/>
      <c r="RJW9" s="103"/>
      <c r="RJX9" s="103"/>
      <c r="RJY9" s="103"/>
      <c r="RJZ9" s="103"/>
      <c r="RKA9" s="103"/>
      <c r="RKB9" s="103"/>
      <c r="RKC9" s="103"/>
      <c r="RKD9" s="103"/>
      <c r="RKE9" s="103"/>
      <c r="RKF9" s="103"/>
      <c r="RKG9" s="103"/>
      <c r="RKH9" s="103"/>
      <c r="RKI9" s="103"/>
      <c r="RKJ9" s="103"/>
      <c r="RKK9" s="103"/>
      <c r="RKL9" s="103"/>
      <c r="RKM9" s="103"/>
      <c r="RKN9" s="103"/>
      <c r="RKO9" s="103"/>
      <c r="RKP9" s="103"/>
      <c r="RKQ9" s="103"/>
      <c r="RKR9" s="103"/>
      <c r="RKS9" s="103"/>
      <c r="RKT9" s="103"/>
      <c r="RKU9" s="103"/>
      <c r="RKV9" s="103"/>
      <c r="RKW9" s="103"/>
      <c r="RKX9" s="103"/>
      <c r="RKY9" s="103"/>
      <c r="RKZ9" s="103"/>
      <c r="RLA9" s="103"/>
      <c r="RLB9" s="103"/>
      <c r="RLC9" s="103"/>
      <c r="RLD9" s="103"/>
      <c r="RLE9" s="103"/>
      <c r="RLF9" s="103"/>
      <c r="RLG9" s="103"/>
      <c r="RLH9" s="103"/>
      <c r="RLI9" s="103"/>
      <c r="RLJ9" s="103"/>
      <c r="RLK9" s="103"/>
      <c r="RLL9" s="103"/>
      <c r="RLM9" s="103"/>
      <c r="RLN9" s="103"/>
      <c r="RLO9" s="103"/>
      <c r="RLP9" s="103"/>
      <c r="RLQ9" s="103"/>
      <c r="RLR9" s="103"/>
      <c r="RLS9" s="103"/>
      <c r="RLT9" s="103"/>
      <c r="RLU9" s="103"/>
      <c r="RLV9" s="103"/>
      <c r="RLW9" s="103"/>
      <c r="RLX9" s="103"/>
      <c r="RLY9" s="103"/>
      <c r="RLZ9" s="103"/>
      <c r="RMA9" s="103"/>
      <c r="RMB9" s="103"/>
      <c r="RMC9" s="103"/>
      <c r="RMD9" s="103"/>
      <c r="RME9" s="103"/>
      <c r="RMF9" s="103"/>
      <c r="RMG9" s="103"/>
      <c r="RMH9" s="103"/>
      <c r="RMI9" s="103"/>
      <c r="RMJ9" s="103"/>
      <c r="RMK9" s="103"/>
      <c r="RML9" s="103"/>
      <c r="RMM9" s="103"/>
      <c r="RMN9" s="103"/>
      <c r="RMO9" s="103"/>
      <c r="RMP9" s="103"/>
      <c r="RMQ9" s="103"/>
      <c r="RMR9" s="103"/>
      <c r="RMS9" s="103"/>
      <c r="RMT9" s="103"/>
      <c r="RMU9" s="103"/>
      <c r="RMV9" s="103"/>
      <c r="RMW9" s="103"/>
      <c r="RMX9" s="103"/>
      <c r="RMY9" s="103"/>
      <c r="RMZ9" s="103"/>
      <c r="RNA9" s="103"/>
      <c r="RNB9" s="103"/>
      <c r="RNC9" s="103"/>
      <c r="RND9" s="103"/>
      <c r="RNE9" s="103"/>
      <c r="RNF9" s="103"/>
      <c r="RNG9" s="103"/>
      <c r="RNH9" s="103"/>
      <c r="RNI9" s="103"/>
      <c r="RNJ9" s="103"/>
      <c r="RNK9" s="103"/>
      <c r="RNL9" s="103"/>
      <c r="RNM9" s="103"/>
      <c r="RNN9" s="103"/>
      <c r="RNO9" s="103"/>
      <c r="RNP9" s="103"/>
      <c r="RNQ9" s="103"/>
      <c r="RNR9" s="103"/>
      <c r="RNS9" s="103"/>
      <c r="RNT9" s="103"/>
      <c r="RNU9" s="103"/>
      <c r="RNV9" s="103"/>
      <c r="RNW9" s="103"/>
      <c r="RNX9" s="103"/>
      <c r="RNY9" s="103"/>
      <c r="RNZ9" s="103"/>
      <c r="ROA9" s="103"/>
      <c r="ROB9" s="103"/>
      <c r="ROC9" s="103"/>
      <c r="ROD9" s="103"/>
      <c r="ROE9" s="103"/>
      <c r="ROF9" s="103"/>
      <c r="ROG9" s="103"/>
      <c r="ROH9" s="103"/>
      <c r="ROI9" s="103"/>
      <c r="ROJ9" s="103"/>
      <c r="ROK9" s="103"/>
      <c r="ROL9" s="103"/>
      <c r="ROM9" s="103"/>
      <c r="RON9" s="103"/>
      <c r="ROO9" s="103"/>
      <c r="ROP9" s="103"/>
      <c r="ROQ9" s="103"/>
      <c r="ROR9" s="103"/>
      <c r="ROS9" s="103"/>
      <c r="ROT9" s="103"/>
      <c r="ROU9" s="103"/>
      <c r="ROV9" s="103"/>
      <c r="ROW9" s="103"/>
      <c r="ROX9" s="103"/>
      <c r="ROY9" s="103"/>
      <c r="ROZ9" s="103"/>
      <c r="RPA9" s="103"/>
      <c r="RPB9" s="103"/>
      <c r="RPC9" s="103"/>
      <c r="RPD9" s="103"/>
      <c r="RPE9" s="103"/>
      <c r="RPF9" s="103"/>
      <c r="RPG9" s="103"/>
      <c r="RPH9" s="103"/>
      <c r="RPI9" s="103"/>
      <c r="RPJ9" s="103"/>
      <c r="RPK9" s="103"/>
      <c r="RPL9" s="103"/>
      <c r="RPM9" s="103"/>
      <c r="RPN9" s="103"/>
      <c r="RPO9" s="103"/>
      <c r="RPP9" s="103"/>
      <c r="RPQ9" s="103"/>
      <c r="RPR9" s="103"/>
      <c r="RPS9" s="103"/>
      <c r="RPT9" s="103"/>
      <c r="RPU9" s="103"/>
      <c r="RPV9" s="103"/>
      <c r="RPW9" s="103"/>
      <c r="RPX9" s="103"/>
      <c r="RPY9" s="103"/>
      <c r="RPZ9" s="103"/>
      <c r="RQA9" s="103"/>
      <c r="RQB9" s="103"/>
      <c r="RQC9" s="103"/>
      <c r="RQD9" s="103"/>
      <c r="RQE9" s="103"/>
      <c r="RQF9" s="103"/>
      <c r="RQG9" s="103"/>
      <c r="RQH9" s="103"/>
      <c r="RQI9" s="103"/>
      <c r="RQJ9" s="103"/>
      <c r="RQK9" s="103"/>
      <c r="RQL9" s="103"/>
      <c r="RQM9" s="103"/>
      <c r="RQN9" s="103"/>
      <c r="RQO9" s="103"/>
      <c r="RQP9" s="103"/>
      <c r="RQQ9" s="103"/>
      <c r="RQR9" s="103"/>
      <c r="RQS9" s="103"/>
      <c r="RQT9" s="103"/>
      <c r="RQU9" s="103"/>
      <c r="RQV9" s="103"/>
      <c r="RQW9" s="103"/>
      <c r="RQX9" s="103"/>
      <c r="RQY9" s="103"/>
      <c r="RQZ9" s="103"/>
      <c r="RRA9" s="103"/>
      <c r="RRB9" s="103"/>
      <c r="RRC9" s="103"/>
      <c r="RRD9" s="103"/>
      <c r="RRE9" s="103"/>
      <c r="RRF9" s="103"/>
      <c r="RRG9" s="103"/>
      <c r="RRH9" s="103"/>
      <c r="RRI9" s="103"/>
      <c r="RRJ9" s="103"/>
      <c r="RRK9" s="103"/>
      <c r="RRL9" s="103"/>
      <c r="RRM9" s="103"/>
      <c r="RRN9" s="103"/>
      <c r="RRO9" s="103"/>
      <c r="RRP9" s="103"/>
      <c r="RRQ9" s="103"/>
      <c r="RRR9" s="103"/>
      <c r="RRS9" s="103"/>
      <c r="RRT9" s="103"/>
      <c r="RRU9" s="103"/>
      <c r="RRV9" s="103"/>
      <c r="RRW9" s="103"/>
      <c r="RRX9" s="103"/>
      <c r="RRY9" s="103"/>
      <c r="RRZ9" s="103"/>
      <c r="RSA9" s="103"/>
      <c r="RSB9" s="103"/>
      <c r="RSC9" s="103"/>
      <c r="RSD9" s="103"/>
      <c r="RSE9" s="103"/>
      <c r="RSF9" s="103"/>
      <c r="RSG9" s="103"/>
      <c r="RSH9" s="103"/>
      <c r="RSI9" s="103"/>
      <c r="RSJ9" s="103"/>
      <c r="RSK9" s="103"/>
      <c r="RSL9" s="103"/>
      <c r="RSM9" s="103"/>
      <c r="RSN9" s="103"/>
      <c r="RSO9" s="103"/>
      <c r="RSP9" s="103"/>
      <c r="RSQ9" s="103"/>
      <c r="RSR9" s="103"/>
      <c r="RSS9" s="103"/>
      <c r="RST9" s="103"/>
      <c r="RSU9" s="103"/>
      <c r="RSV9" s="103"/>
      <c r="RSW9" s="103"/>
      <c r="RSX9" s="103"/>
      <c r="RSY9" s="103"/>
      <c r="RSZ9" s="103"/>
      <c r="RTA9" s="103"/>
      <c r="RTB9" s="103"/>
      <c r="RTC9" s="103"/>
      <c r="RTD9" s="103"/>
      <c r="RTE9" s="103"/>
      <c r="RTF9" s="103"/>
      <c r="RTG9" s="103"/>
      <c r="RTH9" s="103"/>
      <c r="RTI9" s="103"/>
      <c r="RTJ9" s="103"/>
      <c r="RTK9" s="103"/>
      <c r="RTL9" s="103"/>
      <c r="RTM9" s="103"/>
      <c r="RTN9" s="103"/>
      <c r="RTO9" s="103"/>
      <c r="RTP9" s="103"/>
      <c r="RTQ9" s="103"/>
      <c r="RTR9" s="103"/>
      <c r="RTS9" s="103"/>
      <c r="RTT9" s="103"/>
      <c r="RTU9" s="103"/>
      <c r="RTV9" s="103"/>
      <c r="RTW9" s="103"/>
      <c r="RTX9" s="103"/>
      <c r="RTY9" s="103"/>
      <c r="RTZ9" s="103"/>
      <c r="RUA9" s="103"/>
      <c r="RUB9" s="103"/>
      <c r="RUC9" s="103"/>
      <c r="RUD9" s="103"/>
      <c r="RUE9" s="103"/>
      <c r="RUF9" s="103"/>
      <c r="RUG9" s="103"/>
      <c r="RUH9" s="103"/>
      <c r="RUI9" s="103"/>
      <c r="RUJ9" s="103"/>
      <c r="RUK9" s="103"/>
      <c r="RUL9" s="103"/>
      <c r="RUM9" s="103"/>
      <c r="RUN9" s="103"/>
      <c r="RUO9" s="103"/>
      <c r="RUP9" s="103"/>
      <c r="RUQ9" s="103"/>
      <c r="RUR9" s="103"/>
      <c r="RUS9" s="103"/>
      <c r="RUT9" s="103"/>
      <c r="RUU9" s="103"/>
      <c r="RUV9" s="103"/>
      <c r="RUW9" s="103"/>
      <c r="RUX9" s="103"/>
      <c r="RUY9" s="103"/>
      <c r="RUZ9" s="103"/>
      <c r="RVA9" s="103"/>
      <c r="RVB9" s="103"/>
      <c r="RVC9" s="103"/>
      <c r="RVD9" s="103"/>
      <c r="RVE9" s="103"/>
      <c r="RVF9" s="103"/>
      <c r="RVG9" s="103"/>
      <c r="RVH9" s="103"/>
      <c r="RVI9" s="103"/>
      <c r="RVJ9" s="103"/>
      <c r="RVK9" s="103"/>
      <c r="RVL9" s="103"/>
      <c r="RVM9" s="103"/>
      <c r="RVN9" s="103"/>
      <c r="RVO9" s="103"/>
      <c r="RVP9" s="103"/>
      <c r="RVQ9" s="103"/>
      <c r="RVR9" s="103"/>
      <c r="RVS9" s="103"/>
      <c r="RVT9" s="103"/>
      <c r="RVU9" s="103"/>
      <c r="RVV9" s="103"/>
      <c r="RVW9" s="103"/>
      <c r="RVX9" s="103"/>
      <c r="RVY9" s="103"/>
      <c r="RVZ9" s="103"/>
      <c r="RWA9" s="103"/>
      <c r="RWB9" s="103"/>
      <c r="RWC9" s="103"/>
      <c r="RWD9" s="103"/>
      <c r="RWE9" s="103"/>
      <c r="RWF9" s="103"/>
      <c r="RWG9" s="103"/>
      <c r="RWH9" s="103"/>
      <c r="RWI9" s="103"/>
      <c r="RWJ9" s="103"/>
      <c r="RWK9" s="103"/>
      <c r="RWL9" s="103"/>
      <c r="RWM9" s="103"/>
      <c r="RWN9" s="103"/>
      <c r="RWO9" s="103"/>
      <c r="RWP9" s="103"/>
      <c r="RWQ9" s="103"/>
      <c r="RWR9" s="103"/>
      <c r="RWS9" s="103"/>
      <c r="RWT9" s="103"/>
      <c r="RWU9" s="103"/>
      <c r="RWV9" s="103"/>
      <c r="RWW9" s="103"/>
      <c r="RWX9" s="103"/>
      <c r="RWY9" s="103"/>
      <c r="RWZ9" s="103"/>
      <c r="RXA9" s="103"/>
      <c r="RXB9" s="103"/>
      <c r="RXC9" s="103"/>
      <c r="RXD9" s="103"/>
      <c r="RXE9" s="103"/>
      <c r="RXF9" s="103"/>
      <c r="RXG9" s="103"/>
      <c r="RXH9" s="103"/>
      <c r="RXI9" s="103"/>
      <c r="RXJ9" s="103"/>
      <c r="RXK9" s="103"/>
      <c r="RXL9" s="103"/>
      <c r="RXM9" s="103"/>
      <c r="RXN9" s="103"/>
      <c r="RXO9" s="103"/>
      <c r="RXP9" s="103"/>
      <c r="RXQ9" s="103"/>
      <c r="RXR9" s="103"/>
      <c r="RXS9" s="103"/>
      <c r="RXT9" s="103"/>
      <c r="RXU9" s="103"/>
      <c r="RXV9" s="103"/>
      <c r="RXW9" s="103"/>
      <c r="RXX9" s="103"/>
      <c r="RXY9" s="103"/>
      <c r="RXZ9" s="103"/>
      <c r="RYA9" s="103"/>
      <c r="RYB9" s="103"/>
      <c r="RYC9" s="103"/>
      <c r="RYD9" s="103"/>
      <c r="RYE9" s="103"/>
      <c r="RYF9" s="103"/>
      <c r="RYG9" s="103"/>
      <c r="RYH9" s="103"/>
      <c r="RYI9" s="103"/>
      <c r="RYJ9" s="103"/>
      <c r="RYK9" s="103"/>
      <c r="RYL9" s="103"/>
      <c r="RYM9" s="103"/>
      <c r="RYN9" s="103"/>
      <c r="RYO9" s="103"/>
      <c r="RYP9" s="103"/>
      <c r="RYQ9" s="103"/>
      <c r="RYR9" s="103"/>
      <c r="RYS9" s="103"/>
      <c r="RYT9" s="103"/>
      <c r="RYU9" s="103"/>
      <c r="RYV9" s="103"/>
      <c r="RYW9" s="103"/>
      <c r="RYX9" s="103"/>
      <c r="RYY9" s="103"/>
      <c r="RYZ9" s="103"/>
      <c r="RZA9" s="103"/>
      <c r="RZB9" s="103"/>
      <c r="RZC9" s="103"/>
      <c r="RZD9" s="103"/>
      <c r="RZE9" s="103"/>
      <c r="RZF9" s="103"/>
      <c r="RZG9" s="103"/>
      <c r="RZH9" s="103"/>
      <c r="RZI9" s="103"/>
      <c r="RZJ9" s="103"/>
      <c r="RZK9" s="103"/>
      <c r="RZL9" s="103"/>
      <c r="RZM9" s="103"/>
      <c r="RZN9" s="103"/>
      <c r="RZO9" s="103"/>
      <c r="RZP9" s="103"/>
      <c r="RZQ9" s="103"/>
      <c r="RZR9" s="103"/>
      <c r="RZS9" s="103"/>
      <c r="RZT9" s="103"/>
      <c r="RZU9" s="103"/>
      <c r="RZV9" s="103"/>
      <c r="RZW9" s="103"/>
      <c r="RZX9" s="103"/>
      <c r="RZY9" s="103"/>
      <c r="RZZ9" s="103"/>
      <c r="SAA9" s="103"/>
      <c r="SAB9" s="103"/>
      <c r="SAC9" s="103"/>
      <c r="SAD9" s="103"/>
      <c r="SAE9" s="103"/>
      <c r="SAF9" s="103"/>
      <c r="SAG9" s="103"/>
      <c r="SAH9" s="103"/>
      <c r="SAI9" s="103"/>
      <c r="SAJ9" s="103"/>
      <c r="SAK9" s="103"/>
      <c r="SAL9" s="103"/>
      <c r="SAM9" s="103"/>
      <c r="SAN9" s="103"/>
      <c r="SAO9" s="103"/>
      <c r="SAP9" s="103"/>
      <c r="SAQ9" s="103"/>
      <c r="SAR9" s="103"/>
      <c r="SAS9" s="103"/>
      <c r="SAT9" s="103"/>
      <c r="SAU9" s="103"/>
      <c r="SAV9" s="103"/>
      <c r="SAW9" s="103"/>
      <c r="SAX9" s="103"/>
      <c r="SAY9" s="103"/>
      <c r="SAZ9" s="103"/>
      <c r="SBA9" s="103"/>
      <c r="SBB9" s="103"/>
      <c r="SBC9" s="103"/>
      <c r="SBD9" s="103"/>
      <c r="SBE9" s="103"/>
      <c r="SBF9" s="103"/>
      <c r="SBG9" s="103"/>
      <c r="SBH9" s="103"/>
      <c r="SBI9" s="103"/>
      <c r="SBJ9" s="103"/>
      <c r="SBK9" s="103"/>
      <c r="SBL9" s="103"/>
      <c r="SBM9" s="103"/>
      <c r="SBN9" s="103"/>
      <c r="SBO9" s="103"/>
      <c r="SBP9" s="103"/>
      <c r="SBQ9" s="103"/>
      <c r="SBR9" s="103"/>
      <c r="SBS9" s="103"/>
      <c r="SBT9" s="103"/>
      <c r="SBU9" s="103"/>
      <c r="SBV9" s="103"/>
      <c r="SBW9" s="103"/>
      <c r="SBX9" s="103"/>
      <c r="SBY9" s="103"/>
      <c r="SBZ9" s="103"/>
      <c r="SCA9" s="103"/>
      <c r="SCB9" s="103"/>
      <c r="SCC9" s="103"/>
      <c r="SCD9" s="103"/>
      <c r="SCE9" s="103"/>
      <c r="SCF9" s="103"/>
      <c r="SCG9" s="103"/>
      <c r="SCH9" s="103"/>
      <c r="SCI9" s="103"/>
      <c r="SCJ9" s="103"/>
      <c r="SCK9" s="103"/>
      <c r="SCL9" s="103"/>
      <c r="SCM9" s="103"/>
      <c r="SCN9" s="103"/>
      <c r="SCO9" s="103"/>
      <c r="SCP9" s="103"/>
      <c r="SCQ9" s="103"/>
      <c r="SCR9" s="103"/>
      <c r="SCS9" s="103"/>
      <c r="SCT9" s="103"/>
      <c r="SCU9" s="103"/>
      <c r="SCV9" s="103"/>
      <c r="SCW9" s="103"/>
      <c r="SCX9" s="103"/>
      <c r="SCY9" s="103"/>
      <c r="SCZ9" s="103"/>
      <c r="SDA9" s="103"/>
      <c r="SDB9" s="103"/>
      <c r="SDC9" s="103"/>
      <c r="SDD9" s="103"/>
      <c r="SDE9" s="103"/>
      <c r="SDF9" s="103"/>
      <c r="SDG9" s="103"/>
      <c r="SDH9" s="103"/>
      <c r="SDI9" s="103"/>
      <c r="SDJ9" s="103"/>
      <c r="SDK9" s="103"/>
      <c r="SDL9" s="103"/>
      <c r="SDM9" s="103"/>
      <c r="SDN9" s="103"/>
      <c r="SDO9" s="103"/>
      <c r="SDP9" s="103"/>
      <c r="SDQ9" s="103"/>
      <c r="SDR9" s="103"/>
      <c r="SDS9" s="103"/>
      <c r="SDT9" s="103"/>
      <c r="SDU9" s="103"/>
      <c r="SDV9" s="103"/>
      <c r="SDW9" s="103"/>
      <c r="SDX9" s="103"/>
      <c r="SDY9" s="103"/>
      <c r="SDZ9" s="103"/>
      <c r="SEA9" s="103"/>
      <c r="SEB9" s="103"/>
      <c r="SEC9" s="103"/>
      <c r="SED9" s="103"/>
      <c r="SEE9" s="103"/>
      <c r="SEF9" s="103"/>
      <c r="SEG9" s="103"/>
      <c r="SEH9" s="103"/>
      <c r="SEI9" s="103"/>
      <c r="SEJ9" s="103"/>
      <c r="SEK9" s="103"/>
      <c r="SEL9" s="103"/>
      <c r="SEM9" s="103"/>
      <c r="SEN9" s="103"/>
      <c r="SEO9" s="103"/>
      <c r="SEP9" s="103"/>
      <c r="SEQ9" s="103"/>
      <c r="SER9" s="103"/>
      <c r="SES9" s="103"/>
      <c r="SET9" s="103"/>
      <c r="SEU9" s="103"/>
      <c r="SEV9" s="103"/>
      <c r="SEW9" s="103"/>
      <c r="SEX9" s="103"/>
      <c r="SEY9" s="103"/>
      <c r="SEZ9" s="103"/>
      <c r="SFA9" s="103"/>
      <c r="SFB9" s="103"/>
      <c r="SFC9" s="103"/>
      <c r="SFD9" s="103"/>
      <c r="SFE9" s="103"/>
      <c r="SFF9" s="103"/>
      <c r="SFG9" s="103"/>
      <c r="SFH9" s="103"/>
      <c r="SFI9" s="103"/>
      <c r="SFJ9" s="103"/>
      <c r="SFK9" s="103"/>
      <c r="SFL9" s="103"/>
      <c r="SFM9" s="103"/>
      <c r="SFN9" s="103"/>
      <c r="SFO9" s="103"/>
      <c r="SFP9" s="103"/>
      <c r="SFQ9" s="103"/>
      <c r="SFR9" s="103"/>
      <c r="SFS9" s="103"/>
      <c r="SFT9" s="103"/>
      <c r="SFU9" s="103"/>
      <c r="SFV9" s="103"/>
      <c r="SFW9" s="103"/>
      <c r="SFX9" s="103"/>
      <c r="SFY9" s="103"/>
      <c r="SFZ9" s="103"/>
      <c r="SGA9" s="103"/>
      <c r="SGB9" s="103"/>
      <c r="SGC9" s="103"/>
      <c r="SGD9" s="103"/>
      <c r="SGE9" s="103"/>
      <c r="SGF9" s="103"/>
      <c r="SGG9" s="103"/>
      <c r="SGH9" s="103"/>
      <c r="SGI9" s="103"/>
      <c r="SGJ9" s="103"/>
      <c r="SGK9" s="103"/>
      <c r="SGL9" s="103"/>
      <c r="SGM9" s="103"/>
      <c r="SGN9" s="103"/>
      <c r="SGO9" s="103"/>
      <c r="SGP9" s="103"/>
      <c r="SGQ9" s="103"/>
      <c r="SGR9" s="103"/>
      <c r="SGS9" s="103"/>
      <c r="SGT9" s="103"/>
      <c r="SGU9" s="103"/>
      <c r="SGV9" s="103"/>
      <c r="SGW9" s="103"/>
      <c r="SGX9" s="103"/>
      <c r="SGY9" s="103"/>
      <c r="SGZ9" s="103"/>
      <c r="SHA9" s="103"/>
      <c r="SHB9" s="103"/>
      <c r="SHC9" s="103"/>
      <c r="SHD9" s="103"/>
      <c r="SHE9" s="103"/>
      <c r="SHF9" s="103"/>
      <c r="SHG9" s="103"/>
      <c r="SHH9" s="103"/>
      <c r="SHI9" s="103"/>
      <c r="SHJ9" s="103"/>
      <c r="SHK9" s="103"/>
      <c r="SHL9" s="103"/>
      <c r="SHM9" s="103"/>
      <c r="SHN9" s="103"/>
      <c r="SHO9" s="103"/>
      <c r="SHP9" s="103"/>
      <c r="SHQ9" s="103"/>
      <c r="SHR9" s="103"/>
      <c r="SHS9" s="103"/>
      <c r="SHT9" s="103"/>
      <c r="SHU9" s="103"/>
      <c r="SHV9" s="103"/>
      <c r="SHW9" s="103"/>
      <c r="SHX9" s="103"/>
      <c r="SHY9" s="103"/>
      <c r="SHZ9" s="103"/>
      <c r="SIA9" s="103"/>
      <c r="SIB9" s="103"/>
      <c r="SIC9" s="103"/>
      <c r="SID9" s="103"/>
      <c r="SIE9" s="103"/>
      <c r="SIF9" s="103"/>
      <c r="SIG9" s="103"/>
      <c r="SIH9" s="103"/>
      <c r="SII9" s="103"/>
      <c r="SIJ9" s="103"/>
      <c r="SIK9" s="103"/>
      <c r="SIL9" s="103"/>
      <c r="SIM9" s="103"/>
      <c r="SIN9" s="103"/>
      <c r="SIO9" s="103"/>
      <c r="SIP9" s="103"/>
      <c r="SIQ9" s="103"/>
      <c r="SIR9" s="103"/>
      <c r="SIS9" s="103"/>
      <c r="SIT9" s="103"/>
      <c r="SIU9" s="103"/>
      <c r="SIV9" s="103"/>
      <c r="SIW9" s="103"/>
      <c r="SIX9" s="103"/>
      <c r="SIY9" s="103"/>
      <c r="SIZ9" s="103"/>
      <c r="SJA9" s="103"/>
      <c r="SJB9" s="103"/>
      <c r="SJC9" s="103"/>
      <c r="SJD9" s="103"/>
      <c r="SJE9" s="103"/>
      <c r="SJF9" s="103"/>
      <c r="SJG9" s="103"/>
      <c r="SJH9" s="103"/>
      <c r="SJI9" s="103"/>
      <c r="SJJ9" s="103"/>
      <c r="SJK9" s="103"/>
      <c r="SJL9" s="103"/>
      <c r="SJM9" s="103"/>
      <c r="SJN9" s="103"/>
      <c r="SJO9" s="103"/>
      <c r="SJP9" s="103"/>
      <c r="SJQ9" s="103"/>
      <c r="SJR9" s="103"/>
      <c r="SJS9" s="103"/>
      <c r="SJT9" s="103"/>
      <c r="SJU9" s="103"/>
      <c r="SJV9" s="103"/>
      <c r="SJW9" s="103"/>
      <c r="SJX9" s="103"/>
      <c r="SJY9" s="103"/>
      <c r="SJZ9" s="103"/>
      <c r="SKA9" s="103"/>
      <c r="SKB9" s="103"/>
      <c r="SKC9" s="103"/>
      <c r="SKD9" s="103"/>
      <c r="SKE9" s="103"/>
      <c r="SKF9" s="103"/>
      <c r="SKG9" s="103"/>
      <c r="SKH9" s="103"/>
      <c r="SKI9" s="103"/>
      <c r="SKJ9" s="103"/>
      <c r="SKK9" s="103"/>
      <c r="SKL9" s="103"/>
      <c r="SKM9" s="103"/>
      <c r="SKN9" s="103"/>
      <c r="SKO9" s="103"/>
      <c r="SKP9" s="103"/>
      <c r="SKQ9" s="103"/>
      <c r="SKR9" s="103"/>
      <c r="SKS9" s="103"/>
      <c r="SKT9" s="103"/>
      <c r="SKU9" s="103"/>
      <c r="SKV9" s="103"/>
      <c r="SKW9" s="103"/>
      <c r="SKX9" s="103"/>
      <c r="SKY9" s="103"/>
      <c r="SKZ9" s="103"/>
      <c r="SLA9" s="103"/>
      <c r="SLB9" s="103"/>
      <c r="SLC9" s="103"/>
      <c r="SLD9" s="103"/>
      <c r="SLE9" s="103"/>
      <c r="SLF9" s="103"/>
      <c r="SLG9" s="103"/>
      <c r="SLH9" s="103"/>
      <c r="SLI9" s="103"/>
      <c r="SLJ9" s="103"/>
      <c r="SLK9" s="103"/>
      <c r="SLL9" s="103"/>
      <c r="SLM9" s="103"/>
      <c r="SLN9" s="103"/>
      <c r="SLO9" s="103"/>
      <c r="SLP9" s="103"/>
      <c r="SLQ9" s="103"/>
      <c r="SLR9" s="103"/>
      <c r="SLS9" s="103"/>
      <c r="SLT9" s="103"/>
      <c r="SLU9" s="103"/>
      <c r="SLV9" s="103"/>
      <c r="SLW9" s="103"/>
      <c r="SLX9" s="103"/>
      <c r="SLY9" s="103"/>
      <c r="SLZ9" s="103"/>
      <c r="SMA9" s="103"/>
      <c r="SMB9" s="103"/>
      <c r="SMC9" s="103"/>
      <c r="SMD9" s="103"/>
      <c r="SME9" s="103"/>
      <c r="SMF9" s="103"/>
      <c r="SMG9" s="103"/>
      <c r="SMH9" s="103"/>
      <c r="SMI9" s="103"/>
      <c r="SMJ9" s="103"/>
      <c r="SMK9" s="103"/>
      <c r="SML9" s="103"/>
      <c r="SMM9" s="103"/>
      <c r="SMN9" s="103"/>
      <c r="SMO9" s="103"/>
      <c r="SMP9" s="103"/>
      <c r="SMQ9" s="103"/>
      <c r="SMR9" s="103"/>
      <c r="SMS9" s="103"/>
      <c r="SMT9" s="103"/>
      <c r="SMU9" s="103"/>
      <c r="SMV9" s="103"/>
      <c r="SMW9" s="103"/>
      <c r="SMX9" s="103"/>
      <c r="SMY9" s="103"/>
      <c r="SMZ9" s="103"/>
      <c r="SNA9" s="103"/>
      <c r="SNB9" s="103"/>
      <c r="SNC9" s="103"/>
      <c r="SND9" s="103"/>
      <c r="SNE9" s="103"/>
      <c r="SNF9" s="103"/>
      <c r="SNG9" s="103"/>
      <c r="SNH9" s="103"/>
      <c r="SNI9" s="103"/>
      <c r="SNJ9" s="103"/>
      <c r="SNK9" s="103"/>
      <c r="SNL9" s="103"/>
      <c r="SNM9" s="103"/>
      <c r="SNN9" s="103"/>
      <c r="SNO9" s="103"/>
      <c r="SNP9" s="103"/>
      <c r="SNQ9" s="103"/>
      <c r="SNR9" s="103"/>
      <c r="SNS9" s="103"/>
      <c r="SNT9" s="103"/>
      <c r="SNU9" s="103"/>
      <c r="SNV9" s="103"/>
      <c r="SNW9" s="103"/>
      <c r="SNX9" s="103"/>
      <c r="SNY9" s="103"/>
      <c r="SNZ9" s="103"/>
      <c r="SOA9" s="103"/>
      <c r="SOB9" s="103"/>
      <c r="SOC9" s="103"/>
      <c r="SOD9" s="103"/>
      <c r="SOE9" s="103"/>
      <c r="SOF9" s="103"/>
      <c r="SOG9" s="103"/>
      <c r="SOH9" s="103"/>
      <c r="SOI9" s="103"/>
      <c r="SOJ9" s="103"/>
      <c r="SOK9" s="103"/>
      <c r="SOL9" s="103"/>
      <c r="SOM9" s="103"/>
      <c r="SON9" s="103"/>
      <c r="SOO9" s="103"/>
      <c r="SOP9" s="103"/>
      <c r="SOQ9" s="103"/>
      <c r="SOR9" s="103"/>
      <c r="SOS9" s="103"/>
      <c r="SOT9" s="103"/>
      <c r="SOU9" s="103"/>
      <c r="SOV9" s="103"/>
      <c r="SOW9" s="103"/>
      <c r="SOX9" s="103"/>
      <c r="SOY9" s="103"/>
      <c r="SOZ9" s="103"/>
      <c r="SPA9" s="103"/>
      <c r="SPB9" s="103"/>
      <c r="SPC9" s="103"/>
      <c r="SPD9" s="103"/>
      <c r="SPE9" s="103"/>
      <c r="SPF9" s="103"/>
      <c r="SPG9" s="103"/>
      <c r="SPH9" s="103"/>
      <c r="SPI9" s="103"/>
      <c r="SPJ9" s="103"/>
      <c r="SPK9" s="103"/>
      <c r="SPL9" s="103"/>
      <c r="SPM9" s="103"/>
      <c r="SPN9" s="103"/>
      <c r="SPO9" s="103"/>
      <c r="SPP9" s="103"/>
      <c r="SPQ9" s="103"/>
      <c r="SPR9" s="103"/>
      <c r="SPS9" s="103"/>
      <c r="SPT9" s="103"/>
      <c r="SPU9" s="103"/>
      <c r="SPV9" s="103"/>
      <c r="SPW9" s="103"/>
      <c r="SPX9" s="103"/>
      <c r="SPY9" s="103"/>
      <c r="SPZ9" s="103"/>
      <c r="SQA9" s="103"/>
      <c r="SQB9" s="103"/>
      <c r="SQC9" s="103"/>
      <c r="SQD9" s="103"/>
      <c r="SQE9" s="103"/>
      <c r="SQF9" s="103"/>
      <c r="SQG9" s="103"/>
      <c r="SQH9" s="103"/>
      <c r="SQI9" s="103"/>
      <c r="SQJ9" s="103"/>
      <c r="SQK9" s="103"/>
      <c r="SQL9" s="103"/>
      <c r="SQM9" s="103"/>
      <c r="SQN9" s="103"/>
      <c r="SQO9" s="103"/>
      <c r="SQP9" s="103"/>
      <c r="SQQ9" s="103"/>
      <c r="SQR9" s="103"/>
      <c r="SQS9" s="103"/>
      <c r="SQT9" s="103"/>
      <c r="SQU9" s="103"/>
      <c r="SQV9" s="103"/>
      <c r="SQW9" s="103"/>
      <c r="SQX9" s="103"/>
      <c r="SQY9" s="103"/>
      <c r="SQZ9" s="103"/>
      <c r="SRA9" s="103"/>
      <c r="SRB9" s="103"/>
      <c r="SRC9" s="103"/>
      <c r="SRD9" s="103"/>
      <c r="SRE9" s="103"/>
      <c r="SRF9" s="103"/>
      <c r="SRG9" s="103"/>
      <c r="SRH9" s="103"/>
      <c r="SRI9" s="103"/>
      <c r="SRJ9" s="103"/>
      <c r="SRK9" s="103"/>
      <c r="SRL9" s="103"/>
      <c r="SRM9" s="103"/>
      <c r="SRN9" s="103"/>
      <c r="SRO9" s="103"/>
      <c r="SRP9" s="103"/>
      <c r="SRQ9" s="103"/>
      <c r="SRR9" s="103"/>
      <c r="SRS9" s="103"/>
      <c r="SRT9" s="103"/>
      <c r="SRU9" s="103"/>
      <c r="SRV9" s="103"/>
      <c r="SRW9" s="103"/>
      <c r="SRX9" s="103"/>
      <c r="SRY9" s="103"/>
      <c r="SRZ9" s="103"/>
      <c r="SSA9" s="103"/>
      <c r="SSB9" s="103"/>
      <c r="SSC9" s="103"/>
      <c r="SSD9" s="103"/>
      <c r="SSE9" s="103"/>
      <c r="SSF9" s="103"/>
      <c r="SSG9" s="103"/>
      <c r="SSH9" s="103"/>
      <c r="SSI9" s="103"/>
      <c r="SSJ9" s="103"/>
      <c r="SSK9" s="103"/>
      <c r="SSL9" s="103"/>
      <c r="SSM9" s="103"/>
      <c r="SSN9" s="103"/>
      <c r="SSO9" s="103"/>
      <c r="SSP9" s="103"/>
      <c r="SSQ9" s="103"/>
      <c r="SSR9" s="103"/>
      <c r="SSS9" s="103"/>
      <c r="SST9" s="103"/>
      <c r="SSU9" s="103"/>
      <c r="SSV9" s="103"/>
      <c r="SSW9" s="103"/>
      <c r="SSX9" s="103"/>
      <c r="SSY9" s="103"/>
      <c r="SSZ9" s="103"/>
      <c r="STA9" s="103"/>
      <c r="STB9" s="103"/>
      <c r="STC9" s="103"/>
      <c r="STD9" s="103"/>
      <c r="STE9" s="103"/>
      <c r="STF9" s="103"/>
      <c r="STG9" s="103"/>
      <c r="STH9" s="103"/>
      <c r="STI9" s="103"/>
      <c r="STJ9" s="103"/>
      <c r="STK9" s="103"/>
      <c r="STL9" s="103"/>
      <c r="STM9" s="103"/>
      <c r="STN9" s="103"/>
      <c r="STO9" s="103"/>
      <c r="STP9" s="103"/>
      <c r="STQ9" s="103"/>
      <c r="STR9" s="103"/>
      <c r="STS9" s="103"/>
      <c r="STT9" s="103"/>
      <c r="STU9" s="103"/>
      <c r="STV9" s="103"/>
      <c r="STW9" s="103"/>
      <c r="STX9" s="103"/>
      <c r="STY9" s="103"/>
      <c r="STZ9" s="103"/>
      <c r="SUA9" s="103"/>
      <c r="SUB9" s="103"/>
      <c r="SUC9" s="103"/>
      <c r="SUD9" s="103"/>
      <c r="SUE9" s="103"/>
      <c r="SUF9" s="103"/>
      <c r="SUG9" s="103"/>
      <c r="SUH9" s="103"/>
      <c r="SUI9" s="103"/>
      <c r="SUJ9" s="103"/>
      <c r="SUK9" s="103"/>
      <c r="SUL9" s="103"/>
      <c r="SUM9" s="103"/>
      <c r="SUN9" s="103"/>
      <c r="SUO9" s="103"/>
      <c r="SUP9" s="103"/>
      <c r="SUQ9" s="103"/>
      <c r="SUR9" s="103"/>
      <c r="SUS9" s="103"/>
      <c r="SUT9" s="103"/>
      <c r="SUU9" s="103"/>
      <c r="SUV9" s="103"/>
      <c r="SUW9" s="103"/>
      <c r="SUX9" s="103"/>
      <c r="SUY9" s="103"/>
      <c r="SUZ9" s="103"/>
      <c r="SVA9" s="103"/>
      <c r="SVB9" s="103"/>
      <c r="SVC9" s="103"/>
      <c r="SVD9" s="103"/>
      <c r="SVE9" s="103"/>
      <c r="SVF9" s="103"/>
      <c r="SVG9" s="103"/>
      <c r="SVH9" s="103"/>
      <c r="SVI9" s="103"/>
      <c r="SVJ9" s="103"/>
      <c r="SVK9" s="103"/>
      <c r="SVL9" s="103"/>
      <c r="SVM9" s="103"/>
      <c r="SVN9" s="103"/>
      <c r="SVO9" s="103"/>
      <c r="SVP9" s="103"/>
      <c r="SVQ9" s="103"/>
      <c r="SVR9" s="103"/>
      <c r="SVS9" s="103"/>
      <c r="SVT9" s="103"/>
      <c r="SVU9" s="103"/>
      <c r="SVV9" s="103"/>
      <c r="SVW9" s="103"/>
      <c r="SVX9" s="103"/>
      <c r="SVY9" s="103"/>
      <c r="SVZ9" s="103"/>
      <c r="SWA9" s="103"/>
      <c r="SWB9" s="103"/>
      <c r="SWC9" s="103"/>
      <c r="SWD9" s="103"/>
      <c r="SWE9" s="103"/>
      <c r="SWF9" s="103"/>
      <c r="SWG9" s="103"/>
      <c r="SWH9" s="103"/>
      <c r="SWI9" s="103"/>
      <c r="SWJ9" s="103"/>
      <c r="SWK9" s="103"/>
      <c r="SWL9" s="103"/>
      <c r="SWM9" s="103"/>
      <c r="SWN9" s="103"/>
      <c r="SWO9" s="103"/>
      <c r="SWP9" s="103"/>
      <c r="SWQ9" s="103"/>
      <c r="SWR9" s="103"/>
      <c r="SWS9" s="103"/>
      <c r="SWT9" s="103"/>
      <c r="SWU9" s="103"/>
      <c r="SWV9" s="103"/>
      <c r="SWW9" s="103"/>
      <c r="SWX9" s="103"/>
      <c r="SWY9" s="103"/>
      <c r="SWZ9" s="103"/>
      <c r="SXA9" s="103"/>
      <c r="SXB9" s="103"/>
      <c r="SXC9" s="103"/>
      <c r="SXD9" s="103"/>
      <c r="SXE9" s="103"/>
      <c r="SXF9" s="103"/>
      <c r="SXG9" s="103"/>
      <c r="SXH9" s="103"/>
      <c r="SXI9" s="103"/>
      <c r="SXJ9" s="103"/>
      <c r="SXK9" s="103"/>
      <c r="SXL9" s="103"/>
      <c r="SXM9" s="103"/>
      <c r="SXN9" s="103"/>
      <c r="SXO9" s="103"/>
      <c r="SXP9" s="103"/>
      <c r="SXQ9" s="103"/>
      <c r="SXR9" s="103"/>
      <c r="SXS9" s="103"/>
      <c r="SXT9" s="103"/>
      <c r="SXU9" s="103"/>
      <c r="SXV9" s="103"/>
      <c r="SXW9" s="103"/>
      <c r="SXX9" s="103"/>
      <c r="SXY9" s="103"/>
      <c r="SXZ9" s="103"/>
      <c r="SYA9" s="103"/>
      <c r="SYB9" s="103"/>
      <c r="SYC9" s="103"/>
      <c r="SYD9" s="103"/>
      <c r="SYE9" s="103"/>
      <c r="SYF9" s="103"/>
      <c r="SYG9" s="103"/>
      <c r="SYH9" s="103"/>
      <c r="SYI9" s="103"/>
      <c r="SYJ9" s="103"/>
      <c r="SYK9" s="103"/>
      <c r="SYL9" s="103"/>
      <c r="SYM9" s="103"/>
      <c r="SYN9" s="103"/>
      <c r="SYO9" s="103"/>
      <c r="SYP9" s="103"/>
      <c r="SYQ9" s="103"/>
      <c r="SYR9" s="103"/>
      <c r="SYS9" s="103"/>
      <c r="SYT9" s="103"/>
      <c r="SYU9" s="103"/>
      <c r="SYV9" s="103"/>
      <c r="SYW9" s="103"/>
      <c r="SYX9" s="103"/>
      <c r="SYY9" s="103"/>
      <c r="SYZ9" s="103"/>
      <c r="SZA9" s="103"/>
      <c r="SZB9" s="103"/>
      <c r="SZC9" s="103"/>
      <c r="SZD9" s="103"/>
      <c r="SZE9" s="103"/>
      <c r="SZF9" s="103"/>
      <c r="SZG9" s="103"/>
      <c r="SZH9" s="103"/>
      <c r="SZI9" s="103"/>
      <c r="SZJ9" s="103"/>
      <c r="SZK9" s="103"/>
      <c r="SZL9" s="103"/>
      <c r="SZM9" s="103"/>
      <c r="SZN9" s="103"/>
      <c r="SZO9" s="103"/>
      <c r="SZP9" s="103"/>
      <c r="SZQ9" s="103"/>
      <c r="SZR9" s="103"/>
      <c r="SZS9" s="103"/>
      <c r="SZT9" s="103"/>
      <c r="SZU9" s="103"/>
      <c r="SZV9" s="103"/>
      <c r="SZW9" s="103"/>
      <c r="SZX9" s="103"/>
      <c r="SZY9" s="103"/>
      <c r="SZZ9" s="103"/>
      <c r="TAA9" s="103"/>
      <c r="TAB9" s="103"/>
      <c r="TAC9" s="103"/>
      <c r="TAD9" s="103"/>
      <c r="TAE9" s="103"/>
      <c r="TAF9" s="103"/>
      <c r="TAG9" s="103"/>
      <c r="TAH9" s="103"/>
      <c r="TAI9" s="103"/>
      <c r="TAJ9" s="103"/>
      <c r="TAK9" s="103"/>
      <c r="TAL9" s="103"/>
      <c r="TAM9" s="103"/>
      <c r="TAN9" s="103"/>
      <c r="TAO9" s="103"/>
      <c r="TAP9" s="103"/>
      <c r="TAQ9" s="103"/>
      <c r="TAR9" s="103"/>
      <c r="TAS9" s="103"/>
      <c r="TAT9" s="103"/>
      <c r="TAU9" s="103"/>
      <c r="TAV9" s="103"/>
      <c r="TAW9" s="103"/>
      <c r="TAX9" s="103"/>
      <c r="TAY9" s="103"/>
      <c r="TAZ9" s="103"/>
      <c r="TBA9" s="103"/>
      <c r="TBB9" s="103"/>
      <c r="TBC9" s="103"/>
      <c r="TBD9" s="103"/>
      <c r="TBE9" s="103"/>
      <c r="TBF9" s="103"/>
      <c r="TBG9" s="103"/>
      <c r="TBH9" s="103"/>
      <c r="TBI9" s="103"/>
      <c r="TBJ9" s="103"/>
      <c r="TBK9" s="103"/>
      <c r="TBL9" s="103"/>
      <c r="TBM9" s="103"/>
      <c r="TBN9" s="103"/>
      <c r="TBO9" s="103"/>
      <c r="TBP9" s="103"/>
      <c r="TBQ9" s="103"/>
      <c r="TBR9" s="103"/>
      <c r="TBS9" s="103"/>
      <c r="TBT9" s="103"/>
      <c r="TBU9" s="103"/>
      <c r="TBV9" s="103"/>
      <c r="TBW9" s="103"/>
      <c r="TBX9" s="103"/>
      <c r="TBY9" s="103"/>
      <c r="TBZ9" s="103"/>
      <c r="TCA9" s="103"/>
      <c r="TCB9" s="103"/>
      <c r="TCC9" s="103"/>
      <c r="TCD9" s="103"/>
      <c r="TCE9" s="103"/>
      <c r="TCF9" s="103"/>
      <c r="TCG9" s="103"/>
      <c r="TCH9" s="103"/>
      <c r="TCI9" s="103"/>
      <c r="TCJ9" s="103"/>
      <c r="TCK9" s="103"/>
      <c r="TCL9" s="103"/>
      <c r="TCM9" s="103"/>
      <c r="TCN9" s="103"/>
      <c r="TCO9" s="103"/>
      <c r="TCP9" s="103"/>
      <c r="TCQ9" s="103"/>
      <c r="TCR9" s="103"/>
      <c r="TCS9" s="103"/>
      <c r="TCT9" s="103"/>
      <c r="TCU9" s="103"/>
      <c r="TCV9" s="103"/>
      <c r="TCW9" s="103"/>
      <c r="TCX9" s="103"/>
      <c r="TCY9" s="103"/>
      <c r="TCZ9" s="103"/>
      <c r="TDA9" s="103"/>
      <c r="TDB9" s="103"/>
      <c r="TDC9" s="103"/>
      <c r="TDD9" s="103"/>
      <c r="TDE9" s="103"/>
      <c r="TDF9" s="103"/>
      <c r="TDG9" s="103"/>
      <c r="TDH9" s="103"/>
      <c r="TDI9" s="103"/>
      <c r="TDJ9" s="103"/>
      <c r="TDK9" s="103"/>
      <c r="TDL9" s="103"/>
      <c r="TDM9" s="103"/>
      <c r="TDN9" s="103"/>
      <c r="TDO9" s="103"/>
      <c r="TDP9" s="103"/>
      <c r="TDQ9" s="103"/>
      <c r="TDR9" s="103"/>
      <c r="TDS9" s="103"/>
      <c r="TDT9" s="103"/>
      <c r="TDU9" s="103"/>
      <c r="TDV9" s="103"/>
      <c r="TDW9" s="103"/>
      <c r="TDX9" s="103"/>
      <c r="TDY9" s="103"/>
      <c r="TDZ9" s="103"/>
      <c r="TEA9" s="103"/>
      <c r="TEB9" s="103"/>
      <c r="TEC9" s="103"/>
      <c r="TED9" s="103"/>
      <c r="TEE9" s="103"/>
      <c r="TEF9" s="103"/>
      <c r="TEG9" s="103"/>
      <c r="TEH9" s="103"/>
      <c r="TEI9" s="103"/>
      <c r="TEJ9" s="103"/>
      <c r="TEK9" s="103"/>
      <c r="TEL9" s="103"/>
      <c r="TEM9" s="103"/>
      <c r="TEN9" s="103"/>
      <c r="TEO9" s="103"/>
      <c r="TEP9" s="103"/>
      <c r="TEQ9" s="103"/>
      <c r="TER9" s="103"/>
      <c r="TES9" s="103"/>
      <c r="TET9" s="103"/>
      <c r="TEU9" s="103"/>
      <c r="TEV9" s="103"/>
      <c r="TEW9" s="103"/>
      <c r="TEX9" s="103"/>
      <c r="TEY9" s="103"/>
      <c r="TEZ9" s="103"/>
      <c r="TFA9" s="103"/>
      <c r="TFB9" s="103"/>
      <c r="TFC9" s="103"/>
      <c r="TFD9" s="103"/>
      <c r="TFE9" s="103"/>
      <c r="TFF9" s="103"/>
      <c r="TFG9" s="103"/>
      <c r="TFH9" s="103"/>
      <c r="TFI9" s="103"/>
      <c r="TFJ9" s="103"/>
      <c r="TFK9" s="103"/>
      <c r="TFL9" s="103"/>
      <c r="TFM9" s="103"/>
      <c r="TFN9" s="103"/>
      <c r="TFO9" s="103"/>
      <c r="TFP9" s="103"/>
      <c r="TFQ9" s="103"/>
      <c r="TFR9" s="103"/>
      <c r="TFS9" s="103"/>
      <c r="TFT9" s="103"/>
      <c r="TFU9" s="103"/>
      <c r="TFV9" s="103"/>
      <c r="TFW9" s="103"/>
      <c r="TFX9" s="103"/>
      <c r="TFY9" s="103"/>
      <c r="TFZ9" s="103"/>
      <c r="TGA9" s="103"/>
      <c r="TGB9" s="103"/>
      <c r="TGC9" s="103"/>
      <c r="TGD9" s="103"/>
      <c r="TGE9" s="103"/>
      <c r="TGF9" s="103"/>
      <c r="TGG9" s="103"/>
      <c r="TGH9" s="103"/>
      <c r="TGI9" s="103"/>
      <c r="TGJ9" s="103"/>
      <c r="TGK9" s="103"/>
      <c r="TGL9" s="103"/>
      <c r="TGM9" s="103"/>
      <c r="TGN9" s="103"/>
      <c r="TGO9" s="103"/>
      <c r="TGP9" s="103"/>
      <c r="TGQ9" s="103"/>
      <c r="TGR9" s="103"/>
      <c r="TGS9" s="103"/>
      <c r="TGT9" s="103"/>
      <c r="TGU9" s="103"/>
      <c r="TGV9" s="103"/>
      <c r="TGW9" s="103"/>
      <c r="TGX9" s="103"/>
      <c r="TGY9" s="103"/>
      <c r="TGZ9" s="103"/>
      <c r="THA9" s="103"/>
      <c r="THB9" s="103"/>
      <c r="THC9" s="103"/>
      <c r="THD9" s="103"/>
      <c r="THE9" s="103"/>
      <c r="THF9" s="103"/>
      <c r="THG9" s="103"/>
      <c r="THH9" s="103"/>
      <c r="THI9" s="103"/>
      <c r="THJ9" s="103"/>
      <c r="THK9" s="103"/>
      <c r="THL9" s="103"/>
      <c r="THM9" s="103"/>
      <c r="THN9" s="103"/>
      <c r="THO9" s="103"/>
      <c r="THP9" s="103"/>
      <c r="THQ9" s="103"/>
      <c r="THR9" s="103"/>
      <c r="THS9" s="103"/>
      <c r="THT9" s="103"/>
      <c r="THU9" s="103"/>
      <c r="THV9" s="103"/>
      <c r="THW9" s="103"/>
      <c r="THX9" s="103"/>
      <c r="THY9" s="103"/>
      <c r="THZ9" s="103"/>
      <c r="TIA9" s="103"/>
      <c r="TIB9" s="103"/>
      <c r="TIC9" s="103"/>
      <c r="TID9" s="103"/>
      <c r="TIE9" s="103"/>
      <c r="TIF9" s="103"/>
      <c r="TIG9" s="103"/>
      <c r="TIH9" s="103"/>
      <c r="TII9" s="103"/>
      <c r="TIJ9" s="103"/>
      <c r="TIK9" s="103"/>
      <c r="TIL9" s="103"/>
      <c r="TIM9" s="103"/>
      <c r="TIN9" s="103"/>
      <c r="TIO9" s="103"/>
      <c r="TIP9" s="103"/>
      <c r="TIQ9" s="103"/>
      <c r="TIR9" s="103"/>
      <c r="TIS9" s="103"/>
      <c r="TIT9" s="103"/>
      <c r="TIU9" s="103"/>
      <c r="TIV9" s="103"/>
      <c r="TIW9" s="103"/>
      <c r="TIX9" s="103"/>
      <c r="TIY9" s="103"/>
      <c r="TIZ9" s="103"/>
      <c r="TJA9" s="103"/>
      <c r="TJB9" s="103"/>
      <c r="TJC9" s="103"/>
      <c r="TJD9" s="103"/>
      <c r="TJE9" s="103"/>
      <c r="TJF9" s="103"/>
      <c r="TJG9" s="103"/>
      <c r="TJH9" s="103"/>
      <c r="TJI9" s="103"/>
      <c r="TJJ9" s="103"/>
      <c r="TJK9" s="103"/>
      <c r="TJL9" s="103"/>
      <c r="TJM9" s="103"/>
      <c r="TJN9" s="103"/>
      <c r="TJO9" s="103"/>
      <c r="TJP9" s="103"/>
      <c r="TJQ9" s="103"/>
      <c r="TJR9" s="103"/>
      <c r="TJS9" s="103"/>
      <c r="TJT9" s="103"/>
      <c r="TJU9" s="103"/>
      <c r="TJV9" s="103"/>
      <c r="TJW9" s="103"/>
      <c r="TJX9" s="103"/>
      <c r="TJY9" s="103"/>
      <c r="TJZ9" s="103"/>
      <c r="TKA9" s="103"/>
      <c r="TKB9" s="103"/>
      <c r="TKC9" s="103"/>
      <c r="TKD9" s="103"/>
      <c r="TKE9" s="103"/>
      <c r="TKF9" s="103"/>
      <c r="TKG9" s="103"/>
      <c r="TKH9" s="103"/>
      <c r="TKI9" s="103"/>
      <c r="TKJ9" s="103"/>
      <c r="TKK9" s="103"/>
      <c r="TKL9" s="103"/>
      <c r="TKM9" s="103"/>
      <c r="TKN9" s="103"/>
      <c r="TKO9" s="103"/>
      <c r="TKP9" s="103"/>
      <c r="TKQ9" s="103"/>
      <c r="TKR9" s="103"/>
      <c r="TKS9" s="103"/>
      <c r="TKT9" s="103"/>
      <c r="TKU9" s="103"/>
      <c r="TKV9" s="103"/>
      <c r="TKW9" s="103"/>
      <c r="TKX9" s="103"/>
      <c r="TKY9" s="103"/>
      <c r="TKZ9" s="103"/>
      <c r="TLA9" s="103"/>
      <c r="TLB9" s="103"/>
      <c r="TLC9" s="103"/>
      <c r="TLD9" s="103"/>
      <c r="TLE9" s="103"/>
      <c r="TLF9" s="103"/>
      <c r="TLG9" s="103"/>
      <c r="TLH9" s="103"/>
      <c r="TLI9" s="103"/>
      <c r="TLJ9" s="103"/>
      <c r="TLK9" s="103"/>
      <c r="TLL9" s="103"/>
      <c r="TLM9" s="103"/>
      <c r="TLN9" s="103"/>
      <c r="TLO9" s="103"/>
      <c r="TLP9" s="103"/>
      <c r="TLQ9" s="103"/>
      <c r="TLR9" s="103"/>
      <c r="TLS9" s="103"/>
      <c r="TLT9" s="103"/>
      <c r="TLU9" s="103"/>
      <c r="TLV9" s="103"/>
      <c r="TLW9" s="103"/>
      <c r="TLX9" s="103"/>
      <c r="TLY9" s="103"/>
      <c r="TLZ9" s="103"/>
      <c r="TMA9" s="103"/>
      <c r="TMB9" s="103"/>
      <c r="TMC9" s="103"/>
      <c r="TMD9" s="103"/>
      <c r="TME9" s="103"/>
      <c r="TMF9" s="103"/>
      <c r="TMG9" s="103"/>
      <c r="TMH9" s="103"/>
      <c r="TMI9" s="103"/>
      <c r="TMJ9" s="103"/>
      <c r="TMK9" s="103"/>
      <c r="TML9" s="103"/>
      <c r="TMM9" s="103"/>
      <c r="TMN9" s="103"/>
      <c r="TMO9" s="103"/>
      <c r="TMP9" s="103"/>
      <c r="TMQ9" s="103"/>
      <c r="TMR9" s="103"/>
      <c r="TMS9" s="103"/>
      <c r="TMT9" s="103"/>
      <c r="TMU9" s="103"/>
      <c r="TMV9" s="103"/>
      <c r="TMW9" s="103"/>
      <c r="TMX9" s="103"/>
      <c r="TMY9" s="103"/>
      <c r="TMZ9" s="103"/>
      <c r="TNA9" s="103"/>
      <c r="TNB9" s="103"/>
      <c r="TNC9" s="103"/>
      <c r="TND9" s="103"/>
      <c r="TNE9" s="103"/>
      <c r="TNF9" s="103"/>
      <c r="TNG9" s="103"/>
      <c r="TNH9" s="103"/>
      <c r="TNI9" s="103"/>
      <c r="TNJ9" s="103"/>
      <c r="TNK9" s="103"/>
      <c r="TNL9" s="103"/>
      <c r="TNM9" s="103"/>
      <c r="TNN9" s="103"/>
      <c r="TNO9" s="103"/>
      <c r="TNP9" s="103"/>
      <c r="TNQ9" s="103"/>
      <c r="TNR9" s="103"/>
      <c r="TNS9" s="103"/>
      <c r="TNT9" s="103"/>
      <c r="TNU9" s="103"/>
      <c r="TNV9" s="103"/>
      <c r="TNW9" s="103"/>
      <c r="TNX9" s="103"/>
      <c r="TNY9" s="103"/>
      <c r="TNZ9" s="103"/>
      <c r="TOA9" s="103"/>
      <c r="TOB9" s="103"/>
      <c r="TOC9" s="103"/>
      <c r="TOD9" s="103"/>
      <c r="TOE9" s="103"/>
      <c r="TOF9" s="103"/>
      <c r="TOG9" s="103"/>
      <c r="TOH9" s="103"/>
      <c r="TOI9" s="103"/>
      <c r="TOJ9" s="103"/>
      <c r="TOK9" s="103"/>
      <c r="TOL9" s="103"/>
      <c r="TOM9" s="103"/>
      <c r="TON9" s="103"/>
      <c r="TOO9" s="103"/>
      <c r="TOP9" s="103"/>
      <c r="TOQ9" s="103"/>
      <c r="TOR9" s="103"/>
      <c r="TOS9" s="103"/>
      <c r="TOT9" s="103"/>
      <c r="TOU9" s="103"/>
      <c r="TOV9" s="103"/>
      <c r="TOW9" s="103"/>
      <c r="TOX9" s="103"/>
      <c r="TOY9" s="103"/>
      <c r="TOZ9" s="103"/>
      <c r="TPA9" s="103"/>
      <c r="TPB9" s="103"/>
      <c r="TPC9" s="103"/>
      <c r="TPD9" s="103"/>
      <c r="TPE9" s="103"/>
      <c r="TPF9" s="103"/>
      <c r="TPG9" s="103"/>
      <c r="TPH9" s="103"/>
      <c r="TPI9" s="103"/>
      <c r="TPJ9" s="103"/>
      <c r="TPK9" s="103"/>
      <c r="TPL9" s="103"/>
      <c r="TPM9" s="103"/>
      <c r="TPN9" s="103"/>
      <c r="TPO9" s="103"/>
      <c r="TPP9" s="103"/>
      <c r="TPQ9" s="103"/>
      <c r="TPR9" s="103"/>
      <c r="TPS9" s="103"/>
      <c r="TPT9" s="103"/>
      <c r="TPU9" s="103"/>
      <c r="TPV9" s="103"/>
      <c r="TPW9" s="103"/>
      <c r="TPX9" s="103"/>
      <c r="TPY9" s="103"/>
      <c r="TPZ9" s="103"/>
      <c r="TQA9" s="103"/>
      <c r="TQB9" s="103"/>
      <c r="TQC9" s="103"/>
      <c r="TQD9" s="103"/>
      <c r="TQE9" s="103"/>
      <c r="TQF9" s="103"/>
      <c r="TQG9" s="103"/>
      <c r="TQH9" s="103"/>
      <c r="TQI9" s="103"/>
      <c r="TQJ9" s="103"/>
      <c r="TQK9" s="103"/>
      <c r="TQL9" s="103"/>
      <c r="TQM9" s="103"/>
      <c r="TQN9" s="103"/>
      <c r="TQO9" s="103"/>
      <c r="TQP9" s="103"/>
      <c r="TQQ9" s="103"/>
      <c r="TQR9" s="103"/>
      <c r="TQS9" s="103"/>
      <c r="TQT9" s="103"/>
      <c r="TQU9" s="103"/>
      <c r="TQV9" s="103"/>
      <c r="TQW9" s="103"/>
      <c r="TQX9" s="103"/>
      <c r="TQY9" s="103"/>
      <c r="TQZ9" s="103"/>
      <c r="TRA9" s="103"/>
      <c r="TRB9" s="103"/>
      <c r="TRC9" s="103"/>
      <c r="TRD9" s="103"/>
      <c r="TRE9" s="103"/>
      <c r="TRF9" s="103"/>
      <c r="TRG9" s="103"/>
      <c r="TRH9" s="103"/>
      <c r="TRI9" s="103"/>
      <c r="TRJ9" s="103"/>
      <c r="TRK9" s="103"/>
      <c r="TRL9" s="103"/>
      <c r="TRM9" s="103"/>
      <c r="TRN9" s="103"/>
      <c r="TRO9" s="103"/>
      <c r="TRP9" s="103"/>
      <c r="TRQ9" s="103"/>
      <c r="TRR9" s="103"/>
      <c r="TRS9" s="103"/>
      <c r="TRT9" s="103"/>
      <c r="TRU9" s="103"/>
      <c r="TRV9" s="103"/>
      <c r="TRW9" s="103"/>
      <c r="TRX9" s="103"/>
      <c r="TRY9" s="103"/>
      <c r="TRZ9" s="103"/>
      <c r="TSA9" s="103"/>
      <c r="TSB9" s="103"/>
      <c r="TSC9" s="103"/>
      <c r="TSD9" s="103"/>
      <c r="TSE9" s="103"/>
      <c r="TSF9" s="103"/>
      <c r="TSG9" s="103"/>
      <c r="TSH9" s="103"/>
      <c r="TSI9" s="103"/>
      <c r="TSJ9" s="103"/>
      <c r="TSK9" s="103"/>
      <c r="TSL9" s="103"/>
      <c r="TSM9" s="103"/>
      <c r="TSN9" s="103"/>
      <c r="TSO9" s="103"/>
      <c r="TSP9" s="103"/>
      <c r="TSQ9" s="103"/>
      <c r="TSR9" s="103"/>
      <c r="TSS9" s="103"/>
      <c r="TST9" s="103"/>
      <c r="TSU9" s="103"/>
      <c r="TSV9" s="103"/>
      <c r="TSW9" s="103"/>
      <c r="TSX9" s="103"/>
      <c r="TSY9" s="103"/>
      <c r="TSZ9" s="103"/>
      <c r="TTA9" s="103"/>
      <c r="TTB9" s="103"/>
      <c r="TTC9" s="103"/>
      <c r="TTD9" s="103"/>
      <c r="TTE9" s="103"/>
      <c r="TTF9" s="103"/>
      <c r="TTG9" s="103"/>
      <c r="TTH9" s="103"/>
      <c r="TTI9" s="103"/>
      <c r="TTJ9" s="103"/>
      <c r="TTK9" s="103"/>
      <c r="TTL9" s="103"/>
      <c r="TTM9" s="103"/>
      <c r="TTN9" s="103"/>
      <c r="TTO9" s="103"/>
      <c r="TTP9" s="103"/>
      <c r="TTQ9" s="103"/>
      <c r="TTR9" s="103"/>
      <c r="TTS9" s="103"/>
      <c r="TTT9" s="103"/>
      <c r="TTU9" s="103"/>
      <c r="TTV9" s="103"/>
      <c r="TTW9" s="103"/>
      <c r="TTX9" s="103"/>
      <c r="TTY9" s="103"/>
      <c r="TTZ9" s="103"/>
      <c r="TUA9" s="103"/>
      <c r="TUB9" s="103"/>
      <c r="TUC9" s="103"/>
      <c r="TUD9" s="103"/>
      <c r="TUE9" s="103"/>
      <c r="TUF9" s="103"/>
      <c r="TUG9" s="103"/>
      <c r="TUH9" s="103"/>
      <c r="TUI9" s="103"/>
      <c r="TUJ9" s="103"/>
      <c r="TUK9" s="103"/>
      <c r="TUL9" s="103"/>
      <c r="TUM9" s="103"/>
      <c r="TUN9" s="103"/>
      <c r="TUO9" s="103"/>
      <c r="TUP9" s="103"/>
      <c r="TUQ9" s="103"/>
      <c r="TUR9" s="103"/>
      <c r="TUS9" s="103"/>
      <c r="TUT9" s="103"/>
      <c r="TUU9" s="103"/>
      <c r="TUV9" s="103"/>
      <c r="TUW9" s="103"/>
      <c r="TUX9" s="103"/>
      <c r="TUY9" s="103"/>
      <c r="TUZ9" s="103"/>
      <c r="TVA9" s="103"/>
      <c r="TVB9" s="103"/>
      <c r="TVC9" s="103"/>
      <c r="TVD9" s="103"/>
      <c r="TVE9" s="103"/>
      <c r="TVF9" s="103"/>
      <c r="TVG9" s="103"/>
      <c r="TVH9" s="103"/>
      <c r="TVI9" s="103"/>
      <c r="TVJ9" s="103"/>
      <c r="TVK9" s="103"/>
      <c r="TVL9" s="103"/>
      <c r="TVM9" s="103"/>
      <c r="TVN9" s="103"/>
      <c r="TVO9" s="103"/>
      <c r="TVP9" s="103"/>
      <c r="TVQ9" s="103"/>
      <c r="TVR9" s="103"/>
      <c r="TVS9" s="103"/>
      <c r="TVT9" s="103"/>
      <c r="TVU9" s="103"/>
      <c r="TVV9" s="103"/>
      <c r="TVW9" s="103"/>
      <c r="TVX9" s="103"/>
      <c r="TVY9" s="103"/>
      <c r="TVZ9" s="103"/>
      <c r="TWA9" s="103"/>
      <c r="TWB9" s="103"/>
      <c r="TWC9" s="103"/>
      <c r="TWD9" s="103"/>
      <c r="TWE9" s="103"/>
      <c r="TWF9" s="103"/>
      <c r="TWG9" s="103"/>
      <c r="TWH9" s="103"/>
      <c r="TWI9" s="103"/>
      <c r="TWJ9" s="103"/>
      <c r="TWK9" s="103"/>
      <c r="TWL9" s="103"/>
      <c r="TWM9" s="103"/>
      <c r="TWN9" s="103"/>
      <c r="TWO9" s="103"/>
      <c r="TWP9" s="103"/>
      <c r="TWQ9" s="103"/>
      <c r="TWR9" s="103"/>
      <c r="TWS9" s="103"/>
      <c r="TWT9" s="103"/>
      <c r="TWU9" s="103"/>
      <c r="TWV9" s="103"/>
      <c r="TWW9" s="103"/>
      <c r="TWX9" s="103"/>
      <c r="TWY9" s="103"/>
      <c r="TWZ9" s="103"/>
      <c r="TXA9" s="103"/>
      <c r="TXB9" s="103"/>
      <c r="TXC9" s="103"/>
      <c r="TXD9" s="103"/>
      <c r="TXE9" s="103"/>
      <c r="TXF9" s="103"/>
      <c r="TXG9" s="103"/>
      <c r="TXH9" s="103"/>
      <c r="TXI9" s="103"/>
      <c r="TXJ9" s="103"/>
      <c r="TXK9" s="103"/>
      <c r="TXL9" s="103"/>
      <c r="TXM9" s="103"/>
      <c r="TXN9" s="103"/>
      <c r="TXO9" s="103"/>
      <c r="TXP9" s="103"/>
      <c r="TXQ9" s="103"/>
      <c r="TXR9" s="103"/>
      <c r="TXS9" s="103"/>
      <c r="TXT9" s="103"/>
      <c r="TXU9" s="103"/>
      <c r="TXV9" s="103"/>
      <c r="TXW9" s="103"/>
      <c r="TXX9" s="103"/>
      <c r="TXY9" s="103"/>
      <c r="TXZ9" s="103"/>
      <c r="TYA9" s="103"/>
      <c r="TYB9" s="103"/>
      <c r="TYC9" s="103"/>
      <c r="TYD9" s="103"/>
      <c r="TYE9" s="103"/>
      <c r="TYF9" s="103"/>
      <c r="TYG9" s="103"/>
      <c r="TYH9" s="103"/>
      <c r="TYI9" s="103"/>
      <c r="TYJ9" s="103"/>
      <c r="TYK9" s="103"/>
      <c r="TYL9" s="103"/>
      <c r="TYM9" s="103"/>
      <c r="TYN9" s="103"/>
      <c r="TYO9" s="103"/>
      <c r="TYP9" s="103"/>
      <c r="TYQ9" s="103"/>
      <c r="TYR9" s="103"/>
      <c r="TYS9" s="103"/>
      <c r="TYT9" s="103"/>
      <c r="TYU9" s="103"/>
      <c r="TYV9" s="103"/>
      <c r="TYW9" s="103"/>
      <c r="TYX9" s="103"/>
      <c r="TYY9" s="103"/>
      <c r="TYZ9" s="103"/>
      <c r="TZA9" s="103"/>
      <c r="TZB9" s="103"/>
      <c r="TZC9" s="103"/>
      <c r="TZD9" s="103"/>
      <c r="TZE9" s="103"/>
      <c r="TZF9" s="103"/>
      <c r="TZG9" s="103"/>
      <c r="TZH9" s="103"/>
      <c r="TZI9" s="103"/>
      <c r="TZJ9" s="103"/>
      <c r="TZK9" s="103"/>
      <c r="TZL9" s="103"/>
      <c r="TZM9" s="103"/>
      <c r="TZN9" s="103"/>
      <c r="TZO9" s="103"/>
      <c r="TZP9" s="103"/>
      <c r="TZQ9" s="103"/>
      <c r="TZR9" s="103"/>
      <c r="TZS9" s="103"/>
      <c r="TZT9" s="103"/>
      <c r="TZU9" s="103"/>
      <c r="TZV9" s="103"/>
      <c r="TZW9" s="103"/>
      <c r="TZX9" s="103"/>
      <c r="TZY9" s="103"/>
      <c r="TZZ9" s="103"/>
      <c r="UAA9" s="103"/>
      <c r="UAB9" s="103"/>
      <c r="UAC9" s="103"/>
      <c r="UAD9" s="103"/>
      <c r="UAE9" s="103"/>
      <c r="UAF9" s="103"/>
      <c r="UAG9" s="103"/>
      <c r="UAH9" s="103"/>
      <c r="UAI9" s="103"/>
      <c r="UAJ9" s="103"/>
      <c r="UAK9" s="103"/>
      <c r="UAL9" s="103"/>
      <c r="UAM9" s="103"/>
      <c r="UAN9" s="103"/>
      <c r="UAO9" s="103"/>
      <c r="UAP9" s="103"/>
      <c r="UAQ9" s="103"/>
      <c r="UAR9" s="103"/>
      <c r="UAS9" s="103"/>
      <c r="UAT9" s="103"/>
      <c r="UAU9" s="103"/>
      <c r="UAV9" s="103"/>
      <c r="UAW9" s="103"/>
      <c r="UAX9" s="103"/>
      <c r="UAY9" s="103"/>
      <c r="UAZ9" s="103"/>
      <c r="UBA9" s="103"/>
      <c r="UBB9" s="103"/>
      <c r="UBC9" s="103"/>
      <c r="UBD9" s="103"/>
      <c r="UBE9" s="103"/>
      <c r="UBF9" s="103"/>
      <c r="UBG9" s="103"/>
      <c r="UBH9" s="103"/>
      <c r="UBI9" s="103"/>
      <c r="UBJ9" s="103"/>
      <c r="UBK9" s="103"/>
      <c r="UBL9" s="103"/>
      <c r="UBM9" s="103"/>
      <c r="UBN9" s="103"/>
      <c r="UBO9" s="103"/>
      <c r="UBP9" s="103"/>
      <c r="UBQ9" s="103"/>
      <c r="UBR9" s="103"/>
      <c r="UBS9" s="103"/>
      <c r="UBT9" s="103"/>
      <c r="UBU9" s="103"/>
      <c r="UBV9" s="103"/>
      <c r="UBW9" s="103"/>
      <c r="UBX9" s="103"/>
      <c r="UBY9" s="103"/>
      <c r="UBZ9" s="103"/>
      <c r="UCA9" s="103"/>
      <c r="UCB9" s="103"/>
      <c r="UCC9" s="103"/>
      <c r="UCD9" s="103"/>
      <c r="UCE9" s="103"/>
      <c r="UCF9" s="103"/>
      <c r="UCG9" s="103"/>
      <c r="UCH9" s="103"/>
      <c r="UCI9" s="103"/>
      <c r="UCJ9" s="103"/>
      <c r="UCK9" s="103"/>
      <c r="UCL9" s="103"/>
      <c r="UCM9" s="103"/>
      <c r="UCN9" s="103"/>
      <c r="UCO9" s="103"/>
      <c r="UCP9" s="103"/>
      <c r="UCQ9" s="103"/>
      <c r="UCR9" s="103"/>
      <c r="UCS9" s="103"/>
      <c r="UCT9" s="103"/>
      <c r="UCU9" s="103"/>
      <c r="UCV9" s="103"/>
      <c r="UCW9" s="103"/>
      <c r="UCX9" s="103"/>
      <c r="UCY9" s="103"/>
      <c r="UCZ9" s="103"/>
      <c r="UDA9" s="103"/>
      <c r="UDB9" s="103"/>
      <c r="UDC9" s="103"/>
      <c r="UDD9" s="103"/>
      <c r="UDE9" s="103"/>
      <c r="UDF9" s="103"/>
      <c r="UDG9" s="103"/>
      <c r="UDH9" s="103"/>
      <c r="UDI9" s="103"/>
      <c r="UDJ9" s="103"/>
      <c r="UDK9" s="103"/>
      <c r="UDL9" s="103"/>
      <c r="UDM9" s="103"/>
      <c r="UDN9" s="103"/>
      <c r="UDO9" s="103"/>
      <c r="UDP9" s="103"/>
      <c r="UDQ9" s="103"/>
      <c r="UDR9" s="103"/>
      <c r="UDS9" s="103"/>
      <c r="UDT9" s="103"/>
      <c r="UDU9" s="103"/>
      <c r="UDV9" s="103"/>
      <c r="UDW9" s="103"/>
      <c r="UDX9" s="103"/>
      <c r="UDY9" s="103"/>
      <c r="UDZ9" s="103"/>
      <c r="UEA9" s="103"/>
      <c r="UEB9" s="103"/>
      <c r="UEC9" s="103"/>
      <c r="UED9" s="103"/>
      <c r="UEE9" s="103"/>
      <c r="UEF9" s="103"/>
      <c r="UEG9" s="103"/>
      <c r="UEH9" s="103"/>
      <c r="UEI9" s="103"/>
      <c r="UEJ9" s="103"/>
      <c r="UEK9" s="103"/>
      <c r="UEL9" s="103"/>
      <c r="UEM9" s="103"/>
      <c r="UEN9" s="103"/>
      <c r="UEO9" s="103"/>
      <c r="UEP9" s="103"/>
      <c r="UEQ9" s="103"/>
      <c r="UER9" s="103"/>
      <c r="UES9" s="103"/>
      <c r="UET9" s="103"/>
      <c r="UEU9" s="103"/>
      <c r="UEV9" s="103"/>
      <c r="UEW9" s="103"/>
      <c r="UEX9" s="103"/>
      <c r="UEY9" s="103"/>
      <c r="UEZ9" s="103"/>
      <c r="UFA9" s="103"/>
      <c r="UFB9" s="103"/>
      <c r="UFC9" s="103"/>
      <c r="UFD9" s="103"/>
      <c r="UFE9" s="103"/>
      <c r="UFF9" s="103"/>
      <c r="UFG9" s="103"/>
      <c r="UFH9" s="103"/>
      <c r="UFI9" s="103"/>
      <c r="UFJ9" s="103"/>
      <c r="UFK9" s="103"/>
      <c r="UFL9" s="103"/>
      <c r="UFM9" s="103"/>
      <c r="UFN9" s="103"/>
      <c r="UFO9" s="103"/>
      <c r="UFP9" s="103"/>
      <c r="UFQ9" s="103"/>
      <c r="UFR9" s="103"/>
      <c r="UFS9" s="103"/>
      <c r="UFT9" s="103"/>
      <c r="UFU9" s="103"/>
      <c r="UFV9" s="103"/>
      <c r="UFW9" s="103"/>
      <c r="UFX9" s="103"/>
      <c r="UFY9" s="103"/>
      <c r="UFZ9" s="103"/>
      <c r="UGA9" s="103"/>
      <c r="UGB9" s="103"/>
      <c r="UGC9" s="103"/>
      <c r="UGD9" s="103"/>
      <c r="UGE9" s="103"/>
      <c r="UGF9" s="103"/>
      <c r="UGG9" s="103"/>
      <c r="UGH9" s="103"/>
      <c r="UGI9" s="103"/>
      <c r="UGJ9" s="103"/>
      <c r="UGK9" s="103"/>
      <c r="UGL9" s="103"/>
      <c r="UGM9" s="103"/>
      <c r="UGN9" s="103"/>
      <c r="UGO9" s="103"/>
      <c r="UGP9" s="103"/>
      <c r="UGQ9" s="103"/>
      <c r="UGR9" s="103"/>
      <c r="UGS9" s="103"/>
      <c r="UGT9" s="103"/>
      <c r="UGU9" s="103"/>
      <c r="UGV9" s="103"/>
      <c r="UGW9" s="103"/>
      <c r="UGX9" s="103"/>
      <c r="UGY9" s="103"/>
      <c r="UGZ9" s="103"/>
      <c r="UHA9" s="103"/>
      <c r="UHB9" s="103"/>
      <c r="UHC9" s="103"/>
      <c r="UHD9" s="103"/>
      <c r="UHE9" s="103"/>
      <c r="UHF9" s="103"/>
      <c r="UHG9" s="103"/>
      <c r="UHH9" s="103"/>
      <c r="UHI9" s="103"/>
      <c r="UHJ9" s="103"/>
      <c r="UHK9" s="103"/>
      <c r="UHL9" s="103"/>
      <c r="UHM9" s="103"/>
      <c r="UHN9" s="103"/>
      <c r="UHO9" s="103"/>
      <c r="UHP9" s="103"/>
      <c r="UHQ9" s="103"/>
      <c r="UHR9" s="103"/>
      <c r="UHS9" s="103"/>
      <c r="UHT9" s="103"/>
      <c r="UHU9" s="103"/>
      <c r="UHV9" s="103"/>
      <c r="UHW9" s="103"/>
      <c r="UHX9" s="103"/>
      <c r="UHY9" s="103"/>
      <c r="UHZ9" s="103"/>
      <c r="UIA9" s="103"/>
      <c r="UIB9" s="103"/>
      <c r="UIC9" s="103"/>
      <c r="UID9" s="103"/>
      <c r="UIE9" s="103"/>
      <c r="UIF9" s="103"/>
      <c r="UIG9" s="103"/>
      <c r="UIH9" s="103"/>
      <c r="UII9" s="103"/>
      <c r="UIJ9" s="103"/>
      <c r="UIK9" s="103"/>
      <c r="UIL9" s="103"/>
      <c r="UIM9" s="103"/>
      <c r="UIN9" s="103"/>
      <c r="UIO9" s="103"/>
      <c r="UIP9" s="103"/>
      <c r="UIQ9" s="103"/>
      <c r="UIR9" s="103"/>
      <c r="UIS9" s="103"/>
      <c r="UIT9" s="103"/>
      <c r="UIU9" s="103"/>
      <c r="UIV9" s="103"/>
      <c r="UIW9" s="103"/>
      <c r="UIX9" s="103"/>
      <c r="UIY9" s="103"/>
      <c r="UIZ9" s="103"/>
      <c r="UJA9" s="103"/>
      <c r="UJB9" s="103"/>
      <c r="UJC9" s="103"/>
      <c r="UJD9" s="103"/>
      <c r="UJE9" s="103"/>
      <c r="UJF9" s="103"/>
      <c r="UJG9" s="103"/>
      <c r="UJH9" s="103"/>
      <c r="UJI9" s="103"/>
      <c r="UJJ9" s="103"/>
      <c r="UJK9" s="103"/>
      <c r="UJL9" s="103"/>
      <c r="UJM9" s="103"/>
      <c r="UJN9" s="103"/>
      <c r="UJO9" s="103"/>
      <c r="UJP9" s="103"/>
      <c r="UJQ9" s="103"/>
      <c r="UJR9" s="103"/>
      <c r="UJS9" s="103"/>
      <c r="UJT9" s="103"/>
      <c r="UJU9" s="103"/>
      <c r="UJV9" s="103"/>
      <c r="UJW9" s="103"/>
      <c r="UJX9" s="103"/>
      <c r="UJY9" s="103"/>
      <c r="UJZ9" s="103"/>
      <c r="UKA9" s="103"/>
      <c r="UKB9" s="103"/>
      <c r="UKC9" s="103"/>
      <c r="UKD9" s="103"/>
      <c r="UKE9" s="103"/>
      <c r="UKF9" s="103"/>
      <c r="UKG9" s="103"/>
      <c r="UKH9" s="103"/>
      <c r="UKI9" s="103"/>
      <c r="UKJ9" s="103"/>
      <c r="UKK9" s="103"/>
      <c r="UKL9" s="103"/>
      <c r="UKM9" s="103"/>
      <c r="UKN9" s="103"/>
      <c r="UKO9" s="103"/>
      <c r="UKP9" s="103"/>
      <c r="UKQ9" s="103"/>
      <c r="UKR9" s="103"/>
      <c r="UKS9" s="103"/>
      <c r="UKT9" s="103"/>
      <c r="UKU9" s="103"/>
      <c r="UKV9" s="103"/>
      <c r="UKW9" s="103"/>
      <c r="UKX9" s="103"/>
      <c r="UKY9" s="103"/>
      <c r="UKZ9" s="103"/>
      <c r="ULA9" s="103"/>
      <c r="ULB9" s="103"/>
      <c r="ULC9" s="103"/>
      <c r="ULD9" s="103"/>
      <c r="ULE9" s="103"/>
      <c r="ULF9" s="103"/>
      <c r="ULG9" s="103"/>
      <c r="ULH9" s="103"/>
      <c r="ULI9" s="103"/>
      <c r="ULJ9" s="103"/>
      <c r="ULK9" s="103"/>
      <c r="ULL9" s="103"/>
      <c r="ULM9" s="103"/>
      <c r="ULN9" s="103"/>
      <c r="ULO9" s="103"/>
      <c r="ULP9" s="103"/>
      <c r="ULQ9" s="103"/>
      <c r="ULR9" s="103"/>
      <c r="ULS9" s="103"/>
      <c r="ULT9" s="103"/>
      <c r="ULU9" s="103"/>
      <c r="ULV9" s="103"/>
      <c r="ULW9" s="103"/>
      <c r="ULX9" s="103"/>
      <c r="ULY9" s="103"/>
      <c r="ULZ9" s="103"/>
      <c r="UMA9" s="103"/>
      <c r="UMB9" s="103"/>
      <c r="UMC9" s="103"/>
      <c r="UMD9" s="103"/>
      <c r="UME9" s="103"/>
      <c r="UMF9" s="103"/>
      <c r="UMG9" s="103"/>
      <c r="UMH9" s="103"/>
      <c r="UMI9" s="103"/>
      <c r="UMJ9" s="103"/>
      <c r="UMK9" s="103"/>
      <c r="UML9" s="103"/>
      <c r="UMM9" s="103"/>
      <c r="UMN9" s="103"/>
      <c r="UMO9" s="103"/>
      <c r="UMP9" s="103"/>
      <c r="UMQ9" s="103"/>
      <c r="UMR9" s="103"/>
      <c r="UMS9" s="103"/>
      <c r="UMT9" s="103"/>
      <c r="UMU9" s="103"/>
      <c r="UMV9" s="103"/>
      <c r="UMW9" s="103"/>
      <c r="UMX9" s="103"/>
      <c r="UMY9" s="103"/>
      <c r="UMZ9" s="103"/>
      <c r="UNA9" s="103"/>
      <c r="UNB9" s="103"/>
      <c r="UNC9" s="103"/>
      <c r="UND9" s="103"/>
      <c r="UNE9" s="103"/>
      <c r="UNF9" s="103"/>
      <c r="UNG9" s="103"/>
      <c r="UNH9" s="103"/>
      <c r="UNI9" s="103"/>
      <c r="UNJ9" s="103"/>
      <c r="UNK9" s="103"/>
      <c r="UNL9" s="103"/>
      <c r="UNM9" s="103"/>
      <c r="UNN9" s="103"/>
      <c r="UNO9" s="103"/>
      <c r="UNP9" s="103"/>
      <c r="UNQ9" s="103"/>
      <c r="UNR9" s="103"/>
      <c r="UNS9" s="103"/>
      <c r="UNT9" s="103"/>
      <c r="UNU9" s="103"/>
      <c r="UNV9" s="103"/>
      <c r="UNW9" s="103"/>
      <c r="UNX9" s="103"/>
      <c r="UNY9" s="103"/>
      <c r="UNZ9" s="103"/>
      <c r="UOA9" s="103"/>
      <c r="UOB9" s="103"/>
      <c r="UOC9" s="103"/>
      <c r="UOD9" s="103"/>
      <c r="UOE9" s="103"/>
      <c r="UOF9" s="103"/>
      <c r="UOG9" s="103"/>
      <c r="UOH9" s="103"/>
      <c r="UOI9" s="103"/>
      <c r="UOJ9" s="103"/>
      <c r="UOK9" s="103"/>
      <c r="UOL9" s="103"/>
      <c r="UOM9" s="103"/>
      <c r="UON9" s="103"/>
      <c r="UOO9" s="103"/>
      <c r="UOP9" s="103"/>
      <c r="UOQ9" s="103"/>
      <c r="UOR9" s="103"/>
      <c r="UOS9" s="103"/>
      <c r="UOT9" s="103"/>
      <c r="UOU9" s="103"/>
      <c r="UOV9" s="103"/>
      <c r="UOW9" s="103"/>
      <c r="UOX9" s="103"/>
      <c r="UOY9" s="103"/>
      <c r="UOZ9" s="103"/>
      <c r="UPA9" s="103"/>
      <c r="UPB9" s="103"/>
      <c r="UPC9" s="103"/>
      <c r="UPD9" s="103"/>
      <c r="UPE9" s="103"/>
      <c r="UPF9" s="103"/>
      <c r="UPG9" s="103"/>
      <c r="UPH9" s="103"/>
      <c r="UPI9" s="103"/>
      <c r="UPJ9" s="103"/>
      <c r="UPK9" s="103"/>
      <c r="UPL9" s="103"/>
      <c r="UPM9" s="103"/>
      <c r="UPN9" s="103"/>
      <c r="UPO9" s="103"/>
      <c r="UPP9" s="103"/>
      <c r="UPQ9" s="103"/>
      <c r="UPR9" s="103"/>
      <c r="UPS9" s="103"/>
      <c r="UPT9" s="103"/>
      <c r="UPU9" s="103"/>
      <c r="UPV9" s="103"/>
      <c r="UPW9" s="103"/>
      <c r="UPX9" s="103"/>
      <c r="UPY9" s="103"/>
      <c r="UPZ9" s="103"/>
      <c r="UQA9" s="103"/>
      <c r="UQB9" s="103"/>
      <c r="UQC9" s="103"/>
      <c r="UQD9" s="103"/>
      <c r="UQE9" s="103"/>
      <c r="UQF9" s="103"/>
      <c r="UQG9" s="103"/>
      <c r="UQH9" s="103"/>
      <c r="UQI9" s="103"/>
      <c r="UQJ9" s="103"/>
      <c r="UQK9" s="103"/>
      <c r="UQL9" s="103"/>
      <c r="UQM9" s="103"/>
      <c r="UQN9" s="103"/>
      <c r="UQO9" s="103"/>
      <c r="UQP9" s="103"/>
      <c r="UQQ9" s="103"/>
      <c r="UQR9" s="103"/>
      <c r="UQS9" s="103"/>
      <c r="UQT9" s="103"/>
      <c r="UQU9" s="103"/>
      <c r="UQV9" s="103"/>
      <c r="UQW9" s="103"/>
      <c r="UQX9" s="103"/>
      <c r="UQY9" s="103"/>
      <c r="UQZ9" s="103"/>
      <c r="URA9" s="103"/>
      <c r="URB9" s="103"/>
      <c r="URC9" s="103"/>
      <c r="URD9" s="103"/>
      <c r="URE9" s="103"/>
      <c r="URF9" s="103"/>
      <c r="URG9" s="103"/>
      <c r="URH9" s="103"/>
      <c r="URI9" s="103"/>
      <c r="URJ9" s="103"/>
      <c r="URK9" s="103"/>
      <c r="URL9" s="103"/>
      <c r="URM9" s="103"/>
      <c r="URN9" s="103"/>
      <c r="URO9" s="103"/>
      <c r="URP9" s="103"/>
      <c r="URQ9" s="103"/>
      <c r="URR9" s="103"/>
      <c r="URS9" s="103"/>
      <c r="URT9" s="103"/>
      <c r="URU9" s="103"/>
      <c r="URV9" s="103"/>
      <c r="URW9" s="103"/>
      <c r="URX9" s="103"/>
      <c r="URY9" s="103"/>
      <c r="URZ9" s="103"/>
      <c r="USA9" s="103"/>
      <c r="USB9" s="103"/>
      <c r="USC9" s="103"/>
      <c r="USD9" s="103"/>
      <c r="USE9" s="103"/>
      <c r="USF9" s="103"/>
      <c r="USG9" s="103"/>
      <c r="USH9" s="103"/>
      <c r="USI9" s="103"/>
      <c r="USJ9" s="103"/>
      <c r="USK9" s="103"/>
      <c r="USL9" s="103"/>
      <c r="USM9" s="103"/>
      <c r="USN9" s="103"/>
      <c r="USO9" s="103"/>
      <c r="USP9" s="103"/>
      <c r="USQ9" s="103"/>
      <c r="USR9" s="103"/>
      <c r="USS9" s="103"/>
      <c r="UST9" s="103"/>
      <c r="USU9" s="103"/>
      <c r="USV9" s="103"/>
      <c r="USW9" s="103"/>
      <c r="USX9" s="103"/>
      <c r="USY9" s="103"/>
      <c r="USZ9" s="103"/>
      <c r="UTA9" s="103"/>
      <c r="UTB9" s="103"/>
      <c r="UTC9" s="103"/>
      <c r="UTD9" s="103"/>
      <c r="UTE9" s="103"/>
      <c r="UTF9" s="103"/>
      <c r="UTG9" s="103"/>
      <c r="UTH9" s="103"/>
      <c r="UTI9" s="103"/>
      <c r="UTJ9" s="103"/>
      <c r="UTK9" s="103"/>
      <c r="UTL9" s="103"/>
      <c r="UTM9" s="103"/>
      <c r="UTN9" s="103"/>
      <c r="UTO9" s="103"/>
      <c r="UTP9" s="103"/>
      <c r="UTQ9" s="103"/>
      <c r="UTR9" s="103"/>
      <c r="UTS9" s="103"/>
      <c r="UTT9" s="103"/>
      <c r="UTU9" s="103"/>
      <c r="UTV9" s="103"/>
      <c r="UTW9" s="103"/>
      <c r="UTX9" s="103"/>
      <c r="UTY9" s="103"/>
      <c r="UTZ9" s="103"/>
      <c r="UUA9" s="103"/>
      <c r="UUB9" s="103"/>
      <c r="UUC9" s="103"/>
      <c r="UUD9" s="103"/>
      <c r="UUE9" s="103"/>
      <c r="UUF9" s="103"/>
      <c r="UUG9" s="103"/>
      <c r="UUH9" s="103"/>
      <c r="UUI9" s="103"/>
      <c r="UUJ9" s="103"/>
      <c r="UUK9" s="103"/>
      <c r="UUL9" s="103"/>
      <c r="UUM9" s="103"/>
      <c r="UUN9" s="103"/>
      <c r="UUO9" s="103"/>
      <c r="UUP9" s="103"/>
      <c r="UUQ9" s="103"/>
      <c r="UUR9" s="103"/>
      <c r="UUS9" s="103"/>
      <c r="UUT9" s="103"/>
      <c r="UUU9" s="103"/>
      <c r="UUV9" s="103"/>
      <c r="UUW9" s="103"/>
      <c r="UUX9" s="103"/>
      <c r="UUY9" s="103"/>
      <c r="UUZ9" s="103"/>
      <c r="UVA9" s="103"/>
      <c r="UVB9" s="103"/>
      <c r="UVC9" s="103"/>
      <c r="UVD9" s="103"/>
      <c r="UVE9" s="103"/>
      <c r="UVF9" s="103"/>
      <c r="UVG9" s="103"/>
      <c r="UVH9" s="103"/>
      <c r="UVI9" s="103"/>
      <c r="UVJ9" s="103"/>
      <c r="UVK9" s="103"/>
      <c r="UVL9" s="103"/>
      <c r="UVM9" s="103"/>
      <c r="UVN9" s="103"/>
      <c r="UVO9" s="103"/>
      <c r="UVP9" s="103"/>
      <c r="UVQ9" s="103"/>
      <c r="UVR9" s="103"/>
      <c r="UVS9" s="103"/>
      <c r="UVT9" s="103"/>
      <c r="UVU9" s="103"/>
      <c r="UVV9" s="103"/>
      <c r="UVW9" s="103"/>
      <c r="UVX9" s="103"/>
      <c r="UVY9" s="103"/>
      <c r="UVZ9" s="103"/>
      <c r="UWA9" s="103"/>
      <c r="UWB9" s="103"/>
      <c r="UWC9" s="103"/>
      <c r="UWD9" s="103"/>
      <c r="UWE9" s="103"/>
      <c r="UWF9" s="103"/>
      <c r="UWG9" s="103"/>
      <c r="UWH9" s="103"/>
      <c r="UWI9" s="103"/>
      <c r="UWJ9" s="103"/>
      <c r="UWK9" s="103"/>
      <c r="UWL9" s="103"/>
      <c r="UWM9" s="103"/>
      <c r="UWN9" s="103"/>
      <c r="UWO9" s="103"/>
      <c r="UWP9" s="103"/>
      <c r="UWQ9" s="103"/>
      <c r="UWR9" s="103"/>
      <c r="UWS9" s="103"/>
      <c r="UWT9" s="103"/>
      <c r="UWU9" s="103"/>
      <c r="UWV9" s="103"/>
      <c r="UWW9" s="103"/>
      <c r="UWX9" s="103"/>
      <c r="UWY9" s="103"/>
      <c r="UWZ9" s="103"/>
      <c r="UXA9" s="103"/>
      <c r="UXB9" s="103"/>
      <c r="UXC9" s="103"/>
      <c r="UXD9" s="103"/>
      <c r="UXE9" s="103"/>
      <c r="UXF9" s="103"/>
      <c r="UXG9" s="103"/>
      <c r="UXH9" s="103"/>
      <c r="UXI9" s="103"/>
      <c r="UXJ9" s="103"/>
      <c r="UXK9" s="103"/>
      <c r="UXL9" s="103"/>
      <c r="UXM9" s="103"/>
      <c r="UXN9" s="103"/>
      <c r="UXO9" s="103"/>
      <c r="UXP9" s="103"/>
      <c r="UXQ9" s="103"/>
      <c r="UXR9" s="103"/>
      <c r="UXS9" s="103"/>
      <c r="UXT9" s="103"/>
      <c r="UXU9" s="103"/>
      <c r="UXV9" s="103"/>
      <c r="UXW9" s="103"/>
      <c r="UXX9" s="103"/>
      <c r="UXY9" s="103"/>
      <c r="UXZ9" s="103"/>
      <c r="UYA9" s="103"/>
      <c r="UYB9" s="103"/>
      <c r="UYC9" s="103"/>
      <c r="UYD9" s="103"/>
      <c r="UYE9" s="103"/>
      <c r="UYF9" s="103"/>
      <c r="UYG9" s="103"/>
      <c r="UYH9" s="103"/>
      <c r="UYI9" s="103"/>
      <c r="UYJ9" s="103"/>
      <c r="UYK9" s="103"/>
      <c r="UYL9" s="103"/>
      <c r="UYM9" s="103"/>
      <c r="UYN9" s="103"/>
      <c r="UYO9" s="103"/>
      <c r="UYP9" s="103"/>
      <c r="UYQ9" s="103"/>
      <c r="UYR9" s="103"/>
      <c r="UYS9" s="103"/>
      <c r="UYT9" s="103"/>
      <c r="UYU9" s="103"/>
      <c r="UYV9" s="103"/>
      <c r="UYW9" s="103"/>
      <c r="UYX9" s="103"/>
      <c r="UYY9" s="103"/>
      <c r="UYZ9" s="103"/>
      <c r="UZA9" s="103"/>
      <c r="UZB9" s="103"/>
      <c r="UZC9" s="103"/>
      <c r="UZD9" s="103"/>
      <c r="UZE9" s="103"/>
      <c r="UZF9" s="103"/>
      <c r="UZG9" s="103"/>
      <c r="UZH9" s="103"/>
      <c r="UZI9" s="103"/>
      <c r="UZJ9" s="103"/>
      <c r="UZK9" s="103"/>
      <c r="UZL9" s="103"/>
      <c r="UZM9" s="103"/>
      <c r="UZN9" s="103"/>
      <c r="UZO9" s="103"/>
      <c r="UZP9" s="103"/>
      <c r="UZQ9" s="103"/>
      <c r="UZR9" s="103"/>
      <c r="UZS9" s="103"/>
      <c r="UZT9" s="103"/>
      <c r="UZU9" s="103"/>
      <c r="UZV9" s="103"/>
      <c r="UZW9" s="103"/>
      <c r="UZX9" s="103"/>
      <c r="UZY9" s="103"/>
      <c r="UZZ9" s="103"/>
      <c r="VAA9" s="103"/>
      <c r="VAB9" s="103"/>
      <c r="VAC9" s="103"/>
      <c r="VAD9" s="103"/>
      <c r="VAE9" s="103"/>
      <c r="VAF9" s="103"/>
      <c r="VAG9" s="103"/>
      <c r="VAH9" s="103"/>
      <c r="VAI9" s="103"/>
      <c r="VAJ9" s="103"/>
      <c r="VAK9" s="103"/>
      <c r="VAL9" s="103"/>
      <c r="VAM9" s="103"/>
      <c r="VAN9" s="103"/>
      <c r="VAO9" s="103"/>
      <c r="VAP9" s="103"/>
      <c r="VAQ9" s="103"/>
      <c r="VAR9" s="103"/>
      <c r="VAS9" s="103"/>
      <c r="VAT9" s="103"/>
      <c r="VAU9" s="103"/>
      <c r="VAV9" s="103"/>
      <c r="VAW9" s="103"/>
      <c r="VAX9" s="103"/>
      <c r="VAY9" s="103"/>
      <c r="VAZ9" s="103"/>
      <c r="VBA9" s="103"/>
      <c r="VBB9" s="103"/>
      <c r="VBC9" s="103"/>
      <c r="VBD9" s="103"/>
      <c r="VBE9" s="103"/>
      <c r="VBF9" s="103"/>
      <c r="VBG9" s="103"/>
      <c r="VBH9" s="103"/>
      <c r="VBI9" s="103"/>
      <c r="VBJ9" s="103"/>
      <c r="VBK9" s="103"/>
      <c r="VBL9" s="103"/>
      <c r="VBM9" s="103"/>
      <c r="VBN9" s="103"/>
      <c r="VBO9" s="103"/>
      <c r="VBP9" s="103"/>
      <c r="VBQ9" s="103"/>
      <c r="VBR9" s="103"/>
      <c r="VBS9" s="103"/>
      <c r="VBT9" s="103"/>
      <c r="VBU9" s="103"/>
      <c r="VBV9" s="103"/>
      <c r="VBW9" s="103"/>
      <c r="VBX9" s="103"/>
      <c r="VBY9" s="103"/>
      <c r="VBZ9" s="103"/>
      <c r="VCA9" s="103"/>
      <c r="VCB9" s="103"/>
      <c r="VCC9" s="103"/>
      <c r="VCD9" s="103"/>
      <c r="VCE9" s="103"/>
      <c r="VCF9" s="103"/>
      <c r="VCG9" s="103"/>
      <c r="VCH9" s="103"/>
      <c r="VCI9" s="103"/>
      <c r="VCJ9" s="103"/>
      <c r="VCK9" s="103"/>
      <c r="VCL9" s="103"/>
      <c r="VCM9" s="103"/>
      <c r="VCN9" s="103"/>
      <c r="VCO9" s="103"/>
      <c r="VCP9" s="103"/>
      <c r="VCQ9" s="103"/>
      <c r="VCR9" s="103"/>
      <c r="VCS9" s="103"/>
      <c r="VCT9" s="103"/>
      <c r="VCU9" s="103"/>
      <c r="VCV9" s="103"/>
      <c r="VCW9" s="103"/>
      <c r="VCX9" s="103"/>
      <c r="VCY9" s="103"/>
      <c r="VCZ9" s="103"/>
      <c r="VDA9" s="103"/>
      <c r="VDB9" s="103"/>
      <c r="VDC9" s="103"/>
      <c r="VDD9" s="103"/>
      <c r="VDE9" s="103"/>
      <c r="VDF9" s="103"/>
      <c r="VDG9" s="103"/>
      <c r="VDH9" s="103"/>
      <c r="VDI9" s="103"/>
      <c r="VDJ9" s="103"/>
      <c r="VDK9" s="103"/>
      <c r="VDL9" s="103"/>
      <c r="VDM9" s="103"/>
      <c r="VDN9" s="103"/>
      <c r="VDO9" s="103"/>
      <c r="VDP9" s="103"/>
      <c r="VDQ9" s="103"/>
      <c r="VDR9" s="103"/>
      <c r="VDS9" s="103"/>
      <c r="VDT9" s="103"/>
      <c r="VDU9" s="103"/>
      <c r="VDV9" s="103"/>
      <c r="VDW9" s="103"/>
      <c r="VDX9" s="103"/>
      <c r="VDY9" s="103"/>
      <c r="VDZ9" s="103"/>
      <c r="VEA9" s="103"/>
      <c r="VEB9" s="103"/>
      <c r="VEC9" s="103"/>
      <c r="VED9" s="103"/>
      <c r="VEE9" s="103"/>
      <c r="VEF9" s="103"/>
      <c r="VEG9" s="103"/>
      <c r="VEH9" s="103"/>
      <c r="VEI9" s="103"/>
      <c r="VEJ9" s="103"/>
      <c r="VEK9" s="103"/>
      <c r="VEL9" s="103"/>
      <c r="VEM9" s="103"/>
      <c r="VEN9" s="103"/>
      <c r="VEO9" s="103"/>
      <c r="VEP9" s="103"/>
      <c r="VEQ9" s="103"/>
      <c r="VER9" s="103"/>
      <c r="VES9" s="103"/>
      <c r="VET9" s="103"/>
      <c r="VEU9" s="103"/>
      <c r="VEV9" s="103"/>
      <c r="VEW9" s="103"/>
      <c r="VEX9" s="103"/>
      <c r="VEY9" s="103"/>
      <c r="VEZ9" s="103"/>
      <c r="VFA9" s="103"/>
      <c r="VFB9" s="103"/>
      <c r="VFC9" s="103"/>
      <c r="VFD9" s="103"/>
      <c r="VFE9" s="103"/>
      <c r="VFF9" s="103"/>
      <c r="VFG9" s="103"/>
      <c r="VFH9" s="103"/>
      <c r="VFI9" s="103"/>
      <c r="VFJ9" s="103"/>
      <c r="VFK9" s="103"/>
      <c r="VFL9" s="103"/>
      <c r="VFM9" s="103"/>
      <c r="VFN9" s="103"/>
      <c r="VFO9" s="103"/>
      <c r="VFP9" s="103"/>
      <c r="VFQ9" s="103"/>
      <c r="VFR9" s="103"/>
      <c r="VFS9" s="103"/>
      <c r="VFT9" s="103"/>
      <c r="VFU9" s="103"/>
      <c r="VFV9" s="103"/>
      <c r="VFW9" s="103"/>
      <c r="VFX9" s="103"/>
      <c r="VFY9" s="103"/>
      <c r="VFZ9" s="103"/>
      <c r="VGA9" s="103"/>
      <c r="VGB9" s="103"/>
      <c r="VGC9" s="103"/>
      <c r="VGD9" s="103"/>
      <c r="VGE9" s="103"/>
      <c r="VGF9" s="103"/>
      <c r="VGG9" s="103"/>
      <c r="VGH9" s="103"/>
      <c r="VGI9" s="103"/>
      <c r="VGJ9" s="103"/>
      <c r="VGK9" s="103"/>
      <c r="VGL9" s="103"/>
      <c r="VGM9" s="103"/>
      <c r="VGN9" s="103"/>
      <c r="VGO9" s="103"/>
      <c r="VGP9" s="103"/>
      <c r="VGQ9" s="103"/>
      <c r="VGR9" s="103"/>
      <c r="VGS9" s="103"/>
      <c r="VGT9" s="103"/>
      <c r="VGU9" s="103"/>
      <c r="VGV9" s="103"/>
      <c r="VGW9" s="103"/>
      <c r="VGX9" s="103"/>
      <c r="VGY9" s="103"/>
      <c r="VGZ9" s="103"/>
      <c r="VHA9" s="103"/>
      <c r="VHB9" s="103"/>
      <c r="VHC9" s="103"/>
      <c r="VHD9" s="103"/>
      <c r="VHE9" s="103"/>
      <c r="VHF9" s="103"/>
      <c r="VHG9" s="103"/>
      <c r="VHH9" s="103"/>
      <c r="VHI9" s="103"/>
      <c r="VHJ9" s="103"/>
      <c r="VHK9" s="103"/>
      <c r="VHL9" s="103"/>
      <c r="VHM9" s="103"/>
      <c r="VHN9" s="103"/>
      <c r="VHO9" s="103"/>
      <c r="VHP9" s="103"/>
      <c r="VHQ9" s="103"/>
      <c r="VHR9" s="103"/>
      <c r="VHS9" s="103"/>
      <c r="VHT9" s="103"/>
      <c r="VHU9" s="103"/>
      <c r="VHV9" s="103"/>
      <c r="VHW9" s="103"/>
      <c r="VHX9" s="103"/>
      <c r="VHY9" s="103"/>
      <c r="VHZ9" s="103"/>
      <c r="VIA9" s="103"/>
      <c r="VIB9" s="103"/>
      <c r="VIC9" s="103"/>
      <c r="VID9" s="103"/>
      <c r="VIE9" s="103"/>
      <c r="VIF9" s="103"/>
      <c r="VIG9" s="103"/>
      <c r="VIH9" s="103"/>
      <c r="VII9" s="103"/>
      <c r="VIJ9" s="103"/>
      <c r="VIK9" s="103"/>
      <c r="VIL9" s="103"/>
      <c r="VIM9" s="103"/>
      <c r="VIN9" s="103"/>
      <c r="VIO9" s="103"/>
      <c r="VIP9" s="103"/>
      <c r="VIQ9" s="103"/>
      <c r="VIR9" s="103"/>
      <c r="VIS9" s="103"/>
      <c r="VIT9" s="103"/>
      <c r="VIU9" s="103"/>
      <c r="VIV9" s="103"/>
      <c r="VIW9" s="103"/>
      <c r="VIX9" s="103"/>
      <c r="VIY9" s="103"/>
      <c r="VIZ9" s="103"/>
      <c r="VJA9" s="103"/>
      <c r="VJB9" s="103"/>
      <c r="VJC9" s="103"/>
      <c r="VJD9" s="103"/>
      <c r="VJE9" s="103"/>
      <c r="VJF9" s="103"/>
      <c r="VJG9" s="103"/>
      <c r="VJH9" s="103"/>
      <c r="VJI9" s="103"/>
      <c r="VJJ9" s="103"/>
      <c r="VJK9" s="103"/>
      <c r="VJL9" s="103"/>
      <c r="VJM9" s="103"/>
      <c r="VJN9" s="103"/>
      <c r="VJO9" s="103"/>
      <c r="VJP9" s="103"/>
      <c r="VJQ9" s="103"/>
      <c r="VJR9" s="103"/>
      <c r="VJS9" s="103"/>
      <c r="VJT9" s="103"/>
      <c r="VJU9" s="103"/>
      <c r="VJV9" s="103"/>
      <c r="VJW9" s="103"/>
      <c r="VJX9" s="103"/>
      <c r="VJY9" s="103"/>
      <c r="VJZ9" s="103"/>
      <c r="VKA9" s="103"/>
      <c r="VKB9" s="103"/>
      <c r="VKC9" s="103"/>
      <c r="VKD9" s="103"/>
      <c r="VKE9" s="103"/>
      <c r="VKF9" s="103"/>
      <c r="VKG9" s="103"/>
      <c r="VKH9" s="103"/>
      <c r="VKI9" s="103"/>
      <c r="VKJ9" s="103"/>
      <c r="VKK9" s="103"/>
      <c r="VKL9" s="103"/>
      <c r="VKM9" s="103"/>
      <c r="VKN9" s="103"/>
      <c r="VKO9" s="103"/>
      <c r="VKP9" s="103"/>
      <c r="VKQ9" s="103"/>
      <c r="VKR9" s="103"/>
      <c r="VKS9" s="103"/>
      <c r="VKT9" s="103"/>
      <c r="VKU9" s="103"/>
      <c r="VKV9" s="103"/>
      <c r="VKW9" s="103"/>
      <c r="VKX9" s="103"/>
      <c r="VKY9" s="103"/>
      <c r="VKZ9" s="103"/>
      <c r="VLA9" s="103"/>
      <c r="VLB9" s="103"/>
      <c r="VLC9" s="103"/>
      <c r="VLD9" s="103"/>
      <c r="VLE9" s="103"/>
      <c r="VLF9" s="103"/>
      <c r="VLG9" s="103"/>
      <c r="VLH9" s="103"/>
      <c r="VLI9" s="103"/>
      <c r="VLJ9" s="103"/>
      <c r="VLK9" s="103"/>
      <c r="VLL9" s="103"/>
      <c r="VLM9" s="103"/>
      <c r="VLN9" s="103"/>
      <c r="VLO9" s="103"/>
      <c r="VLP9" s="103"/>
      <c r="VLQ9" s="103"/>
      <c r="VLR9" s="103"/>
      <c r="VLS9" s="103"/>
      <c r="VLT9" s="103"/>
      <c r="VLU9" s="103"/>
      <c r="VLV9" s="103"/>
      <c r="VLW9" s="103"/>
      <c r="VLX9" s="103"/>
      <c r="VLY9" s="103"/>
      <c r="VLZ9" s="103"/>
      <c r="VMA9" s="103"/>
      <c r="VMB9" s="103"/>
      <c r="VMC9" s="103"/>
      <c r="VMD9" s="103"/>
      <c r="VME9" s="103"/>
      <c r="VMF9" s="103"/>
      <c r="VMG9" s="103"/>
      <c r="VMH9" s="103"/>
      <c r="VMI9" s="103"/>
      <c r="VMJ9" s="103"/>
      <c r="VMK9" s="103"/>
      <c r="VML9" s="103"/>
      <c r="VMM9" s="103"/>
      <c r="VMN9" s="103"/>
      <c r="VMO9" s="103"/>
      <c r="VMP9" s="103"/>
      <c r="VMQ9" s="103"/>
      <c r="VMR9" s="103"/>
      <c r="VMS9" s="103"/>
      <c r="VMT9" s="103"/>
      <c r="VMU9" s="103"/>
      <c r="VMV9" s="103"/>
      <c r="VMW9" s="103"/>
      <c r="VMX9" s="103"/>
      <c r="VMY9" s="103"/>
      <c r="VMZ9" s="103"/>
      <c r="VNA9" s="103"/>
      <c r="VNB9" s="103"/>
      <c r="VNC9" s="103"/>
      <c r="VND9" s="103"/>
      <c r="VNE9" s="103"/>
      <c r="VNF9" s="103"/>
      <c r="VNG9" s="103"/>
      <c r="VNH9" s="103"/>
      <c r="VNI9" s="103"/>
      <c r="VNJ9" s="103"/>
      <c r="VNK9" s="103"/>
      <c r="VNL9" s="103"/>
      <c r="VNM9" s="103"/>
      <c r="VNN9" s="103"/>
      <c r="VNO9" s="103"/>
      <c r="VNP9" s="103"/>
      <c r="VNQ9" s="103"/>
      <c r="VNR9" s="103"/>
      <c r="VNS9" s="103"/>
      <c r="VNT9" s="103"/>
      <c r="VNU9" s="103"/>
      <c r="VNV9" s="103"/>
      <c r="VNW9" s="103"/>
      <c r="VNX9" s="103"/>
      <c r="VNY9" s="103"/>
      <c r="VNZ9" s="103"/>
      <c r="VOA9" s="103"/>
      <c r="VOB9" s="103"/>
      <c r="VOC9" s="103"/>
      <c r="VOD9" s="103"/>
      <c r="VOE9" s="103"/>
      <c r="VOF9" s="103"/>
      <c r="VOG9" s="103"/>
      <c r="VOH9" s="103"/>
      <c r="VOI9" s="103"/>
      <c r="VOJ9" s="103"/>
      <c r="VOK9" s="103"/>
      <c r="VOL9" s="103"/>
      <c r="VOM9" s="103"/>
      <c r="VON9" s="103"/>
      <c r="VOO9" s="103"/>
      <c r="VOP9" s="103"/>
      <c r="VOQ9" s="103"/>
      <c r="VOR9" s="103"/>
      <c r="VOS9" s="103"/>
      <c r="VOT9" s="103"/>
      <c r="VOU9" s="103"/>
      <c r="VOV9" s="103"/>
      <c r="VOW9" s="103"/>
      <c r="VOX9" s="103"/>
      <c r="VOY9" s="103"/>
      <c r="VOZ9" s="103"/>
      <c r="VPA9" s="103"/>
      <c r="VPB9" s="103"/>
      <c r="VPC9" s="103"/>
      <c r="VPD9" s="103"/>
      <c r="VPE9" s="103"/>
      <c r="VPF9" s="103"/>
      <c r="VPG9" s="103"/>
      <c r="VPH9" s="103"/>
      <c r="VPI9" s="103"/>
      <c r="VPJ9" s="103"/>
      <c r="VPK9" s="103"/>
      <c r="VPL9" s="103"/>
      <c r="VPM9" s="103"/>
      <c r="VPN9" s="103"/>
      <c r="VPO9" s="103"/>
      <c r="VPP9" s="103"/>
      <c r="VPQ9" s="103"/>
      <c r="VPR9" s="103"/>
      <c r="VPS9" s="103"/>
      <c r="VPT9" s="103"/>
      <c r="VPU9" s="103"/>
      <c r="VPV9" s="103"/>
      <c r="VPW9" s="103"/>
      <c r="VPX9" s="103"/>
      <c r="VPY9" s="103"/>
      <c r="VPZ9" s="103"/>
      <c r="VQA9" s="103"/>
      <c r="VQB9" s="103"/>
      <c r="VQC9" s="103"/>
      <c r="VQD9" s="103"/>
      <c r="VQE9" s="103"/>
      <c r="VQF9" s="103"/>
      <c r="VQG9" s="103"/>
      <c r="VQH9" s="103"/>
      <c r="VQI9" s="103"/>
      <c r="VQJ9" s="103"/>
      <c r="VQK9" s="103"/>
      <c r="VQL9" s="103"/>
      <c r="VQM9" s="103"/>
      <c r="VQN9" s="103"/>
      <c r="VQO9" s="103"/>
      <c r="VQP9" s="103"/>
      <c r="VQQ9" s="103"/>
      <c r="VQR9" s="103"/>
      <c r="VQS9" s="103"/>
      <c r="VQT9" s="103"/>
      <c r="VQU9" s="103"/>
      <c r="VQV9" s="103"/>
      <c r="VQW9" s="103"/>
      <c r="VQX9" s="103"/>
      <c r="VQY9" s="103"/>
      <c r="VQZ9" s="103"/>
      <c r="VRA9" s="103"/>
      <c r="VRB9" s="103"/>
      <c r="VRC9" s="103"/>
      <c r="VRD9" s="103"/>
      <c r="VRE9" s="103"/>
      <c r="VRF9" s="103"/>
      <c r="VRG9" s="103"/>
      <c r="VRH9" s="103"/>
      <c r="VRI9" s="103"/>
      <c r="VRJ9" s="103"/>
      <c r="VRK9" s="103"/>
      <c r="VRL9" s="103"/>
      <c r="VRM9" s="103"/>
      <c r="VRN9" s="103"/>
      <c r="VRO9" s="103"/>
      <c r="VRP9" s="103"/>
      <c r="VRQ9" s="103"/>
      <c r="VRR9" s="103"/>
      <c r="VRS9" s="103"/>
      <c r="VRT9" s="103"/>
      <c r="VRU9" s="103"/>
      <c r="VRV9" s="103"/>
      <c r="VRW9" s="103"/>
      <c r="VRX9" s="103"/>
      <c r="VRY9" s="103"/>
      <c r="VRZ9" s="103"/>
      <c r="VSA9" s="103"/>
      <c r="VSB9" s="103"/>
      <c r="VSC9" s="103"/>
      <c r="VSD9" s="103"/>
      <c r="VSE9" s="103"/>
      <c r="VSF9" s="103"/>
      <c r="VSG9" s="103"/>
      <c r="VSH9" s="103"/>
      <c r="VSI9" s="103"/>
      <c r="VSJ9" s="103"/>
      <c r="VSK9" s="103"/>
      <c r="VSL9" s="103"/>
      <c r="VSM9" s="103"/>
      <c r="VSN9" s="103"/>
      <c r="VSO9" s="103"/>
      <c r="VSP9" s="103"/>
      <c r="VSQ9" s="103"/>
      <c r="VSR9" s="103"/>
      <c r="VSS9" s="103"/>
      <c r="VST9" s="103"/>
      <c r="VSU9" s="103"/>
      <c r="VSV9" s="103"/>
      <c r="VSW9" s="103"/>
      <c r="VSX9" s="103"/>
      <c r="VSY9" s="103"/>
      <c r="VSZ9" s="103"/>
      <c r="VTA9" s="103"/>
      <c r="VTB9" s="103"/>
      <c r="VTC9" s="103"/>
      <c r="VTD9" s="103"/>
      <c r="VTE9" s="103"/>
      <c r="VTF9" s="103"/>
      <c r="VTG9" s="103"/>
      <c r="VTH9" s="103"/>
      <c r="VTI9" s="103"/>
      <c r="VTJ9" s="103"/>
      <c r="VTK9" s="103"/>
      <c r="VTL9" s="103"/>
      <c r="VTM9" s="103"/>
      <c r="VTN9" s="103"/>
      <c r="VTO9" s="103"/>
      <c r="VTP9" s="103"/>
      <c r="VTQ9" s="103"/>
      <c r="VTR9" s="103"/>
      <c r="VTS9" s="103"/>
      <c r="VTT9" s="103"/>
      <c r="VTU9" s="103"/>
      <c r="VTV9" s="103"/>
      <c r="VTW9" s="103"/>
      <c r="VTX9" s="103"/>
      <c r="VTY9" s="103"/>
      <c r="VTZ9" s="103"/>
      <c r="VUA9" s="103"/>
      <c r="VUB9" s="103"/>
      <c r="VUC9" s="103"/>
      <c r="VUD9" s="103"/>
      <c r="VUE9" s="103"/>
      <c r="VUF9" s="103"/>
      <c r="VUG9" s="103"/>
      <c r="VUH9" s="103"/>
      <c r="VUI9" s="103"/>
      <c r="VUJ9" s="103"/>
      <c r="VUK9" s="103"/>
      <c r="VUL9" s="103"/>
      <c r="VUM9" s="103"/>
      <c r="VUN9" s="103"/>
      <c r="VUO9" s="103"/>
      <c r="VUP9" s="103"/>
      <c r="VUQ9" s="103"/>
      <c r="VUR9" s="103"/>
      <c r="VUS9" s="103"/>
      <c r="VUT9" s="103"/>
      <c r="VUU9" s="103"/>
      <c r="VUV9" s="103"/>
      <c r="VUW9" s="103"/>
      <c r="VUX9" s="103"/>
      <c r="VUY9" s="103"/>
      <c r="VUZ9" s="103"/>
      <c r="VVA9" s="103"/>
      <c r="VVB9" s="103"/>
      <c r="VVC9" s="103"/>
      <c r="VVD9" s="103"/>
      <c r="VVE9" s="103"/>
      <c r="VVF9" s="103"/>
      <c r="VVG9" s="103"/>
      <c r="VVH9" s="103"/>
      <c r="VVI9" s="103"/>
      <c r="VVJ9" s="103"/>
      <c r="VVK9" s="103"/>
      <c r="VVL9" s="103"/>
      <c r="VVM9" s="103"/>
      <c r="VVN9" s="103"/>
      <c r="VVO9" s="103"/>
      <c r="VVP9" s="103"/>
      <c r="VVQ9" s="103"/>
      <c r="VVR9" s="103"/>
      <c r="VVS9" s="103"/>
      <c r="VVT9" s="103"/>
      <c r="VVU9" s="103"/>
      <c r="VVV9" s="103"/>
      <c r="VVW9" s="103"/>
      <c r="VVX9" s="103"/>
      <c r="VVY9" s="103"/>
      <c r="VVZ9" s="103"/>
      <c r="VWA9" s="103"/>
      <c r="VWB9" s="103"/>
      <c r="VWC9" s="103"/>
      <c r="VWD9" s="103"/>
      <c r="VWE9" s="103"/>
      <c r="VWF9" s="103"/>
      <c r="VWG9" s="103"/>
      <c r="VWH9" s="103"/>
      <c r="VWI9" s="103"/>
      <c r="VWJ9" s="103"/>
      <c r="VWK9" s="103"/>
      <c r="VWL9" s="103"/>
      <c r="VWM9" s="103"/>
      <c r="VWN9" s="103"/>
      <c r="VWO9" s="103"/>
      <c r="VWP9" s="103"/>
      <c r="VWQ9" s="103"/>
      <c r="VWR9" s="103"/>
      <c r="VWS9" s="103"/>
      <c r="VWT9" s="103"/>
      <c r="VWU9" s="103"/>
      <c r="VWV9" s="103"/>
      <c r="VWW9" s="103"/>
      <c r="VWX9" s="103"/>
      <c r="VWY9" s="103"/>
      <c r="VWZ9" s="103"/>
      <c r="VXA9" s="103"/>
      <c r="VXB9" s="103"/>
      <c r="VXC9" s="103"/>
      <c r="VXD9" s="103"/>
      <c r="VXE9" s="103"/>
      <c r="VXF9" s="103"/>
      <c r="VXG9" s="103"/>
      <c r="VXH9" s="103"/>
      <c r="VXI9" s="103"/>
      <c r="VXJ9" s="103"/>
      <c r="VXK9" s="103"/>
      <c r="VXL9" s="103"/>
      <c r="VXM9" s="103"/>
      <c r="VXN9" s="103"/>
      <c r="VXO9" s="103"/>
      <c r="VXP9" s="103"/>
      <c r="VXQ9" s="103"/>
      <c r="VXR9" s="103"/>
      <c r="VXS9" s="103"/>
      <c r="VXT9" s="103"/>
      <c r="VXU9" s="103"/>
      <c r="VXV9" s="103"/>
      <c r="VXW9" s="103"/>
      <c r="VXX9" s="103"/>
      <c r="VXY9" s="103"/>
      <c r="VXZ9" s="103"/>
      <c r="VYA9" s="103"/>
      <c r="VYB9" s="103"/>
      <c r="VYC9" s="103"/>
      <c r="VYD9" s="103"/>
      <c r="VYE9" s="103"/>
      <c r="VYF9" s="103"/>
      <c r="VYG9" s="103"/>
      <c r="VYH9" s="103"/>
      <c r="VYI9" s="103"/>
      <c r="VYJ9" s="103"/>
      <c r="VYK9" s="103"/>
      <c r="VYL9" s="103"/>
      <c r="VYM9" s="103"/>
      <c r="VYN9" s="103"/>
      <c r="VYO9" s="103"/>
      <c r="VYP9" s="103"/>
      <c r="VYQ9" s="103"/>
      <c r="VYR9" s="103"/>
      <c r="VYS9" s="103"/>
      <c r="VYT9" s="103"/>
      <c r="VYU9" s="103"/>
      <c r="VYV9" s="103"/>
      <c r="VYW9" s="103"/>
      <c r="VYX9" s="103"/>
      <c r="VYY9" s="103"/>
      <c r="VYZ9" s="103"/>
      <c r="VZA9" s="103"/>
      <c r="VZB9" s="103"/>
      <c r="VZC9" s="103"/>
      <c r="VZD9" s="103"/>
      <c r="VZE9" s="103"/>
      <c r="VZF9" s="103"/>
      <c r="VZG9" s="103"/>
      <c r="VZH9" s="103"/>
      <c r="VZI9" s="103"/>
      <c r="VZJ9" s="103"/>
      <c r="VZK9" s="103"/>
      <c r="VZL9" s="103"/>
      <c r="VZM9" s="103"/>
      <c r="VZN9" s="103"/>
      <c r="VZO9" s="103"/>
      <c r="VZP9" s="103"/>
      <c r="VZQ9" s="103"/>
      <c r="VZR9" s="103"/>
      <c r="VZS9" s="103"/>
      <c r="VZT9" s="103"/>
      <c r="VZU9" s="103"/>
      <c r="VZV9" s="103"/>
      <c r="VZW9" s="103"/>
      <c r="VZX9" s="103"/>
      <c r="VZY9" s="103"/>
      <c r="VZZ9" s="103"/>
      <c r="WAA9" s="103"/>
      <c r="WAB9" s="103"/>
      <c r="WAC9" s="103"/>
      <c r="WAD9" s="103"/>
      <c r="WAE9" s="103"/>
      <c r="WAF9" s="103"/>
      <c r="WAG9" s="103"/>
      <c r="WAH9" s="103"/>
      <c r="WAI9" s="103"/>
      <c r="WAJ9" s="103"/>
      <c r="WAK9" s="103"/>
      <c r="WAL9" s="103"/>
      <c r="WAM9" s="103"/>
      <c r="WAN9" s="103"/>
      <c r="WAO9" s="103"/>
      <c r="WAP9" s="103"/>
      <c r="WAQ9" s="103"/>
      <c r="WAR9" s="103"/>
      <c r="WAS9" s="103"/>
      <c r="WAT9" s="103"/>
      <c r="WAU9" s="103"/>
      <c r="WAV9" s="103"/>
      <c r="WAW9" s="103"/>
      <c r="WAX9" s="103"/>
      <c r="WAY9" s="103"/>
      <c r="WAZ9" s="103"/>
      <c r="WBA9" s="103"/>
      <c r="WBB9" s="103"/>
      <c r="WBC9" s="103"/>
      <c r="WBD9" s="103"/>
      <c r="WBE9" s="103"/>
      <c r="WBF9" s="103"/>
      <c r="WBG9" s="103"/>
      <c r="WBH9" s="103"/>
      <c r="WBI9" s="103"/>
      <c r="WBJ9" s="103"/>
      <c r="WBK9" s="103"/>
      <c r="WBL9" s="103"/>
      <c r="WBM9" s="103"/>
      <c r="WBN9" s="103"/>
      <c r="WBO9" s="103"/>
      <c r="WBP9" s="103"/>
      <c r="WBQ9" s="103"/>
      <c r="WBR9" s="103"/>
      <c r="WBS9" s="103"/>
      <c r="WBT9" s="103"/>
      <c r="WBU9" s="103"/>
      <c r="WBV9" s="103"/>
      <c r="WBW9" s="103"/>
      <c r="WBX9" s="103"/>
      <c r="WBY9" s="103"/>
      <c r="WBZ9" s="103"/>
      <c r="WCA9" s="103"/>
      <c r="WCB9" s="103"/>
      <c r="WCC9" s="103"/>
      <c r="WCD9" s="103"/>
      <c r="WCE9" s="103"/>
      <c r="WCF9" s="103"/>
      <c r="WCG9" s="103"/>
      <c r="WCH9" s="103"/>
      <c r="WCI9" s="103"/>
      <c r="WCJ9" s="103"/>
      <c r="WCK9" s="103"/>
      <c r="WCL9" s="103"/>
      <c r="WCM9" s="103"/>
      <c r="WCN9" s="103"/>
      <c r="WCO9" s="103"/>
      <c r="WCP9" s="103"/>
      <c r="WCQ9" s="103"/>
      <c r="WCR9" s="103"/>
      <c r="WCS9" s="103"/>
      <c r="WCT9" s="103"/>
      <c r="WCU9" s="103"/>
      <c r="WCV9" s="103"/>
      <c r="WCW9" s="103"/>
      <c r="WCX9" s="103"/>
      <c r="WCY9" s="103"/>
      <c r="WCZ9" s="103"/>
      <c r="WDA9" s="103"/>
      <c r="WDB9" s="103"/>
      <c r="WDC9" s="103"/>
      <c r="WDD9" s="103"/>
      <c r="WDE9" s="103"/>
      <c r="WDF9" s="103"/>
      <c r="WDG9" s="103"/>
      <c r="WDH9" s="103"/>
      <c r="WDI9" s="103"/>
      <c r="WDJ9" s="103"/>
      <c r="WDK9" s="103"/>
      <c r="WDL9" s="103"/>
      <c r="WDM9" s="103"/>
      <c r="WDN9" s="103"/>
      <c r="WDO9" s="103"/>
      <c r="WDP9" s="103"/>
      <c r="WDQ9" s="103"/>
      <c r="WDR9" s="103"/>
      <c r="WDS9" s="103"/>
      <c r="WDT9" s="103"/>
      <c r="WDU9" s="103"/>
      <c r="WDV9" s="103"/>
      <c r="WDW9" s="103"/>
      <c r="WDX9" s="103"/>
      <c r="WDY9" s="103"/>
      <c r="WDZ9" s="103"/>
      <c r="WEA9" s="103"/>
      <c r="WEB9" s="103"/>
      <c r="WEC9" s="103"/>
      <c r="WED9" s="103"/>
      <c r="WEE9" s="103"/>
      <c r="WEF9" s="103"/>
      <c r="WEG9" s="103"/>
      <c r="WEH9" s="103"/>
      <c r="WEI9" s="103"/>
      <c r="WEJ9" s="103"/>
      <c r="WEK9" s="103"/>
      <c r="WEL9" s="103"/>
      <c r="WEM9" s="103"/>
      <c r="WEN9" s="103"/>
      <c r="WEO9" s="103"/>
      <c r="WEP9" s="103"/>
      <c r="WEQ9" s="103"/>
      <c r="WER9" s="103"/>
      <c r="WES9" s="103"/>
      <c r="WET9" s="103"/>
      <c r="WEU9" s="103"/>
      <c r="WEV9" s="103"/>
      <c r="WEW9" s="103"/>
      <c r="WEX9" s="103"/>
      <c r="WEY9" s="103"/>
      <c r="WEZ9" s="103"/>
      <c r="WFA9" s="103"/>
      <c r="WFB9" s="103"/>
      <c r="WFC9" s="103"/>
      <c r="WFD9" s="103"/>
      <c r="WFE9" s="103"/>
      <c r="WFF9" s="103"/>
      <c r="WFG9" s="103"/>
      <c r="WFH9" s="103"/>
      <c r="WFI9" s="103"/>
      <c r="WFJ9" s="103"/>
      <c r="WFK9" s="103"/>
      <c r="WFL9" s="103"/>
      <c r="WFM9" s="103"/>
      <c r="WFN9" s="103"/>
      <c r="WFO9" s="103"/>
      <c r="WFP9" s="103"/>
      <c r="WFQ9" s="103"/>
      <c r="WFR9" s="103"/>
      <c r="WFS9" s="103"/>
      <c r="WFT9" s="103"/>
      <c r="WFU9" s="103"/>
      <c r="WFV9" s="103"/>
      <c r="WFW9" s="103"/>
      <c r="WFX9" s="103"/>
      <c r="WFY9" s="103"/>
      <c r="WFZ9" s="103"/>
      <c r="WGA9" s="103"/>
      <c r="WGB9" s="103"/>
      <c r="WGC9" s="103"/>
      <c r="WGD9" s="103"/>
      <c r="WGE9" s="103"/>
      <c r="WGF9" s="103"/>
      <c r="WGG9" s="103"/>
      <c r="WGH9" s="103"/>
      <c r="WGI9" s="103"/>
      <c r="WGJ9" s="103"/>
      <c r="WGK9" s="103"/>
      <c r="WGL9" s="103"/>
      <c r="WGM9" s="103"/>
      <c r="WGN9" s="103"/>
      <c r="WGO9" s="103"/>
      <c r="WGP9" s="103"/>
      <c r="WGQ9" s="103"/>
      <c r="WGR9" s="103"/>
      <c r="WGS9" s="103"/>
      <c r="WGT9" s="103"/>
      <c r="WGU9" s="103"/>
      <c r="WGV9" s="103"/>
      <c r="WGW9" s="103"/>
      <c r="WGX9" s="103"/>
      <c r="WGY9" s="103"/>
      <c r="WGZ9" s="103"/>
      <c r="WHA9" s="103"/>
      <c r="WHB9" s="103"/>
      <c r="WHC9" s="103"/>
      <c r="WHD9" s="103"/>
      <c r="WHE9" s="103"/>
      <c r="WHF9" s="103"/>
      <c r="WHG9" s="103"/>
      <c r="WHH9" s="103"/>
      <c r="WHI9" s="103"/>
      <c r="WHJ9" s="103"/>
      <c r="WHK9" s="103"/>
      <c r="WHL9" s="103"/>
      <c r="WHM9" s="103"/>
      <c r="WHN9" s="103"/>
      <c r="WHO9" s="103"/>
      <c r="WHP9" s="103"/>
      <c r="WHQ9" s="103"/>
      <c r="WHR9" s="103"/>
      <c r="WHS9" s="103"/>
      <c r="WHT9" s="103"/>
      <c r="WHU9" s="103"/>
      <c r="WHV9" s="103"/>
      <c r="WHW9" s="103"/>
      <c r="WHX9" s="103"/>
      <c r="WHY9" s="103"/>
      <c r="WHZ9" s="103"/>
      <c r="WIA9" s="103"/>
      <c r="WIB9" s="103"/>
      <c r="WIC9" s="103"/>
      <c r="WID9" s="103"/>
      <c r="WIE9" s="103"/>
      <c r="WIF9" s="103"/>
      <c r="WIG9" s="103"/>
      <c r="WIH9" s="103"/>
      <c r="WII9" s="103"/>
      <c r="WIJ9" s="103"/>
      <c r="WIK9" s="103"/>
      <c r="WIL9" s="103"/>
      <c r="WIM9" s="103"/>
      <c r="WIN9" s="103"/>
      <c r="WIO9" s="103"/>
      <c r="WIP9" s="103"/>
      <c r="WIQ9" s="103"/>
      <c r="WIR9" s="103"/>
      <c r="WIS9" s="103"/>
      <c r="WIT9" s="103"/>
      <c r="WIU9" s="103"/>
      <c r="WIV9" s="103"/>
      <c r="WIW9" s="103"/>
      <c r="WIX9" s="103"/>
      <c r="WIY9" s="103"/>
      <c r="WIZ9" s="103"/>
      <c r="WJA9" s="103"/>
      <c r="WJB9" s="103"/>
      <c r="WJC9" s="103"/>
      <c r="WJD9" s="103"/>
      <c r="WJE9" s="103"/>
      <c r="WJF9" s="103"/>
      <c r="WJG9" s="103"/>
      <c r="WJH9" s="103"/>
      <c r="WJI9" s="103"/>
      <c r="WJJ9" s="103"/>
      <c r="WJK9" s="103"/>
      <c r="WJL9" s="103"/>
      <c r="WJM9" s="103"/>
      <c r="WJN9" s="103"/>
      <c r="WJO9" s="103"/>
      <c r="WJP9" s="103"/>
      <c r="WJQ9" s="103"/>
      <c r="WJR9" s="103"/>
      <c r="WJS9" s="103"/>
      <c r="WJT9" s="103"/>
      <c r="WJU9" s="103"/>
      <c r="WJV9" s="103"/>
      <c r="WJW9" s="103"/>
      <c r="WJX9" s="103"/>
      <c r="WJY9" s="103"/>
      <c r="WJZ9" s="103"/>
      <c r="WKA9" s="103"/>
      <c r="WKB9" s="103"/>
      <c r="WKC9" s="103"/>
      <c r="WKD9" s="103"/>
      <c r="WKE9" s="103"/>
      <c r="WKF9" s="103"/>
      <c r="WKG9" s="103"/>
      <c r="WKH9" s="103"/>
      <c r="WKI9" s="103"/>
      <c r="WKJ9" s="103"/>
      <c r="WKK9" s="103"/>
      <c r="WKL9" s="103"/>
      <c r="WKM9" s="103"/>
      <c r="WKN9" s="103"/>
      <c r="WKO9" s="103"/>
      <c r="WKP9" s="103"/>
      <c r="WKQ9" s="103"/>
      <c r="WKR9" s="103"/>
      <c r="WKS9" s="103"/>
      <c r="WKT9" s="103"/>
      <c r="WKU9" s="103"/>
      <c r="WKV9" s="103"/>
      <c r="WKW9" s="103"/>
      <c r="WKX9" s="103"/>
      <c r="WKY9" s="103"/>
      <c r="WKZ9" s="103"/>
      <c r="WLA9" s="103"/>
      <c r="WLB9" s="103"/>
      <c r="WLC9" s="103"/>
      <c r="WLD9" s="103"/>
      <c r="WLE9" s="103"/>
      <c r="WLF9" s="103"/>
      <c r="WLG9" s="103"/>
      <c r="WLH9" s="103"/>
      <c r="WLI9" s="103"/>
      <c r="WLJ9" s="103"/>
      <c r="WLK9" s="103"/>
      <c r="WLL9" s="103"/>
      <c r="WLM9" s="103"/>
      <c r="WLN9" s="103"/>
      <c r="WLO9" s="103"/>
      <c r="WLP9" s="103"/>
      <c r="WLQ9" s="103"/>
      <c r="WLR9" s="103"/>
      <c r="WLS9" s="103"/>
      <c r="WLT9" s="103"/>
      <c r="WLU9" s="103"/>
      <c r="WLV9" s="103"/>
      <c r="WLW9" s="103"/>
      <c r="WLX9" s="103"/>
      <c r="WLY9" s="103"/>
      <c r="WLZ9" s="103"/>
      <c r="WMA9" s="103"/>
      <c r="WMB9" s="103"/>
      <c r="WMC9" s="103"/>
      <c r="WMD9" s="103"/>
      <c r="WME9" s="103"/>
      <c r="WMF9" s="103"/>
      <c r="WMG9" s="103"/>
      <c r="WMH9" s="103"/>
      <c r="WMI9" s="103"/>
      <c r="WMJ9" s="103"/>
      <c r="WMK9" s="103"/>
      <c r="WML9" s="103"/>
      <c r="WMM9" s="103"/>
      <c r="WMN9" s="103"/>
      <c r="WMO9" s="103"/>
      <c r="WMP9" s="103"/>
      <c r="WMQ9" s="103"/>
      <c r="WMR9" s="103"/>
      <c r="WMS9" s="103"/>
      <c r="WMT9" s="103"/>
      <c r="WMU9" s="103"/>
      <c r="WMV9" s="103"/>
      <c r="WMW9" s="103"/>
      <c r="WMX9" s="103"/>
      <c r="WMY9" s="103"/>
      <c r="WMZ9" s="103"/>
      <c r="WNA9" s="103"/>
      <c r="WNB9" s="103"/>
      <c r="WNC9" s="103"/>
      <c r="WND9" s="103"/>
      <c r="WNE9" s="103"/>
      <c r="WNF9" s="103"/>
      <c r="WNG9" s="103"/>
      <c r="WNH9" s="103"/>
      <c r="WNI9" s="103"/>
      <c r="WNJ9" s="103"/>
      <c r="WNK9" s="103"/>
      <c r="WNL9" s="103"/>
      <c r="WNM9" s="103"/>
      <c r="WNN9" s="103"/>
      <c r="WNO9" s="103"/>
      <c r="WNP9" s="103"/>
      <c r="WNQ9" s="103"/>
      <c r="WNR9" s="103"/>
      <c r="WNS9" s="103"/>
      <c r="WNT9" s="103"/>
      <c r="WNU9" s="103"/>
      <c r="WNV9" s="103"/>
      <c r="WNW9" s="103"/>
      <c r="WNX9" s="103"/>
      <c r="WNY9" s="103"/>
      <c r="WNZ9" s="103"/>
      <c r="WOA9" s="103"/>
      <c r="WOB9" s="103"/>
      <c r="WOC9" s="103"/>
      <c r="WOD9" s="103"/>
      <c r="WOE9" s="103"/>
      <c r="WOF9" s="103"/>
      <c r="WOG9" s="103"/>
      <c r="WOH9" s="103"/>
      <c r="WOI9" s="103"/>
      <c r="WOJ9" s="103"/>
      <c r="WOK9" s="103"/>
      <c r="WOL9" s="103"/>
      <c r="WOM9" s="103"/>
      <c r="WON9" s="103"/>
      <c r="WOO9" s="103"/>
      <c r="WOP9" s="103"/>
      <c r="WOQ9" s="103"/>
      <c r="WOR9" s="103"/>
      <c r="WOS9" s="103"/>
      <c r="WOT9" s="103"/>
      <c r="WOU9" s="103"/>
      <c r="WOV9" s="103"/>
      <c r="WOW9" s="103"/>
      <c r="WOX9" s="103"/>
      <c r="WOY9" s="103"/>
      <c r="WOZ9" s="103"/>
      <c r="WPA9" s="103"/>
      <c r="WPB9" s="103"/>
      <c r="WPC9" s="103"/>
      <c r="WPD9" s="103"/>
      <c r="WPE9" s="103"/>
      <c r="WPF9" s="103"/>
      <c r="WPG9" s="103"/>
      <c r="WPH9" s="103"/>
      <c r="WPI9" s="103"/>
      <c r="WPJ9" s="103"/>
      <c r="WPK9" s="103"/>
      <c r="WPL9" s="103"/>
      <c r="WPM9" s="103"/>
      <c r="WPN9" s="103"/>
      <c r="WPO9" s="103"/>
      <c r="WPP9" s="103"/>
      <c r="WPQ9" s="103"/>
      <c r="WPR9" s="103"/>
      <c r="WPS9" s="103"/>
      <c r="WPT9" s="103"/>
      <c r="WPU9" s="103"/>
      <c r="WPV9" s="103"/>
      <c r="WPW9" s="103"/>
      <c r="WPX9" s="103"/>
      <c r="WPY9" s="103"/>
      <c r="WPZ9" s="103"/>
      <c r="WQA9" s="103"/>
      <c r="WQB9" s="103"/>
      <c r="WQC9" s="103"/>
      <c r="WQD9" s="103"/>
      <c r="WQE9" s="103"/>
      <c r="WQF9" s="103"/>
      <c r="WQG9" s="103"/>
      <c r="WQH9" s="103"/>
      <c r="WQI9" s="103"/>
      <c r="WQJ9" s="103"/>
      <c r="WQK9" s="103"/>
      <c r="WQL9" s="103"/>
      <c r="WQM9" s="103"/>
      <c r="WQN9" s="103"/>
      <c r="WQO9" s="103"/>
      <c r="WQP9" s="103"/>
      <c r="WQQ9" s="103"/>
      <c r="WQR9" s="103"/>
      <c r="WQS9" s="103"/>
      <c r="WQT9" s="103"/>
      <c r="WQU9" s="103"/>
      <c r="WQV9" s="103"/>
      <c r="WQW9" s="103"/>
      <c r="WQX9" s="103"/>
      <c r="WQY9" s="103"/>
      <c r="WQZ9" s="103"/>
      <c r="WRA9" s="103"/>
      <c r="WRB9" s="103"/>
      <c r="WRC9" s="103"/>
      <c r="WRD9" s="103"/>
      <c r="WRE9" s="103"/>
      <c r="WRF9" s="103"/>
      <c r="WRG9" s="103"/>
      <c r="WRH9" s="103"/>
      <c r="WRI9" s="103"/>
      <c r="WRJ9" s="103"/>
      <c r="WRK9" s="103"/>
      <c r="WRL9" s="103"/>
      <c r="WRM9" s="103"/>
      <c r="WRN9" s="103"/>
      <c r="WRO9" s="103"/>
      <c r="WRP9" s="103"/>
      <c r="WRQ9" s="103"/>
      <c r="WRR9" s="103"/>
      <c r="WRS9" s="103"/>
      <c r="WRT9" s="103"/>
      <c r="WRU9" s="103"/>
      <c r="WRV9" s="103"/>
      <c r="WRW9" s="103"/>
      <c r="WRX9" s="103"/>
      <c r="WRY9" s="103"/>
      <c r="WRZ9" s="103"/>
      <c r="WSA9" s="103"/>
      <c r="WSB9" s="103"/>
      <c r="WSC9" s="103"/>
      <c r="WSD9" s="103"/>
      <c r="WSE9" s="103"/>
      <c r="WSF9" s="103"/>
      <c r="WSG9" s="103"/>
      <c r="WSH9" s="103"/>
      <c r="WSI9" s="103"/>
      <c r="WSJ9" s="103"/>
      <c r="WSK9" s="103"/>
      <c r="WSL9" s="103"/>
      <c r="WSM9" s="103"/>
      <c r="WSN9" s="103"/>
      <c r="WSO9" s="103"/>
      <c r="WSP9" s="103"/>
      <c r="WSQ9" s="103"/>
      <c r="WSR9" s="103"/>
      <c r="WSS9" s="103"/>
      <c r="WST9" s="103"/>
      <c r="WSU9" s="103"/>
      <c r="WSV9" s="103"/>
      <c r="WSW9" s="103"/>
      <c r="WSX9" s="103"/>
      <c r="WSY9" s="103"/>
      <c r="WSZ9" s="103"/>
      <c r="WTA9" s="103"/>
      <c r="WTB9" s="103"/>
      <c r="WTC9" s="103"/>
      <c r="WTD9" s="103"/>
      <c r="WTE9" s="103"/>
      <c r="WTF9" s="103"/>
      <c r="WTG9" s="103"/>
      <c r="WTH9" s="103"/>
      <c r="WTI9" s="103"/>
      <c r="WTJ9" s="103"/>
      <c r="WTK9" s="103"/>
      <c r="WTL9" s="103"/>
      <c r="WTM9" s="103"/>
      <c r="WTN9" s="103"/>
      <c r="WTO9" s="103"/>
      <c r="WTP9" s="103"/>
      <c r="WTQ9" s="103"/>
      <c r="WTR9" s="103"/>
      <c r="WTS9" s="103"/>
      <c r="WTT9" s="103"/>
      <c r="WTU9" s="103"/>
      <c r="WTV9" s="103"/>
      <c r="WTW9" s="103"/>
      <c r="WTX9" s="103"/>
      <c r="WTY9" s="103"/>
      <c r="WTZ9" s="103"/>
      <c r="WUA9" s="103"/>
      <c r="WUB9" s="103"/>
      <c r="WUC9" s="103"/>
      <c r="WUD9" s="103"/>
      <c r="WUE9" s="103"/>
      <c r="WUF9" s="103"/>
      <c r="WUG9" s="103"/>
      <c r="WUH9" s="103"/>
      <c r="WUI9" s="103"/>
      <c r="WUJ9" s="103"/>
      <c r="WUK9" s="103"/>
      <c r="WUL9" s="103"/>
      <c r="WUM9" s="103"/>
      <c r="WUN9" s="103"/>
      <c r="WUO9" s="103"/>
      <c r="WUP9" s="103"/>
      <c r="WUQ9" s="103"/>
      <c r="WUR9" s="103"/>
      <c r="WUS9" s="103"/>
      <c r="WUT9" s="103"/>
      <c r="WUU9" s="103"/>
      <c r="WUV9" s="103"/>
      <c r="WUW9" s="103"/>
      <c r="WUX9" s="103"/>
      <c r="WUY9" s="103"/>
      <c r="WUZ9" s="103"/>
      <c r="WVA9" s="103"/>
      <c r="WVB9" s="103"/>
      <c r="WVC9" s="103"/>
      <c r="WVD9" s="103"/>
      <c r="WVE9" s="103"/>
      <c r="WVF9" s="103"/>
      <c r="WVG9" s="103"/>
      <c r="WVH9" s="103"/>
      <c r="WVI9" s="103"/>
      <c r="WVJ9" s="103"/>
      <c r="WVK9" s="103"/>
      <c r="WVL9" s="103"/>
      <c r="WVM9" s="103"/>
      <c r="WVN9" s="103"/>
      <c r="WVO9" s="103"/>
      <c r="WVP9" s="103"/>
      <c r="WVQ9" s="103"/>
      <c r="WVR9" s="103"/>
      <c r="WVS9" s="103"/>
      <c r="WVT9" s="103"/>
      <c r="WVU9" s="103"/>
      <c r="WVV9" s="103"/>
      <c r="WVW9" s="103"/>
      <c r="WVX9" s="103"/>
      <c r="WVY9" s="103"/>
      <c r="WVZ9" s="103"/>
      <c r="WWA9" s="103"/>
      <c r="WWB9" s="103"/>
      <c r="WWC9" s="103"/>
      <c r="WWD9" s="103"/>
      <c r="WWE9" s="103"/>
      <c r="WWF9" s="103"/>
      <c r="WWG9" s="103"/>
      <c r="WWH9" s="103"/>
      <c r="WWI9" s="103"/>
      <c r="WWJ9" s="103"/>
      <c r="WWK9" s="103"/>
      <c r="WWL9" s="103"/>
      <c r="WWM9" s="103"/>
      <c r="WWN9" s="103"/>
      <c r="WWO9" s="103"/>
      <c r="WWP9" s="103"/>
      <c r="WWQ9" s="103"/>
      <c r="WWR9" s="103"/>
      <c r="WWS9" s="103"/>
      <c r="WWT9" s="103"/>
      <c r="WWU9" s="103"/>
      <c r="WWV9" s="103"/>
      <c r="WWW9" s="103"/>
      <c r="WWX9" s="103"/>
      <c r="WWY9" s="103"/>
      <c r="WWZ9" s="103"/>
      <c r="WXA9" s="103"/>
      <c r="WXB9" s="103"/>
      <c r="WXC9" s="103"/>
      <c r="WXD9" s="103"/>
      <c r="WXE9" s="103"/>
      <c r="WXF9" s="103"/>
      <c r="WXG9" s="103"/>
      <c r="WXH9" s="103"/>
      <c r="WXI9" s="103"/>
      <c r="WXJ9" s="103"/>
      <c r="WXK9" s="103"/>
      <c r="WXL9" s="103"/>
      <c r="WXM9" s="103"/>
      <c r="WXN9" s="103"/>
      <c r="WXO9" s="103"/>
      <c r="WXP9" s="103"/>
      <c r="WXQ9" s="103"/>
      <c r="WXR9" s="103"/>
      <c r="WXS9" s="103"/>
      <c r="WXT9" s="103"/>
      <c r="WXU9" s="103"/>
      <c r="WXV9" s="103"/>
      <c r="WXW9" s="103"/>
      <c r="WXX9" s="103"/>
      <c r="WXY9" s="103"/>
      <c r="WXZ9" s="103"/>
      <c r="WYA9" s="103"/>
      <c r="WYB9" s="103"/>
      <c r="WYC9" s="103"/>
      <c r="WYD9" s="103"/>
      <c r="WYE9" s="103"/>
      <c r="WYF9" s="103"/>
      <c r="WYG9" s="103"/>
      <c r="WYH9" s="103"/>
      <c r="WYI9" s="103"/>
      <c r="WYJ9" s="103"/>
      <c r="WYK9" s="103"/>
      <c r="WYL9" s="103"/>
      <c r="WYM9" s="103"/>
      <c r="WYN9" s="103"/>
      <c r="WYO9" s="103"/>
      <c r="WYP9" s="103"/>
      <c r="WYQ9" s="103"/>
      <c r="WYR9" s="103"/>
      <c r="WYS9" s="103"/>
      <c r="WYT9" s="103"/>
      <c r="WYU9" s="103"/>
      <c r="WYV9" s="103"/>
      <c r="WYW9" s="103"/>
      <c r="WYX9" s="103"/>
      <c r="WYY9" s="103"/>
      <c r="WYZ9" s="103"/>
      <c r="WZA9" s="103"/>
      <c r="WZB9" s="103"/>
      <c r="WZC9" s="103"/>
      <c r="WZD9" s="103"/>
      <c r="WZE9" s="103"/>
      <c r="WZF9" s="103"/>
      <c r="WZG9" s="103"/>
      <c r="WZH9" s="103"/>
      <c r="WZI9" s="103"/>
      <c r="WZJ9" s="103"/>
      <c r="WZK9" s="103"/>
      <c r="WZL9" s="103"/>
      <c r="WZM9" s="103"/>
      <c r="WZN9" s="103"/>
      <c r="WZO9" s="103"/>
      <c r="WZP9" s="103"/>
      <c r="WZQ9" s="103"/>
      <c r="WZR9" s="103"/>
      <c r="WZS9" s="103"/>
      <c r="WZT9" s="103"/>
      <c r="WZU9" s="103"/>
      <c r="WZV9" s="103"/>
      <c r="WZW9" s="103"/>
      <c r="WZX9" s="103"/>
      <c r="WZY9" s="103"/>
      <c r="WZZ9" s="103"/>
      <c r="XAA9" s="103"/>
      <c r="XAB9" s="103"/>
      <c r="XAC9" s="103"/>
      <c r="XAD9" s="103"/>
      <c r="XAE9" s="103"/>
      <c r="XAF9" s="103"/>
      <c r="XAG9" s="103"/>
      <c r="XAH9" s="103"/>
      <c r="XAI9" s="103"/>
      <c r="XAJ9" s="103"/>
      <c r="XAK9" s="103"/>
      <c r="XAL9" s="103"/>
      <c r="XAM9" s="103"/>
      <c r="XAN9" s="103"/>
      <c r="XAO9" s="103"/>
      <c r="XAP9" s="103"/>
      <c r="XAQ9" s="103"/>
      <c r="XAR9" s="103"/>
      <c r="XAS9" s="103"/>
      <c r="XAT9" s="103"/>
      <c r="XAU9" s="103"/>
      <c r="XAV9" s="103"/>
      <c r="XAW9" s="103"/>
      <c r="XAX9" s="103"/>
      <c r="XAY9" s="103"/>
      <c r="XAZ9" s="103"/>
      <c r="XBA9" s="103"/>
      <c r="XBB9" s="103"/>
      <c r="XBC9" s="103"/>
      <c r="XBD9" s="103"/>
      <c r="XBE9" s="103"/>
      <c r="XBF9" s="103"/>
      <c r="XBG9" s="103"/>
      <c r="XBH9" s="103"/>
      <c r="XBI9" s="103"/>
      <c r="XBJ9" s="103"/>
      <c r="XBK9" s="103"/>
      <c r="XBL9" s="103"/>
      <c r="XBM9" s="103"/>
      <c r="XBN9" s="103"/>
      <c r="XBO9" s="103"/>
      <c r="XBP9" s="103"/>
      <c r="XBQ9" s="103"/>
      <c r="XBR9" s="103"/>
      <c r="XBS9" s="103"/>
      <c r="XBT9" s="103"/>
      <c r="XBU9" s="103"/>
      <c r="XBV9" s="103"/>
      <c r="XBW9" s="103"/>
      <c r="XBX9" s="103"/>
      <c r="XBY9" s="103"/>
      <c r="XBZ9" s="103"/>
      <c r="XCA9" s="103"/>
      <c r="XCB9" s="103"/>
      <c r="XCC9" s="103"/>
      <c r="XCD9" s="103"/>
      <c r="XCE9" s="103"/>
      <c r="XCF9" s="103"/>
      <c r="XCG9" s="103"/>
      <c r="XCH9" s="103"/>
      <c r="XCI9" s="103"/>
      <c r="XCJ9" s="103"/>
      <c r="XCK9" s="103"/>
      <c r="XCL9" s="103"/>
      <c r="XCM9" s="103"/>
      <c r="XCN9" s="103"/>
      <c r="XCO9" s="103"/>
      <c r="XCP9" s="103"/>
      <c r="XCQ9" s="103"/>
      <c r="XCR9" s="103"/>
      <c r="XCS9" s="103"/>
      <c r="XCT9" s="103"/>
      <c r="XCU9" s="103"/>
      <c r="XCV9" s="103"/>
      <c r="XCW9" s="103"/>
      <c r="XCX9" s="103"/>
      <c r="XCY9" s="103"/>
      <c r="XCZ9" s="103"/>
      <c r="XDA9" s="103"/>
      <c r="XDB9" s="103"/>
      <c r="XDC9" s="103"/>
      <c r="XDD9" s="103"/>
      <c r="XDE9" s="103"/>
      <c r="XDF9" s="103"/>
      <c r="XDG9" s="103"/>
      <c r="XDH9" s="103"/>
      <c r="XDI9" s="103"/>
      <c r="XDJ9" s="103"/>
      <c r="XDK9" s="103"/>
      <c r="XDL9" s="103"/>
      <c r="XDM9" s="103"/>
      <c r="XDN9" s="103"/>
      <c r="XDO9" s="103"/>
      <c r="XDP9" s="103"/>
      <c r="XDQ9" s="103"/>
      <c r="XDR9" s="103"/>
      <c r="XDS9" s="103"/>
      <c r="XDT9" s="103"/>
      <c r="XDU9" s="103"/>
      <c r="XDV9" s="103"/>
      <c r="XDW9" s="103"/>
      <c r="XDX9" s="103"/>
      <c r="XDY9" s="103"/>
      <c r="XDZ9" s="103"/>
      <c r="XEA9" s="103"/>
      <c r="XEB9" s="103"/>
      <c r="XEC9" s="103"/>
      <c r="XED9" s="103"/>
      <c r="XEE9" s="103"/>
      <c r="XEF9" s="103"/>
      <c r="XEG9" s="103"/>
      <c r="XEH9" s="103"/>
      <c r="XEI9" s="103"/>
      <c r="XEJ9" s="103"/>
      <c r="XEK9" s="103"/>
      <c r="XEL9" s="103"/>
      <c r="XEM9" s="103"/>
      <c r="XEN9" s="103"/>
      <c r="XEO9" s="103"/>
      <c r="XEP9" s="103"/>
      <c r="XEQ9" s="103"/>
      <c r="XER9" s="103"/>
      <c r="XES9" s="103"/>
      <c r="XET9" s="103"/>
      <c r="XEU9" s="103"/>
      <c r="XEV9" s="103"/>
      <c r="XEW9" s="103"/>
      <c r="XEX9" s="103"/>
      <c r="XEY9" s="103"/>
      <c r="XEZ9" s="103"/>
      <c r="XFA9" s="103"/>
      <c r="XFB9" s="103"/>
      <c r="XFC9" s="103"/>
      <c r="XFD9" s="103"/>
    </row>
    <row r="10" ht="15" customHeight="1">
      <c r="A10" s="106" t="s">
        <v>188</v>
      </c>
      <c r="B10" s="106" t="s">
        <v>345</v>
      </c>
      <c r="C10" s="106"/>
      <c r="D10" s="106"/>
      <c r="E10" s="106" t="s">
        <v>346</v>
      </c>
    </row>
    <row r="11" ht="15" customHeight="1">
      <c r="A11" s="106" t="s">
        <v>79</v>
      </c>
      <c r="B11" s="106" t="s">
        <v>227</v>
      </c>
      <c r="C11" s="106"/>
      <c r="D11" s="106"/>
      <c r="E11" s="106" t="s">
        <v>347</v>
      </c>
    </row>
    <row r="12" ht="15" customHeight="1">
      <c r="A12" s="106" t="s">
        <v>87</v>
      </c>
      <c r="B12" s="106" t="s">
        <v>348</v>
      </c>
      <c r="C12" s="106"/>
      <c r="D12" s="106"/>
      <c r="E12" s="106" t="s">
        <v>349</v>
      </c>
    </row>
    <row r="13" ht="15" customHeight="1">
      <c r="A13" s="106" t="s">
        <v>115</v>
      </c>
      <c r="B13" s="106" t="s">
        <v>237</v>
      </c>
      <c r="C13" s="106"/>
      <c r="D13" s="106"/>
      <c r="E13" s="106" t="s">
        <v>350</v>
      </c>
    </row>
    <row r="14" ht="15" customHeight="1">
      <c r="A14" s="106" t="s">
        <v>121</v>
      </c>
      <c r="B14" s="106" t="s">
        <v>280</v>
      </c>
      <c r="C14" s="106"/>
      <c r="D14" s="106"/>
      <c r="E14" s="106" t="s">
        <v>351</v>
      </c>
    </row>
    <row r="15" ht="15" customHeight="1">
      <c r="A15" s="106" t="s">
        <v>143</v>
      </c>
      <c r="B15" s="106" t="s">
        <v>352</v>
      </c>
      <c r="C15" s="106"/>
      <c r="D15" s="106"/>
      <c r="E15" s="106" t="s">
        <v>353</v>
      </c>
    </row>
    <row r="16" ht="15" customHeight="1">
      <c r="A16" s="106" t="s">
        <v>147</v>
      </c>
      <c r="B16" s="106" t="s">
        <v>354</v>
      </c>
      <c r="C16" s="106"/>
      <c r="D16" s="106"/>
      <c r="E16" s="106" t="s">
        <v>355</v>
      </c>
    </row>
    <row r="17" ht="15" customHeight="1">
      <c r="A17" s="106" t="s">
        <v>151</v>
      </c>
      <c r="B17" s="106" t="s">
        <v>356</v>
      </c>
      <c r="C17" s="106"/>
      <c r="D17" s="106"/>
      <c r="E17" s="106" t="s">
        <v>357</v>
      </c>
    </row>
    <row r="18" ht="15" customHeight="1">
      <c r="A18" s="106" t="s">
        <v>156</v>
      </c>
      <c r="B18" s="106" t="s">
        <v>358</v>
      </c>
      <c r="C18" s="106"/>
      <c r="D18" s="106"/>
      <c r="E18" s="106" t="s">
        <v>359</v>
      </c>
    </row>
    <row r="19" ht="15" customHeight="1">
      <c r="A19" s="106" t="s">
        <v>161</v>
      </c>
      <c r="B19" s="106" t="s">
        <v>360</v>
      </c>
      <c r="C19" s="106"/>
      <c r="D19" s="106"/>
      <c r="E19" s="106" t="s">
        <v>361</v>
      </c>
    </row>
    <row r="20" ht="15" customHeight="1">
      <c r="A20" s="106" t="s">
        <v>166</v>
      </c>
      <c r="B20" s="106" t="s">
        <v>362</v>
      </c>
      <c r="C20" s="106"/>
      <c r="D20" s="106"/>
      <c r="E20" s="106" t="s">
        <v>363</v>
      </c>
    </row>
    <row r="21" ht="15" customHeight="1">
      <c r="A21" s="106" t="s">
        <v>173</v>
      </c>
      <c r="B21" s="106" t="s">
        <v>364</v>
      </c>
      <c r="C21" s="106"/>
      <c r="D21" s="106"/>
      <c r="E21" s="106" t="s">
        <v>365</v>
      </c>
    </row>
    <row r="22" ht="15" customHeight="1">
      <c r="A22" s="106" t="s">
        <v>178</v>
      </c>
      <c r="B22" s="106" t="s">
        <v>366</v>
      </c>
      <c r="C22" s="106"/>
      <c r="D22" s="106"/>
      <c r="E22" s="106" t="s">
        <v>367</v>
      </c>
    </row>
    <row r="23" ht="15" customHeight="1">
      <c r="A23" s="106" t="s">
        <v>192</v>
      </c>
      <c r="B23" s="107" t="s">
        <v>368</v>
      </c>
      <c r="C23" s="107"/>
      <c r="D23" s="107"/>
      <c r="E23" s="106" t="s">
        <v>369</v>
      </c>
    </row>
    <row r="24" ht="15" customHeight="1">
      <c r="A24" s="109" t="s">
        <v>195</v>
      </c>
      <c r="B24" s="109" t="s">
        <v>370</v>
      </c>
      <c r="C24" s="109"/>
      <c r="D24" s="109"/>
      <c r="E24" s="109" t="s">
        <v>371</v>
      </c>
    </row>
    <row r="25" ht="15" customHeight="1">
      <c r="A25" s="107"/>
      <c r="B25" s="107"/>
      <c r="C25" s="107"/>
      <c r="D25" s="107"/>
      <c r="E25" s="107"/>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5"/>
    <outlinePr applyStyles="0" summaryBelow="1" summaryRight="1" showOutlineSymbols="1"/>
    <pageSetUpPr autoPageBreaks="1" fitToPage="0"/>
  </sheetPr>
  <sheetViews>
    <sheetView showRuler="1" topLeftCell="D1" zoomScale="115" workbookViewId="0">
      <pane ySplit="2" topLeftCell="A3" activePane="bottomLeft" state="frozen"/>
      <selection activeCell="C48" activeCellId="0" sqref="C48"/>
    </sheetView>
  </sheetViews>
  <sheetFormatPr defaultColWidth="20.28515625" defaultRowHeight="15" customHeight="1" outlineLevelCol="1"/>
  <cols>
    <col customWidth="1" min="1" max="1" style="86" width="8.85546875"/>
    <col customWidth="1" min="2" max="2" style="87" width="17"/>
    <col customWidth="1" min="3" max="3" style="87" width="24"/>
    <col customWidth="1" min="4" max="4" style="87" width="9.85546875"/>
    <col customWidth="1" min="5" max="5" style="87" width="11.5703125"/>
    <col customWidth="1" min="6" max="6" style="86" width="5.28515625"/>
    <col customWidth="1" min="7" max="7" style="86" width="4.85546875"/>
    <col customWidth="1" min="8" max="8" style="86" width="5.7109375"/>
    <col customWidth="1" min="9" max="9" style="86" width="7.140625"/>
    <col customWidth="1" min="10" max="10" style="86" width="71"/>
    <col customWidth="1" hidden="1" min="11" max="11" outlineLevel="1" style="86" width="28.7109375"/>
    <col customWidth="1" hidden="1" min="12" max="12" outlineLevel="1" style="86" width="14.28515625"/>
    <col collapsed="1" customWidth="1" min="13" max="13" style="86" width="29.42578125"/>
    <col min="14" max="16384" style="86" width="20.28515625"/>
  </cols>
  <sheetData>
    <row r="1" ht="15" customHeight="1">
      <c r="D1" s="88">
        <f>COLUMN()</f>
        <v>4</v>
      </c>
      <c r="E1" s="88">
        <f>COLUMN()</f>
        <v>5</v>
      </c>
      <c r="F1" s="88">
        <f>COLUMN()</f>
        <v>6</v>
      </c>
      <c r="G1" s="88">
        <f>COLUMN()</f>
        <v>7</v>
      </c>
      <c r="H1" s="88">
        <f>COLUMN()</f>
        <v>8</v>
      </c>
      <c r="I1" s="88">
        <f>COLUMN()</f>
        <v>9</v>
      </c>
      <c r="J1" s="88">
        <f>COLUMN()</f>
        <v>10</v>
      </c>
      <c r="K1" s="89" t="s">
        <v>197</v>
      </c>
      <c r="L1" s="90"/>
      <c r="M1" s="91"/>
    </row>
    <row r="2" s="92" customFormat="1" ht="30" customHeight="1">
      <c r="A2" s="93" t="s">
        <v>198</v>
      </c>
      <c r="B2" s="93" t="s">
        <v>372</v>
      </c>
      <c r="C2" s="93" t="s">
        <v>373</v>
      </c>
      <c r="D2" s="93" t="s">
        <v>374</v>
      </c>
      <c r="E2" s="93" t="s">
        <v>375</v>
      </c>
      <c r="F2" s="93" t="s">
        <v>376</v>
      </c>
      <c r="G2" s="93" t="s">
        <v>377</v>
      </c>
      <c r="H2" s="93" t="s">
        <v>378</v>
      </c>
      <c r="I2" s="93" t="s">
        <v>379</v>
      </c>
      <c r="J2" s="93" t="s">
        <v>380</v>
      </c>
      <c r="K2" s="93" t="s">
        <v>198</v>
      </c>
      <c r="L2" s="93" t="s">
        <v>201</v>
      </c>
      <c r="M2" s="93" t="s">
        <v>205</v>
      </c>
    </row>
    <row r="3" s="95" customFormat="1" ht="15" customHeight="1">
      <c r="A3" s="100" t="str">
        <f>target_columns[[#This Row],[Column Table Name]]&amp;target_columns[[#This Row],[ColumnName]]</f>
        <v>t_agr_rkoopen_dt</v>
      </c>
      <c r="B3" s="100" t="s">
        <v>27</v>
      </c>
      <c r="C3" s="100" t="s">
        <v>28</v>
      </c>
      <c r="D3" s="100" t="s">
        <v>381</v>
      </c>
      <c r="E3" s="100" t="s">
        <v>214</v>
      </c>
      <c r="F3" s="100" t="s">
        <v>382</v>
      </c>
      <c r="G3" s="100" t="s">
        <v>213</v>
      </c>
      <c r="H3" s="100" t="s">
        <v>213</v>
      </c>
      <c r="I3" s="100"/>
      <c r="J3" s="100" t="s">
        <v>215</v>
      </c>
      <c r="K3" s="96"/>
      <c r="L3" s="96"/>
      <c r="M3" s="96" t="str">
        <f t="shared" ref="M3:M22" si="0">IF(K3 = "", "",
IF(ISNA(VLOOKUP(K3,$A$3:$D$56,4,FALSE)),
"Данное поле не внесено в S2T",
 IF(VLOOKUP(K3,$A$3:$D$56,4,FALSE) = L3, "ОК", "Ошибка. Тип данных в S2T: " &amp; VLOOKUP(K3,$A$3:$D$56,4,FALSE))
)
)</f>
        <v/>
      </c>
    </row>
    <row r="4" ht="15" customHeight="1">
      <c r="A4" s="100" t="str">
        <f>target_columns[[#This Row],[Column Table Name]]&amp;target_columns[[#This Row],[ColumnName]]</f>
        <v>t_agr_rkoclose_dt</v>
      </c>
      <c r="B4" s="100" t="s">
        <v>27</v>
      </c>
      <c r="C4" s="100" t="s">
        <v>34</v>
      </c>
      <c r="D4" s="100" t="s">
        <v>381</v>
      </c>
      <c r="E4" s="100" t="s">
        <v>214</v>
      </c>
      <c r="F4" s="100" t="s">
        <v>382</v>
      </c>
      <c r="G4" s="100" t="s">
        <v>213</v>
      </c>
      <c r="H4" s="100" t="s">
        <v>213</v>
      </c>
      <c r="I4" s="100"/>
      <c r="J4" s="100" t="s">
        <v>217</v>
      </c>
      <c r="K4" s="96"/>
      <c r="L4" s="96"/>
      <c r="M4" s="96" t="str">
        <f t="shared" si="0"/>
        <v/>
      </c>
      <c r="O4" s="95"/>
    </row>
    <row r="5" ht="15" customHeight="1">
      <c r="A5" s="100" t="str">
        <f>target_columns[[#This Row],[Column Table Name]]&amp;target_columns[[#This Row],[ColumnName]]</f>
        <v>t_agr_rkoagr_rko_num</v>
      </c>
      <c r="B5" s="100" t="s">
        <v>27</v>
      </c>
      <c r="C5" s="100" t="s">
        <v>36</v>
      </c>
      <c r="D5" s="100" t="s">
        <v>221</v>
      </c>
      <c r="E5" s="100" t="s">
        <v>214</v>
      </c>
      <c r="F5" s="100" t="s">
        <v>382</v>
      </c>
      <c r="G5" s="100" t="s">
        <v>213</v>
      </c>
      <c r="H5" s="100" t="s">
        <v>213</v>
      </c>
      <c r="I5" s="100"/>
      <c r="J5" s="100" t="s">
        <v>383</v>
      </c>
      <c r="K5" s="96"/>
      <c r="L5" s="96"/>
      <c r="M5" s="96" t="str">
        <f t="shared" si="0"/>
        <v/>
      </c>
      <c r="O5" s="95"/>
    </row>
    <row r="6" ht="15" customHeight="1">
      <c r="A6" s="100" t="str">
        <f>target_columns[[#This Row],[Column Table Name]]&amp;target_columns[[#This Row],[ColumnName]]</f>
        <v>t_agr_rkohost_agr_rko_id</v>
      </c>
      <c r="B6" s="100" t="s">
        <v>27</v>
      </c>
      <c r="C6" s="100" t="s">
        <v>38</v>
      </c>
      <c r="D6" s="100" t="s">
        <v>206</v>
      </c>
      <c r="E6" s="100" t="s">
        <v>214</v>
      </c>
      <c r="F6" s="100" t="s">
        <v>382</v>
      </c>
      <c r="G6" s="100" t="s">
        <v>213</v>
      </c>
      <c r="H6" s="100" t="s">
        <v>213</v>
      </c>
      <c r="I6" s="100"/>
      <c r="J6" s="100" t="s">
        <v>384</v>
      </c>
      <c r="K6" s="96"/>
      <c r="L6" s="96"/>
      <c r="M6" s="96" t="str">
        <f t="shared" si="0"/>
        <v/>
      </c>
      <c r="O6" s="95"/>
    </row>
    <row r="7" ht="15" customHeight="1">
      <c r="A7" s="100" t="str">
        <f>B7&amp;C7</f>
        <v>t_agr_rkocrncy_id</v>
      </c>
      <c r="B7" s="100" t="s">
        <v>27</v>
      </c>
      <c r="C7" s="100" t="s">
        <v>40</v>
      </c>
      <c r="D7" s="100" t="s">
        <v>218</v>
      </c>
      <c r="E7" s="100" t="s">
        <v>214</v>
      </c>
      <c r="F7" s="100"/>
      <c r="G7" s="100" t="s">
        <v>213</v>
      </c>
      <c r="H7" s="100" t="s">
        <v>207</v>
      </c>
      <c r="I7" s="100"/>
      <c r="J7" s="100" t="s">
        <v>385</v>
      </c>
      <c r="K7" s="96"/>
      <c r="L7" s="96"/>
      <c r="M7" s="96"/>
      <c r="O7" s="95"/>
    </row>
    <row r="8" ht="15" customHeight="1">
      <c r="A8" s="100" t="str">
        <f>target_columns[[#This Row],[Column Table Name]]&amp;target_columns[[#This Row],[ColumnName]]</f>
        <v>t_agr_rkorko_purpose_type_id</v>
      </c>
      <c r="B8" s="100" t="s">
        <v>27</v>
      </c>
      <c r="C8" s="100" t="s">
        <v>42</v>
      </c>
      <c r="D8" s="100" t="s">
        <v>218</v>
      </c>
      <c r="E8" s="100" t="s">
        <v>214</v>
      </c>
      <c r="F8" s="100" t="s">
        <v>382</v>
      </c>
      <c r="G8" s="100" t="s">
        <v>213</v>
      </c>
      <c r="H8" s="100" t="s">
        <v>207</v>
      </c>
      <c r="I8" s="100"/>
      <c r="J8" s="100" t="s">
        <v>386</v>
      </c>
      <c r="K8" s="96"/>
      <c r="L8" s="96"/>
      <c r="M8" s="96" t="str">
        <f t="shared" si="0"/>
        <v/>
      </c>
      <c r="O8" s="95"/>
    </row>
    <row r="9" s="110" customFormat="1" ht="15" customHeight="1">
      <c r="A9" s="111" t="str">
        <f>target_columns[[#This Row],[Column Table Name]]&amp;target_columns[[#This Row],[ColumnName]]</f>
        <v>t_agr_rkoagr_rko_id</v>
      </c>
      <c r="B9" s="111" t="s">
        <v>27</v>
      </c>
      <c r="C9" s="111" t="s">
        <v>44</v>
      </c>
      <c r="D9" s="111" t="s">
        <v>218</v>
      </c>
      <c r="E9" s="111" t="s">
        <v>208</v>
      </c>
      <c r="F9" s="111" t="s">
        <v>382</v>
      </c>
      <c r="G9" s="111" t="s">
        <v>207</v>
      </c>
      <c r="H9" s="111" t="s">
        <v>213</v>
      </c>
      <c r="I9" s="111"/>
      <c r="J9" s="111" t="s">
        <v>387</v>
      </c>
      <c r="K9" s="112"/>
      <c r="L9" s="112"/>
      <c r="M9" s="112" t="str">
        <f t="shared" si="0"/>
        <v/>
      </c>
      <c r="O9" s="113"/>
    </row>
    <row r="10" ht="15" customHeight="1">
      <c r="A10" s="100" t="str">
        <f>target_columns[[#This Row],[Column Table Name]]&amp;target_columns[[#This Row],[ColumnName]]</f>
        <v>t_agr_rko_custagr_rko_id</v>
      </c>
      <c r="B10" s="100" t="s">
        <v>47</v>
      </c>
      <c r="C10" s="100" t="s">
        <v>44</v>
      </c>
      <c r="D10" s="100" t="s">
        <v>218</v>
      </c>
      <c r="E10" s="100" t="s">
        <v>208</v>
      </c>
      <c r="F10" s="100" t="s">
        <v>382</v>
      </c>
      <c r="G10" s="100" t="s">
        <v>207</v>
      </c>
      <c r="H10" s="100" t="s">
        <v>207</v>
      </c>
      <c r="I10" s="100"/>
      <c r="J10" s="100" t="s">
        <v>387</v>
      </c>
      <c r="K10" s="96"/>
      <c r="L10" s="96"/>
      <c r="M10" s="96" t="str">
        <f t="shared" si="0"/>
        <v/>
      </c>
      <c r="O10" s="95"/>
    </row>
    <row r="11" ht="15" customHeight="1">
      <c r="A11" s="100" t="str">
        <f>target_columns[[#This Row],[Column Table Name]]&amp;target_columns[[#This Row],[ColumnName]]</f>
        <v>t_agr_rko_custstart_dt</v>
      </c>
      <c r="B11" s="100" t="s">
        <v>47</v>
      </c>
      <c r="C11" s="100" t="s">
        <v>49</v>
      </c>
      <c r="D11" s="100" t="s">
        <v>381</v>
      </c>
      <c r="E11" s="100" t="s">
        <v>214</v>
      </c>
      <c r="F11" s="100" t="s">
        <v>382</v>
      </c>
      <c r="G11" s="100" t="s">
        <v>207</v>
      </c>
      <c r="H11" s="100" t="s">
        <v>213</v>
      </c>
      <c r="I11" s="100"/>
      <c r="J11" s="100" t="s">
        <v>388</v>
      </c>
      <c r="K11" s="96"/>
      <c r="L11" s="96"/>
      <c r="M11" s="96" t="str">
        <f t="shared" si="0"/>
        <v/>
      </c>
      <c r="O11" s="95"/>
    </row>
    <row r="12" ht="15" customHeight="1">
      <c r="A12" s="100" t="str">
        <f>target_columns[[#This Row],[Column Table Name]]&amp;target_columns[[#This Row],[ColumnName]]</f>
        <v>t_agr_rko_custend_dt</v>
      </c>
      <c r="B12" s="100" t="s">
        <v>47</v>
      </c>
      <c r="C12" s="100" t="s">
        <v>54</v>
      </c>
      <c r="D12" s="100" t="s">
        <v>381</v>
      </c>
      <c r="E12" s="100" t="s">
        <v>214</v>
      </c>
      <c r="F12" s="100" t="s">
        <v>382</v>
      </c>
      <c r="G12" s="100" t="s">
        <v>213</v>
      </c>
      <c r="H12" s="100" t="s">
        <v>213</v>
      </c>
      <c r="I12" s="100"/>
      <c r="J12" s="100" t="s">
        <v>389</v>
      </c>
      <c r="K12" s="96"/>
      <c r="L12" s="96"/>
      <c r="M12" s="96" t="str">
        <f t="shared" si="0"/>
        <v/>
      </c>
      <c r="O12" s="95"/>
    </row>
    <row r="13" s="110" customFormat="1" ht="15" customHeight="1">
      <c r="A13" s="111" t="str">
        <f>target_columns[[#This Row],[Column Table Name]]&amp;target_columns[[#This Row],[ColumnName]]</f>
        <v>t_agr_rko_custcust_id</v>
      </c>
      <c r="B13" s="111" t="s">
        <v>47</v>
      </c>
      <c r="C13" s="111" t="s">
        <v>57</v>
      </c>
      <c r="D13" s="111" t="s">
        <v>218</v>
      </c>
      <c r="E13" s="111" t="s">
        <v>214</v>
      </c>
      <c r="F13" s="111" t="s">
        <v>382</v>
      </c>
      <c r="G13" s="111" t="s">
        <v>213</v>
      </c>
      <c r="H13" s="111" t="s">
        <v>207</v>
      </c>
      <c r="I13" s="111"/>
      <c r="J13" s="100" t="s">
        <v>390</v>
      </c>
      <c r="K13" s="112"/>
      <c r="L13" s="112"/>
      <c r="M13" s="112" t="str">
        <f t="shared" si="0"/>
        <v/>
      </c>
      <c r="O13" s="113"/>
    </row>
    <row r="14" ht="15" customHeight="1">
      <c r="A14" s="100" t="str">
        <f>target_columns[[#This Row],[Column Table Name]]&amp;target_columns[[#This Row],[ColumnName]]</f>
        <v>t_agr_rko_int_orgagr_rko_id</v>
      </c>
      <c r="B14" s="100" t="s">
        <v>59</v>
      </c>
      <c r="C14" s="100" t="s">
        <v>44</v>
      </c>
      <c r="D14" s="100" t="s">
        <v>218</v>
      </c>
      <c r="E14" s="100" t="s">
        <v>208</v>
      </c>
      <c r="F14" s="100" t="s">
        <v>382</v>
      </c>
      <c r="G14" s="100" t="s">
        <v>207</v>
      </c>
      <c r="H14" s="100" t="s">
        <v>207</v>
      </c>
      <c r="I14" s="100"/>
      <c r="J14" s="100" t="s">
        <v>387</v>
      </c>
      <c r="K14" s="96"/>
      <c r="L14" s="96"/>
      <c r="M14" s="96" t="str">
        <f t="shared" si="0"/>
        <v/>
      </c>
      <c r="O14" s="95"/>
    </row>
    <row r="15" ht="15" customHeight="1">
      <c r="A15" s="100" t="str">
        <f>target_columns[[#This Row],[Column Table Name]]&amp;target_columns[[#This Row],[ColumnName]]</f>
        <v>t_agr_rko_int_orgstart_dt</v>
      </c>
      <c r="B15" s="100" t="s">
        <v>59</v>
      </c>
      <c r="C15" s="100" t="s">
        <v>49</v>
      </c>
      <c r="D15" s="100" t="s">
        <v>381</v>
      </c>
      <c r="E15" s="100" t="s">
        <v>214</v>
      </c>
      <c r="F15" s="100" t="s">
        <v>382</v>
      </c>
      <c r="G15" s="100" t="s">
        <v>207</v>
      </c>
      <c r="H15" s="100" t="s">
        <v>213</v>
      </c>
      <c r="I15" s="100"/>
      <c r="J15" s="100" t="s">
        <v>388</v>
      </c>
      <c r="K15" s="96"/>
      <c r="L15" s="96"/>
      <c r="M15" s="96" t="str">
        <f t="shared" si="0"/>
        <v/>
      </c>
      <c r="O15" s="95"/>
    </row>
    <row r="16" ht="15" customHeight="1">
      <c r="A16" s="100" t="str">
        <f>target_columns[[#This Row],[Column Table Name]]&amp;target_columns[[#This Row],[ColumnName]]</f>
        <v>t_agr_rko_int_orgend_dt</v>
      </c>
      <c r="B16" s="100" t="s">
        <v>59</v>
      </c>
      <c r="C16" s="100" t="s">
        <v>54</v>
      </c>
      <c r="D16" s="100" t="s">
        <v>381</v>
      </c>
      <c r="E16" s="100" t="s">
        <v>214</v>
      </c>
      <c r="F16" s="100" t="s">
        <v>382</v>
      </c>
      <c r="G16" s="100" t="s">
        <v>213</v>
      </c>
      <c r="H16" s="100" t="s">
        <v>213</v>
      </c>
      <c r="I16" s="100"/>
      <c r="J16" s="100" t="s">
        <v>389</v>
      </c>
      <c r="K16" s="96"/>
      <c r="L16" s="96"/>
      <c r="M16" s="96" t="str">
        <f t="shared" si="0"/>
        <v/>
      </c>
      <c r="O16" s="95"/>
    </row>
    <row r="17" s="110" customFormat="1" ht="15" customHeight="1">
      <c r="A17" s="111" t="str">
        <f>target_columns[[#This Row],[Column Table Name]]&amp;target_columns[[#This Row],[ColumnName]]</f>
        <v>t_agr_rko_int_orgint_org_id</v>
      </c>
      <c r="B17" s="111" t="s">
        <v>59</v>
      </c>
      <c r="C17" s="111" t="s">
        <v>60</v>
      </c>
      <c r="D17" s="111" t="s">
        <v>218</v>
      </c>
      <c r="E17" s="111" t="s">
        <v>214</v>
      </c>
      <c r="F17" s="111" t="s">
        <v>382</v>
      </c>
      <c r="G17" s="111" t="s">
        <v>213</v>
      </c>
      <c r="H17" s="111" t="s">
        <v>207</v>
      </c>
      <c r="I17" s="111"/>
      <c r="J17" s="111" t="s">
        <v>391</v>
      </c>
      <c r="K17" s="112"/>
      <c r="L17" s="112"/>
      <c r="M17" s="112" t="str">
        <f t="shared" si="0"/>
        <v/>
      </c>
      <c r="O17" s="113"/>
    </row>
    <row r="18" ht="15" customHeight="1">
      <c r="A18" s="100" t="str">
        <f>target_columns[[#This Row],[Column Table Name]]&amp;target_columns[[#This Row],[ColumnName]]</f>
        <v>t_agr_rko_sttsagr_rko_id</v>
      </c>
      <c r="B18" s="100" t="s">
        <v>62</v>
      </c>
      <c r="C18" s="100" t="s">
        <v>44</v>
      </c>
      <c r="D18" s="100" t="s">
        <v>218</v>
      </c>
      <c r="E18" s="100" t="s">
        <v>208</v>
      </c>
      <c r="F18" s="100" t="s">
        <v>382</v>
      </c>
      <c r="G18" s="100" t="s">
        <v>207</v>
      </c>
      <c r="H18" s="100" t="s">
        <v>207</v>
      </c>
      <c r="I18" s="100"/>
      <c r="J18" s="100" t="s">
        <v>387</v>
      </c>
      <c r="K18" s="96"/>
      <c r="L18" s="96"/>
      <c r="M18" s="96" t="str">
        <f t="shared" si="0"/>
        <v/>
      </c>
      <c r="O18" s="95"/>
    </row>
    <row r="19" ht="15" customHeight="1">
      <c r="A19" s="100" t="str">
        <f>target_columns[[#This Row],[Column Table Name]]&amp;target_columns[[#This Row],[ColumnName]]</f>
        <v>t_agr_rko_sttsstart_dt</v>
      </c>
      <c r="B19" s="100" t="s">
        <v>62</v>
      </c>
      <c r="C19" s="100" t="s">
        <v>49</v>
      </c>
      <c r="D19" s="100" t="s">
        <v>381</v>
      </c>
      <c r="E19" s="100" t="s">
        <v>214</v>
      </c>
      <c r="F19" s="100" t="s">
        <v>382</v>
      </c>
      <c r="G19" s="100" t="s">
        <v>207</v>
      </c>
      <c r="H19" s="100" t="s">
        <v>213</v>
      </c>
      <c r="I19" s="100"/>
      <c r="J19" s="100" t="s">
        <v>388</v>
      </c>
      <c r="K19" s="96"/>
      <c r="L19" s="96"/>
      <c r="M19" s="96" t="str">
        <f t="shared" si="0"/>
        <v/>
      </c>
      <c r="O19" s="95"/>
    </row>
    <row r="20" ht="15" customHeight="1">
      <c r="A20" s="100" t="str">
        <f>target_columns[[#This Row],[Column Table Name]]&amp;target_columns[[#This Row],[ColumnName]]</f>
        <v>t_agr_rko_sttsend_dt</v>
      </c>
      <c r="B20" s="100" t="s">
        <v>62</v>
      </c>
      <c r="C20" s="100" t="s">
        <v>54</v>
      </c>
      <c r="D20" s="100" t="s">
        <v>381</v>
      </c>
      <c r="E20" s="100" t="s">
        <v>214</v>
      </c>
      <c r="F20" s="100" t="s">
        <v>382</v>
      </c>
      <c r="G20" s="100" t="s">
        <v>213</v>
      </c>
      <c r="H20" s="100" t="s">
        <v>213</v>
      </c>
      <c r="I20" s="100"/>
      <c r="J20" s="100" t="s">
        <v>389</v>
      </c>
      <c r="K20" s="96"/>
      <c r="L20" s="96"/>
      <c r="M20" s="96" t="str">
        <f t="shared" si="0"/>
        <v/>
      </c>
      <c r="O20" s="95"/>
    </row>
    <row r="21" s="110" customFormat="1" ht="15" customHeight="1">
      <c r="A21" s="111" t="str">
        <f>target_columns[[#This Row],[Column Table Name]]&amp;target_columns[[#This Row],[ColumnName]]</f>
        <v>t_agr_rko_sttsagr_rko_stts_type_id</v>
      </c>
      <c r="B21" s="111" t="s">
        <v>62</v>
      </c>
      <c r="C21" s="111" t="s">
        <v>63</v>
      </c>
      <c r="D21" s="111" t="s">
        <v>218</v>
      </c>
      <c r="E21" s="111" t="s">
        <v>214</v>
      </c>
      <c r="F21" s="111" t="s">
        <v>382</v>
      </c>
      <c r="G21" s="111" t="s">
        <v>213</v>
      </c>
      <c r="H21" s="111" t="s">
        <v>207</v>
      </c>
      <c r="I21" s="111"/>
      <c r="J21" s="111" t="s">
        <v>257</v>
      </c>
      <c r="K21" s="112"/>
      <c r="L21" s="112"/>
      <c r="M21" s="112" t="str">
        <f t="shared" si="0"/>
        <v/>
      </c>
      <c r="O21" s="113"/>
    </row>
    <row r="22" ht="15" customHeight="1">
      <c r="A22" s="100" t="str">
        <f>target_columns[[#This Row],[Column Table Name]]&amp;target_columns[[#This Row],[ColumnName]]</f>
        <v>t_registryregistry_id</v>
      </c>
      <c r="B22" s="100" t="s">
        <v>65</v>
      </c>
      <c r="C22" s="100" t="s">
        <v>66</v>
      </c>
      <c r="D22" s="100" t="s">
        <v>218</v>
      </c>
      <c r="E22" s="100" t="s">
        <v>208</v>
      </c>
      <c r="F22" s="100" t="s">
        <v>382</v>
      </c>
      <c r="G22" s="100" t="s">
        <v>207</v>
      </c>
      <c r="H22" s="100" t="s">
        <v>213</v>
      </c>
      <c r="I22" s="100"/>
      <c r="J22" s="100" t="s">
        <v>392</v>
      </c>
      <c r="K22" s="96"/>
      <c r="L22" s="96"/>
      <c r="M22" s="96" t="str">
        <f t="shared" si="0"/>
        <v/>
      </c>
      <c r="O22" s="95"/>
    </row>
    <row r="23" ht="15" customHeight="1">
      <c r="A23" s="100" t="str">
        <f t="shared" ref="A23:A26" si="1">B23&amp;C23</f>
        <v>t_registrystart_dt</v>
      </c>
      <c r="B23" s="100" t="s">
        <v>65</v>
      </c>
      <c r="C23" s="100" t="s">
        <v>49</v>
      </c>
      <c r="D23" s="100" t="s">
        <v>381</v>
      </c>
      <c r="E23" s="100" t="s">
        <v>214</v>
      </c>
      <c r="F23" s="100"/>
      <c r="G23" s="100" t="s">
        <v>213</v>
      </c>
      <c r="H23" s="100" t="s">
        <v>213</v>
      </c>
      <c r="I23" s="100"/>
      <c r="J23" s="100" t="s">
        <v>393</v>
      </c>
      <c r="K23" s="96"/>
      <c r="L23" s="96"/>
      <c r="M23" s="96"/>
      <c r="O23" s="95"/>
    </row>
    <row r="24" ht="15" customHeight="1">
      <c r="A24" s="100" t="str">
        <f t="shared" si="1"/>
        <v>t_registryend_dt</v>
      </c>
      <c r="B24" s="100" t="s">
        <v>65</v>
      </c>
      <c r="C24" s="100" t="s">
        <v>54</v>
      </c>
      <c r="D24" s="100" t="s">
        <v>381</v>
      </c>
      <c r="E24" s="100" t="s">
        <v>214</v>
      </c>
      <c r="F24" s="100"/>
      <c r="G24" s="100" t="s">
        <v>213</v>
      </c>
      <c r="H24" s="100" t="s">
        <v>213</v>
      </c>
      <c r="I24" s="100"/>
      <c r="J24" s="100" t="s">
        <v>394</v>
      </c>
      <c r="K24" s="96"/>
      <c r="L24" s="96"/>
      <c r="M24" s="96"/>
      <c r="O24" s="95"/>
    </row>
    <row r="25" ht="15" customHeight="1">
      <c r="A25" s="100" t="str">
        <f t="shared" si="1"/>
        <v>t_registrycoa_num</v>
      </c>
      <c r="B25" s="100" t="s">
        <v>65</v>
      </c>
      <c r="C25" s="100" t="s">
        <v>73</v>
      </c>
      <c r="D25" s="100" t="s">
        <v>221</v>
      </c>
      <c r="E25" s="100" t="s">
        <v>214</v>
      </c>
      <c r="F25" s="100"/>
      <c r="G25" s="100" t="s">
        <v>213</v>
      </c>
      <c r="H25" s="100" t="s">
        <v>213</v>
      </c>
      <c r="I25" s="100"/>
      <c r="J25" s="100" t="s">
        <v>395</v>
      </c>
      <c r="K25" s="96"/>
      <c r="L25" s="96"/>
      <c r="M25" s="96"/>
      <c r="O25" s="95"/>
    </row>
    <row r="26" ht="15" customHeight="1">
      <c r="A26" s="100" t="str">
        <f t="shared" si="1"/>
        <v>t_registrycrncy_id</v>
      </c>
      <c r="B26" s="100" t="s">
        <v>65</v>
      </c>
      <c r="C26" s="100" t="s">
        <v>40</v>
      </c>
      <c r="D26" s="100" t="s">
        <v>218</v>
      </c>
      <c r="E26" s="100" t="s">
        <v>214</v>
      </c>
      <c r="F26" s="100"/>
      <c r="G26" s="100" t="s">
        <v>213</v>
      </c>
      <c r="H26" s="100" t="s">
        <v>213</v>
      </c>
      <c r="I26" s="100"/>
      <c r="J26" s="100" t="s">
        <v>396</v>
      </c>
      <c r="K26" s="96"/>
      <c r="L26" s="96"/>
      <c r="M26" s="96"/>
      <c r="O26" s="95"/>
    </row>
    <row r="27" ht="15" customHeight="1">
      <c r="A27" s="100" t="str">
        <f>target_columns[[#This Row],[Column Table Name]]&amp;target_columns[[#This Row],[ColumnName]]</f>
        <v>t_registryagr_id</v>
      </c>
      <c r="B27" s="100" t="s">
        <v>65</v>
      </c>
      <c r="C27" s="100" t="s">
        <v>71</v>
      </c>
      <c r="D27" s="100" t="s">
        <v>218</v>
      </c>
      <c r="E27" s="100" t="s">
        <v>214</v>
      </c>
      <c r="F27" s="100" t="s">
        <v>382</v>
      </c>
      <c r="G27" s="100" t="s">
        <v>213</v>
      </c>
      <c r="H27" s="100" t="s">
        <v>207</v>
      </c>
      <c r="I27" s="100"/>
      <c r="J27" s="100" t="s">
        <v>224</v>
      </c>
      <c r="K27" s="96"/>
      <c r="L27" s="96"/>
      <c r="M27" s="96" t="str">
        <f t="shared" ref="M27:M38" si="2">IF(K27 = "", "",
IF(ISNA(VLOOKUP(K27,$A$3:$D$56,4,FALSE)),
"Данное поле не внесено в S2T",
 IF(VLOOKUP(K27,$A$3:$D$56,4,FALSE) = L27, "ОК", "Ошибка. Тип данных в S2T: " &amp; VLOOKUP(K27,$A$3:$D$56,4,FALSE))
)
)</f>
        <v/>
      </c>
      <c r="O27" s="95"/>
    </row>
    <row r="28" ht="15" customHeight="1">
      <c r="A28" s="100" t="str">
        <f>target_columns[[#This Row],[Column Table Name]]&amp;target_columns[[#This Row],[ColumnName]]</f>
        <v>t_registryregistry_type_id</v>
      </c>
      <c r="B28" s="100" t="s">
        <v>65</v>
      </c>
      <c r="C28" s="100" t="s">
        <v>77</v>
      </c>
      <c r="D28" s="100" t="s">
        <v>218</v>
      </c>
      <c r="E28" s="100" t="s">
        <v>214</v>
      </c>
      <c r="F28" s="100" t="s">
        <v>382</v>
      </c>
      <c r="G28" s="100" t="s">
        <v>213</v>
      </c>
      <c r="H28" s="100" t="s">
        <v>207</v>
      </c>
      <c r="I28" s="100"/>
      <c r="J28" s="100" t="s">
        <v>226</v>
      </c>
      <c r="K28" s="96"/>
      <c r="L28" s="96"/>
      <c r="M28" s="96" t="str">
        <f t="shared" si="2"/>
        <v/>
      </c>
      <c r="O28" s="95"/>
    </row>
    <row r="29" ht="15" customHeight="1">
      <c r="A29" s="100" t="str">
        <f>target_columns[[#This Row],[Column Table Name]]&amp;target_columns[[#This Row],[ColumnName]]</f>
        <v>t_registryhost_registry_id</v>
      </c>
      <c r="B29" s="100" t="s">
        <v>65</v>
      </c>
      <c r="C29" s="100" t="s">
        <v>75</v>
      </c>
      <c r="D29" s="100" t="s">
        <v>206</v>
      </c>
      <c r="E29" s="100" t="s">
        <v>214</v>
      </c>
      <c r="F29" s="100" t="s">
        <v>382</v>
      </c>
      <c r="G29" s="100" t="s">
        <v>213</v>
      </c>
      <c r="H29" s="100" t="s">
        <v>213</v>
      </c>
      <c r="I29" s="100"/>
      <c r="J29" s="100" t="s">
        <v>397</v>
      </c>
      <c r="K29" s="96"/>
      <c r="L29" s="96"/>
      <c r="M29" s="96" t="str">
        <f t="shared" si="2"/>
        <v/>
      </c>
      <c r="O29" s="95"/>
    </row>
    <row r="30" ht="15" customHeight="1">
      <c r="A30" s="100" t="str">
        <f>target_columns[[#This Row],[Column Table Name]]&amp;target_columns[[#This Row],[ColumnName]]</f>
        <v>t_crncycrncy_id</v>
      </c>
      <c r="B30" s="100" t="s">
        <v>182</v>
      </c>
      <c r="C30" s="100" t="s">
        <v>40</v>
      </c>
      <c r="D30" s="100" t="s">
        <v>218</v>
      </c>
      <c r="E30" s="100" t="s">
        <v>208</v>
      </c>
      <c r="F30" s="100" t="s">
        <v>382</v>
      </c>
      <c r="G30" s="100" t="s">
        <v>207</v>
      </c>
      <c r="H30" s="100" t="s">
        <v>213</v>
      </c>
      <c r="I30" s="100"/>
      <c r="J30" s="100" t="s">
        <v>396</v>
      </c>
      <c r="K30" s="96"/>
      <c r="L30" s="96"/>
      <c r="M30" s="96" t="str">
        <f t="shared" si="2"/>
        <v/>
      </c>
      <c r="O30" s="95"/>
    </row>
    <row r="31" ht="15" customHeight="1">
      <c r="A31" s="100" t="str">
        <f>target_columns[[#This Row],[Column Table Name]]&amp;target_columns[[#This Row],[ColumnName]]</f>
        <v>t_crncycrncy_cd</v>
      </c>
      <c r="B31" s="100" t="s">
        <v>182</v>
      </c>
      <c r="C31" s="100" t="s">
        <v>398</v>
      </c>
      <c r="D31" s="100" t="s">
        <v>221</v>
      </c>
      <c r="E31" s="100" t="s">
        <v>214</v>
      </c>
      <c r="F31" s="100" t="s">
        <v>382</v>
      </c>
      <c r="G31" s="100" t="s">
        <v>213</v>
      </c>
      <c r="H31" s="100" t="s">
        <v>213</v>
      </c>
      <c r="I31" s="100"/>
      <c r="J31" s="100" t="s">
        <v>399</v>
      </c>
      <c r="K31" s="96"/>
      <c r="L31" s="96"/>
      <c r="M31" s="96" t="str">
        <f t="shared" si="2"/>
        <v/>
      </c>
      <c r="O31" s="95"/>
    </row>
    <row r="32" ht="15" customHeight="1">
      <c r="A32" s="100" t="str">
        <f>target_columns[[#This Row],[Column Table Name]]&amp;target_columns[[#This Row],[ColumnName]]</f>
        <v>t_crncycrncy_iso_cd</v>
      </c>
      <c r="B32" s="100" t="s">
        <v>182</v>
      </c>
      <c r="C32" s="100" t="s">
        <v>400</v>
      </c>
      <c r="D32" s="100" t="s">
        <v>221</v>
      </c>
      <c r="E32" s="100" t="s">
        <v>214</v>
      </c>
      <c r="F32" s="100" t="s">
        <v>382</v>
      </c>
      <c r="G32" s="100" t="s">
        <v>213</v>
      </c>
      <c r="H32" s="100" t="s">
        <v>213</v>
      </c>
      <c r="I32" s="100"/>
      <c r="J32" s="100" t="s">
        <v>401</v>
      </c>
      <c r="K32" s="96"/>
      <c r="L32" s="96"/>
      <c r="M32" s="96" t="str">
        <f t="shared" si="2"/>
        <v/>
      </c>
      <c r="O32" s="95"/>
    </row>
    <row r="33" ht="15" customHeight="1">
      <c r="A33" s="100" t="str">
        <f>target_columns[[#This Row],[Column Table Name]]&amp;target_columns[[#This Row],[ColumnName]]</f>
        <v>t_crncycrncy_name</v>
      </c>
      <c r="B33" s="100" t="s">
        <v>182</v>
      </c>
      <c r="C33" s="100" t="s">
        <v>402</v>
      </c>
      <c r="D33" s="100" t="s">
        <v>221</v>
      </c>
      <c r="E33" s="100" t="s">
        <v>214</v>
      </c>
      <c r="F33" s="100" t="s">
        <v>382</v>
      </c>
      <c r="G33" s="100" t="s">
        <v>213</v>
      </c>
      <c r="H33" s="100" t="s">
        <v>213</v>
      </c>
      <c r="I33" s="100"/>
      <c r="J33" s="100" t="s">
        <v>403</v>
      </c>
      <c r="K33" s="96"/>
      <c r="L33" s="96"/>
      <c r="M33" s="96" t="str">
        <f t="shared" si="2"/>
        <v/>
      </c>
      <c r="O33" s="95"/>
    </row>
    <row r="34" ht="15" customHeight="1">
      <c r="A34" s="100" t="str">
        <f>target_columns[[#This Row],[Column Table Name]]&amp;target_columns[[#This Row],[ColumnName]]</f>
        <v>t_registry_typeregistry_type_id</v>
      </c>
      <c r="B34" s="100" t="s">
        <v>82</v>
      </c>
      <c r="C34" s="100" t="s">
        <v>77</v>
      </c>
      <c r="D34" s="100" t="s">
        <v>218</v>
      </c>
      <c r="E34" s="100" t="s">
        <v>208</v>
      </c>
      <c r="F34" s="100" t="s">
        <v>382</v>
      </c>
      <c r="G34" s="100" t="s">
        <v>207</v>
      </c>
      <c r="H34" s="100" t="s">
        <v>213</v>
      </c>
      <c r="I34" s="100"/>
      <c r="J34" s="100" t="s">
        <v>404</v>
      </c>
      <c r="K34" s="96"/>
      <c r="L34" s="96"/>
      <c r="M34" s="96" t="str">
        <f t="shared" si="2"/>
        <v/>
      </c>
      <c r="O34" s="95"/>
    </row>
    <row r="35" ht="15" customHeight="1">
      <c r="A35" s="100" t="str">
        <f>B35&amp;C35</f>
        <v>t_registry_typeregistry_type_name</v>
      </c>
      <c r="B35" s="100" t="s">
        <v>82</v>
      </c>
      <c r="C35" s="100" t="s">
        <v>84</v>
      </c>
      <c r="D35" s="100" t="s">
        <v>221</v>
      </c>
      <c r="E35" s="100" t="s">
        <v>214</v>
      </c>
      <c r="F35" s="100" t="s">
        <v>382</v>
      </c>
      <c r="G35" s="100" t="s">
        <v>213</v>
      </c>
      <c r="H35" s="100" t="s">
        <v>213</v>
      </c>
      <c r="I35" s="100"/>
      <c r="J35" s="100" t="s">
        <v>405</v>
      </c>
      <c r="K35" s="96"/>
      <c r="L35" s="96"/>
      <c r="M35" s="96"/>
      <c r="O35" s="95"/>
    </row>
    <row r="36" ht="15" customHeight="1">
      <c r="A36" s="100" t="str">
        <f>target_columns[[#This Row],[Column Table Name]]&amp;target_columns[[#This Row],[ColumnName]]</f>
        <v>t_registry_typeregistry_type_cd</v>
      </c>
      <c r="B36" s="100" t="s">
        <v>82</v>
      </c>
      <c r="C36" s="100" t="s">
        <v>86</v>
      </c>
      <c r="D36" s="100" t="s">
        <v>221</v>
      </c>
      <c r="E36" s="100" t="s">
        <v>214</v>
      </c>
      <c r="F36" s="100" t="s">
        <v>382</v>
      </c>
      <c r="G36" s="100" t="s">
        <v>213</v>
      </c>
      <c r="H36" s="100" t="s">
        <v>213</v>
      </c>
      <c r="I36" s="100"/>
      <c r="J36" s="100" t="s">
        <v>406</v>
      </c>
      <c r="K36" s="96"/>
      <c r="L36" s="96"/>
      <c r="M36" s="96" t="str">
        <f t="shared" si="2"/>
        <v/>
      </c>
      <c r="O36" s="95"/>
    </row>
    <row r="37" ht="15" customHeight="1">
      <c r="A37" s="100" t="str">
        <f>target_columns[[#This Row],[Column Table Name]]&amp;target_columns[[#This Row],[ColumnName]]</f>
        <v>t_int_orgint_org_id</v>
      </c>
      <c r="B37" s="100" t="s">
        <v>188</v>
      </c>
      <c r="C37" s="100" t="s">
        <v>60</v>
      </c>
      <c r="D37" s="100" t="s">
        <v>218</v>
      </c>
      <c r="E37" s="100" t="s">
        <v>208</v>
      </c>
      <c r="F37" s="100" t="s">
        <v>382</v>
      </c>
      <c r="G37" s="100" t="s">
        <v>207</v>
      </c>
      <c r="H37" s="100" t="s">
        <v>213</v>
      </c>
      <c r="I37" s="100"/>
      <c r="J37" s="100" t="s">
        <v>407</v>
      </c>
      <c r="K37" s="96"/>
      <c r="L37" s="96"/>
      <c r="M37" s="96" t="str">
        <f t="shared" si="2"/>
        <v/>
      </c>
      <c r="O37" s="95"/>
    </row>
    <row r="38" ht="15" customHeight="1">
      <c r="A38" s="100" t="str">
        <f>target_columns[[#This Row],[Column Table Name]]&amp;target_columns[[#This Row],[ColumnName]]</f>
        <v>t_int_orgint_org_num</v>
      </c>
      <c r="B38" s="100" t="s">
        <v>188</v>
      </c>
      <c r="C38" s="100" t="s">
        <v>190</v>
      </c>
      <c r="D38" s="100" t="s">
        <v>221</v>
      </c>
      <c r="E38" s="100" t="s">
        <v>214</v>
      </c>
      <c r="F38" s="100" t="s">
        <v>382</v>
      </c>
      <c r="G38" s="100" t="s">
        <v>213</v>
      </c>
      <c r="H38" s="100" t="s">
        <v>213</v>
      </c>
      <c r="I38" s="100"/>
      <c r="J38" s="100" t="s">
        <v>408</v>
      </c>
      <c r="K38" s="96"/>
      <c r="L38" s="96"/>
      <c r="M38" s="96" t="str">
        <f t="shared" si="2"/>
        <v/>
      </c>
      <c r="O38" s="95"/>
    </row>
    <row r="39" ht="15" customHeight="1">
      <c r="A39" s="100" t="str">
        <f>target_columns[[#This Row],[Column Table Name]]&amp;target_columns[[#This Row],[ColumnName]]</f>
        <v>T_REGISTRY_STTSREGISTRY_ID</v>
      </c>
      <c r="B39" s="100" t="s">
        <v>79</v>
      </c>
      <c r="C39" s="100" t="s">
        <v>409</v>
      </c>
      <c r="D39" s="100" t="s">
        <v>410</v>
      </c>
      <c r="E39" s="100" t="s">
        <v>208</v>
      </c>
      <c r="F39" s="100" t="s">
        <v>382</v>
      </c>
      <c r="G39" s="100" t="s">
        <v>207</v>
      </c>
      <c r="H39" s="100" t="s">
        <v>207</v>
      </c>
      <c r="I39" s="100"/>
      <c r="J39" s="100" t="s">
        <v>411</v>
      </c>
    </row>
    <row r="40" ht="15" customHeight="1">
      <c r="A40" s="100" t="str">
        <f>target_columns[[#This Row],[Column Table Name]]&amp;target_columns[[#This Row],[ColumnName]]</f>
        <v>T_REGISTRY_STTSSTART_DT</v>
      </c>
      <c r="B40" s="100" t="s">
        <v>79</v>
      </c>
      <c r="C40" s="100" t="s">
        <v>412</v>
      </c>
      <c r="D40" s="100" t="s">
        <v>413</v>
      </c>
      <c r="E40" s="100" t="s">
        <v>214</v>
      </c>
      <c r="F40" s="100" t="s">
        <v>382</v>
      </c>
      <c r="G40" s="100" t="s">
        <v>207</v>
      </c>
      <c r="H40" s="100" t="s">
        <v>213</v>
      </c>
      <c r="I40" s="100"/>
      <c r="J40" s="100" t="s">
        <v>414</v>
      </c>
    </row>
    <row r="41" ht="15" customHeight="1">
      <c r="A41" s="100" t="str">
        <f>target_columns[[#This Row],[Column Table Name]]&amp;target_columns[[#This Row],[ColumnName]]</f>
        <v>T_REGISTRY_STTSEND_DT</v>
      </c>
      <c r="B41" s="100" t="s">
        <v>79</v>
      </c>
      <c r="C41" s="100" t="s">
        <v>415</v>
      </c>
      <c r="D41" s="100" t="s">
        <v>413</v>
      </c>
      <c r="E41" s="100" t="s">
        <v>214</v>
      </c>
      <c r="F41" s="100" t="s">
        <v>382</v>
      </c>
      <c r="G41" s="100" t="s">
        <v>213</v>
      </c>
      <c r="H41" s="100" t="s">
        <v>213</v>
      </c>
      <c r="I41" s="100"/>
      <c r="J41" s="100" t="s">
        <v>416</v>
      </c>
    </row>
    <row r="42" ht="15" customHeight="1">
      <c r="A42" s="100" t="str">
        <f>target_columns[[#This Row],[Column Table Name]]&amp;target_columns[[#This Row],[ColumnName]]</f>
        <v>T_REGISTRY_STTSREGISTRY_STTS_TYPE_ID</v>
      </c>
      <c r="B42" s="100" t="s">
        <v>79</v>
      </c>
      <c r="C42" s="100" t="s">
        <v>80</v>
      </c>
      <c r="D42" s="100" t="s">
        <v>410</v>
      </c>
      <c r="E42" s="111" t="s">
        <v>214</v>
      </c>
      <c r="F42" s="111" t="s">
        <v>382</v>
      </c>
      <c r="G42" s="111" t="s">
        <v>213</v>
      </c>
      <c r="H42" s="111" t="s">
        <v>207</v>
      </c>
      <c r="I42" s="100"/>
      <c r="J42" s="100" t="s">
        <v>417</v>
      </c>
    </row>
    <row r="43" ht="15" customHeight="1">
      <c r="A43" s="100" t="str">
        <f>target_columns[[#This Row],[Column Table Name]]&amp;target_columns[[#This Row],[ColumnName]]</f>
        <v>t_applappl_id</v>
      </c>
      <c r="B43" s="100" t="s">
        <v>87</v>
      </c>
      <c r="C43" s="100" t="s">
        <v>88</v>
      </c>
      <c r="D43" s="100" t="s">
        <v>218</v>
      </c>
      <c r="E43" s="100" t="s">
        <v>208</v>
      </c>
      <c r="F43" s="100"/>
      <c r="G43" s="100" t="s">
        <v>207</v>
      </c>
      <c r="H43" s="100" t="s">
        <v>213</v>
      </c>
      <c r="I43" s="100"/>
      <c r="J43" s="100" t="s">
        <v>418</v>
      </c>
    </row>
    <row r="44" ht="15" customHeight="1">
      <c r="A44" s="100" t="str">
        <f>target_columns[[#This Row],[Column Table Name]]&amp;target_columns[[#This Row],[ColumnName]]</f>
        <v>t_applappl_type_id</v>
      </c>
      <c r="B44" s="100" t="s">
        <v>87</v>
      </c>
      <c r="C44" s="100" t="s">
        <v>91</v>
      </c>
      <c r="D44" s="100" t="s">
        <v>218</v>
      </c>
      <c r="E44" s="100" t="s">
        <v>214</v>
      </c>
      <c r="F44" s="100"/>
      <c r="G44" s="100" t="s">
        <v>213</v>
      </c>
      <c r="H44" s="100" t="s">
        <v>207</v>
      </c>
      <c r="I44" s="100"/>
      <c r="J44" s="100" t="s">
        <v>356</v>
      </c>
    </row>
    <row r="45" ht="15" customHeight="1">
      <c r="A45" s="100" t="str">
        <f>target_columns[[#This Row],[Column Table Name]]&amp;target_columns[[#This Row],[ColumnName]]</f>
        <v>t_applsrc_system_type_id</v>
      </c>
      <c r="B45" s="100" t="s">
        <v>87</v>
      </c>
      <c r="C45" s="100" t="s">
        <v>93</v>
      </c>
      <c r="D45" s="100" t="s">
        <v>218</v>
      </c>
      <c r="E45" s="100" t="s">
        <v>214</v>
      </c>
      <c r="F45" s="100"/>
      <c r="G45" s="100" t="s">
        <v>213</v>
      </c>
      <c r="H45" s="100" t="s">
        <v>207</v>
      </c>
      <c r="I45" s="100"/>
      <c r="J45" s="100" t="s">
        <v>419</v>
      </c>
    </row>
    <row r="46" ht="15" customHeight="1">
      <c r="A46" s="100" t="str">
        <f>target_columns[[#This Row],[Column Table Name]]&amp;target_columns[[#This Row],[ColumnName]]</f>
        <v>t_applagr_dbo_num</v>
      </c>
      <c r="B46" s="100" t="s">
        <v>87</v>
      </c>
      <c r="C46" s="100" t="s">
        <v>97</v>
      </c>
      <c r="D46" s="100" t="s">
        <v>221</v>
      </c>
      <c r="E46" s="100" t="s">
        <v>214</v>
      </c>
      <c r="F46" s="100"/>
      <c r="G46" s="100" t="s">
        <v>213</v>
      </c>
      <c r="H46" s="100" t="s">
        <v>213</v>
      </c>
      <c r="I46" s="100"/>
      <c r="J46" s="100" t="s">
        <v>420</v>
      </c>
    </row>
    <row r="47" ht="15" customHeight="1">
      <c r="A47" s="100" t="str">
        <f>target_columns[[#This Row],[Column Table Name]]&amp;target_columns[[#This Row],[ColumnName]]</f>
        <v>t_applopen_int_org_id</v>
      </c>
      <c r="B47" s="100" t="s">
        <v>87</v>
      </c>
      <c r="C47" s="100" t="s">
        <v>100</v>
      </c>
      <c r="D47" s="100" t="s">
        <v>218</v>
      </c>
      <c r="E47" s="100" t="s">
        <v>214</v>
      </c>
      <c r="F47" s="100"/>
      <c r="G47" s="100" t="s">
        <v>213</v>
      </c>
      <c r="H47" s="100" t="s">
        <v>207</v>
      </c>
      <c r="I47" s="100"/>
      <c r="J47" s="100" t="s">
        <v>421</v>
      </c>
    </row>
    <row r="48" ht="15" customHeight="1">
      <c r="A48" s="100" t="str">
        <f>target_columns[[#This Row],[Column Table Name]]&amp;target_columns[[#This Row],[ColumnName]]</f>
        <v>t_applchnl_type_id</v>
      </c>
      <c r="B48" s="100" t="s">
        <v>87</v>
      </c>
      <c r="C48" s="100" t="s">
        <v>103</v>
      </c>
      <c r="D48" s="100" t="s">
        <v>218</v>
      </c>
      <c r="E48" s="100" t="s">
        <v>214</v>
      </c>
      <c r="F48" s="100"/>
      <c r="G48" s="100" t="s">
        <v>213</v>
      </c>
      <c r="H48" s="100" t="s">
        <v>207</v>
      </c>
      <c r="I48" s="100"/>
      <c r="J48" s="100" t="s">
        <v>422</v>
      </c>
    </row>
    <row r="49" ht="15" customHeight="1">
      <c r="A49" s="100" t="str">
        <f>target_columns[[#This Row],[Column Table Name]]&amp;target_columns[[#This Row],[ColumnName]]</f>
        <v>t_applerror_txt</v>
      </c>
      <c r="B49" s="100" t="s">
        <v>87</v>
      </c>
      <c r="C49" s="100" t="s">
        <v>95</v>
      </c>
      <c r="D49" s="100" t="s">
        <v>221</v>
      </c>
      <c r="E49" s="100" t="s">
        <v>214</v>
      </c>
      <c r="F49" s="100"/>
      <c r="G49" s="100" t="s">
        <v>213</v>
      </c>
      <c r="H49" s="100" t="s">
        <v>213</v>
      </c>
      <c r="I49" s="100"/>
      <c r="J49" s="100" t="s">
        <v>423</v>
      </c>
    </row>
    <row r="50" ht="15" customHeight="1">
      <c r="A50" s="100" t="str">
        <f>target_columns[[#This Row],[Column Table Name]]&amp;target_columns[[#This Row],[ColumnName]]</f>
        <v>t_applagr_id</v>
      </c>
      <c r="B50" s="100" t="s">
        <v>87</v>
      </c>
      <c r="C50" s="100" t="s">
        <v>71</v>
      </c>
      <c r="D50" s="100" t="s">
        <v>218</v>
      </c>
      <c r="E50" s="100" t="s">
        <v>214</v>
      </c>
      <c r="F50" s="100"/>
      <c r="G50" s="100" t="s">
        <v>213</v>
      </c>
      <c r="H50" s="100" t="s">
        <v>207</v>
      </c>
      <c r="I50" s="100"/>
      <c r="J50" s="100" t="s">
        <v>424</v>
      </c>
    </row>
    <row r="51" ht="15" customHeight="1">
      <c r="A51" s="100" t="str">
        <f>target_columns[[#This Row],[Column Table Name]]&amp;target_columns[[#This Row],[ColumnName]]</f>
        <v>t_applregistry_id</v>
      </c>
      <c r="B51" s="100" t="s">
        <v>87</v>
      </c>
      <c r="C51" s="100" t="s">
        <v>66</v>
      </c>
      <c r="D51" s="100" t="s">
        <v>218</v>
      </c>
      <c r="E51" s="100" t="s">
        <v>214</v>
      </c>
      <c r="F51" s="100"/>
      <c r="G51" s="100" t="s">
        <v>213</v>
      </c>
      <c r="H51" s="100" t="s">
        <v>207</v>
      </c>
      <c r="I51" s="100"/>
      <c r="J51" s="100" t="s">
        <v>425</v>
      </c>
    </row>
    <row r="52" ht="15" customHeight="1">
      <c r="A52" s="100" t="str">
        <f>target_columns[[#This Row],[Column Table Name]]&amp;target_columns[[#This Row],[ColumnName]]</f>
        <v>t_applappl_received_dt</v>
      </c>
      <c r="B52" s="100" t="s">
        <v>87</v>
      </c>
      <c r="C52" s="100" t="s">
        <v>108</v>
      </c>
      <c r="D52" s="100" t="s">
        <v>381</v>
      </c>
      <c r="E52" s="100" t="s">
        <v>214</v>
      </c>
      <c r="F52" s="100"/>
      <c r="G52" s="100" t="s">
        <v>213</v>
      </c>
      <c r="H52" s="100" t="s">
        <v>213</v>
      </c>
      <c r="I52" s="100"/>
      <c r="J52" s="100" t="s">
        <v>426</v>
      </c>
    </row>
    <row r="53" ht="15" customHeight="1">
      <c r="A53" s="100" t="str">
        <f>target_columns[[#This Row],[Column Table Name]]&amp;target_columns[[#This Row],[ColumnName]]</f>
        <v>t_applcust_id</v>
      </c>
      <c r="B53" s="100" t="s">
        <v>87</v>
      </c>
      <c r="C53" s="100" t="s">
        <v>57</v>
      </c>
      <c r="D53" s="100" t="s">
        <v>218</v>
      </c>
      <c r="E53" s="100" t="s">
        <v>214</v>
      </c>
      <c r="F53" s="100"/>
      <c r="G53" s="100" t="s">
        <v>213</v>
      </c>
      <c r="H53" s="100" t="s">
        <v>207</v>
      </c>
      <c r="I53" s="100"/>
      <c r="J53" s="100" t="s">
        <v>427</v>
      </c>
    </row>
    <row r="54" ht="15" customHeight="1">
      <c r="A54" s="100" t="str">
        <f>target_columns[[#This Row],[Column Table Name]]&amp;target_columns[[#This Row],[ColumnName]]</f>
        <v>t_applhost_appl_id</v>
      </c>
      <c r="B54" s="100" t="s">
        <v>87</v>
      </c>
      <c r="C54" s="100" t="s">
        <v>113</v>
      </c>
      <c r="D54" s="100" t="s">
        <v>206</v>
      </c>
      <c r="E54" s="100" t="s">
        <v>214</v>
      </c>
      <c r="F54" s="100"/>
      <c r="G54" s="100" t="s">
        <v>213</v>
      </c>
      <c r="H54" s="100" t="s">
        <v>213</v>
      </c>
      <c r="I54" s="100"/>
      <c r="J54" s="100" t="s">
        <v>428</v>
      </c>
    </row>
    <row r="55" ht="15" customHeight="1">
      <c r="A55" s="100" t="str">
        <f>target_columns[[#This Row],[Column Table Name]]&amp;target_columns[[#This Row],[ColumnName]]</f>
        <v>t_appl_sttsappl_id</v>
      </c>
      <c r="B55" s="100" t="s">
        <v>115</v>
      </c>
      <c r="C55" s="100" t="s">
        <v>88</v>
      </c>
      <c r="D55" s="100" t="s">
        <v>218</v>
      </c>
      <c r="E55" s="100" t="s">
        <v>208</v>
      </c>
      <c r="F55" s="100"/>
      <c r="G55" s="100" t="s">
        <v>207</v>
      </c>
      <c r="H55" s="100" t="s">
        <v>207</v>
      </c>
      <c r="I55" s="100"/>
      <c r="J55" s="100" t="s">
        <v>429</v>
      </c>
    </row>
    <row r="56" ht="15" customHeight="1">
      <c r="A56" s="100" t="str">
        <f>target_columns[[#This Row],[Column Table Name]]&amp;target_columns[[#This Row],[ColumnName]]</f>
        <v>t_appl_sttsappl_stts_type_id</v>
      </c>
      <c r="B56" s="100" t="s">
        <v>115</v>
      </c>
      <c r="C56" s="100" t="s">
        <v>116</v>
      </c>
      <c r="D56" s="100" t="s">
        <v>218</v>
      </c>
      <c r="E56" s="100" t="s">
        <v>214</v>
      </c>
      <c r="F56" s="100"/>
      <c r="G56" s="100" t="s">
        <v>213</v>
      </c>
      <c r="H56" s="100" t="s">
        <v>207</v>
      </c>
      <c r="I56" s="100"/>
      <c r="J56" s="100" t="s">
        <v>237</v>
      </c>
    </row>
    <row r="57" ht="15" customHeight="1">
      <c r="A57" s="100" t="str">
        <f>target_columns[[#This Row],[Column Table Name]]&amp;target_columns[[#This Row],[ColumnName]]</f>
        <v>t_appl_sttsstart_dt</v>
      </c>
      <c r="B57" s="100" t="s">
        <v>115</v>
      </c>
      <c r="C57" s="100" t="s">
        <v>49</v>
      </c>
      <c r="D57" s="100" t="s">
        <v>381</v>
      </c>
      <c r="E57" s="100" t="s">
        <v>214</v>
      </c>
      <c r="F57" s="100"/>
      <c r="G57" s="100" t="s">
        <v>213</v>
      </c>
      <c r="H57" s="100" t="s">
        <v>213</v>
      </c>
      <c r="I57" s="100"/>
      <c r="J57" s="100" t="s">
        <v>430</v>
      </c>
    </row>
    <row r="58" ht="15" customHeight="1">
      <c r="A58" s="100" t="str">
        <f>target_columns[[#This Row],[Column Table Name]]&amp;target_columns[[#This Row],[ColumnName]]</f>
        <v>t_appl_sttsend_dt</v>
      </c>
      <c r="B58" s="100" t="s">
        <v>115</v>
      </c>
      <c r="C58" s="100" t="s">
        <v>54</v>
      </c>
      <c r="D58" s="100" t="s">
        <v>381</v>
      </c>
      <c r="E58" s="100" t="s">
        <v>214</v>
      </c>
      <c r="F58" s="100"/>
      <c r="G58" s="100" t="s">
        <v>213</v>
      </c>
      <c r="H58" s="100" t="s">
        <v>213</v>
      </c>
      <c r="I58" s="100"/>
      <c r="J58" s="100" t="s">
        <v>249</v>
      </c>
    </row>
    <row r="59" ht="15" customHeight="1">
      <c r="A59" s="100" t="str">
        <f>target_columns[[#This Row],[Column Table Name]]&amp;target_columns[[#This Row],[ColumnName]]</f>
        <v>t_appl_sttsappl_stts_role_type_id</v>
      </c>
      <c r="B59" s="100" t="s">
        <v>115</v>
      </c>
      <c r="C59" s="100" t="s">
        <v>118</v>
      </c>
      <c r="D59" s="100" t="s">
        <v>218</v>
      </c>
      <c r="E59" s="100" t="s">
        <v>214</v>
      </c>
      <c r="F59" s="100"/>
      <c r="G59" s="100" t="s">
        <v>213</v>
      </c>
      <c r="H59" s="100" t="s">
        <v>207</v>
      </c>
      <c r="I59" s="100"/>
      <c r="J59" s="100" t="s">
        <v>431</v>
      </c>
    </row>
    <row r="60" ht="15" customHeight="1">
      <c r="A60" s="100" t="str">
        <f>target_columns[[#This Row],[Column Table Name]]&amp;target_columns[[#This Row],[ColumnName]]</f>
        <v>t_arg_rko_limitagr_rko_limit_id</v>
      </c>
      <c r="B60" s="100" t="s">
        <v>121</v>
      </c>
      <c r="C60" s="100" t="s">
        <v>122</v>
      </c>
      <c r="D60" s="100" t="s">
        <v>218</v>
      </c>
      <c r="E60" s="100" t="s">
        <v>208</v>
      </c>
      <c r="F60" s="100"/>
      <c r="G60" s="100" t="s">
        <v>207</v>
      </c>
      <c r="H60" s="100" t="s">
        <v>213</v>
      </c>
      <c r="I60" s="100"/>
      <c r="J60" s="100" t="s">
        <v>432</v>
      </c>
    </row>
    <row r="61" ht="15" customHeight="1">
      <c r="A61" s="100" t="str">
        <f>target_columns[[#This Row],[Column Table Name]]&amp;target_columns[[#This Row],[ColumnName]]</f>
        <v>t_arg_rko_limitagr_rko_limit_host_id</v>
      </c>
      <c r="B61" s="100" t="s">
        <v>121</v>
      </c>
      <c r="C61" s="100" t="s">
        <v>124</v>
      </c>
      <c r="D61" s="100" t="s">
        <v>206</v>
      </c>
      <c r="E61" s="100" t="s">
        <v>214</v>
      </c>
      <c r="F61" s="100"/>
      <c r="G61" s="100" t="s">
        <v>213</v>
      </c>
      <c r="H61" s="100" t="s">
        <v>213</v>
      </c>
      <c r="I61" s="100"/>
      <c r="J61" s="100" t="s">
        <v>433</v>
      </c>
    </row>
    <row r="62" ht="15" customHeight="1">
      <c r="A62" s="100" t="str">
        <f>target_columns[[#This Row],[Column Table Name]]&amp;target_columns[[#This Row],[ColumnName]]</f>
        <v>t_arg_rko_limitagr_rko_limit_type_id</v>
      </c>
      <c r="B62" s="100" t="s">
        <v>121</v>
      </c>
      <c r="C62" s="100" t="s">
        <v>125</v>
      </c>
      <c r="D62" s="100" t="s">
        <v>218</v>
      </c>
      <c r="E62" s="100" t="s">
        <v>214</v>
      </c>
      <c r="F62" s="100"/>
      <c r="G62" s="100" t="s">
        <v>213</v>
      </c>
      <c r="H62" s="100" t="s">
        <v>207</v>
      </c>
      <c r="I62" s="100"/>
      <c r="J62" s="100" t="s">
        <v>296</v>
      </c>
    </row>
    <row r="63" ht="15" customHeight="1">
      <c r="A63" s="100" t="str">
        <f>target_columns[[#This Row],[Column Table Name]]&amp;target_columns[[#This Row],[ColumnName]]</f>
        <v>t_arg_rko_limitstart_dttm</v>
      </c>
      <c r="B63" s="100" t="s">
        <v>121</v>
      </c>
      <c r="C63" s="100" t="s">
        <v>127</v>
      </c>
      <c r="D63" s="100" t="s">
        <v>212</v>
      </c>
      <c r="E63" s="100" t="s">
        <v>214</v>
      </c>
      <c r="F63" s="100"/>
      <c r="G63" s="100" t="s">
        <v>213</v>
      </c>
      <c r="H63" s="100" t="s">
        <v>213</v>
      </c>
      <c r="I63" s="100"/>
      <c r="J63" s="100" t="s">
        <v>282</v>
      </c>
    </row>
    <row r="64" ht="15" customHeight="1">
      <c r="A64" s="100" t="str">
        <f>target_columns[[#This Row],[Column Table Name]]&amp;target_columns[[#This Row],[ColumnName]]</f>
        <v>t_arg_rko_limitend_dttm</v>
      </c>
      <c r="B64" s="100" t="s">
        <v>121</v>
      </c>
      <c r="C64" s="100" t="s">
        <v>129</v>
      </c>
      <c r="D64" s="100" t="s">
        <v>212</v>
      </c>
      <c r="E64" s="100" t="s">
        <v>214</v>
      </c>
      <c r="F64" s="100"/>
      <c r="G64" s="100" t="s">
        <v>213</v>
      </c>
      <c r="H64" s="100" t="s">
        <v>213</v>
      </c>
      <c r="I64" s="100"/>
      <c r="J64" s="100" t="s">
        <v>284</v>
      </c>
    </row>
    <row r="65" ht="15" customHeight="1">
      <c r="A65" s="100" t="str">
        <f>target_columns[[#This Row],[Column Table Name]]&amp;target_columns[[#This Row],[ColumnName]]</f>
        <v>t_arg_rko_limitlimit_amt</v>
      </c>
      <c r="B65" s="100" t="s">
        <v>121</v>
      </c>
      <c r="C65" s="100" t="s">
        <v>131</v>
      </c>
      <c r="D65" s="100" t="s">
        <v>297</v>
      </c>
      <c r="E65" s="100" t="s">
        <v>214</v>
      </c>
      <c r="F65" s="100"/>
      <c r="G65" s="100" t="s">
        <v>213</v>
      </c>
      <c r="H65" s="100" t="s">
        <v>213</v>
      </c>
      <c r="I65" s="100"/>
      <c r="J65" s="100" t="s">
        <v>298</v>
      </c>
    </row>
    <row r="66" ht="15" customHeight="1">
      <c r="A66" s="100" t="str">
        <f>target_columns[[#This Row],[Column Table Name]]&amp;target_columns[[#This Row],[ColumnName]]</f>
        <v>t_arg_rko_limitlimit_open_txt</v>
      </c>
      <c r="B66" s="100" t="s">
        <v>121</v>
      </c>
      <c r="C66" s="100" t="s">
        <v>133</v>
      </c>
      <c r="D66" s="100" t="s">
        <v>221</v>
      </c>
      <c r="E66" s="100" t="s">
        <v>214</v>
      </c>
      <c r="F66" s="100"/>
      <c r="G66" s="100" t="s">
        <v>213</v>
      </c>
      <c r="H66" s="100" t="s">
        <v>213</v>
      </c>
      <c r="I66" s="100"/>
      <c r="J66" s="100" t="s">
        <v>434</v>
      </c>
    </row>
    <row r="67" ht="15" customHeight="1">
      <c r="A67" s="100" t="str">
        <f>target_columns[[#This Row],[Column Table Name]]&amp;target_columns[[#This Row],[ColumnName]]</f>
        <v>t_arg_rko_limitcrncy_id</v>
      </c>
      <c r="B67" s="100" t="s">
        <v>121</v>
      </c>
      <c r="C67" s="100" t="s">
        <v>40</v>
      </c>
      <c r="D67" s="100" t="s">
        <v>218</v>
      </c>
      <c r="E67" s="100" t="s">
        <v>214</v>
      </c>
      <c r="F67" s="100"/>
      <c r="G67" s="100" t="s">
        <v>213</v>
      </c>
      <c r="H67" s="100" t="s">
        <v>207</v>
      </c>
      <c r="I67" s="100"/>
      <c r="J67" s="100" t="s">
        <v>294</v>
      </c>
    </row>
    <row r="68" ht="15" customHeight="1">
      <c r="A68" s="100" t="str">
        <f>target_columns[[#This Row],[Column Table Name]]&amp;target_columns[[#This Row],[ColumnName]]</f>
        <v>t_arg_rko_limitlimit_dt</v>
      </c>
      <c r="B68" s="100" t="s">
        <v>121</v>
      </c>
      <c r="C68" s="100" t="s">
        <v>136</v>
      </c>
      <c r="D68" s="100" t="s">
        <v>381</v>
      </c>
      <c r="E68" s="100" t="s">
        <v>214</v>
      </c>
      <c r="F68" s="100"/>
      <c r="G68" s="100" t="s">
        <v>213</v>
      </c>
      <c r="H68" s="100" t="s">
        <v>213</v>
      </c>
      <c r="I68" s="100"/>
      <c r="J68" s="100" t="s">
        <v>435</v>
      </c>
    </row>
    <row r="69" ht="15" customHeight="1">
      <c r="A69" s="100" t="str">
        <f>target_columns[[#This Row],[Column Table Name]]&amp;target_columns[[#This Row],[ColumnName]]</f>
        <v>t_arg_rko_limitactive_flag</v>
      </c>
      <c r="B69" s="100" t="s">
        <v>121</v>
      </c>
      <c r="C69" s="100" t="s">
        <v>138</v>
      </c>
      <c r="D69" s="100" t="s">
        <v>221</v>
      </c>
      <c r="E69" s="100" t="s">
        <v>214</v>
      </c>
      <c r="F69" s="100"/>
      <c r="G69" s="100" t="s">
        <v>213</v>
      </c>
      <c r="H69" s="100" t="s">
        <v>213</v>
      </c>
      <c r="I69" s="100"/>
      <c r="J69" s="100" t="s">
        <v>436</v>
      </c>
    </row>
    <row r="70" ht="15" customHeight="1">
      <c r="A70" s="100" t="str">
        <f>target_columns[[#This Row],[Column Table Name]]&amp;target_columns[[#This Row],[ColumnName]]</f>
        <v>t_arg_rko_limitlimit_close_txt</v>
      </c>
      <c r="B70" s="100" t="s">
        <v>121</v>
      </c>
      <c r="C70" s="100" t="s">
        <v>141</v>
      </c>
      <c r="D70" s="100" t="s">
        <v>221</v>
      </c>
      <c r="E70" s="100" t="s">
        <v>214</v>
      </c>
      <c r="F70" s="100"/>
      <c r="G70" s="100" t="s">
        <v>213</v>
      </c>
      <c r="H70" s="100" t="s">
        <v>213</v>
      </c>
      <c r="I70" s="100"/>
      <c r="J70" s="100" t="s">
        <v>437</v>
      </c>
    </row>
    <row r="71" ht="15" customHeight="1">
      <c r="A71" s="100" t="str">
        <f>target_columns[[#This Row],[Column Table Name]]&amp;target_columns[[#This Row],[ColumnName]]</f>
        <v>t_arg_rko_limitagr_rko_id</v>
      </c>
      <c r="B71" s="100" t="s">
        <v>121</v>
      </c>
      <c r="C71" s="100" t="s">
        <v>44</v>
      </c>
      <c r="D71" s="100" t="s">
        <v>218</v>
      </c>
      <c r="E71" s="100" t="s">
        <v>214</v>
      </c>
      <c r="F71" s="100"/>
      <c r="G71" s="100" t="s">
        <v>213</v>
      </c>
      <c r="H71" s="100" t="s">
        <v>207</v>
      </c>
      <c r="I71" s="100"/>
      <c r="J71" s="100" t="s">
        <v>438</v>
      </c>
    </row>
    <row r="72" ht="15" customHeight="1">
      <c r="A72" s="100" t="str">
        <f>target_columns[[#This Row],[Column Table Name]]&amp;target_columns[[#This Row],[ColumnName]]</f>
        <v>t_rko_purpose_typerko_purpose_type_id</v>
      </c>
      <c r="B72" s="100" t="s">
        <v>143</v>
      </c>
      <c r="C72" s="100" t="s">
        <v>42</v>
      </c>
      <c r="D72" s="100" t="s">
        <v>218</v>
      </c>
      <c r="E72" s="100" t="s">
        <v>208</v>
      </c>
      <c r="F72" s="100"/>
      <c r="G72" s="100" t="s">
        <v>207</v>
      </c>
      <c r="H72" s="100" t="s">
        <v>213</v>
      </c>
      <c r="I72" s="100"/>
      <c r="J72" s="100" t="s">
        <v>439</v>
      </c>
    </row>
    <row r="73" ht="15" customHeight="1">
      <c r="A73" s="100" t="str">
        <f>target_columns[[#This Row],[Column Table Name]]&amp;target_columns[[#This Row],[ColumnName]]</f>
        <v>t_rko_purpose_typerko_purpose_type_cd</v>
      </c>
      <c r="B73" s="100" t="s">
        <v>143</v>
      </c>
      <c r="C73" s="100" t="s">
        <v>145</v>
      </c>
      <c r="D73" s="100" t="s">
        <v>221</v>
      </c>
      <c r="E73" s="100" t="s">
        <v>214</v>
      </c>
      <c r="F73" s="100"/>
      <c r="G73" s="100" t="s">
        <v>213</v>
      </c>
      <c r="H73" s="100" t="s">
        <v>213</v>
      </c>
      <c r="I73" s="100"/>
      <c r="J73" s="100" t="s">
        <v>440</v>
      </c>
    </row>
    <row r="74" ht="15" customHeight="1">
      <c r="A74" s="100" t="str">
        <f>target_columns[[#This Row],[Column Table Name]]&amp;target_columns[[#This Row],[ColumnName]]</f>
        <v>t_rko_purpose_typerko_purpose_type_name</v>
      </c>
      <c r="B74" s="100" t="s">
        <v>143</v>
      </c>
      <c r="C74" s="100" t="s">
        <v>146</v>
      </c>
      <c r="D74" s="100" t="s">
        <v>221</v>
      </c>
      <c r="E74" s="100" t="s">
        <v>214</v>
      </c>
      <c r="F74" s="100"/>
      <c r="G74" s="100" t="s">
        <v>213</v>
      </c>
      <c r="H74" s="100" t="s">
        <v>213</v>
      </c>
      <c r="I74" s="100"/>
      <c r="J74" s="100" t="s">
        <v>441</v>
      </c>
    </row>
    <row r="75" ht="15" customHeight="1">
      <c r="A75" s="100" t="str">
        <f>target_columns[[#This Row],[Column Table Name]]&amp;target_columns[[#This Row],[ColumnName]]</f>
        <v>T_REGISTRY_STTS_TYPEREGISTRY_STTS_TYPE_ID</v>
      </c>
      <c r="B75" s="100" t="s">
        <v>147</v>
      </c>
      <c r="C75" s="100" t="s">
        <v>80</v>
      </c>
      <c r="D75" s="100" t="s">
        <v>218</v>
      </c>
      <c r="E75" s="100" t="s">
        <v>208</v>
      </c>
      <c r="F75" s="100"/>
      <c r="G75" s="100" t="s">
        <v>207</v>
      </c>
      <c r="H75" s="100" t="s">
        <v>213</v>
      </c>
      <c r="I75" s="100"/>
      <c r="J75" s="100" t="s">
        <v>417</v>
      </c>
    </row>
    <row r="76" ht="15" customHeight="1">
      <c r="A76" s="100" t="str">
        <f>target_columns[[#This Row],[Column Table Name]]&amp;target_columns[[#This Row],[ColumnName]]</f>
        <v>T_REGISTRY_STTS_TYPEREGISTRY_STTS_TYPE_CD</v>
      </c>
      <c r="B76" s="100" t="s">
        <v>147</v>
      </c>
      <c r="C76" s="100" t="s">
        <v>149</v>
      </c>
      <c r="D76" s="100" t="s">
        <v>221</v>
      </c>
      <c r="E76" s="100" t="s">
        <v>214</v>
      </c>
      <c r="F76" s="100"/>
      <c r="G76" s="100" t="s">
        <v>213</v>
      </c>
      <c r="H76" s="100" t="s">
        <v>213</v>
      </c>
      <c r="I76" s="100"/>
      <c r="J76" s="100" t="s">
        <v>442</v>
      </c>
    </row>
    <row r="77" ht="15" customHeight="1">
      <c r="A77" s="100" t="str">
        <f>target_columns[[#This Row],[Column Table Name]]&amp;target_columns[[#This Row],[ColumnName]]</f>
        <v>T_REGISTRY_STTS_TYPEREGISTRY_STTS_TYPE_NAME</v>
      </c>
      <c r="B77" s="100" t="s">
        <v>147</v>
      </c>
      <c r="C77" s="100" t="s">
        <v>150</v>
      </c>
      <c r="D77" s="100" t="s">
        <v>221</v>
      </c>
      <c r="E77" s="100" t="s">
        <v>214</v>
      </c>
      <c r="F77" s="100"/>
      <c r="G77" s="100" t="s">
        <v>213</v>
      </c>
      <c r="H77" s="100" t="s">
        <v>213</v>
      </c>
      <c r="I77" s="100"/>
      <c r="J77" s="100" t="s">
        <v>443</v>
      </c>
    </row>
    <row r="78" ht="15" customHeight="1">
      <c r="A78" s="100" t="str">
        <f>target_columns[[#This Row],[Column Table Name]]&amp;target_columns[[#This Row],[ColumnName]]</f>
        <v>T_APPL_TYPEAPPL_TYPE_ID</v>
      </c>
      <c r="B78" s="100" t="s">
        <v>151</v>
      </c>
      <c r="C78" s="100" t="s">
        <v>152</v>
      </c>
      <c r="D78" s="100" t="s">
        <v>218</v>
      </c>
      <c r="E78" s="100" t="s">
        <v>208</v>
      </c>
      <c r="F78" s="100"/>
      <c r="G78" s="100" t="s">
        <v>207</v>
      </c>
      <c r="H78" s="100" t="s">
        <v>213</v>
      </c>
      <c r="I78" s="100"/>
      <c r="J78" s="100" t="s">
        <v>444</v>
      </c>
    </row>
    <row r="79" ht="15" customHeight="1">
      <c r="A79" s="100" t="str">
        <f>target_columns[[#This Row],[Column Table Name]]&amp;target_columns[[#This Row],[ColumnName]]</f>
        <v>T_APPL_TYPEAPPL_TYPE_CD</v>
      </c>
      <c r="B79" s="100" t="s">
        <v>151</v>
      </c>
      <c r="C79" s="100" t="s">
        <v>154</v>
      </c>
      <c r="D79" s="100" t="s">
        <v>221</v>
      </c>
      <c r="E79" s="100" t="s">
        <v>214</v>
      </c>
      <c r="F79" s="100"/>
      <c r="G79" s="100" t="s">
        <v>213</v>
      </c>
      <c r="H79" s="100" t="s">
        <v>213</v>
      </c>
      <c r="I79" s="100"/>
      <c r="J79" s="100" t="s">
        <v>445</v>
      </c>
    </row>
    <row r="80" ht="15" customHeight="1">
      <c r="A80" s="100" t="str">
        <f>target_columns[[#This Row],[Column Table Name]]&amp;target_columns[[#This Row],[ColumnName]]</f>
        <v>T_SRC_SYSTEM_TYPESRC_SYSTEM_TYPE_ID</v>
      </c>
      <c r="B80" s="100" t="s">
        <v>156</v>
      </c>
      <c r="C80" s="100" t="s">
        <v>157</v>
      </c>
      <c r="D80" s="100" t="s">
        <v>218</v>
      </c>
      <c r="E80" s="100" t="s">
        <v>208</v>
      </c>
      <c r="F80" s="100"/>
      <c r="G80" s="100" t="s">
        <v>207</v>
      </c>
      <c r="H80" s="100" t="s">
        <v>213</v>
      </c>
      <c r="I80" s="100"/>
      <c r="J80" s="100" t="s">
        <v>446</v>
      </c>
    </row>
    <row r="81" ht="15" customHeight="1">
      <c r="A81" s="100" t="str">
        <f>target_columns[[#This Row],[Column Table Name]]&amp;target_columns[[#This Row],[ColumnName]]</f>
        <v>T_SRC_SYSTEM_TYPESRC_SYSTEM_TYPE_CD</v>
      </c>
      <c r="B81" s="100" t="s">
        <v>156</v>
      </c>
      <c r="C81" s="100" t="s">
        <v>159</v>
      </c>
      <c r="D81" s="100" t="s">
        <v>221</v>
      </c>
      <c r="E81" s="100" t="s">
        <v>214</v>
      </c>
      <c r="F81" s="100"/>
      <c r="G81" s="100" t="s">
        <v>213</v>
      </c>
      <c r="H81" s="100" t="s">
        <v>213</v>
      </c>
      <c r="I81" s="100"/>
      <c r="J81" s="100" t="s">
        <v>447</v>
      </c>
    </row>
    <row r="82" ht="15" customHeight="1">
      <c r="A82" s="100" t="str">
        <f>target_columns[[#This Row],[Column Table Name]]&amp;target_columns[[#This Row],[ColumnName]]</f>
        <v>T_CHNL_TYPECHNL_TYPE_ID</v>
      </c>
      <c r="B82" s="100" t="s">
        <v>161</v>
      </c>
      <c r="C82" s="100" t="s">
        <v>162</v>
      </c>
      <c r="D82" s="100" t="s">
        <v>218</v>
      </c>
      <c r="E82" s="100" t="s">
        <v>208</v>
      </c>
      <c r="F82" s="100"/>
      <c r="G82" s="100" t="s">
        <v>207</v>
      </c>
      <c r="H82" s="100" t="s">
        <v>213</v>
      </c>
      <c r="I82" s="100"/>
      <c r="J82" s="100" t="s">
        <v>448</v>
      </c>
    </row>
    <row r="83" ht="15" customHeight="1">
      <c r="A83" s="100" t="str">
        <f>target_columns[[#This Row],[Column Table Name]]&amp;target_columns[[#This Row],[ColumnName]]</f>
        <v>T_CHNL_TYPECHNL_TYPE_CD</v>
      </c>
      <c r="B83" s="100" t="s">
        <v>161</v>
      </c>
      <c r="C83" s="100" t="s">
        <v>164</v>
      </c>
      <c r="D83" s="100" t="s">
        <v>221</v>
      </c>
      <c r="E83" s="100" t="s">
        <v>214</v>
      </c>
      <c r="F83" s="100"/>
      <c r="G83" s="100" t="s">
        <v>213</v>
      </c>
      <c r="H83" s="100" t="s">
        <v>213</v>
      </c>
      <c r="I83" s="100"/>
      <c r="J83" s="100" t="s">
        <v>449</v>
      </c>
    </row>
    <row r="84" ht="15" customHeight="1">
      <c r="A84" s="100" t="str">
        <f>target_columns[[#This Row],[Column Table Name]]&amp;target_columns[[#This Row],[ColumnName]]</f>
        <v>T_APPL_STTS_TYPEAPPL_STTS_TYPE_ID</v>
      </c>
      <c r="B84" s="100" t="s">
        <v>166</v>
      </c>
      <c r="C84" s="100" t="s">
        <v>167</v>
      </c>
      <c r="D84" s="100" t="s">
        <v>218</v>
      </c>
      <c r="E84" s="100" t="s">
        <v>208</v>
      </c>
      <c r="F84" s="100"/>
      <c r="G84" s="100" t="s">
        <v>207</v>
      </c>
      <c r="H84" s="100" t="s">
        <v>213</v>
      </c>
      <c r="I84" s="100"/>
      <c r="J84" s="100" t="s">
        <v>450</v>
      </c>
    </row>
    <row r="85" ht="15" customHeight="1">
      <c r="A85" s="100" t="str">
        <f>target_columns[[#This Row],[Column Table Name]]&amp;target_columns[[#This Row],[ColumnName]]</f>
        <v>T_APPL_STTS_TYPEAPPL_STTS_TYPE_CD</v>
      </c>
      <c r="B85" s="100" t="s">
        <v>166</v>
      </c>
      <c r="C85" s="100" t="s">
        <v>169</v>
      </c>
      <c r="D85" s="100" t="s">
        <v>221</v>
      </c>
      <c r="E85" s="100" t="s">
        <v>214</v>
      </c>
      <c r="F85" s="100"/>
      <c r="G85" s="100" t="s">
        <v>213</v>
      </c>
      <c r="H85" s="100" t="s">
        <v>213</v>
      </c>
      <c r="I85" s="100"/>
      <c r="J85" s="100" t="s">
        <v>451</v>
      </c>
    </row>
    <row r="86" ht="15" customHeight="1">
      <c r="A86" s="100" t="str">
        <f>target_columns[[#This Row],[Column Table Name]]&amp;target_columns[[#This Row],[ColumnName]]</f>
        <v>T_APPL_STTS_TYPEAPPL_STTS_TYPE_NAME</v>
      </c>
      <c r="B86" s="100" t="s">
        <v>166</v>
      </c>
      <c r="C86" s="100" t="s">
        <v>171</v>
      </c>
      <c r="D86" s="100" t="s">
        <v>221</v>
      </c>
      <c r="E86" s="100" t="s">
        <v>214</v>
      </c>
      <c r="F86" s="100"/>
      <c r="G86" s="100" t="s">
        <v>213</v>
      </c>
      <c r="H86" s="100" t="s">
        <v>213</v>
      </c>
      <c r="I86" s="100"/>
      <c r="J86" s="100" t="s">
        <v>452</v>
      </c>
    </row>
    <row r="87" ht="15" customHeight="1">
      <c r="A87" s="100" t="str">
        <f>target_columns[[#This Row],[Column Table Name]]&amp;target_columns[[#This Row],[ColumnName]]</f>
        <v>T_APPL_STTS_TYPEHOST_APPL_STTS_TYPE_ID</v>
      </c>
      <c r="B87" s="100" t="s">
        <v>166</v>
      </c>
      <c r="C87" s="100" t="s">
        <v>172</v>
      </c>
      <c r="D87" s="100" t="s">
        <v>206</v>
      </c>
      <c r="E87" s="100" t="s">
        <v>214</v>
      </c>
      <c r="F87" s="100"/>
      <c r="G87" s="100" t="s">
        <v>213</v>
      </c>
      <c r="H87" s="100" t="s">
        <v>213</v>
      </c>
      <c r="I87" s="100"/>
      <c r="J87" s="100" t="s">
        <v>453</v>
      </c>
    </row>
    <row r="88" ht="15" customHeight="1">
      <c r="A88" s="100" t="str">
        <f>target_columns[[#This Row],[Column Table Name]]&amp;target_columns[[#This Row],[ColumnName]]</f>
        <v>T_AGR_RKO_STTS_TYPEAGR_RKO_STTS_TYPE_ID</v>
      </c>
      <c r="B88" s="100" t="s">
        <v>173</v>
      </c>
      <c r="C88" s="100" t="s">
        <v>174</v>
      </c>
      <c r="D88" s="100" t="s">
        <v>218</v>
      </c>
      <c r="E88" s="100" t="s">
        <v>208</v>
      </c>
      <c r="F88" s="100"/>
      <c r="G88" s="100" t="s">
        <v>207</v>
      </c>
      <c r="H88" s="100" t="s">
        <v>213</v>
      </c>
      <c r="I88" s="100"/>
      <c r="J88" s="100" t="s">
        <v>450</v>
      </c>
    </row>
    <row r="89" ht="15" customHeight="1">
      <c r="A89" s="100" t="str">
        <f>target_columns[[#This Row],[Column Table Name]]&amp;target_columns[[#This Row],[ColumnName]]</f>
        <v>T_AGR_RKO_STTS_TYPEAGR_RKO_STTS_TYPE_CD</v>
      </c>
      <c r="B89" s="100" t="s">
        <v>173</v>
      </c>
      <c r="C89" s="100" t="s">
        <v>176</v>
      </c>
      <c r="D89" s="100" t="s">
        <v>221</v>
      </c>
      <c r="E89" s="100" t="s">
        <v>214</v>
      </c>
      <c r="F89" s="100"/>
      <c r="G89" s="100" t="s">
        <v>213</v>
      </c>
      <c r="H89" s="100" t="s">
        <v>213</v>
      </c>
      <c r="I89" s="100"/>
      <c r="J89" s="100" t="s">
        <v>451</v>
      </c>
    </row>
    <row r="90" ht="15" customHeight="1">
      <c r="A90" s="100" t="str">
        <f>target_columns[[#This Row],[Column Table Name]]&amp;target_columns[[#This Row],[ColumnName]]</f>
        <v>T_AGR_RKO_STTS_TYPEAGR_RKO_STTS_TYPE_NAME</v>
      </c>
      <c r="B90" s="100" t="s">
        <v>173</v>
      </c>
      <c r="C90" s="100" t="s">
        <v>177</v>
      </c>
      <c r="D90" s="100" t="s">
        <v>221</v>
      </c>
      <c r="E90" s="100" t="s">
        <v>214</v>
      </c>
      <c r="F90" s="100"/>
      <c r="G90" s="100" t="s">
        <v>213</v>
      </c>
      <c r="H90" s="100" t="s">
        <v>213</v>
      </c>
      <c r="I90" s="100"/>
      <c r="J90" s="100" t="s">
        <v>452</v>
      </c>
    </row>
    <row r="91" ht="15" customHeight="1">
      <c r="A91" s="100" t="str">
        <f>target_columns[[#This Row],[Column Table Name]]&amp;target_columns[[#This Row],[ColumnName]]</f>
        <v>t_agr_rko_limit_typeagr_rko_limit_type_id</v>
      </c>
      <c r="B91" s="100" t="s">
        <v>178</v>
      </c>
      <c r="C91" s="100" t="s">
        <v>125</v>
      </c>
      <c r="D91" s="100" t="s">
        <v>218</v>
      </c>
      <c r="E91" s="100" t="s">
        <v>208</v>
      </c>
      <c r="F91" s="100"/>
      <c r="G91" s="100" t="s">
        <v>207</v>
      </c>
      <c r="H91" s="100" t="s">
        <v>213</v>
      </c>
      <c r="I91" s="100"/>
      <c r="J91" s="100" t="s">
        <v>454</v>
      </c>
    </row>
    <row r="92" ht="15" customHeight="1">
      <c r="A92" s="100" t="str">
        <f>target_columns[[#This Row],[Column Table Name]]&amp;target_columns[[#This Row],[ColumnName]]</f>
        <v>t_agr_rko_limit_typeagr_rko_limit_type_cd</v>
      </c>
      <c r="B92" s="100" t="s">
        <v>178</v>
      </c>
      <c r="C92" s="100" t="s">
        <v>180</v>
      </c>
      <c r="D92" s="100" t="s">
        <v>221</v>
      </c>
      <c r="E92" s="100" t="s">
        <v>214</v>
      </c>
      <c r="F92" s="100"/>
      <c r="G92" s="100" t="s">
        <v>213</v>
      </c>
      <c r="H92" s="100" t="s">
        <v>213</v>
      </c>
      <c r="I92" s="100"/>
      <c r="J92" s="100" t="s">
        <v>455</v>
      </c>
    </row>
    <row r="93" ht="15" customHeight="1">
      <c r="A93" s="100" t="str">
        <f>target_columns[[#This Row],[Column Table Name]]&amp;target_columns[[#This Row],[ColumnName]]</f>
        <v>t_agr_rko_limit_typeagr_rko_limit_type_name</v>
      </c>
      <c r="B93" s="100" t="s">
        <v>178</v>
      </c>
      <c r="C93" s="100" t="s">
        <v>181</v>
      </c>
      <c r="D93" s="100" t="s">
        <v>221</v>
      </c>
      <c r="E93" s="100" t="s">
        <v>214</v>
      </c>
      <c r="F93" s="100"/>
      <c r="G93" s="100" t="s">
        <v>213</v>
      </c>
      <c r="H93" s="100" t="s">
        <v>213</v>
      </c>
      <c r="I93" s="100"/>
      <c r="J93" s="100" t="s">
        <v>456</v>
      </c>
    </row>
    <row r="94" ht="15" customHeight="1">
      <c r="A94" s="100" t="str">
        <f t="shared" ref="A94:A108" si="3">B94&amp;C94</f>
        <v>t_agr_rko_limit_sttsagr_rko_limit_id</v>
      </c>
      <c r="B94" s="100" t="s">
        <v>192</v>
      </c>
      <c r="C94" s="100" t="s">
        <v>122</v>
      </c>
      <c r="D94" s="100" t="s">
        <v>218</v>
      </c>
      <c r="E94" s="100" t="s">
        <v>208</v>
      </c>
      <c r="F94" s="100"/>
      <c r="G94" s="100" t="s">
        <v>207</v>
      </c>
      <c r="H94" s="100" t="s">
        <v>213</v>
      </c>
      <c r="I94" s="100"/>
      <c r="J94" s="100" t="s">
        <v>432</v>
      </c>
    </row>
    <row r="95" ht="15" customHeight="1">
      <c r="A95" s="100" t="str">
        <f t="shared" si="3"/>
        <v>t_agr_rko_limit_sttsagr_rko_limit_stts_type_id</v>
      </c>
      <c r="B95" s="100" t="s">
        <v>192</v>
      </c>
      <c r="C95" s="100" t="s">
        <v>193</v>
      </c>
      <c r="D95" s="100" t="s">
        <v>218</v>
      </c>
      <c r="E95" s="100" t="s">
        <v>214</v>
      </c>
      <c r="F95" s="100"/>
      <c r="G95" s="100" t="s">
        <v>213</v>
      </c>
      <c r="H95" s="100" t="s">
        <v>207</v>
      </c>
      <c r="I95" s="100"/>
      <c r="J95" s="100" t="s">
        <v>457</v>
      </c>
    </row>
    <row r="96" ht="15" customHeight="1">
      <c r="A96" s="100" t="str">
        <f t="shared" si="3"/>
        <v>t_agr_rko_limit_sttsstart_dt</v>
      </c>
      <c r="B96" s="100" t="s">
        <v>192</v>
      </c>
      <c r="C96" s="100" t="s">
        <v>49</v>
      </c>
      <c r="D96" s="100" t="s">
        <v>381</v>
      </c>
      <c r="E96" s="100" t="s">
        <v>214</v>
      </c>
      <c r="F96" s="100"/>
      <c r="G96" s="100" t="s">
        <v>213</v>
      </c>
      <c r="H96" s="100" t="s">
        <v>213</v>
      </c>
      <c r="I96" s="100"/>
      <c r="J96" s="100" t="s">
        <v>458</v>
      </c>
    </row>
    <row r="97" ht="15" customHeight="1">
      <c r="A97" s="114" t="str">
        <f t="shared" si="3"/>
        <v>t_agr_rko_limit_sttsend_dt</v>
      </c>
      <c r="B97" s="114" t="s">
        <v>192</v>
      </c>
      <c r="C97" s="114" t="s">
        <v>54</v>
      </c>
      <c r="D97" s="114" t="s">
        <v>381</v>
      </c>
      <c r="E97" s="114" t="s">
        <v>214</v>
      </c>
      <c r="F97" s="114"/>
      <c r="G97" s="114" t="s">
        <v>213</v>
      </c>
      <c r="H97" s="114" t="s">
        <v>213</v>
      </c>
      <c r="I97" s="114"/>
      <c r="J97" s="114" t="s">
        <v>459</v>
      </c>
    </row>
    <row r="98" ht="15" customHeight="1">
      <c r="A98" s="100" t="str">
        <f t="shared" si="3"/>
        <v>t_agr_rko_idfnagr_rko_id</v>
      </c>
      <c r="B98" s="100" t="s">
        <v>195</v>
      </c>
      <c r="C98" s="100" t="s">
        <v>44</v>
      </c>
      <c r="D98" s="100" t="s">
        <v>410</v>
      </c>
      <c r="E98" s="100" t="s">
        <v>208</v>
      </c>
      <c r="F98" s="100"/>
      <c r="G98" s="100" t="s">
        <v>207</v>
      </c>
      <c r="H98" s="100" t="s">
        <v>207</v>
      </c>
      <c r="I98" s="100"/>
      <c r="J98" s="100" t="s">
        <v>460</v>
      </c>
    </row>
    <row r="99" ht="15" customHeight="1">
      <c r="A99" s="100" t="str">
        <f t="shared" si="3"/>
        <v>t_agr_rko_idfnrko_purpose_type_id</v>
      </c>
      <c r="B99" s="100" t="s">
        <v>195</v>
      </c>
      <c r="C99" s="100" t="s">
        <v>42</v>
      </c>
      <c r="D99" s="100" t="s">
        <v>410</v>
      </c>
      <c r="E99" s="100" t="s">
        <v>214</v>
      </c>
      <c r="F99" s="100"/>
      <c r="G99" s="100" t="s">
        <v>213</v>
      </c>
      <c r="H99" s="100" t="s">
        <v>207</v>
      </c>
      <c r="I99" s="100"/>
      <c r="J99" s="100" t="s">
        <v>461</v>
      </c>
    </row>
    <row r="100" ht="15" customHeight="1">
      <c r="A100" s="100" t="str">
        <f t="shared" si="3"/>
        <v>t_agr_rko_idfnstart_dt</v>
      </c>
      <c r="B100" s="100" t="s">
        <v>195</v>
      </c>
      <c r="C100" s="100" t="s">
        <v>49</v>
      </c>
      <c r="D100" s="100" t="s">
        <v>413</v>
      </c>
      <c r="E100" s="100" t="s">
        <v>208</v>
      </c>
      <c r="F100" s="100"/>
      <c r="G100" s="100" t="s">
        <v>207</v>
      </c>
      <c r="H100" s="100" t="s">
        <v>213</v>
      </c>
      <c r="I100" s="100"/>
      <c r="J100" s="100" t="s">
        <v>462</v>
      </c>
    </row>
    <row r="101" ht="15" customHeight="1">
      <c r="A101" s="100" t="str">
        <f t="shared" si="3"/>
        <v>t_agr_rko_idfnend_dt</v>
      </c>
      <c r="B101" s="100" t="s">
        <v>195</v>
      </c>
      <c r="C101" s="100" t="s">
        <v>54</v>
      </c>
      <c r="D101" s="100" t="s">
        <v>413</v>
      </c>
      <c r="E101" s="100" t="s">
        <v>214</v>
      </c>
      <c r="F101" s="114"/>
      <c r="G101" s="114" t="s">
        <v>213</v>
      </c>
      <c r="H101" s="114" t="s">
        <v>213</v>
      </c>
      <c r="I101" s="114"/>
      <c r="J101" s="100" t="s">
        <v>463</v>
      </c>
    </row>
    <row r="102" ht="15" customHeight="1">
      <c r="A102" s="100" t="str">
        <f t="shared" si="3"/>
        <v/>
      </c>
      <c r="B102" s="100"/>
      <c r="C102" s="100"/>
      <c r="D102" s="100"/>
      <c r="E102" s="100"/>
      <c r="F102" s="100"/>
      <c r="G102" s="100"/>
      <c r="H102" s="100"/>
      <c r="I102" s="100"/>
      <c r="J102" s="100"/>
    </row>
    <row r="103" ht="15" customHeight="1">
      <c r="A103" s="100" t="str">
        <f t="shared" si="3"/>
        <v/>
      </c>
      <c r="B103" s="100"/>
      <c r="C103" s="100"/>
      <c r="D103" s="100"/>
      <c r="E103" s="100"/>
      <c r="F103" s="100"/>
      <c r="G103" s="100"/>
      <c r="H103" s="100"/>
      <c r="I103" s="100"/>
      <c r="J103" s="100"/>
    </row>
    <row r="104" ht="15" customHeight="1">
      <c r="A104" s="100" t="str">
        <f t="shared" si="3"/>
        <v/>
      </c>
      <c r="B104" s="100"/>
      <c r="C104" s="100"/>
      <c r="D104" s="100"/>
      <c r="E104" s="100"/>
      <c r="F104" s="100"/>
      <c r="G104" s="100"/>
      <c r="H104" s="100"/>
      <c r="I104" s="100"/>
      <c r="J104" s="100"/>
    </row>
    <row r="105" ht="15" customHeight="1">
      <c r="A105" s="100" t="str">
        <f t="shared" si="3"/>
        <v/>
      </c>
      <c r="B105" s="100"/>
      <c r="C105" s="100"/>
      <c r="D105" s="100"/>
      <c r="E105" s="100"/>
      <c r="F105" s="100"/>
      <c r="G105" s="100"/>
      <c r="H105" s="100"/>
      <c r="I105" s="100"/>
      <c r="J105" s="100"/>
    </row>
    <row r="106" ht="15" customHeight="1">
      <c r="A106" s="100" t="str">
        <f t="shared" si="3"/>
        <v/>
      </c>
      <c r="B106" s="100"/>
      <c r="C106" s="100"/>
      <c r="D106" s="100"/>
      <c r="E106" s="100"/>
      <c r="F106" s="100"/>
      <c r="G106" s="100"/>
      <c r="H106" s="100"/>
      <c r="I106" s="100"/>
      <c r="J106" s="100"/>
    </row>
    <row r="107" ht="15" customHeight="1">
      <c r="A107" s="100" t="str">
        <f t="shared" si="3"/>
        <v/>
      </c>
      <c r="B107" s="100"/>
      <c r="C107" s="100"/>
      <c r="D107" s="100"/>
      <c r="E107" s="100"/>
      <c r="F107" s="100"/>
      <c r="G107" s="100"/>
      <c r="H107" s="100"/>
      <c r="I107" s="100"/>
      <c r="J107" s="100"/>
    </row>
    <row r="108" ht="15" customHeight="1">
      <c r="A108" s="100" t="str">
        <f t="shared" si="3"/>
        <v/>
      </c>
      <c r="B108" s="100"/>
      <c r="C108" s="100"/>
      <c r="D108" s="100"/>
      <c r="E108" s="100"/>
      <c r="F108" s="100"/>
      <c r="G108" s="100"/>
      <c r="H108" s="100"/>
      <c r="I108" s="100"/>
      <c r="J108" s="100"/>
    </row>
    <row r="109" ht="15" customHeight="1">
      <c r="A109" s="100" t="str">
        <f t="shared" ref="A109:A172" si="4">B109&amp;C109</f>
        <v/>
      </c>
      <c r="B109" s="100"/>
      <c r="C109" s="100"/>
      <c r="D109" s="100"/>
      <c r="E109" s="100"/>
      <c r="F109" s="100"/>
      <c r="G109" s="100"/>
      <c r="H109" s="100"/>
      <c r="I109" s="100"/>
      <c r="J109" s="100"/>
    </row>
    <row r="110" ht="15" customHeight="1">
      <c r="A110" s="100" t="str">
        <f t="shared" si="4"/>
        <v/>
      </c>
      <c r="B110" s="100"/>
      <c r="C110" s="100"/>
      <c r="D110" s="100"/>
      <c r="E110" s="100"/>
      <c r="F110" s="100"/>
      <c r="G110" s="100"/>
      <c r="H110" s="100"/>
      <c r="I110" s="100"/>
      <c r="J110" s="100"/>
    </row>
    <row r="111" ht="15" customHeight="1">
      <c r="A111" s="100" t="str">
        <f t="shared" si="4"/>
        <v/>
      </c>
      <c r="B111" s="100"/>
      <c r="C111" s="100"/>
      <c r="D111" s="100"/>
      <c r="E111" s="100"/>
      <c r="F111" s="100"/>
      <c r="G111" s="100"/>
      <c r="H111" s="100"/>
      <c r="I111" s="100"/>
      <c r="J111" s="100"/>
    </row>
    <row r="112" ht="15" customHeight="1">
      <c r="A112" s="100" t="str">
        <f t="shared" si="4"/>
        <v/>
      </c>
      <c r="B112" s="100"/>
      <c r="C112" s="100"/>
      <c r="D112" s="100"/>
      <c r="E112" s="100"/>
      <c r="F112" s="100"/>
      <c r="G112" s="100"/>
      <c r="H112" s="100"/>
      <c r="I112" s="100"/>
      <c r="J112" s="100"/>
    </row>
    <row r="113" ht="15" customHeight="1">
      <c r="A113" s="100" t="str">
        <f t="shared" si="4"/>
        <v/>
      </c>
      <c r="B113" s="100"/>
      <c r="C113" s="100"/>
      <c r="D113" s="100"/>
      <c r="E113" s="100"/>
      <c r="F113" s="100"/>
      <c r="G113" s="100"/>
      <c r="H113" s="100"/>
      <c r="I113" s="100"/>
      <c r="J113" s="100"/>
    </row>
    <row r="114" ht="15" customHeight="1">
      <c r="A114" s="100" t="str">
        <f t="shared" si="4"/>
        <v/>
      </c>
      <c r="B114" s="100"/>
      <c r="C114" s="100"/>
      <c r="D114" s="100"/>
      <c r="E114" s="100"/>
      <c r="F114" s="100"/>
      <c r="G114" s="100"/>
      <c r="H114" s="100"/>
      <c r="I114" s="100"/>
      <c r="J114" s="100"/>
    </row>
    <row r="115" ht="15" customHeight="1">
      <c r="A115" s="100" t="str">
        <f t="shared" si="4"/>
        <v/>
      </c>
      <c r="B115" s="100"/>
      <c r="C115" s="100"/>
      <c r="D115" s="100"/>
      <c r="E115" s="100"/>
      <c r="F115" s="100"/>
      <c r="G115" s="100"/>
      <c r="H115" s="100"/>
      <c r="I115" s="100"/>
      <c r="J115" s="100"/>
    </row>
    <row r="116" ht="15" customHeight="1">
      <c r="A116" s="100" t="str">
        <f t="shared" si="4"/>
        <v/>
      </c>
      <c r="B116" s="100"/>
      <c r="C116" s="100"/>
      <c r="D116" s="100"/>
      <c r="E116" s="100"/>
      <c r="F116" s="100"/>
      <c r="G116" s="100"/>
      <c r="H116" s="100"/>
      <c r="I116" s="100"/>
      <c r="J116" s="100"/>
    </row>
    <row r="117" ht="15" customHeight="1">
      <c r="A117" s="100" t="str">
        <f t="shared" si="4"/>
        <v/>
      </c>
      <c r="B117" s="100"/>
      <c r="C117" s="100"/>
      <c r="D117" s="100"/>
      <c r="E117" s="100"/>
      <c r="F117" s="100"/>
      <c r="G117" s="100"/>
      <c r="H117" s="100"/>
      <c r="I117" s="100"/>
      <c r="J117" s="100"/>
    </row>
    <row r="118" ht="15" customHeight="1">
      <c r="A118" s="100" t="str">
        <f t="shared" si="4"/>
        <v/>
      </c>
      <c r="B118" s="100"/>
      <c r="C118" s="100"/>
      <c r="D118" s="100"/>
      <c r="E118" s="100"/>
      <c r="F118" s="100"/>
      <c r="G118" s="100"/>
      <c r="H118" s="100"/>
      <c r="I118" s="100"/>
      <c r="J118" s="100"/>
    </row>
    <row r="119" ht="15" customHeight="1">
      <c r="A119" s="100" t="str">
        <f t="shared" si="4"/>
        <v/>
      </c>
      <c r="B119" s="100"/>
      <c r="C119" s="100"/>
      <c r="D119" s="100"/>
      <c r="E119" s="100"/>
      <c r="F119" s="100"/>
      <c r="G119" s="100"/>
      <c r="H119" s="100"/>
      <c r="I119" s="100"/>
      <c r="J119" s="100"/>
    </row>
    <row r="120" ht="15" customHeight="1">
      <c r="A120" s="100" t="str">
        <f t="shared" si="4"/>
        <v/>
      </c>
      <c r="B120" s="100"/>
      <c r="C120" s="100"/>
      <c r="D120" s="100"/>
      <c r="E120" s="100"/>
      <c r="F120" s="100"/>
      <c r="G120" s="100"/>
      <c r="H120" s="100"/>
      <c r="I120" s="100"/>
      <c r="J120" s="100"/>
    </row>
    <row r="121" ht="15" customHeight="1">
      <c r="A121" s="100" t="str">
        <f t="shared" si="4"/>
        <v/>
      </c>
      <c r="B121" s="100"/>
      <c r="C121" s="100"/>
      <c r="D121" s="100"/>
      <c r="E121" s="100"/>
      <c r="F121" s="100"/>
      <c r="G121" s="100"/>
      <c r="H121" s="100"/>
      <c r="I121" s="100"/>
      <c r="J121" s="100"/>
    </row>
    <row r="122" ht="15" customHeight="1">
      <c r="A122" s="100" t="str">
        <f t="shared" si="4"/>
        <v/>
      </c>
      <c r="B122" s="100"/>
      <c r="C122" s="100"/>
      <c r="D122" s="100"/>
      <c r="E122" s="100"/>
      <c r="F122" s="100"/>
      <c r="G122" s="100"/>
      <c r="H122" s="100"/>
      <c r="I122" s="100"/>
      <c r="J122" s="100"/>
    </row>
    <row r="123" ht="15" customHeight="1">
      <c r="A123" s="100" t="str">
        <f t="shared" si="4"/>
        <v/>
      </c>
      <c r="B123" s="100"/>
      <c r="C123" s="100"/>
      <c r="D123" s="100"/>
      <c r="E123" s="100"/>
      <c r="F123" s="100"/>
      <c r="G123" s="100"/>
      <c r="H123" s="100"/>
      <c r="I123" s="100"/>
      <c r="J123" s="100"/>
    </row>
    <row r="124" ht="15" customHeight="1">
      <c r="A124" s="100" t="str">
        <f t="shared" si="4"/>
        <v/>
      </c>
      <c r="B124" s="100"/>
      <c r="C124" s="100"/>
      <c r="D124" s="100"/>
      <c r="E124" s="100"/>
      <c r="F124" s="100"/>
      <c r="G124" s="100"/>
      <c r="H124" s="100"/>
      <c r="I124" s="100"/>
      <c r="J124" s="100"/>
    </row>
    <row r="125" ht="15" customHeight="1">
      <c r="A125" s="100" t="str">
        <f t="shared" si="4"/>
        <v/>
      </c>
      <c r="B125" s="100"/>
      <c r="C125" s="100"/>
      <c r="D125" s="100"/>
      <c r="E125" s="100"/>
      <c r="F125" s="100"/>
      <c r="G125" s="100"/>
      <c r="H125" s="100"/>
      <c r="I125" s="100"/>
      <c r="J125" s="100"/>
    </row>
    <row r="126" ht="15" customHeight="1">
      <c r="A126" s="100" t="str">
        <f t="shared" si="4"/>
        <v/>
      </c>
      <c r="B126" s="100"/>
      <c r="C126" s="100"/>
      <c r="D126" s="100"/>
      <c r="E126" s="100"/>
      <c r="F126" s="100"/>
      <c r="G126" s="100"/>
      <c r="H126" s="100"/>
      <c r="I126" s="100"/>
      <c r="J126" s="100"/>
    </row>
    <row r="127" ht="15" customHeight="1">
      <c r="A127" s="100" t="str">
        <f t="shared" si="4"/>
        <v/>
      </c>
      <c r="B127" s="100"/>
      <c r="C127" s="100"/>
      <c r="D127" s="100"/>
      <c r="E127" s="100"/>
      <c r="F127" s="100"/>
      <c r="G127" s="100"/>
      <c r="H127" s="100"/>
      <c r="I127" s="100"/>
      <c r="J127" s="100"/>
    </row>
    <row r="128" ht="15" customHeight="1">
      <c r="A128" s="100" t="str">
        <f t="shared" si="4"/>
        <v/>
      </c>
      <c r="B128" s="100"/>
      <c r="C128" s="100"/>
      <c r="D128" s="100"/>
      <c r="E128" s="100"/>
      <c r="F128" s="100"/>
      <c r="G128" s="100"/>
      <c r="H128" s="100"/>
      <c r="I128" s="100"/>
      <c r="J128" s="100"/>
    </row>
    <row r="129" ht="15" customHeight="1">
      <c r="A129" s="100" t="str">
        <f t="shared" si="4"/>
        <v/>
      </c>
      <c r="B129" s="100"/>
      <c r="C129" s="100"/>
      <c r="D129" s="100"/>
      <c r="E129" s="100"/>
      <c r="F129" s="100"/>
      <c r="G129" s="100"/>
      <c r="H129" s="100"/>
      <c r="I129" s="100"/>
      <c r="J129" s="100"/>
    </row>
    <row r="130" ht="15" customHeight="1">
      <c r="A130" s="100" t="str">
        <f t="shared" si="4"/>
        <v/>
      </c>
      <c r="B130" s="100"/>
      <c r="C130" s="100"/>
      <c r="D130" s="100"/>
      <c r="E130" s="100"/>
      <c r="F130" s="100"/>
      <c r="G130" s="100"/>
      <c r="H130" s="100"/>
      <c r="I130" s="100"/>
      <c r="J130" s="100"/>
    </row>
    <row r="131" ht="15" customHeight="1">
      <c r="A131" s="100" t="str">
        <f t="shared" si="4"/>
        <v/>
      </c>
      <c r="B131" s="100"/>
      <c r="C131" s="100"/>
      <c r="D131" s="100"/>
      <c r="E131" s="100"/>
      <c r="F131" s="100"/>
      <c r="G131" s="100"/>
      <c r="H131" s="100"/>
      <c r="I131" s="100"/>
      <c r="J131" s="100"/>
    </row>
    <row r="132" ht="15" customHeight="1">
      <c r="A132" s="100" t="str">
        <f t="shared" si="4"/>
        <v/>
      </c>
      <c r="B132" s="100"/>
      <c r="C132" s="100"/>
      <c r="D132" s="100"/>
      <c r="E132" s="100"/>
      <c r="F132" s="100"/>
      <c r="G132" s="100"/>
      <c r="H132" s="100"/>
      <c r="I132" s="100"/>
      <c r="J132" s="100"/>
    </row>
    <row r="133" ht="15" customHeight="1">
      <c r="A133" s="100" t="str">
        <f t="shared" si="4"/>
        <v/>
      </c>
      <c r="B133" s="100"/>
      <c r="C133" s="100"/>
      <c r="D133" s="100"/>
      <c r="E133" s="100"/>
      <c r="F133" s="100"/>
      <c r="G133" s="100"/>
      <c r="H133" s="100"/>
      <c r="I133" s="100"/>
      <c r="J133" s="100"/>
    </row>
    <row r="134" ht="15" customHeight="1">
      <c r="A134" s="100" t="str">
        <f t="shared" si="4"/>
        <v/>
      </c>
      <c r="B134" s="100"/>
      <c r="C134" s="100"/>
      <c r="D134" s="100"/>
      <c r="E134" s="100"/>
      <c r="F134" s="100"/>
      <c r="G134" s="100"/>
      <c r="H134" s="100"/>
      <c r="I134" s="100"/>
      <c r="J134" s="100"/>
    </row>
    <row r="135" ht="15" customHeight="1">
      <c r="A135" s="100" t="str">
        <f t="shared" si="4"/>
        <v/>
      </c>
      <c r="B135" s="100"/>
      <c r="C135" s="100"/>
      <c r="D135" s="100"/>
      <c r="E135" s="100"/>
      <c r="F135" s="100"/>
      <c r="G135" s="100"/>
      <c r="H135" s="100"/>
      <c r="I135" s="100"/>
      <c r="J135" s="100"/>
    </row>
    <row r="136" ht="15" customHeight="1">
      <c r="A136" s="100" t="str">
        <f t="shared" si="4"/>
        <v/>
      </c>
      <c r="B136" s="100"/>
      <c r="C136" s="100"/>
      <c r="D136" s="100"/>
      <c r="E136" s="100"/>
      <c r="F136" s="100"/>
      <c r="G136" s="100"/>
      <c r="H136" s="100"/>
      <c r="I136" s="100"/>
      <c r="J136" s="100"/>
    </row>
    <row r="137" ht="15" customHeight="1">
      <c r="A137" s="100" t="str">
        <f t="shared" si="4"/>
        <v/>
      </c>
      <c r="B137" s="100"/>
      <c r="C137" s="100"/>
      <c r="D137" s="100"/>
      <c r="E137" s="100"/>
      <c r="F137" s="100"/>
      <c r="G137" s="100"/>
      <c r="H137" s="100"/>
      <c r="I137" s="100"/>
      <c r="J137" s="100"/>
    </row>
    <row r="138" ht="15" customHeight="1">
      <c r="A138" s="100" t="str">
        <f t="shared" si="4"/>
        <v/>
      </c>
      <c r="B138" s="100"/>
      <c r="C138" s="100"/>
      <c r="D138" s="100"/>
      <c r="E138" s="100"/>
      <c r="F138" s="100"/>
      <c r="G138" s="100"/>
      <c r="H138" s="100"/>
      <c r="I138" s="100"/>
      <c r="J138" s="100"/>
    </row>
    <row r="139" ht="15" customHeight="1">
      <c r="A139" s="100" t="str">
        <f t="shared" si="4"/>
        <v/>
      </c>
      <c r="B139" s="100"/>
      <c r="C139" s="100"/>
      <c r="D139" s="100"/>
      <c r="E139" s="100"/>
      <c r="F139" s="100"/>
      <c r="G139" s="100"/>
      <c r="H139" s="100"/>
      <c r="I139" s="100"/>
      <c r="J139" s="100"/>
    </row>
    <row r="140" ht="15" customHeight="1">
      <c r="A140" s="100" t="str">
        <f t="shared" si="4"/>
        <v/>
      </c>
      <c r="B140" s="100"/>
      <c r="C140" s="100"/>
      <c r="D140" s="100"/>
      <c r="E140" s="100"/>
      <c r="F140" s="100"/>
      <c r="G140" s="100"/>
      <c r="H140" s="100"/>
      <c r="I140" s="100"/>
      <c r="J140" s="100"/>
    </row>
    <row r="141" ht="15" customHeight="1">
      <c r="A141" s="100" t="str">
        <f t="shared" si="4"/>
        <v/>
      </c>
      <c r="B141" s="100"/>
      <c r="C141" s="100"/>
      <c r="D141" s="100"/>
      <c r="E141" s="100"/>
      <c r="F141" s="100"/>
      <c r="G141" s="100"/>
      <c r="H141" s="100"/>
      <c r="I141" s="100"/>
      <c r="J141" s="100"/>
    </row>
    <row r="142" ht="15" customHeight="1">
      <c r="A142" s="100" t="str">
        <f t="shared" si="4"/>
        <v/>
      </c>
      <c r="B142" s="100"/>
      <c r="C142" s="100"/>
      <c r="D142" s="100"/>
      <c r="E142" s="100"/>
      <c r="F142" s="100"/>
      <c r="G142" s="100"/>
      <c r="H142" s="100"/>
      <c r="I142" s="100"/>
      <c r="J142" s="100"/>
    </row>
    <row r="143" ht="15" customHeight="1">
      <c r="A143" s="100" t="str">
        <f t="shared" si="4"/>
        <v/>
      </c>
      <c r="B143" s="100"/>
      <c r="C143" s="100"/>
      <c r="D143" s="100"/>
      <c r="E143" s="100"/>
      <c r="F143" s="100"/>
      <c r="G143" s="100"/>
      <c r="H143" s="100"/>
      <c r="I143" s="100"/>
      <c r="J143" s="100"/>
    </row>
    <row r="144" ht="15" customHeight="1">
      <c r="A144" s="100" t="str">
        <f t="shared" si="4"/>
        <v/>
      </c>
      <c r="B144" s="100"/>
      <c r="C144" s="100"/>
      <c r="D144" s="100"/>
      <c r="E144" s="100"/>
      <c r="F144" s="100"/>
      <c r="G144" s="100"/>
      <c r="H144" s="100"/>
      <c r="I144" s="100"/>
      <c r="J144" s="100"/>
    </row>
    <row r="145" ht="15" customHeight="1">
      <c r="A145" s="100" t="str">
        <f t="shared" si="4"/>
        <v/>
      </c>
      <c r="B145" s="100"/>
      <c r="C145" s="100"/>
      <c r="D145" s="100"/>
      <c r="E145" s="100"/>
      <c r="F145" s="100"/>
      <c r="G145" s="100"/>
      <c r="H145" s="100"/>
      <c r="I145" s="100"/>
      <c r="J145" s="100"/>
    </row>
    <row r="146" ht="15" customHeight="1">
      <c r="A146" s="100" t="str">
        <f t="shared" si="4"/>
        <v/>
      </c>
      <c r="B146" s="100"/>
      <c r="C146" s="100"/>
      <c r="D146" s="100"/>
      <c r="E146" s="100"/>
      <c r="F146" s="100"/>
      <c r="G146" s="100"/>
      <c r="H146" s="100"/>
      <c r="I146" s="100"/>
      <c r="J146" s="100"/>
    </row>
    <row r="147" ht="15" customHeight="1">
      <c r="A147" s="100" t="str">
        <f t="shared" si="4"/>
        <v/>
      </c>
      <c r="B147" s="100"/>
      <c r="C147" s="100"/>
      <c r="D147" s="100"/>
      <c r="E147" s="100"/>
      <c r="F147" s="100"/>
      <c r="G147" s="100"/>
      <c r="H147" s="100"/>
      <c r="I147" s="100"/>
      <c r="J147" s="100"/>
    </row>
    <row r="148" ht="15" customHeight="1">
      <c r="A148" s="100" t="str">
        <f t="shared" si="4"/>
        <v/>
      </c>
      <c r="B148" s="100"/>
      <c r="C148" s="100"/>
      <c r="D148" s="100"/>
      <c r="E148" s="100"/>
      <c r="F148" s="100"/>
      <c r="G148" s="100"/>
      <c r="H148" s="100"/>
      <c r="I148" s="100"/>
      <c r="J148" s="100"/>
    </row>
    <row r="149" ht="15" customHeight="1">
      <c r="A149" s="100" t="str">
        <f t="shared" si="4"/>
        <v/>
      </c>
      <c r="B149" s="100"/>
      <c r="C149" s="100"/>
      <c r="D149" s="100"/>
      <c r="E149" s="100"/>
      <c r="F149" s="100"/>
      <c r="G149" s="100"/>
      <c r="H149" s="100"/>
      <c r="I149" s="100"/>
      <c r="J149" s="100"/>
    </row>
    <row r="150" ht="15" customHeight="1">
      <c r="A150" s="100" t="str">
        <f t="shared" si="4"/>
        <v/>
      </c>
      <c r="B150" s="100"/>
      <c r="C150" s="100"/>
      <c r="D150" s="100"/>
      <c r="E150" s="100"/>
      <c r="F150" s="100"/>
      <c r="G150" s="100"/>
      <c r="H150" s="100"/>
      <c r="I150" s="100"/>
      <c r="J150" s="100"/>
    </row>
    <row r="151" ht="15" customHeight="1">
      <c r="A151" s="100" t="str">
        <f t="shared" si="4"/>
        <v/>
      </c>
      <c r="B151" s="100"/>
      <c r="C151" s="100"/>
      <c r="D151" s="100"/>
      <c r="E151" s="100"/>
      <c r="F151" s="100"/>
      <c r="G151" s="100"/>
      <c r="H151" s="100"/>
      <c r="I151" s="100"/>
      <c r="J151" s="100"/>
    </row>
    <row r="152" ht="15" customHeight="1">
      <c r="A152" s="100" t="str">
        <f t="shared" si="4"/>
        <v/>
      </c>
      <c r="B152" s="100"/>
      <c r="C152" s="100"/>
      <c r="D152" s="100"/>
      <c r="E152" s="100"/>
      <c r="F152" s="100"/>
      <c r="G152" s="100"/>
      <c r="H152" s="100"/>
      <c r="I152" s="100"/>
      <c r="J152" s="100"/>
    </row>
    <row r="153" ht="15" customHeight="1">
      <c r="A153" s="100" t="str">
        <f t="shared" si="4"/>
        <v/>
      </c>
      <c r="B153" s="100"/>
      <c r="C153" s="100"/>
      <c r="D153" s="100"/>
      <c r="E153" s="100"/>
      <c r="F153" s="100"/>
      <c r="G153" s="100"/>
      <c r="H153" s="100"/>
      <c r="I153" s="100"/>
      <c r="J153" s="100"/>
    </row>
    <row r="154" ht="15" customHeight="1">
      <c r="A154" s="100" t="str">
        <f t="shared" si="4"/>
        <v/>
      </c>
      <c r="B154" s="100"/>
      <c r="C154" s="100"/>
      <c r="D154" s="100"/>
      <c r="E154" s="100"/>
      <c r="F154" s="100"/>
      <c r="G154" s="100"/>
      <c r="H154" s="100"/>
      <c r="I154" s="100"/>
      <c r="J154" s="100"/>
    </row>
    <row r="155" ht="15" customHeight="1">
      <c r="A155" s="100" t="str">
        <f t="shared" si="4"/>
        <v/>
      </c>
      <c r="B155" s="100"/>
      <c r="C155" s="100"/>
      <c r="D155" s="100"/>
      <c r="E155" s="100"/>
      <c r="F155" s="100"/>
      <c r="G155" s="100"/>
      <c r="H155" s="100"/>
      <c r="I155" s="100"/>
      <c r="J155" s="100"/>
    </row>
    <row r="156" ht="15" customHeight="1">
      <c r="A156" s="100" t="str">
        <f t="shared" si="4"/>
        <v/>
      </c>
      <c r="B156" s="100"/>
      <c r="C156" s="100"/>
      <c r="D156" s="100"/>
      <c r="E156" s="100"/>
      <c r="F156" s="100"/>
      <c r="G156" s="100"/>
      <c r="H156" s="100"/>
      <c r="I156" s="100"/>
      <c r="J156" s="100"/>
    </row>
    <row r="157" ht="15" customHeight="1">
      <c r="A157" s="100" t="str">
        <f t="shared" si="4"/>
        <v/>
      </c>
      <c r="B157" s="100"/>
      <c r="C157" s="100"/>
      <c r="D157" s="100"/>
      <c r="E157" s="100"/>
      <c r="F157" s="100"/>
      <c r="G157" s="100"/>
      <c r="H157" s="100"/>
      <c r="I157" s="100"/>
      <c r="J157" s="100"/>
    </row>
    <row r="158" ht="15" customHeight="1">
      <c r="A158" s="100" t="str">
        <f t="shared" si="4"/>
        <v/>
      </c>
      <c r="B158" s="100"/>
      <c r="C158" s="100"/>
      <c r="D158" s="100"/>
      <c r="E158" s="100"/>
      <c r="F158" s="100"/>
      <c r="G158" s="100"/>
      <c r="H158" s="100"/>
      <c r="I158" s="100"/>
      <c r="J158" s="100"/>
    </row>
    <row r="159" ht="15" customHeight="1">
      <c r="A159" s="100" t="str">
        <f t="shared" si="4"/>
        <v/>
      </c>
      <c r="B159" s="100"/>
      <c r="C159" s="100"/>
      <c r="D159" s="100"/>
      <c r="E159" s="100"/>
      <c r="F159" s="100"/>
      <c r="G159" s="100"/>
      <c r="H159" s="100"/>
      <c r="I159" s="100"/>
      <c r="J159" s="100"/>
    </row>
    <row r="160" ht="15" customHeight="1">
      <c r="A160" s="100" t="str">
        <f t="shared" si="4"/>
        <v/>
      </c>
      <c r="B160" s="100"/>
      <c r="C160" s="100"/>
      <c r="D160" s="100"/>
      <c r="E160" s="100"/>
      <c r="F160" s="100"/>
      <c r="G160" s="100"/>
      <c r="H160" s="100"/>
      <c r="I160" s="100"/>
      <c r="J160" s="100"/>
    </row>
    <row r="161" ht="15" customHeight="1">
      <c r="A161" s="100" t="str">
        <f t="shared" si="4"/>
        <v/>
      </c>
      <c r="B161" s="100"/>
      <c r="C161" s="100"/>
      <c r="D161" s="100"/>
      <c r="E161" s="100"/>
      <c r="F161" s="100"/>
      <c r="G161" s="100"/>
      <c r="H161" s="100"/>
      <c r="I161" s="100"/>
      <c r="J161" s="100"/>
    </row>
    <row r="162" ht="15" customHeight="1">
      <c r="A162" s="100" t="str">
        <f t="shared" si="4"/>
        <v/>
      </c>
      <c r="B162" s="100"/>
      <c r="C162" s="100"/>
      <c r="D162" s="100"/>
      <c r="E162" s="100"/>
      <c r="F162" s="100"/>
      <c r="G162" s="100"/>
      <c r="H162" s="100"/>
      <c r="I162" s="100"/>
      <c r="J162" s="100"/>
    </row>
    <row r="163" ht="15" customHeight="1">
      <c r="A163" s="100" t="str">
        <f t="shared" si="4"/>
        <v/>
      </c>
      <c r="B163" s="100"/>
      <c r="C163" s="100"/>
      <c r="D163" s="100"/>
      <c r="E163" s="100"/>
      <c r="F163" s="100"/>
      <c r="G163" s="100"/>
      <c r="H163" s="100"/>
      <c r="I163" s="100"/>
      <c r="J163" s="100"/>
    </row>
    <row r="164" ht="15" customHeight="1">
      <c r="A164" s="100" t="str">
        <f t="shared" si="4"/>
        <v/>
      </c>
      <c r="B164" s="100"/>
      <c r="C164" s="100"/>
      <c r="D164" s="100"/>
      <c r="E164" s="100"/>
      <c r="F164" s="100"/>
      <c r="G164" s="100"/>
      <c r="H164" s="100"/>
      <c r="I164" s="100"/>
      <c r="J164" s="100"/>
    </row>
    <row r="165" ht="15" customHeight="1">
      <c r="A165" s="100" t="str">
        <f t="shared" si="4"/>
        <v/>
      </c>
      <c r="B165" s="100"/>
      <c r="C165" s="100"/>
      <c r="D165" s="100"/>
      <c r="E165" s="100"/>
      <c r="F165" s="100"/>
      <c r="G165" s="100"/>
      <c r="H165" s="100"/>
      <c r="I165" s="100"/>
      <c r="J165" s="100"/>
    </row>
    <row r="166" ht="15" customHeight="1">
      <c r="A166" s="100" t="str">
        <f t="shared" si="4"/>
        <v/>
      </c>
      <c r="B166" s="100"/>
      <c r="C166" s="100"/>
      <c r="D166" s="100"/>
      <c r="E166" s="100"/>
      <c r="F166" s="100"/>
      <c r="G166" s="100"/>
      <c r="H166" s="100"/>
      <c r="I166" s="100"/>
      <c r="J166" s="100"/>
    </row>
    <row r="167" ht="15" customHeight="1">
      <c r="A167" s="100" t="str">
        <f t="shared" si="4"/>
        <v/>
      </c>
      <c r="B167" s="100"/>
      <c r="C167" s="100"/>
      <c r="D167" s="100"/>
      <c r="E167" s="100"/>
      <c r="F167" s="100"/>
      <c r="G167" s="100"/>
      <c r="H167" s="100"/>
      <c r="I167" s="100"/>
      <c r="J167" s="100"/>
    </row>
    <row r="168" ht="15" customHeight="1">
      <c r="A168" s="100" t="str">
        <f t="shared" si="4"/>
        <v/>
      </c>
      <c r="B168" s="100"/>
      <c r="C168" s="100"/>
      <c r="D168" s="100"/>
      <c r="E168" s="100"/>
      <c r="F168" s="100"/>
      <c r="G168" s="100"/>
      <c r="H168" s="100"/>
      <c r="I168" s="100"/>
      <c r="J168" s="100"/>
    </row>
    <row r="169" ht="15" customHeight="1">
      <c r="A169" s="100" t="str">
        <f t="shared" si="4"/>
        <v/>
      </c>
      <c r="B169" s="100"/>
      <c r="C169" s="100"/>
      <c r="D169" s="100"/>
      <c r="E169" s="100"/>
      <c r="F169" s="100"/>
      <c r="G169" s="100"/>
      <c r="H169" s="100"/>
      <c r="I169" s="100"/>
      <c r="J169" s="100"/>
    </row>
    <row r="170" ht="15" customHeight="1">
      <c r="A170" s="100" t="str">
        <f t="shared" si="4"/>
        <v/>
      </c>
      <c r="B170" s="100"/>
      <c r="C170" s="100"/>
      <c r="D170" s="100"/>
      <c r="E170" s="100"/>
      <c r="F170" s="100"/>
      <c r="G170" s="100"/>
      <c r="H170" s="100"/>
      <c r="I170" s="100"/>
      <c r="J170" s="100"/>
    </row>
    <row r="171" ht="15" customHeight="1">
      <c r="A171" s="100" t="str">
        <f t="shared" si="4"/>
        <v/>
      </c>
      <c r="B171" s="100"/>
      <c r="C171" s="100"/>
      <c r="D171" s="100"/>
      <c r="E171" s="100"/>
      <c r="F171" s="100"/>
      <c r="G171" s="100"/>
      <c r="H171" s="100"/>
      <c r="I171" s="100"/>
      <c r="J171" s="100"/>
    </row>
    <row r="172" ht="15" customHeight="1">
      <c r="A172" s="100" t="str">
        <f t="shared" si="4"/>
        <v/>
      </c>
      <c r="B172" s="100"/>
      <c r="C172" s="100"/>
      <c r="D172" s="100"/>
      <c r="E172" s="100"/>
      <c r="F172" s="100"/>
      <c r="G172" s="100"/>
      <c r="H172" s="100"/>
      <c r="I172" s="100"/>
      <c r="J172" s="100"/>
    </row>
    <row r="173" ht="15" customHeight="1">
      <c r="A173" s="100" t="str">
        <f t="shared" ref="A173:A236" si="5">B173&amp;C173</f>
        <v/>
      </c>
      <c r="B173" s="100"/>
      <c r="C173" s="100"/>
      <c r="D173" s="100"/>
      <c r="E173" s="100"/>
      <c r="F173" s="100"/>
      <c r="G173" s="100"/>
      <c r="H173" s="100"/>
      <c r="I173" s="100"/>
      <c r="J173" s="100"/>
    </row>
    <row r="174" ht="15" customHeight="1">
      <c r="A174" s="100" t="str">
        <f t="shared" si="5"/>
        <v/>
      </c>
      <c r="B174" s="100"/>
      <c r="C174" s="100"/>
      <c r="D174" s="100"/>
      <c r="E174" s="100"/>
      <c r="F174" s="100"/>
      <c r="G174" s="100"/>
      <c r="H174" s="100"/>
      <c r="I174" s="100"/>
      <c r="J174" s="100"/>
    </row>
    <row r="175" ht="15" customHeight="1">
      <c r="A175" s="100" t="str">
        <f t="shared" si="5"/>
        <v/>
      </c>
      <c r="B175" s="100"/>
      <c r="C175" s="100"/>
      <c r="D175" s="100"/>
      <c r="E175" s="100"/>
      <c r="F175" s="100"/>
      <c r="G175" s="100"/>
      <c r="H175" s="100"/>
      <c r="I175" s="100"/>
      <c r="J175" s="100"/>
    </row>
    <row r="176" ht="15" customHeight="1">
      <c r="A176" s="100" t="str">
        <f t="shared" si="5"/>
        <v/>
      </c>
      <c r="B176" s="100"/>
      <c r="C176" s="100"/>
      <c r="D176" s="100"/>
      <c r="E176" s="100"/>
      <c r="F176" s="100"/>
      <c r="G176" s="100"/>
      <c r="H176" s="100"/>
      <c r="I176" s="100"/>
      <c r="J176" s="100"/>
    </row>
    <row r="177" ht="15" customHeight="1">
      <c r="A177" s="100" t="str">
        <f t="shared" si="5"/>
        <v/>
      </c>
      <c r="B177" s="100"/>
      <c r="C177" s="100"/>
      <c r="D177" s="100"/>
      <c r="E177" s="100"/>
      <c r="F177" s="100"/>
      <c r="G177" s="100"/>
      <c r="H177" s="100"/>
      <c r="I177" s="100"/>
      <c r="J177" s="100"/>
    </row>
    <row r="178" ht="15" customHeight="1">
      <c r="A178" s="100" t="str">
        <f t="shared" si="5"/>
        <v/>
      </c>
      <c r="B178" s="100"/>
      <c r="C178" s="100"/>
      <c r="D178" s="100"/>
      <c r="E178" s="100"/>
      <c r="F178" s="100"/>
      <c r="G178" s="100"/>
      <c r="H178" s="100"/>
      <c r="I178" s="100"/>
      <c r="J178" s="100"/>
    </row>
    <row r="179" ht="15" customHeight="1">
      <c r="A179" s="100" t="str">
        <f t="shared" si="5"/>
        <v/>
      </c>
      <c r="B179" s="100"/>
      <c r="C179" s="100"/>
      <c r="D179" s="100"/>
      <c r="E179" s="100"/>
      <c r="F179" s="100"/>
      <c r="G179" s="100"/>
      <c r="H179" s="100"/>
      <c r="I179" s="100"/>
      <c r="J179" s="100"/>
    </row>
    <row r="180" ht="15" customHeight="1">
      <c r="A180" s="100" t="str">
        <f t="shared" si="5"/>
        <v/>
      </c>
      <c r="B180" s="100"/>
      <c r="C180" s="100"/>
      <c r="D180" s="100"/>
      <c r="E180" s="100"/>
      <c r="F180" s="100"/>
      <c r="G180" s="100"/>
      <c r="H180" s="100"/>
      <c r="I180" s="100"/>
      <c r="J180" s="100"/>
    </row>
    <row r="181" ht="15" customHeight="1">
      <c r="A181" s="100" t="str">
        <f t="shared" si="5"/>
        <v/>
      </c>
      <c r="B181" s="100"/>
      <c r="C181" s="100"/>
      <c r="D181" s="100"/>
      <c r="E181" s="100"/>
      <c r="F181" s="100"/>
      <c r="G181" s="100"/>
      <c r="H181" s="100"/>
      <c r="I181" s="100"/>
      <c r="J181" s="100"/>
    </row>
    <row r="182" ht="15" customHeight="1">
      <c r="A182" s="100" t="str">
        <f t="shared" si="5"/>
        <v/>
      </c>
      <c r="B182" s="100"/>
      <c r="C182" s="100"/>
      <c r="D182" s="100"/>
      <c r="E182" s="100"/>
      <c r="F182" s="100"/>
      <c r="G182" s="100"/>
      <c r="H182" s="100"/>
      <c r="I182" s="100"/>
      <c r="J182" s="100"/>
    </row>
    <row r="183" ht="15" customHeight="1">
      <c r="A183" s="100" t="str">
        <f t="shared" si="5"/>
        <v/>
      </c>
      <c r="B183" s="100"/>
      <c r="C183" s="100"/>
      <c r="D183" s="100"/>
      <c r="E183" s="100"/>
      <c r="F183" s="100"/>
      <c r="G183" s="100"/>
      <c r="H183" s="100"/>
      <c r="I183" s="100"/>
      <c r="J183" s="100"/>
    </row>
    <row r="184" ht="15" customHeight="1">
      <c r="A184" s="100" t="str">
        <f t="shared" si="5"/>
        <v/>
      </c>
      <c r="B184" s="100"/>
      <c r="C184" s="100"/>
      <c r="D184" s="100"/>
      <c r="E184" s="100"/>
      <c r="F184" s="100"/>
      <c r="G184" s="100"/>
      <c r="H184" s="100"/>
      <c r="I184" s="100"/>
      <c r="J184" s="100"/>
    </row>
    <row r="185" ht="15" customHeight="1">
      <c r="A185" s="100" t="str">
        <f t="shared" si="5"/>
        <v/>
      </c>
      <c r="B185" s="100"/>
      <c r="C185" s="100"/>
      <c r="D185" s="100"/>
      <c r="E185" s="100"/>
      <c r="F185" s="100"/>
      <c r="G185" s="100"/>
      <c r="H185" s="100"/>
      <c r="I185" s="100"/>
      <c r="J185" s="100"/>
    </row>
    <row r="186" ht="15" customHeight="1">
      <c r="A186" s="100" t="str">
        <f t="shared" si="5"/>
        <v/>
      </c>
      <c r="B186" s="100"/>
      <c r="C186" s="100"/>
      <c r="D186" s="100"/>
      <c r="E186" s="100"/>
      <c r="F186" s="100"/>
      <c r="G186" s="100"/>
      <c r="H186" s="100"/>
      <c r="I186" s="100"/>
      <c r="J186" s="100"/>
    </row>
    <row r="187" ht="15" customHeight="1">
      <c r="A187" s="100" t="str">
        <f t="shared" si="5"/>
        <v/>
      </c>
      <c r="B187" s="100"/>
      <c r="C187" s="100"/>
      <c r="D187" s="100"/>
      <c r="E187" s="100"/>
      <c r="F187" s="100"/>
      <c r="G187" s="100"/>
      <c r="H187" s="100"/>
      <c r="I187" s="100"/>
      <c r="J187" s="100"/>
    </row>
    <row r="188" ht="15" customHeight="1">
      <c r="A188" s="100" t="str">
        <f t="shared" si="5"/>
        <v/>
      </c>
      <c r="B188" s="100"/>
      <c r="C188" s="100"/>
      <c r="D188" s="100"/>
      <c r="E188" s="100"/>
      <c r="F188" s="100"/>
      <c r="G188" s="100"/>
      <c r="H188" s="100"/>
      <c r="I188" s="100"/>
      <c r="J188" s="100"/>
    </row>
    <row r="189" ht="15" customHeight="1">
      <c r="A189" s="100" t="str">
        <f t="shared" si="5"/>
        <v/>
      </c>
      <c r="B189" s="100"/>
      <c r="C189" s="100"/>
      <c r="D189" s="100"/>
      <c r="E189" s="100"/>
      <c r="F189" s="100"/>
      <c r="G189" s="100"/>
      <c r="H189" s="100"/>
      <c r="I189" s="100"/>
      <c r="J189" s="100"/>
    </row>
    <row r="190" ht="15" customHeight="1">
      <c r="A190" s="100" t="str">
        <f t="shared" si="5"/>
        <v/>
      </c>
      <c r="B190" s="100"/>
      <c r="C190" s="100"/>
      <c r="D190" s="100"/>
      <c r="E190" s="100"/>
      <c r="F190" s="100"/>
      <c r="G190" s="100"/>
      <c r="H190" s="100"/>
      <c r="I190" s="100"/>
      <c r="J190" s="100"/>
    </row>
    <row r="191" ht="15" customHeight="1">
      <c r="A191" s="100" t="str">
        <f t="shared" si="5"/>
        <v/>
      </c>
      <c r="B191" s="100"/>
      <c r="C191" s="100"/>
      <c r="D191" s="100"/>
      <c r="E191" s="100"/>
      <c r="F191" s="100"/>
      <c r="G191" s="100"/>
      <c r="H191" s="100"/>
      <c r="I191" s="100"/>
      <c r="J191" s="100"/>
    </row>
    <row r="192" ht="15" customHeight="1">
      <c r="A192" s="100" t="str">
        <f t="shared" si="5"/>
        <v/>
      </c>
      <c r="B192" s="100"/>
      <c r="C192" s="100"/>
      <c r="D192" s="100"/>
      <c r="E192" s="100"/>
      <c r="F192" s="100"/>
      <c r="G192" s="100"/>
      <c r="H192" s="100"/>
      <c r="I192" s="100"/>
      <c r="J192" s="100"/>
    </row>
    <row r="193" ht="15" customHeight="1">
      <c r="A193" s="100" t="str">
        <f t="shared" si="5"/>
        <v/>
      </c>
      <c r="B193" s="100"/>
      <c r="C193" s="100"/>
      <c r="D193" s="100"/>
      <c r="E193" s="100"/>
      <c r="F193" s="100"/>
      <c r="G193" s="100"/>
      <c r="H193" s="100"/>
      <c r="I193" s="100"/>
      <c r="J193" s="100"/>
    </row>
    <row r="194" ht="15" customHeight="1">
      <c r="A194" s="100" t="str">
        <f t="shared" si="5"/>
        <v/>
      </c>
      <c r="B194" s="100"/>
      <c r="C194" s="100"/>
      <c r="D194" s="100"/>
      <c r="E194" s="100"/>
      <c r="F194" s="100"/>
      <c r="G194" s="100"/>
      <c r="H194" s="100"/>
      <c r="I194" s="100"/>
      <c r="J194" s="100"/>
    </row>
    <row r="195" ht="15" customHeight="1">
      <c r="A195" s="100" t="str">
        <f t="shared" si="5"/>
        <v/>
      </c>
      <c r="B195" s="100"/>
      <c r="C195" s="100"/>
      <c r="D195" s="100"/>
      <c r="E195" s="100"/>
      <c r="F195" s="100"/>
      <c r="G195" s="100"/>
      <c r="H195" s="100"/>
      <c r="I195" s="100"/>
      <c r="J195" s="100"/>
    </row>
    <row r="196" ht="15" customHeight="1">
      <c r="A196" s="100" t="str">
        <f t="shared" si="5"/>
        <v/>
      </c>
      <c r="B196" s="100"/>
      <c r="C196" s="100"/>
      <c r="D196" s="100"/>
      <c r="E196" s="100"/>
      <c r="F196" s="100"/>
      <c r="G196" s="100"/>
      <c r="H196" s="100"/>
      <c r="I196" s="100"/>
      <c r="J196" s="100"/>
    </row>
    <row r="197" ht="15" customHeight="1">
      <c r="A197" s="100" t="str">
        <f t="shared" si="5"/>
        <v/>
      </c>
      <c r="B197" s="100"/>
      <c r="C197" s="100"/>
      <c r="D197" s="100"/>
      <c r="E197" s="100"/>
      <c r="F197" s="100"/>
      <c r="G197" s="100"/>
      <c r="H197" s="100"/>
      <c r="I197" s="100"/>
      <c r="J197" s="100"/>
    </row>
    <row r="198" ht="15" customHeight="1">
      <c r="A198" s="100" t="str">
        <f t="shared" si="5"/>
        <v/>
      </c>
      <c r="B198" s="100"/>
      <c r="C198" s="100"/>
      <c r="D198" s="100"/>
      <c r="E198" s="100"/>
      <c r="F198" s="100"/>
      <c r="G198" s="100"/>
      <c r="H198" s="100"/>
      <c r="I198" s="100"/>
      <c r="J198" s="100"/>
    </row>
    <row r="199" ht="15" customHeight="1">
      <c r="A199" s="100" t="str">
        <f t="shared" si="5"/>
        <v/>
      </c>
      <c r="B199" s="100"/>
      <c r="C199" s="100"/>
      <c r="D199" s="100"/>
      <c r="E199" s="100"/>
      <c r="F199" s="100"/>
      <c r="G199" s="100"/>
      <c r="H199" s="100"/>
      <c r="I199" s="100"/>
      <c r="J199" s="100"/>
    </row>
    <row r="200" ht="15" customHeight="1">
      <c r="A200" s="100" t="str">
        <f t="shared" si="5"/>
        <v/>
      </c>
      <c r="B200" s="100"/>
      <c r="C200" s="100"/>
      <c r="D200" s="100"/>
      <c r="E200" s="100"/>
      <c r="F200" s="100"/>
      <c r="G200" s="100"/>
      <c r="H200" s="100"/>
      <c r="I200" s="100"/>
      <c r="J200" s="100"/>
    </row>
    <row r="201" ht="15" customHeight="1">
      <c r="A201" s="100" t="str">
        <f t="shared" si="5"/>
        <v/>
      </c>
      <c r="B201" s="100"/>
      <c r="C201" s="100"/>
      <c r="D201" s="100"/>
      <c r="E201" s="100"/>
      <c r="F201" s="100"/>
      <c r="G201" s="100"/>
      <c r="H201" s="100"/>
      <c r="I201" s="100"/>
      <c r="J201" s="100"/>
    </row>
    <row r="202" ht="15" customHeight="1">
      <c r="A202" s="100" t="str">
        <f t="shared" si="5"/>
        <v/>
      </c>
      <c r="B202" s="100"/>
      <c r="C202" s="100"/>
      <c r="D202" s="100"/>
      <c r="E202" s="100"/>
      <c r="F202" s="100"/>
      <c r="G202" s="100"/>
      <c r="H202" s="100"/>
      <c r="I202" s="100"/>
      <c r="J202" s="100"/>
    </row>
    <row r="203" ht="15" customHeight="1">
      <c r="A203" s="100" t="str">
        <f t="shared" si="5"/>
        <v/>
      </c>
      <c r="B203" s="100"/>
      <c r="C203" s="100"/>
      <c r="D203" s="100"/>
      <c r="E203" s="100"/>
      <c r="F203" s="100"/>
      <c r="G203" s="100"/>
      <c r="H203" s="100"/>
      <c r="I203" s="100"/>
      <c r="J203" s="100"/>
    </row>
    <row r="204" ht="15" customHeight="1">
      <c r="A204" s="100" t="str">
        <f t="shared" si="5"/>
        <v/>
      </c>
      <c r="B204" s="100"/>
      <c r="C204" s="100"/>
      <c r="D204" s="100"/>
      <c r="E204" s="100"/>
      <c r="F204" s="100"/>
      <c r="G204" s="100"/>
      <c r="H204" s="100"/>
      <c r="I204" s="100"/>
      <c r="J204" s="100"/>
    </row>
    <row r="205" ht="15" customHeight="1">
      <c r="A205" s="100" t="str">
        <f t="shared" si="5"/>
        <v/>
      </c>
      <c r="B205" s="100"/>
      <c r="C205" s="100"/>
      <c r="D205" s="100"/>
      <c r="E205" s="100"/>
      <c r="F205" s="100"/>
      <c r="G205" s="100"/>
      <c r="H205" s="100"/>
      <c r="I205" s="100"/>
      <c r="J205" s="100"/>
    </row>
    <row r="206" ht="15" customHeight="1">
      <c r="A206" s="100" t="str">
        <f t="shared" si="5"/>
        <v/>
      </c>
      <c r="B206" s="100"/>
      <c r="C206" s="100"/>
      <c r="D206" s="100"/>
      <c r="E206" s="100"/>
      <c r="F206" s="100"/>
      <c r="G206" s="100"/>
      <c r="H206" s="100"/>
      <c r="I206" s="100"/>
      <c r="J206" s="100"/>
    </row>
    <row r="207" ht="15" customHeight="1">
      <c r="A207" s="100" t="str">
        <f t="shared" si="5"/>
        <v/>
      </c>
      <c r="B207" s="100"/>
      <c r="C207" s="100"/>
      <c r="D207" s="100"/>
      <c r="E207" s="100"/>
      <c r="F207" s="100"/>
      <c r="G207" s="100"/>
      <c r="H207" s="100"/>
      <c r="I207" s="100"/>
      <c r="J207" s="100"/>
    </row>
    <row r="208" ht="15" customHeight="1">
      <c r="A208" s="100" t="str">
        <f t="shared" si="5"/>
        <v/>
      </c>
      <c r="B208" s="100"/>
      <c r="C208" s="100"/>
      <c r="D208" s="100"/>
      <c r="E208" s="100"/>
      <c r="F208" s="100"/>
      <c r="G208" s="100"/>
      <c r="H208" s="100"/>
      <c r="I208" s="100"/>
      <c r="J208" s="100"/>
    </row>
    <row r="209" ht="15" customHeight="1">
      <c r="A209" s="100" t="str">
        <f t="shared" si="5"/>
        <v/>
      </c>
      <c r="B209" s="100"/>
      <c r="C209" s="100"/>
      <c r="D209" s="100"/>
      <c r="E209" s="100"/>
      <c r="F209" s="100"/>
      <c r="G209" s="100"/>
      <c r="H209" s="100"/>
      <c r="I209" s="100"/>
      <c r="J209" s="100"/>
    </row>
    <row r="210" ht="15" customHeight="1">
      <c r="A210" s="100" t="str">
        <f t="shared" si="5"/>
        <v/>
      </c>
      <c r="B210" s="100"/>
      <c r="C210" s="100"/>
      <c r="D210" s="100"/>
      <c r="E210" s="100"/>
      <c r="F210" s="100"/>
      <c r="G210" s="100"/>
      <c r="H210" s="100"/>
      <c r="I210" s="100"/>
      <c r="J210" s="100"/>
    </row>
    <row r="211" ht="15" customHeight="1">
      <c r="A211" s="100" t="str">
        <f t="shared" si="5"/>
        <v/>
      </c>
      <c r="B211" s="100"/>
      <c r="C211" s="100"/>
      <c r="D211" s="100"/>
      <c r="E211" s="100"/>
      <c r="F211" s="100"/>
      <c r="G211" s="100"/>
      <c r="H211" s="100"/>
      <c r="I211" s="100"/>
      <c r="J211" s="100"/>
    </row>
    <row r="212" ht="15" customHeight="1">
      <c r="A212" s="100" t="str">
        <f t="shared" si="5"/>
        <v/>
      </c>
      <c r="B212" s="100"/>
      <c r="C212" s="100"/>
      <c r="D212" s="100"/>
      <c r="E212" s="100"/>
      <c r="F212" s="100"/>
      <c r="G212" s="100"/>
      <c r="H212" s="100"/>
      <c r="I212" s="100"/>
      <c r="J212" s="100"/>
    </row>
    <row r="213" ht="15" customHeight="1">
      <c r="A213" s="100" t="str">
        <f t="shared" si="5"/>
        <v/>
      </c>
      <c r="B213" s="100"/>
      <c r="C213" s="100"/>
      <c r="D213" s="100"/>
      <c r="E213" s="100"/>
      <c r="F213" s="100"/>
      <c r="G213" s="100"/>
      <c r="H213" s="100"/>
      <c r="I213" s="100"/>
      <c r="J213" s="100"/>
    </row>
    <row r="214" ht="15" customHeight="1">
      <c r="A214" s="100" t="str">
        <f t="shared" si="5"/>
        <v/>
      </c>
      <c r="B214" s="100"/>
      <c r="C214" s="100"/>
      <c r="D214" s="100"/>
      <c r="E214" s="100"/>
      <c r="F214" s="100"/>
      <c r="G214" s="100"/>
      <c r="H214" s="100"/>
      <c r="I214" s="100"/>
      <c r="J214" s="100"/>
    </row>
    <row r="215" ht="15" customHeight="1">
      <c r="A215" s="100" t="str">
        <f t="shared" si="5"/>
        <v/>
      </c>
      <c r="B215" s="100"/>
      <c r="C215" s="100"/>
      <c r="D215" s="100"/>
      <c r="E215" s="100"/>
      <c r="F215" s="100"/>
      <c r="G215" s="100"/>
      <c r="H215" s="100"/>
      <c r="I215" s="100"/>
      <c r="J215" s="100"/>
    </row>
    <row r="216" ht="15" customHeight="1">
      <c r="A216" s="100" t="str">
        <f t="shared" si="5"/>
        <v/>
      </c>
      <c r="B216" s="100"/>
      <c r="C216" s="100"/>
      <c r="D216" s="100"/>
      <c r="E216" s="100"/>
      <c r="F216" s="100"/>
      <c r="G216" s="100"/>
      <c r="H216" s="100"/>
      <c r="I216" s="100"/>
      <c r="J216" s="100"/>
    </row>
    <row r="217" ht="15" customHeight="1">
      <c r="A217" s="100" t="str">
        <f t="shared" si="5"/>
        <v/>
      </c>
      <c r="B217" s="100"/>
      <c r="C217" s="100"/>
      <c r="D217" s="100"/>
      <c r="E217" s="100"/>
      <c r="F217" s="100"/>
      <c r="G217" s="100"/>
      <c r="H217" s="100"/>
      <c r="I217" s="100"/>
      <c r="J217" s="100"/>
    </row>
    <row r="218" ht="15" customHeight="1">
      <c r="A218" s="100" t="str">
        <f t="shared" si="5"/>
        <v/>
      </c>
      <c r="B218" s="100"/>
      <c r="C218" s="100"/>
      <c r="D218" s="100"/>
      <c r="E218" s="100"/>
      <c r="F218" s="100"/>
      <c r="G218" s="100"/>
      <c r="H218" s="100"/>
      <c r="I218" s="100"/>
      <c r="J218" s="100"/>
    </row>
    <row r="219" ht="15" customHeight="1">
      <c r="A219" s="100" t="str">
        <f t="shared" si="5"/>
        <v/>
      </c>
      <c r="B219" s="100"/>
      <c r="C219" s="100"/>
      <c r="D219" s="100"/>
      <c r="E219" s="100"/>
      <c r="F219" s="100"/>
      <c r="G219" s="100"/>
      <c r="H219" s="100"/>
      <c r="I219" s="100"/>
      <c r="J219" s="100"/>
    </row>
    <row r="220" ht="15" customHeight="1">
      <c r="A220" s="100" t="str">
        <f t="shared" si="5"/>
        <v/>
      </c>
      <c r="B220" s="100"/>
      <c r="C220" s="100"/>
      <c r="D220" s="100"/>
      <c r="E220" s="100"/>
      <c r="F220" s="100"/>
      <c r="G220" s="100"/>
      <c r="H220" s="100"/>
      <c r="I220" s="100"/>
      <c r="J220" s="100"/>
    </row>
    <row r="221" ht="15" customHeight="1">
      <c r="A221" s="100" t="str">
        <f t="shared" si="5"/>
        <v/>
      </c>
      <c r="B221" s="100"/>
      <c r="C221" s="100"/>
      <c r="D221" s="100"/>
      <c r="E221" s="100"/>
      <c r="F221" s="100"/>
      <c r="G221" s="100"/>
      <c r="H221" s="100"/>
      <c r="I221" s="100"/>
      <c r="J221" s="100"/>
    </row>
    <row r="222" ht="15" customHeight="1">
      <c r="A222" s="100" t="str">
        <f t="shared" si="5"/>
        <v/>
      </c>
      <c r="B222" s="100"/>
      <c r="C222" s="100"/>
      <c r="D222" s="100"/>
      <c r="E222" s="100"/>
      <c r="F222" s="100"/>
      <c r="G222" s="100"/>
      <c r="H222" s="100"/>
      <c r="I222" s="100"/>
      <c r="J222" s="100"/>
    </row>
    <row r="223" ht="15" customHeight="1">
      <c r="A223" s="100" t="str">
        <f t="shared" si="5"/>
        <v/>
      </c>
      <c r="B223" s="100"/>
      <c r="C223" s="100"/>
      <c r="D223" s="100"/>
      <c r="E223" s="100"/>
      <c r="F223" s="100"/>
      <c r="G223" s="100"/>
      <c r="H223" s="100"/>
      <c r="I223" s="100"/>
      <c r="J223" s="100"/>
    </row>
    <row r="224" ht="15" customHeight="1">
      <c r="A224" s="100" t="str">
        <f t="shared" si="5"/>
        <v/>
      </c>
      <c r="B224" s="100"/>
      <c r="C224" s="100"/>
      <c r="D224" s="100"/>
      <c r="E224" s="100"/>
      <c r="F224" s="100"/>
      <c r="G224" s="100"/>
      <c r="H224" s="100"/>
      <c r="I224" s="100"/>
      <c r="J224" s="100"/>
    </row>
    <row r="225" ht="15" customHeight="1">
      <c r="A225" s="100" t="str">
        <f t="shared" si="5"/>
        <v/>
      </c>
      <c r="B225" s="100"/>
      <c r="C225" s="100"/>
      <c r="D225" s="100"/>
      <c r="E225" s="100"/>
      <c r="F225" s="100"/>
      <c r="G225" s="100"/>
      <c r="H225" s="100"/>
      <c r="I225" s="100"/>
      <c r="J225" s="100"/>
    </row>
    <row r="226" ht="15" customHeight="1">
      <c r="A226" s="100" t="str">
        <f t="shared" si="5"/>
        <v/>
      </c>
      <c r="B226" s="100"/>
      <c r="C226" s="100"/>
      <c r="D226" s="100"/>
      <c r="E226" s="100"/>
      <c r="F226" s="100"/>
      <c r="G226" s="100"/>
      <c r="H226" s="100"/>
      <c r="I226" s="100"/>
      <c r="J226" s="100"/>
    </row>
    <row r="227" ht="15" customHeight="1">
      <c r="A227" s="100" t="str">
        <f t="shared" si="5"/>
        <v/>
      </c>
      <c r="B227" s="100"/>
      <c r="C227" s="100"/>
      <c r="D227" s="100"/>
      <c r="E227" s="100"/>
      <c r="F227" s="100"/>
      <c r="G227" s="100"/>
      <c r="H227" s="100"/>
      <c r="I227" s="100"/>
      <c r="J227" s="100"/>
    </row>
    <row r="228" ht="15" customHeight="1">
      <c r="A228" s="100" t="str">
        <f t="shared" si="5"/>
        <v/>
      </c>
      <c r="B228" s="100"/>
      <c r="C228" s="100"/>
      <c r="D228" s="100"/>
      <c r="E228" s="100"/>
      <c r="F228" s="100"/>
      <c r="G228" s="100"/>
      <c r="H228" s="100"/>
      <c r="I228" s="100"/>
      <c r="J228" s="100"/>
    </row>
    <row r="229" ht="15" customHeight="1">
      <c r="A229" s="100" t="str">
        <f t="shared" si="5"/>
        <v/>
      </c>
      <c r="B229" s="100"/>
      <c r="C229" s="100"/>
      <c r="D229" s="100"/>
      <c r="E229" s="100"/>
      <c r="F229" s="100"/>
      <c r="G229" s="100"/>
      <c r="H229" s="100"/>
      <c r="I229" s="100"/>
      <c r="J229" s="100"/>
    </row>
    <row r="230" ht="15" customHeight="1">
      <c r="A230" s="100" t="str">
        <f t="shared" si="5"/>
        <v/>
      </c>
      <c r="B230" s="100"/>
      <c r="C230" s="100"/>
      <c r="D230" s="100"/>
      <c r="E230" s="100"/>
      <c r="F230" s="100"/>
      <c r="G230" s="100"/>
      <c r="H230" s="100"/>
      <c r="I230" s="100"/>
      <c r="J230" s="100"/>
    </row>
    <row r="231" ht="15" customHeight="1">
      <c r="A231" s="100" t="str">
        <f t="shared" si="5"/>
        <v/>
      </c>
      <c r="B231" s="100"/>
      <c r="C231" s="100"/>
      <c r="D231" s="100"/>
      <c r="E231" s="100"/>
      <c r="F231" s="100"/>
      <c r="G231" s="100"/>
      <c r="H231" s="100"/>
      <c r="I231" s="100"/>
      <c r="J231" s="100"/>
    </row>
    <row r="232" ht="15" customHeight="1">
      <c r="A232" s="100" t="str">
        <f t="shared" si="5"/>
        <v/>
      </c>
      <c r="B232" s="100"/>
      <c r="C232" s="100"/>
      <c r="D232" s="100"/>
      <c r="E232" s="100"/>
      <c r="F232" s="100"/>
      <c r="G232" s="100"/>
      <c r="H232" s="100"/>
      <c r="I232" s="100"/>
      <c r="J232" s="100"/>
    </row>
    <row r="233" ht="15" customHeight="1">
      <c r="A233" s="100" t="str">
        <f t="shared" si="5"/>
        <v/>
      </c>
      <c r="B233" s="100"/>
      <c r="C233" s="100"/>
      <c r="D233" s="100"/>
      <c r="E233" s="100"/>
      <c r="F233" s="100"/>
      <c r="G233" s="100"/>
      <c r="H233" s="100"/>
      <c r="I233" s="100"/>
      <c r="J233" s="100"/>
    </row>
    <row r="234" ht="15" customHeight="1">
      <c r="A234" s="100" t="str">
        <f t="shared" si="5"/>
        <v/>
      </c>
      <c r="B234" s="100"/>
      <c r="C234" s="100"/>
      <c r="D234" s="100"/>
      <c r="E234" s="100"/>
      <c r="F234" s="100"/>
      <c r="G234" s="100"/>
      <c r="H234" s="100"/>
      <c r="I234" s="100"/>
      <c r="J234" s="100"/>
    </row>
    <row r="235" ht="15" customHeight="1">
      <c r="A235" s="100" t="str">
        <f t="shared" si="5"/>
        <v/>
      </c>
      <c r="B235" s="100"/>
      <c r="C235" s="100"/>
      <c r="D235" s="100"/>
      <c r="E235" s="100"/>
      <c r="F235" s="100"/>
      <c r="G235" s="100"/>
      <c r="H235" s="100"/>
      <c r="I235" s="100"/>
      <c r="J235" s="100"/>
    </row>
    <row r="236" ht="15" customHeight="1">
      <c r="A236" s="100" t="str">
        <f t="shared" si="5"/>
        <v/>
      </c>
      <c r="B236" s="100"/>
      <c r="C236" s="100"/>
      <c r="D236" s="100"/>
      <c r="E236" s="100"/>
      <c r="F236" s="100"/>
      <c r="G236" s="100"/>
      <c r="H236" s="100"/>
      <c r="I236" s="100"/>
      <c r="J236" s="100"/>
    </row>
    <row r="237" ht="15" customHeight="1">
      <c r="A237" s="100" t="str">
        <f t="shared" ref="A237:A249" si="6">B237&amp;C237</f>
        <v/>
      </c>
      <c r="B237" s="100"/>
      <c r="C237" s="100"/>
      <c r="D237" s="100"/>
      <c r="E237" s="100"/>
      <c r="F237" s="100"/>
      <c r="G237" s="100"/>
      <c r="H237" s="100"/>
      <c r="I237" s="100"/>
      <c r="J237" s="100"/>
    </row>
    <row r="238" ht="15" customHeight="1">
      <c r="A238" s="100" t="str">
        <f t="shared" si="6"/>
        <v/>
      </c>
      <c r="B238" s="100"/>
      <c r="C238" s="100"/>
      <c r="D238" s="100"/>
      <c r="E238" s="100"/>
      <c r="F238" s="100"/>
      <c r="G238" s="100"/>
      <c r="H238" s="100"/>
      <c r="I238" s="100"/>
      <c r="J238" s="100"/>
    </row>
    <row r="239" ht="15" customHeight="1">
      <c r="A239" s="115" t="str">
        <f t="shared" si="6"/>
        <v/>
      </c>
      <c r="D239" s="116"/>
      <c r="E239" s="116"/>
      <c r="F239" s="115"/>
      <c r="G239" s="115"/>
      <c r="H239" s="115"/>
      <c r="I239" s="115"/>
      <c r="J239" s="13"/>
    </row>
    <row r="240" ht="15" customHeight="1">
      <c r="A240" s="115" t="str">
        <f t="shared" si="6"/>
        <v/>
      </c>
      <c r="D240" s="116"/>
      <c r="E240" s="116"/>
      <c r="F240" s="115"/>
      <c r="G240" s="115"/>
      <c r="H240" s="115"/>
      <c r="I240" s="115"/>
      <c r="J240" s="13"/>
    </row>
    <row r="241" ht="15" customHeight="1">
      <c r="A241" s="115" t="str">
        <f t="shared" si="6"/>
        <v/>
      </c>
      <c r="D241" s="116"/>
      <c r="E241" s="116"/>
      <c r="F241" s="115"/>
      <c r="G241" s="115"/>
      <c r="H241" s="115"/>
      <c r="I241" s="115"/>
      <c r="J241" s="13"/>
    </row>
    <row r="242" ht="15" customHeight="1">
      <c r="A242" s="115" t="str">
        <f t="shared" si="6"/>
        <v/>
      </c>
      <c r="D242" s="116"/>
      <c r="E242" s="116"/>
      <c r="F242" s="115"/>
      <c r="G242" s="115"/>
      <c r="H242" s="115"/>
      <c r="I242" s="115"/>
      <c r="J242" s="13"/>
    </row>
    <row r="243" ht="15" customHeight="1">
      <c r="A243" s="115" t="str">
        <f t="shared" si="6"/>
        <v/>
      </c>
      <c r="D243" s="116"/>
      <c r="E243" s="116"/>
      <c r="F243" s="115"/>
      <c r="G243" s="115"/>
      <c r="H243" s="115"/>
      <c r="I243" s="115"/>
      <c r="J243" s="13"/>
    </row>
    <row r="244" ht="15" customHeight="1">
      <c r="A244" s="115" t="str">
        <f t="shared" si="6"/>
        <v/>
      </c>
      <c r="D244" s="116"/>
      <c r="E244" s="116"/>
      <c r="F244" s="115"/>
      <c r="G244" s="115"/>
      <c r="H244" s="115"/>
      <c r="I244" s="115"/>
      <c r="J244" s="13"/>
    </row>
    <row r="245" ht="15" customHeight="1">
      <c r="A245" s="115" t="str">
        <f t="shared" si="6"/>
        <v/>
      </c>
      <c r="D245" s="116"/>
      <c r="E245" s="116"/>
      <c r="F245" s="115"/>
      <c r="G245" s="115"/>
      <c r="H245" s="115"/>
      <c r="I245" s="115"/>
      <c r="J245" s="13"/>
    </row>
    <row r="246" ht="15" customHeight="1">
      <c r="A246" s="115" t="str">
        <f t="shared" si="6"/>
        <v/>
      </c>
      <c r="D246" s="116"/>
      <c r="E246" s="116"/>
      <c r="F246" s="115"/>
      <c r="G246" s="115"/>
      <c r="H246" s="115"/>
      <c r="I246" s="115"/>
      <c r="J246" s="13"/>
    </row>
    <row r="247" ht="15" customHeight="1">
      <c r="A247" s="115" t="str">
        <f t="shared" si="6"/>
        <v/>
      </c>
      <c r="D247" s="116"/>
      <c r="E247" s="116"/>
      <c r="F247" s="115"/>
      <c r="G247" s="115"/>
      <c r="H247" s="115"/>
      <c r="I247" s="115"/>
      <c r="J247" s="13"/>
    </row>
    <row r="248" ht="15" customHeight="1">
      <c r="A248" s="115" t="str">
        <f t="shared" si="6"/>
        <v/>
      </c>
      <c r="D248" s="116"/>
      <c r="E248" s="116"/>
      <c r="F248" s="115"/>
      <c r="G248" s="115"/>
      <c r="H248" s="115"/>
      <c r="I248" s="115"/>
      <c r="J248" s="13"/>
    </row>
    <row r="249" ht="15" customHeight="1">
      <c r="A249" s="115" t="str">
        <f t="shared" si="6"/>
        <v/>
      </c>
      <c r="D249" s="116"/>
      <c r="E249" s="116"/>
      <c r="F249" s="115"/>
      <c r="G249" s="115"/>
      <c r="H249" s="115"/>
      <c r="I249" s="115"/>
      <c r="J249" s="13"/>
    </row>
  </sheetData>
  <mergeCells count="1">
    <mergeCell ref="K1:M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560" id="{00940059-004E-4FE7-B088-00F20084003C}">
            <xm:f>$B97&lt;&gt;#REF!</xm:f>
            <x14:dxf>
              <border>
                <left style="none"/>
                <right style="none"/>
                <top style="none"/>
                <bottom style="thin">
                  <color auto="1"/>
                </bottom>
                <diagonal/>
                <vertical style="none"/>
                <horizontal style="none"/>
              </border>
            </x14:dxf>
          </x14:cfRule>
          <xm:sqref>A97 C97:E97 G97:J97</xm:sqref>
        </x14:conditionalFormatting>
        <x14:conditionalFormatting xmlns:xm="http://schemas.microsoft.com/office/excel/2006/main">
          <x14:cfRule type="expression" priority="547" id="{00180001-00D7-440D-B1CE-00E100C60061}">
            <xm:f>$B93&lt;&gt;#REF!</xm:f>
            <x14:dxf>
              <border>
                <left style="none"/>
                <right style="none"/>
                <top style="none"/>
                <bottom style="thin">
                  <color auto="1"/>
                </bottom>
                <diagonal/>
                <vertical style="none"/>
                <horizontal style="none"/>
              </border>
            </x14:dxf>
          </x14:cfRule>
          <xm:sqref>A93:J93</xm:sqref>
        </x14:conditionalFormatting>
        <x14:conditionalFormatting xmlns:xm="http://schemas.microsoft.com/office/excel/2006/main">
          <x14:cfRule type="expression" priority="482" id="{005300D5-0094-4374-BE1D-005C00840078}">
            <xm:f>$B22&lt;&gt;$B27</xm:f>
            <x14:dxf>
              <border>
                <left style="none"/>
                <right style="none"/>
                <top style="none"/>
                <bottom style="thin">
                  <color auto="1"/>
                </bottom>
                <diagonal/>
                <vertical style="none"/>
                <horizontal style="none"/>
              </border>
            </x14:dxf>
          </x14:cfRule>
          <xm:sqref>A22:I22 A23:B23 D23 F23 I23 C23:C24 K22:M23</xm:sqref>
        </x14:conditionalFormatting>
        <x14:conditionalFormatting xmlns:xm="http://schemas.microsoft.com/office/excel/2006/main">
          <x14:cfRule type="expression" priority="479" id="{00F30081-005D-40B7-881E-0070000F0099}">
            <xm:f>$B24&lt;&gt;$B28</xm:f>
            <x14:dxf>
              <border>
                <left style="none"/>
                <right style="none"/>
                <top style="none"/>
                <bottom style="thin">
                  <color auto="1"/>
                </bottom>
                <diagonal/>
                <vertical style="none"/>
                <horizontal style="none"/>
              </border>
            </x14:dxf>
          </x14:cfRule>
          <xm:sqref>D24:D25 F24:F25 I24:I25 A24:B25 K24:M25</xm:sqref>
        </x14:conditionalFormatting>
        <x14:conditionalFormatting xmlns:xm="http://schemas.microsoft.com/office/excel/2006/main">
          <x14:cfRule type="expression" priority="478" id="{0023005C-000D-4AC2-BB0C-00B4007400E1}">
            <xm:f>$B8&lt;&gt;#REF!</xm:f>
            <x14:dxf>
              <border>
                <left style="none"/>
                <right style="none"/>
                <top style="none"/>
                <bottom style="thin">
                  <color auto="1"/>
                </bottom>
                <diagonal/>
                <vertical style="none"/>
                <horizontal style="none"/>
              </border>
            </x14:dxf>
          </x14:cfRule>
          <xm:sqref>J8:J9 A13 C13:I13 C17:I17 E24:E25 G24:H25 K13:M13</xm:sqref>
        </x14:conditionalFormatting>
        <x14:conditionalFormatting xmlns:xm="http://schemas.microsoft.com/office/excel/2006/main">
          <x14:cfRule type="expression" priority="476" id="{008D00F9-009A-4015-A329-0098003E00D4}">
            <xm:f>$B9&lt;&gt;#REF!</xm:f>
            <x14:dxf>
              <border>
                <left style="none"/>
                <right style="none"/>
                <top style="none"/>
                <bottom style="thin">
                  <color auto="1"/>
                </bottom>
                <diagonal/>
                <vertical style="none"/>
                <horizontal style="none"/>
              </border>
            </x14:dxf>
          </x14:cfRule>
          <xm:sqref>A9:I9 K9:M9 B13 A17:B17 J17:M17 A52:J52</xm:sqref>
        </x14:conditionalFormatting>
        <x14:conditionalFormatting xmlns:xm="http://schemas.microsoft.com/office/excel/2006/main">
          <x14:cfRule type="expression" priority="228" id="{008300E5-0071-48EA-AFF1-009C0055001E}">
            <xm:f>$B36&lt;&gt;#REF!</xm:f>
            <x14:dxf>
              <border>
                <left style="none"/>
                <right style="none"/>
                <top style="none"/>
                <bottom style="thin">
                  <color auto="1"/>
                </bottom>
                <diagonal/>
                <vertical style="none"/>
                <horizontal style="none"/>
              </border>
            </x14:dxf>
          </x14:cfRule>
          <xm:sqref>A36:M36</xm:sqref>
        </x14:conditionalFormatting>
        <x14:conditionalFormatting xmlns:xm="http://schemas.microsoft.com/office/excel/2006/main">
          <x14:cfRule type="expression" priority="222" id="{0093002B-00D2-42B2-A2D5-005100550081}">
            <xm:f>$B21&lt;&gt;#REF!</xm:f>
            <x14:dxf>
              <border>
                <left style="none"/>
                <right style="none"/>
                <top style="none"/>
                <bottom style="thin">
                  <color auto="1"/>
                </bottom>
                <diagonal/>
                <vertical style="none"/>
                <horizontal style="none"/>
              </border>
            </x14:dxf>
          </x14:cfRule>
          <xm:sqref>C21:J21</xm:sqref>
        </x14:conditionalFormatting>
        <x14:conditionalFormatting xmlns:xm="http://schemas.microsoft.com/office/excel/2006/main">
          <x14:cfRule type="expression" priority="219" id="{00C0002C-00B8-44EC-BB2C-005C00DF0046}">
            <xm:f>$B21&lt;&gt;#REF!</xm:f>
            <x14:dxf>
              <border>
                <left style="none"/>
                <right style="none"/>
                <top style="none"/>
                <bottom style="thin">
                  <color auto="1"/>
                </bottom>
                <diagonal/>
                <vertical style="none"/>
                <horizontal style="none"/>
              </border>
            </x14:dxf>
          </x14:cfRule>
          <xm:sqref>A21:B21 K21:M21</xm:sqref>
        </x14:conditionalFormatting>
        <x14:conditionalFormatting xmlns:xm="http://schemas.microsoft.com/office/excel/2006/main">
          <x14:cfRule type="expression" priority="217" id="{007D0098-009A-4D5F-9CDD-00A100C500F6}">
            <xm:f>$B6&lt;&gt;$B8</xm:f>
            <x14:dxf>
              <border>
                <left style="none"/>
                <right style="none"/>
                <top style="none"/>
                <bottom style="thin">
                  <color auto="1"/>
                </bottom>
                <diagonal/>
                <vertical style="none"/>
                <horizontal style="none"/>
              </border>
            </x14:dxf>
          </x14:cfRule>
          <xm:sqref>A6:M7 A26 C26:D26 F26 I26 K26:M26 K34:M35 A34:A35 F34:I34 I35 A44:J44 A46:J49</xm:sqref>
        </x14:conditionalFormatting>
        <x14:conditionalFormatting xmlns:xm="http://schemas.microsoft.com/office/excel/2006/main">
          <x14:cfRule type="expression" priority="209" id="{0027005D-00F4-4DA6-BCEB-000F003500F0}">
            <xm:f>$B3&lt;&gt;$B4</xm:f>
            <x14:dxf>
              <border>
                <left style="none"/>
                <right style="none"/>
                <top style="none"/>
                <bottom style="thin">
                  <color auto="1"/>
                </bottom>
                <diagonal/>
                <vertical style="none"/>
                <horizontal style="none"/>
              </border>
            </x14:dxf>
          </x14:cfRule>
          <xm:sqref>A14:B14 A3:M5 A18:B20 A28:I28 A8:M8 A15 K14:M15 K18:M20 B15:B16 J17:J21 E26 G26:H26 A27 C27:I27 K27:M28 B39:B42 D39:D42 I39:J42 A53:J59 A60:D71 F60:F71 H60:J71 A72:J72 A73:D75 F73:F75 A76:F76 I73:J76 A77:J77 A78:C79 I78:J79 B82:C87 I82:J87 A50:J51 A43:J43 B91:C92 I91:J92 A10:M11 A12:I12 K12:M12 A102:J238 A98:E101 H98:J99 I100:J101 A94:A96 C95:J96</xm:sqref>
        </x14:conditionalFormatting>
        <x14:conditionalFormatting xmlns:xm="http://schemas.microsoft.com/office/excel/2006/main">
          <x14:cfRule type="expression" priority="206" id="{00C70090-008A-4E80-8590-005F00AE004A}">
            <xm:f>$B16&lt;&gt;$B17</xm:f>
            <x14:dxf>
              <border>
                <left style="none"/>
                <right style="none"/>
                <top style="none"/>
                <bottom style="thin">
                  <color auto="1"/>
                </bottom>
                <diagonal/>
                <vertical style="none"/>
                <horizontal style="none"/>
              </border>
            </x14:dxf>
          </x14:cfRule>
          <xm:sqref>A16 K16:M16</xm:sqref>
        </x14:conditionalFormatting>
        <x14:conditionalFormatting xmlns:xm="http://schemas.microsoft.com/office/excel/2006/main">
          <x14:cfRule type="expression" priority="187" id="{009B0016-00FC-49A4-8A13-00D000EC0069}">
            <xm:f>$B14&lt;&gt;$B15</xm:f>
            <x14:dxf>
              <border>
                <left style="none"/>
                <right style="none"/>
                <top style="none"/>
                <bottom style="thin">
                  <color auto="1"/>
                </bottom>
                <diagonal/>
                <vertical style="none"/>
                <horizontal style="none"/>
              </border>
            </x14:dxf>
          </x14:cfRule>
          <xm:sqref>C14:J15 C16:I16</xm:sqref>
        </x14:conditionalFormatting>
        <x14:conditionalFormatting xmlns:xm="http://schemas.microsoft.com/office/excel/2006/main">
          <x14:cfRule type="expression" priority="172" id="{0042009D-003F-4352-A0C6-00A600B800C1}">
            <xm:f>$B18&lt;&gt;$B19</xm:f>
            <x14:dxf>
              <border>
                <left style="none"/>
                <right style="none"/>
                <top style="none"/>
                <bottom style="thin">
                  <color auto="1"/>
                </bottom>
                <diagonal/>
                <vertical style="none"/>
                <horizontal style="none"/>
              </border>
            </x14:dxf>
          </x14:cfRule>
          <xm:sqref>C18:J20</xm:sqref>
        </x14:conditionalFormatting>
        <x14:conditionalFormatting xmlns:xm="http://schemas.microsoft.com/office/excel/2006/main">
          <x14:cfRule type="expression" priority="170" id="{00EB0042-0079-4BA1-8709-001C00AC0074}">
            <xm:f>$B29&lt;&gt;#REF!</xm:f>
            <x14:dxf>
              <border>
                <left style="none"/>
                <right style="none"/>
                <top style="none"/>
                <bottom style="thin">
                  <color auto="1"/>
                </bottom>
                <diagonal/>
                <vertical style="none"/>
                <horizontal style="none"/>
              </border>
            </x14:dxf>
          </x14:cfRule>
          <xm:sqref>K29:M29</xm:sqref>
        </x14:conditionalFormatting>
        <x14:conditionalFormatting xmlns:xm="http://schemas.microsoft.com/office/excel/2006/main">
          <x14:cfRule type="expression" priority="166" id="{0095006F-0077-4B2C-8B9D-00E700A10027}">
            <xm:f>$B29&lt;&gt;$B30</xm:f>
            <x14:dxf>
              <border>
                <left style="none"/>
                <right style="none"/>
                <top style="none"/>
                <bottom style="thin">
                  <color auto="1"/>
                </bottom>
                <diagonal/>
                <vertical style="none"/>
                <horizontal style="none"/>
              </border>
            </x14:dxf>
          </x14:cfRule>
          <xm:sqref>A29</xm:sqref>
        </x14:conditionalFormatting>
        <x14:conditionalFormatting xmlns:xm="http://schemas.microsoft.com/office/excel/2006/main">
          <x14:cfRule type="expression" priority="165" id="{00FD00A3-0002-4F3B-A459-00EB003F0063}">
            <xm:f>$B29&lt;&gt;$B30</xm:f>
            <x14:dxf>
              <border>
                <left style="none"/>
                <right style="none"/>
                <top style="none"/>
                <bottom style="thin">
                  <color auto="1"/>
                </bottom>
                <diagonal/>
                <vertical style="none"/>
                <horizontal style="none"/>
              </border>
            </x14:dxf>
          </x14:cfRule>
          <xm:sqref>F29:I29</xm:sqref>
        </x14:conditionalFormatting>
        <x14:conditionalFormatting xmlns:xm="http://schemas.microsoft.com/office/excel/2006/main">
          <x14:cfRule type="expression" priority="164" id="{00FC004F-00BB-4888-BF8D-001D004900BA}">
            <xm:f>$B29&lt;&gt;$B31</xm:f>
            <x14:dxf>
              <border>
                <left style="none"/>
                <right style="none"/>
                <top style="none"/>
                <bottom style="thin">
                  <color auto="1"/>
                </bottom>
                <diagonal/>
                <vertical style="none"/>
                <horizontal style="none"/>
              </border>
            </x14:dxf>
          </x14:cfRule>
          <xm:sqref>C29:E29</xm:sqref>
        </x14:conditionalFormatting>
        <x14:conditionalFormatting xmlns:xm="http://schemas.microsoft.com/office/excel/2006/main">
          <x14:cfRule type="expression" priority="162" id="{000C00F3-0059-41E5-BCEF-0017006B0067}">
            <xm:f>$B29&lt;&gt;$B30</xm:f>
            <x14:dxf>
              <border>
                <left style="none"/>
                <right style="none"/>
                <top style="none"/>
                <bottom style="thin">
                  <color auto="1"/>
                </bottom>
                <diagonal/>
                <vertical style="none"/>
                <horizontal style="none"/>
              </border>
            </x14:dxf>
          </x14:cfRule>
          <xm:sqref>B29</xm:sqref>
        </x14:conditionalFormatting>
        <x14:conditionalFormatting xmlns:xm="http://schemas.microsoft.com/office/excel/2006/main">
          <x14:cfRule type="expression" priority="161" id="{00B600BC-0023-4852-A93D-00B400DB00FA}">
            <xm:f>$B30&lt;&gt;$B31</xm:f>
            <x14:dxf>
              <border>
                <left style="none"/>
                <right style="none"/>
                <top style="none"/>
                <bottom style="thin">
                  <color auto="1"/>
                </bottom>
                <diagonal/>
                <vertical style="none"/>
                <horizontal style="none"/>
              </border>
            </x14:dxf>
          </x14:cfRule>
          <xm:sqref>A30:A33 K30:M33</xm:sqref>
        </x14:conditionalFormatting>
        <x14:conditionalFormatting xmlns:xm="http://schemas.microsoft.com/office/excel/2006/main">
          <x14:cfRule type="expression" priority="160" id="{0063009B-0061-4EA9-9282-00BE00A70062}">
            <xm:f>$B31&lt;&gt;$B32</xm:f>
            <x14:dxf>
              <border>
                <left style="none"/>
                <right style="none"/>
                <top style="none"/>
                <bottom style="thin">
                  <color auto="1"/>
                </bottom>
                <diagonal/>
                <vertical style="none"/>
                <horizontal style="none"/>
              </border>
            </x14:dxf>
          </x14:cfRule>
          <xm:sqref>C31:J31 F32:J32 F33:I33</xm:sqref>
        </x14:conditionalFormatting>
        <x14:conditionalFormatting xmlns:xm="http://schemas.microsoft.com/office/excel/2006/main">
          <x14:cfRule type="expression" priority="159" id="{00DB002F-00BF-4D73-9786-007000B800AA}">
            <xm:f>$B30&lt;&gt;$B31</xm:f>
            <x14:dxf>
              <border>
                <left style="none"/>
                <right style="none"/>
                <top style="none"/>
                <bottom style="thin">
                  <color auto="1"/>
                </bottom>
                <diagonal/>
                <vertical style="none"/>
                <horizontal style="none"/>
              </border>
            </x14:dxf>
          </x14:cfRule>
          <xm:sqref>B30 F30:I30</xm:sqref>
        </x14:conditionalFormatting>
        <x14:conditionalFormatting xmlns:xm="http://schemas.microsoft.com/office/excel/2006/main">
          <x14:cfRule type="expression" priority="158" id="{009A001C-00D7-499F-B039-00E30046002A}">
            <xm:f>$B30&lt;&gt;$B31</xm:f>
            <x14:dxf>
              <border>
                <left style="none"/>
                <right style="none"/>
                <top style="none"/>
                <bottom style="thin">
                  <color auto="1"/>
                </bottom>
                <diagonal/>
                <vertical style="none"/>
                <horizontal style="none"/>
              </border>
            </x14:dxf>
          </x14:cfRule>
          <xm:sqref>C30:E30</xm:sqref>
        </x14:conditionalFormatting>
        <x14:conditionalFormatting xmlns:xm="http://schemas.microsoft.com/office/excel/2006/main">
          <x14:cfRule type="expression" priority="157" id="{005600BA-007C-4CF4-B528-00C000D000B2}">
            <xm:f>$B33&lt;&gt;$B36</xm:f>
            <x14:dxf>
              <border>
                <left style="none"/>
                <right style="none"/>
                <top style="none"/>
                <bottom style="thin">
                  <color auto="1"/>
                </bottom>
                <diagonal/>
                <vertical style="none"/>
                <horizontal style="none"/>
              </border>
            </x14:dxf>
          </x14:cfRule>
          <xm:sqref>C33:E33</xm:sqref>
        </x14:conditionalFormatting>
        <x14:conditionalFormatting xmlns:xm="http://schemas.microsoft.com/office/excel/2006/main">
          <x14:cfRule type="expression" priority="156" id="{00840031-008F-42D9-AABE-00F400780024}">
            <xm:f>$B32&lt;&gt;$B33</xm:f>
            <x14:dxf>
              <border>
                <left style="none"/>
                <right style="none"/>
                <top style="none"/>
                <bottom style="thin">
                  <color auto="1"/>
                </bottom>
                <diagonal/>
                <vertical style="none"/>
                <horizontal style="none"/>
              </border>
            </x14:dxf>
          </x14:cfRule>
          <xm:sqref>C32:E32</xm:sqref>
        </x14:conditionalFormatting>
        <x14:conditionalFormatting xmlns:xm="http://schemas.microsoft.com/office/excel/2006/main">
          <x14:cfRule type="expression" priority="155" id="{008A0096-00E6-4E60-9F32-00B700A10048}">
            <xm:f>$B30&lt;&gt;$B31</xm:f>
            <x14:dxf>
              <border>
                <left style="none"/>
                <right style="none"/>
                <top style="none"/>
                <bottom style="thin">
                  <color auto="1"/>
                </bottom>
                <diagonal/>
                <vertical style="none"/>
                <horizontal style="none"/>
              </border>
            </x14:dxf>
          </x14:cfRule>
          <xm:sqref>J30</xm:sqref>
        </x14:conditionalFormatting>
        <x14:conditionalFormatting xmlns:xm="http://schemas.microsoft.com/office/excel/2006/main">
          <x14:cfRule type="expression" priority="154" id="{00030066-00B6-4151-B486-009A007A002D}">
            <xm:f>$B33&lt;&gt;$B36</xm:f>
            <x14:dxf>
              <border>
                <left style="none"/>
                <right style="none"/>
                <top style="none"/>
                <bottom style="thin">
                  <color auto="1"/>
                </bottom>
                <diagonal/>
                <vertical style="none"/>
                <horizontal style="none"/>
              </border>
            </x14:dxf>
          </x14:cfRule>
          <xm:sqref>J33</xm:sqref>
        </x14:conditionalFormatting>
        <x14:conditionalFormatting xmlns:xm="http://schemas.microsoft.com/office/excel/2006/main">
          <x14:cfRule type="expression" priority="150" id="{00C700D1-00C2-42A3-8A5D-000700270086}">
            <xm:f>$B31&lt;&gt;$B32</xm:f>
            <x14:dxf>
              <border>
                <left style="none"/>
                <right style="none"/>
                <top style="none"/>
                <bottom style="thin">
                  <color auto="1"/>
                </bottom>
                <diagonal/>
                <vertical style="none"/>
                <horizontal style="none"/>
              </border>
            </x14:dxf>
          </x14:cfRule>
          <xm:sqref>B31</xm:sqref>
        </x14:conditionalFormatting>
        <x14:conditionalFormatting xmlns:xm="http://schemas.microsoft.com/office/excel/2006/main">
          <x14:cfRule type="expression" priority="149" id="{009D0098-00C6-4B55-9313-009500C5003A}">
            <xm:f>$B32&lt;&gt;$B33</xm:f>
            <x14:dxf>
              <border>
                <left style="none"/>
                <right style="none"/>
                <top style="none"/>
                <bottom style="thin">
                  <color auto="1"/>
                </bottom>
                <diagonal/>
                <vertical style="none"/>
                <horizontal style="none"/>
              </border>
            </x14:dxf>
          </x14:cfRule>
          <xm:sqref>B32</xm:sqref>
        </x14:conditionalFormatting>
        <x14:conditionalFormatting xmlns:xm="http://schemas.microsoft.com/office/excel/2006/main">
          <x14:cfRule type="expression" priority="148" id="{00620051-00EF-4C35-8ED1-0058004F0067}">
            <xm:f>$B33&lt;&gt;$B34</xm:f>
            <x14:dxf>
              <border>
                <left style="none"/>
                <right style="none"/>
                <top style="none"/>
                <bottom style="thin">
                  <color auto="1"/>
                </bottom>
                <diagonal/>
                <vertical style="none"/>
                <horizontal style="none"/>
              </border>
            </x14:dxf>
          </x14:cfRule>
          <xm:sqref>B33</xm:sqref>
        </x14:conditionalFormatting>
        <x14:conditionalFormatting xmlns:xm="http://schemas.microsoft.com/office/excel/2006/main">
          <x14:cfRule type="expression" priority="145" id="{002800BD-0095-45A1-954B-002F00EB0069}">
            <xm:f>$B34&lt;&gt;$B36</xm:f>
            <x14:dxf>
              <border>
                <left style="none"/>
                <right style="none"/>
                <top style="none"/>
                <bottom style="thin">
                  <color auto="1"/>
                </bottom>
                <diagonal/>
                <vertical style="none"/>
                <horizontal style="none"/>
              </border>
            </x14:dxf>
          </x14:cfRule>
          <xm:sqref>B34:B35</xm:sqref>
        </x14:conditionalFormatting>
        <x14:conditionalFormatting xmlns:xm="http://schemas.microsoft.com/office/excel/2006/main">
          <x14:cfRule type="expression" priority="144" id="{00C10027-0073-4D86-B271-00A200C400BC}">
            <xm:f>$B34&lt;&gt;$B36</xm:f>
            <x14:dxf>
              <border>
                <left style="none"/>
                <right style="none"/>
                <top style="none"/>
                <bottom style="thin">
                  <color auto="1"/>
                </bottom>
                <diagonal/>
                <vertical style="none"/>
                <horizontal style="none"/>
              </border>
            </x14:dxf>
          </x14:cfRule>
          <xm:sqref>C34:E34 D35</xm:sqref>
        </x14:conditionalFormatting>
        <x14:conditionalFormatting xmlns:xm="http://schemas.microsoft.com/office/excel/2006/main">
          <x14:cfRule type="expression" priority="141" id="{00E9002B-006D-4382-BF51-00D500BC0039}">
            <xm:f>$B34&lt;&gt;$B36</xm:f>
            <x14:dxf>
              <border>
                <left style="none"/>
                <right style="none"/>
                <top style="none"/>
                <bottom style="thin">
                  <color auto="1"/>
                </bottom>
                <diagonal/>
                <vertical style="none"/>
                <horizontal style="none"/>
              </border>
            </x14:dxf>
          </x14:cfRule>
          <xm:sqref>J34:J35</xm:sqref>
        </x14:conditionalFormatting>
        <x14:conditionalFormatting xmlns:xm="http://schemas.microsoft.com/office/excel/2006/main">
          <x14:cfRule type="expression" priority="133" id="{00DB0054-0002-4172-B9DA-00B0008300BC}">
            <xm:f>$B38&lt;&gt;#REF!</xm:f>
            <x14:dxf>
              <border>
                <left style="none"/>
                <right style="none"/>
                <top style="none"/>
                <bottom style="thin">
                  <color auto="1"/>
                </bottom>
                <diagonal/>
                <vertical style="none"/>
                <horizontal style="none"/>
              </border>
            </x14:dxf>
          </x14:cfRule>
          <xm:sqref>A38 C38:M38</xm:sqref>
        </x14:conditionalFormatting>
        <x14:conditionalFormatting xmlns:xm="http://schemas.microsoft.com/office/excel/2006/main">
          <x14:cfRule type="expression" priority="132" id="{00D500B7-0052-4E18-913E-0095008300ED}">
            <xm:f>$B37&lt;&gt;$B38</xm:f>
            <x14:dxf>
              <border>
                <left style="none"/>
                <right style="none"/>
                <top style="none"/>
                <bottom style="thin">
                  <color auto="1"/>
                </bottom>
                <diagonal/>
                <vertical style="none"/>
                <horizontal style="none"/>
              </border>
            </x14:dxf>
          </x14:cfRule>
          <xm:sqref>A37 K37:M37</xm:sqref>
        </x14:conditionalFormatting>
        <x14:conditionalFormatting xmlns:xm="http://schemas.microsoft.com/office/excel/2006/main">
          <x14:cfRule type="expression" priority="131" id="{0006005E-005C-4ACD-A8A0-003500590017}">
            <xm:f>$B37&lt;&gt;$B38</xm:f>
            <x14:dxf>
              <border>
                <left style="none"/>
                <right style="none"/>
                <top style="none"/>
                <bottom style="thin">
                  <color auto="1"/>
                </bottom>
                <diagonal/>
                <vertical style="none"/>
                <horizontal style="none"/>
              </border>
            </x14:dxf>
          </x14:cfRule>
          <xm:sqref>B37 F37:I37</xm:sqref>
        </x14:conditionalFormatting>
        <x14:conditionalFormatting xmlns:xm="http://schemas.microsoft.com/office/excel/2006/main">
          <x14:cfRule type="expression" priority="130" id="{005C0085-00BF-4AA0-835F-009400330019}">
            <xm:f>$B37&lt;&gt;$B38</xm:f>
            <x14:dxf>
              <border>
                <left style="none"/>
                <right style="none"/>
                <top style="none"/>
                <bottom style="thin">
                  <color auto="1"/>
                </bottom>
                <diagonal/>
                <vertical style="none"/>
                <horizontal style="none"/>
              </border>
            </x14:dxf>
          </x14:cfRule>
          <xm:sqref>C37:E37</xm:sqref>
        </x14:conditionalFormatting>
        <x14:conditionalFormatting xmlns:xm="http://schemas.microsoft.com/office/excel/2006/main">
          <x14:cfRule type="expression" priority="129" id="{00250090-00A2-4637-B7CA-004E00350042}">
            <xm:f>$B37&lt;&gt;$B38</xm:f>
            <x14:dxf>
              <border>
                <left style="none"/>
                <right style="none"/>
                <top style="none"/>
                <bottom style="thin">
                  <color auto="1"/>
                </bottom>
                <diagonal/>
                <vertical style="none"/>
                <horizontal style="none"/>
              </border>
            </x14:dxf>
          </x14:cfRule>
          <xm:sqref>J37</xm:sqref>
        </x14:conditionalFormatting>
        <x14:conditionalFormatting xmlns:xm="http://schemas.microsoft.com/office/excel/2006/main">
          <x14:cfRule type="expression" priority="128" id="{008F0012-006B-4878-A32E-00B400260025}">
            <xm:f>$B38&lt;&gt;$B39</xm:f>
            <x14:dxf>
              <border>
                <left style="none"/>
                <right style="none"/>
                <top style="none"/>
                <bottom style="thin">
                  <color auto="1"/>
                </bottom>
                <diagonal/>
                <vertical style="none"/>
                <horizontal style="none"/>
              </border>
            </x14:dxf>
          </x14:cfRule>
          <xm:sqref>B38</xm:sqref>
        </x14:conditionalFormatting>
        <x14:conditionalFormatting xmlns:xm="http://schemas.microsoft.com/office/excel/2006/main">
          <x14:cfRule type="expression" priority="123" id="{00BD0097-008B-41A4-92D7-002D004700C4}">
            <xm:f>$B16&lt;&gt;#REF!</xm:f>
            <x14:dxf>
              <border>
                <left style="none"/>
                <right style="none"/>
                <top style="none"/>
                <bottom style="thin">
                  <color auto="1"/>
                </bottom>
                <diagonal/>
                <vertical style="none"/>
                <horizontal style="none"/>
              </border>
            </x14:dxf>
          </x14:cfRule>
          <xm:sqref>J16</xm:sqref>
        </x14:conditionalFormatting>
        <x14:conditionalFormatting xmlns:xm="http://schemas.microsoft.com/office/excel/2006/main">
          <x14:cfRule type="expression" priority="117" id="{002D00BC-00DD-4EEA-8A88-0058002B00BF}">
            <xm:f>$B23&lt;&gt;$B26</xm:f>
            <x14:dxf>
              <border>
                <left style="none"/>
                <right style="none"/>
                <top style="none"/>
                <bottom style="thin">
                  <color auto="1"/>
                </bottom>
                <diagonal/>
                <vertical style="none"/>
                <horizontal style="none"/>
              </border>
            </x14:dxf>
          </x14:cfRule>
          <xm:sqref>E23 B26</xm:sqref>
        </x14:conditionalFormatting>
        <x14:conditionalFormatting xmlns:xm="http://schemas.microsoft.com/office/excel/2006/main">
          <x14:cfRule type="expression" priority="114" id="{00D1006F-0072-45AC-A9D2-00E2000A0013}">
            <xm:f>$B23&lt;&gt;$B26</xm:f>
            <x14:dxf>
              <border>
                <left style="none"/>
                <right style="none"/>
                <top style="none"/>
                <bottom style="thin">
                  <color auto="1"/>
                </bottom>
                <diagonal/>
                <vertical style="none"/>
                <horizontal style="none"/>
              </border>
            </x14:dxf>
          </x14:cfRule>
          <xm:sqref>G23:H23</xm:sqref>
        </x14:conditionalFormatting>
        <x14:conditionalFormatting xmlns:xm="http://schemas.microsoft.com/office/excel/2006/main">
          <x14:cfRule type="expression" priority="111" id="{005300A0-0021-4F8E-8AFA-000E00230098}">
            <xm:f>$B27&lt;&gt;$B31</xm:f>
            <x14:dxf>
              <border>
                <left style="none"/>
                <right style="none"/>
                <top style="none"/>
                <bottom style="thin">
                  <color auto="1"/>
                </bottom>
                <diagonal/>
                <vertical style="none"/>
                <horizontal style="none"/>
              </border>
            </x14:dxf>
          </x14:cfRule>
          <xm:sqref>B27</xm:sqref>
        </x14:conditionalFormatting>
        <x14:conditionalFormatting xmlns:xm="http://schemas.microsoft.com/office/excel/2006/main">
          <x14:cfRule type="expression" priority="110" id="{001800C9-007C-4959-AFE7-00E400CD0068}">
            <xm:f>$B25&lt;&gt;$B29</xm:f>
            <x14:dxf>
              <border>
                <left style="none"/>
                <right style="none"/>
                <top style="none"/>
                <bottom style="thin">
                  <color auto="1"/>
                </bottom>
                <diagonal/>
                <vertical style="none"/>
                <horizontal style="none"/>
              </border>
            </x14:dxf>
          </x14:cfRule>
          <xm:sqref>C25</xm:sqref>
        </x14:conditionalFormatting>
        <x14:conditionalFormatting xmlns:xm="http://schemas.microsoft.com/office/excel/2006/main">
          <x14:cfRule type="expression" priority="109" id="{001200BF-0033-4EFF-8AC8-0077002200A7}">
            <xm:f>$B22&lt;&gt;#REF!</xm:f>
            <x14:dxf>
              <border>
                <left style="none"/>
                <right style="none"/>
                <top style="none"/>
                <bottom style="thin">
                  <color auto="1"/>
                </bottom>
                <diagonal/>
                <vertical style="none"/>
                <horizontal style="none"/>
              </border>
            </x14:dxf>
          </x14:cfRule>
          <xm:sqref>J22:J29</xm:sqref>
        </x14:conditionalFormatting>
        <x14:conditionalFormatting xmlns:xm="http://schemas.microsoft.com/office/excel/2006/main">
          <x14:cfRule type="expression" priority="108" id="{00AC00BA-00CC-4113-A6D1-005D00A1003D}">
            <xm:f>$B39&lt;&gt;#REF!</xm:f>
            <x14:dxf>
              <border>
                <left style="none"/>
                <right style="none"/>
                <top style="none"/>
                <bottom style="thin">
                  <color auto="1"/>
                </bottom>
                <diagonal/>
                <vertical style="none"/>
                <horizontal style="none"/>
              </border>
            </x14:dxf>
          </x14:cfRule>
          <xm:sqref>A39</xm:sqref>
        </x14:conditionalFormatting>
        <x14:conditionalFormatting xmlns:xm="http://schemas.microsoft.com/office/excel/2006/main">
          <x14:cfRule type="expression" priority="107" id="{005200D1-005D-4AEA-9E78-00BD00C900F0}">
            <xm:f>$B40&lt;&gt;#REF!</xm:f>
            <x14:dxf>
              <border>
                <left style="none"/>
                <right style="none"/>
                <top style="none"/>
                <bottom style="thin">
                  <color auto="1"/>
                </bottom>
                <diagonal/>
                <vertical style="none"/>
                <horizontal style="none"/>
              </border>
            </x14:dxf>
          </x14:cfRule>
          <xm:sqref>A40</xm:sqref>
        </x14:conditionalFormatting>
        <x14:conditionalFormatting xmlns:xm="http://schemas.microsoft.com/office/excel/2006/main">
          <x14:cfRule type="expression" priority="106" id="{00D9009C-0028-4632-97CF-005F00B6002B}">
            <xm:f>$B41&lt;&gt;#REF!</xm:f>
            <x14:dxf>
              <border>
                <left style="none"/>
                <right style="none"/>
                <top style="none"/>
                <bottom style="thin">
                  <color auto="1"/>
                </bottom>
                <diagonal/>
                <vertical style="none"/>
                <horizontal style="none"/>
              </border>
            </x14:dxf>
          </x14:cfRule>
          <xm:sqref>A41</xm:sqref>
        </x14:conditionalFormatting>
        <x14:conditionalFormatting xmlns:xm="http://schemas.microsoft.com/office/excel/2006/main">
          <x14:cfRule type="expression" priority="105" id="{0084005C-002A-4D47-B750-006B0013004A}">
            <xm:f>$B42&lt;&gt;#REF!</xm:f>
            <x14:dxf>
              <border>
                <left style="none"/>
                <right style="none"/>
                <top style="none"/>
                <bottom style="thin">
                  <color auto="1"/>
                </bottom>
                <diagonal/>
                <vertical style="none"/>
                <horizontal style="none"/>
              </border>
            </x14:dxf>
          </x14:cfRule>
          <xm:sqref>A42</xm:sqref>
        </x14:conditionalFormatting>
        <x14:conditionalFormatting xmlns:xm="http://schemas.microsoft.com/office/excel/2006/main">
          <x14:cfRule type="expression" priority="104" id="{0076008B-0028-4B86-A38A-006E00B900CB}">
            <xm:f>$B39&lt;&gt;$B40</xm:f>
            <x14:dxf>
              <border>
                <left style="none"/>
                <right style="none"/>
                <top style="none"/>
                <bottom style="thin">
                  <color auto="1"/>
                </bottom>
                <diagonal/>
                <vertical style="none"/>
                <horizontal style="none"/>
              </border>
            </x14:dxf>
          </x14:cfRule>
          <xm:sqref>C39:C42</xm:sqref>
        </x14:conditionalFormatting>
        <x14:conditionalFormatting xmlns:xm="http://schemas.microsoft.com/office/excel/2006/main">
          <x14:cfRule type="expression" priority="103" id="{00D0002E-00C6-42A5-AFCA-00F4004800F1}">
            <xm:f>$B42&lt;&gt;#REF!</xm:f>
            <x14:dxf>
              <border>
                <left style="none"/>
                <right style="none"/>
                <top style="none"/>
                <bottom style="thin">
                  <color auto="1"/>
                </bottom>
                <diagonal/>
                <vertical style="none"/>
                <horizontal style="none"/>
              </border>
            </x14:dxf>
          </x14:cfRule>
          <xm:sqref>E42:H42</xm:sqref>
        </x14:conditionalFormatting>
        <x14:conditionalFormatting xmlns:xm="http://schemas.microsoft.com/office/excel/2006/main">
          <x14:cfRule type="expression" priority="102" id="{00000087-00F0-43B5-AAF3-0054008D007C}">
            <xm:f>$B39&lt;&gt;$B40</xm:f>
            <x14:dxf>
              <border>
                <left style="none"/>
                <right style="none"/>
                <top style="none"/>
                <bottom style="thin">
                  <color auto="1"/>
                </bottom>
                <diagonal/>
                <vertical style="none"/>
                <horizontal style="none"/>
              </border>
            </x14:dxf>
          </x14:cfRule>
          <xm:sqref>E39:H41</xm:sqref>
        </x14:conditionalFormatting>
        <x14:conditionalFormatting xmlns:xm="http://schemas.microsoft.com/office/excel/2006/main">
          <x14:cfRule type="expression" priority="101" id="{00E900CF-00A6-471D-895A-004A00F30004}">
            <xm:f>$B35&lt;&gt;#REF!</xm:f>
            <x14:dxf>
              <border>
                <left style="none"/>
                <right style="none"/>
                <top style="none"/>
                <bottom style="thin">
                  <color auto="1"/>
                </bottom>
                <diagonal/>
                <vertical style="none"/>
                <horizontal style="none"/>
              </border>
            </x14:dxf>
          </x14:cfRule>
          <xm:sqref>C35</xm:sqref>
        </x14:conditionalFormatting>
        <x14:conditionalFormatting xmlns:xm="http://schemas.microsoft.com/office/excel/2006/main">
          <x14:cfRule type="expression" priority="100" id="{0057005C-0053-4D66-8215-00C8003D0060}">
            <xm:f>$B35&lt;&gt;#REF!</xm:f>
            <x14:dxf>
              <border>
                <left style="none"/>
                <right style="none"/>
                <top style="none"/>
                <bottom style="thin">
                  <color auto="1"/>
                </bottom>
                <diagonal/>
                <vertical style="none"/>
                <horizontal style="none"/>
              </border>
            </x14:dxf>
          </x14:cfRule>
          <xm:sqref>E35:H35</xm:sqref>
        </x14:conditionalFormatting>
        <x14:conditionalFormatting xmlns:xm="http://schemas.microsoft.com/office/excel/2006/main">
          <x14:cfRule type="expression" priority="99" id="{00920011-0061-4C16-A29D-00330050009B}">
            <xm:f>$B66&lt;&gt;#REF!</xm:f>
            <x14:dxf>
              <border>
                <left style="none"/>
                <right style="none"/>
                <top style="none"/>
                <bottom style="thin">
                  <color auto="1"/>
                </bottom>
                <diagonal/>
                <vertical style="none"/>
                <horizontal style="none"/>
              </border>
            </x14:dxf>
          </x14:cfRule>
          <xm:sqref>E66</xm:sqref>
        </x14:conditionalFormatting>
        <x14:conditionalFormatting xmlns:xm="http://schemas.microsoft.com/office/excel/2006/main">
          <x14:cfRule type="expression" priority="98" id="{005A00A3-00C8-4256-9F67-0040006500EE}">
            <xm:f>$B60&lt;&gt;$B61</xm:f>
            <x14:dxf>
              <border>
                <left style="none"/>
                <right style="none"/>
                <top style="none"/>
                <bottom style="thin">
                  <color auto="1"/>
                </bottom>
                <diagonal/>
                <vertical style="none"/>
                <horizontal style="none"/>
              </border>
            </x14:dxf>
          </x14:cfRule>
          <xm:sqref>E60:E65 E67:E71</xm:sqref>
        </x14:conditionalFormatting>
        <x14:conditionalFormatting xmlns:xm="http://schemas.microsoft.com/office/excel/2006/main">
          <x14:cfRule type="expression" priority="97" id="{00F400C1-0074-4194-88C1-00A500ED00BB}">
            <xm:f>$B66&lt;&gt;#REF!</xm:f>
            <x14:dxf>
              <border>
                <left style="none"/>
                <right style="none"/>
                <top style="none"/>
                <bottom style="thin">
                  <color auto="1"/>
                </bottom>
                <diagonal/>
                <vertical style="none"/>
                <horizontal style="none"/>
              </border>
            </x14:dxf>
          </x14:cfRule>
          <xm:sqref>G66</xm:sqref>
        </x14:conditionalFormatting>
        <x14:conditionalFormatting xmlns:xm="http://schemas.microsoft.com/office/excel/2006/main">
          <x14:cfRule type="expression" priority="96" id="{0077006F-0036-49DC-90E0-00DA008900B2}">
            <xm:f>$B60&lt;&gt;$B61</xm:f>
            <x14:dxf>
              <border>
                <left style="none"/>
                <right style="none"/>
                <top style="none"/>
                <bottom style="thin">
                  <color auto="1"/>
                </bottom>
                <diagonal/>
                <vertical style="none"/>
                <horizontal style="none"/>
              </border>
            </x14:dxf>
          </x14:cfRule>
          <xm:sqref>G60:G65 G67:G71</xm:sqref>
        </x14:conditionalFormatting>
        <x14:conditionalFormatting xmlns:xm="http://schemas.microsoft.com/office/excel/2006/main">
          <x14:cfRule type="expression" priority="95" id="{00F1002F-00C9-4C03-869C-00B800A20086}">
            <xm:f>$B73&lt;&gt;$B74</xm:f>
            <x14:dxf>
              <border>
                <left style="none"/>
                <right style="none"/>
                <top style="none"/>
                <bottom style="thin">
                  <color auto="1"/>
                </bottom>
                <diagonal/>
                <vertical style="none"/>
                <horizontal style="none"/>
              </border>
            </x14:dxf>
          </x14:cfRule>
          <xm:sqref>E73:E75</xm:sqref>
        </x14:conditionalFormatting>
        <x14:conditionalFormatting xmlns:xm="http://schemas.microsoft.com/office/excel/2006/main">
          <x14:cfRule type="expression" priority="94" id="{00F300DE-0038-4338-801E-00950070002E}">
            <xm:f>$B73&lt;&gt;$B74</xm:f>
            <x14:dxf>
              <border>
                <left style="none"/>
                <right style="none"/>
                <top style="none"/>
                <bottom style="thin">
                  <color auto="1"/>
                </bottom>
                <diagonal/>
                <vertical style="none"/>
                <horizontal style="none"/>
              </border>
            </x14:dxf>
          </x14:cfRule>
          <xm:sqref>H73:H74</xm:sqref>
        </x14:conditionalFormatting>
        <x14:conditionalFormatting xmlns:xm="http://schemas.microsoft.com/office/excel/2006/main">
          <x14:cfRule type="expression" priority="93" id="{00AA00AE-008D-45F8-A806-00CB00830026}">
            <xm:f>$B73&lt;&gt;$B74</xm:f>
            <x14:dxf>
              <border>
                <left style="none"/>
                <right style="none"/>
                <top style="none"/>
                <bottom style="thin">
                  <color auto="1"/>
                </bottom>
                <diagonal/>
                <vertical style="none"/>
                <horizontal style="none"/>
              </border>
            </x14:dxf>
          </x14:cfRule>
          <xm:sqref>G73:G74</xm:sqref>
        </x14:conditionalFormatting>
        <x14:conditionalFormatting xmlns:xm="http://schemas.microsoft.com/office/excel/2006/main">
          <x14:cfRule type="expression" priority="92" id="{0044006A-0031-4CBE-B3B7-00C200880016}">
            <xm:f>$B75&lt;&gt;$B76</xm:f>
            <x14:dxf>
              <border>
                <left style="none"/>
                <right style="none"/>
                <top style="none"/>
                <bottom style="thin">
                  <color auto="1"/>
                </bottom>
                <diagonal/>
                <vertical style="none"/>
                <horizontal style="none"/>
              </border>
            </x14:dxf>
          </x14:cfRule>
          <xm:sqref>H75:H76</xm:sqref>
        </x14:conditionalFormatting>
        <x14:conditionalFormatting xmlns:xm="http://schemas.microsoft.com/office/excel/2006/main">
          <x14:cfRule type="expression" priority="91" id="{001A00C9-0011-4CEB-AE93-00E1002200D4}">
            <xm:f>$B75&lt;&gt;$B76</xm:f>
            <x14:dxf>
              <border>
                <left style="none"/>
                <right style="none"/>
                <top style="none"/>
                <bottom style="thin">
                  <color auto="1"/>
                </bottom>
                <diagonal/>
                <vertical style="none"/>
                <horizontal style="none"/>
              </border>
            </x14:dxf>
          </x14:cfRule>
          <xm:sqref>G75:G76</xm:sqref>
        </x14:conditionalFormatting>
        <x14:conditionalFormatting xmlns:xm="http://schemas.microsoft.com/office/excel/2006/main">
          <x14:cfRule type="expression" priority="90" id="{00BC00AC-007D-4C96-96D9-009E005E0081}">
            <xm:f>$B78&lt;&gt;$B79</xm:f>
            <x14:dxf>
              <border>
                <left style="none"/>
                <right style="none"/>
                <top style="none"/>
                <bottom style="thin">
                  <color auto="1"/>
                </bottom>
                <diagonal/>
                <vertical style="none"/>
                <horizontal style="none"/>
              </border>
            </x14:dxf>
          </x14:cfRule>
          <xm:sqref>D78 F78 D79:F79</xm:sqref>
        </x14:conditionalFormatting>
        <x14:conditionalFormatting xmlns:xm="http://schemas.microsoft.com/office/excel/2006/main">
          <x14:cfRule type="expression" priority="89" id="{001B00A2-0024-4A04-9341-007600770000}">
            <xm:f>$B78&lt;&gt;$B79</xm:f>
            <x14:dxf>
              <border>
                <left style="none"/>
                <right style="none"/>
                <top style="none"/>
                <bottom style="thin">
                  <color auto="1"/>
                </bottom>
                <diagonal/>
                <vertical style="none"/>
                <horizontal style="none"/>
              </border>
            </x14:dxf>
          </x14:cfRule>
          <xm:sqref>E78</xm:sqref>
        </x14:conditionalFormatting>
        <x14:conditionalFormatting xmlns:xm="http://schemas.microsoft.com/office/excel/2006/main">
          <x14:cfRule type="expression" priority="88" id="{006A00AF-0078-4596-B75F-000E006400AC}">
            <xm:f>$B78&lt;&gt;$B79</xm:f>
            <x14:dxf>
              <border>
                <left style="none"/>
                <right style="none"/>
                <top style="none"/>
                <bottom style="thin">
                  <color auto="1"/>
                </bottom>
                <diagonal/>
                <vertical style="none"/>
                <horizontal style="none"/>
              </border>
            </x14:dxf>
          </x14:cfRule>
          <xm:sqref>H78:H79</xm:sqref>
        </x14:conditionalFormatting>
        <x14:conditionalFormatting xmlns:xm="http://schemas.microsoft.com/office/excel/2006/main">
          <x14:cfRule type="expression" priority="87" id="{002200A0-000A-4EA1-B850-00410090009B}">
            <xm:f>$B78&lt;&gt;$B79</xm:f>
            <x14:dxf>
              <border>
                <left style="none"/>
                <right style="none"/>
                <top style="none"/>
                <bottom style="thin">
                  <color auto="1"/>
                </bottom>
                <diagonal/>
                <vertical style="none"/>
                <horizontal style="none"/>
              </border>
            </x14:dxf>
          </x14:cfRule>
          <xm:sqref>G78:G79</xm:sqref>
        </x14:conditionalFormatting>
        <x14:conditionalFormatting xmlns:xm="http://schemas.microsoft.com/office/excel/2006/main">
          <x14:cfRule type="expression" priority="86" id="{00BC00BB-0087-41BC-A1FC-00DB003F0068}">
            <xm:f>$B80&lt;&gt;$B81</xm:f>
            <x14:dxf>
              <border>
                <left style="none"/>
                <right style="none"/>
                <top style="none"/>
                <bottom style="thin">
                  <color auto="1"/>
                </bottom>
                <diagonal/>
                <vertical style="none"/>
                <horizontal style="none"/>
              </border>
            </x14:dxf>
          </x14:cfRule>
          <xm:sqref>I80:J81 A80:C81</xm:sqref>
        </x14:conditionalFormatting>
        <x14:conditionalFormatting xmlns:xm="http://schemas.microsoft.com/office/excel/2006/main">
          <x14:cfRule type="expression" priority="85" id="{0003001E-0057-4756-A7EF-00B5003200FF}">
            <xm:f>$B80&lt;&gt;$B81</xm:f>
            <x14:dxf>
              <border>
                <left style="none"/>
                <right style="none"/>
                <top style="none"/>
                <bottom style="thin">
                  <color auto="1"/>
                </bottom>
                <diagonal/>
                <vertical style="none"/>
                <horizontal style="none"/>
              </border>
            </x14:dxf>
          </x14:cfRule>
          <xm:sqref>D80 F80 D81:F81</xm:sqref>
        </x14:conditionalFormatting>
        <x14:conditionalFormatting xmlns:xm="http://schemas.microsoft.com/office/excel/2006/main">
          <x14:cfRule type="expression" priority="84" id="{004000BC-001C-4FA5-98BB-006D002C00BC}">
            <xm:f>$B80&lt;&gt;$B81</xm:f>
            <x14:dxf>
              <border>
                <left style="none"/>
                <right style="none"/>
                <top style="none"/>
                <bottom style="thin">
                  <color auto="1"/>
                </bottom>
                <diagonal/>
                <vertical style="none"/>
                <horizontal style="none"/>
              </border>
            </x14:dxf>
          </x14:cfRule>
          <xm:sqref>E80</xm:sqref>
        </x14:conditionalFormatting>
        <x14:conditionalFormatting xmlns:xm="http://schemas.microsoft.com/office/excel/2006/main">
          <x14:cfRule type="expression" priority="83" id="{00700071-0067-4D08-96BF-00C600FD00AD}">
            <xm:f>$B80&lt;&gt;$B81</xm:f>
            <x14:dxf>
              <border>
                <left style="none"/>
                <right style="none"/>
                <top style="none"/>
                <bottom style="thin">
                  <color auto="1"/>
                </bottom>
                <diagonal/>
                <vertical style="none"/>
                <horizontal style="none"/>
              </border>
            </x14:dxf>
          </x14:cfRule>
          <xm:sqref>H80:H81</xm:sqref>
        </x14:conditionalFormatting>
        <x14:conditionalFormatting xmlns:xm="http://schemas.microsoft.com/office/excel/2006/main">
          <x14:cfRule type="expression" priority="82" id="{00D3001E-002B-41D4-975F-006F004C00A6}">
            <xm:f>$B80&lt;&gt;$B81</xm:f>
            <x14:dxf>
              <border>
                <left style="none"/>
                <right style="none"/>
                <top style="none"/>
                <bottom style="thin">
                  <color auto="1"/>
                </bottom>
                <diagonal/>
                <vertical style="none"/>
                <horizontal style="none"/>
              </border>
            </x14:dxf>
          </x14:cfRule>
          <xm:sqref>G80:G81</xm:sqref>
        </x14:conditionalFormatting>
        <x14:conditionalFormatting xmlns:xm="http://schemas.microsoft.com/office/excel/2006/main">
          <x14:cfRule type="expression" priority="81" id="{00E700B6-00F5-482B-B762-00D600D3005D}">
            <xm:f>$B82&lt;&gt;$B83</xm:f>
            <x14:dxf>
              <border>
                <left style="none"/>
                <right style="none"/>
                <top style="none"/>
                <bottom style="thin">
                  <color auto="1"/>
                </bottom>
                <diagonal/>
                <vertical style="none"/>
                <horizontal style="none"/>
              </border>
            </x14:dxf>
          </x14:cfRule>
          <xm:sqref>A82</xm:sqref>
        </x14:conditionalFormatting>
        <x14:conditionalFormatting xmlns:xm="http://schemas.microsoft.com/office/excel/2006/main">
          <x14:cfRule type="expression" priority="80" id="{00ED0006-00F5-4640-89A3-003900240021}">
            <xm:f>$B83&lt;&gt;$B84</xm:f>
            <x14:dxf>
              <border>
                <left style="none"/>
                <right style="none"/>
                <top style="none"/>
                <bottom style="thin">
                  <color auto="1"/>
                </bottom>
                <diagonal/>
                <vertical style="none"/>
                <horizontal style="none"/>
              </border>
            </x14:dxf>
          </x14:cfRule>
          <xm:sqref>A83</xm:sqref>
        </x14:conditionalFormatting>
        <x14:conditionalFormatting xmlns:xm="http://schemas.microsoft.com/office/excel/2006/main">
          <x14:cfRule type="expression" priority="79" id="{00DA006B-00AD-4834-9AA1-003C00CD00F2}">
            <xm:f>$B82&lt;&gt;$B83</xm:f>
            <x14:dxf>
              <border>
                <left style="none"/>
                <right style="none"/>
                <top style="none"/>
                <bottom style="thin">
                  <color auto="1"/>
                </bottom>
                <diagonal/>
                <vertical style="none"/>
                <horizontal style="none"/>
              </border>
            </x14:dxf>
          </x14:cfRule>
          <xm:sqref>D82 F82 D83:F83</xm:sqref>
        </x14:conditionalFormatting>
        <x14:conditionalFormatting xmlns:xm="http://schemas.microsoft.com/office/excel/2006/main">
          <x14:cfRule type="expression" priority="78" id="{006200A0-005A-4705-8D0D-003C00DA00F9}">
            <xm:f>$B82&lt;&gt;$B83</xm:f>
            <x14:dxf>
              <border>
                <left style="none"/>
                <right style="none"/>
                <top style="none"/>
                <bottom style="thin">
                  <color auto="1"/>
                </bottom>
                <diagonal/>
                <vertical style="none"/>
                <horizontal style="none"/>
              </border>
            </x14:dxf>
          </x14:cfRule>
          <xm:sqref>E82</xm:sqref>
        </x14:conditionalFormatting>
        <x14:conditionalFormatting xmlns:xm="http://schemas.microsoft.com/office/excel/2006/main">
          <x14:cfRule type="expression" priority="77" id="{008D0040-00CC-426C-BF5F-00160077002E}">
            <xm:f>$B82&lt;&gt;$B83</xm:f>
            <x14:dxf>
              <border>
                <left style="none"/>
                <right style="none"/>
                <top style="none"/>
                <bottom style="thin">
                  <color auto="1"/>
                </bottom>
                <diagonal/>
                <vertical style="none"/>
                <horizontal style="none"/>
              </border>
            </x14:dxf>
          </x14:cfRule>
          <xm:sqref>H82:H83</xm:sqref>
        </x14:conditionalFormatting>
        <x14:conditionalFormatting xmlns:xm="http://schemas.microsoft.com/office/excel/2006/main">
          <x14:cfRule type="expression" priority="76" id="{0060001E-005A-486E-8F12-0054007900F0}">
            <xm:f>$B82&lt;&gt;$B83</xm:f>
            <x14:dxf>
              <border>
                <left style="none"/>
                <right style="none"/>
                <top style="none"/>
                <bottom style="thin">
                  <color auto="1"/>
                </bottom>
                <diagonal/>
                <vertical style="none"/>
                <horizontal style="none"/>
              </border>
            </x14:dxf>
          </x14:cfRule>
          <xm:sqref>G82:G83</xm:sqref>
        </x14:conditionalFormatting>
        <x14:conditionalFormatting xmlns:xm="http://schemas.microsoft.com/office/excel/2006/main">
          <x14:cfRule type="expression" priority="75" id="{00010035-00C6-4307-807B-005B005A0027}">
            <xm:f>$B84&lt;&gt;$B85</xm:f>
            <x14:dxf>
              <border>
                <left style="none"/>
                <right style="none"/>
                <top style="none"/>
                <bottom style="thin">
                  <color auto="1"/>
                </bottom>
                <diagonal/>
                <vertical style="none"/>
                <horizontal style="none"/>
              </border>
            </x14:dxf>
          </x14:cfRule>
          <xm:sqref>A84</xm:sqref>
        </x14:conditionalFormatting>
        <x14:conditionalFormatting xmlns:xm="http://schemas.microsoft.com/office/excel/2006/main">
          <x14:cfRule type="expression" priority="74" id="{00FA0008-006F-44CC-9260-00CE007100A0}">
            <xm:f>$B85&lt;&gt;$B86</xm:f>
            <x14:dxf>
              <border>
                <left style="none"/>
                <right style="none"/>
                <top style="none"/>
                <bottom style="thin">
                  <color auto="1"/>
                </bottom>
                <diagonal/>
                <vertical style="none"/>
                <horizontal style="none"/>
              </border>
            </x14:dxf>
          </x14:cfRule>
          <xm:sqref>A85</xm:sqref>
        </x14:conditionalFormatting>
        <x14:conditionalFormatting xmlns:xm="http://schemas.microsoft.com/office/excel/2006/main">
          <x14:cfRule type="expression" priority="73" id="{00DB00DF-0093-47EB-A535-0053001E00E6}">
            <xm:f>$B86&lt;&gt;$B87</xm:f>
            <x14:dxf>
              <border>
                <left style="none"/>
                <right style="none"/>
                <top style="none"/>
                <bottom style="thin">
                  <color auto="1"/>
                </bottom>
                <diagonal/>
                <vertical style="none"/>
                <horizontal style="none"/>
              </border>
            </x14:dxf>
          </x14:cfRule>
          <xm:sqref>A86</xm:sqref>
        </x14:conditionalFormatting>
        <x14:conditionalFormatting xmlns:xm="http://schemas.microsoft.com/office/excel/2006/main">
          <x14:cfRule type="expression" priority="72" id="{00B500DA-002B-438E-836E-000C0033000C}">
            <xm:f>$B87&lt;&gt;$B88</xm:f>
            <x14:dxf>
              <border>
                <left style="none"/>
                <right style="none"/>
                <top style="none"/>
                <bottom style="thin">
                  <color auto="1"/>
                </bottom>
                <diagonal/>
                <vertical style="none"/>
                <horizontal style="none"/>
              </border>
            </x14:dxf>
          </x14:cfRule>
          <xm:sqref>A87</xm:sqref>
        </x14:conditionalFormatting>
        <x14:conditionalFormatting xmlns:xm="http://schemas.microsoft.com/office/excel/2006/main">
          <x14:cfRule type="expression" priority="71" id="{009C008E-0046-44FB-8001-001100350085}">
            <xm:f>$B84&lt;&gt;$B85</xm:f>
            <x14:dxf>
              <border>
                <left style="none"/>
                <right style="none"/>
                <top style="none"/>
                <bottom style="thin">
                  <color auto="1"/>
                </bottom>
                <diagonal/>
                <vertical style="none"/>
                <horizontal style="none"/>
              </border>
            </x14:dxf>
          </x14:cfRule>
          <xm:sqref>D84 F84</xm:sqref>
        </x14:conditionalFormatting>
        <x14:conditionalFormatting xmlns:xm="http://schemas.microsoft.com/office/excel/2006/main">
          <x14:cfRule type="expression" priority="70" id="{00B1007E-004A-47CB-9846-0042005C00B8}">
            <xm:f>$B84&lt;&gt;$B85</xm:f>
            <x14:dxf>
              <border>
                <left style="none"/>
                <right style="none"/>
                <top style="none"/>
                <bottom style="thin">
                  <color auto="1"/>
                </bottom>
                <diagonal/>
                <vertical style="none"/>
                <horizontal style="none"/>
              </border>
            </x14:dxf>
          </x14:cfRule>
          <xm:sqref>E84</xm:sqref>
        </x14:conditionalFormatting>
        <x14:conditionalFormatting xmlns:xm="http://schemas.microsoft.com/office/excel/2006/main">
          <x14:cfRule type="expression" priority="69" id="{0070002F-00E3-4A64-94B1-000300D10069}">
            <xm:f>$B84&lt;&gt;$B85</xm:f>
            <x14:dxf>
              <border>
                <left style="none"/>
                <right style="none"/>
                <top style="none"/>
                <bottom style="thin">
                  <color auto="1"/>
                </bottom>
                <diagonal/>
                <vertical style="none"/>
                <horizontal style="none"/>
              </border>
            </x14:dxf>
          </x14:cfRule>
          <xm:sqref>H84</xm:sqref>
        </x14:conditionalFormatting>
        <x14:conditionalFormatting xmlns:xm="http://schemas.microsoft.com/office/excel/2006/main">
          <x14:cfRule type="expression" priority="68" id="{00EC005A-00C4-4F67-85A3-00EA003C0016}">
            <xm:f>$B84&lt;&gt;$B85</xm:f>
            <x14:dxf>
              <border>
                <left style="none"/>
                <right style="none"/>
                <top style="none"/>
                <bottom style="thin">
                  <color auto="1"/>
                </bottom>
                <diagonal/>
                <vertical style="none"/>
                <horizontal style="none"/>
              </border>
            </x14:dxf>
          </x14:cfRule>
          <xm:sqref>G84</xm:sqref>
        </x14:conditionalFormatting>
        <x14:conditionalFormatting xmlns:xm="http://schemas.microsoft.com/office/excel/2006/main">
          <x14:cfRule type="expression" priority="67" id="{00690091-0007-48B1-8499-0079006B00FA}">
            <xm:f>$B85&lt;&gt;$B86</xm:f>
            <x14:dxf>
              <border>
                <left style="none"/>
                <right style="none"/>
                <top style="none"/>
                <bottom style="thin">
                  <color auto="1"/>
                </bottom>
                <diagonal/>
                <vertical style="none"/>
                <horizontal style="none"/>
              </border>
            </x14:dxf>
          </x14:cfRule>
          <xm:sqref>D85:F85</xm:sqref>
        </x14:conditionalFormatting>
        <x14:conditionalFormatting xmlns:xm="http://schemas.microsoft.com/office/excel/2006/main">
          <x14:cfRule type="expression" priority="66" id="{008700E1-006B-461E-B680-00ED00D30064}">
            <xm:f>$B85&lt;&gt;$B86</xm:f>
            <x14:dxf>
              <border>
                <left style="none"/>
                <right style="none"/>
                <top style="none"/>
                <bottom style="thin">
                  <color auto="1"/>
                </bottom>
                <diagonal/>
                <vertical style="none"/>
                <horizontal style="none"/>
              </border>
            </x14:dxf>
          </x14:cfRule>
          <xm:sqref>H85</xm:sqref>
        </x14:conditionalFormatting>
        <x14:conditionalFormatting xmlns:xm="http://schemas.microsoft.com/office/excel/2006/main">
          <x14:cfRule type="expression" priority="65" id="{00DE0010-000A-41C7-90ED-00DB00E4003C}">
            <xm:f>$B85&lt;&gt;$B86</xm:f>
            <x14:dxf>
              <border>
                <left style="none"/>
                <right style="none"/>
                <top style="none"/>
                <bottom style="thin">
                  <color auto="1"/>
                </bottom>
                <diagonal/>
                <vertical style="none"/>
                <horizontal style="none"/>
              </border>
            </x14:dxf>
          </x14:cfRule>
          <xm:sqref>G85</xm:sqref>
        </x14:conditionalFormatting>
        <x14:conditionalFormatting xmlns:xm="http://schemas.microsoft.com/office/excel/2006/main">
          <x14:cfRule type="expression" priority="64" id="{00B9009A-00DC-42BF-8EAB-008200FA0046}">
            <xm:f>$B86&lt;&gt;$B87</xm:f>
            <x14:dxf>
              <border>
                <left style="none"/>
                <right style="none"/>
                <top style="none"/>
                <bottom style="thin">
                  <color auto="1"/>
                </bottom>
                <diagonal/>
                <vertical style="none"/>
                <horizontal style="none"/>
              </border>
            </x14:dxf>
          </x14:cfRule>
          <xm:sqref>D86:F86</xm:sqref>
        </x14:conditionalFormatting>
        <x14:conditionalFormatting xmlns:xm="http://schemas.microsoft.com/office/excel/2006/main">
          <x14:cfRule type="expression" priority="63" id="{007F0062-0040-481B-AB12-00AE00130047}">
            <xm:f>$B86&lt;&gt;$B87</xm:f>
            <x14:dxf>
              <border>
                <left style="none"/>
                <right style="none"/>
                <top style="none"/>
                <bottom style="thin">
                  <color auto="1"/>
                </bottom>
                <diagonal/>
                <vertical style="none"/>
                <horizontal style="none"/>
              </border>
            </x14:dxf>
          </x14:cfRule>
          <xm:sqref>H86</xm:sqref>
        </x14:conditionalFormatting>
        <x14:conditionalFormatting xmlns:xm="http://schemas.microsoft.com/office/excel/2006/main">
          <x14:cfRule type="expression" priority="62" id="{00F800B8-008F-4FBB-BABB-00AE00500013}">
            <xm:f>$B86&lt;&gt;$B87</xm:f>
            <x14:dxf>
              <border>
                <left style="none"/>
                <right style="none"/>
                <top style="none"/>
                <bottom style="thin">
                  <color auto="1"/>
                </bottom>
                <diagonal/>
                <vertical style="none"/>
                <horizontal style="none"/>
              </border>
            </x14:dxf>
          </x14:cfRule>
          <xm:sqref>G86</xm:sqref>
        </x14:conditionalFormatting>
        <x14:conditionalFormatting xmlns:xm="http://schemas.microsoft.com/office/excel/2006/main">
          <x14:cfRule type="expression" priority="61" id="{00E40019-00A9-489E-8E60-009800930074}">
            <xm:f>$B87&lt;&gt;$B88</xm:f>
            <x14:dxf>
              <border>
                <left style="none"/>
                <right style="none"/>
                <top style="none"/>
                <bottom style="thin">
                  <color auto="1"/>
                </bottom>
                <diagonal/>
                <vertical style="none"/>
                <horizontal style="none"/>
              </border>
            </x14:dxf>
          </x14:cfRule>
          <xm:sqref>D87:F87</xm:sqref>
        </x14:conditionalFormatting>
        <x14:conditionalFormatting xmlns:xm="http://schemas.microsoft.com/office/excel/2006/main">
          <x14:cfRule type="expression" priority="60" id="{00C0001B-002C-4078-B485-0092009C00A3}">
            <xm:f>$B87&lt;&gt;$B88</xm:f>
            <x14:dxf>
              <border>
                <left style="none"/>
                <right style="none"/>
                <top style="none"/>
                <bottom style="thin">
                  <color auto="1"/>
                </bottom>
                <diagonal/>
                <vertical style="none"/>
                <horizontal style="none"/>
              </border>
            </x14:dxf>
          </x14:cfRule>
          <xm:sqref>H87</xm:sqref>
        </x14:conditionalFormatting>
        <x14:conditionalFormatting xmlns:xm="http://schemas.microsoft.com/office/excel/2006/main">
          <x14:cfRule type="expression" priority="59" id="{001D00D9-001B-4F0A-B383-00B900CA003F}">
            <xm:f>$B87&lt;&gt;$B88</xm:f>
            <x14:dxf>
              <border>
                <left style="none"/>
                <right style="none"/>
                <top style="none"/>
                <bottom style="thin">
                  <color auto="1"/>
                </bottom>
                <diagonal/>
                <vertical style="none"/>
                <horizontal style="none"/>
              </border>
            </x14:dxf>
          </x14:cfRule>
          <xm:sqref>G87</xm:sqref>
        </x14:conditionalFormatting>
        <x14:conditionalFormatting xmlns:xm="http://schemas.microsoft.com/office/excel/2006/main">
          <x14:cfRule type="expression" priority="58" id="{008B001F-0007-4F17-8B2C-004F0088006B}">
            <xm:f>$B88&lt;&gt;$B89</xm:f>
            <x14:dxf>
              <border>
                <left style="none"/>
                <right style="none"/>
                <top style="none"/>
                <bottom style="thin">
                  <color auto="1"/>
                </bottom>
                <diagonal/>
                <vertical style="none"/>
                <horizontal style="none"/>
              </border>
            </x14:dxf>
          </x14:cfRule>
          <xm:sqref>I88:J90 B88:C90</xm:sqref>
        </x14:conditionalFormatting>
        <x14:conditionalFormatting xmlns:xm="http://schemas.microsoft.com/office/excel/2006/main">
          <x14:cfRule type="expression" priority="57" id="{0004001D-00E0-4060-A56A-00C700B7009B}">
            <xm:f>$B88&lt;&gt;$B89</xm:f>
            <x14:dxf>
              <border>
                <left style="none"/>
                <right style="none"/>
                <top style="none"/>
                <bottom style="thin">
                  <color auto="1"/>
                </bottom>
                <diagonal/>
                <vertical style="none"/>
                <horizontal style="none"/>
              </border>
            </x14:dxf>
          </x14:cfRule>
          <xm:sqref>A88</xm:sqref>
        </x14:conditionalFormatting>
        <x14:conditionalFormatting xmlns:xm="http://schemas.microsoft.com/office/excel/2006/main">
          <x14:cfRule type="expression" priority="56" id="{001B00B5-0082-4BDB-AA4D-006600AF007C}">
            <xm:f>$B89&lt;&gt;$B90</xm:f>
            <x14:dxf>
              <border>
                <left style="none"/>
                <right style="none"/>
                <top style="none"/>
                <bottom style="thin">
                  <color auto="1"/>
                </bottom>
                <diagonal/>
                <vertical style="none"/>
                <horizontal style="none"/>
              </border>
            </x14:dxf>
          </x14:cfRule>
          <xm:sqref>A89</xm:sqref>
        </x14:conditionalFormatting>
        <x14:conditionalFormatting xmlns:xm="http://schemas.microsoft.com/office/excel/2006/main">
          <x14:cfRule type="expression" priority="55" id="{00F50073-004F-4789-9C4D-0075006E004C}">
            <xm:f>$B90&lt;&gt;$B91</xm:f>
            <x14:dxf>
              <border>
                <left style="none"/>
                <right style="none"/>
                <top style="none"/>
                <bottom style="thin">
                  <color auto="1"/>
                </bottom>
                <diagonal/>
                <vertical style="none"/>
                <horizontal style="none"/>
              </border>
            </x14:dxf>
          </x14:cfRule>
          <xm:sqref>A90</xm:sqref>
        </x14:conditionalFormatting>
        <x14:conditionalFormatting xmlns:xm="http://schemas.microsoft.com/office/excel/2006/main">
          <x14:cfRule type="expression" priority="54" id="{0065007A-003B-47CA-AE8F-001C00C200D7}">
            <xm:f>$B88&lt;&gt;$B89</xm:f>
            <x14:dxf>
              <border>
                <left style="none"/>
                <right style="none"/>
                <top style="none"/>
                <bottom style="thin">
                  <color auto="1"/>
                </bottom>
                <diagonal/>
                <vertical style="none"/>
                <horizontal style="none"/>
              </border>
            </x14:dxf>
          </x14:cfRule>
          <xm:sqref>D88 F88</xm:sqref>
        </x14:conditionalFormatting>
        <x14:conditionalFormatting xmlns:xm="http://schemas.microsoft.com/office/excel/2006/main">
          <x14:cfRule type="expression" priority="53" id="{009E0057-00BB-4721-8B74-009E004100F2}">
            <xm:f>$B88&lt;&gt;$B89</xm:f>
            <x14:dxf>
              <border>
                <left style="none"/>
                <right style="none"/>
                <top style="none"/>
                <bottom style="thin">
                  <color auto="1"/>
                </bottom>
                <diagonal/>
                <vertical style="none"/>
                <horizontal style="none"/>
              </border>
            </x14:dxf>
          </x14:cfRule>
          <xm:sqref>E88</xm:sqref>
        </x14:conditionalFormatting>
        <x14:conditionalFormatting xmlns:xm="http://schemas.microsoft.com/office/excel/2006/main">
          <x14:cfRule type="expression" priority="52" id="{008B0061-0048-4B3F-A85C-009300BD006B}">
            <xm:f>$B88&lt;&gt;$B89</xm:f>
            <x14:dxf>
              <border>
                <left style="none"/>
                <right style="none"/>
                <top style="none"/>
                <bottom style="thin">
                  <color auto="1"/>
                </bottom>
                <diagonal/>
                <vertical style="none"/>
                <horizontal style="none"/>
              </border>
            </x14:dxf>
          </x14:cfRule>
          <xm:sqref>H88</xm:sqref>
        </x14:conditionalFormatting>
        <x14:conditionalFormatting xmlns:xm="http://schemas.microsoft.com/office/excel/2006/main">
          <x14:cfRule type="expression" priority="51" id="{00FD0034-0055-4726-9766-00E100D700B6}">
            <xm:f>$B88&lt;&gt;$B89</xm:f>
            <x14:dxf>
              <border>
                <left style="none"/>
                <right style="none"/>
                <top style="none"/>
                <bottom style="thin">
                  <color auto="1"/>
                </bottom>
                <diagonal/>
                <vertical style="none"/>
                <horizontal style="none"/>
              </border>
            </x14:dxf>
          </x14:cfRule>
          <xm:sqref>G88</xm:sqref>
        </x14:conditionalFormatting>
        <x14:conditionalFormatting xmlns:xm="http://schemas.microsoft.com/office/excel/2006/main">
          <x14:cfRule type="expression" priority="50" id="{007E0046-0065-488B-BAB4-00EB00500017}">
            <xm:f>$B89&lt;&gt;$B90</xm:f>
            <x14:dxf>
              <border>
                <left style="none"/>
                <right style="none"/>
                <top style="none"/>
                <bottom style="thin">
                  <color auto="1"/>
                </bottom>
                <diagonal/>
                <vertical style="none"/>
                <horizontal style="none"/>
              </border>
            </x14:dxf>
          </x14:cfRule>
          <xm:sqref>D89:F89</xm:sqref>
        </x14:conditionalFormatting>
        <x14:conditionalFormatting xmlns:xm="http://schemas.microsoft.com/office/excel/2006/main">
          <x14:cfRule type="expression" priority="49" id="{000B0066-0028-4DA0-BD70-00D100E400A6}">
            <xm:f>$B89&lt;&gt;$B90</xm:f>
            <x14:dxf>
              <border>
                <left style="none"/>
                <right style="none"/>
                <top style="none"/>
                <bottom style="thin">
                  <color auto="1"/>
                </bottom>
                <diagonal/>
                <vertical style="none"/>
                <horizontal style="none"/>
              </border>
            </x14:dxf>
          </x14:cfRule>
          <xm:sqref>H89</xm:sqref>
        </x14:conditionalFormatting>
        <x14:conditionalFormatting xmlns:xm="http://schemas.microsoft.com/office/excel/2006/main">
          <x14:cfRule type="expression" priority="48" id="{00F700B0-00B3-4C41-9CCE-005100F900E5}">
            <xm:f>$B89&lt;&gt;$B90</xm:f>
            <x14:dxf>
              <border>
                <left style="none"/>
                <right style="none"/>
                <top style="none"/>
                <bottom style="thin">
                  <color auto="1"/>
                </bottom>
                <diagonal/>
                <vertical style="none"/>
                <horizontal style="none"/>
              </border>
            </x14:dxf>
          </x14:cfRule>
          <xm:sqref>G89</xm:sqref>
        </x14:conditionalFormatting>
        <x14:conditionalFormatting xmlns:xm="http://schemas.microsoft.com/office/excel/2006/main">
          <x14:cfRule type="expression" priority="47" id="{00FE00AD-006B-4CE7-A8AE-00360092008A}">
            <xm:f>$B90&lt;&gt;$B91</xm:f>
            <x14:dxf>
              <border>
                <left style="none"/>
                <right style="none"/>
                <top style="none"/>
                <bottom style="thin">
                  <color auto="1"/>
                </bottom>
                <diagonal/>
                <vertical style="none"/>
                <horizontal style="none"/>
              </border>
            </x14:dxf>
          </x14:cfRule>
          <xm:sqref>D90:F90</xm:sqref>
        </x14:conditionalFormatting>
        <x14:conditionalFormatting xmlns:xm="http://schemas.microsoft.com/office/excel/2006/main">
          <x14:cfRule type="expression" priority="46" id="{00A400C5-0026-43FE-8941-00E0009800BB}">
            <xm:f>$B90&lt;&gt;$B91</xm:f>
            <x14:dxf>
              <border>
                <left style="none"/>
                <right style="none"/>
                <top style="none"/>
                <bottom style="thin">
                  <color auto="1"/>
                </bottom>
                <diagonal/>
                <vertical style="none"/>
                <horizontal style="none"/>
              </border>
            </x14:dxf>
          </x14:cfRule>
          <xm:sqref>H90</xm:sqref>
        </x14:conditionalFormatting>
        <x14:conditionalFormatting xmlns:xm="http://schemas.microsoft.com/office/excel/2006/main">
          <x14:cfRule type="expression" priority="45" id="{00A300B6-00D2-42BE-8910-006C0096000B}">
            <xm:f>$B90&lt;&gt;$B91</xm:f>
            <x14:dxf>
              <border>
                <left style="none"/>
                <right style="none"/>
                <top style="none"/>
                <bottom style="thin">
                  <color auto="1"/>
                </bottom>
                <diagonal/>
                <vertical style="none"/>
                <horizontal style="none"/>
              </border>
            </x14:dxf>
          </x14:cfRule>
          <xm:sqref>G90</xm:sqref>
        </x14:conditionalFormatting>
        <x14:conditionalFormatting xmlns:xm="http://schemas.microsoft.com/office/excel/2006/main">
          <x14:cfRule type="expression" priority="43" id="{00440003-0079-42BA-AC73-00C8000700CB}">
            <xm:f>$B91&lt;&gt;$B92</xm:f>
            <x14:dxf>
              <border>
                <left style="none"/>
                <right style="none"/>
                <top style="none"/>
                <bottom style="thin">
                  <color auto="1"/>
                </bottom>
                <diagonal/>
                <vertical style="none"/>
                <horizontal style="none"/>
              </border>
            </x14:dxf>
          </x14:cfRule>
          <xm:sqref>A91</xm:sqref>
        </x14:conditionalFormatting>
        <x14:conditionalFormatting xmlns:xm="http://schemas.microsoft.com/office/excel/2006/main">
          <x14:cfRule type="expression" priority="42" id="{006000F0-00A1-4AA5-9F37-00F4003A000B}">
            <xm:f>$B92&lt;&gt;$B93</xm:f>
            <x14:dxf>
              <border>
                <left style="none"/>
                <right style="none"/>
                <top style="none"/>
                <bottom style="thin">
                  <color auto="1"/>
                </bottom>
                <diagonal/>
                <vertical style="none"/>
                <horizontal style="none"/>
              </border>
            </x14:dxf>
          </x14:cfRule>
          <xm:sqref>A92</xm:sqref>
        </x14:conditionalFormatting>
        <x14:conditionalFormatting xmlns:xm="http://schemas.microsoft.com/office/excel/2006/main">
          <x14:cfRule type="expression" priority="40" id="{000200DC-006C-44F7-A19C-00A700D0003A}">
            <xm:f>$B91&lt;&gt;$B92</xm:f>
            <x14:dxf>
              <border>
                <left style="none"/>
                <right style="none"/>
                <top style="none"/>
                <bottom style="thin">
                  <color auto="1"/>
                </bottom>
                <diagonal/>
                <vertical style="none"/>
                <horizontal style="none"/>
              </border>
            </x14:dxf>
          </x14:cfRule>
          <xm:sqref>D91 F91</xm:sqref>
        </x14:conditionalFormatting>
        <x14:conditionalFormatting xmlns:xm="http://schemas.microsoft.com/office/excel/2006/main">
          <x14:cfRule type="expression" priority="39" id="{00E70064-0063-461B-B74A-00AD00490002}">
            <xm:f>$B91&lt;&gt;$B92</xm:f>
            <x14:dxf>
              <border>
                <left style="none"/>
                <right style="none"/>
                <top style="none"/>
                <bottom style="thin">
                  <color auto="1"/>
                </bottom>
                <diagonal/>
                <vertical style="none"/>
                <horizontal style="none"/>
              </border>
            </x14:dxf>
          </x14:cfRule>
          <xm:sqref>E91</xm:sqref>
        </x14:conditionalFormatting>
        <x14:conditionalFormatting xmlns:xm="http://schemas.microsoft.com/office/excel/2006/main">
          <x14:cfRule type="expression" priority="38" id="{00B00069-00F7-44A5-A54D-00F3002C006A}">
            <xm:f>$B91&lt;&gt;$B92</xm:f>
            <x14:dxf>
              <border>
                <left style="none"/>
                <right style="none"/>
                <top style="none"/>
                <bottom style="thin">
                  <color auto="1"/>
                </bottom>
                <diagonal/>
                <vertical style="none"/>
                <horizontal style="none"/>
              </border>
            </x14:dxf>
          </x14:cfRule>
          <xm:sqref>H91</xm:sqref>
        </x14:conditionalFormatting>
        <x14:conditionalFormatting xmlns:xm="http://schemas.microsoft.com/office/excel/2006/main">
          <x14:cfRule type="expression" priority="37" id="{00390036-0093-4BFF-B416-00A2005E0031}">
            <xm:f>$B91&lt;&gt;$B92</xm:f>
            <x14:dxf>
              <border>
                <left style="none"/>
                <right style="none"/>
                <top style="none"/>
                <bottom style="thin">
                  <color auto="1"/>
                </bottom>
                <diagonal/>
                <vertical style="none"/>
                <horizontal style="none"/>
              </border>
            </x14:dxf>
          </x14:cfRule>
          <xm:sqref>G91</xm:sqref>
        </x14:conditionalFormatting>
        <x14:conditionalFormatting xmlns:xm="http://schemas.microsoft.com/office/excel/2006/main">
          <x14:cfRule type="expression" priority="36" id="{004D005C-004E-474A-A6D8-007100DE0063}">
            <xm:f>$B92&lt;&gt;$B93</xm:f>
            <x14:dxf>
              <border>
                <left style="none"/>
                <right style="none"/>
                <top style="none"/>
                <bottom style="thin">
                  <color auto="1"/>
                </bottom>
                <diagonal/>
                <vertical style="none"/>
                <horizontal style="none"/>
              </border>
            </x14:dxf>
          </x14:cfRule>
          <xm:sqref>D92:F92</xm:sqref>
        </x14:conditionalFormatting>
        <x14:conditionalFormatting xmlns:xm="http://schemas.microsoft.com/office/excel/2006/main">
          <x14:cfRule type="expression" priority="35" id="{00D70099-0071-416C-9E60-000D00090097}">
            <xm:f>$B92&lt;&gt;$B93</xm:f>
            <x14:dxf>
              <border>
                <left style="none"/>
                <right style="none"/>
                <top style="none"/>
                <bottom style="thin">
                  <color auto="1"/>
                </bottom>
                <diagonal/>
                <vertical style="none"/>
                <horizontal style="none"/>
              </border>
            </x14:dxf>
          </x14:cfRule>
          <xm:sqref>H92</xm:sqref>
        </x14:conditionalFormatting>
        <x14:conditionalFormatting xmlns:xm="http://schemas.microsoft.com/office/excel/2006/main">
          <x14:cfRule type="expression" priority="34" id="{00B500F4-0065-4084-A6E1-00FC008D009E}">
            <xm:f>$B92&lt;&gt;$B93</xm:f>
            <x14:dxf>
              <border>
                <left style="none"/>
                <right style="none"/>
                <top style="none"/>
                <bottom style="thin">
                  <color auto="1"/>
                </bottom>
                <diagonal/>
                <vertical style="none"/>
                <horizontal style="none"/>
              </border>
            </x14:dxf>
          </x14:cfRule>
          <xm:sqref>G92</xm:sqref>
        </x14:conditionalFormatting>
        <x14:conditionalFormatting xmlns:xm="http://schemas.microsoft.com/office/excel/2006/main">
          <x14:cfRule type="expression" priority="17" id="{008D00FC-00C1-4629-8CE1-008B009600C3}">
            <xm:f>$B45&lt;&gt;$B46</xm:f>
            <x14:dxf>
              <border>
                <left style="none"/>
                <right style="none"/>
                <top style="none"/>
                <bottom style="thin">
                  <color auto="1"/>
                </bottom>
                <diagonal/>
                <vertical style="none"/>
                <horizontal style="none"/>
              </border>
            </x14:dxf>
          </x14:cfRule>
          <xm:sqref>A45:J45</xm:sqref>
        </x14:conditionalFormatting>
        <x14:conditionalFormatting xmlns:xm="http://schemas.microsoft.com/office/excel/2006/main">
          <x14:cfRule type="expression" priority="16" id="{00530037-0044-46BC-87EE-00E7006E009F}">
            <xm:f>$B13&lt;&gt;$B14</xm:f>
            <x14:dxf>
              <border>
                <left style="none"/>
                <right style="none"/>
                <top style="none"/>
                <bottom style="thin">
                  <color auto="1"/>
                </bottom>
                <diagonal/>
                <vertical style="none"/>
                <horizontal style="none"/>
              </border>
            </x14:dxf>
          </x14:cfRule>
          <xm:sqref>J13</xm:sqref>
        </x14:conditionalFormatting>
        <x14:conditionalFormatting xmlns:xm="http://schemas.microsoft.com/office/excel/2006/main">
          <x14:cfRule type="expression" priority="15" id="{00540091-009F-4AB6-8270-00050044004D}">
            <xm:f>$B12&lt;&gt;#REF!</xm:f>
            <x14:dxf>
              <border>
                <left style="none"/>
                <right style="none"/>
                <top style="none"/>
                <bottom style="thin">
                  <color auto="1"/>
                </bottom>
                <diagonal/>
                <vertical style="none"/>
                <horizontal style="none"/>
              </border>
            </x14:dxf>
          </x14:cfRule>
          <xm:sqref>J12</xm:sqref>
        </x14:conditionalFormatting>
        <x14:conditionalFormatting xmlns:xm="http://schemas.microsoft.com/office/excel/2006/main">
          <x14:cfRule type="expression" priority="14" id="{00B60065-008B-4DF2-8F42-0097008D002C}">
            <xm:f>$B94&lt;&gt;#REF!</xm:f>
            <x14:dxf>
              <border>
                <left style="none"/>
                <right style="none"/>
                <top style="none"/>
                <bottom style="thin">
                  <color auto="1"/>
                </bottom>
                <diagonal/>
                <vertical style="none"/>
                <horizontal style="none"/>
              </border>
            </x14:dxf>
          </x14:cfRule>
          <xm:sqref>B94</xm:sqref>
        </x14:conditionalFormatting>
        <x14:conditionalFormatting xmlns:xm="http://schemas.microsoft.com/office/excel/2006/main">
          <x14:cfRule type="expression" priority="13" id="{005100D8-0075-42B1-91D2-007900F00022}">
            <xm:f>$B94&lt;&gt;$B95</xm:f>
            <x14:dxf>
              <border>
                <left style="none"/>
                <right style="none"/>
                <top style="none"/>
                <bottom style="thin">
                  <color auto="1"/>
                </bottom>
                <diagonal/>
                <vertical style="none"/>
                <horizontal style="none"/>
              </border>
            </x14:dxf>
          </x14:cfRule>
          <xm:sqref>C94:D94 F94 H94:J94</xm:sqref>
        </x14:conditionalFormatting>
        <x14:conditionalFormatting xmlns:xm="http://schemas.microsoft.com/office/excel/2006/main">
          <x14:cfRule type="expression" priority="12" id="{005100F2-0072-4804-A92E-003B00C000E3}">
            <xm:f>$B94&lt;&gt;$B95</xm:f>
            <x14:dxf>
              <border>
                <left style="none"/>
                <right style="none"/>
                <top style="none"/>
                <bottom style="thin">
                  <color auto="1"/>
                </bottom>
                <diagonal/>
                <vertical style="none"/>
                <horizontal style="none"/>
              </border>
            </x14:dxf>
          </x14:cfRule>
          <xm:sqref>E94</xm:sqref>
        </x14:conditionalFormatting>
        <x14:conditionalFormatting xmlns:xm="http://schemas.microsoft.com/office/excel/2006/main">
          <x14:cfRule type="expression" priority="11" id="{00C300C0-009C-4097-B6CE-000B00F800B6}">
            <xm:f>$B94&lt;&gt;$B95</xm:f>
            <x14:dxf>
              <border>
                <left style="none"/>
                <right style="none"/>
                <top style="none"/>
                <bottom style="thin">
                  <color auto="1"/>
                </bottom>
                <diagonal/>
                <vertical style="none"/>
                <horizontal style="none"/>
              </border>
            </x14:dxf>
          </x14:cfRule>
          <xm:sqref>G94</xm:sqref>
        </x14:conditionalFormatting>
        <x14:conditionalFormatting xmlns:xm="http://schemas.microsoft.com/office/excel/2006/main">
          <x14:cfRule type="expression" priority="10" id="{000500D2-00D8-42E3-BC8B-007300580029}">
            <xm:f>$B95&lt;&gt;#REF!</xm:f>
            <x14:dxf>
              <border>
                <left style="none"/>
                <right style="none"/>
                <top style="none"/>
                <bottom style="thin">
                  <color auto="1"/>
                </bottom>
                <diagonal/>
                <vertical style="none"/>
                <horizontal style="none"/>
              </border>
            </x14:dxf>
          </x14:cfRule>
          <xm:sqref>B95</xm:sqref>
        </x14:conditionalFormatting>
        <x14:conditionalFormatting xmlns:xm="http://schemas.microsoft.com/office/excel/2006/main">
          <x14:cfRule type="expression" priority="9" id="{00A400CA-0029-44C0-82A5-0051004B00C8}">
            <xm:f>$B96&lt;&gt;#REF!</xm:f>
            <x14:dxf>
              <border>
                <left style="none"/>
                <right style="none"/>
                <top style="none"/>
                <bottom style="thin">
                  <color auto="1"/>
                </bottom>
                <diagonal/>
                <vertical style="none"/>
                <horizontal style="none"/>
              </border>
            </x14:dxf>
          </x14:cfRule>
          <xm:sqref>B96</xm:sqref>
        </x14:conditionalFormatting>
        <x14:conditionalFormatting xmlns:xm="http://schemas.microsoft.com/office/excel/2006/main">
          <x14:cfRule type="expression" priority="8" id="{002E003F-0036-4C77-963F-0043000500E9}">
            <xm:f>$B97&lt;&gt;#REF!</xm:f>
            <x14:dxf>
              <border>
                <left style="none"/>
                <right style="none"/>
                <top style="none"/>
                <bottom style="thin">
                  <color auto="1"/>
                </bottom>
                <diagonal/>
                <vertical style="none"/>
                <horizontal style="none"/>
              </border>
            </x14:dxf>
          </x14:cfRule>
          <xm:sqref>B97</xm:sqref>
        </x14:conditionalFormatting>
        <x14:conditionalFormatting xmlns:xm="http://schemas.microsoft.com/office/excel/2006/main">
          <x14:cfRule type="expression" priority="7" id="{00100088-005B-48E7-8395-009A004A002E}">
            <xm:f>$B98&lt;&gt;$B99</xm:f>
            <x14:dxf>
              <border>
                <left style="none"/>
                <right style="none"/>
                <top style="none"/>
                <bottom style="thin">
                  <color auto="1"/>
                </bottom>
                <diagonal/>
                <vertical style="none"/>
                <horizontal style="none"/>
              </border>
            </x14:dxf>
          </x14:cfRule>
          <xm:sqref>G98</xm:sqref>
        </x14:conditionalFormatting>
        <x14:conditionalFormatting xmlns:xm="http://schemas.microsoft.com/office/excel/2006/main">
          <x14:cfRule type="expression" priority="6" id="{009B009C-00FE-4DD3-84E8-002C00FB00B3}">
            <xm:f>$B100&lt;&gt;$B101</xm:f>
            <x14:dxf>
              <border>
                <left style="none"/>
                <right style="none"/>
                <top style="none"/>
                <bottom style="thin">
                  <color auto="1"/>
                </bottom>
                <diagonal/>
                <vertical style="none"/>
                <horizontal style="none"/>
              </border>
            </x14:dxf>
          </x14:cfRule>
          <xm:sqref>G100</xm:sqref>
        </x14:conditionalFormatting>
        <x14:conditionalFormatting xmlns:xm="http://schemas.microsoft.com/office/excel/2006/main">
          <x14:cfRule type="expression" priority="5" id="{000000AE-00DF-4A16-8360-001400ED0049}">
            <xm:f>$B99&lt;&gt;#REF!</xm:f>
            <x14:dxf>
              <border>
                <left style="none"/>
                <right style="none"/>
                <top style="none"/>
                <bottom style="thin">
                  <color auto="1"/>
                </bottom>
                <diagonal/>
                <vertical style="none"/>
                <horizontal style="none"/>
              </border>
            </x14:dxf>
          </x14:cfRule>
          <xm:sqref>G99</xm:sqref>
        </x14:conditionalFormatting>
        <x14:conditionalFormatting xmlns:xm="http://schemas.microsoft.com/office/excel/2006/main">
          <x14:cfRule type="expression" priority="4" id="{0055008A-002C-4C27-B9F1-00ED00F100E4}">
            <xm:f>$B101&lt;&gt;#REF!</xm:f>
            <x14:dxf>
              <border>
                <left style="none"/>
                <right style="none"/>
                <top style="none"/>
                <bottom style="thin">
                  <color auto="1"/>
                </bottom>
                <diagonal/>
                <vertical style="none"/>
                <horizontal style="none"/>
              </border>
            </x14:dxf>
          </x14:cfRule>
          <xm:sqref>G101</xm:sqref>
        </x14:conditionalFormatting>
        <x14:conditionalFormatting xmlns:xm="http://schemas.microsoft.com/office/excel/2006/main">
          <x14:cfRule type="expression" priority="3" id="{0032006E-00A2-487F-B00F-001A00240077}">
            <xm:f>$B100&lt;&gt;#REF!</xm:f>
            <x14:dxf>
              <border>
                <left style="none"/>
                <right style="none"/>
                <top style="none"/>
                <bottom style="thin">
                  <color auto="1"/>
                </bottom>
                <diagonal/>
                <vertical style="none"/>
                <horizontal style="none"/>
              </border>
            </x14:dxf>
          </x14:cfRule>
          <xm:sqref>H100</xm:sqref>
        </x14:conditionalFormatting>
        <x14:conditionalFormatting xmlns:xm="http://schemas.microsoft.com/office/excel/2006/main">
          <x14:cfRule type="expression" priority="2" id="{00E3000B-0065-4599-9121-00C9009B009D}">
            <xm:f>$B101&lt;&gt;#REF!</xm:f>
            <x14:dxf>
              <border>
                <left style="none"/>
                <right style="none"/>
                <top style="none"/>
                <bottom style="thin">
                  <color auto="1"/>
                </bottom>
                <diagonal/>
                <vertical style="none"/>
                <horizontal style="none"/>
              </border>
            </x14:dxf>
          </x14:cfRule>
          <xm:sqref>H101</xm:sqref>
        </x14:conditionalFormatting>
        <x14:conditionalFormatting xmlns:xm="http://schemas.microsoft.com/office/excel/2006/main">
          <x14:cfRule type="expression" priority="1" id="{00E30068-009B-4EFF-BB92-00ED00200052}">
            <xm:f>$B97&lt;&gt;$B98</xm:f>
            <x14:dxf>
              <border>
                <left style="none"/>
                <right style="none"/>
                <top style="none"/>
                <bottom style="thin">
                  <color auto="1"/>
                </bottom>
                <diagonal/>
                <vertical style="none"/>
                <horizontal style="none"/>
              </border>
            </x14:dxf>
          </x14:cfRule>
          <xm:sqref>F97:F101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topLeftCell="A7" zoomScale="115" workbookViewId="0">
      <selection activeCell="B30" activeCellId="0" sqref="B30"/>
    </sheetView>
  </sheetViews>
  <sheetFormatPr defaultRowHeight="14.25"/>
  <cols>
    <col customWidth="1" min="1" max="1" width="37.28515625"/>
    <col customWidth="1" min="2" max="2" width="42.7109375"/>
    <col customWidth="1" min="3" max="3" width="65"/>
    <col customWidth="1" min="4" max="4" width="18.5703125"/>
    <col customWidth="1" min="6" max="6" width="39.5703125"/>
  </cols>
  <sheetData>
    <row r="1" ht="27">
      <c r="A1" s="117" t="s">
        <v>464</v>
      </c>
      <c r="B1" s="118" t="s">
        <v>465</v>
      </c>
      <c r="C1" s="118" t="s">
        <v>466</v>
      </c>
      <c r="D1" s="119" t="s">
        <v>24</v>
      </c>
      <c r="E1" s="120"/>
      <c r="F1" s="120"/>
      <c r="G1" s="120"/>
      <c r="H1" s="120"/>
      <c r="I1" s="120"/>
      <c r="J1" s="120"/>
      <c r="K1" s="120"/>
      <c r="L1" s="120"/>
      <c r="M1" s="120"/>
      <c r="N1" s="120"/>
    </row>
    <row r="2">
      <c r="A2" s="121" t="s">
        <v>467</v>
      </c>
      <c r="B2" s="122" t="s">
        <v>468</v>
      </c>
      <c r="C2" s="123" t="s">
        <v>469</v>
      </c>
      <c r="D2" s="124" t="s">
        <v>32</v>
      </c>
      <c r="E2" s="120"/>
      <c r="F2" s="120"/>
      <c r="G2" s="120"/>
      <c r="H2" s="120"/>
      <c r="I2" s="120"/>
      <c r="J2" s="120"/>
      <c r="K2" s="120"/>
      <c r="L2" s="120"/>
      <c r="M2" s="120"/>
      <c r="N2" s="120"/>
    </row>
    <row r="3">
      <c r="A3" s="121"/>
      <c r="B3" s="122" t="s">
        <v>470</v>
      </c>
      <c r="C3" s="123" t="s">
        <v>471</v>
      </c>
      <c r="D3" s="124"/>
      <c r="E3" s="120"/>
      <c r="F3" s="120"/>
      <c r="G3" s="120"/>
      <c r="H3" s="120"/>
      <c r="I3" s="120"/>
      <c r="J3" s="120"/>
      <c r="K3" s="120"/>
      <c r="L3" s="120"/>
      <c r="M3" s="120"/>
      <c r="N3" s="120"/>
    </row>
    <row r="4">
      <c r="A4" s="121" t="s">
        <v>472</v>
      </c>
      <c r="B4" s="122" t="s">
        <v>473</v>
      </c>
      <c r="C4" s="123" t="s">
        <v>474</v>
      </c>
      <c r="D4" s="124" t="s">
        <v>32</v>
      </c>
      <c r="E4" s="120"/>
      <c r="F4" s="120"/>
      <c r="G4" s="120"/>
      <c r="H4" s="120"/>
      <c r="I4" s="120"/>
      <c r="J4" s="120"/>
      <c r="K4" s="120"/>
      <c r="L4" s="120"/>
      <c r="M4" s="120"/>
      <c r="N4" s="120"/>
    </row>
    <row r="5">
      <c r="A5" s="121"/>
      <c r="B5" s="122" t="s">
        <v>475</v>
      </c>
      <c r="C5" s="123" t="s">
        <v>476</v>
      </c>
      <c r="D5" s="124"/>
      <c r="E5" s="120"/>
      <c r="F5" s="120"/>
      <c r="G5" s="120"/>
      <c r="H5" s="120"/>
      <c r="I5" s="120"/>
      <c r="J5" s="120"/>
      <c r="K5" s="120"/>
      <c r="L5" s="120"/>
      <c r="M5" s="120"/>
      <c r="N5" s="120"/>
    </row>
    <row r="6">
      <c r="A6" s="121" t="s">
        <v>477</v>
      </c>
      <c r="B6" s="122" t="s">
        <v>478</v>
      </c>
      <c r="C6" s="123" t="s">
        <v>479</v>
      </c>
      <c r="D6" s="124" t="s">
        <v>32</v>
      </c>
      <c r="E6" s="120"/>
      <c r="F6" s="120"/>
      <c r="G6" s="120"/>
      <c r="H6" s="120"/>
      <c r="I6" s="120"/>
      <c r="J6" s="120"/>
      <c r="K6" s="120"/>
      <c r="L6" s="120"/>
      <c r="M6" s="120"/>
      <c r="N6" s="120"/>
    </row>
    <row r="7">
      <c r="A7" s="121"/>
      <c r="B7" s="122" t="s">
        <v>480</v>
      </c>
      <c r="C7" s="123" t="s">
        <v>481</v>
      </c>
      <c r="D7" s="124"/>
      <c r="E7" s="120"/>
      <c r="F7" s="120"/>
      <c r="G7" s="120"/>
      <c r="H7" s="120"/>
      <c r="I7" s="120"/>
      <c r="J7" s="120"/>
      <c r="K7" s="120"/>
      <c r="L7" s="120"/>
      <c r="M7" s="120"/>
      <c r="N7" s="120"/>
    </row>
    <row r="8">
      <c r="A8" s="121" t="s">
        <v>482</v>
      </c>
      <c r="B8" s="122" t="s">
        <v>483</v>
      </c>
      <c r="C8" s="123" t="s">
        <v>484</v>
      </c>
      <c r="D8" s="124" t="s">
        <v>32</v>
      </c>
      <c r="E8" s="120"/>
      <c r="F8" s="120"/>
      <c r="G8" s="120"/>
      <c r="H8" s="120"/>
      <c r="I8" s="120"/>
      <c r="J8" s="120"/>
      <c r="K8" s="120"/>
      <c r="L8" s="120"/>
      <c r="M8" s="120"/>
      <c r="N8" s="120"/>
    </row>
    <row r="9">
      <c r="A9" s="121"/>
      <c r="B9" s="122" t="s">
        <v>485</v>
      </c>
      <c r="C9" s="123" t="s">
        <v>486</v>
      </c>
      <c r="D9" s="124"/>
      <c r="E9" s="120"/>
      <c r="F9" s="120"/>
      <c r="G9" s="120"/>
      <c r="H9" s="120"/>
      <c r="I9" s="120"/>
      <c r="J9" s="120"/>
      <c r="K9" s="120"/>
      <c r="L9" s="120"/>
      <c r="M9" s="120"/>
      <c r="N9" s="120"/>
    </row>
    <row r="10">
      <c r="A10" s="121" t="s">
        <v>487</v>
      </c>
      <c r="B10" s="122" t="s">
        <v>488</v>
      </c>
      <c r="C10" s="123" t="s">
        <v>489</v>
      </c>
      <c r="D10" s="124" t="s">
        <v>32</v>
      </c>
      <c r="E10" s="120"/>
      <c r="F10" s="120"/>
      <c r="G10" s="120"/>
      <c r="H10" s="120"/>
      <c r="I10" s="120"/>
      <c r="J10" s="120"/>
      <c r="K10" s="120"/>
      <c r="L10" s="120"/>
      <c r="M10" s="120"/>
      <c r="N10" s="120"/>
    </row>
    <row r="11">
      <c r="A11" s="121"/>
      <c r="B11" s="122" t="s">
        <v>490</v>
      </c>
      <c r="C11" s="123" t="s">
        <v>491</v>
      </c>
      <c r="D11" s="124"/>
      <c r="E11" s="120"/>
      <c r="F11" s="120"/>
      <c r="G11" s="120"/>
      <c r="H11" s="120"/>
      <c r="I11" s="120"/>
      <c r="J11" s="120"/>
      <c r="K11" s="120"/>
      <c r="L11" s="120"/>
      <c r="M11" s="120"/>
      <c r="N11" s="120"/>
    </row>
    <row r="12">
      <c r="A12" s="121" t="s">
        <v>492</v>
      </c>
      <c r="B12" s="122" t="s">
        <v>493</v>
      </c>
      <c r="C12" s="123" t="s">
        <v>494</v>
      </c>
      <c r="D12" s="124" t="s">
        <v>32</v>
      </c>
      <c r="E12" s="120"/>
      <c r="F12" s="120"/>
      <c r="G12" s="120"/>
      <c r="H12" s="120"/>
      <c r="I12" s="120"/>
      <c r="J12" s="120"/>
      <c r="K12" s="120"/>
      <c r="L12" s="120"/>
      <c r="M12" s="120"/>
      <c r="N12" s="120"/>
    </row>
    <row r="13">
      <c r="A13" s="121"/>
      <c r="B13" s="122" t="s">
        <v>495</v>
      </c>
      <c r="C13" s="123" t="s">
        <v>496</v>
      </c>
      <c r="D13" s="124"/>
      <c r="E13" s="120"/>
      <c r="F13" s="120"/>
      <c r="G13" s="120"/>
      <c r="H13" s="120"/>
      <c r="I13" s="120"/>
      <c r="J13" s="120"/>
      <c r="K13" s="120"/>
      <c r="L13" s="120"/>
      <c r="M13" s="120"/>
      <c r="N13" s="120"/>
    </row>
    <row r="14">
      <c r="A14" s="121" t="s">
        <v>497</v>
      </c>
      <c r="B14" s="122" t="s">
        <v>498</v>
      </c>
      <c r="C14" s="123" t="s">
        <v>499</v>
      </c>
      <c r="D14" s="124" t="s">
        <v>32</v>
      </c>
      <c r="E14" s="120"/>
      <c r="F14" s="120"/>
      <c r="G14" s="120"/>
      <c r="H14" s="120"/>
      <c r="I14" s="120"/>
      <c r="J14" s="120"/>
      <c r="K14" s="120"/>
      <c r="L14" s="120"/>
      <c r="M14" s="120"/>
      <c r="N14" s="120"/>
    </row>
    <row r="15">
      <c r="A15" s="121"/>
      <c r="B15" s="122" t="s">
        <v>500</v>
      </c>
      <c r="C15" s="123" t="s">
        <v>501</v>
      </c>
      <c r="D15" s="124"/>
      <c r="E15" s="120"/>
      <c r="F15" s="120"/>
      <c r="G15" s="120"/>
      <c r="H15" s="120"/>
      <c r="I15" s="120"/>
      <c r="J15" s="120"/>
      <c r="K15" s="120"/>
      <c r="L15" s="120"/>
      <c r="M15" s="120"/>
      <c r="N15" s="120"/>
    </row>
    <row r="16">
      <c r="A16" s="121" t="s">
        <v>502</v>
      </c>
      <c r="B16" s="122" t="s">
        <v>503</v>
      </c>
      <c r="C16" s="123" t="s">
        <v>504</v>
      </c>
      <c r="D16" s="124" t="s">
        <v>32</v>
      </c>
      <c r="E16" s="120"/>
      <c r="F16" s="120"/>
      <c r="G16" s="120"/>
      <c r="H16" s="120"/>
      <c r="I16" s="120"/>
      <c r="J16" s="120"/>
      <c r="K16" s="120"/>
      <c r="L16" s="120"/>
      <c r="M16" s="120"/>
      <c r="N16" s="120"/>
    </row>
    <row r="17">
      <c r="A17" s="121"/>
      <c r="B17" s="122" t="s">
        <v>505</v>
      </c>
      <c r="C17" s="123" t="s">
        <v>506</v>
      </c>
      <c r="D17" s="124"/>
      <c r="E17" s="120"/>
      <c r="F17" s="120"/>
      <c r="G17" s="120"/>
      <c r="H17" s="120"/>
      <c r="I17" s="120"/>
      <c r="J17" s="120"/>
      <c r="K17" s="120"/>
      <c r="L17" s="120"/>
      <c r="M17" s="120"/>
      <c r="N17" s="120"/>
    </row>
    <row r="18">
      <c r="A18" s="121" t="s">
        <v>507</v>
      </c>
      <c r="B18" s="122" t="s">
        <v>508</v>
      </c>
      <c r="C18" s="123" t="s">
        <v>509</v>
      </c>
      <c r="D18" s="124" t="s">
        <v>32</v>
      </c>
      <c r="E18" s="120"/>
      <c r="F18" s="120"/>
      <c r="G18" s="120"/>
      <c r="H18" s="120"/>
      <c r="I18" s="120"/>
      <c r="J18" s="120"/>
      <c r="K18" s="120"/>
      <c r="L18" s="120"/>
      <c r="M18" s="120"/>
      <c r="N18" s="120"/>
    </row>
    <row r="19">
      <c r="A19" s="121"/>
      <c r="B19" s="122" t="s">
        <v>510</v>
      </c>
      <c r="C19" s="123" t="s">
        <v>511</v>
      </c>
      <c r="D19" s="124"/>
      <c r="E19" s="120"/>
      <c r="F19" s="120"/>
      <c r="G19" s="120"/>
      <c r="H19" s="120"/>
      <c r="I19" s="120"/>
      <c r="J19" s="120"/>
      <c r="K19" s="120"/>
      <c r="L19" s="120"/>
      <c r="M19" s="120"/>
      <c r="N19" s="120"/>
    </row>
    <row r="20">
      <c r="A20" s="121" t="s">
        <v>512</v>
      </c>
      <c r="B20" s="122" t="s">
        <v>513</v>
      </c>
      <c r="C20" s="123" t="s">
        <v>514</v>
      </c>
      <c r="D20" s="124" t="s">
        <v>32</v>
      </c>
      <c r="E20" s="120"/>
      <c r="F20" s="120"/>
      <c r="G20" s="120"/>
      <c r="H20" s="120"/>
      <c r="I20" s="120"/>
      <c r="J20" s="120"/>
      <c r="K20" s="120"/>
      <c r="L20" s="120"/>
      <c r="M20" s="120"/>
      <c r="N20" s="120"/>
    </row>
    <row r="21">
      <c r="A21" s="121"/>
      <c r="B21" s="122" t="s">
        <v>515</v>
      </c>
      <c r="C21" s="123" t="s">
        <v>516</v>
      </c>
      <c r="D21" s="124"/>
      <c r="E21" s="120"/>
      <c r="F21" s="120"/>
      <c r="G21" s="120"/>
      <c r="H21" s="120"/>
      <c r="I21" s="120"/>
      <c r="J21" s="120"/>
      <c r="K21" s="120"/>
      <c r="L21" s="120"/>
      <c r="M21" s="120"/>
      <c r="N21" s="120"/>
    </row>
    <row r="22">
      <c r="A22" s="121" t="s">
        <v>517</v>
      </c>
      <c r="B22" s="122" t="s">
        <v>518</v>
      </c>
      <c r="C22" s="123" t="s">
        <v>519</v>
      </c>
      <c r="D22" s="124" t="s">
        <v>32</v>
      </c>
      <c r="E22" s="120"/>
      <c r="F22" s="120"/>
      <c r="G22" s="120"/>
      <c r="H22" s="120"/>
      <c r="I22" s="120"/>
      <c r="J22" s="120"/>
      <c r="K22" s="120"/>
      <c r="L22" s="120"/>
      <c r="M22" s="120"/>
      <c r="N22" s="120"/>
    </row>
    <row r="23">
      <c r="A23" s="121"/>
      <c r="B23" s="122" t="s">
        <v>520</v>
      </c>
      <c r="C23" s="123" t="s">
        <v>521</v>
      </c>
      <c r="D23" s="124"/>
      <c r="E23" s="120"/>
      <c r="F23" s="120"/>
      <c r="G23" s="120"/>
      <c r="H23" s="120"/>
      <c r="I23" s="120"/>
      <c r="J23" s="120"/>
      <c r="K23" s="120"/>
      <c r="L23" s="120"/>
      <c r="M23" s="120"/>
      <c r="N23" s="120"/>
    </row>
    <row r="24">
      <c r="A24" s="121" t="s">
        <v>522</v>
      </c>
      <c r="B24" s="122" t="s">
        <v>523</v>
      </c>
      <c r="C24" s="123" t="s">
        <v>524</v>
      </c>
      <c r="D24" s="124" t="s">
        <v>32</v>
      </c>
      <c r="E24" s="120"/>
      <c r="F24" s="120"/>
      <c r="G24" s="120"/>
      <c r="H24" s="120"/>
      <c r="I24" s="120"/>
      <c r="J24" s="120"/>
      <c r="K24" s="120"/>
      <c r="L24" s="120"/>
      <c r="M24" s="120"/>
      <c r="N24" s="120"/>
    </row>
    <row r="25">
      <c r="A25" s="121"/>
      <c r="B25" s="122" t="s">
        <v>525</v>
      </c>
      <c r="C25" s="123" t="s">
        <v>526</v>
      </c>
      <c r="D25" s="124"/>
      <c r="E25" s="120"/>
      <c r="F25" s="120"/>
      <c r="G25" s="120"/>
      <c r="H25" s="120"/>
      <c r="I25" s="120"/>
      <c r="J25" s="120"/>
      <c r="K25" s="120"/>
      <c r="L25" s="120"/>
      <c r="M25" s="120"/>
      <c r="N25" s="120"/>
    </row>
    <row r="26">
      <c r="A26" s="121" t="s">
        <v>527</v>
      </c>
      <c r="B26" s="122" t="s">
        <v>528</v>
      </c>
      <c r="C26" s="123" t="s">
        <v>529</v>
      </c>
      <c r="D26" s="124" t="s">
        <v>32</v>
      </c>
      <c r="E26" s="120"/>
      <c r="F26" s="120"/>
      <c r="G26" s="120"/>
      <c r="H26" s="120"/>
      <c r="I26" s="120"/>
      <c r="J26" s="120"/>
      <c r="K26" s="120"/>
      <c r="L26" s="120"/>
      <c r="M26" s="120"/>
      <c r="N26" s="120"/>
    </row>
    <row r="27">
      <c r="A27" s="121"/>
      <c r="B27" s="122" t="s">
        <v>530</v>
      </c>
      <c r="C27" s="123" t="s">
        <v>531</v>
      </c>
      <c r="D27" s="124"/>
      <c r="E27" s="120"/>
      <c r="F27" s="120"/>
      <c r="G27" s="120"/>
      <c r="H27" s="120"/>
      <c r="I27" s="120"/>
      <c r="J27" s="120"/>
      <c r="K27" s="120"/>
      <c r="L27" s="120"/>
      <c r="M27" s="120"/>
      <c r="N27" s="120"/>
    </row>
    <row r="28">
      <c r="A28" s="121" t="s">
        <v>532</v>
      </c>
      <c r="B28" s="122" t="s">
        <v>533</v>
      </c>
      <c r="C28" s="123" t="s">
        <v>534</v>
      </c>
      <c r="D28" s="124" t="s">
        <v>32</v>
      </c>
      <c r="E28" s="120"/>
      <c r="F28" s="120"/>
      <c r="G28" s="120"/>
      <c r="H28" s="120"/>
      <c r="I28" s="120"/>
      <c r="J28" s="120"/>
      <c r="K28" s="120"/>
      <c r="L28" s="120"/>
      <c r="M28" s="120"/>
      <c r="N28" s="120"/>
    </row>
    <row r="29">
      <c r="A29" s="121"/>
      <c r="B29" s="122" t="s">
        <v>535</v>
      </c>
      <c r="C29" s="123" t="s">
        <v>536</v>
      </c>
      <c r="D29" s="124"/>
      <c r="E29" s="120"/>
      <c r="F29" s="120"/>
      <c r="G29" s="120"/>
      <c r="H29" s="120"/>
      <c r="I29" s="120"/>
      <c r="J29" s="120"/>
      <c r="K29" s="120"/>
      <c r="L29" s="120"/>
      <c r="M29" s="120"/>
      <c r="N29" s="120"/>
    </row>
    <row r="30">
      <c r="A30" s="121" t="s">
        <v>537</v>
      </c>
      <c r="B30" s="122" t="s">
        <v>538</v>
      </c>
      <c r="C30" s="123" t="s">
        <v>539</v>
      </c>
      <c r="D30" s="124" t="s">
        <v>32</v>
      </c>
      <c r="E30" s="120"/>
      <c r="F30" s="120"/>
      <c r="G30" s="120"/>
      <c r="H30" s="120"/>
      <c r="I30" s="120"/>
      <c r="J30" s="120"/>
      <c r="K30" s="120"/>
      <c r="L30" s="120"/>
      <c r="M30" s="120"/>
      <c r="N30" s="120"/>
    </row>
    <row r="31">
      <c r="A31" s="121"/>
      <c r="B31" s="122" t="s">
        <v>540</v>
      </c>
      <c r="C31" s="123" t="s">
        <v>541</v>
      </c>
      <c r="D31" s="124"/>
      <c r="E31" s="120"/>
      <c r="F31" s="120"/>
      <c r="G31" s="120"/>
      <c r="H31" s="120"/>
      <c r="I31" s="120"/>
      <c r="J31" s="120"/>
      <c r="K31" s="120"/>
      <c r="L31" s="120"/>
      <c r="M31" s="120"/>
      <c r="N31" s="120"/>
    </row>
    <row r="32">
      <c r="A32" s="121" t="s">
        <v>542</v>
      </c>
      <c r="B32" s="122" t="s">
        <v>543</v>
      </c>
      <c r="C32" s="123" t="s">
        <v>544</v>
      </c>
      <c r="D32" s="124" t="s">
        <v>32</v>
      </c>
      <c r="E32" s="120"/>
      <c r="F32" s="120"/>
      <c r="G32" s="120"/>
      <c r="H32" s="120"/>
      <c r="I32" s="120"/>
      <c r="J32" s="120"/>
      <c r="K32" s="120"/>
      <c r="L32" s="120"/>
      <c r="M32" s="120"/>
      <c r="N32" s="120"/>
    </row>
    <row r="33">
      <c r="A33" s="121"/>
      <c r="B33" s="122" t="s">
        <v>545</v>
      </c>
      <c r="C33" s="123" t="s">
        <v>546</v>
      </c>
      <c r="D33" s="124"/>
      <c r="E33" s="120"/>
      <c r="F33" s="120"/>
      <c r="G33" s="120"/>
      <c r="H33" s="120"/>
      <c r="I33" s="120"/>
      <c r="J33" s="120"/>
      <c r="K33" s="120"/>
      <c r="L33" s="120"/>
      <c r="M33" s="120"/>
      <c r="N33" s="120"/>
    </row>
  </sheetData>
  <mergeCells count="32">
    <mergeCell ref="A2:A3"/>
    <mergeCell ref="D2:D3"/>
    <mergeCell ref="A4:A5"/>
    <mergeCell ref="D4:D5"/>
    <mergeCell ref="A6:A7"/>
    <mergeCell ref="D6:D7"/>
    <mergeCell ref="A8:A9"/>
    <mergeCell ref="D8:D9"/>
    <mergeCell ref="A10:A11"/>
    <mergeCell ref="D10:D11"/>
    <mergeCell ref="A12:A13"/>
    <mergeCell ref="D12:D13"/>
    <mergeCell ref="A14:A15"/>
    <mergeCell ref="D14:D15"/>
    <mergeCell ref="A16:A17"/>
    <mergeCell ref="D16:D17"/>
    <mergeCell ref="A18:A19"/>
    <mergeCell ref="D18:D19"/>
    <mergeCell ref="A20:A21"/>
    <mergeCell ref="D20:D21"/>
    <mergeCell ref="A22:A23"/>
    <mergeCell ref="D22:D23"/>
    <mergeCell ref="A24:A25"/>
    <mergeCell ref="D24:D25"/>
    <mergeCell ref="A26:A27"/>
    <mergeCell ref="D26:D27"/>
    <mergeCell ref="A28:A29"/>
    <mergeCell ref="D28:D29"/>
    <mergeCell ref="A30:A31"/>
    <mergeCell ref="D30:D31"/>
    <mergeCell ref="A32:A33"/>
    <mergeCell ref="D32:D33"/>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pane ySplit="2" topLeftCell="A3" activePane="bottomLeft" state="frozen"/>
      <selection activeCell="A17" activeCellId="0" sqref="A17"/>
    </sheetView>
  </sheetViews>
  <sheetFormatPr defaultRowHeight="14.25"/>
  <cols>
    <col customWidth="1" min="1" max="1" style="87" width="34.7109375"/>
    <col customWidth="1" min="2" max="2" width="33.7109375"/>
    <col customWidth="1" min="3" max="3" width="22.7109375"/>
  </cols>
  <sheetData>
    <row r="1">
      <c r="A1" s="125" t="s">
        <v>547</v>
      </c>
      <c r="B1" s="125"/>
    </row>
    <row r="2">
      <c r="A2" s="126" t="s">
        <v>548</v>
      </c>
      <c r="B2" s="127" t="s">
        <v>549</v>
      </c>
      <c r="C2" s="127" t="s">
        <v>24</v>
      </c>
    </row>
    <row r="3">
      <c r="A3" s="128" t="str">
        <f>'PXF-&gt;A'!A2</f>
        <v>a_000041_register</v>
      </c>
      <c r="B3" s="128" t="str">
        <f>source_columns[[#This Row],[Название таблицы STAGE]]</f>
        <v>b3060000410001_register</v>
      </c>
      <c r="C3" s="122" t="s">
        <v>32</v>
      </c>
    </row>
    <row r="4">
      <c r="A4" s="128" t="str">
        <f>'PXF-&gt;A'!A4</f>
        <v>a_000041_createrkoext</v>
      </c>
      <c r="B4" s="128" t="str">
        <f>'Source columns'!B17</f>
        <v>b3060000410002_createrkoext</v>
      </c>
      <c r="C4" s="122" t="s">
        <v>32</v>
      </c>
    </row>
    <row r="5">
      <c r="A5" s="128" t="str">
        <f>'PXF-&gt;A'!A6</f>
        <v>a_000041_party</v>
      </c>
      <c r="B5" s="128" t="str">
        <f>'Source columns'!B29</f>
        <v>b3060000410003_party</v>
      </c>
      <c r="C5" s="122" t="s">
        <v>32</v>
      </c>
    </row>
    <row r="6">
      <c r="A6" s="128" t="str">
        <f>'PXF-&gt;A'!A8</f>
        <v>a_000041_product</v>
      </c>
      <c r="B6" s="128" t="str">
        <f>'Source columns'!B34</f>
        <v>b3060000410004_product</v>
      </c>
      <c r="C6" s="122" t="s">
        <v>32</v>
      </c>
    </row>
    <row r="7">
      <c r="A7" s="128" t="str">
        <f>'PXF-&gt;A'!A10</f>
        <v>a_000041_productstatus</v>
      </c>
      <c r="B7" s="128" t="str">
        <f>'Source columns'!B50</f>
        <v>b3060000410005_productstatus</v>
      </c>
      <c r="C7" s="122" t="s">
        <v>32</v>
      </c>
    </row>
    <row r="8">
      <c r="A8" s="128" t="str">
        <f>'PXF-&gt;A'!A12</f>
        <v>a_000041_RestrictionProduct</v>
      </c>
      <c r="B8" s="128" t="str">
        <f>'Source columns'!B73</f>
        <v>b3060000410009_RestrictionProduct</v>
      </c>
      <c r="C8" s="122" t="s">
        <v>32</v>
      </c>
    </row>
    <row r="9">
      <c r="A9" s="128" t="str">
        <f>'PXF-&gt;A'!A14</f>
        <v>a_000041_registertype</v>
      </c>
      <c r="B9" s="128" t="str">
        <f>'Source columns'!B53</f>
        <v>b3060000410006_registertype</v>
      </c>
      <c r="C9" s="122" t="s">
        <v>32</v>
      </c>
    </row>
    <row r="10">
      <c r="A10" s="128" t="str">
        <f>'PXF-&gt;A'!A16</f>
        <v>a_000041_currency</v>
      </c>
      <c r="B10" s="128" t="str">
        <f>'Source columns'!B59</f>
        <v>b3060000410007_currency</v>
      </c>
      <c r="C10" s="122" t="s">
        <v>32</v>
      </c>
    </row>
    <row r="11">
      <c r="A11" s="128" t="str">
        <f>'PXF-&gt;A'!A18</f>
        <v>a_000041_createrkoextresult</v>
      </c>
      <c r="B11" s="128" t="str">
        <f>'Source columns'!B67</f>
        <v>b3060000410008_createrkoextresult</v>
      </c>
      <c r="C11" s="122" t="s">
        <v>32</v>
      </c>
    </row>
    <row r="12">
      <c r="A12" s="128" t="str">
        <f>'PXF-&gt;A'!A20</f>
        <v>a_000041_RestrictionProductType</v>
      </c>
      <c r="B12" s="128" t="str">
        <f>'Source columns'!B89</f>
        <v>b3060000410010_RestrictionProductType</v>
      </c>
      <c r="C12" s="122" t="s">
        <v>32</v>
      </c>
    </row>
    <row r="13">
      <c r="A13" s="128" t="str">
        <f>'PXF-&gt;A'!A22</f>
        <v>a_000041_ProductTarget</v>
      </c>
      <c r="B13" s="128" t="str">
        <f>'Source columns'!B96</f>
        <v>b3060000410012_producttarget</v>
      </c>
      <c r="C13" s="122" t="s">
        <v>32</v>
      </c>
    </row>
    <row r="14">
      <c r="A14" s="128" t="str">
        <f>'PXF-&gt;A'!A24</f>
        <v>a_000041_RegisterStatus</v>
      </c>
      <c r="B14" s="128" t="str">
        <f>'Source columns'!B92</f>
        <v>b3060000410011_RegisterStatus</v>
      </c>
      <c r="C14" s="122" t="s">
        <v>32</v>
      </c>
    </row>
    <row r="15">
      <c r="A15" s="128" t="str">
        <f>'PXF-&gt;A'!A26</f>
        <v>a_000041_Status</v>
      </c>
      <c r="B15" s="128" t="str">
        <f>'Source columns'!B100</f>
        <v>b3060000410013_Status</v>
      </c>
      <c r="C15" s="122" t="s">
        <v>32</v>
      </c>
    </row>
    <row r="16">
      <c r="A16" s="128" t="str">
        <f>'PXF-&gt;A'!A28</f>
        <v>a_000041_optionalparam</v>
      </c>
      <c r="B16" s="128" t="str">
        <f>'Source columns'!B108</f>
        <v>b3060000410015_MigrateEntityMapProduct</v>
      </c>
      <c r="C16" s="122" t="s">
        <v>32</v>
      </c>
    </row>
    <row r="17">
      <c r="A17" s="128" t="str">
        <f>'PXF-&gt;A'!A32</f>
        <v>a_000041_depart</v>
      </c>
      <c r="B17" s="128" t="str">
        <f>'Source columns'!B113</f>
        <v>b3060000410016_depart</v>
      </c>
      <c r="C17" s="122" t="s">
        <v>32</v>
      </c>
    </row>
  </sheetData>
  <mergeCells count="1">
    <mergeCell ref="A1:B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78C0D931-6437-407d-A8EE-F0AAD7539E65}">
      <x14:conditionalFormattings>
        <x14:conditionalFormatting xmlns:xm="http://schemas.microsoft.com/office/excel/2006/main">
          <x14:cfRule type="expression" priority="28" id="{00F90009-00C9-4C82-A667-003F0056008C}">
            <xm:f>#REF!&lt;&gt;#REF!</xm:f>
            <x14:dxf>
              <border>
                <left style="none"/>
                <right style="none"/>
                <top style="none"/>
                <bottom style="thin">
                  <color auto="1"/>
                </bottom>
                <diagonal/>
                <vertical style="none"/>
                <horizontal style="none"/>
              </border>
            </x14:dxf>
          </x14:cfRule>
          <xm:sqref>A3:A5</xm:sqref>
        </x14:conditionalFormatting>
        <x14:conditionalFormatting xmlns:xm="http://schemas.microsoft.com/office/excel/2006/main">
          <x14:cfRule type="expression" priority="27" id="{006400A0-00C6-44C6-BB62-0057002400EE}">
            <xm:f>#REF!&lt;&gt;#REF!</xm:f>
            <x14:dxf>
              <border>
                <left style="none"/>
                <right style="none"/>
                <top style="none"/>
                <bottom style="thin">
                  <color auto="1"/>
                </bottom>
                <diagonal/>
                <vertical style="none"/>
                <horizontal style="none"/>
              </border>
            </x14:dxf>
          </x14:cfRule>
          <xm:sqref>B3:C5</xm:sqref>
        </x14:conditionalFormatting>
        <x14:conditionalFormatting xmlns:xm="http://schemas.microsoft.com/office/excel/2006/main">
          <x14:cfRule type="expression" priority="24" id="{002000DD-00E0-42CE-A931-00D400690061}">
            <xm:f>#REF!&lt;&gt;#REF!</xm:f>
            <x14:dxf>
              <border>
                <left style="none"/>
                <right style="none"/>
                <top style="none"/>
                <bottom style="thin">
                  <color auto="1"/>
                </bottom>
                <diagonal/>
                <vertical style="none"/>
                <horizontal style="none"/>
              </border>
            </x14:dxf>
          </x14:cfRule>
          <xm:sqref>A6</xm:sqref>
        </x14:conditionalFormatting>
        <x14:conditionalFormatting xmlns:xm="http://schemas.microsoft.com/office/excel/2006/main">
          <x14:cfRule type="expression" priority="23" id="{00F200E2-00F1-4365-8A81-008800CA0000}">
            <xm:f>#REF!&lt;&gt;#REF!</xm:f>
            <x14:dxf>
              <border>
                <left style="none"/>
                <right style="none"/>
                <top style="none"/>
                <bottom style="thin">
                  <color auto="1"/>
                </bottom>
                <diagonal/>
                <vertical style="none"/>
                <horizontal style="none"/>
              </border>
            </x14:dxf>
          </x14:cfRule>
          <xm:sqref>B6:C6</xm:sqref>
        </x14:conditionalFormatting>
        <x14:conditionalFormatting xmlns:xm="http://schemas.microsoft.com/office/excel/2006/main">
          <x14:cfRule type="expression" priority="22" id="{00D900C3-00AF-4EEB-8ECF-00A600220047}">
            <xm:f>#REF!&lt;&gt;#REF!</xm:f>
            <x14:dxf>
              <border>
                <left style="none"/>
                <right style="none"/>
                <top style="none"/>
                <bottom style="thin">
                  <color auto="1"/>
                </bottom>
                <diagonal/>
                <vertical style="none"/>
                <horizontal style="none"/>
              </border>
            </x14:dxf>
          </x14:cfRule>
          <xm:sqref>A7</xm:sqref>
        </x14:conditionalFormatting>
        <x14:conditionalFormatting xmlns:xm="http://schemas.microsoft.com/office/excel/2006/main">
          <x14:cfRule type="expression" priority="21" id="{004100FE-00E7-42E0-9572-0047001A00D3}">
            <xm:f>#REF!&lt;&gt;#REF!</xm:f>
            <x14:dxf>
              <border>
                <left style="none"/>
                <right style="none"/>
                <top style="none"/>
                <bottom style="thin">
                  <color auto="1"/>
                </bottom>
                <diagonal/>
                <vertical style="none"/>
                <horizontal style="none"/>
              </border>
            </x14:dxf>
          </x14:cfRule>
          <xm:sqref>B7:C7</xm:sqref>
        </x14:conditionalFormatting>
        <x14:conditionalFormatting xmlns:xm="http://schemas.microsoft.com/office/excel/2006/main">
          <x14:cfRule type="expression" priority="20" id="{00B2003E-0019-43B2-B17C-003C00D20050}">
            <xm:f>#REF!&lt;&gt;#REF!</xm:f>
            <x14:dxf>
              <border>
                <left style="none"/>
                <right style="none"/>
                <top style="none"/>
                <bottom style="thin">
                  <color auto="1"/>
                </bottom>
                <diagonal/>
                <vertical style="none"/>
                <horizontal style="none"/>
              </border>
            </x14:dxf>
          </x14:cfRule>
          <xm:sqref>A8</xm:sqref>
        </x14:conditionalFormatting>
        <x14:conditionalFormatting xmlns:xm="http://schemas.microsoft.com/office/excel/2006/main">
          <x14:cfRule type="expression" priority="19" id="{00FE003B-0094-41B7-8C31-00B100C600E4}">
            <xm:f>#REF!&lt;&gt;#REF!</xm:f>
            <x14:dxf>
              <border>
                <left style="none"/>
                <right style="none"/>
                <top style="none"/>
                <bottom style="thin">
                  <color auto="1"/>
                </bottom>
                <diagonal/>
                <vertical style="none"/>
                <horizontal style="none"/>
              </border>
            </x14:dxf>
          </x14:cfRule>
          <xm:sqref>B8:C8</xm:sqref>
        </x14:conditionalFormatting>
        <x14:conditionalFormatting xmlns:xm="http://schemas.microsoft.com/office/excel/2006/main">
          <x14:cfRule type="expression" priority="18" id="{0064007B-008B-4091-9B97-00C800E100B6}">
            <xm:f>#REF!&lt;&gt;#REF!</xm:f>
            <x14:dxf>
              <border>
                <left style="none"/>
                <right style="none"/>
                <top style="none"/>
                <bottom style="thin">
                  <color auto="1"/>
                </bottom>
                <diagonal/>
                <vertical style="none"/>
                <horizontal style="none"/>
              </border>
            </x14:dxf>
          </x14:cfRule>
          <xm:sqref>A9</xm:sqref>
        </x14:conditionalFormatting>
        <x14:conditionalFormatting xmlns:xm="http://schemas.microsoft.com/office/excel/2006/main">
          <x14:cfRule type="expression" priority="17" id="{00F900C7-00FC-47A9-9B37-00FE00C200A5}">
            <xm:f>#REF!&lt;&gt;#REF!</xm:f>
            <x14:dxf>
              <border>
                <left style="none"/>
                <right style="none"/>
                <top style="none"/>
                <bottom style="thin">
                  <color auto="1"/>
                </bottom>
                <diagonal/>
                <vertical style="none"/>
                <horizontal style="none"/>
              </border>
            </x14:dxf>
          </x14:cfRule>
          <xm:sqref>B9:C9</xm:sqref>
        </x14:conditionalFormatting>
        <x14:conditionalFormatting xmlns:xm="http://schemas.microsoft.com/office/excel/2006/main">
          <x14:cfRule type="expression" priority="16" id="{00010034-0055-4D1D-B357-0017000300CF}">
            <xm:f>#REF!&lt;&gt;#REF!</xm:f>
            <x14:dxf>
              <border>
                <left style="none"/>
                <right style="none"/>
                <top style="none"/>
                <bottom style="thin">
                  <color auto="1"/>
                </bottom>
                <diagonal/>
                <vertical style="none"/>
                <horizontal style="none"/>
              </border>
            </x14:dxf>
          </x14:cfRule>
          <xm:sqref>A10</xm:sqref>
        </x14:conditionalFormatting>
        <x14:conditionalFormatting xmlns:xm="http://schemas.microsoft.com/office/excel/2006/main">
          <x14:cfRule type="expression" priority="15" id="{002F00D1-0086-4279-936D-004A00E5001B}">
            <xm:f>#REF!&lt;&gt;#REF!</xm:f>
            <x14:dxf>
              <border>
                <left style="none"/>
                <right style="none"/>
                <top style="none"/>
                <bottom style="thin">
                  <color auto="1"/>
                </bottom>
                <diagonal/>
                <vertical style="none"/>
                <horizontal style="none"/>
              </border>
            </x14:dxf>
          </x14:cfRule>
          <xm:sqref>B10:C10</xm:sqref>
        </x14:conditionalFormatting>
        <x14:conditionalFormatting xmlns:xm="http://schemas.microsoft.com/office/excel/2006/main">
          <x14:cfRule type="expression" priority="14" id="{00CA005D-004C-4C24-98D5-00D100990067}">
            <xm:f>#REF!&lt;&gt;#REF!</xm:f>
            <x14:dxf>
              <border>
                <left style="none"/>
                <right style="none"/>
                <top style="none"/>
                <bottom style="thin">
                  <color auto="1"/>
                </bottom>
                <diagonal/>
                <vertical style="none"/>
                <horizontal style="none"/>
              </border>
            </x14:dxf>
          </x14:cfRule>
          <xm:sqref>A11</xm:sqref>
        </x14:conditionalFormatting>
        <x14:conditionalFormatting xmlns:xm="http://schemas.microsoft.com/office/excel/2006/main">
          <x14:cfRule type="expression" priority="13" id="{002700B0-0017-4158-A84E-0050005B000E}">
            <xm:f>#REF!&lt;&gt;#REF!</xm:f>
            <x14:dxf>
              <border>
                <left style="none"/>
                <right style="none"/>
                <top style="none"/>
                <bottom style="thin">
                  <color auto="1"/>
                </bottom>
                <diagonal/>
                <vertical style="none"/>
                <horizontal style="none"/>
              </border>
            </x14:dxf>
          </x14:cfRule>
          <xm:sqref>B11:C11</xm:sqref>
        </x14:conditionalFormatting>
        <x14:conditionalFormatting xmlns:xm="http://schemas.microsoft.com/office/excel/2006/main">
          <x14:cfRule type="expression" priority="12" id="{00370039-00DC-481C-B652-00A800C7001B}">
            <xm:f>#REF!&lt;&gt;#REF!</xm:f>
            <x14:dxf>
              <border>
                <left style="none"/>
                <right style="none"/>
                <top style="none"/>
                <bottom style="thin">
                  <color auto="1"/>
                </bottom>
                <diagonal/>
                <vertical style="none"/>
                <horizontal style="none"/>
              </border>
            </x14:dxf>
          </x14:cfRule>
          <xm:sqref>A12</xm:sqref>
        </x14:conditionalFormatting>
        <x14:conditionalFormatting xmlns:xm="http://schemas.microsoft.com/office/excel/2006/main">
          <x14:cfRule type="expression" priority="11" id="{0071006B-00DC-4A09-95BA-000A008300C2}">
            <xm:f>#REF!&lt;&gt;#REF!</xm:f>
            <x14:dxf>
              <border>
                <left style="none"/>
                <right style="none"/>
                <top style="none"/>
                <bottom style="thin">
                  <color auto="1"/>
                </bottom>
                <diagonal/>
                <vertical style="none"/>
                <horizontal style="none"/>
              </border>
            </x14:dxf>
          </x14:cfRule>
          <xm:sqref>B12:C12</xm:sqref>
        </x14:conditionalFormatting>
        <x14:conditionalFormatting xmlns:xm="http://schemas.microsoft.com/office/excel/2006/main">
          <x14:cfRule type="expression" priority="10" id="{00960064-00C6-4088-82E1-0069003C0075}">
            <xm:f>#REF!&lt;&gt;#REF!</xm:f>
            <x14:dxf>
              <border>
                <left style="none"/>
                <right style="none"/>
                <top style="none"/>
                <bottom style="thin">
                  <color auto="1"/>
                </bottom>
                <diagonal/>
                <vertical style="none"/>
                <horizontal style="none"/>
              </border>
            </x14:dxf>
          </x14:cfRule>
          <xm:sqref>A13</xm:sqref>
        </x14:conditionalFormatting>
        <x14:conditionalFormatting xmlns:xm="http://schemas.microsoft.com/office/excel/2006/main">
          <x14:cfRule type="expression" priority="9" id="{00E600A1-00FD-4ECB-9F31-004D00B40022}">
            <xm:f>#REF!&lt;&gt;#REF!</xm:f>
            <x14:dxf>
              <border>
                <left style="none"/>
                <right style="none"/>
                <top style="none"/>
                <bottom style="thin">
                  <color auto="1"/>
                </bottom>
                <diagonal/>
                <vertical style="none"/>
                <horizontal style="none"/>
              </border>
            </x14:dxf>
          </x14:cfRule>
          <xm:sqref>B13:C13</xm:sqref>
        </x14:conditionalFormatting>
        <x14:conditionalFormatting xmlns:xm="http://schemas.microsoft.com/office/excel/2006/main">
          <x14:cfRule type="expression" priority="8" id="{00E80017-0057-4826-97BB-001E004900C4}">
            <xm:f>#REF!&lt;&gt;#REF!</xm:f>
            <x14:dxf>
              <border>
                <left style="none"/>
                <right style="none"/>
                <top style="none"/>
                <bottom style="thin">
                  <color auto="1"/>
                </bottom>
                <diagonal/>
                <vertical style="none"/>
                <horizontal style="none"/>
              </border>
            </x14:dxf>
          </x14:cfRule>
          <xm:sqref>A14</xm:sqref>
        </x14:conditionalFormatting>
        <x14:conditionalFormatting xmlns:xm="http://schemas.microsoft.com/office/excel/2006/main">
          <x14:cfRule type="expression" priority="7" id="{00730055-008E-40FE-BCC2-0023002200DB}">
            <xm:f>#REF!&lt;&gt;#REF!</xm:f>
            <x14:dxf>
              <border>
                <left style="none"/>
                <right style="none"/>
                <top style="none"/>
                <bottom style="thin">
                  <color auto="1"/>
                </bottom>
                <diagonal/>
                <vertical style="none"/>
                <horizontal style="none"/>
              </border>
            </x14:dxf>
          </x14:cfRule>
          <xm:sqref>B14:C14</xm:sqref>
        </x14:conditionalFormatting>
        <x14:conditionalFormatting xmlns:xm="http://schemas.microsoft.com/office/excel/2006/main">
          <x14:cfRule type="expression" priority="6" id="{00A700E8-0071-4385-AA64-000D00BF00CA}">
            <xm:f>#REF!&lt;&gt;#REF!</xm:f>
            <x14:dxf>
              <border>
                <left style="none"/>
                <right style="none"/>
                <top style="none"/>
                <bottom style="thin">
                  <color auto="1"/>
                </bottom>
                <diagonal/>
                <vertical style="none"/>
                <horizontal style="none"/>
              </border>
            </x14:dxf>
          </x14:cfRule>
          <xm:sqref>A15</xm:sqref>
        </x14:conditionalFormatting>
        <x14:conditionalFormatting xmlns:xm="http://schemas.microsoft.com/office/excel/2006/main">
          <x14:cfRule type="expression" priority="5" id="{00F600D7-00C2-4A32-8FDD-002100350025}">
            <xm:f>#REF!&lt;&gt;#REF!</xm:f>
            <x14:dxf>
              <border>
                <left style="none"/>
                <right style="none"/>
                <top style="none"/>
                <bottom style="thin">
                  <color auto="1"/>
                </bottom>
                <diagonal/>
                <vertical style="none"/>
                <horizontal style="none"/>
              </border>
            </x14:dxf>
          </x14:cfRule>
          <xm:sqref>B15:C15</xm:sqref>
        </x14:conditionalFormatting>
        <x14:conditionalFormatting xmlns:xm="http://schemas.microsoft.com/office/excel/2006/main">
          <x14:cfRule type="expression" priority="4" id="{0028001A-00EE-4F4D-AC26-00D600F6000C}">
            <xm:f>#REF!&lt;&gt;#REF!</xm:f>
            <x14:dxf>
              <border>
                <left style="none"/>
                <right style="none"/>
                <top style="none"/>
                <bottom style="thin">
                  <color auto="1"/>
                </bottom>
                <diagonal/>
                <vertical style="none"/>
                <horizontal style="none"/>
              </border>
            </x14:dxf>
          </x14:cfRule>
          <xm:sqref>A16</xm:sqref>
        </x14:conditionalFormatting>
        <x14:conditionalFormatting xmlns:xm="http://schemas.microsoft.com/office/excel/2006/main">
          <x14:cfRule type="expression" priority="3" id="{00960081-0062-49CC-B30E-000D003D0010}">
            <xm:f>#REF!&lt;&gt;#REF!</xm:f>
            <x14:dxf>
              <border>
                <left style="none"/>
                <right style="none"/>
                <top style="none"/>
                <bottom style="thin">
                  <color auto="1"/>
                </bottom>
                <diagonal/>
                <vertical style="none"/>
                <horizontal style="none"/>
              </border>
            </x14:dxf>
          </x14:cfRule>
          <xm:sqref>B16:C16</xm:sqref>
        </x14:conditionalFormatting>
        <x14:conditionalFormatting xmlns:xm="http://schemas.microsoft.com/office/excel/2006/main">
          <x14:cfRule type="expression" priority="2" id="{0026004E-00D1-4400-964D-00E9008F0021}">
            <xm:f>#REF!&lt;&gt;#REF!</xm:f>
            <x14:dxf>
              <border>
                <left style="none"/>
                <right style="none"/>
                <top style="none"/>
                <bottom style="thin">
                  <color auto="1"/>
                </bottom>
                <diagonal/>
                <vertical style="none"/>
                <horizontal style="none"/>
              </border>
            </x14:dxf>
          </x14:cfRule>
          <xm:sqref>A17</xm:sqref>
        </x14:conditionalFormatting>
        <x14:conditionalFormatting xmlns:xm="http://schemas.microsoft.com/office/excel/2006/main">
          <x14:cfRule type="expression" priority="1" id="{003E0030-00EE-4C32-A763-001700700007}">
            <xm:f>#REF!&lt;&gt;#REF!</xm:f>
            <x14:dxf>
              <border>
                <left style="none"/>
                <right style="none"/>
                <top style="none"/>
                <bottom style="thin">
                  <color auto="1"/>
                </bottom>
                <diagonal/>
                <vertical style="none"/>
                <horizontal style="none"/>
              </border>
            </x14:dxf>
          </x14:cfRule>
          <xm:sqref>B17:C17</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pane ySplit="2" topLeftCell="A3" activePane="bottomLeft" state="frozen"/>
      <selection activeCell="A7" activeCellId="0" sqref="A7:D7"/>
    </sheetView>
  </sheetViews>
  <sheetFormatPr defaultColWidth="31.5703125" defaultRowHeight="15" customHeight="1"/>
  <cols>
    <col customWidth="1" min="1" max="1" style="129" width="24.28515625"/>
    <col customWidth="1" min="2" max="2" style="129" width="16"/>
    <col customWidth="1" min="3" max="3" style="130" width="58.7109375"/>
    <col customWidth="1" min="4" max="4" style="129" width="22.7109375"/>
    <col min="5" max="5" style="129" width="31.5703125"/>
    <col customWidth="1" min="6" max="6" style="129" width="15.7109375"/>
    <col customWidth="1" min="7" max="7" style="129" width="14.42578125"/>
    <col min="8" max="16384" style="129" width="31.5703125"/>
  </cols>
  <sheetData>
    <row r="1" ht="15" customHeight="1">
      <c r="B1" s="103" t="s">
        <v>550</v>
      </c>
      <c r="C1" s="129"/>
    </row>
    <row r="2" s="131" customFormat="1" ht="15" customHeight="1">
      <c r="A2" s="132" t="s">
        <v>551</v>
      </c>
      <c r="B2" s="132" t="s">
        <v>552</v>
      </c>
      <c r="C2" s="133" t="s">
        <v>553</v>
      </c>
      <c r="D2" s="133" t="s">
        <v>24</v>
      </c>
      <c r="E2" s="133" t="s">
        <v>554</v>
      </c>
      <c r="F2" s="134" t="s">
        <v>5</v>
      </c>
      <c r="G2" s="135" t="s">
        <v>555</v>
      </c>
    </row>
    <row r="3" ht="12" customHeight="1">
      <c r="A3" s="136" t="s">
        <v>556</v>
      </c>
      <c r="B3" s="136" t="s">
        <v>557</v>
      </c>
      <c r="C3" s="136" t="s">
        <v>558</v>
      </c>
      <c r="D3" s="129" t="s">
        <v>559</v>
      </c>
      <c r="G3" s="137"/>
    </row>
    <row r="4" ht="13.5" customHeight="1">
      <c r="A4" s="136" t="s">
        <v>560</v>
      </c>
      <c r="B4" s="136" t="s">
        <v>557</v>
      </c>
      <c r="C4" s="136" t="s">
        <v>561</v>
      </c>
      <c r="D4" s="129" t="s">
        <v>559</v>
      </c>
      <c r="G4" s="137"/>
    </row>
    <row r="5" ht="13.5" customHeight="1">
      <c r="A5" s="136" t="s">
        <v>562</v>
      </c>
      <c r="B5" s="136" t="s">
        <v>557</v>
      </c>
      <c r="C5" s="136" t="s">
        <v>563</v>
      </c>
      <c r="D5" s="129" t="s">
        <v>559</v>
      </c>
      <c r="G5" s="137"/>
    </row>
    <row r="6" ht="13.5" customHeight="1">
      <c r="A6" s="136" t="s">
        <v>564</v>
      </c>
      <c r="B6" s="136" t="s">
        <v>557</v>
      </c>
      <c r="C6" s="136" t="s">
        <v>565</v>
      </c>
      <c r="D6" s="129" t="s">
        <v>559</v>
      </c>
      <c r="G6" s="137"/>
    </row>
    <row r="7" ht="12" customHeight="1">
      <c r="A7" s="138" t="s">
        <v>566</v>
      </c>
      <c r="B7" s="138" t="s">
        <v>557</v>
      </c>
      <c r="C7" s="138" t="s">
        <v>567</v>
      </c>
      <c r="D7" s="139" t="s">
        <v>559</v>
      </c>
      <c r="G7" s="137"/>
    </row>
    <row r="8" ht="12" customHeight="1">
      <c r="A8" s="136" t="s">
        <v>568</v>
      </c>
      <c r="B8" s="136" t="s">
        <v>557</v>
      </c>
      <c r="C8" s="136" t="s">
        <v>569</v>
      </c>
      <c r="D8" s="129" t="s">
        <v>559</v>
      </c>
      <c r="G8" s="137"/>
    </row>
    <row r="9" ht="12" customHeight="1">
      <c r="A9" s="136"/>
      <c r="B9" s="136"/>
      <c r="C9" s="136"/>
      <c r="G9" s="137"/>
    </row>
    <row r="10" ht="12" customHeight="1">
      <c r="A10" s="136"/>
      <c r="B10" s="136"/>
      <c r="C10" s="136"/>
      <c r="G10" s="137"/>
    </row>
    <row r="11" ht="12" customHeight="1">
      <c r="A11" s="136"/>
      <c r="B11" s="136"/>
      <c r="C11" s="136"/>
      <c r="G11" s="137"/>
    </row>
    <row r="12" ht="12" customHeight="1">
      <c r="A12" s="136"/>
      <c r="B12" s="136"/>
      <c r="C12" s="136"/>
      <c r="G12" s="137"/>
    </row>
    <row r="13" ht="12" customHeight="1">
      <c r="A13" s="136"/>
      <c r="B13" s="136"/>
      <c r="C13" s="136"/>
      <c r="G13" s="137"/>
    </row>
    <row r="14" ht="12" customHeight="1">
      <c r="A14" s="136"/>
      <c r="B14" s="136"/>
      <c r="C14" s="136"/>
      <c r="G14" s="137"/>
    </row>
    <row r="15" ht="12" customHeight="1">
      <c r="A15" s="136"/>
      <c r="B15" s="136"/>
      <c r="C15" s="136"/>
      <c r="G15" s="137"/>
    </row>
    <row r="16" ht="12" customHeight="1">
      <c r="A16" s="136"/>
      <c r="B16" s="136"/>
      <c r="C16" s="136"/>
      <c r="G16" s="137"/>
    </row>
    <row r="17" ht="12" customHeight="1">
      <c r="A17" s="136"/>
      <c r="B17" s="136"/>
      <c r="C17" s="136"/>
      <c r="G17" s="137"/>
    </row>
    <row r="18" ht="12" customHeight="1">
      <c r="A18" s="140"/>
      <c r="B18" s="140"/>
      <c r="C18" s="141"/>
      <c r="G18" s="142"/>
    </row>
    <row r="19" ht="12" customHeight="1">
      <c r="A19" s="136"/>
      <c r="B19" s="140"/>
      <c r="C19" s="143"/>
      <c r="G19" s="137"/>
    </row>
    <row r="20" ht="12" customHeight="1">
      <c r="A20" s="136"/>
      <c r="B20" s="140"/>
      <c r="C20" s="143"/>
      <c r="G20" s="137"/>
    </row>
    <row r="21" ht="12" customHeight="1">
      <c r="A21" s="140"/>
      <c r="B21" s="140"/>
      <c r="C21" s="141"/>
      <c r="G21" s="137"/>
    </row>
    <row r="22" ht="12" customHeight="1">
      <c r="A22" s="140"/>
      <c r="B22" s="140"/>
      <c r="C22" s="141"/>
      <c r="G22" s="137"/>
    </row>
    <row r="23" ht="12.75" customHeight="1">
      <c r="A23" s="140"/>
      <c r="B23" s="140"/>
      <c r="C23" s="144"/>
      <c r="G23" s="142"/>
    </row>
    <row r="24" ht="12" customHeight="1">
      <c r="A24" s="136"/>
      <c r="B24" s="136"/>
      <c r="C24" s="143"/>
      <c r="G24" s="137"/>
    </row>
    <row r="25" ht="12" customHeight="1">
      <c r="A25" s="136"/>
      <c r="B25" s="136"/>
      <c r="C25" s="143"/>
      <c r="G25" s="137"/>
    </row>
    <row r="26" ht="12" customHeight="1">
      <c r="A26" s="136"/>
      <c r="B26" s="136"/>
      <c r="C26" s="143"/>
      <c r="G26" s="137"/>
    </row>
    <row r="27" ht="12" customHeight="1">
      <c r="A27" s="136"/>
      <c r="B27" s="136"/>
      <c r="C27" s="143"/>
      <c r="G27" s="137"/>
    </row>
    <row r="28" ht="12" customHeight="1">
      <c r="A28" s="136"/>
      <c r="B28" s="136"/>
      <c r="C28" s="145"/>
      <c r="G28" s="137"/>
    </row>
    <row r="29" ht="12" customHeight="1">
      <c r="A29" s="136"/>
      <c r="B29" s="136"/>
      <c r="C29" s="143"/>
      <c r="G29" s="137"/>
    </row>
    <row r="30" ht="11.25" customHeight="1">
      <c r="A30" s="140"/>
      <c r="B30" s="140"/>
      <c r="C30" s="141"/>
      <c r="E30" s="130"/>
      <c r="F30" s="130"/>
      <c r="G30" s="137"/>
    </row>
    <row r="31" ht="11.25" customHeight="1">
      <c r="A31" s="140"/>
      <c r="B31" s="140"/>
      <c r="C31" s="143"/>
      <c r="E31" s="130"/>
      <c r="F31" s="130"/>
      <c r="G31" s="137"/>
    </row>
    <row r="32" ht="12.75" customHeight="1">
      <c r="A32" s="140"/>
      <c r="B32" s="140"/>
      <c r="G32" s="142"/>
    </row>
    <row r="33" ht="12" customHeight="1">
      <c r="A33" s="140"/>
      <c r="B33" s="140"/>
      <c r="C33" s="143"/>
      <c r="G33" s="137"/>
    </row>
    <row r="34" ht="11.25" customHeight="1">
      <c r="A34" s="140"/>
      <c r="B34" s="140"/>
      <c r="C34" s="146"/>
      <c r="G34" s="142"/>
    </row>
    <row r="35" ht="12" customHeight="1">
      <c r="A35" s="140"/>
      <c r="B35" s="140"/>
      <c r="C35" s="147"/>
      <c r="G35" s="137"/>
    </row>
    <row r="36" ht="12.75" customHeight="1">
      <c r="A36" s="136"/>
      <c r="B36" s="140"/>
      <c r="C36" s="145"/>
      <c r="G36" s="148"/>
    </row>
    <row r="37" ht="12.75" customHeight="1">
      <c r="A37" s="140"/>
      <c r="B37" s="140"/>
      <c r="C37" s="147"/>
      <c r="G37" s="149"/>
    </row>
    <row r="38" ht="12.75" customHeight="1">
      <c r="A38" s="140"/>
      <c r="B38" s="140"/>
      <c r="C38" s="147"/>
      <c r="G38" s="149"/>
    </row>
    <row r="39" ht="12.75" customHeight="1">
      <c r="A39" s="140"/>
      <c r="B39" s="140"/>
      <c r="C39" s="147"/>
      <c r="G39" s="149"/>
    </row>
    <row r="40" ht="12.75" customHeight="1">
      <c r="A40" s="140"/>
      <c r="B40" s="140"/>
      <c r="C40" s="147"/>
      <c r="G40" s="149"/>
    </row>
    <row r="41" ht="15" customHeight="1">
      <c r="A41" s="140"/>
      <c r="B41" s="140"/>
      <c r="C41" s="147"/>
      <c r="G41" s="149"/>
    </row>
    <row r="42" ht="15" customHeight="1">
      <c r="A42" s="140"/>
      <c r="B42" s="140"/>
      <c r="C42" s="147"/>
      <c r="G42" s="149"/>
    </row>
    <row r="43" ht="15" customHeight="1">
      <c r="A43" s="140"/>
      <c r="B43" s="140"/>
      <c r="C43" s="147"/>
      <c r="G43" s="149"/>
    </row>
    <row r="44" ht="15" customHeight="1">
      <c r="A44" s="140"/>
      <c r="B44" s="140"/>
      <c r="C44" s="147"/>
      <c r="G44" s="149"/>
    </row>
    <row r="45" ht="15" customHeight="1">
      <c r="A45" s="140"/>
      <c r="B45" s="140"/>
      <c r="C45" s="140"/>
      <c r="G45" s="149"/>
    </row>
    <row r="46" ht="15" customHeight="1">
      <c r="A46" s="140"/>
      <c r="B46" s="140"/>
      <c r="C46" s="140"/>
      <c r="G46" s="149"/>
    </row>
    <row r="47" ht="15" customHeight="1">
      <c r="A47" s="140"/>
      <c r="B47" s="140"/>
      <c r="C47" s="147"/>
      <c r="G47" s="149"/>
    </row>
    <row r="48" ht="15" customHeight="1">
      <c r="A48" s="140"/>
      <c r="B48" s="140"/>
      <c r="C48" s="150"/>
      <c r="G48" s="149"/>
    </row>
    <row r="49" ht="15" customHeight="1">
      <c r="A49" s="140"/>
      <c r="B49" s="140"/>
      <c r="C49" s="147"/>
      <c r="G49" s="149"/>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9">
    <outlinePr applyStyles="0" summaryBelow="1" summaryRight="1" showOutlineSymbols="1"/>
    <pageSetUpPr autoPageBreaks="1" fitToPage="0"/>
  </sheetPr>
  <sheetViews>
    <sheetView showRuler="1" zoomScale="100" workbookViewId="0">
      <selection activeCell="G19" activeCellId="0" sqref="G19"/>
    </sheetView>
  </sheetViews>
  <sheetFormatPr defaultRowHeight="14.25"/>
  <cols>
    <col bestFit="1" customWidth="1" min="1" max="1" width="16.7109375"/>
    <col bestFit="1" customWidth="1" min="3" max="3" width="17.28515625"/>
    <col customWidth="1" min="7" max="7" width="23.5703125"/>
    <col customWidth="1" min="9" max="9" width="11.28515625"/>
    <col customWidth="1" min="11" max="11" width="11.7109375"/>
  </cols>
  <sheetData>
    <row r="1">
      <c r="A1" t="s">
        <v>24</v>
      </c>
      <c r="C1" t="s">
        <v>23</v>
      </c>
      <c r="E1" t="s">
        <v>570</v>
      </c>
      <c r="G1" t="s">
        <v>571</v>
      </c>
      <c r="I1" s="151" t="s">
        <v>572</v>
      </c>
      <c r="K1" t="s">
        <v>573</v>
      </c>
    </row>
    <row r="2">
      <c r="A2" t="s">
        <v>574</v>
      </c>
      <c r="C2" t="s">
        <v>46</v>
      </c>
      <c r="E2" t="s">
        <v>575</v>
      </c>
      <c r="G2" t="s">
        <v>576</v>
      </c>
      <c r="I2" s="152">
        <v>1</v>
      </c>
      <c r="K2" t="s">
        <v>577</v>
      </c>
    </row>
    <row r="3">
      <c r="A3" t="s">
        <v>578</v>
      </c>
      <c r="C3" t="s">
        <v>53</v>
      </c>
      <c r="E3" t="s">
        <v>579</v>
      </c>
      <c r="G3" t="s">
        <v>580</v>
      </c>
      <c r="I3" s="153" t="s">
        <v>581</v>
      </c>
      <c r="K3" t="s">
        <v>582</v>
      </c>
    </row>
    <row r="4">
      <c r="A4" t="s">
        <v>32</v>
      </c>
      <c r="C4" t="s">
        <v>56</v>
      </c>
      <c r="G4" t="s">
        <v>583</v>
      </c>
    </row>
    <row r="5">
      <c r="A5" t="s">
        <v>48</v>
      </c>
      <c r="C5" t="s">
        <v>31</v>
      </c>
    </row>
    <row r="6">
      <c r="A6" t="s">
        <v>584</v>
      </c>
      <c r="C6" t="s">
        <v>585</v>
      </c>
    </row>
    <row r="7">
      <c r="C7" t="s">
        <v>586</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tableParts count="5">
    <tablePart r:id="rId2"/>
    <tablePart r:id="rId3"/>
    <tablePart r:id="rId4"/>
    <tablePart r:id="rId5"/>
    <tablePart r:id="rId6"/>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FE1403-5CD5-4BC6-A43E-B32683D323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Р7-Офис/2026.1.3.2142</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Черкашин Владимир Алексеевич</dc:creator>
  <cp:lastModifiedBy>16703791@sigma.sbrf.ru</cp:lastModifiedBy>
  <cp:revision>2</cp:revision>
  <dcterms:created xsi:type="dcterms:W3CDTF">2015-06-19T08:04:17Z</dcterms:created>
  <dcterms:modified xsi:type="dcterms:W3CDTF">2026-05-15T06:05:33Z</dcterms:modified>
</cp:coreProperties>
</file>